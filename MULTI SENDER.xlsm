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bor-t\Documents\GitHub\Excel-email-multisender\"/>
    </mc:Choice>
  </mc:AlternateContent>
  <bookViews>
    <workbookView xWindow="0" yWindow="0" windowWidth="20490" windowHeight="7650" firstSheet="1" activeTab="1"/>
  </bookViews>
  <sheets>
    <sheet name="DATA" sheetId="5" state="hidden" r:id="rId1"/>
    <sheet name="MULTISENDER" sheetId="1" r:id="rId2"/>
    <sheet name="EMAILS" sheetId="2" state="hidden" r:id="rId3"/>
  </sheets>
  <definedNames>
    <definedName name="_xlnm._FilterDatabase" localSheetId="0" hidden="1">DATA!$B$1:$P$3876</definedName>
  </definedNames>
  <calcPr calcId="162913"/>
  <pivotCaches>
    <pivotCache cacheId="0" r:id="rId4"/>
    <pivotCache cacheId="1" r:id="rId5"/>
  </pivotCaches>
</workbook>
</file>

<file path=xl/calcChain.xml><?xml version="1.0" encoding="utf-8"?>
<calcChain xmlns="http://schemas.openxmlformats.org/spreadsheetml/2006/main">
  <c r="O3" i="5" l="1"/>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O621" i="5"/>
  <c r="O622" i="5"/>
  <c r="O623" i="5"/>
  <c r="O624" i="5"/>
  <c r="O625" i="5"/>
  <c r="O626" i="5"/>
  <c r="O627" i="5"/>
  <c r="O628" i="5"/>
  <c r="O629" i="5"/>
  <c r="O630" i="5"/>
  <c r="O631" i="5"/>
  <c r="O632" i="5"/>
  <c r="O633" i="5"/>
  <c r="O634" i="5"/>
  <c r="O635" i="5"/>
  <c r="O636" i="5"/>
  <c r="O637" i="5"/>
  <c r="O638" i="5"/>
  <c r="O639" i="5"/>
  <c r="O640" i="5"/>
  <c r="O641" i="5"/>
  <c r="O642" i="5"/>
  <c r="O643" i="5"/>
  <c r="O644" i="5"/>
  <c r="O645" i="5"/>
  <c r="O646" i="5"/>
  <c r="O647" i="5"/>
  <c r="O648" i="5"/>
  <c r="O649" i="5"/>
  <c r="O650" i="5"/>
  <c r="O651" i="5"/>
  <c r="O652" i="5"/>
  <c r="O653" i="5"/>
  <c r="O654" i="5"/>
  <c r="O655" i="5"/>
  <c r="O656" i="5"/>
  <c r="O657" i="5"/>
  <c r="O658" i="5"/>
  <c r="O659" i="5"/>
  <c r="O660" i="5"/>
  <c r="O661" i="5"/>
  <c r="O662" i="5"/>
  <c r="O663" i="5"/>
  <c r="O664" i="5"/>
  <c r="O665" i="5"/>
  <c r="O666" i="5"/>
  <c r="O667" i="5"/>
  <c r="O668" i="5"/>
  <c r="O669" i="5"/>
  <c r="O670" i="5"/>
  <c r="O671" i="5"/>
  <c r="O672" i="5"/>
  <c r="O673" i="5"/>
  <c r="O674" i="5"/>
  <c r="O675" i="5"/>
  <c r="O676" i="5"/>
  <c r="O677" i="5"/>
  <c r="O678" i="5"/>
  <c r="O679" i="5"/>
  <c r="O680" i="5"/>
  <c r="O681" i="5"/>
  <c r="O682" i="5"/>
  <c r="O683" i="5"/>
  <c r="O684" i="5"/>
  <c r="O685" i="5"/>
  <c r="O686" i="5"/>
  <c r="O687" i="5"/>
  <c r="O688" i="5"/>
  <c r="O689" i="5"/>
  <c r="O690" i="5"/>
  <c r="O691" i="5"/>
  <c r="O692" i="5"/>
  <c r="O693" i="5"/>
  <c r="O694" i="5"/>
  <c r="O695" i="5"/>
  <c r="O696" i="5"/>
  <c r="O697" i="5"/>
  <c r="O698" i="5"/>
  <c r="O699" i="5"/>
  <c r="O700" i="5"/>
  <c r="O701" i="5"/>
  <c r="O702" i="5"/>
  <c r="O703" i="5"/>
  <c r="O704" i="5"/>
  <c r="O705" i="5"/>
  <c r="O706" i="5"/>
  <c r="O707" i="5"/>
  <c r="O708" i="5"/>
  <c r="O709" i="5"/>
  <c r="O710" i="5"/>
  <c r="O711" i="5"/>
  <c r="O712" i="5"/>
  <c r="O713" i="5"/>
  <c r="O714" i="5"/>
  <c r="O715" i="5"/>
  <c r="O716" i="5"/>
  <c r="O717" i="5"/>
  <c r="O718" i="5"/>
  <c r="O719" i="5"/>
  <c r="O720" i="5"/>
  <c r="O721" i="5"/>
  <c r="O722" i="5"/>
  <c r="O723" i="5"/>
  <c r="O724" i="5"/>
  <c r="O725" i="5"/>
  <c r="O726" i="5"/>
  <c r="O727" i="5"/>
  <c r="O728" i="5"/>
  <c r="O729" i="5"/>
  <c r="O730" i="5"/>
  <c r="O731" i="5"/>
  <c r="O732" i="5"/>
  <c r="O733" i="5"/>
  <c r="O734" i="5"/>
  <c r="O735" i="5"/>
  <c r="O736" i="5"/>
  <c r="O737" i="5"/>
  <c r="O738" i="5"/>
  <c r="O739" i="5"/>
  <c r="O740" i="5"/>
  <c r="O741" i="5"/>
  <c r="O742" i="5"/>
  <c r="O743" i="5"/>
  <c r="O744" i="5"/>
  <c r="O745" i="5"/>
  <c r="O746" i="5"/>
  <c r="O747" i="5"/>
  <c r="O748" i="5"/>
  <c r="O749" i="5"/>
  <c r="O750" i="5"/>
  <c r="O751" i="5"/>
  <c r="O752" i="5"/>
  <c r="O753" i="5"/>
  <c r="O754" i="5"/>
  <c r="O755" i="5"/>
  <c r="O756" i="5"/>
  <c r="O757" i="5"/>
  <c r="O758" i="5"/>
  <c r="O759" i="5"/>
  <c r="O760" i="5"/>
  <c r="O761" i="5"/>
  <c r="O762" i="5"/>
  <c r="O763" i="5"/>
  <c r="O764" i="5"/>
  <c r="O765" i="5"/>
  <c r="O766" i="5"/>
  <c r="O767" i="5"/>
  <c r="O768" i="5"/>
  <c r="O769" i="5"/>
  <c r="O770" i="5"/>
  <c r="O771" i="5"/>
  <c r="O772" i="5"/>
  <c r="O773" i="5"/>
  <c r="O774" i="5"/>
  <c r="O775" i="5"/>
  <c r="O776" i="5"/>
  <c r="O777" i="5"/>
  <c r="O778" i="5"/>
  <c r="O779" i="5"/>
  <c r="O780" i="5"/>
  <c r="O781" i="5"/>
  <c r="O782" i="5"/>
  <c r="O783" i="5"/>
  <c r="O784" i="5"/>
  <c r="O785" i="5"/>
  <c r="O786" i="5"/>
  <c r="O787" i="5"/>
  <c r="O788" i="5"/>
  <c r="O789" i="5"/>
  <c r="O790" i="5"/>
  <c r="O791" i="5"/>
  <c r="O792" i="5"/>
  <c r="O793" i="5"/>
  <c r="O794" i="5"/>
  <c r="O795" i="5"/>
  <c r="O796" i="5"/>
  <c r="O797" i="5"/>
  <c r="O798" i="5"/>
  <c r="O799" i="5"/>
  <c r="O800" i="5"/>
  <c r="O801" i="5"/>
  <c r="O802" i="5"/>
  <c r="O803" i="5"/>
  <c r="O804" i="5"/>
  <c r="O805" i="5"/>
  <c r="O806" i="5"/>
  <c r="O807" i="5"/>
  <c r="O808" i="5"/>
  <c r="O809" i="5"/>
  <c r="O810" i="5"/>
  <c r="O811" i="5"/>
  <c r="O812" i="5"/>
  <c r="O813" i="5"/>
  <c r="O814" i="5"/>
  <c r="O815" i="5"/>
  <c r="O816" i="5"/>
  <c r="O817" i="5"/>
  <c r="O818" i="5"/>
  <c r="O819" i="5"/>
  <c r="O820" i="5"/>
  <c r="O821" i="5"/>
  <c r="O822" i="5"/>
  <c r="O823" i="5"/>
  <c r="O824" i="5"/>
  <c r="O825" i="5"/>
  <c r="O826" i="5"/>
  <c r="O827" i="5"/>
  <c r="O828" i="5"/>
  <c r="O829" i="5"/>
  <c r="O830" i="5"/>
  <c r="O831" i="5"/>
  <c r="O832" i="5"/>
  <c r="O833" i="5"/>
  <c r="O834" i="5"/>
  <c r="O835" i="5"/>
  <c r="O836" i="5"/>
  <c r="O837" i="5"/>
  <c r="O838" i="5"/>
  <c r="O839" i="5"/>
  <c r="O840" i="5"/>
  <c r="O841" i="5"/>
  <c r="O842" i="5"/>
  <c r="O843" i="5"/>
  <c r="O844" i="5"/>
  <c r="O845" i="5"/>
  <c r="O846" i="5"/>
  <c r="O847" i="5"/>
  <c r="O848" i="5"/>
  <c r="O849" i="5"/>
  <c r="O850" i="5"/>
  <c r="O851" i="5"/>
  <c r="O852" i="5"/>
  <c r="O853" i="5"/>
  <c r="O854" i="5"/>
  <c r="O855" i="5"/>
  <c r="O856" i="5"/>
  <c r="O857" i="5"/>
  <c r="O858" i="5"/>
  <c r="O859" i="5"/>
  <c r="O860" i="5"/>
  <c r="O861" i="5"/>
  <c r="O862" i="5"/>
  <c r="O863" i="5"/>
  <c r="O864" i="5"/>
  <c r="O865" i="5"/>
  <c r="O866" i="5"/>
  <c r="O867" i="5"/>
  <c r="O868" i="5"/>
  <c r="O869" i="5"/>
  <c r="O870" i="5"/>
  <c r="O871" i="5"/>
  <c r="O872" i="5"/>
  <c r="O873" i="5"/>
  <c r="O874" i="5"/>
  <c r="O875" i="5"/>
  <c r="O876" i="5"/>
  <c r="O877" i="5"/>
  <c r="O878" i="5"/>
  <c r="O879" i="5"/>
  <c r="O880" i="5"/>
  <c r="O881" i="5"/>
  <c r="O882" i="5"/>
  <c r="O883" i="5"/>
  <c r="O884" i="5"/>
  <c r="O885" i="5"/>
  <c r="O886" i="5"/>
  <c r="O887" i="5"/>
  <c r="O888" i="5"/>
  <c r="O889" i="5"/>
  <c r="O890" i="5"/>
  <c r="O891" i="5"/>
  <c r="O892" i="5"/>
  <c r="O893" i="5"/>
  <c r="O894" i="5"/>
  <c r="O895" i="5"/>
  <c r="O896" i="5"/>
  <c r="O897" i="5"/>
  <c r="O898" i="5"/>
  <c r="O899" i="5"/>
  <c r="O900" i="5"/>
  <c r="O901" i="5"/>
  <c r="O902" i="5"/>
  <c r="O903" i="5"/>
  <c r="O904" i="5"/>
  <c r="O905" i="5"/>
  <c r="O906" i="5"/>
  <c r="O907" i="5"/>
  <c r="O908" i="5"/>
  <c r="O909" i="5"/>
  <c r="O910" i="5"/>
  <c r="O911" i="5"/>
  <c r="O912" i="5"/>
  <c r="O913" i="5"/>
  <c r="O914" i="5"/>
  <c r="O915" i="5"/>
  <c r="O916" i="5"/>
  <c r="O917" i="5"/>
  <c r="O918" i="5"/>
  <c r="O919" i="5"/>
  <c r="O920" i="5"/>
  <c r="O921" i="5"/>
  <c r="O922" i="5"/>
  <c r="O923" i="5"/>
  <c r="O924" i="5"/>
  <c r="O925" i="5"/>
  <c r="O926" i="5"/>
  <c r="O927" i="5"/>
  <c r="O928" i="5"/>
  <c r="O929" i="5"/>
  <c r="O930" i="5"/>
  <c r="O931" i="5"/>
  <c r="O932" i="5"/>
  <c r="O933" i="5"/>
  <c r="O934" i="5"/>
  <c r="O935" i="5"/>
  <c r="O936" i="5"/>
  <c r="O937" i="5"/>
  <c r="O938" i="5"/>
  <c r="O939" i="5"/>
  <c r="O940" i="5"/>
  <c r="O941" i="5"/>
  <c r="O942" i="5"/>
  <c r="O943" i="5"/>
  <c r="O944" i="5"/>
  <c r="O945" i="5"/>
  <c r="O946" i="5"/>
  <c r="O947" i="5"/>
  <c r="O948" i="5"/>
  <c r="O949" i="5"/>
  <c r="O950" i="5"/>
  <c r="O951" i="5"/>
  <c r="O952" i="5"/>
  <c r="O953" i="5"/>
  <c r="O954" i="5"/>
  <c r="O955" i="5"/>
  <c r="O956" i="5"/>
  <c r="O957" i="5"/>
  <c r="O958" i="5"/>
  <c r="O959" i="5"/>
  <c r="O960" i="5"/>
  <c r="O961" i="5"/>
  <c r="O962" i="5"/>
  <c r="O963" i="5"/>
  <c r="O964" i="5"/>
  <c r="O965" i="5"/>
  <c r="O966" i="5"/>
  <c r="O967" i="5"/>
  <c r="O968" i="5"/>
  <c r="O969" i="5"/>
  <c r="O970" i="5"/>
  <c r="O971" i="5"/>
  <c r="O972" i="5"/>
  <c r="O973" i="5"/>
  <c r="O974" i="5"/>
  <c r="O975" i="5"/>
  <c r="O976" i="5"/>
  <c r="O977" i="5"/>
  <c r="O978" i="5"/>
  <c r="O979" i="5"/>
  <c r="O980" i="5"/>
  <c r="O981" i="5"/>
  <c r="O982" i="5"/>
  <c r="O983" i="5"/>
  <c r="O984" i="5"/>
  <c r="O985" i="5"/>
  <c r="O986" i="5"/>
  <c r="O987" i="5"/>
  <c r="O988" i="5"/>
  <c r="O989" i="5"/>
  <c r="O990" i="5"/>
  <c r="O991" i="5"/>
  <c r="O992" i="5"/>
  <c r="O993" i="5"/>
  <c r="O994" i="5"/>
  <c r="O995" i="5"/>
  <c r="O996" i="5"/>
  <c r="O997" i="5"/>
  <c r="O998" i="5"/>
  <c r="O999" i="5"/>
  <c r="O1000" i="5"/>
  <c r="O1001" i="5"/>
  <c r="O1002" i="5"/>
  <c r="O1003" i="5"/>
  <c r="O1004" i="5"/>
  <c r="O1005" i="5"/>
  <c r="O1006" i="5"/>
  <c r="O1007" i="5"/>
  <c r="O1008" i="5"/>
  <c r="O1009" i="5"/>
  <c r="O1010" i="5"/>
  <c r="O1011" i="5"/>
  <c r="O1012" i="5"/>
  <c r="O1013" i="5"/>
  <c r="O1014" i="5"/>
  <c r="O1015" i="5"/>
  <c r="O1016" i="5"/>
  <c r="O1017" i="5"/>
  <c r="O1018" i="5"/>
  <c r="O1019" i="5"/>
  <c r="O1020" i="5"/>
  <c r="O1021" i="5"/>
  <c r="O1022" i="5"/>
  <c r="O1023" i="5"/>
  <c r="O1024" i="5"/>
  <c r="O1025" i="5"/>
  <c r="O1026" i="5"/>
  <c r="O1027" i="5"/>
  <c r="O1028" i="5"/>
  <c r="O1029" i="5"/>
  <c r="O1030" i="5"/>
  <c r="O1031" i="5"/>
  <c r="O1032" i="5"/>
  <c r="O1033" i="5"/>
  <c r="O1034" i="5"/>
  <c r="O1035" i="5"/>
  <c r="O1036" i="5"/>
  <c r="O1037" i="5"/>
  <c r="O1038" i="5"/>
  <c r="O1039" i="5"/>
  <c r="O1040" i="5"/>
  <c r="O1041" i="5"/>
  <c r="O1042" i="5"/>
  <c r="O1043" i="5"/>
  <c r="O1044" i="5"/>
  <c r="O1045" i="5"/>
  <c r="O1046" i="5"/>
  <c r="O1047" i="5"/>
  <c r="O1048" i="5"/>
  <c r="O1049" i="5"/>
  <c r="O1050" i="5"/>
  <c r="O1051" i="5"/>
  <c r="O1052" i="5"/>
  <c r="O1053" i="5"/>
  <c r="O1054" i="5"/>
  <c r="O1055" i="5"/>
  <c r="O1056" i="5"/>
  <c r="O1057" i="5"/>
  <c r="O1058" i="5"/>
  <c r="O1059" i="5"/>
  <c r="O1060" i="5"/>
  <c r="O1061" i="5"/>
  <c r="O1062" i="5"/>
  <c r="O1063" i="5"/>
  <c r="O1064" i="5"/>
  <c r="O1065" i="5"/>
  <c r="O1066" i="5"/>
  <c r="O1067" i="5"/>
  <c r="O1068" i="5"/>
  <c r="O1069" i="5"/>
  <c r="O1070" i="5"/>
  <c r="O1071" i="5"/>
  <c r="O1072" i="5"/>
  <c r="O1073" i="5"/>
  <c r="O1074" i="5"/>
  <c r="O1075" i="5"/>
  <c r="O1076" i="5"/>
  <c r="O1077" i="5"/>
  <c r="O1078" i="5"/>
  <c r="O1079" i="5"/>
  <c r="O1080" i="5"/>
  <c r="O1081" i="5"/>
  <c r="O1082" i="5"/>
  <c r="O1083" i="5"/>
  <c r="O1084" i="5"/>
  <c r="O1085" i="5"/>
  <c r="O1086" i="5"/>
  <c r="O1087" i="5"/>
  <c r="O1088" i="5"/>
  <c r="O1089" i="5"/>
  <c r="O1090" i="5"/>
  <c r="O1091" i="5"/>
  <c r="O1092" i="5"/>
  <c r="O1093" i="5"/>
  <c r="O1094" i="5"/>
  <c r="O1095" i="5"/>
  <c r="O1096" i="5"/>
  <c r="O1097" i="5"/>
  <c r="O1098" i="5"/>
  <c r="O1099" i="5"/>
  <c r="O1100" i="5"/>
  <c r="O1101" i="5"/>
  <c r="O1102" i="5"/>
  <c r="O1103" i="5"/>
  <c r="O1104" i="5"/>
  <c r="O1105" i="5"/>
  <c r="O1106" i="5"/>
  <c r="O1107" i="5"/>
  <c r="O1108" i="5"/>
  <c r="O1109" i="5"/>
  <c r="O1110" i="5"/>
  <c r="O1111" i="5"/>
  <c r="O1112" i="5"/>
  <c r="O1113" i="5"/>
  <c r="O1114" i="5"/>
  <c r="O1115" i="5"/>
  <c r="O1116" i="5"/>
  <c r="O1117" i="5"/>
  <c r="O1118" i="5"/>
  <c r="O1119" i="5"/>
  <c r="O1120" i="5"/>
  <c r="O1121" i="5"/>
  <c r="O1122" i="5"/>
  <c r="O1123" i="5"/>
  <c r="O1124" i="5"/>
  <c r="O1125" i="5"/>
  <c r="O1126" i="5"/>
  <c r="O1127" i="5"/>
  <c r="O1128" i="5"/>
  <c r="O1129" i="5"/>
  <c r="O1130" i="5"/>
  <c r="O1131" i="5"/>
  <c r="O1132" i="5"/>
  <c r="O1133" i="5"/>
  <c r="O1134" i="5"/>
  <c r="O1135" i="5"/>
  <c r="O1136" i="5"/>
  <c r="O1137" i="5"/>
  <c r="O1138" i="5"/>
  <c r="O1139" i="5"/>
  <c r="O1140" i="5"/>
  <c r="O1141" i="5"/>
  <c r="O1142" i="5"/>
  <c r="O1143" i="5"/>
  <c r="O1144" i="5"/>
  <c r="O1145" i="5"/>
  <c r="O1146" i="5"/>
  <c r="O1147" i="5"/>
  <c r="O1148" i="5"/>
  <c r="O1149" i="5"/>
  <c r="O1150" i="5"/>
  <c r="O1151" i="5"/>
  <c r="O1152" i="5"/>
  <c r="O1153" i="5"/>
  <c r="O1154" i="5"/>
  <c r="O1155" i="5"/>
  <c r="O1156" i="5"/>
  <c r="O1157" i="5"/>
  <c r="O1158" i="5"/>
  <c r="O1159" i="5"/>
  <c r="O1160" i="5"/>
  <c r="O1161" i="5"/>
  <c r="O1162" i="5"/>
  <c r="O1163" i="5"/>
  <c r="O1164" i="5"/>
  <c r="O1165" i="5"/>
  <c r="O1166" i="5"/>
  <c r="O1167" i="5"/>
  <c r="O1168" i="5"/>
  <c r="O1169" i="5"/>
  <c r="O1170" i="5"/>
  <c r="O1171" i="5"/>
  <c r="O1172" i="5"/>
  <c r="O1173" i="5"/>
  <c r="O1174" i="5"/>
  <c r="O1175" i="5"/>
  <c r="O1176" i="5"/>
  <c r="O1177" i="5"/>
  <c r="O1178" i="5"/>
  <c r="O1179" i="5"/>
  <c r="O1180" i="5"/>
  <c r="O1181" i="5"/>
  <c r="O1182" i="5"/>
  <c r="O1183" i="5"/>
  <c r="O1184" i="5"/>
  <c r="O1185" i="5"/>
  <c r="O1186" i="5"/>
  <c r="O1187" i="5"/>
  <c r="O1188" i="5"/>
  <c r="O1189" i="5"/>
  <c r="O1190" i="5"/>
  <c r="O1191" i="5"/>
  <c r="O1192" i="5"/>
  <c r="O1193" i="5"/>
  <c r="O1194" i="5"/>
  <c r="O1195" i="5"/>
  <c r="O1196" i="5"/>
  <c r="O1197" i="5"/>
  <c r="O1198" i="5"/>
  <c r="O1199" i="5"/>
  <c r="O1200" i="5"/>
  <c r="O1201" i="5"/>
  <c r="O1202" i="5"/>
  <c r="O1203" i="5"/>
  <c r="O1204" i="5"/>
  <c r="O1205" i="5"/>
  <c r="O1206" i="5"/>
  <c r="O1207" i="5"/>
  <c r="O1208" i="5"/>
  <c r="O1209" i="5"/>
  <c r="O1210" i="5"/>
  <c r="O1211" i="5"/>
  <c r="O1212" i="5"/>
  <c r="O1213" i="5"/>
  <c r="O1214" i="5"/>
  <c r="O1215" i="5"/>
  <c r="O1216" i="5"/>
  <c r="O1217" i="5"/>
  <c r="O1218" i="5"/>
  <c r="O1219" i="5"/>
  <c r="O1220" i="5"/>
  <c r="O1221" i="5"/>
  <c r="O1222" i="5"/>
  <c r="O1223" i="5"/>
  <c r="O1224" i="5"/>
  <c r="O1225" i="5"/>
  <c r="O1226" i="5"/>
  <c r="O1227" i="5"/>
  <c r="O1228" i="5"/>
  <c r="O1229" i="5"/>
  <c r="O1230" i="5"/>
  <c r="O1231" i="5"/>
  <c r="O1232" i="5"/>
  <c r="O1233" i="5"/>
  <c r="O1234" i="5"/>
  <c r="O1235" i="5"/>
  <c r="O1236" i="5"/>
  <c r="O1237" i="5"/>
  <c r="O1238" i="5"/>
  <c r="O1239" i="5"/>
  <c r="O1240" i="5"/>
  <c r="O1241" i="5"/>
  <c r="O1242" i="5"/>
  <c r="O1243" i="5"/>
  <c r="O1244" i="5"/>
  <c r="O1245" i="5"/>
  <c r="O1246" i="5"/>
  <c r="O1247" i="5"/>
  <c r="O1248" i="5"/>
  <c r="O1249" i="5"/>
  <c r="O1250" i="5"/>
  <c r="O1251" i="5"/>
  <c r="O1252" i="5"/>
  <c r="O1253" i="5"/>
  <c r="O1254" i="5"/>
  <c r="O1255" i="5"/>
  <c r="O1256" i="5"/>
  <c r="O1257" i="5"/>
  <c r="O1258" i="5"/>
  <c r="O1259" i="5"/>
  <c r="O1260" i="5"/>
  <c r="O1261" i="5"/>
  <c r="O1262" i="5"/>
  <c r="O1263" i="5"/>
  <c r="O1264" i="5"/>
  <c r="O1265" i="5"/>
  <c r="O1266" i="5"/>
  <c r="O1267" i="5"/>
  <c r="O1268" i="5"/>
  <c r="O1269" i="5"/>
  <c r="O1270" i="5"/>
  <c r="O1271" i="5"/>
  <c r="O1272" i="5"/>
  <c r="O1273" i="5"/>
  <c r="O1274" i="5"/>
  <c r="O1275" i="5"/>
  <c r="O1276" i="5"/>
  <c r="O1277" i="5"/>
  <c r="O1278" i="5"/>
  <c r="O1279" i="5"/>
  <c r="O1280" i="5"/>
  <c r="O1281" i="5"/>
  <c r="O1282" i="5"/>
  <c r="O1283" i="5"/>
  <c r="O1284" i="5"/>
  <c r="O1285" i="5"/>
  <c r="O1286" i="5"/>
  <c r="O1287" i="5"/>
  <c r="O1288" i="5"/>
  <c r="O1289" i="5"/>
  <c r="O1290" i="5"/>
  <c r="O1291" i="5"/>
  <c r="O1292" i="5"/>
  <c r="O1293" i="5"/>
  <c r="O1294" i="5"/>
  <c r="O1295" i="5"/>
  <c r="O1296" i="5"/>
  <c r="O1297" i="5"/>
  <c r="O1298" i="5"/>
  <c r="O1299" i="5"/>
  <c r="O1300" i="5"/>
  <c r="O1301" i="5"/>
  <c r="O1302" i="5"/>
  <c r="O1303" i="5"/>
  <c r="O1304" i="5"/>
  <c r="O1305" i="5"/>
  <c r="O1306" i="5"/>
  <c r="O1307" i="5"/>
  <c r="O1308" i="5"/>
  <c r="O1309" i="5"/>
  <c r="O1310" i="5"/>
  <c r="O1311" i="5"/>
  <c r="O1312" i="5"/>
  <c r="O1313" i="5"/>
  <c r="O1314" i="5"/>
  <c r="O1315" i="5"/>
  <c r="O1316" i="5"/>
  <c r="O1317" i="5"/>
  <c r="O1318" i="5"/>
  <c r="O1319" i="5"/>
  <c r="O1320" i="5"/>
  <c r="O1321" i="5"/>
  <c r="O1322" i="5"/>
  <c r="O1323" i="5"/>
  <c r="O1324" i="5"/>
  <c r="O1325" i="5"/>
  <c r="O1326" i="5"/>
  <c r="O1327" i="5"/>
  <c r="O1328" i="5"/>
  <c r="O1329" i="5"/>
  <c r="O1330" i="5"/>
  <c r="O1331" i="5"/>
  <c r="O1332" i="5"/>
  <c r="O1333" i="5"/>
  <c r="O1334" i="5"/>
  <c r="O1335" i="5"/>
  <c r="O1336" i="5"/>
  <c r="O1337" i="5"/>
  <c r="O1338" i="5"/>
  <c r="O1339" i="5"/>
  <c r="O1340" i="5"/>
  <c r="O1341" i="5"/>
  <c r="O1342" i="5"/>
  <c r="O1343" i="5"/>
  <c r="O1344" i="5"/>
  <c r="O1345" i="5"/>
  <c r="O1346" i="5"/>
  <c r="O1347" i="5"/>
  <c r="O1348" i="5"/>
  <c r="O1349" i="5"/>
  <c r="O1350" i="5"/>
  <c r="O1351" i="5"/>
  <c r="O1352" i="5"/>
  <c r="O1353" i="5"/>
  <c r="O1354" i="5"/>
  <c r="O1355" i="5"/>
  <c r="O1356" i="5"/>
  <c r="O1357" i="5"/>
  <c r="O1358" i="5"/>
  <c r="O1359" i="5"/>
  <c r="O1360" i="5"/>
  <c r="O1361" i="5"/>
  <c r="O1362" i="5"/>
  <c r="O1363" i="5"/>
  <c r="O1364" i="5"/>
  <c r="O1365" i="5"/>
  <c r="O1366" i="5"/>
  <c r="O1367" i="5"/>
  <c r="O1368" i="5"/>
  <c r="O1369" i="5"/>
  <c r="O1370" i="5"/>
  <c r="O1371" i="5"/>
  <c r="O1372" i="5"/>
  <c r="O1373" i="5"/>
  <c r="O1374" i="5"/>
  <c r="O1375" i="5"/>
  <c r="O1376" i="5"/>
  <c r="O1377" i="5"/>
  <c r="O1378" i="5"/>
  <c r="O1379" i="5"/>
  <c r="O1380" i="5"/>
  <c r="O1381" i="5"/>
  <c r="O1382" i="5"/>
  <c r="O1383" i="5"/>
  <c r="O1384" i="5"/>
  <c r="O1385" i="5"/>
  <c r="O1386" i="5"/>
  <c r="O1387" i="5"/>
  <c r="O1388" i="5"/>
  <c r="O1389" i="5"/>
  <c r="O1390" i="5"/>
  <c r="O1391" i="5"/>
  <c r="O1392" i="5"/>
  <c r="O1393" i="5"/>
  <c r="O1394" i="5"/>
  <c r="O1395" i="5"/>
  <c r="O1396" i="5"/>
  <c r="O1397" i="5"/>
  <c r="O1398" i="5"/>
  <c r="O1399" i="5"/>
  <c r="O1400" i="5"/>
  <c r="O1401" i="5"/>
  <c r="O1402" i="5"/>
  <c r="O1403" i="5"/>
  <c r="O1404" i="5"/>
  <c r="O1405" i="5"/>
  <c r="O1406" i="5"/>
  <c r="O1407" i="5"/>
  <c r="O1408" i="5"/>
  <c r="O1409" i="5"/>
  <c r="O1410" i="5"/>
  <c r="O1411" i="5"/>
  <c r="O1412" i="5"/>
  <c r="O1413" i="5"/>
  <c r="O1414" i="5"/>
  <c r="O1415" i="5"/>
  <c r="O1416" i="5"/>
  <c r="O1417" i="5"/>
  <c r="O1418" i="5"/>
  <c r="O1419" i="5"/>
  <c r="O1420" i="5"/>
  <c r="O1421" i="5"/>
  <c r="O1422" i="5"/>
  <c r="O1423" i="5"/>
  <c r="O1424" i="5"/>
  <c r="O1425" i="5"/>
  <c r="O1426" i="5"/>
  <c r="O1427" i="5"/>
  <c r="O1428" i="5"/>
  <c r="O1429" i="5"/>
  <c r="O1430" i="5"/>
  <c r="O1431" i="5"/>
  <c r="O1432" i="5"/>
  <c r="O1433" i="5"/>
  <c r="O1434" i="5"/>
  <c r="O1435" i="5"/>
  <c r="O1436" i="5"/>
  <c r="O1437" i="5"/>
  <c r="O1438" i="5"/>
  <c r="O1439" i="5"/>
  <c r="O1440" i="5"/>
  <c r="O1441" i="5"/>
  <c r="O1442" i="5"/>
  <c r="O1443" i="5"/>
  <c r="O1444" i="5"/>
  <c r="O1445" i="5"/>
  <c r="O1446" i="5"/>
  <c r="O1447" i="5"/>
  <c r="O1448" i="5"/>
  <c r="O1449" i="5"/>
  <c r="O1450" i="5"/>
  <c r="O1451" i="5"/>
  <c r="O1452" i="5"/>
  <c r="O1453" i="5"/>
  <c r="O1454" i="5"/>
  <c r="O1455" i="5"/>
  <c r="O1456" i="5"/>
  <c r="O1457" i="5"/>
  <c r="O1458" i="5"/>
  <c r="O1459" i="5"/>
  <c r="O1460" i="5"/>
  <c r="O1461" i="5"/>
  <c r="O1462" i="5"/>
  <c r="O1463" i="5"/>
  <c r="O1464" i="5"/>
  <c r="O1465" i="5"/>
  <c r="O1466" i="5"/>
  <c r="O1467" i="5"/>
  <c r="O1468" i="5"/>
  <c r="O1469" i="5"/>
  <c r="O1470" i="5"/>
  <c r="O1471" i="5"/>
  <c r="O1472" i="5"/>
  <c r="O1473" i="5"/>
  <c r="O1474" i="5"/>
  <c r="O1475" i="5"/>
  <c r="O1476" i="5"/>
  <c r="O1477" i="5"/>
  <c r="O1478" i="5"/>
  <c r="O1479" i="5"/>
  <c r="O1480" i="5"/>
  <c r="O1481" i="5"/>
  <c r="O1482" i="5"/>
  <c r="O1483" i="5"/>
  <c r="O1484" i="5"/>
  <c r="O1485" i="5"/>
  <c r="O1486" i="5"/>
  <c r="O1487" i="5"/>
  <c r="O1488" i="5"/>
  <c r="O1489" i="5"/>
  <c r="O1490" i="5"/>
  <c r="O1491" i="5"/>
  <c r="O1492" i="5"/>
  <c r="O1493" i="5"/>
  <c r="O1494" i="5"/>
  <c r="O1495" i="5"/>
  <c r="O1496" i="5"/>
  <c r="O1497" i="5"/>
  <c r="O1498" i="5"/>
  <c r="O1499" i="5"/>
  <c r="O1500" i="5"/>
  <c r="O1501" i="5"/>
  <c r="O1502" i="5"/>
  <c r="O1503" i="5"/>
  <c r="O1504" i="5"/>
  <c r="O1505" i="5"/>
  <c r="O1506" i="5"/>
  <c r="O1507" i="5"/>
  <c r="O1508" i="5"/>
  <c r="O1509" i="5"/>
  <c r="O1510" i="5"/>
  <c r="O1511" i="5"/>
  <c r="O1512" i="5"/>
  <c r="O1513" i="5"/>
  <c r="O1514" i="5"/>
  <c r="O1515" i="5"/>
  <c r="O1516" i="5"/>
  <c r="O1517" i="5"/>
  <c r="O1518" i="5"/>
  <c r="O1519" i="5"/>
  <c r="O1520" i="5"/>
  <c r="O1521" i="5"/>
  <c r="O1522" i="5"/>
  <c r="O1523" i="5"/>
  <c r="O1524" i="5"/>
  <c r="O1525" i="5"/>
  <c r="O1526" i="5"/>
  <c r="O1527" i="5"/>
  <c r="O1528" i="5"/>
  <c r="O1529" i="5"/>
  <c r="O1530" i="5"/>
  <c r="O1531" i="5"/>
  <c r="O1532" i="5"/>
  <c r="O1533" i="5"/>
  <c r="O1534" i="5"/>
  <c r="O1535" i="5"/>
  <c r="O1536" i="5"/>
  <c r="O1537" i="5"/>
  <c r="O1538" i="5"/>
  <c r="O1539" i="5"/>
  <c r="O1540" i="5"/>
  <c r="O1541" i="5"/>
  <c r="O1542" i="5"/>
  <c r="O1543" i="5"/>
  <c r="O1544" i="5"/>
  <c r="O1545" i="5"/>
  <c r="O1546" i="5"/>
  <c r="O1547" i="5"/>
  <c r="O1548" i="5"/>
  <c r="O1549" i="5"/>
  <c r="O1550" i="5"/>
  <c r="O1551" i="5"/>
  <c r="O1552" i="5"/>
  <c r="O1553" i="5"/>
  <c r="O1554" i="5"/>
  <c r="O1555" i="5"/>
  <c r="O1556" i="5"/>
  <c r="O1557" i="5"/>
  <c r="O1558" i="5"/>
  <c r="O1559" i="5"/>
  <c r="O1560" i="5"/>
  <c r="O1561" i="5"/>
  <c r="O1562" i="5"/>
  <c r="O1563" i="5"/>
  <c r="O1564" i="5"/>
  <c r="O1565" i="5"/>
  <c r="O1566" i="5"/>
  <c r="O1567" i="5"/>
  <c r="O1568" i="5"/>
  <c r="O1569" i="5"/>
  <c r="O1570" i="5"/>
  <c r="O1571" i="5"/>
  <c r="O1572" i="5"/>
  <c r="O1573" i="5"/>
  <c r="O1574" i="5"/>
  <c r="O1575" i="5"/>
  <c r="O1576" i="5"/>
  <c r="O1577" i="5"/>
  <c r="O1578" i="5"/>
  <c r="O1579" i="5"/>
  <c r="O1580" i="5"/>
  <c r="O1581" i="5"/>
  <c r="O1582" i="5"/>
  <c r="O1583" i="5"/>
  <c r="O1584" i="5"/>
  <c r="O1585" i="5"/>
  <c r="O1586" i="5"/>
  <c r="O1587" i="5"/>
  <c r="O1588" i="5"/>
  <c r="O1589" i="5"/>
  <c r="O1590" i="5"/>
  <c r="O1591" i="5"/>
  <c r="O1592" i="5"/>
  <c r="O1593" i="5"/>
  <c r="O1594" i="5"/>
  <c r="O1595" i="5"/>
  <c r="O1596" i="5"/>
  <c r="O1597" i="5"/>
  <c r="O1598" i="5"/>
  <c r="O1599" i="5"/>
  <c r="O1600" i="5"/>
  <c r="O1601" i="5"/>
  <c r="O1602" i="5"/>
  <c r="O1603" i="5"/>
  <c r="O1604" i="5"/>
  <c r="O1605" i="5"/>
  <c r="O1606" i="5"/>
  <c r="O1607" i="5"/>
  <c r="O1608" i="5"/>
  <c r="O1609" i="5"/>
  <c r="O1610" i="5"/>
  <c r="O1611" i="5"/>
  <c r="O1612" i="5"/>
  <c r="O1613" i="5"/>
  <c r="O1614" i="5"/>
  <c r="O1615" i="5"/>
  <c r="O1616" i="5"/>
  <c r="O1617" i="5"/>
  <c r="O1618" i="5"/>
  <c r="O1619" i="5"/>
  <c r="O1620" i="5"/>
  <c r="O1621" i="5"/>
  <c r="O1622" i="5"/>
  <c r="O1623" i="5"/>
  <c r="O1624" i="5"/>
  <c r="O1625" i="5"/>
  <c r="O1626" i="5"/>
  <c r="O1627" i="5"/>
  <c r="O1628" i="5"/>
  <c r="O1629" i="5"/>
  <c r="O1630" i="5"/>
  <c r="O1631" i="5"/>
  <c r="O1632" i="5"/>
  <c r="O1633" i="5"/>
  <c r="O1634" i="5"/>
  <c r="O1635" i="5"/>
  <c r="O1636" i="5"/>
  <c r="O1637" i="5"/>
  <c r="O1638" i="5"/>
  <c r="O1639" i="5"/>
  <c r="O1640" i="5"/>
  <c r="O1641" i="5"/>
  <c r="O1642" i="5"/>
  <c r="O1643" i="5"/>
  <c r="O1644" i="5"/>
  <c r="O1645" i="5"/>
  <c r="O1646" i="5"/>
  <c r="O1647" i="5"/>
  <c r="O1648" i="5"/>
  <c r="O1649" i="5"/>
  <c r="O1650" i="5"/>
  <c r="O1651" i="5"/>
  <c r="O1652" i="5"/>
  <c r="O1653" i="5"/>
  <c r="O1654" i="5"/>
  <c r="O1655" i="5"/>
  <c r="O1656" i="5"/>
  <c r="O1657" i="5"/>
  <c r="O1658" i="5"/>
  <c r="O1659" i="5"/>
  <c r="O1660" i="5"/>
  <c r="O1661" i="5"/>
  <c r="O1662" i="5"/>
  <c r="O1663" i="5"/>
  <c r="O1664" i="5"/>
  <c r="O1665" i="5"/>
  <c r="O1666" i="5"/>
  <c r="O1667" i="5"/>
  <c r="O1668" i="5"/>
  <c r="O1669" i="5"/>
  <c r="O1670" i="5"/>
  <c r="O1671" i="5"/>
  <c r="O1672" i="5"/>
  <c r="O1673" i="5"/>
  <c r="O1674" i="5"/>
  <c r="O1675" i="5"/>
  <c r="O1676" i="5"/>
  <c r="O1677" i="5"/>
  <c r="O1678" i="5"/>
  <c r="O1679" i="5"/>
  <c r="O1680" i="5"/>
  <c r="O1681" i="5"/>
  <c r="O1682" i="5"/>
  <c r="O1683" i="5"/>
  <c r="O1684" i="5"/>
  <c r="O1685" i="5"/>
  <c r="O1686" i="5"/>
  <c r="O1687" i="5"/>
  <c r="O1688" i="5"/>
  <c r="O1689" i="5"/>
  <c r="O1690" i="5"/>
  <c r="O1691" i="5"/>
  <c r="O1692" i="5"/>
  <c r="O1693" i="5"/>
  <c r="O1694" i="5"/>
  <c r="O1695" i="5"/>
  <c r="O1696" i="5"/>
  <c r="O1697" i="5"/>
  <c r="O1698" i="5"/>
  <c r="O1699" i="5"/>
  <c r="O1700" i="5"/>
  <c r="O1701" i="5"/>
  <c r="O1702" i="5"/>
  <c r="O1703" i="5"/>
  <c r="O1704" i="5"/>
  <c r="O1705" i="5"/>
  <c r="O1706" i="5"/>
  <c r="O1707" i="5"/>
  <c r="O1708" i="5"/>
  <c r="O1709" i="5"/>
  <c r="O1710" i="5"/>
  <c r="O1711" i="5"/>
  <c r="O1712" i="5"/>
  <c r="O1713" i="5"/>
  <c r="O1714" i="5"/>
  <c r="O1715" i="5"/>
  <c r="O1716" i="5"/>
  <c r="O1717" i="5"/>
  <c r="O1718" i="5"/>
  <c r="O1719" i="5"/>
  <c r="O1720" i="5"/>
  <c r="O1721" i="5"/>
  <c r="O1722" i="5"/>
  <c r="O1723" i="5"/>
  <c r="O1724" i="5"/>
  <c r="O1725" i="5"/>
  <c r="O1726" i="5"/>
  <c r="O1727" i="5"/>
  <c r="O1728" i="5"/>
  <c r="O1729" i="5"/>
  <c r="O1730" i="5"/>
  <c r="O1731" i="5"/>
  <c r="O1732" i="5"/>
  <c r="O1733" i="5"/>
  <c r="O1734" i="5"/>
  <c r="O1735" i="5"/>
  <c r="O1736" i="5"/>
  <c r="O1737" i="5"/>
  <c r="O1738" i="5"/>
  <c r="O1739" i="5"/>
  <c r="O1740" i="5"/>
  <c r="O1741" i="5"/>
  <c r="O1742" i="5"/>
  <c r="O1743" i="5"/>
  <c r="O1744" i="5"/>
  <c r="O1745" i="5"/>
  <c r="O1746" i="5"/>
  <c r="O1747" i="5"/>
  <c r="O1748" i="5"/>
  <c r="O1749" i="5"/>
  <c r="O1750" i="5"/>
  <c r="O1751" i="5"/>
  <c r="O1752" i="5"/>
  <c r="O1753" i="5"/>
  <c r="O1754" i="5"/>
  <c r="O1755" i="5"/>
  <c r="O1756" i="5"/>
  <c r="O1757" i="5"/>
  <c r="O1758" i="5"/>
  <c r="O1759" i="5"/>
  <c r="O1760" i="5"/>
  <c r="O1761" i="5"/>
  <c r="O1762" i="5"/>
  <c r="O1763" i="5"/>
  <c r="O1764" i="5"/>
  <c r="O1765" i="5"/>
  <c r="O1766" i="5"/>
  <c r="O1767" i="5"/>
  <c r="O1768" i="5"/>
  <c r="O1769" i="5"/>
  <c r="O1770" i="5"/>
  <c r="O1771" i="5"/>
  <c r="O1772" i="5"/>
  <c r="O1773" i="5"/>
  <c r="O1774" i="5"/>
  <c r="O1775" i="5"/>
  <c r="O1776" i="5"/>
  <c r="O1777" i="5"/>
  <c r="O1778" i="5"/>
  <c r="O1779" i="5"/>
  <c r="O1780" i="5"/>
  <c r="O1781" i="5"/>
  <c r="O1782" i="5"/>
  <c r="O1783" i="5"/>
  <c r="O1784" i="5"/>
  <c r="O1785" i="5"/>
  <c r="O1786" i="5"/>
  <c r="O1787" i="5"/>
  <c r="O1788" i="5"/>
  <c r="O1789" i="5"/>
  <c r="O1790" i="5"/>
  <c r="O1791" i="5"/>
  <c r="O1792" i="5"/>
  <c r="O1793" i="5"/>
  <c r="O1794" i="5"/>
  <c r="O1795" i="5"/>
  <c r="O1796" i="5"/>
  <c r="O1797" i="5"/>
  <c r="O1798" i="5"/>
  <c r="O1799" i="5"/>
  <c r="O1800" i="5"/>
  <c r="O1801" i="5"/>
  <c r="O1802" i="5"/>
  <c r="O1803" i="5"/>
  <c r="O1804" i="5"/>
  <c r="O1805" i="5"/>
  <c r="O1806" i="5"/>
  <c r="O1807" i="5"/>
  <c r="O1808" i="5"/>
  <c r="O1809" i="5"/>
  <c r="O1810" i="5"/>
  <c r="O1811" i="5"/>
  <c r="O1812" i="5"/>
  <c r="O1813" i="5"/>
  <c r="O1814" i="5"/>
  <c r="O1815" i="5"/>
  <c r="O1816" i="5"/>
  <c r="O1817" i="5"/>
  <c r="O1818" i="5"/>
  <c r="O1819" i="5"/>
  <c r="O1820" i="5"/>
  <c r="O1821" i="5"/>
  <c r="O1822" i="5"/>
  <c r="O1823" i="5"/>
  <c r="O1824" i="5"/>
  <c r="O1825" i="5"/>
  <c r="O1826" i="5"/>
  <c r="O1827" i="5"/>
  <c r="O1828" i="5"/>
  <c r="O1829" i="5"/>
  <c r="O1830" i="5"/>
  <c r="O1831" i="5"/>
  <c r="O1832" i="5"/>
  <c r="O1833" i="5"/>
  <c r="O1834" i="5"/>
  <c r="O1835" i="5"/>
  <c r="O1836" i="5"/>
  <c r="O1837" i="5"/>
  <c r="O1838" i="5"/>
  <c r="O1839" i="5"/>
  <c r="O1840" i="5"/>
  <c r="O1841" i="5"/>
  <c r="O1842" i="5"/>
  <c r="O1843" i="5"/>
  <c r="O1844" i="5"/>
  <c r="O1845" i="5"/>
  <c r="O1846" i="5"/>
  <c r="O1847" i="5"/>
  <c r="O1848" i="5"/>
  <c r="O1849" i="5"/>
  <c r="O1850" i="5"/>
  <c r="O1851" i="5"/>
  <c r="O1852" i="5"/>
  <c r="O1853" i="5"/>
  <c r="O1854" i="5"/>
  <c r="O1855" i="5"/>
  <c r="O1856" i="5"/>
  <c r="O1857" i="5"/>
  <c r="O1858" i="5"/>
  <c r="O1859" i="5"/>
  <c r="O1860" i="5"/>
  <c r="O1861" i="5"/>
  <c r="O1862" i="5"/>
  <c r="O1863" i="5"/>
  <c r="O1864" i="5"/>
  <c r="O1865" i="5"/>
  <c r="O1866" i="5"/>
  <c r="O1867" i="5"/>
  <c r="O1868" i="5"/>
  <c r="O1869" i="5"/>
  <c r="O1870" i="5"/>
  <c r="O1871" i="5"/>
  <c r="O1872" i="5"/>
  <c r="O1873" i="5"/>
  <c r="O1874" i="5"/>
  <c r="O1875" i="5"/>
  <c r="O1876" i="5"/>
  <c r="O1877" i="5"/>
  <c r="O1878" i="5"/>
  <c r="O1879" i="5"/>
  <c r="O1880" i="5"/>
  <c r="O1881" i="5"/>
  <c r="O1882" i="5"/>
  <c r="O1883" i="5"/>
  <c r="O1884" i="5"/>
  <c r="O1885" i="5"/>
  <c r="O1886" i="5"/>
  <c r="O1887" i="5"/>
  <c r="O1888" i="5"/>
  <c r="O1889" i="5"/>
  <c r="O1890" i="5"/>
  <c r="O1891" i="5"/>
  <c r="O1892" i="5"/>
  <c r="O1893" i="5"/>
  <c r="O1894" i="5"/>
  <c r="O1895" i="5"/>
  <c r="O1896" i="5"/>
  <c r="O1897" i="5"/>
  <c r="O1898" i="5"/>
  <c r="O1899" i="5"/>
  <c r="O1900" i="5"/>
  <c r="O1901" i="5"/>
  <c r="O1902" i="5"/>
  <c r="O1903" i="5"/>
  <c r="O1904" i="5"/>
  <c r="O1905" i="5"/>
  <c r="O1906" i="5"/>
  <c r="O1907" i="5"/>
  <c r="O1908" i="5"/>
  <c r="O1909" i="5"/>
  <c r="O1910" i="5"/>
  <c r="O1911" i="5"/>
  <c r="O1912" i="5"/>
  <c r="O1913" i="5"/>
  <c r="O1914" i="5"/>
  <c r="O1915" i="5"/>
  <c r="O1916" i="5"/>
  <c r="O1917" i="5"/>
  <c r="O1918" i="5"/>
  <c r="O1919" i="5"/>
  <c r="O1920" i="5"/>
  <c r="O1921" i="5"/>
  <c r="O1922" i="5"/>
  <c r="O1923" i="5"/>
  <c r="O1924" i="5"/>
  <c r="O1925" i="5"/>
  <c r="O1926" i="5"/>
  <c r="O1927" i="5"/>
  <c r="O1928" i="5"/>
  <c r="O1929" i="5"/>
  <c r="O1930" i="5"/>
  <c r="O1931" i="5"/>
  <c r="O1932" i="5"/>
  <c r="O1933" i="5"/>
  <c r="O1934" i="5"/>
  <c r="O1935" i="5"/>
  <c r="O1936" i="5"/>
  <c r="O1937" i="5"/>
  <c r="O1938" i="5"/>
  <c r="O1939" i="5"/>
  <c r="O1940" i="5"/>
  <c r="O1941" i="5"/>
  <c r="O1942" i="5"/>
  <c r="O1943" i="5"/>
  <c r="O1944" i="5"/>
  <c r="O1945" i="5"/>
  <c r="O1946" i="5"/>
  <c r="O1947" i="5"/>
  <c r="O1948" i="5"/>
  <c r="O1949" i="5"/>
  <c r="O1950" i="5"/>
  <c r="O1951" i="5"/>
  <c r="O1952" i="5"/>
  <c r="O1953" i="5"/>
  <c r="O1954" i="5"/>
  <c r="O1955" i="5"/>
  <c r="O1956" i="5"/>
  <c r="O1957" i="5"/>
  <c r="O1958" i="5"/>
  <c r="O1959" i="5"/>
  <c r="O1960" i="5"/>
  <c r="O1961" i="5"/>
  <c r="O1962" i="5"/>
  <c r="O1963" i="5"/>
  <c r="O1964" i="5"/>
  <c r="O1965" i="5"/>
  <c r="O1966" i="5"/>
  <c r="O1967" i="5"/>
  <c r="O1968" i="5"/>
  <c r="O1969" i="5"/>
  <c r="O1970" i="5"/>
  <c r="O1971" i="5"/>
  <c r="O1972" i="5"/>
  <c r="O1973" i="5"/>
  <c r="O1974" i="5"/>
  <c r="O1975" i="5"/>
  <c r="O1976" i="5"/>
  <c r="O1977" i="5"/>
  <c r="O1978" i="5"/>
  <c r="O1979" i="5"/>
  <c r="O1980" i="5"/>
  <c r="O1981" i="5"/>
  <c r="O1982" i="5"/>
  <c r="O1983" i="5"/>
  <c r="O1984" i="5"/>
  <c r="O1985" i="5"/>
  <c r="O1986" i="5"/>
  <c r="O1987" i="5"/>
  <c r="O1988" i="5"/>
  <c r="O1989" i="5"/>
  <c r="O1990" i="5"/>
  <c r="O1991" i="5"/>
  <c r="O1992" i="5"/>
  <c r="O1993" i="5"/>
  <c r="O1994" i="5"/>
  <c r="O1995" i="5"/>
  <c r="O1996" i="5"/>
  <c r="O1997" i="5"/>
  <c r="O1998" i="5"/>
  <c r="O1999" i="5"/>
  <c r="O2000" i="5"/>
  <c r="O2001" i="5"/>
  <c r="O2002" i="5"/>
  <c r="O2003" i="5"/>
  <c r="O2004" i="5"/>
  <c r="O2005" i="5"/>
  <c r="O2006" i="5"/>
  <c r="O2007" i="5"/>
  <c r="O2008" i="5"/>
  <c r="O2009" i="5"/>
  <c r="O2010" i="5"/>
  <c r="O2011" i="5"/>
  <c r="O2012" i="5"/>
  <c r="O2013" i="5"/>
  <c r="O2014" i="5"/>
  <c r="O2015" i="5"/>
  <c r="O2016" i="5"/>
  <c r="O2017" i="5"/>
  <c r="O2018" i="5"/>
  <c r="O2019" i="5"/>
  <c r="O2020" i="5"/>
  <c r="O2021" i="5"/>
  <c r="O2022" i="5"/>
  <c r="O2023" i="5"/>
  <c r="O2024" i="5"/>
  <c r="O2025" i="5"/>
  <c r="O2026" i="5"/>
  <c r="O2027" i="5"/>
  <c r="O2028" i="5"/>
  <c r="O2029" i="5"/>
  <c r="O2030" i="5"/>
  <c r="O2031" i="5"/>
  <c r="O2032" i="5"/>
  <c r="O2033" i="5"/>
  <c r="O2034" i="5"/>
  <c r="O2035" i="5"/>
  <c r="O2036" i="5"/>
  <c r="O2037" i="5"/>
  <c r="O2038" i="5"/>
  <c r="O2039" i="5"/>
  <c r="O2040" i="5"/>
  <c r="O2041" i="5"/>
  <c r="O2042" i="5"/>
  <c r="O2043" i="5"/>
  <c r="O2044" i="5"/>
  <c r="O2045" i="5"/>
  <c r="O2046" i="5"/>
  <c r="O2047" i="5"/>
  <c r="O2048" i="5"/>
  <c r="O2049" i="5"/>
  <c r="O2050" i="5"/>
  <c r="O2051" i="5"/>
  <c r="O2052" i="5"/>
  <c r="O2053" i="5"/>
  <c r="O2054" i="5"/>
  <c r="O2055" i="5"/>
  <c r="O2056" i="5"/>
  <c r="O2057" i="5"/>
  <c r="O2058" i="5"/>
  <c r="O2059" i="5"/>
  <c r="O2060" i="5"/>
  <c r="O2061" i="5"/>
  <c r="O2062" i="5"/>
  <c r="O2063" i="5"/>
  <c r="O2064" i="5"/>
  <c r="O2065" i="5"/>
  <c r="O2066" i="5"/>
  <c r="O2067" i="5"/>
  <c r="O2068" i="5"/>
  <c r="O2069" i="5"/>
  <c r="O2070" i="5"/>
  <c r="O2071" i="5"/>
  <c r="O2072" i="5"/>
  <c r="O2073" i="5"/>
  <c r="O2074" i="5"/>
  <c r="O2075" i="5"/>
  <c r="O2076" i="5"/>
  <c r="O2077" i="5"/>
  <c r="O2078" i="5"/>
  <c r="O2079" i="5"/>
  <c r="O2080" i="5"/>
  <c r="O2081" i="5"/>
  <c r="O2082" i="5"/>
  <c r="O2083" i="5"/>
  <c r="O2084" i="5"/>
  <c r="O2085" i="5"/>
  <c r="O2086" i="5"/>
  <c r="O2087" i="5"/>
  <c r="O2088" i="5"/>
  <c r="O2089" i="5"/>
  <c r="O2090" i="5"/>
  <c r="O2091" i="5"/>
  <c r="O2092" i="5"/>
  <c r="O2093" i="5"/>
  <c r="O2094" i="5"/>
  <c r="O2095" i="5"/>
  <c r="O2096" i="5"/>
  <c r="O2097" i="5"/>
  <c r="O2098" i="5"/>
  <c r="O2099" i="5"/>
  <c r="O2100" i="5"/>
  <c r="O2101" i="5"/>
  <c r="O2102" i="5"/>
  <c r="O2103" i="5"/>
  <c r="O2104" i="5"/>
  <c r="O2105" i="5"/>
  <c r="O2106" i="5"/>
  <c r="O2107" i="5"/>
  <c r="O2108" i="5"/>
  <c r="O2109" i="5"/>
  <c r="O2110" i="5"/>
  <c r="O2111" i="5"/>
  <c r="O2112" i="5"/>
  <c r="O2113" i="5"/>
  <c r="O2114" i="5"/>
  <c r="O2115" i="5"/>
  <c r="O2116" i="5"/>
  <c r="O2117" i="5"/>
  <c r="O2118" i="5"/>
  <c r="O2119" i="5"/>
  <c r="O2120" i="5"/>
  <c r="O2121" i="5"/>
  <c r="O2122" i="5"/>
  <c r="O2123" i="5"/>
  <c r="O2124" i="5"/>
  <c r="O2125" i="5"/>
  <c r="O2126" i="5"/>
  <c r="O2127" i="5"/>
  <c r="O2128" i="5"/>
  <c r="O2129" i="5"/>
  <c r="O2130" i="5"/>
  <c r="O2131" i="5"/>
  <c r="O2132" i="5"/>
  <c r="O2133" i="5"/>
  <c r="O2134" i="5"/>
  <c r="O2135" i="5"/>
  <c r="O2136" i="5"/>
  <c r="O2137" i="5"/>
  <c r="O2138" i="5"/>
  <c r="O2139" i="5"/>
  <c r="O2140" i="5"/>
  <c r="O2141" i="5"/>
  <c r="O2142" i="5"/>
  <c r="O2143" i="5"/>
  <c r="O2144" i="5"/>
  <c r="O2145" i="5"/>
  <c r="O2146" i="5"/>
  <c r="O2147" i="5"/>
  <c r="O2148" i="5"/>
  <c r="O2149" i="5"/>
  <c r="O2150" i="5"/>
  <c r="O2151" i="5"/>
  <c r="O2152" i="5"/>
  <c r="O2153" i="5"/>
  <c r="O2154" i="5"/>
  <c r="O2155" i="5"/>
  <c r="O2156" i="5"/>
  <c r="O2157" i="5"/>
  <c r="O2158" i="5"/>
  <c r="O2159" i="5"/>
  <c r="O2160" i="5"/>
  <c r="O2161" i="5"/>
  <c r="O2162" i="5"/>
  <c r="O2163" i="5"/>
  <c r="O2164" i="5"/>
  <c r="O2165" i="5"/>
  <c r="O2166" i="5"/>
  <c r="O2167" i="5"/>
  <c r="O2168" i="5"/>
  <c r="O2169" i="5"/>
  <c r="O2170" i="5"/>
  <c r="O2171" i="5"/>
  <c r="O2172" i="5"/>
  <c r="O2173" i="5"/>
  <c r="O2174" i="5"/>
  <c r="O2175" i="5"/>
  <c r="O2176" i="5"/>
  <c r="O2177" i="5"/>
  <c r="O2178" i="5"/>
  <c r="O2179" i="5"/>
  <c r="O2180" i="5"/>
  <c r="O2181" i="5"/>
  <c r="O2182" i="5"/>
  <c r="O2183" i="5"/>
  <c r="O2184" i="5"/>
  <c r="O2185" i="5"/>
  <c r="O2186" i="5"/>
  <c r="O2187" i="5"/>
  <c r="O2188" i="5"/>
  <c r="O2189" i="5"/>
  <c r="O2190" i="5"/>
  <c r="O2191" i="5"/>
  <c r="O2192" i="5"/>
  <c r="O2193" i="5"/>
  <c r="O2194" i="5"/>
  <c r="O2195" i="5"/>
  <c r="O2196" i="5"/>
  <c r="O2197" i="5"/>
  <c r="O2198" i="5"/>
  <c r="O2199" i="5"/>
  <c r="O2200" i="5"/>
  <c r="O2201" i="5"/>
  <c r="O2202" i="5"/>
  <c r="O2203" i="5"/>
  <c r="O2204" i="5"/>
  <c r="O2205" i="5"/>
  <c r="O2206" i="5"/>
  <c r="O2207" i="5"/>
  <c r="O2208" i="5"/>
  <c r="O2209" i="5"/>
  <c r="O2210" i="5"/>
  <c r="O2211" i="5"/>
  <c r="O2212" i="5"/>
  <c r="O2213" i="5"/>
  <c r="O2214" i="5"/>
  <c r="O2215" i="5"/>
  <c r="O2216" i="5"/>
  <c r="O2217" i="5"/>
  <c r="O2218" i="5"/>
  <c r="O2219" i="5"/>
  <c r="O2220" i="5"/>
  <c r="O2221" i="5"/>
  <c r="O2222" i="5"/>
  <c r="O2223" i="5"/>
  <c r="O2224" i="5"/>
  <c r="O2225" i="5"/>
  <c r="O2226" i="5"/>
  <c r="O2227" i="5"/>
  <c r="O2228" i="5"/>
  <c r="O2229" i="5"/>
  <c r="O2230" i="5"/>
  <c r="O2231" i="5"/>
  <c r="O2232" i="5"/>
  <c r="O2233" i="5"/>
  <c r="O2234" i="5"/>
  <c r="O2235" i="5"/>
  <c r="O2236" i="5"/>
  <c r="O2237" i="5"/>
  <c r="O2238" i="5"/>
  <c r="O2239" i="5"/>
  <c r="O2240" i="5"/>
  <c r="O2241" i="5"/>
  <c r="O2242" i="5"/>
  <c r="O2243" i="5"/>
  <c r="O2244" i="5"/>
  <c r="O2245" i="5"/>
  <c r="O2246" i="5"/>
  <c r="O2247" i="5"/>
  <c r="O2248" i="5"/>
  <c r="O2249" i="5"/>
  <c r="O2250" i="5"/>
  <c r="O2251" i="5"/>
  <c r="O2252" i="5"/>
  <c r="O2253" i="5"/>
  <c r="O2254" i="5"/>
  <c r="O2255" i="5"/>
  <c r="O2256" i="5"/>
  <c r="O2257" i="5"/>
  <c r="O2258" i="5"/>
  <c r="O2259" i="5"/>
  <c r="O2260" i="5"/>
  <c r="O2261" i="5"/>
  <c r="O2262" i="5"/>
  <c r="O2263" i="5"/>
  <c r="O2264" i="5"/>
  <c r="O2265" i="5"/>
  <c r="O2266" i="5"/>
  <c r="O2267" i="5"/>
  <c r="O2268" i="5"/>
  <c r="O2269" i="5"/>
  <c r="O2270" i="5"/>
  <c r="O2271" i="5"/>
  <c r="O2272" i="5"/>
  <c r="O2273" i="5"/>
  <c r="O2274" i="5"/>
  <c r="O2275" i="5"/>
  <c r="O2276" i="5"/>
  <c r="O2277" i="5"/>
  <c r="O2278" i="5"/>
  <c r="O2279" i="5"/>
  <c r="O2280" i="5"/>
  <c r="O2281" i="5"/>
  <c r="O2282" i="5"/>
  <c r="O2283" i="5"/>
  <c r="O2284" i="5"/>
  <c r="O2285" i="5"/>
  <c r="O2286" i="5"/>
  <c r="O2287" i="5"/>
  <c r="O2288" i="5"/>
  <c r="O2289" i="5"/>
  <c r="O2290" i="5"/>
  <c r="O2291" i="5"/>
  <c r="O2292" i="5"/>
  <c r="O2293" i="5"/>
  <c r="O2294" i="5"/>
  <c r="O2295" i="5"/>
  <c r="O2296" i="5"/>
  <c r="O2297" i="5"/>
  <c r="O2298" i="5"/>
  <c r="O2299" i="5"/>
  <c r="O2300" i="5"/>
  <c r="O2301" i="5"/>
  <c r="O2302" i="5"/>
  <c r="O2303" i="5"/>
  <c r="O2304" i="5"/>
  <c r="O2305" i="5"/>
  <c r="O2306" i="5"/>
  <c r="O2307" i="5"/>
  <c r="O2308" i="5"/>
  <c r="O2309" i="5"/>
  <c r="O2310" i="5"/>
  <c r="O2311" i="5"/>
  <c r="O2312" i="5"/>
  <c r="O2313" i="5"/>
  <c r="O2314" i="5"/>
  <c r="O2315" i="5"/>
  <c r="O2316" i="5"/>
  <c r="O2317" i="5"/>
  <c r="O2318" i="5"/>
  <c r="O2319" i="5"/>
  <c r="O2320" i="5"/>
  <c r="O2321" i="5"/>
  <c r="O2322" i="5"/>
  <c r="O2323" i="5"/>
  <c r="O2324" i="5"/>
  <c r="O2325" i="5"/>
  <c r="O2326" i="5"/>
  <c r="O2327" i="5"/>
  <c r="O2328" i="5"/>
  <c r="O2329" i="5"/>
  <c r="O2330" i="5"/>
  <c r="O2331" i="5"/>
  <c r="O2332" i="5"/>
  <c r="O2333" i="5"/>
  <c r="O2334" i="5"/>
  <c r="O2335" i="5"/>
  <c r="O2336" i="5"/>
  <c r="O2337" i="5"/>
  <c r="O2338" i="5"/>
  <c r="O2339" i="5"/>
  <c r="O2340" i="5"/>
  <c r="O2341" i="5"/>
  <c r="O2342" i="5"/>
  <c r="O2343" i="5"/>
  <c r="O2344" i="5"/>
  <c r="O2345" i="5"/>
  <c r="O2346" i="5"/>
  <c r="O2347" i="5"/>
  <c r="O2348" i="5"/>
  <c r="O2349" i="5"/>
  <c r="O2350" i="5"/>
  <c r="O2351" i="5"/>
  <c r="O2352" i="5"/>
  <c r="O2353" i="5"/>
  <c r="O2354" i="5"/>
  <c r="O2355" i="5"/>
  <c r="O2356" i="5"/>
  <c r="O2357" i="5"/>
  <c r="O2358" i="5"/>
  <c r="O2359" i="5"/>
  <c r="O2360" i="5"/>
  <c r="O2361" i="5"/>
  <c r="O2362" i="5"/>
  <c r="O2363" i="5"/>
  <c r="O2364" i="5"/>
  <c r="O2365" i="5"/>
  <c r="O2366" i="5"/>
  <c r="O2367" i="5"/>
  <c r="O2368" i="5"/>
  <c r="O2369" i="5"/>
  <c r="O2370" i="5"/>
  <c r="O2371" i="5"/>
  <c r="O2372" i="5"/>
  <c r="O2373" i="5"/>
  <c r="O2374" i="5"/>
  <c r="O2375" i="5"/>
  <c r="O2376" i="5"/>
  <c r="O2377" i="5"/>
  <c r="O2378" i="5"/>
  <c r="O2379" i="5"/>
  <c r="O2380" i="5"/>
  <c r="O2381" i="5"/>
  <c r="O2382" i="5"/>
  <c r="O2383" i="5"/>
  <c r="O2384" i="5"/>
  <c r="O2385" i="5"/>
  <c r="O2386" i="5"/>
  <c r="O2387" i="5"/>
  <c r="O2388" i="5"/>
  <c r="O2389" i="5"/>
  <c r="O2390" i="5"/>
  <c r="O2391" i="5"/>
  <c r="O2392" i="5"/>
  <c r="O2393" i="5"/>
  <c r="O2394" i="5"/>
  <c r="O2395" i="5"/>
  <c r="O2396" i="5"/>
  <c r="O2397" i="5"/>
  <c r="O2398" i="5"/>
  <c r="O2399" i="5"/>
  <c r="O2400" i="5"/>
  <c r="O2401" i="5"/>
  <c r="O2402" i="5"/>
  <c r="O2403" i="5"/>
  <c r="O2404" i="5"/>
  <c r="O2405" i="5"/>
  <c r="O2406" i="5"/>
  <c r="O2407" i="5"/>
  <c r="O2408" i="5"/>
  <c r="O2409" i="5"/>
  <c r="O2410" i="5"/>
  <c r="O2411" i="5"/>
  <c r="O2412" i="5"/>
  <c r="O2413" i="5"/>
  <c r="O2414" i="5"/>
  <c r="O2415" i="5"/>
  <c r="O2416" i="5"/>
  <c r="O2417" i="5"/>
  <c r="O2418" i="5"/>
  <c r="O2419" i="5"/>
  <c r="O2420" i="5"/>
  <c r="O2421" i="5"/>
  <c r="O2422" i="5"/>
  <c r="O2423" i="5"/>
  <c r="O2424" i="5"/>
  <c r="O2425" i="5"/>
  <c r="O2426" i="5"/>
  <c r="O2427" i="5"/>
  <c r="O2428" i="5"/>
  <c r="O2429" i="5"/>
  <c r="O2430" i="5"/>
  <c r="O2431" i="5"/>
  <c r="O2432" i="5"/>
  <c r="O2433" i="5"/>
  <c r="O2434" i="5"/>
  <c r="O2435" i="5"/>
  <c r="O2436" i="5"/>
  <c r="O2437" i="5"/>
  <c r="O2438" i="5"/>
  <c r="O2439" i="5"/>
  <c r="O2440" i="5"/>
  <c r="O2441" i="5"/>
  <c r="O2442" i="5"/>
  <c r="O2443" i="5"/>
  <c r="O2444" i="5"/>
  <c r="O2445" i="5"/>
  <c r="O2446" i="5"/>
  <c r="O2447" i="5"/>
  <c r="O2448" i="5"/>
  <c r="O2449" i="5"/>
  <c r="O2450" i="5"/>
  <c r="O2451" i="5"/>
  <c r="O2452" i="5"/>
  <c r="O2453" i="5"/>
  <c r="O2454" i="5"/>
  <c r="O2455" i="5"/>
  <c r="O2456" i="5"/>
  <c r="O2457" i="5"/>
  <c r="O2458" i="5"/>
  <c r="O2459" i="5"/>
  <c r="O2460" i="5"/>
  <c r="O2461" i="5"/>
  <c r="O2462" i="5"/>
  <c r="O2463" i="5"/>
  <c r="O2464" i="5"/>
  <c r="O2465" i="5"/>
  <c r="O2466" i="5"/>
  <c r="O2467" i="5"/>
  <c r="O2468" i="5"/>
  <c r="O2469" i="5"/>
  <c r="O2470" i="5"/>
  <c r="O2471" i="5"/>
  <c r="O2472" i="5"/>
  <c r="O2473" i="5"/>
  <c r="O2474" i="5"/>
  <c r="O2475" i="5"/>
  <c r="O2476" i="5"/>
  <c r="O2477" i="5"/>
  <c r="O2478" i="5"/>
  <c r="O2479" i="5"/>
  <c r="O2480" i="5"/>
  <c r="O2481" i="5"/>
  <c r="O2482" i="5"/>
  <c r="O2483" i="5"/>
  <c r="O2484" i="5"/>
  <c r="O2485" i="5"/>
  <c r="O2486" i="5"/>
  <c r="O2487" i="5"/>
  <c r="O2488" i="5"/>
  <c r="O2489" i="5"/>
  <c r="O2490" i="5"/>
  <c r="O2491" i="5"/>
  <c r="O2492" i="5"/>
  <c r="O2493" i="5"/>
  <c r="O2494" i="5"/>
  <c r="O2495" i="5"/>
  <c r="O2496" i="5"/>
  <c r="O2497" i="5"/>
  <c r="O2498" i="5"/>
  <c r="O2499" i="5"/>
  <c r="O2500" i="5"/>
  <c r="O2501" i="5"/>
  <c r="O2502" i="5"/>
  <c r="O2503" i="5"/>
  <c r="O2504" i="5"/>
  <c r="O2505" i="5"/>
  <c r="O2506" i="5"/>
  <c r="O2507" i="5"/>
  <c r="O2508" i="5"/>
  <c r="O2509" i="5"/>
  <c r="O2510" i="5"/>
  <c r="O2511" i="5"/>
  <c r="O2512" i="5"/>
  <c r="O2513" i="5"/>
  <c r="O2514" i="5"/>
  <c r="O2515" i="5"/>
  <c r="O2516" i="5"/>
  <c r="O2517" i="5"/>
  <c r="O2518" i="5"/>
  <c r="O2519" i="5"/>
  <c r="O2520" i="5"/>
  <c r="O2521" i="5"/>
  <c r="O2522" i="5"/>
  <c r="O2523" i="5"/>
  <c r="O2524" i="5"/>
  <c r="O2525" i="5"/>
  <c r="O2526" i="5"/>
  <c r="O2527" i="5"/>
  <c r="O2528" i="5"/>
  <c r="O2529" i="5"/>
  <c r="O2530" i="5"/>
  <c r="O2531" i="5"/>
  <c r="O2532" i="5"/>
  <c r="O2533" i="5"/>
  <c r="O2534" i="5"/>
  <c r="O2535" i="5"/>
  <c r="O2536" i="5"/>
  <c r="O2537" i="5"/>
  <c r="O2538" i="5"/>
  <c r="O2539" i="5"/>
  <c r="O2540" i="5"/>
  <c r="O2541" i="5"/>
  <c r="O2542" i="5"/>
  <c r="O2543" i="5"/>
  <c r="O2544" i="5"/>
  <c r="O2545" i="5"/>
  <c r="O2546" i="5"/>
  <c r="O2547" i="5"/>
  <c r="O2548" i="5"/>
  <c r="O2549" i="5"/>
  <c r="O2550" i="5"/>
  <c r="O2551" i="5"/>
  <c r="O2552" i="5"/>
  <c r="O2553" i="5"/>
  <c r="O2554" i="5"/>
  <c r="O2555" i="5"/>
  <c r="O2556" i="5"/>
  <c r="O2557" i="5"/>
  <c r="O2558" i="5"/>
  <c r="O2559" i="5"/>
  <c r="O2560" i="5"/>
  <c r="O2561" i="5"/>
  <c r="O2562" i="5"/>
  <c r="O2563" i="5"/>
  <c r="O2564" i="5"/>
  <c r="O2565" i="5"/>
  <c r="O2566" i="5"/>
  <c r="O2567" i="5"/>
  <c r="O2568" i="5"/>
  <c r="O2569" i="5"/>
  <c r="O2570" i="5"/>
  <c r="O2571" i="5"/>
  <c r="O2572" i="5"/>
  <c r="O2573" i="5"/>
  <c r="O2574" i="5"/>
  <c r="O2575" i="5"/>
  <c r="O2576" i="5"/>
  <c r="O2577" i="5"/>
  <c r="O2578" i="5"/>
  <c r="O2579" i="5"/>
  <c r="O2580" i="5"/>
  <c r="O2581" i="5"/>
  <c r="O2582" i="5"/>
  <c r="O2583" i="5"/>
  <c r="O2584" i="5"/>
  <c r="O2585" i="5"/>
  <c r="O2586" i="5"/>
  <c r="O2587" i="5"/>
  <c r="O2588" i="5"/>
  <c r="O2589" i="5"/>
  <c r="O2590" i="5"/>
  <c r="O2591" i="5"/>
  <c r="O2592" i="5"/>
  <c r="O2593" i="5"/>
  <c r="O2594" i="5"/>
  <c r="O2595" i="5"/>
  <c r="O2596" i="5"/>
  <c r="O2597" i="5"/>
  <c r="O2598" i="5"/>
  <c r="O2599" i="5"/>
  <c r="O2600" i="5"/>
  <c r="O2601" i="5"/>
  <c r="O2602" i="5"/>
  <c r="O2603" i="5"/>
  <c r="O2604" i="5"/>
  <c r="O2605" i="5"/>
  <c r="O2606" i="5"/>
  <c r="O2607" i="5"/>
  <c r="O2608" i="5"/>
  <c r="O2609" i="5"/>
  <c r="O2610" i="5"/>
  <c r="O2611" i="5"/>
  <c r="O2612" i="5"/>
  <c r="O2613" i="5"/>
  <c r="O2614" i="5"/>
  <c r="O2615" i="5"/>
  <c r="O2616" i="5"/>
  <c r="O2617" i="5"/>
  <c r="O2618" i="5"/>
  <c r="O2619" i="5"/>
  <c r="O2620" i="5"/>
  <c r="O2621" i="5"/>
  <c r="O2622" i="5"/>
  <c r="O2623" i="5"/>
  <c r="O2624" i="5"/>
  <c r="O2625" i="5"/>
  <c r="O2626" i="5"/>
  <c r="O2627" i="5"/>
  <c r="O2628" i="5"/>
  <c r="O2629" i="5"/>
  <c r="O2630" i="5"/>
  <c r="O2631" i="5"/>
  <c r="O2632" i="5"/>
  <c r="O2633" i="5"/>
  <c r="O2634" i="5"/>
  <c r="O2635" i="5"/>
  <c r="O2636" i="5"/>
  <c r="O2637" i="5"/>
  <c r="O2638" i="5"/>
  <c r="O2639" i="5"/>
  <c r="O2640" i="5"/>
  <c r="O2641" i="5"/>
  <c r="O2642" i="5"/>
  <c r="O2643" i="5"/>
  <c r="O2644" i="5"/>
  <c r="O2645" i="5"/>
  <c r="O2646" i="5"/>
  <c r="O2647" i="5"/>
  <c r="O2648" i="5"/>
  <c r="O2649" i="5"/>
  <c r="O2650" i="5"/>
  <c r="O2651" i="5"/>
  <c r="O2652" i="5"/>
  <c r="O2653" i="5"/>
  <c r="O2654" i="5"/>
  <c r="O2655" i="5"/>
  <c r="O2656" i="5"/>
  <c r="O2657" i="5"/>
  <c r="O2658" i="5"/>
  <c r="O2659" i="5"/>
  <c r="O2660" i="5"/>
  <c r="O2661" i="5"/>
  <c r="O2662" i="5"/>
  <c r="O2663" i="5"/>
  <c r="O2664" i="5"/>
  <c r="O2665" i="5"/>
  <c r="O2666" i="5"/>
  <c r="O2667" i="5"/>
  <c r="O2668" i="5"/>
  <c r="O2669" i="5"/>
  <c r="O2670" i="5"/>
  <c r="O2671" i="5"/>
  <c r="O2672" i="5"/>
  <c r="O2673" i="5"/>
  <c r="O2674" i="5"/>
  <c r="O2675" i="5"/>
  <c r="O2676" i="5"/>
  <c r="O2677" i="5"/>
  <c r="O2678" i="5"/>
  <c r="O2679" i="5"/>
  <c r="O2680" i="5"/>
  <c r="O2681" i="5"/>
  <c r="O2682" i="5"/>
  <c r="O2683" i="5"/>
  <c r="O2684" i="5"/>
  <c r="O2685" i="5"/>
  <c r="O2686" i="5"/>
  <c r="O2687" i="5"/>
  <c r="O2688" i="5"/>
  <c r="O2689" i="5"/>
  <c r="O2690" i="5"/>
  <c r="O2691" i="5"/>
  <c r="O2692" i="5"/>
  <c r="O2693" i="5"/>
  <c r="O2694" i="5"/>
  <c r="O2695" i="5"/>
  <c r="O2696" i="5"/>
  <c r="O2697" i="5"/>
  <c r="O2698" i="5"/>
  <c r="O2699" i="5"/>
  <c r="O2700" i="5"/>
  <c r="O2701" i="5"/>
  <c r="O2702" i="5"/>
  <c r="O2703" i="5"/>
  <c r="O2704" i="5"/>
  <c r="O2705" i="5"/>
  <c r="O2706" i="5"/>
  <c r="O2707" i="5"/>
  <c r="O2708" i="5"/>
  <c r="O2709" i="5"/>
  <c r="O2710" i="5"/>
  <c r="O2711" i="5"/>
  <c r="O2712" i="5"/>
  <c r="O2713" i="5"/>
  <c r="O2714" i="5"/>
  <c r="O2715" i="5"/>
  <c r="O2716" i="5"/>
  <c r="O2717" i="5"/>
  <c r="O2718" i="5"/>
  <c r="O2719" i="5"/>
  <c r="O2720" i="5"/>
  <c r="O2721" i="5"/>
  <c r="O2722" i="5"/>
  <c r="O2723" i="5"/>
  <c r="O2724" i="5"/>
  <c r="O2725" i="5"/>
  <c r="O2726" i="5"/>
  <c r="O2727" i="5"/>
  <c r="O2728" i="5"/>
  <c r="O2729" i="5"/>
  <c r="O2730" i="5"/>
  <c r="O2731" i="5"/>
  <c r="O2732" i="5"/>
  <c r="O2733" i="5"/>
  <c r="O2734" i="5"/>
  <c r="O2735" i="5"/>
  <c r="O2736" i="5"/>
  <c r="O2737" i="5"/>
  <c r="O2738" i="5"/>
  <c r="O2739" i="5"/>
  <c r="O2740" i="5"/>
  <c r="O2741" i="5"/>
  <c r="O2742" i="5"/>
  <c r="O2743" i="5"/>
  <c r="O2744" i="5"/>
  <c r="O2745" i="5"/>
  <c r="O2746" i="5"/>
  <c r="O2747" i="5"/>
  <c r="O2748" i="5"/>
  <c r="O2749" i="5"/>
  <c r="O2750" i="5"/>
  <c r="O2751" i="5"/>
  <c r="O2752" i="5"/>
  <c r="O2753" i="5"/>
  <c r="O2754" i="5"/>
  <c r="O2755" i="5"/>
  <c r="O2756" i="5"/>
  <c r="O2757" i="5"/>
  <c r="O2758" i="5"/>
  <c r="O2759" i="5"/>
  <c r="O2760" i="5"/>
  <c r="O2761" i="5"/>
  <c r="O2762" i="5"/>
  <c r="O2763" i="5"/>
  <c r="O2764" i="5"/>
  <c r="O2765" i="5"/>
  <c r="O2766" i="5"/>
  <c r="O2767" i="5"/>
  <c r="O2768" i="5"/>
  <c r="O2769" i="5"/>
  <c r="O2770" i="5"/>
  <c r="O2771" i="5"/>
  <c r="O2772" i="5"/>
  <c r="O2773" i="5"/>
  <c r="O2774" i="5"/>
  <c r="O2775" i="5"/>
  <c r="O2776" i="5"/>
  <c r="O2777" i="5"/>
  <c r="O2778" i="5"/>
  <c r="O2779" i="5"/>
  <c r="O2780" i="5"/>
  <c r="O2781" i="5"/>
  <c r="O2782" i="5"/>
  <c r="O2783" i="5"/>
  <c r="O2784" i="5"/>
  <c r="O2785" i="5"/>
  <c r="O2786" i="5"/>
  <c r="O2787" i="5"/>
  <c r="O2788" i="5"/>
  <c r="O2789" i="5"/>
  <c r="O2790" i="5"/>
  <c r="O2791" i="5"/>
  <c r="O2792" i="5"/>
  <c r="O2793" i="5"/>
  <c r="O2794" i="5"/>
  <c r="O2795" i="5"/>
  <c r="O2796" i="5"/>
  <c r="O2797" i="5"/>
  <c r="O2798" i="5"/>
  <c r="O2799" i="5"/>
  <c r="O2800" i="5"/>
  <c r="O2801" i="5"/>
  <c r="O2802" i="5"/>
  <c r="O2803" i="5"/>
  <c r="O2804" i="5"/>
  <c r="O2805" i="5"/>
  <c r="O2806" i="5"/>
  <c r="O2807" i="5"/>
  <c r="O2808" i="5"/>
  <c r="O2809" i="5"/>
  <c r="O2810" i="5"/>
  <c r="O2811" i="5"/>
  <c r="O2812" i="5"/>
  <c r="O2813" i="5"/>
  <c r="O2814" i="5"/>
  <c r="O2815" i="5"/>
  <c r="O2816" i="5"/>
  <c r="O2817" i="5"/>
  <c r="O2818" i="5"/>
  <c r="O2819" i="5"/>
  <c r="O2820" i="5"/>
  <c r="O2821" i="5"/>
  <c r="O2822" i="5"/>
  <c r="O2823" i="5"/>
  <c r="O2824" i="5"/>
  <c r="O2825" i="5"/>
  <c r="O2826" i="5"/>
  <c r="O2827" i="5"/>
  <c r="O2828" i="5"/>
  <c r="O2829" i="5"/>
  <c r="O2830" i="5"/>
  <c r="O2831" i="5"/>
  <c r="O2832" i="5"/>
  <c r="O2833" i="5"/>
  <c r="O2834" i="5"/>
  <c r="O2835" i="5"/>
  <c r="O2836" i="5"/>
  <c r="O2837" i="5"/>
  <c r="O2838" i="5"/>
  <c r="O2839" i="5"/>
  <c r="O2840" i="5"/>
  <c r="O2841" i="5"/>
  <c r="O2842" i="5"/>
  <c r="O2843" i="5"/>
  <c r="O2844" i="5"/>
  <c r="O2845" i="5"/>
  <c r="O2846" i="5"/>
  <c r="O2847" i="5"/>
  <c r="O2848" i="5"/>
  <c r="O2849" i="5"/>
  <c r="O2850" i="5"/>
  <c r="O2851" i="5"/>
  <c r="O2852" i="5"/>
  <c r="O2853" i="5"/>
  <c r="O2854" i="5"/>
  <c r="O2855" i="5"/>
  <c r="O2856" i="5"/>
  <c r="O2857" i="5"/>
  <c r="O2858" i="5"/>
  <c r="O2859" i="5"/>
  <c r="O2860" i="5"/>
  <c r="O2861" i="5"/>
  <c r="O2862" i="5"/>
  <c r="O2863" i="5"/>
  <c r="O2864" i="5"/>
  <c r="O2865" i="5"/>
  <c r="O2866" i="5"/>
  <c r="O2867" i="5"/>
  <c r="O2868" i="5"/>
  <c r="O2869" i="5"/>
  <c r="O2870" i="5"/>
  <c r="O2871" i="5"/>
  <c r="O2872" i="5"/>
  <c r="O2873" i="5"/>
  <c r="O2874" i="5"/>
  <c r="O2875" i="5"/>
  <c r="O2876" i="5"/>
  <c r="O2877" i="5"/>
  <c r="O2878" i="5"/>
  <c r="O2879" i="5"/>
  <c r="O2880" i="5"/>
  <c r="O2881" i="5"/>
  <c r="O2882" i="5"/>
  <c r="O2883" i="5"/>
  <c r="O2884" i="5"/>
  <c r="O2885" i="5"/>
  <c r="O2886" i="5"/>
  <c r="O2887" i="5"/>
  <c r="O2888" i="5"/>
  <c r="O2889" i="5"/>
  <c r="O2890" i="5"/>
  <c r="O2891" i="5"/>
  <c r="O2892" i="5"/>
  <c r="O2893" i="5"/>
  <c r="O2894" i="5"/>
  <c r="O2895" i="5"/>
  <c r="O2896" i="5"/>
  <c r="O2897" i="5"/>
  <c r="O2898" i="5"/>
  <c r="O2899" i="5"/>
  <c r="O2900" i="5"/>
  <c r="O2901" i="5"/>
  <c r="O2902" i="5"/>
  <c r="O2903" i="5"/>
  <c r="O2904" i="5"/>
  <c r="O2905" i="5"/>
  <c r="O2906" i="5"/>
  <c r="O2907" i="5"/>
  <c r="O2908" i="5"/>
  <c r="O2909" i="5"/>
  <c r="O2910" i="5"/>
  <c r="O2911" i="5"/>
  <c r="O2912" i="5"/>
  <c r="O2913" i="5"/>
  <c r="O2914" i="5"/>
  <c r="O2915" i="5"/>
  <c r="O2916" i="5"/>
  <c r="O2917" i="5"/>
  <c r="O2918" i="5"/>
  <c r="O2919" i="5"/>
  <c r="O2920" i="5"/>
  <c r="O2921" i="5"/>
  <c r="O2922" i="5"/>
  <c r="O2923" i="5"/>
  <c r="O2924" i="5"/>
  <c r="O2925" i="5"/>
  <c r="O2926" i="5"/>
  <c r="O2927" i="5"/>
  <c r="O2928" i="5"/>
  <c r="O2929" i="5"/>
  <c r="O2930" i="5"/>
  <c r="O2931" i="5"/>
  <c r="O2932" i="5"/>
  <c r="O2933" i="5"/>
  <c r="O2934" i="5"/>
  <c r="O2935" i="5"/>
  <c r="O2936" i="5"/>
  <c r="O2937" i="5"/>
  <c r="O2938" i="5"/>
  <c r="O2939" i="5"/>
  <c r="O2940" i="5"/>
  <c r="O2941" i="5"/>
  <c r="O2942" i="5"/>
  <c r="O2943" i="5"/>
  <c r="O2944" i="5"/>
  <c r="O2945" i="5"/>
  <c r="O2946" i="5"/>
  <c r="O2947" i="5"/>
  <c r="O2948" i="5"/>
  <c r="O2949" i="5"/>
  <c r="O2950" i="5"/>
  <c r="O2951" i="5"/>
  <c r="O2952" i="5"/>
  <c r="O2953" i="5"/>
  <c r="O2954" i="5"/>
  <c r="O2955" i="5"/>
  <c r="O2956" i="5"/>
  <c r="O2957" i="5"/>
  <c r="O2958" i="5"/>
  <c r="O2959" i="5"/>
  <c r="O2960" i="5"/>
  <c r="O2961" i="5"/>
  <c r="O2962" i="5"/>
  <c r="O2963" i="5"/>
  <c r="O2964" i="5"/>
  <c r="O2965" i="5"/>
  <c r="O2966" i="5"/>
  <c r="O2967" i="5"/>
  <c r="O2968" i="5"/>
  <c r="O2969" i="5"/>
  <c r="O2970" i="5"/>
  <c r="O2971" i="5"/>
  <c r="O2972" i="5"/>
  <c r="O2973" i="5"/>
  <c r="O2974" i="5"/>
  <c r="O2975" i="5"/>
  <c r="O2976" i="5"/>
  <c r="O2977" i="5"/>
  <c r="O2978" i="5"/>
  <c r="O2979" i="5"/>
  <c r="O2980" i="5"/>
  <c r="O2981" i="5"/>
  <c r="O2982" i="5"/>
  <c r="O2983" i="5"/>
  <c r="O2984" i="5"/>
  <c r="O2985" i="5"/>
  <c r="O2986" i="5"/>
  <c r="O2987" i="5"/>
  <c r="O2988" i="5"/>
  <c r="O2989" i="5"/>
  <c r="O2990" i="5"/>
  <c r="O2991" i="5"/>
  <c r="O2992" i="5"/>
  <c r="O2993" i="5"/>
  <c r="O2994" i="5"/>
  <c r="O2995" i="5"/>
  <c r="O2996" i="5"/>
  <c r="O2997" i="5"/>
  <c r="O2998" i="5"/>
  <c r="O2999" i="5"/>
  <c r="O3000" i="5"/>
  <c r="O3001" i="5"/>
  <c r="O3002" i="5"/>
  <c r="O3003" i="5"/>
  <c r="O3004" i="5"/>
  <c r="O3005" i="5"/>
  <c r="O3006" i="5"/>
  <c r="O3007" i="5"/>
  <c r="O3008" i="5"/>
  <c r="O3009" i="5"/>
  <c r="O3010" i="5"/>
  <c r="O3011" i="5"/>
  <c r="O3012" i="5"/>
  <c r="O3013" i="5"/>
  <c r="O3014" i="5"/>
  <c r="O3015" i="5"/>
  <c r="O3016" i="5"/>
  <c r="O3017" i="5"/>
  <c r="O3018" i="5"/>
  <c r="O3019" i="5"/>
  <c r="O3020" i="5"/>
  <c r="O3021" i="5"/>
  <c r="O3022" i="5"/>
  <c r="O3023" i="5"/>
  <c r="O3024" i="5"/>
  <c r="O3025" i="5"/>
  <c r="O3026" i="5"/>
  <c r="O3027" i="5"/>
  <c r="O3028" i="5"/>
  <c r="O3029" i="5"/>
  <c r="O3030" i="5"/>
  <c r="O3031" i="5"/>
  <c r="O3032" i="5"/>
  <c r="O3033" i="5"/>
  <c r="O3034" i="5"/>
  <c r="O3035" i="5"/>
  <c r="O3036" i="5"/>
  <c r="O3037" i="5"/>
  <c r="O3038" i="5"/>
  <c r="O3039" i="5"/>
  <c r="O3040" i="5"/>
  <c r="O3041" i="5"/>
  <c r="O3042" i="5"/>
  <c r="O3043" i="5"/>
  <c r="O3044" i="5"/>
  <c r="O3045" i="5"/>
  <c r="O3046" i="5"/>
  <c r="O3047" i="5"/>
  <c r="O3048" i="5"/>
  <c r="O3049" i="5"/>
  <c r="O3050" i="5"/>
  <c r="O3051" i="5"/>
  <c r="O3052" i="5"/>
  <c r="O3053" i="5"/>
  <c r="O3054" i="5"/>
  <c r="O3055" i="5"/>
  <c r="O3056" i="5"/>
  <c r="O3057" i="5"/>
  <c r="O3058" i="5"/>
  <c r="O3059" i="5"/>
  <c r="O3060" i="5"/>
  <c r="O3061" i="5"/>
  <c r="O3062" i="5"/>
  <c r="O3063" i="5"/>
  <c r="O3064" i="5"/>
  <c r="O3065" i="5"/>
  <c r="O3066" i="5"/>
  <c r="O3067" i="5"/>
  <c r="O3068" i="5"/>
  <c r="O3069" i="5"/>
  <c r="O3070" i="5"/>
  <c r="O3071" i="5"/>
  <c r="O3072" i="5"/>
  <c r="O3073" i="5"/>
  <c r="O3074" i="5"/>
  <c r="O3075" i="5"/>
  <c r="O3076" i="5"/>
  <c r="O3077" i="5"/>
  <c r="O3078" i="5"/>
  <c r="O3079" i="5"/>
  <c r="O3080" i="5"/>
  <c r="O3081" i="5"/>
  <c r="O3082" i="5"/>
  <c r="O3083" i="5"/>
  <c r="O3084" i="5"/>
  <c r="O3085" i="5"/>
  <c r="O3086" i="5"/>
  <c r="O3087" i="5"/>
  <c r="O3088" i="5"/>
  <c r="O3089" i="5"/>
  <c r="O3090" i="5"/>
  <c r="O3091" i="5"/>
  <c r="O3092" i="5"/>
  <c r="O3093" i="5"/>
  <c r="O3094" i="5"/>
  <c r="O3095" i="5"/>
  <c r="O3096" i="5"/>
  <c r="O3097" i="5"/>
  <c r="O3098" i="5"/>
  <c r="O3099" i="5"/>
  <c r="O3100" i="5"/>
  <c r="O3101" i="5"/>
  <c r="O3102" i="5"/>
  <c r="O3103" i="5"/>
  <c r="O3104" i="5"/>
  <c r="O3105" i="5"/>
  <c r="O3106" i="5"/>
  <c r="O3107" i="5"/>
  <c r="O3108" i="5"/>
  <c r="O3109" i="5"/>
  <c r="O3110" i="5"/>
  <c r="O3111" i="5"/>
  <c r="O3112" i="5"/>
  <c r="O3113" i="5"/>
  <c r="O3114" i="5"/>
  <c r="O3115" i="5"/>
  <c r="O3116" i="5"/>
  <c r="O3117" i="5"/>
  <c r="O3118" i="5"/>
  <c r="O3119" i="5"/>
  <c r="O3120" i="5"/>
  <c r="O3121" i="5"/>
  <c r="O3122" i="5"/>
  <c r="O3123" i="5"/>
  <c r="O3124" i="5"/>
  <c r="O3125" i="5"/>
  <c r="O3126" i="5"/>
  <c r="O3127" i="5"/>
  <c r="O3128" i="5"/>
  <c r="O3129" i="5"/>
  <c r="O3130" i="5"/>
  <c r="O3131" i="5"/>
  <c r="O3132" i="5"/>
  <c r="O3133" i="5"/>
  <c r="O3134" i="5"/>
  <c r="O3135" i="5"/>
  <c r="O3136" i="5"/>
  <c r="O3137" i="5"/>
  <c r="O3138" i="5"/>
  <c r="O3139" i="5"/>
  <c r="O3140" i="5"/>
  <c r="O3141" i="5"/>
  <c r="O3142" i="5"/>
  <c r="O3143" i="5"/>
  <c r="O3144" i="5"/>
  <c r="O3145" i="5"/>
  <c r="O3146" i="5"/>
  <c r="O3147" i="5"/>
  <c r="O3148" i="5"/>
  <c r="O3149" i="5"/>
  <c r="O3150" i="5"/>
  <c r="O3151" i="5"/>
  <c r="O3152" i="5"/>
  <c r="O3153" i="5"/>
  <c r="O3154" i="5"/>
  <c r="O3155" i="5"/>
  <c r="O3156" i="5"/>
  <c r="O3157" i="5"/>
  <c r="O3158" i="5"/>
  <c r="O3159" i="5"/>
  <c r="O3160" i="5"/>
  <c r="O3161" i="5"/>
  <c r="O3162" i="5"/>
  <c r="O3163" i="5"/>
  <c r="O3164" i="5"/>
  <c r="O3165" i="5"/>
  <c r="O3166" i="5"/>
  <c r="O3167" i="5"/>
  <c r="O3168" i="5"/>
  <c r="O3169" i="5"/>
  <c r="O3170" i="5"/>
  <c r="O3171" i="5"/>
  <c r="O3172" i="5"/>
  <c r="O3173" i="5"/>
  <c r="O3174" i="5"/>
  <c r="O3175" i="5"/>
  <c r="O3176" i="5"/>
  <c r="O3177" i="5"/>
  <c r="O3178" i="5"/>
  <c r="O3179" i="5"/>
  <c r="O3180" i="5"/>
  <c r="O3181" i="5"/>
  <c r="O3182" i="5"/>
  <c r="O3183" i="5"/>
  <c r="O3184" i="5"/>
  <c r="O3185" i="5"/>
  <c r="O3186" i="5"/>
  <c r="O3187" i="5"/>
  <c r="O3188" i="5"/>
  <c r="O3189" i="5"/>
  <c r="O3190" i="5"/>
  <c r="O3191" i="5"/>
  <c r="O3192" i="5"/>
  <c r="O3193" i="5"/>
  <c r="O3194" i="5"/>
  <c r="O3195" i="5"/>
  <c r="O3196" i="5"/>
  <c r="O3197" i="5"/>
  <c r="O3198" i="5"/>
  <c r="O3199" i="5"/>
  <c r="O3200" i="5"/>
  <c r="O3201" i="5"/>
  <c r="O3202" i="5"/>
  <c r="O3203" i="5"/>
  <c r="O3204" i="5"/>
  <c r="O3205" i="5"/>
  <c r="O3206" i="5"/>
  <c r="O3207" i="5"/>
  <c r="O3208" i="5"/>
  <c r="O3209" i="5"/>
  <c r="O3210" i="5"/>
  <c r="O3211" i="5"/>
  <c r="O3212" i="5"/>
  <c r="O3213" i="5"/>
  <c r="O3214" i="5"/>
  <c r="O3215" i="5"/>
  <c r="O3216" i="5"/>
  <c r="O3217" i="5"/>
  <c r="O3218" i="5"/>
  <c r="O3219" i="5"/>
  <c r="O3220" i="5"/>
  <c r="O3221" i="5"/>
  <c r="O3222" i="5"/>
  <c r="O3223" i="5"/>
  <c r="O3224" i="5"/>
  <c r="O3225" i="5"/>
  <c r="O3226" i="5"/>
  <c r="O3227" i="5"/>
  <c r="O3228" i="5"/>
  <c r="O3229" i="5"/>
  <c r="O3230" i="5"/>
  <c r="O3231" i="5"/>
  <c r="O3232" i="5"/>
  <c r="O3233" i="5"/>
  <c r="O3234" i="5"/>
  <c r="O3235" i="5"/>
  <c r="O3236" i="5"/>
  <c r="O3237" i="5"/>
  <c r="O3238" i="5"/>
  <c r="O3239" i="5"/>
  <c r="O3240" i="5"/>
  <c r="O3241" i="5"/>
  <c r="O3242" i="5"/>
  <c r="O3243" i="5"/>
  <c r="O3244" i="5"/>
  <c r="O3245" i="5"/>
  <c r="O3246" i="5"/>
  <c r="O3247" i="5"/>
  <c r="O3248" i="5"/>
  <c r="O3249" i="5"/>
  <c r="O3250" i="5"/>
  <c r="O3251" i="5"/>
  <c r="O3252" i="5"/>
  <c r="O3253" i="5"/>
  <c r="O3254" i="5"/>
  <c r="O3255" i="5"/>
  <c r="O3256" i="5"/>
  <c r="O3257" i="5"/>
  <c r="O3258" i="5"/>
  <c r="O3259" i="5"/>
  <c r="O3260" i="5"/>
  <c r="O3261" i="5"/>
  <c r="O3262" i="5"/>
  <c r="O3263" i="5"/>
  <c r="O3264" i="5"/>
  <c r="O3265" i="5"/>
  <c r="O3266" i="5"/>
  <c r="O3267" i="5"/>
  <c r="O3268" i="5"/>
  <c r="O3269" i="5"/>
  <c r="O3270" i="5"/>
  <c r="O3271" i="5"/>
  <c r="O3272" i="5"/>
  <c r="O3273" i="5"/>
  <c r="O3274" i="5"/>
  <c r="O3275" i="5"/>
  <c r="O3276" i="5"/>
  <c r="O3277" i="5"/>
  <c r="O3278" i="5"/>
  <c r="O3279" i="5"/>
  <c r="O3280" i="5"/>
  <c r="O3281" i="5"/>
  <c r="O3282" i="5"/>
  <c r="O3283" i="5"/>
  <c r="O3284" i="5"/>
  <c r="O3285" i="5"/>
  <c r="O3286" i="5"/>
  <c r="O3287" i="5"/>
  <c r="O3288" i="5"/>
  <c r="O3289" i="5"/>
  <c r="O3290" i="5"/>
  <c r="O3291" i="5"/>
  <c r="O3292" i="5"/>
  <c r="O3293" i="5"/>
  <c r="O3294" i="5"/>
  <c r="O3295" i="5"/>
  <c r="O3296" i="5"/>
  <c r="O3297" i="5"/>
  <c r="O3298" i="5"/>
  <c r="O3299" i="5"/>
  <c r="O3300" i="5"/>
  <c r="O3301" i="5"/>
  <c r="O3302" i="5"/>
  <c r="O3303" i="5"/>
  <c r="O3304" i="5"/>
  <c r="O3305" i="5"/>
  <c r="O3306" i="5"/>
  <c r="O3307" i="5"/>
  <c r="O3308" i="5"/>
  <c r="O3309" i="5"/>
  <c r="O3310" i="5"/>
  <c r="O3311" i="5"/>
  <c r="O3312" i="5"/>
  <c r="O3313" i="5"/>
  <c r="O3314" i="5"/>
  <c r="O3315" i="5"/>
  <c r="O3316" i="5"/>
  <c r="O3317" i="5"/>
  <c r="O3318" i="5"/>
  <c r="O3319" i="5"/>
  <c r="O3320" i="5"/>
  <c r="O3321" i="5"/>
  <c r="O3322" i="5"/>
  <c r="O3323" i="5"/>
  <c r="O3324" i="5"/>
  <c r="O3325" i="5"/>
  <c r="O3326" i="5"/>
  <c r="O3327" i="5"/>
  <c r="O3328" i="5"/>
  <c r="O3329" i="5"/>
  <c r="O3330" i="5"/>
  <c r="O3331" i="5"/>
  <c r="O3332" i="5"/>
  <c r="O3333" i="5"/>
  <c r="O3334" i="5"/>
  <c r="O3335" i="5"/>
  <c r="O3336" i="5"/>
  <c r="O3337" i="5"/>
  <c r="O3338" i="5"/>
  <c r="O3339" i="5"/>
  <c r="O3340" i="5"/>
  <c r="O3341" i="5"/>
  <c r="O3342" i="5"/>
  <c r="O3343" i="5"/>
  <c r="O3344" i="5"/>
  <c r="O3345" i="5"/>
  <c r="O3346" i="5"/>
  <c r="O3347" i="5"/>
  <c r="O3348" i="5"/>
  <c r="O3349" i="5"/>
  <c r="O3350" i="5"/>
  <c r="O3351" i="5"/>
  <c r="O3352" i="5"/>
  <c r="O3353" i="5"/>
  <c r="O3354" i="5"/>
  <c r="O3355" i="5"/>
  <c r="O3356" i="5"/>
  <c r="O3357" i="5"/>
  <c r="O3358" i="5"/>
  <c r="O3359" i="5"/>
  <c r="O3360" i="5"/>
  <c r="O3361" i="5"/>
  <c r="O3362" i="5"/>
  <c r="O3363" i="5"/>
  <c r="O3364" i="5"/>
  <c r="O3365" i="5"/>
  <c r="O3366" i="5"/>
  <c r="O3367" i="5"/>
  <c r="O3368" i="5"/>
  <c r="O3369" i="5"/>
  <c r="O3370" i="5"/>
  <c r="O3371" i="5"/>
  <c r="O3372" i="5"/>
  <c r="O3373" i="5"/>
  <c r="O3374" i="5"/>
  <c r="O3375" i="5"/>
  <c r="O3376" i="5"/>
  <c r="O3377" i="5"/>
  <c r="O3378" i="5"/>
  <c r="O3379" i="5"/>
  <c r="O3380" i="5"/>
  <c r="O3381" i="5"/>
  <c r="O3382" i="5"/>
  <c r="O3383" i="5"/>
  <c r="O3384" i="5"/>
  <c r="O3385" i="5"/>
  <c r="O3386" i="5"/>
  <c r="O3387" i="5"/>
  <c r="O3388" i="5"/>
  <c r="O3389" i="5"/>
  <c r="O3390" i="5"/>
  <c r="O3391" i="5"/>
  <c r="O3392" i="5"/>
  <c r="O3393" i="5"/>
  <c r="O3394" i="5"/>
  <c r="O3395" i="5"/>
  <c r="O3396" i="5"/>
  <c r="O3397" i="5"/>
  <c r="O3398" i="5"/>
  <c r="O3399" i="5"/>
  <c r="O3400" i="5"/>
  <c r="O3401" i="5"/>
  <c r="O3402" i="5"/>
  <c r="O3403" i="5"/>
  <c r="O3404" i="5"/>
  <c r="O3405" i="5"/>
  <c r="O3406" i="5"/>
  <c r="O3407" i="5"/>
  <c r="O3408" i="5"/>
  <c r="O3409" i="5"/>
  <c r="O3410" i="5"/>
  <c r="O3411" i="5"/>
  <c r="O3412" i="5"/>
  <c r="O3413" i="5"/>
  <c r="O3414" i="5"/>
  <c r="O3415" i="5"/>
  <c r="O3416" i="5"/>
  <c r="O3417" i="5"/>
  <c r="O3418" i="5"/>
  <c r="O3419" i="5"/>
  <c r="O3420" i="5"/>
  <c r="O3421" i="5"/>
  <c r="O3422" i="5"/>
  <c r="O3423" i="5"/>
  <c r="O3424" i="5"/>
  <c r="O3425" i="5"/>
  <c r="O3426" i="5"/>
  <c r="O3427" i="5"/>
  <c r="O3428" i="5"/>
  <c r="O3429" i="5"/>
  <c r="O3430" i="5"/>
  <c r="O3431" i="5"/>
  <c r="O3432" i="5"/>
  <c r="O3433" i="5"/>
  <c r="O3434" i="5"/>
  <c r="O3435" i="5"/>
  <c r="O3436" i="5"/>
  <c r="O3437" i="5"/>
  <c r="O3438" i="5"/>
  <c r="O3439" i="5"/>
  <c r="O3440" i="5"/>
  <c r="O3441" i="5"/>
  <c r="O3442" i="5"/>
  <c r="O3443" i="5"/>
  <c r="O3444" i="5"/>
  <c r="O3445" i="5"/>
  <c r="O3446" i="5"/>
  <c r="O3447" i="5"/>
  <c r="O3448" i="5"/>
  <c r="O3449" i="5"/>
  <c r="O3450" i="5"/>
  <c r="O3451" i="5"/>
  <c r="O3452" i="5"/>
  <c r="O3453" i="5"/>
  <c r="O3454" i="5"/>
  <c r="O3455" i="5"/>
  <c r="O3456" i="5"/>
  <c r="O3457" i="5"/>
  <c r="O3458" i="5"/>
  <c r="O3459" i="5"/>
  <c r="O3460" i="5"/>
  <c r="O3461" i="5"/>
  <c r="O3462" i="5"/>
  <c r="O3463" i="5"/>
  <c r="O3464" i="5"/>
  <c r="O3465" i="5"/>
  <c r="O3466" i="5"/>
  <c r="O3467" i="5"/>
  <c r="O3468" i="5"/>
  <c r="O3469" i="5"/>
  <c r="O3470" i="5"/>
  <c r="O3471" i="5"/>
  <c r="O3472" i="5"/>
  <c r="O3473" i="5"/>
  <c r="O3474" i="5"/>
  <c r="O3475" i="5"/>
  <c r="O3476" i="5"/>
  <c r="O3477" i="5"/>
  <c r="O3478" i="5"/>
  <c r="O3479" i="5"/>
  <c r="O3480" i="5"/>
  <c r="O3481" i="5"/>
  <c r="O3482" i="5"/>
  <c r="O3483" i="5"/>
  <c r="O3484" i="5"/>
  <c r="O3485" i="5"/>
  <c r="O3486" i="5"/>
  <c r="O3487" i="5"/>
  <c r="O3488" i="5"/>
  <c r="O3489" i="5"/>
  <c r="O3490" i="5"/>
  <c r="O3491" i="5"/>
  <c r="O3492" i="5"/>
  <c r="O3493" i="5"/>
  <c r="O3494" i="5"/>
  <c r="O3495" i="5"/>
  <c r="O3496" i="5"/>
  <c r="O3497" i="5"/>
  <c r="O3498" i="5"/>
  <c r="O3499" i="5"/>
  <c r="O3500" i="5"/>
  <c r="O3501" i="5"/>
  <c r="O3502" i="5"/>
  <c r="O3503" i="5"/>
  <c r="O3504" i="5"/>
  <c r="O3505" i="5"/>
  <c r="O3506" i="5"/>
  <c r="O3507" i="5"/>
  <c r="O3508" i="5"/>
  <c r="O3509" i="5"/>
  <c r="O3510" i="5"/>
  <c r="O3511" i="5"/>
  <c r="O3512" i="5"/>
  <c r="O3513" i="5"/>
  <c r="O3514" i="5"/>
  <c r="O3515" i="5"/>
  <c r="O3516" i="5"/>
  <c r="O3517" i="5"/>
  <c r="O3518" i="5"/>
  <c r="O3519" i="5"/>
  <c r="O3520" i="5"/>
  <c r="O3521" i="5"/>
  <c r="O3522" i="5"/>
  <c r="O3523" i="5"/>
  <c r="O3524" i="5"/>
  <c r="O3525" i="5"/>
  <c r="O3526" i="5"/>
  <c r="O3527" i="5"/>
  <c r="O3528" i="5"/>
  <c r="O3529" i="5"/>
  <c r="O3530" i="5"/>
  <c r="O3531" i="5"/>
  <c r="O3532" i="5"/>
  <c r="O3533" i="5"/>
  <c r="O3534" i="5"/>
  <c r="O3535" i="5"/>
  <c r="O3536" i="5"/>
  <c r="O3537" i="5"/>
  <c r="O3538" i="5"/>
  <c r="O3539" i="5"/>
  <c r="O3540" i="5"/>
  <c r="O3541" i="5"/>
  <c r="O3542" i="5"/>
  <c r="O3543" i="5"/>
  <c r="O3544" i="5"/>
  <c r="O3545" i="5"/>
  <c r="O3546" i="5"/>
  <c r="O3547" i="5"/>
  <c r="O3548" i="5"/>
  <c r="O3549" i="5"/>
  <c r="O3550" i="5"/>
  <c r="O3551" i="5"/>
  <c r="O3552" i="5"/>
  <c r="O3553" i="5"/>
  <c r="O3554" i="5"/>
  <c r="O3555" i="5"/>
  <c r="O3556" i="5"/>
  <c r="O3557" i="5"/>
  <c r="O3558" i="5"/>
  <c r="O3559" i="5"/>
  <c r="O3560" i="5"/>
  <c r="O3561" i="5"/>
  <c r="O3562" i="5"/>
  <c r="O3563" i="5"/>
  <c r="O3564" i="5"/>
  <c r="O3565" i="5"/>
  <c r="O3566" i="5"/>
  <c r="O3567" i="5"/>
  <c r="O3568" i="5"/>
  <c r="O3569" i="5"/>
  <c r="O3570" i="5"/>
  <c r="O3571" i="5"/>
  <c r="O3572" i="5"/>
  <c r="O3573" i="5"/>
  <c r="O3574" i="5"/>
  <c r="O3575" i="5"/>
  <c r="O3576" i="5"/>
  <c r="O3577" i="5"/>
  <c r="O3578" i="5"/>
  <c r="O3579" i="5"/>
  <c r="O3580" i="5"/>
  <c r="O3581" i="5"/>
  <c r="O3582" i="5"/>
  <c r="O3583" i="5"/>
  <c r="O3584" i="5"/>
  <c r="O3585" i="5"/>
  <c r="O3586" i="5"/>
  <c r="O3587" i="5"/>
  <c r="O3588" i="5"/>
  <c r="O3589" i="5"/>
  <c r="O3590" i="5"/>
  <c r="O3591" i="5"/>
  <c r="O3592" i="5"/>
  <c r="O3593" i="5"/>
  <c r="O3594" i="5"/>
  <c r="O3595" i="5"/>
  <c r="O3596" i="5"/>
  <c r="O3597" i="5"/>
  <c r="O3598" i="5"/>
  <c r="O3599" i="5"/>
  <c r="O3600" i="5"/>
  <c r="O3601" i="5"/>
  <c r="O3602" i="5"/>
  <c r="O3603" i="5"/>
  <c r="O3604" i="5"/>
  <c r="O3605" i="5"/>
  <c r="O3606" i="5"/>
  <c r="O3607" i="5"/>
  <c r="O3608" i="5"/>
  <c r="O3609" i="5"/>
  <c r="O3610" i="5"/>
  <c r="O3611" i="5"/>
  <c r="O3612" i="5"/>
  <c r="O3613" i="5"/>
  <c r="O3614" i="5"/>
  <c r="O3615" i="5"/>
  <c r="O3616" i="5"/>
  <c r="O3617" i="5"/>
  <c r="O3618" i="5"/>
  <c r="O3619" i="5"/>
  <c r="O3620" i="5"/>
  <c r="O3621" i="5"/>
  <c r="O3622" i="5"/>
  <c r="O3623" i="5"/>
  <c r="O3624" i="5"/>
  <c r="O3625" i="5"/>
  <c r="O3626" i="5"/>
  <c r="O3627" i="5"/>
  <c r="O3628" i="5"/>
  <c r="O3629" i="5"/>
  <c r="O3630" i="5"/>
  <c r="O3631" i="5"/>
  <c r="O3632" i="5"/>
  <c r="O3633" i="5"/>
  <c r="O3634" i="5"/>
  <c r="O3635" i="5"/>
  <c r="O3636" i="5"/>
  <c r="O3637" i="5"/>
  <c r="O3638" i="5"/>
  <c r="O3639" i="5"/>
  <c r="O3640" i="5"/>
  <c r="O3641" i="5"/>
  <c r="O3642" i="5"/>
  <c r="O3643" i="5"/>
  <c r="O3644" i="5"/>
  <c r="O3645" i="5"/>
  <c r="O3646" i="5"/>
  <c r="O3647" i="5"/>
  <c r="O3648" i="5"/>
  <c r="O3649" i="5"/>
  <c r="O3650" i="5"/>
  <c r="O3651" i="5"/>
  <c r="O3652" i="5"/>
  <c r="O3653" i="5"/>
  <c r="O3654" i="5"/>
  <c r="O3655" i="5"/>
  <c r="O3656" i="5"/>
  <c r="O3657" i="5"/>
  <c r="O3658" i="5"/>
  <c r="O3659" i="5"/>
  <c r="O3660" i="5"/>
  <c r="O3661" i="5"/>
  <c r="O3662" i="5"/>
  <c r="O3663" i="5"/>
  <c r="O3664" i="5"/>
  <c r="O3665" i="5"/>
  <c r="O3666" i="5"/>
  <c r="O3667" i="5"/>
  <c r="O3668" i="5"/>
  <c r="O3669" i="5"/>
  <c r="O3670" i="5"/>
  <c r="O3671" i="5"/>
  <c r="O3672" i="5"/>
  <c r="O3673" i="5"/>
  <c r="O3674" i="5"/>
  <c r="O3675" i="5"/>
  <c r="O3676" i="5"/>
  <c r="O3677" i="5"/>
  <c r="O3678" i="5"/>
  <c r="O3679" i="5"/>
  <c r="O3680" i="5"/>
  <c r="O3681" i="5"/>
  <c r="O3682" i="5"/>
  <c r="O3683" i="5"/>
  <c r="O3684" i="5"/>
  <c r="O3685" i="5"/>
  <c r="O3686" i="5"/>
  <c r="O3687" i="5"/>
  <c r="O3688" i="5"/>
  <c r="O3689" i="5"/>
  <c r="O3690" i="5"/>
  <c r="O3691" i="5"/>
  <c r="O3692" i="5"/>
  <c r="O3693" i="5"/>
  <c r="O3694" i="5"/>
  <c r="O3695" i="5"/>
  <c r="O3696" i="5"/>
  <c r="O3697" i="5"/>
  <c r="O3698" i="5"/>
  <c r="O3699" i="5"/>
  <c r="O3700" i="5"/>
  <c r="O3701" i="5"/>
  <c r="O3702" i="5"/>
  <c r="O3703" i="5"/>
  <c r="O3704" i="5"/>
  <c r="O3705" i="5"/>
  <c r="O3706" i="5"/>
  <c r="O3707" i="5"/>
  <c r="O3708" i="5"/>
  <c r="O3709" i="5"/>
  <c r="O3710" i="5"/>
  <c r="O3711" i="5"/>
  <c r="O3712" i="5"/>
  <c r="O3713" i="5"/>
  <c r="O3714" i="5"/>
  <c r="O3715" i="5"/>
  <c r="O3716" i="5"/>
  <c r="O3717" i="5"/>
  <c r="O3718" i="5"/>
  <c r="O3719" i="5"/>
  <c r="O3720" i="5"/>
  <c r="O3721" i="5"/>
  <c r="O3722" i="5"/>
  <c r="O3723" i="5"/>
  <c r="O3724" i="5"/>
  <c r="O3725" i="5"/>
  <c r="O3726" i="5"/>
  <c r="O3727" i="5"/>
  <c r="O3728" i="5"/>
  <c r="O3729" i="5"/>
  <c r="O3730" i="5"/>
  <c r="O3731" i="5"/>
  <c r="O3732" i="5"/>
  <c r="O3733" i="5"/>
  <c r="O3734" i="5"/>
  <c r="O3735" i="5"/>
  <c r="O3736" i="5"/>
  <c r="O3737" i="5"/>
  <c r="O3738" i="5"/>
  <c r="O3739" i="5"/>
  <c r="O3740" i="5"/>
  <c r="O3741" i="5"/>
  <c r="O3742" i="5"/>
  <c r="O3743" i="5"/>
  <c r="O3744" i="5"/>
  <c r="O3745" i="5"/>
  <c r="O3746" i="5"/>
  <c r="O3747" i="5"/>
  <c r="O3748" i="5"/>
  <c r="O3749" i="5"/>
  <c r="O3750" i="5"/>
  <c r="O3751" i="5"/>
  <c r="O3752" i="5"/>
  <c r="O3753" i="5"/>
  <c r="O3754" i="5"/>
  <c r="O3755" i="5"/>
  <c r="O3756" i="5"/>
  <c r="O3757" i="5"/>
  <c r="O3758" i="5"/>
  <c r="O3759" i="5"/>
  <c r="O3760" i="5"/>
  <c r="O3761" i="5"/>
  <c r="O3762" i="5"/>
  <c r="O3763" i="5"/>
  <c r="O3764" i="5"/>
  <c r="O3765" i="5"/>
  <c r="O3766" i="5"/>
  <c r="O3767" i="5"/>
  <c r="O3768" i="5"/>
  <c r="O3769" i="5"/>
  <c r="O3770" i="5"/>
  <c r="O3771" i="5"/>
  <c r="O3772" i="5"/>
  <c r="O3773" i="5"/>
  <c r="O3774" i="5"/>
  <c r="O3775" i="5"/>
  <c r="O3776" i="5"/>
  <c r="O3777" i="5"/>
  <c r="O3778" i="5"/>
  <c r="O3779" i="5"/>
  <c r="O3780" i="5"/>
  <c r="O3781" i="5"/>
  <c r="O3782" i="5"/>
  <c r="O3783" i="5"/>
  <c r="O3784" i="5"/>
  <c r="O3785" i="5"/>
  <c r="O3786" i="5"/>
  <c r="O3787" i="5"/>
  <c r="O3788" i="5"/>
  <c r="O3789" i="5"/>
  <c r="O3790" i="5"/>
  <c r="O3791" i="5"/>
  <c r="O3792" i="5"/>
  <c r="O3793" i="5"/>
  <c r="O3794" i="5"/>
  <c r="O3795" i="5"/>
  <c r="O3796" i="5"/>
  <c r="O3797" i="5"/>
  <c r="O3798" i="5"/>
  <c r="O3799" i="5"/>
  <c r="O3800" i="5"/>
  <c r="O3801" i="5"/>
  <c r="O3802" i="5"/>
  <c r="O3803" i="5"/>
  <c r="O3804" i="5"/>
  <c r="O3805" i="5"/>
  <c r="O3806" i="5"/>
  <c r="O3807" i="5"/>
  <c r="O3808" i="5"/>
  <c r="O3809" i="5"/>
  <c r="O3810" i="5"/>
  <c r="O3811" i="5"/>
  <c r="O3812" i="5"/>
  <c r="O3813" i="5"/>
  <c r="O3814" i="5"/>
  <c r="O3815" i="5"/>
  <c r="O3816" i="5"/>
  <c r="O3817" i="5"/>
  <c r="O3818" i="5"/>
  <c r="O3819" i="5"/>
  <c r="O3820" i="5"/>
  <c r="O3821" i="5"/>
  <c r="O3822" i="5"/>
  <c r="O3823" i="5"/>
  <c r="O3824" i="5"/>
  <c r="O3825" i="5"/>
  <c r="O3826" i="5"/>
  <c r="O3827" i="5"/>
  <c r="O3828" i="5"/>
  <c r="O3829" i="5"/>
  <c r="O3830" i="5"/>
  <c r="O3831" i="5"/>
  <c r="O3832" i="5"/>
  <c r="O3833" i="5"/>
  <c r="O3834" i="5"/>
  <c r="O3835" i="5"/>
  <c r="O3836" i="5"/>
  <c r="O3837" i="5"/>
  <c r="O3838" i="5"/>
  <c r="O3839" i="5"/>
  <c r="O3840" i="5"/>
  <c r="O3841" i="5"/>
  <c r="O3842" i="5"/>
  <c r="O3843" i="5"/>
  <c r="O3844" i="5"/>
  <c r="O3845" i="5"/>
  <c r="O3846" i="5"/>
  <c r="O3847" i="5"/>
  <c r="O3848" i="5"/>
  <c r="O3849" i="5"/>
  <c r="O3850" i="5"/>
  <c r="O3851" i="5"/>
  <c r="O3852" i="5"/>
  <c r="O3853" i="5"/>
  <c r="O3854" i="5"/>
  <c r="O3855" i="5"/>
  <c r="O3856" i="5"/>
  <c r="O3857" i="5"/>
  <c r="O3858" i="5"/>
  <c r="O3859" i="5"/>
  <c r="O3860" i="5"/>
  <c r="O3861" i="5"/>
  <c r="O3862" i="5"/>
  <c r="O3863" i="5"/>
  <c r="O3864" i="5"/>
  <c r="O3865" i="5"/>
  <c r="O3866" i="5"/>
  <c r="O3867" i="5"/>
  <c r="O3868" i="5"/>
  <c r="O3869" i="5"/>
  <c r="O3870" i="5"/>
  <c r="O3871" i="5"/>
  <c r="O3872" i="5"/>
  <c r="O3873" i="5"/>
  <c r="O3874" i="5"/>
  <c r="O3875" i="5"/>
  <c r="O3876" i="5"/>
  <c r="O2" i="5"/>
  <c r="Q2" i="5" l="1"/>
  <c r="R3" i="5"/>
  <c r="R4" i="5"/>
  <c r="R5" i="5"/>
  <c r="R6"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R396" i="5"/>
  <c r="R397" i="5"/>
  <c r="R398" i="5"/>
  <c r="R399" i="5"/>
  <c r="R400" i="5"/>
  <c r="R401" i="5"/>
  <c r="R402" i="5"/>
  <c r="R403" i="5"/>
  <c r="R404" i="5"/>
  <c r="R405" i="5"/>
  <c r="R406" i="5"/>
  <c r="R407" i="5"/>
  <c r="R408" i="5"/>
  <c r="R409" i="5"/>
  <c r="R410" i="5"/>
  <c r="R411" i="5"/>
  <c r="R412" i="5"/>
  <c r="R413" i="5"/>
  <c r="R414" i="5"/>
  <c r="R415" i="5"/>
  <c r="R416" i="5"/>
  <c r="R417" i="5"/>
  <c r="R418" i="5"/>
  <c r="R419" i="5"/>
  <c r="R420" i="5"/>
  <c r="R421" i="5"/>
  <c r="R422" i="5"/>
  <c r="R423" i="5"/>
  <c r="R424" i="5"/>
  <c r="R425" i="5"/>
  <c r="R426" i="5"/>
  <c r="R427" i="5"/>
  <c r="R428" i="5"/>
  <c r="R429" i="5"/>
  <c r="R430" i="5"/>
  <c r="R431" i="5"/>
  <c r="R432" i="5"/>
  <c r="R433" i="5"/>
  <c r="R434" i="5"/>
  <c r="R435" i="5"/>
  <c r="R436" i="5"/>
  <c r="R437" i="5"/>
  <c r="R438" i="5"/>
  <c r="R439" i="5"/>
  <c r="R440" i="5"/>
  <c r="R441" i="5"/>
  <c r="R442" i="5"/>
  <c r="R443" i="5"/>
  <c r="R444" i="5"/>
  <c r="R445" i="5"/>
  <c r="R446" i="5"/>
  <c r="R447" i="5"/>
  <c r="R448" i="5"/>
  <c r="R449" i="5"/>
  <c r="R450" i="5"/>
  <c r="R451" i="5"/>
  <c r="R452" i="5"/>
  <c r="R453" i="5"/>
  <c r="R454" i="5"/>
  <c r="R455" i="5"/>
  <c r="R456" i="5"/>
  <c r="R457" i="5"/>
  <c r="R458" i="5"/>
  <c r="R459" i="5"/>
  <c r="R460" i="5"/>
  <c r="R461" i="5"/>
  <c r="R462" i="5"/>
  <c r="R463" i="5"/>
  <c r="R464" i="5"/>
  <c r="R465" i="5"/>
  <c r="R466" i="5"/>
  <c r="R467" i="5"/>
  <c r="R468" i="5"/>
  <c r="R469" i="5"/>
  <c r="R470" i="5"/>
  <c r="R471" i="5"/>
  <c r="R472" i="5"/>
  <c r="R473" i="5"/>
  <c r="R474" i="5"/>
  <c r="R475" i="5"/>
  <c r="R476" i="5"/>
  <c r="R477" i="5"/>
  <c r="R478" i="5"/>
  <c r="R479" i="5"/>
  <c r="R480" i="5"/>
  <c r="R481" i="5"/>
  <c r="R482" i="5"/>
  <c r="R483" i="5"/>
  <c r="R484" i="5"/>
  <c r="R485" i="5"/>
  <c r="R486" i="5"/>
  <c r="R487" i="5"/>
  <c r="R488" i="5"/>
  <c r="R489" i="5"/>
  <c r="R490" i="5"/>
  <c r="R491" i="5"/>
  <c r="R492" i="5"/>
  <c r="R493" i="5"/>
  <c r="R494" i="5"/>
  <c r="R495" i="5"/>
  <c r="R496" i="5"/>
  <c r="R497" i="5"/>
  <c r="R498" i="5"/>
  <c r="R499" i="5"/>
  <c r="R500" i="5"/>
  <c r="R501" i="5"/>
  <c r="R502" i="5"/>
  <c r="R503" i="5"/>
  <c r="R504" i="5"/>
  <c r="R505" i="5"/>
  <c r="R506" i="5"/>
  <c r="R507" i="5"/>
  <c r="R508" i="5"/>
  <c r="R509" i="5"/>
  <c r="R510" i="5"/>
  <c r="R511" i="5"/>
  <c r="R512" i="5"/>
  <c r="R513" i="5"/>
  <c r="R514" i="5"/>
  <c r="R515" i="5"/>
  <c r="R516" i="5"/>
  <c r="R517" i="5"/>
  <c r="R518" i="5"/>
  <c r="R519" i="5"/>
  <c r="R520" i="5"/>
  <c r="R521" i="5"/>
  <c r="R522" i="5"/>
  <c r="R523" i="5"/>
  <c r="R524" i="5"/>
  <c r="R525" i="5"/>
  <c r="R526" i="5"/>
  <c r="R527" i="5"/>
  <c r="R528" i="5"/>
  <c r="R529" i="5"/>
  <c r="R530" i="5"/>
  <c r="R531" i="5"/>
  <c r="R532" i="5"/>
  <c r="R533" i="5"/>
  <c r="R534" i="5"/>
  <c r="R535" i="5"/>
  <c r="R536" i="5"/>
  <c r="R537" i="5"/>
  <c r="R538" i="5"/>
  <c r="R539" i="5"/>
  <c r="R540" i="5"/>
  <c r="R541" i="5"/>
  <c r="R542" i="5"/>
  <c r="R543" i="5"/>
  <c r="R544" i="5"/>
  <c r="R545" i="5"/>
  <c r="R546" i="5"/>
  <c r="R547" i="5"/>
  <c r="R548" i="5"/>
  <c r="R549" i="5"/>
  <c r="R550" i="5"/>
  <c r="R551" i="5"/>
  <c r="R552" i="5"/>
  <c r="R553" i="5"/>
  <c r="R554" i="5"/>
  <c r="R555" i="5"/>
  <c r="R556" i="5"/>
  <c r="R557" i="5"/>
  <c r="R558" i="5"/>
  <c r="R559" i="5"/>
  <c r="R560" i="5"/>
  <c r="R561" i="5"/>
  <c r="R562" i="5"/>
  <c r="R563" i="5"/>
  <c r="R564" i="5"/>
  <c r="R565" i="5"/>
  <c r="R566" i="5"/>
  <c r="R567" i="5"/>
  <c r="R568" i="5"/>
  <c r="R569" i="5"/>
  <c r="R570" i="5"/>
  <c r="R571" i="5"/>
  <c r="R572" i="5"/>
  <c r="R573" i="5"/>
  <c r="R574" i="5"/>
  <c r="R575" i="5"/>
  <c r="R576" i="5"/>
  <c r="R577" i="5"/>
  <c r="R578" i="5"/>
  <c r="R579" i="5"/>
  <c r="R580" i="5"/>
  <c r="R581" i="5"/>
  <c r="R582" i="5"/>
  <c r="R583" i="5"/>
  <c r="R584" i="5"/>
  <c r="R585" i="5"/>
  <c r="R586" i="5"/>
  <c r="R587" i="5"/>
  <c r="R588" i="5"/>
  <c r="R589" i="5"/>
  <c r="R590" i="5"/>
  <c r="R591" i="5"/>
  <c r="R592" i="5"/>
  <c r="R593" i="5"/>
  <c r="R594" i="5"/>
  <c r="R595" i="5"/>
  <c r="R596" i="5"/>
  <c r="R597" i="5"/>
  <c r="R598" i="5"/>
  <c r="R599" i="5"/>
  <c r="R600" i="5"/>
  <c r="R601" i="5"/>
  <c r="R602" i="5"/>
  <c r="R603" i="5"/>
  <c r="R604" i="5"/>
  <c r="R605" i="5"/>
  <c r="R606" i="5"/>
  <c r="R607" i="5"/>
  <c r="R608" i="5"/>
  <c r="R609" i="5"/>
  <c r="R610" i="5"/>
  <c r="R611" i="5"/>
  <c r="R612" i="5"/>
  <c r="R613" i="5"/>
  <c r="R614" i="5"/>
  <c r="R615" i="5"/>
  <c r="R616" i="5"/>
  <c r="R617" i="5"/>
  <c r="R618" i="5"/>
  <c r="R619" i="5"/>
  <c r="R620" i="5"/>
  <c r="R621" i="5"/>
  <c r="R622" i="5"/>
  <c r="R623" i="5"/>
  <c r="R624" i="5"/>
  <c r="R625" i="5"/>
  <c r="R626" i="5"/>
  <c r="R627" i="5"/>
  <c r="R628" i="5"/>
  <c r="R629" i="5"/>
  <c r="R630" i="5"/>
  <c r="R631" i="5"/>
  <c r="R632" i="5"/>
  <c r="R633" i="5"/>
  <c r="R634" i="5"/>
  <c r="R635" i="5"/>
  <c r="R636" i="5"/>
  <c r="R637" i="5"/>
  <c r="R638" i="5"/>
  <c r="R639" i="5"/>
  <c r="R640" i="5"/>
  <c r="R641" i="5"/>
  <c r="R642" i="5"/>
  <c r="R643" i="5"/>
  <c r="R644" i="5"/>
  <c r="R645" i="5"/>
  <c r="R646" i="5"/>
  <c r="R647" i="5"/>
  <c r="R648" i="5"/>
  <c r="R649" i="5"/>
  <c r="R650" i="5"/>
  <c r="R651" i="5"/>
  <c r="R652" i="5"/>
  <c r="R653" i="5"/>
  <c r="R654" i="5"/>
  <c r="R655" i="5"/>
  <c r="R656" i="5"/>
  <c r="R657" i="5"/>
  <c r="R658" i="5"/>
  <c r="R659" i="5"/>
  <c r="R660" i="5"/>
  <c r="R661" i="5"/>
  <c r="R662" i="5"/>
  <c r="R663" i="5"/>
  <c r="R664" i="5"/>
  <c r="R665" i="5"/>
  <c r="R666" i="5"/>
  <c r="R667" i="5"/>
  <c r="R668" i="5"/>
  <c r="R669" i="5"/>
  <c r="R670" i="5"/>
  <c r="R671" i="5"/>
  <c r="R672" i="5"/>
  <c r="R673" i="5"/>
  <c r="R674" i="5"/>
  <c r="R675" i="5"/>
  <c r="R676" i="5"/>
  <c r="R677" i="5"/>
  <c r="R678" i="5"/>
  <c r="R679" i="5"/>
  <c r="R680" i="5"/>
  <c r="R681" i="5"/>
  <c r="R682" i="5"/>
  <c r="R683" i="5"/>
  <c r="R684" i="5"/>
  <c r="R685" i="5"/>
  <c r="R686" i="5"/>
  <c r="R687" i="5"/>
  <c r="R688" i="5"/>
  <c r="R689" i="5"/>
  <c r="R690" i="5"/>
  <c r="R691" i="5"/>
  <c r="R692" i="5"/>
  <c r="R693" i="5"/>
  <c r="R694" i="5"/>
  <c r="R695" i="5"/>
  <c r="R696" i="5"/>
  <c r="R697" i="5"/>
  <c r="R698" i="5"/>
  <c r="R699" i="5"/>
  <c r="R700" i="5"/>
  <c r="R701" i="5"/>
  <c r="R702" i="5"/>
  <c r="R703" i="5"/>
  <c r="R704" i="5"/>
  <c r="R705" i="5"/>
  <c r="R706" i="5"/>
  <c r="R707" i="5"/>
  <c r="R708" i="5"/>
  <c r="R709" i="5"/>
  <c r="R710" i="5"/>
  <c r="R711" i="5"/>
  <c r="R712" i="5"/>
  <c r="R713" i="5"/>
  <c r="R714" i="5"/>
  <c r="R715" i="5"/>
  <c r="R716" i="5"/>
  <c r="R717" i="5"/>
  <c r="R718" i="5"/>
  <c r="R719" i="5"/>
  <c r="R720" i="5"/>
  <c r="R721" i="5"/>
  <c r="R722" i="5"/>
  <c r="R723" i="5"/>
  <c r="R724" i="5"/>
  <c r="R725" i="5"/>
  <c r="R726" i="5"/>
  <c r="R727" i="5"/>
  <c r="R728" i="5"/>
  <c r="R729" i="5"/>
  <c r="R730" i="5"/>
  <c r="R731" i="5"/>
  <c r="R732" i="5"/>
  <c r="R733" i="5"/>
  <c r="R734" i="5"/>
  <c r="R735" i="5"/>
  <c r="R736" i="5"/>
  <c r="R737" i="5"/>
  <c r="R738" i="5"/>
  <c r="R739" i="5"/>
  <c r="R740" i="5"/>
  <c r="R741" i="5"/>
  <c r="R742" i="5"/>
  <c r="R743" i="5"/>
  <c r="R744" i="5"/>
  <c r="R745" i="5"/>
  <c r="R746" i="5"/>
  <c r="R747" i="5"/>
  <c r="R748" i="5"/>
  <c r="R749" i="5"/>
  <c r="R750" i="5"/>
  <c r="R751" i="5"/>
  <c r="R752" i="5"/>
  <c r="R753" i="5"/>
  <c r="R754" i="5"/>
  <c r="R755" i="5"/>
  <c r="R756" i="5"/>
  <c r="R757" i="5"/>
  <c r="R758" i="5"/>
  <c r="R759" i="5"/>
  <c r="R760" i="5"/>
  <c r="R761" i="5"/>
  <c r="R762" i="5"/>
  <c r="R763" i="5"/>
  <c r="R764" i="5"/>
  <c r="R765" i="5"/>
  <c r="R766" i="5"/>
  <c r="R767" i="5"/>
  <c r="R768" i="5"/>
  <c r="R769" i="5"/>
  <c r="R770" i="5"/>
  <c r="R771" i="5"/>
  <c r="R772" i="5"/>
  <c r="R773" i="5"/>
  <c r="R774" i="5"/>
  <c r="R775" i="5"/>
  <c r="R776" i="5"/>
  <c r="R777" i="5"/>
  <c r="R778" i="5"/>
  <c r="R779" i="5"/>
  <c r="R780" i="5"/>
  <c r="R781" i="5"/>
  <c r="R782" i="5"/>
  <c r="R783" i="5"/>
  <c r="R784" i="5"/>
  <c r="R785" i="5"/>
  <c r="R786" i="5"/>
  <c r="R787" i="5"/>
  <c r="R788" i="5"/>
  <c r="R789" i="5"/>
  <c r="R790" i="5"/>
  <c r="R791" i="5"/>
  <c r="R792" i="5"/>
  <c r="R793" i="5"/>
  <c r="R794" i="5"/>
  <c r="R795" i="5"/>
  <c r="R796" i="5"/>
  <c r="R797" i="5"/>
  <c r="R798" i="5"/>
  <c r="R799" i="5"/>
  <c r="R800" i="5"/>
  <c r="R801" i="5"/>
  <c r="R802" i="5"/>
  <c r="R803" i="5"/>
  <c r="R804" i="5"/>
  <c r="R805" i="5"/>
  <c r="R806" i="5"/>
  <c r="R807" i="5"/>
  <c r="R808" i="5"/>
  <c r="R809" i="5"/>
  <c r="R810" i="5"/>
  <c r="R811" i="5"/>
  <c r="R812" i="5"/>
  <c r="R813" i="5"/>
  <c r="R814" i="5"/>
  <c r="R815" i="5"/>
  <c r="R816" i="5"/>
  <c r="R817" i="5"/>
  <c r="R818" i="5"/>
  <c r="R819" i="5"/>
  <c r="R820" i="5"/>
  <c r="R821" i="5"/>
  <c r="R822" i="5"/>
  <c r="R823" i="5"/>
  <c r="R824" i="5"/>
  <c r="R825" i="5"/>
  <c r="R826" i="5"/>
  <c r="R827" i="5"/>
  <c r="R828" i="5"/>
  <c r="R829" i="5"/>
  <c r="R830" i="5"/>
  <c r="R831" i="5"/>
  <c r="R832" i="5"/>
  <c r="R833" i="5"/>
  <c r="R834" i="5"/>
  <c r="R835" i="5"/>
  <c r="R836" i="5"/>
  <c r="R837" i="5"/>
  <c r="R838" i="5"/>
  <c r="R839" i="5"/>
  <c r="R840" i="5"/>
  <c r="R841" i="5"/>
  <c r="R842" i="5"/>
  <c r="R843" i="5"/>
  <c r="R844" i="5"/>
  <c r="R845" i="5"/>
  <c r="R846" i="5"/>
  <c r="R847" i="5"/>
  <c r="R848" i="5"/>
  <c r="R849" i="5"/>
  <c r="R850" i="5"/>
  <c r="R851" i="5"/>
  <c r="R852" i="5"/>
  <c r="R853" i="5"/>
  <c r="R854" i="5"/>
  <c r="R855" i="5"/>
  <c r="R856" i="5"/>
  <c r="R857" i="5"/>
  <c r="R858" i="5"/>
  <c r="R859" i="5"/>
  <c r="R860" i="5"/>
  <c r="R861" i="5"/>
  <c r="R862" i="5"/>
  <c r="R863" i="5"/>
  <c r="R864" i="5"/>
  <c r="R865" i="5"/>
  <c r="R866" i="5"/>
  <c r="R867" i="5"/>
  <c r="R868" i="5"/>
  <c r="R869" i="5"/>
  <c r="R870" i="5"/>
  <c r="R871" i="5"/>
  <c r="R872" i="5"/>
  <c r="R873" i="5"/>
  <c r="R874" i="5"/>
  <c r="R875" i="5"/>
  <c r="R876" i="5"/>
  <c r="R877" i="5"/>
  <c r="R878" i="5"/>
  <c r="R879" i="5"/>
  <c r="R880" i="5"/>
  <c r="R881" i="5"/>
  <c r="R882" i="5"/>
  <c r="R883" i="5"/>
  <c r="R884" i="5"/>
  <c r="R885" i="5"/>
  <c r="R886" i="5"/>
  <c r="R887" i="5"/>
  <c r="R888" i="5"/>
  <c r="R889" i="5"/>
  <c r="R890" i="5"/>
  <c r="R891" i="5"/>
  <c r="R892" i="5"/>
  <c r="R893" i="5"/>
  <c r="R894" i="5"/>
  <c r="R895" i="5"/>
  <c r="R896" i="5"/>
  <c r="R897" i="5"/>
  <c r="R898" i="5"/>
  <c r="R899" i="5"/>
  <c r="R900" i="5"/>
  <c r="R901" i="5"/>
  <c r="R902" i="5"/>
  <c r="R903" i="5"/>
  <c r="R904" i="5"/>
  <c r="R905" i="5"/>
  <c r="R906" i="5"/>
  <c r="R907" i="5"/>
  <c r="R908" i="5"/>
  <c r="R909" i="5"/>
  <c r="R910" i="5"/>
  <c r="R911" i="5"/>
  <c r="R912" i="5"/>
  <c r="R913" i="5"/>
  <c r="R914" i="5"/>
  <c r="R915" i="5"/>
  <c r="R916" i="5"/>
  <c r="R917" i="5"/>
  <c r="R918" i="5"/>
  <c r="R919" i="5"/>
  <c r="R920" i="5"/>
  <c r="R921" i="5"/>
  <c r="R922" i="5"/>
  <c r="R923" i="5"/>
  <c r="R924" i="5"/>
  <c r="R925" i="5"/>
  <c r="R926" i="5"/>
  <c r="R927" i="5"/>
  <c r="R928" i="5"/>
  <c r="R929" i="5"/>
  <c r="R930" i="5"/>
  <c r="R931" i="5"/>
  <c r="R932" i="5"/>
  <c r="R933" i="5"/>
  <c r="R934" i="5"/>
  <c r="R935" i="5"/>
  <c r="R936" i="5"/>
  <c r="R937" i="5"/>
  <c r="R938" i="5"/>
  <c r="R939" i="5"/>
  <c r="R940" i="5"/>
  <c r="R941" i="5"/>
  <c r="R942" i="5"/>
  <c r="R943" i="5"/>
  <c r="R944" i="5"/>
  <c r="R945" i="5"/>
  <c r="R946" i="5"/>
  <c r="R947" i="5"/>
  <c r="R948" i="5"/>
  <c r="R949" i="5"/>
  <c r="R950" i="5"/>
  <c r="R951" i="5"/>
  <c r="R952" i="5"/>
  <c r="R953" i="5"/>
  <c r="R954" i="5"/>
  <c r="R955" i="5"/>
  <c r="R956" i="5"/>
  <c r="R957" i="5"/>
  <c r="R958" i="5"/>
  <c r="R959" i="5"/>
  <c r="R960" i="5"/>
  <c r="R961" i="5"/>
  <c r="R962" i="5"/>
  <c r="R963" i="5"/>
  <c r="R964" i="5"/>
  <c r="R965" i="5"/>
  <c r="R966" i="5"/>
  <c r="R967" i="5"/>
  <c r="R968" i="5"/>
  <c r="R969" i="5"/>
  <c r="R970" i="5"/>
  <c r="R971" i="5"/>
  <c r="R972" i="5"/>
  <c r="R973" i="5"/>
  <c r="R974" i="5"/>
  <c r="R975" i="5"/>
  <c r="R976" i="5"/>
  <c r="R977" i="5"/>
  <c r="R978" i="5"/>
  <c r="R979" i="5"/>
  <c r="R980" i="5"/>
  <c r="R981" i="5"/>
  <c r="R982" i="5"/>
  <c r="R983" i="5"/>
  <c r="R984" i="5"/>
  <c r="R985" i="5"/>
  <c r="R986" i="5"/>
  <c r="R987" i="5"/>
  <c r="R988" i="5"/>
  <c r="R989" i="5"/>
  <c r="R990" i="5"/>
  <c r="R991" i="5"/>
  <c r="R992" i="5"/>
  <c r="R993" i="5"/>
  <c r="R994" i="5"/>
  <c r="R995" i="5"/>
  <c r="R996" i="5"/>
  <c r="R997" i="5"/>
  <c r="R998" i="5"/>
  <c r="R999" i="5"/>
  <c r="R1000" i="5"/>
  <c r="R1001" i="5"/>
  <c r="R1002" i="5"/>
  <c r="R1003" i="5"/>
  <c r="R1004" i="5"/>
  <c r="R1005" i="5"/>
  <c r="R1006" i="5"/>
  <c r="R1007" i="5"/>
  <c r="R1008" i="5"/>
  <c r="R1009" i="5"/>
  <c r="R1010" i="5"/>
  <c r="R1011" i="5"/>
  <c r="R1012" i="5"/>
  <c r="R1013" i="5"/>
  <c r="R1014" i="5"/>
  <c r="R1015" i="5"/>
  <c r="R1016" i="5"/>
  <c r="R1017" i="5"/>
  <c r="R1018" i="5"/>
  <c r="R1019" i="5"/>
  <c r="R1020" i="5"/>
  <c r="R1021" i="5"/>
  <c r="R1022" i="5"/>
  <c r="R1023" i="5"/>
  <c r="R1024" i="5"/>
  <c r="R1025" i="5"/>
  <c r="R1026" i="5"/>
  <c r="R1027" i="5"/>
  <c r="R1028" i="5"/>
  <c r="R1029" i="5"/>
  <c r="R1030" i="5"/>
  <c r="R1031" i="5"/>
  <c r="R1032" i="5"/>
  <c r="R1033" i="5"/>
  <c r="R1034" i="5"/>
  <c r="R1035" i="5"/>
  <c r="R1036" i="5"/>
  <c r="R1037" i="5"/>
  <c r="R1038" i="5"/>
  <c r="R1039" i="5"/>
  <c r="R1040" i="5"/>
  <c r="R1041" i="5"/>
  <c r="R1042" i="5"/>
  <c r="R1043" i="5"/>
  <c r="R1044" i="5"/>
  <c r="R1045" i="5"/>
  <c r="R1046" i="5"/>
  <c r="R1047" i="5"/>
  <c r="R1048" i="5"/>
  <c r="R1049" i="5"/>
  <c r="R1050" i="5"/>
  <c r="R1051" i="5"/>
  <c r="R1052" i="5"/>
  <c r="R1053" i="5"/>
  <c r="R1054" i="5"/>
  <c r="R1055" i="5"/>
  <c r="R1056" i="5"/>
  <c r="R1057" i="5"/>
  <c r="R1058" i="5"/>
  <c r="R1059" i="5"/>
  <c r="R1060" i="5"/>
  <c r="R1061" i="5"/>
  <c r="R1062" i="5"/>
  <c r="R1063" i="5"/>
  <c r="R1064" i="5"/>
  <c r="R1065" i="5"/>
  <c r="R1066" i="5"/>
  <c r="R1067" i="5"/>
  <c r="R1068" i="5"/>
  <c r="R1069" i="5"/>
  <c r="R1070" i="5"/>
  <c r="R1071" i="5"/>
  <c r="R1072" i="5"/>
  <c r="R1073" i="5"/>
  <c r="R1074" i="5"/>
  <c r="R1075" i="5"/>
  <c r="R1076" i="5"/>
  <c r="R1077" i="5"/>
  <c r="R1078" i="5"/>
  <c r="R1079" i="5"/>
  <c r="R1080" i="5"/>
  <c r="R1081" i="5"/>
  <c r="R1082" i="5"/>
  <c r="R1083" i="5"/>
  <c r="R1084" i="5"/>
  <c r="R1085" i="5"/>
  <c r="R1086" i="5"/>
  <c r="R1087" i="5"/>
  <c r="R1088" i="5"/>
  <c r="R1089" i="5"/>
  <c r="R1090" i="5"/>
  <c r="R1091" i="5"/>
  <c r="R1092" i="5"/>
  <c r="R1093" i="5"/>
  <c r="R1094" i="5"/>
  <c r="R1095" i="5"/>
  <c r="R1096" i="5"/>
  <c r="R1097" i="5"/>
  <c r="R1098" i="5"/>
  <c r="R1099" i="5"/>
  <c r="R1100" i="5"/>
  <c r="R1101" i="5"/>
  <c r="R1102" i="5"/>
  <c r="R1103" i="5"/>
  <c r="R1104" i="5"/>
  <c r="R1105" i="5"/>
  <c r="R1106" i="5"/>
  <c r="R1107" i="5"/>
  <c r="R1108" i="5"/>
  <c r="R1109" i="5"/>
  <c r="R1110" i="5"/>
  <c r="R1111" i="5"/>
  <c r="R1112" i="5"/>
  <c r="R1113" i="5"/>
  <c r="R1114" i="5"/>
  <c r="R1115" i="5"/>
  <c r="R1116" i="5"/>
  <c r="R1117" i="5"/>
  <c r="R1118" i="5"/>
  <c r="R1119" i="5"/>
  <c r="R1120" i="5"/>
  <c r="R1121" i="5"/>
  <c r="R1122" i="5"/>
  <c r="R1123" i="5"/>
  <c r="R1124" i="5"/>
  <c r="R1125" i="5"/>
  <c r="R1126" i="5"/>
  <c r="R1127" i="5"/>
  <c r="R1128" i="5"/>
  <c r="R1129" i="5"/>
  <c r="R1130" i="5"/>
  <c r="R1131" i="5"/>
  <c r="R1132" i="5"/>
  <c r="R1133" i="5"/>
  <c r="R1134" i="5"/>
  <c r="R1135" i="5"/>
  <c r="R1136" i="5"/>
  <c r="R1137" i="5"/>
  <c r="R1138" i="5"/>
  <c r="R1139" i="5"/>
  <c r="R1140" i="5"/>
  <c r="R1141" i="5"/>
  <c r="R1142" i="5"/>
  <c r="R1143" i="5"/>
  <c r="R1144" i="5"/>
  <c r="R1145" i="5"/>
  <c r="R1146" i="5"/>
  <c r="R1147" i="5"/>
  <c r="R1148" i="5"/>
  <c r="R1149" i="5"/>
  <c r="R1150" i="5"/>
  <c r="R1151" i="5"/>
  <c r="R1152" i="5"/>
  <c r="R1153" i="5"/>
  <c r="R1154" i="5"/>
  <c r="R1155" i="5"/>
  <c r="R1156" i="5"/>
  <c r="R1157" i="5"/>
  <c r="R1158" i="5"/>
  <c r="R1159" i="5"/>
  <c r="R1160" i="5"/>
  <c r="R1161" i="5"/>
  <c r="R1162" i="5"/>
  <c r="R1163" i="5"/>
  <c r="R1164" i="5"/>
  <c r="R1165" i="5"/>
  <c r="R1166" i="5"/>
  <c r="R1167" i="5"/>
  <c r="R1168" i="5"/>
  <c r="R1169" i="5"/>
  <c r="R1170" i="5"/>
  <c r="R1171" i="5"/>
  <c r="R1172" i="5"/>
  <c r="R1173" i="5"/>
  <c r="R1174" i="5"/>
  <c r="R1175" i="5"/>
  <c r="R1176" i="5"/>
  <c r="R1177" i="5"/>
  <c r="R1178" i="5"/>
  <c r="R1179" i="5"/>
  <c r="R1180" i="5"/>
  <c r="R1181" i="5"/>
  <c r="R1182" i="5"/>
  <c r="R1183" i="5"/>
  <c r="R1184" i="5"/>
  <c r="R1185" i="5"/>
  <c r="R1186" i="5"/>
  <c r="R1187" i="5"/>
  <c r="R1188" i="5"/>
  <c r="R1189" i="5"/>
  <c r="R1190" i="5"/>
  <c r="R1191" i="5"/>
  <c r="R1192" i="5"/>
  <c r="R1193" i="5"/>
  <c r="R1194" i="5"/>
  <c r="R1195" i="5"/>
  <c r="R1196" i="5"/>
  <c r="R1197" i="5"/>
  <c r="R1198" i="5"/>
  <c r="R1199" i="5"/>
  <c r="R1200" i="5"/>
  <c r="R1201" i="5"/>
  <c r="R1202" i="5"/>
  <c r="R1203" i="5"/>
  <c r="R1204" i="5"/>
  <c r="R1205" i="5"/>
  <c r="R1206" i="5"/>
  <c r="R1207" i="5"/>
  <c r="R1208" i="5"/>
  <c r="R1209" i="5"/>
  <c r="R1210" i="5"/>
  <c r="R1211" i="5"/>
  <c r="R1212" i="5"/>
  <c r="R1213" i="5"/>
  <c r="R1214" i="5"/>
  <c r="R1215" i="5"/>
  <c r="R1216" i="5"/>
  <c r="R1217" i="5"/>
  <c r="R1218" i="5"/>
  <c r="R1219" i="5"/>
  <c r="R1220" i="5"/>
  <c r="R1221" i="5"/>
  <c r="R1222" i="5"/>
  <c r="R1223" i="5"/>
  <c r="R1224" i="5"/>
  <c r="R1225" i="5"/>
  <c r="R1226" i="5"/>
  <c r="R1227" i="5"/>
  <c r="R1228" i="5"/>
  <c r="R1229" i="5"/>
  <c r="R1230" i="5"/>
  <c r="R1231" i="5"/>
  <c r="R1232" i="5"/>
  <c r="R1233" i="5"/>
  <c r="R1234" i="5"/>
  <c r="R1235" i="5"/>
  <c r="R1236" i="5"/>
  <c r="R1237" i="5"/>
  <c r="R1238" i="5"/>
  <c r="R1239" i="5"/>
  <c r="R1240" i="5"/>
  <c r="R1241" i="5"/>
  <c r="R1242" i="5"/>
  <c r="R1243" i="5"/>
  <c r="R1244" i="5"/>
  <c r="R1245" i="5"/>
  <c r="R1246" i="5"/>
  <c r="R1247" i="5"/>
  <c r="R1248" i="5"/>
  <c r="R1249" i="5"/>
  <c r="R1250" i="5"/>
  <c r="R1251" i="5"/>
  <c r="R1252" i="5"/>
  <c r="R1253" i="5"/>
  <c r="R1254" i="5"/>
  <c r="R1255" i="5"/>
  <c r="R1256" i="5"/>
  <c r="R1257" i="5"/>
  <c r="R1258" i="5"/>
  <c r="R1259" i="5"/>
  <c r="R1260" i="5"/>
  <c r="R1261" i="5"/>
  <c r="R1262" i="5"/>
  <c r="R1263" i="5"/>
  <c r="R1264" i="5"/>
  <c r="R1265" i="5"/>
  <c r="R1266" i="5"/>
  <c r="R1267" i="5"/>
  <c r="R1268" i="5"/>
  <c r="R1269" i="5"/>
  <c r="R1270" i="5"/>
  <c r="R1271" i="5"/>
  <c r="R1272" i="5"/>
  <c r="R1273" i="5"/>
  <c r="R1274" i="5"/>
  <c r="R1275" i="5"/>
  <c r="R1276" i="5"/>
  <c r="R1277" i="5"/>
  <c r="R1278" i="5"/>
  <c r="R1279" i="5"/>
  <c r="R1280" i="5"/>
  <c r="R1281" i="5"/>
  <c r="R1282" i="5"/>
  <c r="R1283" i="5"/>
  <c r="R1284" i="5"/>
  <c r="R1285" i="5"/>
  <c r="R1286" i="5"/>
  <c r="R1287" i="5"/>
  <c r="R1288" i="5"/>
  <c r="R1289" i="5"/>
  <c r="R1290" i="5"/>
  <c r="R1291" i="5"/>
  <c r="R1292" i="5"/>
  <c r="R1293" i="5"/>
  <c r="R1294" i="5"/>
  <c r="R1295" i="5"/>
  <c r="R1296" i="5"/>
  <c r="R1297" i="5"/>
  <c r="R1298" i="5"/>
  <c r="R1299" i="5"/>
  <c r="R1300" i="5"/>
  <c r="R1301" i="5"/>
  <c r="R1302" i="5"/>
  <c r="R1303" i="5"/>
  <c r="R1304" i="5"/>
  <c r="R1305" i="5"/>
  <c r="R1306" i="5"/>
  <c r="R1307" i="5"/>
  <c r="R1308" i="5"/>
  <c r="R1309" i="5"/>
  <c r="R1310" i="5"/>
  <c r="R1311" i="5"/>
  <c r="R1312" i="5"/>
  <c r="R1313" i="5"/>
  <c r="R1314" i="5"/>
  <c r="R1315" i="5"/>
  <c r="R1316" i="5"/>
  <c r="R1317" i="5"/>
  <c r="R1318" i="5"/>
  <c r="R1319" i="5"/>
  <c r="R1320" i="5"/>
  <c r="R1321" i="5"/>
  <c r="R1322" i="5"/>
  <c r="R1323" i="5"/>
  <c r="R1324" i="5"/>
  <c r="R1325" i="5"/>
  <c r="R1326" i="5"/>
  <c r="R1327" i="5"/>
  <c r="R1328" i="5"/>
  <c r="R1329" i="5"/>
  <c r="R1330" i="5"/>
  <c r="R1331" i="5"/>
  <c r="R1332" i="5"/>
  <c r="R1333" i="5"/>
  <c r="R1334" i="5"/>
  <c r="R1335" i="5"/>
  <c r="R1336" i="5"/>
  <c r="R1337" i="5"/>
  <c r="R1338" i="5"/>
  <c r="R1339" i="5"/>
  <c r="R1340" i="5"/>
  <c r="R1341" i="5"/>
  <c r="R1342" i="5"/>
  <c r="R1343" i="5"/>
  <c r="R1344" i="5"/>
  <c r="R1345" i="5"/>
  <c r="R1346" i="5"/>
  <c r="R1347" i="5"/>
  <c r="R1348" i="5"/>
  <c r="R1349" i="5"/>
  <c r="R1350" i="5"/>
  <c r="R1351" i="5"/>
  <c r="R1352" i="5"/>
  <c r="R1353" i="5"/>
  <c r="R1354" i="5"/>
  <c r="R1355" i="5"/>
  <c r="R1356" i="5"/>
  <c r="R1357" i="5"/>
  <c r="R1358" i="5"/>
  <c r="R1359" i="5"/>
  <c r="R1360" i="5"/>
  <c r="R1361" i="5"/>
  <c r="R1362" i="5"/>
  <c r="R1363" i="5"/>
  <c r="R1364" i="5"/>
  <c r="R1365" i="5"/>
  <c r="R1366" i="5"/>
  <c r="R1367" i="5"/>
  <c r="R1368" i="5"/>
  <c r="R1369" i="5"/>
  <c r="R1370" i="5"/>
  <c r="R1371" i="5"/>
  <c r="R1372" i="5"/>
  <c r="R1373" i="5"/>
  <c r="R1374" i="5"/>
  <c r="R1375" i="5"/>
  <c r="R1376" i="5"/>
  <c r="R1377" i="5"/>
  <c r="R1378" i="5"/>
  <c r="R1379" i="5"/>
  <c r="R1380" i="5"/>
  <c r="R1381" i="5"/>
  <c r="R1382" i="5"/>
  <c r="R1383" i="5"/>
  <c r="R1384" i="5"/>
  <c r="R1385" i="5"/>
  <c r="R1386" i="5"/>
  <c r="R1387" i="5"/>
  <c r="R1388" i="5"/>
  <c r="R1389" i="5"/>
  <c r="R1390" i="5"/>
  <c r="R1391" i="5"/>
  <c r="R1392" i="5"/>
  <c r="R1393" i="5"/>
  <c r="R1394" i="5"/>
  <c r="R1395" i="5"/>
  <c r="R1396" i="5"/>
  <c r="R1397" i="5"/>
  <c r="R1398" i="5"/>
  <c r="R1399" i="5"/>
  <c r="R1400" i="5"/>
  <c r="R1401" i="5"/>
  <c r="R1402" i="5"/>
  <c r="R1403" i="5"/>
  <c r="R1404" i="5"/>
  <c r="R1405" i="5"/>
  <c r="R1406" i="5"/>
  <c r="R1407" i="5"/>
  <c r="R1408" i="5"/>
  <c r="R1409" i="5"/>
  <c r="R1410" i="5"/>
  <c r="R1411" i="5"/>
  <c r="R1412" i="5"/>
  <c r="R1413" i="5"/>
  <c r="R1414" i="5"/>
  <c r="R1415" i="5"/>
  <c r="R1416" i="5"/>
  <c r="R1417" i="5"/>
  <c r="R1418" i="5"/>
  <c r="R1419" i="5"/>
  <c r="R1420" i="5"/>
  <c r="R1421" i="5"/>
  <c r="R1422" i="5"/>
  <c r="R1423" i="5"/>
  <c r="R1424" i="5"/>
  <c r="R1425" i="5"/>
  <c r="R1426" i="5"/>
  <c r="R1427" i="5"/>
  <c r="R1428" i="5"/>
  <c r="R1429" i="5"/>
  <c r="R1430" i="5"/>
  <c r="R1431" i="5"/>
  <c r="R1432" i="5"/>
  <c r="R1433" i="5"/>
  <c r="R1434" i="5"/>
  <c r="R1435" i="5"/>
  <c r="R1436" i="5"/>
  <c r="R1437" i="5"/>
  <c r="R1438" i="5"/>
  <c r="R1439" i="5"/>
  <c r="R1440" i="5"/>
  <c r="R1441" i="5"/>
  <c r="R1442" i="5"/>
  <c r="R1443" i="5"/>
  <c r="R1444" i="5"/>
  <c r="R1445" i="5"/>
  <c r="R1446" i="5"/>
  <c r="R1447" i="5"/>
  <c r="R1448" i="5"/>
  <c r="R1449" i="5"/>
  <c r="R1450" i="5"/>
  <c r="R1451" i="5"/>
  <c r="R1452" i="5"/>
  <c r="R1453" i="5"/>
  <c r="R1454" i="5"/>
  <c r="R1455" i="5"/>
  <c r="R1456" i="5"/>
  <c r="R1457" i="5"/>
  <c r="R1458" i="5"/>
  <c r="R1459" i="5"/>
  <c r="R1460" i="5"/>
  <c r="R1461" i="5"/>
  <c r="R1462" i="5"/>
  <c r="R1463" i="5"/>
  <c r="R1464" i="5"/>
  <c r="R1465" i="5"/>
  <c r="R1466" i="5"/>
  <c r="R1467" i="5"/>
  <c r="R1468" i="5"/>
  <c r="R1469" i="5"/>
  <c r="R1470" i="5"/>
  <c r="R1471" i="5"/>
  <c r="R1472" i="5"/>
  <c r="R1473" i="5"/>
  <c r="R1474" i="5"/>
  <c r="R1475" i="5"/>
  <c r="R1476" i="5"/>
  <c r="R1477" i="5"/>
  <c r="R1478" i="5"/>
  <c r="R1479" i="5"/>
  <c r="R1480" i="5"/>
  <c r="R1481" i="5"/>
  <c r="R1482" i="5"/>
  <c r="R1483" i="5"/>
  <c r="R1484" i="5"/>
  <c r="R1485" i="5"/>
  <c r="R1486" i="5"/>
  <c r="R1487" i="5"/>
  <c r="R1488" i="5"/>
  <c r="R1489" i="5"/>
  <c r="R1490" i="5"/>
  <c r="R1491" i="5"/>
  <c r="R1492" i="5"/>
  <c r="R1493" i="5"/>
  <c r="R1494" i="5"/>
  <c r="R1495" i="5"/>
  <c r="R1496" i="5"/>
  <c r="R1497" i="5"/>
  <c r="R1498" i="5"/>
  <c r="R1499" i="5"/>
  <c r="R1500" i="5"/>
  <c r="R1501" i="5"/>
  <c r="R1502" i="5"/>
  <c r="R1503" i="5"/>
  <c r="R1504" i="5"/>
  <c r="R1505" i="5"/>
  <c r="R1506" i="5"/>
  <c r="R1507" i="5"/>
  <c r="R1508" i="5"/>
  <c r="R1509" i="5"/>
  <c r="R1510" i="5"/>
  <c r="R1511" i="5"/>
  <c r="R1512" i="5"/>
  <c r="R1513" i="5"/>
  <c r="R1514" i="5"/>
  <c r="R1515" i="5"/>
  <c r="R1516" i="5"/>
  <c r="R1517" i="5"/>
  <c r="R1518" i="5"/>
  <c r="R1519" i="5"/>
  <c r="R1520" i="5"/>
  <c r="R1521" i="5"/>
  <c r="R1522" i="5"/>
  <c r="R1523" i="5"/>
  <c r="R1524" i="5"/>
  <c r="R1525" i="5"/>
  <c r="R1526" i="5"/>
  <c r="R1527" i="5"/>
  <c r="R1528" i="5"/>
  <c r="R1529" i="5"/>
  <c r="R1530" i="5"/>
  <c r="R1531" i="5"/>
  <c r="R1532" i="5"/>
  <c r="R1533" i="5"/>
  <c r="R1534" i="5"/>
  <c r="R1535" i="5"/>
  <c r="R1536" i="5"/>
  <c r="R1537" i="5"/>
  <c r="R1538" i="5"/>
  <c r="R1539" i="5"/>
  <c r="R1540" i="5"/>
  <c r="R1541" i="5"/>
  <c r="R1542" i="5"/>
  <c r="R1543" i="5"/>
  <c r="R1544" i="5"/>
  <c r="R1545" i="5"/>
  <c r="R1546" i="5"/>
  <c r="R1547" i="5"/>
  <c r="R1548" i="5"/>
  <c r="R1549" i="5"/>
  <c r="R1550" i="5"/>
  <c r="R1551" i="5"/>
  <c r="R1552" i="5"/>
  <c r="R1553" i="5"/>
  <c r="R1554" i="5"/>
  <c r="R1555" i="5"/>
  <c r="R1556" i="5"/>
  <c r="R1557" i="5"/>
  <c r="R1558" i="5"/>
  <c r="R1559" i="5"/>
  <c r="R1560" i="5"/>
  <c r="R1561" i="5"/>
  <c r="R1562" i="5"/>
  <c r="R1563" i="5"/>
  <c r="R1564" i="5"/>
  <c r="R1565" i="5"/>
  <c r="R1566" i="5"/>
  <c r="R1567" i="5"/>
  <c r="R1568" i="5"/>
  <c r="R1569" i="5"/>
  <c r="R1570" i="5"/>
  <c r="R1571" i="5"/>
  <c r="R1572" i="5"/>
  <c r="R1573" i="5"/>
  <c r="R1574" i="5"/>
  <c r="R1575" i="5"/>
  <c r="R1576" i="5"/>
  <c r="R1577" i="5"/>
  <c r="R1578" i="5"/>
  <c r="R1579" i="5"/>
  <c r="R1580" i="5"/>
  <c r="R1581" i="5"/>
  <c r="R1582" i="5"/>
  <c r="R1583" i="5"/>
  <c r="R1584" i="5"/>
  <c r="R1585" i="5"/>
  <c r="R1586" i="5"/>
  <c r="R1587" i="5"/>
  <c r="R1588" i="5"/>
  <c r="R1589" i="5"/>
  <c r="R1590" i="5"/>
  <c r="R1591" i="5"/>
  <c r="R1592" i="5"/>
  <c r="R1593" i="5"/>
  <c r="R1594" i="5"/>
  <c r="R1595" i="5"/>
  <c r="R1596" i="5"/>
  <c r="R1597" i="5"/>
  <c r="R1598" i="5"/>
  <c r="R1599" i="5"/>
  <c r="R1600" i="5"/>
  <c r="R1601" i="5"/>
  <c r="R1602" i="5"/>
  <c r="R1603" i="5"/>
  <c r="R1604" i="5"/>
  <c r="R1605" i="5"/>
  <c r="R1606" i="5"/>
  <c r="R1607" i="5"/>
  <c r="R1608" i="5"/>
  <c r="R1609" i="5"/>
  <c r="R1610" i="5"/>
  <c r="R1611" i="5"/>
  <c r="R1612" i="5"/>
  <c r="R1613" i="5"/>
  <c r="R1614" i="5"/>
  <c r="R1615" i="5"/>
  <c r="R1616" i="5"/>
  <c r="R1617" i="5"/>
  <c r="R1618" i="5"/>
  <c r="R1619" i="5"/>
  <c r="R1620" i="5"/>
  <c r="R1621" i="5"/>
  <c r="R1622" i="5"/>
  <c r="R1623" i="5"/>
  <c r="R1624" i="5"/>
  <c r="R1625" i="5"/>
  <c r="R1626" i="5"/>
  <c r="R1627" i="5"/>
  <c r="R1628" i="5"/>
  <c r="R1629" i="5"/>
  <c r="R1630" i="5"/>
  <c r="R1631" i="5"/>
  <c r="R1632" i="5"/>
  <c r="R1633" i="5"/>
  <c r="R1634" i="5"/>
  <c r="R1635" i="5"/>
  <c r="R1636" i="5"/>
  <c r="R1637" i="5"/>
  <c r="R1638" i="5"/>
  <c r="R1639" i="5"/>
  <c r="R1640" i="5"/>
  <c r="R1641" i="5"/>
  <c r="R1642" i="5"/>
  <c r="R1643" i="5"/>
  <c r="R1644" i="5"/>
  <c r="R1645" i="5"/>
  <c r="R1646" i="5"/>
  <c r="R1647" i="5"/>
  <c r="R1648" i="5"/>
  <c r="R1649" i="5"/>
  <c r="R1650" i="5"/>
  <c r="R1651" i="5"/>
  <c r="R1652" i="5"/>
  <c r="R1653" i="5"/>
  <c r="R1654" i="5"/>
  <c r="R1655" i="5"/>
  <c r="R1656" i="5"/>
  <c r="R1657" i="5"/>
  <c r="R1658" i="5"/>
  <c r="R1659" i="5"/>
  <c r="R1660" i="5"/>
  <c r="R1661" i="5"/>
  <c r="R1662" i="5"/>
  <c r="R1663" i="5"/>
  <c r="R1664" i="5"/>
  <c r="R1665" i="5"/>
  <c r="R1666" i="5"/>
  <c r="R1667" i="5"/>
  <c r="R1668" i="5"/>
  <c r="R1669" i="5"/>
  <c r="R1670" i="5"/>
  <c r="R1671" i="5"/>
  <c r="R1672" i="5"/>
  <c r="R1673" i="5"/>
  <c r="R1674" i="5"/>
  <c r="R1675" i="5"/>
  <c r="R1676" i="5"/>
  <c r="R1677" i="5"/>
  <c r="R1678" i="5"/>
  <c r="R1679" i="5"/>
  <c r="R1680" i="5"/>
  <c r="R1681" i="5"/>
  <c r="R1682" i="5"/>
  <c r="R1683" i="5"/>
  <c r="R1684" i="5"/>
  <c r="R1685" i="5"/>
  <c r="R1686" i="5"/>
  <c r="R1687" i="5"/>
  <c r="R1688" i="5"/>
  <c r="R1689" i="5"/>
  <c r="R1690" i="5"/>
  <c r="R1691" i="5"/>
  <c r="R1692" i="5"/>
  <c r="R1693" i="5"/>
  <c r="R1694" i="5"/>
  <c r="R1695" i="5"/>
  <c r="R1696" i="5"/>
  <c r="R1697" i="5"/>
  <c r="R1698" i="5"/>
  <c r="R1699" i="5"/>
  <c r="R1700" i="5"/>
  <c r="R1701" i="5"/>
  <c r="R1702" i="5"/>
  <c r="R1703" i="5"/>
  <c r="R1704" i="5"/>
  <c r="R1705" i="5"/>
  <c r="R1706" i="5"/>
  <c r="R1707" i="5"/>
  <c r="R1708" i="5"/>
  <c r="R1709" i="5"/>
  <c r="R1710" i="5"/>
  <c r="R1711" i="5"/>
  <c r="R1712" i="5"/>
  <c r="R1713" i="5"/>
  <c r="R1714" i="5"/>
  <c r="R1715" i="5"/>
  <c r="R1716" i="5"/>
  <c r="R1717" i="5"/>
  <c r="R1718" i="5"/>
  <c r="R1719" i="5"/>
  <c r="R1720" i="5"/>
  <c r="R1721" i="5"/>
  <c r="R1722" i="5"/>
  <c r="R1723" i="5"/>
  <c r="R1724" i="5"/>
  <c r="R1725" i="5"/>
  <c r="R1726" i="5"/>
  <c r="R1727" i="5"/>
  <c r="R1728" i="5"/>
  <c r="R1729" i="5"/>
  <c r="R1730" i="5"/>
  <c r="R1731" i="5"/>
  <c r="R1732" i="5"/>
  <c r="R1733" i="5"/>
  <c r="R1734" i="5"/>
  <c r="R1735" i="5"/>
  <c r="R1736" i="5"/>
  <c r="R1737" i="5"/>
  <c r="R1738" i="5"/>
  <c r="R1739" i="5"/>
  <c r="R1740" i="5"/>
  <c r="R1741" i="5"/>
  <c r="R1742" i="5"/>
  <c r="R1743" i="5"/>
  <c r="R1744" i="5"/>
  <c r="R1745" i="5"/>
  <c r="R1746" i="5"/>
  <c r="R1747" i="5"/>
  <c r="R1748" i="5"/>
  <c r="R1749" i="5"/>
  <c r="R1750" i="5"/>
  <c r="R1751" i="5"/>
  <c r="R1752" i="5"/>
  <c r="R1753" i="5"/>
  <c r="R1754" i="5"/>
  <c r="R1755" i="5"/>
  <c r="R1756" i="5"/>
  <c r="R1757" i="5"/>
  <c r="R1758" i="5"/>
  <c r="R1759" i="5"/>
  <c r="R1760" i="5"/>
  <c r="R1761" i="5"/>
  <c r="R1762" i="5"/>
  <c r="R1763" i="5"/>
  <c r="R1764" i="5"/>
  <c r="R1765" i="5"/>
  <c r="R1766" i="5"/>
  <c r="R1767" i="5"/>
  <c r="R1768" i="5"/>
  <c r="R1769" i="5"/>
  <c r="R1770" i="5"/>
  <c r="R1771" i="5"/>
  <c r="R1772" i="5"/>
  <c r="R1773" i="5"/>
  <c r="R1774" i="5"/>
  <c r="R1775" i="5"/>
  <c r="R1776" i="5"/>
  <c r="R1777" i="5"/>
  <c r="R1778" i="5"/>
  <c r="R1779" i="5"/>
  <c r="R1780" i="5"/>
  <c r="R1781" i="5"/>
  <c r="R1782" i="5"/>
  <c r="R1783" i="5"/>
  <c r="R1784" i="5"/>
  <c r="R1785" i="5"/>
  <c r="R1786" i="5"/>
  <c r="R1787" i="5"/>
  <c r="R1788" i="5"/>
  <c r="R1789" i="5"/>
  <c r="R1790" i="5"/>
  <c r="R1791" i="5"/>
  <c r="R1792" i="5"/>
  <c r="R1793" i="5"/>
  <c r="R1794" i="5"/>
  <c r="R1795" i="5"/>
  <c r="R1796" i="5"/>
  <c r="R1797" i="5"/>
  <c r="R1798" i="5"/>
  <c r="R1799" i="5"/>
  <c r="R1800" i="5"/>
  <c r="R1801" i="5"/>
  <c r="R1802" i="5"/>
  <c r="R1803" i="5"/>
  <c r="R1804" i="5"/>
  <c r="R1805" i="5"/>
  <c r="R1806" i="5"/>
  <c r="R1807" i="5"/>
  <c r="R1808" i="5"/>
  <c r="R1809" i="5"/>
  <c r="R1810" i="5"/>
  <c r="R1811" i="5"/>
  <c r="R1812" i="5"/>
  <c r="R1813" i="5"/>
  <c r="R1814" i="5"/>
  <c r="R1815" i="5"/>
  <c r="R1816" i="5"/>
  <c r="R1817" i="5"/>
  <c r="R1818" i="5"/>
  <c r="R1819" i="5"/>
  <c r="R1820" i="5"/>
  <c r="R1821" i="5"/>
  <c r="R1822" i="5"/>
  <c r="R1823" i="5"/>
  <c r="R1824" i="5"/>
  <c r="R1825" i="5"/>
  <c r="R1826" i="5"/>
  <c r="R1827" i="5"/>
  <c r="R1828" i="5"/>
  <c r="R1829" i="5"/>
  <c r="R1830" i="5"/>
  <c r="R1831" i="5"/>
  <c r="R1832" i="5"/>
  <c r="R1833" i="5"/>
  <c r="R1834" i="5"/>
  <c r="R1835" i="5"/>
  <c r="R1836" i="5"/>
  <c r="R1837" i="5"/>
  <c r="R1838" i="5"/>
  <c r="R1839" i="5"/>
  <c r="R1840" i="5"/>
  <c r="R1841" i="5"/>
  <c r="R1842" i="5"/>
  <c r="R1843" i="5"/>
  <c r="R1844" i="5"/>
  <c r="R1845" i="5"/>
  <c r="R1846" i="5"/>
  <c r="R1847" i="5"/>
  <c r="R1848" i="5"/>
  <c r="R1849" i="5"/>
  <c r="R1850" i="5"/>
  <c r="R1851" i="5"/>
  <c r="R1852" i="5"/>
  <c r="R1853" i="5"/>
  <c r="R1854" i="5"/>
  <c r="R1855" i="5"/>
  <c r="R1856" i="5"/>
  <c r="R1857" i="5"/>
  <c r="R1858" i="5"/>
  <c r="R1859" i="5"/>
  <c r="R1860" i="5"/>
  <c r="R1861" i="5"/>
  <c r="R1862" i="5"/>
  <c r="R1863" i="5"/>
  <c r="R1864" i="5"/>
  <c r="R1865" i="5"/>
  <c r="R1866" i="5"/>
  <c r="R1867" i="5"/>
  <c r="R1868" i="5"/>
  <c r="R1869" i="5"/>
  <c r="R1870" i="5"/>
  <c r="R1871" i="5"/>
  <c r="R1872" i="5"/>
  <c r="R1873" i="5"/>
  <c r="R1874" i="5"/>
  <c r="R1875" i="5"/>
  <c r="R1876" i="5"/>
  <c r="R1877" i="5"/>
  <c r="R1878" i="5"/>
  <c r="R1879" i="5"/>
  <c r="R1880" i="5"/>
  <c r="R1881" i="5"/>
  <c r="R1882" i="5"/>
  <c r="R1883" i="5"/>
  <c r="R1884" i="5"/>
  <c r="R1885" i="5"/>
  <c r="R1886" i="5"/>
  <c r="R1887" i="5"/>
  <c r="R1888" i="5"/>
  <c r="R1889" i="5"/>
  <c r="R1890" i="5"/>
  <c r="R1891" i="5"/>
  <c r="R1892" i="5"/>
  <c r="R1893" i="5"/>
  <c r="R1894" i="5"/>
  <c r="R1895" i="5"/>
  <c r="R1896" i="5"/>
  <c r="R1897" i="5"/>
  <c r="R1898" i="5"/>
  <c r="R1899" i="5"/>
  <c r="R1900" i="5"/>
  <c r="R1901" i="5"/>
  <c r="R1902" i="5"/>
  <c r="R1903" i="5"/>
  <c r="R1904" i="5"/>
  <c r="R1905" i="5"/>
  <c r="R1906" i="5"/>
  <c r="R1907" i="5"/>
  <c r="R1908" i="5"/>
  <c r="R1909" i="5"/>
  <c r="R1910" i="5"/>
  <c r="R1911" i="5"/>
  <c r="R1912" i="5"/>
  <c r="R1913" i="5"/>
  <c r="R1914" i="5"/>
  <c r="R1915" i="5"/>
  <c r="R1916" i="5"/>
  <c r="R1917" i="5"/>
  <c r="R1918" i="5"/>
  <c r="R1919" i="5"/>
  <c r="R1920" i="5"/>
  <c r="R1921" i="5"/>
  <c r="R1922" i="5"/>
  <c r="R1923" i="5"/>
  <c r="R1924" i="5"/>
  <c r="R1925" i="5"/>
  <c r="R1926" i="5"/>
  <c r="R1927" i="5"/>
  <c r="R1928" i="5"/>
  <c r="R1929" i="5"/>
  <c r="R1930" i="5"/>
  <c r="R1931" i="5"/>
  <c r="R1932" i="5"/>
  <c r="R1933" i="5"/>
  <c r="R1934" i="5"/>
  <c r="R1935" i="5"/>
  <c r="R1936" i="5"/>
  <c r="R1937" i="5"/>
  <c r="R1938" i="5"/>
  <c r="R1939" i="5"/>
  <c r="R1940" i="5"/>
  <c r="R1941" i="5"/>
  <c r="R1942" i="5"/>
  <c r="R1943" i="5"/>
  <c r="R1944" i="5"/>
  <c r="R1945" i="5"/>
  <c r="R1946" i="5"/>
  <c r="R1947" i="5"/>
  <c r="R1948" i="5"/>
  <c r="R1949" i="5"/>
  <c r="R1950" i="5"/>
  <c r="R1951" i="5"/>
  <c r="R1952" i="5"/>
  <c r="R1953" i="5"/>
  <c r="R1954" i="5"/>
  <c r="R1955" i="5"/>
  <c r="R1956" i="5"/>
  <c r="R1957" i="5"/>
  <c r="R1958" i="5"/>
  <c r="R1959" i="5"/>
  <c r="R1960" i="5"/>
  <c r="R1961" i="5"/>
  <c r="R1962" i="5"/>
  <c r="R1963" i="5"/>
  <c r="R1964" i="5"/>
  <c r="R1965" i="5"/>
  <c r="R1966" i="5"/>
  <c r="R1967" i="5"/>
  <c r="R1968" i="5"/>
  <c r="R1969" i="5"/>
  <c r="R1970" i="5"/>
  <c r="R1971" i="5"/>
  <c r="R1972" i="5"/>
  <c r="R1973" i="5"/>
  <c r="R1974" i="5"/>
  <c r="R1975" i="5"/>
  <c r="R1976" i="5"/>
  <c r="R1977" i="5"/>
  <c r="R1978" i="5"/>
  <c r="R1979" i="5"/>
  <c r="R1980" i="5"/>
  <c r="R1981" i="5"/>
  <c r="R1982" i="5"/>
  <c r="R1983" i="5"/>
  <c r="R1984" i="5"/>
  <c r="R1985" i="5"/>
  <c r="R1986" i="5"/>
  <c r="R1987" i="5"/>
  <c r="R1988" i="5"/>
  <c r="R1989" i="5"/>
  <c r="R1990" i="5"/>
  <c r="R1991" i="5"/>
  <c r="R1992" i="5"/>
  <c r="R1993" i="5"/>
  <c r="R1994" i="5"/>
  <c r="R1995" i="5"/>
  <c r="R1996" i="5"/>
  <c r="R1997" i="5"/>
  <c r="R1998" i="5"/>
  <c r="R1999" i="5"/>
  <c r="R2000" i="5"/>
  <c r="R2001" i="5"/>
  <c r="R2002" i="5"/>
  <c r="R2003" i="5"/>
  <c r="R2004" i="5"/>
  <c r="R2005" i="5"/>
  <c r="R2006" i="5"/>
  <c r="R2007" i="5"/>
  <c r="R2008" i="5"/>
  <c r="R2009" i="5"/>
  <c r="R2010" i="5"/>
  <c r="R2011" i="5"/>
  <c r="R2012" i="5"/>
  <c r="R2013" i="5"/>
  <c r="R2014" i="5"/>
  <c r="R2015" i="5"/>
  <c r="R2016" i="5"/>
  <c r="R2017" i="5"/>
  <c r="R2018" i="5"/>
  <c r="R2019" i="5"/>
  <c r="R2020" i="5"/>
  <c r="R2021" i="5"/>
  <c r="R2022" i="5"/>
  <c r="R2023" i="5"/>
  <c r="R2024" i="5"/>
  <c r="R2025" i="5"/>
  <c r="R2026" i="5"/>
  <c r="R2027" i="5"/>
  <c r="R2028" i="5"/>
  <c r="R2029" i="5"/>
  <c r="R2030" i="5"/>
  <c r="R2031" i="5"/>
  <c r="R2032" i="5"/>
  <c r="R2033" i="5"/>
  <c r="R2034" i="5"/>
  <c r="R2035" i="5"/>
  <c r="R2036" i="5"/>
  <c r="R2037" i="5"/>
  <c r="R2038" i="5"/>
  <c r="R2039" i="5"/>
  <c r="R2040" i="5"/>
  <c r="R2041" i="5"/>
  <c r="R2042" i="5"/>
  <c r="R2043" i="5"/>
  <c r="R2044" i="5"/>
  <c r="R2045" i="5"/>
  <c r="R2046" i="5"/>
  <c r="R2047" i="5"/>
  <c r="R2048" i="5"/>
  <c r="R2049" i="5"/>
  <c r="R2050" i="5"/>
  <c r="R2051" i="5"/>
  <c r="R2052" i="5"/>
  <c r="R2053" i="5"/>
  <c r="R2054" i="5"/>
  <c r="R2055" i="5"/>
  <c r="R2056" i="5"/>
  <c r="R2057" i="5"/>
  <c r="R2058" i="5"/>
  <c r="R2059" i="5"/>
  <c r="R2060" i="5"/>
  <c r="R2061" i="5"/>
  <c r="R2062" i="5"/>
  <c r="R2063" i="5"/>
  <c r="R2064" i="5"/>
  <c r="R2065" i="5"/>
  <c r="R2066" i="5"/>
  <c r="R2067" i="5"/>
  <c r="R2068" i="5"/>
  <c r="R2069" i="5"/>
  <c r="R2070" i="5"/>
  <c r="R2071" i="5"/>
  <c r="R2072" i="5"/>
  <c r="R2073" i="5"/>
  <c r="R2074" i="5"/>
  <c r="R2075" i="5"/>
  <c r="R2076" i="5"/>
  <c r="R2077" i="5"/>
  <c r="R2078" i="5"/>
  <c r="R2079" i="5"/>
  <c r="R2080" i="5"/>
  <c r="R2081" i="5"/>
  <c r="R2082" i="5"/>
  <c r="R2083" i="5"/>
  <c r="R2084" i="5"/>
  <c r="R2085" i="5"/>
  <c r="R2086" i="5"/>
  <c r="R2087" i="5"/>
  <c r="R2088" i="5"/>
  <c r="R2089" i="5"/>
  <c r="R2090" i="5"/>
  <c r="R2091" i="5"/>
  <c r="R2092" i="5"/>
  <c r="R2093" i="5"/>
  <c r="R2094" i="5"/>
  <c r="R2095" i="5"/>
  <c r="R2096" i="5"/>
  <c r="R2097" i="5"/>
  <c r="R2098" i="5"/>
  <c r="R2099" i="5"/>
  <c r="R2100" i="5"/>
  <c r="R2101" i="5"/>
  <c r="R2102" i="5"/>
  <c r="R2103" i="5"/>
  <c r="R2104" i="5"/>
  <c r="R2105" i="5"/>
  <c r="R2106" i="5"/>
  <c r="R2107" i="5"/>
  <c r="R2108" i="5"/>
  <c r="R2109" i="5"/>
  <c r="R2110" i="5"/>
  <c r="R2111" i="5"/>
  <c r="R2112" i="5"/>
  <c r="R2113" i="5"/>
  <c r="R2114" i="5"/>
  <c r="R2115" i="5"/>
  <c r="R2116" i="5"/>
  <c r="R2117" i="5"/>
  <c r="R2118" i="5"/>
  <c r="R2119" i="5"/>
  <c r="R2120" i="5"/>
  <c r="R2121" i="5"/>
  <c r="R2122" i="5"/>
  <c r="R2123" i="5"/>
  <c r="R2124" i="5"/>
  <c r="R2125" i="5"/>
  <c r="R2126" i="5"/>
  <c r="R2127" i="5"/>
  <c r="R2128" i="5"/>
  <c r="R2129" i="5"/>
  <c r="R2130" i="5"/>
  <c r="R2131" i="5"/>
  <c r="R2132" i="5"/>
  <c r="R2133" i="5"/>
  <c r="R2134" i="5"/>
  <c r="R2135" i="5"/>
  <c r="R2136" i="5"/>
  <c r="R2137" i="5"/>
  <c r="R2138" i="5"/>
  <c r="R2139" i="5"/>
  <c r="R2140" i="5"/>
  <c r="R2141" i="5"/>
  <c r="R2142" i="5"/>
  <c r="R2143" i="5"/>
  <c r="R2144" i="5"/>
  <c r="R2145" i="5"/>
  <c r="R2146" i="5"/>
  <c r="R2147" i="5"/>
  <c r="R2148" i="5"/>
  <c r="R2149" i="5"/>
  <c r="R2150" i="5"/>
  <c r="R2151" i="5"/>
  <c r="R2152" i="5"/>
  <c r="R2153" i="5"/>
  <c r="R2154" i="5"/>
  <c r="R2155" i="5"/>
  <c r="R2156" i="5"/>
  <c r="R2157" i="5"/>
  <c r="R2158" i="5"/>
  <c r="R2159" i="5"/>
  <c r="R2160" i="5"/>
  <c r="R2161" i="5"/>
  <c r="R2162" i="5"/>
  <c r="R2163" i="5"/>
  <c r="R2164" i="5"/>
  <c r="R2165" i="5"/>
  <c r="R2166" i="5"/>
  <c r="R2167" i="5"/>
  <c r="R2168" i="5"/>
  <c r="R2169" i="5"/>
  <c r="R2170" i="5"/>
  <c r="R2171" i="5"/>
  <c r="R2172" i="5"/>
  <c r="R2173" i="5"/>
  <c r="R2174" i="5"/>
  <c r="R2175" i="5"/>
  <c r="R2176" i="5"/>
  <c r="R2177" i="5"/>
  <c r="R2178" i="5"/>
  <c r="R2179" i="5"/>
  <c r="R2180" i="5"/>
  <c r="R2181" i="5"/>
  <c r="R2182" i="5"/>
  <c r="R2183" i="5"/>
  <c r="R2184" i="5"/>
  <c r="R2185" i="5"/>
  <c r="R2186" i="5"/>
  <c r="R2187" i="5"/>
  <c r="R2188" i="5"/>
  <c r="R2189" i="5"/>
  <c r="R2190" i="5"/>
  <c r="R2191" i="5"/>
  <c r="R2192" i="5"/>
  <c r="R2193" i="5"/>
  <c r="R2194" i="5"/>
  <c r="R2195" i="5"/>
  <c r="R2196" i="5"/>
  <c r="R2197" i="5"/>
  <c r="R2198" i="5"/>
  <c r="R2199" i="5"/>
  <c r="R2200" i="5"/>
  <c r="R2201" i="5"/>
  <c r="R2202" i="5"/>
  <c r="R2203" i="5"/>
  <c r="R2204" i="5"/>
  <c r="R2205" i="5"/>
  <c r="R2206" i="5"/>
  <c r="R2207" i="5"/>
  <c r="R2208" i="5"/>
  <c r="R2209" i="5"/>
  <c r="R2210" i="5"/>
  <c r="R2211" i="5"/>
  <c r="R2212" i="5"/>
  <c r="R2213" i="5"/>
  <c r="R2214" i="5"/>
  <c r="R2215" i="5"/>
  <c r="R2216" i="5"/>
  <c r="R2217" i="5"/>
  <c r="R2218" i="5"/>
  <c r="R2219" i="5"/>
  <c r="R2220" i="5"/>
  <c r="R2221" i="5"/>
  <c r="R2222" i="5"/>
  <c r="R2223" i="5"/>
  <c r="R2224" i="5"/>
  <c r="R2225" i="5"/>
  <c r="R2226" i="5"/>
  <c r="R2227" i="5"/>
  <c r="R2228" i="5"/>
  <c r="R2229" i="5"/>
  <c r="R2230" i="5"/>
  <c r="R2231" i="5"/>
  <c r="R2232" i="5"/>
  <c r="R2233" i="5"/>
  <c r="R2234" i="5"/>
  <c r="R2235" i="5"/>
  <c r="R2236" i="5"/>
  <c r="R2237" i="5"/>
  <c r="R2238" i="5"/>
  <c r="R2239" i="5"/>
  <c r="R2240" i="5"/>
  <c r="R2241" i="5"/>
  <c r="R2242" i="5"/>
  <c r="R2243" i="5"/>
  <c r="R2244" i="5"/>
  <c r="R2245" i="5"/>
  <c r="R2246" i="5"/>
  <c r="R2247" i="5"/>
  <c r="R2248" i="5"/>
  <c r="R2249" i="5"/>
  <c r="R2250" i="5"/>
  <c r="R2251" i="5"/>
  <c r="R2252" i="5"/>
  <c r="R2253" i="5"/>
  <c r="R2254" i="5"/>
  <c r="R2255" i="5"/>
  <c r="R2256" i="5"/>
  <c r="R2257" i="5"/>
  <c r="R2258" i="5"/>
  <c r="R2259" i="5"/>
  <c r="R2260" i="5"/>
  <c r="R2261" i="5"/>
  <c r="R2262" i="5"/>
  <c r="R2263" i="5"/>
  <c r="R2264" i="5"/>
  <c r="R2265" i="5"/>
  <c r="R2266" i="5"/>
  <c r="R2267" i="5"/>
  <c r="R2268" i="5"/>
  <c r="R2269" i="5"/>
  <c r="R2270" i="5"/>
  <c r="R2271" i="5"/>
  <c r="R2272" i="5"/>
  <c r="R2273" i="5"/>
  <c r="R2274" i="5"/>
  <c r="R2275" i="5"/>
  <c r="R2276" i="5"/>
  <c r="R2277" i="5"/>
  <c r="R2278" i="5"/>
  <c r="R2279" i="5"/>
  <c r="R2280" i="5"/>
  <c r="R2281" i="5"/>
  <c r="R2282" i="5"/>
  <c r="R2283" i="5"/>
  <c r="R2284" i="5"/>
  <c r="R2285" i="5"/>
  <c r="R2286" i="5"/>
  <c r="R2287" i="5"/>
  <c r="R2288" i="5"/>
  <c r="R2289" i="5"/>
  <c r="R2290" i="5"/>
  <c r="R2291" i="5"/>
  <c r="R2292" i="5"/>
  <c r="R2293" i="5"/>
  <c r="R2294" i="5"/>
  <c r="R2295" i="5"/>
  <c r="R2296" i="5"/>
  <c r="R2297" i="5"/>
  <c r="R2298" i="5"/>
  <c r="R2299" i="5"/>
  <c r="R2300" i="5"/>
  <c r="R2301" i="5"/>
  <c r="R2302" i="5"/>
  <c r="R2303" i="5"/>
  <c r="R2304" i="5"/>
  <c r="R2305" i="5"/>
  <c r="R2306" i="5"/>
  <c r="R2307" i="5"/>
  <c r="R2308" i="5"/>
  <c r="R2309" i="5"/>
  <c r="R2310" i="5"/>
  <c r="R2311" i="5"/>
  <c r="R2312" i="5"/>
  <c r="R2313" i="5"/>
  <c r="R2314" i="5"/>
  <c r="R2315" i="5"/>
  <c r="R2316" i="5"/>
  <c r="R2317" i="5"/>
  <c r="R2318" i="5"/>
  <c r="R2319" i="5"/>
  <c r="R2320" i="5"/>
  <c r="R2321" i="5"/>
  <c r="R2322" i="5"/>
  <c r="R2323" i="5"/>
  <c r="R2324" i="5"/>
  <c r="R2325" i="5"/>
  <c r="R2326" i="5"/>
  <c r="R2327" i="5"/>
  <c r="R2328" i="5"/>
  <c r="R2329" i="5"/>
  <c r="R2330" i="5"/>
  <c r="R2331" i="5"/>
  <c r="R2332" i="5"/>
  <c r="R2333" i="5"/>
  <c r="R2334" i="5"/>
  <c r="R2335" i="5"/>
  <c r="R2336" i="5"/>
  <c r="R2337" i="5"/>
  <c r="R2338" i="5"/>
  <c r="R2339" i="5"/>
  <c r="R2340" i="5"/>
  <c r="R2341" i="5"/>
  <c r="R2342" i="5"/>
  <c r="R2343" i="5"/>
  <c r="R2344" i="5"/>
  <c r="R2345" i="5"/>
  <c r="R2346" i="5"/>
  <c r="R2347" i="5"/>
  <c r="R2348" i="5"/>
  <c r="R2349" i="5"/>
  <c r="R2350" i="5"/>
  <c r="R2351" i="5"/>
  <c r="R2352" i="5"/>
  <c r="R2353" i="5"/>
  <c r="R2354" i="5"/>
  <c r="R2355" i="5"/>
  <c r="R2356" i="5"/>
  <c r="R2357" i="5"/>
  <c r="R2358" i="5"/>
  <c r="R2359" i="5"/>
  <c r="R2360" i="5"/>
  <c r="R2361" i="5"/>
  <c r="R2362" i="5"/>
  <c r="R2363" i="5"/>
  <c r="R2364" i="5"/>
  <c r="R2365" i="5"/>
  <c r="R2366" i="5"/>
  <c r="R2367" i="5"/>
  <c r="R2368" i="5"/>
  <c r="R2369" i="5"/>
  <c r="R2370" i="5"/>
  <c r="R2371" i="5"/>
  <c r="R2372" i="5"/>
  <c r="R2373" i="5"/>
  <c r="R2374" i="5"/>
  <c r="R2375" i="5"/>
  <c r="R2376" i="5"/>
  <c r="R2377" i="5"/>
  <c r="R2378" i="5"/>
  <c r="R2379" i="5"/>
  <c r="R2380" i="5"/>
  <c r="R2381" i="5"/>
  <c r="R2382" i="5"/>
  <c r="R2383" i="5"/>
  <c r="R2384" i="5"/>
  <c r="R2385" i="5"/>
  <c r="R2386" i="5"/>
  <c r="R2387" i="5"/>
  <c r="R2388" i="5"/>
  <c r="R2389" i="5"/>
  <c r="R2390" i="5"/>
  <c r="R2391" i="5"/>
  <c r="R2392" i="5"/>
  <c r="R2393" i="5"/>
  <c r="R2394" i="5"/>
  <c r="R2395" i="5"/>
  <c r="R2396" i="5"/>
  <c r="R2397" i="5"/>
  <c r="R2398" i="5"/>
  <c r="R2399" i="5"/>
  <c r="R2400" i="5"/>
  <c r="R2401" i="5"/>
  <c r="R2402" i="5"/>
  <c r="R2403" i="5"/>
  <c r="R2404" i="5"/>
  <c r="R2405" i="5"/>
  <c r="R2406" i="5"/>
  <c r="R2407" i="5"/>
  <c r="R2408" i="5"/>
  <c r="R2409" i="5"/>
  <c r="R2410" i="5"/>
  <c r="R2411" i="5"/>
  <c r="R2412" i="5"/>
  <c r="R2413" i="5"/>
  <c r="R2414" i="5"/>
  <c r="R2415" i="5"/>
  <c r="R2416" i="5"/>
  <c r="R2417" i="5"/>
  <c r="R2418" i="5"/>
  <c r="R2419" i="5"/>
  <c r="R2420" i="5"/>
  <c r="R2421" i="5"/>
  <c r="R2422" i="5"/>
  <c r="R2423" i="5"/>
  <c r="R2424" i="5"/>
  <c r="R2425" i="5"/>
  <c r="R2426" i="5"/>
  <c r="R2427" i="5"/>
  <c r="R2428" i="5"/>
  <c r="R2429" i="5"/>
  <c r="R2430" i="5"/>
  <c r="R2431" i="5"/>
  <c r="R2432" i="5"/>
  <c r="R2433" i="5"/>
  <c r="R2434" i="5"/>
  <c r="R2435" i="5"/>
  <c r="R2436" i="5"/>
  <c r="R2437" i="5"/>
  <c r="R2438" i="5"/>
  <c r="R2439" i="5"/>
  <c r="R2440" i="5"/>
  <c r="R2441" i="5"/>
  <c r="R2442" i="5"/>
  <c r="R2443" i="5"/>
  <c r="R2444" i="5"/>
  <c r="R2445" i="5"/>
  <c r="R2446" i="5"/>
  <c r="R2447" i="5"/>
  <c r="R2448" i="5"/>
  <c r="R2449" i="5"/>
  <c r="R2450" i="5"/>
  <c r="R2451" i="5"/>
  <c r="R2452" i="5"/>
  <c r="R2453" i="5"/>
  <c r="R2454" i="5"/>
  <c r="R2455" i="5"/>
  <c r="R2456" i="5"/>
  <c r="R2457" i="5"/>
  <c r="R2458" i="5"/>
  <c r="R2459" i="5"/>
  <c r="R2460" i="5"/>
  <c r="R2461" i="5"/>
  <c r="R2462" i="5"/>
  <c r="R2463" i="5"/>
  <c r="R2464" i="5"/>
  <c r="R2465" i="5"/>
  <c r="R2466" i="5"/>
  <c r="R2467" i="5"/>
  <c r="R2468" i="5"/>
  <c r="R2469" i="5"/>
  <c r="R2470" i="5"/>
  <c r="R2471" i="5"/>
  <c r="R2472" i="5"/>
  <c r="R2473" i="5"/>
  <c r="R2474" i="5"/>
  <c r="R2475" i="5"/>
  <c r="R2476" i="5"/>
  <c r="R2477" i="5"/>
  <c r="R2478" i="5"/>
  <c r="R2479" i="5"/>
  <c r="R2480" i="5"/>
  <c r="R2481" i="5"/>
  <c r="R2482" i="5"/>
  <c r="R2483" i="5"/>
  <c r="R2484" i="5"/>
  <c r="R2485" i="5"/>
  <c r="R2486" i="5"/>
  <c r="R2487" i="5"/>
  <c r="R2488" i="5"/>
  <c r="R2489" i="5"/>
  <c r="R2490" i="5"/>
  <c r="R2491" i="5"/>
  <c r="R2492" i="5"/>
  <c r="R2493" i="5"/>
  <c r="R2494" i="5"/>
  <c r="R2495" i="5"/>
  <c r="R2496" i="5"/>
  <c r="R2497" i="5"/>
  <c r="R2498" i="5"/>
  <c r="R2499" i="5"/>
  <c r="R2500" i="5"/>
  <c r="R2501" i="5"/>
  <c r="R2502" i="5"/>
  <c r="R2503" i="5"/>
  <c r="R2504" i="5"/>
  <c r="R2505" i="5"/>
  <c r="R2506" i="5"/>
  <c r="R2507" i="5"/>
  <c r="R2508" i="5"/>
  <c r="R2509" i="5"/>
  <c r="R2510" i="5"/>
  <c r="R2511" i="5"/>
  <c r="R2512" i="5"/>
  <c r="R2513" i="5"/>
  <c r="R2514" i="5"/>
  <c r="R2515" i="5"/>
  <c r="R2516" i="5"/>
  <c r="R2517" i="5"/>
  <c r="R2518" i="5"/>
  <c r="R2519" i="5"/>
  <c r="R2520" i="5"/>
  <c r="R2521" i="5"/>
  <c r="R2522" i="5"/>
  <c r="R2523" i="5"/>
  <c r="R2524" i="5"/>
  <c r="R2525" i="5"/>
  <c r="R2526" i="5"/>
  <c r="R2527" i="5"/>
  <c r="R2528" i="5"/>
  <c r="R2529" i="5"/>
  <c r="R2530" i="5"/>
  <c r="R2531" i="5"/>
  <c r="R2532" i="5"/>
  <c r="R2533" i="5"/>
  <c r="R2534" i="5"/>
  <c r="R2535" i="5"/>
  <c r="R2536" i="5"/>
  <c r="R2537" i="5"/>
  <c r="R2538" i="5"/>
  <c r="R2539" i="5"/>
  <c r="R2540" i="5"/>
  <c r="R2541" i="5"/>
  <c r="R2542" i="5"/>
  <c r="R2543" i="5"/>
  <c r="R2544" i="5"/>
  <c r="R2545" i="5"/>
  <c r="R2546" i="5"/>
  <c r="R2547" i="5"/>
  <c r="R2548" i="5"/>
  <c r="R2549" i="5"/>
  <c r="R2550" i="5"/>
  <c r="R2551" i="5"/>
  <c r="R2552" i="5"/>
  <c r="R2553" i="5"/>
  <c r="R2554" i="5"/>
  <c r="R2555" i="5"/>
  <c r="R2556" i="5"/>
  <c r="R2557" i="5"/>
  <c r="R2558" i="5"/>
  <c r="R2559" i="5"/>
  <c r="R2560" i="5"/>
  <c r="R2561" i="5"/>
  <c r="R2562" i="5"/>
  <c r="R2563" i="5"/>
  <c r="R2564" i="5"/>
  <c r="R2565" i="5"/>
  <c r="R2566" i="5"/>
  <c r="R2567" i="5"/>
  <c r="R2568" i="5"/>
  <c r="R2569" i="5"/>
  <c r="R2570" i="5"/>
  <c r="R2571" i="5"/>
  <c r="R2572" i="5"/>
  <c r="R2573" i="5"/>
  <c r="R2574" i="5"/>
  <c r="R2575" i="5"/>
  <c r="R2576" i="5"/>
  <c r="R2577" i="5"/>
  <c r="R2578" i="5"/>
  <c r="R2579" i="5"/>
  <c r="R2580" i="5"/>
  <c r="R2581" i="5"/>
  <c r="R2582" i="5"/>
  <c r="R2583" i="5"/>
  <c r="R2584" i="5"/>
  <c r="R2585" i="5"/>
  <c r="R2586" i="5"/>
  <c r="R2587" i="5"/>
  <c r="R2588" i="5"/>
  <c r="R2589" i="5"/>
  <c r="R2590" i="5"/>
  <c r="R2591" i="5"/>
  <c r="R2592" i="5"/>
  <c r="R2593" i="5"/>
  <c r="R2594" i="5"/>
  <c r="R2595" i="5"/>
  <c r="R2596" i="5"/>
  <c r="R2597" i="5"/>
  <c r="R2598" i="5"/>
  <c r="R2599" i="5"/>
  <c r="R2600" i="5"/>
  <c r="R2601" i="5"/>
  <c r="R2602" i="5"/>
  <c r="R2603" i="5"/>
  <c r="R2604" i="5"/>
  <c r="R2605" i="5"/>
  <c r="R2606" i="5"/>
  <c r="R2607" i="5"/>
  <c r="R2608" i="5"/>
  <c r="R2609" i="5"/>
  <c r="R2610" i="5"/>
  <c r="R2611" i="5"/>
  <c r="R2612" i="5"/>
  <c r="R2613" i="5"/>
  <c r="R2614" i="5"/>
  <c r="R2615" i="5"/>
  <c r="R2616" i="5"/>
  <c r="R2617" i="5"/>
  <c r="R2618" i="5"/>
  <c r="R2619" i="5"/>
  <c r="R2620" i="5"/>
  <c r="R2621" i="5"/>
  <c r="R2622" i="5"/>
  <c r="R2623" i="5"/>
  <c r="R2624" i="5"/>
  <c r="R2625" i="5"/>
  <c r="R2626" i="5"/>
  <c r="R2627" i="5"/>
  <c r="R2628" i="5"/>
  <c r="R2629" i="5"/>
  <c r="R2630" i="5"/>
  <c r="R2631" i="5"/>
  <c r="R2632" i="5"/>
  <c r="R2633" i="5"/>
  <c r="R2634" i="5"/>
  <c r="R2635" i="5"/>
  <c r="R2636" i="5"/>
  <c r="R2637" i="5"/>
  <c r="R2638" i="5"/>
  <c r="R2639" i="5"/>
  <c r="R2640" i="5"/>
  <c r="R2641" i="5"/>
  <c r="R2642" i="5"/>
  <c r="R2643" i="5"/>
  <c r="R2644" i="5"/>
  <c r="R2645" i="5"/>
  <c r="R2646" i="5"/>
  <c r="R2647" i="5"/>
  <c r="R2648" i="5"/>
  <c r="R2649" i="5"/>
  <c r="R2650" i="5"/>
  <c r="R2651" i="5"/>
  <c r="R2652" i="5"/>
  <c r="R2653" i="5"/>
  <c r="R2654" i="5"/>
  <c r="R2655" i="5"/>
  <c r="R2656" i="5"/>
  <c r="R2657" i="5"/>
  <c r="R2658" i="5"/>
  <c r="R2659" i="5"/>
  <c r="R2660" i="5"/>
  <c r="R2661" i="5"/>
  <c r="R2662" i="5"/>
  <c r="R2663" i="5"/>
  <c r="R2664" i="5"/>
  <c r="R2665" i="5"/>
  <c r="R2666" i="5"/>
  <c r="R2667" i="5"/>
  <c r="R2668" i="5"/>
  <c r="R2669" i="5"/>
  <c r="R2670" i="5"/>
  <c r="R2671" i="5"/>
  <c r="R2672" i="5"/>
  <c r="R2673" i="5"/>
  <c r="R2674" i="5"/>
  <c r="R2675" i="5"/>
  <c r="R2676" i="5"/>
  <c r="R2677" i="5"/>
  <c r="R2678" i="5"/>
  <c r="R2679" i="5"/>
  <c r="R2680" i="5"/>
  <c r="R2681" i="5"/>
  <c r="R2682" i="5"/>
  <c r="R2683" i="5"/>
  <c r="R2684" i="5"/>
  <c r="R2685" i="5"/>
  <c r="R2686" i="5"/>
  <c r="R2687" i="5"/>
  <c r="R2688" i="5"/>
  <c r="R2689" i="5"/>
  <c r="R2690" i="5"/>
  <c r="R2691" i="5"/>
  <c r="R2692" i="5"/>
  <c r="R2693" i="5"/>
  <c r="R2694" i="5"/>
  <c r="R2695" i="5"/>
  <c r="R2696" i="5"/>
  <c r="R2697" i="5"/>
  <c r="R2698" i="5"/>
  <c r="R2699" i="5"/>
  <c r="R2700" i="5"/>
  <c r="R2701" i="5"/>
  <c r="R2702" i="5"/>
  <c r="R2703" i="5"/>
  <c r="R2704" i="5"/>
  <c r="R2705" i="5"/>
  <c r="R2706" i="5"/>
  <c r="R2707" i="5"/>
  <c r="R2708" i="5"/>
  <c r="R2709" i="5"/>
  <c r="R2710" i="5"/>
  <c r="R2711" i="5"/>
  <c r="R2712" i="5"/>
  <c r="R2713" i="5"/>
  <c r="R2714" i="5"/>
  <c r="R2715" i="5"/>
  <c r="R2716" i="5"/>
  <c r="R2717" i="5"/>
  <c r="R2718" i="5"/>
  <c r="R2719" i="5"/>
  <c r="R2720" i="5"/>
  <c r="R2721" i="5"/>
  <c r="R2722" i="5"/>
  <c r="R2723" i="5"/>
  <c r="R2724" i="5"/>
  <c r="R2725" i="5"/>
  <c r="R2726" i="5"/>
  <c r="R2727" i="5"/>
  <c r="R2728" i="5"/>
  <c r="R2729" i="5"/>
  <c r="R2730" i="5"/>
  <c r="R2731" i="5"/>
  <c r="R2732" i="5"/>
  <c r="R2733" i="5"/>
  <c r="R2734" i="5"/>
  <c r="R2735" i="5"/>
  <c r="R2736" i="5"/>
  <c r="R2737" i="5"/>
  <c r="R2738" i="5"/>
  <c r="R2739" i="5"/>
  <c r="R2740" i="5"/>
  <c r="R2741" i="5"/>
  <c r="R2742" i="5"/>
  <c r="R2743" i="5"/>
  <c r="R2744" i="5"/>
  <c r="R2745" i="5"/>
  <c r="R2746" i="5"/>
  <c r="R2747" i="5"/>
  <c r="R2748" i="5"/>
  <c r="R2749" i="5"/>
  <c r="R2750" i="5"/>
  <c r="R2751" i="5"/>
  <c r="R2752" i="5"/>
  <c r="R2753" i="5"/>
  <c r="R2754" i="5"/>
  <c r="R2755" i="5"/>
  <c r="R2756" i="5"/>
  <c r="R2757" i="5"/>
  <c r="R2758" i="5"/>
  <c r="R2759" i="5"/>
  <c r="R2760" i="5"/>
  <c r="R2761" i="5"/>
  <c r="R2762" i="5"/>
  <c r="R2763" i="5"/>
  <c r="R2764" i="5"/>
  <c r="R2765" i="5"/>
  <c r="R2766" i="5"/>
  <c r="R2767" i="5"/>
  <c r="R2768" i="5"/>
  <c r="R2769" i="5"/>
  <c r="R2770" i="5"/>
  <c r="R2771" i="5"/>
  <c r="R2772" i="5"/>
  <c r="R2773" i="5"/>
  <c r="R2774" i="5"/>
  <c r="R2775" i="5"/>
  <c r="R2776" i="5"/>
  <c r="R2777" i="5"/>
  <c r="R2778" i="5"/>
  <c r="R2779" i="5"/>
  <c r="R2780" i="5"/>
  <c r="R2781" i="5"/>
  <c r="R2782" i="5"/>
  <c r="R2783" i="5"/>
  <c r="R2784" i="5"/>
  <c r="R2785" i="5"/>
  <c r="R2786" i="5"/>
  <c r="R2787" i="5"/>
  <c r="R2788" i="5"/>
  <c r="R2789" i="5"/>
  <c r="R2790" i="5"/>
  <c r="R2791" i="5"/>
  <c r="R2792" i="5"/>
  <c r="R2793" i="5"/>
  <c r="R2794" i="5"/>
  <c r="R2795" i="5"/>
  <c r="R2796" i="5"/>
  <c r="R2797" i="5"/>
  <c r="R2798" i="5"/>
  <c r="R2799" i="5"/>
  <c r="R2800" i="5"/>
  <c r="R2801" i="5"/>
  <c r="R2802" i="5"/>
  <c r="R2803" i="5"/>
  <c r="R2804" i="5"/>
  <c r="R2805" i="5"/>
  <c r="R2806" i="5"/>
  <c r="R2807" i="5"/>
  <c r="R2808" i="5"/>
  <c r="R2809" i="5"/>
  <c r="R2810" i="5"/>
  <c r="R2811" i="5"/>
  <c r="R2812" i="5"/>
  <c r="R2813" i="5"/>
  <c r="R2814" i="5"/>
  <c r="R2815" i="5"/>
  <c r="R2816" i="5"/>
  <c r="R2817" i="5"/>
  <c r="R2818" i="5"/>
  <c r="R2819" i="5"/>
  <c r="R2820" i="5"/>
  <c r="R2821" i="5"/>
  <c r="R2822" i="5"/>
  <c r="R2823" i="5"/>
  <c r="R2824" i="5"/>
  <c r="R2825" i="5"/>
  <c r="R2826" i="5"/>
  <c r="R2827" i="5"/>
  <c r="R2828" i="5"/>
  <c r="R2829" i="5"/>
  <c r="R2830" i="5"/>
  <c r="R2831" i="5"/>
  <c r="R2832" i="5"/>
  <c r="R2833" i="5"/>
  <c r="R2834" i="5"/>
  <c r="R2835" i="5"/>
  <c r="R2836" i="5"/>
  <c r="R2837" i="5"/>
  <c r="R2838" i="5"/>
  <c r="R2839" i="5"/>
  <c r="R2840" i="5"/>
  <c r="R2841" i="5"/>
  <c r="R2842" i="5"/>
  <c r="R2843" i="5"/>
  <c r="R2844" i="5"/>
  <c r="R2845" i="5"/>
  <c r="R2846" i="5"/>
  <c r="R2847" i="5"/>
  <c r="R2848" i="5"/>
  <c r="R2849" i="5"/>
  <c r="R2850" i="5"/>
  <c r="R2851" i="5"/>
  <c r="R2852" i="5"/>
  <c r="R2853" i="5"/>
  <c r="R2854" i="5"/>
  <c r="R2855" i="5"/>
  <c r="R2856" i="5"/>
  <c r="R2857" i="5"/>
  <c r="R2858" i="5"/>
  <c r="R2859" i="5"/>
  <c r="R2860" i="5"/>
  <c r="R2861" i="5"/>
  <c r="R2862" i="5"/>
  <c r="R2863" i="5"/>
  <c r="R2864" i="5"/>
  <c r="R2865" i="5"/>
  <c r="R2866" i="5"/>
  <c r="R2867" i="5"/>
  <c r="R2868" i="5"/>
  <c r="R2869" i="5"/>
  <c r="R2870" i="5"/>
  <c r="R2871" i="5"/>
  <c r="R2872" i="5"/>
  <c r="R2873" i="5"/>
  <c r="R2874" i="5"/>
  <c r="R2875" i="5"/>
  <c r="R2876" i="5"/>
  <c r="R2877" i="5"/>
  <c r="R2878" i="5"/>
  <c r="R2879" i="5"/>
  <c r="R2880" i="5"/>
  <c r="R2881" i="5"/>
  <c r="R2882" i="5"/>
  <c r="R2883" i="5"/>
  <c r="R2884" i="5"/>
  <c r="R2885" i="5"/>
  <c r="R2886" i="5"/>
  <c r="R2887" i="5"/>
  <c r="R2888" i="5"/>
  <c r="R2889" i="5"/>
  <c r="R2890" i="5"/>
  <c r="R2891" i="5"/>
  <c r="R2892" i="5"/>
  <c r="R2893" i="5"/>
  <c r="R2894" i="5"/>
  <c r="R2895" i="5"/>
  <c r="R2896" i="5"/>
  <c r="R2897" i="5"/>
  <c r="R2898" i="5"/>
  <c r="R2899" i="5"/>
  <c r="R2900" i="5"/>
  <c r="R2901" i="5"/>
  <c r="R2902" i="5"/>
  <c r="R2903" i="5"/>
  <c r="R2904" i="5"/>
  <c r="R2905" i="5"/>
  <c r="R2906" i="5"/>
  <c r="R2907" i="5"/>
  <c r="R2908" i="5"/>
  <c r="R2909" i="5"/>
  <c r="R2910" i="5"/>
  <c r="R2911" i="5"/>
  <c r="R2912" i="5"/>
  <c r="R2913" i="5"/>
  <c r="R2914" i="5"/>
  <c r="R2915" i="5"/>
  <c r="R2916" i="5"/>
  <c r="R2917" i="5"/>
  <c r="R2918" i="5"/>
  <c r="R2919" i="5"/>
  <c r="R2920" i="5"/>
  <c r="R2921" i="5"/>
  <c r="R2922" i="5"/>
  <c r="R2923" i="5"/>
  <c r="R2924" i="5"/>
  <c r="R2925" i="5"/>
  <c r="R2926" i="5"/>
  <c r="R2927" i="5"/>
  <c r="R2928" i="5"/>
  <c r="R2929" i="5"/>
  <c r="R2930" i="5"/>
  <c r="R2931" i="5"/>
  <c r="R2932" i="5"/>
  <c r="R2933" i="5"/>
  <c r="R2934" i="5"/>
  <c r="R2935" i="5"/>
  <c r="R2936" i="5"/>
  <c r="R2937" i="5"/>
  <c r="R2938" i="5"/>
  <c r="R2939" i="5"/>
  <c r="R2940" i="5"/>
  <c r="R2941" i="5"/>
  <c r="R2942" i="5"/>
  <c r="R2943" i="5"/>
  <c r="R2944" i="5"/>
  <c r="R2945" i="5"/>
  <c r="R2946" i="5"/>
  <c r="R2947" i="5"/>
  <c r="R2948" i="5"/>
  <c r="R2949" i="5"/>
  <c r="R2950" i="5"/>
  <c r="R2951" i="5"/>
  <c r="R2952" i="5"/>
  <c r="R2953" i="5"/>
  <c r="R2954" i="5"/>
  <c r="R2955" i="5"/>
  <c r="R2956" i="5"/>
  <c r="R2957" i="5"/>
  <c r="R2958" i="5"/>
  <c r="R2959" i="5"/>
  <c r="R2960" i="5"/>
  <c r="R2961" i="5"/>
  <c r="R2962" i="5"/>
  <c r="R2963" i="5"/>
  <c r="R2964" i="5"/>
  <c r="R2965" i="5"/>
  <c r="R2966" i="5"/>
  <c r="R2967" i="5"/>
  <c r="R2968" i="5"/>
  <c r="R2969" i="5"/>
  <c r="R2970" i="5"/>
  <c r="R2971" i="5"/>
  <c r="R2972" i="5"/>
  <c r="R2973" i="5"/>
  <c r="R2974" i="5"/>
  <c r="R2975" i="5"/>
  <c r="R2976" i="5"/>
  <c r="R2977" i="5"/>
  <c r="R2978" i="5"/>
  <c r="R2979" i="5"/>
  <c r="R2980" i="5"/>
  <c r="R2981" i="5"/>
  <c r="R2982" i="5"/>
  <c r="R2983" i="5"/>
  <c r="R2984" i="5"/>
  <c r="R2985" i="5"/>
  <c r="R2986" i="5"/>
  <c r="R2987" i="5"/>
  <c r="R2988" i="5"/>
  <c r="R2989" i="5"/>
  <c r="R2990" i="5"/>
  <c r="R2991" i="5"/>
  <c r="R2992" i="5"/>
  <c r="R2993" i="5"/>
  <c r="R2994" i="5"/>
  <c r="R2995" i="5"/>
  <c r="R2996" i="5"/>
  <c r="R2997" i="5"/>
  <c r="R2998" i="5"/>
  <c r="R2999" i="5"/>
  <c r="R3000" i="5"/>
  <c r="R3001" i="5"/>
  <c r="R3002" i="5"/>
  <c r="R3003" i="5"/>
  <c r="R3004" i="5"/>
  <c r="R3005" i="5"/>
  <c r="R3006" i="5"/>
  <c r="R3007" i="5"/>
  <c r="R3008" i="5"/>
  <c r="R3009" i="5"/>
  <c r="R3010" i="5"/>
  <c r="R3011" i="5"/>
  <c r="R3012" i="5"/>
  <c r="R3013" i="5"/>
  <c r="R3014" i="5"/>
  <c r="R3015" i="5"/>
  <c r="R3016" i="5"/>
  <c r="R3017" i="5"/>
  <c r="R3018" i="5"/>
  <c r="R3019" i="5"/>
  <c r="R3020" i="5"/>
  <c r="R3021" i="5"/>
  <c r="R3022" i="5"/>
  <c r="R3023" i="5"/>
  <c r="R3024" i="5"/>
  <c r="R3025" i="5"/>
  <c r="R3026" i="5"/>
  <c r="R3027" i="5"/>
  <c r="R3028" i="5"/>
  <c r="R3029" i="5"/>
  <c r="R3030" i="5"/>
  <c r="R3031" i="5"/>
  <c r="R3032" i="5"/>
  <c r="R3033" i="5"/>
  <c r="R3034" i="5"/>
  <c r="R3035" i="5"/>
  <c r="R3036" i="5"/>
  <c r="R3037" i="5"/>
  <c r="R3038" i="5"/>
  <c r="R3039" i="5"/>
  <c r="R3040" i="5"/>
  <c r="R3041" i="5"/>
  <c r="R3042" i="5"/>
  <c r="R3043" i="5"/>
  <c r="R3044" i="5"/>
  <c r="R3045" i="5"/>
  <c r="R3046" i="5"/>
  <c r="R3047" i="5"/>
  <c r="R3048" i="5"/>
  <c r="R3049" i="5"/>
  <c r="R3050" i="5"/>
  <c r="R3051" i="5"/>
  <c r="R3052" i="5"/>
  <c r="R3053" i="5"/>
  <c r="R3054" i="5"/>
  <c r="R3055" i="5"/>
  <c r="R3056" i="5"/>
  <c r="R3057" i="5"/>
  <c r="R3058" i="5"/>
  <c r="R3059" i="5"/>
  <c r="R3060" i="5"/>
  <c r="R3061" i="5"/>
  <c r="R3062" i="5"/>
  <c r="R3063" i="5"/>
  <c r="R3064" i="5"/>
  <c r="R3065" i="5"/>
  <c r="R3066" i="5"/>
  <c r="R3067" i="5"/>
  <c r="R3068" i="5"/>
  <c r="R3069" i="5"/>
  <c r="R3070" i="5"/>
  <c r="R3071" i="5"/>
  <c r="R3072" i="5"/>
  <c r="R3073" i="5"/>
  <c r="R3074" i="5"/>
  <c r="R3075" i="5"/>
  <c r="R3076" i="5"/>
  <c r="R3077" i="5"/>
  <c r="R3078" i="5"/>
  <c r="R3079" i="5"/>
  <c r="R3080" i="5"/>
  <c r="R3081" i="5"/>
  <c r="R3082" i="5"/>
  <c r="R3083" i="5"/>
  <c r="R3084" i="5"/>
  <c r="R3085" i="5"/>
  <c r="R3086" i="5"/>
  <c r="R3087" i="5"/>
  <c r="R3088" i="5"/>
  <c r="R3089" i="5"/>
  <c r="R3090" i="5"/>
  <c r="R3091" i="5"/>
  <c r="R3092" i="5"/>
  <c r="R3093" i="5"/>
  <c r="R3094" i="5"/>
  <c r="R3095" i="5"/>
  <c r="R3096" i="5"/>
  <c r="R3097" i="5"/>
  <c r="R3098" i="5"/>
  <c r="R3099" i="5"/>
  <c r="R3100" i="5"/>
  <c r="R3101" i="5"/>
  <c r="R3102" i="5"/>
  <c r="R3103" i="5"/>
  <c r="R3104" i="5"/>
  <c r="R3105" i="5"/>
  <c r="R3106" i="5"/>
  <c r="R3107" i="5"/>
  <c r="R3108" i="5"/>
  <c r="R3109" i="5"/>
  <c r="R3110" i="5"/>
  <c r="R3111" i="5"/>
  <c r="R3112" i="5"/>
  <c r="R3113" i="5"/>
  <c r="R3114" i="5"/>
  <c r="R3115" i="5"/>
  <c r="R3116" i="5"/>
  <c r="R3117" i="5"/>
  <c r="R3118" i="5"/>
  <c r="R3119" i="5"/>
  <c r="R3120" i="5"/>
  <c r="R3121" i="5"/>
  <c r="R3122" i="5"/>
  <c r="R3123" i="5"/>
  <c r="R3124" i="5"/>
  <c r="R3125" i="5"/>
  <c r="R3126" i="5"/>
  <c r="R3127" i="5"/>
  <c r="R3128" i="5"/>
  <c r="R3129" i="5"/>
  <c r="R3130" i="5"/>
  <c r="R3131" i="5"/>
  <c r="R3132" i="5"/>
  <c r="R3133" i="5"/>
  <c r="R3134" i="5"/>
  <c r="R3135" i="5"/>
  <c r="R3136" i="5"/>
  <c r="R3137" i="5"/>
  <c r="R3138" i="5"/>
  <c r="R3139" i="5"/>
  <c r="R3140" i="5"/>
  <c r="R3141" i="5"/>
  <c r="R3142" i="5"/>
  <c r="R3143" i="5"/>
  <c r="R3144" i="5"/>
  <c r="R3145" i="5"/>
  <c r="R3146" i="5"/>
  <c r="R3147" i="5"/>
  <c r="R3148" i="5"/>
  <c r="R3149" i="5"/>
  <c r="R3150" i="5"/>
  <c r="R3151" i="5"/>
  <c r="R3152" i="5"/>
  <c r="R3153" i="5"/>
  <c r="R3154" i="5"/>
  <c r="R3155" i="5"/>
  <c r="R3156" i="5"/>
  <c r="R3157" i="5"/>
  <c r="R3158" i="5"/>
  <c r="R3159" i="5"/>
  <c r="R3160" i="5"/>
  <c r="R3161" i="5"/>
  <c r="R3162" i="5"/>
  <c r="R3163" i="5"/>
  <c r="R3164" i="5"/>
  <c r="R3165" i="5"/>
  <c r="R3166" i="5"/>
  <c r="R3167" i="5"/>
  <c r="R3168" i="5"/>
  <c r="R3169" i="5"/>
  <c r="R3170" i="5"/>
  <c r="R3171" i="5"/>
  <c r="R3172" i="5"/>
  <c r="R3173" i="5"/>
  <c r="R3174" i="5"/>
  <c r="R3175" i="5"/>
  <c r="R3176" i="5"/>
  <c r="R3177" i="5"/>
  <c r="R3178" i="5"/>
  <c r="R3179" i="5"/>
  <c r="R3180" i="5"/>
  <c r="R3181" i="5"/>
  <c r="R3182" i="5"/>
  <c r="R3183" i="5"/>
  <c r="R3184" i="5"/>
  <c r="R3185" i="5"/>
  <c r="R3186" i="5"/>
  <c r="R3187" i="5"/>
  <c r="R3188" i="5"/>
  <c r="R3189" i="5"/>
  <c r="R3190" i="5"/>
  <c r="R3191" i="5"/>
  <c r="R3192" i="5"/>
  <c r="R3193" i="5"/>
  <c r="R3194" i="5"/>
  <c r="R3195" i="5"/>
  <c r="R3196" i="5"/>
  <c r="R3197" i="5"/>
  <c r="R3198" i="5"/>
  <c r="R3199" i="5"/>
  <c r="R3200" i="5"/>
  <c r="R3201" i="5"/>
  <c r="R3202" i="5"/>
  <c r="R3203" i="5"/>
  <c r="R3204" i="5"/>
  <c r="R3205" i="5"/>
  <c r="R3206" i="5"/>
  <c r="R3207" i="5"/>
  <c r="R3208" i="5"/>
  <c r="R3209" i="5"/>
  <c r="R3210" i="5"/>
  <c r="R3211" i="5"/>
  <c r="R3212" i="5"/>
  <c r="R3213" i="5"/>
  <c r="R3214" i="5"/>
  <c r="R3215" i="5"/>
  <c r="R3216" i="5"/>
  <c r="R3217" i="5"/>
  <c r="R3218" i="5"/>
  <c r="R3219" i="5"/>
  <c r="R3220" i="5"/>
  <c r="R3221" i="5"/>
  <c r="R3222" i="5"/>
  <c r="R3223" i="5"/>
  <c r="R3224" i="5"/>
  <c r="R3225" i="5"/>
  <c r="R3226" i="5"/>
  <c r="R3227" i="5"/>
  <c r="R3228" i="5"/>
  <c r="R3229" i="5"/>
  <c r="R3230" i="5"/>
  <c r="R3231" i="5"/>
  <c r="R3232" i="5"/>
  <c r="R3233" i="5"/>
  <c r="R3234" i="5"/>
  <c r="R3235" i="5"/>
  <c r="R3236" i="5"/>
  <c r="R3237" i="5"/>
  <c r="R3238" i="5"/>
  <c r="R3239" i="5"/>
  <c r="R3240" i="5"/>
  <c r="R3241" i="5"/>
  <c r="R3242" i="5"/>
  <c r="R3243" i="5"/>
  <c r="R3244" i="5"/>
  <c r="R3245" i="5"/>
  <c r="R3246" i="5"/>
  <c r="R3247" i="5"/>
  <c r="R3248" i="5"/>
  <c r="R3249" i="5"/>
  <c r="R3250" i="5"/>
  <c r="R3251" i="5"/>
  <c r="R3252" i="5"/>
  <c r="R3253" i="5"/>
  <c r="R3254" i="5"/>
  <c r="R3255" i="5"/>
  <c r="R3256" i="5"/>
  <c r="R3257" i="5"/>
  <c r="R3258" i="5"/>
  <c r="R3259" i="5"/>
  <c r="R3260" i="5"/>
  <c r="R3261" i="5"/>
  <c r="R3262" i="5"/>
  <c r="R3263" i="5"/>
  <c r="R3264" i="5"/>
  <c r="R3265" i="5"/>
  <c r="R3266" i="5"/>
  <c r="R3267" i="5"/>
  <c r="R3268" i="5"/>
  <c r="R3269" i="5"/>
  <c r="R3270" i="5"/>
  <c r="R3271" i="5"/>
  <c r="R3272" i="5"/>
  <c r="R3273" i="5"/>
  <c r="R3274" i="5"/>
  <c r="R3275" i="5"/>
  <c r="R3276" i="5"/>
  <c r="R3277" i="5"/>
  <c r="R3278" i="5"/>
  <c r="R3279" i="5"/>
  <c r="R3280" i="5"/>
  <c r="R3281" i="5"/>
  <c r="R3282" i="5"/>
  <c r="R3283" i="5"/>
  <c r="R3284" i="5"/>
  <c r="R3285" i="5"/>
  <c r="R3286" i="5"/>
  <c r="R3287" i="5"/>
  <c r="R3288" i="5"/>
  <c r="R3289" i="5"/>
  <c r="R3290" i="5"/>
  <c r="R3291" i="5"/>
  <c r="R3292" i="5"/>
  <c r="R3293" i="5"/>
  <c r="R3294" i="5"/>
  <c r="R3295" i="5"/>
  <c r="R3296" i="5"/>
  <c r="R3297" i="5"/>
  <c r="R3298" i="5"/>
  <c r="R3299" i="5"/>
  <c r="R3300" i="5"/>
  <c r="R3301" i="5"/>
  <c r="R3302" i="5"/>
  <c r="R3303" i="5"/>
  <c r="R3304" i="5"/>
  <c r="R3305" i="5"/>
  <c r="R3306" i="5"/>
  <c r="R3307" i="5"/>
  <c r="R3308" i="5"/>
  <c r="R3309" i="5"/>
  <c r="R3310" i="5"/>
  <c r="R3311" i="5"/>
  <c r="R3312" i="5"/>
  <c r="R3313" i="5"/>
  <c r="R3314" i="5"/>
  <c r="R3315" i="5"/>
  <c r="R3316" i="5"/>
  <c r="R3317" i="5"/>
  <c r="R3318" i="5"/>
  <c r="R3319" i="5"/>
  <c r="R3320" i="5"/>
  <c r="R3321" i="5"/>
  <c r="R3322" i="5"/>
  <c r="R3323" i="5"/>
  <c r="R3324" i="5"/>
  <c r="R3325" i="5"/>
  <c r="R3326" i="5"/>
  <c r="R3327" i="5"/>
  <c r="R3328" i="5"/>
  <c r="R3329" i="5"/>
  <c r="R3330" i="5"/>
  <c r="R3331" i="5"/>
  <c r="R3332" i="5"/>
  <c r="R3333" i="5"/>
  <c r="R3334" i="5"/>
  <c r="R3335" i="5"/>
  <c r="R3336" i="5"/>
  <c r="R3337" i="5"/>
  <c r="R3338" i="5"/>
  <c r="R3339" i="5"/>
  <c r="R3340" i="5"/>
  <c r="R3341" i="5"/>
  <c r="R3342" i="5"/>
  <c r="R3343" i="5"/>
  <c r="R3344" i="5"/>
  <c r="R3345" i="5"/>
  <c r="R3346" i="5"/>
  <c r="R3347" i="5"/>
  <c r="R3348" i="5"/>
  <c r="R3349" i="5"/>
  <c r="R3350" i="5"/>
  <c r="R3351" i="5"/>
  <c r="R3352" i="5"/>
  <c r="R3353" i="5"/>
  <c r="R3354" i="5"/>
  <c r="R3355" i="5"/>
  <c r="R3356" i="5"/>
  <c r="R3357" i="5"/>
  <c r="R3358" i="5"/>
  <c r="R3359" i="5"/>
  <c r="R3360" i="5"/>
  <c r="R3361" i="5"/>
  <c r="R3362" i="5"/>
  <c r="R3363" i="5"/>
  <c r="R3364" i="5"/>
  <c r="R3365" i="5"/>
  <c r="R3366" i="5"/>
  <c r="R3367" i="5"/>
  <c r="R3368" i="5"/>
  <c r="R3369" i="5"/>
  <c r="R3370" i="5"/>
  <c r="R3371" i="5"/>
  <c r="R3372" i="5"/>
  <c r="R3373" i="5"/>
  <c r="R3374" i="5"/>
  <c r="R3375" i="5"/>
  <c r="R3376" i="5"/>
  <c r="R3377" i="5"/>
  <c r="R3378" i="5"/>
  <c r="R3379" i="5"/>
  <c r="R3380" i="5"/>
  <c r="R3381" i="5"/>
  <c r="R3382" i="5"/>
  <c r="R3383" i="5"/>
  <c r="R3384" i="5"/>
  <c r="R3385" i="5"/>
  <c r="R3386" i="5"/>
  <c r="R3387" i="5"/>
  <c r="R3388" i="5"/>
  <c r="R3389" i="5"/>
  <c r="R3390" i="5"/>
  <c r="R3391" i="5"/>
  <c r="R3392" i="5"/>
  <c r="R3393" i="5"/>
  <c r="R3394" i="5"/>
  <c r="R3395" i="5"/>
  <c r="R3396" i="5"/>
  <c r="R3397" i="5"/>
  <c r="R3398" i="5"/>
  <c r="R3399" i="5"/>
  <c r="R3400" i="5"/>
  <c r="R3401" i="5"/>
  <c r="R3402" i="5"/>
  <c r="R3403" i="5"/>
  <c r="R3404" i="5"/>
  <c r="R3405" i="5"/>
  <c r="R3406" i="5"/>
  <c r="R3407" i="5"/>
  <c r="R3408" i="5"/>
  <c r="R3409" i="5"/>
  <c r="R3410" i="5"/>
  <c r="R3411" i="5"/>
  <c r="R3412" i="5"/>
  <c r="R3413" i="5"/>
  <c r="R3414" i="5"/>
  <c r="R3415" i="5"/>
  <c r="R3416" i="5"/>
  <c r="R3417" i="5"/>
  <c r="R3418" i="5"/>
  <c r="R3419" i="5"/>
  <c r="R3420" i="5"/>
  <c r="R3421" i="5"/>
  <c r="R3422" i="5"/>
  <c r="R3423" i="5"/>
  <c r="R3424" i="5"/>
  <c r="R3425" i="5"/>
  <c r="R3426" i="5"/>
  <c r="R3427" i="5"/>
  <c r="R3428" i="5"/>
  <c r="R3429" i="5"/>
  <c r="R3430" i="5"/>
  <c r="R3431" i="5"/>
  <c r="R3432" i="5"/>
  <c r="R3433" i="5"/>
  <c r="R3434" i="5"/>
  <c r="R3435" i="5"/>
  <c r="R3436" i="5"/>
  <c r="R3437" i="5"/>
  <c r="R3438" i="5"/>
  <c r="R3439" i="5"/>
  <c r="R3440" i="5"/>
  <c r="R3441" i="5"/>
  <c r="R3442" i="5"/>
  <c r="R3443" i="5"/>
  <c r="R3444" i="5"/>
  <c r="R3445" i="5"/>
  <c r="R3446" i="5"/>
  <c r="R3447" i="5"/>
  <c r="R3448" i="5"/>
  <c r="R3449" i="5"/>
  <c r="R3450" i="5"/>
  <c r="R3451" i="5"/>
  <c r="R3452" i="5"/>
  <c r="R3453" i="5"/>
  <c r="R3454" i="5"/>
  <c r="R3455" i="5"/>
  <c r="R3456" i="5"/>
  <c r="R3457" i="5"/>
  <c r="R3458" i="5"/>
  <c r="R3459" i="5"/>
  <c r="R3460" i="5"/>
  <c r="R3461" i="5"/>
  <c r="R3462" i="5"/>
  <c r="R3463" i="5"/>
  <c r="R3464" i="5"/>
  <c r="R3465" i="5"/>
  <c r="R3466" i="5"/>
  <c r="R3467" i="5"/>
  <c r="R3468" i="5"/>
  <c r="R3469" i="5"/>
  <c r="R3470" i="5"/>
  <c r="R3471" i="5"/>
  <c r="R3472" i="5"/>
  <c r="R3473" i="5"/>
  <c r="R3474" i="5"/>
  <c r="R3475" i="5"/>
  <c r="R3476" i="5"/>
  <c r="R3477" i="5"/>
  <c r="R3478" i="5"/>
  <c r="R3479" i="5"/>
  <c r="R3480" i="5"/>
  <c r="R3481" i="5"/>
  <c r="R3482" i="5"/>
  <c r="R3483" i="5"/>
  <c r="R3484" i="5"/>
  <c r="R3485" i="5"/>
  <c r="R3486" i="5"/>
  <c r="R3487" i="5"/>
  <c r="R3488" i="5"/>
  <c r="R3489" i="5"/>
  <c r="R3490" i="5"/>
  <c r="R3491" i="5"/>
  <c r="R3492" i="5"/>
  <c r="R3493" i="5"/>
  <c r="R3494" i="5"/>
  <c r="R3495" i="5"/>
  <c r="R3496" i="5"/>
  <c r="R3497" i="5"/>
  <c r="R3498" i="5"/>
  <c r="R3499" i="5"/>
  <c r="R3500" i="5"/>
  <c r="R3501" i="5"/>
  <c r="R3502" i="5"/>
  <c r="R3503" i="5"/>
  <c r="R3504" i="5"/>
  <c r="R3505" i="5"/>
  <c r="R3506" i="5"/>
  <c r="R3507" i="5"/>
  <c r="R3508" i="5"/>
  <c r="R3509" i="5"/>
  <c r="R3510" i="5"/>
  <c r="R3511" i="5"/>
  <c r="R3512" i="5"/>
  <c r="R3513" i="5"/>
  <c r="R3514" i="5"/>
  <c r="R3515" i="5"/>
  <c r="R3516" i="5"/>
  <c r="R3517" i="5"/>
  <c r="R3518" i="5"/>
  <c r="R3519" i="5"/>
  <c r="R3520" i="5"/>
  <c r="R3521" i="5"/>
  <c r="R3522" i="5"/>
  <c r="R3523" i="5"/>
  <c r="R3524" i="5"/>
  <c r="R3525" i="5"/>
  <c r="R3526" i="5"/>
  <c r="R3527" i="5"/>
  <c r="R3528" i="5"/>
  <c r="R3529" i="5"/>
  <c r="R3530" i="5"/>
  <c r="R3531" i="5"/>
  <c r="R3532" i="5"/>
  <c r="R3533" i="5"/>
  <c r="R3534" i="5"/>
  <c r="R3535" i="5"/>
  <c r="R3536" i="5"/>
  <c r="R3537" i="5"/>
  <c r="R3538" i="5"/>
  <c r="R3539" i="5"/>
  <c r="R3540" i="5"/>
  <c r="R3541" i="5"/>
  <c r="R3542" i="5"/>
  <c r="R3543" i="5"/>
  <c r="R3544" i="5"/>
  <c r="R3545" i="5"/>
  <c r="R3546" i="5"/>
  <c r="R3547" i="5"/>
  <c r="R3548" i="5"/>
  <c r="R3549" i="5"/>
  <c r="R3550" i="5"/>
  <c r="R3551" i="5"/>
  <c r="R3552" i="5"/>
  <c r="R3553" i="5"/>
  <c r="R3554" i="5"/>
  <c r="R3555" i="5"/>
  <c r="R3556" i="5"/>
  <c r="R3557" i="5"/>
  <c r="R3558" i="5"/>
  <c r="R3559" i="5"/>
  <c r="R3560" i="5"/>
  <c r="R3561" i="5"/>
  <c r="R3562" i="5"/>
  <c r="R3563" i="5"/>
  <c r="R3564" i="5"/>
  <c r="R3565" i="5"/>
  <c r="R3566" i="5"/>
  <c r="R3567" i="5"/>
  <c r="R3568" i="5"/>
  <c r="R3569" i="5"/>
  <c r="R3570" i="5"/>
  <c r="R3571" i="5"/>
  <c r="R3572" i="5"/>
  <c r="R3573" i="5"/>
  <c r="R3574" i="5"/>
  <c r="R3575" i="5"/>
  <c r="R3576" i="5"/>
  <c r="R3577" i="5"/>
  <c r="R3578" i="5"/>
  <c r="R3579" i="5"/>
  <c r="R3580" i="5"/>
  <c r="R3581" i="5"/>
  <c r="R3582" i="5"/>
  <c r="R3583" i="5"/>
  <c r="R3584" i="5"/>
  <c r="R3585" i="5"/>
  <c r="R3586" i="5"/>
  <c r="R3587" i="5"/>
  <c r="R3588" i="5"/>
  <c r="R3589" i="5"/>
  <c r="R3590" i="5"/>
  <c r="R3591" i="5"/>
  <c r="R3592" i="5"/>
  <c r="R3593" i="5"/>
  <c r="R3594" i="5"/>
  <c r="R3595" i="5"/>
  <c r="R3596" i="5"/>
  <c r="R3597" i="5"/>
  <c r="R3598" i="5"/>
  <c r="R3599" i="5"/>
  <c r="R3600" i="5"/>
  <c r="R3601" i="5"/>
  <c r="R3602" i="5"/>
  <c r="R3603" i="5"/>
  <c r="R3604" i="5"/>
  <c r="R3605" i="5"/>
  <c r="R3606" i="5"/>
  <c r="R3607" i="5"/>
  <c r="R3608" i="5"/>
  <c r="R3609" i="5"/>
  <c r="R3610" i="5"/>
  <c r="R3611" i="5"/>
  <c r="R3612" i="5"/>
  <c r="R3613" i="5"/>
  <c r="R3614" i="5"/>
  <c r="R3615" i="5"/>
  <c r="R3616" i="5"/>
  <c r="R3617" i="5"/>
  <c r="R3618" i="5"/>
  <c r="R3619" i="5"/>
  <c r="R3620" i="5"/>
  <c r="R3621" i="5"/>
  <c r="R3622" i="5"/>
  <c r="R3623" i="5"/>
  <c r="R3624" i="5"/>
  <c r="R3625" i="5"/>
  <c r="R3626" i="5"/>
  <c r="R3627" i="5"/>
  <c r="R3628" i="5"/>
  <c r="R3629" i="5"/>
  <c r="R3630" i="5"/>
  <c r="R3631" i="5"/>
  <c r="R3632" i="5"/>
  <c r="R3633" i="5"/>
  <c r="R3634" i="5"/>
  <c r="R3635" i="5"/>
  <c r="R3636" i="5"/>
  <c r="R3637" i="5"/>
  <c r="R3638" i="5"/>
  <c r="R3639" i="5"/>
  <c r="R3640" i="5"/>
  <c r="R3641" i="5"/>
  <c r="R3642" i="5"/>
  <c r="R3643" i="5"/>
  <c r="R3644" i="5"/>
  <c r="R3645" i="5"/>
  <c r="R3646" i="5"/>
  <c r="R3647" i="5"/>
  <c r="R3648" i="5"/>
  <c r="R3649" i="5"/>
  <c r="R3650" i="5"/>
  <c r="R3651" i="5"/>
  <c r="R3652" i="5"/>
  <c r="R3653" i="5"/>
  <c r="R3654" i="5"/>
  <c r="R3655" i="5"/>
  <c r="R3656" i="5"/>
  <c r="R3657" i="5"/>
  <c r="R3658" i="5"/>
  <c r="R3659" i="5"/>
  <c r="R3660" i="5"/>
  <c r="R3661" i="5"/>
  <c r="R3662" i="5"/>
  <c r="R3663" i="5"/>
  <c r="R3664" i="5"/>
  <c r="R3665" i="5"/>
  <c r="R3666" i="5"/>
  <c r="R3667" i="5"/>
  <c r="R3668" i="5"/>
  <c r="R3669" i="5"/>
  <c r="R3670" i="5"/>
  <c r="R3671" i="5"/>
  <c r="R3672" i="5"/>
  <c r="R3673" i="5"/>
  <c r="R3674" i="5"/>
  <c r="R3675" i="5"/>
  <c r="R3676" i="5"/>
  <c r="R3677" i="5"/>
  <c r="R3678" i="5"/>
  <c r="R3679" i="5"/>
  <c r="R3680" i="5"/>
  <c r="R3681" i="5"/>
  <c r="R3682" i="5"/>
  <c r="R3683" i="5"/>
  <c r="R3684" i="5"/>
  <c r="R3685" i="5"/>
  <c r="R3686" i="5"/>
  <c r="R3687" i="5"/>
  <c r="R3688" i="5"/>
  <c r="R3689" i="5"/>
  <c r="R3690" i="5"/>
  <c r="R3691" i="5"/>
  <c r="R3692" i="5"/>
  <c r="R3693" i="5"/>
  <c r="R3694" i="5"/>
  <c r="R3695" i="5"/>
  <c r="R3696" i="5"/>
  <c r="R3697" i="5"/>
  <c r="R3698" i="5"/>
  <c r="R3699" i="5"/>
  <c r="R3700" i="5"/>
  <c r="R3701" i="5"/>
  <c r="R3702" i="5"/>
  <c r="R3703" i="5"/>
  <c r="R3704" i="5"/>
  <c r="R3705" i="5"/>
  <c r="R3706" i="5"/>
  <c r="R3707" i="5"/>
  <c r="R3708" i="5"/>
  <c r="R3709" i="5"/>
  <c r="R3710" i="5"/>
  <c r="R3711" i="5"/>
  <c r="R3712" i="5"/>
  <c r="R3713" i="5"/>
  <c r="R3714" i="5"/>
  <c r="R3715" i="5"/>
  <c r="R3716" i="5"/>
  <c r="R3717" i="5"/>
  <c r="R3718" i="5"/>
  <c r="R3719" i="5"/>
  <c r="R3720" i="5"/>
  <c r="R3721" i="5"/>
  <c r="R3722" i="5"/>
  <c r="R3723" i="5"/>
  <c r="R3724" i="5"/>
  <c r="R3725" i="5"/>
  <c r="R3726" i="5"/>
  <c r="R3727" i="5"/>
  <c r="R3728" i="5"/>
  <c r="R3729" i="5"/>
  <c r="R3730" i="5"/>
  <c r="R3731" i="5"/>
  <c r="R3732" i="5"/>
  <c r="R3733" i="5"/>
  <c r="R3734" i="5"/>
  <c r="R3735" i="5"/>
  <c r="R3736" i="5"/>
  <c r="R3737" i="5"/>
  <c r="R3738" i="5"/>
  <c r="R3739" i="5"/>
  <c r="R3740" i="5"/>
  <c r="R3741" i="5"/>
  <c r="R3742" i="5"/>
  <c r="R3743" i="5"/>
  <c r="R3744" i="5"/>
  <c r="R3745" i="5"/>
  <c r="R3746" i="5"/>
  <c r="R3747" i="5"/>
  <c r="R3748" i="5"/>
  <c r="R3749" i="5"/>
  <c r="R3750" i="5"/>
  <c r="R3751" i="5"/>
  <c r="R3752" i="5"/>
  <c r="R3753" i="5"/>
  <c r="R3754" i="5"/>
  <c r="R3755" i="5"/>
  <c r="R3756" i="5"/>
  <c r="R3757" i="5"/>
  <c r="R3758" i="5"/>
  <c r="R3759" i="5"/>
  <c r="R3760" i="5"/>
  <c r="R3761" i="5"/>
  <c r="R3762" i="5"/>
  <c r="R3763" i="5"/>
  <c r="R3764" i="5"/>
  <c r="R3765" i="5"/>
  <c r="R3766" i="5"/>
  <c r="R3767" i="5"/>
  <c r="R3768" i="5"/>
  <c r="R3769" i="5"/>
  <c r="R3770" i="5"/>
  <c r="R3771" i="5"/>
  <c r="R3772" i="5"/>
  <c r="R3773" i="5"/>
  <c r="R3774" i="5"/>
  <c r="R3775" i="5"/>
  <c r="R3776" i="5"/>
  <c r="R3777" i="5"/>
  <c r="R3778" i="5"/>
  <c r="R3779" i="5"/>
  <c r="R3780" i="5"/>
  <c r="R3781" i="5"/>
  <c r="R3782" i="5"/>
  <c r="R3783" i="5"/>
  <c r="R3784" i="5"/>
  <c r="R3785" i="5"/>
  <c r="R3786" i="5"/>
  <c r="R3787" i="5"/>
  <c r="R3788" i="5"/>
  <c r="R3789" i="5"/>
  <c r="R3790" i="5"/>
  <c r="R3791" i="5"/>
  <c r="R3792" i="5"/>
  <c r="R3793" i="5"/>
  <c r="R3794" i="5"/>
  <c r="R3795" i="5"/>
  <c r="R3796" i="5"/>
  <c r="R3797" i="5"/>
  <c r="R3798" i="5"/>
  <c r="R3799" i="5"/>
  <c r="R3800" i="5"/>
  <c r="R3801" i="5"/>
  <c r="R3802" i="5"/>
  <c r="R3803" i="5"/>
  <c r="R3804" i="5"/>
  <c r="R3805" i="5"/>
  <c r="R3806" i="5"/>
  <c r="R3807" i="5"/>
  <c r="R3808" i="5"/>
  <c r="R3809" i="5"/>
  <c r="R3810" i="5"/>
  <c r="R3811" i="5"/>
  <c r="R3812" i="5"/>
  <c r="R3813" i="5"/>
  <c r="R3814" i="5"/>
  <c r="R3815" i="5"/>
  <c r="R3816" i="5"/>
  <c r="R3817" i="5"/>
  <c r="R3818" i="5"/>
  <c r="R3819" i="5"/>
  <c r="R3820" i="5"/>
  <c r="R3821" i="5"/>
  <c r="R3822" i="5"/>
  <c r="R3823" i="5"/>
  <c r="R3824" i="5"/>
  <c r="R3825" i="5"/>
  <c r="R3826" i="5"/>
  <c r="R3827" i="5"/>
  <c r="R3828" i="5"/>
  <c r="R3829" i="5"/>
  <c r="R3830" i="5"/>
  <c r="R3831" i="5"/>
  <c r="R3832" i="5"/>
  <c r="R3833" i="5"/>
  <c r="R3834" i="5"/>
  <c r="R3835" i="5"/>
  <c r="R3836" i="5"/>
  <c r="R3837" i="5"/>
  <c r="R3838" i="5"/>
  <c r="R3839" i="5"/>
  <c r="R3840" i="5"/>
  <c r="R3841" i="5"/>
  <c r="R3842" i="5"/>
  <c r="R3843" i="5"/>
  <c r="R3844" i="5"/>
  <c r="R3845" i="5"/>
  <c r="R3846" i="5"/>
  <c r="R3847" i="5"/>
  <c r="R3848" i="5"/>
  <c r="R3849" i="5"/>
  <c r="R3850" i="5"/>
  <c r="R3851" i="5"/>
  <c r="R3852" i="5"/>
  <c r="R3853" i="5"/>
  <c r="R3854" i="5"/>
  <c r="R3855" i="5"/>
  <c r="R3856" i="5"/>
  <c r="R3857" i="5"/>
  <c r="R3858" i="5"/>
  <c r="R3859" i="5"/>
  <c r="R3860" i="5"/>
  <c r="R3861" i="5"/>
  <c r="R3862" i="5"/>
  <c r="R3863" i="5"/>
  <c r="R3864" i="5"/>
  <c r="R3865" i="5"/>
  <c r="R3866" i="5"/>
  <c r="R3867" i="5"/>
  <c r="R3868" i="5"/>
  <c r="R3869" i="5"/>
  <c r="R3870" i="5"/>
  <c r="R3871" i="5"/>
  <c r="R3872" i="5"/>
  <c r="R3873" i="5"/>
  <c r="R3874" i="5"/>
  <c r="R3875" i="5"/>
  <c r="R3876" i="5"/>
  <c r="R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1042" i="5"/>
  <c r="Q1043" i="5"/>
  <c r="Q1044" i="5"/>
  <c r="Q1045" i="5"/>
  <c r="Q1046" i="5"/>
  <c r="Q1047" i="5"/>
  <c r="Q1048" i="5"/>
  <c r="Q1049" i="5"/>
  <c r="Q1050" i="5"/>
  <c r="Q1051" i="5"/>
  <c r="Q1052"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1080" i="5"/>
  <c r="Q1081" i="5"/>
  <c r="Q1082" i="5"/>
  <c r="Q1083" i="5"/>
  <c r="Q1084" i="5"/>
  <c r="Q1085" i="5"/>
  <c r="Q1086" i="5"/>
  <c r="Q1087" i="5"/>
  <c r="Q1088" i="5"/>
  <c r="Q1089" i="5"/>
  <c r="Q1090" i="5"/>
  <c r="Q1091" i="5"/>
  <c r="Q1092" i="5"/>
  <c r="Q1093" i="5"/>
  <c r="Q1094" i="5"/>
  <c r="Q1095" i="5"/>
  <c r="Q1096" i="5"/>
  <c r="Q1097" i="5"/>
  <c r="Q1098" i="5"/>
  <c r="Q1099" i="5"/>
  <c r="Q1100" i="5"/>
  <c r="Q1101" i="5"/>
  <c r="Q1102" i="5"/>
  <c r="Q1103" i="5"/>
  <c r="Q1104" i="5"/>
  <c r="Q1105" i="5"/>
  <c r="Q1106" i="5"/>
  <c r="Q1107" i="5"/>
  <c r="Q1108" i="5"/>
  <c r="Q1109" i="5"/>
  <c r="Q1110" i="5"/>
  <c r="Q1111" i="5"/>
  <c r="Q1112" i="5"/>
  <c r="Q1113" i="5"/>
  <c r="Q1114" i="5"/>
  <c r="Q1115" i="5"/>
  <c r="Q1116" i="5"/>
  <c r="Q1117" i="5"/>
  <c r="Q1118" i="5"/>
  <c r="Q1119" i="5"/>
  <c r="Q1120" i="5"/>
  <c r="Q1121" i="5"/>
  <c r="Q1122" i="5"/>
  <c r="Q1123" i="5"/>
  <c r="Q1124" i="5"/>
  <c r="Q1125" i="5"/>
  <c r="Q1126" i="5"/>
  <c r="Q1127" i="5"/>
  <c r="Q1128" i="5"/>
  <c r="Q1129" i="5"/>
  <c r="Q1130" i="5"/>
  <c r="Q1131" i="5"/>
  <c r="Q1132" i="5"/>
  <c r="Q1133" i="5"/>
  <c r="Q1134" i="5"/>
  <c r="Q1135" i="5"/>
  <c r="Q1136" i="5"/>
  <c r="Q1137" i="5"/>
  <c r="Q1138" i="5"/>
  <c r="Q1139" i="5"/>
  <c r="Q1140" i="5"/>
  <c r="Q1141" i="5"/>
  <c r="Q1142" i="5"/>
  <c r="Q1143" i="5"/>
  <c r="Q1144" i="5"/>
  <c r="Q1145" i="5"/>
  <c r="Q1146" i="5"/>
  <c r="Q1147" i="5"/>
  <c r="Q1148" i="5"/>
  <c r="Q1149" i="5"/>
  <c r="Q1150" i="5"/>
  <c r="Q1151" i="5"/>
  <c r="Q1152" i="5"/>
  <c r="Q1153" i="5"/>
  <c r="Q1154" i="5"/>
  <c r="Q1155" i="5"/>
  <c r="Q1156" i="5"/>
  <c r="Q1157" i="5"/>
  <c r="Q1158" i="5"/>
  <c r="Q1159" i="5"/>
  <c r="Q1160" i="5"/>
  <c r="Q1161" i="5"/>
  <c r="Q1162" i="5"/>
  <c r="Q1163" i="5"/>
  <c r="Q1164" i="5"/>
  <c r="Q1165" i="5"/>
  <c r="Q1166" i="5"/>
  <c r="Q1167" i="5"/>
  <c r="Q1168" i="5"/>
  <c r="Q1169" i="5"/>
  <c r="Q1170" i="5"/>
  <c r="Q1171" i="5"/>
  <c r="Q1172" i="5"/>
  <c r="Q1173" i="5"/>
  <c r="Q1174" i="5"/>
  <c r="Q1175" i="5"/>
  <c r="Q1176" i="5"/>
  <c r="Q1177" i="5"/>
  <c r="Q1178" i="5"/>
  <c r="Q1179" i="5"/>
  <c r="Q1180" i="5"/>
  <c r="Q1181" i="5"/>
  <c r="Q1182" i="5"/>
  <c r="Q1183" i="5"/>
  <c r="Q1184" i="5"/>
  <c r="Q1185" i="5"/>
  <c r="Q1186" i="5"/>
  <c r="Q1187" i="5"/>
  <c r="Q1188" i="5"/>
  <c r="Q1189" i="5"/>
  <c r="Q1190" i="5"/>
  <c r="Q1191" i="5"/>
  <c r="Q1192" i="5"/>
  <c r="Q1193" i="5"/>
  <c r="Q1194" i="5"/>
  <c r="Q1195" i="5"/>
  <c r="Q1196" i="5"/>
  <c r="Q1197" i="5"/>
  <c r="Q1198" i="5"/>
  <c r="Q1199" i="5"/>
  <c r="Q1200" i="5"/>
  <c r="Q1201" i="5"/>
  <c r="Q1202" i="5"/>
  <c r="Q1203" i="5"/>
  <c r="Q1204" i="5"/>
  <c r="Q1205" i="5"/>
  <c r="Q1206" i="5"/>
  <c r="Q1207" i="5"/>
  <c r="Q1208" i="5"/>
  <c r="Q1209" i="5"/>
  <c r="Q1210" i="5"/>
  <c r="Q1211" i="5"/>
  <c r="Q1212" i="5"/>
  <c r="Q1213" i="5"/>
  <c r="Q1214" i="5"/>
  <c r="Q1215" i="5"/>
  <c r="Q1216" i="5"/>
  <c r="Q1217" i="5"/>
  <c r="Q1218" i="5"/>
  <c r="Q1219" i="5"/>
  <c r="Q1220" i="5"/>
  <c r="Q1221" i="5"/>
  <c r="Q1222" i="5"/>
  <c r="Q1223" i="5"/>
  <c r="Q1224" i="5"/>
  <c r="Q1225" i="5"/>
  <c r="Q1226" i="5"/>
  <c r="Q1227" i="5"/>
  <c r="Q1228" i="5"/>
  <c r="Q1229" i="5"/>
  <c r="Q1230" i="5"/>
  <c r="Q1231" i="5"/>
  <c r="Q1232" i="5"/>
  <c r="Q1233" i="5"/>
  <c r="Q1234" i="5"/>
  <c r="Q1235" i="5"/>
  <c r="Q1236" i="5"/>
  <c r="Q1237" i="5"/>
  <c r="Q1238" i="5"/>
  <c r="Q1239" i="5"/>
  <c r="Q1240" i="5"/>
  <c r="Q1241" i="5"/>
  <c r="Q1242" i="5"/>
  <c r="Q1243" i="5"/>
  <c r="Q1244" i="5"/>
  <c r="Q1245" i="5"/>
  <c r="Q1246" i="5"/>
  <c r="Q1247" i="5"/>
  <c r="Q1248" i="5"/>
  <c r="Q1249" i="5"/>
  <c r="Q1250" i="5"/>
  <c r="Q1251" i="5"/>
  <c r="Q1252" i="5"/>
  <c r="Q1253" i="5"/>
  <c r="Q1254" i="5"/>
  <c r="Q1255" i="5"/>
  <c r="Q1256" i="5"/>
  <c r="Q1257" i="5"/>
  <c r="Q1258" i="5"/>
  <c r="Q1259" i="5"/>
  <c r="Q1260" i="5"/>
  <c r="Q1261" i="5"/>
  <c r="Q1262" i="5"/>
  <c r="Q1263" i="5"/>
  <c r="Q1264" i="5"/>
  <c r="Q1265" i="5"/>
  <c r="Q1266" i="5"/>
  <c r="Q1267" i="5"/>
  <c r="Q1268" i="5"/>
  <c r="Q1269" i="5"/>
  <c r="Q1270" i="5"/>
  <c r="Q1271" i="5"/>
  <c r="Q1272" i="5"/>
  <c r="Q1273" i="5"/>
  <c r="Q1274" i="5"/>
  <c r="Q1275" i="5"/>
  <c r="Q1276" i="5"/>
  <c r="Q1277" i="5"/>
  <c r="Q1278" i="5"/>
  <c r="Q1279" i="5"/>
  <c r="Q1280" i="5"/>
  <c r="Q1281" i="5"/>
  <c r="Q1282" i="5"/>
  <c r="Q1283" i="5"/>
  <c r="Q1284" i="5"/>
  <c r="Q1285" i="5"/>
  <c r="Q1286" i="5"/>
  <c r="Q1287" i="5"/>
  <c r="Q1288" i="5"/>
  <c r="Q1289" i="5"/>
  <c r="Q1290" i="5"/>
  <c r="Q1291" i="5"/>
  <c r="Q1292" i="5"/>
  <c r="Q1293" i="5"/>
  <c r="Q1294" i="5"/>
  <c r="Q1295" i="5"/>
  <c r="Q1296" i="5"/>
  <c r="Q1297" i="5"/>
  <c r="Q1298" i="5"/>
  <c r="Q1299" i="5"/>
  <c r="Q1300" i="5"/>
  <c r="Q1301" i="5"/>
  <c r="Q1302" i="5"/>
  <c r="Q1303" i="5"/>
  <c r="Q1304" i="5"/>
  <c r="Q1305" i="5"/>
  <c r="Q1306" i="5"/>
  <c r="Q1307" i="5"/>
  <c r="Q1308" i="5"/>
  <c r="Q1309" i="5"/>
  <c r="Q1310" i="5"/>
  <c r="Q1311" i="5"/>
  <c r="Q1312" i="5"/>
  <c r="Q1313" i="5"/>
  <c r="Q1314" i="5"/>
  <c r="Q1315" i="5"/>
  <c r="Q1316" i="5"/>
  <c r="Q1317" i="5"/>
  <c r="Q1318" i="5"/>
  <c r="Q1319" i="5"/>
  <c r="Q1320" i="5"/>
  <c r="Q1321" i="5"/>
  <c r="Q1322" i="5"/>
  <c r="Q1323" i="5"/>
  <c r="Q1324" i="5"/>
  <c r="Q1325" i="5"/>
  <c r="Q1326" i="5"/>
  <c r="Q1327" i="5"/>
  <c r="Q1328" i="5"/>
  <c r="Q1329" i="5"/>
  <c r="Q1330" i="5"/>
  <c r="Q1331" i="5"/>
  <c r="Q1332" i="5"/>
  <c r="Q1333" i="5"/>
  <c r="Q1334" i="5"/>
  <c r="Q1335" i="5"/>
  <c r="Q1336" i="5"/>
  <c r="Q1337" i="5"/>
  <c r="Q1338" i="5"/>
  <c r="Q1339" i="5"/>
  <c r="Q1340" i="5"/>
  <c r="Q1341" i="5"/>
  <c r="Q1342" i="5"/>
  <c r="Q1343" i="5"/>
  <c r="Q1344" i="5"/>
  <c r="Q1345" i="5"/>
  <c r="Q1346" i="5"/>
  <c r="Q1347" i="5"/>
  <c r="Q1348" i="5"/>
  <c r="Q1349" i="5"/>
  <c r="Q1350" i="5"/>
  <c r="Q1351" i="5"/>
  <c r="Q1352" i="5"/>
  <c r="Q1353" i="5"/>
  <c r="Q1354" i="5"/>
  <c r="Q1355" i="5"/>
  <c r="Q1356" i="5"/>
  <c r="Q1357" i="5"/>
  <c r="Q1358" i="5"/>
  <c r="Q1359" i="5"/>
  <c r="Q1360" i="5"/>
  <c r="Q1361" i="5"/>
  <c r="Q1362" i="5"/>
  <c r="Q1363" i="5"/>
  <c r="Q1364" i="5"/>
  <c r="Q1365" i="5"/>
  <c r="Q1366" i="5"/>
  <c r="Q1367" i="5"/>
  <c r="Q1368" i="5"/>
  <c r="Q1369" i="5"/>
  <c r="Q1370" i="5"/>
  <c r="Q1371" i="5"/>
  <c r="Q1372" i="5"/>
  <c r="Q1373" i="5"/>
  <c r="Q1374" i="5"/>
  <c r="Q1375" i="5"/>
  <c r="Q1376" i="5"/>
  <c r="Q1377" i="5"/>
  <c r="Q1378" i="5"/>
  <c r="Q1379" i="5"/>
  <c r="Q1380" i="5"/>
  <c r="Q1381" i="5"/>
  <c r="Q1382" i="5"/>
  <c r="Q1383" i="5"/>
  <c r="Q1384" i="5"/>
  <c r="Q1385" i="5"/>
  <c r="Q1386" i="5"/>
  <c r="Q1387" i="5"/>
  <c r="Q1388" i="5"/>
  <c r="Q1389" i="5"/>
  <c r="Q1390" i="5"/>
  <c r="Q1391" i="5"/>
  <c r="Q1392" i="5"/>
  <c r="Q1393" i="5"/>
  <c r="Q1394" i="5"/>
  <c r="Q1395" i="5"/>
  <c r="Q1396" i="5"/>
  <c r="Q1397" i="5"/>
  <c r="Q1398" i="5"/>
  <c r="Q1399" i="5"/>
  <c r="Q1400" i="5"/>
  <c r="Q1401" i="5"/>
  <c r="Q1402" i="5"/>
  <c r="Q1403" i="5"/>
  <c r="Q1404" i="5"/>
  <c r="Q1405" i="5"/>
  <c r="Q1406" i="5"/>
  <c r="Q1407" i="5"/>
  <c r="Q1408" i="5"/>
  <c r="Q1409" i="5"/>
  <c r="Q1410" i="5"/>
  <c r="Q1411" i="5"/>
  <c r="Q1412" i="5"/>
  <c r="Q1413" i="5"/>
  <c r="Q1414" i="5"/>
  <c r="Q1415" i="5"/>
  <c r="Q1416" i="5"/>
  <c r="Q1417" i="5"/>
  <c r="Q1418" i="5"/>
  <c r="Q1419" i="5"/>
  <c r="Q1420" i="5"/>
  <c r="Q1421" i="5"/>
  <c r="Q1422" i="5"/>
  <c r="Q1423" i="5"/>
  <c r="Q1424" i="5"/>
  <c r="Q1425" i="5"/>
  <c r="Q1426" i="5"/>
  <c r="Q1427" i="5"/>
  <c r="Q1428" i="5"/>
  <c r="Q1429" i="5"/>
  <c r="Q1430" i="5"/>
  <c r="Q1431" i="5"/>
  <c r="Q1432" i="5"/>
  <c r="Q1433" i="5"/>
  <c r="Q1434" i="5"/>
  <c r="Q1435" i="5"/>
  <c r="Q1436" i="5"/>
  <c r="Q1437" i="5"/>
  <c r="Q1438" i="5"/>
  <c r="Q1439" i="5"/>
  <c r="Q1440" i="5"/>
  <c r="Q1441" i="5"/>
  <c r="Q1442" i="5"/>
  <c r="Q1443" i="5"/>
  <c r="Q1444" i="5"/>
  <c r="Q1445" i="5"/>
  <c r="Q1446" i="5"/>
  <c r="Q1447" i="5"/>
  <c r="Q1448" i="5"/>
  <c r="Q1449" i="5"/>
  <c r="Q1450" i="5"/>
  <c r="Q1451" i="5"/>
  <c r="Q1452" i="5"/>
  <c r="Q1453" i="5"/>
  <c r="Q1454" i="5"/>
  <c r="Q1455" i="5"/>
  <c r="Q1456" i="5"/>
  <c r="Q1457" i="5"/>
  <c r="Q1458" i="5"/>
  <c r="Q1459" i="5"/>
  <c r="Q1460" i="5"/>
  <c r="Q1461" i="5"/>
  <c r="Q1462" i="5"/>
  <c r="Q1463" i="5"/>
  <c r="Q1464" i="5"/>
  <c r="Q1465" i="5"/>
  <c r="Q1466" i="5"/>
  <c r="Q1467" i="5"/>
  <c r="Q1468" i="5"/>
  <c r="Q1469" i="5"/>
  <c r="Q1470" i="5"/>
  <c r="Q1471" i="5"/>
  <c r="Q1472" i="5"/>
  <c r="Q1473" i="5"/>
  <c r="Q1474" i="5"/>
  <c r="Q1475" i="5"/>
  <c r="Q1476" i="5"/>
  <c r="Q1477" i="5"/>
  <c r="Q1478" i="5"/>
  <c r="Q1479" i="5"/>
  <c r="Q1480" i="5"/>
  <c r="Q1481" i="5"/>
  <c r="Q1482" i="5"/>
  <c r="Q1483" i="5"/>
  <c r="Q1484" i="5"/>
  <c r="Q1485" i="5"/>
  <c r="Q1486" i="5"/>
  <c r="Q1487" i="5"/>
  <c r="Q1488" i="5"/>
  <c r="Q1489" i="5"/>
  <c r="Q1490" i="5"/>
  <c r="Q1491" i="5"/>
  <c r="Q1492" i="5"/>
  <c r="Q1493" i="5"/>
  <c r="Q1494" i="5"/>
  <c r="Q1495" i="5"/>
  <c r="Q1496" i="5"/>
  <c r="Q1497" i="5"/>
  <c r="Q1498" i="5"/>
  <c r="Q1499" i="5"/>
  <c r="Q1500" i="5"/>
  <c r="Q1501" i="5"/>
  <c r="Q1502" i="5"/>
  <c r="Q1503" i="5"/>
  <c r="Q1504" i="5"/>
  <c r="Q1505" i="5"/>
  <c r="Q1506" i="5"/>
  <c r="Q1507" i="5"/>
  <c r="Q1508" i="5"/>
  <c r="Q1509" i="5"/>
  <c r="Q1510" i="5"/>
  <c r="Q1511" i="5"/>
  <c r="Q1512" i="5"/>
  <c r="Q1513" i="5"/>
  <c r="Q1514" i="5"/>
  <c r="Q1515" i="5"/>
  <c r="Q1516" i="5"/>
  <c r="Q1517" i="5"/>
  <c r="Q1518" i="5"/>
  <c r="Q1519" i="5"/>
  <c r="Q1520" i="5"/>
  <c r="Q1521" i="5"/>
  <c r="Q1522" i="5"/>
  <c r="Q1523" i="5"/>
  <c r="Q1524" i="5"/>
  <c r="Q1525" i="5"/>
  <c r="Q1526" i="5"/>
  <c r="Q1527" i="5"/>
  <c r="Q1528" i="5"/>
  <c r="Q1529" i="5"/>
  <c r="Q1530" i="5"/>
  <c r="Q1531" i="5"/>
  <c r="Q1532" i="5"/>
  <c r="Q1533" i="5"/>
  <c r="Q1534" i="5"/>
  <c r="Q1535" i="5"/>
  <c r="Q1536" i="5"/>
  <c r="Q1537" i="5"/>
  <c r="Q1538" i="5"/>
  <c r="Q1539" i="5"/>
  <c r="Q1540" i="5"/>
  <c r="Q1541" i="5"/>
  <c r="Q1542" i="5"/>
  <c r="Q1543" i="5"/>
  <c r="Q1544" i="5"/>
  <c r="Q1545" i="5"/>
  <c r="Q1546" i="5"/>
  <c r="Q1547" i="5"/>
  <c r="Q1548" i="5"/>
  <c r="Q1549" i="5"/>
  <c r="Q1550" i="5"/>
  <c r="Q1551" i="5"/>
  <c r="Q1552" i="5"/>
  <c r="Q1553" i="5"/>
  <c r="Q1554" i="5"/>
  <c r="Q1555" i="5"/>
  <c r="Q1556" i="5"/>
  <c r="Q1557" i="5"/>
  <c r="Q1558" i="5"/>
  <c r="Q1559" i="5"/>
  <c r="Q1560" i="5"/>
  <c r="Q1561" i="5"/>
  <c r="Q1562" i="5"/>
  <c r="Q1563" i="5"/>
  <c r="Q1564" i="5"/>
  <c r="Q1565" i="5"/>
  <c r="Q1566" i="5"/>
  <c r="Q1567" i="5"/>
  <c r="Q1568" i="5"/>
  <c r="Q1569" i="5"/>
  <c r="Q1570" i="5"/>
  <c r="Q1571" i="5"/>
  <c r="Q1572" i="5"/>
  <c r="Q1573" i="5"/>
  <c r="Q1574" i="5"/>
  <c r="Q1575" i="5"/>
  <c r="Q1576" i="5"/>
  <c r="Q1577" i="5"/>
  <c r="Q1578" i="5"/>
  <c r="Q1579" i="5"/>
  <c r="Q1580" i="5"/>
  <c r="Q1581" i="5"/>
  <c r="Q1582" i="5"/>
  <c r="Q1583" i="5"/>
  <c r="Q1584" i="5"/>
  <c r="Q1585" i="5"/>
  <c r="Q1586" i="5"/>
  <c r="Q1587" i="5"/>
  <c r="Q1588" i="5"/>
  <c r="Q1589" i="5"/>
  <c r="Q1590" i="5"/>
  <c r="Q1591" i="5"/>
  <c r="Q1592" i="5"/>
  <c r="Q1593" i="5"/>
  <c r="Q1594" i="5"/>
  <c r="Q1595" i="5"/>
  <c r="Q1596" i="5"/>
  <c r="Q1597" i="5"/>
  <c r="Q1598" i="5"/>
  <c r="Q1599" i="5"/>
  <c r="Q1600" i="5"/>
  <c r="Q1601" i="5"/>
  <c r="Q1602" i="5"/>
  <c r="Q1603" i="5"/>
  <c r="Q1604" i="5"/>
  <c r="Q1605" i="5"/>
  <c r="Q1606" i="5"/>
  <c r="Q1607" i="5"/>
  <c r="Q1608" i="5"/>
  <c r="Q1609" i="5"/>
  <c r="Q1610" i="5"/>
  <c r="Q1611" i="5"/>
  <c r="Q1612" i="5"/>
  <c r="Q1613" i="5"/>
  <c r="Q1614" i="5"/>
  <c r="Q1615" i="5"/>
  <c r="Q1616" i="5"/>
  <c r="Q1617" i="5"/>
  <c r="Q1618" i="5"/>
  <c r="Q1619" i="5"/>
  <c r="Q1620" i="5"/>
  <c r="Q1621" i="5"/>
  <c r="Q1622" i="5"/>
  <c r="Q1623" i="5"/>
  <c r="Q1624" i="5"/>
  <c r="Q1625" i="5"/>
  <c r="Q1626" i="5"/>
  <c r="Q1627" i="5"/>
  <c r="Q1628" i="5"/>
  <c r="Q1629" i="5"/>
  <c r="Q1630" i="5"/>
  <c r="Q1631" i="5"/>
  <c r="Q1632" i="5"/>
  <c r="Q1633" i="5"/>
  <c r="Q1634" i="5"/>
  <c r="Q1635" i="5"/>
  <c r="Q1636" i="5"/>
  <c r="Q1637" i="5"/>
  <c r="Q1638" i="5"/>
  <c r="Q1639" i="5"/>
  <c r="Q1640" i="5"/>
  <c r="Q1641" i="5"/>
  <c r="Q1642" i="5"/>
  <c r="Q1643" i="5"/>
  <c r="Q1644" i="5"/>
  <c r="Q1645" i="5"/>
  <c r="Q1646" i="5"/>
  <c r="Q1647" i="5"/>
  <c r="Q1648" i="5"/>
  <c r="Q1649" i="5"/>
  <c r="Q1650" i="5"/>
  <c r="Q1651" i="5"/>
  <c r="Q1652" i="5"/>
  <c r="Q1653" i="5"/>
  <c r="Q1654" i="5"/>
  <c r="Q1655" i="5"/>
  <c r="Q1656" i="5"/>
  <c r="Q1657" i="5"/>
  <c r="Q1658" i="5"/>
  <c r="Q1659" i="5"/>
  <c r="Q1660" i="5"/>
  <c r="Q1661" i="5"/>
  <c r="Q1662" i="5"/>
  <c r="Q1663" i="5"/>
  <c r="Q1664" i="5"/>
  <c r="Q1665" i="5"/>
  <c r="Q1666" i="5"/>
  <c r="Q1667" i="5"/>
  <c r="Q1668" i="5"/>
  <c r="Q1669" i="5"/>
  <c r="Q1670" i="5"/>
  <c r="Q1671" i="5"/>
  <c r="Q1672" i="5"/>
  <c r="Q1673" i="5"/>
  <c r="Q1674" i="5"/>
  <c r="Q1675" i="5"/>
  <c r="Q1676" i="5"/>
  <c r="Q1677" i="5"/>
  <c r="Q1678" i="5"/>
  <c r="Q1679" i="5"/>
  <c r="Q1680" i="5"/>
  <c r="Q1681" i="5"/>
  <c r="Q1682" i="5"/>
  <c r="Q1683" i="5"/>
  <c r="Q1684" i="5"/>
  <c r="Q1685" i="5"/>
  <c r="Q1686" i="5"/>
  <c r="Q1687" i="5"/>
  <c r="Q1688" i="5"/>
  <c r="Q1689" i="5"/>
  <c r="Q1690" i="5"/>
  <c r="Q1691" i="5"/>
  <c r="Q1692" i="5"/>
  <c r="Q1693" i="5"/>
  <c r="Q1694" i="5"/>
  <c r="Q1695" i="5"/>
  <c r="Q1696" i="5"/>
  <c r="Q1697" i="5"/>
  <c r="Q1698" i="5"/>
  <c r="Q1699" i="5"/>
  <c r="Q1700" i="5"/>
  <c r="Q1701" i="5"/>
  <c r="Q1702" i="5"/>
  <c r="Q1703" i="5"/>
  <c r="Q1704" i="5"/>
  <c r="Q1705" i="5"/>
  <c r="Q1706" i="5"/>
  <c r="Q1707" i="5"/>
  <c r="Q1708" i="5"/>
  <c r="Q1709" i="5"/>
  <c r="Q1710" i="5"/>
  <c r="Q1711" i="5"/>
  <c r="Q1712" i="5"/>
  <c r="Q1713" i="5"/>
  <c r="Q1714" i="5"/>
  <c r="Q1715" i="5"/>
  <c r="Q1716" i="5"/>
  <c r="Q1717" i="5"/>
  <c r="Q1718" i="5"/>
  <c r="Q1719" i="5"/>
  <c r="Q1720" i="5"/>
  <c r="Q1721" i="5"/>
  <c r="Q1722" i="5"/>
  <c r="Q1723" i="5"/>
  <c r="Q1724" i="5"/>
  <c r="Q1725" i="5"/>
  <c r="Q1726" i="5"/>
  <c r="Q1727" i="5"/>
  <c r="Q1728" i="5"/>
  <c r="Q1729" i="5"/>
  <c r="Q1730" i="5"/>
  <c r="Q1731" i="5"/>
  <c r="Q1732" i="5"/>
  <c r="Q1733" i="5"/>
  <c r="Q1734" i="5"/>
  <c r="Q1735" i="5"/>
  <c r="Q1736" i="5"/>
  <c r="Q1737" i="5"/>
  <c r="Q1738" i="5"/>
  <c r="Q1739" i="5"/>
  <c r="Q1740" i="5"/>
  <c r="Q1741" i="5"/>
  <c r="Q1742" i="5"/>
  <c r="Q1743" i="5"/>
  <c r="Q1744" i="5"/>
  <c r="Q1745" i="5"/>
  <c r="Q1746" i="5"/>
  <c r="Q1747" i="5"/>
  <c r="Q1748" i="5"/>
  <c r="Q1749" i="5"/>
  <c r="Q1750" i="5"/>
  <c r="Q1751" i="5"/>
  <c r="Q1752" i="5"/>
  <c r="Q1753" i="5"/>
  <c r="Q1754" i="5"/>
  <c r="Q1755" i="5"/>
  <c r="Q1756" i="5"/>
  <c r="Q1757" i="5"/>
  <c r="Q1758" i="5"/>
  <c r="Q1759" i="5"/>
  <c r="Q1760" i="5"/>
  <c r="Q1761" i="5"/>
  <c r="Q1762" i="5"/>
  <c r="Q1763" i="5"/>
  <c r="Q1764" i="5"/>
  <c r="Q1765" i="5"/>
  <c r="Q1766" i="5"/>
  <c r="Q1767" i="5"/>
  <c r="Q1768" i="5"/>
  <c r="Q1769" i="5"/>
  <c r="Q1770" i="5"/>
  <c r="Q1771" i="5"/>
  <c r="Q1772" i="5"/>
  <c r="Q1773" i="5"/>
  <c r="Q1774" i="5"/>
  <c r="Q1775" i="5"/>
  <c r="Q1776" i="5"/>
  <c r="Q1777" i="5"/>
  <c r="Q1778" i="5"/>
  <c r="Q1779" i="5"/>
  <c r="Q1780" i="5"/>
  <c r="Q1781" i="5"/>
  <c r="Q1782" i="5"/>
  <c r="Q1783" i="5"/>
  <c r="Q1784" i="5"/>
  <c r="Q1785" i="5"/>
  <c r="Q1786" i="5"/>
  <c r="Q1787" i="5"/>
  <c r="Q1788" i="5"/>
  <c r="Q1789" i="5"/>
  <c r="Q1790" i="5"/>
  <c r="Q1791" i="5"/>
  <c r="Q1792" i="5"/>
  <c r="Q1793" i="5"/>
  <c r="Q1794" i="5"/>
  <c r="Q1795" i="5"/>
  <c r="Q1796" i="5"/>
  <c r="Q1797" i="5"/>
  <c r="Q1798" i="5"/>
  <c r="Q1799" i="5"/>
  <c r="Q1800" i="5"/>
  <c r="Q1801" i="5"/>
  <c r="Q1802" i="5"/>
  <c r="Q1803" i="5"/>
  <c r="Q1804" i="5"/>
  <c r="Q1805" i="5"/>
  <c r="Q1806" i="5"/>
  <c r="Q1807" i="5"/>
  <c r="Q1808" i="5"/>
  <c r="Q1809" i="5"/>
  <c r="Q1810" i="5"/>
  <c r="Q1811" i="5"/>
  <c r="Q1812" i="5"/>
  <c r="Q1813" i="5"/>
  <c r="Q1814" i="5"/>
  <c r="Q1815" i="5"/>
  <c r="Q1816" i="5"/>
  <c r="Q1817" i="5"/>
  <c r="Q1818" i="5"/>
  <c r="Q1819" i="5"/>
  <c r="Q1820" i="5"/>
  <c r="Q1821" i="5"/>
  <c r="Q1822" i="5"/>
  <c r="Q1823" i="5"/>
  <c r="Q1824" i="5"/>
  <c r="Q1825" i="5"/>
  <c r="Q1826" i="5"/>
  <c r="Q1827" i="5"/>
  <c r="Q1828" i="5"/>
  <c r="Q1829" i="5"/>
  <c r="Q1830" i="5"/>
  <c r="Q1831" i="5"/>
  <c r="Q1832" i="5"/>
  <c r="Q1833" i="5"/>
  <c r="Q1834" i="5"/>
  <c r="Q1835" i="5"/>
  <c r="Q1836" i="5"/>
  <c r="Q1837" i="5"/>
  <c r="Q1838" i="5"/>
  <c r="Q1839" i="5"/>
  <c r="Q1840" i="5"/>
  <c r="Q1841" i="5"/>
  <c r="Q1842" i="5"/>
  <c r="Q1843" i="5"/>
  <c r="Q1844" i="5"/>
  <c r="Q1845" i="5"/>
  <c r="Q1846" i="5"/>
  <c r="Q1847" i="5"/>
  <c r="Q1848" i="5"/>
  <c r="Q1849" i="5"/>
  <c r="Q1850" i="5"/>
  <c r="Q1851" i="5"/>
  <c r="Q1852" i="5"/>
  <c r="Q1853" i="5"/>
  <c r="Q1854" i="5"/>
  <c r="Q1855" i="5"/>
  <c r="Q1856" i="5"/>
  <c r="Q1857" i="5"/>
  <c r="Q1858" i="5"/>
  <c r="Q1859" i="5"/>
  <c r="Q1860" i="5"/>
  <c r="Q1861" i="5"/>
  <c r="Q1862" i="5"/>
  <c r="Q1863" i="5"/>
  <c r="Q1864" i="5"/>
  <c r="Q1865" i="5"/>
  <c r="Q1866" i="5"/>
  <c r="Q1867" i="5"/>
  <c r="Q1868" i="5"/>
  <c r="Q1869" i="5"/>
  <c r="Q1870" i="5"/>
  <c r="Q1871" i="5"/>
  <c r="Q1872" i="5"/>
  <c r="Q1873" i="5"/>
  <c r="Q1874" i="5"/>
  <c r="Q1875" i="5"/>
  <c r="Q1876" i="5"/>
  <c r="Q1877" i="5"/>
  <c r="Q1878" i="5"/>
  <c r="Q1879" i="5"/>
  <c r="Q1880" i="5"/>
  <c r="Q1881" i="5"/>
  <c r="Q1882" i="5"/>
  <c r="Q1883" i="5"/>
  <c r="Q1884" i="5"/>
  <c r="Q1885" i="5"/>
  <c r="Q1886" i="5"/>
  <c r="Q1887" i="5"/>
  <c r="Q1888" i="5"/>
  <c r="Q1889" i="5"/>
  <c r="Q1890" i="5"/>
  <c r="Q1891" i="5"/>
  <c r="Q1892" i="5"/>
  <c r="Q1893" i="5"/>
  <c r="Q1894" i="5"/>
  <c r="Q1895" i="5"/>
  <c r="Q1896" i="5"/>
  <c r="Q1897" i="5"/>
  <c r="Q1898" i="5"/>
  <c r="Q1899" i="5"/>
  <c r="Q1900" i="5"/>
  <c r="Q1901" i="5"/>
  <c r="Q1902" i="5"/>
  <c r="Q1903" i="5"/>
  <c r="Q1904" i="5"/>
  <c r="Q1905" i="5"/>
  <c r="Q1906" i="5"/>
  <c r="Q1907" i="5"/>
  <c r="Q1908" i="5"/>
  <c r="Q1909" i="5"/>
  <c r="Q1910" i="5"/>
  <c r="Q1911" i="5"/>
  <c r="Q1912" i="5"/>
  <c r="Q1913" i="5"/>
  <c r="Q1914" i="5"/>
  <c r="Q1915" i="5"/>
  <c r="Q1916" i="5"/>
  <c r="Q1917" i="5"/>
  <c r="Q1918" i="5"/>
  <c r="Q1919" i="5"/>
  <c r="Q1920" i="5"/>
  <c r="Q1921" i="5"/>
  <c r="Q1922" i="5"/>
  <c r="Q1923" i="5"/>
  <c r="Q1924" i="5"/>
  <c r="Q1925" i="5"/>
  <c r="Q1926" i="5"/>
  <c r="Q1927" i="5"/>
  <c r="Q1928" i="5"/>
  <c r="Q1929" i="5"/>
  <c r="Q1930" i="5"/>
  <c r="Q1931" i="5"/>
  <c r="Q1932" i="5"/>
  <c r="Q1933" i="5"/>
  <c r="Q1934" i="5"/>
  <c r="Q1935" i="5"/>
  <c r="Q1936" i="5"/>
  <c r="Q1937" i="5"/>
  <c r="Q1938" i="5"/>
  <c r="Q1939" i="5"/>
  <c r="Q1940" i="5"/>
  <c r="Q1941" i="5"/>
  <c r="Q1942" i="5"/>
  <c r="Q1943" i="5"/>
  <c r="Q1944" i="5"/>
  <c r="Q1945" i="5"/>
  <c r="Q1946" i="5"/>
  <c r="Q1947" i="5"/>
  <c r="Q1948" i="5"/>
  <c r="Q1949" i="5"/>
  <c r="Q1950" i="5"/>
  <c r="Q1951" i="5"/>
  <c r="Q1952" i="5"/>
  <c r="Q1953" i="5"/>
  <c r="Q1954" i="5"/>
  <c r="Q1955" i="5"/>
  <c r="Q1956" i="5"/>
  <c r="Q1957" i="5"/>
  <c r="Q1958" i="5"/>
  <c r="Q1959" i="5"/>
  <c r="Q1960" i="5"/>
  <c r="Q1961" i="5"/>
  <c r="Q1962" i="5"/>
  <c r="Q1963" i="5"/>
  <c r="Q1964" i="5"/>
  <c r="Q1965" i="5"/>
  <c r="Q1966" i="5"/>
  <c r="Q1967" i="5"/>
  <c r="Q1968" i="5"/>
  <c r="Q1969" i="5"/>
  <c r="Q1970" i="5"/>
  <c r="Q1971" i="5"/>
  <c r="Q1972" i="5"/>
  <c r="Q1973" i="5"/>
  <c r="Q1974" i="5"/>
  <c r="Q1975" i="5"/>
  <c r="Q1976" i="5"/>
  <c r="Q1977" i="5"/>
  <c r="Q1978" i="5"/>
  <c r="Q1979" i="5"/>
  <c r="Q1980" i="5"/>
  <c r="Q1981" i="5"/>
  <c r="Q1982" i="5"/>
  <c r="Q1983" i="5"/>
  <c r="Q1984" i="5"/>
  <c r="Q1985" i="5"/>
  <c r="Q1986" i="5"/>
  <c r="Q1987" i="5"/>
  <c r="Q1988" i="5"/>
  <c r="Q1989" i="5"/>
  <c r="Q1990" i="5"/>
  <c r="Q1991" i="5"/>
  <c r="Q1992" i="5"/>
  <c r="Q1993" i="5"/>
  <c r="Q1994" i="5"/>
  <c r="Q1995" i="5"/>
  <c r="Q1996" i="5"/>
  <c r="Q1997" i="5"/>
  <c r="Q1998" i="5"/>
  <c r="Q1999" i="5"/>
  <c r="Q2000" i="5"/>
  <c r="Q2001" i="5"/>
  <c r="Q2002" i="5"/>
  <c r="Q2003" i="5"/>
  <c r="Q2004" i="5"/>
  <c r="Q2005" i="5"/>
  <c r="Q2006" i="5"/>
  <c r="Q2007" i="5"/>
  <c r="Q2008" i="5"/>
  <c r="Q2009" i="5"/>
  <c r="Q2010" i="5"/>
  <c r="Q2011" i="5"/>
  <c r="Q2012" i="5"/>
  <c r="Q2013" i="5"/>
  <c r="Q2014" i="5"/>
  <c r="Q2015" i="5"/>
  <c r="Q2016" i="5"/>
  <c r="Q2017" i="5"/>
  <c r="Q2018" i="5"/>
  <c r="Q2019" i="5"/>
  <c r="Q2020" i="5"/>
  <c r="Q2021" i="5"/>
  <c r="Q2022" i="5"/>
  <c r="Q2023" i="5"/>
  <c r="Q2024" i="5"/>
  <c r="Q2025" i="5"/>
  <c r="Q2026" i="5"/>
  <c r="Q2027" i="5"/>
  <c r="Q2028" i="5"/>
  <c r="Q2029" i="5"/>
  <c r="Q2030" i="5"/>
  <c r="Q2031" i="5"/>
  <c r="Q2032" i="5"/>
  <c r="Q2033" i="5"/>
  <c r="Q2034" i="5"/>
  <c r="Q2035" i="5"/>
  <c r="Q2036" i="5"/>
  <c r="Q2037" i="5"/>
  <c r="Q2038" i="5"/>
  <c r="Q2039" i="5"/>
  <c r="Q2040" i="5"/>
  <c r="Q2041" i="5"/>
  <c r="Q2042" i="5"/>
  <c r="Q2043" i="5"/>
  <c r="Q2044" i="5"/>
  <c r="Q2045" i="5"/>
  <c r="Q2046" i="5"/>
  <c r="Q2047" i="5"/>
  <c r="Q2048" i="5"/>
  <c r="Q2049" i="5"/>
  <c r="Q2050" i="5"/>
  <c r="Q2051" i="5"/>
  <c r="Q2052" i="5"/>
  <c r="Q2053" i="5"/>
  <c r="Q2054" i="5"/>
  <c r="Q2055" i="5"/>
  <c r="Q2056" i="5"/>
  <c r="Q2057" i="5"/>
  <c r="Q2058" i="5"/>
  <c r="Q2059" i="5"/>
  <c r="Q2060" i="5"/>
  <c r="Q2061" i="5"/>
  <c r="Q2062" i="5"/>
  <c r="Q2063" i="5"/>
  <c r="Q2064" i="5"/>
  <c r="Q2065" i="5"/>
  <c r="Q2066" i="5"/>
  <c r="Q2067" i="5"/>
  <c r="Q2068" i="5"/>
  <c r="Q2069" i="5"/>
  <c r="Q2070" i="5"/>
  <c r="Q2071" i="5"/>
  <c r="Q2072" i="5"/>
  <c r="Q2073" i="5"/>
  <c r="Q2074" i="5"/>
  <c r="Q2075" i="5"/>
  <c r="Q2076" i="5"/>
  <c r="Q2077" i="5"/>
  <c r="Q2078" i="5"/>
  <c r="Q2079" i="5"/>
  <c r="Q2080" i="5"/>
  <c r="Q2081" i="5"/>
  <c r="Q2082" i="5"/>
  <c r="Q2083" i="5"/>
  <c r="Q2084" i="5"/>
  <c r="Q2085" i="5"/>
  <c r="Q2086" i="5"/>
  <c r="Q2087" i="5"/>
  <c r="Q2088" i="5"/>
  <c r="Q2089" i="5"/>
  <c r="Q2090" i="5"/>
  <c r="Q2091" i="5"/>
  <c r="Q2092" i="5"/>
  <c r="Q2093" i="5"/>
  <c r="Q2094" i="5"/>
  <c r="Q2095" i="5"/>
  <c r="Q2096" i="5"/>
  <c r="Q2097" i="5"/>
  <c r="Q2098" i="5"/>
  <c r="Q2099" i="5"/>
  <c r="Q2100" i="5"/>
  <c r="Q2101" i="5"/>
  <c r="Q2102" i="5"/>
  <c r="Q2103" i="5"/>
  <c r="Q2104" i="5"/>
  <c r="Q2105" i="5"/>
  <c r="Q2106" i="5"/>
  <c r="Q2107" i="5"/>
  <c r="Q2108" i="5"/>
  <c r="Q2109" i="5"/>
  <c r="Q2110" i="5"/>
  <c r="Q2111" i="5"/>
  <c r="Q2112" i="5"/>
  <c r="Q2113" i="5"/>
  <c r="Q2114" i="5"/>
  <c r="Q2115" i="5"/>
  <c r="Q2116" i="5"/>
  <c r="Q2117" i="5"/>
  <c r="Q2118" i="5"/>
  <c r="Q2119" i="5"/>
  <c r="Q2120" i="5"/>
  <c r="Q2121" i="5"/>
  <c r="Q2122" i="5"/>
  <c r="Q2123" i="5"/>
  <c r="Q2124" i="5"/>
  <c r="Q2125" i="5"/>
  <c r="Q2126" i="5"/>
  <c r="Q2127" i="5"/>
  <c r="Q2128" i="5"/>
  <c r="Q2129" i="5"/>
  <c r="Q2130" i="5"/>
  <c r="Q2131" i="5"/>
  <c r="Q2132" i="5"/>
  <c r="Q2133" i="5"/>
  <c r="Q2134" i="5"/>
  <c r="Q2135" i="5"/>
  <c r="Q2136" i="5"/>
  <c r="Q2137" i="5"/>
  <c r="Q2138" i="5"/>
  <c r="Q2139" i="5"/>
  <c r="Q2140" i="5"/>
  <c r="Q2141" i="5"/>
  <c r="Q2142" i="5"/>
  <c r="Q2143" i="5"/>
  <c r="Q2144" i="5"/>
  <c r="Q2145" i="5"/>
  <c r="Q2146" i="5"/>
  <c r="Q2147" i="5"/>
  <c r="Q2148" i="5"/>
  <c r="Q2149" i="5"/>
  <c r="Q2150" i="5"/>
  <c r="Q2151" i="5"/>
  <c r="Q2152" i="5"/>
  <c r="Q2153" i="5"/>
  <c r="Q2154" i="5"/>
  <c r="Q2155" i="5"/>
  <c r="Q2156" i="5"/>
  <c r="Q2157" i="5"/>
  <c r="Q2158" i="5"/>
  <c r="Q2159" i="5"/>
  <c r="Q2160" i="5"/>
  <c r="Q2161" i="5"/>
  <c r="Q2162" i="5"/>
  <c r="Q2163" i="5"/>
  <c r="Q2164" i="5"/>
  <c r="Q2165" i="5"/>
  <c r="Q2166" i="5"/>
  <c r="Q2167" i="5"/>
  <c r="Q2168" i="5"/>
  <c r="Q2169" i="5"/>
  <c r="Q2170" i="5"/>
  <c r="Q2171" i="5"/>
  <c r="Q2172" i="5"/>
  <c r="Q2173" i="5"/>
  <c r="Q2174" i="5"/>
  <c r="Q2175" i="5"/>
  <c r="Q2176" i="5"/>
  <c r="Q2177" i="5"/>
  <c r="Q2178" i="5"/>
  <c r="Q2179" i="5"/>
  <c r="Q2180" i="5"/>
  <c r="Q2181" i="5"/>
  <c r="Q2182" i="5"/>
  <c r="Q2183" i="5"/>
  <c r="Q2184" i="5"/>
  <c r="Q2185" i="5"/>
  <c r="Q2186" i="5"/>
  <c r="Q2187" i="5"/>
  <c r="Q2188" i="5"/>
  <c r="Q2189" i="5"/>
  <c r="Q2190" i="5"/>
  <c r="Q2191" i="5"/>
  <c r="Q2192" i="5"/>
  <c r="Q2193" i="5"/>
  <c r="Q2194" i="5"/>
  <c r="Q2195" i="5"/>
  <c r="Q2196" i="5"/>
  <c r="Q2197" i="5"/>
  <c r="Q2198" i="5"/>
  <c r="Q2199" i="5"/>
  <c r="Q2200" i="5"/>
  <c r="Q2201" i="5"/>
  <c r="Q2202" i="5"/>
  <c r="Q2203" i="5"/>
  <c r="Q2204" i="5"/>
  <c r="Q2205" i="5"/>
  <c r="Q2206" i="5"/>
  <c r="Q2207" i="5"/>
  <c r="Q2208" i="5"/>
  <c r="Q2209" i="5"/>
  <c r="Q2210" i="5"/>
  <c r="Q2211" i="5"/>
  <c r="Q2212" i="5"/>
  <c r="Q2213" i="5"/>
  <c r="Q2214" i="5"/>
  <c r="Q2215" i="5"/>
  <c r="Q2216" i="5"/>
  <c r="Q2217" i="5"/>
  <c r="Q2218" i="5"/>
  <c r="Q2219" i="5"/>
  <c r="Q2220" i="5"/>
  <c r="Q2221" i="5"/>
  <c r="Q2222" i="5"/>
  <c r="Q2223" i="5"/>
  <c r="Q2224" i="5"/>
  <c r="Q2225" i="5"/>
  <c r="Q2226" i="5"/>
  <c r="Q2227" i="5"/>
  <c r="Q2228" i="5"/>
  <c r="Q2229" i="5"/>
  <c r="Q2230" i="5"/>
  <c r="Q2231" i="5"/>
  <c r="Q2232" i="5"/>
  <c r="Q2233" i="5"/>
  <c r="Q2234" i="5"/>
  <c r="Q2235" i="5"/>
  <c r="Q2236" i="5"/>
  <c r="Q2237" i="5"/>
  <c r="Q2238" i="5"/>
  <c r="Q2239" i="5"/>
  <c r="Q2240" i="5"/>
  <c r="Q2241" i="5"/>
  <c r="Q2242" i="5"/>
  <c r="Q2243" i="5"/>
  <c r="Q2244" i="5"/>
  <c r="Q2245" i="5"/>
  <c r="Q2246" i="5"/>
  <c r="Q2247" i="5"/>
  <c r="Q2248" i="5"/>
  <c r="Q2249" i="5"/>
  <c r="Q2250" i="5"/>
  <c r="Q2251" i="5"/>
  <c r="Q2252" i="5"/>
  <c r="Q2253" i="5"/>
  <c r="Q2254" i="5"/>
  <c r="Q2255" i="5"/>
  <c r="Q2256" i="5"/>
  <c r="Q2257" i="5"/>
  <c r="Q2258" i="5"/>
  <c r="Q2259" i="5"/>
  <c r="Q2260" i="5"/>
  <c r="Q2261" i="5"/>
  <c r="Q2262" i="5"/>
  <c r="Q2263" i="5"/>
  <c r="Q2264" i="5"/>
  <c r="Q2265" i="5"/>
  <c r="Q2266" i="5"/>
  <c r="Q2267" i="5"/>
  <c r="Q2268" i="5"/>
  <c r="Q2269" i="5"/>
  <c r="Q2270" i="5"/>
  <c r="Q2271" i="5"/>
  <c r="Q2272" i="5"/>
  <c r="Q2273" i="5"/>
  <c r="Q2274" i="5"/>
  <c r="Q2275" i="5"/>
  <c r="Q2276" i="5"/>
  <c r="Q2277" i="5"/>
  <c r="Q2278" i="5"/>
  <c r="Q2279" i="5"/>
  <c r="Q2280" i="5"/>
  <c r="Q2281" i="5"/>
  <c r="Q2282" i="5"/>
  <c r="Q2283" i="5"/>
  <c r="Q2284" i="5"/>
  <c r="Q2285" i="5"/>
  <c r="Q2286" i="5"/>
  <c r="Q2287" i="5"/>
  <c r="Q2288" i="5"/>
  <c r="Q2289" i="5"/>
  <c r="Q2290" i="5"/>
  <c r="Q2291" i="5"/>
  <c r="Q2292" i="5"/>
  <c r="Q2293" i="5"/>
  <c r="Q2294" i="5"/>
  <c r="Q2295" i="5"/>
  <c r="Q2296" i="5"/>
  <c r="Q2297" i="5"/>
  <c r="Q2298" i="5"/>
  <c r="Q2299" i="5"/>
  <c r="Q2300" i="5"/>
  <c r="Q2301" i="5"/>
  <c r="Q2302" i="5"/>
  <c r="Q2303" i="5"/>
  <c r="Q2304" i="5"/>
  <c r="Q2305" i="5"/>
  <c r="Q2306" i="5"/>
  <c r="Q2307" i="5"/>
  <c r="Q2308" i="5"/>
  <c r="Q2309" i="5"/>
  <c r="Q2310" i="5"/>
  <c r="Q2311" i="5"/>
  <c r="Q2312" i="5"/>
  <c r="Q2313" i="5"/>
  <c r="Q2314" i="5"/>
  <c r="Q2315" i="5"/>
  <c r="Q2316" i="5"/>
  <c r="Q2317" i="5"/>
  <c r="Q2318" i="5"/>
  <c r="Q2319" i="5"/>
  <c r="Q2320" i="5"/>
  <c r="Q2321" i="5"/>
  <c r="Q2322" i="5"/>
  <c r="Q2323" i="5"/>
  <c r="Q2324" i="5"/>
  <c r="Q2325" i="5"/>
  <c r="Q2326" i="5"/>
  <c r="Q2327" i="5"/>
  <c r="Q2328" i="5"/>
  <c r="Q2329" i="5"/>
  <c r="Q2330" i="5"/>
  <c r="Q2331" i="5"/>
  <c r="Q2332" i="5"/>
  <c r="Q2333" i="5"/>
  <c r="Q2334" i="5"/>
  <c r="Q2335" i="5"/>
  <c r="Q2336" i="5"/>
  <c r="Q2337" i="5"/>
  <c r="Q2338" i="5"/>
  <c r="Q2339" i="5"/>
  <c r="Q2340" i="5"/>
  <c r="Q2341" i="5"/>
  <c r="Q2342" i="5"/>
  <c r="Q2343" i="5"/>
  <c r="Q2344" i="5"/>
  <c r="Q2345" i="5"/>
  <c r="Q2346" i="5"/>
  <c r="Q2347" i="5"/>
  <c r="Q2348" i="5"/>
  <c r="Q2349" i="5"/>
  <c r="Q2350" i="5"/>
  <c r="Q2351" i="5"/>
  <c r="Q2352" i="5"/>
  <c r="Q2353" i="5"/>
  <c r="Q2354" i="5"/>
  <c r="Q2355" i="5"/>
  <c r="Q2356" i="5"/>
  <c r="Q2357" i="5"/>
  <c r="Q2358" i="5"/>
  <c r="Q2359" i="5"/>
  <c r="Q2360" i="5"/>
  <c r="Q2361" i="5"/>
  <c r="Q2362" i="5"/>
  <c r="Q2363" i="5"/>
  <c r="Q2364" i="5"/>
  <c r="Q2365" i="5"/>
  <c r="Q2366" i="5"/>
  <c r="Q2367" i="5"/>
  <c r="Q2368" i="5"/>
  <c r="Q2369" i="5"/>
  <c r="Q2370" i="5"/>
  <c r="Q2371" i="5"/>
  <c r="Q2372" i="5"/>
  <c r="Q2373" i="5"/>
  <c r="Q2374" i="5"/>
  <c r="Q2375" i="5"/>
  <c r="Q2376" i="5"/>
  <c r="Q2377" i="5"/>
  <c r="Q2378" i="5"/>
  <c r="Q2379" i="5"/>
  <c r="Q2380" i="5"/>
  <c r="Q2381" i="5"/>
  <c r="Q2382" i="5"/>
  <c r="Q2383" i="5"/>
  <c r="Q2384" i="5"/>
  <c r="Q2385" i="5"/>
  <c r="Q2386" i="5"/>
  <c r="Q2387" i="5"/>
  <c r="Q2388" i="5"/>
  <c r="Q2389" i="5"/>
  <c r="Q2390" i="5"/>
  <c r="Q2391" i="5"/>
  <c r="Q2392" i="5"/>
  <c r="Q2393" i="5"/>
  <c r="Q2394" i="5"/>
  <c r="Q2395" i="5"/>
  <c r="Q2396" i="5"/>
  <c r="Q2397" i="5"/>
  <c r="Q2398" i="5"/>
  <c r="Q2399" i="5"/>
  <c r="Q2400" i="5"/>
  <c r="Q2401" i="5"/>
  <c r="Q2402" i="5"/>
  <c r="Q2403" i="5"/>
  <c r="Q2404" i="5"/>
  <c r="Q2405" i="5"/>
  <c r="Q2406" i="5"/>
  <c r="Q2407" i="5"/>
  <c r="Q2408" i="5"/>
  <c r="Q2409" i="5"/>
  <c r="Q2410" i="5"/>
  <c r="Q2411" i="5"/>
  <c r="Q2412" i="5"/>
  <c r="Q2413" i="5"/>
  <c r="Q2414" i="5"/>
  <c r="Q2415" i="5"/>
  <c r="Q2416" i="5"/>
  <c r="Q2417" i="5"/>
  <c r="Q2418" i="5"/>
  <c r="Q2419" i="5"/>
  <c r="Q2420" i="5"/>
  <c r="Q2421" i="5"/>
  <c r="Q2422" i="5"/>
  <c r="Q2423" i="5"/>
  <c r="Q2424" i="5"/>
  <c r="Q2425" i="5"/>
  <c r="Q2426" i="5"/>
  <c r="Q2427" i="5"/>
  <c r="Q2428" i="5"/>
  <c r="Q2429" i="5"/>
  <c r="Q2430" i="5"/>
  <c r="Q2431" i="5"/>
  <c r="Q2432" i="5"/>
  <c r="Q2433" i="5"/>
  <c r="Q2434" i="5"/>
  <c r="Q2435" i="5"/>
  <c r="Q2436" i="5"/>
  <c r="Q2437" i="5"/>
  <c r="Q2438" i="5"/>
  <c r="Q2439" i="5"/>
  <c r="Q2440" i="5"/>
  <c r="Q2441" i="5"/>
  <c r="Q2442" i="5"/>
  <c r="Q2443" i="5"/>
  <c r="Q2444" i="5"/>
  <c r="Q2445" i="5"/>
  <c r="Q2446" i="5"/>
  <c r="Q2447" i="5"/>
  <c r="Q2448" i="5"/>
  <c r="Q2449" i="5"/>
  <c r="Q2450" i="5"/>
  <c r="Q2451" i="5"/>
  <c r="Q2452" i="5"/>
  <c r="Q2453" i="5"/>
  <c r="Q2454" i="5"/>
  <c r="Q2455" i="5"/>
  <c r="Q2456" i="5"/>
  <c r="Q2457" i="5"/>
  <c r="Q2458" i="5"/>
  <c r="Q2459" i="5"/>
  <c r="Q2460" i="5"/>
  <c r="Q2461" i="5"/>
  <c r="Q2462" i="5"/>
  <c r="Q2463" i="5"/>
  <c r="Q2464" i="5"/>
  <c r="Q2465" i="5"/>
  <c r="Q2466" i="5"/>
  <c r="Q2467" i="5"/>
  <c r="Q2468" i="5"/>
  <c r="Q2469" i="5"/>
  <c r="Q2470" i="5"/>
  <c r="Q2471" i="5"/>
  <c r="Q2472" i="5"/>
  <c r="Q2473" i="5"/>
  <c r="Q2474" i="5"/>
  <c r="Q2475" i="5"/>
  <c r="Q2476" i="5"/>
  <c r="Q2477" i="5"/>
  <c r="Q2478" i="5"/>
  <c r="Q2479" i="5"/>
  <c r="Q2480" i="5"/>
  <c r="Q2481" i="5"/>
  <c r="Q2482" i="5"/>
  <c r="Q2483" i="5"/>
  <c r="Q2484" i="5"/>
  <c r="Q2485" i="5"/>
  <c r="Q2486" i="5"/>
  <c r="Q2487" i="5"/>
  <c r="Q2488" i="5"/>
  <c r="Q2489" i="5"/>
  <c r="Q2490" i="5"/>
  <c r="Q2491" i="5"/>
  <c r="Q2492" i="5"/>
  <c r="Q2493" i="5"/>
  <c r="Q2494" i="5"/>
  <c r="Q2495" i="5"/>
  <c r="Q2496" i="5"/>
  <c r="Q2497" i="5"/>
  <c r="Q2498" i="5"/>
  <c r="Q2499" i="5"/>
  <c r="Q2500" i="5"/>
  <c r="Q2501" i="5"/>
  <c r="Q2502" i="5"/>
  <c r="Q2503" i="5"/>
  <c r="Q2504" i="5"/>
  <c r="Q2505" i="5"/>
  <c r="Q2506" i="5"/>
  <c r="Q2507" i="5"/>
  <c r="Q2508" i="5"/>
  <c r="Q2509" i="5"/>
  <c r="Q2510" i="5"/>
  <c r="Q2511" i="5"/>
  <c r="Q2512" i="5"/>
  <c r="Q2513" i="5"/>
  <c r="Q2514" i="5"/>
  <c r="Q2515" i="5"/>
  <c r="Q2516" i="5"/>
  <c r="Q2517" i="5"/>
  <c r="Q2518" i="5"/>
  <c r="Q2519" i="5"/>
  <c r="Q2520" i="5"/>
  <c r="Q2521" i="5"/>
  <c r="Q2522" i="5"/>
  <c r="Q2523" i="5"/>
  <c r="Q2524" i="5"/>
  <c r="Q2525" i="5"/>
  <c r="Q2526" i="5"/>
  <c r="Q2527" i="5"/>
  <c r="Q2528" i="5"/>
  <c r="Q2529" i="5"/>
  <c r="Q2530" i="5"/>
  <c r="Q2531" i="5"/>
  <c r="Q2532" i="5"/>
  <c r="Q2533" i="5"/>
  <c r="Q2534" i="5"/>
  <c r="Q2535" i="5"/>
  <c r="Q2536" i="5"/>
  <c r="Q2537" i="5"/>
  <c r="Q2538" i="5"/>
  <c r="Q2539" i="5"/>
  <c r="Q2540" i="5"/>
  <c r="Q2541" i="5"/>
  <c r="Q2542" i="5"/>
  <c r="Q2543" i="5"/>
  <c r="Q2544" i="5"/>
  <c r="Q2545" i="5"/>
  <c r="Q2546" i="5"/>
  <c r="Q2547" i="5"/>
  <c r="Q2548" i="5"/>
  <c r="Q2549" i="5"/>
  <c r="Q2550" i="5"/>
  <c r="Q2551" i="5"/>
  <c r="Q2552" i="5"/>
  <c r="Q2553" i="5"/>
  <c r="Q2554" i="5"/>
  <c r="Q2555" i="5"/>
  <c r="Q2556" i="5"/>
  <c r="Q2557" i="5"/>
  <c r="Q2558" i="5"/>
  <c r="Q2559" i="5"/>
  <c r="Q2560" i="5"/>
  <c r="Q2561" i="5"/>
  <c r="Q2562" i="5"/>
  <c r="Q2563" i="5"/>
  <c r="Q2564" i="5"/>
  <c r="Q2565" i="5"/>
  <c r="Q2566" i="5"/>
  <c r="Q2567" i="5"/>
  <c r="Q2568" i="5"/>
  <c r="Q2569" i="5"/>
  <c r="Q2570" i="5"/>
  <c r="Q2571" i="5"/>
  <c r="Q2572" i="5"/>
  <c r="Q2573" i="5"/>
  <c r="Q2574" i="5"/>
  <c r="Q2575" i="5"/>
  <c r="Q2576" i="5"/>
  <c r="Q2577" i="5"/>
  <c r="Q2578" i="5"/>
  <c r="Q2579" i="5"/>
  <c r="Q2580" i="5"/>
  <c r="Q2581" i="5"/>
  <c r="Q2582" i="5"/>
  <c r="Q2583" i="5"/>
  <c r="Q2584" i="5"/>
  <c r="Q2585" i="5"/>
  <c r="Q2586" i="5"/>
  <c r="Q2587" i="5"/>
  <c r="Q2588" i="5"/>
  <c r="Q2589" i="5"/>
  <c r="Q2590" i="5"/>
  <c r="Q2591" i="5"/>
  <c r="Q2592" i="5"/>
  <c r="Q2593" i="5"/>
  <c r="Q2594" i="5"/>
  <c r="Q2595" i="5"/>
  <c r="Q2596" i="5"/>
  <c r="Q2597" i="5"/>
  <c r="Q2598" i="5"/>
  <c r="Q2599" i="5"/>
  <c r="Q2600" i="5"/>
  <c r="Q2601" i="5"/>
  <c r="Q2602" i="5"/>
  <c r="Q2603" i="5"/>
  <c r="Q2604" i="5"/>
  <c r="Q2605" i="5"/>
  <c r="Q2606" i="5"/>
  <c r="Q2607" i="5"/>
  <c r="Q2608" i="5"/>
  <c r="Q2609" i="5"/>
  <c r="Q2610" i="5"/>
  <c r="Q2611" i="5"/>
  <c r="Q2612" i="5"/>
  <c r="Q2613" i="5"/>
  <c r="Q2614" i="5"/>
  <c r="Q2615" i="5"/>
  <c r="Q2616" i="5"/>
  <c r="Q2617" i="5"/>
  <c r="Q2618" i="5"/>
  <c r="Q2619" i="5"/>
  <c r="Q2620" i="5"/>
  <c r="Q2621" i="5"/>
  <c r="Q2622" i="5"/>
  <c r="Q2623" i="5"/>
  <c r="Q2624" i="5"/>
  <c r="Q2625" i="5"/>
  <c r="Q2626" i="5"/>
  <c r="Q2627" i="5"/>
  <c r="Q2628" i="5"/>
  <c r="Q2629" i="5"/>
  <c r="Q2630" i="5"/>
  <c r="Q2631" i="5"/>
  <c r="Q2632" i="5"/>
  <c r="Q2633" i="5"/>
  <c r="Q2634" i="5"/>
  <c r="Q2635" i="5"/>
  <c r="Q2636" i="5"/>
  <c r="Q2637" i="5"/>
  <c r="Q2638" i="5"/>
  <c r="Q2639" i="5"/>
  <c r="Q2640" i="5"/>
  <c r="Q2641" i="5"/>
  <c r="Q2642" i="5"/>
  <c r="Q2643" i="5"/>
  <c r="Q2644" i="5"/>
  <c r="Q2645" i="5"/>
  <c r="Q2646" i="5"/>
  <c r="Q2647" i="5"/>
  <c r="Q2648" i="5"/>
  <c r="Q2649" i="5"/>
  <c r="Q2650" i="5"/>
  <c r="Q2651" i="5"/>
  <c r="Q2652" i="5"/>
  <c r="Q2653" i="5"/>
  <c r="Q2654" i="5"/>
  <c r="Q2655" i="5"/>
  <c r="Q2656" i="5"/>
  <c r="Q2657" i="5"/>
  <c r="Q2658" i="5"/>
  <c r="Q2659" i="5"/>
  <c r="Q2660" i="5"/>
  <c r="Q2661" i="5"/>
  <c r="Q2662" i="5"/>
  <c r="Q2663" i="5"/>
  <c r="Q2664" i="5"/>
  <c r="Q2665" i="5"/>
  <c r="Q2666" i="5"/>
  <c r="Q2667" i="5"/>
  <c r="Q2668" i="5"/>
  <c r="Q2669" i="5"/>
  <c r="Q2670" i="5"/>
  <c r="Q2671" i="5"/>
  <c r="Q2672" i="5"/>
  <c r="Q2673" i="5"/>
  <c r="Q2674" i="5"/>
  <c r="Q2675" i="5"/>
  <c r="Q2676" i="5"/>
  <c r="Q2677" i="5"/>
  <c r="Q2678" i="5"/>
  <c r="Q2679" i="5"/>
  <c r="Q2680" i="5"/>
  <c r="Q2681" i="5"/>
  <c r="Q2682" i="5"/>
  <c r="Q2683" i="5"/>
  <c r="Q2684" i="5"/>
  <c r="Q2685" i="5"/>
  <c r="Q2686" i="5"/>
  <c r="Q2687" i="5"/>
  <c r="Q2688" i="5"/>
  <c r="Q2689" i="5"/>
  <c r="Q2690" i="5"/>
  <c r="Q2691" i="5"/>
  <c r="Q2692" i="5"/>
  <c r="Q2693" i="5"/>
  <c r="Q2694" i="5"/>
  <c r="Q2695" i="5"/>
  <c r="Q2696" i="5"/>
  <c r="Q2697" i="5"/>
  <c r="Q2698" i="5"/>
  <c r="Q2699" i="5"/>
  <c r="Q2700" i="5"/>
  <c r="Q2701" i="5"/>
  <c r="Q2702" i="5"/>
  <c r="Q2703" i="5"/>
  <c r="Q2704" i="5"/>
  <c r="Q2705" i="5"/>
  <c r="Q2706" i="5"/>
  <c r="Q2707" i="5"/>
  <c r="Q2708" i="5"/>
  <c r="Q2709" i="5"/>
  <c r="Q2710" i="5"/>
  <c r="Q2711" i="5"/>
  <c r="Q2712" i="5"/>
  <c r="Q2713" i="5"/>
  <c r="Q2714" i="5"/>
  <c r="Q2715" i="5"/>
  <c r="Q2716" i="5"/>
  <c r="Q2717" i="5"/>
  <c r="Q2718" i="5"/>
  <c r="Q2719" i="5"/>
  <c r="Q2720" i="5"/>
  <c r="Q2721" i="5"/>
  <c r="Q2722" i="5"/>
  <c r="Q2723" i="5"/>
  <c r="Q2724" i="5"/>
  <c r="Q2725" i="5"/>
  <c r="Q2726" i="5"/>
  <c r="Q2727" i="5"/>
  <c r="Q2728" i="5"/>
  <c r="Q2729" i="5"/>
  <c r="Q2730" i="5"/>
  <c r="Q2731" i="5"/>
  <c r="Q2732" i="5"/>
  <c r="Q2733" i="5"/>
  <c r="Q2734" i="5"/>
  <c r="Q2735" i="5"/>
  <c r="Q2736" i="5"/>
  <c r="Q2737" i="5"/>
  <c r="Q2738" i="5"/>
  <c r="Q2739" i="5"/>
  <c r="Q2740" i="5"/>
  <c r="Q2741" i="5"/>
  <c r="Q2742" i="5"/>
  <c r="Q2743" i="5"/>
  <c r="Q2744" i="5"/>
  <c r="Q2745" i="5"/>
  <c r="Q2746" i="5"/>
  <c r="Q2747" i="5"/>
  <c r="Q2748" i="5"/>
  <c r="Q2749" i="5"/>
  <c r="Q2750" i="5"/>
  <c r="Q2751" i="5"/>
  <c r="Q2752" i="5"/>
  <c r="Q2753" i="5"/>
  <c r="Q2754" i="5"/>
  <c r="Q2755" i="5"/>
  <c r="Q2756" i="5"/>
  <c r="Q2757" i="5"/>
  <c r="Q2758" i="5"/>
  <c r="Q2759" i="5"/>
  <c r="Q2760" i="5"/>
  <c r="Q2761" i="5"/>
  <c r="Q2762" i="5"/>
  <c r="Q2763" i="5"/>
  <c r="Q2764" i="5"/>
  <c r="Q2765" i="5"/>
  <c r="Q2766" i="5"/>
  <c r="Q2767" i="5"/>
  <c r="Q2768" i="5"/>
  <c r="Q2769" i="5"/>
  <c r="Q2770" i="5"/>
  <c r="Q2771" i="5"/>
  <c r="Q2772" i="5"/>
  <c r="Q2773" i="5"/>
  <c r="Q2774" i="5"/>
  <c r="Q2775" i="5"/>
  <c r="Q2776" i="5"/>
  <c r="Q2777" i="5"/>
  <c r="Q2778" i="5"/>
  <c r="Q2779" i="5"/>
  <c r="Q2780" i="5"/>
  <c r="Q2781" i="5"/>
  <c r="Q2782" i="5"/>
  <c r="Q2783" i="5"/>
  <c r="Q2784" i="5"/>
  <c r="Q2785" i="5"/>
  <c r="Q2786" i="5"/>
  <c r="Q2787" i="5"/>
  <c r="Q2788" i="5"/>
  <c r="Q2789" i="5"/>
  <c r="Q2790" i="5"/>
  <c r="Q2791" i="5"/>
  <c r="Q2792" i="5"/>
  <c r="Q2793" i="5"/>
  <c r="Q2794" i="5"/>
  <c r="Q2795" i="5"/>
  <c r="Q2796" i="5"/>
  <c r="Q2797" i="5"/>
  <c r="Q2798" i="5"/>
  <c r="Q2799" i="5"/>
  <c r="Q2800" i="5"/>
  <c r="Q2801" i="5"/>
  <c r="Q2802" i="5"/>
  <c r="Q2803" i="5"/>
  <c r="Q2804" i="5"/>
  <c r="Q2805" i="5"/>
  <c r="Q2806" i="5"/>
  <c r="Q2807" i="5"/>
  <c r="Q2808" i="5"/>
  <c r="Q2809" i="5"/>
  <c r="Q2810" i="5"/>
  <c r="Q2811" i="5"/>
  <c r="Q2812" i="5"/>
  <c r="Q2813" i="5"/>
  <c r="Q2814" i="5"/>
  <c r="Q2815" i="5"/>
  <c r="Q2816" i="5"/>
  <c r="Q2817" i="5"/>
  <c r="Q2818" i="5"/>
  <c r="Q2819" i="5"/>
  <c r="Q2820" i="5"/>
  <c r="Q2821" i="5"/>
  <c r="Q2822" i="5"/>
  <c r="Q2823" i="5"/>
  <c r="Q2824" i="5"/>
  <c r="Q2825" i="5"/>
  <c r="Q2826" i="5"/>
  <c r="Q2827" i="5"/>
  <c r="Q2828" i="5"/>
  <c r="Q2829" i="5"/>
  <c r="Q2830" i="5"/>
  <c r="Q2831" i="5"/>
  <c r="Q2832" i="5"/>
  <c r="Q2833" i="5"/>
  <c r="Q2834" i="5"/>
  <c r="Q2835" i="5"/>
  <c r="Q2836" i="5"/>
  <c r="Q2837" i="5"/>
  <c r="Q2838" i="5"/>
  <c r="Q2839" i="5"/>
  <c r="Q2840" i="5"/>
  <c r="Q2841" i="5"/>
  <c r="Q2842" i="5"/>
  <c r="Q2843" i="5"/>
  <c r="Q2844" i="5"/>
  <c r="Q2845" i="5"/>
  <c r="Q2846" i="5"/>
  <c r="Q2847" i="5"/>
  <c r="Q2848" i="5"/>
  <c r="Q2849" i="5"/>
  <c r="Q2850" i="5"/>
  <c r="Q2851" i="5"/>
  <c r="Q2852" i="5"/>
  <c r="Q2853" i="5"/>
  <c r="Q2854" i="5"/>
  <c r="Q2855" i="5"/>
  <c r="Q2856" i="5"/>
  <c r="Q2857" i="5"/>
  <c r="Q2858" i="5"/>
  <c r="Q2859" i="5"/>
  <c r="Q2860" i="5"/>
  <c r="Q2861" i="5"/>
  <c r="Q2862" i="5"/>
  <c r="Q2863" i="5"/>
  <c r="Q2864" i="5"/>
  <c r="Q2865" i="5"/>
  <c r="Q2866" i="5"/>
  <c r="Q2867" i="5"/>
  <c r="Q2868" i="5"/>
  <c r="Q2869" i="5"/>
  <c r="Q2870" i="5"/>
  <c r="Q2871" i="5"/>
  <c r="Q2872" i="5"/>
  <c r="Q2873" i="5"/>
  <c r="Q2874" i="5"/>
  <c r="Q2875" i="5"/>
  <c r="Q2876" i="5"/>
  <c r="Q2877" i="5"/>
  <c r="Q2878" i="5"/>
  <c r="Q2879" i="5"/>
  <c r="Q2880" i="5"/>
  <c r="Q2881" i="5"/>
  <c r="Q2882" i="5"/>
  <c r="Q2883" i="5"/>
  <c r="Q2884" i="5"/>
  <c r="Q2885" i="5"/>
  <c r="Q2886" i="5"/>
  <c r="Q2887" i="5"/>
  <c r="Q2888" i="5"/>
  <c r="Q2889" i="5"/>
  <c r="Q2890" i="5"/>
  <c r="Q2891" i="5"/>
  <c r="Q2892" i="5"/>
  <c r="Q2893" i="5"/>
  <c r="Q2894" i="5"/>
  <c r="Q2895" i="5"/>
  <c r="Q2896" i="5"/>
  <c r="Q2897" i="5"/>
  <c r="Q2898" i="5"/>
  <c r="Q2899" i="5"/>
  <c r="Q2900" i="5"/>
  <c r="Q2901" i="5"/>
  <c r="Q2902" i="5"/>
  <c r="Q2903" i="5"/>
  <c r="Q2904" i="5"/>
  <c r="Q2905" i="5"/>
  <c r="Q2906" i="5"/>
  <c r="Q2907" i="5"/>
  <c r="Q2908" i="5"/>
  <c r="Q2909" i="5"/>
  <c r="Q2910" i="5"/>
  <c r="Q2911" i="5"/>
  <c r="Q2912" i="5"/>
  <c r="Q2913" i="5"/>
  <c r="Q2914" i="5"/>
  <c r="Q2915" i="5"/>
  <c r="Q2916" i="5"/>
  <c r="Q2917" i="5"/>
  <c r="Q2918" i="5"/>
  <c r="Q2919" i="5"/>
  <c r="Q2920" i="5"/>
  <c r="Q2921" i="5"/>
  <c r="Q2922" i="5"/>
  <c r="Q2923" i="5"/>
  <c r="Q2924" i="5"/>
  <c r="Q2925" i="5"/>
  <c r="Q2926" i="5"/>
  <c r="Q2927" i="5"/>
  <c r="Q2928" i="5"/>
  <c r="Q2929" i="5"/>
  <c r="Q2930" i="5"/>
  <c r="Q2931" i="5"/>
  <c r="Q2932" i="5"/>
  <c r="Q2933" i="5"/>
  <c r="Q2934" i="5"/>
  <c r="Q2935" i="5"/>
  <c r="Q2936" i="5"/>
  <c r="Q2937" i="5"/>
  <c r="Q2938" i="5"/>
  <c r="Q2939" i="5"/>
  <c r="Q2940" i="5"/>
  <c r="Q2941" i="5"/>
  <c r="Q2942" i="5"/>
  <c r="Q2943" i="5"/>
  <c r="Q2944" i="5"/>
  <c r="Q2945" i="5"/>
  <c r="Q2946" i="5"/>
  <c r="Q2947" i="5"/>
  <c r="Q2948" i="5"/>
  <c r="Q2949" i="5"/>
  <c r="Q2950" i="5"/>
  <c r="Q2951" i="5"/>
  <c r="Q2952" i="5"/>
  <c r="Q2953" i="5"/>
  <c r="Q2954" i="5"/>
  <c r="Q2955" i="5"/>
  <c r="Q2956" i="5"/>
  <c r="Q2957" i="5"/>
  <c r="Q2958" i="5"/>
  <c r="Q2959" i="5"/>
  <c r="Q2960" i="5"/>
  <c r="Q2961" i="5"/>
  <c r="Q2962" i="5"/>
  <c r="Q2963" i="5"/>
  <c r="Q2964" i="5"/>
  <c r="Q2965" i="5"/>
  <c r="Q2966" i="5"/>
  <c r="Q2967" i="5"/>
  <c r="Q2968" i="5"/>
  <c r="Q2969" i="5"/>
  <c r="Q2970" i="5"/>
  <c r="Q2971" i="5"/>
  <c r="Q2972" i="5"/>
  <c r="Q2973" i="5"/>
  <c r="Q2974" i="5"/>
  <c r="Q2975" i="5"/>
  <c r="Q2976" i="5"/>
  <c r="Q2977" i="5"/>
  <c r="Q2978" i="5"/>
  <c r="Q2979" i="5"/>
  <c r="Q2980" i="5"/>
  <c r="Q2981" i="5"/>
  <c r="Q2982" i="5"/>
  <c r="Q2983" i="5"/>
  <c r="Q2984" i="5"/>
  <c r="Q2985" i="5"/>
  <c r="Q2986" i="5"/>
  <c r="Q2987" i="5"/>
  <c r="Q2988" i="5"/>
  <c r="Q2989" i="5"/>
  <c r="Q2990" i="5"/>
  <c r="Q2991" i="5"/>
  <c r="Q2992" i="5"/>
  <c r="Q2993" i="5"/>
  <c r="Q2994" i="5"/>
  <c r="Q2995" i="5"/>
  <c r="Q2996" i="5"/>
  <c r="Q2997" i="5"/>
  <c r="Q2998" i="5"/>
  <c r="Q2999" i="5"/>
  <c r="Q3000" i="5"/>
  <c r="Q3001" i="5"/>
  <c r="Q3002" i="5"/>
  <c r="Q3003" i="5"/>
  <c r="Q3004" i="5"/>
  <c r="Q3005" i="5"/>
  <c r="Q3006" i="5"/>
  <c r="Q3007" i="5"/>
  <c r="Q3008" i="5"/>
  <c r="Q3009" i="5"/>
  <c r="Q3010" i="5"/>
  <c r="Q3011" i="5"/>
  <c r="Q3012" i="5"/>
  <c r="Q3013" i="5"/>
  <c r="Q3014" i="5"/>
  <c r="Q3015" i="5"/>
  <c r="Q3016" i="5"/>
  <c r="Q3017" i="5"/>
  <c r="Q3018" i="5"/>
  <c r="Q3019" i="5"/>
  <c r="Q3020" i="5"/>
  <c r="Q3021" i="5"/>
  <c r="Q3022" i="5"/>
  <c r="Q3023" i="5"/>
  <c r="Q3024" i="5"/>
  <c r="Q3025" i="5"/>
  <c r="Q3026" i="5"/>
  <c r="Q3027" i="5"/>
  <c r="Q3028" i="5"/>
  <c r="Q3029" i="5"/>
  <c r="Q3030" i="5"/>
  <c r="Q3031" i="5"/>
  <c r="Q3032" i="5"/>
  <c r="Q3033" i="5"/>
  <c r="Q3034" i="5"/>
  <c r="Q3035" i="5"/>
  <c r="Q3036" i="5"/>
  <c r="Q3037" i="5"/>
  <c r="Q3038" i="5"/>
  <c r="Q3039" i="5"/>
  <c r="Q3040" i="5"/>
  <c r="Q3041" i="5"/>
  <c r="Q3042" i="5"/>
  <c r="Q3043" i="5"/>
  <c r="Q3044" i="5"/>
  <c r="Q3045" i="5"/>
  <c r="Q3046" i="5"/>
  <c r="Q3047" i="5"/>
  <c r="Q3048" i="5"/>
  <c r="Q3049" i="5"/>
  <c r="Q3050" i="5"/>
  <c r="Q3051" i="5"/>
  <c r="Q3052" i="5"/>
  <c r="Q3053" i="5"/>
  <c r="Q3054" i="5"/>
  <c r="Q3055" i="5"/>
  <c r="Q3056" i="5"/>
  <c r="Q3057" i="5"/>
  <c r="Q3058" i="5"/>
  <c r="Q3059" i="5"/>
  <c r="Q3060" i="5"/>
  <c r="Q3061" i="5"/>
  <c r="Q3062" i="5"/>
  <c r="Q3063" i="5"/>
  <c r="Q3064" i="5"/>
  <c r="Q3065" i="5"/>
  <c r="Q3066" i="5"/>
  <c r="Q3067" i="5"/>
  <c r="Q3068" i="5"/>
  <c r="Q3069" i="5"/>
  <c r="Q3070" i="5"/>
  <c r="Q3071" i="5"/>
  <c r="Q3072" i="5"/>
  <c r="Q3073" i="5"/>
  <c r="Q3074" i="5"/>
  <c r="Q3075" i="5"/>
  <c r="Q3076" i="5"/>
  <c r="Q3077" i="5"/>
  <c r="Q3078" i="5"/>
  <c r="Q3079" i="5"/>
  <c r="Q3080" i="5"/>
  <c r="Q3081" i="5"/>
  <c r="Q3082" i="5"/>
  <c r="Q3083" i="5"/>
  <c r="Q3084" i="5"/>
  <c r="Q3085" i="5"/>
  <c r="Q3086" i="5"/>
  <c r="Q3087" i="5"/>
  <c r="Q3088" i="5"/>
  <c r="Q3089" i="5"/>
  <c r="Q3090" i="5"/>
  <c r="Q3091" i="5"/>
  <c r="Q3092" i="5"/>
  <c r="Q3093" i="5"/>
  <c r="Q3094" i="5"/>
  <c r="Q3095" i="5"/>
  <c r="Q3096" i="5"/>
  <c r="Q3097" i="5"/>
  <c r="Q3098" i="5"/>
  <c r="Q3099" i="5"/>
  <c r="Q3100" i="5"/>
  <c r="Q3101" i="5"/>
  <c r="Q3102" i="5"/>
  <c r="Q3103" i="5"/>
  <c r="Q3104" i="5"/>
  <c r="Q3105" i="5"/>
  <c r="Q3106" i="5"/>
  <c r="Q3107" i="5"/>
  <c r="Q3108" i="5"/>
  <c r="Q3109" i="5"/>
  <c r="Q3110" i="5"/>
  <c r="Q3111" i="5"/>
  <c r="Q3112" i="5"/>
  <c r="Q3113" i="5"/>
  <c r="Q3114" i="5"/>
  <c r="Q3115" i="5"/>
  <c r="Q3116" i="5"/>
  <c r="Q3117" i="5"/>
  <c r="Q3118" i="5"/>
  <c r="Q3119" i="5"/>
  <c r="Q3120" i="5"/>
  <c r="Q3121" i="5"/>
  <c r="Q3122" i="5"/>
  <c r="Q3123" i="5"/>
  <c r="Q3124" i="5"/>
  <c r="Q3125" i="5"/>
  <c r="Q3126" i="5"/>
  <c r="Q3127" i="5"/>
  <c r="Q3128" i="5"/>
  <c r="Q3129" i="5"/>
  <c r="Q3130" i="5"/>
  <c r="Q3131" i="5"/>
  <c r="Q3132" i="5"/>
  <c r="Q3133" i="5"/>
  <c r="Q3134" i="5"/>
  <c r="Q3135" i="5"/>
  <c r="Q3136" i="5"/>
  <c r="Q3137" i="5"/>
  <c r="Q3138" i="5"/>
  <c r="Q3139" i="5"/>
  <c r="Q3140" i="5"/>
  <c r="Q3141" i="5"/>
  <c r="Q3142" i="5"/>
  <c r="Q3143" i="5"/>
  <c r="Q3144" i="5"/>
  <c r="Q3145" i="5"/>
  <c r="Q3146" i="5"/>
  <c r="Q3147" i="5"/>
  <c r="Q3148" i="5"/>
  <c r="Q3149" i="5"/>
  <c r="Q3150" i="5"/>
  <c r="Q3151" i="5"/>
  <c r="Q3152" i="5"/>
  <c r="Q3153" i="5"/>
  <c r="Q3154" i="5"/>
  <c r="Q3155" i="5"/>
  <c r="Q3156" i="5"/>
  <c r="Q3157" i="5"/>
  <c r="Q3158" i="5"/>
  <c r="Q3159" i="5"/>
  <c r="Q3160" i="5"/>
  <c r="Q3161" i="5"/>
  <c r="Q3162" i="5"/>
  <c r="Q3163" i="5"/>
  <c r="Q3164" i="5"/>
  <c r="Q3165" i="5"/>
  <c r="Q3166" i="5"/>
  <c r="Q3167" i="5"/>
  <c r="Q3168" i="5"/>
  <c r="Q3169" i="5"/>
  <c r="Q3170" i="5"/>
  <c r="Q3171" i="5"/>
  <c r="Q3172" i="5"/>
  <c r="Q3173" i="5"/>
  <c r="Q3174" i="5"/>
  <c r="Q3175" i="5"/>
  <c r="Q3176" i="5"/>
  <c r="Q3177" i="5"/>
  <c r="Q3178" i="5"/>
  <c r="Q3179" i="5"/>
  <c r="Q3180" i="5"/>
  <c r="Q3181" i="5"/>
  <c r="Q3182" i="5"/>
  <c r="Q3183" i="5"/>
  <c r="Q3184" i="5"/>
  <c r="Q3185" i="5"/>
  <c r="Q3186" i="5"/>
  <c r="Q3187" i="5"/>
  <c r="Q3188" i="5"/>
  <c r="Q3189" i="5"/>
  <c r="Q3190" i="5"/>
  <c r="Q3191" i="5"/>
  <c r="Q3192" i="5"/>
  <c r="Q3193" i="5"/>
  <c r="Q3194" i="5"/>
  <c r="Q3195" i="5"/>
  <c r="Q3196" i="5"/>
  <c r="Q3197" i="5"/>
  <c r="Q3198" i="5"/>
  <c r="Q3199" i="5"/>
  <c r="Q3200" i="5"/>
  <c r="Q3201" i="5"/>
  <c r="Q3202" i="5"/>
  <c r="Q3203" i="5"/>
  <c r="Q3204" i="5"/>
  <c r="Q3205" i="5"/>
  <c r="Q3206" i="5"/>
  <c r="Q3207" i="5"/>
  <c r="Q3208" i="5"/>
  <c r="Q3209" i="5"/>
  <c r="Q3210" i="5"/>
  <c r="Q3211" i="5"/>
  <c r="Q3212" i="5"/>
  <c r="Q3213" i="5"/>
  <c r="Q3214" i="5"/>
  <c r="Q3215" i="5"/>
  <c r="Q3216" i="5"/>
  <c r="Q3217" i="5"/>
  <c r="Q3218" i="5"/>
  <c r="Q3219" i="5"/>
  <c r="Q3220" i="5"/>
  <c r="Q3221" i="5"/>
  <c r="Q3222" i="5"/>
  <c r="Q3223" i="5"/>
  <c r="Q3224" i="5"/>
  <c r="Q3225" i="5"/>
  <c r="Q3226" i="5"/>
  <c r="Q3227" i="5"/>
  <c r="Q3228" i="5"/>
  <c r="Q3229" i="5"/>
  <c r="Q3230" i="5"/>
  <c r="Q3231" i="5"/>
  <c r="Q3232" i="5"/>
  <c r="Q3233" i="5"/>
  <c r="Q3234" i="5"/>
  <c r="Q3235" i="5"/>
  <c r="Q3236" i="5"/>
  <c r="Q3237" i="5"/>
  <c r="Q3238" i="5"/>
  <c r="Q3239" i="5"/>
  <c r="Q3240" i="5"/>
  <c r="Q3241" i="5"/>
  <c r="Q3242" i="5"/>
  <c r="Q3243" i="5"/>
  <c r="Q3244" i="5"/>
  <c r="Q3245" i="5"/>
  <c r="Q3246" i="5"/>
  <c r="Q3247" i="5"/>
  <c r="Q3248" i="5"/>
  <c r="Q3249" i="5"/>
  <c r="Q3250" i="5"/>
  <c r="Q3251" i="5"/>
  <c r="Q3252" i="5"/>
  <c r="Q3253" i="5"/>
  <c r="Q3254" i="5"/>
  <c r="Q3255" i="5"/>
  <c r="Q3256" i="5"/>
  <c r="Q3257" i="5"/>
  <c r="Q3258" i="5"/>
  <c r="Q3259" i="5"/>
  <c r="Q3260" i="5"/>
  <c r="Q3261" i="5"/>
  <c r="Q3262" i="5"/>
  <c r="Q3263" i="5"/>
  <c r="Q3264" i="5"/>
  <c r="Q3265" i="5"/>
  <c r="Q3266" i="5"/>
  <c r="Q3267" i="5"/>
  <c r="Q3268" i="5"/>
  <c r="Q3269" i="5"/>
  <c r="Q3270" i="5"/>
  <c r="Q3271" i="5"/>
  <c r="Q3272" i="5"/>
  <c r="Q3273" i="5"/>
  <c r="Q3274" i="5"/>
  <c r="Q3275" i="5"/>
  <c r="Q3276" i="5"/>
  <c r="Q3277" i="5"/>
  <c r="Q3278" i="5"/>
  <c r="Q3279" i="5"/>
  <c r="Q3280" i="5"/>
  <c r="Q3281" i="5"/>
  <c r="Q3282" i="5"/>
  <c r="Q3283" i="5"/>
  <c r="Q3284" i="5"/>
  <c r="Q3285" i="5"/>
  <c r="Q3286" i="5"/>
  <c r="Q3287" i="5"/>
  <c r="Q3288" i="5"/>
  <c r="Q3289" i="5"/>
  <c r="Q3290" i="5"/>
  <c r="Q3291" i="5"/>
  <c r="Q3292" i="5"/>
  <c r="Q3293" i="5"/>
  <c r="Q3294" i="5"/>
  <c r="Q3295" i="5"/>
  <c r="Q3296" i="5"/>
  <c r="Q3297" i="5"/>
  <c r="Q3298" i="5"/>
  <c r="Q3299" i="5"/>
  <c r="Q3300" i="5"/>
  <c r="Q3301" i="5"/>
  <c r="Q3302" i="5"/>
  <c r="Q3303" i="5"/>
  <c r="Q3304" i="5"/>
  <c r="Q3305" i="5"/>
  <c r="Q3306" i="5"/>
  <c r="Q3307" i="5"/>
  <c r="Q3308" i="5"/>
  <c r="Q3309" i="5"/>
  <c r="Q3310" i="5"/>
  <c r="Q3311" i="5"/>
  <c r="Q3312" i="5"/>
  <c r="Q3313" i="5"/>
  <c r="Q3314" i="5"/>
  <c r="Q3315" i="5"/>
  <c r="Q3316" i="5"/>
  <c r="Q3317" i="5"/>
  <c r="Q3318" i="5"/>
  <c r="Q3319" i="5"/>
  <c r="Q3320" i="5"/>
  <c r="Q3321" i="5"/>
  <c r="Q3322" i="5"/>
  <c r="Q3323" i="5"/>
  <c r="Q3324" i="5"/>
  <c r="Q3325" i="5"/>
  <c r="Q3326" i="5"/>
  <c r="Q3327" i="5"/>
  <c r="Q3328" i="5"/>
  <c r="Q3329" i="5"/>
  <c r="Q3330" i="5"/>
  <c r="Q3331" i="5"/>
  <c r="Q3332" i="5"/>
  <c r="Q3333" i="5"/>
  <c r="Q3334" i="5"/>
  <c r="Q3335" i="5"/>
  <c r="Q3336" i="5"/>
  <c r="Q3337" i="5"/>
  <c r="Q3338" i="5"/>
  <c r="Q3339" i="5"/>
  <c r="Q3340" i="5"/>
  <c r="Q3341" i="5"/>
  <c r="Q3342" i="5"/>
  <c r="Q3343" i="5"/>
  <c r="Q3344" i="5"/>
  <c r="Q3345" i="5"/>
  <c r="Q3346" i="5"/>
  <c r="Q3347" i="5"/>
  <c r="Q3348" i="5"/>
  <c r="Q3349" i="5"/>
  <c r="Q3350" i="5"/>
  <c r="Q3351" i="5"/>
  <c r="Q3352" i="5"/>
  <c r="Q3353" i="5"/>
  <c r="Q3354" i="5"/>
  <c r="Q3355" i="5"/>
  <c r="Q3356" i="5"/>
  <c r="Q3357" i="5"/>
  <c r="Q3358" i="5"/>
  <c r="Q3359" i="5"/>
  <c r="Q3360" i="5"/>
  <c r="Q3361" i="5"/>
  <c r="Q3362" i="5"/>
  <c r="Q3363" i="5"/>
  <c r="Q3364" i="5"/>
  <c r="Q3365" i="5"/>
  <c r="Q3366" i="5"/>
  <c r="Q3367" i="5"/>
  <c r="Q3368" i="5"/>
  <c r="Q3369" i="5"/>
  <c r="Q3370" i="5"/>
  <c r="Q3371" i="5"/>
  <c r="Q3372" i="5"/>
  <c r="Q3373" i="5"/>
  <c r="Q3374" i="5"/>
  <c r="Q3375" i="5"/>
  <c r="Q3376" i="5"/>
  <c r="Q3377" i="5"/>
  <c r="Q3378" i="5"/>
  <c r="Q3379" i="5"/>
  <c r="Q3380" i="5"/>
  <c r="Q3381" i="5"/>
  <c r="Q3382" i="5"/>
  <c r="Q3383" i="5"/>
  <c r="Q3384" i="5"/>
  <c r="Q3385" i="5"/>
  <c r="Q3386" i="5"/>
  <c r="Q3387" i="5"/>
  <c r="Q3388" i="5"/>
  <c r="Q3389" i="5"/>
  <c r="Q3390" i="5"/>
  <c r="Q3391" i="5"/>
  <c r="Q3392" i="5"/>
  <c r="Q3393" i="5"/>
  <c r="Q3394" i="5"/>
  <c r="Q3395" i="5"/>
  <c r="Q3396" i="5"/>
  <c r="Q3397" i="5"/>
  <c r="Q3398" i="5"/>
  <c r="Q3399" i="5"/>
  <c r="Q3400" i="5"/>
  <c r="Q3401" i="5"/>
  <c r="Q3402" i="5"/>
  <c r="Q3403" i="5"/>
  <c r="Q3404" i="5"/>
  <c r="Q3405" i="5"/>
  <c r="Q3406" i="5"/>
  <c r="Q3407" i="5"/>
  <c r="Q3408" i="5"/>
  <c r="Q3409" i="5"/>
  <c r="Q3410" i="5"/>
  <c r="Q3411" i="5"/>
  <c r="Q3412" i="5"/>
  <c r="Q3413" i="5"/>
  <c r="Q3414" i="5"/>
  <c r="Q3415" i="5"/>
  <c r="Q3416" i="5"/>
  <c r="Q3417" i="5"/>
  <c r="Q3418" i="5"/>
  <c r="Q3419" i="5"/>
  <c r="Q3420" i="5"/>
  <c r="Q3421" i="5"/>
  <c r="Q3422" i="5"/>
  <c r="Q3423" i="5"/>
  <c r="Q3424" i="5"/>
  <c r="Q3425" i="5"/>
  <c r="Q3426" i="5"/>
  <c r="Q3427" i="5"/>
  <c r="Q3428" i="5"/>
  <c r="Q3429" i="5"/>
  <c r="Q3430" i="5"/>
  <c r="Q3431" i="5"/>
  <c r="Q3432" i="5"/>
  <c r="Q3433" i="5"/>
  <c r="Q3434" i="5"/>
  <c r="Q3435" i="5"/>
  <c r="Q3436" i="5"/>
  <c r="Q3437" i="5"/>
  <c r="Q3438" i="5"/>
  <c r="Q3439" i="5"/>
  <c r="Q3440" i="5"/>
  <c r="Q3441" i="5"/>
  <c r="Q3442" i="5"/>
  <c r="Q3443" i="5"/>
  <c r="Q3444" i="5"/>
  <c r="Q3445" i="5"/>
  <c r="Q3446" i="5"/>
  <c r="Q3447" i="5"/>
  <c r="Q3448" i="5"/>
  <c r="Q3449" i="5"/>
  <c r="Q3450" i="5"/>
  <c r="Q3451" i="5"/>
  <c r="Q3452" i="5"/>
  <c r="Q3453" i="5"/>
  <c r="Q3454" i="5"/>
  <c r="Q3455" i="5"/>
  <c r="Q3456" i="5"/>
  <c r="Q3457" i="5"/>
  <c r="Q3458" i="5"/>
  <c r="Q3459" i="5"/>
  <c r="Q3460" i="5"/>
  <c r="Q3461" i="5"/>
  <c r="Q3462" i="5"/>
  <c r="Q3463" i="5"/>
  <c r="Q3464" i="5"/>
  <c r="Q3465" i="5"/>
  <c r="Q3466" i="5"/>
  <c r="Q3467" i="5"/>
  <c r="Q3468" i="5"/>
  <c r="Q3469" i="5"/>
  <c r="Q3470" i="5"/>
  <c r="Q3471" i="5"/>
  <c r="Q3472" i="5"/>
  <c r="Q3473" i="5"/>
  <c r="Q3474" i="5"/>
  <c r="Q3475" i="5"/>
  <c r="Q3476" i="5"/>
  <c r="Q3477" i="5"/>
  <c r="Q3478" i="5"/>
  <c r="Q3479" i="5"/>
  <c r="Q3480" i="5"/>
  <c r="Q3481" i="5"/>
  <c r="Q3482" i="5"/>
  <c r="Q3483" i="5"/>
  <c r="Q3484" i="5"/>
  <c r="Q3485" i="5"/>
  <c r="Q3486" i="5"/>
  <c r="Q3487" i="5"/>
  <c r="Q3488" i="5"/>
  <c r="Q3489" i="5"/>
  <c r="Q3490" i="5"/>
  <c r="Q3491" i="5"/>
  <c r="Q3492" i="5"/>
  <c r="Q3493" i="5"/>
  <c r="Q3494" i="5"/>
  <c r="Q3495" i="5"/>
  <c r="Q3496" i="5"/>
  <c r="Q3497" i="5"/>
  <c r="Q3498" i="5"/>
  <c r="Q3499" i="5"/>
  <c r="Q3500" i="5"/>
  <c r="Q3501" i="5"/>
  <c r="Q3502" i="5"/>
  <c r="Q3503" i="5"/>
  <c r="Q3504" i="5"/>
  <c r="Q3505" i="5"/>
  <c r="Q3506" i="5"/>
  <c r="Q3507" i="5"/>
  <c r="Q3508" i="5"/>
  <c r="Q3509" i="5"/>
  <c r="Q3510" i="5"/>
  <c r="Q3511" i="5"/>
  <c r="Q3512" i="5"/>
  <c r="Q3513" i="5"/>
  <c r="Q3514" i="5"/>
  <c r="Q3515" i="5"/>
  <c r="Q3516" i="5"/>
  <c r="Q3517" i="5"/>
  <c r="Q3518" i="5"/>
  <c r="Q3519" i="5"/>
  <c r="Q3520" i="5"/>
  <c r="Q3521" i="5"/>
  <c r="Q3522" i="5"/>
  <c r="Q3523" i="5"/>
  <c r="Q3524" i="5"/>
  <c r="Q3525" i="5"/>
  <c r="Q3526" i="5"/>
  <c r="Q3527" i="5"/>
  <c r="Q3528" i="5"/>
  <c r="Q3529" i="5"/>
  <c r="Q3530" i="5"/>
  <c r="Q3531" i="5"/>
  <c r="Q3532" i="5"/>
  <c r="Q3533" i="5"/>
  <c r="Q3534" i="5"/>
  <c r="Q3535" i="5"/>
  <c r="Q3536" i="5"/>
  <c r="Q3537" i="5"/>
  <c r="Q3538" i="5"/>
  <c r="Q3539" i="5"/>
  <c r="Q3540" i="5"/>
  <c r="Q3541" i="5"/>
  <c r="Q3542" i="5"/>
  <c r="Q3543" i="5"/>
  <c r="Q3544" i="5"/>
  <c r="Q3545" i="5"/>
  <c r="Q3546" i="5"/>
  <c r="Q3547" i="5"/>
  <c r="Q3548" i="5"/>
  <c r="Q3549" i="5"/>
  <c r="Q3550" i="5"/>
  <c r="Q3551" i="5"/>
  <c r="Q3552" i="5"/>
  <c r="Q3553" i="5"/>
  <c r="Q3554" i="5"/>
  <c r="Q3555" i="5"/>
  <c r="Q3556" i="5"/>
  <c r="Q3557" i="5"/>
  <c r="Q3558" i="5"/>
  <c r="Q3559" i="5"/>
  <c r="Q3560" i="5"/>
  <c r="Q3561" i="5"/>
  <c r="Q3562" i="5"/>
  <c r="Q3563" i="5"/>
  <c r="Q3564" i="5"/>
  <c r="Q3565" i="5"/>
  <c r="Q3566" i="5"/>
  <c r="Q3567" i="5"/>
  <c r="Q3568" i="5"/>
  <c r="Q3569" i="5"/>
  <c r="Q3570" i="5"/>
  <c r="Q3571" i="5"/>
  <c r="Q3572" i="5"/>
  <c r="Q3573" i="5"/>
  <c r="Q3574" i="5"/>
  <c r="Q3575" i="5"/>
  <c r="Q3576" i="5"/>
  <c r="Q3577" i="5"/>
  <c r="Q3578" i="5"/>
  <c r="Q3579" i="5"/>
  <c r="Q3580" i="5"/>
  <c r="Q3581" i="5"/>
  <c r="Q3582" i="5"/>
  <c r="Q3583" i="5"/>
  <c r="Q3584" i="5"/>
  <c r="Q3585" i="5"/>
  <c r="Q3586" i="5"/>
  <c r="Q3587" i="5"/>
  <c r="Q3588" i="5"/>
  <c r="Q3589" i="5"/>
  <c r="Q3590" i="5"/>
  <c r="Q3591" i="5"/>
  <c r="Q3592" i="5"/>
  <c r="Q3593" i="5"/>
  <c r="Q3594" i="5"/>
  <c r="Q3595" i="5"/>
  <c r="Q3596" i="5"/>
  <c r="Q3597" i="5"/>
  <c r="Q3598" i="5"/>
  <c r="Q3599" i="5"/>
  <c r="Q3600" i="5"/>
  <c r="Q3601" i="5"/>
  <c r="Q3602" i="5"/>
  <c r="Q3603" i="5"/>
  <c r="Q3604" i="5"/>
  <c r="Q3605" i="5"/>
  <c r="Q3606" i="5"/>
  <c r="Q3607" i="5"/>
  <c r="Q3608" i="5"/>
  <c r="Q3609" i="5"/>
  <c r="Q3610" i="5"/>
  <c r="Q3611" i="5"/>
  <c r="Q3612" i="5"/>
  <c r="Q3613" i="5"/>
  <c r="Q3614" i="5"/>
  <c r="Q3615" i="5"/>
  <c r="Q3616" i="5"/>
  <c r="Q3617" i="5"/>
  <c r="Q3618" i="5"/>
  <c r="Q3619" i="5"/>
  <c r="Q3620" i="5"/>
  <c r="Q3621" i="5"/>
  <c r="Q3622" i="5"/>
  <c r="Q3623" i="5"/>
  <c r="Q3624" i="5"/>
  <c r="Q3625" i="5"/>
  <c r="Q3626" i="5"/>
  <c r="Q3627" i="5"/>
  <c r="Q3628" i="5"/>
  <c r="Q3629" i="5"/>
  <c r="Q3630" i="5"/>
  <c r="Q3631" i="5"/>
  <c r="Q3632" i="5"/>
  <c r="Q3633" i="5"/>
  <c r="Q3634" i="5"/>
  <c r="Q3635" i="5"/>
  <c r="Q3636" i="5"/>
  <c r="Q3637" i="5"/>
  <c r="Q3638" i="5"/>
  <c r="Q3639" i="5"/>
  <c r="Q3640" i="5"/>
  <c r="Q3641" i="5"/>
  <c r="Q3642" i="5"/>
  <c r="Q3643" i="5"/>
  <c r="Q3644" i="5"/>
  <c r="Q3645" i="5"/>
  <c r="Q3646" i="5"/>
  <c r="Q3647" i="5"/>
  <c r="Q3648" i="5"/>
  <c r="Q3649" i="5"/>
  <c r="Q3650" i="5"/>
  <c r="Q3651" i="5"/>
  <c r="Q3652" i="5"/>
  <c r="Q3653" i="5"/>
  <c r="Q3654" i="5"/>
  <c r="Q3655" i="5"/>
  <c r="Q3656" i="5"/>
  <c r="Q3657" i="5"/>
  <c r="Q3658" i="5"/>
  <c r="Q3659" i="5"/>
  <c r="Q3660" i="5"/>
  <c r="Q3661" i="5"/>
  <c r="Q3662" i="5"/>
  <c r="Q3663" i="5"/>
  <c r="Q3664" i="5"/>
  <c r="Q3665" i="5"/>
  <c r="Q3666" i="5"/>
  <c r="Q3667" i="5"/>
  <c r="Q3668" i="5"/>
  <c r="Q3669" i="5"/>
  <c r="Q3670" i="5"/>
  <c r="Q3671" i="5"/>
  <c r="Q3672" i="5"/>
  <c r="Q3673" i="5"/>
  <c r="Q3674" i="5"/>
  <c r="Q3675" i="5"/>
  <c r="Q3676" i="5"/>
  <c r="Q3677" i="5"/>
  <c r="Q3678" i="5"/>
  <c r="Q3679" i="5"/>
  <c r="Q3680" i="5"/>
  <c r="Q3681" i="5"/>
  <c r="Q3682" i="5"/>
  <c r="Q3683" i="5"/>
  <c r="Q3684" i="5"/>
  <c r="Q3685" i="5"/>
  <c r="Q3686" i="5"/>
  <c r="Q3687" i="5"/>
  <c r="Q3688" i="5"/>
  <c r="Q3689" i="5"/>
  <c r="Q3690" i="5"/>
  <c r="Q3691" i="5"/>
  <c r="Q3692" i="5"/>
  <c r="Q3693" i="5"/>
  <c r="Q3694" i="5"/>
  <c r="Q3695" i="5"/>
  <c r="Q3696" i="5"/>
  <c r="Q3697" i="5"/>
  <c r="Q3698" i="5"/>
  <c r="Q3699" i="5"/>
  <c r="Q3700" i="5"/>
  <c r="Q3701" i="5"/>
  <c r="Q3702" i="5"/>
  <c r="Q3703" i="5"/>
  <c r="Q3704" i="5"/>
  <c r="Q3705" i="5"/>
  <c r="Q3706" i="5"/>
  <c r="Q3707" i="5"/>
  <c r="Q3708" i="5"/>
  <c r="Q3709" i="5"/>
  <c r="Q3710" i="5"/>
  <c r="Q3711" i="5"/>
  <c r="Q3712" i="5"/>
  <c r="Q3713" i="5"/>
  <c r="Q3714" i="5"/>
  <c r="Q3715" i="5"/>
  <c r="Q3716" i="5"/>
  <c r="Q3717" i="5"/>
  <c r="Q3718" i="5"/>
  <c r="Q3719" i="5"/>
  <c r="Q3720" i="5"/>
  <c r="Q3721" i="5"/>
  <c r="Q3722" i="5"/>
  <c r="Q3723" i="5"/>
  <c r="Q3724" i="5"/>
  <c r="Q3725" i="5"/>
  <c r="Q3726" i="5"/>
  <c r="Q3727" i="5"/>
  <c r="Q3728" i="5"/>
  <c r="Q3729" i="5"/>
  <c r="Q3730" i="5"/>
  <c r="Q3731" i="5"/>
  <c r="Q3732" i="5"/>
  <c r="Q3733" i="5"/>
  <c r="Q3734" i="5"/>
  <c r="Q3735" i="5"/>
  <c r="Q3736" i="5"/>
  <c r="Q3737" i="5"/>
  <c r="Q3738" i="5"/>
  <c r="Q3739" i="5"/>
  <c r="Q3740" i="5"/>
  <c r="Q3741" i="5"/>
  <c r="Q3742" i="5"/>
  <c r="Q3743" i="5"/>
  <c r="Q3744" i="5"/>
  <c r="Q3745" i="5"/>
  <c r="Q3746" i="5"/>
  <c r="Q3747" i="5"/>
  <c r="Q3748" i="5"/>
  <c r="Q3749" i="5"/>
  <c r="Q3750" i="5"/>
  <c r="Q3751" i="5"/>
  <c r="Q3752" i="5"/>
  <c r="Q3753" i="5"/>
  <c r="Q3754" i="5"/>
  <c r="Q3755" i="5"/>
  <c r="Q3756" i="5"/>
  <c r="Q3757" i="5"/>
  <c r="Q3758" i="5"/>
  <c r="Q3759" i="5"/>
  <c r="Q3760" i="5"/>
  <c r="Q3761" i="5"/>
  <c r="Q3762" i="5"/>
  <c r="Q3763" i="5"/>
  <c r="Q3764" i="5"/>
  <c r="Q3765" i="5"/>
  <c r="Q3766" i="5"/>
  <c r="Q3767" i="5"/>
  <c r="Q3768" i="5"/>
  <c r="Q3769" i="5"/>
  <c r="Q3770" i="5"/>
  <c r="Q3771" i="5"/>
  <c r="Q3772" i="5"/>
  <c r="Q3773" i="5"/>
  <c r="Q3774" i="5"/>
  <c r="Q3775" i="5"/>
  <c r="Q3776" i="5"/>
  <c r="Q3777" i="5"/>
  <c r="Q3778" i="5"/>
  <c r="Q3779" i="5"/>
  <c r="Q3780" i="5"/>
  <c r="Q3781" i="5"/>
  <c r="Q3782" i="5"/>
  <c r="Q3783" i="5"/>
  <c r="Q3784" i="5"/>
  <c r="Q3785" i="5"/>
  <c r="Q3786" i="5"/>
  <c r="Q3787" i="5"/>
  <c r="Q3788" i="5"/>
  <c r="Q3789" i="5"/>
  <c r="Q3790" i="5"/>
  <c r="Q3791" i="5"/>
  <c r="Q3792" i="5"/>
  <c r="Q3793" i="5"/>
  <c r="Q3794" i="5"/>
  <c r="Q3795" i="5"/>
  <c r="Q3796" i="5"/>
  <c r="Q3797" i="5"/>
  <c r="Q3798" i="5"/>
  <c r="Q3799" i="5"/>
  <c r="Q3800" i="5"/>
  <c r="Q3801" i="5"/>
  <c r="Q3802" i="5"/>
  <c r="Q3803" i="5"/>
  <c r="Q3804" i="5"/>
  <c r="Q3805" i="5"/>
  <c r="Q3806" i="5"/>
  <c r="Q3807" i="5"/>
  <c r="Q3808" i="5"/>
  <c r="Q3809" i="5"/>
  <c r="Q3810" i="5"/>
  <c r="Q3811" i="5"/>
  <c r="Q3812" i="5"/>
  <c r="Q3813" i="5"/>
  <c r="Q3814" i="5"/>
  <c r="Q3815" i="5"/>
  <c r="Q3816" i="5"/>
  <c r="Q3817" i="5"/>
  <c r="Q3818" i="5"/>
  <c r="Q3819" i="5"/>
  <c r="Q3820" i="5"/>
  <c r="Q3821" i="5"/>
  <c r="Q3822" i="5"/>
  <c r="Q3823" i="5"/>
  <c r="Q3824" i="5"/>
  <c r="Q3825" i="5"/>
  <c r="Q3826" i="5"/>
  <c r="Q3827" i="5"/>
  <c r="Q3828" i="5"/>
  <c r="Q3829" i="5"/>
  <c r="Q3830" i="5"/>
  <c r="Q3831" i="5"/>
  <c r="Q3832" i="5"/>
  <c r="Q3833" i="5"/>
  <c r="Q3834" i="5"/>
  <c r="Q3835" i="5"/>
  <c r="Q3836" i="5"/>
  <c r="Q3837" i="5"/>
  <c r="Q3838" i="5"/>
  <c r="Q3839" i="5"/>
  <c r="Q3840" i="5"/>
  <c r="Q3841" i="5"/>
  <c r="Q3842" i="5"/>
  <c r="Q3843" i="5"/>
  <c r="Q3844" i="5"/>
  <c r="Q3845" i="5"/>
  <c r="Q3846" i="5"/>
  <c r="Q3847" i="5"/>
  <c r="Q3848" i="5"/>
  <c r="Q3849" i="5"/>
  <c r="Q3850" i="5"/>
  <c r="Q3851" i="5"/>
  <c r="Q3852" i="5"/>
  <c r="Q3853" i="5"/>
  <c r="Q3854" i="5"/>
  <c r="Q3855" i="5"/>
  <c r="Q3856" i="5"/>
  <c r="Q3857" i="5"/>
  <c r="Q3858" i="5"/>
  <c r="Q3859" i="5"/>
  <c r="Q3860" i="5"/>
  <c r="Q3861" i="5"/>
  <c r="Q3862" i="5"/>
  <c r="Q3863" i="5"/>
  <c r="Q3864" i="5"/>
  <c r="Q3865" i="5"/>
  <c r="Q3866" i="5"/>
  <c r="Q3867" i="5"/>
  <c r="Q3868" i="5"/>
  <c r="Q3869" i="5"/>
  <c r="Q3870" i="5"/>
  <c r="Q3871" i="5"/>
  <c r="Q3872" i="5"/>
  <c r="Q3873" i="5"/>
  <c r="Q3874" i="5"/>
  <c r="Q3875" i="5"/>
  <c r="Q3876" i="5"/>
  <c r="P3" i="5"/>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P557" i="5"/>
  <c r="P558" i="5"/>
  <c r="P559" i="5"/>
  <c r="P560" i="5"/>
  <c r="P561" i="5"/>
  <c r="P562" i="5"/>
  <c r="P563" i="5"/>
  <c r="P564" i="5"/>
  <c r="P565" i="5"/>
  <c r="P566" i="5"/>
  <c r="P567" i="5"/>
  <c r="P568" i="5"/>
  <c r="P569" i="5"/>
  <c r="P570" i="5"/>
  <c r="P571" i="5"/>
  <c r="P572" i="5"/>
  <c r="P573" i="5"/>
  <c r="P574" i="5"/>
  <c r="P575" i="5"/>
  <c r="P576" i="5"/>
  <c r="P577" i="5"/>
  <c r="P578" i="5"/>
  <c r="P579" i="5"/>
  <c r="P580" i="5"/>
  <c r="P581" i="5"/>
  <c r="P582" i="5"/>
  <c r="P583" i="5"/>
  <c r="P584" i="5"/>
  <c r="P585" i="5"/>
  <c r="P586" i="5"/>
  <c r="P587" i="5"/>
  <c r="P588" i="5"/>
  <c r="P589" i="5"/>
  <c r="P590" i="5"/>
  <c r="P591" i="5"/>
  <c r="P592" i="5"/>
  <c r="P593" i="5"/>
  <c r="P594" i="5"/>
  <c r="P595" i="5"/>
  <c r="P596" i="5"/>
  <c r="P597" i="5"/>
  <c r="P598" i="5"/>
  <c r="P599" i="5"/>
  <c r="P600" i="5"/>
  <c r="P601" i="5"/>
  <c r="P602" i="5"/>
  <c r="P603" i="5"/>
  <c r="P604" i="5"/>
  <c r="P605" i="5"/>
  <c r="P606" i="5"/>
  <c r="P607" i="5"/>
  <c r="P608" i="5"/>
  <c r="P609" i="5"/>
  <c r="P610" i="5"/>
  <c r="P611" i="5"/>
  <c r="P612" i="5"/>
  <c r="P613" i="5"/>
  <c r="P614" i="5"/>
  <c r="P615" i="5"/>
  <c r="P616" i="5"/>
  <c r="P617" i="5"/>
  <c r="P618" i="5"/>
  <c r="P619" i="5"/>
  <c r="P620" i="5"/>
  <c r="P621" i="5"/>
  <c r="P622" i="5"/>
  <c r="P623" i="5"/>
  <c r="P624" i="5"/>
  <c r="P625" i="5"/>
  <c r="P626" i="5"/>
  <c r="P627" i="5"/>
  <c r="P628" i="5"/>
  <c r="P629" i="5"/>
  <c r="P630" i="5"/>
  <c r="P631" i="5"/>
  <c r="P632" i="5"/>
  <c r="P633" i="5"/>
  <c r="P634" i="5"/>
  <c r="P635" i="5"/>
  <c r="P636" i="5"/>
  <c r="P637" i="5"/>
  <c r="P638" i="5"/>
  <c r="P639" i="5"/>
  <c r="P640" i="5"/>
  <c r="P641" i="5"/>
  <c r="P642" i="5"/>
  <c r="P643" i="5"/>
  <c r="P644" i="5"/>
  <c r="P645" i="5"/>
  <c r="P646" i="5"/>
  <c r="P647" i="5"/>
  <c r="P648" i="5"/>
  <c r="P649" i="5"/>
  <c r="P650" i="5"/>
  <c r="P651" i="5"/>
  <c r="P652" i="5"/>
  <c r="P653" i="5"/>
  <c r="P654" i="5"/>
  <c r="P655" i="5"/>
  <c r="P656" i="5"/>
  <c r="P657" i="5"/>
  <c r="P658" i="5"/>
  <c r="P659" i="5"/>
  <c r="P660" i="5"/>
  <c r="P661" i="5"/>
  <c r="P662" i="5"/>
  <c r="P663" i="5"/>
  <c r="P664" i="5"/>
  <c r="P665" i="5"/>
  <c r="P666" i="5"/>
  <c r="P667" i="5"/>
  <c r="P668" i="5"/>
  <c r="P669" i="5"/>
  <c r="P670" i="5"/>
  <c r="P671" i="5"/>
  <c r="P672" i="5"/>
  <c r="P673" i="5"/>
  <c r="P674" i="5"/>
  <c r="P675" i="5"/>
  <c r="P676" i="5"/>
  <c r="P677" i="5"/>
  <c r="P678" i="5"/>
  <c r="P679" i="5"/>
  <c r="P680" i="5"/>
  <c r="P681" i="5"/>
  <c r="P682" i="5"/>
  <c r="P683" i="5"/>
  <c r="P684" i="5"/>
  <c r="P685" i="5"/>
  <c r="P686" i="5"/>
  <c r="P687" i="5"/>
  <c r="P688" i="5"/>
  <c r="P689" i="5"/>
  <c r="P690" i="5"/>
  <c r="P691" i="5"/>
  <c r="P692" i="5"/>
  <c r="P693" i="5"/>
  <c r="P694" i="5"/>
  <c r="P695" i="5"/>
  <c r="P696" i="5"/>
  <c r="P697" i="5"/>
  <c r="P698" i="5"/>
  <c r="P699" i="5"/>
  <c r="P700" i="5"/>
  <c r="P701" i="5"/>
  <c r="P702" i="5"/>
  <c r="P703" i="5"/>
  <c r="P704" i="5"/>
  <c r="P705" i="5"/>
  <c r="P706" i="5"/>
  <c r="P707" i="5"/>
  <c r="P708" i="5"/>
  <c r="P709" i="5"/>
  <c r="P710" i="5"/>
  <c r="P711" i="5"/>
  <c r="P712" i="5"/>
  <c r="P713" i="5"/>
  <c r="P714" i="5"/>
  <c r="P715" i="5"/>
  <c r="P716" i="5"/>
  <c r="P717" i="5"/>
  <c r="P718" i="5"/>
  <c r="P719" i="5"/>
  <c r="P720" i="5"/>
  <c r="P721" i="5"/>
  <c r="P722" i="5"/>
  <c r="P723" i="5"/>
  <c r="P724" i="5"/>
  <c r="P725" i="5"/>
  <c r="P726" i="5"/>
  <c r="P727" i="5"/>
  <c r="P728" i="5"/>
  <c r="P729" i="5"/>
  <c r="P730" i="5"/>
  <c r="P731" i="5"/>
  <c r="P732" i="5"/>
  <c r="P733" i="5"/>
  <c r="P734" i="5"/>
  <c r="P735" i="5"/>
  <c r="P736" i="5"/>
  <c r="P737" i="5"/>
  <c r="P738" i="5"/>
  <c r="P739" i="5"/>
  <c r="P740" i="5"/>
  <c r="P741" i="5"/>
  <c r="P742" i="5"/>
  <c r="P743" i="5"/>
  <c r="P744" i="5"/>
  <c r="P745" i="5"/>
  <c r="P746" i="5"/>
  <c r="P747" i="5"/>
  <c r="P748" i="5"/>
  <c r="P749" i="5"/>
  <c r="P750" i="5"/>
  <c r="P751" i="5"/>
  <c r="P752" i="5"/>
  <c r="P753" i="5"/>
  <c r="P754" i="5"/>
  <c r="P755" i="5"/>
  <c r="P756" i="5"/>
  <c r="P757" i="5"/>
  <c r="P758" i="5"/>
  <c r="P759" i="5"/>
  <c r="P760" i="5"/>
  <c r="P761" i="5"/>
  <c r="P762" i="5"/>
  <c r="P763" i="5"/>
  <c r="P764" i="5"/>
  <c r="P765" i="5"/>
  <c r="P766" i="5"/>
  <c r="P767" i="5"/>
  <c r="P768" i="5"/>
  <c r="P769" i="5"/>
  <c r="P770" i="5"/>
  <c r="P771" i="5"/>
  <c r="P772" i="5"/>
  <c r="P773" i="5"/>
  <c r="P774" i="5"/>
  <c r="P775" i="5"/>
  <c r="P776" i="5"/>
  <c r="P777" i="5"/>
  <c r="P778" i="5"/>
  <c r="P779" i="5"/>
  <c r="P780" i="5"/>
  <c r="P781" i="5"/>
  <c r="P782" i="5"/>
  <c r="P783" i="5"/>
  <c r="P784" i="5"/>
  <c r="P785" i="5"/>
  <c r="P786" i="5"/>
  <c r="P787" i="5"/>
  <c r="P788" i="5"/>
  <c r="P789" i="5"/>
  <c r="P790" i="5"/>
  <c r="P791" i="5"/>
  <c r="P792" i="5"/>
  <c r="P793" i="5"/>
  <c r="P794" i="5"/>
  <c r="P795" i="5"/>
  <c r="P796" i="5"/>
  <c r="P797" i="5"/>
  <c r="P798" i="5"/>
  <c r="P799" i="5"/>
  <c r="P800" i="5"/>
  <c r="P801" i="5"/>
  <c r="P802" i="5"/>
  <c r="P803" i="5"/>
  <c r="P804" i="5"/>
  <c r="P805" i="5"/>
  <c r="P806" i="5"/>
  <c r="P807" i="5"/>
  <c r="P808" i="5"/>
  <c r="P809" i="5"/>
  <c r="P810" i="5"/>
  <c r="P811" i="5"/>
  <c r="P812" i="5"/>
  <c r="P813" i="5"/>
  <c r="P814" i="5"/>
  <c r="P815" i="5"/>
  <c r="P816" i="5"/>
  <c r="P817" i="5"/>
  <c r="P818" i="5"/>
  <c r="P819" i="5"/>
  <c r="P820" i="5"/>
  <c r="P821" i="5"/>
  <c r="P822" i="5"/>
  <c r="P823" i="5"/>
  <c r="P824" i="5"/>
  <c r="P825" i="5"/>
  <c r="P826" i="5"/>
  <c r="P827" i="5"/>
  <c r="P828" i="5"/>
  <c r="P829" i="5"/>
  <c r="P830" i="5"/>
  <c r="P831" i="5"/>
  <c r="P832" i="5"/>
  <c r="P833" i="5"/>
  <c r="P834" i="5"/>
  <c r="P835" i="5"/>
  <c r="P836" i="5"/>
  <c r="P837" i="5"/>
  <c r="P838" i="5"/>
  <c r="P839" i="5"/>
  <c r="P840" i="5"/>
  <c r="P841" i="5"/>
  <c r="P842" i="5"/>
  <c r="P843" i="5"/>
  <c r="P844" i="5"/>
  <c r="P845" i="5"/>
  <c r="P846" i="5"/>
  <c r="P847" i="5"/>
  <c r="P848" i="5"/>
  <c r="P849" i="5"/>
  <c r="P850" i="5"/>
  <c r="P851" i="5"/>
  <c r="P852" i="5"/>
  <c r="P853" i="5"/>
  <c r="P854" i="5"/>
  <c r="P855" i="5"/>
  <c r="P856" i="5"/>
  <c r="P857" i="5"/>
  <c r="P858" i="5"/>
  <c r="P859" i="5"/>
  <c r="P860" i="5"/>
  <c r="P861" i="5"/>
  <c r="P862" i="5"/>
  <c r="P863" i="5"/>
  <c r="P864" i="5"/>
  <c r="P865" i="5"/>
  <c r="P866" i="5"/>
  <c r="P867" i="5"/>
  <c r="P868" i="5"/>
  <c r="P869" i="5"/>
  <c r="P870" i="5"/>
  <c r="P871" i="5"/>
  <c r="P872" i="5"/>
  <c r="P873" i="5"/>
  <c r="P874" i="5"/>
  <c r="P875" i="5"/>
  <c r="P876" i="5"/>
  <c r="P877" i="5"/>
  <c r="P878" i="5"/>
  <c r="P879" i="5"/>
  <c r="P880" i="5"/>
  <c r="P881" i="5"/>
  <c r="P882" i="5"/>
  <c r="P883" i="5"/>
  <c r="P884" i="5"/>
  <c r="P885" i="5"/>
  <c r="P886" i="5"/>
  <c r="P887" i="5"/>
  <c r="P888" i="5"/>
  <c r="P889" i="5"/>
  <c r="P890" i="5"/>
  <c r="P891" i="5"/>
  <c r="P892" i="5"/>
  <c r="P893" i="5"/>
  <c r="P894" i="5"/>
  <c r="P895" i="5"/>
  <c r="P896" i="5"/>
  <c r="P897" i="5"/>
  <c r="P898" i="5"/>
  <c r="P899" i="5"/>
  <c r="P900" i="5"/>
  <c r="P901" i="5"/>
  <c r="P902" i="5"/>
  <c r="P903" i="5"/>
  <c r="P904" i="5"/>
  <c r="P905" i="5"/>
  <c r="P906" i="5"/>
  <c r="P907" i="5"/>
  <c r="P908" i="5"/>
  <c r="P909" i="5"/>
  <c r="P910" i="5"/>
  <c r="P911" i="5"/>
  <c r="P912" i="5"/>
  <c r="P913" i="5"/>
  <c r="P914" i="5"/>
  <c r="P915" i="5"/>
  <c r="P916" i="5"/>
  <c r="P917" i="5"/>
  <c r="P918" i="5"/>
  <c r="P919" i="5"/>
  <c r="P920" i="5"/>
  <c r="P921" i="5"/>
  <c r="P922" i="5"/>
  <c r="P923" i="5"/>
  <c r="P924" i="5"/>
  <c r="P925" i="5"/>
  <c r="P926" i="5"/>
  <c r="P927" i="5"/>
  <c r="P928" i="5"/>
  <c r="P929" i="5"/>
  <c r="P930" i="5"/>
  <c r="P931" i="5"/>
  <c r="P932" i="5"/>
  <c r="P933" i="5"/>
  <c r="P934" i="5"/>
  <c r="P935" i="5"/>
  <c r="P936" i="5"/>
  <c r="P937" i="5"/>
  <c r="P938" i="5"/>
  <c r="P939" i="5"/>
  <c r="P940" i="5"/>
  <c r="P941" i="5"/>
  <c r="P942" i="5"/>
  <c r="P943" i="5"/>
  <c r="P944" i="5"/>
  <c r="P945" i="5"/>
  <c r="P946" i="5"/>
  <c r="P947" i="5"/>
  <c r="P948" i="5"/>
  <c r="P949" i="5"/>
  <c r="P950" i="5"/>
  <c r="P951" i="5"/>
  <c r="P952" i="5"/>
  <c r="P953" i="5"/>
  <c r="P954" i="5"/>
  <c r="P955" i="5"/>
  <c r="P956" i="5"/>
  <c r="P957" i="5"/>
  <c r="P958" i="5"/>
  <c r="P959" i="5"/>
  <c r="P960" i="5"/>
  <c r="P961" i="5"/>
  <c r="P962" i="5"/>
  <c r="P963" i="5"/>
  <c r="P964" i="5"/>
  <c r="P965" i="5"/>
  <c r="P966" i="5"/>
  <c r="P967" i="5"/>
  <c r="P968" i="5"/>
  <c r="P969" i="5"/>
  <c r="P970" i="5"/>
  <c r="P971" i="5"/>
  <c r="P972" i="5"/>
  <c r="P973" i="5"/>
  <c r="P974" i="5"/>
  <c r="P975" i="5"/>
  <c r="P976" i="5"/>
  <c r="P977" i="5"/>
  <c r="P978" i="5"/>
  <c r="P979" i="5"/>
  <c r="P980" i="5"/>
  <c r="P981" i="5"/>
  <c r="P982" i="5"/>
  <c r="P983" i="5"/>
  <c r="P984" i="5"/>
  <c r="P985" i="5"/>
  <c r="P986" i="5"/>
  <c r="P987" i="5"/>
  <c r="P988" i="5"/>
  <c r="P989" i="5"/>
  <c r="P990" i="5"/>
  <c r="P991" i="5"/>
  <c r="P992" i="5"/>
  <c r="P993" i="5"/>
  <c r="P994" i="5"/>
  <c r="P995" i="5"/>
  <c r="P996" i="5"/>
  <c r="P997" i="5"/>
  <c r="P998" i="5"/>
  <c r="P999" i="5"/>
  <c r="P1000" i="5"/>
  <c r="P1001" i="5"/>
  <c r="P1002" i="5"/>
  <c r="P1003" i="5"/>
  <c r="P1004" i="5"/>
  <c r="P1005" i="5"/>
  <c r="P1006" i="5"/>
  <c r="P1007" i="5"/>
  <c r="P1008" i="5"/>
  <c r="P1009" i="5"/>
  <c r="P1010" i="5"/>
  <c r="P1011" i="5"/>
  <c r="P1012" i="5"/>
  <c r="P1013" i="5"/>
  <c r="P1014" i="5"/>
  <c r="P1015" i="5"/>
  <c r="P1016" i="5"/>
  <c r="P1017" i="5"/>
  <c r="P1018" i="5"/>
  <c r="P1019" i="5"/>
  <c r="P1020" i="5"/>
  <c r="P1021" i="5"/>
  <c r="P1022" i="5"/>
  <c r="P1023" i="5"/>
  <c r="P1024" i="5"/>
  <c r="P1025" i="5"/>
  <c r="P1026" i="5"/>
  <c r="P1027" i="5"/>
  <c r="P1028" i="5"/>
  <c r="P1029" i="5"/>
  <c r="P1030" i="5"/>
  <c r="P1031" i="5"/>
  <c r="P1032" i="5"/>
  <c r="P1033" i="5"/>
  <c r="P1034" i="5"/>
  <c r="P1035" i="5"/>
  <c r="P1036" i="5"/>
  <c r="P1037" i="5"/>
  <c r="P1038" i="5"/>
  <c r="P1039" i="5"/>
  <c r="P1040" i="5"/>
  <c r="P1041" i="5"/>
  <c r="P1042" i="5"/>
  <c r="P1043" i="5"/>
  <c r="P1044" i="5"/>
  <c r="P1045" i="5"/>
  <c r="P1046" i="5"/>
  <c r="P1047" i="5"/>
  <c r="P1048" i="5"/>
  <c r="P1049" i="5"/>
  <c r="P1050" i="5"/>
  <c r="P1051" i="5"/>
  <c r="P1052" i="5"/>
  <c r="P1053" i="5"/>
  <c r="P1054" i="5"/>
  <c r="P1055" i="5"/>
  <c r="P1056" i="5"/>
  <c r="P1057" i="5"/>
  <c r="P1058" i="5"/>
  <c r="P1059" i="5"/>
  <c r="P1060" i="5"/>
  <c r="P1061" i="5"/>
  <c r="P1062" i="5"/>
  <c r="P1063" i="5"/>
  <c r="P1064" i="5"/>
  <c r="P1065" i="5"/>
  <c r="P1066" i="5"/>
  <c r="P1067" i="5"/>
  <c r="P1068" i="5"/>
  <c r="P1069" i="5"/>
  <c r="P1070" i="5"/>
  <c r="P1071" i="5"/>
  <c r="P1072" i="5"/>
  <c r="P1073" i="5"/>
  <c r="P1074" i="5"/>
  <c r="P1075" i="5"/>
  <c r="P1076" i="5"/>
  <c r="P1077" i="5"/>
  <c r="P1078" i="5"/>
  <c r="P1079" i="5"/>
  <c r="P1080" i="5"/>
  <c r="P1081" i="5"/>
  <c r="P1082" i="5"/>
  <c r="P1083" i="5"/>
  <c r="P1084" i="5"/>
  <c r="P1085" i="5"/>
  <c r="P1086" i="5"/>
  <c r="P1087" i="5"/>
  <c r="P1088" i="5"/>
  <c r="P1089" i="5"/>
  <c r="P1090" i="5"/>
  <c r="P1091" i="5"/>
  <c r="P1092" i="5"/>
  <c r="P1093" i="5"/>
  <c r="P1094" i="5"/>
  <c r="P1095" i="5"/>
  <c r="P1096" i="5"/>
  <c r="P1097" i="5"/>
  <c r="P1098" i="5"/>
  <c r="P1099" i="5"/>
  <c r="P1100" i="5"/>
  <c r="P1101" i="5"/>
  <c r="P1102" i="5"/>
  <c r="P1103" i="5"/>
  <c r="P1104" i="5"/>
  <c r="P1105" i="5"/>
  <c r="P1106" i="5"/>
  <c r="P1107" i="5"/>
  <c r="P1108" i="5"/>
  <c r="P1109" i="5"/>
  <c r="P1110" i="5"/>
  <c r="P1111" i="5"/>
  <c r="P1112" i="5"/>
  <c r="P1113" i="5"/>
  <c r="P1114" i="5"/>
  <c r="P1115" i="5"/>
  <c r="P1116" i="5"/>
  <c r="P1117" i="5"/>
  <c r="P1118" i="5"/>
  <c r="P1119" i="5"/>
  <c r="P1120" i="5"/>
  <c r="P1121" i="5"/>
  <c r="P1122" i="5"/>
  <c r="P1123" i="5"/>
  <c r="P1124" i="5"/>
  <c r="P1125" i="5"/>
  <c r="P1126" i="5"/>
  <c r="P1127" i="5"/>
  <c r="P1128" i="5"/>
  <c r="P1129" i="5"/>
  <c r="P1130" i="5"/>
  <c r="P1131" i="5"/>
  <c r="P1132" i="5"/>
  <c r="P1133" i="5"/>
  <c r="P1134" i="5"/>
  <c r="P1135" i="5"/>
  <c r="P1136" i="5"/>
  <c r="P1137" i="5"/>
  <c r="P1138" i="5"/>
  <c r="P1139" i="5"/>
  <c r="P1140" i="5"/>
  <c r="P1141" i="5"/>
  <c r="P1142" i="5"/>
  <c r="P1143" i="5"/>
  <c r="P1144" i="5"/>
  <c r="P1145" i="5"/>
  <c r="P1146" i="5"/>
  <c r="P1147" i="5"/>
  <c r="P1148" i="5"/>
  <c r="P1149" i="5"/>
  <c r="P1150" i="5"/>
  <c r="P1151" i="5"/>
  <c r="P1152" i="5"/>
  <c r="P1153" i="5"/>
  <c r="P1154" i="5"/>
  <c r="P1155" i="5"/>
  <c r="P1156" i="5"/>
  <c r="P1157" i="5"/>
  <c r="P1158" i="5"/>
  <c r="P1159" i="5"/>
  <c r="P1160" i="5"/>
  <c r="P1161" i="5"/>
  <c r="P1162" i="5"/>
  <c r="P1163" i="5"/>
  <c r="P1164" i="5"/>
  <c r="P1165" i="5"/>
  <c r="P1166" i="5"/>
  <c r="P1167" i="5"/>
  <c r="P1168" i="5"/>
  <c r="P1169" i="5"/>
  <c r="P1170" i="5"/>
  <c r="P1171" i="5"/>
  <c r="P1172" i="5"/>
  <c r="P1173" i="5"/>
  <c r="P1174" i="5"/>
  <c r="P1175" i="5"/>
  <c r="P1176" i="5"/>
  <c r="P1177" i="5"/>
  <c r="P1178" i="5"/>
  <c r="P1179" i="5"/>
  <c r="P1180" i="5"/>
  <c r="P1181" i="5"/>
  <c r="P1182" i="5"/>
  <c r="P1183" i="5"/>
  <c r="P1184" i="5"/>
  <c r="P1185" i="5"/>
  <c r="P1186" i="5"/>
  <c r="P1187" i="5"/>
  <c r="P1188" i="5"/>
  <c r="P1189" i="5"/>
  <c r="P1190" i="5"/>
  <c r="P1191" i="5"/>
  <c r="P1192" i="5"/>
  <c r="P1193" i="5"/>
  <c r="P1194" i="5"/>
  <c r="P1195" i="5"/>
  <c r="P1196" i="5"/>
  <c r="P1197" i="5"/>
  <c r="P1198" i="5"/>
  <c r="P1199" i="5"/>
  <c r="P1200" i="5"/>
  <c r="P1201" i="5"/>
  <c r="P1202" i="5"/>
  <c r="P1203" i="5"/>
  <c r="P1204" i="5"/>
  <c r="P1205" i="5"/>
  <c r="P1206" i="5"/>
  <c r="P1207" i="5"/>
  <c r="P1208" i="5"/>
  <c r="P1209" i="5"/>
  <c r="P1210" i="5"/>
  <c r="P1211" i="5"/>
  <c r="P1212" i="5"/>
  <c r="P1213" i="5"/>
  <c r="P1214" i="5"/>
  <c r="P1215" i="5"/>
  <c r="P1216" i="5"/>
  <c r="P1217" i="5"/>
  <c r="P1218" i="5"/>
  <c r="P1219" i="5"/>
  <c r="P1220" i="5"/>
  <c r="P1221" i="5"/>
  <c r="P1222" i="5"/>
  <c r="P1223" i="5"/>
  <c r="P1224" i="5"/>
  <c r="P1225" i="5"/>
  <c r="P1226" i="5"/>
  <c r="P1227" i="5"/>
  <c r="P1228" i="5"/>
  <c r="P1229" i="5"/>
  <c r="P1230" i="5"/>
  <c r="P1231" i="5"/>
  <c r="P1232" i="5"/>
  <c r="P1233" i="5"/>
  <c r="P1234" i="5"/>
  <c r="P1235" i="5"/>
  <c r="P1236" i="5"/>
  <c r="P1237" i="5"/>
  <c r="P1238" i="5"/>
  <c r="P1239" i="5"/>
  <c r="P1240" i="5"/>
  <c r="P1241" i="5"/>
  <c r="P1242" i="5"/>
  <c r="P1243" i="5"/>
  <c r="P1244" i="5"/>
  <c r="P1245" i="5"/>
  <c r="P1246" i="5"/>
  <c r="P1247" i="5"/>
  <c r="P1248" i="5"/>
  <c r="P1249" i="5"/>
  <c r="P1250" i="5"/>
  <c r="P1251" i="5"/>
  <c r="P1252" i="5"/>
  <c r="P1253" i="5"/>
  <c r="P1254" i="5"/>
  <c r="P1255" i="5"/>
  <c r="P1256" i="5"/>
  <c r="P1257" i="5"/>
  <c r="P1258" i="5"/>
  <c r="P1259" i="5"/>
  <c r="P1260" i="5"/>
  <c r="P1261" i="5"/>
  <c r="P1262" i="5"/>
  <c r="P1263" i="5"/>
  <c r="P1264" i="5"/>
  <c r="P1265" i="5"/>
  <c r="P1266" i="5"/>
  <c r="P1267" i="5"/>
  <c r="P1268" i="5"/>
  <c r="P1269" i="5"/>
  <c r="P1270" i="5"/>
  <c r="P1271" i="5"/>
  <c r="P1272" i="5"/>
  <c r="P1273" i="5"/>
  <c r="P1274" i="5"/>
  <c r="P1275" i="5"/>
  <c r="P1276" i="5"/>
  <c r="P1277" i="5"/>
  <c r="P1278" i="5"/>
  <c r="P1279" i="5"/>
  <c r="P1280" i="5"/>
  <c r="P1281" i="5"/>
  <c r="P1282" i="5"/>
  <c r="P1283" i="5"/>
  <c r="P1284" i="5"/>
  <c r="P1285" i="5"/>
  <c r="P1286" i="5"/>
  <c r="P1287" i="5"/>
  <c r="P1288" i="5"/>
  <c r="P1289" i="5"/>
  <c r="P1290" i="5"/>
  <c r="P1291" i="5"/>
  <c r="P1292" i="5"/>
  <c r="P1293" i="5"/>
  <c r="P1294" i="5"/>
  <c r="P1295" i="5"/>
  <c r="P1296" i="5"/>
  <c r="P1297" i="5"/>
  <c r="P1298" i="5"/>
  <c r="P1299" i="5"/>
  <c r="P1300" i="5"/>
  <c r="P1301" i="5"/>
  <c r="P1302" i="5"/>
  <c r="P1303" i="5"/>
  <c r="P1304" i="5"/>
  <c r="P1305" i="5"/>
  <c r="P1306" i="5"/>
  <c r="P1307" i="5"/>
  <c r="P1308" i="5"/>
  <c r="P1309" i="5"/>
  <c r="P1310" i="5"/>
  <c r="P1311" i="5"/>
  <c r="P1312" i="5"/>
  <c r="P1313" i="5"/>
  <c r="P1314" i="5"/>
  <c r="P1315" i="5"/>
  <c r="P1316" i="5"/>
  <c r="P1317" i="5"/>
  <c r="P1318" i="5"/>
  <c r="P1319" i="5"/>
  <c r="P1320" i="5"/>
  <c r="P1321" i="5"/>
  <c r="P1322" i="5"/>
  <c r="P1323" i="5"/>
  <c r="P1324" i="5"/>
  <c r="P1325" i="5"/>
  <c r="P1326" i="5"/>
  <c r="P1327" i="5"/>
  <c r="P1328" i="5"/>
  <c r="P1329" i="5"/>
  <c r="P1330" i="5"/>
  <c r="P1331" i="5"/>
  <c r="P1332" i="5"/>
  <c r="P1333" i="5"/>
  <c r="P1334" i="5"/>
  <c r="P1335" i="5"/>
  <c r="P1336" i="5"/>
  <c r="P1337" i="5"/>
  <c r="P1338" i="5"/>
  <c r="P1339" i="5"/>
  <c r="P1340" i="5"/>
  <c r="P1341" i="5"/>
  <c r="P1342" i="5"/>
  <c r="P1343" i="5"/>
  <c r="P1344" i="5"/>
  <c r="P1345" i="5"/>
  <c r="P1346" i="5"/>
  <c r="P1347" i="5"/>
  <c r="P1348" i="5"/>
  <c r="P1349" i="5"/>
  <c r="P1350" i="5"/>
  <c r="P1351" i="5"/>
  <c r="P1352" i="5"/>
  <c r="P1353" i="5"/>
  <c r="P1354" i="5"/>
  <c r="P1355" i="5"/>
  <c r="P1356" i="5"/>
  <c r="P1357" i="5"/>
  <c r="P1358" i="5"/>
  <c r="P1359" i="5"/>
  <c r="P1360" i="5"/>
  <c r="P1361" i="5"/>
  <c r="P1362" i="5"/>
  <c r="P1363" i="5"/>
  <c r="P1364" i="5"/>
  <c r="P1365" i="5"/>
  <c r="P1366" i="5"/>
  <c r="P1367" i="5"/>
  <c r="P1368" i="5"/>
  <c r="P1369" i="5"/>
  <c r="P1370" i="5"/>
  <c r="P1371" i="5"/>
  <c r="P1372" i="5"/>
  <c r="P1373" i="5"/>
  <c r="P1374" i="5"/>
  <c r="P1375" i="5"/>
  <c r="P1376" i="5"/>
  <c r="P1377" i="5"/>
  <c r="P1378" i="5"/>
  <c r="P1379" i="5"/>
  <c r="P1380" i="5"/>
  <c r="P1381" i="5"/>
  <c r="P1382" i="5"/>
  <c r="P1383" i="5"/>
  <c r="P1384" i="5"/>
  <c r="P1385" i="5"/>
  <c r="P1386" i="5"/>
  <c r="P1387" i="5"/>
  <c r="P1388" i="5"/>
  <c r="P1389" i="5"/>
  <c r="P1390" i="5"/>
  <c r="P1391" i="5"/>
  <c r="P1392" i="5"/>
  <c r="P1393" i="5"/>
  <c r="P1394" i="5"/>
  <c r="P1395" i="5"/>
  <c r="P1396" i="5"/>
  <c r="P1397" i="5"/>
  <c r="P1398" i="5"/>
  <c r="P1399" i="5"/>
  <c r="P1400" i="5"/>
  <c r="P1401" i="5"/>
  <c r="P1402" i="5"/>
  <c r="P1403" i="5"/>
  <c r="P1404" i="5"/>
  <c r="P1405" i="5"/>
  <c r="P1406" i="5"/>
  <c r="P1407" i="5"/>
  <c r="P1408" i="5"/>
  <c r="P1409" i="5"/>
  <c r="P1410" i="5"/>
  <c r="P1411" i="5"/>
  <c r="P1412" i="5"/>
  <c r="P1413" i="5"/>
  <c r="P1414" i="5"/>
  <c r="P1415" i="5"/>
  <c r="P1416" i="5"/>
  <c r="P1417" i="5"/>
  <c r="P1418" i="5"/>
  <c r="P1419" i="5"/>
  <c r="P1420" i="5"/>
  <c r="P1421" i="5"/>
  <c r="P1422" i="5"/>
  <c r="P1423" i="5"/>
  <c r="P1424" i="5"/>
  <c r="P1425" i="5"/>
  <c r="P1426" i="5"/>
  <c r="P1427" i="5"/>
  <c r="P1428" i="5"/>
  <c r="P1429" i="5"/>
  <c r="P1430" i="5"/>
  <c r="P1431" i="5"/>
  <c r="P1432" i="5"/>
  <c r="P1433" i="5"/>
  <c r="P1434" i="5"/>
  <c r="P1435" i="5"/>
  <c r="P1436" i="5"/>
  <c r="P1437" i="5"/>
  <c r="P1438" i="5"/>
  <c r="P1439" i="5"/>
  <c r="P1440" i="5"/>
  <c r="P1441" i="5"/>
  <c r="P1442" i="5"/>
  <c r="P1443" i="5"/>
  <c r="P1444" i="5"/>
  <c r="P1445" i="5"/>
  <c r="P1446" i="5"/>
  <c r="P1447" i="5"/>
  <c r="P1448" i="5"/>
  <c r="P1449" i="5"/>
  <c r="P1450" i="5"/>
  <c r="P1451" i="5"/>
  <c r="P1452" i="5"/>
  <c r="P1453" i="5"/>
  <c r="P1454" i="5"/>
  <c r="P1455" i="5"/>
  <c r="P1456" i="5"/>
  <c r="P1457" i="5"/>
  <c r="P1458" i="5"/>
  <c r="P1459" i="5"/>
  <c r="P1460" i="5"/>
  <c r="P1461" i="5"/>
  <c r="P1462" i="5"/>
  <c r="P1463" i="5"/>
  <c r="P1464" i="5"/>
  <c r="P1465" i="5"/>
  <c r="P1466" i="5"/>
  <c r="P1467" i="5"/>
  <c r="P1468" i="5"/>
  <c r="P1469" i="5"/>
  <c r="P1470" i="5"/>
  <c r="P1471" i="5"/>
  <c r="P1472" i="5"/>
  <c r="P1473" i="5"/>
  <c r="P1474" i="5"/>
  <c r="P1475" i="5"/>
  <c r="P1476" i="5"/>
  <c r="P1477" i="5"/>
  <c r="P1478" i="5"/>
  <c r="P1479" i="5"/>
  <c r="P1480" i="5"/>
  <c r="P1481" i="5"/>
  <c r="P1482" i="5"/>
  <c r="P1483" i="5"/>
  <c r="P1484" i="5"/>
  <c r="P1485" i="5"/>
  <c r="P1486" i="5"/>
  <c r="P1487" i="5"/>
  <c r="P1488" i="5"/>
  <c r="P1489" i="5"/>
  <c r="P1490" i="5"/>
  <c r="P1491" i="5"/>
  <c r="P1492" i="5"/>
  <c r="P1493" i="5"/>
  <c r="P1494" i="5"/>
  <c r="P1495" i="5"/>
  <c r="P1496" i="5"/>
  <c r="P1497" i="5"/>
  <c r="P1498" i="5"/>
  <c r="P1499" i="5"/>
  <c r="P1500" i="5"/>
  <c r="P1501" i="5"/>
  <c r="P1502" i="5"/>
  <c r="P1503" i="5"/>
  <c r="P1504" i="5"/>
  <c r="P1505" i="5"/>
  <c r="P1506" i="5"/>
  <c r="P1507" i="5"/>
  <c r="P1508" i="5"/>
  <c r="P1509" i="5"/>
  <c r="P1510" i="5"/>
  <c r="P1511" i="5"/>
  <c r="P1512" i="5"/>
  <c r="P1513" i="5"/>
  <c r="P1514" i="5"/>
  <c r="P1515" i="5"/>
  <c r="P1516" i="5"/>
  <c r="P1517" i="5"/>
  <c r="P1518" i="5"/>
  <c r="P1519" i="5"/>
  <c r="P1520" i="5"/>
  <c r="P1521" i="5"/>
  <c r="P1522" i="5"/>
  <c r="P1523" i="5"/>
  <c r="P1524" i="5"/>
  <c r="P1525" i="5"/>
  <c r="P1526" i="5"/>
  <c r="P1527" i="5"/>
  <c r="P1528" i="5"/>
  <c r="P1529" i="5"/>
  <c r="P1530" i="5"/>
  <c r="P1531" i="5"/>
  <c r="P1532" i="5"/>
  <c r="P1533" i="5"/>
  <c r="P1534" i="5"/>
  <c r="P1535" i="5"/>
  <c r="P1536" i="5"/>
  <c r="P1537" i="5"/>
  <c r="P1538" i="5"/>
  <c r="P1539" i="5"/>
  <c r="P1540" i="5"/>
  <c r="P1541" i="5"/>
  <c r="P1542" i="5"/>
  <c r="P1543" i="5"/>
  <c r="P1544" i="5"/>
  <c r="P1545" i="5"/>
  <c r="P1546" i="5"/>
  <c r="P1547" i="5"/>
  <c r="P1548" i="5"/>
  <c r="P1549" i="5"/>
  <c r="P1550" i="5"/>
  <c r="P1551" i="5"/>
  <c r="P1552" i="5"/>
  <c r="P1553" i="5"/>
  <c r="P1554" i="5"/>
  <c r="P1555" i="5"/>
  <c r="P1556" i="5"/>
  <c r="P1557" i="5"/>
  <c r="P1558" i="5"/>
  <c r="P1559" i="5"/>
  <c r="P1560" i="5"/>
  <c r="P1561" i="5"/>
  <c r="P1562" i="5"/>
  <c r="P1563" i="5"/>
  <c r="P1564" i="5"/>
  <c r="P1565" i="5"/>
  <c r="P1566" i="5"/>
  <c r="P1567" i="5"/>
  <c r="P1568" i="5"/>
  <c r="P1569" i="5"/>
  <c r="P1570" i="5"/>
  <c r="P1571" i="5"/>
  <c r="P1572" i="5"/>
  <c r="P1573" i="5"/>
  <c r="P1574" i="5"/>
  <c r="P1575" i="5"/>
  <c r="P1576" i="5"/>
  <c r="P1577" i="5"/>
  <c r="P1578" i="5"/>
  <c r="P1579" i="5"/>
  <c r="P1580" i="5"/>
  <c r="P1581" i="5"/>
  <c r="P1582" i="5"/>
  <c r="P1583" i="5"/>
  <c r="P1584" i="5"/>
  <c r="P1585" i="5"/>
  <c r="P1586" i="5"/>
  <c r="P1587" i="5"/>
  <c r="P1588" i="5"/>
  <c r="P1589" i="5"/>
  <c r="P1590" i="5"/>
  <c r="P1591" i="5"/>
  <c r="P1592" i="5"/>
  <c r="P1593" i="5"/>
  <c r="P1594" i="5"/>
  <c r="P1595" i="5"/>
  <c r="P1596" i="5"/>
  <c r="P1597" i="5"/>
  <c r="P1598" i="5"/>
  <c r="P1599" i="5"/>
  <c r="P1600" i="5"/>
  <c r="P1601" i="5"/>
  <c r="P1602" i="5"/>
  <c r="P1603" i="5"/>
  <c r="P1604" i="5"/>
  <c r="P1605" i="5"/>
  <c r="P1606" i="5"/>
  <c r="P1607" i="5"/>
  <c r="P1608" i="5"/>
  <c r="P1609" i="5"/>
  <c r="P1610" i="5"/>
  <c r="P1611" i="5"/>
  <c r="P1612" i="5"/>
  <c r="P1613" i="5"/>
  <c r="P1614" i="5"/>
  <c r="P1615" i="5"/>
  <c r="P1616" i="5"/>
  <c r="P1617" i="5"/>
  <c r="P1618" i="5"/>
  <c r="P1619" i="5"/>
  <c r="P1620" i="5"/>
  <c r="P1621" i="5"/>
  <c r="P1622" i="5"/>
  <c r="P1623" i="5"/>
  <c r="P1624" i="5"/>
  <c r="P1625" i="5"/>
  <c r="P1626" i="5"/>
  <c r="P1627" i="5"/>
  <c r="P1628" i="5"/>
  <c r="P1629" i="5"/>
  <c r="P1630" i="5"/>
  <c r="P1631" i="5"/>
  <c r="P1632" i="5"/>
  <c r="P1633" i="5"/>
  <c r="P1634" i="5"/>
  <c r="P1635" i="5"/>
  <c r="P1636" i="5"/>
  <c r="P1637" i="5"/>
  <c r="P1638" i="5"/>
  <c r="P1639" i="5"/>
  <c r="P1640" i="5"/>
  <c r="P1641" i="5"/>
  <c r="P1642" i="5"/>
  <c r="P1643" i="5"/>
  <c r="P1644" i="5"/>
  <c r="P1645" i="5"/>
  <c r="P1646" i="5"/>
  <c r="P1647" i="5"/>
  <c r="P1648" i="5"/>
  <c r="P1649" i="5"/>
  <c r="P1650" i="5"/>
  <c r="P1651" i="5"/>
  <c r="P1652" i="5"/>
  <c r="P1653" i="5"/>
  <c r="P1654" i="5"/>
  <c r="P1655" i="5"/>
  <c r="P1656" i="5"/>
  <c r="P1657" i="5"/>
  <c r="P1658" i="5"/>
  <c r="P1659" i="5"/>
  <c r="P1660" i="5"/>
  <c r="P1661" i="5"/>
  <c r="P1662" i="5"/>
  <c r="P1663" i="5"/>
  <c r="P1664" i="5"/>
  <c r="P1665" i="5"/>
  <c r="P1666" i="5"/>
  <c r="P1667" i="5"/>
  <c r="P1668" i="5"/>
  <c r="P1669" i="5"/>
  <c r="P1670" i="5"/>
  <c r="P1671" i="5"/>
  <c r="P1672" i="5"/>
  <c r="P1673" i="5"/>
  <c r="P1674" i="5"/>
  <c r="P1675" i="5"/>
  <c r="P1676" i="5"/>
  <c r="P1677" i="5"/>
  <c r="P1678" i="5"/>
  <c r="P1679" i="5"/>
  <c r="P1680" i="5"/>
  <c r="P1681" i="5"/>
  <c r="P1682" i="5"/>
  <c r="P1683" i="5"/>
  <c r="P1684" i="5"/>
  <c r="P1685" i="5"/>
  <c r="P1686" i="5"/>
  <c r="P1687" i="5"/>
  <c r="P1688" i="5"/>
  <c r="P1689" i="5"/>
  <c r="P1690" i="5"/>
  <c r="P1691" i="5"/>
  <c r="P1692" i="5"/>
  <c r="P1693" i="5"/>
  <c r="P1694" i="5"/>
  <c r="P1695" i="5"/>
  <c r="P1696" i="5"/>
  <c r="P1697" i="5"/>
  <c r="P1698" i="5"/>
  <c r="P1699" i="5"/>
  <c r="P1700" i="5"/>
  <c r="P1701" i="5"/>
  <c r="P1702" i="5"/>
  <c r="P1703" i="5"/>
  <c r="P1704" i="5"/>
  <c r="P1705" i="5"/>
  <c r="P1706" i="5"/>
  <c r="P1707" i="5"/>
  <c r="P1708" i="5"/>
  <c r="P1709" i="5"/>
  <c r="P1710" i="5"/>
  <c r="P1711" i="5"/>
  <c r="P1712" i="5"/>
  <c r="P1713" i="5"/>
  <c r="P1714" i="5"/>
  <c r="P1715" i="5"/>
  <c r="P1716" i="5"/>
  <c r="P1717" i="5"/>
  <c r="P1718" i="5"/>
  <c r="P1719" i="5"/>
  <c r="P1720" i="5"/>
  <c r="P1721" i="5"/>
  <c r="P1722" i="5"/>
  <c r="P1723" i="5"/>
  <c r="P1724" i="5"/>
  <c r="P1725" i="5"/>
  <c r="P1726" i="5"/>
  <c r="P1727" i="5"/>
  <c r="P1728" i="5"/>
  <c r="P1729" i="5"/>
  <c r="P1730" i="5"/>
  <c r="P1731" i="5"/>
  <c r="P1732" i="5"/>
  <c r="P1733" i="5"/>
  <c r="P1734" i="5"/>
  <c r="P1735" i="5"/>
  <c r="P1736" i="5"/>
  <c r="P1737" i="5"/>
  <c r="P1738" i="5"/>
  <c r="P1739" i="5"/>
  <c r="P1740" i="5"/>
  <c r="P1741" i="5"/>
  <c r="P1742" i="5"/>
  <c r="P1743" i="5"/>
  <c r="P1744" i="5"/>
  <c r="P1745" i="5"/>
  <c r="P1746" i="5"/>
  <c r="P1747" i="5"/>
  <c r="P1748" i="5"/>
  <c r="P1749" i="5"/>
  <c r="P1750" i="5"/>
  <c r="P1751" i="5"/>
  <c r="P1752" i="5"/>
  <c r="P1753" i="5"/>
  <c r="P1754" i="5"/>
  <c r="P1755" i="5"/>
  <c r="P1756" i="5"/>
  <c r="P1757" i="5"/>
  <c r="P1758" i="5"/>
  <c r="P1759" i="5"/>
  <c r="P1760" i="5"/>
  <c r="P1761" i="5"/>
  <c r="P1762" i="5"/>
  <c r="P1763" i="5"/>
  <c r="P1764" i="5"/>
  <c r="P1765" i="5"/>
  <c r="P1766" i="5"/>
  <c r="P1767" i="5"/>
  <c r="P1768" i="5"/>
  <c r="P1769" i="5"/>
  <c r="P1770" i="5"/>
  <c r="P1771" i="5"/>
  <c r="P1772" i="5"/>
  <c r="P1773" i="5"/>
  <c r="P1774" i="5"/>
  <c r="P1775" i="5"/>
  <c r="P1776" i="5"/>
  <c r="P1777" i="5"/>
  <c r="P1778" i="5"/>
  <c r="P1779" i="5"/>
  <c r="P1780" i="5"/>
  <c r="P1781" i="5"/>
  <c r="P1782" i="5"/>
  <c r="P1783" i="5"/>
  <c r="P1784" i="5"/>
  <c r="P1785" i="5"/>
  <c r="P1786" i="5"/>
  <c r="P1787" i="5"/>
  <c r="P1788" i="5"/>
  <c r="P1789" i="5"/>
  <c r="P1790" i="5"/>
  <c r="P1791" i="5"/>
  <c r="P1792" i="5"/>
  <c r="P1793" i="5"/>
  <c r="P1794" i="5"/>
  <c r="P1795" i="5"/>
  <c r="P1796" i="5"/>
  <c r="P1797" i="5"/>
  <c r="P1798" i="5"/>
  <c r="P1799" i="5"/>
  <c r="P1800" i="5"/>
  <c r="P1801" i="5"/>
  <c r="P1802" i="5"/>
  <c r="P1803" i="5"/>
  <c r="P1804" i="5"/>
  <c r="P1805" i="5"/>
  <c r="P1806" i="5"/>
  <c r="P1807" i="5"/>
  <c r="P1808" i="5"/>
  <c r="P1809" i="5"/>
  <c r="P1810" i="5"/>
  <c r="P1811" i="5"/>
  <c r="P1812" i="5"/>
  <c r="P1813" i="5"/>
  <c r="P1814" i="5"/>
  <c r="P1815" i="5"/>
  <c r="P1816" i="5"/>
  <c r="P1817" i="5"/>
  <c r="P1818" i="5"/>
  <c r="P1819" i="5"/>
  <c r="P1820" i="5"/>
  <c r="P1821" i="5"/>
  <c r="P1822" i="5"/>
  <c r="P1823" i="5"/>
  <c r="P1824" i="5"/>
  <c r="P1825" i="5"/>
  <c r="P1826" i="5"/>
  <c r="P1827" i="5"/>
  <c r="P1828" i="5"/>
  <c r="P1829" i="5"/>
  <c r="P1830" i="5"/>
  <c r="P1831" i="5"/>
  <c r="P1832" i="5"/>
  <c r="P1833" i="5"/>
  <c r="P1834" i="5"/>
  <c r="P1835" i="5"/>
  <c r="P1836" i="5"/>
  <c r="P1837" i="5"/>
  <c r="P1838" i="5"/>
  <c r="P1839" i="5"/>
  <c r="P1840" i="5"/>
  <c r="P1841" i="5"/>
  <c r="P1842" i="5"/>
  <c r="P1843" i="5"/>
  <c r="P1844" i="5"/>
  <c r="P1845" i="5"/>
  <c r="P1846" i="5"/>
  <c r="P1847" i="5"/>
  <c r="P1848" i="5"/>
  <c r="P1849" i="5"/>
  <c r="P1850" i="5"/>
  <c r="P1851" i="5"/>
  <c r="P1852" i="5"/>
  <c r="P1853" i="5"/>
  <c r="P1854" i="5"/>
  <c r="P1855" i="5"/>
  <c r="P1856" i="5"/>
  <c r="P1857" i="5"/>
  <c r="P1858" i="5"/>
  <c r="P1859" i="5"/>
  <c r="P1860" i="5"/>
  <c r="P1861" i="5"/>
  <c r="P1862" i="5"/>
  <c r="P1863" i="5"/>
  <c r="P1864" i="5"/>
  <c r="P1865" i="5"/>
  <c r="P1866" i="5"/>
  <c r="P1867" i="5"/>
  <c r="P1868" i="5"/>
  <c r="P1869" i="5"/>
  <c r="P1870" i="5"/>
  <c r="P1871" i="5"/>
  <c r="P1872" i="5"/>
  <c r="P1873" i="5"/>
  <c r="P1874" i="5"/>
  <c r="P1875" i="5"/>
  <c r="P1876" i="5"/>
  <c r="P1877" i="5"/>
  <c r="P1878" i="5"/>
  <c r="P1879" i="5"/>
  <c r="P1880" i="5"/>
  <c r="P1881" i="5"/>
  <c r="P1882" i="5"/>
  <c r="P1883" i="5"/>
  <c r="P1884" i="5"/>
  <c r="P1885" i="5"/>
  <c r="P1886" i="5"/>
  <c r="P1887" i="5"/>
  <c r="P1888" i="5"/>
  <c r="P1889" i="5"/>
  <c r="P1890" i="5"/>
  <c r="P1891" i="5"/>
  <c r="P1892" i="5"/>
  <c r="P1893" i="5"/>
  <c r="P1894" i="5"/>
  <c r="P1895" i="5"/>
  <c r="P1896" i="5"/>
  <c r="P1897" i="5"/>
  <c r="P1898" i="5"/>
  <c r="P1899" i="5"/>
  <c r="P1900" i="5"/>
  <c r="P1901" i="5"/>
  <c r="P1902" i="5"/>
  <c r="P1903" i="5"/>
  <c r="P1904" i="5"/>
  <c r="P1905" i="5"/>
  <c r="P1906" i="5"/>
  <c r="P1907" i="5"/>
  <c r="P1908" i="5"/>
  <c r="P1909" i="5"/>
  <c r="P1910" i="5"/>
  <c r="P1911" i="5"/>
  <c r="P1912" i="5"/>
  <c r="P1913" i="5"/>
  <c r="P1914" i="5"/>
  <c r="P1915" i="5"/>
  <c r="P1916" i="5"/>
  <c r="P1917" i="5"/>
  <c r="P1918" i="5"/>
  <c r="P1919" i="5"/>
  <c r="P1920" i="5"/>
  <c r="P1921" i="5"/>
  <c r="P1922" i="5"/>
  <c r="P1923" i="5"/>
  <c r="P1924" i="5"/>
  <c r="P1925" i="5"/>
  <c r="P1926" i="5"/>
  <c r="P1927" i="5"/>
  <c r="P1928" i="5"/>
  <c r="P1929" i="5"/>
  <c r="P1930" i="5"/>
  <c r="P1931" i="5"/>
  <c r="P1932" i="5"/>
  <c r="P1933" i="5"/>
  <c r="P1934" i="5"/>
  <c r="P1935" i="5"/>
  <c r="P1936" i="5"/>
  <c r="P1937" i="5"/>
  <c r="P1938" i="5"/>
  <c r="P1939" i="5"/>
  <c r="P1940" i="5"/>
  <c r="P1941" i="5"/>
  <c r="P1942" i="5"/>
  <c r="P1943" i="5"/>
  <c r="P1944" i="5"/>
  <c r="P1945" i="5"/>
  <c r="P1946" i="5"/>
  <c r="P1947" i="5"/>
  <c r="P1948" i="5"/>
  <c r="P1949" i="5"/>
  <c r="P1950" i="5"/>
  <c r="P1951" i="5"/>
  <c r="P1952" i="5"/>
  <c r="P1953" i="5"/>
  <c r="P1954" i="5"/>
  <c r="P1955" i="5"/>
  <c r="P1956" i="5"/>
  <c r="P1957" i="5"/>
  <c r="P1958" i="5"/>
  <c r="P1959" i="5"/>
  <c r="P1960" i="5"/>
  <c r="P1961" i="5"/>
  <c r="P1962" i="5"/>
  <c r="P1963" i="5"/>
  <c r="P1964" i="5"/>
  <c r="P1965" i="5"/>
  <c r="P1966" i="5"/>
  <c r="P1967" i="5"/>
  <c r="P1968" i="5"/>
  <c r="P1969" i="5"/>
  <c r="P1970" i="5"/>
  <c r="P1971" i="5"/>
  <c r="P1972" i="5"/>
  <c r="P1973" i="5"/>
  <c r="P1974" i="5"/>
  <c r="P1975" i="5"/>
  <c r="P1976" i="5"/>
  <c r="P1977" i="5"/>
  <c r="P1978" i="5"/>
  <c r="P1979" i="5"/>
  <c r="P1980" i="5"/>
  <c r="P1981" i="5"/>
  <c r="P1982" i="5"/>
  <c r="P1983" i="5"/>
  <c r="P1984" i="5"/>
  <c r="P1985" i="5"/>
  <c r="P1986" i="5"/>
  <c r="P1987" i="5"/>
  <c r="P1988" i="5"/>
  <c r="P1989" i="5"/>
  <c r="P1990" i="5"/>
  <c r="P1991" i="5"/>
  <c r="P1992" i="5"/>
  <c r="P1993" i="5"/>
  <c r="P1994" i="5"/>
  <c r="P1995" i="5"/>
  <c r="P1996" i="5"/>
  <c r="P1997" i="5"/>
  <c r="P1998" i="5"/>
  <c r="P1999" i="5"/>
  <c r="P2000" i="5"/>
  <c r="P2001" i="5"/>
  <c r="P2002" i="5"/>
  <c r="P2003" i="5"/>
  <c r="P2004" i="5"/>
  <c r="P2005" i="5"/>
  <c r="P2006" i="5"/>
  <c r="P2007" i="5"/>
  <c r="P2008" i="5"/>
  <c r="P2009" i="5"/>
  <c r="P2010" i="5"/>
  <c r="P2011" i="5"/>
  <c r="P2012" i="5"/>
  <c r="P2013" i="5"/>
  <c r="P2014" i="5"/>
  <c r="P2015" i="5"/>
  <c r="P2016" i="5"/>
  <c r="P2017" i="5"/>
  <c r="P2018" i="5"/>
  <c r="P2019" i="5"/>
  <c r="P2020" i="5"/>
  <c r="P2021" i="5"/>
  <c r="P2022" i="5"/>
  <c r="P2023" i="5"/>
  <c r="P2024" i="5"/>
  <c r="P2025" i="5"/>
  <c r="P2026" i="5"/>
  <c r="P2027" i="5"/>
  <c r="P2028" i="5"/>
  <c r="P2029" i="5"/>
  <c r="P2030" i="5"/>
  <c r="P2031" i="5"/>
  <c r="P2032" i="5"/>
  <c r="P2033" i="5"/>
  <c r="P2034" i="5"/>
  <c r="P2035" i="5"/>
  <c r="P2036" i="5"/>
  <c r="P2037" i="5"/>
  <c r="P2038" i="5"/>
  <c r="P2039" i="5"/>
  <c r="P2040" i="5"/>
  <c r="P2041" i="5"/>
  <c r="P2042" i="5"/>
  <c r="P2043" i="5"/>
  <c r="P2044" i="5"/>
  <c r="P2045" i="5"/>
  <c r="P2046" i="5"/>
  <c r="P2047" i="5"/>
  <c r="P2048" i="5"/>
  <c r="P2049" i="5"/>
  <c r="P2050" i="5"/>
  <c r="P2051" i="5"/>
  <c r="P2052" i="5"/>
  <c r="P2053" i="5"/>
  <c r="P2054" i="5"/>
  <c r="P2055" i="5"/>
  <c r="P2056" i="5"/>
  <c r="P2057" i="5"/>
  <c r="P2058" i="5"/>
  <c r="P2059" i="5"/>
  <c r="P2060" i="5"/>
  <c r="P2061" i="5"/>
  <c r="P2062" i="5"/>
  <c r="P2063" i="5"/>
  <c r="P2064" i="5"/>
  <c r="P2065" i="5"/>
  <c r="P2066" i="5"/>
  <c r="P2067" i="5"/>
  <c r="P2068" i="5"/>
  <c r="P2069" i="5"/>
  <c r="P2070" i="5"/>
  <c r="P2071" i="5"/>
  <c r="P2072" i="5"/>
  <c r="P2073" i="5"/>
  <c r="P2074" i="5"/>
  <c r="P2075" i="5"/>
  <c r="P2076" i="5"/>
  <c r="P2077" i="5"/>
  <c r="P2078" i="5"/>
  <c r="P2079" i="5"/>
  <c r="P2080" i="5"/>
  <c r="P2081" i="5"/>
  <c r="P2082" i="5"/>
  <c r="P2083" i="5"/>
  <c r="P2084" i="5"/>
  <c r="P2085" i="5"/>
  <c r="P2086" i="5"/>
  <c r="P2087" i="5"/>
  <c r="P2088" i="5"/>
  <c r="P2089" i="5"/>
  <c r="P2090" i="5"/>
  <c r="P2091" i="5"/>
  <c r="P2092" i="5"/>
  <c r="P2093" i="5"/>
  <c r="P2094" i="5"/>
  <c r="P2095" i="5"/>
  <c r="P2096" i="5"/>
  <c r="P2097" i="5"/>
  <c r="P2098" i="5"/>
  <c r="P2099" i="5"/>
  <c r="P2100" i="5"/>
  <c r="P2101" i="5"/>
  <c r="P2102" i="5"/>
  <c r="P2103" i="5"/>
  <c r="P2104" i="5"/>
  <c r="P2105" i="5"/>
  <c r="P2106" i="5"/>
  <c r="P2107" i="5"/>
  <c r="P2108" i="5"/>
  <c r="P2109" i="5"/>
  <c r="P2110" i="5"/>
  <c r="P2111" i="5"/>
  <c r="P2112" i="5"/>
  <c r="P2113" i="5"/>
  <c r="P2114" i="5"/>
  <c r="P2115" i="5"/>
  <c r="P2116" i="5"/>
  <c r="P2117" i="5"/>
  <c r="P2118" i="5"/>
  <c r="P2119" i="5"/>
  <c r="P2120" i="5"/>
  <c r="P2121" i="5"/>
  <c r="P2122" i="5"/>
  <c r="P2123" i="5"/>
  <c r="P2124" i="5"/>
  <c r="P2125" i="5"/>
  <c r="P2126" i="5"/>
  <c r="P2127" i="5"/>
  <c r="P2128" i="5"/>
  <c r="P2129" i="5"/>
  <c r="P2130" i="5"/>
  <c r="P2131" i="5"/>
  <c r="P2132" i="5"/>
  <c r="P2133" i="5"/>
  <c r="P2134" i="5"/>
  <c r="P2135" i="5"/>
  <c r="P2136" i="5"/>
  <c r="P2137" i="5"/>
  <c r="P2138" i="5"/>
  <c r="P2139" i="5"/>
  <c r="P2140" i="5"/>
  <c r="P2141" i="5"/>
  <c r="P2142" i="5"/>
  <c r="P2143" i="5"/>
  <c r="P2144" i="5"/>
  <c r="P2145" i="5"/>
  <c r="P2146" i="5"/>
  <c r="P2147" i="5"/>
  <c r="P2148" i="5"/>
  <c r="P2149" i="5"/>
  <c r="P2150" i="5"/>
  <c r="P2151" i="5"/>
  <c r="P2152" i="5"/>
  <c r="P2153" i="5"/>
  <c r="P2154" i="5"/>
  <c r="P2155" i="5"/>
  <c r="P2156" i="5"/>
  <c r="P2157" i="5"/>
  <c r="P2158" i="5"/>
  <c r="P2159" i="5"/>
  <c r="P2160" i="5"/>
  <c r="P2161" i="5"/>
  <c r="P2162" i="5"/>
  <c r="P2163" i="5"/>
  <c r="P2164" i="5"/>
  <c r="P2165" i="5"/>
  <c r="P2166" i="5"/>
  <c r="P2167" i="5"/>
  <c r="P2168" i="5"/>
  <c r="P2169" i="5"/>
  <c r="P2170" i="5"/>
  <c r="P2171" i="5"/>
  <c r="P2172" i="5"/>
  <c r="P2173" i="5"/>
  <c r="P2174" i="5"/>
  <c r="P2175" i="5"/>
  <c r="P2176" i="5"/>
  <c r="P2177" i="5"/>
  <c r="P2178" i="5"/>
  <c r="P2179" i="5"/>
  <c r="P2180" i="5"/>
  <c r="P2181" i="5"/>
  <c r="P2182" i="5"/>
  <c r="P2183" i="5"/>
  <c r="P2184" i="5"/>
  <c r="P2185" i="5"/>
  <c r="P2186" i="5"/>
  <c r="P2187" i="5"/>
  <c r="P2188" i="5"/>
  <c r="P2189" i="5"/>
  <c r="P2190" i="5"/>
  <c r="P2191" i="5"/>
  <c r="P2192" i="5"/>
  <c r="P2193" i="5"/>
  <c r="P2194" i="5"/>
  <c r="P2195" i="5"/>
  <c r="P2196" i="5"/>
  <c r="P2197" i="5"/>
  <c r="P2198" i="5"/>
  <c r="P2199" i="5"/>
  <c r="P2200" i="5"/>
  <c r="P2201" i="5"/>
  <c r="P2202" i="5"/>
  <c r="P2203" i="5"/>
  <c r="P2204" i="5"/>
  <c r="P2205" i="5"/>
  <c r="P2206" i="5"/>
  <c r="P2207" i="5"/>
  <c r="P2208" i="5"/>
  <c r="P2209" i="5"/>
  <c r="P2210" i="5"/>
  <c r="P2211" i="5"/>
  <c r="P2212" i="5"/>
  <c r="P2213" i="5"/>
  <c r="P2214" i="5"/>
  <c r="P2215" i="5"/>
  <c r="P2216" i="5"/>
  <c r="P2217" i="5"/>
  <c r="P2218" i="5"/>
  <c r="P2219" i="5"/>
  <c r="P2220" i="5"/>
  <c r="P2221" i="5"/>
  <c r="P2222" i="5"/>
  <c r="P2223" i="5"/>
  <c r="P2224" i="5"/>
  <c r="P2225" i="5"/>
  <c r="P2226" i="5"/>
  <c r="P2227" i="5"/>
  <c r="P2228" i="5"/>
  <c r="P2229" i="5"/>
  <c r="P2230" i="5"/>
  <c r="P2231" i="5"/>
  <c r="P2232" i="5"/>
  <c r="P2233" i="5"/>
  <c r="P2234" i="5"/>
  <c r="P2235" i="5"/>
  <c r="P2236" i="5"/>
  <c r="P2237" i="5"/>
  <c r="P2238" i="5"/>
  <c r="P2239" i="5"/>
  <c r="P2240" i="5"/>
  <c r="P2241" i="5"/>
  <c r="P2242" i="5"/>
  <c r="P2243" i="5"/>
  <c r="P2244" i="5"/>
  <c r="P2245" i="5"/>
  <c r="P2246" i="5"/>
  <c r="P2247" i="5"/>
  <c r="P2248" i="5"/>
  <c r="P2249" i="5"/>
  <c r="P2250" i="5"/>
  <c r="P2251" i="5"/>
  <c r="P2252" i="5"/>
  <c r="P2253" i="5"/>
  <c r="P2254" i="5"/>
  <c r="P2255" i="5"/>
  <c r="P2256" i="5"/>
  <c r="P2257" i="5"/>
  <c r="P2258" i="5"/>
  <c r="P2259" i="5"/>
  <c r="P2260" i="5"/>
  <c r="P2261" i="5"/>
  <c r="P2262" i="5"/>
  <c r="P2263" i="5"/>
  <c r="P2264" i="5"/>
  <c r="P2265" i="5"/>
  <c r="P2266" i="5"/>
  <c r="P2267" i="5"/>
  <c r="P2268" i="5"/>
  <c r="P2269" i="5"/>
  <c r="P2270" i="5"/>
  <c r="P2271" i="5"/>
  <c r="P2272" i="5"/>
  <c r="P2273" i="5"/>
  <c r="P2274" i="5"/>
  <c r="P2275" i="5"/>
  <c r="P2276" i="5"/>
  <c r="P2277" i="5"/>
  <c r="P2278" i="5"/>
  <c r="P2279" i="5"/>
  <c r="P2280" i="5"/>
  <c r="P2281" i="5"/>
  <c r="P2282" i="5"/>
  <c r="P2283" i="5"/>
  <c r="P2284" i="5"/>
  <c r="P2285" i="5"/>
  <c r="P2286" i="5"/>
  <c r="P2287" i="5"/>
  <c r="P2288" i="5"/>
  <c r="P2289" i="5"/>
  <c r="P2290" i="5"/>
  <c r="P2291" i="5"/>
  <c r="P2292" i="5"/>
  <c r="P2293" i="5"/>
  <c r="P2294" i="5"/>
  <c r="P2295" i="5"/>
  <c r="P2296" i="5"/>
  <c r="P2297" i="5"/>
  <c r="P2298" i="5"/>
  <c r="P2299" i="5"/>
  <c r="P2300" i="5"/>
  <c r="P2301" i="5"/>
  <c r="P2302" i="5"/>
  <c r="P2303" i="5"/>
  <c r="P2304" i="5"/>
  <c r="P2305" i="5"/>
  <c r="P2306" i="5"/>
  <c r="P2307" i="5"/>
  <c r="P2308" i="5"/>
  <c r="P2309" i="5"/>
  <c r="P2310" i="5"/>
  <c r="P2311" i="5"/>
  <c r="P2312" i="5"/>
  <c r="P2313" i="5"/>
  <c r="P2314" i="5"/>
  <c r="P2315" i="5"/>
  <c r="P2316" i="5"/>
  <c r="P2317" i="5"/>
  <c r="P2318" i="5"/>
  <c r="P2319" i="5"/>
  <c r="P2320" i="5"/>
  <c r="P2321" i="5"/>
  <c r="P2322" i="5"/>
  <c r="P2323" i="5"/>
  <c r="P2324" i="5"/>
  <c r="P2325" i="5"/>
  <c r="P2326" i="5"/>
  <c r="P2327" i="5"/>
  <c r="P2328" i="5"/>
  <c r="P2329" i="5"/>
  <c r="P2330" i="5"/>
  <c r="P2331" i="5"/>
  <c r="P2332" i="5"/>
  <c r="P2333" i="5"/>
  <c r="P2334" i="5"/>
  <c r="P2335" i="5"/>
  <c r="P2336" i="5"/>
  <c r="P2337" i="5"/>
  <c r="P2338" i="5"/>
  <c r="P2339" i="5"/>
  <c r="P2340" i="5"/>
  <c r="P2341" i="5"/>
  <c r="P2342" i="5"/>
  <c r="P2343" i="5"/>
  <c r="P2344" i="5"/>
  <c r="P2345" i="5"/>
  <c r="P2346" i="5"/>
  <c r="P2347" i="5"/>
  <c r="P2348" i="5"/>
  <c r="P2349" i="5"/>
  <c r="P2350" i="5"/>
  <c r="P2351" i="5"/>
  <c r="P2352" i="5"/>
  <c r="P2353" i="5"/>
  <c r="P2354" i="5"/>
  <c r="P2355" i="5"/>
  <c r="P2356" i="5"/>
  <c r="P2357" i="5"/>
  <c r="P2358" i="5"/>
  <c r="P2359" i="5"/>
  <c r="P2360" i="5"/>
  <c r="P2361" i="5"/>
  <c r="P2362" i="5"/>
  <c r="P2363" i="5"/>
  <c r="P2364" i="5"/>
  <c r="P2365" i="5"/>
  <c r="P2366" i="5"/>
  <c r="P2367" i="5"/>
  <c r="P2368" i="5"/>
  <c r="P2369" i="5"/>
  <c r="P2370" i="5"/>
  <c r="P2371" i="5"/>
  <c r="P2372" i="5"/>
  <c r="P2373" i="5"/>
  <c r="P2374" i="5"/>
  <c r="P2375" i="5"/>
  <c r="P2376" i="5"/>
  <c r="P2377" i="5"/>
  <c r="P2378" i="5"/>
  <c r="P2379" i="5"/>
  <c r="P2380" i="5"/>
  <c r="P2381" i="5"/>
  <c r="P2382" i="5"/>
  <c r="P2383" i="5"/>
  <c r="P2384" i="5"/>
  <c r="P2385" i="5"/>
  <c r="P2386" i="5"/>
  <c r="P2387" i="5"/>
  <c r="P2388" i="5"/>
  <c r="P2389" i="5"/>
  <c r="P2390" i="5"/>
  <c r="P2391" i="5"/>
  <c r="P2392" i="5"/>
  <c r="P2393" i="5"/>
  <c r="P2394" i="5"/>
  <c r="P2395" i="5"/>
  <c r="P2396" i="5"/>
  <c r="P2397" i="5"/>
  <c r="P2398" i="5"/>
  <c r="P2399" i="5"/>
  <c r="P2400" i="5"/>
  <c r="P2401" i="5"/>
  <c r="P2402" i="5"/>
  <c r="P2403" i="5"/>
  <c r="P2404" i="5"/>
  <c r="P2405" i="5"/>
  <c r="P2406" i="5"/>
  <c r="P2407" i="5"/>
  <c r="P2408" i="5"/>
  <c r="P2409" i="5"/>
  <c r="P2410" i="5"/>
  <c r="P2411" i="5"/>
  <c r="P2412" i="5"/>
  <c r="P2413" i="5"/>
  <c r="P2414" i="5"/>
  <c r="P2415" i="5"/>
  <c r="P2416" i="5"/>
  <c r="P2417" i="5"/>
  <c r="P2418" i="5"/>
  <c r="P2419" i="5"/>
  <c r="P2420" i="5"/>
  <c r="P2421" i="5"/>
  <c r="P2422" i="5"/>
  <c r="P2423" i="5"/>
  <c r="P2424" i="5"/>
  <c r="P2425" i="5"/>
  <c r="P2426" i="5"/>
  <c r="P2427" i="5"/>
  <c r="P2428" i="5"/>
  <c r="P2429" i="5"/>
  <c r="P2430" i="5"/>
  <c r="P2431" i="5"/>
  <c r="P2432" i="5"/>
  <c r="P2433" i="5"/>
  <c r="P2434" i="5"/>
  <c r="P2435" i="5"/>
  <c r="P2436" i="5"/>
  <c r="P2437" i="5"/>
  <c r="P2438" i="5"/>
  <c r="P2439" i="5"/>
  <c r="P2440" i="5"/>
  <c r="P2441" i="5"/>
  <c r="P2442" i="5"/>
  <c r="P2443" i="5"/>
  <c r="P2444" i="5"/>
  <c r="P2445" i="5"/>
  <c r="P2446" i="5"/>
  <c r="P2447" i="5"/>
  <c r="P2448" i="5"/>
  <c r="P2449" i="5"/>
  <c r="P2450" i="5"/>
  <c r="P2451" i="5"/>
  <c r="P2452" i="5"/>
  <c r="P2453" i="5"/>
  <c r="P2454" i="5"/>
  <c r="P2455" i="5"/>
  <c r="P2456" i="5"/>
  <c r="P2457" i="5"/>
  <c r="P2458" i="5"/>
  <c r="P2459" i="5"/>
  <c r="P2460" i="5"/>
  <c r="P2461" i="5"/>
  <c r="P2462" i="5"/>
  <c r="P2463" i="5"/>
  <c r="P2464" i="5"/>
  <c r="P2465" i="5"/>
  <c r="P2466" i="5"/>
  <c r="P2467" i="5"/>
  <c r="P2468" i="5"/>
  <c r="P2469" i="5"/>
  <c r="P2470" i="5"/>
  <c r="P2471" i="5"/>
  <c r="P2472" i="5"/>
  <c r="P2473" i="5"/>
  <c r="P2474" i="5"/>
  <c r="P2475" i="5"/>
  <c r="P2476" i="5"/>
  <c r="P2477" i="5"/>
  <c r="P2478" i="5"/>
  <c r="P2479" i="5"/>
  <c r="P2480" i="5"/>
  <c r="P2481" i="5"/>
  <c r="P2482" i="5"/>
  <c r="P2483" i="5"/>
  <c r="P2484" i="5"/>
  <c r="P2485" i="5"/>
  <c r="P2486" i="5"/>
  <c r="P2487" i="5"/>
  <c r="P2488" i="5"/>
  <c r="P2489" i="5"/>
  <c r="P2490" i="5"/>
  <c r="P2491" i="5"/>
  <c r="P2492" i="5"/>
  <c r="P2493" i="5"/>
  <c r="P2494" i="5"/>
  <c r="P2495" i="5"/>
  <c r="P2496" i="5"/>
  <c r="P2497" i="5"/>
  <c r="P2498" i="5"/>
  <c r="P2499" i="5"/>
  <c r="P2500" i="5"/>
  <c r="P2501" i="5"/>
  <c r="P2502" i="5"/>
  <c r="P2503" i="5"/>
  <c r="P2504" i="5"/>
  <c r="P2505" i="5"/>
  <c r="P2506" i="5"/>
  <c r="P2507" i="5"/>
  <c r="P2508" i="5"/>
  <c r="P2509" i="5"/>
  <c r="P2510" i="5"/>
  <c r="P2511" i="5"/>
  <c r="P2512" i="5"/>
  <c r="P2513" i="5"/>
  <c r="P2514" i="5"/>
  <c r="P2515" i="5"/>
  <c r="P2516" i="5"/>
  <c r="P2517" i="5"/>
  <c r="P2518" i="5"/>
  <c r="P2519" i="5"/>
  <c r="P2520" i="5"/>
  <c r="P2521" i="5"/>
  <c r="P2522" i="5"/>
  <c r="P2523" i="5"/>
  <c r="P2524" i="5"/>
  <c r="P2525" i="5"/>
  <c r="P2526" i="5"/>
  <c r="P2527" i="5"/>
  <c r="P2528" i="5"/>
  <c r="P2529" i="5"/>
  <c r="P2530" i="5"/>
  <c r="P2531" i="5"/>
  <c r="P2532" i="5"/>
  <c r="P2533" i="5"/>
  <c r="P2534" i="5"/>
  <c r="P2535" i="5"/>
  <c r="P2536" i="5"/>
  <c r="P2537" i="5"/>
  <c r="P2538" i="5"/>
  <c r="P2539" i="5"/>
  <c r="P2540" i="5"/>
  <c r="P2541" i="5"/>
  <c r="P2542" i="5"/>
  <c r="P2543" i="5"/>
  <c r="P2544" i="5"/>
  <c r="P2545" i="5"/>
  <c r="P2546" i="5"/>
  <c r="P2547" i="5"/>
  <c r="P2548" i="5"/>
  <c r="P2549" i="5"/>
  <c r="P2550" i="5"/>
  <c r="P2551" i="5"/>
  <c r="P2552" i="5"/>
  <c r="P2553" i="5"/>
  <c r="P2554" i="5"/>
  <c r="P2555" i="5"/>
  <c r="P2556" i="5"/>
  <c r="P2557" i="5"/>
  <c r="P2558" i="5"/>
  <c r="P2559" i="5"/>
  <c r="P2560" i="5"/>
  <c r="P2561" i="5"/>
  <c r="P2562" i="5"/>
  <c r="P2563" i="5"/>
  <c r="P2564" i="5"/>
  <c r="P2565" i="5"/>
  <c r="P2566" i="5"/>
  <c r="P2567" i="5"/>
  <c r="P2568" i="5"/>
  <c r="P2569" i="5"/>
  <c r="P2570" i="5"/>
  <c r="P2571" i="5"/>
  <c r="P2572" i="5"/>
  <c r="P2573" i="5"/>
  <c r="P2574" i="5"/>
  <c r="P2575" i="5"/>
  <c r="P2576" i="5"/>
  <c r="P2577" i="5"/>
  <c r="P2578" i="5"/>
  <c r="P2579" i="5"/>
  <c r="P2580" i="5"/>
  <c r="P2581" i="5"/>
  <c r="P2582" i="5"/>
  <c r="P2583" i="5"/>
  <c r="P2584" i="5"/>
  <c r="P2585" i="5"/>
  <c r="P2586" i="5"/>
  <c r="P2587" i="5"/>
  <c r="P2588" i="5"/>
  <c r="P2589" i="5"/>
  <c r="P2590" i="5"/>
  <c r="P2591" i="5"/>
  <c r="P2592" i="5"/>
  <c r="P2593" i="5"/>
  <c r="P2594" i="5"/>
  <c r="P2595" i="5"/>
  <c r="P2596" i="5"/>
  <c r="P2597" i="5"/>
  <c r="P2598" i="5"/>
  <c r="P2599" i="5"/>
  <c r="P2600" i="5"/>
  <c r="P2601" i="5"/>
  <c r="P2602" i="5"/>
  <c r="P2603" i="5"/>
  <c r="P2604" i="5"/>
  <c r="P2605" i="5"/>
  <c r="P2606" i="5"/>
  <c r="P2607" i="5"/>
  <c r="P2608" i="5"/>
  <c r="P2609" i="5"/>
  <c r="P2610" i="5"/>
  <c r="P2611" i="5"/>
  <c r="P2612" i="5"/>
  <c r="P2613" i="5"/>
  <c r="P2614" i="5"/>
  <c r="P2615" i="5"/>
  <c r="P2616" i="5"/>
  <c r="P2617" i="5"/>
  <c r="P2618" i="5"/>
  <c r="P2619" i="5"/>
  <c r="P2620" i="5"/>
  <c r="P2621" i="5"/>
  <c r="P2622" i="5"/>
  <c r="P2623" i="5"/>
  <c r="P2624" i="5"/>
  <c r="P2625" i="5"/>
  <c r="P2626" i="5"/>
  <c r="P2627" i="5"/>
  <c r="P2628" i="5"/>
  <c r="P2629" i="5"/>
  <c r="P2630" i="5"/>
  <c r="P2631" i="5"/>
  <c r="P2632" i="5"/>
  <c r="P2633" i="5"/>
  <c r="P2634" i="5"/>
  <c r="P2635" i="5"/>
  <c r="P2636" i="5"/>
  <c r="P2637" i="5"/>
  <c r="P2638" i="5"/>
  <c r="P2639" i="5"/>
  <c r="P2640" i="5"/>
  <c r="P2641" i="5"/>
  <c r="P2642" i="5"/>
  <c r="P2643" i="5"/>
  <c r="P2644" i="5"/>
  <c r="P2645" i="5"/>
  <c r="P2646" i="5"/>
  <c r="P2647" i="5"/>
  <c r="P2648" i="5"/>
  <c r="P2649" i="5"/>
  <c r="P2650" i="5"/>
  <c r="P2651" i="5"/>
  <c r="P2652" i="5"/>
  <c r="P2653" i="5"/>
  <c r="P2654" i="5"/>
  <c r="P2655" i="5"/>
  <c r="P2656" i="5"/>
  <c r="P2657" i="5"/>
  <c r="P2658" i="5"/>
  <c r="P2659" i="5"/>
  <c r="P2660" i="5"/>
  <c r="P2661" i="5"/>
  <c r="P2662" i="5"/>
  <c r="P2663" i="5"/>
  <c r="P2664" i="5"/>
  <c r="P2665" i="5"/>
  <c r="P2666" i="5"/>
  <c r="P2667" i="5"/>
  <c r="P2668" i="5"/>
  <c r="P2669" i="5"/>
  <c r="P2670" i="5"/>
  <c r="P2671" i="5"/>
  <c r="P2672" i="5"/>
  <c r="P2673" i="5"/>
  <c r="P2674" i="5"/>
  <c r="P2675" i="5"/>
  <c r="P2676" i="5"/>
  <c r="P2677" i="5"/>
  <c r="P2678" i="5"/>
  <c r="P2679" i="5"/>
  <c r="P2680" i="5"/>
  <c r="P2681" i="5"/>
  <c r="P2682" i="5"/>
  <c r="P2683" i="5"/>
  <c r="P2684" i="5"/>
  <c r="P2685" i="5"/>
  <c r="P2686" i="5"/>
  <c r="P2687" i="5"/>
  <c r="P2688" i="5"/>
  <c r="P2689" i="5"/>
  <c r="P2690" i="5"/>
  <c r="P2691" i="5"/>
  <c r="P2692" i="5"/>
  <c r="P2693" i="5"/>
  <c r="P2694" i="5"/>
  <c r="P2695" i="5"/>
  <c r="P2696" i="5"/>
  <c r="P2697" i="5"/>
  <c r="P2698" i="5"/>
  <c r="P2699" i="5"/>
  <c r="P2700" i="5"/>
  <c r="P2701" i="5"/>
  <c r="P2702" i="5"/>
  <c r="P2703" i="5"/>
  <c r="P2704" i="5"/>
  <c r="P2705" i="5"/>
  <c r="P2706" i="5"/>
  <c r="P2707" i="5"/>
  <c r="P2708" i="5"/>
  <c r="P2709" i="5"/>
  <c r="P2710" i="5"/>
  <c r="P2711" i="5"/>
  <c r="P2712" i="5"/>
  <c r="P2713" i="5"/>
  <c r="P2714" i="5"/>
  <c r="P2715" i="5"/>
  <c r="P2716" i="5"/>
  <c r="P2717" i="5"/>
  <c r="P2718" i="5"/>
  <c r="P2719" i="5"/>
  <c r="P2720" i="5"/>
  <c r="P2721" i="5"/>
  <c r="P2722" i="5"/>
  <c r="P2723" i="5"/>
  <c r="P2724" i="5"/>
  <c r="P2725" i="5"/>
  <c r="P2726" i="5"/>
  <c r="P2727" i="5"/>
  <c r="P2728" i="5"/>
  <c r="P2729" i="5"/>
  <c r="P2730" i="5"/>
  <c r="P2731" i="5"/>
  <c r="P2732" i="5"/>
  <c r="P2733" i="5"/>
  <c r="P2734" i="5"/>
  <c r="P2735" i="5"/>
  <c r="P2736" i="5"/>
  <c r="P2737" i="5"/>
  <c r="P2738" i="5"/>
  <c r="P2739" i="5"/>
  <c r="P2740" i="5"/>
  <c r="P2741" i="5"/>
  <c r="P2742" i="5"/>
  <c r="P2743" i="5"/>
  <c r="P2744" i="5"/>
  <c r="P2745" i="5"/>
  <c r="P2746" i="5"/>
  <c r="P2747" i="5"/>
  <c r="P2748" i="5"/>
  <c r="P2749" i="5"/>
  <c r="P2750" i="5"/>
  <c r="P2751" i="5"/>
  <c r="P2752" i="5"/>
  <c r="P2753" i="5"/>
  <c r="P2754" i="5"/>
  <c r="P2755" i="5"/>
  <c r="P2756" i="5"/>
  <c r="P2757" i="5"/>
  <c r="P2758" i="5"/>
  <c r="P2759" i="5"/>
  <c r="P2760" i="5"/>
  <c r="P2761" i="5"/>
  <c r="P2762" i="5"/>
  <c r="P2763" i="5"/>
  <c r="P2764" i="5"/>
  <c r="P2765" i="5"/>
  <c r="P2766" i="5"/>
  <c r="P2767" i="5"/>
  <c r="P2768" i="5"/>
  <c r="P2769" i="5"/>
  <c r="P2770" i="5"/>
  <c r="P2771" i="5"/>
  <c r="P2772" i="5"/>
  <c r="P2773" i="5"/>
  <c r="P2774" i="5"/>
  <c r="P2775" i="5"/>
  <c r="P2776" i="5"/>
  <c r="P2777" i="5"/>
  <c r="P2778" i="5"/>
  <c r="P2779" i="5"/>
  <c r="P2780" i="5"/>
  <c r="P2781" i="5"/>
  <c r="P2782" i="5"/>
  <c r="P2783" i="5"/>
  <c r="P2784" i="5"/>
  <c r="P2785" i="5"/>
  <c r="P2786" i="5"/>
  <c r="P2787" i="5"/>
  <c r="P2788" i="5"/>
  <c r="P2789" i="5"/>
  <c r="P2790" i="5"/>
  <c r="P2791" i="5"/>
  <c r="P2792" i="5"/>
  <c r="P2793" i="5"/>
  <c r="P2794" i="5"/>
  <c r="P2795" i="5"/>
  <c r="P2796" i="5"/>
  <c r="P2797" i="5"/>
  <c r="P2798" i="5"/>
  <c r="P2799" i="5"/>
  <c r="P2800" i="5"/>
  <c r="P2801" i="5"/>
  <c r="P2802" i="5"/>
  <c r="P2803" i="5"/>
  <c r="P2804" i="5"/>
  <c r="P2805" i="5"/>
  <c r="P2806" i="5"/>
  <c r="P2807" i="5"/>
  <c r="P2808" i="5"/>
  <c r="P2809" i="5"/>
  <c r="P2810" i="5"/>
  <c r="P2811" i="5"/>
  <c r="P2812" i="5"/>
  <c r="P2813" i="5"/>
  <c r="P2814" i="5"/>
  <c r="P2815" i="5"/>
  <c r="P2816" i="5"/>
  <c r="P2817" i="5"/>
  <c r="P2818" i="5"/>
  <c r="P2819" i="5"/>
  <c r="P2820" i="5"/>
  <c r="P2821" i="5"/>
  <c r="P2822" i="5"/>
  <c r="P2823" i="5"/>
  <c r="P2824" i="5"/>
  <c r="P2825" i="5"/>
  <c r="P2826" i="5"/>
  <c r="P2827" i="5"/>
  <c r="P2828" i="5"/>
  <c r="P2829" i="5"/>
  <c r="P2830" i="5"/>
  <c r="P2831" i="5"/>
  <c r="P2832" i="5"/>
  <c r="P2833" i="5"/>
  <c r="P2834" i="5"/>
  <c r="P2835" i="5"/>
  <c r="P2836" i="5"/>
  <c r="P2837" i="5"/>
  <c r="P2838" i="5"/>
  <c r="P2839" i="5"/>
  <c r="P2840" i="5"/>
  <c r="P2841" i="5"/>
  <c r="P2842" i="5"/>
  <c r="P2843" i="5"/>
  <c r="P2844" i="5"/>
  <c r="P2845" i="5"/>
  <c r="P2846" i="5"/>
  <c r="P2847" i="5"/>
  <c r="P2848" i="5"/>
  <c r="P2849" i="5"/>
  <c r="P2850" i="5"/>
  <c r="P2851" i="5"/>
  <c r="P2852" i="5"/>
  <c r="P2853" i="5"/>
  <c r="P2854" i="5"/>
  <c r="P2855" i="5"/>
  <c r="P2856" i="5"/>
  <c r="P2857" i="5"/>
  <c r="P2858" i="5"/>
  <c r="P2859" i="5"/>
  <c r="P2860" i="5"/>
  <c r="P2861" i="5"/>
  <c r="P2862" i="5"/>
  <c r="P2863" i="5"/>
  <c r="P2864" i="5"/>
  <c r="P2865" i="5"/>
  <c r="P2866" i="5"/>
  <c r="P2867" i="5"/>
  <c r="P2868" i="5"/>
  <c r="P2869" i="5"/>
  <c r="P2870" i="5"/>
  <c r="P2871" i="5"/>
  <c r="P2872" i="5"/>
  <c r="P2873" i="5"/>
  <c r="P2874" i="5"/>
  <c r="P2875" i="5"/>
  <c r="P2876" i="5"/>
  <c r="P2877" i="5"/>
  <c r="P2878" i="5"/>
  <c r="P2879" i="5"/>
  <c r="P2880" i="5"/>
  <c r="P2881" i="5"/>
  <c r="P2882" i="5"/>
  <c r="P2883" i="5"/>
  <c r="P2884" i="5"/>
  <c r="P2885" i="5"/>
  <c r="P2886" i="5"/>
  <c r="P2887" i="5"/>
  <c r="P2888" i="5"/>
  <c r="P2889" i="5"/>
  <c r="P2890" i="5"/>
  <c r="P2891" i="5"/>
  <c r="P2892" i="5"/>
  <c r="P2893" i="5"/>
  <c r="P2894" i="5"/>
  <c r="P2895" i="5"/>
  <c r="P2896" i="5"/>
  <c r="P2897" i="5"/>
  <c r="P2898" i="5"/>
  <c r="P2899" i="5"/>
  <c r="P2900" i="5"/>
  <c r="P2901" i="5"/>
  <c r="P2902" i="5"/>
  <c r="P2903" i="5"/>
  <c r="P2904" i="5"/>
  <c r="P2905" i="5"/>
  <c r="P2906" i="5"/>
  <c r="P2907" i="5"/>
  <c r="P2908" i="5"/>
  <c r="P2909" i="5"/>
  <c r="P2910" i="5"/>
  <c r="P2911" i="5"/>
  <c r="P2912" i="5"/>
  <c r="P2913" i="5"/>
  <c r="P2914" i="5"/>
  <c r="P2915" i="5"/>
  <c r="P2916" i="5"/>
  <c r="P2917" i="5"/>
  <c r="P2918" i="5"/>
  <c r="P2919" i="5"/>
  <c r="P2920" i="5"/>
  <c r="P2921" i="5"/>
  <c r="P2922" i="5"/>
  <c r="P2923" i="5"/>
  <c r="P2924" i="5"/>
  <c r="P2925" i="5"/>
  <c r="P2926" i="5"/>
  <c r="P2927" i="5"/>
  <c r="P2928" i="5"/>
  <c r="P2929" i="5"/>
  <c r="P2930" i="5"/>
  <c r="P2931" i="5"/>
  <c r="P2932" i="5"/>
  <c r="P2933" i="5"/>
  <c r="P2934" i="5"/>
  <c r="P2935" i="5"/>
  <c r="P2936" i="5"/>
  <c r="P2937" i="5"/>
  <c r="P2938" i="5"/>
  <c r="P2939" i="5"/>
  <c r="P2940" i="5"/>
  <c r="P2941" i="5"/>
  <c r="P2942" i="5"/>
  <c r="P2943" i="5"/>
  <c r="P2944" i="5"/>
  <c r="P2945" i="5"/>
  <c r="P2946" i="5"/>
  <c r="P2947" i="5"/>
  <c r="P2948" i="5"/>
  <c r="P2949" i="5"/>
  <c r="P2950" i="5"/>
  <c r="P2951" i="5"/>
  <c r="P2952" i="5"/>
  <c r="P2953" i="5"/>
  <c r="P2954" i="5"/>
  <c r="P2955" i="5"/>
  <c r="P2956" i="5"/>
  <c r="P2957" i="5"/>
  <c r="P2958" i="5"/>
  <c r="P2959" i="5"/>
  <c r="P2960" i="5"/>
  <c r="P2961" i="5"/>
  <c r="P2962" i="5"/>
  <c r="P2963" i="5"/>
  <c r="P2964" i="5"/>
  <c r="P2965" i="5"/>
  <c r="P2966" i="5"/>
  <c r="P2967" i="5"/>
  <c r="P2968" i="5"/>
  <c r="P2969" i="5"/>
  <c r="P2970" i="5"/>
  <c r="P2971" i="5"/>
  <c r="P2972" i="5"/>
  <c r="P2973" i="5"/>
  <c r="P2974" i="5"/>
  <c r="P2975" i="5"/>
  <c r="P2976" i="5"/>
  <c r="P2977" i="5"/>
  <c r="P2978" i="5"/>
  <c r="P2979" i="5"/>
  <c r="P2980" i="5"/>
  <c r="P2981" i="5"/>
  <c r="P2982" i="5"/>
  <c r="P2983" i="5"/>
  <c r="P2984" i="5"/>
  <c r="P2985" i="5"/>
  <c r="P2986" i="5"/>
  <c r="P2987" i="5"/>
  <c r="P2988" i="5"/>
  <c r="P2989" i="5"/>
  <c r="P2990" i="5"/>
  <c r="P2991" i="5"/>
  <c r="P2992" i="5"/>
  <c r="P2993" i="5"/>
  <c r="P2994" i="5"/>
  <c r="P2995" i="5"/>
  <c r="P2996" i="5"/>
  <c r="P2997" i="5"/>
  <c r="P2998" i="5"/>
  <c r="P2999" i="5"/>
  <c r="P3000" i="5"/>
  <c r="P3001" i="5"/>
  <c r="P3002" i="5"/>
  <c r="P3003" i="5"/>
  <c r="P3004" i="5"/>
  <c r="P3005" i="5"/>
  <c r="P3006" i="5"/>
  <c r="P3007" i="5"/>
  <c r="P3008" i="5"/>
  <c r="P3009" i="5"/>
  <c r="P3010" i="5"/>
  <c r="P3011" i="5"/>
  <c r="P3012" i="5"/>
  <c r="P3013" i="5"/>
  <c r="P3014" i="5"/>
  <c r="P3015" i="5"/>
  <c r="P3016" i="5"/>
  <c r="P3017" i="5"/>
  <c r="P3018" i="5"/>
  <c r="P3019" i="5"/>
  <c r="P3020" i="5"/>
  <c r="P3021" i="5"/>
  <c r="P3022" i="5"/>
  <c r="P3023" i="5"/>
  <c r="P3024" i="5"/>
  <c r="P3025" i="5"/>
  <c r="P3026" i="5"/>
  <c r="P3027" i="5"/>
  <c r="P3028" i="5"/>
  <c r="P3029" i="5"/>
  <c r="P3030" i="5"/>
  <c r="P3031" i="5"/>
  <c r="P3032" i="5"/>
  <c r="P3033" i="5"/>
  <c r="P3034" i="5"/>
  <c r="P3035" i="5"/>
  <c r="P3036" i="5"/>
  <c r="P3037" i="5"/>
  <c r="P3038" i="5"/>
  <c r="P3039" i="5"/>
  <c r="P3040" i="5"/>
  <c r="P3041" i="5"/>
  <c r="P3042" i="5"/>
  <c r="P3043" i="5"/>
  <c r="P3044" i="5"/>
  <c r="P3045" i="5"/>
  <c r="P3046" i="5"/>
  <c r="P3047" i="5"/>
  <c r="P3048" i="5"/>
  <c r="P3049" i="5"/>
  <c r="P3050" i="5"/>
  <c r="P3051" i="5"/>
  <c r="P3052" i="5"/>
  <c r="P3053" i="5"/>
  <c r="P3054" i="5"/>
  <c r="P3055" i="5"/>
  <c r="P3056" i="5"/>
  <c r="P3057" i="5"/>
  <c r="P3058" i="5"/>
  <c r="P3059" i="5"/>
  <c r="P3060" i="5"/>
  <c r="P3061" i="5"/>
  <c r="P3062" i="5"/>
  <c r="P3063" i="5"/>
  <c r="P3064" i="5"/>
  <c r="P3065" i="5"/>
  <c r="P3066" i="5"/>
  <c r="P3067" i="5"/>
  <c r="P3068" i="5"/>
  <c r="P3069" i="5"/>
  <c r="P3070" i="5"/>
  <c r="P3071" i="5"/>
  <c r="P3072" i="5"/>
  <c r="P3073" i="5"/>
  <c r="P3074" i="5"/>
  <c r="P3075" i="5"/>
  <c r="P3076" i="5"/>
  <c r="P3077" i="5"/>
  <c r="P3078" i="5"/>
  <c r="P3079" i="5"/>
  <c r="P3080" i="5"/>
  <c r="P3081" i="5"/>
  <c r="P3082" i="5"/>
  <c r="P3083" i="5"/>
  <c r="P3084" i="5"/>
  <c r="P3085" i="5"/>
  <c r="P3086" i="5"/>
  <c r="P3087" i="5"/>
  <c r="P3088" i="5"/>
  <c r="P3089" i="5"/>
  <c r="P3090" i="5"/>
  <c r="P3091" i="5"/>
  <c r="P3092" i="5"/>
  <c r="P3093" i="5"/>
  <c r="P3094" i="5"/>
  <c r="P3095" i="5"/>
  <c r="P3096" i="5"/>
  <c r="P3097" i="5"/>
  <c r="P3098" i="5"/>
  <c r="P3099" i="5"/>
  <c r="P3100" i="5"/>
  <c r="P3101" i="5"/>
  <c r="P3102" i="5"/>
  <c r="P3103" i="5"/>
  <c r="P3104" i="5"/>
  <c r="P3105" i="5"/>
  <c r="P3106" i="5"/>
  <c r="P3107" i="5"/>
  <c r="P3108" i="5"/>
  <c r="P3109" i="5"/>
  <c r="P3110" i="5"/>
  <c r="P3111" i="5"/>
  <c r="P3112" i="5"/>
  <c r="P3113" i="5"/>
  <c r="P3114" i="5"/>
  <c r="P3115" i="5"/>
  <c r="P3116" i="5"/>
  <c r="P3117" i="5"/>
  <c r="P3118" i="5"/>
  <c r="P3119" i="5"/>
  <c r="P3120" i="5"/>
  <c r="P3121" i="5"/>
  <c r="P3122" i="5"/>
  <c r="P3123" i="5"/>
  <c r="P3124" i="5"/>
  <c r="P3125" i="5"/>
  <c r="P3126" i="5"/>
  <c r="P3127" i="5"/>
  <c r="P3128" i="5"/>
  <c r="P3129" i="5"/>
  <c r="P3130" i="5"/>
  <c r="P3131" i="5"/>
  <c r="P3132" i="5"/>
  <c r="P3133" i="5"/>
  <c r="P3134" i="5"/>
  <c r="P3135" i="5"/>
  <c r="P3136" i="5"/>
  <c r="P3137" i="5"/>
  <c r="P3138" i="5"/>
  <c r="P3139" i="5"/>
  <c r="P3140" i="5"/>
  <c r="P3141" i="5"/>
  <c r="P3142" i="5"/>
  <c r="P3143" i="5"/>
  <c r="P3144" i="5"/>
  <c r="P3145" i="5"/>
  <c r="P3146" i="5"/>
  <c r="P3147" i="5"/>
  <c r="P3148" i="5"/>
  <c r="P3149" i="5"/>
  <c r="P3150" i="5"/>
  <c r="P3151" i="5"/>
  <c r="P3152" i="5"/>
  <c r="P3153" i="5"/>
  <c r="P3154" i="5"/>
  <c r="P3155" i="5"/>
  <c r="P3156" i="5"/>
  <c r="P3157" i="5"/>
  <c r="P3158" i="5"/>
  <c r="P3159" i="5"/>
  <c r="P3160" i="5"/>
  <c r="P3161" i="5"/>
  <c r="P3162" i="5"/>
  <c r="P3163" i="5"/>
  <c r="P3164" i="5"/>
  <c r="P3165" i="5"/>
  <c r="P3166" i="5"/>
  <c r="P3167" i="5"/>
  <c r="P3168" i="5"/>
  <c r="P3169" i="5"/>
  <c r="P3170" i="5"/>
  <c r="P3171" i="5"/>
  <c r="P3172" i="5"/>
  <c r="P3173" i="5"/>
  <c r="P3174" i="5"/>
  <c r="P3175" i="5"/>
  <c r="P3176" i="5"/>
  <c r="P3177" i="5"/>
  <c r="P3178" i="5"/>
  <c r="P3179" i="5"/>
  <c r="P3180" i="5"/>
  <c r="P3181" i="5"/>
  <c r="P3182" i="5"/>
  <c r="P3183" i="5"/>
  <c r="P3184" i="5"/>
  <c r="P3185" i="5"/>
  <c r="P3186" i="5"/>
  <c r="P3187" i="5"/>
  <c r="P3188" i="5"/>
  <c r="P3189" i="5"/>
  <c r="P3190" i="5"/>
  <c r="P3191" i="5"/>
  <c r="P3192" i="5"/>
  <c r="P3193" i="5"/>
  <c r="P3194" i="5"/>
  <c r="P3195" i="5"/>
  <c r="P3196" i="5"/>
  <c r="P3197" i="5"/>
  <c r="P3198" i="5"/>
  <c r="P3199" i="5"/>
  <c r="P3200" i="5"/>
  <c r="P3201" i="5"/>
  <c r="P3202" i="5"/>
  <c r="P3203" i="5"/>
  <c r="P3204" i="5"/>
  <c r="P3205" i="5"/>
  <c r="P3206" i="5"/>
  <c r="P3207" i="5"/>
  <c r="P3208" i="5"/>
  <c r="P3209" i="5"/>
  <c r="P3210" i="5"/>
  <c r="P3211" i="5"/>
  <c r="P3212" i="5"/>
  <c r="P3213" i="5"/>
  <c r="P3214" i="5"/>
  <c r="P3215" i="5"/>
  <c r="P3216" i="5"/>
  <c r="P3217" i="5"/>
  <c r="P3218" i="5"/>
  <c r="P3219" i="5"/>
  <c r="P3220" i="5"/>
  <c r="P3221" i="5"/>
  <c r="P3222" i="5"/>
  <c r="P3223" i="5"/>
  <c r="P3224" i="5"/>
  <c r="P3225" i="5"/>
  <c r="P3226" i="5"/>
  <c r="P3227" i="5"/>
  <c r="P3228" i="5"/>
  <c r="P3229" i="5"/>
  <c r="P3230" i="5"/>
  <c r="P3231" i="5"/>
  <c r="P3232" i="5"/>
  <c r="P3233" i="5"/>
  <c r="P3234" i="5"/>
  <c r="P3235" i="5"/>
  <c r="P3236" i="5"/>
  <c r="P3237" i="5"/>
  <c r="P3238" i="5"/>
  <c r="P3239" i="5"/>
  <c r="P3240" i="5"/>
  <c r="P3241" i="5"/>
  <c r="P3242" i="5"/>
  <c r="P3243" i="5"/>
  <c r="P3244" i="5"/>
  <c r="P3245" i="5"/>
  <c r="P3246" i="5"/>
  <c r="P3247" i="5"/>
  <c r="P3248" i="5"/>
  <c r="P3249" i="5"/>
  <c r="P3250" i="5"/>
  <c r="P3251" i="5"/>
  <c r="P3252" i="5"/>
  <c r="P3253" i="5"/>
  <c r="P3254" i="5"/>
  <c r="P3255" i="5"/>
  <c r="P3256" i="5"/>
  <c r="P3257" i="5"/>
  <c r="P3258" i="5"/>
  <c r="P3259" i="5"/>
  <c r="P3260" i="5"/>
  <c r="P3261" i="5"/>
  <c r="P3262" i="5"/>
  <c r="P3263" i="5"/>
  <c r="P3264" i="5"/>
  <c r="P3265" i="5"/>
  <c r="P3266" i="5"/>
  <c r="P3267" i="5"/>
  <c r="P3268" i="5"/>
  <c r="P3269" i="5"/>
  <c r="P3270" i="5"/>
  <c r="P3271" i="5"/>
  <c r="P3272" i="5"/>
  <c r="P3273" i="5"/>
  <c r="P3274" i="5"/>
  <c r="P3275" i="5"/>
  <c r="P3276" i="5"/>
  <c r="P3277" i="5"/>
  <c r="P3278" i="5"/>
  <c r="P3279" i="5"/>
  <c r="P3280" i="5"/>
  <c r="P3281" i="5"/>
  <c r="P3282" i="5"/>
  <c r="P3283" i="5"/>
  <c r="P3284" i="5"/>
  <c r="P3285" i="5"/>
  <c r="P3286" i="5"/>
  <c r="P3287" i="5"/>
  <c r="P3288" i="5"/>
  <c r="P3289" i="5"/>
  <c r="P3290" i="5"/>
  <c r="P3291" i="5"/>
  <c r="P3292" i="5"/>
  <c r="P3293" i="5"/>
  <c r="P3294" i="5"/>
  <c r="P3295" i="5"/>
  <c r="P3296" i="5"/>
  <c r="P3297" i="5"/>
  <c r="P3298" i="5"/>
  <c r="P3299" i="5"/>
  <c r="P3300" i="5"/>
  <c r="P3301" i="5"/>
  <c r="P3302" i="5"/>
  <c r="P3303" i="5"/>
  <c r="P3304" i="5"/>
  <c r="P3305" i="5"/>
  <c r="P3306" i="5"/>
  <c r="P3307" i="5"/>
  <c r="P3308" i="5"/>
  <c r="P3309" i="5"/>
  <c r="P3310" i="5"/>
  <c r="P3311" i="5"/>
  <c r="P3312" i="5"/>
  <c r="P3313" i="5"/>
  <c r="P3314" i="5"/>
  <c r="P3315" i="5"/>
  <c r="P3316" i="5"/>
  <c r="P3317" i="5"/>
  <c r="P3318" i="5"/>
  <c r="P3319" i="5"/>
  <c r="P3320" i="5"/>
  <c r="P3321" i="5"/>
  <c r="P3322" i="5"/>
  <c r="P3323" i="5"/>
  <c r="P3324" i="5"/>
  <c r="P3325" i="5"/>
  <c r="P3326" i="5"/>
  <c r="P3327" i="5"/>
  <c r="P3328" i="5"/>
  <c r="P3329" i="5"/>
  <c r="P3330" i="5"/>
  <c r="P3331" i="5"/>
  <c r="P3332" i="5"/>
  <c r="P3333" i="5"/>
  <c r="P3334" i="5"/>
  <c r="P3335" i="5"/>
  <c r="P3336" i="5"/>
  <c r="P3337" i="5"/>
  <c r="P3338" i="5"/>
  <c r="P3339" i="5"/>
  <c r="P3340" i="5"/>
  <c r="P3341" i="5"/>
  <c r="P3342" i="5"/>
  <c r="P3343" i="5"/>
  <c r="P3344" i="5"/>
  <c r="P3345" i="5"/>
  <c r="P3346" i="5"/>
  <c r="P3347" i="5"/>
  <c r="P3348" i="5"/>
  <c r="P3349" i="5"/>
  <c r="P3350" i="5"/>
  <c r="P3351" i="5"/>
  <c r="P3352" i="5"/>
  <c r="P3353" i="5"/>
  <c r="P3354" i="5"/>
  <c r="P3355" i="5"/>
  <c r="P3356" i="5"/>
  <c r="P3357" i="5"/>
  <c r="P3358" i="5"/>
  <c r="P3359" i="5"/>
  <c r="P3360" i="5"/>
  <c r="P3361" i="5"/>
  <c r="P3362" i="5"/>
  <c r="P3363" i="5"/>
  <c r="P3364" i="5"/>
  <c r="P3365" i="5"/>
  <c r="P3366" i="5"/>
  <c r="P3367" i="5"/>
  <c r="P3368" i="5"/>
  <c r="P3369" i="5"/>
  <c r="P3370" i="5"/>
  <c r="P3371" i="5"/>
  <c r="P3372" i="5"/>
  <c r="P3373" i="5"/>
  <c r="P3374" i="5"/>
  <c r="P3375" i="5"/>
  <c r="P3376" i="5"/>
  <c r="P3377" i="5"/>
  <c r="P3378" i="5"/>
  <c r="P3379" i="5"/>
  <c r="P3380" i="5"/>
  <c r="P3381" i="5"/>
  <c r="P3382" i="5"/>
  <c r="P3383" i="5"/>
  <c r="P3384" i="5"/>
  <c r="P3385" i="5"/>
  <c r="P3386" i="5"/>
  <c r="P3387" i="5"/>
  <c r="P3388" i="5"/>
  <c r="P3389" i="5"/>
  <c r="P3390" i="5"/>
  <c r="P3391" i="5"/>
  <c r="P3392" i="5"/>
  <c r="P3393" i="5"/>
  <c r="P3394" i="5"/>
  <c r="P3395" i="5"/>
  <c r="P3396" i="5"/>
  <c r="P3397" i="5"/>
  <c r="P3398" i="5"/>
  <c r="P3399" i="5"/>
  <c r="P3400" i="5"/>
  <c r="P3401" i="5"/>
  <c r="P3402" i="5"/>
  <c r="P3403" i="5"/>
  <c r="P3404" i="5"/>
  <c r="P3405" i="5"/>
  <c r="P3406" i="5"/>
  <c r="P3407" i="5"/>
  <c r="P3408" i="5"/>
  <c r="P3409" i="5"/>
  <c r="P3410" i="5"/>
  <c r="P3411" i="5"/>
  <c r="P3412" i="5"/>
  <c r="P3413" i="5"/>
  <c r="P3414" i="5"/>
  <c r="P3415" i="5"/>
  <c r="P3416" i="5"/>
  <c r="P3417" i="5"/>
  <c r="P3418" i="5"/>
  <c r="P3419" i="5"/>
  <c r="P3420" i="5"/>
  <c r="P3421" i="5"/>
  <c r="P3422" i="5"/>
  <c r="P3423" i="5"/>
  <c r="P3424" i="5"/>
  <c r="P3425" i="5"/>
  <c r="P3426" i="5"/>
  <c r="P3427" i="5"/>
  <c r="P3428" i="5"/>
  <c r="P3429" i="5"/>
  <c r="P3430" i="5"/>
  <c r="P3431" i="5"/>
  <c r="P3432" i="5"/>
  <c r="P3433" i="5"/>
  <c r="P3434" i="5"/>
  <c r="P3435" i="5"/>
  <c r="P3436" i="5"/>
  <c r="P3437" i="5"/>
  <c r="P3438" i="5"/>
  <c r="P3439" i="5"/>
  <c r="P3440" i="5"/>
  <c r="P3441" i="5"/>
  <c r="P3442" i="5"/>
  <c r="P3443" i="5"/>
  <c r="P3444" i="5"/>
  <c r="P3445" i="5"/>
  <c r="P3446" i="5"/>
  <c r="P3447" i="5"/>
  <c r="P3448" i="5"/>
  <c r="P3449" i="5"/>
  <c r="P3450" i="5"/>
  <c r="P3451" i="5"/>
  <c r="P3452" i="5"/>
  <c r="P3453" i="5"/>
  <c r="P3454" i="5"/>
  <c r="P3455" i="5"/>
  <c r="P3456" i="5"/>
  <c r="P3457" i="5"/>
  <c r="P3458" i="5"/>
  <c r="P3459" i="5"/>
  <c r="P3460" i="5"/>
  <c r="P3461" i="5"/>
  <c r="P3462" i="5"/>
  <c r="P3463" i="5"/>
  <c r="P3464" i="5"/>
  <c r="P3465" i="5"/>
  <c r="P3466" i="5"/>
  <c r="P3467" i="5"/>
  <c r="P3468" i="5"/>
  <c r="P3469" i="5"/>
  <c r="P3470" i="5"/>
  <c r="P3471" i="5"/>
  <c r="P3472" i="5"/>
  <c r="P3473" i="5"/>
  <c r="P3474" i="5"/>
  <c r="P3475" i="5"/>
  <c r="P3476" i="5"/>
  <c r="P3477" i="5"/>
  <c r="P3478" i="5"/>
  <c r="P3479" i="5"/>
  <c r="P3480" i="5"/>
  <c r="P3481" i="5"/>
  <c r="P3482" i="5"/>
  <c r="P3483" i="5"/>
  <c r="P3484" i="5"/>
  <c r="P3485" i="5"/>
  <c r="P3486" i="5"/>
  <c r="P3487" i="5"/>
  <c r="P3488" i="5"/>
  <c r="P3489" i="5"/>
  <c r="P3490" i="5"/>
  <c r="P3491" i="5"/>
  <c r="P3492" i="5"/>
  <c r="P3493" i="5"/>
  <c r="P3494" i="5"/>
  <c r="P3495" i="5"/>
  <c r="P3496" i="5"/>
  <c r="P3497" i="5"/>
  <c r="P3498" i="5"/>
  <c r="P3499" i="5"/>
  <c r="P3500" i="5"/>
  <c r="P3501" i="5"/>
  <c r="P3502" i="5"/>
  <c r="P3503" i="5"/>
  <c r="P3504" i="5"/>
  <c r="P3505" i="5"/>
  <c r="P3506" i="5"/>
  <c r="P3507" i="5"/>
  <c r="P3508" i="5"/>
  <c r="P3509" i="5"/>
  <c r="P3510" i="5"/>
  <c r="P3511" i="5"/>
  <c r="P3512" i="5"/>
  <c r="P3513" i="5"/>
  <c r="P3514" i="5"/>
  <c r="P3515" i="5"/>
  <c r="P3516" i="5"/>
  <c r="P3517" i="5"/>
  <c r="P3518" i="5"/>
  <c r="P3519" i="5"/>
  <c r="P3520" i="5"/>
  <c r="P3521" i="5"/>
  <c r="P3522" i="5"/>
  <c r="P3523" i="5"/>
  <c r="P3524" i="5"/>
  <c r="P3525" i="5"/>
  <c r="P3526" i="5"/>
  <c r="P3527" i="5"/>
  <c r="P3528" i="5"/>
  <c r="P3529" i="5"/>
  <c r="P3530" i="5"/>
  <c r="P3531" i="5"/>
  <c r="P3532" i="5"/>
  <c r="P3533" i="5"/>
  <c r="P3534" i="5"/>
  <c r="P3535" i="5"/>
  <c r="P3536" i="5"/>
  <c r="P3537" i="5"/>
  <c r="P3538" i="5"/>
  <c r="P3539" i="5"/>
  <c r="P3540" i="5"/>
  <c r="P3541" i="5"/>
  <c r="P3542" i="5"/>
  <c r="P3543" i="5"/>
  <c r="P3544" i="5"/>
  <c r="P3545" i="5"/>
  <c r="P3546" i="5"/>
  <c r="P3547" i="5"/>
  <c r="P3548" i="5"/>
  <c r="P3549" i="5"/>
  <c r="P3550" i="5"/>
  <c r="P3551" i="5"/>
  <c r="P3552" i="5"/>
  <c r="P3553" i="5"/>
  <c r="P3554" i="5"/>
  <c r="P3555" i="5"/>
  <c r="P3556" i="5"/>
  <c r="P3557" i="5"/>
  <c r="P3558" i="5"/>
  <c r="P3559" i="5"/>
  <c r="P3560" i="5"/>
  <c r="P3561" i="5"/>
  <c r="P3562" i="5"/>
  <c r="P3563" i="5"/>
  <c r="P3564" i="5"/>
  <c r="P3565" i="5"/>
  <c r="P3566" i="5"/>
  <c r="P3567" i="5"/>
  <c r="P3568" i="5"/>
  <c r="P3569" i="5"/>
  <c r="P3570" i="5"/>
  <c r="P3571" i="5"/>
  <c r="P3572" i="5"/>
  <c r="P3573" i="5"/>
  <c r="P3574" i="5"/>
  <c r="P3575" i="5"/>
  <c r="P3576" i="5"/>
  <c r="P3577" i="5"/>
  <c r="P3578" i="5"/>
  <c r="P3579" i="5"/>
  <c r="P3580" i="5"/>
  <c r="P3581" i="5"/>
  <c r="P3582" i="5"/>
  <c r="P3583" i="5"/>
  <c r="P3584" i="5"/>
  <c r="P3585" i="5"/>
  <c r="P3586" i="5"/>
  <c r="P3587" i="5"/>
  <c r="P3588" i="5"/>
  <c r="P3589" i="5"/>
  <c r="P3590" i="5"/>
  <c r="P3591" i="5"/>
  <c r="P3592" i="5"/>
  <c r="P3593" i="5"/>
  <c r="P3594" i="5"/>
  <c r="P3595" i="5"/>
  <c r="P3596" i="5"/>
  <c r="P3597" i="5"/>
  <c r="P3598" i="5"/>
  <c r="P3599" i="5"/>
  <c r="P3600" i="5"/>
  <c r="P3601" i="5"/>
  <c r="P3602" i="5"/>
  <c r="P3603" i="5"/>
  <c r="P3604" i="5"/>
  <c r="P3605" i="5"/>
  <c r="P3606" i="5"/>
  <c r="P3607" i="5"/>
  <c r="P3608" i="5"/>
  <c r="P3609" i="5"/>
  <c r="P3610" i="5"/>
  <c r="P3611" i="5"/>
  <c r="P3612" i="5"/>
  <c r="P3613" i="5"/>
  <c r="P3614" i="5"/>
  <c r="P3615" i="5"/>
  <c r="P3616" i="5"/>
  <c r="P3617" i="5"/>
  <c r="P3618" i="5"/>
  <c r="P3619" i="5"/>
  <c r="P3620" i="5"/>
  <c r="P3621" i="5"/>
  <c r="P3622" i="5"/>
  <c r="P3623" i="5"/>
  <c r="P3624" i="5"/>
  <c r="P3625" i="5"/>
  <c r="P3626" i="5"/>
  <c r="P3627" i="5"/>
  <c r="P3628" i="5"/>
  <c r="P3629" i="5"/>
  <c r="P3630" i="5"/>
  <c r="P3631" i="5"/>
  <c r="P3632" i="5"/>
  <c r="P3633" i="5"/>
  <c r="P3634" i="5"/>
  <c r="P3635" i="5"/>
  <c r="P3636" i="5"/>
  <c r="P3637" i="5"/>
  <c r="P3638" i="5"/>
  <c r="P3639" i="5"/>
  <c r="P3640" i="5"/>
  <c r="P3641" i="5"/>
  <c r="P3642" i="5"/>
  <c r="P3643" i="5"/>
  <c r="P3644" i="5"/>
  <c r="P3645" i="5"/>
  <c r="P3646" i="5"/>
  <c r="P3647" i="5"/>
  <c r="P3648" i="5"/>
  <c r="P3649" i="5"/>
  <c r="P3650" i="5"/>
  <c r="P3651" i="5"/>
  <c r="P3652" i="5"/>
  <c r="P3653" i="5"/>
  <c r="P3654" i="5"/>
  <c r="P3655" i="5"/>
  <c r="P3656" i="5"/>
  <c r="P3657" i="5"/>
  <c r="P3658" i="5"/>
  <c r="P3659" i="5"/>
  <c r="P3660" i="5"/>
  <c r="P3661" i="5"/>
  <c r="P3662" i="5"/>
  <c r="P3663" i="5"/>
  <c r="P3664" i="5"/>
  <c r="P3665" i="5"/>
  <c r="P3666" i="5"/>
  <c r="P3667" i="5"/>
  <c r="P3668" i="5"/>
  <c r="P3669" i="5"/>
  <c r="P3670" i="5"/>
  <c r="P3671" i="5"/>
  <c r="P3672" i="5"/>
  <c r="P3673" i="5"/>
  <c r="P3674" i="5"/>
  <c r="P3675" i="5"/>
  <c r="P3676" i="5"/>
  <c r="P3677" i="5"/>
  <c r="P3678" i="5"/>
  <c r="P3679" i="5"/>
  <c r="P3680" i="5"/>
  <c r="P3681" i="5"/>
  <c r="P3682" i="5"/>
  <c r="P3683" i="5"/>
  <c r="P3684" i="5"/>
  <c r="P3685" i="5"/>
  <c r="P3686" i="5"/>
  <c r="P3687" i="5"/>
  <c r="P3688" i="5"/>
  <c r="P3689" i="5"/>
  <c r="P3690" i="5"/>
  <c r="P3691" i="5"/>
  <c r="P3692" i="5"/>
  <c r="P3693" i="5"/>
  <c r="P3694" i="5"/>
  <c r="P3695" i="5"/>
  <c r="P3696" i="5"/>
  <c r="P3697" i="5"/>
  <c r="P3698" i="5"/>
  <c r="P3699" i="5"/>
  <c r="P3700" i="5"/>
  <c r="P3701" i="5"/>
  <c r="P3702" i="5"/>
  <c r="P3703" i="5"/>
  <c r="P3704" i="5"/>
  <c r="P3705" i="5"/>
  <c r="P3706" i="5"/>
  <c r="P3707" i="5"/>
  <c r="P3708" i="5"/>
  <c r="P3709" i="5"/>
  <c r="P3710" i="5"/>
  <c r="P3711" i="5"/>
  <c r="P3712" i="5"/>
  <c r="P3713" i="5"/>
  <c r="P3714" i="5"/>
  <c r="P3715" i="5"/>
  <c r="P3716" i="5"/>
  <c r="P3717" i="5"/>
  <c r="P3718" i="5"/>
  <c r="P3719" i="5"/>
  <c r="P3720" i="5"/>
  <c r="P3721" i="5"/>
  <c r="P3722" i="5"/>
  <c r="P3723" i="5"/>
  <c r="P3724" i="5"/>
  <c r="P3725" i="5"/>
  <c r="P3726" i="5"/>
  <c r="P3727" i="5"/>
  <c r="P3728" i="5"/>
  <c r="P3729" i="5"/>
  <c r="P3730" i="5"/>
  <c r="P3731" i="5"/>
  <c r="P3732" i="5"/>
  <c r="P3733" i="5"/>
  <c r="P3734" i="5"/>
  <c r="P3735" i="5"/>
  <c r="P3736" i="5"/>
  <c r="P3737" i="5"/>
  <c r="P3738" i="5"/>
  <c r="P3739" i="5"/>
  <c r="P3740" i="5"/>
  <c r="P3741" i="5"/>
  <c r="P3742" i="5"/>
  <c r="P3743" i="5"/>
  <c r="P3744" i="5"/>
  <c r="P3745" i="5"/>
  <c r="P3746" i="5"/>
  <c r="P3747" i="5"/>
  <c r="P3748" i="5"/>
  <c r="P3749" i="5"/>
  <c r="P3750" i="5"/>
  <c r="P3751" i="5"/>
  <c r="P3752" i="5"/>
  <c r="P3753" i="5"/>
  <c r="P3754" i="5"/>
  <c r="P3755" i="5"/>
  <c r="P3756" i="5"/>
  <c r="P3757" i="5"/>
  <c r="P3758" i="5"/>
  <c r="P3759" i="5"/>
  <c r="P3760" i="5"/>
  <c r="P3761" i="5"/>
  <c r="P3762" i="5"/>
  <c r="P3763" i="5"/>
  <c r="P3764" i="5"/>
  <c r="P3765" i="5"/>
  <c r="P3766" i="5"/>
  <c r="P3767" i="5"/>
  <c r="P3768" i="5"/>
  <c r="P3769" i="5"/>
  <c r="P3770" i="5"/>
  <c r="P3771" i="5"/>
  <c r="P3772" i="5"/>
  <c r="P3773" i="5"/>
  <c r="P3774" i="5"/>
  <c r="P3775" i="5"/>
  <c r="P3776" i="5"/>
  <c r="P3777" i="5"/>
  <c r="P3778" i="5"/>
  <c r="P3779" i="5"/>
  <c r="P3780" i="5"/>
  <c r="P3781" i="5"/>
  <c r="P3782" i="5"/>
  <c r="P3783" i="5"/>
  <c r="P3784" i="5"/>
  <c r="P3785" i="5"/>
  <c r="P3786" i="5"/>
  <c r="P3787" i="5"/>
  <c r="P3788" i="5"/>
  <c r="P3789" i="5"/>
  <c r="P3790" i="5"/>
  <c r="P3791" i="5"/>
  <c r="P3792" i="5"/>
  <c r="P3793" i="5"/>
  <c r="P3794" i="5"/>
  <c r="P3795" i="5"/>
  <c r="P3796" i="5"/>
  <c r="P3797" i="5"/>
  <c r="P3798" i="5"/>
  <c r="P3799" i="5"/>
  <c r="P3800" i="5"/>
  <c r="P3801" i="5"/>
  <c r="P3802" i="5"/>
  <c r="P3803" i="5"/>
  <c r="P3804" i="5"/>
  <c r="P3805" i="5"/>
  <c r="P3806" i="5"/>
  <c r="P3807" i="5"/>
  <c r="P3808" i="5"/>
  <c r="P3809" i="5"/>
  <c r="P3810" i="5"/>
  <c r="P3811" i="5"/>
  <c r="P3812" i="5"/>
  <c r="P3813" i="5"/>
  <c r="P3814" i="5"/>
  <c r="P3815" i="5"/>
  <c r="P3816" i="5"/>
  <c r="P3817" i="5"/>
  <c r="P3818" i="5"/>
  <c r="P3819" i="5"/>
  <c r="P3820" i="5"/>
  <c r="P3821" i="5"/>
  <c r="P3822" i="5"/>
  <c r="P3823" i="5"/>
  <c r="P3824" i="5"/>
  <c r="P3825" i="5"/>
  <c r="P3826" i="5"/>
  <c r="P3827" i="5"/>
  <c r="P3828" i="5"/>
  <c r="P3829" i="5"/>
  <c r="P3830" i="5"/>
  <c r="P3831" i="5"/>
  <c r="P3832" i="5"/>
  <c r="P3833" i="5"/>
  <c r="P3834" i="5"/>
  <c r="P3835" i="5"/>
  <c r="P3836" i="5"/>
  <c r="P3837" i="5"/>
  <c r="P3838" i="5"/>
  <c r="P3839" i="5"/>
  <c r="P3840" i="5"/>
  <c r="P3841" i="5"/>
  <c r="P3842" i="5"/>
  <c r="P3843" i="5"/>
  <c r="P3844" i="5"/>
  <c r="P3845" i="5"/>
  <c r="P3846" i="5"/>
  <c r="P3847" i="5"/>
  <c r="P3848" i="5"/>
  <c r="P3849" i="5"/>
  <c r="P3850" i="5"/>
  <c r="P3851" i="5"/>
  <c r="P3852" i="5"/>
  <c r="P3853" i="5"/>
  <c r="P3854" i="5"/>
  <c r="P3855" i="5"/>
  <c r="P3856" i="5"/>
  <c r="P3857" i="5"/>
  <c r="P3858" i="5"/>
  <c r="P3859" i="5"/>
  <c r="P3860" i="5"/>
  <c r="P3861" i="5"/>
  <c r="P3862" i="5"/>
  <c r="P3863" i="5"/>
  <c r="P3864" i="5"/>
  <c r="P3865" i="5"/>
  <c r="P3866" i="5"/>
  <c r="P3867" i="5"/>
  <c r="P3868" i="5"/>
  <c r="P3869" i="5"/>
  <c r="P3870" i="5"/>
  <c r="P3871" i="5"/>
  <c r="P3872" i="5"/>
  <c r="P3873" i="5"/>
  <c r="P3874" i="5"/>
  <c r="P3875" i="5"/>
  <c r="P3876" i="5"/>
  <c r="P2" i="5"/>
  <c r="F15" i="1"/>
  <c r="E3" i="1"/>
  <c r="U7" i="1"/>
  <c r="U8" i="1" s="1"/>
  <c r="U9" i="1" s="1"/>
  <c r="U10" i="1" s="1"/>
  <c r="U11" i="1" s="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U42" i="1" s="1"/>
  <c r="U43" i="1" s="1"/>
  <c r="U44" i="1" s="1"/>
  <c r="U45" i="1" s="1"/>
  <c r="U46" i="1" s="1"/>
  <c r="U47" i="1" s="1"/>
  <c r="U48" i="1" s="1"/>
  <c r="U49" i="1" s="1"/>
  <c r="U50" i="1" s="1"/>
  <c r="U51" i="1" s="1"/>
  <c r="U52" i="1" s="1"/>
  <c r="U53" i="1" s="1"/>
  <c r="U54" i="1" s="1"/>
  <c r="U55" i="1" s="1"/>
  <c r="U56" i="1" s="1"/>
  <c r="U57" i="1" s="1"/>
  <c r="U58" i="1" s="1"/>
  <c r="U59" i="1" s="1"/>
  <c r="U60" i="1" s="1"/>
  <c r="U61" i="1" s="1"/>
  <c r="U62" i="1" s="1"/>
  <c r="U63" i="1" s="1"/>
  <c r="U64" i="1" s="1"/>
  <c r="U65" i="1" s="1"/>
  <c r="U66" i="1" s="1"/>
  <c r="U67" i="1" s="1"/>
  <c r="U68" i="1" s="1"/>
  <c r="U69" i="1" s="1"/>
  <c r="U70" i="1" s="1"/>
  <c r="U71" i="1" s="1"/>
  <c r="U72" i="1" s="1"/>
  <c r="U73" i="1" s="1"/>
  <c r="U74" i="1" s="1"/>
  <c r="U75" i="1" s="1"/>
  <c r="U76" i="1" s="1"/>
  <c r="U77" i="1" s="1"/>
  <c r="U78" i="1" s="1"/>
  <c r="U79" i="1" s="1"/>
  <c r="U80" i="1" s="1"/>
  <c r="U81" i="1" s="1"/>
  <c r="U82" i="1" s="1"/>
  <c r="U83" i="1" s="1"/>
  <c r="U84" i="1" s="1"/>
  <c r="U85" i="1" s="1"/>
  <c r="U86" i="1" s="1"/>
  <c r="U87" i="1" s="1"/>
  <c r="U88" i="1" s="1"/>
  <c r="U89" i="1" s="1"/>
  <c r="U90" i="1" s="1"/>
  <c r="U91" i="1" s="1"/>
  <c r="U92" i="1" s="1"/>
  <c r="U93" i="1" s="1"/>
  <c r="U94" i="1" s="1"/>
  <c r="U95" i="1" s="1"/>
  <c r="U96" i="1" s="1"/>
  <c r="U97" i="1" s="1"/>
  <c r="U98" i="1" s="1"/>
  <c r="U99" i="1" s="1"/>
  <c r="U100" i="1" s="1"/>
  <c r="U101" i="1" s="1"/>
  <c r="U102" i="1" s="1"/>
  <c r="U103" i="1" s="1"/>
  <c r="U104" i="1" s="1"/>
  <c r="U105" i="1" s="1"/>
  <c r="U106" i="1" s="1"/>
  <c r="U107" i="1" s="1"/>
  <c r="U108" i="1" s="1"/>
  <c r="U109" i="1" s="1"/>
  <c r="U110" i="1" s="1"/>
  <c r="U111" i="1" s="1"/>
  <c r="U112" i="1" s="1"/>
  <c r="U113" i="1" s="1"/>
  <c r="U114" i="1" s="1"/>
  <c r="U115" i="1" s="1"/>
  <c r="U116" i="1" s="1"/>
  <c r="U117" i="1" s="1"/>
  <c r="U118" i="1" s="1"/>
  <c r="U119" i="1" s="1"/>
  <c r="U120" i="1" s="1"/>
  <c r="U121" i="1" s="1"/>
  <c r="U122" i="1" s="1"/>
  <c r="U123" i="1" s="1"/>
  <c r="U124" i="1" s="1"/>
  <c r="U125" i="1" s="1"/>
  <c r="U126" i="1" s="1"/>
  <c r="U127" i="1" s="1"/>
  <c r="U128" i="1" s="1"/>
  <c r="U129" i="1" s="1"/>
  <c r="U130" i="1" s="1"/>
  <c r="U131" i="1" s="1"/>
  <c r="U132" i="1" s="1"/>
  <c r="U133" i="1" s="1"/>
  <c r="U134" i="1" s="1"/>
  <c r="U135" i="1" s="1"/>
  <c r="U136" i="1" s="1"/>
  <c r="U137" i="1" s="1"/>
  <c r="U138" i="1" s="1"/>
  <c r="U139" i="1" s="1"/>
  <c r="U140" i="1" s="1"/>
  <c r="U141" i="1" s="1"/>
  <c r="U142" i="1" s="1"/>
  <c r="U143" i="1" s="1"/>
  <c r="U144" i="1" s="1"/>
  <c r="U145" i="1" s="1"/>
  <c r="U146" i="1" s="1"/>
  <c r="U147" i="1" s="1"/>
  <c r="U148" i="1" s="1"/>
  <c r="U149" i="1" s="1"/>
  <c r="U150" i="1" s="1"/>
  <c r="U151" i="1" s="1"/>
  <c r="U152" i="1" s="1"/>
  <c r="U153" i="1" s="1"/>
  <c r="U154" i="1" s="1"/>
  <c r="U155" i="1" s="1"/>
  <c r="U156" i="1" s="1"/>
  <c r="U157" i="1" s="1"/>
  <c r="U158" i="1" s="1"/>
  <c r="U159" i="1" s="1"/>
  <c r="U160" i="1" s="1"/>
  <c r="U161" i="1" s="1"/>
  <c r="U162" i="1" s="1"/>
  <c r="U163" i="1" s="1"/>
  <c r="U164" i="1" s="1"/>
  <c r="U165" i="1" s="1"/>
  <c r="U166" i="1" s="1"/>
  <c r="U167" i="1" s="1"/>
  <c r="U168" i="1" s="1"/>
  <c r="U169" i="1" s="1"/>
  <c r="U170" i="1" s="1"/>
  <c r="U171" i="1" s="1"/>
  <c r="U172" i="1" s="1"/>
  <c r="U173" i="1" s="1"/>
  <c r="U174" i="1" s="1"/>
  <c r="U175" i="1" s="1"/>
  <c r="U176" i="1" s="1"/>
  <c r="U177" i="1" s="1"/>
  <c r="U178" i="1" s="1"/>
  <c r="U179" i="1" s="1"/>
  <c r="U180" i="1" s="1"/>
  <c r="U181" i="1" s="1"/>
  <c r="U182" i="1" s="1"/>
  <c r="U183" i="1" s="1"/>
  <c r="U184" i="1" s="1"/>
  <c r="U185" i="1" s="1"/>
  <c r="U186" i="1" s="1"/>
  <c r="U187" i="1" s="1"/>
  <c r="U188" i="1" s="1"/>
  <c r="U189" i="1" s="1"/>
  <c r="U190" i="1" s="1"/>
  <c r="U191" i="1" s="1"/>
  <c r="U192" i="1" s="1"/>
  <c r="U193" i="1" s="1"/>
  <c r="U194" i="1" s="1"/>
  <c r="U195" i="1" s="1"/>
  <c r="U196" i="1" s="1"/>
  <c r="U197" i="1" s="1"/>
  <c r="U198" i="1" s="1"/>
  <c r="U199" i="1" s="1"/>
  <c r="U200" i="1" s="1"/>
  <c r="U201" i="1" s="1"/>
  <c r="U202" i="1" s="1"/>
  <c r="U203" i="1" s="1"/>
  <c r="U204" i="1" s="1"/>
  <c r="U205" i="1" s="1"/>
  <c r="U206" i="1" s="1"/>
  <c r="U207" i="1" s="1"/>
  <c r="U208" i="1" s="1"/>
  <c r="U209" i="1" s="1"/>
  <c r="U210" i="1" s="1"/>
  <c r="U211" i="1" s="1"/>
  <c r="U212" i="1" s="1"/>
  <c r="U213" i="1" s="1"/>
  <c r="U214" i="1" s="1"/>
  <c r="U215" i="1" s="1"/>
  <c r="U216" i="1" s="1"/>
  <c r="U217" i="1" s="1"/>
  <c r="U218" i="1" s="1"/>
  <c r="U219" i="1" s="1"/>
  <c r="U220" i="1" s="1"/>
  <c r="U221" i="1" s="1"/>
  <c r="U222" i="1" s="1"/>
  <c r="U223" i="1" s="1"/>
  <c r="U224" i="1" s="1"/>
  <c r="U225" i="1" s="1"/>
  <c r="U226" i="1" s="1"/>
  <c r="U227" i="1" s="1"/>
  <c r="U228" i="1" s="1"/>
  <c r="U229" i="1" s="1"/>
  <c r="U230" i="1" s="1"/>
  <c r="U231" i="1" s="1"/>
  <c r="U232" i="1" s="1"/>
  <c r="U233" i="1" s="1"/>
  <c r="U234" i="1" s="1"/>
  <c r="U235" i="1" s="1"/>
  <c r="U236" i="1" s="1"/>
  <c r="U237" i="1" s="1"/>
  <c r="U238" i="1" s="1"/>
  <c r="U239" i="1" s="1"/>
  <c r="U240" i="1" s="1"/>
  <c r="U241" i="1" s="1"/>
  <c r="U242" i="1" s="1"/>
  <c r="U243" i="1" s="1"/>
  <c r="U244" i="1" s="1"/>
  <c r="U245" i="1" s="1"/>
  <c r="U246" i="1" s="1"/>
  <c r="U247" i="1" s="1"/>
  <c r="U248" i="1" s="1"/>
  <c r="U249" i="1" s="1"/>
  <c r="U250" i="1" s="1"/>
  <c r="U251" i="1" s="1"/>
  <c r="U252" i="1" s="1"/>
  <c r="U253" i="1" s="1"/>
  <c r="U254" i="1" s="1"/>
  <c r="U255" i="1" s="1"/>
  <c r="U256" i="1" s="1"/>
  <c r="U257" i="1" s="1"/>
  <c r="U258" i="1" s="1"/>
  <c r="U259" i="1" s="1"/>
  <c r="U260" i="1" s="1"/>
  <c r="U261" i="1" s="1"/>
  <c r="U262" i="1" s="1"/>
  <c r="U263" i="1" s="1"/>
  <c r="U264" i="1" s="1"/>
  <c r="U265" i="1" s="1"/>
  <c r="U266" i="1" s="1"/>
  <c r="U267" i="1" s="1"/>
  <c r="U268" i="1" s="1"/>
  <c r="U269" i="1" s="1"/>
  <c r="U270" i="1" s="1"/>
  <c r="U271" i="1" s="1"/>
  <c r="U272" i="1" s="1"/>
  <c r="U273" i="1" s="1"/>
  <c r="U274" i="1" s="1"/>
  <c r="U275" i="1" s="1"/>
  <c r="U276" i="1" s="1"/>
  <c r="U277" i="1" s="1"/>
  <c r="U278" i="1" s="1"/>
  <c r="U279" i="1" s="1"/>
  <c r="U280" i="1" s="1"/>
  <c r="U281" i="1" s="1"/>
  <c r="U282" i="1" s="1"/>
  <c r="U283" i="1" s="1"/>
  <c r="U284" i="1" s="1"/>
  <c r="U285" i="1" s="1"/>
  <c r="U286" i="1" s="1"/>
  <c r="U287" i="1" s="1"/>
  <c r="U288" i="1" s="1"/>
  <c r="U289" i="1" s="1"/>
  <c r="U290" i="1" s="1"/>
  <c r="U291" i="1" s="1"/>
  <c r="U292" i="1" s="1"/>
  <c r="U293" i="1" s="1"/>
  <c r="U294" i="1" s="1"/>
  <c r="U295" i="1" s="1"/>
  <c r="U296" i="1" s="1"/>
  <c r="U297" i="1" s="1"/>
  <c r="U298" i="1" s="1"/>
  <c r="U299" i="1" s="1"/>
  <c r="U300" i="1" s="1"/>
  <c r="U301" i="1" s="1"/>
  <c r="U302" i="1" s="1"/>
  <c r="U303" i="1" s="1"/>
  <c r="U304" i="1" s="1"/>
  <c r="U305" i="1" s="1"/>
  <c r="U306" i="1" s="1"/>
  <c r="U307" i="1" s="1"/>
  <c r="U308" i="1" s="1"/>
  <c r="U309" i="1" s="1"/>
  <c r="U310" i="1" s="1"/>
  <c r="U311" i="1" s="1"/>
  <c r="U312" i="1" s="1"/>
  <c r="U313" i="1" s="1"/>
  <c r="U314" i="1" s="1"/>
  <c r="U315" i="1" s="1"/>
  <c r="U316" i="1" s="1"/>
  <c r="U317" i="1" s="1"/>
  <c r="U318" i="1" s="1"/>
  <c r="U319" i="1" s="1"/>
  <c r="U6" i="1"/>
  <c r="U5" i="1"/>
  <c r="U3" i="1"/>
  <c r="U4" i="1" s="1"/>
</calcChain>
</file>

<file path=xl/sharedStrings.xml><?xml version="1.0" encoding="utf-8"?>
<sst xmlns="http://schemas.openxmlformats.org/spreadsheetml/2006/main" count="8774" uniqueCount="8031">
  <si>
    <t>Email</t>
  </si>
  <si>
    <t>Stock</t>
  </si>
  <si>
    <t>CODE</t>
  </si>
  <si>
    <t>DESCRIPTION</t>
  </si>
  <si>
    <t>Description 1</t>
  </si>
  <si>
    <t>Description 2</t>
  </si>
  <si>
    <t>Description 3</t>
  </si>
  <si>
    <t>Description 4</t>
  </si>
  <si>
    <t>Description 5</t>
  </si>
  <si>
    <t>Description 6</t>
  </si>
  <si>
    <t>Description 7</t>
  </si>
  <si>
    <t>Description 8</t>
  </si>
  <si>
    <t>Description 9</t>
  </si>
  <si>
    <t>Description 10</t>
  </si>
  <si>
    <t>Description 11</t>
  </si>
  <si>
    <t>Description 12</t>
  </si>
  <si>
    <t>Description 13</t>
  </si>
  <si>
    <t>Description 14</t>
  </si>
  <si>
    <t>Description 15</t>
  </si>
  <si>
    <t>Description 16</t>
  </si>
  <si>
    <t>Description 17</t>
  </si>
  <si>
    <t>Description 18</t>
  </si>
  <si>
    <t>Description 19</t>
  </si>
  <si>
    <t>Description 20</t>
  </si>
  <si>
    <t>Description 21</t>
  </si>
  <si>
    <t>Description 22</t>
  </si>
  <si>
    <t>Description 23</t>
  </si>
  <si>
    <t>Description 24</t>
  </si>
  <si>
    <t>Description 25</t>
  </si>
  <si>
    <t>Description 26</t>
  </si>
  <si>
    <t>Description 27</t>
  </si>
  <si>
    <t>Description 28</t>
  </si>
  <si>
    <t>Description 29</t>
  </si>
  <si>
    <t>Description 30</t>
  </si>
  <si>
    <t>Description 31</t>
  </si>
  <si>
    <t>Description 32</t>
  </si>
  <si>
    <t>Description 33</t>
  </si>
  <si>
    <t>Description 34</t>
  </si>
  <si>
    <t>Description 35</t>
  </si>
  <si>
    <t>Description 36</t>
  </si>
  <si>
    <t>Description 37</t>
  </si>
  <si>
    <t>Description 38</t>
  </si>
  <si>
    <t>Description 39</t>
  </si>
  <si>
    <t>Description 40</t>
  </si>
  <si>
    <t>Description 41</t>
  </si>
  <si>
    <t>Description 42</t>
  </si>
  <si>
    <t>Description 43</t>
  </si>
  <si>
    <t>Description 44</t>
  </si>
  <si>
    <t>Description 45</t>
  </si>
  <si>
    <t>Description 46</t>
  </si>
  <si>
    <t>Description 47</t>
  </si>
  <si>
    <t>Description 48</t>
  </si>
  <si>
    <t>Description 49</t>
  </si>
  <si>
    <t>Description 50</t>
  </si>
  <si>
    <t>Description 51</t>
  </si>
  <si>
    <t>Description 52</t>
  </si>
  <si>
    <t>Description 53</t>
  </si>
  <si>
    <t>Description 54</t>
  </si>
  <si>
    <t>Description 55</t>
  </si>
  <si>
    <t>Description 56</t>
  </si>
  <si>
    <t>Description 57</t>
  </si>
  <si>
    <t>Description 58</t>
  </si>
  <si>
    <t>Description 59</t>
  </si>
  <si>
    <t>Description 60</t>
  </si>
  <si>
    <t>Description 61</t>
  </si>
  <si>
    <t>Description 62</t>
  </si>
  <si>
    <t>Description 63</t>
  </si>
  <si>
    <t>Description 64</t>
  </si>
  <si>
    <t>Description 65</t>
  </si>
  <si>
    <t>Description 66</t>
  </si>
  <si>
    <t>Description 67</t>
  </si>
  <si>
    <t>Description 68</t>
  </si>
  <si>
    <t>Description 69</t>
  </si>
  <si>
    <t>Description 70</t>
  </si>
  <si>
    <t>Description 71</t>
  </si>
  <si>
    <t>Description 72</t>
  </si>
  <si>
    <t>Description 73</t>
  </si>
  <si>
    <t>Description 74</t>
  </si>
  <si>
    <t>Description 75</t>
  </si>
  <si>
    <t>Description 76</t>
  </si>
  <si>
    <t>Description 77</t>
  </si>
  <si>
    <t>Description 78</t>
  </si>
  <si>
    <t>Description 79</t>
  </si>
  <si>
    <t>Description 80</t>
  </si>
  <si>
    <t>Description 81</t>
  </si>
  <si>
    <t>Description 82</t>
  </si>
  <si>
    <t>Description 83</t>
  </si>
  <si>
    <t>Description 84</t>
  </si>
  <si>
    <t>Description 85</t>
  </si>
  <si>
    <t>Description 86</t>
  </si>
  <si>
    <t>Description 87</t>
  </si>
  <si>
    <t>Description 88</t>
  </si>
  <si>
    <t>Description 89</t>
  </si>
  <si>
    <t>Description 90</t>
  </si>
  <si>
    <t>Description 91</t>
  </si>
  <si>
    <t>Description 92</t>
  </si>
  <si>
    <t>Description 93</t>
  </si>
  <si>
    <t>Description 94</t>
  </si>
  <si>
    <t>Description 95</t>
  </si>
  <si>
    <t>Description 96</t>
  </si>
  <si>
    <t>Description 97</t>
  </si>
  <si>
    <t>Description 98</t>
  </si>
  <si>
    <t>Description 99</t>
  </si>
  <si>
    <t>Description 100</t>
  </si>
  <si>
    <t>Description 101</t>
  </si>
  <si>
    <t>Description 102</t>
  </si>
  <si>
    <t>Description 103</t>
  </si>
  <si>
    <t>Description 104</t>
  </si>
  <si>
    <t>Description 105</t>
  </si>
  <si>
    <t>Description 106</t>
  </si>
  <si>
    <t>Description 107</t>
  </si>
  <si>
    <t>Description 108</t>
  </si>
  <si>
    <t>Description 109</t>
  </si>
  <si>
    <t>Description 110</t>
  </si>
  <si>
    <t>Description 111</t>
  </si>
  <si>
    <t>Description 112</t>
  </si>
  <si>
    <t>Description 113</t>
  </si>
  <si>
    <t>Description 114</t>
  </si>
  <si>
    <t>Description 115</t>
  </si>
  <si>
    <t>Description 116</t>
  </si>
  <si>
    <t>Description 117</t>
  </si>
  <si>
    <t>Description 118</t>
  </si>
  <si>
    <t>Description 119</t>
  </si>
  <si>
    <t>Description 120</t>
  </si>
  <si>
    <t>Description 121</t>
  </si>
  <si>
    <t>Description 122</t>
  </si>
  <si>
    <t>Description 123</t>
  </si>
  <si>
    <t>Description 124</t>
  </si>
  <si>
    <t>Description 125</t>
  </si>
  <si>
    <t>Description 126</t>
  </si>
  <si>
    <t>Description 127</t>
  </si>
  <si>
    <t>Description 128</t>
  </si>
  <si>
    <t>Description 129</t>
  </si>
  <si>
    <t>Description 130</t>
  </si>
  <si>
    <t>Description 131</t>
  </si>
  <si>
    <t>Description 132</t>
  </si>
  <si>
    <t>Description 133</t>
  </si>
  <si>
    <t>Description 134</t>
  </si>
  <si>
    <t>Description 135</t>
  </si>
  <si>
    <t>Description 136</t>
  </si>
  <si>
    <t>Description 137</t>
  </si>
  <si>
    <t>Description 138</t>
  </si>
  <si>
    <t>Description 139</t>
  </si>
  <si>
    <t>Description 140</t>
  </si>
  <si>
    <t>Description 141</t>
  </si>
  <si>
    <t>Description 142</t>
  </si>
  <si>
    <t>Description 143</t>
  </si>
  <si>
    <t>Description 144</t>
  </si>
  <si>
    <t>Description 145</t>
  </si>
  <si>
    <t>Description 146</t>
  </si>
  <si>
    <t>Description 147</t>
  </si>
  <si>
    <t>Description 148</t>
  </si>
  <si>
    <t>Description 149</t>
  </si>
  <si>
    <t>Description 150</t>
  </si>
  <si>
    <t>Description 151</t>
  </si>
  <si>
    <t>Description 152</t>
  </si>
  <si>
    <t>Description 153</t>
  </si>
  <si>
    <t>Description 154</t>
  </si>
  <si>
    <t>Description 155</t>
  </si>
  <si>
    <t>Description 156</t>
  </si>
  <si>
    <t>Description 157</t>
  </si>
  <si>
    <t>Description 158</t>
  </si>
  <si>
    <t>Description 159</t>
  </si>
  <si>
    <t>Description 160</t>
  </si>
  <si>
    <t>Description 161</t>
  </si>
  <si>
    <t>Description 162</t>
  </si>
  <si>
    <t>Description 163</t>
  </si>
  <si>
    <t>Description 164</t>
  </si>
  <si>
    <t>Description 165</t>
  </si>
  <si>
    <t>Description 166</t>
  </si>
  <si>
    <t>Description 167</t>
  </si>
  <si>
    <t>Description 168</t>
  </si>
  <si>
    <t>Description 169</t>
  </si>
  <si>
    <t>Description 170</t>
  </si>
  <si>
    <t>Description 171</t>
  </si>
  <si>
    <t>Description 172</t>
  </si>
  <si>
    <t>Description 173</t>
  </si>
  <si>
    <t>Description 174</t>
  </si>
  <si>
    <t>Description 175</t>
  </si>
  <si>
    <t>Description 176</t>
  </si>
  <si>
    <t>Description 177</t>
  </si>
  <si>
    <t>Description 178</t>
  </si>
  <si>
    <t>Description 179</t>
  </si>
  <si>
    <t>Description 180</t>
  </si>
  <si>
    <t>Description 181</t>
  </si>
  <si>
    <t>Description 182</t>
  </si>
  <si>
    <t>Description 183</t>
  </si>
  <si>
    <t>Description 184</t>
  </si>
  <si>
    <t>Description 185</t>
  </si>
  <si>
    <t>Description 186</t>
  </si>
  <si>
    <t>Description 187</t>
  </si>
  <si>
    <t>Description 188</t>
  </si>
  <si>
    <t>Description 189</t>
  </si>
  <si>
    <t>Description 190</t>
  </si>
  <si>
    <t>Description 191</t>
  </si>
  <si>
    <t>Description 192</t>
  </si>
  <si>
    <t>Description 193</t>
  </si>
  <si>
    <t>Description 194</t>
  </si>
  <si>
    <t>Description 195</t>
  </si>
  <si>
    <t>Description 196</t>
  </si>
  <si>
    <t>Description 197</t>
  </si>
  <si>
    <t>Description 198</t>
  </si>
  <si>
    <t>Description 199</t>
  </si>
  <si>
    <t>Description 200</t>
  </si>
  <si>
    <t>Description 201</t>
  </si>
  <si>
    <t>Description 202</t>
  </si>
  <si>
    <t>Description 203</t>
  </si>
  <si>
    <t>Description 204</t>
  </si>
  <si>
    <t>Description 205</t>
  </si>
  <si>
    <t>Description 206</t>
  </si>
  <si>
    <t>Description 207</t>
  </si>
  <si>
    <t>Description 208</t>
  </si>
  <si>
    <t>Description 209</t>
  </si>
  <si>
    <t>Description 210</t>
  </si>
  <si>
    <t>Description 211</t>
  </si>
  <si>
    <t>Description 212</t>
  </si>
  <si>
    <t>Description 213</t>
  </si>
  <si>
    <t>Description 214</t>
  </si>
  <si>
    <t>Description 215</t>
  </si>
  <si>
    <t>Description 216</t>
  </si>
  <si>
    <t>Description 217</t>
  </si>
  <si>
    <t>Description 218</t>
  </si>
  <si>
    <t>Description 219</t>
  </si>
  <si>
    <t>Description 220</t>
  </si>
  <si>
    <t>Description 221</t>
  </si>
  <si>
    <t>Description 222</t>
  </si>
  <si>
    <t>Description 223</t>
  </si>
  <si>
    <t>Description 224</t>
  </si>
  <si>
    <t>Description 225</t>
  </si>
  <si>
    <t>Description 226</t>
  </si>
  <si>
    <t>Description 227</t>
  </si>
  <si>
    <t>Description 228</t>
  </si>
  <si>
    <t>Description 229</t>
  </si>
  <si>
    <t>Description 230</t>
  </si>
  <si>
    <t>Description 231</t>
  </si>
  <si>
    <t>Description 232</t>
  </si>
  <si>
    <t>Description 233</t>
  </si>
  <si>
    <t>Description 234</t>
  </si>
  <si>
    <t>Description 235</t>
  </si>
  <si>
    <t>Description 236</t>
  </si>
  <si>
    <t>Description 237</t>
  </si>
  <si>
    <t>Description 238</t>
  </si>
  <si>
    <t>Description 239</t>
  </si>
  <si>
    <t>Description 240</t>
  </si>
  <si>
    <t>Description 241</t>
  </si>
  <si>
    <t>Description 242</t>
  </si>
  <si>
    <t>Description 243</t>
  </si>
  <si>
    <t>Description 244</t>
  </si>
  <si>
    <t>Description 245</t>
  </si>
  <si>
    <t>Description 246</t>
  </si>
  <si>
    <t>Description 247</t>
  </si>
  <si>
    <t>Description 248</t>
  </si>
  <si>
    <t>Description 249</t>
  </si>
  <si>
    <t>Description 250</t>
  </si>
  <si>
    <t>Description 251</t>
  </si>
  <si>
    <t>Description 252</t>
  </si>
  <si>
    <t>Description 253</t>
  </si>
  <si>
    <t>Description 254</t>
  </si>
  <si>
    <t>Description 255</t>
  </si>
  <si>
    <t>Description 256</t>
  </si>
  <si>
    <t>Description 257</t>
  </si>
  <si>
    <t>Description 258</t>
  </si>
  <si>
    <t>Description 259</t>
  </si>
  <si>
    <t>Description 260</t>
  </si>
  <si>
    <t>Description 261</t>
  </si>
  <si>
    <t>Description 262</t>
  </si>
  <si>
    <t>Description 263</t>
  </si>
  <si>
    <t>Description 264</t>
  </si>
  <si>
    <t>Description 265</t>
  </si>
  <si>
    <t>Description 266</t>
  </si>
  <si>
    <t>Description 267</t>
  </si>
  <si>
    <t>Description 268</t>
  </si>
  <si>
    <t>Description 269</t>
  </si>
  <si>
    <t>Description 270</t>
  </si>
  <si>
    <t>Description 271</t>
  </si>
  <si>
    <t>Description 272</t>
  </si>
  <si>
    <t>Description 273</t>
  </si>
  <si>
    <t>Description 274</t>
  </si>
  <si>
    <t>Description 275</t>
  </si>
  <si>
    <t>Description 276</t>
  </si>
  <si>
    <t>Description 277</t>
  </si>
  <si>
    <t>Description 278</t>
  </si>
  <si>
    <t>Description 279</t>
  </si>
  <si>
    <t>Description 280</t>
  </si>
  <si>
    <t>Description 281</t>
  </si>
  <si>
    <t>Description 282</t>
  </si>
  <si>
    <t>Description 283</t>
  </si>
  <si>
    <t>Description 284</t>
  </si>
  <si>
    <t>Description 285</t>
  </si>
  <si>
    <t>Description 286</t>
  </si>
  <si>
    <t>Description 287</t>
  </si>
  <si>
    <t>Description 288</t>
  </si>
  <si>
    <t>Description 289</t>
  </si>
  <si>
    <t>Description 290</t>
  </si>
  <si>
    <t>Description 291</t>
  </si>
  <si>
    <t>Description 292</t>
  </si>
  <si>
    <t>Description 293</t>
  </si>
  <si>
    <t>Description 294</t>
  </si>
  <si>
    <t>Description 295</t>
  </si>
  <si>
    <t>Description 296</t>
  </si>
  <si>
    <t>Description 297</t>
  </si>
  <si>
    <t>Description 298</t>
  </si>
  <si>
    <t>Description 299</t>
  </si>
  <si>
    <t>Description 300</t>
  </si>
  <si>
    <t>Description 301</t>
  </si>
  <si>
    <t>Description 302</t>
  </si>
  <si>
    <t>Description 303</t>
  </si>
  <si>
    <t>Description 304</t>
  </si>
  <si>
    <t>Description 305</t>
  </si>
  <si>
    <t>Description 306</t>
  </si>
  <si>
    <t>Description 307</t>
  </si>
  <si>
    <t>Description 308</t>
  </si>
  <si>
    <t>Description 309</t>
  </si>
  <si>
    <t>Description 310</t>
  </si>
  <si>
    <t>Description 311</t>
  </si>
  <si>
    <t>Description 312</t>
  </si>
  <si>
    <t>Description 313</t>
  </si>
  <si>
    <t>Description 314</t>
  </si>
  <si>
    <t>Description 315</t>
  </si>
  <si>
    <t>Description 316</t>
  </si>
  <si>
    <t>Description 317</t>
  </si>
  <si>
    <t>Description 318</t>
  </si>
  <si>
    <t>Description 319</t>
  </si>
  <si>
    <t>Description 320</t>
  </si>
  <si>
    <t>Description 321</t>
  </si>
  <si>
    <t>Description 322</t>
  </si>
  <si>
    <t>Description 323</t>
  </si>
  <si>
    <t>Description 324</t>
  </si>
  <si>
    <t>Description 325</t>
  </si>
  <si>
    <t>Description 326</t>
  </si>
  <si>
    <t>Description 327</t>
  </si>
  <si>
    <t>Description 328</t>
  </si>
  <si>
    <t>Description 329</t>
  </si>
  <si>
    <t>Description 330</t>
  </si>
  <si>
    <t>Description 331</t>
  </si>
  <si>
    <t>Description 332</t>
  </si>
  <si>
    <t>Description 333</t>
  </si>
  <si>
    <t>Description 334</t>
  </si>
  <si>
    <t>Description 335</t>
  </si>
  <si>
    <t>Description 336</t>
  </si>
  <si>
    <t>Description 337</t>
  </si>
  <si>
    <t>Description 338</t>
  </si>
  <si>
    <t>Description 339</t>
  </si>
  <si>
    <t>Description 340</t>
  </si>
  <si>
    <t>Description 341</t>
  </si>
  <si>
    <t>Description 342</t>
  </si>
  <si>
    <t>Description 343</t>
  </si>
  <si>
    <t>Description 344</t>
  </si>
  <si>
    <t>Description 345</t>
  </si>
  <si>
    <t>Description 346</t>
  </si>
  <si>
    <t>Description 347</t>
  </si>
  <si>
    <t>Description 348</t>
  </si>
  <si>
    <t>Description 349</t>
  </si>
  <si>
    <t>Description 350</t>
  </si>
  <si>
    <t>Description 351</t>
  </si>
  <si>
    <t>Description 352</t>
  </si>
  <si>
    <t>Description 353</t>
  </si>
  <si>
    <t>Description 354</t>
  </si>
  <si>
    <t>Description 355</t>
  </si>
  <si>
    <t>Description 356</t>
  </si>
  <si>
    <t>Description 357</t>
  </si>
  <si>
    <t>Description 358</t>
  </si>
  <si>
    <t>Description 359</t>
  </si>
  <si>
    <t>Description 360</t>
  </si>
  <si>
    <t>Description 361</t>
  </si>
  <si>
    <t>Description 362</t>
  </si>
  <si>
    <t>Description 363</t>
  </si>
  <si>
    <t>Description 364</t>
  </si>
  <si>
    <t>Description 365</t>
  </si>
  <si>
    <t>Description 366</t>
  </si>
  <si>
    <t>Description 367</t>
  </si>
  <si>
    <t>Description 368</t>
  </si>
  <si>
    <t>Description 369</t>
  </si>
  <si>
    <t>Description 370</t>
  </si>
  <si>
    <t>Description 371</t>
  </si>
  <si>
    <t>Description 372</t>
  </si>
  <si>
    <t>Description 373</t>
  </si>
  <si>
    <t>Description 374</t>
  </si>
  <si>
    <t>Description 375</t>
  </si>
  <si>
    <t>Description 376</t>
  </si>
  <si>
    <t>Description 377</t>
  </si>
  <si>
    <t>Description 378</t>
  </si>
  <si>
    <t>Description 379</t>
  </si>
  <si>
    <t>Description 380</t>
  </si>
  <si>
    <t>Description 381</t>
  </si>
  <si>
    <t>Description 382</t>
  </si>
  <si>
    <t>Description 383</t>
  </si>
  <si>
    <t>Description 384</t>
  </si>
  <si>
    <t>Description 385</t>
  </si>
  <si>
    <t>Description 386</t>
  </si>
  <si>
    <t>Description 387</t>
  </si>
  <si>
    <t>Description 388</t>
  </si>
  <si>
    <t>Description 389</t>
  </si>
  <si>
    <t>Description 390</t>
  </si>
  <si>
    <t>Description 391</t>
  </si>
  <si>
    <t>Description 392</t>
  </si>
  <si>
    <t>Description 393</t>
  </si>
  <si>
    <t>Description 394</t>
  </si>
  <si>
    <t>Description 395</t>
  </si>
  <si>
    <t>Description 396</t>
  </si>
  <si>
    <t>Description 397</t>
  </si>
  <si>
    <t>Description 398</t>
  </si>
  <si>
    <t>Description 399</t>
  </si>
  <si>
    <t>Description 400</t>
  </si>
  <si>
    <t>Description 401</t>
  </si>
  <si>
    <t>Description 402</t>
  </si>
  <si>
    <t>Description 403</t>
  </si>
  <si>
    <t>Description 404</t>
  </si>
  <si>
    <t>Description 405</t>
  </si>
  <si>
    <t>Description 406</t>
  </si>
  <si>
    <t>Description 407</t>
  </si>
  <si>
    <t>Description 408</t>
  </si>
  <si>
    <t>Description 409</t>
  </si>
  <si>
    <t>Description 410</t>
  </si>
  <si>
    <t>Description 411</t>
  </si>
  <si>
    <t>Description 412</t>
  </si>
  <si>
    <t>Description 413</t>
  </si>
  <si>
    <t>Description 414</t>
  </si>
  <si>
    <t>Description 415</t>
  </si>
  <si>
    <t>Description 416</t>
  </si>
  <si>
    <t>Description 417</t>
  </si>
  <si>
    <t>Description 418</t>
  </si>
  <si>
    <t>Description 419</t>
  </si>
  <si>
    <t>Description 420</t>
  </si>
  <si>
    <t>Description 421</t>
  </si>
  <si>
    <t>Description 422</t>
  </si>
  <si>
    <t>Description 423</t>
  </si>
  <si>
    <t>Description 424</t>
  </si>
  <si>
    <t>Description 425</t>
  </si>
  <si>
    <t>Description 426</t>
  </si>
  <si>
    <t>Description 427</t>
  </si>
  <si>
    <t>Description 428</t>
  </si>
  <si>
    <t>Description 429</t>
  </si>
  <si>
    <t>Description 430</t>
  </si>
  <si>
    <t>Description 431</t>
  </si>
  <si>
    <t>Description 432</t>
  </si>
  <si>
    <t>Description 433</t>
  </si>
  <si>
    <t>Description 434</t>
  </si>
  <si>
    <t>Description 435</t>
  </si>
  <si>
    <t>Description 436</t>
  </si>
  <si>
    <t>Description 437</t>
  </si>
  <si>
    <t>Description 438</t>
  </si>
  <si>
    <t>Description 439</t>
  </si>
  <si>
    <t>Description 440</t>
  </si>
  <si>
    <t>Description 441</t>
  </si>
  <si>
    <t>Description 442</t>
  </si>
  <si>
    <t>Description 443</t>
  </si>
  <si>
    <t>Description 444</t>
  </si>
  <si>
    <t>Description 445</t>
  </si>
  <si>
    <t>Description 446</t>
  </si>
  <si>
    <t>Description 447</t>
  </si>
  <si>
    <t>Description 448</t>
  </si>
  <si>
    <t>Description 449</t>
  </si>
  <si>
    <t>Description 450</t>
  </si>
  <si>
    <t>Description 451</t>
  </si>
  <si>
    <t>Description 452</t>
  </si>
  <si>
    <t>Description 453</t>
  </si>
  <si>
    <t>Description 454</t>
  </si>
  <si>
    <t>Description 455</t>
  </si>
  <si>
    <t>Description 456</t>
  </si>
  <si>
    <t>Description 457</t>
  </si>
  <si>
    <t>Description 458</t>
  </si>
  <si>
    <t>Description 459</t>
  </si>
  <si>
    <t>Description 460</t>
  </si>
  <si>
    <t>Description 461</t>
  </si>
  <si>
    <t>Description 462</t>
  </si>
  <si>
    <t>Description 463</t>
  </si>
  <si>
    <t>Description 464</t>
  </si>
  <si>
    <t>Description 465</t>
  </si>
  <si>
    <t>Description 466</t>
  </si>
  <si>
    <t>Description 467</t>
  </si>
  <si>
    <t>Description 468</t>
  </si>
  <si>
    <t>Description 469</t>
  </si>
  <si>
    <t>Description 470</t>
  </si>
  <si>
    <t>Description 471</t>
  </si>
  <si>
    <t>Description 472</t>
  </si>
  <si>
    <t>Description 473</t>
  </si>
  <si>
    <t>Description 474</t>
  </si>
  <si>
    <t>Description 475</t>
  </si>
  <si>
    <t>Description 476</t>
  </si>
  <si>
    <t>Description 477</t>
  </si>
  <si>
    <t>Description 478</t>
  </si>
  <si>
    <t>Description 479</t>
  </si>
  <si>
    <t>Description 480</t>
  </si>
  <si>
    <t>Description 481</t>
  </si>
  <si>
    <t>Description 482</t>
  </si>
  <si>
    <t>Description 483</t>
  </si>
  <si>
    <t>Description 484</t>
  </si>
  <si>
    <t>Description 485</t>
  </si>
  <si>
    <t>Description 486</t>
  </si>
  <si>
    <t>Description 487</t>
  </si>
  <si>
    <t>Description 488</t>
  </si>
  <si>
    <t>Description 489</t>
  </si>
  <si>
    <t>Description 490</t>
  </si>
  <si>
    <t>Description 491</t>
  </si>
  <si>
    <t>Description 492</t>
  </si>
  <si>
    <t>Description 493</t>
  </si>
  <si>
    <t>Description 494</t>
  </si>
  <si>
    <t>Description 495</t>
  </si>
  <si>
    <t>Description 496</t>
  </si>
  <si>
    <t>Description 497</t>
  </si>
  <si>
    <t>Description 498</t>
  </si>
  <si>
    <t>Description 499</t>
  </si>
  <si>
    <t>Description 500</t>
  </si>
  <si>
    <t>Description 501</t>
  </si>
  <si>
    <t>Description 502</t>
  </si>
  <si>
    <t>Description 503</t>
  </si>
  <si>
    <t>Description 504</t>
  </si>
  <si>
    <t>Description 505</t>
  </si>
  <si>
    <t>Description 506</t>
  </si>
  <si>
    <t>Description 507</t>
  </si>
  <si>
    <t>Description 508</t>
  </si>
  <si>
    <t>Description 509</t>
  </si>
  <si>
    <t>Description 510</t>
  </si>
  <si>
    <t>Description 511</t>
  </si>
  <si>
    <t>Description 512</t>
  </si>
  <si>
    <t>Description 513</t>
  </si>
  <si>
    <t>Description 514</t>
  </si>
  <si>
    <t>Description 515</t>
  </si>
  <si>
    <t>Description 516</t>
  </si>
  <si>
    <t>Description 517</t>
  </si>
  <si>
    <t>Description 518</t>
  </si>
  <si>
    <t>Description 519</t>
  </si>
  <si>
    <t>Description 520</t>
  </si>
  <si>
    <t>Description 521</t>
  </si>
  <si>
    <t>Description 522</t>
  </si>
  <si>
    <t>Description 523</t>
  </si>
  <si>
    <t>Description 524</t>
  </si>
  <si>
    <t>Description 525</t>
  </si>
  <si>
    <t>Description 526</t>
  </si>
  <si>
    <t>Description 527</t>
  </si>
  <si>
    <t>Description 528</t>
  </si>
  <si>
    <t>Description 529</t>
  </si>
  <si>
    <t>Description 530</t>
  </si>
  <si>
    <t>Description 531</t>
  </si>
  <si>
    <t>Description 532</t>
  </si>
  <si>
    <t>Description 533</t>
  </si>
  <si>
    <t>Description 534</t>
  </si>
  <si>
    <t>Description 535</t>
  </si>
  <si>
    <t>Description 536</t>
  </si>
  <si>
    <t>Description 537</t>
  </si>
  <si>
    <t>Description 538</t>
  </si>
  <si>
    <t>Description 539</t>
  </si>
  <si>
    <t>Description 540</t>
  </si>
  <si>
    <t>Description 541</t>
  </si>
  <si>
    <t>Description 542</t>
  </si>
  <si>
    <t>Description 543</t>
  </si>
  <si>
    <t>Description 544</t>
  </si>
  <si>
    <t>Description 545</t>
  </si>
  <si>
    <t>Description 546</t>
  </si>
  <si>
    <t>Description 547</t>
  </si>
  <si>
    <t>Description 548</t>
  </si>
  <si>
    <t>Description 549</t>
  </si>
  <si>
    <t>Description 550</t>
  </si>
  <si>
    <t>Description 551</t>
  </si>
  <si>
    <t>Description 552</t>
  </si>
  <si>
    <t>Description 553</t>
  </si>
  <si>
    <t>Description 554</t>
  </si>
  <si>
    <t>Description 555</t>
  </si>
  <si>
    <t>Description 556</t>
  </si>
  <si>
    <t>Description 557</t>
  </si>
  <si>
    <t>Description 558</t>
  </si>
  <si>
    <t>Description 559</t>
  </si>
  <si>
    <t>Description 560</t>
  </si>
  <si>
    <t>Description 561</t>
  </si>
  <si>
    <t>Description 562</t>
  </si>
  <si>
    <t>Description 563</t>
  </si>
  <si>
    <t>Description 564</t>
  </si>
  <si>
    <t>Description 565</t>
  </si>
  <si>
    <t>Description 566</t>
  </si>
  <si>
    <t>Description 567</t>
  </si>
  <si>
    <t>Description 568</t>
  </si>
  <si>
    <t>Description 569</t>
  </si>
  <si>
    <t>Description 570</t>
  </si>
  <si>
    <t>Description 571</t>
  </si>
  <si>
    <t>Description 572</t>
  </si>
  <si>
    <t>Description 573</t>
  </si>
  <si>
    <t>Description 574</t>
  </si>
  <si>
    <t>Description 575</t>
  </si>
  <si>
    <t>Description 576</t>
  </si>
  <si>
    <t>Description 577</t>
  </si>
  <si>
    <t>Description 578</t>
  </si>
  <si>
    <t>Description 579</t>
  </si>
  <si>
    <t>Description 580</t>
  </si>
  <si>
    <t>Description 581</t>
  </si>
  <si>
    <t>Description 582</t>
  </si>
  <si>
    <t>Description 583</t>
  </si>
  <si>
    <t>Description 584</t>
  </si>
  <si>
    <t>Description 585</t>
  </si>
  <si>
    <t>Description 586</t>
  </si>
  <si>
    <t>Description 587</t>
  </si>
  <si>
    <t>Description 588</t>
  </si>
  <si>
    <t>Description 589</t>
  </si>
  <si>
    <t>Description 590</t>
  </si>
  <si>
    <t>Description 591</t>
  </si>
  <si>
    <t>Description 592</t>
  </si>
  <si>
    <t>Description 593</t>
  </si>
  <si>
    <t>Description 594</t>
  </si>
  <si>
    <t>Description 595</t>
  </si>
  <si>
    <t>Description 596</t>
  </si>
  <si>
    <t>Description 597</t>
  </si>
  <si>
    <t>Description 598</t>
  </si>
  <si>
    <t>Description 599</t>
  </si>
  <si>
    <t>Description 600</t>
  </si>
  <si>
    <t>Description 601</t>
  </si>
  <si>
    <t>Description 602</t>
  </si>
  <si>
    <t>Description 603</t>
  </si>
  <si>
    <t>Description 604</t>
  </si>
  <si>
    <t>Description 605</t>
  </si>
  <si>
    <t>Description 606</t>
  </si>
  <si>
    <t>Description 607</t>
  </si>
  <si>
    <t>Description 608</t>
  </si>
  <si>
    <t>Description 609</t>
  </si>
  <si>
    <t>Description 610</t>
  </si>
  <si>
    <t>Description 611</t>
  </si>
  <si>
    <t>Description 612</t>
  </si>
  <si>
    <t>Description 613</t>
  </si>
  <si>
    <t>Description 614</t>
  </si>
  <si>
    <t>Description 615</t>
  </si>
  <si>
    <t>Description 616</t>
  </si>
  <si>
    <t>Description 617</t>
  </si>
  <si>
    <t>Description 618</t>
  </si>
  <si>
    <t>Description 619</t>
  </si>
  <si>
    <t>Description 620</t>
  </si>
  <si>
    <t>Description 621</t>
  </si>
  <si>
    <t>Description 622</t>
  </si>
  <si>
    <t>Description 623</t>
  </si>
  <si>
    <t>Description 624</t>
  </si>
  <si>
    <t>Description 625</t>
  </si>
  <si>
    <t>Description 626</t>
  </si>
  <si>
    <t>Description 627</t>
  </si>
  <si>
    <t>Description 628</t>
  </si>
  <si>
    <t>Description 629</t>
  </si>
  <si>
    <t>Description 630</t>
  </si>
  <si>
    <t>Description 631</t>
  </si>
  <si>
    <t>Description 632</t>
  </si>
  <si>
    <t>Description 633</t>
  </si>
  <si>
    <t>Description 634</t>
  </si>
  <si>
    <t>Description 635</t>
  </si>
  <si>
    <t>Description 636</t>
  </si>
  <si>
    <t>Description 637</t>
  </si>
  <si>
    <t>Description 638</t>
  </si>
  <si>
    <t>Description 639</t>
  </si>
  <si>
    <t>Description 640</t>
  </si>
  <si>
    <t>Description 641</t>
  </si>
  <si>
    <t>Description 642</t>
  </si>
  <si>
    <t>Description 643</t>
  </si>
  <si>
    <t>Description 644</t>
  </si>
  <si>
    <t>Description 645</t>
  </si>
  <si>
    <t>Description 646</t>
  </si>
  <si>
    <t>Description 647</t>
  </si>
  <si>
    <t>Description 648</t>
  </si>
  <si>
    <t>Description 649</t>
  </si>
  <si>
    <t>Description 650</t>
  </si>
  <si>
    <t>Description 651</t>
  </si>
  <si>
    <t>Description 652</t>
  </si>
  <si>
    <t>Description 653</t>
  </si>
  <si>
    <t>Description 654</t>
  </si>
  <si>
    <t>Description 655</t>
  </si>
  <si>
    <t>Description 656</t>
  </si>
  <si>
    <t>Description 657</t>
  </si>
  <si>
    <t>Description 658</t>
  </si>
  <si>
    <t>Description 659</t>
  </si>
  <si>
    <t>Description 660</t>
  </si>
  <si>
    <t>Description 661</t>
  </si>
  <si>
    <t>Description 662</t>
  </si>
  <si>
    <t>Description 663</t>
  </si>
  <si>
    <t>Description 664</t>
  </si>
  <si>
    <t>Description 665</t>
  </si>
  <si>
    <t>Description 666</t>
  </si>
  <si>
    <t>Description 667</t>
  </si>
  <si>
    <t>Description 668</t>
  </si>
  <si>
    <t>Description 669</t>
  </si>
  <si>
    <t>Description 670</t>
  </si>
  <si>
    <t>Description 671</t>
  </si>
  <si>
    <t>Description 672</t>
  </si>
  <si>
    <t>Description 673</t>
  </si>
  <si>
    <t>Description 674</t>
  </si>
  <si>
    <t>Description 675</t>
  </si>
  <si>
    <t>Description 676</t>
  </si>
  <si>
    <t>Description 677</t>
  </si>
  <si>
    <t>Description 678</t>
  </si>
  <si>
    <t>Description 679</t>
  </si>
  <si>
    <t>Description 680</t>
  </si>
  <si>
    <t>Description 681</t>
  </si>
  <si>
    <t>Description 682</t>
  </si>
  <si>
    <t>Description 683</t>
  </si>
  <si>
    <t>Description 684</t>
  </si>
  <si>
    <t>Description 685</t>
  </si>
  <si>
    <t>Description 686</t>
  </si>
  <si>
    <t>Description 687</t>
  </si>
  <si>
    <t>Description 688</t>
  </si>
  <si>
    <t>Description 689</t>
  </si>
  <si>
    <t>Description 690</t>
  </si>
  <si>
    <t>Description 691</t>
  </si>
  <si>
    <t>Description 692</t>
  </si>
  <si>
    <t>Description 693</t>
  </si>
  <si>
    <t>Description 694</t>
  </si>
  <si>
    <t>Description 695</t>
  </si>
  <si>
    <t>Description 696</t>
  </si>
  <si>
    <t>Description 697</t>
  </si>
  <si>
    <t>Description 698</t>
  </si>
  <si>
    <t>Description 699</t>
  </si>
  <si>
    <t>Description 700</t>
  </si>
  <si>
    <t>Description 701</t>
  </si>
  <si>
    <t>Description 702</t>
  </si>
  <si>
    <t>Description 703</t>
  </si>
  <si>
    <t>Description 704</t>
  </si>
  <si>
    <t>Description 705</t>
  </si>
  <si>
    <t>Description 706</t>
  </si>
  <si>
    <t>Description 707</t>
  </si>
  <si>
    <t>Description 708</t>
  </si>
  <si>
    <t>Description 709</t>
  </si>
  <si>
    <t>Description 710</t>
  </si>
  <si>
    <t>Description 711</t>
  </si>
  <si>
    <t>Description 712</t>
  </si>
  <si>
    <t>Description 713</t>
  </si>
  <si>
    <t>Description 714</t>
  </si>
  <si>
    <t>Description 715</t>
  </si>
  <si>
    <t>Description 716</t>
  </si>
  <si>
    <t>Description 717</t>
  </si>
  <si>
    <t>Description 718</t>
  </si>
  <si>
    <t>Description 719</t>
  </si>
  <si>
    <t>Description 720</t>
  </si>
  <si>
    <t>Description 721</t>
  </si>
  <si>
    <t>Description 722</t>
  </si>
  <si>
    <t>Description 723</t>
  </si>
  <si>
    <t>Description 724</t>
  </si>
  <si>
    <t>Description 725</t>
  </si>
  <si>
    <t>Description 726</t>
  </si>
  <si>
    <t>Description 727</t>
  </si>
  <si>
    <t>Description 728</t>
  </si>
  <si>
    <t>Description 729</t>
  </si>
  <si>
    <t>Description 730</t>
  </si>
  <si>
    <t>Description 731</t>
  </si>
  <si>
    <t>Description 732</t>
  </si>
  <si>
    <t>Description 733</t>
  </si>
  <si>
    <t>Description 734</t>
  </si>
  <si>
    <t>Description 735</t>
  </si>
  <si>
    <t>Description 736</t>
  </si>
  <si>
    <t>Description 737</t>
  </si>
  <si>
    <t>Description 738</t>
  </si>
  <si>
    <t>Description 739</t>
  </si>
  <si>
    <t>Description 740</t>
  </si>
  <si>
    <t>Description 741</t>
  </si>
  <si>
    <t>Description 742</t>
  </si>
  <si>
    <t>Description 743</t>
  </si>
  <si>
    <t>Description 744</t>
  </si>
  <si>
    <t>Description 745</t>
  </si>
  <si>
    <t>Description 746</t>
  </si>
  <si>
    <t>Description 747</t>
  </si>
  <si>
    <t>Description 748</t>
  </si>
  <si>
    <t>Description 749</t>
  </si>
  <si>
    <t>Description 750</t>
  </si>
  <si>
    <t>Description 751</t>
  </si>
  <si>
    <t>Description 752</t>
  </si>
  <si>
    <t>Description 753</t>
  </si>
  <si>
    <t>Description 754</t>
  </si>
  <si>
    <t>Description 755</t>
  </si>
  <si>
    <t>Description 756</t>
  </si>
  <si>
    <t>Description 757</t>
  </si>
  <si>
    <t>Description 758</t>
  </si>
  <si>
    <t>Description 759</t>
  </si>
  <si>
    <t>Description 760</t>
  </si>
  <si>
    <t>Description 761</t>
  </si>
  <si>
    <t>Description 762</t>
  </si>
  <si>
    <t>Description 763</t>
  </si>
  <si>
    <t>Description 764</t>
  </si>
  <si>
    <t>Description 765</t>
  </si>
  <si>
    <t>Description 766</t>
  </si>
  <si>
    <t>Description 767</t>
  </si>
  <si>
    <t>Description 768</t>
  </si>
  <si>
    <t>Description 769</t>
  </si>
  <si>
    <t>Description 770</t>
  </si>
  <si>
    <t>Description 771</t>
  </si>
  <si>
    <t>Description 772</t>
  </si>
  <si>
    <t>Description 773</t>
  </si>
  <si>
    <t>Description 774</t>
  </si>
  <si>
    <t>Description 775</t>
  </si>
  <si>
    <t>Description 776</t>
  </si>
  <si>
    <t>Description 777</t>
  </si>
  <si>
    <t>Description 778</t>
  </si>
  <si>
    <t>Description 779</t>
  </si>
  <si>
    <t>Description 780</t>
  </si>
  <si>
    <t>Description 781</t>
  </si>
  <si>
    <t>Description 782</t>
  </si>
  <si>
    <t>Description 783</t>
  </si>
  <si>
    <t>Description 784</t>
  </si>
  <si>
    <t>Description 785</t>
  </si>
  <si>
    <t>Description 786</t>
  </si>
  <si>
    <t>Description 787</t>
  </si>
  <si>
    <t>Description 788</t>
  </si>
  <si>
    <t>Description 789</t>
  </si>
  <si>
    <t>Description 790</t>
  </si>
  <si>
    <t>Description 791</t>
  </si>
  <si>
    <t>Description 792</t>
  </si>
  <si>
    <t>Description 793</t>
  </si>
  <si>
    <t>Description 794</t>
  </si>
  <si>
    <t>Description 795</t>
  </si>
  <si>
    <t>Description 796</t>
  </si>
  <si>
    <t>Description 797</t>
  </si>
  <si>
    <t>Description 798</t>
  </si>
  <si>
    <t>Description 799</t>
  </si>
  <si>
    <t>Description 800</t>
  </si>
  <si>
    <t>Description 801</t>
  </si>
  <si>
    <t>Description 802</t>
  </si>
  <si>
    <t>Description 803</t>
  </si>
  <si>
    <t>Description 804</t>
  </si>
  <si>
    <t>Description 805</t>
  </si>
  <si>
    <t>Description 806</t>
  </si>
  <si>
    <t>Description 807</t>
  </si>
  <si>
    <t>Description 808</t>
  </si>
  <si>
    <t>Description 809</t>
  </si>
  <si>
    <t>Description 810</t>
  </si>
  <si>
    <t>Description 811</t>
  </si>
  <si>
    <t>Description 812</t>
  </si>
  <si>
    <t>Description 813</t>
  </si>
  <si>
    <t>Description 814</t>
  </si>
  <si>
    <t>Description 815</t>
  </si>
  <si>
    <t>Description 816</t>
  </si>
  <si>
    <t>Description 817</t>
  </si>
  <si>
    <t>Description 818</t>
  </si>
  <si>
    <t>Description 819</t>
  </si>
  <si>
    <t>Description 820</t>
  </si>
  <si>
    <t>Description 821</t>
  </si>
  <si>
    <t>Description 822</t>
  </si>
  <si>
    <t>Description 823</t>
  </si>
  <si>
    <t>Description 824</t>
  </si>
  <si>
    <t>Description 825</t>
  </si>
  <si>
    <t>Description 826</t>
  </si>
  <si>
    <t>Description 827</t>
  </si>
  <si>
    <t>Description 828</t>
  </si>
  <si>
    <t>Description 829</t>
  </si>
  <si>
    <t>Description 830</t>
  </si>
  <si>
    <t>Description 831</t>
  </si>
  <si>
    <t>Description 832</t>
  </si>
  <si>
    <t>Description 833</t>
  </si>
  <si>
    <t>Description 834</t>
  </si>
  <si>
    <t>Description 835</t>
  </si>
  <si>
    <t>Description 836</t>
  </si>
  <si>
    <t>Description 837</t>
  </si>
  <si>
    <t>Description 838</t>
  </si>
  <si>
    <t>Description 839</t>
  </si>
  <si>
    <t>Description 840</t>
  </si>
  <si>
    <t>Description 841</t>
  </si>
  <si>
    <t>Description 842</t>
  </si>
  <si>
    <t>Description 843</t>
  </si>
  <si>
    <t>Description 844</t>
  </si>
  <si>
    <t>Description 845</t>
  </si>
  <si>
    <t>Description 846</t>
  </si>
  <si>
    <t>Description 847</t>
  </si>
  <si>
    <t>Description 848</t>
  </si>
  <si>
    <t>Description 849</t>
  </si>
  <si>
    <t>Description 850</t>
  </si>
  <si>
    <t>Description 851</t>
  </si>
  <si>
    <t>Description 852</t>
  </si>
  <si>
    <t>Description 853</t>
  </si>
  <si>
    <t>Description 854</t>
  </si>
  <si>
    <t>Description 855</t>
  </si>
  <si>
    <t>Description 856</t>
  </si>
  <si>
    <t>Description 857</t>
  </si>
  <si>
    <t>Description 858</t>
  </si>
  <si>
    <t>Description 859</t>
  </si>
  <si>
    <t>Description 860</t>
  </si>
  <si>
    <t>Description 861</t>
  </si>
  <si>
    <t>Description 862</t>
  </si>
  <si>
    <t>Description 863</t>
  </si>
  <si>
    <t>Description 864</t>
  </si>
  <si>
    <t>Description 865</t>
  </si>
  <si>
    <t>Description 866</t>
  </si>
  <si>
    <t>Description 867</t>
  </si>
  <si>
    <t>Description 868</t>
  </si>
  <si>
    <t>Description 869</t>
  </si>
  <si>
    <t>Description 870</t>
  </si>
  <si>
    <t>Description 871</t>
  </si>
  <si>
    <t>Description 872</t>
  </si>
  <si>
    <t>Description 873</t>
  </si>
  <si>
    <t>Description 874</t>
  </si>
  <si>
    <t>Description 875</t>
  </si>
  <si>
    <t>Description 876</t>
  </si>
  <si>
    <t>Description 877</t>
  </si>
  <si>
    <t>Description 878</t>
  </si>
  <si>
    <t>Description 879</t>
  </si>
  <si>
    <t>Description 880</t>
  </si>
  <si>
    <t>Description 881</t>
  </si>
  <si>
    <t>Description 882</t>
  </si>
  <si>
    <t>Description 883</t>
  </si>
  <si>
    <t>Description 884</t>
  </si>
  <si>
    <t>Description 885</t>
  </si>
  <si>
    <t>Description 886</t>
  </si>
  <si>
    <t>Description 887</t>
  </si>
  <si>
    <t>Description 888</t>
  </si>
  <si>
    <t>Description 889</t>
  </si>
  <si>
    <t>Description 890</t>
  </si>
  <si>
    <t>Description 891</t>
  </si>
  <si>
    <t>Description 892</t>
  </si>
  <si>
    <t>Description 893</t>
  </si>
  <si>
    <t>Description 894</t>
  </si>
  <si>
    <t>Description 895</t>
  </si>
  <si>
    <t>Description 896</t>
  </si>
  <si>
    <t>Description 897</t>
  </si>
  <si>
    <t>Description 898</t>
  </si>
  <si>
    <t>Description 899</t>
  </si>
  <si>
    <t>Description 900</t>
  </si>
  <si>
    <t>Description 901</t>
  </si>
  <si>
    <t>Description 902</t>
  </si>
  <si>
    <t>Description 903</t>
  </si>
  <si>
    <t>Description 904</t>
  </si>
  <si>
    <t>Description 905</t>
  </si>
  <si>
    <t>Description 906</t>
  </si>
  <si>
    <t>Description 907</t>
  </si>
  <si>
    <t>Description 908</t>
  </si>
  <si>
    <t>Description 909</t>
  </si>
  <si>
    <t>Description 910</t>
  </si>
  <si>
    <t>Description 911</t>
  </si>
  <si>
    <t>Description 912</t>
  </si>
  <si>
    <t>Description 913</t>
  </si>
  <si>
    <t>Description 914</t>
  </si>
  <si>
    <t>Description 915</t>
  </si>
  <si>
    <t>Description 916</t>
  </si>
  <si>
    <t>Description 917</t>
  </si>
  <si>
    <t>Description 918</t>
  </si>
  <si>
    <t>Description 919</t>
  </si>
  <si>
    <t>Description 920</t>
  </si>
  <si>
    <t>Description 921</t>
  </si>
  <si>
    <t>Description 922</t>
  </si>
  <si>
    <t>Description 923</t>
  </si>
  <si>
    <t>Description 924</t>
  </si>
  <si>
    <t>Description 925</t>
  </si>
  <si>
    <t>Description 926</t>
  </si>
  <si>
    <t>Description 927</t>
  </si>
  <si>
    <t>Description 928</t>
  </si>
  <si>
    <t>Description 929</t>
  </si>
  <si>
    <t>Description 930</t>
  </si>
  <si>
    <t>Description 931</t>
  </si>
  <si>
    <t>Description 932</t>
  </si>
  <si>
    <t>Description 933</t>
  </si>
  <si>
    <t>Description 934</t>
  </si>
  <si>
    <t>Description 935</t>
  </si>
  <si>
    <t>Description 936</t>
  </si>
  <si>
    <t>Description 937</t>
  </si>
  <si>
    <t>Description 938</t>
  </si>
  <si>
    <t>Description 939</t>
  </si>
  <si>
    <t>Description 940</t>
  </si>
  <si>
    <t>Description 941</t>
  </si>
  <si>
    <t>Description 942</t>
  </si>
  <si>
    <t>Description 943</t>
  </si>
  <si>
    <t>Description 944</t>
  </si>
  <si>
    <t>Description 945</t>
  </si>
  <si>
    <t>Description 946</t>
  </si>
  <si>
    <t>Description 947</t>
  </si>
  <si>
    <t>Description 948</t>
  </si>
  <si>
    <t>Description 949</t>
  </si>
  <si>
    <t>Description 950</t>
  </si>
  <si>
    <t>Description 951</t>
  </si>
  <si>
    <t>Description 952</t>
  </si>
  <si>
    <t>Description 953</t>
  </si>
  <si>
    <t>Description 954</t>
  </si>
  <si>
    <t>Description 955</t>
  </si>
  <si>
    <t>Description 956</t>
  </si>
  <si>
    <t>Description 957</t>
  </si>
  <si>
    <t>Description 958</t>
  </si>
  <si>
    <t>Description 959</t>
  </si>
  <si>
    <t>Description 960</t>
  </si>
  <si>
    <t>Description 961</t>
  </si>
  <si>
    <t>Description 962</t>
  </si>
  <si>
    <t>Description 963</t>
  </si>
  <si>
    <t>Description 964</t>
  </si>
  <si>
    <t>Description 965</t>
  </si>
  <si>
    <t>Description 966</t>
  </si>
  <si>
    <t>Description 967</t>
  </si>
  <si>
    <t>Description 968</t>
  </si>
  <si>
    <t>Description 969</t>
  </si>
  <si>
    <t>Description 970</t>
  </si>
  <si>
    <t>Description 971</t>
  </si>
  <si>
    <t>Description 972</t>
  </si>
  <si>
    <t>Description 973</t>
  </si>
  <si>
    <t>Description 974</t>
  </si>
  <si>
    <t>Description 975</t>
  </si>
  <si>
    <t>Description 976</t>
  </si>
  <si>
    <t>Description 977</t>
  </si>
  <si>
    <t>Description 978</t>
  </si>
  <si>
    <t>Description 979</t>
  </si>
  <si>
    <t>Description 980</t>
  </si>
  <si>
    <t>Description 981</t>
  </si>
  <si>
    <t>Description 982</t>
  </si>
  <si>
    <t>Description 983</t>
  </si>
  <si>
    <t>Description 984</t>
  </si>
  <si>
    <t>Description 985</t>
  </si>
  <si>
    <t>Description 986</t>
  </si>
  <si>
    <t>Description 987</t>
  </si>
  <si>
    <t>Description 988</t>
  </si>
  <si>
    <t>Description 989</t>
  </si>
  <si>
    <t>Description 990</t>
  </si>
  <si>
    <t>Description 991</t>
  </si>
  <si>
    <t>Description 992</t>
  </si>
  <si>
    <t>Description 993</t>
  </si>
  <si>
    <t>Description 994</t>
  </si>
  <si>
    <t>Description 995</t>
  </si>
  <si>
    <t>Description 996</t>
  </si>
  <si>
    <t>Description 997</t>
  </si>
  <si>
    <t>Description 998</t>
  </si>
  <si>
    <t>Description 999</t>
  </si>
  <si>
    <t>Description 1000</t>
  </si>
  <si>
    <t>Description 1001</t>
  </si>
  <si>
    <t>Description 1002</t>
  </si>
  <si>
    <t>Description 1003</t>
  </si>
  <si>
    <t>Description 1004</t>
  </si>
  <si>
    <t>Description 1005</t>
  </si>
  <si>
    <t>Description 1006</t>
  </si>
  <si>
    <t>Description 1007</t>
  </si>
  <si>
    <t>Description 1008</t>
  </si>
  <si>
    <t>Description 1009</t>
  </si>
  <si>
    <t>Description 1010</t>
  </si>
  <si>
    <t>Description 1011</t>
  </si>
  <si>
    <t>Description 1012</t>
  </si>
  <si>
    <t>Description 1013</t>
  </si>
  <si>
    <t>Description 1014</t>
  </si>
  <si>
    <t>Description 1015</t>
  </si>
  <si>
    <t>Description 1016</t>
  </si>
  <si>
    <t>Description 1017</t>
  </si>
  <si>
    <t>Description 1018</t>
  </si>
  <si>
    <t>Description 1019</t>
  </si>
  <si>
    <t>Description 1020</t>
  </si>
  <si>
    <t>Description 1021</t>
  </si>
  <si>
    <t>Description 1022</t>
  </si>
  <si>
    <t>Description 1023</t>
  </si>
  <si>
    <t>Description 1024</t>
  </si>
  <si>
    <t>Description 1025</t>
  </si>
  <si>
    <t>Description 1026</t>
  </si>
  <si>
    <t>Description 1027</t>
  </si>
  <si>
    <t>Description 1028</t>
  </si>
  <si>
    <t>Description 1029</t>
  </si>
  <si>
    <t>Description 1030</t>
  </si>
  <si>
    <t>Description 1031</t>
  </si>
  <si>
    <t>Description 1032</t>
  </si>
  <si>
    <t>Description 1033</t>
  </si>
  <si>
    <t>Description 1034</t>
  </si>
  <si>
    <t>Description 1035</t>
  </si>
  <si>
    <t>Description 1036</t>
  </si>
  <si>
    <t>Description 1037</t>
  </si>
  <si>
    <t>Description 1038</t>
  </si>
  <si>
    <t>Description 1039</t>
  </si>
  <si>
    <t>Description 1040</t>
  </si>
  <si>
    <t>Description 1041</t>
  </si>
  <si>
    <t>Description 1042</t>
  </si>
  <si>
    <t>Description 1043</t>
  </si>
  <si>
    <t>Description 1044</t>
  </si>
  <si>
    <t>Description 1045</t>
  </si>
  <si>
    <t>Description 1046</t>
  </si>
  <si>
    <t>Description 1047</t>
  </si>
  <si>
    <t>Description 1048</t>
  </si>
  <si>
    <t>Description 1049</t>
  </si>
  <si>
    <t>Description 1050</t>
  </si>
  <si>
    <t>Description 1051</t>
  </si>
  <si>
    <t>Description 1052</t>
  </si>
  <si>
    <t>Description 1053</t>
  </si>
  <si>
    <t>Description 1054</t>
  </si>
  <si>
    <t>Description 1055</t>
  </si>
  <si>
    <t>Description 1056</t>
  </si>
  <si>
    <t>Description 1057</t>
  </si>
  <si>
    <t>Description 1058</t>
  </si>
  <si>
    <t>Description 1059</t>
  </si>
  <si>
    <t>Description 1060</t>
  </si>
  <si>
    <t>Description 1061</t>
  </si>
  <si>
    <t>Description 1062</t>
  </si>
  <si>
    <t>Description 1063</t>
  </si>
  <si>
    <t>Description 1064</t>
  </si>
  <si>
    <t>Description 1065</t>
  </si>
  <si>
    <t>Description 1066</t>
  </si>
  <si>
    <t>Description 1067</t>
  </si>
  <si>
    <t>Description 1068</t>
  </si>
  <si>
    <t>Description 1069</t>
  </si>
  <si>
    <t>Description 1070</t>
  </si>
  <si>
    <t>Description 1071</t>
  </si>
  <si>
    <t>Description 1072</t>
  </si>
  <si>
    <t>Description 1073</t>
  </si>
  <si>
    <t>Description 1074</t>
  </si>
  <si>
    <t>Description 1075</t>
  </si>
  <si>
    <t>Description 1076</t>
  </si>
  <si>
    <t>Description 1077</t>
  </si>
  <si>
    <t>Description 1078</t>
  </si>
  <si>
    <t>Description 1079</t>
  </si>
  <si>
    <t>Description 1080</t>
  </si>
  <si>
    <t>Description 1081</t>
  </si>
  <si>
    <t>Description 1082</t>
  </si>
  <si>
    <t>Description 1083</t>
  </si>
  <si>
    <t>Description 1084</t>
  </si>
  <si>
    <t>Description 1085</t>
  </si>
  <si>
    <t>Description 1086</t>
  </si>
  <si>
    <t>Description 1087</t>
  </si>
  <si>
    <t>Description 1088</t>
  </si>
  <si>
    <t>Description 1089</t>
  </si>
  <si>
    <t>Description 1090</t>
  </si>
  <si>
    <t>Description 1091</t>
  </si>
  <si>
    <t>Description 1092</t>
  </si>
  <si>
    <t>Description 1093</t>
  </si>
  <si>
    <t>Description 1094</t>
  </si>
  <si>
    <t>Description 1095</t>
  </si>
  <si>
    <t>Description 1096</t>
  </si>
  <si>
    <t>Description 1097</t>
  </si>
  <si>
    <t>Description 1098</t>
  </si>
  <si>
    <t>Description 1099</t>
  </si>
  <si>
    <t>Description 1100</t>
  </si>
  <si>
    <t>Description 1101</t>
  </si>
  <si>
    <t>Description 1102</t>
  </si>
  <si>
    <t>Description 1103</t>
  </si>
  <si>
    <t>Description 1104</t>
  </si>
  <si>
    <t>Description 1105</t>
  </si>
  <si>
    <t>Description 1106</t>
  </si>
  <si>
    <t>Description 1107</t>
  </si>
  <si>
    <t>Description 1108</t>
  </si>
  <si>
    <t>Description 1109</t>
  </si>
  <si>
    <t>Description 1110</t>
  </si>
  <si>
    <t>Description 1111</t>
  </si>
  <si>
    <t>Description 1112</t>
  </si>
  <si>
    <t>Description 1113</t>
  </si>
  <si>
    <t>Description 1114</t>
  </si>
  <si>
    <t>Description 1115</t>
  </si>
  <si>
    <t>Description 1116</t>
  </si>
  <si>
    <t>Description 1117</t>
  </si>
  <si>
    <t>Description 1118</t>
  </si>
  <si>
    <t>Description 1119</t>
  </si>
  <si>
    <t>Description 1120</t>
  </si>
  <si>
    <t>Description 1121</t>
  </si>
  <si>
    <t>Description 1122</t>
  </si>
  <si>
    <t>Description 1123</t>
  </si>
  <si>
    <t>Description 1124</t>
  </si>
  <si>
    <t>Description 1125</t>
  </si>
  <si>
    <t>Description 1126</t>
  </si>
  <si>
    <t>Description 1127</t>
  </si>
  <si>
    <t>Description 1128</t>
  </si>
  <si>
    <t>Description 1129</t>
  </si>
  <si>
    <t>Description 1130</t>
  </si>
  <si>
    <t>Description 1131</t>
  </si>
  <si>
    <t>Description 1132</t>
  </si>
  <si>
    <t>Description 1133</t>
  </si>
  <si>
    <t>Description 1134</t>
  </si>
  <si>
    <t>Description 1135</t>
  </si>
  <si>
    <t>Description 1136</t>
  </si>
  <si>
    <t>Description 1137</t>
  </si>
  <si>
    <t>Description 1138</t>
  </si>
  <si>
    <t>Description 1139</t>
  </si>
  <si>
    <t>Description 1140</t>
  </si>
  <si>
    <t>Description 1141</t>
  </si>
  <si>
    <t>Description 1142</t>
  </si>
  <si>
    <t>Description 1143</t>
  </si>
  <si>
    <t>Description 1144</t>
  </si>
  <si>
    <t>Description 1145</t>
  </si>
  <si>
    <t>Description 1146</t>
  </si>
  <si>
    <t>Description 1147</t>
  </si>
  <si>
    <t>Description 1148</t>
  </si>
  <si>
    <t>Description 1149</t>
  </si>
  <si>
    <t>Description 1150</t>
  </si>
  <si>
    <t>Description 1151</t>
  </si>
  <si>
    <t>Description 1152</t>
  </si>
  <si>
    <t>Description 1153</t>
  </si>
  <si>
    <t>Description 1154</t>
  </si>
  <si>
    <t>Description 1155</t>
  </si>
  <si>
    <t>Description 1156</t>
  </si>
  <si>
    <t>Description 1157</t>
  </si>
  <si>
    <t>Description 1158</t>
  </si>
  <si>
    <t>Description 1159</t>
  </si>
  <si>
    <t>Description 1160</t>
  </si>
  <si>
    <t>Description 1161</t>
  </si>
  <si>
    <t>Description 1162</t>
  </si>
  <si>
    <t>Description 1163</t>
  </si>
  <si>
    <t>Description 1164</t>
  </si>
  <si>
    <t>Description 1165</t>
  </si>
  <si>
    <t>Description 1166</t>
  </si>
  <si>
    <t>Description 1167</t>
  </si>
  <si>
    <t>Description 1168</t>
  </si>
  <si>
    <t>Description 1169</t>
  </si>
  <si>
    <t>Description 1170</t>
  </si>
  <si>
    <t>Description 1171</t>
  </si>
  <si>
    <t>Description 1172</t>
  </si>
  <si>
    <t>Description 1173</t>
  </si>
  <si>
    <t>Description 1174</t>
  </si>
  <si>
    <t>Description 1175</t>
  </si>
  <si>
    <t>Description 1176</t>
  </si>
  <si>
    <t>Description 1177</t>
  </si>
  <si>
    <t>Description 1178</t>
  </si>
  <si>
    <t>Description 1179</t>
  </si>
  <si>
    <t>Description 1180</t>
  </si>
  <si>
    <t>Description 1181</t>
  </si>
  <si>
    <t>Description 1182</t>
  </si>
  <si>
    <t>Description 1183</t>
  </si>
  <si>
    <t>Description 1184</t>
  </si>
  <si>
    <t>Description 1185</t>
  </si>
  <si>
    <t>Description 1186</t>
  </si>
  <si>
    <t>Description 1187</t>
  </si>
  <si>
    <t>Description 1188</t>
  </si>
  <si>
    <t>Description 1189</t>
  </si>
  <si>
    <t>Description 1190</t>
  </si>
  <si>
    <t>Description 1191</t>
  </si>
  <si>
    <t>Description 1192</t>
  </si>
  <si>
    <t>Description 1193</t>
  </si>
  <si>
    <t>Description 1194</t>
  </si>
  <si>
    <t>Description 1195</t>
  </si>
  <si>
    <t>Description 1196</t>
  </si>
  <si>
    <t>Description 1197</t>
  </si>
  <si>
    <t>Description 1198</t>
  </si>
  <si>
    <t>Description 1199</t>
  </si>
  <si>
    <t>Description 1200</t>
  </si>
  <si>
    <t>Description 1201</t>
  </si>
  <si>
    <t>Description 1202</t>
  </si>
  <si>
    <t>Description 1203</t>
  </si>
  <si>
    <t>Description 1204</t>
  </si>
  <si>
    <t>Description 1205</t>
  </si>
  <si>
    <t>Description 1206</t>
  </si>
  <si>
    <t>Description 1207</t>
  </si>
  <si>
    <t>Description 1208</t>
  </si>
  <si>
    <t>Description 1209</t>
  </si>
  <si>
    <t>Description 1210</t>
  </si>
  <si>
    <t>Description 1211</t>
  </si>
  <si>
    <t>Description 1212</t>
  </si>
  <si>
    <t>Description 1213</t>
  </si>
  <si>
    <t>Description 1214</t>
  </si>
  <si>
    <t>Description 1215</t>
  </si>
  <si>
    <t>Description 1216</t>
  </si>
  <si>
    <t>Description 1217</t>
  </si>
  <si>
    <t>Description 1218</t>
  </si>
  <si>
    <t>Description 1219</t>
  </si>
  <si>
    <t>Description 1220</t>
  </si>
  <si>
    <t>Description 1221</t>
  </si>
  <si>
    <t>Description 1222</t>
  </si>
  <si>
    <t>Description 1223</t>
  </si>
  <si>
    <t>Description 1224</t>
  </si>
  <si>
    <t>Description 1225</t>
  </si>
  <si>
    <t>Description 1226</t>
  </si>
  <si>
    <t>Description 1227</t>
  </si>
  <si>
    <t>Description 1228</t>
  </si>
  <si>
    <t>Description 1229</t>
  </si>
  <si>
    <t>Description 1230</t>
  </si>
  <si>
    <t>Description 1231</t>
  </si>
  <si>
    <t>Description 1232</t>
  </si>
  <si>
    <t>Description 1233</t>
  </si>
  <si>
    <t>Description 1234</t>
  </si>
  <si>
    <t>Description 1235</t>
  </si>
  <si>
    <t>Description 1236</t>
  </si>
  <si>
    <t>Description 1237</t>
  </si>
  <si>
    <t>Description 1238</t>
  </si>
  <si>
    <t>Description 1239</t>
  </si>
  <si>
    <t>Description 1240</t>
  </si>
  <si>
    <t>Description 1241</t>
  </si>
  <si>
    <t>Description 1242</t>
  </si>
  <si>
    <t>Description 1243</t>
  </si>
  <si>
    <t>Description 1244</t>
  </si>
  <si>
    <t>Description 1245</t>
  </si>
  <si>
    <t>Description 1246</t>
  </si>
  <si>
    <t>Description 1247</t>
  </si>
  <si>
    <t>Description 1248</t>
  </si>
  <si>
    <t>Description 1249</t>
  </si>
  <si>
    <t>Description 1250</t>
  </si>
  <si>
    <t>Description 1251</t>
  </si>
  <si>
    <t>Description 1252</t>
  </si>
  <si>
    <t>Description 1253</t>
  </si>
  <si>
    <t>Description 1254</t>
  </si>
  <si>
    <t>Description 1255</t>
  </si>
  <si>
    <t>Description 1256</t>
  </si>
  <si>
    <t>Description 1257</t>
  </si>
  <si>
    <t>Description 1258</t>
  </si>
  <si>
    <t>Description 1259</t>
  </si>
  <si>
    <t>Description 1260</t>
  </si>
  <si>
    <t>Description 1261</t>
  </si>
  <si>
    <t>Description 1262</t>
  </si>
  <si>
    <t>Description 1263</t>
  </si>
  <si>
    <t>Description 1264</t>
  </si>
  <si>
    <t>Description 1265</t>
  </si>
  <si>
    <t>Description 1266</t>
  </si>
  <si>
    <t>Description 1267</t>
  </si>
  <si>
    <t>Description 1268</t>
  </si>
  <si>
    <t>Description 1269</t>
  </si>
  <si>
    <t>Description 1270</t>
  </si>
  <si>
    <t>Description 1271</t>
  </si>
  <si>
    <t>Description 1272</t>
  </si>
  <si>
    <t>Description 1273</t>
  </si>
  <si>
    <t>Description 1274</t>
  </si>
  <si>
    <t>Description 1275</t>
  </si>
  <si>
    <t>Description 1276</t>
  </si>
  <si>
    <t>Description 1277</t>
  </si>
  <si>
    <t>Description 1278</t>
  </si>
  <si>
    <t>Description 1279</t>
  </si>
  <si>
    <t>Description 1280</t>
  </si>
  <si>
    <t>Description 1281</t>
  </si>
  <si>
    <t>Description 1282</t>
  </si>
  <si>
    <t>Description 1283</t>
  </si>
  <si>
    <t>Description 1284</t>
  </si>
  <si>
    <t>Description 1285</t>
  </si>
  <si>
    <t>Description 1286</t>
  </si>
  <si>
    <t>Description 1287</t>
  </si>
  <si>
    <t>Description 1288</t>
  </si>
  <si>
    <t>Description 1289</t>
  </si>
  <si>
    <t>Description 1290</t>
  </si>
  <si>
    <t>Description 1291</t>
  </si>
  <si>
    <t>Description 1292</t>
  </si>
  <si>
    <t>Description 1293</t>
  </si>
  <si>
    <t>Description 1294</t>
  </si>
  <si>
    <t>Description 1295</t>
  </si>
  <si>
    <t>Description 1296</t>
  </si>
  <si>
    <t>Description 1297</t>
  </si>
  <si>
    <t>Description 1298</t>
  </si>
  <si>
    <t>Description 1299</t>
  </si>
  <si>
    <t>Description 1300</t>
  </si>
  <si>
    <t>Description 1301</t>
  </si>
  <si>
    <t>Description 1302</t>
  </si>
  <si>
    <t>Description 1303</t>
  </si>
  <si>
    <t>Description 1304</t>
  </si>
  <si>
    <t>Description 1305</t>
  </si>
  <si>
    <t>Description 1306</t>
  </si>
  <si>
    <t>Description 1307</t>
  </si>
  <si>
    <t>Description 1308</t>
  </si>
  <si>
    <t>Description 1309</t>
  </si>
  <si>
    <t>Description 1310</t>
  </si>
  <si>
    <t>Description 1311</t>
  </si>
  <si>
    <t>Description 1312</t>
  </si>
  <si>
    <t>Description 1313</t>
  </si>
  <si>
    <t>Description 1314</t>
  </si>
  <si>
    <t>Description 1315</t>
  </si>
  <si>
    <t>Description 1316</t>
  </si>
  <si>
    <t>Description 1317</t>
  </si>
  <si>
    <t>Description 1318</t>
  </si>
  <si>
    <t>Description 1319</t>
  </si>
  <si>
    <t>Description 1320</t>
  </si>
  <si>
    <t>Description 1321</t>
  </si>
  <si>
    <t>Description 1322</t>
  </si>
  <si>
    <t>Description 1323</t>
  </si>
  <si>
    <t>Description 1324</t>
  </si>
  <si>
    <t>Description 1325</t>
  </si>
  <si>
    <t>Description 1326</t>
  </si>
  <si>
    <t>Description 1327</t>
  </si>
  <si>
    <t>Description 1328</t>
  </si>
  <si>
    <t>Description 1329</t>
  </si>
  <si>
    <t>Description 1330</t>
  </si>
  <si>
    <t>Description 1331</t>
  </si>
  <si>
    <t>Description 1332</t>
  </si>
  <si>
    <t>Description 1333</t>
  </si>
  <si>
    <t>Description 1334</t>
  </si>
  <si>
    <t>Description 1335</t>
  </si>
  <si>
    <t>Description 1336</t>
  </si>
  <si>
    <t>Description 1337</t>
  </si>
  <si>
    <t>Description 1338</t>
  </si>
  <si>
    <t>Description 1339</t>
  </si>
  <si>
    <t>Description 1340</t>
  </si>
  <si>
    <t>Description 1341</t>
  </si>
  <si>
    <t>Description 1342</t>
  </si>
  <si>
    <t>Description 1343</t>
  </si>
  <si>
    <t>Description 1344</t>
  </si>
  <si>
    <t>Description 1345</t>
  </si>
  <si>
    <t>Description 1346</t>
  </si>
  <si>
    <t>Description 1347</t>
  </si>
  <si>
    <t>Description 1348</t>
  </si>
  <si>
    <t>Description 1349</t>
  </si>
  <si>
    <t>Description 1350</t>
  </si>
  <si>
    <t>Description 1351</t>
  </si>
  <si>
    <t>Description 1352</t>
  </si>
  <si>
    <t>Description 1353</t>
  </si>
  <si>
    <t>Description 1354</t>
  </si>
  <si>
    <t>Description 1355</t>
  </si>
  <si>
    <t>Description 1356</t>
  </si>
  <si>
    <t>Description 1357</t>
  </si>
  <si>
    <t>Description 1358</t>
  </si>
  <si>
    <t>Description 1359</t>
  </si>
  <si>
    <t>Description 1360</t>
  </si>
  <si>
    <t>Description 1361</t>
  </si>
  <si>
    <t>Description 1362</t>
  </si>
  <si>
    <t>Description 1363</t>
  </si>
  <si>
    <t>Description 1364</t>
  </si>
  <si>
    <t>Description 1365</t>
  </si>
  <si>
    <t>Description 1366</t>
  </si>
  <si>
    <t>Description 1367</t>
  </si>
  <si>
    <t>Description 1368</t>
  </si>
  <si>
    <t>Description 1369</t>
  </si>
  <si>
    <t>Description 1370</t>
  </si>
  <si>
    <t>Description 1371</t>
  </si>
  <si>
    <t>Description 1372</t>
  </si>
  <si>
    <t>Description 1373</t>
  </si>
  <si>
    <t>Description 1374</t>
  </si>
  <si>
    <t>Description 1375</t>
  </si>
  <si>
    <t>Description 1376</t>
  </si>
  <si>
    <t>Description 1377</t>
  </si>
  <si>
    <t>Description 1378</t>
  </si>
  <si>
    <t>Description 1379</t>
  </si>
  <si>
    <t>Description 1380</t>
  </si>
  <si>
    <t>Description 1381</t>
  </si>
  <si>
    <t>Description 1382</t>
  </si>
  <si>
    <t>Description 1383</t>
  </si>
  <si>
    <t>Description 1384</t>
  </si>
  <si>
    <t>Description 1385</t>
  </si>
  <si>
    <t>Description 1386</t>
  </si>
  <si>
    <t>Description 1387</t>
  </si>
  <si>
    <t>Description 1388</t>
  </si>
  <si>
    <t>Description 1389</t>
  </si>
  <si>
    <t>Description 1390</t>
  </si>
  <si>
    <t>Description 1391</t>
  </si>
  <si>
    <t>Description 1392</t>
  </si>
  <si>
    <t>Description 1393</t>
  </si>
  <si>
    <t>Description 1394</t>
  </si>
  <si>
    <t>Description 1395</t>
  </si>
  <si>
    <t>Description 1396</t>
  </si>
  <si>
    <t>Description 1397</t>
  </si>
  <si>
    <t>Description 1398</t>
  </si>
  <si>
    <t>Description 1399</t>
  </si>
  <si>
    <t>Description 1400</t>
  </si>
  <si>
    <t>Description 1401</t>
  </si>
  <si>
    <t>Description 1402</t>
  </si>
  <si>
    <t>Description 1403</t>
  </si>
  <si>
    <t>Description 1404</t>
  </si>
  <si>
    <t>Description 1405</t>
  </si>
  <si>
    <t>Description 1406</t>
  </si>
  <si>
    <t>Description 1407</t>
  </si>
  <si>
    <t>Description 1408</t>
  </si>
  <si>
    <t>Description 1409</t>
  </si>
  <si>
    <t>Description 1410</t>
  </si>
  <si>
    <t>Description 1411</t>
  </si>
  <si>
    <t>Description 1412</t>
  </si>
  <si>
    <t>Description 1413</t>
  </si>
  <si>
    <t>Description 1414</t>
  </si>
  <si>
    <t>Description 1415</t>
  </si>
  <si>
    <t>Description 1416</t>
  </si>
  <si>
    <t>Description 1417</t>
  </si>
  <si>
    <t>Description 1418</t>
  </si>
  <si>
    <t>Description 1419</t>
  </si>
  <si>
    <t>Description 1420</t>
  </si>
  <si>
    <t>Description 1421</t>
  </si>
  <si>
    <t>Description 1422</t>
  </si>
  <si>
    <t>Description 1423</t>
  </si>
  <si>
    <t>Description 1424</t>
  </si>
  <si>
    <t>Description 1425</t>
  </si>
  <si>
    <t>Description 1426</t>
  </si>
  <si>
    <t>Description 1427</t>
  </si>
  <si>
    <t>Description 1428</t>
  </si>
  <si>
    <t>Description 1429</t>
  </si>
  <si>
    <t>Description 1430</t>
  </si>
  <si>
    <t>Description 1431</t>
  </si>
  <si>
    <t>Description 1432</t>
  </si>
  <si>
    <t>Description 1433</t>
  </si>
  <si>
    <t>Description 1434</t>
  </si>
  <si>
    <t>Description 1435</t>
  </si>
  <si>
    <t>Description 1436</t>
  </si>
  <si>
    <t>Description 1437</t>
  </si>
  <si>
    <t>Description 1438</t>
  </si>
  <si>
    <t>Description 1439</t>
  </si>
  <si>
    <t>Description 1440</t>
  </si>
  <si>
    <t>Description 1441</t>
  </si>
  <si>
    <t>Description 1442</t>
  </si>
  <si>
    <t>Description 1443</t>
  </si>
  <si>
    <t>Description 1444</t>
  </si>
  <si>
    <t>Description 1445</t>
  </si>
  <si>
    <t>Description 1446</t>
  </si>
  <si>
    <t>Description 1447</t>
  </si>
  <si>
    <t>Description 1448</t>
  </si>
  <si>
    <t>Description 1449</t>
  </si>
  <si>
    <t>Description 1450</t>
  </si>
  <si>
    <t>Description 1451</t>
  </si>
  <si>
    <t>Description 1452</t>
  </si>
  <si>
    <t>Description 1453</t>
  </si>
  <si>
    <t>Description 1454</t>
  </si>
  <si>
    <t>Description 1455</t>
  </si>
  <si>
    <t>Description 1456</t>
  </si>
  <si>
    <t>Description 1457</t>
  </si>
  <si>
    <t>Description 1458</t>
  </si>
  <si>
    <t>Description 1459</t>
  </si>
  <si>
    <t>Description 1460</t>
  </si>
  <si>
    <t>Description 1461</t>
  </si>
  <si>
    <t>Description 1462</t>
  </si>
  <si>
    <t>Description 1463</t>
  </si>
  <si>
    <t>Description 1464</t>
  </si>
  <si>
    <t>Description 1465</t>
  </si>
  <si>
    <t>Description 1466</t>
  </si>
  <si>
    <t>Description 1467</t>
  </si>
  <si>
    <t>Description 1468</t>
  </si>
  <si>
    <t>Description 1469</t>
  </si>
  <si>
    <t>Description 1470</t>
  </si>
  <si>
    <t>Description 1471</t>
  </si>
  <si>
    <t>Description 1472</t>
  </si>
  <si>
    <t>Description 1473</t>
  </si>
  <si>
    <t>Description 1474</t>
  </si>
  <si>
    <t>Description 1475</t>
  </si>
  <si>
    <t>Description 1476</t>
  </si>
  <si>
    <t>Description 1477</t>
  </si>
  <si>
    <t>Description 1478</t>
  </si>
  <si>
    <t>Description 1479</t>
  </si>
  <si>
    <t>Description 1480</t>
  </si>
  <si>
    <t>Description 1481</t>
  </si>
  <si>
    <t>Description 1482</t>
  </si>
  <si>
    <t>Description 1483</t>
  </si>
  <si>
    <t>Description 1484</t>
  </si>
  <si>
    <t>Description 1485</t>
  </si>
  <si>
    <t>Description 1486</t>
  </si>
  <si>
    <t>Description 1487</t>
  </si>
  <si>
    <t>Description 1488</t>
  </si>
  <si>
    <t>Description 1489</t>
  </si>
  <si>
    <t>Description 1490</t>
  </si>
  <si>
    <t>Description 1491</t>
  </si>
  <si>
    <t>Description 1492</t>
  </si>
  <si>
    <t>Description 1493</t>
  </si>
  <si>
    <t>Description 1494</t>
  </si>
  <si>
    <t>Description 1495</t>
  </si>
  <si>
    <t>Description 1496</t>
  </si>
  <si>
    <t>Description 1497</t>
  </si>
  <si>
    <t>Description 1498</t>
  </si>
  <si>
    <t>Description 1499</t>
  </si>
  <si>
    <t>Description 1500</t>
  </si>
  <si>
    <t>Description 1501</t>
  </si>
  <si>
    <t>Description 1502</t>
  </si>
  <si>
    <t>Description 1503</t>
  </si>
  <si>
    <t>Description 1504</t>
  </si>
  <si>
    <t>Description 1505</t>
  </si>
  <si>
    <t>Description 1506</t>
  </si>
  <si>
    <t>Description 1507</t>
  </si>
  <si>
    <t>Description 1508</t>
  </si>
  <si>
    <t>Description 1509</t>
  </si>
  <si>
    <t>Description 1510</t>
  </si>
  <si>
    <t>Description 1511</t>
  </si>
  <si>
    <t>Description 1512</t>
  </si>
  <si>
    <t>Description 1513</t>
  </si>
  <si>
    <t>Description 1514</t>
  </si>
  <si>
    <t>Description 1515</t>
  </si>
  <si>
    <t>Description 1516</t>
  </si>
  <si>
    <t>Description 1517</t>
  </si>
  <si>
    <t>Description 1518</t>
  </si>
  <si>
    <t>Description 1519</t>
  </si>
  <si>
    <t>Description 1520</t>
  </si>
  <si>
    <t>Description 1521</t>
  </si>
  <si>
    <t>Description 1522</t>
  </si>
  <si>
    <t>Description 1523</t>
  </si>
  <si>
    <t>Description 1524</t>
  </si>
  <si>
    <t>Description 1525</t>
  </si>
  <si>
    <t>Description 1526</t>
  </si>
  <si>
    <t>Description 1527</t>
  </si>
  <si>
    <t>Description 1528</t>
  </si>
  <si>
    <t>Description 1529</t>
  </si>
  <si>
    <t>Description 1530</t>
  </si>
  <si>
    <t>Description 1531</t>
  </si>
  <si>
    <t>Description 1532</t>
  </si>
  <si>
    <t>Description 1533</t>
  </si>
  <si>
    <t>Description 1534</t>
  </si>
  <si>
    <t>Description 1535</t>
  </si>
  <si>
    <t>Description 1536</t>
  </si>
  <si>
    <t>Description 1537</t>
  </si>
  <si>
    <t>Description 1538</t>
  </si>
  <si>
    <t>Description 1539</t>
  </si>
  <si>
    <t>Description 1540</t>
  </si>
  <si>
    <t>Description 1541</t>
  </si>
  <si>
    <t>Description 1542</t>
  </si>
  <si>
    <t>Description 1543</t>
  </si>
  <si>
    <t>Description 1544</t>
  </si>
  <si>
    <t>Description 1545</t>
  </si>
  <si>
    <t>Description 1546</t>
  </si>
  <si>
    <t>Description 1547</t>
  </si>
  <si>
    <t>Description 1548</t>
  </si>
  <si>
    <t>Description 1549</t>
  </si>
  <si>
    <t>Description 1550</t>
  </si>
  <si>
    <t>Description 1551</t>
  </si>
  <si>
    <t>Description 1552</t>
  </si>
  <si>
    <t>Description 1553</t>
  </si>
  <si>
    <t>Description 1554</t>
  </si>
  <si>
    <t>Description 1555</t>
  </si>
  <si>
    <t>Description 1556</t>
  </si>
  <si>
    <t>Description 1557</t>
  </si>
  <si>
    <t>Description 1558</t>
  </si>
  <si>
    <t>Description 1559</t>
  </si>
  <si>
    <t>Description 1560</t>
  </si>
  <si>
    <t>Description 1561</t>
  </si>
  <si>
    <t>Description 1562</t>
  </si>
  <si>
    <t>Description 1563</t>
  </si>
  <si>
    <t>Description 1564</t>
  </si>
  <si>
    <t>Description 1565</t>
  </si>
  <si>
    <t>Description 1566</t>
  </si>
  <si>
    <t>Description 1567</t>
  </si>
  <si>
    <t>Description 1568</t>
  </si>
  <si>
    <t>Description 1569</t>
  </si>
  <si>
    <t>Description 1570</t>
  </si>
  <si>
    <t>Description 1571</t>
  </si>
  <si>
    <t>Description 1572</t>
  </si>
  <si>
    <t>Description 1573</t>
  </si>
  <si>
    <t>Description 1574</t>
  </si>
  <si>
    <t>Description 1575</t>
  </si>
  <si>
    <t>Description 1576</t>
  </si>
  <si>
    <t>Description 1577</t>
  </si>
  <si>
    <t>Description 1578</t>
  </si>
  <si>
    <t>Description 1579</t>
  </si>
  <si>
    <t>Description 1580</t>
  </si>
  <si>
    <t>Description 1581</t>
  </si>
  <si>
    <t>Description 1582</t>
  </si>
  <si>
    <t>Description 1583</t>
  </si>
  <si>
    <t>Description 1584</t>
  </si>
  <si>
    <t>Description 1585</t>
  </si>
  <si>
    <t>Description 1586</t>
  </si>
  <si>
    <t>Description 1587</t>
  </si>
  <si>
    <t>Description 1588</t>
  </si>
  <si>
    <t>Description 1589</t>
  </si>
  <si>
    <t>Description 1590</t>
  </si>
  <si>
    <t>Description 1591</t>
  </si>
  <si>
    <t>Description 1592</t>
  </si>
  <si>
    <t>Description 1593</t>
  </si>
  <si>
    <t>Description 1594</t>
  </si>
  <si>
    <t>Description 1595</t>
  </si>
  <si>
    <t>Description 1596</t>
  </si>
  <si>
    <t>Description 1597</t>
  </si>
  <si>
    <t>Description 1598</t>
  </si>
  <si>
    <t>Description 1599</t>
  </si>
  <si>
    <t>Description 1600</t>
  </si>
  <si>
    <t>Description 1601</t>
  </si>
  <si>
    <t>Description 1602</t>
  </si>
  <si>
    <t>Description 1603</t>
  </si>
  <si>
    <t>Description 1604</t>
  </si>
  <si>
    <t>Description 1605</t>
  </si>
  <si>
    <t>Description 1606</t>
  </si>
  <si>
    <t>Description 1607</t>
  </si>
  <si>
    <t>Description 1608</t>
  </si>
  <si>
    <t>Description 1609</t>
  </si>
  <si>
    <t>Description 1610</t>
  </si>
  <si>
    <t>Description 1611</t>
  </si>
  <si>
    <t>Description 1612</t>
  </si>
  <si>
    <t>Description 1613</t>
  </si>
  <si>
    <t>Description 1614</t>
  </si>
  <si>
    <t>Description 1615</t>
  </si>
  <si>
    <t>Description 1616</t>
  </si>
  <si>
    <t>Description 1617</t>
  </si>
  <si>
    <t>Description 1618</t>
  </si>
  <si>
    <t>Description 1619</t>
  </si>
  <si>
    <t>Description 1620</t>
  </si>
  <si>
    <t>Description 1621</t>
  </si>
  <si>
    <t>Description 1622</t>
  </si>
  <si>
    <t>Description 1623</t>
  </si>
  <si>
    <t>Description 1624</t>
  </si>
  <si>
    <t>Description 1625</t>
  </si>
  <si>
    <t>Description 1626</t>
  </si>
  <si>
    <t>Description 1627</t>
  </si>
  <si>
    <t>Description 1628</t>
  </si>
  <si>
    <t>Description 1629</t>
  </si>
  <si>
    <t>Description 1630</t>
  </si>
  <si>
    <t>Description 1631</t>
  </si>
  <si>
    <t>Description 1632</t>
  </si>
  <si>
    <t>Description 1633</t>
  </si>
  <si>
    <t>Description 1634</t>
  </si>
  <si>
    <t>Description 1635</t>
  </si>
  <si>
    <t>Description 1636</t>
  </si>
  <si>
    <t>Description 1637</t>
  </si>
  <si>
    <t>Description 1638</t>
  </si>
  <si>
    <t>Description 1639</t>
  </si>
  <si>
    <t>Description 1640</t>
  </si>
  <si>
    <t>Description 1641</t>
  </si>
  <si>
    <t>Description 1642</t>
  </si>
  <si>
    <t>Description 1643</t>
  </si>
  <si>
    <t>Description 1644</t>
  </si>
  <si>
    <t>Description 1645</t>
  </si>
  <si>
    <t>Description 1646</t>
  </si>
  <si>
    <t>Description 1647</t>
  </si>
  <si>
    <t>Description 1648</t>
  </si>
  <si>
    <t>Description 1649</t>
  </si>
  <si>
    <t>Description 1650</t>
  </si>
  <si>
    <t>Description 1651</t>
  </si>
  <si>
    <t>Description 1652</t>
  </si>
  <si>
    <t>Description 1653</t>
  </si>
  <si>
    <t>Description 1654</t>
  </si>
  <si>
    <t>Description 1655</t>
  </si>
  <si>
    <t>Description 1656</t>
  </si>
  <si>
    <t>Description 1657</t>
  </si>
  <si>
    <t>Description 1658</t>
  </si>
  <si>
    <t>Description 1659</t>
  </si>
  <si>
    <t>Description 1660</t>
  </si>
  <si>
    <t>Description 1661</t>
  </si>
  <si>
    <t>Description 1662</t>
  </si>
  <si>
    <t>Description 1663</t>
  </si>
  <si>
    <t>Description 1664</t>
  </si>
  <si>
    <t>Description 1665</t>
  </si>
  <si>
    <t>Description 1666</t>
  </si>
  <si>
    <t>Description 1667</t>
  </si>
  <si>
    <t>Description 1668</t>
  </si>
  <si>
    <t>Description 1669</t>
  </si>
  <si>
    <t>Description 1670</t>
  </si>
  <si>
    <t>Description 1671</t>
  </si>
  <si>
    <t>Description 1672</t>
  </si>
  <si>
    <t>Description 1673</t>
  </si>
  <si>
    <t>Description 1674</t>
  </si>
  <si>
    <t>Description 1675</t>
  </si>
  <si>
    <t>Description 1676</t>
  </si>
  <si>
    <t>Description 1677</t>
  </si>
  <si>
    <t>Description 1678</t>
  </si>
  <si>
    <t>Description 1679</t>
  </si>
  <si>
    <t>Description 1680</t>
  </si>
  <si>
    <t>Description 1681</t>
  </si>
  <si>
    <t>Description 1682</t>
  </si>
  <si>
    <t>Description 1683</t>
  </si>
  <si>
    <t>Description 1684</t>
  </si>
  <si>
    <t>Description 1685</t>
  </si>
  <si>
    <t>Description 1686</t>
  </si>
  <si>
    <t>Description 1687</t>
  </si>
  <si>
    <t>Description 1688</t>
  </si>
  <si>
    <t>Description 1689</t>
  </si>
  <si>
    <t>Description 1690</t>
  </si>
  <si>
    <t>Description 1691</t>
  </si>
  <si>
    <t>Description 1692</t>
  </si>
  <si>
    <t>Description 1693</t>
  </si>
  <si>
    <t>Description 1694</t>
  </si>
  <si>
    <t>Description 1695</t>
  </si>
  <si>
    <t>Description 1696</t>
  </si>
  <si>
    <t>Description 1697</t>
  </si>
  <si>
    <t>Description 1698</t>
  </si>
  <si>
    <t>Description 1699</t>
  </si>
  <si>
    <t>Description 1700</t>
  </si>
  <si>
    <t>Description 1701</t>
  </si>
  <si>
    <t>Description 1702</t>
  </si>
  <si>
    <t>Description 1703</t>
  </si>
  <si>
    <t>Description 1704</t>
  </si>
  <si>
    <t>Description 1705</t>
  </si>
  <si>
    <t>Description 1706</t>
  </si>
  <si>
    <t>Description 1707</t>
  </si>
  <si>
    <t>Description 1708</t>
  </si>
  <si>
    <t>Description 1709</t>
  </si>
  <si>
    <t>Description 1710</t>
  </si>
  <si>
    <t>Description 1711</t>
  </si>
  <si>
    <t>Description 1712</t>
  </si>
  <si>
    <t>Description 1713</t>
  </si>
  <si>
    <t>Description 1714</t>
  </si>
  <si>
    <t>Description 1715</t>
  </si>
  <si>
    <t>Description 1716</t>
  </si>
  <si>
    <t>Description 1717</t>
  </si>
  <si>
    <t>Description 1718</t>
  </si>
  <si>
    <t>Description 1719</t>
  </si>
  <si>
    <t>Description 1720</t>
  </si>
  <si>
    <t>Description 1721</t>
  </si>
  <si>
    <t>Description 1722</t>
  </si>
  <si>
    <t>Description 1723</t>
  </si>
  <si>
    <t>Description 1724</t>
  </si>
  <si>
    <t>Description 1725</t>
  </si>
  <si>
    <t>Description 1726</t>
  </si>
  <si>
    <t>Description 1727</t>
  </si>
  <si>
    <t>Description 1728</t>
  </si>
  <si>
    <t>Description 1729</t>
  </si>
  <si>
    <t>Description 1730</t>
  </si>
  <si>
    <t>Description 1731</t>
  </si>
  <si>
    <t>Description 1732</t>
  </si>
  <si>
    <t>Description 1733</t>
  </si>
  <si>
    <t>Description 1734</t>
  </si>
  <si>
    <t>Description 1735</t>
  </si>
  <si>
    <t>Description 1736</t>
  </si>
  <si>
    <t>Description 1737</t>
  </si>
  <si>
    <t>Description 1738</t>
  </si>
  <si>
    <t>Description 1739</t>
  </si>
  <si>
    <t>Description 1740</t>
  </si>
  <si>
    <t>Description 1741</t>
  </si>
  <si>
    <t>Description 1742</t>
  </si>
  <si>
    <t>Description 1743</t>
  </si>
  <si>
    <t>Description 1744</t>
  </si>
  <si>
    <t>Description 1745</t>
  </si>
  <si>
    <t>Description 1746</t>
  </si>
  <si>
    <t>Description 1747</t>
  </si>
  <si>
    <t>Description 1748</t>
  </si>
  <si>
    <t>Description 1749</t>
  </si>
  <si>
    <t>Description 1750</t>
  </si>
  <si>
    <t>Description 1751</t>
  </si>
  <si>
    <t>Description 1752</t>
  </si>
  <si>
    <t>Description 1753</t>
  </si>
  <si>
    <t>Description 1754</t>
  </si>
  <si>
    <t>Description 1755</t>
  </si>
  <si>
    <t>Description 1756</t>
  </si>
  <si>
    <t>Description 1757</t>
  </si>
  <si>
    <t>Description 1758</t>
  </si>
  <si>
    <t>Description 1759</t>
  </si>
  <si>
    <t>Description 1760</t>
  </si>
  <si>
    <t>Description 1761</t>
  </si>
  <si>
    <t>Description 1762</t>
  </si>
  <si>
    <t>Description 1763</t>
  </si>
  <si>
    <t>Description 1764</t>
  </si>
  <si>
    <t>Description 1765</t>
  </si>
  <si>
    <t>Description 1766</t>
  </si>
  <si>
    <t>Description 1767</t>
  </si>
  <si>
    <t>Description 1768</t>
  </si>
  <si>
    <t>Description 1769</t>
  </si>
  <si>
    <t>Description 1770</t>
  </si>
  <si>
    <t>Description 1771</t>
  </si>
  <si>
    <t>Description 1772</t>
  </si>
  <si>
    <t>Description 1773</t>
  </si>
  <si>
    <t>Description 1774</t>
  </si>
  <si>
    <t>Description 1775</t>
  </si>
  <si>
    <t>Description 1776</t>
  </si>
  <si>
    <t>Description 1777</t>
  </si>
  <si>
    <t>Description 1778</t>
  </si>
  <si>
    <t>Description 1779</t>
  </si>
  <si>
    <t>Description 1780</t>
  </si>
  <si>
    <t>Description 1781</t>
  </si>
  <si>
    <t>Description 1782</t>
  </si>
  <si>
    <t>Description 1783</t>
  </si>
  <si>
    <t>Description 1784</t>
  </si>
  <si>
    <t>Description 1785</t>
  </si>
  <si>
    <t>Description 1786</t>
  </si>
  <si>
    <t>Description 1787</t>
  </si>
  <si>
    <t>Description 1788</t>
  </si>
  <si>
    <t>Description 1789</t>
  </si>
  <si>
    <t>Description 1790</t>
  </si>
  <si>
    <t>Description 1791</t>
  </si>
  <si>
    <t>Description 1792</t>
  </si>
  <si>
    <t>Description 1793</t>
  </si>
  <si>
    <t>Description 1794</t>
  </si>
  <si>
    <t>Description 1795</t>
  </si>
  <si>
    <t>Description 1796</t>
  </si>
  <si>
    <t>Description 1797</t>
  </si>
  <si>
    <t>Description 1798</t>
  </si>
  <si>
    <t>Description 1799</t>
  </si>
  <si>
    <t>Description 1800</t>
  </si>
  <si>
    <t>Description 1801</t>
  </si>
  <si>
    <t>Description 1802</t>
  </si>
  <si>
    <t>Description 1803</t>
  </si>
  <si>
    <t>Description 1804</t>
  </si>
  <si>
    <t>Description 1805</t>
  </si>
  <si>
    <t>Description 1806</t>
  </si>
  <si>
    <t>Description 1807</t>
  </si>
  <si>
    <t>Description 1808</t>
  </si>
  <si>
    <t>Description 1809</t>
  </si>
  <si>
    <t>Description 1810</t>
  </si>
  <si>
    <t>Description 1811</t>
  </si>
  <si>
    <t>Description 1812</t>
  </si>
  <si>
    <t>Description 1813</t>
  </si>
  <si>
    <t>Description 1814</t>
  </si>
  <si>
    <t>Description 1815</t>
  </si>
  <si>
    <t>Description 1816</t>
  </si>
  <si>
    <t>Description 1817</t>
  </si>
  <si>
    <t>Description 1818</t>
  </si>
  <si>
    <t>Description 1819</t>
  </si>
  <si>
    <t>Description 1820</t>
  </si>
  <si>
    <t>Description 1821</t>
  </si>
  <si>
    <t>Description 1822</t>
  </si>
  <si>
    <t>Description 1823</t>
  </si>
  <si>
    <t>Description 1824</t>
  </si>
  <si>
    <t>Description 1825</t>
  </si>
  <si>
    <t>Description 1826</t>
  </si>
  <si>
    <t>Description 1827</t>
  </si>
  <si>
    <t>Description 1828</t>
  </si>
  <si>
    <t>Description 1829</t>
  </si>
  <si>
    <t>Description 1830</t>
  </si>
  <si>
    <t>Description 1831</t>
  </si>
  <si>
    <t>Description 1832</t>
  </si>
  <si>
    <t>Description 1833</t>
  </si>
  <si>
    <t>Description 1834</t>
  </si>
  <si>
    <t>Description 1835</t>
  </si>
  <si>
    <t>Description 1836</t>
  </si>
  <si>
    <t>Description 1837</t>
  </si>
  <si>
    <t>Description 1838</t>
  </si>
  <si>
    <t>Description 1839</t>
  </si>
  <si>
    <t>Description 1840</t>
  </si>
  <si>
    <t>Description 1841</t>
  </si>
  <si>
    <t>Description 1842</t>
  </si>
  <si>
    <t>Description 1843</t>
  </si>
  <si>
    <t>Description 1844</t>
  </si>
  <si>
    <t>Description 1845</t>
  </si>
  <si>
    <t>Description 1846</t>
  </si>
  <si>
    <t>Description 1847</t>
  </si>
  <si>
    <t>Description 1848</t>
  </si>
  <si>
    <t>Description 1849</t>
  </si>
  <si>
    <t>Description 1850</t>
  </si>
  <si>
    <t>Description 1851</t>
  </si>
  <si>
    <t>Description 1852</t>
  </si>
  <si>
    <t>Description 1853</t>
  </si>
  <si>
    <t>Description 1854</t>
  </si>
  <si>
    <t>Description 1855</t>
  </si>
  <si>
    <t>Description 1856</t>
  </si>
  <si>
    <t>Description 1857</t>
  </si>
  <si>
    <t>Description 1858</t>
  </si>
  <si>
    <t>Description 1859</t>
  </si>
  <si>
    <t>Description 1860</t>
  </si>
  <si>
    <t>Description 1861</t>
  </si>
  <si>
    <t>Description 1862</t>
  </si>
  <si>
    <t>Description 1863</t>
  </si>
  <si>
    <t>Description 1864</t>
  </si>
  <si>
    <t>Description 1865</t>
  </si>
  <si>
    <t>Description 1866</t>
  </si>
  <si>
    <t>Description 1867</t>
  </si>
  <si>
    <t>Description 1868</t>
  </si>
  <si>
    <t>Description 1869</t>
  </si>
  <si>
    <t>Description 1870</t>
  </si>
  <si>
    <t>Description 1871</t>
  </si>
  <si>
    <t>Description 1872</t>
  </si>
  <si>
    <t>Description 1873</t>
  </si>
  <si>
    <t>Description 1874</t>
  </si>
  <si>
    <t>Description 1875</t>
  </si>
  <si>
    <t>Description 1876</t>
  </si>
  <si>
    <t>Description 1877</t>
  </si>
  <si>
    <t>Description 1878</t>
  </si>
  <si>
    <t>Description 1879</t>
  </si>
  <si>
    <t>Description 1880</t>
  </si>
  <si>
    <t>Description 1881</t>
  </si>
  <si>
    <t>Description 1882</t>
  </si>
  <si>
    <t>Description 1883</t>
  </si>
  <si>
    <t>Description 1884</t>
  </si>
  <si>
    <t>Description 1885</t>
  </si>
  <si>
    <t>Description 1886</t>
  </si>
  <si>
    <t>Description 1887</t>
  </si>
  <si>
    <t>Description 1888</t>
  </si>
  <si>
    <t>Description 1889</t>
  </si>
  <si>
    <t>Description 1890</t>
  </si>
  <si>
    <t>Description 1891</t>
  </si>
  <si>
    <t>Description 1892</t>
  </si>
  <si>
    <t>Description 1893</t>
  </si>
  <si>
    <t>Description 1894</t>
  </si>
  <si>
    <t>Description 1895</t>
  </si>
  <si>
    <t>Description 1896</t>
  </si>
  <si>
    <t>Description 1897</t>
  </si>
  <si>
    <t>Description 1898</t>
  </si>
  <si>
    <t>Description 1899</t>
  </si>
  <si>
    <t>Description 1900</t>
  </si>
  <si>
    <t>Description 1901</t>
  </si>
  <si>
    <t>Description 1902</t>
  </si>
  <si>
    <t>Description 1903</t>
  </si>
  <si>
    <t>Description 1904</t>
  </si>
  <si>
    <t>Description 1905</t>
  </si>
  <si>
    <t>Description 1906</t>
  </si>
  <si>
    <t>Description 1907</t>
  </si>
  <si>
    <t>Description 1908</t>
  </si>
  <si>
    <t>Description 1909</t>
  </si>
  <si>
    <t>Description 1910</t>
  </si>
  <si>
    <t>Description 1911</t>
  </si>
  <si>
    <t>Description 1912</t>
  </si>
  <si>
    <t>Description 1913</t>
  </si>
  <si>
    <t>Description 1914</t>
  </si>
  <si>
    <t>Description 1915</t>
  </si>
  <si>
    <t>Description 1916</t>
  </si>
  <si>
    <t>Description 1917</t>
  </si>
  <si>
    <t>Description 1918</t>
  </si>
  <si>
    <t>Description 1919</t>
  </si>
  <si>
    <t>Description 1920</t>
  </si>
  <si>
    <t>Description 1921</t>
  </si>
  <si>
    <t>Description 1922</t>
  </si>
  <si>
    <t>Description 1923</t>
  </si>
  <si>
    <t>Description 1924</t>
  </si>
  <si>
    <t>Description 1925</t>
  </si>
  <si>
    <t>Description 1926</t>
  </si>
  <si>
    <t>Description 1927</t>
  </si>
  <si>
    <t>Description 1928</t>
  </si>
  <si>
    <t>Description 1929</t>
  </si>
  <si>
    <t>Description 1930</t>
  </si>
  <si>
    <t>Description 1931</t>
  </si>
  <si>
    <t>Description 1932</t>
  </si>
  <si>
    <t>Description 1933</t>
  </si>
  <si>
    <t>Description 1934</t>
  </si>
  <si>
    <t>Description 1935</t>
  </si>
  <si>
    <t>Description 1936</t>
  </si>
  <si>
    <t>Description 1937</t>
  </si>
  <si>
    <t>Description 1938</t>
  </si>
  <si>
    <t>Description 1939</t>
  </si>
  <si>
    <t>Description 1940</t>
  </si>
  <si>
    <t>Description 1941</t>
  </si>
  <si>
    <t>Description 1942</t>
  </si>
  <si>
    <t>Description 1943</t>
  </si>
  <si>
    <t>Description 1944</t>
  </si>
  <si>
    <t>Description 1945</t>
  </si>
  <si>
    <t>Description 1946</t>
  </si>
  <si>
    <t>Description 1947</t>
  </si>
  <si>
    <t>Description 1948</t>
  </si>
  <si>
    <t>Description 1949</t>
  </si>
  <si>
    <t>Description 1950</t>
  </si>
  <si>
    <t>Description 1951</t>
  </si>
  <si>
    <t>Description 1952</t>
  </si>
  <si>
    <t>Description 1953</t>
  </si>
  <si>
    <t>Description 1954</t>
  </si>
  <si>
    <t>Description 1955</t>
  </si>
  <si>
    <t>Description 1956</t>
  </si>
  <si>
    <t>Description 1957</t>
  </si>
  <si>
    <t>Description 1958</t>
  </si>
  <si>
    <t>Description 1959</t>
  </si>
  <si>
    <t>Description 1960</t>
  </si>
  <si>
    <t>Description 1961</t>
  </si>
  <si>
    <t>Description 1962</t>
  </si>
  <si>
    <t>Description 1963</t>
  </si>
  <si>
    <t>Description 1964</t>
  </si>
  <si>
    <t>Description 1965</t>
  </si>
  <si>
    <t>Description 1966</t>
  </si>
  <si>
    <t>Description 1967</t>
  </si>
  <si>
    <t>Description 1968</t>
  </si>
  <si>
    <t>Description 1969</t>
  </si>
  <si>
    <t>Description 1970</t>
  </si>
  <si>
    <t>Description 1971</t>
  </si>
  <si>
    <t>Description 1972</t>
  </si>
  <si>
    <t>Description 1973</t>
  </si>
  <si>
    <t>Description 1974</t>
  </si>
  <si>
    <t>Description 1975</t>
  </si>
  <si>
    <t>Description 1976</t>
  </si>
  <si>
    <t>Description 1977</t>
  </si>
  <si>
    <t>Description 1978</t>
  </si>
  <si>
    <t>Description 1979</t>
  </si>
  <si>
    <t>Description 1980</t>
  </si>
  <si>
    <t>Description 1981</t>
  </si>
  <si>
    <t>Description 1982</t>
  </si>
  <si>
    <t>Description 1983</t>
  </si>
  <si>
    <t>Description 1984</t>
  </si>
  <si>
    <t>Description 1985</t>
  </si>
  <si>
    <t>Description 1986</t>
  </si>
  <si>
    <t>Description 1987</t>
  </si>
  <si>
    <t>Description 1988</t>
  </si>
  <si>
    <t>Description 1989</t>
  </si>
  <si>
    <t>Description 1990</t>
  </si>
  <si>
    <t>Description 1991</t>
  </si>
  <si>
    <t>Description 1992</t>
  </si>
  <si>
    <t>Description 1993</t>
  </si>
  <si>
    <t>Description 1994</t>
  </si>
  <si>
    <t>Description 1995</t>
  </si>
  <si>
    <t>Description 1996</t>
  </si>
  <si>
    <t>Description 1997</t>
  </si>
  <si>
    <t>Description 1998</t>
  </si>
  <si>
    <t>Description 1999</t>
  </si>
  <si>
    <t>Description 2000</t>
  </si>
  <si>
    <t>Description 2001</t>
  </si>
  <si>
    <t>Description 2002</t>
  </si>
  <si>
    <t>Description 2003</t>
  </si>
  <si>
    <t>Description 2004</t>
  </si>
  <si>
    <t>Description 2005</t>
  </si>
  <si>
    <t>Description 2006</t>
  </si>
  <si>
    <t>Description 2007</t>
  </si>
  <si>
    <t>Description 2008</t>
  </si>
  <si>
    <t>Description 2009</t>
  </si>
  <si>
    <t>Description 2010</t>
  </si>
  <si>
    <t>Description 2011</t>
  </si>
  <si>
    <t>Description 2012</t>
  </si>
  <si>
    <t>Description 2013</t>
  </si>
  <si>
    <t>Description 2014</t>
  </si>
  <si>
    <t>Description 2015</t>
  </si>
  <si>
    <t>Description 2016</t>
  </si>
  <si>
    <t>Description 2017</t>
  </si>
  <si>
    <t>Description 2018</t>
  </si>
  <si>
    <t>Description 2019</t>
  </si>
  <si>
    <t>Description 2020</t>
  </si>
  <si>
    <t>Description 2021</t>
  </si>
  <si>
    <t>Description 2022</t>
  </si>
  <si>
    <t>Description 2023</t>
  </si>
  <si>
    <t>Description 2024</t>
  </si>
  <si>
    <t>Description 2025</t>
  </si>
  <si>
    <t>Description 2026</t>
  </si>
  <si>
    <t>Description 2027</t>
  </si>
  <si>
    <t>Description 2028</t>
  </si>
  <si>
    <t>Description 2029</t>
  </si>
  <si>
    <t>Description 2030</t>
  </si>
  <si>
    <t>Description 2031</t>
  </si>
  <si>
    <t>Description 2032</t>
  </si>
  <si>
    <t>Description 2033</t>
  </si>
  <si>
    <t>Description 2034</t>
  </si>
  <si>
    <t>Description 2035</t>
  </si>
  <si>
    <t>Description 2036</t>
  </si>
  <si>
    <t>Description 2037</t>
  </si>
  <si>
    <t>Description 2038</t>
  </si>
  <si>
    <t>Description 2039</t>
  </si>
  <si>
    <t>Description 2040</t>
  </si>
  <si>
    <t>Description 2041</t>
  </si>
  <si>
    <t>Description 2042</t>
  </si>
  <si>
    <t>Description 2043</t>
  </si>
  <si>
    <t>Description 2044</t>
  </si>
  <si>
    <t>Description 2045</t>
  </si>
  <si>
    <t>Description 2046</t>
  </si>
  <si>
    <t>Description 2047</t>
  </si>
  <si>
    <t>Description 2048</t>
  </si>
  <si>
    <t>Description 2049</t>
  </si>
  <si>
    <t>Description 2050</t>
  </si>
  <si>
    <t>Description 2051</t>
  </si>
  <si>
    <t>Description 2052</t>
  </si>
  <si>
    <t>Description 2053</t>
  </si>
  <si>
    <t>Description 2054</t>
  </si>
  <si>
    <t>Description 2055</t>
  </si>
  <si>
    <t>Description 2056</t>
  </si>
  <si>
    <t>Description 2057</t>
  </si>
  <si>
    <t>Description 2058</t>
  </si>
  <si>
    <t>Description 2059</t>
  </si>
  <si>
    <t>Description 2060</t>
  </si>
  <si>
    <t>Description 2061</t>
  </si>
  <si>
    <t>Description 2062</t>
  </si>
  <si>
    <t>Description 2063</t>
  </si>
  <si>
    <t>Description 2064</t>
  </si>
  <si>
    <t>Description 2065</t>
  </si>
  <si>
    <t>Description 2066</t>
  </si>
  <si>
    <t>Description 2067</t>
  </si>
  <si>
    <t>Description 2068</t>
  </si>
  <si>
    <t>Description 2069</t>
  </si>
  <si>
    <t>Description 2070</t>
  </si>
  <si>
    <t>Description 2071</t>
  </si>
  <si>
    <t>Description 2072</t>
  </si>
  <si>
    <t>Description 2073</t>
  </si>
  <si>
    <t>Description 2074</t>
  </si>
  <si>
    <t>Description 2075</t>
  </si>
  <si>
    <t>Description 2076</t>
  </si>
  <si>
    <t>Description 2077</t>
  </si>
  <si>
    <t>Description 2078</t>
  </si>
  <si>
    <t>Description 2079</t>
  </si>
  <si>
    <t>Description 2080</t>
  </si>
  <si>
    <t>Description 2081</t>
  </si>
  <si>
    <t>Description 2082</t>
  </si>
  <si>
    <t>Description 2083</t>
  </si>
  <si>
    <t>Description 2084</t>
  </si>
  <si>
    <t>Description 2085</t>
  </si>
  <si>
    <t>Description 2086</t>
  </si>
  <si>
    <t>Description 2087</t>
  </si>
  <si>
    <t>Description 2088</t>
  </si>
  <si>
    <t>Description 2089</t>
  </si>
  <si>
    <t>Description 2090</t>
  </si>
  <si>
    <t>Description 2091</t>
  </si>
  <si>
    <t>Description 2092</t>
  </si>
  <si>
    <t>Description 2093</t>
  </si>
  <si>
    <t>Description 2094</t>
  </si>
  <si>
    <t>Description 2095</t>
  </si>
  <si>
    <t>Description 2096</t>
  </si>
  <si>
    <t>Description 2097</t>
  </si>
  <si>
    <t>Description 2098</t>
  </si>
  <si>
    <t>Description 2099</t>
  </si>
  <si>
    <t>Description 2100</t>
  </si>
  <si>
    <t>Description 2101</t>
  </si>
  <si>
    <t>Description 2102</t>
  </si>
  <si>
    <t>Description 2103</t>
  </si>
  <si>
    <t>Description 2104</t>
  </si>
  <si>
    <t>Description 2105</t>
  </si>
  <si>
    <t>Description 2106</t>
  </si>
  <si>
    <t>Description 2107</t>
  </si>
  <si>
    <t>Description 2108</t>
  </si>
  <si>
    <t>Description 2109</t>
  </si>
  <si>
    <t>Description 2110</t>
  </si>
  <si>
    <t>Description 2111</t>
  </si>
  <si>
    <t>Description 2112</t>
  </si>
  <si>
    <t>Description 2113</t>
  </si>
  <si>
    <t>Description 2114</t>
  </si>
  <si>
    <t>Description 2115</t>
  </si>
  <si>
    <t>Description 2116</t>
  </si>
  <si>
    <t>Description 2117</t>
  </si>
  <si>
    <t>Description 2118</t>
  </si>
  <si>
    <t>Description 2119</t>
  </si>
  <si>
    <t>Description 2120</t>
  </si>
  <si>
    <t>Description 2121</t>
  </si>
  <si>
    <t>Description 2122</t>
  </si>
  <si>
    <t>Description 2123</t>
  </si>
  <si>
    <t>Description 2124</t>
  </si>
  <si>
    <t>Description 2125</t>
  </si>
  <si>
    <t>Description 2126</t>
  </si>
  <si>
    <t>Description 2127</t>
  </si>
  <si>
    <t>Description 2128</t>
  </si>
  <si>
    <t>Description 2129</t>
  </si>
  <si>
    <t>Description 2130</t>
  </si>
  <si>
    <t>Description 2131</t>
  </si>
  <si>
    <t>Description 2132</t>
  </si>
  <si>
    <t>Description 2133</t>
  </si>
  <si>
    <t>Description 2134</t>
  </si>
  <si>
    <t>Description 2135</t>
  </si>
  <si>
    <t>Description 2136</t>
  </si>
  <si>
    <t>Description 2137</t>
  </si>
  <si>
    <t>Description 2138</t>
  </si>
  <si>
    <t>Description 2139</t>
  </si>
  <si>
    <t>Description 2140</t>
  </si>
  <si>
    <t>Description 2141</t>
  </si>
  <si>
    <t>Description 2142</t>
  </si>
  <si>
    <t>Description 2143</t>
  </si>
  <si>
    <t>Description 2144</t>
  </si>
  <si>
    <t>Description 2145</t>
  </si>
  <si>
    <t>Description 2146</t>
  </si>
  <si>
    <t>Description 2147</t>
  </si>
  <si>
    <t>Description 2148</t>
  </si>
  <si>
    <t>Description 2149</t>
  </si>
  <si>
    <t>Description 2150</t>
  </si>
  <si>
    <t>Description 2151</t>
  </si>
  <si>
    <t>Description 2152</t>
  </si>
  <si>
    <t>Description 2153</t>
  </si>
  <si>
    <t>Description 2154</t>
  </si>
  <si>
    <t>Description 2155</t>
  </si>
  <si>
    <t>Description 2156</t>
  </si>
  <si>
    <t>Description 2157</t>
  </si>
  <si>
    <t>Description 2158</t>
  </si>
  <si>
    <t>Description 2159</t>
  </si>
  <si>
    <t>Description 2160</t>
  </si>
  <si>
    <t>Description 2161</t>
  </si>
  <si>
    <t>Description 2162</t>
  </si>
  <si>
    <t>Description 2163</t>
  </si>
  <si>
    <t>Description 2164</t>
  </si>
  <si>
    <t>Description 2165</t>
  </si>
  <si>
    <t>Description 2166</t>
  </si>
  <si>
    <t>Description 2167</t>
  </si>
  <si>
    <t>Description 2168</t>
  </si>
  <si>
    <t>Description 2169</t>
  </si>
  <si>
    <t>Description 2170</t>
  </si>
  <si>
    <t>Description 2171</t>
  </si>
  <si>
    <t>Description 2172</t>
  </si>
  <si>
    <t>Description 2173</t>
  </si>
  <si>
    <t>Description 2174</t>
  </si>
  <si>
    <t>Description 2175</t>
  </si>
  <si>
    <t>Description 2176</t>
  </si>
  <si>
    <t>Description 2177</t>
  </si>
  <si>
    <t>Description 2178</t>
  </si>
  <si>
    <t>Description 2179</t>
  </si>
  <si>
    <t>Description 2180</t>
  </si>
  <si>
    <t>Description 2181</t>
  </si>
  <si>
    <t>Description 2182</t>
  </si>
  <si>
    <t>Description 2183</t>
  </si>
  <si>
    <t>Description 2184</t>
  </si>
  <si>
    <t>Description 2185</t>
  </si>
  <si>
    <t>Description 2186</t>
  </si>
  <si>
    <t>Description 2187</t>
  </si>
  <si>
    <t>Description 2188</t>
  </si>
  <si>
    <t>Description 2189</t>
  </si>
  <si>
    <t>Description 2190</t>
  </si>
  <si>
    <t>Description 2191</t>
  </si>
  <si>
    <t>Description 2192</t>
  </si>
  <si>
    <t>Description 2193</t>
  </si>
  <si>
    <t>Description 2194</t>
  </si>
  <si>
    <t>Description 2195</t>
  </si>
  <si>
    <t>Description 2196</t>
  </si>
  <si>
    <t>Description 2197</t>
  </si>
  <si>
    <t>Description 2198</t>
  </si>
  <si>
    <t>Description 2199</t>
  </si>
  <si>
    <t>Description 2200</t>
  </si>
  <si>
    <t>Description 2201</t>
  </si>
  <si>
    <t>Description 2202</t>
  </si>
  <si>
    <t>Description 2203</t>
  </si>
  <si>
    <t>Description 2204</t>
  </si>
  <si>
    <t>Description 2205</t>
  </si>
  <si>
    <t>Description 2206</t>
  </si>
  <si>
    <t>Description 2207</t>
  </si>
  <si>
    <t>Description 2208</t>
  </si>
  <si>
    <t>Description 2209</t>
  </si>
  <si>
    <t>Description 2210</t>
  </si>
  <si>
    <t>Description 2211</t>
  </si>
  <si>
    <t>Description 2212</t>
  </si>
  <si>
    <t>Description 2213</t>
  </si>
  <si>
    <t>Description 2214</t>
  </si>
  <si>
    <t>Description 2215</t>
  </si>
  <si>
    <t>Description 2216</t>
  </si>
  <si>
    <t>Description 2217</t>
  </si>
  <si>
    <t>Description 2218</t>
  </si>
  <si>
    <t>Description 2219</t>
  </si>
  <si>
    <t>Description 2220</t>
  </si>
  <si>
    <t>Description 2221</t>
  </si>
  <si>
    <t>Description 2222</t>
  </si>
  <si>
    <t>Description 2223</t>
  </si>
  <si>
    <t>Description 2224</t>
  </si>
  <si>
    <t>Description 2225</t>
  </si>
  <si>
    <t>Description 2226</t>
  </si>
  <si>
    <t>Description 2227</t>
  </si>
  <si>
    <t>Description 2228</t>
  </si>
  <si>
    <t>Description 2229</t>
  </si>
  <si>
    <t>Description 2230</t>
  </si>
  <si>
    <t>Description 2231</t>
  </si>
  <si>
    <t>Description 2232</t>
  </si>
  <si>
    <t>Description 2233</t>
  </si>
  <si>
    <t>Description 2234</t>
  </si>
  <si>
    <t>Description 2235</t>
  </si>
  <si>
    <t>Description 2236</t>
  </si>
  <si>
    <t>Description 2237</t>
  </si>
  <si>
    <t>Description 2238</t>
  </si>
  <si>
    <t>Description 2239</t>
  </si>
  <si>
    <t>Description 2240</t>
  </si>
  <si>
    <t>Description 2241</t>
  </si>
  <si>
    <t>Description 2242</t>
  </si>
  <si>
    <t>Description 2243</t>
  </si>
  <si>
    <t>Description 2244</t>
  </si>
  <si>
    <t>Description 2245</t>
  </si>
  <si>
    <t>Description 2246</t>
  </si>
  <si>
    <t>Description 2247</t>
  </si>
  <si>
    <t>Description 2248</t>
  </si>
  <si>
    <t>Description 2249</t>
  </si>
  <si>
    <t>Description 2250</t>
  </si>
  <si>
    <t>Description 2251</t>
  </si>
  <si>
    <t>Description 2252</t>
  </si>
  <si>
    <t>Description 2253</t>
  </si>
  <si>
    <t>Description 2254</t>
  </si>
  <si>
    <t>Description 2255</t>
  </si>
  <si>
    <t>Description 2256</t>
  </si>
  <si>
    <t>Description 2257</t>
  </si>
  <si>
    <t>Description 2258</t>
  </si>
  <si>
    <t>Description 2259</t>
  </si>
  <si>
    <t>Description 2260</t>
  </si>
  <si>
    <t>Description 2261</t>
  </si>
  <si>
    <t>Description 2262</t>
  </si>
  <si>
    <t>Description 2263</t>
  </si>
  <si>
    <t>Description 2264</t>
  </si>
  <si>
    <t>Description 2265</t>
  </si>
  <si>
    <t>Description 2266</t>
  </si>
  <si>
    <t>Description 2267</t>
  </si>
  <si>
    <t>Description 2268</t>
  </si>
  <si>
    <t>Description 2269</t>
  </si>
  <si>
    <t>Description 2270</t>
  </si>
  <si>
    <t>Description 2271</t>
  </si>
  <si>
    <t>Description 2272</t>
  </si>
  <si>
    <t>Description 2273</t>
  </si>
  <si>
    <t>Description 2274</t>
  </si>
  <si>
    <t>Description 2275</t>
  </si>
  <si>
    <t>Description 2276</t>
  </si>
  <si>
    <t>Description 2277</t>
  </si>
  <si>
    <t>Description 2278</t>
  </si>
  <si>
    <t>Description 2279</t>
  </si>
  <si>
    <t>Description 2280</t>
  </si>
  <si>
    <t>Description 2281</t>
  </si>
  <si>
    <t>Description 2282</t>
  </si>
  <si>
    <t>Description 2283</t>
  </si>
  <si>
    <t>Description 2284</t>
  </si>
  <si>
    <t>Description 2285</t>
  </si>
  <si>
    <t>Description 2286</t>
  </si>
  <si>
    <t>Description 2287</t>
  </si>
  <si>
    <t>Description 2288</t>
  </si>
  <si>
    <t>Description 2289</t>
  </si>
  <si>
    <t>Description 2290</t>
  </si>
  <si>
    <t>Description 2291</t>
  </si>
  <si>
    <t>Description 2292</t>
  </si>
  <si>
    <t>Description 2293</t>
  </si>
  <si>
    <t>Description 2294</t>
  </si>
  <si>
    <t>Description 2295</t>
  </si>
  <si>
    <t>Description 2296</t>
  </si>
  <si>
    <t>Description 2297</t>
  </si>
  <si>
    <t>Description 2298</t>
  </si>
  <si>
    <t>Description 2299</t>
  </si>
  <si>
    <t>Description 2300</t>
  </si>
  <si>
    <t>Description 2301</t>
  </si>
  <si>
    <t>Description 2302</t>
  </si>
  <si>
    <t>Description 2303</t>
  </si>
  <si>
    <t>Description 2304</t>
  </si>
  <si>
    <t>Description 2305</t>
  </si>
  <si>
    <t>Description 2306</t>
  </si>
  <si>
    <t>Description 2307</t>
  </si>
  <si>
    <t>Description 2308</t>
  </si>
  <si>
    <t>Description 2309</t>
  </si>
  <si>
    <t>Description 2310</t>
  </si>
  <si>
    <t>Description 2311</t>
  </si>
  <si>
    <t>Description 2312</t>
  </si>
  <si>
    <t>Description 2313</t>
  </si>
  <si>
    <t>Description 2314</t>
  </si>
  <si>
    <t>Description 2315</t>
  </si>
  <si>
    <t>Description 2316</t>
  </si>
  <si>
    <t>Description 2317</t>
  </si>
  <si>
    <t>Description 2318</t>
  </si>
  <si>
    <t>Description 2319</t>
  </si>
  <si>
    <t>Description 2320</t>
  </si>
  <si>
    <t>Description 2321</t>
  </si>
  <si>
    <t>Description 2322</t>
  </si>
  <si>
    <t>Description 2323</t>
  </si>
  <si>
    <t>Description 2324</t>
  </si>
  <si>
    <t>Description 2325</t>
  </si>
  <si>
    <t>Description 2326</t>
  </si>
  <si>
    <t>Description 2327</t>
  </si>
  <si>
    <t>Description 2328</t>
  </si>
  <si>
    <t>Description 2329</t>
  </si>
  <si>
    <t>Description 2330</t>
  </si>
  <si>
    <t>Description 2331</t>
  </si>
  <si>
    <t>Description 2332</t>
  </si>
  <si>
    <t>Description 2333</t>
  </si>
  <si>
    <t>Description 2334</t>
  </si>
  <si>
    <t>Description 2335</t>
  </si>
  <si>
    <t>Description 2336</t>
  </si>
  <si>
    <t>Description 2337</t>
  </si>
  <si>
    <t>Description 2338</t>
  </si>
  <si>
    <t>Description 2339</t>
  </si>
  <si>
    <t>Description 2340</t>
  </si>
  <si>
    <t>Description 2341</t>
  </si>
  <si>
    <t>Description 2342</t>
  </si>
  <si>
    <t>Description 2343</t>
  </si>
  <si>
    <t>Description 2344</t>
  </si>
  <si>
    <t>Description 2345</t>
  </si>
  <si>
    <t>Description 2346</t>
  </si>
  <si>
    <t>Description 2347</t>
  </si>
  <si>
    <t>Description 2348</t>
  </si>
  <si>
    <t>Description 2349</t>
  </si>
  <si>
    <t>Description 2350</t>
  </si>
  <si>
    <t>Description 2351</t>
  </si>
  <si>
    <t>Description 2352</t>
  </si>
  <si>
    <t>Description 2353</t>
  </si>
  <si>
    <t>Description 2354</t>
  </si>
  <si>
    <t>Description 2355</t>
  </si>
  <si>
    <t>Description 2356</t>
  </si>
  <si>
    <t>Description 2357</t>
  </si>
  <si>
    <t>Description 2358</t>
  </si>
  <si>
    <t>Description 2359</t>
  </si>
  <si>
    <t>Description 2360</t>
  </si>
  <si>
    <t>Description 2361</t>
  </si>
  <si>
    <t>Description 2362</t>
  </si>
  <si>
    <t>Description 2363</t>
  </si>
  <si>
    <t>Description 2364</t>
  </si>
  <si>
    <t>Description 2365</t>
  </si>
  <si>
    <t>Description 2366</t>
  </si>
  <si>
    <t>Description 2367</t>
  </si>
  <si>
    <t>Description 2368</t>
  </si>
  <si>
    <t>Description 2369</t>
  </si>
  <si>
    <t>Description 2370</t>
  </si>
  <si>
    <t>Description 2371</t>
  </si>
  <si>
    <t>Description 2372</t>
  </si>
  <si>
    <t>Description 2373</t>
  </si>
  <si>
    <t>Description 2374</t>
  </si>
  <si>
    <t>Description 2375</t>
  </si>
  <si>
    <t>Description 2376</t>
  </si>
  <si>
    <t>Description 2377</t>
  </si>
  <si>
    <t>Description 2378</t>
  </si>
  <si>
    <t>Description 2379</t>
  </si>
  <si>
    <t>Description 2380</t>
  </si>
  <si>
    <t>Description 2381</t>
  </si>
  <si>
    <t>Description 2382</t>
  </si>
  <si>
    <t>Description 2383</t>
  </si>
  <si>
    <t>Description 2384</t>
  </si>
  <si>
    <t>Description 2385</t>
  </si>
  <si>
    <t>Description 2386</t>
  </si>
  <si>
    <t>Description 2387</t>
  </si>
  <si>
    <t>Description 2388</t>
  </si>
  <si>
    <t>Description 2389</t>
  </si>
  <si>
    <t>Description 2390</t>
  </si>
  <si>
    <t>Description 2391</t>
  </si>
  <si>
    <t>Description 2392</t>
  </si>
  <si>
    <t>Description 2393</t>
  </si>
  <si>
    <t>Description 2394</t>
  </si>
  <si>
    <t>Description 2395</t>
  </si>
  <si>
    <t>Description 2396</t>
  </si>
  <si>
    <t>Description 2397</t>
  </si>
  <si>
    <t>Description 2398</t>
  </si>
  <si>
    <t>Description 2399</t>
  </si>
  <si>
    <t>Description 2400</t>
  </si>
  <si>
    <t>Description 2401</t>
  </si>
  <si>
    <t>Description 2402</t>
  </si>
  <si>
    <t>Description 2403</t>
  </si>
  <si>
    <t>Description 2404</t>
  </si>
  <si>
    <t>Description 2405</t>
  </si>
  <si>
    <t>Description 2406</t>
  </si>
  <si>
    <t>Description 2407</t>
  </si>
  <si>
    <t>Description 2408</t>
  </si>
  <si>
    <t>Description 2409</t>
  </si>
  <si>
    <t>Description 2410</t>
  </si>
  <si>
    <t>Description 2411</t>
  </si>
  <si>
    <t>Description 2412</t>
  </si>
  <si>
    <t>Description 2413</t>
  </si>
  <si>
    <t>Description 2414</t>
  </si>
  <si>
    <t>Description 2415</t>
  </si>
  <si>
    <t>Description 2416</t>
  </si>
  <si>
    <t>Description 2417</t>
  </si>
  <si>
    <t>Description 2418</t>
  </si>
  <si>
    <t>Description 2419</t>
  </si>
  <si>
    <t>Description 2420</t>
  </si>
  <si>
    <t>Description 2421</t>
  </si>
  <si>
    <t>Description 2422</t>
  </si>
  <si>
    <t>Description 2423</t>
  </si>
  <si>
    <t>Description 2424</t>
  </si>
  <si>
    <t>Description 2425</t>
  </si>
  <si>
    <t>Description 2426</t>
  </si>
  <si>
    <t>Description 2427</t>
  </si>
  <si>
    <t>Description 2428</t>
  </si>
  <si>
    <t>Description 2429</t>
  </si>
  <si>
    <t>Description 2430</t>
  </si>
  <si>
    <t>Description 2431</t>
  </si>
  <si>
    <t>Description 2432</t>
  </si>
  <si>
    <t>Description 2433</t>
  </si>
  <si>
    <t>Description 2434</t>
  </si>
  <si>
    <t>Description 2435</t>
  </si>
  <si>
    <t>Description 2436</t>
  </si>
  <si>
    <t>Description 2437</t>
  </si>
  <si>
    <t>Description 2438</t>
  </si>
  <si>
    <t>Description 2439</t>
  </si>
  <si>
    <t>Description 2440</t>
  </si>
  <si>
    <t>Description 2441</t>
  </si>
  <si>
    <t>Description 2442</t>
  </si>
  <si>
    <t>Description 2443</t>
  </si>
  <si>
    <t>Description 2444</t>
  </si>
  <si>
    <t>Description 2445</t>
  </si>
  <si>
    <t>Description 2446</t>
  </si>
  <si>
    <t>Description 2447</t>
  </si>
  <si>
    <t>Description 2448</t>
  </si>
  <si>
    <t>Description 2449</t>
  </si>
  <si>
    <t>Description 2450</t>
  </si>
  <si>
    <t>Description 2451</t>
  </si>
  <si>
    <t>Description 2452</t>
  </si>
  <si>
    <t>Description 2453</t>
  </si>
  <si>
    <t>Description 2454</t>
  </si>
  <si>
    <t>Description 2455</t>
  </si>
  <si>
    <t>Description 2456</t>
  </si>
  <si>
    <t>Description 2457</t>
  </si>
  <si>
    <t>Description 2458</t>
  </si>
  <si>
    <t>Description 2459</t>
  </si>
  <si>
    <t>Description 2460</t>
  </si>
  <si>
    <t>Description 2461</t>
  </si>
  <si>
    <t>Description 2462</t>
  </si>
  <si>
    <t>Description 2463</t>
  </si>
  <si>
    <t>Description 2464</t>
  </si>
  <si>
    <t>Description 2465</t>
  </si>
  <si>
    <t>Description 2466</t>
  </si>
  <si>
    <t>Description 2467</t>
  </si>
  <si>
    <t>Description 2468</t>
  </si>
  <si>
    <t>Description 2469</t>
  </si>
  <si>
    <t>Description 2470</t>
  </si>
  <si>
    <t>Description 2471</t>
  </si>
  <si>
    <t>Description 2472</t>
  </si>
  <si>
    <t>Description 2473</t>
  </si>
  <si>
    <t>Description 2474</t>
  </si>
  <si>
    <t>Description 2475</t>
  </si>
  <si>
    <t>Description 2476</t>
  </si>
  <si>
    <t>Description 2477</t>
  </si>
  <si>
    <t>Description 2478</t>
  </si>
  <si>
    <t>Description 2479</t>
  </si>
  <si>
    <t>Description 2480</t>
  </si>
  <si>
    <t>Description 2481</t>
  </si>
  <si>
    <t>Description 2482</t>
  </si>
  <si>
    <t>Description 2483</t>
  </si>
  <si>
    <t>Description 2484</t>
  </si>
  <si>
    <t>Description 2485</t>
  </si>
  <si>
    <t>Description 2486</t>
  </si>
  <si>
    <t>Description 2487</t>
  </si>
  <si>
    <t>Description 2488</t>
  </si>
  <si>
    <t>Description 2489</t>
  </si>
  <si>
    <t>Description 2490</t>
  </si>
  <si>
    <t>Description 2491</t>
  </si>
  <si>
    <t>Description 2492</t>
  </si>
  <si>
    <t>Description 2493</t>
  </si>
  <si>
    <t>Description 2494</t>
  </si>
  <si>
    <t>Description 2495</t>
  </si>
  <si>
    <t>Description 2496</t>
  </si>
  <si>
    <t>Description 2497</t>
  </si>
  <si>
    <t>Description 2498</t>
  </si>
  <si>
    <t>Description 2499</t>
  </si>
  <si>
    <t>Description 2500</t>
  </si>
  <si>
    <t>Description 2501</t>
  </si>
  <si>
    <t>Description 2502</t>
  </si>
  <si>
    <t>Description 2503</t>
  </si>
  <si>
    <t>Description 2504</t>
  </si>
  <si>
    <t>Description 2505</t>
  </si>
  <si>
    <t>Description 2506</t>
  </si>
  <si>
    <t>Description 2507</t>
  </si>
  <si>
    <t>Description 2508</t>
  </si>
  <si>
    <t>Description 2509</t>
  </si>
  <si>
    <t>Description 2510</t>
  </si>
  <si>
    <t>Description 2511</t>
  </si>
  <si>
    <t>Description 2512</t>
  </si>
  <si>
    <t>Description 2513</t>
  </si>
  <si>
    <t>Description 2514</t>
  </si>
  <si>
    <t>Description 2515</t>
  </si>
  <si>
    <t>Description 2516</t>
  </si>
  <si>
    <t>Description 2517</t>
  </si>
  <si>
    <t>Description 2518</t>
  </si>
  <si>
    <t>Description 2519</t>
  </si>
  <si>
    <t>Description 2520</t>
  </si>
  <si>
    <t>Description 2521</t>
  </si>
  <si>
    <t>Description 2522</t>
  </si>
  <si>
    <t>Description 2523</t>
  </si>
  <si>
    <t>Description 2524</t>
  </si>
  <si>
    <t>Description 2525</t>
  </si>
  <si>
    <t>Description 2526</t>
  </si>
  <si>
    <t>Description 2527</t>
  </si>
  <si>
    <t>Description 2528</t>
  </si>
  <si>
    <t>Description 2529</t>
  </si>
  <si>
    <t>Description 2530</t>
  </si>
  <si>
    <t>Description 2531</t>
  </si>
  <si>
    <t>Description 2532</t>
  </si>
  <si>
    <t>Description 2533</t>
  </si>
  <si>
    <t>Description 2534</t>
  </si>
  <si>
    <t>Description 2535</t>
  </si>
  <si>
    <t>Description 2536</t>
  </si>
  <si>
    <t>Description 2537</t>
  </si>
  <si>
    <t>Description 2538</t>
  </si>
  <si>
    <t>Description 2539</t>
  </si>
  <si>
    <t>Description 2540</t>
  </si>
  <si>
    <t>Description 2541</t>
  </si>
  <si>
    <t>Description 2542</t>
  </si>
  <si>
    <t>Description 2543</t>
  </si>
  <si>
    <t>Description 2544</t>
  </si>
  <si>
    <t>Description 2545</t>
  </si>
  <si>
    <t>Description 2546</t>
  </si>
  <si>
    <t>Description 2547</t>
  </si>
  <si>
    <t>Description 2548</t>
  </si>
  <si>
    <t>Description 2549</t>
  </si>
  <si>
    <t>Description 2550</t>
  </si>
  <si>
    <t>Description 2551</t>
  </si>
  <si>
    <t>Description 2552</t>
  </si>
  <si>
    <t>Description 2553</t>
  </si>
  <si>
    <t>Description 2554</t>
  </si>
  <si>
    <t>Description 2555</t>
  </si>
  <si>
    <t>Description 2556</t>
  </si>
  <si>
    <t>Description 2557</t>
  </si>
  <si>
    <t>Description 2558</t>
  </si>
  <si>
    <t>Description 2559</t>
  </si>
  <si>
    <t>Description 2560</t>
  </si>
  <si>
    <t>Description 2561</t>
  </si>
  <si>
    <t>Description 2562</t>
  </si>
  <si>
    <t>Description 2563</t>
  </si>
  <si>
    <t>Description 2564</t>
  </si>
  <si>
    <t>Description 2565</t>
  </si>
  <si>
    <t>Description 2566</t>
  </si>
  <si>
    <t>Description 2567</t>
  </si>
  <si>
    <t>Description 2568</t>
  </si>
  <si>
    <t>Description 2569</t>
  </si>
  <si>
    <t>Description 2570</t>
  </si>
  <si>
    <t>Description 2571</t>
  </si>
  <si>
    <t>Description 2572</t>
  </si>
  <si>
    <t>Description 2573</t>
  </si>
  <si>
    <t>Description 2574</t>
  </si>
  <si>
    <t>Description 2575</t>
  </si>
  <si>
    <t>Description 2576</t>
  </si>
  <si>
    <t>Description 2577</t>
  </si>
  <si>
    <t>Description 2578</t>
  </si>
  <si>
    <t>Description 2579</t>
  </si>
  <si>
    <t>Description 2580</t>
  </si>
  <si>
    <t>Description 2581</t>
  </si>
  <si>
    <t>Description 2582</t>
  </si>
  <si>
    <t>Description 2583</t>
  </si>
  <si>
    <t>Description 2584</t>
  </si>
  <si>
    <t>Description 2585</t>
  </si>
  <si>
    <t>Description 2586</t>
  </si>
  <si>
    <t>Description 2587</t>
  </si>
  <si>
    <t>Description 2588</t>
  </si>
  <si>
    <t>Description 2589</t>
  </si>
  <si>
    <t>Description 2590</t>
  </si>
  <si>
    <t>Description 2591</t>
  </si>
  <si>
    <t>Description 2592</t>
  </si>
  <si>
    <t>Description 2593</t>
  </si>
  <si>
    <t>Description 2594</t>
  </si>
  <si>
    <t>Description 2595</t>
  </si>
  <si>
    <t>Description 2596</t>
  </si>
  <si>
    <t>Description 2597</t>
  </si>
  <si>
    <t>Description 2598</t>
  </si>
  <si>
    <t>Description 2599</t>
  </si>
  <si>
    <t>Description 2600</t>
  </si>
  <si>
    <t>Description 2601</t>
  </si>
  <si>
    <t>Description 2602</t>
  </si>
  <si>
    <t>Description 2603</t>
  </si>
  <si>
    <t>Description 2604</t>
  </si>
  <si>
    <t>Description 2605</t>
  </si>
  <si>
    <t>Description 2606</t>
  </si>
  <si>
    <t>Description 2607</t>
  </si>
  <si>
    <t>Description 2608</t>
  </si>
  <si>
    <t>Description 2609</t>
  </si>
  <si>
    <t>Description 2610</t>
  </si>
  <si>
    <t>Description 2611</t>
  </si>
  <si>
    <t>Description 2612</t>
  </si>
  <si>
    <t>Description 2613</t>
  </si>
  <si>
    <t>Description 2614</t>
  </si>
  <si>
    <t>Description 2615</t>
  </si>
  <si>
    <t>Description 2616</t>
  </si>
  <si>
    <t>Description 2617</t>
  </si>
  <si>
    <t>Description 2618</t>
  </si>
  <si>
    <t>Description 2619</t>
  </si>
  <si>
    <t>Description 2620</t>
  </si>
  <si>
    <t>Description 2621</t>
  </si>
  <si>
    <t>Description 2622</t>
  </si>
  <si>
    <t>Description 2623</t>
  </si>
  <si>
    <t>Description 2624</t>
  </si>
  <si>
    <t>Description 2625</t>
  </si>
  <si>
    <t>Description 2626</t>
  </si>
  <si>
    <t>Description 2627</t>
  </si>
  <si>
    <t>Description 2628</t>
  </si>
  <si>
    <t>Description 2629</t>
  </si>
  <si>
    <t>Description 2630</t>
  </si>
  <si>
    <t>Description 2631</t>
  </si>
  <si>
    <t>Description 2632</t>
  </si>
  <si>
    <t>Description 2633</t>
  </si>
  <si>
    <t>Description 2634</t>
  </si>
  <si>
    <t>Description 2635</t>
  </si>
  <si>
    <t>Description 2636</t>
  </si>
  <si>
    <t>Description 2637</t>
  </si>
  <si>
    <t>Description 2638</t>
  </si>
  <si>
    <t>Description 2639</t>
  </si>
  <si>
    <t>Description 2640</t>
  </si>
  <si>
    <t>Description 2641</t>
  </si>
  <si>
    <t>Description 2642</t>
  </si>
  <si>
    <t>Description 2643</t>
  </si>
  <si>
    <t>Description 2644</t>
  </si>
  <si>
    <t>Description 2645</t>
  </si>
  <si>
    <t>Description 2646</t>
  </si>
  <si>
    <t>Description 2647</t>
  </si>
  <si>
    <t>Description 2648</t>
  </si>
  <si>
    <t>Description 2649</t>
  </si>
  <si>
    <t>Description 2650</t>
  </si>
  <si>
    <t>Description 2651</t>
  </si>
  <si>
    <t>Description 2652</t>
  </si>
  <si>
    <t>Description 2653</t>
  </si>
  <si>
    <t>Description 2654</t>
  </si>
  <si>
    <t>Description 2655</t>
  </si>
  <si>
    <t>Description 2656</t>
  </si>
  <si>
    <t>Description 2657</t>
  </si>
  <si>
    <t>Description 2658</t>
  </si>
  <si>
    <t>Description 2659</t>
  </si>
  <si>
    <t>Description 2660</t>
  </si>
  <si>
    <t>Description 2661</t>
  </si>
  <si>
    <t>Description 2662</t>
  </si>
  <si>
    <t>Description 2663</t>
  </si>
  <si>
    <t>Description 2664</t>
  </si>
  <si>
    <t>Description 2665</t>
  </si>
  <si>
    <t>Description 2666</t>
  </si>
  <si>
    <t>Description 2667</t>
  </si>
  <si>
    <t>Description 2668</t>
  </si>
  <si>
    <t>Description 2669</t>
  </si>
  <si>
    <t>Description 2670</t>
  </si>
  <si>
    <t>Description 2671</t>
  </si>
  <si>
    <t>Description 2672</t>
  </si>
  <si>
    <t>Description 2673</t>
  </si>
  <si>
    <t>Description 2674</t>
  </si>
  <si>
    <t>Description 2675</t>
  </si>
  <si>
    <t>Description 2676</t>
  </si>
  <si>
    <t>Description 2677</t>
  </si>
  <si>
    <t>Description 2678</t>
  </si>
  <si>
    <t>Description 2679</t>
  </si>
  <si>
    <t>Description 2680</t>
  </si>
  <si>
    <t>Description 2681</t>
  </si>
  <si>
    <t>Description 2682</t>
  </si>
  <si>
    <t>Description 2683</t>
  </si>
  <si>
    <t>Description 2684</t>
  </si>
  <si>
    <t>Description 2685</t>
  </si>
  <si>
    <t>Description 2686</t>
  </si>
  <si>
    <t>Description 2687</t>
  </si>
  <si>
    <t>Description 2688</t>
  </si>
  <si>
    <t>Description 2689</t>
  </si>
  <si>
    <t>Description 2690</t>
  </si>
  <si>
    <t>Description 2691</t>
  </si>
  <si>
    <t>Description 2692</t>
  </si>
  <si>
    <t>Description 2693</t>
  </si>
  <si>
    <t>Description 2694</t>
  </si>
  <si>
    <t>Description 2695</t>
  </si>
  <si>
    <t>Description 2696</t>
  </si>
  <si>
    <t>Description 2697</t>
  </si>
  <si>
    <t>Description 2698</t>
  </si>
  <si>
    <t>Description 2699</t>
  </si>
  <si>
    <t>Description 2700</t>
  </si>
  <si>
    <t>Description 2701</t>
  </si>
  <si>
    <t>Description 2702</t>
  </si>
  <si>
    <t>Description 2703</t>
  </si>
  <si>
    <t>Description 2704</t>
  </si>
  <si>
    <t>Description 2705</t>
  </si>
  <si>
    <t>Description 2706</t>
  </si>
  <si>
    <t>Description 2707</t>
  </si>
  <si>
    <t>Description 2708</t>
  </si>
  <si>
    <t>Description 2709</t>
  </si>
  <si>
    <t>Description 2710</t>
  </si>
  <si>
    <t>Description 2711</t>
  </si>
  <si>
    <t>Description 2712</t>
  </si>
  <si>
    <t>Description 2713</t>
  </si>
  <si>
    <t>Description 2714</t>
  </si>
  <si>
    <t>Description 2715</t>
  </si>
  <si>
    <t>Description 2716</t>
  </si>
  <si>
    <t>Description 2717</t>
  </si>
  <si>
    <t>Description 2718</t>
  </si>
  <si>
    <t>Description 2719</t>
  </si>
  <si>
    <t>Description 2720</t>
  </si>
  <si>
    <t>Description 2721</t>
  </si>
  <si>
    <t>Description 2722</t>
  </si>
  <si>
    <t>Description 2723</t>
  </si>
  <si>
    <t>Description 2724</t>
  </si>
  <si>
    <t>Description 2725</t>
  </si>
  <si>
    <t>Description 2726</t>
  </si>
  <si>
    <t>Description 2727</t>
  </si>
  <si>
    <t>Description 2728</t>
  </si>
  <si>
    <t>Description 2729</t>
  </si>
  <si>
    <t>Description 2730</t>
  </si>
  <si>
    <t>Description 2731</t>
  </si>
  <si>
    <t>Description 2732</t>
  </si>
  <si>
    <t>Description 2733</t>
  </si>
  <si>
    <t>Description 2734</t>
  </si>
  <si>
    <t>Description 2735</t>
  </si>
  <si>
    <t>Description 2736</t>
  </si>
  <si>
    <t>Description 2737</t>
  </si>
  <si>
    <t>Description 2738</t>
  </si>
  <si>
    <t>Description 2739</t>
  </si>
  <si>
    <t>Description 2740</t>
  </si>
  <si>
    <t>Description 2741</t>
  </si>
  <si>
    <t>Description 2742</t>
  </si>
  <si>
    <t>Description 2743</t>
  </si>
  <si>
    <t>Description 2744</t>
  </si>
  <si>
    <t>Description 2745</t>
  </si>
  <si>
    <t>Description 2746</t>
  </si>
  <si>
    <t>Description 2747</t>
  </si>
  <si>
    <t>Description 2748</t>
  </si>
  <si>
    <t>Description 2749</t>
  </si>
  <si>
    <t>Description 2750</t>
  </si>
  <si>
    <t>Description 2751</t>
  </si>
  <si>
    <t>Description 2752</t>
  </si>
  <si>
    <t>Description 2753</t>
  </si>
  <si>
    <t>Description 2754</t>
  </si>
  <si>
    <t>Description 2755</t>
  </si>
  <si>
    <t>Description 2756</t>
  </si>
  <si>
    <t>Description 2757</t>
  </si>
  <si>
    <t>Description 2758</t>
  </si>
  <si>
    <t>Description 2759</t>
  </si>
  <si>
    <t>Description 2760</t>
  </si>
  <si>
    <t>Description 2761</t>
  </si>
  <si>
    <t>Description 2762</t>
  </si>
  <si>
    <t>Description 2763</t>
  </si>
  <si>
    <t>Description 2764</t>
  </si>
  <si>
    <t>Description 2765</t>
  </si>
  <si>
    <t>Description 2766</t>
  </si>
  <si>
    <t>Description 2767</t>
  </si>
  <si>
    <t>Description 2768</t>
  </si>
  <si>
    <t>Description 2769</t>
  </si>
  <si>
    <t>Description 2770</t>
  </si>
  <si>
    <t>Description 2771</t>
  </si>
  <si>
    <t>Description 2772</t>
  </si>
  <si>
    <t>Description 2773</t>
  </si>
  <si>
    <t>Description 2774</t>
  </si>
  <si>
    <t>Description 2775</t>
  </si>
  <si>
    <t>Description 2776</t>
  </si>
  <si>
    <t>Description 2777</t>
  </si>
  <si>
    <t>Description 2778</t>
  </si>
  <si>
    <t>Description 2779</t>
  </si>
  <si>
    <t>Description 2780</t>
  </si>
  <si>
    <t>Description 2781</t>
  </si>
  <si>
    <t>Description 2782</t>
  </si>
  <si>
    <t>Description 2783</t>
  </si>
  <si>
    <t>Description 2784</t>
  </si>
  <si>
    <t>Description 2785</t>
  </si>
  <si>
    <t>Description 2786</t>
  </si>
  <si>
    <t>Description 2787</t>
  </si>
  <si>
    <t>Description 2788</t>
  </si>
  <si>
    <t>Description 2789</t>
  </si>
  <si>
    <t>Description 2790</t>
  </si>
  <si>
    <t>Description 2791</t>
  </si>
  <si>
    <t>Description 2792</t>
  </si>
  <si>
    <t>Description 2793</t>
  </si>
  <si>
    <t>Description 2794</t>
  </si>
  <si>
    <t>Description 2795</t>
  </si>
  <si>
    <t>Description 2796</t>
  </si>
  <si>
    <t>Description 2797</t>
  </si>
  <si>
    <t>Description 2798</t>
  </si>
  <si>
    <t>Description 2799</t>
  </si>
  <si>
    <t>Description 2800</t>
  </si>
  <si>
    <t>Description 2801</t>
  </si>
  <si>
    <t>Description 2802</t>
  </si>
  <si>
    <t>Description 2803</t>
  </si>
  <si>
    <t>Description 2804</t>
  </si>
  <si>
    <t>Description 2805</t>
  </si>
  <si>
    <t>Description 2806</t>
  </si>
  <si>
    <t>Description 2807</t>
  </si>
  <si>
    <t>Description 2808</t>
  </si>
  <si>
    <t>Description 2809</t>
  </si>
  <si>
    <t>Description 2810</t>
  </si>
  <si>
    <t>Description 2811</t>
  </si>
  <si>
    <t>Description 2812</t>
  </si>
  <si>
    <t>Description 2813</t>
  </si>
  <si>
    <t>Description 2814</t>
  </si>
  <si>
    <t>Description 2815</t>
  </si>
  <si>
    <t>Description 2816</t>
  </si>
  <si>
    <t>Description 2817</t>
  </si>
  <si>
    <t>Description 2818</t>
  </si>
  <si>
    <t>Description 2819</t>
  </si>
  <si>
    <t>Description 2820</t>
  </si>
  <si>
    <t>Description 2821</t>
  </si>
  <si>
    <t>Description 2822</t>
  </si>
  <si>
    <t>Description 2823</t>
  </si>
  <si>
    <t>Description 2824</t>
  </si>
  <si>
    <t>Description 2825</t>
  </si>
  <si>
    <t>Description 2826</t>
  </si>
  <si>
    <t>Description 2827</t>
  </si>
  <si>
    <t>Description 2828</t>
  </si>
  <si>
    <t>Description 2829</t>
  </si>
  <si>
    <t>Description 2830</t>
  </si>
  <si>
    <t>Description 2831</t>
  </si>
  <si>
    <t>Description 2832</t>
  </si>
  <si>
    <t>Description 2833</t>
  </si>
  <si>
    <t>Description 2834</t>
  </si>
  <si>
    <t>Description 2835</t>
  </si>
  <si>
    <t>Description 2836</t>
  </si>
  <si>
    <t>Description 2837</t>
  </si>
  <si>
    <t>Description 2838</t>
  </si>
  <si>
    <t>Description 2839</t>
  </si>
  <si>
    <t>Description 2840</t>
  </si>
  <si>
    <t>Description 2841</t>
  </si>
  <si>
    <t>Description 2842</t>
  </si>
  <si>
    <t>Description 2843</t>
  </si>
  <si>
    <t>Description 2844</t>
  </si>
  <si>
    <t>Description 2845</t>
  </si>
  <si>
    <t>Description 2846</t>
  </si>
  <si>
    <t>Description 2847</t>
  </si>
  <si>
    <t>Description 2848</t>
  </si>
  <si>
    <t>Description 2849</t>
  </si>
  <si>
    <t>Description 2850</t>
  </si>
  <si>
    <t>Description 2851</t>
  </si>
  <si>
    <t>Description 2852</t>
  </si>
  <si>
    <t>Description 2853</t>
  </si>
  <si>
    <t>Description 2854</t>
  </si>
  <si>
    <t>Description 2855</t>
  </si>
  <si>
    <t>Description 2856</t>
  </si>
  <si>
    <t>Description 2857</t>
  </si>
  <si>
    <t>Description 2858</t>
  </si>
  <si>
    <t>Description 2859</t>
  </si>
  <si>
    <t>Description 2860</t>
  </si>
  <si>
    <t>Description 2861</t>
  </si>
  <si>
    <t>Description 2862</t>
  </si>
  <si>
    <t>Description 2863</t>
  </si>
  <si>
    <t>Description 2864</t>
  </si>
  <si>
    <t>Description 2865</t>
  </si>
  <si>
    <t>Description 2866</t>
  </si>
  <si>
    <t>Description 2867</t>
  </si>
  <si>
    <t>Description 2868</t>
  </si>
  <si>
    <t>Description 2869</t>
  </si>
  <si>
    <t>Description 2870</t>
  </si>
  <si>
    <t>Description 2871</t>
  </si>
  <si>
    <t>Description 2872</t>
  </si>
  <si>
    <t>Description 2873</t>
  </si>
  <si>
    <t>Description 2874</t>
  </si>
  <si>
    <t>Description 2875</t>
  </si>
  <si>
    <t>Description 2876</t>
  </si>
  <si>
    <t>Description 2877</t>
  </si>
  <si>
    <t>Description 2878</t>
  </si>
  <si>
    <t>Description 2879</t>
  </si>
  <si>
    <t>Description 2880</t>
  </si>
  <si>
    <t>Description 2881</t>
  </si>
  <si>
    <t>Description 2882</t>
  </si>
  <si>
    <t>Description 2883</t>
  </si>
  <si>
    <t>Description 2884</t>
  </si>
  <si>
    <t>Description 2885</t>
  </si>
  <si>
    <t>Description 2886</t>
  </si>
  <si>
    <t>Description 2887</t>
  </si>
  <si>
    <t>Description 2888</t>
  </si>
  <si>
    <t>Description 2889</t>
  </si>
  <si>
    <t>Description 2890</t>
  </si>
  <si>
    <t>Description 2891</t>
  </si>
  <si>
    <t>Description 2892</t>
  </si>
  <si>
    <t>Description 2893</t>
  </si>
  <si>
    <t>Description 2894</t>
  </si>
  <si>
    <t>Description 2895</t>
  </si>
  <si>
    <t>Description 2896</t>
  </si>
  <si>
    <t>Description 2897</t>
  </si>
  <si>
    <t>Description 2898</t>
  </si>
  <si>
    <t>Description 2899</t>
  </si>
  <si>
    <t>Description 2900</t>
  </si>
  <si>
    <t>Description 2901</t>
  </si>
  <si>
    <t>Description 2902</t>
  </si>
  <si>
    <t>Description 2903</t>
  </si>
  <si>
    <t>Description 2904</t>
  </si>
  <si>
    <t>Description 2905</t>
  </si>
  <si>
    <t>Description 2906</t>
  </si>
  <si>
    <t>Description 2907</t>
  </si>
  <si>
    <t>Description 2908</t>
  </si>
  <si>
    <t>Description 2909</t>
  </si>
  <si>
    <t>Description 2910</t>
  </si>
  <si>
    <t>Description 2911</t>
  </si>
  <si>
    <t>Description 2912</t>
  </si>
  <si>
    <t>Description 2913</t>
  </si>
  <si>
    <t>Description 2914</t>
  </si>
  <si>
    <t>Description 2915</t>
  </si>
  <si>
    <t>Description 2916</t>
  </si>
  <si>
    <t>Description 2917</t>
  </si>
  <si>
    <t>Description 2918</t>
  </si>
  <si>
    <t>Description 2919</t>
  </si>
  <si>
    <t>Description 2920</t>
  </si>
  <si>
    <t>Description 2921</t>
  </si>
  <si>
    <t>Description 2922</t>
  </si>
  <si>
    <t>Description 2923</t>
  </si>
  <si>
    <t>Description 2924</t>
  </si>
  <si>
    <t>Description 2925</t>
  </si>
  <si>
    <t>Description 2926</t>
  </si>
  <si>
    <t>Description 2927</t>
  </si>
  <si>
    <t>Description 2928</t>
  </si>
  <si>
    <t>Description 2929</t>
  </si>
  <si>
    <t>Description 2930</t>
  </si>
  <si>
    <t>Description 2931</t>
  </si>
  <si>
    <t>Description 2932</t>
  </si>
  <si>
    <t>Description 2933</t>
  </si>
  <si>
    <t>Description 2934</t>
  </si>
  <si>
    <t>Description 2935</t>
  </si>
  <si>
    <t>Description 2936</t>
  </si>
  <si>
    <t>Description 2937</t>
  </si>
  <si>
    <t>Description 2938</t>
  </si>
  <si>
    <t>Description 2939</t>
  </si>
  <si>
    <t>Description 2940</t>
  </si>
  <si>
    <t>Description 2941</t>
  </si>
  <si>
    <t>Description 2942</t>
  </si>
  <si>
    <t>Description 2943</t>
  </si>
  <si>
    <t>Description 2944</t>
  </si>
  <si>
    <t>Description 2945</t>
  </si>
  <si>
    <t>Description 2946</t>
  </si>
  <si>
    <t>Description 2947</t>
  </si>
  <si>
    <t>Description 2948</t>
  </si>
  <si>
    <t>Description 2949</t>
  </si>
  <si>
    <t>Description 2950</t>
  </si>
  <si>
    <t>Description 2951</t>
  </si>
  <si>
    <t>Description 2952</t>
  </si>
  <si>
    <t>Description 2953</t>
  </si>
  <si>
    <t>Description 2954</t>
  </si>
  <si>
    <t>Description 2955</t>
  </si>
  <si>
    <t>Description 2956</t>
  </si>
  <si>
    <t>Description 2957</t>
  </si>
  <si>
    <t>Description 2958</t>
  </si>
  <si>
    <t>Description 2959</t>
  </si>
  <si>
    <t>Description 2960</t>
  </si>
  <si>
    <t>Description 2961</t>
  </si>
  <si>
    <t>Description 2962</t>
  </si>
  <si>
    <t>Description 2963</t>
  </si>
  <si>
    <t>Description 2964</t>
  </si>
  <si>
    <t>Description 2965</t>
  </si>
  <si>
    <t>Description 2966</t>
  </si>
  <si>
    <t>Description 2967</t>
  </si>
  <si>
    <t>Description 2968</t>
  </si>
  <si>
    <t>Description 2969</t>
  </si>
  <si>
    <t>Description 2970</t>
  </si>
  <si>
    <t>Description 2971</t>
  </si>
  <si>
    <t>Description 2972</t>
  </si>
  <si>
    <t>Description 2973</t>
  </si>
  <si>
    <t>Description 2974</t>
  </si>
  <si>
    <t>Description 2975</t>
  </si>
  <si>
    <t>Description 2976</t>
  </si>
  <si>
    <t>Description 2977</t>
  </si>
  <si>
    <t>Description 2978</t>
  </si>
  <si>
    <t>Description 2979</t>
  </si>
  <si>
    <t>Description 2980</t>
  </si>
  <si>
    <t>Description 2981</t>
  </si>
  <si>
    <t>Description 2982</t>
  </si>
  <si>
    <t>Description 2983</t>
  </si>
  <si>
    <t>Description 2984</t>
  </si>
  <si>
    <t>Description 2985</t>
  </si>
  <si>
    <t>Description 2986</t>
  </si>
  <si>
    <t>Description 2987</t>
  </si>
  <si>
    <t>Description 2988</t>
  </si>
  <si>
    <t>Description 2989</t>
  </si>
  <si>
    <t>Description 2990</t>
  </si>
  <si>
    <t>Description 2991</t>
  </si>
  <si>
    <t>Description 2992</t>
  </si>
  <si>
    <t>Description 2993</t>
  </si>
  <si>
    <t>Description 2994</t>
  </si>
  <si>
    <t>Description 2995</t>
  </si>
  <si>
    <t>Description 2996</t>
  </si>
  <si>
    <t>Description 2997</t>
  </si>
  <si>
    <t>Description 2998</t>
  </si>
  <si>
    <t>Description 2999</t>
  </si>
  <si>
    <t>Description 3000</t>
  </si>
  <si>
    <t>Description 3001</t>
  </si>
  <si>
    <t>Description 3002</t>
  </si>
  <si>
    <t>Description 3003</t>
  </si>
  <si>
    <t>Description 3004</t>
  </si>
  <si>
    <t>Description 3005</t>
  </si>
  <si>
    <t>Description 3006</t>
  </si>
  <si>
    <t>Description 3007</t>
  </si>
  <si>
    <t>Description 3008</t>
  </si>
  <si>
    <t>Description 3009</t>
  </si>
  <si>
    <t>Description 3010</t>
  </si>
  <si>
    <t>Description 3011</t>
  </si>
  <si>
    <t>Description 3012</t>
  </si>
  <si>
    <t>Description 3013</t>
  </si>
  <si>
    <t>Description 3014</t>
  </si>
  <si>
    <t>Description 3015</t>
  </si>
  <si>
    <t>Description 3016</t>
  </si>
  <si>
    <t>Description 3017</t>
  </si>
  <si>
    <t>Description 3018</t>
  </si>
  <si>
    <t>Description 3019</t>
  </si>
  <si>
    <t>Description 3020</t>
  </si>
  <si>
    <t>Description 3021</t>
  </si>
  <si>
    <t>Description 3022</t>
  </si>
  <si>
    <t>Description 3023</t>
  </si>
  <si>
    <t>Description 3024</t>
  </si>
  <si>
    <t>Description 3025</t>
  </si>
  <si>
    <t>Description 3026</t>
  </si>
  <si>
    <t>Description 3027</t>
  </si>
  <si>
    <t>Description 3028</t>
  </si>
  <si>
    <t>Description 3029</t>
  </si>
  <si>
    <t>Description 3030</t>
  </si>
  <si>
    <t>Description 3031</t>
  </si>
  <si>
    <t>Description 3032</t>
  </si>
  <si>
    <t>Description 3033</t>
  </si>
  <si>
    <t>Description 3034</t>
  </si>
  <si>
    <t>Description 3035</t>
  </si>
  <si>
    <t>Description 3036</t>
  </si>
  <si>
    <t>Description 3037</t>
  </si>
  <si>
    <t>Description 3038</t>
  </si>
  <si>
    <t>Description 3039</t>
  </si>
  <si>
    <t>Description 3040</t>
  </si>
  <si>
    <t>Description 3041</t>
  </si>
  <si>
    <t>Description 3042</t>
  </si>
  <si>
    <t>Description 3043</t>
  </si>
  <si>
    <t>Description 3044</t>
  </si>
  <si>
    <t>Description 3045</t>
  </si>
  <si>
    <t>Description 3046</t>
  </si>
  <si>
    <t>Description 3047</t>
  </si>
  <si>
    <t>Description 3048</t>
  </si>
  <si>
    <t>Description 3049</t>
  </si>
  <si>
    <t>Description 3050</t>
  </si>
  <si>
    <t>Description 3051</t>
  </si>
  <si>
    <t>Description 3052</t>
  </si>
  <si>
    <t>Description 3053</t>
  </si>
  <si>
    <t>Description 3054</t>
  </si>
  <si>
    <t>Description 3055</t>
  </si>
  <si>
    <t>Description 3056</t>
  </si>
  <si>
    <t>Description 3057</t>
  </si>
  <si>
    <t>Description 3058</t>
  </si>
  <si>
    <t>Description 3059</t>
  </si>
  <si>
    <t>Description 3060</t>
  </si>
  <si>
    <t>Description 3061</t>
  </si>
  <si>
    <t>Description 3062</t>
  </si>
  <si>
    <t>Description 3063</t>
  </si>
  <si>
    <t>Description 3064</t>
  </si>
  <si>
    <t>Description 3065</t>
  </si>
  <si>
    <t>Description 3066</t>
  </si>
  <si>
    <t>Description 3067</t>
  </si>
  <si>
    <t>Description 3068</t>
  </si>
  <si>
    <t>Description 3069</t>
  </si>
  <si>
    <t>Description 3070</t>
  </si>
  <si>
    <t>Description 3071</t>
  </si>
  <si>
    <t>Description 3072</t>
  </si>
  <si>
    <t>Description 3073</t>
  </si>
  <si>
    <t>Description 3074</t>
  </si>
  <si>
    <t>Description 3075</t>
  </si>
  <si>
    <t>Description 3076</t>
  </si>
  <si>
    <t>Description 3077</t>
  </si>
  <si>
    <t>Description 3078</t>
  </si>
  <si>
    <t>Description 3079</t>
  </si>
  <si>
    <t>Description 3080</t>
  </si>
  <si>
    <t>Description 3081</t>
  </si>
  <si>
    <t>Description 3082</t>
  </si>
  <si>
    <t>Description 3083</t>
  </si>
  <si>
    <t>Description 3084</t>
  </si>
  <si>
    <t>Description 3085</t>
  </si>
  <si>
    <t>Description 3086</t>
  </si>
  <si>
    <t>Description 3087</t>
  </si>
  <si>
    <t>Description 3088</t>
  </si>
  <si>
    <t>Description 3089</t>
  </si>
  <si>
    <t>Description 3090</t>
  </si>
  <si>
    <t>Description 3091</t>
  </si>
  <si>
    <t>Description 3092</t>
  </si>
  <si>
    <t>Description 3093</t>
  </si>
  <si>
    <t>Description 3094</t>
  </si>
  <si>
    <t>Description 3095</t>
  </si>
  <si>
    <t>Description 3096</t>
  </si>
  <si>
    <t>Description 3097</t>
  </si>
  <si>
    <t>Description 3098</t>
  </si>
  <si>
    <t>Description 3099</t>
  </si>
  <si>
    <t>Description 3100</t>
  </si>
  <si>
    <t>Description 3101</t>
  </si>
  <si>
    <t>Description 3102</t>
  </si>
  <si>
    <t>Description 3103</t>
  </si>
  <si>
    <t>Description 3104</t>
  </si>
  <si>
    <t>Description 3105</t>
  </si>
  <si>
    <t>Description 3106</t>
  </si>
  <si>
    <t>Description 3107</t>
  </si>
  <si>
    <t>Description 3108</t>
  </si>
  <si>
    <t>Description 3109</t>
  </si>
  <si>
    <t>Description 3110</t>
  </si>
  <si>
    <t>Description 3111</t>
  </si>
  <si>
    <t>Description 3112</t>
  </si>
  <si>
    <t>Description 3113</t>
  </si>
  <si>
    <t>Description 3114</t>
  </si>
  <si>
    <t>Description 3115</t>
  </si>
  <si>
    <t>Description 3116</t>
  </si>
  <si>
    <t>Description 3117</t>
  </si>
  <si>
    <t>Description 3118</t>
  </si>
  <si>
    <t>Description 3119</t>
  </si>
  <si>
    <t>Description 3120</t>
  </si>
  <si>
    <t>Description 3121</t>
  </si>
  <si>
    <t>Description 3122</t>
  </si>
  <si>
    <t>Description 3123</t>
  </si>
  <si>
    <t>Description 3124</t>
  </si>
  <si>
    <t>Description 3125</t>
  </si>
  <si>
    <t>Description 3126</t>
  </si>
  <si>
    <t>Description 3127</t>
  </si>
  <si>
    <t>Description 3128</t>
  </si>
  <si>
    <t>Description 3129</t>
  </si>
  <si>
    <t>Description 3130</t>
  </si>
  <si>
    <t>Description 3131</t>
  </si>
  <si>
    <t>Description 3132</t>
  </si>
  <si>
    <t>Description 3133</t>
  </si>
  <si>
    <t>Description 3134</t>
  </si>
  <si>
    <t>Description 3135</t>
  </si>
  <si>
    <t>Description 3136</t>
  </si>
  <si>
    <t>Description 3137</t>
  </si>
  <si>
    <t>Description 3138</t>
  </si>
  <si>
    <t>Description 3139</t>
  </si>
  <si>
    <t>Description 3140</t>
  </si>
  <si>
    <t>Description 3141</t>
  </si>
  <si>
    <t>Description 3142</t>
  </si>
  <si>
    <t>Description 3143</t>
  </si>
  <si>
    <t>Description 3144</t>
  </si>
  <si>
    <t>Description 3145</t>
  </si>
  <si>
    <t>Description 3146</t>
  </si>
  <si>
    <t>Description 3147</t>
  </si>
  <si>
    <t>Description 3148</t>
  </si>
  <si>
    <t>Description 3149</t>
  </si>
  <si>
    <t>Description 3150</t>
  </si>
  <si>
    <t>Description 3151</t>
  </si>
  <si>
    <t>Description 3152</t>
  </si>
  <si>
    <t>Description 3153</t>
  </si>
  <si>
    <t>Description 3154</t>
  </si>
  <si>
    <t>Description 3155</t>
  </si>
  <si>
    <t>Description 3156</t>
  </si>
  <si>
    <t>Description 3157</t>
  </si>
  <si>
    <t>Description 3158</t>
  </si>
  <si>
    <t>Description 3159</t>
  </si>
  <si>
    <t>Description 3160</t>
  </si>
  <si>
    <t>Description 3161</t>
  </si>
  <si>
    <t>Description 3162</t>
  </si>
  <si>
    <t>Description 3163</t>
  </si>
  <si>
    <t>Description 3164</t>
  </si>
  <si>
    <t>Description 3165</t>
  </si>
  <si>
    <t>Description 3166</t>
  </si>
  <si>
    <t>Description 3167</t>
  </si>
  <si>
    <t>Description 3168</t>
  </si>
  <si>
    <t>Description 3169</t>
  </si>
  <si>
    <t>Description 3170</t>
  </si>
  <si>
    <t>Description 3171</t>
  </si>
  <si>
    <t>Description 3172</t>
  </si>
  <si>
    <t>Description 3173</t>
  </si>
  <si>
    <t>Description 3174</t>
  </si>
  <si>
    <t>Description 3175</t>
  </si>
  <si>
    <t>Description 3176</t>
  </si>
  <si>
    <t>Description 3177</t>
  </si>
  <si>
    <t>Description 3178</t>
  </si>
  <si>
    <t>Description 3179</t>
  </si>
  <si>
    <t>Description 3180</t>
  </si>
  <si>
    <t>Description 3181</t>
  </si>
  <si>
    <t>Description 3182</t>
  </si>
  <si>
    <t>Description 3183</t>
  </si>
  <si>
    <t>Description 3184</t>
  </si>
  <si>
    <t>Description 3185</t>
  </si>
  <si>
    <t>Description 3186</t>
  </si>
  <si>
    <t>Description 3187</t>
  </si>
  <si>
    <t>Description 3188</t>
  </si>
  <si>
    <t>Description 3189</t>
  </si>
  <si>
    <t>Description 3190</t>
  </si>
  <si>
    <t>Description 3191</t>
  </si>
  <si>
    <t>Description 3192</t>
  </si>
  <si>
    <t>Description 3193</t>
  </si>
  <si>
    <t>Description 3194</t>
  </si>
  <si>
    <t>Description 3195</t>
  </si>
  <si>
    <t>Description 3196</t>
  </si>
  <si>
    <t>Description 3197</t>
  </si>
  <si>
    <t>Description 3198</t>
  </si>
  <si>
    <t>Description 3199</t>
  </si>
  <si>
    <t>Description 3200</t>
  </si>
  <si>
    <t>Description 3201</t>
  </si>
  <si>
    <t>Description 3202</t>
  </si>
  <si>
    <t>Description 3203</t>
  </si>
  <si>
    <t>Description 3204</t>
  </si>
  <si>
    <t>Description 3205</t>
  </si>
  <si>
    <t>Description 3206</t>
  </si>
  <si>
    <t>Description 3207</t>
  </si>
  <si>
    <t>Description 3208</t>
  </si>
  <si>
    <t>Description 3209</t>
  </si>
  <si>
    <t>Description 3210</t>
  </si>
  <si>
    <t>Description 3211</t>
  </si>
  <si>
    <t>Description 3212</t>
  </si>
  <si>
    <t>Description 3213</t>
  </si>
  <si>
    <t>Description 3214</t>
  </si>
  <si>
    <t>Description 3215</t>
  </si>
  <si>
    <t>Description 3216</t>
  </si>
  <si>
    <t>Description 3217</t>
  </si>
  <si>
    <t>Description 3218</t>
  </si>
  <si>
    <t>Description 3219</t>
  </si>
  <si>
    <t>Description 3220</t>
  </si>
  <si>
    <t>Description 3221</t>
  </si>
  <si>
    <t>Description 3222</t>
  </si>
  <si>
    <t>Description 3223</t>
  </si>
  <si>
    <t>Description 3224</t>
  </si>
  <si>
    <t>Description 3225</t>
  </si>
  <si>
    <t>Description 3226</t>
  </si>
  <si>
    <t>Description 3227</t>
  </si>
  <si>
    <t>Description 3228</t>
  </si>
  <si>
    <t>Description 3229</t>
  </si>
  <si>
    <t>Description 3230</t>
  </si>
  <si>
    <t>Description 3231</t>
  </si>
  <si>
    <t>Description 3232</t>
  </si>
  <si>
    <t>Description 3233</t>
  </si>
  <si>
    <t>Description 3234</t>
  </si>
  <si>
    <t>Description 3235</t>
  </si>
  <si>
    <t>Description 3236</t>
  </si>
  <si>
    <t>Description 3237</t>
  </si>
  <si>
    <t>Description 3238</t>
  </si>
  <si>
    <t>Description 3239</t>
  </si>
  <si>
    <t>Description 3240</t>
  </si>
  <si>
    <t>Description 3241</t>
  </si>
  <si>
    <t>Description 3242</t>
  </si>
  <si>
    <t>Description 3243</t>
  </si>
  <si>
    <t>Description 3244</t>
  </si>
  <si>
    <t>Description 3245</t>
  </si>
  <si>
    <t>Description 3246</t>
  </si>
  <si>
    <t>Description 3247</t>
  </si>
  <si>
    <t>Description 3248</t>
  </si>
  <si>
    <t>Description 3249</t>
  </si>
  <si>
    <t>Description 3250</t>
  </si>
  <si>
    <t>Description 3251</t>
  </si>
  <si>
    <t>Description 3252</t>
  </si>
  <si>
    <t>Description 3253</t>
  </si>
  <si>
    <t>Description 3254</t>
  </si>
  <si>
    <t>Description 3255</t>
  </si>
  <si>
    <t>Description 3256</t>
  </si>
  <si>
    <t>Description 3257</t>
  </si>
  <si>
    <t>Description 3258</t>
  </si>
  <si>
    <t>Description 3259</t>
  </si>
  <si>
    <t>Description 3260</t>
  </si>
  <si>
    <t>Description 3261</t>
  </si>
  <si>
    <t>Description 3262</t>
  </si>
  <si>
    <t>Description 3263</t>
  </si>
  <si>
    <t>Description 3264</t>
  </si>
  <si>
    <t>Description 3265</t>
  </si>
  <si>
    <t>Description 3266</t>
  </si>
  <si>
    <t>Description 3267</t>
  </si>
  <si>
    <t>Description 3268</t>
  </si>
  <si>
    <t>Description 3269</t>
  </si>
  <si>
    <t>Description 3270</t>
  </si>
  <si>
    <t>Description 3271</t>
  </si>
  <si>
    <t>Description 3272</t>
  </si>
  <si>
    <t>Description 3273</t>
  </si>
  <si>
    <t>Description 3274</t>
  </si>
  <si>
    <t>Description 3275</t>
  </si>
  <si>
    <t>Description 3276</t>
  </si>
  <si>
    <t>Description 3277</t>
  </si>
  <si>
    <t>Description 3278</t>
  </si>
  <si>
    <t>Description 3279</t>
  </si>
  <si>
    <t>Description 3280</t>
  </si>
  <si>
    <t>Description 3281</t>
  </si>
  <si>
    <t>Description 3282</t>
  </si>
  <si>
    <t>Description 3283</t>
  </si>
  <si>
    <t>Description 3284</t>
  </si>
  <si>
    <t>Description 3285</t>
  </si>
  <si>
    <t>Description 3286</t>
  </si>
  <si>
    <t>Description 3287</t>
  </si>
  <si>
    <t>Description 3288</t>
  </si>
  <si>
    <t>Description 3289</t>
  </si>
  <si>
    <t>Description 3290</t>
  </si>
  <si>
    <t>Description 3291</t>
  </si>
  <si>
    <t>Description 3292</t>
  </si>
  <si>
    <t>Description 3293</t>
  </si>
  <si>
    <t>Description 3294</t>
  </si>
  <si>
    <t>Description 3295</t>
  </si>
  <si>
    <t>Description 3296</t>
  </si>
  <si>
    <t>Description 3297</t>
  </si>
  <si>
    <t>Description 3298</t>
  </si>
  <si>
    <t>Description 3299</t>
  </si>
  <si>
    <t>Description 3300</t>
  </si>
  <si>
    <t>Description 3301</t>
  </si>
  <si>
    <t>Description 3302</t>
  </si>
  <si>
    <t>Description 3303</t>
  </si>
  <si>
    <t>Description 3304</t>
  </si>
  <si>
    <t>Description 3305</t>
  </si>
  <si>
    <t>Description 3306</t>
  </si>
  <si>
    <t>Description 3307</t>
  </si>
  <si>
    <t>Description 3308</t>
  </si>
  <si>
    <t>Description 3309</t>
  </si>
  <si>
    <t>Description 3310</t>
  </si>
  <si>
    <t>Description 3311</t>
  </si>
  <si>
    <t>Description 3312</t>
  </si>
  <si>
    <t>Description 3313</t>
  </si>
  <si>
    <t>Description 3314</t>
  </si>
  <si>
    <t>Description 3315</t>
  </si>
  <si>
    <t>Description 3316</t>
  </si>
  <si>
    <t>Description 3317</t>
  </si>
  <si>
    <t>Description 3318</t>
  </si>
  <si>
    <t>Description 3319</t>
  </si>
  <si>
    <t>Description 3320</t>
  </si>
  <si>
    <t>Description 3321</t>
  </si>
  <si>
    <t>Description 3322</t>
  </si>
  <si>
    <t>Description 3323</t>
  </si>
  <si>
    <t>Description 3324</t>
  </si>
  <si>
    <t>Description 3325</t>
  </si>
  <si>
    <t>Description 3326</t>
  </si>
  <si>
    <t>Description 3327</t>
  </si>
  <si>
    <t>Description 3328</t>
  </si>
  <si>
    <t>Description 3329</t>
  </si>
  <si>
    <t>Description 3330</t>
  </si>
  <si>
    <t>Description 3331</t>
  </si>
  <si>
    <t>Description 3332</t>
  </si>
  <si>
    <t>Description 3333</t>
  </si>
  <si>
    <t>Description 3334</t>
  </si>
  <si>
    <t>Description 3335</t>
  </si>
  <si>
    <t>Description 3336</t>
  </si>
  <si>
    <t>Description 3337</t>
  </si>
  <si>
    <t>Description 3338</t>
  </si>
  <si>
    <t>Description 3339</t>
  </si>
  <si>
    <t>Description 3340</t>
  </si>
  <si>
    <t>Description 3341</t>
  </si>
  <si>
    <t>Description 3342</t>
  </si>
  <si>
    <t>Description 3343</t>
  </si>
  <si>
    <t>Description 3344</t>
  </si>
  <si>
    <t>Description 3345</t>
  </si>
  <si>
    <t>Description 3346</t>
  </si>
  <si>
    <t>Description 3347</t>
  </si>
  <si>
    <t>Description 3348</t>
  </si>
  <si>
    <t>Description 3349</t>
  </si>
  <si>
    <t>Description 3350</t>
  </si>
  <si>
    <t>Description 3351</t>
  </si>
  <si>
    <t>Description 3352</t>
  </si>
  <si>
    <t>Description 3353</t>
  </si>
  <si>
    <t>Description 3354</t>
  </si>
  <si>
    <t>Description 3355</t>
  </si>
  <si>
    <t>Description 3356</t>
  </si>
  <si>
    <t>Description 3357</t>
  </si>
  <si>
    <t>Description 3358</t>
  </si>
  <si>
    <t>Description 3359</t>
  </si>
  <si>
    <t>Description 3360</t>
  </si>
  <si>
    <t>Description 3361</t>
  </si>
  <si>
    <t>Description 3362</t>
  </si>
  <si>
    <t>Description 3363</t>
  </si>
  <si>
    <t>Description 3364</t>
  </si>
  <si>
    <t>Description 3365</t>
  </si>
  <si>
    <t>Description 3366</t>
  </si>
  <si>
    <t>Description 3367</t>
  </si>
  <si>
    <t>Description 3368</t>
  </si>
  <si>
    <t>Description 3369</t>
  </si>
  <si>
    <t>Description 3370</t>
  </si>
  <si>
    <t>Description 3371</t>
  </si>
  <si>
    <t>Description 3372</t>
  </si>
  <si>
    <t>Description 3373</t>
  </si>
  <si>
    <t>Description 3374</t>
  </si>
  <si>
    <t>Description 3375</t>
  </si>
  <si>
    <t>Description 3376</t>
  </si>
  <si>
    <t>Description 3377</t>
  </si>
  <si>
    <t>Description 3378</t>
  </si>
  <si>
    <t>Description 3379</t>
  </si>
  <si>
    <t>Description 3380</t>
  </si>
  <si>
    <t>Description 3381</t>
  </si>
  <si>
    <t>Description 3382</t>
  </si>
  <si>
    <t>Description 3383</t>
  </si>
  <si>
    <t>Description 3384</t>
  </si>
  <si>
    <t>Description 3385</t>
  </si>
  <si>
    <t>Description 3386</t>
  </si>
  <si>
    <t>Description 3387</t>
  </si>
  <si>
    <t>Description 3388</t>
  </si>
  <si>
    <t>Description 3389</t>
  </si>
  <si>
    <t>Description 3390</t>
  </si>
  <si>
    <t>Description 3391</t>
  </si>
  <si>
    <t>Description 3392</t>
  </si>
  <si>
    <t>Description 3393</t>
  </si>
  <si>
    <t>Description 3394</t>
  </si>
  <si>
    <t>Description 3395</t>
  </si>
  <si>
    <t>Description 3396</t>
  </si>
  <si>
    <t>Description 3397</t>
  </si>
  <si>
    <t>Description 3398</t>
  </si>
  <si>
    <t>Description 3399</t>
  </si>
  <si>
    <t>Description 3400</t>
  </si>
  <si>
    <t>Description 3401</t>
  </si>
  <si>
    <t>Description 3402</t>
  </si>
  <si>
    <t>Description 3403</t>
  </si>
  <si>
    <t>Description 3404</t>
  </si>
  <si>
    <t>Description 3405</t>
  </si>
  <si>
    <t>Description 3406</t>
  </si>
  <si>
    <t>Description 3407</t>
  </si>
  <si>
    <t>Description 3408</t>
  </si>
  <si>
    <t>Description 3409</t>
  </si>
  <si>
    <t>Description 3410</t>
  </si>
  <si>
    <t>Description 3411</t>
  </si>
  <si>
    <t>Description 3412</t>
  </si>
  <si>
    <t>Description 3413</t>
  </si>
  <si>
    <t>Description 3414</t>
  </si>
  <si>
    <t>Description 3415</t>
  </si>
  <si>
    <t>Description 3416</t>
  </si>
  <si>
    <t>Description 3417</t>
  </si>
  <si>
    <t>Description 3418</t>
  </si>
  <si>
    <t>Description 3419</t>
  </si>
  <si>
    <t>Description 3420</t>
  </si>
  <si>
    <t>Description 3421</t>
  </si>
  <si>
    <t>Description 3422</t>
  </si>
  <si>
    <t>Description 3423</t>
  </si>
  <si>
    <t>Description 3424</t>
  </si>
  <si>
    <t>Description 3425</t>
  </si>
  <si>
    <t>Description 3426</t>
  </si>
  <si>
    <t>Description 3427</t>
  </si>
  <si>
    <t>Description 3428</t>
  </si>
  <si>
    <t>Description 3429</t>
  </si>
  <si>
    <t>Description 3430</t>
  </si>
  <si>
    <t>Description 3431</t>
  </si>
  <si>
    <t>Description 3432</t>
  </si>
  <si>
    <t>Description 3433</t>
  </si>
  <si>
    <t>Description 3434</t>
  </si>
  <si>
    <t>Description 3435</t>
  </si>
  <si>
    <t>Description 3436</t>
  </si>
  <si>
    <t>Description 3437</t>
  </si>
  <si>
    <t>Description 3438</t>
  </si>
  <si>
    <t>Description 3439</t>
  </si>
  <si>
    <t>Description 3440</t>
  </si>
  <si>
    <t>Description 3441</t>
  </si>
  <si>
    <t>Description 3442</t>
  </si>
  <si>
    <t>Description 3443</t>
  </si>
  <si>
    <t>Description 3444</t>
  </si>
  <si>
    <t>Description 3445</t>
  </si>
  <si>
    <t>Description 3446</t>
  </si>
  <si>
    <t>Description 3447</t>
  </si>
  <si>
    <t>Description 3448</t>
  </si>
  <si>
    <t>Description 3449</t>
  </si>
  <si>
    <t>Description 3450</t>
  </si>
  <si>
    <t>Description 3451</t>
  </si>
  <si>
    <t>Description 3452</t>
  </si>
  <si>
    <t>Description 3453</t>
  </si>
  <si>
    <t>Description 3454</t>
  </si>
  <si>
    <t>Description 3455</t>
  </si>
  <si>
    <t>Description 3456</t>
  </si>
  <si>
    <t>Description 3457</t>
  </si>
  <si>
    <t>Description 3458</t>
  </si>
  <si>
    <t>Description 3459</t>
  </si>
  <si>
    <t>Description 3460</t>
  </si>
  <si>
    <t>Description 3461</t>
  </si>
  <si>
    <t>Description 3462</t>
  </si>
  <si>
    <t>Description 3463</t>
  </si>
  <si>
    <t>Description 3464</t>
  </si>
  <si>
    <t>Description 3465</t>
  </si>
  <si>
    <t>Description 3466</t>
  </si>
  <si>
    <t>Description 3467</t>
  </si>
  <si>
    <t>Description 3468</t>
  </si>
  <si>
    <t>Description 3469</t>
  </si>
  <si>
    <t>Description 3470</t>
  </si>
  <si>
    <t>Description 3471</t>
  </si>
  <si>
    <t>Description 3472</t>
  </si>
  <si>
    <t>Description 3473</t>
  </si>
  <si>
    <t>Description 3474</t>
  </si>
  <si>
    <t>Description 3475</t>
  </si>
  <si>
    <t>Description 3476</t>
  </si>
  <si>
    <t>Description 3477</t>
  </si>
  <si>
    <t>Description 3478</t>
  </si>
  <si>
    <t>Description 3479</t>
  </si>
  <si>
    <t>Description 3480</t>
  </si>
  <si>
    <t>Description 3481</t>
  </si>
  <si>
    <t>Description 3482</t>
  </si>
  <si>
    <t>Description 3483</t>
  </si>
  <si>
    <t>Description 3484</t>
  </si>
  <si>
    <t>Description 3485</t>
  </si>
  <si>
    <t>Description 3486</t>
  </si>
  <si>
    <t>Description 3487</t>
  </si>
  <si>
    <t>Description 3488</t>
  </si>
  <si>
    <t>Description 3489</t>
  </si>
  <si>
    <t>Description 3490</t>
  </si>
  <si>
    <t>Description 3491</t>
  </si>
  <si>
    <t>Description 3492</t>
  </si>
  <si>
    <t>Description 3493</t>
  </si>
  <si>
    <t>Description 3494</t>
  </si>
  <si>
    <t>Description 3495</t>
  </si>
  <si>
    <t>Description 3496</t>
  </si>
  <si>
    <t>Description 3497</t>
  </si>
  <si>
    <t>Description 3498</t>
  </si>
  <si>
    <t>Description 3499</t>
  </si>
  <si>
    <t>Description 3500</t>
  </si>
  <si>
    <t>Description 3501</t>
  </si>
  <si>
    <t>Description 3502</t>
  </si>
  <si>
    <t>Description 3503</t>
  </si>
  <si>
    <t>Description 3504</t>
  </si>
  <si>
    <t>Description 3505</t>
  </si>
  <si>
    <t>Description 3506</t>
  </si>
  <si>
    <t>Description 3507</t>
  </si>
  <si>
    <t>Description 3508</t>
  </si>
  <si>
    <t>Description 3509</t>
  </si>
  <si>
    <t>Description 3510</t>
  </si>
  <si>
    <t>Description 3511</t>
  </si>
  <si>
    <t>Description 3512</t>
  </si>
  <si>
    <t>Description 3513</t>
  </si>
  <si>
    <t>Description 3514</t>
  </si>
  <si>
    <t>Description 3515</t>
  </si>
  <si>
    <t>Description 3516</t>
  </si>
  <si>
    <t>Description 3517</t>
  </si>
  <si>
    <t>Description 3518</t>
  </si>
  <si>
    <t>Description 3519</t>
  </si>
  <si>
    <t>Description 3520</t>
  </si>
  <si>
    <t>Description 3521</t>
  </si>
  <si>
    <t>Description 3522</t>
  </si>
  <si>
    <t>Description 3523</t>
  </si>
  <si>
    <t>Description 3524</t>
  </si>
  <si>
    <t>Description 3525</t>
  </si>
  <si>
    <t>Description 3526</t>
  </si>
  <si>
    <t>Description 3527</t>
  </si>
  <si>
    <t>Description 3528</t>
  </si>
  <si>
    <t>Description 3529</t>
  </si>
  <si>
    <t>Description 3530</t>
  </si>
  <si>
    <t>Description 3531</t>
  </si>
  <si>
    <t>Description 3532</t>
  </si>
  <si>
    <t>Description 3533</t>
  </si>
  <si>
    <t>Description 3534</t>
  </si>
  <si>
    <t>Description 3535</t>
  </si>
  <si>
    <t>Description 3536</t>
  </si>
  <si>
    <t>Description 3537</t>
  </si>
  <si>
    <t>Description 3538</t>
  </si>
  <si>
    <t>Description 3539</t>
  </si>
  <si>
    <t>Description 3540</t>
  </si>
  <si>
    <t>Description 3541</t>
  </si>
  <si>
    <t>Description 3542</t>
  </si>
  <si>
    <t>Description 3543</t>
  </si>
  <si>
    <t>Description 3544</t>
  </si>
  <si>
    <t>Description 3545</t>
  </si>
  <si>
    <t>Description 3546</t>
  </si>
  <si>
    <t>Description 3547</t>
  </si>
  <si>
    <t>Description 3548</t>
  </si>
  <si>
    <t>Description 3549</t>
  </si>
  <si>
    <t>Description 3550</t>
  </si>
  <si>
    <t>Description 3551</t>
  </si>
  <si>
    <t>Description 3552</t>
  </si>
  <si>
    <t>Description 3553</t>
  </si>
  <si>
    <t>Description 3554</t>
  </si>
  <si>
    <t>Description 3555</t>
  </si>
  <si>
    <t>Description 3556</t>
  </si>
  <si>
    <t>Description 3557</t>
  </si>
  <si>
    <t>Description 3558</t>
  </si>
  <si>
    <t>Description 3559</t>
  </si>
  <si>
    <t>Description 3560</t>
  </si>
  <si>
    <t>Description 3561</t>
  </si>
  <si>
    <t>Description 3562</t>
  </si>
  <si>
    <t>Description 3563</t>
  </si>
  <si>
    <t>Description 3564</t>
  </si>
  <si>
    <t>Description 3565</t>
  </si>
  <si>
    <t>Description 3566</t>
  </si>
  <si>
    <t>Description 3567</t>
  </si>
  <si>
    <t>Description 3568</t>
  </si>
  <si>
    <t>Description 3569</t>
  </si>
  <si>
    <t>Description 3570</t>
  </si>
  <si>
    <t>Description 3571</t>
  </si>
  <si>
    <t>Description 3572</t>
  </si>
  <si>
    <t>Description 3573</t>
  </si>
  <si>
    <t>Description 3574</t>
  </si>
  <si>
    <t>Description 3575</t>
  </si>
  <si>
    <t>Description 3576</t>
  </si>
  <si>
    <t>Description 3577</t>
  </si>
  <si>
    <t>Description 3578</t>
  </si>
  <si>
    <t>Description 3579</t>
  </si>
  <si>
    <t>Description 3580</t>
  </si>
  <si>
    <t>Description 3581</t>
  </si>
  <si>
    <t>Description 3582</t>
  </si>
  <si>
    <t>Description 3583</t>
  </si>
  <si>
    <t>Description 3584</t>
  </si>
  <si>
    <t>Description 3585</t>
  </si>
  <si>
    <t>Description 3586</t>
  </si>
  <si>
    <t>Description 3587</t>
  </si>
  <si>
    <t>Description 3588</t>
  </si>
  <si>
    <t>Description 3589</t>
  </si>
  <si>
    <t>Description 3590</t>
  </si>
  <si>
    <t>Description 3591</t>
  </si>
  <si>
    <t>Description 3592</t>
  </si>
  <si>
    <t>Description 3593</t>
  </si>
  <si>
    <t>Description 3594</t>
  </si>
  <si>
    <t>Description 3595</t>
  </si>
  <si>
    <t>Description 3596</t>
  </si>
  <si>
    <t>Description 3597</t>
  </si>
  <si>
    <t>Description 3598</t>
  </si>
  <si>
    <t>Description 3599</t>
  </si>
  <si>
    <t>Description 3600</t>
  </si>
  <si>
    <t>Description 3601</t>
  </si>
  <si>
    <t>Description 3602</t>
  </si>
  <si>
    <t>Description 3603</t>
  </si>
  <si>
    <t>Description 3604</t>
  </si>
  <si>
    <t>Description 3605</t>
  </si>
  <si>
    <t>Description 3606</t>
  </si>
  <si>
    <t>Description 3607</t>
  </si>
  <si>
    <t>Description 3608</t>
  </si>
  <si>
    <t>Description 3609</t>
  </si>
  <si>
    <t>Description 3610</t>
  </si>
  <si>
    <t>Description 3611</t>
  </si>
  <si>
    <t>Description 3612</t>
  </si>
  <si>
    <t>Description 3613</t>
  </si>
  <si>
    <t>Description 3614</t>
  </si>
  <si>
    <t>Description 3615</t>
  </si>
  <si>
    <t>Description 3616</t>
  </si>
  <si>
    <t>Description 3617</t>
  </si>
  <si>
    <t>Description 3618</t>
  </si>
  <si>
    <t>Description 3619</t>
  </si>
  <si>
    <t>Description 3620</t>
  </si>
  <si>
    <t>Description 3621</t>
  </si>
  <si>
    <t>Description 3622</t>
  </si>
  <si>
    <t>Description 3623</t>
  </si>
  <si>
    <t>Description 3624</t>
  </si>
  <si>
    <t>Description 3625</t>
  </si>
  <si>
    <t>Description 3626</t>
  </si>
  <si>
    <t>Description 3627</t>
  </si>
  <si>
    <t>Description 3628</t>
  </si>
  <si>
    <t>Description 3629</t>
  </si>
  <si>
    <t>Description 3630</t>
  </si>
  <si>
    <t>Description 3631</t>
  </si>
  <si>
    <t>Description 3632</t>
  </si>
  <si>
    <t>Description 3633</t>
  </si>
  <si>
    <t>Description 3634</t>
  </si>
  <si>
    <t>Description 3635</t>
  </si>
  <si>
    <t>Description 3636</t>
  </si>
  <si>
    <t>Description 3637</t>
  </si>
  <si>
    <t>Description 3638</t>
  </si>
  <si>
    <t>Description 3639</t>
  </si>
  <si>
    <t>Description 3640</t>
  </si>
  <si>
    <t>Description 3641</t>
  </si>
  <si>
    <t>Description 3642</t>
  </si>
  <si>
    <t>Description 3643</t>
  </si>
  <si>
    <t>Description 3644</t>
  </si>
  <si>
    <t>Description 3645</t>
  </si>
  <si>
    <t>Description 3646</t>
  </si>
  <si>
    <t>Description 3647</t>
  </si>
  <si>
    <t>Description 3648</t>
  </si>
  <si>
    <t>Description 3649</t>
  </si>
  <si>
    <t>Description 3650</t>
  </si>
  <si>
    <t>Description 3651</t>
  </si>
  <si>
    <t>Description 3652</t>
  </si>
  <si>
    <t>Description 3653</t>
  </si>
  <si>
    <t>Description 3654</t>
  </si>
  <si>
    <t>Description 3655</t>
  </si>
  <si>
    <t>Description 3656</t>
  </si>
  <si>
    <t>Description 3657</t>
  </si>
  <si>
    <t>Description 3658</t>
  </si>
  <si>
    <t>Description 3659</t>
  </si>
  <si>
    <t>Description 3660</t>
  </si>
  <si>
    <t>Description 3661</t>
  </si>
  <si>
    <t>Description 3662</t>
  </si>
  <si>
    <t>Description 3663</t>
  </si>
  <si>
    <t>Description 3664</t>
  </si>
  <si>
    <t>Description 3665</t>
  </si>
  <si>
    <t>Description 3666</t>
  </si>
  <si>
    <t>Description 3667</t>
  </si>
  <si>
    <t>Description 3668</t>
  </si>
  <si>
    <t>Description 3669</t>
  </si>
  <si>
    <t>Description 3670</t>
  </si>
  <si>
    <t>Description 3671</t>
  </si>
  <si>
    <t>Description 3672</t>
  </si>
  <si>
    <t>Description 3673</t>
  </si>
  <si>
    <t>Description 3674</t>
  </si>
  <si>
    <t>Description 3675</t>
  </si>
  <si>
    <t>Description 3676</t>
  </si>
  <si>
    <t>Description 3677</t>
  </si>
  <si>
    <t>Description 3678</t>
  </si>
  <si>
    <t>Description 3679</t>
  </si>
  <si>
    <t>Description 3680</t>
  </si>
  <si>
    <t>Description 3681</t>
  </si>
  <si>
    <t>Description 3682</t>
  </si>
  <si>
    <t>Description 3683</t>
  </si>
  <si>
    <t>Description 3684</t>
  </si>
  <si>
    <t>Description 3685</t>
  </si>
  <si>
    <t>Description 3686</t>
  </si>
  <si>
    <t>Description 3687</t>
  </si>
  <si>
    <t>Description 3688</t>
  </si>
  <si>
    <t>Description 3689</t>
  </si>
  <si>
    <t>Description 3690</t>
  </si>
  <si>
    <t>Description 3691</t>
  </si>
  <si>
    <t>Description 3692</t>
  </si>
  <si>
    <t>Description 3693</t>
  </si>
  <si>
    <t>Description 3694</t>
  </si>
  <si>
    <t>Description 3695</t>
  </si>
  <si>
    <t>Description 3696</t>
  </si>
  <si>
    <t>Description 3697</t>
  </si>
  <si>
    <t>Description 3698</t>
  </si>
  <si>
    <t>Description 3699</t>
  </si>
  <si>
    <t>Description 3700</t>
  </si>
  <si>
    <t>Description 3701</t>
  </si>
  <si>
    <t>Description 3702</t>
  </si>
  <si>
    <t>Description 3703</t>
  </si>
  <si>
    <t>Description 3704</t>
  </si>
  <si>
    <t>Description 3705</t>
  </si>
  <si>
    <t>Description 3706</t>
  </si>
  <si>
    <t>Description 3707</t>
  </si>
  <si>
    <t>Description 3708</t>
  </si>
  <si>
    <t>Description 3709</t>
  </si>
  <si>
    <t>Description 3710</t>
  </si>
  <si>
    <t>Description 3711</t>
  </si>
  <si>
    <t>Description 3712</t>
  </si>
  <si>
    <t>Description 3713</t>
  </si>
  <si>
    <t>Description 3714</t>
  </si>
  <si>
    <t>Description 3715</t>
  </si>
  <si>
    <t>Description 3716</t>
  </si>
  <si>
    <t>Description 3717</t>
  </si>
  <si>
    <t>Description 3718</t>
  </si>
  <si>
    <t>Description 3719</t>
  </si>
  <si>
    <t>Description 3720</t>
  </si>
  <si>
    <t>Description 3721</t>
  </si>
  <si>
    <t>Description 3722</t>
  </si>
  <si>
    <t>Description 3723</t>
  </si>
  <si>
    <t>Description 3724</t>
  </si>
  <si>
    <t>Description 3725</t>
  </si>
  <si>
    <t>Description 3726</t>
  </si>
  <si>
    <t>Description 3727</t>
  </si>
  <si>
    <t>Description 3728</t>
  </si>
  <si>
    <t>Description 3729</t>
  </si>
  <si>
    <t>Description 3730</t>
  </si>
  <si>
    <t>Description 3731</t>
  </si>
  <si>
    <t>Description 3732</t>
  </si>
  <si>
    <t>Description 3733</t>
  </si>
  <si>
    <t>Description 3734</t>
  </si>
  <si>
    <t>Description 3735</t>
  </si>
  <si>
    <t>Description 3736</t>
  </si>
  <si>
    <t>Description 3737</t>
  </si>
  <si>
    <t>Description 3738</t>
  </si>
  <si>
    <t>Description 3739</t>
  </si>
  <si>
    <t>Description 3740</t>
  </si>
  <si>
    <t>Description 3741</t>
  </si>
  <si>
    <t>Description 3742</t>
  </si>
  <si>
    <t>Description 3743</t>
  </si>
  <si>
    <t>Description 3744</t>
  </si>
  <si>
    <t>Description 3745</t>
  </si>
  <si>
    <t>Description 3746</t>
  </si>
  <si>
    <t>Description 3747</t>
  </si>
  <si>
    <t>Description 3748</t>
  </si>
  <si>
    <t>Description 3749</t>
  </si>
  <si>
    <t>Description 3750</t>
  </si>
  <si>
    <t>Description 3751</t>
  </si>
  <si>
    <t>Description 3752</t>
  </si>
  <si>
    <t>Description 3753</t>
  </si>
  <si>
    <t>Description 3754</t>
  </si>
  <si>
    <t>Description 3755</t>
  </si>
  <si>
    <t>Description 3756</t>
  </si>
  <si>
    <t>Description 3757</t>
  </si>
  <si>
    <t>Description 3758</t>
  </si>
  <si>
    <t>Description 3759</t>
  </si>
  <si>
    <t>Description 3760</t>
  </si>
  <si>
    <t>Description 3761</t>
  </si>
  <si>
    <t>Description 3762</t>
  </si>
  <si>
    <t>Description 3763</t>
  </si>
  <si>
    <t>Description 3764</t>
  </si>
  <si>
    <t>Description 3765</t>
  </si>
  <si>
    <t>Description 3766</t>
  </si>
  <si>
    <t>Description 3767</t>
  </si>
  <si>
    <t>Description 3768</t>
  </si>
  <si>
    <t>Description 3769</t>
  </si>
  <si>
    <t>Description 3770</t>
  </si>
  <si>
    <t>Description 3771</t>
  </si>
  <si>
    <t>Description 3772</t>
  </si>
  <si>
    <t>Description 3773</t>
  </si>
  <si>
    <t>Description 3774</t>
  </si>
  <si>
    <t>Description 3775</t>
  </si>
  <si>
    <t>Description 3776</t>
  </si>
  <si>
    <t>Description 3777</t>
  </si>
  <si>
    <t>Description 3778</t>
  </si>
  <si>
    <t>Description 3779</t>
  </si>
  <si>
    <t>Description 3780</t>
  </si>
  <si>
    <t>Description 3781</t>
  </si>
  <si>
    <t>Description 3782</t>
  </si>
  <si>
    <t>Description 3783</t>
  </si>
  <si>
    <t>Description 3784</t>
  </si>
  <si>
    <t>Description 3785</t>
  </si>
  <si>
    <t>Description 3786</t>
  </si>
  <si>
    <t>Description 3787</t>
  </si>
  <si>
    <t>Description 3788</t>
  </si>
  <si>
    <t>Description 3789</t>
  </si>
  <si>
    <t>Description 3790</t>
  </si>
  <si>
    <t>Description 3791</t>
  </si>
  <si>
    <t>Description 3792</t>
  </si>
  <si>
    <t>Description 3793</t>
  </si>
  <si>
    <t>Description 3794</t>
  </si>
  <si>
    <t>Description 3795</t>
  </si>
  <si>
    <t>Description 3796</t>
  </si>
  <si>
    <t>Description 3797</t>
  </si>
  <si>
    <t>Description 3798</t>
  </si>
  <si>
    <t>Description 3799</t>
  </si>
  <si>
    <t>Description 3800</t>
  </si>
  <si>
    <t>Description 3801</t>
  </si>
  <si>
    <t>Description 3802</t>
  </si>
  <si>
    <t>Description 3803</t>
  </si>
  <si>
    <t>Description 3804</t>
  </si>
  <si>
    <t>Description 3805</t>
  </si>
  <si>
    <t>Description 3806</t>
  </si>
  <si>
    <t>Description 3807</t>
  </si>
  <si>
    <t>Description 3808</t>
  </si>
  <si>
    <t>Description 3809</t>
  </si>
  <si>
    <t>Description 3810</t>
  </si>
  <si>
    <t>Description 3811</t>
  </si>
  <si>
    <t>Description 3812</t>
  </si>
  <si>
    <t>Description 3813</t>
  </si>
  <si>
    <t>Description 3814</t>
  </si>
  <si>
    <t>Description 3815</t>
  </si>
  <si>
    <t>Description 3816</t>
  </si>
  <si>
    <t>Description 3817</t>
  </si>
  <si>
    <t>Description 3818</t>
  </si>
  <si>
    <t>Description 3819</t>
  </si>
  <si>
    <t>Description 3820</t>
  </si>
  <si>
    <t>Description 3821</t>
  </si>
  <si>
    <t>Description 3822</t>
  </si>
  <si>
    <t>Description 3823</t>
  </si>
  <si>
    <t>Description 3824</t>
  </si>
  <si>
    <t>Description 3825</t>
  </si>
  <si>
    <t>Description 3826</t>
  </si>
  <si>
    <t>Description 3827</t>
  </si>
  <si>
    <t>Description 3828</t>
  </si>
  <si>
    <t>Description 3829</t>
  </si>
  <si>
    <t>Description 3830</t>
  </si>
  <si>
    <t>Description 3831</t>
  </si>
  <si>
    <t>Description 3832</t>
  </si>
  <si>
    <t>Description 3833</t>
  </si>
  <si>
    <t>Description 3834</t>
  </si>
  <si>
    <t>Description 3835</t>
  </si>
  <si>
    <t>Description 3836</t>
  </si>
  <si>
    <t>Description 3837</t>
  </si>
  <si>
    <t>Description 3838</t>
  </si>
  <si>
    <t>Description 3839</t>
  </si>
  <si>
    <t>Description 3840</t>
  </si>
  <si>
    <t>Description 3841</t>
  </si>
  <si>
    <t>Description 3842</t>
  </si>
  <si>
    <t>Description 3843</t>
  </si>
  <si>
    <t>Description 3844</t>
  </si>
  <si>
    <t>Description 3845</t>
  </si>
  <si>
    <t>Description 3846</t>
  </si>
  <si>
    <t>Description 3847</t>
  </si>
  <si>
    <t>Description 3848</t>
  </si>
  <si>
    <t>Description 3849</t>
  </si>
  <si>
    <t>Description 3850</t>
  </si>
  <si>
    <t>Description 3851</t>
  </si>
  <si>
    <t>Description 3852</t>
  </si>
  <si>
    <t>Description 3853</t>
  </si>
  <si>
    <t>Description 3854</t>
  </si>
  <si>
    <t>Description 3855</t>
  </si>
  <si>
    <t>Description 3856</t>
  </si>
  <si>
    <t>Description 3857</t>
  </si>
  <si>
    <t>Description 3858</t>
  </si>
  <si>
    <t>Description 3859</t>
  </si>
  <si>
    <t>Description 3860</t>
  </si>
  <si>
    <t>Description 3861</t>
  </si>
  <si>
    <t>Description 3862</t>
  </si>
  <si>
    <t>Description 3863</t>
  </si>
  <si>
    <t>Description 3864</t>
  </si>
  <si>
    <t>Description 3865</t>
  </si>
  <si>
    <t>Description 3866</t>
  </si>
  <si>
    <t>Description 3867</t>
  </si>
  <si>
    <t>Description 3868</t>
  </si>
  <si>
    <t>Description 3869</t>
  </si>
  <si>
    <t>Description 3870</t>
  </si>
  <si>
    <t>Description 3871</t>
  </si>
  <si>
    <t>Description 3872</t>
  </si>
  <si>
    <t>Description 3873</t>
  </si>
  <si>
    <t>Description 3874</t>
  </si>
  <si>
    <t>Description 3875</t>
  </si>
  <si>
    <t>Code 1</t>
  </si>
  <si>
    <t>Code 2</t>
  </si>
  <si>
    <t xml:space="preserve"> Forecast week 43</t>
  </si>
  <si>
    <t xml:space="preserve"> Forecast week 44</t>
  </si>
  <si>
    <t xml:space="preserve"> Forecast week 45</t>
  </si>
  <si>
    <t xml:space="preserve"> Forecast week 46</t>
  </si>
  <si>
    <t xml:space="preserve"> Forecast week 47</t>
  </si>
  <si>
    <t xml:space="preserve"> Forecast week 48</t>
  </si>
  <si>
    <t xml:space="preserve"> Forecast week 49</t>
  </si>
  <si>
    <t xml:space="preserve"> Forecast week 50</t>
  </si>
  <si>
    <t xml:space="preserve"> Forecast week 51</t>
  </si>
  <si>
    <t xml:space="preserve"> Forecast week 52</t>
  </si>
  <si>
    <t>Supplier</t>
  </si>
  <si>
    <t>Supplier 1</t>
  </si>
  <si>
    <t>Supplier 2</t>
  </si>
  <si>
    <t>Supplier 3</t>
  </si>
  <si>
    <t>Supplier 4</t>
  </si>
  <si>
    <t>Supplier 5</t>
  </si>
  <si>
    <t>Supplier 6</t>
  </si>
  <si>
    <t>Supplier 7</t>
  </si>
  <si>
    <t>Supplier 8</t>
  </si>
  <si>
    <t>Supplier 9</t>
  </si>
  <si>
    <t>Supplier 10</t>
  </si>
  <si>
    <t>Supplier 11</t>
  </si>
  <si>
    <t>Supplier 12</t>
  </si>
  <si>
    <t>Supplier 13</t>
  </si>
  <si>
    <t>Supplier 14</t>
  </si>
  <si>
    <t>Supplier 15</t>
  </si>
  <si>
    <t>Supplier 16</t>
  </si>
  <si>
    <t>Supplier 17</t>
  </si>
  <si>
    <t>Supplier 18</t>
  </si>
  <si>
    <t>Supplier 19</t>
  </si>
  <si>
    <t>Supplier 20</t>
  </si>
  <si>
    <t>Supplier 21</t>
  </si>
  <si>
    <t>Supplier 22</t>
  </si>
  <si>
    <t>Supplier 23</t>
  </si>
  <si>
    <t>Supplier 24</t>
  </si>
  <si>
    <t>Supplier 25</t>
  </si>
  <si>
    <t>Supplier 26</t>
  </si>
  <si>
    <t>Supplier 27</t>
  </si>
  <si>
    <t>Supplier 28</t>
  </si>
  <si>
    <t>Supplier 29</t>
  </si>
  <si>
    <t>Supplier 30</t>
  </si>
  <si>
    <t>Supplier 31</t>
  </si>
  <si>
    <t>Supplier 32</t>
  </si>
  <si>
    <t>Supplier 33</t>
  </si>
  <si>
    <t>Supplier 34</t>
  </si>
  <si>
    <t>Supplier 35</t>
  </si>
  <si>
    <t>Supplier 36</t>
  </si>
  <si>
    <t>Supplier 37</t>
  </si>
  <si>
    <t>Supplier 38</t>
  </si>
  <si>
    <t>Supplier 39</t>
  </si>
  <si>
    <t>Supplier 40</t>
  </si>
  <si>
    <t>Supplier 41</t>
  </si>
  <si>
    <t>Supplier 42</t>
  </si>
  <si>
    <t>Supplier 43</t>
  </si>
  <si>
    <t>Supplier 44</t>
  </si>
  <si>
    <t>Supplier 45</t>
  </si>
  <si>
    <t>Supplier 46</t>
  </si>
  <si>
    <t>Supplier 47</t>
  </si>
  <si>
    <t>Supplier 48</t>
  </si>
  <si>
    <t>Supplier 49</t>
  </si>
  <si>
    <t>Supplier 50</t>
  </si>
  <si>
    <t>Supplier 51</t>
  </si>
  <si>
    <t>Supplier 52</t>
  </si>
  <si>
    <t>Supplier 53</t>
  </si>
  <si>
    <t>Supplier 54</t>
  </si>
  <si>
    <t>Supplier 55</t>
  </si>
  <si>
    <t>Supplier 56</t>
  </si>
  <si>
    <t>Supplier 57</t>
  </si>
  <si>
    <t>Supplier 58</t>
  </si>
  <si>
    <t>Supplier 59</t>
  </si>
  <si>
    <t>Supplier 60</t>
  </si>
  <si>
    <t>Supplier 61</t>
  </si>
  <si>
    <t>Supplier 62</t>
  </si>
  <si>
    <t>Supplier 63</t>
  </si>
  <si>
    <t>Supplier 64</t>
  </si>
  <si>
    <t>Supplier 65</t>
  </si>
  <si>
    <t>Supplier 66</t>
  </si>
  <si>
    <t>Supplier 67</t>
  </si>
  <si>
    <t>Supplier 68</t>
  </si>
  <si>
    <t>Supplier 69</t>
  </si>
  <si>
    <t>Supplier 70</t>
  </si>
  <si>
    <t>Supplier 71</t>
  </si>
  <si>
    <t>Supplier 72</t>
  </si>
  <si>
    <t>Supplier 73</t>
  </si>
  <si>
    <t>Supplier 74</t>
  </si>
  <si>
    <t>Supplier 75</t>
  </si>
  <si>
    <t>Supplier 76</t>
  </si>
  <si>
    <t>Supplier 77</t>
  </si>
  <si>
    <t>Supplier 78</t>
  </si>
  <si>
    <t>Supplier 79</t>
  </si>
  <si>
    <t>Supplier 80</t>
  </si>
  <si>
    <t>Supplier 81</t>
  </si>
  <si>
    <t>Supplier 82</t>
  </si>
  <si>
    <t>Supplier 83</t>
  </si>
  <si>
    <t>Supplier 84</t>
  </si>
  <si>
    <t>Supplier 85</t>
  </si>
  <si>
    <t>Supplier 86</t>
  </si>
  <si>
    <t>Supplier 87</t>
  </si>
  <si>
    <t>Supplier 88</t>
  </si>
  <si>
    <t>Supplier 89</t>
  </si>
  <si>
    <t>Supplier 90</t>
  </si>
  <si>
    <t>Supplier 91</t>
  </si>
  <si>
    <t>Supplier 92</t>
  </si>
  <si>
    <t>Supplier 93</t>
  </si>
  <si>
    <t>Supplier 94</t>
  </si>
  <si>
    <t>Supplier 95</t>
  </si>
  <si>
    <t>Supplier 96</t>
  </si>
  <si>
    <t>Supplier 97</t>
  </si>
  <si>
    <t>Supplier 98</t>
  </si>
  <si>
    <t>Supplier 99</t>
  </si>
  <si>
    <t>Supplier 100</t>
  </si>
  <si>
    <t>Supplier 101</t>
  </si>
  <si>
    <t>Supplier 102</t>
  </si>
  <si>
    <t>Supplier 103</t>
  </si>
  <si>
    <t>Supplier 104</t>
  </si>
  <si>
    <t>Supplier 105</t>
  </si>
  <si>
    <t>Supplier 106</t>
  </si>
  <si>
    <t>Supplier 107</t>
  </si>
  <si>
    <t>Supplier 108</t>
  </si>
  <si>
    <t>Supplier 109</t>
  </si>
  <si>
    <t>Supplier 110</t>
  </si>
  <si>
    <t>Supplier 111</t>
  </si>
  <si>
    <t>Supplier 112</t>
  </si>
  <si>
    <t>Supplier 113</t>
  </si>
  <si>
    <t>Supplier 114</t>
  </si>
  <si>
    <t>Supplier 115</t>
  </si>
  <si>
    <t>Supplier 116</t>
  </si>
  <si>
    <t>Supplier 117</t>
  </si>
  <si>
    <t>Supplier 118</t>
  </si>
  <si>
    <t>Supplier 119</t>
  </si>
  <si>
    <t>Supplier 120</t>
  </si>
  <si>
    <t>Supplier 121</t>
  </si>
  <si>
    <t>Supplier 122</t>
  </si>
  <si>
    <t>Supplier 123</t>
  </si>
  <si>
    <t>Supplier 124</t>
  </si>
  <si>
    <t>Supplier 125</t>
  </si>
  <si>
    <t>Supplier 126</t>
  </si>
  <si>
    <t>Supplier 127</t>
  </si>
  <si>
    <t>Supplier 128</t>
  </si>
  <si>
    <t>Supplier 129</t>
  </si>
  <si>
    <t>Supplier 130</t>
  </si>
  <si>
    <t>Supplier 131</t>
  </si>
  <si>
    <t>Supplier 132</t>
  </si>
  <si>
    <t>Supplier 133</t>
  </si>
  <si>
    <t>Supplier 134</t>
  </si>
  <si>
    <t>Supplier 135</t>
  </si>
  <si>
    <t>Supplier 136</t>
  </si>
  <si>
    <t>Supplier 137</t>
  </si>
  <si>
    <t>Supplier 138</t>
  </si>
  <si>
    <t>Supplier 139</t>
  </si>
  <si>
    <t>Supplier 140</t>
  </si>
  <si>
    <t>Supplier 141</t>
  </si>
  <si>
    <t>Supplier 142</t>
  </si>
  <si>
    <t>Supplier 143</t>
  </si>
  <si>
    <t>Supplier 144</t>
  </si>
  <si>
    <t>Supplier 145</t>
  </si>
  <si>
    <t>Supplier 146</t>
  </si>
  <si>
    <t>Supplier 147</t>
  </si>
  <si>
    <t>Supplier 148</t>
  </si>
  <si>
    <t>Supplier 149</t>
  </si>
  <si>
    <t>Supplier 150</t>
  </si>
  <si>
    <t>Supplier 151</t>
  </si>
  <si>
    <t>Supplier 152</t>
  </si>
  <si>
    <t>Supplier 153</t>
  </si>
  <si>
    <t>Supplier 154</t>
  </si>
  <si>
    <t>Supplier 155</t>
  </si>
  <si>
    <t>Supplier 156</t>
  </si>
  <si>
    <t>Supplier 157</t>
  </si>
  <si>
    <t>Supplier 158</t>
  </si>
  <si>
    <t>Supplier 159</t>
  </si>
  <si>
    <t>Supplier 160</t>
  </si>
  <si>
    <t>Supplier 161</t>
  </si>
  <si>
    <t>Supplier 162</t>
  </si>
  <si>
    <t>Supplier 163</t>
  </si>
  <si>
    <t>Supplier 164</t>
  </si>
  <si>
    <t>Supplier 165</t>
  </si>
  <si>
    <t>Supplier 166</t>
  </si>
  <si>
    <t>Supplier 167</t>
  </si>
  <si>
    <t>Supplier 168</t>
  </si>
  <si>
    <t>Supplier 169</t>
  </si>
  <si>
    <t>Supplier 170</t>
  </si>
  <si>
    <t>Supplier 171</t>
  </si>
  <si>
    <t>Supplier 172</t>
  </si>
  <si>
    <t>Supplier 173</t>
  </si>
  <si>
    <t>Supplier 174</t>
  </si>
  <si>
    <t>Supplier 175</t>
  </si>
  <si>
    <t>Supplier 176</t>
  </si>
  <si>
    <t>Supplier 177</t>
  </si>
  <si>
    <t>Supplier 178</t>
  </si>
  <si>
    <t>Supplier 179</t>
  </si>
  <si>
    <t>Supplier 180</t>
  </si>
  <si>
    <t>Supplier 181</t>
  </si>
  <si>
    <t>Supplier 182</t>
  </si>
  <si>
    <t>Supplier 183</t>
  </si>
  <si>
    <t>Supplier 184</t>
  </si>
  <si>
    <t>Supplier 185</t>
  </si>
  <si>
    <t>Supplier 186</t>
  </si>
  <si>
    <t>Supplier 187</t>
  </si>
  <si>
    <t>Supplier 188</t>
  </si>
  <si>
    <t>Supplier 189</t>
  </si>
  <si>
    <t>Supplier 190</t>
  </si>
  <si>
    <t>Supplier 191</t>
  </si>
  <si>
    <t>Supplier 192</t>
  </si>
  <si>
    <t>Supplier 193</t>
  </si>
  <si>
    <t>Supplier 194</t>
  </si>
  <si>
    <t>Supplier 195</t>
  </si>
  <si>
    <t>Supplier 196</t>
  </si>
  <si>
    <t>Supplier 197</t>
  </si>
  <si>
    <t>Supplier 198</t>
  </si>
  <si>
    <t>Supplier 199</t>
  </si>
  <si>
    <t>Supplier 200</t>
  </si>
  <si>
    <t>Supplier 201</t>
  </si>
  <si>
    <t>Supplier 202</t>
  </si>
  <si>
    <t>Supplier 203</t>
  </si>
  <si>
    <t>Supplier 204</t>
  </si>
  <si>
    <t>Supplier 205</t>
  </si>
  <si>
    <t>Supplier 206</t>
  </si>
  <si>
    <t>Supplier 207</t>
  </si>
  <si>
    <t>Supplier 208</t>
  </si>
  <si>
    <t>Supplier 209</t>
  </si>
  <si>
    <t>Supplier 210</t>
  </si>
  <si>
    <t>Supplier 211</t>
  </si>
  <si>
    <t>Supplier 212</t>
  </si>
  <si>
    <t>Supplier 213</t>
  </si>
  <si>
    <t>Supplier 214</t>
  </si>
  <si>
    <t>Supplier 215</t>
  </si>
  <si>
    <t>Supplier 216</t>
  </si>
  <si>
    <t>Supplier 217</t>
  </si>
  <si>
    <t>Supplier 218</t>
  </si>
  <si>
    <t>Supplier 219</t>
  </si>
  <si>
    <t>Supplier 220</t>
  </si>
  <si>
    <t>Supplier 221</t>
  </si>
  <si>
    <t>Supplier 222</t>
  </si>
  <si>
    <t>Supplier 223</t>
  </si>
  <si>
    <t>Supplier 224</t>
  </si>
  <si>
    <t>Supplier 225</t>
  </si>
  <si>
    <t>Supplier 226</t>
  </si>
  <si>
    <t>Supplier 227</t>
  </si>
  <si>
    <t>Supplier 228</t>
  </si>
  <si>
    <t>Supplier 229</t>
  </si>
  <si>
    <t>Supplier 230</t>
  </si>
  <si>
    <t>Supplier 231</t>
  </si>
  <si>
    <t>Supplier 232</t>
  </si>
  <si>
    <t>Supplier 233</t>
  </si>
  <si>
    <t>Supplier 234</t>
  </si>
  <si>
    <t>Supplier 235</t>
  </si>
  <si>
    <t>Supplier 236</t>
  </si>
  <si>
    <t>Supplier 237</t>
  </si>
  <si>
    <t>Supplier 238</t>
  </si>
  <si>
    <t>Supplier 239</t>
  </si>
  <si>
    <t>Supplier 240</t>
  </si>
  <si>
    <t>Supplier 241</t>
  </si>
  <si>
    <t>Supplier 242</t>
  </si>
  <si>
    <t>Supplier 243</t>
  </si>
  <si>
    <t>Supplier 244</t>
  </si>
  <si>
    <t>Supplier 245</t>
  </si>
  <si>
    <t>Supplier 246</t>
  </si>
  <si>
    <t>Supplier 247</t>
  </si>
  <si>
    <t>Supplier 248</t>
  </si>
  <si>
    <t>Supplier 249</t>
  </si>
  <si>
    <t>Supplier 250</t>
  </si>
  <si>
    <t>Supplier 251</t>
  </si>
  <si>
    <t>Supplier 252</t>
  </si>
  <si>
    <t>Supplier 253</t>
  </si>
  <si>
    <t>Supplier 254</t>
  </si>
  <si>
    <t>Code 3</t>
  </si>
  <si>
    <t>Code 4</t>
  </si>
  <si>
    <t>Code 5</t>
  </si>
  <si>
    <t>Code 6</t>
  </si>
  <si>
    <t>Code 7</t>
  </si>
  <si>
    <t>Code 8</t>
  </si>
  <si>
    <t>Code 9</t>
  </si>
  <si>
    <t>Code 10</t>
  </si>
  <si>
    <t>Code 11</t>
  </si>
  <si>
    <t>Code 12</t>
  </si>
  <si>
    <t>Code 13</t>
  </si>
  <si>
    <t>Code 14</t>
  </si>
  <si>
    <t>Code 15</t>
  </si>
  <si>
    <t>Code 16</t>
  </si>
  <si>
    <t>Code 17</t>
  </si>
  <si>
    <t>Code 18</t>
  </si>
  <si>
    <t>Code 19</t>
  </si>
  <si>
    <t>Code 20</t>
  </si>
  <si>
    <t>Code 21</t>
  </si>
  <si>
    <t>Code 22</t>
  </si>
  <si>
    <t>Code 23</t>
  </si>
  <si>
    <t>Code 24</t>
  </si>
  <si>
    <t>Code 25</t>
  </si>
  <si>
    <t>Code 26</t>
  </si>
  <si>
    <t>Code 27</t>
  </si>
  <si>
    <t>Code 28</t>
  </si>
  <si>
    <t>Code 29</t>
  </si>
  <si>
    <t>Code 30</t>
  </si>
  <si>
    <t>Code 31</t>
  </si>
  <si>
    <t>Code 32</t>
  </si>
  <si>
    <t>Code 33</t>
  </si>
  <si>
    <t>Code 34</t>
  </si>
  <si>
    <t>Code 35</t>
  </si>
  <si>
    <t>Code 36</t>
  </si>
  <si>
    <t>Code 37</t>
  </si>
  <si>
    <t>Code 38</t>
  </si>
  <si>
    <t>Code 39</t>
  </si>
  <si>
    <t>Code 40</t>
  </si>
  <si>
    <t>Code 41</t>
  </si>
  <si>
    <t>Code 42</t>
  </si>
  <si>
    <t>Code 43</t>
  </si>
  <si>
    <t>Code 44</t>
  </si>
  <si>
    <t>Code 45</t>
  </si>
  <si>
    <t>Code 46</t>
  </si>
  <si>
    <t>Code 47</t>
  </si>
  <si>
    <t>Code 48</t>
  </si>
  <si>
    <t>Code 49</t>
  </si>
  <si>
    <t>Code 50</t>
  </si>
  <si>
    <t>Code 51</t>
  </si>
  <si>
    <t>Code 52</t>
  </si>
  <si>
    <t>Code 53</t>
  </si>
  <si>
    <t>Code 54</t>
  </si>
  <si>
    <t>Code 55</t>
  </si>
  <si>
    <t>Code 56</t>
  </si>
  <si>
    <t>Code 57</t>
  </si>
  <si>
    <t>Code 58</t>
  </si>
  <si>
    <t>Code 59</t>
  </si>
  <si>
    <t>Code 60</t>
  </si>
  <si>
    <t>Code 61</t>
  </si>
  <si>
    <t>Code 62</t>
  </si>
  <si>
    <t>Code 63</t>
  </si>
  <si>
    <t>Code 64</t>
  </si>
  <si>
    <t>Code 65</t>
  </si>
  <si>
    <t>Code 66</t>
  </si>
  <si>
    <t>Code 67</t>
  </si>
  <si>
    <t>Code 68</t>
  </si>
  <si>
    <t>Code 69</t>
  </si>
  <si>
    <t>Code 70</t>
  </si>
  <si>
    <t>Code 71</t>
  </si>
  <si>
    <t>Code 72</t>
  </si>
  <si>
    <t>Code 73</t>
  </si>
  <si>
    <t>Code 74</t>
  </si>
  <si>
    <t>Code 75</t>
  </si>
  <si>
    <t>Code 76</t>
  </si>
  <si>
    <t>Code 77</t>
  </si>
  <si>
    <t>Code 78</t>
  </si>
  <si>
    <t>Code 79</t>
  </si>
  <si>
    <t>Code 80</t>
  </si>
  <si>
    <t>Code 81</t>
  </si>
  <si>
    <t>Code 82</t>
  </si>
  <si>
    <t>Code 83</t>
  </si>
  <si>
    <t>Code 84</t>
  </si>
  <si>
    <t>Code 85</t>
  </si>
  <si>
    <t>Code 86</t>
  </si>
  <si>
    <t>Code 87</t>
  </si>
  <si>
    <t>Code 88</t>
  </si>
  <si>
    <t>Code 89</t>
  </si>
  <si>
    <t>Code 90</t>
  </si>
  <si>
    <t>Code 91</t>
  </si>
  <si>
    <t>Code 92</t>
  </si>
  <si>
    <t>Code 93</t>
  </si>
  <si>
    <t>Code 94</t>
  </si>
  <si>
    <t>Code 95</t>
  </si>
  <si>
    <t>Code 96</t>
  </si>
  <si>
    <t>Code 97</t>
  </si>
  <si>
    <t>Code 98</t>
  </si>
  <si>
    <t>Code 99</t>
  </si>
  <si>
    <t>Code 100</t>
  </si>
  <si>
    <t>Code 101</t>
  </si>
  <si>
    <t>Code 102</t>
  </si>
  <si>
    <t>Code 103</t>
  </si>
  <si>
    <t>Code 104</t>
  </si>
  <si>
    <t>Code 105</t>
  </si>
  <si>
    <t>Code 106</t>
  </si>
  <si>
    <t>Code 107</t>
  </si>
  <si>
    <t>Code 108</t>
  </si>
  <si>
    <t>Code 109</t>
  </si>
  <si>
    <t>Code 110</t>
  </si>
  <si>
    <t>Code 111</t>
  </si>
  <si>
    <t>Code 112</t>
  </si>
  <si>
    <t>Code 113</t>
  </si>
  <si>
    <t>Code 114</t>
  </si>
  <si>
    <t>Code 115</t>
  </si>
  <si>
    <t>Code 116</t>
  </si>
  <si>
    <t>Code 117</t>
  </si>
  <si>
    <t>Code 118</t>
  </si>
  <si>
    <t>Code 119</t>
  </si>
  <si>
    <t>Code 120</t>
  </si>
  <si>
    <t>Code 121</t>
  </si>
  <si>
    <t>Code 122</t>
  </si>
  <si>
    <t>Code 123</t>
  </si>
  <si>
    <t>Code 124</t>
  </si>
  <si>
    <t>Code 125</t>
  </si>
  <si>
    <t>Code 126</t>
  </si>
  <si>
    <t>Code 127</t>
  </si>
  <si>
    <t>Code 128</t>
  </si>
  <si>
    <t>Code 129</t>
  </si>
  <si>
    <t>Code 130</t>
  </si>
  <si>
    <t>Code 131</t>
  </si>
  <si>
    <t>Code 132</t>
  </si>
  <si>
    <t>Code 133</t>
  </si>
  <si>
    <t>Code 134</t>
  </si>
  <si>
    <t>Code 135</t>
  </si>
  <si>
    <t>Code 136</t>
  </si>
  <si>
    <t>Code 137</t>
  </si>
  <si>
    <t>Code 138</t>
  </si>
  <si>
    <t>Code 139</t>
  </si>
  <si>
    <t>Code 140</t>
  </si>
  <si>
    <t>Code 141</t>
  </si>
  <si>
    <t>Code 142</t>
  </si>
  <si>
    <t>Code 143</t>
  </si>
  <si>
    <t>Code 144</t>
  </si>
  <si>
    <t>Code 145</t>
  </si>
  <si>
    <t>Code 146</t>
  </si>
  <si>
    <t>Code 147</t>
  </si>
  <si>
    <t>Code 148</t>
  </si>
  <si>
    <t>Code 149</t>
  </si>
  <si>
    <t>Code 150</t>
  </si>
  <si>
    <t>Code 151</t>
  </si>
  <si>
    <t>Code 152</t>
  </si>
  <si>
    <t>Code 153</t>
  </si>
  <si>
    <t>Code 154</t>
  </si>
  <si>
    <t>Code 155</t>
  </si>
  <si>
    <t>Code 156</t>
  </si>
  <si>
    <t>Code 157</t>
  </si>
  <si>
    <t>Code 158</t>
  </si>
  <si>
    <t>Code 159</t>
  </si>
  <si>
    <t>Code 160</t>
  </si>
  <si>
    <t>Code 161</t>
  </si>
  <si>
    <t>Code 162</t>
  </si>
  <si>
    <t>Code 163</t>
  </si>
  <si>
    <t>Code 164</t>
  </si>
  <si>
    <t>Code 165</t>
  </si>
  <si>
    <t>Code 166</t>
  </si>
  <si>
    <t>Code 167</t>
  </si>
  <si>
    <t>Code 168</t>
  </si>
  <si>
    <t>Code 169</t>
  </si>
  <si>
    <t>Code 170</t>
  </si>
  <si>
    <t>Code 171</t>
  </si>
  <si>
    <t>Code 172</t>
  </si>
  <si>
    <t>Code 173</t>
  </si>
  <si>
    <t>Code 174</t>
  </si>
  <si>
    <t>Code 175</t>
  </si>
  <si>
    <t>Code 176</t>
  </si>
  <si>
    <t>Code 177</t>
  </si>
  <si>
    <t>Code 178</t>
  </si>
  <si>
    <t>Code 179</t>
  </si>
  <si>
    <t>Code 180</t>
  </si>
  <si>
    <t>Code 181</t>
  </si>
  <si>
    <t>Code 182</t>
  </si>
  <si>
    <t>Code 183</t>
  </si>
  <si>
    <t>Code 184</t>
  </si>
  <si>
    <t>Code 185</t>
  </si>
  <si>
    <t>Code 186</t>
  </si>
  <si>
    <t>Code 187</t>
  </si>
  <si>
    <t>Code 188</t>
  </si>
  <si>
    <t>Code 189</t>
  </si>
  <si>
    <t>Code 190</t>
  </si>
  <si>
    <t>Code 191</t>
  </si>
  <si>
    <t>Code 192</t>
  </si>
  <si>
    <t>Code 193</t>
  </si>
  <si>
    <t>Code 194</t>
  </si>
  <si>
    <t>Code 195</t>
  </si>
  <si>
    <t>Code 196</t>
  </si>
  <si>
    <t>Code 197</t>
  </si>
  <si>
    <t>Code 198</t>
  </si>
  <si>
    <t>Code 199</t>
  </si>
  <si>
    <t>Code 200</t>
  </si>
  <si>
    <t>Code 201</t>
  </si>
  <si>
    <t>Code 202</t>
  </si>
  <si>
    <t>Code 203</t>
  </si>
  <si>
    <t>Code 204</t>
  </si>
  <si>
    <t>Code 205</t>
  </si>
  <si>
    <t>Code 206</t>
  </si>
  <si>
    <t>Code 207</t>
  </si>
  <si>
    <t>Code 208</t>
  </si>
  <si>
    <t>Code 209</t>
  </si>
  <si>
    <t>Code 210</t>
  </si>
  <si>
    <t>Code 211</t>
  </si>
  <si>
    <t>Code 212</t>
  </si>
  <si>
    <t>Code 213</t>
  </si>
  <si>
    <t>Code 214</t>
  </si>
  <si>
    <t>Code 215</t>
  </si>
  <si>
    <t>Code 216</t>
  </si>
  <si>
    <t>Code 217</t>
  </si>
  <si>
    <t>Code 218</t>
  </si>
  <si>
    <t>Code 219</t>
  </si>
  <si>
    <t>Code 220</t>
  </si>
  <si>
    <t>Code 221</t>
  </si>
  <si>
    <t>Code 222</t>
  </si>
  <si>
    <t>Code 223</t>
  </si>
  <si>
    <t>Code 224</t>
  </si>
  <si>
    <t>Code 225</t>
  </si>
  <si>
    <t>Code 226</t>
  </si>
  <si>
    <t>Code 227</t>
  </si>
  <si>
    <t>Code 228</t>
  </si>
  <si>
    <t>Code 229</t>
  </si>
  <si>
    <t>Code 230</t>
  </si>
  <si>
    <t>Code 231</t>
  </si>
  <si>
    <t>Code 232</t>
  </si>
  <si>
    <t>Code 233</t>
  </si>
  <si>
    <t>Code 234</t>
  </si>
  <si>
    <t>Code 235</t>
  </si>
  <si>
    <t>Code 236</t>
  </si>
  <si>
    <t>Code 237</t>
  </si>
  <si>
    <t>Code 238</t>
  </si>
  <si>
    <t>Code 239</t>
  </si>
  <si>
    <t>Code 240</t>
  </si>
  <si>
    <t>Code 241</t>
  </si>
  <si>
    <t>Code 242</t>
  </si>
  <si>
    <t>Code 243</t>
  </si>
  <si>
    <t>Code 244</t>
  </si>
  <si>
    <t>Code 245</t>
  </si>
  <si>
    <t>Code 246</t>
  </si>
  <si>
    <t>Code 247</t>
  </si>
  <si>
    <t>Code 248</t>
  </si>
  <si>
    <t>Code 249</t>
  </si>
  <si>
    <t>Code 250</t>
  </si>
  <si>
    <t>Code 251</t>
  </si>
  <si>
    <t>Code 252</t>
  </si>
  <si>
    <t>Code 253</t>
  </si>
  <si>
    <t>Code 254</t>
  </si>
  <si>
    <t>Code 255</t>
  </si>
  <si>
    <t>Code 256</t>
  </si>
  <si>
    <t>Code 257</t>
  </si>
  <si>
    <t>Code 258</t>
  </si>
  <si>
    <t>Code 259</t>
  </si>
  <si>
    <t>Code 260</t>
  </si>
  <si>
    <t>Code 261</t>
  </si>
  <si>
    <t>Code 262</t>
  </si>
  <si>
    <t>Code 263</t>
  </si>
  <si>
    <t>Code 264</t>
  </si>
  <si>
    <t>Code 265</t>
  </si>
  <si>
    <t>Code 266</t>
  </si>
  <si>
    <t>Code 267</t>
  </si>
  <si>
    <t>Code 268</t>
  </si>
  <si>
    <t>Code 269</t>
  </si>
  <si>
    <t>Code 270</t>
  </si>
  <si>
    <t>Code 271</t>
  </si>
  <si>
    <t>Code 272</t>
  </si>
  <si>
    <t>Code 273</t>
  </si>
  <si>
    <t>Code 274</t>
  </si>
  <si>
    <t>Code 275</t>
  </si>
  <si>
    <t>Code 276</t>
  </si>
  <si>
    <t>Code 277</t>
  </si>
  <si>
    <t>Code 278</t>
  </si>
  <si>
    <t>Code 279</t>
  </si>
  <si>
    <t>Code 280</t>
  </si>
  <si>
    <t>Code 281</t>
  </si>
  <si>
    <t>Code 282</t>
  </si>
  <si>
    <t>Code 283</t>
  </si>
  <si>
    <t>Code 284</t>
  </si>
  <si>
    <t>Code 285</t>
  </si>
  <si>
    <t>Code 286</t>
  </si>
  <si>
    <t>Code 287</t>
  </si>
  <si>
    <t>Code 288</t>
  </si>
  <si>
    <t>Code 289</t>
  </si>
  <si>
    <t>Code 290</t>
  </si>
  <si>
    <t>Code 291</t>
  </si>
  <si>
    <t>Code 292</t>
  </si>
  <si>
    <t>Code 293</t>
  </si>
  <si>
    <t>Code 294</t>
  </si>
  <si>
    <t>Code 295</t>
  </si>
  <si>
    <t>Code 296</t>
  </si>
  <si>
    <t>Code 297</t>
  </si>
  <si>
    <t>Code 298</t>
  </si>
  <si>
    <t>Code 299</t>
  </si>
  <si>
    <t>Code 300</t>
  </si>
  <si>
    <t>Code 301</t>
  </si>
  <si>
    <t>Code 302</t>
  </si>
  <si>
    <t>Code 303</t>
  </si>
  <si>
    <t>Code 304</t>
  </si>
  <si>
    <t>Code 305</t>
  </si>
  <si>
    <t>Code 306</t>
  </si>
  <si>
    <t>Code 307</t>
  </si>
  <si>
    <t>Code 308</t>
  </si>
  <si>
    <t>Code 309</t>
  </si>
  <si>
    <t>Code 310</t>
  </si>
  <si>
    <t>Code 311</t>
  </si>
  <si>
    <t>Code 312</t>
  </si>
  <si>
    <t>Code 313</t>
  </si>
  <si>
    <t>Code 314</t>
  </si>
  <si>
    <t>Code 315</t>
  </si>
  <si>
    <t>Code 316</t>
  </si>
  <si>
    <t>Code 317</t>
  </si>
  <si>
    <t>Code 318</t>
  </si>
  <si>
    <t>Code 319</t>
  </si>
  <si>
    <t>Code 320</t>
  </si>
  <si>
    <t>Code 321</t>
  </si>
  <si>
    <t>Code 322</t>
  </si>
  <si>
    <t>Code 323</t>
  </si>
  <si>
    <t>Code 324</t>
  </si>
  <si>
    <t>Code 325</t>
  </si>
  <si>
    <t>Code 326</t>
  </si>
  <si>
    <t>Code 327</t>
  </si>
  <si>
    <t>Code 328</t>
  </si>
  <si>
    <t>Code 329</t>
  </si>
  <si>
    <t>Code 330</t>
  </si>
  <si>
    <t>Code 331</t>
  </si>
  <si>
    <t>Code 332</t>
  </si>
  <si>
    <t>Code 333</t>
  </si>
  <si>
    <t>Code 334</t>
  </si>
  <si>
    <t>Code 335</t>
  </si>
  <si>
    <t>Code 336</t>
  </si>
  <si>
    <t>Code 337</t>
  </si>
  <si>
    <t>Code 338</t>
  </si>
  <si>
    <t>Code 339</t>
  </si>
  <si>
    <t>Code 340</t>
  </si>
  <si>
    <t>Code 341</t>
  </si>
  <si>
    <t>Code 342</t>
  </si>
  <si>
    <t>Code 343</t>
  </si>
  <si>
    <t>Code 344</t>
  </si>
  <si>
    <t>Code 345</t>
  </si>
  <si>
    <t>Code 346</t>
  </si>
  <si>
    <t>Code 347</t>
  </si>
  <si>
    <t>Code 348</t>
  </si>
  <si>
    <t>Code 349</t>
  </si>
  <si>
    <t>Code 350</t>
  </si>
  <si>
    <t>Code 351</t>
  </si>
  <si>
    <t>Code 352</t>
  </si>
  <si>
    <t>Code 353</t>
  </si>
  <si>
    <t>Code 354</t>
  </si>
  <si>
    <t>Code 355</t>
  </si>
  <si>
    <t>Code 356</t>
  </si>
  <si>
    <t>Code 357</t>
  </si>
  <si>
    <t>Code 358</t>
  </si>
  <si>
    <t>Code 359</t>
  </si>
  <si>
    <t>Code 360</t>
  </si>
  <si>
    <t>Code 361</t>
  </si>
  <si>
    <t>Code 362</t>
  </si>
  <si>
    <t>Code 363</t>
  </si>
  <si>
    <t>Code 364</t>
  </si>
  <si>
    <t>Code 365</t>
  </si>
  <si>
    <t>Code 366</t>
  </si>
  <si>
    <t>Code 367</t>
  </si>
  <si>
    <t>Code 368</t>
  </si>
  <si>
    <t>Code 369</t>
  </si>
  <si>
    <t>Code 370</t>
  </si>
  <si>
    <t>Code 371</t>
  </si>
  <si>
    <t>Code 372</t>
  </si>
  <si>
    <t>Code 373</t>
  </si>
  <si>
    <t>Code 374</t>
  </si>
  <si>
    <t>Code 375</t>
  </si>
  <si>
    <t>Code 376</t>
  </si>
  <si>
    <t>Code 377</t>
  </si>
  <si>
    <t>Code 378</t>
  </si>
  <si>
    <t>Code 379</t>
  </si>
  <si>
    <t>Code 380</t>
  </si>
  <si>
    <t>Code 381</t>
  </si>
  <si>
    <t>Code 382</t>
  </si>
  <si>
    <t>Code 383</t>
  </si>
  <si>
    <t>Code 384</t>
  </si>
  <si>
    <t>Code 385</t>
  </si>
  <si>
    <t>Code 386</t>
  </si>
  <si>
    <t>Code 387</t>
  </si>
  <si>
    <t>Code 388</t>
  </si>
  <si>
    <t>Code 389</t>
  </si>
  <si>
    <t>Code 390</t>
  </si>
  <si>
    <t>Code 391</t>
  </si>
  <si>
    <t>Code 392</t>
  </si>
  <si>
    <t>Code 393</t>
  </si>
  <si>
    <t>Code 394</t>
  </si>
  <si>
    <t>Code 395</t>
  </si>
  <si>
    <t>Code 396</t>
  </si>
  <si>
    <t>Code 397</t>
  </si>
  <si>
    <t>Code 398</t>
  </si>
  <si>
    <t>Code 399</t>
  </si>
  <si>
    <t>Code 400</t>
  </si>
  <si>
    <t>Code 401</t>
  </si>
  <si>
    <t>Code 402</t>
  </si>
  <si>
    <t>Code 403</t>
  </si>
  <si>
    <t>Code 404</t>
  </si>
  <si>
    <t>Code 405</t>
  </si>
  <si>
    <t>Code 406</t>
  </si>
  <si>
    <t>Code 407</t>
  </si>
  <si>
    <t>Code 408</t>
  </si>
  <si>
    <t>Code 409</t>
  </si>
  <si>
    <t>Code 410</t>
  </si>
  <si>
    <t>Code 411</t>
  </si>
  <si>
    <t>Code 412</t>
  </si>
  <si>
    <t>Code 413</t>
  </si>
  <si>
    <t>Code 414</t>
  </si>
  <si>
    <t>Code 415</t>
  </si>
  <si>
    <t>Code 416</t>
  </si>
  <si>
    <t>Code 417</t>
  </si>
  <si>
    <t>Code 418</t>
  </si>
  <si>
    <t>Code 419</t>
  </si>
  <si>
    <t>Code 420</t>
  </si>
  <si>
    <t>Code 421</t>
  </si>
  <si>
    <t>Code 422</t>
  </si>
  <si>
    <t>Code 423</t>
  </si>
  <si>
    <t>Code 424</t>
  </si>
  <si>
    <t>Code 425</t>
  </si>
  <si>
    <t>Code 426</t>
  </si>
  <si>
    <t>Code 427</t>
  </si>
  <si>
    <t>Code 428</t>
  </si>
  <si>
    <t>Code 429</t>
  </si>
  <si>
    <t>Code 430</t>
  </si>
  <si>
    <t>Code 431</t>
  </si>
  <si>
    <t>Code 432</t>
  </si>
  <si>
    <t>Code 433</t>
  </si>
  <si>
    <t>Code 434</t>
  </si>
  <si>
    <t>Code 435</t>
  </si>
  <si>
    <t>Code 436</t>
  </si>
  <si>
    <t>Code 437</t>
  </si>
  <si>
    <t>Code 438</t>
  </si>
  <si>
    <t>Code 439</t>
  </si>
  <si>
    <t>Code 440</t>
  </si>
  <si>
    <t>Code 441</t>
  </si>
  <si>
    <t>Code 442</t>
  </si>
  <si>
    <t>Code 443</t>
  </si>
  <si>
    <t>Code 444</t>
  </si>
  <si>
    <t>Code 445</t>
  </si>
  <si>
    <t>Code 446</t>
  </si>
  <si>
    <t>Code 447</t>
  </si>
  <si>
    <t>Code 448</t>
  </si>
  <si>
    <t>Code 449</t>
  </si>
  <si>
    <t>Code 450</t>
  </si>
  <si>
    <t>Code 451</t>
  </si>
  <si>
    <t>Code 452</t>
  </si>
  <si>
    <t>Code 453</t>
  </si>
  <si>
    <t>Code 454</t>
  </si>
  <si>
    <t>Code 455</t>
  </si>
  <si>
    <t>Code 456</t>
  </si>
  <si>
    <t>Code 457</t>
  </si>
  <si>
    <t>Code 458</t>
  </si>
  <si>
    <t>Code 459</t>
  </si>
  <si>
    <t>Code 460</t>
  </si>
  <si>
    <t>Code 461</t>
  </si>
  <si>
    <t>Code 462</t>
  </si>
  <si>
    <t>Code 463</t>
  </si>
  <si>
    <t>Code 464</t>
  </si>
  <si>
    <t>Code 465</t>
  </si>
  <si>
    <t>Code 466</t>
  </si>
  <si>
    <t>Code 467</t>
  </si>
  <si>
    <t>Code 468</t>
  </si>
  <si>
    <t>Code 469</t>
  </si>
  <si>
    <t>Code 470</t>
  </si>
  <si>
    <t>Code 471</t>
  </si>
  <si>
    <t>Code 472</t>
  </si>
  <si>
    <t>Code 473</t>
  </si>
  <si>
    <t>Code 474</t>
  </si>
  <si>
    <t>Code 475</t>
  </si>
  <si>
    <t>Code 476</t>
  </si>
  <si>
    <t>Code 477</t>
  </si>
  <si>
    <t>Code 478</t>
  </si>
  <si>
    <t>Code 479</t>
  </si>
  <si>
    <t>Code 480</t>
  </si>
  <si>
    <t>Code 481</t>
  </si>
  <si>
    <t>Code 482</t>
  </si>
  <si>
    <t>Code 483</t>
  </si>
  <si>
    <t>Code 484</t>
  </si>
  <si>
    <t>Code 485</t>
  </si>
  <si>
    <t>Code 486</t>
  </si>
  <si>
    <t>Code 487</t>
  </si>
  <si>
    <t>Code 488</t>
  </si>
  <si>
    <t>Code 489</t>
  </si>
  <si>
    <t>Code 490</t>
  </si>
  <si>
    <t>Code 491</t>
  </si>
  <si>
    <t>Code 492</t>
  </si>
  <si>
    <t>Code 493</t>
  </si>
  <si>
    <t>Code 494</t>
  </si>
  <si>
    <t>Code 495</t>
  </si>
  <si>
    <t>Code 496</t>
  </si>
  <si>
    <t>Code 497</t>
  </si>
  <si>
    <t>Code 498</t>
  </si>
  <si>
    <t>Code 499</t>
  </si>
  <si>
    <t>Code 500</t>
  </si>
  <si>
    <t>Code 501</t>
  </si>
  <si>
    <t>Code 502</t>
  </si>
  <si>
    <t>Code 503</t>
  </si>
  <si>
    <t>Code 504</t>
  </si>
  <si>
    <t>Code 505</t>
  </si>
  <si>
    <t>Code 506</t>
  </si>
  <si>
    <t>Code 507</t>
  </si>
  <si>
    <t>Code 508</t>
  </si>
  <si>
    <t>Code 509</t>
  </si>
  <si>
    <t>Code 510</t>
  </si>
  <si>
    <t>Code 511</t>
  </si>
  <si>
    <t>Code 512</t>
  </si>
  <si>
    <t>Code 513</t>
  </si>
  <si>
    <t>Code 514</t>
  </si>
  <si>
    <t>Code 515</t>
  </si>
  <si>
    <t>Code 516</t>
  </si>
  <si>
    <t>Code 517</t>
  </si>
  <si>
    <t>Code 518</t>
  </si>
  <si>
    <t>Code 519</t>
  </si>
  <si>
    <t>Code 520</t>
  </si>
  <si>
    <t>Code 521</t>
  </si>
  <si>
    <t>Code 522</t>
  </si>
  <si>
    <t>Code 523</t>
  </si>
  <si>
    <t>Code 524</t>
  </si>
  <si>
    <t>Code 525</t>
  </si>
  <si>
    <t>Code 526</t>
  </si>
  <si>
    <t>Code 527</t>
  </si>
  <si>
    <t>Code 528</t>
  </si>
  <si>
    <t>Code 529</t>
  </si>
  <si>
    <t>Code 530</t>
  </si>
  <si>
    <t>Code 531</t>
  </si>
  <si>
    <t>Code 532</t>
  </si>
  <si>
    <t>Code 533</t>
  </si>
  <si>
    <t>Code 534</t>
  </si>
  <si>
    <t>Code 535</t>
  </si>
  <si>
    <t>Code 536</t>
  </si>
  <si>
    <t>Code 537</t>
  </si>
  <si>
    <t>Code 538</t>
  </si>
  <si>
    <t>Code 539</t>
  </si>
  <si>
    <t>Code 540</t>
  </si>
  <si>
    <t>Code 541</t>
  </si>
  <si>
    <t>Code 542</t>
  </si>
  <si>
    <t>Code 543</t>
  </si>
  <si>
    <t>Code 544</t>
  </si>
  <si>
    <t>Code 545</t>
  </si>
  <si>
    <t>Code 546</t>
  </si>
  <si>
    <t>Code 547</t>
  </si>
  <si>
    <t>Code 548</t>
  </si>
  <si>
    <t>Code 549</t>
  </si>
  <si>
    <t>Code 550</t>
  </si>
  <si>
    <t>Code 551</t>
  </si>
  <si>
    <t>Code 552</t>
  </si>
  <si>
    <t>Code 553</t>
  </si>
  <si>
    <t>Code 554</t>
  </si>
  <si>
    <t>Code 555</t>
  </si>
  <si>
    <t>Code 556</t>
  </si>
  <si>
    <t>Code 557</t>
  </si>
  <si>
    <t>Code 558</t>
  </si>
  <si>
    <t>Code 559</t>
  </si>
  <si>
    <t>Code 560</t>
  </si>
  <si>
    <t>Code 561</t>
  </si>
  <si>
    <t>Code 562</t>
  </si>
  <si>
    <t>Code 563</t>
  </si>
  <si>
    <t>Code 564</t>
  </si>
  <si>
    <t>Code 565</t>
  </si>
  <si>
    <t>Code 566</t>
  </si>
  <si>
    <t>Code 567</t>
  </si>
  <si>
    <t>Code 568</t>
  </si>
  <si>
    <t>Code 569</t>
  </si>
  <si>
    <t>Code 570</t>
  </si>
  <si>
    <t>Code 571</t>
  </si>
  <si>
    <t>Code 572</t>
  </si>
  <si>
    <t>Code 573</t>
  </si>
  <si>
    <t>Code 574</t>
  </si>
  <si>
    <t>Code 575</t>
  </si>
  <si>
    <t>Code 576</t>
  </si>
  <si>
    <t>Code 577</t>
  </si>
  <si>
    <t>Code 578</t>
  </si>
  <si>
    <t>Code 579</t>
  </si>
  <si>
    <t>Code 580</t>
  </si>
  <si>
    <t>Code 581</t>
  </si>
  <si>
    <t>Code 582</t>
  </si>
  <si>
    <t>Code 583</t>
  </si>
  <si>
    <t>Code 584</t>
  </si>
  <si>
    <t>Code 585</t>
  </si>
  <si>
    <t>Code 586</t>
  </si>
  <si>
    <t>Code 587</t>
  </si>
  <si>
    <t>Code 588</t>
  </si>
  <si>
    <t>Code 589</t>
  </si>
  <si>
    <t>Code 590</t>
  </si>
  <si>
    <t>Code 591</t>
  </si>
  <si>
    <t>Code 592</t>
  </si>
  <si>
    <t>Code 593</t>
  </si>
  <si>
    <t>Code 594</t>
  </si>
  <si>
    <t>Code 595</t>
  </si>
  <si>
    <t>Code 596</t>
  </si>
  <si>
    <t>Code 597</t>
  </si>
  <si>
    <t>Code 598</t>
  </si>
  <si>
    <t>Code 599</t>
  </si>
  <si>
    <t>Code 600</t>
  </si>
  <si>
    <t>Code 601</t>
  </si>
  <si>
    <t>Code 602</t>
  </si>
  <si>
    <t>Code 603</t>
  </si>
  <si>
    <t>Code 604</t>
  </si>
  <si>
    <t>Code 605</t>
  </si>
  <si>
    <t>Code 606</t>
  </si>
  <si>
    <t>Code 607</t>
  </si>
  <si>
    <t>Code 608</t>
  </si>
  <si>
    <t>Code 609</t>
  </si>
  <si>
    <t>Code 610</t>
  </si>
  <si>
    <t>Code 611</t>
  </si>
  <si>
    <t>Code 612</t>
  </si>
  <si>
    <t>Code 613</t>
  </si>
  <si>
    <t>Code 614</t>
  </si>
  <si>
    <t>Code 615</t>
  </si>
  <si>
    <t>Code 616</t>
  </si>
  <si>
    <t>Code 617</t>
  </si>
  <si>
    <t>Code 618</t>
  </si>
  <si>
    <t>Code 619</t>
  </si>
  <si>
    <t>Code 620</t>
  </si>
  <si>
    <t>Code 621</t>
  </si>
  <si>
    <t>Code 622</t>
  </si>
  <si>
    <t>Code 623</t>
  </si>
  <si>
    <t>Code 624</t>
  </si>
  <si>
    <t>Code 625</t>
  </si>
  <si>
    <t>Code 626</t>
  </si>
  <si>
    <t>Code 627</t>
  </si>
  <si>
    <t>Code 628</t>
  </si>
  <si>
    <t>Code 629</t>
  </si>
  <si>
    <t>Code 630</t>
  </si>
  <si>
    <t>Code 631</t>
  </si>
  <si>
    <t>Code 632</t>
  </si>
  <si>
    <t>Code 633</t>
  </si>
  <si>
    <t>Code 634</t>
  </si>
  <si>
    <t>Code 635</t>
  </si>
  <si>
    <t>Code 636</t>
  </si>
  <si>
    <t>Code 637</t>
  </si>
  <si>
    <t>Code 638</t>
  </si>
  <si>
    <t>Code 639</t>
  </si>
  <si>
    <t>Code 640</t>
  </si>
  <si>
    <t>Code 641</t>
  </si>
  <si>
    <t>Code 642</t>
  </si>
  <si>
    <t>Code 643</t>
  </si>
  <si>
    <t>Code 644</t>
  </si>
  <si>
    <t>Code 645</t>
  </si>
  <si>
    <t>Code 646</t>
  </si>
  <si>
    <t>Code 647</t>
  </si>
  <si>
    <t>Code 648</t>
  </si>
  <si>
    <t>Code 649</t>
  </si>
  <si>
    <t>Code 650</t>
  </si>
  <si>
    <t>Code 651</t>
  </si>
  <si>
    <t>Code 652</t>
  </si>
  <si>
    <t>Code 653</t>
  </si>
  <si>
    <t>Code 654</t>
  </si>
  <si>
    <t>Code 655</t>
  </si>
  <si>
    <t>Code 656</t>
  </si>
  <si>
    <t>Code 657</t>
  </si>
  <si>
    <t>Code 658</t>
  </si>
  <si>
    <t>Code 659</t>
  </si>
  <si>
    <t>Code 660</t>
  </si>
  <si>
    <t>Code 661</t>
  </si>
  <si>
    <t>Code 662</t>
  </si>
  <si>
    <t>Code 663</t>
  </si>
  <si>
    <t>Code 664</t>
  </si>
  <si>
    <t>Code 665</t>
  </si>
  <si>
    <t>Code 666</t>
  </si>
  <si>
    <t>Code 667</t>
  </si>
  <si>
    <t>Code 668</t>
  </si>
  <si>
    <t>Code 669</t>
  </si>
  <si>
    <t>Code 670</t>
  </si>
  <si>
    <t>Code 671</t>
  </si>
  <si>
    <t>Code 672</t>
  </si>
  <si>
    <t>Code 673</t>
  </si>
  <si>
    <t>Code 674</t>
  </si>
  <si>
    <t>Code 675</t>
  </si>
  <si>
    <t>Code 676</t>
  </si>
  <si>
    <t>Code 677</t>
  </si>
  <si>
    <t>Code 678</t>
  </si>
  <si>
    <t>Code 679</t>
  </si>
  <si>
    <t>Code 680</t>
  </si>
  <si>
    <t>Code 681</t>
  </si>
  <si>
    <t>Code 682</t>
  </si>
  <si>
    <t>Code 683</t>
  </si>
  <si>
    <t>Code 684</t>
  </si>
  <si>
    <t>Code 685</t>
  </si>
  <si>
    <t>Code 686</t>
  </si>
  <si>
    <t>Code 687</t>
  </si>
  <si>
    <t>Code 688</t>
  </si>
  <si>
    <t>Code 689</t>
  </si>
  <si>
    <t>Code 690</t>
  </si>
  <si>
    <t>Code 691</t>
  </si>
  <si>
    <t>Code 692</t>
  </si>
  <si>
    <t>Code 693</t>
  </si>
  <si>
    <t>Code 694</t>
  </si>
  <si>
    <t>Code 695</t>
  </si>
  <si>
    <t>Code 696</t>
  </si>
  <si>
    <t>Code 697</t>
  </si>
  <si>
    <t>Code 698</t>
  </si>
  <si>
    <t>Code 699</t>
  </si>
  <si>
    <t>Code 700</t>
  </si>
  <si>
    <t>Code 701</t>
  </si>
  <si>
    <t>Code 702</t>
  </si>
  <si>
    <t>Code 703</t>
  </si>
  <si>
    <t>Code 704</t>
  </si>
  <si>
    <t>Code 705</t>
  </si>
  <si>
    <t>Code 706</t>
  </si>
  <si>
    <t>Code 707</t>
  </si>
  <si>
    <t>Code 708</t>
  </si>
  <si>
    <t>Code 709</t>
  </si>
  <si>
    <t>Code 710</t>
  </si>
  <si>
    <t>Code 711</t>
  </si>
  <si>
    <t>Code 712</t>
  </si>
  <si>
    <t>Code 713</t>
  </si>
  <si>
    <t>Code 714</t>
  </si>
  <si>
    <t>Code 715</t>
  </si>
  <si>
    <t>Code 716</t>
  </si>
  <si>
    <t>Code 717</t>
  </si>
  <si>
    <t>Code 718</t>
  </si>
  <si>
    <t>Code 719</t>
  </si>
  <si>
    <t>Code 720</t>
  </si>
  <si>
    <t>Code 721</t>
  </si>
  <si>
    <t>Code 722</t>
  </si>
  <si>
    <t>Code 723</t>
  </si>
  <si>
    <t>Code 724</t>
  </si>
  <si>
    <t>Code 725</t>
  </si>
  <si>
    <t>Code 726</t>
  </si>
  <si>
    <t>Code 727</t>
  </si>
  <si>
    <t>Code 728</t>
  </si>
  <si>
    <t>Code 729</t>
  </si>
  <si>
    <t>Code 730</t>
  </si>
  <si>
    <t>Code 731</t>
  </si>
  <si>
    <t>Code 732</t>
  </si>
  <si>
    <t>Code 733</t>
  </si>
  <si>
    <t>Code 734</t>
  </si>
  <si>
    <t>Code 735</t>
  </si>
  <si>
    <t>Code 736</t>
  </si>
  <si>
    <t>Code 737</t>
  </si>
  <si>
    <t>Code 738</t>
  </si>
  <si>
    <t>Code 739</t>
  </si>
  <si>
    <t>Code 740</t>
  </si>
  <si>
    <t>Code 741</t>
  </si>
  <si>
    <t>Code 742</t>
  </si>
  <si>
    <t>Code 743</t>
  </si>
  <si>
    <t>Code 744</t>
  </si>
  <si>
    <t>Code 745</t>
  </si>
  <si>
    <t>Code 746</t>
  </si>
  <si>
    <t>Code 747</t>
  </si>
  <si>
    <t>Code 748</t>
  </si>
  <si>
    <t>Code 749</t>
  </si>
  <si>
    <t>Code 750</t>
  </si>
  <si>
    <t>Code 751</t>
  </si>
  <si>
    <t>Code 752</t>
  </si>
  <si>
    <t>Code 753</t>
  </si>
  <si>
    <t>Code 754</t>
  </si>
  <si>
    <t>Code 755</t>
  </si>
  <si>
    <t>Code 756</t>
  </si>
  <si>
    <t>Code 757</t>
  </si>
  <si>
    <t>Code 758</t>
  </si>
  <si>
    <t>Code 759</t>
  </si>
  <si>
    <t>Code 760</t>
  </si>
  <si>
    <t>Code 761</t>
  </si>
  <si>
    <t>Code 762</t>
  </si>
  <si>
    <t>Code 763</t>
  </si>
  <si>
    <t>Code 764</t>
  </si>
  <si>
    <t>Code 765</t>
  </si>
  <si>
    <t>Code 766</t>
  </si>
  <si>
    <t>Code 767</t>
  </si>
  <si>
    <t>Code 768</t>
  </si>
  <si>
    <t>Code 769</t>
  </si>
  <si>
    <t>Code 770</t>
  </si>
  <si>
    <t>Code 771</t>
  </si>
  <si>
    <t>Code 772</t>
  </si>
  <si>
    <t>Code 773</t>
  </si>
  <si>
    <t>Code 774</t>
  </si>
  <si>
    <t>Code 775</t>
  </si>
  <si>
    <t>Code 776</t>
  </si>
  <si>
    <t>Code 777</t>
  </si>
  <si>
    <t>Code 778</t>
  </si>
  <si>
    <t>Code 779</t>
  </si>
  <si>
    <t>Code 780</t>
  </si>
  <si>
    <t>Code 781</t>
  </si>
  <si>
    <t>Code 782</t>
  </si>
  <si>
    <t>Code 783</t>
  </si>
  <si>
    <t>Code 784</t>
  </si>
  <si>
    <t>Code 785</t>
  </si>
  <si>
    <t>Code 786</t>
  </si>
  <si>
    <t>Code 787</t>
  </si>
  <si>
    <t>Code 788</t>
  </si>
  <si>
    <t>Code 789</t>
  </si>
  <si>
    <t>Code 790</t>
  </si>
  <si>
    <t>Code 791</t>
  </si>
  <si>
    <t>Code 792</t>
  </si>
  <si>
    <t>Code 793</t>
  </si>
  <si>
    <t>Code 794</t>
  </si>
  <si>
    <t>Code 795</t>
  </si>
  <si>
    <t>Code 796</t>
  </si>
  <si>
    <t>Code 797</t>
  </si>
  <si>
    <t>Code 798</t>
  </si>
  <si>
    <t>Code 799</t>
  </si>
  <si>
    <t>Code 800</t>
  </si>
  <si>
    <t>Code 801</t>
  </si>
  <si>
    <t>Code 802</t>
  </si>
  <si>
    <t>Code 803</t>
  </si>
  <si>
    <t>Code 804</t>
  </si>
  <si>
    <t>Code 805</t>
  </si>
  <si>
    <t>Code 806</t>
  </si>
  <si>
    <t>Code 807</t>
  </si>
  <si>
    <t>Code 808</t>
  </si>
  <si>
    <t>Code 809</t>
  </si>
  <si>
    <t>Code 810</t>
  </si>
  <si>
    <t>Code 811</t>
  </si>
  <si>
    <t>Code 812</t>
  </si>
  <si>
    <t>Code 813</t>
  </si>
  <si>
    <t>Code 814</t>
  </si>
  <si>
    <t>Code 815</t>
  </si>
  <si>
    <t>Code 816</t>
  </si>
  <si>
    <t>Code 817</t>
  </si>
  <si>
    <t>Code 818</t>
  </si>
  <si>
    <t>Code 819</t>
  </si>
  <si>
    <t>Code 820</t>
  </si>
  <si>
    <t>Code 821</t>
  </si>
  <si>
    <t>Code 822</t>
  </si>
  <si>
    <t>Code 823</t>
  </si>
  <si>
    <t>Code 824</t>
  </si>
  <si>
    <t>Code 825</t>
  </si>
  <si>
    <t>Code 826</t>
  </si>
  <si>
    <t>Code 827</t>
  </si>
  <si>
    <t>Code 828</t>
  </si>
  <si>
    <t>Code 829</t>
  </si>
  <si>
    <t>Code 830</t>
  </si>
  <si>
    <t>Code 831</t>
  </si>
  <si>
    <t>Code 832</t>
  </si>
  <si>
    <t>Code 833</t>
  </si>
  <si>
    <t>Code 834</t>
  </si>
  <si>
    <t>Code 835</t>
  </si>
  <si>
    <t>Code 836</t>
  </si>
  <si>
    <t>Code 837</t>
  </si>
  <si>
    <t>Code 838</t>
  </si>
  <si>
    <t>Code 839</t>
  </si>
  <si>
    <t>Code 840</t>
  </si>
  <si>
    <t>Code 841</t>
  </si>
  <si>
    <t>Code 842</t>
  </si>
  <si>
    <t>Code 843</t>
  </si>
  <si>
    <t>Code 844</t>
  </si>
  <si>
    <t>Code 845</t>
  </si>
  <si>
    <t>Code 846</t>
  </si>
  <si>
    <t>Code 847</t>
  </si>
  <si>
    <t>Code 848</t>
  </si>
  <si>
    <t>Code 849</t>
  </si>
  <si>
    <t>Code 850</t>
  </si>
  <si>
    <t>Code 851</t>
  </si>
  <si>
    <t>Code 852</t>
  </si>
  <si>
    <t>Code 853</t>
  </si>
  <si>
    <t>Code 854</t>
  </si>
  <si>
    <t>Code 855</t>
  </si>
  <si>
    <t>Code 856</t>
  </si>
  <si>
    <t>Code 857</t>
  </si>
  <si>
    <t>Code 858</t>
  </si>
  <si>
    <t>Code 859</t>
  </si>
  <si>
    <t>Code 860</t>
  </si>
  <si>
    <t>Code 861</t>
  </si>
  <si>
    <t>Code 862</t>
  </si>
  <si>
    <t>Code 863</t>
  </si>
  <si>
    <t>Code 864</t>
  </si>
  <si>
    <t>Code 865</t>
  </si>
  <si>
    <t>Code 866</t>
  </si>
  <si>
    <t>Code 867</t>
  </si>
  <si>
    <t>Code 868</t>
  </si>
  <si>
    <t>Code 869</t>
  </si>
  <si>
    <t>Code 870</t>
  </si>
  <si>
    <t>Code 871</t>
  </si>
  <si>
    <t>Code 872</t>
  </si>
  <si>
    <t>Code 873</t>
  </si>
  <si>
    <t>Code 874</t>
  </si>
  <si>
    <t>Code 875</t>
  </si>
  <si>
    <t>Code 876</t>
  </si>
  <si>
    <t>Code 877</t>
  </si>
  <si>
    <t>Code 878</t>
  </si>
  <si>
    <t>Code 879</t>
  </si>
  <si>
    <t>Code 880</t>
  </si>
  <si>
    <t>Code 881</t>
  </si>
  <si>
    <t>Code 882</t>
  </si>
  <si>
    <t>Code 883</t>
  </si>
  <si>
    <t>Code 884</t>
  </si>
  <si>
    <t>Code 885</t>
  </si>
  <si>
    <t>Code 886</t>
  </si>
  <si>
    <t>Code 887</t>
  </si>
  <si>
    <t>Code 888</t>
  </si>
  <si>
    <t>Code 889</t>
  </si>
  <si>
    <t>Code 890</t>
  </si>
  <si>
    <t>Code 891</t>
  </si>
  <si>
    <t>Code 892</t>
  </si>
  <si>
    <t>Code 893</t>
  </si>
  <si>
    <t>Code 894</t>
  </si>
  <si>
    <t>Code 895</t>
  </si>
  <si>
    <t>Code 896</t>
  </si>
  <si>
    <t>Code 897</t>
  </si>
  <si>
    <t>Code 898</t>
  </si>
  <si>
    <t>Code 899</t>
  </si>
  <si>
    <t>Code 900</t>
  </si>
  <si>
    <t>Code 901</t>
  </si>
  <si>
    <t>Code 902</t>
  </si>
  <si>
    <t>Code 903</t>
  </si>
  <si>
    <t>Code 904</t>
  </si>
  <si>
    <t>Code 905</t>
  </si>
  <si>
    <t>Code 906</t>
  </si>
  <si>
    <t>Code 907</t>
  </si>
  <si>
    <t>Code 908</t>
  </si>
  <si>
    <t>Code 909</t>
  </si>
  <si>
    <t>Code 910</t>
  </si>
  <si>
    <t>Code 911</t>
  </si>
  <si>
    <t>Code 912</t>
  </si>
  <si>
    <t>Code 913</t>
  </si>
  <si>
    <t>Code 914</t>
  </si>
  <si>
    <t>Code 915</t>
  </si>
  <si>
    <t>Code 916</t>
  </si>
  <si>
    <t>Code 917</t>
  </si>
  <si>
    <t>Code 918</t>
  </si>
  <si>
    <t>Code 919</t>
  </si>
  <si>
    <t>Code 920</t>
  </si>
  <si>
    <t>Code 921</t>
  </si>
  <si>
    <t>Code 922</t>
  </si>
  <si>
    <t>Code 923</t>
  </si>
  <si>
    <t>Code 924</t>
  </si>
  <si>
    <t>Code 925</t>
  </si>
  <si>
    <t>Code 926</t>
  </si>
  <si>
    <t>Code 927</t>
  </si>
  <si>
    <t>Code 928</t>
  </si>
  <si>
    <t>Code 929</t>
  </si>
  <si>
    <t>Code 930</t>
  </si>
  <si>
    <t>Code 931</t>
  </si>
  <si>
    <t>Code 932</t>
  </si>
  <si>
    <t>Code 933</t>
  </si>
  <si>
    <t>Code 934</t>
  </si>
  <si>
    <t>Code 935</t>
  </si>
  <si>
    <t>Code 936</t>
  </si>
  <si>
    <t>Code 937</t>
  </si>
  <si>
    <t>Code 938</t>
  </si>
  <si>
    <t>Code 939</t>
  </si>
  <si>
    <t>Code 940</t>
  </si>
  <si>
    <t>Code 941</t>
  </si>
  <si>
    <t>Code 942</t>
  </si>
  <si>
    <t>Code 943</t>
  </si>
  <si>
    <t>Code 944</t>
  </si>
  <si>
    <t>Code 945</t>
  </si>
  <si>
    <t>Code 946</t>
  </si>
  <si>
    <t>Code 947</t>
  </si>
  <si>
    <t>Code 948</t>
  </si>
  <si>
    <t>Code 949</t>
  </si>
  <si>
    <t>Code 950</t>
  </si>
  <si>
    <t>Code 951</t>
  </si>
  <si>
    <t>Code 952</t>
  </si>
  <si>
    <t>Code 953</t>
  </si>
  <si>
    <t>Code 954</t>
  </si>
  <si>
    <t>Code 955</t>
  </si>
  <si>
    <t>Code 956</t>
  </si>
  <si>
    <t>Code 957</t>
  </si>
  <si>
    <t>Code 958</t>
  </si>
  <si>
    <t>Code 959</t>
  </si>
  <si>
    <t>Code 960</t>
  </si>
  <si>
    <t>Code 961</t>
  </si>
  <si>
    <t>Code 962</t>
  </si>
  <si>
    <t>Code 963</t>
  </si>
  <si>
    <t>Code 964</t>
  </si>
  <si>
    <t>Code 965</t>
  </si>
  <si>
    <t>Code 966</t>
  </si>
  <si>
    <t>Code 967</t>
  </si>
  <si>
    <t>Code 968</t>
  </si>
  <si>
    <t>Code 969</t>
  </si>
  <si>
    <t>Code 970</t>
  </si>
  <si>
    <t>Code 971</t>
  </si>
  <si>
    <t>Code 972</t>
  </si>
  <si>
    <t>Code 973</t>
  </si>
  <si>
    <t>Code 974</t>
  </si>
  <si>
    <t>Code 975</t>
  </si>
  <si>
    <t>Code 976</t>
  </si>
  <si>
    <t>Code 977</t>
  </si>
  <si>
    <t>Code 978</t>
  </si>
  <si>
    <t>Code 979</t>
  </si>
  <si>
    <t>Code 980</t>
  </si>
  <si>
    <t>Code 981</t>
  </si>
  <si>
    <t>Code 982</t>
  </si>
  <si>
    <t>Code 983</t>
  </si>
  <si>
    <t>Code 984</t>
  </si>
  <si>
    <t>Code 985</t>
  </si>
  <si>
    <t>Code 986</t>
  </si>
  <si>
    <t>Code 987</t>
  </si>
  <si>
    <t>Code 988</t>
  </si>
  <si>
    <t>Code 989</t>
  </si>
  <si>
    <t>Code 990</t>
  </si>
  <si>
    <t>Code 991</t>
  </si>
  <si>
    <t>Code 992</t>
  </si>
  <si>
    <t>Code 993</t>
  </si>
  <si>
    <t>Code 994</t>
  </si>
  <si>
    <t>Code 995</t>
  </si>
  <si>
    <t>Code 996</t>
  </si>
  <si>
    <t>Code 997</t>
  </si>
  <si>
    <t>Code 998</t>
  </si>
  <si>
    <t>Code 999</t>
  </si>
  <si>
    <t>Code 1000</t>
  </si>
  <si>
    <t>Code 1001</t>
  </si>
  <si>
    <t>Code 1002</t>
  </si>
  <si>
    <t>Code 1003</t>
  </si>
  <si>
    <t>Code 1004</t>
  </si>
  <si>
    <t>Code 1005</t>
  </si>
  <si>
    <t>Code 1006</t>
  </si>
  <si>
    <t>Code 1007</t>
  </si>
  <si>
    <t>Code 1008</t>
  </si>
  <si>
    <t>Code 1009</t>
  </si>
  <si>
    <t>Code 1010</t>
  </si>
  <si>
    <t>Code 1011</t>
  </si>
  <si>
    <t>Code 1012</t>
  </si>
  <si>
    <t>Code 1013</t>
  </si>
  <si>
    <t>Code 1014</t>
  </si>
  <si>
    <t>Code 1015</t>
  </si>
  <si>
    <t>Code 1016</t>
  </si>
  <si>
    <t>Code 1017</t>
  </si>
  <si>
    <t>Code 1018</t>
  </si>
  <si>
    <t>Code 1019</t>
  </si>
  <si>
    <t>Code 1020</t>
  </si>
  <si>
    <t>Code 1021</t>
  </si>
  <si>
    <t>Code 1022</t>
  </si>
  <si>
    <t>Code 1023</t>
  </si>
  <si>
    <t>Code 1024</t>
  </si>
  <si>
    <t>Code 1025</t>
  </si>
  <si>
    <t>Code 1026</t>
  </si>
  <si>
    <t>Code 1027</t>
  </si>
  <si>
    <t>Code 1028</t>
  </si>
  <si>
    <t>Code 1029</t>
  </si>
  <si>
    <t>Code 1030</t>
  </si>
  <si>
    <t>Code 1031</t>
  </si>
  <si>
    <t>Code 1032</t>
  </si>
  <si>
    <t>Code 1033</t>
  </si>
  <si>
    <t>Code 1034</t>
  </si>
  <si>
    <t>Code 1035</t>
  </si>
  <si>
    <t>Code 1036</t>
  </si>
  <si>
    <t>Code 1037</t>
  </si>
  <si>
    <t>Code 1038</t>
  </si>
  <si>
    <t>Code 1039</t>
  </si>
  <si>
    <t>Code 1040</t>
  </si>
  <si>
    <t>Code 1041</t>
  </si>
  <si>
    <t>Code 1042</t>
  </si>
  <si>
    <t>Code 1043</t>
  </si>
  <si>
    <t>Code 1044</t>
  </si>
  <si>
    <t>Code 1045</t>
  </si>
  <si>
    <t>Code 1046</t>
  </si>
  <si>
    <t>Code 1047</t>
  </si>
  <si>
    <t>Code 1048</t>
  </si>
  <si>
    <t>Code 1049</t>
  </si>
  <si>
    <t>Code 1050</t>
  </si>
  <si>
    <t>Code 1051</t>
  </si>
  <si>
    <t>Code 1052</t>
  </si>
  <si>
    <t>Code 1053</t>
  </si>
  <si>
    <t>Code 1054</t>
  </si>
  <si>
    <t>Code 1055</t>
  </si>
  <si>
    <t>Code 1056</t>
  </si>
  <si>
    <t>Code 1057</t>
  </si>
  <si>
    <t>Code 1058</t>
  </si>
  <si>
    <t>Code 1059</t>
  </si>
  <si>
    <t>Code 1060</t>
  </si>
  <si>
    <t>Code 1061</t>
  </si>
  <si>
    <t>Code 1062</t>
  </si>
  <si>
    <t>Code 1063</t>
  </si>
  <si>
    <t>Code 1064</t>
  </si>
  <si>
    <t>Code 1065</t>
  </si>
  <si>
    <t>Code 1066</t>
  </si>
  <si>
    <t>Code 1067</t>
  </si>
  <si>
    <t>Code 1068</t>
  </si>
  <si>
    <t>Code 1069</t>
  </si>
  <si>
    <t>Code 1070</t>
  </si>
  <si>
    <t>Code 1071</t>
  </si>
  <si>
    <t>Code 1072</t>
  </si>
  <si>
    <t>Code 1073</t>
  </si>
  <si>
    <t>Code 1074</t>
  </si>
  <si>
    <t>Code 1075</t>
  </si>
  <si>
    <t>Code 1076</t>
  </si>
  <si>
    <t>Code 1077</t>
  </si>
  <si>
    <t>Code 1078</t>
  </si>
  <si>
    <t>Code 1079</t>
  </si>
  <si>
    <t>Code 1080</t>
  </si>
  <si>
    <t>Code 1081</t>
  </si>
  <si>
    <t>Code 1082</t>
  </si>
  <si>
    <t>Code 1083</t>
  </si>
  <si>
    <t>Code 1084</t>
  </si>
  <si>
    <t>Code 1085</t>
  </si>
  <si>
    <t>Code 1086</t>
  </si>
  <si>
    <t>Code 1087</t>
  </si>
  <si>
    <t>Code 1088</t>
  </si>
  <si>
    <t>Code 1089</t>
  </si>
  <si>
    <t>Code 1090</t>
  </si>
  <si>
    <t>Code 1091</t>
  </si>
  <si>
    <t>Code 1092</t>
  </si>
  <si>
    <t>Code 1093</t>
  </si>
  <si>
    <t>Code 1094</t>
  </si>
  <si>
    <t>Code 1095</t>
  </si>
  <si>
    <t>Code 1096</t>
  </si>
  <si>
    <t>Code 1097</t>
  </si>
  <si>
    <t>Code 1098</t>
  </si>
  <si>
    <t>Code 1099</t>
  </si>
  <si>
    <t>Code 1100</t>
  </si>
  <si>
    <t>Code 1101</t>
  </si>
  <si>
    <t>Code 1102</t>
  </si>
  <si>
    <t>Code 1103</t>
  </si>
  <si>
    <t>Code 1104</t>
  </si>
  <si>
    <t>Code 1105</t>
  </si>
  <si>
    <t>Code 1106</t>
  </si>
  <si>
    <t>Code 1107</t>
  </si>
  <si>
    <t>Code 1108</t>
  </si>
  <si>
    <t>Code 1109</t>
  </si>
  <si>
    <t>Code 1110</t>
  </si>
  <si>
    <t>Code 1111</t>
  </si>
  <si>
    <t>Code 1112</t>
  </si>
  <si>
    <t>Code 1113</t>
  </si>
  <si>
    <t>Code 1114</t>
  </si>
  <si>
    <t>Code 1115</t>
  </si>
  <si>
    <t>Code 1116</t>
  </si>
  <si>
    <t>Code 1117</t>
  </si>
  <si>
    <t>Code 1118</t>
  </si>
  <si>
    <t>Code 1119</t>
  </si>
  <si>
    <t>Code 1120</t>
  </si>
  <si>
    <t>Code 1121</t>
  </si>
  <si>
    <t>Code 1122</t>
  </si>
  <si>
    <t>Code 1123</t>
  </si>
  <si>
    <t>Code 1124</t>
  </si>
  <si>
    <t>Code 1125</t>
  </si>
  <si>
    <t>Code 1126</t>
  </si>
  <si>
    <t>Code 1127</t>
  </si>
  <si>
    <t>Code 1128</t>
  </si>
  <si>
    <t>Code 1129</t>
  </si>
  <si>
    <t>Code 1130</t>
  </si>
  <si>
    <t>Code 1131</t>
  </si>
  <si>
    <t>Code 1132</t>
  </si>
  <si>
    <t>Code 1133</t>
  </si>
  <si>
    <t>Code 1134</t>
  </si>
  <si>
    <t>Code 1135</t>
  </si>
  <si>
    <t>Code 1136</t>
  </si>
  <si>
    <t>Code 1137</t>
  </si>
  <si>
    <t>Code 1138</t>
  </si>
  <si>
    <t>Code 1139</t>
  </si>
  <si>
    <t>Code 1140</t>
  </si>
  <si>
    <t>Code 1141</t>
  </si>
  <si>
    <t>Code 1142</t>
  </si>
  <si>
    <t>Code 1143</t>
  </si>
  <si>
    <t>Code 1144</t>
  </si>
  <si>
    <t>Code 1145</t>
  </si>
  <si>
    <t>Code 1146</t>
  </si>
  <si>
    <t>Code 1147</t>
  </si>
  <si>
    <t>Code 1148</t>
  </si>
  <si>
    <t>Code 1149</t>
  </si>
  <si>
    <t>Code 1150</t>
  </si>
  <si>
    <t>Code 1151</t>
  </si>
  <si>
    <t>Code 1152</t>
  </si>
  <si>
    <t>Code 1153</t>
  </si>
  <si>
    <t>Code 1154</t>
  </si>
  <si>
    <t>Code 1155</t>
  </si>
  <si>
    <t>Code 1156</t>
  </si>
  <si>
    <t>Code 1157</t>
  </si>
  <si>
    <t>Code 1158</t>
  </si>
  <si>
    <t>Code 1159</t>
  </si>
  <si>
    <t>Code 1160</t>
  </si>
  <si>
    <t>Code 1161</t>
  </si>
  <si>
    <t>Code 1162</t>
  </si>
  <si>
    <t>Code 1163</t>
  </si>
  <si>
    <t>Code 1164</t>
  </si>
  <si>
    <t>Code 1165</t>
  </si>
  <si>
    <t>Code 1166</t>
  </si>
  <si>
    <t>Code 1167</t>
  </si>
  <si>
    <t>Code 1168</t>
  </si>
  <si>
    <t>Code 1169</t>
  </si>
  <si>
    <t>Code 1170</t>
  </si>
  <si>
    <t>Code 1171</t>
  </si>
  <si>
    <t>Code 1172</t>
  </si>
  <si>
    <t>Code 1173</t>
  </si>
  <si>
    <t>Code 1174</t>
  </si>
  <si>
    <t>Code 1175</t>
  </si>
  <si>
    <t>Code 1176</t>
  </si>
  <si>
    <t>Code 1177</t>
  </si>
  <si>
    <t>Code 1178</t>
  </si>
  <si>
    <t>Code 1179</t>
  </si>
  <si>
    <t>Code 1180</t>
  </si>
  <si>
    <t>Code 1181</t>
  </si>
  <si>
    <t>Code 1182</t>
  </si>
  <si>
    <t>Code 1183</t>
  </si>
  <si>
    <t>Code 1184</t>
  </si>
  <si>
    <t>Code 1185</t>
  </si>
  <si>
    <t>Code 1186</t>
  </si>
  <si>
    <t>Code 1187</t>
  </si>
  <si>
    <t>Code 1188</t>
  </si>
  <si>
    <t>Code 1189</t>
  </si>
  <si>
    <t>Code 1190</t>
  </si>
  <si>
    <t>Code 1191</t>
  </si>
  <si>
    <t>Code 1192</t>
  </si>
  <si>
    <t>Code 1193</t>
  </si>
  <si>
    <t>Code 1194</t>
  </si>
  <si>
    <t>Code 1195</t>
  </si>
  <si>
    <t>Code 1196</t>
  </si>
  <si>
    <t>Code 1197</t>
  </si>
  <si>
    <t>Code 1198</t>
  </si>
  <si>
    <t>Code 1199</t>
  </si>
  <si>
    <t>Code 1200</t>
  </si>
  <si>
    <t>Code 1201</t>
  </si>
  <si>
    <t>Code 1202</t>
  </si>
  <si>
    <t>Code 1203</t>
  </si>
  <si>
    <t>Code 1204</t>
  </si>
  <si>
    <t>Code 1205</t>
  </si>
  <si>
    <t>Code 1206</t>
  </si>
  <si>
    <t>Code 1207</t>
  </si>
  <si>
    <t>Code 1208</t>
  </si>
  <si>
    <t>Code 1209</t>
  </si>
  <si>
    <t>Code 1210</t>
  </si>
  <si>
    <t>Code 1211</t>
  </si>
  <si>
    <t>Code 1212</t>
  </si>
  <si>
    <t>Code 1213</t>
  </si>
  <si>
    <t>Code 1214</t>
  </si>
  <si>
    <t>Code 1215</t>
  </si>
  <si>
    <t>Code 1216</t>
  </si>
  <si>
    <t>Code 1217</t>
  </si>
  <si>
    <t>Code 1218</t>
  </si>
  <si>
    <t>Code 1219</t>
  </si>
  <si>
    <t>Code 1220</t>
  </si>
  <si>
    <t>Code 1221</t>
  </si>
  <si>
    <t>Code 1222</t>
  </si>
  <si>
    <t>Code 1223</t>
  </si>
  <si>
    <t>Code 1224</t>
  </si>
  <si>
    <t>Code 1225</t>
  </si>
  <si>
    <t>Code 1226</t>
  </si>
  <si>
    <t>Code 1227</t>
  </si>
  <si>
    <t>Code 1228</t>
  </si>
  <si>
    <t>Code 1229</t>
  </si>
  <si>
    <t>Code 1230</t>
  </si>
  <si>
    <t>Code 1231</t>
  </si>
  <si>
    <t>Code 1232</t>
  </si>
  <si>
    <t>Code 1233</t>
  </si>
  <si>
    <t>Code 1234</t>
  </si>
  <si>
    <t>Code 1235</t>
  </si>
  <si>
    <t>Code 1236</t>
  </si>
  <si>
    <t>Code 1237</t>
  </si>
  <si>
    <t>Code 1238</t>
  </si>
  <si>
    <t>Code 1239</t>
  </si>
  <si>
    <t>Code 1240</t>
  </si>
  <si>
    <t>Code 1241</t>
  </si>
  <si>
    <t>Code 1242</t>
  </si>
  <si>
    <t>Code 1243</t>
  </si>
  <si>
    <t>Code 1244</t>
  </si>
  <si>
    <t>Code 1245</t>
  </si>
  <si>
    <t>Code 1246</t>
  </si>
  <si>
    <t>Code 1247</t>
  </si>
  <si>
    <t>Code 1248</t>
  </si>
  <si>
    <t>Code 1249</t>
  </si>
  <si>
    <t>Code 1250</t>
  </si>
  <si>
    <t>Code 1251</t>
  </si>
  <si>
    <t>Code 1252</t>
  </si>
  <si>
    <t>Code 1253</t>
  </si>
  <si>
    <t>Code 1254</t>
  </si>
  <si>
    <t>Code 1255</t>
  </si>
  <si>
    <t>Code 1256</t>
  </si>
  <si>
    <t>Code 1257</t>
  </si>
  <si>
    <t>Code 1258</t>
  </si>
  <si>
    <t>Code 1259</t>
  </si>
  <si>
    <t>Code 1260</t>
  </si>
  <si>
    <t>Code 1261</t>
  </si>
  <si>
    <t>Code 1262</t>
  </si>
  <si>
    <t>Code 1263</t>
  </si>
  <si>
    <t>Code 1264</t>
  </si>
  <si>
    <t>Code 1265</t>
  </si>
  <si>
    <t>Code 1266</t>
  </si>
  <si>
    <t>Code 1267</t>
  </si>
  <si>
    <t>Code 1268</t>
  </si>
  <si>
    <t>Code 1269</t>
  </si>
  <si>
    <t>Code 1270</t>
  </si>
  <si>
    <t>Code 1271</t>
  </si>
  <si>
    <t>Code 1272</t>
  </si>
  <si>
    <t>Code 1273</t>
  </si>
  <si>
    <t>Code 1274</t>
  </si>
  <si>
    <t>Code 1275</t>
  </si>
  <si>
    <t>Code 1276</t>
  </si>
  <si>
    <t>Code 1277</t>
  </si>
  <si>
    <t>Code 1278</t>
  </si>
  <si>
    <t>Code 1279</t>
  </si>
  <si>
    <t>Code 1280</t>
  </si>
  <si>
    <t>Code 1281</t>
  </si>
  <si>
    <t>Code 1282</t>
  </si>
  <si>
    <t>Code 1283</t>
  </si>
  <si>
    <t>Code 1284</t>
  </si>
  <si>
    <t>Code 1285</t>
  </si>
  <si>
    <t>Code 1286</t>
  </si>
  <si>
    <t>Code 1287</t>
  </si>
  <si>
    <t>Code 1288</t>
  </si>
  <si>
    <t>Code 1289</t>
  </si>
  <si>
    <t>Code 1290</t>
  </si>
  <si>
    <t>Code 1291</t>
  </si>
  <si>
    <t>Code 1292</t>
  </si>
  <si>
    <t>Code 1293</t>
  </si>
  <si>
    <t>Code 1294</t>
  </si>
  <si>
    <t>Code 1295</t>
  </si>
  <si>
    <t>Code 1296</t>
  </si>
  <si>
    <t>Code 1297</t>
  </si>
  <si>
    <t>Code 1298</t>
  </si>
  <si>
    <t>Code 1299</t>
  </si>
  <si>
    <t>Code 1300</t>
  </si>
  <si>
    <t>Code 1301</t>
  </si>
  <si>
    <t>Code 1302</t>
  </si>
  <si>
    <t>Code 1303</t>
  </si>
  <si>
    <t>Code 1304</t>
  </si>
  <si>
    <t>Code 1305</t>
  </si>
  <si>
    <t>Code 1306</t>
  </si>
  <si>
    <t>Code 1307</t>
  </si>
  <si>
    <t>Code 1308</t>
  </si>
  <si>
    <t>Code 1309</t>
  </si>
  <si>
    <t>Code 1310</t>
  </si>
  <si>
    <t>Code 1311</t>
  </si>
  <si>
    <t>Code 1312</t>
  </si>
  <si>
    <t>Code 1313</t>
  </si>
  <si>
    <t>Code 1314</t>
  </si>
  <si>
    <t>Code 1315</t>
  </si>
  <si>
    <t>Code 1316</t>
  </si>
  <si>
    <t>Code 1317</t>
  </si>
  <si>
    <t>Code 1318</t>
  </si>
  <si>
    <t>Code 1319</t>
  </si>
  <si>
    <t>Code 1320</t>
  </si>
  <si>
    <t>Code 1321</t>
  </si>
  <si>
    <t>Code 1322</t>
  </si>
  <si>
    <t>Code 1323</t>
  </si>
  <si>
    <t>Code 1324</t>
  </si>
  <si>
    <t>Code 1325</t>
  </si>
  <si>
    <t>Code 1326</t>
  </si>
  <si>
    <t>Code 1327</t>
  </si>
  <si>
    <t>Code 1328</t>
  </si>
  <si>
    <t>Code 1329</t>
  </si>
  <si>
    <t>Code 1330</t>
  </si>
  <si>
    <t>Code 1331</t>
  </si>
  <si>
    <t>Code 1332</t>
  </si>
  <si>
    <t>Code 1333</t>
  </si>
  <si>
    <t>Code 1334</t>
  </si>
  <si>
    <t>Code 1335</t>
  </si>
  <si>
    <t>Code 1336</t>
  </si>
  <si>
    <t>Code 1337</t>
  </si>
  <si>
    <t>Code 1338</t>
  </si>
  <si>
    <t>Code 1339</t>
  </si>
  <si>
    <t>Code 1340</t>
  </si>
  <si>
    <t>Code 1341</t>
  </si>
  <si>
    <t>Code 1342</t>
  </si>
  <si>
    <t>Code 1343</t>
  </si>
  <si>
    <t>Code 1344</t>
  </si>
  <si>
    <t>Code 1345</t>
  </si>
  <si>
    <t>Code 1346</t>
  </si>
  <si>
    <t>Code 1347</t>
  </si>
  <si>
    <t>Code 1348</t>
  </si>
  <si>
    <t>Code 1349</t>
  </si>
  <si>
    <t>Code 1350</t>
  </si>
  <si>
    <t>Code 1351</t>
  </si>
  <si>
    <t>Code 1352</t>
  </si>
  <si>
    <t>Code 1353</t>
  </si>
  <si>
    <t>Code 1354</t>
  </si>
  <si>
    <t>Code 1355</t>
  </si>
  <si>
    <t>Code 1356</t>
  </si>
  <si>
    <t>Code 1357</t>
  </si>
  <si>
    <t>Code 1358</t>
  </si>
  <si>
    <t>Code 1359</t>
  </si>
  <si>
    <t>Code 1360</t>
  </si>
  <si>
    <t>Code 1361</t>
  </si>
  <si>
    <t>Code 1362</t>
  </si>
  <si>
    <t>Code 1363</t>
  </si>
  <si>
    <t>Code 1364</t>
  </si>
  <si>
    <t>Code 1365</t>
  </si>
  <si>
    <t>Code 1366</t>
  </si>
  <si>
    <t>Code 1367</t>
  </si>
  <si>
    <t>Code 1368</t>
  </si>
  <si>
    <t>Code 1369</t>
  </si>
  <si>
    <t>Code 1370</t>
  </si>
  <si>
    <t>Code 1371</t>
  </si>
  <si>
    <t>Code 1372</t>
  </si>
  <si>
    <t>Code 1373</t>
  </si>
  <si>
    <t>Code 1374</t>
  </si>
  <si>
    <t>Code 1375</t>
  </si>
  <si>
    <t>Code 1376</t>
  </si>
  <si>
    <t>Code 1377</t>
  </si>
  <si>
    <t>Code 1378</t>
  </si>
  <si>
    <t>Code 1379</t>
  </si>
  <si>
    <t>Code 1380</t>
  </si>
  <si>
    <t>Code 1381</t>
  </si>
  <si>
    <t>Code 1382</t>
  </si>
  <si>
    <t>Code 1383</t>
  </si>
  <si>
    <t>Code 1384</t>
  </si>
  <si>
    <t>Code 1385</t>
  </si>
  <si>
    <t>Code 1386</t>
  </si>
  <si>
    <t>Code 1387</t>
  </si>
  <si>
    <t>Code 1388</t>
  </si>
  <si>
    <t>Code 1389</t>
  </si>
  <si>
    <t>Code 1390</t>
  </si>
  <si>
    <t>Code 1391</t>
  </si>
  <si>
    <t>Code 1392</t>
  </si>
  <si>
    <t>Code 1393</t>
  </si>
  <si>
    <t>Code 1394</t>
  </si>
  <si>
    <t>Code 1395</t>
  </si>
  <si>
    <t>Code 1396</t>
  </si>
  <si>
    <t>Code 1397</t>
  </si>
  <si>
    <t>Code 1398</t>
  </si>
  <si>
    <t>Code 1399</t>
  </si>
  <si>
    <t>Code 1400</t>
  </si>
  <si>
    <t>Code 1401</t>
  </si>
  <si>
    <t>Code 1402</t>
  </si>
  <si>
    <t>Code 1403</t>
  </si>
  <si>
    <t>Code 1404</t>
  </si>
  <si>
    <t>Code 1405</t>
  </si>
  <si>
    <t>Code 1406</t>
  </si>
  <si>
    <t>Code 1407</t>
  </si>
  <si>
    <t>Code 1408</t>
  </si>
  <si>
    <t>Code 1409</t>
  </si>
  <si>
    <t>Code 1410</t>
  </si>
  <si>
    <t>Code 1411</t>
  </si>
  <si>
    <t>Code 1412</t>
  </si>
  <si>
    <t>Code 1413</t>
  </si>
  <si>
    <t>Code 1414</t>
  </si>
  <si>
    <t>Code 1415</t>
  </si>
  <si>
    <t>Code 1416</t>
  </si>
  <si>
    <t>Code 1417</t>
  </si>
  <si>
    <t>Code 1418</t>
  </si>
  <si>
    <t>Code 1419</t>
  </si>
  <si>
    <t>Code 1420</t>
  </si>
  <si>
    <t>Code 1421</t>
  </si>
  <si>
    <t>Code 1422</t>
  </si>
  <si>
    <t>Code 1423</t>
  </si>
  <si>
    <t>Code 1424</t>
  </si>
  <si>
    <t>Code 1425</t>
  </si>
  <si>
    <t>Code 1426</t>
  </si>
  <si>
    <t>Code 1427</t>
  </si>
  <si>
    <t>Code 1428</t>
  </si>
  <si>
    <t>Code 1429</t>
  </si>
  <si>
    <t>Code 1430</t>
  </si>
  <si>
    <t>Code 1431</t>
  </si>
  <si>
    <t>Code 1432</t>
  </si>
  <si>
    <t>Code 1433</t>
  </si>
  <si>
    <t>Code 1434</t>
  </si>
  <si>
    <t>Code 1435</t>
  </si>
  <si>
    <t>Code 1436</t>
  </si>
  <si>
    <t>Code 1437</t>
  </si>
  <si>
    <t>Code 1438</t>
  </si>
  <si>
    <t>Code 1439</t>
  </si>
  <si>
    <t>Code 1440</t>
  </si>
  <si>
    <t>Code 1441</t>
  </si>
  <si>
    <t>Code 1442</t>
  </si>
  <si>
    <t>Code 1443</t>
  </si>
  <si>
    <t>Code 1444</t>
  </si>
  <si>
    <t>Code 1445</t>
  </si>
  <si>
    <t>Code 1446</t>
  </si>
  <si>
    <t>Code 1447</t>
  </si>
  <si>
    <t>Code 1448</t>
  </si>
  <si>
    <t>Code 1449</t>
  </si>
  <si>
    <t>Code 1450</t>
  </si>
  <si>
    <t>Code 1451</t>
  </si>
  <si>
    <t>Code 1452</t>
  </si>
  <si>
    <t>Code 1453</t>
  </si>
  <si>
    <t>Code 1454</t>
  </si>
  <si>
    <t>Code 1455</t>
  </si>
  <si>
    <t>Code 1456</t>
  </si>
  <si>
    <t>Code 1457</t>
  </si>
  <si>
    <t>Code 1458</t>
  </si>
  <si>
    <t>Code 1459</t>
  </si>
  <si>
    <t>Code 1460</t>
  </si>
  <si>
    <t>Code 1461</t>
  </si>
  <si>
    <t>Code 1462</t>
  </si>
  <si>
    <t>Code 1463</t>
  </si>
  <si>
    <t>Code 1464</t>
  </si>
  <si>
    <t>Code 1465</t>
  </si>
  <si>
    <t>Code 1466</t>
  </si>
  <si>
    <t>Code 1467</t>
  </si>
  <si>
    <t>Code 1468</t>
  </si>
  <si>
    <t>Code 1469</t>
  </si>
  <si>
    <t>Code 1470</t>
  </si>
  <si>
    <t>Code 1471</t>
  </si>
  <si>
    <t>Code 1472</t>
  </si>
  <si>
    <t>Code 1473</t>
  </si>
  <si>
    <t>Code 1474</t>
  </si>
  <si>
    <t>Code 1475</t>
  </si>
  <si>
    <t>Code 1476</t>
  </si>
  <si>
    <t>Code 1477</t>
  </si>
  <si>
    <t>Code 1478</t>
  </si>
  <si>
    <t>Code 1479</t>
  </si>
  <si>
    <t>Code 1480</t>
  </si>
  <si>
    <t>Code 1481</t>
  </si>
  <si>
    <t>Code 1482</t>
  </si>
  <si>
    <t>Code 1483</t>
  </si>
  <si>
    <t>Code 1484</t>
  </si>
  <si>
    <t>Code 1485</t>
  </si>
  <si>
    <t>Code 1486</t>
  </si>
  <si>
    <t>Code 1487</t>
  </si>
  <si>
    <t>Code 1488</t>
  </si>
  <si>
    <t>Code 1489</t>
  </si>
  <si>
    <t>Code 1490</t>
  </si>
  <si>
    <t>Code 1491</t>
  </si>
  <si>
    <t>Code 1492</t>
  </si>
  <si>
    <t>Code 1493</t>
  </si>
  <si>
    <t>Code 1494</t>
  </si>
  <si>
    <t>Code 1495</t>
  </si>
  <si>
    <t>Code 1496</t>
  </si>
  <si>
    <t>Code 1497</t>
  </si>
  <si>
    <t>Code 1498</t>
  </si>
  <si>
    <t>Code 1499</t>
  </si>
  <si>
    <t>Code 1500</t>
  </si>
  <si>
    <t>Code 1501</t>
  </si>
  <si>
    <t>Code 1502</t>
  </si>
  <si>
    <t>Code 1503</t>
  </si>
  <si>
    <t>Code 1504</t>
  </si>
  <si>
    <t>Code 1505</t>
  </si>
  <si>
    <t>Code 1506</t>
  </si>
  <si>
    <t>Code 1507</t>
  </si>
  <si>
    <t>Code 1508</t>
  </si>
  <si>
    <t>Code 1509</t>
  </si>
  <si>
    <t>Code 1510</t>
  </si>
  <si>
    <t>Code 1511</t>
  </si>
  <si>
    <t>Code 1512</t>
  </si>
  <si>
    <t>Code 1513</t>
  </si>
  <si>
    <t>Code 1514</t>
  </si>
  <si>
    <t>Code 1515</t>
  </si>
  <si>
    <t>Code 1516</t>
  </si>
  <si>
    <t>Code 1517</t>
  </si>
  <si>
    <t>Code 1518</t>
  </si>
  <si>
    <t>Code 1519</t>
  </si>
  <si>
    <t>Code 1520</t>
  </si>
  <si>
    <t>Code 1521</t>
  </si>
  <si>
    <t>Code 1522</t>
  </si>
  <si>
    <t>Code 1523</t>
  </si>
  <si>
    <t>Code 1524</t>
  </si>
  <si>
    <t>Code 1525</t>
  </si>
  <si>
    <t>Code 1526</t>
  </si>
  <si>
    <t>Code 1527</t>
  </si>
  <si>
    <t>Code 1528</t>
  </si>
  <si>
    <t>Code 1529</t>
  </si>
  <si>
    <t>Code 1530</t>
  </si>
  <si>
    <t>Code 1531</t>
  </si>
  <si>
    <t>Code 1532</t>
  </si>
  <si>
    <t>Code 1533</t>
  </si>
  <si>
    <t>Code 1534</t>
  </si>
  <si>
    <t>Code 1535</t>
  </si>
  <si>
    <t>Code 1536</t>
  </si>
  <si>
    <t>Code 1537</t>
  </si>
  <si>
    <t>Code 1538</t>
  </si>
  <si>
    <t>Code 1539</t>
  </si>
  <si>
    <t>Code 1540</t>
  </si>
  <si>
    <t>Code 1541</t>
  </si>
  <si>
    <t>Code 1542</t>
  </si>
  <si>
    <t>Code 1543</t>
  </si>
  <si>
    <t>Code 1544</t>
  </si>
  <si>
    <t>Code 1545</t>
  </si>
  <si>
    <t>Code 1546</t>
  </si>
  <si>
    <t>Code 1547</t>
  </si>
  <si>
    <t>Code 1548</t>
  </si>
  <si>
    <t>Code 1549</t>
  </si>
  <si>
    <t>Code 1550</t>
  </si>
  <si>
    <t>Code 1551</t>
  </si>
  <si>
    <t>Code 1552</t>
  </si>
  <si>
    <t>Code 1553</t>
  </si>
  <si>
    <t>Code 1554</t>
  </si>
  <si>
    <t>Code 1555</t>
  </si>
  <si>
    <t>Code 1556</t>
  </si>
  <si>
    <t>Code 1557</t>
  </si>
  <si>
    <t>Code 1558</t>
  </si>
  <si>
    <t>Code 1559</t>
  </si>
  <si>
    <t>Code 1560</t>
  </si>
  <si>
    <t>Code 1561</t>
  </si>
  <si>
    <t>Code 1562</t>
  </si>
  <si>
    <t>Code 1563</t>
  </si>
  <si>
    <t>Code 1564</t>
  </si>
  <si>
    <t>Code 1565</t>
  </si>
  <si>
    <t>Code 1566</t>
  </si>
  <si>
    <t>Code 1567</t>
  </si>
  <si>
    <t>Code 1568</t>
  </si>
  <si>
    <t>Code 1569</t>
  </si>
  <si>
    <t>Code 1570</t>
  </si>
  <si>
    <t>Code 1571</t>
  </si>
  <si>
    <t>Code 1572</t>
  </si>
  <si>
    <t>Code 1573</t>
  </si>
  <si>
    <t>Code 1574</t>
  </si>
  <si>
    <t>Code 1575</t>
  </si>
  <si>
    <t>Code 1576</t>
  </si>
  <si>
    <t>Code 1577</t>
  </si>
  <si>
    <t>Code 1578</t>
  </si>
  <si>
    <t>Code 1579</t>
  </si>
  <si>
    <t>Code 1580</t>
  </si>
  <si>
    <t>Code 1581</t>
  </si>
  <si>
    <t>Code 1582</t>
  </si>
  <si>
    <t>Code 1583</t>
  </si>
  <si>
    <t>Code 1584</t>
  </si>
  <si>
    <t>Code 1585</t>
  </si>
  <si>
    <t>Code 1586</t>
  </si>
  <si>
    <t>Code 1587</t>
  </si>
  <si>
    <t>Code 1588</t>
  </si>
  <si>
    <t>Code 1589</t>
  </si>
  <si>
    <t>Code 1590</t>
  </si>
  <si>
    <t>Code 1591</t>
  </si>
  <si>
    <t>Code 1592</t>
  </si>
  <si>
    <t>Code 1593</t>
  </si>
  <si>
    <t>Code 1594</t>
  </si>
  <si>
    <t>Code 1595</t>
  </si>
  <si>
    <t>Code 1596</t>
  </si>
  <si>
    <t>Code 1597</t>
  </si>
  <si>
    <t>Code 1598</t>
  </si>
  <si>
    <t>Code 1599</t>
  </si>
  <si>
    <t>Code 1600</t>
  </si>
  <si>
    <t>Code 1601</t>
  </si>
  <si>
    <t>Code 1602</t>
  </si>
  <si>
    <t>Code 1603</t>
  </si>
  <si>
    <t>Code 1604</t>
  </si>
  <si>
    <t>Code 1605</t>
  </si>
  <si>
    <t>Code 1606</t>
  </si>
  <si>
    <t>Code 1607</t>
  </si>
  <si>
    <t>Code 1608</t>
  </si>
  <si>
    <t>Code 1609</t>
  </si>
  <si>
    <t>Code 1610</t>
  </si>
  <si>
    <t>Code 1611</t>
  </si>
  <si>
    <t>Code 1612</t>
  </si>
  <si>
    <t>Code 1613</t>
  </si>
  <si>
    <t>Code 1614</t>
  </si>
  <si>
    <t>Code 1615</t>
  </si>
  <si>
    <t>Code 1616</t>
  </si>
  <si>
    <t>Code 1617</t>
  </si>
  <si>
    <t>Code 1618</t>
  </si>
  <si>
    <t>Code 1619</t>
  </si>
  <si>
    <t>Code 1620</t>
  </si>
  <si>
    <t>Code 1621</t>
  </si>
  <si>
    <t>Code 1622</t>
  </si>
  <si>
    <t>Code 1623</t>
  </si>
  <si>
    <t>Code 1624</t>
  </si>
  <si>
    <t>Code 1625</t>
  </si>
  <si>
    <t>Code 1626</t>
  </si>
  <si>
    <t>Code 1627</t>
  </si>
  <si>
    <t>Code 1628</t>
  </si>
  <si>
    <t>Code 1629</t>
  </si>
  <si>
    <t>Code 1630</t>
  </si>
  <si>
    <t>Code 1631</t>
  </si>
  <si>
    <t>Code 1632</t>
  </si>
  <si>
    <t>Code 1633</t>
  </si>
  <si>
    <t>Code 1634</t>
  </si>
  <si>
    <t>Code 1635</t>
  </si>
  <si>
    <t>Code 1636</t>
  </si>
  <si>
    <t>Code 1637</t>
  </si>
  <si>
    <t>Code 1638</t>
  </si>
  <si>
    <t>Code 1639</t>
  </si>
  <si>
    <t>Code 1640</t>
  </si>
  <si>
    <t>Code 1641</t>
  </si>
  <si>
    <t>Code 1642</t>
  </si>
  <si>
    <t>Code 1643</t>
  </si>
  <si>
    <t>Code 1644</t>
  </si>
  <si>
    <t>Code 1645</t>
  </si>
  <si>
    <t>Code 1646</t>
  </si>
  <si>
    <t>Code 1647</t>
  </si>
  <si>
    <t>Code 1648</t>
  </si>
  <si>
    <t>Code 1649</t>
  </si>
  <si>
    <t>Code 1650</t>
  </si>
  <si>
    <t>Code 1651</t>
  </si>
  <si>
    <t>Code 1652</t>
  </si>
  <si>
    <t>Code 1653</t>
  </si>
  <si>
    <t>Code 1654</t>
  </si>
  <si>
    <t>Code 1655</t>
  </si>
  <si>
    <t>Code 1656</t>
  </si>
  <si>
    <t>Code 1657</t>
  </si>
  <si>
    <t>Code 1658</t>
  </si>
  <si>
    <t>Code 1659</t>
  </si>
  <si>
    <t>Code 1660</t>
  </si>
  <si>
    <t>Code 1661</t>
  </si>
  <si>
    <t>Code 1662</t>
  </si>
  <si>
    <t>Code 1663</t>
  </si>
  <si>
    <t>Code 1664</t>
  </si>
  <si>
    <t>Code 1665</t>
  </si>
  <si>
    <t>Code 1666</t>
  </si>
  <si>
    <t>Code 1667</t>
  </si>
  <si>
    <t>Code 1668</t>
  </si>
  <si>
    <t>Code 1669</t>
  </si>
  <si>
    <t>Code 1670</t>
  </si>
  <si>
    <t>Code 1671</t>
  </si>
  <si>
    <t>Code 1672</t>
  </si>
  <si>
    <t>Code 1673</t>
  </si>
  <si>
    <t>Code 1674</t>
  </si>
  <si>
    <t>Code 1675</t>
  </si>
  <si>
    <t>Code 1676</t>
  </si>
  <si>
    <t>Code 1677</t>
  </si>
  <si>
    <t>Code 1678</t>
  </si>
  <si>
    <t>Code 1679</t>
  </si>
  <si>
    <t>Code 1680</t>
  </si>
  <si>
    <t>Code 1681</t>
  </si>
  <si>
    <t>Code 1682</t>
  </si>
  <si>
    <t>Code 1683</t>
  </si>
  <si>
    <t>Code 1684</t>
  </si>
  <si>
    <t>Code 1685</t>
  </si>
  <si>
    <t>Code 1686</t>
  </si>
  <si>
    <t>Code 1687</t>
  </si>
  <si>
    <t>Code 1688</t>
  </si>
  <si>
    <t>Code 1689</t>
  </si>
  <si>
    <t>Code 1690</t>
  </si>
  <si>
    <t>Code 1691</t>
  </si>
  <si>
    <t>Code 1692</t>
  </si>
  <si>
    <t>Code 1693</t>
  </si>
  <si>
    <t>Code 1694</t>
  </si>
  <si>
    <t>Code 1695</t>
  </si>
  <si>
    <t>Code 1696</t>
  </si>
  <si>
    <t>Code 1697</t>
  </si>
  <si>
    <t>Code 1698</t>
  </si>
  <si>
    <t>Code 1699</t>
  </si>
  <si>
    <t>Code 1700</t>
  </si>
  <si>
    <t>Code 1701</t>
  </si>
  <si>
    <t>Code 1702</t>
  </si>
  <si>
    <t>Code 1703</t>
  </si>
  <si>
    <t>Code 1704</t>
  </si>
  <si>
    <t>Code 1705</t>
  </si>
  <si>
    <t>Code 1706</t>
  </si>
  <si>
    <t>Code 1707</t>
  </si>
  <si>
    <t>Code 1708</t>
  </si>
  <si>
    <t>Code 1709</t>
  </si>
  <si>
    <t>Code 1710</t>
  </si>
  <si>
    <t>Code 1711</t>
  </si>
  <si>
    <t>Code 1712</t>
  </si>
  <si>
    <t>Code 1713</t>
  </si>
  <si>
    <t>Code 1714</t>
  </si>
  <si>
    <t>Code 1715</t>
  </si>
  <si>
    <t>Code 1716</t>
  </si>
  <si>
    <t>Code 1717</t>
  </si>
  <si>
    <t>Code 1718</t>
  </si>
  <si>
    <t>Code 1719</t>
  </si>
  <si>
    <t>Code 1720</t>
  </si>
  <si>
    <t>Code 1721</t>
  </si>
  <si>
    <t>Code 1722</t>
  </si>
  <si>
    <t>Code 1723</t>
  </si>
  <si>
    <t>Code 1724</t>
  </si>
  <si>
    <t>Code 1725</t>
  </si>
  <si>
    <t>Code 1726</t>
  </si>
  <si>
    <t>Code 1727</t>
  </si>
  <si>
    <t>Code 1728</t>
  </si>
  <si>
    <t>Code 1729</t>
  </si>
  <si>
    <t>Code 1730</t>
  </si>
  <si>
    <t>Code 1731</t>
  </si>
  <si>
    <t>Code 1732</t>
  </si>
  <si>
    <t>Code 1733</t>
  </si>
  <si>
    <t>Code 1734</t>
  </si>
  <si>
    <t>Code 1735</t>
  </si>
  <si>
    <t>Code 1736</t>
  </si>
  <si>
    <t>Code 1737</t>
  </si>
  <si>
    <t>Code 1738</t>
  </si>
  <si>
    <t>Code 1739</t>
  </si>
  <si>
    <t>Code 1740</t>
  </si>
  <si>
    <t>Code 1741</t>
  </si>
  <si>
    <t>Code 1742</t>
  </si>
  <si>
    <t>Code 1743</t>
  </si>
  <si>
    <t>Code 1744</t>
  </si>
  <si>
    <t>Code 1745</t>
  </si>
  <si>
    <t>Code 1746</t>
  </si>
  <si>
    <t>Code 1747</t>
  </si>
  <si>
    <t>Code 1748</t>
  </si>
  <si>
    <t>Code 1749</t>
  </si>
  <si>
    <t>Code 1750</t>
  </si>
  <si>
    <t>Code 1751</t>
  </si>
  <si>
    <t>Code 1752</t>
  </si>
  <si>
    <t>Code 1753</t>
  </si>
  <si>
    <t>Code 1754</t>
  </si>
  <si>
    <t>Code 1755</t>
  </si>
  <si>
    <t>Code 1756</t>
  </si>
  <si>
    <t>Code 1757</t>
  </si>
  <si>
    <t>Code 1758</t>
  </si>
  <si>
    <t>Code 1759</t>
  </si>
  <si>
    <t>Code 1760</t>
  </si>
  <si>
    <t>Code 1761</t>
  </si>
  <si>
    <t>Code 1762</t>
  </si>
  <si>
    <t>Code 1763</t>
  </si>
  <si>
    <t>Code 1764</t>
  </si>
  <si>
    <t>Code 1765</t>
  </si>
  <si>
    <t>Code 1766</t>
  </si>
  <si>
    <t>Code 1767</t>
  </si>
  <si>
    <t>Code 1768</t>
  </si>
  <si>
    <t>Code 1769</t>
  </si>
  <si>
    <t>Code 1770</t>
  </si>
  <si>
    <t>Code 1771</t>
  </si>
  <si>
    <t>Code 1772</t>
  </si>
  <si>
    <t>Code 1773</t>
  </si>
  <si>
    <t>Code 1774</t>
  </si>
  <si>
    <t>Code 1775</t>
  </si>
  <si>
    <t>Code 1776</t>
  </si>
  <si>
    <t>Code 1777</t>
  </si>
  <si>
    <t>Code 1778</t>
  </si>
  <si>
    <t>Code 1779</t>
  </si>
  <si>
    <t>Code 1780</t>
  </si>
  <si>
    <t>Code 1781</t>
  </si>
  <si>
    <t>Code 1782</t>
  </si>
  <si>
    <t>Code 1783</t>
  </si>
  <si>
    <t>Code 1784</t>
  </si>
  <si>
    <t>Code 1785</t>
  </si>
  <si>
    <t>Code 1786</t>
  </si>
  <si>
    <t>Code 1787</t>
  </si>
  <si>
    <t>Code 1788</t>
  </si>
  <si>
    <t>Code 1789</t>
  </si>
  <si>
    <t>Code 1790</t>
  </si>
  <si>
    <t>Code 1791</t>
  </si>
  <si>
    <t>Code 1792</t>
  </si>
  <si>
    <t>Code 1793</t>
  </si>
  <si>
    <t>Code 1794</t>
  </si>
  <si>
    <t>Code 1795</t>
  </si>
  <si>
    <t>Code 1796</t>
  </si>
  <si>
    <t>Code 1797</t>
  </si>
  <si>
    <t>Code 1798</t>
  </si>
  <si>
    <t>Code 1799</t>
  </si>
  <si>
    <t>Code 1800</t>
  </si>
  <si>
    <t>Code 1801</t>
  </si>
  <si>
    <t>Code 1802</t>
  </si>
  <si>
    <t>Code 1803</t>
  </si>
  <si>
    <t>Code 1804</t>
  </si>
  <si>
    <t>Code 1805</t>
  </si>
  <si>
    <t>Code 1806</t>
  </si>
  <si>
    <t>Code 1807</t>
  </si>
  <si>
    <t>Code 1808</t>
  </si>
  <si>
    <t>Code 1809</t>
  </si>
  <si>
    <t>Code 1810</t>
  </si>
  <si>
    <t>Code 1811</t>
  </si>
  <si>
    <t>Code 1812</t>
  </si>
  <si>
    <t>Code 1813</t>
  </si>
  <si>
    <t>Code 1814</t>
  </si>
  <si>
    <t>Code 1815</t>
  </si>
  <si>
    <t>Code 1816</t>
  </si>
  <si>
    <t>Code 1817</t>
  </si>
  <si>
    <t>Code 1818</t>
  </si>
  <si>
    <t>Code 1819</t>
  </si>
  <si>
    <t>Code 1820</t>
  </si>
  <si>
    <t>Code 1821</t>
  </si>
  <si>
    <t>Code 1822</t>
  </si>
  <si>
    <t>Code 1823</t>
  </si>
  <si>
    <t>Code 1824</t>
  </si>
  <si>
    <t>Code 1825</t>
  </si>
  <si>
    <t>Code 1826</t>
  </si>
  <si>
    <t>Code 1827</t>
  </si>
  <si>
    <t>Code 1828</t>
  </si>
  <si>
    <t>Code 1829</t>
  </si>
  <si>
    <t>Code 1830</t>
  </si>
  <si>
    <t>Code 1831</t>
  </si>
  <si>
    <t>Code 1832</t>
  </si>
  <si>
    <t>Code 1833</t>
  </si>
  <si>
    <t>Code 1834</t>
  </si>
  <si>
    <t>Code 1835</t>
  </si>
  <si>
    <t>Code 1836</t>
  </si>
  <si>
    <t>Code 1837</t>
  </si>
  <si>
    <t>Code 1838</t>
  </si>
  <si>
    <t>Code 1839</t>
  </si>
  <si>
    <t>Code 1840</t>
  </si>
  <si>
    <t>Code 1841</t>
  </si>
  <si>
    <t>Code 1842</t>
  </si>
  <si>
    <t>Code 1843</t>
  </si>
  <si>
    <t>Code 1844</t>
  </si>
  <si>
    <t>Code 1845</t>
  </si>
  <si>
    <t>Code 1846</t>
  </si>
  <si>
    <t>Code 1847</t>
  </si>
  <si>
    <t>Code 1848</t>
  </si>
  <si>
    <t>Code 1849</t>
  </si>
  <si>
    <t>Code 1850</t>
  </si>
  <si>
    <t>Code 1851</t>
  </si>
  <si>
    <t>Code 1852</t>
  </si>
  <si>
    <t>Code 1853</t>
  </si>
  <si>
    <t>Code 1854</t>
  </si>
  <si>
    <t>Code 1855</t>
  </si>
  <si>
    <t>Code 1856</t>
  </si>
  <si>
    <t>Code 1857</t>
  </si>
  <si>
    <t>Code 1858</t>
  </si>
  <si>
    <t>Code 1859</t>
  </si>
  <si>
    <t>Code 1860</t>
  </si>
  <si>
    <t>Code 1861</t>
  </si>
  <si>
    <t>Code 1862</t>
  </si>
  <si>
    <t>Code 1863</t>
  </si>
  <si>
    <t>Code 1864</t>
  </si>
  <si>
    <t>Code 1865</t>
  </si>
  <si>
    <t>Code 1866</t>
  </si>
  <si>
    <t>Code 1867</t>
  </si>
  <si>
    <t>Code 1868</t>
  </si>
  <si>
    <t>Code 1869</t>
  </si>
  <si>
    <t>Code 1870</t>
  </si>
  <si>
    <t>Code 1871</t>
  </si>
  <si>
    <t>Code 1872</t>
  </si>
  <si>
    <t>Code 1873</t>
  </si>
  <si>
    <t>Code 1874</t>
  </si>
  <si>
    <t>Code 1875</t>
  </si>
  <si>
    <t>Code 1876</t>
  </si>
  <si>
    <t>Code 1877</t>
  </si>
  <si>
    <t>Code 1878</t>
  </si>
  <si>
    <t>Code 1879</t>
  </si>
  <si>
    <t>Code 1880</t>
  </si>
  <si>
    <t>Code 1881</t>
  </si>
  <si>
    <t>Code 1882</t>
  </si>
  <si>
    <t>Code 1883</t>
  </si>
  <si>
    <t>Code 1884</t>
  </si>
  <si>
    <t>Code 1885</t>
  </si>
  <si>
    <t>Code 1886</t>
  </si>
  <si>
    <t>Code 1887</t>
  </si>
  <si>
    <t>Code 1888</t>
  </si>
  <si>
    <t>Code 1889</t>
  </si>
  <si>
    <t>Code 1890</t>
  </si>
  <si>
    <t>Code 1891</t>
  </si>
  <si>
    <t>Code 1892</t>
  </si>
  <si>
    <t>Code 1893</t>
  </si>
  <si>
    <t>Code 1894</t>
  </si>
  <si>
    <t>Code 1895</t>
  </si>
  <si>
    <t>Code 1896</t>
  </si>
  <si>
    <t>Code 1897</t>
  </si>
  <si>
    <t>Code 1898</t>
  </si>
  <si>
    <t>Code 1899</t>
  </si>
  <si>
    <t>Code 1900</t>
  </si>
  <si>
    <t>Code 1901</t>
  </si>
  <si>
    <t>Code 1902</t>
  </si>
  <si>
    <t>Code 1903</t>
  </si>
  <si>
    <t>Code 1904</t>
  </si>
  <si>
    <t>Code 1905</t>
  </si>
  <si>
    <t>Code 1906</t>
  </si>
  <si>
    <t>Code 1907</t>
  </si>
  <si>
    <t>Code 1908</t>
  </si>
  <si>
    <t>Code 1909</t>
  </si>
  <si>
    <t>Code 1910</t>
  </si>
  <si>
    <t>Code 1911</t>
  </si>
  <si>
    <t>Code 1912</t>
  </si>
  <si>
    <t>Code 1913</t>
  </si>
  <si>
    <t>Code 1914</t>
  </si>
  <si>
    <t>Code 1915</t>
  </si>
  <si>
    <t>Code 1916</t>
  </si>
  <si>
    <t>Code 1917</t>
  </si>
  <si>
    <t>Code 1918</t>
  </si>
  <si>
    <t>Code 1919</t>
  </si>
  <si>
    <t>Code 1920</t>
  </si>
  <si>
    <t>Code 1921</t>
  </si>
  <si>
    <t>Code 1922</t>
  </si>
  <si>
    <t>Code 1923</t>
  </si>
  <si>
    <t>Code 1924</t>
  </si>
  <si>
    <t>Code 1925</t>
  </si>
  <si>
    <t>Code 1926</t>
  </si>
  <si>
    <t>Code 1927</t>
  </si>
  <si>
    <t>Code 1928</t>
  </si>
  <si>
    <t>Code 1929</t>
  </si>
  <si>
    <t>Code 1930</t>
  </si>
  <si>
    <t>Code 1931</t>
  </si>
  <si>
    <t>Code 1932</t>
  </si>
  <si>
    <t>Code 1933</t>
  </si>
  <si>
    <t>Code 1934</t>
  </si>
  <si>
    <t>Code 1935</t>
  </si>
  <si>
    <t>Code 1936</t>
  </si>
  <si>
    <t>Code 1937</t>
  </si>
  <si>
    <t>Code 1938</t>
  </si>
  <si>
    <t>Code 1939</t>
  </si>
  <si>
    <t>Code 1940</t>
  </si>
  <si>
    <t>Code 1941</t>
  </si>
  <si>
    <t>Code 1942</t>
  </si>
  <si>
    <t>Code 1943</t>
  </si>
  <si>
    <t>Code 1944</t>
  </si>
  <si>
    <t>Code 1945</t>
  </si>
  <si>
    <t>Code 1946</t>
  </si>
  <si>
    <t>Code 1947</t>
  </si>
  <si>
    <t>Code 1948</t>
  </si>
  <si>
    <t>Code 1949</t>
  </si>
  <si>
    <t>Code 1950</t>
  </si>
  <si>
    <t>Code 1951</t>
  </si>
  <si>
    <t>Code 1952</t>
  </si>
  <si>
    <t>Code 1953</t>
  </si>
  <si>
    <t>Code 1954</t>
  </si>
  <si>
    <t>Code 1955</t>
  </si>
  <si>
    <t>Code 1956</t>
  </si>
  <si>
    <t>Code 1957</t>
  </si>
  <si>
    <t>Code 1958</t>
  </si>
  <si>
    <t>Code 1959</t>
  </si>
  <si>
    <t>Code 1960</t>
  </si>
  <si>
    <t>Code 1961</t>
  </si>
  <si>
    <t>Code 1962</t>
  </si>
  <si>
    <t>Code 1963</t>
  </si>
  <si>
    <t>Code 1964</t>
  </si>
  <si>
    <t>Code 1965</t>
  </si>
  <si>
    <t>Code 1966</t>
  </si>
  <si>
    <t>Code 1967</t>
  </si>
  <si>
    <t>Code 1968</t>
  </si>
  <si>
    <t>Code 1969</t>
  </si>
  <si>
    <t>Code 1970</t>
  </si>
  <si>
    <t>Code 1971</t>
  </si>
  <si>
    <t>Code 1972</t>
  </si>
  <si>
    <t>Code 1973</t>
  </si>
  <si>
    <t>Code 1974</t>
  </si>
  <si>
    <t>Code 1975</t>
  </si>
  <si>
    <t>Code 1976</t>
  </si>
  <si>
    <t>Code 1977</t>
  </si>
  <si>
    <t>Code 1978</t>
  </si>
  <si>
    <t>Code 1979</t>
  </si>
  <si>
    <t>Code 1980</t>
  </si>
  <si>
    <t>Code 1981</t>
  </si>
  <si>
    <t>Code 1982</t>
  </si>
  <si>
    <t>Code 1983</t>
  </si>
  <si>
    <t>Code 1984</t>
  </si>
  <si>
    <t>Code 1985</t>
  </si>
  <si>
    <t>Code 1986</t>
  </si>
  <si>
    <t>Code 1987</t>
  </si>
  <si>
    <t>Code 1988</t>
  </si>
  <si>
    <t>Code 1989</t>
  </si>
  <si>
    <t>Code 1990</t>
  </si>
  <si>
    <t>Code 1991</t>
  </si>
  <si>
    <t>Code 1992</t>
  </si>
  <si>
    <t>Code 1993</t>
  </si>
  <si>
    <t>Code 1994</t>
  </si>
  <si>
    <t>Code 1995</t>
  </si>
  <si>
    <t>Code 1996</t>
  </si>
  <si>
    <t>Code 1997</t>
  </si>
  <si>
    <t>Code 1998</t>
  </si>
  <si>
    <t>Code 1999</t>
  </si>
  <si>
    <t>Code 2000</t>
  </si>
  <si>
    <t>Code 2001</t>
  </si>
  <si>
    <t>Code 2002</t>
  </si>
  <si>
    <t>Code 2003</t>
  </si>
  <si>
    <t>Code 2004</t>
  </si>
  <si>
    <t>Code 2005</t>
  </si>
  <si>
    <t>Code 2006</t>
  </si>
  <si>
    <t>Code 2007</t>
  </si>
  <si>
    <t>Code 2008</t>
  </si>
  <si>
    <t>Code 2009</t>
  </si>
  <si>
    <t>Code 2010</t>
  </si>
  <si>
    <t>Code 2011</t>
  </si>
  <si>
    <t>Code 2012</t>
  </si>
  <si>
    <t>Code 2013</t>
  </si>
  <si>
    <t>Code 2014</t>
  </si>
  <si>
    <t>Code 2015</t>
  </si>
  <si>
    <t>Code 2016</t>
  </si>
  <si>
    <t>Code 2017</t>
  </si>
  <si>
    <t>Code 2018</t>
  </si>
  <si>
    <t>Code 2019</t>
  </si>
  <si>
    <t>Code 2020</t>
  </si>
  <si>
    <t>Code 2021</t>
  </si>
  <si>
    <t>Code 2022</t>
  </si>
  <si>
    <t>Code 2023</t>
  </si>
  <si>
    <t>Code 2024</t>
  </si>
  <si>
    <t>Code 2025</t>
  </si>
  <si>
    <t>Code 2026</t>
  </si>
  <si>
    <t>Code 2027</t>
  </si>
  <si>
    <t>Code 2028</t>
  </si>
  <si>
    <t>Code 2029</t>
  </si>
  <si>
    <t>Code 2030</t>
  </si>
  <si>
    <t>Code 2031</t>
  </si>
  <si>
    <t>Code 2032</t>
  </si>
  <si>
    <t>Code 2033</t>
  </si>
  <si>
    <t>Code 2034</t>
  </si>
  <si>
    <t>Code 2035</t>
  </si>
  <si>
    <t>Code 2036</t>
  </si>
  <si>
    <t>Code 2037</t>
  </si>
  <si>
    <t>Code 2038</t>
  </si>
  <si>
    <t>Code 2039</t>
  </si>
  <si>
    <t>Code 2040</t>
  </si>
  <si>
    <t>Code 2041</t>
  </si>
  <si>
    <t>Code 2042</t>
  </si>
  <si>
    <t>Code 2043</t>
  </si>
  <si>
    <t>Code 2044</t>
  </si>
  <si>
    <t>Code 2045</t>
  </si>
  <si>
    <t>Code 2046</t>
  </si>
  <si>
    <t>Code 2047</t>
  </si>
  <si>
    <t>Code 2048</t>
  </si>
  <si>
    <t>Code 2049</t>
  </si>
  <si>
    <t>Code 2050</t>
  </si>
  <si>
    <t>Code 2051</t>
  </si>
  <si>
    <t>Code 2052</t>
  </si>
  <si>
    <t>Code 2053</t>
  </si>
  <si>
    <t>Code 2054</t>
  </si>
  <si>
    <t>Code 2055</t>
  </si>
  <si>
    <t>Code 2056</t>
  </si>
  <si>
    <t>Code 2057</t>
  </si>
  <si>
    <t>Code 2058</t>
  </si>
  <si>
    <t>Code 2059</t>
  </si>
  <si>
    <t>Code 2060</t>
  </si>
  <si>
    <t>Code 2061</t>
  </si>
  <si>
    <t>Code 2062</t>
  </si>
  <si>
    <t>Code 2063</t>
  </si>
  <si>
    <t>Code 2064</t>
  </si>
  <si>
    <t>Code 2065</t>
  </si>
  <si>
    <t>Code 2066</t>
  </si>
  <si>
    <t>Code 2067</t>
  </si>
  <si>
    <t>Code 2068</t>
  </si>
  <si>
    <t>Code 2069</t>
  </si>
  <si>
    <t>Code 2070</t>
  </si>
  <si>
    <t>Code 2071</t>
  </si>
  <si>
    <t>Code 2072</t>
  </si>
  <si>
    <t>Code 2073</t>
  </si>
  <si>
    <t>Code 2074</t>
  </si>
  <si>
    <t>Code 2075</t>
  </si>
  <si>
    <t>Code 2076</t>
  </si>
  <si>
    <t>Code 2077</t>
  </si>
  <si>
    <t>Code 2078</t>
  </si>
  <si>
    <t>Code 2079</t>
  </si>
  <si>
    <t>Code 2080</t>
  </si>
  <si>
    <t>Code 2081</t>
  </si>
  <si>
    <t>Code 2082</t>
  </si>
  <si>
    <t>Code 2083</t>
  </si>
  <si>
    <t>Code 2084</t>
  </si>
  <si>
    <t>Code 2085</t>
  </si>
  <si>
    <t>Code 2086</t>
  </si>
  <si>
    <t>Code 2087</t>
  </si>
  <si>
    <t>Code 2088</t>
  </si>
  <si>
    <t>Code 2089</t>
  </si>
  <si>
    <t>Code 2090</t>
  </si>
  <si>
    <t>Code 2091</t>
  </si>
  <si>
    <t>Code 2092</t>
  </si>
  <si>
    <t>Code 2093</t>
  </si>
  <si>
    <t>Code 2094</t>
  </si>
  <si>
    <t>Code 2095</t>
  </si>
  <si>
    <t>Code 2096</t>
  </si>
  <si>
    <t>Code 2097</t>
  </si>
  <si>
    <t>Code 2098</t>
  </si>
  <si>
    <t>Code 2099</t>
  </si>
  <si>
    <t>Code 2100</t>
  </si>
  <si>
    <t>Code 2101</t>
  </si>
  <si>
    <t>Code 2102</t>
  </si>
  <si>
    <t>Code 2103</t>
  </si>
  <si>
    <t>Code 2104</t>
  </si>
  <si>
    <t>Code 2105</t>
  </si>
  <si>
    <t>Code 2106</t>
  </si>
  <si>
    <t>Code 2107</t>
  </si>
  <si>
    <t>Code 2108</t>
  </si>
  <si>
    <t>Code 2109</t>
  </si>
  <si>
    <t>Code 2110</t>
  </si>
  <si>
    <t>Code 2111</t>
  </si>
  <si>
    <t>Code 2112</t>
  </si>
  <si>
    <t>Code 2113</t>
  </si>
  <si>
    <t>Code 2114</t>
  </si>
  <si>
    <t>Code 2115</t>
  </si>
  <si>
    <t>Code 2116</t>
  </si>
  <si>
    <t>Code 2117</t>
  </si>
  <si>
    <t>Code 2118</t>
  </si>
  <si>
    <t>Code 2119</t>
  </si>
  <si>
    <t>Code 2120</t>
  </si>
  <si>
    <t>Code 2121</t>
  </si>
  <si>
    <t>Code 2122</t>
  </si>
  <si>
    <t>Code 2123</t>
  </si>
  <si>
    <t>Code 2124</t>
  </si>
  <si>
    <t>Code 2125</t>
  </si>
  <si>
    <t>Code 2126</t>
  </si>
  <si>
    <t>Code 2127</t>
  </si>
  <si>
    <t>Code 2128</t>
  </si>
  <si>
    <t>Code 2129</t>
  </si>
  <si>
    <t>Code 2130</t>
  </si>
  <si>
    <t>Code 2131</t>
  </si>
  <si>
    <t>Code 2132</t>
  </si>
  <si>
    <t>Code 2133</t>
  </si>
  <si>
    <t>Code 2134</t>
  </si>
  <si>
    <t>Code 2135</t>
  </si>
  <si>
    <t>Code 2136</t>
  </si>
  <si>
    <t>Code 2137</t>
  </si>
  <si>
    <t>Code 2138</t>
  </si>
  <si>
    <t>Code 2139</t>
  </si>
  <si>
    <t>Code 2140</t>
  </si>
  <si>
    <t>Code 2141</t>
  </si>
  <si>
    <t>Code 2142</t>
  </si>
  <si>
    <t>Code 2143</t>
  </si>
  <si>
    <t>Code 2144</t>
  </si>
  <si>
    <t>Code 2145</t>
  </si>
  <si>
    <t>Code 2146</t>
  </si>
  <si>
    <t>Code 2147</t>
  </si>
  <si>
    <t>Code 2148</t>
  </si>
  <si>
    <t>Code 2149</t>
  </si>
  <si>
    <t>Code 2150</t>
  </si>
  <si>
    <t>Code 2151</t>
  </si>
  <si>
    <t>Code 2152</t>
  </si>
  <si>
    <t>Code 2153</t>
  </si>
  <si>
    <t>Code 2154</t>
  </si>
  <si>
    <t>Code 2155</t>
  </si>
  <si>
    <t>Code 2156</t>
  </si>
  <si>
    <t>Code 2157</t>
  </si>
  <si>
    <t>Code 2158</t>
  </si>
  <si>
    <t>Code 2159</t>
  </si>
  <si>
    <t>Code 2160</t>
  </si>
  <si>
    <t>Code 2161</t>
  </si>
  <si>
    <t>Code 2162</t>
  </si>
  <si>
    <t>Code 2163</t>
  </si>
  <si>
    <t>Code 2164</t>
  </si>
  <si>
    <t>Code 2165</t>
  </si>
  <si>
    <t>Code 2166</t>
  </si>
  <si>
    <t>Code 2167</t>
  </si>
  <si>
    <t>Code 2168</t>
  </si>
  <si>
    <t>Code 2169</t>
  </si>
  <si>
    <t>Code 2170</t>
  </si>
  <si>
    <t>Code 2171</t>
  </si>
  <si>
    <t>Code 2172</t>
  </si>
  <si>
    <t>Code 2173</t>
  </si>
  <si>
    <t>Code 2174</t>
  </si>
  <si>
    <t>Code 2175</t>
  </si>
  <si>
    <t>Code 2176</t>
  </si>
  <si>
    <t>Code 2177</t>
  </si>
  <si>
    <t>Code 2178</t>
  </si>
  <si>
    <t>Code 2179</t>
  </si>
  <si>
    <t>Code 2180</t>
  </si>
  <si>
    <t>Code 2181</t>
  </si>
  <si>
    <t>Code 2182</t>
  </si>
  <si>
    <t>Code 2183</t>
  </si>
  <si>
    <t>Code 2184</t>
  </si>
  <si>
    <t>Code 2185</t>
  </si>
  <si>
    <t>Code 2186</t>
  </si>
  <si>
    <t>Code 2187</t>
  </si>
  <si>
    <t>Code 2188</t>
  </si>
  <si>
    <t>Code 2189</t>
  </si>
  <si>
    <t>Code 2190</t>
  </si>
  <si>
    <t>Code 2191</t>
  </si>
  <si>
    <t>Code 2192</t>
  </si>
  <si>
    <t>Code 2193</t>
  </si>
  <si>
    <t>Code 2194</t>
  </si>
  <si>
    <t>Code 2195</t>
  </si>
  <si>
    <t>Code 2196</t>
  </si>
  <si>
    <t>Code 2197</t>
  </si>
  <si>
    <t>Code 2198</t>
  </si>
  <si>
    <t>Code 2199</t>
  </si>
  <si>
    <t>Code 2200</t>
  </si>
  <si>
    <t>Code 2201</t>
  </si>
  <si>
    <t>Code 2202</t>
  </si>
  <si>
    <t>Code 2203</t>
  </si>
  <si>
    <t>Code 2204</t>
  </si>
  <si>
    <t>Code 2205</t>
  </si>
  <si>
    <t>Code 2206</t>
  </si>
  <si>
    <t>Code 2207</t>
  </si>
  <si>
    <t>Code 2208</t>
  </si>
  <si>
    <t>Code 2209</t>
  </si>
  <si>
    <t>Code 2210</t>
  </si>
  <si>
    <t>Code 2211</t>
  </si>
  <si>
    <t>Code 2212</t>
  </si>
  <si>
    <t>Code 2213</t>
  </si>
  <si>
    <t>Code 2214</t>
  </si>
  <si>
    <t>Code 2215</t>
  </si>
  <si>
    <t>Code 2216</t>
  </si>
  <si>
    <t>Code 2217</t>
  </si>
  <si>
    <t>Code 2218</t>
  </si>
  <si>
    <t>Code 2219</t>
  </si>
  <si>
    <t>Code 2220</t>
  </si>
  <si>
    <t>Code 2221</t>
  </si>
  <si>
    <t>Code 2222</t>
  </si>
  <si>
    <t>Code 2223</t>
  </si>
  <si>
    <t>Code 2224</t>
  </si>
  <si>
    <t>Code 2225</t>
  </si>
  <si>
    <t>Code 2226</t>
  </si>
  <si>
    <t>Code 2227</t>
  </si>
  <si>
    <t>Code 2228</t>
  </si>
  <si>
    <t>Code 2229</t>
  </si>
  <si>
    <t>Code 2230</t>
  </si>
  <si>
    <t>Code 2231</t>
  </si>
  <si>
    <t>Code 2232</t>
  </si>
  <si>
    <t>Code 2233</t>
  </si>
  <si>
    <t>Code 2234</t>
  </si>
  <si>
    <t>Code 2235</t>
  </si>
  <si>
    <t>Code 2236</t>
  </si>
  <si>
    <t>Code 2237</t>
  </si>
  <si>
    <t>Code 2238</t>
  </si>
  <si>
    <t>Code 2239</t>
  </si>
  <si>
    <t>Code 2240</t>
  </si>
  <si>
    <t>Code 2241</t>
  </si>
  <si>
    <t>Code 2242</t>
  </si>
  <si>
    <t>Code 2243</t>
  </si>
  <si>
    <t>Code 2244</t>
  </si>
  <si>
    <t>Code 2245</t>
  </si>
  <si>
    <t>Code 2246</t>
  </si>
  <si>
    <t>Code 2247</t>
  </si>
  <si>
    <t>Code 2248</t>
  </si>
  <si>
    <t>Code 2249</t>
  </si>
  <si>
    <t>Code 2250</t>
  </si>
  <si>
    <t>Code 2251</t>
  </si>
  <si>
    <t>Code 2252</t>
  </si>
  <si>
    <t>Code 2253</t>
  </si>
  <si>
    <t>Code 2254</t>
  </si>
  <si>
    <t>Code 2255</t>
  </si>
  <si>
    <t>Code 2256</t>
  </si>
  <si>
    <t>Code 2257</t>
  </si>
  <si>
    <t>Code 2258</t>
  </si>
  <si>
    <t>Code 2259</t>
  </si>
  <si>
    <t>Code 2260</t>
  </si>
  <si>
    <t>Code 2261</t>
  </si>
  <si>
    <t>Code 2262</t>
  </si>
  <si>
    <t>Code 2263</t>
  </si>
  <si>
    <t>Code 2264</t>
  </si>
  <si>
    <t>Code 2265</t>
  </si>
  <si>
    <t>Code 2266</t>
  </si>
  <si>
    <t>Code 2267</t>
  </si>
  <si>
    <t>Code 2268</t>
  </si>
  <si>
    <t>Code 2269</t>
  </si>
  <si>
    <t>Code 2270</t>
  </si>
  <si>
    <t>Code 2271</t>
  </si>
  <si>
    <t>Code 2272</t>
  </si>
  <si>
    <t>Code 2273</t>
  </si>
  <si>
    <t>Code 2274</t>
  </si>
  <si>
    <t>Code 2275</t>
  </si>
  <si>
    <t>Code 2276</t>
  </si>
  <si>
    <t>Code 2277</t>
  </si>
  <si>
    <t>Code 2278</t>
  </si>
  <si>
    <t>Code 2279</t>
  </si>
  <si>
    <t>Code 2280</t>
  </si>
  <si>
    <t>Code 2281</t>
  </si>
  <si>
    <t>Code 2282</t>
  </si>
  <si>
    <t>Code 2283</t>
  </si>
  <si>
    <t>Code 2284</t>
  </si>
  <si>
    <t>Code 2285</t>
  </si>
  <si>
    <t>Code 2286</t>
  </si>
  <si>
    <t>Code 2287</t>
  </si>
  <si>
    <t>Code 2288</t>
  </si>
  <si>
    <t>Code 2289</t>
  </si>
  <si>
    <t>Code 2290</t>
  </si>
  <si>
    <t>Code 2291</t>
  </si>
  <si>
    <t>Code 2292</t>
  </si>
  <si>
    <t>Code 2293</t>
  </si>
  <si>
    <t>Code 2294</t>
  </si>
  <si>
    <t>Code 2295</t>
  </si>
  <si>
    <t>Code 2296</t>
  </si>
  <si>
    <t>Code 2297</t>
  </si>
  <si>
    <t>Code 2298</t>
  </si>
  <si>
    <t>Code 2299</t>
  </si>
  <si>
    <t>Code 2300</t>
  </si>
  <si>
    <t>Code 2301</t>
  </si>
  <si>
    <t>Code 2302</t>
  </si>
  <si>
    <t>Code 2303</t>
  </si>
  <si>
    <t>Code 2304</t>
  </si>
  <si>
    <t>Code 2305</t>
  </si>
  <si>
    <t>Code 2306</t>
  </si>
  <si>
    <t>Code 2307</t>
  </si>
  <si>
    <t>Code 2308</t>
  </si>
  <si>
    <t>Code 2309</t>
  </si>
  <si>
    <t>Code 2310</t>
  </si>
  <si>
    <t>Code 2311</t>
  </si>
  <si>
    <t>Code 2312</t>
  </si>
  <si>
    <t>Code 2313</t>
  </si>
  <si>
    <t>Code 2314</t>
  </si>
  <si>
    <t>Code 2315</t>
  </si>
  <si>
    <t>Code 2316</t>
  </si>
  <si>
    <t>Code 2317</t>
  </si>
  <si>
    <t>Code 2318</t>
  </si>
  <si>
    <t>Code 2319</t>
  </si>
  <si>
    <t>Code 2320</t>
  </si>
  <si>
    <t>Code 2321</t>
  </si>
  <si>
    <t>Code 2322</t>
  </si>
  <si>
    <t>Code 2323</t>
  </si>
  <si>
    <t>Code 2324</t>
  </si>
  <si>
    <t>Code 2325</t>
  </si>
  <si>
    <t>Code 2326</t>
  </si>
  <si>
    <t>Code 2327</t>
  </si>
  <si>
    <t>Code 2328</t>
  </si>
  <si>
    <t>Code 2329</t>
  </si>
  <si>
    <t>Code 2330</t>
  </si>
  <si>
    <t>Code 2331</t>
  </si>
  <si>
    <t>Code 2332</t>
  </si>
  <si>
    <t>Code 2333</t>
  </si>
  <si>
    <t>Code 2334</t>
  </si>
  <si>
    <t>Code 2335</t>
  </si>
  <si>
    <t>Code 2336</t>
  </si>
  <si>
    <t>Code 2337</t>
  </si>
  <si>
    <t>Code 2338</t>
  </si>
  <si>
    <t>Code 2339</t>
  </si>
  <si>
    <t>Code 2340</t>
  </si>
  <si>
    <t>Code 2341</t>
  </si>
  <si>
    <t>Code 2342</t>
  </si>
  <si>
    <t>Code 2343</t>
  </si>
  <si>
    <t>Code 2344</t>
  </si>
  <si>
    <t>Code 2345</t>
  </si>
  <si>
    <t>Code 2346</t>
  </si>
  <si>
    <t>Code 2347</t>
  </si>
  <si>
    <t>Code 2348</t>
  </si>
  <si>
    <t>Code 2349</t>
  </si>
  <si>
    <t>Code 2350</t>
  </si>
  <si>
    <t>Code 2351</t>
  </si>
  <si>
    <t>Code 2352</t>
  </si>
  <si>
    <t>Code 2353</t>
  </si>
  <si>
    <t>Code 2354</t>
  </si>
  <si>
    <t>Code 2355</t>
  </si>
  <si>
    <t>Code 2356</t>
  </si>
  <si>
    <t>Code 2357</t>
  </si>
  <si>
    <t>Code 2358</t>
  </si>
  <si>
    <t>Code 2359</t>
  </si>
  <si>
    <t>Code 2360</t>
  </si>
  <si>
    <t>Code 2361</t>
  </si>
  <si>
    <t>Code 2362</t>
  </si>
  <si>
    <t>Code 2363</t>
  </si>
  <si>
    <t>Code 2364</t>
  </si>
  <si>
    <t>Code 2365</t>
  </si>
  <si>
    <t>Code 2366</t>
  </si>
  <si>
    <t>Code 2367</t>
  </si>
  <si>
    <t>Code 2368</t>
  </si>
  <si>
    <t>Code 2369</t>
  </si>
  <si>
    <t>Code 2370</t>
  </si>
  <si>
    <t>Code 2371</t>
  </si>
  <si>
    <t>Code 2372</t>
  </si>
  <si>
    <t>Code 2373</t>
  </si>
  <si>
    <t>Code 2374</t>
  </si>
  <si>
    <t>Code 2375</t>
  </si>
  <si>
    <t>Code 2376</t>
  </si>
  <si>
    <t>Code 2377</t>
  </si>
  <si>
    <t>Code 2378</t>
  </si>
  <si>
    <t>Code 2379</t>
  </si>
  <si>
    <t>Code 2380</t>
  </si>
  <si>
    <t>Code 2381</t>
  </si>
  <si>
    <t>Code 2382</t>
  </si>
  <si>
    <t>Code 2383</t>
  </si>
  <si>
    <t>Code 2384</t>
  </si>
  <si>
    <t>Code 2385</t>
  </si>
  <si>
    <t>Code 2386</t>
  </si>
  <si>
    <t>Code 2387</t>
  </si>
  <si>
    <t>Code 2388</t>
  </si>
  <si>
    <t>Code 2389</t>
  </si>
  <si>
    <t>Code 2390</t>
  </si>
  <si>
    <t>Code 2391</t>
  </si>
  <si>
    <t>Code 2392</t>
  </si>
  <si>
    <t>Code 2393</t>
  </si>
  <si>
    <t>Code 2394</t>
  </si>
  <si>
    <t>Code 2395</t>
  </si>
  <si>
    <t>Code 2396</t>
  </si>
  <si>
    <t>Code 2397</t>
  </si>
  <si>
    <t>Code 2398</t>
  </si>
  <si>
    <t>Code 2399</t>
  </si>
  <si>
    <t>Code 2400</t>
  </si>
  <si>
    <t>Code 2401</t>
  </si>
  <si>
    <t>Code 2402</t>
  </si>
  <si>
    <t>Code 2403</t>
  </si>
  <si>
    <t>Code 2404</t>
  </si>
  <si>
    <t>Code 2405</t>
  </si>
  <si>
    <t>Code 2406</t>
  </si>
  <si>
    <t>Code 2407</t>
  </si>
  <si>
    <t>Code 2408</t>
  </si>
  <si>
    <t>Code 2409</t>
  </si>
  <si>
    <t>Code 2410</t>
  </si>
  <si>
    <t>Code 2411</t>
  </si>
  <si>
    <t>Code 2412</t>
  </si>
  <si>
    <t>Code 2413</t>
  </si>
  <si>
    <t>Code 2414</t>
  </si>
  <si>
    <t>Code 2415</t>
  </si>
  <si>
    <t>Code 2416</t>
  </si>
  <si>
    <t>Code 2417</t>
  </si>
  <si>
    <t>Code 2418</t>
  </si>
  <si>
    <t>Code 2419</t>
  </si>
  <si>
    <t>Code 2420</t>
  </si>
  <si>
    <t>Code 2421</t>
  </si>
  <si>
    <t>Code 2422</t>
  </si>
  <si>
    <t>Code 2423</t>
  </si>
  <si>
    <t>Code 2424</t>
  </si>
  <si>
    <t>Code 2425</t>
  </si>
  <si>
    <t>Code 2426</t>
  </si>
  <si>
    <t>Code 2427</t>
  </si>
  <si>
    <t>Code 2428</t>
  </si>
  <si>
    <t>Code 2429</t>
  </si>
  <si>
    <t>Code 2430</t>
  </si>
  <si>
    <t>Code 2431</t>
  </si>
  <si>
    <t>Code 2432</t>
  </si>
  <si>
    <t>Code 2433</t>
  </si>
  <si>
    <t>Code 2434</t>
  </si>
  <si>
    <t>Code 2435</t>
  </si>
  <si>
    <t>Code 2436</t>
  </si>
  <si>
    <t>Code 2437</t>
  </si>
  <si>
    <t>Code 2438</t>
  </si>
  <si>
    <t>Code 2439</t>
  </si>
  <si>
    <t>Code 2440</t>
  </si>
  <si>
    <t>Code 2441</t>
  </si>
  <si>
    <t>Code 2442</t>
  </si>
  <si>
    <t>Code 2443</t>
  </si>
  <si>
    <t>Code 2444</t>
  </si>
  <si>
    <t>Code 2445</t>
  </si>
  <si>
    <t>Code 2446</t>
  </si>
  <si>
    <t>Code 2447</t>
  </si>
  <si>
    <t>Code 2448</t>
  </si>
  <si>
    <t>Code 2449</t>
  </si>
  <si>
    <t>Code 2450</t>
  </si>
  <si>
    <t>Code 2451</t>
  </si>
  <si>
    <t>Code 2452</t>
  </si>
  <si>
    <t>Code 2453</t>
  </si>
  <si>
    <t>Code 2454</t>
  </si>
  <si>
    <t>Code 2455</t>
  </si>
  <si>
    <t>Code 2456</t>
  </si>
  <si>
    <t>Code 2457</t>
  </si>
  <si>
    <t>Code 2458</t>
  </si>
  <si>
    <t>Code 2459</t>
  </si>
  <si>
    <t>Code 2460</t>
  </si>
  <si>
    <t>Code 2461</t>
  </si>
  <si>
    <t>Code 2462</t>
  </si>
  <si>
    <t>Code 2463</t>
  </si>
  <si>
    <t>Code 2464</t>
  </si>
  <si>
    <t>Code 2465</t>
  </si>
  <si>
    <t>Code 2466</t>
  </si>
  <si>
    <t>Code 2467</t>
  </si>
  <si>
    <t>Code 2468</t>
  </si>
  <si>
    <t>Code 2469</t>
  </si>
  <si>
    <t>Code 2470</t>
  </si>
  <si>
    <t>Code 2471</t>
  </si>
  <si>
    <t>Code 2472</t>
  </si>
  <si>
    <t>Code 2473</t>
  </si>
  <si>
    <t>Code 2474</t>
  </si>
  <si>
    <t>Code 2475</t>
  </si>
  <si>
    <t>Code 2476</t>
  </si>
  <si>
    <t>Code 2477</t>
  </si>
  <si>
    <t>Code 2478</t>
  </si>
  <si>
    <t>Code 2479</t>
  </si>
  <si>
    <t>Code 2480</t>
  </si>
  <si>
    <t>Code 2481</t>
  </si>
  <si>
    <t>Code 2482</t>
  </si>
  <si>
    <t>Code 2483</t>
  </si>
  <si>
    <t>Code 2484</t>
  </si>
  <si>
    <t>Code 2485</t>
  </si>
  <si>
    <t>Code 2486</t>
  </si>
  <si>
    <t>Code 2487</t>
  </si>
  <si>
    <t>Code 2488</t>
  </si>
  <si>
    <t>Code 2489</t>
  </si>
  <si>
    <t>Code 2490</t>
  </si>
  <si>
    <t>Code 2491</t>
  </si>
  <si>
    <t>Code 2492</t>
  </si>
  <si>
    <t>Code 2493</t>
  </si>
  <si>
    <t>Code 2494</t>
  </si>
  <si>
    <t>Code 2495</t>
  </si>
  <si>
    <t>Code 2496</t>
  </si>
  <si>
    <t>Code 2497</t>
  </si>
  <si>
    <t>Code 2498</t>
  </si>
  <si>
    <t>Code 2499</t>
  </si>
  <si>
    <t>Code 2500</t>
  </si>
  <si>
    <t>Code 2501</t>
  </si>
  <si>
    <t>Code 2502</t>
  </si>
  <si>
    <t>Code 2503</t>
  </si>
  <si>
    <t>Code 2504</t>
  </si>
  <si>
    <t>Code 2505</t>
  </si>
  <si>
    <t>Code 2506</t>
  </si>
  <si>
    <t>Code 2507</t>
  </si>
  <si>
    <t>Code 2508</t>
  </si>
  <si>
    <t>Code 2509</t>
  </si>
  <si>
    <t>Code 2510</t>
  </si>
  <si>
    <t>Code 2511</t>
  </si>
  <si>
    <t>Code 2512</t>
  </si>
  <si>
    <t>Code 2513</t>
  </si>
  <si>
    <t>Code 2514</t>
  </si>
  <si>
    <t>Code 2515</t>
  </si>
  <si>
    <t>Code 2516</t>
  </si>
  <si>
    <t>Code 2517</t>
  </si>
  <si>
    <t>Code 2518</t>
  </si>
  <si>
    <t>Code 2519</t>
  </si>
  <si>
    <t>Code 2520</t>
  </si>
  <si>
    <t>Code 2521</t>
  </si>
  <si>
    <t>Code 2522</t>
  </si>
  <si>
    <t>Code 2523</t>
  </si>
  <si>
    <t>Code 2524</t>
  </si>
  <si>
    <t>Code 2525</t>
  </si>
  <si>
    <t>Code 2526</t>
  </si>
  <si>
    <t>Code 2527</t>
  </si>
  <si>
    <t>Code 2528</t>
  </si>
  <si>
    <t>Code 2529</t>
  </si>
  <si>
    <t>Code 2530</t>
  </si>
  <si>
    <t>Code 2531</t>
  </si>
  <si>
    <t>Code 2532</t>
  </si>
  <si>
    <t>Code 2533</t>
  </si>
  <si>
    <t>Code 2534</t>
  </si>
  <si>
    <t>Code 2535</t>
  </si>
  <si>
    <t>Code 2536</t>
  </si>
  <si>
    <t>Code 2537</t>
  </si>
  <si>
    <t>Code 2538</t>
  </si>
  <si>
    <t>Code 2539</t>
  </si>
  <si>
    <t>Code 2540</t>
  </si>
  <si>
    <t>Code 2541</t>
  </si>
  <si>
    <t>Code 2542</t>
  </si>
  <si>
    <t>Code 2543</t>
  </si>
  <si>
    <t>Code 2544</t>
  </si>
  <si>
    <t>Code 2545</t>
  </si>
  <si>
    <t>Code 2546</t>
  </si>
  <si>
    <t>Code 2547</t>
  </si>
  <si>
    <t>Code 2548</t>
  </si>
  <si>
    <t>Code 2549</t>
  </si>
  <si>
    <t>Code 2550</t>
  </si>
  <si>
    <t>Code 2551</t>
  </si>
  <si>
    <t>Code 2552</t>
  </si>
  <si>
    <t>Code 2553</t>
  </si>
  <si>
    <t>Code 2554</t>
  </si>
  <si>
    <t>Code 2555</t>
  </si>
  <si>
    <t>Code 2556</t>
  </si>
  <si>
    <t>Code 2557</t>
  </si>
  <si>
    <t>Code 2558</t>
  </si>
  <si>
    <t>Code 2559</t>
  </si>
  <si>
    <t>Code 2560</t>
  </si>
  <si>
    <t>Code 2561</t>
  </si>
  <si>
    <t>Code 2562</t>
  </si>
  <si>
    <t>Code 2563</t>
  </si>
  <si>
    <t>Code 2564</t>
  </si>
  <si>
    <t>Code 2565</t>
  </si>
  <si>
    <t>Code 2566</t>
  </si>
  <si>
    <t>Code 2567</t>
  </si>
  <si>
    <t>Code 2568</t>
  </si>
  <si>
    <t>Code 2569</t>
  </si>
  <si>
    <t>Code 2570</t>
  </si>
  <si>
    <t>Code 2571</t>
  </si>
  <si>
    <t>Code 2572</t>
  </si>
  <si>
    <t>Code 2573</t>
  </si>
  <si>
    <t>Code 2574</t>
  </si>
  <si>
    <t>Code 2575</t>
  </si>
  <si>
    <t>Code 2576</t>
  </si>
  <si>
    <t>Code 2577</t>
  </si>
  <si>
    <t>Code 2578</t>
  </si>
  <si>
    <t>Code 2579</t>
  </si>
  <si>
    <t>Code 2580</t>
  </si>
  <si>
    <t>Code 2581</t>
  </si>
  <si>
    <t>Code 2582</t>
  </si>
  <si>
    <t>Code 2583</t>
  </si>
  <si>
    <t>Code 2584</t>
  </si>
  <si>
    <t>Code 2585</t>
  </si>
  <si>
    <t>Code 2586</t>
  </si>
  <si>
    <t>Code 2587</t>
  </si>
  <si>
    <t>Code 2588</t>
  </si>
  <si>
    <t>Code 2589</t>
  </si>
  <si>
    <t>Code 2590</t>
  </si>
  <si>
    <t>Code 2591</t>
  </si>
  <si>
    <t>Code 2592</t>
  </si>
  <si>
    <t>Code 2593</t>
  </si>
  <si>
    <t>Code 2594</t>
  </si>
  <si>
    <t>Code 2595</t>
  </si>
  <si>
    <t>Code 2596</t>
  </si>
  <si>
    <t>Code 2597</t>
  </si>
  <si>
    <t>Code 2598</t>
  </si>
  <si>
    <t>Code 2599</t>
  </si>
  <si>
    <t>Code 2600</t>
  </si>
  <si>
    <t>Code 2601</t>
  </si>
  <si>
    <t>Code 2602</t>
  </si>
  <si>
    <t>Code 2603</t>
  </si>
  <si>
    <t>Code 2604</t>
  </si>
  <si>
    <t>Code 2605</t>
  </si>
  <si>
    <t>Code 2606</t>
  </si>
  <si>
    <t>Code 2607</t>
  </si>
  <si>
    <t>Code 2608</t>
  </si>
  <si>
    <t>Code 2609</t>
  </si>
  <si>
    <t>Code 2610</t>
  </si>
  <si>
    <t>Code 2611</t>
  </si>
  <si>
    <t>Code 2612</t>
  </si>
  <si>
    <t>Code 2613</t>
  </si>
  <si>
    <t>Code 2614</t>
  </si>
  <si>
    <t>Code 2615</t>
  </si>
  <si>
    <t>Code 2616</t>
  </si>
  <si>
    <t>Code 2617</t>
  </si>
  <si>
    <t>Code 2618</t>
  </si>
  <si>
    <t>Code 2619</t>
  </si>
  <si>
    <t>Code 2620</t>
  </si>
  <si>
    <t>Code 2621</t>
  </si>
  <si>
    <t>Code 2622</t>
  </si>
  <si>
    <t>Code 2623</t>
  </si>
  <si>
    <t>Code 2624</t>
  </si>
  <si>
    <t>Code 2625</t>
  </si>
  <si>
    <t>Code 2626</t>
  </si>
  <si>
    <t>Code 2627</t>
  </si>
  <si>
    <t>Code 2628</t>
  </si>
  <si>
    <t>Code 2629</t>
  </si>
  <si>
    <t>Code 2630</t>
  </si>
  <si>
    <t>Code 2631</t>
  </si>
  <si>
    <t>Code 2632</t>
  </si>
  <si>
    <t>Code 2633</t>
  </si>
  <si>
    <t>Code 2634</t>
  </si>
  <si>
    <t>Code 2635</t>
  </si>
  <si>
    <t>Code 2636</t>
  </si>
  <si>
    <t>Code 2637</t>
  </si>
  <si>
    <t>Code 2638</t>
  </si>
  <si>
    <t>Code 2639</t>
  </si>
  <si>
    <t>Code 2640</t>
  </si>
  <si>
    <t>Code 2641</t>
  </si>
  <si>
    <t>Code 2642</t>
  </si>
  <si>
    <t>Code 2643</t>
  </si>
  <si>
    <t>Code 2644</t>
  </si>
  <si>
    <t>Code 2645</t>
  </si>
  <si>
    <t>Code 2646</t>
  </si>
  <si>
    <t>Code 2647</t>
  </si>
  <si>
    <t>Code 2648</t>
  </si>
  <si>
    <t>Code 2649</t>
  </si>
  <si>
    <t>Code 2650</t>
  </si>
  <si>
    <t>Code 2651</t>
  </si>
  <si>
    <t>Code 2652</t>
  </si>
  <si>
    <t>Code 2653</t>
  </si>
  <si>
    <t>Code 2654</t>
  </si>
  <si>
    <t>Code 2655</t>
  </si>
  <si>
    <t>Code 2656</t>
  </si>
  <si>
    <t>Code 2657</t>
  </si>
  <si>
    <t>Code 2658</t>
  </si>
  <si>
    <t>Code 2659</t>
  </si>
  <si>
    <t>Code 2660</t>
  </si>
  <si>
    <t>Code 2661</t>
  </si>
  <si>
    <t>Code 2662</t>
  </si>
  <si>
    <t>Code 2663</t>
  </si>
  <si>
    <t>Code 2664</t>
  </si>
  <si>
    <t>Code 2665</t>
  </si>
  <si>
    <t>Code 2666</t>
  </si>
  <si>
    <t>Code 2667</t>
  </si>
  <si>
    <t>Code 2668</t>
  </si>
  <si>
    <t>Code 2669</t>
  </si>
  <si>
    <t>Code 2670</t>
  </si>
  <si>
    <t>Code 2671</t>
  </si>
  <si>
    <t>Code 2672</t>
  </si>
  <si>
    <t>Code 2673</t>
  </si>
  <si>
    <t>Code 2674</t>
  </si>
  <si>
    <t>Code 2675</t>
  </si>
  <si>
    <t>Code 2676</t>
  </si>
  <si>
    <t>Code 2677</t>
  </si>
  <si>
    <t>Code 2678</t>
  </si>
  <si>
    <t>Code 2679</t>
  </si>
  <si>
    <t>Code 2680</t>
  </si>
  <si>
    <t>Code 2681</t>
  </si>
  <si>
    <t>Code 2682</t>
  </si>
  <si>
    <t>Code 2683</t>
  </si>
  <si>
    <t>Code 2684</t>
  </si>
  <si>
    <t>Code 2685</t>
  </si>
  <si>
    <t>Code 2686</t>
  </si>
  <si>
    <t>Code 2687</t>
  </si>
  <si>
    <t>Code 2688</t>
  </si>
  <si>
    <t>Code 2689</t>
  </si>
  <si>
    <t>Code 2690</t>
  </si>
  <si>
    <t>Code 2691</t>
  </si>
  <si>
    <t>Code 2692</t>
  </si>
  <si>
    <t>Code 2693</t>
  </si>
  <si>
    <t>Code 2694</t>
  </si>
  <si>
    <t>Code 2695</t>
  </si>
  <si>
    <t>Code 2696</t>
  </si>
  <si>
    <t>Code 2697</t>
  </si>
  <si>
    <t>Code 2698</t>
  </si>
  <si>
    <t>Code 2699</t>
  </si>
  <si>
    <t>Code 2700</t>
  </si>
  <si>
    <t>Code 2701</t>
  </si>
  <si>
    <t>Code 2702</t>
  </si>
  <si>
    <t>Code 2703</t>
  </si>
  <si>
    <t>Code 2704</t>
  </si>
  <si>
    <t>Code 2705</t>
  </si>
  <si>
    <t>Code 2706</t>
  </si>
  <si>
    <t>Code 2707</t>
  </si>
  <si>
    <t>Code 2708</t>
  </si>
  <si>
    <t>Code 2709</t>
  </si>
  <si>
    <t>Code 2710</t>
  </si>
  <si>
    <t>Code 2711</t>
  </si>
  <si>
    <t>Code 2712</t>
  </si>
  <si>
    <t>Code 2713</t>
  </si>
  <si>
    <t>Code 2714</t>
  </si>
  <si>
    <t>Code 2715</t>
  </si>
  <si>
    <t>Code 2716</t>
  </si>
  <si>
    <t>Code 2717</t>
  </si>
  <si>
    <t>Code 2718</t>
  </si>
  <si>
    <t>Code 2719</t>
  </si>
  <si>
    <t>Code 2720</t>
  </si>
  <si>
    <t>Code 2721</t>
  </si>
  <si>
    <t>Code 2722</t>
  </si>
  <si>
    <t>Code 2723</t>
  </si>
  <si>
    <t>Code 2724</t>
  </si>
  <si>
    <t>Code 2725</t>
  </si>
  <si>
    <t>Code 2726</t>
  </si>
  <si>
    <t>Code 2727</t>
  </si>
  <si>
    <t>Code 2728</t>
  </si>
  <si>
    <t>Code 2729</t>
  </si>
  <si>
    <t>Code 2730</t>
  </si>
  <si>
    <t>Code 2731</t>
  </si>
  <si>
    <t>Code 2732</t>
  </si>
  <si>
    <t>Code 2733</t>
  </si>
  <si>
    <t>Code 2734</t>
  </si>
  <si>
    <t>Code 2735</t>
  </si>
  <si>
    <t>Code 2736</t>
  </si>
  <si>
    <t>Code 2737</t>
  </si>
  <si>
    <t>Code 2738</t>
  </si>
  <si>
    <t>Code 2739</t>
  </si>
  <si>
    <t>Code 2740</t>
  </si>
  <si>
    <t>Code 2741</t>
  </si>
  <si>
    <t>Code 2742</t>
  </si>
  <si>
    <t>Code 2743</t>
  </si>
  <si>
    <t>Code 2744</t>
  </si>
  <si>
    <t>Code 2745</t>
  </si>
  <si>
    <t>Code 2746</t>
  </si>
  <si>
    <t>Code 2747</t>
  </si>
  <si>
    <t>Code 2748</t>
  </si>
  <si>
    <t>Code 2749</t>
  </si>
  <si>
    <t>Code 2750</t>
  </si>
  <si>
    <t>Code 2751</t>
  </si>
  <si>
    <t>Code 2752</t>
  </si>
  <si>
    <t>Code 2753</t>
  </si>
  <si>
    <t>Code 2754</t>
  </si>
  <si>
    <t>Code 2755</t>
  </si>
  <si>
    <t>Code 2756</t>
  </si>
  <si>
    <t>Code 2757</t>
  </si>
  <si>
    <t>Code 2758</t>
  </si>
  <si>
    <t>Code 2759</t>
  </si>
  <si>
    <t>Code 2760</t>
  </si>
  <si>
    <t>Code 2761</t>
  </si>
  <si>
    <t>Code 2762</t>
  </si>
  <si>
    <t>Code 2763</t>
  </si>
  <si>
    <t>Code 2764</t>
  </si>
  <si>
    <t>Code 2765</t>
  </si>
  <si>
    <t>Code 2766</t>
  </si>
  <si>
    <t>Code 2767</t>
  </si>
  <si>
    <t>Code 2768</t>
  </si>
  <si>
    <t>Code 2769</t>
  </si>
  <si>
    <t>Code 2770</t>
  </si>
  <si>
    <t>Code 2771</t>
  </si>
  <si>
    <t>Code 2772</t>
  </si>
  <si>
    <t>Code 2773</t>
  </si>
  <si>
    <t>Code 2774</t>
  </si>
  <si>
    <t>Code 2775</t>
  </si>
  <si>
    <t>Code 2776</t>
  </si>
  <si>
    <t>Code 2777</t>
  </si>
  <si>
    <t>Code 2778</t>
  </si>
  <si>
    <t>Code 2779</t>
  </si>
  <si>
    <t>Code 2780</t>
  </si>
  <si>
    <t>Code 2781</t>
  </si>
  <si>
    <t>Code 2782</t>
  </si>
  <si>
    <t>Code 2783</t>
  </si>
  <si>
    <t>Code 2784</t>
  </si>
  <si>
    <t>Code 2785</t>
  </si>
  <si>
    <t>Code 2786</t>
  </si>
  <si>
    <t>Code 2787</t>
  </si>
  <si>
    <t>Code 2788</t>
  </si>
  <si>
    <t>Code 2789</t>
  </si>
  <si>
    <t>Code 2790</t>
  </si>
  <si>
    <t>Code 2791</t>
  </si>
  <si>
    <t>Code 2792</t>
  </si>
  <si>
    <t>Code 2793</t>
  </si>
  <si>
    <t>Code 2794</t>
  </si>
  <si>
    <t>Code 2795</t>
  </si>
  <si>
    <t>Code 2796</t>
  </si>
  <si>
    <t>Code 2797</t>
  </si>
  <si>
    <t>Code 2798</t>
  </si>
  <si>
    <t>Code 2799</t>
  </si>
  <si>
    <t>Code 2800</t>
  </si>
  <si>
    <t>Code 2801</t>
  </si>
  <si>
    <t>Code 2802</t>
  </si>
  <si>
    <t>Code 2803</t>
  </si>
  <si>
    <t>Code 2804</t>
  </si>
  <si>
    <t>Code 2805</t>
  </si>
  <si>
    <t>Code 2806</t>
  </si>
  <si>
    <t>Code 2807</t>
  </si>
  <si>
    <t>Code 2808</t>
  </si>
  <si>
    <t>Code 2809</t>
  </si>
  <si>
    <t>Code 2810</t>
  </si>
  <si>
    <t>Code 2811</t>
  </si>
  <si>
    <t>Code 2812</t>
  </si>
  <si>
    <t>Code 2813</t>
  </si>
  <si>
    <t>Code 2814</t>
  </si>
  <si>
    <t>Code 2815</t>
  </si>
  <si>
    <t>Code 2816</t>
  </si>
  <si>
    <t>Code 2817</t>
  </si>
  <si>
    <t>Code 2818</t>
  </si>
  <si>
    <t>Code 2819</t>
  </si>
  <si>
    <t>Code 2820</t>
  </si>
  <si>
    <t>Code 2821</t>
  </si>
  <si>
    <t>Code 2822</t>
  </si>
  <si>
    <t>Code 2823</t>
  </si>
  <si>
    <t>Code 2824</t>
  </si>
  <si>
    <t>Code 2825</t>
  </si>
  <si>
    <t>Code 2826</t>
  </si>
  <si>
    <t>Code 2827</t>
  </si>
  <si>
    <t>Code 2828</t>
  </si>
  <si>
    <t>Code 2829</t>
  </si>
  <si>
    <t>Code 2830</t>
  </si>
  <si>
    <t>Code 2831</t>
  </si>
  <si>
    <t>Code 2832</t>
  </si>
  <si>
    <t>Code 2833</t>
  </si>
  <si>
    <t>Code 2834</t>
  </si>
  <si>
    <t>Code 2835</t>
  </si>
  <si>
    <t>Code 2836</t>
  </si>
  <si>
    <t>Code 2837</t>
  </si>
  <si>
    <t>Code 2838</t>
  </si>
  <si>
    <t>Code 2839</t>
  </si>
  <si>
    <t>Code 2840</t>
  </si>
  <si>
    <t>Code 2841</t>
  </si>
  <si>
    <t>Code 2842</t>
  </si>
  <si>
    <t>Code 2843</t>
  </si>
  <si>
    <t>Code 2844</t>
  </si>
  <si>
    <t>Code 2845</t>
  </si>
  <si>
    <t>Code 2846</t>
  </si>
  <si>
    <t>Code 2847</t>
  </si>
  <si>
    <t>Code 2848</t>
  </si>
  <si>
    <t>Code 2849</t>
  </si>
  <si>
    <t>Code 2850</t>
  </si>
  <si>
    <t>Code 2851</t>
  </si>
  <si>
    <t>Code 2852</t>
  </si>
  <si>
    <t>Code 2853</t>
  </si>
  <si>
    <t>Code 2854</t>
  </si>
  <si>
    <t>Code 2855</t>
  </si>
  <si>
    <t>Code 2856</t>
  </si>
  <si>
    <t>Code 2857</t>
  </si>
  <si>
    <t>Code 2858</t>
  </si>
  <si>
    <t>Code 2859</t>
  </si>
  <si>
    <t>Code 2860</t>
  </si>
  <si>
    <t>Code 2861</t>
  </si>
  <si>
    <t>Code 2862</t>
  </si>
  <si>
    <t>Code 2863</t>
  </si>
  <si>
    <t>Code 2864</t>
  </si>
  <si>
    <t>Code 2865</t>
  </si>
  <si>
    <t>Code 2866</t>
  </si>
  <si>
    <t>Code 2867</t>
  </si>
  <si>
    <t>Code 2868</t>
  </si>
  <si>
    <t>Code 2869</t>
  </si>
  <si>
    <t>Code 2870</t>
  </si>
  <si>
    <t>Code 2871</t>
  </si>
  <si>
    <t>Code 2872</t>
  </si>
  <si>
    <t>Code 2873</t>
  </si>
  <si>
    <t>Code 2874</t>
  </si>
  <si>
    <t>Code 2875</t>
  </si>
  <si>
    <t>Code 2876</t>
  </si>
  <si>
    <t>Code 2877</t>
  </si>
  <si>
    <t>Code 2878</t>
  </si>
  <si>
    <t>Code 2879</t>
  </si>
  <si>
    <t>Code 2880</t>
  </si>
  <si>
    <t>Code 2881</t>
  </si>
  <si>
    <t>Code 2882</t>
  </si>
  <si>
    <t>Code 2883</t>
  </si>
  <si>
    <t>Code 2884</t>
  </si>
  <si>
    <t>Code 2885</t>
  </si>
  <si>
    <t>Code 2886</t>
  </si>
  <si>
    <t>Code 2887</t>
  </si>
  <si>
    <t>Code 2888</t>
  </si>
  <si>
    <t>Code 2889</t>
  </si>
  <si>
    <t>Code 2890</t>
  </si>
  <si>
    <t>Code 2891</t>
  </si>
  <si>
    <t>Code 2892</t>
  </si>
  <si>
    <t>Code 2893</t>
  </si>
  <si>
    <t>Code 2894</t>
  </si>
  <si>
    <t>Code 2895</t>
  </si>
  <si>
    <t>Code 2896</t>
  </si>
  <si>
    <t>Code 2897</t>
  </si>
  <si>
    <t>Code 2898</t>
  </si>
  <si>
    <t>Code 2899</t>
  </si>
  <si>
    <t>Code 2900</t>
  </si>
  <si>
    <t>Code 2901</t>
  </si>
  <si>
    <t>Code 2902</t>
  </si>
  <si>
    <t>Code 2903</t>
  </si>
  <si>
    <t>Code 2904</t>
  </si>
  <si>
    <t>Code 2905</t>
  </si>
  <si>
    <t>Code 2906</t>
  </si>
  <si>
    <t>Code 2907</t>
  </si>
  <si>
    <t>Code 2908</t>
  </si>
  <si>
    <t>Code 2909</t>
  </si>
  <si>
    <t>Code 2910</t>
  </si>
  <si>
    <t>Code 2911</t>
  </si>
  <si>
    <t>Code 2912</t>
  </si>
  <si>
    <t>Code 2913</t>
  </si>
  <si>
    <t>Code 2914</t>
  </si>
  <si>
    <t>Code 2915</t>
  </si>
  <si>
    <t>Code 2916</t>
  </si>
  <si>
    <t>Code 2917</t>
  </si>
  <si>
    <t>Code 2918</t>
  </si>
  <si>
    <t>Code 2919</t>
  </si>
  <si>
    <t>Code 2920</t>
  </si>
  <si>
    <t>Code 2921</t>
  </si>
  <si>
    <t>Code 2922</t>
  </si>
  <si>
    <t>Code 2923</t>
  </si>
  <si>
    <t>Code 2924</t>
  </si>
  <si>
    <t>Code 2925</t>
  </si>
  <si>
    <t>Code 2926</t>
  </si>
  <si>
    <t>Code 2927</t>
  </si>
  <si>
    <t>Code 2928</t>
  </si>
  <si>
    <t>Code 2929</t>
  </si>
  <si>
    <t>Code 2930</t>
  </si>
  <si>
    <t>Code 2931</t>
  </si>
  <si>
    <t>Code 2932</t>
  </si>
  <si>
    <t>Code 2933</t>
  </si>
  <si>
    <t>Code 2934</t>
  </si>
  <si>
    <t>Code 2935</t>
  </si>
  <si>
    <t>Code 2936</t>
  </si>
  <si>
    <t>Code 2937</t>
  </si>
  <si>
    <t>Code 2938</t>
  </si>
  <si>
    <t>Code 2939</t>
  </si>
  <si>
    <t>Code 2940</t>
  </si>
  <si>
    <t>Code 2941</t>
  </si>
  <si>
    <t>Code 2942</t>
  </si>
  <si>
    <t>Code 2943</t>
  </si>
  <si>
    <t>Code 2944</t>
  </si>
  <si>
    <t>Code 2945</t>
  </si>
  <si>
    <t>Code 2946</t>
  </si>
  <si>
    <t>Code 2947</t>
  </si>
  <si>
    <t>Code 2948</t>
  </si>
  <si>
    <t>Code 2949</t>
  </si>
  <si>
    <t>Code 2950</t>
  </si>
  <si>
    <t>Code 2951</t>
  </si>
  <si>
    <t>Code 2952</t>
  </si>
  <si>
    <t>Code 2953</t>
  </si>
  <si>
    <t>Code 2954</t>
  </si>
  <si>
    <t>Code 2955</t>
  </si>
  <si>
    <t>Code 2956</t>
  </si>
  <si>
    <t>Code 2957</t>
  </si>
  <si>
    <t>Code 2958</t>
  </si>
  <si>
    <t>Code 2959</t>
  </si>
  <si>
    <t>Code 2960</t>
  </si>
  <si>
    <t>Code 2961</t>
  </si>
  <si>
    <t>Code 2962</t>
  </si>
  <si>
    <t>Code 2963</t>
  </si>
  <si>
    <t>Code 2964</t>
  </si>
  <si>
    <t>Code 2965</t>
  </si>
  <si>
    <t>Code 2966</t>
  </si>
  <si>
    <t>Code 2967</t>
  </si>
  <si>
    <t>Code 2968</t>
  </si>
  <si>
    <t>Code 2969</t>
  </si>
  <si>
    <t>Code 2970</t>
  </si>
  <si>
    <t>Code 2971</t>
  </si>
  <si>
    <t>Code 2972</t>
  </si>
  <si>
    <t>Code 2973</t>
  </si>
  <si>
    <t>Code 2974</t>
  </si>
  <si>
    <t>Code 2975</t>
  </si>
  <si>
    <t>Code 2976</t>
  </si>
  <si>
    <t>Code 2977</t>
  </si>
  <si>
    <t>Code 2978</t>
  </si>
  <si>
    <t>Code 2979</t>
  </si>
  <si>
    <t>Code 2980</t>
  </si>
  <si>
    <t>Code 2981</t>
  </si>
  <si>
    <t>Code 2982</t>
  </si>
  <si>
    <t>Code 2983</t>
  </si>
  <si>
    <t>Code 2984</t>
  </si>
  <si>
    <t>Code 2985</t>
  </si>
  <si>
    <t>Code 2986</t>
  </si>
  <si>
    <t>Code 2987</t>
  </si>
  <si>
    <t>Code 2988</t>
  </si>
  <si>
    <t>Code 2989</t>
  </si>
  <si>
    <t>Code 2990</t>
  </si>
  <si>
    <t>Code 2991</t>
  </si>
  <si>
    <t>Code 2992</t>
  </si>
  <si>
    <t>Code 2993</t>
  </si>
  <si>
    <t>Code 2994</t>
  </si>
  <si>
    <t>Code 2995</t>
  </si>
  <si>
    <t>Code 2996</t>
  </si>
  <si>
    <t>Code 2997</t>
  </si>
  <si>
    <t>Code 2998</t>
  </si>
  <si>
    <t>Code 2999</t>
  </si>
  <si>
    <t>Code 3000</t>
  </si>
  <si>
    <t>Code 3001</t>
  </si>
  <si>
    <t>Code 3002</t>
  </si>
  <si>
    <t>Code 3003</t>
  </si>
  <si>
    <t>Code 3004</t>
  </si>
  <si>
    <t>Code 3005</t>
  </si>
  <si>
    <t>Code 3006</t>
  </si>
  <si>
    <t>Code 3007</t>
  </si>
  <si>
    <t>Code 3008</t>
  </si>
  <si>
    <t>Code 3009</t>
  </si>
  <si>
    <t>Code 3010</t>
  </si>
  <si>
    <t>Code 3011</t>
  </si>
  <si>
    <t>Code 3012</t>
  </si>
  <si>
    <t>Code 3013</t>
  </si>
  <si>
    <t>Code 3014</t>
  </si>
  <si>
    <t>Code 3015</t>
  </si>
  <si>
    <t>Code 3016</t>
  </si>
  <si>
    <t>Code 3017</t>
  </si>
  <si>
    <t>Code 3018</t>
  </si>
  <si>
    <t>Code 3019</t>
  </si>
  <si>
    <t>Code 3020</t>
  </si>
  <si>
    <t>Code 3021</t>
  </si>
  <si>
    <t>Code 3022</t>
  </si>
  <si>
    <t>Code 3023</t>
  </si>
  <si>
    <t>Code 3024</t>
  </si>
  <si>
    <t>Code 3025</t>
  </si>
  <si>
    <t>Code 3026</t>
  </si>
  <si>
    <t>Code 3027</t>
  </si>
  <si>
    <t>Code 3028</t>
  </si>
  <si>
    <t>Code 3029</t>
  </si>
  <si>
    <t>Code 3030</t>
  </si>
  <si>
    <t>Code 3031</t>
  </si>
  <si>
    <t>Code 3032</t>
  </si>
  <si>
    <t>Code 3033</t>
  </si>
  <si>
    <t>Code 3034</t>
  </si>
  <si>
    <t>Code 3035</t>
  </si>
  <si>
    <t>Code 3036</t>
  </si>
  <si>
    <t>Code 3037</t>
  </si>
  <si>
    <t>Code 3038</t>
  </si>
  <si>
    <t>Code 3039</t>
  </si>
  <si>
    <t>Code 3040</t>
  </si>
  <si>
    <t>Code 3041</t>
  </si>
  <si>
    <t>Code 3042</t>
  </si>
  <si>
    <t>Code 3043</t>
  </si>
  <si>
    <t>Code 3044</t>
  </si>
  <si>
    <t>Code 3045</t>
  </si>
  <si>
    <t>Code 3046</t>
  </si>
  <si>
    <t>Code 3047</t>
  </si>
  <si>
    <t>Code 3048</t>
  </si>
  <si>
    <t>Code 3049</t>
  </si>
  <si>
    <t>Code 3050</t>
  </si>
  <si>
    <t>Code 3051</t>
  </si>
  <si>
    <t>Code 3052</t>
  </si>
  <si>
    <t>Code 3053</t>
  </si>
  <si>
    <t>Code 3054</t>
  </si>
  <si>
    <t>Code 3055</t>
  </si>
  <si>
    <t>Code 3056</t>
  </si>
  <si>
    <t>Code 3057</t>
  </si>
  <si>
    <t>Code 3058</t>
  </si>
  <si>
    <t>Code 3059</t>
  </si>
  <si>
    <t>Code 3060</t>
  </si>
  <si>
    <t>Code 3061</t>
  </si>
  <si>
    <t>Code 3062</t>
  </si>
  <si>
    <t>Code 3063</t>
  </si>
  <si>
    <t>Code 3064</t>
  </si>
  <si>
    <t>Code 3065</t>
  </si>
  <si>
    <t>Code 3066</t>
  </si>
  <si>
    <t>Code 3067</t>
  </si>
  <si>
    <t>Code 3068</t>
  </si>
  <si>
    <t>Code 3069</t>
  </si>
  <si>
    <t>Code 3070</t>
  </si>
  <si>
    <t>Code 3071</t>
  </si>
  <si>
    <t>Code 3072</t>
  </si>
  <si>
    <t>Code 3073</t>
  </si>
  <si>
    <t>Code 3074</t>
  </si>
  <si>
    <t>Code 3075</t>
  </si>
  <si>
    <t>Code 3076</t>
  </si>
  <si>
    <t>Code 3077</t>
  </si>
  <si>
    <t>Code 3078</t>
  </si>
  <si>
    <t>Code 3079</t>
  </si>
  <si>
    <t>Code 3080</t>
  </si>
  <si>
    <t>Code 3081</t>
  </si>
  <si>
    <t>Code 3082</t>
  </si>
  <si>
    <t>Code 3083</t>
  </si>
  <si>
    <t>Code 3084</t>
  </si>
  <si>
    <t>Code 3085</t>
  </si>
  <si>
    <t>Code 3086</t>
  </si>
  <si>
    <t>Code 3087</t>
  </si>
  <si>
    <t>Code 3088</t>
  </si>
  <si>
    <t>Code 3089</t>
  </si>
  <si>
    <t>Code 3090</t>
  </si>
  <si>
    <t>Code 3091</t>
  </si>
  <si>
    <t>Code 3092</t>
  </si>
  <si>
    <t>Code 3093</t>
  </si>
  <si>
    <t>Code 3094</t>
  </si>
  <si>
    <t>Code 3095</t>
  </si>
  <si>
    <t>Code 3096</t>
  </si>
  <si>
    <t>Code 3097</t>
  </si>
  <si>
    <t>Code 3098</t>
  </si>
  <si>
    <t>Code 3099</t>
  </si>
  <si>
    <t>Code 3100</t>
  </si>
  <si>
    <t>Code 3101</t>
  </si>
  <si>
    <t>Code 3102</t>
  </si>
  <si>
    <t>Code 3103</t>
  </si>
  <si>
    <t>Code 3104</t>
  </si>
  <si>
    <t>Code 3105</t>
  </si>
  <si>
    <t>Code 3106</t>
  </si>
  <si>
    <t>Code 3107</t>
  </si>
  <si>
    <t>Code 3108</t>
  </si>
  <si>
    <t>Code 3109</t>
  </si>
  <si>
    <t>Code 3110</t>
  </si>
  <si>
    <t>Code 3111</t>
  </si>
  <si>
    <t>Code 3112</t>
  </si>
  <si>
    <t>Code 3113</t>
  </si>
  <si>
    <t>Code 3114</t>
  </si>
  <si>
    <t>Code 3115</t>
  </si>
  <si>
    <t>Code 3116</t>
  </si>
  <si>
    <t>Code 3117</t>
  </si>
  <si>
    <t>Code 3118</t>
  </si>
  <si>
    <t>Code 3119</t>
  </si>
  <si>
    <t>Code 3120</t>
  </si>
  <si>
    <t>Code 3121</t>
  </si>
  <si>
    <t>Code 3122</t>
  </si>
  <si>
    <t>Code 3123</t>
  </si>
  <si>
    <t>Code 3124</t>
  </si>
  <si>
    <t>Code 3125</t>
  </si>
  <si>
    <t>Code 3126</t>
  </si>
  <si>
    <t>Code 3127</t>
  </si>
  <si>
    <t>Code 3128</t>
  </si>
  <si>
    <t>Code 3129</t>
  </si>
  <si>
    <t>Code 3130</t>
  </si>
  <si>
    <t>Code 3131</t>
  </si>
  <si>
    <t>Code 3132</t>
  </si>
  <si>
    <t>Code 3133</t>
  </si>
  <si>
    <t>Code 3134</t>
  </si>
  <si>
    <t>Code 3135</t>
  </si>
  <si>
    <t>Code 3136</t>
  </si>
  <si>
    <t>Code 3137</t>
  </si>
  <si>
    <t>Code 3138</t>
  </si>
  <si>
    <t>Code 3139</t>
  </si>
  <si>
    <t>Code 3140</t>
  </si>
  <si>
    <t>Code 3141</t>
  </si>
  <si>
    <t>Code 3142</t>
  </si>
  <si>
    <t>Code 3143</t>
  </si>
  <si>
    <t>Code 3144</t>
  </si>
  <si>
    <t>Code 3145</t>
  </si>
  <si>
    <t>Code 3146</t>
  </si>
  <si>
    <t>Code 3147</t>
  </si>
  <si>
    <t>Code 3148</t>
  </si>
  <si>
    <t>Code 3149</t>
  </si>
  <si>
    <t>Code 3150</t>
  </si>
  <si>
    <t>Code 3151</t>
  </si>
  <si>
    <t>Code 3152</t>
  </si>
  <si>
    <t>Code 3153</t>
  </si>
  <si>
    <t>Code 3154</t>
  </si>
  <si>
    <t>Code 3155</t>
  </si>
  <si>
    <t>Code 3156</t>
  </si>
  <si>
    <t>Code 3157</t>
  </si>
  <si>
    <t>Code 3158</t>
  </si>
  <si>
    <t>Code 3159</t>
  </si>
  <si>
    <t>Code 3160</t>
  </si>
  <si>
    <t>Code 3161</t>
  </si>
  <si>
    <t>Code 3162</t>
  </si>
  <si>
    <t>Code 3163</t>
  </si>
  <si>
    <t>Code 3164</t>
  </si>
  <si>
    <t>Code 3165</t>
  </si>
  <si>
    <t>Code 3166</t>
  </si>
  <si>
    <t>Code 3167</t>
  </si>
  <si>
    <t>Code 3168</t>
  </si>
  <si>
    <t>Code 3169</t>
  </si>
  <si>
    <t>Code 3170</t>
  </si>
  <si>
    <t>Code 3171</t>
  </si>
  <si>
    <t>Code 3172</t>
  </si>
  <si>
    <t>Code 3173</t>
  </si>
  <si>
    <t>Code 3174</t>
  </si>
  <si>
    <t>Code 3175</t>
  </si>
  <si>
    <t>Code 3176</t>
  </si>
  <si>
    <t>Code 3177</t>
  </si>
  <si>
    <t>Code 3178</t>
  </si>
  <si>
    <t>Code 3179</t>
  </si>
  <si>
    <t>Code 3180</t>
  </si>
  <si>
    <t>Code 3181</t>
  </si>
  <si>
    <t>Code 3182</t>
  </si>
  <si>
    <t>Code 3183</t>
  </si>
  <si>
    <t>Code 3184</t>
  </si>
  <si>
    <t>Code 3185</t>
  </si>
  <si>
    <t>Code 3186</t>
  </si>
  <si>
    <t>Code 3187</t>
  </si>
  <si>
    <t>Code 3188</t>
  </si>
  <si>
    <t>Code 3189</t>
  </si>
  <si>
    <t>Code 3190</t>
  </si>
  <si>
    <t>Code 3191</t>
  </si>
  <si>
    <t>Code 3192</t>
  </si>
  <si>
    <t>Code 3193</t>
  </si>
  <si>
    <t>Code 3194</t>
  </si>
  <si>
    <t>Code 3195</t>
  </si>
  <si>
    <t>Code 3196</t>
  </si>
  <si>
    <t>Code 3197</t>
  </si>
  <si>
    <t>Code 3198</t>
  </si>
  <si>
    <t>Code 3199</t>
  </si>
  <si>
    <t>Code 3200</t>
  </si>
  <si>
    <t>Code 3201</t>
  </si>
  <si>
    <t>Code 3202</t>
  </si>
  <si>
    <t>Code 3203</t>
  </si>
  <si>
    <t>Code 3204</t>
  </si>
  <si>
    <t>Code 3205</t>
  </si>
  <si>
    <t>Code 3206</t>
  </si>
  <si>
    <t>Code 3207</t>
  </si>
  <si>
    <t>Code 3208</t>
  </si>
  <si>
    <t>Code 3209</t>
  </si>
  <si>
    <t>Code 3210</t>
  </si>
  <si>
    <t>Code 3211</t>
  </si>
  <si>
    <t>Code 3212</t>
  </si>
  <si>
    <t>Code 3213</t>
  </si>
  <si>
    <t>Code 3214</t>
  </si>
  <si>
    <t>Code 3215</t>
  </si>
  <si>
    <t>Code 3216</t>
  </si>
  <si>
    <t>Code 3217</t>
  </si>
  <si>
    <t>Code 3218</t>
  </si>
  <si>
    <t>Code 3219</t>
  </si>
  <si>
    <t>Code 3220</t>
  </si>
  <si>
    <t>Code 3221</t>
  </si>
  <si>
    <t>Code 3222</t>
  </si>
  <si>
    <t>Code 3223</t>
  </si>
  <si>
    <t>Code 3224</t>
  </si>
  <si>
    <t>Code 3225</t>
  </si>
  <si>
    <t>Code 3226</t>
  </si>
  <si>
    <t>Code 3227</t>
  </si>
  <si>
    <t>Code 3228</t>
  </si>
  <si>
    <t>Code 3229</t>
  </si>
  <si>
    <t>Code 3230</t>
  </si>
  <si>
    <t>Code 3231</t>
  </si>
  <si>
    <t>Code 3232</t>
  </si>
  <si>
    <t>Code 3233</t>
  </si>
  <si>
    <t>Code 3234</t>
  </si>
  <si>
    <t>Code 3235</t>
  </si>
  <si>
    <t>Code 3236</t>
  </si>
  <si>
    <t>Code 3237</t>
  </si>
  <si>
    <t>Code 3238</t>
  </si>
  <si>
    <t>Code 3239</t>
  </si>
  <si>
    <t>Code 3240</t>
  </si>
  <si>
    <t>Code 3241</t>
  </si>
  <si>
    <t>Code 3242</t>
  </si>
  <si>
    <t>Code 3243</t>
  </si>
  <si>
    <t>Code 3244</t>
  </si>
  <si>
    <t>Code 3245</t>
  </si>
  <si>
    <t>Code 3246</t>
  </si>
  <si>
    <t>Code 3247</t>
  </si>
  <si>
    <t>Code 3248</t>
  </si>
  <si>
    <t>Code 3249</t>
  </si>
  <si>
    <t>Code 3250</t>
  </si>
  <si>
    <t>Code 3251</t>
  </si>
  <si>
    <t>Code 3252</t>
  </si>
  <si>
    <t>Code 3253</t>
  </si>
  <si>
    <t>Code 3254</t>
  </si>
  <si>
    <t>Code 3255</t>
  </si>
  <si>
    <t>Code 3256</t>
  </si>
  <si>
    <t>Code 3257</t>
  </si>
  <si>
    <t>Code 3258</t>
  </si>
  <si>
    <t>Code 3259</t>
  </si>
  <si>
    <t>Code 3260</t>
  </si>
  <si>
    <t>Code 3261</t>
  </si>
  <si>
    <t>Code 3262</t>
  </si>
  <si>
    <t>Code 3263</t>
  </si>
  <si>
    <t>Code 3264</t>
  </si>
  <si>
    <t>Code 3265</t>
  </si>
  <si>
    <t>Code 3266</t>
  </si>
  <si>
    <t>Code 3267</t>
  </si>
  <si>
    <t>Code 3268</t>
  </si>
  <si>
    <t>Code 3269</t>
  </si>
  <si>
    <t>Code 3270</t>
  </si>
  <si>
    <t>Code 3271</t>
  </si>
  <si>
    <t>Code 3272</t>
  </si>
  <si>
    <t>Code 3273</t>
  </si>
  <si>
    <t>Code 3274</t>
  </si>
  <si>
    <t>Code 3275</t>
  </si>
  <si>
    <t>Code 3276</t>
  </si>
  <si>
    <t>Code 3277</t>
  </si>
  <si>
    <t>Code 3278</t>
  </si>
  <si>
    <t>Code 3279</t>
  </si>
  <si>
    <t>Code 3280</t>
  </si>
  <si>
    <t>Code 3281</t>
  </si>
  <si>
    <t>Code 3282</t>
  </si>
  <si>
    <t>Code 3283</t>
  </si>
  <si>
    <t>Code 3284</t>
  </si>
  <si>
    <t>Code 3285</t>
  </si>
  <si>
    <t>Code 3286</t>
  </si>
  <si>
    <t>Code 3287</t>
  </si>
  <si>
    <t>Code 3288</t>
  </si>
  <si>
    <t>Code 3289</t>
  </si>
  <si>
    <t>Code 3290</t>
  </si>
  <si>
    <t>Code 3291</t>
  </si>
  <si>
    <t>Code 3292</t>
  </si>
  <si>
    <t>Code 3293</t>
  </si>
  <si>
    <t>Code 3294</t>
  </si>
  <si>
    <t>Code 3295</t>
  </si>
  <si>
    <t>Code 3296</t>
  </si>
  <si>
    <t>Code 3297</t>
  </si>
  <si>
    <t>Code 3298</t>
  </si>
  <si>
    <t>Code 3299</t>
  </si>
  <si>
    <t>Code 3300</t>
  </si>
  <si>
    <t>Code 3301</t>
  </si>
  <si>
    <t>Code 3302</t>
  </si>
  <si>
    <t>Code 3303</t>
  </si>
  <si>
    <t>Code 3304</t>
  </si>
  <si>
    <t>Code 3305</t>
  </si>
  <si>
    <t>Code 3306</t>
  </si>
  <si>
    <t>Code 3307</t>
  </si>
  <si>
    <t>Code 3308</t>
  </si>
  <si>
    <t>Code 3309</t>
  </si>
  <si>
    <t>Code 3310</t>
  </si>
  <si>
    <t>Code 3311</t>
  </si>
  <si>
    <t>Code 3312</t>
  </si>
  <si>
    <t>Code 3313</t>
  </si>
  <si>
    <t>Code 3314</t>
  </si>
  <si>
    <t>Code 3315</t>
  </si>
  <si>
    <t>Code 3316</t>
  </si>
  <si>
    <t>Code 3317</t>
  </si>
  <si>
    <t>Code 3318</t>
  </si>
  <si>
    <t>Code 3319</t>
  </si>
  <si>
    <t>Code 3320</t>
  </si>
  <si>
    <t>Code 3321</t>
  </si>
  <si>
    <t>Code 3322</t>
  </si>
  <si>
    <t>Code 3323</t>
  </si>
  <si>
    <t>Code 3324</t>
  </si>
  <si>
    <t>Code 3325</t>
  </si>
  <si>
    <t>Code 3326</t>
  </si>
  <si>
    <t>Code 3327</t>
  </si>
  <si>
    <t>Code 3328</t>
  </si>
  <si>
    <t>Code 3329</t>
  </si>
  <si>
    <t>Code 3330</t>
  </si>
  <si>
    <t>Code 3331</t>
  </si>
  <si>
    <t>Code 3332</t>
  </si>
  <si>
    <t>Code 3333</t>
  </si>
  <si>
    <t>Code 3334</t>
  </si>
  <si>
    <t>Code 3335</t>
  </si>
  <si>
    <t>Code 3336</t>
  </si>
  <si>
    <t>Code 3337</t>
  </si>
  <si>
    <t>Code 3338</t>
  </si>
  <si>
    <t>Code 3339</t>
  </si>
  <si>
    <t>Code 3340</t>
  </si>
  <si>
    <t>Code 3341</t>
  </si>
  <si>
    <t>Code 3342</t>
  </si>
  <si>
    <t>Code 3343</t>
  </si>
  <si>
    <t>Code 3344</t>
  </si>
  <si>
    <t>Code 3345</t>
  </si>
  <si>
    <t>Code 3346</t>
  </si>
  <si>
    <t>Code 3347</t>
  </si>
  <si>
    <t>Code 3348</t>
  </si>
  <si>
    <t>Code 3349</t>
  </si>
  <si>
    <t>Code 3350</t>
  </si>
  <si>
    <t>Code 3351</t>
  </si>
  <si>
    <t>Code 3352</t>
  </si>
  <si>
    <t>Code 3353</t>
  </si>
  <si>
    <t>Code 3354</t>
  </si>
  <si>
    <t>Code 3355</t>
  </si>
  <si>
    <t>Code 3356</t>
  </si>
  <si>
    <t>Code 3357</t>
  </si>
  <si>
    <t>Code 3358</t>
  </si>
  <si>
    <t>Code 3359</t>
  </si>
  <si>
    <t>Code 3360</t>
  </si>
  <si>
    <t>Code 3361</t>
  </si>
  <si>
    <t>Code 3362</t>
  </si>
  <si>
    <t>Code 3363</t>
  </si>
  <si>
    <t>Code 3364</t>
  </si>
  <si>
    <t>Code 3365</t>
  </si>
  <si>
    <t>Code 3366</t>
  </si>
  <si>
    <t>Code 3367</t>
  </si>
  <si>
    <t>Code 3368</t>
  </si>
  <si>
    <t>Code 3369</t>
  </si>
  <si>
    <t>Code 3370</t>
  </si>
  <si>
    <t>Code 3371</t>
  </si>
  <si>
    <t>Code 3372</t>
  </si>
  <si>
    <t>Code 3373</t>
  </si>
  <si>
    <t>Code 3374</t>
  </si>
  <si>
    <t>Code 3375</t>
  </si>
  <si>
    <t>Code 3376</t>
  </si>
  <si>
    <t>Code 3377</t>
  </si>
  <si>
    <t>Code 3378</t>
  </si>
  <si>
    <t>Code 3379</t>
  </si>
  <si>
    <t>Code 3380</t>
  </si>
  <si>
    <t>Code 3381</t>
  </si>
  <si>
    <t>Code 3382</t>
  </si>
  <si>
    <t>Code 3383</t>
  </si>
  <si>
    <t>Code 3384</t>
  </si>
  <si>
    <t>Code 3385</t>
  </si>
  <si>
    <t>Code 3386</t>
  </si>
  <si>
    <t>Code 3387</t>
  </si>
  <si>
    <t>Code 3388</t>
  </si>
  <si>
    <t>Code 3389</t>
  </si>
  <si>
    <t>Code 3390</t>
  </si>
  <si>
    <t>Code 3391</t>
  </si>
  <si>
    <t>Code 3392</t>
  </si>
  <si>
    <t>Code 3393</t>
  </si>
  <si>
    <t>Code 3394</t>
  </si>
  <si>
    <t>Code 3395</t>
  </si>
  <si>
    <t>Code 3396</t>
  </si>
  <si>
    <t>Code 3397</t>
  </si>
  <si>
    <t>Code 3398</t>
  </si>
  <si>
    <t>Code 3399</t>
  </si>
  <si>
    <t>Code 3400</t>
  </si>
  <si>
    <t>Code 3401</t>
  </si>
  <si>
    <t>Code 3402</t>
  </si>
  <si>
    <t>Code 3403</t>
  </si>
  <si>
    <t>Code 3404</t>
  </si>
  <si>
    <t>Code 3405</t>
  </si>
  <si>
    <t>Code 3406</t>
  </si>
  <si>
    <t>Code 3407</t>
  </si>
  <si>
    <t>Code 3408</t>
  </si>
  <si>
    <t>Code 3409</t>
  </si>
  <si>
    <t>Code 3410</t>
  </si>
  <si>
    <t>Code 3411</t>
  </si>
  <si>
    <t>Code 3412</t>
  </si>
  <si>
    <t>Code 3413</t>
  </si>
  <si>
    <t>Code 3414</t>
  </si>
  <si>
    <t>Code 3415</t>
  </si>
  <si>
    <t>Code 3416</t>
  </si>
  <si>
    <t>Code 3417</t>
  </si>
  <si>
    <t>Code 3418</t>
  </si>
  <si>
    <t>Code 3419</t>
  </si>
  <si>
    <t>Code 3420</t>
  </si>
  <si>
    <t>Code 3421</t>
  </si>
  <si>
    <t>Code 3422</t>
  </si>
  <si>
    <t>Code 3423</t>
  </si>
  <si>
    <t>Code 3424</t>
  </si>
  <si>
    <t>Code 3425</t>
  </si>
  <si>
    <t>Code 3426</t>
  </si>
  <si>
    <t>Code 3427</t>
  </si>
  <si>
    <t>Code 3428</t>
  </si>
  <si>
    <t>Code 3429</t>
  </si>
  <si>
    <t>Code 3430</t>
  </si>
  <si>
    <t>Code 3431</t>
  </si>
  <si>
    <t>Code 3432</t>
  </si>
  <si>
    <t>Code 3433</t>
  </si>
  <si>
    <t>Code 3434</t>
  </si>
  <si>
    <t>Code 3435</t>
  </si>
  <si>
    <t>Code 3436</t>
  </si>
  <si>
    <t>Code 3437</t>
  </si>
  <si>
    <t>Code 3438</t>
  </si>
  <si>
    <t>Code 3439</t>
  </si>
  <si>
    <t>Code 3440</t>
  </si>
  <si>
    <t>Code 3441</t>
  </si>
  <si>
    <t>Code 3442</t>
  </si>
  <si>
    <t>Code 3443</t>
  </si>
  <si>
    <t>Code 3444</t>
  </si>
  <si>
    <t>Code 3445</t>
  </si>
  <si>
    <t>Code 3446</t>
  </si>
  <si>
    <t>Code 3447</t>
  </si>
  <si>
    <t>Code 3448</t>
  </si>
  <si>
    <t>Code 3449</t>
  </si>
  <si>
    <t>Code 3450</t>
  </si>
  <si>
    <t>Code 3451</t>
  </si>
  <si>
    <t>Code 3452</t>
  </si>
  <si>
    <t>Code 3453</t>
  </si>
  <si>
    <t>Code 3454</t>
  </si>
  <si>
    <t>Code 3455</t>
  </si>
  <si>
    <t>Code 3456</t>
  </si>
  <si>
    <t>Code 3457</t>
  </si>
  <si>
    <t>Code 3458</t>
  </si>
  <si>
    <t>Code 3459</t>
  </si>
  <si>
    <t>Code 3460</t>
  </si>
  <si>
    <t>Code 3461</t>
  </si>
  <si>
    <t>Code 3462</t>
  </si>
  <si>
    <t>Code 3463</t>
  </si>
  <si>
    <t>Code 3464</t>
  </si>
  <si>
    <t>Code 3465</t>
  </si>
  <si>
    <t>Code 3466</t>
  </si>
  <si>
    <t>Code 3467</t>
  </si>
  <si>
    <t>Code 3468</t>
  </si>
  <si>
    <t>Code 3469</t>
  </si>
  <si>
    <t>Code 3470</t>
  </si>
  <si>
    <t>Code 3471</t>
  </si>
  <si>
    <t>Code 3472</t>
  </si>
  <si>
    <t>Code 3473</t>
  </si>
  <si>
    <t>Code 3474</t>
  </si>
  <si>
    <t>Code 3475</t>
  </si>
  <si>
    <t>Code 3476</t>
  </si>
  <si>
    <t>Code 3477</t>
  </si>
  <si>
    <t>Code 3478</t>
  </si>
  <si>
    <t>Code 3479</t>
  </si>
  <si>
    <t>Code 3480</t>
  </si>
  <si>
    <t>Code 3481</t>
  </si>
  <si>
    <t>Code 3482</t>
  </si>
  <si>
    <t>Code 3483</t>
  </si>
  <si>
    <t>Code 3484</t>
  </si>
  <si>
    <t>Code 3485</t>
  </si>
  <si>
    <t>Code 3486</t>
  </si>
  <si>
    <t>Code 3487</t>
  </si>
  <si>
    <t>Code 3488</t>
  </si>
  <si>
    <t>Code 3489</t>
  </si>
  <si>
    <t>Code 3490</t>
  </si>
  <si>
    <t>Code 3491</t>
  </si>
  <si>
    <t>Code 3492</t>
  </si>
  <si>
    <t>Code 3493</t>
  </si>
  <si>
    <t>Code 3494</t>
  </si>
  <si>
    <t>Code 3495</t>
  </si>
  <si>
    <t>Code 3496</t>
  </si>
  <si>
    <t>Code 3497</t>
  </si>
  <si>
    <t>Code 3498</t>
  </si>
  <si>
    <t>Code 3499</t>
  </si>
  <si>
    <t>Code 3500</t>
  </si>
  <si>
    <t>Code 3501</t>
  </si>
  <si>
    <t>Code 3502</t>
  </si>
  <si>
    <t>Code 3503</t>
  </si>
  <si>
    <t>Code 3504</t>
  </si>
  <si>
    <t>Code 3505</t>
  </si>
  <si>
    <t>Code 3506</t>
  </si>
  <si>
    <t>Code 3507</t>
  </si>
  <si>
    <t>Code 3508</t>
  </si>
  <si>
    <t>Code 3509</t>
  </si>
  <si>
    <t>Code 3510</t>
  </si>
  <si>
    <t>Code 3511</t>
  </si>
  <si>
    <t>Code 3512</t>
  </si>
  <si>
    <t>Code 3513</t>
  </si>
  <si>
    <t>Code 3514</t>
  </si>
  <si>
    <t>Code 3515</t>
  </si>
  <si>
    <t>Code 3516</t>
  </si>
  <si>
    <t>Code 3517</t>
  </si>
  <si>
    <t>Code 3518</t>
  </si>
  <si>
    <t>Code 3519</t>
  </si>
  <si>
    <t>Code 3520</t>
  </si>
  <si>
    <t>Code 3521</t>
  </si>
  <si>
    <t>Code 3522</t>
  </si>
  <si>
    <t>Code 3523</t>
  </si>
  <si>
    <t>Code 3524</t>
  </si>
  <si>
    <t>Code 3525</t>
  </si>
  <si>
    <t>Code 3526</t>
  </si>
  <si>
    <t>Code 3527</t>
  </si>
  <si>
    <t>Code 3528</t>
  </si>
  <si>
    <t>Code 3529</t>
  </si>
  <si>
    <t>Code 3530</t>
  </si>
  <si>
    <t>Code 3531</t>
  </si>
  <si>
    <t>Code 3532</t>
  </si>
  <si>
    <t>Code 3533</t>
  </si>
  <si>
    <t>Code 3534</t>
  </si>
  <si>
    <t>Code 3535</t>
  </si>
  <si>
    <t>Code 3536</t>
  </si>
  <si>
    <t>Code 3537</t>
  </si>
  <si>
    <t>Code 3538</t>
  </si>
  <si>
    <t>Code 3539</t>
  </si>
  <si>
    <t>Code 3540</t>
  </si>
  <si>
    <t>Code 3541</t>
  </si>
  <si>
    <t>Code 3542</t>
  </si>
  <si>
    <t>Code 3543</t>
  </si>
  <si>
    <t>Code 3544</t>
  </si>
  <si>
    <t>Code 3545</t>
  </si>
  <si>
    <t>Code 3546</t>
  </si>
  <si>
    <t>Code 3547</t>
  </si>
  <si>
    <t>Code 3548</t>
  </si>
  <si>
    <t>Code 3549</t>
  </si>
  <si>
    <t>Code 3550</t>
  </si>
  <si>
    <t>Code 3551</t>
  </si>
  <si>
    <t>Code 3552</t>
  </si>
  <si>
    <t>Code 3553</t>
  </si>
  <si>
    <t>Code 3554</t>
  </si>
  <si>
    <t>Code 3555</t>
  </si>
  <si>
    <t>Code 3556</t>
  </si>
  <si>
    <t>Code 3557</t>
  </si>
  <si>
    <t>Code 3558</t>
  </si>
  <si>
    <t>Code 3559</t>
  </si>
  <si>
    <t>Code 3560</t>
  </si>
  <si>
    <t>Code 3561</t>
  </si>
  <si>
    <t>Code 3562</t>
  </si>
  <si>
    <t>Code 3563</t>
  </si>
  <si>
    <t>Code 3564</t>
  </si>
  <si>
    <t>Code 3565</t>
  </si>
  <si>
    <t>Code 3566</t>
  </si>
  <si>
    <t>Code 3567</t>
  </si>
  <si>
    <t>Code 3568</t>
  </si>
  <si>
    <t>Code 3569</t>
  </si>
  <si>
    <t>Code 3570</t>
  </si>
  <si>
    <t>Code 3571</t>
  </si>
  <si>
    <t>Code 3572</t>
  </si>
  <si>
    <t>Code 3573</t>
  </si>
  <si>
    <t>Code 3574</t>
  </si>
  <si>
    <t>Code 3575</t>
  </si>
  <si>
    <t>Code 3576</t>
  </si>
  <si>
    <t>Code 3577</t>
  </si>
  <si>
    <t>Code 3578</t>
  </si>
  <si>
    <t>Code 3579</t>
  </si>
  <si>
    <t>Code 3580</t>
  </si>
  <si>
    <t>Code 3581</t>
  </si>
  <si>
    <t>Code 3582</t>
  </si>
  <si>
    <t>Code 3583</t>
  </si>
  <si>
    <t>Code 3584</t>
  </si>
  <si>
    <t>Code 3585</t>
  </si>
  <si>
    <t>Code 3586</t>
  </si>
  <si>
    <t>Code 3587</t>
  </si>
  <si>
    <t>Code 3588</t>
  </si>
  <si>
    <t>Code 3589</t>
  </si>
  <si>
    <t>Code 3590</t>
  </si>
  <si>
    <t>Code 3591</t>
  </si>
  <si>
    <t>Code 3592</t>
  </si>
  <si>
    <t>Code 3593</t>
  </si>
  <si>
    <t>Code 3594</t>
  </si>
  <si>
    <t>Code 3595</t>
  </si>
  <si>
    <t>Code 3596</t>
  </si>
  <si>
    <t>Code 3597</t>
  </si>
  <si>
    <t>Code 3598</t>
  </si>
  <si>
    <t>Code 3599</t>
  </si>
  <si>
    <t>Code 3600</t>
  </si>
  <si>
    <t>Code 3601</t>
  </si>
  <si>
    <t>Code 3602</t>
  </si>
  <si>
    <t>Code 3603</t>
  </si>
  <si>
    <t>Code 3604</t>
  </si>
  <si>
    <t>Code 3605</t>
  </si>
  <si>
    <t>Code 3606</t>
  </si>
  <si>
    <t>Code 3607</t>
  </si>
  <si>
    <t>Code 3608</t>
  </si>
  <si>
    <t>Code 3609</t>
  </si>
  <si>
    <t>Code 3610</t>
  </si>
  <si>
    <t>Code 3611</t>
  </si>
  <si>
    <t>Code 3612</t>
  </si>
  <si>
    <t>Code 3613</t>
  </si>
  <si>
    <t>Code 3614</t>
  </si>
  <si>
    <t>Code 3615</t>
  </si>
  <si>
    <t>Code 3616</t>
  </si>
  <si>
    <t>Code 3617</t>
  </si>
  <si>
    <t>Code 3618</t>
  </si>
  <si>
    <t>Code 3619</t>
  </si>
  <si>
    <t>Code 3620</t>
  </si>
  <si>
    <t>Code 3621</t>
  </si>
  <si>
    <t>Code 3622</t>
  </si>
  <si>
    <t>Code 3623</t>
  </si>
  <si>
    <t>Code 3624</t>
  </si>
  <si>
    <t>Code 3625</t>
  </si>
  <si>
    <t>Code 3626</t>
  </si>
  <si>
    <t>Code 3627</t>
  </si>
  <si>
    <t>Code 3628</t>
  </si>
  <si>
    <t>Code 3629</t>
  </si>
  <si>
    <t>Code 3630</t>
  </si>
  <si>
    <t>Code 3631</t>
  </si>
  <si>
    <t>Code 3632</t>
  </si>
  <si>
    <t>Code 3633</t>
  </si>
  <si>
    <t>Code 3634</t>
  </si>
  <si>
    <t>Code 3635</t>
  </si>
  <si>
    <t>Code 3636</t>
  </si>
  <si>
    <t>Code 3637</t>
  </si>
  <si>
    <t>Code 3638</t>
  </si>
  <si>
    <t>Code 3639</t>
  </si>
  <si>
    <t>Code 3640</t>
  </si>
  <si>
    <t>Code 3641</t>
  </si>
  <si>
    <t>Code 3642</t>
  </si>
  <si>
    <t>Code 3643</t>
  </si>
  <si>
    <t>Code 3644</t>
  </si>
  <si>
    <t>Code 3645</t>
  </si>
  <si>
    <t>Code 3646</t>
  </si>
  <si>
    <t>Code 3647</t>
  </si>
  <si>
    <t>Code 3648</t>
  </si>
  <si>
    <t>Code 3649</t>
  </si>
  <si>
    <t>Code 3650</t>
  </si>
  <si>
    <t>Code 3651</t>
  </si>
  <si>
    <t>Code 3652</t>
  </si>
  <si>
    <t>Code 3653</t>
  </si>
  <si>
    <t>Code 3654</t>
  </si>
  <si>
    <t>Code 3655</t>
  </si>
  <si>
    <t>Code 3656</t>
  </si>
  <si>
    <t>Code 3657</t>
  </si>
  <si>
    <t>Code 3658</t>
  </si>
  <si>
    <t>Code 3659</t>
  </si>
  <si>
    <t>Code 3660</t>
  </si>
  <si>
    <t>Code 3661</t>
  </si>
  <si>
    <t>Code 3662</t>
  </si>
  <si>
    <t>Code 3663</t>
  </si>
  <si>
    <t>Code 3664</t>
  </si>
  <si>
    <t>Code 3665</t>
  </si>
  <si>
    <t>Code 3666</t>
  </si>
  <si>
    <t>Code 3667</t>
  </si>
  <si>
    <t>Code 3668</t>
  </si>
  <si>
    <t>Code 3669</t>
  </si>
  <si>
    <t>Code 3670</t>
  </si>
  <si>
    <t>Code 3671</t>
  </si>
  <si>
    <t>Code 3672</t>
  </si>
  <si>
    <t>Code 3673</t>
  </si>
  <si>
    <t>Code 3674</t>
  </si>
  <si>
    <t>Code 3675</t>
  </si>
  <si>
    <t>Code 3676</t>
  </si>
  <si>
    <t>Code 3677</t>
  </si>
  <si>
    <t>Code 3678</t>
  </si>
  <si>
    <t>Code 3679</t>
  </si>
  <si>
    <t>Code 3680</t>
  </si>
  <si>
    <t>Code 3681</t>
  </si>
  <si>
    <t>Code 3682</t>
  </si>
  <si>
    <t>Code 3683</t>
  </si>
  <si>
    <t>Code 3684</t>
  </si>
  <si>
    <t>Code 3685</t>
  </si>
  <si>
    <t>Code 3686</t>
  </si>
  <si>
    <t>Code 3687</t>
  </si>
  <si>
    <t>Code 3688</t>
  </si>
  <si>
    <t>Code 3689</t>
  </si>
  <si>
    <t>Code 3690</t>
  </si>
  <si>
    <t>Code 3691</t>
  </si>
  <si>
    <t>Code 3692</t>
  </si>
  <si>
    <t>Code 3693</t>
  </si>
  <si>
    <t>Code 3694</t>
  </si>
  <si>
    <t>Code 3695</t>
  </si>
  <si>
    <t>Code 3696</t>
  </si>
  <si>
    <t>Code 3697</t>
  </si>
  <si>
    <t>Code 3698</t>
  </si>
  <si>
    <t>Code 3699</t>
  </si>
  <si>
    <t>Code 3700</t>
  </si>
  <si>
    <t>Code 3701</t>
  </si>
  <si>
    <t>Code 3702</t>
  </si>
  <si>
    <t>Code 3703</t>
  </si>
  <si>
    <t>Code 3704</t>
  </si>
  <si>
    <t>Code 3705</t>
  </si>
  <si>
    <t>Code 3706</t>
  </si>
  <si>
    <t>Code 3707</t>
  </si>
  <si>
    <t>Code 3708</t>
  </si>
  <si>
    <t>Code 3709</t>
  </si>
  <si>
    <t>Code 3710</t>
  </si>
  <si>
    <t>Code 3711</t>
  </si>
  <si>
    <t>Code 3712</t>
  </si>
  <si>
    <t>Code 3713</t>
  </si>
  <si>
    <t>Code 3714</t>
  </si>
  <si>
    <t>Code 3715</t>
  </si>
  <si>
    <t>Code 3716</t>
  </si>
  <si>
    <t>Code 3717</t>
  </si>
  <si>
    <t>Code 3718</t>
  </si>
  <si>
    <t>Code 3719</t>
  </si>
  <si>
    <t>Code 3720</t>
  </si>
  <si>
    <t>Code 3721</t>
  </si>
  <si>
    <t>Code 3722</t>
  </si>
  <si>
    <t>Code 3723</t>
  </si>
  <si>
    <t>Code 3724</t>
  </si>
  <si>
    <t>Code 3725</t>
  </si>
  <si>
    <t>Code 3726</t>
  </si>
  <si>
    <t>Code 3727</t>
  </si>
  <si>
    <t>Code 3728</t>
  </si>
  <si>
    <t>Code 3729</t>
  </si>
  <si>
    <t>Code 3730</t>
  </si>
  <si>
    <t>Code 3731</t>
  </si>
  <si>
    <t>Code 3732</t>
  </si>
  <si>
    <t>Code 3733</t>
  </si>
  <si>
    <t>Code 3734</t>
  </si>
  <si>
    <t>Code 3735</t>
  </si>
  <si>
    <t>Code 3736</t>
  </si>
  <si>
    <t>Code 3737</t>
  </si>
  <si>
    <t>Code 3738</t>
  </si>
  <si>
    <t>Code 3739</t>
  </si>
  <si>
    <t>Code 3740</t>
  </si>
  <si>
    <t>Code 3741</t>
  </si>
  <si>
    <t>Code 3742</t>
  </si>
  <si>
    <t>Code 3743</t>
  </si>
  <si>
    <t>Code 3744</t>
  </si>
  <si>
    <t>Code 3745</t>
  </si>
  <si>
    <t>Code 3746</t>
  </si>
  <si>
    <t>Code 3747</t>
  </si>
  <si>
    <t>Code 3748</t>
  </si>
  <si>
    <t>Code 3749</t>
  </si>
  <si>
    <t>Code 3750</t>
  </si>
  <si>
    <t>Code 3751</t>
  </si>
  <si>
    <t>Code 3752</t>
  </si>
  <si>
    <t>Code 3753</t>
  </si>
  <si>
    <t>Code 3754</t>
  </si>
  <si>
    <t>Code 3755</t>
  </si>
  <si>
    <t>Code 3756</t>
  </si>
  <si>
    <t>Code 3757</t>
  </si>
  <si>
    <t>Code 3758</t>
  </si>
  <si>
    <t>Code 3759</t>
  </si>
  <si>
    <t>Code 3760</t>
  </si>
  <si>
    <t>Code 3761</t>
  </si>
  <si>
    <t>Code 3762</t>
  </si>
  <si>
    <t>Code 3763</t>
  </si>
  <si>
    <t>Code 3764</t>
  </si>
  <si>
    <t>Code 3765</t>
  </si>
  <si>
    <t>Code 3766</t>
  </si>
  <si>
    <t>Code 3767</t>
  </si>
  <si>
    <t>Code 3768</t>
  </si>
  <si>
    <t>Code 3769</t>
  </si>
  <si>
    <t>Code 3770</t>
  </si>
  <si>
    <t>Code 3771</t>
  </si>
  <si>
    <t>Code 3772</t>
  </si>
  <si>
    <t>Code 3773</t>
  </si>
  <si>
    <t>Code 3774</t>
  </si>
  <si>
    <t>Code 3775</t>
  </si>
  <si>
    <t>Code 3776</t>
  </si>
  <si>
    <t>Code 3777</t>
  </si>
  <si>
    <t>Code 3778</t>
  </si>
  <si>
    <t>Code 3779</t>
  </si>
  <si>
    <t>Code 3780</t>
  </si>
  <si>
    <t>Code 3781</t>
  </si>
  <si>
    <t>Code 3782</t>
  </si>
  <si>
    <t>Code 3783</t>
  </si>
  <si>
    <t>Code 3784</t>
  </si>
  <si>
    <t>Code 3785</t>
  </si>
  <si>
    <t>Code 3786</t>
  </si>
  <si>
    <t>Code 3787</t>
  </si>
  <si>
    <t>Code 3788</t>
  </si>
  <si>
    <t>Code 3789</t>
  </si>
  <si>
    <t>Code 3790</t>
  </si>
  <si>
    <t>Code 3791</t>
  </si>
  <si>
    <t>Code 3792</t>
  </si>
  <si>
    <t>Code 3793</t>
  </si>
  <si>
    <t>Code 3794</t>
  </si>
  <si>
    <t>Code 3795</t>
  </si>
  <si>
    <t>Code 3796</t>
  </si>
  <si>
    <t>Code 3797</t>
  </si>
  <si>
    <t>Code 3798</t>
  </si>
  <si>
    <t>Code 3799</t>
  </si>
  <si>
    <t>Code 3800</t>
  </si>
  <si>
    <t>Code 3801</t>
  </si>
  <si>
    <t>Code 3802</t>
  </si>
  <si>
    <t>Code 3803</t>
  </si>
  <si>
    <t>Code 3804</t>
  </si>
  <si>
    <t>Code 3805</t>
  </si>
  <si>
    <t>Code 3806</t>
  </si>
  <si>
    <t>Code 3807</t>
  </si>
  <si>
    <t>Code 3808</t>
  </si>
  <si>
    <t>Code 3809</t>
  </si>
  <si>
    <t>Code 3810</t>
  </si>
  <si>
    <t>Code 3811</t>
  </si>
  <si>
    <t>Code 3812</t>
  </si>
  <si>
    <t>Code 3813</t>
  </si>
  <si>
    <t>Code 3814</t>
  </si>
  <si>
    <t>Code 3815</t>
  </si>
  <si>
    <t>Code 3816</t>
  </si>
  <si>
    <t>Code 3817</t>
  </si>
  <si>
    <t>Code 3818</t>
  </si>
  <si>
    <t>Code 3819</t>
  </si>
  <si>
    <t>Code 3820</t>
  </si>
  <si>
    <t>Code 3821</t>
  </si>
  <si>
    <t>Code 3822</t>
  </si>
  <si>
    <t>Code 3823</t>
  </si>
  <si>
    <t>Code 3824</t>
  </si>
  <si>
    <t>Code 3825</t>
  </si>
  <si>
    <t>Code 3826</t>
  </si>
  <si>
    <t>Code 3827</t>
  </si>
  <si>
    <t>Code 3828</t>
  </si>
  <si>
    <t>Code 3829</t>
  </si>
  <si>
    <t>Code 3830</t>
  </si>
  <si>
    <t>Code 3831</t>
  </si>
  <si>
    <t>Code 3832</t>
  </si>
  <si>
    <t>Code 3833</t>
  </si>
  <si>
    <t>Code 3834</t>
  </si>
  <si>
    <t>Code 3835</t>
  </si>
  <si>
    <t>Code 3836</t>
  </si>
  <si>
    <t>Code 3837</t>
  </si>
  <si>
    <t>Code 3838</t>
  </si>
  <si>
    <t>Code 3839</t>
  </si>
  <si>
    <t>Code 3840</t>
  </si>
  <si>
    <t>Code 3841</t>
  </si>
  <si>
    <t>Code 3842</t>
  </si>
  <si>
    <t>Code 3843</t>
  </si>
  <si>
    <t>Code 3844</t>
  </si>
  <si>
    <t>Code 3845</t>
  </si>
  <si>
    <t>Code 3846</t>
  </si>
  <si>
    <t>Code 3847</t>
  </si>
  <si>
    <t>Code 3848</t>
  </si>
  <si>
    <t>Code 3849</t>
  </si>
  <si>
    <t>Code 3850</t>
  </si>
  <si>
    <t>Code 3851</t>
  </si>
  <si>
    <t>Code 3852</t>
  </si>
  <si>
    <t>Code 3853</t>
  </si>
  <si>
    <t>Code 3854</t>
  </si>
  <si>
    <t>Code 3855</t>
  </si>
  <si>
    <t>Code 3856</t>
  </si>
  <si>
    <t>Code 3857</t>
  </si>
  <si>
    <t>Code 3858</t>
  </si>
  <si>
    <t>Code 3859</t>
  </si>
  <si>
    <t>Code 3860</t>
  </si>
  <si>
    <t>Code 3861</t>
  </si>
  <si>
    <t>Code 3862</t>
  </si>
  <si>
    <t>Code 3863</t>
  </si>
  <si>
    <t>Code 3864</t>
  </si>
  <si>
    <t>Code 3865</t>
  </si>
  <si>
    <t>Code 3866</t>
  </si>
  <si>
    <t>Code 3867</t>
  </si>
  <si>
    <t>Code 3868</t>
  </si>
  <si>
    <t>Code 3869</t>
  </si>
  <si>
    <t>Code 3870</t>
  </si>
  <si>
    <t>Code 3871</t>
  </si>
  <si>
    <t>Code 3872</t>
  </si>
  <si>
    <t>Code 3873</t>
  </si>
  <si>
    <t>Code 3874</t>
  </si>
  <si>
    <t>Code 3875</t>
  </si>
  <si>
    <t>supplier@gmail.com</t>
  </si>
  <si>
    <t>Subject:</t>
  </si>
  <si>
    <t>Message:</t>
  </si>
  <si>
    <t>Attachment name:</t>
  </si>
  <si>
    <t>Sender server</t>
  </si>
  <si>
    <t>Sender (optional)</t>
  </si>
  <si>
    <t>Password (optional)</t>
  </si>
  <si>
    <t>CC</t>
  </si>
  <si>
    <t>BCC</t>
  </si>
  <si>
    <t>supplier_logistics@gmail.com</t>
  </si>
  <si>
    <t>This is an automatic message with the forecast calculated for the next 10 weeks.
We hope you can addapt your proccess to meet these requirements.
Feel free to answer the email for any feedback or issue you want to comunicate.
Kind regards,</t>
  </si>
  <si>
    <t>smtp.outlook.com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</si>
</sst>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 [$€-1]_-;\-* #,##0.00\ [$€-1]_-;_-* &quot;-&quot;??\ [$€-1]_-"/>
  </numFmts>
  <fonts count="31" x14ac:knownFonts="1">
    <font>
      <sz val="11"/>
      <color rgb="FF000000"/>
      <name val="Calibri"/>
      <family val="2"/>
    </font>
    <font>
      <sz val="11"/>
      <color rgb="FF000000"/>
      <name val="Calibri"/>
      <family val="2"/>
    </font>
    <font>
      <i/>
      <sz val="11"/>
      <color rgb="FF000000"/>
      <name val="Calibri"/>
      <family val="2"/>
    </font>
    <font>
      <b/>
      <sz val="11"/>
      <color rgb="FF000000"/>
      <name val="Calibri"/>
      <family val="2"/>
    </font>
    <font>
      <u/>
      <sz val="11"/>
      <color theme="10"/>
      <name val="Calibri"/>
      <family val="2"/>
    </font>
    <font>
      <sz val="12"/>
      <color indexed="8"/>
      <name val="Calibri"/>
      <family val="2"/>
    </font>
    <font>
      <sz val="12"/>
      <color indexed="9"/>
      <name val="Calibri"/>
      <family val="2"/>
    </font>
    <font>
      <sz val="12"/>
      <color indexed="17"/>
      <name val="Calibri"/>
      <family val="2"/>
    </font>
    <font>
      <b/>
      <sz val="12"/>
      <color indexed="52"/>
      <name val="Calibri"/>
      <family val="2"/>
    </font>
    <font>
      <b/>
      <sz val="12"/>
      <color indexed="9"/>
      <name val="Calibri"/>
      <family val="2"/>
    </font>
    <font>
      <sz val="12"/>
      <color indexed="52"/>
      <name val="Calibri"/>
      <family val="2"/>
    </font>
    <font>
      <b/>
      <sz val="11"/>
      <color indexed="56"/>
      <name val="Calibri"/>
      <family val="2"/>
    </font>
    <font>
      <sz val="12"/>
      <color indexed="62"/>
      <name val="Calibri"/>
      <family val="2"/>
    </font>
    <font>
      <sz val="10"/>
      <name val="Arial"/>
      <family val="2"/>
    </font>
    <font>
      <u/>
      <sz val="10"/>
      <color theme="10"/>
      <name val="Calibri"/>
      <family val="2"/>
      <scheme val="minor"/>
    </font>
    <font>
      <sz val="12"/>
      <color indexed="20"/>
      <name val="Calibri"/>
      <family val="2"/>
    </font>
    <font>
      <sz val="12"/>
      <color indexed="60"/>
      <name val="Calibri"/>
      <family val="2"/>
    </font>
    <font>
      <sz val="11"/>
      <color indexed="8"/>
      <name val="Calibri"/>
      <family val="2"/>
    </font>
    <font>
      <sz val="12"/>
      <name val="Times New Roman"/>
      <family val="1"/>
    </font>
    <font>
      <sz val="10"/>
      <color rgb="FF000000"/>
      <name val="Calibri"/>
      <family val="2"/>
      <scheme val="minor"/>
    </font>
    <font>
      <b/>
      <sz val="12"/>
      <color indexed="63"/>
      <name val="Calibri"/>
      <family val="2"/>
    </font>
    <font>
      <sz val="12"/>
      <color indexed="10"/>
      <name val="Calibri"/>
      <family val="2"/>
    </font>
    <font>
      <i/>
      <sz val="12"/>
      <color indexed="23"/>
      <name val="Calibri"/>
      <family val="2"/>
    </font>
    <font>
      <b/>
      <sz val="13"/>
      <color indexed="56"/>
      <name val="Calibri"/>
      <family val="2"/>
    </font>
    <font>
      <b/>
      <sz val="18"/>
      <color indexed="56"/>
      <name val="Cambria"/>
      <family val="2"/>
    </font>
    <font>
      <b/>
      <sz val="12"/>
      <color indexed="8"/>
      <name val="Calibri"/>
      <family val="2"/>
    </font>
    <font>
      <sz val="11"/>
      <color theme="0" tint="-0.34998626667073579"/>
      <name val="Calibri"/>
      <family val="2"/>
    </font>
    <font>
      <b/>
      <sz val="11"/>
      <color rgb="FF800080"/>
      <name val="Calibri"/>
      <family val="2"/>
    </font>
    <font>
      <b/>
      <sz val="11"/>
      <color rgb="FF00FF00"/>
      <name val="Calibri"/>
      <family val="2"/>
    </font>
    <font>
      <sz val="11"/>
      <color rgb="FFFFCC00"/>
      <name val="Calibri"/>
      <family val="2"/>
    </font>
    <font>
      <sz val="11"/>
      <color rgb="FFFF0000"/>
      <name val="Calibri"/>
      <family val="2"/>
    </font>
  </fonts>
  <fills count="2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s>
  <borders count="2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top style="thin">
        <color indexed="65"/>
      </top>
      <bottom style="thin">
        <color rgb="FF999999"/>
      </bottom>
      <diagonal/>
    </border>
    <border>
      <left style="thin">
        <color rgb="FF999999"/>
      </left>
      <right style="thin">
        <color rgb="FF999999"/>
      </right>
      <top/>
      <bottom style="thin">
        <color rgb="FF999999"/>
      </bottom>
      <diagonal/>
    </border>
    <border>
      <left style="double">
        <color indexed="64"/>
      </left>
      <right/>
      <top/>
      <bottom/>
      <diagonal/>
    </border>
  </borders>
  <cellStyleXfs count="53">
    <xf numFmtId="0" fontId="0" fillId="0" borderId="0"/>
    <xf numFmtId="0" fontId="4" fillId="0" borderId="0" applyNumberFormat="0" applyFill="0" applyBorder="0" applyAlignment="0" applyProtection="0">
      <alignment vertical="top"/>
      <protection locked="0"/>
    </xf>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8" fillId="16" borderId="5" applyNumberFormat="0" applyAlignment="0" applyProtection="0"/>
    <xf numFmtId="0" fontId="9" fillId="17" borderId="6" applyNumberFormat="0" applyAlignment="0" applyProtection="0"/>
    <xf numFmtId="0" fontId="10" fillId="0" borderId="7" applyNumberFormat="0" applyFill="0" applyAlignment="0" applyProtection="0"/>
    <xf numFmtId="0" fontId="11" fillId="0" borderId="0" applyNumberFormat="0" applyFill="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12" fillId="7" borderId="5" applyNumberFormat="0" applyAlignment="0" applyProtection="0"/>
    <xf numFmtId="164" fontId="13" fillId="0" borderId="0" applyFont="0" applyFill="0" applyBorder="0" applyAlignment="0" applyProtection="0"/>
    <xf numFmtId="0" fontId="14" fillId="0" borderId="0" applyNumberFormat="0" applyFill="0" applyBorder="0" applyAlignment="0" applyProtection="0"/>
    <xf numFmtId="0" fontId="15" fillId="3" borderId="0" applyNumberFormat="0" applyBorder="0" applyAlignment="0" applyProtection="0"/>
    <xf numFmtId="0" fontId="16" fillId="22" borderId="0" applyNumberFormat="0" applyBorder="0" applyAlignment="0" applyProtection="0"/>
    <xf numFmtId="0" fontId="1" fillId="0" borderId="0"/>
    <xf numFmtId="0" fontId="17" fillId="0" borderId="0"/>
    <xf numFmtId="0" fontId="17" fillId="0" borderId="0"/>
    <xf numFmtId="0" fontId="17" fillId="0" borderId="0"/>
    <xf numFmtId="0" fontId="18" fillId="0" borderId="0"/>
    <xf numFmtId="0" fontId="18" fillId="0" borderId="0"/>
    <xf numFmtId="0" fontId="18" fillId="0" borderId="0"/>
    <xf numFmtId="0" fontId="19" fillId="0" borderId="0"/>
    <xf numFmtId="0" fontId="18" fillId="23" borderId="8" applyNumberFormat="0" applyFont="0" applyAlignment="0" applyProtection="0"/>
    <xf numFmtId="0" fontId="20" fillId="16" borderId="9" applyNumberFormat="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3" fillId="0" borderId="10" applyNumberFormat="0" applyFill="0" applyAlignment="0" applyProtection="0"/>
    <xf numFmtId="0" fontId="11" fillId="0" borderId="11" applyNumberFormat="0" applyFill="0" applyAlignment="0" applyProtection="0"/>
    <xf numFmtId="0" fontId="24" fillId="0" borderId="0" applyNumberFormat="0" applyFill="0" applyBorder="0" applyAlignment="0" applyProtection="0"/>
    <xf numFmtId="0" fontId="25" fillId="0" borderId="12" applyNumberFormat="0" applyFill="0" applyAlignment="0" applyProtection="0"/>
  </cellStyleXfs>
  <cellXfs count="35">
    <xf numFmtId="0" fontId="0" fillId="0" borderId="0" xfId="0"/>
    <xf numFmtId="0" fontId="2" fillId="0" borderId="0" xfId="0" applyFont="1"/>
    <xf numFmtId="0" fontId="3" fillId="0" borderId="0" xfId="0" applyFont="1"/>
    <xf numFmtId="0" fontId="1" fillId="0" borderId="0" xfId="0" applyFont="1"/>
    <xf numFmtId="0" fontId="4" fillId="0" borderId="0" xfId="1" applyAlignment="1" applyProtection="1"/>
    <xf numFmtId="1" fontId="0" fillId="0" borderId="0" xfId="0" applyNumberFormat="1"/>
    <xf numFmtId="0" fontId="3" fillId="0" borderId="1" xfId="0" applyFont="1" applyBorder="1"/>
    <xf numFmtId="0" fontId="0" fillId="0" borderId="1" xfId="0" applyBorder="1"/>
    <xf numFmtId="0" fontId="0" fillId="0" borderId="0" xfId="0" applyFill="1"/>
    <xf numFmtId="0" fontId="0" fillId="0" borderId="18" xfId="0" pivotButton="1" applyBorder="1"/>
    <xf numFmtId="0" fontId="0" fillId="0" borderId="19" xfId="0" pivotButton="1"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1" xfId="0" pivotButton="1" applyBorder="1"/>
    <xf numFmtId="0" fontId="0" fillId="0" borderId="23" xfId="0" applyFill="1" applyBorder="1"/>
    <xf numFmtId="0" fontId="4" fillId="0" borderId="1" xfId="1" applyBorder="1" applyAlignment="1" applyProtection="1"/>
    <xf numFmtId="0" fontId="26" fillId="0" borderId="1" xfId="0" applyFont="1" applyBorder="1"/>
    <xf numFmtId="0" fontId="0" fillId="0" borderId="0" xfId="0" applyFill="1" applyBorder="1"/>
    <xf numFmtId="0" fontId="0" fillId="0" borderId="24" xfId="0" applyBorder="1"/>
    <xf numFmtId="0" fontId="0" fillId="0" borderId="18" xfId="0" applyFill="1" applyBorder="1"/>
    <xf numFmtId="0" fontId="0" fillId="0" borderId="20" xfId="0" applyFill="1" applyBorder="1"/>
    <xf numFmtId="0" fontId="0" fillId="0" borderId="22" xfId="0" applyFill="1" applyBorder="1"/>
    <xf numFmtId="0" fontId="0" fillId="0" borderId="15" xfId="0" applyBorder="1" applyAlignment="1">
      <alignment horizontal="left" vertical="top" wrapText="1"/>
    </xf>
    <xf numFmtId="0" fontId="0" fillId="0" borderId="2" xfId="0" applyBorder="1" applyAlignment="1">
      <alignment horizontal="left" vertical="top" wrapText="1"/>
    </xf>
    <xf numFmtId="0" fontId="0" fillId="0" borderId="17" xfId="0" applyBorder="1" applyAlignment="1">
      <alignment horizontal="left" vertical="top" wrapText="1"/>
    </xf>
    <xf numFmtId="0" fontId="0" fillId="0" borderId="3" xfId="0" applyBorder="1" applyAlignment="1">
      <alignment horizontal="left" vertical="top" wrapText="1"/>
    </xf>
    <xf numFmtId="0" fontId="1" fillId="0" borderId="2" xfId="0" applyFont="1" applyBorder="1" applyAlignment="1">
      <alignment horizontal="left" vertical="top" wrapText="1"/>
    </xf>
    <xf numFmtId="0" fontId="1" fillId="0" borderId="16" xfId="0" applyFont="1" applyBorder="1" applyAlignment="1">
      <alignment horizontal="left" vertical="top" wrapText="1"/>
    </xf>
    <xf numFmtId="0" fontId="1" fillId="0" borderId="4" xfId="0" applyFont="1" applyBorder="1" applyAlignment="1">
      <alignment horizontal="left" vertical="top" wrapText="1"/>
    </xf>
    <xf numFmtId="0" fontId="1" fillId="0" borderId="17" xfId="0" applyFont="1" applyBorder="1" applyAlignment="1">
      <alignment horizontal="left" vertical="top" wrapText="1"/>
    </xf>
    <xf numFmtId="0" fontId="1" fillId="0" borderId="3" xfId="0" applyFont="1" applyBorder="1" applyAlignment="1">
      <alignment horizontal="left" vertical="top" wrapText="1"/>
    </xf>
    <xf numFmtId="0" fontId="3" fillId="0" borderId="13" xfId="0" applyFont="1" applyBorder="1" applyAlignment="1">
      <alignment horizontal="left"/>
    </xf>
    <xf numFmtId="0" fontId="3" fillId="0" borderId="14" xfId="0" applyFont="1" applyBorder="1" applyAlignment="1">
      <alignment horizontal="left"/>
    </xf>
  </cellXfs>
  <cellStyles count="53">
    <cellStyle name="20% - Énfasis1 2" xfId="2"/>
    <cellStyle name="20% - Énfasis2 2" xfId="3"/>
    <cellStyle name="20% - Énfasis3 2" xfId="4"/>
    <cellStyle name="20% - Énfasis4 2" xfId="5"/>
    <cellStyle name="20% - Énfasis5 2" xfId="6"/>
    <cellStyle name="20% - Énfasis6 2" xfId="7"/>
    <cellStyle name="40% - Énfasis1 2" xfId="8"/>
    <cellStyle name="40% - Énfasis2 2" xfId="9"/>
    <cellStyle name="40% - Énfasis3 2" xfId="10"/>
    <cellStyle name="40% - Énfasis4 2" xfId="11"/>
    <cellStyle name="40% - Énfasis5 2" xfId="12"/>
    <cellStyle name="40% - Énfasis6 2" xfId="13"/>
    <cellStyle name="60% - Énfasis1 2" xfId="14"/>
    <cellStyle name="60% - Énfasis2 2" xfId="15"/>
    <cellStyle name="60% - Énfasis3 2" xfId="16"/>
    <cellStyle name="60% - Énfasis4 2" xfId="17"/>
    <cellStyle name="60% - Énfasis5 2" xfId="18"/>
    <cellStyle name="60% - Énfasis6 2" xfId="19"/>
    <cellStyle name="Buena 2" xfId="20"/>
    <cellStyle name="Bueno" xfId="21"/>
    <cellStyle name="Cálculo 2" xfId="22"/>
    <cellStyle name="Celda de comprobación 2" xfId="23"/>
    <cellStyle name="Celda vinculada 2" xfId="24"/>
    <cellStyle name="Encabezado 4 2" xfId="25"/>
    <cellStyle name="Énfasis1 2" xfId="26"/>
    <cellStyle name="Énfasis2 2" xfId="27"/>
    <cellStyle name="Énfasis3 2" xfId="28"/>
    <cellStyle name="Énfasis4 2" xfId="29"/>
    <cellStyle name="Énfasis5 2" xfId="30"/>
    <cellStyle name="Énfasis6 2" xfId="31"/>
    <cellStyle name="Entrada 2" xfId="32"/>
    <cellStyle name="Euro" xfId="33"/>
    <cellStyle name="Hipervínculo" xfId="1" builtinId="8"/>
    <cellStyle name="Hipervínculo 2" xfId="34"/>
    <cellStyle name="Incorrecto 2" xfId="35"/>
    <cellStyle name="Neutral 2" xfId="36"/>
    <cellStyle name="Normal" xfId="0" builtinId="0"/>
    <cellStyle name="Normal 2" xfId="37"/>
    <cellStyle name="Normal 2 2" xfId="38"/>
    <cellStyle name="Normal 2 3" xfId="39"/>
    <cellStyle name="Normal 2_CALCULO" xfId="40"/>
    <cellStyle name="Normal 3" xfId="41"/>
    <cellStyle name="Normal 4" xfId="42"/>
    <cellStyle name="Normal 5" xfId="43"/>
    <cellStyle name="Normal 6" xfId="44"/>
    <cellStyle name="Notas 2" xfId="45"/>
    <cellStyle name="Salida 2" xfId="46"/>
    <cellStyle name="Texto de advertencia 2" xfId="47"/>
    <cellStyle name="Texto explicativo 2" xfId="48"/>
    <cellStyle name="Título 2 2" xfId="49"/>
    <cellStyle name="Título 3 2" xfId="50"/>
    <cellStyle name="Título 4" xfId="51"/>
    <cellStyle name="Total 2" xfId="52"/>
  </cellStyles>
  <dxfs count="377">
    <dxf>
      <fill>
        <patternFill patternType="none"/>
      </fill>
    </dxf>
    <dxf>
      <fill>
        <patternFill patternType="none"/>
      </fill>
    </dxf>
    <dxf>
      <fill>
        <patternFill patternType="none"/>
      </fill>
    </dxf>
    <dxf>
      <fill>
        <patternFill patternType="none"/>
      </fill>
    </dxf>
    <dxf>
      <fill>
        <patternFill patternType="none"/>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patternType="none"/>
      </fill>
    </dxf>
    <dxf>
      <fill>
        <patternFill patternType="none"/>
      </fill>
    </dxf>
    <dxf>
      <fill>
        <patternFill patternType="none"/>
      </fill>
    </dxf>
    <dxf>
      <fill>
        <patternFill patternType="none"/>
      </fill>
    </dxf>
    <dxf>
      <fill>
        <patternFill patternType="none"/>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patternType="none"/>
      </fill>
    </dxf>
    <dxf>
      <fill>
        <patternFill patternType="none"/>
      </fill>
    </dxf>
    <dxf>
      <fill>
        <patternFill patternType="none"/>
      </fill>
    </dxf>
    <dxf>
      <fill>
        <patternFill patternType="none"/>
      </fill>
    </dxf>
    <dxf>
      <fill>
        <patternFill patternType="none"/>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patternType="none"/>
      </fill>
    </dxf>
    <dxf>
      <fill>
        <patternFill patternType="none"/>
      </fill>
    </dxf>
    <dxf>
      <fill>
        <patternFill patternType="none"/>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patternType="none"/>
      </fill>
    </dxf>
    <dxf>
      <fill>
        <patternFill patternType="none"/>
      </fill>
    </dxf>
    <dxf>
      <fill>
        <patternFill patternType="none"/>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patternType="none"/>
      </fill>
    </dxf>
    <dxf>
      <fill>
        <patternFill patternType="none"/>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patternType="none"/>
      </fill>
    </dxf>
    <dxf>
      <fill>
        <patternFill patternType="none"/>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patternType="none"/>
      </fill>
    </dxf>
    <dxf>
      <fill>
        <patternFill patternType="none"/>
      </fill>
    </dxf>
    <dxf>
      <fill>
        <patternFill>
          <bgColor rgb="FF92D050"/>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2.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4</xdr:row>
          <xdr:rowOff>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800080"/>
                  </a:solidFill>
                  <a:latin typeface="Calibri"/>
                  <a:cs typeface="Calibri"/>
                </a:rPr>
                <a:t>RETURN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25</xdr:row>
          <xdr:rowOff>0</xdr:rowOff>
        </xdr:from>
        <xdr:to>
          <xdr:col>5</xdr:col>
          <xdr:colOff>0</xdr:colOff>
          <xdr:row>28</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FF00"/>
                  </a:solidFill>
                  <a:latin typeface="Calibri"/>
                  <a:cs typeface="Calibri"/>
                </a:rPr>
                <a:t>SEND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0</xdr:colOff>
          <xdr:row>23</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80008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0</xdr:colOff>
          <xdr:row>25</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FFCC00"/>
                  </a:solidFill>
                  <a:latin typeface="Calibri"/>
                  <a:cs typeface="Calibri"/>
                </a:rPr>
                <a:t>GO TO EMAILS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21</xdr:row>
          <xdr:rowOff>0</xdr:rowOff>
        </xdr:from>
        <xdr:to>
          <xdr:col>5</xdr:col>
          <xdr:colOff>0</xdr:colOff>
          <xdr:row>25</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FF0000"/>
                  </a:solidFill>
                  <a:latin typeface="Calibri"/>
                  <a:cs typeface="Calibri"/>
                </a:rPr>
                <a:t>UPDATE ALL INFO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FFCC00"/>
                  </a:solidFill>
                  <a:latin typeface="Calibri"/>
                  <a:cs typeface="Calibri"/>
                </a:rPr>
                <a:t>RETURN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Borja Leon" refreshedDate="44874.821022569442" missingItemsLimit="0" createdVersion="3" refreshedVersion="6" minRefreshableVersion="3" recordCount="3876">
  <cacheSource type="worksheet">
    <worksheetSource ref="B1:P1048576" sheet="DATA"/>
  </cacheSource>
  <cacheFields count="15">
    <cacheField name="DESCRIPTION" numFmtId="0">
      <sharedItems containsBlank="1" count="3876">
        <s v="Description 1"/>
        <s v="Description 2"/>
        <s v="Description 3"/>
        <s v="Description 4"/>
        <s v="Description 5"/>
        <s v="Description 6"/>
        <s v="Description 7"/>
        <s v="Description 8"/>
        <s v="Description 9"/>
        <s v="Description 10"/>
        <s v="Description 11"/>
        <s v="Description 12"/>
        <s v="Description 13"/>
        <s v="Description 14"/>
        <s v="Description 15"/>
        <s v="Description 16"/>
        <s v="Description 17"/>
        <s v="Description 18"/>
        <s v="Description 19"/>
        <s v="Description 20"/>
        <s v="Description 21"/>
        <s v="Description 22"/>
        <s v="Description 23"/>
        <s v="Description 24"/>
        <s v="Description 25"/>
        <s v="Description 26"/>
        <s v="Description 27"/>
        <s v="Description 28"/>
        <s v="Description 29"/>
        <s v="Description 30"/>
        <s v="Description 31"/>
        <s v="Description 32"/>
        <s v="Description 33"/>
        <s v="Description 34"/>
        <s v="Description 35"/>
        <s v="Description 36"/>
        <s v="Description 37"/>
        <s v="Description 38"/>
        <s v="Description 39"/>
        <s v="Description 40"/>
        <s v="Description 41"/>
        <s v="Description 42"/>
        <s v="Description 43"/>
        <s v="Description 44"/>
        <s v="Description 45"/>
        <s v="Description 46"/>
        <s v="Description 47"/>
        <s v="Description 48"/>
        <s v="Description 49"/>
        <s v="Description 50"/>
        <s v="Description 51"/>
        <s v="Description 52"/>
        <s v="Description 53"/>
        <s v="Description 54"/>
        <s v="Description 55"/>
        <s v="Description 56"/>
        <s v="Description 57"/>
        <s v="Description 58"/>
        <s v="Description 59"/>
        <s v="Description 60"/>
        <s v="Description 61"/>
        <s v="Description 62"/>
        <s v="Description 63"/>
        <s v="Description 64"/>
        <s v="Description 65"/>
        <s v="Description 66"/>
        <s v="Description 67"/>
        <s v="Description 68"/>
        <s v="Description 69"/>
        <s v="Description 70"/>
        <s v="Description 71"/>
        <s v="Description 72"/>
        <s v="Description 73"/>
        <s v="Description 74"/>
        <s v="Description 75"/>
        <s v="Description 76"/>
        <s v="Description 77"/>
        <s v="Description 78"/>
        <s v="Description 79"/>
        <s v="Description 80"/>
        <s v="Description 81"/>
        <s v="Description 82"/>
        <s v="Description 83"/>
        <s v="Description 84"/>
        <s v="Description 85"/>
        <s v="Description 86"/>
        <s v="Description 87"/>
        <s v="Description 88"/>
        <s v="Description 89"/>
        <s v="Description 90"/>
        <s v="Description 91"/>
        <s v="Description 92"/>
        <s v="Description 93"/>
        <s v="Description 94"/>
        <s v="Description 95"/>
        <s v="Description 96"/>
        <s v="Description 97"/>
        <s v="Description 98"/>
        <s v="Description 99"/>
        <s v="Description 100"/>
        <s v="Description 101"/>
        <s v="Description 102"/>
        <s v="Description 103"/>
        <s v="Description 104"/>
        <s v="Description 105"/>
        <s v="Description 106"/>
        <s v="Description 107"/>
        <s v="Description 108"/>
        <s v="Description 109"/>
        <s v="Description 110"/>
        <s v="Description 111"/>
        <s v="Description 112"/>
        <s v="Description 113"/>
        <s v="Description 114"/>
        <s v="Description 115"/>
        <s v="Description 116"/>
        <s v="Description 117"/>
        <s v="Description 118"/>
        <s v="Description 119"/>
        <s v="Description 120"/>
        <s v="Description 121"/>
        <s v="Description 122"/>
        <s v="Description 123"/>
        <s v="Description 124"/>
        <s v="Description 125"/>
        <s v="Description 126"/>
        <s v="Description 127"/>
        <s v="Description 128"/>
        <s v="Description 129"/>
        <s v="Description 130"/>
        <s v="Description 131"/>
        <s v="Description 132"/>
        <s v="Description 133"/>
        <s v="Description 134"/>
        <s v="Description 135"/>
        <s v="Description 136"/>
        <s v="Description 137"/>
        <s v="Description 138"/>
        <s v="Description 139"/>
        <s v="Description 140"/>
        <s v="Description 141"/>
        <s v="Description 142"/>
        <s v="Description 143"/>
        <s v="Description 144"/>
        <s v="Description 145"/>
        <s v="Description 146"/>
        <s v="Description 147"/>
        <s v="Description 148"/>
        <s v="Description 149"/>
        <s v="Description 150"/>
        <s v="Description 151"/>
        <s v="Description 152"/>
        <s v="Description 153"/>
        <s v="Description 154"/>
        <s v="Description 155"/>
        <s v="Description 156"/>
        <s v="Description 157"/>
        <s v="Description 158"/>
        <s v="Description 159"/>
        <s v="Description 160"/>
        <s v="Description 161"/>
        <s v="Description 162"/>
        <s v="Description 163"/>
        <s v="Description 164"/>
        <s v="Description 165"/>
        <s v="Description 166"/>
        <s v="Description 167"/>
        <s v="Description 168"/>
        <s v="Description 169"/>
        <s v="Description 170"/>
        <s v="Description 171"/>
        <s v="Description 172"/>
        <s v="Description 173"/>
        <s v="Description 174"/>
        <s v="Description 175"/>
        <s v="Description 176"/>
        <s v="Description 177"/>
        <s v="Description 178"/>
        <s v="Description 179"/>
        <s v="Description 180"/>
        <s v="Description 181"/>
        <s v="Description 182"/>
        <s v="Description 183"/>
        <s v="Description 184"/>
        <s v="Description 185"/>
        <s v="Description 186"/>
        <s v="Description 187"/>
        <s v="Description 188"/>
        <s v="Description 189"/>
        <s v="Description 190"/>
        <s v="Description 191"/>
        <s v="Description 192"/>
        <s v="Description 193"/>
        <s v="Description 194"/>
        <s v="Description 195"/>
        <s v="Description 196"/>
        <s v="Description 197"/>
        <s v="Description 198"/>
        <s v="Description 199"/>
        <s v="Description 200"/>
        <s v="Description 201"/>
        <s v="Description 202"/>
        <s v="Description 203"/>
        <s v="Description 204"/>
        <s v="Description 205"/>
        <s v="Description 206"/>
        <s v="Description 207"/>
        <s v="Description 208"/>
        <s v="Description 209"/>
        <s v="Description 210"/>
        <s v="Description 211"/>
        <s v="Description 212"/>
        <s v="Description 213"/>
        <s v="Description 214"/>
        <s v="Description 215"/>
        <s v="Description 216"/>
        <s v="Description 217"/>
        <s v="Description 218"/>
        <s v="Description 219"/>
        <s v="Description 220"/>
        <s v="Description 221"/>
        <s v="Description 222"/>
        <s v="Description 223"/>
        <s v="Description 224"/>
        <s v="Description 225"/>
        <s v="Description 226"/>
        <s v="Description 227"/>
        <s v="Description 228"/>
        <s v="Description 229"/>
        <s v="Description 230"/>
        <s v="Description 231"/>
        <s v="Description 232"/>
        <s v="Description 233"/>
        <s v="Description 234"/>
        <s v="Description 235"/>
        <s v="Description 236"/>
        <s v="Description 237"/>
        <s v="Description 238"/>
        <s v="Description 239"/>
        <s v="Description 240"/>
        <s v="Description 241"/>
        <s v="Description 242"/>
        <s v="Description 243"/>
        <s v="Description 244"/>
        <s v="Description 245"/>
        <s v="Description 246"/>
        <s v="Description 247"/>
        <s v="Description 248"/>
        <s v="Description 249"/>
        <s v="Description 250"/>
        <s v="Description 251"/>
        <s v="Description 252"/>
        <s v="Description 253"/>
        <s v="Description 254"/>
        <s v="Description 255"/>
        <s v="Description 256"/>
        <s v="Description 257"/>
        <s v="Description 258"/>
        <s v="Description 259"/>
        <s v="Description 260"/>
        <s v="Description 261"/>
        <s v="Description 262"/>
        <s v="Description 263"/>
        <s v="Description 264"/>
        <s v="Description 265"/>
        <s v="Description 266"/>
        <s v="Description 267"/>
        <s v="Description 268"/>
        <s v="Description 269"/>
        <s v="Description 270"/>
        <s v="Description 271"/>
        <s v="Description 272"/>
        <s v="Description 273"/>
        <s v="Description 274"/>
        <s v="Description 275"/>
        <s v="Description 276"/>
        <s v="Description 277"/>
        <s v="Description 278"/>
        <s v="Description 279"/>
        <s v="Description 280"/>
        <s v="Description 281"/>
        <s v="Description 282"/>
        <s v="Description 283"/>
        <s v="Description 284"/>
        <s v="Description 285"/>
        <s v="Description 286"/>
        <s v="Description 287"/>
        <s v="Description 288"/>
        <s v="Description 289"/>
        <s v="Description 290"/>
        <s v="Description 291"/>
        <s v="Description 292"/>
        <s v="Description 293"/>
        <s v="Description 294"/>
        <s v="Description 295"/>
        <s v="Description 296"/>
        <s v="Description 297"/>
        <s v="Description 298"/>
        <s v="Description 299"/>
        <s v="Description 300"/>
        <s v="Description 301"/>
        <s v="Description 302"/>
        <s v="Description 303"/>
        <s v="Description 304"/>
        <s v="Description 305"/>
        <s v="Description 306"/>
        <s v="Description 307"/>
        <s v="Description 308"/>
        <s v="Description 309"/>
        <s v="Description 310"/>
        <s v="Description 311"/>
        <s v="Description 312"/>
        <s v="Description 313"/>
        <s v="Description 314"/>
        <s v="Description 315"/>
        <s v="Description 316"/>
        <s v="Description 317"/>
        <s v="Description 318"/>
        <s v="Description 319"/>
        <s v="Description 320"/>
        <s v="Description 321"/>
        <s v="Description 322"/>
        <s v="Description 323"/>
        <s v="Description 324"/>
        <s v="Description 325"/>
        <s v="Description 326"/>
        <s v="Description 327"/>
        <s v="Description 328"/>
        <s v="Description 329"/>
        <s v="Description 330"/>
        <s v="Description 331"/>
        <s v="Description 332"/>
        <s v="Description 333"/>
        <s v="Description 334"/>
        <s v="Description 335"/>
        <s v="Description 336"/>
        <s v="Description 337"/>
        <s v="Description 338"/>
        <s v="Description 339"/>
        <s v="Description 340"/>
        <s v="Description 341"/>
        <s v="Description 342"/>
        <s v="Description 343"/>
        <s v="Description 344"/>
        <s v="Description 345"/>
        <s v="Description 346"/>
        <s v="Description 347"/>
        <s v="Description 348"/>
        <s v="Description 349"/>
        <s v="Description 350"/>
        <s v="Description 351"/>
        <s v="Description 352"/>
        <s v="Description 353"/>
        <s v="Description 354"/>
        <s v="Description 355"/>
        <s v="Description 356"/>
        <s v="Description 357"/>
        <s v="Description 358"/>
        <s v="Description 359"/>
        <s v="Description 360"/>
        <s v="Description 361"/>
        <s v="Description 362"/>
        <s v="Description 363"/>
        <s v="Description 364"/>
        <s v="Description 365"/>
        <s v="Description 366"/>
        <s v="Description 367"/>
        <s v="Description 368"/>
        <s v="Description 369"/>
        <s v="Description 370"/>
        <s v="Description 371"/>
        <s v="Description 372"/>
        <s v="Description 373"/>
        <s v="Description 374"/>
        <s v="Description 375"/>
        <s v="Description 376"/>
        <s v="Description 377"/>
        <s v="Description 378"/>
        <s v="Description 379"/>
        <s v="Description 380"/>
        <s v="Description 381"/>
        <s v="Description 382"/>
        <s v="Description 383"/>
        <s v="Description 384"/>
        <s v="Description 385"/>
        <s v="Description 386"/>
        <s v="Description 387"/>
        <s v="Description 388"/>
        <s v="Description 389"/>
        <s v="Description 390"/>
        <s v="Description 391"/>
        <s v="Description 392"/>
        <s v="Description 393"/>
        <s v="Description 394"/>
        <s v="Description 395"/>
        <s v="Description 396"/>
        <s v="Description 397"/>
        <s v="Description 398"/>
        <s v="Description 399"/>
        <s v="Description 400"/>
        <s v="Description 401"/>
        <s v="Description 402"/>
        <s v="Description 403"/>
        <s v="Description 404"/>
        <s v="Description 405"/>
        <s v="Description 406"/>
        <s v="Description 407"/>
        <s v="Description 408"/>
        <s v="Description 409"/>
        <s v="Description 410"/>
        <s v="Description 411"/>
        <s v="Description 412"/>
        <s v="Description 413"/>
        <s v="Description 414"/>
        <s v="Description 415"/>
        <s v="Description 416"/>
        <s v="Description 417"/>
        <s v="Description 418"/>
        <s v="Description 419"/>
        <s v="Description 420"/>
        <s v="Description 421"/>
        <s v="Description 422"/>
        <s v="Description 423"/>
        <s v="Description 424"/>
        <s v="Description 425"/>
        <s v="Description 426"/>
        <s v="Description 427"/>
        <s v="Description 428"/>
        <s v="Description 429"/>
        <s v="Description 430"/>
        <s v="Description 431"/>
        <s v="Description 432"/>
        <s v="Description 433"/>
        <s v="Description 434"/>
        <s v="Description 435"/>
        <s v="Description 436"/>
        <s v="Description 437"/>
        <s v="Description 438"/>
        <s v="Description 439"/>
        <s v="Description 440"/>
        <s v="Description 441"/>
        <s v="Description 442"/>
        <s v="Description 443"/>
        <s v="Description 444"/>
        <s v="Description 445"/>
        <s v="Description 446"/>
        <s v="Description 447"/>
        <s v="Description 448"/>
        <s v="Description 449"/>
        <s v="Description 450"/>
        <s v="Description 451"/>
        <s v="Description 452"/>
        <s v="Description 453"/>
        <s v="Description 454"/>
        <s v="Description 455"/>
        <s v="Description 456"/>
        <s v="Description 457"/>
        <s v="Description 458"/>
        <s v="Description 459"/>
        <s v="Description 460"/>
        <s v="Description 461"/>
        <s v="Description 462"/>
        <s v="Description 463"/>
        <s v="Description 464"/>
        <s v="Description 465"/>
        <s v="Description 466"/>
        <s v="Description 467"/>
        <s v="Description 468"/>
        <s v="Description 469"/>
        <s v="Description 470"/>
        <s v="Description 471"/>
        <s v="Description 472"/>
        <s v="Description 473"/>
        <s v="Description 474"/>
        <s v="Description 475"/>
        <s v="Description 476"/>
        <s v="Description 477"/>
        <s v="Description 478"/>
        <s v="Description 479"/>
        <s v="Description 480"/>
        <s v="Description 481"/>
        <s v="Description 482"/>
        <s v="Description 483"/>
        <s v="Description 484"/>
        <s v="Description 485"/>
        <s v="Description 486"/>
        <s v="Description 487"/>
        <s v="Description 488"/>
        <s v="Description 489"/>
        <s v="Description 490"/>
        <s v="Description 491"/>
        <s v="Description 492"/>
        <s v="Description 493"/>
        <s v="Description 494"/>
        <s v="Description 495"/>
        <s v="Description 496"/>
        <s v="Description 497"/>
        <s v="Description 498"/>
        <s v="Description 499"/>
        <s v="Description 500"/>
        <s v="Description 501"/>
        <s v="Description 502"/>
        <s v="Description 503"/>
        <s v="Description 504"/>
        <s v="Description 505"/>
        <s v="Description 506"/>
        <s v="Description 507"/>
        <s v="Description 508"/>
        <s v="Description 509"/>
        <s v="Description 510"/>
        <s v="Description 511"/>
        <s v="Description 512"/>
        <s v="Description 513"/>
        <s v="Description 514"/>
        <s v="Description 515"/>
        <s v="Description 516"/>
        <s v="Description 517"/>
        <s v="Description 518"/>
        <s v="Description 519"/>
        <s v="Description 520"/>
        <s v="Description 521"/>
        <s v="Description 522"/>
        <s v="Description 523"/>
        <s v="Description 524"/>
        <s v="Description 525"/>
        <s v="Description 526"/>
        <s v="Description 527"/>
        <s v="Description 528"/>
        <s v="Description 529"/>
        <s v="Description 530"/>
        <s v="Description 531"/>
        <s v="Description 532"/>
        <s v="Description 533"/>
        <s v="Description 534"/>
        <s v="Description 535"/>
        <s v="Description 536"/>
        <s v="Description 537"/>
        <s v="Description 538"/>
        <s v="Description 539"/>
        <s v="Description 540"/>
        <s v="Description 541"/>
        <s v="Description 542"/>
        <s v="Description 543"/>
        <s v="Description 544"/>
        <s v="Description 545"/>
        <s v="Description 546"/>
        <s v="Description 547"/>
        <s v="Description 548"/>
        <s v="Description 549"/>
        <s v="Description 550"/>
        <s v="Description 551"/>
        <s v="Description 552"/>
        <s v="Description 553"/>
        <s v="Description 554"/>
        <s v="Description 555"/>
        <s v="Description 556"/>
        <s v="Description 557"/>
        <s v="Description 558"/>
        <s v="Description 559"/>
        <s v="Description 560"/>
        <s v="Description 561"/>
        <s v="Description 562"/>
        <s v="Description 563"/>
        <s v="Description 564"/>
        <s v="Description 565"/>
        <s v="Description 566"/>
        <s v="Description 567"/>
        <s v="Description 568"/>
        <s v="Description 569"/>
        <s v="Description 570"/>
        <s v="Description 571"/>
        <s v="Description 572"/>
        <s v="Description 573"/>
        <s v="Description 574"/>
        <s v="Description 575"/>
        <s v="Description 576"/>
        <s v="Description 577"/>
        <s v="Description 578"/>
        <s v="Description 579"/>
        <s v="Description 580"/>
        <s v="Description 581"/>
        <s v="Description 582"/>
        <s v="Description 583"/>
        <s v="Description 584"/>
        <s v="Description 585"/>
        <s v="Description 586"/>
        <s v="Description 587"/>
        <s v="Description 588"/>
        <s v="Description 589"/>
        <s v="Description 590"/>
        <s v="Description 591"/>
        <s v="Description 592"/>
        <s v="Description 593"/>
        <s v="Description 594"/>
        <s v="Description 595"/>
        <s v="Description 596"/>
        <s v="Description 597"/>
        <s v="Description 598"/>
        <s v="Description 599"/>
        <s v="Description 600"/>
        <s v="Description 601"/>
        <s v="Description 602"/>
        <s v="Description 603"/>
        <s v="Description 604"/>
        <s v="Description 605"/>
        <s v="Description 606"/>
        <s v="Description 607"/>
        <s v="Description 608"/>
        <s v="Description 609"/>
        <s v="Description 610"/>
        <s v="Description 611"/>
        <s v="Description 612"/>
        <s v="Description 613"/>
        <s v="Description 614"/>
        <s v="Description 615"/>
        <s v="Description 616"/>
        <s v="Description 617"/>
        <s v="Description 618"/>
        <s v="Description 619"/>
        <s v="Description 620"/>
        <s v="Description 621"/>
        <s v="Description 622"/>
        <s v="Description 623"/>
        <s v="Description 624"/>
        <s v="Description 625"/>
        <s v="Description 626"/>
        <s v="Description 627"/>
        <s v="Description 628"/>
        <s v="Description 629"/>
        <s v="Description 630"/>
        <s v="Description 631"/>
        <s v="Description 632"/>
        <s v="Description 633"/>
        <s v="Description 634"/>
        <s v="Description 635"/>
        <s v="Description 636"/>
        <s v="Description 637"/>
        <s v="Description 638"/>
        <s v="Description 639"/>
        <s v="Description 640"/>
        <s v="Description 641"/>
        <s v="Description 642"/>
        <s v="Description 643"/>
        <s v="Description 644"/>
        <s v="Description 645"/>
        <s v="Description 646"/>
        <s v="Description 647"/>
        <s v="Description 648"/>
        <s v="Description 649"/>
        <s v="Description 650"/>
        <s v="Description 651"/>
        <s v="Description 652"/>
        <s v="Description 653"/>
        <s v="Description 654"/>
        <s v="Description 655"/>
        <s v="Description 656"/>
        <s v="Description 657"/>
        <s v="Description 658"/>
        <s v="Description 659"/>
        <s v="Description 660"/>
        <s v="Description 661"/>
        <s v="Description 662"/>
        <s v="Description 663"/>
        <s v="Description 664"/>
        <s v="Description 665"/>
        <s v="Description 666"/>
        <s v="Description 667"/>
        <s v="Description 668"/>
        <s v="Description 669"/>
        <s v="Description 670"/>
        <s v="Description 671"/>
        <s v="Description 672"/>
        <s v="Description 673"/>
        <s v="Description 674"/>
        <s v="Description 675"/>
        <s v="Description 676"/>
        <s v="Description 677"/>
        <s v="Description 678"/>
        <s v="Description 679"/>
        <s v="Description 680"/>
        <s v="Description 681"/>
        <s v="Description 682"/>
        <s v="Description 683"/>
        <s v="Description 684"/>
        <s v="Description 685"/>
        <s v="Description 686"/>
        <s v="Description 687"/>
        <s v="Description 688"/>
        <s v="Description 689"/>
        <s v="Description 690"/>
        <s v="Description 691"/>
        <s v="Description 692"/>
        <s v="Description 693"/>
        <s v="Description 694"/>
        <s v="Description 695"/>
        <s v="Description 696"/>
        <s v="Description 697"/>
        <s v="Description 698"/>
        <s v="Description 699"/>
        <s v="Description 700"/>
        <s v="Description 701"/>
        <s v="Description 702"/>
        <s v="Description 703"/>
        <s v="Description 704"/>
        <s v="Description 705"/>
        <s v="Description 706"/>
        <s v="Description 707"/>
        <s v="Description 708"/>
        <s v="Description 709"/>
        <s v="Description 710"/>
        <s v="Description 711"/>
        <s v="Description 712"/>
        <s v="Description 713"/>
        <s v="Description 714"/>
        <s v="Description 715"/>
        <s v="Description 716"/>
        <s v="Description 717"/>
        <s v="Description 718"/>
        <s v="Description 719"/>
        <s v="Description 720"/>
        <s v="Description 721"/>
        <s v="Description 722"/>
        <s v="Description 723"/>
        <s v="Description 724"/>
        <s v="Description 725"/>
        <s v="Description 726"/>
        <s v="Description 727"/>
        <s v="Description 728"/>
        <s v="Description 729"/>
        <s v="Description 730"/>
        <s v="Description 731"/>
        <s v="Description 732"/>
        <s v="Description 733"/>
        <s v="Description 734"/>
        <s v="Description 735"/>
        <s v="Description 736"/>
        <s v="Description 737"/>
        <s v="Description 738"/>
        <s v="Description 739"/>
        <s v="Description 740"/>
        <s v="Description 741"/>
        <s v="Description 742"/>
        <s v="Description 743"/>
        <s v="Description 744"/>
        <s v="Description 745"/>
        <s v="Description 746"/>
        <s v="Description 747"/>
        <s v="Description 748"/>
        <s v="Description 749"/>
        <s v="Description 750"/>
        <s v="Description 751"/>
        <s v="Description 752"/>
        <s v="Description 753"/>
        <s v="Description 754"/>
        <s v="Description 755"/>
        <s v="Description 756"/>
        <s v="Description 757"/>
        <s v="Description 758"/>
        <s v="Description 759"/>
        <s v="Description 760"/>
        <s v="Description 761"/>
        <s v="Description 762"/>
        <s v="Description 763"/>
        <s v="Description 764"/>
        <s v="Description 765"/>
        <s v="Description 766"/>
        <s v="Description 767"/>
        <s v="Description 768"/>
        <s v="Description 769"/>
        <s v="Description 770"/>
        <s v="Description 771"/>
        <s v="Description 772"/>
        <s v="Description 773"/>
        <s v="Description 774"/>
        <s v="Description 775"/>
        <s v="Description 776"/>
        <s v="Description 777"/>
        <s v="Description 778"/>
        <s v="Description 779"/>
        <s v="Description 780"/>
        <s v="Description 781"/>
        <s v="Description 782"/>
        <s v="Description 783"/>
        <s v="Description 784"/>
        <s v="Description 785"/>
        <s v="Description 786"/>
        <s v="Description 787"/>
        <s v="Description 788"/>
        <s v="Description 789"/>
        <s v="Description 790"/>
        <s v="Description 791"/>
        <s v="Description 792"/>
        <s v="Description 793"/>
        <s v="Description 794"/>
        <s v="Description 795"/>
        <s v="Description 796"/>
        <s v="Description 797"/>
        <s v="Description 798"/>
        <s v="Description 799"/>
        <s v="Description 800"/>
        <s v="Description 801"/>
        <s v="Description 802"/>
        <s v="Description 803"/>
        <s v="Description 804"/>
        <s v="Description 805"/>
        <s v="Description 806"/>
        <s v="Description 807"/>
        <s v="Description 808"/>
        <s v="Description 809"/>
        <s v="Description 810"/>
        <s v="Description 811"/>
        <s v="Description 812"/>
        <s v="Description 813"/>
        <s v="Description 814"/>
        <s v="Description 815"/>
        <s v="Description 816"/>
        <s v="Description 817"/>
        <s v="Description 818"/>
        <s v="Description 819"/>
        <s v="Description 820"/>
        <s v="Description 821"/>
        <s v="Description 822"/>
        <s v="Description 823"/>
        <s v="Description 824"/>
        <s v="Description 825"/>
        <s v="Description 826"/>
        <s v="Description 827"/>
        <s v="Description 828"/>
        <s v="Description 829"/>
        <s v="Description 830"/>
        <s v="Description 831"/>
        <s v="Description 832"/>
        <s v="Description 833"/>
        <s v="Description 834"/>
        <s v="Description 835"/>
        <s v="Description 836"/>
        <s v="Description 837"/>
        <s v="Description 838"/>
        <s v="Description 839"/>
        <s v="Description 840"/>
        <s v="Description 841"/>
        <s v="Description 842"/>
        <s v="Description 843"/>
        <s v="Description 844"/>
        <s v="Description 845"/>
        <s v="Description 846"/>
        <s v="Description 847"/>
        <s v="Description 848"/>
        <s v="Description 849"/>
        <s v="Description 850"/>
        <s v="Description 851"/>
        <s v="Description 852"/>
        <s v="Description 853"/>
        <s v="Description 854"/>
        <s v="Description 855"/>
        <s v="Description 856"/>
        <s v="Description 857"/>
        <s v="Description 858"/>
        <s v="Description 859"/>
        <s v="Description 860"/>
        <s v="Description 861"/>
        <s v="Description 862"/>
        <s v="Description 863"/>
        <s v="Description 864"/>
        <s v="Description 865"/>
        <s v="Description 866"/>
        <s v="Description 867"/>
        <s v="Description 868"/>
        <s v="Description 869"/>
        <s v="Description 870"/>
        <s v="Description 871"/>
        <s v="Description 872"/>
        <s v="Description 873"/>
        <s v="Description 874"/>
        <s v="Description 875"/>
        <s v="Description 876"/>
        <s v="Description 877"/>
        <s v="Description 878"/>
        <s v="Description 879"/>
        <s v="Description 880"/>
        <s v="Description 881"/>
        <s v="Description 882"/>
        <s v="Description 883"/>
        <s v="Description 884"/>
        <s v="Description 885"/>
        <s v="Description 886"/>
        <s v="Description 887"/>
        <s v="Description 888"/>
        <s v="Description 889"/>
        <s v="Description 890"/>
        <s v="Description 891"/>
        <s v="Description 892"/>
        <s v="Description 893"/>
        <s v="Description 894"/>
        <s v="Description 895"/>
        <s v="Description 896"/>
        <s v="Description 897"/>
        <s v="Description 898"/>
        <s v="Description 899"/>
        <s v="Description 900"/>
        <s v="Description 901"/>
        <s v="Description 902"/>
        <s v="Description 903"/>
        <s v="Description 904"/>
        <s v="Description 905"/>
        <s v="Description 906"/>
        <s v="Description 907"/>
        <s v="Description 908"/>
        <s v="Description 909"/>
        <s v="Description 910"/>
        <s v="Description 911"/>
        <s v="Description 912"/>
        <s v="Description 913"/>
        <s v="Description 914"/>
        <s v="Description 915"/>
        <s v="Description 916"/>
        <s v="Description 917"/>
        <s v="Description 918"/>
        <s v="Description 919"/>
        <s v="Description 920"/>
        <s v="Description 921"/>
        <s v="Description 922"/>
        <s v="Description 923"/>
        <s v="Description 924"/>
        <s v="Description 925"/>
        <s v="Description 926"/>
        <s v="Description 927"/>
        <s v="Description 928"/>
        <s v="Description 929"/>
        <s v="Description 930"/>
        <s v="Description 931"/>
        <s v="Description 932"/>
        <s v="Description 933"/>
        <s v="Description 934"/>
        <s v="Description 935"/>
        <s v="Description 936"/>
        <s v="Description 937"/>
        <s v="Description 938"/>
        <s v="Description 939"/>
        <s v="Description 940"/>
        <s v="Description 941"/>
        <s v="Description 942"/>
        <s v="Description 943"/>
        <s v="Description 944"/>
        <s v="Description 945"/>
        <s v="Description 946"/>
        <s v="Description 947"/>
        <s v="Description 948"/>
        <s v="Description 949"/>
        <s v="Description 950"/>
        <s v="Description 951"/>
        <s v="Description 952"/>
        <s v="Description 953"/>
        <s v="Description 954"/>
        <s v="Description 955"/>
        <s v="Description 956"/>
        <s v="Description 957"/>
        <s v="Description 958"/>
        <s v="Description 959"/>
        <s v="Description 960"/>
        <s v="Description 961"/>
        <s v="Description 962"/>
        <s v="Description 963"/>
        <s v="Description 964"/>
        <s v="Description 965"/>
        <s v="Description 966"/>
        <s v="Description 967"/>
        <s v="Description 968"/>
        <s v="Description 969"/>
        <s v="Description 970"/>
        <s v="Description 971"/>
        <s v="Description 972"/>
        <s v="Description 973"/>
        <s v="Description 974"/>
        <s v="Description 975"/>
        <s v="Description 976"/>
        <s v="Description 977"/>
        <s v="Description 978"/>
        <s v="Description 979"/>
        <s v="Description 980"/>
        <s v="Description 981"/>
        <s v="Description 982"/>
        <s v="Description 983"/>
        <s v="Description 984"/>
        <s v="Description 985"/>
        <s v="Description 986"/>
        <s v="Description 987"/>
        <s v="Description 988"/>
        <s v="Description 989"/>
        <s v="Description 990"/>
        <s v="Description 991"/>
        <s v="Description 992"/>
        <s v="Description 993"/>
        <s v="Description 994"/>
        <s v="Description 995"/>
        <s v="Description 996"/>
        <s v="Description 997"/>
        <s v="Description 998"/>
        <s v="Description 999"/>
        <s v="Description 1000"/>
        <s v="Description 1001"/>
        <s v="Description 1002"/>
        <s v="Description 1003"/>
        <s v="Description 1004"/>
        <s v="Description 1005"/>
        <s v="Description 1006"/>
        <s v="Description 1007"/>
        <s v="Description 1008"/>
        <s v="Description 1009"/>
        <s v="Description 1010"/>
        <s v="Description 1011"/>
        <s v="Description 1012"/>
        <s v="Description 1013"/>
        <s v="Description 1014"/>
        <s v="Description 1015"/>
        <s v="Description 1016"/>
        <s v="Description 1017"/>
        <s v="Description 1018"/>
        <s v="Description 1019"/>
        <s v="Description 1020"/>
        <s v="Description 1021"/>
        <s v="Description 1022"/>
        <s v="Description 1023"/>
        <s v="Description 1024"/>
        <s v="Description 1025"/>
        <s v="Description 1026"/>
        <s v="Description 1027"/>
        <s v="Description 1028"/>
        <s v="Description 1029"/>
        <s v="Description 1030"/>
        <s v="Description 1031"/>
        <s v="Description 1032"/>
        <s v="Description 1033"/>
        <s v="Description 1034"/>
        <s v="Description 1035"/>
        <s v="Description 1036"/>
        <s v="Description 1037"/>
        <s v="Description 1038"/>
        <s v="Description 1039"/>
        <s v="Description 1040"/>
        <s v="Description 1041"/>
        <s v="Description 1042"/>
        <s v="Description 1043"/>
        <s v="Description 1044"/>
        <s v="Description 1045"/>
        <s v="Description 1046"/>
        <s v="Description 1047"/>
        <s v="Description 1048"/>
        <s v="Description 1049"/>
        <s v="Description 1050"/>
        <s v="Description 1051"/>
        <s v="Description 1052"/>
        <s v="Description 1053"/>
        <s v="Description 1054"/>
        <s v="Description 1055"/>
        <s v="Description 1056"/>
        <s v="Description 1057"/>
        <s v="Description 1058"/>
        <s v="Description 1059"/>
        <s v="Description 1060"/>
        <s v="Description 1061"/>
        <s v="Description 1062"/>
        <s v="Description 1063"/>
        <s v="Description 1064"/>
        <s v="Description 1065"/>
        <s v="Description 1066"/>
        <s v="Description 1067"/>
        <s v="Description 1068"/>
        <s v="Description 1069"/>
        <s v="Description 1070"/>
        <s v="Description 1071"/>
        <s v="Description 1072"/>
        <s v="Description 1073"/>
        <s v="Description 1074"/>
        <s v="Description 1075"/>
        <s v="Description 1076"/>
        <s v="Description 1077"/>
        <s v="Description 1078"/>
        <s v="Description 1079"/>
        <s v="Description 1080"/>
        <s v="Description 1081"/>
        <s v="Description 1082"/>
        <s v="Description 1083"/>
        <s v="Description 1084"/>
        <s v="Description 1085"/>
        <s v="Description 1086"/>
        <s v="Description 1087"/>
        <s v="Description 1088"/>
        <s v="Description 1089"/>
        <s v="Description 1090"/>
        <s v="Description 1091"/>
        <s v="Description 1092"/>
        <s v="Description 1093"/>
        <s v="Description 1094"/>
        <s v="Description 1095"/>
        <s v="Description 1096"/>
        <s v="Description 1097"/>
        <s v="Description 1098"/>
        <s v="Description 1099"/>
        <s v="Description 1100"/>
        <s v="Description 1101"/>
        <s v="Description 1102"/>
        <s v="Description 1103"/>
        <s v="Description 1104"/>
        <s v="Description 1105"/>
        <s v="Description 1106"/>
        <s v="Description 1107"/>
        <s v="Description 1108"/>
        <s v="Description 1109"/>
        <s v="Description 1110"/>
        <s v="Description 1111"/>
        <s v="Description 1112"/>
        <s v="Description 1113"/>
        <s v="Description 1114"/>
        <s v="Description 1115"/>
        <s v="Description 1116"/>
        <s v="Description 1117"/>
        <s v="Description 1118"/>
        <s v="Description 1119"/>
        <s v="Description 1120"/>
        <s v="Description 1121"/>
        <s v="Description 1122"/>
        <s v="Description 1123"/>
        <s v="Description 1124"/>
        <s v="Description 1125"/>
        <s v="Description 1126"/>
        <s v="Description 1127"/>
        <s v="Description 1128"/>
        <s v="Description 1129"/>
        <s v="Description 1130"/>
        <s v="Description 1131"/>
        <s v="Description 1132"/>
        <s v="Description 1133"/>
        <s v="Description 1134"/>
        <s v="Description 1135"/>
        <s v="Description 1136"/>
        <s v="Description 1137"/>
        <s v="Description 1138"/>
        <s v="Description 1139"/>
        <s v="Description 1140"/>
        <s v="Description 1141"/>
        <s v="Description 1142"/>
        <s v="Description 1143"/>
        <s v="Description 1144"/>
        <s v="Description 1145"/>
        <s v="Description 1146"/>
        <s v="Description 1147"/>
        <s v="Description 1148"/>
        <s v="Description 1149"/>
        <s v="Description 1150"/>
        <s v="Description 1151"/>
        <s v="Description 1152"/>
        <s v="Description 1153"/>
        <s v="Description 1154"/>
        <s v="Description 1155"/>
        <s v="Description 1156"/>
        <s v="Description 1157"/>
        <s v="Description 1158"/>
        <s v="Description 1159"/>
        <s v="Description 1160"/>
        <s v="Description 1161"/>
        <s v="Description 1162"/>
        <s v="Description 1163"/>
        <s v="Description 1164"/>
        <s v="Description 1165"/>
        <s v="Description 1166"/>
        <s v="Description 1167"/>
        <s v="Description 1168"/>
        <s v="Description 1169"/>
        <s v="Description 1170"/>
        <s v="Description 1171"/>
        <s v="Description 1172"/>
        <s v="Description 1173"/>
        <s v="Description 1174"/>
        <s v="Description 1175"/>
        <s v="Description 1176"/>
        <s v="Description 1177"/>
        <s v="Description 1178"/>
        <s v="Description 1179"/>
        <s v="Description 1180"/>
        <s v="Description 1181"/>
        <s v="Description 1182"/>
        <s v="Description 1183"/>
        <s v="Description 1184"/>
        <s v="Description 1185"/>
        <s v="Description 1186"/>
        <s v="Description 1187"/>
        <s v="Description 1188"/>
        <s v="Description 1189"/>
        <s v="Description 1190"/>
        <s v="Description 1191"/>
        <s v="Description 1192"/>
        <s v="Description 1193"/>
        <s v="Description 1194"/>
        <s v="Description 1195"/>
        <s v="Description 1196"/>
        <s v="Description 1197"/>
        <s v="Description 1198"/>
        <s v="Description 1199"/>
        <s v="Description 1200"/>
        <s v="Description 1201"/>
        <s v="Description 1202"/>
        <s v="Description 1203"/>
        <s v="Description 1204"/>
        <s v="Description 1205"/>
        <s v="Description 1206"/>
        <s v="Description 1207"/>
        <s v="Description 1208"/>
        <s v="Description 1209"/>
        <s v="Description 1210"/>
        <s v="Description 1211"/>
        <s v="Description 1212"/>
        <s v="Description 1213"/>
        <s v="Description 1214"/>
        <s v="Description 1215"/>
        <s v="Description 1216"/>
        <s v="Description 1217"/>
        <s v="Description 1218"/>
        <s v="Description 1219"/>
        <s v="Description 1220"/>
        <s v="Description 1221"/>
        <s v="Description 1222"/>
        <s v="Description 1223"/>
        <s v="Description 1224"/>
        <s v="Description 1225"/>
        <s v="Description 1226"/>
        <s v="Description 1227"/>
        <s v="Description 1228"/>
        <s v="Description 1229"/>
        <s v="Description 1230"/>
        <s v="Description 1231"/>
        <s v="Description 1232"/>
        <s v="Description 1233"/>
        <s v="Description 1234"/>
        <s v="Description 1235"/>
        <s v="Description 1236"/>
        <s v="Description 1237"/>
        <s v="Description 1238"/>
        <s v="Description 1239"/>
        <s v="Description 1240"/>
        <s v="Description 1241"/>
        <s v="Description 1242"/>
        <s v="Description 1243"/>
        <s v="Description 1244"/>
        <s v="Description 1245"/>
        <s v="Description 1246"/>
        <s v="Description 1247"/>
        <s v="Description 1248"/>
        <s v="Description 1249"/>
        <s v="Description 1250"/>
        <s v="Description 1251"/>
        <s v="Description 1252"/>
        <s v="Description 1253"/>
        <s v="Description 1254"/>
        <s v="Description 1255"/>
        <s v="Description 1256"/>
        <s v="Description 1257"/>
        <s v="Description 1258"/>
        <s v="Description 1259"/>
        <s v="Description 1260"/>
        <s v="Description 1261"/>
        <s v="Description 1262"/>
        <s v="Description 1263"/>
        <s v="Description 1264"/>
        <s v="Description 1265"/>
        <s v="Description 1266"/>
        <s v="Description 1267"/>
        <s v="Description 1268"/>
        <s v="Description 1269"/>
        <s v="Description 1270"/>
        <s v="Description 1271"/>
        <s v="Description 1272"/>
        <s v="Description 1273"/>
        <s v="Description 1274"/>
        <s v="Description 1275"/>
        <s v="Description 1276"/>
        <s v="Description 1277"/>
        <s v="Description 1278"/>
        <s v="Description 1279"/>
        <s v="Description 1280"/>
        <s v="Description 1281"/>
        <s v="Description 1282"/>
        <s v="Description 1283"/>
        <s v="Description 1284"/>
        <s v="Description 1285"/>
        <s v="Description 1286"/>
        <s v="Description 1287"/>
        <s v="Description 1288"/>
        <s v="Description 1289"/>
        <s v="Description 1290"/>
        <s v="Description 1291"/>
        <s v="Description 1292"/>
        <s v="Description 1293"/>
        <s v="Description 1294"/>
        <s v="Description 1295"/>
        <s v="Description 1296"/>
        <s v="Description 1297"/>
        <s v="Description 1298"/>
        <s v="Description 1299"/>
        <s v="Description 1300"/>
        <s v="Description 1301"/>
        <s v="Description 1302"/>
        <s v="Description 1303"/>
        <s v="Description 1304"/>
        <s v="Description 1305"/>
        <s v="Description 1306"/>
        <s v="Description 1307"/>
        <s v="Description 1308"/>
        <s v="Description 1309"/>
        <s v="Description 1310"/>
        <s v="Description 1311"/>
        <s v="Description 1312"/>
        <s v="Description 1313"/>
        <s v="Description 1314"/>
        <s v="Description 1315"/>
        <s v="Description 1316"/>
        <s v="Description 1317"/>
        <s v="Description 1318"/>
        <s v="Description 1319"/>
        <s v="Description 1320"/>
        <s v="Description 1321"/>
        <s v="Description 1322"/>
        <s v="Description 1323"/>
        <s v="Description 1324"/>
        <s v="Description 1325"/>
        <s v="Description 1326"/>
        <s v="Description 1327"/>
        <s v="Description 1328"/>
        <s v="Description 1329"/>
        <s v="Description 1330"/>
        <s v="Description 1331"/>
        <s v="Description 1332"/>
        <s v="Description 1333"/>
        <s v="Description 1334"/>
        <s v="Description 1335"/>
        <s v="Description 1336"/>
        <s v="Description 1337"/>
        <s v="Description 1338"/>
        <s v="Description 1339"/>
        <s v="Description 1340"/>
        <s v="Description 1341"/>
        <s v="Description 1342"/>
        <s v="Description 1343"/>
        <s v="Description 1344"/>
        <s v="Description 1345"/>
        <s v="Description 1346"/>
        <s v="Description 1347"/>
        <s v="Description 1348"/>
        <s v="Description 1349"/>
        <s v="Description 1350"/>
        <s v="Description 1351"/>
        <s v="Description 1352"/>
        <s v="Description 1353"/>
        <s v="Description 1354"/>
        <s v="Description 1355"/>
        <s v="Description 1356"/>
        <s v="Description 1357"/>
        <s v="Description 1358"/>
        <s v="Description 1359"/>
        <s v="Description 1360"/>
        <s v="Description 1361"/>
        <s v="Description 1362"/>
        <s v="Description 1363"/>
        <s v="Description 1364"/>
        <s v="Description 1365"/>
        <s v="Description 1366"/>
        <s v="Description 1367"/>
        <s v="Description 1368"/>
        <s v="Description 1369"/>
        <s v="Description 1370"/>
        <s v="Description 1371"/>
        <s v="Description 1372"/>
        <s v="Description 1373"/>
        <s v="Description 1374"/>
        <s v="Description 1375"/>
        <s v="Description 1376"/>
        <s v="Description 1377"/>
        <s v="Description 1378"/>
        <s v="Description 1379"/>
        <s v="Description 1380"/>
        <s v="Description 1381"/>
        <s v="Description 1382"/>
        <s v="Description 1383"/>
        <s v="Description 1384"/>
        <s v="Description 1385"/>
        <s v="Description 1386"/>
        <s v="Description 1387"/>
        <s v="Description 1388"/>
        <s v="Description 1389"/>
        <s v="Description 1390"/>
        <s v="Description 1391"/>
        <s v="Description 1392"/>
        <s v="Description 1393"/>
        <s v="Description 1394"/>
        <s v="Description 1395"/>
        <s v="Description 1396"/>
        <s v="Description 1397"/>
        <s v="Description 1398"/>
        <s v="Description 1399"/>
        <s v="Description 1400"/>
        <s v="Description 1401"/>
        <s v="Description 1402"/>
        <s v="Description 1403"/>
        <s v="Description 1404"/>
        <s v="Description 1405"/>
        <s v="Description 1406"/>
        <s v="Description 1407"/>
        <s v="Description 1408"/>
        <s v="Description 1409"/>
        <s v="Description 1410"/>
        <s v="Description 1411"/>
        <s v="Description 1412"/>
        <s v="Description 1413"/>
        <s v="Description 1414"/>
        <s v="Description 1415"/>
        <s v="Description 1416"/>
        <s v="Description 1417"/>
        <s v="Description 1418"/>
        <s v="Description 1419"/>
        <s v="Description 1420"/>
        <s v="Description 1421"/>
        <s v="Description 1422"/>
        <s v="Description 1423"/>
        <s v="Description 1424"/>
        <s v="Description 1425"/>
        <s v="Description 1426"/>
        <s v="Description 1427"/>
        <s v="Description 1428"/>
        <s v="Description 1429"/>
        <s v="Description 1430"/>
        <s v="Description 1431"/>
        <s v="Description 1432"/>
        <s v="Description 1433"/>
        <s v="Description 1434"/>
        <s v="Description 1435"/>
        <s v="Description 1436"/>
        <s v="Description 1437"/>
        <s v="Description 1438"/>
        <s v="Description 1439"/>
        <s v="Description 1440"/>
        <s v="Description 1441"/>
        <s v="Description 1442"/>
        <s v="Description 1443"/>
        <s v="Description 1444"/>
        <s v="Description 1445"/>
        <s v="Description 1446"/>
        <s v="Description 1447"/>
        <s v="Description 1448"/>
        <s v="Description 1449"/>
        <s v="Description 1450"/>
        <s v="Description 1451"/>
        <s v="Description 1452"/>
        <s v="Description 1453"/>
        <s v="Description 1454"/>
        <s v="Description 1455"/>
        <s v="Description 1456"/>
        <s v="Description 1457"/>
        <s v="Description 1458"/>
        <s v="Description 1459"/>
        <s v="Description 1460"/>
        <s v="Description 1461"/>
        <s v="Description 1462"/>
        <s v="Description 1463"/>
        <s v="Description 1464"/>
        <s v="Description 1465"/>
        <s v="Description 1466"/>
        <s v="Description 1467"/>
        <s v="Description 1468"/>
        <s v="Description 1469"/>
        <s v="Description 1470"/>
        <s v="Description 1471"/>
        <s v="Description 1472"/>
        <s v="Description 1473"/>
        <s v="Description 1474"/>
        <s v="Description 1475"/>
        <s v="Description 1476"/>
        <s v="Description 1477"/>
        <s v="Description 1478"/>
        <s v="Description 1479"/>
        <s v="Description 1480"/>
        <s v="Description 1481"/>
        <s v="Description 1482"/>
        <s v="Description 1483"/>
        <s v="Description 1484"/>
        <s v="Description 1485"/>
        <s v="Description 1486"/>
        <s v="Description 1487"/>
        <s v="Description 1488"/>
        <s v="Description 1489"/>
        <s v="Description 1490"/>
        <s v="Description 1491"/>
        <s v="Description 1492"/>
        <s v="Description 1493"/>
        <s v="Description 1494"/>
        <s v="Description 1495"/>
        <s v="Description 1496"/>
        <s v="Description 1497"/>
        <s v="Description 1498"/>
        <s v="Description 1499"/>
        <s v="Description 1500"/>
        <s v="Description 1501"/>
        <s v="Description 1502"/>
        <s v="Description 1503"/>
        <s v="Description 1504"/>
        <s v="Description 1505"/>
        <s v="Description 1506"/>
        <s v="Description 1507"/>
        <s v="Description 1508"/>
        <s v="Description 1509"/>
        <s v="Description 1510"/>
        <s v="Description 1511"/>
        <s v="Description 1512"/>
        <s v="Description 1513"/>
        <s v="Description 1514"/>
        <s v="Description 1515"/>
        <s v="Description 1516"/>
        <s v="Description 1517"/>
        <s v="Description 1518"/>
        <s v="Description 1519"/>
        <s v="Description 1520"/>
        <s v="Description 1521"/>
        <s v="Description 1522"/>
        <s v="Description 1523"/>
        <s v="Description 1524"/>
        <s v="Description 1525"/>
        <s v="Description 1526"/>
        <s v="Description 1527"/>
        <s v="Description 1528"/>
        <s v="Description 1529"/>
        <s v="Description 1530"/>
        <s v="Description 1531"/>
        <s v="Description 1532"/>
        <s v="Description 1533"/>
        <s v="Description 1534"/>
        <s v="Description 1535"/>
        <s v="Description 1536"/>
        <s v="Description 1537"/>
        <s v="Description 1538"/>
        <s v="Description 1539"/>
        <s v="Description 1540"/>
        <s v="Description 1541"/>
        <s v="Description 1542"/>
        <s v="Description 1543"/>
        <s v="Description 1544"/>
        <s v="Description 1545"/>
        <s v="Description 1546"/>
        <s v="Description 1547"/>
        <s v="Description 1548"/>
        <s v="Description 1549"/>
        <s v="Description 1550"/>
        <s v="Description 1551"/>
        <s v="Description 1552"/>
        <s v="Description 1553"/>
        <s v="Description 1554"/>
        <s v="Description 1555"/>
        <s v="Description 1556"/>
        <s v="Description 1557"/>
        <s v="Description 1558"/>
        <s v="Description 1559"/>
        <s v="Description 1560"/>
        <s v="Description 1561"/>
        <s v="Description 1562"/>
        <s v="Description 1563"/>
        <s v="Description 1564"/>
        <s v="Description 1565"/>
        <s v="Description 1566"/>
        <s v="Description 1567"/>
        <s v="Description 1568"/>
        <s v="Description 1569"/>
        <s v="Description 1570"/>
        <s v="Description 1571"/>
        <s v="Description 1572"/>
        <s v="Description 1573"/>
        <s v="Description 1574"/>
        <s v="Description 1575"/>
        <s v="Description 1576"/>
        <s v="Description 1577"/>
        <s v="Description 1578"/>
        <s v="Description 1579"/>
        <s v="Description 1580"/>
        <s v="Description 1581"/>
        <s v="Description 1582"/>
        <s v="Description 1583"/>
        <s v="Description 1584"/>
        <s v="Description 1585"/>
        <s v="Description 1586"/>
        <s v="Description 1587"/>
        <s v="Description 1588"/>
        <s v="Description 1589"/>
        <s v="Description 1590"/>
        <s v="Description 1591"/>
        <s v="Description 1592"/>
        <s v="Description 1593"/>
        <s v="Description 1594"/>
        <s v="Description 1595"/>
        <s v="Description 1596"/>
        <s v="Description 1597"/>
        <s v="Description 1598"/>
        <s v="Description 1599"/>
        <s v="Description 1600"/>
        <s v="Description 1601"/>
        <s v="Description 1602"/>
        <s v="Description 1603"/>
        <s v="Description 1604"/>
        <s v="Description 1605"/>
        <s v="Description 1606"/>
        <s v="Description 1607"/>
        <s v="Description 1608"/>
        <s v="Description 1609"/>
        <s v="Description 1610"/>
        <s v="Description 1611"/>
        <s v="Description 1612"/>
        <s v="Description 1613"/>
        <s v="Description 1614"/>
        <s v="Description 1615"/>
        <s v="Description 1616"/>
        <s v="Description 1617"/>
        <s v="Description 1618"/>
        <s v="Description 1619"/>
        <s v="Description 1620"/>
        <s v="Description 1621"/>
        <s v="Description 1622"/>
        <s v="Description 1623"/>
        <s v="Description 1624"/>
        <s v="Description 1625"/>
        <s v="Description 1626"/>
        <s v="Description 1627"/>
        <s v="Description 1628"/>
        <s v="Description 1629"/>
        <s v="Description 1630"/>
        <s v="Description 1631"/>
        <s v="Description 1632"/>
        <s v="Description 1633"/>
        <s v="Description 1634"/>
        <s v="Description 1635"/>
        <s v="Description 1636"/>
        <s v="Description 1637"/>
        <s v="Description 1638"/>
        <s v="Description 1639"/>
        <s v="Description 1640"/>
        <s v="Description 1641"/>
        <s v="Description 1642"/>
        <s v="Description 1643"/>
        <s v="Description 1644"/>
        <s v="Description 1645"/>
        <s v="Description 1646"/>
        <s v="Description 1647"/>
        <s v="Description 1648"/>
        <s v="Description 1649"/>
        <s v="Description 1650"/>
        <s v="Description 1651"/>
        <s v="Description 1652"/>
        <s v="Description 1653"/>
        <s v="Description 1654"/>
        <s v="Description 1655"/>
        <s v="Description 1656"/>
        <s v="Description 1657"/>
        <s v="Description 1658"/>
        <s v="Description 1659"/>
        <s v="Description 1660"/>
        <s v="Description 1661"/>
        <s v="Description 1662"/>
        <s v="Description 1663"/>
        <s v="Description 1664"/>
        <s v="Description 1665"/>
        <s v="Description 1666"/>
        <s v="Description 1667"/>
        <s v="Description 1668"/>
        <s v="Description 1669"/>
        <s v="Description 1670"/>
        <s v="Description 1671"/>
        <s v="Description 1672"/>
        <s v="Description 1673"/>
        <s v="Description 1674"/>
        <s v="Description 1675"/>
        <s v="Description 1676"/>
        <s v="Description 1677"/>
        <s v="Description 1678"/>
        <s v="Description 1679"/>
        <s v="Description 1680"/>
        <s v="Description 1681"/>
        <s v="Description 1682"/>
        <s v="Description 1683"/>
        <s v="Description 1684"/>
        <s v="Description 1685"/>
        <s v="Description 1686"/>
        <s v="Description 1687"/>
        <s v="Description 1688"/>
        <s v="Description 1689"/>
        <s v="Description 1690"/>
        <s v="Description 1691"/>
        <s v="Description 1692"/>
        <s v="Description 1693"/>
        <s v="Description 1694"/>
        <s v="Description 1695"/>
        <s v="Description 1696"/>
        <s v="Description 1697"/>
        <s v="Description 1698"/>
        <s v="Description 1699"/>
        <s v="Description 1700"/>
        <s v="Description 1701"/>
        <s v="Description 1702"/>
        <s v="Description 1703"/>
        <s v="Description 1704"/>
        <s v="Description 1705"/>
        <s v="Description 1706"/>
        <s v="Description 1707"/>
        <s v="Description 1708"/>
        <s v="Description 1709"/>
        <s v="Description 1710"/>
        <s v="Description 1711"/>
        <s v="Description 1712"/>
        <s v="Description 1713"/>
        <s v="Description 1714"/>
        <s v="Description 1715"/>
        <s v="Description 1716"/>
        <s v="Description 1717"/>
        <s v="Description 1718"/>
        <s v="Description 1719"/>
        <s v="Description 1720"/>
        <s v="Description 1721"/>
        <s v="Description 1722"/>
        <s v="Description 1723"/>
        <s v="Description 1724"/>
        <s v="Description 1725"/>
        <s v="Description 1726"/>
        <s v="Description 1727"/>
        <s v="Description 1728"/>
        <s v="Description 1729"/>
        <s v="Description 1730"/>
        <s v="Description 1731"/>
        <s v="Description 1732"/>
        <s v="Description 1733"/>
        <s v="Description 1734"/>
        <s v="Description 1735"/>
        <s v="Description 1736"/>
        <s v="Description 1737"/>
        <s v="Description 1738"/>
        <s v="Description 1739"/>
        <s v="Description 1740"/>
        <s v="Description 1741"/>
        <s v="Description 1742"/>
        <s v="Description 1743"/>
        <s v="Description 1744"/>
        <s v="Description 1745"/>
        <s v="Description 1746"/>
        <s v="Description 1747"/>
        <s v="Description 1748"/>
        <s v="Description 1749"/>
        <s v="Description 1750"/>
        <s v="Description 1751"/>
        <s v="Description 1752"/>
        <s v="Description 1753"/>
        <s v="Description 1754"/>
        <s v="Description 1755"/>
        <s v="Description 1756"/>
        <s v="Description 1757"/>
        <s v="Description 1758"/>
        <s v="Description 1759"/>
        <s v="Description 1760"/>
        <s v="Description 1761"/>
        <s v="Description 1762"/>
        <s v="Description 1763"/>
        <s v="Description 1764"/>
        <s v="Description 1765"/>
        <s v="Description 1766"/>
        <s v="Description 1767"/>
        <s v="Description 1768"/>
        <s v="Description 1769"/>
        <s v="Description 1770"/>
        <s v="Description 1771"/>
        <s v="Description 1772"/>
        <s v="Description 1773"/>
        <s v="Description 1774"/>
        <s v="Description 1775"/>
        <s v="Description 1776"/>
        <s v="Description 1777"/>
        <s v="Description 1778"/>
        <s v="Description 1779"/>
        <s v="Description 1780"/>
        <s v="Description 1781"/>
        <s v="Description 1782"/>
        <s v="Description 1783"/>
        <s v="Description 1784"/>
        <s v="Description 1785"/>
        <s v="Description 1786"/>
        <s v="Description 1787"/>
        <s v="Description 1788"/>
        <s v="Description 1789"/>
        <s v="Description 1790"/>
        <s v="Description 1791"/>
        <s v="Description 1792"/>
        <s v="Description 1793"/>
        <s v="Description 1794"/>
        <s v="Description 1795"/>
        <s v="Description 1796"/>
        <s v="Description 1797"/>
        <s v="Description 1798"/>
        <s v="Description 1799"/>
        <s v="Description 1800"/>
        <s v="Description 1801"/>
        <s v="Description 1802"/>
        <s v="Description 1803"/>
        <s v="Description 1804"/>
        <s v="Description 1805"/>
        <s v="Description 1806"/>
        <s v="Description 1807"/>
        <s v="Description 1808"/>
        <s v="Description 1809"/>
        <s v="Description 1810"/>
        <s v="Description 1811"/>
        <s v="Description 1812"/>
        <s v="Description 1813"/>
        <s v="Description 1814"/>
        <s v="Description 1815"/>
        <s v="Description 1816"/>
        <s v="Description 1817"/>
        <s v="Description 1818"/>
        <s v="Description 1819"/>
        <s v="Description 1820"/>
        <s v="Description 1821"/>
        <s v="Description 1822"/>
        <s v="Description 1823"/>
        <s v="Description 1824"/>
        <s v="Description 1825"/>
        <s v="Description 1826"/>
        <s v="Description 1827"/>
        <s v="Description 1828"/>
        <s v="Description 1829"/>
        <s v="Description 1830"/>
        <s v="Description 1831"/>
        <s v="Description 1832"/>
        <s v="Description 1833"/>
        <s v="Description 1834"/>
        <s v="Description 1835"/>
        <s v="Description 1836"/>
        <s v="Description 1837"/>
        <s v="Description 1838"/>
        <s v="Description 1839"/>
        <s v="Description 1840"/>
        <s v="Description 1841"/>
        <s v="Description 1842"/>
        <s v="Description 1843"/>
        <s v="Description 1844"/>
        <s v="Description 1845"/>
        <s v="Description 1846"/>
        <s v="Description 1847"/>
        <s v="Description 1848"/>
        <s v="Description 1849"/>
        <s v="Description 1850"/>
        <s v="Description 1851"/>
        <s v="Description 1852"/>
        <s v="Description 1853"/>
        <s v="Description 1854"/>
        <s v="Description 1855"/>
        <s v="Description 1856"/>
        <s v="Description 1857"/>
        <s v="Description 1858"/>
        <s v="Description 1859"/>
        <s v="Description 1860"/>
        <s v="Description 1861"/>
        <s v="Description 1862"/>
        <s v="Description 1863"/>
        <s v="Description 1864"/>
        <s v="Description 1865"/>
        <s v="Description 1866"/>
        <s v="Description 1867"/>
        <s v="Description 1868"/>
        <s v="Description 1869"/>
        <s v="Description 1870"/>
        <s v="Description 1871"/>
        <s v="Description 1872"/>
        <s v="Description 1873"/>
        <s v="Description 1874"/>
        <s v="Description 1875"/>
        <s v="Description 1876"/>
        <s v="Description 1877"/>
        <s v="Description 1878"/>
        <s v="Description 1879"/>
        <s v="Description 1880"/>
        <s v="Description 1881"/>
        <s v="Description 1882"/>
        <s v="Description 1883"/>
        <s v="Description 1884"/>
        <s v="Description 1885"/>
        <s v="Description 1886"/>
        <s v="Description 1887"/>
        <s v="Description 1888"/>
        <s v="Description 1889"/>
        <s v="Description 1890"/>
        <s v="Description 1891"/>
        <s v="Description 1892"/>
        <s v="Description 1893"/>
        <s v="Description 1894"/>
        <s v="Description 1895"/>
        <s v="Description 1896"/>
        <s v="Description 1897"/>
        <s v="Description 1898"/>
        <s v="Description 1899"/>
        <s v="Description 1900"/>
        <s v="Description 1901"/>
        <s v="Description 1902"/>
        <s v="Description 1903"/>
        <s v="Description 1904"/>
        <s v="Description 1905"/>
        <s v="Description 1906"/>
        <s v="Description 1907"/>
        <s v="Description 1908"/>
        <s v="Description 1909"/>
        <s v="Description 1910"/>
        <s v="Description 1911"/>
        <s v="Description 1912"/>
        <s v="Description 1913"/>
        <s v="Description 1914"/>
        <s v="Description 1915"/>
        <s v="Description 1916"/>
        <s v="Description 1917"/>
        <s v="Description 1918"/>
        <s v="Description 1919"/>
        <s v="Description 1920"/>
        <s v="Description 1921"/>
        <s v="Description 1922"/>
        <s v="Description 1923"/>
        <s v="Description 1924"/>
        <s v="Description 1925"/>
        <s v="Description 1926"/>
        <s v="Description 1927"/>
        <s v="Description 1928"/>
        <s v="Description 1929"/>
        <s v="Description 1930"/>
        <s v="Description 1931"/>
        <s v="Description 1932"/>
        <s v="Description 1933"/>
        <s v="Description 1934"/>
        <s v="Description 1935"/>
        <s v="Description 1936"/>
        <s v="Description 1937"/>
        <s v="Description 1938"/>
        <s v="Description 1939"/>
        <s v="Description 1940"/>
        <s v="Description 1941"/>
        <s v="Description 1942"/>
        <s v="Description 1943"/>
        <s v="Description 1944"/>
        <s v="Description 1945"/>
        <s v="Description 1946"/>
        <s v="Description 1947"/>
        <s v="Description 1948"/>
        <s v="Description 1949"/>
        <s v="Description 1950"/>
        <s v="Description 1951"/>
        <s v="Description 1952"/>
        <s v="Description 1953"/>
        <s v="Description 1954"/>
        <s v="Description 1955"/>
        <s v="Description 1956"/>
        <s v="Description 1957"/>
        <s v="Description 1958"/>
        <s v="Description 1959"/>
        <s v="Description 1960"/>
        <s v="Description 1961"/>
        <s v="Description 1962"/>
        <s v="Description 1963"/>
        <s v="Description 1964"/>
        <s v="Description 1965"/>
        <s v="Description 1966"/>
        <s v="Description 1967"/>
        <s v="Description 1968"/>
        <s v="Description 1969"/>
        <s v="Description 1970"/>
        <s v="Description 1971"/>
        <s v="Description 1972"/>
        <s v="Description 1973"/>
        <s v="Description 1974"/>
        <s v="Description 1975"/>
        <s v="Description 1976"/>
        <s v="Description 1977"/>
        <s v="Description 1978"/>
        <s v="Description 1979"/>
        <s v="Description 1980"/>
        <s v="Description 1981"/>
        <s v="Description 1982"/>
        <s v="Description 1983"/>
        <s v="Description 1984"/>
        <s v="Description 1985"/>
        <s v="Description 1986"/>
        <s v="Description 1987"/>
        <s v="Description 1988"/>
        <s v="Description 1989"/>
        <s v="Description 1990"/>
        <s v="Description 1991"/>
        <s v="Description 1992"/>
        <s v="Description 1993"/>
        <s v="Description 1994"/>
        <s v="Description 1995"/>
        <s v="Description 1996"/>
        <s v="Description 1997"/>
        <s v="Description 1998"/>
        <s v="Description 1999"/>
        <s v="Description 2000"/>
        <s v="Description 2001"/>
        <s v="Description 2002"/>
        <s v="Description 2003"/>
        <s v="Description 2004"/>
        <s v="Description 2005"/>
        <s v="Description 2006"/>
        <s v="Description 2007"/>
        <s v="Description 2008"/>
        <s v="Description 2009"/>
        <s v="Description 2010"/>
        <s v="Description 2011"/>
        <s v="Description 2012"/>
        <s v="Description 2013"/>
        <s v="Description 2014"/>
        <s v="Description 2015"/>
        <s v="Description 2016"/>
        <s v="Description 2017"/>
        <s v="Description 2018"/>
        <s v="Description 2019"/>
        <s v="Description 2020"/>
        <s v="Description 2021"/>
        <s v="Description 2022"/>
        <s v="Description 2023"/>
        <s v="Description 2024"/>
        <s v="Description 2025"/>
        <s v="Description 2026"/>
        <s v="Description 2027"/>
        <s v="Description 2028"/>
        <s v="Description 2029"/>
        <s v="Description 2030"/>
        <s v="Description 2031"/>
        <s v="Description 2032"/>
        <s v="Description 2033"/>
        <s v="Description 2034"/>
        <s v="Description 2035"/>
        <s v="Description 2036"/>
        <s v="Description 2037"/>
        <s v="Description 2038"/>
        <s v="Description 2039"/>
        <s v="Description 2040"/>
        <s v="Description 2041"/>
        <s v="Description 2042"/>
        <s v="Description 2043"/>
        <s v="Description 2044"/>
        <s v="Description 2045"/>
        <s v="Description 2046"/>
        <s v="Description 2047"/>
        <s v="Description 2048"/>
        <s v="Description 2049"/>
        <s v="Description 2050"/>
        <s v="Description 2051"/>
        <s v="Description 2052"/>
        <s v="Description 2053"/>
        <s v="Description 2054"/>
        <s v="Description 2055"/>
        <s v="Description 2056"/>
        <s v="Description 2057"/>
        <s v="Description 2058"/>
        <s v="Description 2059"/>
        <s v="Description 2060"/>
        <s v="Description 2061"/>
        <s v="Description 2062"/>
        <s v="Description 2063"/>
        <s v="Description 2064"/>
        <s v="Description 2065"/>
        <s v="Description 2066"/>
        <s v="Description 2067"/>
        <s v="Description 2068"/>
        <s v="Description 2069"/>
        <s v="Description 2070"/>
        <s v="Description 2071"/>
        <s v="Description 2072"/>
        <s v="Description 2073"/>
        <s v="Description 2074"/>
        <s v="Description 2075"/>
        <s v="Description 2076"/>
        <s v="Description 2077"/>
        <s v="Description 2078"/>
        <s v="Description 2079"/>
        <s v="Description 2080"/>
        <s v="Description 2081"/>
        <s v="Description 2082"/>
        <s v="Description 2083"/>
        <s v="Description 2084"/>
        <s v="Description 2085"/>
        <s v="Description 2086"/>
        <s v="Description 2087"/>
        <s v="Description 2088"/>
        <s v="Description 2089"/>
        <s v="Description 2090"/>
        <s v="Description 2091"/>
        <s v="Description 2092"/>
        <s v="Description 2093"/>
        <s v="Description 2094"/>
        <s v="Description 2095"/>
        <s v="Description 2096"/>
        <s v="Description 2097"/>
        <s v="Description 2098"/>
        <s v="Description 2099"/>
        <s v="Description 2100"/>
        <s v="Description 2101"/>
        <s v="Description 2102"/>
        <s v="Description 2103"/>
        <s v="Description 2104"/>
        <s v="Description 2105"/>
        <s v="Description 2106"/>
        <s v="Description 2107"/>
        <s v="Description 2108"/>
        <s v="Description 2109"/>
        <s v="Description 2110"/>
        <s v="Description 2111"/>
        <s v="Description 2112"/>
        <s v="Description 2113"/>
        <s v="Description 2114"/>
        <s v="Description 2115"/>
        <s v="Description 2116"/>
        <s v="Description 2117"/>
        <s v="Description 2118"/>
        <s v="Description 2119"/>
        <s v="Description 2120"/>
        <s v="Description 2121"/>
        <s v="Description 2122"/>
        <s v="Description 2123"/>
        <s v="Description 2124"/>
        <s v="Description 2125"/>
        <s v="Description 2126"/>
        <s v="Description 2127"/>
        <s v="Description 2128"/>
        <s v="Description 2129"/>
        <s v="Description 2130"/>
        <s v="Description 2131"/>
        <s v="Description 2132"/>
        <s v="Description 2133"/>
        <s v="Description 2134"/>
        <s v="Description 2135"/>
        <s v="Description 2136"/>
        <s v="Description 2137"/>
        <s v="Description 2138"/>
        <s v="Description 2139"/>
        <s v="Description 2140"/>
        <s v="Description 2141"/>
        <s v="Description 2142"/>
        <s v="Description 2143"/>
        <s v="Description 2144"/>
        <s v="Description 2145"/>
        <s v="Description 2146"/>
        <s v="Description 2147"/>
        <s v="Description 2148"/>
        <s v="Description 2149"/>
        <s v="Description 2150"/>
        <s v="Description 2151"/>
        <s v="Description 2152"/>
        <s v="Description 2153"/>
        <s v="Description 2154"/>
        <s v="Description 2155"/>
        <s v="Description 2156"/>
        <s v="Description 2157"/>
        <s v="Description 2158"/>
        <s v="Description 2159"/>
        <s v="Description 2160"/>
        <s v="Description 2161"/>
        <s v="Description 2162"/>
        <s v="Description 2163"/>
        <s v="Description 2164"/>
        <s v="Description 2165"/>
        <s v="Description 2166"/>
        <s v="Description 2167"/>
        <s v="Description 2168"/>
        <s v="Description 2169"/>
        <s v="Description 2170"/>
        <s v="Description 2171"/>
        <s v="Description 2172"/>
        <s v="Description 2173"/>
        <s v="Description 2174"/>
        <s v="Description 2175"/>
        <s v="Description 2176"/>
        <s v="Description 2177"/>
        <s v="Description 2178"/>
        <s v="Description 2179"/>
        <s v="Description 2180"/>
        <s v="Description 2181"/>
        <s v="Description 2182"/>
        <s v="Description 2183"/>
        <s v="Description 2184"/>
        <s v="Description 2185"/>
        <s v="Description 2186"/>
        <s v="Description 2187"/>
        <s v="Description 2188"/>
        <s v="Description 2189"/>
        <s v="Description 2190"/>
        <s v="Description 2191"/>
        <s v="Description 2192"/>
        <s v="Description 2193"/>
        <s v="Description 2194"/>
        <s v="Description 2195"/>
        <s v="Description 2196"/>
        <s v="Description 2197"/>
        <s v="Description 2198"/>
        <s v="Description 2199"/>
        <s v="Description 2200"/>
        <s v="Description 2201"/>
        <s v="Description 2202"/>
        <s v="Description 2203"/>
        <s v="Description 2204"/>
        <s v="Description 2205"/>
        <s v="Description 2206"/>
        <s v="Description 2207"/>
        <s v="Description 2208"/>
        <s v="Description 2209"/>
        <s v="Description 2210"/>
        <s v="Description 2211"/>
        <s v="Description 2212"/>
        <s v="Description 2213"/>
        <s v="Description 2214"/>
        <s v="Description 2215"/>
        <s v="Description 2216"/>
        <s v="Description 2217"/>
        <s v="Description 2218"/>
        <s v="Description 2219"/>
        <s v="Description 2220"/>
        <s v="Description 2221"/>
        <s v="Description 2222"/>
        <s v="Description 2223"/>
        <s v="Description 2224"/>
        <s v="Description 2225"/>
        <s v="Description 2226"/>
        <s v="Description 2227"/>
        <s v="Description 2228"/>
        <s v="Description 2229"/>
        <s v="Description 2230"/>
        <s v="Description 2231"/>
        <s v="Description 2232"/>
        <s v="Description 2233"/>
        <s v="Description 2234"/>
        <s v="Description 2235"/>
        <s v="Description 2236"/>
        <s v="Description 2237"/>
        <s v="Description 2238"/>
        <s v="Description 2239"/>
        <s v="Description 2240"/>
        <s v="Description 2241"/>
        <s v="Description 2242"/>
        <s v="Description 2243"/>
        <s v="Description 2244"/>
        <s v="Description 2245"/>
        <s v="Description 2246"/>
        <s v="Description 2247"/>
        <s v="Description 2248"/>
        <s v="Description 2249"/>
        <s v="Description 2250"/>
        <s v="Description 2251"/>
        <s v="Description 2252"/>
        <s v="Description 2253"/>
        <s v="Description 2254"/>
        <s v="Description 2255"/>
        <s v="Description 2256"/>
        <s v="Description 2257"/>
        <s v="Description 2258"/>
        <s v="Description 2259"/>
        <s v="Description 2260"/>
        <s v="Description 2261"/>
        <s v="Description 2262"/>
        <s v="Description 2263"/>
        <s v="Description 2264"/>
        <s v="Description 2265"/>
        <s v="Description 2266"/>
        <s v="Description 2267"/>
        <s v="Description 2268"/>
        <s v="Description 2269"/>
        <s v="Description 2270"/>
        <s v="Description 2271"/>
        <s v="Description 2272"/>
        <s v="Description 2273"/>
        <s v="Description 2274"/>
        <s v="Description 2275"/>
        <s v="Description 2276"/>
        <s v="Description 2277"/>
        <s v="Description 2278"/>
        <s v="Description 2279"/>
        <s v="Description 2280"/>
        <s v="Description 2281"/>
        <s v="Description 2282"/>
        <s v="Description 2283"/>
        <s v="Description 2284"/>
        <s v="Description 2285"/>
        <s v="Description 2286"/>
        <s v="Description 2287"/>
        <s v="Description 2288"/>
        <s v="Description 2289"/>
        <s v="Description 2290"/>
        <s v="Description 2291"/>
        <s v="Description 2292"/>
        <s v="Description 2293"/>
        <s v="Description 2294"/>
        <s v="Description 2295"/>
        <s v="Description 2296"/>
        <s v="Description 2297"/>
        <s v="Description 2298"/>
        <s v="Description 2299"/>
        <s v="Description 2300"/>
        <s v="Description 2301"/>
        <s v="Description 2302"/>
        <s v="Description 2303"/>
        <s v="Description 2304"/>
        <s v="Description 2305"/>
        <s v="Description 2306"/>
        <s v="Description 2307"/>
        <s v="Description 2308"/>
        <s v="Description 2309"/>
        <s v="Description 2310"/>
        <s v="Description 2311"/>
        <s v="Description 2312"/>
        <s v="Description 2313"/>
        <s v="Description 2314"/>
        <s v="Description 2315"/>
        <s v="Description 2316"/>
        <s v="Description 2317"/>
        <s v="Description 2318"/>
        <s v="Description 2319"/>
        <s v="Description 2320"/>
        <s v="Description 2321"/>
        <s v="Description 2322"/>
        <s v="Description 2323"/>
        <s v="Description 2324"/>
        <s v="Description 2325"/>
        <s v="Description 2326"/>
        <s v="Description 2327"/>
        <s v="Description 2328"/>
        <s v="Description 2329"/>
        <s v="Description 2330"/>
        <s v="Description 2331"/>
        <s v="Description 2332"/>
        <s v="Description 2333"/>
        <s v="Description 2334"/>
        <s v="Description 2335"/>
        <s v="Description 2336"/>
        <s v="Description 2337"/>
        <s v="Description 2338"/>
        <s v="Description 2339"/>
        <s v="Description 2340"/>
        <s v="Description 2341"/>
        <s v="Description 2342"/>
        <s v="Description 2343"/>
        <s v="Description 2344"/>
        <s v="Description 2345"/>
        <s v="Description 2346"/>
        <s v="Description 2347"/>
        <s v="Description 2348"/>
        <s v="Description 2349"/>
        <s v="Description 2350"/>
        <s v="Description 2351"/>
        <s v="Description 2352"/>
        <s v="Description 2353"/>
        <s v="Description 2354"/>
        <s v="Description 2355"/>
        <s v="Description 2356"/>
        <s v="Description 2357"/>
        <s v="Description 2358"/>
        <s v="Description 2359"/>
        <s v="Description 2360"/>
        <s v="Description 2361"/>
        <s v="Description 2362"/>
        <s v="Description 2363"/>
        <s v="Description 2364"/>
        <s v="Description 2365"/>
        <s v="Description 2366"/>
        <s v="Description 2367"/>
        <s v="Description 2368"/>
        <s v="Description 2369"/>
        <s v="Description 2370"/>
        <s v="Description 2371"/>
        <s v="Description 2372"/>
        <s v="Description 2373"/>
        <s v="Description 2374"/>
        <s v="Description 2375"/>
        <s v="Description 2376"/>
        <s v="Description 2377"/>
        <s v="Description 2378"/>
        <s v="Description 2379"/>
        <s v="Description 2380"/>
        <s v="Description 2381"/>
        <s v="Description 2382"/>
        <s v="Description 2383"/>
        <s v="Description 2384"/>
        <s v="Description 2385"/>
        <s v="Description 2386"/>
        <s v="Description 2387"/>
        <s v="Description 2388"/>
        <s v="Description 2389"/>
        <s v="Description 2390"/>
        <s v="Description 2391"/>
        <s v="Description 2392"/>
        <s v="Description 2393"/>
        <s v="Description 2394"/>
        <s v="Description 2395"/>
        <s v="Description 2396"/>
        <s v="Description 2397"/>
        <s v="Description 2398"/>
        <s v="Description 2399"/>
        <s v="Description 2400"/>
        <s v="Description 2401"/>
        <s v="Description 2402"/>
        <s v="Description 2403"/>
        <s v="Description 2404"/>
        <s v="Description 2405"/>
        <s v="Description 2406"/>
        <s v="Description 2407"/>
        <s v="Description 2408"/>
        <s v="Description 2409"/>
        <s v="Description 2410"/>
        <s v="Description 2411"/>
        <s v="Description 2412"/>
        <s v="Description 2413"/>
        <s v="Description 2414"/>
        <s v="Description 2415"/>
        <s v="Description 2416"/>
        <s v="Description 2417"/>
        <s v="Description 2418"/>
        <s v="Description 2419"/>
        <s v="Description 2420"/>
        <s v="Description 2421"/>
        <s v="Description 2422"/>
        <s v="Description 2423"/>
        <s v="Description 2424"/>
        <s v="Description 2425"/>
        <s v="Description 2426"/>
        <s v="Description 2427"/>
        <s v="Description 2428"/>
        <s v="Description 2429"/>
        <s v="Description 2430"/>
        <s v="Description 2431"/>
        <s v="Description 2432"/>
        <s v="Description 2433"/>
        <s v="Description 2434"/>
        <s v="Description 2435"/>
        <s v="Description 2436"/>
        <s v="Description 2437"/>
        <s v="Description 2438"/>
        <s v="Description 2439"/>
        <s v="Description 2440"/>
        <s v="Description 2441"/>
        <s v="Description 2442"/>
        <s v="Description 2443"/>
        <s v="Description 2444"/>
        <s v="Description 2445"/>
        <s v="Description 2446"/>
        <s v="Description 2447"/>
        <s v="Description 2448"/>
        <s v="Description 2449"/>
        <s v="Description 2450"/>
        <s v="Description 2451"/>
        <s v="Description 2452"/>
        <s v="Description 2453"/>
        <s v="Description 2454"/>
        <s v="Description 2455"/>
        <s v="Description 2456"/>
        <s v="Description 2457"/>
        <s v="Description 2458"/>
        <s v="Description 2459"/>
        <s v="Description 2460"/>
        <s v="Description 2461"/>
        <s v="Description 2462"/>
        <s v="Description 2463"/>
        <s v="Description 2464"/>
        <s v="Description 2465"/>
        <s v="Description 2466"/>
        <s v="Description 2467"/>
        <s v="Description 2468"/>
        <s v="Description 2469"/>
        <s v="Description 2470"/>
        <s v="Description 2471"/>
        <s v="Description 2472"/>
        <s v="Description 2473"/>
        <s v="Description 2474"/>
        <s v="Description 2475"/>
        <s v="Description 2476"/>
        <s v="Description 2477"/>
        <s v="Description 2478"/>
        <s v="Description 2479"/>
        <s v="Description 2480"/>
        <s v="Description 2481"/>
        <s v="Description 2482"/>
        <s v="Description 2483"/>
        <s v="Description 2484"/>
        <s v="Description 2485"/>
        <s v="Description 2486"/>
        <s v="Description 2487"/>
        <s v="Description 2488"/>
        <s v="Description 2489"/>
        <s v="Description 2490"/>
        <s v="Description 2491"/>
        <s v="Description 2492"/>
        <s v="Description 2493"/>
        <s v="Description 2494"/>
        <s v="Description 2495"/>
        <s v="Description 2496"/>
        <s v="Description 2497"/>
        <s v="Description 2498"/>
        <s v="Description 2499"/>
        <s v="Description 2500"/>
        <s v="Description 2501"/>
        <s v="Description 2502"/>
        <s v="Description 2503"/>
        <s v="Description 2504"/>
        <s v="Description 2505"/>
        <s v="Description 2506"/>
        <s v="Description 2507"/>
        <s v="Description 2508"/>
        <s v="Description 2509"/>
        <s v="Description 2510"/>
        <s v="Description 2511"/>
        <s v="Description 2512"/>
        <s v="Description 2513"/>
        <s v="Description 2514"/>
        <s v="Description 2515"/>
        <s v="Description 2516"/>
        <s v="Description 2517"/>
        <s v="Description 2518"/>
        <s v="Description 2519"/>
        <s v="Description 2520"/>
        <s v="Description 2521"/>
        <s v="Description 2522"/>
        <s v="Description 2523"/>
        <s v="Description 2524"/>
        <s v="Description 2525"/>
        <s v="Description 2526"/>
        <s v="Description 2527"/>
        <s v="Description 2528"/>
        <s v="Description 2529"/>
        <s v="Description 2530"/>
        <s v="Description 2531"/>
        <s v="Description 2532"/>
        <s v="Description 2533"/>
        <s v="Description 2534"/>
        <s v="Description 2535"/>
        <s v="Description 2536"/>
        <s v="Description 2537"/>
        <s v="Description 2538"/>
        <s v="Description 2539"/>
        <s v="Description 2540"/>
        <s v="Description 2541"/>
        <s v="Description 2542"/>
        <s v="Description 2543"/>
        <s v="Description 2544"/>
        <s v="Description 2545"/>
        <s v="Description 2546"/>
        <s v="Description 2547"/>
        <s v="Description 2548"/>
        <s v="Description 2549"/>
        <s v="Description 2550"/>
        <s v="Description 2551"/>
        <s v="Description 2552"/>
        <s v="Description 2553"/>
        <s v="Description 2554"/>
        <s v="Description 2555"/>
        <s v="Description 2556"/>
        <s v="Description 2557"/>
        <s v="Description 2558"/>
        <s v="Description 2559"/>
        <s v="Description 2560"/>
        <s v="Description 2561"/>
        <s v="Description 2562"/>
        <s v="Description 2563"/>
        <s v="Description 2564"/>
        <s v="Description 2565"/>
        <s v="Description 2566"/>
        <s v="Description 2567"/>
        <s v="Description 2568"/>
        <s v="Description 2569"/>
        <s v="Description 2570"/>
        <s v="Description 2571"/>
        <s v="Description 2572"/>
        <s v="Description 2573"/>
        <s v="Description 2574"/>
        <s v="Description 2575"/>
        <s v="Description 2576"/>
        <s v="Description 2577"/>
        <s v="Description 2578"/>
        <s v="Description 2579"/>
        <s v="Description 2580"/>
        <s v="Description 2581"/>
        <s v="Description 2582"/>
        <s v="Description 2583"/>
        <s v="Description 2584"/>
        <s v="Description 2585"/>
        <s v="Description 2586"/>
        <s v="Description 2587"/>
        <s v="Description 2588"/>
        <s v="Description 2589"/>
        <s v="Description 2590"/>
        <s v="Description 2591"/>
        <s v="Description 2592"/>
        <s v="Description 2593"/>
        <s v="Description 2594"/>
        <s v="Description 2595"/>
        <s v="Description 2596"/>
        <s v="Description 2597"/>
        <s v="Description 2598"/>
        <s v="Description 2599"/>
        <s v="Description 2600"/>
        <s v="Description 2601"/>
        <s v="Description 2602"/>
        <s v="Description 2603"/>
        <s v="Description 2604"/>
        <s v="Description 2605"/>
        <s v="Description 2606"/>
        <s v="Description 2607"/>
        <s v="Description 2608"/>
        <s v="Description 2609"/>
        <s v="Description 2610"/>
        <s v="Description 2611"/>
        <s v="Description 2612"/>
        <s v="Description 2613"/>
        <s v="Description 2614"/>
        <s v="Description 2615"/>
        <s v="Description 2616"/>
        <s v="Description 2617"/>
        <s v="Description 2618"/>
        <s v="Description 2619"/>
        <s v="Description 2620"/>
        <s v="Description 2621"/>
        <s v="Description 2622"/>
        <s v="Description 2623"/>
        <s v="Description 2624"/>
        <s v="Description 2625"/>
        <s v="Description 2626"/>
        <s v="Description 2627"/>
        <s v="Description 2628"/>
        <s v="Description 2629"/>
        <s v="Description 2630"/>
        <s v="Description 2631"/>
        <s v="Description 2632"/>
        <s v="Description 2633"/>
        <s v="Description 2634"/>
        <s v="Description 2635"/>
        <s v="Description 2636"/>
        <s v="Description 2637"/>
        <s v="Description 2638"/>
        <s v="Description 2639"/>
        <s v="Description 2640"/>
        <s v="Description 2641"/>
        <s v="Description 2642"/>
        <s v="Description 2643"/>
        <s v="Description 2644"/>
        <s v="Description 2645"/>
        <s v="Description 2646"/>
        <s v="Description 2647"/>
        <s v="Description 2648"/>
        <s v="Description 2649"/>
        <s v="Description 2650"/>
        <s v="Description 2651"/>
        <s v="Description 2652"/>
        <s v="Description 2653"/>
        <s v="Description 2654"/>
        <s v="Description 2655"/>
        <s v="Description 2656"/>
        <s v="Description 2657"/>
        <s v="Description 2658"/>
        <s v="Description 2659"/>
        <s v="Description 2660"/>
        <s v="Description 2661"/>
        <s v="Description 2662"/>
        <s v="Description 2663"/>
        <s v="Description 2664"/>
        <s v="Description 2665"/>
        <s v="Description 2666"/>
        <s v="Description 2667"/>
        <s v="Description 2668"/>
        <s v="Description 2669"/>
        <s v="Description 2670"/>
        <s v="Description 2671"/>
        <s v="Description 2672"/>
        <s v="Description 2673"/>
        <s v="Description 2674"/>
        <s v="Description 2675"/>
        <s v="Description 2676"/>
        <s v="Description 2677"/>
        <s v="Description 2678"/>
        <s v="Description 2679"/>
        <s v="Description 2680"/>
        <s v="Description 2681"/>
        <s v="Description 2682"/>
        <s v="Description 2683"/>
        <s v="Description 2684"/>
        <s v="Description 2685"/>
        <s v="Description 2686"/>
        <s v="Description 2687"/>
        <s v="Description 2688"/>
        <s v="Description 2689"/>
        <s v="Description 2690"/>
        <s v="Description 2691"/>
        <s v="Description 2692"/>
        <s v="Description 2693"/>
        <s v="Description 2694"/>
        <s v="Description 2695"/>
        <s v="Description 2696"/>
        <s v="Description 2697"/>
        <s v="Description 2698"/>
        <s v="Description 2699"/>
        <s v="Description 2700"/>
        <s v="Description 2701"/>
        <s v="Description 2702"/>
        <s v="Description 2703"/>
        <s v="Description 2704"/>
        <s v="Description 2705"/>
        <s v="Description 2706"/>
        <s v="Description 2707"/>
        <s v="Description 2708"/>
        <s v="Description 2709"/>
        <s v="Description 2710"/>
        <s v="Description 2711"/>
        <s v="Description 2712"/>
        <s v="Description 2713"/>
        <s v="Description 2714"/>
        <s v="Description 2715"/>
        <s v="Description 2716"/>
        <s v="Description 2717"/>
        <s v="Description 2718"/>
        <s v="Description 2719"/>
        <s v="Description 2720"/>
        <s v="Description 2721"/>
        <s v="Description 2722"/>
        <s v="Description 2723"/>
        <s v="Description 2724"/>
        <s v="Description 2725"/>
        <s v="Description 2726"/>
        <s v="Description 2727"/>
        <s v="Description 2728"/>
        <s v="Description 2729"/>
        <s v="Description 2730"/>
        <s v="Description 2731"/>
        <s v="Description 2732"/>
        <s v="Description 2733"/>
        <s v="Description 2734"/>
        <s v="Description 2735"/>
        <s v="Description 2736"/>
        <s v="Description 2737"/>
        <s v="Description 2738"/>
        <s v="Description 2739"/>
        <s v="Description 2740"/>
        <s v="Description 2741"/>
        <s v="Description 2742"/>
        <s v="Description 2743"/>
        <s v="Description 2744"/>
        <s v="Description 2745"/>
        <s v="Description 2746"/>
        <s v="Description 2747"/>
        <s v="Description 2748"/>
        <s v="Description 2749"/>
        <s v="Description 2750"/>
        <s v="Description 2751"/>
        <s v="Description 2752"/>
        <s v="Description 2753"/>
        <s v="Description 2754"/>
        <s v="Description 2755"/>
        <s v="Description 2756"/>
        <s v="Description 2757"/>
        <s v="Description 2758"/>
        <s v="Description 2759"/>
        <s v="Description 2760"/>
        <s v="Description 2761"/>
        <s v="Description 2762"/>
        <s v="Description 2763"/>
        <s v="Description 2764"/>
        <s v="Description 2765"/>
        <s v="Description 2766"/>
        <s v="Description 2767"/>
        <s v="Description 2768"/>
        <s v="Description 2769"/>
        <s v="Description 2770"/>
        <s v="Description 2771"/>
        <s v="Description 2772"/>
        <s v="Description 2773"/>
        <s v="Description 2774"/>
        <s v="Description 2775"/>
        <s v="Description 2776"/>
        <s v="Description 2777"/>
        <s v="Description 2778"/>
        <s v="Description 2779"/>
        <s v="Description 2780"/>
        <s v="Description 2781"/>
        <s v="Description 2782"/>
        <s v="Description 2783"/>
        <s v="Description 2784"/>
        <s v="Description 2785"/>
        <s v="Description 2786"/>
        <s v="Description 2787"/>
        <s v="Description 2788"/>
        <s v="Description 2789"/>
        <s v="Description 2790"/>
        <s v="Description 2791"/>
        <s v="Description 2792"/>
        <s v="Description 2793"/>
        <s v="Description 2794"/>
        <s v="Description 2795"/>
        <s v="Description 2796"/>
        <s v="Description 2797"/>
        <s v="Description 2798"/>
        <s v="Description 2799"/>
        <s v="Description 2800"/>
        <s v="Description 2801"/>
        <s v="Description 2802"/>
        <s v="Description 2803"/>
        <s v="Description 2804"/>
        <s v="Description 2805"/>
        <s v="Description 2806"/>
        <s v="Description 2807"/>
        <s v="Description 2808"/>
        <s v="Description 2809"/>
        <s v="Description 2810"/>
        <s v="Description 2811"/>
        <s v="Description 2812"/>
        <s v="Description 2813"/>
        <s v="Description 2814"/>
        <s v="Description 2815"/>
        <s v="Description 2816"/>
        <s v="Description 2817"/>
        <s v="Description 2818"/>
        <s v="Description 2819"/>
        <s v="Description 2820"/>
        <s v="Description 2821"/>
        <s v="Description 2822"/>
        <s v="Description 2823"/>
        <s v="Description 2824"/>
        <s v="Description 2825"/>
        <s v="Description 2826"/>
        <s v="Description 2827"/>
        <s v="Description 2828"/>
        <s v="Description 2829"/>
        <s v="Description 2830"/>
        <s v="Description 2831"/>
        <s v="Description 2832"/>
        <s v="Description 2833"/>
        <s v="Description 2834"/>
        <s v="Description 2835"/>
        <s v="Description 2836"/>
        <s v="Description 2837"/>
        <s v="Description 2838"/>
        <s v="Description 2839"/>
        <s v="Description 2840"/>
        <s v="Description 2841"/>
        <s v="Description 2842"/>
        <s v="Description 2843"/>
        <s v="Description 2844"/>
        <s v="Description 2845"/>
        <s v="Description 2846"/>
        <s v="Description 2847"/>
        <s v="Description 2848"/>
        <s v="Description 2849"/>
        <s v="Description 2850"/>
        <s v="Description 2851"/>
        <s v="Description 2852"/>
        <s v="Description 2853"/>
        <s v="Description 2854"/>
        <s v="Description 2855"/>
        <s v="Description 2856"/>
        <s v="Description 2857"/>
        <s v="Description 2858"/>
        <s v="Description 2859"/>
        <s v="Description 2860"/>
        <s v="Description 2861"/>
        <s v="Description 2862"/>
        <s v="Description 2863"/>
        <s v="Description 2864"/>
        <s v="Description 2865"/>
        <s v="Description 2866"/>
        <s v="Description 2867"/>
        <s v="Description 2868"/>
        <s v="Description 2869"/>
        <s v="Description 2870"/>
        <s v="Description 2871"/>
        <s v="Description 2872"/>
        <s v="Description 2873"/>
        <s v="Description 2874"/>
        <s v="Description 2875"/>
        <s v="Description 2876"/>
        <s v="Description 2877"/>
        <s v="Description 2878"/>
        <s v="Description 2879"/>
        <s v="Description 2880"/>
        <s v="Description 2881"/>
        <s v="Description 2882"/>
        <s v="Description 2883"/>
        <s v="Description 2884"/>
        <s v="Description 2885"/>
        <s v="Description 2886"/>
        <s v="Description 2887"/>
        <s v="Description 2888"/>
        <s v="Description 2889"/>
        <s v="Description 2890"/>
        <s v="Description 2891"/>
        <s v="Description 2892"/>
        <s v="Description 2893"/>
        <s v="Description 2894"/>
        <s v="Description 2895"/>
        <s v="Description 2896"/>
        <s v="Description 2897"/>
        <s v="Description 2898"/>
        <s v="Description 2899"/>
        <s v="Description 2900"/>
        <s v="Description 2901"/>
        <s v="Description 2902"/>
        <s v="Description 2903"/>
        <s v="Description 2904"/>
        <s v="Description 2905"/>
        <s v="Description 2906"/>
        <s v="Description 2907"/>
        <s v="Description 2908"/>
        <s v="Description 2909"/>
        <s v="Description 2910"/>
        <s v="Description 2911"/>
        <s v="Description 2912"/>
        <s v="Description 2913"/>
        <s v="Description 2914"/>
        <s v="Description 2915"/>
        <s v="Description 2916"/>
        <s v="Description 2917"/>
        <s v="Description 2918"/>
        <s v="Description 2919"/>
        <s v="Description 2920"/>
        <s v="Description 2921"/>
        <s v="Description 2922"/>
        <s v="Description 2923"/>
        <s v="Description 2924"/>
        <s v="Description 2925"/>
        <s v="Description 2926"/>
        <s v="Description 2927"/>
        <s v="Description 2928"/>
        <s v="Description 2929"/>
        <s v="Description 2930"/>
        <s v="Description 2931"/>
        <s v="Description 2932"/>
        <s v="Description 2933"/>
        <s v="Description 2934"/>
        <s v="Description 2935"/>
        <s v="Description 2936"/>
        <s v="Description 2937"/>
        <s v="Description 2938"/>
        <s v="Description 2939"/>
        <s v="Description 2940"/>
        <s v="Description 2941"/>
        <s v="Description 2942"/>
        <s v="Description 2943"/>
        <s v="Description 2944"/>
        <s v="Description 2945"/>
        <s v="Description 2946"/>
        <s v="Description 2947"/>
        <s v="Description 2948"/>
        <s v="Description 2949"/>
        <s v="Description 2950"/>
        <s v="Description 2951"/>
        <s v="Description 2952"/>
        <s v="Description 2953"/>
        <s v="Description 2954"/>
        <s v="Description 2955"/>
        <s v="Description 2956"/>
        <s v="Description 2957"/>
        <s v="Description 2958"/>
        <s v="Description 2959"/>
        <s v="Description 2960"/>
        <s v="Description 2961"/>
        <s v="Description 2962"/>
        <s v="Description 2963"/>
        <s v="Description 2964"/>
        <s v="Description 2965"/>
        <s v="Description 2966"/>
        <s v="Description 2967"/>
        <s v="Description 2968"/>
        <s v="Description 2969"/>
        <s v="Description 2970"/>
        <s v="Description 2971"/>
        <s v="Description 2972"/>
        <s v="Description 2973"/>
        <s v="Description 2974"/>
        <s v="Description 2975"/>
        <s v="Description 2976"/>
        <s v="Description 2977"/>
        <s v="Description 2978"/>
        <s v="Description 2979"/>
        <s v="Description 2980"/>
        <s v="Description 2981"/>
        <s v="Description 2982"/>
        <s v="Description 2983"/>
        <s v="Description 2984"/>
        <s v="Description 2985"/>
        <s v="Description 2986"/>
        <s v="Description 2987"/>
        <s v="Description 2988"/>
        <s v="Description 2989"/>
        <s v="Description 2990"/>
        <s v="Description 2991"/>
        <s v="Description 2992"/>
        <s v="Description 2993"/>
        <s v="Description 2994"/>
        <s v="Description 2995"/>
        <s v="Description 2996"/>
        <s v="Description 2997"/>
        <s v="Description 2998"/>
        <s v="Description 2999"/>
        <s v="Description 3000"/>
        <s v="Description 3001"/>
        <s v="Description 3002"/>
        <s v="Description 3003"/>
        <s v="Description 3004"/>
        <s v="Description 3005"/>
        <s v="Description 3006"/>
        <s v="Description 3007"/>
        <s v="Description 3008"/>
        <s v="Description 3009"/>
        <s v="Description 3010"/>
        <s v="Description 3011"/>
        <s v="Description 3012"/>
        <s v="Description 3013"/>
        <s v="Description 3014"/>
        <s v="Description 3015"/>
        <s v="Description 3016"/>
        <s v="Description 3017"/>
        <s v="Description 3018"/>
        <s v="Description 3019"/>
        <s v="Description 3020"/>
        <s v="Description 3021"/>
        <s v="Description 3022"/>
        <s v="Description 3023"/>
        <s v="Description 3024"/>
        <s v="Description 3025"/>
        <s v="Description 3026"/>
        <s v="Description 3027"/>
        <s v="Description 3028"/>
        <s v="Description 3029"/>
        <s v="Description 3030"/>
        <s v="Description 3031"/>
        <s v="Description 3032"/>
        <s v="Description 3033"/>
        <s v="Description 3034"/>
        <s v="Description 3035"/>
        <s v="Description 3036"/>
        <s v="Description 3037"/>
        <s v="Description 3038"/>
        <s v="Description 3039"/>
        <s v="Description 3040"/>
        <s v="Description 3041"/>
        <s v="Description 3042"/>
        <s v="Description 3043"/>
        <s v="Description 3044"/>
        <s v="Description 3045"/>
        <s v="Description 3046"/>
        <s v="Description 3047"/>
        <s v="Description 3048"/>
        <s v="Description 3049"/>
        <s v="Description 3050"/>
        <s v="Description 3051"/>
        <s v="Description 3052"/>
        <s v="Description 3053"/>
        <s v="Description 3054"/>
        <s v="Description 3055"/>
        <s v="Description 3056"/>
        <s v="Description 3057"/>
        <s v="Description 3058"/>
        <s v="Description 3059"/>
        <s v="Description 3060"/>
        <s v="Description 3061"/>
        <s v="Description 3062"/>
        <s v="Description 3063"/>
        <s v="Description 3064"/>
        <s v="Description 3065"/>
        <s v="Description 3066"/>
        <s v="Description 3067"/>
        <s v="Description 3068"/>
        <s v="Description 3069"/>
        <s v="Description 3070"/>
        <s v="Description 3071"/>
        <s v="Description 3072"/>
        <s v="Description 3073"/>
        <s v="Description 3074"/>
        <s v="Description 3075"/>
        <s v="Description 3076"/>
        <s v="Description 3077"/>
        <s v="Description 3078"/>
        <s v="Description 3079"/>
        <s v="Description 3080"/>
        <s v="Description 3081"/>
        <s v="Description 3082"/>
        <s v="Description 3083"/>
        <s v="Description 3084"/>
        <s v="Description 3085"/>
        <s v="Description 3086"/>
        <s v="Description 3087"/>
        <s v="Description 3088"/>
        <s v="Description 3089"/>
        <s v="Description 3090"/>
        <s v="Description 3091"/>
        <s v="Description 3092"/>
        <s v="Description 3093"/>
        <s v="Description 3094"/>
        <s v="Description 3095"/>
        <s v="Description 3096"/>
        <s v="Description 3097"/>
        <s v="Description 3098"/>
        <s v="Description 3099"/>
        <s v="Description 3100"/>
        <s v="Description 3101"/>
        <s v="Description 3102"/>
        <s v="Description 3103"/>
        <s v="Description 3104"/>
        <s v="Description 3105"/>
        <s v="Description 3106"/>
        <s v="Description 3107"/>
        <s v="Description 3108"/>
        <s v="Description 3109"/>
        <s v="Description 3110"/>
        <s v="Description 3111"/>
        <s v="Description 3112"/>
        <s v="Description 3113"/>
        <s v="Description 3114"/>
        <s v="Description 3115"/>
        <s v="Description 3116"/>
        <s v="Description 3117"/>
        <s v="Description 3118"/>
        <s v="Description 3119"/>
        <s v="Description 3120"/>
        <s v="Description 3121"/>
        <s v="Description 3122"/>
        <s v="Description 3123"/>
        <s v="Description 3124"/>
        <s v="Description 3125"/>
        <s v="Description 3126"/>
        <s v="Description 3127"/>
        <s v="Description 3128"/>
        <s v="Description 3129"/>
        <s v="Description 3130"/>
        <s v="Description 3131"/>
        <s v="Description 3132"/>
        <s v="Description 3133"/>
        <s v="Description 3134"/>
        <s v="Description 3135"/>
        <s v="Description 3136"/>
        <s v="Description 3137"/>
        <s v="Description 3138"/>
        <s v="Description 3139"/>
        <s v="Description 3140"/>
        <s v="Description 3141"/>
        <s v="Description 3142"/>
        <s v="Description 3143"/>
        <s v="Description 3144"/>
        <s v="Description 3145"/>
        <s v="Description 3146"/>
        <s v="Description 3147"/>
        <s v="Description 3148"/>
        <s v="Description 3149"/>
        <s v="Description 3150"/>
        <s v="Description 3151"/>
        <s v="Description 3152"/>
        <s v="Description 3153"/>
        <s v="Description 3154"/>
        <s v="Description 3155"/>
        <s v="Description 3156"/>
        <s v="Description 3157"/>
        <s v="Description 3158"/>
        <s v="Description 3159"/>
        <s v="Description 3160"/>
        <s v="Description 3161"/>
        <s v="Description 3162"/>
        <s v="Description 3163"/>
        <s v="Description 3164"/>
        <s v="Description 3165"/>
        <s v="Description 3166"/>
        <s v="Description 3167"/>
        <s v="Description 3168"/>
        <s v="Description 3169"/>
        <s v="Description 3170"/>
        <s v="Description 3171"/>
        <s v="Description 3172"/>
        <s v="Description 3173"/>
        <s v="Description 3174"/>
        <s v="Description 3175"/>
        <s v="Description 3176"/>
        <s v="Description 3177"/>
        <s v="Description 3178"/>
        <s v="Description 3179"/>
        <s v="Description 3180"/>
        <s v="Description 3181"/>
        <s v="Description 3182"/>
        <s v="Description 3183"/>
        <s v="Description 3184"/>
        <s v="Description 3185"/>
        <s v="Description 3186"/>
        <s v="Description 3187"/>
        <s v="Description 3188"/>
        <s v="Description 3189"/>
        <s v="Description 3190"/>
        <s v="Description 3191"/>
        <s v="Description 3192"/>
        <s v="Description 3193"/>
        <s v="Description 3194"/>
        <s v="Description 3195"/>
        <s v="Description 3196"/>
        <s v="Description 3197"/>
        <s v="Description 3198"/>
        <s v="Description 3199"/>
        <s v="Description 3200"/>
        <s v="Description 3201"/>
        <s v="Description 3202"/>
        <s v="Description 3203"/>
        <s v="Description 3204"/>
        <s v="Description 3205"/>
        <s v="Description 3206"/>
        <s v="Description 3207"/>
        <s v="Description 3208"/>
        <s v="Description 3209"/>
        <s v="Description 3210"/>
        <s v="Description 3211"/>
        <s v="Description 3212"/>
        <s v="Description 3213"/>
        <s v="Description 3214"/>
        <s v="Description 3215"/>
        <s v="Description 3216"/>
        <s v="Description 3217"/>
        <s v="Description 3218"/>
        <s v="Description 3219"/>
        <s v="Description 3220"/>
        <s v="Description 3221"/>
        <s v="Description 3222"/>
        <s v="Description 3223"/>
        <s v="Description 3224"/>
        <s v="Description 3225"/>
        <s v="Description 3226"/>
        <s v="Description 3227"/>
        <s v="Description 3228"/>
        <s v="Description 3229"/>
        <s v="Description 3230"/>
        <s v="Description 3231"/>
        <s v="Description 3232"/>
        <s v="Description 3233"/>
        <s v="Description 3234"/>
        <s v="Description 3235"/>
        <s v="Description 3236"/>
        <s v="Description 3237"/>
        <s v="Description 3238"/>
        <s v="Description 3239"/>
        <s v="Description 3240"/>
        <s v="Description 3241"/>
        <s v="Description 3242"/>
        <s v="Description 3243"/>
        <s v="Description 3244"/>
        <s v="Description 3245"/>
        <s v="Description 3246"/>
        <s v="Description 3247"/>
        <s v="Description 3248"/>
        <s v="Description 3249"/>
        <s v="Description 3250"/>
        <s v="Description 3251"/>
        <s v="Description 3252"/>
        <s v="Description 3253"/>
        <s v="Description 3254"/>
        <s v="Description 3255"/>
        <s v="Description 3256"/>
        <s v="Description 3257"/>
        <s v="Description 3258"/>
        <s v="Description 3259"/>
        <s v="Description 3260"/>
        <s v="Description 3261"/>
        <s v="Description 3262"/>
        <s v="Description 3263"/>
        <s v="Description 3264"/>
        <s v="Description 3265"/>
        <s v="Description 3266"/>
        <s v="Description 3267"/>
        <s v="Description 3268"/>
        <s v="Description 3269"/>
        <s v="Description 3270"/>
        <s v="Description 3271"/>
        <s v="Description 3272"/>
        <s v="Description 3273"/>
        <s v="Description 3274"/>
        <s v="Description 3275"/>
        <s v="Description 3276"/>
        <s v="Description 3277"/>
        <s v="Description 3278"/>
        <s v="Description 3279"/>
        <s v="Description 3280"/>
        <s v="Description 3281"/>
        <s v="Description 3282"/>
        <s v="Description 3283"/>
        <s v="Description 3284"/>
        <s v="Description 3285"/>
        <s v="Description 3286"/>
        <s v="Description 3287"/>
        <s v="Description 3288"/>
        <s v="Description 3289"/>
        <s v="Description 3290"/>
        <s v="Description 3291"/>
        <s v="Description 3292"/>
        <s v="Description 3293"/>
        <s v="Description 3294"/>
        <s v="Description 3295"/>
        <s v="Description 3296"/>
        <s v="Description 3297"/>
        <s v="Description 3298"/>
        <s v="Description 3299"/>
        <s v="Description 3300"/>
        <s v="Description 3301"/>
        <s v="Description 3302"/>
        <s v="Description 3303"/>
        <s v="Description 3304"/>
        <s v="Description 3305"/>
        <s v="Description 3306"/>
        <s v="Description 3307"/>
        <s v="Description 3308"/>
        <s v="Description 3309"/>
        <s v="Description 3310"/>
        <s v="Description 3311"/>
        <s v="Description 3312"/>
        <s v="Description 3313"/>
        <s v="Description 3314"/>
        <s v="Description 3315"/>
        <s v="Description 3316"/>
        <s v="Description 3317"/>
        <s v="Description 3318"/>
        <s v="Description 3319"/>
        <s v="Description 3320"/>
        <s v="Description 3321"/>
        <s v="Description 3322"/>
        <s v="Description 3323"/>
        <s v="Description 3324"/>
        <s v="Description 3325"/>
        <s v="Description 3326"/>
        <s v="Description 3327"/>
        <s v="Description 3328"/>
        <s v="Description 3329"/>
        <s v="Description 3330"/>
        <s v="Description 3331"/>
        <s v="Description 3332"/>
        <s v="Description 3333"/>
        <s v="Description 3334"/>
        <s v="Description 3335"/>
        <s v="Description 3336"/>
        <s v="Description 3337"/>
        <s v="Description 3338"/>
        <s v="Description 3339"/>
        <s v="Description 3340"/>
        <s v="Description 3341"/>
        <s v="Description 3342"/>
        <s v="Description 3343"/>
        <s v="Description 3344"/>
        <s v="Description 3345"/>
        <s v="Description 3346"/>
        <s v="Description 3347"/>
        <s v="Description 3348"/>
        <s v="Description 3349"/>
        <s v="Description 3350"/>
        <s v="Description 3351"/>
        <s v="Description 3352"/>
        <s v="Description 3353"/>
        <s v="Description 3354"/>
        <s v="Description 3355"/>
        <s v="Description 3356"/>
        <s v="Description 3357"/>
        <s v="Description 3358"/>
        <s v="Description 3359"/>
        <s v="Description 3360"/>
        <s v="Description 3361"/>
        <s v="Description 3362"/>
        <s v="Description 3363"/>
        <s v="Description 3364"/>
        <s v="Description 3365"/>
        <s v="Description 3366"/>
        <s v="Description 3367"/>
        <s v="Description 3368"/>
        <s v="Description 3369"/>
        <s v="Description 3370"/>
        <s v="Description 3371"/>
        <s v="Description 3372"/>
        <s v="Description 3373"/>
        <s v="Description 3374"/>
        <s v="Description 3375"/>
        <s v="Description 3376"/>
        <s v="Description 3377"/>
        <s v="Description 3378"/>
        <s v="Description 3379"/>
        <s v="Description 3380"/>
        <s v="Description 3381"/>
        <s v="Description 3382"/>
        <s v="Description 3383"/>
        <s v="Description 3384"/>
        <s v="Description 3385"/>
        <s v="Description 3386"/>
        <s v="Description 3387"/>
        <s v="Description 3388"/>
        <s v="Description 3389"/>
        <s v="Description 3390"/>
        <s v="Description 3391"/>
        <s v="Description 3392"/>
        <s v="Description 3393"/>
        <s v="Description 3394"/>
        <s v="Description 3395"/>
        <s v="Description 3396"/>
        <s v="Description 3397"/>
        <s v="Description 3398"/>
        <s v="Description 3399"/>
        <s v="Description 3400"/>
        <s v="Description 3401"/>
        <s v="Description 3402"/>
        <s v="Description 3403"/>
        <s v="Description 3404"/>
        <s v="Description 3405"/>
        <s v="Description 3406"/>
        <s v="Description 3407"/>
        <s v="Description 3408"/>
        <s v="Description 3409"/>
        <s v="Description 3410"/>
        <s v="Description 3411"/>
        <s v="Description 3412"/>
        <s v="Description 3413"/>
        <s v="Description 3414"/>
        <s v="Description 3415"/>
        <s v="Description 3416"/>
        <s v="Description 3417"/>
        <s v="Description 3418"/>
        <s v="Description 3419"/>
        <s v="Description 3420"/>
        <s v="Description 3421"/>
        <s v="Description 3422"/>
        <s v="Description 3423"/>
        <s v="Description 3424"/>
        <s v="Description 3425"/>
        <s v="Description 3426"/>
        <s v="Description 3427"/>
        <s v="Description 3428"/>
        <s v="Description 3429"/>
        <s v="Description 3430"/>
        <s v="Description 3431"/>
        <s v="Description 3432"/>
        <s v="Description 3433"/>
        <s v="Description 3434"/>
        <s v="Description 3435"/>
        <s v="Description 3436"/>
        <s v="Description 3437"/>
        <s v="Description 3438"/>
        <s v="Description 3439"/>
        <s v="Description 3440"/>
        <s v="Description 3441"/>
        <s v="Description 3442"/>
        <s v="Description 3443"/>
        <s v="Description 3444"/>
        <s v="Description 3445"/>
        <s v="Description 3446"/>
        <s v="Description 3447"/>
        <s v="Description 3448"/>
        <s v="Description 3449"/>
        <s v="Description 3450"/>
        <s v="Description 3451"/>
        <s v="Description 3452"/>
        <s v="Description 3453"/>
        <s v="Description 3454"/>
        <s v="Description 3455"/>
        <s v="Description 3456"/>
        <s v="Description 3457"/>
        <s v="Description 3458"/>
        <s v="Description 3459"/>
        <s v="Description 3460"/>
        <s v="Description 3461"/>
        <s v="Description 3462"/>
        <s v="Description 3463"/>
        <s v="Description 3464"/>
        <s v="Description 3465"/>
        <s v="Description 3466"/>
        <s v="Description 3467"/>
        <s v="Description 3468"/>
        <s v="Description 3469"/>
        <s v="Description 3470"/>
        <s v="Description 3471"/>
        <s v="Description 3472"/>
        <s v="Description 3473"/>
        <s v="Description 3474"/>
        <s v="Description 3475"/>
        <s v="Description 3476"/>
        <s v="Description 3477"/>
        <s v="Description 3478"/>
        <s v="Description 3479"/>
        <s v="Description 3480"/>
        <s v="Description 3481"/>
        <s v="Description 3482"/>
        <s v="Description 3483"/>
        <s v="Description 3484"/>
        <s v="Description 3485"/>
        <s v="Description 3486"/>
        <s v="Description 3487"/>
        <s v="Description 3488"/>
        <s v="Description 3489"/>
        <s v="Description 3490"/>
        <s v="Description 3491"/>
        <s v="Description 3492"/>
        <s v="Description 3493"/>
        <s v="Description 3494"/>
        <s v="Description 3495"/>
        <s v="Description 3496"/>
        <s v="Description 3497"/>
        <s v="Description 3498"/>
        <s v="Description 3499"/>
        <s v="Description 3500"/>
        <s v="Description 3501"/>
        <s v="Description 3502"/>
        <s v="Description 3503"/>
        <s v="Description 3504"/>
        <s v="Description 3505"/>
        <s v="Description 3506"/>
        <s v="Description 3507"/>
        <s v="Description 3508"/>
        <s v="Description 3509"/>
        <s v="Description 3510"/>
        <s v="Description 3511"/>
        <s v="Description 3512"/>
        <s v="Description 3513"/>
        <s v="Description 3514"/>
        <s v="Description 3515"/>
        <s v="Description 3516"/>
        <s v="Description 3517"/>
        <s v="Description 3518"/>
        <s v="Description 3519"/>
        <s v="Description 3520"/>
        <s v="Description 3521"/>
        <s v="Description 3522"/>
        <s v="Description 3523"/>
        <s v="Description 3524"/>
        <s v="Description 3525"/>
        <s v="Description 3526"/>
        <s v="Description 3527"/>
        <s v="Description 3528"/>
        <s v="Description 3529"/>
        <s v="Description 3530"/>
        <s v="Description 3531"/>
        <s v="Description 3532"/>
        <s v="Description 3533"/>
        <s v="Description 3534"/>
        <s v="Description 3535"/>
        <s v="Description 3536"/>
        <s v="Description 3537"/>
        <s v="Description 3538"/>
        <s v="Description 3539"/>
        <s v="Description 3540"/>
        <s v="Description 3541"/>
        <s v="Description 3542"/>
        <s v="Description 3543"/>
        <s v="Description 3544"/>
        <s v="Description 3545"/>
        <s v="Description 3546"/>
        <s v="Description 3547"/>
        <s v="Description 3548"/>
        <s v="Description 3549"/>
        <s v="Description 3550"/>
        <s v="Description 3551"/>
        <s v="Description 3552"/>
        <s v="Description 3553"/>
        <s v="Description 3554"/>
        <s v="Description 3555"/>
        <s v="Description 3556"/>
        <s v="Description 3557"/>
        <s v="Description 3558"/>
        <s v="Description 3559"/>
        <s v="Description 3560"/>
        <s v="Description 3561"/>
        <s v="Description 3562"/>
        <s v="Description 3563"/>
        <s v="Description 3564"/>
        <s v="Description 3565"/>
        <s v="Description 3566"/>
        <s v="Description 3567"/>
        <s v="Description 3568"/>
        <s v="Description 3569"/>
        <s v="Description 3570"/>
        <s v="Description 3571"/>
        <s v="Description 3572"/>
        <s v="Description 3573"/>
        <s v="Description 3574"/>
        <s v="Description 3575"/>
        <s v="Description 3576"/>
        <s v="Description 3577"/>
        <s v="Description 3578"/>
        <s v="Description 3579"/>
        <s v="Description 3580"/>
        <s v="Description 3581"/>
        <s v="Description 3582"/>
        <s v="Description 3583"/>
        <s v="Description 3584"/>
        <s v="Description 3585"/>
        <s v="Description 3586"/>
        <s v="Description 3587"/>
        <s v="Description 3588"/>
        <s v="Description 3589"/>
        <s v="Description 3590"/>
        <s v="Description 3591"/>
        <s v="Description 3592"/>
        <s v="Description 3593"/>
        <s v="Description 3594"/>
        <s v="Description 3595"/>
        <s v="Description 3596"/>
        <s v="Description 3597"/>
        <s v="Description 3598"/>
        <s v="Description 3599"/>
        <s v="Description 3600"/>
        <s v="Description 3601"/>
        <s v="Description 3602"/>
        <s v="Description 3603"/>
        <s v="Description 3604"/>
        <s v="Description 3605"/>
        <s v="Description 3606"/>
        <s v="Description 3607"/>
        <s v="Description 3608"/>
        <s v="Description 3609"/>
        <s v="Description 3610"/>
        <s v="Description 3611"/>
        <s v="Description 3612"/>
        <s v="Description 3613"/>
        <s v="Description 3614"/>
        <s v="Description 3615"/>
        <s v="Description 3616"/>
        <s v="Description 3617"/>
        <s v="Description 3618"/>
        <s v="Description 3619"/>
        <s v="Description 3620"/>
        <s v="Description 3621"/>
        <s v="Description 3622"/>
        <s v="Description 3623"/>
        <s v="Description 3624"/>
        <s v="Description 3625"/>
        <s v="Description 3626"/>
        <s v="Description 3627"/>
        <s v="Description 3628"/>
        <s v="Description 3629"/>
        <s v="Description 3630"/>
        <s v="Description 3631"/>
        <s v="Description 3632"/>
        <s v="Description 3633"/>
        <s v="Description 3634"/>
        <s v="Description 3635"/>
        <s v="Description 3636"/>
        <s v="Description 3637"/>
        <s v="Description 3638"/>
        <s v="Description 3639"/>
        <s v="Description 3640"/>
        <s v="Description 3641"/>
        <s v="Description 3642"/>
        <s v="Description 3643"/>
        <s v="Description 3644"/>
        <s v="Description 3645"/>
        <s v="Description 3646"/>
        <s v="Description 3647"/>
        <s v="Description 3648"/>
        <s v="Description 3649"/>
        <s v="Description 3650"/>
        <s v="Description 3651"/>
        <s v="Description 3652"/>
        <s v="Description 3653"/>
        <s v="Description 3654"/>
        <s v="Description 3655"/>
        <s v="Description 3656"/>
        <s v="Description 3657"/>
        <s v="Description 3658"/>
        <s v="Description 3659"/>
        <s v="Description 3660"/>
        <s v="Description 3661"/>
        <s v="Description 3662"/>
        <s v="Description 3663"/>
        <s v="Description 3664"/>
        <s v="Description 3665"/>
        <s v="Description 3666"/>
        <s v="Description 3667"/>
        <s v="Description 3668"/>
        <s v="Description 3669"/>
        <s v="Description 3670"/>
        <s v="Description 3671"/>
        <s v="Description 3672"/>
        <s v="Description 3673"/>
        <s v="Description 3674"/>
        <s v="Description 3675"/>
        <s v="Description 3676"/>
        <s v="Description 3677"/>
        <s v="Description 3678"/>
        <s v="Description 3679"/>
        <s v="Description 3680"/>
        <s v="Description 3681"/>
        <s v="Description 3682"/>
        <s v="Description 3683"/>
        <s v="Description 3684"/>
        <s v="Description 3685"/>
        <s v="Description 3686"/>
        <s v="Description 3687"/>
        <s v="Description 3688"/>
        <s v="Description 3689"/>
        <s v="Description 3690"/>
        <s v="Description 3691"/>
        <s v="Description 3692"/>
        <s v="Description 3693"/>
        <s v="Description 3694"/>
        <s v="Description 3695"/>
        <s v="Description 3696"/>
        <s v="Description 3697"/>
        <s v="Description 3698"/>
        <s v="Description 3699"/>
        <s v="Description 3700"/>
        <s v="Description 3701"/>
        <s v="Description 3702"/>
        <s v="Description 3703"/>
        <s v="Description 3704"/>
        <s v="Description 3705"/>
        <s v="Description 3706"/>
        <s v="Description 3707"/>
        <s v="Description 3708"/>
        <s v="Description 3709"/>
        <s v="Description 3710"/>
        <s v="Description 3711"/>
        <s v="Description 3712"/>
        <s v="Description 3713"/>
        <s v="Description 3714"/>
        <s v="Description 3715"/>
        <s v="Description 3716"/>
        <s v="Description 3717"/>
        <s v="Description 3718"/>
        <s v="Description 3719"/>
        <s v="Description 3720"/>
        <s v="Description 3721"/>
        <s v="Description 3722"/>
        <s v="Description 3723"/>
        <s v="Description 3724"/>
        <s v="Description 3725"/>
        <s v="Description 3726"/>
        <s v="Description 3727"/>
        <s v="Description 3728"/>
        <s v="Description 3729"/>
        <s v="Description 3730"/>
        <s v="Description 3731"/>
        <s v="Description 3732"/>
        <s v="Description 3733"/>
        <s v="Description 3734"/>
        <s v="Description 3735"/>
        <s v="Description 3736"/>
        <s v="Description 3737"/>
        <s v="Description 3738"/>
        <s v="Description 3739"/>
        <s v="Description 3740"/>
        <s v="Description 3741"/>
        <s v="Description 3742"/>
        <s v="Description 3743"/>
        <s v="Description 3744"/>
        <s v="Description 3745"/>
        <s v="Description 3746"/>
        <s v="Description 3747"/>
        <s v="Description 3748"/>
        <s v="Description 3749"/>
        <s v="Description 3750"/>
        <s v="Description 3751"/>
        <s v="Description 3752"/>
        <s v="Description 3753"/>
        <s v="Description 3754"/>
        <s v="Description 3755"/>
        <s v="Description 3756"/>
        <s v="Description 3757"/>
        <s v="Description 3758"/>
        <s v="Description 3759"/>
        <s v="Description 3760"/>
        <s v="Description 3761"/>
        <s v="Description 3762"/>
        <s v="Description 3763"/>
        <s v="Description 3764"/>
        <s v="Description 3765"/>
        <s v="Description 3766"/>
        <s v="Description 3767"/>
        <s v="Description 3768"/>
        <s v="Description 3769"/>
        <s v="Description 3770"/>
        <s v="Description 3771"/>
        <s v="Description 3772"/>
        <s v="Description 3773"/>
        <s v="Description 3774"/>
        <s v="Description 3775"/>
        <s v="Description 3776"/>
        <s v="Description 3777"/>
        <s v="Description 3778"/>
        <s v="Description 3779"/>
        <s v="Description 3780"/>
        <s v="Description 3781"/>
        <s v="Description 3782"/>
        <s v="Description 3783"/>
        <s v="Description 3784"/>
        <s v="Description 3785"/>
        <s v="Description 3786"/>
        <s v="Description 3787"/>
        <s v="Description 3788"/>
        <s v="Description 3789"/>
        <s v="Description 3790"/>
        <s v="Description 3791"/>
        <s v="Description 3792"/>
        <s v="Description 3793"/>
        <s v="Description 3794"/>
        <s v="Description 3795"/>
        <s v="Description 3796"/>
        <s v="Description 3797"/>
        <s v="Description 3798"/>
        <s v="Description 3799"/>
        <s v="Description 3800"/>
        <s v="Description 3801"/>
        <s v="Description 3802"/>
        <s v="Description 3803"/>
        <s v="Description 3804"/>
        <s v="Description 3805"/>
        <s v="Description 3806"/>
        <s v="Description 3807"/>
        <s v="Description 3808"/>
        <s v="Description 3809"/>
        <s v="Description 3810"/>
        <s v="Description 3811"/>
        <s v="Description 3812"/>
        <s v="Description 3813"/>
        <s v="Description 3814"/>
        <s v="Description 3815"/>
        <s v="Description 3816"/>
        <s v="Description 3817"/>
        <s v="Description 3818"/>
        <s v="Description 3819"/>
        <s v="Description 3820"/>
        <s v="Description 3821"/>
        <s v="Description 3822"/>
        <s v="Description 3823"/>
        <s v="Description 3824"/>
        <s v="Description 3825"/>
        <s v="Description 3826"/>
        <s v="Description 3827"/>
        <s v="Description 3828"/>
        <s v="Description 3829"/>
        <s v="Description 3830"/>
        <s v="Description 3831"/>
        <s v="Description 3832"/>
        <s v="Description 3833"/>
        <s v="Description 3834"/>
        <s v="Description 3835"/>
        <s v="Description 3836"/>
        <s v="Description 3837"/>
        <s v="Description 3838"/>
        <s v="Description 3839"/>
        <s v="Description 3840"/>
        <s v="Description 3841"/>
        <s v="Description 3842"/>
        <s v="Description 3843"/>
        <s v="Description 3844"/>
        <s v="Description 3845"/>
        <s v="Description 3846"/>
        <s v="Description 3847"/>
        <s v="Description 3848"/>
        <s v="Description 3849"/>
        <s v="Description 3850"/>
        <s v="Description 3851"/>
        <s v="Description 3852"/>
        <s v="Description 3853"/>
        <s v="Description 3854"/>
        <s v="Description 3855"/>
        <s v="Description 3856"/>
        <s v="Description 3857"/>
        <s v="Description 3858"/>
        <s v="Description 3859"/>
        <s v="Description 3860"/>
        <s v="Description 3861"/>
        <s v="Description 3862"/>
        <s v="Description 3863"/>
        <s v="Description 3864"/>
        <s v="Description 3865"/>
        <s v="Description 3866"/>
        <s v="Description 3867"/>
        <s v="Description 3868"/>
        <s v="Description 3869"/>
        <s v="Description 3870"/>
        <s v="Description 3871"/>
        <s v="Description 3872"/>
        <s v="Description 3873"/>
        <s v="Description 3874"/>
        <s v="Description 3875"/>
        <m/>
      </sharedItems>
    </cacheField>
    <cacheField name="CODE" numFmtId="0">
      <sharedItems containsBlank="1" count="3876">
        <s v="Code 1"/>
        <s v="Code 2"/>
        <s v="Code 3"/>
        <s v="Code 4"/>
        <s v="Code 5"/>
        <s v="Code 6"/>
        <s v="Code 7"/>
        <s v="Code 8"/>
        <s v="Code 9"/>
        <s v="Code 10"/>
        <s v="Code 11"/>
        <s v="Code 12"/>
        <s v="Code 13"/>
        <s v="Code 14"/>
        <s v="Code 15"/>
        <s v="Code 16"/>
        <s v="Code 17"/>
        <s v="Code 18"/>
        <s v="Code 19"/>
        <s v="Code 20"/>
        <s v="Code 21"/>
        <s v="Code 22"/>
        <s v="Code 23"/>
        <s v="Code 24"/>
        <s v="Code 25"/>
        <s v="Code 26"/>
        <s v="Code 27"/>
        <s v="Code 28"/>
        <s v="Code 29"/>
        <s v="Code 30"/>
        <s v="Code 31"/>
        <s v="Code 32"/>
        <s v="Code 33"/>
        <s v="Code 34"/>
        <s v="Code 35"/>
        <s v="Code 36"/>
        <s v="Code 37"/>
        <s v="Code 38"/>
        <s v="Code 39"/>
        <s v="Code 40"/>
        <s v="Code 41"/>
        <s v="Code 42"/>
        <s v="Code 43"/>
        <s v="Code 44"/>
        <s v="Code 45"/>
        <s v="Code 46"/>
        <s v="Code 47"/>
        <s v="Code 48"/>
        <s v="Code 49"/>
        <s v="Code 50"/>
        <s v="Code 51"/>
        <s v="Code 52"/>
        <s v="Code 53"/>
        <s v="Code 54"/>
        <s v="Code 55"/>
        <s v="Code 56"/>
        <s v="Code 57"/>
        <s v="Code 58"/>
        <s v="Code 59"/>
        <s v="Code 60"/>
        <s v="Code 61"/>
        <s v="Code 62"/>
        <s v="Code 63"/>
        <s v="Code 64"/>
        <s v="Code 65"/>
        <s v="Code 66"/>
        <s v="Code 67"/>
        <s v="Code 68"/>
        <s v="Code 69"/>
        <s v="Code 70"/>
        <s v="Code 71"/>
        <s v="Code 72"/>
        <s v="Code 73"/>
        <s v="Code 74"/>
        <s v="Code 75"/>
        <s v="Code 76"/>
        <s v="Code 77"/>
        <s v="Code 78"/>
        <s v="Code 79"/>
        <s v="Code 80"/>
        <s v="Code 81"/>
        <s v="Code 82"/>
        <s v="Code 83"/>
        <s v="Code 84"/>
        <s v="Code 85"/>
        <s v="Code 86"/>
        <s v="Code 87"/>
        <s v="Code 88"/>
        <s v="Code 89"/>
        <s v="Code 90"/>
        <s v="Code 91"/>
        <s v="Code 92"/>
        <s v="Code 93"/>
        <s v="Code 94"/>
        <s v="Code 95"/>
        <s v="Code 96"/>
        <s v="Code 97"/>
        <s v="Code 98"/>
        <s v="Code 99"/>
        <s v="Code 100"/>
        <s v="Code 101"/>
        <s v="Code 102"/>
        <s v="Code 103"/>
        <s v="Code 104"/>
        <s v="Code 105"/>
        <s v="Code 106"/>
        <s v="Code 107"/>
        <s v="Code 108"/>
        <s v="Code 109"/>
        <s v="Code 110"/>
        <s v="Code 111"/>
        <s v="Code 112"/>
        <s v="Code 113"/>
        <s v="Code 114"/>
        <s v="Code 115"/>
        <s v="Code 116"/>
        <s v="Code 117"/>
        <s v="Code 118"/>
        <s v="Code 119"/>
        <s v="Code 120"/>
        <s v="Code 121"/>
        <s v="Code 122"/>
        <s v="Code 123"/>
        <s v="Code 124"/>
        <s v="Code 125"/>
        <s v="Code 126"/>
        <s v="Code 127"/>
        <s v="Code 128"/>
        <s v="Code 129"/>
        <s v="Code 130"/>
        <s v="Code 131"/>
        <s v="Code 132"/>
        <s v="Code 133"/>
        <s v="Code 134"/>
        <s v="Code 135"/>
        <s v="Code 136"/>
        <s v="Code 137"/>
        <s v="Code 138"/>
        <s v="Code 139"/>
        <s v="Code 140"/>
        <s v="Code 141"/>
        <s v="Code 142"/>
        <s v="Code 143"/>
        <s v="Code 144"/>
        <s v="Code 145"/>
        <s v="Code 146"/>
        <s v="Code 147"/>
        <s v="Code 148"/>
        <s v="Code 149"/>
        <s v="Code 150"/>
        <s v="Code 151"/>
        <s v="Code 152"/>
        <s v="Code 153"/>
        <s v="Code 154"/>
        <s v="Code 155"/>
        <s v="Code 156"/>
        <s v="Code 157"/>
        <s v="Code 158"/>
        <s v="Code 159"/>
        <s v="Code 160"/>
        <s v="Code 161"/>
        <s v="Code 162"/>
        <s v="Code 163"/>
        <s v="Code 164"/>
        <s v="Code 165"/>
        <s v="Code 166"/>
        <s v="Code 167"/>
        <s v="Code 168"/>
        <s v="Code 169"/>
        <s v="Code 170"/>
        <s v="Code 171"/>
        <s v="Code 172"/>
        <s v="Code 173"/>
        <s v="Code 174"/>
        <s v="Code 175"/>
        <s v="Code 176"/>
        <s v="Code 177"/>
        <s v="Code 178"/>
        <s v="Code 179"/>
        <s v="Code 180"/>
        <s v="Code 181"/>
        <s v="Code 182"/>
        <s v="Code 183"/>
        <s v="Code 184"/>
        <s v="Code 185"/>
        <s v="Code 186"/>
        <s v="Code 187"/>
        <s v="Code 188"/>
        <s v="Code 189"/>
        <s v="Code 190"/>
        <s v="Code 191"/>
        <s v="Code 192"/>
        <s v="Code 193"/>
        <s v="Code 194"/>
        <s v="Code 195"/>
        <s v="Code 196"/>
        <s v="Code 197"/>
        <s v="Code 198"/>
        <s v="Code 199"/>
        <s v="Code 200"/>
        <s v="Code 201"/>
        <s v="Code 202"/>
        <s v="Code 203"/>
        <s v="Code 204"/>
        <s v="Code 205"/>
        <s v="Code 206"/>
        <s v="Code 207"/>
        <s v="Code 208"/>
        <s v="Code 209"/>
        <s v="Code 210"/>
        <s v="Code 211"/>
        <s v="Code 212"/>
        <s v="Code 213"/>
        <s v="Code 214"/>
        <s v="Code 215"/>
        <s v="Code 216"/>
        <s v="Code 217"/>
        <s v="Code 218"/>
        <s v="Code 219"/>
        <s v="Code 220"/>
        <s v="Code 221"/>
        <s v="Code 222"/>
        <s v="Code 223"/>
        <s v="Code 224"/>
        <s v="Code 225"/>
        <s v="Code 226"/>
        <s v="Code 227"/>
        <s v="Code 228"/>
        <s v="Code 229"/>
        <s v="Code 230"/>
        <s v="Code 231"/>
        <s v="Code 232"/>
        <s v="Code 233"/>
        <s v="Code 234"/>
        <s v="Code 235"/>
        <s v="Code 236"/>
        <s v="Code 237"/>
        <s v="Code 238"/>
        <s v="Code 239"/>
        <s v="Code 240"/>
        <s v="Code 241"/>
        <s v="Code 242"/>
        <s v="Code 243"/>
        <s v="Code 244"/>
        <s v="Code 245"/>
        <s v="Code 246"/>
        <s v="Code 247"/>
        <s v="Code 248"/>
        <s v="Code 249"/>
        <s v="Code 250"/>
        <s v="Code 251"/>
        <s v="Code 252"/>
        <s v="Code 253"/>
        <s v="Code 254"/>
        <s v="Code 255"/>
        <s v="Code 256"/>
        <s v="Code 257"/>
        <s v="Code 258"/>
        <s v="Code 259"/>
        <s v="Code 260"/>
        <s v="Code 261"/>
        <s v="Code 262"/>
        <s v="Code 263"/>
        <s v="Code 264"/>
        <s v="Code 265"/>
        <s v="Code 266"/>
        <s v="Code 267"/>
        <s v="Code 268"/>
        <s v="Code 269"/>
        <s v="Code 270"/>
        <s v="Code 271"/>
        <s v="Code 272"/>
        <s v="Code 273"/>
        <s v="Code 274"/>
        <s v="Code 275"/>
        <s v="Code 276"/>
        <s v="Code 277"/>
        <s v="Code 278"/>
        <s v="Code 279"/>
        <s v="Code 280"/>
        <s v="Code 281"/>
        <s v="Code 282"/>
        <s v="Code 283"/>
        <s v="Code 284"/>
        <s v="Code 285"/>
        <s v="Code 286"/>
        <s v="Code 287"/>
        <s v="Code 288"/>
        <s v="Code 289"/>
        <s v="Code 290"/>
        <s v="Code 291"/>
        <s v="Code 292"/>
        <s v="Code 293"/>
        <s v="Code 294"/>
        <s v="Code 295"/>
        <s v="Code 296"/>
        <s v="Code 297"/>
        <s v="Code 298"/>
        <s v="Code 299"/>
        <s v="Code 300"/>
        <s v="Code 301"/>
        <s v="Code 302"/>
        <s v="Code 303"/>
        <s v="Code 304"/>
        <s v="Code 305"/>
        <s v="Code 306"/>
        <s v="Code 307"/>
        <s v="Code 308"/>
        <s v="Code 309"/>
        <s v="Code 310"/>
        <s v="Code 311"/>
        <s v="Code 312"/>
        <s v="Code 313"/>
        <s v="Code 314"/>
        <s v="Code 315"/>
        <s v="Code 316"/>
        <s v="Code 317"/>
        <s v="Code 318"/>
        <s v="Code 319"/>
        <s v="Code 320"/>
        <s v="Code 321"/>
        <s v="Code 322"/>
        <s v="Code 323"/>
        <s v="Code 324"/>
        <s v="Code 325"/>
        <s v="Code 326"/>
        <s v="Code 327"/>
        <s v="Code 328"/>
        <s v="Code 329"/>
        <s v="Code 330"/>
        <s v="Code 331"/>
        <s v="Code 332"/>
        <s v="Code 333"/>
        <s v="Code 334"/>
        <s v="Code 335"/>
        <s v="Code 336"/>
        <s v="Code 337"/>
        <s v="Code 338"/>
        <s v="Code 339"/>
        <s v="Code 340"/>
        <s v="Code 341"/>
        <s v="Code 342"/>
        <s v="Code 343"/>
        <s v="Code 344"/>
        <s v="Code 345"/>
        <s v="Code 346"/>
        <s v="Code 347"/>
        <s v="Code 348"/>
        <s v="Code 349"/>
        <s v="Code 350"/>
        <s v="Code 351"/>
        <s v="Code 352"/>
        <s v="Code 353"/>
        <s v="Code 354"/>
        <s v="Code 355"/>
        <s v="Code 356"/>
        <s v="Code 357"/>
        <s v="Code 358"/>
        <s v="Code 359"/>
        <s v="Code 360"/>
        <s v="Code 361"/>
        <s v="Code 362"/>
        <s v="Code 363"/>
        <s v="Code 364"/>
        <s v="Code 365"/>
        <s v="Code 366"/>
        <s v="Code 367"/>
        <s v="Code 368"/>
        <s v="Code 369"/>
        <s v="Code 370"/>
        <s v="Code 371"/>
        <s v="Code 372"/>
        <s v="Code 373"/>
        <s v="Code 374"/>
        <s v="Code 375"/>
        <s v="Code 376"/>
        <s v="Code 377"/>
        <s v="Code 378"/>
        <s v="Code 379"/>
        <s v="Code 380"/>
        <s v="Code 381"/>
        <s v="Code 382"/>
        <s v="Code 383"/>
        <s v="Code 384"/>
        <s v="Code 385"/>
        <s v="Code 386"/>
        <s v="Code 387"/>
        <s v="Code 388"/>
        <s v="Code 389"/>
        <s v="Code 390"/>
        <s v="Code 391"/>
        <s v="Code 392"/>
        <s v="Code 393"/>
        <s v="Code 394"/>
        <s v="Code 395"/>
        <s v="Code 396"/>
        <s v="Code 397"/>
        <s v="Code 398"/>
        <s v="Code 399"/>
        <s v="Code 400"/>
        <s v="Code 401"/>
        <s v="Code 402"/>
        <s v="Code 403"/>
        <s v="Code 404"/>
        <s v="Code 405"/>
        <s v="Code 406"/>
        <s v="Code 407"/>
        <s v="Code 408"/>
        <s v="Code 409"/>
        <s v="Code 410"/>
        <s v="Code 411"/>
        <s v="Code 412"/>
        <s v="Code 413"/>
        <s v="Code 414"/>
        <s v="Code 415"/>
        <s v="Code 416"/>
        <s v="Code 417"/>
        <s v="Code 418"/>
        <s v="Code 419"/>
        <s v="Code 420"/>
        <s v="Code 421"/>
        <s v="Code 422"/>
        <s v="Code 423"/>
        <s v="Code 424"/>
        <s v="Code 425"/>
        <s v="Code 426"/>
        <s v="Code 427"/>
        <s v="Code 428"/>
        <s v="Code 429"/>
        <s v="Code 430"/>
        <s v="Code 431"/>
        <s v="Code 432"/>
        <s v="Code 433"/>
        <s v="Code 434"/>
        <s v="Code 435"/>
        <s v="Code 436"/>
        <s v="Code 437"/>
        <s v="Code 438"/>
        <s v="Code 439"/>
        <s v="Code 440"/>
        <s v="Code 441"/>
        <s v="Code 442"/>
        <s v="Code 443"/>
        <s v="Code 444"/>
        <s v="Code 445"/>
        <s v="Code 446"/>
        <s v="Code 447"/>
        <s v="Code 448"/>
        <s v="Code 449"/>
        <s v="Code 450"/>
        <s v="Code 451"/>
        <s v="Code 452"/>
        <s v="Code 453"/>
        <s v="Code 454"/>
        <s v="Code 455"/>
        <s v="Code 456"/>
        <s v="Code 457"/>
        <s v="Code 458"/>
        <s v="Code 459"/>
        <s v="Code 460"/>
        <s v="Code 461"/>
        <s v="Code 462"/>
        <s v="Code 463"/>
        <s v="Code 464"/>
        <s v="Code 465"/>
        <s v="Code 466"/>
        <s v="Code 467"/>
        <s v="Code 468"/>
        <s v="Code 469"/>
        <s v="Code 470"/>
        <s v="Code 471"/>
        <s v="Code 472"/>
        <s v="Code 473"/>
        <s v="Code 474"/>
        <s v="Code 475"/>
        <s v="Code 476"/>
        <s v="Code 477"/>
        <s v="Code 478"/>
        <s v="Code 479"/>
        <s v="Code 480"/>
        <s v="Code 481"/>
        <s v="Code 482"/>
        <s v="Code 483"/>
        <s v="Code 484"/>
        <s v="Code 485"/>
        <s v="Code 486"/>
        <s v="Code 487"/>
        <s v="Code 488"/>
        <s v="Code 489"/>
        <s v="Code 490"/>
        <s v="Code 491"/>
        <s v="Code 492"/>
        <s v="Code 493"/>
        <s v="Code 494"/>
        <s v="Code 495"/>
        <s v="Code 496"/>
        <s v="Code 497"/>
        <s v="Code 498"/>
        <s v="Code 499"/>
        <s v="Code 500"/>
        <s v="Code 501"/>
        <s v="Code 502"/>
        <s v="Code 503"/>
        <s v="Code 504"/>
        <s v="Code 505"/>
        <s v="Code 506"/>
        <s v="Code 507"/>
        <s v="Code 508"/>
        <s v="Code 509"/>
        <s v="Code 510"/>
        <s v="Code 511"/>
        <s v="Code 512"/>
        <s v="Code 513"/>
        <s v="Code 514"/>
        <s v="Code 515"/>
        <s v="Code 516"/>
        <s v="Code 517"/>
        <s v="Code 518"/>
        <s v="Code 519"/>
        <s v="Code 520"/>
        <s v="Code 521"/>
        <s v="Code 522"/>
        <s v="Code 523"/>
        <s v="Code 524"/>
        <s v="Code 525"/>
        <s v="Code 526"/>
        <s v="Code 527"/>
        <s v="Code 528"/>
        <s v="Code 529"/>
        <s v="Code 530"/>
        <s v="Code 531"/>
        <s v="Code 532"/>
        <s v="Code 533"/>
        <s v="Code 534"/>
        <s v="Code 535"/>
        <s v="Code 536"/>
        <s v="Code 537"/>
        <s v="Code 538"/>
        <s v="Code 539"/>
        <s v="Code 540"/>
        <s v="Code 541"/>
        <s v="Code 542"/>
        <s v="Code 543"/>
        <s v="Code 544"/>
        <s v="Code 545"/>
        <s v="Code 546"/>
        <s v="Code 547"/>
        <s v="Code 548"/>
        <s v="Code 549"/>
        <s v="Code 550"/>
        <s v="Code 551"/>
        <s v="Code 552"/>
        <s v="Code 553"/>
        <s v="Code 554"/>
        <s v="Code 555"/>
        <s v="Code 556"/>
        <s v="Code 557"/>
        <s v="Code 558"/>
        <s v="Code 559"/>
        <s v="Code 560"/>
        <s v="Code 561"/>
        <s v="Code 562"/>
        <s v="Code 563"/>
        <s v="Code 564"/>
        <s v="Code 565"/>
        <s v="Code 566"/>
        <s v="Code 567"/>
        <s v="Code 568"/>
        <s v="Code 569"/>
        <s v="Code 570"/>
        <s v="Code 571"/>
        <s v="Code 572"/>
        <s v="Code 573"/>
        <s v="Code 574"/>
        <s v="Code 575"/>
        <s v="Code 576"/>
        <s v="Code 577"/>
        <s v="Code 578"/>
        <s v="Code 579"/>
        <s v="Code 580"/>
        <s v="Code 581"/>
        <s v="Code 582"/>
        <s v="Code 583"/>
        <s v="Code 584"/>
        <s v="Code 585"/>
        <s v="Code 586"/>
        <s v="Code 587"/>
        <s v="Code 588"/>
        <s v="Code 589"/>
        <s v="Code 590"/>
        <s v="Code 591"/>
        <s v="Code 592"/>
        <s v="Code 593"/>
        <s v="Code 594"/>
        <s v="Code 595"/>
        <s v="Code 596"/>
        <s v="Code 597"/>
        <s v="Code 598"/>
        <s v="Code 599"/>
        <s v="Code 600"/>
        <s v="Code 601"/>
        <s v="Code 602"/>
        <s v="Code 603"/>
        <s v="Code 604"/>
        <s v="Code 605"/>
        <s v="Code 606"/>
        <s v="Code 607"/>
        <s v="Code 608"/>
        <s v="Code 609"/>
        <s v="Code 610"/>
        <s v="Code 611"/>
        <s v="Code 612"/>
        <s v="Code 613"/>
        <s v="Code 614"/>
        <s v="Code 615"/>
        <s v="Code 616"/>
        <s v="Code 617"/>
        <s v="Code 618"/>
        <s v="Code 619"/>
        <s v="Code 620"/>
        <s v="Code 621"/>
        <s v="Code 622"/>
        <s v="Code 623"/>
        <s v="Code 624"/>
        <s v="Code 625"/>
        <s v="Code 626"/>
        <s v="Code 627"/>
        <s v="Code 628"/>
        <s v="Code 629"/>
        <s v="Code 630"/>
        <s v="Code 631"/>
        <s v="Code 632"/>
        <s v="Code 633"/>
        <s v="Code 634"/>
        <s v="Code 635"/>
        <s v="Code 636"/>
        <s v="Code 637"/>
        <s v="Code 638"/>
        <s v="Code 639"/>
        <s v="Code 640"/>
        <s v="Code 641"/>
        <s v="Code 642"/>
        <s v="Code 643"/>
        <s v="Code 644"/>
        <s v="Code 645"/>
        <s v="Code 646"/>
        <s v="Code 647"/>
        <s v="Code 648"/>
        <s v="Code 649"/>
        <s v="Code 650"/>
        <s v="Code 651"/>
        <s v="Code 652"/>
        <s v="Code 653"/>
        <s v="Code 654"/>
        <s v="Code 655"/>
        <s v="Code 656"/>
        <s v="Code 657"/>
        <s v="Code 658"/>
        <s v="Code 659"/>
        <s v="Code 660"/>
        <s v="Code 661"/>
        <s v="Code 662"/>
        <s v="Code 663"/>
        <s v="Code 664"/>
        <s v="Code 665"/>
        <s v="Code 666"/>
        <s v="Code 667"/>
        <s v="Code 668"/>
        <s v="Code 669"/>
        <s v="Code 670"/>
        <s v="Code 671"/>
        <s v="Code 672"/>
        <s v="Code 673"/>
        <s v="Code 674"/>
        <s v="Code 675"/>
        <s v="Code 676"/>
        <s v="Code 677"/>
        <s v="Code 678"/>
        <s v="Code 679"/>
        <s v="Code 680"/>
        <s v="Code 681"/>
        <s v="Code 682"/>
        <s v="Code 683"/>
        <s v="Code 684"/>
        <s v="Code 685"/>
        <s v="Code 686"/>
        <s v="Code 687"/>
        <s v="Code 688"/>
        <s v="Code 689"/>
        <s v="Code 690"/>
        <s v="Code 691"/>
        <s v="Code 692"/>
        <s v="Code 693"/>
        <s v="Code 694"/>
        <s v="Code 695"/>
        <s v="Code 696"/>
        <s v="Code 697"/>
        <s v="Code 698"/>
        <s v="Code 699"/>
        <s v="Code 700"/>
        <s v="Code 701"/>
        <s v="Code 702"/>
        <s v="Code 703"/>
        <s v="Code 704"/>
        <s v="Code 705"/>
        <s v="Code 706"/>
        <s v="Code 707"/>
        <s v="Code 708"/>
        <s v="Code 709"/>
        <s v="Code 710"/>
        <s v="Code 711"/>
        <s v="Code 712"/>
        <s v="Code 713"/>
        <s v="Code 714"/>
        <s v="Code 715"/>
        <s v="Code 716"/>
        <s v="Code 717"/>
        <s v="Code 718"/>
        <s v="Code 719"/>
        <s v="Code 720"/>
        <s v="Code 721"/>
        <s v="Code 722"/>
        <s v="Code 723"/>
        <s v="Code 724"/>
        <s v="Code 725"/>
        <s v="Code 726"/>
        <s v="Code 727"/>
        <s v="Code 728"/>
        <s v="Code 729"/>
        <s v="Code 730"/>
        <s v="Code 731"/>
        <s v="Code 732"/>
        <s v="Code 733"/>
        <s v="Code 734"/>
        <s v="Code 735"/>
        <s v="Code 736"/>
        <s v="Code 737"/>
        <s v="Code 738"/>
        <s v="Code 739"/>
        <s v="Code 740"/>
        <s v="Code 741"/>
        <s v="Code 742"/>
        <s v="Code 743"/>
        <s v="Code 744"/>
        <s v="Code 745"/>
        <s v="Code 746"/>
        <s v="Code 747"/>
        <s v="Code 748"/>
        <s v="Code 749"/>
        <s v="Code 750"/>
        <s v="Code 751"/>
        <s v="Code 752"/>
        <s v="Code 753"/>
        <s v="Code 754"/>
        <s v="Code 755"/>
        <s v="Code 756"/>
        <s v="Code 757"/>
        <s v="Code 758"/>
        <s v="Code 759"/>
        <s v="Code 760"/>
        <s v="Code 761"/>
        <s v="Code 762"/>
        <s v="Code 763"/>
        <s v="Code 764"/>
        <s v="Code 765"/>
        <s v="Code 766"/>
        <s v="Code 767"/>
        <s v="Code 768"/>
        <s v="Code 769"/>
        <s v="Code 770"/>
        <s v="Code 771"/>
        <s v="Code 772"/>
        <s v="Code 773"/>
        <s v="Code 774"/>
        <s v="Code 775"/>
        <s v="Code 776"/>
        <s v="Code 777"/>
        <s v="Code 778"/>
        <s v="Code 779"/>
        <s v="Code 780"/>
        <s v="Code 781"/>
        <s v="Code 782"/>
        <s v="Code 783"/>
        <s v="Code 784"/>
        <s v="Code 785"/>
        <s v="Code 786"/>
        <s v="Code 787"/>
        <s v="Code 788"/>
        <s v="Code 789"/>
        <s v="Code 790"/>
        <s v="Code 791"/>
        <s v="Code 792"/>
        <s v="Code 793"/>
        <s v="Code 794"/>
        <s v="Code 795"/>
        <s v="Code 796"/>
        <s v="Code 797"/>
        <s v="Code 798"/>
        <s v="Code 799"/>
        <s v="Code 800"/>
        <s v="Code 801"/>
        <s v="Code 802"/>
        <s v="Code 803"/>
        <s v="Code 804"/>
        <s v="Code 805"/>
        <s v="Code 806"/>
        <s v="Code 807"/>
        <s v="Code 808"/>
        <s v="Code 809"/>
        <s v="Code 810"/>
        <s v="Code 811"/>
        <s v="Code 812"/>
        <s v="Code 813"/>
        <s v="Code 814"/>
        <s v="Code 815"/>
        <s v="Code 816"/>
        <s v="Code 817"/>
        <s v="Code 818"/>
        <s v="Code 819"/>
        <s v="Code 820"/>
        <s v="Code 821"/>
        <s v="Code 822"/>
        <s v="Code 823"/>
        <s v="Code 824"/>
        <s v="Code 825"/>
        <s v="Code 826"/>
        <s v="Code 827"/>
        <s v="Code 828"/>
        <s v="Code 829"/>
        <s v="Code 830"/>
        <s v="Code 831"/>
        <s v="Code 832"/>
        <s v="Code 833"/>
        <s v="Code 834"/>
        <s v="Code 835"/>
        <s v="Code 836"/>
        <s v="Code 837"/>
        <s v="Code 838"/>
        <s v="Code 839"/>
        <s v="Code 840"/>
        <s v="Code 841"/>
        <s v="Code 842"/>
        <s v="Code 843"/>
        <s v="Code 844"/>
        <s v="Code 845"/>
        <s v="Code 846"/>
        <s v="Code 847"/>
        <s v="Code 848"/>
        <s v="Code 849"/>
        <s v="Code 850"/>
        <s v="Code 851"/>
        <s v="Code 852"/>
        <s v="Code 853"/>
        <s v="Code 854"/>
        <s v="Code 855"/>
        <s v="Code 856"/>
        <s v="Code 857"/>
        <s v="Code 858"/>
        <s v="Code 859"/>
        <s v="Code 860"/>
        <s v="Code 861"/>
        <s v="Code 862"/>
        <s v="Code 863"/>
        <s v="Code 864"/>
        <s v="Code 865"/>
        <s v="Code 866"/>
        <s v="Code 867"/>
        <s v="Code 868"/>
        <s v="Code 869"/>
        <s v="Code 870"/>
        <s v="Code 871"/>
        <s v="Code 872"/>
        <s v="Code 873"/>
        <s v="Code 874"/>
        <s v="Code 875"/>
        <s v="Code 876"/>
        <s v="Code 877"/>
        <s v="Code 878"/>
        <s v="Code 879"/>
        <s v="Code 880"/>
        <s v="Code 881"/>
        <s v="Code 882"/>
        <s v="Code 883"/>
        <s v="Code 884"/>
        <s v="Code 885"/>
        <s v="Code 886"/>
        <s v="Code 887"/>
        <s v="Code 888"/>
        <s v="Code 889"/>
        <s v="Code 890"/>
        <s v="Code 891"/>
        <s v="Code 892"/>
        <s v="Code 893"/>
        <s v="Code 894"/>
        <s v="Code 895"/>
        <s v="Code 896"/>
        <s v="Code 897"/>
        <s v="Code 898"/>
        <s v="Code 899"/>
        <s v="Code 900"/>
        <s v="Code 901"/>
        <s v="Code 902"/>
        <s v="Code 903"/>
        <s v="Code 904"/>
        <s v="Code 905"/>
        <s v="Code 906"/>
        <s v="Code 907"/>
        <s v="Code 908"/>
        <s v="Code 909"/>
        <s v="Code 910"/>
        <s v="Code 911"/>
        <s v="Code 912"/>
        <s v="Code 913"/>
        <s v="Code 914"/>
        <s v="Code 915"/>
        <s v="Code 916"/>
        <s v="Code 917"/>
        <s v="Code 918"/>
        <s v="Code 919"/>
        <s v="Code 920"/>
        <s v="Code 921"/>
        <s v="Code 922"/>
        <s v="Code 923"/>
        <s v="Code 924"/>
        <s v="Code 925"/>
        <s v="Code 926"/>
        <s v="Code 927"/>
        <s v="Code 928"/>
        <s v="Code 929"/>
        <s v="Code 930"/>
        <s v="Code 931"/>
        <s v="Code 932"/>
        <s v="Code 933"/>
        <s v="Code 934"/>
        <s v="Code 935"/>
        <s v="Code 936"/>
        <s v="Code 937"/>
        <s v="Code 938"/>
        <s v="Code 939"/>
        <s v="Code 940"/>
        <s v="Code 941"/>
        <s v="Code 942"/>
        <s v="Code 943"/>
        <s v="Code 944"/>
        <s v="Code 945"/>
        <s v="Code 946"/>
        <s v="Code 947"/>
        <s v="Code 948"/>
        <s v="Code 949"/>
        <s v="Code 950"/>
        <s v="Code 951"/>
        <s v="Code 952"/>
        <s v="Code 953"/>
        <s v="Code 954"/>
        <s v="Code 955"/>
        <s v="Code 956"/>
        <s v="Code 957"/>
        <s v="Code 958"/>
        <s v="Code 959"/>
        <s v="Code 960"/>
        <s v="Code 961"/>
        <s v="Code 962"/>
        <s v="Code 963"/>
        <s v="Code 964"/>
        <s v="Code 965"/>
        <s v="Code 966"/>
        <s v="Code 967"/>
        <s v="Code 968"/>
        <s v="Code 969"/>
        <s v="Code 970"/>
        <s v="Code 971"/>
        <s v="Code 972"/>
        <s v="Code 973"/>
        <s v="Code 974"/>
        <s v="Code 975"/>
        <s v="Code 976"/>
        <s v="Code 977"/>
        <s v="Code 978"/>
        <s v="Code 979"/>
        <s v="Code 980"/>
        <s v="Code 981"/>
        <s v="Code 982"/>
        <s v="Code 983"/>
        <s v="Code 984"/>
        <s v="Code 985"/>
        <s v="Code 986"/>
        <s v="Code 987"/>
        <s v="Code 988"/>
        <s v="Code 989"/>
        <s v="Code 990"/>
        <s v="Code 991"/>
        <s v="Code 992"/>
        <s v="Code 993"/>
        <s v="Code 994"/>
        <s v="Code 995"/>
        <s v="Code 996"/>
        <s v="Code 997"/>
        <s v="Code 998"/>
        <s v="Code 999"/>
        <s v="Code 1000"/>
        <s v="Code 1001"/>
        <s v="Code 1002"/>
        <s v="Code 1003"/>
        <s v="Code 1004"/>
        <s v="Code 1005"/>
        <s v="Code 1006"/>
        <s v="Code 1007"/>
        <s v="Code 1008"/>
        <s v="Code 1009"/>
        <s v="Code 1010"/>
        <s v="Code 1011"/>
        <s v="Code 1012"/>
        <s v="Code 1013"/>
        <s v="Code 1014"/>
        <s v="Code 1015"/>
        <s v="Code 1016"/>
        <s v="Code 1017"/>
        <s v="Code 1018"/>
        <s v="Code 1019"/>
        <s v="Code 1020"/>
        <s v="Code 1021"/>
        <s v="Code 1022"/>
        <s v="Code 1023"/>
        <s v="Code 1024"/>
        <s v="Code 1025"/>
        <s v="Code 1026"/>
        <s v="Code 1027"/>
        <s v="Code 1028"/>
        <s v="Code 1029"/>
        <s v="Code 1030"/>
        <s v="Code 1031"/>
        <s v="Code 1032"/>
        <s v="Code 1033"/>
        <s v="Code 1034"/>
        <s v="Code 1035"/>
        <s v="Code 1036"/>
        <s v="Code 1037"/>
        <s v="Code 1038"/>
        <s v="Code 1039"/>
        <s v="Code 1040"/>
        <s v="Code 1041"/>
        <s v="Code 1042"/>
        <s v="Code 1043"/>
        <s v="Code 1044"/>
        <s v="Code 1045"/>
        <s v="Code 1046"/>
        <s v="Code 1047"/>
        <s v="Code 1048"/>
        <s v="Code 1049"/>
        <s v="Code 1050"/>
        <s v="Code 1051"/>
        <s v="Code 1052"/>
        <s v="Code 1053"/>
        <s v="Code 1054"/>
        <s v="Code 1055"/>
        <s v="Code 1056"/>
        <s v="Code 1057"/>
        <s v="Code 1058"/>
        <s v="Code 1059"/>
        <s v="Code 1060"/>
        <s v="Code 1061"/>
        <s v="Code 1062"/>
        <s v="Code 1063"/>
        <s v="Code 1064"/>
        <s v="Code 1065"/>
        <s v="Code 1066"/>
        <s v="Code 1067"/>
        <s v="Code 1068"/>
        <s v="Code 1069"/>
        <s v="Code 1070"/>
        <s v="Code 1071"/>
        <s v="Code 1072"/>
        <s v="Code 1073"/>
        <s v="Code 1074"/>
        <s v="Code 1075"/>
        <s v="Code 1076"/>
        <s v="Code 1077"/>
        <s v="Code 1078"/>
        <s v="Code 1079"/>
        <s v="Code 1080"/>
        <s v="Code 1081"/>
        <s v="Code 1082"/>
        <s v="Code 1083"/>
        <s v="Code 1084"/>
        <s v="Code 1085"/>
        <s v="Code 1086"/>
        <s v="Code 1087"/>
        <s v="Code 1088"/>
        <s v="Code 1089"/>
        <s v="Code 1090"/>
        <s v="Code 1091"/>
        <s v="Code 1092"/>
        <s v="Code 1093"/>
        <s v="Code 1094"/>
        <s v="Code 1095"/>
        <s v="Code 1096"/>
        <s v="Code 1097"/>
        <s v="Code 1098"/>
        <s v="Code 1099"/>
        <s v="Code 1100"/>
        <s v="Code 1101"/>
        <s v="Code 1102"/>
        <s v="Code 1103"/>
        <s v="Code 1104"/>
        <s v="Code 1105"/>
        <s v="Code 1106"/>
        <s v="Code 1107"/>
        <s v="Code 1108"/>
        <s v="Code 1109"/>
        <s v="Code 1110"/>
        <s v="Code 1111"/>
        <s v="Code 1112"/>
        <s v="Code 1113"/>
        <s v="Code 1114"/>
        <s v="Code 1115"/>
        <s v="Code 1116"/>
        <s v="Code 1117"/>
        <s v="Code 1118"/>
        <s v="Code 1119"/>
        <s v="Code 1120"/>
        <s v="Code 1121"/>
        <s v="Code 1122"/>
        <s v="Code 1123"/>
        <s v="Code 1124"/>
        <s v="Code 1125"/>
        <s v="Code 1126"/>
        <s v="Code 1127"/>
        <s v="Code 1128"/>
        <s v="Code 1129"/>
        <s v="Code 1130"/>
        <s v="Code 1131"/>
        <s v="Code 1132"/>
        <s v="Code 1133"/>
        <s v="Code 1134"/>
        <s v="Code 1135"/>
        <s v="Code 1136"/>
        <s v="Code 1137"/>
        <s v="Code 1138"/>
        <s v="Code 1139"/>
        <s v="Code 1140"/>
        <s v="Code 1141"/>
        <s v="Code 1142"/>
        <s v="Code 1143"/>
        <s v="Code 1144"/>
        <s v="Code 1145"/>
        <s v="Code 1146"/>
        <s v="Code 1147"/>
        <s v="Code 1148"/>
        <s v="Code 1149"/>
        <s v="Code 1150"/>
        <s v="Code 1151"/>
        <s v="Code 1152"/>
        <s v="Code 1153"/>
        <s v="Code 1154"/>
        <s v="Code 1155"/>
        <s v="Code 1156"/>
        <s v="Code 1157"/>
        <s v="Code 1158"/>
        <s v="Code 1159"/>
        <s v="Code 1160"/>
        <s v="Code 1161"/>
        <s v="Code 1162"/>
        <s v="Code 1163"/>
        <s v="Code 1164"/>
        <s v="Code 1165"/>
        <s v="Code 1166"/>
        <s v="Code 1167"/>
        <s v="Code 1168"/>
        <s v="Code 1169"/>
        <s v="Code 1170"/>
        <s v="Code 1171"/>
        <s v="Code 1172"/>
        <s v="Code 1173"/>
        <s v="Code 1174"/>
        <s v="Code 1175"/>
        <s v="Code 1176"/>
        <s v="Code 1177"/>
        <s v="Code 1178"/>
        <s v="Code 1179"/>
        <s v="Code 1180"/>
        <s v="Code 1181"/>
        <s v="Code 1182"/>
        <s v="Code 1183"/>
        <s v="Code 1184"/>
        <s v="Code 1185"/>
        <s v="Code 1186"/>
        <s v="Code 1187"/>
        <s v="Code 1188"/>
        <s v="Code 1189"/>
        <s v="Code 1190"/>
        <s v="Code 1191"/>
        <s v="Code 1192"/>
        <s v="Code 1193"/>
        <s v="Code 1194"/>
        <s v="Code 1195"/>
        <s v="Code 1196"/>
        <s v="Code 1197"/>
        <s v="Code 1198"/>
        <s v="Code 1199"/>
        <s v="Code 1200"/>
        <s v="Code 1201"/>
        <s v="Code 1202"/>
        <s v="Code 1203"/>
        <s v="Code 1204"/>
        <s v="Code 1205"/>
        <s v="Code 1206"/>
        <s v="Code 1207"/>
        <s v="Code 1208"/>
        <s v="Code 1209"/>
        <s v="Code 1210"/>
        <s v="Code 1211"/>
        <s v="Code 1212"/>
        <s v="Code 1213"/>
        <s v="Code 1214"/>
        <s v="Code 1215"/>
        <s v="Code 1216"/>
        <s v="Code 1217"/>
        <s v="Code 1218"/>
        <s v="Code 1219"/>
        <s v="Code 1220"/>
        <s v="Code 1221"/>
        <s v="Code 1222"/>
        <s v="Code 1223"/>
        <s v="Code 1224"/>
        <s v="Code 1225"/>
        <s v="Code 1226"/>
        <s v="Code 1227"/>
        <s v="Code 1228"/>
        <s v="Code 1229"/>
        <s v="Code 1230"/>
        <s v="Code 1231"/>
        <s v="Code 1232"/>
        <s v="Code 1233"/>
        <s v="Code 1234"/>
        <s v="Code 1235"/>
        <s v="Code 1236"/>
        <s v="Code 1237"/>
        <s v="Code 1238"/>
        <s v="Code 1239"/>
        <s v="Code 1240"/>
        <s v="Code 1241"/>
        <s v="Code 1242"/>
        <s v="Code 1243"/>
        <s v="Code 1244"/>
        <s v="Code 1245"/>
        <s v="Code 1246"/>
        <s v="Code 1247"/>
        <s v="Code 1248"/>
        <s v="Code 1249"/>
        <s v="Code 1250"/>
        <s v="Code 1251"/>
        <s v="Code 1252"/>
        <s v="Code 1253"/>
        <s v="Code 1254"/>
        <s v="Code 1255"/>
        <s v="Code 1256"/>
        <s v="Code 1257"/>
        <s v="Code 1258"/>
        <s v="Code 1259"/>
        <s v="Code 1260"/>
        <s v="Code 1261"/>
        <s v="Code 1262"/>
        <s v="Code 1263"/>
        <s v="Code 1264"/>
        <s v="Code 1265"/>
        <s v="Code 1266"/>
        <s v="Code 1267"/>
        <s v="Code 1268"/>
        <s v="Code 1269"/>
        <s v="Code 1270"/>
        <s v="Code 1271"/>
        <s v="Code 1272"/>
        <s v="Code 1273"/>
        <s v="Code 1274"/>
        <s v="Code 1275"/>
        <s v="Code 1276"/>
        <s v="Code 1277"/>
        <s v="Code 1278"/>
        <s v="Code 1279"/>
        <s v="Code 1280"/>
        <s v="Code 1281"/>
        <s v="Code 1282"/>
        <s v="Code 1283"/>
        <s v="Code 1284"/>
        <s v="Code 1285"/>
        <s v="Code 1286"/>
        <s v="Code 1287"/>
        <s v="Code 1288"/>
        <s v="Code 1289"/>
        <s v="Code 1290"/>
        <s v="Code 1291"/>
        <s v="Code 1292"/>
        <s v="Code 1293"/>
        <s v="Code 1294"/>
        <s v="Code 1295"/>
        <s v="Code 1296"/>
        <s v="Code 1297"/>
        <s v="Code 1298"/>
        <s v="Code 1299"/>
        <s v="Code 1300"/>
        <s v="Code 1301"/>
        <s v="Code 1302"/>
        <s v="Code 1303"/>
        <s v="Code 1304"/>
        <s v="Code 1305"/>
        <s v="Code 1306"/>
        <s v="Code 1307"/>
        <s v="Code 1308"/>
        <s v="Code 1309"/>
        <s v="Code 1310"/>
        <s v="Code 1311"/>
        <s v="Code 1312"/>
        <s v="Code 1313"/>
        <s v="Code 1314"/>
        <s v="Code 1315"/>
        <s v="Code 1316"/>
        <s v="Code 1317"/>
        <s v="Code 1318"/>
        <s v="Code 1319"/>
        <s v="Code 1320"/>
        <s v="Code 1321"/>
        <s v="Code 1322"/>
        <s v="Code 1323"/>
        <s v="Code 1324"/>
        <s v="Code 1325"/>
        <s v="Code 1326"/>
        <s v="Code 1327"/>
        <s v="Code 1328"/>
        <s v="Code 1329"/>
        <s v="Code 1330"/>
        <s v="Code 1331"/>
        <s v="Code 1332"/>
        <s v="Code 1333"/>
        <s v="Code 1334"/>
        <s v="Code 1335"/>
        <s v="Code 1336"/>
        <s v="Code 1337"/>
        <s v="Code 1338"/>
        <s v="Code 1339"/>
        <s v="Code 1340"/>
        <s v="Code 1341"/>
        <s v="Code 1342"/>
        <s v="Code 1343"/>
        <s v="Code 1344"/>
        <s v="Code 1345"/>
        <s v="Code 1346"/>
        <s v="Code 1347"/>
        <s v="Code 1348"/>
        <s v="Code 1349"/>
        <s v="Code 1350"/>
        <s v="Code 1351"/>
        <s v="Code 1352"/>
        <s v="Code 1353"/>
        <s v="Code 1354"/>
        <s v="Code 1355"/>
        <s v="Code 1356"/>
        <s v="Code 1357"/>
        <s v="Code 1358"/>
        <s v="Code 1359"/>
        <s v="Code 1360"/>
        <s v="Code 1361"/>
        <s v="Code 1362"/>
        <s v="Code 1363"/>
        <s v="Code 1364"/>
        <s v="Code 1365"/>
        <s v="Code 1366"/>
        <s v="Code 1367"/>
        <s v="Code 1368"/>
        <s v="Code 1369"/>
        <s v="Code 1370"/>
        <s v="Code 1371"/>
        <s v="Code 1372"/>
        <s v="Code 1373"/>
        <s v="Code 1374"/>
        <s v="Code 1375"/>
        <s v="Code 1376"/>
        <s v="Code 1377"/>
        <s v="Code 1378"/>
        <s v="Code 1379"/>
        <s v="Code 1380"/>
        <s v="Code 1381"/>
        <s v="Code 1382"/>
        <s v="Code 1383"/>
        <s v="Code 1384"/>
        <s v="Code 1385"/>
        <s v="Code 1386"/>
        <s v="Code 1387"/>
        <s v="Code 1388"/>
        <s v="Code 1389"/>
        <s v="Code 1390"/>
        <s v="Code 1391"/>
        <s v="Code 1392"/>
        <s v="Code 1393"/>
        <s v="Code 1394"/>
        <s v="Code 1395"/>
        <s v="Code 1396"/>
        <s v="Code 1397"/>
        <s v="Code 1398"/>
        <s v="Code 1399"/>
        <s v="Code 1400"/>
        <s v="Code 1401"/>
        <s v="Code 1402"/>
        <s v="Code 1403"/>
        <s v="Code 1404"/>
        <s v="Code 1405"/>
        <s v="Code 1406"/>
        <s v="Code 1407"/>
        <s v="Code 1408"/>
        <s v="Code 1409"/>
        <s v="Code 1410"/>
        <s v="Code 1411"/>
        <s v="Code 1412"/>
        <s v="Code 1413"/>
        <s v="Code 1414"/>
        <s v="Code 1415"/>
        <s v="Code 1416"/>
        <s v="Code 1417"/>
        <s v="Code 1418"/>
        <s v="Code 1419"/>
        <s v="Code 1420"/>
        <s v="Code 1421"/>
        <s v="Code 1422"/>
        <s v="Code 1423"/>
        <s v="Code 1424"/>
        <s v="Code 1425"/>
        <s v="Code 1426"/>
        <s v="Code 1427"/>
        <s v="Code 1428"/>
        <s v="Code 1429"/>
        <s v="Code 1430"/>
        <s v="Code 1431"/>
        <s v="Code 1432"/>
        <s v="Code 1433"/>
        <s v="Code 1434"/>
        <s v="Code 1435"/>
        <s v="Code 1436"/>
        <s v="Code 1437"/>
        <s v="Code 1438"/>
        <s v="Code 1439"/>
        <s v="Code 1440"/>
        <s v="Code 1441"/>
        <s v="Code 1442"/>
        <s v="Code 1443"/>
        <s v="Code 1444"/>
        <s v="Code 1445"/>
        <s v="Code 1446"/>
        <s v="Code 1447"/>
        <s v="Code 1448"/>
        <s v="Code 1449"/>
        <s v="Code 1450"/>
        <s v="Code 1451"/>
        <s v="Code 1452"/>
        <s v="Code 1453"/>
        <s v="Code 1454"/>
        <s v="Code 1455"/>
        <s v="Code 1456"/>
        <s v="Code 1457"/>
        <s v="Code 1458"/>
        <s v="Code 1459"/>
        <s v="Code 1460"/>
        <s v="Code 1461"/>
        <s v="Code 1462"/>
        <s v="Code 1463"/>
        <s v="Code 1464"/>
        <s v="Code 1465"/>
        <s v="Code 1466"/>
        <s v="Code 1467"/>
        <s v="Code 1468"/>
        <s v="Code 1469"/>
        <s v="Code 1470"/>
        <s v="Code 1471"/>
        <s v="Code 1472"/>
        <s v="Code 1473"/>
        <s v="Code 1474"/>
        <s v="Code 1475"/>
        <s v="Code 1476"/>
        <s v="Code 1477"/>
        <s v="Code 1478"/>
        <s v="Code 1479"/>
        <s v="Code 1480"/>
        <s v="Code 1481"/>
        <s v="Code 1482"/>
        <s v="Code 1483"/>
        <s v="Code 1484"/>
        <s v="Code 1485"/>
        <s v="Code 1486"/>
        <s v="Code 1487"/>
        <s v="Code 1488"/>
        <s v="Code 1489"/>
        <s v="Code 1490"/>
        <s v="Code 1491"/>
        <s v="Code 1492"/>
        <s v="Code 1493"/>
        <s v="Code 1494"/>
        <s v="Code 1495"/>
        <s v="Code 1496"/>
        <s v="Code 1497"/>
        <s v="Code 1498"/>
        <s v="Code 1499"/>
        <s v="Code 1500"/>
        <s v="Code 1501"/>
        <s v="Code 1502"/>
        <s v="Code 1503"/>
        <s v="Code 1504"/>
        <s v="Code 1505"/>
        <s v="Code 1506"/>
        <s v="Code 1507"/>
        <s v="Code 1508"/>
        <s v="Code 1509"/>
        <s v="Code 1510"/>
        <s v="Code 1511"/>
        <s v="Code 1512"/>
        <s v="Code 1513"/>
        <s v="Code 1514"/>
        <s v="Code 1515"/>
        <s v="Code 1516"/>
        <s v="Code 1517"/>
        <s v="Code 1518"/>
        <s v="Code 1519"/>
        <s v="Code 1520"/>
        <s v="Code 1521"/>
        <s v="Code 1522"/>
        <s v="Code 1523"/>
        <s v="Code 1524"/>
        <s v="Code 1525"/>
        <s v="Code 1526"/>
        <s v="Code 1527"/>
        <s v="Code 1528"/>
        <s v="Code 1529"/>
        <s v="Code 1530"/>
        <s v="Code 1531"/>
        <s v="Code 1532"/>
        <s v="Code 1533"/>
        <s v="Code 1534"/>
        <s v="Code 1535"/>
        <s v="Code 1536"/>
        <s v="Code 1537"/>
        <s v="Code 1538"/>
        <s v="Code 1539"/>
        <s v="Code 1540"/>
        <s v="Code 1541"/>
        <s v="Code 1542"/>
        <s v="Code 1543"/>
        <s v="Code 1544"/>
        <s v="Code 1545"/>
        <s v="Code 1546"/>
        <s v="Code 1547"/>
        <s v="Code 1548"/>
        <s v="Code 1549"/>
        <s v="Code 1550"/>
        <s v="Code 1551"/>
        <s v="Code 1552"/>
        <s v="Code 1553"/>
        <s v="Code 1554"/>
        <s v="Code 1555"/>
        <s v="Code 1556"/>
        <s v="Code 1557"/>
        <s v="Code 1558"/>
        <s v="Code 1559"/>
        <s v="Code 1560"/>
        <s v="Code 1561"/>
        <s v="Code 1562"/>
        <s v="Code 1563"/>
        <s v="Code 1564"/>
        <s v="Code 1565"/>
        <s v="Code 1566"/>
        <s v="Code 1567"/>
        <s v="Code 1568"/>
        <s v="Code 1569"/>
        <s v="Code 1570"/>
        <s v="Code 1571"/>
        <s v="Code 1572"/>
        <s v="Code 1573"/>
        <s v="Code 1574"/>
        <s v="Code 1575"/>
        <s v="Code 1576"/>
        <s v="Code 1577"/>
        <s v="Code 1578"/>
        <s v="Code 1579"/>
        <s v="Code 1580"/>
        <s v="Code 1581"/>
        <s v="Code 1582"/>
        <s v="Code 1583"/>
        <s v="Code 1584"/>
        <s v="Code 1585"/>
        <s v="Code 1586"/>
        <s v="Code 1587"/>
        <s v="Code 1588"/>
        <s v="Code 1589"/>
        <s v="Code 1590"/>
        <s v="Code 1591"/>
        <s v="Code 1592"/>
        <s v="Code 1593"/>
        <s v="Code 1594"/>
        <s v="Code 1595"/>
        <s v="Code 1596"/>
        <s v="Code 1597"/>
        <s v="Code 1598"/>
        <s v="Code 1599"/>
        <s v="Code 1600"/>
        <s v="Code 1601"/>
        <s v="Code 1602"/>
        <s v="Code 1603"/>
        <s v="Code 1604"/>
        <s v="Code 1605"/>
        <s v="Code 1606"/>
        <s v="Code 1607"/>
        <s v="Code 1608"/>
        <s v="Code 1609"/>
        <s v="Code 1610"/>
        <s v="Code 1611"/>
        <s v="Code 1612"/>
        <s v="Code 1613"/>
        <s v="Code 1614"/>
        <s v="Code 1615"/>
        <s v="Code 1616"/>
        <s v="Code 1617"/>
        <s v="Code 1618"/>
        <s v="Code 1619"/>
        <s v="Code 1620"/>
        <s v="Code 1621"/>
        <s v="Code 1622"/>
        <s v="Code 1623"/>
        <s v="Code 1624"/>
        <s v="Code 1625"/>
        <s v="Code 1626"/>
        <s v="Code 1627"/>
        <s v="Code 1628"/>
        <s v="Code 1629"/>
        <s v="Code 1630"/>
        <s v="Code 1631"/>
        <s v="Code 1632"/>
        <s v="Code 1633"/>
        <s v="Code 1634"/>
        <s v="Code 1635"/>
        <s v="Code 1636"/>
        <s v="Code 1637"/>
        <s v="Code 1638"/>
        <s v="Code 1639"/>
        <s v="Code 1640"/>
        <s v="Code 1641"/>
        <s v="Code 1642"/>
        <s v="Code 1643"/>
        <s v="Code 1644"/>
        <s v="Code 1645"/>
        <s v="Code 1646"/>
        <s v="Code 1647"/>
        <s v="Code 1648"/>
        <s v="Code 1649"/>
        <s v="Code 1650"/>
        <s v="Code 1651"/>
        <s v="Code 1652"/>
        <s v="Code 1653"/>
        <s v="Code 1654"/>
        <s v="Code 1655"/>
        <s v="Code 1656"/>
        <s v="Code 1657"/>
        <s v="Code 1658"/>
        <s v="Code 1659"/>
        <s v="Code 1660"/>
        <s v="Code 1661"/>
        <s v="Code 1662"/>
        <s v="Code 1663"/>
        <s v="Code 1664"/>
        <s v="Code 1665"/>
        <s v="Code 1666"/>
        <s v="Code 1667"/>
        <s v="Code 1668"/>
        <s v="Code 1669"/>
        <s v="Code 1670"/>
        <s v="Code 1671"/>
        <s v="Code 1672"/>
        <s v="Code 1673"/>
        <s v="Code 1674"/>
        <s v="Code 1675"/>
        <s v="Code 1676"/>
        <s v="Code 1677"/>
        <s v="Code 1678"/>
        <s v="Code 1679"/>
        <s v="Code 1680"/>
        <s v="Code 1681"/>
        <s v="Code 1682"/>
        <s v="Code 1683"/>
        <s v="Code 1684"/>
        <s v="Code 1685"/>
        <s v="Code 1686"/>
        <s v="Code 1687"/>
        <s v="Code 1688"/>
        <s v="Code 1689"/>
        <s v="Code 1690"/>
        <s v="Code 1691"/>
        <s v="Code 1692"/>
        <s v="Code 1693"/>
        <s v="Code 1694"/>
        <s v="Code 1695"/>
        <s v="Code 1696"/>
        <s v="Code 1697"/>
        <s v="Code 1698"/>
        <s v="Code 1699"/>
        <s v="Code 1700"/>
        <s v="Code 1701"/>
        <s v="Code 1702"/>
        <s v="Code 1703"/>
        <s v="Code 1704"/>
        <s v="Code 1705"/>
        <s v="Code 1706"/>
        <s v="Code 1707"/>
        <s v="Code 1708"/>
        <s v="Code 1709"/>
        <s v="Code 1710"/>
        <s v="Code 1711"/>
        <s v="Code 1712"/>
        <s v="Code 1713"/>
        <s v="Code 1714"/>
        <s v="Code 1715"/>
        <s v="Code 1716"/>
        <s v="Code 1717"/>
        <s v="Code 1718"/>
        <s v="Code 1719"/>
        <s v="Code 1720"/>
        <s v="Code 1721"/>
        <s v="Code 1722"/>
        <s v="Code 1723"/>
        <s v="Code 1724"/>
        <s v="Code 1725"/>
        <s v="Code 1726"/>
        <s v="Code 1727"/>
        <s v="Code 1728"/>
        <s v="Code 1729"/>
        <s v="Code 1730"/>
        <s v="Code 1731"/>
        <s v="Code 1732"/>
        <s v="Code 1733"/>
        <s v="Code 1734"/>
        <s v="Code 1735"/>
        <s v="Code 1736"/>
        <s v="Code 1737"/>
        <s v="Code 1738"/>
        <s v="Code 1739"/>
        <s v="Code 1740"/>
        <s v="Code 1741"/>
        <s v="Code 1742"/>
        <s v="Code 1743"/>
        <s v="Code 1744"/>
        <s v="Code 1745"/>
        <s v="Code 1746"/>
        <s v="Code 1747"/>
        <s v="Code 1748"/>
        <s v="Code 1749"/>
        <s v="Code 1750"/>
        <s v="Code 1751"/>
        <s v="Code 1752"/>
        <s v="Code 1753"/>
        <s v="Code 1754"/>
        <s v="Code 1755"/>
        <s v="Code 1756"/>
        <s v="Code 1757"/>
        <s v="Code 1758"/>
        <s v="Code 1759"/>
        <s v="Code 1760"/>
        <s v="Code 1761"/>
        <s v="Code 1762"/>
        <s v="Code 1763"/>
        <s v="Code 1764"/>
        <s v="Code 1765"/>
        <s v="Code 1766"/>
        <s v="Code 1767"/>
        <s v="Code 1768"/>
        <s v="Code 1769"/>
        <s v="Code 1770"/>
        <s v="Code 1771"/>
        <s v="Code 1772"/>
        <s v="Code 1773"/>
        <s v="Code 1774"/>
        <s v="Code 1775"/>
        <s v="Code 1776"/>
        <s v="Code 1777"/>
        <s v="Code 1778"/>
        <s v="Code 1779"/>
        <s v="Code 1780"/>
        <s v="Code 1781"/>
        <s v="Code 1782"/>
        <s v="Code 1783"/>
        <s v="Code 1784"/>
        <s v="Code 1785"/>
        <s v="Code 1786"/>
        <s v="Code 1787"/>
        <s v="Code 1788"/>
        <s v="Code 1789"/>
        <s v="Code 1790"/>
        <s v="Code 1791"/>
        <s v="Code 1792"/>
        <s v="Code 1793"/>
        <s v="Code 1794"/>
        <s v="Code 1795"/>
        <s v="Code 1796"/>
        <s v="Code 1797"/>
        <s v="Code 1798"/>
        <s v="Code 1799"/>
        <s v="Code 1800"/>
        <s v="Code 1801"/>
        <s v="Code 1802"/>
        <s v="Code 1803"/>
        <s v="Code 1804"/>
        <s v="Code 1805"/>
        <s v="Code 1806"/>
        <s v="Code 1807"/>
        <s v="Code 1808"/>
        <s v="Code 1809"/>
        <s v="Code 1810"/>
        <s v="Code 1811"/>
        <s v="Code 1812"/>
        <s v="Code 1813"/>
        <s v="Code 1814"/>
        <s v="Code 1815"/>
        <s v="Code 1816"/>
        <s v="Code 1817"/>
        <s v="Code 1818"/>
        <s v="Code 1819"/>
        <s v="Code 1820"/>
        <s v="Code 1821"/>
        <s v="Code 1822"/>
        <s v="Code 1823"/>
        <s v="Code 1824"/>
        <s v="Code 1825"/>
        <s v="Code 1826"/>
        <s v="Code 1827"/>
        <s v="Code 1828"/>
        <s v="Code 1829"/>
        <s v="Code 1830"/>
        <s v="Code 1831"/>
        <s v="Code 1832"/>
        <s v="Code 1833"/>
        <s v="Code 1834"/>
        <s v="Code 1835"/>
        <s v="Code 1836"/>
        <s v="Code 1837"/>
        <s v="Code 1838"/>
        <s v="Code 1839"/>
        <s v="Code 1840"/>
        <s v="Code 1841"/>
        <s v="Code 1842"/>
        <s v="Code 1843"/>
        <s v="Code 1844"/>
        <s v="Code 1845"/>
        <s v="Code 1846"/>
        <s v="Code 1847"/>
        <s v="Code 1848"/>
        <s v="Code 1849"/>
        <s v="Code 1850"/>
        <s v="Code 1851"/>
        <s v="Code 1852"/>
        <s v="Code 1853"/>
        <s v="Code 1854"/>
        <s v="Code 1855"/>
        <s v="Code 1856"/>
        <s v="Code 1857"/>
        <s v="Code 1858"/>
        <s v="Code 1859"/>
        <s v="Code 1860"/>
        <s v="Code 1861"/>
        <s v="Code 1862"/>
        <s v="Code 1863"/>
        <s v="Code 1864"/>
        <s v="Code 1865"/>
        <s v="Code 1866"/>
        <s v="Code 1867"/>
        <s v="Code 1868"/>
        <s v="Code 1869"/>
        <s v="Code 1870"/>
        <s v="Code 1871"/>
        <s v="Code 1872"/>
        <s v="Code 1873"/>
        <s v="Code 1874"/>
        <s v="Code 1875"/>
        <s v="Code 1876"/>
        <s v="Code 1877"/>
        <s v="Code 1878"/>
        <s v="Code 1879"/>
        <s v="Code 1880"/>
        <s v="Code 1881"/>
        <s v="Code 1882"/>
        <s v="Code 1883"/>
        <s v="Code 1884"/>
        <s v="Code 1885"/>
        <s v="Code 1886"/>
        <s v="Code 1887"/>
        <s v="Code 1888"/>
        <s v="Code 1889"/>
        <s v="Code 1890"/>
        <s v="Code 1891"/>
        <s v="Code 1892"/>
        <s v="Code 1893"/>
        <s v="Code 1894"/>
        <s v="Code 1895"/>
        <s v="Code 1896"/>
        <s v="Code 1897"/>
        <s v="Code 1898"/>
        <s v="Code 1899"/>
        <s v="Code 1900"/>
        <s v="Code 1901"/>
        <s v="Code 1902"/>
        <s v="Code 1903"/>
        <s v="Code 1904"/>
        <s v="Code 1905"/>
        <s v="Code 1906"/>
        <s v="Code 1907"/>
        <s v="Code 1908"/>
        <s v="Code 1909"/>
        <s v="Code 1910"/>
        <s v="Code 1911"/>
        <s v="Code 1912"/>
        <s v="Code 1913"/>
        <s v="Code 1914"/>
        <s v="Code 1915"/>
        <s v="Code 1916"/>
        <s v="Code 1917"/>
        <s v="Code 1918"/>
        <s v="Code 1919"/>
        <s v="Code 1920"/>
        <s v="Code 1921"/>
        <s v="Code 1922"/>
        <s v="Code 1923"/>
        <s v="Code 1924"/>
        <s v="Code 1925"/>
        <s v="Code 1926"/>
        <s v="Code 1927"/>
        <s v="Code 1928"/>
        <s v="Code 1929"/>
        <s v="Code 1930"/>
        <s v="Code 1931"/>
        <s v="Code 1932"/>
        <s v="Code 1933"/>
        <s v="Code 1934"/>
        <s v="Code 1935"/>
        <s v="Code 1936"/>
        <s v="Code 1937"/>
        <s v="Code 1938"/>
        <s v="Code 1939"/>
        <s v="Code 1940"/>
        <s v="Code 1941"/>
        <s v="Code 1942"/>
        <s v="Code 1943"/>
        <s v="Code 1944"/>
        <s v="Code 1945"/>
        <s v="Code 1946"/>
        <s v="Code 1947"/>
        <s v="Code 1948"/>
        <s v="Code 1949"/>
        <s v="Code 1950"/>
        <s v="Code 1951"/>
        <s v="Code 1952"/>
        <s v="Code 1953"/>
        <s v="Code 1954"/>
        <s v="Code 1955"/>
        <s v="Code 1956"/>
        <s v="Code 1957"/>
        <s v="Code 1958"/>
        <s v="Code 1959"/>
        <s v="Code 1960"/>
        <s v="Code 1961"/>
        <s v="Code 1962"/>
        <s v="Code 1963"/>
        <s v="Code 1964"/>
        <s v="Code 1965"/>
        <s v="Code 1966"/>
        <s v="Code 1967"/>
        <s v="Code 1968"/>
        <s v="Code 1969"/>
        <s v="Code 1970"/>
        <s v="Code 1971"/>
        <s v="Code 1972"/>
        <s v="Code 1973"/>
        <s v="Code 1974"/>
        <s v="Code 1975"/>
        <s v="Code 1976"/>
        <s v="Code 1977"/>
        <s v="Code 1978"/>
        <s v="Code 1979"/>
        <s v="Code 1980"/>
        <s v="Code 1981"/>
        <s v="Code 1982"/>
        <s v="Code 1983"/>
        <s v="Code 1984"/>
        <s v="Code 1985"/>
        <s v="Code 1986"/>
        <s v="Code 1987"/>
        <s v="Code 1988"/>
        <s v="Code 1989"/>
        <s v="Code 1990"/>
        <s v="Code 1991"/>
        <s v="Code 1992"/>
        <s v="Code 1993"/>
        <s v="Code 1994"/>
        <s v="Code 1995"/>
        <s v="Code 1996"/>
        <s v="Code 1997"/>
        <s v="Code 1998"/>
        <s v="Code 1999"/>
        <s v="Code 2000"/>
        <s v="Code 2001"/>
        <s v="Code 2002"/>
        <s v="Code 2003"/>
        <s v="Code 2004"/>
        <s v="Code 2005"/>
        <s v="Code 2006"/>
        <s v="Code 2007"/>
        <s v="Code 2008"/>
        <s v="Code 2009"/>
        <s v="Code 2010"/>
        <s v="Code 2011"/>
        <s v="Code 2012"/>
        <s v="Code 2013"/>
        <s v="Code 2014"/>
        <s v="Code 2015"/>
        <s v="Code 2016"/>
        <s v="Code 2017"/>
        <s v="Code 2018"/>
        <s v="Code 2019"/>
        <s v="Code 2020"/>
        <s v="Code 2021"/>
        <s v="Code 2022"/>
        <s v="Code 2023"/>
        <s v="Code 2024"/>
        <s v="Code 2025"/>
        <s v="Code 2026"/>
        <s v="Code 2027"/>
        <s v="Code 2028"/>
        <s v="Code 2029"/>
        <s v="Code 2030"/>
        <s v="Code 2031"/>
        <s v="Code 2032"/>
        <s v="Code 2033"/>
        <s v="Code 2034"/>
        <s v="Code 2035"/>
        <s v="Code 2036"/>
        <s v="Code 2037"/>
        <s v="Code 2038"/>
        <s v="Code 2039"/>
        <s v="Code 2040"/>
        <s v="Code 2041"/>
        <s v="Code 2042"/>
        <s v="Code 2043"/>
        <s v="Code 2044"/>
        <s v="Code 2045"/>
        <s v="Code 2046"/>
        <s v="Code 2047"/>
        <s v="Code 2048"/>
        <s v="Code 2049"/>
        <s v="Code 2050"/>
        <s v="Code 2051"/>
        <s v="Code 2052"/>
        <s v="Code 2053"/>
        <s v="Code 2054"/>
        <s v="Code 2055"/>
        <s v="Code 2056"/>
        <s v="Code 2057"/>
        <s v="Code 2058"/>
        <s v="Code 2059"/>
        <s v="Code 2060"/>
        <s v="Code 2061"/>
        <s v="Code 2062"/>
        <s v="Code 2063"/>
        <s v="Code 2064"/>
        <s v="Code 2065"/>
        <s v="Code 2066"/>
        <s v="Code 2067"/>
        <s v="Code 2068"/>
        <s v="Code 2069"/>
        <s v="Code 2070"/>
        <s v="Code 2071"/>
        <s v="Code 2072"/>
        <s v="Code 2073"/>
        <s v="Code 2074"/>
        <s v="Code 2075"/>
        <s v="Code 2076"/>
        <s v="Code 2077"/>
        <s v="Code 2078"/>
        <s v="Code 2079"/>
        <s v="Code 2080"/>
        <s v="Code 2081"/>
        <s v="Code 2082"/>
        <s v="Code 2083"/>
        <s v="Code 2084"/>
        <s v="Code 2085"/>
        <s v="Code 2086"/>
        <s v="Code 2087"/>
        <s v="Code 2088"/>
        <s v="Code 2089"/>
        <s v="Code 2090"/>
        <s v="Code 2091"/>
        <s v="Code 2092"/>
        <s v="Code 2093"/>
        <s v="Code 2094"/>
        <s v="Code 2095"/>
        <s v="Code 2096"/>
        <s v="Code 2097"/>
        <s v="Code 2098"/>
        <s v="Code 2099"/>
        <s v="Code 2100"/>
        <s v="Code 2101"/>
        <s v="Code 2102"/>
        <s v="Code 2103"/>
        <s v="Code 2104"/>
        <s v="Code 2105"/>
        <s v="Code 2106"/>
        <s v="Code 2107"/>
        <s v="Code 2108"/>
        <s v="Code 2109"/>
        <s v="Code 2110"/>
        <s v="Code 2111"/>
        <s v="Code 2112"/>
        <s v="Code 2113"/>
        <s v="Code 2114"/>
        <s v="Code 2115"/>
        <s v="Code 2116"/>
        <s v="Code 2117"/>
        <s v="Code 2118"/>
        <s v="Code 2119"/>
        <s v="Code 2120"/>
        <s v="Code 2121"/>
        <s v="Code 2122"/>
        <s v="Code 2123"/>
        <s v="Code 2124"/>
        <s v="Code 2125"/>
        <s v="Code 2126"/>
        <s v="Code 2127"/>
        <s v="Code 2128"/>
        <s v="Code 2129"/>
        <s v="Code 2130"/>
        <s v="Code 2131"/>
        <s v="Code 2132"/>
        <s v="Code 2133"/>
        <s v="Code 2134"/>
        <s v="Code 2135"/>
        <s v="Code 2136"/>
        <s v="Code 2137"/>
        <s v="Code 2138"/>
        <s v="Code 2139"/>
        <s v="Code 2140"/>
        <s v="Code 2141"/>
        <s v="Code 2142"/>
        <s v="Code 2143"/>
        <s v="Code 2144"/>
        <s v="Code 2145"/>
        <s v="Code 2146"/>
        <s v="Code 2147"/>
        <s v="Code 2148"/>
        <s v="Code 2149"/>
        <s v="Code 2150"/>
        <s v="Code 2151"/>
        <s v="Code 2152"/>
        <s v="Code 2153"/>
        <s v="Code 2154"/>
        <s v="Code 2155"/>
        <s v="Code 2156"/>
        <s v="Code 2157"/>
        <s v="Code 2158"/>
        <s v="Code 2159"/>
        <s v="Code 2160"/>
        <s v="Code 2161"/>
        <s v="Code 2162"/>
        <s v="Code 2163"/>
        <s v="Code 2164"/>
        <s v="Code 2165"/>
        <s v="Code 2166"/>
        <s v="Code 2167"/>
        <s v="Code 2168"/>
        <s v="Code 2169"/>
        <s v="Code 2170"/>
        <s v="Code 2171"/>
        <s v="Code 2172"/>
        <s v="Code 2173"/>
        <s v="Code 2174"/>
        <s v="Code 2175"/>
        <s v="Code 2176"/>
        <s v="Code 2177"/>
        <s v="Code 2178"/>
        <s v="Code 2179"/>
        <s v="Code 2180"/>
        <s v="Code 2181"/>
        <s v="Code 2182"/>
        <s v="Code 2183"/>
        <s v="Code 2184"/>
        <s v="Code 2185"/>
        <s v="Code 2186"/>
        <s v="Code 2187"/>
        <s v="Code 2188"/>
        <s v="Code 2189"/>
        <s v="Code 2190"/>
        <s v="Code 2191"/>
        <s v="Code 2192"/>
        <s v="Code 2193"/>
        <s v="Code 2194"/>
        <s v="Code 2195"/>
        <s v="Code 2196"/>
        <s v="Code 2197"/>
        <s v="Code 2198"/>
        <s v="Code 2199"/>
        <s v="Code 2200"/>
        <s v="Code 2201"/>
        <s v="Code 2202"/>
        <s v="Code 2203"/>
        <s v="Code 2204"/>
        <s v="Code 2205"/>
        <s v="Code 2206"/>
        <s v="Code 2207"/>
        <s v="Code 2208"/>
        <s v="Code 2209"/>
        <s v="Code 2210"/>
        <s v="Code 2211"/>
        <s v="Code 2212"/>
        <s v="Code 2213"/>
        <s v="Code 2214"/>
        <s v="Code 2215"/>
        <s v="Code 2216"/>
        <s v="Code 2217"/>
        <s v="Code 2218"/>
        <s v="Code 2219"/>
        <s v="Code 2220"/>
        <s v="Code 2221"/>
        <s v="Code 2222"/>
        <s v="Code 2223"/>
        <s v="Code 2224"/>
        <s v="Code 2225"/>
        <s v="Code 2226"/>
        <s v="Code 2227"/>
        <s v="Code 2228"/>
        <s v="Code 2229"/>
        <s v="Code 2230"/>
        <s v="Code 2231"/>
        <s v="Code 2232"/>
        <s v="Code 2233"/>
        <s v="Code 2234"/>
        <s v="Code 2235"/>
        <s v="Code 2236"/>
        <s v="Code 2237"/>
        <s v="Code 2238"/>
        <s v="Code 2239"/>
        <s v="Code 2240"/>
        <s v="Code 2241"/>
        <s v="Code 2242"/>
        <s v="Code 2243"/>
        <s v="Code 2244"/>
        <s v="Code 2245"/>
        <s v="Code 2246"/>
        <s v="Code 2247"/>
        <s v="Code 2248"/>
        <s v="Code 2249"/>
        <s v="Code 2250"/>
        <s v="Code 2251"/>
        <s v="Code 2252"/>
        <s v="Code 2253"/>
        <s v="Code 2254"/>
        <s v="Code 2255"/>
        <s v="Code 2256"/>
        <s v="Code 2257"/>
        <s v="Code 2258"/>
        <s v="Code 2259"/>
        <s v="Code 2260"/>
        <s v="Code 2261"/>
        <s v="Code 2262"/>
        <s v="Code 2263"/>
        <s v="Code 2264"/>
        <s v="Code 2265"/>
        <s v="Code 2266"/>
        <s v="Code 2267"/>
        <s v="Code 2268"/>
        <s v="Code 2269"/>
        <s v="Code 2270"/>
        <s v="Code 2271"/>
        <s v="Code 2272"/>
        <s v="Code 2273"/>
        <s v="Code 2274"/>
        <s v="Code 2275"/>
        <s v="Code 2276"/>
        <s v="Code 2277"/>
        <s v="Code 2278"/>
        <s v="Code 2279"/>
        <s v="Code 2280"/>
        <s v="Code 2281"/>
        <s v="Code 2282"/>
        <s v="Code 2283"/>
        <s v="Code 2284"/>
        <s v="Code 2285"/>
        <s v="Code 2286"/>
        <s v="Code 2287"/>
        <s v="Code 2288"/>
        <s v="Code 2289"/>
        <s v="Code 2290"/>
        <s v="Code 2291"/>
        <s v="Code 2292"/>
        <s v="Code 2293"/>
        <s v="Code 2294"/>
        <s v="Code 2295"/>
        <s v="Code 2296"/>
        <s v="Code 2297"/>
        <s v="Code 2298"/>
        <s v="Code 2299"/>
        <s v="Code 2300"/>
        <s v="Code 2301"/>
        <s v="Code 2302"/>
        <s v="Code 2303"/>
        <s v="Code 2304"/>
        <s v="Code 2305"/>
        <s v="Code 2306"/>
        <s v="Code 2307"/>
        <s v="Code 2308"/>
        <s v="Code 2309"/>
        <s v="Code 2310"/>
        <s v="Code 2311"/>
        <s v="Code 2312"/>
        <s v="Code 2313"/>
        <s v="Code 2314"/>
        <s v="Code 2315"/>
        <s v="Code 2316"/>
        <s v="Code 2317"/>
        <s v="Code 2318"/>
        <s v="Code 2319"/>
        <s v="Code 2320"/>
        <s v="Code 2321"/>
        <s v="Code 2322"/>
        <s v="Code 2323"/>
        <s v="Code 2324"/>
        <s v="Code 2325"/>
        <s v="Code 2326"/>
        <s v="Code 2327"/>
        <s v="Code 2328"/>
        <s v="Code 2329"/>
        <s v="Code 2330"/>
        <s v="Code 2331"/>
        <s v="Code 2332"/>
        <s v="Code 2333"/>
        <s v="Code 2334"/>
        <s v="Code 2335"/>
        <s v="Code 2336"/>
        <s v="Code 2337"/>
        <s v="Code 2338"/>
        <s v="Code 2339"/>
        <s v="Code 2340"/>
        <s v="Code 2341"/>
        <s v="Code 2342"/>
        <s v="Code 2343"/>
        <s v="Code 2344"/>
        <s v="Code 2345"/>
        <s v="Code 2346"/>
        <s v="Code 2347"/>
        <s v="Code 2348"/>
        <s v="Code 2349"/>
        <s v="Code 2350"/>
        <s v="Code 2351"/>
        <s v="Code 2352"/>
        <s v="Code 2353"/>
        <s v="Code 2354"/>
        <s v="Code 2355"/>
        <s v="Code 2356"/>
        <s v="Code 2357"/>
        <s v="Code 2358"/>
        <s v="Code 2359"/>
        <s v="Code 2360"/>
        <s v="Code 2361"/>
        <s v="Code 2362"/>
        <s v="Code 2363"/>
        <s v="Code 2364"/>
        <s v="Code 2365"/>
        <s v="Code 2366"/>
        <s v="Code 2367"/>
        <s v="Code 2368"/>
        <s v="Code 2369"/>
        <s v="Code 2370"/>
        <s v="Code 2371"/>
        <s v="Code 2372"/>
        <s v="Code 2373"/>
        <s v="Code 2374"/>
        <s v="Code 2375"/>
        <s v="Code 2376"/>
        <s v="Code 2377"/>
        <s v="Code 2378"/>
        <s v="Code 2379"/>
        <s v="Code 2380"/>
        <s v="Code 2381"/>
        <s v="Code 2382"/>
        <s v="Code 2383"/>
        <s v="Code 2384"/>
        <s v="Code 2385"/>
        <s v="Code 2386"/>
        <s v="Code 2387"/>
        <s v="Code 2388"/>
        <s v="Code 2389"/>
        <s v="Code 2390"/>
        <s v="Code 2391"/>
        <s v="Code 2392"/>
        <s v="Code 2393"/>
        <s v="Code 2394"/>
        <s v="Code 2395"/>
        <s v="Code 2396"/>
        <s v="Code 2397"/>
        <s v="Code 2398"/>
        <s v="Code 2399"/>
        <s v="Code 2400"/>
        <s v="Code 2401"/>
        <s v="Code 2402"/>
        <s v="Code 2403"/>
        <s v="Code 2404"/>
        <s v="Code 2405"/>
        <s v="Code 2406"/>
        <s v="Code 2407"/>
        <s v="Code 2408"/>
        <s v="Code 2409"/>
        <s v="Code 2410"/>
        <s v="Code 2411"/>
        <s v="Code 2412"/>
        <s v="Code 2413"/>
        <s v="Code 2414"/>
        <s v="Code 2415"/>
        <s v="Code 2416"/>
        <s v="Code 2417"/>
        <s v="Code 2418"/>
        <s v="Code 2419"/>
        <s v="Code 2420"/>
        <s v="Code 2421"/>
        <s v="Code 2422"/>
        <s v="Code 2423"/>
        <s v="Code 2424"/>
        <s v="Code 2425"/>
        <s v="Code 2426"/>
        <s v="Code 2427"/>
        <s v="Code 2428"/>
        <s v="Code 2429"/>
        <s v="Code 2430"/>
        <s v="Code 2431"/>
        <s v="Code 2432"/>
        <s v="Code 2433"/>
        <s v="Code 2434"/>
        <s v="Code 2435"/>
        <s v="Code 2436"/>
        <s v="Code 2437"/>
        <s v="Code 2438"/>
        <s v="Code 2439"/>
        <s v="Code 2440"/>
        <s v="Code 2441"/>
        <s v="Code 2442"/>
        <s v="Code 2443"/>
        <s v="Code 2444"/>
        <s v="Code 2445"/>
        <s v="Code 2446"/>
        <s v="Code 2447"/>
        <s v="Code 2448"/>
        <s v="Code 2449"/>
        <s v="Code 2450"/>
        <s v="Code 2451"/>
        <s v="Code 2452"/>
        <s v="Code 2453"/>
        <s v="Code 2454"/>
        <s v="Code 2455"/>
        <s v="Code 2456"/>
        <s v="Code 2457"/>
        <s v="Code 2458"/>
        <s v="Code 2459"/>
        <s v="Code 2460"/>
        <s v="Code 2461"/>
        <s v="Code 2462"/>
        <s v="Code 2463"/>
        <s v="Code 2464"/>
        <s v="Code 2465"/>
        <s v="Code 2466"/>
        <s v="Code 2467"/>
        <s v="Code 2468"/>
        <s v="Code 2469"/>
        <s v="Code 2470"/>
        <s v="Code 2471"/>
        <s v="Code 2472"/>
        <s v="Code 2473"/>
        <s v="Code 2474"/>
        <s v="Code 2475"/>
        <s v="Code 2476"/>
        <s v="Code 2477"/>
        <s v="Code 2478"/>
        <s v="Code 2479"/>
        <s v="Code 2480"/>
        <s v="Code 2481"/>
        <s v="Code 2482"/>
        <s v="Code 2483"/>
        <s v="Code 2484"/>
        <s v="Code 2485"/>
        <s v="Code 2486"/>
        <s v="Code 2487"/>
        <s v="Code 2488"/>
        <s v="Code 2489"/>
        <s v="Code 2490"/>
        <s v="Code 2491"/>
        <s v="Code 2492"/>
        <s v="Code 2493"/>
        <s v="Code 2494"/>
        <s v="Code 2495"/>
        <s v="Code 2496"/>
        <s v="Code 2497"/>
        <s v="Code 2498"/>
        <s v="Code 2499"/>
        <s v="Code 2500"/>
        <s v="Code 2501"/>
        <s v="Code 2502"/>
        <s v="Code 2503"/>
        <s v="Code 2504"/>
        <s v="Code 2505"/>
        <s v="Code 2506"/>
        <s v="Code 2507"/>
        <s v="Code 2508"/>
        <s v="Code 2509"/>
        <s v="Code 2510"/>
        <s v="Code 2511"/>
        <s v="Code 2512"/>
        <s v="Code 2513"/>
        <s v="Code 2514"/>
        <s v="Code 2515"/>
        <s v="Code 2516"/>
        <s v="Code 2517"/>
        <s v="Code 2518"/>
        <s v="Code 2519"/>
        <s v="Code 2520"/>
        <s v="Code 2521"/>
        <s v="Code 2522"/>
        <s v="Code 2523"/>
        <s v="Code 2524"/>
        <s v="Code 2525"/>
        <s v="Code 2526"/>
        <s v="Code 2527"/>
        <s v="Code 2528"/>
        <s v="Code 2529"/>
        <s v="Code 2530"/>
        <s v="Code 2531"/>
        <s v="Code 2532"/>
        <s v="Code 2533"/>
        <s v="Code 2534"/>
        <s v="Code 2535"/>
        <s v="Code 2536"/>
        <s v="Code 2537"/>
        <s v="Code 2538"/>
        <s v="Code 2539"/>
        <s v="Code 2540"/>
        <s v="Code 2541"/>
        <s v="Code 2542"/>
        <s v="Code 2543"/>
        <s v="Code 2544"/>
        <s v="Code 2545"/>
        <s v="Code 2546"/>
        <s v="Code 2547"/>
        <s v="Code 2548"/>
        <s v="Code 2549"/>
        <s v="Code 2550"/>
        <s v="Code 2551"/>
        <s v="Code 2552"/>
        <s v="Code 2553"/>
        <s v="Code 2554"/>
        <s v="Code 2555"/>
        <s v="Code 2556"/>
        <s v="Code 2557"/>
        <s v="Code 2558"/>
        <s v="Code 2559"/>
        <s v="Code 2560"/>
        <s v="Code 2561"/>
        <s v="Code 2562"/>
        <s v="Code 2563"/>
        <s v="Code 2564"/>
        <s v="Code 2565"/>
        <s v="Code 2566"/>
        <s v="Code 2567"/>
        <s v="Code 2568"/>
        <s v="Code 2569"/>
        <s v="Code 2570"/>
        <s v="Code 2571"/>
        <s v="Code 2572"/>
        <s v="Code 2573"/>
        <s v="Code 2574"/>
        <s v="Code 2575"/>
        <s v="Code 2576"/>
        <s v="Code 2577"/>
        <s v="Code 2578"/>
        <s v="Code 2579"/>
        <s v="Code 2580"/>
        <s v="Code 2581"/>
        <s v="Code 2582"/>
        <s v="Code 2583"/>
        <s v="Code 2584"/>
        <s v="Code 2585"/>
        <s v="Code 2586"/>
        <s v="Code 2587"/>
        <s v="Code 2588"/>
        <s v="Code 2589"/>
        <s v="Code 2590"/>
        <s v="Code 2591"/>
        <s v="Code 2592"/>
        <s v="Code 2593"/>
        <s v="Code 2594"/>
        <s v="Code 2595"/>
        <s v="Code 2596"/>
        <s v="Code 2597"/>
        <s v="Code 2598"/>
        <s v="Code 2599"/>
        <s v="Code 2600"/>
        <s v="Code 2601"/>
        <s v="Code 2602"/>
        <s v="Code 2603"/>
        <s v="Code 2604"/>
        <s v="Code 2605"/>
        <s v="Code 2606"/>
        <s v="Code 2607"/>
        <s v="Code 2608"/>
        <s v="Code 2609"/>
        <s v="Code 2610"/>
        <s v="Code 2611"/>
        <s v="Code 2612"/>
        <s v="Code 2613"/>
        <s v="Code 2614"/>
        <s v="Code 2615"/>
        <s v="Code 2616"/>
        <s v="Code 2617"/>
        <s v="Code 2618"/>
        <s v="Code 2619"/>
        <s v="Code 2620"/>
        <s v="Code 2621"/>
        <s v="Code 2622"/>
        <s v="Code 2623"/>
        <s v="Code 2624"/>
        <s v="Code 2625"/>
        <s v="Code 2626"/>
        <s v="Code 2627"/>
        <s v="Code 2628"/>
        <s v="Code 2629"/>
        <s v="Code 2630"/>
        <s v="Code 2631"/>
        <s v="Code 2632"/>
        <s v="Code 2633"/>
        <s v="Code 2634"/>
        <s v="Code 2635"/>
        <s v="Code 2636"/>
        <s v="Code 2637"/>
        <s v="Code 2638"/>
        <s v="Code 2639"/>
        <s v="Code 2640"/>
        <s v="Code 2641"/>
        <s v="Code 2642"/>
        <s v="Code 2643"/>
        <s v="Code 2644"/>
        <s v="Code 2645"/>
        <s v="Code 2646"/>
        <s v="Code 2647"/>
        <s v="Code 2648"/>
        <s v="Code 2649"/>
        <s v="Code 2650"/>
        <s v="Code 2651"/>
        <s v="Code 2652"/>
        <s v="Code 2653"/>
        <s v="Code 2654"/>
        <s v="Code 2655"/>
        <s v="Code 2656"/>
        <s v="Code 2657"/>
        <s v="Code 2658"/>
        <s v="Code 2659"/>
        <s v="Code 2660"/>
        <s v="Code 2661"/>
        <s v="Code 2662"/>
        <s v="Code 2663"/>
        <s v="Code 2664"/>
        <s v="Code 2665"/>
        <s v="Code 2666"/>
        <s v="Code 2667"/>
        <s v="Code 2668"/>
        <s v="Code 2669"/>
        <s v="Code 2670"/>
        <s v="Code 2671"/>
        <s v="Code 2672"/>
        <s v="Code 2673"/>
        <s v="Code 2674"/>
        <s v="Code 2675"/>
        <s v="Code 2676"/>
        <s v="Code 2677"/>
        <s v="Code 2678"/>
        <s v="Code 2679"/>
        <s v="Code 2680"/>
        <s v="Code 2681"/>
        <s v="Code 2682"/>
        <s v="Code 2683"/>
        <s v="Code 2684"/>
        <s v="Code 2685"/>
        <s v="Code 2686"/>
        <s v="Code 2687"/>
        <s v="Code 2688"/>
        <s v="Code 2689"/>
        <s v="Code 2690"/>
        <s v="Code 2691"/>
        <s v="Code 2692"/>
        <s v="Code 2693"/>
        <s v="Code 2694"/>
        <s v="Code 2695"/>
        <s v="Code 2696"/>
        <s v="Code 2697"/>
        <s v="Code 2698"/>
        <s v="Code 2699"/>
        <s v="Code 2700"/>
        <s v="Code 2701"/>
        <s v="Code 2702"/>
        <s v="Code 2703"/>
        <s v="Code 2704"/>
        <s v="Code 2705"/>
        <s v="Code 2706"/>
        <s v="Code 2707"/>
        <s v="Code 2708"/>
        <s v="Code 2709"/>
        <s v="Code 2710"/>
        <s v="Code 2711"/>
        <s v="Code 2712"/>
        <s v="Code 2713"/>
        <s v="Code 2714"/>
        <s v="Code 2715"/>
        <s v="Code 2716"/>
        <s v="Code 2717"/>
        <s v="Code 2718"/>
        <s v="Code 2719"/>
        <s v="Code 2720"/>
        <s v="Code 2721"/>
        <s v="Code 2722"/>
        <s v="Code 2723"/>
        <s v="Code 2724"/>
        <s v="Code 2725"/>
        <s v="Code 2726"/>
        <s v="Code 2727"/>
        <s v="Code 2728"/>
        <s v="Code 2729"/>
        <s v="Code 2730"/>
        <s v="Code 2731"/>
        <s v="Code 2732"/>
        <s v="Code 2733"/>
        <s v="Code 2734"/>
        <s v="Code 2735"/>
        <s v="Code 2736"/>
        <s v="Code 2737"/>
        <s v="Code 2738"/>
        <s v="Code 2739"/>
        <s v="Code 2740"/>
        <s v="Code 2741"/>
        <s v="Code 2742"/>
        <s v="Code 2743"/>
        <s v="Code 2744"/>
        <s v="Code 2745"/>
        <s v="Code 2746"/>
        <s v="Code 2747"/>
        <s v="Code 2748"/>
        <s v="Code 2749"/>
        <s v="Code 2750"/>
        <s v="Code 2751"/>
        <s v="Code 2752"/>
        <s v="Code 2753"/>
        <s v="Code 2754"/>
        <s v="Code 2755"/>
        <s v="Code 2756"/>
        <s v="Code 2757"/>
        <s v="Code 2758"/>
        <s v="Code 2759"/>
        <s v="Code 2760"/>
        <s v="Code 2761"/>
        <s v="Code 2762"/>
        <s v="Code 2763"/>
        <s v="Code 2764"/>
        <s v="Code 2765"/>
        <s v="Code 2766"/>
        <s v="Code 2767"/>
        <s v="Code 2768"/>
        <s v="Code 2769"/>
        <s v="Code 2770"/>
        <s v="Code 2771"/>
        <s v="Code 2772"/>
        <s v="Code 2773"/>
        <s v="Code 2774"/>
        <s v="Code 2775"/>
        <s v="Code 2776"/>
        <s v="Code 2777"/>
        <s v="Code 2778"/>
        <s v="Code 2779"/>
        <s v="Code 2780"/>
        <s v="Code 2781"/>
        <s v="Code 2782"/>
        <s v="Code 2783"/>
        <s v="Code 2784"/>
        <s v="Code 2785"/>
        <s v="Code 2786"/>
        <s v="Code 2787"/>
        <s v="Code 2788"/>
        <s v="Code 2789"/>
        <s v="Code 2790"/>
        <s v="Code 2791"/>
        <s v="Code 2792"/>
        <s v="Code 2793"/>
        <s v="Code 2794"/>
        <s v="Code 2795"/>
        <s v="Code 2796"/>
        <s v="Code 2797"/>
        <s v="Code 2798"/>
        <s v="Code 2799"/>
        <s v="Code 2800"/>
        <s v="Code 2801"/>
        <s v="Code 2802"/>
        <s v="Code 2803"/>
        <s v="Code 2804"/>
        <s v="Code 2805"/>
        <s v="Code 2806"/>
        <s v="Code 2807"/>
        <s v="Code 2808"/>
        <s v="Code 2809"/>
        <s v="Code 2810"/>
        <s v="Code 2811"/>
        <s v="Code 2812"/>
        <s v="Code 2813"/>
        <s v="Code 2814"/>
        <s v="Code 2815"/>
        <s v="Code 2816"/>
        <s v="Code 2817"/>
        <s v="Code 2818"/>
        <s v="Code 2819"/>
        <s v="Code 2820"/>
        <s v="Code 2821"/>
        <s v="Code 2822"/>
        <s v="Code 2823"/>
        <s v="Code 2824"/>
        <s v="Code 2825"/>
        <s v="Code 2826"/>
        <s v="Code 2827"/>
        <s v="Code 2828"/>
        <s v="Code 2829"/>
        <s v="Code 2830"/>
        <s v="Code 2831"/>
        <s v="Code 2832"/>
        <s v="Code 2833"/>
        <s v="Code 2834"/>
        <s v="Code 2835"/>
        <s v="Code 2836"/>
        <s v="Code 2837"/>
        <s v="Code 2838"/>
        <s v="Code 2839"/>
        <s v="Code 2840"/>
        <s v="Code 2841"/>
        <s v="Code 2842"/>
        <s v="Code 2843"/>
        <s v="Code 2844"/>
        <s v="Code 2845"/>
        <s v="Code 2846"/>
        <s v="Code 2847"/>
        <s v="Code 2848"/>
        <s v="Code 2849"/>
        <s v="Code 2850"/>
        <s v="Code 2851"/>
        <s v="Code 2852"/>
        <s v="Code 2853"/>
        <s v="Code 2854"/>
        <s v="Code 2855"/>
        <s v="Code 2856"/>
        <s v="Code 2857"/>
        <s v="Code 2858"/>
        <s v="Code 2859"/>
        <s v="Code 2860"/>
        <s v="Code 2861"/>
        <s v="Code 2862"/>
        <s v="Code 2863"/>
        <s v="Code 2864"/>
        <s v="Code 2865"/>
        <s v="Code 2866"/>
        <s v="Code 2867"/>
        <s v="Code 2868"/>
        <s v="Code 2869"/>
        <s v="Code 2870"/>
        <s v="Code 2871"/>
        <s v="Code 2872"/>
        <s v="Code 2873"/>
        <s v="Code 2874"/>
        <s v="Code 2875"/>
        <s v="Code 2876"/>
        <s v="Code 2877"/>
        <s v="Code 2878"/>
        <s v="Code 2879"/>
        <s v="Code 2880"/>
        <s v="Code 2881"/>
        <s v="Code 2882"/>
        <s v="Code 2883"/>
        <s v="Code 2884"/>
        <s v="Code 2885"/>
        <s v="Code 2886"/>
        <s v="Code 2887"/>
        <s v="Code 2888"/>
        <s v="Code 2889"/>
        <s v="Code 2890"/>
        <s v="Code 2891"/>
        <s v="Code 2892"/>
        <s v="Code 2893"/>
        <s v="Code 2894"/>
        <s v="Code 2895"/>
        <s v="Code 2896"/>
        <s v="Code 2897"/>
        <s v="Code 2898"/>
        <s v="Code 2899"/>
        <s v="Code 2900"/>
        <s v="Code 2901"/>
        <s v="Code 2902"/>
        <s v="Code 2903"/>
        <s v="Code 2904"/>
        <s v="Code 2905"/>
        <s v="Code 2906"/>
        <s v="Code 2907"/>
        <s v="Code 2908"/>
        <s v="Code 2909"/>
        <s v="Code 2910"/>
        <s v="Code 2911"/>
        <s v="Code 2912"/>
        <s v="Code 2913"/>
        <s v="Code 2914"/>
        <s v="Code 2915"/>
        <s v="Code 2916"/>
        <s v="Code 2917"/>
        <s v="Code 2918"/>
        <s v="Code 2919"/>
        <s v="Code 2920"/>
        <s v="Code 2921"/>
        <s v="Code 2922"/>
        <s v="Code 2923"/>
        <s v="Code 2924"/>
        <s v="Code 2925"/>
        <s v="Code 2926"/>
        <s v="Code 2927"/>
        <s v="Code 2928"/>
        <s v="Code 2929"/>
        <s v="Code 2930"/>
        <s v="Code 2931"/>
        <s v="Code 2932"/>
        <s v="Code 2933"/>
        <s v="Code 2934"/>
        <s v="Code 2935"/>
        <s v="Code 2936"/>
        <s v="Code 2937"/>
        <s v="Code 2938"/>
        <s v="Code 2939"/>
        <s v="Code 2940"/>
        <s v="Code 2941"/>
        <s v="Code 2942"/>
        <s v="Code 2943"/>
        <s v="Code 2944"/>
        <s v="Code 2945"/>
        <s v="Code 2946"/>
        <s v="Code 2947"/>
        <s v="Code 2948"/>
        <s v="Code 2949"/>
        <s v="Code 2950"/>
        <s v="Code 2951"/>
        <s v="Code 2952"/>
        <s v="Code 2953"/>
        <s v="Code 2954"/>
        <s v="Code 2955"/>
        <s v="Code 2956"/>
        <s v="Code 2957"/>
        <s v="Code 2958"/>
        <s v="Code 2959"/>
        <s v="Code 2960"/>
        <s v="Code 2961"/>
        <s v="Code 2962"/>
        <s v="Code 2963"/>
        <s v="Code 2964"/>
        <s v="Code 2965"/>
        <s v="Code 2966"/>
        <s v="Code 2967"/>
        <s v="Code 2968"/>
        <s v="Code 2969"/>
        <s v="Code 2970"/>
        <s v="Code 2971"/>
        <s v="Code 2972"/>
        <s v="Code 2973"/>
        <s v="Code 2974"/>
        <s v="Code 2975"/>
        <s v="Code 2976"/>
        <s v="Code 2977"/>
        <s v="Code 2978"/>
        <s v="Code 2979"/>
        <s v="Code 2980"/>
        <s v="Code 2981"/>
        <s v="Code 2982"/>
        <s v="Code 2983"/>
        <s v="Code 2984"/>
        <s v="Code 2985"/>
        <s v="Code 2986"/>
        <s v="Code 2987"/>
        <s v="Code 2988"/>
        <s v="Code 2989"/>
        <s v="Code 2990"/>
        <s v="Code 2991"/>
        <s v="Code 2992"/>
        <s v="Code 2993"/>
        <s v="Code 2994"/>
        <s v="Code 2995"/>
        <s v="Code 2996"/>
        <s v="Code 2997"/>
        <s v="Code 2998"/>
        <s v="Code 2999"/>
        <s v="Code 3000"/>
        <s v="Code 3001"/>
        <s v="Code 3002"/>
        <s v="Code 3003"/>
        <s v="Code 3004"/>
        <s v="Code 3005"/>
        <s v="Code 3006"/>
        <s v="Code 3007"/>
        <s v="Code 3008"/>
        <s v="Code 3009"/>
        <s v="Code 3010"/>
        <s v="Code 3011"/>
        <s v="Code 3012"/>
        <s v="Code 3013"/>
        <s v="Code 3014"/>
        <s v="Code 3015"/>
        <s v="Code 3016"/>
        <s v="Code 3017"/>
        <s v="Code 3018"/>
        <s v="Code 3019"/>
        <s v="Code 3020"/>
        <s v="Code 3021"/>
        <s v="Code 3022"/>
        <s v="Code 3023"/>
        <s v="Code 3024"/>
        <s v="Code 3025"/>
        <s v="Code 3026"/>
        <s v="Code 3027"/>
        <s v="Code 3028"/>
        <s v="Code 3029"/>
        <s v="Code 3030"/>
        <s v="Code 3031"/>
        <s v="Code 3032"/>
        <s v="Code 3033"/>
        <s v="Code 3034"/>
        <s v="Code 3035"/>
        <s v="Code 3036"/>
        <s v="Code 3037"/>
        <s v="Code 3038"/>
        <s v="Code 3039"/>
        <s v="Code 3040"/>
        <s v="Code 3041"/>
        <s v="Code 3042"/>
        <s v="Code 3043"/>
        <s v="Code 3044"/>
        <s v="Code 3045"/>
        <s v="Code 3046"/>
        <s v="Code 3047"/>
        <s v="Code 3048"/>
        <s v="Code 3049"/>
        <s v="Code 3050"/>
        <s v="Code 3051"/>
        <s v="Code 3052"/>
        <s v="Code 3053"/>
        <s v="Code 3054"/>
        <s v="Code 3055"/>
        <s v="Code 3056"/>
        <s v="Code 3057"/>
        <s v="Code 3058"/>
        <s v="Code 3059"/>
        <s v="Code 3060"/>
        <s v="Code 3061"/>
        <s v="Code 3062"/>
        <s v="Code 3063"/>
        <s v="Code 3064"/>
        <s v="Code 3065"/>
        <s v="Code 3066"/>
        <s v="Code 3067"/>
        <s v="Code 3068"/>
        <s v="Code 3069"/>
        <s v="Code 3070"/>
        <s v="Code 3071"/>
        <s v="Code 3072"/>
        <s v="Code 3073"/>
        <s v="Code 3074"/>
        <s v="Code 3075"/>
        <s v="Code 3076"/>
        <s v="Code 3077"/>
        <s v="Code 3078"/>
        <s v="Code 3079"/>
        <s v="Code 3080"/>
        <s v="Code 3081"/>
        <s v="Code 3082"/>
        <s v="Code 3083"/>
        <s v="Code 3084"/>
        <s v="Code 3085"/>
        <s v="Code 3086"/>
        <s v="Code 3087"/>
        <s v="Code 3088"/>
        <s v="Code 3089"/>
        <s v="Code 3090"/>
        <s v="Code 3091"/>
        <s v="Code 3092"/>
        <s v="Code 3093"/>
        <s v="Code 3094"/>
        <s v="Code 3095"/>
        <s v="Code 3096"/>
        <s v="Code 3097"/>
        <s v="Code 3098"/>
        <s v="Code 3099"/>
        <s v="Code 3100"/>
        <s v="Code 3101"/>
        <s v="Code 3102"/>
        <s v="Code 3103"/>
        <s v="Code 3104"/>
        <s v="Code 3105"/>
        <s v="Code 3106"/>
        <s v="Code 3107"/>
        <s v="Code 3108"/>
        <s v="Code 3109"/>
        <s v="Code 3110"/>
        <s v="Code 3111"/>
        <s v="Code 3112"/>
        <s v="Code 3113"/>
        <s v="Code 3114"/>
        <s v="Code 3115"/>
        <s v="Code 3116"/>
        <s v="Code 3117"/>
        <s v="Code 3118"/>
        <s v="Code 3119"/>
        <s v="Code 3120"/>
        <s v="Code 3121"/>
        <s v="Code 3122"/>
        <s v="Code 3123"/>
        <s v="Code 3124"/>
        <s v="Code 3125"/>
        <s v="Code 3126"/>
        <s v="Code 3127"/>
        <s v="Code 3128"/>
        <s v="Code 3129"/>
        <s v="Code 3130"/>
        <s v="Code 3131"/>
        <s v="Code 3132"/>
        <s v="Code 3133"/>
        <s v="Code 3134"/>
        <s v="Code 3135"/>
        <s v="Code 3136"/>
        <s v="Code 3137"/>
        <s v="Code 3138"/>
        <s v="Code 3139"/>
        <s v="Code 3140"/>
        <s v="Code 3141"/>
        <s v="Code 3142"/>
        <s v="Code 3143"/>
        <s v="Code 3144"/>
        <s v="Code 3145"/>
        <s v="Code 3146"/>
        <s v="Code 3147"/>
        <s v="Code 3148"/>
        <s v="Code 3149"/>
        <s v="Code 3150"/>
        <s v="Code 3151"/>
        <s v="Code 3152"/>
        <s v="Code 3153"/>
        <s v="Code 3154"/>
        <s v="Code 3155"/>
        <s v="Code 3156"/>
        <s v="Code 3157"/>
        <s v="Code 3158"/>
        <s v="Code 3159"/>
        <s v="Code 3160"/>
        <s v="Code 3161"/>
        <s v="Code 3162"/>
        <s v="Code 3163"/>
        <s v="Code 3164"/>
        <s v="Code 3165"/>
        <s v="Code 3166"/>
        <s v="Code 3167"/>
        <s v="Code 3168"/>
        <s v="Code 3169"/>
        <s v="Code 3170"/>
        <s v="Code 3171"/>
        <s v="Code 3172"/>
        <s v="Code 3173"/>
        <s v="Code 3174"/>
        <s v="Code 3175"/>
        <s v="Code 3176"/>
        <s v="Code 3177"/>
        <s v="Code 3178"/>
        <s v="Code 3179"/>
        <s v="Code 3180"/>
        <s v="Code 3181"/>
        <s v="Code 3182"/>
        <s v="Code 3183"/>
        <s v="Code 3184"/>
        <s v="Code 3185"/>
        <s v="Code 3186"/>
        <s v="Code 3187"/>
        <s v="Code 3188"/>
        <s v="Code 3189"/>
        <s v="Code 3190"/>
        <s v="Code 3191"/>
        <s v="Code 3192"/>
        <s v="Code 3193"/>
        <s v="Code 3194"/>
        <s v="Code 3195"/>
        <s v="Code 3196"/>
        <s v="Code 3197"/>
        <s v="Code 3198"/>
        <s v="Code 3199"/>
        <s v="Code 3200"/>
        <s v="Code 3201"/>
        <s v="Code 3202"/>
        <s v="Code 3203"/>
        <s v="Code 3204"/>
        <s v="Code 3205"/>
        <s v="Code 3206"/>
        <s v="Code 3207"/>
        <s v="Code 3208"/>
        <s v="Code 3209"/>
        <s v="Code 3210"/>
        <s v="Code 3211"/>
        <s v="Code 3212"/>
        <s v="Code 3213"/>
        <s v="Code 3214"/>
        <s v="Code 3215"/>
        <s v="Code 3216"/>
        <s v="Code 3217"/>
        <s v="Code 3218"/>
        <s v="Code 3219"/>
        <s v="Code 3220"/>
        <s v="Code 3221"/>
        <s v="Code 3222"/>
        <s v="Code 3223"/>
        <s v="Code 3224"/>
        <s v="Code 3225"/>
        <s v="Code 3226"/>
        <s v="Code 3227"/>
        <s v="Code 3228"/>
        <s v="Code 3229"/>
        <s v="Code 3230"/>
        <s v="Code 3231"/>
        <s v="Code 3232"/>
        <s v="Code 3233"/>
        <s v="Code 3234"/>
        <s v="Code 3235"/>
        <s v="Code 3236"/>
        <s v="Code 3237"/>
        <s v="Code 3238"/>
        <s v="Code 3239"/>
        <s v="Code 3240"/>
        <s v="Code 3241"/>
        <s v="Code 3242"/>
        <s v="Code 3243"/>
        <s v="Code 3244"/>
        <s v="Code 3245"/>
        <s v="Code 3246"/>
        <s v="Code 3247"/>
        <s v="Code 3248"/>
        <s v="Code 3249"/>
        <s v="Code 3250"/>
        <s v="Code 3251"/>
        <s v="Code 3252"/>
        <s v="Code 3253"/>
        <s v="Code 3254"/>
        <s v="Code 3255"/>
        <s v="Code 3256"/>
        <s v="Code 3257"/>
        <s v="Code 3258"/>
        <s v="Code 3259"/>
        <s v="Code 3260"/>
        <s v="Code 3261"/>
        <s v="Code 3262"/>
        <s v="Code 3263"/>
        <s v="Code 3264"/>
        <s v="Code 3265"/>
        <s v="Code 3266"/>
        <s v="Code 3267"/>
        <s v="Code 3268"/>
        <s v="Code 3269"/>
        <s v="Code 3270"/>
        <s v="Code 3271"/>
        <s v="Code 3272"/>
        <s v="Code 3273"/>
        <s v="Code 3274"/>
        <s v="Code 3275"/>
        <s v="Code 3276"/>
        <s v="Code 3277"/>
        <s v="Code 3278"/>
        <s v="Code 3279"/>
        <s v="Code 3280"/>
        <s v="Code 3281"/>
        <s v="Code 3282"/>
        <s v="Code 3283"/>
        <s v="Code 3284"/>
        <s v="Code 3285"/>
        <s v="Code 3286"/>
        <s v="Code 3287"/>
        <s v="Code 3288"/>
        <s v="Code 3289"/>
        <s v="Code 3290"/>
        <s v="Code 3291"/>
        <s v="Code 3292"/>
        <s v="Code 3293"/>
        <s v="Code 3294"/>
        <s v="Code 3295"/>
        <s v="Code 3296"/>
        <s v="Code 3297"/>
        <s v="Code 3298"/>
        <s v="Code 3299"/>
        <s v="Code 3300"/>
        <s v="Code 3301"/>
        <s v="Code 3302"/>
        <s v="Code 3303"/>
        <s v="Code 3304"/>
        <s v="Code 3305"/>
        <s v="Code 3306"/>
        <s v="Code 3307"/>
        <s v="Code 3308"/>
        <s v="Code 3309"/>
        <s v="Code 3310"/>
        <s v="Code 3311"/>
        <s v="Code 3312"/>
        <s v="Code 3313"/>
        <s v="Code 3314"/>
        <s v="Code 3315"/>
        <s v="Code 3316"/>
        <s v="Code 3317"/>
        <s v="Code 3318"/>
        <s v="Code 3319"/>
        <s v="Code 3320"/>
        <s v="Code 3321"/>
        <s v="Code 3322"/>
        <s v="Code 3323"/>
        <s v="Code 3324"/>
        <s v="Code 3325"/>
        <s v="Code 3326"/>
        <s v="Code 3327"/>
        <s v="Code 3328"/>
        <s v="Code 3329"/>
        <s v="Code 3330"/>
        <s v="Code 3331"/>
        <s v="Code 3332"/>
        <s v="Code 3333"/>
        <s v="Code 3334"/>
        <s v="Code 3335"/>
        <s v="Code 3336"/>
        <s v="Code 3337"/>
        <s v="Code 3338"/>
        <s v="Code 3339"/>
        <s v="Code 3340"/>
        <s v="Code 3341"/>
        <s v="Code 3342"/>
        <s v="Code 3343"/>
        <s v="Code 3344"/>
        <s v="Code 3345"/>
        <s v="Code 3346"/>
        <s v="Code 3347"/>
        <s v="Code 3348"/>
        <s v="Code 3349"/>
        <s v="Code 3350"/>
        <s v="Code 3351"/>
        <s v="Code 3352"/>
        <s v="Code 3353"/>
        <s v="Code 3354"/>
        <s v="Code 3355"/>
        <s v="Code 3356"/>
        <s v="Code 3357"/>
        <s v="Code 3358"/>
        <s v="Code 3359"/>
        <s v="Code 3360"/>
        <s v="Code 3361"/>
        <s v="Code 3362"/>
        <s v="Code 3363"/>
        <s v="Code 3364"/>
        <s v="Code 3365"/>
        <s v="Code 3366"/>
        <s v="Code 3367"/>
        <s v="Code 3368"/>
        <s v="Code 3369"/>
        <s v="Code 3370"/>
        <s v="Code 3371"/>
        <s v="Code 3372"/>
        <s v="Code 3373"/>
        <s v="Code 3374"/>
        <s v="Code 3375"/>
        <s v="Code 3376"/>
        <s v="Code 3377"/>
        <s v="Code 3378"/>
        <s v="Code 3379"/>
        <s v="Code 3380"/>
        <s v="Code 3381"/>
        <s v="Code 3382"/>
        <s v="Code 3383"/>
        <s v="Code 3384"/>
        <s v="Code 3385"/>
        <s v="Code 3386"/>
        <s v="Code 3387"/>
        <s v="Code 3388"/>
        <s v="Code 3389"/>
        <s v="Code 3390"/>
        <s v="Code 3391"/>
        <s v="Code 3392"/>
        <s v="Code 3393"/>
        <s v="Code 3394"/>
        <s v="Code 3395"/>
        <s v="Code 3396"/>
        <s v="Code 3397"/>
        <s v="Code 3398"/>
        <s v="Code 3399"/>
        <s v="Code 3400"/>
        <s v="Code 3401"/>
        <s v="Code 3402"/>
        <s v="Code 3403"/>
        <s v="Code 3404"/>
        <s v="Code 3405"/>
        <s v="Code 3406"/>
        <s v="Code 3407"/>
        <s v="Code 3408"/>
        <s v="Code 3409"/>
        <s v="Code 3410"/>
        <s v="Code 3411"/>
        <s v="Code 3412"/>
        <s v="Code 3413"/>
        <s v="Code 3414"/>
        <s v="Code 3415"/>
        <s v="Code 3416"/>
        <s v="Code 3417"/>
        <s v="Code 3418"/>
        <s v="Code 3419"/>
        <s v="Code 3420"/>
        <s v="Code 3421"/>
        <s v="Code 3422"/>
        <s v="Code 3423"/>
        <s v="Code 3424"/>
        <s v="Code 3425"/>
        <s v="Code 3426"/>
        <s v="Code 3427"/>
        <s v="Code 3428"/>
        <s v="Code 3429"/>
        <s v="Code 3430"/>
        <s v="Code 3431"/>
        <s v="Code 3432"/>
        <s v="Code 3433"/>
        <s v="Code 3434"/>
        <s v="Code 3435"/>
        <s v="Code 3436"/>
        <s v="Code 3437"/>
        <s v="Code 3438"/>
        <s v="Code 3439"/>
        <s v="Code 3440"/>
        <s v="Code 3441"/>
        <s v="Code 3442"/>
        <s v="Code 3443"/>
        <s v="Code 3444"/>
        <s v="Code 3445"/>
        <s v="Code 3446"/>
        <s v="Code 3447"/>
        <s v="Code 3448"/>
        <s v="Code 3449"/>
        <s v="Code 3450"/>
        <s v="Code 3451"/>
        <s v="Code 3452"/>
        <s v="Code 3453"/>
        <s v="Code 3454"/>
        <s v="Code 3455"/>
        <s v="Code 3456"/>
        <s v="Code 3457"/>
        <s v="Code 3458"/>
        <s v="Code 3459"/>
        <s v="Code 3460"/>
        <s v="Code 3461"/>
        <s v="Code 3462"/>
        <s v="Code 3463"/>
        <s v="Code 3464"/>
        <s v="Code 3465"/>
        <s v="Code 3466"/>
        <s v="Code 3467"/>
        <s v="Code 3468"/>
        <s v="Code 3469"/>
        <s v="Code 3470"/>
        <s v="Code 3471"/>
        <s v="Code 3472"/>
        <s v="Code 3473"/>
        <s v="Code 3474"/>
        <s v="Code 3475"/>
        <s v="Code 3476"/>
        <s v="Code 3477"/>
        <s v="Code 3478"/>
        <s v="Code 3479"/>
        <s v="Code 3480"/>
        <s v="Code 3481"/>
        <s v="Code 3482"/>
        <s v="Code 3483"/>
        <s v="Code 3484"/>
        <s v="Code 3485"/>
        <s v="Code 3486"/>
        <s v="Code 3487"/>
        <s v="Code 3488"/>
        <s v="Code 3489"/>
        <s v="Code 3490"/>
        <s v="Code 3491"/>
        <s v="Code 3492"/>
        <s v="Code 3493"/>
        <s v="Code 3494"/>
        <s v="Code 3495"/>
        <s v="Code 3496"/>
        <s v="Code 3497"/>
        <s v="Code 3498"/>
        <s v="Code 3499"/>
        <s v="Code 3500"/>
        <s v="Code 3501"/>
        <s v="Code 3502"/>
        <s v="Code 3503"/>
        <s v="Code 3504"/>
        <s v="Code 3505"/>
        <s v="Code 3506"/>
        <s v="Code 3507"/>
        <s v="Code 3508"/>
        <s v="Code 3509"/>
        <s v="Code 3510"/>
        <s v="Code 3511"/>
        <s v="Code 3512"/>
        <s v="Code 3513"/>
        <s v="Code 3514"/>
        <s v="Code 3515"/>
        <s v="Code 3516"/>
        <s v="Code 3517"/>
        <s v="Code 3518"/>
        <s v="Code 3519"/>
        <s v="Code 3520"/>
        <s v="Code 3521"/>
        <s v="Code 3522"/>
        <s v="Code 3523"/>
        <s v="Code 3524"/>
        <s v="Code 3525"/>
        <s v="Code 3526"/>
        <s v="Code 3527"/>
        <s v="Code 3528"/>
        <s v="Code 3529"/>
        <s v="Code 3530"/>
        <s v="Code 3531"/>
        <s v="Code 3532"/>
        <s v="Code 3533"/>
        <s v="Code 3534"/>
        <s v="Code 3535"/>
        <s v="Code 3536"/>
        <s v="Code 3537"/>
        <s v="Code 3538"/>
        <s v="Code 3539"/>
        <s v="Code 3540"/>
        <s v="Code 3541"/>
        <s v="Code 3542"/>
        <s v="Code 3543"/>
        <s v="Code 3544"/>
        <s v="Code 3545"/>
        <s v="Code 3546"/>
        <s v="Code 3547"/>
        <s v="Code 3548"/>
        <s v="Code 3549"/>
        <s v="Code 3550"/>
        <s v="Code 3551"/>
        <s v="Code 3552"/>
        <s v="Code 3553"/>
        <s v="Code 3554"/>
        <s v="Code 3555"/>
        <s v="Code 3556"/>
        <s v="Code 3557"/>
        <s v="Code 3558"/>
        <s v="Code 3559"/>
        <s v="Code 3560"/>
        <s v="Code 3561"/>
        <s v="Code 3562"/>
        <s v="Code 3563"/>
        <s v="Code 3564"/>
        <s v="Code 3565"/>
        <s v="Code 3566"/>
        <s v="Code 3567"/>
        <s v="Code 3568"/>
        <s v="Code 3569"/>
        <s v="Code 3570"/>
        <s v="Code 3571"/>
        <s v="Code 3572"/>
        <s v="Code 3573"/>
        <s v="Code 3574"/>
        <s v="Code 3575"/>
        <s v="Code 3576"/>
        <s v="Code 3577"/>
        <s v="Code 3578"/>
        <s v="Code 3579"/>
        <s v="Code 3580"/>
        <s v="Code 3581"/>
        <s v="Code 3582"/>
        <s v="Code 3583"/>
        <s v="Code 3584"/>
        <s v="Code 3585"/>
        <s v="Code 3586"/>
        <s v="Code 3587"/>
        <s v="Code 3588"/>
        <s v="Code 3589"/>
        <s v="Code 3590"/>
        <s v="Code 3591"/>
        <s v="Code 3592"/>
        <s v="Code 3593"/>
        <s v="Code 3594"/>
        <s v="Code 3595"/>
        <s v="Code 3596"/>
        <s v="Code 3597"/>
        <s v="Code 3598"/>
        <s v="Code 3599"/>
        <s v="Code 3600"/>
        <s v="Code 3601"/>
        <s v="Code 3602"/>
        <s v="Code 3603"/>
        <s v="Code 3604"/>
        <s v="Code 3605"/>
        <s v="Code 3606"/>
        <s v="Code 3607"/>
        <s v="Code 3608"/>
        <s v="Code 3609"/>
        <s v="Code 3610"/>
        <s v="Code 3611"/>
        <s v="Code 3612"/>
        <s v="Code 3613"/>
        <s v="Code 3614"/>
        <s v="Code 3615"/>
        <s v="Code 3616"/>
        <s v="Code 3617"/>
        <s v="Code 3618"/>
        <s v="Code 3619"/>
        <s v="Code 3620"/>
        <s v="Code 3621"/>
        <s v="Code 3622"/>
        <s v="Code 3623"/>
        <s v="Code 3624"/>
        <s v="Code 3625"/>
        <s v="Code 3626"/>
        <s v="Code 3627"/>
        <s v="Code 3628"/>
        <s v="Code 3629"/>
        <s v="Code 3630"/>
        <s v="Code 3631"/>
        <s v="Code 3632"/>
        <s v="Code 3633"/>
        <s v="Code 3634"/>
        <s v="Code 3635"/>
        <s v="Code 3636"/>
        <s v="Code 3637"/>
        <s v="Code 3638"/>
        <s v="Code 3639"/>
        <s v="Code 3640"/>
        <s v="Code 3641"/>
        <s v="Code 3642"/>
        <s v="Code 3643"/>
        <s v="Code 3644"/>
        <s v="Code 3645"/>
        <s v="Code 3646"/>
        <s v="Code 3647"/>
        <s v="Code 3648"/>
        <s v="Code 3649"/>
        <s v="Code 3650"/>
        <s v="Code 3651"/>
        <s v="Code 3652"/>
        <s v="Code 3653"/>
        <s v="Code 3654"/>
        <s v="Code 3655"/>
        <s v="Code 3656"/>
        <s v="Code 3657"/>
        <s v="Code 3658"/>
        <s v="Code 3659"/>
        <s v="Code 3660"/>
        <s v="Code 3661"/>
        <s v="Code 3662"/>
        <s v="Code 3663"/>
        <s v="Code 3664"/>
        <s v="Code 3665"/>
        <s v="Code 3666"/>
        <s v="Code 3667"/>
        <s v="Code 3668"/>
        <s v="Code 3669"/>
        <s v="Code 3670"/>
        <s v="Code 3671"/>
        <s v="Code 3672"/>
        <s v="Code 3673"/>
        <s v="Code 3674"/>
        <s v="Code 3675"/>
        <s v="Code 3676"/>
        <s v="Code 3677"/>
        <s v="Code 3678"/>
        <s v="Code 3679"/>
        <s v="Code 3680"/>
        <s v="Code 3681"/>
        <s v="Code 3682"/>
        <s v="Code 3683"/>
        <s v="Code 3684"/>
        <s v="Code 3685"/>
        <s v="Code 3686"/>
        <s v="Code 3687"/>
        <s v="Code 3688"/>
        <s v="Code 3689"/>
        <s v="Code 3690"/>
        <s v="Code 3691"/>
        <s v="Code 3692"/>
        <s v="Code 3693"/>
        <s v="Code 3694"/>
        <s v="Code 3695"/>
        <s v="Code 3696"/>
        <s v="Code 3697"/>
        <s v="Code 3698"/>
        <s v="Code 3699"/>
        <s v="Code 3700"/>
        <s v="Code 3701"/>
        <s v="Code 3702"/>
        <s v="Code 3703"/>
        <s v="Code 3704"/>
        <s v="Code 3705"/>
        <s v="Code 3706"/>
        <s v="Code 3707"/>
        <s v="Code 3708"/>
        <s v="Code 3709"/>
        <s v="Code 3710"/>
        <s v="Code 3711"/>
        <s v="Code 3712"/>
        <s v="Code 3713"/>
        <s v="Code 3714"/>
        <s v="Code 3715"/>
        <s v="Code 3716"/>
        <s v="Code 3717"/>
        <s v="Code 3718"/>
        <s v="Code 3719"/>
        <s v="Code 3720"/>
        <s v="Code 3721"/>
        <s v="Code 3722"/>
        <s v="Code 3723"/>
        <s v="Code 3724"/>
        <s v="Code 3725"/>
        <s v="Code 3726"/>
        <s v="Code 3727"/>
        <s v="Code 3728"/>
        <s v="Code 3729"/>
        <s v="Code 3730"/>
        <s v="Code 3731"/>
        <s v="Code 3732"/>
        <s v="Code 3733"/>
        <s v="Code 3734"/>
        <s v="Code 3735"/>
        <s v="Code 3736"/>
        <s v="Code 3737"/>
        <s v="Code 3738"/>
        <s v="Code 3739"/>
        <s v="Code 3740"/>
        <s v="Code 3741"/>
        <s v="Code 3742"/>
        <s v="Code 3743"/>
        <s v="Code 3744"/>
        <s v="Code 3745"/>
        <s v="Code 3746"/>
        <s v="Code 3747"/>
        <s v="Code 3748"/>
        <s v="Code 3749"/>
        <s v="Code 3750"/>
        <s v="Code 3751"/>
        <s v="Code 3752"/>
        <s v="Code 3753"/>
        <s v="Code 3754"/>
        <s v="Code 3755"/>
        <s v="Code 3756"/>
        <s v="Code 3757"/>
        <s v="Code 3758"/>
        <s v="Code 3759"/>
        <s v="Code 3760"/>
        <s v="Code 3761"/>
        <s v="Code 3762"/>
        <s v="Code 3763"/>
        <s v="Code 3764"/>
        <s v="Code 3765"/>
        <s v="Code 3766"/>
        <s v="Code 3767"/>
        <s v="Code 3768"/>
        <s v="Code 3769"/>
        <s v="Code 3770"/>
        <s v="Code 3771"/>
        <s v="Code 3772"/>
        <s v="Code 3773"/>
        <s v="Code 3774"/>
        <s v="Code 3775"/>
        <s v="Code 3776"/>
        <s v="Code 3777"/>
        <s v="Code 3778"/>
        <s v="Code 3779"/>
        <s v="Code 3780"/>
        <s v="Code 3781"/>
        <s v="Code 3782"/>
        <s v="Code 3783"/>
        <s v="Code 3784"/>
        <s v="Code 3785"/>
        <s v="Code 3786"/>
        <s v="Code 3787"/>
        <s v="Code 3788"/>
        <s v="Code 3789"/>
        <s v="Code 3790"/>
        <s v="Code 3791"/>
        <s v="Code 3792"/>
        <s v="Code 3793"/>
        <s v="Code 3794"/>
        <s v="Code 3795"/>
        <s v="Code 3796"/>
        <s v="Code 3797"/>
        <s v="Code 3798"/>
        <s v="Code 3799"/>
        <s v="Code 3800"/>
        <s v="Code 3801"/>
        <s v="Code 3802"/>
        <s v="Code 3803"/>
        <s v="Code 3804"/>
        <s v="Code 3805"/>
        <s v="Code 3806"/>
        <s v="Code 3807"/>
        <s v="Code 3808"/>
        <s v="Code 3809"/>
        <s v="Code 3810"/>
        <s v="Code 3811"/>
        <s v="Code 3812"/>
        <s v="Code 3813"/>
        <s v="Code 3814"/>
        <s v="Code 3815"/>
        <s v="Code 3816"/>
        <s v="Code 3817"/>
        <s v="Code 3818"/>
        <s v="Code 3819"/>
        <s v="Code 3820"/>
        <s v="Code 3821"/>
        <s v="Code 3822"/>
        <s v="Code 3823"/>
        <s v="Code 3824"/>
        <s v="Code 3825"/>
        <s v="Code 3826"/>
        <s v="Code 3827"/>
        <s v="Code 3828"/>
        <s v="Code 3829"/>
        <s v="Code 3830"/>
        <s v="Code 3831"/>
        <s v="Code 3832"/>
        <s v="Code 3833"/>
        <s v="Code 3834"/>
        <s v="Code 3835"/>
        <s v="Code 3836"/>
        <s v="Code 3837"/>
        <s v="Code 3838"/>
        <s v="Code 3839"/>
        <s v="Code 3840"/>
        <s v="Code 3841"/>
        <s v="Code 3842"/>
        <s v="Code 3843"/>
        <s v="Code 3844"/>
        <s v="Code 3845"/>
        <s v="Code 3846"/>
        <s v="Code 3847"/>
        <s v="Code 3848"/>
        <s v="Code 3849"/>
        <s v="Code 3850"/>
        <s v="Code 3851"/>
        <s v="Code 3852"/>
        <s v="Code 3853"/>
        <s v="Code 3854"/>
        <s v="Code 3855"/>
        <s v="Code 3856"/>
        <s v="Code 3857"/>
        <s v="Code 3858"/>
        <s v="Code 3859"/>
        <s v="Code 3860"/>
        <s v="Code 3861"/>
        <s v="Code 3862"/>
        <s v="Code 3863"/>
        <s v="Code 3864"/>
        <s v="Code 3865"/>
        <s v="Code 3866"/>
        <s v="Code 3867"/>
        <s v="Code 3868"/>
        <s v="Code 3869"/>
        <s v="Code 3870"/>
        <s v="Code 3871"/>
        <s v="Code 3872"/>
        <s v="Code 3873"/>
        <s v="Code 3874"/>
        <s v="Code 3875"/>
        <m/>
      </sharedItems>
    </cacheField>
    <cacheField name=" Forecast week 43" numFmtId="0">
      <sharedItems containsString="0" containsBlank="1" containsNumber="1" minValue="0" maxValue="42516" count="474">
        <n v="2"/>
        <n v="300"/>
        <n v="225"/>
        <n v="75"/>
        <n v="0"/>
        <n v="280"/>
        <n v="240"/>
        <n v="30"/>
        <n v="60"/>
        <n v="150"/>
        <n v="120"/>
        <n v="180"/>
        <n v="50"/>
        <n v="90"/>
        <n v="210"/>
        <n v="145"/>
        <n v="6"/>
        <n v="18"/>
        <n v="12"/>
        <n v="1404"/>
        <n v="20"/>
        <n v="21"/>
        <n v="520"/>
        <n v="604"/>
        <n v="130"/>
        <n v="154"/>
        <n v="260"/>
        <n v="40"/>
        <n v="80"/>
        <n v="45"/>
        <n v="24"/>
        <n v="14"/>
        <n v="7"/>
        <n v="19"/>
        <n v="28"/>
        <n v="35"/>
        <n v="1"/>
        <n v="36"/>
        <n v="56"/>
        <n v="13"/>
        <n v="500"/>
        <n v="600"/>
        <n v="100"/>
        <n v="38"/>
        <n v="4"/>
        <n v="750"/>
        <n v="5870"/>
        <n v="2808"/>
        <n v="328"/>
        <n v="3"/>
        <n v="2368"/>
        <n v="1992"/>
        <n v="4212"/>
        <n v="1580"/>
        <n v="648"/>
        <n v="756"/>
        <n v="1184"/>
        <n v="996"/>
        <n v="108"/>
        <n v="1296"/>
        <n v="1426"/>
        <n v="1444"/>
        <n v="700"/>
        <n v="81"/>
        <n v="204"/>
        <n v="1735"/>
        <n v="26898"/>
        <n v="129"/>
        <n v="0.1"/>
        <n v="244"/>
        <n v="200"/>
        <n v="811"/>
        <n v="2945"/>
        <n v="283"/>
        <n v="310"/>
        <n v="326"/>
        <n v="492"/>
        <n v="1062"/>
        <n v="4816"/>
        <n v="96"/>
        <n v="179"/>
        <n v="1496"/>
        <n v="10"/>
        <n v="52"/>
        <n v="626"/>
        <n v="800"/>
        <n v="3892"/>
        <n v="176"/>
        <n v="11294"/>
        <n v="2356"/>
        <n v="840"/>
        <n v="390"/>
        <n v="160"/>
        <n v="16"/>
        <n v="1944"/>
        <n v="889"/>
        <n v="797"/>
        <n v="420"/>
        <n v="230"/>
        <n v="205"/>
        <n v="32"/>
        <n v="8"/>
        <n v="76"/>
        <n v="228"/>
        <n v="132"/>
        <n v="2872"/>
        <n v="48"/>
        <n v="189"/>
        <n v="239"/>
        <n v="241"/>
        <n v="64"/>
        <n v="106"/>
        <n v="42"/>
        <n v="27"/>
        <n v="86"/>
        <n v="55"/>
        <n v="104"/>
        <n v="312"/>
        <n v="114"/>
        <n v="26"/>
        <n v="122"/>
        <n v="214"/>
        <n v="118"/>
        <n v="112"/>
        <n v="344"/>
        <n v="406"/>
        <n v="372"/>
        <n v="453"/>
        <n v="462"/>
        <n v="330.4"/>
        <n v="1192"/>
        <n v="3312"/>
        <n v="779"/>
        <n v="400"/>
        <n v="92"/>
        <n v="3028"/>
        <n v="321"/>
        <n v="232"/>
        <n v="333"/>
        <n v="111"/>
        <n v="61"/>
        <n v="53"/>
        <n v="14.44"/>
        <n v="450"/>
        <n v="5"/>
        <n v="1.44"/>
        <n v="0.245"/>
        <n v="9161.7150000000001"/>
        <n v="185.45"/>
        <n v="23"/>
        <n v="3.9"/>
        <n v="78"/>
        <n v="398"/>
        <n v="358"/>
        <n v="62"/>
        <n v="11"/>
        <n v="682"/>
        <n v="233"/>
        <n v="135"/>
        <n v="82.21"/>
        <n v="4.8639999999999999"/>
        <n v="11.7"/>
        <n v="22.35"/>
        <n v="36.647500000000001"/>
        <n v="0.16"/>
        <n v="5.2"/>
        <n v="138"/>
        <n v="13.4938"/>
        <n v="71.767420000000001"/>
        <n v="7.4289999999999994"/>
        <n v="44.36"/>
        <n v="28.014800000000001"/>
        <n v="2.988"/>
        <n v="17"/>
        <n v="88"/>
        <n v="15"/>
        <n v="59"/>
        <n v="503.90639999999996"/>
        <n v="620"/>
        <n v="5.0000000000000001E-3"/>
        <n v="0.2"/>
        <n v="9850"/>
        <n v="5700"/>
        <n v="1200"/>
        <n v="243.10020000000003"/>
        <n v="540"/>
        <n v="1600"/>
        <n v="0.05"/>
        <n v="156"/>
        <n v="91"/>
        <n v="8.0520000000000001E-3"/>
        <n v="331.15"/>
        <n v="4.2"/>
        <n v="168.43"/>
        <n v="430.57810000000001"/>
        <n v="1238.1113800000001"/>
        <n v="1947.8073800000002"/>
        <n v="147.79"/>
        <n v="0.53459999999999996"/>
        <n v="6.0000000000000001E-3"/>
        <n v="53.656799999999997"/>
        <n v="20.632000000000001"/>
        <n v="2.4"/>
        <n v="89.721999999999994"/>
        <n v="4.5599999999999996"/>
        <n v="49.6"/>
        <n v="297.4676"/>
        <n v="207.28"/>
        <n v="1010.3951999999999"/>
        <n v="2695.68"/>
        <n v="0.55008000000000001"/>
        <n v="514.5"/>
        <n v="259.49906000000004"/>
        <n v="21.38"/>
        <n v="786.18200000000002"/>
        <n v="130.81"/>
        <n v="1190.9348"/>
        <n v="707.74"/>
        <n v="124.04504"/>
        <n v="807.52"/>
        <n v="1689.8"/>
        <n v="39.36"/>
        <n v="14.4"/>
        <n v="50.3"/>
        <n v="91.296000000000021"/>
        <n v="827.72599999999989"/>
        <n v="94.38"/>
        <n v="1.8335999999999999"/>
        <n v="3062.7551999999996"/>
        <n v="276.07499999999999"/>
        <n v="1751.3004599999999"/>
        <n v="172.23"/>
        <n v="1033.5731000000001"/>
        <n v="177.6"/>
        <n v="262.5154"/>
        <n v="1689.0770600000003"/>
        <n v="1658.2657199999996"/>
        <n v="323.79000000000002"/>
        <n v="1407.1411000000003"/>
        <n v="186.75"/>
        <n v="2371.9090000000001"/>
        <n v="0.48099999999999998"/>
        <n v="0.28000000000000003"/>
        <n v="2.109"/>
        <n v="45.72029999999998"/>
        <n v="31.564399999999999"/>
        <n v="13.32"/>
        <n v="408.07499999999999"/>
        <n v="12.84"/>
        <n v="90.98"/>
        <n v="26.604000000000003"/>
        <n v="0.748"/>
        <n v="299.52"/>
        <n v="136.44440000000003"/>
        <n v="17.899999999999999"/>
        <n v="1719.9390000000003"/>
        <n v="16.3"/>
        <n v="39.970999999999997"/>
        <n v="9.4"/>
        <n v="2E-3"/>
        <n v="1.67"/>
        <n v="46"/>
        <n v="44"/>
        <n v="0.96"/>
        <n v="70"/>
        <n v="43"/>
        <n v="34"/>
        <n v="14200"/>
        <n v="4520"/>
        <n v="560"/>
        <n v="152"/>
        <n v="304"/>
        <n v="503"/>
        <n v="270"/>
        <n v="466"/>
        <n v="211"/>
        <n v="182"/>
        <n v="3086"/>
        <n v="9"/>
        <n v="11276.495199999999"/>
        <n v="8.9640000000000004"/>
        <n v="134"/>
        <n v="2180"/>
        <n v="755.12"/>
        <n v="2.5"/>
        <n v="0.108"/>
        <n v="0.5"/>
        <n v="950"/>
        <n v="1920"/>
        <n v="4.75"/>
        <n v="825"/>
        <n v="2687"/>
        <n v="1080"/>
        <n v="5684"/>
        <n v="12088"/>
        <n v="3888"/>
        <n v="6229"/>
        <n v="25"/>
        <n v="290"/>
        <n v="5504"/>
        <n v="6224"/>
        <n v="6274"/>
        <n v="380"/>
        <n v="2400"/>
        <n v="1000"/>
        <n v="2136"/>
        <n v="3680"/>
        <n v="2600"/>
        <n v="3456"/>
        <n v="2048"/>
        <n v="3.52"/>
        <n v="0.88"/>
        <n v="1040"/>
        <n v="1104"/>
        <n v="725"/>
        <n v="1936"/>
        <n v="408"/>
        <n v="1010"/>
        <n v="384"/>
        <n v="576"/>
        <n v="4500"/>
        <n v="268"/>
        <n v="402"/>
        <n v="320"/>
        <n v="1020"/>
        <n v="11008"/>
        <n v="136"/>
        <n v="6020"/>
        <n v="4316"/>
        <n v="5002"/>
        <n v="3851"/>
        <n v="1272"/>
        <n v="6096"/>
        <n v="10296"/>
        <n v="424"/>
        <n v="22"/>
        <n v="375"/>
        <n v="1008"/>
        <n v="2352"/>
        <n v="294"/>
        <n v="196"/>
        <n v="3.024"/>
        <n v="1036.8"/>
        <n v="0.27"/>
        <n v="0.3"/>
        <n v="6.9000000000000006E-2"/>
        <n v="1972"/>
        <n v="7666"/>
        <n v="17482"/>
        <n v="11.9"/>
        <n v="1.64"/>
        <n v="64.14"/>
        <n v="161"/>
        <n v="610"/>
        <n v="3.2000000000000001E-2"/>
        <n v="15.8"/>
        <n v="1.226"/>
        <n v="1.73"/>
        <n v="2.74"/>
        <n v="36.283000000000001"/>
        <n v="1.43"/>
        <n v="0.91900000000000004"/>
        <n v="1.41"/>
        <n v="73.528999999999996"/>
        <n v="2204"/>
        <n v="1804"/>
        <n v="0.64"/>
        <n v="8.0000000000000002E-3"/>
        <n v="1.0089999999999999"/>
        <n v="101"/>
        <n v="14.255000000000001"/>
        <n v="62.2"/>
        <n v="21.8"/>
        <n v="21.21"/>
        <n v="1646"/>
        <n v="27280"/>
        <n v="468"/>
        <n v="168"/>
        <n v="546"/>
        <n v="14.48"/>
        <n v="3.6"/>
        <n v="213"/>
        <n v="1810"/>
        <n v="966"/>
        <n v="5716"/>
        <n v="798"/>
        <n v="1524"/>
        <n v="98"/>
        <n v="4538"/>
        <n v="1366"/>
        <n v="2964"/>
        <n v="2000"/>
        <n v="0.25"/>
        <n v="0.4"/>
        <n v="21.08"/>
        <n v="1852"/>
        <n v="984"/>
        <n v="885"/>
        <n v="265"/>
        <n v="431"/>
        <n v="33"/>
        <n v="124"/>
        <n v="3.2"/>
        <n v="102"/>
        <n v="0.04"/>
        <n v="366"/>
        <n v="5000"/>
        <n v="216"/>
        <n v="11050"/>
        <n v="734"/>
        <n v="506"/>
        <n v="248"/>
        <n v="198"/>
        <n v="2617"/>
        <n v="2984"/>
        <n v="318"/>
        <n v="1384"/>
        <n v="258"/>
        <n v="2643"/>
        <n v="330"/>
        <n v="439"/>
        <n v="738"/>
        <n v="1922"/>
        <n v="332"/>
        <n v="2345"/>
        <n v="2847"/>
        <n v="740"/>
        <n v="960"/>
        <n v="2205"/>
        <n v="1264"/>
        <n v="128"/>
        <n v="624"/>
        <n v="184"/>
        <n v="172"/>
        <n v="163"/>
        <n v="73"/>
        <n v="720"/>
        <n v="192"/>
        <n v="4769"/>
        <n v="224"/>
        <n v="1400"/>
        <n v="207"/>
        <n v="323"/>
        <n v="12248"/>
        <n v="2476"/>
        <n v="997"/>
        <n v="8420"/>
        <n v="5034"/>
        <n v="2657"/>
        <n v="1178"/>
        <n v="1248"/>
        <n v="1797"/>
        <n v="1710"/>
        <n v="42516"/>
        <n v="972"/>
        <n v="178"/>
        <n v="1588"/>
        <n v="30380"/>
        <n v="969"/>
        <n v="4144"/>
        <n v="824"/>
        <n v="288"/>
        <n v="516"/>
        <n v="912"/>
        <n v="456"/>
        <n v="410"/>
        <n v="72"/>
        <n v="480"/>
        <n v="1888.25"/>
        <n v="816.3"/>
        <n v="110"/>
        <n v="74"/>
        <n v="107"/>
        <m/>
      </sharedItems>
    </cacheField>
    <cacheField name=" Forecast week 44" numFmtId="0">
      <sharedItems containsString="0" containsBlank="1" containsNumber="1" minValue="0" maxValue="40384" count="408">
        <n v="2"/>
        <n v="0"/>
        <n v="225"/>
        <n v="140"/>
        <n v="15"/>
        <n v="25"/>
        <n v="75"/>
        <n v="50"/>
        <n v="30"/>
        <n v="120"/>
        <n v="90"/>
        <n v="60"/>
        <n v="150"/>
        <n v="85"/>
        <n v="70"/>
        <n v="4"/>
        <n v="10"/>
        <n v="6"/>
        <n v="1188"/>
        <n v="18"/>
        <n v="23"/>
        <n v="11"/>
        <n v="138"/>
        <n v="152"/>
        <n v="188"/>
        <n v="38"/>
        <n v="76"/>
        <n v="44"/>
        <n v="22"/>
        <n v="46"/>
        <n v="92"/>
        <n v="27"/>
        <n v="9"/>
        <n v="36"/>
        <n v="45"/>
        <n v="72"/>
        <n v="3"/>
        <n v="100"/>
        <n v="8"/>
        <n v="600"/>
        <n v="300"/>
        <n v="750"/>
        <n v="400"/>
        <n v="5450"/>
        <n v="40"/>
        <n v="2376"/>
        <n v="2436"/>
        <n v="3040"/>
        <n v="250"/>
        <n v="3564"/>
        <n v="1218"/>
        <n v="1400"/>
        <n v="756"/>
        <n v="432"/>
        <n v="2736"/>
        <n v="1520"/>
        <n v="125"/>
        <n v="786"/>
        <n v="1254.0999999999999"/>
        <n v="1256"/>
        <n v="280"/>
        <n v="360"/>
        <n v="200"/>
        <n v="1429"/>
        <n v="20185"/>
        <n v="0.15"/>
        <n v="20"/>
        <n v="620"/>
        <n v="800"/>
        <n v="2271"/>
        <n v="236"/>
        <n v="39"/>
        <n v="1150"/>
        <n v="384"/>
        <n v="328"/>
        <n v="4802"/>
        <n v="12"/>
        <n v="104"/>
        <n v="131"/>
        <n v="214"/>
        <n v="624"/>
        <n v="1640"/>
        <n v="10834"/>
        <n v="925"/>
        <n v="160"/>
        <n v="105"/>
        <n v="16"/>
        <n v="1438"/>
        <n v="1124"/>
        <n v="17"/>
        <n v="668"/>
        <n v="56"/>
        <n v="108"/>
        <n v="62"/>
        <n v="186"/>
        <n v="572"/>
        <n v="28"/>
        <n v="84"/>
        <n v="162"/>
        <n v="279"/>
        <n v="81"/>
        <n v="99"/>
        <n v="54"/>
        <n v="126"/>
        <n v="312"/>
        <n v="342"/>
        <n v="78"/>
        <n v="48"/>
        <n v="24"/>
        <n v="507"/>
        <n v="14"/>
        <n v="402.4"/>
        <n v="241"/>
        <n v="1228"/>
        <n v="1862"/>
        <n v="876"/>
        <n v="34"/>
        <n v="26"/>
        <n v="2426.1"/>
        <n v="35"/>
        <n v="1888"/>
        <n v="113"/>
        <n v="80"/>
        <n v="184"/>
        <n v="339"/>
        <n v="1"/>
        <n v="83"/>
        <n v="41"/>
        <n v="7"/>
        <n v="0.9"/>
        <n v="13.81"/>
        <n v="175"/>
        <n v="4819.9549999999999"/>
        <n v="103.4"/>
        <n v="0.85"/>
        <n v="37"/>
        <n v="102"/>
        <n v="170"/>
        <n v="5"/>
        <n v="237"/>
        <n v="95"/>
        <n v="111.5"/>
        <n v="6.54"/>
        <n v="4.4640000000000004"/>
        <n v="14.28"/>
        <n v="3.8"/>
        <n v="64.192999999999998"/>
        <n v="87"/>
        <n v="0.16"/>
        <n v="32.5"/>
        <n v="5.66"/>
        <n v="6.3967999999999998"/>
        <n v="3.698"/>
        <n v="31.103900000000003"/>
        <n v="18.007919999999999"/>
        <n v="1.992"/>
        <n v="65"/>
        <n v="251.95320000000001"/>
        <n v="42"/>
        <n v="7100"/>
        <n v="1900"/>
        <n v="2750"/>
        <n v="179.19299999999998"/>
        <n v="220"/>
        <n v="180"/>
        <n v="1600"/>
        <n v="0.54200000000000004"/>
        <n v="156"/>
        <n v="9.5"/>
        <n v="255.76"/>
        <n v="90.2"/>
        <n v="337.29510000000005"/>
        <n v="686.46189999999979"/>
        <n v="1789.9111799999998"/>
        <n v="52.38"/>
        <n v="26.828399999999998"/>
        <n v="8.68"/>
        <n v="237.6636"/>
        <n v="264.56"/>
        <n v="1574.3976"/>
        <n v="2396.16"/>
        <n v="0.91679999999999995"/>
        <n v="159.10665999999998"/>
        <n v="4.4000000000000004"/>
        <n v="1219.1619999999998"/>
        <n v="138.554"/>
        <n v="935.71039999999994"/>
        <n v="1057.3599999999999"/>
        <n v="1.31952"/>
        <n v="699.02"/>
        <n v="1559.4"/>
        <n v="87.65"/>
        <n v="96.224000000000004"/>
        <n v="537.47399999999993"/>
        <n v="94.38"/>
        <n v="1.46688"/>
        <n v="3906.7625999999996"/>
        <n v="139.84"/>
        <n v="1048.8865799999999"/>
        <n v="495.30245000000002"/>
        <n v="280.77999999999997"/>
        <n v="440.94569999999999"/>
        <n v="167.91"/>
        <n v="869.51219999999967"/>
        <n v="555.39218000000005"/>
        <n v="1204.7971599999998"/>
        <n v="290.39099999999996"/>
        <n v="486.98330000000004"/>
        <n v="33.22"/>
        <n v="3111.97"/>
        <n v="0.36"/>
        <n v="0.11700000000000001"/>
        <n v="43.487099999999991"/>
        <n v="40.582799999999999"/>
        <n v="23.31"/>
        <n v="381.226"/>
        <n v="4.9950000000000001"/>
        <n v="19.14"/>
        <n v="409.33320000000003"/>
        <n v="0.8"/>
        <n v="1.26"/>
        <n v="3.0000000000000001E-3"/>
        <n v="1.56"/>
        <n v="64"/>
        <n v="148"/>
        <n v="0.83499999999999996"/>
        <n v="135"/>
        <n v="7600"/>
        <n v="350"/>
        <n v="5100"/>
        <n v="19"/>
        <n v="31"/>
        <n v="13"/>
        <n v="124"/>
        <n v="32"/>
        <n v="68"/>
        <n v="58"/>
        <n v="66"/>
        <n v="136"/>
        <n v="272"/>
        <n v="128"/>
        <n v="53"/>
        <n v="372"/>
        <n v="130"/>
        <n v="190"/>
        <n v="364"/>
        <n v="137"/>
        <n v="2133"/>
        <n v="69"/>
        <n v="6873.6016"/>
        <n v="114"/>
        <n v="1645"/>
        <n v="811"/>
        <n v="0.5"/>
        <n v="9.6000000000000002E-2"/>
        <n v="650"/>
        <n v="8.72E-2"/>
        <n v="3.25"/>
        <n v="55"/>
        <n v="738"/>
        <n v="2496"/>
        <n v="440"/>
        <n v="4160"/>
        <n v="8344"/>
        <n v="2876"/>
        <n v="4572"/>
        <n v="3952"/>
        <n v="3240"/>
        <n v="2400"/>
        <n v="784"/>
        <n v="1737"/>
        <n v="3080"/>
        <n v="2000"/>
        <n v="2872"/>
        <n v="1080"/>
        <n v="2.64"/>
        <n v="1.76"/>
        <n v="848"/>
        <n v="449"/>
        <n v="1568"/>
        <n v="560"/>
        <n v="224"/>
        <n v="155"/>
        <n v="240"/>
        <n v="4125"/>
        <n v="402"/>
        <n v="320"/>
        <n v="480"/>
        <n v="804"/>
        <n v="52"/>
        <n v="7904"/>
        <n v="4729"/>
        <n v="3600"/>
        <n v="232"/>
        <n v="3160"/>
        <n v="3175"/>
        <n v="4842"/>
        <n v="226"/>
        <n v="8208"/>
        <n v="2058"/>
        <n v="196"/>
        <n v="420"/>
        <n v="5663"/>
        <n v="12312"/>
        <n v="110"/>
        <n v="860"/>
        <n v="11.2"/>
        <n v="2.74"/>
        <n v="26.54"/>
        <n v="1200"/>
        <n v="0.05"/>
        <n v="121"/>
        <n v="660"/>
        <n v="2018"/>
        <n v="1585"/>
        <n v="0.64"/>
        <n v="6.0000000000000001E-3"/>
        <n v="2.2000000000000002"/>
        <n v="0.50749999999999995"/>
        <n v="151"/>
        <n v="0.495"/>
        <n v="10.755000000000001"/>
        <n v="20.916"/>
        <n v="11.101000000000001"/>
        <n v="17400"/>
        <n v="468"/>
        <n v="210"/>
        <n v="5.6"/>
        <n v="247"/>
        <n v="844"/>
        <n v="5284"/>
        <n v="182"/>
        <n v="154"/>
        <n v="4018"/>
        <n v="3642"/>
        <n v="520"/>
        <n v="2600"/>
        <n v="258"/>
        <n v="21.08"/>
        <n v="885"/>
        <n v="522"/>
        <n v="656"/>
        <n v="728"/>
        <n v="21"/>
        <n v="504"/>
        <n v="366"/>
        <n v="269"/>
        <n v="7964"/>
        <n v="194"/>
        <n v="168"/>
        <n v="496"/>
        <n v="248"/>
        <n v="492"/>
        <n v="143"/>
        <n v="2712"/>
        <n v="2411"/>
        <n v="144"/>
        <n v="429"/>
        <n v="2276"/>
        <n v="242"/>
        <n v="675"/>
        <n v="1554"/>
        <n v="362"/>
        <n v="3683"/>
        <n v="1545"/>
        <n v="288"/>
        <n v="112"/>
        <n v="207"/>
        <n v="63"/>
        <n v="550"/>
        <n v="900"/>
        <n v="146.875"/>
        <n v="4529"/>
        <n v="165"/>
        <n v="1800"/>
        <n v="123"/>
        <n v="202"/>
        <n v="10224"/>
        <n v="304"/>
        <n v="1995"/>
        <n v="957"/>
        <n v="824"/>
        <n v="8497"/>
        <n v="442"/>
        <n v="2759"/>
        <n v="958"/>
        <n v="1248"/>
        <n v="766"/>
        <n v="2100"/>
        <n v="40384"/>
        <n v="332"/>
        <n v="25284"/>
        <n v="846"/>
        <n v="4020"/>
        <n v="408"/>
        <n v="181"/>
        <n v="566"/>
        <n v="744"/>
        <n v="93"/>
        <n v="153"/>
        <n v="264"/>
        <n v="346"/>
        <n v="1284"/>
        <n v="377.5"/>
        <n v="1030"/>
        <n v="0.65"/>
        <n v="57"/>
        <m/>
      </sharedItems>
    </cacheField>
    <cacheField name=" Forecast week 45" numFmtId="0">
      <sharedItems containsString="0" containsBlank="1" containsNumber="1" minValue="0" maxValue="45904" count="503">
        <n v="2"/>
        <n v="150"/>
        <n v="375"/>
        <n v="75"/>
        <n v="0"/>
        <n v="15"/>
        <n v="20"/>
        <n v="30"/>
        <n v="25"/>
        <n v="120"/>
        <n v="50"/>
        <n v="90"/>
        <n v="60"/>
        <n v="105"/>
        <n v="70"/>
        <n v="4"/>
        <n v="10"/>
        <n v="6"/>
        <n v="500"/>
        <n v="1404"/>
        <n v="19"/>
        <n v="180"/>
        <n v="1200"/>
        <n v="248"/>
        <n v="266"/>
        <n v="62"/>
        <n v="124"/>
        <n v="61"/>
        <n v="24"/>
        <n v="36"/>
        <n v="12"/>
        <n v="22"/>
        <n v="48"/>
        <n v="11"/>
        <n v="5"/>
        <n v="1"/>
        <n v="7"/>
        <n v="96"/>
        <n v="40"/>
        <n v="100"/>
        <n v="2000"/>
        <n v="1000"/>
        <n v="8"/>
        <n v="450"/>
        <n v="600"/>
        <n v="44"/>
        <n v="950"/>
        <n v="4490"/>
        <n v="2808"/>
        <n v="656"/>
        <n v="3184"/>
        <n v="1312"/>
        <n v="4212"/>
        <n v="1300"/>
        <n v="800"/>
        <n v="756"/>
        <n v="648"/>
        <n v="1592"/>
        <n v="216"/>
        <n v="1188"/>
        <n v="1431"/>
        <n v="1503"/>
        <n v="1804"/>
        <n v="300"/>
        <n v="700"/>
        <n v="1860"/>
        <n v="25339"/>
        <n v="0.15"/>
        <n v="210"/>
        <n v="810"/>
        <n v="3"/>
        <n v="13"/>
        <n v="45"/>
        <n v="56"/>
        <n v="2601"/>
        <n v="140"/>
        <n v="154"/>
        <n v="410"/>
        <n v="750"/>
        <n v="426"/>
        <n v="956"/>
        <n v="4902"/>
        <n v="242"/>
        <n v="139"/>
        <n v="132"/>
        <n v="550"/>
        <n v="698"/>
        <n v="2234"/>
        <n v="1248"/>
        <n v="11697"/>
        <n v="733"/>
        <n v="175"/>
        <n v="110"/>
        <n v="425"/>
        <n v="26"/>
        <n v="1916"/>
        <n v="1178"/>
        <n v="862"/>
        <n v="32"/>
        <n v="136"/>
        <n v="86"/>
        <n v="258"/>
        <n v="1268"/>
        <n v="76"/>
        <n v="16"/>
        <n v="312"/>
        <n v="309"/>
        <n v="392"/>
        <n v="109"/>
        <n v="155"/>
        <n v="72"/>
        <n v="35"/>
        <n v="84"/>
        <n v="104"/>
        <n v="52"/>
        <n v="172"/>
        <n v="336"/>
        <n v="57"/>
        <n v="80"/>
        <n v="118"/>
        <n v="82"/>
        <n v="162"/>
        <n v="493"/>
        <n v="360"/>
        <n v="476.8"/>
        <n v="1076.8"/>
        <n v="1256"/>
        <n v="3052"/>
        <n v="910"/>
        <n v="46"/>
        <n v="79"/>
        <n v="3167"/>
        <n v="585"/>
        <n v="192"/>
        <n v="372"/>
        <n v="83"/>
        <n v="41"/>
        <n v="6.55"/>
        <n v="395"/>
        <n v="30.05"/>
        <n v="4.9850000000000003"/>
        <n v="0.4"/>
        <n v="9063.7199999999993"/>
        <n v="342.11"/>
        <n v="2.2000000000000002"/>
        <n v="58"/>
        <n v="448"/>
        <n v="334"/>
        <n v="440"/>
        <n v="9"/>
        <n v="249"/>
        <n v="165"/>
        <n v="120.23"/>
        <n v="4.3600000000000003"/>
        <n v="4.6639999999999997"/>
        <n v="16.329999999999998"/>
        <n v="13.55"/>
        <n v="60.36"/>
        <n v="111"/>
        <n v="0.16"/>
        <n v="1.65"/>
        <n v="25.5"/>
        <n v="14.0968"/>
        <n v="47.668599999999998"/>
        <n v="54.329500000000003"/>
        <n v="39.133000000000003"/>
        <n v="27.813359999999999"/>
        <n v="4.9847999999999999"/>
        <n v="87"/>
        <n v="43"/>
        <n v="456.6816"/>
        <n v="63"/>
        <n v="195"/>
        <n v="91"/>
        <n v="2.5"/>
        <n v="620"/>
        <n v="280"/>
        <n v="1.4999999999999999E-2"/>
        <n v="0.14000000000000001"/>
        <n v="5.0999999999999997E-2"/>
        <n v="11250"/>
        <n v="4500"/>
        <n v="238.27159999999995"/>
        <n v="64"/>
        <n v="1280"/>
        <n v="240"/>
        <n v="2400"/>
        <n v="0.16500000000000001"/>
        <n v="168"/>
        <n v="33"/>
        <n v="68"/>
        <n v="0.16104000000000002"/>
        <n v="1.95"/>
        <n v="433.16"/>
        <n v="122.4"/>
        <n v="288.73255000000006"/>
        <n v="1102.2808800000003"/>
        <n v="2086.8603399999993"/>
        <n v="140.05000000000001"/>
        <n v="6.8599999999999994E-2"/>
        <n v="7.8E-2"/>
        <n v="53.656799999999997"/>
        <n v="4.8"/>
        <n v="49.2"/>
        <n v="230.26"/>
        <n v="15.54"/>
        <n v="388.18900000000008"/>
        <n v="232.72"/>
        <n v="1340.3951999999999"/>
        <n v="3110.7119999999995"/>
        <n v="0.73343999999999998"/>
        <n v="1029"/>
        <n v="37.223999999999997"/>
        <n v="260.77792000000017"/>
        <n v="20.5"/>
        <n v="1343.242"/>
        <n v="182.38"/>
        <n v="1046.5868"/>
        <n v="920.46"/>
        <n v="259.30951999999996"/>
        <n v="1039.3399999999999"/>
        <n v="504.8"/>
        <n v="1749.5150000000001"/>
        <n v="12.05"/>
        <n v="131.04299999999998"/>
        <n v="823.20600000000013"/>
        <n v="119.83"/>
        <n v="1.8335999999999999"/>
        <n v="3862.0741000000007"/>
        <n v="147.19999999999999"/>
        <n v="1581.29738"/>
        <n v="43.68"/>
        <n v="844.14159999999993"/>
        <n v="195.8"/>
        <n v="131.33844999999999"/>
        <n v="796.57203000000027"/>
        <n v="1322.1328599999997"/>
        <n v="115.93"/>
        <n v="671.55055000000004"/>
        <n v="89.155000000000001"/>
        <n v="3302.36"/>
        <n v="0.44399999999999995"/>
        <n v="0.48"/>
        <n v="0.73599999999999999"/>
        <n v="62.085799999999985"/>
        <n v="54.110399999999998"/>
        <n v="13.32"/>
        <n v="390.8"/>
        <n v="11.255000000000001"/>
        <n v="50.65"/>
        <n v="25.52"/>
        <n v="68.222200000000001"/>
        <n v="49.6"/>
        <n v="24.495999999999999"/>
        <n v="5.8"/>
        <n v="0.8"/>
        <n v="2.4"/>
        <n v="3.0000000000000001E-3"/>
        <n v="1.73"/>
        <n v="42"/>
        <n v="39"/>
        <n v="23"/>
        <n v="1.17"/>
        <n v="255"/>
        <n v="1500"/>
        <n v="12850"/>
        <n v="3940"/>
        <n v="54"/>
        <n v="38"/>
        <n v="18"/>
        <n v="88"/>
        <n v="92"/>
        <n v="108"/>
        <n v="184"/>
        <n v="368"/>
        <n v="94"/>
        <n v="176"/>
        <n v="74"/>
        <n v="160"/>
        <n v="584"/>
        <n v="270"/>
        <n v="330"/>
        <n v="508"/>
        <n v="245"/>
        <n v="419"/>
        <n v="66"/>
        <n v="512"/>
        <n v="3493"/>
        <n v="9915.5367999999999"/>
        <n v="113"/>
        <n v="3548"/>
        <n v="918"/>
        <n v="0.5"/>
        <n v="1580.8"/>
        <n v="0.22799999999999998"/>
        <n v="1.5"/>
        <n v="820"/>
        <n v="2240"/>
        <n v="4.0999999999999996"/>
        <n v="2964"/>
        <n v="2560"/>
        <n v="65"/>
        <n v="5284"/>
        <n v="11920"/>
        <n v="5368"/>
        <n v="6290"/>
        <n v="730"/>
        <n v="458"/>
        <n v="4712"/>
        <n v="200"/>
        <n v="6024"/>
        <n v="6074"/>
        <n v="1128"/>
        <n v="3600"/>
        <n v="1040"/>
        <n v="968"/>
        <n v="2397"/>
        <n v="1008"/>
        <n v="3480"/>
        <n v="4640"/>
        <n v="3016"/>
        <n v="1624"/>
        <n v="5.72"/>
        <n v="3.08"/>
        <n v="112"/>
        <n v="1180"/>
        <n v="2565"/>
        <n v="4792"/>
        <n v="1872"/>
        <n v="528"/>
        <n v="376"/>
        <n v="370"/>
        <n v="1050"/>
        <n v="384"/>
        <n v="576"/>
        <n v="4875"/>
        <n v="268"/>
        <n v="402"/>
        <n v="320"/>
        <n v="960"/>
        <n v="998"/>
        <n v="9440"/>
        <n v="322"/>
        <n v="6275"/>
        <n v="4854"/>
        <n v="328"/>
        <n v="4802"/>
        <n v="3949"/>
        <n v="1272"/>
        <n v="5616"/>
        <n v="10980"/>
        <n v="1168"/>
        <n v="612"/>
        <n v="428"/>
        <n v="780"/>
        <n v="400"/>
        <n v="2058"/>
        <n v="196"/>
        <n v="420"/>
        <n v="720"/>
        <n v="3.45"/>
        <n v="1036.8"/>
        <n v="5.4"/>
        <n v="24.6"/>
        <n v="7260"/>
        <n v="15204"/>
        <n v="1218"/>
        <n v="8.4"/>
        <n v="1.2"/>
        <n v="64.709999999999994"/>
        <n v="520"/>
        <n v="0.1"/>
        <n v="0.42719999999999997"/>
        <n v="191"/>
        <n v="34"/>
        <n v="21"/>
        <n v="699"/>
        <n v="15.8"/>
        <n v="0.96"/>
        <n v="5.5220000000000002"/>
        <n v="23.728000000000002"/>
        <n v="49.825000000000003"/>
        <n v="2204"/>
        <n v="1988"/>
        <n v="4.0000000000000001E-3"/>
        <n v="3.4"/>
        <n v="0.51249999999999996"/>
        <n v="53"/>
        <n v="47"/>
        <n v="161"/>
        <n v="1.0475000000000001"/>
        <n v="16.18"/>
        <n v="30.631999999999998"/>
        <n v="13.914999999999999"/>
        <n v="14"/>
        <n v="23460"/>
        <n v="504"/>
        <n v="394"/>
        <n v="4.08"/>
        <n v="3.6"/>
        <n v="148"/>
        <n v="351"/>
        <n v="1250"/>
        <n v="1120"/>
        <n v="1338"/>
        <n v="7396"/>
        <n v="1809"/>
        <n v="1604"/>
        <n v="198"/>
        <n v="5024"/>
        <n v="3468"/>
        <n v="650"/>
        <n v="306"/>
        <n v="2288.768"/>
        <n v="0.2"/>
        <n v="21.08"/>
        <n v="706"/>
        <n v="686"/>
        <n v="712"/>
        <n v="276"/>
        <n v="17"/>
        <n v="37"/>
        <n v="102"/>
        <n v="0.52"/>
        <n v="366"/>
        <n v="610"/>
        <n v="128"/>
        <n v="1258"/>
        <n v="9516"/>
        <n v="89"/>
        <n v="202"/>
        <n v="494"/>
        <n v="604"/>
        <n v="170"/>
        <n v="314"/>
        <n v="783"/>
        <n v="55"/>
        <n v="2796"/>
        <n v="3284"/>
        <n v="560"/>
        <n v="2675"/>
        <n v="159"/>
        <n v="95"/>
        <n v="580"/>
        <n v="1055"/>
        <n v="2198"/>
        <n v="380"/>
        <n v="3376"/>
        <n v="3108"/>
        <n v="364"/>
        <n v="2595"/>
        <n v="860"/>
        <n v="354"/>
        <n v="344"/>
        <n v="506"/>
        <n v="174"/>
        <n v="672"/>
        <n v="28"/>
        <n v="278"/>
        <n v="259"/>
        <n v="201.75"/>
        <n v="4976"/>
        <n v="285"/>
        <n v="206"/>
        <n v="250"/>
        <n v="4200"/>
        <n v="99"/>
        <n v="324"/>
        <n v="7884"/>
        <n v="292"/>
        <n v="2656"/>
        <n v="1466"/>
        <n v="976"/>
        <n v="10117"/>
        <n v="3443"/>
        <n v="2858"/>
        <n v="1236"/>
        <n v="1344"/>
        <n v="864"/>
        <n v="2140"/>
        <n v="45904"/>
        <n v="147"/>
        <n v="596"/>
        <n v="27048"/>
        <n v="1082"/>
        <n v="4440"/>
        <n v="871"/>
        <n v="1133"/>
        <n v="1032"/>
        <n v="516"/>
        <n v="129"/>
        <n v="212"/>
        <n v="238"/>
        <n v="920"/>
        <n v="146"/>
        <n v="432"/>
        <n v="456"/>
        <n v="126"/>
        <n v="2126"/>
        <n v="655.5"/>
        <n v="117"/>
        <n v="135"/>
        <m/>
      </sharedItems>
    </cacheField>
    <cacheField name=" Forecast week 46" numFmtId="0">
      <sharedItems containsString="0" containsBlank="1" containsNumber="1" minValue="0" maxValue="49324" count="510">
        <n v="2"/>
        <n v="0"/>
        <n v="225"/>
        <n v="75"/>
        <n v="140"/>
        <n v="120"/>
        <n v="30"/>
        <n v="25"/>
        <n v="50"/>
        <n v="90"/>
        <n v="60"/>
        <n v="150"/>
        <n v="195"/>
        <n v="197"/>
        <n v="70"/>
        <n v="4"/>
        <n v="10"/>
        <n v="6"/>
        <n v="1404"/>
        <n v="8"/>
        <n v="22"/>
        <n v="15"/>
        <n v="132"/>
        <n v="1600"/>
        <n v="420"/>
        <n v="490"/>
        <n v="105"/>
        <n v="122"/>
        <n v="210"/>
        <n v="44"/>
        <n v="88"/>
        <n v="12"/>
        <n v="65"/>
        <n v="16"/>
        <n v="20"/>
        <n v="18"/>
        <n v="40"/>
        <n v="36"/>
        <n v="24"/>
        <n v="80"/>
        <n v="100"/>
        <n v="7"/>
        <n v="46"/>
        <n v="300"/>
        <n v="600"/>
        <n v="830"/>
        <n v="5290"/>
        <n v="2808"/>
        <n v="656"/>
        <n v="2624"/>
        <n v="2296"/>
        <n v="4212"/>
        <n v="1400"/>
        <n v="1228"/>
        <n v="648"/>
        <n v="756"/>
        <n v="1312"/>
        <n v="1148"/>
        <n v="108"/>
        <n v="1296"/>
        <n v="1431"/>
        <n v="1468"/>
        <n v="700"/>
        <n v="200"/>
        <n v="800"/>
        <n v="928"/>
        <n v="241"/>
        <n v="1701"/>
        <n v="25848"/>
        <n v="0.1"/>
        <n v="780"/>
        <n v="48"/>
        <n v="3068"/>
        <n v="3"/>
        <n v="164"/>
        <n v="404"/>
        <n v="17"/>
        <n v="750"/>
        <n v="452"/>
        <n v="956"/>
        <n v="400"/>
        <n v="4814"/>
        <n v="55"/>
        <n v="104"/>
        <n v="139"/>
        <n v="112"/>
        <n v="1062"/>
        <n v="28"/>
        <n v="546"/>
        <n v="500"/>
        <n v="2487"/>
        <n v="98"/>
        <n v="11208"/>
        <n v="1530"/>
        <n v="540"/>
        <n v="430"/>
        <n v="160"/>
        <n v="980"/>
        <n v="26"/>
        <n v="1924"/>
        <n v="1464"/>
        <n v="34"/>
        <n v="796"/>
        <n v="96"/>
        <n v="32"/>
        <n v="136"/>
        <n v="86"/>
        <n v="258"/>
        <n v="2372"/>
        <n v="76"/>
        <n v="266"/>
        <n v="451"/>
        <n v="366"/>
        <n v="92"/>
        <n v="291"/>
        <n v="154"/>
        <n v="42"/>
        <n v="315"/>
        <n v="264"/>
        <n v="14"/>
        <n v="13"/>
        <n v="158"/>
        <n v="82"/>
        <n v="162"/>
        <n v="584"/>
        <n v="1"/>
        <n v="360"/>
        <n v="493.4"/>
        <n v="305.60000000000002"/>
        <n v="1556"/>
        <n v="3124"/>
        <n v="837"/>
        <n v="11"/>
        <n v="0.4"/>
        <n v="79"/>
        <n v="3059"/>
        <n v="207"/>
        <n v="72"/>
        <n v="116"/>
        <n v="168"/>
        <n v="306"/>
        <n v="83"/>
        <n v="41"/>
        <n v="1200"/>
        <n v="27.187999999999999"/>
        <n v="395"/>
        <n v="6.28"/>
        <n v="1.17"/>
        <n v="0.628"/>
        <n v="0.57999999999999996"/>
        <n v="8915.42"/>
        <n v="192.34"/>
        <n v="2.2000000000000002"/>
        <n v="216"/>
        <n v="58"/>
        <n v="448"/>
        <n v="334"/>
        <n v="440"/>
        <n v="9"/>
        <n v="5"/>
        <n v="180"/>
        <n v="284"/>
        <n v="98.68"/>
        <n v="2.1800000000000002"/>
        <n v="4.6639999999999997"/>
        <n v="9.65"/>
        <n v="12.6"/>
        <n v="40.480499999999999"/>
        <n v="0.16"/>
        <n v="1.95"/>
        <n v="30.4"/>
        <n v="12.825799999999999"/>
        <n v="39.868600000000001"/>
        <n v="10.998000000000001"/>
        <n v="47.02"/>
        <n v="25.014239999999997"/>
        <n v="4.9872000000000005"/>
        <n v="33"/>
        <n v="577.06200000000001"/>
        <n v="63"/>
        <n v="620"/>
        <n v="0.01"/>
        <n v="3.0000000000000001E-3"/>
        <n v="6.0000000000000001E-3"/>
        <n v="11164"/>
        <n v="1750"/>
        <n v="900"/>
        <n v="4620"/>
        <n v="235.07959999999994"/>
        <n v="1672"/>
        <n v="240"/>
        <n v="0.16500000000000001"/>
        <n v="35"/>
        <n v="68"/>
        <n v="9.5"/>
        <n v="3.2208000000000001E-2"/>
        <n v="7.5"/>
        <n v="400.74"/>
        <n v="179.95"/>
        <n v="621.51819999999987"/>
        <n v="1073.4534000000001"/>
        <n v="2159.8789599999996"/>
        <n v="126.85"/>
        <n v="4.8599999999999997E-2"/>
        <n v="2.4E-2"/>
        <n v="53.656799999999997"/>
        <n v="2.5499999999999998"/>
        <n v="49.2"/>
        <n v="230.26"/>
        <n v="28.52"/>
        <n v="49.6"/>
        <n v="414.85300000000012"/>
        <n v="108.92"/>
        <n v="754.55520000000001"/>
        <n v="2735.4"/>
        <n v="0.36671999999999999"/>
        <n v="1029"/>
        <n v="37.223999999999997"/>
        <n v="277.86892"/>
        <n v="20.908000000000001"/>
        <n v="1301.7819999999999"/>
        <n v="163.26"/>
        <n v="1232.4027999999998"/>
        <n v="444"/>
        <n v="0.29504000000000002"/>
        <n v="1015.22"/>
        <n v="3323.2"/>
        <n v="14.69"/>
        <n v="16.62"/>
        <n v="43.314"/>
        <n v="119.83"/>
        <n v="1.6502399999999999"/>
        <n v="13.55"/>
        <n v="3155.2692000000002"/>
        <n v="136.47999999999999"/>
        <n v="1319.3841599999998"/>
        <n v="50.48"/>
        <n v="686.15300000000002"/>
        <n v="106.6"/>
        <n v="421.7495199999999"/>
        <n v="1393.9281600000004"/>
        <n v="1146.3439499999997"/>
        <n v="281.23"/>
        <n v="1110.8297100000002"/>
        <n v="195.05500000000001"/>
        <n v="2437.29"/>
        <n v="0.48099999999999998"/>
        <n v="0.91800000000000015"/>
        <n v="77.204999999999998"/>
        <n v="4.04"/>
        <n v="45.091999999999999"/>
        <n v="15.12"/>
        <n v="387.53199999999998"/>
        <n v="10.78"/>
        <n v="60.59"/>
        <n v="25.52"/>
        <n v="75.480220000000003"/>
        <n v="2.2999999999999998"/>
        <n v="39.970999999999997"/>
        <n v="9.4"/>
        <n v="0.8"/>
        <n v="1.62"/>
        <n v="2E-3"/>
        <n v="1.36"/>
        <n v="69"/>
        <n v="45"/>
        <n v="1.1299999999999999"/>
        <n v="13014"/>
        <n v="310"/>
        <n v="54"/>
        <n v="38"/>
        <n v="43"/>
        <n v="19"/>
        <n v="172"/>
        <n v="52"/>
        <n v="184"/>
        <n v="368"/>
        <n v="94"/>
        <n v="176"/>
        <n v="78"/>
        <n v="644"/>
        <n v="270"/>
        <n v="568"/>
        <n v="234"/>
        <n v="47"/>
        <n v="520"/>
        <n v="118"/>
        <n v="62"/>
        <n v="3862"/>
        <n v="66"/>
        <n v="9197.5400000000009"/>
        <n v="153"/>
        <n v="2460"/>
        <n v="986"/>
        <n v="2011.2"/>
        <n v="0.108"/>
        <n v="720"/>
        <n v="2240"/>
        <n v="3.6"/>
        <n v="144"/>
        <n v="880"/>
        <n v="3052"/>
        <n v="3344"/>
        <n v="5320"/>
        <n v="13856"/>
        <n v="6152"/>
        <n v="7128"/>
        <n v="130"/>
        <n v="5256"/>
        <n v="110"/>
        <n v="5960"/>
        <n v="6060"/>
        <n v="1512"/>
        <n v="3600"/>
        <n v="946"/>
        <n v="874"/>
        <n v="2141"/>
        <n v="1272"/>
        <n v="3480"/>
        <n v="2400"/>
        <n v="5184"/>
        <n v="4024"/>
        <n v="1160"/>
        <n v="3.96"/>
        <n v="1.32"/>
        <n v="864"/>
        <n v="1083"/>
        <n v="3366"/>
        <n v="5336"/>
        <n v="936"/>
        <n v="1696"/>
        <n v="408"/>
        <n v="495"/>
        <n v="425"/>
        <n v="320"/>
        <n v="480"/>
        <n v="4875"/>
        <n v="268"/>
        <n v="402"/>
        <n v="1040"/>
        <n v="894"/>
        <n v="10528"/>
        <n v="5641"/>
        <n v="4265"/>
        <n v="4820"/>
        <n v="3799"/>
        <n v="1240"/>
        <n v="5886"/>
        <n v="9965"/>
        <n v="1592"/>
        <n v="484"/>
        <n v="462"/>
        <n v="49"/>
        <n v="95"/>
        <n v="1260"/>
        <n v="2058"/>
        <n v="196"/>
        <n v="407.47500000000002"/>
        <n v="3.95"/>
        <n v="363"/>
        <n v="0.54"/>
        <n v="0.6"/>
        <n v="2477.5"/>
        <n v="1894"/>
        <n v="7382"/>
        <n v="15420"/>
        <n v="1020"/>
        <n v="16.8"/>
        <n v="3.4"/>
        <n v="66.239999999999995"/>
        <n v="1000"/>
        <n v="0.02"/>
        <n v="0.06"/>
        <n v="0.42719999999999997"/>
        <n v="206"/>
        <n v="84"/>
        <n v="534"/>
        <n v="3.2000000000000001E-2"/>
        <n v="15.8"/>
        <n v="1.226"/>
        <n v="1.73"/>
        <n v="2.74"/>
        <n v="24.416999999999994"/>
        <n v="1.43"/>
        <n v="0.91900000000000004"/>
        <n v="1.41"/>
        <n v="54.597000000000001"/>
        <n v="1804"/>
        <n v="0.71"/>
        <n v="0.51400000000000001"/>
        <n v="181"/>
        <n v="11.25"/>
        <n v="17.09"/>
        <n v="64.5"/>
        <n v="21.466000000000001"/>
        <n v="10.62"/>
        <n v="56"/>
        <n v="24748"/>
        <n v="0.68"/>
        <n v="396"/>
        <n v="394"/>
        <n v="4.08"/>
        <n v="293"/>
        <n v="1520"/>
        <n v="317"/>
        <n v="1406"/>
        <n v="7110"/>
        <n v="380"/>
        <n v="1564"/>
        <n v="198"/>
        <n v="5020"/>
        <n v="3228"/>
        <n v="650"/>
        <n v="2433.152"/>
        <n v="530"/>
        <n v="0.2"/>
        <n v="21.08"/>
        <n v="51"/>
        <n v="820"/>
        <n v="984"/>
        <n v="696"/>
        <n v="370"/>
        <n v="2.5"/>
        <n v="124"/>
        <n v="64"/>
        <n v="74"/>
        <n v="77"/>
        <n v="468"/>
        <n v="102"/>
        <n v="53"/>
        <n v="407"/>
        <n v="1046"/>
        <n v="10516"/>
        <n v="89"/>
        <n v="297"/>
        <n v="194"/>
        <n v="494"/>
        <n v="604"/>
        <n v="248"/>
        <n v="4680"/>
        <n v="242"/>
        <n v="818"/>
        <n v="2324"/>
        <n v="3558"/>
        <n v="323"/>
        <n v="170"/>
        <n v="416"/>
        <n v="2438"/>
        <n v="283"/>
        <n v="151"/>
        <n v="2463"/>
        <n v="432"/>
        <n v="4347"/>
        <n v="3630"/>
        <n v="570"/>
        <n v="29"/>
        <n v="2880"/>
        <n v="354"/>
        <n v="344"/>
        <n v="972"/>
        <n v="174"/>
        <n v="528"/>
        <n v="274"/>
        <n v="73"/>
        <n v="590"/>
        <n v="381"/>
        <n v="1080"/>
        <n v="226.875"/>
        <n v="4756"/>
        <n v="636"/>
        <n v="4100"/>
        <n v="212"/>
        <n v="290"/>
        <n v="9247"/>
        <n v="296"/>
        <n v="2854"/>
        <n v="1304"/>
        <n v="884"/>
        <n v="11774"/>
        <n v="3495"/>
        <n v="2386"/>
        <n v="1156"/>
        <n v="1056"/>
        <n v="704"/>
        <n v="2520"/>
        <n v="49324"/>
        <n v="336"/>
        <n v="304"/>
        <n v="974"/>
        <n v="27048"/>
        <n v="1212"/>
        <n v="3540"/>
        <n v="292"/>
        <n v="1499"/>
        <n v="1032"/>
        <n v="516"/>
        <n v="129"/>
        <n v="246"/>
        <n v="312"/>
        <n v="276"/>
        <n v="1226"/>
        <n v="146"/>
        <n v="138"/>
        <n v="2157.4"/>
        <n v="671.58"/>
        <n v="1298.0999999999999"/>
        <n v="0.5"/>
        <n v="135"/>
        <n v="147"/>
        <m/>
      </sharedItems>
    </cacheField>
    <cacheField name=" Forecast week 47" numFmtId="0">
      <sharedItems containsString="0" containsBlank="1" containsNumber="1" minValue="0" maxValue="46684" count="459">
        <n v="2"/>
        <n v="90"/>
        <n v="230"/>
        <n v="120"/>
        <n v="58"/>
        <n v="45"/>
        <n v="70"/>
        <n v="65"/>
        <n v="30"/>
        <n v="60"/>
        <n v="150"/>
        <n v="180"/>
        <n v="0"/>
        <n v="25"/>
        <n v="100"/>
        <n v="149"/>
        <n v="1404"/>
        <n v="10"/>
        <n v="20"/>
        <n v="19"/>
        <n v="152"/>
        <n v="40"/>
        <n v="17"/>
        <n v="1"/>
        <n v="76"/>
        <n v="8"/>
        <n v="12"/>
        <n v="4"/>
        <n v="69"/>
        <n v="50"/>
        <n v="6"/>
        <n v="5"/>
        <n v="16"/>
        <n v="7"/>
        <n v="42"/>
        <n v="28"/>
        <n v="80"/>
        <n v="200"/>
        <n v="9"/>
        <n v="55"/>
        <n v="46"/>
        <n v="450"/>
        <n v="600"/>
        <n v="300"/>
        <n v="48"/>
        <n v="750"/>
        <n v="7490"/>
        <n v="2808"/>
        <n v="1044"/>
        <n v="3"/>
        <n v="2976"/>
        <n v="2112"/>
        <n v="4212"/>
        <n v="1488"/>
        <n v="1100"/>
        <n v="756"/>
        <n v="648"/>
        <n v="1056"/>
        <n v="216"/>
        <n v="1188"/>
        <n v="1437"/>
        <n v="1469"/>
        <n v="2204"/>
        <n v="358"/>
        <n v="686"/>
        <n v="240"/>
        <n v="248"/>
        <n v="1028"/>
        <n v="328"/>
        <n v="492"/>
        <n v="158"/>
        <n v="114"/>
        <n v="1606"/>
        <n v="22490"/>
        <n v="0.05"/>
        <n v="52"/>
        <n v="160"/>
        <n v="830"/>
        <n v="421"/>
        <n v="2029"/>
        <n v="197"/>
        <n v="340"/>
        <n v="13"/>
        <n v="2300"/>
        <n v="262"/>
        <n v="110"/>
        <n v="892"/>
        <n v="4870"/>
        <n v="11"/>
        <n v="36"/>
        <n v="654"/>
        <n v="400"/>
        <n v="2024"/>
        <n v="11732"/>
        <n v="324"/>
        <n v="330"/>
        <n v="270"/>
        <n v="26"/>
        <n v="1892"/>
        <n v="1719"/>
        <n v="914"/>
        <n v="360"/>
        <n v="130"/>
        <n v="108"/>
        <n v="132"/>
        <n v="620"/>
        <n v="268"/>
        <n v="468"/>
        <n v="370"/>
        <n v="92"/>
        <n v="294"/>
        <n v="313"/>
        <n v="14"/>
        <n v="126"/>
        <n v="18"/>
        <n v="359"/>
        <n v="660"/>
        <n v="315"/>
        <n v="644.4"/>
        <n v="1492"/>
        <n v="3271"/>
        <n v="935"/>
        <n v="2809.9"/>
        <n v="79"/>
        <n v="3191"/>
        <n v="215"/>
        <n v="98"/>
        <n v="366"/>
        <n v="1200"/>
        <n v="9.927999999999999"/>
        <n v="395"/>
        <n v="4.54"/>
        <n v="0.745"/>
        <n v="7764.5150000000003"/>
        <n v="167.5"/>
        <n v="22"/>
        <n v="2.25"/>
        <n v="91"/>
        <n v="24"/>
        <n v="15"/>
        <n v="217"/>
        <n v="448"/>
        <n v="337"/>
        <n v="32"/>
        <n v="47"/>
        <n v="440"/>
        <n v="207"/>
        <n v="64.75"/>
        <n v="2.4319999999999999"/>
        <n v="5.85"/>
        <n v="9.75"/>
        <n v="17.382000000000001"/>
        <n v="53"/>
        <n v="0.08"/>
        <n v="12.495799999999999"/>
        <n v="19.618600000000001"/>
        <n v="59.84"/>
        <n v="43.225899999999996"/>
        <n v="24.01304"/>
        <n v="5.7911999999999999"/>
        <n v="11.9"/>
        <n v="118"/>
        <n v="35"/>
        <n v="505.06559999999996"/>
        <n v="63"/>
        <n v="2.5"/>
        <n v="5.0000000000000001E-3"/>
        <n v="6.0000000000000001E-3"/>
        <n v="7450"/>
        <n v="1060"/>
        <n v="900"/>
        <n v="5590"/>
        <n v="227.88399999999993"/>
        <n v="1640"/>
        <n v="800"/>
        <n v="0.16500000000000001"/>
        <n v="162"/>
        <n v="33"/>
        <n v="68"/>
        <n v="4.75"/>
        <n v="2.4156E-2"/>
        <n v="346.14"/>
        <n v="164.51"/>
        <n v="317.21379999999999"/>
        <n v="963.07761999999957"/>
        <n v="2022.6325400000001"/>
        <n v="254.8"/>
        <n v="97.39"/>
        <n v="0.48599999999999999"/>
        <n v="1.7999999999999999E-2"/>
        <n v="53.656799999999997"/>
        <n v="1.8"/>
        <n v="49.2"/>
        <n v="230.26"/>
        <n v="40.85"/>
        <n v="49.6"/>
        <n v="281.55559999999997"/>
        <n v="49.64"/>
        <n v="1052.0352"/>
        <n v="3127.8719999999994"/>
        <n v="0.55008000000000001"/>
        <n v="514.5"/>
        <n v="187.53065999999998"/>
        <n v="1.76"/>
        <n v="1460.8"/>
        <n v="129.69999999999999"/>
        <n v="755.92679999999996"/>
        <n v="877"/>
        <n v="0.29504000000000002"/>
        <n v="755.72"/>
        <n v="1550.2"/>
        <n v="2.64"/>
        <n v="88.44"/>
        <n v="257.72800000000001"/>
        <n v="94.38"/>
        <n v="1.9252799999999999"/>
        <n v="2599.2240000000002"/>
        <n v="25.9"/>
        <n v="284.53899999999999"/>
        <n v="6.8"/>
        <n v="70.579000000000008"/>
        <n v="118.4"/>
        <n v="308.16887999999994"/>
        <n v="440.62405999999999"/>
        <n v="171.07772000000003"/>
        <n v="26.661099999999998"/>
        <n v="100.17700000000001"/>
        <n v="2557.61"/>
        <n v="0.4"/>
        <n v="1.07"/>
        <n v="61.691999999999993"/>
        <n v="4.04"/>
        <n v="45.091999999999999"/>
        <n v="384.83"/>
        <n v="15.06"/>
        <n v="26.604000000000003"/>
        <n v="0.748"/>
        <n v="149.76"/>
        <n v="136.4444"/>
        <n v="65.099999999999994"/>
        <n v="0.8"/>
        <n v="3.6"/>
        <n v="1E-3"/>
        <n v="1.67"/>
        <n v="64"/>
        <n v="54"/>
        <n v="148"/>
        <n v="0.505"/>
        <n v="38"/>
        <n v="720"/>
        <n v="9010"/>
        <n v="112"/>
        <n v="567"/>
        <n v="534"/>
        <n v="66"/>
        <n v="6488"/>
        <n v="84"/>
        <n v="62"/>
        <n v="3570"/>
        <n v="8080.2128000000002"/>
        <n v="4.1500000000000004"/>
        <n v="214"/>
        <n v="146"/>
        <n v="2544"/>
        <n v="689"/>
        <n v="0.5"/>
        <n v="1835.2"/>
        <n v="0.22799999999999998"/>
        <n v="0.06"/>
        <n v="2240"/>
        <n v="104"/>
        <n v="930"/>
        <n v="2946"/>
        <n v="3280"/>
        <n v="5684"/>
        <n v="12660"/>
        <n v="6088"/>
        <n v="6672"/>
        <n v="4690"/>
        <n v="105"/>
        <n v="5144"/>
        <n v="5194"/>
        <n v="2400"/>
        <n v="1472"/>
        <n v="168"/>
        <n v="3630"/>
        <n v="776"/>
        <n v="1772"/>
        <n v="1272"/>
        <n v="4760"/>
        <n v="2600"/>
        <n v="3026"/>
        <n v="1664"/>
        <n v="3.08"/>
        <n v="102"/>
        <n v="816"/>
        <n v="3282"/>
        <n v="4770"/>
        <n v="1520"/>
        <n v="288"/>
        <n v="384"/>
        <n v="576"/>
        <n v="4875"/>
        <n v="402"/>
        <n v="320"/>
        <n v="480"/>
        <n v="12976"/>
        <n v="796"/>
        <n v="9540"/>
        <n v="4676"/>
        <n v="3504"/>
        <n v="5002"/>
        <n v="5033"/>
        <n v="192"/>
        <n v="5856"/>
        <n v="218"/>
        <n v="8056"/>
        <n v="1512"/>
        <n v="296"/>
        <n v="780"/>
        <n v="2058"/>
        <n v="196"/>
        <n v="1.35"/>
        <n v="420"/>
        <n v="39.5"/>
        <n v="1036.8"/>
        <n v="0.81"/>
        <n v="0.9"/>
        <n v="135"/>
        <n v="6605"/>
        <n v="15906"/>
        <n v="908"/>
        <n v="11.8"/>
        <n v="2.2999999999999998"/>
        <n v="45.9"/>
        <n v="2100"/>
        <n v="700"/>
        <n v="520"/>
        <n v="220"/>
        <n v="5.5E-2"/>
        <n v="6.7199999999999996E-2"/>
        <n v="179"/>
        <n v="27"/>
        <n v="472"/>
        <n v="2208"/>
        <n v="0.64"/>
        <n v="0.78"/>
        <n v="0.52200000000000002"/>
        <n v="14.32"/>
        <n v="62.2"/>
        <n v="21.5489"/>
        <n v="11.244"/>
        <n v="21280"/>
        <n v="486"/>
        <n v="174"/>
        <n v="280"/>
        <n v="394"/>
        <n v="4.08"/>
        <n v="97.5"/>
        <n v="29"/>
        <n v="203"/>
        <n v="86"/>
        <n v="1120"/>
        <n v="153"/>
        <n v="1234"/>
        <n v="7482"/>
        <n v="190"/>
        <n v="1564"/>
        <n v="154"/>
        <n v="4544"/>
        <n v="88"/>
        <n v="3300"/>
        <n v="2433.152"/>
        <n v="488"/>
        <n v="21.08"/>
        <n v="1500"/>
        <n v="1260"/>
        <n v="580"/>
        <n v="188"/>
        <n v="984"/>
        <n v="111"/>
        <n v="34"/>
        <n v="244"/>
        <n v="124"/>
        <n v="31"/>
        <n v="558"/>
        <n v="0.12"/>
        <n v="44"/>
        <n v="59"/>
        <n v="9382"/>
        <n v="78"/>
        <n v="494"/>
        <n v="604"/>
        <n v="206"/>
        <n v="4186"/>
        <n v="222"/>
        <n v="74"/>
        <n v="554"/>
        <n v="1968"/>
        <n v="3385"/>
        <n v="113"/>
        <n v="96"/>
        <n v="202"/>
        <n v="375"/>
        <n v="2503"/>
        <n v="77"/>
        <n v="445"/>
        <n v="2053"/>
        <n v="278"/>
        <n v="2334"/>
        <n v="2630"/>
        <n v="1440"/>
        <n v="2250"/>
        <n v="56"/>
        <n v="182"/>
        <n v="136"/>
        <n v="274"/>
        <n v="73"/>
        <n v="594"/>
        <n v="388"/>
        <n v="500"/>
        <n v="510"/>
        <n v="207.5"/>
        <n v="0.16"/>
        <n v="4928"/>
        <n v="39"/>
        <n v="2720"/>
        <n v="106"/>
        <n v="267"/>
        <n v="11188"/>
        <n v="621"/>
        <n v="170"/>
        <n v="1135"/>
        <n v="784"/>
        <n v="9129"/>
        <n v="1446"/>
        <n v="2015"/>
        <n v="1183"/>
        <n v="1296"/>
        <n v="46684"/>
        <n v="336"/>
        <n v="26264"/>
        <n v="981"/>
        <n v="4290"/>
        <n v="241"/>
        <n v="516"/>
        <n v="342"/>
        <n v="312"/>
        <n v="276"/>
        <n v="410"/>
        <n v="72"/>
        <n v="156"/>
        <n v="403"/>
        <n v="1351"/>
        <n v="804.17"/>
        <n v="842.2"/>
        <n v="85"/>
        <n v="95"/>
        <m/>
      </sharedItems>
    </cacheField>
    <cacheField name=" Forecast week 48" numFmtId="0">
      <sharedItems containsString="0" containsBlank="1" containsNumber="1" minValue="0" maxValue="48724" count="415">
        <n v="2"/>
        <n v="90"/>
        <n v="230"/>
        <n v="120"/>
        <n v="58"/>
        <n v="45"/>
        <n v="70"/>
        <n v="65"/>
        <n v="0"/>
        <n v="15"/>
        <n v="25"/>
        <n v="75"/>
        <n v="50"/>
        <n v="30"/>
        <n v="60"/>
        <n v="89"/>
        <n v="4"/>
        <n v="1404"/>
        <n v="6"/>
        <n v="16"/>
        <n v="23"/>
        <n v="96"/>
        <n v="64"/>
        <n v="128"/>
        <n v="32"/>
        <n v="8"/>
        <n v="12"/>
        <n v="59"/>
        <n v="18"/>
        <n v="27"/>
        <n v="9"/>
        <n v="36"/>
        <n v="3"/>
        <n v="20"/>
        <n v="5"/>
        <n v="72"/>
        <n v="80"/>
        <n v="100"/>
        <n v="11"/>
        <n v="40"/>
        <n v="160"/>
        <n v="400"/>
        <n v="1200"/>
        <n v="600"/>
        <n v="43"/>
        <n v="300"/>
        <n v="38"/>
        <n v="750"/>
        <n v="6740"/>
        <n v="2808"/>
        <n v="656"/>
        <n v="2288"/>
        <n v="2358"/>
        <n v="4212"/>
        <n v="1144"/>
        <n v="1223"/>
        <n v="864"/>
        <n v="540"/>
        <n v="1179"/>
        <n v="432"/>
        <n v="972"/>
        <n v="1432"/>
        <n v="1461"/>
        <n v="2204"/>
        <n v="384"/>
        <n v="700"/>
        <n v="612"/>
        <n v="343"/>
        <n v="328"/>
        <n v="265"/>
        <n v="1"/>
        <n v="110"/>
        <n v="1787"/>
        <n v="26077"/>
        <n v="820"/>
        <n v="7"/>
        <n v="1729"/>
        <n v="105"/>
        <n v="332"/>
        <n v="1540"/>
        <n v="313"/>
        <n v="4874"/>
        <n v="44"/>
        <n v="118"/>
        <n v="336"/>
        <n v="10"/>
        <n v="576"/>
        <n v="2015"/>
        <n v="134"/>
        <n v="12516"/>
        <n v="200"/>
        <n v="159"/>
        <n v="130"/>
        <n v="34"/>
        <n v="1820"/>
        <n v="1526"/>
        <n v="888"/>
        <n v="68"/>
        <n v="136"/>
        <n v="132"/>
        <n v="76"/>
        <n v="239"/>
        <n v="414"/>
        <n v="331"/>
        <n v="83"/>
        <n v="275"/>
        <n v="102"/>
        <n v="54"/>
        <n v="42"/>
        <n v="66"/>
        <n v="141"/>
        <n v="33"/>
        <n v="288"/>
        <n v="14"/>
        <n v="48"/>
        <n v="339"/>
        <n v="660"/>
        <n v="293.5"/>
        <n v="579.70000000000005"/>
        <n v="943"/>
        <n v="2527"/>
        <n v="886"/>
        <n v="26"/>
        <n v="46"/>
        <n v="150"/>
        <n v="79"/>
        <n v="3176"/>
        <n v="108"/>
        <n v="94"/>
        <n v="327"/>
        <n v="9.3979999999999979"/>
        <n v="395"/>
        <n v="8913.3149999999987"/>
        <n v="19"/>
        <n v="2.2000000000000002"/>
        <n v="24"/>
        <n v="216"/>
        <n v="448"/>
        <n v="334"/>
        <n v="440"/>
        <n v="180"/>
        <n v="59.9"/>
        <n v="9.3978999999999999"/>
        <n v="21.668599999999998"/>
        <n v="35.999000000000002"/>
        <n v="35.847800000000007"/>
        <n v="26.877280000000003"/>
        <n v="3.3420000000000001"/>
        <n v="224"/>
        <n v="17"/>
        <n v="35"/>
        <n v="441.91"/>
        <n v="63"/>
        <n v="39"/>
        <n v="2.5"/>
        <n v="620"/>
        <n v="1E-3"/>
        <n v="7470"/>
        <n v="500"/>
        <n v="4790"/>
        <n v="224.03599999999997"/>
        <n v="416"/>
        <n v="0.16500000000000001"/>
        <n v="144"/>
        <n v="9.5"/>
        <n v="2.5000000000000001E-2"/>
        <n v="416.64400000000001"/>
        <n v="93.51"/>
        <n v="295.60149999999999"/>
        <n v="793.54542999999967"/>
        <n v="1941.5057999999997"/>
        <n v="78.849999999999994"/>
        <n v="53.656799999999997"/>
        <n v="49.2"/>
        <n v="230.26"/>
        <n v="32.369999999999997"/>
        <n v="310.21100000000007"/>
        <n v="714.71519999999998"/>
        <n v="3029.52"/>
        <n v="0.36671999999999999"/>
        <n v="514.5"/>
        <n v="40.326000000000001"/>
        <n v="200.10952000000003"/>
        <n v="1157.5659999999998"/>
        <n v="121.25"/>
        <n v="677.6028"/>
        <n v="222"/>
        <n v="1039.3399999999999"/>
        <n v="753"/>
        <n v="2922.8320000000003"/>
        <n v="2.64"/>
        <n v="15.458000000000004"/>
        <n v="38.474000000000004"/>
        <n v="119.83"/>
        <n v="1.8335999999999999"/>
        <n v="2286.1559999999999"/>
        <n v="26.32"/>
        <n v="758.73109999999997"/>
        <n v="6.8"/>
        <n v="436.06369999999998"/>
        <n v="17.84"/>
        <n v="138.02550000000002"/>
        <n v="376.2"/>
        <n v="558.24"/>
        <n v="10.56"/>
        <n v="2.56"/>
        <n v="100.17700000000001"/>
        <n v="3027.85"/>
        <n v="0.36"/>
        <n v="0.11700000000000001"/>
        <n v="57.223100000000002"/>
        <n v="4.04"/>
        <n v="40.582799999999999"/>
        <n v="1.8"/>
        <n v="381.226"/>
        <n v="8.0850000000000009"/>
        <n v="25.52"/>
        <n v="0.8"/>
        <n v="1.26"/>
        <n v="1.47"/>
        <n v="0.755"/>
        <n v="62"/>
        <n v="8670"/>
        <n v="22"/>
        <n v="88"/>
        <n v="52"/>
        <n v="104"/>
        <n v="112"/>
        <n v="208"/>
        <n v="489"/>
        <n v="240"/>
        <n v="378"/>
        <n v="192"/>
        <n v="74"/>
        <n v="4916"/>
        <n v="67"/>
        <n v="2690"/>
        <n v="8972.5079999999998"/>
        <n v="3.1539999999999999"/>
        <n v="2323"/>
        <n v="662"/>
        <n v="732"/>
        <n v="0.22799999999999998"/>
        <n v="720"/>
        <n v="2240"/>
        <n v="3.6"/>
        <n v="85"/>
        <n v="78"/>
        <n v="990"/>
        <n v="3152"/>
        <n v="832"/>
        <n v="5492"/>
        <n v="11244"/>
        <n v="3640"/>
        <n v="6082"/>
        <n v="800"/>
        <n v="516"/>
        <n v="172"/>
        <n v="5262"/>
        <n v="103"/>
        <n v="6032"/>
        <n v="360"/>
        <n v="3630"/>
        <n v="942"/>
        <n v="2001"/>
        <n v="86"/>
        <n v="3680"/>
        <n v="2600"/>
        <n v="5184"/>
        <n v="3016"/>
        <n v="2168"/>
        <n v="3.52"/>
        <n v="1.76"/>
        <n v="1106"/>
        <n v="835"/>
        <n v="5422"/>
        <n v="1696"/>
        <n v="408"/>
        <n v="485"/>
        <n v="4875"/>
        <n v="268"/>
        <n v="402"/>
        <n v="320"/>
        <n v="480"/>
        <n v="9720"/>
        <n v="884"/>
        <n v="10688"/>
        <n v="5677"/>
        <n v="4368"/>
        <n v="244"/>
        <n v="4906"/>
        <n v="3951"/>
        <n v="1176"/>
        <n v="5616"/>
        <n v="116"/>
        <n v="10102"/>
        <n v="280"/>
        <n v="490"/>
        <n v="452"/>
        <n v="95"/>
        <n v="780"/>
        <n v="2058"/>
        <n v="196"/>
        <n v="1.026"/>
        <n v="1399.8"/>
        <n v="220"/>
        <n v="7425"/>
        <n v="15762"/>
        <n v="170"/>
        <n v="994"/>
        <n v="10.3"/>
        <n v="1.86"/>
        <n v="38.06"/>
        <n v="520"/>
        <n v="0.06"/>
        <n v="0.52439999999999998"/>
        <n v="179"/>
        <n v="366"/>
        <n v="1775"/>
        <n v="0.64"/>
        <n v="1.48"/>
        <n v="0.50949999999999995"/>
        <n v="121"/>
        <n v="1.5"/>
        <n v="11.91"/>
        <n v="15.8"/>
        <n v="13.204000000000001"/>
        <n v="19000"/>
        <n v="21"/>
        <n v="55"/>
        <n v="156"/>
        <n v="248"/>
        <n v="394"/>
        <n v="4.08"/>
        <n v="29"/>
        <n v="115"/>
        <n v="1120"/>
        <n v="1098"/>
        <n v="7280"/>
        <n v="1724"/>
        <n v="198"/>
        <n v="5018"/>
        <n v="3564"/>
        <n v="650"/>
        <n v="1.28"/>
        <n v="2000"/>
        <n v="21.08"/>
        <n v="1500"/>
        <n v="1547"/>
        <n v="895"/>
        <n v="324"/>
        <n v="686"/>
        <n v="232"/>
        <n v="124"/>
        <n v="261"/>
        <n v="504"/>
        <n v="403"/>
        <n v="567"/>
        <n v="10524"/>
        <n v="182"/>
        <n v="494"/>
        <n v="604"/>
        <n v="4680"/>
        <n v="768"/>
        <n v="41"/>
        <n v="1584"/>
        <n v="2319"/>
        <n v="303"/>
        <n v="2468"/>
        <n v="441"/>
        <n v="659"/>
        <n v="28"/>
        <n v="2673"/>
        <n v="1984"/>
        <n v="2370"/>
        <n v="176"/>
        <n v="140"/>
        <n v="174"/>
        <n v="251"/>
        <n v="579"/>
        <n v="354"/>
        <n v="31"/>
        <n v="0.39"/>
        <n v="0.37"/>
        <n v="690"/>
        <n v="150.25"/>
        <n v="5126"/>
        <n v="255"/>
        <n v="1600"/>
        <n v="228"/>
        <n v="9580"/>
        <n v="1943"/>
        <n v="1630"/>
        <n v="7640"/>
        <n v="2196"/>
        <n v="1631"/>
        <n v="1112"/>
        <n v="1152"/>
        <n v="1620"/>
        <n v="48724"/>
        <n v="154"/>
        <n v="26264"/>
        <n v="807"/>
        <n v="3840"/>
        <n v="195"/>
        <n v="528"/>
        <n v="264"/>
        <n v="227"/>
        <n v="294"/>
        <n v="256"/>
        <n v="1418"/>
        <n v="696.37"/>
        <n v="494.7"/>
        <n v="0.5"/>
        <m/>
      </sharedItems>
    </cacheField>
    <cacheField name=" Forecast week 49" numFmtId="0">
      <sharedItems containsString="0" containsBlank="1" containsNumber="1" minValue="0" maxValue="31828" count="400">
        <n v="2"/>
        <n v="90"/>
        <n v="230"/>
        <n v="120"/>
        <n v="58"/>
        <n v="45"/>
        <n v="70"/>
        <n v="65"/>
        <n v="0"/>
        <n v="30"/>
        <n v="25"/>
        <n v="75"/>
        <n v="50"/>
        <n v="60"/>
        <n v="150"/>
        <n v="149"/>
        <n v="1080"/>
        <n v="8"/>
        <n v="16"/>
        <n v="11"/>
        <n v="96"/>
        <n v="1600"/>
        <n v="32"/>
        <n v="64"/>
        <n v="15"/>
        <n v="1"/>
        <n v="4"/>
        <n v="6"/>
        <n v="41"/>
        <n v="14"/>
        <n v="21"/>
        <n v="7"/>
        <n v="28"/>
        <n v="35"/>
        <n v="10"/>
        <n v="3"/>
        <n v="24"/>
        <n v="56"/>
        <n v="1200"/>
        <n v="600"/>
        <n v="20"/>
        <n v="9"/>
        <n v="80"/>
        <n v="29"/>
        <n v="300"/>
        <n v="34"/>
        <n v="768"/>
        <n v="100"/>
        <n v="4170"/>
        <n v="2160"/>
        <n v="164"/>
        <n v="656"/>
        <n v="776"/>
        <n v="3240"/>
        <n v="328"/>
        <n v="624"/>
        <n v="540"/>
        <n v="388"/>
        <n v="216"/>
        <n v="864"/>
        <n v="1108"/>
        <n v="1111"/>
        <n v="400"/>
        <n v="27"/>
        <n v="1031"/>
        <n v="18566"/>
        <n v="0.05"/>
        <n v="40"/>
        <n v="510"/>
        <n v="2124"/>
        <n v="146"/>
        <n v="392"/>
        <n v="850"/>
        <n v="320"/>
        <n v="200"/>
        <n v="3437"/>
        <n v="55"/>
        <n v="12"/>
        <n v="136"/>
        <n v="532"/>
        <n v="1000"/>
        <n v="2831"/>
        <n v="9126"/>
        <n v="254"/>
        <n v="160"/>
        <n v="180"/>
        <n v="1400"/>
        <n v="1470"/>
        <n v="546"/>
        <n v="54"/>
        <n v="44"/>
        <n v="189"/>
        <n v="281"/>
        <n v="253"/>
        <n v="176"/>
        <n v="66"/>
        <n v="42"/>
        <n v="76"/>
        <n v="39"/>
        <n v="187"/>
        <n v="264"/>
        <n v="48"/>
        <n v="349"/>
        <n v="660"/>
        <n v="352.6"/>
        <n v="185.8"/>
        <n v="628"/>
        <n v="1046"/>
        <n v="626"/>
        <n v="79"/>
        <n v="1778"/>
        <n v="36"/>
        <n v="291"/>
        <n v="8.4600000000000009"/>
        <n v="395"/>
        <n v="3.1"/>
        <n v="0.5"/>
        <n v="5712.42"/>
        <n v="125.25"/>
        <n v="17"/>
        <n v="2.2000000000000002"/>
        <n v="26"/>
        <n v="448"/>
        <n v="334"/>
        <n v="46"/>
        <n v="440"/>
        <n v="5"/>
        <n v="169"/>
        <n v="56.14"/>
        <n v="2.1800000000000002"/>
        <n v="1.1160000000000001"/>
        <n v="5.24"/>
        <n v="1.9"/>
        <n v="21.489000000000001"/>
        <n v="0.04"/>
        <n v="3.9"/>
        <n v="8.4957999999999991"/>
        <n v="27.6572"/>
        <n v="41.999000000000002"/>
        <n v="18.633999999999997"/>
        <n v="20.04092"/>
        <n v="5.88"/>
        <n v="23"/>
        <n v="361.09059999999999"/>
        <n v="63"/>
        <n v="49"/>
        <n v="420"/>
        <n v="620"/>
        <n v="2.5000000000000001E-2"/>
        <n v="6.0000000000000001E-3"/>
        <n v="3064"/>
        <n v="350"/>
        <n v="500"/>
        <n v="3538"/>
        <n v="197.42399999999998"/>
        <n v="240"/>
        <n v="0.16500000000000001"/>
        <n v="132"/>
        <n v="33"/>
        <n v="68"/>
        <n v="1.6104E-2"/>
        <n v="217.48"/>
        <n v="107.11"/>
        <n v="240.35419999999999"/>
        <n v="861.50389999999982"/>
        <n v="1589.349560000001"/>
        <n v="16.8"/>
        <n v="25.91"/>
        <n v="1.2E-2"/>
        <n v="53.656799999999997"/>
        <n v="1.2"/>
        <n v="49.2"/>
        <n v="63.52"/>
        <n v="34.6"/>
        <n v="172.29620000000008"/>
        <n v="140.74"/>
        <n v="714.71519999999998"/>
        <n v="2776.8719999999998"/>
        <n v="0.36671999999999999"/>
        <n v="1029"/>
        <n v="118.10380000000001"/>
        <n v="1.8479999999999999"/>
        <n v="1012.03"/>
        <n v="148.59800000000001"/>
        <n v="859.65080000000012"/>
        <n v="814.54"/>
        <n v="259.5"/>
        <n v="1550.2"/>
        <n v="1.32"/>
        <n v="7.72"/>
        <n v="24.873999999999999"/>
        <n v="68.930000000000007"/>
        <n v="1.6502399999999999"/>
        <n v="2423.12"/>
        <n v="21.18"/>
        <n v="987.91529999999989"/>
        <n v="3.4"/>
        <n v="561.58510000000001"/>
        <n v="8.84"/>
        <n v="319.26650000000001"/>
        <n v="777.36"/>
        <n v="33.200000000000003"/>
        <n v="1.28"/>
        <n v="100.17700000000001"/>
        <n v="1963.39"/>
        <n v="0.28000000000000003"/>
        <n v="9.0999999999999998E-2"/>
        <n v="37.821300000000001"/>
        <n v="2.02"/>
        <n v="31.564399999999999"/>
        <n v="0.9"/>
        <n v="278.77600000000001"/>
        <n v="9.1150000000000002"/>
        <n v="12.76"/>
        <n v="0.36"/>
        <n v="1E-3"/>
        <n v="1.36"/>
        <n v="18"/>
        <n v="0.61"/>
        <n v="3964"/>
        <n v="3520"/>
        <n v="38"/>
        <n v="589"/>
        <n v="330"/>
        <n v="360"/>
        <n v="458"/>
        <n v="192"/>
        <n v="62"/>
        <n v="2502"/>
        <n v="6392.7568000000001"/>
        <n v="1.66"/>
        <n v="71"/>
        <n v="716"/>
        <n v="652"/>
        <n v="0.108"/>
        <n v="820"/>
        <n v="1920"/>
        <n v="4.0999999999999996"/>
        <n v="104"/>
        <n v="630"/>
        <n v="2018"/>
        <n v="640"/>
        <n v="4852"/>
        <n v="9400"/>
        <n v="2800"/>
        <n v="4890"/>
        <n v="342"/>
        <n v="114"/>
        <n v="4380"/>
        <n v="53"/>
        <n v="3632"/>
        <n v="3682"/>
        <n v="3600"/>
        <n v="496"/>
        <n v="1173"/>
        <n v="57"/>
        <n v="3280"/>
        <n v="2200"/>
        <n v="3460"/>
        <n v="920"/>
        <n v="2.64"/>
        <n v="553"/>
        <n v="648"/>
        <n v="960"/>
        <n v="288"/>
        <n v="460"/>
        <n v="352"/>
        <n v="528"/>
        <n v="3375"/>
        <n v="134"/>
        <n v="268"/>
        <n v="516"/>
        <n v="8760"/>
        <n v="3001"/>
        <n v="2425"/>
        <n v="250"/>
        <n v="3506"/>
        <n v="3451"/>
        <n v="4560"/>
        <n v="144"/>
        <n v="5341"/>
        <n v="296"/>
        <n v="95"/>
        <n v="43"/>
        <n v="780"/>
        <n v="1568"/>
        <n v="196"/>
        <n v="98"/>
        <n v="0.54"/>
        <n v="1036.8"/>
        <n v="0.6"/>
        <n v="65.599999999999994"/>
        <n v="10.220000000000001"/>
        <n v="23.835000000000001"/>
        <n v="22.364999999999998"/>
        <n v="892"/>
        <n v="5961"/>
        <n v="13008"/>
        <n v="604"/>
        <n v="9.5"/>
        <n v="1.86"/>
        <n v="39.26"/>
        <n v="800"/>
        <n v="220"/>
        <n v="0.03"/>
        <n v="209"/>
        <n v="364"/>
        <n v="0.64"/>
        <n v="0.51100000000000001"/>
        <n v="121"/>
        <n v="2.5"/>
        <n v="12.31"/>
        <n v="12.8"/>
        <n v="11.244"/>
        <n v="1500"/>
        <n v="11544"/>
        <n v="396"/>
        <n v="394"/>
        <n v="23.28"/>
        <n v="165"/>
        <n v="86"/>
        <n v="1230"/>
        <n v="5956"/>
        <n v="116"/>
        <n v="110"/>
        <n v="3014"/>
        <n v="52"/>
        <n v="2628"/>
        <n v="390"/>
        <n v="2400"/>
        <n v="21.08"/>
        <n v="750"/>
        <n v="236"/>
        <n v="51"/>
        <n v="492"/>
        <n v="124"/>
        <n v="22"/>
        <n v="468"/>
        <n v="102"/>
        <n v="0.08"/>
        <n v="366"/>
        <n v="372"/>
        <n v="0.25"/>
        <n v="13"/>
        <n v="654"/>
        <n v="8762"/>
        <n v="494"/>
        <n v="248"/>
        <n v="208"/>
        <n v="3624"/>
        <n v="74"/>
        <n v="108"/>
        <n v="171"/>
        <n v="1736"/>
        <n v="2781"/>
        <n v="88"/>
        <n v="308"/>
        <n v="2030"/>
        <n v="586"/>
        <n v="714"/>
        <n v="2085"/>
        <n v="2749"/>
        <n v="2102"/>
        <n v="69"/>
        <n v="84"/>
        <n v="2760"/>
        <n v="840"/>
        <n v="536"/>
        <n v="174"/>
        <n v="185"/>
        <n v="821"/>
        <n v="235"/>
        <n v="690"/>
        <n v="176.375"/>
        <n v="3398"/>
        <n v="7076"/>
        <n v="190"/>
        <n v="2062"/>
        <n v="1034"/>
        <n v="8795"/>
        <n v="2728"/>
        <n v="1798"/>
        <n v="1032"/>
        <n v="1056"/>
        <n v="1620"/>
        <n v="31828"/>
        <n v="336"/>
        <n v="156"/>
        <n v="20972"/>
        <n v="927"/>
        <n v="3540"/>
        <n v="167"/>
        <n v="480"/>
        <n v="159"/>
        <n v="186"/>
        <n v="528.1"/>
        <n v="527.79199999999992"/>
        <n v="201"/>
        <n v="37"/>
        <m/>
      </sharedItems>
    </cacheField>
    <cacheField name=" Forecast week 50" numFmtId="0">
      <sharedItems containsString="0" containsBlank="1" containsNumber="1" minValue="0" maxValue="37300" count="411">
        <n v="2"/>
        <n v="30"/>
        <n v="200"/>
        <n v="90"/>
        <n v="58"/>
        <n v="45"/>
        <n v="70"/>
        <n v="55"/>
        <n v="60"/>
        <n v="150"/>
        <n v="120"/>
        <n v="165"/>
        <n v="0"/>
        <n v="50"/>
        <n v="25"/>
        <n v="105"/>
        <n v="15"/>
        <n v="135"/>
        <n v="1512"/>
        <n v="4"/>
        <n v="224"/>
        <n v="288"/>
        <n v="56"/>
        <n v="88"/>
        <n v="112"/>
        <n v="8"/>
        <n v="12"/>
        <n v="39"/>
        <n v="16"/>
        <n v="20"/>
        <n v="24"/>
        <n v="32"/>
        <n v="6"/>
        <n v="7"/>
        <n v="100"/>
        <n v="400"/>
        <n v="28"/>
        <n v="450"/>
        <n v="600"/>
        <n v="300"/>
        <n v="820"/>
        <n v="6740"/>
        <n v="1"/>
        <n v="5"/>
        <n v="3024"/>
        <n v="1312"/>
        <n v="656"/>
        <n v="4536"/>
        <n v="328"/>
        <n v="864"/>
        <n v="648"/>
        <n v="216"/>
        <n v="1296"/>
        <n v="1527"/>
        <n v="1573"/>
        <n v="54"/>
        <n v="976"/>
        <n v="17216"/>
        <n v="0.1"/>
        <n v="74"/>
        <n v="520"/>
        <n v="10"/>
        <n v="57"/>
        <n v="235"/>
        <n v="1436"/>
        <n v="40"/>
        <n v="127"/>
        <n v="370"/>
        <n v="9"/>
        <n v="1500"/>
        <n v="254"/>
        <n v="1556"/>
        <n v="1000"/>
        <n v="3379"/>
        <n v="154"/>
        <n v="784"/>
        <n v="538"/>
        <n v="900"/>
        <n v="2071"/>
        <n v="34"/>
        <n v="11066"/>
        <n v="110"/>
        <n v="660"/>
        <n v="285"/>
        <n v="415"/>
        <n v="80"/>
        <n v="980"/>
        <n v="26"/>
        <n v="1672"/>
        <n v="987"/>
        <n v="14"/>
        <n v="592"/>
        <n v="130"/>
        <n v="68"/>
        <n v="42"/>
        <n v="126"/>
        <n v="1440"/>
        <n v="44"/>
        <n v="108"/>
        <n v="308"/>
        <n v="172"/>
        <n v="36"/>
        <n v="218"/>
        <n v="72"/>
        <n v="230"/>
        <n v="264"/>
        <n v="272"/>
        <n v="360"/>
        <n v="273.39999999999998"/>
        <n v="242.4"/>
        <n v="1648"/>
        <n v="684"/>
        <n v="22"/>
        <n v="79"/>
        <n v="2805"/>
        <n v="116"/>
        <n v="2000"/>
        <n v="10.887999999999998"/>
        <n v="395"/>
        <n v="17.350000000000001"/>
        <n v="1.25"/>
        <n v="0.6"/>
        <n v="8510.32"/>
        <n v="141.35"/>
        <n v="2.2000000000000002"/>
        <n v="448"/>
        <n v="334"/>
        <n v="46"/>
        <n v="440"/>
        <n v="3"/>
        <n v="180"/>
        <n v="119"/>
        <n v="170"/>
        <n v="73.47"/>
        <n v="2.1800000000000002"/>
        <n v="4.6639999999999997"/>
        <n v="9.65"/>
        <n v="9.75"/>
        <n v="38.597000000000001"/>
        <n v="82"/>
        <n v="0.16"/>
        <n v="3.15"/>
        <n v="13.747900000000001"/>
        <n v="22.668599999999998"/>
        <n v="4.9989999999999997"/>
        <n v="33.869"/>
        <n v="25.50572"/>
        <n v="377.62699999999995"/>
        <n v="63"/>
        <n v="91"/>
        <n v="29"/>
        <n v="420"/>
        <n v="620"/>
        <n v="1.2E-2"/>
        <n v="1.4999999999999999E-2"/>
        <n v="6850"/>
        <n v="1800"/>
        <n v="410"/>
        <n v="800"/>
        <n v="4560"/>
        <n v="109.19200000000001"/>
        <n v="18.2"/>
        <n v="240"/>
        <n v="9.4E-2"/>
        <n v="132"/>
        <n v="35"/>
        <n v="33"/>
        <n v="4.75"/>
        <n v="6.2"/>
        <n v="4.0259999999999997E-2"/>
        <n v="0.02"/>
        <n v="0.7"/>
        <n v="224.88"/>
        <n v="95.14"/>
        <n v="282.28589999999997"/>
        <n v="742.50944999999979"/>
        <n v="1578.3994199999995"/>
        <n v="93.11"/>
        <n v="0.03"/>
        <n v="4.5999999999999996"/>
        <n v="49.2"/>
        <n v="230.26"/>
        <n v="27.02"/>
        <n v="188.53620000000012"/>
        <n v="108.92"/>
        <n v="591.36"/>
        <n v="2735.4"/>
        <n v="0.36671999999999999"/>
        <n v="118.10380000000001"/>
        <n v="2.1680000000000001"/>
        <n v="1088.69"/>
        <n v="146.53"/>
        <n v="446.77600000000001"/>
        <n v="237.96"/>
        <n v="439.52"/>
        <n v="2060.6"/>
        <n v="78.72"/>
        <n v="2.64"/>
        <n v="26.38"/>
        <n v="36.845999999999997"/>
        <n v="68.930000000000007"/>
        <n v="1.6502399999999999"/>
        <n v="2451.192"/>
        <n v="20.100000000000001"/>
        <n v="85.651600000000002"/>
        <n v="6.8"/>
        <n v="50.377200000000002"/>
        <n v="101.76"/>
        <n v="1.1780000000000002"/>
        <n v="739.36"/>
        <n v="1.44"/>
        <n v="154.28"/>
        <n v="570.96"/>
        <n v="98.021000000000001"/>
        <n v="1781.34"/>
        <n v="5.1999999999999998E-2"/>
        <n v="34.311600000000006"/>
        <n v="4.04"/>
        <n v="18.036799999999999"/>
        <n v="1.8"/>
        <n v="279.06400000000002"/>
        <n v="4.28"/>
        <n v="12.76"/>
        <n v="0.8"/>
        <n v="0.9"/>
        <n v="2E-3"/>
        <n v="1.34"/>
        <n v="18"/>
        <n v="0.59"/>
        <n v="48"/>
        <n v="8550"/>
        <n v="21"/>
        <n v="84"/>
        <n v="52"/>
        <n v="104"/>
        <n v="208"/>
        <n v="27"/>
        <n v="270"/>
        <n v="340"/>
        <n v="396"/>
        <n v="198"/>
        <n v="76"/>
        <n v="31"/>
        <n v="160"/>
        <n v="97"/>
        <n v="62"/>
        <n v="2308"/>
        <n v="7174.1080000000002"/>
        <n v="4.1500000000000004"/>
        <n v="64"/>
        <n v="984"/>
        <n v="543"/>
        <n v="0.108"/>
        <n v="2.5"/>
        <n v="720"/>
        <n v="2240"/>
        <n v="3.6"/>
        <n v="1932"/>
        <n v="5092"/>
        <n v="8488"/>
        <n v="3344"/>
        <n v="4604"/>
        <n v="500"/>
        <n v="4084"/>
        <n v="5832"/>
        <n v="5882"/>
        <n v="2400"/>
        <n v="456"/>
        <n v="1096"/>
        <n v="3480"/>
        <n v="2912"/>
        <n v="1172"/>
        <n v="1.76"/>
        <n v="346"/>
        <n v="880"/>
        <n v="192"/>
        <n v="3750"/>
        <n v="134"/>
        <n v="402"/>
        <n v="320"/>
        <n v="466"/>
        <n v="8168"/>
        <n v="194"/>
        <n v="2746"/>
        <n v="2218"/>
        <n v="4706"/>
        <n v="3551"/>
        <n v="1176"/>
        <n v="6048"/>
        <n v="4780"/>
        <n v="256"/>
        <n v="876"/>
        <n v="1470"/>
        <n v="196"/>
        <n v="98"/>
        <n v="1.35"/>
        <n v="11"/>
        <n v="363"/>
        <n v="1.5"/>
        <n v="5447"/>
        <n v="14776"/>
        <n v="594"/>
        <n v="8.6999999999999993"/>
        <n v="2.52"/>
        <n v="40.520000000000003"/>
        <n v="700"/>
        <n v="0.08"/>
        <n v="464"/>
        <n v="0.32"/>
        <n v="1.38"/>
        <n v="0.51249999999999996"/>
        <n v="92"/>
        <n v="11.153"/>
        <n v="64.7"/>
        <n v="13.8"/>
        <n v="9.0760000000000005"/>
        <n v="220"/>
        <n v="19300"/>
        <n v="394"/>
        <n v="4.08"/>
        <n v="86"/>
        <n v="1120"/>
        <n v="210"/>
        <n v="1114"/>
        <n v="4726"/>
        <n v="3008"/>
        <n v="2448"/>
        <n v="390"/>
        <n v="65"/>
        <n v="21.08"/>
        <n v="1200"/>
        <n v="111"/>
        <n v="182"/>
        <n v="124"/>
        <n v="78"/>
        <n v="102"/>
        <n v="0.2"/>
        <n v="366"/>
        <n v="203"/>
        <n v="618"/>
        <n v="8170"/>
        <n v="292"/>
        <n v="128"/>
        <n v="494"/>
        <n v="604"/>
        <n v="248"/>
        <n v="67"/>
        <n v="3076"/>
        <n v="186"/>
        <n v="286"/>
        <n v="1856"/>
        <n v="2389"/>
        <n v="144"/>
        <n v="290"/>
        <n v="2037"/>
        <n v="75"/>
        <n v="151"/>
        <n v="162"/>
        <n v="652"/>
        <n v="1873"/>
        <n v="268"/>
        <n v="2310"/>
        <n v="1543"/>
        <n v="352"/>
        <n v="2690"/>
        <n v="840"/>
        <n v="168"/>
        <n v="19"/>
        <n v="616"/>
        <n v="174"/>
        <n v="96"/>
        <n v="528"/>
        <n v="136"/>
        <n v="1044"/>
        <n v="258"/>
        <n v="545"/>
        <n v="158.875"/>
        <n v="3285"/>
        <n v="687"/>
        <n v="4200"/>
        <n v="195"/>
        <n v="276"/>
        <n v="9132"/>
        <n v="431"/>
        <n v="1787"/>
        <n v="826"/>
        <n v="38"/>
        <n v="444"/>
        <n v="7831"/>
        <n v="1876"/>
        <n v="1918"/>
        <n v="606"/>
        <n v="1056"/>
        <n v="1272"/>
        <n v="37300"/>
        <n v="912"/>
        <n v="18228"/>
        <n v="776"/>
        <n v="3300"/>
        <n v="167"/>
        <n v="504"/>
        <n v="252"/>
        <n v="212"/>
        <n v="1276.5999999999999"/>
        <n v="672.54"/>
        <n v="1234.2"/>
        <n v="0.5"/>
        <n v="85"/>
        <n v="23"/>
        <n v="37"/>
        <m/>
      </sharedItems>
    </cacheField>
    <cacheField name=" Forecast week 51" numFmtId="0">
      <sharedItems containsString="0" containsBlank="1" containsNumber="1" minValue="0" maxValue="40596" count="377">
        <n v="2"/>
        <n v="90"/>
        <n v="230"/>
        <n v="120"/>
        <n v="58"/>
        <n v="45"/>
        <n v="70"/>
        <n v="65"/>
        <n v="0"/>
        <n v="30"/>
        <n v="25"/>
        <n v="75"/>
        <n v="50"/>
        <n v="60"/>
        <n v="150"/>
        <n v="145"/>
        <n v="1404"/>
        <n v="4"/>
        <n v="16"/>
        <n v="24"/>
        <n v="96"/>
        <n v="32"/>
        <n v="64"/>
        <n v="6"/>
        <n v="9"/>
        <n v="37"/>
        <n v="8"/>
        <n v="12"/>
        <n v="20"/>
        <n v="15"/>
        <n v="3"/>
        <n v="1"/>
        <n v="40"/>
        <n v="80"/>
        <n v="300"/>
        <n v="200"/>
        <n v="22"/>
        <n v="950"/>
        <n v="4490"/>
        <n v="2808"/>
        <n v="2828"/>
        <n v="328"/>
        <n v="2448"/>
        <n v="4212"/>
        <n v="1414"/>
        <n v="1224"/>
        <n v="164"/>
        <n v="756"/>
        <n v="648"/>
        <n v="334"/>
        <n v="1080"/>
        <n v="1434"/>
        <n v="1475"/>
        <n v="240"/>
        <n v="568"/>
        <n v="55"/>
        <n v="1221"/>
        <n v="19604"/>
        <n v="0.05"/>
        <n v="440"/>
        <n v="620"/>
        <n v="140"/>
        <n v="1431"/>
        <n v="454"/>
        <n v="362"/>
        <n v="35"/>
        <n v="820"/>
        <n v="190"/>
        <n v="100"/>
        <n v="3412"/>
        <n v="11"/>
        <n v="220"/>
        <n v="142"/>
        <n v="242"/>
        <n v="10"/>
        <n v="432"/>
        <n v="2375"/>
        <n v="12296"/>
        <n v="248"/>
        <n v="160"/>
        <n v="180"/>
        <n v="26"/>
        <n v="1854"/>
        <n v="1348"/>
        <n v="696"/>
        <n v="54"/>
        <n v="600"/>
        <n v="44"/>
        <n v="107"/>
        <n v="267"/>
        <n v="162"/>
        <n v="36"/>
        <n v="177"/>
        <n v="104"/>
        <n v="187"/>
        <n v="29"/>
        <n v="216"/>
        <n v="14"/>
        <n v="660"/>
        <n v="302.8"/>
        <n v="292.8"/>
        <n v="628"/>
        <n v="2180"/>
        <n v="626"/>
        <n v="17"/>
        <n v="2818"/>
        <n v="79"/>
        <n v="715"/>
        <n v="191"/>
        <n v="18"/>
        <n v="52"/>
        <n v="237"/>
        <n v="2000"/>
        <n v="9.4879999999999995"/>
        <n v="395"/>
        <n v="3741.1049999999996"/>
        <n v="237.95"/>
        <n v="2.2000000000000002"/>
        <n v="448"/>
        <n v="46"/>
        <n v="5"/>
        <n v="7"/>
        <n v="85"/>
        <n v="165"/>
        <n v="56.14"/>
        <n v="2.1800000000000002"/>
        <n v="1.1160000000000001"/>
        <n v="5.24"/>
        <n v="1.9"/>
        <n v="21.489000000000001"/>
        <n v="0.04"/>
        <n v="11.495799999999999"/>
        <n v="59.0672"/>
        <n v="19.497999999999998"/>
        <n v="17.795999999999999"/>
        <n v="21.496839999999999"/>
        <n v="39"/>
        <n v="305.69899999999996"/>
        <n v="66"/>
        <n v="420"/>
        <n v="0.03"/>
        <n v="1700"/>
        <n v="350"/>
        <n v="500"/>
        <n v="4190"/>
        <n v="98.532000000000011"/>
        <n v="0.16500000000000001"/>
        <n v="108"/>
        <n v="33"/>
        <n v="68"/>
        <n v="332.54"/>
        <n v="94.2"/>
        <n v="271.41719999999998"/>
        <n v="662.39890000000025"/>
        <n v="1510.8871600000002"/>
        <n v="16.8"/>
        <n v="25.91"/>
        <n v="49.2"/>
        <n v="63.52"/>
        <n v="51.49"/>
        <n v="171.97620000000006"/>
        <n v="118.54"/>
        <n v="2695.68"/>
        <n v="514.5"/>
        <n v="37.223999999999997"/>
        <n v="118.10380000000001"/>
        <n v="0.96"/>
        <n v="884.46600000000001"/>
        <n v="65.91"/>
        <n v="472.72199999999998"/>
        <n v="585.6"/>
        <n v="807.52"/>
        <n v="2501.2160000000003"/>
        <n v="1.98"/>
        <n v="35.14"/>
        <n v="73.994"/>
        <n v="68.930000000000007"/>
        <n v="1.6502399999999999"/>
        <n v="2242.3820000000001"/>
        <n v="21.44"/>
        <n v="805.58159999999998"/>
        <n v="5.0999999999999996"/>
        <n v="412.47719999999998"/>
        <n v="33.64"/>
        <n v="192.69800000000004"/>
        <n v="376.2"/>
        <n v="639.36"/>
        <n v="1.92"/>
        <n v="100.17700000000001"/>
        <n v="1963.39"/>
        <n v="0.16"/>
        <n v="5.1999999999999998E-2"/>
        <n v="30.2516"/>
        <n v="3.03"/>
        <n v="18.036799999999999"/>
        <n v="1.35"/>
        <n v="262.52600000000001"/>
        <n v="4.28"/>
        <n v="12.76"/>
        <n v="2.2999999999999998"/>
        <n v="0.8"/>
        <n v="0.06"/>
        <n v="1E-3"/>
        <n v="1.1000000000000001"/>
        <n v="76"/>
        <n v="0.54"/>
        <n v="280"/>
        <n v="2750"/>
        <n v="34"/>
        <n v="38"/>
        <n v="136"/>
        <n v="520"/>
        <n v="330"/>
        <n v="380"/>
        <n v="167"/>
        <n v="61"/>
        <n v="62"/>
        <n v="2428"/>
        <n v="48"/>
        <n v="7744.5119999999997"/>
        <n v="2.988"/>
        <n v="1388"/>
        <n v="244"/>
        <n v="744"/>
        <n v="0.108"/>
        <n v="720"/>
        <n v="2240"/>
        <n v="3.6"/>
        <n v="72"/>
        <n v="2416"/>
        <n v="880"/>
        <n v="4452"/>
        <n v="9512"/>
        <n v="3708"/>
        <n v="4936"/>
        <n v="414"/>
        <n v="138"/>
        <n v="4316"/>
        <n v="101"/>
        <n v="2352"/>
        <n v="2402"/>
        <n v="2400"/>
        <n v="2445"/>
        <n v="576"/>
        <n v="504"/>
        <n v="1367"/>
        <n v="69"/>
        <n v="4244"/>
        <n v="3244"/>
        <n v="1000"/>
        <n v="4.4000000000000004"/>
        <n v="1.76"/>
        <n v="717"/>
        <n v="892"/>
        <n v="4476"/>
        <n v="976"/>
        <n v="208"/>
        <n v="352"/>
        <n v="528"/>
        <n v="4125"/>
        <n v="268"/>
        <n v="402"/>
        <n v="320"/>
        <n v="524"/>
        <n v="8808"/>
        <n v="3481"/>
        <n v="2911"/>
        <n v="288"/>
        <n v="2226"/>
        <n v="2269"/>
        <n v="176"/>
        <n v="5886"/>
        <n v="6249"/>
        <n v="324"/>
        <n v="252"/>
        <n v="53"/>
        <n v="95"/>
        <n v="31"/>
        <n v="21"/>
        <n v="1260"/>
        <n v="1862"/>
        <n v="98"/>
        <n v="0.97199999999999998"/>
        <n v="3.45"/>
        <n v="3.95"/>
        <n v="24.8"/>
        <n v="5947"/>
        <n v="13392"/>
        <n v="683"/>
        <n v="8.8000000000000007"/>
        <n v="1.42"/>
        <n v="37.82"/>
        <n v="700"/>
        <n v="7.0000000000000007E-2"/>
        <n v="0.49439999999999995"/>
        <n v="364"/>
        <n v="0.64"/>
        <n v="4.0000000000000001E-3"/>
        <n v="0.88"/>
        <n v="0.51400000000000001"/>
        <n v="9.83"/>
        <n v="12.8826"/>
        <n v="11.244"/>
        <n v="10660"/>
        <n v="394"/>
        <n v="4.08"/>
        <n v="84"/>
        <n v="86"/>
        <n v="210"/>
        <n v="1120"/>
        <n v="1178"/>
        <n v="5273"/>
        <n v="1734"/>
        <n v="110"/>
        <n v="3008"/>
        <n v="2112"/>
        <n v="390"/>
        <n v="21.08"/>
        <n v="750"/>
        <n v="656"/>
        <n v="102"/>
        <n v="124"/>
        <n v="201"/>
        <n v="366"/>
        <n v="253"/>
        <n v="533"/>
        <n v="8782"/>
        <n v="494"/>
        <n v="604"/>
        <n v="3236"/>
        <n v="182"/>
        <n v="624"/>
        <n v="1624"/>
        <n v="2315"/>
        <n v="293"/>
        <n v="89"/>
        <n v="147"/>
        <n v="508"/>
        <n v="1730"/>
        <n v="174"/>
        <n v="1205"/>
        <n v="19"/>
        <n v="2535"/>
        <n v="840"/>
        <n v="156"/>
        <n v="128"/>
        <n v="122"/>
        <n v="1044"/>
        <n v="145.625"/>
        <n v="3656"/>
        <n v="159"/>
        <n v="8380"/>
        <n v="1733"/>
        <n v="1455"/>
        <n v="544"/>
        <n v="5846"/>
        <n v="1040"/>
        <n v="1641"/>
        <n v="552"/>
        <n v="864"/>
        <n v="40596"/>
        <n v="21952"/>
        <n v="690"/>
        <n v="2700"/>
        <n v="130"/>
        <n v="384"/>
        <n v="192"/>
        <n v="126"/>
        <n v="42"/>
        <n v="178"/>
        <n v="132"/>
        <n v="231.65"/>
        <n v="626.16"/>
        <n v="250"/>
        <n v="225"/>
        <n v="0.5"/>
        <m/>
      </sharedItems>
    </cacheField>
    <cacheField name=" Forecast week 52" numFmtId="0">
      <sharedItems containsString="0" containsBlank="1" containsNumber="1" containsInteger="1" minValue="0" maxValue="0" count="2">
        <n v="0"/>
        <m/>
      </sharedItems>
    </cacheField>
    <cacheField name="Stock" numFmtId="0">
      <sharedItems containsString="0" containsBlank="1" containsNumber="1" minValue="0" maxValue="38300" count="1006">
        <n v="531"/>
        <n v="0"/>
        <n v="301"/>
        <n v="100"/>
        <n v="400"/>
        <n v="407"/>
        <n v="1045"/>
        <n v="200"/>
        <n v="805"/>
        <n v="205"/>
        <n v="201"/>
        <n v="417"/>
        <n v="344"/>
        <n v="50"/>
        <n v="109"/>
        <n v="97"/>
        <n v="260"/>
        <n v="338"/>
        <n v="36"/>
        <n v="90"/>
        <n v="64"/>
        <n v="225"/>
        <n v="150"/>
        <n v="519"/>
        <n v="479"/>
        <n v="112"/>
        <n v="600"/>
        <n v="650"/>
        <n v="265"/>
        <n v="2079"/>
        <n v="10"/>
        <n v="63"/>
        <n v="80"/>
        <n v="20"/>
        <n v="21"/>
        <n v="23"/>
        <n v="5"/>
        <n v="12"/>
        <n v="4"/>
        <n v="3"/>
        <n v="106"/>
        <n v="602"/>
        <n v="159"/>
        <n v="8"/>
        <n v="70"/>
        <n v="5000"/>
        <n v="374"/>
        <n v="51"/>
        <n v="525"/>
        <n v="113"/>
        <n v="371"/>
        <n v="6"/>
        <n v="1383"/>
        <n v="183"/>
        <n v="69"/>
        <n v="529"/>
        <n v="168"/>
        <n v="712"/>
        <n v="405"/>
        <n v="964"/>
        <n v="287"/>
        <n v="24"/>
        <n v="452"/>
        <n v="570"/>
        <n v="1120"/>
        <n v="544"/>
        <n v="190"/>
        <n v="204"/>
        <n v="261"/>
        <n v="752"/>
        <n v="162"/>
        <n v="406"/>
        <n v="193"/>
        <n v="598"/>
        <n v="212"/>
        <n v="8050"/>
        <n v="390"/>
        <n v="18"/>
        <n v="3045"/>
        <n v="229"/>
        <n v="788"/>
        <n v="108"/>
        <n v="137"/>
        <n v="262"/>
        <n v="250"/>
        <n v="539"/>
        <n v="95"/>
        <n v="184"/>
        <n v="2100"/>
        <n v="3000"/>
        <n v="245"/>
        <n v="420"/>
        <n v="54"/>
        <n v="99"/>
        <n v="180"/>
        <n v="279"/>
        <n v="960"/>
        <n v="202"/>
        <n v="53"/>
        <n v="66"/>
        <n v="104"/>
        <n v="103"/>
        <n v="1"/>
        <n v="39"/>
        <n v="198"/>
        <n v="266"/>
        <n v="280"/>
        <n v="75"/>
        <n v="92"/>
        <n v="116"/>
        <n v="478"/>
        <n v="13"/>
        <n v="174"/>
        <n v="163"/>
        <n v="35"/>
        <n v="521"/>
        <n v="78"/>
        <n v="219"/>
        <n v="28"/>
        <n v="110"/>
        <n v="145"/>
        <n v="170"/>
        <n v="143"/>
        <n v="115"/>
        <n v="67"/>
        <n v="56"/>
        <n v="15"/>
        <n v="72"/>
        <n v="74"/>
        <n v="76"/>
        <n v="122"/>
        <n v="62"/>
        <n v="58"/>
        <n v="171"/>
        <n v="27"/>
        <n v="211"/>
        <n v="123"/>
        <n v="177"/>
        <n v="71"/>
        <n v="317"/>
        <n v="489"/>
        <n v="249"/>
        <n v="140"/>
        <n v="216"/>
        <n v="132"/>
        <n v="16"/>
        <n v="142"/>
        <n v="37"/>
        <n v="45"/>
        <n v="423"/>
        <n v="340"/>
        <n v="124"/>
        <n v="133"/>
        <n v="94"/>
        <n v="86"/>
        <n v="179"/>
        <n v="251"/>
        <n v="603"/>
        <n v="810"/>
        <n v="14"/>
        <n v="42"/>
        <n v="65"/>
        <n v="55"/>
        <n v="128"/>
        <n v="11"/>
        <n v="360"/>
        <n v="59"/>
        <n v="130"/>
        <n v="680"/>
        <n v="33"/>
        <n v="114"/>
        <n v="131"/>
        <n v="854"/>
        <n v="3944"/>
        <n v="1542"/>
        <n v="4867"/>
        <n v="1850"/>
        <n v="4182"/>
        <n v="87"/>
        <n v="118"/>
        <n v="22"/>
        <n v="29"/>
        <n v="2765"/>
        <n v="178"/>
        <n v="460"/>
        <n v="227"/>
        <n v="189"/>
        <n v="300"/>
        <n v="105"/>
        <n v="354"/>
        <n v="213"/>
        <n v="234"/>
        <n v="176"/>
        <n v="152"/>
        <n v="800"/>
        <n v="77"/>
        <n v="17"/>
        <n v="9"/>
        <n v="2950"/>
        <n v="900"/>
        <n v="606"/>
        <n v="1200"/>
        <n v="1863"/>
        <n v="314"/>
        <n v="286"/>
        <n v="269"/>
        <n v="690"/>
        <n v="121"/>
        <n v="2824"/>
        <n v="434"/>
        <n v="158"/>
        <n v="565"/>
        <n v="49"/>
        <n v="685"/>
        <n v="781"/>
        <n v="134"/>
        <n v="10300"/>
        <n v="165"/>
        <n v="450"/>
        <n v="166"/>
        <n v="30"/>
        <n v="38"/>
        <n v="9600"/>
        <n v="659"/>
        <n v="1010"/>
        <n v="44"/>
        <n v="2"/>
        <n v="306"/>
        <n v="1480"/>
        <n v="389"/>
        <n v="1250"/>
        <n v="164"/>
        <n v="3600"/>
        <n v="24220"/>
        <n v="8475"/>
        <n v="1800"/>
        <n v="13125"/>
        <n v="2600"/>
        <n v="378"/>
        <n v="9125"/>
        <n v="535"/>
        <n v="540"/>
        <n v="595"/>
        <n v="160"/>
        <n v="5700"/>
        <n v="6615"/>
        <n v="630"/>
        <n v="5200"/>
        <n v="4400"/>
        <n v="904"/>
        <n v="1880"/>
        <n v="795"/>
        <n v="2500"/>
        <n v="336"/>
        <n v="120"/>
        <n v="310"/>
        <n v="1500"/>
        <n v="1025"/>
        <n v="1140"/>
        <n v="2704"/>
        <n v="5500"/>
        <n v="700"/>
        <n v="4349"/>
        <n v="5850"/>
        <n v="1138"/>
        <n v="631"/>
        <n v="323"/>
        <n v="19"/>
        <n v="126"/>
        <n v="1786"/>
        <n v="4525"/>
        <n v="799"/>
        <n v="1007"/>
        <n v="880"/>
        <n v="761"/>
        <n v="7774"/>
        <n v="167"/>
        <n v="693"/>
        <n v="3787"/>
        <n v="230"/>
        <n v="275"/>
        <n v="6387"/>
        <n v="865"/>
        <n v="1933"/>
        <n v="3578"/>
        <n v="3260"/>
        <n v="566"/>
        <n v="5285"/>
        <n v="2926"/>
        <n v="3610"/>
        <n v="6165"/>
        <n v="796"/>
        <n v="1463"/>
        <n v="3702"/>
        <n v="25"/>
        <n v="1319"/>
        <n v="395"/>
        <n v="1128"/>
        <n v="776"/>
        <n v="1834"/>
        <n v="4032"/>
        <n v="1366"/>
        <n v="635"/>
        <n v="731"/>
        <n v="792"/>
        <n v="1358"/>
        <n v="3277"/>
        <n v="102"/>
        <n v="5602"/>
        <n v="3188"/>
        <n v="1416"/>
        <n v="662"/>
        <n v="26"/>
        <n v="3370"/>
        <n v="4777"/>
        <n v="1570"/>
        <n v="2156"/>
        <n v="2237"/>
        <n v="867"/>
        <n v="1481"/>
        <n v="988"/>
        <n v="1171"/>
        <n v="2231"/>
        <n v="5457"/>
        <n v="3776"/>
        <n v="451"/>
        <n v="1060"/>
        <n v="1002"/>
        <n v="1370"/>
        <n v="511"/>
        <n v="2321"/>
        <n v="4035"/>
        <n v="881"/>
        <n v="660"/>
        <n v="645"/>
        <n v="608"/>
        <n v="232"/>
        <n v="1342"/>
        <n v="500"/>
        <n v="199"/>
        <n v="1328"/>
        <n v="5038"/>
        <n v="3935"/>
        <n v="1770"/>
        <n v="2470"/>
        <n v="585"/>
        <n v="1125"/>
        <n v="2840"/>
        <n v="1410"/>
        <n v="125"/>
        <n v="940"/>
        <n v="1000"/>
        <n v="326"/>
        <n v="1132"/>
        <n v="40"/>
        <n v="369"/>
        <n v="155"/>
        <n v="156"/>
        <n v="480"/>
        <n v="18000"/>
        <n v="1046"/>
        <n v="18068"/>
        <n v="14977"/>
        <n v="1714"/>
        <n v="1600"/>
        <n v="1450"/>
        <n v="169"/>
        <n v="8748"/>
        <n v="1108"/>
        <n v="4872"/>
        <n v="950"/>
        <n v="136"/>
        <n v="350"/>
        <n v="351"/>
        <n v="1100"/>
        <n v="7"/>
        <n v="329"/>
        <n v="192"/>
        <n v="34"/>
        <n v="14777"/>
        <n v="71.23"/>
        <n v="221"/>
        <n v="399.6"/>
        <n v="226.4"/>
        <n v="320"/>
        <n v="22375"/>
        <n v="589"/>
        <n v="668"/>
        <n v="465"/>
        <n v="375"/>
        <n v="16116"/>
        <n v="3547"/>
        <n v="3570"/>
        <n v="1148"/>
        <n v="787"/>
        <n v="7436"/>
        <n v="1003"/>
        <n v="396"/>
        <n v="129"/>
        <n v="61"/>
        <n v="284"/>
        <n v="492"/>
        <n v="213.2"/>
        <n v="256"/>
        <n v="625"/>
        <n v="98"/>
        <n v="317.22000000000003"/>
        <n v="220"/>
        <n v="58.055999999999997"/>
        <n v="920"/>
        <n v="233"/>
        <n v="1016.35"/>
        <n v="31.79"/>
        <n v="440"/>
        <n v="302"/>
        <n v="217.75"/>
        <n v="453.5"/>
        <n v="2136"/>
        <n v="590"/>
        <n v="744"/>
        <n v="741.5"/>
        <n v="358"/>
        <n v="298"/>
        <n v="41"/>
        <n v="1086"/>
        <n v="413"/>
        <n v="1075"/>
        <n v="1585"/>
        <n v="333"/>
        <n v="4320"/>
        <n v="560"/>
        <n v="615"/>
        <n v="342"/>
        <n v="629"/>
        <n v="482"/>
        <n v="3743"/>
        <n v="14180"/>
        <n v="448"/>
        <n v="6041"/>
        <n v="91"/>
        <n v="57"/>
        <n v="218"/>
        <n v="270"/>
        <n v="849"/>
        <n v="32"/>
        <n v="78.5"/>
        <n v="5.6"/>
        <n v="96"/>
        <n v="2240"/>
        <n v="3360"/>
        <n v="1900"/>
        <n v="1706.085"/>
        <n v="315.3"/>
        <n v="4490"/>
        <n v="5710"/>
        <n v="750"/>
        <n v="1415.6"/>
        <n v="469"/>
        <n v="2964"/>
        <n v="3406"/>
        <n v="64.347999999999999"/>
        <n v="1760"/>
        <n v="1640"/>
        <n v="869"/>
        <n v="1391.2"/>
        <n v="1394.3"/>
        <n v="3544"/>
        <n v="8466"/>
        <n v="186"/>
        <n v="2058"/>
        <n v="60"/>
        <n v="4863"/>
        <n v="6010"/>
        <n v="6181"/>
        <n v="1985"/>
        <n v="1710"/>
        <n v="215"/>
        <n v="1147"/>
        <n v="7940"/>
        <n v="508"/>
        <n v="1413"/>
        <n v="512"/>
        <n v="2280"/>
        <n v="101"/>
        <n v="966.9"/>
        <n v="5520"/>
        <n v="4801"/>
        <n v="1962"/>
        <n v="1692"/>
        <n v="430"/>
        <n v="1460.4"/>
        <n v="2196"/>
        <n v="1587"/>
        <n v="3483"/>
        <n v="6900"/>
        <n v="1965"/>
        <n v="3400"/>
        <n v="4580"/>
        <n v="1626"/>
        <n v="550"/>
        <n v="1998"/>
        <n v="841"/>
        <n v="146"/>
        <n v="2000"/>
        <n v="580"/>
        <n v="283.8"/>
        <n v="117"/>
        <n v="312"/>
        <n v="538"/>
        <n v="471"/>
        <n v="1284"/>
        <n v="490"/>
        <n v="8.8800000000000008"/>
        <n v="5.92"/>
        <n v="325"/>
        <n v="84"/>
        <n v="31"/>
        <n v="242"/>
        <n v="258"/>
        <n v="283"/>
        <n v="5834"/>
        <n v="934"/>
        <n v="363"/>
        <n v="255"/>
        <n v="52"/>
        <n v="188"/>
        <n v="278"/>
        <n v="43"/>
        <n v="295"/>
        <n v="1028"/>
        <n v="4000"/>
        <n v="1496"/>
        <n v="2092"/>
        <n v="628"/>
        <n v="979"/>
        <n v="17444"/>
        <n v="1050"/>
        <n v="11326"/>
        <n v="247"/>
        <n v="2144"/>
        <n v="537"/>
        <n v="497"/>
        <n v="403"/>
        <n v="335"/>
        <n v="305"/>
        <n v="327"/>
        <n v="139"/>
        <n v="226"/>
        <n v="639"/>
        <n v="240"/>
        <n v="646"/>
        <n v="605"/>
        <n v="1183"/>
        <n v="47"/>
        <n v="377"/>
        <n v="292"/>
        <n v="1011"/>
        <n v="906"/>
        <n v="429"/>
        <n v="231"/>
        <n v="154"/>
        <n v="89"/>
        <n v="268"/>
        <n v="341"/>
        <n v="740"/>
        <n v="88"/>
        <n v="217"/>
        <n v="495"/>
        <n v="1026"/>
        <n v="504"/>
        <n v="728"/>
        <n v="3349"/>
        <n v="7239"/>
        <n v="4043"/>
        <n v="989"/>
        <n v="745"/>
        <n v="303"/>
        <n v="658"/>
        <n v="1398"/>
        <n v="542"/>
        <n v="364"/>
        <n v="2711"/>
        <n v="592"/>
        <n v="2510"/>
        <n v="2145"/>
        <n v="859"/>
        <n v="612"/>
        <n v="596"/>
        <n v="513"/>
        <n v="1741"/>
        <n v="1403"/>
        <n v="1233"/>
        <n v="2250"/>
        <n v="541"/>
        <n v="276"/>
        <n v="197"/>
        <n v="1602"/>
        <n v="976"/>
        <n v="181"/>
        <n v="2497"/>
        <n v="840"/>
        <n v="206"/>
        <n v="210"/>
        <n v="391"/>
        <n v="345"/>
        <n v="1430"/>
        <n v="1530"/>
        <n v="1400"/>
        <n v="1368"/>
        <n v="1533"/>
        <n v="2900"/>
        <n v="1223"/>
        <n v="1256"/>
        <n v="4100"/>
        <n v="614"/>
        <n v="281"/>
        <n v="2160"/>
        <n v="9000"/>
        <n v="6000"/>
        <n v="1302"/>
        <n v="1759"/>
        <n v="267"/>
        <n v="19922"/>
        <n v="7500"/>
        <n v="2786"/>
        <n v="9735"/>
        <n v="1769"/>
        <n v="198.5"/>
        <n v="259"/>
        <n v="244"/>
        <n v="12500"/>
        <n v="2320"/>
        <n v="4500"/>
        <n v="458"/>
        <n v="4250"/>
        <n v="1023"/>
        <n v="3306"/>
        <n v="313"/>
        <n v="380"/>
        <n v="38300"/>
        <n v="187"/>
        <n v="1519"/>
        <n v="3823"/>
        <n v="36700"/>
        <n v="20800"/>
        <n v="444"/>
        <n v="359"/>
        <n v="14074"/>
        <n v="2800"/>
        <n v="22390"/>
        <n v="7820"/>
        <n v="27000"/>
        <n v="1265"/>
        <n v="2400"/>
        <n v="4049"/>
        <n v="918"/>
        <n v="1150"/>
        <n v="392"/>
        <n v="93"/>
        <n v="81"/>
        <n v="1170"/>
        <n v="724"/>
        <n v="308"/>
        <n v="10800"/>
        <n v="1290"/>
        <n v="346"/>
        <n v="768"/>
        <n v="288"/>
        <n v="309"/>
        <n v="984"/>
        <n v="348"/>
        <n v="4685"/>
        <n v="2276"/>
        <n v="1127"/>
        <n v="1920"/>
        <n v="10130"/>
        <n v="2010"/>
        <n v="10500"/>
        <n v="18300"/>
        <n v="8300"/>
        <n v="692"/>
        <n v="624"/>
        <n v="422"/>
        <n v="85"/>
        <n v="1099"/>
        <n v="208"/>
        <n v="19800"/>
        <n v="9250"/>
        <n v="21750"/>
        <n v="1077"/>
        <n v="14000"/>
        <n v="20000"/>
        <n v="11000"/>
        <n v="1597"/>
        <n v="864"/>
        <n v="1053"/>
        <n v="5400"/>
        <n v="151"/>
        <n v="2652"/>
        <n v="1152"/>
        <n v="4800"/>
        <n v="324"/>
        <n v="1356"/>
        <n v="780"/>
        <n v="701"/>
        <n v="2074"/>
        <n v="1583"/>
        <n v="2572"/>
        <n v="8046"/>
        <n v="1782"/>
        <n v="443.995"/>
        <n v="198.8"/>
        <n v="1164"/>
        <n v="872.4"/>
        <n v="253"/>
        <n v="2934.4"/>
        <n v="214"/>
        <n v="938"/>
        <n v="1136"/>
        <n v="764"/>
        <n v="3412"/>
        <n v="1051"/>
        <n v="7687"/>
        <n v="2970"/>
        <n v="79"/>
        <n v="173"/>
        <n v="1510"/>
        <n v="1093"/>
        <n v="9132"/>
        <n v="238"/>
        <n v="17.899999999999999"/>
        <n v="2.4900000000000002"/>
        <n v="337"/>
        <n v="459"/>
        <n v="835"/>
        <n v="2580"/>
        <n v="4059"/>
        <n v="1350"/>
        <n v="2450"/>
        <n v="15900"/>
        <n v="3800"/>
        <n v="3076"/>
        <n v="617"/>
        <n v="83"/>
        <n v="583"/>
        <n v="527"/>
        <n v="804"/>
        <n v="271"/>
        <n v="572"/>
        <n v="410"/>
        <n v="473"/>
        <n v="228"/>
        <n v="9500"/>
        <n v="209"/>
        <n v="147"/>
        <n v="46"/>
        <n v="330"/>
        <n v="316"/>
        <n v="2982"/>
        <n v="997"/>
        <n v="144"/>
        <n v="3006"/>
        <n v="930"/>
        <n v="318"/>
        <n v="1081"/>
        <n v="518"/>
        <n v="175"/>
        <n v="3.96"/>
        <n v="3.9"/>
        <n v="638"/>
        <n v="1169"/>
        <n v="886"/>
        <n v="1222"/>
        <n v="236"/>
        <n v="1578"/>
        <n v="73"/>
        <n v="557"/>
        <n v="68"/>
        <n v="665"/>
        <n v="884"/>
        <n v="439"/>
        <n v="491"/>
        <n v="756"/>
        <n v="1190"/>
        <n v="9296"/>
        <n v="1561"/>
        <n v="1103"/>
        <n v="498"/>
        <n v="4445"/>
        <n v="1431"/>
        <n v="3322"/>
        <n v="763"/>
        <n v="243"/>
        <n v="264"/>
        <n v="386"/>
        <n v="237"/>
        <n v="203"/>
        <n v="1402"/>
        <n v="1427"/>
        <n v="1417"/>
        <n v="141"/>
        <n v="2999"/>
        <n v="1020"/>
        <n v="709"/>
        <n v="2402"/>
        <n v="503"/>
        <n v="1276"/>
        <n v="172"/>
        <n v="138"/>
        <n v="1758"/>
        <n v="48"/>
        <n v="453"/>
        <n v="2687"/>
        <n v="7207"/>
        <n v="746"/>
        <n v="708"/>
        <n v="1799"/>
        <n v="5384"/>
        <n v="6919"/>
        <n v="1976"/>
        <n v="1550"/>
        <n v="1950"/>
        <n v="1956"/>
        <n v="959"/>
        <n v="850"/>
        <n v="860"/>
        <n v="357"/>
        <n v="797"/>
        <n v="1746"/>
        <n v="15.12"/>
        <n v="6353"/>
        <n v="845"/>
        <n v="510"/>
        <n v="355"/>
        <n v="6268"/>
        <n v="1220"/>
        <n v="2720"/>
        <n v="436"/>
        <n v="26550"/>
        <n v="373"/>
        <n v="339"/>
        <n v="2081"/>
        <n v="982"/>
        <n v="1925"/>
        <n v="4240"/>
        <n v="7000"/>
        <n v="454"/>
        <n v="2379"/>
        <n v="332"/>
        <n v="466"/>
        <n v="760"/>
        <n v="616"/>
        <n v="12976"/>
        <n v="2915"/>
        <n v="285"/>
        <n v="2003"/>
        <n v="2802"/>
        <n v="735"/>
        <n v="1038"/>
        <n v="3500"/>
        <n v="1750"/>
        <n v="1535"/>
        <n v="3444"/>
        <n v="980"/>
        <n v="1089"/>
        <n v="273"/>
        <n v="1994"/>
        <n v="5335"/>
        <n v="4900"/>
        <n v="679"/>
        <n v="853"/>
        <n v="1.5"/>
        <n v="402"/>
        <n v="1860"/>
        <n v="207"/>
        <n v="681"/>
        <n v="2354"/>
        <n v="1377"/>
        <n v="912"/>
        <n v="1631"/>
        <n v="1167"/>
        <n v="1339"/>
        <n v="3089"/>
        <n v="372"/>
        <n v="494"/>
        <n v="618"/>
        <n v="1037"/>
        <n v="3934"/>
        <n v="664"/>
        <n v="241"/>
        <n v="379"/>
        <n v="148"/>
        <n v="737"/>
        <n v="1066"/>
        <n v="21868"/>
        <n v="743"/>
        <n v="1297"/>
        <n v="290"/>
        <n v="1412"/>
        <n v="23240"/>
        <n v="153"/>
        <n v="1610"/>
        <n v="3752"/>
        <n v="6430"/>
        <n v="381"/>
        <n v="739"/>
        <n v="442"/>
        <n v="1056"/>
        <n v="1064"/>
        <n v="8946"/>
        <n v="3178"/>
        <n v="534"/>
        <n v="577"/>
        <n v="419"/>
        <n v="272"/>
        <n v="838"/>
        <n v="666"/>
        <n v="730"/>
        <n v="293"/>
        <n v="4169"/>
        <n v="962"/>
        <n v="223"/>
        <n v="558"/>
        <n v="235"/>
        <n v="388"/>
        <n v="1823"/>
        <n v="2902"/>
        <n v="2200"/>
        <n v="682"/>
        <n v="1228"/>
        <n v="1218"/>
        <n v="1443"/>
        <n v="455"/>
        <n v="246"/>
        <n v="1910"/>
        <n v="1300"/>
        <n v="2884"/>
        <n v="1052"/>
        <n v="1516"/>
        <n v="2480"/>
        <n v="837"/>
        <n v="2278"/>
        <n v="1433"/>
        <n v="2468"/>
        <n v="224"/>
        <n v="307"/>
        <n v="1257"/>
        <n v="1379"/>
        <n v="1580"/>
        <n v="522"/>
        <n v="811"/>
        <n v="0.03"/>
        <n v="2344"/>
        <n v="868"/>
        <n v="830"/>
        <n v="5986"/>
        <n v="686"/>
        <n v="4643"/>
        <n v="704"/>
        <n v="801"/>
        <n v="2946"/>
        <n v="1142"/>
        <n v="532"/>
        <n v="3095"/>
        <n v="6024"/>
        <n v="4407"/>
        <n v="999"/>
        <n v="1690"/>
        <n v="195"/>
        <n v="899"/>
        <n v="3323"/>
        <n v="2769"/>
        <n v="4356"/>
        <n v="1031"/>
        <n v="992"/>
        <n v="5246"/>
        <n v="1491"/>
        <n v="5211"/>
        <n v="1456"/>
        <n v="3652"/>
        <n v="965"/>
        <n v="923"/>
        <n v="1268"/>
        <n v="2106"/>
        <n v="1744"/>
        <n v="486"/>
        <n v="1568"/>
        <n v="365"/>
        <n v="517"/>
        <n v="1569"/>
        <n v="1691"/>
        <n v="892"/>
        <n v="879"/>
        <n v="2188"/>
        <n v="957"/>
        <n v="1263"/>
        <n v="3324"/>
        <n v="1730"/>
        <n v="520"/>
        <n v="1004"/>
        <n v="1197"/>
        <n v="3103"/>
        <n v="1917"/>
        <n v="2087"/>
        <n v="274"/>
        <m/>
      </sharedItems>
    </cacheField>
    <cacheField name="Supplier" numFmtId="0">
      <sharedItems containsBlank="1" count="201">
        <s v="Supplier 57"/>
        <s v="Supplier 103"/>
        <s v="Supplier 116"/>
        <s v="Supplier 60"/>
        <s v="Supplier 145"/>
        <s v="Supplier 24"/>
        <s v="Supplier 84"/>
        <s v="Supplier 78"/>
        <s v="Supplier 64"/>
        <s v="Supplier 83"/>
        <s v="Supplier 175"/>
        <s v="Supplier 114"/>
        <s v="Supplier 59"/>
        <s v="Supplier 5"/>
        <s v="Supplier 65"/>
        <s v="Supplier 167"/>
        <s v="Supplier 183"/>
        <s v="Supplier 178"/>
        <s v="Supplier 87"/>
        <s v="Supplier 159"/>
        <s v="Supplier 164"/>
        <s v="Supplier 124"/>
        <s v="Supplier 112"/>
        <s v="Supplier 13"/>
        <s v="Supplier 49"/>
        <s v="Supplier 6"/>
        <s v="Supplier 15"/>
        <s v="Supplier 110"/>
        <s v="Supplier 16"/>
        <s v="Supplier 42"/>
        <s v="Supplier 126"/>
        <s v="Supplier 27"/>
        <s v="Supplier 192"/>
        <s v="Supplier 162"/>
        <s v="Supplier 151"/>
        <s v="Supplier 19"/>
        <s v="Supplier 90"/>
        <s v="Supplier 136"/>
        <s v="Supplier 56"/>
        <s v="Supplier 180"/>
        <s v="Supplier 197"/>
        <s v="Supplier 92"/>
        <s v="Supplier 10"/>
        <s v="Supplier 123"/>
        <s v="Supplier 93"/>
        <s v="Supplier 142"/>
        <s v="Supplier 26"/>
        <s v="Supplier 31"/>
        <s v="Supplier 173"/>
        <s v="Supplier 157"/>
        <s v="Supplier 97"/>
        <s v="Supplier 75"/>
        <s v="Supplier 121"/>
        <s v="Supplier 127"/>
        <s v="Supplier 111"/>
        <s v="Supplier 129"/>
        <s v="Supplier 91"/>
        <s v="Supplier 137"/>
        <s v="Supplier 47"/>
        <s v="Supplier 156"/>
        <s v="Supplier 30"/>
        <s v="Supplier 37"/>
        <s v="Supplier 109"/>
        <s v="Supplier 171"/>
        <s v="Supplier 77"/>
        <s v="Supplier 120"/>
        <s v="Supplier 63"/>
        <s v="Supplier 106"/>
        <s v="Supplier 149"/>
        <s v="Supplier 99"/>
        <s v="Supplier 196"/>
        <s v="Supplier 41"/>
        <s v="Supplier 70"/>
        <s v="Supplier 86"/>
        <s v="Supplier 140"/>
        <s v="Supplier 33"/>
        <s v="Supplier 11"/>
        <s v="Supplier 177"/>
        <s v="Supplier 146"/>
        <s v="Supplier 163"/>
        <s v="Supplier 39"/>
        <s v="Supplier 158"/>
        <s v="Supplier 166"/>
        <s v="Supplier 150"/>
        <s v="Supplier 186"/>
        <s v="Supplier 2"/>
        <s v="Supplier 122"/>
        <s v="Supplier 153"/>
        <s v="Supplier 51"/>
        <s v="Supplier 12"/>
        <s v="Supplier 76"/>
        <s v="Supplier 58"/>
        <s v="Supplier 118"/>
        <s v="Supplier 45"/>
        <s v="Supplier 125"/>
        <s v="Supplier 190"/>
        <s v="Supplier 82"/>
        <s v="Supplier 108"/>
        <s v="Supplier 43"/>
        <s v="Supplier 98"/>
        <s v="Supplier 69"/>
        <s v="Supplier 141"/>
        <s v="Supplier 50"/>
        <s v="Supplier 165"/>
        <s v="Supplier 104"/>
        <s v="Supplier 8"/>
        <s v="Supplier 29"/>
        <s v="Supplier 38"/>
        <s v="Supplier 14"/>
        <s v="Supplier 71"/>
        <s v="Supplier 135"/>
        <s v="Supplier 147"/>
        <s v="Supplier 101"/>
        <s v="Supplier 174"/>
        <s v="Supplier 172"/>
        <s v="Supplier 179"/>
        <s v="Supplier 198"/>
        <s v="Supplier 62"/>
        <s v="Supplier 23"/>
        <s v="Supplier 17"/>
        <s v="Supplier 54"/>
        <s v="Supplier 170"/>
        <s v="Supplier 134"/>
        <s v="Supplier 3"/>
        <s v="Supplier 68"/>
        <s v="Supplier 34"/>
        <s v="Supplier 184"/>
        <s v="Supplier 28"/>
        <s v="Supplier 22"/>
        <s v="Supplier 9"/>
        <s v="Supplier 1"/>
        <s v="Supplier 119"/>
        <s v="Supplier 25"/>
        <s v="Supplier 48"/>
        <s v="Supplier 40"/>
        <s v="Supplier 66"/>
        <s v="Supplier 4"/>
        <s v="Supplier 7"/>
        <s v="Supplier 80"/>
        <s v="Supplier 72"/>
        <s v="Supplier 194"/>
        <s v="Supplier 161"/>
        <s v="Supplier 102"/>
        <s v="Supplier 53"/>
        <s v="Supplier 154"/>
        <s v="Supplier 191"/>
        <s v="Supplier 132"/>
        <s v="Supplier 200"/>
        <s v="Supplier 94"/>
        <s v="Supplier 32"/>
        <s v="Supplier 144"/>
        <s v="Supplier 100"/>
        <s v="Supplier 79"/>
        <s v="Supplier 21"/>
        <s v="Supplier 131"/>
        <s v="Supplier 195"/>
        <s v="Supplier 138"/>
        <s v="Supplier 128"/>
        <s v="Supplier 105"/>
        <s v="Supplier 188"/>
        <s v="Supplier 52"/>
        <s v="Supplier 143"/>
        <s v="Supplier 115"/>
        <s v="Supplier 73"/>
        <s v="Supplier 199"/>
        <s v="Supplier 133"/>
        <s v="Supplier 130"/>
        <s v="Supplier 185"/>
        <s v="Supplier 88"/>
        <s v="Supplier 55"/>
        <s v="Supplier 182"/>
        <s v="Supplier 139"/>
        <s v="Supplier 181"/>
        <s v="Supplier 85"/>
        <s v="Supplier 169"/>
        <s v="Supplier 44"/>
        <s v="Supplier 189"/>
        <s v="Supplier 95"/>
        <s v="Supplier 67"/>
        <s v="Supplier 61"/>
        <s v="Supplier 117"/>
        <s v="Supplier 152"/>
        <s v="Supplier 168"/>
        <s v="Supplier 74"/>
        <s v="Supplier 36"/>
        <s v="Supplier 113"/>
        <s v="Supplier 148"/>
        <s v="Supplier 18"/>
        <s v="Supplier 176"/>
        <s v="Supplier 107"/>
        <s v="Supplier 89"/>
        <s v="Supplier 193"/>
        <s v="Supplier 155"/>
        <s v="Supplier 96"/>
        <s v="Supplier 187"/>
        <s v="Supplier 46"/>
        <s v="Supplier 160"/>
        <s v="Supplier 20"/>
        <s v="Supplier 35"/>
        <s v="Supplier 81"/>
        <m/>
      </sharedItems>
    </cacheField>
    <cacheField name="Email"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Borja Leon" refreshedDate="44874.821023263888" missingItemsLimit="0" createdVersion="6" refreshedVersion="6" minRefreshableVersion="3" recordCount="3876">
  <cacheSource type="worksheet">
    <worksheetSource ref="B1:R1048576" sheet="DATA"/>
  </cacheSource>
  <cacheFields count="17">
    <cacheField name="DESCRIPTION" numFmtId="0">
      <sharedItems containsBlank="1"/>
    </cacheField>
    <cacheField name="CODE" numFmtId="0">
      <sharedItems containsBlank="1"/>
    </cacheField>
    <cacheField name=" Forecast week 43" numFmtId="0">
      <sharedItems containsString="0" containsBlank="1" containsNumber="1" minValue="0" maxValue="42516"/>
    </cacheField>
    <cacheField name=" Forecast week 44" numFmtId="0">
      <sharedItems containsString="0" containsBlank="1" containsNumber="1" minValue="0" maxValue="40384"/>
    </cacheField>
    <cacheField name=" Forecast week 45" numFmtId="0">
      <sharedItems containsString="0" containsBlank="1" containsNumber="1" minValue="0" maxValue="45904"/>
    </cacheField>
    <cacheField name=" Forecast week 46" numFmtId="0">
      <sharedItems containsString="0" containsBlank="1" containsNumber="1" minValue="0" maxValue="49324"/>
    </cacheField>
    <cacheField name=" Forecast week 47" numFmtId="0">
      <sharedItems containsString="0" containsBlank="1" containsNumber="1" minValue="0" maxValue="46684"/>
    </cacheField>
    <cacheField name=" Forecast week 48" numFmtId="0">
      <sharedItems containsString="0" containsBlank="1" containsNumber="1" minValue="0" maxValue="48724"/>
    </cacheField>
    <cacheField name=" Forecast week 49" numFmtId="0">
      <sharedItems containsString="0" containsBlank="1" containsNumber="1" minValue="0" maxValue="31828"/>
    </cacheField>
    <cacheField name=" Forecast week 50" numFmtId="0">
      <sharedItems containsString="0" containsBlank="1" containsNumber="1" minValue="0" maxValue="37300"/>
    </cacheField>
    <cacheField name=" Forecast week 51" numFmtId="0">
      <sharedItems containsString="0" containsBlank="1" containsNumber="1" minValue="0" maxValue="40596"/>
    </cacheField>
    <cacheField name=" Forecast week 52" numFmtId="0">
      <sharedItems containsString="0" containsBlank="1" containsNumber="1" containsInteger="1" minValue="0" maxValue="0"/>
    </cacheField>
    <cacheField name="Stock" numFmtId="0">
      <sharedItems containsString="0" containsBlank="1" containsNumber="1" minValue="0" maxValue="38300"/>
    </cacheField>
    <cacheField name="Supplier" numFmtId="0">
      <sharedItems containsBlank="1" count="201">
        <s v="Supplier 57"/>
        <s v="Supplier 103"/>
        <s v="Supplier 116"/>
        <s v="Supplier 60"/>
        <s v="Supplier 145"/>
        <s v="Supplier 24"/>
        <s v="Supplier 84"/>
        <s v="Supplier 78"/>
        <s v="Supplier 64"/>
        <s v="Supplier 83"/>
        <s v="Supplier 175"/>
        <s v="Supplier 114"/>
        <s v="Supplier 59"/>
        <s v="Supplier 5"/>
        <s v="Supplier 65"/>
        <s v="Supplier 167"/>
        <s v="Supplier 183"/>
        <s v="Supplier 178"/>
        <s v="Supplier 87"/>
        <s v="Supplier 159"/>
        <s v="Supplier 164"/>
        <s v="Supplier 124"/>
        <s v="Supplier 112"/>
        <s v="Supplier 13"/>
        <s v="Supplier 49"/>
        <s v="Supplier 6"/>
        <s v="Supplier 15"/>
        <s v="Supplier 110"/>
        <s v="Supplier 16"/>
        <s v="Supplier 42"/>
        <s v="Supplier 126"/>
        <s v="Supplier 27"/>
        <s v="Supplier 192"/>
        <s v="Supplier 162"/>
        <s v="Supplier 151"/>
        <s v="Supplier 19"/>
        <s v="Supplier 90"/>
        <s v="Supplier 136"/>
        <s v="Supplier 56"/>
        <s v="Supplier 180"/>
        <s v="Supplier 197"/>
        <s v="Supplier 92"/>
        <s v="Supplier 10"/>
        <s v="Supplier 123"/>
        <s v="Supplier 93"/>
        <s v="Supplier 142"/>
        <s v="Supplier 26"/>
        <s v="Supplier 31"/>
        <s v="Supplier 173"/>
        <s v="Supplier 157"/>
        <s v="Supplier 97"/>
        <s v="Supplier 75"/>
        <s v="Supplier 121"/>
        <s v="Supplier 127"/>
        <s v="Supplier 111"/>
        <s v="Supplier 129"/>
        <s v="Supplier 91"/>
        <s v="Supplier 137"/>
        <s v="Supplier 47"/>
        <s v="Supplier 156"/>
        <s v="Supplier 30"/>
        <s v="Supplier 37"/>
        <s v="Supplier 109"/>
        <s v="Supplier 171"/>
        <s v="Supplier 77"/>
        <s v="Supplier 120"/>
        <s v="Supplier 63"/>
        <s v="Supplier 106"/>
        <s v="Supplier 149"/>
        <s v="Supplier 99"/>
        <s v="Supplier 196"/>
        <s v="Supplier 41"/>
        <s v="Supplier 70"/>
        <s v="Supplier 86"/>
        <s v="Supplier 140"/>
        <s v="Supplier 33"/>
        <s v="Supplier 11"/>
        <s v="Supplier 177"/>
        <s v="Supplier 146"/>
        <s v="Supplier 163"/>
        <s v="Supplier 39"/>
        <s v="Supplier 158"/>
        <s v="Supplier 166"/>
        <s v="Supplier 150"/>
        <s v="Supplier 186"/>
        <s v="Supplier 2"/>
        <s v="Supplier 122"/>
        <s v="Supplier 153"/>
        <s v="Supplier 51"/>
        <s v="Supplier 12"/>
        <s v="Supplier 76"/>
        <s v="Supplier 58"/>
        <s v="Supplier 118"/>
        <s v="Supplier 45"/>
        <s v="Supplier 125"/>
        <s v="Supplier 190"/>
        <s v="Supplier 82"/>
        <s v="Supplier 108"/>
        <s v="Supplier 43"/>
        <s v="Supplier 98"/>
        <s v="Supplier 69"/>
        <s v="Supplier 141"/>
        <s v="Supplier 50"/>
        <s v="Supplier 165"/>
        <s v="Supplier 104"/>
        <s v="Supplier 8"/>
        <s v="Supplier 29"/>
        <s v="Supplier 38"/>
        <s v="Supplier 14"/>
        <s v="Supplier 71"/>
        <s v="Supplier 135"/>
        <s v="Supplier 147"/>
        <s v="Supplier 101"/>
        <s v="Supplier 174"/>
        <s v="Supplier 172"/>
        <s v="Supplier 179"/>
        <s v="Supplier 198"/>
        <s v="Supplier 62"/>
        <s v="Supplier 23"/>
        <s v="Supplier 17"/>
        <s v="Supplier 54"/>
        <s v="Supplier 170"/>
        <s v="Supplier 134"/>
        <s v="Supplier 3"/>
        <s v="Supplier 68"/>
        <s v="Supplier 34"/>
        <s v="Supplier 184"/>
        <s v="Supplier 28"/>
        <s v="Supplier 22"/>
        <s v="Supplier 9"/>
        <s v="Supplier 1"/>
        <s v="Supplier 119"/>
        <s v="Supplier 25"/>
        <s v="Supplier 48"/>
        <s v="Supplier 40"/>
        <s v="Supplier 66"/>
        <s v="Supplier 4"/>
        <s v="Supplier 7"/>
        <s v="Supplier 80"/>
        <s v="Supplier 72"/>
        <s v="Supplier 194"/>
        <s v="Supplier 161"/>
        <s v="Supplier 102"/>
        <s v="Supplier 53"/>
        <s v="Supplier 154"/>
        <s v="Supplier 191"/>
        <s v="Supplier 132"/>
        <s v="Supplier 200"/>
        <s v="Supplier 94"/>
        <s v="Supplier 32"/>
        <s v="Supplier 144"/>
        <s v="Supplier 100"/>
        <s v="Supplier 79"/>
        <s v="Supplier 21"/>
        <s v="Supplier 131"/>
        <s v="Supplier 195"/>
        <s v="Supplier 138"/>
        <s v="Supplier 128"/>
        <s v="Supplier 105"/>
        <s v="Supplier 188"/>
        <s v="Supplier 52"/>
        <s v="Supplier 143"/>
        <s v="Supplier 115"/>
        <s v="Supplier 73"/>
        <s v="Supplier 199"/>
        <s v="Supplier 133"/>
        <s v="Supplier 130"/>
        <s v="Supplier 185"/>
        <s v="Supplier 88"/>
        <s v="Supplier 55"/>
        <s v="Supplier 182"/>
        <s v="Supplier 139"/>
        <s v="Supplier 181"/>
        <s v="Supplier 85"/>
        <s v="Supplier 169"/>
        <s v="Supplier 44"/>
        <s v="Supplier 189"/>
        <s v="Supplier 95"/>
        <s v="Supplier 67"/>
        <s v="Supplier 61"/>
        <s v="Supplier 117"/>
        <s v="Supplier 152"/>
        <s v="Supplier 168"/>
        <s v="Supplier 74"/>
        <s v="Supplier 36"/>
        <s v="Supplier 113"/>
        <s v="Supplier 148"/>
        <s v="Supplier 18"/>
        <s v="Supplier 176"/>
        <s v="Supplier 107"/>
        <s v="Supplier 89"/>
        <s v="Supplier 193"/>
        <s v="Supplier 155"/>
        <s v="Supplier 96"/>
        <s v="Supplier 187"/>
        <s v="Supplier 46"/>
        <s v="Supplier 160"/>
        <s v="Supplier 20"/>
        <s v="Supplier 35"/>
        <s v="Supplier 81"/>
        <m/>
      </sharedItems>
    </cacheField>
    <cacheField name="Email" numFmtId="0">
      <sharedItems containsBlank="1" count="2">
        <s v="supplier@gmail.com"/>
        <m/>
      </sharedItems>
    </cacheField>
    <cacheField name="CC" numFmtId="0">
      <sharedItems containsBlank="1" count="3">
        <s v=""/>
        <s v="supplier_logistics@gmail.com"/>
        <m/>
      </sharedItems>
    </cacheField>
    <cacheField name="BCC" numFmtId="0">
      <sharedItems containsBlank="1" count="2">
        <s v=""/>
        <m/>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876">
  <r>
    <x v="0"/>
    <x v="0"/>
    <x v="0"/>
    <x v="0"/>
    <x v="0"/>
    <x v="0"/>
    <x v="0"/>
    <x v="0"/>
    <x v="0"/>
    <x v="0"/>
    <x v="0"/>
    <x v="0"/>
    <x v="0"/>
    <x v="0"/>
    <s v="supplier@gmail.com"/>
  </r>
  <r>
    <x v="1"/>
    <x v="1"/>
    <x v="1"/>
    <x v="1"/>
    <x v="1"/>
    <x v="1"/>
    <x v="1"/>
    <x v="1"/>
    <x v="1"/>
    <x v="1"/>
    <x v="1"/>
    <x v="0"/>
    <x v="1"/>
    <x v="1"/>
    <s v="supplier@gmail.com"/>
  </r>
  <r>
    <x v="2"/>
    <x v="2"/>
    <x v="2"/>
    <x v="2"/>
    <x v="2"/>
    <x v="2"/>
    <x v="2"/>
    <x v="2"/>
    <x v="2"/>
    <x v="2"/>
    <x v="2"/>
    <x v="0"/>
    <x v="2"/>
    <x v="2"/>
    <s v="supplier@gmail.com"/>
  </r>
  <r>
    <x v="3"/>
    <x v="3"/>
    <x v="1"/>
    <x v="1"/>
    <x v="1"/>
    <x v="1"/>
    <x v="3"/>
    <x v="3"/>
    <x v="3"/>
    <x v="3"/>
    <x v="3"/>
    <x v="0"/>
    <x v="1"/>
    <x v="3"/>
    <s v="supplier@gmail.com"/>
  </r>
  <r>
    <x v="4"/>
    <x v="4"/>
    <x v="3"/>
    <x v="1"/>
    <x v="3"/>
    <x v="3"/>
    <x v="4"/>
    <x v="4"/>
    <x v="4"/>
    <x v="4"/>
    <x v="4"/>
    <x v="0"/>
    <x v="1"/>
    <x v="4"/>
    <s v="supplier@gmail.com"/>
  </r>
  <r>
    <x v="5"/>
    <x v="5"/>
    <x v="4"/>
    <x v="3"/>
    <x v="4"/>
    <x v="1"/>
    <x v="5"/>
    <x v="5"/>
    <x v="5"/>
    <x v="5"/>
    <x v="5"/>
    <x v="0"/>
    <x v="1"/>
    <x v="5"/>
    <s v="supplier@gmail.com"/>
  </r>
  <r>
    <x v="6"/>
    <x v="6"/>
    <x v="5"/>
    <x v="1"/>
    <x v="4"/>
    <x v="4"/>
    <x v="6"/>
    <x v="6"/>
    <x v="6"/>
    <x v="6"/>
    <x v="6"/>
    <x v="0"/>
    <x v="1"/>
    <x v="6"/>
    <s v="supplier@gmail.com"/>
  </r>
  <r>
    <x v="7"/>
    <x v="7"/>
    <x v="6"/>
    <x v="1"/>
    <x v="4"/>
    <x v="5"/>
    <x v="7"/>
    <x v="7"/>
    <x v="7"/>
    <x v="7"/>
    <x v="7"/>
    <x v="0"/>
    <x v="1"/>
    <x v="7"/>
    <s v="supplier@gmail.com"/>
  </r>
  <r>
    <x v="8"/>
    <x v="8"/>
    <x v="7"/>
    <x v="1"/>
    <x v="4"/>
    <x v="1"/>
    <x v="8"/>
    <x v="8"/>
    <x v="8"/>
    <x v="1"/>
    <x v="8"/>
    <x v="0"/>
    <x v="1"/>
    <x v="8"/>
    <s v="supplier@gmail.com"/>
  </r>
  <r>
    <x v="9"/>
    <x v="9"/>
    <x v="7"/>
    <x v="1"/>
    <x v="4"/>
    <x v="1"/>
    <x v="8"/>
    <x v="8"/>
    <x v="8"/>
    <x v="1"/>
    <x v="8"/>
    <x v="0"/>
    <x v="3"/>
    <x v="8"/>
    <s v="supplier@gmail.com"/>
  </r>
  <r>
    <x v="10"/>
    <x v="10"/>
    <x v="8"/>
    <x v="1"/>
    <x v="4"/>
    <x v="1"/>
    <x v="9"/>
    <x v="8"/>
    <x v="8"/>
    <x v="8"/>
    <x v="8"/>
    <x v="0"/>
    <x v="4"/>
    <x v="9"/>
    <s v="supplier@gmail.com"/>
  </r>
  <r>
    <x v="11"/>
    <x v="11"/>
    <x v="8"/>
    <x v="1"/>
    <x v="4"/>
    <x v="1"/>
    <x v="9"/>
    <x v="8"/>
    <x v="8"/>
    <x v="8"/>
    <x v="8"/>
    <x v="0"/>
    <x v="5"/>
    <x v="10"/>
    <s v="supplier@gmail.com"/>
  </r>
  <r>
    <x v="12"/>
    <x v="12"/>
    <x v="9"/>
    <x v="1"/>
    <x v="4"/>
    <x v="1"/>
    <x v="10"/>
    <x v="8"/>
    <x v="8"/>
    <x v="9"/>
    <x v="8"/>
    <x v="0"/>
    <x v="1"/>
    <x v="11"/>
    <s v="supplier@gmail.com"/>
  </r>
  <r>
    <x v="13"/>
    <x v="13"/>
    <x v="9"/>
    <x v="1"/>
    <x v="4"/>
    <x v="1"/>
    <x v="10"/>
    <x v="8"/>
    <x v="8"/>
    <x v="9"/>
    <x v="8"/>
    <x v="0"/>
    <x v="6"/>
    <x v="12"/>
    <s v="supplier@gmail.com"/>
  </r>
  <r>
    <x v="14"/>
    <x v="14"/>
    <x v="7"/>
    <x v="1"/>
    <x v="4"/>
    <x v="1"/>
    <x v="8"/>
    <x v="8"/>
    <x v="8"/>
    <x v="1"/>
    <x v="8"/>
    <x v="0"/>
    <x v="3"/>
    <x v="13"/>
    <s v="supplier@gmail.com"/>
  </r>
  <r>
    <x v="15"/>
    <x v="15"/>
    <x v="7"/>
    <x v="1"/>
    <x v="4"/>
    <x v="1"/>
    <x v="8"/>
    <x v="8"/>
    <x v="8"/>
    <x v="1"/>
    <x v="8"/>
    <x v="0"/>
    <x v="7"/>
    <x v="14"/>
    <s v="supplier@gmail.com"/>
  </r>
  <r>
    <x v="16"/>
    <x v="16"/>
    <x v="10"/>
    <x v="1"/>
    <x v="4"/>
    <x v="1"/>
    <x v="3"/>
    <x v="8"/>
    <x v="8"/>
    <x v="10"/>
    <x v="8"/>
    <x v="0"/>
    <x v="8"/>
    <x v="15"/>
    <s v="supplier@gmail.com"/>
  </r>
  <r>
    <x v="17"/>
    <x v="17"/>
    <x v="7"/>
    <x v="1"/>
    <x v="4"/>
    <x v="1"/>
    <x v="8"/>
    <x v="8"/>
    <x v="8"/>
    <x v="1"/>
    <x v="8"/>
    <x v="0"/>
    <x v="9"/>
    <x v="14"/>
    <s v="supplier@gmail.com"/>
  </r>
  <r>
    <x v="18"/>
    <x v="18"/>
    <x v="7"/>
    <x v="1"/>
    <x v="4"/>
    <x v="1"/>
    <x v="8"/>
    <x v="8"/>
    <x v="8"/>
    <x v="1"/>
    <x v="8"/>
    <x v="0"/>
    <x v="10"/>
    <x v="16"/>
    <s v="supplier@gmail.com"/>
  </r>
  <r>
    <x v="19"/>
    <x v="19"/>
    <x v="8"/>
    <x v="1"/>
    <x v="4"/>
    <x v="1"/>
    <x v="9"/>
    <x v="8"/>
    <x v="8"/>
    <x v="8"/>
    <x v="8"/>
    <x v="0"/>
    <x v="11"/>
    <x v="17"/>
    <s v="supplier@gmail.com"/>
  </r>
  <r>
    <x v="20"/>
    <x v="20"/>
    <x v="7"/>
    <x v="1"/>
    <x v="4"/>
    <x v="1"/>
    <x v="8"/>
    <x v="8"/>
    <x v="8"/>
    <x v="1"/>
    <x v="8"/>
    <x v="0"/>
    <x v="1"/>
    <x v="18"/>
    <s v="supplier@gmail.com"/>
  </r>
  <r>
    <x v="21"/>
    <x v="21"/>
    <x v="11"/>
    <x v="4"/>
    <x v="5"/>
    <x v="6"/>
    <x v="11"/>
    <x v="9"/>
    <x v="9"/>
    <x v="11"/>
    <x v="9"/>
    <x v="0"/>
    <x v="5"/>
    <x v="19"/>
    <s v="supplier@gmail.com"/>
  </r>
  <r>
    <x v="22"/>
    <x v="22"/>
    <x v="4"/>
    <x v="5"/>
    <x v="4"/>
    <x v="7"/>
    <x v="12"/>
    <x v="10"/>
    <x v="10"/>
    <x v="12"/>
    <x v="10"/>
    <x v="0"/>
    <x v="12"/>
    <x v="20"/>
    <s v="supplier@gmail.com"/>
  </r>
  <r>
    <x v="23"/>
    <x v="23"/>
    <x v="4"/>
    <x v="5"/>
    <x v="4"/>
    <x v="7"/>
    <x v="12"/>
    <x v="10"/>
    <x v="10"/>
    <x v="12"/>
    <x v="10"/>
    <x v="0"/>
    <x v="1"/>
    <x v="21"/>
    <s v="supplier@gmail.com"/>
  </r>
  <r>
    <x v="24"/>
    <x v="24"/>
    <x v="4"/>
    <x v="1"/>
    <x v="4"/>
    <x v="1"/>
    <x v="12"/>
    <x v="8"/>
    <x v="8"/>
    <x v="12"/>
    <x v="8"/>
    <x v="0"/>
    <x v="13"/>
    <x v="22"/>
    <s v="supplier@gmail.com"/>
  </r>
  <r>
    <x v="25"/>
    <x v="25"/>
    <x v="4"/>
    <x v="1"/>
    <x v="4"/>
    <x v="1"/>
    <x v="12"/>
    <x v="8"/>
    <x v="8"/>
    <x v="12"/>
    <x v="8"/>
    <x v="0"/>
    <x v="1"/>
    <x v="17"/>
    <s v="supplier@gmail.com"/>
  </r>
  <r>
    <x v="26"/>
    <x v="26"/>
    <x v="4"/>
    <x v="5"/>
    <x v="4"/>
    <x v="7"/>
    <x v="12"/>
    <x v="10"/>
    <x v="10"/>
    <x v="12"/>
    <x v="10"/>
    <x v="0"/>
    <x v="14"/>
    <x v="23"/>
    <s v="supplier@gmail.com"/>
  </r>
  <r>
    <x v="27"/>
    <x v="27"/>
    <x v="4"/>
    <x v="5"/>
    <x v="4"/>
    <x v="7"/>
    <x v="12"/>
    <x v="10"/>
    <x v="10"/>
    <x v="12"/>
    <x v="10"/>
    <x v="0"/>
    <x v="13"/>
    <x v="24"/>
    <s v="supplier@gmail.com"/>
  </r>
  <r>
    <x v="28"/>
    <x v="28"/>
    <x v="4"/>
    <x v="6"/>
    <x v="4"/>
    <x v="3"/>
    <x v="12"/>
    <x v="11"/>
    <x v="11"/>
    <x v="12"/>
    <x v="11"/>
    <x v="0"/>
    <x v="15"/>
    <x v="25"/>
    <s v="supplier@gmail.com"/>
  </r>
  <r>
    <x v="29"/>
    <x v="29"/>
    <x v="4"/>
    <x v="7"/>
    <x v="4"/>
    <x v="8"/>
    <x v="12"/>
    <x v="12"/>
    <x v="12"/>
    <x v="12"/>
    <x v="12"/>
    <x v="0"/>
    <x v="1"/>
    <x v="24"/>
    <s v="supplier@gmail.com"/>
  </r>
  <r>
    <x v="30"/>
    <x v="30"/>
    <x v="4"/>
    <x v="5"/>
    <x v="4"/>
    <x v="7"/>
    <x v="12"/>
    <x v="10"/>
    <x v="10"/>
    <x v="12"/>
    <x v="10"/>
    <x v="0"/>
    <x v="16"/>
    <x v="26"/>
    <s v="supplier@gmail.com"/>
  </r>
  <r>
    <x v="31"/>
    <x v="31"/>
    <x v="4"/>
    <x v="1"/>
    <x v="6"/>
    <x v="8"/>
    <x v="12"/>
    <x v="8"/>
    <x v="8"/>
    <x v="13"/>
    <x v="8"/>
    <x v="0"/>
    <x v="17"/>
    <x v="27"/>
    <s v="supplier@gmail.com"/>
  </r>
  <r>
    <x v="32"/>
    <x v="32"/>
    <x v="7"/>
    <x v="1"/>
    <x v="4"/>
    <x v="1"/>
    <x v="8"/>
    <x v="8"/>
    <x v="8"/>
    <x v="1"/>
    <x v="8"/>
    <x v="0"/>
    <x v="1"/>
    <x v="28"/>
    <s v="supplier@gmail.com"/>
  </r>
  <r>
    <x v="33"/>
    <x v="33"/>
    <x v="7"/>
    <x v="1"/>
    <x v="4"/>
    <x v="1"/>
    <x v="8"/>
    <x v="8"/>
    <x v="8"/>
    <x v="1"/>
    <x v="8"/>
    <x v="0"/>
    <x v="3"/>
    <x v="29"/>
    <s v="supplier@gmail.com"/>
  </r>
  <r>
    <x v="34"/>
    <x v="34"/>
    <x v="4"/>
    <x v="8"/>
    <x v="7"/>
    <x v="6"/>
    <x v="8"/>
    <x v="13"/>
    <x v="8"/>
    <x v="1"/>
    <x v="9"/>
    <x v="0"/>
    <x v="18"/>
    <x v="12"/>
    <s v="supplier@gmail.com"/>
  </r>
  <r>
    <x v="35"/>
    <x v="35"/>
    <x v="7"/>
    <x v="8"/>
    <x v="7"/>
    <x v="6"/>
    <x v="8"/>
    <x v="8"/>
    <x v="9"/>
    <x v="12"/>
    <x v="9"/>
    <x v="0"/>
    <x v="19"/>
    <x v="30"/>
    <s v="supplier@gmail.com"/>
  </r>
  <r>
    <x v="36"/>
    <x v="36"/>
    <x v="12"/>
    <x v="5"/>
    <x v="8"/>
    <x v="7"/>
    <x v="13"/>
    <x v="10"/>
    <x v="10"/>
    <x v="14"/>
    <x v="10"/>
    <x v="0"/>
    <x v="7"/>
    <x v="31"/>
    <s v="supplier@gmail.com"/>
  </r>
  <r>
    <x v="37"/>
    <x v="37"/>
    <x v="8"/>
    <x v="9"/>
    <x v="9"/>
    <x v="5"/>
    <x v="3"/>
    <x v="14"/>
    <x v="13"/>
    <x v="8"/>
    <x v="3"/>
    <x v="0"/>
    <x v="20"/>
    <x v="32"/>
    <s v="supplier@gmail.com"/>
  </r>
  <r>
    <x v="38"/>
    <x v="38"/>
    <x v="4"/>
    <x v="1"/>
    <x v="10"/>
    <x v="8"/>
    <x v="14"/>
    <x v="12"/>
    <x v="12"/>
    <x v="13"/>
    <x v="12"/>
    <x v="0"/>
    <x v="21"/>
    <x v="33"/>
    <s v="supplier@gmail.com"/>
  </r>
  <r>
    <x v="39"/>
    <x v="39"/>
    <x v="8"/>
    <x v="10"/>
    <x v="11"/>
    <x v="9"/>
    <x v="1"/>
    <x v="13"/>
    <x v="13"/>
    <x v="1"/>
    <x v="1"/>
    <x v="0"/>
    <x v="7"/>
    <x v="34"/>
    <s v="supplier@gmail.com"/>
  </r>
  <r>
    <x v="40"/>
    <x v="40"/>
    <x v="4"/>
    <x v="8"/>
    <x v="7"/>
    <x v="6"/>
    <x v="8"/>
    <x v="13"/>
    <x v="8"/>
    <x v="1"/>
    <x v="9"/>
    <x v="0"/>
    <x v="22"/>
    <x v="35"/>
    <s v="supplier@gmail.com"/>
  </r>
  <r>
    <x v="41"/>
    <x v="41"/>
    <x v="7"/>
    <x v="11"/>
    <x v="12"/>
    <x v="10"/>
    <x v="9"/>
    <x v="13"/>
    <x v="9"/>
    <x v="1"/>
    <x v="13"/>
    <x v="0"/>
    <x v="23"/>
    <x v="36"/>
    <s v="supplier@gmail.com"/>
  </r>
  <r>
    <x v="42"/>
    <x v="42"/>
    <x v="7"/>
    <x v="11"/>
    <x v="12"/>
    <x v="10"/>
    <x v="9"/>
    <x v="13"/>
    <x v="9"/>
    <x v="1"/>
    <x v="13"/>
    <x v="0"/>
    <x v="24"/>
    <x v="5"/>
    <s v="supplier@gmail.com"/>
  </r>
  <r>
    <x v="43"/>
    <x v="43"/>
    <x v="13"/>
    <x v="11"/>
    <x v="12"/>
    <x v="10"/>
    <x v="9"/>
    <x v="13"/>
    <x v="13"/>
    <x v="1"/>
    <x v="13"/>
    <x v="0"/>
    <x v="1"/>
    <x v="37"/>
    <s v="supplier@gmail.com"/>
  </r>
  <r>
    <x v="44"/>
    <x v="44"/>
    <x v="14"/>
    <x v="12"/>
    <x v="1"/>
    <x v="11"/>
    <x v="11"/>
    <x v="11"/>
    <x v="14"/>
    <x v="15"/>
    <x v="14"/>
    <x v="0"/>
    <x v="1"/>
    <x v="10"/>
    <s v="supplier@gmail.com"/>
  </r>
  <r>
    <x v="45"/>
    <x v="45"/>
    <x v="7"/>
    <x v="8"/>
    <x v="7"/>
    <x v="6"/>
    <x v="8"/>
    <x v="9"/>
    <x v="9"/>
    <x v="16"/>
    <x v="9"/>
    <x v="0"/>
    <x v="25"/>
    <x v="38"/>
    <s v="supplier@gmail.com"/>
  </r>
  <r>
    <x v="46"/>
    <x v="46"/>
    <x v="4"/>
    <x v="1"/>
    <x v="4"/>
    <x v="1"/>
    <x v="12"/>
    <x v="8"/>
    <x v="8"/>
    <x v="12"/>
    <x v="8"/>
    <x v="0"/>
    <x v="1"/>
    <x v="39"/>
    <s v="supplier@gmail.com"/>
  </r>
  <r>
    <x v="47"/>
    <x v="47"/>
    <x v="7"/>
    <x v="8"/>
    <x v="7"/>
    <x v="6"/>
    <x v="8"/>
    <x v="9"/>
    <x v="9"/>
    <x v="16"/>
    <x v="9"/>
    <x v="0"/>
    <x v="26"/>
    <x v="36"/>
    <s v="supplier@gmail.com"/>
  </r>
  <r>
    <x v="48"/>
    <x v="48"/>
    <x v="7"/>
    <x v="8"/>
    <x v="7"/>
    <x v="6"/>
    <x v="8"/>
    <x v="9"/>
    <x v="9"/>
    <x v="16"/>
    <x v="9"/>
    <x v="0"/>
    <x v="27"/>
    <x v="16"/>
    <s v="supplier@gmail.com"/>
  </r>
  <r>
    <x v="49"/>
    <x v="49"/>
    <x v="4"/>
    <x v="1"/>
    <x v="10"/>
    <x v="8"/>
    <x v="14"/>
    <x v="12"/>
    <x v="12"/>
    <x v="13"/>
    <x v="12"/>
    <x v="0"/>
    <x v="28"/>
    <x v="40"/>
    <s v="supplier@gmail.com"/>
  </r>
  <r>
    <x v="50"/>
    <x v="50"/>
    <x v="15"/>
    <x v="13"/>
    <x v="13"/>
    <x v="12"/>
    <x v="15"/>
    <x v="15"/>
    <x v="15"/>
    <x v="17"/>
    <x v="15"/>
    <x v="0"/>
    <x v="29"/>
    <x v="41"/>
    <s v="supplier@gmail.com"/>
  </r>
  <r>
    <x v="51"/>
    <x v="51"/>
    <x v="15"/>
    <x v="13"/>
    <x v="13"/>
    <x v="13"/>
    <x v="15"/>
    <x v="15"/>
    <x v="15"/>
    <x v="17"/>
    <x v="15"/>
    <x v="0"/>
    <x v="26"/>
    <x v="42"/>
    <s v="supplier@gmail.com"/>
  </r>
  <r>
    <x v="52"/>
    <x v="52"/>
    <x v="7"/>
    <x v="4"/>
    <x v="5"/>
    <x v="6"/>
    <x v="8"/>
    <x v="9"/>
    <x v="9"/>
    <x v="16"/>
    <x v="9"/>
    <x v="0"/>
    <x v="26"/>
    <x v="43"/>
    <s v="supplier@gmail.com"/>
  </r>
  <r>
    <x v="53"/>
    <x v="53"/>
    <x v="4"/>
    <x v="1"/>
    <x v="4"/>
    <x v="8"/>
    <x v="12"/>
    <x v="8"/>
    <x v="8"/>
    <x v="13"/>
    <x v="8"/>
    <x v="0"/>
    <x v="13"/>
    <x v="44"/>
    <s v="supplier@gmail.com"/>
  </r>
  <r>
    <x v="54"/>
    <x v="54"/>
    <x v="4"/>
    <x v="1"/>
    <x v="6"/>
    <x v="1"/>
    <x v="12"/>
    <x v="8"/>
    <x v="8"/>
    <x v="12"/>
    <x v="8"/>
    <x v="0"/>
    <x v="30"/>
    <x v="45"/>
    <s v="supplier@gmail.com"/>
  </r>
  <r>
    <x v="55"/>
    <x v="55"/>
    <x v="4"/>
    <x v="1"/>
    <x v="4"/>
    <x v="1"/>
    <x v="12"/>
    <x v="8"/>
    <x v="8"/>
    <x v="12"/>
    <x v="8"/>
    <x v="0"/>
    <x v="1"/>
    <x v="46"/>
    <s v="supplier@gmail.com"/>
  </r>
  <r>
    <x v="56"/>
    <x v="56"/>
    <x v="4"/>
    <x v="1"/>
    <x v="4"/>
    <x v="1"/>
    <x v="12"/>
    <x v="8"/>
    <x v="8"/>
    <x v="12"/>
    <x v="8"/>
    <x v="0"/>
    <x v="31"/>
    <x v="47"/>
    <s v="supplier@gmail.com"/>
  </r>
  <r>
    <x v="57"/>
    <x v="57"/>
    <x v="13"/>
    <x v="14"/>
    <x v="14"/>
    <x v="14"/>
    <x v="12"/>
    <x v="8"/>
    <x v="8"/>
    <x v="12"/>
    <x v="8"/>
    <x v="0"/>
    <x v="32"/>
    <x v="48"/>
    <s v="supplier@gmail.com"/>
  </r>
  <r>
    <x v="58"/>
    <x v="58"/>
    <x v="4"/>
    <x v="1"/>
    <x v="4"/>
    <x v="1"/>
    <x v="12"/>
    <x v="8"/>
    <x v="8"/>
    <x v="12"/>
    <x v="8"/>
    <x v="0"/>
    <x v="33"/>
    <x v="15"/>
    <s v="supplier@gmail.com"/>
  </r>
  <r>
    <x v="59"/>
    <x v="59"/>
    <x v="16"/>
    <x v="15"/>
    <x v="15"/>
    <x v="15"/>
    <x v="12"/>
    <x v="8"/>
    <x v="8"/>
    <x v="12"/>
    <x v="8"/>
    <x v="0"/>
    <x v="34"/>
    <x v="49"/>
    <s v="supplier@gmail.com"/>
  </r>
  <r>
    <x v="60"/>
    <x v="60"/>
    <x v="17"/>
    <x v="16"/>
    <x v="16"/>
    <x v="16"/>
    <x v="12"/>
    <x v="8"/>
    <x v="8"/>
    <x v="12"/>
    <x v="8"/>
    <x v="0"/>
    <x v="35"/>
    <x v="50"/>
    <s v="supplier@gmail.com"/>
  </r>
  <r>
    <x v="61"/>
    <x v="61"/>
    <x v="4"/>
    <x v="1"/>
    <x v="4"/>
    <x v="1"/>
    <x v="12"/>
    <x v="8"/>
    <x v="8"/>
    <x v="12"/>
    <x v="8"/>
    <x v="0"/>
    <x v="36"/>
    <x v="7"/>
    <s v="supplier@gmail.com"/>
  </r>
  <r>
    <x v="62"/>
    <x v="62"/>
    <x v="4"/>
    <x v="1"/>
    <x v="4"/>
    <x v="1"/>
    <x v="12"/>
    <x v="8"/>
    <x v="8"/>
    <x v="12"/>
    <x v="8"/>
    <x v="0"/>
    <x v="1"/>
    <x v="51"/>
    <s v="supplier@gmail.com"/>
  </r>
  <r>
    <x v="63"/>
    <x v="63"/>
    <x v="18"/>
    <x v="17"/>
    <x v="17"/>
    <x v="17"/>
    <x v="12"/>
    <x v="8"/>
    <x v="8"/>
    <x v="12"/>
    <x v="8"/>
    <x v="0"/>
    <x v="37"/>
    <x v="52"/>
    <s v="supplier@gmail.com"/>
  </r>
  <r>
    <x v="64"/>
    <x v="64"/>
    <x v="4"/>
    <x v="1"/>
    <x v="4"/>
    <x v="1"/>
    <x v="12"/>
    <x v="8"/>
    <x v="8"/>
    <x v="12"/>
    <x v="8"/>
    <x v="0"/>
    <x v="38"/>
    <x v="18"/>
    <s v="supplier@gmail.com"/>
  </r>
  <r>
    <x v="65"/>
    <x v="65"/>
    <x v="4"/>
    <x v="1"/>
    <x v="4"/>
    <x v="1"/>
    <x v="12"/>
    <x v="8"/>
    <x v="8"/>
    <x v="12"/>
    <x v="8"/>
    <x v="0"/>
    <x v="39"/>
    <x v="53"/>
    <s v="supplier@gmail.com"/>
  </r>
  <r>
    <x v="66"/>
    <x v="66"/>
    <x v="4"/>
    <x v="1"/>
    <x v="4"/>
    <x v="1"/>
    <x v="12"/>
    <x v="8"/>
    <x v="8"/>
    <x v="12"/>
    <x v="8"/>
    <x v="0"/>
    <x v="1"/>
    <x v="25"/>
    <s v="supplier@gmail.com"/>
  </r>
  <r>
    <x v="67"/>
    <x v="67"/>
    <x v="4"/>
    <x v="1"/>
    <x v="4"/>
    <x v="1"/>
    <x v="12"/>
    <x v="8"/>
    <x v="8"/>
    <x v="12"/>
    <x v="8"/>
    <x v="0"/>
    <x v="40"/>
    <x v="27"/>
    <s v="supplier@gmail.com"/>
  </r>
  <r>
    <x v="68"/>
    <x v="68"/>
    <x v="8"/>
    <x v="8"/>
    <x v="7"/>
    <x v="10"/>
    <x v="9"/>
    <x v="13"/>
    <x v="13"/>
    <x v="1"/>
    <x v="13"/>
    <x v="0"/>
    <x v="41"/>
    <x v="20"/>
    <s v="supplier@gmail.com"/>
  </r>
  <r>
    <x v="69"/>
    <x v="69"/>
    <x v="7"/>
    <x v="8"/>
    <x v="7"/>
    <x v="6"/>
    <x v="8"/>
    <x v="8"/>
    <x v="9"/>
    <x v="12"/>
    <x v="9"/>
    <x v="0"/>
    <x v="42"/>
    <x v="54"/>
    <s v="supplier@gmail.com"/>
  </r>
  <r>
    <x v="70"/>
    <x v="70"/>
    <x v="4"/>
    <x v="1"/>
    <x v="18"/>
    <x v="1"/>
    <x v="12"/>
    <x v="8"/>
    <x v="8"/>
    <x v="12"/>
    <x v="8"/>
    <x v="0"/>
    <x v="1"/>
    <x v="9"/>
    <s v="supplier@gmail.com"/>
  </r>
  <r>
    <x v="71"/>
    <x v="71"/>
    <x v="7"/>
    <x v="1"/>
    <x v="4"/>
    <x v="1"/>
    <x v="8"/>
    <x v="8"/>
    <x v="8"/>
    <x v="1"/>
    <x v="8"/>
    <x v="0"/>
    <x v="1"/>
    <x v="55"/>
    <s v="supplier@gmail.com"/>
  </r>
  <r>
    <x v="72"/>
    <x v="72"/>
    <x v="7"/>
    <x v="1"/>
    <x v="4"/>
    <x v="1"/>
    <x v="8"/>
    <x v="8"/>
    <x v="8"/>
    <x v="1"/>
    <x v="8"/>
    <x v="0"/>
    <x v="22"/>
    <x v="17"/>
    <s v="supplier@gmail.com"/>
  </r>
  <r>
    <x v="73"/>
    <x v="73"/>
    <x v="4"/>
    <x v="1"/>
    <x v="6"/>
    <x v="8"/>
    <x v="12"/>
    <x v="8"/>
    <x v="8"/>
    <x v="13"/>
    <x v="8"/>
    <x v="0"/>
    <x v="1"/>
    <x v="56"/>
    <s v="supplier@gmail.com"/>
  </r>
  <r>
    <x v="74"/>
    <x v="74"/>
    <x v="4"/>
    <x v="1"/>
    <x v="4"/>
    <x v="1"/>
    <x v="12"/>
    <x v="8"/>
    <x v="8"/>
    <x v="12"/>
    <x v="8"/>
    <x v="0"/>
    <x v="43"/>
    <x v="11"/>
    <s v="supplier@gmail.com"/>
  </r>
  <r>
    <x v="75"/>
    <x v="75"/>
    <x v="4"/>
    <x v="1"/>
    <x v="4"/>
    <x v="1"/>
    <x v="12"/>
    <x v="8"/>
    <x v="8"/>
    <x v="12"/>
    <x v="8"/>
    <x v="0"/>
    <x v="1"/>
    <x v="57"/>
    <s v="supplier@gmail.com"/>
  </r>
  <r>
    <x v="76"/>
    <x v="76"/>
    <x v="4"/>
    <x v="1"/>
    <x v="4"/>
    <x v="1"/>
    <x v="12"/>
    <x v="16"/>
    <x v="8"/>
    <x v="12"/>
    <x v="8"/>
    <x v="0"/>
    <x v="39"/>
    <x v="38"/>
    <s v="supplier@gmail.com"/>
  </r>
  <r>
    <x v="77"/>
    <x v="77"/>
    <x v="4"/>
    <x v="1"/>
    <x v="4"/>
    <x v="1"/>
    <x v="12"/>
    <x v="8"/>
    <x v="8"/>
    <x v="12"/>
    <x v="8"/>
    <x v="0"/>
    <x v="43"/>
    <x v="58"/>
    <s v="supplier@gmail.com"/>
  </r>
  <r>
    <x v="78"/>
    <x v="78"/>
    <x v="4"/>
    <x v="1"/>
    <x v="4"/>
    <x v="1"/>
    <x v="12"/>
    <x v="8"/>
    <x v="8"/>
    <x v="12"/>
    <x v="8"/>
    <x v="0"/>
    <x v="1"/>
    <x v="59"/>
    <s v="supplier@gmail.com"/>
  </r>
  <r>
    <x v="79"/>
    <x v="79"/>
    <x v="8"/>
    <x v="8"/>
    <x v="7"/>
    <x v="6"/>
    <x v="8"/>
    <x v="9"/>
    <x v="9"/>
    <x v="16"/>
    <x v="9"/>
    <x v="0"/>
    <x v="1"/>
    <x v="60"/>
    <s v="supplier@gmail.com"/>
  </r>
  <r>
    <x v="80"/>
    <x v="80"/>
    <x v="12"/>
    <x v="5"/>
    <x v="8"/>
    <x v="7"/>
    <x v="13"/>
    <x v="10"/>
    <x v="10"/>
    <x v="14"/>
    <x v="10"/>
    <x v="0"/>
    <x v="44"/>
    <x v="61"/>
    <s v="supplier@gmail.com"/>
  </r>
  <r>
    <x v="81"/>
    <x v="81"/>
    <x v="19"/>
    <x v="18"/>
    <x v="19"/>
    <x v="18"/>
    <x v="16"/>
    <x v="17"/>
    <x v="16"/>
    <x v="18"/>
    <x v="16"/>
    <x v="0"/>
    <x v="45"/>
    <x v="62"/>
    <s v="supplier@gmail.com"/>
  </r>
  <r>
    <x v="82"/>
    <x v="82"/>
    <x v="18"/>
    <x v="1"/>
    <x v="16"/>
    <x v="19"/>
    <x v="17"/>
    <x v="18"/>
    <x v="17"/>
    <x v="19"/>
    <x v="17"/>
    <x v="0"/>
    <x v="46"/>
    <x v="63"/>
    <s v="supplier@gmail.com"/>
  </r>
  <r>
    <x v="83"/>
    <x v="83"/>
    <x v="4"/>
    <x v="19"/>
    <x v="4"/>
    <x v="1"/>
    <x v="12"/>
    <x v="8"/>
    <x v="8"/>
    <x v="12"/>
    <x v="8"/>
    <x v="0"/>
    <x v="1"/>
    <x v="64"/>
    <s v="supplier@gmail.com"/>
  </r>
  <r>
    <x v="84"/>
    <x v="84"/>
    <x v="20"/>
    <x v="20"/>
    <x v="7"/>
    <x v="20"/>
    <x v="18"/>
    <x v="19"/>
    <x v="18"/>
    <x v="16"/>
    <x v="18"/>
    <x v="0"/>
    <x v="47"/>
    <x v="65"/>
    <s v="supplier@gmail.com"/>
  </r>
  <r>
    <x v="85"/>
    <x v="85"/>
    <x v="4"/>
    <x v="1"/>
    <x v="4"/>
    <x v="1"/>
    <x v="12"/>
    <x v="8"/>
    <x v="8"/>
    <x v="12"/>
    <x v="8"/>
    <x v="0"/>
    <x v="1"/>
    <x v="66"/>
    <s v="supplier@gmail.com"/>
  </r>
  <r>
    <x v="86"/>
    <x v="86"/>
    <x v="4"/>
    <x v="1"/>
    <x v="4"/>
    <x v="1"/>
    <x v="12"/>
    <x v="8"/>
    <x v="8"/>
    <x v="12"/>
    <x v="8"/>
    <x v="0"/>
    <x v="48"/>
    <x v="67"/>
    <s v="supplier@gmail.com"/>
  </r>
  <r>
    <x v="87"/>
    <x v="87"/>
    <x v="4"/>
    <x v="1"/>
    <x v="4"/>
    <x v="1"/>
    <x v="12"/>
    <x v="8"/>
    <x v="8"/>
    <x v="12"/>
    <x v="8"/>
    <x v="0"/>
    <x v="1"/>
    <x v="68"/>
    <s v="supplier@gmail.com"/>
  </r>
  <r>
    <x v="88"/>
    <x v="88"/>
    <x v="4"/>
    <x v="1"/>
    <x v="4"/>
    <x v="1"/>
    <x v="12"/>
    <x v="8"/>
    <x v="8"/>
    <x v="12"/>
    <x v="8"/>
    <x v="0"/>
    <x v="49"/>
    <x v="69"/>
    <s v="supplier@gmail.com"/>
  </r>
  <r>
    <x v="89"/>
    <x v="89"/>
    <x v="4"/>
    <x v="1"/>
    <x v="4"/>
    <x v="1"/>
    <x v="12"/>
    <x v="8"/>
    <x v="8"/>
    <x v="12"/>
    <x v="8"/>
    <x v="0"/>
    <x v="50"/>
    <x v="70"/>
    <s v="supplier@gmail.com"/>
  </r>
  <r>
    <x v="90"/>
    <x v="90"/>
    <x v="4"/>
    <x v="1"/>
    <x v="4"/>
    <x v="1"/>
    <x v="12"/>
    <x v="8"/>
    <x v="8"/>
    <x v="12"/>
    <x v="8"/>
    <x v="0"/>
    <x v="51"/>
    <x v="71"/>
    <s v="supplier@gmail.com"/>
  </r>
  <r>
    <x v="91"/>
    <x v="91"/>
    <x v="4"/>
    <x v="1"/>
    <x v="4"/>
    <x v="1"/>
    <x v="12"/>
    <x v="8"/>
    <x v="8"/>
    <x v="12"/>
    <x v="8"/>
    <x v="0"/>
    <x v="52"/>
    <x v="28"/>
    <s v="supplier@gmail.com"/>
  </r>
  <r>
    <x v="92"/>
    <x v="92"/>
    <x v="4"/>
    <x v="1"/>
    <x v="4"/>
    <x v="1"/>
    <x v="12"/>
    <x v="8"/>
    <x v="8"/>
    <x v="12"/>
    <x v="8"/>
    <x v="0"/>
    <x v="53"/>
    <x v="72"/>
    <s v="supplier@gmail.com"/>
  </r>
  <r>
    <x v="93"/>
    <x v="93"/>
    <x v="4"/>
    <x v="1"/>
    <x v="4"/>
    <x v="1"/>
    <x v="12"/>
    <x v="8"/>
    <x v="8"/>
    <x v="12"/>
    <x v="8"/>
    <x v="0"/>
    <x v="54"/>
    <x v="73"/>
    <s v="supplier@gmail.com"/>
  </r>
  <r>
    <x v="94"/>
    <x v="94"/>
    <x v="4"/>
    <x v="1"/>
    <x v="4"/>
    <x v="1"/>
    <x v="12"/>
    <x v="8"/>
    <x v="8"/>
    <x v="12"/>
    <x v="8"/>
    <x v="0"/>
    <x v="48"/>
    <x v="74"/>
    <s v="supplier@gmail.com"/>
  </r>
  <r>
    <x v="95"/>
    <x v="95"/>
    <x v="4"/>
    <x v="1"/>
    <x v="4"/>
    <x v="1"/>
    <x v="12"/>
    <x v="8"/>
    <x v="8"/>
    <x v="12"/>
    <x v="8"/>
    <x v="0"/>
    <x v="55"/>
    <x v="75"/>
    <s v="supplier@gmail.com"/>
  </r>
  <r>
    <x v="96"/>
    <x v="96"/>
    <x v="4"/>
    <x v="1"/>
    <x v="4"/>
    <x v="1"/>
    <x v="12"/>
    <x v="8"/>
    <x v="8"/>
    <x v="12"/>
    <x v="8"/>
    <x v="0"/>
    <x v="56"/>
    <x v="38"/>
    <s v="supplier@gmail.com"/>
  </r>
  <r>
    <x v="97"/>
    <x v="97"/>
    <x v="4"/>
    <x v="1"/>
    <x v="4"/>
    <x v="1"/>
    <x v="12"/>
    <x v="8"/>
    <x v="8"/>
    <x v="12"/>
    <x v="8"/>
    <x v="0"/>
    <x v="57"/>
    <x v="76"/>
    <s v="supplier@gmail.com"/>
  </r>
  <r>
    <x v="98"/>
    <x v="98"/>
    <x v="4"/>
    <x v="1"/>
    <x v="4"/>
    <x v="1"/>
    <x v="12"/>
    <x v="8"/>
    <x v="8"/>
    <x v="12"/>
    <x v="8"/>
    <x v="0"/>
    <x v="58"/>
    <x v="67"/>
    <s v="supplier@gmail.com"/>
  </r>
  <r>
    <x v="99"/>
    <x v="99"/>
    <x v="4"/>
    <x v="1"/>
    <x v="4"/>
    <x v="1"/>
    <x v="12"/>
    <x v="8"/>
    <x v="8"/>
    <x v="12"/>
    <x v="8"/>
    <x v="0"/>
    <x v="59"/>
    <x v="77"/>
    <s v="supplier@gmail.com"/>
  </r>
  <r>
    <x v="100"/>
    <x v="100"/>
    <x v="4"/>
    <x v="1"/>
    <x v="4"/>
    <x v="1"/>
    <x v="12"/>
    <x v="8"/>
    <x v="8"/>
    <x v="12"/>
    <x v="8"/>
    <x v="0"/>
    <x v="60"/>
    <x v="78"/>
    <s v="supplier@gmail.com"/>
  </r>
  <r>
    <x v="101"/>
    <x v="101"/>
    <x v="4"/>
    <x v="1"/>
    <x v="4"/>
    <x v="1"/>
    <x v="12"/>
    <x v="8"/>
    <x v="8"/>
    <x v="12"/>
    <x v="8"/>
    <x v="0"/>
    <x v="1"/>
    <x v="79"/>
    <s v="supplier@gmail.com"/>
  </r>
  <r>
    <x v="102"/>
    <x v="102"/>
    <x v="4"/>
    <x v="1"/>
    <x v="4"/>
    <x v="1"/>
    <x v="12"/>
    <x v="8"/>
    <x v="8"/>
    <x v="12"/>
    <x v="8"/>
    <x v="0"/>
    <x v="61"/>
    <x v="2"/>
    <s v="supplier@gmail.com"/>
  </r>
  <r>
    <x v="103"/>
    <x v="103"/>
    <x v="4"/>
    <x v="1"/>
    <x v="4"/>
    <x v="1"/>
    <x v="12"/>
    <x v="8"/>
    <x v="8"/>
    <x v="12"/>
    <x v="8"/>
    <x v="0"/>
    <x v="62"/>
    <x v="80"/>
    <s v="supplier@gmail.com"/>
  </r>
  <r>
    <x v="104"/>
    <x v="104"/>
    <x v="4"/>
    <x v="1"/>
    <x v="4"/>
    <x v="1"/>
    <x v="12"/>
    <x v="8"/>
    <x v="8"/>
    <x v="12"/>
    <x v="8"/>
    <x v="0"/>
    <x v="63"/>
    <x v="81"/>
    <s v="supplier@gmail.com"/>
  </r>
  <r>
    <x v="105"/>
    <x v="105"/>
    <x v="4"/>
    <x v="1"/>
    <x v="4"/>
    <x v="1"/>
    <x v="12"/>
    <x v="8"/>
    <x v="8"/>
    <x v="12"/>
    <x v="8"/>
    <x v="0"/>
    <x v="64"/>
    <x v="76"/>
    <s v="supplier@gmail.com"/>
  </r>
  <r>
    <x v="106"/>
    <x v="106"/>
    <x v="4"/>
    <x v="1"/>
    <x v="4"/>
    <x v="1"/>
    <x v="12"/>
    <x v="8"/>
    <x v="8"/>
    <x v="12"/>
    <x v="8"/>
    <x v="0"/>
    <x v="65"/>
    <x v="42"/>
    <s v="supplier@gmail.com"/>
  </r>
  <r>
    <x v="107"/>
    <x v="107"/>
    <x v="4"/>
    <x v="1"/>
    <x v="4"/>
    <x v="1"/>
    <x v="12"/>
    <x v="8"/>
    <x v="8"/>
    <x v="12"/>
    <x v="8"/>
    <x v="0"/>
    <x v="66"/>
    <x v="82"/>
    <s v="supplier@gmail.com"/>
  </r>
  <r>
    <x v="108"/>
    <x v="108"/>
    <x v="4"/>
    <x v="1"/>
    <x v="4"/>
    <x v="1"/>
    <x v="12"/>
    <x v="8"/>
    <x v="8"/>
    <x v="12"/>
    <x v="8"/>
    <x v="0"/>
    <x v="67"/>
    <x v="83"/>
    <s v="supplier@gmail.com"/>
  </r>
  <r>
    <x v="109"/>
    <x v="109"/>
    <x v="21"/>
    <x v="21"/>
    <x v="20"/>
    <x v="21"/>
    <x v="19"/>
    <x v="20"/>
    <x v="19"/>
    <x v="16"/>
    <x v="19"/>
    <x v="0"/>
    <x v="68"/>
    <x v="84"/>
    <s v="supplier@gmail.com"/>
  </r>
  <r>
    <x v="110"/>
    <x v="110"/>
    <x v="4"/>
    <x v="1"/>
    <x v="4"/>
    <x v="1"/>
    <x v="12"/>
    <x v="8"/>
    <x v="8"/>
    <x v="12"/>
    <x v="8"/>
    <x v="0"/>
    <x v="69"/>
    <x v="85"/>
    <s v="supplier@gmail.com"/>
  </r>
  <r>
    <x v="111"/>
    <x v="111"/>
    <x v="4"/>
    <x v="1"/>
    <x v="4"/>
    <x v="1"/>
    <x v="12"/>
    <x v="8"/>
    <x v="8"/>
    <x v="12"/>
    <x v="8"/>
    <x v="0"/>
    <x v="70"/>
    <x v="86"/>
    <s v="supplier@gmail.com"/>
  </r>
  <r>
    <x v="112"/>
    <x v="112"/>
    <x v="4"/>
    <x v="1"/>
    <x v="4"/>
    <x v="1"/>
    <x v="12"/>
    <x v="8"/>
    <x v="8"/>
    <x v="12"/>
    <x v="8"/>
    <x v="0"/>
    <x v="71"/>
    <x v="58"/>
    <s v="supplier@gmail.com"/>
  </r>
  <r>
    <x v="113"/>
    <x v="113"/>
    <x v="4"/>
    <x v="1"/>
    <x v="4"/>
    <x v="1"/>
    <x v="12"/>
    <x v="8"/>
    <x v="8"/>
    <x v="12"/>
    <x v="8"/>
    <x v="0"/>
    <x v="72"/>
    <x v="87"/>
    <s v="supplier@gmail.com"/>
  </r>
  <r>
    <x v="114"/>
    <x v="114"/>
    <x v="10"/>
    <x v="22"/>
    <x v="21"/>
    <x v="22"/>
    <x v="3"/>
    <x v="21"/>
    <x v="20"/>
    <x v="3"/>
    <x v="20"/>
    <x v="0"/>
    <x v="73"/>
    <x v="84"/>
    <s v="supplier@gmail.com"/>
  </r>
  <r>
    <x v="115"/>
    <x v="115"/>
    <x v="20"/>
    <x v="20"/>
    <x v="7"/>
    <x v="20"/>
    <x v="18"/>
    <x v="19"/>
    <x v="18"/>
    <x v="16"/>
    <x v="18"/>
    <x v="0"/>
    <x v="74"/>
    <x v="16"/>
    <s v="supplier@gmail.com"/>
  </r>
  <r>
    <x v="116"/>
    <x v="116"/>
    <x v="20"/>
    <x v="20"/>
    <x v="7"/>
    <x v="20"/>
    <x v="18"/>
    <x v="19"/>
    <x v="18"/>
    <x v="16"/>
    <x v="18"/>
    <x v="0"/>
    <x v="1"/>
    <x v="88"/>
    <s v="supplier@gmail.com"/>
  </r>
  <r>
    <x v="117"/>
    <x v="117"/>
    <x v="4"/>
    <x v="1"/>
    <x v="4"/>
    <x v="23"/>
    <x v="12"/>
    <x v="8"/>
    <x v="21"/>
    <x v="12"/>
    <x v="8"/>
    <x v="0"/>
    <x v="75"/>
    <x v="24"/>
    <s v="supplier@gmail.com"/>
  </r>
  <r>
    <x v="118"/>
    <x v="118"/>
    <x v="4"/>
    <x v="1"/>
    <x v="4"/>
    <x v="1"/>
    <x v="12"/>
    <x v="8"/>
    <x v="8"/>
    <x v="12"/>
    <x v="8"/>
    <x v="0"/>
    <x v="76"/>
    <x v="89"/>
    <s v="supplier@gmail.com"/>
  </r>
  <r>
    <x v="119"/>
    <x v="119"/>
    <x v="4"/>
    <x v="1"/>
    <x v="22"/>
    <x v="1"/>
    <x v="12"/>
    <x v="8"/>
    <x v="21"/>
    <x v="12"/>
    <x v="8"/>
    <x v="0"/>
    <x v="77"/>
    <x v="90"/>
    <s v="supplier@gmail.com"/>
  </r>
  <r>
    <x v="120"/>
    <x v="120"/>
    <x v="4"/>
    <x v="1"/>
    <x v="4"/>
    <x v="1"/>
    <x v="12"/>
    <x v="8"/>
    <x v="8"/>
    <x v="12"/>
    <x v="8"/>
    <x v="0"/>
    <x v="1"/>
    <x v="91"/>
    <s v="supplier@gmail.com"/>
  </r>
  <r>
    <x v="121"/>
    <x v="121"/>
    <x v="4"/>
    <x v="1"/>
    <x v="4"/>
    <x v="1"/>
    <x v="12"/>
    <x v="8"/>
    <x v="8"/>
    <x v="12"/>
    <x v="8"/>
    <x v="0"/>
    <x v="78"/>
    <x v="69"/>
    <s v="supplier@gmail.com"/>
  </r>
  <r>
    <x v="122"/>
    <x v="122"/>
    <x v="4"/>
    <x v="1"/>
    <x v="4"/>
    <x v="1"/>
    <x v="12"/>
    <x v="8"/>
    <x v="8"/>
    <x v="12"/>
    <x v="8"/>
    <x v="0"/>
    <x v="79"/>
    <x v="92"/>
    <s v="supplier@gmail.com"/>
  </r>
  <r>
    <x v="123"/>
    <x v="123"/>
    <x v="4"/>
    <x v="1"/>
    <x v="4"/>
    <x v="1"/>
    <x v="12"/>
    <x v="8"/>
    <x v="8"/>
    <x v="12"/>
    <x v="8"/>
    <x v="0"/>
    <x v="80"/>
    <x v="71"/>
    <s v="supplier@gmail.com"/>
  </r>
  <r>
    <x v="124"/>
    <x v="124"/>
    <x v="4"/>
    <x v="1"/>
    <x v="4"/>
    <x v="1"/>
    <x v="12"/>
    <x v="8"/>
    <x v="22"/>
    <x v="12"/>
    <x v="8"/>
    <x v="0"/>
    <x v="81"/>
    <x v="93"/>
    <s v="supplier@gmail.com"/>
  </r>
  <r>
    <x v="125"/>
    <x v="125"/>
    <x v="4"/>
    <x v="1"/>
    <x v="4"/>
    <x v="1"/>
    <x v="12"/>
    <x v="22"/>
    <x v="22"/>
    <x v="12"/>
    <x v="8"/>
    <x v="0"/>
    <x v="82"/>
    <x v="94"/>
    <s v="supplier@gmail.com"/>
  </r>
  <r>
    <x v="126"/>
    <x v="126"/>
    <x v="4"/>
    <x v="1"/>
    <x v="4"/>
    <x v="1"/>
    <x v="12"/>
    <x v="22"/>
    <x v="22"/>
    <x v="12"/>
    <x v="8"/>
    <x v="0"/>
    <x v="83"/>
    <x v="69"/>
    <s v="supplier@gmail.com"/>
  </r>
  <r>
    <x v="127"/>
    <x v="127"/>
    <x v="4"/>
    <x v="1"/>
    <x v="4"/>
    <x v="1"/>
    <x v="12"/>
    <x v="22"/>
    <x v="22"/>
    <x v="12"/>
    <x v="8"/>
    <x v="0"/>
    <x v="84"/>
    <x v="95"/>
    <s v="supplier@gmail.com"/>
  </r>
  <r>
    <x v="128"/>
    <x v="128"/>
    <x v="4"/>
    <x v="1"/>
    <x v="4"/>
    <x v="1"/>
    <x v="12"/>
    <x v="8"/>
    <x v="8"/>
    <x v="12"/>
    <x v="8"/>
    <x v="0"/>
    <x v="85"/>
    <x v="88"/>
    <s v="supplier@gmail.com"/>
  </r>
  <r>
    <x v="129"/>
    <x v="129"/>
    <x v="4"/>
    <x v="1"/>
    <x v="4"/>
    <x v="1"/>
    <x v="12"/>
    <x v="8"/>
    <x v="8"/>
    <x v="12"/>
    <x v="8"/>
    <x v="0"/>
    <x v="86"/>
    <x v="96"/>
    <s v="supplier@gmail.com"/>
  </r>
  <r>
    <x v="130"/>
    <x v="130"/>
    <x v="4"/>
    <x v="1"/>
    <x v="4"/>
    <x v="1"/>
    <x v="12"/>
    <x v="8"/>
    <x v="8"/>
    <x v="12"/>
    <x v="8"/>
    <x v="0"/>
    <x v="72"/>
    <x v="97"/>
    <s v="supplier@gmail.com"/>
  </r>
  <r>
    <x v="131"/>
    <x v="131"/>
    <x v="4"/>
    <x v="1"/>
    <x v="4"/>
    <x v="1"/>
    <x v="12"/>
    <x v="8"/>
    <x v="8"/>
    <x v="12"/>
    <x v="8"/>
    <x v="0"/>
    <x v="1"/>
    <x v="83"/>
    <s v="supplier@gmail.com"/>
  </r>
  <r>
    <x v="132"/>
    <x v="132"/>
    <x v="4"/>
    <x v="1"/>
    <x v="4"/>
    <x v="1"/>
    <x v="12"/>
    <x v="8"/>
    <x v="8"/>
    <x v="12"/>
    <x v="8"/>
    <x v="0"/>
    <x v="87"/>
    <x v="44"/>
    <s v="supplier@gmail.com"/>
  </r>
  <r>
    <x v="133"/>
    <x v="133"/>
    <x v="4"/>
    <x v="1"/>
    <x v="4"/>
    <x v="1"/>
    <x v="12"/>
    <x v="8"/>
    <x v="8"/>
    <x v="12"/>
    <x v="8"/>
    <x v="0"/>
    <x v="1"/>
    <x v="98"/>
    <s v="supplier@gmail.com"/>
  </r>
  <r>
    <x v="134"/>
    <x v="134"/>
    <x v="4"/>
    <x v="1"/>
    <x v="4"/>
    <x v="1"/>
    <x v="12"/>
    <x v="22"/>
    <x v="8"/>
    <x v="12"/>
    <x v="8"/>
    <x v="0"/>
    <x v="7"/>
    <x v="99"/>
    <s v="supplier@gmail.com"/>
  </r>
  <r>
    <x v="135"/>
    <x v="135"/>
    <x v="4"/>
    <x v="1"/>
    <x v="4"/>
    <x v="1"/>
    <x v="12"/>
    <x v="23"/>
    <x v="23"/>
    <x v="12"/>
    <x v="8"/>
    <x v="0"/>
    <x v="1"/>
    <x v="100"/>
    <s v="supplier@gmail.com"/>
  </r>
  <r>
    <x v="136"/>
    <x v="136"/>
    <x v="22"/>
    <x v="23"/>
    <x v="23"/>
    <x v="24"/>
    <x v="12"/>
    <x v="8"/>
    <x v="8"/>
    <x v="20"/>
    <x v="8"/>
    <x v="0"/>
    <x v="88"/>
    <x v="5"/>
    <s v="supplier@gmail.com"/>
  </r>
  <r>
    <x v="137"/>
    <x v="137"/>
    <x v="23"/>
    <x v="24"/>
    <x v="24"/>
    <x v="25"/>
    <x v="20"/>
    <x v="3"/>
    <x v="8"/>
    <x v="21"/>
    <x v="3"/>
    <x v="0"/>
    <x v="89"/>
    <x v="101"/>
    <s v="supplier@gmail.com"/>
  </r>
  <r>
    <x v="138"/>
    <x v="138"/>
    <x v="4"/>
    <x v="1"/>
    <x v="4"/>
    <x v="1"/>
    <x v="12"/>
    <x v="8"/>
    <x v="8"/>
    <x v="12"/>
    <x v="8"/>
    <x v="0"/>
    <x v="90"/>
    <x v="102"/>
    <s v="supplier@gmail.com"/>
  </r>
  <r>
    <x v="139"/>
    <x v="139"/>
    <x v="4"/>
    <x v="1"/>
    <x v="4"/>
    <x v="1"/>
    <x v="12"/>
    <x v="8"/>
    <x v="8"/>
    <x v="12"/>
    <x v="8"/>
    <x v="0"/>
    <x v="91"/>
    <x v="71"/>
    <s v="supplier@gmail.com"/>
  </r>
  <r>
    <x v="140"/>
    <x v="140"/>
    <x v="4"/>
    <x v="1"/>
    <x v="4"/>
    <x v="1"/>
    <x v="12"/>
    <x v="8"/>
    <x v="8"/>
    <x v="12"/>
    <x v="8"/>
    <x v="0"/>
    <x v="92"/>
    <x v="59"/>
    <s v="supplier@gmail.com"/>
  </r>
  <r>
    <x v="141"/>
    <x v="141"/>
    <x v="4"/>
    <x v="1"/>
    <x v="4"/>
    <x v="1"/>
    <x v="12"/>
    <x v="8"/>
    <x v="8"/>
    <x v="12"/>
    <x v="8"/>
    <x v="0"/>
    <x v="93"/>
    <x v="103"/>
    <s v="supplier@gmail.com"/>
  </r>
  <r>
    <x v="142"/>
    <x v="142"/>
    <x v="4"/>
    <x v="1"/>
    <x v="4"/>
    <x v="1"/>
    <x v="12"/>
    <x v="8"/>
    <x v="8"/>
    <x v="12"/>
    <x v="8"/>
    <x v="0"/>
    <x v="94"/>
    <x v="34"/>
    <s v="supplier@gmail.com"/>
  </r>
  <r>
    <x v="143"/>
    <x v="143"/>
    <x v="20"/>
    <x v="20"/>
    <x v="7"/>
    <x v="20"/>
    <x v="18"/>
    <x v="19"/>
    <x v="18"/>
    <x v="16"/>
    <x v="18"/>
    <x v="0"/>
    <x v="95"/>
    <x v="98"/>
    <s v="supplier@gmail.com"/>
  </r>
  <r>
    <x v="144"/>
    <x v="144"/>
    <x v="24"/>
    <x v="25"/>
    <x v="25"/>
    <x v="26"/>
    <x v="12"/>
    <x v="8"/>
    <x v="8"/>
    <x v="22"/>
    <x v="8"/>
    <x v="0"/>
    <x v="1"/>
    <x v="104"/>
    <s v="supplier@gmail.com"/>
  </r>
  <r>
    <x v="145"/>
    <x v="145"/>
    <x v="25"/>
    <x v="0"/>
    <x v="25"/>
    <x v="27"/>
    <x v="9"/>
    <x v="14"/>
    <x v="8"/>
    <x v="23"/>
    <x v="13"/>
    <x v="0"/>
    <x v="4"/>
    <x v="105"/>
    <s v="supplier@gmail.com"/>
  </r>
  <r>
    <x v="146"/>
    <x v="146"/>
    <x v="4"/>
    <x v="1"/>
    <x v="4"/>
    <x v="1"/>
    <x v="12"/>
    <x v="8"/>
    <x v="8"/>
    <x v="12"/>
    <x v="8"/>
    <x v="0"/>
    <x v="1"/>
    <x v="86"/>
    <s v="supplier@gmail.com"/>
  </r>
  <r>
    <x v="147"/>
    <x v="147"/>
    <x v="26"/>
    <x v="26"/>
    <x v="26"/>
    <x v="28"/>
    <x v="12"/>
    <x v="8"/>
    <x v="8"/>
    <x v="24"/>
    <x v="8"/>
    <x v="0"/>
    <x v="96"/>
    <x v="52"/>
    <s v="supplier@gmail.com"/>
  </r>
  <r>
    <x v="148"/>
    <x v="148"/>
    <x v="27"/>
    <x v="27"/>
    <x v="12"/>
    <x v="29"/>
    <x v="21"/>
    <x v="24"/>
    <x v="22"/>
    <x v="1"/>
    <x v="21"/>
    <x v="0"/>
    <x v="97"/>
    <x v="63"/>
    <s v="supplier@gmail.com"/>
  </r>
  <r>
    <x v="149"/>
    <x v="149"/>
    <x v="20"/>
    <x v="28"/>
    <x v="7"/>
    <x v="20"/>
    <x v="22"/>
    <x v="19"/>
    <x v="24"/>
    <x v="16"/>
    <x v="18"/>
    <x v="0"/>
    <x v="98"/>
    <x v="106"/>
    <s v="supplier@gmail.com"/>
  </r>
  <r>
    <x v="150"/>
    <x v="150"/>
    <x v="20"/>
    <x v="28"/>
    <x v="7"/>
    <x v="20"/>
    <x v="22"/>
    <x v="19"/>
    <x v="24"/>
    <x v="16"/>
    <x v="18"/>
    <x v="0"/>
    <x v="99"/>
    <x v="107"/>
    <s v="supplier@gmail.com"/>
  </r>
  <r>
    <x v="151"/>
    <x v="151"/>
    <x v="4"/>
    <x v="1"/>
    <x v="4"/>
    <x v="1"/>
    <x v="23"/>
    <x v="8"/>
    <x v="25"/>
    <x v="12"/>
    <x v="8"/>
    <x v="0"/>
    <x v="100"/>
    <x v="108"/>
    <s v="supplier@gmail.com"/>
  </r>
  <r>
    <x v="152"/>
    <x v="152"/>
    <x v="4"/>
    <x v="1"/>
    <x v="4"/>
    <x v="1"/>
    <x v="23"/>
    <x v="8"/>
    <x v="25"/>
    <x v="12"/>
    <x v="8"/>
    <x v="0"/>
    <x v="101"/>
    <x v="82"/>
    <s v="supplier@gmail.com"/>
  </r>
  <r>
    <x v="153"/>
    <x v="153"/>
    <x v="4"/>
    <x v="1"/>
    <x v="4"/>
    <x v="1"/>
    <x v="0"/>
    <x v="8"/>
    <x v="8"/>
    <x v="12"/>
    <x v="8"/>
    <x v="0"/>
    <x v="102"/>
    <x v="1"/>
    <s v="supplier@gmail.com"/>
  </r>
  <r>
    <x v="154"/>
    <x v="154"/>
    <x v="4"/>
    <x v="1"/>
    <x v="4"/>
    <x v="1"/>
    <x v="0"/>
    <x v="8"/>
    <x v="8"/>
    <x v="12"/>
    <x v="8"/>
    <x v="0"/>
    <x v="38"/>
    <x v="77"/>
    <s v="supplier@gmail.com"/>
  </r>
  <r>
    <x v="155"/>
    <x v="155"/>
    <x v="4"/>
    <x v="1"/>
    <x v="4"/>
    <x v="1"/>
    <x v="12"/>
    <x v="8"/>
    <x v="8"/>
    <x v="12"/>
    <x v="8"/>
    <x v="0"/>
    <x v="61"/>
    <x v="37"/>
    <s v="supplier@gmail.com"/>
  </r>
  <r>
    <x v="156"/>
    <x v="156"/>
    <x v="4"/>
    <x v="1"/>
    <x v="4"/>
    <x v="1"/>
    <x v="12"/>
    <x v="8"/>
    <x v="8"/>
    <x v="12"/>
    <x v="8"/>
    <x v="0"/>
    <x v="61"/>
    <x v="17"/>
    <s v="supplier@gmail.com"/>
  </r>
  <r>
    <x v="157"/>
    <x v="157"/>
    <x v="27"/>
    <x v="29"/>
    <x v="12"/>
    <x v="29"/>
    <x v="21"/>
    <x v="24"/>
    <x v="22"/>
    <x v="1"/>
    <x v="21"/>
    <x v="0"/>
    <x v="103"/>
    <x v="109"/>
    <s v="supplier@gmail.com"/>
  </r>
  <r>
    <x v="158"/>
    <x v="158"/>
    <x v="28"/>
    <x v="30"/>
    <x v="9"/>
    <x v="30"/>
    <x v="24"/>
    <x v="22"/>
    <x v="23"/>
    <x v="8"/>
    <x v="22"/>
    <x v="0"/>
    <x v="1"/>
    <x v="88"/>
    <s v="supplier@gmail.com"/>
  </r>
  <r>
    <x v="159"/>
    <x v="159"/>
    <x v="27"/>
    <x v="29"/>
    <x v="12"/>
    <x v="29"/>
    <x v="21"/>
    <x v="24"/>
    <x v="22"/>
    <x v="1"/>
    <x v="21"/>
    <x v="0"/>
    <x v="104"/>
    <x v="25"/>
    <s v="supplier@gmail.com"/>
  </r>
  <r>
    <x v="160"/>
    <x v="160"/>
    <x v="20"/>
    <x v="20"/>
    <x v="7"/>
    <x v="20"/>
    <x v="18"/>
    <x v="19"/>
    <x v="18"/>
    <x v="16"/>
    <x v="18"/>
    <x v="0"/>
    <x v="105"/>
    <x v="110"/>
    <s v="supplier@gmail.com"/>
  </r>
  <r>
    <x v="161"/>
    <x v="161"/>
    <x v="20"/>
    <x v="20"/>
    <x v="7"/>
    <x v="20"/>
    <x v="18"/>
    <x v="19"/>
    <x v="18"/>
    <x v="16"/>
    <x v="18"/>
    <x v="0"/>
    <x v="106"/>
    <x v="11"/>
    <s v="supplier@gmail.com"/>
  </r>
  <r>
    <x v="162"/>
    <x v="162"/>
    <x v="20"/>
    <x v="20"/>
    <x v="7"/>
    <x v="20"/>
    <x v="18"/>
    <x v="19"/>
    <x v="18"/>
    <x v="16"/>
    <x v="18"/>
    <x v="0"/>
    <x v="106"/>
    <x v="93"/>
    <s v="supplier@gmail.com"/>
  </r>
  <r>
    <x v="163"/>
    <x v="163"/>
    <x v="4"/>
    <x v="1"/>
    <x v="4"/>
    <x v="1"/>
    <x v="12"/>
    <x v="8"/>
    <x v="8"/>
    <x v="12"/>
    <x v="8"/>
    <x v="0"/>
    <x v="1"/>
    <x v="20"/>
    <s v="supplier@gmail.com"/>
  </r>
  <r>
    <x v="164"/>
    <x v="164"/>
    <x v="4"/>
    <x v="1"/>
    <x v="4"/>
    <x v="1"/>
    <x v="12"/>
    <x v="8"/>
    <x v="8"/>
    <x v="12"/>
    <x v="8"/>
    <x v="0"/>
    <x v="107"/>
    <x v="88"/>
    <s v="supplier@gmail.com"/>
  </r>
  <r>
    <x v="165"/>
    <x v="165"/>
    <x v="4"/>
    <x v="1"/>
    <x v="4"/>
    <x v="1"/>
    <x v="12"/>
    <x v="8"/>
    <x v="8"/>
    <x v="12"/>
    <x v="8"/>
    <x v="0"/>
    <x v="30"/>
    <x v="111"/>
    <s v="supplier@gmail.com"/>
  </r>
  <r>
    <x v="166"/>
    <x v="166"/>
    <x v="4"/>
    <x v="1"/>
    <x v="4"/>
    <x v="1"/>
    <x v="12"/>
    <x v="8"/>
    <x v="8"/>
    <x v="12"/>
    <x v="8"/>
    <x v="0"/>
    <x v="13"/>
    <x v="4"/>
    <s v="supplier@gmail.com"/>
  </r>
  <r>
    <x v="167"/>
    <x v="167"/>
    <x v="4"/>
    <x v="1"/>
    <x v="4"/>
    <x v="1"/>
    <x v="12"/>
    <x v="8"/>
    <x v="8"/>
    <x v="12"/>
    <x v="8"/>
    <x v="0"/>
    <x v="108"/>
    <x v="81"/>
    <s v="supplier@gmail.com"/>
  </r>
  <r>
    <x v="168"/>
    <x v="168"/>
    <x v="4"/>
    <x v="1"/>
    <x v="4"/>
    <x v="1"/>
    <x v="12"/>
    <x v="8"/>
    <x v="8"/>
    <x v="12"/>
    <x v="8"/>
    <x v="0"/>
    <x v="109"/>
    <x v="112"/>
    <s v="supplier@gmail.com"/>
  </r>
  <r>
    <x v="169"/>
    <x v="169"/>
    <x v="4"/>
    <x v="1"/>
    <x v="4"/>
    <x v="1"/>
    <x v="12"/>
    <x v="8"/>
    <x v="8"/>
    <x v="12"/>
    <x v="8"/>
    <x v="0"/>
    <x v="1"/>
    <x v="29"/>
    <s v="supplier@gmail.com"/>
  </r>
  <r>
    <x v="170"/>
    <x v="170"/>
    <x v="4"/>
    <x v="1"/>
    <x v="4"/>
    <x v="1"/>
    <x v="12"/>
    <x v="8"/>
    <x v="8"/>
    <x v="12"/>
    <x v="8"/>
    <x v="0"/>
    <x v="110"/>
    <x v="63"/>
    <s v="supplier@gmail.com"/>
  </r>
  <r>
    <x v="171"/>
    <x v="171"/>
    <x v="4"/>
    <x v="1"/>
    <x v="4"/>
    <x v="1"/>
    <x v="12"/>
    <x v="8"/>
    <x v="8"/>
    <x v="12"/>
    <x v="8"/>
    <x v="0"/>
    <x v="97"/>
    <x v="113"/>
    <s v="supplier@gmail.com"/>
  </r>
  <r>
    <x v="172"/>
    <x v="172"/>
    <x v="4"/>
    <x v="1"/>
    <x v="4"/>
    <x v="1"/>
    <x v="12"/>
    <x v="8"/>
    <x v="8"/>
    <x v="12"/>
    <x v="8"/>
    <x v="0"/>
    <x v="111"/>
    <x v="8"/>
    <s v="supplier@gmail.com"/>
  </r>
  <r>
    <x v="173"/>
    <x v="173"/>
    <x v="4"/>
    <x v="1"/>
    <x v="4"/>
    <x v="1"/>
    <x v="12"/>
    <x v="8"/>
    <x v="8"/>
    <x v="12"/>
    <x v="8"/>
    <x v="0"/>
    <x v="21"/>
    <x v="65"/>
    <s v="supplier@gmail.com"/>
  </r>
  <r>
    <x v="174"/>
    <x v="174"/>
    <x v="4"/>
    <x v="1"/>
    <x v="4"/>
    <x v="1"/>
    <x v="12"/>
    <x v="8"/>
    <x v="8"/>
    <x v="12"/>
    <x v="8"/>
    <x v="0"/>
    <x v="112"/>
    <x v="114"/>
    <s v="supplier@gmail.com"/>
  </r>
  <r>
    <x v="175"/>
    <x v="175"/>
    <x v="4"/>
    <x v="1"/>
    <x v="4"/>
    <x v="1"/>
    <x v="12"/>
    <x v="8"/>
    <x v="8"/>
    <x v="12"/>
    <x v="8"/>
    <x v="0"/>
    <x v="113"/>
    <x v="21"/>
    <s v="supplier@gmail.com"/>
  </r>
  <r>
    <x v="176"/>
    <x v="176"/>
    <x v="4"/>
    <x v="1"/>
    <x v="4"/>
    <x v="1"/>
    <x v="12"/>
    <x v="8"/>
    <x v="8"/>
    <x v="12"/>
    <x v="8"/>
    <x v="0"/>
    <x v="114"/>
    <x v="89"/>
    <s v="supplier@gmail.com"/>
  </r>
  <r>
    <x v="177"/>
    <x v="177"/>
    <x v="4"/>
    <x v="1"/>
    <x v="4"/>
    <x v="1"/>
    <x v="12"/>
    <x v="8"/>
    <x v="8"/>
    <x v="12"/>
    <x v="8"/>
    <x v="0"/>
    <x v="115"/>
    <x v="18"/>
    <s v="supplier@gmail.com"/>
  </r>
  <r>
    <x v="178"/>
    <x v="178"/>
    <x v="4"/>
    <x v="1"/>
    <x v="4"/>
    <x v="1"/>
    <x v="12"/>
    <x v="8"/>
    <x v="8"/>
    <x v="12"/>
    <x v="8"/>
    <x v="0"/>
    <x v="40"/>
    <x v="115"/>
    <s v="supplier@gmail.com"/>
  </r>
  <r>
    <x v="179"/>
    <x v="179"/>
    <x v="4"/>
    <x v="1"/>
    <x v="4"/>
    <x v="19"/>
    <x v="25"/>
    <x v="25"/>
    <x v="26"/>
    <x v="25"/>
    <x v="23"/>
    <x v="0"/>
    <x v="77"/>
    <x v="73"/>
    <s v="supplier@gmail.com"/>
  </r>
  <r>
    <x v="180"/>
    <x v="180"/>
    <x v="4"/>
    <x v="1"/>
    <x v="4"/>
    <x v="31"/>
    <x v="26"/>
    <x v="26"/>
    <x v="27"/>
    <x v="26"/>
    <x v="24"/>
    <x v="0"/>
    <x v="116"/>
    <x v="116"/>
    <s v="supplier@gmail.com"/>
  </r>
  <r>
    <x v="181"/>
    <x v="181"/>
    <x v="4"/>
    <x v="1"/>
    <x v="4"/>
    <x v="15"/>
    <x v="27"/>
    <x v="16"/>
    <x v="8"/>
    <x v="19"/>
    <x v="17"/>
    <x v="0"/>
    <x v="117"/>
    <x v="36"/>
    <s v="supplier@gmail.com"/>
  </r>
  <r>
    <x v="182"/>
    <x v="182"/>
    <x v="29"/>
    <x v="31"/>
    <x v="27"/>
    <x v="32"/>
    <x v="28"/>
    <x v="27"/>
    <x v="28"/>
    <x v="27"/>
    <x v="25"/>
    <x v="0"/>
    <x v="118"/>
    <x v="91"/>
    <s v="supplier@gmail.com"/>
  </r>
  <r>
    <x v="183"/>
    <x v="183"/>
    <x v="18"/>
    <x v="1"/>
    <x v="16"/>
    <x v="19"/>
    <x v="17"/>
    <x v="18"/>
    <x v="17"/>
    <x v="19"/>
    <x v="17"/>
    <x v="0"/>
    <x v="119"/>
    <x v="6"/>
    <s v="supplier@gmail.com"/>
  </r>
  <r>
    <x v="184"/>
    <x v="184"/>
    <x v="30"/>
    <x v="1"/>
    <x v="6"/>
    <x v="33"/>
    <x v="18"/>
    <x v="26"/>
    <x v="18"/>
    <x v="25"/>
    <x v="26"/>
    <x v="0"/>
    <x v="1"/>
    <x v="117"/>
    <s v="supplier@gmail.com"/>
  </r>
  <r>
    <x v="185"/>
    <x v="185"/>
    <x v="4"/>
    <x v="1"/>
    <x v="4"/>
    <x v="1"/>
    <x v="12"/>
    <x v="8"/>
    <x v="8"/>
    <x v="12"/>
    <x v="8"/>
    <x v="0"/>
    <x v="1"/>
    <x v="118"/>
    <s v="supplier@gmail.com"/>
  </r>
  <r>
    <x v="186"/>
    <x v="186"/>
    <x v="4"/>
    <x v="1"/>
    <x v="4"/>
    <x v="1"/>
    <x v="12"/>
    <x v="8"/>
    <x v="8"/>
    <x v="12"/>
    <x v="8"/>
    <x v="0"/>
    <x v="120"/>
    <x v="119"/>
    <s v="supplier@gmail.com"/>
  </r>
  <r>
    <x v="187"/>
    <x v="187"/>
    <x v="18"/>
    <x v="1"/>
    <x v="16"/>
    <x v="19"/>
    <x v="17"/>
    <x v="18"/>
    <x v="17"/>
    <x v="19"/>
    <x v="17"/>
    <x v="0"/>
    <x v="121"/>
    <x v="120"/>
    <s v="supplier@gmail.com"/>
  </r>
  <r>
    <x v="188"/>
    <x v="188"/>
    <x v="31"/>
    <x v="19"/>
    <x v="28"/>
    <x v="34"/>
    <x v="18"/>
    <x v="28"/>
    <x v="29"/>
    <x v="25"/>
    <x v="26"/>
    <x v="0"/>
    <x v="122"/>
    <x v="75"/>
    <s v="supplier@gmail.com"/>
  </r>
  <r>
    <x v="189"/>
    <x v="189"/>
    <x v="31"/>
    <x v="19"/>
    <x v="28"/>
    <x v="34"/>
    <x v="18"/>
    <x v="28"/>
    <x v="29"/>
    <x v="25"/>
    <x v="26"/>
    <x v="0"/>
    <x v="9"/>
    <x v="121"/>
    <s v="supplier@gmail.com"/>
  </r>
  <r>
    <x v="190"/>
    <x v="190"/>
    <x v="21"/>
    <x v="31"/>
    <x v="29"/>
    <x v="6"/>
    <x v="8"/>
    <x v="29"/>
    <x v="30"/>
    <x v="26"/>
    <x v="27"/>
    <x v="0"/>
    <x v="92"/>
    <x v="122"/>
    <s v="supplier@gmail.com"/>
  </r>
  <r>
    <x v="191"/>
    <x v="191"/>
    <x v="32"/>
    <x v="32"/>
    <x v="30"/>
    <x v="16"/>
    <x v="17"/>
    <x v="30"/>
    <x v="31"/>
    <x v="19"/>
    <x v="17"/>
    <x v="0"/>
    <x v="123"/>
    <x v="67"/>
    <s v="supplier@gmail.com"/>
  </r>
  <r>
    <x v="192"/>
    <x v="192"/>
    <x v="32"/>
    <x v="32"/>
    <x v="30"/>
    <x v="16"/>
    <x v="17"/>
    <x v="30"/>
    <x v="31"/>
    <x v="19"/>
    <x v="17"/>
    <x v="0"/>
    <x v="54"/>
    <x v="41"/>
    <s v="supplier@gmail.com"/>
  </r>
  <r>
    <x v="193"/>
    <x v="193"/>
    <x v="32"/>
    <x v="32"/>
    <x v="30"/>
    <x v="16"/>
    <x v="17"/>
    <x v="30"/>
    <x v="31"/>
    <x v="19"/>
    <x v="17"/>
    <x v="0"/>
    <x v="124"/>
    <x v="92"/>
    <s v="supplier@gmail.com"/>
  </r>
  <r>
    <x v="194"/>
    <x v="194"/>
    <x v="32"/>
    <x v="32"/>
    <x v="30"/>
    <x v="16"/>
    <x v="17"/>
    <x v="30"/>
    <x v="31"/>
    <x v="19"/>
    <x v="17"/>
    <x v="0"/>
    <x v="125"/>
    <x v="123"/>
    <s v="supplier@gmail.com"/>
  </r>
  <r>
    <x v="195"/>
    <x v="195"/>
    <x v="33"/>
    <x v="32"/>
    <x v="31"/>
    <x v="35"/>
    <x v="18"/>
    <x v="9"/>
    <x v="24"/>
    <x v="25"/>
    <x v="26"/>
    <x v="0"/>
    <x v="16"/>
    <x v="106"/>
    <s v="supplier@gmail.com"/>
  </r>
  <r>
    <x v="196"/>
    <x v="196"/>
    <x v="34"/>
    <x v="33"/>
    <x v="32"/>
    <x v="36"/>
    <x v="21"/>
    <x v="31"/>
    <x v="32"/>
    <x v="28"/>
    <x v="18"/>
    <x v="0"/>
    <x v="125"/>
    <x v="31"/>
    <s v="supplier@gmail.com"/>
  </r>
  <r>
    <x v="197"/>
    <x v="197"/>
    <x v="35"/>
    <x v="34"/>
    <x v="12"/>
    <x v="8"/>
    <x v="29"/>
    <x v="5"/>
    <x v="33"/>
    <x v="29"/>
    <x v="28"/>
    <x v="0"/>
    <x v="14"/>
    <x v="18"/>
    <s v="supplier@gmail.com"/>
  </r>
  <r>
    <x v="198"/>
    <x v="198"/>
    <x v="32"/>
    <x v="32"/>
    <x v="30"/>
    <x v="16"/>
    <x v="17"/>
    <x v="30"/>
    <x v="31"/>
    <x v="19"/>
    <x v="17"/>
    <x v="0"/>
    <x v="126"/>
    <x v="17"/>
    <s v="supplier@gmail.com"/>
  </r>
  <r>
    <x v="199"/>
    <x v="199"/>
    <x v="32"/>
    <x v="1"/>
    <x v="33"/>
    <x v="17"/>
    <x v="30"/>
    <x v="18"/>
    <x v="27"/>
    <x v="19"/>
    <x v="17"/>
    <x v="0"/>
    <x v="127"/>
    <x v="19"/>
    <s v="supplier@gmail.com"/>
  </r>
  <r>
    <x v="200"/>
    <x v="200"/>
    <x v="32"/>
    <x v="32"/>
    <x v="30"/>
    <x v="16"/>
    <x v="17"/>
    <x v="30"/>
    <x v="31"/>
    <x v="19"/>
    <x v="17"/>
    <x v="0"/>
    <x v="128"/>
    <x v="34"/>
    <s v="supplier@gmail.com"/>
  </r>
  <r>
    <x v="201"/>
    <x v="201"/>
    <x v="32"/>
    <x v="32"/>
    <x v="30"/>
    <x v="16"/>
    <x v="17"/>
    <x v="30"/>
    <x v="31"/>
    <x v="19"/>
    <x v="17"/>
    <x v="0"/>
    <x v="129"/>
    <x v="60"/>
    <s v="supplier@gmail.com"/>
  </r>
  <r>
    <x v="202"/>
    <x v="202"/>
    <x v="32"/>
    <x v="32"/>
    <x v="30"/>
    <x v="16"/>
    <x v="17"/>
    <x v="30"/>
    <x v="31"/>
    <x v="19"/>
    <x v="17"/>
    <x v="0"/>
    <x v="83"/>
    <x v="43"/>
    <s v="supplier@gmail.com"/>
  </r>
  <r>
    <x v="203"/>
    <x v="203"/>
    <x v="18"/>
    <x v="1"/>
    <x v="16"/>
    <x v="19"/>
    <x v="17"/>
    <x v="18"/>
    <x v="17"/>
    <x v="19"/>
    <x v="17"/>
    <x v="0"/>
    <x v="130"/>
    <x v="124"/>
    <s v="supplier@gmail.com"/>
  </r>
  <r>
    <x v="204"/>
    <x v="204"/>
    <x v="18"/>
    <x v="1"/>
    <x v="16"/>
    <x v="19"/>
    <x v="17"/>
    <x v="18"/>
    <x v="17"/>
    <x v="19"/>
    <x v="17"/>
    <x v="0"/>
    <x v="120"/>
    <x v="125"/>
    <s v="supplier@gmail.com"/>
  </r>
  <r>
    <x v="205"/>
    <x v="205"/>
    <x v="16"/>
    <x v="1"/>
    <x v="34"/>
    <x v="15"/>
    <x v="31"/>
    <x v="32"/>
    <x v="26"/>
    <x v="0"/>
    <x v="0"/>
    <x v="0"/>
    <x v="131"/>
    <x v="123"/>
    <s v="supplier@gmail.com"/>
  </r>
  <r>
    <x v="206"/>
    <x v="206"/>
    <x v="16"/>
    <x v="1"/>
    <x v="34"/>
    <x v="15"/>
    <x v="31"/>
    <x v="32"/>
    <x v="26"/>
    <x v="0"/>
    <x v="0"/>
    <x v="0"/>
    <x v="132"/>
    <x v="34"/>
    <s v="supplier@gmail.com"/>
  </r>
  <r>
    <x v="207"/>
    <x v="207"/>
    <x v="18"/>
    <x v="1"/>
    <x v="16"/>
    <x v="19"/>
    <x v="17"/>
    <x v="18"/>
    <x v="17"/>
    <x v="19"/>
    <x v="17"/>
    <x v="0"/>
    <x v="133"/>
    <x v="126"/>
    <s v="supplier@gmail.com"/>
  </r>
  <r>
    <x v="208"/>
    <x v="208"/>
    <x v="18"/>
    <x v="1"/>
    <x v="16"/>
    <x v="19"/>
    <x v="17"/>
    <x v="18"/>
    <x v="17"/>
    <x v="19"/>
    <x v="17"/>
    <x v="0"/>
    <x v="82"/>
    <x v="115"/>
    <s v="supplier@gmail.com"/>
  </r>
  <r>
    <x v="209"/>
    <x v="209"/>
    <x v="18"/>
    <x v="1"/>
    <x v="16"/>
    <x v="19"/>
    <x v="17"/>
    <x v="18"/>
    <x v="17"/>
    <x v="19"/>
    <x v="17"/>
    <x v="0"/>
    <x v="134"/>
    <x v="127"/>
    <s v="supplier@gmail.com"/>
  </r>
  <r>
    <x v="210"/>
    <x v="210"/>
    <x v="4"/>
    <x v="32"/>
    <x v="35"/>
    <x v="15"/>
    <x v="27"/>
    <x v="32"/>
    <x v="25"/>
    <x v="12"/>
    <x v="8"/>
    <x v="0"/>
    <x v="135"/>
    <x v="66"/>
    <s v="supplier@gmail.com"/>
  </r>
  <r>
    <x v="211"/>
    <x v="211"/>
    <x v="31"/>
    <x v="19"/>
    <x v="28"/>
    <x v="34"/>
    <x v="18"/>
    <x v="28"/>
    <x v="29"/>
    <x v="25"/>
    <x v="26"/>
    <x v="0"/>
    <x v="15"/>
    <x v="37"/>
    <s v="supplier@gmail.com"/>
  </r>
  <r>
    <x v="212"/>
    <x v="212"/>
    <x v="32"/>
    <x v="32"/>
    <x v="30"/>
    <x v="16"/>
    <x v="17"/>
    <x v="30"/>
    <x v="31"/>
    <x v="19"/>
    <x v="17"/>
    <x v="0"/>
    <x v="136"/>
    <x v="128"/>
    <s v="supplier@gmail.com"/>
  </r>
  <r>
    <x v="213"/>
    <x v="213"/>
    <x v="21"/>
    <x v="31"/>
    <x v="29"/>
    <x v="6"/>
    <x v="8"/>
    <x v="29"/>
    <x v="30"/>
    <x v="26"/>
    <x v="27"/>
    <x v="0"/>
    <x v="137"/>
    <x v="5"/>
    <s v="supplier@gmail.com"/>
  </r>
  <r>
    <x v="214"/>
    <x v="214"/>
    <x v="32"/>
    <x v="32"/>
    <x v="30"/>
    <x v="16"/>
    <x v="17"/>
    <x v="30"/>
    <x v="31"/>
    <x v="19"/>
    <x v="17"/>
    <x v="0"/>
    <x v="138"/>
    <x v="129"/>
    <s v="supplier@gmail.com"/>
  </r>
  <r>
    <x v="215"/>
    <x v="215"/>
    <x v="32"/>
    <x v="32"/>
    <x v="30"/>
    <x v="16"/>
    <x v="17"/>
    <x v="30"/>
    <x v="31"/>
    <x v="19"/>
    <x v="17"/>
    <x v="0"/>
    <x v="139"/>
    <x v="93"/>
    <s v="supplier@gmail.com"/>
  </r>
  <r>
    <x v="216"/>
    <x v="216"/>
    <x v="31"/>
    <x v="19"/>
    <x v="28"/>
    <x v="34"/>
    <x v="18"/>
    <x v="28"/>
    <x v="29"/>
    <x v="25"/>
    <x v="26"/>
    <x v="0"/>
    <x v="131"/>
    <x v="67"/>
    <s v="supplier@gmail.com"/>
  </r>
  <r>
    <x v="217"/>
    <x v="217"/>
    <x v="18"/>
    <x v="1"/>
    <x v="16"/>
    <x v="19"/>
    <x v="17"/>
    <x v="18"/>
    <x v="17"/>
    <x v="19"/>
    <x v="17"/>
    <x v="0"/>
    <x v="140"/>
    <x v="11"/>
    <s v="supplier@gmail.com"/>
  </r>
  <r>
    <x v="218"/>
    <x v="218"/>
    <x v="34"/>
    <x v="33"/>
    <x v="32"/>
    <x v="36"/>
    <x v="21"/>
    <x v="31"/>
    <x v="32"/>
    <x v="28"/>
    <x v="18"/>
    <x v="0"/>
    <x v="141"/>
    <x v="6"/>
    <s v="supplier@gmail.com"/>
  </r>
  <r>
    <x v="219"/>
    <x v="219"/>
    <x v="31"/>
    <x v="19"/>
    <x v="28"/>
    <x v="34"/>
    <x v="18"/>
    <x v="28"/>
    <x v="29"/>
    <x v="25"/>
    <x v="26"/>
    <x v="0"/>
    <x v="123"/>
    <x v="44"/>
    <s v="supplier@gmail.com"/>
  </r>
  <r>
    <x v="220"/>
    <x v="220"/>
    <x v="31"/>
    <x v="19"/>
    <x v="28"/>
    <x v="34"/>
    <x v="18"/>
    <x v="28"/>
    <x v="29"/>
    <x v="25"/>
    <x v="26"/>
    <x v="0"/>
    <x v="142"/>
    <x v="58"/>
    <s v="supplier@gmail.com"/>
  </r>
  <r>
    <x v="221"/>
    <x v="221"/>
    <x v="31"/>
    <x v="19"/>
    <x v="28"/>
    <x v="34"/>
    <x v="18"/>
    <x v="28"/>
    <x v="29"/>
    <x v="25"/>
    <x v="26"/>
    <x v="0"/>
    <x v="143"/>
    <x v="130"/>
    <s v="supplier@gmail.com"/>
  </r>
  <r>
    <x v="222"/>
    <x v="222"/>
    <x v="4"/>
    <x v="1"/>
    <x v="4"/>
    <x v="34"/>
    <x v="18"/>
    <x v="33"/>
    <x v="34"/>
    <x v="29"/>
    <x v="29"/>
    <x v="0"/>
    <x v="1"/>
    <x v="123"/>
    <s v="supplier@gmail.com"/>
  </r>
  <r>
    <x v="223"/>
    <x v="223"/>
    <x v="4"/>
    <x v="1"/>
    <x v="4"/>
    <x v="33"/>
    <x v="32"/>
    <x v="19"/>
    <x v="17"/>
    <x v="28"/>
    <x v="27"/>
    <x v="0"/>
    <x v="37"/>
    <x v="27"/>
    <s v="supplier@gmail.com"/>
  </r>
  <r>
    <x v="224"/>
    <x v="224"/>
    <x v="4"/>
    <x v="1"/>
    <x v="4"/>
    <x v="19"/>
    <x v="25"/>
    <x v="25"/>
    <x v="26"/>
    <x v="25"/>
    <x v="23"/>
    <x v="0"/>
    <x v="144"/>
    <x v="131"/>
    <s v="supplier@gmail.com"/>
  </r>
  <r>
    <x v="225"/>
    <x v="225"/>
    <x v="4"/>
    <x v="1"/>
    <x v="4"/>
    <x v="19"/>
    <x v="25"/>
    <x v="25"/>
    <x v="26"/>
    <x v="25"/>
    <x v="23"/>
    <x v="0"/>
    <x v="111"/>
    <x v="132"/>
    <s v="supplier@gmail.com"/>
  </r>
  <r>
    <x v="226"/>
    <x v="226"/>
    <x v="4"/>
    <x v="1"/>
    <x v="4"/>
    <x v="33"/>
    <x v="32"/>
    <x v="19"/>
    <x v="17"/>
    <x v="28"/>
    <x v="27"/>
    <x v="0"/>
    <x v="145"/>
    <x v="133"/>
    <s v="supplier@gmail.com"/>
  </r>
  <r>
    <x v="227"/>
    <x v="227"/>
    <x v="4"/>
    <x v="1"/>
    <x v="4"/>
    <x v="15"/>
    <x v="27"/>
    <x v="16"/>
    <x v="0"/>
    <x v="19"/>
    <x v="30"/>
    <x v="0"/>
    <x v="77"/>
    <x v="10"/>
    <s v="supplier@gmail.com"/>
  </r>
  <r>
    <x v="228"/>
    <x v="228"/>
    <x v="4"/>
    <x v="1"/>
    <x v="4"/>
    <x v="19"/>
    <x v="25"/>
    <x v="25"/>
    <x v="26"/>
    <x v="25"/>
    <x v="23"/>
    <x v="0"/>
    <x v="37"/>
    <x v="134"/>
    <s v="supplier@gmail.com"/>
  </r>
  <r>
    <x v="229"/>
    <x v="229"/>
    <x v="4"/>
    <x v="1"/>
    <x v="4"/>
    <x v="15"/>
    <x v="27"/>
    <x v="16"/>
    <x v="0"/>
    <x v="19"/>
    <x v="30"/>
    <x v="0"/>
    <x v="39"/>
    <x v="125"/>
    <s v="supplier@gmail.com"/>
  </r>
  <r>
    <x v="230"/>
    <x v="230"/>
    <x v="4"/>
    <x v="1"/>
    <x v="4"/>
    <x v="15"/>
    <x v="27"/>
    <x v="16"/>
    <x v="0"/>
    <x v="19"/>
    <x v="30"/>
    <x v="0"/>
    <x v="43"/>
    <x v="14"/>
    <s v="supplier@gmail.com"/>
  </r>
  <r>
    <x v="231"/>
    <x v="231"/>
    <x v="4"/>
    <x v="1"/>
    <x v="4"/>
    <x v="15"/>
    <x v="27"/>
    <x v="16"/>
    <x v="0"/>
    <x v="19"/>
    <x v="30"/>
    <x v="0"/>
    <x v="43"/>
    <x v="27"/>
    <s v="supplier@gmail.com"/>
  </r>
  <r>
    <x v="232"/>
    <x v="232"/>
    <x v="4"/>
    <x v="1"/>
    <x v="4"/>
    <x v="15"/>
    <x v="27"/>
    <x v="16"/>
    <x v="0"/>
    <x v="19"/>
    <x v="30"/>
    <x v="0"/>
    <x v="87"/>
    <x v="92"/>
    <s v="supplier@gmail.com"/>
  </r>
  <r>
    <x v="233"/>
    <x v="233"/>
    <x v="4"/>
    <x v="1"/>
    <x v="4"/>
    <x v="33"/>
    <x v="32"/>
    <x v="19"/>
    <x v="17"/>
    <x v="28"/>
    <x v="27"/>
    <x v="0"/>
    <x v="146"/>
    <x v="84"/>
    <s v="supplier@gmail.com"/>
  </r>
  <r>
    <x v="234"/>
    <x v="234"/>
    <x v="4"/>
    <x v="1"/>
    <x v="4"/>
    <x v="15"/>
    <x v="27"/>
    <x v="16"/>
    <x v="0"/>
    <x v="19"/>
    <x v="30"/>
    <x v="0"/>
    <x v="77"/>
    <x v="135"/>
    <s v="supplier@gmail.com"/>
  </r>
  <r>
    <x v="235"/>
    <x v="235"/>
    <x v="4"/>
    <x v="1"/>
    <x v="4"/>
    <x v="15"/>
    <x v="27"/>
    <x v="16"/>
    <x v="0"/>
    <x v="19"/>
    <x v="30"/>
    <x v="0"/>
    <x v="15"/>
    <x v="89"/>
    <s v="supplier@gmail.com"/>
  </r>
  <r>
    <x v="236"/>
    <x v="236"/>
    <x v="4"/>
    <x v="1"/>
    <x v="4"/>
    <x v="15"/>
    <x v="27"/>
    <x v="16"/>
    <x v="0"/>
    <x v="19"/>
    <x v="30"/>
    <x v="0"/>
    <x v="51"/>
    <x v="97"/>
    <s v="supplier@gmail.com"/>
  </r>
  <r>
    <x v="237"/>
    <x v="237"/>
    <x v="4"/>
    <x v="1"/>
    <x v="4"/>
    <x v="19"/>
    <x v="25"/>
    <x v="25"/>
    <x v="26"/>
    <x v="25"/>
    <x v="23"/>
    <x v="0"/>
    <x v="47"/>
    <x v="105"/>
    <s v="supplier@gmail.com"/>
  </r>
  <r>
    <x v="238"/>
    <x v="238"/>
    <x v="4"/>
    <x v="1"/>
    <x v="4"/>
    <x v="15"/>
    <x v="27"/>
    <x v="16"/>
    <x v="8"/>
    <x v="19"/>
    <x v="17"/>
    <x v="0"/>
    <x v="86"/>
    <x v="100"/>
    <s v="supplier@gmail.com"/>
  </r>
  <r>
    <x v="239"/>
    <x v="239"/>
    <x v="4"/>
    <x v="1"/>
    <x v="4"/>
    <x v="15"/>
    <x v="27"/>
    <x v="16"/>
    <x v="8"/>
    <x v="19"/>
    <x v="17"/>
    <x v="0"/>
    <x v="35"/>
    <x v="130"/>
    <s v="supplier@gmail.com"/>
  </r>
  <r>
    <x v="240"/>
    <x v="240"/>
    <x v="4"/>
    <x v="1"/>
    <x v="4"/>
    <x v="15"/>
    <x v="27"/>
    <x v="16"/>
    <x v="8"/>
    <x v="19"/>
    <x v="17"/>
    <x v="0"/>
    <x v="43"/>
    <x v="136"/>
    <s v="supplier@gmail.com"/>
  </r>
  <r>
    <x v="241"/>
    <x v="241"/>
    <x v="4"/>
    <x v="1"/>
    <x v="4"/>
    <x v="33"/>
    <x v="32"/>
    <x v="19"/>
    <x v="17"/>
    <x v="28"/>
    <x v="27"/>
    <x v="0"/>
    <x v="3"/>
    <x v="81"/>
    <s v="supplier@gmail.com"/>
  </r>
  <r>
    <x v="242"/>
    <x v="242"/>
    <x v="7"/>
    <x v="4"/>
    <x v="5"/>
    <x v="6"/>
    <x v="8"/>
    <x v="9"/>
    <x v="9"/>
    <x v="16"/>
    <x v="9"/>
    <x v="0"/>
    <x v="120"/>
    <x v="137"/>
    <s v="supplier@gmail.com"/>
  </r>
  <r>
    <x v="243"/>
    <x v="243"/>
    <x v="16"/>
    <x v="1"/>
    <x v="34"/>
    <x v="17"/>
    <x v="33"/>
    <x v="34"/>
    <x v="26"/>
    <x v="19"/>
    <x v="17"/>
    <x v="0"/>
    <x v="18"/>
    <x v="2"/>
    <s v="supplier@gmail.com"/>
  </r>
  <r>
    <x v="244"/>
    <x v="244"/>
    <x v="16"/>
    <x v="1"/>
    <x v="34"/>
    <x v="15"/>
    <x v="31"/>
    <x v="32"/>
    <x v="26"/>
    <x v="0"/>
    <x v="0"/>
    <x v="0"/>
    <x v="18"/>
    <x v="138"/>
    <s v="supplier@gmail.com"/>
  </r>
  <r>
    <x v="245"/>
    <x v="245"/>
    <x v="16"/>
    <x v="1"/>
    <x v="34"/>
    <x v="15"/>
    <x v="31"/>
    <x v="32"/>
    <x v="26"/>
    <x v="0"/>
    <x v="0"/>
    <x v="0"/>
    <x v="147"/>
    <x v="139"/>
    <s v="supplier@gmail.com"/>
  </r>
  <r>
    <x v="246"/>
    <x v="246"/>
    <x v="4"/>
    <x v="1"/>
    <x v="4"/>
    <x v="1"/>
    <x v="12"/>
    <x v="8"/>
    <x v="8"/>
    <x v="12"/>
    <x v="8"/>
    <x v="0"/>
    <x v="148"/>
    <x v="140"/>
    <s v="supplier@gmail.com"/>
  </r>
  <r>
    <x v="247"/>
    <x v="247"/>
    <x v="4"/>
    <x v="1"/>
    <x v="4"/>
    <x v="1"/>
    <x v="12"/>
    <x v="8"/>
    <x v="8"/>
    <x v="12"/>
    <x v="8"/>
    <x v="0"/>
    <x v="35"/>
    <x v="141"/>
    <s v="supplier@gmail.com"/>
  </r>
  <r>
    <x v="248"/>
    <x v="248"/>
    <x v="36"/>
    <x v="32"/>
    <x v="36"/>
    <x v="17"/>
    <x v="31"/>
    <x v="18"/>
    <x v="35"/>
    <x v="0"/>
    <x v="0"/>
    <x v="0"/>
    <x v="61"/>
    <x v="44"/>
    <s v="supplier@gmail.com"/>
  </r>
  <r>
    <x v="249"/>
    <x v="249"/>
    <x v="4"/>
    <x v="1"/>
    <x v="4"/>
    <x v="0"/>
    <x v="0"/>
    <x v="0"/>
    <x v="8"/>
    <x v="0"/>
    <x v="0"/>
    <x v="0"/>
    <x v="126"/>
    <x v="142"/>
    <s v="supplier@gmail.com"/>
  </r>
  <r>
    <x v="250"/>
    <x v="250"/>
    <x v="4"/>
    <x v="1"/>
    <x v="4"/>
    <x v="0"/>
    <x v="0"/>
    <x v="0"/>
    <x v="0"/>
    <x v="0"/>
    <x v="31"/>
    <x v="0"/>
    <x v="102"/>
    <x v="62"/>
    <s v="supplier@gmail.com"/>
  </r>
  <r>
    <x v="251"/>
    <x v="251"/>
    <x v="4"/>
    <x v="1"/>
    <x v="4"/>
    <x v="1"/>
    <x v="12"/>
    <x v="8"/>
    <x v="8"/>
    <x v="12"/>
    <x v="8"/>
    <x v="0"/>
    <x v="102"/>
    <x v="0"/>
    <s v="supplier@gmail.com"/>
  </r>
  <r>
    <x v="252"/>
    <x v="252"/>
    <x v="4"/>
    <x v="1"/>
    <x v="4"/>
    <x v="1"/>
    <x v="12"/>
    <x v="8"/>
    <x v="8"/>
    <x v="12"/>
    <x v="8"/>
    <x v="0"/>
    <x v="149"/>
    <x v="10"/>
    <s v="supplier@gmail.com"/>
  </r>
  <r>
    <x v="253"/>
    <x v="253"/>
    <x v="37"/>
    <x v="1"/>
    <x v="7"/>
    <x v="37"/>
    <x v="34"/>
    <x v="13"/>
    <x v="36"/>
    <x v="30"/>
    <x v="19"/>
    <x v="0"/>
    <x v="150"/>
    <x v="143"/>
    <s v="supplier@gmail.com"/>
  </r>
  <r>
    <x v="254"/>
    <x v="254"/>
    <x v="37"/>
    <x v="1"/>
    <x v="7"/>
    <x v="37"/>
    <x v="34"/>
    <x v="13"/>
    <x v="36"/>
    <x v="30"/>
    <x v="19"/>
    <x v="0"/>
    <x v="151"/>
    <x v="144"/>
    <s v="supplier@gmail.com"/>
  </r>
  <r>
    <x v="255"/>
    <x v="255"/>
    <x v="4"/>
    <x v="1"/>
    <x v="4"/>
    <x v="31"/>
    <x v="26"/>
    <x v="26"/>
    <x v="8"/>
    <x v="26"/>
    <x v="27"/>
    <x v="0"/>
    <x v="152"/>
    <x v="134"/>
    <s v="supplier@gmail.com"/>
  </r>
  <r>
    <x v="256"/>
    <x v="256"/>
    <x v="30"/>
    <x v="1"/>
    <x v="6"/>
    <x v="38"/>
    <x v="35"/>
    <x v="33"/>
    <x v="18"/>
    <x v="28"/>
    <x v="18"/>
    <x v="0"/>
    <x v="153"/>
    <x v="145"/>
    <s v="supplier@gmail.com"/>
  </r>
  <r>
    <x v="257"/>
    <x v="257"/>
    <x v="16"/>
    <x v="1"/>
    <x v="34"/>
    <x v="15"/>
    <x v="31"/>
    <x v="32"/>
    <x v="26"/>
    <x v="0"/>
    <x v="0"/>
    <x v="0"/>
    <x v="154"/>
    <x v="146"/>
    <s v="supplier@gmail.com"/>
  </r>
  <r>
    <x v="258"/>
    <x v="258"/>
    <x v="4"/>
    <x v="1"/>
    <x v="4"/>
    <x v="0"/>
    <x v="0"/>
    <x v="0"/>
    <x v="8"/>
    <x v="0"/>
    <x v="0"/>
    <x v="0"/>
    <x v="155"/>
    <x v="147"/>
    <s v="supplier@gmail.com"/>
  </r>
  <r>
    <x v="259"/>
    <x v="259"/>
    <x v="30"/>
    <x v="1"/>
    <x v="6"/>
    <x v="38"/>
    <x v="35"/>
    <x v="33"/>
    <x v="18"/>
    <x v="28"/>
    <x v="18"/>
    <x v="0"/>
    <x v="156"/>
    <x v="130"/>
    <s v="supplier@gmail.com"/>
  </r>
  <r>
    <x v="260"/>
    <x v="260"/>
    <x v="4"/>
    <x v="1"/>
    <x v="4"/>
    <x v="19"/>
    <x v="25"/>
    <x v="25"/>
    <x v="8"/>
    <x v="25"/>
    <x v="26"/>
    <x v="0"/>
    <x v="157"/>
    <x v="148"/>
    <s v="supplier@gmail.com"/>
  </r>
  <r>
    <x v="261"/>
    <x v="261"/>
    <x v="38"/>
    <x v="35"/>
    <x v="37"/>
    <x v="39"/>
    <x v="36"/>
    <x v="35"/>
    <x v="37"/>
    <x v="31"/>
    <x v="21"/>
    <x v="0"/>
    <x v="158"/>
    <x v="59"/>
    <s v="supplier@gmail.com"/>
  </r>
  <r>
    <x v="262"/>
    <x v="262"/>
    <x v="34"/>
    <x v="33"/>
    <x v="32"/>
    <x v="36"/>
    <x v="21"/>
    <x v="31"/>
    <x v="32"/>
    <x v="28"/>
    <x v="18"/>
    <x v="0"/>
    <x v="159"/>
    <x v="22"/>
    <s v="supplier@gmail.com"/>
  </r>
  <r>
    <x v="263"/>
    <x v="263"/>
    <x v="4"/>
    <x v="1"/>
    <x v="4"/>
    <x v="33"/>
    <x v="32"/>
    <x v="19"/>
    <x v="17"/>
    <x v="28"/>
    <x v="27"/>
    <x v="0"/>
    <x v="160"/>
    <x v="50"/>
    <s v="supplier@gmail.com"/>
  </r>
  <r>
    <x v="264"/>
    <x v="264"/>
    <x v="4"/>
    <x v="1"/>
    <x v="4"/>
    <x v="15"/>
    <x v="27"/>
    <x v="16"/>
    <x v="0"/>
    <x v="19"/>
    <x v="30"/>
    <x v="0"/>
    <x v="161"/>
    <x v="47"/>
    <s v="supplier@gmail.com"/>
  </r>
  <r>
    <x v="265"/>
    <x v="265"/>
    <x v="31"/>
    <x v="0"/>
    <x v="30"/>
    <x v="16"/>
    <x v="26"/>
    <x v="25"/>
    <x v="34"/>
    <x v="32"/>
    <x v="23"/>
    <x v="0"/>
    <x v="162"/>
    <x v="51"/>
    <s v="supplier@gmail.com"/>
  </r>
  <r>
    <x v="266"/>
    <x v="266"/>
    <x v="30"/>
    <x v="1"/>
    <x v="6"/>
    <x v="33"/>
    <x v="18"/>
    <x v="26"/>
    <x v="18"/>
    <x v="25"/>
    <x v="26"/>
    <x v="0"/>
    <x v="163"/>
    <x v="149"/>
    <s v="supplier@gmail.com"/>
  </r>
  <r>
    <x v="267"/>
    <x v="267"/>
    <x v="18"/>
    <x v="1"/>
    <x v="16"/>
    <x v="19"/>
    <x v="17"/>
    <x v="18"/>
    <x v="17"/>
    <x v="19"/>
    <x v="17"/>
    <x v="0"/>
    <x v="1"/>
    <x v="149"/>
    <s v="supplier@gmail.com"/>
  </r>
  <r>
    <x v="268"/>
    <x v="268"/>
    <x v="4"/>
    <x v="1"/>
    <x v="4"/>
    <x v="1"/>
    <x v="12"/>
    <x v="8"/>
    <x v="8"/>
    <x v="12"/>
    <x v="8"/>
    <x v="0"/>
    <x v="1"/>
    <x v="136"/>
    <s v="supplier@gmail.com"/>
  </r>
  <r>
    <x v="269"/>
    <x v="269"/>
    <x v="4"/>
    <x v="1"/>
    <x v="4"/>
    <x v="1"/>
    <x v="12"/>
    <x v="8"/>
    <x v="8"/>
    <x v="12"/>
    <x v="8"/>
    <x v="0"/>
    <x v="164"/>
    <x v="53"/>
    <s v="supplier@gmail.com"/>
  </r>
  <r>
    <x v="270"/>
    <x v="270"/>
    <x v="4"/>
    <x v="1"/>
    <x v="4"/>
    <x v="1"/>
    <x v="12"/>
    <x v="8"/>
    <x v="8"/>
    <x v="12"/>
    <x v="8"/>
    <x v="0"/>
    <x v="145"/>
    <x v="131"/>
    <s v="supplier@gmail.com"/>
  </r>
  <r>
    <x v="271"/>
    <x v="271"/>
    <x v="4"/>
    <x v="1"/>
    <x v="4"/>
    <x v="1"/>
    <x v="12"/>
    <x v="8"/>
    <x v="8"/>
    <x v="12"/>
    <x v="8"/>
    <x v="0"/>
    <x v="1"/>
    <x v="4"/>
    <s v="supplier@gmail.com"/>
  </r>
  <r>
    <x v="272"/>
    <x v="272"/>
    <x v="4"/>
    <x v="1"/>
    <x v="4"/>
    <x v="1"/>
    <x v="12"/>
    <x v="8"/>
    <x v="8"/>
    <x v="12"/>
    <x v="14"/>
    <x v="0"/>
    <x v="165"/>
    <x v="77"/>
    <s v="supplier@gmail.com"/>
  </r>
  <r>
    <x v="273"/>
    <x v="273"/>
    <x v="4"/>
    <x v="1"/>
    <x v="4"/>
    <x v="1"/>
    <x v="12"/>
    <x v="8"/>
    <x v="8"/>
    <x v="12"/>
    <x v="8"/>
    <x v="0"/>
    <x v="39"/>
    <x v="78"/>
    <s v="supplier@gmail.com"/>
  </r>
  <r>
    <x v="274"/>
    <x v="274"/>
    <x v="4"/>
    <x v="1"/>
    <x v="4"/>
    <x v="1"/>
    <x v="12"/>
    <x v="8"/>
    <x v="8"/>
    <x v="12"/>
    <x v="8"/>
    <x v="0"/>
    <x v="38"/>
    <x v="150"/>
    <s v="supplier@gmail.com"/>
  </r>
  <r>
    <x v="275"/>
    <x v="275"/>
    <x v="4"/>
    <x v="1"/>
    <x v="4"/>
    <x v="1"/>
    <x v="12"/>
    <x v="8"/>
    <x v="8"/>
    <x v="12"/>
    <x v="8"/>
    <x v="0"/>
    <x v="166"/>
    <x v="151"/>
    <s v="supplier@gmail.com"/>
  </r>
  <r>
    <x v="276"/>
    <x v="276"/>
    <x v="4"/>
    <x v="1"/>
    <x v="4"/>
    <x v="1"/>
    <x v="12"/>
    <x v="36"/>
    <x v="8"/>
    <x v="12"/>
    <x v="32"/>
    <x v="0"/>
    <x v="167"/>
    <x v="152"/>
    <s v="supplier@gmail.com"/>
  </r>
  <r>
    <x v="277"/>
    <x v="277"/>
    <x v="4"/>
    <x v="1"/>
    <x v="4"/>
    <x v="40"/>
    <x v="12"/>
    <x v="37"/>
    <x v="8"/>
    <x v="12"/>
    <x v="8"/>
    <x v="0"/>
    <x v="119"/>
    <x v="79"/>
    <s v="supplier@gmail.com"/>
  </r>
  <r>
    <x v="278"/>
    <x v="278"/>
    <x v="4"/>
    <x v="1"/>
    <x v="4"/>
    <x v="40"/>
    <x v="12"/>
    <x v="37"/>
    <x v="8"/>
    <x v="12"/>
    <x v="8"/>
    <x v="0"/>
    <x v="168"/>
    <x v="77"/>
    <s v="supplier@gmail.com"/>
  </r>
  <r>
    <x v="279"/>
    <x v="279"/>
    <x v="4"/>
    <x v="1"/>
    <x v="4"/>
    <x v="1"/>
    <x v="12"/>
    <x v="36"/>
    <x v="8"/>
    <x v="12"/>
    <x v="32"/>
    <x v="0"/>
    <x v="169"/>
    <x v="153"/>
    <s v="supplier@gmail.com"/>
  </r>
  <r>
    <x v="280"/>
    <x v="280"/>
    <x v="4"/>
    <x v="1"/>
    <x v="4"/>
    <x v="1"/>
    <x v="12"/>
    <x v="36"/>
    <x v="8"/>
    <x v="12"/>
    <x v="32"/>
    <x v="0"/>
    <x v="170"/>
    <x v="98"/>
    <s v="supplier@gmail.com"/>
  </r>
  <r>
    <x v="281"/>
    <x v="281"/>
    <x v="4"/>
    <x v="1"/>
    <x v="4"/>
    <x v="1"/>
    <x v="12"/>
    <x v="36"/>
    <x v="8"/>
    <x v="12"/>
    <x v="32"/>
    <x v="0"/>
    <x v="33"/>
    <x v="49"/>
    <s v="supplier@gmail.com"/>
  </r>
  <r>
    <x v="282"/>
    <x v="282"/>
    <x v="39"/>
    <x v="36"/>
    <x v="33"/>
    <x v="41"/>
    <x v="17"/>
    <x v="38"/>
    <x v="0"/>
    <x v="33"/>
    <x v="18"/>
    <x v="0"/>
    <x v="171"/>
    <x v="19"/>
    <s v="supplier@gmail.com"/>
  </r>
  <r>
    <x v="283"/>
    <x v="283"/>
    <x v="4"/>
    <x v="1"/>
    <x v="4"/>
    <x v="1"/>
    <x v="12"/>
    <x v="39"/>
    <x v="8"/>
    <x v="12"/>
    <x v="28"/>
    <x v="0"/>
    <x v="3"/>
    <x v="18"/>
    <s v="supplier@gmail.com"/>
  </r>
  <r>
    <x v="284"/>
    <x v="284"/>
    <x v="4"/>
    <x v="1"/>
    <x v="4"/>
    <x v="1"/>
    <x v="12"/>
    <x v="39"/>
    <x v="8"/>
    <x v="12"/>
    <x v="28"/>
    <x v="0"/>
    <x v="80"/>
    <x v="70"/>
    <s v="supplier@gmail.com"/>
  </r>
  <r>
    <x v="285"/>
    <x v="285"/>
    <x v="4"/>
    <x v="1"/>
    <x v="4"/>
    <x v="1"/>
    <x v="12"/>
    <x v="40"/>
    <x v="8"/>
    <x v="12"/>
    <x v="33"/>
    <x v="0"/>
    <x v="158"/>
    <x v="154"/>
    <s v="supplier@gmail.com"/>
  </r>
  <r>
    <x v="286"/>
    <x v="286"/>
    <x v="4"/>
    <x v="1"/>
    <x v="4"/>
    <x v="1"/>
    <x v="12"/>
    <x v="39"/>
    <x v="8"/>
    <x v="12"/>
    <x v="28"/>
    <x v="0"/>
    <x v="172"/>
    <x v="20"/>
    <s v="supplier@gmail.com"/>
  </r>
  <r>
    <x v="287"/>
    <x v="287"/>
    <x v="4"/>
    <x v="1"/>
    <x v="4"/>
    <x v="1"/>
    <x v="12"/>
    <x v="39"/>
    <x v="8"/>
    <x v="12"/>
    <x v="28"/>
    <x v="0"/>
    <x v="173"/>
    <x v="155"/>
    <s v="supplier@gmail.com"/>
  </r>
  <r>
    <x v="288"/>
    <x v="288"/>
    <x v="4"/>
    <x v="1"/>
    <x v="4"/>
    <x v="24"/>
    <x v="37"/>
    <x v="41"/>
    <x v="8"/>
    <x v="12"/>
    <x v="28"/>
    <x v="0"/>
    <x v="174"/>
    <x v="33"/>
    <s v="supplier@gmail.com"/>
  </r>
  <r>
    <x v="289"/>
    <x v="289"/>
    <x v="4"/>
    <x v="1"/>
    <x v="4"/>
    <x v="24"/>
    <x v="37"/>
    <x v="41"/>
    <x v="8"/>
    <x v="12"/>
    <x v="28"/>
    <x v="0"/>
    <x v="1"/>
    <x v="44"/>
    <s v="supplier@gmail.com"/>
  </r>
  <r>
    <x v="290"/>
    <x v="290"/>
    <x v="4"/>
    <x v="1"/>
    <x v="4"/>
    <x v="1"/>
    <x v="12"/>
    <x v="8"/>
    <x v="8"/>
    <x v="12"/>
    <x v="8"/>
    <x v="0"/>
    <x v="1"/>
    <x v="129"/>
    <s v="supplier@gmail.com"/>
  </r>
  <r>
    <x v="291"/>
    <x v="291"/>
    <x v="4"/>
    <x v="1"/>
    <x v="38"/>
    <x v="40"/>
    <x v="12"/>
    <x v="8"/>
    <x v="8"/>
    <x v="34"/>
    <x v="8"/>
    <x v="0"/>
    <x v="159"/>
    <x v="69"/>
    <s v="supplier@gmail.com"/>
  </r>
  <r>
    <x v="292"/>
    <x v="292"/>
    <x v="4"/>
    <x v="1"/>
    <x v="4"/>
    <x v="1"/>
    <x v="12"/>
    <x v="8"/>
    <x v="8"/>
    <x v="12"/>
    <x v="8"/>
    <x v="0"/>
    <x v="116"/>
    <x v="11"/>
    <s v="supplier@gmail.com"/>
  </r>
  <r>
    <x v="293"/>
    <x v="293"/>
    <x v="4"/>
    <x v="1"/>
    <x v="4"/>
    <x v="1"/>
    <x v="12"/>
    <x v="8"/>
    <x v="8"/>
    <x v="12"/>
    <x v="8"/>
    <x v="0"/>
    <x v="1"/>
    <x v="47"/>
    <s v="supplier@gmail.com"/>
  </r>
  <r>
    <x v="294"/>
    <x v="294"/>
    <x v="40"/>
    <x v="37"/>
    <x v="39"/>
    <x v="40"/>
    <x v="14"/>
    <x v="37"/>
    <x v="14"/>
    <x v="35"/>
    <x v="34"/>
    <x v="0"/>
    <x v="175"/>
    <x v="26"/>
    <s v="supplier@gmail.com"/>
  </r>
  <r>
    <x v="295"/>
    <x v="295"/>
    <x v="4"/>
    <x v="1"/>
    <x v="40"/>
    <x v="1"/>
    <x v="12"/>
    <x v="42"/>
    <x v="38"/>
    <x v="12"/>
    <x v="8"/>
    <x v="0"/>
    <x v="1"/>
    <x v="117"/>
    <s v="supplier@gmail.com"/>
  </r>
  <r>
    <x v="296"/>
    <x v="296"/>
    <x v="4"/>
    <x v="1"/>
    <x v="4"/>
    <x v="1"/>
    <x v="12"/>
    <x v="8"/>
    <x v="8"/>
    <x v="12"/>
    <x v="8"/>
    <x v="0"/>
    <x v="1"/>
    <x v="73"/>
    <s v="supplier@gmail.com"/>
  </r>
  <r>
    <x v="297"/>
    <x v="297"/>
    <x v="4"/>
    <x v="1"/>
    <x v="4"/>
    <x v="1"/>
    <x v="12"/>
    <x v="8"/>
    <x v="8"/>
    <x v="12"/>
    <x v="8"/>
    <x v="0"/>
    <x v="1"/>
    <x v="48"/>
    <s v="supplier@gmail.com"/>
  </r>
  <r>
    <x v="298"/>
    <x v="298"/>
    <x v="4"/>
    <x v="1"/>
    <x v="4"/>
    <x v="1"/>
    <x v="12"/>
    <x v="8"/>
    <x v="8"/>
    <x v="12"/>
    <x v="8"/>
    <x v="0"/>
    <x v="1"/>
    <x v="152"/>
    <s v="supplier@gmail.com"/>
  </r>
  <r>
    <x v="299"/>
    <x v="299"/>
    <x v="4"/>
    <x v="1"/>
    <x v="4"/>
    <x v="1"/>
    <x v="12"/>
    <x v="8"/>
    <x v="8"/>
    <x v="12"/>
    <x v="8"/>
    <x v="0"/>
    <x v="1"/>
    <x v="80"/>
    <s v="supplier@gmail.com"/>
  </r>
  <r>
    <x v="300"/>
    <x v="300"/>
    <x v="4"/>
    <x v="1"/>
    <x v="8"/>
    <x v="1"/>
    <x v="12"/>
    <x v="10"/>
    <x v="8"/>
    <x v="12"/>
    <x v="8"/>
    <x v="0"/>
    <x v="176"/>
    <x v="30"/>
    <s v="supplier@gmail.com"/>
  </r>
  <r>
    <x v="301"/>
    <x v="301"/>
    <x v="4"/>
    <x v="15"/>
    <x v="15"/>
    <x v="15"/>
    <x v="27"/>
    <x v="16"/>
    <x v="27"/>
    <x v="19"/>
    <x v="17"/>
    <x v="0"/>
    <x v="177"/>
    <x v="27"/>
    <s v="supplier@gmail.com"/>
  </r>
  <r>
    <x v="302"/>
    <x v="302"/>
    <x v="4"/>
    <x v="1"/>
    <x v="8"/>
    <x v="1"/>
    <x v="13"/>
    <x v="10"/>
    <x v="8"/>
    <x v="12"/>
    <x v="8"/>
    <x v="0"/>
    <x v="178"/>
    <x v="44"/>
    <s v="supplier@gmail.com"/>
  </r>
  <r>
    <x v="303"/>
    <x v="303"/>
    <x v="0"/>
    <x v="0"/>
    <x v="0"/>
    <x v="0"/>
    <x v="0"/>
    <x v="32"/>
    <x v="0"/>
    <x v="0"/>
    <x v="0"/>
    <x v="0"/>
    <x v="102"/>
    <x v="156"/>
    <s v="supplier@gmail.com"/>
  </r>
  <r>
    <x v="304"/>
    <x v="304"/>
    <x v="0"/>
    <x v="0"/>
    <x v="0"/>
    <x v="0"/>
    <x v="0"/>
    <x v="32"/>
    <x v="0"/>
    <x v="0"/>
    <x v="0"/>
    <x v="0"/>
    <x v="179"/>
    <x v="110"/>
    <s v="supplier@gmail.com"/>
  </r>
  <r>
    <x v="305"/>
    <x v="305"/>
    <x v="0"/>
    <x v="0"/>
    <x v="0"/>
    <x v="0"/>
    <x v="0"/>
    <x v="32"/>
    <x v="0"/>
    <x v="0"/>
    <x v="0"/>
    <x v="0"/>
    <x v="180"/>
    <x v="38"/>
    <s v="supplier@gmail.com"/>
  </r>
  <r>
    <x v="306"/>
    <x v="306"/>
    <x v="4"/>
    <x v="1"/>
    <x v="41"/>
    <x v="1"/>
    <x v="12"/>
    <x v="43"/>
    <x v="39"/>
    <x v="12"/>
    <x v="8"/>
    <x v="0"/>
    <x v="181"/>
    <x v="141"/>
    <s v="supplier@gmail.com"/>
  </r>
  <r>
    <x v="307"/>
    <x v="307"/>
    <x v="4"/>
    <x v="1"/>
    <x v="4"/>
    <x v="1"/>
    <x v="12"/>
    <x v="8"/>
    <x v="8"/>
    <x v="12"/>
    <x v="8"/>
    <x v="0"/>
    <x v="97"/>
    <x v="104"/>
    <s v="supplier@gmail.com"/>
  </r>
  <r>
    <x v="308"/>
    <x v="308"/>
    <x v="4"/>
    <x v="1"/>
    <x v="4"/>
    <x v="34"/>
    <x v="12"/>
    <x v="8"/>
    <x v="40"/>
    <x v="12"/>
    <x v="32"/>
    <x v="0"/>
    <x v="182"/>
    <x v="143"/>
    <s v="supplier@gmail.com"/>
  </r>
  <r>
    <x v="309"/>
    <x v="309"/>
    <x v="4"/>
    <x v="1"/>
    <x v="4"/>
    <x v="1"/>
    <x v="12"/>
    <x v="8"/>
    <x v="33"/>
    <x v="12"/>
    <x v="8"/>
    <x v="0"/>
    <x v="183"/>
    <x v="124"/>
    <s v="supplier@gmail.com"/>
  </r>
  <r>
    <x v="310"/>
    <x v="310"/>
    <x v="34"/>
    <x v="38"/>
    <x v="42"/>
    <x v="19"/>
    <x v="38"/>
    <x v="30"/>
    <x v="41"/>
    <x v="25"/>
    <x v="26"/>
    <x v="0"/>
    <x v="36"/>
    <x v="72"/>
    <s v="supplier@gmail.com"/>
  </r>
  <r>
    <x v="311"/>
    <x v="311"/>
    <x v="4"/>
    <x v="1"/>
    <x v="4"/>
    <x v="1"/>
    <x v="12"/>
    <x v="8"/>
    <x v="8"/>
    <x v="12"/>
    <x v="8"/>
    <x v="0"/>
    <x v="1"/>
    <x v="145"/>
    <s v="supplier@gmail.com"/>
  </r>
  <r>
    <x v="312"/>
    <x v="312"/>
    <x v="4"/>
    <x v="1"/>
    <x v="4"/>
    <x v="1"/>
    <x v="12"/>
    <x v="8"/>
    <x v="33"/>
    <x v="12"/>
    <x v="8"/>
    <x v="0"/>
    <x v="184"/>
    <x v="105"/>
    <s v="supplier@gmail.com"/>
  </r>
  <r>
    <x v="313"/>
    <x v="313"/>
    <x v="4"/>
    <x v="1"/>
    <x v="4"/>
    <x v="1"/>
    <x v="12"/>
    <x v="8"/>
    <x v="33"/>
    <x v="12"/>
    <x v="8"/>
    <x v="0"/>
    <x v="1"/>
    <x v="114"/>
    <s v="supplier@gmail.com"/>
  </r>
  <r>
    <x v="314"/>
    <x v="314"/>
    <x v="4"/>
    <x v="1"/>
    <x v="4"/>
    <x v="1"/>
    <x v="12"/>
    <x v="8"/>
    <x v="33"/>
    <x v="12"/>
    <x v="8"/>
    <x v="0"/>
    <x v="185"/>
    <x v="125"/>
    <s v="supplier@gmail.com"/>
  </r>
  <r>
    <x v="315"/>
    <x v="315"/>
    <x v="4"/>
    <x v="1"/>
    <x v="4"/>
    <x v="1"/>
    <x v="12"/>
    <x v="8"/>
    <x v="6"/>
    <x v="12"/>
    <x v="8"/>
    <x v="0"/>
    <x v="129"/>
    <x v="43"/>
    <s v="supplier@gmail.com"/>
  </r>
  <r>
    <x v="316"/>
    <x v="316"/>
    <x v="4"/>
    <x v="1"/>
    <x v="4"/>
    <x v="1"/>
    <x v="12"/>
    <x v="8"/>
    <x v="8"/>
    <x v="12"/>
    <x v="8"/>
    <x v="0"/>
    <x v="186"/>
    <x v="51"/>
    <s v="supplier@gmail.com"/>
  </r>
  <r>
    <x v="317"/>
    <x v="317"/>
    <x v="4"/>
    <x v="1"/>
    <x v="4"/>
    <x v="1"/>
    <x v="12"/>
    <x v="8"/>
    <x v="33"/>
    <x v="12"/>
    <x v="8"/>
    <x v="0"/>
    <x v="1"/>
    <x v="152"/>
    <s v="supplier@gmail.com"/>
  </r>
  <r>
    <x v="318"/>
    <x v="318"/>
    <x v="4"/>
    <x v="1"/>
    <x v="4"/>
    <x v="1"/>
    <x v="12"/>
    <x v="8"/>
    <x v="8"/>
    <x v="12"/>
    <x v="8"/>
    <x v="0"/>
    <x v="178"/>
    <x v="35"/>
    <s v="supplier@gmail.com"/>
  </r>
  <r>
    <x v="319"/>
    <x v="319"/>
    <x v="4"/>
    <x v="1"/>
    <x v="4"/>
    <x v="1"/>
    <x v="12"/>
    <x v="8"/>
    <x v="33"/>
    <x v="12"/>
    <x v="8"/>
    <x v="0"/>
    <x v="1"/>
    <x v="134"/>
    <s v="supplier@gmail.com"/>
  </r>
  <r>
    <x v="320"/>
    <x v="320"/>
    <x v="4"/>
    <x v="1"/>
    <x v="4"/>
    <x v="1"/>
    <x v="12"/>
    <x v="8"/>
    <x v="8"/>
    <x v="12"/>
    <x v="8"/>
    <x v="0"/>
    <x v="1"/>
    <x v="31"/>
    <s v="supplier@gmail.com"/>
  </r>
  <r>
    <x v="321"/>
    <x v="321"/>
    <x v="4"/>
    <x v="1"/>
    <x v="4"/>
    <x v="1"/>
    <x v="12"/>
    <x v="8"/>
    <x v="8"/>
    <x v="12"/>
    <x v="8"/>
    <x v="0"/>
    <x v="1"/>
    <x v="139"/>
    <s v="supplier@gmail.com"/>
  </r>
  <r>
    <x v="322"/>
    <x v="322"/>
    <x v="4"/>
    <x v="1"/>
    <x v="4"/>
    <x v="1"/>
    <x v="12"/>
    <x v="8"/>
    <x v="8"/>
    <x v="12"/>
    <x v="8"/>
    <x v="0"/>
    <x v="46"/>
    <x v="8"/>
    <s v="supplier@gmail.com"/>
  </r>
  <r>
    <x v="323"/>
    <x v="323"/>
    <x v="4"/>
    <x v="1"/>
    <x v="4"/>
    <x v="1"/>
    <x v="12"/>
    <x v="8"/>
    <x v="8"/>
    <x v="12"/>
    <x v="8"/>
    <x v="0"/>
    <x v="1"/>
    <x v="123"/>
    <s v="supplier@gmail.com"/>
  </r>
  <r>
    <x v="324"/>
    <x v="324"/>
    <x v="4"/>
    <x v="1"/>
    <x v="4"/>
    <x v="1"/>
    <x v="12"/>
    <x v="8"/>
    <x v="8"/>
    <x v="12"/>
    <x v="8"/>
    <x v="0"/>
    <x v="187"/>
    <x v="83"/>
    <s v="supplier@gmail.com"/>
  </r>
  <r>
    <x v="325"/>
    <x v="325"/>
    <x v="11"/>
    <x v="11"/>
    <x v="12"/>
    <x v="10"/>
    <x v="3"/>
    <x v="13"/>
    <x v="13"/>
    <x v="3"/>
    <x v="13"/>
    <x v="0"/>
    <x v="188"/>
    <x v="137"/>
    <s v="supplier@gmail.com"/>
  </r>
  <r>
    <x v="326"/>
    <x v="326"/>
    <x v="7"/>
    <x v="8"/>
    <x v="7"/>
    <x v="6"/>
    <x v="8"/>
    <x v="9"/>
    <x v="9"/>
    <x v="16"/>
    <x v="9"/>
    <x v="0"/>
    <x v="7"/>
    <x v="39"/>
    <s v="supplier@gmail.com"/>
  </r>
  <r>
    <x v="327"/>
    <x v="327"/>
    <x v="7"/>
    <x v="1"/>
    <x v="4"/>
    <x v="1"/>
    <x v="8"/>
    <x v="8"/>
    <x v="8"/>
    <x v="1"/>
    <x v="8"/>
    <x v="0"/>
    <x v="1"/>
    <x v="69"/>
    <s v="supplier@gmail.com"/>
  </r>
  <r>
    <x v="328"/>
    <x v="328"/>
    <x v="28"/>
    <x v="5"/>
    <x v="8"/>
    <x v="7"/>
    <x v="39"/>
    <x v="10"/>
    <x v="10"/>
    <x v="7"/>
    <x v="10"/>
    <x v="0"/>
    <x v="122"/>
    <x v="39"/>
    <s v="supplier@gmail.com"/>
  </r>
  <r>
    <x v="329"/>
    <x v="329"/>
    <x v="7"/>
    <x v="1"/>
    <x v="4"/>
    <x v="1"/>
    <x v="8"/>
    <x v="8"/>
    <x v="8"/>
    <x v="1"/>
    <x v="8"/>
    <x v="0"/>
    <x v="189"/>
    <x v="45"/>
    <s v="supplier@gmail.com"/>
  </r>
  <r>
    <x v="330"/>
    <x v="330"/>
    <x v="4"/>
    <x v="1"/>
    <x v="4"/>
    <x v="36"/>
    <x v="12"/>
    <x v="8"/>
    <x v="42"/>
    <x v="12"/>
    <x v="33"/>
    <x v="0"/>
    <x v="1"/>
    <x v="157"/>
    <s v="supplier@gmail.com"/>
  </r>
  <r>
    <x v="331"/>
    <x v="331"/>
    <x v="28"/>
    <x v="5"/>
    <x v="8"/>
    <x v="7"/>
    <x v="39"/>
    <x v="10"/>
    <x v="10"/>
    <x v="7"/>
    <x v="10"/>
    <x v="0"/>
    <x v="190"/>
    <x v="158"/>
    <s v="supplier@gmail.com"/>
  </r>
  <r>
    <x v="332"/>
    <x v="332"/>
    <x v="18"/>
    <x v="1"/>
    <x v="16"/>
    <x v="19"/>
    <x v="17"/>
    <x v="18"/>
    <x v="17"/>
    <x v="19"/>
    <x v="17"/>
    <x v="0"/>
    <x v="191"/>
    <x v="159"/>
    <s v="supplier@gmail.com"/>
  </r>
  <r>
    <x v="333"/>
    <x v="333"/>
    <x v="21"/>
    <x v="31"/>
    <x v="29"/>
    <x v="42"/>
    <x v="40"/>
    <x v="44"/>
    <x v="43"/>
    <x v="36"/>
    <x v="19"/>
    <x v="0"/>
    <x v="192"/>
    <x v="103"/>
    <s v="supplier@gmail.com"/>
  </r>
  <r>
    <x v="334"/>
    <x v="334"/>
    <x v="18"/>
    <x v="1"/>
    <x v="16"/>
    <x v="19"/>
    <x v="17"/>
    <x v="18"/>
    <x v="17"/>
    <x v="19"/>
    <x v="17"/>
    <x v="0"/>
    <x v="193"/>
    <x v="59"/>
    <s v="supplier@gmail.com"/>
  </r>
  <r>
    <x v="335"/>
    <x v="335"/>
    <x v="32"/>
    <x v="32"/>
    <x v="30"/>
    <x v="16"/>
    <x v="17"/>
    <x v="30"/>
    <x v="31"/>
    <x v="19"/>
    <x v="17"/>
    <x v="0"/>
    <x v="145"/>
    <x v="160"/>
    <s v="supplier@gmail.com"/>
  </r>
  <r>
    <x v="336"/>
    <x v="336"/>
    <x v="4"/>
    <x v="1"/>
    <x v="4"/>
    <x v="1"/>
    <x v="12"/>
    <x v="8"/>
    <x v="8"/>
    <x v="12"/>
    <x v="8"/>
    <x v="0"/>
    <x v="1"/>
    <x v="161"/>
    <s v="supplier@gmail.com"/>
  </r>
  <r>
    <x v="337"/>
    <x v="337"/>
    <x v="1"/>
    <x v="1"/>
    <x v="43"/>
    <x v="43"/>
    <x v="41"/>
    <x v="45"/>
    <x v="8"/>
    <x v="37"/>
    <x v="34"/>
    <x v="0"/>
    <x v="1"/>
    <x v="14"/>
    <s v="supplier@gmail.com"/>
  </r>
  <r>
    <x v="338"/>
    <x v="338"/>
    <x v="41"/>
    <x v="39"/>
    <x v="44"/>
    <x v="44"/>
    <x v="42"/>
    <x v="43"/>
    <x v="44"/>
    <x v="38"/>
    <x v="34"/>
    <x v="0"/>
    <x v="1"/>
    <x v="127"/>
    <s v="supplier@gmail.com"/>
  </r>
  <r>
    <x v="339"/>
    <x v="339"/>
    <x v="4"/>
    <x v="40"/>
    <x v="4"/>
    <x v="43"/>
    <x v="43"/>
    <x v="8"/>
    <x v="8"/>
    <x v="39"/>
    <x v="8"/>
    <x v="0"/>
    <x v="194"/>
    <x v="162"/>
    <s v="supplier@gmail.com"/>
  </r>
  <r>
    <x v="340"/>
    <x v="340"/>
    <x v="42"/>
    <x v="1"/>
    <x v="4"/>
    <x v="1"/>
    <x v="14"/>
    <x v="8"/>
    <x v="8"/>
    <x v="12"/>
    <x v="8"/>
    <x v="0"/>
    <x v="1"/>
    <x v="133"/>
    <s v="supplier@gmail.com"/>
  </r>
  <r>
    <x v="341"/>
    <x v="341"/>
    <x v="4"/>
    <x v="1"/>
    <x v="4"/>
    <x v="1"/>
    <x v="12"/>
    <x v="8"/>
    <x v="8"/>
    <x v="12"/>
    <x v="8"/>
    <x v="0"/>
    <x v="36"/>
    <x v="149"/>
    <s v="supplier@gmail.com"/>
  </r>
  <r>
    <x v="342"/>
    <x v="342"/>
    <x v="4"/>
    <x v="1"/>
    <x v="4"/>
    <x v="1"/>
    <x v="14"/>
    <x v="8"/>
    <x v="8"/>
    <x v="12"/>
    <x v="8"/>
    <x v="0"/>
    <x v="91"/>
    <x v="115"/>
    <s v="supplier@gmail.com"/>
  </r>
  <r>
    <x v="343"/>
    <x v="343"/>
    <x v="4"/>
    <x v="1"/>
    <x v="4"/>
    <x v="1"/>
    <x v="12"/>
    <x v="8"/>
    <x v="8"/>
    <x v="12"/>
    <x v="8"/>
    <x v="0"/>
    <x v="132"/>
    <x v="28"/>
    <s v="supplier@gmail.com"/>
  </r>
  <r>
    <x v="344"/>
    <x v="344"/>
    <x v="16"/>
    <x v="1"/>
    <x v="34"/>
    <x v="15"/>
    <x v="27"/>
    <x v="32"/>
    <x v="26"/>
    <x v="0"/>
    <x v="0"/>
    <x v="0"/>
    <x v="195"/>
    <x v="123"/>
    <s v="supplier@gmail.com"/>
  </r>
  <r>
    <x v="345"/>
    <x v="345"/>
    <x v="16"/>
    <x v="1"/>
    <x v="34"/>
    <x v="15"/>
    <x v="27"/>
    <x v="32"/>
    <x v="26"/>
    <x v="0"/>
    <x v="0"/>
    <x v="0"/>
    <x v="196"/>
    <x v="63"/>
    <s v="supplier@gmail.com"/>
  </r>
  <r>
    <x v="346"/>
    <x v="346"/>
    <x v="16"/>
    <x v="1"/>
    <x v="34"/>
    <x v="15"/>
    <x v="27"/>
    <x v="32"/>
    <x v="26"/>
    <x v="0"/>
    <x v="0"/>
    <x v="0"/>
    <x v="1"/>
    <x v="163"/>
    <s v="supplier@gmail.com"/>
  </r>
  <r>
    <x v="347"/>
    <x v="347"/>
    <x v="1"/>
    <x v="1"/>
    <x v="43"/>
    <x v="43"/>
    <x v="41"/>
    <x v="45"/>
    <x v="8"/>
    <x v="37"/>
    <x v="34"/>
    <x v="0"/>
    <x v="1"/>
    <x v="74"/>
    <s v="supplier@gmail.com"/>
  </r>
  <r>
    <x v="348"/>
    <x v="348"/>
    <x v="41"/>
    <x v="39"/>
    <x v="44"/>
    <x v="44"/>
    <x v="42"/>
    <x v="43"/>
    <x v="44"/>
    <x v="38"/>
    <x v="34"/>
    <x v="0"/>
    <x v="197"/>
    <x v="28"/>
    <s v="supplier@gmail.com"/>
  </r>
  <r>
    <x v="349"/>
    <x v="349"/>
    <x v="4"/>
    <x v="40"/>
    <x v="4"/>
    <x v="43"/>
    <x v="43"/>
    <x v="8"/>
    <x v="8"/>
    <x v="39"/>
    <x v="8"/>
    <x v="0"/>
    <x v="159"/>
    <x v="156"/>
    <s v="supplier@gmail.com"/>
  </r>
  <r>
    <x v="350"/>
    <x v="350"/>
    <x v="42"/>
    <x v="1"/>
    <x v="4"/>
    <x v="1"/>
    <x v="14"/>
    <x v="8"/>
    <x v="8"/>
    <x v="12"/>
    <x v="8"/>
    <x v="0"/>
    <x v="198"/>
    <x v="133"/>
    <s v="supplier@gmail.com"/>
  </r>
  <r>
    <x v="351"/>
    <x v="351"/>
    <x v="1"/>
    <x v="1"/>
    <x v="43"/>
    <x v="43"/>
    <x v="41"/>
    <x v="45"/>
    <x v="8"/>
    <x v="37"/>
    <x v="34"/>
    <x v="0"/>
    <x v="199"/>
    <x v="164"/>
    <s v="supplier@gmail.com"/>
  </r>
  <r>
    <x v="352"/>
    <x v="352"/>
    <x v="41"/>
    <x v="39"/>
    <x v="44"/>
    <x v="44"/>
    <x v="42"/>
    <x v="43"/>
    <x v="44"/>
    <x v="38"/>
    <x v="34"/>
    <x v="0"/>
    <x v="200"/>
    <x v="21"/>
    <s v="supplier@gmail.com"/>
  </r>
  <r>
    <x v="353"/>
    <x v="353"/>
    <x v="4"/>
    <x v="40"/>
    <x v="4"/>
    <x v="43"/>
    <x v="43"/>
    <x v="8"/>
    <x v="8"/>
    <x v="39"/>
    <x v="8"/>
    <x v="0"/>
    <x v="1"/>
    <x v="165"/>
    <s v="supplier@gmail.com"/>
  </r>
  <r>
    <x v="354"/>
    <x v="354"/>
    <x v="4"/>
    <x v="1"/>
    <x v="4"/>
    <x v="1"/>
    <x v="10"/>
    <x v="8"/>
    <x v="8"/>
    <x v="39"/>
    <x v="35"/>
    <x v="0"/>
    <x v="201"/>
    <x v="124"/>
    <s v="supplier@gmail.com"/>
  </r>
  <r>
    <x v="355"/>
    <x v="355"/>
    <x v="1"/>
    <x v="1"/>
    <x v="43"/>
    <x v="43"/>
    <x v="41"/>
    <x v="45"/>
    <x v="8"/>
    <x v="37"/>
    <x v="34"/>
    <x v="0"/>
    <x v="1"/>
    <x v="91"/>
    <s v="supplier@gmail.com"/>
  </r>
  <r>
    <x v="356"/>
    <x v="356"/>
    <x v="41"/>
    <x v="39"/>
    <x v="44"/>
    <x v="44"/>
    <x v="42"/>
    <x v="43"/>
    <x v="44"/>
    <x v="38"/>
    <x v="34"/>
    <x v="0"/>
    <x v="202"/>
    <x v="135"/>
    <s v="supplier@gmail.com"/>
  </r>
  <r>
    <x v="357"/>
    <x v="357"/>
    <x v="4"/>
    <x v="40"/>
    <x v="4"/>
    <x v="43"/>
    <x v="43"/>
    <x v="8"/>
    <x v="8"/>
    <x v="39"/>
    <x v="8"/>
    <x v="0"/>
    <x v="203"/>
    <x v="159"/>
    <s v="supplier@gmail.com"/>
  </r>
  <r>
    <x v="358"/>
    <x v="358"/>
    <x v="42"/>
    <x v="1"/>
    <x v="4"/>
    <x v="1"/>
    <x v="14"/>
    <x v="8"/>
    <x v="8"/>
    <x v="12"/>
    <x v="8"/>
    <x v="0"/>
    <x v="204"/>
    <x v="92"/>
    <s v="supplier@gmail.com"/>
  </r>
  <r>
    <x v="359"/>
    <x v="359"/>
    <x v="43"/>
    <x v="19"/>
    <x v="45"/>
    <x v="29"/>
    <x v="44"/>
    <x v="46"/>
    <x v="45"/>
    <x v="30"/>
    <x v="36"/>
    <x v="0"/>
    <x v="205"/>
    <x v="29"/>
    <s v="supplier@gmail.com"/>
  </r>
  <r>
    <x v="360"/>
    <x v="360"/>
    <x v="4"/>
    <x v="1"/>
    <x v="4"/>
    <x v="1"/>
    <x v="12"/>
    <x v="8"/>
    <x v="8"/>
    <x v="12"/>
    <x v="8"/>
    <x v="0"/>
    <x v="38"/>
    <x v="20"/>
    <s v="supplier@gmail.com"/>
  </r>
  <r>
    <x v="361"/>
    <x v="361"/>
    <x v="4"/>
    <x v="1"/>
    <x v="4"/>
    <x v="40"/>
    <x v="9"/>
    <x v="6"/>
    <x v="8"/>
    <x v="2"/>
    <x v="8"/>
    <x v="0"/>
    <x v="206"/>
    <x v="95"/>
    <s v="supplier@gmail.com"/>
  </r>
  <r>
    <x v="362"/>
    <x v="362"/>
    <x v="4"/>
    <x v="1"/>
    <x v="4"/>
    <x v="1"/>
    <x v="14"/>
    <x v="12"/>
    <x v="8"/>
    <x v="12"/>
    <x v="8"/>
    <x v="0"/>
    <x v="120"/>
    <x v="132"/>
    <s v="supplier@gmail.com"/>
  </r>
  <r>
    <x v="363"/>
    <x v="363"/>
    <x v="4"/>
    <x v="1"/>
    <x v="4"/>
    <x v="1"/>
    <x v="12"/>
    <x v="8"/>
    <x v="8"/>
    <x v="34"/>
    <x v="8"/>
    <x v="0"/>
    <x v="146"/>
    <x v="90"/>
    <s v="supplier@gmail.com"/>
  </r>
  <r>
    <x v="364"/>
    <x v="364"/>
    <x v="4"/>
    <x v="1"/>
    <x v="4"/>
    <x v="1"/>
    <x v="12"/>
    <x v="8"/>
    <x v="8"/>
    <x v="12"/>
    <x v="8"/>
    <x v="0"/>
    <x v="207"/>
    <x v="111"/>
    <s v="supplier@gmail.com"/>
  </r>
  <r>
    <x v="365"/>
    <x v="365"/>
    <x v="0"/>
    <x v="0"/>
    <x v="0"/>
    <x v="0"/>
    <x v="0"/>
    <x v="32"/>
    <x v="0"/>
    <x v="0"/>
    <x v="0"/>
    <x v="0"/>
    <x v="151"/>
    <x v="144"/>
    <s v="supplier@gmail.com"/>
  </r>
  <r>
    <x v="366"/>
    <x v="366"/>
    <x v="44"/>
    <x v="15"/>
    <x v="15"/>
    <x v="15"/>
    <x v="27"/>
    <x v="18"/>
    <x v="26"/>
    <x v="19"/>
    <x v="17"/>
    <x v="0"/>
    <x v="208"/>
    <x v="166"/>
    <s v="supplier@gmail.com"/>
  </r>
  <r>
    <x v="367"/>
    <x v="367"/>
    <x v="45"/>
    <x v="41"/>
    <x v="46"/>
    <x v="45"/>
    <x v="45"/>
    <x v="47"/>
    <x v="46"/>
    <x v="40"/>
    <x v="37"/>
    <x v="0"/>
    <x v="38"/>
    <x v="167"/>
    <s v="supplier@gmail.com"/>
  </r>
  <r>
    <x v="368"/>
    <x v="368"/>
    <x v="4"/>
    <x v="1"/>
    <x v="4"/>
    <x v="1"/>
    <x v="12"/>
    <x v="8"/>
    <x v="8"/>
    <x v="12"/>
    <x v="8"/>
    <x v="0"/>
    <x v="107"/>
    <x v="149"/>
    <s v="supplier@gmail.com"/>
  </r>
  <r>
    <x v="369"/>
    <x v="369"/>
    <x v="4"/>
    <x v="1"/>
    <x v="4"/>
    <x v="1"/>
    <x v="12"/>
    <x v="8"/>
    <x v="8"/>
    <x v="12"/>
    <x v="8"/>
    <x v="0"/>
    <x v="1"/>
    <x v="28"/>
    <s v="supplier@gmail.com"/>
  </r>
  <r>
    <x v="370"/>
    <x v="370"/>
    <x v="4"/>
    <x v="1"/>
    <x v="4"/>
    <x v="1"/>
    <x v="12"/>
    <x v="8"/>
    <x v="8"/>
    <x v="12"/>
    <x v="8"/>
    <x v="0"/>
    <x v="124"/>
    <x v="128"/>
    <s v="supplier@gmail.com"/>
  </r>
  <r>
    <x v="371"/>
    <x v="371"/>
    <x v="32"/>
    <x v="32"/>
    <x v="30"/>
    <x v="16"/>
    <x v="17"/>
    <x v="30"/>
    <x v="31"/>
    <x v="19"/>
    <x v="17"/>
    <x v="0"/>
    <x v="209"/>
    <x v="152"/>
    <s v="supplier@gmail.com"/>
  </r>
  <r>
    <x v="372"/>
    <x v="372"/>
    <x v="36"/>
    <x v="1"/>
    <x v="35"/>
    <x v="0"/>
    <x v="0"/>
    <x v="0"/>
    <x v="0"/>
    <x v="12"/>
    <x v="8"/>
    <x v="0"/>
    <x v="129"/>
    <x v="151"/>
    <s v="supplier@gmail.com"/>
  </r>
  <r>
    <x v="373"/>
    <x v="373"/>
    <x v="36"/>
    <x v="1"/>
    <x v="35"/>
    <x v="0"/>
    <x v="0"/>
    <x v="0"/>
    <x v="0"/>
    <x v="12"/>
    <x v="8"/>
    <x v="0"/>
    <x v="161"/>
    <x v="168"/>
    <s v="supplier@gmail.com"/>
  </r>
  <r>
    <x v="374"/>
    <x v="374"/>
    <x v="4"/>
    <x v="32"/>
    <x v="35"/>
    <x v="15"/>
    <x v="27"/>
    <x v="32"/>
    <x v="25"/>
    <x v="12"/>
    <x v="8"/>
    <x v="0"/>
    <x v="134"/>
    <x v="51"/>
    <s v="supplier@gmail.com"/>
  </r>
  <r>
    <x v="375"/>
    <x v="375"/>
    <x v="4"/>
    <x v="1"/>
    <x v="4"/>
    <x v="1"/>
    <x v="12"/>
    <x v="8"/>
    <x v="8"/>
    <x v="12"/>
    <x v="8"/>
    <x v="0"/>
    <x v="160"/>
    <x v="130"/>
    <s v="supplier@gmail.com"/>
  </r>
  <r>
    <x v="376"/>
    <x v="376"/>
    <x v="4"/>
    <x v="1"/>
    <x v="4"/>
    <x v="1"/>
    <x v="12"/>
    <x v="8"/>
    <x v="8"/>
    <x v="12"/>
    <x v="8"/>
    <x v="0"/>
    <x v="210"/>
    <x v="63"/>
    <s v="supplier@gmail.com"/>
  </r>
  <r>
    <x v="377"/>
    <x v="377"/>
    <x v="32"/>
    <x v="32"/>
    <x v="30"/>
    <x v="16"/>
    <x v="17"/>
    <x v="30"/>
    <x v="31"/>
    <x v="19"/>
    <x v="17"/>
    <x v="0"/>
    <x v="211"/>
    <x v="169"/>
    <s v="supplier@gmail.com"/>
  </r>
  <r>
    <x v="378"/>
    <x v="378"/>
    <x v="4"/>
    <x v="1"/>
    <x v="4"/>
    <x v="1"/>
    <x v="12"/>
    <x v="8"/>
    <x v="8"/>
    <x v="12"/>
    <x v="8"/>
    <x v="0"/>
    <x v="212"/>
    <x v="32"/>
    <s v="supplier@gmail.com"/>
  </r>
  <r>
    <x v="379"/>
    <x v="379"/>
    <x v="4"/>
    <x v="32"/>
    <x v="35"/>
    <x v="15"/>
    <x v="27"/>
    <x v="32"/>
    <x v="25"/>
    <x v="12"/>
    <x v="8"/>
    <x v="0"/>
    <x v="32"/>
    <x v="169"/>
    <s v="supplier@gmail.com"/>
  </r>
  <r>
    <x v="380"/>
    <x v="380"/>
    <x v="30"/>
    <x v="1"/>
    <x v="6"/>
    <x v="33"/>
    <x v="18"/>
    <x v="26"/>
    <x v="18"/>
    <x v="25"/>
    <x v="26"/>
    <x v="0"/>
    <x v="141"/>
    <x v="166"/>
    <s v="supplier@gmail.com"/>
  </r>
  <r>
    <x v="381"/>
    <x v="381"/>
    <x v="4"/>
    <x v="1"/>
    <x v="4"/>
    <x v="1"/>
    <x v="13"/>
    <x v="8"/>
    <x v="33"/>
    <x v="12"/>
    <x v="8"/>
    <x v="0"/>
    <x v="213"/>
    <x v="55"/>
    <s v="supplier@gmail.com"/>
  </r>
  <r>
    <x v="382"/>
    <x v="382"/>
    <x v="4"/>
    <x v="1"/>
    <x v="4"/>
    <x v="1"/>
    <x v="12"/>
    <x v="8"/>
    <x v="8"/>
    <x v="34"/>
    <x v="8"/>
    <x v="0"/>
    <x v="214"/>
    <x v="39"/>
    <s v="supplier@gmail.com"/>
  </r>
  <r>
    <x v="383"/>
    <x v="383"/>
    <x v="4"/>
    <x v="42"/>
    <x v="4"/>
    <x v="1"/>
    <x v="29"/>
    <x v="8"/>
    <x v="47"/>
    <x v="12"/>
    <x v="12"/>
    <x v="0"/>
    <x v="134"/>
    <x v="59"/>
    <s v="supplier@gmail.com"/>
  </r>
  <r>
    <x v="384"/>
    <x v="384"/>
    <x v="4"/>
    <x v="1"/>
    <x v="4"/>
    <x v="1"/>
    <x v="12"/>
    <x v="8"/>
    <x v="8"/>
    <x v="12"/>
    <x v="8"/>
    <x v="0"/>
    <x v="215"/>
    <x v="109"/>
    <s v="supplier@gmail.com"/>
  </r>
  <r>
    <x v="385"/>
    <x v="385"/>
    <x v="4"/>
    <x v="1"/>
    <x v="4"/>
    <x v="1"/>
    <x v="14"/>
    <x v="8"/>
    <x v="8"/>
    <x v="12"/>
    <x v="8"/>
    <x v="0"/>
    <x v="216"/>
    <x v="106"/>
    <s v="supplier@gmail.com"/>
  </r>
  <r>
    <x v="386"/>
    <x v="386"/>
    <x v="46"/>
    <x v="43"/>
    <x v="47"/>
    <x v="46"/>
    <x v="46"/>
    <x v="48"/>
    <x v="48"/>
    <x v="41"/>
    <x v="38"/>
    <x v="0"/>
    <x v="13"/>
    <x v="98"/>
    <s v="supplier@gmail.com"/>
  </r>
  <r>
    <x v="387"/>
    <x v="387"/>
    <x v="4"/>
    <x v="1"/>
    <x v="4"/>
    <x v="1"/>
    <x v="12"/>
    <x v="12"/>
    <x v="8"/>
    <x v="12"/>
    <x v="8"/>
    <x v="0"/>
    <x v="217"/>
    <x v="23"/>
    <s v="supplier@gmail.com"/>
  </r>
  <r>
    <x v="388"/>
    <x v="388"/>
    <x v="4"/>
    <x v="7"/>
    <x v="4"/>
    <x v="1"/>
    <x v="29"/>
    <x v="8"/>
    <x v="8"/>
    <x v="12"/>
    <x v="8"/>
    <x v="0"/>
    <x v="218"/>
    <x v="156"/>
    <s v="supplier@gmail.com"/>
  </r>
  <r>
    <x v="389"/>
    <x v="389"/>
    <x v="4"/>
    <x v="1"/>
    <x v="4"/>
    <x v="1"/>
    <x v="12"/>
    <x v="8"/>
    <x v="8"/>
    <x v="12"/>
    <x v="8"/>
    <x v="0"/>
    <x v="86"/>
    <x v="101"/>
    <s v="supplier@gmail.com"/>
  </r>
  <r>
    <x v="390"/>
    <x v="390"/>
    <x v="0"/>
    <x v="0"/>
    <x v="0"/>
    <x v="0"/>
    <x v="0"/>
    <x v="32"/>
    <x v="0"/>
    <x v="0"/>
    <x v="0"/>
    <x v="0"/>
    <x v="219"/>
    <x v="170"/>
    <s v="supplier@gmail.com"/>
  </r>
  <r>
    <x v="391"/>
    <x v="391"/>
    <x v="0"/>
    <x v="0"/>
    <x v="0"/>
    <x v="0"/>
    <x v="0"/>
    <x v="32"/>
    <x v="0"/>
    <x v="0"/>
    <x v="0"/>
    <x v="0"/>
    <x v="159"/>
    <x v="171"/>
    <s v="supplier@gmail.com"/>
  </r>
  <r>
    <x v="392"/>
    <x v="392"/>
    <x v="4"/>
    <x v="1"/>
    <x v="4"/>
    <x v="1"/>
    <x v="12"/>
    <x v="8"/>
    <x v="25"/>
    <x v="42"/>
    <x v="31"/>
    <x v="0"/>
    <x v="220"/>
    <x v="119"/>
    <s v="supplier@gmail.com"/>
  </r>
  <r>
    <x v="393"/>
    <x v="393"/>
    <x v="4"/>
    <x v="1"/>
    <x v="4"/>
    <x v="1"/>
    <x v="12"/>
    <x v="8"/>
    <x v="25"/>
    <x v="42"/>
    <x v="31"/>
    <x v="0"/>
    <x v="221"/>
    <x v="104"/>
    <s v="supplier@gmail.com"/>
  </r>
  <r>
    <x v="394"/>
    <x v="394"/>
    <x v="4"/>
    <x v="1"/>
    <x v="4"/>
    <x v="1"/>
    <x v="12"/>
    <x v="8"/>
    <x v="25"/>
    <x v="42"/>
    <x v="31"/>
    <x v="0"/>
    <x v="44"/>
    <x v="172"/>
    <s v="supplier@gmail.com"/>
  </r>
  <r>
    <x v="395"/>
    <x v="395"/>
    <x v="4"/>
    <x v="1"/>
    <x v="4"/>
    <x v="1"/>
    <x v="12"/>
    <x v="8"/>
    <x v="25"/>
    <x v="42"/>
    <x v="31"/>
    <x v="0"/>
    <x v="187"/>
    <x v="139"/>
    <s v="supplier@gmail.com"/>
  </r>
  <r>
    <x v="396"/>
    <x v="396"/>
    <x v="4"/>
    <x v="1"/>
    <x v="4"/>
    <x v="1"/>
    <x v="12"/>
    <x v="8"/>
    <x v="26"/>
    <x v="19"/>
    <x v="17"/>
    <x v="0"/>
    <x v="1"/>
    <x v="17"/>
    <s v="supplier@gmail.com"/>
  </r>
  <r>
    <x v="397"/>
    <x v="397"/>
    <x v="4"/>
    <x v="1"/>
    <x v="4"/>
    <x v="1"/>
    <x v="12"/>
    <x v="8"/>
    <x v="26"/>
    <x v="19"/>
    <x v="17"/>
    <x v="0"/>
    <x v="20"/>
    <x v="150"/>
    <s v="supplier@gmail.com"/>
  </r>
  <r>
    <x v="398"/>
    <x v="398"/>
    <x v="0"/>
    <x v="0"/>
    <x v="0"/>
    <x v="0"/>
    <x v="0"/>
    <x v="32"/>
    <x v="0"/>
    <x v="0"/>
    <x v="0"/>
    <x v="0"/>
    <x v="13"/>
    <x v="23"/>
    <s v="supplier@gmail.com"/>
  </r>
  <r>
    <x v="399"/>
    <x v="399"/>
    <x v="0"/>
    <x v="0"/>
    <x v="0"/>
    <x v="0"/>
    <x v="0"/>
    <x v="32"/>
    <x v="0"/>
    <x v="0"/>
    <x v="0"/>
    <x v="0"/>
    <x v="33"/>
    <x v="160"/>
    <s v="supplier@gmail.com"/>
  </r>
  <r>
    <x v="400"/>
    <x v="400"/>
    <x v="4"/>
    <x v="1"/>
    <x v="4"/>
    <x v="1"/>
    <x v="12"/>
    <x v="8"/>
    <x v="26"/>
    <x v="19"/>
    <x v="17"/>
    <x v="0"/>
    <x v="222"/>
    <x v="65"/>
    <s v="supplier@gmail.com"/>
  </r>
  <r>
    <x v="401"/>
    <x v="401"/>
    <x v="4"/>
    <x v="1"/>
    <x v="4"/>
    <x v="1"/>
    <x v="12"/>
    <x v="8"/>
    <x v="8"/>
    <x v="12"/>
    <x v="8"/>
    <x v="0"/>
    <x v="131"/>
    <x v="115"/>
    <s v="supplier@gmail.com"/>
  </r>
  <r>
    <x v="402"/>
    <x v="402"/>
    <x v="4"/>
    <x v="44"/>
    <x v="4"/>
    <x v="1"/>
    <x v="12"/>
    <x v="8"/>
    <x v="8"/>
    <x v="12"/>
    <x v="8"/>
    <x v="0"/>
    <x v="223"/>
    <x v="38"/>
    <s v="supplier@gmail.com"/>
  </r>
  <r>
    <x v="403"/>
    <x v="403"/>
    <x v="4"/>
    <x v="44"/>
    <x v="4"/>
    <x v="1"/>
    <x v="12"/>
    <x v="8"/>
    <x v="8"/>
    <x v="12"/>
    <x v="8"/>
    <x v="0"/>
    <x v="224"/>
    <x v="86"/>
    <s v="supplier@gmail.com"/>
  </r>
  <r>
    <x v="404"/>
    <x v="404"/>
    <x v="4"/>
    <x v="1"/>
    <x v="8"/>
    <x v="1"/>
    <x v="13"/>
    <x v="10"/>
    <x v="6"/>
    <x v="12"/>
    <x v="8"/>
    <x v="0"/>
    <x v="34"/>
    <x v="121"/>
    <s v="supplier@gmail.com"/>
  </r>
  <r>
    <x v="405"/>
    <x v="405"/>
    <x v="4"/>
    <x v="1"/>
    <x v="4"/>
    <x v="1"/>
    <x v="12"/>
    <x v="8"/>
    <x v="8"/>
    <x v="12"/>
    <x v="8"/>
    <x v="0"/>
    <x v="225"/>
    <x v="157"/>
    <s v="supplier@gmail.com"/>
  </r>
  <r>
    <x v="406"/>
    <x v="406"/>
    <x v="4"/>
    <x v="1"/>
    <x v="4"/>
    <x v="15"/>
    <x v="27"/>
    <x v="16"/>
    <x v="8"/>
    <x v="19"/>
    <x v="17"/>
    <x v="0"/>
    <x v="161"/>
    <x v="65"/>
    <s v="supplier@gmail.com"/>
  </r>
  <r>
    <x v="407"/>
    <x v="407"/>
    <x v="4"/>
    <x v="1"/>
    <x v="4"/>
    <x v="15"/>
    <x v="27"/>
    <x v="16"/>
    <x v="8"/>
    <x v="19"/>
    <x v="17"/>
    <x v="0"/>
    <x v="226"/>
    <x v="156"/>
    <s v="supplier@gmail.com"/>
  </r>
  <r>
    <x v="408"/>
    <x v="408"/>
    <x v="4"/>
    <x v="1"/>
    <x v="0"/>
    <x v="1"/>
    <x v="12"/>
    <x v="8"/>
    <x v="8"/>
    <x v="12"/>
    <x v="8"/>
    <x v="0"/>
    <x v="38"/>
    <x v="173"/>
    <s v="supplier@gmail.com"/>
  </r>
  <r>
    <x v="409"/>
    <x v="409"/>
    <x v="4"/>
    <x v="1"/>
    <x v="35"/>
    <x v="1"/>
    <x v="12"/>
    <x v="8"/>
    <x v="8"/>
    <x v="12"/>
    <x v="8"/>
    <x v="0"/>
    <x v="1"/>
    <x v="26"/>
    <s v="supplier@gmail.com"/>
  </r>
  <r>
    <x v="410"/>
    <x v="410"/>
    <x v="4"/>
    <x v="1"/>
    <x v="4"/>
    <x v="1"/>
    <x v="12"/>
    <x v="8"/>
    <x v="8"/>
    <x v="12"/>
    <x v="8"/>
    <x v="0"/>
    <x v="1"/>
    <x v="74"/>
    <s v="supplier@gmail.com"/>
  </r>
  <r>
    <x v="411"/>
    <x v="411"/>
    <x v="4"/>
    <x v="1"/>
    <x v="4"/>
    <x v="1"/>
    <x v="12"/>
    <x v="8"/>
    <x v="8"/>
    <x v="12"/>
    <x v="8"/>
    <x v="0"/>
    <x v="38"/>
    <x v="174"/>
    <s v="supplier@gmail.com"/>
  </r>
  <r>
    <x v="412"/>
    <x v="412"/>
    <x v="4"/>
    <x v="1"/>
    <x v="4"/>
    <x v="0"/>
    <x v="12"/>
    <x v="8"/>
    <x v="8"/>
    <x v="12"/>
    <x v="8"/>
    <x v="0"/>
    <x v="102"/>
    <x v="140"/>
    <s v="supplier@gmail.com"/>
  </r>
  <r>
    <x v="413"/>
    <x v="413"/>
    <x v="4"/>
    <x v="1"/>
    <x v="4"/>
    <x v="1"/>
    <x v="12"/>
    <x v="8"/>
    <x v="8"/>
    <x v="12"/>
    <x v="8"/>
    <x v="0"/>
    <x v="36"/>
    <x v="85"/>
    <s v="supplier@gmail.com"/>
  </r>
  <r>
    <x v="414"/>
    <x v="414"/>
    <x v="4"/>
    <x v="1"/>
    <x v="4"/>
    <x v="1"/>
    <x v="12"/>
    <x v="8"/>
    <x v="8"/>
    <x v="12"/>
    <x v="8"/>
    <x v="0"/>
    <x v="39"/>
    <x v="134"/>
    <s v="supplier@gmail.com"/>
  </r>
  <r>
    <x v="415"/>
    <x v="415"/>
    <x v="4"/>
    <x v="1"/>
    <x v="4"/>
    <x v="1"/>
    <x v="12"/>
    <x v="8"/>
    <x v="8"/>
    <x v="12"/>
    <x v="8"/>
    <x v="0"/>
    <x v="1"/>
    <x v="126"/>
    <s v="supplier@gmail.com"/>
  </r>
  <r>
    <x v="416"/>
    <x v="416"/>
    <x v="4"/>
    <x v="1"/>
    <x v="4"/>
    <x v="1"/>
    <x v="12"/>
    <x v="8"/>
    <x v="8"/>
    <x v="12"/>
    <x v="8"/>
    <x v="0"/>
    <x v="227"/>
    <x v="28"/>
    <s v="supplier@gmail.com"/>
  </r>
  <r>
    <x v="417"/>
    <x v="417"/>
    <x v="4"/>
    <x v="1"/>
    <x v="4"/>
    <x v="1"/>
    <x v="12"/>
    <x v="8"/>
    <x v="8"/>
    <x v="12"/>
    <x v="8"/>
    <x v="0"/>
    <x v="228"/>
    <x v="131"/>
    <s v="supplier@gmail.com"/>
  </r>
  <r>
    <x v="418"/>
    <x v="418"/>
    <x v="4"/>
    <x v="1"/>
    <x v="4"/>
    <x v="1"/>
    <x v="12"/>
    <x v="8"/>
    <x v="8"/>
    <x v="12"/>
    <x v="8"/>
    <x v="0"/>
    <x v="229"/>
    <x v="11"/>
    <s v="supplier@gmail.com"/>
  </r>
  <r>
    <x v="419"/>
    <x v="419"/>
    <x v="4"/>
    <x v="1"/>
    <x v="4"/>
    <x v="1"/>
    <x v="12"/>
    <x v="8"/>
    <x v="8"/>
    <x v="12"/>
    <x v="8"/>
    <x v="0"/>
    <x v="1"/>
    <x v="175"/>
    <s v="supplier@gmail.com"/>
  </r>
  <r>
    <x v="420"/>
    <x v="420"/>
    <x v="4"/>
    <x v="1"/>
    <x v="4"/>
    <x v="1"/>
    <x v="12"/>
    <x v="8"/>
    <x v="8"/>
    <x v="12"/>
    <x v="8"/>
    <x v="0"/>
    <x v="1"/>
    <x v="64"/>
    <s v="supplier@gmail.com"/>
  </r>
  <r>
    <x v="421"/>
    <x v="421"/>
    <x v="4"/>
    <x v="1"/>
    <x v="4"/>
    <x v="1"/>
    <x v="12"/>
    <x v="8"/>
    <x v="8"/>
    <x v="12"/>
    <x v="8"/>
    <x v="0"/>
    <x v="1"/>
    <x v="67"/>
    <s v="supplier@gmail.com"/>
  </r>
  <r>
    <x v="422"/>
    <x v="422"/>
    <x v="4"/>
    <x v="1"/>
    <x v="4"/>
    <x v="1"/>
    <x v="12"/>
    <x v="8"/>
    <x v="8"/>
    <x v="12"/>
    <x v="8"/>
    <x v="0"/>
    <x v="102"/>
    <x v="58"/>
    <s v="supplier@gmail.com"/>
  </r>
  <r>
    <x v="423"/>
    <x v="423"/>
    <x v="4"/>
    <x v="1"/>
    <x v="4"/>
    <x v="1"/>
    <x v="12"/>
    <x v="8"/>
    <x v="8"/>
    <x v="12"/>
    <x v="8"/>
    <x v="0"/>
    <x v="196"/>
    <x v="10"/>
    <s v="supplier@gmail.com"/>
  </r>
  <r>
    <x v="424"/>
    <x v="424"/>
    <x v="4"/>
    <x v="1"/>
    <x v="35"/>
    <x v="1"/>
    <x v="0"/>
    <x v="8"/>
    <x v="8"/>
    <x v="12"/>
    <x v="8"/>
    <x v="0"/>
    <x v="36"/>
    <x v="123"/>
    <s v="supplier@gmail.com"/>
  </r>
  <r>
    <x v="425"/>
    <x v="425"/>
    <x v="4"/>
    <x v="1"/>
    <x v="35"/>
    <x v="0"/>
    <x v="12"/>
    <x v="8"/>
    <x v="0"/>
    <x v="43"/>
    <x v="8"/>
    <x v="0"/>
    <x v="30"/>
    <x v="54"/>
    <s v="supplier@gmail.com"/>
  </r>
  <r>
    <x v="426"/>
    <x v="426"/>
    <x v="4"/>
    <x v="1"/>
    <x v="4"/>
    <x v="1"/>
    <x v="12"/>
    <x v="8"/>
    <x v="8"/>
    <x v="12"/>
    <x v="8"/>
    <x v="0"/>
    <x v="39"/>
    <x v="49"/>
    <s v="supplier@gmail.com"/>
  </r>
  <r>
    <x v="427"/>
    <x v="427"/>
    <x v="36"/>
    <x v="1"/>
    <x v="4"/>
    <x v="1"/>
    <x v="23"/>
    <x v="8"/>
    <x v="8"/>
    <x v="12"/>
    <x v="8"/>
    <x v="0"/>
    <x v="1"/>
    <x v="148"/>
    <s v="supplier@gmail.com"/>
  </r>
  <r>
    <x v="428"/>
    <x v="428"/>
    <x v="4"/>
    <x v="1"/>
    <x v="4"/>
    <x v="1"/>
    <x v="12"/>
    <x v="8"/>
    <x v="8"/>
    <x v="12"/>
    <x v="8"/>
    <x v="0"/>
    <x v="102"/>
    <x v="176"/>
    <s v="supplier@gmail.com"/>
  </r>
  <r>
    <x v="429"/>
    <x v="429"/>
    <x v="4"/>
    <x v="1"/>
    <x v="0"/>
    <x v="1"/>
    <x v="12"/>
    <x v="8"/>
    <x v="8"/>
    <x v="12"/>
    <x v="8"/>
    <x v="0"/>
    <x v="226"/>
    <x v="138"/>
    <s v="supplier@gmail.com"/>
  </r>
  <r>
    <x v="430"/>
    <x v="430"/>
    <x v="4"/>
    <x v="1"/>
    <x v="4"/>
    <x v="1"/>
    <x v="12"/>
    <x v="8"/>
    <x v="8"/>
    <x v="12"/>
    <x v="8"/>
    <x v="0"/>
    <x v="1"/>
    <x v="127"/>
    <s v="supplier@gmail.com"/>
  </r>
  <r>
    <x v="431"/>
    <x v="431"/>
    <x v="4"/>
    <x v="1"/>
    <x v="35"/>
    <x v="1"/>
    <x v="12"/>
    <x v="8"/>
    <x v="8"/>
    <x v="12"/>
    <x v="8"/>
    <x v="0"/>
    <x v="1"/>
    <x v="36"/>
    <s v="supplier@gmail.com"/>
  </r>
  <r>
    <x v="432"/>
    <x v="432"/>
    <x v="4"/>
    <x v="1"/>
    <x v="4"/>
    <x v="1"/>
    <x v="12"/>
    <x v="8"/>
    <x v="8"/>
    <x v="12"/>
    <x v="8"/>
    <x v="0"/>
    <x v="1"/>
    <x v="22"/>
    <s v="supplier@gmail.com"/>
  </r>
  <r>
    <x v="433"/>
    <x v="433"/>
    <x v="4"/>
    <x v="1"/>
    <x v="4"/>
    <x v="1"/>
    <x v="12"/>
    <x v="8"/>
    <x v="8"/>
    <x v="12"/>
    <x v="8"/>
    <x v="0"/>
    <x v="1"/>
    <x v="98"/>
    <s v="supplier@gmail.com"/>
  </r>
  <r>
    <x v="434"/>
    <x v="434"/>
    <x v="4"/>
    <x v="1"/>
    <x v="4"/>
    <x v="1"/>
    <x v="12"/>
    <x v="8"/>
    <x v="8"/>
    <x v="12"/>
    <x v="8"/>
    <x v="0"/>
    <x v="1"/>
    <x v="22"/>
    <s v="supplier@gmail.com"/>
  </r>
  <r>
    <x v="435"/>
    <x v="435"/>
    <x v="19"/>
    <x v="18"/>
    <x v="19"/>
    <x v="18"/>
    <x v="16"/>
    <x v="17"/>
    <x v="16"/>
    <x v="18"/>
    <x v="16"/>
    <x v="0"/>
    <x v="1"/>
    <x v="129"/>
    <s v="supplier@gmail.com"/>
  </r>
  <r>
    <x v="436"/>
    <x v="436"/>
    <x v="47"/>
    <x v="45"/>
    <x v="48"/>
    <x v="47"/>
    <x v="47"/>
    <x v="49"/>
    <x v="49"/>
    <x v="44"/>
    <x v="39"/>
    <x v="0"/>
    <x v="1"/>
    <x v="149"/>
    <s v="supplier@gmail.com"/>
  </r>
  <r>
    <x v="437"/>
    <x v="437"/>
    <x v="47"/>
    <x v="46"/>
    <x v="48"/>
    <x v="47"/>
    <x v="47"/>
    <x v="49"/>
    <x v="49"/>
    <x v="44"/>
    <x v="40"/>
    <x v="0"/>
    <x v="230"/>
    <x v="86"/>
    <s v="supplier@gmail.com"/>
  </r>
  <r>
    <x v="438"/>
    <x v="438"/>
    <x v="48"/>
    <x v="42"/>
    <x v="49"/>
    <x v="48"/>
    <x v="48"/>
    <x v="50"/>
    <x v="50"/>
    <x v="12"/>
    <x v="41"/>
    <x v="0"/>
    <x v="231"/>
    <x v="175"/>
    <s v="supplier@gmail.com"/>
  </r>
  <r>
    <x v="439"/>
    <x v="439"/>
    <x v="49"/>
    <x v="15"/>
    <x v="34"/>
    <x v="41"/>
    <x v="49"/>
    <x v="32"/>
    <x v="8"/>
    <x v="42"/>
    <x v="8"/>
    <x v="0"/>
    <x v="34"/>
    <x v="122"/>
    <s v="supplier@gmail.com"/>
  </r>
  <r>
    <x v="440"/>
    <x v="440"/>
    <x v="49"/>
    <x v="15"/>
    <x v="34"/>
    <x v="41"/>
    <x v="49"/>
    <x v="32"/>
    <x v="8"/>
    <x v="42"/>
    <x v="8"/>
    <x v="0"/>
    <x v="114"/>
    <x v="98"/>
    <s v="supplier@gmail.com"/>
  </r>
  <r>
    <x v="441"/>
    <x v="441"/>
    <x v="49"/>
    <x v="15"/>
    <x v="34"/>
    <x v="41"/>
    <x v="49"/>
    <x v="32"/>
    <x v="8"/>
    <x v="42"/>
    <x v="8"/>
    <x v="0"/>
    <x v="197"/>
    <x v="92"/>
    <s v="supplier@gmail.com"/>
  </r>
  <r>
    <x v="442"/>
    <x v="442"/>
    <x v="49"/>
    <x v="15"/>
    <x v="34"/>
    <x v="41"/>
    <x v="49"/>
    <x v="32"/>
    <x v="8"/>
    <x v="42"/>
    <x v="8"/>
    <x v="0"/>
    <x v="232"/>
    <x v="67"/>
    <s v="supplier@gmail.com"/>
  </r>
  <r>
    <x v="443"/>
    <x v="443"/>
    <x v="50"/>
    <x v="47"/>
    <x v="50"/>
    <x v="49"/>
    <x v="50"/>
    <x v="51"/>
    <x v="51"/>
    <x v="45"/>
    <x v="42"/>
    <x v="0"/>
    <x v="201"/>
    <x v="14"/>
    <s v="supplier@gmail.com"/>
  </r>
  <r>
    <x v="444"/>
    <x v="444"/>
    <x v="51"/>
    <x v="48"/>
    <x v="51"/>
    <x v="50"/>
    <x v="51"/>
    <x v="52"/>
    <x v="52"/>
    <x v="46"/>
    <x v="41"/>
    <x v="0"/>
    <x v="233"/>
    <x v="45"/>
    <s v="supplier@gmail.com"/>
  </r>
  <r>
    <x v="445"/>
    <x v="445"/>
    <x v="52"/>
    <x v="49"/>
    <x v="52"/>
    <x v="51"/>
    <x v="52"/>
    <x v="53"/>
    <x v="53"/>
    <x v="47"/>
    <x v="43"/>
    <x v="0"/>
    <x v="234"/>
    <x v="117"/>
    <s v="supplier@gmail.com"/>
  </r>
  <r>
    <x v="446"/>
    <x v="446"/>
    <x v="19"/>
    <x v="18"/>
    <x v="19"/>
    <x v="18"/>
    <x v="16"/>
    <x v="17"/>
    <x v="16"/>
    <x v="18"/>
    <x v="16"/>
    <x v="0"/>
    <x v="235"/>
    <x v="122"/>
    <s v="supplier@gmail.com"/>
  </r>
  <r>
    <x v="447"/>
    <x v="447"/>
    <x v="19"/>
    <x v="50"/>
    <x v="19"/>
    <x v="18"/>
    <x v="16"/>
    <x v="17"/>
    <x v="16"/>
    <x v="18"/>
    <x v="44"/>
    <x v="0"/>
    <x v="236"/>
    <x v="68"/>
    <s v="supplier@gmail.com"/>
  </r>
  <r>
    <x v="448"/>
    <x v="448"/>
    <x v="19"/>
    <x v="50"/>
    <x v="19"/>
    <x v="18"/>
    <x v="16"/>
    <x v="17"/>
    <x v="16"/>
    <x v="18"/>
    <x v="44"/>
    <x v="0"/>
    <x v="1"/>
    <x v="105"/>
    <s v="supplier@gmail.com"/>
  </r>
  <r>
    <x v="449"/>
    <x v="449"/>
    <x v="19"/>
    <x v="50"/>
    <x v="19"/>
    <x v="18"/>
    <x v="16"/>
    <x v="17"/>
    <x v="16"/>
    <x v="18"/>
    <x v="44"/>
    <x v="0"/>
    <x v="1"/>
    <x v="67"/>
    <s v="supplier@gmail.com"/>
  </r>
  <r>
    <x v="450"/>
    <x v="450"/>
    <x v="19"/>
    <x v="18"/>
    <x v="19"/>
    <x v="18"/>
    <x v="16"/>
    <x v="17"/>
    <x v="16"/>
    <x v="18"/>
    <x v="16"/>
    <x v="0"/>
    <x v="237"/>
    <x v="52"/>
    <s v="supplier@gmail.com"/>
  </r>
  <r>
    <x v="451"/>
    <x v="451"/>
    <x v="19"/>
    <x v="50"/>
    <x v="19"/>
    <x v="18"/>
    <x v="16"/>
    <x v="17"/>
    <x v="16"/>
    <x v="18"/>
    <x v="44"/>
    <x v="0"/>
    <x v="45"/>
    <x v="172"/>
    <s v="supplier@gmail.com"/>
  </r>
  <r>
    <x v="452"/>
    <x v="452"/>
    <x v="50"/>
    <x v="47"/>
    <x v="50"/>
    <x v="49"/>
    <x v="50"/>
    <x v="51"/>
    <x v="51"/>
    <x v="45"/>
    <x v="42"/>
    <x v="0"/>
    <x v="238"/>
    <x v="41"/>
    <s v="supplier@gmail.com"/>
  </r>
  <r>
    <x v="453"/>
    <x v="453"/>
    <x v="19"/>
    <x v="50"/>
    <x v="19"/>
    <x v="18"/>
    <x v="16"/>
    <x v="17"/>
    <x v="16"/>
    <x v="18"/>
    <x v="44"/>
    <x v="0"/>
    <x v="239"/>
    <x v="177"/>
    <s v="supplier@gmail.com"/>
  </r>
  <r>
    <x v="454"/>
    <x v="454"/>
    <x v="19"/>
    <x v="50"/>
    <x v="19"/>
    <x v="18"/>
    <x v="16"/>
    <x v="17"/>
    <x v="16"/>
    <x v="18"/>
    <x v="44"/>
    <x v="0"/>
    <x v="240"/>
    <x v="76"/>
    <s v="supplier@gmail.com"/>
  </r>
  <r>
    <x v="455"/>
    <x v="455"/>
    <x v="53"/>
    <x v="51"/>
    <x v="53"/>
    <x v="52"/>
    <x v="53"/>
    <x v="54"/>
    <x v="54"/>
    <x v="46"/>
    <x v="45"/>
    <x v="0"/>
    <x v="241"/>
    <x v="61"/>
    <s v="supplier@gmail.com"/>
  </r>
  <r>
    <x v="456"/>
    <x v="456"/>
    <x v="41"/>
    <x v="1"/>
    <x v="54"/>
    <x v="53"/>
    <x v="54"/>
    <x v="55"/>
    <x v="55"/>
    <x v="48"/>
    <x v="46"/>
    <x v="0"/>
    <x v="242"/>
    <x v="133"/>
    <s v="supplier@gmail.com"/>
  </r>
  <r>
    <x v="457"/>
    <x v="457"/>
    <x v="53"/>
    <x v="51"/>
    <x v="53"/>
    <x v="52"/>
    <x v="53"/>
    <x v="54"/>
    <x v="54"/>
    <x v="46"/>
    <x v="45"/>
    <x v="0"/>
    <x v="241"/>
    <x v="67"/>
    <s v="supplier@gmail.com"/>
  </r>
  <r>
    <x v="458"/>
    <x v="458"/>
    <x v="41"/>
    <x v="1"/>
    <x v="54"/>
    <x v="53"/>
    <x v="54"/>
    <x v="55"/>
    <x v="55"/>
    <x v="48"/>
    <x v="46"/>
    <x v="0"/>
    <x v="1"/>
    <x v="92"/>
    <s v="supplier@gmail.com"/>
  </r>
  <r>
    <x v="459"/>
    <x v="459"/>
    <x v="19"/>
    <x v="50"/>
    <x v="19"/>
    <x v="18"/>
    <x v="16"/>
    <x v="17"/>
    <x v="16"/>
    <x v="18"/>
    <x v="44"/>
    <x v="0"/>
    <x v="168"/>
    <x v="178"/>
    <s v="supplier@gmail.com"/>
  </r>
  <r>
    <x v="460"/>
    <x v="460"/>
    <x v="54"/>
    <x v="52"/>
    <x v="55"/>
    <x v="54"/>
    <x v="55"/>
    <x v="56"/>
    <x v="56"/>
    <x v="49"/>
    <x v="47"/>
    <x v="0"/>
    <x v="243"/>
    <x v="65"/>
    <s v="supplier@gmail.com"/>
  </r>
  <r>
    <x v="461"/>
    <x v="461"/>
    <x v="55"/>
    <x v="53"/>
    <x v="56"/>
    <x v="55"/>
    <x v="56"/>
    <x v="57"/>
    <x v="56"/>
    <x v="50"/>
    <x v="48"/>
    <x v="0"/>
    <x v="244"/>
    <x v="21"/>
    <s v="supplier@gmail.com"/>
  </r>
  <r>
    <x v="462"/>
    <x v="462"/>
    <x v="47"/>
    <x v="54"/>
    <x v="48"/>
    <x v="47"/>
    <x v="47"/>
    <x v="49"/>
    <x v="49"/>
    <x v="44"/>
    <x v="40"/>
    <x v="0"/>
    <x v="1"/>
    <x v="179"/>
    <s v="supplier@gmail.com"/>
  </r>
  <r>
    <x v="463"/>
    <x v="463"/>
    <x v="19"/>
    <x v="18"/>
    <x v="19"/>
    <x v="18"/>
    <x v="16"/>
    <x v="17"/>
    <x v="16"/>
    <x v="18"/>
    <x v="16"/>
    <x v="0"/>
    <x v="245"/>
    <x v="78"/>
    <s v="supplier@gmail.com"/>
  </r>
  <r>
    <x v="464"/>
    <x v="464"/>
    <x v="56"/>
    <x v="55"/>
    <x v="57"/>
    <x v="56"/>
    <x v="53"/>
    <x v="54"/>
    <x v="54"/>
    <x v="46"/>
    <x v="45"/>
    <x v="0"/>
    <x v="246"/>
    <x v="43"/>
    <s v="supplier@gmail.com"/>
  </r>
  <r>
    <x v="465"/>
    <x v="465"/>
    <x v="57"/>
    <x v="56"/>
    <x v="49"/>
    <x v="57"/>
    <x v="57"/>
    <x v="58"/>
    <x v="57"/>
    <x v="48"/>
    <x v="46"/>
    <x v="0"/>
    <x v="247"/>
    <x v="180"/>
    <s v="supplier@gmail.com"/>
  </r>
  <r>
    <x v="466"/>
    <x v="466"/>
    <x v="19"/>
    <x v="50"/>
    <x v="19"/>
    <x v="18"/>
    <x v="16"/>
    <x v="17"/>
    <x v="16"/>
    <x v="18"/>
    <x v="44"/>
    <x v="0"/>
    <x v="1"/>
    <x v="61"/>
    <s v="supplier@gmail.com"/>
  </r>
  <r>
    <x v="467"/>
    <x v="467"/>
    <x v="4"/>
    <x v="1"/>
    <x v="4"/>
    <x v="1"/>
    <x v="12"/>
    <x v="8"/>
    <x v="8"/>
    <x v="12"/>
    <x v="8"/>
    <x v="0"/>
    <x v="194"/>
    <x v="75"/>
    <s v="supplier@gmail.com"/>
  </r>
  <r>
    <x v="468"/>
    <x v="468"/>
    <x v="58"/>
    <x v="53"/>
    <x v="58"/>
    <x v="58"/>
    <x v="58"/>
    <x v="59"/>
    <x v="58"/>
    <x v="51"/>
    <x v="49"/>
    <x v="0"/>
    <x v="248"/>
    <x v="131"/>
    <s v="supplier@gmail.com"/>
  </r>
  <r>
    <x v="469"/>
    <x v="469"/>
    <x v="59"/>
    <x v="57"/>
    <x v="59"/>
    <x v="59"/>
    <x v="59"/>
    <x v="60"/>
    <x v="59"/>
    <x v="52"/>
    <x v="50"/>
    <x v="0"/>
    <x v="249"/>
    <x v="173"/>
    <s v="supplier@gmail.com"/>
  </r>
  <r>
    <x v="470"/>
    <x v="470"/>
    <x v="60"/>
    <x v="58"/>
    <x v="60"/>
    <x v="60"/>
    <x v="60"/>
    <x v="61"/>
    <x v="60"/>
    <x v="53"/>
    <x v="51"/>
    <x v="0"/>
    <x v="250"/>
    <x v="125"/>
    <s v="supplier@gmail.com"/>
  </r>
  <r>
    <x v="471"/>
    <x v="471"/>
    <x v="61"/>
    <x v="59"/>
    <x v="61"/>
    <x v="61"/>
    <x v="61"/>
    <x v="62"/>
    <x v="61"/>
    <x v="54"/>
    <x v="52"/>
    <x v="0"/>
    <x v="251"/>
    <x v="132"/>
    <s v="supplier@gmail.com"/>
  </r>
  <r>
    <x v="472"/>
    <x v="472"/>
    <x v="19"/>
    <x v="18"/>
    <x v="62"/>
    <x v="18"/>
    <x v="62"/>
    <x v="63"/>
    <x v="16"/>
    <x v="18"/>
    <x v="16"/>
    <x v="0"/>
    <x v="252"/>
    <x v="136"/>
    <s v="supplier@gmail.com"/>
  </r>
  <r>
    <x v="473"/>
    <x v="473"/>
    <x v="19"/>
    <x v="50"/>
    <x v="19"/>
    <x v="18"/>
    <x v="16"/>
    <x v="17"/>
    <x v="16"/>
    <x v="18"/>
    <x v="44"/>
    <x v="0"/>
    <x v="1"/>
    <x v="64"/>
    <s v="supplier@gmail.com"/>
  </r>
  <r>
    <x v="474"/>
    <x v="474"/>
    <x v="4"/>
    <x v="60"/>
    <x v="4"/>
    <x v="1"/>
    <x v="63"/>
    <x v="8"/>
    <x v="8"/>
    <x v="12"/>
    <x v="41"/>
    <x v="0"/>
    <x v="253"/>
    <x v="181"/>
    <s v="supplier@gmail.com"/>
  </r>
  <r>
    <x v="475"/>
    <x v="475"/>
    <x v="4"/>
    <x v="1"/>
    <x v="4"/>
    <x v="1"/>
    <x v="12"/>
    <x v="8"/>
    <x v="8"/>
    <x v="12"/>
    <x v="8"/>
    <x v="0"/>
    <x v="1"/>
    <x v="181"/>
    <s v="supplier@gmail.com"/>
  </r>
  <r>
    <x v="476"/>
    <x v="476"/>
    <x v="48"/>
    <x v="9"/>
    <x v="49"/>
    <x v="48"/>
    <x v="64"/>
    <x v="50"/>
    <x v="50"/>
    <x v="12"/>
    <x v="8"/>
    <x v="0"/>
    <x v="254"/>
    <x v="141"/>
    <s v="supplier@gmail.com"/>
  </r>
  <r>
    <x v="477"/>
    <x v="477"/>
    <x v="4"/>
    <x v="1"/>
    <x v="4"/>
    <x v="1"/>
    <x v="12"/>
    <x v="8"/>
    <x v="8"/>
    <x v="12"/>
    <x v="8"/>
    <x v="0"/>
    <x v="1"/>
    <x v="109"/>
    <s v="supplier@gmail.com"/>
  </r>
  <r>
    <x v="478"/>
    <x v="478"/>
    <x v="4"/>
    <x v="61"/>
    <x v="4"/>
    <x v="1"/>
    <x v="65"/>
    <x v="3"/>
    <x v="13"/>
    <x v="12"/>
    <x v="53"/>
    <x v="0"/>
    <x v="255"/>
    <x v="65"/>
    <s v="supplier@gmail.com"/>
  </r>
  <r>
    <x v="479"/>
    <x v="479"/>
    <x v="4"/>
    <x v="62"/>
    <x v="63"/>
    <x v="1"/>
    <x v="66"/>
    <x v="64"/>
    <x v="8"/>
    <x v="12"/>
    <x v="8"/>
    <x v="0"/>
    <x v="246"/>
    <x v="50"/>
    <s v="supplier@gmail.com"/>
  </r>
  <r>
    <x v="480"/>
    <x v="480"/>
    <x v="5"/>
    <x v="1"/>
    <x v="64"/>
    <x v="62"/>
    <x v="67"/>
    <x v="65"/>
    <x v="62"/>
    <x v="12"/>
    <x v="41"/>
    <x v="0"/>
    <x v="256"/>
    <x v="20"/>
    <s v="supplier@gmail.com"/>
  </r>
  <r>
    <x v="481"/>
    <x v="481"/>
    <x v="41"/>
    <x v="62"/>
    <x v="4"/>
    <x v="63"/>
    <x v="68"/>
    <x v="66"/>
    <x v="13"/>
    <x v="12"/>
    <x v="54"/>
    <x v="0"/>
    <x v="257"/>
    <x v="41"/>
    <s v="supplier@gmail.com"/>
  </r>
  <r>
    <x v="482"/>
    <x v="482"/>
    <x v="41"/>
    <x v="42"/>
    <x v="18"/>
    <x v="64"/>
    <x v="69"/>
    <x v="67"/>
    <x v="54"/>
    <x v="46"/>
    <x v="41"/>
    <x v="0"/>
    <x v="258"/>
    <x v="75"/>
    <s v="supplier@gmail.com"/>
  </r>
  <r>
    <x v="483"/>
    <x v="483"/>
    <x v="62"/>
    <x v="39"/>
    <x v="44"/>
    <x v="65"/>
    <x v="69"/>
    <x v="68"/>
    <x v="50"/>
    <x v="48"/>
    <x v="46"/>
    <x v="0"/>
    <x v="67"/>
    <x v="56"/>
    <s v="supplier@gmail.com"/>
  </r>
  <r>
    <x v="484"/>
    <x v="484"/>
    <x v="4"/>
    <x v="1"/>
    <x v="4"/>
    <x v="16"/>
    <x v="12"/>
    <x v="0"/>
    <x v="8"/>
    <x v="12"/>
    <x v="8"/>
    <x v="0"/>
    <x v="259"/>
    <x v="89"/>
    <s v="supplier@gmail.com"/>
  </r>
  <r>
    <x v="485"/>
    <x v="485"/>
    <x v="63"/>
    <x v="5"/>
    <x v="29"/>
    <x v="66"/>
    <x v="70"/>
    <x v="69"/>
    <x v="63"/>
    <x v="8"/>
    <x v="55"/>
    <x v="0"/>
    <x v="212"/>
    <x v="145"/>
    <s v="supplier@gmail.com"/>
  </r>
  <r>
    <x v="486"/>
    <x v="486"/>
    <x v="0"/>
    <x v="1"/>
    <x v="4"/>
    <x v="1"/>
    <x v="12"/>
    <x v="8"/>
    <x v="8"/>
    <x v="12"/>
    <x v="8"/>
    <x v="0"/>
    <x v="114"/>
    <x v="182"/>
    <s v="supplier@gmail.com"/>
  </r>
  <r>
    <x v="487"/>
    <x v="487"/>
    <x v="44"/>
    <x v="36"/>
    <x v="35"/>
    <x v="17"/>
    <x v="12"/>
    <x v="70"/>
    <x v="0"/>
    <x v="25"/>
    <x v="17"/>
    <x v="0"/>
    <x v="46"/>
    <x v="64"/>
    <s v="supplier@gmail.com"/>
  </r>
  <r>
    <x v="488"/>
    <x v="488"/>
    <x v="4"/>
    <x v="0"/>
    <x v="0"/>
    <x v="0"/>
    <x v="0"/>
    <x v="0"/>
    <x v="35"/>
    <x v="0"/>
    <x v="0"/>
    <x v="0"/>
    <x v="1"/>
    <x v="16"/>
    <s v="supplier@gmail.com"/>
  </r>
  <r>
    <x v="489"/>
    <x v="489"/>
    <x v="4"/>
    <x v="1"/>
    <x v="4"/>
    <x v="1"/>
    <x v="12"/>
    <x v="8"/>
    <x v="8"/>
    <x v="12"/>
    <x v="8"/>
    <x v="0"/>
    <x v="1"/>
    <x v="75"/>
    <s v="supplier@gmail.com"/>
  </r>
  <r>
    <x v="490"/>
    <x v="490"/>
    <x v="4"/>
    <x v="1"/>
    <x v="4"/>
    <x v="1"/>
    <x v="12"/>
    <x v="8"/>
    <x v="8"/>
    <x v="12"/>
    <x v="8"/>
    <x v="0"/>
    <x v="37"/>
    <x v="85"/>
    <s v="supplier@gmail.com"/>
  </r>
  <r>
    <x v="491"/>
    <x v="491"/>
    <x v="4"/>
    <x v="1"/>
    <x v="4"/>
    <x v="1"/>
    <x v="12"/>
    <x v="8"/>
    <x v="8"/>
    <x v="12"/>
    <x v="8"/>
    <x v="0"/>
    <x v="164"/>
    <x v="134"/>
    <s v="supplier@gmail.com"/>
  </r>
  <r>
    <x v="492"/>
    <x v="492"/>
    <x v="4"/>
    <x v="1"/>
    <x v="4"/>
    <x v="1"/>
    <x v="12"/>
    <x v="8"/>
    <x v="8"/>
    <x v="12"/>
    <x v="8"/>
    <x v="0"/>
    <x v="1"/>
    <x v="11"/>
    <s v="supplier@gmail.com"/>
  </r>
  <r>
    <x v="493"/>
    <x v="493"/>
    <x v="4"/>
    <x v="1"/>
    <x v="4"/>
    <x v="1"/>
    <x v="12"/>
    <x v="8"/>
    <x v="8"/>
    <x v="12"/>
    <x v="8"/>
    <x v="0"/>
    <x v="1"/>
    <x v="122"/>
    <s v="supplier@gmail.com"/>
  </r>
  <r>
    <x v="494"/>
    <x v="494"/>
    <x v="4"/>
    <x v="1"/>
    <x v="4"/>
    <x v="1"/>
    <x v="12"/>
    <x v="8"/>
    <x v="8"/>
    <x v="12"/>
    <x v="8"/>
    <x v="0"/>
    <x v="1"/>
    <x v="156"/>
    <s v="supplier@gmail.com"/>
  </r>
  <r>
    <x v="495"/>
    <x v="495"/>
    <x v="4"/>
    <x v="1"/>
    <x v="4"/>
    <x v="1"/>
    <x v="12"/>
    <x v="8"/>
    <x v="8"/>
    <x v="12"/>
    <x v="8"/>
    <x v="0"/>
    <x v="1"/>
    <x v="40"/>
    <s v="supplier@gmail.com"/>
  </r>
  <r>
    <x v="496"/>
    <x v="496"/>
    <x v="4"/>
    <x v="1"/>
    <x v="4"/>
    <x v="1"/>
    <x v="12"/>
    <x v="8"/>
    <x v="8"/>
    <x v="12"/>
    <x v="8"/>
    <x v="0"/>
    <x v="51"/>
    <x v="22"/>
    <s v="supplier@gmail.com"/>
  </r>
  <r>
    <x v="497"/>
    <x v="497"/>
    <x v="4"/>
    <x v="1"/>
    <x v="4"/>
    <x v="1"/>
    <x v="12"/>
    <x v="8"/>
    <x v="8"/>
    <x v="12"/>
    <x v="8"/>
    <x v="0"/>
    <x v="226"/>
    <x v="57"/>
    <s v="supplier@gmail.com"/>
  </r>
  <r>
    <x v="498"/>
    <x v="498"/>
    <x v="4"/>
    <x v="1"/>
    <x v="4"/>
    <x v="1"/>
    <x v="12"/>
    <x v="8"/>
    <x v="8"/>
    <x v="12"/>
    <x v="8"/>
    <x v="0"/>
    <x v="1"/>
    <x v="18"/>
    <s v="supplier@gmail.com"/>
  </r>
  <r>
    <x v="499"/>
    <x v="499"/>
    <x v="4"/>
    <x v="1"/>
    <x v="4"/>
    <x v="1"/>
    <x v="12"/>
    <x v="8"/>
    <x v="8"/>
    <x v="12"/>
    <x v="8"/>
    <x v="0"/>
    <x v="260"/>
    <x v="123"/>
    <s v="supplier@gmail.com"/>
  </r>
  <r>
    <x v="500"/>
    <x v="500"/>
    <x v="4"/>
    <x v="1"/>
    <x v="4"/>
    <x v="1"/>
    <x v="12"/>
    <x v="8"/>
    <x v="8"/>
    <x v="12"/>
    <x v="8"/>
    <x v="0"/>
    <x v="261"/>
    <x v="148"/>
    <s v="supplier@gmail.com"/>
  </r>
  <r>
    <x v="501"/>
    <x v="501"/>
    <x v="64"/>
    <x v="3"/>
    <x v="1"/>
    <x v="4"/>
    <x v="71"/>
    <x v="71"/>
    <x v="42"/>
    <x v="55"/>
    <x v="33"/>
    <x v="0"/>
    <x v="119"/>
    <x v="153"/>
    <s v="supplier@gmail.com"/>
  </r>
  <r>
    <x v="502"/>
    <x v="502"/>
    <x v="4"/>
    <x v="1"/>
    <x v="4"/>
    <x v="1"/>
    <x v="12"/>
    <x v="8"/>
    <x v="8"/>
    <x v="12"/>
    <x v="8"/>
    <x v="0"/>
    <x v="1"/>
    <x v="183"/>
    <s v="supplier@gmail.com"/>
  </r>
  <r>
    <x v="503"/>
    <x v="503"/>
    <x v="4"/>
    <x v="1"/>
    <x v="4"/>
    <x v="1"/>
    <x v="12"/>
    <x v="8"/>
    <x v="8"/>
    <x v="12"/>
    <x v="8"/>
    <x v="0"/>
    <x v="262"/>
    <x v="138"/>
    <s v="supplier@gmail.com"/>
  </r>
  <r>
    <x v="504"/>
    <x v="504"/>
    <x v="36"/>
    <x v="1"/>
    <x v="42"/>
    <x v="15"/>
    <x v="49"/>
    <x v="8"/>
    <x v="0"/>
    <x v="43"/>
    <x v="8"/>
    <x v="0"/>
    <x v="206"/>
    <x v="10"/>
    <s v="supplier@gmail.com"/>
  </r>
  <r>
    <x v="505"/>
    <x v="505"/>
    <x v="65"/>
    <x v="63"/>
    <x v="65"/>
    <x v="67"/>
    <x v="72"/>
    <x v="72"/>
    <x v="64"/>
    <x v="56"/>
    <x v="56"/>
    <x v="0"/>
    <x v="263"/>
    <x v="71"/>
    <s v="supplier@gmail.com"/>
  </r>
  <r>
    <x v="506"/>
    <x v="506"/>
    <x v="66"/>
    <x v="64"/>
    <x v="66"/>
    <x v="68"/>
    <x v="73"/>
    <x v="73"/>
    <x v="65"/>
    <x v="57"/>
    <x v="57"/>
    <x v="0"/>
    <x v="264"/>
    <x v="157"/>
    <s v="supplier@gmail.com"/>
  </r>
  <r>
    <x v="507"/>
    <x v="507"/>
    <x v="4"/>
    <x v="1"/>
    <x v="4"/>
    <x v="1"/>
    <x v="12"/>
    <x v="8"/>
    <x v="8"/>
    <x v="12"/>
    <x v="8"/>
    <x v="0"/>
    <x v="1"/>
    <x v="56"/>
    <s v="supplier@gmail.com"/>
  </r>
  <r>
    <x v="508"/>
    <x v="508"/>
    <x v="44"/>
    <x v="1"/>
    <x v="4"/>
    <x v="1"/>
    <x v="12"/>
    <x v="8"/>
    <x v="8"/>
    <x v="12"/>
    <x v="8"/>
    <x v="0"/>
    <x v="265"/>
    <x v="133"/>
    <s v="supplier@gmail.com"/>
  </r>
  <r>
    <x v="509"/>
    <x v="509"/>
    <x v="18"/>
    <x v="1"/>
    <x v="16"/>
    <x v="19"/>
    <x v="17"/>
    <x v="18"/>
    <x v="17"/>
    <x v="19"/>
    <x v="17"/>
    <x v="0"/>
    <x v="218"/>
    <x v="154"/>
    <s v="supplier@gmail.com"/>
  </r>
  <r>
    <x v="510"/>
    <x v="510"/>
    <x v="4"/>
    <x v="1"/>
    <x v="4"/>
    <x v="1"/>
    <x v="12"/>
    <x v="8"/>
    <x v="8"/>
    <x v="12"/>
    <x v="8"/>
    <x v="0"/>
    <x v="266"/>
    <x v="129"/>
    <s v="supplier@gmail.com"/>
  </r>
  <r>
    <x v="511"/>
    <x v="511"/>
    <x v="4"/>
    <x v="1"/>
    <x v="4"/>
    <x v="19"/>
    <x v="25"/>
    <x v="25"/>
    <x v="8"/>
    <x v="25"/>
    <x v="26"/>
    <x v="0"/>
    <x v="143"/>
    <x v="60"/>
    <s v="supplier@gmail.com"/>
  </r>
  <r>
    <x v="512"/>
    <x v="512"/>
    <x v="4"/>
    <x v="1"/>
    <x v="4"/>
    <x v="33"/>
    <x v="32"/>
    <x v="19"/>
    <x v="17"/>
    <x v="28"/>
    <x v="27"/>
    <x v="0"/>
    <x v="267"/>
    <x v="130"/>
    <s v="supplier@gmail.com"/>
  </r>
  <r>
    <x v="513"/>
    <x v="513"/>
    <x v="67"/>
    <x v="1"/>
    <x v="4"/>
    <x v="19"/>
    <x v="25"/>
    <x v="25"/>
    <x v="26"/>
    <x v="25"/>
    <x v="23"/>
    <x v="0"/>
    <x v="268"/>
    <x v="22"/>
    <s v="supplier@gmail.com"/>
  </r>
  <r>
    <x v="514"/>
    <x v="514"/>
    <x v="4"/>
    <x v="1"/>
    <x v="4"/>
    <x v="19"/>
    <x v="25"/>
    <x v="25"/>
    <x v="26"/>
    <x v="25"/>
    <x v="23"/>
    <x v="0"/>
    <x v="1"/>
    <x v="133"/>
    <s v="supplier@gmail.com"/>
  </r>
  <r>
    <x v="515"/>
    <x v="515"/>
    <x v="68"/>
    <x v="65"/>
    <x v="67"/>
    <x v="69"/>
    <x v="74"/>
    <x v="8"/>
    <x v="66"/>
    <x v="58"/>
    <x v="58"/>
    <x v="0"/>
    <x v="269"/>
    <x v="70"/>
    <s v="supplier@gmail.com"/>
  </r>
  <r>
    <x v="516"/>
    <x v="516"/>
    <x v="69"/>
    <x v="29"/>
    <x v="68"/>
    <x v="14"/>
    <x v="75"/>
    <x v="24"/>
    <x v="1"/>
    <x v="59"/>
    <x v="21"/>
    <x v="0"/>
    <x v="270"/>
    <x v="106"/>
    <s v="supplier@gmail.com"/>
  </r>
  <r>
    <x v="517"/>
    <x v="517"/>
    <x v="4"/>
    <x v="1"/>
    <x v="4"/>
    <x v="1"/>
    <x v="12"/>
    <x v="8"/>
    <x v="8"/>
    <x v="12"/>
    <x v="8"/>
    <x v="0"/>
    <x v="271"/>
    <x v="123"/>
    <s v="supplier@gmail.com"/>
  </r>
  <r>
    <x v="518"/>
    <x v="518"/>
    <x v="70"/>
    <x v="66"/>
    <x v="9"/>
    <x v="39"/>
    <x v="76"/>
    <x v="36"/>
    <x v="67"/>
    <x v="34"/>
    <x v="59"/>
    <x v="0"/>
    <x v="272"/>
    <x v="20"/>
    <s v="supplier@gmail.com"/>
  </r>
  <r>
    <x v="519"/>
    <x v="519"/>
    <x v="71"/>
    <x v="67"/>
    <x v="69"/>
    <x v="70"/>
    <x v="77"/>
    <x v="74"/>
    <x v="68"/>
    <x v="60"/>
    <x v="60"/>
    <x v="0"/>
    <x v="273"/>
    <x v="184"/>
    <s v="supplier@gmail.com"/>
  </r>
  <r>
    <x v="520"/>
    <x v="520"/>
    <x v="70"/>
    <x v="66"/>
    <x v="9"/>
    <x v="39"/>
    <x v="76"/>
    <x v="36"/>
    <x v="67"/>
    <x v="34"/>
    <x v="61"/>
    <x v="0"/>
    <x v="274"/>
    <x v="185"/>
    <s v="supplier@gmail.com"/>
  </r>
  <r>
    <x v="521"/>
    <x v="521"/>
    <x v="4"/>
    <x v="1"/>
    <x v="70"/>
    <x v="0"/>
    <x v="12"/>
    <x v="8"/>
    <x v="8"/>
    <x v="12"/>
    <x v="8"/>
    <x v="0"/>
    <x v="145"/>
    <x v="160"/>
    <s v="supplier@gmail.com"/>
  </r>
  <r>
    <x v="522"/>
    <x v="522"/>
    <x v="0"/>
    <x v="1"/>
    <x v="71"/>
    <x v="17"/>
    <x v="30"/>
    <x v="8"/>
    <x v="26"/>
    <x v="61"/>
    <x v="8"/>
    <x v="0"/>
    <x v="275"/>
    <x v="22"/>
    <s v="supplier@gmail.com"/>
  </r>
  <r>
    <x v="523"/>
    <x v="523"/>
    <x v="4"/>
    <x v="1"/>
    <x v="39"/>
    <x v="1"/>
    <x v="12"/>
    <x v="8"/>
    <x v="10"/>
    <x v="12"/>
    <x v="9"/>
    <x v="0"/>
    <x v="88"/>
    <x v="97"/>
    <s v="supplier@gmail.com"/>
  </r>
  <r>
    <x v="524"/>
    <x v="524"/>
    <x v="42"/>
    <x v="16"/>
    <x v="12"/>
    <x v="36"/>
    <x v="36"/>
    <x v="39"/>
    <x v="40"/>
    <x v="13"/>
    <x v="6"/>
    <x v="0"/>
    <x v="276"/>
    <x v="156"/>
    <s v="supplier@gmail.com"/>
  </r>
  <r>
    <x v="525"/>
    <x v="525"/>
    <x v="44"/>
    <x v="68"/>
    <x v="45"/>
    <x v="7"/>
    <x v="26"/>
    <x v="8"/>
    <x v="17"/>
    <x v="30"/>
    <x v="8"/>
    <x v="0"/>
    <x v="1"/>
    <x v="51"/>
    <s v="supplier@gmail.com"/>
  </r>
  <r>
    <x v="526"/>
    <x v="526"/>
    <x v="49"/>
    <x v="1"/>
    <x v="72"/>
    <x v="37"/>
    <x v="38"/>
    <x v="8"/>
    <x v="27"/>
    <x v="62"/>
    <x v="8"/>
    <x v="0"/>
    <x v="277"/>
    <x v="177"/>
    <s v="supplier@gmail.com"/>
  </r>
  <r>
    <x v="527"/>
    <x v="527"/>
    <x v="32"/>
    <x v="62"/>
    <x v="73"/>
    <x v="71"/>
    <x v="78"/>
    <x v="75"/>
    <x v="29"/>
    <x v="63"/>
    <x v="8"/>
    <x v="0"/>
    <x v="278"/>
    <x v="148"/>
    <s v="supplier@gmail.com"/>
  </r>
  <r>
    <x v="528"/>
    <x v="528"/>
    <x v="72"/>
    <x v="69"/>
    <x v="74"/>
    <x v="72"/>
    <x v="79"/>
    <x v="76"/>
    <x v="69"/>
    <x v="64"/>
    <x v="62"/>
    <x v="0"/>
    <x v="1"/>
    <x v="101"/>
    <s v="supplier@gmail.com"/>
  </r>
  <r>
    <x v="529"/>
    <x v="529"/>
    <x v="4"/>
    <x v="1"/>
    <x v="4"/>
    <x v="1"/>
    <x v="12"/>
    <x v="8"/>
    <x v="8"/>
    <x v="12"/>
    <x v="8"/>
    <x v="0"/>
    <x v="119"/>
    <x v="146"/>
    <s v="supplier@gmail.com"/>
  </r>
  <r>
    <x v="530"/>
    <x v="530"/>
    <x v="4"/>
    <x v="1"/>
    <x v="39"/>
    <x v="1"/>
    <x v="12"/>
    <x v="8"/>
    <x v="10"/>
    <x v="12"/>
    <x v="9"/>
    <x v="0"/>
    <x v="279"/>
    <x v="61"/>
    <s v="supplier@gmail.com"/>
  </r>
  <r>
    <x v="531"/>
    <x v="531"/>
    <x v="70"/>
    <x v="1"/>
    <x v="75"/>
    <x v="73"/>
    <x v="12"/>
    <x v="70"/>
    <x v="10"/>
    <x v="26"/>
    <x v="9"/>
    <x v="0"/>
    <x v="59"/>
    <x v="19"/>
    <s v="supplier@gmail.com"/>
  </r>
  <r>
    <x v="532"/>
    <x v="532"/>
    <x v="4"/>
    <x v="1"/>
    <x v="4"/>
    <x v="1"/>
    <x v="12"/>
    <x v="8"/>
    <x v="8"/>
    <x v="65"/>
    <x v="8"/>
    <x v="0"/>
    <x v="280"/>
    <x v="102"/>
    <s v="supplier@gmail.com"/>
  </r>
  <r>
    <x v="533"/>
    <x v="533"/>
    <x v="4"/>
    <x v="26"/>
    <x v="30"/>
    <x v="39"/>
    <x v="12"/>
    <x v="0"/>
    <x v="8"/>
    <x v="12"/>
    <x v="8"/>
    <x v="0"/>
    <x v="281"/>
    <x v="57"/>
    <s v="supplier@gmail.com"/>
  </r>
  <r>
    <x v="534"/>
    <x v="534"/>
    <x v="0"/>
    <x v="1"/>
    <x v="17"/>
    <x v="15"/>
    <x v="0"/>
    <x v="8"/>
    <x v="8"/>
    <x v="12"/>
    <x v="8"/>
    <x v="0"/>
    <x v="282"/>
    <x v="110"/>
    <s v="supplier@gmail.com"/>
  </r>
  <r>
    <x v="535"/>
    <x v="535"/>
    <x v="4"/>
    <x v="1"/>
    <x v="6"/>
    <x v="1"/>
    <x v="12"/>
    <x v="8"/>
    <x v="8"/>
    <x v="12"/>
    <x v="8"/>
    <x v="0"/>
    <x v="283"/>
    <x v="171"/>
    <s v="supplier@gmail.com"/>
  </r>
  <r>
    <x v="536"/>
    <x v="536"/>
    <x v="73"/>
    <x v="11"/>
    <x v="76"/>
    <x v="74"/>
    <x v="80"/>
    <x v="77"/>
    <x v="70"/>
    <x v="66"/>
    <x v="63"/>
    <x v="0"/>
    <x v="284"/>
    <x v="26"/>
    <s v="supplier@gmail.com"/>
  </r>
  <r>
    <x v="537"/>
    <x v="537"/>
    <x v="74"/>
    <x v="70"/>
    <x v="77"/>
    <x v="75"/>
    <x v="81"/>
    <x v="78"/>
    <x v="71"/>
    <x v="67"/>
    <x v="64"/>
    <x v="0"/>
    <x v="285"/>
    <x v="186"/>
    <s v="supplier@gmail.com"/>
  </r>
  <r>
    <x v="538"/>
    <x v="538"/>
    <x v="30"/>
    <x v="71"/>
    <x v="8"/>
    <x v="76"/>
    <x v="82"/>
    <x v="38"/>
    <x v="27"/>
    <x v="68"/>
    <x v="65"/>
    <x v="0"/>
    <x v="268"/>
    <x v="150"/>
    <s v="supplier@gmail.com"/>
  </r>
  <r>
    <x v="539"/>
    <x v="539"/>
    <x v="45"/>
    <x v="72"/>
    <x v="78"/>
    <x v="77"/>
    <x v="83"/>
    <x v="79"/>
    <x v="72"/>
    <x v="69"/>
    <x v="66"/>
    <x v="0"/>
    <x v="286"/>
    <x v="142"/>
    <s v="supplier@gmail.com"/>
  </r>
  <r>
    <x v="540"/>
    <x v="540"/>
    <x v="0"/>
    <x v="0"/>
    <x v="0"/>
    <x v="0"/>
    <x v="0"/>
    <x v="0"/>
    <x v="0"/>
    <x v="0"/>
    <x v="0"/>
    <x v="0"/>
    <x v="287"/>
    <x v="165"/>
    <s v="supplier@gmail.com"/>
  </r>
  <r>
    <x v="541"/>
    <x v="541"/>
    <x v="75"/>
    <x v="73"/>
    <x v="79"/>
    <x v="78"/>
    <x v="84"/>
    <x v="80"/>
    <x v="73"/>
    <x v="70"/>
    <x v="67"/>
    <x v="0"/>
    <x v="288"/>
    <x v="53"/>
    <s v="supplier@gmail.com"/>
  </r>
  <r>
    <x v="542"/>
    <x v="542"/>
    <x v="24"/>
    <x v="44"/>
    <x v="39"/>
    <x v="39"/>
    <x v="85"/>
    <x v="6"/>
    <x v="13"/>
    <x v="3"/>
    <x v="33"/>
    <x v="0"/>
    <x v="1"/>
    <x v="28"/>
    <s v="supplier@gmail.com"/>
  </r>
  <r>
    <x v="543"/>
    <x v="543"/>
    <x v="76"/>
    <x v="74"/>
    <x v="80"/>
    <x v="79"/>
    <x v="86"/>
    <x v="67"/>
    <x v="54"/>
    <x v="71"/>
    <x v="41"/>
    <x v="0"/>
    <x v="1"/>
    <x v="51"/>
    <s v="supplier@gmail.com"/>
  </r>
  <r>
    <x v="544"/>
    <x v="544"/>
    <x v="4"/>
    <x v="1"/>
    <x v="4"/>
    <x v="80"/>
    <x v="12"/>
    <x v="8"/>
    <x v="74"/>
    <x v="72"/>
    <x v="68"/>
    <x v="0"/>
    <x v="289"/>
    <x v="187"/>
    <s v="supplier@gmail.com"/>
  </r>
  <r>
    <x v="545"/>
    <x v="545"/>
    <x v="77"/>
    <x v="8"/>
    <x v="7"/>
    <x v="6"/>
    <x v="8"/>
    <x v="9"/>
    <x v="9"/>
    <x v="16"/>
    <x v="9"/>
    <x v="0"/>
    <x v="290"/>
    <x v="144"/>
    <s v="supplier@gmail.com"/>
  </r>
  <r>
    <x v="546"/>
    <x v="546"/>
    <x v="78"/>
    <x v="75"/>
    <x v="81"/>
    <x v="81"/>
    <x v="87"/>
    <x v="81"/>
    <x v="75"/>
    <x v="73"/>
    <x v="69"/>
    <x v="0"/>
    <x v="291"/>
    <x v="107"/>
    <s v="supplier@gmail.com"/>
  </r>
  <r>
    <x v="547"/>
    <x v="547"/>
    <x v="42"/>
    <x v="7"/>
    <x v="12"/>
    <x v="82"/>
    <x v="8"/>
    <x v="82"/>
    <x v="76"/>
    <x v="12"/>
    <x v="6"/>
    <x v="0"/>
    <x v="292"/>
    <x v="112"/>
    <s v="supplier@gmail.com"/>
  </r>
  <r>
    <x v="548"/>
    <x v="548"/>
    <x v="4"/>
    <x v="44"/>
    <x v="4"/>
    <x v="1"/>
    <x v="12"/>
    <x v="8"/>
    <x v="33"/>
    <x v="12"/>
    <x v="8"/>
    <x v="0"/>
    <x v="25"/>
    <x v="115"/>
    <s v="supplier@gmail.com"/>
  </r>
  <r>
    <x v="549"/>
    <x v="549"/>
    <x v="4"/>
    <x v="1"/>
    <x v="4"/>
    <x v="1"/>
    <x v="12"/>
    <x v="8"/>
    <x v="8"/>
    <x v="29"/>
    <x v="8"/>
    <x v="0"/>
    <x v="1"/>
    <x v="54"/>
    <s v="supplier@gmail.com"/>
  </r>
  <r>
    <x v="550"/>
    <x v="550"/>
    <x v="4"/>
    <x v="1"/>
    <x v="4"/>
    <x v="1"/>
    <x v="12"/>
    <x v="8"/>
    <x v="8"/>
    <x v="29"/>
    <x v="8"/>
    <x v="0"/>
    <x v="293"/>
    <x v="40"/>
    <s v="supplier@gmail.com"/>
  </r>
  <r>
    <x v="551"/>
    <x v="551"/>
    <x v="44"/>
    <x v="17"/>
    <x v="17"/>
    <x v="19"/>
    <x v="88"/>
    <x v="25"/>
    <x v="77"/>
    <x v="32"/>
    <x v="70"/>
    <x v="0"/>
    <x v="294"/>
    <x v="123"/>
    <s v="supplier@gmail.com"/>
  </r>
  <r>
    <x v="552"/>
    <x v="552"/>
    <x v="4"/>
    <x v="1"/>
    <x v="4"/>
    <x v="1"/>
    <x v="12"/>
    <x v="8"/>
    <x v="8"/>
    <x v="12"/>
    <x v="8"/>
    <x v="0"/>
    <x v="295"/>
    <x v="167"/>
    <s v="supplier@gmail.com"/>
  </r>
  <r>
    <x v="553"/>
    <x v="553"/>
    <x v="18"/>
    <x v="76"/>
    <x v="30"/>
    <x v="31"/>
    <x v="26"/>
    <x v="28"/>
    <x v="77"/>
    <x v="26"/>
    <x v="27"/>
    <x v="0"/>
    <x v="1"/>
    <x v="114"/>
    <s v="supplier@gmail.com"/>
  </r>
  <r>
    <x v="554"/>
    <x v="554"/>
    <x v="79"/>
    <x v="77"/>
    <x v="82"/>
    <x v="83"/>
    <x v="76"/>
    <x v="35"/>
    <x v="78"/>
    <x v="74"/>
    <x v="14"/>
    <x v="0"/>
    <x v="1"/>
    <x v="0"/>
    <s v="supplier@gmail.com"/>
  </r>
  <r>
    <x v="555"/>
    <x v="555"/>
    <x v="12"/>
    <x v="5"/>
    <x v="8"/>
    <x v="7"/>
    <x v="13"/>
    <x v="10"/>
    <x v="10"/>
    <x v="14"/>
    <x v="10"/>
    <x v="0"/>
    <x v="1"/>
    <x v="142"/>
    <s v="supplier@gmail.com"/>
  </r>
  <r>
    <x v="556"/>
    <x v="556"/>
    <x v="80"/>
    <x v="78"/>
    <x v="83"/>
    <x v="84"/>
    <x v="12"/>
    <x v="8"/>
    <x v="8"/>
    <x v="26"/>
    <x v="8"/>
    <x v="0"/>
    <x v="296"/>
    <x v="169"/>
    <s v="supplier@gmail.com"/>
  </r>
  <r>
    <x v="557"/>
    <x v="557"/>
    <x v="4"/>
    <x v="1"/>
    <x v="4"/>
    <x v="1"/>
    <x v="12"/>
    <x v="8"/>
    <x v="8"/>
    <x v="12"/>
    <x v="8"/>
    <x v="0"/>
    <x v="6"/>
    <x v="143"/>
    <s v="supplier@gmail.com"/>
  </r>
  <r>
    <x v="558"/>
    <x v="558"/>
    <x v="4"/>
    <x v="1"/>
    <x v="4"/>
    <x v="1"/>
    <x v="12"/>
    <x v="8"/>
    <x v="8"/>
    <x v="12"/>
    <x v="8"/>
    <x v="0"/>
    <x v="297"/>
    <x v="6"/>
    <s v="supplier@gmail.com"/>
  </r>
  <r>
    <x v="559"/>
    <x v="559"/>
    <x v="4"/>
    <x v="1"/>
    <x v="4"/>
    <x v="36"/>
    <x v="12"/>
    <x v="8"/>
    <x v="8"/>
    <x v="12"/>
    <x v="8"/>
    <x v="0"/>
    <x v="298"/>
    <x v="16"/>
    <s v="supplier@gmail.com"/>
  </r>
  <r>
    <x v="560"/>
    <x v="560"/>
    <x v="4"/>
    <x v="1"/>
    <x v="4"/>
    <x v="1"/>
    <x v="12"/>
    <x v="8"/>
    <x v="8"/>
    <x v="12"/>
    <x v="8"/>
    <x v="0"/>
    <x v="1"/>
    <x v="141"/>
    <s v="supplier@gmail.com"/>
  </r>
  <r>
    <x v="561"/>
    <x v="561"/>
    <x v="4"/>
    <x v="1"/>
    <x v="4"/>
    <x v="1"/>
    <x v="12"/>
    <x v="8"/>
    <x v="8"/>
    <x v="12"/>
    <x v="8"/>
    <x v="0"/>
    <x v="299"/>
    <x v="151"/>
    <s v="supplier@gmail.com"/>
  </r>
  <r>
    <x v="562"/>
    <x v="562"/>
    <x v="42"/>
    <x v="16"/>
    <x v="12"/>
    <x v="36"/>
    <x v="36"/>
    <x v="39"/>
    <x v="40"/>
    <x v="13"/>
    <x v="71"/>
    <x v="0"/>
    <x v="300"/>
    <x v="139"/>
    <s v="supplier@gmail.com"/>
  </r>
  <r>
    <x v="563"/>
    <x v="563"/>
    <x v="42"/>
    <x v="8"/>
    <x v="84"/>
    <x v="85"/>
    <x v="36"/>
    <x v="83"/>
    <x v="40"/>
    <x v="13"/>
    <x v="72"/>
    <x v="0"/>
    <x v="1"/>
    <x v="188"/>
    <s v="supplier@gmail.com"/>
  </r>
  <r>
    <x v="564"/>
    <x v="564"/>
    <x v="81"/>
    <x v="79"/>
    <x v="85"/>
    <x v="86"/>
    <x v="81"/>
    <x v="84"/>
    <x v="34"/>
    <x v="75"/>
    <x v="73"/>
    <x v="0"/>
    <x v="152"/>
    <x v="112"/>
    <s v="supplier@gmail.com"/>
  </r>
  <r>
    <x v="565"/>
    <x v="565"/>
    <x v="82"/>
    <x v="16"/>
    <x v="5"/>
    <x v="16"/>
    <x v="17"/>
    <x v="85"/>
    <x v="34"/>
    <x v="43"/>
    <x v="74"/>
    <x v="0"/>
    <x v="301"/>
    <x v="145"/>
    <s v="supplier@gmail.com"/>
  </r>
  <r>
    <x v="566"/>
    <x v="566"/>
    <x v="83"/>
    <x v="76"/>
    <x v="45"/>
    <x v="87"/>
    <x v="89"/>
    <x v="39"/>
    <x v="26"/>
    <x v="36"/>
    <x v="22"/>
    <x v="0"/>
    <x v="1"/>
    <x v="72"/>
    <s v="supplier@gmail.com"/>
  </r>
  <r>
    <x v="567"/>
    <x v="567"/>
    <x v="84"/>
    <x v="80"/>
    <x v="86"/>
    <x v="88"/>
    <x v="90"/>
    <x v="86"/>
    <x v="79"/>
    <x v="76"/>
    <x v="75"/>
    <x v="0"/>
    <x v="201"/>
    <x v="124"/>
    <s v="supplier@gmail.com"/>
  </r>
  <r>
    <x v="568"/>
    <x v="568"/>
    <x v="85"/>
    <x v="68"/>
    <x v="22"/>
    <x v="89"/>
    <x v="91"/>
    <x v="8"/>
    <x v="80"/>
    <x v="77"/>
    <x v="68"/>
    <x v="0"/>
    <x v="95"/>
    <x v="78"/>
    <s v="supplier@gmail.com"/>
  </r>
  <r>
    <x v="569"/>
    <x v="569"/>
    <x v="4"/>
    <x v="1"/>
    <x v="8"/>
    <x v="1"/>
    <x v="13"/>
    <x v="10"/>
    <x v="8"/>
    <x v="12"/>
    <x v="8"/>
    <x v="0"/>
    <x v="302"/>
    <x v="2"/>
    <s v="supplier@gmail.com"/>
  </r>
  <r>
    <x v="570"/>
    <x v="570"/>
    <x v="86"/>
    <x v="81"/>
    <x v="87"/>
    <x v="90"/>
    <x v="92"/>
    <x v="87"/>
    <x v="81"/>
    <x v="78"/>
    <x v="76"/>
    <x v="0"/>
    <x v="184"/>
    <x v="102"/>
    <s v="supplier@gmail.com"/>
  </r>
  <r>
    <x v="571"/>
    <x v="571"/>
    <x v="82"/>
    <x v="1"/>
    <x v="16"/>
    <x v="16"/>
    <x v="12"/>
    <x v="8"/>
    <x v="8"/>
    <x v="12"/>
    <x v="8"/>
    <x v="0"/>
    <x v="303"/>
    <x v="148"/>
    <s v="supplier@gmail.com"/>
  </r>
  <r>
    <x v="572"/>
    <x v="572"/>
    <x v="4"/>
    <x v="1"/>
    <x v="4"/>
    <x v="1"/>
    <x v="12"/>
    <x v="8"/>
    <x v="8"/>
    <x v="12"/>
    <x v="8"/>
    <x v="0"/>
    <x v="304"/>
    <x v="188"/>
    <s v="supplier@gmail.com"/>
  </r>
  <r>
    <x v="573"/>
    <x v="573"/>
    <x v="4"/>
    <x v="1"/>
    <x v="4"/>
    <x v="21"/>
    <x v="12"/>
    <x v="8"/>
    <x v="8"/>
    <x v="12"/>
    <x v="8"/>
    <x v="0"/>
    <x v="305"/>
    <x v="90"/>
    <s v="supplier@gmail.com"/>
  </r>
  <r>
    <x v="574"/>
    <x v="574"/>
    <x v="4"/>
    <x v="1"/>
    <x v="4"/>
    <x v="1"/>
    <x v="12"/>
    <x v="8"/>
    <x v="8"/>
    <x v="12"/>
    <x v="8"/>
    <x v="0"/>
    <x v="1"/>
    <x v="145"/>
    <s v="supplier@gmail.com"/>
  </r>
  <r>
    <x v="575"/>
    <x v="575"/>
    <x v="67"/>
    <x v="1"/>
    <x v="4"/>
    <x v="1"/>
    <x v="12"/>
    <x v="8"/>
    <x v="8"/>
    <x v="12"/>
    <x v="8"/>
    <x v="0"/>
    <x v="1"/>
    <x v="154"/>
    <s v="supplier@gmail.com"/>
  </r>
  <r>
    <x v="576"/>
    <x v="576"/>
    <x v="4"/>
    <x v="1"/>
    <x v="4"/>
    <x v="15"/>
    <x v="12"/>
    <x v="8"/>
    <x v="8"/>
    <x v="28"/>
    <x v="8"/>
    <x v="0"/>
    <x v="51"/>
    <x v="161"/>
    <s v="supplier@gmail.com"/>
  </r>
  <r>
    <x v="577"/>
    <x v="577"/>
    <x v="87"/>
    <x v="33"/>
    <x v="88"/>
    <x v="91"/>
    <x v="1"/>
    <x v="88"/>
    <x v="9"/>
    <x v="79"/>
    <x v="33"/>
    <x v="0"/>
    <x v="2"/>
    <x v="58"/>
    <s v="supplier@gmail.com"/>
  </r>
  <r>
    <x v="578"/>
    <x v="578"/>
    <x v="88"/>
    <x v="82"/>
    <x v="89"/>
    <x v="92"/>
    <x v="93"/>
    <x v="89"/>
    <x v="82"/>
    <x v="80"/>
    <x v="77"/>
    <x v="0"/>
    <x v="5"/>
    <x v="123"/>
    <s v="supplier@gmail.com"/>
  </r>
  <r>
    <x v="579"/>
    <x v="579"/>
    <x v="4"/>
    <x v="1"/>
    <x v="4"/>
    <x v="28"/>
    <x v="14"/>
    <x v="90"/>
    <x v="8"/>
    <x v="12"/>
    <x v="74"/>
    <x v="0"/>
    <x v="1"/>
    <x v="179"/>
    <s v="supplier@gmail.com"/>
  </r>
  <r>
    <x v="580"/>
    <x v="580"/>
    <x v="4"/>
    <x v="1"/>
    <x v="39"/>
    <x v="16"/>
    <x v="12"/>
    <x v="8"/>
    <x v="8"/>
    <x v="81"/>
    <x v="8"/>
    <x v="0"/>
    <x v="1"/>
    <x v="74"/>
    <s v="supplier@gmail.com"/>
  </r>
  <r>
    <x v="581"/>
    <x v="581"/>
    <x v="4"/>
    <x v="7"/>
    <x v="4"/>
    <x v="1"/>
    <x v="29"/>
    <x v="8"/>
    <x v="8"/>
    <x v="12"/>
    <x v="8"/>
    <x v="0"/>
    <x v="1"/>
    <x v="159"/>
    <s v="supplier@gmail.com"/>
  </r>
  <r>
    <x v="582"/>
    <x v="582"/>
    <x v="89"/>
    <x v="83"/>
    <x v="90"/>
    <x v="93"/>
    <x v="94"/>
    <x v="91"/>
    <x v="83"/>
    <x v="82"/>
    <x v="78"/>
    <x v="0"/>
    <x v="1"/>
    <x v="144"/>
    <s v="supplier@gmail.com"/>
  </r>
  <r>
    <x v="583"/>
    <x v="583"/>
    <x v="90"/>
    <x v="9"/>
    <x v="6"/>
    <x v="94"/>
    <x v="9"/>
    <x v="8"/>
    <x v="62"/>
    <x v="12"/>
    <x v="8"/>
    <x v="0"/>
    <x v="1"/>
    <x v="8"/>
    <s v="supplier@gmail.com"/>
  </r>
  <r>
    <x v="584"/>
    <x v="584"/>
    <x v="91"/>
    <x v="10"/>
    <x v="11"/>
    <x v="9"/>
    <x v="95"/>
    <x v="5"/>
    <x v="1"/>
    <x v="83"/>
    <x v="1"/>
    <x v="0"/>
    <x v="1"/>
    <x v="2"/>
    <s v="supplier@gmail.com"/>
  </r>
  <r>
    <x v="585"/>
    <x v="585"/>
    <x v="7"/>
    <x v="4"/>
    <x v="91"/>
    <x v="95"/>
    <x v="8"/>
    <x v="9"/>
    <x v="9"/>
    <x v="84"/>
    <x v="9"/>
    <x v="0"/>
    <x v="1"/>
    <x v="167"/>
    <s v="supplier@gmail.com"/>
  </r>
  <r>
    <x v="586"/>
    <x v="586"/>
    <x v="92"/>
    <x v="84"/>
    <x v="92"/>
    <x v="96"/>
    <x v="85"/>
    <x v="92"/>
    <x v="84"/>
    <x v="85"/>
    <x v="79"/>
    <x v="0"/>
    <x v="1"/>
    <x v="76"/>
    <s v="supplier@gmail.com"/>
  </r>
  <r>
    <x v="587"/>
    <x v="587"/>
    <x v="1"/>
    <x v="85"/>
    <x v="93"/>
    <x v="97"/>
    <x v="96"/>
    <x v="1"/>
    <x v="85"/>
    <x v="86"/>
    <x v="80"/>
    <x v="0"/>
    <x v="1"/>
    <x v="42"/>
    <s v="supplier@gmail.com"/>
  </r>
  <r>
    <x v="588"/>
    <x v="588"/>
    <x v="11"/>
    <x v="11"/>
    <x v="12"/>
    <x v="10"/>
    <x v="11"/>
    <x v="13"/>
    <x v="13"/>
    <x v="9"/>
    <x v="13"/>
    <x v="0"/>
    <x v="306"/>
    <x v="10"/>
    <s v="supplier@gmail.com"/>
  </r>
  <r>
    <x v="589"/>
    <x v="589"/>
    <x v="93"/>
    <x v="86"/>
    <x v="94"/>
    <x v="98"/>
    <x v="97"/>
    <x v="93"/>
    <x v="18"/>
    <x v="87"/>
    <x v="81"/>
    <x v="0"/>
    <x v="307"/>
    <x v="8"/>
    <s v="supplier@gmail.com"/>
  </r>
  <r>
    <x v="590"/>
    <x v="590"/>
    <x v="94"/>
    <x v="87"/>
    <x v="95"/>
    <x v="99"/>
    <x v="98"/>
    <x v="94"/>
    <x v="86"/>
    <x v="88"/>
    <x v="82"/>
    <x v="0"/>
    <x v="1"/>
    <x v="144"/>
    <s v="supplier@gmail.com"/>
  </r>
  <r>
    <x v="591"/>
    <x v="591"/>
    <x v="4"/>
    <x v="1"/>
    <x v="4"/>
    <x v="89"/>
    <x v="12"/>
    <x v="8"/>
    <x v="8"/>
    <x v="12"/>
    <x v="8"/>
    <x v="0"/>
    <x v="308"/>
    <x v="79"/>
    <s v="supplier@gmail.com"/>
  </r>
  <r>
    <x v="592"/>
    <x v="592"/>
    <x v="4"/>
    <x v="1"/>
    <x v="4"/>
    <x v="1"/>
    <x v="12"/>
    <x v="8"/>
    <x v="8"/>
    <x v="12"/>
    <x v="8"/>
    <x v="0"/>
    <x v="309"/>
    <x v="172"/>
    <s v="supplier@gmail.com"/>
  </r>
  <r>
    <x v="593"/>
    <x v="593"/>
    <x v="95"/>
    <x v="88"/>
    <x v="96"/>
    <x v="100"/>
    <x v="99"/>
    <x v="95"/>
    <x v="87"/>
    <x v="89"/>
    <x v="83"/>
    <x v="0"/>
    <x v="104"/>
    <x v="82"/>
    <s v="supplier@gmail.com"/>
  </r>
  <r>
    <x v="594"/>
    <x v="594"/>
    <x v="17"/>
    <x v="89"/>
    <x v="42"/>
    <x v="101"/>
    <x v="26"/>
    <x v="38"/>
    <x v="34"/>
    <x v="90"/>
    <x v="27"/>
    <x v="0"/>
    <x v="310"/>
    <x v="166"/>
    <s v="supplier@gmail.com"/>
  </r>
  <r>
    <x v="595"/>
    <x v="595"/>
    <x v="96"/>
    <x v="90"/>
    <x v="97"/>
    <x v="102"/>
    <x v="100"/>
    <x v="96"/>
    <x v="88"/>
    <x v="91"/>
    <x v="84"/>
    <x v="0"/>
    <x v="1"/>
    <x v="9"/>
    <s v="supplier@gmail.com"/>
  </r>
  <r>
    <x v="596"/>
    <x v="596"/>
    <x v="7"/>
    <x v="4"/>
    <x v="5"/>
    <x v="6"/>
    <x v="8"/>
    <x v="9"/>
    <x v="9"/>
    <x v="16"/>
    <x v="9"/>
    <x v="0"/>
    <x v="1"/>
    <x v="80"/>
    <s v="supplier@gmail.com"/>
  </r>
  <r>
    <x v="597"/>
    <x v="597"/>
    <x v="97"/>
    <x v="9"/>
    <x v="9"/>
    <x v="5"/>
    <x v="101"/>
    <x v="14"/>
    <x v="3"/>
    <x v="39"/>
    <x v="3"/>
    <x v="0"/>
    <x v="1"/>
    <x v="115"/>
    <s v="supplier@gmail.com"/>
  </r>
  <r>
    <x v="598"/>
    <x v="598"/>
    <x v="98"/>
    <x v="37"/>
    <x v="39"/>
    <x v="40"/>
    <x v="102"/>
    <x v="37"/>
    <x v="47"/>
    <x v="92"/>
    <x v="68"/>
    <x v="0"/>
    <x v="311"/>
    <x v="153"/>
    <s v="supplier@gmail.com"/>
  </r>
  <r>
    <x v="599"/>
    <x v="599"/>
    <x v="4"/>
    <x v="9"/>
    <x v="4"/>
    <x v="1"/>
    <x v="12"/>
    <x v="8"/>
    <x v="3"/>
    <x v="12"/>
    <x v="8"/>
    <x v="0"/>
    <x v="1"/>
    <x v="115"/>
    <s v="supplier@gmail.com"/>
  </r>
  <r>
    <x v="600"/>
    <x v="600"/>
    <x v="10"/>
    <x v="1"/>
    <x v="4"/>
    <x v="1"/>
    <x v="3"/>
    <x v="8"/>
    <x v="8"/>
    <x v="10"/>
    <x v="8"/>
    <x v="0"/>
    <x v="1"/>
    <x v="122"/>
    <s v="supplier@gmail.com"/>
  </r>
  <r>
    <x v="601"/>
    <x v="601"/>
    <x v="99"/>
    <x v="35"/>
    <x v="37"/>
    <x v="103"/>
    <x v="9"/>
    <x v="97"/>
    <x v="13"/>
    <x v="93"/>
    <x v="13"/>
    <x v="0"/>
    <x v="1"/>
    <x v="72"/>
    <s v="supplier@gmail.com"/>
  </r>
  <r>
    <x v="602"/>
    <x v="602"/>
    <x v="4"/>
    <x v="1"/>
    <x v="4"/>
    <x v="1"/>
    <x v="42"/>
    <x v="43"/>
    <x v="8"/>
    <x v="12"/>
    <x v="8"/>
    <x v="0"/>
    <x v="1"/>
    <x v="130"/>
    <s v="supplier@gmail.com"/>
  </r>
  <r>
    <x v="603"/>
    <x v="603"/>
    <x v="8"/>
    <x v="1"/>
    <x v="4"/>
    <x v="1"/>
    <x v="9"/>
    <x v="8"/>
    <x v="8"/>
    <x v="8"/>
    <x v="8"/>
    <x v="0"/>
    <x v="1"/>
    <x v="106"/>
    <s v="supplier@gmail.com"/>
  </r>
  <r>
    <x v="604"/>
    <x v="604"/>
    <x v="100"/>
    <x v="91"/>
    <x v="98"/>
    <x v="104"/>
    <x v="12"/>
    <x v="8"/>
    <x v="8"/>
    <x v="12"/>
    <x v="8"/>
    <x v="0"/>
    <x v="1"/>
    <x v="19"/>
    <s v="supplier@gmail.com"/>
  </r>
  <r>
    <x v="605"/>
    <x v="605"/>
    <x v="100"/>
    <x v="44"/>
    <x v="98"/>
    <x v="104"/>
    <x v="12"/>
    <x v="8"/>
    <x v="8"/>
    <x v="12"/>
    <x v="8"/>
    <x v="0"/>
    <x v="1"/>
    <x v="125"/>
    <s v="supplier@gmail.com"/>
  </r>
  <r>
    <x v="606"/>
    <x v="606"/>
    <x v="100"/>
    <x v="44"/>
    <x v="98"/>
    <x v="104"/>
    <x v="12"/>
    <x v="8"/>
    <x v="8"/>
    <x v="12"/>
    <x v="8"/>
    <x v="0"/>
    <x v="312"/>
    <x v="83"/>
    <s v="supplier@gmail.com"/>
  </r>
  <r>
    <x v="607"/>
    <x v="607"/>
    <x v="101"/>
    <x v="1"/>
    <x v="42"/>
    <x v="15"/>
    <x v="26"/>
    <x v="8"/>
    <x v="8"/>
    <x v="12"/>
    <x v="17"/>
    <x v="0"/>
    <x v="313"/>
    <x v="119"/>
    <s v="supplier@gmail.com"/>
  </r>
  <r>
    <x v="608"/>
    <x v="608"/>
    <x v="58"/>
    <x v="92"/>
    <x v="99"/>
    <x v="105"/>
    <x v="103"/>
    <x v="98"/>
    <x v="42"/>
    <x v="85"/>
    <x v="33"/>
    <x v="0"/>
    <x v="1"/>
    <x v="4"/>
    <s v="supplier@gmail.com"/>
  </r>
  <r>
    <x v="609"/>
    <x v="609"/>
    <x v="102"/>
    <x v="93"/>
    <x v="100"/>
    <x v="106"/>
    <x v="8"/>
    <x v="82"/>
    <x v="67"/>
    <x v="94"/>
    <x v="21"/>
    <x v="0"/>
    <x v="1"/>
    <x v="133"/>
    <s v="supplier@gmail.com"/>
  </r>
  <r>
    <x v="610"/>
    <x v="610"/>
    <x v="103"/>
    <x v="94"/>
    <x v="101"/>
    <x v="107"/>
    <x v="1"/>
    <x v="99"/>
    <x v="3"/>
    <x v="95"/>
    <x v="20"/>
    <x v="0"/>
    <x v="314"/>
    <x v="133"/>
    <s v="supplier@gmail.com"/>
  </r>
  <r>
    <x v="611"/>
    <x v="611"/>
    <x v="104"/>
    <x v="35"/>
    <x v="11"/>
    <x v="9"/>
    <x v="104"/>
    <x v="1"/>
    <x v="89"/>
    <x v="55"/>
    <x v="85"/>
    <x v="0"/>
    <x v="1"/>
    <x v="80"/>
    <s v="supplier@gmail.com"/>
  </r>
  <r>
    <x v="612"/>
    <x v="612"/>
    <x v="27"/>
    <x v="44"/>
    <x v="10"/>
    <x v="8"/>
    <x v="21"/>
    <x v="12"/>
    <x v="9"/>
    <x v="1"/>
    <x v="9"/>
    <x v="0"/>
    <x v="315"/>
    <x v="22"/>
    <s v="supplier@gmail.com"/>
  </r>
  <r>
    <x v="613"/>
    <x v="613"/>
    <x v="105"/>
    <x v="95"/>
    <x v="102"/>
    <x v="108"/>
    <x v="105"/>
    <x v="43"/>
    <x v="8"/>
    <x v="96"/>
    <x v="86"/>
    <x v="0"/>
    <x v="316"/>
    <x v="120"/>
    <s v="supplier@gmail.com"/>
  </r>
  <r>
    <x v="614"/>
    <x v="614"/>
    <x v="8"/>
    <x v="11"/>
    <x v="103"/>
    <x v="109"/>
    <x v="9"/>
    <x v="100"/>
    <x v="90"/>
    <x v="97"/>
    <x v="87"/>
    <x v="0"/>
    <x v="138"/>
    <x v="86"/>
    <s v="supplier@gmail.com"/>
  </r>
  <r>
    <x v="615"/>
    <x v="615"/>
    <x v="8"/>
    <x v="11"/>
    <x v="103"/>
    <x v="109"/>
    <x v="9"/>
    <x v="100"/>
    <x v="90"/>
    <x v="97"/>
    <x v="87"/>
    <x v="0"/>
    <x v="317"/>
    <x v="187"/>
    <s v="supplier@gmail.com"/>
  </r>
  <r>
    <x v="616"/>
    <x v="616"/>
    <x v="104"/>
    <x v="35"/>
    <x v="11"/>
    <x v="9"/>
    <x v="104"/>
    <x v="1"/>
    <x v="89"/>
    <x v="55"/>
    <x v="85"/>
    <x v="0"/>
    <x v="318"/>
    <x v="188"/>
    <s v="supplier@gmail.com"/>
  </r>
  <r>
    <x v="617"/>
    <x v="617"/>
    <x v="27"/>
    <x v="44"/>
    <x v="10"/>
    <x v="8"/>
    <x v="21"/>
    <x v="12"/>
    <x v="9"/>
    <x v="1"/>
    <x v="9"/>
    <x v="0"/>
    <x v="319"/>
    <x v="87"/>
    <s v="supplier@gmail.com"/>
  </r>
  <r>
    <x v="618"/>
    <x v="618"/>
    <x v="58"/>
    <x v="92"/>
    <x v="99"/>
    <x v="105"/>
    <x v="103"/>
    <x v="98"/>
    <x v="42"/>
    <x v="85"/>
    <x v="33"/>
    <x v="0"/>
    <x v="320"/>
    <x v="72"/>
    <s v="supplier@gmail.com"/>
  </r>
  <r>
    <x v="619"/>
    <x v="619"/>
    <x v="44"/>
    <x v="1"/>
    <x v="4"/>
    <x v="1"/>
    <x v="27"/>
    <x v="8"/>
    <x v="8"/>
    <x v="12"/>
    <x v="8"/>
    <x v="0"/>
    <x v="321"/>
    <x v="130"/>
    <s v="supplier@gmail.com"/>
  </r>
  <r>
    <x v="620"/>
    <x v="620"/>
    <x v="44"/>
    <x v="1"/>
    <x v="4"/>
    <x v="1"/>
    <x v="27"/>
    <x v="8"/>
    <x v="8"/>
    <x v="12"/>
    <x v="8"/>
    <x v="0"/>
    <x v="7"/>
    <x v="91"/>
    <s v="supplier@gmail.com"/>
  </r>
  <r>
    <x v="621"/>
    <x v="621"/>
    <x v="4"/>
    <x v="86"/>
    <x v="4"/>
    <x v="1"/>
    <x v="12"/>
    <x v="8"/>
    <x v="8"/>
    <x v="12"/>
    <x v="8"/>
    <x v="0"/>
    <x v="1"/>
    <x v="177"/>
    <s v="supplier@gmail.com"/>
  </r>
  <r>
    <x v="622"/>
    <x v="622"/>
    <x v="93"/>
    <x v="96"/>
    <x v="104"/>
    <x v="33"/>
    <x v="12"/>
    <x v="8"/>
    <x v="8"/>
    <x v="12"/>
    <x v="8"/>
    <x v="0"/>
    <x v="1"/>
    <x v="130"/>
    <s v="supplier@gmail.com"/>
  </r>
  <r>
    <x v="623"/>
    <x v="623"/>
    <x v="106"/>
    <x v="97"/>
    <x v="29"/>
    <x v="37"/>
    <x v="12"/>
    <x v="8"/>
    <x v="8"/>
    <x v="12"/>
    <x v="8"/>
    <x v="0"/>
    <x v="7"/>
    <x v="34"/>
    <s v="supplier@gmail.com"/>
  </r>
  <r>
    <x v="624"/>
    <x v="624"/>
    <x v="4"/>
    <x v="86"/>
    <x v="4"/>
    <x v="1"/>
    <x v="12"/>
    <x v="8"/>
    <x v="8"/>
    <x v="12"/>
    <x v="8"/>
    <x v="0"/>
    <x v="322"/>
    <x v="124"/>
    <s v="supplier@gmail.com"/>
  </r>
  <r>
    <x v="625"/>
    <x v="625"/>
    <x v="107"/>
    <x v="2"/>
    <x v="105"/>
    <x v="110"/>
    <x v="106"/>
    <x v="101"/>
    <x v="91"/>
    <x v="98"/>
    <x v="88"/>
    <x v="0"/>
    <x v="323"/>
    <x v="183"/>
    <s v="supplier@gmail.com"/>
  </r>
  <r>
    <x v="626"/>
    <x v="626"/>
    <x v="108"/>
    <x v="98"/>
    <x v="106"/>
    <x v="111"/>
    <x v="107"/>
    <x v="102"/>
    <x v="92"/>
    <x v="99"/>
    <x v="89"/>
    <x v="0"/>
    <x v="324"/>
    <x v="188"/>
    <s v="supplier@gmail.com"/>
  </r>
  <r>
    <x v="627"/>
    <x v="627"/>
    <x v="109"/>
    <x v="99"/>
    <x v="107"/>
    <x v="112"/>
    <x v="108"/>
    <x v="103"/>
    <x v="93"/>
    <x v="100"/>
    <x v="90"/>
    <x v="0"/>
    <x v="325"/>
    <x v="22"/>
    <s v="supplier@gmail.com"/>
  </r>
  <r>
    <x v="628"/>
    <x v="628"/>
    <x v="110"/>
    <x v="100"/>
    <x v="108"/>
    <x v="113"/>
    <x v="109"/>
    <x v="104"/>
    <x v="7"/>
    <x v="101"/>
    <x v="91"/>
    <x v="0"/>
    <x v="326"/>
    <x v="10"/>
    <s v="supplier@gmail.com"/>
  </r>
  <r>
    <x v="629"/>
    <x v="629"/>
    <x v="111"/>
    <x v="101"/>
    <x v="109"/>
    <x v="114"/>
    <x v="110"/>
    <x v="105"/>
    <x v="94"/>
    <x v="102"/>
    <x v="92"/>
    <x v="0"/>
    <x v="327"/>
    <x v="119"/>
    <s v="supplier@gmail.com"/>
  </r>
  <r>
    <x v="630"/>
    <x v="630"/>
    <x v="112"/>
    <x v="102"/>
    <x v="110"/>
    <x v="58"/>
    <x v="103"/>
    <x v="106"/>
    <x v="95"/>
    <x v="103"/>
    <x v="13"/>
    <x v="0"/>
    <x v="328"/>
    <x v="0"/>
    <s v="supplier@gmail.com"/>
  </r>
  <r>
    <x v="631"/>
    <x v="631"/>
    <x v="112"/>
    <x v="102"/>
    <x v="110"/>
    <x v="10"/>
    <x v="9"/>
    <x v="107"/>
    <x v="96"/>
    <x v="30"/>
    <x v="19"/>
    <x v="0"/>
    <x v="329"/>
    <x v="170"/>
    <s v="supplier@gmail.com"/>
  </r>
  <r>
    <x v="632"/>
    <x v="632"/>
    <x v="113"/>
    <x v="19"/>
    <x v="111"/>
    <x v="42"/>
    <x v="44"/>
    <x v="108"/>
    <x v="22"/>
    <x v="36"/>
    <x v="19"/>
    <x v="0"/>
    <x v="330"/>
    <x v="120"/>
    <s v="supplier@gmail.com"/>
  </r>
  <r>
    <x v="633"/>
    <x v="633"/>
    <x v="114"/>
    <x v="19"/>
    <x v="112"/>
    <x v="39"/>
    <x v="109"/>
    <x v="109"/>
    <x v="6"/>
    <x v="97"/>
    <x v="32"/>
    <x v="0"/>
    <x v="331"/>
    <x v="3"/>
    <s v="supplier@gmail.com"/>
  </r>
  <r>
    <x v="634"/>
    <x v="634"/>
    <x v="63"/>
    <x v="102"/>
    <x v="113"/>
    <x v="115"/>
    <x v="76"/>
    <x v="110"/>
    <x v="97"/>
    <x v="81"/>
    <x v="93"/>
    <x v="0"/>
    <x v="332"/>
    <x v="11"/>
    <s v="supplier@gmail.com"/>
  </r>
  <r>
    <x v="635"/>
    <x v="635"/>
    <x v="18"/>
    <x v="1"/>
    <x v="16"/>
    <x v="19"/>
    <x v="17"/>
    <x v="18"/>
    <x v="17"/>
    <x v="19"/>
    <x v="17"/>
    <x v="0"/>
    <x v="333"/>
    <x v="89"/>
    <s v="supplier@gmail.com"/>
  </r>
  <r>
    <x v="636"/>
    <x v="636"/>
    <x v="115"/>
    <x v="32"/>
    <x v="114"/>
    <x v="116"/>
    <x v="29"/>
    <x v="111"/>
    <x v="98"/>
    <x v="29"/>
    <x v="28"/>
    <x v="0"/>
    <x v="334"/>
    <x v="32"/>
    <s v="supplier@gmail.com"/>
  </r>
  <r>
    <x v="637"/>
    <x v="637"/>
    <x v="116"/>
    <x v="103"/>
    <x v="115"/>
    <x v="117"/>
    <x v="111"/>
    <x v="45"/>
    <x v="99"/>
    <x v="104"/>
    <x v="94"/>
    <x v="0"/>
    <x v="335"/>
    <x v="87"/>
    <s v="supplier@gmail.com"/>
  </r>
  <r>
    <x v="638"/>
    <x v="638"/>
    <x v="32"/>
    <x v="32"/>
    <x v="30"/>
    <x v="16"/>
    <x v="17"/>
    <x v="30"/>
    <x v="31"/>
    <x v="19"/>
    <x v="17"/>
    <x v="0"/>
    <x v="336"/>
    <x v="147"/>
    <s v="supplier@gmail.com"/>
  </r>
  <r>
    <x v="639"/>
    <x v="639"/>
    <x v="16"/>
    <x v="1"/>
    <x v="34"/>
    <x v="15"/>
    <x v="27"/>
    <x v="32"/>
    <x v="26"/>
    <x v="0"/>
    <x v="0"/>
    <x v="0"/>
    <x v="137"/>
    <x v="46"/>
    <s v="supplier@gmail.com"/>
  </r>
  <r>
    <x v="640"/>
    <x v="640"/>
    <x v="4"/>
    <x v="1"/>
    <x v="4"/>
    <x v="1"/>
    <x v="12"/>
    <x v="8"/>
    <x v="8"/>
    <x v="12"/>
    <x v="8"/>
    <x v="0"/>
    <x v="337"/>
    <x v="80"/>
    <s v="supplier@gmail.com"/>
  </r>
  <r>
    <x v="641"/>
    <x v="641"/>
    <x v="4"/>
    <x v="1"/>
    <x v="4"/>
    <x v="37"/>
    <x v="89"/>
    <x v="31"/>
    <x v="29"/>
    <x v="101"/>
    <x v="95"/>
    <x v="0"/>
    <x v="302"/>
    <x v="125"/>
    <s v="supplier@gmail.com"/>
  </r>
  <r>
    <x v="642"/>
    <x v="642"/>
    <x v="4"/>
    <x v="1"/>
    <x v="4"/>
    <x v="19"/>
    <x v="25"/>
    <x v="25"/>
    <x v="26"/>
    <x v="25"/>
    <x v="23"/>
    <x v="0"/>
    <x v="1"/>
    <x v="43"/>
    <s v="supplier@gmail.com"/>
  </r>
  <r>
    <x v="643"/>
    <x v="643"/>
    <x v="4"/>
    <x v="1"/>
    <x v="4"/>
    <x v="1"/>
    <x v="12"/>
    <x v="8"/>
    <x v="8"/>
    <x v="12"/>
    <x v="8"/>
    <x v="0"/>
    <x v="338"/>
    <x v="64"/>
    <s v="supplier@gmail.com"/>
  </r>
  <r>
    <x v="644"/>
    <x v="644"/>
    <x v="117"/>
    <x v="104"/>
    <x v="116"/>
    <x v="118"/>
    <x v="94"/>
    <x v="112"/>
    <x v="100"/>
    <x v="105"/>
    <x v="96"/>
    <x v="0"/>
    <x v="339"/>
    <x v="98"/>
    <s v="supplier@gmail.com"/>
  </r>
  <r>
    <x v="645"/>
    <x v="645"/>
    <x v="7"/>
    <x v="8"/>
    <x v="38"/>
    <x v="36"/>
    <x v="8"/>
    <x v="13"/>
    <x v="67"/>
    <x v="65"/>
    <x v="74"/>
    <x v="0"/>
    <x v="340"/>
    <x v="164"/>
    <s v="supplier@gmail.com"/>
  </r>
  <r>
    <x v="646"/>
    <x v="646"/>
    <x v="4"/>
    <x v="1"/>
    <x v="4"/>
    <x v="119"/>
    <x v="112"/>
    <x v="113"/>
    <x v="8"/>
    <x v="90"/>
    <x v="97"/>
    <x v="0"/>
    <x v="341"/>
    <x v="37"/>
    <s v="supplier@gmail.com"/>
  </r>
  <r>
    <x v="647"/>
    <x v="647"/>
    <x v="0"/>
    <x v="0"/>
    <x v="30"/>
    <x v="33"/>
    <x v="32"/>
    <x v="28"/>
    <x v="0"/>
    <x v="28"/>
    <x v="18"/>
    <x v="0"/>
    <x v="1"/>
    <x v="173"/>
    <s v="supplier@gmail.com"/>
  </r>
  <r>
    <x v="648"/>
    <x v="648"/>
    <x v="118"/>
    <x v="105"/>
    <x v="117"/>
    <x v="3"/>
    <x v="113"/>
    <x v="8"/>
    <x v="8"/>
    <x v="12"/>
    <x v="8"/>
    <x v="0"/>
    <x v="342"/>
    <x v="189"/>
    <s v="supplier@gmail.com"/>
  </r>
  <r>
    <x v="649"/>
    <x v="649"/>
    <x v="119"/>
    <x v="106"/>
    <x v="71"/>
    <x v="120"/>
    <x v="97"/>
    <x v="8"/>
    <x v="8"/>
    <x v="12"/>
    <x v="8"/>
    <x v="0"/>
    <x v="343"/>
    <x v="130"/>
    <s v="supplier@gmail.com"/>
  </r>
  <r>
    <x v="650"/>
    <x v="650"/>
    <x v="18"/>
    <x v="33"/>
    <x v="17"/>
    <x v="17"/>
    <x v="26"/>
    <x v="8"/>
    <x v="8"/>
    <x v="12"/>
    <x v="8"/>
    <x v="0"/>
    <x v="344"/>
    <x v="181"/>
    <s v="supplier@gmail.com"/>
  </r>
  <r>
    <x v="651"/>
    <x v="651"/>
    <x v="18"/>
    <x v="33"/>
    <x v="17"/>
    <x v="31"/>
    <x v="26"/>
    <x v="8"/>
    <x v="8"/>
    <x v="12"/>
    <x v="8"/>
    <x v="0"/>
    <x v="345"/>
    <x v="120"/>
    <s v="supplier@gmail.com"/>
  </r>
  <r>
    <x v="652"/>
    <x v="652"/>
    <x v="16"/>
    <x v="19"/>
    <x v="70"/>
    <x v="17"/>
    <x v="30"/>
    <x v="8"/>
    <x v="8"/>
    <x v="12"/>
    <x v="8"/>
    <x v="0"/>
    <x v="1"/>
    <x v="121"/>
    <s v="supplier@gmail.com"/>
  </r>
  <r>
    <x v="653"/>
    <x v="653"/>
    <x v="93"/>
    <x v="107"/>
    <x v="42"/>
    <x v="33"/>
    <x v="32"/>
    <x v="8"/>
    <x v="8"/>
    <x v="12"/>
    <x v="8"/>
    <x v="0"/>
    <x v="1"/>
    <x v="190"/>
    <s v="supplier@gmail.com"/>
  </r>
  <r>
    <x v="654"/>
    <x v="654"/>
    <x v="101"/>
    <x v="108"/>
    <x v="15"/>
    <x v="19"/>
    <x v="25"/>
    <x v="8"/>
    <x v="8"/>
    <x v="12"/>
    <x v="8"/>
    <x v="0"/>
    <x v="199"/>
    <x v="107"/>
    <s v="supplier@gmail.com"/>
  </r>
  <r>
    <x v="655"/>
    <x v="655"/>
    <x v="36"/>
    <x v="1"/>
    <x v="4"/>
    <x v="1"/>
    <x v="12"/>
    <x v="8"/>
    <x v="8"/>
    <x v="12"/>
    <x v="8"/>
    <x v="0"/>
    <x v="84"/>
    <x v="50"/>
    <s v="supplier@gmail.com"/>
  </r>
  <r>
    <x v="656"/>
    <x v="656"/>
    <x v="93"/>
    <x v="1"/>
    <x v="104"/>
    <x v="33"/>
    <x v="12"/>
    <x v="8"/>
    <x v="8"/>
    <x v="12"/>
    <x v="8"/>
    <x v="0"/>
    <x v="346"/>
    <x v="131"/>
    <s v="supplier@gmail.com"/>
  </r>
  <r>
    <x v="657"/>
    <x v="657"/>
    <x v="120"/>
    <x v="1"/>
    <x v="118"/>
    <x v="9"/>
    <x v="12"/>
    <x v="8"/>
    <x v="8"/>
    <x v="12"/>
    <x v="8"/>
    <x v="0"/>
    <x v="3"/>
    <x v="129"/>
    <s v="supplier@gmail.com"/>
  </r>
  <r>
    <x v="658"/>
    <x v="658"/>
    <x v="44"/>
    <x v="1"/>
    <x v="4"/>
    <x v="15"/>
    <x v="12"/>
    <x v="8"/>
    <x v="8"/>
    <x v="12"/>
    <x v="8"/>
    <x v="0"/>
    <x v="347"/>
    <x v="151"/>
    <s v="supplier@gmail.com"/>
  </r>
  <r>
    <x v="659"/>
    <x v="659"/>
    <x v="121"/>
    <x v="1"/>
    <x v="119"/>
    <x v="121"/>
    <x v="12"/>
    <x v="8"/>
    <x v="8"/>
    <x v="12"/>
    <x v="8"/>
    <x v="0"/>
    <x v="348"/>
    <x v="110"/>
    <s v="supplier@gmail.com"/>
  </r>
  <r>
    <x v="660"/>
    <x v="660"/>
    <x v="24"/>
    <x v="1"/>
    <x v="37"/>
    <x v="103"/>
    <x v="12"/>
    <x v="8"/>
    <x v="8"/>
    <x v="12"/>
    <x v="8"/>
    <x v="0"/>
    <x v="349"/>
    <x v="38"/>
    <s v="supplier@gmail.com"/>
  </r>
  <r>
    <x v="661"/>
    <x v="661"/>
    <x v="93"/>
    <x v="1"/>
    <x v="104"/>
    <x v="33"/>
    <x v="12"/>
    <x v="8"/>
    <x v="8"/>
    <x v="12"/>
    <x v="8"/>
    <x v="0"/>
    <x v="349"/>
    <x v="170"/>
    <s v="supplier@gmail.com"/>
  </r>
  <r>
    <x v="662"/>
    <x v="662"/>
    <x v="0"/>
    <x v="1"/>
    <x v="4"/>
    <x v="0"/>
    <x v="12"/>
    <x v="8"/>
    <x v="8"/>
    <x v="12"/>
    <x v="8"/>
    <x v="0"/>
    <x v="350"/>
    <x v="38"/>
    <s v="supplier@gmail.com"/>
  </r>
  <r>
    <x v="663"/>
    <x v="663"/>
    <x v="122"/>
    <x v="1"/>
    <x v="118"/>
    <x v="106"/>
    <x v="12"/>
    <x v="8"/>
    <x v="8"/>
    <x v="12"/>
    <x v="8"/>
    <x v="0"/>
    <x v="235"/>
    <x v="142"/>
    <s v="supplier@gmail.com"/>
  </r>
  <r>
    <x v="664"/>
    <x v="664"/>
    <x v="121"/>
    <x v="1"/>
    <x v="119"/>
    <x v="121"/>
    <x v="12"/>
    <x v="8"/>
    <x v="8"/>
    <x v="12"/>
    <x v="8"/>
    <x v="0"/>
    <x v="194"/>
    <x v="76"/>
    <s v="supplier@gmail.com"/>
  </r>
  <r>
    <x v="665"/>
    <x v="665"/>
    <x v="123"/>
    <x v="1"/>
    <x v="120"/>
    <x v="122"/>
    <x v="12"/>
    <x v="8"/>
    <x v="8"/>
    <x v="12"/>
    <x v="8"/>
    <x v="0"/>
    <x v="7"/>
    <x v="60"/>
    <s v="supplier@gmail.com"/>
  </r>
  <r>
    <x v="666"/>
    <x v="666"/>
    <x v="44"/>
    <x v="1"/>
    <x v="4"/>
    <x v="15"/>
    <x v="12"/>
    <x v="8"/>
    <x v="8"/>
    <x v="12"/>
    <x v="8"/>
    <x v="0"/>
    <x v="351"/>
    <x v="31"/>
    <s v="supplier@gmail.com"/>
  </r>
  <r>
    <x v="667"/>
    <x v="667"/>
    <x v="79"/>
    <x v="1"/>
    <x v="37"/>
    <x v="103"/>
    <x v="12"/>
    <x v="8"/>
    <x v="8"/>
    <x v="12"/>
    <x v="8"/>
    <x v="0"/>
    <x v="338"/>
    <x v="83"/>
    <s v="supplier@gmail.com"/>
  </r>
  <r>
    <x v="668"/>
    <x v="668"/>
    <x v="124"/>
    <x v="1"/>
    <x v="4"/>
    <x v="1"/>
    <x v="12"/>
    <x v="8"/>
    <x v="8"/>
    <x v="12"/>
    <x v="8"/>
    <x v="0"/>
    <x v="89"/>
    <x v="96"/>
    <s v="supplier@gmail.com"/>
  </r>
  <r>
    <x v="669"/>
    <x v="669"/>
    <x v="114"/>
    <x v="1"/>
    <x v="4"/>
    <x v="1"/>
    <x v="12"/>
    <x v="8"/>
    <x v="8"/>
    <x v="12"/>
    <x v="8"/>
    <x v="0"/>
    <x v="352"/>
    <x v="171"/>
    <s v="supplier@gmail.com"/>
  </r>
  <r>
    <x v="670"/>
    <x v="670"/>
    <x v="125"/>
    <x v="1"/>
    <x v="68"/>
    <x v="87"/>
    <x v="114"/>
    <x v="90"/>
    <x v="77"/>
    <x v="1"/>
    <x v="8"/>
    <x v="0"/>
    <x v="147"/>
    <x v="113"/>
    <s v="supplier@gmail.com"/>
  </r>
  <r>
    <x v="671"/>
    <x v="671"/>
    <x v="4"/>
    <x v="1"/>
    <x v="4"/>
    <x v="1"/>
    <x v="12"/>
    <x v="8"/>
    <x v="8"/>
    <x v="12"/>
    <x v="8"/>
    <x v="0"/>
    <x v="1"/>
    <x v="77"/>
    <s v="supplier@gmail.com"/>
  </r>
  <r>
    <x v="672"/>
    <x v="672"/>
    <x v="4"/>
    <x v="1"/>
    <x v="4"/>
    <x v="1"/>
    <x v="12"/>
    <x v="8"/>
    <x v="8"/>
    <x v="12"/>
    <x v="8"/>
    <x v="0"/>
    <x v="36"/>
    <x v="114"/>
    <s v="supplier@gmail.com"/>
  </r>
  <r>
    <x v="673"/>
    <x v="673"/>
    <x v="4"/>
    <x v="1"/>
    <x v="15"/>
    <x v="15"/>
    <x v="12"/>
    <x v="8"/>
    <x v="8"/>
    <x v="32"/>
    <x v="8"/>
    <x v="0"/>
    <x v="353"/>
    <x v="133"/>
    <s v="supplier@gmail.com"/>
  </r>
  <r>
    <x v="674"/>
    <x v="674"/>
    <x v="4"/>
    <x v="1"/>
    <x v="4"/>
    <x v="1"/>
    <x v="12"/>
    <x v="8"/>
    <x v="8"/>
    <x v="12"/>
    <x v="8"/>
    <x v="0"/>
    <x v="354"/>
    <x v="191"/>
    <s v="supplier@gmail.com"/>
  </r>
  <r>
    <x v="675"/>
    <x v="675"/>
    <x v="18"/>
    <x v="17"/>
    <x v="30"/>
    <x v="31"/>
    <x v="26"/>
    <x v="26"/>
    <x v="77"/>
    <x v="12"/>
    <x v="8"/>
    <x v="0"/>
    <x v="354"/>
    <x v="144"/>
    <s v="supplier@gmail.com"/>
  </r>
  <r>
    <x v="676"/>
    <x v="676"/>
    <x v="106"/>
    <x v="108"/>
    <x v="32"/>
    <x v="71"/>
    <x v="44"/>
    <x v="114"/>
    <x v="101"/>
    <x v="12"/>
    <x v="8"/>
    <x v="0"/>
    <x v="201"/>
    <x v="63"/>
    <s v="supplier@gmail.com"/>
  </r>
  <r>
    <x v="677"/>
    <x v="677"/>
    <x v="121"/>
    <x v="98"/>
    <x v="121"/>
    <x v="123"/>
    <x v="12"/>
    <x v="8"/>
    <x v="8"/>
    <x v="12"/>
    <x v="8"/>
    <x v="0"/>
    <x v="351"/>
    <x v="166"/>
    <s v="supplier@gmail.com"/>
  </r>
  <r>
    <x v="678"/>
    <x v="678"/>
    <x v="126"/>
    <x v="109"/>
    <x v="122"/>
    <x v="124"/>
    <x v="115"/>
    <x v="115"/>
    <x v="102"/>
    <x v="106"/>
    <x v="15"/>
    <x v="0"/>
    <x v="1"/>
    <x v="24"/>
    <s v="supplier@gmail.com"/>
  </r>
  <r>
    <x v="679"/>
    <x v="679"/>
    <x v="4"/>
    <x v="1"/>
    <x v="4"/>
    <x v="1"/>
    <x v="12"/>
    <x v="8"/>
    <x v="8"/>
    <x v="12"/>
    <x v="8"/>
    <x v="0"/>
    <x v="1"/>
    <x v="190"/>
    <s v="supplier@gmail.com"/>
  </r>
  <r>
    <x v="680"/>
    <x v="680"/>
    <x v="101"/>
    <x v="110"/>
    <x v="42"/>
    <x v="19"/>
    <x v="12"/>
    <x v="8"/>
    <x v="8"/>
    <x v="12"/>
    <x v="8"/>
    <x v="0"/>
    <x v="1"/>
    <x v="53"/>
    <s v="supplier@gmail.com"/>
  </r>
  <r>
    <x v="681"/>
    <x v="681"/>
    <x v="4"/>
    <x v="1"/>
    <x v="4"/>
    <x v="1"/>
    <x v="12"/>
    <x v="8"/>
    <x v="8"/>
    <x v="12"/>
    <x v="8"/>
    <x v="0"/>
    <x v="1"/>
    <x v="150"/>
    <s v="supplier@gmail.com"/>
  </r>
  <r>
    <x v="682"/>
    <x v="682"/>
    <x v="16"/>
    <x v="19"/>
    <x v="70"/>
    <x v="73"/>
    <x v="30"/>
    <x v="8"/>
    <x v="8"/>
    <x v="12"/>
    <x v="8"/>
    <x v="0"/>
    <x v="1"/>
    <x v="105"/>
    <s v="supplier@gmail.com"/>
  </r>
  <r>
    <x v="683"/>
    <x v="683"/>
    <x v="0"/>
    <x v="17"/>
    <x v="35"/>
    <x v="125"/>
    <x v="0"/>
    <x v="8"/>
    <x v="8"/>
    <x v="12"/>
    <x v="8"/>
    <x v="0"/>
    <x v="1"/>
    <x v="5"/>
    <s v="supplier@gmail.com"/>
  </r>
  <r>
    <x v="684"/>
    <x v="684"/>
    <x v="44"/>
    <x v="76"/>
    <x v="0"/>
    <x v="0"/>
    <x v="27"/>
    <x v="8"/>
    <x v="8"/>
    <x v="12"/>
    <x v="8"/>
    <x v="0"/>
    <x v="1"/>
    <x v="152"/>
    <s v="supplier@gmail.com"/>
  </r>
  <r>
    <x v="685"/>
    <x v="685"/>
    <x v="44"/>
    <x v="76"/>
    <x v="0"/>
    <x v="0"/>
    <x v="27"/>
    <x v="8"/>
    <x v="8"/>
    <x v="12"/>
    <x v="8"/>
    <x v="0"/>
    <x v="7"/>
    <x v="29"/>
    <s v="supplier@gmail.com"/>
  </r>
  <r>
    <x v="686"/>
    <x v="686"/>
    <x v="4"/>
    <x v="1"/>
    <x v="4"/>
    <x v="1"/>
    <x v="12"/>
    <x v="8"/>
    <x v="8"/>
    <x v="12"/>
    <x v="8"/>
    <x v="0"/>
    <x v="7"/>
    <x v="2"/>
    <s v="supplier@gmail.com"/>
  </r>
  <r>
    <x v="687"/>
    <x v="687"/>
    <x v="16"/>
    <x v="19"/>
    <x v="70"/>
    <x v="17"/>
    <x v="30"/>
    <x v="8"/>
    <x v="8"/>
    <x v="12"/>
    <x v="8"/>
    <x v="0"/>
    <x v="267"/>
    <x v="140"/>
    <s v="supplier@gmail.com"/>
  </r>
  <r>
    <x v="688"/>
    <x v="688"/>
    <x v="0"/>
    <x v="17"/>
    <x v="35"/>
    <x v="0"/>
    <x v="0"/>
    <x v="8"/>
    <x v="8"/>
    <x v="12"/>
    <x v="8"/>
    <x v="0"/>
    <x v="1"/>
    <x v="53"/>
    <s v="supplier@gmail.com"/>
  </r>
  <r>
    <x v="689"/>
    <x v="689"/>
    <x v="0"/>
    <x v="17"/>
    <x v="35"/>
    <x v="125"/>
    <x v="0"/>
    <x v="8"/>
    <x v="8"/>
    <x v="12"/>
    <x v="8"/>
    <x v="0"/>
    <x v="1"/>
    <x v="175"/>
    <s v="supplier@gmail.com"/>
  </r>
  <r>
    <x v="690"/>
    <x v="690"/>
    <x v="0"/>
    <x v="17"/>
    <x v="35"/>
    <x v="125"/>
    <x v="0"/>
    <x v="8"/>
    <x v="8"/>
    <x v="12"/>
    <x v="8"/>
    <x v="0"/>
    <x v="1"/>
    <x v="168"/>
    <s v="supplier@gmail.com"/>
  </r>
  <r>
    <x v="691"/>
    <x v="691"/>
    <x v="0"/>
    <x v="17"/>
    <x v="35"/>
    <x v="0"/>
    <x v="12"/>
    <x v="8"/>
    <x v="8"/>
    <x v="12"/>
    <x v="8"/>
    <x v="0"/>
    <x v="1"/>
    <x v="137"/>
    <s v="supplier@gmail.com"/>
  </r>
  <r>
    <x v="692"/>
    <x v="692"/>
    <x v="0"/>
    <x v="17"/>
    <x v="35"/>
    <x v="0"/>
    <x v="12"/>
    <x v="8"/>
    <x v="8"/>
    <x v="12"/>
    <x v="8"/>
    <x v="0"/>
    <x v="1"/>
    <x v="14"/>
    <s v="supplier@gmail.com"/>
  </r>
  <r>
    <x v="693"/>
    <x v="693"/>
    <x v="0"/>
    <x v="17"/>
    <x v="35"/>
    <x v="0"/>
    <x v="12"/>
    <x v="8"/>
    <x v="8"/>
    <x v="12"/>
    <x v="8"/>
    <x v="0"/>
    <x v="1"/>
    <x v="43"/>
    <s v="supplier@gmail.com"/>
  </r>
  <r>
    <x v="694"/>
    <x v="694"/>
    <x v="0"/>
    <x v="17"/>
    <x v="35"/>
    <x v="0"/>
    <x v="12"/>
    <x v="8"/>
    <x v="8"/>
    <x v="12"/>
    <x v="8"/>
    <x v="0"/>
    <x v="1"/>
    <x v="26"/>
    <s v="supplier@gmail.com"/>
  </r>
  <r>
    <x v="695"/>
    <x v="695"/>
    <x v="0"/>
    <x v="17"/>
    <x v="35"/>
    <x v="0"/>
    <x v="12"/>
    <x v="8"/>
    <x v="8"/>
    <x v="12"/>
    <x v="8"/>
    <x v="0"/>
    <x v="38"/>
    <x v="101"/>
    <s v="supplier@gmail.com"/>
  </r>
  <r>
    <x v="696"/>
    <x v="696"/>
    <x v="0"/>
    <x v="17"/>
    <x v="35"/>
    <x v="0"/>
    <x v="0"/>
    <x v="8"/>
    <x v="8"/>
    <x v="12"/>
    <x v="8"/>
    <x v="0"/>
    <x v="1"/>
    <x v="183"/>
    <s v="supplier@gmail.com"/>
  </r>
  <r>
    <x v="697"/>
    <x v="697"/>
    <x v="4"/>
    <x v="1"/>
    <x v="4"/>
    <x v="1"/>
    <x v="12"/>
    <x v="8"/>
    <x v="8"/>
    <x v="12"/>
    <x v="8"/>
    <x v="0"/>
    <x v="1"/>
    <x v="92"/>
    <s v="supplier@gmail.com"/>
  </r>
  <r>
    <x v="698"/>
    <x v="698"/>
    <x v="4"/>
    <x v="1"/>
    <x v="4"/>
    <x v="1"/>
    <x v="12"/>
    <x v="8"/>
    <x v="8"/>
    <x v="12"/>
    <x v="8"/>
    <x v="0"/>
    <x v="355"/>
    <x v="19"/>
    <s v="supplier@gmail.com"/>
  </r>
  <r>
    <x v="699"/>
    <x v="699"/>
    <x v="0"/>
    <x v="15"/>
    <x v="17"/>
    <x v="16"/>
    <x v="27"/>
    <x v="25"/>
    <x v="18"/>
    <x v="61"/>
    <x v="8"/>
    <x v="0"/>
    <x v="356"/>
    <x v="110"/>
    <s v="supplier@gmail.com"/>
  </r>
  <r>
    <x v="700"/>
    <x v="700"/>
    <x v="0"/>
    <x v="15"/>
    <x v="17"/>
    <x v="19"/>
    <x v="27"/>
    <x v="25"/>
    <x v="18"/>
    <x v="61"/>
    <x v="8"/>
    <x v="0"/>
    <x v="72"/>
    <x v="85"/>
    <s v="supplier@gmail.com"/>
  </r>
  <r>
    <x v="701"/>
    <x v="701"/>
    <x v="0"/>
    <x v="15"/>
    <x v="17"/>
    <x v="19"/>
    <x v="27"/>
    <x v="25"/>
    <x v="18"/>
    <x v="61"/>
    <x v="8"/>
    <x v="0"/>
    <x v="357"/>
    <x v="70"/>
    <s v="supplier@gmail.com"/>
  </r>
  <r>
    <x v="702"/>
    <x v="702"/>
    <x v="0"/>
    <x v="15"/>
    <x v="17"/>
    <x v="17"/>
    <x v="27"/>
    <x v="25"/>
    <x v="18"/>
    <x v="61"/>
    <x v="8"/>
    <x v="0"/>
    <x v="35"/>
    <x v="175"/>
    <s v="supplier@gmail.com"/>
  </r>
  <r>
    <x v="703"/>
    <x v="703"/>
    <x v="82"/>
    <x v="66"/>
    <x v="7"/>
    <x v="1"/>
    <x v="12"/>
    <x v="8"/>
    <x v="8"/>
    <x v="12"/>
    <x v="12"/>
    <x v="0"/>
    <x v="358"/>
    <x v="70"/>
    <s v="supplier@gmail.com"/>
  </r>
  <r>
    <x v="704"/>
    <x v="704"/>
    <x v="82"/>
    <x v="66"/>
    <x v="7"/>
    <x v="1"/>
    <x v="12"/>
    <x v="8"/>
    <x v="8"/>
    <x v="12"/>
    <x v="12"/>
    <x v="0"/>
    <x v="359"/>
    <x v="170"/>
    <s v="supplier@gmail.com"/>
  </r>
  <r>
    <x v="705"/>
    <x v="705"/>
    <x v="4"/>
    <x v="1"/>
    <x v="4"/>
    <x v="1"/>
    <x v="12"/>
    <x v="8"/>
    <x v="8"/>
    <x v="12"/>
    <x v="8"/>
    <x v="0"/>
    <x v="360"/>
    <x v="10"/>
    <s v="supplier@gmail.com"/>
  </r>
  <r>
    <x v="706"/>
    <x v="706"/>
    <x v="4"/>
    <x v="1"/>
    <x v="4"/>
    <x v="1"/>
    <x v="12"/>
    <x v="39"/>
    <x v="8"/>
    <x v="12"/>
    <x v="28"/>
    <x v="0"/>
    <x v="39"/>
    <x v="156"/>
    <s v="supplier@gmail.com"/>
  </r>
  <r>
    <x v="707"/>
    <x v="707"/>
    <x v="127"/>
    <x v="1"/>
    <x v="4"/>
    <x v="1"/>
    <x v="12"/>
    <x v="8"/>
    <x v="8"/>
    <x v="12"/>
    <x v="8"/>
    <x v="0"/>
    <x v="1"/>
    <x v="5"/>
    <s v="supplier@gmail.com"/>
  </r>
  <r>
    <x v="708"/>
    <x v="708"/>
    <x v="36"/>
    <x v="1"/>
    <x v="4"/>
    <x v="1"/>
    <x v="23"/>
    <x v="8"/>
    <x v="8"/>
    <x v="42"/>
    <x v="8"/>
    <x v="0"/>
    <x v="155"/>
    <x v="60"/>
    <s v="supplier@gmail.com"/>
  </r>
  <r>
    <x v="709"/>
    <x v="709"/>
    <x v="4"/>
    <x v="1"/>
    <x v="4"/>
    <x v="1"/>
    <x v="12"/>
    <x v="8"/>
    <x v="8"/>
    <x v="12"/>
    <x v="8"/>
    <x v="0"/>
    <x v="142"/>
    <x v="22"/>
    <s v="supplier@gmail.com"/>
  </r>
  <r>
    <x v="710"/>
    <x v="710"/>
    <x v="4"/>
    <x v="1"/>
    <x v="4"/>
    <x v="1"/>
    <x v="12"/>
    <x v="8"/>
    <x v="8"/>
    <x v="12"/>
    <x v="8"/>
    <x v="0"/>
    <x v="1"/>
    <x v="154"/>
    <s v="supplier@gmail.com"/>
  </r>
  <r>
    <x v="711"/>
    <x v="711"/>
    <x v="4"/>
    <x v="1"/>
    <x v="4"/>
    <x v="1"/>
    <x v="12"/>
    <x v="8"/>
    <x v="8"/>
    <x v="12"/>
    <x v="8"/>
    <x v="0"/>
    <x v="1"/>
    <x v="61"/>
    <s v="supplier@gmail.com"/>
  </r>
  <r>
    <x v="712"/>
    <x v="712"/>
    <x v="9"/>
    <x v="40"/>
    <x v="123"/>
    <x v="126"/>
    <x v="116"/>
    <x v="116"/>
    <x v="103"/>
    <x v="107"/>
    <x v="98"/>
    <x v="0"/>
    <x v="351"/>
    <x v="116"/>
    <s v="supplier@gmail.com"/>
  </r>
  <r>
    <x v="713"/>
    <x v="713"/>
    <x v="44"/>
    <x v="1"/>
    <x v="4"/>
    <x v="1"/>
    <x v="12"/>
    <x v="8"/>
    <x v="8"/>
    <x v="12"/>
    <x v="8"/>
    <x v="0"/>
    <x v="361"/>
    <x v="4"/>
    <s v="supplier@gmail.com"/>
  </r>
  <r>
    <x v="714"/>
    <x v="714"/>
    <x v="128"/>
    <x v="111"/>
    <x v="124"/>
    <x v="127"/>
    <x v="117"/>
    <x v="117"/>
    <x v="104"/>
    <x v="108"/>
    <x v="99"/>
    <x v="0"/>
    <x v="362"/>
    <x v="135"/>
    <s v="supplier@gmail.com"/>
  </r>
  <r>
    <x v="715"/>
    <x v="715"/>
    <x v="129"/>
    <x v="112"/>
    <x v="125"/>
    <x v="128"/>
    <x v="118"/>
    <x v="118"/>
    <x v="105"/>
    <x v="109"/>
    <x v="100"/>
    <x v="0"/>
    <x v="351"/>
    <x v="32"/>
    <s v="supplier@gmail.com"/>
  </r>
  <r>
    <x v="716"/>
    <x v="716"/>
    <x v="130"/>
    <x v="113"/>
    <x v="126"/>
    <x v="129"/>
    <x v="119"/>
    <x v="119"/>
    <x v="106"/>
    <x v="71"/>
    <x v="101"/>
    <x v="0"/>
    <x v="201"/>
    <x v="151"/>
    <s v="supplier@gmail.com"/>
  </r>
  <r>
    <x v="717"/>
    <x v="717"/>
    <x v="131"/>
    <x v="114"/>
    <x v="127"/>
    <x v="130"/>
    <x v="120"/>
    <x v="120"/>
    <x v="107"/>
    <x v="110"/>
    <x v="102"/>
    <x v="0"/>
    <x v="363"/>
    <x v="3"/>
    <s v="supplier@gmail.com"/>
  </r>
  <r>
    <x v="718"/>
    <x v="718"/>
    <x v="132"/>
    <x v="115"/>
    <x v="128"/>
    <x v="131"/>
    <x v="121"/>
    <x v="121"/>
    <x v="108"/>
    <x v="111"/>
    <x v="103"/>
    <x v="0"/>
    <x v="220"/>
    <x v="90"/>
    <s v="supplier@gmail.com"/>
  </r>
  <r>
    <x v="719"/>
    <x v="719"/>
    <x v="0"/>
    <x v="1"/>
    <x v="28"/>
    <x v="33"/>
    <x v="30"/>
    <x v="8"/>
    <x v="26"/>
    <x v="112"/>
    <x v="8"/>
    <x v="0"/>
    <x v="364"/>
    <x v="45"/>
    <s v="supplier@gmail.com"/>
  </r>
  <r>
    <x v="720"/>
    <x v="720"/>
    <x v="0"/>
    <x v="32"/>
    <x v="30"/>
    <x v="31"/>
    <x v="26"/>
    <x v="26"/>
    <x v="77"/>
    <x v="26"/>
    <x v="27"/>
    <x v="0"/>
    <x v="119"/>
    <x v="192"/>
    <s v="supplier@gmail.com"/>
  </r>
  <r>
    <x v="721"/>
    <x v="721"/>
    <x v="43"/>
    <x v="116"/>
    <x v="129"/>
    <x v="42"/>
    <x v="18"/>
    <x v="122"/>
    <x v="40"/>
    <x v="87"/>
    <x v="104"/>
    <x v="0"/>
    <x v="365"/>
    <x v="169"/>
    <s v="supplier@gmail.com"/>
  </r>
  <r>
    <x v="722"/>
    <x v="722"/>
    <x v="4"/>
    <x v="1"/>
    <x v="4"/>
    <x v="1"/>
    <x v="12"/>
    <x v="37"/>
    <x v="8"/>
    <x v="12"/>
    <x v="8"/>
    <x v="0"/>
    <x v="7"/>
    <x v="44"/>
    <s v="supplier@gmail.com"/>
  </r>
  <r>
    <x v="723"/>
    <x v="723"/>
    <x v="18"/>
    <x v="117"/>
    <x v="16"/>
    <x v="132"/>
    <x v="0"/>
    <x v="8"/>
    <x v="8"/>
    <x v="12"/>
    <x v="8"/>
    <x v="0"/>
    <x v="351"/>
    <x v="18"/>
    <s v="supplier@gmail.com"/>
  </r>
  <r>
    <x v="724"/>
    <x v="724"/>
    <x v="58"/>
    <x v="1"/>
    <x v="15"/>
    <x v="133"/>
    <x v="4"/>
    <x v="123"/>
    <x v="40"/>
    <x v="13"/>
    <x v="91"/>
    <x v="0"/>
    <x v="1"/>
    <x v="156"/>
    <s v="supplier@gmail.com"/>
  </r>
  <r>
    <x v="725"/>
    <x v="725"/>
    <x v="47"/>
    <x v="118"/>
    <x v="48"/>
    <x v="47"/>
    <x v="122"/>
    <x v="49"/>
    <x v="49"/>
    <x v="44"/>
    <x v="105"/>
    <x v="0"/>
    <x v="1"/>
    <x v="126"/>
    <s v="supplier@gmail.com"/>
  </r>
  <r>
    <x v="726"/>
    <x v="726"/>
    <x v="4"/>
    <x v="1"/>
    <x v="4"/>
    <x v="1"/>
    <x v="12"/>
    <x v="8"/>
    <x v="8"/>
    <x v="12"/>
    <x v="8"/>
    <x v="0"/>
    <x v="339"/>
    <x v="175"/>
    <s v="supplier@gmail.com"/>
  </r>
  <r>
    <x v="727"/>
    <x v="727"/>
    <x v="133"/>
    <x v="1"/>
    <x v="4"/>
    <x v="11"/>
    <x v="12"/>
    <x v="8"/>
    <x v="44"/>
    <x v="12"/>
    <x v="8"/>
    <x v="0"/>
    <x v="3"/>
    <x v="82"/>
    <s v="supplier@gmail.com"/>
  </r>
  <r>
    <x v="728"/>
    <x v="728"/>
    <x v="4"/>
    <x v="1"/>
    <x v="1"/>
    <x v="1"/>
    <x v="12"/>
    <x v="124"/>
    <x v="8"/>
    <x v="12"/>
    <x v="8"/>
    <x v="0"/>
    <x v="38"/>
    <x v="35"/>
    <s v="supplier@gmail.com"/>
  </r>
  <r>
    <x v="729"/>
    <x v="729"/>
    <x v="4"/>
    <x v="1"/>
    <x v="10"/>
    <x v="1"/>
    <x v="12"/>
    <x v="8"/>
    <x v="8"/>
    <x v="13"/>
    <x v="8"/>
    <x v="0"/>
    <x v="366"/>
    <x v="41"/>
    <s v="supplier@gmail.com"/>
  </r>
  <r>
    <x v="730"/>
    <x v="730"/>
    <x v="134"/>
    <x v="119"/>
    <x v="130"/>
    <x v="134"/>
    <x v="123"/>
    <x v="125"/>
    <x v="109"/>
    <x v="113"/>
    <x v="106"/>
    <x v="0"/>
    <x v="1"/>
    <x v="149"/>
    <s v="supplier@gmail.com"/>
  </r>
  <r>
    <x v="731"/>
    <x v="731"/>
    <x v="82"/>
    <x v="1"/>
    <x v="4"/>
    <x v="16"/>
    <x v="17"/>
    <x v="8"/>
    <x v="8"/>
    <x v="12"/>
    <x v="8"/>
    <x v="0"/>
    <x v="1"/>
    <x v="85"/>
    <s v="supplier@gmail.com"/>
  </r>
  <r>
    <x v="732"/>
    <x v="732"/>
    <x v="4"/>
    <x v="1"/>
    <x v="4"/>
    <x v="1"/>
    <x v="12"/>
    <x v="8"/>
    <x v="8"/>
    <x v="12"/>
    <x v="8"/>
    <x v="0"/>
    <x v="367"/>
    <x v="160"/>
    <s v="supplier@gmail.com"/>
  </r>
  <r>
    <x v="733"/>
    <x v="733"/>
    <x v="70"/>
    <x v="1"/>
    <x v="75"/>
    <x v="73"/>
    <x v="12"/>
    <x v="70"/>
    <x v="10"/>
    <x v="26"/>
    <x v="9"/>
    <x v="0"/>
    <x v="1"/>
    <x v="140"/>
    <s v="supplier@gmail.com"/>
  </r>
  <r>
    <x v="734"/>
    <x v="734"/>
    <x v="4"/>
    <x v="1"/>
    <x v="4"/>
    <x v="1"/>
    <x v="12"/>
    <x v="8"/>
    <x v="8"/>
    <x v="12"/>
    <x v="8"/>
    <x v="0"/>
    <x v="368"/>
    <x v="46"/>
    <s v="supplier@gmail.com"/>
  </r>
  <r>
    <x v="735"/>
    <x v="735"/>
    <x v="135"/>
    <x v="120"/>
    <x v="131"/>
    <x v="135"/>
    <x v="124"/>
    <x v="126"/>
    <x v="110"/>
    <x v="114"/>
    <x v="107"/>
    <x v="0"/>
    <x v="369"/>
    <x v="47"/>
    <s v="supplier@gmail.com"/>
  </r>
  <r>
    <x v="736"/>
    <x v="736"/>
    <x v="136"/>
    <x v="121"/>
    <x v="132"/>
    <x v="136"/>
    <x v="125"/>
    <x v="127"/>
    <x v="99"/>
    <x v="115"/>
    <x v="108"/>
    <x v="0"/>
    <x v="370"/>
    <x v="47"/>
    <s v="supplier@gmail.com"/>
  </r>
  <r>
    <x v="737"/>
    <x v="737"/>
    <x v="4"/>
    <x v="1"/>
    <x v="4"/>
    <x v="1"/>
    <x v="12"/>
    <x v="8"/>
    <x v="8"/>
    <x v="12"/>
    <x v="8"/>
    <x v="0"/>
    <x v="371"/>
    <x v="21"/>
    <s v="supplier@gmail.com"/>
  </r>
  <r>
    <x v="738"/>
    <x v="738"/>
    <x v="44"/>
    <x v="15"/>
    <x v="15"/>
    <x v="15"/>
    <x v="27"/>
    <x v="18"/>
    <x v="26"/>
    <x v="19"/>
    <x v="17"/>
    <x v="0"/>
    <x v="372"/>
    <x v="110"/>
    <s v="supplier@gmail.com"/>
  </r>
  <r>
    <x v="739"/>
    <x v="739"/>
    <x v="4"/>
    <x v="1"/>
    <x v="4"/>
    <x v="1"/>
    <x v="12"/>
    <x v="8"/>
    <x v="8"/>
    <x v="12"/>
    <x v="8"/>
    <x v="0"/>
    <x v="20"/>
    <x v="7"/>
    <s v="supplier@gmail.com"/>
  </r>
  <r>
    <x v="740"/>
    <x v="740"/>
    <x v="4"/>
    <x v="1"/>
    <x v="4"/>
    <x v="1"/>
    <x v="32"/>
    <x v="8"/>
    <x v="8"/>
    <x v="12"/>
    <x v="8"/>
    <x v="0"/>
    <x v="166"/>
    <x v="79"/>
    <s v="supplier@gmail.com"/>
  </r>
  <r>
    <x v="741"/>
    <x v="741"/>
    <x v="0"/>
    <x v="15"/>
    <x v="17"/>
    <x v="19"/>
    <x v="27"/>
    <x v="25"/>
    <x v="18"/>
    <x v="61"/>
    <x v="8"/>
    <x v="0"/>
    <x v="1"/>
    <x v="9"/>
    <s v="supplier@gmail.com"/>
  </r>
  <r>
    <x v="742"/>
    <x v="742"/>
    <x v="10"/>
    <x v="122"/>
    <x v="110"/>
    <x v="137"/>
    <x v="0"/>
    <x v="0"/>
    <x v="0"/>
    <x v="0"/>
    <x v="0"/>
    <x v="0"/>
    <x v="1"/>
    <x v="153"/>
    <s v="supplier@gmail.com"/>
  </r>
  <r>
    <x v="743"/>
    <x v="743"/>
    <x v="58"/>
    <x v="92"/>
    <x v="26"/>
    <x v="138"/>
    <x v="0"/>
    <x v="0"/>
    <x v="0"/>
    <x v="0"/>
    <x v="109"/>
    <x v="0"/>
    <x v="1"/>
    <x v="50"/>
    <s v="supplier@gmail.com"/>
  </r>
  <r>
    <x v="744"/>
    <x v="744"/>
    <x v="137"/>
    <x v="123"/>
    <x v="133"/>
    <x v="139"/>
    <x v="89"/>
    <x v="16"/>
    <x v="26"/>
    <x v="19"/>
    <x v="17"/>
    <x v="0"/>
    <x v="373"/>
    <x v="106"/>
    <s v="supplier@gmail.com"/>
  </r>
  <r>
    <x v="745"/>
    <x v="745"/>
    <x v="34"/>
    <x v="10"/>
    <x v="32"/>
    <x v="91"/>
    <x v="126"/>
    <x v="128"/>
    <x v="111"/>
    <x v="22"/>
    <x v="110"/>
    <x v="0"/>
    <x v="374"/>
    <x v="117"/>
    <s v="supplier@gmail.com"/>
  </r>
  <r>
    <x v="746"/>
    <x v="746"/>
    <x v="138"/>
    <x v="124"/>
    <x v="134"/>
    <x v="140"/>
    <x v="127"/>
    <x v="129"/>
    <x v="112"/>
    <x v="21"/>
    <x v="111"/>
    <x v="0"/>
    <x v="226"/>
    <x v="125"/>
    <s v="supplier@gmail.com"/>
  </r>
  <r>
    <x v="747"/>
    <x v="747"/>
    <x v="0"/>
    <x v="125"/>
    <x v="70"/>
    <x v="1"/>
    <x v="23"/>
    <x v="8"/>
    <x v="8"/>
    <x v="42"/>
    <x v="8"/>
    <x v="0"/>
    <x v="159"/>
    <x v="54"/>
    <s v="supplier@gmail.com"/>
  </r>
  <r>
    <x v="748"/>
    <x v="748"/>
    <x v="4"/>
    <x v="1"/>
    <x v="4"/>
    <x v="1"/>
    <x v="12"/>
    <x v="8"/>
    <x v="8"/>
    <x v="12"/>
    <x v="8"/>
    <x v="0"/>
    <x v="38"/>
    <x v="124"/>
    <s v="supplier@gmail.com"/>
  </r>
  <r>
    <x v="749"/>
    <x v="749"/>
    <x v="36"/>
    <x v="125"/>
    <x v="4"/>
    <x v="125"/>
    <x v="12"/>
    <x v="70"/>
    <x v="8"/>
    <x v="42"/>
    <x v="8"/>
    <x v="0"/>
    <x v="1"/>
    <x v="108"/>
    <s v="supplier@gmail.com"/>
  </r>
  <r>
    <x v="750"/>
    <x v="750"/>
    <x v="4"/>
    <x v="1"/>
    <x v="4"/>
    <x v="1"/>
    <x v="12"/>
    <x v="8"/>
    <x v="8"/>
    <x v="12"/>
    <x v="8"/>
    <x v="0"/>
    <x v="226"/>
    <x v="137"/>
    <s v="supplier@gmail.com"/>
  </r>
  <r>
    <x v="751"/>
    <x v="751"/>
    <x v="4"/>
    <x v="1"/>
    <x v="4"/>
    <x v="1"/>
    <x v="12"/>
    <x v="8"/>
    <x v="8"/>
    <x v="12"/>
    <x v="8"/>
    <x v="0"/>
    <x v="375"/>
    <x v="118"/>
    <s v="supplier@gmail.com"/>
  </r>
  <r>
    <x v="752"/>
    <x v="752"/>
    <x v="4"/>
    <x v="1"/>
    <x v="4"/>
    <x v="1"/>
    <x v="12"/>
    <x v="8"/>
    <x v="8"/>
    <x v="12"/>
    <x v="8"/>
    <x v="0"/>
    <x v="1"/>
    <x v="72"/>
    <s v="supplier@gmail.com"/>
  </r>
  <r>
    <x v="753"/>
    <x v="753"/>
    <x v="4"/>
    <x v="1"/>
    <x v="4"/>
    <x v="1"/>
    <x v="12"/>
    <x v="8"/>
    <x v="8"/>
    <x v="12"/>
    <x v="8"/>
    <x v="0"/>
    <x v="226"/>
    <x v="153"/>
    <s v="supplier@gmail.com"/>
  </r>
  <r>
    <x v="754"/>
    <x v="754"/>
    <x v="4"/>
    <x v="1"/>
    <x v="4"/>
    <x v="1"/>
    <x v="12"/>
    <x v="8"/>
    <x v="8"/>
    <x v="12"/>
    <x v="8"/>
    <x v="0"/>
    <x v="43"/>
    <x v="158"/>
    <s v="supplier@gmail.com"/>
  </r>
  <r>
    <x v="755"/>
    <x v="755"/>
    <x v="4"/>
    <x v="1"/>
    <x v="4"/>
    <x v="1"/>
    <x v="12"/>
    <x v="8"/>
    <x v="8"/>
    <x v="12"/>
    <x v="8"/>
    <x v="0"/>
    <x v="30"/>
    <x v="62"/>
    <s v="supplier@gmail.com"/>
  </r>
  <r>
    <x v="756"/>
    <x v="756"/>
    <x v="4"/>
    <x v="1"/>
    <x v="4"/>
    <x v="1"/>
    <x v="12"/>
    <x v="8"/>
    <x v="8"/>
    <x v="12"/>
    <x v="8"/>
    <x v="0"/>
    <x v="376"/>
    <x v="115"/>
    <s v="supplier@gmail.com"/>
  </r>
  <r>
    <x v="757"/>
    <x v="757"/>
    <x v="139"/>
    <x v="126"/>
    <x v="135"/>
    <x v="141"/>
    <x v="12"/>
    <x v="8"/>
    <x v="8"/>
    <x v="12"/>
    <x v="8"/>
    <x v="0"/>
    <x v="377"/>
    <x v="45"/>
    <s v="supplier@gmail.com"/>
  </r>
  <r>
    <x v="758"/>
    <x v="758"/>
    <x v="140"/>
    <x v="127"/>
    <x v="136"/>
    <x v="142"/>
    <x v="12"/>
    <x v="8"/>
    <x v="8"/>
    <x v="12"/>
    <x v="8"/>
    <x v="0"/>
    <x v="378"/>
    <x v="51"/>
    <s v="supplier@gmail.com"/>
  </r>
  <r>
    <x v="759"/>
    <x v="759"/>
    <x v="32"/>
    <x v="128"/>
    <x v="36"/>
    <x v="41"/>
    <x v="12"/>
    <x v="8"/>
    <x v="8"/>
    <x v="12"/>
    <x v="8"/>
    <x v="0"/>
    <x v="1"/>
    <x v="41"/>
    <s v="supplier@gmail.com"/>
  </r>
  <r>
    <x v="760"/>
    <x v="760"/>
    <x v="4"/>
    <x v="1"/>
    <x v="4"/>
    <x v="1"/>
    <x v="12"/>
    <x v="8"/>
    <x v="8"/>
    <x v="12"/>
    <x v="8"/>
    <x v="0"/>
    <x v="18"/>
    <x v="162"/>
    <s v="supplier@gmail.com"/>
  </r>
  <r>
    <x v="761"/>
    <x v="761"/>
    <x v="4"/>
    <x v="1"/>
    <x v="4"/>
    <x v="1"/>
    <x v="12"/>
    <x v="8"/>
    <x v="8"/>
    <x v="12"/>
    <x v="8"/>
    <x v="0"/>
    <x v="127"/>
    <x v="95"/>
    <s v="supplier@gmail.com"/>
  </r>
  <r>
    <x v="762"/>
    <x v="762"/>
    <x v="141"/>
    <x v="1"/>
    <x v="4"/>
    <x v="1"/>
    <x v="12"/>
    <x v="8"/>
    <x v="8"/>
    <x v="12"/>
    <x v="8"/>
    <x v="0"/>
    <x v="20"/>
    <x v="119"/>
    <s v="supplier@gmail.com"/>
  </r>
  <r>
    <x v="763"/>
    <x v="763"/>
    <x v="4"/>
    <x v="66"/>
    <x v="4"/>
    <x v="1"/>
    <x v="12"/>
    <x v="8"/>
    <x v="8"/>
    <x v="12"/>
    <x v="8"/>
    <x v="0"/>
    <x v="114"/>
    <x v="102"/>
    <s v="supplier@gmail.com"/>
  </r>
  <r>
    <x v="764"/>
    <x v="764"/>
    <x v="4"/>
    <x v="66"/>
    <x v="4"/>
    <x v="1"/>
    <x v="12"/>
    <x v="8"/>
    <x v="8"/>
    <x v="12"/>
    <x v="8"/>
    <x v="0"/>
    <x v="379"/>
    <x v="101"/>
    <s v="supplier@gmail.com"/>
  </r>
  <r>
    <x v="765"/>
    <x v="765"/>
    <x v="45"/>
    <x v="1"/>
    <x v="22"/>
    <x v="143"/>
    <x v="128"/>
    <x v="42"/>
    <x v="8"/>
    <x v="116"/>
    <x v="112"/>
    <x v="0"/>
    <x v="1"/>
    <x v="92"/>
    <s v="supplier@gmail.com"/>
  </r>
  <r>
    <x v="766"/>
    <x v="766"/>
    <x v="4"/>
    <x v="129"/>
    <x v="4"/>
    <x v="1"/>
    <x v="12"/>
    <x v="8"/>
    <x v="8"/>
    <x v="12"/>
    <x v="8"/>
    <x v="0"/>
    <x v="380"/>
    <x v="44"/>
    <s v="supplier@gmail.com"/>
  </r>
  <r>
    <x v="767"/>
    <x v="767"/>
    <x v="142"/>
    <x v="130"/>
    <x v="137"/>
    <x v="144"/>
    <x v="129"/>
    <x v="130"/>
    <x v="113"/>
    <x v="117"/>
    <x v="113"/>
    <x v="0"/>
    <x v="22"/>
    <x v="32"/>
    <s v="supplier@gmail.com"/>
  </r>
  <r>
    <x v="768"/>
    <x v="768"/>
    <x v="143"/>
    <x v="131"/>
    <x v="138"/>
    <x v="145"/>
    <x v="130"/>
    <x v="131"/>
    <x v="114"/>
    <x v="118"/>
    <x v="114"/>
    <x v="0"/>
    <x v="381"/>
    <x v="131"/>
    <s v="supplier@gmail.com"/>
  </r>
  <r>
    <x v="769"/>
    <x v="769"/>
    <x v="144"/>
    <x v="1"/>
    <x v="4"/>
    <x v="1"/>
    <x v="12"/>
    <x v="8"/>
    <x v="8"/>
    <x v="12"/>
    <x v="8"/>
    <x v="0"/>
    <x v="256"/>
    <x v="118"/>
    <s v="supplier@gmail.com"/>
  </r>
  <r>
    <x v="770"/>
    <x v="770"/>
    <x v="4"/>
    <x v="1"/>
    <x v="4"/>
    <x v="1"/>
    <x v="12"/>
    <x v="8"/>
    <x v="8"/>
    <x v="12"/>
    <x v="8"/>
    <x v="0"/>
    <x v="1"/>
    <x v="97"/>
    <s v="supplier@gmail.com"/>
  </r>
  <r>
    <x v="771"/>
    <x v="771"/>
    <x v="144"/>
    <x v="1"/>
    <x v="4"/>
    <x v="1"/>
    <x v="12"/>
    <x v="8"/>
    <x v="8"/>
    <x v="12"/>
    <x v="8"/>
    <x v="0"/>
    <x v="1"/>
    <x v="169"/>
    <s v="supplier@gmail.com"/>
  </r>
  <r>
    <x v="772"/>
    <x v="772"/>
    <x v="4"/>
    <x v="1"/>
    <x v="4"/>
    <x v="1"/>
    <x v="12"/>
    <x v="8"/>
    <x v="8"/>
    <x v="12"/>
    <x v="8"/>
    <x v="0"/>
    <x v="382"/>
    <x v="180"/>
    <s v="supplier@gmail.com"/>
  </r>
  <r>
    <x v="773"/>
    <x v="773"/>
    <x v="145"/>
    <x v="1"/>
    <x v="139"/>
    <x v="146"/>
    <x v="131"/>
    <x v="8"/>
    <x v="115"/>
    <x v="119"/>
    <x v="8"/>
    <x v="0"/>
    <x v="26"/>
    <x v="44"/>
    <s v="supplier@gmail.com"/>
  </r>
  <r>
    <x v="774"/>
    <x v="774"/>
    <x v="146"/>
    <x v="1"/>
    <x v="140"/>
    <x v="147"/>
    <x v="132"/>
    <x v="8"/>
    <x v="116"/>
    <x v="120"/>
    <x v="8"/>
    <x v="0"/>
    <x v="383"/>
    <x v="69"/>
    <s v="supplier@gmail.com"/>
  </r>
  <r>
    <x v="775"/>
    <x v="775"/>
    <x v="4"/>
    <x v="1"/>
    <x v="4"/>
    <x v="148"/>
    <x v="12"/>
    <x v="8"/>
    <x v="8"/>
    <x v="121"/>
    <x v="8"/>
    <x v="0"/>
    <x v="312"/>
    <x v="166"/>
    <s v="supplier@gmail.com"/>
  </r>
  <r>
    <x v="776"/>
    <x v="776"/>
    <x v="4"/>
    <x v="1"/>
    <x v="141"/>
    <x v="149"/>
    <x v="12"/>
    <x v="8"/>
    <x v="8"/>
    <x v="121"/>
    <x v="8"/>
    <x v="0"/>
    <x v="146"/>
    <x v="170"/>
    <s v="supplier@gmail.com"/>
  </r>
  <r>
    <x v="777"/>
    <x v="777"/>
    <x v="4"/>
    <x v="1"/>
    <x v="141"/>
    <x v="149"/>
    <x v="12"/>
    <x v="8"/>
    <x v="8"/>
    <x v="121"/>
    <x v="8"/>
    <x v="0"/>
    <x v="1"/>
    <x v="99"/>
    <s v="supplier@gmail.com"/>
  </r>
  <r>
    <x v="778"/>
    <x v="778"/>
    <x v="4"/>
    <x v="1"/>
    <x v="4"/>
    <x v="133"/>
    <x v="12"/>
    <x v="8"/>
    <x v="8"/>
    <x v="12"/>
    <x v="8"/>
    <x v="0"/>
    <x v="384"/>
    <x v="26"/>
    <s v="supplier@gmail.com"/>
  </r>
  <r>
    <x v="779"/>
    <x v="779"/>
    <x v="4"/>
    <x v="1"/>
    <x v="4"/>
    <x v="1"/>
    <x v="12"/>
    <x v="8"/>
    <x v="8"/>
    <x v="12"/>
    <x v="8"/>
    <x v="0"/>
    <x v="1"/>
    <x v="21"/>
    <s v="supplier@gmail.com"/>
  </r>
  <r>
    <x v="780"/>
    <x v="780"/>
    <x v="147"/>
    <x v="132"/>
    <x v="142"/>
    <x v="150"/>
    <x v="133"/>
    <x v="132"/>
    <x v="117"/>
    <x v="122"/>
    <x v="115"/>
    <x v="0"/>
    <x v="385"/>
    <x v="110"/>
    <s v="supplier@gmail.com"/>
  </r>
  <r>
    <x v="781"/>
    <x v="781"/>
    <x v="4"/>
    <x v="1"/>
    <x v="4"/>
    <x v="1"/>
    <x v="12"/>
    <x v="8"/>
    <x v="8"/>
    <x v="12"/>
    <x v="8"/>
    <x v="0"/>
    <x v="1"/>
    <x v="104"/>
    <s v="supplier@gmail.com"/>
  </r>
  <r>
    <x v="782"/>
    <x v="782"/>
    <x v="148"/>
    <x v="133"/>
    <x v="143"/>
    <x v="151"/>
    <x v="134"/>
    <x v="112"/>
    <x v="118"/>
    <x v="123"/>
    <x v="116"/>
    <x v="0"/>
    <x v="35"/>
    <x v="89"/>
    <s v="supplier@gmail.com"/>
  </r>
  <r>
    <x v="783"/>
    <x v="783"/>
    <x v="149"/>
    <x v="28"/>
    <x v="5"/>
    <x v="37"/>
    <x v="135"/>
    <x v="133"/>
    <x v="119"/>
    <x v="16"/>
    <x v="18"/>
    <x v="0"/>
    <x v="386"/>
    <x v="16"/>
    <s v="supplier@gmail.com"/>
  </r>
  <r>
    <x v="784"/>
    <x v="784"/>
    <x v="4"/>
    <x v="1"/>
    <x v="4"/>
    <x v="1"/>
    <x v="12"/>
    <x v="8"/>
    <x v="8"/>
    <x v="12"/>
    <x v="8"/>
    <x v="0"/>
    <x v="42"/>
    <x v="172"/>
    <s v="supplier@gmail.com"/>
  </r>
  <r>
    <x v="785"/>
    <x v="785"/>
    <x v="144"/>
    <x v="125"/>
    <x v="30"/>
    <x v="31"/>
    <x v="26"/>
    <x v="26"/>
    <x v="77"/>
    <x v="26"/>
    <x v="27"/>
    <x v="0"/>
    <x v="387"/>
    <x v="59"/>
    <s v="supplier@gmail.com"/>
  </r>
  <r>
    <x v="786"/>
    <x v="786"/>
    <x v="150"/>
    <x v="134"/>
    <x v="144"/>
    <x v="152"/>
    <x v="136"/>
    <x v="134"/>
    <x v="120"/>
    <x v="124"/>
    <x v="117"/>
    <x v="0"/>
    <x v="123"/>
    <x v="130"/>
    <s v="supplier@gmail.com"/>
  </r>
  <r>
    <x v="787"/>
    <x v="787"/>
    <x v="4"/>
    <x v="1"/>
    <x v="4"/>
    <x v="1"/>
    <x v="12"/>
    <x v="8"/>
    <x v="8"/>
    <x v="12"/>
    <x v="8"/>
    <x v="0"/>
    <x v="388"/>
    <x v="69"/>
    <s v="supplier@gmail.com"/>
  </r>
  <r>
    <x v="788"/>
    <x v="788"/>
    <x v="151"/>
    <x v="89"/>
    <x v="11"/>
    <x v="9"/>
    <x v="137"/>
    <x v="1"/>
    <x v="1"/>
    <x v="3"/>
    <x v="1"/>
    <x v="0"/>
    <x v="218"/>
    <x v="193"/>
    <s v="supplier@gmail.com"/>
  </r>
  <r>
    <x v="789"/>
    <x v="789"/>
    <x v="4"/>
    <x v="1"/>
    <x v="4"/>
    <x v="1"/>
    <x v="12"/>
    <x v="8"/>
    <x v="8"/>
    <x v="12"/>
    <x v="8"/>
    <x v="0"/>
    <x v="389"/>
    <x v="63"/>
    <s v="supplier@gmail.com"/>
  </r>
  <r>
    <x v="790"/>
    <x v="790"/>
    <x v="4"/>
    <x v="1"/>
    <x v="4"/>
    <x v="1"/>
    <x v="12"/>
    <x v="8"/>
    <x v="8"/>
    <x v="12"/>
    <x v="8"/>
    <x v="0"/>
    <x v="84"/>
    <x v="146"/>
    <s v="supplier@gmail.com"/>
  </r>
  <r>
    <x v="791"/>
    <x v="791"/>
    <x v="82"/>
    <x v="0"/>
    <x v="30"/>
    <x v="31"/>
    <x v="26"/>
    <x v="26"/>
    <x v="77"/>
    <x v="26"/>
    <x v="27"/>
    <x v="0"/>
    <x v="84"/>
    <x v="130"/>
    <s v="supplier@gmail.com"/>
  </r>
  <r>
    <x v="792"/>
    <x v="792"/>
    <x v="82"/>
    <x v="0"/>
    <x v="30"/>
    <x v="31"/>
    <x v="26"/>
    <x v="26"/>
    <x v="77"/>
    <x v="26"/>
    <x v="27"/>
    <x v="0"/>
    <x v="84"/>
    <x v="176"/>
    <s v="supplier@gmail.com"/>
  </r>
  <r>
    <x v="793"/>
    <x v="793"/>
    <x v="4"/>
    <x v="15"/>
    <x v="30"/>
    <x v="31"/>
    <x v="26"/>
    <x v="26"/>
    <x v="77"/>
    <x v="26"/>
    <x v="27"/>
    <x v="0"/>
    <x v="7"/>
    <x v="70"/>
    <s v="supplier@gmail.com"/>
  </r>
  <r>
    <x v="794"/>
    <x v="794"/>
    <x v="82"/>
    <x v="17"/>
    <x v="28"/>
    <x v="38"/>
    <x v="138"/>
    <x v="135"/>
    <x v="36"/>
    <x v="30"/>
    <x v="19"/>
    <x v="0"/>
    <x v="102"/>
    <x v="83"/>
    <s v="supplier@gmail.com"/>
  </r>
  <r>
    <x v="795"/>
    <x v="795"/>
    <x v="4"/>
    <x v="1"/>
    <x v="4"/>
    <x v="1"/>
    <x v="12"/>
    <x v="8"/>
    <x v="8"/>
    <x v="12"/>
    <x v="8"/>
    <x v="0"/>
    <x v="102"/>
    <x v="175"/>
    <s v="supplier@gmail.com"/>
  </r>
  <r>
    <x v="796"/>
    <x v="796"/>
    <x v="4"/>
    <x v="1"/>
    <x v="4"/>
    <x v="1"/>
    <x v="12"/>
    <x v="8"/>
    <x v="8"/>
    <x v="12"/>
    <x v="8"/>
    <x v="0"/>
    <x v="3"/>
    <x v="111"/>
    <s v="supplier@gmail.com"/>
  </r>
  <r>
    <x v="797"/>
    <x v="797"/>
    <x v="4"/>
    <x v="1"/>
    <x v="94"/>
    <x v="98"/>
    <x v="97"/>
    <x v="122"/>
    <x v="121"/>
    <x v="87"/>
    <x v="81"/>
    <x v="0"/>
    <x v="33"/>
    <x v="94"/>
    <s v="supplier@gmail.com"/>
  </r>
  <r>
    <x v="798"/>
    <x v="798"/>
    <x v="4"/>
    <x v="1"/>
    <x v="5"/>
    <x v="21"/>
    <x v="139"/>
    <x v="9"/>
    <x v="24"/>
    <x v="16"/>
    <x v="29"/>
    <x v="0"/>
    <x v="1"/>
    <x v="28"/>
    <s v="supplier@gmail.com"/>
  </r>
  <r>
    <x v="799"/>
    <x v="799"/>
    <x v="4"/>
    <x v="1"/>
    <x v="4"/>
    <x v="1"/>
    <x v="12"/>
    <x v="8"/>
    <x v="8"/>
    <x v="12"/>
    <x v="8"/>
    <x v="0"/>
    <x v="38"/>
    <x v="145"/>
    <s v="supplier@gmail.com"/>
  </r>
  <r>
    <x v="800"/>
    <x v="800"/>
    <x v="4"/>
    <x v="1"/>
    <x v="4"/>
    <x v="1"/>
    <x v="12"/>
    <x v="8"/>
    <x v="8"/>
    <x v="12"/>
    <x v="8"/>
    <x v="0"/>
    <x v="102"/>
    <x v="95"/>
    <s v="supplier@gmail.com"/>
  </r>
  <r>
    <x v="801"/>
    <x v="801"/>
    <x v="4"/>
    <x v="1"/>
    <x v="4"/>
    <x v="1"/>
    <x v="12"/>
    <x v="8"/>
    <x v="8"/>
    <x v="12"/>
    <x v="8"/>
    <x v="0"/>
    <x v="1"/>
    <x v="59"/>
    <s v="supplier@gmail.com"/>
  </r>
  <r>
    <x v="802"/>
    <x v="802"/>
    <x v="4"/>
    <x v="1"/>
    <x v="4"/>
    <x v="1"/>
    <x v="12"/>
    <x v="8"/>
    <x v="8"/>
    <x v="12"/>
    <x v="8"/>
    <x v="0"/>
    <x v="84"/>
    <x v="34"/>
    <s v="supplier@gmail.com"/>
  </r>
  <r>
    <x v="803"/>
    <x v="803"/>
    <x v="4"/>
    <x v="15"/>
    <x v="30"/>
    <x v="31"/>
    <x v="26"/>
    <x v="26"/>
    <x v="77"/>
    <x v="26"/>
    <x v="27"/>
    <x v="0"/>
    <x v="1"/>
    <x v="103"/>
    <s v="supplier@gmail.com"/>
  </r>
  <r>
    <x v="804"/>
    <x v="804"/>
    <x v="4"/>
    <x v="1"/>
    <x v="4"/>
    <x v="1"/>
    <x v="12"/>
    <x v="8"/>
    <x v="8"/>
    <x v="12"/>
    <x v="8"/>
    <x v="0"/>
    <x v="1"/>
    <x v="102"/>
    <s v="supplier@gmail.com"/>
  </r>
  <r>
    <x v="805"/>
    <x v="805"/>
    <x v="4"/>
    <x v="1"/>
    <x v="4"/>
    <x v="1"/>
    <x v="12"/>
    <x v="8"/>
    <x v="8"/>
    <x v="12"/>
    <x v="8"/>
    <x v="0"/>
    <x v="187"/>
    <x v="167"/>
    <s v="supplier@gmail.com"/>
  </r>
  <r>
    <x v="806"/>
    <x v="806"/>
    <x v="4"/>
    <x v="1"/>
    <x v="4"/>
    <x v="1"/>
    <x v="12"/>
    <x v="8"/>
    <x v="8"/>
    <x v="12"/>
    <x v="8"/>
    <x v="0"/>
    <x v="226"/>
    <x v="185"/>
    <s v="supplier@gmail.com"/>
  </r>
  <r>
    <x v="807"/>
    <x v="807"/>
    <x v="4"/>
    <x v="1"/>
    <x v="4"/>
    <x v="1"/>
    <x v="12"/>
    <x v="8"/>
    <x v="8"/>
    <x v="12"/>
    <x v="8"/>
    <x v="0"/>
    <x v="37"/>
    <x v="54"/>
    <s v="supplier@gmail.com"/>
  </r>
  <r>
    <x v="808"/>
    <x v="808"/>
    <x v="4"/>
    <x v="1"/>
    <x v="4"/>
    <x v="1"/>
    <x v="12"/>
    <x v="8"/>
    <x v="8"/>
    <x v="12"/>
    <x v="8"/>
    <x v="0"/>
    <x v="38"/>
    <x v="135"/>
    <s v="supplier@gmail.com"/>
  </r>
  <r>
    <x v="809"/>
    <x v="809"/>
    <x v="4"/>
    <x v="1"/>
    <x v="4"/>
    <x v="1"/>
    <x v="12"/>
    <x v="8"/>
    <x v="8"/>
    <x v="12"/>
    <x v="8"/>
    <x v="0"/>
    <x v="1"/>
    <x v="37"/>
    <s v="supplier@gmail.com"/>
  </r>
  <r>
    <x v="810"/>
    <x v="810"/>
    <x v="4"/>
    <x v="1"/>
    <x v="4"/>
    <x v="1"/>
    <x v="12"/>
    <x v="8"/>
    <x v="8"/>
    <x v="12"/>
    <x v="8"/>
    <x v="0"/>
    <x v="390"/>
    <x v="171"/>
    <s v="supplier@gmail.com"/>
  </r>
  <r>
    <x v="811"/>
    <x v="811"/>
    <x v="92"/>
    <x v="135"/>
    <x v="58"/>
    <x v="153"/>
    <x v="140"/>
    <x v="136"/>
    <x v="58"/>
    <x v="51"/>
    <x v="96"/>
    <x v="0"/>
    <x v="391"/>
    <x v="102"/>
    <s v="supplier@gmail.com"/>
  </r>
  <r>
    <x v="812"/>
    <x v="812"/>
    <x v="4"/>
    <x v="1"/>
    <x v="4"/>
    <x v="1"/>
    <x v="12"/>
    <x v="8"/>
    <x v="8"/>
    <x v="12"/>
    <x v="8"/>
    <x v="0"/>
    <x v="392"/>
    <x v="120"/>
    <s v="supplier@gmail.com"/>
  </r>
  <r>
    <x v="813"/>
    <x v="813"/>
    <x v="144"/>
    <x v="125"/>
    <x v="145"/>
    <x v="154"/>
    <x v="4"/>
    <x v="4"/>
    <x v="4"/>
    <x v="4"/>
    <x v="4"/>
    <x v="0"/>
    <x v="393"/>
    <x v="180"/>
    <s v="supplier@gmail.com"/>
  </r>
  <r>
    <x v="814"/>
    <x v="814"/>
    <x v="4"/>
    <x v="1"/>
    <x v="4"/>
    <x v="1"/>
    <x v="12"/>
    <x v="8"/>
    <x v="8"/>
    <x v="12"/>
    <x v="8"/>
    <x v="0"/>
    <x v="256"/>
    <x v="186"/>
    <s v="supplier@gmail.com"/>
  </r>
  <r>
    <x v="815"/>
    <x v="815"/>
    <x v="144"/>
    <x v="125"/>
    <x v="145"/>
    <x v="154"/>
    <x v="4"/>
    <x v="4"/>
    <x v="4"/>
    <x v="4"/>
    <x v="4"/>
    <x v="0"/>
    <x v="351"/>
    <x v="101"/>
    <s v="supplier@gmail.com"/>
  </r>
  <r>
    <x v="816"/>
    <x v="816"/>
    <x v="151"/>
    <x v="89"/>
    <x v="11"/>
    <x v="9"/>
    <x v="137"/>
    <x v="1"/>
    <x v="1"/>
    <x v="3"/>
    <x v="1"/>
    <x v="0"/>
    <x v="394"/>
    <x v="9"/>
    <s v="supplier@gmail.com"/>
  </r>
  <r>
    <x v="817"/>
    <x v="817"/>
    <x v="82"/>
    <x v="0"/>
    <x v="28"/>
    <x v="38"/>
    <x v="138"/>
    <x v="135"/>
    <x v="36"/>
    <x v="30"/>
    <x v="19"/>
    <x v="0"/>
    <x v="395"/>
    <x v="104"/>
    <s v="supplier@gmail.com"/>
  </r>
  <r>
    <x v="818"/>
    <x v="818"/>
    <x v="152"/>
    <x v="136"/>
    <x v="146"/>
    <x v="155"/>
    <x v="141"/>
    <x v="137"/>
    <x v="122"/>
    <x v="125"/>
    <x v="118"/>
    <x v="0"/>
    <x v="396"/>
    <x v="11"/>
    <s v="supplier@gmail.com"/>
  </r>
  <r>
    <x v="819"/>
    <x v="819"/>
    <x v="153"/>
    <x v="126"/>
    <x v="147"/>
    <x v="156"/>
    <x v="142"/>
    <x v="138"/>
    <x v="123"/>
    <x v="126"/>
    <x v="49"/>
    <x v="0"/>
    <x v="194"/>
    <x v="11"/>
    <s v="supplier@gmail.com"/>
  </r>
  <r>
    <x v="820"/>
    <x v="820"/>
    <x v="152"/>
    <x v="136"/>
    <x v="146"/>
    <x v="155"/>
    <x v="141"/>
    <x v="137"/>
    <x v="122"/>
    <x v="125"/>
    <x v="118"/>
    <x v="0"/>
    <x v="39"/>
    <x v="93"/>
    <s v="supplier@gmail.com"/>
  </r>
  <r>
    <x v="821"/>
    <x v="821"/>
    <x v="4"/>
    <x v="1"/>
    <x v="4"/>
    <x v="1"/>
    <x v="12"/>
    <x v="8"/>
    <x v="8"/>
    <x v="12"/>
    <x v="8"/>
    <x v="0"/>
    <x v="1"/>
    <x v="154"/>
    <s v="supplier@gmail.com"/>
  </r>
  <r>
    <x v="822"/>
    <x v="822"/>
    <x v="4"/>
    <x v="1"/>
    <x v="4"/>
    <x v="1"/>
    <x v="12"/>
    <x v="8"/>
    <x v="8"/>
    <x v="12"/>
    <x v="8"/>
    <x v="0"/>
    <x v="243"/>
    <x v="151"/>
    <s v="supplier@gmail.com"/>
  </r>
  <r>
    <x v="823"/>
    <x v="823"/>
    <x v="154"/>
    <x v="76"/>
    <x v="98"/>
    <x v="104"/>
    <x v="143"/>
    <x v="24"/>
    <x v="22"/>
    <x v="31"/>
    <x v="21"/>
    <x v="0"/>
    <x v="3"/>
    <x v="49"/>
    <s v="supplier@gmail.com"/>
  </r>
  <r>
    <x v="824"/>
    <x v="824"/>
    <x v="155"/>
    <x v="1"/>
    <x v="129"/>
    <x v="42"/>
    <x v="144"/>
    <x v="123"/>
    <x v="124"/>
    <x v="127"/>
    <x v="119"/>
    <x v="0"/>
    <x v="7"/>
    <x v="88"/>
    <s v="supplier@gmail.com"/>
  </r>
  <r>
    <x v="825"/>
    <x v="825"/>
    <x v="144"/>
    <x v="125"/>
    <x v="145"/>
    <x v="154"/>
    <x v="4"/>
    <x v="4"/>
    <x v="4"/>
    <x v="4"/>
    <x v="4"/>
    <x v="0"/>
    <x v="161"/>
    <x v="76"/>
    <s v="supplier@gmail.com"/>
  </r>
  <r>
    <x v="826"/>
    <x v="826"/>
    <x v="44"/>
    <x v="125"/>
    <x v="30"/>
    <x v="31"/>
    <x v="26"/>
    <x v="26"/>
    <x v="77"/>
    <x v="26"/>
    <x v="27"/>
    <x v="0"/>
    <x v="294"/>
    <x v="19"/>
    <s v="supplier@gmail.com"/>
  </r>
  <r>
    <x v="827"/>
    <x v="827"/>
    <x v="4"/>
    <x v="1"/>
    <x v="129"/>
    <x v="42"/>
    <x v="40"/>
    <x v="123"/>
    <x v="124"/>
    <x v="127"/>
    <x v="119"/>
    <x v="0"/>
    <x v="1"/>
    <x v="134"/>
    <s v="supplier@gmail.com"/>
  </r>
  <r>
    <x v="828"/>
    <x v="828"/>
    <x v="4"/>
    <x v="1"/>
    <x v="4"/>
    <x v="1"/>
    <x v="12"/>
    <x v="8"/>
    <x v="8"/>
    <x v="12"/>
    <x v="8"/>
    <x v="0"/>
    <x v="1"/>
    <x v="134"/>
    <s v="supplier@gmail.com"/>
  </r>
  <r>
    <x v="829"/>
    <x v="829"/>
    <x v="4"/>
    <x v="1"/>
    <x v="4"/>
    <x v="1"/>
    <x v="12"/>
    <x v="8"/>
    <x v="8"/>
    <x v="12"/>
    <x v="8"/>
    <x v="0"/>
    <x v="220"/>
    <x v="41"/>
    <s v="supplier@gmail.com"/>
  </r>
  <r>
    <x v="830"/>
    <x v="830"/>
    <x v="4"/>
    <x v="1"/>
    <x v="4"/>
    <x v="1"/>
    <x v="12"/>
    <x v="8"/>
    <x v="8"/>
    <x v="12"/>
    <x v="8"/>
    <x v="0"/>
    <x v="36"/>
    <x v="114"/>
    <s v="supplier@gmail.com"/>
  </r>
  <r>
    <x v="831"/>
    <x v="831"/>
    <x v="4"/>
    <x v="1"/>
    <x v="4"/>
    <x v="1"/>
    <x v="12"/>
    <x v="8"/>
    <x v="8"/>
    <x v="12"/>
    <x v="8"/>
    <x v="0"/>
    <x v="1"/>
    <x v="148"/>
    <s v="supplier@gmail.com"/>
  </r>
  <r>
    <x v="832"/>
    <x v="832"/>
    <x v="156"/>
    <x v="137"/>
    <x v="148"/>
    <x v="157"/>
    <x v="145"/>
    <x v="139"/>
    <x v="125"/>
    <x v="128"/>
    <x v="59"/>
    <x v="0"/>
    <x v="397"/>
    <x v="25"/>
    <s v="supplier@gmail.com"/>
  </r>
  <r>
    <x v="833"/>
    <x v="833"/>
    <x v="155"/>
    <x v="1"/>
    <x v="4"/>
    <x v="1"/>
    <x v="23"/>
    <x v="8"/>
    <x v="8"/>
    <x v="12"/>
    <x v="8"/>
    <x v="0"/>
    <x v="22"/>
    <x v="43"/>
    <s v="supplier@gmail.com"/>
  </r>
  <r>
    <x v="834"/>
    <x v="834"/>
    <x v="154"/>
    <x v="76"/>
    <x v="98"/>
    <x v="104"/>
    <x v="143"/>
    <x v="24"/>
    <x v="22"/>
    <x v="31"/>
    <x v="21"/>
    <x v="0"/>
    <x v="127"/>
    <x v="88"/>
    <s v="supplier@gmail.com"/>
  </r>
  <r>
    <x v="835"/>
    <x v="835"/>
    <x v="36"/>
    <x v="1"/>
    <x v="4"/>
    <x v="1"/>
    <x v="12"/>
    <x v="8"/>
    <x v="8"/>
    <x v="12"/>
    <x v="8"/>
    <x v="0"/>
    <x v="37"/>
    <x v="81"/>
    <s v="supplier@gmail.com"/>
  </r>
  <r>
    <x v="836"/>
    <x v="836"/>
    <x v="36"/>
    <x v="1"/>
    <x v="4"/>
    <x v="1"/>
    <x v="12"/>
    <x v="8"/>
    <x v="8"/>
    <x v="12"/>
    <x v="8"/>
    <x v="0"/>
    <x v="37"/>
    <x v="121"/>
    <s v="supplier@gmail.com"/>
  </r>
  <r>
    <x v="837"/>
    <x v="837"/>
    <x v="0"/>
    <x v="32"/>
    <x v="30"/>
    <x v="31"/>
    <x v="26"/>
    <x v="26"/>
    <x v="77"/>
    <x v="26"/>
    <x v="27"/>
    <x v="0"/>
    <x v="127"/>
    <x v="74"/>
    <s v="supplier@gmail.com"/>
  </r>
  <r>
    <x v="838"/>
    <x v="838"/>
    <x v="4"/>
    <x v="1"/>
    <x v="4"/>
    <x v="1"/>
    <x v="12"/>
    <x v="8"/>
    <x v="8"/>
    <x v="12"/>
    <x v="8"/>
    <x v="0"/>
    <x v="1"/>
    <x v="30"/>
    <s v="supplier@gmail.com"/>
  </r>
  <r>
    <x v="839"/>
    <x v="839"/>
    <x v="0"/>
    <x v="32"/>
    <x v="149"/>
    <x v="158"/>
    <x v="38"/>
    <x v="30"/>
    <x v="41"/>
    <x v="68"/>
    <x v="24"/>
    <x v="0"/>
    <x v="398"/>
    <x v="111"/>
    <s v="supplier@gmail.com"/>
  </r>
  <r>
    <x v="840"/>
    <x v="840"/>
    <x v="4"/>
    <x v="1"/>
    <x v="4"/>
    <x v="1"/>
    <x v="12"/>
    <x v="8"/>
    <x v="8"/>
    <x v="12"/>
    <x v="8"/>
    <x v="0"/>
    <x v="1"/>
    <x v="151"/>
    <s v="supplier@gmail.com"/>
  </r>
  <r>
    <x v="841"/>
    <x v="841"/>
    <x v="4"/>
    <x v="1"/>
    <x v="70"/>
    <x v="73"/>
    <x v="49"/>
    <x v="32"/>
    <x v="35"/>
    <x v="129"/>
    <x v="30"/>
    <x v="0"/>
    <x v="159"/>
    <x v="117"/>
    <s v="supplier@gmail.com"/>
  </r>
  <r>
    <x v="842"/>
    <x v="842"/>
    <x v="4"/>
    <x v="1"/>
    <x v="70"/>
    <x v="73"/>
    <x v="49"/>
    <x v="32"/>
    <x v="35"/>
    <x v="129"/>
    <x v="30"/>
    <x v="0"/>
    <x v="1"/>
    <x v="185"/>
    <s v="supplier@gmail.com"/>
  </r>
  <r>
    <x v="843"/>
    <x v="843"/>
    <x v="4"/>
    <x v="138"/>
    <x v="34"/>
    <x v="159"/>
    <x v="31"/>
    <x v="34"/>
    <x v="126"/>
    <x v="43"/>
    <x v="120"/>
    <x v="0"/>
    <x v="102"/>
    <x v="141"/>
    <s v="supplier@gmail.com"/>
  </r>
  <r>
    <x v="844"/>
    <x v="844"/>
    <x v="4"/>
    <x v="1"/>
    <x v="4"/>
    <x v="1"/>
    <x v="12"/>
    <x v="8"/>
    <x v="8"/>
    <x v="12"/>
    <x v="8"/>
    <x v="0"/>
    <x v="294"/>
    <x v="54"/>
    <s v="supplier@gmail.com"/>
  </r>
  <r>
    <x v="845"/>
    <x v="845"/>
    <x v="0"/>
    <x v="32"/>
    <x v="149"/>
    <x v="158"/>
    <x v="38"/>
    <x v="30"/>
    <x v="41"/>
    <x v="68"/>
    <x v="24"/>
    <x v="0"/>
    <x v="37"/>
    <x v="159"/>
    <s v="supplier@gmail.com"/>
  </r>
  <r>
    <x v="846"/>
    <x v="846"/>
    <x v="4"/>
    <x v="1"/>
    <x v="4"/>
    <x v="1"/>
    <x v="12"/>
    <x v="8"/>
    <x v="8"/>
    <x v="12"/>
    <x v="8"/>
    <x v="0"/>
    <x v="36"/>
    <x v="95"/>
    <s v="supplier@gmail.com"/>
  </r>
  <r>
    <x v="847"/>
    <x v="847"/>
    <x v="4"/>
    <x v="1"/>
    <x v="70"/>
    <x v="73"/>
    <x v="49"/>
    <x v="32"/>
    <x v="35"/>
    <x v="129"/>
    <x v="30"/>
    <x v="0"/>
    <x v="399"/>
    <x v="46"/>
    <s v="supplier@gmail.com"/>
  </r>
  <r>
    <x v="848"/>
    <x v="848"/>
    <x v="36"/>
    <x v="15"/>
    <x v="15"/>
    <x v="15"/>
    <x v="27"/>
    <x v="16"/>
    <x v="26"/>
    <x v="19"/>
    <x v="17"/>
    <x v="0"/>
    <x v="400"/>
    <x v="141"/>
    <s v="supplier@gmail.com"/>
  </r>
  <r>
    <x v="849"/>
    <x v="849"/>
    <x v="4"/>
    <x v="1"/>
    <x v="4"/>
    <x v="1"/>
    <x v="12"/>
    <x v="8"/>
    <x v="8"/>
    <x v="12"/>
    <x v="8"/>
    <x v="0"/>
    <x v="147"/>
    <x v="194"/>
    <s v="supplier@gmail.com"/>
  </r>
  <r>
    <x v="850"/>
    <x v="850"/>
    <x v="4"/>
    <x v="76"/>
    <x v="35"/>
    <x v="1"/>
    <x v="12"/>
    <x v="8"/>
    <x v="8"/>
    <x v="12"/>
    <x v="8"/>
    <x v="0"/>
    <x v="1"/>
    <x v="184"/>
    <s v="supplier@gmail.com"/>
  </r>
  <r>
    <x v="851"/>
    <x v="851"/>
    <x v="4"/>
    <x v="1"/>
    <x v="4"/>
    <x v="1"/>
    <x v="12"/>
    <x v="8"/>
    <x v="8"/>
    <x v="12"/>
    <x v="8"/>
    <x v="0"/>
    <x v="38"/>
    <x v="128"/>
    <s v="supplier@gmail.com"/>
  </r>
  <r>
    <x v="852"/>
    <x v="852"/>
    <x v="36"/>
    <x v="138"/>
    <x v="34"/>
    <x v="159"/>
    <x v="31"/>
    <x v="34"/>
    <x v="126"/>
    <x v="43"/>
    <x v="120"/>
    <x v="0"/>
    <x v="1"/>
    <x v="140"/>
    <s v="supplier@gmail.com"/>
  </r>
  <r>
    <x v="853"/>
    <x v="853"/>
    <x v="4"/>
    <x v="1"/>
    <x v="4"/>
    <x v="1"/>
    <x v="12"/>
    <x v="8"/>
    <x v="8"/>
    <x v="12"/>
    <x v="8"/>
    <x v="0"/>
    <x v="145"/>
    <x v="88"/>
    <s v="supplier@gmail.com"/>
  </r>
  <r>
    <x v="854"/>
    <x v="854"/>
    <x v="144"/>
    <x v="1"/>
    <x v="36"/>
    <x v="41"/>
    <x v="33"/>
    <x v="75"/>
    <x v="31"/>
    <x v="33"/>
    <x v="121"/>
    <x v="0"/>
    <x v="226"/>
    <x v="19"/>
    <s v="supplier@gmail.com"/>
  </r>
  <r>
    <x v="855"/>
    <x v="855"/>
    <x v="4"/>
    <x v="1"/>
    <x v="4"/>
    <x v="1"/>
    <x v="12"/>
    <x v="8"/>
    <x v="8"/>
    <x v="12"/>
    <x v="8"/>
    <x v="0"/>
    <x v="1"/>
    <x v="18"/>
    <s v="supplier@gmail.com"/>
  </r>
  <r>
    <x v="856"/>
    <x v="856"/>
    <x v="4"/>
    <x v="1"/>
    <x v="4"/>
    <x v="1"/>
    <x v="12"/>
    <x v="8"/>
    <x v="8"/>
    <x v="12"/>
    <x v="8"/>
    <x v="0"/>
    <x v="1"/>
    <x v="70"/>
    <s v="supplier@gmail.com"/>
  </r>
  <r>
    <x v="857"/>
    <x v="857"/>
    <x v="4"/>
    <x v="1"/>
    <x v="4"/>
    <x v="1"/>
    <x v="12"/>
    <x v="8"/>
    <x v="8"/>
    <x v="12"/>
    <x v="8"/>
    <x v="0"/>
    <x v="1"/>
    <x v="164"/>
    <s v="supplier@gmail.com"/>
  </r>
  <r>
    <x v="858"/>
    <x v="858"/>
    <x v="4"/>
    <x v="0"/>
    <x v="0"/>
    <x v="0"/>
    <x v="0"/>
    <x v="0"/>
    <x v="0"/>
    <x v="0"/>
    <x v="0"/>
    <x v="0"/>
    <x v="1"/>
    <x v="52"/>
    <s v="supplier@gmail.com"/>
  </r>
  <r>
    <x v="859"/>
    <x v="859"/>
    <x v="4"/>
    <x v="1"/>
    <x v="4"/>
    <x v="1"/>
    <x v="12"/>
    <x v="8"/>
    <x v="8"/>
    <x v="12"/>
    <x v="8"/>
    <x v="0"/>
    <x v="1"/>
    <x v="64"/>
    <s v="supplier@gmail.com"/>
  </r>
  <r>
    <x v="860"/>
    <x v="860"/>
    <x v="4"/>
    <x v="1"/>
    <x v="4"/>
    <x v="1"/>
    <x v="12"/>
    <x v="8"/>
    <x v="8"/>
    <x v="12"/>
    <x v="8"/>
    <x v="0"/>
    <x v="1"/>
    <x v="0"/>
    <s v="supplier@gmail.com"/>
  </r>
  <r>
    <x v="861"/>
    <x v="861"/>
    <x v="4"/>
    <x v="1"/>
    <x v="4"/>
    <x v="1"/>
    <x v="12"/>
    <x v="8"/>
    <x v="8"/>
    <x v="12"/>
    <x v="8"/>
    <x v="0"/>
    <x v="39"/>
    <x v="21"/>
    <s v="supplier@gmail.com"/>
  </r>
  <r>
    <x v="862"/>
    <x v="862"/>
    <x v="4"/>
    <x v="1"/>
    <x v="4"/>
    <x v="1"/>
    <x v="12"/>
    <x v="8"/>
    <x v="8"/>
    <x v="12"/>
    <x v="8"/>
    <x v="0"/>
    <x v="36"/>
    <x v="154"/>
    <s v="supplier@gmail.com"/>
  </r>
  <r>
    <x v="863"/>
    <x v="863"/>
    <x v="4"/>
    <x v="1"/>
    <x v="4"/>
    <x v="1"/>
    <x v="12"/>
    <x v="8"/>
    <x v="8"/>
    <x v="12"/>
    <x v="8"/>
    <x v="0"/>
    <x v="102"/>
    <x v="40"/>
    <s v="supplier@gmail.com"/>
  </r>
  <r>
    <x v="864"/>
    <x v="864"/>
    <x v="4"/>
    <x v="125"/>
    <x v="4"/>
    <x v="1"/>
    <x v="12"/>
    <x v="8"/>
    <x v="8"/>
    <x v="12"/>
    <x v="8"/>
    <x v="0"/>
    <x v="38"/>
    <x v="78"/>
    <s v="supplier@gmail.com"/>
  </r>
  <r>
    <x v="865"/>
    <x v="865"/>
    <x v="4"/>
    <x v="1"/>
    <x v="4"/>
    <x v="1"/>
    <x v="12"/>
    <x v="8"/>
    <x v="8"/>
    <x v="12"/>
    <x v="8"/>
    <x v="0"/>
    <x v="1"/>
    <x v="55"/>
    <s v="supplier@gmail.com"/>
  </r>
  <r>
    <x v="866"/>
    <x v="866"/>
    <x v="4"/>
    <x v="1"/>
    <x v="4"/>
    <x v="1"/>
    <x v="12"/>
    <x v="8"/>
    <x v="8"/>
    <x v="12"/>
    <x v="8"/>
    <x v="0"/>
    <x v="226"/>
    <x v="97"/>
    <s v="supplier@gmail.com"/>
  </r>
  <r>
    <x v="867"/>
    <x v="867"/>
    <x v="155"/>
    <x v="1"/>
    <x v="4"/>
    <x v="1"/>
    <x v="23"/>
    <x v="8"/>
    <x v="8"/>
    <x v="12"/>
    <x v="8"/>
    <x v="0"/>
    <x v="51"/>
    <x v="71"/>
    <s v="supplier@gmail.com"/>
  </r>
  <r>
    <x v="868"/>
    <x v="868"/>
    <x v="4"/>
    <x v="1"/>
    <x v="4"/>
    <x v="1"/>
    <x v="12"/>
    <x v="8"/>
    <x v="8"/>
    <x v="12"/>
    <x v="8"/>
    <x v="0"/>
    <x v="1"/>
    <x v="2"/>
    <s v="supplier@gmail.com"/>
  </r>
  <r>
    <x v="869"/>
    <x v="869"/>
    <x v="4"/>
    <x v="1"/>
    <x v="4"/>
    <x v="1"/>
    <x v="12"/>
    <x v="8"/>
    <x v="8"/>
    <x v="12"/>
    <x v="8"/>
    <x v="0"/>
    <x v="1"/>
    <x v="174"/>
    <s v="supplier@gmail.com"/>
  </r>
  <r>
    <x v="870"/>
    <x v="870"/>
    <x v="4"/>
    <x v="1"/>
    <x v="4"/>
    <x v="1"/>
    <x v="12"/>
    <x v="8"/>
    <x v="8"/>
    <x v="12"/>
    <x v="8"/>
    <x v="0"/>
    <x v="38"/>
    <x v="38"/>
    <s v="supplier@gmail.com"/>
  </r>
  <r>
    <x v="871"/>
    <x v="871"/>
    <x v="4"/>
    <x v="1"/>
    <x v="4"/>
    <x v="1"/>
    <x v="12"/>
    <x v="8"/>
    <x v="8"/>
    <x v="12"/>
    <x v="8"/>
    <x v="0"/>
    <x v="30"/>
    <x v="75"/>
    <s v="supplier@gmail.com"/>
  </r>
  <r>
    <x v="872"/>
    <x v="872"/>
    <x v="36"/>
    <x v="1"/>
    <x v="4"/>
    <x v="1"/>
    <x v="12"/>
    <x v="8"/>
    <x v="8"/>
    <x v="12"/>
    <x v="8"/>
    <x v="0"/>
    <x v="1"/>
    <x v="118"/>
    <s v="supplier@gmail.com"/>
  </r>
  <r>
    <x v="873"/>
    <x v="873"/>
    <x v="4"/>
    <x v="1"/>
    <x v="4"/>
    <x v="1"/>
    <x v="12"/>
    <x v="8"/>
    <x v="8"/>
    <x v="12"/>
    <x v="8"/>
    <x v="0"/>
    <x v="226"/>
    <x v="7"/>
    <s v="supplier@gmail.com"/>
  </r>
  <r>
    <x v="874"/>
    <x v="874"/>
    <x v="4"/>
    <x v="1"/>
    <x v="4"/>
    <x v="1"/>
    <x v="12"/>
    <x v="8"/>
    <x v="8"/>
    <x v="12"/>
    <x v="8"/>
    <x v="0"/>
    <x v="39"/>
    <x v="147"/>
    <s v="supplier@gmail.com"/>
  </r>
  <r>
    <x v="875"/>
    <x v="875"/>
    <x v="36"/>
    <x v="1"/>
    <x v="4"/>
    <x v="1"/>
    <x v="12"/>
    <x v="8"/>
    <x v="8"/>
    <x v="12"/>
    <x v="8"/>
    <x v="0"/>
    <x v="212"/>
    <x v="59"/>
    <s v="supplier@gmail.com"/>
  </r>
  <r>
    <x v="876"/>
    <x v="876"/>
    <x v="4"/>
    <x v="1"/>
    <x v="4"/>
    <x v="1"/>
    <x v="12"/>
    <x v="8"/>
    <x v="8"/>
    <x v="12"/>
    <x v="8"/>
    <x v="0"/>
    <x v="212"/>
    <x v="185"/>
    <s v="supplier@gmail.com"/>
  </r>
  <r>
    <x v="877"/>
    <x v="877"/>
    <x v="4"/>
    <x v="1"/>
    <x v="4"/>
    <x v="1"/>
    <x v="12"/>
    <x v="8"/>
    <x v="8"/>
    <x v="12"/>
    <x v="8"/>
    <x v="0"/>
    <x v="39"/>
    <x v="21"/>
    <s v="supplier@gmail.com"/>
  </r>
  <r>
    <x v="878"/>
    <x v="878"/>
    <x v="4"/>
    <x v="1"/>
    <x v="4"/>
    <x v="1"/>
    <x v="12"/>
    <x v="8"/>
    <x v="8"/>
    <x v="12"/>
    <x v="8"/>
    <x v="0"/>
    <x v="401"/>
    <x v="111"/>
    <s v="supplier@gmail.com"/>
  </r>
  <r>
    <x v="879"/>
    <x v="879"/>
    <x v="104"/>
    <x v="116"/>
    <x v="21"/>
    <x v="160"/>
    <x v="11"/>
    <x v="140"/>
    <x v="85"/>
    <x v="130"/>
    <x v="80"/>
    <x v="0"/>
    <x v="34"/>
    <x v="70"/>
    <s v="supplier@gmail.com"/>
  </r>
  <r>
    <x v="880"/>
    <x v="880"/>
    <x v="0"/>
    <x v="1"/>
    <x v="4"/>
    <x v="1"/>
    <x v="23"/>
    <x v="8"/>
    <x v="8"/>
    <x v="12"/>
    <x v="8"/>
    <x v="0"/>
    <x v="102"/>
    <x v="6"/>
    <s v="supplier@gmail.com"/>
  </r>
  <r>
    <x v="881"/>
    <x v="881"/>
    <x v="4"/>
    <x v="1"/>
    <x v="4"/>
    <x v="1"/>
    <x v="12"/>
    <x v="8"/>
    <x v="8"/>
    <x v="12"/>
    <x v="8"/>
    <x v="0"/>
    <x v="134"/>
    <x v="11"/>
    <s v="supplier@gmail.com"/>
  </r>
  <r>
    <x v="882"/>
    <x v="882"/>
    <x v="157"/>
    <x v="139"/>
    <x v="150"/>
    <x v="161"/>
    <x v="146"/>
    <x v="91"/>
    <x v="127"/>
    <x v="131"/>
    <x v="122"/>
    <x v="0"/>
    <x v="1"/>
    <x v="184"/>
    <s v="supplier@gmail.com"/>
  </r>
  <r>
    <x v="883"/>
    <x v="883"/>
    <x v="158"/>
    <x v="140"/>
    <x v="151"/>
    <x v="160"/>
    <x v="10"/>
    <x v="124"/>
    <x v="85"/>
    <x v="132"/>
    <x v="123"/>
    <x v="0"/>
    <x v="38"/>
    <x v="96"/>
    <s v="supplier@gmail.com"/>
  </r>
  <r>
    <x v="884"/>
    <x v="884"/>
    <x v="101"/>
    <x v="17"/>
    <x v="15"/>
    <x v="1"/>
    <x v="12"/>
    <x v="8"/>
    <x v="27"/>
    <x v="12"/>
    <x v="17"/>
    <x v="0"/>
    <x v="1"/>
    <x v="67"/>
    <s v="supplier@gmail.com"/>
  </r>
  <r>
    <x v="885"/>
    <x v="885"/>
    <x v="100"/>
    <x v="108"/>
    <x v="104"/>
    <x v="1"/>
    <x v="12"/>
    <x v="8"/>
    <x v="36"/>
    <x v="12"/>
    <x v="18"/>
    <x v="0"/>
    <x v="77"/>
    <x v="125"/>
    <s v="supplier@gmail.com"/>
  </r>
  <r>
    <x v="886"/>
    <x v="886"/>
    <x v="18"/>
    <x v="17"/>
    <x v="17"/>
    <x v="1"/>
    <x v="12"/>
    <x v="8"/>
    <x v="27"/>
    <x v="12"/>
    <x v="23"/>
    <x v="0"/>
    <x v="349"/>
    <x v="157"/>
    <s v="supplier@gmail.com"/>
  </r>
  <r>
    <x v="887"/>
    <x v="887"/>
    <x v="4"/>
    <x v="1"/>
    <x v="4"/>
    <x v="1"/>
    <x v="12"/>
    <x v="8"/>
    <x v="8"/>
    <x v="12"/>
    <x v="8"/>
    <x v="0"/>
    <x v="30"/>
    <x v="14"/>
    <s v="supplier@gmail.com"/>
  </r>
  <r>
    <x v="888"/>
    <x v="888"/>
    <x v="4"/>
    <x v="1"/>
    <x v="4"/>
    <x v="1"/>
    <x v="12"/>
    <x v="8"/>
    <x v="8"/>
    <x v="12"/>
    <x v="8"/>
    <x v="0"/>
    <x v="354"/>
    <x v="46"/>
    <s v="supplier@gmail.com"/>
  </r>
  <r>
    <x v="889"/>
    <x v="889"/>
    <x v="4"/>
    <x v="1"/>
    <x v="4"/>
    <x v="1"/>
    <x v="12"/>
    <x v="8"/>
    <x v="8"/>
    <x v="12"/>
    <x v="8"/>
    <x v="0"/>
    <x v="102"/>
    <x v="138"/>
    <s v="supplier@gmail.com"/>
  </r>
  <r>
    <x v="890"/>
    <x v="890"/>
    <x v="4"/>
    <x v="1"/>
    <x v="4"/>
    <x v="1"/>
    <x v="12"/>
    <x v="8"/>
    <x v="8"/>
    <x v="12"/>
    <x v="8"/>
    <x v="0"/>
    <x v="402"/>
    <x v="106"/>
    <s v="supplier@gmail.com"/>
  </r>
  <r>
    <x v="891"/>
    <x v="891"/>
    <x v="159"/>
    <x v="141"/>
    <x v="152"/>
    <x v="162"/>
    <x v="147"/>
    <x v="141"/>
    <x v="128"/>
    <x v="133"/>
    <x v="124"/>
    <x v="0"/>
    <x v="18"/>
    <x v="116"/>
    <s v="supplier@gmail.com"/>
  </r>
  <r>
    <x v="892"/>
    <x v="892"/>
    <x v="4"/>
    <x v="142"/>
    <x v="153"/>
    <x v="163"/>
    <x v="12"/>
    <x v="8"/>
    <x v="129"/>
    <x v="134"/>
    <x v="125"/>
    <x v="0"/>
    <x v="111"/>
    <x v="141"/>
    <s v="supplier@gmail.com"/>
  </r>
  <r>
    <x v="893"/>
    <x v="893"/>
    <x v="160"/>
    <x v="143"/>
    <x v="154"/>
    <x v="164"/>
    <x v="148"/>
    <x v="8"/>
    <x v="130"/>
    <x v="135"/>
    <x v="126"/>
    <x v="0"/>
    <x v="102"/>
    <x v="115"/>
    <s v="supplier@gmail.com"/>
  </r>
  <r>
    <x v="894"/>
    <x v="894"/>
    <x v="161"/>
    <x v="144"/>
    <x v="155"/>
    <x v="165"/>
    <x v="149"/>
    <x v="8"/>
    <x v="131"/>
    <x v="136"/>
    <x v="127"/>
    <x v="0"/>
    <x v="98"/>
    <x v="155"/>
    <s v="supplier@gmail.com"/>
  </r>
  <r>
    <x v="895"/>
    <x v="895"/>
    <x v="162"/>
    <x v="145"/>
    <x v="156"/>
    <x v="166"/>
    <x v="150"/>
    <x v="8"/>
    <x v="132"/>
    <x v="137"/>
    <x v="128"/>
    <x v="0"/>
    <x v="19"/>
    <x v="117"/>
    <s v="supplier@gmail.com"/>
  </r>
  <r>
    <x v="896"/>
    <x v="896"/>
    <x v="163"/>
    <x v="146"/>
    <x v="157"/>
    <x v="167"/>
    <x v="151"/>
    <x v="8"/>
    <x v="133"/>
    <x v="138"/>
    <x v="129"/>
    <x v="0"/>
    <x v="403"/>
    <x v="104"/>
    <s v="supplier@gmail.com"/>
  </r>
  <r>
    <x v="897"/>
    <x v="897"/>
    <x v="111"/>
    <x v="147"/>
    <x v="158"/>
    <x v="122"/>
    <x v="152"/>
    <x v="8"/>
    <x v="43"/>
    <x v="139"/>
    <x v="95"/>
    <x v="0"/>
    <x v="197"/>
    <x v="81"/>
    <s v="supplier@gmail.com"/>
  </r>
  <r>
    <x v="898"/>
    <x v="898"/>
    <x v="164"/>
    <x v="148"/>
    <x v="159"/>
    <x v="168"/>
    <x v="153"/>
    <x v="8"/>
    <x v="134"/>
    <x v="140"/>
    <x v="130"/>
    <x v="0"/>
    <x v="1"/>
    <x v="65"/>
    <s v="supplier@gmail.com"/>
  </r>
  <r>
    <x v="899"/>
    <x v="899"/>
    <x v="4"/>
    <x v="1"/>
    <x v="4"/>
    <x v="1"/>
    <x v="43"/>
    <x v="8"/>
    <x v="8"/>
    <x v="12"/>
    <x v="8"/>
    <x v="0"/>
    <x v="7"/>
    <x v="188"/>
    <s v="supplier@gmail.com"/>
  </r>
  <r>
    <x v="900"/>
    <x v="900"/>
    <x v="4"/>
    <x v="1"/>
    <x v="4"/>
    <x v="1"/>
    <x v="43"/>
    <x v="8"/>
    <x v="8"/>
    <x v="12"/>
    <x v="8"/>
    <x v="0"/>
    <x v="286"/>
    <x v="124"/>
    <s v="supplier@gmail.com"/>
  </r>
  <r>
    <x v="901"/>
    <x v="901"/>
    <x v="133"/>
    <x v="1"/>
    <x v="10"/>
    <x v="11"/>
    <x v="12"/>
    <x v="8"/>
    <x v="44"/>
    <x v="13"/>
    <x v="8"/>
    <x v="0"/>
    <x v="404"/>
    <x v="110"/>
    <s v="supplier@gmail.com"/>
  </r>
  <r>
    <x v="902"/>
    <x v="902"/>
    <x v="133"/>
    <x v="1"/>
    <x v="10"/>
    <x v="11"/>
    <x v="12"/>
    <x v="8"/>
    <x v="44"/>
    <x v="13"/>
    <x v="8"/>
    <x v="0"/>
    <x v="405"/>
    <x v="15"/>
    <s v="supplier@gmail.com"/>
  </r>
  <r>
    <x v="903"/>
    <x v="903"/>
    <x v="4"/>
    <x v="1"/>
    <x v="4"/>
    <x v="159"/>
    <x v="12"/>
    <x v="70"/>
    <x v="8"/>
    <x v="12"/>
    <x v="8"/>
    <x v="0"/>
    <x v="406"/>
    <x v="32"/>
    <s v="supplier@gmail.com"/>
  </r>
  <r>
    <x v="904"/>
    <x v="904"/>
    <x v="165"/>
    <x v="149"/>
    <x v="160"/>
    <x v="169"/>
    <x v="27"/>
    <x v="0"/>
    <x v="135"/>
    <x v="141"/>
    <x v="8"/>
    <x v="0"/>
    <x v="9"/>
    <x v="94"/>
    <s v="supplier@gmail.com"/>
  </r>
  <r>
    <x v="905"/>
    <x v="905"/>
    <x v="82"/>
    <x v="66"/>
    <x v="7"/>
    <x v="1"/>
    <x v="12"/>
    <x v="8"/>
    <x v="8"/>
    <x v="12"/>
    <x v="12"/>
    <x v="0"/>
    <x v="407"/>
    <x v="122"/>
    <s v="supplier@gmail.com"/>
  </r>
  <r>
    <x v="906"/>
    <x v="906"/>
    <x v="82"/>
    <x v="125"/>
    <x v="17"/>
    <x v="15"/>
    <x v="25"/>
    <x v="16"/>
    <x v="0"/>
    <x v="43"/>
    <x v="121"/>
    <x v="0"/>
    <x v="408"/>
    <x v="96"/>
    <s v="supplier@gmail.com"/>
  </r>
  <r>
    <x v="907"/>
    <x v="907"/>
    <x v="4"/>
    <x v="1"/>
    <x v="4"/>
    <x v="1"/>
    <x v="12"/>
    <x v="8"/>
    <x v="8"/>
    <x v="12"/>
    <x v="0"/>
    <x v="0"/>
    <x v="409"/>
    <x v="73"/>
    <s v="supplier@gmail.com"/>
  </r>
  <r>
    <x v="908"/>
    <x v="908"/>
    <x v="44"/>
    <x v="150"/>
    <x v="161"/>
    <x v="17"/>
    <x v="31"/>
    <x v="32"/>
    <x v="27"/>
    <x v="0"/>
    <x v="23"/>
    <x v="0"/>
    <x v="410"/>
    <x v="122"/>
    <s v="supplier@gmail.com"/>
  </r>
  <r>
    <x v="909"/>
    <x v="909"/>
    <x v="4"/>
    <x v="1"/>
    <x v="4"/>
    <x v="1"/>
    <x v="12"/>
    <x v="8"/>
    <x v="8"/>
    <x v="12"/>
    <x v="8"/>
    <x v="0"/>
    <x v="253"/>
    <x v="63"/>
    <s v="supplier@gmail.com"/>
  </r>
  <r>
    <x v="910"/>
    <x v="910"/>
    <x v="166"/>
    <x v="1"/>
    <x v="4"/>
    <x v="170"/>
    <x v="29"/>
    <x v="37"/>
    <x v="5"/>
    <x v="6"/>
    <x v="91"/>
    <x v="0"/>
    <x v="411"/>
    <x v="57"/>
    <s v="supplier@gmail.com"/>
  </r>
  <r>
    <x v="911"/>
    <x v="911"/>
    <x v="167"/>
    <x v="151"/>
    <x v="162"/>
    <x v="171"/>
    <x v="154"/>
    <x v="142"/>
    <x v="136"/>
    <x v="142"/>
    <x v="131"/>
    <x v="0"/>
    <x v="179"/>
    <x v="66"/>
    <s v="supplier@gmail.com"/>
  </r>
  <r>
    <x v="912"/>
    <x v="912"/>
    <x v="168"/>
    <x v="17"/>
    <x v="163"/>
    <x v="172"/>
    <x v="155"/>
    <x v="143"/>
    <x v="137"/>
    <x v="143"/>
    <x v="132"/>
    <x v="0"/>
    <x v="187"/>
    <x v="99"/>
    <s v="supplier@gmail.com"/>
  </r>
  <r>
    <x v="913"/>
    <x v="913"/>
    <x v="4"/>
    <x v="1"/>
    <x v="98"/>
    <x v="1"/>
    <x v="143"/>
    <x v="8"/>
    <x v="8"/>
    <x v="31"/>
    <x v="8"/>
    <x v="0"/>
    <x v="412"/>
    <x v="60"/>
    <s v="supplier@gmail.com"/>
  </r>
  <r>
    <x v="914"/>
    <x v="914"/>
    <x v="169"/>
    <x v="152"/>
    <x v="164"/>
    <x v="173"/>
    <x v="156"/>
    <x v="144"/>
    <x v="138"/>
    <x v="144"/>
    <x v="133"/>
    <x v="0"/>
    <x v="1"/>
    <x v="100"/>
    <s v="supplier@gmail.com"/>
  </r>
  <r>
    <x v="915"/>
    <x v="915"/>
    <x v="4"/>
    <x v="1"/>
    <x v="4"/>
    <x v="1"/>
    <x v="12"/>
    <x v="8"/>
    <x v="8"/>
    <x v="12"/>
    <x v="8"/>
    <x v="0"/>
    <x v="147"/>
    <x v="78"/>
    <s v="supplier@gmail.com"/>
  </r>
  <r>
    <x v="916"/>
    <x v="916"/>
    <x v="170"/>
    <x v="153"/>
    <x v="165"/>
    <x v="174"/>
    <x v="157"/>
    <x v="145"/>
    <x v="139"/>
    <x v="145"/>
    <x v="134"/>
    <x v="0"/>
    <x v="413"/>
    <x v="151"/>
    <s v="supplier@gmail.com"/>
  </r>
  <r>
    <x v="917"/>
    <x v="917"/>
    <x v="4"/>
    <x v="125"/>
    <x v="4"/>
    <x v="1"/>
    <x v="12"/>
    <x v="8"/>
    <x v="8"/>
    <x v="12"/>
    <x v="8"/>
    <x v="0"/>
    <x v="407"/>
    <x v="9"/>
    <s v="supplier@gmail.com"/>
  </r>
  <r>
    <x v="918"/>
    <x v="918"/>
    <x v="4"/>
    <x v="1"/>
    <x v="4"/>
    <x v="1"/>
    <x v="12"/>
    <x v="8"/>
    <x v="8"/>
    <x v="12"/>
    <x v="8"/>
    <x v="0"/>
    <x v="33"/>
    <x v="67"/>
    <s v="supplier@gmail.com"/>
  </r>
  <r>
    <x v="919"/>
    <x v="919"/>
    <x v="171"/>
    <x v="154"/>
    <x v="166"/>
    <x v="175"/>
    <x v="158"/>
    <x v="146"/>
    <x v="140"/>
    <x v="146"/>
    <x v="135"/>
    <x v="0"/>
    <x v="414"/>
    <x v="85"/>
    <s v="supplier@gmail.com"/>
  </r>
  <r>
    <x v="920"/>
    <x v="920"/>
    <x v="4"/>
    <x v="1"/>
    <x v="4"/>
    <x v="1"/>
    <x v="12"/>
    <x v="8"/>
    <x v="8"/>
    <x v="12"/>
    <x v="8"/>
    <x v="0"/>
    <x v="1"/>
    <x v="52"/>
    <s v="supplier@gmail.com"/>
  </r>
  <r>
    <x v="921"/>
    <x v="921"/>
    <x v="144"/>
    <x v="125"/>
    <x v="35"/>
    <x v="1"/>
    <x v="0"/>
    <x v="70"/>
    <x v="35"/>
    <x v="12"/>
    <x v="8"/>
    <x v="0"/>
    <x v="415"/>
    <x v="55"/>
    <s v="supplier@gmail.com"/>
  </r>
  <r>
    <x v="922"/>
    <x v="922"/>
    <x v="4"/>
    <x v="1"/>
    <x v="4"/>
    <x v="1"/>
    <x v="12"/>
    <x v="25"/>
    <x v="26"/>
    <x v="12"/>
    <x v="8"/>
    <x v="0"/>
    <x v="416"/>
    <x v="97"/>
    <s v="supplier@gmail.com"/>
  </r>
  <r>
    <x v="923"/>
    <x v="923"/>
    <x v="4"/>
    <x v="1"/>
    <x v="4"/>
    <x v="1"/>
    <x v="12"/>
    <x v="8"/>
    <x v="8"/>
    <x v="12"/>
    <x v="8"/>
    <x v="0"/>
    <x v="164"/>
    <x v="9"/>
    <s v="supplier@gmail.com"/>
  </r>
  <r>
    <x v="924"/>
    <x v="924"/>
    <x v="172"/>
    <x v="155"/>
    <x v="167"/>
    <x v="176"/>
    <x v="159"/>
    <x v="147"/>
    <x v="8"/>
    <x v="12"/>
    <x v="8"/>
    <x v="0"/>
    <x v="1"/>
    <x v="164"/>
    <s v="supplier@gmail.com"/>
  </r>
  <r>
    <x v="925"/>
    <x v="925"/>
    <x v="4"/>
    <x v="1"/>
    <x v="4"/>
    <x v="1"/>
    <x v="12"/>
    <x v="8"/>
    <x v="8"/>
    <x v="12"/>
    <x v="8"/>
    <x v="0"/>
    <x v="70"/>
    <x v="154"/>
    <s v="supplier@gmail.com"/>
  </r>
  <r>
    <x v="926"/>
    <x v="926"/>
    <x v="12"/>
    <x v="156"/>
    <x v="10"/>
    <x v="8"/>
    <x v="29"/>
    <x v="12"/>
    <x v="13"/>
    <x v="13"/>
    <x v="12"/>
    <x v="0"/>
    <x v="193"/>
    <x v="113"/>
    <s v="supplier@gmail.com"/>
  </r>
  <r>
    <x v="927"/>
    <x v="927"/>
    <x v="4"/>
    <x v="1"/>
    <x v="4"/>
    <x v="1"/>
    <x v="12"/>
    <x v="8"/>
    <x v="8"/>
    <x v="12"/>
    <x v="8"/>
    <x v="0"/>
    <x v="207"/>
    <x v="195"/>
    <s v="supplier@gmail.com"/>
  </r>
  <r>
    <x v="928"/>
    <x v="928"/>
    <x v="173"/>
    <x v="21"/>
    <x v="34"/>
    <x v="33"/>
    <x v="112"/>
    <x v="26"/>
    <x v="34"/>
    <x v="68"/>
    <x v="74"/>
    <x v="0"/>
    <x v="267"/>
    <x v="161"/>
    <s v="supplier@gmail.com"/>
  </r>
  <r>
    <x v="929"/>
    <x v="929"/>
    <x v="4"/>
    <x v="38"/>
    <x v="0"/>
    <x v="132"/>
    <x v="23"/>
    <x v="32"/>
    <x v="35"/>
    <x v="12"/>
    <x v="30"/>
    <x v="0"/>
    <x v="42"/>
    <x v="20"/>
    <s v="supplier@gmail.com"/>
  </r>
  <r>
    <x v="930"/>
    <x v="930"/>
    <x v="0"/>
    <x v="36"/>
    <x v="168"/>
    <x v="19"/>
    <x v="160"/>
    <x v="26"/>
    <x v="141"/>
    <x v="19"/>
    <x v="0"/>
    <x v="0"/>
    <x v="125"/>
    <x v="81"/>
    <s v="supplier@gmail.com"/>
  </r>
  <r>
    <x v="931"/>
    <x v="931"/>
    <x v="82"/>
    <x v="1"/>
    <x v="4"/>
    <x v="16"/>
    <x v="17"/>
    <x v="8"/>
    <x v="8"/>
    <x v="12"/>
    <x v="8"/>
    <x v="0"/>
    <x v="218"/>
    <x v="77"/>
    <s v="supplier@gmail.com"/>
  </r>
  <r>
    <x v="932"/>
    <x v="932"/>
    <x v="174"/>
    <x v="8"/>
    <x v="7"/>
    <x v="1"/>
    <x v="161"/>
    <x v="148"/>
    <x v="8"/>
    <x v="12"/>
    <x v="8"/>
    <x v="0"/>
    <x v="417"/>
    <x v="155"/>
    <s v="supplier@gmail.com"/>
  </r>
  <r>
    <x v="933"/>
    <x v="933"/>
    <x v="4"/>
    <x v="1"/>
    <x v="4"/>
    <x v="1"/>
    <x v="12"/>
    <x v="8"/>
    <x v="8"/>
    <x v="12"/>
    <x v="8"/>
    <x v="0"/>
    <x v="418"/>
    <x v="107"/>
    <s v="supplier@gmail.com"/>
  </r>
  <r>
    <x v="934"/>
    <x v="934"/>
    <x v="4"/>
    <x v="1"/>
    <x v="4"/>
    <x v="1"/>
    <x v="12"/>
    <x v="8"/>
    <x v="8"/>
    <x v="12"/>
    <x v="8"/>
    <x v="0"/>
    <x v="312"/>
    <x v="158"/>
    <s v="supplier@gmail.com"/>
  </r>
  <r>
    <x v="935"/>
    <x v="935"/>
    <x v="44"/>
    <x v="36"/>
    <x v="35"/>
    <x v="17"/>
    <x v="12"/>
    <x v="70"/>
    <x v="0"/>
    <x v="25"/>
    <x v="17"/>
    <x v="0"/>
    <x v="419"/>
    <x v="149"/>
    <s v="supplier@gmail.com"/>
  </r>
  <r>
    <x v="936"/>
    <x v="936"/>
    <x v="4"/>
    <x v="1"/>
    <x v="4"/>
    <x v="17"/>
    <x v="12"/>
    <x v="8"/>
    <x v="8"/>
    <x v="12"/>
    <x v="8"/>
    <x v="0"/>
    <x v="43"/>
    <x v="118"/>
    <s v="supplier@gmail.com"/>
  </r>
  <r>
    <x v="937"/>
    <x v="937"/>
    <x v="49"/>
    <x v="125"/>
    <x v="70"/>
    <x v="73"/>
    <x v="49"/>
    <x v="70"/>
    <x v="0"/>
    <x v="19"/>
    <x v="31"/>
    <x v="0"/>
    <x v="61"/>
    <x v="76"/>
    <s v="supplier@gmail.com"/>
  </r>
  <r>
    <x v="938"/>
    <x v="938"/>
    <x v="4"/>
    <x v="125"/>
    <x v="0"/>
    <x v="0"/>
    <x v="0"/>
    <x v="32"/>
    <x v="27"/>
    <x v="42"/>
    <x v="8"/>
    <x v="0"/>
    <x v="12"/>
    <x v="174"/>
    <s v="supplier@gmail.com"/>
  </r>
  <r>
    <x v="939"/>
    <x v="939"/>
    <x v="175"/>
    <x v="89"/>
    <x v="31"/>
    <x v="20"/>
    <x v="22"/>
    <x v="149"/>
    <x v="142"/>
    <x v="112"/>
    <x v="121"/>
    <x v="0"/>
    <x v="127"/>
    <x v="188"/>
    <s v="supplier@gmail.com"/>
  </r>
  <r>
    <x v="940"/>
    <x v="940"/>
    <x v="176"/>
    <x v="16"/>
    <x v="169"/>
    <x v="177"/>
    <x v="162"/>
    <x v="150"/>
    <x v="10"/>
    <x v="31"/>
    <x v="136"/>
    <x v="0"/>
    <x v="76"/>
    <x v="156"/>
    <s v="supplier@gmail.com"/>
  </r>
  <r>
    <x v="941"/>
    <x v="941"/>
    <x v="158"/>
    <x v="140"/>
    <x v="151"/>
    <x v="160"/>
    <x v="10"/>
    <x v="124"/>
    <x v="85"/>
    <x v="132"/>
    <x v="123"/>
    <x v="0"/>
    <x v="167"/>
    <x v="36"/>
    <s v="supplier@gmail.com"/>
  </r>
  <r>
    <x v="942"/>
    <x v="942"/>
    <x v="158"/>
    <x v="140"/>
    <x v="151"/>
    <x v="160"/>
    <x v="10"/>
    <x v="124"/>
    <x v="85"/>
    <x v="132"/>
    <x v="123"/>
    <x v="0"/>
    <x v="420"/>
    <x v="13"/>
    <s v="supplier@gmail.com"/>
  </r>
  <r>
    <x v="943"/>
    <x v="943"/>
    <x v="4"/>
    <x v="1"/>
    <x v="4"/>
    <x v="1"/>
    <x v="12"/>
    <x v="8"/>
    <x v="34"/>
    <x v="12"/>
    <x v="8"/>
    <x v="0"/>
    <x v="221"/>
    <x v="60"/>
    <s v="supplier@gmail.com"/>
  </r>
  <r>
    <x v="944"/>
    <x v="944"/>
    <x v="36"/>
    <x v="1"/>
    <x v="4"/>
    <x v="1"/>
    <x v="12"/>
    <x v="8"/>
    <x v="8"/>
    <x v="12"/>
    <x v="8"/>
    <x v="0"/>
    <x v="1"/>
    <x v="21"/>
    <s v="supplier@gmail.com"/>
  </r>
  <r>
    <x v="945"/>
    <x v="945"/>
    <x v="144"/>
    <x v="1"/>
    <x v="4"/>
    <x v="0"/>
    <x v="12"/>
    <x v="8"/>
    <x v="25"/>
    <x v="42"/>
    <x v="8"/>
    <x v="0"/>
    <x v="1"/>
    <x v="91"/>
    <s v="supplier@gmail.com"/>
  </r>
  <r>
    <x v="946"/>
    <x v="946"/>
    <x v="4"/>
    <x v="1"/>
    <x v="35"/>
    <x v="1"/>
    <x v="23"/>
    <x v="8"/>
    <x v="8"/>
    <x v="12"/>
    <x v="8"/>
    <x v="0"/>
    <x v="1"/>
    <x v="40"/>
    <s v="supplier@gmail.com"/>
  </r>
  <r>
    <x v="947"/>
    <x v="947"/>
    <x v="4"/>
    <x v="1"/>
    <x v="4"/>
    <x v="1"/>
    <x v="12"/>
    <x v="8"/>
    <x v="8"/>
    <x v="12"/>
    <x v="8"/>
    <x v="0"/>
    <x v="38"/>
    <x v="1"/>
    <s v="supplier@gmail.com"/>
  </r>
  <r>
    <x v="948"/>
    <x v="948"/>
    <x v="4"/>
    <x v="1"/>
    <x v="4"/>
    <x v="1"/>
    <x v="12"/>
    <x v="8"/>
    <x v="8"/>
    <x v="12"/>
    <x v="8"/>
    <x v="0"/>
    <x v="167"/>
    <x v="0"/>
    <s v="supplier@gmail.com"/>
  </r>
  <r>
    <x v="949"/>
    <x v="949"/>
    <x v="43"/>
    <x v="116"/>
    <x v="129"/>
    <x v="42"/>
    <x v="18"/>
    <x v="122"/>
    <x v="40"/>
    <x v="87"/>
    <x v="104"/>
    <x v="0"/>
    <x v="421"/>
    <x v="53"/>
    <s v="supplier@gmail.com"/>
  </r>
  <r>
    <x v="950"/>
    <x v="950"/>
    <x v="43"/>
    <x v="116"/>
    <x v="129"/>
    <x v="42"/>
    <x v="18"/>
    <x v="122"/>
    <x v="40"/>
    <x v="87"/>
    <x v="104"/>
    <x v="0"/>
    <x v="422"/>
    <x v="89"/>
    <s v="supplier@gmail.com"/>
  </r>
  <r>
    <x v="951"/>
    <x v="951"/>
    <x v="43"/>
    <x v="116"/>
    <x v="129"/>
    <x v="42"/>
    <x v="18"/>
    <x v="122"/>
    <x v="40"/>
    <x v="87"/>
    <x v="104"/>
    <x v="0"/>
    <x v="303"/>
    <x v="91"/>
    <s v="supplier@gmail.com"/>
  </r>
  <r>
    <x v="952"/>
    <x v="952"/>
    <x v="177"/>
    <x v="157"/>
    <x v="170"/>
    <x v="178"/>
    <x v="163"/>
    <x v="151"/>
    <x v="143"/>
    <x v="147"/>
    <x v="137"/>
    <x v="0"/>
    <x v="144"/>
    <x v="59"/>
    <s v="supplier@gmail.com"/>
  </r>
  <r>
    <x v="953"/>
    <x v="953"/>
    <x v="36"/>
    <x v="1"/>
    <x v="4"/>
    <x v="1"/>
    <x v="12"/>
    <x v="8"/>
    <x v="8"/>
    <x v="12"/>
    <x v="8"/>
    <x v="0"/>
    <x v="193"/>
    <x v="28"/>
    <s v="supplier@gmail.com"/>
  </r>
  <r>
    <x v="954"/>
    <x v="954"/>
    <x v="36"/>
    <x v="1"/>
    <x v="4"/>
    <x v="1"/>
    <x v="12"/>
    <x v="8"/>
    <x v="8"/>
    <x v="12"/>
    <x v="8"/>
    <x v="0"/>
    <x v="35"/>
    <x v="145"/>
    <s v="supplier@gmail.com"/>
  </r>
  <r>
    <x v="955"/>
    <x v="955"/>
    <x v="4"/>
    <x v="125"/>
    <x v="35"/>
    <x v="125"/>
    <x v="23"/>
    <x v="34"/>
    <x v="25"/>
    <x v="42"/>
    <x v="31"/>
    <x v="0"/>
    <x v="30"/>
    <x v="33"/>
    <s v="supplier@gmail.com"/>
  </r>
  <r>
    <x v="956"/>
    <x v="956"/>
    <x v="4"/>
    <x v="125"/>
    <x v="35"/>
    <x v="125"/>
    <x v="23"/>
    <x v="70"/>
    <x v="41"/>
    <x v="42"/>
    <x v="31"/>
    <x v="0"/>
    <x v="423"/>
    <x v="55"/>
    <s v="supplier@gmail.com"/>
  </r>
  <r>
    <x v="957"/>
    <x v="957"/>
    <x v="4"/>
    <x v="158"/>
    <x v="171"/>
    <x v="179"/>
    <x v="164"/>
    <x v="152"/>
    <x v="144"/>
    <x v="148"/>
    <x v="138"/>
    <x v="0"/>
    <x v="127"/>
    <x v="128"/>
    <s v="supplier@gmail.com"/>
  </r>
  <r>
    <x v="958"/>
    <x v="958"/>
    <x v="4"/>
    <x v="125"/>
    <x v="35"/>
    <x v="125"/>
    <x v="23"/>
    <x v="70"/>
    <x v="25"/>
    <x v="42"/>
    <x v="31"/>
    <x v="0"/>
    <x v="121"/>
    <x v="58"/>
    <s v="supplier@gmail.com"/>
  </r>
  <r>
    <x v="959"/>
    <x v="959"/>
    <x v="158"/>
    <x v="12"/>
    <x v="172"/>
    <x v="160"/>
    <x v="1"/>
    <x v="3"/>
    <x v="3"/>
    <x v="149"/>
    <x v="13"/>
    <x v="0"/>
    <x v="141"/>
    <x v="50"/>
    <s v="supplier@gmail.com"/>
  </r>
  <r>
    <x v="960"/>
    <x v="960"/>
    <x v="32"/>
    <x v="1"/>
    <x v="34"/>
    <x v="16"/>
    <x v="31"/>
    <x v="34"/>
    <x v="126"/>
    <x v="32"/>
    <x v="120"/>
    <x v="0"/>
    <x v="267"/>
    <x v="144"/>
    <s v="supplier@gmail.com"/>
  </r>
  <r>
    <x v="961"/>
    <x v="961"/>
    <x v="4"/>
    <x v="1"/>
    <x v="4"/>
    <x v="1"/>
    <x v="12"/>
    <x v="8"/>
    <x v="8"/>
    <x v="12"/>
    <x v="8"/>
    <x v="0"/>
    <x v="197"/>
    <x v="100"/>
    <s v="supplier@gmail.com"/>
  </r>
  <r>
    <x v="962"/>
    <x v="962"/>
    <x v="4"/>
    <x v="1"/>
    <x v="4"/>
    <x v="1"/>
    <x v="12"/>
    <x v="8"/>
    <x v="8"/>
    <x v="12"/>
    <x v="8"/>
    <x v="0"/>
    <x v="111"/>
    <x v="50"/>
    <s v="supplier@gmail.com"/>
  </r>
  <r>
    <x v="963"/>
    <x v="963"/>
    <x v="4"/>
    <x v="0"/>
    <x v="4"/>
    <x v="17"/>
    <x v="23"/>
    <x v="0"/>
    <x v="25"/>
    <x v="42"/>
    <x v="30"/>
    <x v="0"/>
    <x v="102"/>
    <x v="98"/>
    <s v="supplier@gmail.com"/>
  </r>
  <r>
    <x v="964"/>
    <x v="964"/>
    <x v="4"/>
    <x v="1"/>
    <x v="4"/>
    <x v="1"/>
    <x v="12"/>
    <x v="8"/>
    <x v="8"/>
    <x v="12"/>
    <x v="8"/>
    <x v="0"/>
    <x v="1"/>
    <x v="78"/>
    <s v="supplier@gmail.com"/>
  </r>
  <r>
    <x v="965"/>
    <x v="965"/>
    <x v="4"/>
    <x v="1"/>
    <x v="4"/>
    <x v="1"/>
    <x v="12"/>
    <x v="8"/>
    <x v="8"/>
    <x v="12"/>
    <x v="8"/>
    <x v="0"/>
    <x v="37"/>
    <x v="93"/>
    <s v="supplier@gmail.com"/>
  </r>
  <r>
    <x v="966"/>
    <x v="966"/>
    <x v="4"/>
    <x v="1"/>
    <x v="4"/>
    <x v="1"/>
    <x v="12"/>
    <x v="8"/>
    <x v="8"/>
    <x v="12"/>
    <x v="8"/>
    <x v="0"/>
    <x v="84"/>
    <x v="194"/>
    <s v="supplier@gmail.com"/>
  </r>
  <r>
    <x v="967"/>
    <x v="967"/>
    <x v="42"/>
    <x v="147"/>
    <x v="173"/>
    <x v="83"/>
    <x v="161"/>
    <x v="153"/>
    <x v="145"/>
    <x v="150"/>
    <x v="10"/>
    <x v="0"/>
    <x v="424"/>
    <x v="158"/>
    <s v="supplier@gmail.com"/>
  </r>
  <r>
    <x v="968"/>
    <x v="968"/>
    <x v="41"/>
    <x v="39"/>
    <x v="44"/>
    <x v="44"/>
    <x v="42"/>
    <x v="43"/>
    <x v="146"/>
    <x v="151"/>
    <x v="139"/>
    <x v="0"/>
    <x v="36"/>
    <x v="73"/>
    <s v="supplier@gmail.com"/>
  </r>
  <r>
    <x v="969"/>
    <x v="969"/>
    <x v="7"/>
    <x v="1"/>
    <x v="14"/>
    <x v="1"/>
    <x v="12"/>
    <x v="8"/>
    <x v="8"/>
    <x v="12"/>
    <x v="8"/>
    <x v="0"/>
    <x v="10"/>
    <x v="11"/>
    <s v="supplier@gmail.com"/>
  </r>
  <r>
    <x v="970"/>
    <x v="970"/>
    <x v="13"/>
    <x v="11"/>
    <x v="11"/>
    <x v="10"/>
    <x v="8"/>
    <x v="14"/>
    <x v="8"/>
    <x v="12"/>
    <x v="8"/>
    <x v="0"/>
    <x v="1"/>
    <x v="94"/>
    <s v="supplier@gmail.com"/>
  </r>
  <r>
    <x v="971"/>
    <x v="971"/>
    <x v="4"/>
    <x v="1"/>
    <x v="4"/>
    <x v="0"/>
    <x v="12"/>
    <x v="8"/>
    <x v="8"/>
    <x v="12"/>
    <x v="0"/>
    <x v="0"/>
    <x v="425"/>
    <x v="54"/>
    <s v="supplier@gmail.com"/>
  </r>
  <r>
    <x v="972"/>
    <x v="972"/>
    <x v="0"/>
    <x v="1"/>
    <x v="174"/>
    <x v="1"/>
    <x v="165"/>
    <x v="154"/>
    <x v="8"/>
    <x v="12"/>
    <x v="8"/>
    <x v="0"/>
    <x v="196"/>
    <x v="79"/>
    <s v="supplier@gmail.com"/>
  </r>
  <r>
    <x v="973"/>
    <x v="973"/>
    <x v="144"/>
    <x v="1"/>
    <x v="4"/>
    <x v="1"/>
    <x v="31"/>
    <x v="8"/>
    <x v="8"/>
    <x v="12"/>
    <x v="8"/>
    <x v="0"/>
    <x v="351"/>
    <x v="123"/>
    <s v="supplier@gmail.com"/>
  </r>
  <r>
    <x v="974"/>
    <x v="974"/>
    <x v="178"/>
    <x v="67"/>
    <x v="175"/>
    <x v="180"/>
    <x v="105"/>
    <x v="155"/>
    <x v="147"/>
    <x v="152"/>
    <x v="60"/>
    <x v="0"/>
    <x v="1"/>
    <x v="128"/>
    <s v="supplier@gmail.com"/>
  </r>
  <r>
    <x v="975"/>
    <x v="975"/>
    <x v="4"/>
    <x v="1"/>
    <x v="4"/>
    <x v="1"/>
    <x v="12"/>
    <x v="8"/>
    <x v="8"/>
    <x v="12"/>
    <x v="8"/>
    <x v="0"/>
    <x v="426"/>
    <x v="65"/>
    <s v="supplier@gmail.com"/>
  </r>
  <r>
    <x v="976"/>
    <x v="976"/>
    <x v="133"/>
    <x v="1"/>
    <x v="176"/>
    <x v="17"/>
    <x v="12"/>
    <x v="0"/>
    <x v="12"/>
    <x v="30"/>
    <x v="13"/>
    <x v="0"/>
    <x v="427"/>
    <x v="102"/>
    <s v="supplier@gmail.com"/>
  </r>
  <r>
    <x v="977"/>
    <x v="977"/>
    <x v="4"/>
    <x v="1"/>
    <x v="4"/>
    <x v="17"/>
    <x v="12"/>
    <x v="8"/>
    <x v="10"/>
    <x v="30"/>
    <x v="8"/>
    <x v="0"/>
    <x v="428"/>
    <x v="181"/>
    <s v="supplier@gmail.com"/>
  </r>
  <r>
    <x v="978"/>
    <x v="978"/>
    <x v="4"/>
    <x v="1"/>
    <x v="10"/>
    <x v="1"/>
    <x v="12"/>
    <x v="8"/>
    <x v="8"/>
    <x v="13"/>
    <x v="8"/>
    <x v="0"/>
    <x v="48"/>
    <x v="78"/>
    <s v="supplier@gmail.com"/>
  </r>
  <r>
    <x v="979"/>
    <x v="979"/>
    <x v="4"/>
    <x v="1"/>
    <x v="4"/>
    <x v="1"/>
    <x v="12"/>
    <x v="8"/>
    <x v="8"/>
    <x v="12"/>
    <x v="8"/>
    <x v="0"/>
    <x v="1"/>
    <x v="165"/>
    <s v="supplier@gmail.com"/>
  </r>
  <r>
    <x v="980"/>
    <x v="980"/>
    <x v="70"/>
    <x v="1"/>
    <x v="118"/>
    <x v="1"/>
    <x v="12"/>
    <x v="0"/>
    <x v="8"/>
    <x v="12"/>
    <x v="8"/>
    <x v="0"/>
    <x v="2"/>
    <x v="139"/>
    <s v="supplier@gmail.com"/>
  </r>
  <r>
    <x v="981"/>
    <x v="981"/>
    <x v="4"/>
    <x v="1"/>
    <x v="4"/>
    <x v="1"/>
    <x v="12"/>
    <x v="8"/>
    <x v="8"/>
    <x v="12"/>
    <x v="8"/>
    <x v="0"/>
    <x v="241"/>
    <x v="20"/>
    <s v="supplier@gmail.com"/>
  </r>
  <r>
    <x v="982"/>
    <x v="982"/>
    <x v="4"/>
    <x v="1"/>
    <x v="4"/>
    <x v="1"/>
    <x v="12"/>
    <x v="8"/>
    <x v="8"/>
    <x v="12"/>
    <x v="8"/>
    <x v="0"/>
    <x v="33"/>
    <x v="120"/>
    <s v="supplier@gmail.com"/>
  </r>
  <r>
    <x v="983"/>
    <x v="983"/>
    <x v="4"/>
    <x v="1"/>
    <x v="4"/>
    <x v="1"/>
    <x v="12"/>
    <x v="8"/>
    <x v="8"/>
    <x v="12"/>
    <x v="8"/>
    <x v="0"/>
    <x v="84"/>
    <x v="26"/>
    <s v="supplier@gmail.com"/>
  </r>
  <r>
    <x v="984"/>
    <x v="984"/>
    <x v="4"/>
    <x v="1"/>
    <x v="10"/>
    <x v="1"/>
    <x v="12"/>
    <x v="8"/>
    <x v="8"/>
    <x v="13"/>
    <x v="8"/>
    <x v="0"/>
    <x v="1"/>
    <x v="13"/>
    <s v="supplier@gmail.com"/>
  </r>
  <r>
    <x v="985"/>
    <x v="985"/>
    <x v="179"/>
    <x v="1"/>
    <x v="177"/>
    <x v="181"/>
    <x v="166"/>
    <x v="8"/>
    <x v="8"/>
    <x v="12"/>
    <x v="8"/>
    <x v="0"/>
    <x v="102"/>
    <x v="108"/>
    <s v="supplier@gmail.com"/>
  </r>
  <r>
    <x v="986"/>
    <x v="986"/>
    <x v="180"/>
    <x v="1"/>
    <x v="178"/>
    <x v="182"/>
    <x v="12"/>
    <x v="156"/>
    <x v="148"/>
    <x v="153"/>
    <x v="140"/>
    <x v="0"/>
    <x v="1"/>
    <x v="161"/>
    <s v="supplier@gmail.com"/>
  </r>
  <r>
    <x v="987"/>
    <x v="987"/>
    <x v="4"/>
    <x v="1"/>
    <x v="179"/>
    <x v="183"/>
    <x v="167"/>
    <x v="8"/>
    <x v="149"/>
    <x v="154"/>
    <x v="8"/>
    <x v="0"/>
    <x v="1"/>
    <x v="31"/>
    <s v="supplier@gmail.com"/>
  </r>
  <r>
    <x v="988"/>
    <x v="988"/>
    <x v="4"/>
    <x v="1"/>
    <x v="4"/>
    <x v="1"/>
    <x v="12"/>
    <x v="8"/>
    <x v="8"/>
    <x v="12"/>
    <x v="8"/>
    <x v="0"/>
    <x v="429"/>
    <x v="13"/>
    <s v="supplier@gmail.com"/>
  </r>
  <r>
    <x v="989"/>
    <x v="989"/>
    <x v="181"/>
    <x v="159"/>
    <x v="180"/>
    <x v="184"/>
    <x v="168"/>
    <x v="157"/>
    <x v="150"/>
    <x v="155"/>
    <x v="141"/>
    <x v="0"/>
    <x v="1"/>
    <x v="135"/>
    <s v="supplier@gmail.com"/>
  </r>
  <r>
    <x v="990"/>
    <x v="990"/>
    <x v="1"/>
    <x v="160"/>
    <x v="44"/>
    <x v="185"/>
    <x v="169"/>
    <x v="65"/>
    <x v="151"/>
    <x v="156"/>
    <x v="142"/>
    <x v="0"/>
    <x v="430"/>
    <x v="3"/>
    <s v="supplier@gmail.com"/>
  </r>
  <r>
    <x v="991"/>
    <x v="991"/>
    <x v="83"/>
    <x v="1"/>
    <x v="39"/>
    <x v="43"/>
    <x v="43"/>
    <x v="37"/>
    <x v="8"/>
    <x v="157"/>
    <x v="8"/>
    <x v="0"/>
    <x v="431"/>
    <x v="172"/>
    <s v="supplier@gmail.com"/>
  </r>
  <r>
    <x v="992"/>
    <x v="992"/>
    <x v="4"/>
    <x v="7"/>
    <x v="4"/>
    <x v="1"/>
    <x v="10"/>
    <x v="8"/>
    <x v="8"/>
    <x v="12"/>
    <x v="8"/>
    <x v="0"/>
    <x v="151"/>
    <x v="20"/>
    <s v="supplier@gmail.com"/>
  </r>
  <r>
    <x v="993"/>
    <x v="993"/>
    <x v="1"/>
    <x v="1"/>
    <x v="4"/>
    <x v="1"/>
    <x v="12"/>
    <x v="8"/>
    <x v="8"/>
    <x v="12"/>
    <x v="35"/>
    <x v="0"/>
    <x v="1"/>
    <x v="92"/>
    <s v="supplier@gmail.com"/>
  </r>
  <r>
    <x v="994"/>
    <x v="994"/>
    <x v="4"/>
    <x v="1"/>
    <x v="4"/>
    <x v="1"/>
    <x v="12"/>
    <x v="8"/>
    <x v="12"/>
    <x v="12"/>
    <x v="8"/>
    <x v="0"/>
    <x v="1"/>
    <x v="168"/>
    <s v="supplier@gmail.com"/>
  </r>
  <r>
    <x v="995"/>
    <x v="995"/>
    <x v="4"/>
    <x v="1"/>
    <x v="4"/>
    <x v="1"/>
    <x v="12"/>
    <x v="8"/>
    <x v="12"/>
    <x v="12"/>
    <x v="8"/>
    <x v="0"/>
    <x v="26"/>
    <x v="186"/>
    <s v="supplier@gmail.com"/>
  </r>
  <r>
    <x v="996"/>
    <x v="996"/>
    <x v="1"/>
    <x v="68"/>
    <x v="54"/>
    <x v="186"/>
    <x v="170"/>
    <x v="158"/>
    <x v="152"/>
    <x v="158"/>
    <x v="143"/>
    <x v="0"/>
    <x v="1"/>
    <x v="142"/>
    <s v="supplier@gmail.com"/>
  </r>
  <r>
    <x v="997"/>
    <x v="997"/>
    <x v="4"/>
    <x v="1"/>
    <x v="4"/>
    <x v="1"/>
    <x v="12"/>
    <x v="8"/>
    <x v="8"/>
    <x v="12"/>
    <x v="8"/>
    <x v="0"/>
    <x v="364"/>
    <x v="106"/>
    <s v="supplier@gmail.com"/>
  </r>
  <r>
    <x v="998"/>
    <x v="998"/>
    <x v="182"/>
    <x v="161"/>
    <x v="181"/>
    <x v="187"/>
    <x v="171"/>
    <x v="159"/>
    <x v="153"/>
    <x v="159"/>
    <x v="144"/>
    <x v="0"/>
    <x v="351"/>
    <x v="65"/>
    <s v="supplier@gmail.com"/>
  </r>
  <r>
    <x v="999"/>
    <x v="999"/>
    <x v="183"/>
    <x v="1"/>
    <x v="4"/>
    <x v="1"/>
    <x v="12"/>
    <x v="8"/>
    <x v="80"/>
    <x v="12"/>
    <x v="8"/>
    <x v="0"/>
    <x v="432"/>
    <x v="70"/>
    <s v="supplier@gmail.com"/>
  </r>
  <r>
    <x v="1000"/>
    <x v="1000"/>
    <x v="184"/>
    <x v="162"/>
    <x v="182"/>
    <x v="188"/>
    <x v="172"/>
    <x v="160"/>
    <x v="154"/>
    <x v="160"/>
    <x v="145"/>
    <x v="0"/>
    <x v="1"/>
    <x v="109"/>
    <s v="supplier@gmail.com"/>
  </r>
  <r>
    <x v="1001"/>
    <x v="1001"/>
    <x v="4"/>
    <x v="1"/>
    <x v="4"/>
    <x v="1"/>
    <x v="12"/>
    <x v="8"/>
    <x v="8"/>
    <x v="12"/>
    <x v="8"/>
    <x v="0"/>
    <x v="7"/>
    <x v="125"/>
    <s v="supplier@gmail.com"/>
  </r>
  <r>
    <x v="1002"/>
    <x v="1002"/>
    <x v="113"/>
    <x v="8"/>
    <x v="98"/>
    <x v="37"/>
    <x v="114"/>
    <x v="135"/>
    <x v="36"/>
    <x v="161"/>
    <x v="27"/>
    <x v="0"/>
    <x v="65"/>
    <x v="128"/>
    <s v="supplier@gmail.com"/>
  </r>
  <r>
    <x v="1003"/>
    <x v="1003"/>
    <x v="42"/>
    <x v="16"/>
    <x v="12"/>
    <x v="36"/>
    <x v="8"/>
    <x v="39"/>
    <x v="40"/>
    <x v="12"/>
    <x v="6"/>
    <x v="0"/>
    <x v="433"/>
    <x v="176"/>
    <s v="supplier@gmail.com"/>
  </r>
  <r>
    <x v="1004"/>
    <x v="1004"/>
    <x v="42"/>
    <x v="16"/>
    <x v="12"/>
    <x v="36"/>
    <x v="36"/>
    <x v="39"/>
    <x v="40"/>
    <x v="13"/>
    <x v="71"/>
    <x v="0"/>
    <x v="434"/>
    <x v="32"/>
    <s v="supplier@gmail.com"/>
  </r>
  <r>
    <x v="1005"/>
    <x v="1005"/>
    <x v="101"/>
    <x v="1"/>
    <x v="183"/>
    <x v="104"/>
    <x v="138"/>
    <x v="8"/>
    <x v="18"/>
    <x v="65"/>
    <x v="8"/>
    <x v="0"/>
    <x v="435"/>
    <x v="49"/>
    <s v="supplier@gmail.com"/>
  </r>
  <r>
    <x v="1006"/>
    <x v="1006"/>
    <x v="4"/>
    <x v="1"/>
    <x v="4"/>
    <x v="16"/>
    <x v="12"/>
    <x v="70"/>
    <x v="8"/>
    <x v="12"/>
    <x v="8"/>
    <x v="0"/>
    <x v="220"/>
    <x v="2"/>
    <s v="supplier@gmail.com"/>
  </r>
  <r>
    <x v="1007"/>
    <x v="1007"/>
    <x v="4"/>
    <x v="1"/>
    <x v="7"/>
    <x v="1"/>
    <x v="12"/>
    <x v="8"/>
    <x v="8"/>
    <x v="12"/>
    <x v="9"/>
    <x v="0"/>
    <x v="34"/>
    <x v="192"/>
    <s v="supplier@gmail.com"/>
  </r>
  <r>
    <x v="1008"/>
    <x v="1008"/>
    <x v="4"/>
    <x v="1"/>
    <x v="4"/>
    <x v="28"/>
    <x v="14"/>
    <x v="90"/>
    <x v="8"/>
    <x v="12"/>
    <x v="74"/>
    <x v="0"/>
    <x v="436"/>
    <x v="40"/>
    <s v="supplier@gmail.com"/>
  </r>
  <r>
    <x v="1009"/>
    <x v="1009"/>
    <x v="4"/>
    <x v="1"/>
    <x v="4"/>
    <x v="1"/>
    <x v="12"/>
    <x v="8"/>
    <x v="8"/>
    <x v="12"/>
    <x v="9"/>
    <x v="0"/>
    <x v="7"/>
    <x v="51"/>
    <s v="supplier@gmail.com"/>
  </r>
  <r>
    <x v="1010"/>
    <x v="1010"/>
    <x v="85"/>
    <x v="68"/>
    <x v="4"/>
    <x v="43"/>
    <x v="91"/>
    <x v="8"/>
    <x v="47"/>
    <x v="35"/>
    <x v="12"/>
    <x v="0"/>
    <x v="437"/>
    <x v="71"/>
    <s v="supplier@gmail.com"/>
  </r>
  <r>
    <x v="1011"/>
    <x v="1011"/>
    <x v="4"/>
    <x v="1"/>
    <x v="4"/>
    <x v="1"/>
    <x v="12"/>
    <x v="8"/>
    <x v="8"/>
    <x v="61"/>
    <x v="8"/>
    <x v="0"/>
    <x v="438"/>
    <x v="48"/>
    <s v="supplier@gmail.com"/>
  </r>
  <r>
    <x v="1012"/>
    <x v="1012"/>
    <x v="185"/>
    <x v="163"/>
    <x v="184"/>
    <x v="189"/>
    <x v="173"/>
    <x v="161"/>
    <x v="73"/>
    <x v="132"/>
    <x v="59"/>
    <x v="0"/>
    <x v="81"/>
    <x v="141"/>
    <s v="supplier@gmail.com"/>
  </r>
  <r>
    <x v="1013"/>
    <x v="1013"/>
    <x v="4"/>
    <x v="66"/>
    <x v="4"/>
    <x v="1"/>
    <x v="12"/>
    <x v="8"/>
    <x v="8"/>
    <x v="12"/>
    <x v="8"/>
    <x v="0"/>
    <x v="26"/>
    <x v="133"/>
    <s v="supplier@gmail.com"/>
  </r>
  <r>
    <x v="1014"/>
    <x v="1014"/>
    <x v="4"/>
    <x v="1"/>
    <x v="4"/>
    <x v="1"/>
    <x v="12"/>
    <x v="8"/>
    <x v="8"/>
    <x v="12"/>
    <x v="8"/>
    <x v="0"/>
    <x v="439"/>
    <x v="58"/>
    <s v="supplier@gmail.com"/>
  </r>
  <r>
    <x v="1015"/>
    <x v="1015"/>
    <x v="4"/>
    <x v="1"/>
    <x v="4"/>
    <x v="1"/>
    <x v="12"/>
    <x v="8"/>
    <x v="8"/>
    <x v="12"/>
    <x v="8"/>
    <x v="0"/>
    <x v="373"/>
    <x v="13"/>
    <s v="supplier@gmail.com"/>
  </r>
  <r>
    <x v="1016"/>
    <x v="1016"/>
    <x v="4"/>
    <x v="1"/>
    <x v="7"/>
    <x v="6"/>
    <x v="8"/>
    <x v="39"/>
    <x v="34"/>
    <x v="12"/>
    <x v="9"/>
    <x v="0"/>
    <x v="440"/>
    <x v="80"/>
    <s v="supplier@gmail.com"/>
  </r>
  <r>
    <x v="1017"/>
    <x v="1017"/>
    <x v="4"/>
    <x v="1"/>
    <x v="8"/>
    <x v="1"/>
    <x v="13"/>
    <x v="10"/>
    <x v="8"/>
    <x v="12"/>
    <x v="8"/>
    <x v="0"/>
    <x v="191"/>
    <x v="147"/>
    <s v="supplier@gmail.com"/>
  </r>
  <r>
    <x v="1018"/>
    <x v="1018"/>
    <x v="16"/>
    <x v="1"/>
    <x v="35"/>
    <x v="0"/>
    <x v="23"/>
    <x v="8"/>
    <x v="25"/>
    <x v="42"/>
    <x v="8"/>
    <x v="0"/>
    <x v="167"/>
    <x v="159"/>
    <s v="supplier@gmail.com"/>
  </r>
  <r>
    <x v="1019"/>
    <x v="1019"/>
    <x v="4"/>
    <x v="1"/>
    <x v="4"/>
    <x v="1"/>
    <x v="12"/>
    <x v="8"/>
    <x v="8"/>
    <x v="12"/>
    <x v="8"/>
    <x v="0"/>
    <x v="441"/>
    <x v="54"/>
    <s v="supplier@gmail.com"/>
  </r>
  <r>
    <x v="1020"/>
    <x v="1020"/>
    <x v="11"/>
    <x v="164"/>
    <x v="185"/>
    <x v="190"/>
    <x v="11"/>
    <x v="140"/>
    <x v="155"/>
    <x v="162"/>
    <x v="13"/>
    <x v="0"/>
    <x v="1"/>
    <x v="100"/>
    <s v="supplier@gmail.com"/>
  </r>
  <r>
    <x v="1021"/>
    <x v="1021"/>
    <x v="4"/>
    <x v="1"/>
    <x v="186"/>
    <x v="44"/>
    <x v="174"/>
    <x v="8"/>
    <x v="8"/>
    <x v="156"/>
    <x v="8"/>
    <x v="0"/>
    <x v="442"/>
    <x v="43"/>
    <s v="supplier@gmail.com"/>
  </r>
  <r>
    <x v="1022"/>
    <x v="1022"/>
    <x v="186"/>
    <x v="165"/>
    <x v="4"/>
    <x v="80"/>
    <x v="12"/>
    <x v="8"/>
    <x v="38"/>
    <x v="12"/>
    <x v="35"/>
    <x v="0"/>
    <x v="1"/>
    <x v="5"/>
    <s v="supplier@gmail.com"/>
  </r>
  <r>
    <x v="1023"/>
    <x v="1023"/>
    <x v="187"/>
    <x v="166"/>
    <x v="187"/>
    <x v="191"/>
    <x v="175"/>
    <x v="162"/>
    <x v="156"/>
    <x v="163"/>
    <x v="146"/>
    <x v="0"/>
    <x v="13"/>
    <x v="63"/>
    <s v="supplier@gmail.com"/>
  </r>
  <r>
    <x v="1024"/>
    <x v="1024"/>
    <x v="188"/>
    <x v="167"/>
    <x v="188"/>
    <x v="22"/>
    <x v="176"/>
    <x v="163"/>
    <x v="157"/>
    <x v="164"/>
    <x v="147"/>
    <x v="0"/>
    <x v="84"/>
    <x v="7"/>
    <s v="supplier@gmail.com"/>
  </r>
  <r>
    <x v="1025"/>
    <x v="1025"/>
    <x v="4"/>
    <x v="1"/>
    <x v="4"/>
    <x v="1"/>
    <x v="12"/>
    <x v="8"/>
    <x v="8"/>
    <x v="12"/>
    <x v="8"/>
    <x v="0"/>
    <x v="423"/>
    <x v="109"/>
    <s v="supplier@gmail.com"/>
  </r>
  <r>
    <x v="1026"/>
    <x v="1026"/>
    <x v="4"/>
    <x v="1"/>
    <x v="4"/>
    <x v="1"/>
    <x v="12"/>
    <x v="8"/>
    <x v="8"/>
    <x v="12"/>
    <x v="8"/>
    <x v="0"/>
    <x v="159"/>
    <x v="67"/>
    <s v="supplier@gmail.com"/>
  </r>
  <r>
    <x v="1027"/>
    <x v="1027"/>
    <x v="4"/>
    <x v="1"/>
    <x v="4"/>
    <x v="1"/>
    <x v="12"/>
    <x v="8"/>
    <x v="8"/>
    <x v="12"/>
    <x v="8"/>
    <x v="0"/>
    <x v="443"/>
    <x v="139"/>
    <s v="supplier@gmail.com"/>
  </r>
  <r>
    <x v="1028"/>
    <x v="1028"/>
    <x v="4"/>
    <x v="1"/>
    <x v="4"/>
    <x v="1"/>
    <x v="12"/>
    <x v="8"/>
    <x v="8"/>
    <x v="12"/>
    <x v="8"/>
    <x v="0"/>
    <x v="442"/>
    <x v="171"/>
    <s v="supplier@gmail.com"/>
  </r>
  <r>
    <x v="1029"/>
    <x v="1029"/>
    <x v="4"/>
    <x v="1"/>
    <x v="4"/>
    <x v="1"/>
    <x v="12"/>
    <x v="8"/>
    <x v="8"/>
    <x v="12"/>
    <x v="8"/>
    <x v="0"/>
    <x v="13"/>
    <x v="21"/>
    <s v="supplier@gmail.com"/>
  </r>
  <r>
    <x v="1030"/>
    <x v="1030"/>
    <x v="188"/>
    <x v="167"/>
    <x v="188"/>
    <x v="22"/>
    <x v="176"/>
    <x v="163"/>
    <x v="157"/>
    <x v="164"/>
    <x v="147"/>
    <x v="0"/>
    <x v="22"/>
    <x v="114"/>
    <s v="supplier@gmail.com"/>
  </r>
  <r>
    <x v="1031"/>
    <x v="1031"/>
    <x v="188"/>
    <x v="167"/>
    <x v="188"/>
    <x v="22"/>
    <x v="176"/>
    <x v="163"/>
    <x v="157"/>
    <x v="164"/>
    <x v="147"/>
    <x v="0"/>
    <x v="444"/>
    <x v="85"/>
    <s v="supplier@gmail.com"/>
  </r>
  <r>
    <x v="1032"/>
    <x v="1032"/>
    <x v="4"/>
    <x v="1"/>
    <x v="7"/>
    <x v="6"/>
    <x v="8"/>
    <x v="13"/>
    <x v="9"/>
    <x v="1"/>
    <x v="9"/>
    <x v="0"/>
    <x v="3"/>
    <x v="53"/>
    <s v="supplier@gmail.com"/>
  </r>
  <r>
    <x v="1033"/>
    <x v="1033"/>
    <x v="4"/>
    <x v="1"/>
    <x v="7"/>
    <x v="6"/>
    <x v="8"/>
    <x v="13"/>
    <x v="9"/>
    <x v="1"/>
    <x v="9"/>
    <x v="0"/>
    <x v="94"/>
    <x v="32"/>
    <s v="supplier@gmail.com"/>
  </r>
  <r>
    <x v="1034"/>
    <x v="1034"/>
    <x v="0"/>
    <x v="1"/>
    <x v="12"/>
    <x v="10"/>
    <x v="9"/>
    <x v="14"/>
    <x v="13"/>
    <x v="8"/>
    <x v="13"/>
    <x v="0"/>
    <x v="13"/>
    <x v="75"/>
    <s v="supplier@gmail.com"/>
  </r>
  <r>
    <x v="1035"/>
    <x v="1035"/>
    <x v="36"/>
    <x v="1"/>
    <x v="111"/>
    <x v="192"/>
    <x v="162"/>
    <x v="150"/>
    <x v="33"/>
    <x v="165"/>
    <x v="65"/>
    <x v="0"/>
    <x v="7"/>
    <x v="190"/>
    <s v="supplier@gmail.com"/>
  </r>
  <r>
    <x v="1036"/>
    <x v="1036"/>
    <x v="189"/>
    <x v="119"/>
    <x v="189"/>
    <x v="177"/>
    <x v="177"/>
    <x v="111"/>
    <x v="158"/>
    <x v="166"/>
    <x v="148"/>
    <x v="0"/>
    <x v="84"/>
    <x v="63"/>
    <s v="supplier@gmail.com"/>
  </r>
  <r>
    <x v="1037"/>
    <x v="1037"/>
    <x v="189"/>
    <x v="119"/>
    <x v="189"/>
    <x v="177"/>
    <x v="177"/>
    <x v="111"/>
    <x v="158"/>
    <x v="166"/>
    <x v="148"/>
    <x v="0"/>
    <x v="225"/>
    <x v="103"/>
    <s v="supplier@gmail.com"/>
  </r>
  <r>
    <x v="1038"/>
    <x v="1038"/>
    <x v="36"/>
    <x v="1"/>
    <x v="5"/>
    <x v="21"/>
    <x v="139"/>
    <x v="9"/>
    <x v="24"/>
    <x v="16"/>
    <x v="29"/>
    <x v="0"/>
    <x v="66"/>
    <x v="155"/>
    <s v="supplier@gmail.com"/>
  </r>
  <r>
    <x v="1039"/>
    <x v="1039"/>
    <x v="0"/>
    <x v="1"/>
    <x v="7"/>
    <x v="6"/>
    <x v="8"/>
    <x v="13"/>
    <x v="9"/>
    <x v="1"/>
    <x v="9"/>
    <x v="0"/>
    <x v="13"/>
    <x v="149"/>
    <s v="supplier@gmail.com"/>
  </r>
  <r>
    <x v="1040"/>
    <x v="1040"/>
    <x v="36"/>
    <x v="1"/>
    <x v="34"/>
    <x v="159"/>
    <x v="31"/>
    <x v="34"/>
    <x v="126"/>
    <x v="43"/>
    <x v="120"/>
    <x v="0"/>
    <x v="142"/>
    <x v="139"/>
    <s v="supplier@gmail.com"/>
  </r>
  <r>
    <x v="1041"/>
    <x v="1041"/>
    <x v="134"/>
    <x v="119"/>
    <x v="190"/>
    <x v="193"/>
    <x v="178"/>
    <x v="97"/>
    <x v="159"/>
    <x v="93"/>
    <x v="149"/>
    <x v="0"/>
    <x v="1"/>
    <x v="48"/>
    <s v="supplier@gmail.com"/>
  </r>
  <r>
    <x v="1042"/>
    <x v="1042"/>
    <x v="0"/>
    <x v="1"/>
    <x v="14"/>
    <x v="14"/>
    <x v="6"/>
    <x v="6"/>
    <x v="6"/>
    <x v="6"/>
    <x v="6"/>
    <x v="0"/>
    <x v="1"/>
    <x v="189"/>
    <s v="supplier@gmail.com"/>
  </r>
  <r>
    <x v="1043"/>
    <x v="1043"/>
    <x v="4"/>
    <x v="1"/>
    <x v="4"/>
    <x v="1"/>
    <x v="12"/>
    <x v="8"/>
    <x v="8"/>
    <x v="12"/>
    <x v="8"/>
    <x v="0"/>
    <x v="445"/>
    <x v="6"/>
    <s v="supplier@gmail.com"/>
  </r>
  <r>
    <x v="1044"/>
    <x v="1044"/>
    <x v="4"/>
    <x v="168"/>
    <x v="4"/>
    <x v="194"/>
    <x v="179"/>
    <x v="164"/>
    <x v="8"/>
    <x v="167"/>
    <x v="8"/>
    <x v="0"/>
    <x v="1"/>
    <x v="111"/>
    <s v="supplier@gmail.com"/>
  </r>
  <r>
    <x v="1045"/>
    <x v="1045"/>
    <x v="4"/>
    <x v="1"/>
    <x v="4"/>
    <x v="1"/>
    <x v="12"/>
    <x v="8"/>
    <x v="8"/>
    <x v="12"/>
    <x v="8"/>
    <x v="0"/>
    <x v="1"/>
    <x v="65"/>
    <s v="supplier@gmail.com"/>
  </r>
  <r>
    <x v="1046"/>
    <x v="1046"/>
    <x v="4"/>
    <x v="1"/>
    <x v="4"/>
    <x v="1"/>
    <x v="12"/>
    <x v="8"/>
    <x v="8"/>
    <x v="168"/>
    <x v="8"/>
    <x v="0"/>
    <x v="1"/>
    <x v="36"/>
    <s v="supplier@gmail.com"/>
  </r>
  <r>
    <x v="1047"/>
    <x v="1047"/>
    <x v="4"/>
    <x v="1"/>
    <x v="4"/>
    <x v="1"/>
    <x v="12"/>
    <x v="8"/>
    <x v="8"/>
    <x v="12"/>
    <x v="8"/>
    <x v="0"/>
    <x v="1"/>
    <x v="33"/>
    <s v="supplier@gmail.com"/>
  </r>
  <r>
    <x v="1048"/>
    <x v="1048"/>
    <x v="190"/>
    <x v="1"/>
    <x v="191"/>
    <x v="195"/>
    <x v="180"/>
    <x v="8"/>
    <x v="160"/>
    <x v="169"/>
    <x v="8"/>
    <x v="0"/>
    <x v="1"/>
    <x v="17"/>
    <s v="supplier@gmail.com"/>
  </r>
  <r>
    <x v="1049"/>
    <x v="1049"/>
    <x v="4"/>
    <x v="1"/>
    <x v="4"/>
    <x v="1"/>
    <x v="12"/>
    <x v="8"/>
    <x v="8"/>
    <x v="170"/>
    <x v="8"/>
    <x v="0"/>
    <x v="1"/>
    <x v="4"/>
    <s v="supplier@gmail.com"/>
  </r>
  <r>
    <x v="1050"/>
    <x v="1050"/>
    <x v="4"/>
    <x v="1"/>
    <x v="4"/>
    <x v="196"/>
    <x v="12"/>
    <x v="165"/>
    <x v="8"/>
    <x v="12"/>
    <x v="8"/>
    <x v="0"/>
    <x v="446"/>
    <x v="180"/>
    <s v="supplier@gmail.com"/>
  </r>
  <r>
    <x v="1051"/>
    <x v="1051"/>
    <x v="4"/>
    <x v="1"/>
    <x v="4"/>
    <x v="1"/>
    <x v="12"/>
    <x v="8"/>
    <x v="8"/>
    <x v="12"/>
    <x v="8"/>
    <x v="0"/>
    <x v="1"/>
    <x v="112"/>
    <s v="supplier@gmail.com"/>
  </r>
  <r>
    <x v="1052"/>
    <x v="1052"/>
    <x v="4"/>
    <x v="1"/>
    <x v="4"/>
    <x v="1"/>
    <x v="12"/>
    <x v="8"/>
    <x v="8"/>
    <x v="171"/>
    <x v="8"/>
    <x v="0"/>
    <x v="447"/>
    <x v="180"/>
    <s v="supplier@gmail.com"/>
  </r>
  <r>
    <x v="1053"/>
    <x v="1053"/>
    <x v="4"/>
    <x v="1"/>
    <x v="4"/>
    <x v="1"/>
    <x v="12"/>
    <x v="8"/>
    <x v="8"/>
    <x v="12"/>
    <x v="8"/>
    <x v="0"/>
    <x v="1"/>
    <x v="136"/>
    <s v="supplier@gmail.com"/>
  </r>
  <r>
    <x v="1054"/>
    <x v="1054"/>
    <x v="4"/>
    <x v="1"/>
    <x v="192"/>
    <x v="1"/>
    <x v="12"/>
    <x v="8"/>
    <x v="8"/>
    <x v="12"/>
    <x v="8"/>
    <x v="0"/>
    <x v="1"/>
    <x v="131"/>
    <s v="supplier@gmail.com"/>
  </r>
  <r>
    <x v="1055"/>
    <x v="1055"/>
    <x v="4"/>
    <x v="1"/>
    <x v="4"/>
    <x v="1"/>
    <x v="12"/>
    <x v="8"/>
    <x v="8"/>
    <x v="12"/>
    <x v="8"/>
    <x v="0"/>
    <x v="1"/>
    <x v="168"/>
    <s v="supplier@gmail.com"/>
  </r>
  <r>
    <x v="1056"/>
    <x v="1056"/>
    <x v="4"/>
    <x v="1"/>
    <x v="4"/>
    <x v="1"/>
    <x v="12"/>
    <x v="8"/>
    <x v="8"/>
    <x v="12"/>
    <x v="8"/>
    <x v="0"/>
    <x v="448"/>
    <x v="126"/>
    <s v="supplier@gmail.com"/>
  </r>
  <r>
    <x v="1057"/>
    <x v="1057"/>
    <x v="191"/>
    <x v="169"/>
    <x v="193"/>
    <x v="197"/>
    <x v="181"/>
    <x v="166"/>
    <x v="161"/>
    <x v="172"/>
    <x v="150"/>
    <x v="0"/>
    <x v="1"/>
    <x v="34"/>
    <s v="supplier@gmail.com"/>
  </r>
  <r>
    <x v="1058"/>
    <x v="1058"/>
    <x v="4"/>
    <x v="1"/>
    <x v="4"/>
    <x v="1"/>
    <x v="12"/>
    <x v="8"/>
    <x v="8"/>
    <x v="12"/>
    <x v="8"/>
    <x v="0"/>
    <x v="449"/>
    <x v="66"/>
    <s v="supplier@gmail.com"/>
  </r>
  <r>
    <x v="1059"/>
    <x v="1059"/>
    <x v="4"/>
    <x v="1"/>
    <x v="4"/>
    <x v="1"/>
    <x v="12"/>
    <x v="8"/>
    <x v="8"/>
    <x v="12"/>
    <x v="8"/>
    <x v="0"/>
    <x v="1"/>
    <x v="136"/>
    <s v="supplier@gmail.com"/>
  </r>
  <r>
    <x v="1060"/>
    <x v="1060"/>
    <x v="192"/>
    <x v="125"/>
    <x v="35"/>
    <x v="125"/>
    <x v="23"/>
    <x v="70"/>
    <x v="25"/>
    <x v="42"/>
    <x v="31"/>
    <x v="0"/>
    <x v="118"/>
    <x v="82"/>
    <s v="supplier@gmail.com"/>
  </r>
  <r>
    <x v="1061"/>
    <x v="1061"/>
    <x v="4"/>
    <x v="1"/>
    <x v="4"/>
    <x v="1"/>
    <x v="12"/>
    <x v="8"/>
    <x v="8"/>
    <x v="12"/>
    <x v="8"/>
    <x v="0"/>
    <x v="31"/>
    <x v="48"/>
    <s v="supplier@gmail.com"/>
  </r>
  <r>
    <x v="1062"/>
    <x v="1062"/>
    <x v="4"/>
    <x v="1"/>
    <x v="4"/>
    <x v="1"/>
    <x v="12"/>
    <x v="8"/>
    <x v="8"/>
    <x v="12"/>
    <x v="8"/>
    <x v="0"/>
    <x v="1"/>
    <x v="185"/>
    <s v="supplier@gmail.com"/>
  </r>
  <r>
    <x v="1063"/>
    <x v="1063"/>
    <x v="4"/>
    <x v="1"/>
    <x v="4"/>
    <x v="1"/>
    <x v="12"/>
    <x v="8"/>
    <x v="8"/>
    <x v="12"/>
    <x v="8"/>
    <x v="0"/>
    <x v="450"/>
    <x v="94"/>
    <s v="supplier@gmail.com"/>
  </r>
  <r>
    <x v="1064"/>
    <x v="1064"/>
    <x v="193"/>
    <x v="170"/>
    <x v="194"/>
    <x v="198"/>
    <x v="182"/>
    <x v="167"/>
    <x v="162"/>
    <x v="173"/>
    <x v="151"/>
    <x v="0"/>
    <x v="451"/>
    <x v="107"/>
    <s v="supplier@gmail.com"/>
  </r>
  <r>
    <x v="1065"/>
    <x v="1065"/>
    <x v="194"/>
    <x v="171"/>
    <x v="195"/>
    <x v="199"/>
    <x v="183"/>
    <x v="168"/>
    <x v="163"/>
    <x v="174"/>
    <x v="152"/>
    <x v="0"/>
    <x v="452"/>
    <x v="8"/>
    <s v="supplier@gmail.com"/>
  </r>
  <r>
    <x v="1066"/>
    <x v="1066"/>
    <x v="4"/>
    <x v="1"/>
    <x v="4"/>
    <x v="1"/>
    <x v="12"/>
    <x v="8"/>
    <x v="8"/>
    <x v="12"/>
    <x v="8"/>
    <x v="0"/>
    <x v="453"/>
    <x v="94"/>
    <s v="supplier@gmail.com"/>
  </r>
  <r>
    <x v="1067"/>
    <x v="1067"/>
    <x v="195"/>
    <x v="172"/>
    <x v="196"/>
    <x v="200"/>
    <x v="184"/>
    <x v="169"/>
    <x v="164"/>
    <x v="175"/>
    <x v="153"/>
    <x v="0"/>
    <x v="1"/>
    <x v="155"/>
    <s v="supplier@gmail.com"/>
  </r>
  <r>
    <x v="1068"/>
    <x v="1068"/>
    <x v="4"/>
    <x v="1"/>
    <x v="4"/>
    <x v="1"/>
    <x v="12"/>
    <x v="8"/>
    <x v="8"/>
    <x v="12"/>
    <x v="8"/>
    <x v="0"/>
    <x v="454"/>
    <x v="14"/>
    <s v="supplier@gmail.com"/>
  </r>
  <r>
    <x v="1069"/>
    <x v="1069"/>
    <x v="196"/>
    <x v="173"/>
    <x v="197"/>
    <x v="201"/>
    <x v="185"/>
    <x v="170"/>
    <x v="165"/>
    <x v="176"/>
    <x v="154"/>
    <x v="0"/>
    <x v="455"/>
    <x v="160"/>
    <s v="supplier@gmail.com"/>
  </r>
  <r>
    <x v="1070"/>
    <x v="1070"/>
    <x v="4"/>
    <x v="1"/>
    <x v="4"/>
    <x v="1"/>
    <x v="186"/>
    <x v="8"/>
    <x v="166"/>
    <x v="12"/>
    <x v="155"/>
    <x v="0"/>
    <x v="456"/>
    <x v="115"/>
    <s v="supplier@gmail.com"/>
  </r>
  <r>
    <x v="1071"/>
    <x v="1071"/>
    <x v="197"/>
    <x v="174"/>
    <x v="198"/>
    <x v="202"/>
    <x v="187"/>
    <x v="171"/>
    <x v="167"/>
    <x v="177"/>
    <x v="156"/>
    <x v="0"/>
    <x v="457"/>
    <x v="15"/>
    <s v="supplier@gmail.com"/>
  </r>
  <r>
    <x v="1072"/>
    <x v="1072"/>
    <x v="198"/>
    <x v="1"/>
    <x v="199"/>
    <x v="203"/>
    <x v="188"/>
    <x v="8"/>
    <x v="8"/>
    <x v="12"/>
    <x v="8"/>
    <x v="0"/>
    <x v="1"/>
    <x v="85"/>
    <s v="supplier@gmail.com"/>
  </r>
  <r>
    <x v="1073"/>
    <x v="1073"/>
    <x v="199"/>
    <x v="1"/>
    <x v="200"/>
    <x v="204"/>
    <x v="189"/>
    <x v="8"/>
    <x v="168"/>
    <x v="178"/>
    <x v="8"/>
    <x v="0"/>
    <x v="458"/>
    <x v="38"/>
    <s v="supplier@gmail.com"/>
  </r>
  <r>
    <x v="1074"/>
    <x v="1074"/>
    <x v="4"/>
    <x v="1"/>
    <x v="4"/>
    <x v="1"/>
    <x v="12"/>
    <x v="8"/>
    <x v="8"/>
    <x v="12"/>
    <x v="8"/>
    <x v="0"/>
    <x v="459"/>
    <x v="68"/>
    <s v="supplier@gmail.com"/>
  </r>
  <r>
    <x v="1075"/>
    <x v="1075"/>
    <x v="200"/>
    <x v="175"/>
    <x v="201"/>
    <x v="205"/>
    <x v="190"/>
    <x v="172"/>
    <x v="169"/>
    <x v="12"/>
    <x v="8"/>
    <x v="0"/>
    <x v="1"/>
    <x v="2"/>
    <s v="supplier@gmail.com"/>
  </r>
  <r>
    <x v="1076"/>
    <x v="1076"/>
    <x v="201"/>
    <x v="1"/>
    <x v="202"/>
    <x v="206"/>
    <x v="191"/>
    <x v="8"/>
    <x v="170"/>
    <x v="179"/>
    <x v="8"/>
    <x v="0"/>
    <x v="3"/>
    <x v="31"/>
    <s v="supplier@gmail.com"/>
  </r>
  <r>
    <x v="1077"/>
    <x v="1077"/>
    <x v="4"/>
    <x v="1"/>
    <x v="4"/>
    <x v="1"/>
    <x v="12"/>
    <x v="8"/>
    <x v="8"/>
    <x v="12"/>
    <x v="8"/>
    <x v="0"/>
    <x v="1"/>
    <x v="110"/>
    <s v="supplier@gmail.com"/>
  </r>
  <r>
    <x v="1078"/>
    <x v="1078"/>
    <x v="202"/>
    <x v="1"/>
    <x v="203"/>
    <x v="207"/>
    <x v="192"/>
    <x v="173"/>
    <x v="171"/>
    <x v="180"/>
    <x v="157"/>
    <x v="0"/>
    <x v="460"/>
    <x v="62"/>
    <s v="supplier@gmail.com"/>
  </r>
  <r>
    <x v="1079"/>
    <x v="1079"/>
    <x v="203"/>
    <x v="1"/>
    <x v="204"/>
    <x v="208"/>
    <x v="193"/>
    <x v="174"/>
    <x v="172"/>
    <x v="181"/>
    <x v="158"/>
    <x v="0"/>
    <x v="461"/>
    <x v="107"/>
    <s v="supplier@gmail.com"/>
  </r>
  <r>
    <x v="1080"/>
    <x v="1080"/>
    <x v="204"/>
    <x v="176"/>
    <x v="205"/>
    <x v="209"/>
    <x v="194"/>
    <x v="175"/>
    <x v="173"/>
    <x v="182"/>
    <x v="159"/>
    <x v="0"/>
    <x v="462"/>
    <x v="111"/>
    <s v="supplier@gmail.com"/>
  </r>
  <r>
    <x v="1081"/>
    <x v="1081"/>
    <x v="4"/>
    <x v="1"/>
    <x v="4"/>
    <x v="1"/>
    <x v="12"/>
    <x v="8"/>
    <x v="8"/>
    <x v="12"/>
    <x v="8"/>
    <x v="0"/>
    <x v="463"/>
    <x v="44"/>
    <s v="supplier@gmail.com"/>
  </r>
  <r>
    <x v="1082"/>
    <x v="1082"/>
    <x v="205"/>
    <x v="1"/>
    <x v="4"/>
    <x v="210"/>
    <x v="195"/>
    <x v="8"/>
    <x v="8"/>
    <x v="12"/>
    <x v="8"/>
    <x v="0"/>
    <x v="464"/>
    <x v="123"/>
    <s v="supplier@gmail.com"/>
  </r>
  <r>
    <x v="1083"/>
    <x v="1083"/>
    <x v="206"/>
    <x v="177"/>
    <x v="206"/>
    <x v="211"/>
    <x v="196"/>
    <x v="176"/>
    <x v="174"/>
    <x v="183"/>
    <x v="160"/>
    <x v="0"/>
    <x v="465"/>
    <x v="142"/>
    <s v="supplier@gmail.com"/>
  </r>
  <r>
    <x v="1084"/>
    <x v="1084"/>
    <x v="207"/>
    <x v="178"/>
    <x v="207"/>
    <x v="212"/>
    <x v="197"/>
    <x v="8"/>
    <x v="175"/>
    <x v="184"/>
    <x v="161"/>
    <x v="0"/>
    <x v="466"/>
    <x v="38"/>
    <s v="supplier@gmail.com"/>
  </r>
  <r>
    <x v="1085"/>
    <x v="1085"/>
    <x v="208"/>
    <x v="179"/>
    <x v="208"/>
    <x v="213"/>
    <x v="198"/>
    <x v="177"/>
    <x v="176"/>
    <x v="185"/>
    <x v="8"/>
    <x v="0"/>
    <x v="467"/>
    <x v="195"/>
    <s v="supplier@gmail.com"/>
  </r>
  <r>
    <x v="1086"/>
    <x v="1086"/>
    <x v="209"/>
    <x v="180"/>
    <x v="209"/>
    <x v="214"/>
    <x v="199"/>
    <x v="178"/>
    <x v="177"/>
    <x v="186"/>
    <x v="162"/>
    <x v="0"/>
    <x v="1"/>
    <x v="150"/>
    <s v="supplier@gmail.com"/>
  </r>
  <r>
    <x v="1087"/>
    <x v="1087"/>
    <x v="210"/>
    <x v="181"/>
    <x v="210"/>
    <x v="215"/>
    <x v="200"/>
    <x v="179"/>
    <x v="178"/>
    <x v="187"/>
    <x v="8"/>
    <x v="0"/>
    <x v="351"/>
    <x v="153"/>
    <s v="supplier@gmail.com"/>
  </r>
  <r>
    <x v="1088"/>
    <x v="1088"/>
    <x v="211"/>
    <x v="1"/>
    <x v="211"/>
    <x v="216"/>
    <x v="201"/>
    <x v="180"/>
    <x v="179"/>
    <x v="12"/>
    <x v="163"/>
    <x v="0"/>
    <x v="468"/>
    <x v="10"/>
    <s v="supplier@gmail.com"/>
  </r>
  <r>
    <x v="1089"/>
    <x v="1089"/>
    <x v="4"/>
    <x v="1"/>
    <x v="212"/>
    <x v="217"/>
    <x v="12"/>
    <x v="181"/>
    <x v="8"/>
    <x v="12"/>
    <x v="164"/>
    <x v="0"/>
    <x v="1"/>
    <x v="3"/>
    <s v="supplier@gmail.com"/>
  </r>
  <r>
    <x v="1090"/>
    <x v="1090"/>
    <x v="4"/>
    <x v="1"/>
    <x v="4"/>
    <x v="1"/>
    <x v="12"/>
    <x v="8"/>
    <x v="8"/>
    <x v="12"/>
    <x v="8"/>
    <x v="0"/>
    <x v="469"/>
    <x v="122"/>
    <s v="supplier@gmail.com"/>
  </r>
  <r>
    <x v="1091"/>
    <x v="1091"/>
    <x v="212"/>
    <x v="182"/>
    <x v="213"/>
    <x v="218"/>
    <x v="202"/>
    <x v="182"/>
    <x v="180"/>
    <x v="188"/>
    <x v="165"/>
    <x v="0"/>
    <x v="1"/>
    <x v="101"/>
    <s v="supplier@gmail.com"/>
  </r>
  <r>
    <x v="1092"/>
    <x v="1092"/>
    <x v="4"/>
    <x v="1"/>
    <x v="4"/>
    <x v="1"/>
    <x v="12"/>
    <x v="8"/>
    <x v="8"/>
    <x v="12"/>
    <x v="8"/>
    <x v="0"/>
    <x v="7"/>
    <x v="169"/>
    <s v="supplier@gmail.com"/>
  </r>
  <r>
    <x v="1093"/>
    <x v="1093"/>
    <x v="213"/>
    <x v="183"/>
    <x v="214"/>
    <x v="219"/>
    <x v="203"/>
    <x v="8"/>
    <x v="181"/>
    <x v="189"/>
    <x v="166"/>
    <x v="0"/>
    <x v="470"/>
    <x v="114"/>
    <s v="supplier@gmail.com"/>
  </r>
  <r>
    <x v="1094"/>
    <x v="1094"/>
    <x v="4"/>
    <x v="1"/>
    <x v="4"/>
    <x v="1"/>
    <x v="12"/>
    <x v="8"/>
    <x v="8"/>
    <x v="12"/>
    <x v="8"/>
    <x v="0"/>
    <x v="1"/>
    <x v="72"/>
    <s v="supplier@gmail.com"/>
  </r>
  <r>
    <x v="1095"/>
    <x v="1095"/>
    <x v="4"/>
    <x v="1"/>
    <x v="4"/>
    <x v="1"/>
    <x v="12"/>
    <x v="8"/>
    <x v="8"/>
    <x v="12"/>
    <x v="8"/>
    <x v="0"/>
    <x v="294"/>
    <x v="124"/>
    <s v="supplier@gmail.com"/>
  </r>
  <r>
    <x v="1096"/>
    <x v="1096"/>
    <x v="4"/>
    <x v="1"/>
    <x v="4"/>
    <x v="1"/>
    <x v="12"/>
    <x v="70"/>
    <x v="8"/>
    <x v="12"/>
    <x v="8"/>
    <x v="0"/>
    <x v="44"/>
    <x v="120"/>
    <s v="supplier@gmail.com"/>
  </r>
  <r>
    <x v="1097"/>
    <x v="1097"/>
    <x v="4"/>
    <x v="1"/>
    <x v="4"/>
    <x v="1"/>
    <x v="12"/>
    <x v="8"/>
    <x v="8"/>
    <x v="12"/>
    <x v="8"/>
    <x v="0"/>
    <x v="471"/>
    <x v="132"/>
    <s v="supplier@gmail.com"/>
  </r>
  <r>
    <x v="1098"/>
    <x v="1098"/>
    <x v="214"/>
    <x v="184"/>
    <x v="215"/>
    <x v="220"/>
    <x v="204"/>
    <x v="183"/>
    <x v="182"/>
    <x v="190"/>
    <x v="167"/>
    <x v="0"/>
    <x v="179"/>
    <x v="107"/>
    <s v="supplier@gmail.com"/>
  </r>
  <r>
    <x v="1099"/>
    <x v="1099"/>
    <x v="215"/>
    <x v="185"/>
    <x v="216"/>
    <x v="221"/>
    <x v="205"/>
    <x v="184"/>
    <x v="183"/>
    <x v="191"/>
    <x v="168"/>
    <x v="0"/>
    <x v="472"/>
    <x v="103"/>
    <s v="supplier@gmail.com"/>
  </r>
  <r>
    <x v="1100"/>
    <x v="1100"/>
    <x v="216"/>
    <x v="186"/>
    <x v="217"/>
    <x v="222"/>
    <x v="206"/>
    <x v="185"/>
    <x v="184"/>
    <x v="192"/>
    <x v="169"/>
    <x v="0"/>
    <x v="473"/>
    <x v="146"/>
    <s v="supplier@gmail.com"/>
  </r>
  <r>
    <x v="1101"/>
    <x v="1101"/>
    <x v="217"/>
    <x v="187"/>
    <x v="218"/>
    <x v="223"/>
    <x v="207"/>
    <x v="186"/>
    <x v="185"/>
    <x v="193"/>
    <x v="170"/>
    <x v="0"/>
    <x v="474"/>
    <x v="149"/>
    <s v="supplier@gmail.com"/>
  </r>
  <r>
    <x v="1102"/>
    <x v="1102"/>
    <x v="218"/>
    <x v="188"/>
    <x v="219"/>
    <x v="224"/>
    <x v="208"/>
    <x v="8"/>
    <x v="8"/>
    <x v="12"/>
    <x v="8"/>
    <x v="0"/>
    <x v="475"/>
    <x v="85"/>
    <s v="supplier@gmail.com"/>
  </r>
  <r>
    <x v="1103"/>
    <x v="1103"/>
    <x v="219"/>
    <x v="189"/>
    <x v="220"/>
    <x v="225"/>
    <x v="209"/>
    <x v="187"/>
    <x v="186"/>
    <x v="194"/>
    <x v="171"/>
    <x v="0"/>
    <x v="476"/>
    <x v="55"/>
    <s v="supplier@gmail.com"/>
  </r>
  <r>
    <x v="1104"/>
    <x v="1104"/>
    <x v="4"/>
    <x v="1"/>
    <x v="4"/>
    <x v="1"/>
    <x v="12"/>
    <x v="8"/>
    <x v="8"/>
    <x v="12"/>
    <x v="8"/>
    <x v="0"/>
    <x v="477"/>
    <x v="133"/>
    <s v="supplier@gmail.com"/>
  </r>
  <r>
    <x v="1105"/>
    <x v="1105"/>
    <x v="4"/>
    <x v="1"/>
    <x v="221"/>
    <x v="1"/>
    <x v="12"/>
    <x v="188"/>
    <x v="8"/>
    <x v="12"/>
    <x v="8"/>
    <x v="0"/>
    <x v="478"/>
    <x v="93"/>
    <s v="supplier@gmail.com"/>
  </r>
  <r>
    <x v="1106"/>
    <x v="1106"/>
    <x v="220"/>
    <x v="190"/>
    <x v="222"/>
    <x v="226"/>
    <x v="210"/>
    <x v="189"/>
    <x v="187"/>
    <x v="195"/>
    <x v="172"/>
    <x v="0"/>
    <x v="479"/>
    <x v="11"/>
    <s v="supplier@gmail.com"/>
  </r>
  <r>
    <x v="1107"/>
    <x v="1107"/>
    <x v="221"/>
    <x v="1"/>
    <x v="4"/>
    <x v="1"/>
    <x v="12"/>
    <x v="8"/>
    <x v="8"/>
    <x v="196"/>
    <x v="8"/>
    <x v="0"/>
    <x v="1"/>
    <x v="19"/>
    <s v="supplier@gmail.com"/>
  </r>
  <r>
    <x v="1108"/>
    <x v="1108"/>
    <x v="222"/>
    <x v="1"/>
    <x v="202"/>
    <x v="1"/>
    <x v="12"/>
    <x v="8"/>
    <x v="8"/>
    <x v="12"/>
    <x v="8"/>
    <x v="0"/>
    <x v="480"/>
    <x v="131"/>
    <s v="supplier@gmail.com"/>
  </r>
  <r>
    <x v="1109"/>
    <x v="1109"/>
    <x v="223"/>
    <x v="191"/>
    <x v="223"/>
    <x v="227"/>
    <x v="211"/>
    <x v="190"/>
    <x v="188"/>
    <x v="197"/>
    <x v="173"/>
    <x v="0"/>
    <x v="481"/>
    <x v="30"/>
    <s v="supplier@gmail.com"/>
  </r>
  <r>
    <x v="1110"/>
    <x v="1110"/>
    <x v="224"/>
    <x v="192"/>
    <x v="224"/>
    <x v="228"/>
    <x v="212"/>
    <x v="191"/>
    <x v="189"/>
    <x v="198"/>
    <x v="174"/>
    <x v="0"/>
    <x v="482"/>
    <x v="134"/>
    <s v="supplier@gmail.com"/>
  </r>
  <r>
    <x v="1111"/>
    <x v="1111"/>
    <x v="225"/>
    <x v="193"/>
    <x v="225"/>
    <x v="229"/>
    <x v="213"/>
    <x v="192"/>
    <x v="190"/>
    <x v="199"/>
    <x v="175"/>
    <x v="0"/>
    <x v="483"/>
    <x v="58"/>
    <s v="supplier@gmail.com"/>
  </r>
  <r>
    <x v="1112"/>
    <x v="1112"/>
    <x v="4"/>
    <x v="1"/>
    <x v="4"/>
    <x v="1"/>
    <x v="12"/>
    <x v="8"/>
    <x v="8"/>
    <x v="12"/>
    <x v="8"/>
    <x v="0"/>
    <x v="178"/>
    <x v="156"/>
    <s v="supplier@gmail.com"/>
  </r>
  <r>
    <x v="1113"/>
    <x v="1113"/>
    <x v="4"/>
    <x v="1"/>
    <x v="4"/>
    <x v="1"/>
    <x v="12"/>
    <x v="8"/>
    <x v="8"/>
    <x v="12"/>
    <x v="8"/>
    <x v="0"/>
    <x v="484"/>
    <x v="146"/>
    <s v="supplier@gmail.com"/>
  </r>
  <r>
    <x v="1114"/>
    <x v="1114"/>
    <x v="226"/>
    <x v="194"/>
    <x v="226"/>
    <x v="230"/>
    <x v="214"/>
    <x v="193"/>
    <x v="191"/>
    <x v="200"/>
    <x v="176"/>
    <x v="0"/>
    <x v="470"/>
    <x v="63"/>
    <s v="supplier@gmail.com"/>
  </r>
  <r>
    <x v="1115"/>
    <x v="1115"/>
    <x v="4"/>
    <x v="1"/>
    <x v="4"/>
    <x v="1"/>
    <x v="12"/>
    <x v="8"/>
    <x v="8"/>
    <x v="12"/>
    <x v="8"/>
    <x v="0"/>
    <x v="349"/>
    <x v="161"/>
    <s v="supplier@gmail.com"/>
  </r>
  <r>
    <x v="1116"/>
    <x v="1116"/>
    <x v="227"/>
    <x v="195"/>
    <x v="227"/>
    <x v="231"/>
    <x v="215"/>
    <x v="194"/>
    <x v="192"/>
    <x v="201"/>
    <x v="177"/>
    <x v="0"/>
    <x v="1"/>
    <x v="41"/>
    <s v="supplier@gmail.com"/>
  </r>
  <r>
    <x v="1117"/>
    <x v="1117"/>
    <x v="4"/>
    <x v="1"/>
    <x v="4"/>
    <x v="232"/>
    <x v="12"/>
    <x v="8"/>
    <x v="8"/>
    <x v="12"/>
    <x v="8"/>
    <x v="0"/>
    <x v="485"/>
    <x v="137"/>
    <s v="supplier@gmail.com"/>
  </r>
  <r>
    <x v="1118"/>
    <x v="1118"/>
    <x v="228"/>
    <x v="196"/>
    <x v="228"/>
    <x v="233"/>
    <x v="216"/>
    <x v="195"/>
    <x v="193"/>
    <x v="202"/>
    <x v="178"/>
    <x v="0"/>
    <x v="486"/>
    <x v="93"/>
    <s v="supplier@gmail.com"/>
  </r>
  <r>
    <x v="1119"/>
    <x v="1119"/>
    <x v="229"/>
    <x v="197"/>
    <x v="229"/>
    <x v="234"/>
    <x v="217"/>
    <x v="196"/>
    <x v="194"/>
    <x v="203"/>
    <x v="179"/>
    <x v="0"/>
    <x v="487"/>
    <x v="108"/>
    <s v="supplier@gmail.com"/>
  </r>
  <r>
    <x v="1120"/>
    <x v="1120"/>
    <x v="230"/>
    <x v="198"/>
    <x v="230"/>
    <x v="235"/>
    <x v="218"/>
    <x v="197"/>
    <x v="195"/>
    <x v="204"/>
    <x v="180"/>
    <x v="0"/>
    <x v="488"/>
    <x v="105"/>
    <s v="supplier@gmail.com"/>
  </r>
  <r>
    <x v="1121"/>
    <x v="1121"/>
    <x v="4"/>
    <x v="199"/>
    <x v="4"/>
    <x v="1"/>
    <x v="12"/>
    <x v="8"/>
    <x v="8"/>
    <x v="12"/>
    <x v="8"/>
    <x v="0"/>
    <x v="489"/>
    <x v="55"/>
    <s v="supplier@gmail.com"/>
  </r>
  <r>
    <x v="1122"/>
    <x v="1122"/>
    <x v="231"/>
    <x v="200"/>
    <x v="231"/>
    <x v="236"/>
    <x v="219"/>
    <x v="198"/>
    <x v="196"/>
    <x v="205"/>
    <x v="181"/>
    <x v="0"/>
    <x v="490"/>
    <x v="21"/>
    <s v="supplier@gmail.com"/>
  </r>
  <r>
    <x v="1123"/>
    <x v="1123"/>
    <x v="232"/>
    <x v="201"/>
    <x v="232"/>
    <x v="237"/>
    <x v="220"/>
    <x v="199"/>
    <x v="197"/>
    <x v="206"/>
    <x v="182"/>
    <x v="0"/>
    <x v="491"/>
    <x v="29"/>
    <s v="supplier@gmail.com"/>
  </r>
  <r>
    <x v="1124"/>
    <x v="1124"/>
    <x v="233"/>
    <x v="202"/>
    <x v="233"/>
    <x v="238"/>
    <x v="221"/>
    <x v="200"/>
    <x v="198"/>
    <x v="207"/>
    <x v="183"/>
    <x v="0"/>
    <x v="492"/>
    <x v="53"/>
    <s v="supplier@gmail.com"/>
  </r>
  <r>
    <x v="1125"/>
    <x v="1125"/>
    <x v="234"/>
    <x v="203"/>
    <x v="234"/>
    <x v="239"/>
    <x v="222"/>
    <x v="201"/>
    <x v="199"/>
    <x v="208"/>
    <x v="184"/>
    <x v="0"/>
    <x v="1"/>
    <x v="14"/>
    <s v="supplier@gmail.com"/>
  </r>
  <r>
    <x v="1126"/>
    <x v="1126"/>
    <x v="235"/>
    <x v="204"/>
    <x v="235"/>
    <x v="240"/>
    <x v="223"/>
    <x v="202"/>
    <x v="8"/>
    <x v="209"/>
    <x v="185"/>
    <x v="0"/>
    <x v="493"/>
    <x v="163"/>
    <s v="supplier@gmail.com"/>
  </r>
  <r>
    <x v="1127"/>
    <x v="1127"/>
    <x v="236"/>
    <x v="205"/>
    <x v="236"/>
    <x v="241"/>
    <x v="224"/>
    <x v="203"/>
    <x v="200"/>
    <x v="210"/>
    <x v="186"/>
    <x v="0"/>
    <x v="494"/>
    <x v="21"/>
    <s v="supplier@gmail.com"/>
  </r>
  <r>
    <x v="1128"/>
    <x v="1128"/>
    <x v="237"/>
    <x v="206"/>
    <x v="237"/>
    <x v="242"/>
    <x v="12"/>
    <x v="204"/>
    <x v="201"/>
    <x v="211"/>
    <x v="8"/>
    <x v="0"/>
    <x v="495"/>
    <x v="65"/>
    <s v="supplier@gmail.com"/>
  </r>
  <r>
    <x v="1129"/>
    <x v="1129"/>
    <x v="238"/>
    <x v="207"/>
    <x v="238"/>
    <x v="243"/>
    <x v="225"/>
    <x v="205"/>
    <x v="202"/>
    <x v="212"/>
    <x v="187"/>
    <x v="0"/>
    <x v="1"/>
    <x v="85"/>
    <s v="supplier@gmail.com"/>
  </r>
  <r>
    <x v="1130"/>
    <x v="1130"/>
    <x v="4"/>
    <x v="1"/>
    <x v="4"/>
    <x v="1"/>
    <x v="12"/>
    <x v="39"/>
    <x v="8"/>
    <x v="12"/>
    <x v="8"/>
    <x v="0"/>
    <x v="496"/>
    <x v="191"/>
    <s v="supplier@gmail.com"/>
  </r>
  <r>
    <x v="1131"/>
    <x v="1131"/>
    <x v="239"/>
    <x v="208"/>
    <x v="239"/>
    <x v="244"/>
    <x v="226"/>
    <x v="206"/>
    <x v="203"/>
    <x v="213"/>
    <x v="188"/>
    <x v="0"/>
    <x v="497"/>
    <x v="100"/>
    <s v="supplier@gmail.com"/>
  </r>
  <r>
    <x v="1132"/>
    <x v="1132"/>
    <x v="240"/>
    <x v="209"/>
    <x v="240"/>
    <x v="245"/>
    <x v="227"/>
    <x v="207"/>
    <x v="204"/>
    <x v="214"/>
    <x v="189"/>
    <x v="0"/>
    <x v="498"/>
    <x v="34"/>
    <s v="supplier@gmail.com"/>
  </r>
  <r>
    <x v="1133"/>
    <x v="1133"/>
    <x v="241"/>
    <x v="1"/>
    <x v="241"/>
    <x v="246"/>
    <x v="12"/>
    <x v="8"/>
    <x v="8"/>
    <x v="12"/>
    <x v="8"/>
    <x v="0"/>
    <x v="31"/>
    <x v="49"/>
    <s v="supplier@gmail.com"/>
  </r>
  <r>
    <x v="1134"/>
    <x v="1134"/>
    <x v="242"/>
    <x v="210"/>
    <x v="242"/>
    <x v="133"/>
    <x v="228"/>
    <x v="208"/>
    <x v="205"/>
    <x v="140"/>
    <x v="190"/>
    <x v="0"/>
    <x v="499"/>
    <x v="70"/>
    <s v="supplier@gmail.com"/>
  </r>
  <r>
    <x v="1135"/>
    <x v="1135"/>
    <x v="243"/>
    <x v="211"/>
    <x v="243"/>
    <x v="247"/>
    <x v="229"/>
    <x v="209"/>
    <x v="206"/>
    <x v="215"/>
    <x v="191"/>
    <x v="0"/>
    <x v="500"/>
    <x v="193"/>
    <s v="supplier@gmail.com"/>
  </r>
  <r>
    <x v="1136"/>
    <x v="1136"/>
    <x v="244"/>
    <x v="212"/>
    <x v="244"/>
    <x v="248"/>
    <x v="230"/>
    <x v="210"/>
    <x v="207"/>
    <x v="216"/>
    <x v="192"/>
    <x v="0"/>
    <x v="1"/>
    <x v="186"/>
    <s v="supplier@gmail.com"/>
  </r>
  <r>
    <x v="1137"/>
    <x v="1137"/>
    <x v="4"/>
    <x v="1"/>
    <x v="4"/>
    <x v="249"/>
    <x v="231"/>
    <x v="211"/>
    <x v="208"/>
    <x v="217"/>
    <x v="193"/>
    <x v="0"/>
    <x v="501"/>
    <x v="85"/>
    <s v="supplier@gmail.com"/>
  </r>
  <r>
    <x v="1138"/>
    <x v="1138"/>
    <x v="245"/>
    <x v="213"/>
    <x v="245"/>
    <x v="250"/>
    <x v="232"/>
    <x v="212"/>
    <x v="209"/>
    <x v="218"/>
    <x v="194"/>
    <x v="0"/>
    <x v="502"/>
    <x v="113"/>
    <s v="supplier@gmail.com"/>
  </r>
  <r>
    <x v="1139"/>
    <x v="1139"/>
    <x v="4"/>
    <x v="1"/>
    <x v="4"/>
    <x v="1"/>
    <x v="12"/>
    <x v="8"/>
    <x v="8"/>
    <x v="12"/>
    <x v="8"/>
    <x v="0"/>
    <x v="179"/>
    <x v="79"/>
    <s v="supplier@gmail.com"/>
  </r>
  <r>
    <x v="1140"/>
    <x v="1140"/>
    <x v="4"/>
    <x v="1"/>
    <x v="4"/>
    <x v="1"/>
    <x v="12"/>
    <x v="8"/>
    <x v="8"/>
    <x v="12"/>
    <x v="8"/>
    <x v="0"/>
    <x v="338"/>
    <x v="113"/>
    <s v="supplier@gmail.com"/>
  </r>
  <r>
    <x v="1141"/>
    <x v="1141"/>
    <x v="246"/>
    <x v="214"/>
    <x v="246"/>
    <x v="251"/>
    <x v="191"/>
    <x v="213"/>
    <x v="210"/>
    <x v="219"/>
    <x v="195"/>
    <x v="0"/>
    <x v="503"/>
    <x v="4"/>
    <s v="supplier@gmail.com"/>
  </r>
  <r>
    <x v="1142"/>
    <x v="1142"/>
    <x v="247"/>
    <x v="215"/>
    <x v="247"/>
    <x v="252"/>
    <x v="233"/>
    <x v="214"/>
    <x v="211"/>
    <x v="220"/>
    <x v="196"/>
    <x v="0"/>
    <x v="130"/>
    <x v="172"/>
    <s v="supplier@gmail.com"/>
  </r>
  <r>
    <x v="1143"/>
    <x v="1143"/>
    <x v="248"/>
    <x v="216"/>
    <x v="248"/>
    <x v="253"/>
    <x v="234"/>
    <x v="215"/>
    <x v="212"/>
    <x v="221"/>
    <x v="197"/>
    <x v="0"/>
    <x v="189"/>
    <x v="167"/>
    <s v="supplier@gmail.com"/>
  </r>
  <r>
    <x v="1144"/>
    <x v="1144"/>
    <x v="249"/>
    <x v="1"/>
    <x v="249"/>
    <x v="254"/>
    <x v="12"/>
    <x v="8"/>
    <x v="8"/>
    <x v="12"/>
    <x v="8"/>
    <x v="0"/>
    <x v="504"/>
    <x v="55"/>
    <s v="supplier@gmail.com"/>
  </r>
  <r>
    <x v="1145"/>
    <x v="1145"/>
    <x v="4"/>
    <x v="1"/>
    <x v="4"/>
    <x v="1"/>
    <x v="12"/>
    <x v="8"/>
    <x v="8"/>
    <x v="12"/>
    <x v="8"/>
    <x v="0"/>
    <x v="505"/>
    <x v="54"/>
    <s v="supplier@gmail.com"/>
  </r>
  <r>
    <x v="1146"/>
    <x v="1146"/>
    <x v="250"/>
    <x v="217"/>
    <x v="250"/>
    <x v="255"/>
    <x v="235"/>
    <x v="216"/>
    <x v="213"/>
    <x v="222"/>
    <x v="198"/>
    <x v="0"/>
    <x v="506"/>
    <x v="153"/>
    <s v="supplier@gmail.com"/>
  </r>
  <r>
    <x v="1147"/>
    <x v="1147"/>
    <x v="251"/>
    <x v="1"/>
    <x v="4"/>
    <x v="1"/>
    <x v="236"/>
    <x v="8"/>
    <x v="8"/>
    <x v="12"/>
    <x v="8"/>
    <x v="0"/>
    <x v="507"/>
    <x v="57"/>
    <s v="supplier@gmail.com"/>
  </r>
  <r>
    <x v="1148"/>
    <x v="1148"/>
    <x v="252"/>
    <x v="1"/>
    <x v="4"/>
    <x v="1"/>
    <x v="12"/>
    <x v="8"/>
    <x v="8"/>
    <x v="12"/>
    <x v="8"/>
    <x v="0"/>
    <x v="468"/>
    <x v="122"/>
    <s v="supplier@gmail.com"/>
  </r>
  <r>
    <x v="1149"/>
    <x v="1149"/>
    <x v="4"/>
    <x v="1"/>
    <x v="4"/>
    <x v="1"/>
    <x v="237"/>
    <x v="8"/>
    <x v="8"/>
    <x v="12"/>
    <x v="8"/>
    <x v="0"/>
    <x v="480"/>
    <x v="161"/>
    <s v="supplier@gmail.com"/>
  </r>
  <r>
    <x v="1150"/>
    <x v="1150"/>
    <x v="253"/>
    <x v="218"/>
    <x v="251"/>
    <x v="256"/>
    <x v="238"/>
    <x v="8"/>
    <x v="8"/>
    <x v="12"/>
    <x v="8"/>
    <x v="0"/>
    <x v="507"/>
    <x v="44"/>
    <s v="supplier@gmail.com"/>
  </r>
  <r>
    <x v="1151"/>
    <x v="1151"/>
    <x v="4"/>
    <x v="1"/>
    <x v="4"/>
    <x v="1"/>
    <x v="12"/>
    <x v="8"/>
    <x v="8"/>
    <x v="12"/>
    <x v="8"/>
    <x v="0"/>
    <x v="1"/>
    <x v="147"/>
    <s v="supplier@gmail.com"/>
  </r>
  <r>
    <x v="1152"/>
    <x v="1152"/>
    <x v="4"/>
    <x v="1"/>
    <x v="4"/>
    <x v="1"/>
    <x v="12"/>
    <x v="8"/>
    <x v="8"/>
    <x v="12"/>
    <x v="8"/>
    <x v="0"/>
    <x v="508"/>
    <x v="173"/>
    <s v="supplier@gmail.com"/>
  </r>
  <r>
    <x v="1153"/>
    <x v="1153"/>
    <x v="4"/>
    <x v="1"/>
    <x v="4"/>
    <x v="1"/>
    <x v="12"/>
    <x v="8"/>
    <x v="8"/>
    <x v="12"/>
    <x v="8"/>
    <x v="0"/>
    <x v="1"/>
    <x v="31"/>
    <s v="supplier@gmail.com"/>
  </r>
  <r>
    <x v="1154"/>
    <x v="1154"/>
    <x v="4"/>
    <x v="1"/>
    <x v="4"/>
    <x v="1"/>
    <x v="12"/>
    <x v="8"/>
    <x v="8"/>
    <x v="12"/>
    <x v="8"/>
    <x v="0"/>
    <x v="509"/>
    <x v="73"/>
    <s v="supplier@gmail.com"/>
  </r>
  <r>
    <x v="1155"/>
    <x v="1155"/>
    <x v="4"/>
    <x v="1"/>
    <x v="4"/>
    <x v="1"/>
    <x v="12"/>
    <x v="8"/>
    <x v="8"/>
    <x v="12"/>
    <x v="8"/>
    <x v="0"/>
    <x v="220"/>
    <x v="57"/>
    <s v="supplier@gmail.com"/>
  </r>
  <r>
    <x v="1156"/>
    <x v="1156"/>
    <x v="4"/>
    <x v="1"/>
    <x v="4"/>
    <x v="1"/>
    <x v="12"/>
    <x v="8"/>
    <x v="8"/>
    <x v="12"/>
    <x v="8"/>
    <x v="0"/>
    <x v="220"/>
    <x v="112"/>
    <s v="supplier@gmail.com"/>
  </r>
  <r>
    <x v="1157"/>
    <x v="1157"/>
    <x v="4"/>
    <x v="1"/>
    <x v="4"/>
    <x v="1"/>
    <x v="12"/>
    <x v="8"/>
    <x v="8"/>
    <x v="12"/>
    <x v="8"/>
    <x v="0"/>
    <x v="1"/>
    <x v="158"/>
    <s v="supplier@gmail.com"/>
  </r>
  <r>
    <x v="1158"/>
    <x v="1158"/>
    <x v="254"/>
    <x v="1"/>
    <x v="252"/>
    <x v="257"/>
    <x v="239"/>
    <x v="150"/>
    <x v="8"/>
    <x v="12"/>
    <x v="199"/>
    <x v="0"/>
    <x v="461"/>
    <x v="95"/>
    <s v="supplier@gmail.com"/>
  </r>
  <r>
    <x v="1159"/>
    <x v="1159"/>
    <x v="255"/>
    <x v="1"/>
    <x v="4"/>
    <x v="1"/>
    <x v="12"/>
    <x v="8"/>
    <x v="8"/>
    <x v="12"/>
    <x v="8"/>
    <x v="0"/>
    <x v="258"/>
    <x v="19"/>
    <s v="supplier@gmail.com"/>
  </r>
  <r>
    <x v="1160"/>
    <x v="1160"/>
    <x v="4"/>
    <x v="1"/>
    <x v="4"/>
    <x v="1"/>
    <x v="12"/>
    <x v="8"/>
    <x v="8"/>
    <x v="12"/>
    <x v="8"/>
    <x v="0"/>
    <x v="510"/>
    <x v="9"/>
    <s v="supplier@gmail.com"/>
  </r>
  <r>
    <x v="1161"/>
    <x v="1161"/>
    <x v="256"/>
    <x v="1"/>
    <x v="4"/>
    <x v="1"/>
    <x v="12"/>
    <x v="8"/>
    <x v="8"/>
    <x v="12"/>
    <x v="8"/>
    <x v="0"/>
    <x v="153"/>
    <x v="78"/>
    <s v="supplier@gmail.com"/>
  </r>
  <r>
    <x v="1162"/>
    <x v="1162"/>
    <x v="257"/>
    <x v="1"/>
    <x v="253"/>
    <x v="258"/>
    <x v="12"/>
    <x v="8"/>
    <x v="8"/>
    <x v="12"/>
    <x v="8"/>
    <x v="0"/>
    <x v="79"/>
    <x v="6"/>
    <s v="supplier@gmail.com"/>
  </r>
  <r>
    <x v="1163"/>
    <x v="1163"/>
    <x v="258"/>
    <x v="1"/>
    <x v="254"/>
    <x v="259"/>
    <x v="12"/>
    <x v="8"/>
    <x v="8"/>
    <x v="12"/>
    <x v="8"/>
    <x v="0"/>
    <x v="511"/>
    <x v="47"/>
    <s v="supplier@gmail.com"/>
  </r>
  <r>
    <x v="1164"/>
    <x v="1164"/>
    <x v="4"/>
    <x v="1"/>
    <x v="4"/>
    <x v="1"/>
    <x v="12"/>
    <x v="8"/>
    <x v="8"/>
    <x v="12"/>
    <x v="8"/>
    <x v="0"/>
    <x v="18"/>
    <x v="146"/>
    <s v="supplier@gmail.com"/>
  </r>
  <r>
    <x v="1165"/>
    <x v="1165"/>
    <x v="4"/>
    <x v="1"/>
    <x v="4"/>
    <x v="1"/>
    <x v="12"/>
    <x v="8"/>
    <x v="8"/>
    <x v="61"/>
    <x v="8"/>
    <x v="0"/>
    <x v="107"/>
    <x v="78"/>
    <s v="supplier@gmail.com"/>
  </r>
  <r>
    <x v="1166"/>
    <x v="1166"/>
    <x v="4"/>
    <x v="219"/>
    <x v="255"/>
    <x v="260"/>
    <x v="240"/>
    <x v="217"/>
    <x v="170"/>
    <x v="223"/>
    <x v="200"/>
    <x v="0"/>
    <x v="512"/>
    <x v="93"/>
    <s v="supplier@gmail.com"/>
  </r>
  <r>
    <x v="1167"/>
    <x v="1167"/>
    <x v="202"/>
    <x v="220"/>
    <x v="256"/>
    <x v="261"/>
    <x v="241"/>
    <x v="218"/>
    <x v="214"/>
    <x v="224"/>
    <x v="201"/>
    <x v="0"/>
    <x v="226"/>
    <x v="100"/>
    <s v="supplier@gmail.com"/>
  </r>
  <r>
    <x v="1168"/>
    <x v="1168"/>
    <x v="259"/>
    <x v="221"/>
    <x v="257"/>
    <x v="262"/>
    <x v="242"/>
    <x v="8"/>
    <x v="215"/>
    <x v="225"/>
    <x v="202"/>
    <x v="0"/>
    <x v="513"/>
    <x v="69"/>
    <s v="supplier@gmail.com"/>
  </r>
  <r>
    <x v="1169"/>
    <x v="1169"/>
    <x v="260"/>
    <x v="222"/>
    <x v="258"/>
    <x v="263"/>
    <x v="243"/>
    <x v="219"/>
    <x v="216"/>
    <x v="226"/>
    <x v="203"/>
    <x v="0"/>
    <x v="514"/>
    <x v="141"/>
    <s v="supplier@gmail.com"/>
  </r>
  <r>
    <x v="1170"/>
    <x v="1170"/>
    <x v="110"/>
    <x v="223"/>
    <x v="37"/>
    <x v="264"/>
    <x v="244"/>
    <x v="22"/>
    <x v="127"/>
    <x v="31"/>
    <x v="22"/>
    <x v="0"/>
    <x v="218"/>
    <x v="82"/>
    <s v="supplier@gmail.com"/>
  </r>
  <r>
    <x v="1171"/>
    <x v="1171"/>
    <x v="261"/>
    <x v="1"/>
    <x v="98"/>
    <x v="101"/>
    <x v="12"/>
    <x v="8"/>
    <x v="8"/>
    <x v="12"/>
    <x v="8"/>
    <x v="0"/>
    <x v="294"/>
    <x v="94"/>
    <s v="supplier@gmail.com"/>
  </r>
  <r>
    <x v="1172"/>
    <x v="1172"/>
    <x v="101"/>
    <x v="17"/>
    <x v="15"/>
    <x v="1"/>
    <x v="12"/>
    <x v="8"/>
    <x v="27"/>
    <x v="12"/>
    <x v="17"/>
    <x v="0"/>
    <x v="111"/>
    <x v="104"/>
    <s v="supplier@gmail.com"/>
  </r>
  <r>
    <x v="1173"/>
    <x v="1173"/>
    <x v="144"/>
    <x v="1"/>
    <x v="70"/>
    <x v="159"/>
    <x v="12"/>
    <x v="8"/>
    <x v="8"/>
    <x v="12"/>
    <x v="8"/>
    <x v="0"/>
    <x v="43"/>
    <x v="108"/>
    <s v="supplier@gmail.com"/>
  </r>
  <r>
    <x v="1174"/>
    <x v="1174"/>
    <x v="0"/>
    <x v="1"/>
    <x v="4"/>
    <x v="0"/>
    <x v="12"/>
    <x v="8"/>
    <x v="8"/>
    <x v="12"/>
    <x v="8"/>
    <x v="0"/>
    <x v="356"/>
    <x v="82"/>
    <s v="supplier@gmail.com"/>
  </r>
  <r>
    <x v="1175"/>
    <x v="1175"/>
    <x v="154"/>
    <x v="1"/>
    <x v="259"/>
    <x v="265"/>
    <x v="12"/>
    <x v="8"/>
    <x v="8"/>
    <x v="12"/>
    <x v="8"/>
    <x v="0"/>
    <x v="38"/>
    <x v="14"/>
    <s v="supplier@gmail.com"/>
  </r>
  <r>
    <x v="1176"/>
    <x v="1176"/>
    <x v="16"/>
    <x v="1"/>
    <x v="15"/>
    <x v="15"/>
    <x v="12"/>
    <x v="8"/>
    <x v="8"/>
    <x v="12"/>
    <x v="8"/>
    <x v="0"/>
    <x v="102"/>
    <x v="129"/>
    <s v="supplier@gmail.com"/>
  </r>
  <r>
    <x v="1177"/>
    <x v="1177"/>
    <x v="36"/>
    <x v="1"/>
    <x v="4"/>
    <x v="125"/>
    <x v="12"/>
    <x v="8"/>
    <x v="8"/>
    <x v="12"/>
    <x v="8"/>
    <x v="0"/>
    <x v="127"/>
    <x v="122"/>
    <s v="supplier@gmail.com"/>
  </r>
  <r>
    <x v="1178"/>
    <x v="1178"/>
    <x v="34"/>
    <x v="1"/>
    <x v="6"/>
    <x v="34"/>
    <x v="12"/>
    <x v="8"/>
    <x v="8"/>
    <x v="12"/>
    <x v="8"/>
    <x v="0"/>
    <x v="102"/>
    <x v="11"/>
    <s v="supplier@gmail.com"/>
  </r>
  <r>
    <x v="1179"/>
    <x v="1179"/>
    <x v="36"/>
    <x v="1"/>
    <x v="4"/>
    <x v="125"/>
    <x v="12"/>
    <x v="8"/>
    <x v="8"/>
    <x v="12"/>
    <x v="8"/>
    <x v="0"/>
    <x v="1"/>
    <x v="167"/>
    <s v="supplier@gmail.com"/>
  </r>
  <r>
    <x v="1180"/>
    <x v="1180"/>
    <x v="4"/>
    <x v="1"/>
    <x v="35"/>
    <x v="1"/>
    <x v="12"/>
    <x v="8"/>
    <x v="8"/>
    <x v="12"/>
    <x v="8"/>
    <x v="0"/>
    <x v="102"/>
    <x v="109"/>
    <s v="supplier@gmail.com"/>
  </r>
  <r>
    <x v="1181"/>
    <x v="1181"/>
    <x v="36"/>
    <x v="1"/>
    <x v="4"/>
    <x v="125"/>
    <x v="12"/>
    <x v="8"/>
    <x v="8"/>
    <x v="12"/>
    <x v="8"/>
    <x v="0"/>
    <x v="36"/>
    <x v="51"/>
    <s v="supplier@gmail.com"/>
  </r>
  <r>
    <x v="1182"/>
    <x v="1182"/>
    <x v="36"/>
    <x v="1"/>
    <x v="4"/>
    <x v="125"/>
    <x v="12"/>
    <x v="8"/>
    <x v="8"/>
    <x v="12"/>
    <x v="8"/>
    <x v="0"/>
    <x v="33"/>
    <x v="17"/>
    <s v="supplier@gmail.com"/>
  </r>
  <r>
    <x v="1183"/>
    <x v="1183"/>
    <x v="44"/>
    <x v="1"/>
    <x v="15"/>
    <x v="15"/>
    <x v="12"/>
    <x v="8"/>
    <x v="8"/>
    <x v="12"/>
    <x v="8"/>
    <x v="0"/>
    <x v="77"/>
    <x v="38"/>
    <s v="supplier@gmail.com"/>
  </r>
  <r>
    <x v="1184"/>
    <x v="1184"/>
    <x v="44"/>
    <x v="1"/>
    <x v="15"/>
    <x v="15"/>
    <x v="12"/>
    <x v="8"/>
    <x v="8"/>
    <x v="12"/>
    <x v="8"/>
    <x v="0"/>
    <x v="1"/>
    <x v="87"/>
    <s v="supplier@gmail.com"/>
  </r>
  <r>
    <x v="1185"/>
    <x v="1185"/>
    <x v="16"/>
    <x v="1"/>
    <x v="15"/>
    <x v="15"/>
    <x v="12"/>
    <x v="8"/>
    <x v="8"/>
    <x v="12"/>
    <x v="8"/>
    <x v="0"/>
    <x v="375"/>
    <x v="124"/>
    <s v="supplier@gmail.com"/>
  </r>
  <r>
    <x v="1186"/>
    <x v="1186"/>
    <x v="0"/>
    <x v="1"/>
    <x v="0"/>
    <x v="0"/>
    <x v="12"/>
    <x v="8"/>
    <x v="8"/>
    <x v="12"/>
    <x v="8"/>
    <x v="0"/>
    <x v="226"/>
    <x v="156"/>
    <s v="supplier@gmail.com"/>
  </r>
  <r>
    <x v="1187"/>
    <x v="1187"/>
    <x v="36"/>
    <x v="1"/>
    <x v="4"/>
    <x v="125"/>
    <x v="12"/>
    <x v="8"/>
    <x v="8"/>
    <x v="12"/>
    <x v="8"/>
    <x v="0"/>
    <x v="145"/>
    <x v="180"/>
    <s v="supplier@gmail.com"/>
  </r>
  <r>
    <x v="1188"/>
    <x v="1188"/>
    <x v="44"/>
    <x v="1"/>
    <x v="15"/>
    <x v="15"/>
    <x v="12"/>
    <x v="8"/>
    <x v="8"/>
    <x v="12"/>
    <x v="8"/>
    <x v="0"/>
    <x v="145"/>
    <x v="186"/>
    <s v="supplier@gmail.com"/>
  </r>
  <r>
    <x v="1189"/>
    <x v="1189"/>
    <x v="44"/>
    <x v="1"/>
    <x v="15"/>
    <x v="15"/>
    <x v="12"/>
    <x v="8"/>
    <x v="8"/>
    <x v="12"/>
    <x v="8"/>
    <x v="0"/>
    <x v="61"/>
    <x v="175"/>
    <s v="supplier@gmail.com"/>
  </r>
  <r>
    <x v="1190"/>
    <x v="1190"/>
    <x v="44"/>
    <x v="15"/>
    <x v="34"/>
    <x v="159"/>
    <x v="27"/>
    <x v="34"/>
    <x v="35"/>
    <x v="129"/>
    <x v="30"/>
    <x v="0"/>
    <x v="33"/>
    <x v="105"/>
    <s v="supplier@gmail.com"/>
  </r>
  <r>
    <x v="1191"/>
    <x v="1191"/>
    <x v="44"/>
    <x v="15"/>
    <x v="34"/>
    <x v="159"/>
    <x v="27"/>
    <x v="34"/>
    <x v="35"/>
    <x v="129"/>
    <x v="30"/>
    <x v="0"/>
    <x v="34"/>
    <x v="156"/>
    <s v="supplier@gmail.com"/>
  </r>
  <r>
    <x v="1192"/>
    <x v="1192"/>
    <x v="44"/>
    <x v="15"/>
    <x v="34"/>
    <x v="159"/>
    <x v="27"/>
    <x v="34"/>
    <x v="35"/>
    <x v="129"/>
    <x v="30"/>
    <x v="0"/>
    <x v="35"/>
    <x v="148"/>
    <s v="supplier@gmail.com"/>
  </r>
  <r>
    <x v="1193"/>
    <x v="1193"/>
    <x v="44"/>
    <x v="15"/>
    <x v="34"/>
    <x v="159"/>
    <x v="27"/>
    <x v="34"/>
    <x v="35"/>
    <x v="129"/>
    <x v="30"/>
    <x v="0"/>
    <x v="35"/>
    <x v="37"/>
    <s v="supplier@gmail.com"/>
  </r>
  <r>
    <x v="1194"/>
    <x v="1194"/>
    <x v="44"/>
    <x v="15"/>
    <x v="34"/>
    <x v="159"/>
    <x v="27"/>
    <x v="34"/>
    <x v="35"/>
    <x v="129"/>
    <x v="30"/>
    <x v="0"/>
    <x v="180"/>
    <x v="27"/>
    <s v="supplier@gmail.com"/>
  </r>
  <r>
    <x v="1195"/>
    <x v="1195"/>
    <x v="44"/>
    <x v="15"/>
    <x v="34"/>
    <x v="159"/>
    <x v="27"/>
    <x v="34"/>
    <x v="35"/>
    <x v="129"/>
    <x v="30"/>
    <x v="0"/>
    <x v="35"/>
    <x v="149"/>
    <s v="supplier@gmail.com"/>
  </r>
  <r>
    <x v="1196"/>
    <x v="1196"/>
    <x v="44"/>
    <x v="15"/>
    <x v="34"/>
    <x v="159"/>
    <x v="27"/>
    <x v="34"/>
    <x v="35"/>
    <x v="129"/>
    <x v="30"/>
    <x v="0"/>
    <x v="35"/>
    <x v="76"/>
    <s v="supplier@gmail.com"/>
  </r>
  <r>
    <x v="1197"/>
    <x v="1197"/>
    <x v="44"/>
    <x v="15"/>
    <x v="34"/>
    <x v="159"/>
    <x v="27"/>
    <x v="34"/>
    <x v="35"/>
    <x v="129"/>
    <x v="30"/>
    <x v="0"/>
    <x v="35"/>
    <x v="12"/>
    <s v="supplier@gmail.com"/>
  </r>
  <r>
    <x v="1198"/>
    <x v="1198"/>
    <x v="44"/>
    <x v="15"/>
    <x v="34"/>
    <x v="159"/>
    <x v="27"/>
    <x v="34"/>
    <x v="35"/>
    <x v="129"/>
    <x v="30"/>
    <x v="0"/>
    <x v="515"/>
    <x v="71"/>
    <s v="supplier@gmail.com"/>
  </r>
  <r>
    <x v="1199"/>
    <x v="1199"/>
    <x v="44"/>
    <x v="15"/>
    <x v="34"/>
    <x v="159"/>
    <x v="27"/>
    <x v="34"/>
    <x v="35"/>
    <x v="129"/>
    <x v="30"/>
    <x v="0"/>
    <x v="35"/>
    <x v="127"/>
    <s v="supplier@gmail.com"/>
  </r>
  <r>
    <x v="1200"/>
    <x v="1200"/>
    <x v="44"/>
    <x v="15"/>
    <x v="34"/>
    <x v="159"/>
    <x v="27"/>
    <x v="34"/>
    <x v="35"/>
    <x v="129"/>
    <x v="30"/>
    <x v="0"/>
    <x v="35"/>
    <x v="196"/>
    <s v="supplier@gmail.com"/>
  </r>
  <r>
    <x v="1201"/>
    <x v="1201"/>
    <x v="44"/>
    <x v="15"/>
    <x v="34"/>
    <x v="159"/>
    <x v="27"/>
    <x v="34"/>
    <x v="35"/>
    <x v="129"/>
    <x v="30"/>
    <x v="0"/>
    <x v="114"/>
    <x v="99"/>
    <s v="supplier@gmail.com"/>
  </r>
  <r>
    <x v="1202"/>
    <x v="1202"/>
    <x v="101"/>
    <x v="38"/>
    <x v="16"/>
    <x v="16"/>
    <x v="25"/>
    <x v="85"/>
    <x v="27"/>
    <x v="32"/>
    <x v="23"/>
    <x v="0"/>
    <x v="77"/>
    <x v="171"/>
    <s v="supplier@gmail.com"/>
  </r>
  <r>
    <x v="1203"/>
    <x v="1203"/>
    <x v="44"/>
    <x v="15"/>
    <x v="34"/>
    <x v="159"/>
    <x v="27"/>
    <x v="34"/>
    <x v="35"/>
    <x v="129"/>
    <x v="30"/>
    <x v="0"/>
    <x v="61"/>
    <x v="190"/>
    <s v="supplier@gmail.com"/>
  </r>
  <r>
    <x v="1204"/>
    <x v="1204"/>
    <x v="44"/>
    <x v="15"/>
    <x v="34"/>
    <x v="159"/>
    <x v="27"/>
    <x v="34"/>
    <x v="35"/>
    <x v="129"/>
    <x v="30"/>
    <x v="0"/>
    <x v="77"/>
    <x v="164"/>
    <s v="supplier@gmail.com"/>
  </r>
  <r>
    <x v="1205"/>
    <x v="1205"/>
    <x v="44"/>
    <x v="15"/>
    <x v="34"/>
    <x v="159"/>
    <x v="27"/>
    <x v="34"/>
    <x v="35"/>
    <x v="129"/>
    <x v="30"/>
    <x v="0"/>
    <x v="196"/>
    <x v="147"/>
    <s v="supplier@gmail.com"/>
  </r>
  <r>
    <x v="1206"/>
    <x v="1206"/>
    <x v="44"/>
    <x v="15"/>
    <x v="34"/>
    <x v="159"/>
    <x v="27"/>
    <x v="34"/>
    <x v="35"/>
    <x v="129"/>
    <x v="30"/>
    <x v="0"/>
    <x v="77"/>
    <x v="192"/>
    <s v="supplier@gmail.com"/>
  </r>
  <r>
    <x v="1207"/>
    <x v="1207"/>
    <x v="44"/>
    <x v="15"/>
    <x v="34"/>
    <x v="159"/>
    <x v="27"/>
    <x v="34"/>
    <x v="35"/>
    <x v="129"/>
    <x v="30"/>
    <x v="0"/>
    <x v="77"/>
    <x v="37"/>
    <s v="supplier@gmail.com"/>
  </r>
  <r>
    <x v="1208"/>
    <x v="1208"/>
    <x v="44"/>
    <x v="15"/>
    <x v="34"/>
    <x v="159"/>
    <x v="27"/>
    <x v="34"/>
    <x v="35"/>
    <x v="129"/>
    <x v="30"/>
    <x v="0"/>
    <x v="267"/>
    <x v="165"/>
    <s v="supplier@gmail.com"/>
  </r>
  <r>
    <x v="1209"/>
    <x v="1209"/>
    <x v="44"/>
    <x v="15"/>
    <x v="34"/>
    <x v="159"/>
    <x v="27"/>
    <x v="34"/>
    <x v="35"/>
    <x v="129"/>
    <x v="30"/>
    <x v="0"/>
    <x v="77"/>
    <x v="128"/>
    <s v="supplier@gmail.com"/>
  </r>
  <r>
    <x v="1210"/>
    <x v="1210"/>
    <x v="44"/>
    <x v="15"/>
    <x v="34"/>
    <x v="159"/>
    <x v="27"/>
    <x v="34"/>
    <x v="35"/>
    <x v="129"/>
    <x v="30"/>
    <x v="0"/>
    <x v="51"/>
    <x v="16"/>
    <s v="supplier@gmail.com"/>
  </r>
  <r>
    <x v="1211"/>
    <x v="1211"/>
    <x v="30"/>
    <x v="108"/>
    <x v="7"/>
    <x v="6"/>
    <x v="138"/>
    <x v="13"/>
    <x v="217"/>
    <x v="227"/>
    <x v="109"/>
    <x v="0"/>
    <x v="164"/>
    <x v="124"/>
    <s v="supplier@gmail.com"/>
  </r>
  <r>
    <x v="1212"/>
    <x v="1212"/>
    <x v="44"/>
    <x v="15"/>
    <x v="34"/>
    <x v="159"/>
    <x v="27"/>
    <x v="34"/>
    <x v="35"/>
    <x v="129"/>
    <x v="30"/>
    <x v="0"/>
    <x v="375"/>
    <x v="99"/>
    <s v="supplier@gmail.com"/>
  </r>
  <r>
    <x v="1213"/>
    <x v="1213"/>
    <x v="18"/>
    <x v="76"/>
    <x v="104"/>
    <x v="33"/>
    <x v="26"/>
    <x v="19"/>
    <x v="17"/>
    <x v="25"/>
    <x v="26"/>
    <x v="0"/>
    <x v="378"/>
    <x v="31"/>
    <s v="supplier@gmail.com"/>
  </r>
  <r>
    <x v="1214"/>
    <x v="1214"/>
    <x v="119"/>
    <x v="117"/>
    <x v="98"/>
    <x v="104"/>
    <x v="97"/>
    <x v="24"/>
    <x v="40"/>
    <x v="29"/>
    <x v="28"/>
    <x v="0"/>
    <x v="51"/>
    <x v="166"/>
    <s v="supplier@gmail.com"/>
  </r>
  <r>
    <x v="1215"/>
    <x v="1215"/>
    <x v="16"/>
    <x v="17"/>
    <x v="42"/>
    <x v="19"/>
    <x v="30"/>
    <x v="25"/>
    <x v="26"/>
    <x v="19"/>
    <x v="17"/>
    <x v="0"/>
    <x v="36"/>
    <x v="140"/>
    <s v="supplier@gmail.com"/>
  </r>
  <r>
    <x v="1216"/>
    <x v="1216"/>
    <x v="16"/>
    <x v="17"/>
    <x v="42"/>
    <x v="19"/>
    <x v="30"/>
    <x v="25"/>
    <x v="26"/>
    <x v="19"/>
    <x v="17"/>
    <x v="0"/>
    <x v="516"/>
    <x v="2"/>
    <s v="supplier@gmail.com"/>
  </r>
  <r>
    <x v="1217"/>
    <x v="1217"/>
    <x v="82"/>
    <x v="16"/>
    <x v="30"/>
    <x v="31"/>
    <x v="17"/>
    <x v="26"/>
    <x v="17"/>
    <x v="25"/>
    <x v="26"/>
    <x v="0"/>
    <x v="51"/>
    <x v="56"/>
    <s v="supplier@gmail.com"/>
  </r>
  <r>
    <x v="1218"/>
    <x v="1218"/>
    <x v="16"/>
    <x v="17"/>
    <x v="42"/>
    <x v="19"/>
    <x v="30"/>
    <x v="25"/>
    <x v="26"/>
    <x v="19"/>
    <x v="17"/>
    <x v="0"/>
    <x v="38"/>
    <x v="72"/>
    <s v="supplier@gmail.com"/>
  </r>
  <r>
    <x v="1219"/>
    <x v="1219"/>
    <x v="49"/>
    <x v="36"/>
    <x v="15"/>
    <x v="15"/>
    <x v="49"/>
    <x v="16"/>
    <x v="0"/>
    <x v="0"/>
    <x v="0"/>
    <x v="0"/>
    <x v="18"/>
    <x v="1"/>
    <s v="supplier@gmail.com"/>
  </r>
  <r>
    <x v="1220"/>
    <x v="1220"/>
    <x v="44"/>
    <x v="15"/>
    <x v="15"/>
    <x v="15"/>
    <x v="27"/>
    <x v="16"/>
    <x v="26"/>
    <x v="19"/>
    <x v="17"/>
    <x v="0"/>
    <x v="51"/>
    <x v="65"/>
    <s v="supplier@gmail.com"/>
  </r>
  <r>
    <x v="1221"/>
    <x v="1221"/>
    <x v="16"/>
    <x v="1"/>
    <x v="4"/>
    <x v="1"/>
    <x v="30"/>
    <x v="8"/>
    <x v="8"/>
    <x v="12"/>
    <x v="8"/>
    <x v="0"/>
    <x v="196"/>
    <x v="41"/>
    <s v="supplier@gmail.com"/>
  </r>
  <r>
    <x v="1222"/>
    <x v="1222"/>
    <x v="44"/>
    <x v="1"/>
    <x v="4"/>
    <x v="1"/>
    <x v="27"/>
    <x v="8"/>
    <x v="8"/>
    <x v="12"/>
    <x v="8"/>
    <x v="0"/>
    <x v="38"/>
    <x v="132"/>
    <s v="supplier@gmail.com"/>
  </r>
  <r>
    <x v="1223"/>
    <x v="1223"/>
    <x v="44"/>
    <x v="1"/>
    <x v="4"/>
    <x v="1"/>
    <x v="27"/>
    <x v="8"/>
    <x v="8"/>
    <x v="12"/>
    <x v="8"/>
    <x v="0"/>
    <x v="164"/>
    <x v="196"/>
    <s v="supplier@gmail.com"/>
  </r>
  <r>
    <x v="1224"/>
    <x v="1224"/>
    <x v="101"/>
    <x v="1"/>
    <x v="4"/>
    <x v="1"/>
    <x v="25"/>
    <x v="8"/>
    <x v="8"/>
    <x v="12"/>
    <x v="8"/>
    <x v="0"/>
    <x v="1"/>
    <x v="111"/>
    <s v="supplier@gmail.com"/>
  </r>
  <r>
    <x v="1225"/>
    <x v="1225"/>
    <x v="0"/>
    <x v="1"/>
    <x v="4"/>
    <x v="1"/>
    <x v="0"/>
    <x v="8"/>
    <x v="8"/>
    <x v="12"/>
    <x v="8"/>
    <x v="0"/>
    <x v="226"/>
    <x v="185"/>
    <s v="supplier@gmail.com"/>
  </r>
  <r>
    <x v="1226"/>
    <x v="1226"/>
    <x v="0"/>
    <x v="1"/>
    <x v="4"/>
    <x v="1"/>
    <x v="0"/>
    <x v="8"/>
    <x v="8"/>
    <x v="12"/>
    <x v="8"/>
    <x v="0"/>
    <x v="39"/>
    <x v="24"/>
    <s v="supplier@gmail.com"/>
  </r>
  <r>
    <x v="1227"/>
    <x v="1227"/>
    <x v="0"/>
    <x v="1"/>
    <x v="4"/>
    <x v="1"/>
    <x v="0"/>
    <x v="8"/>
    <x v="8"/>
    <x v="12"/>
    <x v="8"/>
    <x v="0"/>
    <x v="1"/>
    <x v="108"/>
    <s v="supplier@gmail.com"/>
  </r>
  <r>
    <x v="1228"/>
    <x v="1228"/>
    <x v="0"/>
    <x v="1"/>
    <x v="4"/>
    <x v="1"/>
    <x v="0"/>
    <x v="8"/>
    <x v="8"/>
    <x v="12"/>
    <x v="8"/>
    <x v="0"/>
    <x v="226"/>
    <x v="85"/>
    <s v="supplier@gmail.com"/>
  </r>
  <r>
    <x v="1229"/>
    <x v="1229"/>
    <x v="0"/>
    <x v="1"/>
    <x v="4"/>
    <x v="1"/>
    <x v="0"/>
    <x v="8"/>
    <x v="8"/>
    <x v="12"/>
    <x v="8"/>
    <x v="0"/>
    <x v="196"/>
    <x v="148"/>
    <s v="supplier@gmail.com"/>
  </r>
  <r>
    <x v="1230"/>
    <x v="1230"/>
    <x v="101"/>
    <x v="1"/>
    <x v="4"/>
    <x v="1"/>
    <x v="25"/>
    <x v="8"/>
    <x v="8"/>
    <x v="12"/>
    <x v="8"/>
    <x v="0"/>
    <x v="38"/>
    <x v="113"/>
    <s v="supplier@gmail.com"/>
  </r>
  <r>
    <x v="1231"/>
    <x v="1231"/>
    <x v="44"/>
    <x v="1"/>
    <x v="4"/>
    <x v="1"/>
    <x v="27"/>
    <x v="8"/>
    <x v="8"/>
    <x v="12"/>
    <x v="8"/>
    <x v="0"/>
    <x v="43"/>
    <x v="150"/>
    <s v="supplier@gmail.com"/>
  </r>
  <r>
    <x v="1232"/>
    <x v="1232"/>
    <x v="101"/>
    <x v="1"/>
    <x v="4"/>
    <x v="1"/>
    <x v="25"/>
    <x v="8"/>
    <x v="8"/>
    <x v="12"/>
    <x v="8"/>
    <x v="0"/>
    <x v="375"/>
    <x v="45"/>
    <s v="supplier@gmail.com"/>
  </r>
  <r>
    <x v="1233"/>
    <x v="1233"/>
    <x v="0"/>
    <x v="1"/>
    <x v="4"/>
    <x v="1"/>
    <x v="0"/>
    <x v="8"/>
    <x v="8"/>
    <x v="12"/>
    <x v="8"/>
    <x v="0"/>
    <x v="103"/>
    <x v="59"/>
    <s v="supplier@gmail.com"/>
  </r>
  <r>
    <x v="1234"/>
    <x v="1234"/>
    <x v="16"/>
    <x v="1"/>
    <x v="4"/>
    <x v="1"/>
    <x v="30"/>
    <x v="8"/>
    <x v="8"/>
    <x v="12"/>
    <x v="8"/>
    <x v="0"/>
    <x v="148"/>
    <x v="152"/>
    <s v="supplier@gmail.com"/>
  </r>
  <r>
    <x v="1235"/>
    <x v="1235"/>
    <x v="101"/>
    <x v="1"/>
    <x v="4"/>
    <x v="1"/>
    <x v="25"/>
    <x v="8"/>
    <x v="8"/>
    <x v="12"/>
    <x v="8"/>
    <x v="0"/>
    <x v="294"/>
    <x v="82"/>
    <s v="supplier@gmail.com"/>
  </r>
  <r>
    <x v="1236"/>
    <x v="1236"/>
    <x v="32"/>
    <x v="128"/>
    <x v="149"/>
    <x v="158"/>
    <x v="33"/>
    <x v="30"/>
    <x v="126"/>
    <x v="43"/>
    <x v="120"/>
    <x v="0"/>
    <x v="1"/>
    <x v="81"/>
    <s v="supplier@gmail.com"/>
  </r>
  <r>
    <x v="1237"/>
    <x v="1237"/>
    <x v="49"/>
    <x v="36"/>
    <x v="15"/>
    <x v="15"/>
    <x v="49"/>
    <x v="16"/>
    <x v="0"/>
    <x v="0"/>
    <x v="0"/>
    <x v="0"/>
    <x v="1"/>
    <x v="62"/>
    <s v="supplier@gmail.com"/>
  </r>
  <r>
    <x v="1238"/>
    <x v="1238"/>
    <x v="49"/>
    <x v="36"/>
    <x v="15"/>
    <x v="15"/>
    <x v="49"/>
    <x v="16"/>
    <x v="0"/>
    <x v="0"/>
    <x v="0"/>
    <x v="0"/>
    <x v="375"/>
    <x v="105"/>
    <s v="supplier@gmail.com"/>
  </r>
  <r>
    <x v="1239"/>
    <x v="1239"/>
    <x v="44"/>
    <x v="15"/>
    <x v="34"/>
    <x v="159"/>
    <x v="27"/>
    <x v="34"/>
    <x v="35"/>
    <x v="129"/>
    <x v="30"/>
    <x v="0"/>
    <x v="1"/>
    <x v="103"/>
    <s v="supplier@gmail.com"/>
  </r>
  <r>
    <x v="1240"/>
    <x v="1240"/>
    <x v="49"/>
    <x v="36"/>
    <x v="15"/>
    <x v="15"/>
    <x v="49"/>
    <x v="16"/>
    <x v="0"/>
    <x v="0"/>
    <x v="0"/>
    <x v="0"/>
    <x v="444"/>
    <x v="38"/>
    <s v="supplier@gmail.com"/>
  </r>
  <r>
    <x v="1241"/>
    <x v="1241"/>
    <x v="44"/>
    <x v="15"/>
    <x v="34"/>
    <x v="159"/>
    <x v="27"/>
    <x v="34"/>
    <x v="35"/>
    <x v="129"/>
    <x v="30"/>
    <x v="0"/>
    <x v="47"/>
    <x v="178"/>
    <s v="supplier@gmail.com"/>
  </r>
  <r>
    <x v="1242"/>
    <x v="1242"/>
    <x v="49"/>
    <x v="36"/>
    <x v="15"/>
    <x v="15"/>
    <x v="49"/>
    <x v="16"/>
    <x v="0"/>
    <x v="0"/>
    <x v="0"/>
    <x v="0"/>
    <x v="196"/>
    <x v="45"/>
    <s v="supplier@gmail.com"/>
  </r>
  <r>
    <x v="1243"/>
    <x v="1243"/>
    <x v="16"/>
    <x v="17"/>
    <x v="42"/>
    <x v="19"/>
    <x v="30"/>
    <x v="25"/>
    <x v="26"/>
    <x v="19"/>
    <x v="17"/>
    <x v="0"/>
    <x v="226"/>
    <x v="81"/>
    <s v="supplier@gmail.com"/>
  </r>
  <r>
    <x v="1244"/>
    <x v="1244"/>
    <x v="44"/>
    <x v="15"/>
    <x v="34"/>
    <x v="159"/>
    <x v="27"/>
    <x v="34"/>
    <x v="35"/>
    <x v="129"/>
    <x v="30"/>
    <x v="0"/>
    <x v="154"/>
    <x v="187"/>
    <s v="supplier@gmail.com"/>
  </r>
  <r>
    <x v="1245"/>
    <x v="1245"/>
    <x v="93"/>
    <x v="86"/>
    <x v="6"/>
    <x v="34"/>
    <x v="32"/>
    <x v="33"/>
    <x v="77"/>
    <x v="26"/>
    <x v="27"/>
    <x v="0"/>
    <x v="169"/>
    <x v="102"/>
    <s v="supplier@gmail.com"/>
  </r>
  <r>
    <x v="1246"/>
    <x v="1246"/>
    <x v="44"/>
    <x v="15"/>
    <x v="34"/>
    <x v="159"/>
    <x v="27"/>
    <x v="34"/>
    <x v="35"/>
    <x v="129"/>
    <x v="30"/>
    <x v="0"/>
    <x v="38"/>
    <x v="179"/>
    <s v="supplier@gmail.com"/>
  </r>
  <r>
    <x v="1247"/>
    <x v="1247"/>
    <x v="49"/>
    <x v="36"/>
    <x v="15"/>
    <x v="15"/>
    <x v="49"/>
    <x v="16"/>
    <x v="0"/>
    <x v="0"/>
    <x v="0"/>
    <x v="0"/>
    <x v="13"/>
    <x v="72"/>
    <s v="supplier@gmail.com"/>
  </r>
  <r>
    <x v="1248"/>
    <x v="1248"/>
    <x v="49"/>
    <x v="36"/>
    <x v="15"/>
    <x v="15"/>
    <x v="49"/>
    <x v="16"/>
    <x v="0"/>
    <x v="0"/>
    <x v="0"/>
    <x v="0"/>
    <x v="444"/>
    <x v="140"/>
    <s v="supplier@gmail.com"/>
  </r>
  <r>
    <x v="1249"/>
    <x v="1249"/>
    <x v="36"/>
    <x v="125"/>
    <x v="35"/>
    <x v="125"/>
    <x v="23"/>
    <x v="70"/>
    <x v="25"/>
    <x v="42"/>
    <x v="31"/>
    <x v="0"/>
    <x v="516"/>
    <x v="196"/>
    <s v="supplier@gmail.com"/>
  </r>
  <r>
    <x v="1250"/>
    <x v="1250"/>
    <x v="36"/>
    <x v="125"/>
    <x v="35"/>
    <x v="125"/>
    <x v="23"/>
    <x v="70"/>
    <x v="25"/>
    <x v="42"/>
    <x v="31"/>
    <x v="0"/>
    <x v="125"/>
    <x v="102"/>
    <s v="supplier@gmail.com"/>
  </r>
  <r>
    <x v="1251"/>
    <x v="1251"/>
    <x v="44"/>
    <x v="1"/>
    <x v="42"/>
    <x v="19"/>
    <x v="27"/>
    <x v="8"/>
    <x v="8"/>
    <x v="12"/>
    <x v="8"/>
    <x v="0"/>
    <x v="32"/>
    <x v="28"/>
    <s v="supplier@gmail.com"/>
  </r>
  <r>
    <x v="1252"/>
    <x v="1252"/>
    <x v="4"/>
    <x v="1"/>
    <x v="35"/>
    <x v="15"/>
    <x v="12"/>
    <x v="8"/>
    <x v="8"/>
    <x v="12"/>
    <x v="8"/>
    <x v="0"/>
    <x v="131"/>
    <x v="87"/>
    <s v="supplier@gmail.com"/>
  </r>
  <r>
    <x v="1253"/>
    <x v="1253"/>
    <x v="93"/>
    <x v="15"/>
    <x v="71"/>
    <x v="19"/>
    <x v="25"/>
    <x v="25"/>
    <x v="8"/>
    <x v="26"/>
    <x v="8"/>
    <x v="0"/>
    <x v="166"/>
    <x v="177"/>
    <s v="supplier@gmail.com"/>
  </r>
  <r>
    <x v="1254"/>
    <x v="1254"/>
    <x v="93"/>
    <x v="15"/>
    <x v="71"/>
    <x v="19"/>
    <x v="25"/>
    <x v="25"/>
    <x v="8"/>
    <x v="26"/>
    <x v="8"/>
    <x v="0"/>
    <x v="378"/>
    <x v="193"/>
    <s v="supplier@gmail.com"/>
  </r>
  <r>
    <x v="1255"/>
    <x v="1255"/>
    <x v="106"/>
    <x v="76"/>
    <x v="260"/>
    <x v="38"/>
    <x v="138"/>
    <x v="135"/>
    <x v="8"/>
    <x v="101"/>
    <x v="8"/>
    <x v="0"/>
    <x v="159"/>
    <x v="195"/>
    <s v="supplier@gmail.com"/>
  </r>
  <r>
    <x v="1256"/>
    <x v="1256"/>
    <x v="82"/>
    <x v="0"/>
    <x v="36"/>
    <x v="15"/>
    <x v="27"/>
    <x v="16"/>
    <x v="8"/>
    <x v="25"/>
    <x v="8"/>
    <x v="0"/>
    <x v="111"/>
    <x v="100"/>
    <s v="supplier@gmail.com"/>
  </r>
  <r>
    <x v="1257"/>
    <x v="1257"/>
    <x v="82"/>
    <x v="0"/>
    <x v="36"/>
    <x v="15"/>
    <x v="27"/>
    <x v="16"/>
    <x v="8"/>
    <x v="25"/>
    <x v="8"/>
    <x v="0"/>
    <x v="517"/>
    <x v="101"/>
    <s v="supplier@gmail.com"/>
  </r>
  <r>
    <x v="1258"/>
    <x v="1258"/>
    <x v="27"/>
    <x v="28"/>
    <x v="29"/>
    <x v="1"/>
    <x v="49"/>
    <x v="8"/>
    <x v="8"/>
    <x v="12"/>
    <x v="8"/>
    <x v="0"/>
    <x v="518"/>
    <x v="129"/>
    <s v="supplier@gmail.com"/>
  </r>
  <r>
    <x v="1259"/>
    <x v="1259"/>
    <x v="27"/>
    <x v="28"/>
    <x v="29"/>
    <x v="1"/>
    <x v="49"/>
    <x v="8"/>
    <x v="8"/>
    <x v="12"/>
    <x v="8"/>
    <x v="0"/>
    <x v="1"/>
    <x v="164"/>
    <s v="supplier@gmail.com"/>
  </r>
  <r>
    <x v="1260"/>
    <x v="1260"/>
    <x v="0"/>
    <x v="66"/>
    <x v="261"/>
    <x v="1"/>
    <x v="12"/>
    <x v="33"/>
    <x v="8"/>
    <x v="12"/>
    <x v="8"/>
    <x v="0"/>
    <x v="354"/>
    <x v="158"/>
    <s v="supplier@gmail.com"/>
  </r>
  <r>
    <x v="1261"/>
    <x v="1261"/>
    <x v="20"/>
    <x v="0"/>
    <x v="4"/>
    <x v="1"/>
    <x v="12"/>
    <x v="8"/>
    <x v="8"/>
    <x v="14"/>
    <x v="8"/>
    <x v="0"/>
    <x v="3"/>
    <x v="3"/>
    <s v="supplier@gmail.com"/>
  </r>
  <r>
    <x v="1262"/>
    <x v="1262"/>
    <x v="262"/>
    <x v="1"/>
    <x v="4"/>
    <x v="36"/>
    <x v="21"/>
    <x v="39"/>
    <x v="8"/>
    <x v="13"/>
    <x v="32"/>
    <x v="0"/>
    <x v="99"/>
    <x v="0"/>
    <s v="supplier@gmail.com"/>
  </r>
  <r>
    <x v="1263"/>
    <x v="1263"/>
    <x v="27"/>
    <x v="44"/>
    <x v="4"/>
    <x v="36"/>
    <x v="245"/>
    <x v="8"/>
    <x v="8"/>
    <x v="12"/>
    <x v="32"/>
    <x v="0"/>
    <x v="1"/>
    <x v="7"/>
    <s v="supplier@gmail.com"/>
  </r>
  <r>
    <x v="1264"/>
    <x v="1264"/>
    <x v="18"/>
    <x v="1"/>
    <x v="30"/>
    <x v="1"/>
    <x v="12"/>
    <x v="26"/>
    <x v="8"/>
    <x v="26"/>
    <x v="8"/>
    <x v="0"/>
    <x v="43"/>
    <x v="142"/>
    <s v="supplier@gmail.com"/>
  </r>
  <r>
    <x v="1265"/>
    <x v="1265"/>
    <x v="44"/>
    <x v="1"/>
    <x v="149"/>
    <x v="31"/>
    <x v="27"/>
    <x v="8"/>
    <x v="8"/>
    <x v="12"/>
    <x v="8"/>
    <x v="0"/>
    <x v="30"/>
    <x v="174"/>
    <s v="supplier@gmail.com"/>
  </r>
  <r>
    <x v="1266"/>
    <x v="1266"/>
    <x v="4"/>
    <x v="32"/>
    <x v="4"/>
    <x v="1"/>
    <x v="12"/>
    <x v="8"/>
    <x v="8"/>
    <x v="12"/>
    <x v="8"/>
    <x v="0"/>
    <x v="1"/>
    <x v="114"/>
    <s v="supplier@gmail.com"/>
  </r>
  <r>
    <x v="1267"/>
    <x v="1267"/>
    <x v="4"/>
    <x v="1"/>
    <x v="4"/>
    <x v="1"/>
    <x v="12"/>
    <x v="8"/>
    <x v="8"/>
    <x v="12"/>
    <x v="8"/>
    <x v="0"/>
    <x v="164"/>
    <x v="2"/>
    <s v="supplier@gmail.com"/>
  </r>
  <r>
    <x v="1268"/>
    <x v="1268"/>
    <x v="49"/>
    <x v="36"/>
    <x v="15"/>
    <x v="15"/>
    <x v="49"/>
    <x v="16"/>
    <x v="0"/>
    <x v="0"/>
    <x v="0"/>
    <x v="0"/>
    <x v="164"/>
    <x v="66"/>
    <s v="supplier@gmail.com"/>
  </r>
  <r>
    <x v="1269"/>
    <x v="1269"/>
    <x v="49"/>
    <x v="36"/>
    <x v="15"/>
    <x v="15"/>
    <x v="49"/>
    <x v="16"/>
    <x v="0"/>
    <x v="0"/>
    <x v="0"/>
    <x v="0"/>
    <x v="164"/>
    <x v="57"/>
    <s v="supplier@gmail.com"/>
  </r>
  <r>
    <x v="1270"/>
    <x v="1270"/>
    <x v="49"/>
    <x v="36"/>
    <x v="15"/>
    <x v="15"/>
    <x v="49"/>
    <x v="16"/>
    <x v="0"/>
    <x v="0"/>
    <x v="0"/>
    <x v="0"/>
    <x v="30"/>
    <x v="142"/>
    <s v="supplier@gmail.com"/>
  </r>
  <r>
    <x v="1271"/>
    <x v="1271"/>
    <x v="49"/>
    <x v="36"/>
    <x v="15"/>
    <x v="15"/>
    <x v="49"/>
    <x v="16"/>
    <x v="0"/>
    <x v="0"/>
    <x v="0"/>
    <x v="0"/>
    <x v="159"/>
    <x v="115"/>
    <s v="supplier@gmail.com"/>
  </r>
  <r>
    <x v="1272"/>
    <x v="1272"/>
    <x v="16"/>
    <x v="17"/>
    <x v="42"/>
    <x v="19"/>
    <x v="30"/>
    <x v="25"/>
    <x v="26"/>
    <x v="19"/>
    <x v="17"/>
    <x v="0"/>
    <x v="375"/>
    <x v="177"/>
    <s v="supplier@gmail.com"/>
  </r>
  <r>
    <x v="1273"/>
    <x v="1273"/>
    <x v="49"/>
    <x v="36"/>
    <x v="15"/>
    <x v="15"/>
    <x v="49"/>
    <x v="16"/>
    <x v="0"/>
    <x v="0"/>
    <x v="0"/>
    <x v="0"/>
    <x v="159"/>
    <x v="112"/>
    <s v="supplier@gmail.com"/>
  </r>
  <r>
    <x v="1274"/>
    <x v="1274"/>
    <x v="49"/>
    <x v="36"/>
    <x v="15"/>
    <x v="15"/>
    <x v="49"/>
    <x v="16"/>
    <x v="0"/>
    <x v="0"/>
    <x v="0"/>
    <x v="0"/>
    <x v="516"/>
    <x v="98"/>
    <s v="supplier@gmail.com"/>
  </r>
  <r>
    <x v="1275"/>
    <x v="1275"/>
    <x v="49"/>
    <x v="36"/>
    <x v="15"/>
    <x v="15"/>
    <x v="49"/>
    <x v="16"/>
    <x v="0"/>
    <x v="0"/>
    <x v="0"/>
    <x v="0"/>
    <x v="30"/>
    <x v="175"/>
    <s v="supplier@gmail.com"/>
  </r>
  <r>
    <x v="1276"/>
    <x v="1276"/>
    <x v="49"/>
    <x v="36"/>
    <x v="15"/>
    <x v="15"/>
    <x v="49"/>
    <x v="16"/>
    <x v="0"/>
    <x v="0"/>
    <x v="0"/>
    <x v="0"/>
    <x v="164"/>
    <x v="190"/>
    <s v="supplier@gmail.com"/>
  </r>
  <r>
    <x v="1277"/>
    <x v="1277"/>
    <x v="49"/>
    <x v="36"/>
    <x v="15"/>
    <x v="15"/>
    <x v="49"/>
    <x v="16"/>
    <x v="0"/>
    <x v="0"/>
    <x v="0"/>
    <x v="0"/>
    <x v="164"/>
    <x v="116"/>
    <s v="supplier@gmail.com"/>
  </r>
  <r>
    <x v="1278"/>
    <x v="1278"/>
    <x v="49"/>
    <x v="36"/>
    <x v="15"/>
    <x v="15"/>
    <x v="49"/>
    <x v="16"/>
    <x v="0"/>
    <x v="0"/>
    <x v="0"/>
    <x v="0"/>
    <x v="164"/>
    <x v="104"/>
    <s v="supplier@gmail.com"/>
  </r>
  <r>
    <x v="1279"/>
    <x v="1279"/>
    <x v="49"/>
    <x v="36"/>
    <x v="15"/>
    <x v="15"/>
    <x v="49"/>
    <x v="16"/>
    <x v="0"/>
    <x v="0"/>
    <x v="0"/>
    <x v="0"/>
    <x v="164"/>
    <x v="108"/>
    <s v="supplier@gmail.com"/>
  </r>
  <r>
    <x v="1280"/>
    <x v="1280"/>
    <x v="49"/>
    <x v="36"/>
    <x v="15"/>
    <x v="15"/>
    <x v="49"/>
    <x v="16"/>
    <x v="0"/>
    <x v="0"/>
    <x v="0"/>
    <x v="0"/>
    <x v="30"/>
    <x v="102"/>
    <s v="supplier@gmail.com"/>
  </r>
  <r>
    <x v="1281"/>
    <x v="1281"/>
    <x v="49"/>
    <x v="36"/>
    <x v="15"/>
    <x v="15"/>
    <x v="49"/>
    <x v="16"/>
    <x v="0"/>
    <x v="0"/>
    <x v="0"/>
    <x v="0"/>
    <x v="164"/>
    <x v="187"/>
    <s v="supplier@gmail.com"/>
  </r>
  <r>
    <x v="1282"/>
    <x v="1282"/>
    <x v="49"/>
    <x v="36"/>
    <x v="15"/>
    <x v="15"/>
    <x v="49"/>
    <x v="16"/>
    <x v="0"/>
    <x v="0"/>
    <x v="0"/>
    <x v="0"/>
    <x v="164"/>
    <x v="95"/>
    <s v="supplier@gmail.com"/>
  </r>
  <r>
    <x v="1283"/>
    <x v="1283"/>
    <x v="49"/>
    <x v="36"/>
    <x v="15"/>
    <x v="15"/>
    <x v="49"/>
    <x v="16"/>
    <x v="0"/>
    <x v="0"/>
    <x v="0"/>
    <x v="0"/>
    <x v="164"/>
    <x v="40"/>
    <s v="supplier@gmail.com"/>
  </r>
  <r>
    <x v="1284"/>
    <x v="1284"/>
    <x v="49"/>
    <x v="36"/>
    <x v="15"/>
    <x v="15"/>
    <x v="49"/>
    <x v="16"/>
    <x v="0"/>
    <x v="0"/>
    <x v="0"/>
    <x v="0"/>
    <x v="164"/>
    <x v="167"/>
    <s v="supplier@gmail.com"/>
  </r>
  <r>
    <x v="1285"/>
    <x v="1285"/>
    <x v="49"/>
    <x v="36"/>
    <x v="15"/>
    <x v="15"/>
    <x v="49"/>
    <x v="16"/>
    <x v="0"/>
    <x v="0"/>
    <x v="0"/>
    <x v="0"/>
    <x v="30"/>
    <x v="144"/>
    <s v="supplier@gmail.com"/>
  </r>
  <r>
    <x v="1286"/>
    <x v="1286"/>
    <x v="49"/>
    <x v="36"/>
    <x v="15"/>
    <x v="15"/>
    <x v="49"/>
    <x v="16"/>
    <x v="0"/>
    <x v="0"/>
    <x v="0"/>
    <x v="0"/>
    <x v="164"/>
    <x v="97"/>
    <s v="supplier@gmail.com"/>
  </r>
  <r>
    <x v="1287"/>
    <x v="1287"/>
    <x v="49"/>
    <x v="36"/>
    <x v="15"/>
    <x v="15"/>
    <x v="49"/>
    <x v="16"/>
    <x v="0"/>
    <x v="0"/>
    <x v="0"/>
    <x v="0"/>
    <x v="164"/>
    <x v="89"/>
    <s v="supplier@gmail.com"/>
  </r>
  <r>
    <x v="1288"/>
    <x v="1288"/>
    <x v="49"/>
    <x v="36"/>
    <x v="15"/>
    <x v="15"/>
    <x v="49"/>
    <x v="16"/>
    <x v="0"/>
    <x v="0"/>
    <x v="0"/>
    <x v="0"/>
    <x v="30"/>
    <x v="12"/>
    <s v="supplier@gmail.com"/>
  </r>
  <r>
    <x v="1289"/>
    <x v="1289"/>
    <x v="49"/>
    <x v="36"/>
    <x v="15"/>
    <x v="15"/>
    <x v="49"/>
    <x v="16"/>
    <x v="0"/>
    <x v="0"/>
    <x v="0"/>
    <x v="0"/>
    <x v="111"/>
    <x v="84"/>
    <s v="supplier@gmail.com"/>
  </r>
  <r>
    <x v="1290"/>
    <x v="1290"/>
    <x v="49"/>
    <x v="36"/>
    <x v="15"/>
    <x v="15"/>
    <x v="49"/>
    <x v="16"/>
    <x v="0"/>
    <x v="0"/>
    <x v="0"/>
    <x v="0"/>
    <x v="111"/>
    <x v="179"/>
    <s v="supplier@gmail.com"/>
  </r>
  <r>
    <x v="1291"/>
    <x v="1291"/>
    <x v="36"/>
    <x v="125"/>
    <x v="35"/>
    <x v="125"/>
    <x v="23"/>
    <x v="70"/>
    <x v="25"/>
    <x v="42"/>
    <x v="31"/>
    <x v="0"/>
    <x v="312"/>
    <x v="9"/>
    <s v="supplier@gmail.com"/>
  </r>
  <r>
    <x v="1292"/>
    <x v="1292"/>
    <x v="36"/>
    <x v="125"/>
    <x v="35"/>
    <x v="125"/>
    <x v="23"/>
    <x v="70"/>
    <x v="25"/>
    <x v="42"/>
    <x v="31"/>
    <x v="0"/>
    <x v="35"/>
    <x v="98"/>
    <s v="supplier@gmail.com"/>
  </r>
  <r>
    <x v="1293"/>
    <x v="1293"/>
    <x v="36"/>
    <x v="125"/>
    <x v="35"/>
    <x v="125"/>
    <x v="23"/>
    <x v="70"/>
    <x v="25"/>
    <x v="42"/>
    <x v="31"/>
    <x v="0"/>
    <x v="33"/>
    <x v="139"/>
    <s v="supplier@gmail.com"/>
  </r>
  <r>
    <x v="1294"/>
    <x v="1294"/>
    <x v="36"/>
    <x v="125"/>
    <x v="35"/>
    <x v="125"/>
    <x v="23"/>
    <x v="70"/>
    <x v="25"/>
    <x v="42"/>
    <x v="31"/>
    <x v="0"/>
    <x v="111"/>
    <x v="29"/>
    <s v="supplier@gmail.com"/>
  </r>
  <r>
    <x v="1295"/>
    <x v="1295"/>
    <x v="36"/>
    <x v="125"/>
    <x v="35"/>
    <x v="125"/>
    <x v="23"/>
    <x v="70"/>
    <x v="25"/>
    <x v="42"/>
    <x v="31"/>
    <x v="0"/>
    <x v="160"/>
    <x v="53"/>
    <s v="supplier@gmail.com"/>
  </r>
  <r>
    <x v="1296"/>
    <x v="1296"/>
    <x v="36"/>
    <x v="125"/>
    <x v="35"/>
    <x v="125"/>
    <x v="23"/>
    <x v="70"/>
    <x v="25"/>
    <x v="42"/>
    <x v="31"/>
    <x v="0"/>
    <x v="34"/>
    <x v="57"/>
    <s v="supplier@gmail.com"/>
  </r>
  <r>
    <x v="1297"/>
    <x v="1297"/>
    <x v="36"/>
    <x v="125"/>
    <x v="35"/>
    <x v="125"/>
    <x v="23"/>
    <x v="70"/>
    <x v="25"/>
    <x v="42"/>
    <x v="31"/>
    <x v="0"/>
    <x v="111"/>
    <x v="181"/>
    <s v="supplier@gmail.com"/>
  </r>
  <r>
    <x v="1298"/>
    <x v="1298"/>
    <x v="36"/>
    <x v="125"/>
    <x v="35"/>
    <x v="125"/>
    <x v="23"/>
    <x v="70"/>
    <x v="25"/>
    <x v="42"/>
    <x v="31"/>
    <x v="0"/>
    <x v="312"/>
    <x v="127"/>
    <s v="supplier@gmail.com"/>
  </r>
  <r>
    <x v="1299"/>
    <x v="1299"/>
    <x v="36"/>
    <x v="125"/>
    <x v="35"/>
    <x v="125"/>
    <x v="23"/>
    <x v="70"/>
    <x v="25"/>
    <x v="42"/>
    <x v="31"/>
    <x v="0"/>
    <x v="111"/>
    <x v="51"/>
    <s v="supplier@gmail.com"/>
  </r>
  <r>
    <x v="1300"/>
    <x v="1300"/>
    <x v="36"/>
    <x v="125"/>
    <x v="35"/>
    <x v="125"/>
    <x v="23"/>
    <x v="70"/>
    <x v="25"/>
    <x v="42"/>
    <x v="31"/>
    <x v="0"/>
    <x v="111"/>
    <x v="148"/>
    <s v="supplier@gmail.com"/>
  </r>
  <r>
    <x v="1301"/>
    <x v="1301"/>
    <x v="36"/>
    <x v="125"/>
    <x v="35"/>
    <x v="125"/>
    <x v="23"/>
    <x v="70"/>
    <x v="25"/>
    <x v="42"/>
    <x v="31"/>
    <x v="0"/>
    <x v="519"/>
    <x v="22"/>
    <s v="supplier@gmail.com"/>
  </r>
  <r>
    <x v="1302"/>
    <x v="1302"/>
    <x v="4"/>
    <x v="1"/>
    <x v="4"/>
    <x v="1"/>
    <x v="12"/>
    <x v="8"/>
    <x v="8"/>
    <x v="12"/>
    <x v="8"/>
    <x v="0"/>
    <x v="520"/>
    <x v="42"/>
    <s v="supplier@gmail.com"/>
  </r>
  <r>
    <x v="1303"/>
    <x v="1303"/>
    <x v="4"/>
    <x v="1"/>
    <x v="4"/>
    <x v="1"/>
    <x v="12"/>
    <x v="8"/>
    <x v="8"/>
    <x v="12"/>
    <x v="8"/>
    <x v="0"/>
    <x v="3"/>
    <x v="51"/>
    <s v="supplier@gmail.com"/>
  </r>
  <r>
    <x v="1304"/>
    <x v="1304"/>
    <x v="4"/>
    <x v="1"/>
    <x v="4"/>
    <x v="1"/>
    <x v="12"/>
    <x v="8"/>
    <x v="8"/>
    <x v="12"/>
    <x v="8"/>
    <x v="0"/>
    <x v="521"/>
    <x v="70"/>
    <s v="supplier@gmail.com"/>
  </r>
  <r>
    <x v="1305"/>
    <x v="1305"/>
    <x v="4"/>
    <x v="1"/>
    <x v="4"/>
    <x v="1"/>
    <x v="12"/>
    <x v="8"/>
    <x v="6"/>
    <x v="12"/>
    <x v="8"/>
    <x v="0"/>
    <x v="122"/>
    <x v="175"/>
    <s v="supplier@gmail.com"/>
  </r>
  <r>
    <x v="1306"/>
    <x v="1306"/>
    <x v="4"/>
    <x v="1"/>
    <x v="4"/>
    <x v="1"/>
    <x v="12"/>
    <x v="8"/>
    <x v="8"/>
    <x v="12"/>
    <x v="8"/>
    <x v="0"/>
    <x v="105"/>
    <x v="183"/>
    <s v="supplier@gmail.com"/>
  </r>
  <r>
    <x v="1307"/>
    <x v="1307"/>
    <x v="7"/>
    <x v="11"/>
    <x v="12"/>
    <x v="10"/>
    <x v="9"/>
    <x v="13"/>
    <x v="9"/>
    <x v="1"/>
    <x v="13"/>
    <x v="0"/>
    <x v="522"/>
    <x v="26"/>
    <s v="supplier@gmail.com"/>
  </r>
  <r>
    <x v="1308"/>
    <x v="1308"/>
    <x v="10"/>
    <x v="224"/>
    <x v="73"/>
    <x v="5"/>
    <x v="246"/>
    <x v="127"/>
    <x v="157"/>
    <x v="23"/>
    <x v="204"/>
    <x v="0"/>
    <x v="26"/>
    <x v="109"/>
    <s v="supplier@gmail.com"/>
  </r>
  <r>
    <x v="1309"/>
    <x v="1309"/>
    <x v="124"/>
    <x v="1"/>
    <x v="4"/>
    <x v="1"/>
    <x v="12"/>
    <x v="8"/>
    <x v="8"/>
    <x v="12"/>
    <x v="8"/>
    <x v="0"/>
    <x v="164"/>
    <x v="175"/>
    <s v="supplier@gmail.com"/>
  </r>
  <r>
    <x v="1310"/>
    <x v="1310"/>
    <x v="263"/>
    <x v="225"/>
    <x v="262"/>
    <x v="266"/>
    <x v="247"/>
    <x v="220"/>
    <x v="218"/>
    <x v="228"/>
    <x v="205"/>
    <x v="0"/>
    <x v="1"/>
    <x v="167"/>
    <s v="supplier@gmail.com"/>
  </r>
  <r>
    <x v="1311"/>
    <x v="1311"/>
    <x v="4"/>
    <x v="1"/>
    <x v="4"/>
    <x v="73"/>
    <x v="12"/>
    <x v="8"/>
    <x v="8"/>
    <x v="19"/>
    <x v="8"/>
    <x v="0"/>
    <x v="179"/>
    <x v="30"/>
    <s v="supplier@gmail.com"/>
  </r>
  <r>
    <x v="1312"/>
    <x v="1312"/>
    <x v="4"/>
    <x v="1"/>
    <x v="4"/>
    <x v="73"/>
    <x v="12"/>
    <x v="8"/>
    <x v="8"/>
    <x v="19"/>
    <x v="8"/>
    <x v="0"/>
    <x v="523"/>
    <x v="107"/>
    <s v="supplier@gmail.com"/>
  </r>
  <r>
    <x v="1313"/>
    <x v="1313"/>
    <x v="4"/>
    <x v="1"/>
    <x v="4"/>
    <x v="73"/>
    <x v="12"/>
    <x v="8"/>
    <x v="8"/>
    <x v="19"/>
    <x v="8"/>
    <x v="0"/>
    <x v="524"/>
    <x v="25"/>
    <s v="supplier@gmail.com"/>
  </r>
  <r>
    <x v="1314"/>
    <x v="1314"/>
    <x v="44"/>
    <x v="1"/>
    <x v="30"/>
    <x v="31"/>
    <x v="27"/>
    <x v="8"/>
    <x v="8"/>
    <x v="12"/>
    <x v="8"/>
    <x v="0"/>
    <x v="192"/>
    <x v="187"/>
    <s v="supplier@gmail.com"/>
  </r>
  <r>
    <x v="1315"/>
    <x v="1315"/>
    <x v="4"/>
    <x v="1"/>
    <x v="4"/>
    <x v="0"/>
    <x v="12"/>
    <x v="8"/>
    <x v="8"/>
    <x v="19"/>
    <x v="8"/>
    <x v="0"/>
    <x v="86"/>
    <x v="51"/>
    <s v="supplier@gmail.com"/>
  </r>
  <r>
    <x v="1316"/>
    <x v="1316"/>
    <x v="36"/>
    <x v="1"/>
    <x v="6"/>
    <x v="0"/>
    <x v="49"/>
    <x v="8"/>
    <x v="0"/>
    <x v="43"/>
    <x v="8"/>
    <x v="0"/>
    <x v="145"/>
    <x v="81"/>
    <s v="supplier@gmail.com"/>
  </r>
  <r>
    <x v="1317"/>
    <x v="1317"/>
    <x v="36"/>
    <x v="1"/>
    <x v="6"/>
    <x v="0"/>
    <x v="49"/>
    <x v="8"/>
    <x v="0"/>
    <x v="43"/>
    <x v="8"/>
    <x v="0"/>
    <x v="525"/>
    <x v="77"/>
    <s v="supplier@gmail.com"/>
  </r>
  <r>
    <x v="1318"/>
    <x v="1318"/>
    <x v="4"/>
    <x v="1"/>
    <x v="4"/>
    <x v="1"/>
    <x v="12"/>
    <x v="8"/>
    <x v="8"/>
    <x v="12"/>
    <x v="8"/>
    <x v="0"/>
    <x v="164"/>
    <x v="180"/>
    <s v="supplier@gmail.com"/>
  </r>
  <r>
    <x v="1319"/>
    <x v="1319"/>
    <x v="4"/>
    <x v="1"/>
    <x v="4"/>
    <x v="1"/>
    <x v="12"/>
    <x v="8"/>
    <x v="8"/>
    <x v="12"/>
    <x v="8"/>
    <x v="0"/>
    <x v="47"/>
    <x v="130"/>
    <s v="supplier@gmail.com"/>
  </r>
  <r>
    <x v="1320"/>
    <x v="1320"/>
    <x v="4"/>
    <x v="1"/>
    <x v="4"/>
    <x v="1"/>
    <x v="12"/>
    <x v="8"/>
    <x v="8"/>
    <x v="12"/>
    <x v="8"/>
    <x v="0"/>
    <x v="51"/>
    <x v="171"/>
    <s v="supplier@gmail.com"/>
  </r>
  <r>
    <x v="1321"/>
    <x v="1321"/>
    <x v="4"/>
    <x v="1"/>
    <x v="4"/>
    <x v="1"/>
    <x v="12"/>
    <x v="8"/>
    <x v="8"/>
    <x v="12"/>
    <x v="8"/>
    <x v="0"/>
    <x v="526"/>
    <x v="6"/>
    <s v="supplier@gmail.com"/>
  </r>
  <r>
    <x v="1322"/>
    <x v="1322"/>
    <x v="4"/>
    <x v="1"/>
    <x v="4"/>
    <x v="1"/>
    <x v="6"/>
    <x v="221"/>
    <x v="8"/>
    <x v="65"/>
    <x v="8"/>
    <x v="0"/>
    <x v="444"/>
    <x v="41"/>
    <s v="supplier@gmail.com"/>
  </r>
  <r>
    <x v="1323"/>
    <x v="1323"/>
    <x v="16"/>
    <x v="17"/>
    <x v="17"/>
    <x v="17"/>
    <x v="30"/>
    <x v="18"/>
    <x v="27"/>
    <x v="32"/>
    <x v="23"/>
    <x v="0"/>
    <x v="267"/>
    <x v="185"/>
    <s v="supplier@gmail.com"/>
  </r>
  <r>
    <x v="1324"/>
    <x v="1324"/>
    <x v="44"/>
    <x v="15"/>
    <x v="15"/>
    <x v="15"/>
    <x v="27"/>
    <x v="16"/>
    <x v="26"/>
    <x v="19"/>
    <x v="17"/>
    <x v="0"/>
    <x v="103"/>
    <x v="142"/>
    <s v="supplier@gmail.com"/>
  </r>
  <r>
    <x v="1325"/>
    <x v="1325"/>
    <x v="4"/>
    <x v="1"/>
    <x v="4"/>
    <x v="1"/>
    <x v="12"/>
    <x v="8"/>
    <x v="8"/>
    <x v="12"/>
    <x v="8"/>
    <x v="0"/>
    <x v="527"/>
    <x v="162"/>
    <s v="supplier@gmail.com"/>
  </r>
  <r>
    <x v="1326"/>
    <x v="1326"/>
    <x v="4"/>
    <x v="1"/>
    <x v="4"/>
    <x v="1"/>
    <x v="0"/>
    <x v="0"/>
    <x v="0"/>
    <x v="12"/>
    <x v="8"/>
    <x v="0"/>
    <x v="164"/>
    <x v="3"/>
    <s v="supplier@gmail.com"/>
  </r>
  <r>
    <x v="1327"/>
    <x v="1327"/>
    <x v="4"/>
    <x v="1"/>
    <x v="4"/>
    <x v="1"/>
    <x v="12"/>
    <x v="8"/>
    <x v="8"/>
    <x v="12"/>
    <x v="8"/>
    <x v="0"/>
    <x v="32"/>
    <x v="108"/>
    <s v="supplier@gmail.com"/>
  </r>
  <r>
    <x v="1328"/>
    <x v="1328"/>
    <x v="44"/>
    <x v="15"/>
    <x v="0"/>
    <x v="15"/>
    <x v="0"/>
    <x v="18"/>
    <x v="26"/>
    <x v="0"/>
    <x v="17"/>
    <x v="0"/>
    <x v="111"/>
    <x v="99"/>
    <s v="supplier@gmail.com"/>
  </r>
  <r>
    <x v="1329"/>
    <x v="1329"/>
    <x v="30"/>
    <x v="108"/>
    <x v="28"/>
    <x v="38"/>
    <x v="138"/>
    <x v="135"/>
    <x v="36"/>
    <x v="30"/>
    <x v="19"/>
    <x v="0"/>
    <x v="375"/>
    <x v="17"/>
    <s v="supplier@gmail.com"/>
  </r>
  <r>
    <x v="1330"/>
    <x v="1330"/>
    <x v="82"/>
    <x v="0"/>
    <x v="0"/>
    <x v="1"/>
    <x v="0"/>
    <x v="8"/>
    <x v="26"/>
    <x v="12"/>
    <x v="8"/>
    <x v="0"/>
    <x v="447"/>
    <x v="102"/>
    <s v="supplier@gmail.com"/>
  </r>
  <r>
    <x v="1331"/>
    <x v="1331"/>
    <x v="4"/>
    <x v="1"/>
    <x v="0"/>
    <x v="1"/>
    <x v="12"/>
    <x v="8"/>
    <x v="0"/>
    <x v="12"/>
    <x v="8"/>
    <x v="0"/>
    <x v="1"/>
    <x v="112"/>
    <s v="supplier@gmail.com"/>
  </r>
  <r>
    <x v="1332"/>
    <x v="1332"/>
    <x v="4"/>
    <x v="1"/>
    <x v="4"/>
    <x v="1"/>
    <x v="12"/>
    <x v="8"/>
    <x v="8"/>
    <x v="12"/>
    <x v="8"/>
    <x v="0"/>
    <x v="1"/>
    <x v="139"/>
    <s v="supplier@gmail.com"/>
  </r>
  <r>
    <x v="1333"/>
    <x v="1333"/>
    <x v="4"/>
    <x v="1"/>
    <x v="4"/>
    <x v="1"/>
    <x v="12"/>
    <x v="8"/>
    <x v="8"/>
    <x v="12"/>
    <x v="8"/>
    <x v="0"/>
    <x v="1"/>
    <x v="86"/>
    <s v="supplier@gmail.com"/>
  </r>
  <r>
    <x v="1334"/>
    <x v="1334"/>
    <x v="264"/>
    <x v="1"/>
    <x v="5"/>
    <x v="125"/>
    <x v="31"/>
    <x v="8"/>
    <x v="26"/>
    <x v="42"/>
    <x v="31"/>
    <x v="0"/>
    <x v="1"/>
    <x v="3"/>
    <s v="supplier@gmail.com"/>
  </r>
  <r>
    <x v="1335"/>
    <x v="1335"/>
    <x v="264"/>
    <x v="1"/>
    <x v="5"/>
    <x v="125"/>
    <x v="31"/>
    <x v="8"/>
    <x v="26"/>
    <x v="42"/>
    <x v="31"/>
    <x v="0"/>
    <x v="470"/>
    <x v="114"/>
    <s v="supplier@gmail.com"/>
  </r>
  <r>
    <x v="1336"/>
    <x v="1336"/>
    <x v="17"/>
    <x v="16"/>
    <x v="16"/>
    <x v="16"/>
    <x v="12"/>
    <x v="8"/>
    <x v="8"/>
    <x v="12"/>
    <x v="8"/>
    <x v="0"/>
    <x v="470"/>
    <x v="101"/>
    <s v="supplier@gmail.com"/>
  </r>
  <r>
    <x v="1337"/>
    <x v="1337"/>
    <x v="17"/>
    <x v="16"/>
    <x v="16"/>
    <x v="16"/>
    <x v="12"/>
    <x v="8"/>
    <x v="8"/>
    <x v="12"/>
    <x v="8"/>
    <x v="0"/>
    <x v="455"/>
    <x v="159"/>
    <s v="supplier@gmail.com"/>
  </r>
  <r>
    <x v="1338"/>
    <x v="1338"/>
    <x v="41"/>
    <x v="39"/>
    <x v="44"/>
    <x v="44"/>
    <x v="42"/>
    <x v="43"/>
    <x v="146"/>
    <x v="151"/>
    <x v="139"/>
    <x v="0"/>
    <x v="1"/>
    <x v="99"/>
    <s v="supplier@gmail.com"/>
  </r>
  <r>
    <x v="1339"/>
    <x v="1339"/>
    <x v="4"/>
    <x v="4"/>
    <x v="16"/>
    <x v="1"/>
    <x v="12"/>
    <x v="8"/>
    <x v="8"/>
    <x v="12"/>
    <x v="8"/>
    <x v="0"/>
    <x v="528"/>
    <x v="14"/>
    <s v="supplier@gmail.com"/>
  </r>
  <r>
    <x v="1340"/>
    <x v="1340"/>
    <x v="158"/>
    <x v="226"/>
    <x v="263"/>
    <x v="160"/>
    <x v="1"/>
    <x v="3"/>
    <x v="3"/>
    <x v="149"/>
    <x v="13"/>
    <x v="0"/>
    <x v="1"/>
    <x v="124"/>
    <s v="supplier@gmail.com"/>
  </r>
  <r>
    <x v="1341"/>
    <x v="1341"/>
    <x v="4"/>
    <x v="1"/>
    <x v="4"/>
    <x v="1"/>
    <x v="12"/>
    <x v="8"/>
    <x v="8"/>
    <x v="12"/>
    <x v="8"/>
    <x v="0"/>
    <x v="124"/>
    <x v="97"/>
    <s v="supplier@gmail.com"/>
  </r>
  <r>
    <x v="1342"/>
    <x v="1342"/>
    <x v="0"/>
    <x v="0"/>
    <x v="36"/>
    <x v="41"/>
    <x v="33"/>
    <x v="25"/>
    <x v="0"/>
    <x v="33"/>
    <x v="121"/>
    <x v="0"/>
    <x v="3"/>
    <x v="42"/>
    <s v="supplier@gmail.com"/>
  </r>
  <r>
    <x v="1343"/>
    <x v="1343"/>
    <x v="7"/>
    <x v="1"/>
    <x v="4"/>
    <x v="1"/>
    <x v="12"/>
    <x v="8"/>
    <x v="8"/>
    <x v="12"/>
    <x v="8"/>
    <x v="0"/>
    <x v="366"/>
    <x v="133"/>
    <s v="supplier@gmail.com"/>
  </r>
  <r>
    <x v="1344"/>
    <x v="1344"/>
    <x v="58"/>
    <x v="1"/>
    <x v="4"/>
    <x v="1"/>
    <x v="29"/>
    <x v="46"/>
    <x v="40"/>
    <x v="13"/>
    <x v="91"/>
    <x v="0"/>
    <x v="529"/>
    <x v="138"/>
    <s v="supplier@gmail.com"/>
  </r>
  <r>
    <x v="1345"/>
    <x v="1345"/>
    <x v="133"/>
    <x v="1"/>
    <x v="176"/>
    <x v="17"/>
    <x v="12"/>
    <x v="0"/>
    <x v="12"/>
    <x v="30"/>
    <x v="13"/>
    <x v="0"/>
    <x v="530"/>
    <x v="51"/>
    <s v="supplier@gmail.com"/>
  </r>
  <r>
    <x v="1346"/>
    <x v="1346"/>
    <x v="4"/>
    <x v="1"/>
    <x v="4"/>
    <x v="1"/>
    <x v="12"/>
    <x v="8"/>
    <x v="8"/>
    <x v="12"/>
    <x v="143"/>
    <x v="0"/>
    <x v="531"/>
    <x v="138"/>
    <s v="supplier@gmail.com"/>
  </r>
  <r>
    <x v="1347"/>
    <x v="1347"/>
    <x v="28"/>
    <x v="122"/>
    <x v="9"/>
    <x v="1"/>
    <x v="12"/>
    <x v="8"/>
    <x v="8"/>
    <x v="12"/>
    <x v="206"/>
    <x v="0"/>
    <x v="503"/>
    <x v="77"/>
    <s v="supplier@gmail.com"/>
  </r>
  <r>
    <x v="1348"/>
    <x v="1348"/>
    <x v="4"/>
    <x v="1"/>
    <x v="4"/>
    <x v="1"/>
    <x v="12"/>
    <x v="8"/>
    <x v="8"/>
    <x v="12"/>
    <x v="8"/>
    <x v="0"/>
    <x v="351"/>
    <x v="35"/>
    <s v="supplier@gmail.com"/>
  </r>
  <r>
    <x v="1349"/>
    <x v="1349"/>
    <x v="4"/>
    <x v="1"/>
    <x v="4"/>
    <x v="1"/>
    <x v="12"/>
    <x v="8"/>
    <x v="8"/>
    <x v="12"/>
    <x v="8"/>
    <x v="0"/>
    <x v="1"/>
    <x v="120"/>
    <s v="supplier@gmail.com"/>
  </r>
  <r>
    <x v="1350"/>
    <x v="1350"/>
    <x v="4"/>
    <x v="1"/>
    <x v="4"/>
    <x v="1"/>
    <x v="12"/>
    <x v="8"/>
    <x v="8"/>
    <x v="12"/>
    <x v="8"/>
    <x v="0"/>
    <x v="354"/>
    <x v="158"/>
    <s v="supplier@gmail.com"/>
  </r>
  <r>
    <x v="1351"/>
    <x v="1351"/>
    <x v="30"/>
    <x v="89"/>
    <x v="149"/>
    <x v="37"/>
    <x v="82"/>
    <x v="38"/>
    <x v="19"/>
    <x v="16"/>
    <x v="27"/>
    <x v="0"/>
    <x v="470"/>
    <x v="150"/>
    <s v="supplier@gmail.com"/>
  </r>
  <r>
    <x v="1352"/>
    <x v="1352"/>
    <x v="265"/>
    <x v="1"/>
    <x v="4"/>
    <x v="1"/>
    <x v="12"/>
    <x v="8"/>
    <x v="8"/>
    <x v="12"/>
    <x v="8"/>
    <x v="0"/>
    <x v="532"/>
    <x v="135"/>
    <s v="supplier@gmail.com"/>
  </r>
  <r>
    <x v="1353"/>
    <x v="1353"/>
    <x v="266"/>
    <x v="25"/>
    <x v="32"/>
    <x v="71"/>
    <x v="248"/>
    <x v="39"/>
    <x v="12"/>
    <x v="229"/>
    <x v="109"/>
    <x v="0"/>
    <x v="92"/>
    <x v="182"/>
    <s v="supplier@gmail.com"/>
  </r>
  <r>
    <x v="1354"/>
    <x v="1354"/>
    <x v="0"/>
    <x v="1"/>
    <x v="0"/>
    <x v="1"/>
    <x v="23"/>
    <x v="8"/>
    <x v="8"/>
    <x v="42"/>
    <x v="8"/>
    <x v="0"/>
    <x v="1"/>
    <x v="63"/>
    <s v="supplier@gmail.com"/>
  </r>
  <r>
    <x v="1355"/>
    <x v="1355"/>
    <x v="4"/>
    <x v="1"/>
    <x v="4"/>
    <x v="1"/>
    <x v="12"/>
    <x v="8"/>
    <x v="8"/>
    <x v="12"/>
    <x v="8"/>
    <x v="0"/>
    <x v="187"/>
    <x v="158"/>
    <s v="supplier@gmail.com"/>
  </r>
  <r>
    <x v="1356"/>
    <x v="1356"/>
    <x v="36"/>
    <x v="1"/>
    <x v="42"/>
    <x v="15"/>
    <x v="49"/>
    <x v="8"/>
    <x v="0"/>
    <x v="43"/>
    <x v="8"/>
    <x v="0"/>
    <x v="30"/>
    <x v="143"/>
    <s v="supplier@gmail.com"/>
  </r>
  <r>
    <x v="1357"/>
    <x v="1357"/>
    <x v="4"/>
    <x v="1"/>
    <x v="4"/>
    <x v="1"/>
    <x v="12"/>
    <x v="8"/>
    <x v="8"/>
    <x v="12"/>
    <x v="8"/>
    <x v="0"/>
    <x v="13"/>
    <x v="124"/>
    <s v="supplier@gmail.com"/>
  </r>
  <r>
    <x v="1358"/>
    <x v="1358"/>
    <x v="4"/>
    <x v="1"/>
    <x v="4"/>
    <x v="1"/>
    <x v="12"/>
    <x v="8"/>
    <x v="8"/>
    <x v="12"/>
    <x v="8"/>
    <x v="0"/>
    <x v="102"/>
    <x v="4"/>
    <s v="supplier@gmail.com"/>
  </r>
  <r>
    <x v="1359"/>
    <x v="1359"/>
    <x v="4"/>
    <x v="1"/>
    <x v="4"/>
    <x v="1"/>
    <x v="12"/>
    <x v="8"/>
    <x v="8"/>
    <x v="12"/>
    <x v="8"/>
    <x v="0"/>
    <x v="3"/>
    <x v="93"/>
    <s v="supplier@gmail.com"/>
  </r>
  <r>
    <x v="1360"/>
    <x v="1360"/>
    <x v="4"/>
    <x v="1"/>
    <x v="4"/>
    <x v="1"/>
    <x v="12"/>
    <x v="8"/>
    <x v="8"/>
    <x v="12"/>
    <x v="8"/>
    <x v="0"/>
    <x v="533"/>
    <x v="30"/>
    <s v="supplier@gmail.com"/>
  </r>
  <r>
    <x v="1361"/>
    <x v="1361"/>
    <x v="133"/>
    <x v="44"/>
    <x v="185"/>
    <x v="96"/>
    <x v="249"/>
    <x v="40"/>
    <x v="42"/>
    <x v="2"/>
    <x v="206"/>
    <x v="0"/>
    <x v="534"/>
    <x v="61"/>
    <s v="supplier@gmail.com"/>
  </r>
  <r>
    <x v="1362"/>
    <x v="1362"/>
    <x v="133"/>
    <x v="1"/>
    <x v="176"/>
    <x v="17"/>
    <x v="12"/>
    <x v="0"/>
    <x v="12"/>
    <x v="30"/>
    <x v="13"/>
    <x v="0"/>
    <x v="187"/>
    <x v="24"/>
    <s v="supplier@gmail.com"/>
  </r>
  <r>
    <x v="1363"/>
    <x v="1363"/>
    <x v="4"/>
    <x v="1"/>
    <x v="4"/>
    <x v="1"/>
    <x v="12"/>
    <x v="8"/>
    <x v="8"/>
    <x v="12"/>
    <x v="8"/>
    <x v="0"/>
    <x v="218"/>
    <x v="182"/>
    <s v="supplier@gmail.com"/>
  </r>
  <r>
    <x v="1364"/>
    <x v="1364"/>
    <x v="4"/>
    <x v="1"/>
    <x v="264"/>
    <x v="64"/>
    <x v="91"/>
    <x v="8"/>
    <x v="8"/>
    <x v="77"/>
    <x v="8"/>
    <x v="0"/>
    <x v="535"/>
    <x v="189"/>
    <s v="supplier@gmail.com"/>
  </r>
  <r>
    <x v="1365"/>
    <x v="1365"/>
    <x v="267"/>
    <x v="227"/>
    <x v="265"/>
    <x v="267"/>
    <x v="250"/>
    <x v="222"/>
    <x v="219"/>
    <x v="230"/>
    <x v="207"/>
    <x v="0"/>
    <x v="536"/>
    <x v="45"/>
    <s v="supplier@gmail.com"/>
  </r>
  <r>
    <x v="1366"/>
    <x v="1366"/>
    <x v="42"/>
    <x v="228"/>
    <x v="39"/>
    <x v="268"/>
    <x v="41"/>
    <x v="37"/>
    <x v="8"/>
    <x v="157"/>
    <x v="8"/>
    <x v="0"/>
    <x v="34"/>
    <x v="7"/>
    <s v="supplier@gmail.com"/>
  </r>
  <r>
    <x v="1367"/>
    <x v="1367"/>
    <x v="4"/>
    <x v="1"/>
    <x v="4"/>
    <x v="1"/>
    <x v="12"/>
    <x v="8"/>
    <x v="8"/>
    <x v="12"/>
    <x v="8"/>
    <x v="0"/>
    <x v="537"/>
    <x v="186"/>
    <s v="supplier@gmail.com"/>
  </r>
  <r>
    <x v="1368"/>
    <x v="1368"/>
    <x v="268"/>
    <x v="229"/>
    <x v="266"/>
    <x v="187"/>
    <x v="171"/>
    <x v="159"/>
    <x v="220"/>
    <x v="159"/>
    <x v="144"/>
    <x v="0"/>
    <x v="1"/>
    <x v="74"/>
    <s v="supplier@gmail.com"/>
  </r>
  <r>
    <x v="1369"/>
    <x v="1369"/>
    <x v="269"/>
    <x v="1"/>
    <x v="6"/>
    <x v="1"/>
    <x v="12"/>
    <x v="8"/>
    <x v="152"/>
    <x v="12"/>
    <x v="8"/>
    <x v="0"/>
    <x v="538"/>
    <x v="185"/>
    <s v="supplier@gmail.com"/>
  </r>
  <r>
    <x v="1370"/>
    <x v="1370"/>
    <x v="186"/>
    <x v="1"/>
    <x v="4"/>
    <x v="1"/>
    <x v="12"/>
    <x v="8"/>
    <x v="217"/>
    <x v="12"/>
    <x v="8"/>
    <x v="0"/>
    <x v="1"/>
    <x v="20"/>
    <s v="supplier@gmail.com"/>
  </r>
  <r>
    <x v="1371"/>
    <x v="1371"/>
    <x v="4"/>
    <x v="1"/>
    <x v="4"/>
    <x v="1"/>
    <x v="12"/>
    <x v="8"/>
    <x v="8"/>
    <x v="12"/>
    <x v="8"/>
    <x v="0"/>
    <x v="1"/>
    <x v="121"/>
    <s v="supplier@gmail.com"/>
  </r>
  <r>
    <x v="1372"/>
    <x v="1372"/>
    <x v="4"/>
    <x v="1"/>
    <x v="4"/>
    <x v="1"/>
    <x v="12"/>
    <x v="8"/>
    <x v="8"/>
    <x v="12"/>
    <x v="8"/>
    <x v="0"/>
    <x v="1"/>
    <x v="145"/>
    <s v="supplier@gmail.com"/>
  </r>
  <r>
    <x v="1373"/>
    <x v="1373"/>
    <x v="4"/>
    <x v="1"/>
    <x v="4"/>
    <x v="1"/>
    <x v="12"/>
    <x v="8"/>
    <x v="8"/>
    <x v="12"/>
    <x v="8"/>
    <x v="0"/>
    <x v="1"/>
    <x v="191"/>
    <s v="supplier@gmail.com"/>
  </r>
  <r>
    <x v="1374"/>
    <x v="1374"/>
    <x v="4"/>
    <x v="1"/>
    <x v="4"/>
    <x v="1"/>
    <x v="12"/>
    <x v="8"/>
    <x v="8"/>
    <x v="12"/>
    <x v="8"/>
    <x v="0"/>
    <x v="1"/>
    <x v="157"/>
    <s v="supplier@gmail.com"/>
  </r>
  <r>
    <x v="1375"/>
    <x v="1375"/>
    <x v="4"/>
    <x v="1"/>
    <x v="4"/>
    <x v="1"/>
    <x v="12"/>
    <x v="8"/>
    <x v="8"/>
    <x v="12"/>
    <x v="8"/>
    <x v="0"/>
    <x v="1"/>
    <x v="106"/>
    <s v="supplier@gmail.com"/>
  </r>
  <r>
    <x v="1376"/>
    <x v="1376"/>
    <x v="4"/>
    <x v="1"/>
    <x v="4"/>
    <x v="1"/>
    <x v="12"/>
    <x v="8"/>
    <x v="8"/>
    <x v="12"/>
    <x v="8"/>
    <x v="0"/>
    <x v="1"/>
    <x v="124"/>
    <s v="supplier@gmail.com"/>
  </r>
  <r>
    <x v="1377"/>
    <x v="1377"/>
    <x v="4"/>
    <x v="1"/>
    <x v="4"/>
    <x v="1"/>
    <x v="12"/>
    <x v="8"/>
    <x v="8"/>
    <x v="12"/>
    <x v="8"/>
    <x v="0"/>
    <x v="1"/>
    <x v="6"/>
    <s v="supplier@gmail.com"/>
  </r>
  <r>
    <x v="1378"/>
    <x v="1378"/>
    <x v="4"/>
    <x v="1"/>
    <x v="4"/>
    <x v="1"/>
    <x v="29"/>
    <x v="37"/>
    <x v="40"/>
    <x v="6"/>
    <x v="91"/>
    <x v="0"/>
    <x v="1"/>
    <x v="42"/>
    <s v="supplier@gmail.com"/>
  </r>
  <r>
    <x v="1379"/>
    <x v="1379"/>
    <x v="4"/>
    <x v="1"/>
    <x v="4"/>
    <x v="1"/>
    <x v="12"/>
    <x v="8"/>
    <x v="8"/>
    <x v="12"/>
    <x v="8"/>
    <x v="0"/>
    <x v="539"/>
    <x v="127"/>
    <s v="supplier@gmail.com"/>
  </r>
  <r>
    <x v="1380"/>
    <x v="1380"/>
    <x v="42"/>
    <x v="16"/>
    <x v="12"/>
    <x v="36"/>
    <x v="36"/>
    <x v="39"/>
    <x v="40"/>
    <x v="13"/>
    <x v="6"/>
    <x v="0"/>
    <x v="540"/>
    <x v="47"/>
    <s v="supplier@gmail.com"/>
  </r>
  <r>
    <x v="1381"/>
    <x v="1381"/>
    <x v="4"/>
    <x v="1"/>
    <x v="4"/>
    <x v="1"/>
    <x v="12"/>
    <x v="8"/>
    <x v="8"/>
    <x v="12"/>
    <x v="8"/>
    <x v="0"/>
    <x v="1"/>
    <x v="82"/>
    <s v="supplier@gmail.com"/>
  </r>
  <r>
    <x v="1382"/>
    <x v="1382"/>
    <x v="4"/>
    <x v="1"/>
    <x v="4"/>
    <x v="1"/>
    <x v="12"/>
    <x v="8"/>
    <x v="8"/>
    <x v="12"/>
    <x v="21"/>
    <x v="0"/>
    <x v="215"/>
    <x v="128"/>
    <s v="supplier@gmail.com"/>
  </r>
  <r>
    <x v="1383"/>
    <x v="1383"/>
    <x v="43"/>
    <x v="230"/>
    <x v="8"/>
    <x v="7"/>
    <x v="114"/>
    <x v="33"/>
    <x v="24"/>
    <x v="29"/>
    <x v="18"/>
    <x v="0"/>
    <x v="268"/>
    <x v="5"/>
    <s v="supplier@gmail.com"/>
  </r>
  <r>
    <x v="1384"/>
    <x v="1384"/>
    <x v="43"/>
    <x v="230"/>
    <x v="8"/>
    <x v="7"/>
    <x v="114"/>
    <x v="33"/>
    <x v="24"/>
    <x v="29"/>
    <x v="18"/>
    <x v="0"/>
    <x v="541"/>
    <x v="197"/>
    <s v="supplier@gmail.com"/>
  </r>
  <r>
    <x v="1385"/>
    <x v="1385"/>
    <x v="102"/>
    <x v="158"/>
    <x v="267"/>
    <x v="269"/>
    <x v="89"/>
    <x v="108"/>
    <x v="9"/>
    <x v="94"/>
    <x v="21"/>
    <x v="0"/>
    <x v="542"/>
    <x v="13"/>
    <s v="supplier@gmail.com"/>
  </r>
  <r>
    <x v="1386"/>
    <x v="1386"/>
    <x v="102"/>
    <x v="158"/>
    <x v="267"/>
    <x v="269"/>
    <x v="89"/>
    <x v="108"/>
    <x v="9"/>
    <x v="94"/>
    <x v="21"/>
    <x v="0"/>
    <x v="543"/>
    <x v="68"/>
    <s v="supplier@gmail.com"/>
  </r>
  <r>
    <x v="1387"/>
    <x v="1387"/>
    <x v="4"/>
    <x v="117"/>
    <x v="268"/>
    <x v="270"/>
    <x v="27"/>
    <x v="85"/>
    <x v="34"/>
    <x v="61"/>
    <x v="0"/>
    <x v="0"/>
    <x v="544"/>
    <x v="188"/>
    <s v="supplier@gmail.com"/>
  </r>
  <r>
    <x v="1388"/>
    <x v="1388"/>
    <x v="43"/>
    <x v="231"/>
    <x v="169"/>
    <x v="271"/>
    <x v="139"/>
    <x v="223"/>
    <x v="40"/>
    <x v="231"/>
    <x v="18"/>
    <x v="0"/>
    <x v="545"/>
    <x v="5"/>
    <s v="supplier@gmail.com"/>
  </r>
  <r>
    <x v="1389"/>
    <x v="1389"/>
    <x v="43"/>
    <x v="231"/>
    <x v="169"/>
    <x v="271"/>
    <x v="139"/>
    <x v="223"/>
    <x v="40"/>
    <x v="231"/>
    <x v="18"/>
    <x v="0"/>
    <x v="191"/>
    <x v="92"/>
    <s v="supplier@gmail.com"/>
  </r>
  <r>
    <x v="1390"/>
    <x v="1390"/>
    <x v="4"/>
    <x v="1"/>
    <x v="4"/>
    <x v="1"/>
    <x v="12"/>
    <x v="8"/>
    <x v="8"/>
    <x v="12"/>
    <x v="8"/>
    <x v="0"/>
    <x v="468"/>
    <x v="123"/>
    <s v="supplier@gmail.com"/>
  </r>
  <r>
    <x v="1391"/>
    <x v="1391"/>
    <x v="16"/>
    <x v="15"/>
    <x v="30"/>
    <x v="31"/>
    <x v="0"/>
    <x v="16"/>
    <x v="0"/>
    <x v="19"/>
    <x v="0"/>
    <x v="0"/>
    <x v="1"/>
    <x v="79"/>
    <s v="supplier@gmail.com"/>
  </r>
  <r>
    <x v="1392"/>
    <x v="1392"/>
    <x v="4"/>
    <x v="1"/>
    <x v="4"/>
    <x v="1"/>
    <x v="0"/>
    <x v="70"/>
    <x v="8"/>
    <x v="42"/>
    <x v="8"/>
    <x v="0"/>
    <x v="546"/>
    <x v="108"/>
    <s v="supplier@gmail.com"/>
  </r>
  <r>
    <x v="1393"/>
    <x v="1393"/>
    <x v="20"/>
    <x v="86"/>
    <x v="269"/>
    <x v="35"/>
    <x v="25"/>
    <x v="85"/>
    <x v="34"/>
    <x v="25"/>
    <x v="26"/>
    <x v="0"/>
    <x v="1"/>
    <x v="69"/>
    <s v="supplier@gmail.com"/>
  </r>
  <r>
    <x v="1394"/>
    <x v="1394"/>
    <x v="4"/>
    <x v="125"/>
    <x v="35"/>
    <x v="125"/>
    <x v="0"/>
    <x v="70"/>
    <x v="8"/>
    <x v="0"/>
    <x v="31"/>
    <x v="0"/>
    <x v="1"/>
    <x v="37"/>
    <s v="supplier@gmail.com"/>
  </r>
  <r>
    <x v="1395"/>
    <x v="1395"/>
    <x v="4"/>
    <x v="125"/>
    <x v="35"/>
    <x v="125"/>
    <x v="12"/>
    <x v="70"/>
    <x v="8"/>
    <x v="42"/>
    <x v="8"/>
    <x v="0"/>
    <x v="547"/>
    <x v="10"/>
    <s v="supplier@gmail.com"/>
  </r>
  <r>
    <x v="1396"/>
    <x v="1396"/>
    <x v="18"/>
    <x v="38"/>
    <x v="16"/>
    <x v="16"/>
    <x v="27"/>
    <x v="34"/>
    <x v="27"/>
    <x v="32"/>
    <x v="120"/>
    <x v="0"/>
    <x v="1"/>
    <x v="37"/>
    <s v="supplier@gmail.com"/>
  </r>
  <r>
    <x v="1397"/>
    <x v="1397"/>
    <x v="4"/>
    <x v="1"/>
    <x v="4"/>
    <x v="1"/>
    <x v="23"/>
    <x v="70"/>
    <x v="8"/>
    <x v="42"/>
    <x v="8"/>
    <x v="0"/>
    <x v="548"/>
    <x v="190"/>
    <s v="supplier@gmail.com"/>
  </r>
  <r>
    <x v="1398"/>
    <x v="1398"/>
    <x v="4"/>
    <x v="36"/>
    <x v="70"/>
    <x v="73"/>
    <x v="23"/>
    <x v="70"/>
    <x v="0"/>
    <x v="42"/>
    <x v="31"/>
    <x v="0"/>
    <x v="1"/>
    <x v="152"/>
    <s v="supplier@gmail.com"/>
  </r>
  <r>
    <x v="1399"/>
    <x v="1399"/>
    <x v="4"/>
    <x v="1"/>
    <x v="4"/>
    <x v="1"/>
    <x v="12"/>
    <x v="8"/>
    <x v="8"/>
    <x v="12"/>
    <x v="8"/>
    <x v="0"/>
    <x v="1"/>
    <x v="63"/>
    <s v="supplier@gmail.com"/>
  </r>
  <r>
    <x v="1400"/>
    <x v="1400"/>
    <x v="4"/>
    <x v="1"/>
    <x v="4"/>
    <x v="1"/>
    <x v="12"/>
    <x v="70"/>
    <x v="8"/>
    <x v="42"/>
    <x v="8"/>
    <x v="0"/>
    <x v="1"/>
    <x v="143"/>
    <s v="supplier@gmail.com"/>
  </r>
  <r>
    <x v="1401"/>
    <x v="1401"/>
    <x v="4"/>
    <x v="1"/>
    <x v="4"/>
    <x v="1"/>
    <x v="12"/>
    <x v="70"/>
    <x v="8"/>
    <x v="42"/>
    <x v="8"/>
    <x v="0"/>
    <x v="549"/>
    <x v="174"/>
    <s v="supplier@gmail.com"/>
  </r>
  <r>
    <x v="1402"/>
    <x v="1402"/>
    <x v="4"/>
    <x v="1"/>
    <x v="4"/>
    <x v="1"/>
    <x v="12"/>
    <x v="8"/>
    <x v="8"/>
    <x v="12"/>
    <x v="8"/>
    <x v="0"/>
    <x v="137"/>
    <x v="21"/>
    <s v="supplier@gmail.com"/>
  </r>
  <r>
    <x v="1403"/>
    <x v="1403"/>
    <x v="16"/>
    <x v="15"/>
    <x v="30"/>
    <x v="31"/>
    <x v="0"/>
    <x v="16"/>
    <x v="0"/>
    <x v="19"/>
    <x v="0"/>
    <x v="0"/>
    <x v="1"/>
    <x v="138"/>
    <s v="supplier@gmail.com"/>
  </r>
  <r>
    <x v="1404"/>
    <x v="1404"/>
    <x v="4"/>
    <x v="1"/>
    <x v="4"/>
    <x v="1"/>
    <x v="0"/>
    <x v="70"/>
    <x v="8"/>
    <x v="42"/>
    <x v="8"/>
    <x v="0"/>
    <x v="171"/>
    <x v="26"/>
    <s v="supplier@gmail.com"/>
  </r>
  <r>
    <x v="1405"/>
    <x v="1405"/>
    <x v="20"/>
    <x v="86"/>
    <x v="269"/>
    <x v="35"/>
    <x v="25"/>
    <x v="85"/>
    <x v="34"/>
    <x v="25"/>
    <x v="26"/>
    <x v="0"/>
    <x v="1"/>
    <x v="102"/>
    <s v="supplier@gmail.com"/>
  </r>
  <r>
    <x v="1406"/>
    <x v="1406"/>
    <x v="4"/>
    <x v="125"/>
    <x v="35"/>
    <x v="125"/>
    <x v="0"/>
    <x v="70"/>
    <x v="8"/>
    <x v="0"/>
    <x v="31"/>
    <x v="0"/>
    <x v="1"/>
    <x v="138"/>
    <s v="supplier@gmail.com"/>
  </r>
  <r>
    <x v="1407"/>
    <x v="1407"/>
    <x v="4"/>
    <x v="125"/>
    <x v="35"/>
    <x v="125"/>
    <x v="12"/>
    <x v="70"/>
    <x v="8"/>
    <x v="42"/>
    <x v="8"/>
    <x v="0"/>
    <x v="336"/>
    <x v="53"/>
    <s v="supplier@gmail.com"/>
  </r>
  <r>
    <x v="1408"/>
    <x v="1408"/>
    <x v="18"/>
    <x v="38"/>
    <x v="16"/>
    <x v="16"/>
    <x v="27"/>
    <x v="34"/>
    <x v="27"/>
    <x v="32"/>
    <x v="120"/>
    <x v="0"/>
    <x v="1"/>
    <x v="38"/>
    <s v="supplier@gmail.com"/>
  </r>
  <r>
    <x v="1409"/>
    <x v="1409"/>
    <x v="4"/>
    <x v="1"/>
    <x v="4"/>
    <x v="1"/>
    <x v="23"/>
    <x v="70"/>
    <x v="8"/>
    <x v="42"/>
    <x v="8"/>
    <x v="0"/>
    <x v="550"/>
    <x v="188"/>
    <s v="supplier@gmail.com"/>
  </r>
  <r>
    <x v="1410"/>
    <x v="1410"/>
    <x v="4"/>
    <x v="36"/>
    <x v="70"/>
    <x v="73"/>
    <x v="23"/>
    <x v="70"/>
    <x v="0"/>
    <x v="42"/>
    <x v="31"/>
    <x v="0"/>
    <x v="1"/>
    <x v="18"/>
    <s v="supplier@gmail.com"/>
  </r>
  <r>
    <x v="1411"/>
    <x v="1411"/>
    <x v="4"/>
    <x v="1"/>
    <x v="4"/>
    <x v="1"/>
    <x v="12"/>
    <x v="8"/>
    <x v="8"/>
    <x v="12"/>
    <x v="8"/>
    <x v="0"/>
    <x v="1"/>
    <x v="12"/>
    <s v="supplier@gmail.com"/>
  </r>
  <r>
    <x v="1412"/>
    <x v="1412"/>
    <x v="4"/>
    <x v="1"/>
    <x v="4"/>
    <x v="1"/>
    <x v="12"/>
    <x v="70"/>
    <x v="8"/>
    <x v="42"/>
    <x v="8"/>
    <x v="0"/>
    <x v="1"/>
    <x v="100"/>
    <s v="supplier@gmail.com"/>
  </r>
  <r>
    <x v="1413"/>
    <x v="1413"/>
    <x v="4"/>
    <x v="1"/>
    <x v="4"/>
    <x v="1"/>
    <x v="12"/>
    <x v="70"/>
    <x v="8"/>
    <x v="42"/>
    <x v="8"/>
    <x v="0"/>
    <x v="90"/>
    <x v="126"/>
    <s v="supplier@gmail.com"/>
  </r>
  <r>
    <x v="1414"/>
    <x v="1414"/>
    <x v="4"/>
    <x v="232"/>
    <x v="20"/>
    <x v="272"/>
    <x v="0"/>
    <x v="34"/>
    <x v="126"/>
    <x v="43"/>
    <x v="31"/>
    <x v="0"/>
    <x v="90"/>
    <x v="27"/>
    <s v="supplier@gmail.com"/>
  </r>
  <r>
    <x v="1415"/>
    <x v="1415"/>
    <x v="4"/>
    <x v="232"/>
    <x v="20"/>
    <x v="272"/>
    <x v="0"/>
    <x v="34"/>
    <x v="126"/>
    <x v="43"/>
    <x v="31"/>
    <x v="0"/>
    <x v="25"/>
    <x v="25"/>
    <s v="supplier@gmail.com"/>
  </r>
  <r>
    <x v="1416"/>
    <x v="1416"/>
    <x v="4"/>
    <x v="15"/>
    <x v="15"/>
    <x v="15"/>
    <x v="12"/>
    <x v="0"/>
    <x v="8"/>
    <x v="0"/>
    <x v="8"/>
    <x v="0"/>
    <x v="1"/>
    <x v="19"/>
    <s v="supplier@gmail.com"/>
  </r>
  <r>
    <x v="1417"/>
    <x v="1417"/>
    <x v="4"/>
    <x v="1"/>
    <x v="4"/>
    <x v="1"/>
    <x v="12"/>
    <x v="8"/>
    <x v="8"/>
    <x v="12"/>
    <x v="8"/>
    <x v="0"/>
    <x v="84"/>
    <x v="171"/>
    <s v="supplier@gmail.com"/>
  </r>
  <r>
    <x v="1418"/>
    <x v="1418"/>
    <x v="4"/>
    <x v="0"/>
    <x v="0"/>
    <x v="0"/>
    <x v="30"/>
    <x v="18"/>
    <x v="8"/>
    <x v="32"/>
    <x v="0"/>
    <x v="0"/>
    <x v="261"/>
    <x v="11"/>
    <s v="supplier@gmail.com"/>
  </r>
  <r>
    <x v="1419"/>
    <x v="1419"/>
    <x v="4"/>
    <x v="15"/>
    <x v="15"/>
    <x v="15"/>
    <x v="12"/>
    <x v="0"/>
    <x v="8"/>
    <x v="0"/>
    <x v="8"/>
    <x v="0"/>
    <x v="25"/>
    <x v="52"/>
    <s v="supplier@gmail.com"/>
  </r>
  <r>
    <x v="1420"/>
    <x v="1420"/>
    <x v="4"/>
    <x v="1"/>
    <x v="4"/>
    <x v="1"/>
    <x v="12"/>
    <x v="8"/>
    <x v="8"/>
    <x v="12"/>
    <x v="8"/>
    <x v="0"/>
    <x v="84"/>
    <x v="51"/>
    <s v="supplier@gmail.com"/>
  </r>
  <r>
    <x v="1421"/>
    <x v="1421"/>
    <x v="4"/>
    <x v="0"/>
    <x v="0"/>
    <x v="0"/>
    <x v="30"/>
    <x v="18"/>
    <x v="8"/>
    <x v="32"/>
    <x v="0"/>
    <x v="0"/>
    <x v="551"/>
    <x v="63"/>
    <s v="supplier@gmail.com"/>
  </r>
  <r>
    <x v="1422"/>
    <x v="1422"/>
    <x v="4"/>
    <x v="117"/>
    <x v="268"/>
    <x v="270"/>
    <x v="12"/>
    <x v="85"/>
    <x v="34"/>
    <x v="25"/>
    <x v="0"/>
    <x v="0"/>
    <x v="552"/>
    <x v="33"/>
    <s v="supplier@gmail.com"/>
  </r>
  <r>
    <x v="1423"/>
    <x v="1423"/>
    <x v="102"/>
    <x v="93"/>
    <x v="100"/>
    <x v="106"/>
    <x v="8"/>
    <x v="82"/>
    <x v="67"/>
    <x v="94"/>
    <x v="21"/>
    <x v="0"/>
    <x v="168"/>
    <x v="19"/>
    <s v="supplier@gmail.com"/>
  </r>
  <r>
    <x v="1424"/>
    <x v="1424"/>
    <x v="270"/>
    <x v="233"/>
    <x v="115"/>
    <x v="273"/>
    <x v="9"/>
    <x v="224"/>
    <x v="42"/>
    <x v="232"/>
    <x v="22"/>
    <x v="0"/>
    <x v="553"/>
    <x v="27"/>
    <s v="supplier@gmail.com"/>
  </r>
  <r>
    <x v="1425"/>
    <x v="1425"/>
    <x v="270"/>
    <x v="233"/>
    <x v="115"/>
    <x v="273"/>
    <x v="9"/>
    <x v="224"/>
    <x v="42"/>
    <x v="232"/>
    <x v="22"/>
    <x v="0"/>
    <x v="554"/>
    <x v="61"/>
    <s v="supplier@gmail.com"/>
  </r>
  <r>
    <x v="1426"/>
    <x v="1426"/>
    <x v="102"/>
    <x v="223"/>
    <x v="270"/>
    <x v="30"/>
    <x v="21"/>
    <x v="12"/>
    <x v="67"/>
    <x v="13"/>
    <x v="208"/>
    <x v="0"/>
    <x v="28"/>
    <x v="195"/>
    <s v="supplier@gmail.com"/>
  </r>
  <r>
    <x v="1427"/>
    <x v="1427"/>
    <x v="43"/>
    <x v="234"/>
    <x v="45"/>
    <x v="29"/>
    <x v="18"/>
    <x v="10"/>
    <x v="40"/>
    <x v="14"/>
    <x v="104"/>
    <x v="0"/>
    <x v="398"/>
    <x v="13"/>
    <s v="supplier@gmail.com"/>
  </r>
  <r>
    <x v="1428"/>
    <x v="1428"/>
    <x v="4"/>
    <x v="1"/>
    <x v="4"/>
    <x v="1"/>
    <x v="12"/>
    <x v="8"/>
    <x v="8"/>
    <x v="12"/>
    <x v="8"/>
    <x v="0"/>
    <x v="555"/>
    <x v="154"/>
    <s v="supplier@gmail.com"/>
  </r>
  <r>
    <x v="1429"/>
    <x v="1429"/>
    <x v="43"/>
    <x v="116"/>
    <x v="129"/>
    <x v="42"/>
    <x v="18"/>
    <x v="122"/>
    <x v="40"/>
    <x v="87"/>
    <x v="104"/>
    <x v="0"/>
    <x v="1"/>
    <x v="81"/>
    <s v="supplier@gmail.com"/>
  </r>
  <r>
    <x v="1430"/>
    <x v="1430"/>
    <x v="4"/>
    <x v="1"/>
    <x v="4"/>
    <x v="1"/>
    <x v="12"/>
    <x v="8"/>
    <x v="8"/>
    <x v="12"/>
    <x v="8"/>
    <x v="0"/>
    <x v="154"/>
    <x v="54"/>
    <s v="supplier@gmail.com"/>
  </r>
  <r>
    <x v="1431"/>
    <x v="1431"/>
    <x v="43"/>
    <x v="116"/>
    <x v="129"/>
    <x v="42"/>
    <x v="18"/>
    <x v="122"/>
    <x v="40"/>
    <x v="87"/>
    <x v="104"/>
    <x v="0"/>
    <x v="1"/>
    <x v="84"/>
    <s v="supplier@gmail.com"/>
  </r>
  <r>
    <x v="1432"/>
    <x v="1432"/>
    <x v="4"/>
    <x v="1"/>
    <x v="4"/>
    <x v="1"/>
    <x v="12"/>
    <x v="8"/>
    <x v="8"/>
    <x v="12"/>
    <x v="8"/>
    <x v="0"/>
    <x v="556"/>
    <x v="143"/>
    <s v="supplier@gmail.com"/>
  </r>
  <r>
    <x v="1433"/>
    <x v="1433"/>
    <x v="102"/>
    <x v="235"/>
    <x v="271"/>
    <x v="113"/>
    <x v="21"/>
    <x v="225"/>
    <x v="67"/>
    <x v="233"/>
    <x v="208"/>
    <x v="0"/>
    <x v="1"/>
    <x v="56"/>
    <s v="supplier@gmail.com"/>
  </r>
  <r>
    <x v="1434"/>
    <x v="1434"/>
    <x v="4"/>
    <x v="1"/>
    <x v="4"/>
    <x v="1"/>
    <x v="12"/>
    <x v="8"/>
    <x v="8"/>
    <x v="12"/>
    <x v="8"/>
    <x v="0"/>
    <x v="557"/>
    <x v="186"/>
    <s v="supplier@gmail.com"/>
  </r>
  <r>
    <x v="1435"/>
    <x v="1435"/>
    <x v="102"/>
    <x v="235"/>
    <x v="271"/>
    <x v="113"/>
    <x v="21"/>
    <x v="225"/>
    <x v="67"/>
    <x v="233"/>
    <x v="208"/>
    <x v="0"/>
    <x v="1"/>
    <x v="19"/>
    <s v="supplier@gmail.com"/>
  </r>
  <r>
    <x v="1436"/>
    <x v="1436"/>
    <x v="4"/>
    <x v="1"/>
    <x v="4"/>
    <x v="1"/>
    <x v="12"/>
    <x v="8"/>
    <x v="8"/>
    <x v="12"/>
    <x v="8"/>
    <x v="0"/>
    <x v="558"/>
    <x v="115"/>
    <s v="supplier@gmail.com"/>
  </r>
  <r>
    <x v="1437"/>
    <x v="1437"/>
    <x v="102"/>
    <x v="93"/>
    <x v="100"/>
    <x v="106"/>
    <x v="8"/>
    <x v="82"/>
    <x v="67"/>
    <x v="94"/>
    <x v="21"/>
    <x v="0"/>
    <x v="549"/>
    <x v="91"/>
    <s v="supplier@gmail.com"/>
  </r>
  <r>
    <x v="1438"/>
    <x v="1438"/>
    <x v="102"/>
    <x v="33"/>
    <x v="32"/>
    <x v="71"/>
    <x v="8"/>
    <x v="93"/>
    <x v="9"/>
    <x v="79"/>
    <x v="9"/>
    <x v="0"/>
    <x v="401"/>
    <x v="125"/>
    <s v="supplier@gmail.com"/>
  </r>
  <r>
    <x v="1439"/>
    <x v="1439"/>
    <x v="102"/>
    <x v="93"/>
    <x v="100"/>
    <x v="106"/>
    <x v="8"/>
    <x v="82"/>
    <x v="67"/>
    <x v="94"/>
    <x v="21"/>
    <x v="0"/>
    <x v="559"/>
    <x v="65"/>
    <s v="supplier@gmail.com"/>
  </r>
  <r>
    <x v="1440"/>
    <x v="1440"/>
    <x v="43"/>
    <x v="116"/>
    <x v="129"/>
    <x v="42"/>
    <x v="18"/>
    <x v="122"/>
    <x v="40"/>
    <x v="87"/>
    <x v="104"/>
    <x v="0"/>
    <x v="441"/>
    <x v="196"/>
    <s v="supplier@gmail.com"/>
  </r>
  <r>
    <x v="1441"/>
    <x v="1441"/>
    <x v="43"/>
    <x v="116"/>
    <x v="129"/>
    <x v="42"/>
    <x v="18"/>
    <x v="122"/>
    <x v="40"/>
    <x v="87"/>
    <x v="104"/>
    <x v="0"/>
    <x v="560"/>
    <x v="155"/>
    <s v="supplier@gmail.com"/>
  </r>
  <r>
    <x v="1442"/>
    <x v="1442"/>
    <x v="102"/>
    <x v="235"/>
    <x v="271"/>
    <x v="113"/>
    <x v="21"/>
    <x v="225"/>
    <x v="67"/>
    <x v="233"/>
    <x v="208"/>
    <x v="0"/>
    <x v="1"/>
    <x v="72"/>
    <s v="supplier@gmail.com"/>
  </r>
  <r>
    <x v="1443"/>
    <x v="1443"/>
    <x v="4"/>
    <x v="1"/>
    <x v="4"/>
    <x v="1"/>
    <x v="12"/>
    <x v="8"/>
    <x v="8"/>
    <x v="12"/>
    <x v="8"/>
    <x v="0"/>
    <x v="540"/>
    <x v="0"/>
    <s v="supplier@gmail.com"/>
  </r>
  <r>
    <x v="1444"/>
    <x v="1444"/>
    <x v="102"/>
    <x v="97"/>
    <x v="272"/>
    <x v="58"/>
    <x v="34"/>
    <x v="4"/>
    <x v="124"/>
    <x v="8"/>
    <x v="209"/>
    <x v="0"/>
    <x v="1"/>
    <x v="67"/>
    <s v="supplier@gmail.com"/>
  </r>
  <r>
    <x v="1445"/>
    <x v="1445"/>
    <x v="4"/>
    <x v="1"/>
    <x v="4"/>
    <x v="1"/>
    <x v="12"/>
    <x v="8"/>
    <x v="8"/>
    <x v="12"/>
    <x v="8"/>
    <x v="0"/>
    <x v="146"/>
    <x v="41"/>
    <s v="supplier@gmail.com"/>
  </r>
  <r>
    <x v="1446"/>
    <x v="1446"/>
    <x v="102"/>
    <x v="235"/>
    <x v="271"/>
    <x v="113"/>
    <x v="21"/>
    <x v="225"/>
    <x v="67"/>
    <x v="233"/>
    <x v="208"/>
    <x v="0"/>
    <x v="1"/>
    <x v="56"/>
    <s v="supplier@gmail.com"/>
  </r>
  <r>
    <x v="1447"/>
    <x v="1447"/>
    <x v="4"/>
    <x v="1"/>
    <x v="4"/>
    <x v="1"/>
    <x v="12"/>
    <x v="8"/>
    <x v="8"/>
    <x v="12"/>
    <x v="8"/>
    <x v="0"/>
    <x v="561"/>
    <x v="122"/>
    <s v="supplier@gmail.com"/>
  </r>
  <r>
    <x v="1448"/>
    <x v="1448"/>
    <x v="102"/>
    <x v="44"/>
    <x v="114"/>
    <x v="274"/>
    <x v="8"/>
    <x v="31"/>
    <x v="9"/>
    <x v="101"/>
    <x v="9"/>
    <x v="0"/>
    <x v="1"/>
    <x v="88"/>
    <s v="supplier@gmail.com"/>
  </r>
  <r>
    <x v="1449"/>
    <x v="1449"/>
    <x v="4"/>
    <x v="1"/>
    <x v="4"/>
    <x v="1"/>
    <x v="12"/>
    <x v="8"/>
    <x v="8"/>
    <x v="12"/>
    <x v="8"/>
    <x v="0"/>
    <x v="1"/>
    <x v="161"/>
    <s v="supplier@gmail.com"/>
  </r>
  <r>
    <x v="1450"/>
    <x v="1450"/>
    <x v="4"/>
    <x v="1"/>
    <x v="4"/>
    <x v="1"/>
    <x v="12"/>
    <x v="8"/>
    <x v="8"/>
    <x v="12"/>
    <x v="8"/>
    <x v="0"/>
    <x v="38"/>
    <x v="5"/>
    <s v="supplier@gmail.com"/>
  </r>
  <r>
    <x v="1451"/>
    <x v="1451"/>
    <x v="4"/>
    <x v="1"/>
    <x v="4"/>
    <x v="1"/>
    <x v="12"/>
    <x v="0"/>
    <x v="8"/>
    <x v="0"/>
    <x v="8"/>
    <x v="0"/>
    <x v="470"/>
    <x v="172"/>
    <s v="supplier@gmail.com"/>
  </r>
  <r>
    <x v="1452"/>
    <x v="1452"/>
    <x v="4"/>
    <x v="117"/>
    <x v="268"/>
    <x v="270"/>
    <x v="12"/>
    <x v="85"/>
    <x v="34"/>
    <x v="25"/>
    <x v="0"/>
    <x v="0"/>
    <x v="562"/>
    <x v="176"/>
    <s v="supplier@gmail.com"/>
  </r>
  <r>
    <x v="1453"/>
    <x v="1453"/>
    <x v="102"/>
    <x v="33"/>
    <x v="32"/>
    <x v="71"/>
    <x v="8"/>
    <x v="93"/>
    <x v="9"/>
    <x v="79"/>
    <x v="9"/>
    <x v="0"/>
    <x v="44"/>
    <x v="156"/>
    <s v="supplier@gmail.com"/>
  </r>
  <r>
    <x v="1454"/>
    <x v="1454"/>
    <x v="102"/>
    <x v="236"/>
    <x v="120"/>
    <x v="122"/>
    <x v="35"/>
    <x v="108"/>
    <x v="221"/>
    <x v="65"/>
    <x v="9"/>
    <x v="0"/>
    <x v="1"/>
    <x v="47"/>
    <s v="supplier@gmail.com"/>
  </r>
  <r>
    <x v="1455"/>
    <x v="1455"/>
    <x v="4"/>
    <x v="1"/>
    <x v="4"/>
    <x v="1"/>
    <x v="27"/>
    <x v="8"/>
    <x v="8"/>
    <x v="0"/>
    <x v="8"/>
    <x v="0"/>
    <x v="1"/>
    <x v="18"/>
    <s v="supplier@gmail.com"/>
  </r>
  <r>
    <x v="1456"/>
    <x v="1456"/>
    <x v="4"/>
    <x v="1"/>
    <x v="4"/>
    <x v="1"/>
    <x v="27"/>
    <x v="8"/>
    <x v="8"/>
    <x v="0"/>
    <x v="8"/>
    <x v="0"/>
    <x v="267"/>
    <x v="87"/>
    <s v="supplier@gmail.com"/>
  </r>
  <r>
    <x v="1457"/>
    <x v="1457"/>
    <x v="4"/>
    <x v="125"/>
    <x v="35"/>
    <x v="125"/>
    <x v="31"/>
    <x v="32"/>
    <x v="8"/>
    <x v="19"/>
    <x v="31"/>
    <x v="0"/>
    <x v="267"/>
    <x v="11"/>
    <s v="supplier@gmail.com"/>
  </r>
  <r>
    <x v="1458"/>
    <x v="1458"/>
    <x v="4"/>
    <x v="125"/>
    <x v="35"/>
    <x v="125"/>
    <x v="31"/>
    <x v="32"/>
    <x v="8"/>
    <x v="19"/>
    <x v="31"/>
    <x v="0"/>
    <x v="164"/>
    <x v="143"/>
    <s v="supplier@gmail.com"/>
  </r>
  <r>
    <x v="1459"/>
    <x v="1459"/>
    <x v="4"/>
    <x v="125"/>
    <x v="35"/>
    <x v="125"/>
    <x v="31"/>
    <x v="32"/>
    <x v="8"/>
    <x v="19"/>
    <x v="31"/>
    <x v="0"/>
    <x v="164"/>
    <x v="121"/>
    <s v="supplier@gmail.com"/>
  </r>
  <r>
    <x v="1460"/>
    <x v="1460"/>
    <x v="4"/>
    <x v="125"/>
    <x v="35"/>
    <x v="125"/>
    <x v="31"/>
    <x v="32"/>
    <x v="8"/>
    <x v="19"/>
    <x v="31"/>
    <x v="0"/>
    <x v="1"/>
    <x v="191"/>
    <s v="supplier@gmail.com"/>
  </r>
  <r>
    <x v="1461"/>
    <x v="1461"/>
    <x v="4"/>
    <x v="0"/>
    <x v="0"/>
    <x v="0"/>
    <x v="12"/>
    <x v="70"/>
    <x v="8"/>
    <x v="42"/>
    <x v="8"/>
    <x v="0"/>
    <x v="102"/>
    <x v="9"/>
    <s v="supplier@gmail.com"/>
  </r>
  <r>
    <x v="1462"/>
    <x v="1462"/>
    <x v="4"/>
    <x v="0"/>
    <x v="0"/>
    <x v="0"/>
    <x v="12"/>
    <x v="70"/>
    <x v="8"/>
    <x v="42"/>
    <x v="8"/>
    <x v="0"/>
    <x v="294"/>
    <x v="1"/>
    <s v="supplier@gmail.com"/>
  </r>
  <r>
    <x v="1463"/>
    <x v="1463"/>
    <x v="4"/>
    <x v="0"/>
    <x v="0"/>
    <x v="0"/>
    <x v="12"/>
    <x v="70"/>
    <x v="8"/>
    <x v="42"/>
    <x v="8"/>
    <x v="0"/>
    <x v="294"/>
    <x v="93"/>
    <s v="supplier@gmail.com"/>
  </r>
  <r>
    <x v="1464"/>
    <x v="1464"/>
    <x v="4"/>
    <x v="0"/>
    <x v="0"/>
    <x v="0"/>
    <x v="12"/>
    <x v="70"/>
    <x v="8"/>
    <x v="42"/>
    <x v="8"/>
    <x v="0"/>
    <x v="1"/>
    <x v="12"/>
    <s v="supplier@gmail.com"/>
  </r>
  <r>
    <x v="1465"/>
    <x v="1465"/>
    <x v="4"/>
    <x v="1"/>
    <x v="4"/>
    <x v="1"/>
    <x v="12"/>
    <x v="8"/>
    <x v="8"/>
    <x v="12"/>
    <x v="8"/>
    <x v="0"/>
    <x v="1"/>
    <x v="179"/>
    <s v="supplier@gmail.com"/>
  </r>
  <r>
    <x v="1466"/>
    <x v="1466"/>
    <x v="4"/>
    <x v="0"/>
    <x v="0"/>
    <x v="0"/>
    <x v="12"/>
    <x v="70"/>
    <x v="8"/>
    <x v="42"/>
    <x v="8"/>
    <x v="0"/>
    <x v="1"/>
    <x v="9"/>
    <s v="supplier@gmail.com"/>
  </r>
  <r>
    <x v="1467"/>
    <x v="1467"/>
    <x v="4"/>
    <x v="0"/>
    <x v="0"/>
    <x v="0"/>
    <x v="12"/>
    <x v="70"/>
    <x v="8"/>
    <x v="42"/>
    <x v="8"/>
    <x v="0"/>
    <x v="1"/>
    <x v="147"/>
    <s v="supplier@gmail.com"/>
  </r>
  <r>
    <x v="1468"/>
    <x v="1468"/>
    <x v="4"/>
    <x v="0"/>
    <x v="0"/>
    <x v="0"/>
    <x v="12"/>
    <x v="70"/>
    <x v="8"/>
    <x v="42"/>
    <x v="8"/>
    <x v="0"/>
    <x v="1"/>
    <x v="4"/>
    <s v="supplier@gmail.com"/>
  </r>
  <r>
    <x v="1469"/>
    <x v="1469"/>
    <x v="4"/>
    <x v="0"/>
    <x v="0"/>
    <x v="0"/>
    <x v="12"/>
    <x v="70"/>
    <x v="8"/>
    <x v="42"/>
    <x v="8"/>
    <x v="0"/>
    <x v="1"/>
    <x v="138"/>
    <s v="supplier@gmail.com"/>
  </r>
  <r>
    <x v="1470"/>
    <x v="1470"/>
    <x v="4"/>
    <x v="125"/>
    <x v="35"/>
    <x v="125"/>
    <x v="12"/>
    <x v="8"/>
    <x v="8"/>
    <x v="12"/>
    <x v="8"/>
    <x v="0"/>
    <x v="1"/>
    <x v="151"/>
    <s v="supplier@gmail.com"/>
  </r>
  <r>
    <x v="1471"/>
    <x v="1471"/>
    <x v="4"/>
    <x v="125"/>
    <x v="35"/>
    <x v="125"/>
    <x v="12"/>
    <x v="70"/>
    <x v="8"/>
    <x v="42"/>
    <x v="8"/>
    <x v="0"/>
    <x v="1"/>
    <x v="186"/>
    <s v="supplier@gmail.com"/>
  </r>
  <r>
    <x v="1472"/>
    <x v="1472"/>
    <x v="4"/>
    <x v="15"/>
    <x v="15"/>
    <x v="15"/>
    <x v="12"/>
    <x v="0"/>
    <x v="8"/>
    <x v="0"/>
    <x v="8"/>
    <x v="0"/>
    <x v="141"/>
    <x v="198"/>
    <s v="supplier@gmail.com"/>
  </r>
  <r>
    <x v="1473"/>
    <x v="1473"/>
    <x v="4"/>
    <x v="1"/>
    <x v="4"/>
    <x v="1"/>
    <x v="12"/>
    <x v="8"/>
    <x v="8"/>
    <x v="12"/>
    <x v="8"/>
    <x v="0"/>
    <x v="243"/>
    <x v="188"/>
    <s v="supplier@gmail.com"/>
  </r>
  <r>
    <x v="1474"/>
    <x v="1474"/>
    <x v="102"/>
    <x v="235"/>
    <x v="271"/>
    <x v="113"/>
    <x v="21"/>
    <x v="114"/>
    <x v="67"/>
    <x v="229"/>
    <x v="208"/>
    <x v="0"/>
    <x v="1"/>
    <x v="114"/>
    <s v="supplier@gmail.com"/>
  </r>
  <r>
    <x v="1475"/>
    <x v="1475"/>
    <x v="4"/>
    <x v="1"/>
    <x v="4"/>
    <x v="1"/>
    <x v="12"/>
    <x v="8"/>
    <x v="8"/>
    <x v="12"/>
    <x v="8"/>
    <x v="0"/>
    <x v="53"/>
    <x v="185"/>
    <s v="supplier@gmail.com"/>
  </r>
  <r>
    <x v="1476"/>
    <x v="1476"/>
    <x v="4"/>
    <x v="1"/>
    <x v="4"/>
    <x v="1"/>
    <x v="12"/>
    <x v="16"/>
    <x v="8"/>
    <x v="19"/>
    <x v="8"/>
    <x v="0"/>
    <x v="61"/>
    <x v="69"/>
    <s v="supplier@gmail.com"/>
  </r>
  <r>
    <x v="1477"/>
    <x v="1477"/>
    <x v="4"/>
    <x v="1"/>
    <x v="4"/>
    <x v="1"/>
    <x v="12"/>
    <x v="8"/>
    <x v="8"/>
    <x v="12"/>
    <x v="8"/>
    <x v="0"/>
    <x v="125"/>
    <x v="66"/>
    <s v="supplier@gmail.com"/>
  </r>
  <r>
    <x v="1478"/>
    <x v="1478"/>
    <x v="18"/>
    <x v="38"/>
    <x v="28"/>
    <x v="38"/>
    <x v="27"/>
    <x v="25"/>
    <x v="26"/>
    <x v="25"/>
    <x v="17"/>
    <x v="0"/>
    <x v="215"/>
    <x v="75"/>
    <s v="supplier@gmail.com"/>
  </r>
  <r>
    <x v="1479"/>
    <x v="1479"/>
    <x v="27"/>
    <x v="116"/>
    <x v="268"/>
    <x v="270"/>
    <x v="32"/>
    <x v="223"/>
    <x v="40"/>
    <x v="227"/>
    <x v="18"/>
    <x v="0"/>
    <x v="7"/>
    <x v="182"/>
    <s v="supplier@gmail.com"/>
  </r>
  <r>
    <x v="1480"/>
    <x v="1480"/>
    <x v="30"/>
    <x v="19"/>
    <x v="31"/>
    <x v="20"/>
    <x v="25"/>
    <x v="85"/>
    <x v="77"/>
    <x v="26"/>
    <x v="74"/>
    <x v="0"/>
    <x v="1"/>
    <x v="153"/>
    <s v="supplier@gmail.com"/>
  </r>
  <r>
    <x v="1481"/>
    <x v="1481"/>
    <x v="4"/>
    <x v="17"/>
    <x v="17"/>
    <x v="17"/>
    <x v="0"/>
    <x v="0"/>
    <x v="26"/>
    <x v="0"/>
    <x v="0"/>
    <x v="0"/>
    <x v="1"/>
    <x v="128"/>
    <s v="supplier@gmail.com"/>
  </r>
  <r>
    <x v="1482"/>
    <x v="1482"/>
    <x v="4"/>
    <x v="1"/>
    <x v="4"/>
    <x v="1"/>
    <x v="12"/>
    <x v="16"/>
    <x v="8"/>
    <x v="19"/>
    <x v="8"/>
    <x v="0"/>
    <x v="1"/>
    <x v="6"/>
    <s v="supplier@gmail.com"/>
  </r>
  <r>
    <x v="1483"/>
    <x v="1483"/>
    <x v="4"/>
    <x v="1"/>
    <x v="4"/>
    <x v="1"/>
    <x v="12"/>
    <x v="16"/>
    <x v="8"/>
    <x v="19"/>
    <x v="8"/>
    <x v="0"/>
    <x v="134"/>
    <x v="166"/>
    <s v="supplier@gmail.com"/>
  </r>
  <r>
    <x v="1484"/>
    <x v="1484"/>
    <x v="102"/>
    <x v="237"/>
    <x v="11"/>
    <x v="9"/>
    <x v="8"/>
    <x v="123"/>
    <x v="67"/>
    <x v="97"/>
    <x v="21"/>
    <x v="0"/>
    <x v="1"/>
    <x v="16"/>
    <s v="supplier@gmail.com"/>
  </r>
  <r>
    <x v="1485"/>
    <x v="1485"/>
    <x v="4"/>
    <x v="1"/>
    <x v="4"/>
    <x v="1"/>
    <x v="27"/>
    <x v="0"/>
    <x v="8"/>
    <x v="0"/>
    <x v="8"/>
    <x v="0"/>
    <x v="1"/>
    <x v="69"/>
    <s v="supplier@gmail.com"/>
  </r>
  <r>
    <x v="1486"/>
    <x v="1486"/>
    <x v="4"/>
    <x v="0"/>
    <x v="0"/>
    <x v="0"/>
    <x v="27"/>
    <x v="0"/>
    <x v="8"/>
    <x v="19"/>
    <x v="0"/>
    <x v="0"/>
    <x v="1"/>
    <x v="29"/>
    <s v="supplier@gmail.com"/>
  </r>
  <r>
    <x v="1487"/>
    <x v="1487"/>
    <x v="4"/>
    <x v="1"/>
    <x v="4"/>
    <x v="1"/>
    <x v="0"/>
    <x v="0"/>
    <x v="8"/>
    <x v="0"/>
    <x v="8"/>
    <x v="0"/>
    <x v="1"/>
    <x v="161"/>
    <s v="supplier@gmail.com"/>
  </r>
  <r>
    <x v="1488"/>
    <x v="1488"/>
    <x v="4"/>
    <x v="0"/>
    <x v="0"/>
    <x v="0"/>
    <x v="17"/>
    <x v="18"/>
    <x v="8"/>
    <x v="25"/>
    <x v="0"/>
    <x v="0"/>
    <x v="563"/>
    <x v="193"/>
    <s v="supplier@gmail.com"/>
  </r>
  <r>
    <x v="1489"/>
    <x v="1489"/>
    <x v="102"/>
    <x v="93"/>
    <x v="100"/>
    <x v="106"/>
    <x v="8"/>
    <x v="82"/>
    <x v="67"/>
    <x v="94"/>
    <x v="21"/>
    <x v="0"/>
    <x v="564"/>
    <x v="64"/>
    <s v="supplier@gmail.com"/>
  </r>
  <r>
    <x v="1490"/>
    <x v="1490"/>
    <x v="102"/>
    <x v="235"/>
    <x v="271"/>
    <x v="113"/>
    <x v="21"/>
    <x v="225"/>
    <x v="67"/>
    <x v="233"/>
    <x v="208"/>
    <x v="0"/>
    <x v="565"/>
    <x v="26"/>
    <s v="supplier@gmail.com"/>
  </r>
  <r>
    <x v="1491"/>
    <x v="1491"/>
    <x v="102"/>
    <x v="93"/>
    <x v="100"/>
    <x v="106"/>
    <x v="8"/>
    <x v="82"/>
    <x v="67"/>
    <x v="94"/>
    <x v="21"/>
    <x v="0"/>
    <x v="566"/>
    <x v="179"/>
    <s v="supplier@gmail.com"/>
  </r>
  <r>
    <x v="1492"/>
    <x v="1492"/>
    <x v="102"/>
    <x v="93"/>
    <x v="100"/>
    <x v="106"/>
    <x v="8"/>
    <x v="82"/>
    <x v="67"/>
    <x v="94"/>
    <x v="21"/>
    <x v="0"/>
    <x v="56"/>
    <x v="13"/>
    <s v="supplier@gmail.com"/>
  </r>
  <r>
    <x v="1493"/>
    <x v="1493"/>
    <x v="102"/>
    <x v="93"/>
    <x v="100"/>
    <x v="106"/>
    <x v="8"/>
    <x v="82"/>
    <x v="67"/>
    <x v="94"/>
    <x v="21"/>
    <x v="0"/>
    <x v="2"/>
    <x v="78"/>
    <s v="supplier@gmail.com"/>
  </r>
  <r>
    <x v="1494"/>
    <x v="1494"/>
    <x v="102"/>
    <x v="93"/>
    <x v="100"/>
    <x v="106"/>
    <x v="8"/>
    <x v="82"/>
    <x v="67"/>
    <x v="94"/>
    <x v="21"/>
    <x v="0"/>
    <x v="220"/>
    <x v="181"/>
    <s v="supplier@gmail.com"/>
  </r>
  <r>
    <x v="1495"/>
    <x v="1495"/>
    <x v="4"/>
    <x v="0"/>
    <x v="0"/>
    <x v="0"/>
    <x v="17"/>
    <x v="18"/>
    <x v="8"/>
    <x v="25"/>
    <x v="0"/>
    <x v="0"/>
    <x v="1"/>
    <x v="143"/>
    <s v="supplier@gmail.com"/>
  </r>
  <r>
    <x v="1496"/>
    <x v="1496"/>
    <x v="4"/>
    <x v="0"/>
    <x v="0"/>
    <x v="0"/>
    <x v="17"/>
    <x v="18"/>
    <x v="8"/>
    <x v="25"/>
    <x v="0"/>
    <x v="0"/>
    <x v="1"/>
    <x v="175"/>
    <s v="supplier@gmail.com"/>
  </r>
  <r>
    <x v="1497"/>
    <x v="1497"/>
    <x v="4"/>
    <x v="0"/>
    <x v="0"/>
    <x v="0"/>
    <x v="17"/>
    <x v="18"/>
    <x v="8"/>
    <x v="25"/>
    <x v="0"/>
    <x v="0"/>
    <x v="1"/>
    <x v="53"/>
    <s v="supplier@gmail.com"/>
  </r>
  <r>
    <x v="1498"/>
    <x v="1498"/>
    <x v="4"/>
    <x v="0"/>
    <x v="0"/>
    <x v="0"/>
    <x v="17"/>
    <x v="18"/>
    <x v="8"/>
    <x v="25"/>
    <x v="0"/>
    <x v="0"/>
    <x v="1"/>
    <x v="67"/>
    <s v="supplier@gmail.com"/>
  </r>
  <r>
    <x v="1499"/>
    <x v="1499"/>
    <x v="4"/>
    <x v="0"/>
    <x v="0"/>
    <x v="0"/>
    <x v="17"/>
    <x v="18"/>
    <x v="8"/>
    <x v="25"/>
    <x v="0"/>
    <x v="0"/>
    <x v="1"/>
    <x v="143"/>
    <s v="supplier@gmail.com"/>
  </r>
  <r>
    <x v="1500"/>
    <x v="1500"/>
    <x v="4"/>
    <x v="0"/>
    <x v="0"/>
    <x v="0"/>
    <x v="17"/>
    <x v="18"/>
    <x v="8"/>
    <x v="25"/>
    <x v="0"/>
    <x v="0"/>
    <x v="1"/>
    <x v="82"/>
    <s v="supplier@gmail.com"/>
  </r>
  <r>
    <x v="1501"/>
    <x v="1501"/>
    <x v="4"/>
    <x v="0"/>
    <x v="0"/>
    <x v="0"/>
    <x v="17"/>
    <x v="18"/>
    <x v="8"/>
    <x v="25"/>
    <x v="0"/>
    <x v="0"/>
    <x v="116"/>
    <x v="46"/>
    <s v="supplier@gmail.com"/>
  </r>
  <r>
    <x v="1502"/>
    <x v="1502"/>
    <x v="4"/>
    <x v="15"/>
    <x v="15"/>
    <x v="15"/>
    <x v="12"/>
    <x v="0"/>
    <x v="8"/>
    <x v="0"/>
    <x v="8"/>
    <x v="0"/>
    <x v="470"/>
    <x v="39"/>
    <s v="supplier@gmail.com"/>
  </r>
  <r>
    <x v="1503"/>
    <x v="1503"/>
    <x v="4"/>
    <x v="15"/>
    <x v="15"/>
    <x v="15"/>
    <x v="12"/>
    <x v="0"/>
    <x v="8"/>
    <x v="0"/>
    <x v="8"/>
    <x v="0"/>
    <x v="148"/>
    <x v="149"/>
    <s v="supplier@gmail.com"/>
  </r>
  <r>
    <x v="1504"/>
    <x v="1504"/>
    <x v="4"/>
    <x v="0"/>
    <x v="0"/>
    <x v="0"/>
    <x v="12"/>
    <x v="70"/>
    <x v="8"/>
    <x v="42"/>
    <x v="8"/>
    <x v="0"/>
    <x v="148"/>
    <x v="48"/>
    <s v="supplier@gmail.com"/>
  </r>
  <r>
    <x v="1505"/>
    <x v="1505"/>
    <x v="4"/>
    <x v="0"/>
    <x v="0"/>
    <x v="0"/>
    <x v="12"/>
    <x v="70"/>
    <x v="8"/>
    <x v="42"/>
    <x v="8"/>
    <x v="0"/>
    <x v="567"/>
    <x v="28"/>
    <s v="supplier@gmail.com"/>
  </r>
  <r>
    <x v="1506"/>
    <x v="1506"/>
    <x v="102"/>
    <x v="93"/>
    <x v="100"/>
    <x v="106"/>
    <x v="248"/>
    <x v="123"/>
    <x v="111"/>
    <x v="127"/>
    <x v="21"/>
    <x v="0"/>
    <x v="1"/>
    <x v="136"/>
    <s v="supplier@gmail.com"/>
  </r>
  <r>
    <x v="1507"/>
    <x v="1507"/>
    <x v="4"/>
    <x v="1"/>
    <x v="4"/>
    <x v="1"/>
    <x v="12"/>
    <x v="8"/>
    <x v="8"/>
    <x v="12"/>
    <x v="8"/>
    <x v="0"/>
    <x v="193"/>
    <x v="17"/>
    <s v="supplier@gmail.com"/>
  </r>
  <r>
    <x v="1508"/>
    <x v="1508"/>
    <x v="4"/>
    <x v="17"/>
    <x v="17"/>
    <x v="17"/>
    <x v="0"/>
    <x v="18"/>
    <x v="26"/>
    <x v="32"/>
    <x v="0"/>
    <x v="0"/>
    <x v="568"/>
    <x v="192"/>
    <s v="supplier@gmail.com"/>
  </r>
  <r>
    <x v="1509"/>
    <x v="1509"/>
    <x v="102"/>
    <x v="235"/>
    <x v="271"/>
    <x v="113"/>
    <x v="21"/>
    <x v="225"/>
    <x v="67"/>
    <x v="233"/>
    <x v="208"/>
    <x v="0"/>
    <x v="569"/>
    <x v="155"/>
    <s v="supplier@gmail.com"/>
  </r>
  <r>
    <x v="1510"/>
    <x v="1510"/>
    <x v="4"/>
    <x v="1"/>
    <x v="4"/>
    <x v="1"/>
    <x v="12"/>
    <x v="8"/>
    <x v="8"/>
    <x v="12"/>
    <x v="8"/>
    <x v="0"/>
    <x v="570"/>
    <x v="159"/>
    <s v="supplier@gmail.com"/>
  </r>
  <r>
    <x v="1511"/>
    <x v="1511"/>
    <x v="102"/>
    <x v="235"/>
    <x v="271"/>
    <x v="113"/>
    <x v="21"/>
    <x v="114"/>
    <x v="67"/>
    <x v="229"/>
    <x v="208"/>
    <x v="0"/>
    <x v="1"/>
    <x v="125"/>
    <s v="supplier@gmail.com"/>
  </r>
  <r>
    <x v="1512"/>
    <x v="1512"/>
    <x v="4"/>
    <x v="1"/>
    <x v="4"/>
    <x v="1"/>
    <x v="12"/>
    <x v="8"/>
    <x v="8"/>
    <x v="12"/>
    <x v="8"/>
    <x v="0"/>
    <x v="197"/>
    <x v="141"/>
    <s v="supplier@gmail.com"/>
  </r>
  <r>
    <x v="1513"/>
    <x v="1513"/>
    <x v="4"/>
    <x v="1"/>
    <x v="4"/>
    <x v="1"/>
    <x v="12"/>
    <x v="16"/>
    <x v="8"/>
    <x v="19"/>
    <x v="8"/>
    <x v="0"/>
    <x v="571"/>
    <x v="194"/>
    <s v="supplier@gmail.com"/>
  </r>
  <r>
    <x v="1514"/>
    <x v="1514"/>
    <x v="270"/>
    <x v="238"/>
    <x v="273"/>
    <x v="275"/>
    <x v="36"/>
    <x v="226"/>
    <x v="42"/>
    <x v="234"/>
    <x v="149"/>
    <x v="0"/>
    <x v="1"/>
    <x v="198"/>
    <s v="supplier@gmail.com"/>
  </r>
  <r>
    <x v="1515"/>
    <x v="1515"/>
    <x v="4"/>
    <x v="1"/>
    <x v="4"/>
    <x v="1"/>
    <x v="12"/>
    <x v="8"/>
    <x v="8"/>
    <x v="12"/>
    <x v="8"/>
    <x v="0"/>
    <x v="492"/>
    <x v="85"/>
    <s v="supplier@gmail.com"/>
  </r>
  <r>
    <x v="1516"/>
    <x v="1516"/>
    <x v="270"/>
    <x v="238"/>
    <x v="273"/>
    <x v="275"/>
    <x v="36"/>
    <x v="227"/>
    <x v="42"/>
    <x v="24"/>
    <x v="149"/>
    <x v="0"/>
    <x v="572"/>
    <x v="69"/>
    <s v="supplier@gmail.com"/>
  </r>
  <r>
    <x v="1517"/>
    <x v="1517"/>
    <x v="271"/>
    <x v="239"/>
    <x v="274"/>
    <x v="276"/>
    <x v="76"/>
    <x v="228"/>
    <x v="84"/>
    <x v="235"/>
    <x v="210"/>
    <x v="0"/>
    <x v="1"/>
    <x v="137"/>
    <s v="supplier@gmail.com"/>
  </r>
  <r>
    <x v="1518"/>
    <x v="1518"/>
    <x v="4"/>
    <x v="1"/>
    <x v="4"/>
    <x v="1"/>
    <x v="12"/>
    <x v="8"/>
    <x v="8"/>
    <x v="12"/>
    <x v="8"/>
    <x v="0"/>
    <x v="573"/>
    <x v="148"/>
    <s v="supplier@gmail.com"/>
  </r>
  <r>
    <x v="1519"/>
    <x v="1519"/>
    <x v="4"/>
    <x v="1"/>
    <x v="4"/>
    <x v="1"/>
    <x v="12"/>
    <x v="0"/>
    <x v="8"/>
    <x v="0"/>
    <x v="8"/>
    <x v="0"/>
    <x v="540"/>
    <x v="198"/>
    <s v="supplier@gmail.com"/>
  </r>
  <r>
    <x v="1520"/>
    <x v="1520"/>
    <x v="102"/>
    <x v="223"/>
    <x v="270"/>
    <x v="30"/>
    <x v="21"/>
    <x v="12"/>
    <x v="67"/>
    <x v="13"/>
    <x v="208"/>
    <x v="0"/>
    <x v="574"/>
    <x v="32"/>
    <s v="supplier@gmail.com"/>
  </r>
  <r>
    <x v="1521"/>
    <x v="1521"/>
    <x v="102"/>
    <x v="93"/>
    <x v="100"/>
    <x v="106"/>
    <x v="8"/>
    <x v="82"/>
    <x v="67"/>
    <x v="94"/>
    <x v="21"/>
    <x v="0"/>
    <x v="575"/>
    <x v="145"/>
    <s v="supplier@gmail.com"/>
  </r>
  <r>
    <x v="1522"/>
    <x v="1522"/>
    <x v="102"/>
    <x v="235"/>
    <x v="271"/>
    <x v="113"/>
    <x v="21"/>
    <x v="225"/>
    <x v="67"/>
    <x v="233"/>
    <x v="208"/>
    <x v="0"/>
    <x v="576"/>
    <x v="152"/>
    <s v="supplier@gmail.com"/>
  </r>
  <r>
    <x v="1523"/>
    <x v="1523"/>
    <x v="102"/>
    <x v="14"/>
    <x v="275"/>
    <x v="277"/>
    <x v="29"/>
    <x v="4"/>
    <x v="67"/>
    <x v="8"/>
    <x v="91"/>
    <x v="0"/>
    <x v="1"/>
    <x v="27"/>
    <s v="supplier@gmail.com"/>
  </r>
  <r>
    <x v="1524"/>
    <x v="1524"/>
    <x v="4"/>
    <x v="1"/>
    <x v="4"/>
    <x v="1"/>
    <x v="12"/>
    <x v="8"/>
    <x v="8"/>
    <x v="12"/>
    <x v="8"/>
    <x v="0"/>
    <x v="577"/>
    <x v="186"/>
    <s v="supplier@gmail.com"/>
  </r>
  <r>
    <x v="1525"/>
    <x v="1525"/>
    <x v="102"/>
    <x v="235"/>
    <x v="271"/>
    <x v="113"/>
    <x v="21"/>
    <x v="225"/>
    <x v="67"/>
    <x v="233"/>
    <x v="208"/>
    <x v="0"/>
    <x v="1"/>
    <x v="168"/>
    <s v="supplier@gmail.com"/>
  </r>
  <r>
    <x v="1526"/>
    <x v="1526"/>
    <x v="4"/>
    <x v="1"/>
    <x v="4"/>
    <x v="1"/>
    <x v="12"/>
    <x v="8"/>
    <x v="8"/>
    <x v="12"/>
    <x v="8"/>
    <x v="0"/>
    <x v="578"/>
    <x v="128"/>
    <s v="supplier@gmail.com"/>
  </r>
  <r>
    <x v="1527"/>
    <x v="1527"/>
    <x v="270"/>
    <x v="238"/>
    <x v="273"/>
    <x v="275"/>
    <x v="36"/>
    <x v="226"/>
    <x v="42"/>
    <x v="234"/>
    <x v="149"/>
    <x v="0"/>
    <x v="1"/>
    <x v="191"/>
    <s v="supplier@gmail.com"/>
  </r>
  <r>
    <x v="1528"/>
    <x v="1528"/>
    <x v="4"/>
    <x v="1"/>
    <x v="4"/>
    <x v="1"/>
    <x v="12"/>
    <x v="8"/>
    <x v="8"/>
    <x v="12"/>
    <x v="8"/>
    <x v="0"/>
    <x v="579"/>
    <x v="21"/>
    <s v="supplier@gmail.com"/>
  </r>
  <r>
    <x v="1529"/>
    <x v="1529"/>
    <x v="102"/>
    <x v="235"/>
    <x v="271"/>
    <x v="113"/>
    <x v="21"/>
    <x v="225"/>
    <x v="67"/>
    <x v="233"/>
    <x v="208"/>
    <x v="0"/>
    <x v="580"/>
    <x v="83"/>
    <s v="supplier@gmail.com"/>
  </r>
  <r>
    <x v="1530"/>
    <x v="1530"/>
    <x v="4"/>
    <x v="1"/>
    <x v="4"/>
    <x v="1"/>
    <x v="12"/>
    <x v="8"/>
    <x v="8"/>
    <x v="12"/>
    <x v="8"/>
    <x v="0"/>
    <x v="581"/>
    <x v="35"/>
    <s v="supplier@gmail.com"/>
  </r>
  <r>
    <x v="1531"/>
    <x v="1531"/>
    <x v="102"/>
    <x v="235"/>
    <x v="271"/>
    <x v="113"/>
    <x v="21"/>
    <x v="225"/>
    <x v="67"/>
    <x v="233"/>
    <x v="208"/>
    <x v="0"/>
    <x v="1"/>
    <x v="174"/>
    <s v="supplier@gmail.com"/>
  </r>
  <r>
    <x v="1532"/>
    <x v="1532"/>
    <x v="4"/>
    <x v="1"/>
    <x v="4"/>
    <x v="1"/>
    <x v="12"/>
    <x v="8"/>
    <x v="8"/>
    <x v="12"/>
    <x v="8"/>
    <x v="0"/>
    <x v="582"/>
    <x v="80"/>
    <s v="supplier@gmail.com"/>
  </r>
  <r>
    <x v="1533"/>
    <x v="1533"/>
    <x v="102"/>
    <x v="223"/>
    <x v="270"/>
    <x v="30"/>
    <x v="21"/>
    <x v="12"/>
    <x v="67"/>
    <x v="13"/>
    <x v="208"/>
    <x v="0"/>
    <x v="583"/>
    <x v="95"/>
    <s v="supplier@gmail.com"/>
  </r>
  <r>
    <x v="1534"/>
    <x v="1534"/>
    <x v="102"/>
    <x v="235"/>
    <x v="271"/>
    <x v="113"/>
    <x v="21"/>
    <x v="225"/>
    <x v="67"/>
    <x v="233"/>
    <x v="208"/>
    <x v="0"/>
    <x v="1"/>
    <x v="38"/>
    <s v="supplier@gmail.com"/>
  </r>
  <r>
    <x v="1535"/>
    <x v="1535"/>
    <x v="4"/>
    <x v="1"/>
    <x v="4"/>
    <x v="1"/>
    <x v="12"/>
    <x v="8"/>
    <x v="8"/>
    <x v="12"/>
    <x v="8"/>
    <x v="0"/>
    <x v="584"/>
    <x v="146"/>
    <s v="supplier@gmail.com"/>
  </r>
  <r>
    <x v="1536"/>
    <x v="1536"/>
    <x v="43"/>
    <x v="116"/>
    <x v="129"/>
    <x v="42"/>
    <x v="18"/>
    <x v="122"/>
    <x v="40"/>
    <x v="87"/>
    <x v="104"/>
    <x v="0"/>
    <x v="1"/>
    <x v="115"/>
    <s v="supplier@gmail.com"/>
  </r>
  <r>
    <x v="1537"/>
    <x v="1537"/>
    <x v="4"/>
    <x v="1"/>
    <x v="4"/>
    <x v="1"/>
    <x v="12"/>
    <x v="8"/>
    <x v="8"/>
    <x v="12"/>
    <x v="8"/>
    <x v="0"/>
    <x v="584"/>
    <x v="104"/>
    <s v="supplier@gmail.com"/>
  </r>
  <r>
    <x v="1538"/>
    <x v="1538"/>
    <x v="43"/>
    <x v="116"/>
    <x v="129"/>
    <x v="42"/>
    <x v="18"/>
    <x v="122"/>
    <x v="40"/>
    <x v="87"/>
    <x v="104"/>
    <x v="0"/>
    <x v="1"/>
    <x v="138"/>
    <s v="supplier@gmail.com"/>
  </r>
  <r>
    <x v="1539"/>
    <x v="1539"/>
    <x v="4"/>
    <x v="1"/>
    <x v="4"/>
    <x v="1"/>
    <x v="12"/>
    <x v="8"/>
    <x v="8"/>
    <x v="12"/>
    <x v="8"/>
    <x v="0"/>
    <x v="585"/>
    <x v="178"/>
    <s v="supplier@gmail.com"/>
  </r>
  <r>
    <x v="1540"/>
    <x v="1540"/>
    <x v="270"/>
    <x v="240"/>
    <x v="276"/>
    <x v="278"/>
    <x v="36"/>
    <x v="37"/>
    <x v="42"/>
    <x v="34"/>
    <x v="149"/>
    <x v="0"/>
    <x v="586"/>
    <x v="192"/>
    <s v="supplier@gmail.com"/>
  </r>
  <r>
    <x v="1541"/>
    <x v="1541"/>
    <x v="102"/>
    <x v="237"/>
    <x v="11"/>
    <x v="9"/>
    <x v="8"/>
    <x v="123"/>
    <x v="67"/>
    <x v="97"/>
    <x v="21"/>
    <x v="0"/>
    <x v="1"/>
    <x v="160"/>
    <s v="supplier@gmail.com"/>
  </r>
  <r>
    <x v="1542"/>
    <x v="1542"/>
    <x v="4"/>
    <x v="1"/>
    <x v="4"/>
    <x v="1"/>
    <x v="12"/>
    <x v="8"/>
    <x v="8"/>
    <x v="12"/>
    <x v="8"/>
    <x v="0"/>
    <x v="587"/>
    <x v="113"/>
    <s v="supplier@gmail.com"/>
  </r>
  <r>
    <x v="1543"/>
    <x v="1543"/>
    <x v="102"/>
    <x v="235"/>
    <x v="271"/>
    <x v="113"/>
    <x v="21"/>
    <x v="225"/>
    <x v="67"/>
    <x v="233"/>
    <x v="208"/>
    <x v="0"/>
    <x v="1"/>
    <x v="115"/>
    <s v="supplier@gmail.com"/>
  </r>
  <r>
    <x v="1544"/>
    <x v="1544"/>
    <x v="4"/>
    <x v="1"/>
    <x v="4"/>
    <x v="1"/>
    <x v="12"/>
    <x v="8"/>
    <x v="8"/>
    <x v="12"/>
    <x v="8"/>
    <x v="0"/>
    <x v="115"/>
    <x v="184"/>
    <s v="supplier@gmail.com"/>
  </r>
  <r>
    <x v="1545"/>
    <x v="1545"/>
    <x v="43"/>
    <x v="116"/>
    <x v="129"/>
    <x v="42"/>
    <x v="18"/>
    <x v="122"/>
    <x v="40"/>
    <x v="87"/>
    <x v="104"/>
    <x v="0"/>
    <x v="1"/>
    <x v="1"/>
    <s v="supplier@gmail.com"/>
  </r>
  <r>
    <x v="1546"/>
    <x v="1546"/>
    <x v="4"/>
    <x v="1"/>
    <x v="4"/>
    <x v="1"/>
    <x v="12"/>
    <x v="8"/>
    <x v="8"/>
    <x v="12"/>
    <x v="8"/>
    <x v="0"/>
    <x v="588"/>
    <x v="57"/>
    <s v="supplier@gmail.com"/>
  </r>
  <r>
    <x v="1547"/>
    <x v="1547"/>
    <x v="43"/>
    <x v="116"/>
    <x v="129"/>
    <x v="42"/>
    <x v="18"/>
    <x v="122"/>
    <x v="40"/>
    <x v="87"/>
    <x v="104"/>
    <x v="0"/>
    <x v="1"/>
    <x v="78"/>
    <s v="supplier@gmail.com"/>
  </r>
  <r>
    <x v="1548"/>
    <x v="1548"/>
    <x v="4"/>
    <x v="1"/>
    <x v="4"/>
    <x v="1"/>
    <x v="12"/>
    <x v="8"/>
    <x v="8"/>
    <x v="12"/>
    <x v="8"/>
    <x v="0"/>
    <x v="589"/>
    <x v="94"/>
    <s v="supplier@gmail.com"/>
  </r>
  <r>
    <x v="1549"/>
    <x v="1549"/>
    <x v="102"/>
    <x v="235"/>
    <x v="271"/>
    <x v="113"/>
    <x v="21"/>
    <x v="225"/>
    <x v="67"/>
    <x v="233"/>
    <x v="208"/>
    <x v="0"/>
    <x v="1"/>
    <x v="23"/>
    <s v="supplier@gmail.com"/>
  </r>
  <r>
    <x v="1550"/>
    <x v="1550"/>
    <x v="4"/>
    <x v="1"/>
    <x v="4"/>
    <x v="1"/>
    <x v="12"/>
    <x v="8"/>
    <x v="8"/>
    <x v="12"/>
    <x v="8"/>
    <x v="0"/>
    <x v="590"/>
    <x v="56"/>
    <s v="supplier@gmail.com"/>
  </r>
  <r>
    <x v="1551"/>
    <x v="1551"/>
    <x v="102"/>
    <x v="235"/>
    <x v="271"/>
    <x v="113"/>
    <x v="21"/>
    <x v="225"/>
    <x v="67"/>
    <x v="233"/>
    <x v="208"/>
    <x v="0"/>
    <x v="1"/>
    <x v="158"/>
    <s v="supplier@gmail.com"/>
  </r>
  <r>
    <x v="1552"/>
    <x v="1552"/>
    <x v="4"/>
    <x v="1"/>
    <x v="4"/>
    <x v="1"/>
    <x v="12"/>
    <x v="8"/>
    <x v="8"/>
    <x v="12"/>
    <x v="8"/>
    <x v="0"/>
    <x v="591"/>
    <x v="194"/>
    <s v="supplier@gmail.com"/>
  </r>
  <r>
    <x v="1553"/>
    <x v="1553"/>
    <x v="102"/>
    <x v="235"/>
    <x v="271"/>
    <x v="113"/>
    <x v="21"/>
    <x v="225"/>
    <x v="67"/>
    <x v="233"/>
    <x v="208"/>
    <x v="0"/>
    <x v="1"/>
    <x v="67"/>
    <s v="supplier@gmail.com"/>
  </r>
  <r>
    <x v="1554"/>
    <x v="1554"/>
    <x v="4"/>
    <x v="1"/>
    <x v="4"/>
    <x v="1"/>
    <x v="12"/>
    <x v="8"/>
    <x v="8"/>
    <x v="12"/>
    <x v="8"/>
    <x v="0"/>
    <x v="592"/>
    <x v="156"/>
    <s v="supplier@gmail.com"/>
  </r>
  <r>
    <x v="1555"/>
    <x v="1555"/>
    <x v="102"/>
    <x v="235"/>
    <x v="271"/>
    <x v="113"/>
    <x v="21"/>
    <x v="225"/>
    <x v="67"/>
    <x v="233"/>
    <x v="208"/>
    <x v="0"/>
    <x v="1"/>
    <x v="97"/>
    <s v="supplier@gmail.com"/>
  </r>
  <r>
    <x v="1556"/>
    <x v="1556"/>
    <x v="4"/>
    <x v="1"/>
    <x v="4"/>
    <x v="1"/>
    <x v="12"/>
    <x v="8"/>
    <x v="8"/>
    <x v="12"/>
    <x v="8"/>
    <x v="0"/>
    <x v="312"/>
    <x v="101"/>
    <s v="supplier@gmail.com"/>
  </r>
  <r>
    <x v="1557"/>
    <x v="1557"/>
    <x v="4"/>
    <x v="1"/>
    <x v="4"/>
    <x v="1"/>
    <x v="12"/>
    <x v="8"/>
    <x v="8"/>
    <x v="12"/>
    <x v="8"/>
    <x v="0"/>
    <x v="84"/>
    <x v="110"/>
    <s v="supplier@gmail.com"/>
  </r>
  <r>
    <x v="1558"/>
    <x v="1558"/>
    <x v="4"/>
    <x v="0"/>
    <x v="0"/>
    <x v="0"/>
    <x v="17"/>
    <x v="18"/>
    <x v="8"/>
    <x v="25"/>
    <x v="0"/>
    <x v="0"/>
    <x v="1"/>
    <x v="153"/>
    <s v="supplier@gmail.com"/>
  </r>
  <r>
    <x v="1559"/>
    <x v="1559"/>
    <x v="4"/>
    <x v="0"/>
    <x v="0"/>
    <x v="0"/>
    <x v="17"/>
    <x v="18"/>
    <x v="8"/>
    <x v="25"/>
    <x v="0"/>
    <x v="0"/>
    <x v="1"/>
    <x v="166"/>
    <s v="supplier@gmail.com"/>
  </r>
  <r>
    <x v="1560"/>
    <x v="1560"/>
    <x v="4"/>
    <x v="15"/>
    <x v="15"/>
    <x v="15"/>
    <x v="12"/>
    <x v="0"/>
    <x v="8"/>
    <x v="0"/>
    <x v="8"/>
    <x v="0"/>
    <x v="32"/>
    <x v="139"/>
    <s v="supplier@gmail.com"/>
  </r>
  <r>
    <x v="1561"/>
    <x v="1561"/>
    <x v="4"/>
    <x v="15"/>
    <x v="15"/>
    <x v="15"/>
    <x v="12"/>
    <x v="0"/>
    <x v="8"/>
    <x v="0"/>
    <x v="8"/>
    <x v="0"/>
    <x v="1"/>
    <x v="32"/>
    <s v="supplier@gmail.com"/>
  </r>
  <r>
    <x v="1562"/>
    <x v="1562"/>
    <x v="4"/>
    <x v="0"/>
    <x v="0"/>
    <x v="0"/>
    <x v="12"/>
    <x v="0"/>
    <x v="8"/>
    <x v="0"/>
    <x v="8"/>
    <x v="0"/>
    <x v="220"/>
    <x v="89"/>
    <s v="supplier@gmail.com"/>
  </r>
  <r>
    <x v="1563"/>
    <x v="1563"/>
    <x v="4"/>
    <x v="0"/>
    <x v="0"/>
    <x v="0"/>
    <x v="12"/>
    <x v="8"/>
    <x v="8"/>
    <x v="12"/>
    <x v="8"/>
    <x v="0"/>
    <x v="1"/>
    <x v="25"/>
    <s v="supplier@gmail.com"/>
  </r>
  <r>
    <x v="1564"/>
    <x v="1564"/>
    <x v="4"/>
    <x v="15"/>
    <x v="15"/>
    <x v="15"/>
    <x v="12"/>
    <x v="0"/>
    <x v="8"/>
    <x v="0"/>
    <x v="8"/>
    <x v="0"/>
    <x v="1"/>
    <x v="15"/>
    <s v="supplier@gmail.com"/>
  </r>
  <r>
    <x v="1565"/>
    <x v="1565"/>
    <x v="4"/>
    <x v="15"/>
    <x v="15"/>
    <x v="15"/>
    <x v="12"/>
    <x v="0"/>
    <x v="8"/>
    <x v="0"/>
    <x v="8"/>
    <x v="0"/>
    <x v="593"/>
    <x v="160"/>
    <s v="supplier@gmail.com"/>
  </r>
  <r>
    <x v="1566"/>
    <x v="1566"/>
    <x v="4"/>
    <x v="1"/>
    <x v="4"/>
    <x v="1"/>
    <x v="12"/>
    <x v="8"/>
    <x v="8"/>
    <x v="12"/>
    <x v="8"/>
    <x v="0"/>
    <x v="594"/>
    <x v="115"/>
    <s v="supplier@gmail.com"/>
  </r>
  <r>
    <x v="1567"/>
    <x v="1567"/>
    <x v="93"/>
    <x v="96"/>
    <x v="104"/>
    <x v="33"/>
    <x v="12"/>
    <x v="8"/>
    <x v="8"/>
    <x v="12"/>
    <x v="8"/>
    <x v="0"/>
    <x v="1"/>
    <x v="60"/>
    <s v="supplier@gmail.com"/>
  </r>
  <r>
    <x v="1568"/>
    <x v="1568"/>
    <x v="4"/>
    <x v="1"/>
    <x v="4"/>
    <x v="1"/>
    <x v="12"/>
    <x v="8"/>
    <x v="8"/>
    <x v="12"/>
    <x v="8"/>
    <x v="0"/>
    <x v="1"/>
    <x v="45"/>
    <s v="supplier@gmail.com"/>
  </r>
  <r>
    <x v="1569"/>
    <x v="1569"/>
    <x v="4"/>
    <x v="1"/>
    <x v="4"/>
    <x v="1"/>
    <x v="12"/>
    <x v="8"/>
    <x v="8"/>
    <x v="12"/>
    <x v="8"/>
    <x v="0"/>
    <x v="1"/>
    <x v="118"/>
    <s v="supplier@gmail.com"/>
  </r>
  <r>
    <x v="1570"/>
    <x v="1570"/>
    <x v="4"/>
    <x v="1"/>
    <x v="4"/>
    <x v="1"/>
    <x v="12"/>
    <x v="8"/>
    <x v="8"/>
    <x v="12"/>
    <x v="8"/>
    <x v="0"/>
    <x v="1"/>
    <x v="148"/>
    <s v="supplier@gmail.com"/>
  </r>
  <r>
    <x v="1571"/>
    <x v="1571"/>
    <x v="4"/>
    <x v="1"/>
    <x v="4"/>
    <x v="1"/>
    <x v="12"/>
    <x v="8"/>
    <x v="8"/>
    <x v="12"/>
    <x v="8"/>
    <x v="0"/>
    <x v="197"/>
    <x v="174"/>
    <s v="supplier@gmail.com"/>
  </r>
  <r>
    <x v="1572"/>
    <x v="1572"/>
    <x v="4"/>
    <x v="1"/>
    <x v="4"/>
    <x v="1"/>
    <x v="12"/>
    <x v="8"/>
    <x v="8"/>
    <x v="12"/>
    <x v="8"/>
    <x v="0"/>
    <x v="267"/>
    <x v="141"/>
    <s v="supplier@gmail.com"/>
  </r>
  <r>
    <x v="1573"/>
    <x v="1573"/>
    <x v="4"/>
    <x v="1"/>
    <x v="4"/>
    <x v="1"/>
    <x v="37"/>
    <x v="8"/>
    <x v="8"/>
    <x v="12"/>
    <x v="8"/>
    <x v="0"/>
    <x v="7"/>
    <x v="105"/>
    <s v="supplier@gmail.com"/>
  </r>
  <r>
    <x v="1574"/>
    <x v="1574"/>
    <x v="4"/>
    <x v="37"/>
    <x v="4"/>
    <x v="40"/>
    <x v="12"/>
    <x v="37"/>
    <x v="8"/>
    <x v="12"/>
    <x v="8"/>
    <x v="0"/>
    <x v="470"/>
    <x v="12"/>
    <s v="supplier@gmail.com"/>
  </r>
  <r>
    <x v="1575"/>
    <x v="1575"/>
    <x v="82"/>
    <x v="16"/>
    <x v="7"/>
    <x v="16"/>
    <x v="29"/>
    <x v="8"/>
    <x v="34"/>
    <x v="13"/>
    <x v="67"/>
    <x v="0"/>
    <x v="1"/>
    <x v="39"/>
    <s v="supplier@gmail.com"/>
  </r>
  <r>
    <x v="1576"/>
    <x v="1576"/>
    <x v="4"/>
    <x v="1"/>
    <x v="4"/>
    <x v="1"/>
    <x v="12"/>
    <x v="8"/>
    <x v="8"/>
    <x v="12"/>
    <x v="8"/>
    <x v="0"/>
    <x v="595"/>
    <x v="161"/>
    <s v="supplier@gmail.com"/>
  </r>
  <r>
    <x v="1577"/>
    <x v="1577"/>
    <x v="70"/>
    <x v="1"/>
    <x v="75"/>
    <x v="73"/>
    <x v="12"/>
    <x v="70"/>
    <x v="10"/>
    <x v="26"/>
    <x v="9"/>
    <x v="0"/>
    <x v="596"/>
    <x v="118"/>
    <s v="supplier@gmail.com"/>
  </r>
  <r>
    <x v="1578"/>
    <x v="1578"/>
    <x v="4"/>
    <x v="1"/>
    <x v="4"/>
    <x v="1"/>
    <x v="12"/>
    <x v="0"/>
    <x v="8"/>
    <x v="12"/>
    <x v="8"/>
    <x v="0"/>
    <x v="597"/>
    <x v="194"/>
    <s v="supplier@gmail.com"/>
  </r>
  <r>
    <x v="1579"/>
    <x v="1579"/>
    <x v="4"/>
    <x v="1"/>
    <x v="4"/>
    <x v="159"/>
    <x v="12"/>
    <x v="70"/>
    <x v="8"/>
    <x v="12"/>
    <x v="8"/>
    <x v="0"/>
    <x v="444"/>
    <x v="22"/>
    <s v="supplier@gmail.com"/>
  </r>
  <r>
    <x v="1580"/>
    <x v="1580"/>
    <x v="36"/>
    <x v="1"/>
    <x v="42"/>
    <x v="15"/>
    <x v="49"/>
    <x v="8"/>
    <x v="0"/>
    <x v="43"/>
    <x v="8"/>
    <x v="0"/>
    <x v="33"/>
    <x v="187"/>
    <s v="supplier@gmail.com"/>
  </r>
  <r>
    <x v="1581"/>
    <x v="1581"/>
    <x v="4"/>
    <x v="1"/>
    <x v="16"/>
    <x v="1"/>
    <x v="12"/>
    <x v="8"/>
    <x v="8"/>
    <x v="12"/>
    <x v="8"/>
    <x v="0"/>
    <x v="101"/>
    <x v="186"/>
    <s v="supplier@gmail.com"/>
  </r>
  <r>
    <x v="1582"/>
    <x v="1582"/>
    <x v="4"/>
    <x v="1"/>
    <x v="4"/>
    <x v="1"/>
    <x v="12"/>
    <x v="8"/>
    <x v="8"/>
    <x v="12"/>
    <x v="8"/>
    <x v="0"/>
    <x v="164"/>
    <x v="23"/>
    <s v="supplier@gmail.com"/>
  </r>
  <r>
    <x v="1583"/>
    <x v="1583"/>
    <x v="4"/>
    <x v="1"/>
    <x v="4"/>
    <x v="1"/>
    <x v="12"/>
    <x v="8"/>
    <x v="8"/>
    <x v="12"/>
    <x v="8"/>
    <x v="0"/>
    <x v="161"/>
    <x v="195"/>
    <s v="supplier@gmail.com"/>
  </r>
  <r>
    <x v="1584"/>
    <x v="1584"/>
    <x v="4"/>
    <x v="1"/>
    <x v="4"/>
    <x v="1"/>
    <x v="12"/>
    <x v="39"/>
    <x v="8"/>
    <x v="12"/>
    <x v="28"/>
    <x v="0"/>
    <x v="526"/>
    <x v="143"/>
    <s v="supplier@gmail.com"/>
  </r>
  <r>
    <x v="1585"/>
    <x v="1585"/>
    <x v="4"/>
    <x v="1"/>
    <x v="4"/>
    <x v="1"/>
    <x v="12"/>
    <x v="8"/>
    <x v="8"/>
    <x v="12"/>
    <x v="8"/>
    <x v="0"/>
    <x v="205"/>
    <x v="157"/>
    <s v="supplier@gmail.com"/>
  </r>
  <r>
    <x v="1586"/>
    <x v="1586"/>
    <x v="4"/>
    <x v="1"/>
    <x v="4"/>
    <x v="1"/>
    <x v="12"/>
    <x v="8"/>
    <x v="8"/>
    <x v="12"/>
    <x v="8"/>
    <x v="0"/>
    <x v="598"/>
    <x v="176"/>
    <s v="supplier@gmail.com"/>
  </r>
  <r>
    <x v="1587"/>
    <x v="1587"/>
    <x v="4"/>
    <x v="1"/>
    <x v="4"/>
    <x v="1"/>
    <x v="12"/>
    <x v="8"/>
    <x v="8"/>
    <x v="12"/>
    <x v="8"/>
    <x v="0"/>
    <x v="294"/>
    <x v="79"/>
    <s v="supplier@gmail.com"/>
  </r>
  <r>
    <x v="1588"/>
    <x v="1588"/>
    <x v="4"/>
    <x v="1"/>
    <x v="4"/>
    <x v="1"/>
    <x v="12"/>
    <x v="8"/>
    <x v="8"/>
    <x v="61"/>
    <x v="8"/>
    <x v="0"/>
    <x v="159"/>
    <x v="152"/>
    <s v="supplier@gmail.com"/>
  </r>
  <r>
    <x v="1589"/>
    <x v="1589"/>
    <x v="4"/>
    <x v="1"/>
    <x v="4"/>
    <x v="1"/>
    <x v="12"/>
    <x v="8"/>
    <x v="8"/>
    <x v="61"/>
    <x v="8"/>
    <x v="0"/>
    <x v="3"/>
    <x v="76"/>
    <s v="supplier@gmail.com"/>
  </r>
  <r>
    <x v="1590"/>
    <x v="1590"/>
    <x v="4"/>
    <x v="1"/>
    <x v="4"/>
    <x v="1"/>
    <x v="12"/>
    <x v="8"/>
    <x v="8"/>
    <x v="12"/>
    <x v="8"/>
    <x v="0"/>
    <x v="599"/>
    <x v="29"/>
    <s v="supplier@gmail.com"/>
  </r>
  <r>
    <x v="1591"/>
    <x v="1591"/>
    <x v="4"/>
    <x v="1"/>
    <x v="4"/>
    <x v="1"/>
    <x v="12"/>
    <x v="8"/>
    <x v="8"/>
    <x v="12"/>
    <x v="8"/>
    <x v="0"/>
    <x v="193"/>
    <x v="154"/>
    <s v="supplier@gmail.com"/>
  </r>
  <r>
    <x v="1592"/>
    <x v="1592"/>
    <x v="4"/>
    <x v="1"/>
    <x v="4"/>
    <x v="1"/>
    <x v="12"/>
    <x v="8"/>
    <x v="8"/>
    <x v="12"/>
    <x v="8"/>
    <x v="0"/>
    <x v="405"/>
    <x v="62"/>
    <s v="supplier@gmail.com"/>
  </r>
  <r>
    <x v="1593"/>
    <x v="1593"/>
    <x v="4"/>
    <x v="1"/>
    <x v="15"/>
    <x v="15"/>
    <x v="12"/>
    <x v="8"/>
    <x v="8"/>
    <x v="32"/>
    <x v="8"/>
    <x v="0"/>
    <x v="600"/>
    <x v="110"/>
    <s v="supplier@gmail.com"/>
  </r>
  <r>
    <x v="1594"/>
    <x v="1594"/>
    <x v="42"/>
    <x v="16"/>
    <x v="12"/>
    <x v="36"/>
    <x v="36"/>
    <x v="39"/>
    <x v="40"/>
    <x v="13"/>
    <x v="6"/>
    <x v="0"/>
    <x v="550"/>
    <x v="190"/>
    <s v="supplier@gmail.com"/>
  </r>
  <r>
    <x v="1595"/>
    <x v="1595"/>
    <x v="4"/>
    <x v="1"/>
    <x v="4"/>
    <x v="26"/>
    <x v="29"/>
    <x v="3"/>
    <x v="8"/>
    <x v="12"/>
    <x v="29"/>
    <x v="0"/>
    <x v="25"/>
    <x v="114"/>
    <s v="supplier@gmail.com"/>
  </r>
  <r>
    <x v="1596"/>
    <x v="1596"/>
    <x v="4"/>
    <x v="66"/>
    <x v="4"/>
    <x v="1"/>
    <x v="12"/>
    <x v="8"/>
    <x v="8"/>
    <x v="12"/>
    <x v="8"/>
    <x v="0"/>
    <x v="210"/>
    <x v="37"/>
    <s v="supplier@gmail.com"/>
  </r>
  <r>
    <x v="1597"/>
    <x v="1597"/>
    <x v="4"/>
    <x v="1"/>
    <x v="4"/>
    <x v="1"/>
    <x v="12"/>
    <x v="8"/>
    <x v="8"/>
    <x v="12"/>
    <x v="8"/>
    <x v="0"/>
    <x v="179"/>
    <x v="176"/>
    <s v="supplier@gmail.com"/>
  </r>
  <r>
    <x v="1598"/>
    <x v="1598"/>
    <x v="13"/>
    <x v="1"/>
    <x v="7"/>
    <x v="6"/>
    <x v="8"/>
    <x v="39"/>
    <x v="34"/>
    <x v="12"/>
    <x v="9"/>
    <x v="0"/>
    <x v="65"/>
    <x v="181"/>
    <s v="supplier@gmail.com"/>
  </r>
  <r>
    <x v="1599"/>
    <x v="1599"/>
    <x v="4"/>
    <x v="1"/>
    <x v="4"/>
    <x v="26"/>
    <x v="29"/>
    <x v="3"/>
    <x v="8"/>
    <x v="12"/>
    <x v="29"/>
    <x v="0"/>
    <x v="1"/>
    <x v="172"/>
    <s v="supplier@gmail.com"/>
  </r>
  <r>
    <x v="1600"/>
    <x v="1600"/>
    <x v="4"/>
    <x v="1"/>
    <x v="4"/>
    <x v="1"/>
    <x v="37"/>
    <x v="8"/>
    <x v="8"/>
    <x v="12"/>
    <x v="8"/>
    <x v="0"/>
    <x v="47"/>
    <x v="6"/>
    <s v="supplier@gmail.com"/>
  </r>
  <r>
    <x v="1601"/>
    <x v="1601"/>
    <x v="4"/>
    <x v="1"/>
    <x v="8"/>
    <x v="1"/>
    <x v="13"/>
    <x v="10"/>
    <x v="8"/>
    <x v="12"/>
    <x v="8"/>
    <x v="0"/>
    <x v="593"/>
    <x v="172"/>
    <s v="supplier@gmail.com"/>
  </r>
  <r>
    <x v="1602"/>
    <x v="1602"/>
    <x v="4"/>
    <x v="1"/>
    <x v="4"/>
    <x v="1"/>
    <x v="12"/>
    <x v="8"/>
    <x v="8"/>
    <x v="12"/>
    <x v="8"/>
    <x v="0"/>
    <x v="103"/>
    <x v="109"/>
    <s v="supplier@gmail.com"/>
  </r>
  <r>
    <x v="1603"/>
    <x v="1603"/>
    <x v="4"/>
    <x v="1"/>
    <x v="4"/>
    <x v="1"/>
    <x v="12"/>
    <x v="8"/>
    <x v="8"/>
    <x v="12"/>
    <x v="8"/>
    <x v="0"/>
    <x v="601"/>
    <x v="129"/>
    <s v="supplier@gmail.com"/>
  </r>
  <r>
    <x v="1604"/>
    <x v="1604"/>
    <x v="4"/>
    <x v="37"/>
    <x v="4"/>
    <x v="40"/>
    <x v="29"/>
    <x v="37"/>
    <x v="8"/>
    <x v="13"/>
    <x v="8"/>
    <x v="0"/>
    <x v="338"/>
    <x v="189"/>
    <s v="supplier@gmail.com"/>
  </r>
  <r>
    <x v="1605"/>
    <x v="1605"/>
    <x v="40"/>
    <x v="1"/>
    <x v="4"/>
    <x v="1"/>
    <x v="12"/>
    <x v="8"/>
    <x v="152"/>
    <x v="12"/>
    <x v="8"/>
    <x v="0"/>
    <x v="517"/>
    <x v="21"/>
    <s v="supplier@gmail.com"/>
  </r>
  <r>
    <x v="1606"/>
    <x v="1606"/>
    <x v="44"/>
    <x v="1"/>
    <x v="15"/>
    <x v="1"/>
    <x v="0"/>
    <x v="8"/>
    <x v="8"/>
    <x v="0"/>
    <x v="8"/>
    <x v="0"/>
    <x v="602"/>
    <x v="196"/>
    <s v="supplier@gmail.com"/>
  </r>
  <r>
    <x v="1607"/>
    <x v="1607"/>
    <x v="67"/>
    <x v="1"/>
    <x v="4"/>
    <x v="1"/>
    <x v="12"/>
    <x v="8"/>
    <x v="8"/>
    <x v="12"/>
    <x v="8"/>
    <x v="0"/>
    <x v="371"/>
    <x v="19"/>
    <s v="supplier@gmail.com"/>
  </r>
  <r>
    <x v="1608"/>
    <x v="1608"/>
    <x v="82"/>
    <x v="1"/>
    <x v="7"/>
    <x v="1"/>
    <x v="12"/>
    <x v="8"/>
    <x v="8"/>
    <x v="12"/>
    <x v="12"/>
    <x v="0"/>
    <x v="603"/>
    <x v="77"/>
    <s v="supplier@gmail.com"/>
  </r>
  <r>
    <x v="1609"/>
    <x v="1609"/>
    <x v="4"/>
    <x v="1"/>
    <x v="4"/>
    <x v="1"/>
    <x v="29"/>
    <x v="8"/>
    <x v="8"/>
    <x v="13"/>
    <x v="8"/>
    <x v="0"/>
    <x v="604"/>
    <x v="39"/>
    <s v="supplier@gmail.com"/>
  </r>
  <r>
    <x v="1610"/>
    <x v="1610"/>
    <x v="36"/>
    <x v="1"/>
    <x v="35"/>
    <x v="0"/>
    <x v="23"/>
    <x v="8"/>
    <x v="8"/>
    <x v="42"/>
    <x v="8"/>
    <x v="0"/>
    <x v="39"/>
    <x v="147"/>
    <s v="supplier@gmail.com"/>
  </r>
  <r>
    <x v="1611"/>
    <x v="1611"/>
    <x v="4"/>
    <x v="1"/>
    <x v="4"/>
    <x v="1"/>
    <x v="12"/>
    <x v="8"/>
    <x v="8"/>
    <x v="12"/>
    <x v="8"/>
    <x v="0"/>
    <x v="605"/>
    <x v="82"/>
    <s v="supplier@gmail.com"/>
  </r>
  <r>
    <x v="1612"/>
    <x v="1612"/>
    <x v="4"/>
    <x v="1"/>
    <x v="4"/>
    <x v="125"/>
    <x v="12"/>
    <x v="8"/>
    <x v="8"/>
    <x v="19"/>
    <x v="8"/>
    <x v="0"/>
    <x v="606"/>
    <x v="56"/>
    <s v="supplier@gmail.com"/>
  </r>
  <r>
    <x v="1613"/>
    <x v="1613"/>
    <x v="4"/>
    <x v="1"/>
    <x v="4"/>
    <x v="80"/>
    <x v="12"/>
    <x v="8"/>
    <x v="62"/>
    <x v="12"/>
    <x v="8"/>
    <x v="0"/>
    <x v="107"/>
    <x v="4"/>
    <s v="supplier@gmail.com"/>
  </r>
  <r>
    <x v="1614"/>
    <x v="1614"/>
    <x v="34"/>
    <x v="241"/>
    <x v="277"/>
    <x v="279"/>
    <x v="251"/>
    <x v="153"/>
    <x v="40"/>
    <x v="236"/>
    <x v="19"/>
    <x v="0"/>
    <x v="261"/>
    <x v="128"/>
    <s v="supplier@gmail.com"/>
  </r>
  <r>
    <x v="1615"/>
    <x v="1615"/>
    <x v="158"/>
    <x v="12"/>
    <x v="278"/>
    <x v="160"/>
    <x v="1"/>
    <x v="3"/>
    <x v="3"/>
    <x v="149"/>
    <x v="13"/>
    <x v="0"/>
    <x v="261"/>
    <x v="134"/>
    <s v="supplier@gmail.com"/>
  </r>
  <r>
    <x v="1616"/>
    <x v="1616"/>
    <x v="158"/>
    <x v="12"/>
    <x v="278"/>
    <x v="160"/>
    <x v="1"/>
    <x v="3"/>
    <x v="3"/>
    <x v="149"/>
    <x v="13"/>
    <x v="0"/>
    <x v="32"/>
    <x v="186"/>
    <s v="supplier@gmail.com"/>
  </r>
  <r>
    <x v="1617"/>
    <x v="1617"/>
    <x v="4"/>
    <x v="1"/>
    <x v="4"/>
    <x v="1"/>
    <x v="12"/>
    <x v="8"/>
    <x v="8"/>
    <x v="12"/>
    <x v="8"/>
    <x v="0"/>
    <x v="1"/>
    <x v="31"/>
    <s v="supplier@gmail.com"/>
  </r>
  <r>
    <x v="1618"/>
    <x v="1618"/>
    <x v="158"/>
    <x v="140"/>
    <x v="151"/>
    <x v="160"/>
    <x v="10"/>
    <x v="124"/>
    <x v="85"/>
    <x v="132"/>
    <x v="123"/>
    <x v="0"/>
    <x v="187"/>
    <x v="7"/>
    <s v="supplier@gmail.com"/>
  </r>
  <r>
    <x v="1619"/>
    <x v="1619"/>
    <x v="4"/>
    <x v="1"/>
    <x v="4"/>
    <x v="1"/>
    <x v="12"/>
    <x v="8"/>
    <x v="8"/>
    <x v="12"/>
    <x v="8"/>
    <x v="0"/>
    <x v="44"/>
    <x v="4"/>
    <s v="supplier@gmail.com"/>
  </r>
  <r>
    <x v="1620"/>
    <x v="1620"/>
    <x v="4"/>
    <x v="1"/>
    <x v="4"/>
    <x v="1"/>
    <x v="12"/>
    <x v="8"/>
    <x v="8"/>
    <x v="12"/>
    <x v="8"/>
    <x v="0"/>
    <x v="44"/>
    <x v="175"/>
    <s v="supplier@gmail.com"/>
  </r>
  <r>
    <x v="1621"/>
    <x v="1621"/>
    <x v="4"/>
    <x v="1"/>
    <x v="4"/>
    <x v="1"/>
    <x v="12"/>
    <x v="8"/>
    <x v="8"/>
    <x v="12"/>
    <x v="8"/>
    <x v="0"/>
    <x v="84"/>
    <x v="160"/>
    <s v="supplier@gmail.com"/>
  </r>
  <r>
    <x v="1622"/>
    <x v="1622"/>
    <x v="272"/>
    <x v="242"/>
    <x v="279"/>
    <x v="280"/>
    <x v="252"/>
    <x v="229"/>
    <x v="222"/>
    <x v="76"/>
    <x v="211"/>
    <x v="0"/>
    <x v="1"/>
    <x v="146"/>
    <s v="supplier@gmail.com"/>
  </r>
  <r>
    <x v="1623"/>
    <x v="1623"/>
    <x v="11"/>
    <x v="243"/>
    <x v="280"/>
    <x v="281"/>
    <x v="43"/>
    <x v="230"/>
    <x v="223"/>
    <x v="237"/>
    <x v="34"/>
    <x v="0"/>
    <x v="1"/>
    <x v="163"/>
    <s v="supplier@gmail.com"/>
  </r>
  <r>
    <x v="1624"/>
    <x v="1624"/>
    <x v="13"/>
    <x v="11"/>
    <x v="12"/>
    <x v="9"/>
    <x v="12"/>
    <x v="14"/>
    <x v="9"/>
    <x v="6"/>
    <x v="9"/>
    <x v="0"/>
    <x v="18"/>
    <x v="11"/>
    <s v="supplier@gmail.com"/>
  </r>
  <r>
    <x v="1625"/>
    <x v="1625"/>
    <x v="4"/>
    <x v="1"/>
    <x v="4"/>
    <x v="1"/>
    <x v="12"/>
    <x v="8"/>
    <x v="8"/>
    <x v="12"/>
    <x v="8"/>
    <x v="0"/>
    <x v="607"/>
    <x v="153"/>
    <s v="supplier@gmail.com"/>
  </r>
  <r>
    <x v="1626"/>
    <x v="1626"/>
    <x v="273"/>
    <x v="244"/>
    <x v="281"/>
    <x v="126"/>
    <x v="43"/>
    <x v="45"/>
    <x v="224"/>
    <x v="238"/>
    <x v="212"/>
    <x v="0"/>
    <x v="608"/>
    <x v="30"/>
    <s v="supplier@gmail.com"/>
  </r>
  <r>
    <x v="1627"/>
    <x v="1627"/>
    <x v="158"/>
    <x v="140"/>
    <x v="151"/>
    <x v="160"/>
    <x v="10"/>
    <x v="124"/>
    <x v="85"/>
    <x v="132"/>
    <x v="123"/>
    <x v="0"/>
    <x v="609"/>
    <x v="96"/>
    <s v="supplier@gmail.com"/>
  </r>
  <r>
    <x v="1628"/>
    <x v="1628"/>
    <x v="158"/>
    <x v="140"/>
    <x v="151"/>
    <x v="160"/>
    <x v="10"/>
    <x v="124"/>
    <x v="85"/>
    <x v="132"/>
    <x v="123"/>
    <x v="0"/>
    <x v="3"/>
    <x v="93"/>
    <s v="supplier@gmail.com"/>
  </r>
  <r>
    <x v="1629"/>
    <x v="1629"/>
    <x v="274"/>
    <x v="245"/>
    <x v="282"/>
    <x v="282"/>
    <x v="253"/>
    <x v="231"/>
    <x v="225"/>
    <x v="239"/>
    <x v="213"/>
    <x v="0"/>
    <x v="610"/>
    <x v="78"/>
    <s v="supplier@gmail.com"/>
  </r>
  <r>
    <x v="1630"/>
    <x v="1630"/>
    <x v="275"/>
    <x v="246"/>
    <x v="283"/>
    <x v="283"/>
    <x v="96"/>
    <x v="232"/>
    <x v="226"/>
    <x v="240"/>
    <x v="214"/>
    <x v="0"/>
    <x v="1"/>
    <x v="13"/>
    <s v="supplier@gmail.com"/>
  </r>
  <r>
    <x v="1631"/>
    <x v="1631"/>
    <x v="41"/>
    <x v="39"/>
    <x v="44"/>
    <x v="44"/>
    <x v="42"/>
    <x v="43"/>
    <x v="146"/>
    <x v="151"/>
    <x v="139"/>
    <x v="0"/>
    <x v="13"/>
    <x v="153"/>
    <s v="supplier@gmail.com"/>
  </r>
  <r>
    <x v="1632"/>
    <x v="1632"/>
    <x v="4"/>
    <x v="116"/>
    <x v="4"/>
    <x v="36"/>
    <x v="21"/>
    <x v="8"/>
    <x v="67"/>
    <x v="12"/>
    <x v="9"/>
    <x v="0"/>
    <x v="409"/>
    <x v="48"/>
    <s v="supplier@gmail.com"/>
  </r>
  <r>
    <x v="1633"/>
    <x v="1633"/>
    <x v="24"/>
    <x v="1"/>
    <x v="284"/>
    <x v="1"/>
    <x v="49"/>
    <x v="8"/>
    <x v="8"/>
    <x v="43"/>
    <x v="8"/>
    <x v="0"/>
    <x v="565"/>
    <x v="155"/>
    <s v="supplier@gmail.com"/>
  </r>
  <r>
    <x v="1634"/>
    <x v="1634"/>
    <x v="7"/>
    <x v="1"/>
    <x v="13"/>
    <x v="1"/>
    <x v="12"/>
    <x v="8"/>
    <x v="8"/>
    <x v="12"/>
    <x v="8"/>
    <x v="0"/>
    <x v="560"/>
    <x v="149"/>
    <s v="supplier@gmail.com"/>
  </r>
  <r>
    <x v="1635"/>
    <x v="1635"/>
    <x v="264"/>
    <x v="25"/>
    <x v="285"/>
    <x v="137"/>
    <x v="178"/>
    <x v="233"/>
    <x v="227"/>
    <x v="241"/>
    <x v="138"/>
    <x v="0"/>
    <x v="153"/>
    <x v="69"/>
    <s v="supplier@gmail.com"/>
  </r>
  <r>
    <x v="1636"/>
    <x v="1636"/>
    <x v="110"/>
    <x v="25"/>
    <x v="12"/>
    <x v="193"/>
    <x v="254"/>
    <x v="6"/>
    <x v="12"/>
    <x v="93"/>
    <x v="6"/>
    <x v="0"/>
    <x v="102"/>
    <x v="47"/>
    <s v="supplier@gmail.com"/>
  </r>
  <r>
    <x v="1637"/>
    <x v="1637"/>
    <x v="44"/>
    <x v="110"/>
    <x v="4"/>
    <x v="34"/>
    <x v="17"/>
    <x v="18"/>
    <x v="27"/>
    <x v="26"/>
    <x v="0"/>
    <x v="0"/>
    <x v="611"/>
    <x v="177"/>
    <s v="supplier@gmail.com"/>
  </r>
  <r>
    <x v="1638"/>
    <x v="1638"/>
    <x v="21"/>
    <x v="231"/>
    <x v="33"/>
    <x v="284"/>
    <x v="8"/>
    <x v="20"/>
    <x v="29"/>
    <x v="242"/>
    <x v="28"/>
    <x v="0"/>
    <x v="612"/>
    <x v="105"/>
    <s v="supplier@gmail.com"/>
  </r>
  <r>
    <x v="1639"/>
    <x v="1639"/>
    <x v="44"/>
    <x v="110"/>
    <x v="4"/>
    <x v="34"/>
    <x v="17"/>
    <x v="18"/>
    <x v="27"/>
    <x v="26"/>
    <x v="0"/>
    <x v="0"/>
    <x v="1"/>
    <x v="95"/>
    <s v="supplier@gmail.com"/>
  </r>
  <r>
    <x v="1640"/>
    <x v="1640"/>
    <x v="4"/>
    <x v="1"/>
    <x v="4"/>
    <x v="1"/>
    <x v="12"/>
    <x v="8"/>
    <x v="8"/>
    <x v="12"/>
    <x v="8"/>
    <x v="0"/>
    <x v="447"/>
    <x v="67"/>
    <s v="supplier@gmail.com"/>
  </r>
  <r>
    <x v="1641"/>
    <x v="1641"/>
    <x v="27"/>
    <x v="29"/>
    <x v="12"/>
    <x v="29"/>
    <x v="21"/>
    <x v="24"/>
    <x v="22"/>
    <x v="1"/>
    <x v="21"/>
    <x v="0"/>
    <x v="142"/>
    <x v="55"/>
    <s v="supplier@gmail.com"/>
  </r>
  <r>
    <x v="1642"/>
    <x v="1642"/>
    <x v="20"/>
    <x v="15"/>
    <x v="15"/>
    <x v="1"/>
    <x v="27"/>
    <x v="8"/>
    <x v="17"/>
    <x v="12"/>
    <x v="8"/>
    <x v="0"/>
    <x v="613"/>
    <x v="185"/>
    <s v="supplier@gmail.com"/>
  </r>
  <r>
    <x v="1643"/>
    <x v="1643"/>
    <x v="185"/>
    <x v="163"/>
    <x v="286"/>
    <x v="285"/>
    <x v="255"/>
    <x v="234"/>
    <x v="73"/>
    <x v="243"/>
    <x v="59"/>
    <x v="0"/>
    <x v="1"/>
    <x v="134"/>
    <s v="supplier@gmail.com"/>
  </r>
  <r>
    <x v="1644"/>
    <x v="1644"/>
    <x v="144"/>
    <x v="1"/>
    <x v="4"/>
    <x v="17"/>
    <x v="12"/>
    <x v="8"/>
    <x v="8"/>
    <x v="12"/>
    <x v="8"/>
    <x v="0"/>
    <x v="38"/>
    <x v="50"/>
    <s v="supplier@gmail.com"/>
  </r>
  <r>
    <x v="1645"/>
    <x v="1645"/>
    <x v="4"/>
    <x v="1"/>
    <x v="4"/>
    <x v="1"/>
    <x v="12"/>
    <x v="8"/>
    <x v="8"/>
    <x v="12"/>
    <x v="0"/>
    <x v="0"/>
    <x v="226"/>
    <x v="188"/>
    <s v="supplier@gmail.com"/>
  </r>
  <r>
    <x v="1646"/>
    <x v="1646"/>
    <x v="4"/>
    <x v="1"/>
    <x v="4"/>
    <x v="1"/>
    <x v="12"/>
    <x v="8"/>
    <x v="8"/>
    <x v="12"/>
    <x v="8"/>
    <x v="0"/>
    <x v="1"/>
    <x v="88"/>
    <s v="supplier@gmail.com"/>
  </r>
  <r>
    <x v="1647"/>
    <x v="1647"/>
    <x v="4"/>
    <x v="1"/>
    <x v="4"/>
    <x v="1"/>
    <x v="12"/>
    <x v="8"/>
    <x v="8"/>
    <x v="12"/>
    <x v="8"/>
    <x v="0"/>
    <x v="36"/>
    <x v="139"/>
    <s v="supplier@gmail.com"/>
  </r>
  <r>
    <x v="1648"/>
    <x v="1648"/>
    <x v="4"/>
    <x v="1"/>
    <x v="4"/>
    <x v="1"/>
    <x v="12"/>
    <x v="8"/>
    <x v="8"/>
    <x v="12"/>
    <x v="8"/>
    <x v="0"/>
    <x v="614"/>
    <x v="137"/>
    <s v="supplier@gmail.com"/>
  </r>
  <r>
    <x v="1649"/>
    <x v="1649"/>
    <x v="13"/>
    <x v="16"/>
    <x v="12"/>
    <x v="6"/>
    <x v="8"/>
    <x v="39"/>
    <x v="34"/>
    <x v="12"/>
    <x v="12"/>
    <x v="0"/>
    <x v="470"/>
    <x v="81"/>
    <s v="supplier@gmail.com"/>
  </r>
  <r>
    <x v="1650"/>
    <x v="1650"/>
    <x v="4"/>
    <x v="1"/>
    <x v="4"/>
    <x v="1"/>
    <x v="29"/>
    <x v="8"/>
    <x v="8"/>
    <x v="13"/>
    <x v="8"/>
    <x v="0"/>
    <x v="26"/>
    <x v="132"/>
    <s v="supplier@gmail.com"/>
  </r>
  <r>
    <x v="1651"/>
    <x v="1651"/>
    <x v="276"/>
    <x v="127"/>
    <x v="28"/>
    <x v="286"/>
    <x v="256"/>
    <x v="235"/>
    <x v="42"/>
    <x v="244"/>
    <x v="215"/>
    <x v="0"/>
    <x v="84"/>
    <x v="8"/>
    <s v="supplier@gmail.com"/>
  </r>
  <r>
    <x v="1652"/>
    <x v="1652"/>
    <x v="4"/>
    <x v="1"/>
    <x v="4"/>
    <x v="1"/>
    <x v="12"/>
    <x v="70"/>
    <x v="8"/>
    <x v="12"/>
    <x v="8"/>
    <x v="0"/>
    <x v="99"/>
    <x v="13"/>
    <s v="supplier@gmail.com"/>
  </r>
  <r>
    <x v="1653"/>
    <x v="1653"/>
    <x v="36"/>
    <x v="1"/>
    <x v="6"/>
    <x v="0"/>
    <x v="49"/>
    <x v="8"/>
    <x v="0"/>
    <x v="43"/>
    <x v="8"/>
    <x v="0"/>
    <x v="615"/>
    <x v="190"/>
    <s v="supplier@gmail.com"/>
  </r>
  <r>
    <x v="1654"/>
    <x v="1654"/>
    <x v="36"/>
    <x v="1"/>
    <x v="6"/>
    <x v="0"/>
    <x v="49"/>
    <x v="8"/>
    <x v="0"/>
    <x v="43"/>
    <x v="8"/>
    <x v="0"/>
    <x v="1"/>
    <x v="195"/>
    <s v="supplier@gmail.com"/>
  </r>
  <r>
    <x v="1655"/>
    <x v="1655"/>
    <x v="154"/>
    <x v="93"/>
    <x v="25"/>
    <x v="287"/>
    <x v="257"/>
    <x v="221"/>
    <x v="227"/>
    <x v="245"/>
    <x v="216"/>
    <x v="0"/>
    <x v="616"/>
    <x v="68"/>
    <s v="supplier@gmail.com"/>
  </r>
  <r>
    <x v="1656"/>
    <x v="1656"/>
    <x v="82"/>
    <x v="1"/>
    <x v="4"/>
    <x v="16"/>
    <x v="12"/>
    <x v="8"/>
    <x v="34"/>
    <x v="12"/>
    <x v="28"/>
    <x v="0"/>
    <x v="1"/>
    <x v="70"/>
    <s v="supplier@gmail.com"/>
  </r>
  <r>
    <x v="1657"/>
    <x v="1657"/>
    <x v="4"/>
    <x v="1"/>
    <x v="4"/>
    <x v="1"/>
    <x v="12"/>
    <x v="8"/>
    <x v="8"/>
    <x v="12"/>
    <x v="8"/>
    <x v="0"/>
    <x v="617"/>
    <x v="86"/>
    <s v="supplier@gmail.com"/>
  </r>
  <r>
    <x v="1658"/>
    <x v="1658"/>
    <x v="277"/>
    <x v="247"/>
    <x v="287"/>
    <x v="288"/>
    <x v="258"/>
    <x v="236"/>
    <x v="228"/>
    <x v="246"/>
    <x v="217"/>
    <x v="0"/>
    <x v="618"/>
    <x v="116"/>
    <s v="supplier@gmail.com"/>
  </r>
  <r>
    <x v="1659"/>
    <x v="1659"/>
    <x v="8"/>
    <x v="248"/>
    <x v="11"/>
    <x v="289"/>
    <x v="9"/>
    <x v="114"/>
    <x v="101"/>
    <x v="5"/>
    <x v="218"/>
    <x v="0"/>
    <x v="619"/>
    <x v="156"/>
    <s v="supplier@gmail.com"/>
  </r>
  <r>
    <x v="1660"/>
    <x v="1660"/>
    <x v="4"/>
    <x v="1"/>
    <x v="4"/>
    <x v="1"/>
    <x v="12"/>
    <x v="8"/>
    <x v="25"/>
    <x v="12"/>
    <x v="0"/>
    <x v="0"/>
    <x v="620"/>
    <x v="168"/>
    <s v="supplier@gmail.com"/>
  </r>
  <r>
    <x v="1661"/>
    <x v="1661"/>
    <x v="36"/>
    <x v="1"/>
    <x v="4"/>
    <x v="125"/>
    <x v="12"/>
    <x v="8"/>
    <x v="8"/>
    <x v="12"/>
    <x v="8"/>
    <x v="0"/>
    <x v="251"/>
    <x v="51"/>
    <s v="supplier@gmail.com"/>
  </r>
  <r>
    <x v="1662"/>
    <x v="1662"/>
    <x v="4"/>
    <x v="1"/>
    <x v="4"/>
    <x v="1"/>
    <x v="12"/>
    <x v="8"/>
    <x v="8"/>
    <x v="43"/>
    <x v="8"/>
    <x v="0"/>
    <x v="600"/>
    <x v="169"/>
    <s v="supplier@gmail.com"/>
  </r>
  <r>
    <x v="1663"/>
    <x v="1663"/>
    <x v="4"/>
    <x v="1"/>
    <x v="4"/>
    <x v="1"/>
    <x v="31"/>
    <x v="8"/>
    <x v="8"/>
    <x v="12"/>
    <x v="8"/>
    <x v="0"/>
    <x v="621"/>
    <x v="26"/>
    <s v="supplier@gmail.com"/>
  </r>
  <r>
    <x v="1664"/>
    <x v="1664"/>
    <x v="4"/>
    <x v="125"/>
    <x v="70"/>
    <x v="73"/>
    <x v="12"/>
    <x v="16"/>
    <x v="8"/>
    <x v="12"/>
    <x v="120"/>
    <x v="0"/>
    <x v="1"/>
    <x v="15"/>
    <s v="supplier@gmail.com"/>
  </r>
  <r>
    <x v="1665"/>
    <x v="1665"/>
    <x v="278"/>
    <x v="1"/>
    <x v="70"/>
    <x v="1"/>
    <x v="49"/>
    <x v="8"/>
    <x v="25"/>
    <x v="12"/>
    <x v="8"/>
    <x v="0"/>
    <x v="622"/>
    <x v="161"/>
    <s v="supplier@gmail.com"/>
  </r>
  <r>
    <x v="1666"/>
    <x v="1666"/>
    <x v="279"/>
    <x v="249"/>
    <x v="288"/>
    <x v="290"/>
    <x v="259"/>
    <x v="237"/>
    <x v="229"/>
    <x v="247"/>
    <x v="219"/>
    <x v="0"/>
    <x v="1"/>
    <x v="34"/>
    <s v="supplier@gmail.com"/>
  </r>
  <r>
    <x v="1667"/>
    <x v="1667"/>
    <x v="4"/>
    <x v="1"/>
    <x v="34"/>
    <x v="34"/>
    <x v="12"/>
    <x v="8"/>
    <x v="8"/>
    <x v="12"/>
    <x v="9"/>
    <x v="0"/>
    <x v="1"/>
    <x v="185"/>
    <s v="supplier@gmail.com"/>
  </r>
  <r>
    <x v="1668"/>
    <x v="1668"/>
    <x v="4"/>
    <x v="1"/>
    <x v="4"/>
    <x v="1"/>
    <x v="12"/>
    <x v="8"/>
    <x v="8"/>
    <x v="12"/>
    <x v="8"/>
    <x v="0"/>
    <x v="1"/>
    <x v="69"/>
    <s v="supplier@gmail.com"/>
  </r>
  <r>
    <x v="1669"/>
    <x v="1669"/>
    <x v="4"/>
    <x v="1"/>
    <x v="4"/>
    <x v="1"/>
    <x v="12"/>
    <x v="8"/>
    <x v="8"/>
    <x v="12"/>
    <x v="8"/>
    <x v="0"/>
    <x v="1"/>
    <x v="47"/>
    <s v="supplier@gmail.com"/>
  </r>
  <r>
    <x v="1670"/>
    <x v="1670"/>
    <x v="4"/>
    <x v="1"/>
    <x v="4"/>
    <x v="159"/>
    <x v="12"/>
    <x v="8"/>
    <x v="8"/>
    <x v="12"/>
    <x v="8"/>
    <x v="0"/>
    <x v="84"/>
    <x v="143"/>
    <s v="supplier@gmail.com"/>
  </r>
  <r>
    <x v="1671"/>
    <x v="1671"/>
    <x v="4"/>
    <x v="1"/>
    <x v="4"/>
    <x v="1"/>
    <x v="12"/>
    <x v="8"/>
    <x v="8"/>
    <x v="12"/>
    <x v="8"/>
    <x v="0"/>
    <x v="1"/>
    <x v="35"/>
    <s v="supplier@gmail.com"/>
  </r>
  <r>
    <x v="1672"/>
    <x v="1672"/>
    <x v="36"/>
    <x v="1"/>
    <x v="34"/>
    <x v="0"/>
    <x v="49"/>
    <x v="8"/>
    <x v="0"/>
    <x v="43"/>
    <x v="8"/>
    <x v="0"/>
    <x v="1"/>
    <x v="155"/>
    <s v="supplier@gmail.com"/>
  </r>
  <r>
    <x v="1673"/>
    <x v="1673"/>
    <x v="280"/>
    <x v="1"/>
    <x v="4"/>
    <x v="1"/>
    <x v="260"/>
    <x v="238"/>
    <x v="230"/>
    <x v="248"/>
    <x v="220"/>
    <x v="0"/>
    <x v="1"/>
    <x v="198"/>
    <s v="supplier@gmail.com"/>
  </r>
  <r>
    <x v="1674"/>
    <x v="1674"/>
    <x v="1"/>
    <x v="40"/>
    <x v="183"/>
    <x v="11"/>
    <x v="261"/>
    <x v="124"/>
    <x v="8"/>
    <x v="249"/>
    <x v="8"/>
    <x v="0"/>
    <x v="89"/>
    <x v="126"/>
    <s v="supplier@gmail.com"/>
  </r>
  <r>
    <x v="1675"/>
    <x v="1675"/>
    <x v="9"/>
    <x v="1"/>
    <x v="4"/>
    <x v="1"/>
    <x v="12"/>
    <x v="124"/>
    <x v="8"/>
    <x v="12"/>
    <x v="8"/>
    <x v="0"/>
    <x v="351"/>
    <x v="122"/>
    <s v="supplier@gmail.com"/>
  </r>
  <r>
    <x v="1676"/>
    <x v="1676"/>
    <x v="100"/>
    <x v="107"/>
    <x v="98"/>
    <x v="71"/>
    <x v="143"/>
    <x v="114"/>
    <x v="101"/>
    <x v="31"/>
    <x v="21"/>
    <x v="0"/>
    <x v="351"/>
    <x v="102"/>
    <s v="supplier@gmail.com"/>
  </r>
  <r>
    <x v="1677"/>
    <x v="1677"/>
    <x v="93"/>
    <x v="86"/>
    <x v="29"/>
    <x v="33"/>
    <x v="89"/>
    <x v="25"/>
    <x v="18"/>
    <x v="36"/>
    <x v="18"/>
    <x v="0"/>
    <x v="1"/>
    <x v="122"/>
    <s v="supplier@gmail.com"/>
  </r>
  <r>
    <x v="1678"/>
    <x v="1678"/>
    <x v="4"/>
    <x v="1"/>
    <x v="4"/>
    <x v="1"/>
    <x v="12"/>
    <x v="8"/>
    <x v="8"/>
    <x v="12"/>
    <x v="8"/>
    <x v="0"/>
    <x v="1"/>
    <x v="55"/>
    <s v="supplier@gmail.com"/>
  </r>
  <r>
    <x v="1679"/>
    <x v="1679"/>
    <x v="4"/>
    <x v="1"/>
    <x v="4"/>
    <x v="1"/>
    <x v="12"/>
    <x v="8"/>
    <x v="8"/>
    <x v="12"/>
    <x v="8"/>
    <x v="0"/>
    <x v="351"/>
    <x v="164"/>
    <s v="supplier@gmail.com"/>
  </r>
  <r>
    <x v="1680"/>
    <x v="1680"/>
    <x v="4"/>
    <x v="1"/>
    <x v="8"/>
    <x v="1"/>
    <x v="13"/>
    <x v="10"/>
    <x v="33"/>
    <x v="12"/>
    <x v="8"/>
    <x v="0"/>
    <x v="623"/>
    <x v="92"/>
    <s v="supplier@gmail.com"/>
  </r>
  <r>
    <x v="1681"/>
    <x v="1681"/>
    <x v="4"/>
    <x v="1"/>
    <x v="4"/>
    <x v="1"/>
    <x v="6"/>
    <x v="221"/>
    <x v="8"/>
    <x v="65"/>
    <x v="8"/>
    <x v="0"/>
    <x v="1"/>
    <x v="59"/>
    <s v="supplier@gmail.com"/>
  </r>
  <r>
    <x v="1682"/>
    <x v="1682"/>
    <x v="4"/>
    <x v="1"/>
    <x v="9"/>
    <x v="1"/>
    <x v="12"/>
    <x v="3"/>
    <x v="8"/>
    <x v="12"/>
    <x v="68"/>
    <x v="0"/>
    <x v="260"/>
    <x v="81"/>
    <s v="supplier@gmail.com"/>
  </r>
  <r>
    <x v="1683"/>
    <x v="1683"/>
    <x v="4"/>
    <x v="1"/>
    <x v="4"/>
    <x v="1"/>
    <x v="12"/>
    <x v="8"/>
    <x v="8"/>
    <x v="12"/>
    <x v="8"/>
    <x v="0"/>
    <x v="45"/>
    <x v="127"/>
    <s v="supplier@gmail.com"/>
  </r>
  <r>
    <x v="1684"/>
    <x v="1684"/>
    <x v="4"/>
    <x v="1"/>
    <x v="4"/>
    <x v="1"/>
    <x v="12"/>
    <x v="8"/>
    <x v="8"/>
    <x v="12"/>
    <x v="8"/>
    <x v="0"/>
    <x v="624"/>
    <x v="5"/>
    <s v="supplier@gmail.com"/>
  </r>
  <r>
    <x v="1685"/>
    <x v="1685"/>
    <x v="20"/>
    <x v="1"/>
    <x v="4"/>
    <x v="34"/>
    <x v="18"/>
    <x v="8"/>
    <x v="8"/>
    <x v="12"/>
    <x v="8"/>
    <x v="0"/>
    <x v="625"/>
    <x v="171"/>
    <s v="supplier@gmail.com"/>
  </r>
  <r>
    <x v="1686"/>
    <x v="1686"/>
    <x v="281"/>
    <x v="250"/>
    <x v="289"/>
    <x v="291"/>
    <x v="262"/>
    <x v="109"/>
    <x v="231"/>
    <x v="233"/>
    <x v="12"/>
    <x v="0"/>
    <x v="1"/>
    <x v="181"/>
    <s v="supplier@gmail.com"/>
  </r>
  <r>
    <x v="1687"/>
    <x v="1687"/>
    <x v="4"/>
    <x v="1"/>
    <x v="8"/>
    <x v="1"/>
    <x v="12"/>
    <x v="10"/>
    <x v="8"/>
    <x v="12"/>
    <x v="8"/>
    <x v="0"/>
    <x v="1"/>
    <x v="39"/>
    <s v="supplier@gmail.com"/>
  </r>
  <r>
    <x v="1688"/>
    <x v="1688"/>
    <x v="4"/>
    <x v="1"/>
    <x v="8"/>
    <x v="1"/>
    <x v="13"/>
    <x v="10"/>
    <x v="33"/>
    <x v="12"/>
    <x v="8"/>
    <x v="0"/>
    <x v="1"/>
    <x v="121"/>
    <s v="supplier@gmail.com"/>
  </r>
  <r>
    <x v="1689"/>
    <x v="1689"/>
    <x v="4"/>
    <x v="1"/>
    <x v="4"/>
    <x v="1"/>
    <x v="13"/>
    <x v="8"/>
    <x v="8"/>
    <x v="12"/>
    <x v="8"/>
    <x v="0"/>
    <x v="1"/>
    <x v="10"/>
    <s v="supplier@gmail.com"/>
  </r>
  <r>
    <x v="1690"/>
    <x v="1690"/>
    <x v="4"/>
    <x v="1"/>
    <x v="4"/>
    <x v="1"/>
    <x v="12"/>
    <x v="8"/>
    <x v="33"/>
    <x v="12"/>
    <x v="8"/>
    <x v="0"/>
    <x v="1"/>
    <x v="127"/>
    <s v="supplier@gmail.com"/>
  </r>
  <r>
    <x v="1691"/>
    <x v="1691"/>
    <x v="4"/>
    <x v="1"/>
    <x v="4"/>
    <x v="1"/>
    <x v="12"/>
    <x v="8"/>
    <x v="8"/>
    <x v="12"/>
    <x v="8"/>
    <x v="0"/>
    <x v="496"/>
    <x v="152"/>
    <s v="supplier@gmail.com"/>
  </r>
  <r>
    <x v="1692"/>
    <x v="1692"/>
    <x v="282"/>
    <x v="251"/>
    <x v="290"/>
    <x v="292"/>
    <x v="263"/>
    <x v="239"/>
    <x v="232"/>
    <x v="250"/>
    <x v="221"/>
    <x v="0"/>
    <x v="1"/>
    <x v="177"/>
    <s v="supplier@gmail.com"/>
  </r>
  <r>
    <x v="1693"/>
    <x v="1693"/>
    <x v="4"/>
    <x v="1"/>
    <x v="4"/>
    <x v="1"/>
    <x v="12"/>
    <x v="8"/>
    <x v="8"/>
    <x v="12"/>
    <x v="8"/>
    <x v="0"/>
    <x v="626"/>
    <x v="62"/>
    <s v="supplier@gmail.com"/>
  </r>
  <r>
    <x v="1694"/>
    <x v="1694"/>
    <x v="283"/>
    <x v="252"/>
    <x v="291"/>
    <x v="293"/>
    <x v="264"/>
    <x v="240"/>
    <x v="233"/>
    <x v="251"/>
    <x v="222"/>
    <x v="0"/>
    <x v="627"/>
    <x v="61"/>
    <s v="supplier@gmail.com"/>
  </r>
  <r>
    <x v="1695"/>
    <x v="1695"/>
    <x v="284"/>
    <x v="253"/>
    <x v="292"/>
    <x v="1"/>
    <x v="265"/>
    <x v="8"/>
    <x v="25"/>
    <x v="12"/>
    <x v="8"/>
    <x v="0"/>
    <x v="530"/>
    <x v="165"/>
    <s v="supplier@gmail.com"/>
  </r>
  <r>
    <x v="1696"/>
    <x v="1696"/>
    <x v="185"/>
    <x v="163"/>
    <x v="293"/>
    <x v="294"/>
    <x v="266"/>
    <x v="241"/>
    <x v="73"/>
    <x v="243"/>
    <x v="223"/>
    <x v="0"/>
    <x v="1"/>
    <x v="104"/>
    <s v="supplier@gmail.com"/>
  </r>
  <r>
    <x v="1697"/>
    <x v="1697"/>
    <x v="158"/>
    <x v="140"/>
    <x v="151"/>
    <x v="160"/>
    <x v="10"/>
    <x v="124"/>
    <x v="85"/>
    <x v="132"/>
    <x v="123"/>
    <x v="0"/>
    <x v="89"/>
    <x v="181"/>
    <s v="supplier@gmail.com"/>
  </r>
  <r>
    <x v="1698"/>
    <x v="1698"/>
    <x v="158"/>
    <x v="140"/>
    <x v="151"/>
    <x v="160"/>
    <x v="10"/>
    <x v="124"/>
    <x v="85"/>
    <x v="132"/>
    <x v="123"/>
    <x v="0"/>
    <x v="503"/>
    <x v="24"/>
    <s v="supplier@gmail.com"/>
  </r>
  <r>
    <x v="1699"/>
    <x v="1699"/>
    <x v="158"/>
    <x v="140"/>
    <x v="151"/>
    <x v="160"/>
    <x v="10"/>
    <x v="124"/>
    <x v="85"/>
    <x v="132"/>
    <x v="123"/>
    <x v="0"/>
    <x v="628"/>
    <x v="119"/>
    <s v="supplier@gmail.com"/>
  </r>
  <r>
    <x v="1700"/>
    <x v="1700"/>
    <x v="44"/>
    <x v="1"/>
    <x v="15"/>
    <x v="1"/>
    <x v="0"/>
    <x v="8"/>
    <x v="8"/>
    <x v="0"/>
    <x v="8"/>
    <x v="0"/>
    <x v="377"/>
    <x v="88"/>
    <s v="supplier@gmail.com"/>
  </r>
  <r>
    <x v="1701"/>
    <x v="1701"/>
    <x v="82"/>
    <x v="36"/>
    <x v="0"/>
    <x v="19"/>
    <x v="23"/>
    <x v="70"/>
    <x v="35"/>
    <x v="68"/>
    <x v="17"/>
    <x v="0"/>
    <x v="377"/>
    <x v="135"/>
    <s v="supplier@gmail.com"/>
  </r>
  <r>
    <x v="1702"/>
    <x v="1702"/>
    <x v="82"/>
    <x v="36"/>
    <x v="0"/>
    <x v="19"/>
    <x v="23"/>
    <x v="70"/>
    <x v="35"/>
    <x v="68"/>
    <x v="17"/>
    <x v="0"/>
    <x v="77"/>
    <x v="146"/>
    <s v="supplier@gmail.com"/>
  </r>
  <r>
    <x v="1703"/>
    <x v="1703"/>
    <x v="4"/>
    <x v="1"/>
    <x v="4"/>
    <x v="1"/>
    <x v="12"/>
    <x v="8"/>
    <x v="8"/>
    <x v="12"/>
    <x v="8"/>
    <x v="0"/>
    <x v="76"/>
    <x v="148"/>
    <s v="supplier@gmail.com"/>
  </r>
  <r>
    <x v="1704"/>
    <x v="1704"/>
    <x v="102"/>
    <x v="235"/>
    <x v="271"/>
    <x v="113"/>
    <x v="21"/>
    <x v="225"/>
    <x v="67"/>
    <x v="233"/>
    <x v="208"/>
    <x v="0"/>
    <x v="38"/>
    <x v="193"/>
    <s v="supplier@gmail.com"/>
  </r>
  <r>
    <x v="1705"/>
    <x v="1705"/>
    <x v="285"/>
    <x v="254"/>
    <x v="294"/>
    <x v="295"/>
    <x v="267"/>
    <x v="242"/>
    <x v="234"/>
    <x v="252"/>
    <x v="224"/>
    <x v="0"/>
    <x v="36"/>
    <x v="9"/>
    <s v="supplier@gmail.com"/>
  </r>
  <r>
    <x v="1706"/>
    <x v="1706"/>
    <x v="4"/>
    <x v="1"/>
    <x v="4"/>
    <x v="1"/>
    <x v="268"/>
    <x v="8"/>
    <x v="8"/>
    <x v="12"/>
    <x v="8"/>
    <x v="0"/>
    <x v="629"/>
    <x v="31"/>
    <s v="supplier@gmail.com"/>
  </r>
  <r>
    <x v="1707"/>
    <x v="1707"/>
    <x v="270"/>
    <x v="238"/>
    <x v="273"/>
    <x v="275"/>
    <x v="36"/>
    <x v="226"/>
    <x v="42"/>
    <x v="234"/>
    <x v="149"/>
    <x v="0"/>
    <x v="235"/>
    <x v="39"/>
    <s v="supplier@gmail.com"/>
  </r>
  <r>
    <x v="1708"/>
    <x v="1708"/>
    <x v="270"/>
    <x v="238"/>
    <x v="273"/>
    <x v="275"/>
    <x v="36"/>
    <x v="226"/>
    <x v="42"/>
    <x v="234"/>
    <x v="149"/>
    <x v="0"/>
    <x v="14"/>
    <x v="197"/>
    <s v="supplier@gmail.com"/>
  </r>
  <r>
    <x v="1709"/>
    <x v="1709"/>
    <x v="31"/>
    <x v="110"/>
    <x v="36"/>
    <x v="87"/>
    <x v="26"/>
    <x v="85"/>
    <x v="17"/>
    <x v="32"/>
    <x v="26"/>
    <x v="0"/>
    <x v="203"/>
    <x v="142"/>
    <s v="supplier@gmail.com"/>
  </r>
  <r>
    <x v="1710"/>
    <x v="1710"/>
    <x v="286"/>
    <x v="125"/>
    <x v="295"/>
    <x v="0"/>
    <x v="23"/>
    <x v="0"/>
    <x v="26"/>
    <x v="253"/>
    <x v="8"/>
    <x v="0"/>
    <x v="89"/>
    <x v="96"/>
    <s v="supplier@gmail.com"/>
  </r>
  <r>
    <x v="1711"/>
    <x v="1711"/>
    <x v="287"/>
    <x v="255"/>
    <x v="296"/>
    <x v="296"/>
    <x v="249"/>
    <x v="243"/>
    <x v="235"/>
    <x v="254"/>
    <x v="225"/>
    <x v="0"/>
    <x v="1"/>
    <x v="129"/>
    <s v="supplier@gmail.com"/>
  </r>
  <r>
    <x v="1712"/>
    <x v="1712"/>
    <x v="288"/>
    <x v="165"/>
    <x v="297"/>
    <x v="297"/>
    <x v="269"/>
    <x v="244"/>
    <x v="236"/>
    <x v="255"/>
    <x v="226"/>
    <x v="0"/>
    <x v="1"/>
    <x v="7"/>
    <s v="supplier@gmail.com"/>
  </r>
  <r>
    <x v="1713"/>
    <x v="1713"/>
    <x v="4"/>
    <x v="256"/>
    <x v="4"/>
    <x v="1"/>
    <x v="12"/>
    <x v="8"/>
    <x v="8"/>
    <x v="12"/>
    <x v="8"/>
    <x v="0"/>
    <x v="1"/>
    <x v="146"/>
    <s v="supplier@gmail.com"/>
  </r>
  <r>
    <x v="1714"/>
    <x v="1714"/>
    <x v="4"/>
    <x v="1"/>
    <x v="4"/>
    <x v="1"/>
    <x v="12"/>
    <x v="8"/>
    <x v="8"/>
    <x v="12"/>
    <x v="8"/>
    <x v="0"/>
    <x v="1"/>
    <x v="179"/>
    <s v="supplier@gmail.com"/>
  </r>
  <r>
    <x v="1715"/>
    <x v="1715"/>
    <x v="4"/>
    <x v="1"/>
    <x v="4"/>
    <x v="1"/>
    <x v="12"/>
    <x v="8"/>
    <x v="8"/>
    <x v="12"/>
    <x v="8"/>
    <x v="0"/>
    <x v="1"/>
    <x v="78"/>
    <s v="supplier@gmail.com"/>
  </r>
  <r>
    <x v="1716"/>
    <x v="1716"/>
    <x v="4"/>
    <x v="1"/>
    <x v="4"/>
    <x v="1"/>
    <x v="12"/>
    <x v="8"/>
    <x v="8"/>
    <x v="12"/>
    <x v="8"/>
    <x v="0"/>
    <x v="470"/>
    <x v="116"/>
    <s v="supplier@gmail.com"/>
  </r>
  <r>
    <x v="1717"/>
    <x v="1717"/>
    <x v="265"/>
    <x v="1"/>
    <x v="4"/>
    <x v="1"/>
    <x v="12"/>
    <x v="8"/>
    <x v="8"/>
    <x v="12"/>
    <x v="8"/>
    <x v="0"/>
    <x v="1"/>
    <x v="183"/>
    <s v="supplier@gmail.com"/>
  </r>
  <r>
    <x v="1718"/>
    <x v="1718"/>
    <x v="289"/>
    <x v="257"/>
    <x v="298"/>
    <x v="298"/>
    <x v="241"/>
    <x v="245"/>
    <x v="237"/>
    <x v="256"/>
    <x v="227"/>
    <x v="0"/>
    <x v="1"/>
    <x v="187"/>
    <s v="supplier@gmail.com"/>
  </r>
  <r>
    <x v="1719"/>
    <x v="1719"/>
    <x v="4"/>
    <x v="1"/>
    <x v="4"/>
    <x v="1"/>
    <x v="12"/>
    <x v="8"/>
    <x v="8"/>
    <x v="12"/>
    <x v="8"/>
    <x v="0"/>
    <x v="226"/>
    <x v="8"/>
    <s v="supplier@gmail.com"/>
  </r>
  <r>
    <x v="1720"/>
    <x v="1720"/>
    <x v="4"/>
    <x v="1"/>
    <x v="4"/>
    <x v="1"/>
    <x v="12"/>
    <x v="8"/>
    <x v="8"/>
    <x v="12"/>
    <x v="8"/>
    <x v="0"/>
    <x v="37"/>
    <x v="127"/>
    <s v="supplier@gmail.com"/>
  </r>
  <r>
    <x v="1721"/>
    <x v="1721"/>
    <x v="4"/>
    <x v="1"/>
    <x v="4"/>
    <x v="1"/>
    <x v="12"/>
    <x v="8"/>
    <x v="8"/>
    <x v="12"/>
    <x v="8"/>
    <x v="0"/>
    <x v="21"/>
    <x v="53"/>
    <s v="supplier@gmail.com"/>
  </r>
  <r>
    <x v="1722"/>
    <x v="1722"/>
    <x v="4"/>
    <x v="1"/>
    <x v="4"/>
    <x v="1"/>
    <x v="12"/>
    <x v="8"/>
    <x v="8"/>
    <x v="12"/>
    <x v="8"/>
    <x v="0"/>
    <x v="515"/>
    <x v="144"/>
    <s v="supplier@gmail.com"/>
  </r>
  <r>
    <x v="1723"/>
    <x v="1723"/>
    <x v="4"/>
    <x v="1"/>
    <x v="4"/>
    <x v="1"/>
    <x v="12"/>
    <x v="8"/>
    <x v="8"/>
    <x v="12"/>
    <x v="8"/>
    <x v="0"/>
    <x v="294"/>
    <x v="93"/>
    <s v="supplier@gmail.com"/>
  </r>
  <r>
    <x v="1724"/>
    <x v="1724"/>
    <x v="4"/>
    <x v="1"/>
    <x v="4"/>
    <x v="1"/>
    <x v="12"/>
    <x v="8"/>
    <x v="8"/>
    <x v="12"/>
    <x v="8"/>
    <x v="0"/>
    <x v="1"/>
    <x v="174"/>
    <s v="supplier@gmail.com"/>
  </r>
  <r>
    <x v="1725"/>
    <x v="1725"/>
    <x v="4"/>
    <x v="1"/>
    <x v="4"/>
    <x v="8"/>
    <x v="12"/>
    <x v="8"/>
    <x v="8"/>
    <x v="12"/>
    <x v="8"/>
    <x v="0"/>
    <x v="630"/>
    <x v="66"/>
    <s v="supplier@gmail.com"/>
  </r>
  <r>
    <x v="1726"/>
    <x v="1726"/>
    <x v="4"/>
    <x v="1"/>
    <x v="4"/>
    <x v="1"/>
    <x v="12"/>
    <x v="8"/>
    <x v="8"/>
    <x v="12"/>
    <x v="8"/>
    <x v="0"/>
    <x v="631"/>
    <x v="73"/>
    <s v="supplier@gmail.com"/>
  </r>
  <r>
    <x v="1727"/>
    <x v="1727"/>
    <x v="4"/>
    <x v="1"/>
    <x v="4"/>
    <x v="1"/>
    <x v="12"/>
    <x v="8"/>
    <x v="8"/>
    <x v="12"/>
    <x v="8"/>
    <x v="0"/>
    <x v="36"/>
    <x v="53"/>
    <s v="supplier@gmail.com"/>
  </r>
  <r>
    <x v="1728"/>
    <x v="1728"/>
    <x v="44"/>
    <x v="128"/>
    <x v="35"/>
    <x v="125"/>
    <x v="12"/>
    <x v="8"/>
    <x v="8"/>
    <x v="12"/>
    <x v="8"/>
    <x v="0"/>
    <x v="1"/>
    <x v="154"/>
    <s v="supplier@gmail.com"/>
  </r>
  <r>
    <x v="1729"/>
    <x v="1729"/>
    <x v="12"/>
    <x v="258"/>
    <x v="14"/>
    <x v="14"/>
    <x v="29"/>
    <x v="246"/>
    <x v="13"/>
    <x v="13"/>
    <x v="12"/>
    <x v="0"/>
    <x v="256"/>
    <x v="38"/>
    <s v="supplier@gmail.com"/>
  </r>
  <r>
    <x v="1730"/>
    <x v="1730"/>
    <x v="12"/>
    <x v="258"/>
    <x v="14"/>
    <x v="14"/>
    <x v="29"/>
    <x v="246"/>
    <x v="13"/>
    <x v="13"/>
    <x v="12"/>
    <x v="0"/>
    <x v="1"/>
    <x v="131"/>
    <s v="supplier@gmail.com"/>
  </r>
  <r>
    <x v="1731"/>
    <x v="1731"/>
    <x v="4"/>
    <x v="1"/>
    <x v="113"/>
    <x v="299"/>
    <x v="270"/>
    <x v="226"/>
    <x v="238"/>
    <x v="234"/>
    <x v="93"/>
    <x v="0"/>
    <x v="105"/>
    <x v="47"/>
    <s v="supplier@gmail.com"/>
  </r>
  <r>
    <x v="1732"/>
    <x v="1732"/>
    <x v="4"/>
    <x v="1"/>
    <x v="110"/>
    <x v="137"/>
    <x v="12"/>
    <x v="247"/>
    <x v="8"/>
    <x v="12"/>
    <x v="228"/>
    <x v="0"/>
    <x v="249"/>
    <x v="141"/>
    <s v="supplier@gmail.com"/>
  </r>
  <r>
    <x v="1733"/>
    <x v="1733"/>
    <x v="290"/>
    <x v="259"/>
    <x v="46"/>
    <x v="300"/>
    <x v="271"/>
    <x v="248"/>
    <x v="239"/>
    <x v="152"/>
    <x v="225"/>
    <x v="0"/>
    <x v="1"/>
    <x v="99"/>
    <s v="supplier@gmail.com"/>
  </r>
  <r>
    <x v="1734"/>
    <x v="1734"/>
    <x v="291"/>
    <x v="260"/>
    <x v="299"/>
    <x v="301"/>
    <x v="272"/>
    <x v="249"/>
    <x v="240"/>
    <x v="257"/>
    <x v="229"/>
    <x v="0"/>
    <x v="1"/>
    <x v="117"/>
    <s v="supplier@gmail.com"/>
  </r>
  <r>
    <x v="1735"/>
    <x v="1735"/>
    <x v="4"/>
    <x v="1"/>
    <x v="4"/>
    <x v="16"/>
    <x v="12"/>
    <x v="8"/>
    <x v="8"/>
    <x v="12"/>
    <x v="8"/>
    <x v="0"/>
    <x v="1"/>
    <x v="155"/>
    <s v="supplier@gmail.com"/>
  </r>
  <r>
    <x v="1736"/>
    <x v="1736"/>
    <x v="4"/>
    <x v="1"/>
    <x v="4"/>
    <x v="6"/>
    <x v="12"/>
    <x v="8"/>
    <x v="8"/>
    <x v="12"/>
    <x v="8"/>
    <x v="0"/>
    <x v="527"/>
    <x v="116"/>
    <s v="supplier@gmail.com"/>
  </r>
  <r>
    <x v="1737"/>
    <x v="1737"/>
    <x v="82"/>
    <x v="1"/>
    <x v="16"/>
    <x v="16"/>
    <x v="12"/>
    <x v="8"/>
    <x v="8"/>
    <x v="12"/>
    <x v="8"/>
    <x v="0"/>
    <x v="7"/>
    <x v="47"/>
    <s v="supplier@gmail.com"/>
  </r>
  <r>
    <x v="1738"/>
    <x v="1738"/>
    <x v="292"/>
    <x v="261"/>
    <x v="300"/>
    <x v="302"/>
    <x v="273"/>
    <x v="250"/>
    <x v="241"/>
    <x v="238"/>
    <x v="230"/>
    <x v="0"/>
    <x v="7"/>
    <x v="165"/>
    <s v="supplier@gmail.com"/>
  </r>
  <r>
    <x v="1739"/>
    <x v="1739"/>
    <x v="12"/>
    <x v="7"/>
    <x v="39"/>
    <x v="10"/>
    <x v="39"/>
    <x v="14"/>
    <x v="9"/>
    <x v="29"/>
    <x v="6"/>
    <x v="0"/>
    <x v="1"/>
    <x v="46"/>
    <s v="supplier@gmail.com"/>
  </r>
  <r>
    <x v="1740"/>
    <x v="1740"/>
    <x v="82"/>
    <x v="66"/>
    <x v="111"/>
    <x v="34"/>
    <x v="13"/>
    <x v="33"/>
    <x v="8"/>
    <x v="61"/>
    <x v="28"/>
    <x v="0"/>
    <x v="1"/>
    <x v="56"/>
    <s v="supplier@gmail.com"/>
  </r>
  <r>
    <x v="1741"/>
    <x v="1741"/>
    <x v="27"/>
    <x v="8"/>
    <x v="301"/>
    <x v="36"/>
    <x v="8"/>
    <x v="39"/>
    <x v="9"/>
    <x v="61"/>
    <x v="12"/>
    <x v="0"/>
    <x v="1"/>
    <x v="80"/>
    <s v="supplier@gmail.com"/>
  </r>
  <r>
    <x v="1742"/>
    <x v="1742"/>
    <x v="293"/>
    <x v="262"/>
    <x v="302"/>
    <x v="303"/>
    <x v="274"/>
    <x v="251"/>
    <x v="242"/>
    <x v="258"/>
    <x v="231"/>
    <x v="0"/>
    <x v="333"/>
    <x v="185"/>
    <s v="supplier@gmail.com"/>
  </r>
  <r>
    <x v="1743"/>
    <x v="1743"/>
    <x v="4"/>
    <x v="61"/>
    <x v="4"/>
    <x v="1"/>
    <x v="65"/>
    <x v="3"/>
    <x v="13"/>
    <x v="12"/>
    <x v="53"/>
    <x v="0"/>
    <x v="359"/>
    <x v="170"/>
    <s v="supplier@gmail.com"/>
  </r>
  <r>
    <x v="1744"/>
    <x v="1744"/>
    <x v="4"/>
    <x v="1"/>
    <x v="4"/>
    <x v="1"/>
    <x v="12"/>
    <x v="8"/>
    <x v="8"/>
    <x v="12"/>
    <x v="8"/>
    <x v="0"/>
    <x v="546"/>
    <x v="18"/>
    <s v="supplier@gmail.com"/>
  </r>
  <r>
    <x v="1745"/>
    <x v="1745"/>
    <x v="294"/>
    <x v="263"/>
    <x v="303"/>
    <x v="304"/>
    <x v="275"/>
    <x v="252"/>
    <x v="243"/>
    <x v="259"/>
    <x v="232"/>
    <x v="0"/>
    <x v="225"/>
    <x v="80"/>
    <s v="supplier@gmail.com"/>
  </r>
  <r>
    <x v="1746"/>
    <x v="1746"/>
    <x v="295"/>
    <x v="264"/>
    <x v="304"/>
    <x v="305"/>
    <x v="276"/>
    <x v="253"/>
    <x v="244"/>
    <x v="260"/>
    <x v="233"/>
    <x v="0"/>
    <x v="1"/>
    <x v="37"/>
    <s v="supplier@gmail.com"/>
  </r>
  <r>
    <x v="1747"/>
    <x v="1747"/>
    <x v="4"/>
    <x v="1"/>
    <x v="4"/>
    <x v="1"/>
    <x v="12"/>
    <x v="8"/>
    <x v="8"/>
    <x v="12"/>
    <x v="8"/>
    <x v="0"/>
    <x v="1"/>
    <x v="166"/>
    <s v="supplier@gmail.com"/>
  </r>
  <r>
    <x v="1748"/>
    <x v="1748"/>
    <x v="4"/>
    <x v="1"/>
    <x v="4"/>
    <x v="1"/>
    <x v="12"/>
    <x v="8"/>
    <x v="8"/>
    <x v="12"/>
    <x v="8"/>
    <x v="0"/>
    <x v="351"/>
    <x v="114"/>
    <s v="supplier@gmail.com"/>
  </r>
  <r>
    <x v="1749"/>
    <x v="1749"/>
    <x v="296"/>
    <x v="265"/>
    <x v="305"/>
    <x v="306"/>
    <x v="277"/>
    <x v="254"/>
    <x v="245"/>
    <x v="261"/>
    <x v="234"/>
    <x v="0"/>
    <x v="553"/>
    <x v="11"/>
    <s v="supplier@gmail.com"/>
  </r>
  <r>
    <x v="1750"/>
    <x v="1750"/>
    <x v="4"/>
    <x v="1"/>
    <x v="4"/>
    <x v="16"/>
    <x v="12"/>
    <x v="8"/>
    <x v="8"/>
    <x v="12"/>
    <x v="8"/>
    <x v="0"/>
    <x v="4"/>
    <x v="169"/>
    <s v="supplier@gmail.com"/>
  </r>
  <r>
    <x v="1751"/>
    <x v="1751"/>
    <x v="12"/>
    <x v="7"/>
    <x v="39"/>
    <x v="8"/>
    <x v="39"/>
    <x v="14"/>
    <x v="9"/>
    <x v="29"/>
    <x v="6"/>
    <x v="0"/>
    <x v="194"/>
    <x v="140"/>
    <s v="supplier@gmail.com"/>
  </r>
  <r>
    <x v="1752"/>
    <x v="1752"/>
    <x v="62"/>
    <x v="39"/>
    <x v="306"/>
    <x v="62"/>
    <x v="174"/>
    <x v="255"/>
    <x v="152"/>
    <x v="262"/>
    <x v="86"/>
    <x v="0"/>
    <x v="22"/>
    <x v="115"/>
    <s v="supplier@gmail.com"/>
  </r>
  <r>
    <x v="1753"/>
    <x v="1753"/>
    <x v="297"/>
    <x v="66"/>
    <x v="118"/>
    <x v="34"/>
    <x v="8"/>
    <x v="33"/>
    <x v="34"/>
    <x v="29"/>
    <x v="28"/>
    <x v="0"/>
    <x v="632"/>
    <x v="126"/>
    <s v="supplier@gmail.com"/>
  </r>
  <r>
    <x v="1754"/>
    <x v="1754"/>
    <x v="4"/>
    <x v="1"/>
    <x v="4"/>
    <x v="1"/>
    <x v="12"/>
    <x v="8"/>
    <x v="8"/>
    <x v="12"/>
    <x v="8"/>
    <x v="0"/>
    <x v="3"/>
    <x v="186"/>
    <s v="supplier@gmail.com"/>
  </r>
  <r>
    <x v="1755"/>
    <x v="1755"/>
    <x v="20"/>
    <x v="5"/>
    <x v="6"/>
    <x v="6"/>
    <x v="18"/>
    <x v="5"/>
    <x v="40"/>
    <x v="29"/>
    <x v="28"/>
    <x v="0"/>
    <x v="3"/>
    <x v="64"/>
    <s v="supplier@gmail.com"/>
  </r>
  <r>
    <x v="1756"/>
    <x v="1756"/>
    <x v="7"/>
    <x v="8"/>
    <x v="10"/>
    <x v="36"/>
    <x v="8"/>
    <x v="39"/>
    <x v="67"/>
    <x v="1"/>
    <x v="9"/>
    <x v="0"/>
    <x v="633"/>
    <x v="8"/>
    <s v="supplier@gmail.com"/>
  </r>
  <r>
    <x v="1757"/>
    <x v="1757"/>
    <x v="110"/>
    <x v="223"/>
    <x v="37"/>
    <x v="264"/>
    <x v="244"/>
    <x v="22"/>
    <x v="23"/>
    <x v="31"/>
    <x v="22"/>
    <x v="0"/>
    <x v="384"/>
    <x v="95"/>
    <s v="supplier@gmail.com"/>
  </r>
  <r>
    <x v="1758"/>
    <x v="1758"/>
    <x v="110"/>
    <x v="223"/>
    <x v="37"/>
    <x v="264"/>
    <x v="244"/>
    <x v="22"/>
    <x v="23"/>
    <x v="31"/>
    <x v="22"/>
    <x v="0"/>
    <x v="181"/>
    <x v="147"/>
    <s v="supplier@gmail.com"/>
  </r>
  <r>
    <x v="1759"/>
    <x v="1759"/>
    <x v="4"/>
    <x v="1"/>
    <x v="4"/>
    <x v="1"/>
    <x v="12"/>
    <x v="8"/>
    <x v="8"/>
    <x v="12"/>
    <x v="8"/>
    <x v="0"/>
    <x v="181"/>
    <x v="49"/>
    <s v="supplier@gmail.com"/>
  </r>
  <r>
    <x v="1760"/>
    <x v="1760"/>
    <x v="4"/>
    <x v="1"/>
    <x v="4"/>
    <x v="1"/>
    <x v="12"/>
    <x v="8"/>
    <x v="8"/>
    <x v="12"/>
    <x v="8"/>
    <x v="0"/>
    <x v="634"/>
    <x v="147"/>
    <s v="supplier@gmail.com"/>
  </r>
  <r>
    <x v="1761"/>
    <x v="1761"/>
    <x v="293"/>
    <x v="262"/>
    <x v="302"/>
    <x v="303"/>
    <x v="274"/>
    <x v="251"/>
    <x v="242"/>
    <x v="258"/>
    <x v="231"/>
    <x v="0"/>
    <x v="635"/>
    <x v="93"/>
    <s v="supplier@gmail.com"/>
  </r>
  <r>
    <x v="1762"/>
    <x v="1762"/>
    <x v="298"/>
    <x v="73"/>
    <x v="307"/>
    <x v="157"/>
    <x v="65"/>
    <x v="256"/>
    <x v="246"/>
    <x v="105"/>
    <x v="235"/>
    <x v="0"/>
    <x v="636"/>
    <x v="24"/>
    <s v="supplier@gmail.com"/>
  </r>
  <r>
    <x v="1763"/>
    <x v="1763"/>
    <x v="28"/>
    <x v="240"/>
    <x v="99"/>
    <x v="307"/>
    <x v="36"/>
    <x v="257"/>
    <x v="247"/>
    <x v="23"/>
    <x v="236"/>
    <x v="0"/>
    <x v="637"/>
    <x v="33"/>
    <s v="supplier@gmail.com"/>
  </r>
  <r>
    <x v="1764"/>
    <x v="1764"/>
    <x v="20"/>
    <x v="1"/>
    <x v="6"/>
    <x v="34"/>
    <x v="12"/>
    <x v="8"/>
    <x v="8"/>
    <x v="12"/>
    <x v="8"/>
    <x v="0"/>
    <x v="441"/>
    <x v="113"/>
    <s v="supplier@gmail.com"/>
  </r>
  <r>
    <x v="1765"/>
    <x v="1765"/>
    <x v="4"/>
    <x v="1"/>
    <x v="4"/>
    <x v="1"/>
    <x v="12"/>
    <x v="8"/>
    <x v="8"/>
    <x v="12"/>
    <x v="8"/>
    <x v="0"/>
    <x v="76"/>
    <x v="99"/>
    <s v="supplier@gmail.com"/>
  </r>
  <r>
    <x v="1766"/>
    <x v="1766"/>
    <x v="4"/>
    <x v="1"/>
    <x v="4"/>
    <x v="1"/>
    <x v="12"/>
    <x v="8"/>
    <x v="8"/>
    <x v="12"/>
    <x v="8"/>
    <x v="0"/>
    <x v="638"/>
    <x v="17"/>
    <s v="supplier@gmail.com"/>
  </r>
  <r>
    <x v="1767"/>
    <x v="1767"/>
    <x v="4"/>
    <x v="1"/>
    <x v="4"/>
    <x v="1"/>
    <x v="12"/>
    <x v="8"/>
    <x v="8"/>
    <x v="12"/>
    <x v="8"/>
    <x v="0"/>
    <x v="639"/>
    <x v="77"/>
    <s v="supplier@gmail.com"/>
  </r>
  <r>
    <x v="1768"/>
    <x v="1768"/>
    <x v="299"/>
    <x v="266"/>
    <x v="308"/>
    <x v="308"/>
    <x v="278"/>
    <x v="258"/>
    <x v="248"/>
    <x v="263"/>
    <x v="237"/>
    <x v="0"/>
    <x v="640"/>
    <x v="87"/>
    <s v="supplier@gmail.com"/>
  </r>
  <r>
    <x v="1769"/>
    <x v="1769"/>
    <x v="20"/>
    <x v="1"/>
    <x v="6"/>
    <x v="34"/>
    <x v="12"/>
    <x v="8"/>
    <x v="8"/>
    <x v="12"/>
    <x v="8"/>
    <x v="0"/>
    <x v="641"/>
    <x v="196"/>
    <s v="supplier@gmail.com"/>
  </r>
  <r>
    <x v="1770"/>
    <x v="1770"/>
    <x v="83"/>
    <x v="128"/>
    <x v="309"/>
    <x v="309"/>
    <x v="279"/>
    <x v="259"/>
    <x v="249"/>
    <x v="32"/>
    <x v="238"/>
    <x v="0"/>
    <x v="642"/>
    <x v="190"/>
    <s v="supplier@gmail.com"/>
  </r>
  <r>
    <x v="1771"/>
    <x v="1771"/>
    <x v="83"/>
    <x v="128"/>
    <x v="309"/>
    <x v="309"/>
    <x v="279"/>
    <x v="259"/>
    <x v="249"/>
    <x v="32"/>
    <x v="238"/>
    <x v="0"/>
    <x v="643"/>
    <x v="85"/>
    <s v="supplier@gmail.com"/>
  </r>
  <r>
    <x v="1772"/>
    <x v="1772"/>
    <x v="300"/>
    <x v="267"/>
    <x v="310"/>
    <x v="310"/>
    <x v="280"/>
    <x v="260"/>
    <x v="250"/>
    <x v="264"/>
    <x v="239"/>
    <x v="0"/>
    <x v="255"/>
    <x v="25"/>
    <s v="supplier@gmail.com"/>
  </r>
  <r>
    <x v="1773"/>
    <x v="1773"/>
    <x v="12"/>
    <x v="1"/>
    <x v="10"/>
    <x v="40"/>
    <x v="29"/>
    <x v="12"/>
    <x v="12"/>
    <x v="13"/>
    <x v="12"/>
    <x v="0"/>
    <x v="644"/>
    <x v="65"/>
    <s v="supplier@gmail.com"/>
  </r>
  <r>
    <x v="1774"/>
    <x v="1774"/>
    <x v="301"/>
    <x v="267"/>
    <x v="311"/>
    <x v="311"/>
    <x v="281"/>
    <x v="254"/>
    <x v="251"/>
    <x v="265"/>
    <x v="240"/>
    <x v="0"/>
    <x v="1"/>
    <x v="152"/>
    <s v="supplier@gmail.com"/>
  </r>
  <r>
    <x v="1775"/>
    <x v="1775"/>
    <x v="4"/>
    <x v="1"/>
    <x v="4"/>
    <x v="1"/>
    <x v="282"/>
    <x v="8"/>
    <x v="8"/>
    <x v="266"/>
    <x v="241"/>
    <x v="0"/>
    <x v="194"/>
    <x v="61"/>
    <s v="supplier@gmail.com"/>
  </r>
  <r>
    <x v="1776"/>
    <x v="1776"/>
    <x v="4"/>
    <x v="1"/>
    <x v="4"/>
    <x v="1"/>
    <x v="128"/>
    <x v="8"/>
    <x v="38"/>
    <x v="12"/>
    <x v="8"/>
    <x v="0"/>
    <x v="1"/>
    <x v="132"/>
    <s v="supplier@gmail.com"/>
  </r>
  <r>
    <x v="1777"/>
    <x v="1777"/>
    <x v="302"/>
    <x v="3"/>
    <x v="312"/>
    <x v="312"/>
    <x v="283"/>
    <x v="261"/>
    <x v="155"/>
    <x v="243"/>
    <x v="206"/>
    <x v="0"/>
    <x v="1"/>
    <x v="197"/>
    <s v="supplier@gmail.com"/>
  </r>
  <r>
    <x v="1778"/>
    <x v="1778"/>
    <x v="92"/>
    <x v="122"/>
    <x v="9"/>
    <x v="96"/>
    <x v="284"/>
    <x v="8"/>
    <x v="42"/>
    <x v="12"/>
    <x v="79"/>
    <x v="0"/>
    <x v="503"/>
    <x v="75"/>
    <s v="supplier@gmail.com"/>
  </r>
  <r>
    <x v="1779"/>
    <x v="1779"/>
    <x v="133"/>
    <x v="37"/>
    <x v="63"/>
    <x v="80"/>
    <x v="91"/>
    <x v="41"/>
    <x v="62"/>
    <x v="35"/>
    <x v="34"/>
    <x v="0"/>
    <x v="89"/>
    <x v="85"/>
    <s v="supplier@gmail.com"/>
  </r>
  <r>
    <x v="1780"/>
    <x v="1780"/>
    <x v="133"/>
    <x v="37"/>
    <x v="63"/>
    <x v="80"/>
    <x v="91"/>
    <x v="41"/>
    <x v="62"/>
    <x v="35"/>
    <x v="34"/>
    <x v="0"/>
    <x v="127"/>
    <x v="111"/>
    <s v="supplier@gmail.com"/>
  </r>
  <r>
    <x v="1781"/>
    <x v="1781"/>
    <x v="4"/>
    <x v="1"/>
    <x v="4"/>
    <x v="39"/>
    <x v="12"/>
    <x v="36"/>
    <x v="8"/>
    <x v="12"/>
    <x v="33"/>
    <x v="0"/>
    <x v="1"/>
    <x v="81"/>
    <s v="supplier@gmail.com"/>
  </r>
  <r>
    <x v="1782"/>
    <x v="1782"/>
    <x v="4"/>
    <x v="1"/>
    <x v="118"/>
    <x v="1"/>
    <x v="36"/>
    <x v="36"/>
    <x v="8"/>
    <x v="12"/>
    <x v="33"/>
    <x v="0"/>
    <x v="1"/>
    <x v="90"/>
    <s v="supplier@gmail.com"/>
  </r>
  <r>
    <x v="1783"/>
    <x v="1783"/>
    <x v="303"/>
    <x v="268"/>
    <x v="313"/>
    <x v="313"/>
    <x v="285"/>
    <x v="262"/>
    <x v="252"/>
    <x v="266"/>
    <x v="242"/>
    <x v="0"/>
    <x v="645"/>
    <x v="25"/>
    <s v="supplier@gmail.com"/>
  </r>
  <r>
    <x v="1784"/>
    <x v="1784"/>
    <x v="4"/>
    <x v="1"/>
    <x v="110"/>
    <x v="137"/>
    <x v="12"/>
    <x v="247"/>
    <x v="8"/>
    <x v="12"/>
    <x v="228"/>
    <x v="0"/>
    <x v="646"/>
    <x v="49"/>
    <s v="supplier@gmail.com"/>
  </r>
  <r>
    <x v="1785"/>
    <x v="1785"/>
    <x v="82"/>
    <x v="1"/>
    <x v="16"/>
    <x v="16"/>
    <x v="12"/>
    <x v="8"/>
    <x v="8"/>
    <x v="12"/>
    <x v="8"/>
    <x v="0"/>
    <x v="26"/>
    <x v="195"/>
    <s v="supplier@gmail.com"/>
  </r>
  <r>
    <x v="1786"/>
    <x v="1786"/>
    <x v="304"/>
    <x v="269"/>
    <x v="314"/>
    <x v="314"/>
    <x v="286"/>
    <x v="263"/>
    <x v="253"/>
    <x v="267"/>
    <x v="243"/>
    <x v="0"/>
    <x v="358"/>
    <x v="108"/>
    <s v="supplier@gmail.com"/>
  </r>
  <r>
    <x v="1787"/>
    <x v="1787"/>
    <x v="304"/>
    <x v="269"/>
    <x v="315"/>
    <x v="315"/>
    <x v="286"/>
    <x v="56"/>
    <x v="253"/>
    <x v="267"/>
    <x v="244"/>
    <x v="0"/>
    <x v="61"/>
    <x v="138"/>
    <s v="supplier@gmail.com"/>
  </r>
  <r>
    <x v="1788"/>
    <x v="1788"/>
    <x v="4"/>
    <x v="1"/>
    <x v="4"/>
    <x v="1"/>
    <x v="12"/>
    <x v="8"/>
    <x v="8"/>
    <x v="12"/>
    <x v="8"/>
    <x v="0"/>
    <x v="4"/>
    <x v="26"/>
    <s v="supplier@gmail.com"/>
  </r>
  <r>
    <x v="1789"/>
    <x v="1789"/>
    <x v="305"/>
    <x v="270"/>
    <x v="316"/>
    <x v="316"/>
    <x v="287"/>
    <x v="264"/>
    <x v="254"/>
    <x v="268"/>
    <x v="245"/>
    <x v="0"/>
    <x v="84"/>
    <x v="193"/>
    <s v="supplier@gmail.com"/>
  </r>
  <r>
    <x v="1790"/>
    <x v="1790"/>
    <x v="28"/>
    <x v="240"/>
    <x v="99"/>
    <x v="307"/>
    <x v="36"/>
    <x v="257"/>
    <x v="247"/>
    <x v="23"/>
    <x v="236"/>
    <x v="0"/>
    <x v="7"/>
    <x v="198"/>
    <s v="supplier@gmail.com"/>
  </r>
  <r>
    <x v="1791"/>
    <x v="1791"/>
    <x v="27"/>
    <x v="223"/>
    <x v="190"/>
    <x v="32"/>
    <x v="21"/>
    <x v="265"/>
    <x v="255"/>
    <x v="97"/>
    <x v="246"/>
    <x v="0"/>
    <x v="254"/>
    <x v="130"/>
    <s v="supplier@gmail.com"/>
  </r>
  <r>
    <x v="1792"/>
    <x v="1792"/>
    <x v="4"/>
    <x v="1"/>
    <x v="4"/>
    <x v="1"/>
    <x v="12"/>
    <x v="8"/>
    <x v="8"/>
    <x v="12"/>
    <x v="8"/>
    <x v="0"/>
    <x v="4"/>
    <x v="28"/>
    <s v="supplier@gmail.com"/>
  </r>
  <r>
    <x v="1793"/>
    <x v="1793"/>
    <x v="6"/>
    <x v="84"/>
    <x v="278"/>
    <x v="190"/>
    <x v="76"/>
    <x v="40"/>
    <x v="155"/>
    <x v="85"/>
    <x v="53"/>
    <x v="0"/>
    <x v="1"/>
    <x v="170"/>
    <s v="supplier@gmail.com"/>
  </r>
  <r>
    <x v="1794"/>
    <x v="1794"/>
    <x v="92"/>
    <x v="1"/>
    <x v="317"/>
    <x v="317"/>
    <x v="288"/>
    <x v="3"/>
    <x v="8"/>
    <x v="12"/>
    <x v="3"/>
    <x v="0"/>
    <x v="1"/>
    <x v="112"/>
    <s v="supplier@gmail.com"/>
  </r>
  <r>
    <x v="1795"/>
    <x v="1795"/>
    <x v="92"/>
    <x v="1"/>
    <x v="4"/>
    <x v="39"/>
    <x v="36"/>
    <x v="8"/>
    <x v="42"/>
    <x v="12"/>
    <x v="33"/>
    <x v="0"/>
    <x v="3"/>
    <x v="122"/>
    <s v="supplier@gmail.com"/>
  </r>
  <r>
    <x v="1796"/>
    <x v="1796"/>
    <x v="4"/>
    <x v="1"/>
    <x v="4"/>
    <x v="1"/>
    <x v="12"/>
    <x v="8"/>
    <x v="8"/>
    <x v="12"/>
    <x v="8"/>
    <x v="0"/>
    <x v="114"/>
    <x v="117"/>
    <s v="supplier@gmail.com"/>
  </r>
  <r>
    <x v="1797"/>
    <x v="1797"/>
    <x v="4"/>
    <x v="1"/>
    <x v="4"/>
    <x v="1"/>
    <x v="12"/>
    <x v="8"/>
    <x v="8"/>
    <x v="12"/>
    <x v="8"/>
    <x v="0"/>
    <x v="1"/>
    <x v="114"/>
    <s v="supplier@gmail.com"/>
  </r>
  <r>
    <x v="1798"/>
    <x v="1798"/>
    <x v="4"/>
    <x v="1"/>
    <x v="4"/>
    <x v="1"/>
    <x v="12"/>
    <x v="8"/>
    <x v="8"/>
    <x v="12"/>
    <x v="8"/>
    <x v="0"/>
    <x v="127"/>
    <x v="118"/>
    <s v="supplier@gmail.com"/>
  </r>
  <r>
    <x v="1799"/>
    <x v="1799"/>
    <x v="4"/>
    <x v="1"/>
    <x v="4"/>
    <x v="39"/>
    <x v="12"/>
    <x v="36"/>
    <x v="8"/>
    <x v="12"/>
    <x v="33"/>
    <x v="0"/>
    <x v="1"/>
    <x v="129"/>
    <s v="supplier@gmail.com"/>
  </r>
  <r>
    <x v="1800"/>
    <x v="1800"/>
    <x v="4"/>
    <x v="1"/>
    <x v="118"/>
    <x v="1"/>
    <x v="36"/>
    <x v="36"/>
    <x v="8"/>
    <x v="12"/>
    <x v="33"/>
    <x v="0"/>
    <x v="254"/>
    <x v="171"/>
    <s v="supplier@gmail.com"/>
  </r>
  <r>
    <x v="1801"/>
    <x v="1801"/>
    <x v="4"/>
    <x v="1"/>
    <x v="4"/>
    <x v="39"/>
    <x v="12"/>
    <x v="36"/>
    <x v="8"/>
    <x v="12"/>
    <x v="33"/>
    <x v="0"/>
    <x v="254"/>
    <x v="34"/>
    <s v="supplier@gmail.com"/>
  </r>
  <r>
    <x v="1802"/>
    <x v="1802"/>
    <x v="4"/>
    <x v="1"/>
    <x v="118"/>
    <x v="1"/>
    <x v="36"/>
    <x v="36"/>
    <x v="8"/>
    <x v="12"/>
    <x v="33"/>
    <x v="0"/>
    <x v="647"/>
    <x v="148"/>
    <s v="supplier@gmail.com"/>
  </r>
  <r>
    <x v="1803"/>
    <x v="1803"/>
    <x v="306"/>
    <x v="271"/>
    <x v="318"/>
    <x v="318"/>
    <x v="289"/>
    <x v="266"/>
    <x v="256"/>
    <x v="269"/>
    <x v="112"/>
    <x v="0"/>
    <x v="1"/>
    <x v="91"/>
    <s v="supplier@gmail.com"/>
  </r>
  <r>
    <x v="1804"/>
    <x v="1804"/>
    <x v="307"/>
    <x v="272"/>
    <x v="186"/>
    <x v="319"/>
    <x v="290"/>
    <x v="267"/>
    <x v="257"/>
    <x v="266"/>
    <x v="112"/>
    <x v="0"/>
    <x v="96"/>
    <x v="42"/>
    <s v="supplier@gmail.com"/>
  </r>
  <r>
    <x v="1805"/>
    <x v="1805"/>
    <x v="299"/>
    <x v="266"/>
    <x v="319"/>
    <x v="320"/>
    <x v="278"/>
    <x v="268"/>
    <x v="248"/>
    <x v="263"/>
    <x v="247"/>
    <x v="0"/>
    <x v="607"/>
    <x v="35"/>
    <s v="supplier@gmail.com"/>
  </r>
  <r>
    <x v="1806"/>
    <x v="1806"/>
    <x v="308"/>
    <x v="273"/>
    <x v="320"/>
    <x v="321"/>
    <x v="291"/>
    <x v="269"/>
    <x v="258"/>
    <x v="270"/>
    <x v="248"/>
    <x v="0"/>
    <x v="351"/>
    <x v="187"/>
    <s v="supplier@gmail.com"/>
  </r>
  <r>
    <x v="1807"/>
    <x v="1807"/>
    <x v="309"/>
    <x v="274"/>
    <x v="321"/>
    <x v="322"/>
    <x v="292"/>
    <x v="270"/>
    <x v="259"/>
    <x v="271"/>
    <x v="249"/>
    <x v="0"/>
    <x v="1"/>
    <x v="97"/>
    <s v="supplier@gmail.com"/>
  </r>
  <r>
    <x v="1808"/>
    <x v="1808"/>
    <x v="310"/>
    <x v="275"/>
    <x v="322"/>
    <x v="323"/>
    <x v="293"/>
    <x v="271"/>
    <x v="260"/>
    <x v="272"/>
    <x v="250"/>
    <x v="0"/>
    <x v="1"/>
    <x v="99"/>
    <s v="supplier@gmail.com"/>
  </r>
  <r>
    <x v="1809"/>
    <x v="1809"/>
    <x v="311"/>
    <x v="276"/>
    <x v="323"/>
    <x v="324"/>
    <x v="203"/>
    <x v="272"/>
    <x v="8"/>
    <x v="12"/>
    <x v="251"/>
    <x v="0"/>
    <x v="638"/>
    <x v="33"/>
    <s v="supplier@gmail.com"/>
  </r>
  <r>
    <x v="1810"/>
    <x v="1810"/>
    <x v="304"/>
    <x v="269"/>
    <x v="315"/>
    <x v="325"/>
    <x v="286"/>
    <x v="56"/>
    <x v="253"/>
    <x v="267"/>
    <x v="244"/>
    <x v="0"/>
    <x v="148"/>
    <x v="94"/>
    <s v="supplier@gmail.com"/>
  </r>
  <r>
    <x v="1811"/>
    <x v="1811"/>
    <x v="4"/>
    <x v="1"/>
    <x v="29"/>
    <x v="37"/>
    <x v="12"/>
    <x v="108"/>
    <x v="8"/>
    <x v="12"/>
    <x v="91"/>
    <x v="0"/>
    <x v="1"/>
    <x v="132"/>
    <s v="supplier@gmail.com"/>
  </r>
  <r>
    <x v="1812"/>
    <x v="1812"/>
    <x v="4"/>
    <x v="1"/>
    <x v="29"/>
    <x v="37"/>
    <x v="12"/>
    <x v="31"/>
    <x v="8"/>
    <x v="12"/>
    <x v="91"/>
    <x v="0"/>
    <x v="114"/>
    <x v="7"/>
    <s v="supplier@gmail.com"/>
  </r>
  <r>
    <x v="1813"/>
    <x v="1813"/>
    <x v="10"/>
    <x v="136"/>
    <x v="324"/>
    <x v="309"/>
    <x v="294"/>
    <x v="37"/>
    <x v="238"/>
    <x v="13"/>
    <x v="68"/>
    <x v="0"/>
    <x v="648"/>
    <x v="98"/>
    <s v="supplier@gmail.com"/>
  </r>
  <r>
    <x v="1814"/>
    <x v="1814"/>
    <x v="312"/>
    <x v="277"/>
    <x v="325"/>
    <x v="326"/>
    <x v="295"/>
    <x v="273"/>
    <x v="261"/>
    <x v="262"/>
    <x v="252"/>
    <x v="0"/>
    <x v="649"/>
    <x v="20"/>
    <s v="supplier@gmail.com"/>
  </r>
  <r>
    <x v="1815"/>
    <x v="1815"/>
    <x v="313"/>
    <x v="278"/>
    <x v="326"/>
    <x v="327"/>
    <x v="296"/>
    <x v="274"/>
    <x v="262"/>
    <x v="273"/>
    <x v="253"/>
    <x v="0"/>
    <x v="650"/>
    <x v="124"/>
    <s v="supplier@gmail.com"/>
  </r>
  <r>
    <x v="1816"/>
    <x v="1816"/>
    <x v="82"/>
    <x v="1"/>
    <x v="16"/>
    <x v="16"/>
    <x v="12"/>
    <x v="8"/>
    <x v="8"/>
    <x v="12"/>
    <x v="8"/>
    <x v="0"/>
    <x v="651"/>
    <x v="169"/>
    <s v="supplier@gmail.com"/>
  </r>
  <r>
    <x v="1817"/>
    <x v="1817"/>
    <x v="299"/>
    <x v="266"/>
    <x v="327"/>
    <x v="328"/>
    <x v="297"/>
    <x v="275"/>
    <x v="248"/>
    <x v="263"/>
    <x v="254"/>
    <x v="0"/>
    <x v="168"/>
    <x v="145"/>
    <s v="supplier@gmail.com"/>
  </r>
  <r>
    <x v="1818"/>
    <x v="1818"/>
    <x v="82"/>
    <x v="1"/>
    <x v="16"/>
    <x v="16"/>
    <x v="12"/>
    <x v="8"/>
    <x v="8"/>
    <x v="12"/>
    <x v="8"/>
    <x v="0"/>
    <x v="11"/>
    <x v="101"/>
    <s v="supplier@gmail.com"/>
  </r>
  <r>
    <x v="1819"/>
    <x v="1819"/>
    <x v="4"/>
    <x v="1"/>
    <x v="4"/>
    <x v="1"/>
    <x v="12"/>
    <x v="8"/>
    <x v="8"/>
    <x v="12"/>
    <x v="8"/>
    <x v="0"/>
    <x v="30"/>
    <x v="147"/>
    <s v="supplier@gmail.com"/>
  </r>
  <r>
    <x v="1820"/>
    <x v="1820"/>
    <x v="44"/>
    <x v="128"/>
    <x v="15"/>
    <x v="15"/>
    <x v="12"/>
    <x v="8"/>
    <x v="8"/>
    <x v="12"/>
    <x v="8"/>
    <x v="0"/>
    <x v="652"/>
    <x v="121"/>
    <s v="supplier@gmail.com"/>
  </r>
  <r>
    <x v="1821"/>
    <x v="1821"/>
    <x v="4"/>
    <x v="1"/>
    <x v="4"/>
    <x v="1"/>
    <x v="12"/>
    <x v="8"/>
    <x v="8"/>
    <x v="12"/>
    <x v="8"/>
    <x v="0"/>
    <x v="503"/>
    <x v="76"/>
    <s v="supplier@gmail.com"/>
  </r>
  <r>
    <x v="1822"/>
    <x v="1822"/>
    <x v="304"/>
    <x v="269"/>
    <x v="314"/>
    <x v="329"/>
    <x v="286"/>
    <x v="263"/>
    <x v="253"/>
    <x v="267"/>
    <x v="243"/>
    <x v="0"/>
    <x v="1"/>
    <x v="48"/>
    <s v="supplier@gmail.com"/>
  </r>
  <r>
    <x v="1823"/>
    <x v="1823"/>
    <x v="12"/>
    <x v="7"/>
    <x v="39"/>
    <x v="10"/>
    <x v="39"/>
    <x v="14"/>
    <x v="9"/>
    <x v="29"/>
    <x v="6"/>
    <x v="0"/>
    <x v="653"/>
    <x v="109"/>
    <s v="supplier@gmail.com"/>
  </r>
  <r>
    <x v="1824"/>
    <x v="1824"/>
    <x v="314"/>
    <x v="67"/>
    <x v="69"/>
    <x v="296"/>
    <x v="77"/>
    <x v="74"/>
    <x v="68"/>
    <x v="60"/>
    <x v="60"/>
    <x v="0"/>
    <x v="654"/>
    <x v="124"/>
    <s v="supplier@gmail.com"/>
  </r>
  <r>
    <x v="1825"/>
    <x v="1825"/>
    <x v="314"/>
    <x v="67"/>
    <x v="69"/>
    <x v="296"/>
    <x v="77"/>
    <x v="74"/>
    <x v="68"/>
    <x v="60"/>
    <x v="60"/>
    <x v="0"/>
    <x v="38"/>
    <x v="34"/>
    <s v="supplier@gmail.com"/>
  </r>
  <r>
    <x v="1826"/>
    <x v="1826"/>
    <x v="42"/>
    <x v="1"/>
    <x v="39"/>
    <x v="39"/>
    <x v="36"/>
    <x v="36"/>
    <x v="42"/>
    <x v="85"/>
    <x v="33"/>
    <x v="0"/>
    <x v="1"/>
    <x v="103"/>
    <s v="supplier@gmail.com"/>
  </r>
  <r>
    <x v="1827"/>
    <x v="1827"/>
    <x v="42"/>
    <x v="1"/>
    <x v="39"/>
    <x v="39"/>
    <x v="36"/>
    <x v="36"/>
    <x v="42"/>
    <x v="85"/>
    <x v="33"/>
    <x v="0"/>
    <x v="655"/>
    <x v="139"/>
    <s v="supplier@gmail.com"/>
  </r>
  <r>
    <x v="1828"/>
    <x v="1828"/>
    <x v="12"/>
    <x v="258"/>
    <x v="14"/>
    <x v="14"/>
    <x v="29"/>
    <x v="246"/>
    <x v="13"/>
    <x v="13"/>
    <x v="12"/>
    <x v="0"/>
    <x v="349"/>
    <x v="42"/>
    <s v="supplier@gmail.com"/>
  </r>
  <r>
    <x v="1829"/>
    <x v="1829"/>
    <x v="4"/>
    <x v="1"/>
    <x v="4"/>
    <x v="1"/>
    <x v="12"/>
    <x v="37"/>
    <x v="8"/>
    <x v="12"/>
    <x v="8"/>
    <x v="0"/>
    <x v="656"/>
    <x v="149"/>
    <s v="supplier@gmail.com"/>
  </r>
  <r>
    <x v="1830"/>
    <x v="1830"/>
    <x v="315"/>
    <x v="279"/>
    <x v="328"/>
    <x v="330"/>
    <x v="298"/>
    <x v="276"/>
    <x v="263"/>
    <x v="274"/>
    <x v="255"/>
    <x v="0"/>
    <x v="108"/>
    <x v="50"/>
    <s v="supplier@gmail.com"/>
  </r>
  <r>
    <x v="1831"/>
    <x v="1831"/>
    <x v="4"/>
    <x v="1"/>
    <x v="4"/>
    <x v="1"/>
    <x v="12"/>
    <x v="8"/>
    <x v="8"/>
    <x v="12"/>
    <x v="8"/>
    <x v="0"/>
    <x v="164"/>
    <x v="120"/>
    <s v="supplier@gmail.com"/>
  </r>
  <r>
    <x v="1832"/>
    <x v="1832"/>
    <x v="4"/>
    <x v="1"/>
    <x v="4"/>
    <x v="1"/>
    <x v="12"/>
    <x v="8"/>
    <x v="8"/>
    <x v="12"/>
    <x v="8"/>
    <x v="0"/>
    <x v="384"/>
    <x v="93"/>
    <s v="supplier@gmail.com"/>
  </r>
  <r>
    <x v="1833"/>
    <x v="1833"/>
    <x v="4"/>
    <x v="1"/>
    <x v="4"/>
    <x v="125"/>
    <x v="12"/>
    <x v="0"/>
    <x v="25"/>
    <x v="12"/>
    <x v="31"/>
    <x v="0"/>
    <x v="657"/>
    <x v="175"/>
    <s v="supplier@gmail.com"/>
  </r>
  <r>
    <x v="1834"/>
    <x v="1834"/>
    <x v="4"/>
    <x v="1"/>
    <x v="4"/>
    <x v="1"/>
    <x v="12"/>
    <x v="8"/>
    <x v="8"/>
    <x v="12"/>
    <x v="8"/>
    <x v="0"/>
    <x v="658"/>
    <x v="12"/>
    <s v="supplier@gmail.com"/>
  </r>
  <r>
    <x v="1835"/>
    <x v="1835"/>
    <x v="4"/>
    <x v="1"/>
    <x v="4"/>
    <x v="125"/>
    <x v="12"/>
    <x v="0"/>
    <x v="25"/>
    <x v="12"/>
    <x v="31"/>
    <x v="0"/>
    <x v="659"/>
    <x v="187"/>
    <s v="supplier@gmail.com"/>
  </r>
  <r>
    <x v="1836"/>
    <x v="1836"/>
    <x v="4"/>
    <x v="1"/>
    <x v="4"/>
    <x v="1"/>
    <x v="12"/>
    <x v="8"/>
    <x v="8"/>
    <x v="12"/>
    <x v="8"/>
    <x v="0"/>
    <x v="47"/>
    <x v="87"/>
    <s v="supplier@gmail.com"/>
  </r>
  <r>
    <x v="1837"/>
    <x v="1837"/>
    <x v="4"/>
    <x v="1"/>
    <x v="4"/>
    <x v="1"/>
    <x v="12"/>
    <x v="8"/>
    <x v="8"/>
    <x v="12"/>
    <x v="8"/>
    <x v="0"/>
    <x v="553"/>
    <x v="7"/>
    <s v="supplier@gmail.com"/>
  </r>
  <r>
    <x v="1838"/>
    <x v="1838"/>
    <x v="4"/>
    <x v="1"/>
    <x v="4"/>
    <x v="1"/>
    <x v="12"/>
    <x v="8"/>
    <x v="8"/>
    <x v="12"/>
    <x v="8"/>
    <x v="0"/>
    <x v="107"/>
    <x v="70"/>
    <s v="supplier@gmail.com"/>
  </r>
  <r>
    <x v="1839"/>
    <x v="1839"/>
    <x v="4"/>
    <x v="1"/>
    <x v="4"/>
    <x v="1"/>
    <x v="12"/>
    <x v="8"/>
    <x v="8"/>
    <x v="12"/>
    <x v="8"/>
    <x v="0"/>
    <x v="1"/>
    <x v="153"/>
    <s v="supplier@gmail.com"/>
  </r>
  <r>
    <x v="1840"/>
    <x v="1840"/>
    <x v="269"/>
    <x v="280"/>
    <x v="329"/>
    <x v="157"/>
    <x v="145"/>
    <x v="139"/>
    <x v="264"/>
    <x v="51"/>
    <x v="206"/>
    <x v="0"/>
    <x v="389"/>
    <x v="5"/>
    <s v="supplier@gmail.com"/>
  </r>
  <r>
    <x v="1841"/>
    <x v="1841"/>
    <x v="316"/>
    <x v="281"/>
    <x v="330"/>
    <x v="331"/>
    <x v="299"/>
    <x v="277"/>
    <x v="226"/>
    <x v="275"/>
    <x v="256"/>
    <x v="0"/>
    <x v="1"/>
    <x v="108"/>
    <s v="supplier@gmail.com"/>
  </r>
  <r>
    <x v="1842"/>
    <x v="1842"/>
    <x v="93"/>
    <x v="1"/>
    <x v="104"/>
    <x v="19"/>
    <x v="25"/>
    <x v="25"/>
    <x v="17"/>
    <x v="25"/>
    <x v="26"/>
    <x v="0"/>
    <x v="1"/>
    <x v="51"/>
    <s v="supplier@gmail.com"/>
  </r>
  <r>
    <x v="1843"/>
    <x v="1843"/>
    <x v="93"/>
    <x v="1"/>
    <x v="104"/>
    <x v="19"/>
    <x v="25"/>
    <x v="25"/>
    <x v="17"/>
    <x v="25"/>
    <x v="26"/>
    <x v="0"/>
    <x v="503"/>
    <x v="185"/>
    <s v="supplier@gmail.com"/>
  </r>
  <r>
    <x v="1844"/>
    <x v="1844"/>
    <x v="143"/>
    <x v="282"/>
    <x v="331"/>
    <x v="332"/>
    <x v="41"/>
    <x v="278"/>
    <x v="265"/>
    <x v="37"/>
    <x v="142"/>
    <x v="0"/>
    <x v="660"/>
    <x v="101"/>
    <s v="supplier@gmail.com"/>
  </r>
  <r>
    <x v="1845"/>
    <x v="1845"/>
    <x v="299"/>
    <x v="266"/>
    <x v="319"/>
    <x v="320"/>
    <x v="278"/>
    <x v="268"/>
    <x v="248"/>
    <x v="263"/>
    <x v="247"/>
    <x v="0"/>
    <x v="1"/>
    <x v="170"/>
    <s v="supplier@gmail.com"/>
  </r>
  <r>
    <x v="1846"/>
    <x v="1846"/>
    <x v="317"/>
    <x v="269"/>
    <x v="332"/>
    <x v="79"/>
    <x v="286"/>
    <x v="263"/>
    <x v="253"/>
    <x v="267"/>
    <x v="243"/>
    <x v="0"/>
    <x v="37"/>
    <x v="26"/>
    <s v="supplier@gmail.com"/>
  </r>
  <r>
    <x v="1847"/>
    <x v="1847"/>
    <x v="317"/>
    <x v="269"/>
    <x v="332"/>
    <x v="79"/>
    <x v="286"/>
    <x v="263"/>
    <x v="253"/>
    <x v="267"/>
    <x v="243"/>
    <x v="0"/>
    <x v="661"/>
    <x v="139"/>
    <s v="supplier@gmail.com"/>
  </r>
  <r>
    <x v="1848"/>
    <x v="1848"/>
    <x v="185"/>
    <x v="163"/>
    <x v="184"/>
    <x v="189"/>
    <x v="173"/>
    <x v="161"/>
    <x v="73"/>
    <x v="243"/>
    <x v="59"/>
    <x v="0"/>
    <x v="662"/>
    <x v="165"/>
    <s v="supplier@gmail.com"/>
  </r>
  <r>
    <x v="1849"/>
    <x v="1849"/>
    <x v="27"/>
    <x v="223"/>
    <x v="190"/>
    <x v="32"/>
    <x v="21"/>
    <x v="265"/>
    <x v="255"/>
    <x v="97"/>
    <x v="246"/>
    <x v="0"/>
    <x v="1"/>
    <x v="169"/>
    <s v="supplier@gmail.com"/>
  </r>
  <r>
    <x v="1850"/>
    <x v="1850"/>
    <x v="4"/>
    <x v="1"/>
    <x v="4"/>
    <x v="1"/>
    <x v="12"/>
    <x v="8"/>
    <x v="8"/>
    <x v="12"/>
    <x v="8"/>
    <x v="0"/>
    <x v="1"/>
    <x v="177"/>
    <s v="supplier@gmail.com"/>
  </r>
  <r>
    <x v="1851"/>
    <x v="1851"/>
    <x v="133"/>
    <x v="37"/>
    <x v="63"/>
    <x v="333"/>
    <x v="91"/>
    <x v="41"/>
    <x v="62"/>
    <x v="35"/>
    <x v="34"/>
    <x v="0"/>
    <x v="663"/>
    <x v="31"/>
    <s v="supplier@gmail.com"/>
  </r>
  <r>
    <x v="1852"/>
    <x v="1852"/>
    <x v="185"/>
    <x v="163"/>
    <x v="184"/>
    <x v="189"/>
    <x v="173"/>
    <x v="161"/>
    <x v="73"/>
    <x v="243"/>
    <x v="59"/>
    <x v="0"/>
    <x v="346"/>
    <x v="109"/>
    <s v="supplier@gmail.com"/>
  </r>
  <r>
    <x v="1853"/>
    <x v="1853"/>
    <x v="318"/>
    <x v="84"/>
    <x v="333"/>
    <x v="334"/>
    <x v="300"/>
    <x v="232"/>
    <x v="266"/>
    <x v="275"/>
    <x v="257"/>
    <x v="0"/>
    <x v="664"/>
    <x v="175"/>
    <s v="supplier@gmail.com"/>
  </r>
  <r>
    <x v="1854"/>
    <x v="1854"/>
    <x v="319"/>
    <x v="283"/>
    <x v="334"/>
    <x v="335"/>
    <x v="301"/>
    <x v="112"/>
    <x v="267"/>
    <x v="21"/>
    <x v="258"/>
    <x v="0"/>
    <x v="1"/>
    <x v="127"/>
    <s v="supplier@gmail.com"/>
  </r>
  <r>
    <x v="1855"/>
    <x v="1855"/>
    <x v="4"/>
    <x v="1"/>
    <x v="4"/>
    <x v="1"/>
    <x v="12"/>
    <x v="8"/>
    <x v="8"/>
    <x v="12"/>
    <x v="74"/>
    <x v="0"/>
    <x v="665"/>
    <x v="161"/>
    <s v="supplier@gmail.com"/>
  </r>
  <r>
    <x v="1856"/>
    <x v="1856"/>
    <x v="4"/>
    <x v="37"/>
    <x v="4"/>
    <x v="40"/>
    <x v="12"/>
    <x v="8"/>
    <x v="47"/>
    <x v="12"/>
    <x v="8"/>
    <x v="0"/>
    <x v="506"/>
    <x v="136"/>
    <s v="supplier@gmail.com"/>
  </r>
  <r>
    <x v="1857"/>
    <x v="1857"/>
    <x v="42"/>
    <x v="1"/>
    <x v="4"/>
    <x v="40"/>
    <x v="12"/>
    <x v="37"/>
    <x v="8"/>
    <x v="34"/>
    <x v="8"/>
    <x v="0"/>
    <x v="593"/>
    <x v="120"/>
    <s v="supplier@gmail.com"/>
  </r>
  <r>
    <x v="1858"/>
    <x v="1858"/>
    <x v="4"/>
    <x v="1"/>
    <x v="4"/>
    <x v="16"/>
    <x v="12"/>
    <x v="85"/>
    <x v="8"/>
    <x v="61"/>
    <x v="8"/>
    <x v="0"/>
    <x v="100"/>
    <x v="112"/>
    <s v="supplier@gmail.com"/>
  </r>
  <r>
    <x v="1859"/>
    <x v="1859"/>
    <x v="4"/>
    <x v="37"/>
    <x v="4"/>
    <x v="1"/>
    <x v="12"/>
    <x v="8"/>
    <x v="47"/>
    <x v="12"/>
    <x v="68"/>
    <x v="0"/>
    <x v="1"/>
    <x v="95"/>
    <s v="supplier@gmail.com"/>
  </r>
  <r>
    <x v="1860"/>
    <x v="1860"/>
    <x v="42"/>
    <x v="1"/>
    <x v="39"/>
    <x v="1"/>
    <x v="12"/>
    <x v="37"/>
    <x v="8"/>
    <x v="34"/>
    <x v="8"/>
    <x v="0"/>
    <x v="212"/>
    <x v="97"/>
    <s v="supplier@gmail.com"/>
  </r>
  <r>
    <x v="1861"/>
    <x v="1861"/>
    <x v="4"/>
    <x v="1"/>
    <x v="4"/>
    <x v="1"/>
    <x v="12"/>
    <x v="8"/>
    <x v="8"/>
    <x v="12"/>
    <x v="120"/>
    <x v="0"/>
    <x v="1"/>
    <x v="119"/>
    <s v="supplier@gmail.com"/>
  </r>
  <r>
    <x v="1862"/>
    <x v="1862"/>
    <x v="4"/>
    <x v="1"/>
    <x v="4"/>
    <x v="1"/>
    <x v="12"/>
    <x v="8"/>
    <x v="47"/>
    <x v="12"/>
    <x v="8"/>
    <x v="0"/>
    <x v="666"/>
    <x v="65"/>
    <s v="supplier@gmail.com"/>
  </r>
  <r>
    <x v="1863"/>
    <x v="1863"/>
    <x v="320"/>
    <x v="284"/>
    <x v="335"/>
    <x v="336"/>
    <x v="302"/>
    <x v="279"/>
    <x v="268"/>
    <x v="276"/>
    <x v="259"/>
    <x v="0"/>
    <x v="17"/>
    <x v="7"/>
    <s v="supplier@gmail.com"/>
  </r>
  <r>
    <x v="1864"/>
    <x v="1864"/>
    <x v="321"/>
    <x v="1"/>
    <x v="336"/>
    <x v="337"/>
    <x v="106"/>
    <x v="280"/>
    <x v="269"/>
    <x v="277"/>
    <x v="260"/>
    <x v="0"/>
    <x v="667"/>
    <x v="20"/>
    <s v="supplier@gmail.com"/>
  </r>
  <r>
    <x v="1865"/>
    <x v="1865"/>
    <x v="322"/>
    <x v="285"/>
    <x v="337"/>
    <x v="338"/>
    <x v="303"/>
    <x v="281"/>
    <x v="270"/>
    <x v="278"/>
    <x v="261"/>
    <x v="0"/>
    <x v="668"/>
    <x v="198"/>
    <s v="supplier@gmail.com"/>
  </r>
  <r>
    <x v="1866"/>
    <x v="1866"/>
    <x v="92"/>
    <x v="286"/>
    <x v="338"/>
    <x v="334"/>
    <x v="304"/>
    <x v="282"/>
    <x v="84"/>
    <x v="279"/>
    <x v="262"/>
    <x v="0"/>
    <x v="669"/>
    <x v="135"/>
    <s v="supplier@gmail.com"/>
  </r>
  <r>
    <x v="1867"/>
    <x v="1867"/>
    <x v="323"/>
    <x v="287"/>
    <x v="338"/>
    <x v="335"/>
    <x v="305"/>
    <x v="283"/>
    <x v="73"/>
    <x v="279"/>
    <x v="262"/>
    <x v="0"/>
    <x v="1"/>
    <x v="64"/>
    <s v="supplier@gmail.com"/>
  </r>
  <r>
    <x v="1868"/>
    <x v="1868"/>
    <x v="4"/>
    <x v="1"/>
    <x v="4"/>
    <x v="1"/>
    <x v="12"/>
    <x v="8"/>
    <x v="8"/>
    <x v="12"/>
    <x v="8"/>
    <x v="0"/>
    <x v="1"/>
    <x v="27"/>
    <s v="supplier@gmail.com"/>
  </r>
  <r>
    <x v="1869"/>
    <x v="1869"/>
    <x v="4"/>
    <x v="1"/>
    <x v="4"/>
    <x v="1"/>
    <x v="12"/>
    <x v="8"/>
    <x v="8"/>
    <x v="12"/>
    <x v="8"/>
    <x v="0"/>
    <x v="670"/>
    <x v="174"/>
    <s v="supplier@gmail.com"/>
  </r>
  <r>
    <x v="1870"/>
    <x v="1870"/>
    <x v="4"/>
    <x v="1"/>
    <x v="4"/>
    <x v="1"/>
    <x v="12"/>
    <x v="8"/>
    <x v="8"/>
    <x v="12"/>
    <x v="8"/>
    <x v="0"/>
    <x v="1"/>
    <x v="2"/>
    <s v="supplier@gmail.com"/>
  </r>
  <r>
    <x v="1871"/>
    <x v="1871"/>
    <x v="4"/>
    <x v="1"/>
    <x v="4"/>
    <x v="1"/>
    <x v="12"/>
    <x v="8"/>
    <x v="8"/>
    <x v="12"/>
    <x v="8"/>
    <x v="0"/>
    <x v="671"/>
    <x v="129"/>
    <s v="supplier@gmail.com"/>
  </r>
  <r>
    <x v="1872"/>
    <x v="1872"/>
    <x v="303"/>
    <x v="268"/>
    <x v="313"/>
    <x v="313"/>
    <x v="285"/>
    <x v="262"/>
    <x v="252"/>
    <x v="266"/>
    <x v="242"/>
    <x v="0"/>
    <x v="1"/>
    <x v="1"/>
    <s v="supplier@gmail.com"/>
  </r>
  <r>
    <x v="1873"/>
    <x v="1873"/>
    <x v="303"/>
    <x v="268"/>
    <x v="313"/>
    <x v="313"/>
    <x v="285"/>
    <x v="262"/>
    <x v="252"/>
    <x v="266"/>
    <x v="242"/>
    <x v="0"/>
    <x v="672"/>
    <x v="122"/>
    <s v="supplier@gmail.com"/>
  </r>
  <r>
    <x v="1874"/>
    <x v="1874"/>
    <x v="292"/>
    <x v="261"/>
    <x v="339"/>
    <x v="339"/>
    <x v="306"/>
    <x v="284"/>
    <x v="241"/>
    <x v="279"/>
    <x v="230"/>
    <x v="0"/>
    <x v="673"/>
    <x v="197"/>
    <s v="supplier@gmail.com"/>
  </r>
  <r>
    <x v="1875"/>
    <x v="1875"/>
    <x v="324"/>
    <x v="288"/>
    <x v="340"/>
    <x v="340"/>
    <x v="307"/>
    <x v="285"/>
    <x v="271"/>
    <x v="280"/>
    <x v="263"/>
    <x v="0"/>
    <x v="1"/>
    <x v="69"/>
    <s v="supplier@gmail.com"/>
  </r>
  <r>
    <x v="1876"/>
    <x v="1876"/>
    <x v="106"/>
    <x v="289"/>
    <x v="37"/>
    <x v="274"/>
    <x v="36"/>
    <x v="31"/>
    <x v="159"/>
    <x v="233"/>
    <x v="11"/>
    <x v="0"/>
    <x v="674"/>
    <x v="179"/>
    <s v="supplier@gmail.com"/>
  </r>
  <r>
    <x v="1877"/>
    <x v="1877"/>
    <x v="325"/>
    <x v="290"/>
    <x v="341"/>
    <x v="341"/>
    <x v="308"/>
    <x v="286"/>
    <x v="272"/>
    <x v="281"/>
    <x v="264"/>
    <x v="0"/>
    <x v="4"/>
    <x v="178"/>
    <s v="supplier@gmail.com"/>
  </r>
  <r>
    <x v="1878"/>
    <x v="1878"/>
    <x v="20"/>
    <x v="34"/>
    <x v="72"/>
    <x v="7"/>
    <x v="21"/>
    <x v="10"/>
    <x v="10"/>
    <x v="29"/>
    <x v="5"/>
    <x v="0"/>
    <x v="4"/>
    <x v="196"/>
    <s v="supplier@gmail.com"/>
  </r>
  <r>
    <x v="1879"/>
    <x v="1879"/>
    <x v="4"/>
    <x v="1"/>
    <x v="110"/>
    <x v="137"/>
    <x v="12"/>
    <x v="247"/>
    <x v="8"/>
    <x v="12"/>
    <x v="228"/>
    <x v="0"/>
    <x v="61"/>
    <x v="136"/>
    <s v="supplier@gmail.com"/>
  </r>
  <r>
    <x v="1880"/>
    <x v="1880"/>
    <x v="4"/>
    <x v="1"/>
    <x v="4"/>
    <x v="1"/>
    <x v="12"/>
    <x v="8"/>
    <x v="8"/>
    <x v="12"/>
    <x v="8"/>
    <x v="0"/>
    <x v="256"/>
    <x v="193"/>
    <s v="supplier@gmail.com"/>
  </r>
  <r>
    <x v="1881"/>
    <x v="1881"/>
    <x v="4"/>
    <x v="1"/>
    <x v="113"/>
    <x v="83"/>
    <x v="270"/>
    <x v="226"/>
    <x v="238"/>
    <x v="234"/>
    <x v="93"/>
    <x v="0"/>
    <x v="116"/>
    <x v="190"/>
    <s v="supplier@gmail.com"/>
  </r>
  <r>
    <x v="1882"/>
    <x v="1882"/>
    <x v="4"/>
    <x v="1"/>
    <x v="4"/>
    <x v="1"/>
    <x v="12"/>
    <x v="8"/>
    <x v="8"/>
    <x v="12"/>
    <x v="8"/>
    <x v="0"/>
    <x v="675"/>
    <x v="62"/>
    <s v="supplier@gmail.com"/>
  </r>
  <r>
    <x v="1883"/>
    <x v="1883"/>
    <x v="4"/>
    <x v="1"/>
    <x v="4"/>
    <x v="1"/>
    <x v="12"/>
    <x v="8"/>
    <x v="8"/>
    <x v="12"/>
    <x v="8"/>
    <x v="0"/>
    <x v="530"/>
    <x v="43"/>
    <s v="supplier@gmail.com"/>
  </r>
  <r>
    <x v="1884"/>
    <x v="1884"/>
    <x v="19"/>
    <x v="50"/>
    <x v="19"/>
    <x v="18"/>
    <x v="16"/>
    <x v="17"/>
    <x v="16"/>
    <x v="18"/>
    <x v="44"/>
    <x v="0"/>
    <x v="1"/>
    <x v="108"/>
    <s v="supplier@gmail.com"/>
  </r>
  <r>
    <x v="1885"/>
    <x v="1885"/>
    <x v="4"/>
    <x v="1"/>
    <x v="4"/>
    <x v="1"/>
    <x v="12"/>
    <x v="8"/>
    <x v="8"/>
    <x v="12"/>
    <x v="8"/>
    <x v="0"/>
    <x v="43"/>
    <x v="122"/>
    <s v="supplier@gmail.com"/>
  </r>
  <r>
    <x v="1886"/>
    <x v="1886"/>
    <x v="4"/>
    <x v="1"/>
    <x v="4"/>
    <x v="1"/>
    <x v="12"/>
    <x v="8"/>
    <x v="8"/>
    <x v="12"/>
    <x v="8"/>
    <x v="0"/>
    <x v="1"/>
    <x v="111"/>
    <s v="supplier@gmail.com"/>
  </r>
  <r>
    <x v="1887"/>
    <x v="1887"/>
    <x v="4"/>
    <x v="1"/>
    <x v="4"/>
    <x v="1"/>
    <x v="12"/>
    <x v="8"/>
    <x v="8"/>
    <x v="12"/>
    <x v="8"/>
    <x v="0"/>
    <x v="159"/>
    <x v="86"/>
    <s v="supplier@gmail.com"/>
  </r>
  <r>
    <x v="1888"/>
    <x v="1888"/>
    <x v="4"/>
    <x v="1"/>
    <x v="4"/>
    <x v="1"/>
    <x v="12"/>
    <x v="8"/>
    <x v="8"/>
    <x v="12"/>
    <x v="8"/>
    <x v="0"/>
    <x v="103"/>
    <x v="21"/>
    <s v="supplier@gmail.com"/>
  </r>
  <r>
    <x v="1889"/>
    <x v="1889"/>
    <x v="4"/>
    <x v="1"/>
    <x v="4"/>
    <x v="1"/>
    <x v="12"/>
    <x v="8"/>
    <x v="8"/>
    <x v="12"/>
    <x v="8"/>
    <x v="0"/>
    <x v="226"/>
    <x v="72"/>
    <s v="supplier@gmail.com"/>
  </r>
  <r>
    <x v="1890"/>
    <x v="1890"/>
    <x v="4"/>
    <x v="1"/>
    <x v="4"/>
    <x v="1"/>
    <x v="12"/>
    <x v="8"/>
    <x v="8"/>
    <x v="12"/>
    <x v="8"/>
    <x v="0"/>
    <x v="137"/>
    <x v="197"/>
    <s v="supplier@gmail.com"/>
  </r>
  <r>
    <x v="1891"/>
    <x v="1891"/>
    <x v="20"/>
    <x v="5"/>
    <x v="111"/>
    <x v="7"/>
    <x v="18"/>
    <x v="10"/>
    <x v="10"/>
    <x v="61"/>
    <x v="10"/>
    <x v="0"/>
    <x v="1"/>
    <x v="45"/>
    <s v="supplier@gmail.com"/>
  </r>
  <r>
    <x v="1892"/>
    <x v="1892"/>
    <x v="326"/>
    <x v="123"/>
    <x v="342"/>
    <x v="299"/>
    <x v="65"/>
    <x v="227"/>
    <x v="94"/>
    <x v="282"/>
    <x v="2"/>
    <x v="0"/>
    <x v="25"/>
    <x v="0"/>
    <s v="supplier@gmail.com"/>
  </r>
  <r>
    <x v="1893"/>
    <x v="1893"/>
    <x v="4"/>
    <x v="1"/>
    <x v="4"/>
    <x v="16"/>
    <x v="12"/>
    <x v="8"/>
    <x v="8"/>
    <x v="12"/>
    <x v="8"/>
    <x v="0"/>
    <x v="120"/>
    <x v="96"/>
    <s v="supplier@gmail.com"/>
  </r>
  <r>
    <x v="1894"/>
    <x v="1894"/>
    <x v="4"/>
    <x v="1"/>
    <x v="4"/>
    <x v="1"/>
    <x v="12"/>
    <x v="8"/>
    <x v="8"/>
    <x v="12"/>
    <x v="8"/>
    <x v="0"/>
    <x v="546"/>
    <x v="37"/>
    <s v="supplier@gmail.com"/>
  </r>
  <r>
    <x v="1895"/>
    <x v="1895"/>
    <x v="4"/>
    <x v="1"/>
    <x v="4"/>
    <x v="34"/>
    <x v="12"/>
    <x v="8"/>
    <x v="8"/>
    <x v="12"/>
    <x v="8"/>
    <x v="0"/>
    <x v="676"/>
    <x v="113"/>
    <s v="supplier@gmail.com"/>
  </r>
  <r>
    <x v="1896"/>
    <x v="1896"/>
    <x v="82"/>
    <x v="1"/>
    <x v="16"/>
    <x v="16"/>
    <x v="12"/>
    <x v="8"/>
    <x v="8"/>
    <x v="12"/>
    <x v="8"/>
    <x v="0"/>
    <x v="7"/>
    <x v="98"/>
    <s v="supplier@gmail.com"/>
  </r>
  <r>
    <x v="1897"/>
    <x v="1897"/>
    <x v="12"/>
    <x v="1"/>
    <x v="10"/>
    <x v="8"/>
    <x v="12"/>
    <x v="8"/>
    <x v="8"/>
    <x v="12"/>
    <x v="8"/>
    <x v="0"/>
    <x v="447"/>
    <x v="60"/>
    <s v="supplier@gmail.com"/>
  </r>
  <r>
    <x v="1898"/>
    <x v="1898"/>
    <x v="82"/>
    <x v="1"/>
    <x v="16"/>
    <x v="16"/>
    <x v="12"/>
    <x v="8"/>
    <x v="8"/>
    <x v="12"/>
    <x v="8"/>
    <x v="0"/>
    <x v="1"/>
    <x v="180"/>
    <s v="supplier@gmail.com"/>
  </r>
  <r>
    <x v="1899"/>
    <x v="1899"/>
    <x v="4"/>
    <x v="1"/>
    <x v="4"/>
    <x v="1"/>
    <x v="12"/>
    <x v="8"/>
    <x v="8"/>
    <x v="12"/>
    <x v="8"/>
    <x v="0"/>
    <x v="1"/>
    <x v="174"/>
    <s v="supplier@gmail.com"/>
  </r>
  <r>
    <x v="1900"/>
    <x v="1900"/>
    <x v="304"/>
    <x v="269"/>
    <x v="314"/>
    <x v="329"/>
    <x v="286"/>
    <x v="263"/>
    <x v="253"/>
    <x v="267"/>
    <x v="243"/>
    <x v="0"/>
    <x v="677"/>
    <x v="66"/>
    <s v="supplier@gmail.com"/>
  </r>
  <r>
    <x v="1901"/>
    <x v="1901"/>
    <x v="327"/>
    <x v="291"/>
    <x v="343"/>
    <x v="342"/>
    <x v="309"/>
    <x v="287"/>
    <x v="273"/>
    <x v="283"/>
    <x v="265"/>
    <x v="0"/>
    <x v="678"/>
    <x v="84"/>
    <s v="supplier@gmail.com"/>
  </r>
  <r>
    <x v="1902"/>
    <x v="1902"/>
    <x v="327"/>
    <x v="291"/>
    <x v="343"/>
    <x v="342"/>
    <x v="309"/>
    <x v="287"/>
    <x v="273"/>
    <x v="283"/>
    <x v="265"/>
    <x v="0"/>
    <x v="679"/>
    <x v="55"/>
    <s v="supplier@gmail.com"/>
  </r>
  <r>
    <x v="1903"/>
    <x v="1903"/>
    <x v="328"/>
    <x v="292"/>
    <x v="344"/>
    <x v="343"/>
    <x v="310"/>
    <x v="288"/>
    <x v="274"/>
    <x v="284"/>
    <x v="266"/>
    <x v="0"/>
    <x v="194"/>
    <x v="164"/>
    <s v="supplier@gmail.com"/>
  </r>
  <r>
    <x v="1904"/>
    <x v="1904"/>
    <x v="4"/>
    <x v="1"/>
    <x v="4"/>
    <x v="1"/>
    <x v="12"/>
    <x v="8"/>
    <x v="8"/>
    <x v="12"/>
    <x v="8"/>
    <x v="0"/>
    <x v="470"/>
    <x v="40"/>
    <s v="supplier@gmail.com"/>
  </r>
  <r>
    <x v="1905"/>
    <x v="1905"/>
    <x v="4"/>
    <x v="1"/>
    <x v="4"/>
    <x v="1"/>
    <x v="12"/>
    <x v="8"/>
    <x v="8"/>
    <x v="12"/>
    <x v="8"/>
    <x v="0"/>
    <x v="93"/>
    <x v="5"/>
    <s v="supplier@gmail.com"/>
  </r>
  <r>
    <x v="1906"/>
    <x v="1906"/>
    <x v="4"/>
    <x v="1"/>
    <x v="4"/>
    <x v="1"/>
    <x v="12"/>
    <x v="8"/>
    <x v="8"/>
    <x v="12"/>
    <x v="8"/>
    <x v="0"/>
    <x v="131"/>
    <x v="119"/>
    <s v="supplier@gmail.com"/>
  </r>
  <r>
    <x v="1907"/>
    <x v="1907"/>
    <x v="4"/>
    <x v="1"/>
    <x v="4"/>
    <x v="1"/>
    <x v="12"/>
    <x v="8"/>
    <x v="8"/>
    <x v="12"/>
    <x v="8"/>
    <x v="0"/>
    <x v="221"/>
    <x v="165"/>
    <s v="supplier@gmail.com"/>
  </r>
  <r>
    <x v="1908"/>
    <x v="1908"/>
    <x v="4"/>
    <x v="1"/>
    <x v="4"/>
    <x v="1"/>
    <x v="12"/>
    <x v="8"/>
    <x v="8"/>
    <x v="12"/>
    <x v="8"/>
    <x v="0"/>
    <x v="680"/>
    <x v="14"/>
    <s v="supplier@gmail.com"/>
  </r>
  <r>
    <x v="1909"/>
    <x v="1909"/>
    <x v="4"/>
    <x v="1"/>
    <x v="4"/>
    <x v="1"/>
    <x v="12"/>
    <x v="8"/>
    <x v="8"/>
    <x v="12"/>
    <x v="8"/>
    <x v="0"/>
    <x v="14"/>
    <x v="77"/>
    <s v="supplier@gmail.com"/>
  </r>
  <r>
    <x v="1910"/>
    <x v="1910"/>
    <x v="82"/>
    <x v="1"/>
    <x v="16"/>
    <x v="16"/>
    <x v="12"/>
    <x v="8"/>
    <x v="8"/>
    <x v="12"/>
    <x v="8"/>
    <x v="0"/>
    <x v="681"/>
    <x v="194"/>
    <s v="supplier@gmail.com"/>
  </r>
  <r>
    <x v="1911"/>
    <x v="1911"/>
    <x v="82"/>
    <x v="1"/>
    <x v="16"/>
    <x v="16"/>
    <x v="12"/>
    <x v="8"/>
    <x v="8"/>
    <x v="12"/>
    <x v="8"/>
    <x v="0"/>
    <x v="682"/>
    <x v="152"/>
    <s v="supplier@gmail.com"/>
  </r>
  <r>
    <x v="1912"/>
    <x v="1912"/>
    <x v="4"/>
    <x v="1"/>
    <x v="4"/>
    <x v="1"/>
    <x v="12"/>
    <x v="8"/>
    <x v="8"/>
    <x v="12"/>
    <x v="8"/>
    <x v="0"/>
    <x v="1"/>
    <x v="56"/>
    <s v="supplier@gmail.com"/>
  </r>
  <r>
    <x v="1913"/>
    <x v="1913"/>
    <x v="4"/>
    <x v="1"/>
    <x v="4"/>
    <x v="1"/>
    <x v="12"/>
    <x v="8"/>
    <x v="8"/>
    <x v="12"/>
    <x v="8"/>
    <x v="0"/>
    <x v="1"/>
    <x v="108"/>
    <s v="supplier@gmail.com"/>
  </r>
  <r>
    <x v="1914"/>
    <x v="1914"/>
    <x v="27"/>
    <x v="223"/>
    <x v="272"/>
    <x v="32"/>
    <x v="36"/>
    <x v="265"/>
    <x v="255"/>
    <x v="97"/>
    <x v="246"/>
    <x v="0"/>
    <x v="547"/>
    <x v="81"/>
    <s v="supplier@gmail.com"/>
  </r>
  <r>
    <x v="1915"/>
    <x v="1915"/>
    <x v="110"/>
    <x v="223"/>
    <x v="37"/>
    <x v="264"/>
    <x v="244"/>
    <x v="22"/>
    <x v="23"/>
    <x v="31"/>
    <x v="22"/>
    <x v="0"/>
    <x v="163"/>
    <x v="181"/>
    <s v="supplier@gmail.com"/>
  </r>
  <r>
    <x v="1916"/>
    <x v="1916"/>
    <x v="4"/>
    <x v="1"/>
    <x v="4"/>
    <x v="1"/>
    <x v="12"/>
    <x v="8"/>
    <x v="8"/>
    <x v="12"/>
    <x v="8"/>
    <x v="0"/>
    <x v="683"/>
    <x v="14"/>
    <s v="supplier@gmail.com"/>
  </r>
  <r>
    <x v="1917"/>
    <x v="1917"/>
    <x v="4"/>
    <x v="1"/>
    <x v="4"/>
    <x v="1"/>
    <x v="12"/>
    <x v="8"/>
    <x v="8"/>
    <x v="12"/>
    <x v="8"/>
    <x v="0"/>
    <x v="1"/>
    <x v="115"/>
    <s v="supplier@gmail.com"/>
  </r>
  <r>
    <x v="1918"/>
    <x v="1918"/>
    <x v="20"/>
    <x v="5"/>
    <x v="111"/>
    <x v="7"/>
    <x v="18"/>
    <x v="10"/>
    <x v="10"/>
    <x v="61"/>
    <x v="10"/>
    <x v="0"/>
    <x v="503"/>
    <x v="62"/>
    <s v="supplier@gmail.com"/>
  </r>
  <r>
    <x v="1919"/>
    <x v="1919"/>
    <x v="143"/>
    <x v="282"/>
    <x v="331"/>
    <x v="332"/>
    <x v="41"/>
    <x v="278"/>
    <x v="265"/>
    <x v="37"/>
    <x v="142"/>
    <x v="0"/>
    <x v="684"/>
    <x v="97"/>
    <s v="supplier@gmail.com"/>
  </r>
  <r>
    <x v="1920"/>
    <x v="1920"/>
    <x v="87"/>
    <x v="293"/>
    <x v="345"/>
    <x v="283"/>
    <x v="65"/>
    <x v="289"/>
    <x v="275"/>
    <x v="275"/>
    <x v="267"/>
    <x v="0"/>
    <x v="23"/>
    <x v="124"/>
    <s v="supplier@gmail.com"/>
  </r>
  <r>
    <x v="1921"/>
    <x v="1921"/>
    <x v="27"/>
    <x v="223"/>
    <x v="190"/>
    <x v="32"/>
    <x v="21"/>
    <x v="265"/>
    <x v="255"/>
    <x v="97"/>
    <x v="246"/>
    <x v="0"/>
    <x v="128"/>
    <x v="28"/>
    <s v="supplier@gmail.com"/>
  </r>
  <r>
    <x v="1922"/>
    <x v="1922"/>
    <x v="4"/>
    <x v="1"/>
    <x v="4"/>
    <x v="16"/>
    <x v="12"/>
    <x v="8"/>
    <x v="8"/>
    <x v="12"/>
    <x v="8"/>
    <x v="0"/>
    <x v="187"/>
    <x v="48"/>
    <s v="supplier@gmail.com"/>
  </r>
  <r>
    <x v="1923"/>
    <x v="1923"/>
    <x v="4"/>
    <x v="1"/>
    <x v="4"/>
    <x v="10"/>
    <x v="12"/>
    <x v="8"/>
    <x v="8"/>
    <x v="12"/>
    <x v="8"/>
    <x v="0"/>
    <x v="685"/>
    <x v="69"/>
    <s v="supplier@gmail.com"/>
  </r>
  <r>
    <x v="1924"/>
    <x v="1924"/>
    <x v="4"/>
    <x v="1"/>
    <x v="4"/>
    <x v="36"/>
    <x v="12"/>
    <x v="8"/>
    <x v="8"/>
    <x v="12"/>
    <x v="8"/>
    <x v="0"/>
    <x v="455"/>
    <x v="67"/>
    <s v="supplier@gmail.com"/>
  </r>
  <r>
    <x v="1925"/>
    <x v="1925"/>
    <x v="4"/>
    <x v="1"/>
    <x v="118"/>
    <x v="39"/>
    <x v="36"/>
    <x v="40"/>
    <x v="8"/>
    <x v="12"/>
    <x v="79"/>
    <x v="0"/>
    <x v="7"/>
    <x v="48"/>
    <s v="supplier@gmail.com"/>
  </r>
  <r>
    <x v="1926"/>
    <x v="1926"/>
    <x v="4"/>
    <x v="1"/>
    <x v="118"/>
    <x v="39"/>
    <x v="36"/>
    <x v="40"/>
    <x v="8"/>
    <x v="12"/>
    <x v="79"/>
    <x v="0"/>
    <x v="26"/>
    <x v="91"/>
    <s v="supplier@gmail.com"/>
  </r>
  <r>
    <x v="1927"/>
    <x v="1927"/>
    <x v="4"/>
    <x v="1"/>
    <x v="118"/>
    <x v="39"/>
    <x v="36"/>
    <x v="40"/>
    <x v="8"/>
    <x v="12"/>
    <x v="79"/>
    <x v="0"/>
    <x v="338"/>
    <x v="17"/>
    <s v="supplier@gmail.com"/>
  </r>
  <r>
    <x v="1928"/>
    <x v="1928"/>
    <x v="4"/>
    <x v="1"/>
    <x v="118"/>
    <x v="39"/>
    <x v="36"/>
    <x v="40"/>
    <x v="8"/>
    <x v="12"/>
    <x v="79"/>
    <x v="0"/>
    <x v="686"/>
    <x v="132"/>
    <s v="supplier@gmail.com"/>
  </r>
  <r>
    <x v="1929"/>
    <x v="1929"/>
    <x v="299"/>
    <x v="266"/>
    <x v="319"/>
    <x v="320"/>
    <x v="278"/>
    <x v="268"/>
    <x v="248"/>
    <x v="263"/>
    <x v="247"/>
    <x v="0"/>
    <x v="27"/>
    <x v="9"/>
    <s v="supplier@gmail.com"/>
  </r>
  <r>
    <x v="1930"/>
    <x v="1930"/>
    <x v="299"/>
    <x v="266"/>
    <x v="319"/>
    <x v="320"/>
    <x v="278"/>
    <x v="268"/>
    <x v="248"/>
    <x v="263"/>
    <x v="247"/>
    <x v="0"/>
    <x v="687"/>
    <x v="141"/>
    <s v="supplier@gmail.com"/>
  </r>
  <r>
    <x v="1931"/>
    <x v="1931"/>
    <x v="299"/>
    <x v="266"/>
    <x v="319"/>
    <x v="320"/>
    <x v="278"/>
    <x v="268"/>
    <x v="248"/>
    <x v="263"/>
    <x v="247"/>
    <x v="0"/>
    <x v="688"/>
    <x v="145"/>
    <s v="supplier@gmail.com"/>
  </r>
  <r>
    <x v="1932"/>
    <x v="1932"/>
    <x v="299"/>
    <x v="266"/>
    <x v="319"/>
    <x v="320"/>
    <x v="278"/>
    <x v="268"/>
    <x v="248"/>
    <x v="263"/>
    <x v="247"/>
    <x v="0"/>
    <x v="338"/>
    <x v="193"/>
    <s v="supplier@gmail.com"/>
  </r>
  <r>
    <x v="1933"/>
    <x v="1933"/>
    <x v="314"/>
    <x v="67"/>
    <x v="69"/>
    <x v="296"/>
    <x v="77"/>
    <x v="74"/>
    <x v="68"/>
    <x v="60"/>
    <x v="60"/>
    <x v="0"/>
    <x v="623"/>
    <x v="53"/>
    <s v="supplier@gmail.com"/>
  </r>
  <r>
    <x v="1934"/>
    <x v="1934"/>
    <x v="314"/>
    <x v="67"/>
    <x v="69"/>
    <x v="296"/>
    <x v="77"/>
    <x v="74"/>
    <x v="68"/>
    <x v="60"/>
    <x v="60"/>
    <x v="0"/>
    <x v="499"/>
    <x v="140"/>
    <s v="supplier@gmail.com"/>
  </r>
  <r>
    <x v="1935"/>
    <x v="1935"/>
    <x v="4"/>
    <x v="1"/>
    <x v="110"/>
    <x v="137"/>
    <x v="12"/>
    <x v="247"/>
    <x v="8"/>
    <x v="12"/>
    <x v="228"/>
    <x v="0"/>
    <x v="689"/>
    <x v="154"/>
    <s v="supplier@gmail.com"/>
  </r>
  <r>
    <x v="1936"/>
    <x v="1936"/>
    <x v="106"/>
    <x v="289"/>
    <x v="37"/>
    <x v="287"/>
    <x v="36"/>
    <x v="31"/>
    <x v="159"/>
    <x v="233"/>
    <x v="11"/>
    <x v="0"/>
    <x v="690"/>
    <x v="191"/>
    <s v="supplier@gmail.com"/>
  </r>
  <r>
    <x v="1937"/>
    <x v="1937"/>
    <x v="329"/>
    <x v="294"/>
    <x v="346"/>
    <x v="344"/>
    <x v="311"/>
    <x v="290"/>
    <x v="276"/>
    <x v="285"/>
    <x v="268"/>
    <x v="0"/>
    <x v="691"/>
    <x v="85"/>
    <s v="supplier@gmail.com"/>
  </r>
  <r>
    <x v="1938"/>
    <x v="1938"/>
    <x v="301"/>
    <x v="267"/>
    <x v="311"/>
    <x v="311"/>
    <x v="281"/>
    <x v="254"/>
    <x v="251"/>
    <x v="265"/>
    <x v="240"/>
    <x v="0"/>
    <x v="692"/>
    <x v="135"/>
    <s v="supplier@gmail.com"/>
  </r>
  <r>
    <x v="1939"/>
    <x v="1939"/>
    <x v="330"/>
    <x v="295"/>
    <x v="347"/>
    <x v="345"/>
    <x v="312"/>
    <x v="291"/>
    <x v="277"/>
    <x v="286"/>
    <x v="269"/>
    <x v="0"/>
    <x v="693"/>
    <x v="149"/>
    <s v="supplier@gmail.com"/>
  </r>
  <r>
    <x v="1940"/>
    <x v="1940"/>
    <x v="331"/>
    <x v="122"/>
    <x v="348"/>
    <x v="346"/>
    <x v="313"/>
    <x v="292"/>
    <x v="94"/>
    <x v="287"/>
    <x v="270"/>
    <x v="0"/>
    <x v="256"/>
    <x v="104"/>
    <s v="supplier@gmail.com"/>
  </r>
  <r>
    <x v="1941"/>
    <x v="1941"/>
    <x v="133"/>
    <x v="37"/>
    <x v="63"/>
    <x v="333"/>
    <x v="91"/>
    <x v="41"/>
    <x v="62"/>
    <x v="35"/>
    <x v="34"/>
    <x v="0"/>
    <x v="1"/>
    <x v="2"/>
    <s v="supplier@gmail.com"/>
  </r>
  <r>
    <x v="1942"/>
    <x v="1942"/>
    <x v="332"/>
    <x v="296"/>
    <x v="349"/>
    <x v="347"/>
    <x v="314"/>
    <x v="293"/>
    <x v="278"/>
    <x v="288"/>
    <x v="271"/>
    <x v="0"/>
    <x v="187"/>
    <x v="35"/>
    <s v="supplier@gmail.com"/>
  </r>
  <r>
    <x v="1943"/>
    <x v="1943"/>
    <x v="82"/>
    <x v="16"/>
    <x v="5"/>
    <x v="16"/>
    <x v="17"/>
    <x v="85"/>
    <x v="34"/>
    <x v="43"/>
    <x v="74"/>
    <x v="0"/>
    <x v="509"/>
    <x v="1"/>
    <s v="supplier@gmail.com"/>
  </r>
  <r>
    <x v="1944"/>
    <x v="1944"/>
    <x v="82"/>
    <x v="1"/>
    <x v="16"/>
    <x v="16"/>
    <x v="12"/>
    <x v="8"/>
    <x v="8"/>
    <x v="12"/>
    <x v="8"/>
    <x v="0"/>
    <x v="694"/>
    <x v="123"/>
    <s v="supplier@gmail.com"/>
  </r>
  <r>
    <x v="1945"/>
    <x v="1945"/>
    <x v="270"/>
    <x v="297"/>
    <x v="185"/>
    <x v="105"/>
    <x v="315"/>
    <x v="294"/>
    <x v="279"/>
    <x v="81"/>
    <x v="35"/>
    <x v="0"/>
    <x v="695"/>
    <x v="147"/>
    <s v="supplier@gmail.com"/>
  </r>
  <r>
    <x v="1946"/>
    <x v="1946"/>
    <x v="4"/>
    <x v="1"/>
    <x v="4"/>
    <x v="1"/>
    <x v="12"/>
    <x v="8"/>
    <x v="8"/>
    <x v="12"/>
    <x v="8"/>
    <x v="0"/>
    <x v="1"/>
    <x v="117"/>
    <s v="supplier@gmail.com"/>
  </r>
  <r>
    <x v="1947"/>
    <x v="1947"/>
    <x v="333"/>
    <x v="298"/>
    <x v="350"/>
    <x v="348"/>
    <x v="316"/>
    <x v="295"/>
    <x v="280"/>
    <x v="289"/>
    <x v="272"/>
    <x v="0"/>
    <x v="34"/>
    <x v="45"/>
    <s v="supplier@gmail.com"/>
  </r>
  <r>
    <x v="1948"/>
    <x v="1948"/>
    <x v="4"/>
    <x v="1"/>
    <x v="4"/>
    <x v="1"/>
    <x v="12"/>
    <x v="8"/>
    <x v="8"/>
    <x v="61"/>
    <x v="8"/>
    <x v="0"/>
    <x v="338"/>
    <x v="100"/>
    <s v="supplier@gmail.com"/>
  </r>
  <r>
    <x v="1949"/>
    <x v="1949"/>
    <x v="269"/>
    <x v="84"/>
    <x v="351"/>
    <x v="349"/>
    <x v="317"/>
    <x v="296"/>
    <x v="73"/>
    <x v="85"/>
    <x v="59"/>
    <x v="0"/>
    <x v="632"/>
    <x v="110"/>
    <s v="supplier@gmail.com"/>
  </r>
  <r>
    <x v="1950"/>
    <x v="1950"/>
    <x v="185"/>
    <x v="163"/>
    <x v="286"/>
    <x v="285"/>
    <x v="255"/>
    <x v="234"/>
    <x v="73"/>
    <x v="243"/>
    <x v="59"/>
    <x v="0"/>
    <x v="618"/>
    <x v="30"/>
    <s v="supplier@gmail.com"/>
  </r>
  <r>
    <x v="1951"/>
    <x v="1951"/>
    <x v="185"/>
    <x v="163"/>
    <x v="286"/>
    <x v="285"/>
    <x v="255"/>
    <x v="234"/>
    <x v="73"/>
    <x v="243"/>
    <x v="59"/>
    <x v="0"/>
    <x v="696"/>
    <x v="67"/>
    <s v="supplier@gmail.com"/>
  </r>
  <r>
    <x v="1952"/>
    <x v="1952"/>
    <x v="185"/>
    <x v="163"/>
    <x v="286"/>
    <x v="285"/>
    <x v="255"/>
    <x v="234"/>
    <x v="73"/>
    <x v="243"/>
    <x v="59"/>
    <x v="0"/>
    <x v="1"/>
    <x v="13"/>
    <s v="supplier@gmail.com"/>
  </r>
  <r>
    <x v="1953"/>
    <x v="1953"/>
    <x v="319"/>
    <x v="280"/>
    <x v="352"/>
    <x v="350"/>
    <x v="305"/>
    <x v="297"/>
    <x v="281"/>
    <x v="290"/>
    <x v="273"/>
    <x v="0"/>
    <x v="338"/>
    <x v="153"/>
    <s v="supplier@gmail.com"/>
  </r>
  <r>
    <x v="1954"/>
    <x v="1954"/>
    <x v="334"/>
    <x v="281"/>
    <x v="353"/>
    <x v="351"/>
    <x v="318"/>
    <x v="298"/>
    <x v="74"/>
    <x v="2"/>
    <x v="274"/>
    <x v="0"/>
    <x v="1"/>
    <x v="167"/>
    <s v="supplier@gmail.com"/>
  </r>
  <r>
    <x v="1955"/>
    <x v="1955"/>
    <x v="4"/>
    <x v="1"/>
    <x v="4"/>
    <x v="1"/>
    <x v="12"/>
    <x v="8"/>
    <x v="8"/>
    <x v="12"/>
    <x v="8"/>
    <x v="0"/>
    <x v="218"/>
    <x v="42"/>
    <s v="supplier@gmail.com"/>
  </r>
  <r>
    <x v="1956"/>
    <x v="1956"/>
    <x v="101"/>
    <x v="86"/>
    <x v="104"/>
    <x v="33"/>
    <x v="25"/>
    <x v="19"/>
    <x v="17"/>
    <x v="26"/>
    <x v="18"/>
    <x v="0"/>
    <x v="1"/>
    <x v="178"/>
    <s v="supplier@gmail.com"/>
  </r>
  <r>
    <x v="1957"/>
    <x v="1957"/>
    <x v="100"/>
    <x v="107"/>
    <x v="114"/>
    <x v="352"/>
    <x v="143"/>
    <x v="6"/>
    <x v="145"/>
    <x v="31"/>
    <x v="275"/>
    <x v="0"/>
    <x v="1"/>
    <x v="197"/>
    <s v="supplier@gmail.com"/>
  </r>
  <r>
    <x v="1958"/>
    <x v="1958"/>
    <x v="20"/>
    <x v="44"/>
    <x v="38"/>
    <x v="34"/>
    <x v="21"/>
    <x v="33"/>
    <x v="40"/>
    <x v="29"/>
    <x v="32"/>
    <x v="0"/>
    <x v="3"/>
    <x v="85"/>
    <s v="supplier@gmail.com"/>
  </r>
  <r>
    <x v="1959"/>
    <x v="1959"/>
    <x v="20"/>
    <x v="44"/>
    <x v="38"/>
    <x v="34"/>
    <x v="21"/>
    <x v="33"/>
    <x v="40"/>
    <x v="29"/>
    <x v="32"/>
    <x v="0"/>
    <x v="447"/>
    <x v="187"/>
    <s v="supplier@gmail.com"/>
  </r>
  <r>
    <x v="1960"/>
    <x v="1960"/>
    <x v="4"/>
    <x v="1"/>
    <x v="4"/>
    <x v="1"/>
    <x v="12"/>
    <x v="8"/>
    <x v="8"/>
    <x v="12"/>
    <x v="8"/>
    <x v="0"/>
    <x v="350"/>
    <x v="29"/>
    <s v="supplier@gmail.com"/>
  </r>
  <r>
    <x v="1961"/>
    <x v="1961"/>
    <x v="4"/>
    <x v="1"/>
    <x v="4"/>
    <x v="16"/>
    <x v="12"/>
    <x v="8"/>
    <x v="8"/>
    <x v="12"/>
    <x v="8"/>
    <x v="0"/>
    <x v="21"/>
    <x v="69"/>
    <s v="supplier@gmail.com"/>
  </r>
  <r>
    <x v="1962"/>
    <x v="1962"/>
    <x v="4"/>
    <x v="1"/>
    <x v="110"/>
    <x v="137"/>
    <x v="12"/>
    <x v="247"/>
    <x v="8"/>
    <x v="12"/>
    <x v="228"/>
    <x v="0"/>
    <x v="1"/>
    <x v="86"/>
    <s v="supplier@gmail.com"/>
  </r>
  <r>
    <x v="1963"/>
    <x v="1963"/>
    <x v="13"/>
    <x v="140"/>
    <x v="13"/>
    <x v="353"/>
    <x v="1"/>
    <x v="299"/>
    <x v="282"/>
    <x v="85"/>
    <x v="276"/>
    <x v="0"/>
    <x v="1"/>
    <x v="0"/>
    <s v="supplier@gmail.com"/>
  </r>
  <r>
    <x v="1964"/>
    <x v="1964"/>
    <x v="304"/>
    <x v="269"/>
    <x v="315"/>
    <x v="315"/>
    <x v="286"/>
    <x v="56"/>
    <x v="253"/>
    <x v="267"/>
    <x v="244"/>
    <x v="0"/>
    <x v="65"/>
    <x v="117"/>
    <s v="supplier@gmail.com"/>
  </r>
  <r>
    <x v="1965"/>
    <x v="1965"/>
    <x v="112"/>
    <x v="135"/>
    <x v="12"/>
    <x v="10"/>
    <x v="162"/>
    <x v="44"/>
    <x v="283"/>
    <x v="101"/>
    <x v="277"/>
    <x v="0"/>
    <x v="225"/>
    <x v="96"/>
    <s v="supplier@gmail.com"/>
  </r>
  <r>
    <x v="1966"/>
    <x v="1966"/>
    <x v="335"/>
    <x v="234"/>
    <x v="6"/>
    <x v="36"/>
    <x v="13"/>
    <x v="114"/>
    <x v="142"/>
    <x v="87"/>
    <x v="278"/>
    <x v="0"/>
    <x v="49"/>
    <x v="30"/>
    <s v="supplier@gmail.com"/>
  </r>
  <r>
    <x v="1967"/>
    <x v="1967"/>
    <x v="82"/>
    <x v="1"/>
    <x v="16"/>
    <x v="16"/>
    <x v="12"/>
    <x v="8"/>
    <x v="8"/>
    <x v="12"/>
    <x v="8"/>
    <x v="0"/>
    <x v="1"/>
    <x v="187"/>
    <s v="supplier@gmail.com"/>
  </r>
  <r>
    <x v="1968"/>
    <x v="1968"/>
    <x v="42"/>
    <x v="1"/>
    <x v="39"/>
    <x v="39"/>
    <x v="36"/>
    <x v="36"/>
    <x v="42"/>
    <x v="85"/>
    <x v="33"/>
    <x v="0"/>
    <x v="241"/>
    <x v="42"/>
    <s v="supplier@gmail.com"/>
  </r>
  <r>
    <x v="1969"/>
    <x v="1969"/>
    <x v="4"/>
    <x v="1"/>
    <x v="4"/>
    <x v="1"/>
    <x v="12"/>
    <x v="8"/>
    <x v="8"/>
    <x v="12"/>
    <x v="8"/>
    <x v="0"/>
    <x v="336"/>
    <x v="142"/>
    <s v="supplier@gmail.com"/>
  </r>
  <r>
    <x v="1970"/>
    <x v="1970"/>
    <x v="4"/>
    <x v="1"/>
    <x v="4"/>
    <x v="1"/>
    <x v="12"/>
    <x v="8"/>
    <x v="8"/>
    <x v="12"/>
    <x v="8"/>
    <x v="0"/>
    <x v="1"/>
    <x v="58"/>
    <s v="supplier@gmail.com"/>
  </r>
  <r>
    <x v="1971"/>
    <x v="1971"/>
    <x v="7"/>
    <x v="8"/>
    <x v="10"/>
    <x v="36"/>
    <x v="8"/>
    <x v="39"/>
    <x v="67"/>
    <x v="1"/>
    <x v="9"/>
    <x v="0"/>
    <x v="1"/>
    <x v="86"/>
    <s v="supplier@gmail.com"/>
  </r>
  <r>
    <x v="1972"/>
    <x v="1972"/>
    <x v="20"/>
    <x v="5"/>
    <x v="6"/>
    <x v="6"/>
    <x v="18"/>
    <x v="5"/>
    <x v="40"/>
    <x v="29"/>
    <x v="28"/>
    <x v="0"/>
    <x v="256"/>
    <x v="73"/>
    <s v="supplier@gmail.com"/>
  </r>
  <r>
    <x v="1973"/>
    <x v="1973"/>
    <x v="303"/>
    <x v="268"/>
    <x v="313"/>
    <x v="313"/>
    <x v="285"/>
    <x v="262"/>
    <x v="252"/>
    <x v="266"/>
    <x v="242"/>
    <x v="0"/>
    <x v="1"/>
    <x v="17"/>
    <s v="supplier@gmail.com"/>
  </r>
  <r>
    <x v="1974"/>
    <x v="1974"/>
    <x v="12"/>
    <x v="7"/>
    <x v="39"/>
    <x v="10"/>
    <x v="39"/>
    <x v="14"/>
    <x v="9"/>
    <x v="29"/>
    <x v="6"/>
    <x v="0"/>
    <x v="1"/>
    <x v="197"/>
    <s v="supplier@gmail.com"/>
  </r>
  <r>
    <x v="1975"/>
    <x v="1975"/>
    <x v="12"/>
    <x v="7"/>
    <x v="39"/>
    <x v="10"/>
    <x v="39"/>
    <x v="14"/>
    <x v="9"/>
    <x v="29"/>
    <x v="6"/>
    <x v="0"/>
    <x v="338"/>
    <x v="179"/>
    <s v="supplier@gmail.com"/>
  </r>
  <r>
    <x v="1976"/>
    <x v="1976"/>
    <x v="314"/>
    <x v="67"/>
    <x v="69"/>
    <x v="296"/>
    <x v="77"/>
    <x v="74"/>
    <x v="68"/>
    <x v="60"/>
    <x v="60"/>
    <x v="0"/>
    <x v="553"/>
    <x v="127"/>
    <s v="supplier@gmail.com"/>
  </r>
  <r>
    <x v="1977"/>
    <x v="1977"/>
    <x v="17"/>
    <x v="89"/>
    <x v="42"/>
    <x v="101"/>
    <x v="26"/>
    <x v="38"/>
    <x v="34"/>
    <x v="90"/>
    <x v="27"/>
    <x v="0"/>
    <x v="697"/>
    <x v="101"/>
    <s v="supplier@gmail.com"/>
  </r>
  <r>
    <x v="1978"/>
    <x v="1978"/>
    <x v="17"/>
    <x v="89"/>
    <x v="42"/>
    <x v="101"/>
    <x v="26"/>
    <x v="38"/>
    <x v="34"/>
    <x v="90"/>
    <x v="27"/>
    <x v="0"/>
    <x v="53"/>
    <x v="16"/>
    <s v="supplier@gmail.com"/>
  </r>
  <r>
    <x v="1979"/>
    <x v="1979"/>
    <x v="17"/>
    <x v="89"/>
    <x v="42"/>
    <x v="101"/>
    <x v="26"/>
    <x v="38"/>
    <x v="34"/>
    <x v="90"/>
    <x v="27"/>
    <x v="0"/>
    <x v="82"/>
    <x v="47"/>
    <s v="supplier@gmail.com"/>
  </r>
  <r>
    <x v="1980"/>
    <x v="1980"/>
    <x v="17"/>
    <x v="89"/>
    <x v="42"/>
    <x v="101"/>
    <x v="26"/>
    <x v="38"/>
    <x v="34"/>
    <x v="90"/>
    <x v="27"/>
    <x v="0"/>
    <x v="118"/>
    <x v="81"/>
    <s v="supplier@gmail.com"/>
  </r>
  <r>
    <x v="1981"/>
    <x v="1981"/>
    <x v="4"/>
    <x v="1"/>
    <x v="4"/>
    <x v="1"/>
    <x v="12"/>
    <x v="8"/>
    <x v="8"/>
    <x v="12"/>
    <x v="8"/>
    <x v="0"/>
    <x v="447"/>
    <x v="36"/>
    <s v="supplier@gmail.com"/>
  </r>
  <r>
    <x v="1982"/>
    <x v="1982"/>
    <x v="144"/>
    <x v="1"/>
    <x v="4"/>
    <x v="1"/>
    <x v="12"/>
    <x v="8"/>
    <x v="25"/>
    <x v="12"/>
    <x v="8"/>
    <x v="0"/>
    <x v="1"/>
    <x v="74"/>
    <s v="supplier@gmail.com"/>
  </r>
  <r>
    <x v="1983"/>
    <x v="1983"/>
    <x v="4"/>
    <x v="1"/>
    <x v="4"/>
    <x v="1"/>
    <x v="12"/>
    <x v="8"/>
    <x v="8"/>
    <x v="12"/>
    <x v="8"/>
    <x v="0"/>
    <x v="1"/>
    <x v="51"/>
    <s v="supplier@gmail.com"/>
  </r>
  <r>
    <x v="1984"/>
    <x v="1984"/>
    <x v="4"/>
    <x v="1"/>
    <x v="4"/>
    <x v="1"/>
    <x v="12"/>
    <x v="8"/>
    <x v="8"/>
    <x v="12"/>
    <x v="8"/>
    <x v="0"/>
    <x v="698"/>
    <x v="75"/>
    <s v="supplier@gmail.com"/>
  </r>
  <r>
    <x v="1985"/>
    <x v="1985"/>
    <x v="4"/>
    <x v="1"/>
    <x v="63"/>
    <x v="43"/>
    <x v="43"/>
    <x v="45"/>
    <x v="8"/>
    <x v="262"/>
    <x v="143"/>
    <x v="0"/>
    <x v="699"/>
    <x v="175"/>
    <s v="supplier@gmail.com"/>
  </r>
  <r>
    <x v="1986"/>
    <x v="1986"/>
    <x v="336"/>
    <x v="1"/>
    <x v="63"/>
    <x v="43"/>
    <x v="43"/>
    <x v="45"/>
    <x v="8"/>
    <x v="262"/>
    <x v="143"/>
    <x v="0"/>
    <x v="1"/>
    <x v="4"/>
    <s v="supplier@gmail.com"/>
  </r>
  <r>
    <x v="1987"/>
    <x v="1987"/>
    <x v="337"/>
    <x v="40"/>
    <x v="354"/>
    <x v="354"/>
    <x v="319"/>
    <x v="300"/>
    <x v="284"/>
    <x v="291"/>
    <x v="279"/>
    <x v="0"/>
    <x v="700"/>
    <x v="142"/>
    <s v="supplier@gmail.com"/>
  </r>
  <r>
    <x v="1988"/>
    <x v="1988"/>
    <x v="42"/>
    <x v="1"/>
    <x v="355"/>
    <x v="63"/>
    <x v="37"/>
    <x v="90"/>
    <x v="47"/>
    <x v="12"/>
    <x v="35"/>
    <x v="0"/>
    <x v="1"/>
    <x v="31"/>
    <s v="supplier@gmail.com"/>
  </r>
  <r>
    <x v="1989"/>
    <x v="1989"/>
    <x v="4"/>
    <x v="1"/>
    <x v="4"/>
    <x v="1"/>
    <x v="12"/>
    <x v="8"/>
    <x v="8"/>
    <x v="12"/>
    <x v="8"/>
    <x v="0"/>
    <x v="701"/>
    <x v="46"/>
    <s v="supplier@gmail.com"/>
  </r>
  <r>
    <x v="1990"/>
    <x v="1990"/>
    <x v="58"/>
    <x v="1"/>
    <x v="4"/>
    <x v="1"/>
    <x v="12"/>
    <x v="8"/>
    <x v="8"/>
    <x v="12"/>
    <x v="8"/>
    <x v="0"/>
    <x v="702"/>
    <x v="60"/>
    <s v="supplier@gmail.com"/>
  </r>
  <r>
    <x v="1991"/>
    <x v="1991"/>
    <x v="4"/>
    <x v="1"/>
    <x v="4"/>
    <x v="1"/>
    <x v="12"/>
    <x v="8"/>
    <x v="8"/>
    <x v="12"/>
    <x v="8"/>
    <x v="0"/>
    <x v="13"/>
    <x v="63"/>
    <s v="supplier@gmail.com"/>
  </r>
  <r>
    <x v="1992"/>
    <x v="1992"/>
    <x v="82"/>
    <x v="1"/>
    <x v="16"/>
    <x v="16"/>
    <x v="12"/>
    <x v="8"/>
    <x v="8"/>
    <x v="12"/>
    <x v="8"/>
    <x v="0"/>
    <x v="1"/>
    <x v="106"/>
    <s v="supplier@gmail.com"/>
  </r>
  <r>
    <x v="1993"/>
    <x v="1993"/>
    <x v="4"/>
    <x v="1"/>
    <x v="4"/>
    <x v="1"/>
    <x v="12"/>
    <x v="8"/>
    <x v="8"/>
    <x v="12"/>
    <x v="8"/>
    <x v="0"/>
    <x v="703"/>
    <x v="182"/>
    <s v="supplier@gmail.com"/>
  </r>
  <r>
    <x v="1994"/>
    <x v="1994"/>
    <x v="4"/>
    <x v="1"/>
    <x v="4"/>
    <x v="1"/>
    <x v="12"/>
    <x v="8"/>
    <x v="8"/>
    <x v="12"/>
    <x v="8"/>
    <x v="0"/>
    <x v="1"/>
    <x v="154"/>
    <s v="supplier@gmail.com"/>
  </r>
  <r>
    <x v="1995"/>
    <x v="1995"/>
    <x v="27"/>
    <x v="8"/>
    <x v="301"/>
    <x v="265"/>
    <x v="162"/>
    <x v="39"/>
    <x v="9"/>
    <x v="29"/>
    <x v="12"/>
    <x v="0"/>
    <x v="26"/>
    <x v="185"/>
    <s v="supplier@gmail.com"/>
  </r>
  <r>
    <x v="1996"/>
    <x v="1996"/>
    <x v="82"/>
    <x v="66"/>
    <x v="111"/>
    <x v="21"/>
    <x v="18"/>
    <x v="33"/>
    <x v="8"/>
    <x v="12"/>
    <x v="28"/>
    <x v="0"/>
    <x v="201"/>
    <x v="170"/>
    <s v="supplier@gmail.com"/>
  </r>
  <r>
    <x v="1997"/>
    <x v="1997"/>
    <x v="12"/>
    <x v="7"/>
    <x v="39"/>
    <x v="10"/>
    <x v="39"/>
    <x v="14"/>
    <x v="9"/>
    <x v="29"/>
    <x v="6"/>
    <x v="0"/>
    <x v="1"/>
    <x v="66"/>
    <s v="supplier@gmail.com"/>
  </r>
  <r>
    <x v="1998"/>
    <x v="1998"/>
    <x v="4"/>
    <x v="1"/>
    <x v="98"/>
    <x v="1"/>
    <x v="143"/>
    <x v="8"/>
    <x v="8"/>
    <x v="31"/>
    <x v="8"/>
    <x v="0"/>
    <x v="116"/>
    <x v="98"/>
    <s v="supplier@gmail.com"/>
  </r>
  <r>
    <x v="1999"/>
    <x v="1999"/>
    <x v="4"/>
    <x v="1"/>
    <x v="4"/>
    <x v="1"/>
    <x v="12"/>
    <x v="8"/>
    <x v="8"/>
    <x v="12"/>
    <x v="8"/>
    <x v="0"/>
    <x v="26"/>
    <x v="55"/>
    <s v="supplier@gmail.com"/>
  </r>
  <r>
    <x v="2000"/>
    <x v="2000"/>
    <x v="338"/>
    <x v="299"/>
    <x v="356"/>
    <x v="355"/>
    <x v="320"/>
    <x v="301"/>
    <x v="285"/>
    <x v="292"/>
    <x v="280"/>
    <x v="0"/>
    <x v="518"/>
    <x v="100"/>
    <s v="supplier@gmail.com"/>
  </r>
  <r>
    <x v="2001"/>
    <x v="2001"/>
    <x v="339"/>
    <x v="300"/>
    <x v="357"/>
    <x v="356"/>
    <x v="321"/>
    <x v="302"/>
    <x v="286"/>
    <x v="293"/>
    <x v="281"/>
    <x v="0"/>
    <x v="526"/>
    <x v="107"/>
    <s v="supplier@gmail.com"/>
  </r>
  <r>
    <x v="2002"/>
    <x v="2002"/>
    <x v="340"/>
    <x v="300"/>
    <x v="357"/>
    <x v="356"/>
    <x v="321"/>
    <x v="302"/>
    <x v="287"/>
    <x v="294"/>
    <x v="281"/>
    <x v="0"/>
    <x v="84"/>
    <x v="156"/>
    <s v="supplier@gmail.com"/>
  </r>
  <r>
    <x v="2003"/>
    <x v="2003"/>
    <x v="314"/>
    <x v="67"/>
    <x v="69"/>
    <x v="296"/>
    <x v="77"/>
    <x v="74"/>
    <x v="68"/>
    <x v="60"/>
    <x v="60"/>
    <x v="0"/>
    <x v="1"/>
    <x v="139"/>
    <s v="supplier@gmail.com"/>
  </r>
  <r>
    <x v="2004"/>
    <x v="2004"/>
    <x v="27"/>
    <x v="34"/>
    <x v="10"/>
    <x v="10"/>
    <x v="21"/>
    <x v="11"/>
    <x v="12"/>
    <x v="65"/>
    <x v="32"/>
    <x v="0"/>
    <x v="1"/>
    <x v="104"/>
    <s v="supplier@gmail.com"/>
  </r>
  <r>
    <x v="2005"/>
    <x v="2005"/>
    <x v="82"/>
    <x v="16"/>
    <x v="6"/>
    <x v="16"/>
    <x v="17"/>
    <x v="85"/>
    <x v="34"/>
    <x v="61"/>
    <x v="74"/>
    <x v="0"/>
    <x v="16"/>
    <x v="155"/>
    <s v="supplier@gmail.com"/>
  </r>
  <r>
    <x v="2006"/>
    <x v="2006"/>
    <x v="4"/>
    <x v="1"/>
    <x v="4"/>
    <x v="1"/>
    <x v="29"/>
    <x v="46"/>
    <x v="40"/>
    <x v="13"/>
    <x v="91"/>
    <x v="0"/>
    <x v="1"/>
    <x v="130"/>
    <s v="supplier@gmail.com"/>
  </r>
  <r>
    <x v="2007"/>
    <x v="2007"/>
    <x v="341"/>
    <x v="1"/>
    <x v="4"/>
    <x v="1"/>
    <x v="322"/>
    <x v="303"/>
    <x v="288"/>
    <x v="295"/>
    <x v="282"/>
    <x v="0"/>
    <x v="704"/>
    <x v="144"/>
    <s v="supplier@gmail.com"/>
  </r>
  <r>
    <x v="2008"/>
    <x v="2008"/>
    <x v="12"/>
    <x v="258"/>
    <x v="14"/>
    <x v="14"/>
    <x v="29"/>
    <x v="246"/>
    <x v="13"/>
    <x v="13"/>
    <x v="12"/>
    <x v="0"/>
    <x v="705"/>
    <x v="65"/>
    <s v="supplier@gmail.com"/>
  </r>
  <r>
    <x v="2009"/>
    <x v="2009"/>
    <x v="4"/>
    <x v="1"/>
    <x v="4"/>
    <x v="1"/>
    <x v="37"/>
    <x v="8"/>
    <x v="8"/>
    <x v="12"/>
    <x v="8"/>
    <x v="0"/>
    <x v="38"/>
    <x v="156"/>
    <s v="supplier@gmail.com"/>
  </r>
  <r>
    <x v="2010"/>
    <x v="2010"/>
    <x v="4"/>
    <x v="1"/>
    <x v="33"/>
    <x v="132"/>
    <x v="88"/>
    <x v="38"/>
    <x v="19"/>
    <x v="296"/>
    <x v="70"/>
    <x v="0"/>
    <x v="1"/>
    <x v="66"/>
    <s v="supplier@gmail.com"/>
  </r>
  <r>
    <x v="2011"/>
    <x v="2011"/>
    <x v="4"/>
    <x v="1"/>
    <x v="4"/>
    <x v="1"/>
    <x v="12"/>
    <x v="8"/>
    <x v="8"/>
    <x v="12"/>
    <x v="8"/>
    <x v="0"/>
    <x v="51"/>
    <x v="92"/>
    <s v="supplier@gmail.com"/>
  </r>
  <r>
    <x v="2012"/>
    <x v="2012"/>
    <x v="82"/>
    <x v="1"/>
    <x v="4"/>
    <x v="16"/>
    <x v="17"/>
    <x v="8"/>
    <x v="8"/>
    <x v="12"/>
    <x v="8"/>
    <x v="0"/>
    <x v="1"/>
    <x v="77"/>
    <s v="supplier@gmail.com"/>
  </r>
  <r>
    <x v="2013"/>
    <x v="2013"/>
    <x v="4"/>
    <x v="1"/>
    <x v="4"/>
    <x v="1"/>
    <x v="12"/>
    <x v="8"/>
    <x v="8"/>
    <x v="12"/>
    <x v="8"/>
    <x v="0"/>
    <x v="220"/>
    <x v="22"/>
    <s v="supplier@gmail.com"/>
  </r>
  <r>
    <x v="2014"/>
    <x v="2014"/>
    <x v="4"/>
    <x v="1"/>
    <x v="4"/>
    <x v="1"/>
    <x v="12"/>
    <x v="8"/>
    <x v="8"/>
    <x v="12"/>
    <x v="8"/>
    <x v="0"/>
    <x v="706"/>
    <x v="30"/>
    <s v="supplier@gmail.com"/>
  </r>
  <r>
    <x v="2015"/>
    <x v="2015"/>
    <x v="97"/>
    <x v="301"/>
    <x v="358"/>
    <x v="24"/>
    <x v="323"/>
    <x v="43"/>
    <x v="8"/>
    <x v="151"/>
    <x v="139"/>
    <x v="0"/>
    <x v="707"/>
    <x v="46"/>
    <s v="supplier@gmail.com"/>
  </r>
  <r>
    <x v="2016"/>
    <x v="2016"/>
    <x v="4"/>
    <x v="1"/>
    <x v="359"/>
    <x v="1"/>
    <x v="101"/>
    <x v="261"/>
    <x v="8"/>
    <x v="107"/>
    <x v="86"/>
    <x v="0"/>
    <x v="708"/>
    <x v="56"/>
    <s v="supplier@gmail.com"/>
  </r>
  <r>
    <x v="2017"/>
    <x v="2017"/>
    <x v="183"/>
    <x v="1"/>
    <x v="44"/>
    <x v="1"/>
    <x v="12"/>
    <x v="8"/>
    <x v="8"/>
    <x v="12"/>
    <x v="8"/>
    <x v="0"/>
    <x v="709"/>
    <x v="3"/>
    <s v="supplier@gmail.com"/>
  </r>
  <r>
    <x v="2018"/>
    <x v="2018"/>
    <x v="1"/>
    <x v="40"/>
    <x v="63"/>
    <x v="80"/>
    <x v="12"/>
    <x v="45"/>
    <x v="8"/>
    <x v="12"/>
    <x v="34"/>
    <x v="0"/>
    <x v="681"/>
    <x v="0"/>
    <s v="supplier@gmail.com"/>
  </r>
  <r>
    <x v="2019"/>
    <x v="2019"/>
    <x v="70"/>
    <x v="1"/>
    <x v="309"/>
    <x v="63"/>
    <x v="43"/>
    <x v="90"/>
    <x v="74"/>
    <x v="2"/>
    <x v="35"/>
    <x v="0"/>
    <x v="114"/>
    <x v="58"/>
    <s v="supplier@gmail.com"/>
  </r>
  <r>
    <x v="2020"/>
    <x v="2020"/>
    <x v="36"/>
    <x v="1"/>
    <x v="0"/>
    <x v="0"/>
    <x v="23"/>
    <x v="8"/>
    <x v="8"/>
    <x v="12"/>
    <x v="8"/>
    <x v="0"/>
    <x v="659"/>
    <x v="128"/>
    <s v="supplier@gmail.com"/>
  </r>
  <r>
    <x v="2021"/>
    <x v="2021"/>
    <x v="4"/>
    <x v="1"/>
    <x v="4"/>
    <x v="1"/>
    <x v="12"/>
    <x v="8"/>
    <x v="8"/>
    <x v="12"/>
    <x v="8"/>
    <x v="0"/>
    <x v="226"/>
    <x v="12"/>
    <s v="supplier@gmail.com"/>
  </r>
  <r>
    <x v="2022"/>
    <x v="2022"/>
    <x v="4"/>
    <x v="1"/>
    <x v="35"/>
    <x v="1"/>
    <x v="12"/>
    <x v="8"/>
    <x v="8"/>
    <x v="12"/>
    <x v="8"/>
    <x v="0"/>
    <x v="221"/>
    <x v="18"/>
    <s v="supplier@gmail.com"/>
  </r>
  <r>
    <x v="2023"/>
    <x v="2023"/>
    <x v="4"/>
    <x v="1"/>
    <x v="4"/>
    <x v="1"/>
    <x v="12"/>
    <x v="8"/>
    <x v="8"/>
    <x v="12"/>
    <x v="8"/>
    <x v="0"/>
    <x v="710"/>
    <x v="152"/>
    <s v="supplier@gmail.com"/>
  </r>
  <r>
    <x v="2024"/>
    <x v="2024"/>
    <x v="4"/>
    <x v="1"/>
    <x v="4"/>
    <x v="1"/>
    <x v="12"/>
    <x v="8"/>
    <x v="8"/>
    <x v="12"/>
    <x v="8"/>
    <x v="0"/>
    <x v="711"/>
    <x v="131"/>
    <s v="supplier@gmail.com"/>
  </r>
  <r>
    <x v="2025"/>
    <x v="2025"/>
    <x v="4"/>
    <x v="1"/>
    <x v="4"/>
    <x v="357"/>
    <x v="12"/>
    <x v="8"/>
    <x v="8"/>
    <x v="12"/>
    <x v="8"/>
    <x v="0"/>
    <x v="65"/>
    <x v="53"/>
    <s v="supplier@gmail.com"/>
  </r>
  <r>
    <x v="2026"/>
    <x v="2026"/>
    <x v="4"/>
    <x v="1"/>
    <x v="4"/>
    <x v="1"/>
    <x v="12"/>
    <x v="8"/>
    <x v="8"/>
    <x v="12"/>
    <x v="8"/>
    <x v="0"/>
    <x v="70"/>
    <x v="72"/>
    <s v="supplier@gmail.com"/>
  </r>
  <r>
    <x v="2027"/>
    <x v="2027"/>
    <x v="4"/>
    <x v="1"/>
    <x v="360"/>
    <x v="1"/>
    <x v="12"/>
    <x v="8"/>
    <x v="8"/>
    <x v="12"/>
    <x v="283"/>
    <x v="0"/>
    <x v="121"/>
    <x v="71"/>
    <s v="supplier@gmail.com"/>
  </r>
  <r>
    <x v="2028"/>
    <x v="2028"/>
    <x v="4"/>
    <x v="1"/>
    <x v="4"/>
    <x v="1"/>
    <x v="139"/>
    <x v="8"/>
    <x v="8"/>
    <x v="12"/>
    <x v="8"/>
    <x v="0"/>
    <x v="712"/>
    <x v="69"/>
    <s v="supplier@gmail.com"/>
  </r>
  <r>
    <x v="2029"/>
    <x v="2029"/>
    <x v="4"/>
    <x v="1"/>
    <x v="4"/>
    <x v="1"/>
    <x v="12"/>
    <x v="8"/>
    <x v="8"/>
    <x v="12"/>
    <x v="8"/>
    <x v="0"/>
    <x v="1"/>
    <x v="183"/>
    <s v="supplier@gmail.com"/>
  </r>
  <r>
    <x v="2030"/>
    <x v="2030"/>
    <x v="4"/>
    <x v="1"/>
    <x v="4"/>
    <x v="1"/>
    <x v="12"/>
    <x v="8"/>
    <x v="8"/>
    <x v="12"/>
    <x v="8"/>
    <x v="0"/>
    <x v="167"/>
    <x v="91"/>
    <s v="supplier@gmail.com"/>
  </r>
  <r>
    <x v="2031"/>
    <x v="2031"/>
    <x v="4"/>
    <x v="1"/>
    <x v="4"/>
    <x v="1"/>
    <x v="12"/>
    <x v="8"/>
    <x v="8"/>
    <x v="12"/>
    <x v="8"/>
    <x v="0"/>
    <x v="1"/>
    <x v="2"/>
    <s v="supplier@gmail.com"/>
  </r>
  <r>
    <x v="2032"/>
    <x v="2032"/>
    <x v="4"/>
    <x v="1"/>
    <x v="4"/>
    <x v="1"/>
    <x v="12"/>
    <x v="8"/>
    <x v="8"/>
    <x v="12"/>
    <x v="8"/>
    <x v="0"/>
    <x v="1"/>
    <x v="99"/>
    <s v="supplier@gmail.com"/>
  </r>
  <r>
    <x v="2033"/>
    <x v="2033"/>
    <x v="4"/>
    <x v="1"/>
    <x v="4"/>
    <x v="1"/>
    <x v="12"/>
    <x v="8"/>
    <x v="8"/>
    <x v="12"/>
    <x v="8"/>
    <x v="0"/>
    <x v="713"/>
    <x v="2"/>
    <s v="supplier@gmail.com"/>
  </r>
  <r>
    <x v="2034"/>
    <x v="2034"/>
    <x v="4"/>
    <x v="1"/>
    <x v="4"/>
    <x v="1"/>
    <x v="12"/>
    <x v="8"/>
    <x v="8"/>
    <x v="12"/>
    <x v="8"/>
    <x v="0"/>
    <x v="714"/>
    <x v="142"/>
    <s v="supplier@gmail.com"/>
  </r>
  <r>
    <x v="2035"/>
    <x v="2035"/>
    <x v="4"/>
    <x v="1"/>
    <x v="4"/>
    <x v="1"/>
    <x v="12"/>
    <x v="8"/>
    <x v="8"/>
    <x v="12"/>
    <x v="8"/>
    <x v="0"/>
    <x v="1"/>
    <x v="88"/>
    <s v="supplier@gmail.com"/>
  </r>
  <r>
    <x v="2036"/>
    <x v="2036"/>
    <x v="4"/>
    <x v="1"/>
    <x v="4"/>
    <x v="1"/>
    <x v="12"/>
    <x v="8"/>
    <x v="8"/>
    <x v="12"/>
    <x v="181"/>
    <x v="0"/>
    <x v="1"/>
    <x v="116"/>
    <s v="supplier@gmail.com"/>
  </r>
  <r>
    <x v="2037"/>
    <x v="2037"/>
    <x v="4"/>
    <x v="1"/>
    <x v="4"/>
    <x v="1"/>
    <x v="12"/>
    <x v="8"/>
    <x v="8"/>
    <x v="12"/>
    <x v="8"/>
    <x v="0"/>
    <x v="558"/>
    <x v="155"/>
    <s v="supplier@gmail.com"/>
  </r>
  <r>
    <x v="2038"/>
    <x v="2038"/>
    <x v="4"/>
    <x v="1"/>
    <x v="4"/>
    <x v="358"/>
    <x v="324"/>
    <x v="8"/>
    <x v="8"/>
    <x v="12"/>
    <x v="284"/>
    <x v="0"/>
    <x v="715"/>
    <x v="56"/>
    <s v="supplier@gmail.com"/>
  </r>
  <r>
    <x v="2039"/>
    <x v="2039"/>
    <x v="342"/>
    <x v="1"/>
    <x v="361"/>
    <x v="359"/>
    <x v="325"/>
    <x v="304"/>
    <x v="289"/>
    <x v="297"/>
    <x v="8"/>
    <x v="0"/>
    <x v="1"/>
    <x v="135"/>
    <s v="supplier@gmail.com"/>
  </r>
  <r>
    <x v="2040"/>
    <x v="2040"/>
    <x v="343"/>
    <x v="1"/>
    <x v="362"/>
    <x v="360"/>
    <x v="326"/>
    <x v="8"/>
    <x v="288"/>
    <x v="295"/>
    <x v="8"/>
    <x v="0"/>
    <x v="1"/>
    <x v="159"/>
    <s v="supplier@gmail.com"/>
  </r>
  <r>
    <x v="2041"/>
    <x v="2041"/>
    <x v="4"/>
    <x v="1"/>
    <x v="4"/>
    <x v="1"/>
    <x v="12"/>
    <x v="8"/>
    <x v="8"/>
    <x v="12"/>
    <x v="8"/>
    <x v="0"/>
    <x v="716"/>
    <x v="35"/>
    <s v="supplier@gmail.com"/>
  </r>
  <r>
    <x v="2042"/>
    <x v="2042"/>
    <x v="4"/>
    <x v="1"/>
    <x v="4"/>
    <x v="1"/>
    <x v="12"/>
    <x v="8"/>
    <x v="8"/>
    <x v="233"/>
    <x v="8"/>
    <x v="0"/>
    <x v="1"/>
    <x v="16"/>
    <s v="supplier@gmail.com"/>
  </r>
  <r>
    <x v="2043"/>
    <x v="2043"/>
    <x v="4"/>
    <x v="1"/>
    <x v="4"/>
    <x v="1"/>
    <x v="12"/>
    <x v="8"/>
    <x v="8"/>
    <x v="12"/>
    <x v="8"/>
    <x v="0"/>
    <x v="1"/>
    <x v="27"/>
    <s v="supplier@gmail.com"/>
  </r>
  <r>
    <x v="2044"/>
    <x v="2044"/>
    <x v="4"/>
    <x v="1"/>
    <x v="4"/>
    <x v="1"/>
    <x v="12"/>
    <x v="8"/>
    <x v="8"/>
    <x v="12"/>
    <x v="285"/>
    <x v="0"/>
    <x v="717"/>
    <x v="29"/>
    <s v="supplier@gmail.com"/>
  </r>
  <r>
    <x v="2045"/>
    <x v="2045"/>
    <x v="4"/>
    <x v="1"/>
    <x v="4"/>
    <x v="1"/>
    <x v="12"/>
    <x v="8"/>
    <x v="8"/>
    <x v="12"/>
    <x v="8"/>
    <x v="0"/>
    <x v="1"/>
    <x v="118"/>
    <s v="supplier@gmail.com"/>
  </r>
  <r>
    <x v="2046"/>
    <x v="2046"/>
    <x v="344"/>
    <x v="1"/>
    <x v="17"/>
    <x v="361"/>
    <x v="327"/>
    <x v="8"/>
    <x v="290"/>
    <x v="298"/>
    <x v="8"/>
    <x v="0"/>
    <x v="718"/>
    <x v="110"/>
    <s v="supplier@gmail.com"/>
  </r>
  <r>
    <x v="2047"/>
    <x v="2047"/>
    <x v="345"/>
    <x v="1"/>
    <x v="4"/>
    <x v="1"/>
    <x v="12"/>
    <x v="8"/>
    <x v="8"/>
    <x v="12"/>
    <x v="8"/>
    <x v="0"/>
    <x v="106"/>
    <x v="176"/>
    <s v="supplier@gmail.com"/>
  </r>
  <r>
    <x v="2048"/>
    <x v="2048"/>
    <x v="4"/>
    <x v="1"/>
    <x v="4"/>
    <x v="1"/>
    <x v="12"/>
    <x v="8"/>
    <x v="8"/>
    <x v="12"/>
    <x v="8"/>
    <x v="0"/>
    <x v="204"/>
    <x v="106"/>
    <s v="supplier@gmail.com"/>
  </r>
  <r>
    <x v="2049"/>
    <x v="2049"/>
    <x v="4"/>
    <x v="1"/>
    <x v="4"/>
    <x v="1"/>
    <x v="12"/>
    <x v="8"/>
    <x v="8"/>
    <x v="12"/>
    <x v="8"/>
    <x v="0"/>
    <x v="719"/>
    <x v="164"/>
    <s v="supplier@gmail.com"/>
  </r>
  <r>
    <x v="2050"/>
    <x v="2050"/>
    <x v="4"/>
    <x v="1"/>
    <x v="363"/>
    <x v="1"/>
    <x v="12"/>
    <x v="8"/>
    <x v="291"/>
    <x v="12"/>
    <x v="8"/>
    <x v="0"/>
    <x v="1"/>
    <x v="31"/>
    <s v="supplier@gmail.com"/>
  </r>
  <r>
    <x v="2051"/>
    <x v="2051"/>
    <x v="4"/>
    <x v="1"/>
    <x v="4"/>
    <x v="1"/>
    <x v="12"/>
    <x v="8"/>
    <x v="8"/>
    <x v="12"/>
    <x v="8"/>
    <x v="0"/>
    <x v="714"/>
    <x v="52"/>
    <s v="supplier@gmail.com"/>
  </r>
  <r>
    <x v="2052"/>
    <x v="2052"/>
    <x v="4"/>
    <x v="1"/>
    <x v="4"/>
    <x v="1"/>
    <x v="12"/>
    <x v="8"/>
    <x v="292"/>
    <x v="12"/>
    <x v="8"/>
    <x v="0"/>
    <x v="1"/>
    <x v="191"/>
    <s v="supplier@gmail.com"/>
  </r>
  <r>
    <x v="2053"/>
    <x v="2053"/>
    <x v="4"/>
    <x v="1"/>
    <x v="4"/>
    <x v="1"/>
    <x v="12"/>
    <x v="8"/>
    <x v="293"/>
    <x v="12"/>
    <x v="8"/>
    <x v="0"/>
    <x v="1"/>
    <x v="42"/>
    <s v="supplier@gmail.com"/>
  </r>
  <r>
    <x v="2054"/>
    <x v="2054"/>
    <x v="4"/>
    <x v="1"/>
    <x v="4"/>
    <x v="1"/>
    <x v="12"/>
    <x v="8"/>
    <x v="294"/>
    <x v="12"/>
    <x v="8"/>
    <x v="0"/>
    <x v="1"/>
    <x v="109"/>
    <s v="supplier@gmail.com"/>
  </r>
  <r>
    <x v="2055"/>
    <x v="2055"/>
    <x v="4"/>
    <x v="1"/>
    <x v="4"/>
    <x v="1"/>
    <x v="12"/>
    <x v="8"/>
    <x v="8"/>
    <x v="12"/>
    <x v="8"/>
    <x v="0"/>
    <x v="181"/>
    <x v="53"/>
    <s v="supplier@gmail.com"/>
  </r>
  <r>
    <x v="2056"/>
    <x v="2056"/>
    <x v="4"/>
    <x v="1"/>
    <x v="4"/>
    <x v="1"/>
    <x v="12"/>
    <x v="8"/>
    <x v="8"/>
    <x v="12"/>
    <x v="8"/>
    <x v="0"/>
    <x v="1"/>
    <x v="151"/>
    <s v="supplier@gmail.com"/>
  </r>
  <r>
    <x v="2057"/>
    <x v="2057"/>
    <x v="4"/>
    <x v="1"/>
    <x v="4"/>
    <x v="1"/>
    <x v="12"/>
    <x v="8"/>
    <x v="8"/>
    <x v="12"/>
    <x v="8"/>
    <x v="0"/>
    <x v="195"/>
    <x v="144"/>
    <s v="supplier@gmail.com"/>
  </r>
  <r>
    <x v="2058"/>
    <x v="2058"/>
    <x v="4"/>
    <x v="1"/>
    <x v="4"/>
    <x v="1"/>
    <x v="12"/>
    <x v="8"/>
    <x v="8"/>
    <x v="12"/>
    <x v="8"/>
    <x v="0"/>
    <x v="32"/>
    <x v="131"/>
    <s v="supplier@gmail.com"/>
  </r>
  <r>
    <x v="2059"/>
    <x v="2059"/>
    <x v="4"/>
    <x v="1"/>
    <x v="4"/>
    <x v="1"/>
    <x v="12"/>
    <x v="8"/>
    <x v="8"/>
    <x v="12"/>
    <x v="8"/>
    <x v="0"/>
    <x v="720"/>
    <x v="110"/>
    <s v="supplier@gmail.com"/>
  </r>
  <r>
    <x v="2060"/>
    <x v="2060"/>
    <x v="346"/>
    <x v="1"/>
    <x v="4"/>
    <x v="362"/>
    <x v="8"/>
    <x v="8"/>
    <x v="8"/>
    <x v="12"/>
    <x v="8"/>
    <x v="0"/>
    <x v="721"/>
    <x v="4"/>
    <s v="supplier@gmail.com"/>
  </r>
  <r>
    <x v="2061"/>
    <x v="2061"/>
    <x v="4"/>
    <x v="1"/>
    <x v="4"/>
    <x v="1"/>
    <x v="12"/>
    <x v="8"/>
    <x v="295"/>
    <x v="12"/>
    <x v="8"/>
    <x v="0"/>
    <x v="59"/>
    <x v="26"/>
    <s v="supplier@gmail.com"/>
  </r>
  <r>
    <x v="2062"/>
    <x v="2062"/>
    <x v="4"/>
    <x v="1"/>
    <x v="4"/>
    <x v="363"/>
    <x v="12"/>
    <x v="8"/>
    <x v="8"/>
    <x v="12"/>
    <x v="8"/>
    <x v="0"/>
    <x v="32"/>
    <x v="109"/>
    <s v="supplier@gmail.com"/>
  </r>
  <r>
    <x v="2063"/>
    <x v="2063"/>
    <x v="4"/>
    <x v="1"/>
    <x v="4"/>
    <x v="1"/>
    <x v="12"/>
    <x v="8"/>
    <x v="8"/>
    <x v="12"/>
    <x v="8"/>
    <x v="0"/>
    <x v="39"/>
    <x v="137"/>
    <s v="supplier@gmail.com"/>
  </r>
  <r>
    <x v="2064"/>
    <x v="2064"/>
    <x v="4"/>
    <x v="1"/>
    <x v="4"/>
    <x v="1"/>
    <x v="12"/>
    <x v="8"/>
    <x v="8"/>
    <x v="12"/>
    <x v="8"/>
    <x v="0"/>
    <x v="101"/>
    <x v="92"/>
    <s v="supplier@gmail.com"/>
  </r>
  <r>
    <x v="2065"/>
    <x v="2065"/>
    <x v="4"/>
    <x v="1"/>
    <x v="4"/>
    <x v="1"/>
    <x v="12"/>
    <x v="8"/>
    <x v="8"/>
    <x v="12"/>
    <x v="8"/>
    <x v="0"/>
    <x v="722"/>
    <x v="149"/>
    <s v="supplier@gmail.com"/>
  </r>
  <r>
    <x v="2066"/>
    <x v="2066"/>
    <x v="4"/>
    <x v="1"/>
    <x v="4"/>
    <x v="1"/>
    <x v="12"/>
    <x v="8"/>
    <x v="8"/>
    <x v="12"/>
    <x v="8"/>
    <x v="0"/>
    <x v="723"/>
    <x v="193"/>
    <s v="supplier@gmail.com"/>
  </r>
  <r>
    <x v="2067"/>
    <x v="2067"/>
    <x v="4"/>
    <x v="1"/>
    <x v="4"/>
    <x v="1"/>
    <x v="12"/>
    <x v="8"/>
    <x v="8"/>
    <x v="1"/>
    <x v="8"/>
    <x v="0"/>
    <x v="483"/>
    <x v="110"/>
    <s v="supplier@gmail.com"/>
  </r>
  <r>
    <x v="2068"/>
    <x v="2068"/>
    <x v="4"/>
    <x v="1"/>
    <x v="15"/>
    <x v="15"/>
    <x v="12"/>
    <x v="8"/>
    <x v="8"/>
    <x v="32"/>
    <x v="8"/>
    <x v="0"/>
    <x v="1"/>
    <x v="104"/>
    <s v="supplier@gmail.com"/>
  </r>
  <r>
    <x v="2069"/>
    <x v="2069"/>
    <x v="4"/>
    <x v="1"/>
    <x v="4"/>
    <x v="1"/>
    <x v="12"/>
    <x v="8"/>
    <x v="8"/>
    <x v="12"/>
    <x v="8"/>
    <x v="0"/>
    <x v="413"/>
    <x v="185"/>
    <s v="supplier@gmail.com"/>
  </r>
  <r>
    <x v="2070"/>
    <x v="2070"/>
    <x v="4"/>
    <x v="1"/>
    <x v="4"/>
    <x v="1"/>
    <x v="12"/>
    <x v="8"/>
    <x v="8"/>
    <x v="29"/>
    <x v="8"/>
    <x v="0"/>
    <x v="256"/>
    <x v="121"/>
    <s v="supplier@gmail.com"/>
  </r>
  <r>
    <x v="2071"/>
    <x v="2071"/>
    <x v="12"/>
    <x v="7"/>
    <x v="21"/>
    <x v="4"/>
    <x v="328"/>
    <x v="305"/>
    <x v="9"/>
    <x v="29"/>
    <x v="2"/>
    <x v="0"/>
    <x v="1"/>
    <x v="63"/>
    <s v="supplier@gmail.com"/>
  </r>
  <r>
    <x v="2072"/>
    <x v="2072"/>
    <x v="188"/>
    <x v="167"/>
    <x v="188"/>
    <x v="22"/>
    <x v="176"/>
    <x v="163"/>
    <x v="157"/>
    <x v="164"/>
    <x v="147"/>
    <x v="0"/>
    <x v="1"/>
    <x v="105"/>
    <s v="supplier@gmail.com"/>
  </r>
  <r>
    <x v="2073"/>
    <x v="2073"/>
    <x v="4"/>
    <x v="1"/>
    <x v="4"/>
    <x v="1"/>
    <x v="12"/>
    <x v="8"/>
    <x v="8"/>
    <x v="12"/>
    <x v="8"/>
    <x v="0"/>
    <x v="1"/>
    <x v="16"/>
    <s v="supplier@gmail.com"/>
  </r>
  <r>
    <x v="2074"/>
    <x v="2074"/>
    <x v="4"/>
    <x v="1"/>
    <x v="1"/>
    <x v="1"/>
    <x v="12"/>
    <x v="124"/>
    <x v="8"/>
    <x v="12"/>
    <x v="8"/>
    <x v="0"/>
    <x v="724"/>
    <x v="55"/>
    <s v="supplier@gmail.com"/>
  </r>
  <r>
    <x v="2075"/>
    <x v="2075"/>
    <x v="4"/>
    <x v="1"/>
    <x v="4"/>
    <x v="0"/>
    <x v="12"/>
    <x v="8"/>
    <x v="8"/>
    <x v="25"/>
    <x v="8"/>
    <x v="0"/>
    <x v="524"/>
    <x v="153"/>
    <s v="supplier@gmail.com"/>
  </r>
  <r>
    <x v="2076"/>
    <x v="2076"/>
    <x v="4"/>
    <x v="1"/>
    <x v="4"/>
    <x v="73"/>
    <x v="12"/>
    <x v="8"/>
    <x v="10"/>
    <x v="26"/>
    <x v="8"/>
    <x v="0"/>
    <x v="118"/>
    <x v="4"/>
    <s v="supplier@gmail.com"/>
  </r>
  <r>
    <x v="2077"/>
    <x v="2077"/>
    <x v="4"/>
    <x v="1"/>
    <x v="4"/>
    <x v="1"/>
    <x v="12"/>
    <x v="8"/>
    <x v="8"/>
    <x v="12"/>
    <x v="8"/>
    <x v="0"/>
    <x v="725"/>
    <x v="54"/>
    <s v="supplier@gmail.com"/>
  </r>
  <r>
    <x v="2078"/>
    <x v="2078"/>
    <x v="4"/>
    <x v="1"/>
    <x v="4"/>
    <x v="1"/>
    <x v="12"/>
    <x v="8"/>
    <x v="8"/>
    <x v="12"/>
    <x v="8"/>
    <x v="0"/>
    <x v="1"/>
    <x v="68"/>
    <s v="supplier@gmail.com"/>
  </r>
  <r>
    <x v="2079"/>
    <x v="2079"/>
    <x v="4"/>
    <x v="1"/>
    <x v="4"/>
    <x v="1"/>
    <x v="12"/>
    <x v="8"/>
    <x v="8"/>
    <x v="12"/>
    <x v="8"/>
    <x v="0"/>
    <x v="66"/>
    <x v="155"/>
    <s v="supplier@gmail.com"/>
  </r>
  <r>
    <x v="2080"/>
    <x v="2080"/>
    <x v="4"/>
    <x v="1"/>
    <x v="4"/>
    <x v="125"/>
    <x v="12"/>
    <x v="8"/>
    <x v="8"/>
    <x v="19"/>
    <x v="8"/>
    <x v="0"/>
    <x v="1"/>
    <x v="113"/>
    <s v="supplier@gmail.com"/>
  </r>
  <r>
    <x v="2081"/>
    <x v="2081"/>
    <x v="4"/>
    <x v="1"/>
    <x v="4"/>
    <x v="1"/>
    <x v="12"/>
    <x v="8"/>
    <x v="8"/>
    <x v="12"/>
    <x v="8"/>
    <x v="0"/>
    <x v="524"/>
    <x v="195"/>
    <s v="supplier@gmail.com"/>
  </r>
  <r>
    <x v="2082"/>
    <x v="2082"/>
    <x v="4"/>
    <x v="1"/>
    <x v="4"/>
    <x v="1"/>
    <x v="12"/>
    <x v="8"/>
    <x v="8"/>
    <x v="12"/>
    <x v="8"/>
    <x v="0"/>
    <x v="92"/>
    <x v="48"/>
    <s v="supplier@gmail.com"/>
  </r>
  <r>
    <x v="2083"/>
    <x v="2083"/>
    <x v="4"/>
    <x v="1"/>
    <x v="4"/>
    <x v="1"/>
    <x v="12"/>
    <x v="8"/>
    <x v="8"/>
    <x v="12"/>
    <x v="8"/>
    <x v="0"/>
    <x v="726"/>
    <x v="183"/>
    <s v="supplier@gmail.com"/>
  </r>
  <r>
    <x v="2084"/>
    <x v="2084"/>
    <x v="347"/>
    <x v="302"/>
    <x v="364"/>
    <x v="364"/>
    <x v="329"/>
    <x v="306"/>
    <x v="296"/>
    <x v="299"/>
    <x v="286"/>
    <x v="0"/>
    <x v="727"/>
    <x v="114"/>
    <s v="supplier@gmail.com"/>
  </r>
  <r>
    <x v="2085"/>
    <x v="2085"/>
    <x v="348"/>
    <x v="303"/>
    <x v="365"/>
    <x v="365"/>
    <x v="330"/>
    <x v="307"/>
    <x v="297"/>
    <x v="300"/>
    <x v="287"/>
    <x v="0"/>
    <x v="1"/>
    <x v="166"/>
    <s v="supplier@gmail.com"/>
  </r>
  <r>
    <x v="2086"/>
    <x v="2086"/>
    <x v="42"/>
    <x v="304"/>
    <x v="75"/>
    <x v="4"/>
    <x v="14"/>
    <x v="308"/>
    <x v="3"/>
    <x v="34"/>
    <x v="68"/>
    <x v="0"/>
    <x v="1"/>
    <x v="38"/>
    <s v="supplier@gmail.com"/>
  </r>
  <r>
    <x v="2087"/>
    <x v="2087"/>
    <x v="292"/>
    <x v="305"/>
    <x v="366"/>
    <x v="366"/>
    <x v="331"/>
    <x v="309"/>
    <x v="298"/>
    <x v="301"/>
    <x v="288"/>
    <x v="0"/>
    <x v="126"/>
    <x v="50"/>
    <s v="supplier@gmail.com"/>
  </r>
  <r>
    <x v="2088"/>
    <x v="2088"/>
    <x v="4"/>
    <x v="1"/>
    <x v="15"/>
    <x v="15"/>
    <x v="12"/>
    <x v="8"/>
    <x v="8"/>
    <x v="32"/>
    <x v="8"/>
    <x v="0"/>
    <x v="728"/>
    <x v="185"/>
    <s v="supplier@gmail.com"/>
  </r>
  <r>
    <x v="2089"/>
    <x v="2089"/>
    <x v="16"/>
    <x v="1"/>
    <x v="35"/>
    <x v="0"/>
    <x v="23"/>
    <x v="8"/>
    <x v="25"/>
    <x v="42"/>
    <x v="8"/>
    <x v="0"/>
    <x v="267"/>
    <x v="159"/>
    <s v="supplier@gmail.com"/>
  </r>
  <r>
    <x v="2090"/>
    <x v="2090"/>
    <x v="4"/>
    <x v="1"/>
    <x v="4"/>
    <x v="1"/>
    <x v="12"/>
    <x v="8"/>
    <x v="8"/>
    <x v="61"/>
    <x v="8"/>
    <x v="0"/>
    <x v="1"/>
    <x v="100"/>
    <s v="supplier@gmail.com"/>
  </r>
  <r>
    <x v="2091"/>
    <x v="2091"/>
    <x v="4"/>
    <x v="1"/>
    <x v="4"/>
    <x v="1"/>
    <x v="12"/>
    <x v="158"/>
    <x v="8"/>
    <x v="12"/>
    <x v="8"/>
    <x v="0"/>
    <x v="1"/>
    <x v="108"/>
    <s v="supplier@gmail.com"/>
  </r>
  <r>
    <x v="2092"/>
    <x v="2092"/>
    <x v="4"/>
    <x v="1"/>
    <x v="4"/>
    <x v="1"/>
    <x v="12"/>
    <x v="8"/>
    <x v="8"/>
    <x v="12"/>
    <x v="8"/>
    <x v="0"/>
    <x v="1"/>
    <x v="199"/>
    <s v="supplier@gmail.com"/>
  </r>
  <r>
    <x v="2093"/>
    <x v="2093"/>
    <x v="4"/>
    <x v="1"/>
    <x v="4"/>
    <x v="1"/>
    <x v="12"/>
    <x v="8"/>
    <x v="8"/>
    <x v="12"/>
    <x v="8"/>
    <x v="0"/>
    <x v="1"/>
    <x v="49"/>
    <s v="supplier@gmail.com"/>
  </r>
  <r>
    <x v="2094"/>
    <x v="2094"/>
    <x v="4"/>
    <x v="1"/>
    <x v="4"/>
    <x v="1"/>
    <x v="12"/>
    <x v="8"/>
    <x v="8"/>
    <x v="12"/>
    <x v="8"/>
    <x v="0"/>
    <x v="1"/>
    <x v="197"/>
    <s v="supplier@gmail.com"/>
  </r>
  <r>
    <x v="2095"/>
    <x v="2095"/>
    <x v="4"/>
    <x v="1"/>
    <x v="4"/>
    <x v="1"/>
    <x v="12"/>
    <x v="8"/>
    <x v="8"/>
    <x v="12"/>
    <x v="8"/>
    <x v="0"/>
    <x v="1"/>
    <x v="93"/>
    <s v="supplier@gmail.com"/>
  </r>
  <r>
    <x v="2096"/>
    <x v="2096"/>
    <x v="4"/>
    <x v="1"/>
    <x v="4"/>
    <x v="1"/>
    <x v="12"/>
    <x v="8"/>
    <x v="8"/>
    <x v="12"/>
    <x v="8"/>
    <x v="0"/>
    <x v="1"/>
    <x v="0"/>
    <s v="supplier@gmail.com"/>
  </r>
  <r>
    <x v="2097"/>
    <x v="2097"/>
    <x v="4"/>
    <x v="1"/>
    <x v="4"/>
    <x v="1"/>
    <x v="12"/>
    <x v="8"/>
    <x v="8"/>
    <x v="12"/>
    <x v="8"/>
    <x v="0"/>
    <x v="1"/>
    <x v="79"/>
    <s v="supplier@gmail.com"/>
  </r>
  <r>
    <x v="2098"/>
    <x v="2098"/>
    <x v="4"/>
    <x v="1"/>
    <x v="4"/>
    <x v="1"/>
    <x v="12"/>
    <x v="8"/>
    <x v="8"/>
    <x v="12"/>
    <x v="8"/>
    <x v="0"/>
    <x v="1"/>
    <x v="75"/>
    <s v="supplier@gmail.com"/>
  </r>
  <r>
    <x v="2099"/>
    <x v="2099"/>
    <x v="4"/>
    <x v="1"/>
    <x v="4"/>
    <x v="1"/>
    <x v="12"/>
    <x v="8"/>
    <x v="8"/>
    <x v="12"/>
    <x v="8"/>
    <x v="0"/>
    <x v="1"/>
    <x v="56"/>
    <s v="supplier@gmail.com"/>
  </r>
  <r>
    <x v="2100"/>
    <x v="2100"/>
    <x v="4"/>
    <x v="1"/>
    <x v="4"/>
    <x v="1"/>
    <x v="12"/>
    <x v="8"/>
    <x v="8"/>
    <x v="12"/>
    <x v="8"/>
    <x v="0"/>
    <x v="1"/>
    <x v="197"/>
    <s v="supplier@gmail.com"/>
  </r>
  <r>
    <x v="2101"/>
    <x v="2101"/>
    <x v="4"/>
    <x v="1"/>
    <x v="4"/>
    <x v="1"/>
    <x v="12"/>
    <x v="8"/>
    <x v="8"/>
    <x v="12"/>
    <x v="8"/>
    <x v="0"/>
    <x v="1"/>
    <x v="99"/>
    <s v="supplier@gmail.com"/>
  </r>
  <r>
    <x v="2102"/>
    <x v="2102"/>
    <x v="4"/>
    <x v="1"/>
    <x v="4"/>
    <x v="1"/>
    <x v="12"/>
    <x v="8"/>
    <x v="8"/>
    <x v="12"/>
    <x v="8"/>
    <x v="0"/>
    <x v="729"/>
    <x v="116"/>
    <s v="supplier@gmail.com"/>
  </r>
  <r>
    <x v="2103"/>
    <x v="2103"/>
    <x v="4"/>
    <x v="1"/>
    <x v="4"/>
    <x v="1"/>
    <x v="12"/>
    <x v="8"/>
    <x v="8"/>
    <x v="12"/>
    <x v="8"/>
    <x v="0"/>
    <x v="30"/>
    <x v="148"/>
    <s v="supplier@gmail.com"/>
  </r>
  <r>
    <x v="2104"/>
    <x v="2104"/>
    <x v="4"/>
    <x v="0"/>
    <x v="0"/>
    <x v="0"/>
    <x v="0"/>
    <x v="0"/>
    <x v="35"/>
    <x v="0"/>
    <x v="0"/>
    <x v="0"/>
    <x v="730"/>
    <x v="109"/>
    <s v="supplier@gmail.com"/>
  </r>
  <r>
    <x v="2105"/>
    <x v="2105"/>
    <x v="349"/>
    <x v="306"/>
    <x v="367"/>
    <x v="367"/>
    <x v="332"/>
    <x v="310"/>
    <x v="299"/>
    <x v="302"/>
    <x v="289"/>
    <x v="0"/>
    <x v="731"/>
    <x v="26"/>
    <s v="supplier@gmail.com"/>
  </r>
  <r>
    <x v="2106"/>
    <x v="2106"/>
    <x v="350"/>
    <x v="307"/>
    <x v="368"/>
    <x v="368"/>
    <x v="333"/>
    <x v="311"/>
    <x v="300"/>
    <x v="303"/>
    <x v="290"/>
    <x v="0"/>
    <x v="126"/>
    <x v="61"/>
    <s v="supplier@gmail.com"/>
  </r>
  <r>
    <x v="2107"/>
    <x v="2107"/>
    <x v="351"/>
    <x v="308"/>
    <x v="369"/>
    <x v="369"/>
    <x v="334"/>
    <x v="312"/>
    <x v="301"/>
    <x v="304"/>
    <x v="291"/>
    <x v="0"/>
    <x v="447"/>
    <x v="70"/>
    <s v="supplier@gmail.com"/>
  </r>
  <r>
    <x v="2108"/>
    <x v="2108"/>
    <x v="4"/>
    <x v="1"/>
    <x v="4"/>
    <x v="1"/>
    <x v="12"/>
    <x v="8"/>
    <x v="8"/>
    <x v="12"/>
    <x v="8"/>
    <x v="0"/>
    <x v="732"/>
    <x v="81"/>
    <s v="supplier@gmail.com"/>
  </r>
  <r>
    <x v="2109"/>
    <x v="2109"/>
    <x v="4"/>
    <x v="1"/>
    <x v="41"/>
    <x v="1"/>
    <x v="12"/>
    <x v="8"/>
    <x v="8"/>
    <x v="12"/>
    <x v="8"/>
    <x v="0"/>
    <x v="218"/>
    <x v="108"/>
    <s v="supplier@gmail.com"/>
  </r>
  <r>
    <x v="2110"/>
    <x v="2110"/>
    <x v="42"/>
    <x v="16"/>
    <x v="12"/>
    <x v="36"/>
    <x v="8"/>
    <x v="39"/>
    <x v="40"/>
    <x v="12"/>
    <x v="6"/>
    <x v="0"/>
    <x v="1"/>
    <x v="47"/>
    <s v="supplier@gmail.com"/>
  </r>
  <r>
    <x v="2111"/>
    <x v="2111"/>
    <x v="186"/>
    <x v="1"/>
    <x v="39"/>
    <x v="370"/>
    <x v="12"/>
    <x v="8"/>
    <x v="8"/>
    <x v="12"/>
    <x v="8"/>
    <x v="0"/>
    <x v="733"/>
    <x v="54"/>
    <s v="supplier@gmail.com"/>
  </r>
  <r>
    <x v="2112"/>
    <x v="2112"/>
    <x v="4"/>
    <x v="1"/>
    <x v="4"/>
    <x v="1"/>
    <x v="12"/>
    <x v="8"/>
    <x v="8"/>
    <x v="12"/>
    <x v="8"/>
    <x v="0"/>
    <x v="13"/>
    <x v="162"/>
    <s v="supplier@gmail.com"/>
  </r>
  <r>
    <x v="2113"/>
    <x v="2113"/>
    <x v="4"/>
    <x v="1"/>
    <x v="4"/>
    <x v="1"/>
    <x v="12"/>
    <x v="8"/>
    <x v="8"/>
    <x v="12"/>
    <x v="8"/>
    <x v="0"/>
    <x v="197"/>
    <x v="41"/>
    <s v="supplier@gmail.com"/>
  </r>
  <r>
    <x v="2114"/>
    <x v="2114"/>
    <x v="4"/>
    <x v="1"/>
    <x v="4"/>
    <x v="1"/>
    <x v="12"/>
    <x v="8"/>
    <x v="8"/>
    <x v="12"/>
    <x v="8"/>
    <x v="0"/>
    <x v="734"/>
    <x v="171"/>
    <s v="supplier@gmail.com"/>
  </r>
  <r>
    <x v="2115"/>
    <x v="2115"/>
    <x v="4"/>
    <x v="1"/>
    <x v="4"/>
    <x v="1"/>
    <x v="12"/>
    <x v="8"/>
    <x v="8"/>
    <x v="12"/>
    <x v="8"/>
    <x v="0"/>
    <x v="735"/>
    <x v="126"/>
    <s v="supplier@gmail.com"/>
  </r>
  <r>
    <x v="2116"/>
    <x v="2116"/>
    <x v="41"/>
    <x v="309"/>
    <x v="4"/>
    <x v="1"/>
    <x v="335"/>
    <x v="43"/>
    <x v="39"/>
    <x v="38"/>
    <x v="86"/>
    <x v="0"/>
    <x v="736"/>
    <x v="93"/>
    <s v="supplier@gmail.com"/>
  </r>
  <r>
    <x v="2117"/>
    <x v="2117"/>
    <x v="287"/>
    <x v="255"/>
    <x v="54"/>
    <x v="62"/>
    <x v="336"/>
    <x v="65"/>
    <x v="302"/>
    <x v="305"/>
    <x v="292"/>
    <x v="0"/>
    <x v="237"/>
    <x v="98"/>
    <s v="supplier@gmail.com"/>
  </r>
  <r>
    <x v="2118"/>
    <x v="2118"/>
    <x v="40"/>
    <x v="255"/>
    <x v="370"/>
    <x v="285"/>
    <x v="337"/>
    <x v="313"/>
    <x v="147"/>
    <x v="60"/>
    <x v="211"/>
    <x v="0"/>
    <x v="199"/>
    <x v="77"/>
    <s v="supplier@gmail.com"/>
  </r>
  <r>
    <x v="2119"/>
    <x v="2119"/>
    <x v="12"/>
    <x v="37"/>
    <x v="9"/>
    <x v="5"/>
    <x v="338"/>
    <x v="305"/>
    <x v="303"/>
    <x v="10"/>
    <x v="71"/>
    <x v="0"/>
    <x v="737"/>
    <x v="65"/>
    <s v="supplier@gmail.com"/>
  </r>
  <r>
    <x v="2120"/>
    <x v="2120"/>
    <x v="12"/>
    <x v="37"/>
    <x v="9"/>
    <x v="5"/>
    <x v="338"/>
    <x v="305"/>
    <x v="303"/>
    <x v="10"/>
    <x v="71"/>
    <x v="0"/>
    <x v="738"/>
    <x v="43"/>
    <s v="supplier@gmail.com"/>
  </r>
  <r>
    <x v="2121"/>
    <x v="2121"/>
    <x v="40"/>
    <x v="255"/>
    <x v="370"/>
    <x v="285"/>
    <x v="337"/>
    <x v="313"/>
    <x v="147"/>
    <x v="60"/>
    <x v="211"/>
    <x v="0"/>
    <x v="739"/>
    <x v="131"/>
    <s v="supplier@gmail.com"/>
  </r>
  <r>
    <x v="2122"/>
    <x v="2122"/>
    <x v="40"/>
    <x v="255"/>
    <x v="370"/>
    <x v="285"/>
    <x v="337"/>
    <x v="313"/>
    <x v="147"/>
    <x v="60"/>
    <x v="211"/>
    <x v="0"/>
    <x v="7"/>
    <x v="105"/>
    <s v="supplier@gmail.com"/>
  </r>
  <r>
    <x v="2123"/>
    <x v="2123"/>
    <x v="12"/>
    <x v="37"/>
    <x v="9"/>
    <x v="5"/>
    <x v="338"/>
    <x v="305"/>
    <x v="303"/>
    <x v="10"/>
    <x v="71"/>
    <x v="0"/>
    <x v="740"/>
    <x v="101"/>
    <s v="supplier@gmail.com"/>
  </r>
  <r>
    <x v="2124"/>
    <x v="2124"/>
    <x v="287"/>
    <x v="255"/>
    <x v="54"/>
    <x v="62"/>
    <x v="336"/>
    <x v="65"/>
    <x v="302"/>
    <x v="305"/>
    <x v="292"/>
    <x v="0"/>
    <x v="530"/>
    <x v="81"/>
    <s v="supplier@gmail.com"/>
  </r>
  <r>
    <x v="2125"/>
    <x v="2125"/>
    <x v="40"/>
    <x v="255"/>
    <x v="370"/>
    <x v="285"/>
    <x v="337"/>
    <x v="313"/>
    <x v="147"/>
    <x v="60"/>
    <x v="211"/>
    <x v="0"/>
    <x v="1"/>
    <x v="83"/>
    <s v="supplier@gmail.com"/>
  </r>
  <r>
    <x v="2126"/>
    <x v="2126"/>
    <x v="4"/>
    <x v="1"/>
    <x v="6"/>
    <x v="34"/>
    <x v="18"/>
    <x v="33"/>
    <x v="40"/>
    <x v="29"/>
    <x v="28"/>
    <x v="0"/>
    <x v="737"/>
    <x v="167"/>
    <s v="supplier@gmail.com"/>
  </r>
  <r>
    <x v="2127"/>
    <x v="2127"/>
    <x v="143"/>
    <x v="1"/>
    <x v="63"/>
    <x v="63"/>
    <x v="37"/>
    <x v="90"/>
    <x v="74"/>
    <x v="2"/>
    <x v="35"/>
    <x v="0"/>
    <x v="741"/>
    <x v="64"/>
    <s v="supplier@gmail.com"/>
  </r>
  <r>
    <x v="2128"/>
    <x v="2128"/>
    <x v="36"/>
    <x v="1"/>
    <x v="33"/>
    <x v="0"/>
    <x v="49"/>
    <x v="8"/>
    <x v="0"/>
    <x v="43"/>
    <x v="8"/>
    <x v="0"/>
    <x v="742"/>
    <x v="154"/>
    <s v="supplier@gmail.com"/>
  </r>
  <r>
    <x v="2129"/>
    <x v="2129"/>
    <x v="133"/>
    <x v="1"/>
    <x v="176"/>
    <x v="17"/>
    <x v="12"/>
    <x v="0"/>
    <x v="12"/>
    <x v="30"/>
    <x v="13"/>
    <x v="0"/>
    <x v="1"/>
    <x v="188"/>
    <s v="supplier@gmail.com"/>
  </r>
  <r>
    <x v="2130"/>
    <x v="2130"/>
    <x v="4"/>
    <x v="1"/>
    <x v="4"/>
    <x v="1"/>
    <x v="12"/>
    <x v="8"/>
    <x v="8"/>
    <x v="12"/>
    <x v="8"/>
    <x v="0"/>
    <x v="1"/>
    <x v="117"/>
    <s v="supplier@gmail.com"/>
  </r>
  <r>
    <x v="2131"/>
    <x v="2131"/>
    <x v="20"/>
    <x v="1"/>
    <x v="4"/>
    <x v="1"/>
    <x v="12"/>
    <x v="8"/>
    <x v="8"/>
    <x v="12"/>
    <x v="8"/>
    <x v="0"/>
    <x v="1"/>
    <x v="9"/>
    <s v="supplier@gmail.com"/>
  </r>
  <r>
    <x v="2132"/>
    <x v="2132"/>
    <x v="4"/>
    <x v="1"/>
    <x v="4"/>
    <x v="371"/>
    <x v="12"/>
    <x v="8"/>
    <x v="8"/>
    <x v="306"/>
    <x v="8"/>
    <x v="0"/>
    <x v="1"/>
    <x v="89"/>
    <s v="supplier@gmail.com"/>
  </r>
  <r>
    <x v="2133"/>
    <x v="2133"/>
    <x v="187"/>
    <x v="310"/>
    <x v="371"/>
    <x v="372"/>
    <x v="339"/>
    <x v="314"/>
    <x v="304"/>
    <x v="170"/>
    <x v="293"/>
    <x v="0"/>
    <x v="35"/>
    <x v="194"/>
    <s v="supplier@gmail.com"/>
  </r>
  <r>
    <x v="2134"/>
    <x v="2134"/>
    <x v="4"/>
    <x v="1"/>
    <x v="372"/>
    <x v="373"/>
    <x v="340"/>
    <x v="315"/>
    <x v="8"/>
    <x v="12"/>
    <x v="294"/>
    <x v="0"/>
    <x v="1"/>
    <x v="80"/>
    <s v="supplier@gmail.com"/>
  </r>
  <r>
    <x v="2135"/>
    <x v="2135"/>
    <x v="4"/>
    <x v="25"/>
    <x v="9"/>
    <x v="1"/>
    <x v="12"/>
    <x v="3"/>
    <x v="8"/>
    <x v="12"/>
    <x v="68"/>
    <x v="0"/>
    <x v="136"/>
    <x v="112"/>
    <s v="supplier@gmail.com"/>
  </r>
  <r>
    <x v="2136"/>
    <x v="2136"/>
    <x v="352"/>
    <x v="311"/>
    <x v="373"/>
    <x v="374"/>
    <x v="341"/>
    <x v="316"/>
    <x v="305"/>
    <x v="293"/>
    <x v="108"/>
    <x v="0"/>
    <x v="134"/>
    <x v="80"/>
    <s v="supplier@gmail.com"/>
  </r>
  <r>
    <x v="2137"/>
    <x v="2137"/>
    <x v="82"/>
    <x v="1"/>
    <x v="4"/>
    <x v="1"/>
    <x v="12"/>
    <x v="8"/>
    <x v="0"/>
    <x v="12"/>
    <x v="8"/>
    <x v="0"/>
    <x v="77"/>
    <x v="25"/>
    <s v="supplier@gmail.com"/>
  </r>
  <r>
    <x v="2138"/>
    <x v="2138"/>
    <x v="101"/>
    <x v="1"/>
    <x v="17"/>
    <x v="116"/>
    <x v="18"/>
    <x v="25"/>
    <x v="27"/>
    <x v="25"/>
    <x v="27"/>
    <x v="0"/>
    <x v="743"/>
    <x v="127"/>
    <s v="supplier@gmail.com"/>
  </r>
  <r>
    <x v="2139"/>
    <x v="2139"/>
    <x v="7"/>
    <x v="116"/>
    <x v="30"/>
    <x v="6"/>
    <x v="30"/>
    <x v="113"/>
    <x v="29"/>
    <x v="112"/>
    <x v="27"/>
    <x v="0"/>
    <x v="312"/>
    <x v="8"/>
    <s v="supplier@gmail.com"/>
  </r>
  <r>
    <x v="2140"/>
    <x v="2140"/>
    <x v="0"/>
    <x v="1"/>
    <x v="0"/>
    <x v="15"/>
    <x v="0"/>
    <x v="8"/>
    <x v="8"/>
    <x v="0"/>
    <x v="8"/>
    <x v="0"/>
    <x v="444"/>
    <x v="84"/>
    <s v="supplier@gmail.com"/>
  </r>
  <r>
    <x v="2141"/>
    <x v="2141"/>
    <x v="20"/>
    <x v="1"/>
    <x v="4"/>
    <x v="1"/>
    <x v="12"/>
    <x v="8"/>
    <x v="26"/>
    <x v="12"/>
    <x v="8"/>
    <x v="0"/>
    <x v="164"/>
    <x v="94"/>
    <s v="supplier@gmail.com"/>
  </r>
  <r>
    <x v="2142"/>
    <x v="2142"/>
    <x v="44"/>
    <x v="1"/>
    <x v="4"/>
    <x v="1"/>
    <x v="27"/>
    <x v="8"/>
    <x v="8"/>
    <x v="12"/>
    <x v="8"/>
    <x v="0"/>
    <x v="470"/>
    <x v="31"/>
    <s v="supplier@gmail.com"/>
  </r>
  <r>
    <x v="2143"/>
    <x v="2143"/>
    <x v="44"/>
    <x v="1"/>
    <x v="4"/>
    <x v="1"/>
    <x v="27"/>
    <x v="8"/>
    <x v="8"/>
    <x v="12"/>
    <x v="8"/>
    <x v="0"/>
    <x v="225"/>
    <x v="187"/>
    <s v="supplier@gmail.com"/>
  </r>
  <r>
    <x v="2144"/>
    <x v="2144"/>
    <x v="101"/>
    <x v="38"/>
    <x v="16"/>
    <x v="16"/>
    <x v="25"/>
    <x v="85"/>
    <x v="27"/>
    <x v="32"/>
    <x v="23"/>
    <x v="0"/>
    <x v="134"/>
    <x v="195"/>
    <s v="supplier@gmail.com"/>
  </r>
  <r>
    <x v="2145"/>
    <x v="2145"/>
    <x v="44"/>
    <x v="15"/>
    <x v="34"/>
    <x v="159"/>
    <x v="27"/>
    <x v="34"/>
    <x v="35"/>
    <x v="129"/>
    <x v="30"/>
    <x v="0"/>
    <x v="744"/>
    <x v="153"/>
    <s v="supplier@gmail.com"/>
  </r>
  <r>
    <x v="2146"/>
    <x v="2146"/>
    <x v="34"/>
    <x v="96"/>
    <x v="29"/>
    <x v="37"/>
    <x v="35"/>
    <x v="31"/>
    <x v="40"/>
    <x v="29"/>
    <x v="28"/>
    <x v="0"/>
    <x v="152"/>
    <x v="194"/>
    <s v="supplier@gmail.com"/>
  </r>
  <r>
    <x v="2147"/>
    <x v="2147"/>
    <x v="113"/>
    <x v="31"/>
    <x v="374"/>
    <x v="101"/>
    <x v="342"/>
    <x v="93"/>
    <x v="40"/>
    <x v="29"/>
    <x v="28"/>
    <x v="0"/>
    <x v="108"/>
    <x v="130"/>
    <s v="supplier@gmail.com"/>
  </r>
  <r>
    <x v="2148"/>
    <x v="2148"/>
    <x v="101"/>
    <x v="1"/>
    <x v="4"/>
    <x v="1"/>
    <x v="25"/>
    <x v="8"/>
    <x v="8"/>
    <x v="12"/>
    <x v="8"/>
    <x v="0"/>
    <x v="439"/>
    <x v="184"/>
    <s v="supplier@gmail.com"/>
  </r>
  <r>
    <x v="2149"/>
    <x v="2149"/>
    <x v="101"/>
    <x v="1"/>
    <x v="4"/>
    <x v="1"/>
    <x v="25"/>
    <x v="8"/>
    <x v="8"/>
    <x v="12"/>
    <x v="8"/>
    <x v="0"/>
    <x v="220"/>
    <x v="157"/>
    <s v="supplier@gmail.com"/>
  </r>
  <r>
    <x v="2150"/>
    <x v="2150"/>
    <x v="0"/>
    <x v="1"/>
    <x v="4"/>
    <x v="1"/>
    <x v="0"/>
    <x v="8"/>
    <x v="8"/>
    <x v="12"/>
    <x v="8"/>
    <x v="0"/>
    <x v="31"/>
    <x v="61"/>
    <s v="supplier@gmail.com"/>
  </r>
  <r>
    <x v="2151"/>
    <x v="2151"/>
    <x v="101"/>
    <x v="38"/>
    <x v="16"/>
    <x v="16"/>
    <x v="25"/>
    <x v="85"/>
    <x v="27"/>
    <x v="32"/>
    <x v="23"/>
    <x v="0"/>
    <x v="87"/>
    <x v="148"/>
    <s v="supplier@gmail.com"/>
  </r>
  <r>
    <x v="2152"/>
    <x v="2152"/>
    <x v="49"/>
    <x v="36"/>
    <x v="15"/>
    <x v="15"/>
    <x v="49"/>
    <x v="16"/>
    <x v="0"/>
    <x v="0"/>
    <x v="0"/>
    <x v="0"/>
    <x v="524"/>
    <x v="13"/>
    <s v="supplier@gmail.com"/>
  </r>
  <r>
    <x v="2153"/>
    <x v="2153"/>
    <x v="20"/>
    <x v="1"/>
    <x v="4"/>
    <x v="1"/>
    <x v="18"/>
    <x v="8"/>
    <x v="8"/>
    <x v="12"/>
    <x v="8"/>
    <x v="0"/>
    <x v="114"/>
    <x v="197"/>
    <s v="supplier@gmail.com"/>
  </r>
  <r>
    <x v="2154"/>
    <x v="2154"/>
    <x v="93"/>
    <x v="86"/>
    <x v="6"/>
    <x v="34"/>
    <x v="32"/>
    <x v="33"/>
    <x v="77"/>
    <x v="26"/>
    <x v="27"/>
    <x v="0"/>
    <x v="33"/>
    <x v="63"/>
    <s v="supplier@gmail.com"/>
  </r>
  <r>
    <x v="2155"/>
    <x v="2155"/>
    <x v="101"/>
    <x v="17"/>
    <x v="42"/>
    <x v="19"/>
    <x v="25"/>
    <x v="25"/>
    <x v="26"/>
    <x v="19"/>
    <x v="17"/>
    <x v="0"/>
    <x v="225"/>
    <x v="21"/>
    <s v="supplier@gmail.com"/>
  </r>
  <r>
    <x v="2156"/>
    <x v="2156"/>
    <x v="30"/>
    <x v="108"/>
    <x v="7"/>
    <x v="6"/>
    <x v="138"/>
    <x v="13"/>
    <x v="217"/>
    <x v="227"/>
    <x v="109"/>
    <x v="0"/>
    <x v="163"/>
    <x v="142"/>
    <s v="supplier@gmail.com"/>
  </r>
  <r>
    <x v="2157"/>
    <x v="2157"/>
    <x v="93"/>
    <x v="86"/>
    <x v="6"/>
    <x v="34"/>
    <x v="32"/>
    <x v="33"/>
    <x v="77"/>
    <x v="26"/>
    <x v="27"/>
    <x v="0"/>
    <x v="254"/>
    <x v="165"/>
    <s v="supplier@gmail.com"/>
  </r>
  <r>
    <x v="2158"/>
    <x v="2158"/>
    <x v="18"/>
    <x v="1"/>
    <x v="4"/>
    <x v="1"/>
    <x v="26"/>
    <x v="8"/>
    <x v="8"/>
    <x v="12"/>
    <x v="8"/>
    <x v="0"/>
    <x v="745"/>
    <x v="79"/>
    <s v="supplier@gmail.com"/>
  </r>
  <r>
    <x v="2159"/>
    <x v="2159"/>
    <x v="4"/>
    <x v="1"/>
    <x v="4"/>
    <x v="1"/>
    <x v="12"/>
    <x v="8"/>
    <x v="8"/>
    <x v="12"/>
    <x v="8"/>
    <x v="0"/>
    <x v="746"/>
    <x v="14"/>
    <s v="supplier@gmail.com"/>
  </r>
  <r>
    <x v="2160"/>
    <x v="2160"/>
    <x v="93"/>
    <x v="86"/>
    <x v="6"/>
    <x v="34"/>
    <x v="32"/>
    <x v="33"/>
    <x v="77"/>
    <x v="26"/>
    <x v="27"/>
    <x v="0"/>
    <x v="747"/>
    <x v="8"/>
    <s v="supplier@gmail.com"/>
  </r>
  <r>
    <x v="2161"/>
    <x v="2161"/>
    <x v="37"/>
    <x v="116"/>
    <x v="169"/>
    <x v="271"/>
    <x v="89"/>
    <x v="44"/>
    <x v="10"/>
    <x v="14"/>
    <x v="10"/>
    <x v="0"/>
    <x v="748"/>
    <x v="115"/>
    <s v="supplier@gmail.com"/>
  </r>
  <r>
    <x v="2162"/>
    <x v="2162"/>
    <x v="101"/>
    <x v="38"/>
    <x v="16"/>
    <x v="16"/>
    <x v="25"/>
    <x v="85"/>
    <x v="27"/>
    <x v="32"/>
    <x v="23"/>
    <x v="0"/>
    <x v="749"/>
    <x v="169"/>
    <s v="supplier@gmail.com"/>
  </r>
  <r>
    <x v="2163"/>
    <x v="2163"/>
    <x v="20"/>
    <x v="1"/>
    <x v="4"/>
    <x v="1"/>
    <x v="18"/>
    <x v="8"/>
    <x v="8"/>
    <x v="12"/>
    <x v="8"/>
    <x v="0"/>
    <x v="220"/>
    <x v="90"/>
    <s v="supplier@gmail.com"/>
  </r>
  <r>
    <x v="2164"/>
    <x v="2164"/>
    <x v="101"/>
    <x v="38"/>
    <x v="16"/>
    <x v="16"/>
    <x v="25"/>
    <x v="85"/>
    <x v="27"/>
    <x v="32"/>
    <x v="23"/>
    <x v="0"/>
    <x v="1"/>
    <x v="11"/>
    <s v="supplier@gmail.com"/>
  </r>
  <r>
    <x v="2165"/>
    <x v="2165"/>
    <x v="49"/>
    <x v="36"/>
    <x v="15"/>
    <x v="15"/>
    <x v="49"/>
    <x v="16"/>
    <x v="0"/>
    <x v="0"/>
    <x v="0"/>
    <x v="0"/>
    <x v="44"/>
    <x v="135"/>
    <s v="supplier@gmail.com"/>
  </r>
  <r>
    <x v="2166"/>
    <x v="2166"/>
    <x v="17"/>
    <x v="76"/>
    <x v="5"/>
    <x v="21"/>
    <x v="114"/>
    <x v="9"/>
    <x v="41"/>
    <x v="68"/>
    <x v="24"/>
    <x v="0"/>
    <x v="1"/>
    <x v="13"/>
    <s v="supplier@gmail.com"/>
  </r>
  <r>
    <x v="2167"/>
    <x v="2167"/>
    <x v="4"/>
    <x v="1"/>
    <x v="4"/>
    <x v="1"/>
    <x v="12"/>
    <x v="8"/>
    <x v="8"/>
    <x v="12"/>
    <x v="8"/>
    <x v="0"/>
    <x v="1"/>
    <x v="151"/>
    <s v="supplier@gmail.com"/>
  </r>
  <r>
    <x v="2168"/>
    <x v="2168"/>
    <x v="4"/>
    <x v="1"/>
    <x v="4"/>
    <x v="1"/>
    <x v="12"/>
    <x v="8"/>
    <x v="8"/>
    <x v="12"/>
    <x v="8"/>
    <x v="0"/>
    <x v="1"/>
    <x v="0"/>
    <s v="supplier@gmail.com"/>
  </r>
  <r>
    <x v="2169"/>
    <x v="2169"/>
    <x v="4"/>
    <x v="1"/>
    <x v="4"/>
    <x v="1"/>
    <x v="12"/>
    <x v="8"/>
    <x v="8"/>
    <x v="12"/>
    <x v="8"/>
    <x v="0"/>
    <x v="1"/>
    <x v="189"/>
    <s v="supplier@gmail.com"/>
  </r>
  <r>
    <x v="2170"/>
    <x v="2170"/>
    <x v="4"/>
    <x v="1"/>
    <x v="4"/>
    <x v="1"/>
    <x v="12"/>
    <x v="8"/>
    <x v="8"/>
    <x v="12"/>
    <x v="8"/>
    <x v="0"/>
    <x v="1"/>
    <x v="108"/>
    <s v="supplier@gmail.com"/>
  </r>
  <r>
    <x v="2171"/>
    <x v="2171"/>
    <x v="4"/>
    <x v="1"/>
    <x v="4"/>
    <x v="1"/>
    <x v="12"/>
    <x v="8"/>
    <x v="8"/>
    <x v="12"/>
    <x v="8"/>
    <x v="0"/>
    <x v="1"/>
    <x v="90"/>
    <s v="supplier@gmail.com"/>
  </r>
  <r>
    <x v="2172"/>
    <x v="2172"/>
    <x v="4"/>
    <x v="1"/>
    <x v="4"/>
    <x v="1"/>
    <x v="12"/>
    <x v="8"/>
    <x v="8"/>
    <x v="12"/>
    <x v="8"/>
    <x v="0"/>
    <x v="1"/>
    <x v="161"/>
    <s v="supplier@gmail.com"/>
  </r>
  <r>
    <x v="2173"/>
    <x v="2173"/>
    <x v="4"/>
    <x v="1"/>
    <x v="4"/>
    <x v="1"/>
    <x v="12"/>
    <x v="8"/>
    <x v="8"/>
    <x v="12"/>
    <x v="8"/>
    <x v="0"/>
    <x v="1"/>
    <x v="32"/>
    <s v="supplier@gmail.com"/>
  </r>
  <r>
    <x v="2174"/>
    <x v="2174"/>
    <x v="4"/>
    <x v="1"/>
    <x v="4"/>
    <x v="1"/>
    <x v="12"/>
    <x v="8"/>
    <x v="8"/>
    <x v="12"/>
    <x v="8"/>
    <x v="0"/>
    <x v="1"/>
    <x v="150"/>
    <s v="supplier@gmail.com"/>
  </r>
  <r>
    <x v="2175"/>
    <x v="2175"/>
    <x v="4"/>
    <x v="1"/>
    <x v="4"/>
    <x v="1"/>
    <x v="12"/>
    <x v="8"/>
    <x v="8"/>
    <x v="12"/>
    <x v="8"/>
    <x v="0"/>
    <x v="1"/>
    <x v="134"/>
    <s v="supplier@gmail.com"/>
  </r>
  <r>
    <x v="2176"/>
    <x v="2176"/>
    <x v="4"/>
    <x v="1"/>
    <x v="4"/>
    <x v="1"/>
    <x v="12"/>
    <x v="8"/>
    <x v="8"/>
    <x v="12"/>
    <x v="8"/>
    <x v="0"/>
    <x v="1"/>
    <x v="122"/>
    <s v="supplier@gmail.com"/>
  </r>
  <r>
    <x v="2177"/>
    <x v="2177"/>
    <x v="4"/>
    <x v="1"/>
    <x v="4"/>
    <x v="1"/>
    <x v="12"/>
    <x v="8"/>
    <x v="8"/>
    <x v="12"/>
    <x v="8"/>
    <x v="0"/>
    <x v="1"/>
    <x v="27"/>
    <s v="supplier@gmail.com"/>
  </r>
  <r>
    <x v="2178"/>
    <x v="2178"/>
    <x v="4"/>
    <x v="1"/>
    <x v="4"/>
    <x v="1"/>
    <x v="12"/>
    <x v="8"/>
    <x v="8"/>
    <x v="12"/>
    <x v="8"/>
    <x v="0"/>
    <x v="750"/>
    <x v="18"/>
    <s v="supplier@gmail.com"/>
  </r>
  <r>
    <x v="2179"/>
    <x v="2179"/>
    <x v="4"/>
    <x v="1"/>
    <x v="4"/>
    <x v="1"/>
    <x v="12"/>
    <x v="8"/>
    <x v="8"/>
    <x v="12"/>
    <x v="8"/>
    <x v="0"/>
    <x v="167"/>
    <x v="164"/>
    <s v="supplier@gmail.com"/>
  </r>
  <r>
    <x v="2180"/>
    <x v="2180"/>
    <x v="4"/>
    <x v="1"/>
    <x v="4"/>
    <x v="1"/>
    <x v="12"/>
    <x v="8"/>
    <x v="8"/>
    <x v="12"/>
    <x v="8"/>
    <x v="0"/>
    <x v="751"/>
    <x v="122"/>
    <s v="supplier@gmail.com"/>
  </r>
  <r>
    <x v="2181"/>
    <x v="2181"/>
    <x v="4"/>
    <x v="1"/>
    <x v="4"/>
    <x v="1"/>
    <x v="12"/>
    <x v="8"/>
    <x v="8"/>
    <x v="12"/>
    <x v="8"/>
    <x v="0"/>
    <x v="159"/>
    <x v="50"/>
    <s v="supplier@gmail.com"/>
  </r>
  <r>
    <x v="2182"/>
    <x v="2182"/>
    <x v="49"/>
    <x v="125"/>
    <x v="70"/>
    <x v="0"/>
    <x v="27"/>
    <x v="70"/>
    <x v="25"/>
    <x v="42"/>
    <x v="0"/>
    <x v="0"/>
    <x v="1"/>
    <x v="189"/>
    <s v="supplier@gmail.com"/>
  </r>
  <r>
    <x v="2183"/>
    <x v="2183"/>
    <x v="4"/>
    <x v="1"/>
    <x v="4"/>
    <x v="1"/>
    <x v="12"/>
    <x v="8"/>
    <x v="8"/>
    <x v="12"/>
    <x v="8"/>
    <x v="0"/>
    <x v="36"/>
    <x v="57"/>
    <s v="supplier@gmail.com"/>
  </r>
  <r>
    <x v="2184"/>
    <x v="2184"/>
    <x v="4"/>
    <x v="1"/>
    <x v="4"/>
    <x v="1"/>
    <x v="12"/>
    <x v="8"/>
    <x v="8"/>
    <x v="12"/>
    <x v="8"/>
    <x v="0"/>
    <x v="1"/>
    <x v="84"/>
    <s v="supplier@gmail.com"/>
  </r>
  <r>
    <x v="2185"/>
    <x v="2185"/>
    <x v="4"/>
    <x v="1"/>
    <x v="4"/>
    <x v="1"/>
    <x v="12"/>
    <x v="8"/>
    <x v="8"/>
    <x v="12"/>
    <x v="8"/>
    <x v="0"/>
    <x v="752"/>
    <x v="145"/>
    <s v="supplier@gmail.com"/>
  </r>
  <r>
    <x v="2186"/>
    <x v="2186"/>
    <x v="4"/>
    <x v="1"/>
    <x v="4"/>
    <x v="80"/>
    <x v="12"/>
    <x v="8"/>
    <x v="62"/>
    <x v="12"/>
    <x v="8"/>
    <x v="0"/>
    <x v="1"/>
    <x v="140"/>
    <s v="supplier@gmail.com"/>
  </r>
  <r>
    <x v="2187"/>
    <x v="2187"/>
    <x v="4"/>
    <x v="1"/>
    <x v="4"/>
    <x v="1"/>
    <x v="12"/>
    <x v="8"/>
    <x v="8"/>
    <x v="12"/>
    <x v="8"/>
    <x v="0"/>
    <x v="753"/>
    <x v="152"/>
    <s v="supplier@gmail.com"/>
  </r>
  <r>
    <x v="2188"/>
    <x v="2188"/>
    <x v="43"/>
    <x v="231"/>
    <x v="169"/>
    <x v="271"/>
    <x v="139"/>
    <x v="223"/>
    <x v="40"/>
    <x v="231"/>
    <x v="18"/>
    <x v="0"/>
    <x v="640"/>
    <x v="9"/>
    <s v="supplier@gmail.com"/>
  </r>
  <r>
    <x v="2189"/>
    <x v="2189"/>
    <x v="4"/>
    <x v="1"/>
    <x v="4"/>
    <x v="1"/>
    <x v="12"/>
    <x v="8"/>
    <x v="8"/>
    <x v="12"/>
    <x v="8"/>
    <x v="0"/>
    <x v="51"/>
    <x v="33"/>
    <s v="supplier@gmail.com"/>
  </r>
  <r>
    <x v="2190"/>
    <x v="2190"/>
    <x v="4"/>
    <x v="1"/>
    <x v="4"/>
    <x v="1"/>
    <x v="12"/>
    <x v="8"/>
    <x v="8"/>
    <x v="12"/>
    <x v="8"/>
    <x v="0"/>
    <x v="754"/>
    <x v="157"/>
    <s v="supplier@gmail.com"/>
  </r>
  <r>
    <x v="2191"/>
    <x v="2191"/>
    <x v="4"/>
    <x v="1"/>
    <x v="4"/>
    <x v="1"/>
    <x v="12"/>
    <x v="8"/>
    <x v="8"/>
    <x v="12"/>
    <x v="8"/>
    <x v="0"/>
    <x v="755"/>
    <x v="174"/>
    <s v="supplier@gmail.com"/>
  </r>
  <r>
    <x v="2192"/>
    <x v="2192"/>
    <x v="4"/>
    <x v="1"/>
    <x v="4"/>
    <x v="1"/>
    <x v="12"/>
    <x v="8"/>
    <x v="8"/>
    <x v="12"/>
    <x v="8"/>
    <x v="0"/>
    <x v="147"/>
    <x v="93"/>
    <s v="supplier@gmail.com"/>
  </r>
  <r>
    <x v="2193"/>
    <x v="2193"/>
    <x v="4"/>
    <x v="125"/>
    <x v="35"/>
    <x v="125"/>
    <x v="31"/>
    <x v="32"/>
    <x v="8"/>
    <x v="19"/>
    <x v="31"/>
    <x v="0"/>
    <x v="553"/>
    <x v="121"/>
    <s v="supplier@gmail.com"/>
  </r>
  <r>
    <x v="2194"/>
    <x v="2194"/>
    <x v="4"/>
    <x v="0"/>
    <x v="0"/>
    <x v="0"/>
    <x v="12"/>
    <x v="70"/>
    <x v="8"/>
    <x v="42"/>
    <x v="8"/>
    <x v="0"/>
    <x v="338"/>
    <x v="164"/>
    <s v="supplier@gmail.com"/>
  </r>
  <r>
    <x v="2195"/>
    <x v="2195"/>
    <x v="4"/>
    <x v="1"/>
    <x v="4"/>
    <x v="1"/>
    <x v="91"/>
    <x v="8"/>
    <x v="8"/>
    <x v="12"/>
    <x v="8"/>
    <x v="0"/>
    <x v="148"/>
    <x v="174"/>
    <s v="supplier@gmail.com"/>
  </r>
  <r>
    <x v="2196"/>
    <x v="2196"/>
    <x v="112"/>
    <x v="158"/>
    <x v="375"/>
    <x v="375"/>
    <x v="89"/>
    <x v="13"/>
    <x v="36"/>
    <x v="227"/>
    <x v="19"/>
    <x v="0"/>
    <x v="516"/>
    <x v="90"/>
    <s v="supplier@gmail.com"/>
  </r>
  <r>
    <x v="2197"/>
    <x v="2197"/>
    <x v="0"/>
    <x v="15"/>
    <x v="149"/>
    <x v="158"/>
    <x v="38"/>
    <x v="85"/>
    <x v="24"/>
    <x v="68"/>
    <x v="24"/>
    <x v="0"/>
    <x v="267"/>
    <x v="91"/>
    <s v="supplier@gmail.com"/>
  </r>
  <r>
    <x v="2198"/>
    <x v="2198"/>
    <x v="175"/>
    <x v="4"/>
    <x v="6"/>
    <x v="34"/>
    <x v="139"/>
    <x v="9"/>
    <x v="40"/>
    <x v="29"/>
    <x v="120"/>
    <x v="0"/>
    <x v="1"/>
    <x v="73"/>
    <s v="supplier@gmail.com"/>
  </r>
  <r>
    <x v="2199"/>
    <x v="2199"/>
    <x v="4"/>
    <x v="1"/>
    <x v="4"/>
    <x v="1"/>
    <x v="12"/>
    <x v="8"/>
    <x v="8"/>
    <x v="12"/>
    <x v="8"/>
    <x v="0"/>
    <x v="1"/>
    <x v="56"/>
    <s v="supplier@gmail.com"/>
  </r>
  <r>
    <x v="2200"/>
    <x v="2200"/>
    <x v="0"/>
    <x v="1"/>
    <x v="4"/>
    <x v="1"/>
    <x v="12"/>
    <x v="8"/>
    <x v="8"/>
    <x v="12"/>
    <x v="8"/>
    <x v="0"/>
    <x v="516"/>
    <x v="5"/>
    <s v="supplier@gmail.com"/>
  </r>
  <r>
    <x v="2201"/>
    <x v="2201"/>
    <x v="82"/>
    <x v="1"/>
    <x v="4"/>
    <x v="16"/>
    <x v="17"/>
    <x v="8"/>
    <x v="8"/>
    <x v="12"/>
    <x v="8"/>
    <x v="0"/>
    <x v="61"/>
    <x v="114"/>
    <s v="supplier@gmail.com"/>
  </r>
  <r>
    <x v="2202"/>
    <x v="2202"/>
    <x v="0"/>
    <x v="1"/>
    <x v="4"/>
    <x v="1"/>
    <x v="12"/>
    <x v="8"/>
    <x v="8"/>
    <x v="12"/>
    <x v="8"/>
    <x v="0"/>
    <x v="430"/>
    <x v="114"/>
    <s v="supplier@gmail.com"/>
  </r>
  <r>
    <x v="2203"/>
    <x v="2203"/>
    <x v="0"/>
    <x v="1"/>
    <x v="4"/>
    <x v="1"/>
    <x v="12"/>
    <x v="8"/>
    <x v="8"/>
    <x v="12"/>
    <x v="8"/>
    <x v="0"/>
    <x v="756"/>
    <x v="1"/>
    <s v="supplier@gmail.com"/>
  </r>
  <r>
    <x v="2204"/>
    <x v="2204"/>
    <x v="36"/>
    <x v="1"/>
    <x v="4"/>
    <x v="1"/>
    <x v="12"/>
    <x v="8"/>
    <x v="8"/>
    <x v="12"/>
    <x v="8"/>
    <x v="0"/>
    <x v="1"/>
    <x v="172"/>
    <s v="supplier@gmail.com"/>
  </r>
  <r>
    <x v="2205"/>
    <x v="2205"/>
    <x v="0"/>
    <x v="1"/>
    <x v="4"/>
    <x v="1"/>
    <x v="12"/>
    <x v="8"/>
    <x v="8"/>
    <x v="12"/>
    <x v="8"/>
    <x v="0"/>
    <x v="757"/>
    <x v="7"/>
    <s v="supplier@gmail.com"/>
  </r>
  <r>
    <x v="2206"/>
    <x v="2206"/>
    <x v="36"/>
    <x v="1"/>
    <x v="4"/>
    <x v="1"/>
    <x v="12"/>
    <x v="8"/>
    <x v="8"/>
    <x v="12"/>
    <x v="8"/>
    <x v="0"/>
    <x v="1"/>
    <x v="89"/>
    <s v="supplier@gmail.com"/>
  </r>
  <r>
    <x v="2207"/>
    <x v="2207"/>
    <x v="0"/>
    <x v="1"/>
    <x v="4"/>
    <x v="1"/>
    <x v="12"/>
    <x v="8"/>
    <x v="8"/>
    <x v="12"/>
    <x v="8"/>
    <x v="0"/>
    <x v="129"/>
    <x v="80"/>
    <s v="supplier@gmail.com"/>
  </r>
  <r>
    <x v="2208"/>
    <x v="2208"/>
    <x v="20"/>
    <x v="1"/>
    <x v="4"/>
    <x v="34"/>
    <x v="18"/>
    <x v="8"/>
    <x v="8"/>
    <x v="12"/>
    <x v="8"/>
    <x v="0"/>
    <x v="1"/>
    <x v="110"/>
    <s v="supplier@gmail.com"/>
  </r>
  <r>
    <x v="2209"/>
    <x v="2209"/>
    <x v="4"/>
    <x v="1"/>
    <x v="4"/>
    <x v="1"/>
    <x v="12"/>
    <x v="8"/>
    <x v="8"/>
    <x v="12"/>
    <x v="8"/>
    <x v="0"/>
    <x v="15"/>
    <x v="192"/>
    <s v="supplier@gmail.com"/>
  </r>
  <r>
    <x v="2210"/>
    <x v="2210"/>
    <x v="82"/>
    <x v="1"/>
    <x v="4"/>
    <x v="16"/>
    <x v="17"/>
    <x v="8"/>
    <x v="8"/>
    <x v="12"/>
    <x v="8"/>
    <x v="0"/>
    <x v="1"/>
    <x v="174"/>
    <s v="supplier@gmail.com"/>
  </r>
  <r>
    <x v="2211"/>
    <x v="2211"/>
    <x v="4"/>
    <x v="1"/>
    <x v="4"/>
    <x v="1"/>
    <x v="12"/>
    <x v="8"/>
    <x v="8"/>
    <x v="12"/>
    <x v="8"/>
    <x v="0"/>
    <x v="503"/>
    <x v="135"/>
    <s v="supplier@gmail.com"/>
  </r>
  <r>
    <x v="2212"/>
    <x v="2212"/>
    <x v="353"/>
    <x v="312"/>
    <x v="376"/>
    <x v="376"/>
    <x v="343"/>
    <x v="317"/>
    <x v="306"/>
    <x v="307"/>
    <x v="295"/>
    <x v="0"/>
    <x v="758"/>
    <x v="21"/>
    <s v="supplier@gmail.com"/>
  </r>
  <r>
    <x v="2213"/>
    <x v="2213"/>
    <x v="353"/>
    <x v="312"/>
    <x v="376"/>
    <x v="376"/>
    <x v="343"/>
    <x v="317"/>
    <x v="306"/>
    <x v="307"/>
    <x v="295"/>
    <x v="0"/>
    <x v="3"/>
    <x v="151"/>
    <s v="supplier@gmail.com"/>
  </r>
  <r>
    <x v="2214"/>
    <x v="2214"/>
    <x v="354"/>
    <x v="1"/>
    <x v="4"/>
    <x v="377"/>
    <x v="12"/>
    <x v="8"/>
    <x v="8"/>
    <x v="12"/>
    <x v="8"/>
    <x v="0"/>
    <x v="3"/>
    <x v="14"/>
    <s v="supplier@gmail.com"/>
  </r>
  <r>
    <x v="2215"/>
    <x v="2215"/>
    <x v="355"/>
    <x v="1"/>
    <x v="377"/>
    <x v="378"/>
    <x v="12"/>
    <x v="8"/>
    <x v="8"/>
    <x v="12"/>
    <x v="8"/>
    <x v="0"/>
    <x v="19"/>
    <x v="60"/>
    <s v="supplier@gmail.com"/>
  </r>
  <r>
    <x v="2216"/>
    <x v="2216"/>
    <x v="356"/>
    <x v="1"/>
    <x v="4"/>
    <x v="379"/>
    <x v="12"/>
    <x v="8"/>
    <x v="8"/>
    <x v="12"/>
    <x v="8"/>
    <x v="0"/>
    <x v="19"/>
    <x v="139"/>
    <s v="supplier@gmail.com"/>
  </r>
  <r>
    <x v="2217"/>
    <x v="2217"/>
    <x v="357"/>
    <x v="1"/>
    <x v="378"/>
    <x v="380"/>
    <x v="12"/>
    <x v="8"/>
    <x v="8"/>
    <x v="12"/>
    <x v="8"/>
    <x v="0"/>
    <x v="22"/>
    <x v="55"/>
    <s v="supplier@gmail.com"/>
  </r>
  <r>
    <x v="2218"/>
    <x v="2218"/>
    <x v="358"/>
    <x v="1"/>
    <x v="379"/>
    <x v="381"/>
    <x v="12"/>
    <x v="8"/>
    <x v="8"/>
    <x v="12"/>
    <x v="8"/>
    <x v="0"/>
    <x v="3"/>
    <x v="139"/>
    <s v="supplier@gmail.com"/>
  </r>
  <r>
    <x v="2219"/>
    <x v="2219"/>
    <x v="359"/>
    <x v="1"/>
    <x v="380"/>
    <x v="382"/>
    <x v="12"/>
    <x v="8"/>
    <x v="8"/>
    <x v="12"/>
    <x v="8"/>
    <x v="0"/>
    <x v="3"/>
    <x v="159"/>
    <s v="supplier@gmail.com"/>
  </r>
  <r>
    <x v="2220"/>
    <x v="2220"/>
    <x v="360"/>
    <x v="1"/>
    <x v="4"/>
    <x v="383"/>
    <x v="12"/>
    <x v="8"/>
    <x v="8"/>
    <x v="12"/>
    <x v="8"/>
    <x v="0"/>
    <x v="39"/>
    <x v="154"/>
    <s v="supplier@gmail.com"/>
  </r>
  <r>
    <x v="2221"/>
    <x v="2221"/>
    <x v="361"/>
    <x v="1"/>
    <x v="4"/>
    <x v="384"/>
    <x v="12"/>
    <x v="8"/>
    <x v="8"/>
    <x v="12"/>
    <x v="8"/>
    <x v="0"/>
    <x v="333"/>
    <x v="40"/>
    <s v="supplier@gmail.com"/>
  </r>
  <r>
    <x v="2222"/>
    <x v="2222"/>
    <x v="362"/>
    <x v="1"/>
    <x v="4"/>
    <x v="385"/>
    <x v="12"/>
    <x v="8"/>
    <x v="8"/>
    <x v="12"/>
    <x v="8"/>
    <x v="0"/>
    <x v="1"/>
    <x v="62"/>
    <s v="supplier@gmail.com"/>
  </r>
  <r>
    <x v="2223"/>
    <x v="2223"/>
    <x v="363"/>
    <x v="1"/>
    <x v="381"/>
    <x v="386"/>
    <x v="12"/>
    <x v="8"/>
    <x v="8"/>
    <x v="12"/>
    <x v="8"/>
    <x v="0"/>
    <x v="187"/>
    <x v="148"/>
    <s v="supplier@gmail.com"/>
  </r>
  <r>
    <x v="2224"/>
    <x v="2224"/>
    <x v="4"/>
    <x v="5"/>
    <x v="4"/>
    <x v="7"/>
    <x v="12"/>
    <x v="10"/>
    <x v="10"/>
    <x v="12"/>
    <x v="10"/>
    <x v="0"/>
    <x v="26"/>
    <x v="189"/>
    <s v="supplier@gmail.com"/>
  </r>
  <r>
    <x v="2225"/>
    <x v="2225"/>
    <x v="4"/>
    <x v="1"/>
    <x v="4"/>
    <x v="1"/>
    <x v="12"/>
    <x v="8"/>
    <x v="8"/>
    <x v="12"/>
    <x v="8"/>
    <x v="0"/>
    <x v="26"/>
    <x v="183"/>
    <s v="supplier@gmail.com"/>
  </r>
  <r>
    <x v="2226"/>
    <x v="2226"/>
    <x v="4"/>
    <x v="1"/>
    <x v="4"/>
    <x v="1"/>
    <x v="12"/>
    <x v="8"/>
    <x v="8"/>
    <x v="12"/>
    <x v="8"/>
    <x v="0"/>
    <x v="1"/>
    <x v="188"/>
    <s v="supplier@gmail.com"/>
  </r>
  <r>
    <x v="2227"/>
    <x v="2227"/>
    <x v="364"/>
    <x v="313"/>
    <x v="382"/>
    <x v="387"/>
    <x v="62"/>
    <x v="63"/>
    <x v="16"/>
    <x v="18"/>
    <x v="44"/>
    <x v="0"/>
    <x v="7"/>
    <x v="143"/>
    <s v="supplier@gmail.com"/>
  </r>
  <r>
    <x v="2228"/>
    <x v="2228"/>
    <x v="70"/>
    <x v="1"/>
    <x v="4"/>
    <x v="1"/>
    <x v="12"/>
    <x v="8"/>
    <x v="8"/>
    <x v="12"/>
    <x v="8"/>
    <x v="0"/>
    <x v="1"/>
    <x v="92"/>
    <s v="supplier@gmail.com"/>
  </r>
  <r>
    <x v="2229"/>
    <x v="2229"/>
    <x v="4"/>
    <x v="1"/>
    <x v="4"/>
    <x v="1"/>
    <x v="12"/>
    <x v="8"/>
    <x v="8"/>
    <x v="12"/>
    <x v="8"/>
    <x v="0"/>
    <x v="149"/>
    <x v="199"/>
    <s v="supplier@gmail.com"/>
  </r>
  <r>
    <x v="2230"/>
    <x v="2230"/>
    <x v="20"/>
    <x v="20"/>
    <x v="7"/>
    <x v="20"/>
    <x v="18"/>
    <x v="19"/>
    <x v="18"/>
    <x v="16"/>
    <x v="18"/>
    <x v="0"/>
    <x v="483"/>
    <x v="61"/>
    <s v="supplier@gmail.com"/>
  </r>
  <r>
    <x v="2231"/>
    <x v="2231"/>
    <x v="4"/>
    <x v="1"/>
    <x v="4"/>
    <x v="1"/>
    <x v="12"/>
    <x v="8"/>
    <x v="8"/>
    <x v="12"/>
    <x v="8"/>
    <x v="0"/>
    <x v="1"/>
    <x v="85"/>
    <s v="supplier@gmail.com"/>
  </r>
  <r>
    <x v="2232"/>
    <x v="2232"/>
    <x v="82"/>
    <x v="1"/>
    <x v="4"/>
    <x v="16"/>
    <x v="17"/>
    <x v="8"/>
    <x v="8"/>
    <x v="12"/>
    <x v="8"/>
    <x v="0"/>
    <x v="3"/>
    <x v="63"/>
    <s v="supplier@gmail.com"/>
  </r>
  <r>
    <x v="2233"/>
    <x v="2233"/>
    <x v="174"/>
    <x v="8"/>
    <x v="7"/>
    <x v="1"/>
    <x v="161"/>
    <x v="148"/>
    <x v="8"/>
    <x v="12"/>
    <x v="8"/>
    <x v="0"/>
    <x v="1"/>
    <x v="134"/>
    <s v="supplier@gmail.com"/>
  </r>
  <r>
    <x v="2234"/>
    <x v="2234"/>
    <x v="12"/>
    <x v="7"/>
    <x v="39"/>
    <x v="10"/>
    <x v="39"/>
    <x v="14"/>
    <x v="9"/>
    <x v="29"/>
    <x v="6"/>
    <x v="0"/>
    <x v="1"/>
    <x v="2"/>
    <s v="supplier@gmail.com"/>
  </r>
  <r>
    <x v="2235"/>
    <x v="2235"/>
    <x v="365"/>
    <x v="314"/>
    <x v="383"/>
    <x v="292"/>
    <x v="344"/>
    <x v="318"/>
    <x v="232"/>
    <x v="250"/>
    <x v="221"/>
    <x v="0"/>
    <x v="1"/>
    <x v="170"/>
    <s v="supplier@gmail.com"/>
  </r>
  <r>
    <x v="2236"/>
    <x v="2236"/>
    <x v="19"/>
    <x v="50"/>
    <x v="19"/>
    <x v="18"/>
    <x v="16"/>
    <x v="17"/>
    <x v="16"/>
    <x v="18"/>
    <x v="44"/>
    <x v="0"/>
    <x v="7"/>
    <x v="159"/>
    <s v="supplier@gmail.com"/>
  </r>
  <r>
    <x v="2237"/>
    <x v="2237"/>
    <x v="70"/>
    <x v="1"/>
    <x v="309"/>
    <x v="1"/>
    <x v="14"/>
    <x v="37"/>
    <x v="8"/>
    <x v="12"/>
    <x v="8"/>
    <x v="0"/>
    <x v="1"/>
    <x v="140"/>
    <s v="supplier@gmail.com"/>
  </r>
  <r>
    <x v="2238"/>
    <x v="2238"/>
    <x v="36"/>
    <x v="1"/>
    <x v="4"/>
    <x v="125"/>
    <x v="12"/>
    <x v="8"/>
    <x v="8"/>
    <x v="12"/>
    <x v="8"/>
    <x v="0"/>
    <x v="1"/>
    <x v="46"/>
    <s v="supplier@gmail.com"/>
  </r>
  <r>
    <x v="2239"/>
    <x v="2239"/>
    <x v="36"/>
    <x v="1"/>
    <x v="4"/>
    <x v="125"/>
    <x v="12"/>
    <x v="8"/>
    <x v="8"/>
    <x v="12"/>
    <x v="8"/>
    <x v="0"/>
    <x v="1"/>
    <x v="42"/>
    <s v="supplier@gmail.com"/>
  </r>
  <r>
    <x v="2240"/>
    <x v="2240"/>
    <x v="4"/>
    <x v="1"/>
    <x v="4"/>
    <x v="1"/>
    <x v="12"/>
    <x v="8"/>
    <x v="8"/>
    <x v="12"/>
    <x v="8"/>
    <x v="0"/>
    <x v="1"/>
    <x v="132"/>
    <s v="supplier@gmail.com"/>
  </r>
  <r>
    <x v="2241"/>
    <x v="2241"/>
    <x v="36"/>
    <x v="1"/>
    <x v="35"/>
    <x v="125"/>
    <x v="12"/>
    <x v="8"/>
    <x v="8"/>
    <x v="12"/>
    <x v="8"/>
    <x v="0"/>
    <x v="1"/>
    <x v="116"/>
    <s v="supplier@gmail.com"/>
  </r>
  <r>
    <x v="2242"/>
    <x v="2242"/>
    <x v="4"/>
    <x v="1"/>
    <x v="35"/>
    <x v="1"/>
    <x v="12"/>
    <x v="8"/>
    <x v="8"/>
    <x v="12"/>
    <x v="8"/>
    <x v="0"/>
    <x v="1"/>
    <x v="4"/>
    <s v="supplier@gmail.com"/>
  </r>
  <r>
    <x v="2243"/>
    <x v="2243"/>
    <x v="4"/>
    <x v="1"/>
    <x v="4"/>
    <x v="1"/>
    <x v="12"/>
    <x v="8"/>
    <x v="8"/>
    <x v="12"/>
    <x v="8"/>
    <x v="0"/>
    <x v="1"/>
    <x v="79"/>
    <s v="supplier@gmail.com"/>
  </r>
  <r>
    <x v="2244"/>
    <x v="2244"/>
    <x v="4"/>
    <x v="1"/>
    <x v="35"/>
    <x v="1"/>
    <x v="12"/>
    <x v="8"/>
    <x v="8"/>
    <x v="12"/>
    <x v="8"/>
    <x v="0"/>
    <x v="1"/>
    <x v="14"/>
    <s v="supplier@gmail.com"/>
  </r>
  <r>
    <x v="2245"/>
    <x v="2245"/>
    <x v="36"/>
    <x v="1"/>
    <x v="4"/>
    <x v="1"/>
    <x v="12"/>
    <x v="8"/>
    <x v="8"/>
    <x v="12"/>
    <x v="8"/>
    <x v="0"/>
    <x v="1"/>
    <x v="85"/>
    <s v="supplier@gmail.com"/>
  </r>
  <r>
    <x v="2246"/>
    <x v="2246"/>
    <x v="4"/>
    <x v="1"/>
    <x v="4"/>
    <x v="1"/>
    <x v="12"/>
    <x v="8"/>
    <x v="8"/>
    <x v="12"/>
    <x v="8"/>
    <x v="0"/>
    <x v="1"/>
    <x v="12"/>
    <s v="supplier@gmail.com"/>
  </r>
  <r>
    <x v="2247"/>
    <x v="2247"/>
    <x v="36"/>
    <x v="1"/>
    <x v="4"/>
    <x v="125"/>
    <x v="12"/>
    <x v="8"/>
    <x v="8"/>
    <x v="12"/>
    <x v="8"/>
    <x v="0"/>
    <x v="221"/>
    <x v="79"/>
    <s v="supplier@gmail.com"/>
  </r>
  <r>
    <x v="2248"/>
    <x v="2248"/>
    <x v="4"/>
    <x v="1"/>
    <x v="4"/>
    <x v="1"/>
    <x v="12"/>
    <x v="8"/>
    <x v="8"/>
    <x v="12"/>
    <x v="8"/>
    <x v="0"/>
    <x v="160"/>
    <x v="66"/>
    <s v="supplier@gmail.com"/>
  </r>
  <r>
    <x v="2249"/>
    <x v="2249"/>
    <x v="4"/>
    <x v="1"/>
    <x v="4"/>
    <x v="1"/>
    <x v="12"/>
    <x v="8"/>
    <x v="8"/>
    <x v="12"/>
    <x v="8"/>
    <x v="0"/>
    <x v="759"/>
    <x v="77"/>
    <s v="supplier@gmail.com"/>
  </r>
  <r>
    <x v="2250"/>
    <x v="2250"/>
    <x v="82"/>
    <x v="66"/>
    <x v="7"/>
    <x v="1"/>
    <x v="12"/>
    <x v="8"/>
    <x v="8"/>
    <x v="12"/>
    <x v="12"/>
    <x v="0"/>
    <x v="600"/>
    <x v="154"/>
    <s v="supplier@gmail.com"/>
  </r>
  <r>
    <x v="2251"/>
    <x v="2251"/>
    <x v="82"/>
    <x v="66"/>
    <x v="7"/>
    <x v="1"/>
    <x v="12"/>
    <x v="8"/>
    <x v="8"/>
    <x v="12"/>
    <x v="12"/>
    <x v="0"/>
    <x v="159"/>
    <x v="185"/>
    <s v="supplier@gmail.com"/>
  </r>
  <r>
    <x v="2252"/>
    <x v="2252"/>
    <x v="4"/>
    <x v="1"/>
    <x v="4"/>
    <x v="1"/>
    <x v="12"/>
    <x v="8"/>
    <x v="8"/>
    <x v="12"/>
    <x v="8"/>
    <x v="0"/>
    <x v="553"/>
    <x v="160"/>
    <s v="supplier@gmail.com"/>
  </r>
  <r>
    <x v="2253"/>
    <x v="2253"/>
    <x v="4"/>
    <x v="1"/>
    <x v="4"/>
    <x v="1"/>
    <x v="12"/>
    <x v="8"/>
    <x v="8"/>
    <x v="12"/>
    <x v="8"/>
    <x v="0"/>
    <x v="37"/>
    <x v="146"/>
    <s v="supplier@gmail.com"/>
  </r>
  <r>
    <x v="2254"/>
    <x v="2254"/>
    <x v="4"/>
    <x v="1"/>
    <x v="4"/>
    <x v="1"/>
    <x v="12"/>
    <x v="8"/>
    <x v="8"/>
    <x v="12"/>
    <x v="8"/>
    <x v="0"/>
    <x v="43"/>
    <x v="115"/>
    <s v="supplier@gmail.com"/>
  </r>
  <r>
    <x v="2255"/>
    <x v="2255"/>
    <x v="4"/>
    <x v="1"/>
    <x v="4"/>
    <x v="1"/>
    <x v="12"/>
    <x v="8"/>
    <x v="8"/>
    <x v="12"/>
    <x v="8"/>
    <x v="0"/>
    <x v="43"/>
    <x v="125"/>
    <s v="supplier@gmail.com"/>
  </r>
  <r>
    <x v="2256"/>
    <x v="2256"/>
    <x v="4"/>
    <x v="1"/>
    <x v="4"/>
    <x v="1"/>
    <x v="12"/>
    <x v="8"/>
    <x v="8"/>
    <x v="12"/>
    <x v="8"/>
    <x v="0"/>
    <x v="43"/>
    <x v="187"/>
    <s v="supplier@gmail.com"/>
  </r>
  <r>
    <x v="2257"/>
    <x v="2257"/>
    <x v="4"/>
    <x v="1"/>
    <x v="4"/>
    <x v="1"/>
    <x v="12"/>
    <x v="8"/>
    <x v="8"/>
    <x v="12"/>
    <x v="8"/>
    <x v="0"/>
    <x v="444"/>
    <x v="186"/>
    <s v="supplier@gmail.com"/>
  </r>
  <r>
    <x v="2258"/>
    <x v="2258"/>
    <x v="4"/>
    <x v="1"/>
    <x v="4"/>
    <x v="1"/>
    <x v="12"/>
    <x v="8"/>
    <x v="8"/>
    <x v="12"/>
    <x v="8"/>
    <x v="0"/>
    <x v="43"/>
    <x v="148"/>
    <s v="supplier@gmail.com"/>
  </r>
  <r>
    <x v="2259"/>
    <x v="2259"/>
    <x v="4"/>
    <x v="1"/>
    <x v="4"/>
    <x v="1"/>
    <x v="12"/>
    <x v="8"/>
    <x v="8"/>
    <x v="12"/>
    <x v="8"/>
    <x v="0"/>
    <x v="37"/>
    <x v="35"/>
    <s v="supplier@gmail.com"/>
  </r>
  <r>
    <x v="2260"/>
    <x v="2260"/>
    <x v="4"/>
    <x v="1"/>
    <x v="4"/>
    <x v="1"/>
    <x v="12"/>
    <x v="8"/>
    <x v="8"/>
    <x v="12"/>
    <x v="8"/>
    <x v="0"/>
    <x v="43"/>
    <x v="25"/>
    <s v="supplier@gmail.com"/>
  </r>
  <r>
    <x v="2261"/>
    <x v="2261"/>
    <x v="4"/>
    <x v="1"/>
    <x v="4"/>
    <x v="1"/>
    <x v="12"/>
    <x v="8"/>
    <x v="8"/>
    <x v="12"/>
    <x v="8"/>
    <x v="0"/>
    <x v="43"/>
    <x v="122"/>
    <s v="supplier@gmail.com"/>
  </r>
  <r>
    <x v="2262"/>
    <x v="2262"/>
    <x v="4"/>
    <x v="1"/>
    <x v="4"/>
    <x v="1"/>
    <x v="12"/>
    <x v="8"/>
    <x v="8"/>
    <x v="12"/>
    <x v="8"/>
    <x v="0"/>
    <x v="37"/>
    <x v="57"/>
    <s v="supplier@gmail.com"/>
  </r>
  <r>
    <x v="2263"/>
    <x v="2263"/>
    <x v="4"/>
    <x v="1"/>
    <x v="4"/>
    <x v="1"/>
    <x v="12"/>
    <x v="8"/>
    <x v="8"/>
    <x v="12"/>
    <x v="8"/>
    <x v="0"/>
    <x v="43"/>
    <x v="56"/>
    <s v="supplier@gmail.com"/>
  </r>
  <r>
    <x v="2264"/>
    <x v="2264"/>
    <x v="4"/>
    <x v="1"/>
    <x v="4"/>
    <x v="1"/>
    <x v="12"/>
    <x v="8"/>
    <x v="8"/>
    <x v="12"/>
    <x v="8"/>
    <x v="0"/>
    <x v="43"/>
    <x v="104"/>
    <s v="supplier@gmail.com"/>
  </r>
  <r>
    <x v="2265"/>
    <x v="2265"/>
    <x v="4"/>
    <x v="1"/>
    <x v="4"/>
    <x v="1"/>
    <x v="12"/>
    <x v="8"/>
    <x v="8"/>
    <x v="12"/>
    <x v="8"/>
    <x v="0"/>
    <x v="43"/>
    <x v="97"/>
    <s v="supplier@gmail.com"/>
  </r>
  <r>
    <x v="2266"/>
    <x v="2266"/>
    <x v="4"/>
    <x v="1"/>
    <x v="4"/>
    <x v="1"/>
    <x v="12"/>
    <x v="8"/>
    <x v="8"/>
    <x v="12"/>
    <x v="8"/>
    <x v="0"/>
    <x v="1"/>
    <x v="176"/>
    <s v="supplier@gmail.com"/>
  </r>
  <r>
    <x v="2267"/>
    <x v="2267"/>
    <x v="4"/>
    <x v="1"/>
    <x v="4"/>
    <x v="1"/>
    <x v="12"/>
    <x v="8"/>
    <x v="8"/>
    <x v="12"/>
    <x v="8"/>
    <x v="0"/>
    <x v="1"/>
    <x v="77"/>
    <s v="supplier@gmail.com"/>
  </r>
  <r>
    <x v="2268"/>
    <x v="2268"/>
    <x v="4"/>
    <x v="1"/>
    <x v="4"/>
    <x v="1"/>
    <x v="12"/>
    <x v="8"/>
    <x v="8"/>
    <x v="12"/>
    <x v="8"/>
    <x v="0"/>
    <x v="760"/>
    <x v="14"/>
    <s v="supplier@gmail.com"/>
  </r>
  <r>
    <x v="2269"/>
    <x v="2269"/>
    <x v="4"/>
    <x v="1"/>
    <x v="4"/>
    <x v="1"/>
    <x v="12"/>
    <x v="8"/>
    <x v="8"/>
    <x v="12"/>
    <x v="8"/>
    <x v="0"/>
    <x v="444"/>
    <x v="192"/>
    <s v="supplier@gmail.com"/>
  </r>
  <r>
    <x v="2270"/>
    <x v="2270"/>
    <x v="4"/>
    <x v="1"/>
    <x v="4"/>
    <x v="1"/>
    <x v="12"/>
    <x v="8"/>
    <x v="8"/>
    <x v="12"/>
    <x v="8"/>
    <x v="0"/>
    <x v="1"/>
    <x v="188"/>
    <s v="supplier@gmail.com"/>
  </r>
  <r>
    <x v="2271"/>
    <x v="2271"/>
    <x v="4"/>
    <x v="1"/>
    <x v="4"/>
    <x v="1"/>
    <x v="12"/>
    <x v="8"/>
    <x v="8"/>
    <x v="12"/>
    <x v="8"/>
    <x v="0"/>
    <x v="1"/>
    <x v="111"/>
    <s v="supplier@gmail.com"/>
  </r>
  <r>
    <x v="2272"/>
    <x v="2272"/>
    <x v="4"/>
    <x v="1"/>
    <x v="4"/>
    <x v="1"/>
    <x v="12"/>
    <x v="8"/>
    <x v="8"/>
    <x v="12"/>
    <x v="8"/>
    <x v="0"/>
    <x v="1"/>
    <x v="56"/>
    <s v="supplier@gmail.com"/>
  </r>
  <r>
    <x v="2273"/>
    <x v="2273"/>
    <x v="4"/>
    <x v="1"/>
    <x v="4"/>
    <x v="1"/>
    <x v="12"/>
    <x v="8"/>
    <x v="8"/>
    <x v="12"/>
    <x v="8"/>
    <x v="0"/>
    <x v="84"/>
    <x v="47"/>
    <s v="supplier@gmail.com"/>
  </r>
  <r>
    <x v="2274"/>
    <x v="2274"/>
    <x v="4"/>
    <x v="1"/>
    <x v="4"/>
    <x v="1"/>
    <x v="12"/>
    <x v="8"/>
    <x v="8"/>
    <x v="12"/>
    <x v="8"/>
    <x v="0"/>
    <x v="84"/>
    <x v="104"/>
    <s v="supplier@gmail.com"/>
  </r>
  <r>
    <x v="2275"/>
    <x v="2275"/>
    <x v="4"/>
    <x v="1"/>
    <x v="4"/>
    <x v="1"/>
    <x v="12"/>
    <x v="8"/>
    <x v="8"/>
    <x v="12"/>
    <x v="8"/>
    <x v="0"/>
    <x v="761"/>
    <x v="113"/>
    <s v="supplier@gmail.com"/>
  </r>
  <r>
    <x v="2276"/>
    <x v="2276"/>
    <x v="70"/>
    <x v="1"/>
    <x v="75"/>
    <x v="73"/>
    <x v="12"/>
    <x v="70"/>
    <x v="10"/>
    <x v="26"/>
    <x v="9"/>
    <x v="0"/>
    <x v="762"/>
    <x v="15"/>
    <s v="supplier@gmail.com"/>
  </r>
  <r>
    <x v="2277"/>
    <x v="2277"/>
    <x v="4"/>
    <x v="1"/>
    <x v="4"/>
    <x v="1"/>
    <x v="12"/>
    <x v="8"/>
    <x v="8"/>
    <x v="12"/>
    <x v="8"/>
    <x v="0"/>
    <x v="294"/>
    <x v="128"/>
    <s v="supplier@gmail.com"/>
  </r>
  <r>
    <x v="2278"/>
    <x v="2278"/>
    <x v="31"/>
    <x v="19"/>
    <x v="28"/>
    <x v="87"/>
    <x v="35"/>
    <x v="122"/>
    <x v="217"/>
    <x v="28"/>
    <x v="97"/>
    <x v="0"/>
    <x v="763"/>
    <x v="64"/>
    <s v="supplier@gmail.com"/>
  </r>
  <r>
    <x v="2279"/>
    <x v="2279"/>
    <x v="32"/>
    <x v="32"/>
    <x v="30"/>
    <x v="98"/>
    <x v="97"/>
    <x v="10"/>
    <x v="24"/>
    <x v="29"/>
    <x v="18"/>
    <x v="0"/>
    <x v="764"/>
    <x v="67"/>
    <s v="supplier@gmail.com"/>
  </r>
  <r>
    <x v="2280"/>
    <x v="2280"/>
    <x v="49"/>
    <x v="1"/>
    <x v="261"/>
    <x v="31"/>
    <x v="38"/>
    <x v="90"/>
    <x v="27"/>
    <x v="16"/>
    <x v="8"/>
    <x v="0"/>
    <x v="744"/>
    <x v="32"/>
    <s v="supplier@gmail.com"/>
  </r>
  <r>
    <x v="2281"/>
    <x v="2281"/>
    <x v="4"/>
    <x v="1"/>
    <x v="4"/>
    <x v="1"/>
    <x v="12"/>
    <x v="8"/>
    <x v="8"/>
    <x v="12"/>
    <x v="8"/>
    <x v="0"/>
    <x v="765"/>
    <x v="39"/>
    <s v="supplier@gmail.com"/>
  </r>
  <r>
    <x v="2282"/>
    <x v="2282"/>
    <x v="4"/>
    <x v="1"/>
    <x v="4"/>
    <x v="1"/>
    <x v="12"/>
    <x v="8"/>
    <x v="8"/>
    <x v="12"/>
    <x v="8"/>
    <x v="0"/>
    <x v="628"/>
    <x v="169"/>
    <s v="supplier@gmail.com"/>
  </r>
  <r>
    <x v="2283"/>
    <x v="2283"/>
    <x v="4"/>
    <x v="1"/>
    <x v="4"/>
    <x v="1"/>
    <x v="12"/>
    <x v="8"/>
    <x v="8"/>
    <x v="12"/>
    <x v="8"/>
    <x v="0"/>
    <x v="1"/>
    <x v="52"/>
    <s v="supplier@gmail.com"/>
  </r>
  <r>
    <x v="2284"/>
    <x v="2284"/>
    <x v="4"/>
    <x v="1"/>
    <x v="4"/>
    <x v="1"/>
    <x v="12"/>
    <x v="8"/>
    <x v="8"/>
    <x v="12"/>
    <x v="8"/>
    <x v="0"/>
    <x v="1"/>
    <x v="49"/>
    <s v="supplier@gmail.com"/>
  </r>
  <r>
    <x v="2285"/>
    <x v="2285"/>
    <x v="117"/>
    <x v="104"/>
    <x v="116"/>
    <x v="118"/>
    <x v="94"/>
    <x v="112"/>
    <x v="100"/>
    <x v="105"/>
    <x v="96"/>
    <x v="0"/>
    <x v="766"/>
    <x v="0"/>
    <s v="supplier@gmail.com"/>
  </r>
  <r>
    <x v="2286"/>
    <x v="2286"/>
    <x v="4"/>
    <x v="1"/>
    <x v="4"/>
    <x v="1"/>
    <x v="12"/>
    <x v="8"/>
    <x v="8"/>
    <x v="12"/>
    <x v="8"/>
    <x v="0"/>
    <x v="1"/>
    <x v="102"/>
    <s v="supplier@gmail.com"/>
  </r>
  <r>
    <x v="2287"/>
    <x v="2287"/>
    <x v="4"/>
    <x v="1"/>
    <x v="4"/>
    <x v="80"/>
    <x v="12"/>
    <x v="8"/>
    <x v="62"/>
    <x v="12"/>
    <x v="8"/>
    <x v="0"/>
    <x v="767"/>
    <x v="77"/>
    <s v="supplier@gmail.com"/>
  </r>
  <r>
    <x v="2288"/>
    <x v="2288"/>
    <x v="366"/>
    <x v="315"/>
    <x v="378"/>
    <x v="388"/>
    <x v="345"/>
    <x v="319"/>
    <x v="307"/>
    <x v="308"/>
    <x v="296"/>
    <x v="0"/>
    <x v="768"/>
    <x v="91"/>
    <s v="supplier@gmail.com"/>
  </r>
  <r>
    <x v="2289"/>
    <x v="2289"/>
    <x v="4"/>
    <x v="1"/>
    <x v="4"/>
    <x v="1"/>
    <x v="12"/>
    <x v="8"/>
    <x v="8"/>
    <x v="12"/>
    <x v="8"/>
    <x v="0"/>
    <x v="1"/>
    <x v="178"/>
    <s v="supplier@gmail.com"/>
  </r>
  <r>
    <x v="2290"/>
    <x v="2290"/>
    <x v="367"/>
    <x v="316"/>
    <x v="384"/>
    <x v="1"/>
    <x v="12"/>
    <x v="8"/>
    <x v="149"/>
    <x v="12"/>
    <x v="297"/>
    <x v="0"/>
    <x v="51"/>
    <x v="178"/>
    <s v="supplier@gmail.com"/>
  </r>
  <r>
    <x v="2291"/>
    <x v="2291"/>
    <x v="0"/>
    <x v="317"/>
    <x v="385"/>
    <x v="368"/>
    <x v="346"/>
    <x v="320"/>
    <x v="202"/>
    <x v="309"/>
    <x v="298"/>
    <x v="0"/>
    <x v="1"/>
    <x v="58"/>
    <s v="supplier@gmail.com"/>
  </r>
  <r>
    <x v="2292"/>
    <x v="2292"/>
    <x v="4"/>
    <x v="1"/>
    <x v="4"/>
    <x v="1"/>
    <x v="12"/>
    <x v="8"/>
    <x v="8"/>
    <x v="12"/>
    <x v="8"/>
    <x v="0"/>
    <x v="1"/>
    <x v="86"/>
    <s v="supplier@gmail.com"/>
  </r>
  <r>
    <x v="2293"/>
    <x v="2293"/>
    <x v="4"/>
    <x v="1"/>
    <x v="4"/>
    <x v="1"/>
    <x v="12"/>
    <x v="8"/>
    <x v="8"/>
    <x v="12"/>
    <x v="8"/>
    <x v="0"/>
    <x v="226"/>
    <x v="21"/>
    <s v="supplier@gmail.com"/>
  </r>
  <r>
    <x v="2294"/>
    <x v="2294"/>
    <x v="4"/>
    <x v="1"/>
    <x v="4"/>
    <x v="1"/>
    <x v="12"/>
    <x v="8"/>
    <x v="8"/>
    <x v="12"/>
    <x v="8"/>
    <x v="0"/>
    <x v="1"/>
    <x v="30"/>
    <s v="supplier@gmail.com"/>
  </r>
  <r>
    <x v="2295"/>
    <x v="2295"/>
    <x v="4"/>
    <x v="1"/>
    <x v="4"/>
    <x v="1"/>
    <x v="12"/>
    <x v="8"/>
    <x v="8"/>
    <x v="12"/>
    <x v="8"/>
    <x v="0"/>
    <x v="1"/>
    <x v="14"/>
    <s v="supplier@gmail.com"/>
  </r>
  <r>
    <x v="2296"/>
    <x v="2296"/>
    <x v="368"/>
    <x v="318"/>
    <x v="386"/>
    <x v="389"/>
    <x v="347"/>
    <x v="321"/>
    <x v="308"/>
    <x v="310"/>
    <x v="299"/>
    <x v="0"/>
    <x v="1"/>
    <x v="155"/>
    <s v="supplier@gmail.com"/>
  </r>
  <r>
    <x v="2297"/>
    <x v="2297"/>
    <x v="4"/>
    <x v="1"/>
    <x v="4"/>
    <x v="1"/>
    <x v="12"/>
    <x v="8"/>
    <x v="8"/>
    <x v="12"/>
    <x v="8"/>
    <x v="0"/>
    <x v="750"/>
    <x v="150"/>
    <s v="supplier@gmail.com"/>
  </r>
  <r>
    <x v="2298"/>
    <x v="2298"/>
    <x v="4"/>
    <x v="1"/>
    <x v="4"/>
    <x v="1"/>
    <x v="12"/>
    <x v="8"/>
    <x v="8"/>
    <x v="12"/>
    <x v="8"/>
    <x v="0"/>
    <x v="167"/>
    <x v="103"/>
    <s v="supplier@gmail.com"/>
  </r>
  <r>
    <x v="2299"/>
    <x v="2299"/>
    <x v="4"/>
    <x v="1"/>
    <x v="4"/>
    <x v="1"/>
    <x v="12"/>
    <x v="8"/>
    <x v="8"/>
    <x v="12"/>
    <x v="8"/>
    <x v="0"/>
    <x v="4"/>
    <x v="142"/>
    <s v="supplier@gmail.com"/>
  </r>
  <r>
    <x v="2300"/>
    <x v="2300"/>
    <x v="4"/>
    <x v="1"/>
    <x v="4"/>
    <x v="1"/>
    <x v="12"/>
    <x v="8"/>
    <x v="8"/>
    <x v="12"/>
    <x v="8"/>
    <x v="0"/>
    <x v="338"/>
    <x v="7"/>
    <s v="supplier@gmail.com"/>
  </r>
  <r>
    <x v="2301"/>
    <x v="2301"/>
    <x v="42"/>
    <x v="62"/>
    <x v="39"/>
    <x v="63"/>
    <x v="14"/>
    <x v="90"/>
    <x v="47"/>
    <x v="34"/>
    <x v="68"/>
    <x v="0"/>
    <x v="7"/>
    <x v="36"/>
    <s v="supplier@gmail.com"/>
  </r>
  <r>
    <x v="2302"/>
    <x v="2302"/>
    <x v="4"/>
    <x v="1"/>
    <x v="4"/>
    <x v="1"/>
    <x v="12"/>
    <x v="8"/>
    <x v="8"/>
    <x v="12"/>
    <x v="8"/>
    <x v="0"/>
    <x v="769"/>
    <x v="171"/>
    <s v="supplier@gmail.com"/>
  </r>
  <r>
    <x v="2303"/>
    <x v="2303"/>
    <x v="4"/>
    <x v="1"/>
    <x v="4"/>
    <x v="26"/>
    <x v="29"/>
    <x v="3"/>
    <x v="8"/>
    <x v="12"/>
    <x v="29"/>
    <x v="0"/>
    <x v="546"/>
    <x v="24"/>
    <s v="supplier@gmail.com"/>
  </r>
  <r>
    <x v="2304"/>
    <x v="2304"/>
    <x v="36"/>
    <x v="1"/>
    <x v="42"/>
    <x v="15"/>
    <x v="49"/>
    <x v="8"/>
    <x v="0"/>
    <x v="43"/>
    <x v="8"/>
    <x v="0"/>
    <x v="377"/>
    <x v="3"/>
    <s v="supplier@gmail.com"/>
  </r>
  <r>
    <x v="2305"/>
    <x v="2305"/>
    <x v="144"/>
    <x v="36"/>
    <x v="0"/>
    <x v="19"/>
    <x v="23"/>
    <x v="70"/>
    <x v="0"/>
    <x v="68"/>
    <x v="17"/>
    <x v="0"/>
    <x v="576"/>
    <x v="146"/>
    <s v="supplier@gmail.com"/>
  </r>
  <r>
    <x v="2306"/>
    <x v="2306"/>
    <x v="31"/>
    <x v="110"/>
    <x v="36"/>
    <x v="87"/>
    <x v="26"/>
    <x v="85"/>
    <x v="17"/>
    <x v="32"/>
    <x v="26"/>
    <x v="0"/>
    <x v="770"/>
    <x v="109"/>
    <s v="supplier@gmail.com"/>
  </r>
  <r>
    <x v="2307"/>
    <x v="2307"/>
    <x v="369"/>
    <x v="1"/>
    <x v="387"/>
    <x v="159"/>
    <x v="49"/>
    <x v="8"/>
    <x v="0"/>
    <x v="68"/>
    <x v="8"/>
    <x v="0"/>
    <x v="771"/>
    <x v="124"/>
    <s v="supplier@gmail.com"/>
  </r>
  <r>
    <x v="2308"/>
    <x v="2308"/>
    <x v="369"/>
    <x v="1"/>
    <x v="387"/>
    <x v="159"/>
    <x v="49"/>
    <x v="8"/>
    <x v="0"/>
    <x v="68"/>
    <x v="8"/>
    <x v="0"/>
    <x v="772"/>
    <x v="121"/>
    <s v="supplier@gmail.com"/>
  </r>
  <r>
    <x v="2309"/>
    <x v="2309"/>
    <x v="369"/>
    <x v="1"/>
    <x v="388"/>
    <x v="159"/>
    <x v="49"/>
    <x v="8"/>
    <x v="0"/>
    <x v="68"/>
    <x v="8"/>
    <x v="0"/>
    <x v="3"/>
    <x v="168"/>
    <s v="supplier@gmail.com"/>
  </r>
  <r>
    <x v="2310"/>
    <x v="2310"/>
    <x v="110"/>
    <x v="1"/>
    <x v="10"/>
    <x v="8"/>
    <x v="12"/>
    <x v="8"/>
    <x v="8"/>
    <x v="12"/>
    <x v="8"/>
    <x v="0"/>
    <x v="1"/>
    <x v="120"/>
    <s v="supplier@gmail.com"/>
  </r>
  <r>
    <x v="2311"/>
    <x v="2311"/>
    <x v="4"/>
    <x v="1"/>
    <x v="4"/>
    <x v="1"/>
    <x v="12"/>
    <x v="8"/>
    <x v="8"/>
    <x v="12"/>
    <x v="8"/>
    <x v="0"/>
    <x v="1"/>
    <x v="198"/>
    <s v="supplier@gmail.com"/>
  </r>
  <r>
    <x v="2312"/>
    <x v="2312"/>
    <x v="4"/>
    <x v="1"/>
    <x v="4"/>
    <x v="1"/>
    <x v="12"/>
    <x v="8"/>
    <x v="8"/>
    <x v="12"/>
    <x v="8"/>
    <x v="0"/>
    <x v="38"/>
    <x v="175"/>
    <s v="supplier@gmail.com"/>
  </r>
  <r>
    <x v="2313"/>
    <x v="2313"/>
    <x v="4"/>
    <x v="1"/>
    <x v="4"/>
    <x v="1"/>
    <x v="12"/>
    <x v="8"/>
    <x v="8"/>
    <x v="12"/>
    <x v="8"/>
    <x v="0"/>
    <x v="39"/>
    <x v="179"/>
    <s v="supplier@gmail.com"/>
  </r>
  <r>
    <x v="2314"/>
    <x v="2314"/>
    <x v="4"/>
    <x v="1"/>
    <x v="15"/>
    <x v="1"/>
    <x v="12"/>
    <x v="8"/>
    <x v="8"/>
    <x v="19"/>
    <x v="8"/>
    <x v="0"/>
    <x v="1"/>
    <x v="190"/>
    <s v="supplier@gmail.com"/>
  </r>
  <r>
    <x v="2315"/>
    <x v="2315"/>
    <x v="4"/>
    <x v="1"/>
    <x v="4"/>
    <x v="1"/>
    <x v="12"/>
    <x v="8"/>
    <x v="8"/>
    <x v="12"/>
    <x v="8"/>
    <x v="0"/>
    <x v="51"/>
    <x v="87"/>
    <s v="supplier@gmail.com"/>
  </r>
  <r>
    <x v="2316"/>
    <x v="2316"/>
    <x v="4"/>
    <x v="1"/>
    <x v="4"/>
    <x v="73"/>
    <x v="12"/>
    <x v="8"/>
    <x v="8"/>
    <x v="12"/>
    <x v="8"/>
    <x v="0"/>
    <x v="1"/>
    <x v="44"/>
    <s v="supplier@gmail.com"/>
  </r>
  <r>
    <x v="2317"/>
    <x v="2317"/>
    <x v="4"/>
    <x v="1"/>
    <x v="4"/>
    <x v="1"/>
    <x v="12"/>
    <x v="8"/>
    <x v="8"/>
    <x v="0"/>
    <x v="8"/>
    <x v="0"/>
    <x v="36"/>
    <x v="154"/>
    <s v="supplier@gmail.com"/>
  </r>
  <r>
    <x v="2318"/>
    <x v="2318"/>
    <x v="4"/>
    <x v="1"/>
    <x v="4"/>
    <x v="125"/>
    <x v="12"/>
    <x v="8"/>
    <x v="8"/>
    <x v="12"/>
    <x v="8"/>
    <x v="0"/>
    <x v="154"/>
    <x v="126"/>
    <s v="supplier@gmail.com"/>
  </r>
  <r>
    <x v="2319"/>
    <x v="2319"/>
    <x v="28"/>
    <x v="7"/>
    <x v="10"/>
    <x v="307"/>
    <x v="6"/>
    <x v="37"/>
    <x v="11"/>
    <x v="6"/>
    <x v="12"/>
    <x v="0"/>
    <x v="102"/>
    <x v="158"/>
    <s v="supplier@gmail.com"/>
  </r>
  <r>
    <x v="2320"/>
    <x v="2320"/>
    <x v="4"/>
    <x v="1"/>
    <x v="4"/>
    <x v="1"/>
    <x v="12"/>
    <x v="8"/>
    <x v="8"/>
    <x v="12"/>
    <x v="8"/>
    <x v="0"/>
    <x v="506"/>
    <x v="37"/>
    <s v="supplier@gmail.com"/>
  </r>
  <r>
    <x v="2321"/>
    <x v="2321"/>
    <x v="4"/>
    <x v="0"/>
    <x v="0"/>
    <x v="0"/>
    <x v="33"/>
    <x v="0"/>
    <x v="17"/>
    <x v="0"/>
    <x v="121"/>
    <x v="0"/>
    <x v="554"/>
    <x v="184"/>
    <s v="supplier@gmail.com"/>
  </r>
  <r>
    <x v="2322"/>
    <x v="2322"/>
    <x v="4"/>
    <x v="1"/>
    <x v="4"/>
    <x v="1"/>
    <x v="12"/>
    <x v="8"/>
    <x v="8"/>
    <x v="12"/>
    <x v="8"/>
    <x v="0"/>
    <x v="773"/>
    <x v="197"/>
    <s v="supplier@gmail.com"/>
  </r>
  <r>
    <x v="2323"/>
    <x v="2323"/>
    <x v="82"/>
    <x v="16"/>
    <x v="5"/>
    <x v="16"/>
    <x v="17"/>
    <x v="85"/>
    <x v="34"/>
    <x v="43"/>
    <x v="74"/>
    <x v="0"/>
    <x v="1"/>
    <x v="4"/>
    <s v="supplier@gmail.com"/>
  </r>
  <r>
    <x v="2324"/>
    <x v="2324"/>
    <x v="4"/>
    <x v="1"/>
    <x v="4"/>
    <x v="1"/>
    <x v="12"/>
    <x v="8"/>
    <x v="8"/>
    <x v="12"/>
    <x v="8"/>
    <x v="0"/>
    <x v="142"/>
    <x v="164"/>
    <s v="supplier@gmail.com"/>
  </r>
  <r>
    <x v="2325"/>
    <x v="2325"/>
    <x v="17"/>
    <x v="89"/>
    <x v="42"/>
    <x v="101"/>
    <x v="26"/>
    <x v="38"/>
    <x v="34"/>
    <x v="90"/>
    <x v="27"/>
    <x v="0"/>
    <x v="36"/>
    <x v="148"/>
    <s v="supplier@gmail.com"/>
  </r>
  <r>
    <x v="2326"/>
    <x v="2326"/>
    <x v="326"/>
    <x v="319"/>
    <x v="389"/>
    <x v="390"/>
    <x v="137"/>
    <x v="322"/>
    <x v="309"/>
    <x v="311"/>
    <x v="215"/>
    <x v="0"/>
    <x v="774"/>
    <x v="11"/>
    <s v="supplier@gmail.com"/>
  </r>
  <r>
    <x v="2327"/>
    <x v="2327"/>
    <x v="36"/>
    <x v="1"/>
    <x v="35"/>
    <x v="0"/>
    <x v="23"/>
    <x v="8"/>
    <x v="8"/>
    <x v="42"/>
    <x v="8"/>
    <x v="0"/>
    <x v="1"/>
    <x v="111"/>
    <s v="supplier@gmail.com"/>
  </r>
  <r>
    <x v="2328"/>
    <x v="2328"/>
    <x v="0"/>
    <x v="1"/>
    <x v="0"/>
    <x v="125"/>
    <x v="49"/>
    <x v="8"/>
    <x v="8"/>
    <x v="12"/>
    <x v="31"/>
    <x v="0"/>
    <x v="1"/>
    <x v="131"/>
    <s v="supplier@gmail.com"/>
  </r>
  <r>
    <x v="2329"/>
    <x v="2329"/>
    <x v="4"/>
    <x v="1"/>
    <x v="4"/>
    <x v="1"/>
    <x v="12"/>
    <x v="8"/>
    <x v="8"/>
    <x v="12"/>
    <x v="8"/>
    <x v="0"/>
    <x v="18"/>
    <x v="50"/>
    <s v="supplier@gmail.com"/>
  </r>
  <r>
    <x v="2330"/>
    <x v="2330"/>
    <x v="4"/>
    <x v="1"/>
    <x v="4"/>
    <x v="1"/>
    <x v="12"/>
    <x v="8"/>
    <x v="8"/>
    <x v="12"/>
    <x v="8"/>
    <x v="0"/>
    <x v="775"/>
    <x v="171"/>
    <s v="supplier@gmail.com"/>
  </r>
  <r>
    <x v="2331"/>
    <x v="2331"/>
    <x v="4"/>
    <x v="320"/>
    <x v="4"/>
    <x v="1"/>
    <x v="12"/>
    <x v="8"/>
    <x v="8"/>
    <x v="12"/>
    <x v="8"/>
    <x v="0"/>
    <x v="226"/>
    <x v="165"/>
    <s v="supplier@gmail.com"/>
  </r>
  <r>
    <x v="2332"/>
    <x v="2332"/>
    <x v="144"/>
    <x v="1"/>
    <x v="4"/>
    <x v="391"/>
    <x v="12"/>
    <x v="8"/>
    <x v="310"/>
    <x v="12"/>
    <x v="8"/>
    <x v="0"/>
    <x v="1"/>
    <x v="48"/>
    <s v="supplier@gmail.com"/>
  </r>
  <r>
    <x v="2333"/>
    <x v="2333"/>
    <x v="4"/>
    <x v="1"/>
    <x v="390"/>
    <x v="1"/>
    <x v="12"/>
    <x v="323"/>
    <x v="8"/>
    <x v="12"/>
    <x v="8"/>
    <x v="0"/>
    <x v="1"/>
    <x v="137"/>
    <s v="supplier@gmail.com"/>
  </r>
  <r>
    <x v="2334"/>
    <x v="2334"/>
    <x v="4"/>
    <x v="1"/>
    <x v="4"/>
    <x v="1"/>
    <x v="12"/>
    <x v="8"/>
    <x v="8"/>
    <x v="12"/>
    <x v="8"/>
    <x v="0"/>
    <x v="1"/>
    <x v="12"/>
    <s v="supplier@gmail.com"/>
  </r>
  <r>
    <x v="2335"/>
    <x v="2335"/>
    <x v="4"/>
    <x v="1"/>
    <x v="4"/>
    <x v="1"/>
    <x v="12"/>
    <x v="8"/>
    <x v="8"/>
    <x v="12"/>
    <x v="8"/>
    <x v="0"/>
    <x v="1"/>
    <x v="94"/>
    <s v="supplier@gmail.com"/>
  </r>
  <r>
    <x v="2336"/>
    <x v="2336"/>
    <x v="4"/>
    <x v="1"/>
    <x v="4"/>
    <x v="1"/>
    <x v="12"/>
    <x v="8"/>
    <x v="8"/>
    <x v="12"/>
    <x v="8"/>
    <x v="0"/>
    <x v="102"/>
    <x v="160"/>
    <s v="supplier@gmail.com"/>
  </r>
  <r>
    <x v="2337"/>
    <x v="2337"/>
    <x v="4"/>
    <x v="1"/>
    <x v="4"/>
    <x v="1"/>
    <x v="12"/>
    <x v="8"/>
    <x v="8"/>
    <x v="12"/>
    <x v="8"/>
    <x v="0"/>
    <x v="375"/>
    <x v="171"/>
    <s v="supplier@gmail.com"/>
  </r>
  <r>
    <x v="2338"/>
    <x v="2338"/>
    <x v="370"/>
    <x v="321"/>
    <x v="391"/>
    <x v="392"/>
    <x v="348"/>
    <x v="324"/>
    <x v="311"/>
    <x v="312"/>
    <x v="300"/>
    <x v="0"/>
    <x v="375"/>
    <x v="161"/>
    <s v="supplier@gmail.com"/>
  </r>
  <r>
    <x v="2339"/>
    <x v="2339"/>
    <x v="4"/>
    <x v="1"/>
    <x v="4"/>
    <x v="1"/>
    <x v="12"/>
    <x v="8"/>
    <x v="8"/>
    <x v="12"/>
    <x v="8"/>
    <x v="0"/>
    <x v="226"/>
    <x v="4"/>
    <s v="supplier@gmail.com"/>
  </r>
  <r>
    <x v="2340"/>
    <x v="2340"/>
    <x v="0"/>
    <x v="1"/>
    <x v="4"/>
    <x v="1"/>
    <x v="0"/>
    <x v="8"/>
    <x v="8"/>
    <x v="12"/>
    <x v="8"/>
    <x v="0"/>
    <x v="226"/>
    <x v="189"/>
    <s v="supplier@gmail.com"/>
  </r>
  <r>
    <x v="2341"/>
    <x v="2341"/>
    <x v="4"/>
    <x v="1"/>
    <x v="4"/>
    <x v="1"/>
    <x v="12"/>
    <x v="8"/>
    <x v="8"/>
    <x v="12"/>
    <x v="8"/>
    <x v="0"/>
    <x v="51"/>
    <x v="9"/>
    <s v="supplier@gmail.com"/>
  </r>
  <r>
    <x v="2342"/>
    <x v="2342"/>
    <x v="36"/>
    <x v="1"/>
    <x v="4"/>
    <x v="1"/>
    <x v="12"/>
    <x v="8"/>
    <x v="8"/>
    <x v="12"/>
    <x v="8"/>
    <x v="0"/>
    <x v="1"/>
    <x v="79"/>
    <s v="supplier@gmail.com"/>
  </r>
  <r>
    <x v="2343"/>
    <x v="2343"/>
    <x v="49"/>
    <x v="36"/>
    <x v="15"/>
    <x v="15"/>
    <x v="49"/>
    <x v="16"/>
    <x v="0"/>
    <x v="0"/>
    <x v="0"/>
    <x v="0"/>
    <x v="39"/>
    <x v="37"/>
    <s v="supplier@gmail.com"/>
  </r>
  <r>
    <x v="2344"/>
    <x v="2344"/>
    <x v="36"/>
    <x v="125"/>
    <x v="35"/>
    <x v="125"/>
    <x v="23"/>
    <x v="70"/>
    <x v="25"/>
    <x v="42"/>
    <x v="31"/>
    <x v="0"/>
    <x v="187"/>
    <x v="57"/>
    <s v="supplier@gmail.com"/>
  </r>
  <r>
    <x v="2345"/>
    <x v="2345"/>
    <x v="371"/>
    <x v="93"/>
    <x v="171"/>
    <x v="393"/>
    <x v="349"/>
    <x v="221"/>
    <x v="227"/>
    <x v="313"/>
    <x v="216"/>
    <x v="0"/>
    <x v="220"/>
    <x v="118"/>
    <s v="supplier@gmail.com"/>
  </r>
  <r>
    <x v="2346"/>
    <x v="2346"/>
    <x v="372"/>
    <x v="322"/>
    <x v="392"/>
    <x v="394"/>
    <x v="350"/>
    <x v="325"/>
    <x v="312"/>
    <x v="314"/>
    <x v="301"/>
    <x v="0"/>
    <x v="1"/>
    <x v="187"/>
    <s v="supplier@gmail.com"/>
  </r>
  <r>
    <x v="2347"/>
    <x v="2347"/>
    <x v="373"/>
    <x v="323"/>
    <x v="393"/>
    <x v="395"/>
    <x v="351"/>
    <x v="326"/>
    <x v="313"/>
    <x v="315"/>
    <x v="302"/>
    <x v="0"/>
    <x v="39"/>
    <x v="121"/>
    <s v="supplier@gmail.com"/>
  </r>
  <r>
    <x v="2348"/>
    <x v="2348"/>
    <x v="4"/>
    <x v="1"/>
    <x v="4"/>
    <x v="1"/>
    <x v="12"/>
    <x v="8"/>
    <x v="8"/>
    <x v="12"/>
    <x v="8"/>
    <x v="0"/>
    <x v="145"/>
    <x v="77"/>
    <s v="supplier@gmail.com"/>
  </r>
  <r>
    <x v="2349"/>
    <x v="2349"/>
    <x v="34"/>
    <x v="96"/>
    <x v="394"/>
    <x v="396"/>
    <x v="138"/>
    <x v="33"/>
    <x v="18"/>
    <x v="26"/>
    <x v="18"/>
    <x v="0"/>
    <x v="256"/>
    <x v="134"/>
    <s v="supplier@gmail.com"/>
  </r>
  <r>
    <x v="2350"/>
    <x v="2350"/>
    <x v="4"/>
    <x v="1"/>
    <x v="4"/>
    <x v="1"/>
    <x v="12"/>
    <x v="8"/>
    <x v="8"/>
    <x v="12"/>
    <x v="8"/>
    <x v="0"/>
    <x v="668"/>
    <x v="131"/>
    <s v="supplier@gmail.com"/>
  </r>
  <r>
    <x v="2351"/>
    <x v="2351"/>
    <x v="4"/>
    <x v="1"/>
    <x v="4"/>
    <x v="41"/>
    <x v="12"/>
    <x v="8"/>
    <x v="8"/>
    <x v="36"/>
    <x v="8"/>
    <x v="0"/>
    <x v="1"/>
    <x v="3"/>
    <s v="supplier@gmail.com"/>
  </r>
  <r>
    <x v="2352"/>
    <x v="2352"/>
    <x v="374"/>
    <x v="1"/>
    <x v="6"/>
    <x v="1"/>
    <x v="12"/>
    <x v="8"/>
    <x v="314"/>
    <x v="12"/>
    <x v="8"/>
    <x v="0"/>
    <x v="1"/>
    <x v="112"/>
    <s v="supplier@gmail.com"/>
  </r>
  <r>
    <x v="2353"/>
    <x v="2353"/>
    <x v="126"/>
    <x v="37"/>
    <x v="309"/>
    <x v="34"/>
    <x v="43"/>
    <x v="8"/>
    <x v="8"/>
    <x v="316"/>
    <x v="8"/>
    <x v="0"/>
    <x v="1"/>
    <x v="77"/>
    <s v="supplier@gmail.com"/>
  </r>
  <r>
    <x v="2354"/>
    <x v="2354"/>
    <x v="4"/>
    <x v="1"/>
    <x v="8"/>
    <x v="1"/>
    <x v="13"/>
    <x v="10"/>
    <x v="8"/>
    <x v="12"/>
    <x v="8"/>
    <x v="0"/>
    <x v="1"/>
    <x v="7"/>
    <s v="supplier@gmail.com"/>
  </r>
  <r>
    <x v="2355"/>
    <x v="2355"/>
    <x v="4"/>
    <x v="1"/>
    <x v="8"/>
    <x v="1"/>
    <x v="13"/>
    <x v="10"/>
    <x v="8"/>
    <x v="12"/>
    <x v="8"/>
    <x v="0"/>
    <x v="1"/>
    <x v="20"/>
    <s v="supplier@gmail.com"/>
  </r>
  <r>
    <x v="2356"/>
    <x v="2356"/>
    <x v="4"/>
    <x v="1"/>
    <x v="4"/>
    <x v="23"/>
    <x v="12"/>
    <x v="8"/>
    <x v="21"/>
    <x v="12"/>
    <x v="8"/>
    <x v="0"/>
    <x v="1"/>
    <x v="185"/>
    <s v="supplier@gmail.com"/>
  </r>
  <r>
    <x v="2357"/>
    <x v="2357"/>
    <x v="375"/>
    <x v="324"/>
    <x v="395"/>
    <x v="397"/>
    <x v="352"/>
    <x v="327"/>
    <x v="315"/>
    <x v="317"/>
    <x v="303"/>
    <x v="0"/>
    <x v="1"/>
    <x v="29"/>
    <s v="supplier@gmail.com"/>
  </r>
  <r>
    <x v="2358"/>
    <x v="2358"/>
    <x v="12"/>
    <x v="37"/>
    <x v="9"/>
    <x v="5"/>
    <x v="338"/>
    <x v="305"/>
    <x v="303"/>
    <x v="10"/>
    <x v="71"/>
    <x v="0"/>
    <x v="1"/>
    <x v="9"/>
    <s v="supplier@gmail.com"/>
  </r>
  <r>
    <x v="2359"/>
    <x v="2359"/>
    <x v="287"/>
    <x v="255"/>
    <x v="54"/>
    <x v="62"/>
    <x v="336"/>
    <x v="65"/>
    <x v="302"/>
    <x v="305"/>
    <x v="292"/>
    <x v="0"/>
    <x v="776"/>
    <x v="8"/>
    <s v="supplier@gmail.com"/>
  </r>
  <r>
    <x v="2360"/>
    <x v="2360"/>
    <x v="44"/>
    <x v="1"/>
    <x v="4"/>
    <x v="1"/>
    <x v="12"/>
    <x v="8"/>
    <x v="8"/>
    <x v="12"/>
    <x v="8"/>
    <x v="0"/>
    <x v="398"/>
    <x v="84"/>
    <s v="supplier@gmail.com"/>
  </r>
  <r>
    <x v="2361"/>
    <x v="2361"/>
    <x v="100"/>
    <x v="231"/>
    <x v="5"/>
    <x v="287"/>
    <x v="138"/>
    <x v="328"/>
    <x v="217"/>
    <x v="29"/>
    <x v="28"/>
    <x v="0"/>
    <x v="1"/>
    <x v="17"/>
    <s v="supplier@gmail.com"/>
  </r>
  <r>
    <x v="2362"/>
    <x v="2362"/>
    <x v="4"/>
    <x v="1"/>
    <x v="4"/>
    <x v="1"/>
    <x v="12"/>
    <x v="8"/>
    <x v="8"/>
    <x v="12"/>
    <x v="8"/>
    <x v="0"/>
    <x v="1"/>
    <x v="172"/>
    <s v="supplier@gmail.com"/>
  </r>
  <r>
    <x v="2363"/>
    <x v="2363"/>
    <x v="4"/>
    <x v="1"/>
    <x v="4"/>
    <x v="1"/>
    <x v="12"/>
    <x v="8"/>
    <x v="8"/>
    <x v="12"/>
    <x v="8"/>
    <x v="0"/>
    <x v="777"/>
    <x v="168"/>
    <s v="supplier@gmail.com"/>
  </r>
  <r>
    <x v="2364"/>
    <x v="2364"/>
    <x v="4"/>
    <x v="35"/>
    <x v="42"/>
    <x v="104"/>
    <x v="143"/>
    <x v="135"/>
    <x v="17"/>
    <x v="12"/>
    <x v="8"/>
    <x v="0"/>
    <x v="778"/>
    <x v="99"/>
    <s v="supplier@gmail.com"/>
  </r>
  <r>
    <x v="2365"/>
    <x v="2365"/>
    <x v="37"/>
    <x v="1"/>
    <x v="7"/>
    <x v="38"/>
    <x v="8"/>
    <x v="28"/>
    <x v="36"/>
    <x v="26"/>
    <x v="27"/>
    <x v="0"/>
    <x v="779"/>
    <x v="110"/>
    <s v="supplier@gmail.com"/>
  </r>
  <r>
    <x v="2366"/>
    <x v="2366"/>
    <x v="4"/>
    <x v="32"/>
    <x v="35"/>
    <x v="15"/>
    <x v="27"/>
    <x v="32"/>
    <x v="25"/>
    <x v="12"/>
    <x v="8"/>
    <x v="0"/>
    <x v="254"/>
    <x v="149"/>
    <s v="supplier@gmail.com"/>
  </r>
  <r>
    <x v="2367"/>
    <x v="2367"/>
    <x v="114"/>
    <x v="1"/>
    <x v="4"/>
    <x v="1"/>
    <x v="12"/>
    <x v="8"/>
    <x v="8"/>
    <x v="12"/>
    <x v="8"/>
    <x v="0"/>
    <x v="1"/>
    <x v="46"/>
    <s v="supplier@gmail.com"/>
  </r>
  <r>
    <x v="2368"/>
    <x v="2368"/>
    <x v="42"/>
    <x v="16"/>
    <x v="12"/>
    <x v="36"/>
    <x v="36"/>
    <x v="39"/>
    <x v="40"/>
    <x v="13"/>
    <x v="6"/>
    <x v="0"/>
    <x v="1"/>
    <x v="80"/>
    <s v="supplier@gmail.com"/>
  </r>
  <r>
    <x v="2369"/>
    <x v="2369"/>
    <x v="4"/>
    <x v="1"/>
    <x v="4"/>
    <x v="1"/>
    <x v="12"/>
    <x v="8"/>
    <x v="8"/>
    <x v="12"/>
    <x v="8"/>
    <x v="0"/>
    <x v="1"/>
    <x v="51"/>
    <s v="supplier@gmail.com"/>
  </r>
  <r>
    <x v="2370"/>
    <x v="2370"/>
    <x v="4"/>
    <x v="1"/>
    <x v="4"/>
    <x v="1"/>
    <x v="12"/>
    <x v="8"/>
    <x v="8"/>
    <x v="12"/>
    <x v="8"/>
    <x v="0"/>
    <x v="780"/>
    <x v="169"/>
    <s v="supplier@gmail.com"/>
  </r>
  <r>
    <x v="2371"/>
    <x v="2371"/>
    <x v="31"/>
    <x v="19"/>
    <x v="28"/>
    <x v="34"/>
    <x v="18"/>
    <x v="28"/>
    <x v="29"/>
    <x v="25"/>
    <x v="26"/>
    <x v="0"/>
    <x v="97"/>
    <x v="199"/>
    <s v="supplier@gmail.com"/>
  </r>
  <r>
    <x v="2372"/>
    <x v="2372"/>
    <x v="31"/>
    <x v="19"/>
    <x v="28"/>
    <x v="34"/>
    <x v="18"/>
    <x v="28"/>
    <x v="29"/>
    <x v="25"/>
    <x v="26"/>
    <x v="0"/>
    <x v="1"/>
    <x v="125"/>
    <s v="supplier@gmail.com"/>
  </r>
  <r>
    <x v="2373"/>
    <x v="2373"/>
    <x v="4"/>
    <x v="1"/>
    <x v="4"/>
    <x v="1"/>
    <x v="12"/>
    <x v="8"/>
    <x v="8"/>
    <x v="12"/>
    <x v="8"/>
    <x v="0"/>
    <x v="1"/>
    <x v="193"/>
    <s v="supplier@gmail.com"/>
  </r>
  <r>
    <x v="2374"/>
    <x v="2374"/>
    <x v="4"/>
    <x v="1"/>
    <x v="4"/>
    <x v="398"/>
    <x v="12"/>
    <x v="8"/>
    <x v="8"/>
    <x v="12"/>
    <x v="8"/>
    <x v="0"/>
    <x v="781"/>
    <x v="81"/>
    <s v="supplier@gmail.com"/>
  </r>
  <r>
    <x v="2375"/>
    <x v="2375"/>
    <x v="33"/>
    <x v="31"/>
    <x v="374"/>
    <x v="154"/>
    <x v="4"/>
    <x v="329"/>
    <x v="158"/>
    <x v="97"/>
    <x v="91"/>
    <x v="0"/>
    <x v="782"/>
    <x v="13"/>
    <s v="supplier@gmail.com"/>
  </r>
  <r>
    <x v="2376"/>
    <x v="2376"/>
    <x v="34"/>
    <x v="33"/>
    <x v="32"/>
    <x v="36"/>
    <x v="21"/>
    <x v="31"/>
    <x v="32"/>
    <x v="28"/>
    <x v="18"/>
    <x v="0"/>
    <x v="256"/>
    <x v="48"/>
    <s v="supplier@gmail.com"/>
  </r>
  <r>
    <x v="2377"/>
    <x v="2377"/>
    <x v="376"/>
    <x v="325"/>
    <x v="396"/>
    <x v="399"/>
    <x v="353"/>
    <x v="59"/>
    <x v="316"/>
    <x v="239"/>
    <x v="273"/>
    <x v="0"/>
    <x v="1"/>
    <x v="54"/>
    <s v="supplier@gmail.com"/>
  </r>
  <r>
    <x v="2378"/>
    <x v="2378"/>
    <x v="377"/>
    <x v="98"/>
    <x v="21"/>
    <x v="299"/>
    <x v="354"/>
    <x v="330"/>
    <x v="279"/>
    <x v="164"/>
    <x v="147"/>
    <x v="0"/>
    <x v="1"/>
    <x v="160"/>
    <s v="supplier@gmail.com"/>
  </r>
  <r>
    <x v="2379"/>
    <x v="2379"/>
    <x v="4"/>
    <x v="1"/>
    <x v="4"/>
    <x v="104"/>
    <x v="143"/>
    <x v="24"/>
    <x v="18"/>
    <x v="31"/>
    <x v="19"/>
    <x v="0"/>
    <x v="1"/>
    <x v="49"/>
    <s v="supplier@gmail.com"/>
  </r>
  <r>
    <x v="2380"/>
    <x v="2380"/>
    <x v="4"/>
    <x v="1"/>
    <x v="4"/>
    <x v="1"/>
    <x v="12"/>
    <x v="8"/>
    <x v="8"/>
    <x v="12"/>
    <x v="8"/>
    <x v="0"/>
    <x v="470"/>
    <x v="193"/>
    <s v="supplier@gmail.com"/>
  </r>
  <r>
    <x v="2381"/>
    <x v="2381"/>
    <x v="42"/>
    <x v="1"/>
    <x v="7"/>
    <x v="16"/>
    <x v="8"/>
    <x v="8"/>
    <x v="34"/>
    <x v="12"/>
    <x v="8"/>
    <x v="0"/>
    <x v="162"/>
    <x v="189"/>
    <s v="supplier@gmail.com"/>
  </r>
  <r>
    <x v="2382"/>
    <x v="2382"/>
    <x v="4"/>
    <x v="1"/>
    <x v="4"/>
    <x v="1"/>
    <x v="12"/>
    <x v="8"/>
    <x v="8"/>
    <x v="13"/>
    <x v="8"/>
    <x v="0"/>
    <x v="440"/>
    <x v="128"/>
    <s v="supplier@gmail.com"/>
  </r>
  <r>
    <x v="2383"/>
    <x v="2383"/>
    <x v="4"/>
    <x v="1"/>
    <x v="4"/>
    <x v="1"/>
    <x v="29"/>
    <x v="8"/>
    <x v="8"/>
    <x v="12"/>
    <x v="8"/>
    <x v="0"/>
    <x v="243"/>
    <x v="68"/>
    <s v="supplier@gmail.com"/>
  </r>
  <r>
    <x v="2384"/>
    <x v="2384"/>
    <x v="4"/>
    <x v="16"/>
    <x v="7"/>
    <x v="6"/>
    <x v="12"/>
    <x v="39"/>
    <x v="34"/>
    <x v="12"/>
    <x v="6"/>
    <x v="0"/>
    <x v="35"/>
    <x v="47"/>
    <s v="supplier@gmail.com"/>
  </r>
  <r>
    <x v="2385"/>
    <x v="2385"/>
    <x v="17"/>
    <x v="89"/>
    <x v="42"/>
    <x v="101"/>
    <x v="26"/>
    <x v="38"/>
    <x v="34"/>
    <x v="90"/>
    <x v="27"/>
    <x v="0"/>
    <x v="553"/>
    <x v="74"/>
    <s v="supplier@gmail.com"/>
  </r>
  <r>
    <x v="2386"/>
    <x v="2386"/>
    <x v="16"/>
    <x v="1"/>
    <x v="35"/>
    <x v="0"/>
    <x v="23"/>
    <x v="8"/>
    <x v="25"/>
    <x v="42"/>
    <x v="8"/>
    <x v="0"/>
    <x v="783"/>
    <x v="192"/>
    <s v="supplier@gmail.com"/>
  </r>
  <r>
    <x v="2387"/>
    <x v="2387"/>
    <x v="4"/>
    <x v="1"/>
    <x v="4"/>
    <x v="1"/>
    <x v="355"/>
    <x v="331"/>
    <x v="8"/>
    <x v="243"/>
    <x v="8"/>
    <x v="0"/>
    <x v="784"/>
    <x v="32"/>
    <s v="supplier@gmail.com"/>
  </r>
  <r>
    <x v="2388"/>
    <x v="2388"/>
    <x v="378"/>
    <x v="326"/>
    <x v="397"/>
    <x v="400"/>
    <x v="356"/>
    <x v="332"/>
    <x v="317"/>
    <x v="318"/>
    <x v="304"/>
    <x v="0"/>
    <x v="164"/>
    <x v="43"/>
    <s v="supplier@gmail.com"/>
  </r>
  <r>
    <x v="2389"/>
    <x v="2389"/>
    <x v="4"/>
    <x v="1"/>
    <x v="4"/>
    <x v="1"/>
    <x v="12"/>
    <x v="8"/>
    <x v="8"/>
    <x v="12"/>
    <x v="8"/>
    <x v="0"/>
    <x v="1"/>
    <x v="189"/>
    <s v="supplier@gmail.com"/>
  </r>
  <r>
    <x v="2390"/>
    <x v="2390"/>
    <x v="4"/>
    <x v="1"/>
    <x v="4"/>
    <x v="1"/>
    <x v="12"/>
    <x v="8"/>
    <x v="8"/>
    <x v="12"/>
    <x v="8"/>
    <x v="0"/>
    <x v="35"/>
    <x v="67"/>
    <s v="supplier@gmail.com"/>
  </r>
  <r>
    <x v="2391"/>
    <x v="2391"/>
    <x v="4"/>
    <x v="1"/>
    <x v="4"/>
    <x v="1"/>
    <x v="12"/>
    <x v="8"/>
    <x v="8"/>
    <x v="12"/>
    <x v="8"/>
    <x v="0"/>
    <x v="755"/>
    <x v="95"/>
    <s v="supplier@gmail.com"/>
  </r>
  <r>
    <x v="2392"/>
    <x v="2392"/>
    <x v="4"/>
    <x v="1"/>
    <x v="4"/>
    <x v="1"/>
    <x v="12"/>
    <x v="8"/>
    <x v="8"/>
    <x v="12"/>
    <x v="8"/>
    <x v="0"/>
    <x v="34"/>
    <x v="143"/>
    <s v="supplier@gmail.com"/>
  </r>
  <r>
    <x v="2393"/>
    <x v="2393"/>
    <x v="4"/>
    <x v="1"/>
    <x v="4"/>
    <x v="1"/>
    <x v="12"/>
    <x v="8"/>
    <x v="8"/>
    <x v="12"/>
    <x v="8"/>
    <x v="0"/>
    <x v="553"/>
    <x v="155"/>
    <s v="supplier@gmail.com"/>
  </r>
  <r>
    <x v="2394"/>
    <x v="2394"/>
    <x v="4"/>
    <x v="1"/>
    <x v="4"/>
    <x v="1"/>
    <x v="12"/>
    <x v="8"/>
    <x v="8"/>
    <x v="12"/>
    <x v="8"/>
    <x v="0"/>
    <x v="1"/>
    <x v="110"/>
    <s v="supplier@gmail.com"/>
  </r>
  <r>
    <x v="2395"/>
    <x v="2395"/>
    <x v="36"/>
    <x v="1"/>
    <x v="4"/>
    <x v="1"/>
    <x v="12"/>
    <x v="8"/>
    <x v="8"/>
    <x v="12"/>
    <x v="8"/>
    <x v="0"/>
    <x v="1"/>
    <x v="68"/>
    <s v="supplier@gmail.com"/>
  </r>
  <r>
    <x v="2396"/>
    <x v="2396"/>
    <x v="36"/>
    <x v="1"/>
    <x v="4"/>
    <x v="1"/>
    <x v="12"/>
    <x v="8"/>
    <x v="8"/>
    <x v="12"/>
    <x v="8"/>
    <x v="0"/>
    <x v="210"/>
    <x v="82"/>
    <s v="supplier@gmail.com"/>
  </r>
  <r>
    <x v="2397"/>
    <x v="2397"/>
    <x v="4"/>
    <x v="1"/>
    <x v="4"/>
    <x v="73"/>
    <x v="12"/>
    <x v="8"/>
    <x v="8"/>
    <x v="19"/>
    <x v="8"/>
    <x v="0"/>
    <x v="294"/>
    <x v="168"/>
    <s v="supplier@gmail.com"/>
  </r>
  <r>
    <x v="2398"/>
    <x v="2398"/>
    <x v="4"/>
    <x v="1"/>
    <x v="4"/>
    <x v="0"/>
    <x v="12"/>
    <x v="8"/>
    <x v="8"/>
    <x v="19"/>
    <x v="8"/>
    <x v="0"/>
    <x v="785"/>
    <x v="173"/>
    <s v="supplier@gmail.com"/>
  </r>
  <r>
    <x v="2399"/>
    <x v="2399"/>
    <x v="379"/>
    <x v="327"/>
    <x v="398"/>
    <x v="401"/>
    <x v="357"/>
    <x v="333"/>
    <x v="318"/>
    <x v="319"/>
    <x v="305"/>
    <x v="0"/>
    <x v="1"/>
    <x v="16"/>
    <s v="supplier@gmail.com"/>
  </r>
  <r>
    <x v="2400"/>
    <x v="2400"/>
    <x v="4"/>
    <x v="1"/>
    <x v="4"/>
    <x v="1"/>
    <x v="12"/>
    <x v="8"/>
    <x v="8"/>
    <x v="12"/>
    <x v="8"/>
    <x v="0"/>
    <x v="180"/>
    <x v="122"/>
    <s v="supplier@gmail.com"/>
  </r>
  <r>
    <x v="2401"/>
    <x v="2401"/>
    <x v="4"/>
    <x v="1"/>
    <x v="4"/>
    <x v="1"/>
    <x v="12"/>
    <x v="8"/>
    <x v="8"/>
    <x v="12"/>
    <x v="8"/>
    <x v="0"/>
    <x v="565"/>
    <x v="69"/>
    <s v="supplier@gmail.com"/>
  </r>
  <r>
    <x v="2402"/>
    <x v="2402"/>
    <x v="4"/>
    <x v="1"/>
    <x v="4"/>
    <x v="1"/>
    <x v="12"/>
    <x v="8"/>
    <x v="8"/>
    <x v="12"/>
    <x v="68"/>
    <x v="0"/>
    <x v="430"/>
    <x v="103"/>
    <s v="supplier@gmail.com"/>
  </r>
  <r>
    <x v="2403"/>
    <x v="2403"/>
    <x v="4"/>
    <x v="1"/>
    <x v="4"/>
    <x v="1"/>
    <x v="358"/>
    <x v="8"/>
    <x v="8"/>
    <x v="12"/>
    <x v="8"/>
    <x v="0"/>
    <x v="1"/>
    <x v="125"/>
    <s v="supplier@gmail.com"/>
  </r>
  <r>
    <x v="2404"/>
    <x v="2404"/>
    <x v="4"/>
    <x v="1"/>
    <x v="4"/>
    <x v="1"/>
    <x v="12"/>
    <x v="8"/>
    <x v="8"/>
    <x v="12"/>
    <x v="8"/>
    <x v="0"/>
    <x v="1"/>
    <x v="117"/>
    <s v="supplier@gmail.com"/>
  </r>
  <r>
    <x v="2405"/>
    <x v="2405"/>
    <x v="380"/>
    <x v="1"/>
    <x v="399"/>
    <x v="298"/>
    <x v="12"/>
    <x v="8"/>
    <x v="8"/>
    <x v="12"/>
    <x v="8"/>
    <x v="0"/>
    <x v="1"/>
    <x v="197"/>
    <s v="supplier@gmail.com"/>
  </r>
  <r>
    <x v="2406"/>
    <x v="2406"/>
    <x v="44"/>
    <x v="1"/>
    <x v="4"/>
    <x v="1"/>
    <x v="12"/>
    <x v="8"/>
    <x v="8"/>
    <x v="12"/>
    <x v="8"/>
    <x v="0"/>
    <x v="1"/>
    <x v="66"/>
    <s v="supplier@gmail.com"/>
  </r>
  <r>
    <x v="2407"/>
    <x v="2407"/>
    <x v="4"/>
    <x v="1"/>
    <x v="4"/>
    <x v="159"/>
    <x v="12"/>
    <x v="8"/>
    <x v="8"/>
    <x v="12"/>
    <x v="8"/>
    <x v="0"/>
    <x v="440"/>
    <x v="79"/>
    <s v="supplier@gmail.com"/>
  </r>
  <r>
    <x v="2408"/>
    <x v="2408"/>
    <x v="4"/>
    <x v="1"/>
    <x v="4"/>
    <x v="1"/>
    <x v="12"/>
    <x v="8"/>
    <x v="8"/>
    <x v="12"/>
    <x v="8"/>
    <x v="0"/>
    <x v="786"/>
    <x v="103"/>
    <s v="supplier@gmail.com"/>
  </r>
  <r>
    <x v="2409"/>
    <x v="2409"/>
    <x v="4"/>
    <x v="1"/>
    <x v="4"/>
    <x v="1"/>
    <x v="12"/>
    <x v="8"/>
    <x v="8"/>
    <x v="29"/>
    <x v="8"/>
    <x v="0"/>
    <x v="755"/>
    <x v="31"/>
    <s v="supplier@gmail.com"/>
  </r>
  <r>
    <x v="2410"/>
    <x v="2410"/>
    <x v="4"/>
    <x v="1"/>
    <x v="38"/>
    <x v="1"/>
    <x v="12"/>
    <x v="8"/>
    <x v="8"/>
    <x v="12"/>
    <x v="8"/>
    <x v="0"/>
    <x v="126"/>
    <x v="193"/>
    <s v="supplier@gmail.com"/>
  </r>
  <r>
    <x v="2411"/>
    <x v="2411"/>
    <x v="4"/>
    <x v="1"/>
    <x v="4"/>
    <x v="1"/>
    <x v="12"/>
    <x v="8"/>
    <x v="8"/>
    <x v="12"/>
    <x v="8"/>
    <x v="0"/>
    <x v="354"/>
    <x v="57"/>
    <s v="supplier@gmail.com"/>
  </r>
  <r>
    <x v="2412"/>
    <x v="2412"/>
    <x v="4"/>
    <x v="1"/>
    <x v="4"/>
    <x v="1"/>
    <x v="12"/>
    <x v="8"/>
    <x v="8"/>
    <x v="12"/>
    <x v="8"/>
    <x v="0"/>
    <x v="1"/>
    <x v="180"/>
    <s v="supplier@gmail.com"/>
  </r>
  <r>
    <x v="2413"/>
    <x v="2413"/>
    <x v="4"/>
    <x v="1"/>
    <x v="4"/>
    <x v="1"/>
    <x v="12"/>
    <x v="8"/>
    <x v="8"/>
    <x v="12"/>
    <x v="8"/>
    <x v="0"/>
    <x v="1"/>
    <x v="34"/>
    <s v="supplier@gmail.com"/>
  </r>
  <r>
    <x v="2414"/>
    <x v="2414"/>
    <x v="4"/>
    <x v="1"/>
    <x v="4"/>
    <x v="1"/>
    <x v="12"/>
    <x v="8"/>
    <x v="8"/>
    <x v="12"/>
    <x v="8"/>
    <x v="0"/>
    <x v="207"/>
    <x v="168"/>
    <s v="supplier@gmail.com"/>
  </r>
  <r>
    <x v="2415"/>
    <x v="2415"/>
    <x v="119"/>
    <x v="117"/>
    <x v="94"/>
    <x v="98"/>
    <x v="359"/>
    <x v="334"/>
    <x v="43"/>
    <x v="87"/>
    <x v="81"/>
    <x v="0"/>
    <x v="1"/>
    <x v="166"/>
    <s v="supplier@gmail.com"/>
  </r>
  <r>
    <x v="2416"/>
    <x v="2416"/>
    <x v="4"/>
    <x v="1"/>
    <x v="4"/>
    <x v="1"/>
    <x v="12"/>
    <x v="8"/>
    <x v="8"/>
    <x v="12"/>
    <x v="8"/>
    <x v="0"/>
    <x v="527"/>
    <x v="84"/>
    <s v="supplier@gmail.com"/>
  </r>
  <r>
    <x v="2417"/>
    <x v="2417"/>
    <x v="4"/>
    <x v="0"/>
    <x v="0"/>
    <x v="0"/>
    <x v="33"/>
    <x v="0"/>
    <x v="17"/>
    <x v="0"/>
    <x v="121"/>
    <x v="0"/>
    <x v="787"/>
    <x v="151"/>
    <s v="supplier@gmail.com"/>
  </r>
  <r>
    <x v="2418"/>
    <x v="2418"/>
    <x v="4"/>
    <x v="1"/>
    <x v="4"/>
    <x v="159"/>
    <x v="12"/>
    <x v="70"/>
    <x v="8"/>
    <x v="12"/>
    <x v="8"/>
    <x v="0"/>
    <x v="788"/>
    <x v="65"/>
    <s v="supplier@gmail.com"/>
  </r>
  <r>
    <x v="2419"/>
    <x v="2419"/>
    <x v="133"/>
    <x v="1"/>
    <x v="176"/>
    <x v="17"/>
    <x v="12"/>
    <x v="0"/>
    <x v="12"/>
    <x v="30"/>
    <x v="13"/>
    <x v="0"/>
    <x v="13"/>
    <x v="34"/>
    <s v="supplier@gmail.com"/>
  </r>
  <r>
    <x v="2420"/>
    <x v="2420"/>
    <x v="36"/>
    <x v="1"/>
    <x v="5"/>
    <x v="21"/>
    <x v="139"/>
    <x v="335"/>
    <x v="24"/>
    <x v="16"/>
    <x v="29"/>
    <x v="0"/>
    <x v="3"/>
    <x v="36"/>
    <s v="supplier@gmail.com"/>
  </r>
  <r>
    <x v="2421"/>
    <x v="2421"/>
    <x v="144"/>
    <x v="1"/>
    <x v="0"/>
    <x v="17"/>
    <x v="12"/>
    <x v="8"/>
    <x v="8"/>
    <x v="12"/>
    <x v="0"/>
    <x v="0"/>
    <x v="1"/>
    <x v="3"/>
    <s v="supplier@gmail.com"/>
  </r>
  <r>
    <x v="2422"/>
    <x v="2422"/>
    <x v="4"/>
    <x v="1"/>
    <x v="4"/>
    <x v="1"/>
    <x v="12"/>
    <x v="8"/>
    <x v="8"/>
    <x v="12"/>
    <x v="8"/>
    <x v="0"/>
    <x v="1"/>
    <x v="125"/>
    <s v="supplier@gmail.com"/>
  </r>
  <r>
    <x v="2423"/>
    <x v="2423"/>
    <x v="4"/>
    <x v="12"/>
    <x v="4"/>
    <x v="11"/>
    <x v="12"/>
    <x v="124"/>
    <x v="14"/>
    <x v="12"/>
    <x v="14"/>
    <x v="0"/>
    <x v="1"/>
    <x v="139"/>
    <s v="supplier@gmail.com"/>
  </r>
  <r>
    <x v="2424"/>
    <x v="2424"/>
    <x v="4"/>
    <x v="7"/>
    <x v="4"/>
    <x v="8"/>
    <x v="12"/>
    <x v="12"/>
    <x v="12"/>
    <x v="12"/>
    <x v="12"/>
    <x v="0"/>
    <x v="789"/>
    <x v="127"/>
    <s v="supplier@gmail.com"/>
  </r>
  <r>
    <x v="2425"/>
    <x v="2425"/>
    <x v="0"/>
    <x v="0"/>
    <x v="0"/>
    <x v="0"/>
    <x v="0"/>
    <x v="32"/>
    <x v="0"/>
    <x v="0"/>
    <x v="0"/>
    <x v="0"/>
    <x v="1"/>
    <x v="13"/>
    <s v="supplier@gmail.com"/>
  </r>
  <r>
    <x v="2426"/>
    <x v="2426"/>
    <x v="102"/>
    <x v="93"/>
    <x v="100"/>
    <x v="106"/>
    <x v="8"/>
    <x v="82"/>
    <x v="67"/>
    <x v="94"/>
    <x v="21"/>
    <x v="0"/>
    <x v="481"/>
    <x v="104"/>
    <s v="supplier@gmail.com"/>
  </r>
  <r>
    <x v="2427"/>
    <x v="2427"/>
    <x v="31"/>
    <x v="19"/>
    <x v="28"/>
    <x v="34"/>
    <x v="18"/>
    <x v="28"/>
    <x v="29"/>
    <x v="25"/>
    <x v="26"/>
    <x v="0"/>
    <x v="149"/>
    <x v="75"/>
    <s v="supplier@gmail.com"/>
  </r>
  <r>
    <x v="2428"/>
    <x v="2428"/>
    <x v="101"/>
    <x v="1"/>
    <x v="400"/>
    <x v="6"/>
    <x v="138"/>
    <x v="8"/>
    <x v="18"/>
    <x v="65"/>
    <x v="8"/>
    <x v="0"/>
    <x v="595"/>
    <x v="14"/>
    <s v="supplier@gmail.com"/>
  </r>
  <r>
    <x v="2429"/>
    <x v="2429"/>
    <x v="4"/>
    <x v="1"/>
    <x v="4"/>
    <x v="125"/>
    <x v="12"/>
    <x v="8"/>
    <x v="8"/>
    <x v="19"/>
    <x v="8"/>
    <x v="0"/>
    <x v="790"/>
    <x v="108"/>
    <s v="supplier@gmail.com"/>
  </r>
  <r>
    <x v="2430"/>
    <x v="2430"/>
    <x v="4"/>
    <x v="1"/>
    <x v="4"/>
    <x v="1"/>
    <x v="12"/>
    <x v="8"/>
    <x v="8"/>
    <x v="12"/>
    <x v="8"/>
    <x v="0"/>
    <x v="196"/>
    <x v="141"/>
    <s v="supplier@gmail.com"/>
  </r>
  <r>
    <x v="2431"/>
    <x v="2431"/>
    <x v="30"/>
    <x v="89"/>
    <x v="149"/>
    <x v="37"/>
    <x v="82"/>
    <x v="38"/>
    <x v="19"/>
    <x v="16"/>
    <x v="27"/>
    <x v="0"/>
    <x v="777"/>
    <x v="14"/>
    <s v="supplier@gmail.com"/>
  </r>
  <r>
    <x v="2432"/>
    <x v="2432"/>
    <x v="44"/>
    <x v="110"/>
    <x v="4"/>
    <x v="34"/>
    <x v="17"/>
    <x v="18"/>
    <x v="27"/>
    <x v="26"/>
    <x v="0"/>
    <x v="0"/>
    <x v="791"/>
    <x v="184"/>
    <s v="supplier@gmail.com"/>
  </r>
  <r>
    <x v="2433"/>
    <x v="2433"/>
    <x v="381"/>
    <x v="328"/>
    <x v="401"/>
    <x v="402"/>
    <x v="360"/>
    <x v="91"/>
    <x v="319"/>
    <x v="131"/>
    <x v="306"/>
    <x v="0"/>
    <x v="595"/>
    <x v="46"/>
    <s v="supplier@gmail.com"/>
  </r>
  <r>
    <x v="2434"/>
    <x v="2434"/>
    <x v="4"/>
    <x v="1"/>
    <x v="4"/>
    <x v="1"/>
    <x v="12"/>
    <x v="8"/>
    <x v="8"/>
    <x v="12"/>
    <x v="8"/>
    <x v="0"/>
    <x v="49"/>
    <x v="14"/>
    <s v="supplier@gmail.com"/>
  </r>
  <r>
    <x v="2435"/>
    <x v="2435"/>
    <x v="4"/>
    <x v="1"/>
    <x v="4"/>
    <x v="1"/>
    <x v="12"/>
    <x v="8"/>
    <x v="8"/>
    <x v="12"/>
    <x v="8"/>
    <x v="0"/>
    <x v="792"/>
    <x v="179"/>
    <s v="supplier@gmail.com"/>
  </r>
  <r>
    <x v="2436"/>
    <x v="2436"/>
    <x v="4"/>
    <x v="1"/>
    <x v="4"/>
    <x v="1"/>
    <x v="12"/>
    <x v="8"/>
    <x v="8"/>
    <x v="12"/>
    <x v="8"/>
    <x v="0"/>
    <x v="16"/>
    <x v="197"/>
    <s v="supplier@gmail.com"/>
  </r>
  <r>
    <x v="2437"/>
    <x v="2437"/>
    <x v="4"/>
    <x v="1"/>
    <x v="4"/>
    <x v="1"/>
    <x v="12"/>
    <x v="8"/>
    <x v="8"/>
    <x v="12"/>
    <x v="8"/>
    <x v="0"/>
    <x v="20"/>
    <x v="65"/>
    <s v="supplier@gmail.com"/>
  </r>
  <r>
    <x v="2438"/>
    <x v="2438"/>
    <x v="4"/>
    <x v="1"/>
    <x v="4"/>
    <x v="1"/>
    <x v="12"/>
    <x v="8"/>
    <x v="8"/>
    <x v="12"/>
    <x v="8"/>
    <x v="0"/>
    <x v="54"/>
    <x v="191"/>
    <s v="supplier@gmail.com"/>
  </r>
  <r>
    <x v="2439"/>
    <x v="2439"/>
    <x v="4"/>
    <x v="1"/>
    <x v="4"/>
    <x v="1"/>
    <x v="12"/>
    <x v="8"/>
    <x v="8"/>
    <x v="12"/>
    <x v="8"/>
    <x v="0"/>
    <x v="54"/>
    <x v="91"/>
    <s v="supplier@gmail.com"/>
  </r>
  <r>
    <x v="2440"/>
    <x v="2440"/>
    <x v="4"/>
    <x v="1"/>
    <x v="4"/>
    <x v="1"/>
    <x v="12"/>
    <x v="8"/>
    <x v="8"/>
    <x v="12"/>
    <x v="8"/>
    <x v="0"/>
    <x v="131"/>
    <x v="151"/>
    <s v="supplier@gmail.com"/>
  </r>
  <r>
    <x v="2441"/>
    <x v="2441"/>
    <x v="4"/>
    <x v="1"/>
    <x v="4"/>
    <x v="1"/>
    <x v="12"/>
    <x v="8"/>
    <x v="8"/>
    <x v="12"/>
    <x v="8"/>
    <x v="0"/>
    <x v="527"/>
    <x v="92"/>
    <s v="supplier@gmail.com"/>
  </r>
  <r>
    <x v="2442"/>
    <x v="2442"/>
    <x v="4"/>
    <x v="1"/>
    <x v="4"/>
    <x v="1"/>
    <x v="12"/>
    <x v="8"/>
    <x v="8"/>
    <x v="12"/>
    <x v="8"/>
    <x v="0"/>
    <x v="22"/>
    <x v="7"/>
    <s v="supplier@gmail.com"/>
  </r>
  <r>
    <x v="2443"/>
    <x v="2443"/>
    <x v="4"/>
    <x v="1"/>
    <x v="4"/>
    <x v="1"/>
    <x v="12"/>
    <x v="8"/>
    <x v="8"/>
    <x v="12"/>
    <x v="8"/>
    <x v="0"/>
    <x v="793"/>
    <x v="85"/>
    <s v="supplier@gmail.com"/>
  </r>
  <r>
    <x v="2444"/>
    <x v="2444"/>
    <x v="4"/>
    <x v="1"/>
    <x v="4"/>
    <x v="1"/>
    <x v="12"/>
    <x v="8"/>
    <x v="8"/>
    <x v="12"/>
    <x v="8"/>
    <x v="0"/>
    <x v="468"/>
    <x v="70"/>
    <s v="supplier@gmail.com"/>
  </r>
  <r>
    <x v="2445"/>
    <x v="2445"/>
    <x v="4"/>
    <x v="1"/>
    <x v="4"/>
    <x v="1"/>
    <x v="12"/>
    <x v="8"/>
    <x v="8"/>
    <x v="12"/>
    <x v="8"/>
    <x v="0"/>
    <x v="447"/>
    <x v="189"/>
    <s v="supplier@gmail.com"/>
  </r>
  <r>
    <x v="2446"/>
    <x v="2446"/>
    <x v="4"/>
    <x v="1"/>
    <x v="4"/>
    <x v="1"/>
    <x v="12"/>
    <x v="8"/>
    <x v="8"/>
    <x v="12"/>
    <x v="8"/>
    <x v="0"/>
    <x v="106"/>
    <x v="44"/>
    <s v="supplier@gmail.com"/>
  </r>
  <r>
    <x v="2447"/>
    <x v="2447"/>
    <x v="4"/>
    <x v="1"/>
    <x v="4"/>
    <x v="1"/>
    <x v="12"/>
    <x v="8"/>
    <x v="8"/>
    <x v="12"/>
    <x v="8"/>
    <x v="0"/>
    <x v="49"/>
    <x v="3"/>
    <s v="supplier@gmail.com"/>
  </r>
  <r>
    <x v="2448"/>
    <x v="2448"/>
    <x v="4"/>
    <x v="1"/>
    <x v="4"/>
    <x v="1"/>
    <x v="12"/>
    <x v="8"/>
    <x v="8"/>
    <x v="12"/>
    <x v="8"/>
    <x v="0"/>
    <x v="187"/>
    <x v="44"/>
    <s v="supplier@gmail.com"/>
  </r>
  <r>
    <x v="2449"/>
    <x v="2449"/>
    <x v="4"/>
    <x v="1"/>
    <x v="4"/>
    <x v="1"/>
    <x v="12"/>
    <x v="8"/>
    <x v="8"/>
    <x v="12"/>
    <x v="8"/>
    <x v="0"/>
    <x v="794"/>
    <x v="85"/>
    <s v="supplier@gmail.com"/>
  </r>
  <r>
    <x v="2450"/>
    <x v="2450"/>
    <x v="4"/>
    <x v="1"/>
    <x v="4"/>
    <x v="1"/>
    <x v="12"/>
    <x v="8"/>
    <x v="8"/>
    <x v="12"/>
    <x v="8"/>
    <x v="0"/>
    <x v="795"/>
    <x v="48"/>
    <s v="supplier@gmail.com"/>
  </r>
  <r>
    <x v="2451"/>
    <x v="2451"/>
    <x v="4"/>
    <x v="1"/>
    <x v="4"/>
    <x v="1"/>
    <x v="12"/>
    <x v="8"/>
    <x v="8"/>
    <x v="12"/>
    <x v="8"/>
    <x v="0"/>
    <x v="44"/>
    <x v="150"/>
    <s v="supplier@gmail.com"/>
  </r>
  <r>
    <x v="2452"/>
    <x v="2452"/>
    <x v="4"/>
    <x v="1"/>
    <x v="4"/>
    <x v="1"/>
    <x v="12"/>
    <x v="8"/>
    <x v="8"/>
    <x v="12"/>
    <x v="8"/>
    <x v="0"/>
    <x v="30"/>
    <x v="134"/>
    <s v="supplier@gmail.com"/>
  </r>
  <r>
    <x v="2453"/>
    <x v="2453"/>
    <x v="4"/>
    <x v="1"/>
    <x v="4"/>
    <x v="1"/>
    <x v="12"/>
    <x v="8"/>
    <x v="8"/>
    <x v="12"/>
    <x v="8"/>
    <x v="0"/>
    <x v="1"/>
    <x v="143"/>
    <s v="supplier@gmail.com"/>
  </r>
  <r>
    <x v="2454"/>
    <x v="2454"/>
    <x v="4"/>
    <x v="1"/>
    <x v="4"/>
    <x v="1"/>
    <x v="12"/>
    <x v="8"/>
    <x v="8"/>
    <x v="12"/>
    <x v="8"/>
    <x v="0"/>
    <x v="1"/>
    <x v="6"/>
    <s v="supplier@gmail.com"/>
  </r>
  <r>
    <x v="2455"/>
    <x v="2455"/>
    <x v="4"/>
    <x v="1"/>
    <x v="4"/>
    <x v="1"/>
    <x v="12"/>
    <x v="8"/>
    <x v="8"/>
    <x v="12"/>
    <x v="8"/>
    <x v="0"/>
    <x v="601"/>
    <x v="68"/>
    <s v="supplier@gmail.com"/>
  </r>
  <r>
    <x v="2456"/>
    <x v="2456"/>
    <x v="4"/>
    <x v="1"/>
    <x v="4"/>
    <x v="1"/>
    <x v="12"/>
    <x v="8"/>
    <x v="8"/>
    <x v="12"/>
    <x v="8"/>
    <x v="0"/>
    <x v="33"/>
    <x v="126"/>
    <s v="supplier@gmail.com"/>
  </r>
  <r>
    <x v="2457"/>
    <x v="2457"/>
    <x v="4"/>
    <x v="1"/>
    <x v="4"/>
    <x v="1"/>
    <x v="12"/>
    <x v="8"/>
    <x v="8"/>
    <x v="12"/>
    <x v="8"/>
    <x v="0"/>
    <x v="796"/>
    <x v="111"/>
    <s v="supplier@gmail.com"/>
  </r>
  <r>
    <x v="2458"/>
    <x v="2458"/>
    <x v="4"/>
    <x v="1"/>
    <x v="4"/>
    <x v="1"/>
    <x v="12"/>
    <x v="8"/>
    <x v="8"/>
    <x v="12"/>
    <x v="8"/>
    <x v="0"/>
    <x v="558"/>
    <x v="80"/>
    <s v="supplier@gmail.com"/>
  </r>
  <r>
    <x v="2459"/>
    <x v="2459"/>
    <x v="4"/>
    <x v="1"/>
    <x v="4"/>
    <x v="1"/>
    <x v="12"/>
    <x v="8"/>
    <x v="8"/>
    <x v="12"/>
    <x v="8"/>
    <x v="0"/>
    <x v="797"/>
    <x v="108"/>
    <s v="supplier@gmail.com"/>
  </r>
  <r>
    <x v="2460"/>
    <x v="2460"/>
    <x v="4"/>
    <x v="1"/>
    <x v="4"/>
    <x v="1"/>
    <x v="12"/>
    <x v="8"/>
    <x v="8"/>
    <x v="12"/>
    <x v="8"/>
    <x v="0"/>
    <x v="798"/>
    <x v="176"/>
    <s v="supplier@gmail.com"/>
  </r>
  <r>
    <x v="2461"/>
    <x v="2461"/>
    <x v="4"/>
    <x v="1"/>
    <x v="4"/>
    <x v="1"/>
    <x v="12"/>
    <x v="8"/>
    <x v="8"/>
    <x v="12"/>
    <x v="8"/>
    <x v="0"/>
    <x v="799"/>
    <x v="80"/>
    <s v="supplier@gmail.com"/>
  </r>
  <r>
    <x v="2462"/>
    <x v="2462"/>
    <x v="4"/>
    <x v="1"/>
    <x v="4"/>
    <x v="1"/>
    <x v="12"/>
    <x v="8"/>
    <x v="8"/>
    <x v="12"/>
    <x v="8"/>
    <x v="0"/>
    <x v="132"/>
    <x v="186"/>
    <s v="supplier@gmail.com"/>
  </r>
  <r>
    <x v="2463"/>
    <x v="2463"/>
    <x v="4"/>
    <x v="1"/>
    <x v="4"/>
    <x v="1"/>
    <x v="12"/>
    <x v="8"/>
    <x v="8"/>
    <x v="12"/>
    <x v="8"/>
    <x v="0"/>
    <x v="800"/>
    <x v="108"/>
    <s v="supplier@gmail.com"/>
  </r>
  <r>
    <x v="2464"/>
    <x v="2464"/>
    <x v="4"/>
    <x v="1"/>
    <x v="4"/>
    <x v="1"/>
    <x v="12"/>
    <x v="8"/>
    <x v="8"/>
    <x v="12"/>
    <x v="8"/>
    <x v="0"/>
    <x v="378"/>
    <x v="131"/>
    <s v="supplier@gmail.com"/>
  </r>
  <r>
    <x v="2465"/>
    <x v="2465"/>
    <x v="4"/>
    <x v="1"/>
    <x v="4"/>
    <x v="1"/>
    <x v="12"/>
    <x v="8"/>
    <x v="8"/>
    <x v="12"/>
    <x v="8"/>
    <x v="0"/>
    <x v="212"/>
    <x v="134"/>
    <s v="supplier@gmail.com"/>
  </r>
  <r>
    <x v="2466"/>
    <x v="2466"/>
    <x v="4"/>
    <x v="1"/>
    <x v="4"/>
    <x v="1"/>
    <x v="12"/>
    <x v="8"/>
    <x v="8"/>
    <x v="12"/>
    <x v="8"/>
    <x v="0"/>
    <x v="212"/>
    <x v="26"/>
    <s v="supplier@gmail.com"/>
  </r>
  <r>
    <x v="2467"/>
    <x v="2467"/>
    <x v="4"/>
    <x v="1"/>
    <x v="4"/>
    <x v="1"/>
    <x v="12"/>
    <x v="8"/>
    <x v="8"/>
    <x v="12"/>
    <x v="8"/>
    <x v="0"/>
    <x v="294"/>
    <x v="20"/>
    <s v="supplier@gmail.com"/>
  </r>
  <r>
    <x v="2468"/>
    <x v="2468"/>
    <x v="4"/>
    <x v="0"/>
    <x v="0"/>
    <x v="0"/>
    <x v="0"/>
    <x v="0"/>
    <x v="35"/>
    <x v="0"/>
    <x v="0"/>
    <x v="0"/>
    <x v="16"/>
    <x v="154"/>
    <s v="supplier@gmail.com"/>
  </r>
  <r>
    <x v="2469"/>
    <x v="2469"/>
    <x v="276"/>
    <x v="14"/>
    <x v="100"/>
    <x v="106"/>
    <x v="361"/>
    <x v="265"/>
    <x v="320"/>
    <x v="320"/>
    <x v="307"/>
    <x v="0"/>
    <x v="7"/>
    <x v="194"/>
    <s v="supplier@gmail.com"/>
  </r>
  <r>
    <x v="2470"/>
    <x v="2470"/>
    <x v="276"/>
    <x v="14"/>
    <x v="100"/>
    <x v="106"/>
    <x v="361"/>
    <x v="265"/>
    <x v="320"/>
    <x v="320"/>
    <x v="307"/>
    <x v="0"/>
    <x v="207"/>
    <x v="99"/>
    <s v="supplier@gmail.com"/>
  </r>
  <r>
    <x v="2471"/>
    <x v="2471"/>
    <x v="134"/>
    <x v="119"/>
    <x v="130"/>
    <x v="134"/>
    <x v="123"/>
    <x v="125"/>
    <x v="109"/>
    <x v="113"/>
    <x v="106"/>
    <x v="0"/>
    <x v="354"/>
    <x v="38"/>
    <s v="supplier@gmail.com"/>
  </r>
  <r>
    <x v="2472"/>
    <x v="2472"/>
    <x v="4"/>
    <x v="1"/>
    <x v="4"/>
    <x v="1"/>
    <x v="12"/>
    <x v="8"/>
    <x v="8"/>
    <x v="12"/>
    <x v="8"/>
    <x v="0"/>
    <x v="801"/>
    <x v="145"/>
    <s v="supplier@gmail.com"/>
  </r>
  <r>
    <x v="2473"/>
    <x v="2473"/>
    <x v="13"/>
    <x v="119"/>
    <x v="130"/>
    <x v="134"/>
    <x v="123"/>
    <x v="125"/>
    <x v="109"/>
    <x v="113"/>
    <x v="106"/>
    <x v="0"/>
    <x v="802"/>
    <x v="18"/>
    <s v="supplier@gmail.com"/>
  </r>
  <r>
    <x v="2474"/>
    <x v="2474"/>
    <x v="4"/>
    <x v="1"/>
    <x v="4"/>
    <x v="1"/>
    <x v="12"/>
    <x v="8"/>
    <x v="8"/>
    <x v="12"/>
    <x v="8"/>
    <x v="0"/>
    <x v="803"/>
    <x v="164"/>
    <s v="supplier@gmail.com"/>
  </r>
  <r>
    <x v="2475"/>
    <x v="2475"/>
    <x v="1"/>
    <x v="8"/>
    <x v="21"/>
    <x v="5"/>
    <x v="145"/>
    <x v="3"/>
    <x v="13"/>
    <x v="9"/>
    <x v="308"/>
    <x v="0"/>
    <x v="804"/>
    <x v="23"/>
    <s v="supplier@gmail.com"/>
  </r>
  <r>
    <x v="2476"/>
    <x v="2476"/>
    <x v="42"/>
    <x v="16"/>
    <x v="12"/>
    <x v="36"/>
    <x v="36"/>
    <x v="39"/>
    <x v="40"/>
    <x v="13"/>
    <x v="6"/>
    <x v="0"/>
    <x v="805"/>
    <x v="55"/>
    <s v="supplier@gmail.com"/>
  </r>
  <r>
    <x v="2477"/>
    <x v="2477"/>
    <x v="70"/>
    <x v="1"/>
    <x v="75"/>
    <x v="73"/>
    <x v="12"/>
    <x v="70"/>
    <x v="10"/>
    <x v="26"/>
    <x v="9"/>
    <x v="0"/>
    <x v="450"/>
    <x v="192"/>
    <s v="supplier@gmail.com"/>
  </r>
  <r>
    <x v="2478"/>
    <x v="2478"/>
    <x v="70"/>
    <x v="1"/>
    <x v="75"/>
    <x v="73"/>
    <x v="12"/>
    <x v="70"/>
    <x v="10"/>
    <x v="26"/>
    <x v="9"/>
    <x v="0"/>
    <x v="806"/>
    <x v="192"/>
    <s v="supplier@gmail.com"/>
  </r>
  <r>
    <x v="2479"/>
    <x v="2479"/>
    <x v="4"/>
    <x v="1"/>
    <x v="4"/>
    <x v="159"/>
    <x v="12"/>
    <x v="70"/>
    <x v="8"/>
    <x v="12"/>
    <x v="8"/>
    <x v="0"/>
    <x v="807"/>
    <x v="99"/>
    <s v="supplier@gmail.com"/>
  </r>
  <r>
    <x v="2480"/>
    <x v="2480"/>
    <x v="82"/>
    <x v="66"/>
    <x v="7"/>
    <x v="1"/>
    <x v="12"/>
    <x v="8"/>
    <x v="8"/>
    <x v="12"/>
    <x v="12"/>
    <x v="0"/>
    <x v="371"/>
    <x v="60"/>
    <s v="supplier@gmail.com"/>
  </r>
  <r>
    <x v="2481"/>
    <x v="2481"/>
    <x v="4"/>
    <x v="1"/>
    <x v="4"/>
    <x v="26"/>
    <x v="29"/>
    <x v="3"/>
    <x v="8"/>
    <x v="12"/>
    <x v="29"/>
    <x v="0"/>
    <x v="1"/>
    <x v="146"/>
    <s v="supplier@gmail.com"/>
  </r>
  <r>
    <x v="2482"/>
    <x v="2482"/>
    <x v="85"/>
    <x v="1"/>
    <x v="402"/>
    <x v="62"/>
    <x v="12"/>
    <x v="8"/>
    <x v="152"/>
    <x v="262"/>
    <x v="12"/>
    <x v="0"/>
    <x v="231"/>
    <x v="41"/>
    <s v="supplier@gmail.com"/>
  </r>
  <r>
    <x v="2483"/>
    <x v="2483"/>
    <x v="4"/>
    <x v="1"/>
    <x v="16"/>
    <x v="1"/>
    <x v="12"/>
    <x v="8"/>
    <x v="8"/>
    <x v="12"/>
    <x v="8"/>
    <x v="0"/>
    <x v="113"/>
    <x v="143"/>
    <s v="supplier@gmail.com"/>
  </r>
  <r>
    <x v="2484"/>
    <x v="2484"/>
    <x v="4"/>
    <x v="1"/>
    <x v="4"/>
    <x v="1"/>
    <x v="12"/>
    <x v="8"/>
    <x v="8"/>
    <x v="12"/>
    <x v="8"/>
    <x v="0"/>
    <x v="808"/>
    <x v="175"/>
    <s v="supplier@gmail.com"/>
  </r>
  <r>
    <x v="2485"/>
    <x v="2485"/>
    <x v="4"/>
    <x v="1"/>
    <x v="4"/>
    <x v="1"/>
    <x v="12"/>
    <x v="8"/>
    <x v="8"/>
    <x v="12"/>
    <x v="8"/>
    <x v="0"/>
    <x v="809"/>
    <x v="183"/>
    <s v="supplier@gmail.com"/>
  </r>
  <r>
    <x v="2486"/>
    <x v="2486"/>
    <x v="4"/>
    <x v="1"/>
    <x v="4"/>
    <x v="1"/>
    <x v="12"/>
    <x v="8"/>
    <x v="8"/>
    <x v="12"/>
    <x v="8"/>
    <x v="0"/>
    <x v="810"/>
    <x v="11"/>
    <s v="supplier@gmail.com"/>
  </r>
  <r>
    <x v="2487"/>
    <x v="2487"/>
    <x v="4"/>
    <x v="1"/>
    <x v="4"/>
    <x v="43"/>
    <x v="12"/>
    <x v="8"/>
    <x v="8"/>
    <x v="39"/>
    <x v="8"/>
    <x v="0"/>
    <x v="455"/>
    <x v="146"/>
    <s v="supplier@gmail.com"/>
  </r>
  <r>
    <x v="2488"/>
    <x v="2488"/>
    <x v="382"/>
    <x v="165"/>
    <x v="403"/>
    <x v="403"/>
    <x v="362"/>
    <x v="336"/>
    <x v="263"/>
    <x v="321"/>
    <x v="309"/>
    <x v="0"/>
    <x v="267"/>
    <x v="135"/>
    <s v="supplier@gmail.com"/>
  </r>
  <r>
    <x v="2489"/>
    <x v="2489"/>
    <x v="4"/>
    <x v="1"/>
    <x v="4"/>
    <x v="1"/>
    <x v="12"/>
    <x v="8"/>
    <x v="8"/>
    <x v="12"/>
    <x v="8"/>
    <x v="0"/>
    <x v="1"/>
    <x v="60"/>
    <s v="supplier@gmail.com"/>
  </r>
  <r>
    <x v="2490"/>
    <x v="2490"/>
    <x v="12"/>
    <x v="37"/>
    <x v="9"/>
    <x v="5"/>
    <x v="338"/>
    <x v="305"/>
    <x v="303"/>
    <x v="10"/>
    <x v="71"/>
    <x v="0"/>
    <x v="33"/>
    <x v="167"/>
    <s v="supplier@gmail.com"/>
  </r>
  <r>
    <x v="2491"/>
    <x v="2491"/>
    <x v="4"/>
    <x v="1"/>
    <x v="4"/>
    <x v="1"/>
    <x v="43"/>
    <x v="8"/>
    <x v="8"/>
    <x v="12"/>
    <x v="8"/>
    <x v="0"/>
    <x v="793"/>
    <x v="157"/>
    <s v="supplier@gmail.com"/>
  </r>
  <r>
    <x v="2492"/>
    <x v="2492"/>
    <x v="175"/>
    <x v="89"/>
    <x v="31"/>
    <x v="20"/>
    <x v="22"/>
    <x v="149"/>
    <x v="142"/>
    <x v="112"/>
    <x v="121"/>
    <x v="0"/>
    <x v="227"/>
    <x v="50"/>
    <s v="supplier@gmail.com"/>
  </r>
  <r>
    <x v="2493"/>
    <x v="2493"/>
    <x v="0"/>
    <x v="15"/>
    <x v="149"/>
    <x v="158"/>
    <x v="38"/>
    <x v="85"/>
    <x v="126"/>
    <x v="68"/>
    <x v="24"/>
    <x v="0"/>
    <x v="101"/>
    <x v="29"/>
    <s v="supplier@gmail.com"/>
  </r>
  <r>
    <x v="2494"/>
    <x v="2494"/>
    <x v="0"/>
    <x v="1"/>
    <x v="0"/>
    <x v="1"/>
    <x v="23"/>
    <x v="8"/>
    <x v="8"/>
    <x v="42"/>
    <x v="8"/>
    <x v="0"/>
    <x v="81"/>
    <x v="138"/>
    <s v="supplier@gmail.com"/>
  </r>
  <r>
    <x v="2495"/>
    <x v="2495"/>
    <x v="0"/>
    <x v="1"/>
    <x v="0"/>
    <x v="1"/>
    <x v="23"/>
    <x v="8"/>
    <x v="8"/>
    <x v="42"/>
    <x v="8"/>
    <x v="0"/>
    <x v="440"/>
    <x v="65"/>
    <s v="supplier@gmail.com"/>
  </r>
  <r>
    <x v="2496"/>
    <x v="2496"/>
    <x v="7"/>
    <x v="8"/>
    <x v="38"/>
    <x v="36"/>
    <x v="8"/>
    <x v="13"/>
    <x v="67"/>
    <x v="65"/>
    <x v="74"/>
    <x v="0"/>
    <x v="811"/>
    <x v="125"/>
    <s v="supplier@gmail.com"/>
  </r>
  <r>
    <x v="2497"/>
    <x v="2497"/>
    <x v="44"/>
    <x v="62"/>
    <x v="31"/>
    <x v="31"/>
    <x v="25"/>
    <x v="8"/>
    <x v="26"/>
    <x v="322"/>
    <x v="8"/>
    <x v="0"/>
    <x v="1"/>
    <x v="143"/>
    <s v="supplier@gmail.com"/>
  </r>
  <r>
    <x v="2498"/>
    <x v="2498"/>
    <x v="82"/>
    <x v="66"/>
    <x v="7"/>
    <x v="1"/>
    <x v="12"/>
    <x v="8"/>
    <x v="8"/>
    <x v="12"/>
    <x v="12"/>
    <x v="0"/>
    <x v="812"/>
    <x v="21"/>
    <s v="supplier@gmail.com"/>
  </r>
  <r>
    <x v="2499"/>
    <x v="2499"/>
    <x v="4"/>
    <x v="1"/>
    <x v="39"/>
    <x v="1"/>
    <x v="12"/>
    <x v="8"/>
    <x v="8"/>
    <x v="34"/>
    <x v="8"/>
    <x v="0"/>
    <x v="813"/>
    <x v="151"/>
    <s v="supplier@gmail.com"/>
  </r>
  <r>
    <x v="2500"/>
    <x v="2500"/>
    <x v="4"/>
    <x v="1"/>
    <x v="4"/>
    <x v="1"/>
    <x v="12"/>
    <x v="8"/>
    <x v="8"/>
    <x v="12"/>
    <x v="8"/>
    <x v="0"/>
    <x v="102"/>
    <x v="113"/>
    <s v="supplier@gmail.com"/>
  </r>
  <r>
    <x v="2501"/>
    <x v="2501"/>
    <x v="4"/>
    <x v="1"/>
    <x v="4"/>
    <x v="1"/>
    <x v="12"/>
    <x v="8"/>
    <x v="8"/>
    <x v="12"/>
    <x v="8"/>
    <x v="0"/>
    <x v="1"/>
    <x v="148"/>
    <s v="supplier@gmail.com"/>
  </r>
  <r>
    <x v="2502"/>
    <x v="2502"/>
    <x v="4"/>
    <x v="1"/>
    <x v="4"/>
    <x v="0"/>
    <x v="12"/>
    <x v="8"/>
    <x v="8"/>
    <x v="25"/>
    <x v="8"/>
    <x v="0"/>
    <x v="1"/>
    <x v="17"/>
    <s v="supplier@gmail.com"/>
  </r>
  <r>
    <x v="2503"/>
    <x v="2503"/>
    <x v="36"/>
    <x v="1"/>
    <x v="6"/>
    <x v="404"/>
    <x v="363"/>
    <x v="261"/>
    <x v="0"/>
    <x v="43"/>
    <x v="5"/>
    <x v="0"/>
    <x v="796"/>
    <x v="34"/>
    <s v="supplier@gmail.com"/>
  </r>
  <r>
    <x v="2504"/>
    <x v="2504"/>
    <x v="4"/>
    <x v="1"/>
    <x v="4"/>
    <x v="1"/>
    <x v="12"/>
    <x v="8"/>
    <x v="8"/>
    <x v="29"/>
    <x v="8"/>
    <x v="0"/>
    <x v="64"/>
    <x v="87"/>
    <s v="supplier@gmail.com"/>
  </r>
  <r>
    <x v="2505"/>
    <x v="2505"/>
    <x v="383"/>
    <x v="329"/>
    <x v="404"/>
    <x v="405"/>
    <x v="364"/>
    <x v="337"/>
    <x v="321"/>
    <x v="323"/>
    <x v="310"/>
    <x v="0"/>
    <x v="65"/>
    <x v="78"/>
    <s v="supplier@gmail.com"/>
  </r>
  <r>
    <x v="2506"/>
    <x v="2506"/>
    <x v="384"/>
    <x v="330"/>
    <x v="405"/>
    <x v="406"/>
    <x v="365"/>
    <x v="338"/>
    <x v="322"/>
    <x v="324"/>
    <x v="311"/>
    <x v="0"/>
    <x v="84"/>
    <x v="71"/>
    <s v="supplier@gmail.com"/>
  </r>
  <r>
    <x v="2507"/>
    <x v="2507"/>
    <x v="314"/>
    <x v="67"/>
    <x v="69"/>
    <x v="296"/>
    <x v="77"/>
    <x v="74"/>
    <x v="68"/>
    <x v="60"/>
    <x v="60"/>
    <x v="0"/>
    <x v="555"/>
    <x v="57"/>
    <s v="supplier@gmail.com"/>
  </r>
  <r>
    <x v="2508"/>
    <x v="2508"/>
    <x v="70"/>
    <x v="66"/>
    <x v="9"/>
    <x v="39"/>
    <x v="76"/>
    <x v="36"/>
    <x v="67"/>
    <x v="34"/>
    <x v="61"/>
    <x v="0"/>
    <x v="338"/>
    <x v="119"/>
    <s v="supplier@gmail.com"/>
  </r>
  <r>
    <x v="2509"/>
    <x v="2509"/>
    <x v="117"/>
    <x v="104"/>
    <x v="116"/>
    <x v="118"/>
    <x v="94"/>
    <x v="112"/>
    <x v="100"/>
    <x v="105"/>
    <x v="96"/>
    <x v="0"/>
    <x v="224"/>
    <x v="191"/>
    <s v="supplier@gmail.com"/>
  </r>
  <r>
    <x v="2510"/>
    <x v="2510"/>
    <x v="174"/>
    <x v="35"/>
    <x v="73"/>
    <x v="4"/>
    <x v="178"/>
    <x v="225"/>
    <x v="111"/>
    <x v="65"/>
    <x v="20"/>
    <x v="0"/>
    <x v="814"/>
    <x v="113"/>
    <s v="supplier@gmail.com"/>
  </r>
  <r>
    <x v="2511"/>
    <x v="2511"/>
    <x v="385"/>
    <x v="331"/>
    <x v="406"/>
    <x v="407"/>
    <x v="366"/>
    <x v="92"/>
    <x v="323"/>
    <x v="10"/>
    <x v="93"/>
    <x v="0"/>
    <x v="1"/>
    <x v="4"/>
    <s v="supplier@gmail.com"/>
  </r>
  <r>
    <x v="2512"/>
    <x v="2512"/>
    <x v="386"/>
    <x v="50"/>
    <x v="407"/>
    <x v="408"/>
    <x v="367"/>
    <x v="339"/>
    <x v="16"/>
    <x v="18"/>
    <x v="312"/>
    <x v="0"/>
    <x v="151"/>
    <x v="80"/>
    <s v="supplier@gmail.com"/>
  </r>
  <r>
    <x v="2513"/>
    <x v="2513"/>
    <x v="4"/>
    <x v="1"/>
    <x v="4"/>
    <x v="1"/>
    <x v="12"/>
    <x v="8"/>
    <x v="8"/>
    <x v="12"/>
    <x v="8"/>
    <x v="0"/>
    <x v="1"/>
    <x v="144"/>
    <s v="supplier@gmail.com"/>
  </r>
  <r>
    <x v="2514"/>
    <x v="2514"/>
    <x v="133"/>
    <x v="37"/>
    <x v="63"/>
    <x v="333"/>
    <x v="91"/>
    <x v="41"/>
    <x v="62"/>
    <x v="35"/>
    <x v="34"/>
    <x v="0"/>
    <x v="1"/>
    <x v="14"/>
    <s v="supplier@gmail.com"/>
  </r>
  <r>
    <x v="2515"/>
    <x v="2515"/>
    <x v="4"/>
    <x v="1"/>
    <x v="4"/>
    <x v="1"/>
    <x v="12"/>
    <x v="8"/>
    <x v="8"/>
    <x v="12"/>
    <x v="8"/>
    <x v="0"/>
    <x v="1"/>
    <x v="185"/>
    <s v="supplier@gmail.com"/>
  </r>
  <r>
    <x v="2516"/>
    <x v="2516"/>
    <x v="4"/>
    <x v="1"/>
    <x v="4"/>
    <x v="1"/>
    <x v="12"/>
    <x v="8"/>
    <x v="8"/>
    <x v="12"/>
    <x v="8"/>
    <x v="0"/>
    <x v="815"/>
    <x v="136"/>
    <s v="supplier@gmail.com"/>
  </r>
  <r>
    <x v="2517"/>
    <x v="2517"/>
    <x v="4"/>
    <x v="1"/>
    <x v="4"/>
    <x v="1"/>
    <x v="12"/>
    <x v="8"/>
    <x v="8"/>
    <x v="12"/>
    <x v="8"/>
    <x v="0"/>
    <x v="816"/>
    <x v="177"/>
    <s v="supplier@gmail.com"/>
  </r>
  <r>
    <x v="2518"/>
    <x v="2518"/>
    <x v="4"/>
    <x v="1"/>
    <x v="4"/>
    <x v="1"/>
    <x v="12"/>
    <x v="8"/>
    <x v="8"/>
    <x v="12"/>
    <x v="8"/>
    <x v="0"/>
    <x v="817"/>
    <x v="57"/>
    <s v="supplier@gmail.com"/>
  </r>
  <r>
    <x v="2519"/>
    <x v="2519"/>
    <x v="4"/>
    <x v="1"/>
    <x v="4"/>
    <x v="1"/>
    <x v="12"/>
    <x v="8"/>
    <x v="8"/>
    <x v="12"/>
    <x v="8"/>
    <x v="0"/>
    <x v="818"/>
    <x v="76"/>
    <s v="supplier@gmail.com"/>
  </r>
  <r>
    <x v="2520"/>
    <x v="2520"/>
    <x v="4"/>
    <x v="1"/>
    <x v="4"/>
    <x v="1"/>
    <x v="12"/>
    <x v="8"/>
    <x v="8"/>
    <x v="12"/>
    <x v="8"/>
    <x v="0"/>
    <x v="1"/>
    <x v="73"/>
    <s v="supplier@gmail.com"/>
  </r>
  <r>
    <x v="2521"/>
    <x v="2521"/>
    <x v="4"/>
    <x v="1"/>
    <x v="4"/>
    <x v="1"/>
    <x v="12"/>
    <x v="8"/>
    <x v="8"/>
    <x v="12"/>
    <x v="8"/>
    <x v="0"/>
    <x v="819"/>
    <x v="51"/>
    <s v="supplier@gmail.com"/>
  </r>
  <r>
    <x v="2522"/>
    <x v="2522"/>
    <x v="387"/>
    <x v="1"/>
    <x v="114"/>
    <x v="14"/>
    <x v="12"/>
    <x v="8"/>
    <x v="8"/>
    <x v="12"/>
    <x v="8"/>
    <x v="0"/>
    <x v="596"/>
    <x v="177"/>
    <s v="supplier@gmail.com"/>
  </r>
  <r>
    <x v="2523"/>
    <x v="2523"/>
    <x v="262"/>
    <x v="1"/>
    <x v="0"/>
    <x v="15"/>
    <x v="21"/>
    <x v="8"/>
    <x v="8"/>
    <x v="12"/>
    <x v="8"/>
    <x v="0"/>
    <x v="820"/>
    <x v="166"/>
    <s v="supplier@gmail.com"/>
  </r>
  <r>
    <x v="2524"/>
    <x v="2524"/>
    <x v="25"/>
    <x v="332"/>
    <x v="408"/>
    <x v="409"/>
    <x v="368"/>
    <x v="340"/>
    <x v="324"/>
    <x v="81"/>
    <x v="313"/>
    <x v="0"/>
    <x v="248"/>
    <x v="114"/>
    <s v="supplier@gmail.com"/>
  </r>
  <r>
    <x v="2525"/>
    <x v="2525"/>
    <x v="388"/>
    <x v="333"/>
    <x v="409"/>
    <x v="410"/>
    <x v="369"/>
    <x v="341"/>
    <x v="325"/>
    <x v="325"/>
    <x v="314"/>
    <x v="0"/>
    <x v="1"/>
    <x v="156"/>
    <s v="supplier@gmail.com"/>
  </r>
  <r>
    <x v="2526"/>
    <x v="2526"/>
    <x v="4"/>
    <x v="1"/>
    <x v="4"/>
    <x v="1"/>
    <x v="12"/>
    <x v="8"/>
    <x v="8"/>
    <x v="12"/>
    <x v="8"/>
    <x v="0"/>
    <x v="821"/>
    <x v="52"/>
    <s v="supplier@gmail.com"/>
  </r>
  <r>
    <x v="2527"/>
    <x v="2527"/>
    <x v="389"/>
    <x v="9"/>
    <x v="12"/>
    <x v="274"/>
    <x v="21"/>
    <x v="31"/>
    <x v="32"/>
    <x v="28"/>
    <x v="18"/>
    <x v="0"/>
    <x v="822"/>
    <x v="147"/>
    <s v="supplier@gmail.com"/>
  </r>
  <r>
    <x v="2528"/>
    <x v="2528"/>
    <x v="4"/>
    <x v="1"/>
    <x v="4"/>
    <x v="1"/>
    <x v="12"/>
    <x v="8"/>
    <x v="8"/>
    <x v="12"/>
    <x v="8"/>
    <x v="0"/>
    <x v="823"/>
    <x v="35"/>
    <s v="supplier@gmail.com"/>
  </r>
  <r>
    <x v="2529"/>
    <x v="2529"/>
    <x v="4"/>
    <x v="1"/>
    <x v="4"/>
    <x v="1"/>
    <x v="12"/>
    <x v="8"/>
    <x v="8"/>
    <x v="12"/>
    <x v="8"/>
    <x v="0"/>
    <x v="151"/>
    <x v="106"/>
    <s v="supplier@gmail.com"/>
  </r>
  <r>
    <x v="2530"/>
    <x v="2530"/>
    <x v="79"/>
    <x v="26"/>
    <x v="25"/>
    <x v="22"/>
    <x v="370"/>
    <x v="14"/>
    <x v="326"/>
    <x v="97"/>
    <x v="228"/>
    <x v="0"/>
    <x v="252"/>
    <x v="107"/>
    <s v="supplier@gmail.com"/>
  </r>
  <r>
    <x v="2531"/>
    <x v="2531"/>
    <x v="390"/>
    <x v="334"/>
    <x v="410"/>
    <x v="411"/>
    <x v="371"/>
    <x v="342"/>
    <x v="327"/>
    <x v="326"/>
    <x v="315"/>
    <x v="0"/>
    <x v="601"/>
    <x v="131"/>
    <s v="supplier@gmail.com"/>
  </r>
  <r>
    <x v="2532"/>
    <x v="2532"/>
    <x v="4"/>
    <x v="1"/>
    <x v="4"/>
    <x v="33"/>
    <x v="32"/>
    <x v="19"/>
    <x v="17"/>
    <x v="28"/>
    <x v="27"/>
    <x v="0"/>
    <x v="1"/>
    <x v="199"/>
    <s v="supplier@gmail.com"/>
  </r>
  <r>
    <x v="2533"/>
    <x v="2533"/>
    <x v="70"/>
    <x v="42"/>
    <x v="309"/>
    <x v="80"/>
    <x v="37"/>
    <x v="41"/>
    <x v="74"/>
    <x v="2"/>
    <x v="35"/>
    <x v="0"/>
    <x v="1"/>
    <x v="157"/>
    <s v="supplier@gmail.com"/>
  </r>
  <r>
    <x v="2534"/>
    <x v="2534"/>
    <x v="4"/>
    <x v="1"/>
    <x v="4"/>
    <x v="1"/>
    <x v="12"/>
    <x v="8"/>
    <x v="8"/>
    <x v="12"/>
    <x v="8"/>
    <x v="0"/>
    <x v="824"/>
    <x v="78"/>
    <s v="supplier@gmail.com"/>
  </r>
  <r>
    <x v="2535"/>
    <x v="2535"/>
    <x v="22"/>
    <x v="335"/>
    <x v="411"/>
    <x v="412"/>
    <x v="337"/>
    <x v="343"/>
    <x v="328"/>
    <x v="327"/>
    <x v="316"/>
    <x v="0"/>
    <x v="1"/>
    <x v="2"/>
    <s v="supplier@gmail.com"/>
  </r>
  <r>
    <x v="2536"/>
    <x v="2536"/>
    <x v="93"/>
    <x v="107"/>
    <x v="42"/>
    <x v="33"/>
    <x v="32"/>
    <x v="8"/>
    <x v="8"/>
    <x v="12"/>
    <x v="8"/>
    <x v="0"/>
    <x v="563"/>
    <x v="153"/>
    <s v="supplier@gmail.com"/>
  </r>
  <r>
    <x v="2537"/>
    <x v="2537"/>
    <x v="4"/>
    <x v="1"/>
    <x v="4"/>
    <x v="1"/>
    <x v="12"/>
    <x v="8"/>
    <x v="8"/>
    <x v="12"/>
    <x v="8"/>
    <x v="0"/>
    <x v="351"/>
    <x v="34"/>
    <s v="supplier@gmail.com"/>
  </r>
  <r>
    <x v="2538"/>
    <x v="2538"/>
    <x v="93"/>
    <x v="1"/>
    <x v="4"/>
    <x v="1"/>
    <x v="12"/>
    <x v="8"/>
    <x v="8"/>
    <x v="12"/>
    <x v="8"/>
    <x v="0"/>
    <x v="351"/>
    <x v="9"/>
    <s v="supplier@gmail.com"/>
  </r>
  <r>
    <x v="2539"/>
    <x v="2539"/>
    <x v="44"/>
    <x v="1"/>
    <x v="4"/>
    <x v="1"/>
    <x v="12"/>
    <x v="8"/>
    <x v="8"/>
    <x v="12"/>
    <x v="8"/>
    <x v="0"/>
    <x v="825"/>
    <x v="125"/>
    <s v="supplier@gmail.com"/>
  </r>
  <r>
    <x v="2540"/>
    <x v="2540"/>
    <x v="106"/>
    <x v="1"/>
    <x v="98"/>
    <x v="71"/>
    <x v="12"/>
    <x v="8"/>
    <x v="8"/>
    <x v="12"/>
    <x v="8"/>
    <x v="0"/>
    <x v="425"/>
    <x v="118"/>
    <s v="supplier@gmail.com"/>
  </r>
  <r>
    <x v="2541"/>
    <x v="2541"/>
    <x v="4"/>
    <x v="1"/>
    <x v="4"/>
    <x v="1"/>
    <x v="12"/>
    <x v="8"/>
    <x v="8"/>
    <x v="12"/>
    <x v="8"/>
    <x v="0"/>
    <x v="1"/>
    <x v="46"/>
    <s v="supplier@gmail.com"/>
  </r>
  <r>
    <x v="2542"/>
    <x v="2542"/>
    <x v="270"/>
    <x v="233"/>
    <x v="115"/>
    <x v="273"/>
    <x v="9"/>
    <x v="224"/>
    <x v="42"/>
    <x v="232"/>
    <x v="22"/>
    <x v="0"/>
    <x v="488"/>
    <x v="55"/>
    <s v="supplier@gmail.com"/>
  </r>
  <r>
    <x v="2543"/>
    <x v="2543"/>
    <x v="124"/>
    <x v="240"/>
    <x v="412"/>
    <x v="153"/>
    <x v="37"/>
    <x v="136"/>
    <x v="67"/>
    <x v="290"/>
    <x v="32"/>
    <x v="0"/>
    <x v="685"/>
    <x v="68"/>
    <s v="supplier@gmail.com"/>
  </r>
  <r>
    <x v="2544"/>
    <x v="2544"/>
    <x v="110"/>
    <x v="223"/>
    <x v="37"/>
    <x v="264"/>
    <x v="244"/>
    <x v="22"/>
    <x v="23"/>
    <x v="31"/>
    <x v="22"/>
    <x v="0"/>
    <x v="826"/>
    <x v="175"/>
    <s v="supplier@gmail.com"/>
  </r>
  <r>
    <x v="2545"/>
    <x v="2545"/>
    <x v="110"/>
    <x v="223"/>
    <x v="37"/>
    <x v="264"/>
    <x v="244"/>
    <x v="22"/>
    <x v="23"/>
    <x v="31"/>
    <x v="22"/>
    <x v="0"/>
    <x v="187"/>
    <x v="93"/>
    <s v="supplier@gmail.com"/>
  </r>
  <r>
    <x v="2546"/>
    <x v="2546"/>
    <x v="9"/>
    <x v="1"/>
    <x v="4"/>
    <x v="1"/>
    <x v="10"/>
    <x v="8"/>
    <x v="8"/>
    <x v="9"/>
    <x v="8"/>
    <x v="0"/>
    <x v="3"/>
    <x v="39"/>
    <s v="supplier@gmail.com"/>
  </r>
  <r>
    <x v="2547"/>
    <x v="2547"/>
    <x v="4"/>
    <x v="1"/>
    <x v="4"/>
    <x v="1"/>
    <x v="12"/>
    <x v="8"/>
    <x v="8"/>
    <x v="12"/>
    <x v="8"/>
    <x v="0"/>
    <x v="351"/>
    <x v="31"/>
    <s v="supplier@gmail.com"/>
  </r>
  <r>
    <x v="2548"/>
    <x v="2548"/>
    <x v="24"/>
    <x v="122"/>
    <x v="118"/>
    <x v="39"/>
    <x v="36"/>
    <x v="7"/>
    <x v="42"/>
    <x v="328"/>
    <x v="33"/>
    <x v="0"/>
    <x v="659"/>
    <x v="48"/>
    <s v="supplier@gmail.com"/>
  </r>
  <r>
    <x v="2549"/>
    <x v="2549"/>
    <x v="7"/>
    <x v="156"/>
    <x v="5"/>
    <x v="39"/>
    <x v="8"/>
    <x v="7"/>
    <x v="42"/>
    <x v="16"/>
    <x v="33"/>
    <x v="0"/>
    <x v="221"/>
    <x v="158"/>
    <s v="supplier@gmail.com"/>
  </r>
  <r>
    <x v="2550"/>
    <x v="2550"/>
    <x v="4"/>
    <x v="1"/>
    <x v="16"/>
    <x v="1"/>
    <x v="12"/>
    <x v="8"/>
    <x v="8"/>
    <x v="12"/>
    <x v="8"/>
    <x v="0"/>
    <x v="1"/>
    <x v="116"/>
    <s v="supplier@gmail.com"/>
  </r>
  <r>
    <x v="2551"/>
    <x v="2551"/>
    <x v="4"/>
    <x v="1"/>
    <x v="4"/>
    <x v="1"/>
    <x v="12"/>
    <x v="8"/>
    <x v="8"/>
    <x v="12"/>
    <x v="8"/>
    <x v="0"/>
    <x v="36"/>
    <x v="60"/>
    <s v="supplier@gmail.com"/>
  </r>
  <r>
    <x v="2552"/>
    <x v="2552"/>
    <x v="175"/>
    <x v="4"/>
    <x v="6"/>
    <x v="34"/>
    <x v="139"/>
    <x v="9"/>
    <x v="40"/>
    <x v="29"/>
    <x v="120"/>
    <x v="0"/>
    <x v="1"/>
    <x v="35"/>
    <s v="supplier@gmail.com"/>
  </r>
  <r>
    <x v="2553"/>
    <x v="2553"/>
    <x v="4"/>
    <x v="1"/>
    <x v="4"/>
    <x v="1"/>
    <x v="12"/>
    <x v="8"/>
    <x v="8"/>
    <x v="12"/>
    <x v="8"/>
    <x v="0"/>
    <x v="13"/>
    <x v="8"/>
    <s v="supplier@gmail.com"/>
  </r>
  <r>
    <x v="2554"/>
    <x v="2554"/>
    <x v="42"/>
    <x v="16"/>
    <x v="12"/>
    <x v="36"/>
    <x v="36"/>
    <x v="39"/>
    <x v="40"/>
    <x v="13"/>
    <x v="71"/>
    <x v="0"/>
    <x v="162"/>
    <x v="120"/>
    <s v="supplier@gmail.com"/>
  </r>
  <r>
    <x v="2555"/>
    <x v="2555"/>
    <x v="1"/>
    <x v="1"/>
    <x v="4"/>
    <x v="1"/>
    <x v="12"/>
    <x v="8"/>
    <x v="8"/>
    <x v="12"/>
    <x v="8"/>
    <x v="0"/>
    <x v="827"/>
    <x v="46"/>
    <s v="supplier@gmail.com"/>
  </r>
  <r>
    <x v="2556"/>
    <x v="2556"/>
    <x v="7"/>
    <x v="8"/>
    <x v="38"/>
    <x v="36"/>
    <x v="8"/>
    <x v="13"/>
    <x v="67"/>
    <x v="65"/>
    <x v="74"/>
    <x v="0"/>
    <x v="470"/>
    <x v="95"/>
    <s v="supplier@gmail.com"/>
  </r>
  <r>
    <x v="2557"/>
    <x v="2557"/>
    <x v="32"/>
    <x v="32"/>
    <x v="30"/>
    <x v="16"/>
    <x v="17"/>
    <x v="30"/>
    <x v="31"/>
    <x v="19"/>
    <x v="17"/>
    <x v="0"/>
    <x v="120"/>
    <x v="109"/>
    <s v="supplier@gmail.com"/>
  </r>
  <r>
    <x v="2558"/>
    <x v="2558"/>
    <x v="21"/>
    <x v="31"/>
    <x v="29"/>
    <x v="6"/>
    <x v="8"/>
    <x v="29"/>
    <x v="30"/>
    <x v="26"/>
    <x v="27"/>
    <x v="0"/>
    <x v="67"/>
    <x v="42"/>
    <s v="supplier@gmail.com"/>
  </r>
  <r>
    <x v="2559"/>
    <x v="2559"/>
    <x v="31"/>
    <x v="19"/>
    <x v="28"/>
    <x v="34"/>
    <x v="18"/>
    <x v="28"/>
    <x v="29"/>
    <x v="25"/>
    <x v="26"/>
    <x v="0"/>
    <x v="828"/>
    <x v="126"/>
    <s v="supplier@gmail.com"/>
  </r>
  <r>
    <x v="2560"/>
    <x v="2560"/>
    <x v="112"/>
    <x v="102"/>
    <x v="110"/>
    <x v="10"/>
    <x v="9"/>
    <x v="107"/>
    <x v="96"/>
    <x v="30"/>
    <x v="19"/>
    <x v="0"/>
    <x v="501"/>
    <x v="31"/>
    <s v="supplier@gmail.com"/>
  </r>
  <r>
    <x v="2561"/>
    <x v="2561"/>
    <x v="34"/>
    <x v="33"/>
    <x v="32"/>
    <x v="36"/>
    <x v="21"/>
    <x v="31"/>
    <x v="32"/>
    <x v="28"/>
    <x v="18"/>
    <x v="0"/>
    <x v="32"/>
    <x v="54"/>
    <s v="supplier@gmail.com"/>
  </r>
  <r>
    <x v="2562"/>
    <x v="2562"/>
    <x v="18"/>
    <x v="1"/>
    <x v="16"/>
    <x v="19"/>
    <x v="17"/>
    <x v="18"/>
    <x v="17"/>
    <x v="19"/>
    <x v="17"/>
    <x v="0"/>
    <x v="193"/>
    <x v="63"/>
    <s v="supplier@gmail.com"/>
  </r>
  <r>
    <x v="2563"/>
    <x v="2563"/>
    <x v="31"/>
    <x v="19"/>
    <x v="28"/>
    <x v="34"/>
    <x v="18"/>
    <x v="28"/>
    <x v="29"/>
    <x v="25"/>
    <x v="26"/>
    <x v="0"/>
    <x v="178"/>
    <x v="99"/>
    <s v="supplier@gmail.com"/>
  </r>
  <r>
    <x v="2564"/>
    <x v="2564"/>
    <x v="4"/>
    <x v="33"/>
    <x v="15"/>
    <x v="33"/>
    <x v="32"/>
    <x v="26"/>
    <x v="26"/>
    <x v="12"/>
    <x v="8"/>
    <x v="0"/>
    <x v="751"/>
    <x v="95"/>
    <s v="supplier@gmail.com"/>
  </r>
  <r>
    <x v="2565"/>
    <x v="2565"/>
    <x v="4"/>
    <x v="33"/>
    <x v="15"/>
    <x v="33"/>
    <x v="32"/>
    <x v="26"/>
    <x v="26"/>
    <x v="12"/>
    <x v="8"/>
    <x v="0"/>
    <x v="254"/>
    <x v="100"/>
    <s v="supplier@gmail.com"/>
  </r>
  <r>
    <x v="2566"/>
    <x v="2566"/>
    <x v="18"/>
    <x v="1"/>
    <x v="16"/>
    <x v="31"/>
    <x v="112"/>
    <x v="85"/>
    <x v="17"/>
    <x v="25"/>
    <x v="26"/>
    <x v="0"/>
    <x v="3"/>
    <x v="73"/>
    <s v="supplier@gmail.com"/>
  </r>
  <r>
    <x v="2567"/>
    <x v="2567"/>
    <x v="36"/>
    <x v="1"/>
    <x v="6"/>
    <x v="0"/>
    <x v="49"/>
    <x v="8"/>
    <x v="0"/>
    <x v="43"/>
    <x v="8"/>
    <x v="0"/>
    <x v="1"/>
    <x v="136"/>
    <s v="supplier@gmail.com"/>
  </r>
  <r>
    <x v="2568"/>
    <x v="2568"/>
    <x v="4"/>
    <x v="1"/>
    <x v="4"/>
    <x v="1"/>
    <x v="12"/>
    <x v="8"/>
    <x v="8"/>
    <x v="12"/>
    <x v="8"/>
    <x v="0"/>
    <x v="755"/>
    <x v="149"/>
    <s v="supplier@gmail.com"/>
  </r>
  <r>
    <x v="2569"/>
    <x v="2569"/>
    <x v="4"/>
    <x v="1"/>
    <x v="4"/>
    <x v="1"/>
    <x v="12"/>
    <x v="8"/>
    <x v="8"/>
    <x v="12"/>
    <x v="8"/>
    <x v="0"/>
    <x v="714"/>
    <x v="4"/>
    <s v="supplier@gmail.com"/>
  </r>
  <r>
    <x v="2570"/>
    <x v="2570"/>
    <x v="4"/>
    <x v="1"/>
    <x v="190"/>
    <x v="19"/>
    <x v="25"/>
    <x v="8"/>
    <x v="17"/>
    <x v="29"/>
    <x v="8"/>
    <x v="0"/>
    <x v="829"/>
    <x v="149"/>
    <s v="supplier@gmail.com"/>
  </r>
  <r>
    <x v="2571"/>
    <x v="2571"/>
    <x v="4"/>
    <x v="1"/>
    <x v="4"/>
    <x v="1"/>
    <x v="12"/>
    <x v="344"/>
    <x v="307"/>
    <x v="12"/>
    <x v="8"/>
    <x v="0"/>
    <x v="165"/>
    <x v="132"/>
    <s v="supplier@gmail.com"/>
  </r>
  <r>
    <x v="2572"/>
    <x v="2572"/>
    <x v="44"/>
    <x v="1"/>
    <x v="15"/>
    <x v="1"/>
    <x v="0"/>
    <x v="8"/>
    <x v="8"/>
    <x v="0"/>
    <x v="8"/>
    <x v="0"/>
    <x v="830"/>
    <x v="109"/>
    <s v="supplier@gmail.com"/>
  </r>
  <r>
    <x v="2573"/>
    <x v="2573"/>
    <x v="391"/>
    <x v="336"/>
    <x v="413"/>
    <x v="413"/>
    <x v="372"/>
    <x v="345"/>
    <x v="329"/>
    <x v="116"/>
    <x v="112"/>
    <x v="0"/>
    <x v="831"/>
    <x v="29"/>
    <s v="supplier@gmail.com"/>
  </r>
  <r>
    <x v="2574"/>
    <x v="2574"/>
    <x v="185"/>
    <x v="337"/>
    <x v="286"/>
    <x v="414"/>
    <x v="373"/>
    <x v="161"/>
    <x v="73"/>
    <x v="132"/>
    <x v="59"/>
    <x v="0"/>
    <x v="102"/>
    <x v="139"/>
    <s v="supplier@gmail.com"/>
  </r>
  <r>
    <x v="2575"/>
    <x v="2575"/>
    <x v="392"/>
    <x v="1"/>
    <x v="414"/>
    <x v="415"/>
    <x v="12"/>
    <x v="8"/>
    <x v="8"/>
    <x v="12"/>
    <x v="8"/>
    <x v="0"/>
    <x v="1"/>
    <x v="107"/>
    <s v="supplier@gmail.com"/>
  </r>
  <r>
    <x v="2576"/>
    <x v="2576"/>
    <x v="392"/>
    <x v="1"/>
    <x v="414"/>
    <x v="415"/>
    <x v="12"/>
    <x v="8"/>
    <x v="8"/>
    <x v="12"/>
    <x v="8"/>
    <x v="0"/>
    <x v="1"/>
    <x v="166"/>
    <s v="supplier@gmail.com"/>
  </r>
  <r>
    <x v="2577"/>
    <x v="2577"/>
    <x v="4"/>
    <x v="1"/>
    <x v="4"/>
    <x v="1"/>
    <x v="12"/>
    <x v="8"/>
    <x v="8"/>
    <x v="12"/>
    <x v="8"/>
    <x v="0"/>
    <x v="37"/>
    <x v="63"/>
    <s v="supplier@gmail.com"/>
  </r>
  <r>
    <x v="2578"/>
    <x v="2578"/>
    <x v="4"/>
    <x v="1"/>
    <x v="4"/>
    <x v="1"/>
    <x v="12"/>
    <x v="8"/>
    <x v="8"/>
    <x v="12"/>
    <x v="8"/>
    <x v="0"/>
    <x v="38"/>
    <x v="22"/>
    <s v="supplier@gmail.com"/>
  </r>
  <r>
    <x v="2579"/>
    <x v="2579"/>
    <x v="393"/>
    <x v="1"/>
    <x v="4"/>
    <x v="1"/>
    <x v="228"/>
    <x v="8"/>
    <x v="8"/>
    <x v="12"/>
    <x v="8"/>
    <x v="0"/>
    <x v="1"/>
    <x v="156"/>
    <s v="supplier@gmail.com"/>
  </r>
  <r>
    <x v="2580"/>
    <x v="2580"/>
    <x v="392"/>
    <x v="1"/>
    <x v="414"/>
    <x v="415"/>
    <x v="12"/>
    <x v="8"/>
    <x v="8"/>
    <x v="12"/>
    <x v="8"/>
    <x v="0"/>
    <x v="807"/>
    <x v="149"/>
    <s v="supplier@gmail.com"/>
  </r>
  <r>
    <x v="2581"/>
    <x v="2581"/>
    <x v="394"/>
    <x v="338"/>
    <x v="415"/>
    <x v="416"/>
    <x v="374"/>
    <x v="346"/>
    <x v="330"/>
    <x v="329"/>
    <x v="317"/>
    <x v="0"/>
    <x v="1"/>
    <x v="22"/>
    <s v="supplier@gmail.com"/>
  </r>
  <r>
    <x v="2582"/>
    <x v="2582"/>
    <x v="4"/>
    <x v="1"/>
    <x v="4"/>
    <x v="1"/>
    <x v="12"/>
    <x v="8"/>
    <x v="8"/>
    <x v="12"/>
    <x v="8"/>
    <x v="0"/>
    <x v="1"/>
    <x v="107"/>
    <s v="supplier@gmail.com"/>
  </r>
  <r>
    <x v="2583"/>
    <x v="2583"/>
    <x v="4"/>
    <x v="1"/>
    <x v="4"/>
    <x v="1"/>
    <x v="282"/>
    <x v="8"/>
    <x v="8"/>
    <x v="12"/>
    <x v="8"/>
    <x v="0"/>
    <x v="1"/>
    <x v="102"/>
    <s v="supplier@gmail.com"/>
  </r>
  <r>
    <x v="2584"/>
    <x v="2584"/>
    <x v="4"/>
    <x v="1"/>
    <x v="4"/>
    <x v="1"/>
    <x v="12"/>
    <x v="8"/>
    <x v="8"/>
    <x v="12"/>
    <x v="8"/>
    <x v="0"/>
    <x v="832"/>
    <x v="127"/>
    <s v="supplier@gmail.com"/>
  </r>
  <r>
    <x v="2585"/>
    <x v="2585"/>
    <x v="42"/>
    <x v="1"/>
    <x v="4"/>
    <x v="1"/>
    <x v="12"/>
    <x v="12"/>
    <x v="8"/>
    <x v="12"/>
    <x v="8"/>
    <x v="0"/>
    <x v="832"/>
    <x v="96"/>
    <s v="supplier@gmail.com"/>
  </r>
  <r>
    <x v="2586"/>
    <x v="2586"/>
    <x v="42"/>
    <x v="1"/>
    <x v="4"/>
    <x v="1"/>
    <x v="12"/>
    <x v="12"/>
    <x v="8"/>
    <x v="12"/>
    <x v="8"/>
    <x v="0"/>
    <x v="22"/>
    <x v="120"/>
    <s v="supplier@gmail.com"/>
  </r>
  <r>
    <x v="2587"/>
    <x v="2587"/>
    <x v="4"/>
    <x v="1"/>
    <x v="4"/>
    <x v="1"/>
    <x v="12"/>
    <x v="8"/>
    <x v="8"/>
    <x v="12"/>
    <x v="8"/>
    <x v="0"/>
    <x v="118"/>
    <x v="140"/>
    <s v="supplier@gmail.com"/>
  </r>
  <r>
    <x v="2588"/>
    <x v="2588"/>
    <x v="4"/>
    <x v="1"/>
    <x v="4"/>
    <x v="1"/>
    <x v="12"/>
    <x v="8"/>
    <x v="8"/>
    <x v="12"/>
    <x v="8"/>
    <x v="0"/>
    <x v="378"/>
    <x v="151"/>
    <s v="supplier@gmail.com"/>
  </r>
  <r>
    <x v="2589"/>
    <x v="2589"/>
    <x v="4"/>
    <x v="1"/>
    <x v="4"/>
    <x v="1"/>
    <x v="12"/>
    <x v="8"/>
    <x v="8"/>
    <x v="12"/>
    <x v="8"/>
    <x v="0"/>
    <x v="833"/>
    <x v="23"/>
    <s v="supplier@gmail.com"/>
  </r>
  <r>
    <x v="2590"/>
    <x v="2590"/>
    <x v="4"/>
    <x v="1"/>
    <x v="4"/>
    <x v="1"/>
    <x v="12"/>
    <x v="8"/>
    <x v="8"/>
    <x v="12"/>
    <x v="8"/>
    <x v="0"/>
    <x v="374"/>
    <x v="155"/>
    <s v="supplier@gmail.com"/>
  </r>
  <r>
    <x v="2591"/>
    <x v="2591"/>
    <x v="45"/>
    <x v="41"/>
    <x v="78"/>
    <x v="77"/>
    <x v="375"/>
    <x v="347"/>
    <x v="331"/>
    <x v="69"/>
    <x v="318"/>
    <x v="0"/>
    <x v="102"/>
    <x v="104"/>
    <s v="supplier@gmail.com"/>
  </r>
  <r>
    <x v="2592"/>
    <x v="2592"/>
    <x v="4"/>
    <x v="1"/>
    <x v="4"/>
    <x v="1"/>
    <x v="12"/>
    <x v="8"/>
    <x v="8"/>
    <x v="12"/>
    <x v="8"/>
    <x v="0"/>
    <x v="39"/>
    <x v="153"/>
    <s v="supplier@gmail.com"/>
  </r>
  <r>
    <x v="2593"/>
    <x v="2593"/>
    <x v="36"/>
    <x v="1"/>
    <x v="4"/>
    <x v="1"/>
    <x v="12"/>
    <x v="8"/>
    <x v="8"/>
    <x v="12"/>
    <x v="8"/>
    <x v="0"/>
    <x v="36"/>
    <x v="45"/>
    <s v="supplier@gmail.com"/>
  </r>
  <r>
    <x v="2594"/>
    <x v="2594"/>
    <x v="4"/>
    <x v="1"/>
    <x v="34"/>
    <x v="1"/>
    <x v="12"/>
    <x v="8"/>
    <x v="8"/>
    <x v="12"/>
    <x v="8"/>
    <x v="0"/>
    <x v="1"/>
    <x v="44"/>
    <s v="supplier@gmail.com"/>
  </r>
  <r>
    <x v="2595"/>
    <x v="2595"/>
    <x v="4"/>
    <x v="1"/>
    <x v="4"/>
    <x v="1"/>
    <x v="12"/>
    <x v="8"/>
    <x v="8"/>
    <x v="12"/>
    <x v="8"/>
    <x v="0"/>
    <x v="39"/>
    <x v="35"/>
    <s v="supplier@gmail.com"/>
  </r>
  <r>
    <x v="2596"/>
    <x v="2596"/>
    <x v="4"/>
    <x v="1"/>
    <x v="4"/>
    <x v="1"/>
    <x v="12"/>
    <x v="8"/>
    <x v="8"/>
    <x v="12"/>
    <x v="8"/>
    <x v="0"/>
    <x v="1"/>
    <x v="12"/>
    <s v="supplier@gmail.com"/>
  </r>
  <r>
    <x v="2597"/>
    <x v="2597"/>
    <x v="4"/>
    <x v="1"/>
    <x v="4"/>
    <x v="1"/>
    <x v="12"/>
    <x v="8"/>
    <x v="8"/>
    <x v="12"/>
    <x v="8"/>
    <x v="0"/>
    <x v="1"/>
    <x v="143"/>
    <s v="supplier@gmail.com"/>
  </r>
  <r>
    <x v="2598"/>
    <x v="2598"/>
    <x v="4"/>
    <x v="1"/>
    <x v="4"/>
    <x v="1"/>
    <x v="12"/>
    <x v="8"/>
    <x v="8"/>
    <x v="12"/>
    <x v="8"/>
    <x v="0"/>
    <x v="38"/>
    <x v="81"/>
    <s v="supplier@gmail.com"/>
  </r>
  <r>
    <x v="2599"/>
    <x v="2599"/>
    <x v="4"/>
    <x v="1"/>
    <x v="4"/>
    <x v="1"/>
    <x v="12"/>
    <x v="8"/>
    <x v="8"/>
    <x v="12"/>
    <x v="8"/>
    <x v="0"/>
    <x v="1"/>
    <x v="96"/>
    <s v="supplier@gmail.com"/>
  </r>
  <r>
    <x v="2600"/>
    <x v="2600"/>
    <x v="304"/>
    <x v="62"/>
    <x v="309"/>
    <x v="63"/>
    <x v="37"/>
    <x v="90"/>
    <x v="332"/>
    <x v="158"/>
    <x v="86"/>
    <x v="0"/>
    <x v="1"/>
    <x v="6"/>
    <s v="supplier@gmail.com"/>
  </r>
  <r>
    <x v="2601"/>
    <x v="2601"/>
    <x v="1"/>
    <x v="1"/>
    <x v="43"/>
    <x v="43"/>
    <x v="41"/>
    <x v="45"/>
    <x v="8"/>
    <x v="37"/>
    <x v="34"/>
    <x v="0"/>
    <x v="1"/>
    <x v="88"/>
    <s v="supplier@gmail.com"/>
  </r>
  <r>
    <x v="2602"/>
    <x v="2602"/>
    <x v="41"/>
    <x v="39"/>
    <x v="44"/>
    <x v="44"/>
    <x v="42"/>
    <x v="43"/>
    <x v="62"/>
    <x v="38"/>
    <x v="34"/>
    <x v="0"/>
    <x v="1"/>
    <x v="123"/>
    <s v="supplier@gmail.com"/>
  </r>
  <r>
    <x v="2603"/>
    <x v="2603"/>
    <x v="4"/>
    <x v="40"/>
    <x v="4"/>
    <x v="43"/>
    <x v="43"/>
    <x v="37"/>
    <x v="8"/>
    <x v="39"/>
    <x v="8"/>
    <x v="0"/>
    <x v="1"/>
    <x v="32"/>
    <s v="supplier@gmail.com"/>
  </r>
  <r>
    <x v="2604"/>
    <x v="2604"/>
    <x v="42"/>
    <x v="1"/>
    <x v="4"/>
    <x v="1"/>
    <x v="14"/>
    <x v="8"/>
    <x v="8"/>
    <x v="12"/>
    <x v="8"/>
    <x v="0"/>
    <x v="180"/>
    <x v="166"/>
    <s v="supplier@gmail.com"/>
  </r>
  <r>
    <x v="2605"/>
    <x v="2605"/>
    <x v="4"/>
    <x v="1"/>
    <x v="4"/>
    <x v="1"/>
    <x v="12"/>
    <x v="8"/>
    <x v="8"/>
    <x v="12"/>
    <x v="8"/>
    <x v="0"/>
    <x v="1"/>
    <x v="76"/>
    <s v="supplier@gmail.com"/>
  </r>
  <r>
    <x v="2606"/>
    <x v="2606"/>
    <x v="4"/>
    <x v="1"/>
    <x v="4"/>
    <x v="64"/>
    <x v="91"/>
    <x v="8"/>
    <x v="74"/>
    <x v="330"/>
    <x v="68"/>
    <x v="0"/>
    <x v="1"/>
    <x v="170"/>
    <s v="supplier@gmail.com"/>
  </r>
  <r>
    <x v="2607"/>
    <x v="2607"/>
    <x v="288"/>
    <x v="165"/>
    <x v="297"/>
    <x v="297"/>
    <x v="269"/>
    <x v="244"/>
    <x v="236"/>
    <x v="255"/>
    <x v="226"/>
    <x v="0"/>
    <x v="834"/>
    <x v="2"/>
    <s v="supplier@gmail.com"/>
  </r>
  <r>
    <x v="2608"/>
    <x v="2608"/>
    <x v="4"/>
    <x v="1"/>
    <x v="4"/>
    <x v="1"/>
    <x v="12"/>
    <x v="8"/>
    <x v="8"/>
    <x v="12"/>
    <x v="8"/>
    <x v="0"/>
    <x v="25"/>
    <x v="99"/>
    <s v="supplier@gmail.com"/>
  </r>
  <r>
    <x v="2609"/>
    <x v="2609"/>
    <x v="7"/>
    <x v="8"/>
    <x v="38"/>
    <x v="36"/>
    <x v="8"/>
    <x v="13"/>
    <x v="67"/>
    <x v="65"/>
    <x v="74"/>
    <x v="0"/>
    <x v="1"/>
    <x v="151"/>
    <s v="supplier@gmail.com"/>
  </r>
  <r>
    <x v="2610"/>
    <x v="2610"/>
    <x v="4"/>
    <x v="1"/>
    <x v="38"/>
    <x v="40"/>
    <x v="12"/>
    <x v="8"/>
    <x v="8"/>
    <x v="34"/>
    <x v="8"/>
    <x v="0"/>
    <x v="31"/>
    <x v="127"/>
    <s v="supplier@gmail.com"/>
  </r>
  <r>
    <x v="2611"/>
    <x v="2611"/>
    <x v="4"/>
    <x v="1"/>
    <x v="4"/>
    <x v="1"/>
    <x v="12"/>
    <x v="8"/>
    <x v="8"/>
    <x v="12"/>
    <x v="8"/>
    <x v="0"/>
    <x v="1"/>
    <x v="76"/>
    <s v="supplier@gmail.com"/>
  </r>
  <r>
    <x v="2612"/>
    <x v="2612"/>
    <x v="4"/>
    <x v="1"/>
    <x v="4"/>
    <x v="417"/>
    <x v="12"/>
    <x v="8"/>
    <x v="8"/>
    <x v="12"/>
    <x v="8"/>
    <x v="0"/>
    <x v="1"/>
    <x v="57"/>
    <s v="supplier@gmail.com"/>
  </r>
  <r>
    <x v="2613"/>
    <x v="2613"/>
    <x v="4"/>
    <x v="1"/>
    <x v="4"/>
    <x v="1"/>
    <x v="12"/>
    <x v="8"/>
    <x v="8"/>
    <x v="12"/>
    <x v="8"/>
    <x v="0"/>
    <x v="1"/>
    <x v="6"/>
    <s v="supplier@gmail.com"/>
  </r>
  <r>
    <x v="2614"/>
    <x v="2614"/>
    <x v="4"/>
    <x v="1"/>
    <x v="4"/>
    <x v="1"/>
    <x v="12"/>
    <x v="8"/>
    <x v="8"/>
    <x v="12"/>
    <x v="8"/>
    <x v="0"/>
    <x v="1"/>
    <x v="11"/>
    <s v="supplier@gmail.com"/>
  </r>
  <r>
    <x v="2615"/>
    <x v="2615"/>
    <x v="4"/>
    <x v="1"/>
    <x v="4"/>
    <x v="1"/>
    <x v="12"/>
    <x v="8"/>
    <x v="8"/>
    <x v="12"/>
    <x v="8"/>
    <x v="0"/>
    <x v="1"/>
    <x v="123"/>
    <s v="supplier@gmail.com"/>
  </r>
  <r>
    <x v="2616"/>
    <x v="2616"/>
    <x v="4"/>
    <x v="1"/>
    <x v="4"/>
    <x v="1"/>
    <x v="12"/>
    <x v="8"/>
    <x v="8"/>
    <x v="12"/>
    <x v="8"/>
    <x v="0"/>
    <x v="1"/>
    <x v="94"/>
    <s v="supplier@gmail.com"/>
  </r>
  <r>
    <x v="2617"/>
    <x v="2617"/>
    <x v="4"/>
    <x v="1"/>
    <x v="4"/>
    <x v="1"/>
    <x v="12"/>
    <x v="8"/>
    <x v="8"/>
    <x v="12"/>
    <x v="8"/>
    <x v="0"/>
    <x v="1"/>
    <x v="175"/>
    <s v="supplier@gmail.com"/>
  </r>
  <r>
    <x v="2618"/>
    <x v="2618"/>
    <x v="4"/>
    <x v="1"/>
    <x v="4"/>
    <x v="1"/>
    <x v="12"/>
    <x v="8"/>
    <x v="333"/>
    <x v="12"/>
    <x v="8"/>
    <x v="0"/>
    <x v="1"/>
    <x v="184"/>
    <s v="supplier@gmail.com"/>
  </r>
  <r>
    <x v="2619"/>
    <x v="2619"/>
    <x v="4"/>
    <x v="1"/>
    <x v="4"/>
    <x v="1"/>
    <x v="12"/>
    <x v="8"/>
    <x v="8"/>
    <x v="12"/>
    <x v="8"/>
    <x v="0"/>
    <x v="1"/>
    <x v="142"/>
    <s v="supplier@gmail.com"/>
  </r>
  <r>
    <x v="2620"/>
    <x v="2620"/>
    <x v="4"/>
    <x v="1"/>
    <x v="4"/>
    <x v="417"/>
    <x v="12"/>
    <x v="8"/>
    <x v="8"/>
    <x v="12"/>
    <x v="8"/>
    <x v="0"/>
    <x v="1"/>
    <x v="11"/>
    <s v="supplier@gmail.com"/>
  </r>
  <r>
    <x v="2621"/>
    <x v="2621"/>
    <x v="4"/>
    <x v="1"/>
    <x v="4"/>
    <x v="1"/>
    <x v="12"/>
    <x v="8"/>
    <x v="8"/>
    <x v="12"/>
    <x v="8"/>
    <x v="0"/>
    <x v="1"/>
    <x v="147"/>
    <s v="supplier@gmail.com"/>
  </r>
  <r>
    <x v="2622"/>
    <x v="2622"/>
    <x v="4"/>
    <x v="1"/>
    <x v="4"/>
    <x v="1"/>
    <x v="12"/>
    <x v="8"/>
    <x v="8"/>
    <x v="12"/>
    <x v="8"/>
    <x v="0"/>
    <x v="354"/>
    <x v="145"/>
    <s v="supplier@gmail.com"/>
  </r>
  <r>
    <x v="2623"/>
    <x v="2623"/>
    <x v="4"/>
    <x v="1"/>
    <x v="4"/>
    <x v="1"/>
    <x v="12"/>
    <x v="8"/>
    <x v="8"/>
    <x v="12"/>
    <x v="8"/>
    <x v="0"/>
    <x v="1"/>
    <x v="164"/>
    <s v="supplier@gmail.com"/>
  </r>
  <r>
    <x v="2624"/>
    <x v="2624"/>
    <x v="4"/>
    <x v="1"/>
    <x v="4"/>
    <x v="1"/>
    <x v="12"/>
    <x v="8"/>
    <x v="8"/>
    <x v="12"/>
    <x v="8"/>
    <x v="0"/>
    <x v="1"/>
    <x v="148"/>
    <s v="supplier@gmail.com"/>
  </r>
  <r>
    <x v="2625"/>
    <x v="2625"/>
    <x v="4"/>
    <x v="1"/>
    <x v="4"/>
    <x v="1"/>
    <x v="12"/>
    <x v="8"/>
    <x v="8"/>
    <x v="12"/>
    <x v="8"/>
    <x v="0"/>
    <x v="1"/>
    <x v="110"/>
    <s v="supplier@gmail.com"/>
  </r>
  <r>
    <x v="2626"/>
    <x v="2626"/>
    <x v="4"/>
    <x v="1"/>
    <x v="4"/>
    <x v="1"/>
    <x v="12"/>
    <x v="8"/>
    <x v="8"/>
    <x v="12"/>
    <x v="8"/>
    <x v="0"/>
    <x v="527"/>
    <x v="60"/>
    <s v="supplier@gmail.com"/>
  </r>
  <r>
    <x v="2627"/>
    <x v="2627"/>
    <x v="4"/>
    <x v="1"/>
    <x v="4"/>
    <x v="1"/>
    <x v="12"/>
    <x v="8"/>
    <x v="8"/>
    <x v="13"/>
    <x v="8"/>
    <x v="0"/>
    <x v="835"/>
    <x v="137"/>
    <s v="supplier@gmail.com"/>
  </r>
  <r>
    <x v="2628"/>
    <x v="2628"/>
    <x v="4"/>
    <x v="1"/>
    <x v="4"/>
    <x v="1"/>
    <x v="29"/>
    <x v="8"/>
    <x v="8"/>
    <x v="12"/>
    <x v="8"/>
    <x v="0"/>
    <x v="836"/>
    <x v="183"/>
    <s v="supplier@gmail.com"/>
  </r>
  <r>
    <x v="2629"/>
    <x v="2629"/>
    <x v="4"/>
    <x v="16"/>
    <x v="7"/>
    <x v="6"/>
    <x v="12"/>
    <x v="39"/>
    <x v="8"/>
    <x v="12"/>
    <x v="12"/>
    <x v="0"/>
    <x v="155"/>
    <x v="24"/>
    <s v="supplier@gmail.com"/>
  </r>
  <r>
    <x v="2630"/>
    <x v="2630"/>
    <x v="13"/>
    <x v="1"/>
    <x v="7"/>
    <x v="1"/>
    <x v="8"/>
    <x v="8"/>
    <x v="34"/>
    <x v="12"/>
    <x v="8"/>
    <x v="0"/>
    <x v="338"/>
    <x v="141"/>
    <s v="supplier@gmail.com"/>
  </r>
  <r>
    <x v="2631"/>
    <x v="2631"/>
    <x v="4"/>
    <x v="1"/>
    <x v="4"/>
    <x v="1"/>
    <x v="12"/>
    <x v="8"/>
    <x v="34"/>
    <x v="12"/>
    <x v="28"/>
    <x v="0"/>
    <x v="726"/>
    <x v="48"/>
    <s v="supplier@gmail.com"/>
  </r>
  <r>
    <x v="2632"/>
    <x v="2632"/>
    <x v="82"/>
    <x v="1"/>
    <x v="4"/>
    <x v="16"/>
    <x v="12"/>
    <x v="8"/>
    <x v="8"/>
    <x v="12"/>
    <x v="8"/>
    <x v="0"/>
    <x v="837"/>
    <x v="68"/>
    <s v="supplier@gmail.com"/>
  </r>
  <r>
    <x v="2633"/>
    <x v="2633"/>
    <x v="1"/>
    <x v="1"/>
    <x v="4"/>
    <x v="1"/>
    <x v="12"/>
    <x v="8"/>
    <x v="44"/>
    <x v="12"/>
    <x v="8"/>
    <x v="0"/>
    <x v="838"/>
    <x v="150"/>
    <s v="supplier@gmail.com"/>
  </r>
  <r>
    <x v="2634"/>
    <x v="2634"/>
    <x v="395"/>
    <x v="339"/>
    <x v="57"/>
    <x v="387"/>
    <x v="376"/>
    <x v="348"/>
    <x v="334"/>
    <x v="250"/>
    <x v="66"/>
    <x v="0"/>
    <x v="195"/>
    <x v="165"/>
    <s v="supplier@gmail.com"/>
  </r>
  <r>
    <x v="2635"/>
    <x v="2635"/>
    <x v="4"/>
    <x v="1"/>
    <x v="4"/>
    <x v="1"/>
    <x v="12"/>
    <x v="8"/>
    <x v="8"/>
    <x v="12"/>
    <x v="8"/>
    <x v="0"/>
    <x v="839"/>
    <x v="104"/>
    <s v="supplier@gmail.com"/>
  </r>
  <r>
    <x v="2636"/>
    <x v="2636"/>
    <x v="4"/>
    <x v="1"/>
    <x v="4"/>
    <x v="16"/>
    <x v="12"/>
    <x v="0"/>
    <x v="8"/>
    <x v="12"/>
    <x v="8"/>
    <x v="0"/>
    <x v="64"/>
    <x v="14"/>
    <s v="supplier@gmail.com"/>
  </r>
  <r>
    <x v="2637"/>
    <x v="2637"/>
    <x v="4"/>
    <x v="61"/>
    <x v="4"/>
    <x v="1"/>
    <x v="65"/>
    <x v="3"/>
    <x v="13"/>
    <x v="12"/>
    <x v="53"/>
    <x v="0"/>
    <x v="648"/>
    <x v="39"/>
    <s v="supplier@gmail.com"/>
  </r>
  <r>
    <x v="2638"/>
    <x v="2638"/>
    <x v="48"/>
    <x v="42"/>
    <x v="49"/>
    <x v="48"/>
    <x v="48"/>
    <x v="50"/>
    <x v="50"/>
    <x v="12"/>
    <x v="41"/>
    <x v="0"/>
    <x v="840"/>
    <x v="109"/>
    <s v="supplier@gmail.com"/>
  </r>
  <r>
    <x v="2639"/>
    <x v="2639"/>
    <x v="4"/>
    <x v="1"/>
    <x v="4"/>
    <x v="1"/>
    <x v="12"/>
    <x v="8"/>
    <x v="8"/>
    <x v="12"/>
    <x v="8"/>
    <x v="0"/>
    <x v="196"/>
    <x v="168"/>
    <s v="supplier@gmail.com"/>
  </r>
  <r>
    <x v="2640"/>
    <x v="2640"/>
    <x v="4"/>
    <x v="1"/>
    <x v="4"/>
    <x v="1"/>
    <x v="12"/>
    <x v="8"/>
    <x v="8"/>
    <x v="12"/>
    <x v="8"/>
    <x v="0"/>
    <x v="102"/>
    <x v="75"/>
    <s v="supplier@gmail.com"/>
  </r>
  <r>
    <x v="2641"/>
    <x v="2641"/>
    <x v="4"/>
    <x v="1"/>
    <x v="4"/>
    <x v="1"/>
    <x v="12"/>
    <x v="8"/>
    <x v="8"/>
    <x v="12"/>
    <x v="8"/>
    <x v="0"/>
    <x v="440"/>
    <x v="72"/>
    <s v="supplier@gmail.com"/>
  </r>
  <r>
    <x v="2642"/>
    <x v="2642"/>
    <x v="49"/>
    <x v="1"/>
    <x v="189"/>
    <x v="76"/>
    <x v="38"/>
    <x v="8"/>
    <x v="27"/>
    <x v="16"/>
    <x v="8"/>
    <x v="0"/>
    <x v="841"/>
    <x v="5"/>
    <s v="supplier@gmail.com"/>
  </r>
  <r>
    <x v="2643"/>
    <x v="2643"/>
    <x v="331"/>
    <x v="340"/>
    <x v="416"/>
    <x v="418"/>
    <x v="377"/>
    <x v="349"/>
    <x v="54"/>
    <x v="46"/>
    <x v="319"/>
    <x v="0"/>
    <x v="842"/>
    <x v="3"/>
    <s v="supplier@gmail.com"/>
  </r>
  <r>
    <x v="2644"/>
    <x v="2644"/>
    <x v="174"/>
    <x v="119"/>
    <x v="309"/>
    <x v="1"/>
    <x v="378"/>
    <x v="350"/>
    <x v="8"/>
    <x v="12"/>
    <x v="8"/>
    <x v="0"/>
    <x v="843"/>
    <x v="42"/>
    <s v="supplier@gmail.com"/>
  </r>
  <r>
    <x v="2645"/>
    <x v="2645"/>
    <x v="76"/>
    <x v="74"/>
    <x v="417"/>
    <x v="419"/>
    <x v="69"/>
    <x v="68"/>
    <x v="50"/>
    <x v="48"/>
    <x v="46"/>
    <x v="0"/>
    <x v="503"/>
    <x v="41"/>
    <s v="supplier@gmail.com"/>
  </r>
  <r>
    <x v="2646"/>
    <x v="2646"/>
    <x v="4"/>
    <x v="1"/>
    <x v="4"/>
    <x v="1"/>
    <x v="12"/>
    <x v="8"/>
    <x v="8"/>
    <x v="12"/>
    <x v="249"/>
    <x v="0"/>
    <x v="66"/>
    <x v="183"/>
    <s v="supplier@gmail.com"/>
  </r>
  <r>
    <x v="2647"/>
    <x v="2647"/>
    <x v="4"/>
    <x v="1"/>
    <x v="4"/>
    <x v="1"/>
    <x v="12"/>
    <x v="8"/>
    <x v="8"/>
    <x v="12"/>
    <x v="8"/>
    <x v="0"/>
    <x v="30"/>
    <x v="25"/>
    <s v="supplier@gmail.com"/>
  </r>
  <r>
    <x v="2648"/>
    <x v="2648"/>
    <x v="4"/>
    <x v="1"/>
    <x v="4"/>
    <x v="1"/>
    <x v="12"/>
    <x v="8"/>
    <x v="8"/>
    <x v="12"/>
    <x v="8"/>
    <x v="0"/>
    <x v="410"/>
    <x v="179"/>
    <s v="supplier@gmail.com"/>
  </r>
  <r>
    <x v="2649"/>
    <x v="2649"/>
    <x v="4"/>
    <x v="1"/>
    <x v="4"/>
    <x v="1"/>
    <x v="12"/>
    <x v="8"/>
    <x v="8"/>
    <x v="12"/>
    <x v="8"/>
    <x v="0"/>
    <x v="756"/>
    <x v="4"/>
    <s v="supplier@gmail.com"/>
  </r>
  <r>
    <x v="2650"/>
    <x v="2650"/>
    <x v="70"/>
    <x v="1"/>
    <x v="38"/>
    <x v="73"/>
    <x v="12"/>
    <x v="70"/>
    <x v="8"/>
    <x v="26"/>
    <x v="8"/>
    <x v="0"/>
    <x v="13"/>
    <x v="91"/>
    <s v="supplier@gmail.com"/>
  </r>
  <r>
    <x v="2651"/>
    <x v="2651"/>
    <x v="4"/>
    <x v="1"/>
    <x v="4"/>
    <x v="1"/>
    <x v="12"/>
    <x v="8"/>
    <x v="8"/>
    <x v="12"/>
    <x v="8"/>
    <x v="0"/>
    <x v="565"/>
    <x v="96"/>
    <s v="supplier@gmail.com"/>
  </r>
  <r>
    <x v="2652"/>
    <x v="2652"/>
    <x v="4"/>
    <x v="1"/>
    <x v="4"/>
    <x v="1"/>
    <x v="12"/>
    <x v="8"/>
    <x v="8"/>
    <x v="12"/>
    <x v="8"/>
    <x v="0"/>
    <x v="844"/>
    <x v="158"/>
    <s v="supplier@gmail.com"/>
  </r>
  <r>
    <x v="2653"/>
    <x v="2653"/>
    <x v="396"/>
    <x v="341"/>
    <x v="51"/>
    <x v="56"/>
    <x v="379"/>
    <x v="351"/>
    <x v="51"/>
    <x v="45"/>
    <x v="319"/>
    <x v="0"/>
    <x v="39"/>
    <x v="112"/>
    <s v="supplier@gmail.com"/>
  </r>
  <r>
    <x v="2654"/>
    <x v="2654"/>
    <x v="36"/>
    <x v="1"/>
    <x v="34"/>
    <x v="0"/>
    <x v="49"/>
    <x v="8"/>
    <x v="0"/>
    <x v="43"/>
    <x v="8"/>
    <x v="0"/>
    <x v="527"/>
    <x v="162"/>
    <s v="supplier@gmail.com"/>
  </r>
  <r>
    <x v="2655"/>
    <x v="2655"/>
    <x v="36"/>
    <x v="1"/>
    <x v="6"/>
    <x v="0"/>
    <x v="49"/>
    <x v="8"/>
    <x v="0"/>
    <x v="43"/>
    <x v="8"/>
    <x v="0"/>
    <x v="1"/>
    <x v="172"/>
    <s v="supplier@gmail.com"/>
  </r>
  <r>
    <x v="2656"/>
    <x v="2656"/>
    <x v="4"/>
    <x v="1"/>
    <x v="4"/>
    <x v="1"/>
    <x v="12"/>
    <x v="8"/>
    <x v="8"/>
    <x v="12"/>
    <x v="8"/>
    <x v="0"/>
    <x v="845"/>
    <x v="82"/>
    <s v="supplier@gmail.com"/>
  </r>
  <r>
    <x v="2657"/>
    <x v="2657"/>
    <x v="51"/>
    <x v="48"/>
    <x v="51"/>
    <x v="50"/>
    <x v="51"/>
    <x v="52"/>
    <x v="52"/>
    <x v="46"/>
    <x v="41"/>
    <x v="0"/>
    <x v="846"/>
    <x v="152"/>
    <s v="supplier@gmail.com"/>
  </r>
  <r>
    <x v="2658"/>
    <x v="2658"/>
    <x v="4"/>
    <x v="1"/>
    <x v="4"/>
    <x v="1"/>
    <x v="12"/>
    <x v="8"/>
    <x v="8"/>
    <x v="12"/>
    <x v="8"/>
    <x v="0"/>
    <x v="1"/>
    <x v="69"/>
    <s v="supplier@gmail.com"/>
  </r>
  <r>
    <x v="2659"/>
    <x v="2659"/>
    <x v="4"/>
    <x v="1"/>
    <x v="4"/>
    <x v="1"/>
    <x v="12"/>
    <x v="8"/>
    <x v="8"/>
    <x v="12"/>
    <x v="8"/>
    <x v="0"/>
    <x v="33"/>
    <x v="30"/>
    <s v="supplier@gmail.com"/>
  </r>
  <r>
    <x v="2660"/>
    <x v="2660"/>
    <x v="4"/>
    <x v="1"/>
    <x v="4"/>
    <x v="1"/>
    <x v="12"/>
    <x v="8"/>
    <x v="8"/>
    <x v="12"/>
    <x v="8"/>
    <x v="0"/>
    <x v="190"/>
    <x v="129"/>
    <s v="supplier@gmail.com"/>
  </r>
  <r>
    <x v="2661"/>
    <x v="2661"/>
    <x v="4"/>
    <x v="1"/>
    <x v="4"/>
    <x v="1"/>
    <x v="12"/>
    <x v="8"/>
    <x v="8"/>
    <x v="12"/>
    <x v="8"/>
    <x v="0"/>
    <x v="499"/>
    <x v="155"/>
    <s v="supplier@gmail.com"/>
  </r>
  <r>
    <x v="2662"/>
    <x v="2662"/>
    <x v="76"/>
    <x v="74"/>
    <x v="49"/>
    <x v="48"/>
    <x v="69"/>
    <x v="67"/>
    <x v="54"/>
    <x v="46"/>
    <x v="41"/>
    <x v="0"/>
    <x v="1"/>
    <x v="42"/>
    <s v="supplier@gmail.com"/>
  </r>
  <r>
    <x v="2663"/>
    <x v="2663"/>
    <x v="4"/>
    <x v="1"/>
    <x v="4"/>
    <x v="1"/>
    <x v="12"/>
    <x v="8"/>
    <x v="8"/>
    <x v="12"/>
    <x v="8"/>
    <x v="0"/>
    <x v="1"/>
    <x v="171"/>
    <s v="supplier@gmail.com"/>
  </r>
  <r>
    <x v="2664"/>
    <x v="2664"/>
    <x v="4"/>
    <x v="1"/>
    <x v="4"/>
    <x v="1"/>
    <x v="12"/>
    <x v="8"/>
    <x v="8"/>
    <x v="12"/>
    <x v="8"/>
    <x v="0"/>
    <x v="847"/>
    <x v="5"/>
    <s v="supplier@gmail.com"/>
  </r>
  <r>
    <x v="2665"/>
    <x v="2665"/>
    <x v="397"/>
    <x v="342"/>
    <x v="418"/>
    <x v="420"/>
    <x v="380"/>
    <x v="71"/>
    <x v="3"/>
    <x v="331"/>
    <x v="320"/>
    <x v="0"/>
    <x v="354"/>
    <x v="63"/>
    <s v="supplier@gmail.com"/>
  </r>
  <r>
    <x v="2666"/>
    <x v="2666"/>
    <x v="100"/>
    <x v="116"/>
    <x v="45"/>
    <x v="29"/>
    <x v="381"/>
    <x v="93"/>
    <x v="124"/>
    <x v="97"/>
    <x v="97"/>
    <x v="0"/>
    <x v="219"/>
    <x v="141"/>
    <s v="supplier@gmail.com"/>
  </r>
  <r>
    <x v="2667"/>
    <x v="2667"/>
    <x v="44"/>
    <x v="1"/>
    <x v="15"/>
    <x v="1"/>
    <x v="0"/>
    <x v="8"/>
    <x v="8"/>
    <x v="0"/>
    <x v="8"/>
    <x v="0"/>
    <x v="1"/>
    <x v="151"/>
    <s v="supplier@gmail.com"/>
  </r>
  <r>
    <x v="2668"/>
    <x v="2668"/>
    <x v="4"/>
    <x v="1"/>
    <x v="4"/>
    <x v="1"/>
    <x v="12"/>
    <x v="8"/>
    <x v="8"/>
    <x v="12"/>
    <x v="8"/>
    <x v="0"/>
    <x v="4"/>
    <x v="8"/>
    <s v="supplier@gmail.com"/>
  </r>
  <r>
    <x v="2669"/>
    <x v="2669"/>
    <x v="4"/>
    <x v="1"/>
    <x v="4"/>
    <x v="1"/>
    <x v="12"/>
    <x v="8"/>
    <x v="8"/>
    <x v="12"/>
    <x v="8"/>
    <x v="0"/>
    <x v="254"/>
    <x v="12"/>
    <s v="supplier@gmail.com"/>
  </r>
  <r>
    <x v="2670"/>
    <x v="2670"/>
    <x v="114"/>
    <x v="1"/>
    <x v="4"/>
    <x v="1"/>
    <x v="12"/>
    <x v="8"/>
    <x v="8"/>
    <x v="12"/>
    <x v="8"/>
    <x v="0"/>
    <x v="187"/>
    <x v="155"/>
    <s v="supplier@gmail.com"/>
  </r>
  <r>
    <x v="2671"/>
    <x v="2671"/>
    <x v="398"/>
    <x v="1"/>
    <x v="4"/>
    <x v="1"/>
    <x v="12"/>
    <x v="8"/>
    <x v="8"/>
    <x v="12"/>
    <x v="8"/>
    <x v="0"/>
    <x v="1"/>
    <x v="22"/>
    <s v="supplier@gmail.com"/>
  </r>
  <r>
    <x v="2672"/>
    <x v="2672"/>
    <x v="101"/>
    <x v="110"/>
    <x v="0"/>
    <x v="0"/>
    <x v="12"/>
    <x v="8"/>
    <x v="8"/>
    <x v="12"/>
    <x v="8"/>
    <x v="0"/>
    <x v="1"/>
    <x v="124"/>
    <s v="supplier@gmail.com"/>
  </r>
  <r>
    <x v="2673"/>
    <x v="2673"/>
    <x v="273"/>
    <x v="40"/>
    <x v="338"/>
    <x v="126"/>
    <x v="11"/>
    <x v="230"/>
    <x v="155"/>
    <x v="332"/>
    <x v="3"/>
    <x v="0"/>
    <x v="600"/>
    <x v="45"/>
    <s v="supplier@gmail.com"/>
  </r>
  <r>
    <x v="2674"/>
    <x v="2674"/>
    <x v="399"/>
    <x v="250"/>
    <x v="419"/>
    <x v="421"/>
    <x v="382"/>
    <x v="352"/>
    <x v="303"/>
    <x v="322"/>
    <x v="96"/>
    <x v="0"/>
    <x v="19"/>
    <x v="183"/>
    <s v="supplier@gmail.com"/>
  </r>
  <r>
    <x v="2675"/>
    <x v="2675"/>
    <x v="4"/>
    <x v="1"/>
    <x v="4"/>
    <x v="1"/>
    <x v="12"/>
    <x v="8"/>
    <x v="8"/>
    <x v="12"/>
    <x v="8"/>
    <x v="0"/>
    <x v="848"/>
    <x v="28"/>
    <s v="supplier@gmail.com"/>
  </r>
  <r>
    <x v="2676"/>
    <x v="2676"/>
    <x v="4"/>
    <x v="1"/>
    <x v="4"/>
    <x v="1"/>
    <x v="12"/>
    <x v="8"/>
    <x v="8"/>
    <x v="12"/>
    <x v="8"/>
    <x v="0"/>
    <x v="849"/>
    <x v="123"/>
    <s v="supplier@gmail.com"/>
  </r>
  <r>
    <x v="2677"/>
    <x v="2677"/>
    <x v="44"/>
    <x v="76"/>
    <x v="0"/>
    <x v="0"/>
    <x v="27"/>
    <x v="8"/>
    <x v="8"/>
    <x v="12"/>
    <x v="8"/>
    <x v="0"/>
    <x v="92"/>
    <x v="49"/>
    <s v="supplier@gmail.com"/>
  </r>
  <r>
    <x v="2678"/>
    <x v="2678"/>
    <x v="4"/>
    <x v="1"/>
    <x v="4"/>
    <x v="1"/>
    <x v="12"/>
    <x v="8"/>
    <x v="8"/>
    <x v="12"/>
    <x v="8"/>
    <x v="0"/>
    <x v="338"/>
    <x v="147"/>
    <s v="supplier@gmail.com"/>
  </r>
  <r>
    <x v="2679"/>
    <x v="2679"/>
    <x v="188"/>
    <x v="167"/>
    <x v="188"/>
    <x v="22"/>
    <x v="176"/>
    <x v="163"/>
    <x v="157"/>
    <x v="164"/>
    <x v="147"/>
    <x v="0"/>
    <x v="165"/>
    <x v="88"/>
    <s v="supplier@gmail.com"/>
  </r>
  <r>
    <x v="2680"/>
    <x v="2680"/>
    <x v="101"/>
    <x v="1"/>
    <x v="4"/>
    <x v="1"/>
    <x v="12"/>
    <x v="8"/>
    <x v="8"/>
    <x v="12"/>
    <x v="8"/>
    <x v="0"/>
    <x v="7"/>
    <x v="182"/>
    <s v="supplier@gmail.com"/>
  </r>
  <r>
    <x v="2681"/>
    <x v="2681"/>
    <x v="4"/>
    <x v="1"/>
    <x v="4"/>
    <x v="1"/>
    <x v="12"/>
    <x v="8"/>
    <x v="8"/>
    <x v="12"/>
    <x v="8"/>
    <x v="0"/>
    <x v="751"/>
    <x v="143"/>
    <s v="supplier@gmail.com"/>
  </r>
  <r>
    <x v="2682"/>
    <x v="2682"/>
    <x v="42"/>
    <x v="16"/>
    <x v="12"/>
    <x v="36"/>
    <x v="36"/>
    <x v="39"/>
    <x v="40"/>
    <x v="13"/>
    <x v="6"/>
    <x v="0"/>
    <x v="777"/>
    <x v="10"/>
    <s v="supplier@gmail.com"/>
  </r>
  <r>
    <x v="2683"/>
    <x v="2683"/>
    <x v="4"/>
    <x v="16"/>
    <x v="7"/>
    <x v="1"/>
    <x v="12"/>
    <x v="8"/>
    <x v="34"/>
    <x v="13"/>
    <x v="32"/>
    <x v="0"/>
    <x v="93"/>
    <x v="186"/>
    <s v="supplier@gmail.com"/>
  </r>
  <r>
    <x v="2684"/>
    <x v="2684"/>
    <x v="82"/>
    <x v="1"/>
    <x v="4"/>
    <x v="16"/>
    <x v="29"/>
    <x v="8"/>
    <x v="8"/>
    <x v="12"/>
    <x v="8"/>
    <x v="0"/>
    <x v="107"/>
    <x v="130"/>
    <s v="supplier@gmail.com"/>
  </r>
  <r>
    <x v="2685"/>
    <x v="2685"/>
    <x v="4"/>
    <x v="1"/>
    <x v="7"/>
    <x v="1"/>
    <x v="8"/>
    <x v="8"/>
    <x v="34"/>
    <x v="12"/>
    <x v="8"/>
    <x v="0"/>
    <x v="107"/>
    <x v="9"/>
    <s v="supplier@gmail.com"/>
  </r>
  <r>
    <x v="2686"/>
    <x v="2686"/>
    <x v="4"/>
    <x v="1"/>
    <x v="4"/>
    <x v="6"/>
    <x v="12"/>
    <x v="39"/>
    <x v="8"/>
    <x v="12"/>
    <x v="9"/>
    <x v="0"/>
    <x v="51"/>
    <x v="41"/>
    <s v="supplier@gmail.com"/>
  </r>
  <r>
    <x v="2687"/>
    <x v="2687"/>
    <x v="173"/>
    <x v="21"/>
    <x v="34"/>
    <x v="33"/>
    <x v="112"/>
    <x v="26"/>
    <x v="34"/>
    <x v="68"/>
    <x v="74"/>
    <x v="0"/>
    <x v="35"/>
    <x v="127"/>
    <s v="supplier@gmail.com"/>
  </r>
  <r>
    <x v="2688"/>
    <x v="2688"/>
    <x v="4"/>
    <x v="38"/>
    <x v="0"/>
    <x v="132"/>
    <x v="23"/>
    <x v="32"/>
    <x v="35"/>
    <x v="12"/>
    <x v="30"/>
    <x v="0"/>
    <x v="1"/>
    <x v="12"/>
    <s v="supplier@gmail.com"/>
  </r>
  <r>
    <x v="2689"/>
    <x v="2689"/>
    <x v="4"/>
    <x v="1"/>
    <x v="4"/>
    <x v="1"/>
    <x v="12"/>
    <x v="8"/>
    <x v="8"/>
    <x v="12"/>
    <x v="8"/>
    <x v="0"/>
    <x v="1"/>
    <x v="57"/>
    <s v="supplier@gmail.com"/>
  </r>
  <r>
    <x v="2690"/>
    <x v="2690"/>
    <x v="4"/>
    <x v="1"/>
    <x v="4"/>
    <x v="1"/>
    <x v="12"/>
    <x v="8"/>
    <x v="8"/>
    <x v="12"/>
    <x v="8"/>
    <x v="0"/>
    <x v="34"/>
    <x v="143"/>
    <s v="supplier@gmail.com"/>
  </r>
  <r>
    <x v="2691"/>
    <x v="2691"/>
    <x v="44"/>
    <x v="36"/>
    <x v="35"/>
    <x v="17"/>
    <x v="12"/>
    <x v="70"/>
    <x v="0"/>
    <x v="25"/>
    <x v="17"/>
    <x v="0"/>
    <x v="850"/>
    <x v="130"/>
    <s v="supplier@gmail.com"/>
  </r>
  <r>
    <x v="2692"/>
    <x v="2692"/>
    <x v="4"/>
    <x v="1"/>
    <x v="4"/>
    <x v="17"/>
    <x v="12"/>
    <x v="8"/>
    <x v="8"/>
    <x v="12"/>
    <x v="8"/>
    <x v="0"/>
    <x v="98"/>
    <x v="85"/>
    <s v="supplier@gmail.com"/>
  </r>
  <r>
    <x v="2693"/>
    <x v="2693"/>
    <x v="49"/>
    <x v="125"/>
    <x v="70"/>
    <x v="73"/>
    <x v="49"/>
    <x v="70"/>
    <x v="0"/>
    <x v="19"/>
    <x v="31"/>
    <x v="0"/>
    <x v="114"/>
    <x v="25"/>
    <s v="supplier@gmail.com"/>
  </r>
  <r>
    <x v="2694"/>
    <x v="2694"/>
    <x v="4"/>
    <x v="125"/>
    <x v="0"/>
    <x v="0"/>
    <x v="0"/>
    <x v="32"/>
    <x v="27"/>
    <x v="42"/>
    <x v="8"/>
    <x v="0"/>
    <x v="1"/>
    <x v="175"/>
    <s v="supplier@gmail.com"/>
  </r>
  <r>
    <x v="2695"/>
    <x v="2695"/>
    <x v="4"/>
    <x v="1"/>
    <x v="4"/>
    <x v="1"/>
    <x v="12"/>
    <x v="8"/>
    <x v="8"/>
    <x v="12"/>
    <x v="8"/>
    <x v="0"/>
    <x v="1"/>
    <x v="185"/>
    <s v="supplier@gmail.com"/>
  </r>
  <r>
    <x v="2696"/>
    <x v="2696"/>
    <x v="4"/>
    <x v="1"/>
    <x v="4"/>
    <x v="1"/>
    <x v="12"/>
    <x v="8"/>
    <x v="8"/>
    <x v="12"/>
    <x v="8"/>
    <x v="0"/>
    <x v="851"/>
    <x v="84"/>
    <s v="supplier@gmail.com"/>
  </r>
  <r>
    <x v="2697"/>
    <x v="2697"/>
    <x v="4"/>
    <x v="1"/>
    <x v="4"/>
    <x v="1"/>
    <x v="29"/>
    <x v="8"/>
    <x v="8"/>
    <x v="13"/>
    <x v="8"/>
    <x v="0"/>
    <x v="1"/>
    <x v="77"/>
    <s v="supplier@gmail.com"/>
  </r>
  <r>
    <x v="2698"/>
    <x v="2698"/>
    <x v="4"/>
    <x v="1"/>
    <x v="4"/>
    <x v="1"/>
    <x v="29"/>
    <x v="8"/>
    <x v="8"/>
    <x v="13"/>
    <x v="8"/>
    <x v="0"/>
    <x v="852"/>
    <x v="198"/>
    <s v="supplier@gmail.com"/>
  </r>
  <r>
    <x v="2699"/>
    <x v="2699"/>
    <x v="4"/>
    <x v="1"/>
    <x v="4"/>
    <x v="1"/>
    <x v="12"/>
    <x v="8"/>
    <x v="8"/>
    <x v="12"/>
    <x v="8"/>
    <x v="0"/>
    <x v="1"/>
    <x v="196"/>
    <s v="supplier@gmail.com"/>
  </r>
  <r>
    <x v="2700"/>
    <x v="2700"/>
    <x v="273"/>
    <x v="40"/>
    <x v="338"/>
    <x v="126"/>
    <x v="11"/>
    <x v="230"/>
    <x v="155"/>
    <x v="332"/>
    <x v="3"/>
    <x v="0"/>
    <x v="26"/>
    <x v="44"/>
    <s v="supplier@gmail.com"/>
  </r>
  <r>
    <x v="2701"/>
    <x v="2701"/>
    <x v="42"/>
    <x v="62"/>
    <x v="39"/>
    <x v="63"/>
    <x v="14"/>
    <x v="90"/>
    <x v="47"/>
    <x v="34"/>
    <x v="68"/>
    <x v="0"/>
    <x v="103"/>
    <x v="87"/>
    <s v="supplier@gmail.com"/>
  </r>
  <r>
    <x v="2702"/>
    <x v="2702"/>
    <x v="4"/>
    <x v="1"/>
    <x v="420"/>
    <x v="20"/>
    <x v="0"/>
    <x v="8"/>
    <x v="0"/>
    <x v="43"/>
    <x v="9"/>
    <x v="0"/>
    <x v="164"/>
    <x v="40"/>
    <s v="supplier@gmail.com"/>
  </r>
  <r>
    <x v="2703"/>
    <x v="2703"/>
    <x v="4"/>
    <x v="1"/>
    <x v="4"/>
    <x v="1"/>
    <x v="12"/>
    <x v="8"/>
    <x v="8"/>
    <x v="12"/>
    <x v="8"/>
    <x v="0"/>
    <x v="444"/>
    <x v="29"/>
    <s v="supplier@gmail.com"/>
  </r>
  <r>
    <x v="2704"/>
    <x v="2704"/>
    <x v="4"/>
    <x v="1"/>
    <x v="4"/>
    <x v="1"/>
    <x v="12"/>
    <x v="8"/>
    <x v="8"/>
    <x v="12"/>
    <x v="8"/>
    <x v="0"/>
    <x v="39"/>
    <x v="29"/>
    <s v="supplier@gmail.com"/>
  </r>
  <r>
    <x v="2705"/>
    <x v="2705"/>
    <x v="0"/>
    <x v="1"/>
    <x v="0"/>
    <x v="0"/>
    <x v="12"/>
    <x v="8"/>
    <x v="8"/>
    <x v="12"/>
    <x v="8"/>
    <x v="0"/>
    <x v="1"/>
    <x v="162"/>
    <s v="supplier@gmail.com"/>
  </r>
  <r>
    <x v="2706"/>
    <x v="2706"/>
    <x v="36"/>
    <x v="1"/>
    <x v="4"/>
    <x v="125"/>
    <x v="12"/>
    <x v="8"/>
    <x v="8"/>
    <x v="12"/>
    <x v="8"/>
    <x v="0"/>
    <x v="1"/>
    <x v="126"/>
    <s v="supplier@gmail.com"/>
  </r>
  <r>
    <x v="2707"/>
    <x v="2707"/>
    <x v="36"/>
    <x v="1"/>
    <x v="35"/>
    <x v="125"/>
    <x v="12"/>
    <x v="8"/>
    <x v="8"/>
    <x v="12"/>
    <x v="8"/>
    <x v="0"/>
    <x v="1"/>
    <x v="89"/>
    <s v="supplier@gmail.com"/>
  </r>
  <r>
    <x v="2708"/>
    <x v="2708"/>
    <x v="4"/>
    <x v="1"/>
    <x v="35"/>
    <x v="1"/>
    <x v="12"/>
    <x v="8"/>
    <x v="8"/>
    <x v="12"/>
    <x v="8"/>
    <x v="0"/>
    <x v="1"/>
    <x v="89"/>
    <s v="supplier@gmail.com"/>
  </r>
  <r>
    <x v="2709"/>
    <x v="2709"/>
    <x v="36"/>
    <x v="1"/>
    <x v="4"/>
    <x v="125"/>
    <x v="12"/>
    <x v="8"/>
    <x v="8"/>
    <x v="12"/>
    <x v="8"/>
    <x v="0"/>
    <x v="1"/>
    <x v="101"/>
    <s v="supplier@gmail.com"/>
  </r>
  <r>
    <x v="2710"/>
    <x v="2710"/>
    <x v="4"/>
    <x v="1"/>
    <x v="35"/>
    <x v="1"/>
    <x v="12"/>
    <x v="8"/>
    <x v="8"/>
    <x v="12"/>
    <x v="8"/>
    <x v="0"/>
    <x v="1"/>
    <x v="150"/>
    <s v="supplier@gmail.com"/>
  </r>
  <r>
    <x v="2711"/>
    <x v="2711"/>
    <x v="4"/>
    <x v="1"/>
    <x v="35"/>
    <x v="1"/>
    <x v="12"/>
    <x v="8"/>
    <x v="8"/>
    <x v="12"/>
    <x v="8"/>
    <x v="0"/>
    <x v="1"/>
    <x v="99"/>
    <s v="supplier@gmail.com"/>
  </r>
  <r>
    <x v="2712"/>
    <x v="2712"/>
    <x v="36"/>
    <x v="1"/>
    <x v="35"/>
    <x v="1"/>
    <x v="12"/>
    <x v="8"/>
    <x v="8"/>
    <x v="12"/>
    <x v="8"/>
    <x v="0"/>
    <x v="1"/>
    <x v="147"/>
    <s v="supplier@gmail.com"/>
  </r>
  <r>
    <x v="2713"/>
    <x v="2713"/>
    <x v="36"/>
    <x v="1"/>
    <x v="4"/>
    <x v="125"/>
    <x v="12"/>
    <x v="8"/>
    <x v="8"/>
    <x v="12"/>
    <x v="8"/>
    <x v="0"/>
    <x v="1"/>
    <x v="114"/>
    <s v="supplier@gmail.com"/>
  </r>
  <r>
    <x v="2714"/>
    <x v="2714"/>
    <x v="36"/>
    <x v="1"/>
    <x v="4"/>
    <x v="125"/>
    <x v="12"/>
    <x v="8"/>
    <x v="8"/>
    <x v="12"/>
    <x v="8"/>
    <x v="0"/>
    <x v="1"/>
    <x v="82"/>
    <s v="supplier@gmail.com"/>
  </r>
  <r>
    <x v="2715"/>
    <x v="2715"/>
    <x v="36"/>
    <x v="1"/>
    <x v="4"/>
    <x v="125"/>
    <x v="12"/>
    <x v="8"/>
    <x v="8"/>
    <x v="12"/>
    <x v="8"/>
    <x v="0"/>
    <x v="1"/>
    <x v="38"/>
    <s v="supplier@gmail.com"/>
  </r>
  <r>
    <x v="2716"/>
    <x v="2716"/>
    <x v="36"/>
    <x v="1"/>
    <x v="4"/>
    <x v="125"/>
    <x v="12"/>
    <x v="8"/>
    <x v="8"/>
    <x v="12"/>
    <x v="8"/>
    <x v="0"/>
    <x v="38"/>
    <x v="171"/>
    <s v="supplier@gmail.com"/>
  </r>
  <r>
    <x v="2717"/>
    <x v="2717"/>
    <x v="101"/>
    <x v="1"/>
    <x v="15"/>
    <x v="17"/>
    <x v="12"/>
    <x v="8"/>
    <x v="8"/>
    <x v="12"/>
    <x v="8"/>
    <x v="0"/>
    <x v="38"/>
    <x v="192"/>
    <s v="supplier@gmail.com"/>
  </r>
  <r>
    <x v="2718"/>
    <x v="2718"/>
    <x v="0"/>
    <x v="1"/>
    <x v="15"/>
    <x v="1"/>
    <x v="12"/>
    <x v="8"/>
    <x v="8"/>
    <x v="12"/>
    <x v="8"/>
    <x v="0"/>
    <x v="1"/>
    <x v="195"/>
    <s v="supplier@gmail.com"/>
  </r>
  <r>
    <x v="2719"/>
    <x v="2719"/>
    <x v="0"/>
    <x v="1"/>
    <x v="4"/>
    <x v="0"/>
    <x v="12"/>
    <x v="8"/>
    <x v="8"/>
    <x v="12"/>
    <x v="8"/>
    <x v="0"/>
    <x v="1"/>
    <x v="11"/>
    <s v="supplier@gmail.com"/>
  </r>
  <r>
    <x v="2720"/>
    <x v="2720"/>
    <x v="36"/>
    <x v="1"/>
    <x v="4"/>
    <x v="125"/>
    <x v="12"/>
    <x v="8"/>
    <x v="8"/>
    <x v="12"/>
    <x v="8"/>
    <x v="0"/>
    <x v="1"/>
    <x v="138"/>
    <s v="supplier@gmail.com"/>
  </r>
  <r>
    <x v="2721"/>
    <x v="2721"/>
    <x v="36"/>
    <x v="1"/>
    <x v="4"/>
    <x v="125"/>
    <x v="12"/>
    <x v="8"/>
    <x v="8"/>
    <x v="12"/>
    <x v="8"/>
    <x v="0"/>
    <x v="1"/>
    <x v="101"/>
    <s v="supplier@gmail.com"/>
  </r>
  <r>
    <x v="2722"/>
    <x v="2722"/>
    <x v="36"/>
    <x v="1"/>
    <x v="4"/>
    <x v="125"/>
    <x v="12"/>
    <x v="8"/>
    <x v="8"/>
    <x v="12"/>
    <x v="8"/>
    <x v="0"/>
    <x v="1"/>
    <x v="5"/>
    <s v="supplier@gmail.com"/>
  </r>
  <r>
    <x v="2723"/>
    <x v="2723"/>
    <x v="36"/>
    <x v="1"/>
    <x v="4"/>
    <x v="125"/>
    <x v="12"/>
    <x v="8"/>
    <x v="8"/>
    <x v="12"/>
    <x v="8"/>
    <x v="0"/>
    <x v="36"/>
    <x v="116"/>
    <s v="supplier@gmail.com"/>
  </r>
  <r>
    <x v="2724"/>
    <x v="2724"/>
    <x v="101"/>
    <x v="1"/>
    <x v="15"/>
    <x v="17"/>
    <x v="12"/>
    <x v="8"/>
    <x v="8"/>
    <x v="12"/>
    <x v="8"/>
    <x v="0"/>
    <x v="38"/>
    <x v="165"/>
    <s v="supplier@gmail.com"/>
  </r>
  <r>
    <x v="2725"/>
    <x v="2725"/>
    <x v="49"/>
    <x v="1"/>
    <x v="0"/>
    <x v="0"/>
    <x v="12"/>
    <x v="8"/>
    <x v="8"/>
    <x v="12"/>
    <x v="8"/>
    <x v="0"/>
    <x v="226"/>
    <x v="151"/>
    <s v="supplier@gmail.com"/>
  </r>
  <r>
    <x v="2726"/>
    <x v="2726"/>
    <x v="0"/>
    <x v="1"/>
    <x v="35"/>
    <x v="125"/>
    <x v="12"/>
    <x v="8"/>
    <x v="8"/>
    <x v="12"/>
    <x v="8"/>
    <x v="0"/>
    <x v="226"/>
    <x v="49"/>
    <s v="supplier@gmail.com"/>
  </r>
  <r>
    <x v="2727"/>
    <x v="2727"/>
    <x v="36"/>
    <x v="1"/>
    <x v="0"/>
    <x v="1"/>
    <x v="12"/>
    <x v="8"/>
    <x v="8"/>
    <x v="12"/>
    <x v="8"/>
    <x v="0"/>
    <x v="1"/>
    <x v="165"/>
    <s v="supplier@gmail.com"/>
  </r>
  <r>
    <x v="2728"/>
    <x v="2728"/>
    <x v="36"/>
    <x v="1"/>
    <x v="4"/>
    <x v="125"/>
    <x v="12"/>
    <x v="8"/>
    <x v="8"/>
    <x v="12"/>
    <x v="8"/>
    <x v="0"/>
    <x v="1"/>
    <x v="96"/>
    <s v="supplier@gmail.com"/>
  </r>
  <r>
    <x v="2729"/>
    <x v="2729"/>
    <x v="36"/>
    <x v="1"/>
    <x v="4"/>
    <x v="125"/>
    <x v="12"/>
    <x v="8"/>
    <x v="8"/>
    <x v="12"/>
    <x v="8"/>
    <x v="0"/>
    <x v="1"/>
    <x v="46"/>
    <s v="supplier@gmail.com"/>
  </r>
  <r>
    <x v="2730"/>
    <x v="2730"/>
    <x v="4"/>
    <x v="1"/>
    <x v="35"/>
    <x v="1"/>
    <x v="12"/>
    <x v="8"/>
    <x v="8"/>
    <x v="12"/>
    <x v="8"/>
    <x v="0"/>
    <x v="1"/>
    <x v="91"/>
    <s v="supplier@gmail.com"/>
  </r>
  <r>
    <x v="2731"/>
    <x v="2731"/>
    <x v="36"/>
    <x v="1"/>
    <x v="4"/>
    <x v="125"/>
    <x v="12"/>
    <x v="8"/>
    <x v="8"/>
    <x v="12"/>
    <x v="8"/>
    <x v="0"/>
    <x v="1"/>
    <x v="171"/>
    <s v="supplier@gmail.com"/>
  </r>
  <r>
    <x v="2732"/>
    <x v="2732"/>
    <x v="0"/>
    <x v="1"/>
    <x v="35"/>
    <x v="0"/>
    <x v="12"/>
    <x v="8"/>
    <x v="8"/>
    <x v="12"/>
    <x v="8"/>
    <x v="0"/>
    <x v="1"/>
    <x v="177"/>
    <s v="supplier@gmail.com"/>
  </r>
  <r>
    <x v="2733"/>
    <x v="2733"/>
    <x v="44"/>
    <x v="1"/>
    <x v="0"/>
    <x v="15"/>
    <x v="12"/>
    <x v="8"/>
    <x v="8"/>
    <x v="12"/>
    <x v="8"/>
    <x v="0"/>
    <x v="1"/>
    <x v="33"/>
    <s v="supplier@gmail.com"/>
  </r>
  <r>
    <x v="2734"/>
    <x v="2734"/>
    <x v="36"/>
    <x v="1"/>
    <x v="4"/>
    <x v="125"/>
    <x v="12"/>
    <x v="8"/>
    <x v="8"/>
    <x v="12"/>
    <x v="8"/>
    <x v="0"/>
    <x v="1"/>
    <x v="122"/>
    <s v="supplier@gmail.com"/>
  </r>
  <r>
    <x v="2735"/>
    <x v="2735"/>
    <x v="0"/>
    <x v="1"/>
    <x v="4"/>
    <x v="0"/>
    <x v="12"/>
    <x v="8"/>
    <x v="8"/>
    <x v="12"/>
    <x v="8"/>
    <x v="0"/>
    <x v="38"/>
    <x v="196"/>
    <s v="supplier@gmail.com"/>
  </r>
  <r>
    <x v="2736"/>
    <x v="2736"/>
    <x v="16"/>
    <x v="1"/>
    <x v="15"/>
    <x v="15"/>
    <x v="12"/>
    <x v="8"/>
    <x v="8"/>
    <x v="12"/>
    <x v="8"/>
    <x v="0"/>
    <x v="38"/>
    <x v="163"/>
    <s v="supplier@gmail.com"/>
  </r>
  <r>
    <x v="2737"/>
    <x v="2737"/>
    <x v="0"/>
    <x v="1"/>
    <x v="15"/>
    <x v="1"/>
    <x v="12"/>
    <x v="8"/>
    <x v="8"/>
    <x v="12"/>
    <x v="8"/>
    <x v="0"/>
    <x v="102"/>
    <x v="160"/>
    <s v="supplier@gmail.com"/>
  </r>
  <r>
    <x v="2738"/>
    <x v="2738"/>
    <x v="36"/>
    <x v="1"/>
    <x v="35"/>
    <x v="1"/>
    <x v="12"/>
    <x v="8"/>
    <x v="8"/>
    <x v="12"/>
    <x v="8"/>
    <x v="0"/>
    <x v="102"/>
    <x v="153"/>
    <s v="supplier@gmail.com"/>
  </r>
  <r>
    <x v="2739"/>
    <x v="2739"/>
    <x v="36"/>
    <x v="1"/>
    <x v="35"/>
    <x v="1"/>
    <x v="12"/>
    <x v="8"/>
    <x v="8"/>
    <x v="12"/>
    <x v="8"/>
    <x v="0"/>
    <x v="226"/>
    <x v="87"/>
    <s v="supplier@gmail.com"/>
  </r>
  <r>
    <x v="2740"/>
    <x v="2740"/>
    <x v="0"/>
    <x v="1"/>
    <x v="4"/>
    <x v="0"/>
    <x v="12"/>
    <x v="8"/>
    <x v="8"/>
    <x v="12"/>
    <x v="8"/>
    <x v="0"/>
    <x v="36"/>
    <x v="150"/>
    <s v="supplier@gmail.com"/>
  </r>
  <r>
    <x v="2741"/>
    <x v="2741"/>
    <x v="49"/>
    <x v="1"/>
    <x v="70"/>
    <x v="73"/>
    <x v="12"/>
    <x v="8"/>
    <x v="8"/>
    <x v="12"/>
    <x v="8"/>
    <x v="0"/>
    <x v="1"/>
    <x v="186"/>
    <s v="supplier@gmail.com"/>
  </r>
  <r>
    <x v="2742"/>
    <x v="2742"/>
    <x v="0"/>
    <x v="1"/>
    <x v="4"/>
    <x v="0"/>
    <x v="12"/>
    <x v="8"/>
    <x v="8"/>
    <x v="12"/>
    <x v="8"/>
    <x v="0"/>
    <x v="1"/>
    <x v="76"/>
    <s v="supplier@gmail.com"/>
  </r>
  <r>
    <x v="2743"/>
    <x v="2743"/>
    <x v="36"/>
    <x v="1"/>
    <x v="4"/>
    <x v="125"/>
    <x v="12"/>
    <x v="8"/>
    <x v="8"/>
    <x v="12"/>
    <x v="8"/>
    <x v="0"/>
    <x v="103"/>
    <x v="41"/>
    <s v="supplier@gmail.com"/>
  </r>
  <r>
    <x v="2744"/>
    <x v="2744"/>
    <x v="8"/>
    <x v="1"/>
    <x v="421"/>
    <x v="29"/>
    <x v="12"/>
    <x v="8"/>
    <x v="8"/>
    <x v="12"/>
    <x v="8"/>
    <x v="0"/>
    <x v="37"/>
    <x v="78"/>
    <s v="supplier@gmail.com"/>
  </r>
  <r>
    <x v="2745"/>
    <x v="2745"/>
    <x v="93"/>
    <x v="1"/>
    <x v="30"/>
    <x v="16"/>
    <x v="12"/>
    <x v="8"/>
    <x v="8"/>
    <x v="12"/>
    <x v="8"/>
    <x v="0"/>
    <x v="30"/>
    <x v="149"/>
    <s v="supplier@gmail.com"/>
  </r>
  <r>
    <x v="2746"/>
    <x v="2746"/>
    <x v="39"/>
    <x v="1"/>
    <x v="149"/>
    <x v="41"/>
    <x v="12"/>
    <x v="8"/>
    <x v="8"/>
    <x v="12"/>
    <x v="8"/>
    <x v="0"/>
    <x v="1"/>
    <x v="85"/>
    <s v="supplier@gmail.com"/>
  </r>
  <r>
    <x v="2747"/>
    <x v="2747"/>
    <x v="0"/>
    <x v="1"/>
    <x v="4"/>
    <x v="0"/>
    <x v="12"/>
    <x v="8"/>
    <x v="8"/>
    <x v="12"/>
    <x v="8"/>
    <x v="0"/>
    <x v="226"/>
    <x v="57"/>
    <s v="supplier@gmail.com"/>
  </r>
  <r>
    <x v="2748"/>
    <x v="2748"/>
    <x v="0"/>
    <x v="1"/>
    <x v="4"/>
    <x v="0"/>
    <x v="12"/>
    <x v="8"/>
    <x v="8"/>
    <x v="12"/>
    <x v="8"/>
    <x v="0"/>
    <x v="43"/>
    <x v="168"/>
    <s v="supplier@gmail.com"/>
  </r>
  <r>
    <x v="2749"/>
    <x v="2749"/>
    <x v="31"/>
    <x v="1"/>
    <x v="42"/>
    <x v="16"/>
    <x v="12"/>
    <x v="8"/>
    <x v="8"/>
    <x v="12"/>
    <x v="8"/>
    <x v="0"/>
    <x v="1"/>
    <x v="121"/>
    <s v="supplier@gmail.com"/>
  </r>
  <r>
    <x v="2750"/>
    <x v="2750"/>
    <x v="36"/>
    <x v="1"/>
    <x v="4"/>
    <x v="125"/>
    <x v="12"/>
    <x v="8"/>
    <x v="8"/>
    <x v="12"/>
    <x v="8"/>
    <x v="0"/>
    <x v="38"/>
    <x v="157"/>
    <s v="supplier@gmail.com"/>
  </r>
  <r>
    <x v="2751"/>
    <x v="2751"/>
    <x v="0"/>
    <x v="1"/>
    <x v="0"/>
    <x v="0"/>
    <x v="12"/>
    <x v="8"/>
    <x v="8"/>
    <x v="12"/>
    <x v="8"/>
    <x v="0"/>
    <x v="226"/>
    <x v="128"/>
    <s v="supplier@gmail.com"/>
  </r>
  <r>
    <x v="2752"/>
    <x v="2752"/>
    <x v="49"/>
    <x v="1"/>
    <x v="0"/>
    <x v="0"/>
    <x v="12"/>
    <x v="8"/>
    <x v="8"/>
    <x v="12"/>
    <x v="8"/>
    <x v="0"/>
    <x v="226"/>
    <x v="164"/>
    <s v="supplier@gmail.com"/>
  </r>
  <r>
    <x v="2753"/>
    <x v="2753"/>
    <x v="49"/>
    <x v="1"/>
    <x v="0"/>
    <x v="0"/>
    <x v="12"/>
    <x v="8"/>
    <x v="8"/>
    <x v="12"/>
    <x v="8"/>
    <x v="0"/>
    <x v="102"/>
    <x v="88"/>
    <s v="supplier@gmail.com"/>
  </r>
  <r>
    <x v="2754"/>
    <x v="2754"/>
    <x v="36"/>
    <x v="1"/>
    <x v="35"/>
    <x v="1"/>
    <x v="12"/>
    <x v="8"/>
    <x v="8"/>
    <x v="12"/>
    <x v="8"/>
    <x v="0"/>
    <x v="102"/>
    <x v="106"/>
    <s v="supplier@gmail.com"/>
  </r>
  <r>
    <x v="2755"/>
    <x v="2755"/>
    <x v="36"/>
    <x v="1"/>
    <x v="35"/>
    <x v="1"/>
    <x v="12"/>
    <x v="8"/>
    <x v="8"/>
    <x v="12"/>
    <x v="8"/>
    <x v="0"/>
    <x v="1"/>
    <x v="39"/>
    <s v="supplier@gmail.com"/>
  </r>
  <r>
    <x v="2756"/>
    <x v="2756"/>
    <x v="36"/>
    <x v="1"/>
    <x v="4"/>
    <x v="125"/>
    <x v="12"/>
    <x v="8"/>
    <x v="8"/>
    <x v="12"/>
    <x v="8"/>
    <x v="0"/>
    <x v="226"/>
    <x v="115"/>
    <s v="supplier@gmail.com"/>
  </r>
  <r>
    <x v="2757"/>
    <x v="2757"/>
    <x v="36"/>
    <x v="1"/>
    <x v="35"/>
    <x v="125"/>
    <x v="12"/>
    <x v="8"/>
    <x v="8"/>
    <x v="12"/>
    <x v="8"/>
    <x v="0"/>
    <x v="102"/>
    <x v="14"/>
    <s v="supplier@gmail.com"/>
  </r>
  <r>
    <x v="2758"/>
    <x v="2758"/>
    <x v="36"/>
    <x v="1"/>
    <x v="4"/>
    <x v="125"/>
    <x v="12"/>
    <x v="8"/>
    <x v="8"/>
    <x v="12"/>
    <x v="8"/>
    <x v="0"/>
    <x v="102"/>
    <x v="175"/>
    <s v="supplier@gmail.com"/>
  </r>
  <r>
    <x v="2759"/>
    <x v="2759"/>
    <x v="36"/>
    <x v="1"/>
    <x v="4"/>
    <x v="125"/>
    <x v="12"/>
    <x v="8"/>
    <x v="8"/>
    <x v="12"/>
    <x v="8"/>
    <x v="0"/>
    <x v="226"/>
    <x v="176"/>
    <s v="supplier@gmail.com"/>
  </r>
  <r>
    <x v="2760"/>
    <x v="2760"/>
    <x v="0"/>
    <x v="1"/>
    <x v="4"/>
    <x v="0"/>
    <x v="12"/>
    <x v="8"/>
    <x v="8"/>
    <x v="12"/>
    <x v="8"/>
    <x v="0"/>
    <x v="38"/>
    <x v="76"/>
    <s v="supplier@gmail.com"/>
  </r>
  <r>
    <x v="2761"/>
    <x v="2761"/>
    <x v="0"/>
    <x v="1"/>
    <x v="0"/>
    <x v="0"/>
    <x v="12"/>
    <x v="8"/>
    <x v="8"/>
    <x v="12"/>
    <x v="8"/>
    <x v="0"/>
    <x v="38"/>
    <x v="50"/>
    <s v="supplier@gmail.com"/>
  </r>
  <r>
    <x v="2762"/>
    <x v="2762"/>
    <x v="0"/>
    <x v="1"/>
    <x v="0"/>
    <x v="0"/>
    <x v="12"/>
    <x v="8"/>
    <x v="8"/>
    <x v="12"/>
    <x v="8"/>
    <x v="0"/>
    <x v="39"/>
    <x v="91"/>
    <s v="supplier@gmail.com"/>
  </r>
  <r>
    <x v="2763"/>
    <x v="2763"/>
    <x v="36"/>
    <x v="1"/>
    <x v="35"/>
    <x v="125"/>
    <x v="12"/>
    <x v="8"/>
    <x v="8"/>
    <x v="12"/>
    <x v="8"/>
    <x v="0"/>
    <x v="102"/>
    <x v="78"/>
    <s v="supplier@gmail.com"/>
  </r>
  <r>
    <x v="2764"/>
    <x v="2764"/>
    <x v="36"/>
    <x v="1"/>
    <x v="4"/>
    <x v="125"/>
    <x v="12"/>
    <x v="8"/>
    <x v="8"/>
    <x v="12"/>
    <x v="8"/>
    <x v="0"/>
    <x v="1"/>
    <x v="108"/>
    <s v="supplier@gmail.com"/>
  </r>
  <r>
    <x v="2765"/>
    <x v="2765"/>
    <x v="36"/>
    <x v="1"/>
    <x v="4"/>
    <x v="125"/>
    <x v="12"/>
    <x v="8"/>
    <x v="8"/>
    <x v="12"/>
    <x v="8"/>
    <x v="0"/>
    <x v="1"/>
    <x v="114"/>
    <s v="supplier@gmail.com"/>
  </r>
  <r>
    <x v="2766"/>
    <x v="2766"/>
    <x v="49"/>
    <x v="1"/>
    <x v="4"/>
    <x v="73"/>
    <x v="12"/>
    <x v="8"/>
    <x v="8"/>
    <x v="12"/>
    <x v="8"/>
    <x v="0"/>
    <x v="102"/>
    <x v="71"/>
    <s v="supplier@gmail.com"/>
  </r>
  <r>
    <x v="2767"/>
    <x v="2767"/>
    <x v="36"/>
    <x v="1"/>
    <x v="4"/>
    <x v="125"/>
    <x v="12"/>
    <x v="8"/>
    <x v="8"/>
    <x v="12"/>
    <x v="8"/>
    <x v="0"/>
    <x v="102"/>
    <x v="160"/>
    <s v="supplier@gmail.com"/>
  </r>
  <r>
    <x v="2768"/>
    <x v="2768"/>
    <x v="36"/>
    <x v="1"/>
    <x v="35"/>
    <x v="125"/>
    <x v="12"/>
    <x v="8"/>
    <x v="8"/>
    <x v="12"/>
    <x v="8"/>
    <x v="0"/>
    <x v="226"/>
    <x v="158"/>
    <s v="supplier@gmail.com"/>
  </r>
  <r>
    <x v="2769"/>
    <x v="2769"/>
    <x v="0"/>
    <x v="1"/>
    <x v="0"/>
    <x v="0"/>
    <x v="12"/>
    <x v="8"/>
    <x v="8"/>
    <x v="12"/>
    <x v="8"/>
    <x v="0"/>
    <x v="102"/>
    <x v="9"/>
    <s v="supplier@gmail.com"/>
  </r>
  <r>
    <x v="2770"/>
    <x v="2770"/>
    <x v="36"/>
    <x v="1"/>
    <x v="35"/>
    <x v="125"/>
    <x v="12"/>
    <x v="8"/>
    <x v="8"/>
    <x v="12"/>
    <x v="8"/>
    <x v="0"/>
    <x v="102"/>
    <x v="91"/>
    <s v="supplier@gmail.com"/>
  </r>
  <r>
    <x v="2771"/>
    <x v="2771"/>
    <x v="36"/>
    <x v="1"/>
    <x v="4"/>
    <x v="125"/>
    <x v="12"/>
    <x v="8"/>
    <x v="8"/>
    <x v="12"/>
    <x v="8"/>
    <x v="0"/>
    <x v="102"/>
    <x v="22"/>
    <s v="supplier@gmail.com"/>
  </r>
  <r>
    <x v="2772"/>
    <x v="2772"/>
    <x v="36"/>
    <x v="1"/>
    <x v="35"/>
    <x v="125"/>
    <x v="12"/>
    <x v="8"/>
    <x v="8"/>
    <x v="12"/>
    <x v="8"/>
    <x v="0"/>
    <x v="102"/>
    <x v="65"/>
    <s v="supplier@gmail.com"/>
  </r>
  <r>
    <x v="2773"/>
    <x v="2773"/>
    <x v="36"/>
    <x v="1"/>
    <x v="4"/>
    <x v="125"/>
    <x v="12"/>
    <x v="8"/>
    <x v="8"/>
    <x v="12"/>
    <x v="8"/>
    <x v="0"/>
    <x v="181"/>
    <x v="121"/>
    <s v="supplier@gmail.com"/>
  </r>
  <r>
    <x v="2774"/>
    <x v="2774"/>
    <x v="30"/>
    <x v="1"/>
    <x v="394"/>
    <x v="76"/>
    <x v="12"/>
    <x v="8"/>
    <x v="8"/>
    <x v="12"/>
    <x v="8"/>
    <x v="0"/>
    <x v="102"/>
    <x v="178"/>
    <s v="supplier@gmail.com"/>
  </r>
  <r>
    <x v="2775"/>
    <x v="2775"/>
    <x v="36"/>
    <x v="1"/>
    <x v="35"/>
    <x v="125"/>
    <x v="12"/>
    <x v="8"/>
    <x v="8"/>
    <x v="12"/>
    <x v="8"/>
    <x v="0"/>
    <x v="226"/>
    <x v="47"/>
    <s v="supplier@gmail.com"/>
  </r>
  <r>
    <x v="2776"/>
    <x v="2776"/>
    <x v="0"/>
    <x v="1"/>
    <x v="0"/>
    <x v="0"/>
    <x v="12"/>
    <x v="8"/>
    <x v="8"/>
    <x v="12"/>
    <x v="8"/>
    <x v="0"/>
    <x v="43"/>
    <x v="67"/>
    <s v="supplier@gmail.com"/>
  </r>
  <r>
    <x v="2777"/>
    <x v="2777"/>
    <x v="44"/>
    <x v="1"/>
    <x v="15"/>
    <x v="15"/>
    <x v="12"/>
    <x v="8"/>
    <x v="8"/>
    <x v="12"/>
    <x v="8"/>
    <x v="0"/>
    <x v="102"/>
    <x v="68"/>
    <s v="supplier@gmail.com"/>
  </r>
  <r>
    <x v="2778"/>
    <x v="2778"/>
    <x v="36"/>
    <x v="1"/>
    <x v="4"/>
    <x v="125"/>
    <x v="12"/>
    <x v="8"/>
    <x v="8"/>
    <x v="12"/>
    <x v="8"/>
    <x v="0"/>
    <x v="1"/>
    <x v="94"/>
    <s v="supplier@gmail.com"/>
  </r>
  <r>
    <x v="2779"/>
    <x v="2779"/>
    <x v="36"/>
    <x v="1"/>
    <x v="4"/>
    <x v="125"/>
    <x v="12"/>
    <x v="8"/>
    <x v="8"/>
    <x v="12"/>
    <x v="8"/>
    <x v="0"/>
    <x v="102"/>
    <x v="193"/>
    <s v="supplier@gmail.com"/>
  </r>
  <r>
    <x v="2780"/>
    <x v="2780"/>
    <x v="4"/>
    <x v="1"/>
    <x v="35"/>
    <x v="1"/>
    <x v="12"/>
    <x v="8"/>
    <x v="8"/>
    <x v="12"/>
    <x v="8"/>
    <x v="0"/>
    <x v="102"/>
    <x v="190"/>
    <s v="supplier@gmail.com"/>
  </r>
  <r>
    <x v="2781"/>
    <x v="2781"/>
    <x v="4"/>
    <x v="1"/>
    <x v="35"/>
    <x v="1"/>
    <x v="12"/>
    <x v="8"/>
    <x v="8"/>
    <x v="12"/>
    <x v="8"/>
    <x v="0"/>
    <x v="102"/>
    <x v="119"/>
    <s v="supplier@gmail.com"/>
  </r>
  <r>
    <x v="2782"/>
    <x v="2782"/>
    <x v="4"/>
    <x v="1"/>
    <x v="35"/>
    <x v="1"/>
    <x v="12"/>
    <x v="8"/>
    <x v="8"/>
    <x v="12"/>
    <x v="8"/>
    <x v="0"/>
    <x v="102"/>
    <x v="68"/>
    <s v="supplier@gmail.com"/>
  </r>
  <r>
    <x v="2783"/>
    <x v="2783"/>
    <x v="4"/>
    <x v="1"/>
    <x v="35"/>
    <x v="1"/>
    <x v="12"/>
    <x v="8"/>
    <x v="8"/>
    <x v="12"/>
    <x v="8"/>
    <x v="0"/>
    <x v="102"/>
    <x v="59"/>
    <s v="supplier@gmail.com"/>
  </r>
  <r>
    <x v="2784"/>
    <x v="2784"/>
    <x v="4"/>
    <x v="1"/>
    <x v="35"/>
    <x v="1"/>
    <x v="12"/>
    <x v="8"/>
    <x v="8"/>
    <x v="12"/>
    <x v="8"/>
    <x v="0"/>
    <x v="102"/>
    <x v="51"/>
    <s v="supplier@gmail.com"/>
  </r>
  <r>
    <x v="2785"/>
    <x v="2785"/>
    <x v="4"/>
    <x v="1"/>
    <x v="35"/>
    <x v="1"/>
    <x v="12"/>
    <x v="8"/>
    <x v="8"/>
    <x v="12"/>
    <x v="8"/>
    <x v="0"/>
    <x v="102"/>
    <x v="158"/>
    <s v="supplier@gmail.com"/>
  </r>
  <r>
    <x v="2786"/>
    <x v="2786"/>
    <x v="4"/>
    <x v="1"/>
    <x v="35"/>
    <x v="1"/>
    <x v="12"/>
    <x v="8"/>
    <x v="8"/>
    <x v="12"/>
    <x v="8"/>
    <x v="0"/>
    <x v="102"/>
    <x v="24"/>
    <s v="supplier@gmail.com"/>
  </r>
  <r>
    <x v="2787"/>
    <x v="2787"/>
    <x v="4"/>
    <x v="1"/>
    <x v="35"/>
    <x v="1"/>
    <x v="12"/>
    <x v="8"/>
    <x v="8"/>
    <x v="12"/>
    <x v="8"/>
    <x v="0"/>
    <x v="102"/>
    <x v="178"/>
    <s v="supplier@gmail.com"/>
  </r>
  <r>
    <x v="2788"/>
    <x v="2788"/>
    <x v="4"/>
    <x v="1"/>
    <x v="35"/>
    <x v="1"/>
    <x v="12"/>
    <x v="8"/>
    <x v="8"/>
    <x v="12"/>
    <x v="8"/>
    <x v="0"/>
    <x v="102"/>
    <x v="34"/>
    <s v="supplier@gmail.com"/>
  </r>
  <r>
    <x v="2789"/>
    <x v="2789"/>
    <x v="4"/>
    <x v="1"/>
    <x v="35"/>
    <x v="1"/>
    <x v="12"/>
    <x v="8"/>
    <x v="8"/>
    <x v="12"/>
    <x v="8"/>
    <x v="0"/>
    <x v="226"/>
    <x v="89"/>
    <s v="supplier@gmail.com"/>
  </r>
  <r>
    <x v="2790"/>
    <x v="2790"/>
    <x v="4"/>
    <x v="1"/>
    <x v="0"/>
    <x v="1"/>
    <x v="12"/>
    <x v="8"/>
    <x v="8"/>
    <x v="12"/>
    <x v="8"/>
    <x v="0"/>
    <x v="102"/>
    <x v="166"/>
    <s v="supplier@gmail.com"/>
  </r>
  <r>
    <x v="2791"/>
    <x v="2791"/>
    <x v="4"/>
    <x v="1"/>
    <x v="35"/>
    <x v="1"/>
    <x v="12"/>
    <x v="8"/>
    <x v="8"/>
    <x v="12"/>
    <x v="8"/>
    <x v="0"/>
    <x v="102"/>
    <x v="75"/>
    <s v="supplier@gmail.com"/>
  </r>
  <r>
    <x v="2792"/>
    <x v="2792"/>
    <x v="4"/>
    <x v="1"/>
    <x v="35"/>
    <x v="1"/>
    <x v="12"/>
    <x v="8"/>
    <x v="8"/>
    <x v="12"/>
    <x v="8"/>
    <x v="0"/>
    <x v="226"/>
    <x v="127"/>
    <s v="supplier@gmail.com"/>
  </r>
  <r>
    <x v="2793"/>
    <x v="2793"/>
    <x v="4"/>
    <x v="1"/>
    <x v="0"/>
    <x v="1"/>
    <x v="12"/>
    <x v="8"/>
    <x v="8"/>
    <x v="12"/>
    <x v="8"/>
    <x v="0"/>
    <x v="102"/>
    <x v="13"/>
    <s v="supplier@gmail.com"/>
  </r>
  <r>
    <x v="2794"/>
    <x v="2794"/>
    <x v="4"/>
    <x v="1"/>
    <x v="35"/>
    <x v="1"/>
    <x v="12"/>
    <x v="8"/>
    <x v="8"/>
    <x v="12"/>
    <x v="8"/>
    <x v="0"/>
    <x v="102"/>
    <x v="30"/>
    <s v="supplier@gmail.com"/>
  </r>
  <r>
    <x v="2795"/>
    <x v="2795"/>
    <x v="4"/>
    <x v="1"/>
    <x v="35"/>
    <x v="1"/>
    <x v="12"/>
    <x v="8"/>
    <x v="8"/>
    <x v="12"/>
    <x v="8"/>
    <x v="0"/>
    <x v="102"/>
    <x v="54"/>
    <s v="supplier@gmail.com"/>
  </r>
  <r>
    <x v="2796"/>
    <x v="2796"/>
    <x v="4"/>
    <x v="1"/>
    <x v="35"/>
    <x v="1"/>
    <x v="12"/>
    <x v="8"/>
    <x v="8"/>
    <x v="12"/>
    <x v="8"/>
    <x v="0"/>
    <x v="102"/>
    <x v="25"/>
    <s v="supplier@gmail.com"/>
  </r>
  <r>
    <x v="2797"/>
    <x v="2797"/>
    <x v="4"/>
    <x v="1"/>
    <x v="35"/>
    <x v="1"/>
    <x v="12"/>
    <x v="8"/>
    <x v="8"/>
    <x v="12"/>
    <x v="8"/>
    <x v="0"/>
    <x v="226"/>
    <x v="30"/>
    <s v="supplier@gmail.com"/>
  </r>
  <r>
    <x v="2798"/>
    <x v="2798"/>
    <x v="0"/>
    <x v="1"/>
    <x v="35"/>
    <x v="125"/>
    <x v="12"/>
    <x v="8"/>
    <x v="8"/>
    <x v="12"/>
    <x v="8"/>
    <x v="0"/>
    <x v="22"/>
    <x v="152"/>
    <s v="supplier@gmail.com"/>
  </r>
  <r>
    <x v="2799"/>
    <x v="2799"/>
    <x v="38"/>
    <x v="1"/>
    <x v="189"/>
    <x v="36"/>
    <x v="12"/>
    <x v="8"/>
    <x v="8"/>
    <x v="12"/>
    <x v="8"/>
    <x v="0"/>
    <x v="375"/>
    <x v="138"/>
    <s v="supplier@gmail.com"/>
  </r>
  <r>
    <x v="2800"/>
    <x v="2800"/>
    <x v="16"/>
    <x v="1"/>
    <x v="17"/>
    <x v="17"/>
    <x v="12"/>
    <x v="8"/>
    <x v="8"/>
    <x v="12"/>
    <x v="8"/>
    <x v="0"/>
    <x v="375"/>
    <x v="89"/>
    <s v="supplier@gmail.com"/>
  </r>
  <r>
    <x v="2801"/>
    <x v="2801"/>
    <x v="49"/>
    <x v="1"/>
    <x v="70"/>
    <x v="73"/>
    <x v="12"/>
    <x v="8"/>
    <x v="8"/>
    <x v="12"/>
    <x v="8"/>
    <x v="0"/>
    <x v="38"/>
    <x v="116"/>
    <s v="supplier@gmail.com"/>
  </r>
  <r>
    <x v="2802"/>
    <x v="2802"/>
    <x v="0"/>
    <x v="1"/>
    <x v="0"/>
    <x v="0"/>
    <x v="12"/>
    <x v="8"/>
    <x v="8"/>
    <x v="12"/>
    <x v="8"/>
    <x v="0"/>
    <x v="13"/>
    <x v="46"/>
    <s v="supplier@gmail.com"/>
  </r>
  <r>
    <x v="2803"/>
    <x v="2803"/>
    <x v="4"/>
    <x v="1"/>
    <x v="70"/>
    <x v="1"/>
    <x v="12"/>
    <x v="8"/>
    <x v="8"/>
    <x v="12"/>
    <x v="8"/>
    <x v="0"/>
    <x v="683"/>
    <x v="148"/>
    <s v="supplier@gmail.com"/>
  </r>
  <r>
    <x v="2804"/>
    <x v="2804"/>
    <x v="266"/>
    <x v="1"/>
    <x v="7"/>
    <x v="20"/>
    <x v="12"/>
    <x v="8"/>
    <x v="8"/>
    <x v="12"/>
    <x v="8"/>
    <x v="0"/>
    <x v="86"/>
    <x v="125"/>
    <s v="supplier@gmail.com"/>
  </r>
  <r>
    <x v="2805"/>
    <x v="2805"/>
    <x v="284"/>
    <x v="1"/>
    <x v="295"/>
    <x v="422"/>
    <x v="12"/>
    <x v="8"/>
    <x v="8"/>
    <x v="12"/>
    <x v="8"/>
    <x v="0"/>
    <x v="39"/>
    <x v="66"/>
    <s v="supplier@gmail.com"/>
  </r>
  <r>
    <x v="2806"/>
    <x v="2806"/>
    <x v="0"/>
    <x v="1"/>
    <x v="0"/>
    <x v="0"/>
    <x v="12"/>
    <x v="8"/>
    <x v="8"/>
    <x v="12"/>
    <x v="8"/>
    <x v="0"/>
    <x v="148"/>
    <x v="156"/>
    <s v="supplier@gmail.com"/>
  </r>
  <r>
    <x v="2807"/>
    <x v="2807"/>
    <x v="16"/>
    <x v="1"/>
    <x v="17"/>
    <x v="17"/>
    <x v="12"/>
    <x v="8"/>
    <x v="8"/>
    <x v="12"/>
    <x v="8"/>
    <x v="0"/>
    <x v="1"/>
    <x v="160"/>
    <s v="supplier@gmail.com"/>
  </r>
  <r>
    <x v="2808"/>
    <x v="2808"/>
    <x v="36"/>
    <x v="1"/>
    <x v="4"/>
    <x v="125"/>
    <x v="12"/>
    <x v="8"/>
    <x v="8"/>
    <x v="12"/>
    <x v="8"/>
    <x v="0"/>
    <x v="294"/>
    <x v="183"/>
    <s v="supplier@gmail.com"/>
  </r>
  <r>
    <x v="2809"/>
    <x v="2809"/>
    <x v="0"/>
    <x v="1"/>
    <x v="70"/>
    <x v="0"/>
    <x v="12"/>
    <x v="8"/>
    <x v="8"/>
    <x v="12"/>
    <x v="8"/>
    <x v="0"/>
    <x v="777"/>
    <x v="76"/>
    <s v="supplier@gmail.com"/>
  </r>
  <r>
    <x v="2810"/>
    <x v="2810"/>
    <x v="101"/>
    <x v="1"/>
    <x v="42"/>
    <x v="19"/>
    <x v="12"/>
    <x v="8"/>
    <x v="8"/>
    <x v="12"/>
    <x v="8"/>
    <x v="0"/>
    <x v="1"/>
    <x v="182"/>
    <s v="supplier@gmail.com"/>
  </r>
  <r>
    <x v="2811"/>
    <x v="2811"/>
    <x v="400"/>
    <x v="1"/>
    <x v="31"/>
    <x v="38"/>
    <x v="12"/>
    <x v="8"/>
    <x v="8"/>
    <x v="12"/>
    <x v="8"/>
    <x v="0"/>
    <x v="145"/>
    <x v="80"/>
    <s v="supplier@gmail.com"/>
  </r>
  <r>
    <x v="2812"/>
    <x v="2812"/>
    <x v="18"/>
    <x v="1"/>
    <x v="42"/>
    <x v="19"/>
    <x v="12"/>
    <x v="8"/>
    <x v="8"/>
    <x v="12"/>
    <x v="8"/>
    <x v="0"/>
    <x v="218"/>
    <x v="184"/>
    <s v="supplier@gmail.com"/>
  </r>
  <r>
    <x v="2813"/>
    <x v="2813"/>
    <x v="12"/>
    <x v="1"/>
    <x v="374"/>
    <x v="270"/>
    <x v="12"/>
    <x v="8"/>
    <x v="8"/>
    <x v="12"/>
    <x v="8"/>
    <x v="0"/>
    <x v="375"/>
    <x v="119"/>
    <s v="supplier@gmail.com"/>
  </r>
  <r>
    <x v="2814"/>
    <x v="2814"/>
    <x v="49"/>
    <x v="1"/>
    <x v="4"/>
    <x v="73"/>
    <x v="12"/>
    <x v="8"/>
    <x v="8"/>
    <x v="12"/>
    <x v="8"/>
    <x v="0"/>
    <x v="1"/>
    <x v="59"/>
    <s v="supplier@gmail.com"/>
  </r>
  <r>
    <x v="2815"/>
    <x v="2815"/>
    <x v="101"/>
    <x v="1"/>
    <x v="15"/>
    <x v="19"/>
    <x v="12"/>
    <x v="8"/>
    <x v="8"/>
    <x v="12"/>
    <x v="8"/>
    <x v="0"/>
    <x v="254"/>
    <x v="91"/>
    <s v="supplier@gmail.com"/>
  </r>
  <r>
    <x v="2816"/>
    <x v="2816"/>
    <x v="176"/>
    <x v="1"/>
    <x v="421"/>
    <x v="271"/>
    <x v="12"/>
    <x v="8"/>
    <x v="8"/>
    <x v="12"/>
    <x v="8"/>
    <x v="0"/>
    <x v="159"/>
    <x v="12"/>
    <s v="supplier@gmail.com"/>
  </r>
  <r>
    <x v="2817"/>
    <x v="2817"/>
    <x v="36"/>
    <x v="1"/>
    <x v="4"/>
    <x v="125"/>
    <x v="12"/>
    <x v="8"/>
    <x v="8"/>
    <x v="12"/>
    <x v="8"/>
    <x v="0"/>
    <x v="777"/>
    <x v="14"/>
    <s v="supplier@gmail.com"/>
  </r>
  <r>
    <x v="2818"/>
    <x v="2818"/>
    <x v="101"/>
    <x v="1"/>
    <x v="42"/>
    <x v="19"/>
    <x v="12"/>
    <x v="8"/>
    <x v="8"/>
    <x v="12"/>
    <x v="8"/>
    <x v="0"/>
    <x v="7"/>
    <x v="16"/>
    <s v="supplier@gmail.com"/>
  </r>
  <r>
    <x v="2819"/>
    <x v="2819"/>
    <x v="401"/>
    <x v="233"/>
    <x v="26"/>
    <x v="423"/>
    <x v="383"/>
    <x v="353"/>
    <x v="335"/>
    <x v="333"/>
    <x v="321"/>
    <x v="0"/>
    <x v="1"/>
    <x v="165"/>
    <s v="supplier@gmail.com"/>
  </r>
  <r>
    <x v="2820"/>
    <x v="2820"/>
    <x v="4"/>
    <x v="1"/>
    <x v="4"/>
    <x v="1"/>
    <x v="12"/>
    <x v="8"/>
    <x v="8"/>
    <x v="12"/>
    <x v="8"/>
    <x v="0"/>
    <x v="1"/>
    <x v="103"/>
    <s v="supplier@gmail.com"/>
  </r>
  <r>
    <x v="2821"/>
    <x v="2821"/>
    <x v="4"/>
    <x v="1"/>
    <x v="4"/>
    <x v="1"/>
    <x v="12"/>
    <x v="8"/>
    <x v="8"/>
    <x v="12"/>
    <x v="8"/>
    <x v="0"/>
    <x v="1"/>
    <x v="176"/>
    <s v="supplier@gmail.com"/>
  </r>
  <r>
    <x v="2822"/>
    <x v="2822"/>
    <x v="4"/>
    <x v="1"/>
    <x v="4"/>
    <x v="1"/>
    <x v="12"/>
    <x v="8"/>
    <x v="8"/>
    <x v="12"/>
    <x v="8"/>
    <x v="0"/>
    <x v="1"/>
    <x v="164"/>
    <s v="supplier@gmail.com"/>
  </r>
  <r>
    <x v="2823"/>
    <x v="2823"/>
    <x v="4"/>
    <x v="1"/>
    <x v="4"/>
    <x v="1"/>
    <x v="12"/>
    <x v="8"/>
    <x v="8"/>
    <x v="12"/>
    <x v="8"/>
    <x v="0"/>
    <x v="30"/>
    <x v="11"/>
    <s v="supplier@gmail.com"/>
  </r>
  <r>
    <x v="2824"/>
    <x v="2824"/>
    <x v="4"/>
    <x v="1"/>
    <x v="4"/>
    <x v="1"/>
    <x v="12"/>
    <x v="8"/>
    <x v="8"/>
    <x v="12"/>
    <x v="8"/>
    <x v="0"/>
    <x v="1"/>
    <x v="80"/>
    <s v="supplier@gmail.com"/>
  </r>
  <r>
    <x v="2825"/>
    <x v="2825"/>
    <x v="4"/>
    <x v="1"/>
    <x v="4"/>
    <x v="1"/>
    <x v="12"/>
    <x v="8"/>
    <x v="8"/>
    <x v="12"/>
    <x v="8"/>
    <x v="0"/>
    <x v="1"/>
    <x v="57"/>
    <s v="supplier@gmail.com"/>
  </r>
  <r>
    <x v="2826"/>
    <x v="2826"/>
    <x v="4"/>
    <x v="1"/>
    <x v="4"/>
    <x v="1"/>
    <x v="12"/>
    <x v="8"/>
    <x v="8"/>
    <x v="12"/>
    <x v="8"/>
    <x v="0"/>
    <x v="1"/>
    <x v="119"/>
    <s v="supplier@gmail.com"/>
  </r>
  <r>
    <x v="2827"/>
    <x v="2827"/>
    <x v="4"/>
    <x v="1"/>
    <x v="4"/>
    <x v="1"/>
    <x v="12"/>
    <x v="8"/>
    <x v="8"/>
    <x v="12"/>
    <x v="8"/>
    <x v="0"/>
    <x v="1"/>
    <x v="165"/>
    <s v="supplier@gmail.com"/>
  </r>
  <r>
    <x v="2828"/>
    <x v="2828"/>
    <x v="4"/>
    <x v="1"/>
    <x v="4"/>
    <x v="1"/>
    <x v="12"/>
    <x v="8"/>
    <x v="8"/>
    <x v="12"/>
    <x v="8"/>
    <x v="0"/>
    <x v="1"/>
    <x v="194"/>
    <s v="supplier@gmail.com"/>
  </r>
  <r>
    <x v="2829"/>
    <x v="2829"/>
    <x v="4"/>
    <x v="1"/>
    <x v="4"/>
    <x v="1"/>
    <x v="12"/>
    <x v="8"/>
    <x v="8"/>
    <x v="12"/>
    <x v="8"/>
    <x v="0"/>
    <x v="1"/>
    <x v="194"/>
    <s v="supplier@gmail.com"/>
  </r>
  <r>
    <x v="2830"/>
    <x v="2830"/>
    <x v="4"/>
    <x v="1"/>
    <x v="4"/>
    <x v="1"/>
    <x v="12"/>
    <x v="8"/>
    <x v="8"/>
    <x v="12"/>
    <x v="8"/>
    <x v="0"/>
    <x v="1"/>
    <x v="75"/>
    <s v="supplier@gmail.com"/>
  </r>
  <r>
    <x v="2831"/>
    <x v="2831"/>
    <x v="4"/>
    <x v="1"/>
    <x v="4"/>
    <x v="1"/>
    <x v="12"/>
    <x v="8"/>
    <x v="8"/>
    <x v="12"/>
    <x v="8"/>
    <x v="0"/>
    <x v="1"/>
    <x v="179"/>
    <s v="supplier@gmail.com"/>
  </r>
  <r>
    <x v="2832"/>
    <x v="2832"/>
    <x v="4"/>
    <x v="1"/>
    <x v="4"/>
    <x v="1"/>
    <x v="12"/>
    <x v="8"/>
    <x v="8"/>
    <x v="12"/>
    <x v="8"/>
    <x v="0"/>
    <x v="114"/>
    <x v="53"/>
    <s v="supplier@gmail.com"/>
  </r>
  <r>
    <x v="2833"/>
    <x v="2833"/>
    <x v="4"/>
    <x v="1"/>
    <x v="4"/>
    <x v="1"/>
    <x v="12"/>
    <x v="8"/>
    <x v="8"/>
    <x v="12"/>
    <x v="8"/>
    <x v="0"/>
    <x v="1"/>
    <x v="58"/>
    <s v="supplier@gmail.com"/>
  </r>
  <r>
    <x v="2834"/>
    <x v="2834"/>
    <x v="4"/>
    <x v="1"/>
    <x v="4"/>
    <x v="1"/>
    <x v="12"/>
    <x v="8"/>
    <x v="8"/>
    <x v="12"/>
    <x v="8"/>
    <x v="0"/>
    <x v="1"/>
    <x v="5"/>
    <s v="supplier@gmail.com"/>
  </r>
  <r>
    <x v="2835"/>
    <x v="2835"/>
    <x v="4"/>
    <x v="1"/>
    <x v="4"/>
    <x v="1"/>
    <x v="12"/>
    <x v="8"/>
    <x v="8"/>
    <x v="12"/>
    <x v="8"/>
    <x v="0"/>
    <x v="1"/>
    <x v="118"/>
    <s v="supplier@gmail.com"/>
  </r>
  <r>
    <x v="2836"/>
    <x v="2836"/>
    <x v="4"/>
    <x v="1"/>
    <x v="4"/>
    <x v="1"/>
    <x v="12"/>
    <x v="8"/>
    <x v="8"/>
    <x v="12"/>
    <x v="8"/>
    <x v="0"/>
    <x v="1"/>
    <x v="92"/>
    <s v="supplier@gmail.com"/>
  </r>
  <r>
    <x v="2837"/>
    <x v="2837"/>
    <x v="4"/>
    <x v="1"/>
    <x v="4"/>
    <x v="1"/>
    <x v="12"/>
    <x v="8"/>
    <x v="8"/>
    <x v="12"/>
    <x v="8"/>
    <x v="0"/>
    <x v="1"/>
    <x v="33"/>
    <s v="supplier@gmail.com"/>
  </r>
  <r>
    <x v="2838"/>
    <x v="2838"/>
    <x v="4"/>
    <x v="1"/>
    <x v="4"/>
    <x v="1"/>
    <x v="12"/>
    <x v="8"/>
    <x v="8"/>
    <x v="12"/>
    <x v="8"/>
    <x v="0"/>
    <x v="1"/>
    <x v="172"/>
    <s v="supplier@gmail.com"/>
  </r>
  <r>
    <x v="2839"/>
    <x v="2839"/>
    <x v="4"/>
    <x v="1"/>
    <x v="4"/>
    <x v="1"/>
    <x v="12"/>
    <x v="8"/>
    <x v="8"/>
    <x v="12"/>
    <x v="8"/>
    <x v="0"/>
    <x v="1"/>
    <x v="153"/>
    <s v="supplier@gmail.com"/>
  </r>
  <r>
    <x v="2840"/>
    <x v="2840"/>
    <x v="4"/>
    <x v="1"/>
    <x v="4"/>
    <x v="1"/>
    <x v="12"/>
    <x v="8"/>
    <x v="8"/>
    <x v="12"/>
    <x v="8"/>
    <x v="0"/>
    <x v="1"/>
    <x v="187"/>
    <s v="supplier@gmail.com"/>
  </r>
  <r>
    <x v="2841"/>
    <x v="2841"/>
    <x v="4"/>
    <x v="1"/>
    <x v="4"/>
    <x v="1"/>
    <x v="12"/>
    <x v="8"/>
    <x v="8"/>
    <x v="12"/>
    <x v="8"/>
    <x v="0"/>
    <x v="1"/>
    <x v="97"/>
    <s v="supplier@gmail.com"/>
  </r>
  <r>
    <x v="2842"/>
    <x v="2842"/>
    <x v="4"/>
    <x v="1"/>
    <x v="4"/>
    <x v="1"/>
    <x v="12"/>
    <x v="8"/>
    <x v="8"/>
    <x v="12"/>
    <x v="8"/>
    <x v="0"/>
    <x v="1"/>
    <x v="31"/>
    <s v="supplier@gmail.com"/>
  </r>
  <r>
    <x v="2843"/>
    <x v="2843"/>
    <x v="4"/>
    <x v="1"/>
    <x v="4"/>
    <x v="1"/>
    <x v="12"/>
    <x v="8"/>
    <x v="8"/>
    <x v="12"/>
    <x v="8"/>
    <x v="0"/>
    <x v="1"/>
    <x v="65"/>
    <s v="supplier@gmail.com"/>
  </r>
  <r>
    <x v="2844"/>
    <x v="2844"/>
    <x v="4"/>
    <x v="1"/>
    <x v="4"/>
    <x v="1"/>
    <x v="12"/>
    <x v="8"/>
    <x v="8"/>
    <x v="12"/>
    <x v="8"/>
    <x v="0"/>
    <x v="1"/>
    <x v="42"/>
    <s v="supplier@gmail.com"/>
  </r>
  <r>
    <x v="2845"/>
    <x v="2845"/>
    <x v="4"/>
    <x v="1"/>
    <x v="4"/>
    <x v="1"/>
    <x v="12"/>
    <x v="8"/>
    <x v="8"/>
    <x v="12"/>
    <x v="8"/>
    <x v="0"/>
    <x v="1"/>
    <x v="141"/>
    <s v="supplier@gmail.com"/>
  </r>
  <r>
    <x v="2846"/>
    <x v="2846"/>
    <x v="4"/>
    <x v="1"/>
    <x v="4"/>
    <x v="1"/>
    <x v="12"/>
    <x v="8"/>
    <x v="8"/>
    <x v="12"/>
    <x v="8"/>
    <x v="0"/>
    <x v="1"/>
    <x v="169"/>
    <s v="supplier@gmail.com"/>
  </r>
  <r>
    <x v="2847"/>
    <x v="2847"/>
    <x v="4"/>
    <x v="1"/>
    <x v="4"/>
    <x v="1"/>
    <x v="12"/>
    <x v="8"/>
    <x v="8"/>
    <x v="12"/>
    <x v="8"/>
    <x v="0"/>
    <x v="1"/>
    <x v="74"/>
    <s v="supplier@gmail.com"/>
  </r>
  <r>
    <x v="2848"/>
    <x v="2848"/>
    <x v="4"/>
    <x v="1"/>
    <x v="4"/>
    <x v="1"/>
    <x v="12"/>
    <x v="8"/>
    <x v="8"/>
    <x v="12"/>
    <x v="8"/>
    <x v="0"/>
    <x v="1"/>
    <x v="102"/>
    <s v="supplier@gmail.com"/>
  </r>
  <r>
    <x v="2849"/>
    <x v="2849"/>
    <x v="4"/>
    <x v="1"/>
    <x v="4"/>
    <x v="1"/>
    <x v="12"/>
    <x v="8"/>
    <x v="8"/>
    <x v="12"/>
    <x v="8"/>
    <x v="0"/>
    <x v="1"/>
    <x v="75"/>
    <s v="supplier@gmail.com"/>
  </r>
  <r>
    <x v="2850"/>
    <x v="2850"/>
    <x v="4"/>
    <x v="1"/>
    <x v="4"/>
    <x v="1"/>
    <x v="12"/>
    <x v="8"/>
    <x v="8"/>
    <x v="12"/>
    <x v="8"/>
    <x v="0"/>
    <x v="1"/>
    <x v="118"/>
    <s v="supplier@gmail.com"/>
  </r>
  <r>
    <x v="2851"/>
    <x v="2851"/>
    <x v="4"/>
    <x v="1"/>
    <x v="4"/>
    <x v="1"/>
    <x v="12"/>
    <x v="8"/>
    <x v="8"/>
    <x v="12"/>
    <x v="8"/>
    <x v="0"/>
    <x v="1"/>
    <x v="190"/>
    <s v="supplier@gmail.com"/>
  </r>
  <r>
    <x v="2852"/>
    <x v="2852"/>
    <x v="4"/>
    <x v="1"/>
    <x v="4"/>
    <x v="1"/>
    <x v="12"/>
    <x v="8"/>
    <x v="8"/>
    <x v="12"/>
    <x v="8"/>
    <x v="0"/>
    <x v="1"/>
    <x v="110"/>
    <s v="supplier@gmail.com"/>
  </r>
  <r>
    <x v="2853"/>
    <x v="2853"/>
    <x v="4"/>
    <x v="1"/>
    <x v="4"/>
    <x v="1"/>
    <x v="12"/>
    <x v="8"/>
    <x v="8"/>
    <x v="12"/>
    <x v="8"/>
    <x v="0"/>
    <x v="1"/>
    <x v="90"/>
    <s v="supplier@gmail.com"/>
  </r>
  <r>
    <x v="2854"/>
    <x v="2854"/>
    <x v="4"/>
    <x v="1"/>
    <x v="4"/>
    <x v="1"/>
    <x v="12"/>
    <x v="8"/>
    <x v="8"/>
    <x v="12"/>
    <x v="8"/>
    <x v="0"/>
    <x v="1"/>
    <x v="197"/>
    <s v="supplier@gmail.com"/>
  </r>
  <r>
    <x v="2855"/>
    <x v="2855"/>
    <x v="4"/>
    <x v="1"/>
    <x v="4"/>
    <x v="1"/>
    <x v="12"/>
    <x v="8"/>
    <x v="8"/>
    <x v="12"/>
    <x v="8"/>
    <x v="0"/>
    <x v="1"/>
    <x v="107"/>
    <s v="supplier@gmail.com"/>
  </r>
  <r>
    <x v="2856"/>
    <x v="2856"/>
    <x v="4"/>
    <x v="1"/>
    <x v="4"/>
    <x v="1"/>
    <x v="12"/>
    <x v="8"/>
    <x v="8"/>
    <x v="12"/>
    <x v="8"/>
    <x v="0"/>
    <x v="1"/>
    <x v="95"/>
    <s v="supplier@gmail.com"/>
  </r>
  <r>
    <x v="2857"/>
    <x v="2857"/>
    <x v="4"/>
    <x v="1"/>
    <x v="4"/>
    <x v="1"/>
    <x v="12"/>
    <x v="8"/>
    <x v="8"/>
    <x v="12"/>
    <x v="8"/>
    <x v="0"/>
    <x v="1"/>
    <x v="77"/>
    <s v="supplier@gmail.com"/>
  </r>
  <r>
    <x v="2858"/>
    <x v="2858"/>
    <x v="4"/>
    <x v="1"/>
    <x v="4"/>
    <x v="1"/>
    <x v="12"/>
    <x v="8"/>
    <x v="8"/>
    <x v="12"/>
    <x v="8"/>
    <x v="0"/>
    <x v="1"/>
    <x v="186"/>
    <s v="supplier@gmail.com"/>
  </r>
  <r>
    <x v="2859"/>
    <x v="2859"/>
    <x v="4"/>
    <x v="1"/>
    <x v="4"/>
    <x v="1"/>
    <x v="12"/>
    <x v="8"/>
    <x v="8"/>
    <x v="12"/>
    <x v="8"/>
    <x v="0"/>
    <x v="1"/>
    <x v="34"/>
    <s v="supplier@gmail.com"/>
  </r>
  <r>
    <x v="2860"/>
    <x v="2860"/>
    <x v="4"/>
    <x v="1"/>
    <x v="4"/>
    <x v="1"/>
    <x v="12"/>
    <x v="8"/>
    <x v="8"/>
    <x v="12"/>
    <x v="8"/>
    <x v="0"/>
    <x v="3"/>
    <x v="99"/>
    <s v="supplier@gmail.com"/>
  </r>
  <r>
    <x v="2861"/>
    <x v="2861"/>
    <x v="0"/>
    <x v="1"/>
    <x v="4"/>
    <x v="1"/>
    <x v="12"/>
    <x v="8"/>
    <x v="8"/>
    <x v="12"/>
    <x v="8"/>
    <x v="0"/>
    <x v="37"/>
    <x v="57"/>
    <s v="supplier@gmail.com"/>
  </r>
  <r>
    <x v="2862"/>
    <x v="2862"/>
    <x v="36"/>
    <x v="1"/>
    <x v="4"/>
    <x v="1"/>
    <x v="12"/>
    <x v="8"/>
    <x v="8"/>
    <x v="12"/>
    <x v="8"/>
    <x v="0"/>
    <x v="3"/>
    <x v="24"/>
    <s v="supplier@gmail.com"/>
  </r>
  <r>
    <x v="2863"/>
    <x v="2863"/>
    <x v="36"/>
    <x v="1"/>
    <x v="4"/>
    <x v="1"/>
    <x v="12"/>
    <x v="8"/>
    <x v="8"/>
    <x v="12"/>
    <x v="8"/>
    <x v="0"/>
    <x v="162"/>
    <x v="53"/>
    <s v="supplier@gmail.com"/>
  </r>
  <r>
    <x v="2864"/>
    <x v="2864"/>
    <x v="36"/>
    <x v="1"/>
    <x v="4"/>
    <x v="1"/>
    <x v="12"/>
    <x v="8"/>
    <x v="8"/>
    <x v="12"/>
    <x v="8"/>
    <x v="0"/>
    <x v="1"/>
    <x v="82"/>
    <s v="supplier@gmail.com"/>
  </r>
  <r>
    <x v="2865"/>
    <x v="2865"/>
    <x v="36"/>
    <x v="1"/>
    <x v="4"/>
    <x v="1"/>
    <x v="12"/>
    <x v="8"/>
    <x v="8"/>
    <x v="12"/>
    <x v="8"/>
    <x v="0"/>
    <x v="1"/>
    <x v="128"/>
    <s v="supplier@gmail.com"/>
  </r>
  <r>
    <x v="2866"/>
    <x v="2866"/>
    <x v="36"/>
    <x v="1"/>
    <x v="4"/>
    <x v="1"/>
    <x v="12"/>
    <x v="8"/>
    <x v="8"/>
    <x v="12"/>
    <x v="8"/>
    <x v="0"/>
    <x v="144"/>
    <x v="33"/>
    <s v="supplier@gmail.com"/>
  </r>
  <r>
    <x v="2867"/>
    <x v="2867"/>
    <x v="202"/>
    <x v="1"/>
    <x v="4"/>
    <x v="1"/>
    <x v="12"/>
    <x v="8"/>
    <x v="8"/>
    <x v="12"/>
    <x v="8"/>
    <x v="0"/>
    <x v="1"/>
    <x v="2"/>
    <s v="supplier@gmail.com"/>
  </r>
  <r>
    <x v="2868"/>
    <x v="2868"/>
    <x v="402"/>
    <x v="1"/>
    <x v="4"/>
    <x v="1"/>
    <x v="12"/>
    <x v="8"/>
    <x v="8"/>
    <x v="12"/>
    <x v="8"/>
    <x v="0"/>
    <x v="1"/>
    <x v="143"/>
    <s v="supplier@gmail.com"/>
  </r>
  <r>
    <x v="2869"/>
    <x v="2869"/>
    <x v="44"/>
    <x v="1"/>
    <x v="4"/>
    <x v="1"/>
    <x v="12"/>
    <x v="8"/>
    <x v="8"/>
    <x v="12"/>
    <x v="8"/>
    <x v="0"/>
    <x v="7"/>
    <x v="169"/>
    <s v="supplier@gmail.com"/>
  </r>
  <r>
    <x v="2870"/>
    <x v="2870"/>
    <x v="0"/>
    <x v="1"/>
    <x v="4"/>
    <x v="1"/>
    <x v="12"/>
    <x v="8"/>
    <x v="8"/>
    <x v="12"/>
    <x v="8"/>
    <x v="0"/>
    <x v="30"/>
    <x v="178"/>
    <s v="supplier@gmail.com"/>
  </r>
  <r>
    <x v="2871"/>
    <x v="2871"/>
    <x v="4"/>
    <x v="1"/>
    <x v="4"/>
    <x v="1"/>
    <x v="12"/>
    <x v="8"/>
    <x v="8"/>
    <x v="12"/>
    <x v="8"/>
    <x v="0"/>
    <x v="36"/>
    <x v="43"/>
    <s v="supplier@gmail.com"/>
  </r>
  <r>
    <x v="2872"/>
    <x v="2872"/>
    <x v="4"/>
    <x v="1"/>
    <x v="4"/>
    <x v="1"/>
    <x v="12"/>
    <x v="8"/>
    <x v="8"/>
    <x v="12"/>
    <x v="8"/>
    <x v="0"/>
    <x v="36"/>
    <x v="159"/>
    <s v="supplier@gmail.com"/>
  </r>
  <r>
    <x v="2873"/>
    <x v="2873"/>
    <x v="4"/>
    <x v="1"/>
    <x v="4"/>
    <x v="1"/>
    <x v="12"/>
    <x v="8"/>
    <x v="8"/>
    <x v="12"/>
    <x v="8"/>
    <x v="0"/>
    <x v="351"/>
    <x v="81"/>
    <s v="supplier@gmail.com"/>
  </r>
  <r>
    <x v="2874"/>
    <x v="2874"/>
    <x v="4"/>
    <x v="1"/>
    <x v="4"/>
    <x v="1"/>
    <x v="12"/>
    <x v="8"/>
    <x v="8"/>
    <x v="12"/>
    <x v="8"/>
    <x v="0"/>
    <x v="126"/>
    <x v="188"/>
    <s v="supplier@gmail.com"/>
  </r>
  <r>
    <x v="2875"/>
    <x v="2875"/>
    <x v="37"/>
    <x v="33"/>
    <x v="31"/>
    <x v="424"/>
    <x v="177"/>
    <x v="334"/>
    <x v="10"/>
    <x v="29"/>
    <x v="19"/>
    <x v="0"/>
    <x v="853"/>
    <x v="191"/>
    <s v="supplier@gmail.com"/>
  </r>
  <r>
    <x v="2876"/>
    <x v="2876"/>
    <x v="4"/>
    <x v="1"/>
    <x v="4"/>
    <x v="1"/>
    <x v="12"/>
    <x v="8"/>
    <x v="8"/>
    <x v="12"/>
    <x v="8"/>
    <x v="0"/>
    <x v="255"/>
    <x v="66"/>
    <s v="supplier@gmail.com"/>
  </r>
  <r>
    <x v="2877"/>
    <x v="2877"/>
    <x v="133"/>
    <x v="1"/>
    <x v="176"/>
    <x v="1"/>
    <x v="12"/>
    <x v="0"/>
    <x v="12"/>
    <x v="12"/>
    <x v="8"/>
    <x v="0"/>
    <x v="55"/>
    <x v="164"/>
    <s v="supplier@gmail.com"/>
  </r>
  <r>
    <x v="2878"/>
    <x v="2878"/>
    <x v="101"/>
    <x v="1"/>
    <x v="400"/>
    <x v="6"/>
    <x v="138"/>
    <x v="8"/>
    <x v="18"/>
    <x v="65"/>
    <x v="8"/>
    <x v="0"/>
    <x v="854"/>
    <x v="97"/>
    <s v="supplier@gmail.com"/>
  </r>
  <r>
    <x v="2879"/>
    <x v="2879"/>
    <x v="4"/>
    <x v="1"/>
    <x v="29"/>
    <x v="425"/>
    <x v="12"/>
    <x v="8"/>
    <x v="8"/>
    <x v="334"/>
    <x v="8"/>
    <x v="0"/>
    <x v="312"/>
    <x v="129"/>
    <s v="supplier@gmail.com"/>
  </r>
  <r>
    <x v="2880"/>
    <x v="2880"/>
    <x v="4"/>
    <x v="1"/>
    <x v="4"/>
    <x v="73"/>
    <x v="12"/>
    <x v="8"/>
    <x v="8"/>
    <x v="19"/>
    <x v="8"/>
    <x v="0"/>
    <x v="855"/>
    <x v="185"/>
    <s v="supplier@gmail.com"/>
  </r>
  <r>
    <x v="2881"/>
    <x v="2881"/>
    <x v="4"/>
    <x v="1"/>
    <x v="4"/>
    <x v="31"/>
    <x v="12"/>
    <x v="8"/>
    <x v="8"/>
    <x v="12"/>
    <x v="8"/>
    <x v="0"/>
    <x v="856"/>
    <x v="167"/>
    <s v="supplier@gmail.com"/>
  </r>
  <r>
    <x v="2882"/>
    <x v="2882"/>
    <x v="4"/>
    <x v="1"/>
    <x v="4"/>
    <x v="1"/>
    <x v="12"/>
    <x v="8"/>
    <x v="8"/>
    <x v="12"/>
    <x v="8"/>
    <x v="0"/>
    <x v="20"/>
    <x v="153"/>
    <s v="supplier@gmail.com"/>
  </r>
  <r>
    <x v="2883"/>
    <x v="2883"/>
    <x v="4"/>
    <x v="1"/>
    <x v="4"/>
    <x v="1"/>
    <x v="12"/>
    <x v="8"/>
    <x v="8"/>
    <x v="30"/>
    <x v="8"/>
    <x v="0"/>
    <x v="857"/>
    <x v="6"/>
    <s v="supplier@gmail.com"/>
  </r>
  <r>
    <x v="2884"/>
    <x v="2884"/>
    <x v="111"/>
    <x v="343"/>
    <x v="281"/>
    <x v="426"/>
    <x v="9"/>
    <x v="354"/>
    <x v="27"/>
    <x v="90"/>
    <x v="322"/>
    <x v="0"/>
    <x v="858"/>
    <x v="3"/>
    <s v="supplier@gmail.com"/>
  </r>
  <r>
    <x v="2885"/>
    <x v="2885"/>
    <x v="20"/>
    <x v="236"/>
    <x v="6"/>
    <x v="34"/>
    <x v="135"/>
    <x v="223"/>
    <x v="336"/>
    <x v="29"/>
    <x v="28"/>
    <x v="0"/>
    <x v="560"/>
    <x v="125"/>
    <s v="supplier@gmail.com"/>
  </r>
  <r>
    <x v="2886"/>
    <x v="2886"/>
    <x v="100"/>
    <x v="234"/>
    <x v="8"/>
    <x v="42"/>
    <x v="384"/>
    <x v="334"/>
    <x v="63"/>
    <x v="30"/>
    <x v="81"/>
    <x v="0"/>
    <x v="86"/>
    <x v="160"/>
    <s v="supplier@gmail.com"/>
  </r>
  <r>
    <x v="2887"/>
    <x v="2887"/>
    <x v="4"/>
    <x v="1"/>
    <x v="4"/>
    <x v="1"/>
    <x v="12"/>
    <x v="8"/>
    <x v="8"/>
    <x v="12"/>
    <x v="8"/>
    <x v="0"/>
    <x v="1"/>
    <x v="174"/>
    <s v="supplier@gmail.com"/>
  </r>
  <r>
    <x v="2888"/>
    <x v="2888"/>
    <x v="4"/>
    <x v="1"/>
    <x v="4"/>
    <x v="1"/>
    <x v="12"/>
    <x v="8"/>
    <x v="8"/>
    <x v="12"/>
    <x v="8"/>
    <x v="0"/>
    <x v="122"/>
    <x v="106"/>
    <s v="supplier@gmail.com"/>
  </r>
  <r>
    <x v="2889"/>
    <x v="2889"/>
    <x v="4"/>
    <x v="1"/>
    <x v="4"/>
    <x v="1"/>
    <x v="12"/>
    <x v="8"/>
    <x v="8"/>
    <x v="12"/>
    <x v="8"/>
    <x v="0"/>
    <x v="13"/>
    <x v="135"/>
    <s v="supplier@gmail.com"/>
  </r>
  <r>
    <x v="2890"/>
    <x v="2890"/>
    <x v="4"/>
    <x v="1"/>
    <x v="15"/>
    <x v="1"/>
    <x v="12"/>
    <x v="8"/>
    <x v="8"/>
    <x v="12"/>
    <x v="8"/>
    <x v="0"/>
    <x v="1"/>
    <x v="28"/>
    <s v="supplier@gmail.com"/>
  </r>
  <r>
    <x v="2891"/>
    <x v="2891"/>
    <x v="4"/>
    <x v="1"/>
    <x v="15"/>
    <x v="1"/>
    <x v="12"/>
    <x v="8"/>
    <x v="8"/>
    <x v="12"/>
    <x v="8"/>
    <x v="0"/>
    <x v="859"/>
    <x v="14"/>
    <s v="supplier@gmail.com"/>
  </r>
  <r>
    <x v="2892"/>
    <x v="2892"/>
    <x v="158"/>
    <x v="140"/>
    <x v="151"/>
    <x v="160"/>
    <x v="10"/>
    <x v="124"/>
    <x v="85"/>
    <x v="132"/>
    <x v="123"/>
    <x v="0"/>
    <x v="860"/>
    <x v="108"/>
    <s v="supplier@gmail.com"/>
  </r>
  <r>
    <x v="2893"/>
    <x v="2893"/>
    <x v="185"/>
    <x v="344"/>
    <x v="334"/>
    <x v="427"/>
    <x v="385"/>
    <x v="355"/>
    <x v="337"/>
    <x v="239"/>
    <x v="273"/>
    <x v="0"/>
    <x v="653"/>
    <x v="191"/>
    <s v="supplier@gmail.com"/>
  </r>
  <r>
    <x v="2894"/>
    <x v="2894"/>
    <x v="4"/>
    <x v="1"/>
    <x v="4"/>
    <x v="1"/>
    <x v="12"/>
    <x v="8"/>
    <x v="8"/>
    <x v="12"/>
    <x v="8"/>
    <x v="0"/>
    <x v="7"/>
    <x v="57"/>
    <s v="supplier@gmail.com"/>
  </r>
  <r>
    <x v="2895"/>
    <x v="2895"/>
    <x v="403"/>
    <x v="136"/>
    <x v="422"/>
    <x v="428"/>
    <x v="294"/>
    <x v="106"/>
    <x v="338"/>
    <x v="335"/>
    <x v="320"/>
    <x v="0"/>
    <x v="483"/>
    <x v="43"/>
    <s v="supplier@gmail.com"/>
  </r>
  <r>
    <x v="2896"/>
    <x v="2896"/>
    <x v="93"/>
    <x v="86"/>
    <x v="104"/>
    <x v="33"/>
    <x v="32"/>
    <x v="19"/>
    <x v="18"/>
    <x v="28"/>
    <x v="18"/>
    <x v="0"/>
    <x v="1"/>
    <x v="188"/>
    <s v="supplier@gmail.com"/>
  </r>
  <r>
    <x v="2897"/>
    <x v="2897"/>
    <x v="4"/>
    <x v="1"/>
    <x v="4"/>
    <x v="1"/>
    <x v="12"/>
    <x v="8"/>
    <x v="8"/>
    <x v="12"/>
    <x v="8"/>
    <x v="0"/>
    <x v="30"/>
    <x v="116"/>
    <s v="supplier@gmail.com"/>
  </r>
  <r>
    <x v="2898"/>
    <x v="2898"/>
    <x v="404"/>
    <x v="1"/>
    <x v="423"/>
    <x v="168"/>
    <x v="386"/>
    <x v="8"/>
    <x v="339"/>
    <x v="336"/>
    <x v="8"/>
    <x v="0"/>
    <x v="1"/>
    <x v="176"/>
    <s v="supplier@gmail.com"/>
  </r>
  <r>
    <x v="2899"/>
    <x v="2899"/>
    <x v="405"/>
    <x v="345"/>
    <x v="424"/>
    <x v="112"/>
    <x v="127"/>
    <x v="317"/>
    <x v="340"/>
    <x v="337"/>
    <x v="323"/>
    <x v="0"/>
    <x v="1"/>
    <x v="58"/>
    <s v="supplier@gmail.com"/>
  </r>
  <r>
    <x v="2900"/>
    <x v="2900"/>
    <x v="4"/>
    <x v="1"/>
    <x v="4"/>
    <x v="1"/>
    <x v="12"/>
    <x v="8"/>
    <x v="8"/>
    <x v="12"/>
    <x v="8"/>
    <x v="0"/>
    <x v="1"/>
    <x v="132"/>
    <s v="supplier@gmail.com"/>
  </r>
  <r>
    <x v="2901"/>
    <x v="2901"/>
    <x v="4"/>
    <x v="1"/>
    <x v="4"/>
    <x v="1"/>
    <x v="12"/>
    <x v="8"/>
    <x v="8"/>
    <x v="12"/>
    <x v="8"/>
    <x v="0"/>
    <x v="3"/>
    <x v="188"/>
    <s v="supplier@gmail.com"/>
  </r>
  <r>
    <x v="2902"/>
    <x v="2902"/>
    <x v="189"/>
    <x v="119"/>
    <x v="387"/>
    <x v="429"/>
    <x v="152"/>
    <x v="356"/>
    <x v="249"/>
    <x v="338"/>
    <x v="324"/>
    <x v="0"/>
    <x v="553"/>
    <x v="163"/>
    <s v="supplier@gmail.com"/>
  </r>
  <r>
    <x v="2903"/>
    <x v="2903"/>
    <x v="4"/>
    <x v="1"/>
    <x v="4"/>
    <x v="1"/>
    <x v="12"/>
    <x v="8"/>
    <x v="8"/>
    <x v="12"/>
    <x v="8"/>
    <x v="0"/>
    <x v="153"/>
    <x v="56"/>
    <s v="supplier@gmail.com"/>
  </r>
  <r>
    <x v="2904"/>
    <x v="2904"/>
    <x v="144"/>
    <x v="1"/>
    <x v="0"/>
    <x v="17"/>
    <x v="12"/>
    <x v="8"/>
    <x v="8"/>
    <x v="12"/>
    <x v="0"/>
    <x v="0"/>
    <x v="33"/>
    <x v="186"/>
    <s v="supplier@gmail.com"/>
  </r>
  <r>
    <x v="2905"/>
    <x v="2905"/>
    <x v="20"/>
    <x v="1"/>
    <x v="4"/>
    <x v="1"/>
    <x v="12"/>
    <x v="8"/>
    <x v="8"/>
    <x v="12"/>
    <x v="28"/>
    <x v="0"/>
    <x v="1"/>
    <x v="106"/>
    <s v="supplier@gmail.com"/>
  </r>
  <r>
    <x v="2906"/>
    <x v="2906"/>
    <x v="4"/>
    <x v="1"/>
    <x v="4"/>
    <x v="1"/>
    <x v="12"/>
    <x v="8"/>
    <x v="8"/>
    <x v="12"/>
    <x v="8"/>
    <x v="0"/>
    <x v="1"/>
    <x v="149"/>
    <s v="supplier@gmail.com"/>
  </r>
  <r>
    <x v="2907"/>
    <x v="2907"/>
    <x v="4"/>
    <x v="1"/>
    <x v="4"/>
    <x v="1"/>
    <x v="12"/>
    <x v="8"/>
    <x v="8"/>
    <x v="12"/>
    <x v="8"/>
    <x v="0"/>
    <x v="9"/>
    <x v="76"/>
    <s v="supplier@gmail.com"/>
  </r>
  <r>
    <x v="2908"/>
    <x v="2908"/>
    <x v="82"/>
    <x v="66"/>
    <x v="7"/>
    <x v="1"/>
    <x v="12"/>
    <x v="8"/>
    <x v="8"/>
    <x v="12"/>
    <x v="12"/>
    <x v="0"/>
    <x v="76"/>
    <x v="128"/>
    <s v="supplier@gmail.com"/>
  </r>
  <r>
    <x v="2909"/>
    <x v="2909"/>
    <x v="70"/>
    <x v="66"/>
    <x v="9"/>
    <x v="39"/>
    <x v="101"/>
    <x v="36"/>
    <x v="67"/>
    <x v="34"/>
    <x v="61"/>
    <x v="0"/>
    <x v="861"/>
    <x v="48"/>
    <s v="supplier@gmail.com"/>
  </r>
  <r>
    <x v="2910"/>
    <x v="2910"/>
    <x v="4"/>
    <x v="1"/>
    <x v="4"/>
    <x v="1"/>
    <x v="42"/>
    <x v="8"/>
    <x v="8"/>
    <x v="12"/>
    <x v="8"/>
    <x v="0"/>
    <x v="45"/>
    <x v="96"/>
    <s v="supplier@gmail.com"/>
  </r>
  <r>
    <x v="2911"/>
    <x v="2911"/>
    <x v="117"/>
    <x v="2"/>
    <x v="425"/>
    <x v="430"/>
    <x v="108"/>
    <x v="357"/>
    <x v="341"/>
    <x v="337"/>
    <x v="325"/>
    <x v="0"/>
    <x v="862"/>
    <x v="187"/>
    <s v="supplier@gmail.com"/>
  </r>
  <r>
    <x v="2912"/>
    <x v="2912"/>
    <x v="4"/>
    <x v="1"/>
    <x v="4"/>
    <x v="159"/>
    <x v="12"/>
    <x v="70"/>
    <x v="8"/>
    <x v="12"/>
    <x v="8"/>
    <x v="0"/>
    <x v="863"/>
    <x v="153"/>
    <s v="supplier@gmail.com"/>
  </r>
  <r>
    <x v="2913"/>
    <x v="2913"/>
    <x v="4"/>
    <x v="1"/>
    <x v="4"/>
    <x v="26"/>
    <x v="29"/>
    <x v="124"/>
    <x v="8"/>
    <x v="12"/>
    <x v="5"/>
    <x v="0"/>
    <x v="18"/>
    <x v="0"/>
    <s v="supplier@gmail.com"/>
  </r>
  <r>
    <x v="2914"/>
    <x v="2914"/>
    <x v="4"/>
    <x v="1"/>
    <x v="4"/>
    <x v="1"/>
    <x v="12"/>
    <x v="8"/>
    <x v="8"/>
    <x v="12"/>
    <x v="8"/>
    <x v="0"/>
    <x v="864"/>
    <x v="40"/>
    <s v="supplier@gmail.com"/>
  </r>
  <r>
    <x v="2915"/>
    <x v="2915"/>
    <x v="4"/>
    <x v="1"/>
    <x v="4"/>
    <x v="1"/>
    <x v="12"/>
    <x v="8"/>
    <x v="8"/>
    <x v="12"/>
    <x v="8"/>
    <x v="0"/>
    <x v="865"/>
    <x v="128"/>
    <s v="supplier@gmail.com"/>
  </r>
  <r>
    <x v="2916"/>
    <x v="2916"/>
    <x v="4"/>
    <x v="1"/>
    <x v="4"/>
    <x v="1"/>
    <x v="12"/>
    <x v="8"/>
    <x v="8"/>
    <x v="29"/>
    <x v="8"/>
    <x v="0"/>
    <x v="866"/>
    <x v="39"/>
    <s v="supplier@gmail.com"/>
  </r>
  <r>
    <x v="2917"/>
    <x v="2917"/>
    <x v="4"/>
    <x v="1"/>
    <x v="4"/>
    <x v="1"/>
    <x v="12"/>
    <x v="8"/>
    <x v="8"/>
    <x v="12"/>
    <x v="8"/>
    <x v="0"/>
    <x v="45"/>
    <x v="184"/>
    <s v="supplier@gmail.com"/>
  </r>
  <r>
    <x v="2918"/>
    <x v="2918"/>
    <x v="406"/>
    <x v="1"/>
    <x v="4"/>
    <x v="1"/>
    <x v="12"/>
    <x v="8"/>
    <x v="8"/>
    <x v="12"/>
    <x v="8"/>
    <x v="0"/>
    <x v="867"/>
    <x v="144"/>
    <s v="supplier@gmail.com"/>
  </r>
  <r>
    <x v="2919"/>
    <x v="2919"/>
    <x v="4"/>
    <x v="1"/>
    <x v="4"/>
    <x v="1"/>
    <x v="12"/>
    <x v="8"/>
    <x v="6"/>
    <x v="12"/>
    <x v="8"/>
    <x v="0"/>
    <x v="868"/>
    <x v="37"/>
    <s v="supplier@gmail.com"/>
  </r>
  <r>
    <x v="2920"/>
    <x v="2920"/>
    <x v="4"/>
    <x v="1"/>
    <x v="4"/>
    <x v="40"/>
    <x v="12"/>
    <x v="6"/>
    <x v="8"/>
    <x v="2"/>
    <x v="8"/>
    <x v="0"/>
    <x v="869"/>
    <x v="113"/>
    <s v="supplier@gmail.com"/>
  </r>
  <r>
    <x v="2921"/>
    <x v="2921"/>
    <x v="4"/>
    <x v="1"/>
    <x v="4"/>
    <x v="40"/>
    <x v="12"/>
    <x v="6"/>
    <x v="8"/>
    <x v="2"/>
    <x v="8"/>
    <x v="0"/>
    <x v="1"/>
    <x v="145"/>
    <s v="supplier@gmail.com"/>
  </r>
  <r>
    <x v="2922"/>
    <x v="2922"/>
    <x v="42"/>
    <x v="1"/>
    <x v="4"/>
    <x v="8"/>
    <x v="9"/>
    <x v="12"/>
    <x v="8"/>
    <x v="12"/>
    <x v="12"/>
    <x v="0"/>
    <x v="1"/>
    <x v="65"/>
    <s v="supplier@gmail.com"/>
  </r>
  <r>
    <x v="2923"/>
    <x v="2923"/>
    <x v="4"/>
    <x v="1"/>
    <x v="4"/>
    <x v="1"/>
    <x v="9"/>
    <x v="8"/>
    <x v="8"/>
    <x v="12"/>
    <x v="8"/>
    <x v="0"/>
    <x v="103"/>
    <x v="52"/>
    <s v="supplier@gmail.com"/>
  </r>
  <r>
    <x v="2924"/>
    <x v="2924"/>
    <x v="4"/>
    <x v="1"/>
    <x v="4"/>
    <x v="1"/>
    <x v="12"/>
    <x v="8"/>
    <x v="8"/>
    <x v="12"/>
    <x v="8"/>
    <x v="0"/>
    <x v="366"/>
    <x v="92"/>
    <s v="supplier@gmail.com"/>
  </r>
  <r>
    <x v="2925"/>
    <x v="2925"/>
    <x v="4"/>
    <x v="1"/>
    <x v="39"/>
    <x v="16"/>
    <x v="12"/>
    <x v="8"/>
    <x v="8"/>
    <x v="61"/>
    <x v="8"/>
    <x v="0"/>
    <x v="870"/>
    <x v="20"/>
    <s v="supplier@gmail.com"/>
  </r>
  <r>
    <x v="2926"/>
    <x v="2926"/>
    <x v="4"/>
    <x v="1"/>
    <x v="4"/>
    <x v="44"/>
    <x v="12"/>
    <x v="8"/>
    <x v="8"/>
    <x v="38"/>
    <x v="8"/>
    <x v="0"/>
    <x v="25"/>
    <x v="131"/>
    <s v="supplier@gmail.com"/>
  </r>
  <r>
    <x v="2927"/>
    <x v="2927"/>
    <x v="44"/>
    <x v="15"/>
    <x v="15"/>
    <x v="15"/>
    <x v="27"/>
    <x v="18"/>
    <x v="26"/>
    <x v="19"/>
    <x v="17"/>
    <x v="0"/>
    <x v="439"/>
    <x v="162"/>
    <s v="supplier@gmail.com"/>
  </r>
  <r>
    <x v="2928"/>
    <x v="2928"/>
    <x v="82"/>
    <x v="1"/>
    <x v="4"/>
    <x v="16"/>
    <x v="17"/>
    <x v="8"/>
    <x v="8"/>
    <x v="12"/>
    <x v="8"/>
    <x v="0"/>
    <x v="1"/>
    <x v="101"/>
    <s v="supplier@gmail.com"/>
  </r>
  <r>
    <x v="2929"/>
    <x v="2929"/>
    <x v="82"/>
    <x v="1"/>
    <x v="4"/>
    <x v="16"/>
    <x v="17"/>
    <x v="8"/>
    <x v="8"/>
    <x v="12"/>
    <x v="8"/>
    <x v="0"/>
    <x v="166"/>
    <x v="198"/>
    <s v="supplier@gmail.com"/>
  </r>
  <r>
    <x v="2930"/>
    <x v="2930"/>
    <x v="0"/>
    <x v="128"/>
    <x v="4"/>
    <x v="16"/>
    <x v="31"/>
    <x v="32"/>
    <x v="35"/>
    <x v="32"/>
    <x v="31"/>
    <x v="0"/>
    <x v="375"/>
    <x v="2"/>
    <s v="supplier@gmail.com"/>
  </r>
  <r>
    <x v="2931"/>
    <x v="2931"/>
    <x v="0"/>
    <x v="0"/>
    <x v="4"/>
    <x v="73"/>
    <x v="0"/>
    <x v="70"/>
    <x v="25"/>
    <x v="19"/>
    <x v="31"/>
    <x v="0"/>
    <x v="871"/>
    <x v="182"/>
    <s v="supplier@gmail.com"/>
  </r>
  <r>
    <x v="2932"/>
    <x v="2932"/>
    <x v="4"/>
    <x v="1"/>
    <x v="4"/>
    <x v="17"/>
    <x v="12"/>
    <x v="8"/>
    <x v="342"/>
    <x v="0"/>
    <x v="8"/>
    <x v="0"/>
    <x v="1"/>
    <x v="147"/>
    <s v="supplier@gmail.com"/>
  </r>
  <r>
    <x v="2933"/>
    <x v="2933"/>
    <x v="4"/>
    <x v="1"/>
    <x v="4"/>
    <x v="1"/>
    <x v="12"/>
    <x v="8"/>
    <x v="8"/>
    <x v="12"/>
    <x v="8"/>
    <x v="0"/>
    <x v="226"/>
    <x v="184"/>
    <s v="supplier@gmail.com"/>
  </r>
  <r>
    <x v="2934"/>
    <x v="2934"/>
    <x v="4"/>
    <x v="138"/>
    <x v="4"/>
    <x v="125"/>
    <x v="49"/>
    <x v="0"/>
    <x v="25"/>
    <x v="12"/>
    <x v="8"/>
    <x v="0"/>
    <x v="28"/>
    <x v="60"/>
    <s v="supplier@gmail.com"/>
  </r>
  <r>
    <x v="2935"/>
    <x v="2935"/>
    <x v="7"/>
    <x v="89"/>
    <x v="94"/>
    <x v="87"/>
    <x v="384"/>
    <x v="334"/>
    <x v="343"/>
    <x v="87"/>
    <x v="25"/>
    <x v="0"/>
    <x v="312"/>
    <x v="55"/>
    <s v="supplier@gmail.com"/>
  </r>
  <r>
    <x v="2936"/>
    <x v="2936"/>
    <x v="0"/>
    <x v="128"/>
    <x v="4"/>
    <x v="16"/>
    <x v="31"/>
    <x v="32"/>
    <x v="35"/>
    <x v="32"/>
    <x v="31"/>
    <x v="0"/>
    <x v="126"/>
    <x v="69"/>
    <s v="supplier@gmail.com"/>
  </r>
  <r>
    <x v="2937"/>
    <x v="2937"/>
    <x v="4"/>
    <x v="1"/>
    <x v="4"/>
    <x v="1"/>
    <x v="12"/>
    <x v="8"/>
    <x v="8"/>
    <x v="12"/>
    <x v="8"/>
    <x v="0"/>
    <x v="221"/>
    <x v="162"/>
    <s v="supplier@gmail.com"/>
  </r>
  <r>
    <x v="2938"/>
    <x v="2938"/>
    <x v="0"/>
    <x v="128"/>
    <x v="4"/>
    <x v="16"/>
    <x v="31"/>
    <x v="32"/>
    <x v="35"/>
    <x v="32"/>
    <x v="31"/>
    <x v="0"/>
    <x v="1"/>
    <x v="39"/>
    <s v="supplier@gmail.com"/>
  </r>
  <r>
    <x v="2939"/>
    <x v="2939"/>
    <x v="4"/>
    <x v="1"/>
    <x v="4"/>
    <x v="125"/>
    <x v="12"/>
    <x v="8"/>
    <x v="25"/>
    <x v="42"/>
    <x v="8"/>
    <x v="0"/>
    <x v="13"/>
    <x v="123"/>
    <s v="supplier@gmail.com"/>
  </r>
  <r>
    <x v="2940"/>
    <x v="2940"/>
    <x v="0"/>
    <x v="128"/>
    <x v="4"/>
    <x v="16"/>
    <x v="31"/>
    <x v="32"/>
    <x v="35"/>
    <x v="32"/>
    <x v="31"/>
    <x v="0"/>
    <x v="166"/>
    <x v="17"/>
    <s v="supplier@gmail.com"/>
  </r>
  <r>
    <x v="2941"/>
    <x v="2941"/>
    <x v="0"/>
    <x v="128"/>
    <x v="4"/>
    <x v="16"/>
    <x v="31"/>
    <x v="32"/>
    <x v="35"/>
    <x v="32"/>
    <x v="31"/>
    <x v="0"/>
    <x v="102"/>
    <x v="38"/>
    <s v="supplier@gmail.com"/>
  </r>
  <r>
    <x v="2942"/>
    <x v="2942"/>
    <x v="36"/>
    <x v="138"/>
    <x v="4"/>
    <x v="1"/>
    <x v="0"/>
    <x v="8"/>
    <x v="8"/>
    <x v="0"/>
    <x v="8"/>
    <x v="0"/>
    <x v="217"/>
    <x v="9"/>
    <s v="supplier@gmail.com"/>
  </r>
  <r>
    <x v="2943"/>
    <x v="2943"/>
    <x v="4"/>
    <x v="1"/>
    <x v="4"/>
    <x v="1"/>
    <x v="12"/>
    <x v="8"/>
    <x v="8"/>
    <x v="12"/>
    <x v="8"/>
    <x v="0"/>
    <x v="53"/>
    <x v="69"/>
    <s v="supplier@gmail.com"/>
  </r>
  <r>
    <x v="2944"/>
    <x v="2944"/>
    <x v="4"/>
    <x v="1"/>
    <x v="4"/>
    <x v="1"/>
    <x v="12"/>
    <x v="8"/>
    <x v="8"/>
    <x v="12"/>
    <x v="8"/>
    <x v="0"/>
    <x v="134"/>
    <x v="160"/>
    <s v="supplier@gmail.com"/>
  </r>
  <r>
    <x v="2945"/>
    <x v="2945"/>
    <x v="175"/>
    <x v="4"/>
    <x v="6"/>
    <x v="34"/>
    <x v="139"/>
    <x v="9"/>
    <x v="40"/>
    <x v="29"/>
    <x v="120"/>
    <x v="0"/>
    <x v="132"/>
    <x v="160"/>
    <s v="supplier@gmail.com"/>
  </r>
  <r>
    <x v="2946"/>
    <x v="2946"/>
    <x v="175"/>
    <x v="4"/>
    <x v="6"/>
    <x v="34"/>
    <x v="139"/>
    <x v="9"/>
    <x v="40"/>
    <x v="29"/>
    <x v="120"/>
    <x v="0"/>
    <x v="378"/>
    <x v="51"/>
    <s v="supplier@gmail.com"/>
  </r>
  <r>
    <x v="2947"/>
    <x v="2947"/>
    <x v="175"/>
    <x v="4"/>
    <x v="6"/>
    <x v="34"/>
    <x v="139"/>
    <x v="9"/>
    <x v="40"/>
    <x v="29"/>
    <x v="120"/>
    <x v="0"/>
    <x v="126"/>
    <x v="188"/>
    <s v="supplier@gmail.com"/>
  </r>
  <r>
    <x v="2948"/>
    <x v="2948"/>
    <x v="175"/>
    <x v="4"/>
    <x v="6"/>
    <x v="34"/>
    <x v="139"/>
    <x v="9"/>
    <x v="40"/>
    <x v="29"/>
    <x v="120"/>
    <x v="0"/>
    <x v="43"/>
    <x v="143"/>
    <s v="supplier@gmail.com"/>
  </r>
  <r>
    <x v="2949"/>
    <x v="2949"/>
    <x v="4"/>
    <x v="1"/>
    <x v="4"/>
    <x v="1"/>
    <x v="12"/>
    <x v="8"/>
    <x v="8"/>
    <x v="12"/>
    <x v="8"/>
    <x v="0"/>
    <x v="375"/>
    <x v="34"/>
    <s v="supplier@gmail.com"/>
  </r>
  <r>
    <x v="2950"/>
    <x v="2950"/>
    <x v="144"/>
    <x v="1"/>
    <x v="34"/>
    <x v="125"/>
    <x v="31"/>
    <x v="30"/>
    <x v="0"/>
    <x v="129"/>
    <x v="31"/>
    <x v="0"/>
    <x v="121"/>
    <x v="132"/>
    <s v="supplier@gmail.com"/>
  </r>
  <r>
    <x v="2951"/>
    <x v="2951"/>
    <x v="20"/>
    <x v="66"/>
    <x v="6"/>
    <x v="34"/>
    <x v="135"/>
    <x v="223"/>
    <x v="336"/>
    <x v="29"/>
    <x v="28"/>
    <x v="0"/>
    <x v="872"/>
    <x v="181"/>
    <s v="supplier@gmail.com"/>
  </r>
  <r>
    <x v="2952"/>
    <x v="2952"/>
    <x v="27"/>
    <x v="44"/>
    <x v="38"/>
    <x v="36"/>
    <x v="387"/>
    <x v="82"/>
    <x v="90"/>
    <x v="65"/>
    <x v="32"/>
    <x v="0"/>
    <x v="164"/>
    <x v="100"/>
    <s v="supplier@gmail.com"/>
  </r>
  <r>
    <x v="2953"/>
    <x v="2953"/>
    <x v="101"/>
    <x v="36"/>
    <x v="17"/>
    <x v="17"/>
    <x v="31"/>
    <x v="0"/>
    <x v="8"/>
    <x v="19"/>
    <x v="29"/>
    <x v="0"/>
    <x v="102"/>
    <x v="81"/>
    <s v="supplier@gmail.com"/>
  </r>
  <r>
    <x v="2954"/>
    <x v="2954"/>
    <x v="4"/>
    <x v="0"/>
    <x v="0"/>
    <x v="0"/>
    <x v="0"/>
    <x v="0"/>
    <x v="35"/>
    <x v="0"/>
    <x v="0"/>
    <x v="0"/>
    <x v="307"/>
    <x v="125"/>
    <s v="supplier@gmail.com"/>
  </r>
  <r>
    <x v="2955"/>
    <x v="2955"/>
    <x v="4"/>
    <x v="38"/>
    <x v="42"/>
    <x v="19"/>
    <x v="25"/>
    <x v="25"/>
    <x v="77"/>
    <x v="25"/>
    <x v="26"/>
    <x v="0"/>
    <x v="162"/>
    <x v="36"/>
    <s v="supplier@gmail.com"/>
  </r>
  <r>
    <x v="2956"/>
    <x v="2956"/>
    <x v="4"/>
    <x v="0"/>
    <x v="0"/>
    <x v="0"/>
    <x v="0"/>
    <x v="0"/>
    <x v="35"/>
    <x v="0"/>
    <x v="0"/>
    <x v="0"/>
    <x v="444"/>
    <x v="175"/>
    <s v="supplier@gmail.com"/>
  </r>
  <r>
    <x v="2957"/>
    <x v="2957"/>
    <x v="4"/>
    <x v="0"/>
    <x v="0"/>
    <x v="0"/>
    <x v="0"/>
    <x v="0"/>
    <x v="35"/>
    <x v="0"/>
    <x v="0"/>
    <x v="0"/>
    <x v="197"/>
    <x v="32"/>
    <s v="supplier@gmail.com"/>
  </r>
  <r>
    <x v="2958"/>
    <x v="2958"/>
    <x v="4"/>
    <x v="0"/>
    <x v="0"/>
    <x v="0"/>
    <x v="0"/>
    <x v="0"/>
    <x v="35"/>
    <x v="0"/>
    <x v="0"/>
    <x v="0"/>
    <x v="126"/>
    <x v="190"/>
    <s v="supplier@gmail.com"/>
  </r>
  <r>
    <x v="2959"/>
    <x v="2959"/>
    <x v="4"/>
    <x v="1"/>
    <x v="4"/>
    <x v="1"/>
    <x v="12"/>
    <x v="8"/>
    <x v="25"/>
    <x v="12"/>
    <x v="8"/>
    <x v="0"/>
    <x v="126"/>
    <x v="147"/>
    <s v="supplier@gmail.com"/>
  </r>
  <r>
    <x v="2960"/>
    <x v="2960"/>
    <x v="4"/>
    <x v="1"/>
    <x v="4"/>
    <x v="1"/>
    <x v="12"/>
    <x v="8"/>
    <x v="8"/>
    <x v="12"/>
    <x v="8"/>
    <x v="0"/>
    <x v="375"/>
    <x v="169"/>
    <s v="supplier@gmail.com"/>
  </r>
  <r>
    <x v="2961"/>
    <x v="2961"/>
    <x v="4"/>
    <x v="1"/>
    <x v="4"/>
    <x v="1"/>
    <x v="23"/>
    <x v="70"/>
    <x v="25"/>
    <x v="12"/>
    <x v="8"/>
    <x v="0"/>
    <x v="164"/>
    <x v="34"/>
    <s v="supplier@gmail.com"/>
  </r>
  <r>
    <x v="2962"/>
    <x v="2962"/>
    <x v="36"/>
    <x v="1"/>
    <x v="4"/>
    <x v="1"/>
    <x v="23"/>
    <x v="8"/>
    <x v="8"/>
    <x v="42"/>
    <x v="8"/>
    <x v="0"/>
    <x v="717"/>
    <x v="80"/>
    <s v="supplier@gmail.com"/>
  </r>
  <r>
    <x v="2963"/>
    <x v="2963"/>
    <x v="4"/>
    <x v="1"/>
    <x v="4"/>
    <x v="1"/>
    <x v="12"/>
    <x v="8"/>
    <x v="8"/>
    <x v="12"/>
    <x v="8"/>
    <x v="0"/>
    <x v="1"/>
    <x v="90"/>
    <s v="supplier@gmail.com"/>
  </r>
  <r>
    <x v="2964"/>
    <x v="2964"/>
    <x v="133"/>
    <x v="44"/>
    <x v="185"/>
    <x v="96"/>
    <x v="304"/>
    <x v="40"/>
    <x v="42"/>
    <x v="2"/>
    <x v="206"/>
    <x v="0"/>
    <x v="873"/>
    <x v="63"/>
    <s v="supplier@gmail.com"/>
  </r>
  <r>
    <x v="2965"/>
    <x v="2965"/>
    <x v="4"/>
    <x v="1"/>
    <x v="4"/>
    <x v="1"/>
    <x v="12"/>
    <x v="8"/>
    <x v="8"/>
    <x v="12"/>
    <x v="8"/>
    <x v="0"/>
    <x v="1"/>
    <x v="181"/>
    <s v="supplier@gmail.com"/>
  </r>
  <r>
    <x v="2966"/>
    <x v="2966"/>
    <x v="42"/>
    <x v="16"/>
    <x v="12"/>
    <x v="36"/>
    <x v="36"/>
    <x v="39"/>
    <x v="40"/>
    <x v="13"/>
    <x v="71"/>
    <x v="0"/>
    <x v="775"/>
    <x v="176"/>
    <s v="supplier@gmail.com"/>
  </r>
  <r>
    <x v="2967"/>
    <x v="2967"/>
    <x v="44"/>
    <x v="1"/>
    <x v="98"/>
    <x v="33"/>
    <x v="26"/>
    <x v="8"/>
    <x v="17"/>
    <x v="29"/>
    <x v="8"/>
    <x v="0"/>
    <x v="1"/>
    <x v="92"/>
    <s v="supplier@gmail.com"/>
  </r>
  <r>
    <x v="2968"/>
    <x v="2968"/>
    <x v="115"/>
    <x v="346"/>
    <x v="118"/>
    <x v="109"/>
    <x v="388"/>
    <x v="5"/>
    <x v="23"/>
    <x v="237"/>
    <x v="29"/>
    <x v="0"/>
    <x v="186"/>
    <x v="81"/>
    <s v="supplier@gmail.com"/>
  </r>
  <r>
    <x v="2969"/>
    <x v="2969"/>
    <x v="70"/>
    <x v="1"/>
    <x v="120"/>
    <x v="1"/>
    <x v="12"/>
    <x v="8"/>
    <x v="8"/>
    <x v="12"/>
    <x v="8"/>
    <x v="0"/>
    <x v="489"/>
    <x v="80"/>
    <s v="supplier@gmail.com"/>
  </r>
  <r>
    <x v="2970"/>
    <x v="2970"/>
    <x v="407"/>
    <x v="0"/>
    <x v="426"/>
    <x v="104"/>
    <x v="18"/>
    <x v="90"/>
    <x v="18"/>
    <x v="1"/>
    <x v="8"/>
    <x v="0"/>
    <x v="147"/>
    <x v="13"/>
    <s v="supplier@gmail.com"/>
  </r>
  <r>
    <x v="2971"/>
    <x v="2971"/>
    <x v="292"/>
    <x v="305"/>
    <x v="427"/>
    <x v="431"/>
    <x v="331"/>
    <x v="309"/>
    <x v="344"/>
    <x v="339"/>
    <x v="288"/>
    <x v="0"/>
    <x v="1"/>
    <x v="131"/>
    <s v="supplier@gmail.com"/>
  </r>
  <r>
    <x v="2972"/>
    <x v="2972"/>
    <x v="133"/>
    <x v="1"/>
    <x v="176"/>
    <x v="1"/>
    <x v="12"/>
    <x v="0"/>
    <x v="12"/>
    <x v="12"/>
    <x v="13"/>
    <x v="0"/>
    <x v="84"/>
    <x v="39"/>
    <s v="supplier@gmail.com"/>
  </r>
  <r>
    <x v="2973"/>
    <x v="2973"/>
    <x v="70"/>
    <x v="1"/>
    <x v="4"/>
    <x v="1"/>
    <x v="12"/>
    <x v="37"/>
    <x v="8"/>
    <x v="12"/>
    <x v="8"/>
    <x v="0"/>
    <x v="1"/>
    <x v="36"/>
    <s v="supplier@gmail.com"/>
  </r>
  <r>
    <x v="2974"/>
    <x v="2974"/>
    <x v="4"/>
    <x v="1"/>
    <x v="4"/>
    <x v="0"/>
    <x v="12"/>
    <x v="8"/>
    <x v="8"/>
    <x v="12"/>
    <x v="8"/>
    <x v="0"/>
    <x v="874"/>
    <x v="113"/>
    <s v="supplier@gmail.com"/>
  </r>
  <r>
    <x v="2975"/>
    <x v="2975"/>
    <x v="0"/>
    <x v="1"/>
    <x v="17"/>
    <x v="15"/>
    <x v="0"/>
    <x v="8"/>
    <x v="8"/>
    <x v="12"/>
    <x v="8"/>
    <x v="0"/>
    <x v="312"/>
    <x v="153"/>
    <s v="supplier@gmail.com"/>
  </r>
  <r>
    <x v="2976"/>
    <x v="2976"/>
    <x v="4"/>
    <x v="1"/>
    <x v="7"/>
    <x v="1"/>
    <x v="12"/>
    <x v="8"/>
    <x v="8"/>
    <x v="12"/>
    <x v="9"/>
    <x v="0"/>
    <x v="125"/>
    <x v="197"/>
    <s v="supplier@gmail.com"/>
  </r>
  <r>
    <x v="2977"/>
    <x v="2977"/>
    <x v="4"/>
    <x v="1"/>
    <x v="4"/>
    <x v="1"/>
    <x v="12"/>
    <x v="8"/>
    <x v="8"/>
    <x v="12"/>
    <x v="8"/>
    <x v="0"/>
    <x v="66"/>
    <x v="105"/>
    <s v="supplier@gmail.com"/>
  </r>
  <r>
    <x v="2978"/>
    <x v="2978"/>
    <x v="70"/>
    <x v="1"/>
    <x v="118"/>
    <x v="15"/>
    <x v="12"/>
    <x v="8"/>
    <x v="8"/>
    <x v="12"/>
    <x v="8"/>
    <x v="0"/>
    <x v="1"/>
    <x v="75"/>
    <s v="supplier@gmail.com"/>
  </r>
  <r>
    <x v="2979"/>
    <x v="2979"/>
    <x v="4"/>
    <x v="1"/>
    <x v="4"/>
    <x v="1"/>
    <x v="12"/>
    <x v="8"/>
    <x v="8"/>
    <x v="12"/>
    <x v="8"/>
    <x v="0"/>
    <x v="219"/>
    <x v="21"/>
    <s v="supplier@gmail.com"/>
  </r>
  <r>
    <x v="2980"/>
    <x v="2980"/>
    <x v="4"/>
    <x v="1"/>
    <x v="4"/>
    <x v="1"/>
    <x v="12"/>
    <x v="8"/>
    <x v="8"/>
    <x v="12"/>
    <x v="8"/>
    <x v="0"/>
    <x v="1"/>
    <x v="168"/>
    <s v="supplier@gmail.com"/>
  </r>
  <r>
    <x v="2981"/>
    <x v="2981"/>
    <x v="70"/>
    <x v="1"/>
    <x v="4"/>
    <x v="63"/>
    <x v="37"/>
    <x v="8"/>
    <x v="8"/>
    <x v="12"/>
    <x v="8"/>
    <x v="0"/>
    <x v="875"/>
    <x v="27"/>
    <s v="supplier@gmail.com"/>
  </r>
  <r>
    <x v="2982"/>
    <x v="2982"/>
    <x v="408"/>
    <x v="347"/>
    <x v="428"/>
    <x v="432"/>
    <x v="389"/>
    <x v="358"/>
    <x v="345"/>
    <x v="340"/>
    <x v="326"/>
    <x v="0"/>
    <x v="1"/>
    <x v="199"/>
    <s v="supplier@gmail.com"/>
  </r>
  <r>
    <x v="2983"/>
    <x v="2983"/>
    <x v="4"/>
    <x v="1"/>
    <x v="4"/>
    <x v="1"/>
    <x v="12"/>
    <x v="8"/>
    <x v="8"/>
    <x v="12"/>
    <x v="8"/>
    <x v="0"/>
    <x v="876"/>
    <x v="31"/>
    <s v="supplier@gmail.com"/>
  </r>
  <r>
    <x v="2984"/>
    <x v="2984"/>
    <x v="4"/>
    <x v="1"/>
    <x v="4"/>
    <x v="1"/>
    <x v="12"/>
    <x v="0"/>
    <x v="8"/>
    <x v="12"/>
    <x v="8"/>
    <x v="0"/>
    <x v="877"/>
    <x v="30"/>
    <s v="supplier@gmail.com"/>
  </r>
  <r>
    <x v="2985"/>
    <x v="2985"/>
    <x v="4"/>
    <x v="1"/>
    <x v="4"/>
    <x v="21"/>
    <x v="12"/>
    <x v="32"/>
    <x v="8"/>
    <x v="12"/>
    <x v="8"/>
    <x v="0"/>
    <x v="26"/>
    <x v="58"/>
    <s v="supplier@gmail.com"/>
  </r>
  <r>
    <x v="2986"/>
    <x v="2986"/>
    <x v="37"/>
    <x v="66"/>
    <x v="6"/>
    <x v="34"/>
    <x v="12"/>
    <x v="8"/>
    <x v="8"/>
    <x v="12"/>
    <x v="8"/>
    <x v="0"/>
    <x v="878"/>
    <x v="76"/>
    <s v="supplier@gmail.com"/>
  </r>
  <r>
    <x v="2987"/>
    <x v="2987"/>
    <x v="4"/>
    <x v="1"/>
    <x v="6"/>
    <x v="1"/>
    <x v="12"/>
    <x v="8"/>
    <x v="8"/>
    <x v="12"/>
    <x v="8"/>
    <x v="0"/>
    <x v="128"/>
    <x v="45"/>
    <s v="supplier@gmail.com"/>
  </r>
  <r>
    <x v="2988"/>
    <x v="2988"/>
    <x v="4"/>
    <x v="1"/>
    <x v="6"/>
    <x v="1"/>
    <x v="12"/>
    <x v="8"/>
    <x v="8"/>
    <x v="12"/>
    <x v="8"/>
    <x v="0"/>
    <x v="4"/>
    <x v="23"/>
    <s v="supplier@gmail.com"/>
  </r>
  <r>
    <x v="2989"/>
    <x v="2989"/>
    <x v="4"/>
    <x v="1"/>
    <x v="4"/>
    <x v="1"/>
    <x v="12"/>
    <x v="8"/>
    <x v="8"/>
    <x v="12"/>
    <x v="8"/>
    <x v="0"/>
    <x v="648"/>
    <x v="66"/>
    <s v="supplier@gmail.com"/>
  </r>
  <r>
    <x v="2990"/>
    <x v="2990"/>
    <x v="4"/>
    <x v="1"/>
    <x v="4"/>
    <x v="1"/>
    <x v="12"/>
    <x v="8"/>
    <x v="8"/>
    <x v="12"/>
    <x v="8"/>
    <x v="0"/>
    <x v="879"/>
    <x v="154"/>
    <s v="supplier@gmail.com"/>
  </r>
  <r>
    <x v="2991"/>
    <x v="2991"/>
    <x v="151"/>
    <x v="250"/>
    <x v="429"/>
    <x v="433"/>
    <x v="390"/>
    <x v="14"/>
    <x v="42"/>
    <x v="85"/>
    <x v="28"/>
    <x v="0"/>
    <x v="793"/>
    <x v="24"/>
    <s v="supplier@gmail.com"/>
  </r>
  <r>
    <x v="2992"/>
    <x v="2992"/>
    <x v="27"/>
    <x v="29"/>
    <x v="278"/>
    <x v="434"/>
    <x v="21"/>
    <x v="24"/>
    <x v="22"/>
    <x v="341"/>
    <x v="21"/>
    <x v="0"/>
    <x v="38"/>
    <x v="96"/>
    <s v="supplier@gmail.com"/>
  </r>
  <r>
    <x v="2993"/>
    <x v="2993"/>
    <x v="0"/>
    <x v="1"/>
    <x v="0"/>
    <x v="125"/>
    <x v="0"/>
    <x v="8"/>
    <x v="8"/>
    <x v="12"/>
    <x v="31"/>
    <x v="0"/>
    <x v="127"/>
    <x v="48"/>
    <s v="supplier@gmail.com"/>
  </r>
  <r>
    <x v="2994"/>
    <x v="2994"/>
    <x v="4"/>
    <x v="1"/>
    <x v="4"/>
    <x v="1"/>
    <x v="12"/>
    <x v="8"/>
    <x v="8"/>
    <x v="29"/>
    <x v="8"/>
    <x v="0"/>
    <x v="880"/>
    <x v="155"/>
    <s v="supplier@gmail.com"/>
  </r>
  <r>
    <x v="2995"/>
    <x v="2995"/>
    <x v="42"/>
    <x v="16"/>
    <x v="12"/>
    <x v="36"/>
    <x v="36"/>
    <x v="39"/>
    <x v="40"/>
    <x v="13"/>
    <x v="6"/>
    <x v="0"/>
    <x v="881"/>
    <x v="121"/>
    <s v="supplier@gmail.com"/>
  </r>
  <r>
    <x v="2996"/>
    <x v="2996"/>
    <x v="123"/>
    <x v="348"/>
    <x v="430"/>
    <x v="435"/>
    <x v="3"/>
    <x v="359"/>
    <x v="78"/>
    <x v="342"/>
    <x v="147"/>
    <x v="0"/>
    <x v="7"/>
    <x v="24"/>
    <s v="supplier@gmail.com"/>
  </r>
  <r>
    <x v="2997"/>
    <x v="2997"/>
    <x v="4"/>
    <x v="1"/>
    <x v="4"/>
    <x v="1"/>
    <x v="12"/>
    <x v="8"/>
    <x v="8"/>
    <x v="12"/>
    <x v="8"/>
    <x v="0"/>
    <x v="882"/>
    <x v="91"/>
    <s v="supplier@gmail.com"/>
  </r>
  <r>
    <x v="2998"/>
    <x v="2998"/>
    <x v="4"/>
    <x v="1"/>
    <x v="4"/>
    <x v="1"/>
    <x v="12"/>
    <x v="8"/>
    <x v="8"/>
    <x v="12"/>
    <x v="8"/>
    <x v="0"/>
    <x v="1"/>
    <x v="25"/>
    <s v="supplier@gmail.com"/>
  </r>
  <r>
    <x v="2999"/>
    <x v="2999"/>
    <x v="4"/>
    <x v="1"/>
    <x v="4"/>
    <x v="1"/>
    <x v="12"/>
    <x v="8"/>
    <x v="8"/>
    <x v="12"/>
    <x v="8"/>
    <x v="0"/>
    <x v="883"/>
    <x v="21"/>
    <s v="supplier@gmail.com"/>
  </r>
  <r>
    <x v="3000"/>
    <x v="3000"/>
    <x v="4"/>
    <x v="1"/>
    <x v="4"/>
    <x v="1"/>
    <x v="12"/>
    <x v="8"/>
    <x v="8"/>
    <x v="12"/>
    <x v="8"/>
    <x v="0"/>
    <x v="716"/>
    <x v="30"/>
    <s v="supplier@gmail.com"/>
  </r>
  <r>
    <x v="3001"/>
    <x v="3001"/>
    <x v="4"/>
    <x v="1"/>
    <x v="4"/>
    <x v="34"/>
    <x v="12"/>
    <x v="16"/>
    <x v="8"/>
    <x v="12"/>
    <x v="8"/>
    <x v="0"/>
    <x v="1"/>
    <x v="123"/>
    <s v="supplier@gmail.com"/>
  </r>
  <r>
    <x v="3002"/>
    <x v="3002"/>
    <x v="4"/>
    <x v="66"/>
    <x v="7"/>
    <x v="1"/>
    <x v="12"/>
    <x v="8"/>
    <x v="8"/>
    <x v="12"/>
    <x v="9"/>
    <x v="0"/>
    <x v="1"/>
    <x v="94"/>
    <s v="supplier@gmail.com"/>
  </r>
  <r>
    <x v="3003"/>
    <x v="3003"/>
    <x v="4"/>
    <x v="1"/>
    <x v="4"/>
    <x v="1"/>
    <x v="37"/>
    <x v="8"/>
    <x v="8"/>
    <x v="12"/>
    <x v="8"/>
    <x v="0"/>
    <x v="1"/>
    <x v="12"/>
    <s v="supplier@gmail.com"/>
  </r>
  <r>
    <x v="3004"/>
    <x v="3004"/>
    <x v="40"/>
    <x v="37"/>
    <x v="39"/>
    <x v="40"/>
    <x v="14"/>
    <x v="37"/>
    <x v="47"/>
    <x v="35"/>
    <x v="34"/>
    <x v="0"/>
    <x v="524"/>
    <x v="7"/>
    <s v="supplier@gmail.com"/>
  </r>
  <r>
    <x v="3005"/>
    <x v="3005"/>
    <x v="4"/>
    <x v="1"/>
    <x v="4"/>
    <x v="1"/>
    <x v="12"/>
    <x v="8"/>
    <x v="8"/>
    <x v="12"/>
    <x v="8"/>
    <x v="0"/>
    <x v="884"/>
    <x v="83"/>
    <s v="supplier@gmail.com"/>
  </r>
  <r>
    <x v="3006"/>
    <x v="3006"/>
    <x v="4"/>
    <x v="66"/>
    <x v="30"/>
    <x v="31"/>
    <x v="12"/>
    <x v="8"/>
    <x v="8"/>
    <x v="227"/>
    <x v="8"/>
    <x v="0"/>
    <x v="72"/>
    <x v="17"/>
    <s v="supplier@gmail.com"/>
  </r>
  <r>
    <x v="3007"/>
    <x v="3007"/>
    <x v="4"/>
    <x v="1"/>
    <x v="4"/>
    <x v="1"/>
    <x v="12"/>
    <x v="8"/>
    <x v="8"/>
    <x v="12"/>
    <x v="8"/>
    <x v="0"/>
    <x v="885"/>
    <x v="87"/>
    <s v="supplier@gmail.com"/>
  </r>
  <r>
    <x v="3008"/>
    <x v="3008"/>
    <x v="4"/>
    <x v="1"/>
    <x v="4"/>
    <x v="1"/>
    <x v="12"/>
    <x v="8"/>
    <x v="8"/>
    <x v="12"/>
    <x v="8"/>
    <x v="0"/>
    <x v="685"/>
    <x v="188"/>
    <s v="supplier@gmail.com"/>
  </r>
  <r>
    <x v="3009"/>
    <x v="3009"/>
    <x v="4"/>
    <x v="1"/>
    <x v="4"/>
    <x v="1"/>
    <x v="12"/>
    <x v="8"/>
    <x v="8"/>
    <x v="12"/>
    <x v="8"/>
    <x v="0"/>
    <x v="1"/>
    <x v="166"/>
    <s v="supplier@gmail.com"/>
  </r>
  <r>
    <x v="3010"/>
    <x v="3010"/>
    <x v="4"/>
    <x v="1"/>
    <x v="4"/>
    <x v="1"/>
    <x v="12"/>
    <x v="8"/>
    <x v="8"/>
    <x v="12"/>
    <x v="8"/>
    <x v="0"/>
    <x v="618"/>
    <x v="140"/>
    <s v="supplier@gmail.com"/>
  </r>
  <r>
    <x v="3011"/>
    <x v="3011"/>
    <x v="409"/>
    <x v="60"/>
    <x v="431"/>
    <x v="436"/>
    <x v="391"/>
    <x v="360"/>
    <x v="346"/>
    <x v="343"/>
    <x v="327"/>
    <x v="0"/>
    <x v="1"/>
    <x v="45"/>
    <s v="supplier@gmail.com"/>
  </r>
  <r>
    <x v="3012"/>
    <x v="3012"/>
    <x v="79"/>
    <x v="349"/>
    <x v="37"/>
    <x v="374"/>
    <x v="12"/>
    <x v="8"/>
    <x v="8"/>
    <x v="9"/>
    <x v="8"/>
    <x v="0"/>
    <x v="886"/>
    <x v="0"/>
    <s v="supplier@gmail.com"/>
  </r>
  <r>
    <x v="3013"/>
    <x v="3013"/>
    <x v="4"/>
    <x v="1"/>
    <x v="4"/>
    <x v="1"/>
    <x v="12"/>
    <x v="8"/>
    <x v="8"/>
    <x v="12"/>
    <x v="8"/>
    <x v="0"/>
    <x v="1"/>
    <x v="121"/>
    <s v="supplier@gmail.com"/>
  </r>
  <r>
    <x v="3014"/>
    <x v="3014"/>
    <x v="4"/>
    <x v="1"/>
    <x v="4"/>
    <x v="1"/>
    <x v="12"/>
    <x v="8"/>
    <x v="8"/>
    <x v="12"/>
    <x v="8"/>
    <x v="0"/>
    <x v="1"/>
    <x v="180"/>
    <s v="supplier@gmail.com"/>
  </r>
  <r>
    <x v="3015"/>
    <x v="3015"/>
    <x v="4"/>
    <x v="1"/>
    <x v="4"/>
    <x v="1"/>
    <x v="12"/>
    <x v="8"/>
    <x v="8"/>
    <x v="12"/>
    <x v="8"/>
    <x v="0"/>
    <x v="1"/>
    <x v="193"/>
    <s v="supplier@gmail.com"/>
  </r>
  <r>
    <x v="3016"/>
    <x v="3016"/>
    <x v="410"/>
    <x v="350"/>
    <x v="432"/>
    <x v="437"/>
    <x v="392"/>
    <x v="361"/>
    <x v="298"/>
    <x v="344"/>
    <x v="328"/>
    <x v="0"/>
    <x v="887"/>
    <x v="126"/>
    <s v="supplier@gmail.com"/>
  </r>
  <r>
    <x v="3017"/>
    <x v="3017"/>
    <x v="4"/>
    <x v="1"/>
    <x v="4"/>
    <x v="1"/>
    <x v="12"/>
    <x v="8"/>
    <x v="8"/>
    <x v="12"/>
    <x v="8"/>
    <x v="0"/>
    <x v="17"/>
    <x v="45"/>
    <s v="supplier@gmail.com"/>
  </r>
  <r>
    <x v="3018"/>
    <x v="3018"/>
    <x v="411"/>
    <x v="351"/>
    <x v="23"/>
    <x v="438"/>
    <x v="66"/>
    <x v="331"/>
    <x v="347"/>
    <x v="345"/>
    <x v="78"/>
    <x v="0"/>
    <x v="888"/>
    <x v="19"/>
    <s v="supplier@gmail.com"/>
  </r>
  <r>
    <x v="3019"/>
    <x v="3019"/>
    <x v="154"/>
    <x v="156"/>
    <x v="120"/>
    <x v="425"/>
    <x v="257"/>
    <x v="22"/>
    <x v="159"/>
    <x v="346"/>
    <x v="209"/>
    <x v="0"/>
    <x v="1"/>
    <x v="79"/>
    <s v="supplier@gmail.com"/>
  </r>
  <r>
    <x v="3020"/>
    <x v="3020"/>
    <x v="42"/>
    <x v="37"/>
    <x v="309"/>
    <x v="5"/>
    <x v="85"/>
    <x v="3"/>
    <x v="13"/>
    <x v="65"/>
    <x v="61"/>
    <x v="0"/>
    <x v="40"/>
    <x v="137"/>
    <s v="supplier@gmail.com"/>
  </r>
  <r>
    <x v="3021"/>
    <x v="3021"/>
    <x v="273"/>
    <x v="40"/>
    <x v="338"/>
    <x v="359"/>
    <x v="11"/>
    <x v="230"/>
    <x v="155"/>
    <x v="282"/>
    <x v="3"/>
    <x v="0"/>
    <x v="889"/>
    <x v="145"/>
    <s v="supplier@gmail.com"/>
  </r>
  <r>
    <x v="3022"/>
    <x v="3022"/>
    <x v="4"/>
    <x v="1"/>
    <x v="4"/>
    <x v="1"/>
    <x v="12"/>
    <x v="8"/>
    <x v="8"/>
    <x v="12"/>
    <x v="8"/>
    <x v="0"/>
    <x v="106"/>
    <x v="106"/>
    <s v="supplier@gmail.com"/>
  </r>
  <r>
    <x v="3023"/>
    <x v="3023"/>
    <x v="44"/>
    <x v="15"/>
    <x v="15"/>
    <x v="15"/>
    <x v="27"/>
    <x v="18"/>
    <x v="26"/>
    <x v="19"/>
    <x v="17"/>
    <x v="0"/>
    <x v="1"/>
    <x v="142"/>
    <s v="supplier@gmail.com"/>
  </r>
  <r>
    <x v="3024"/>
    <x v="3024"/>
    <x v="4"/>
    <x v="1"/>
    <x v="4"/>
    <x v="23"/>
    <x v="12"/>
    <x v="8"/>
    <x v="21"/>
    <x v="12"/>
    <x v="8"/>
    <x v="0"/>
    <x v="890"/>
    <x v="95"/>
    <s v="supplier@gmail.com"/>
  </r>
  <r>
    <x v="3025"/>
    <x v="3025"/>
    <x v="4"/>
    <x v="1"/>
    <x v="10"/>
    <x v="1"/>
    <x v="29"/>
    <x v="12"/>
    <x v="8"/>
    <x v="12"/>
    <x v="8"/>
    <x v="0"/>
    <x v="891"/>
    <x v="151"/>
    <s v="supplier@gmail.com"/>
  </r>
  <r>
    <x v="3026"/>
    <x v="3026"/>
    <x v="412"/>
    <x v="9"/>
    <x v="433"/>
    <x v="5"/>
    <x v="393"/>
    <x v="23"/>
    <x v="348"/>
    <x v="334"/>
    <x v="3"/>
    <x v="0"/>
    <x v="1"/>
    <x v="6"/>
    <s v="supplier@gmail.com"/>
  </r>
  <r>
    <x v="3027"/>
    <x v="3027"/>
    <x v="4"/>
    <x v="1"/>
    <x v="4"/>
    <x v="1"/>
    <x v="12"/>
    <x v="8"/>
    <x v="8"/>
    <x v="12"/>
    <x v="8"/>
    <x v="0"/>
    <x v="1"/>
    <x v="59"/>
    <s v="supplier@gmail.com"/>
  </r>
  <r>
    <x v="3028"/>
    <x v="3028"/>
    <x v="299"/>
    <x v="266"/>
    <x v="319"/>
    <x v="439"/>
    <x v="394"/>
    <x v="362"/>
    <x v="349"/>
    <x v="347"/>
    <x v="329"/>
    <x v="0"/>
    <x v="1"/>
    <x v="49"/>
    <s v="supplier@gmail.com"/>
  </r>
  <r>
    <x v="3029"/>
    <x v="3029"/>
    <x v="42"/>
    <x v="304"/>
    <x v="75"/>
    <x v="4"/>
    <x v="14"/>
    <x v="308"/>
    <x v="3"/>
    <x v="34"/>
    <x v="68"/>
    <x v="0"/>
    <x v="354"/>
    <x v="25"/>
    <s v="supplier@gmail.com"/>
  </r>
  <r>
    <x v="3030"/>
    <x v="3030"/>
    <x v="82"/>
    <x v="16"/>
    <x v="5"/>
    <x v="16"/>
    <x v="17"/>
    <x v="85"/>
    <x v="34"/>
    <x v="43"/>
    <x v="74"/>
    <x v="0"/>
    <x v="586"/>
    <x v="9"/>
    <s v="supplier@gmail.com"/>
  </r>
  <r>
    <x v="3031"/>
    <x v="3031"/>
    <x v="0"/>
    <x v="0"/>
    <x v="0"/>
    <x v="31"/>
    <x v="0"/>
    <x v="0"/>
    <x v="0"/>
    <x v="0"/>
    <x v="0"/>
    <x v="0"/>
    <x v="77"/>
    <x v="185"/>
    <s v="supplier@gmail.com"/>
  </r>
  <r>
    <x v="3032"/>
    <x v="3032"/>
    <x v="4"/>
    <x v="1"/>
    <x v="4"/>
    <x v="16"/>
    <x v="12"/>
    <x v="8"/>
    <x v="8"/>
    <x v="12"/>
    <x v="8"/>
    <x v="0"/>
    <x v="892"/>
    <x v="84"/>
    <s v="supplier@gmail.com"/>
  </r>
  <r>
    <x v="3033"/>
    <x v="3033"/>
    <x v="4"/>
    <x v="1"/>
    <x v="4"/>
    <x v="1"/>
    <x v="12"/>
    <x v="8"/>
    <x v="8"/>
    <x v="12"/>
    <x v="8"/>
    <x v="0"/>
    <x v="1"/>
    <x v="61"/>
    <s v="supplier@gmail.com"/>
  </r>
  <r>
    <x v="3034"/>
    <x v="3034"/>
    <x v="4"/>
    <x v="1"/>
    <x v="4"/>
    <x v="1"/>
    <x v="12"/>
    <x v="8"/>
    <x v="8"/>
    <x v="12"/>
    <x v="8"/>
    <x v="0"/>
    <x v="893"/>
    <x v="178"/>
    <s v="supplier@gmail.com"/>
  </r>
  <r>
    <x v="3035"/>
    <x v="3035"/>
    <x v="407"/>
    <x v="293"/>
    <x v="434"/>
    <x v="440"/>
    <x v="395"/>
    <x v="232"/>
    <x v="226"/>
    <x v="348"/>
    <x v="330"/>
    <x v="0"/>
    <x v="894"/>
    <x v="134"/>
    <s v="supplier@gmail.com"/>
  </r>
  <r>
    <x v="3036"/>
    <x v="3036"/>
    <x v="123"/>
    <x v="236"/>
    <x v="275"/>
    <x v="277"/>
    <x v="396"/>
    <x v="11"/>
    <x v="350"/>
    <x v="0"/>
    <x v="0"/>
    <x v="0"/>
    <x v="724"/>
    <x v="100"/>
    <s v="supplier@gmail.com"/>
  </r>
  <r>
    <x v="3037"/>
    <x v="3037"/>
    <x v="4"/>
    <x v="1"/>
    <x v="4"/>
    <x v="28"/>
    <x v="14"/>
    <x v="90"/>
    <x v="8"/>
    <x v="12"/>
    <x v="74"/>
    <x v="0"/>
    <x v="89"/>
    <x v="156"/>
    <s v="supplier@gmail.com"/>
  </r>
  <r>
    <x v="3038"/>
    <x v="3038"/>
    <x v="36"/>
    <x v="125"/>
    <x v="35"/>
    <x v="125"/>
    <x v="23"/>
    <x v="70"/>
    <x v="25"/>
    <x v="42"/>
    <x v="31"/>
    <x v="0"/>
    <x v="1"/>
    <x v="115"/>
    <s v="supplier@gmail.com"/>
  </r>
  <r>
    <x v="3039"/>
    <x v="3039"/>
    <x v="4"/>
    <x v="1"/>
    <x v="4"/>
    <x v="1"/>
    <x v="12"/>
    <x v="8"/>
    <x v="8"/>
    <x v="12"/>
    <x v="8"/>
    <x v="0"/>
    <x v="371"/>
    <x v="145"/>
    <s v="supplier@gmail.com"/>
  </r>
  <r>
    <x v="3040"/>
    <x v="3040"/>
    <x v="79"/>
    <x v="77"/>
    <x v="82"/>
    <x v="83"/>
    <x v="76"/>
    <x v="35"/>
    <x v="78"/>
    <x v="74"/>
    <x v="14"/>
    <x v="0"/>
    <x v="895"/>
    <x v="186"/>
    <s v="supplier@gmail.com"/>
  </r>
  <r>
    <x v="3041"/>
    <x v="3041"/>
    <x v="4"/>
    <x v="1"/>
    <x v="4"/>
    <x v="1"/>
    <x v="23"/>
    <x v="8"/>
    <x v="8"/>
    <x v="12"/>
    <x v="8"/>
    <x v="0"/>
    <x v="1"/>
    <x v="119"/>
    <s v="supplier@gmail.com"/>
  </r>
  <r>
    <x v="3042"/>
    <x v="3042"/>
    <x v="278"/>
    <x v="1"/>
    <x v="4"/>
    <x v="1"/>
    <x v="12"/>
    <x v="8"/>
    <x v="8"/>
    <x v="12"/>
    <x v="8"/>
    <x v="0"/>
    <x v="1"/>
    <x v="7"/>
    <s v="supplier@gmail.com"/>
  </r>
  <r>
    <x v="3043"/>
    <x v="3043"/>
    <x v="144"/>
    <x v="1"/>
    <x v="272"/>
    <x v="58"/>
    <x v="103"/>
    <x v="127"/>
    <x v="351"/>
    <x v="98"/>
    <x v="147"/>
    <x v="0"/>
    <x v="339"/>
    <x v="74"/>
    <s v="supplier@gmail.com"/>
  </r>
  <r>
    <x v="3044"/>
    <x v="3044"/>
    <x v="4"/>
    <x v="0"/>
    <x v="0"/>
    <x v="0"/>
    <x v="0"/>
    <x v="0"/>
    <x v="0"/>
    <x v="0"/>
    <x v="0"/>
    <x v="0"/>
    <x v="13"/>
    <x v="130"/>
    <s v="supplier@gmail.com"/>
  </r>
  <r>
    <x v="3045"/>
    <x v="3045"/>
    <x v="4"/>
    <x v="1"/>
    <x v="4"/>
    <x v="1"/>
    <x v="12"/>
    <x v="8"/>
    <x v="12"/>
    <x v="12"/>
    <x v="8"/>
    <x v="0"/>
    <x v="748"/>
    <x v="182"/>
    <s v="supplier@gmail.com"/>
  </r>
  <r>
    <x v="3046"/>
    <x v="3046"/>
    <x v="178"/>
    <x v="352"/>
    <x v="435"/>
    <x v="441"/>
    <x v="397"/>
    <x v="363"/>
    <x v="317"/>
    <x v="349"/>
    <x v="331"/>
    <x v="0"/>
    <x v="187"/>
    <x v="41"/>
    <s v="supplier@gmail.com"/>
  </r>
  <r>
    <x v="3047"/>
    <x v="3047"/>
    <x v="4"/>
    <x v="1"/>
    <x v="4"/>
    <x v="1"/>
    <x v="12"/>
    <x v="8"/>
    <x v="8"/>
    <x v="12"/>
    <x v="8"/>
    <x v="0"/>
    <x v="896"/>
    <x v="101"/>
    <s v="supplier@gmail.com"/>
  </r>
  <r>
    <x v="3048"/>
    <x v="3048"/>
    <x v="83"/>
    <x v="76"/>
    <x v="45"/>
    <x v="87"/>
    <x v="21"/>
    <x v="82"/>
    <x v="17"/>
    <x v="36"/>
    <x v="22"/>
    <x v="0"/>
    <x v="1"/>
    <x v="124"/>
    <s v="supplier@gmail.com"/>
  </r>
  <r>
    <x v="3049"/>
    <x v="3049"/>
    <x v="27"/>
    <x v="1"/>
    <x v="4"/>
    <x v="36"/>
    <x v="21"/>
    <x v="8"/>
    <x v="8"/>
    <x v="12"/>
    <x v="8"/>
    <x v="0"/>
    <x v="351"/>
    <x v="160"/>
    <s v="supplier@gmail.com"/>
  </r>
  <r>
    <x v="3050"/>
    <x v="3050"/>
    <x v="4"/>
    <x v="1"/>
    <x v="4"/>
    <x v="1"/>
    <x v="12"/>
    <x v="8"/>
    <x v="8"/>
    <x v="12"/>
    <x v="8"/>
    <x v="0"/>
    <x v="1"/>
    <x v="57"/>
    <s v="supplier@gmail.com"/>
  </r>
  <r>
    <x v="3051"/>
    <x v="3051"/>
    <x v="19"/>
    <x v="50"/>
    <x v="19"/>
    <x v="18"/>
    <x v="16"/>
    <x v="17"/>
    <x v="16"/>
    <x v="18"/>
    <x v="44"/>
    <x v="0"/>
    <x v="1"/>
    <x v="105"/>
    <s v="supplier@gmail.com"/>
  </r>
  <r>
    <x v="3052"/>
    <x v="3052"/>
    <x v="4"/>
    <x v="1"/>
    <x v="4"/>
    <x v="1"/>
    <x v="12"/>
    <x v="8"/>
    <x v="8"/>
    <x v="12"/>
    <x v="8"/>
    <x v="0"/>
    <x v="1"/>
    <x v="41"/>
    <s v="supplier@gmail.com"/>
  </r>
  <r>
    <x v="3053"/>
    <x v="3053"/>
    <x v="4"/>
    <x v="1"/>
    <x v="4"/>
    <x v="1"/>
    <x v="12"/>
    <x v="8"/>
    <x v="8"/>
    <x v="12"/>
    <x v="8"/>
    <x v="0"/>
    <x v="1"/>
    <x v="41"/>
    <s v="supplier@gmail.com"/>
  </r>
  <r>
    <x v="3054"/>
    <x v="3054"/>
    <x v="47"/>
    <x v="45"/>
    <x v="48"/>
    <x v="47"/>
    <x v="47"/>
    <x v="49"/>
    <x v="49"/>
    <x v="44"/>
    <x v="39"/>
    <x v="0"/>
    <x v="183"/>
    <x v="106"/>
    <s v="supplier@gmail.com"/>
  </r>
  <r>
    <x v="3055"/>
    <x v="3055"/>
    <x v="4"/>
    <x v="1"/>
    <x v="4"/>
    <x v="1"/>
    <x v="12"/>
    <x v="8"/>
    <x v="8"/>
    <x v="12"/>
    <x v="8"/>
    <x v="0"/>
    <x v="897"/>
    <x v="193"/>
    <s v="supplier@gmail.com"/>
  </r>
  <r>
    <x v="3056"/>
    <x v="3056"/>
    <x v="31"/>
    <x v="28"/>
    <x v="98"/>
    <x v="6"/>
    <x v="135"/>
    <x v="13"/>
    <x v="124"/>
    <x v="1"/>
    <x v="74"/>
    <x v="0"/>
    <x v="1"/>
    <x v="198"/>
    <s v="supplier@gmail.com"/>
  </r>
  <r>
    <x v="3057"/>
    <x v="3057"/>
    <x v="82"/>
    <x v="1"/>
    <x v="15"/>
    <x v="31"/>
    <x v="12"/>
    <x v="8"/>
    <x v="8"/>
    <x v="12"/>
    <x v="17"/>
    <x v="0"/>
    <x v="898"/>
    <x v="26"/>
    <s v="supplier@gmail.com"/>
  </r>
  <r>
    <x v="3058"/>
    <x v="3058"/>
    <x v="34"/>
    <x v="353"/>
    <x v="436"/>
    <x v="20"/>
    <x v="5"/>
    <x v="364"/>
    <x v="352"/>
    <x v="16"/>
    <x v="18"/>
    <x v="0"/>
    <x v="1"/>
    <x v="98"/>
    <s v="supplier@gmail.com"/>
  </r>
  <r>
    <x v="3059"/>
    <x v="3059"/>
    <x v="12"/>
    <x v="258"/>
    <x v="14"/>
    <x v="14"/>
    <x v="29"/>
    <x v="246"/>
    <x v="13"/>
    <x v="13"/>
    <x v="12"/>
    <x v="0"/>
    <x v="1"/>
    <x v="179"/>
    <s v="supplier@gmail.com"/>
  </r>
  <r>
    <x v="3060"/>
    <x v="3060"/>
    <x v="47"/>
    <x v="46"/>
    <x v="48"/>
    <x v="47"/>
    <x v="47"/>
    <x v="49"/>
    <x v="49"/>
    <x v="44"/>
    <x v="40"/>
    <x v="0"/>
    <x v="1"/>
    <x v="0"/>
    <s v="supplier@gmail.com"/>
  </r>
  <r>
    <x v="3061"/>
    <x v="3061"/>
    <x v="27"/>
    <x v="34"/>
    <x v="10"/>
    <x v="10"/>
    <x v="21"/>
    <x v="11"/>
    <x v="12"/>
    <x v="65"/>
    <x v="32"/>
    <x v="0"/>
    <x v="1"/>
    <x v="126"/>
    <s v="supplier@gmail.com"/>
  </r>
  <r>
    <x v="3062"/>
    <x v="3062"/>
    <x v="52"/>
    <x v="49"/>
    <x v="52"/>
    <x v="51"/>
    <x v="52"/>
    <x v="53"/>
    <x v="53"/>
    <x v="47"/>
    <x v="43"/>
    <x v="0"/>
    <x v="899"/>
    <x v="152"/>
    <s v="supplier@gmail.com"/>
  </r>
  <r>
    <x v="3063"/>
    <x v="3063"/>
    <x v="10"/>
    <x v="22"/>
    <x v="21"/>
    <x v="22"/>
    <x v="3"/>
    <x v="21"/>
    <x v="20"/>
    <x v="3"/>
    <x v="20"/>
    <x v="0"/>
    <x v="1"/>
    <x v="141"/>
    <s v="supplier@gmail.com"/>
  </r>
  <r>
    <x v="3064"/>
    <x v="3064"/>
    <x v="413"/>
    <x v="354"/>
    <x v="437"/>
    <x v="442"/>
    <x v="398"/>
    <x v="365"/>
    <x v="353"/>
    <x v="350"/>
    <x v="332"/>
    <x v="0"/>
    <x v="1"/>
    <x v="3"/>
    <s v="supplier@gmail.com"/>
  </r>
  <r>
    <x v="3065"/>
    <x v="3065"/>
    <x v="20"/>
    <x v="5"/>
    <x v="111"/>
    <x v="7"/>
    <x v="18"/>
    <x v="10"/>
    <x v="10"/>
    <x v="61"/>
    <x v="10"/>
    <x v="0"/>
    <x v="1"/>
    <x v="19"/>
    <s v="supplier@gmail.com"/>
  </r>
  <r>
    <x v="3066"/>
    <x v="3066"/>
    <x v="4"/>
    <x v="1"/>
    <x v="4"/>
    <x v="1"/>
    <x v="12"/>
    <x v="8"/>
    <x v="8"/>
    <x v="12"/>
    <x v="8"/>
    <x v="0"/>
    <x v="900"/>
    <x v="165"/>
    <s v="supplier@gmail.com"/>
  </r>
  <r>
    <x v="3067"/>
    <x v="3067"/>
    <x v="144"/>
    <x v="32"/>
    <x v="71"/>
    <x v="76"/>
    <x v="38"/>
    <x v="149"/>
    <x v="158"/>
    <x v="231"/>
    <x v="31"/>
    <x v="0"/>
    <x v="338"/>
    <x v="86"/>
    <s v="supplier@gmail.com"/>
  </r>
  <r>
    <x v="3068"/>
    <x v="3068"/>
    <x v="36"/>
    <x v="1"/>
    <x v="4"/>
    <x v="1"/>
    <x v="31"/>
    <x v="75"/>
    <x v="25"/>
    <x v="19"/>
    <x v="8"/>
    <x v="0"/>
    <x v="1"/>
    <x v="180"/>
    <s v="supplier@gmail.com"/>
  </r>
  <r>
    <x v="3069"/>
    <x v="3069"/>
    <x v="10"/>
    <x v="10"/>
    <x v="11"/>
    <x v="9"/>
    <x v="1"/>
    <x v="5"/>
    <x v="1"/>
    <x v="5"/>
    <x v="1"/>
    <x v="0"/>
    <x v="901"/>
    <x v="42"/>
    <s v="supplier@gmail.com"/>
  </r>
  <r>
    <x v="3070"/>
    <x v="3070"/>
    <x v="414"/>
    <x v="355"/>
    <x v="438"/>
    <x v="443"/>
    <x v="399"/>
    <x v="366"/>
    <x v="354"/>
    <x v="351"/>
    <x v="333"/>
    <x v="0"/>
    <x v="1"/>
    <x v="37"/>
    <s v="supplier@gmail.com"/>
  </r>
  <r>
    <x v="3071"/>
    <x v="3071"/>
    <x v="4"/>
    <x v="1"/>
    <x v="4"/>
    <x v="1"/>
    <x v="12"/>
    <x v="8"/>
    <x v="8"/>
    <x v="12"/>
    <x v="8"/>
    <x v="0"/>
    <x v="902"/>
    <x v="144"/>
    <s v="supplier@gmail.com"/>
  </r>
  <r>
    <x v="3072"/>
    <x v="3072"/>
    <x v="415"/>
    <x v="356"/>
    <x v="120"/>
    <x v="444"/>
    <x v="400"/>
    <x v="1"/>
    <x v="247"/>
    <x v="352"/>
    <x v="93"/>
    <x v="0"/>
    <x v="903"/>
    <x v="120"/>
    <s v="supplier@gmail.com"/>
  </r>
  <r>
    <x v="3073"/>
    <x v="3073"/>
    <x v="416"/>
    <x v="1"/>
    <x v="4"/>
    <x v="1"/>
    <x v="12"/>
    <x v="8"/>
    <x v="8"/>
    <x v="12"/>
    <x v="8"/>
    <x v="0"/>
    <x v="904"/>
    <x v="37"/>
    <s v="supplier@gmail.com"/>
  </r>
  <r>
    <x v="3074"/>
    <x v="3074"/>
    <x v="27"/>
    <x v="29"/>
    <x v="12"/>
    <x v="29"/>
    <x v="21"/>
    <x v="24"/>
    <x v="22"/>
    <x v="1"/>
    <x v="21"/>
    <x v="0"/>
    <x v="1"/>
    <x v="159"/>
    <s v="supplier@gmail.com"/>
  </r>
  <r>
    <x v="3075"/>
    <x v="3075"/>
    <x v="101"/>
    <x v="110"/>
    <x v="42"/>
    <x v="119"/>
    <x v="139"/>
    <x v="9"/>
    <x v="24"/>
    <x v="25"/>
    <x v="26"/>
    <x v="0"/>
    <x v="637"/>
    <x v="12"/>
    <s v="supplier@gmail.com"/>
  </r>
  <r>
    <x v="3076"/>
    <x v="3076"/>
    <x v="174"/>
    <x v="304"/>
    <x v="118"/>
    <x v="39"/>
    <x v="401"/>
    <x v="224"/>
    <x v="355"/>
    <x v="23"/>
    <x v="33"/>
    <x v="0"/>
    <x v="450"/>
    <x v="87"/>
    <s v="supplier@gmail.com"/>
  </r>
  <r>
    <x v="3077"/>
    <x v="3077"/>
    <x v="4"/>
    <x v="1"/>
    <x v="4"/>
    <x v="1"/>
    <x v="12"/>
    <x v="8"/>
    <x v="22"/>
    <x v="12"/>
    <x v="8"/>
    <x v="0"/>
    <x v="905"/>
    <x v="179"/>
    <s v="supplier@gmail.com"/>
  </r>
  <r>
    <x v="3078"/>
    <x v="3078"/>
    <x v="17"/>
    <x v="89"/>
    <x v="42"/>
    <x v="101"/>
    <x v="26"/>
    <x v="38"/>
    <x v="34"/>
    <x v="90"/>
    <x v="27"/>
    <x v="0"/>
    <x v="906"/>
    <x v="126"/>
    <s v="supplier@gmail.com"/>
  </r>
  <r>
    <x v="3079"/>
    <x v="3079"/>
    <x v="44"/>
    <x v="110"/>
    <x v="4"/>
    <x v="34"/>
    <x v="17"/>
    <x v="18"/>
    <x v="27"/>
    <x v="26"/>
    <x v="0"/>
    <x v="0"/>
    <x v="1"/>
    <x v="61"/>
    <s v="supplier@gmail.com"/>
  </r>
  <r>
    <x v="3080"/>
    <x v="3080"/>
    <x v="42"/>
    <x v="7"/>
    <x v="10"/>
    <x v="8"/>
    <x v="29"/>
    <x v="12"/>
    <x v="12"/>
    <x v="13"/>
    <x v="12"/>
    <x v="0"/>
    <x v="1"/>
    <x v="98"/>
    <s v="supplier@gmail.com"/>
  </r>
  <r>
    <x v="3081"/>
    <x v="3081"/>
    <x v="10"/>
    <x v="11"/>
    <x v="118"/>
    <x v="445"/>
    <x v="3"/>
    <x v="14"/>
    <x v="3"/>
    <x v="81"/>
    <x v="3"/>
    <x v="0"/>
    <x v="1"/>
    <x v="120"/>
    <s v="supplier@gmail.com"/>
  </r>
  <r>
    <x v="3082"/>
    <x v="3082"/>
    <x v="8"/>
    <x v="8"/>
    <x v="7"/>
    <x v="10"/>
    <x v="9"/>
    <x v="13"/>
    <x v="13"/>
    <x v="1"/>
    <x v="13"/>
    <x v="0"/>
    <x v="1"/>
    <x v="56"/>
    <s v="supplier@gmail.com"/>
  </r>
  <r>
    <x v="3083"/>
    <x v="3083"/>
    <x v="10"/>
    <x v="4"/>
    <x v="5"/>
    <x v="6"/>
    <x v="3"/>
    <x v="9"/>
    <x v="9"/>
    <x v="15"/>
    <x v="9"/>
    <x v="0"/>
    <x v="404"/>
    <x v="1"/>
    <s v="supplier@gmail.com"/>
  </r>
  <r>
    <x v="3084"/>
    <x v="3084"/>
    <x v="44"/>
    <x v="1"/>
    <x v="113"/>
    <x v="40"/>
    <x v="402"/>
    <x v="37"/>
    <x v="47"/>
    <x v="335"/>
    <x v="68"/>
    <x v="0"/>
    <x v="351"/>
    <x v="84"/>
    <s v="supplier@gmail.com"/>
  </r>
  <r>
    <x v="3085"/>
    <x v="3085"/>
    <x v="0"/>
    <x v="1"/>
    <x v="4"/>
    <x v="1"/>
    <x v="12"/>
    <x v="8"/>
    <x v="8"/>
    <x v="12"/>
    <x v="8"/>
    <x v="0"/>
    <x v="1"/>
    <x v="43"/>
    <s v="supplier@gmail.com"/>
  </r>
  <r>
    <x v="3086"/>
    <x v="3086"/>
    <x v="6"/>
    <x v="9"/>
    <x v="9"/>
    <x v="5"/>
    <x v="3"/>
    <x v="14"/>
    <x v="3"/>
    <x v="8"/>
    <x v="3"/>
    <x v="0"/>
    <x v="430"/>
    <x v="109"/>
    <s v="supplier@gmail.com"/>
  </r>
  <r>
    <x v="3087"/>
    <x v="3087"/>
    <x v="417"/>
    <x v="1"/>
    <x v="4"/>
    <x v="1"/>
    <x v="12"/>
    <x v="8"/>
    <x v="8"/>
    <x v="12"/>
    <x v="8"/>
    <x v="0"/>
    <x v="1"/>
    <x v="55"/>
    <s v="supplier@gmail.com"/>
  </r>
  <r>
    <x v="3088"/>
    <x v="3088"/>
    <x v="9"/>
    <x v="1"/>
    <x v="4"/>
    <x v="1"/>
    <x v="10"/>
    <x v="8"/>
    <x v="8"/>
    <x v="9"/>
    <x v="8"/>
    <x v="0"/>
    <x v="907"/>
    <x v="139"/>
    <s v="supplier@gmail.com"/>
  </r>
  <r>
    <x v="3089"/>
    <x v="3089"/>
    <x v="336"/>
    <x v="357"/>
    <x v="439"/>
    <x v="446"/>
    <x v="403"/>
    <x v="367"/>
    <x v="356"/>
    <x v="353"/>
    <x v="334"/>
    <x v="0"/>
    <x v="908"/>
    <x v="65"/>
    <s v="supplier@gmail.com"/>
  </r>
  <r>
    <x v="3090"/>
    <x v="3090"/>
    <x v="418"/>
    <x v="358"/>
    <x v="440"/>
    <x v="447"/>
    <x v="404"/>
    <x v="368"/>
    <x v="357"/>
    <x v="354"/>
    <x v="112"/>
    <x v="0"/>
    <x v="1"/>
    <x v="88"/>
    <s v="supplier@gmail.com"/>
  </r>
  <r>
    <x v="3091"/>
    <x v="3091"/>
    <x v="8"/>
    <x v="1"/>
    <x v="4"/>
    <x v="1"/>
    <x v="9"/>
    <x v="8"/>
    <x v="8"/>
    <x v="8"/>
    <x v="8"/>
    <x v="0"/>
    <x v="1"/>
    <x v="182"/>
    <s v="supplier@gmail.com"/>
  </r>
  <r>
    <x v="3092"/>
    <x v="3092"/>
    <x v="10"/>
    <x v="8"/>
    <x v="7"/>
    <x v="6"/>
    <x v="1"/>
    <x v="9"/>
    <x v="9"/>
    <x v="355"/>
    <x v="9"/>
    <x v="0"/>
    <x v="1"/>
    <x v="189"/>
    <s v="supplier@gmail.com"/>
  </r>
  <r>
    <x v="3093"/>
    <x v="3093"/>
    <x v="10"/>
    <x v="9"/>
    <x v="9"/>
    <x v="5"/>
    <x v="3"/>
    <x v="14"/>
    <x v="3"/>
    <x v="8"/>
    <x v="3"/>
    <x v="0"/>
    <x v="1"/>
    <x v="61"/>
    <s v="supplier@gmail.com"/>
  </r>
  <r>
    <x v="3094"/>
    <x v="3094"/>
    <x v="9"/>
    <x v="11"/>
    <x v="12"/>
    <x v="10"/>
    <x v="10"/>
    <x v="13"/>
    <x v="13"/>
    <x v="10"/>
    <x v="13"/>
    <x v="0"/>
    <x v="1"/>
    <x v="147"/>
    <s v="supplier@gmail.com"/>
  </r>
  <r>
    <x v="3095"/>
    <x v="3095"/>
    <x v="339"/>
    <x v="359"/>
    <x v="441"/>
    <x v="448"/>
    <x v="354"/>
    <x v="3"/>
    <x v="8"/>
    <x v="10"/>
    <x v="3"/>
    <x v="0"/>
    <x v="1"/>
    <x v="122"/>
    <s v="supplier@gmail.com"/>
  </r>
  <r>
    <x v="3096"/>
    <x v="3096"/>
    <x v="4"/>
    <x v="1"/>
    <x v="4"/>
    <x v="1"/>
    <x v="12"/>
    <x v="8"/>
    <x v="8"/>
    <x v="12"/>
    <x v="8"/>
    <x v="0"/>
    <x v="909"/>
    <x v="27"/>
    <s v="supplier@gmail.com"/>
  </r>
  <r>
    <x v="3097"/>
    <x v="3097"/>
    <x v="4"/>
    <x v="1"/>
    <x v="4"/>
    <x v="1"/>
    <x v="12"/>
    <x v="8"/>
    <x v="8"/>
    <x v="12"/>
    <x v="8"/>
    <x v="0"/>
    <x v="1"/>
    <x v="108"/>
    <s v="supplier@gmail.com"/>
  </r>
  <r>
    <x v="3098"/>
    <x v="3098"/>
    <x v="419"/>
    <x v="11"/>
    <x v="12"/>
    <x v="10"/>
    <x v="96"/>
    <x v="13"/>
    <x v="13"/>
    <x v="162"/>
    <x v="13"/>
    <x v="0"/>
    <x v="1"/>
    <x v="197"/>
    <s v="supplier@gmail.com"/>
  </r>
  <r>
    <x v="3099"/>
    <x v="3099"/>
    <x v="7"/>
    <x v="1"/>
    <x v="4"/>
    <x v="1"/>
    <x v="8"/>
    <x v="8"/>
    <x v="8"/>
    <x v="1"/>
    <x v="8"/>
    <x v="0"/>
    <x v="1"/>
    <x v="161"/>
    <s v="supplier@gmail.com"/>
  </r>
  <r>
    <x v="3100"/>
    <x v="3100"/>
    <x v="8"/>
    <x v="1"/>
    <x v="4"/>
    <x v="1"/>
    <x v="9"/>
    <x v="8"/>
    <x v="8"/>
    <x v="8"/>
    <x v="8"/>
    <x v="0"/>
    <x v="161"/>
    <x v="110"/>
    <s v="supplier@gmail.com"/>
  </r>
  <r>
    <x v="3101"/>
    <x v="3101"/>
    <x v="4"/>
    <x v="9"/>
    <x v="4"/>
    <x v="1"/>
    <x v="12"/>
    <x v="8"/>
    <x v="3"/>
    <x v="12"/>
    <x v="8"/>
    <x v="0"/>
    <x v="910"/>
    <x v="15"/>
    <s v="supplier@gmail.com"/>
  </r>
  <r>
    <x v="3102"/>
    <x v="3102"/>
    <x v="20"/>
    <x v="1"/>
    <x v="4"/>
    <x v="34"/>
    <x v="18"/>
    <x v="8"/>
    <x v="8"/>
    <x v="12"/>
    <x v="8"/>
    <x v="0"/>
    <x v="621"/>
    <x v="129"/>
    <s v="supplier@gmail.com"/>
  </r>
  <r>
    <x v="3103"/>
    <x v="3103"/>
    <x v="265"/>
    <x v="135"/>
    <x v="442"/>
    <x v="449"/>
    <x v="387"/>
    <x v="5"/>
    <x v="101"/>
    <x v="356"/>
    <x v="9"/>
    <x v="0"/>
    <x v="1"/>
    <x v="61"/>
    <s v="supplier@gmail.com"/>
  </r>
  <r>
    <x v="3104"/>
    <x v="3104"/>
    <x v="4"/>
    <x v="1"/>
    <x v="4"/>
    <x v="1"/>
    <x v="12"/>
    <x v="8"/>
    <x v="8"/>
    <x v="12"/>
    <x v="8"/>
    <x v="0"/>
    <x v="911"/>
    <x v="29"/>
    <s v="supplier@gmail.com"/>
  </r>
  <r>
    <x v="3105"/>
    <x v="3105"/>
    <x v="8"/>
    <x v="27"/>
    <x v="25"/>
    <x v="289"/>
    <x v="405"/>
    <x v="97"/>
    <x v="28"/>
    <x v="245"/>
    <x v="335"/>
    <x v="0"/>
    <x v="912"/>
    <x v="65"/>
    <s v="supplier@gmail.com"/>
  </r>
  <r>
    <x v="3106"/>
    <x v="3106"/>
    <x v="401"/>
    <x v="9"/>
    <x v="6"/>
    <x v="275"/>
    <x v="178"/>
    <x v="39"/>
    <x v="23"/>
    <x v="357"/>
    <x v="12"/>
    <x v="0"/>
    <x v="294"/>
    <x v="94"/>
    <s v="supplier@gmail.com"/>
  </r>
  <r>
    <x v="3107"/>
    <x v="3107"/>
    <x v="16"/>
    <x v="32"/>
    <x v="15"/>
    <x v="31"/>
    <x v="38"/>
    <x v="34"/>
    <x v="126"/>
    <x v="25"/>
    <x v="120"/>
    <x v="0"/>
    <x v="119"/>
    <x v="60"/>
    <s v="supplier@gmail.com"/>
  </r>
  <r>
    <x v="3108"/>
    <x v="3108"/>
    <x v="420"/>
    <x v="278"/>
    <x v="443"/>
    <x v="44"/>
    <x v="406"/>
    <x v="369"/>
    <x v="358"/>
    <x v="91"/>
    <x v="336"/>
    <x v="0"/>
    <x v="913"/>
    <x v="117"/>
    <s v="supplier@gmail.com"/>
  </r>
  <r>
    <x v="3109"/>
    <x v="3109"/>
    <x v="421"/>
    <x v="360"/>
    <x v="444"/>
    <x v="419"/>
    <x v="45"/>
    <x v="370"/>
    <x v="359"/>
    <x v="358"/>
    <x v="337"/>
    <x v="0"/>
    <x v="1"/>
    <x v="105"/>
    <s v="supplier@gmail.com"/>
  </r>
  <r>
    <x v="3110"/>
    <x v="3110"/>
    <x v="8"/>
    <x v="117"/>
    <x v="45"/>
    <x v="71"/>
    <x v="245"/>
    <x v="12"/>
    <x v="29"/>
    <x v="97"/>
    <x v="138"/>
    <x v="0"/>
    <x v="594"/>
    <x v="141"/>
    <s v="supplier@gmail.com"/>
  </r>
  <r>
    <x v="3111"/>
    <x v="3111"/>
    <x v="422"/>
    <x v="361"/>
    <x v="445"/>
    <x v="450"/>
    <x v="407"/>
    <x v="318"/>
    <x v="360"/>
    <x v="359"/>
    <x v="338"/>
    <x v="0"/>
    <x v="1"/>
    <x v="40"/>
    <s v="supplier@gmail.com"/>
  </r>
  <r>
    <x v="3112"/>
    <x v="3112"/>
    <x v="8"/>
    <x v="1"/>
    <x v="4"/>
    <x v="1"/>
    <x v="9"/>
    <x v="8"/>
    <x v="8"/>
    <x v="8"/>
    <x v="8"/>
    <x v="0"/>
    <x v="756"/>
    <x v="55"/>
    <s v="supplier@gmail.com"/>
  </r>
  <r>
    <x v="3113"/>
    <x v="3113"/>
    <x v="39"/>
    <x v="96"/>
    <x v="4"/>
    <x v="36"/>
    <x v="18"/>
    <x v="26"/>
    <x v="343"/>
    <x v="30"/>
    <x v="17"/>
    <x v="0"/>
    <x v="914"/>
    <x v="192"/>
    <s v="supplier@gmail.com"/>
  </r>
  <r>
    <x v="3114"/>
    <x v="3114"/>
    <x v="423"/>
    <x v="362"/>
    <x v="446"/>
    <x v="451"/>
    <x v="408"/>
    <x v="84"/>
    <x v="44"/>
    <x v="360"/>
    <x v="339"/>
    <x v="0"/>
    <x v="1"/>
    <x v="109"/>
    <s v="supplier@gmail.com"/>
  </r>
  <r>
    <x v="3115"/>
    <x v="3115"/>
    <x v="4"/>
    <x v="1"/>
    <x v="4"/>
    <x v="1"/>
    <x v="12"/>
    <x v="8"/>
    <x v="8"/>
    <x v="12"/>
    <x v="8"/>
    <x v="0"/>
    <x v="184"/>
    <x v="175"/>
    <s v="supplier@gmail.com"/>
  </r>
  <r>
    <x v="3116"/>
    <x v="3116"/>
    <x v="4"/>
    <x v="1"/>
    <x v="4"/>
    <x v="1"/>
    <x v="12"/>
    <x v="8"/>
    <x v="8"/>
    <x v="12"/>
    <x v="8"/>
    <x v="0"/>
    <x v="1"/>
    <x v="44"/>
    <s v="supplier@gmail.com"/>
  </r>
  <r>
    <x v="3117"/>
    <x v="3117"/>
    <x v="20"/>
    <x v="1"/>
    <x v="4"/>
    <x v="1"/>
    <x v="12"/>
    <x v="8"/>
    <x v="8"/>
    <x v="12"/>
    <x v="8"/>
    <x v="0"/>
    <x v="1"/>
    <x v="189"/>
    <s v="supplier@gmail.com"/>
  </r>
  <r>
    <x v="3118"/>
    <x v="3118"/>
    <x v="27"/>
    <x v="122"/>
    <x v="118"/>
    <x v="36"/>
    <x v="36"/>
    <x v="39"/>
    <x v="67"/>
    <x v="65"/>
    <x v="33"/>
    <x v="0"/>
    <x v="547"/>
    <x v="157"/>
    <s v="supplier@gmail.com"/>
  </r>
  <r>
    <x v="3119"/>
    <x v="3119"/>
    <x v="34"/>
    <x v="107"/>
    <x v="32"/>
    <x v="37"/>
    <x v="21"/>
    <x v="371"/>
    <x v="111"/>
    <x v="233"/>
    <x v="32"/>
    <x v="0"/>
    <x v="1"/>
    <x v="3"/>
    <s v="supplier@gmail.com"/>
  </r>
  <r>
    <x v="3120"/>
    <x v="3120"/>
    <x v="20"/>
    <x v="44"/>
    <x v="38"/>
    <x v="34"/>
    <x v="21"/>
    <x v="33"/>
    <x v="40"/>
    <x v="29"/>
    <x v="32"/>
    <x v="0"/>
    <x v="915"/>
    <x v="6"/>
    <s v="supplier@gmail.com"/>
  </r>
  <r>
    <x v="3121"/>
    <x v="3121"/>
    <x v="110"/>
    <x v="14"/>
    <x v="268"/>
    <x v="22"/>
    <x v="24"/>
    <x v="12"/>
    <x v="23"/>
    <x v="229"/>
    <x v="149"/>
    <x v="0"/>
    <x v="916"/>
    <x v="21"/>
    <s v="supplier@gmail.com"/>
  </r>
  <r>
    <x v="3122"/>
    <x v="3122"/>
    <x v="424"/>
    <x v="363"/>
    <x v="447"/>
    <x v="452"/>
    <x v="409"/>
    <x v="372"/>
    <x v="361"/>
    <x v="361"/>
    <x v="340"/>
    <x v="0"/>
    <x v="1"/>
    <x v="63"/>
    <s v="supplier@gmail.com"/>
  </r>
  <r>
    <x v="3123"/>
    <x v="3123"/>
    <x v="425"/>
    <x v="47"/>
    <x v="448"/>
    <x v="453"/>
    <x v="410"/>
    <x v="373"/>
    <x v="362"/>
    <x v="362"/>
    <x v="37"/>
    <x v="0"/>
    <x v="917"/>
    <x v="123"/>
    <s v="supplier@gmail.com"/>
  </r>
  <r>
    <x v="3124"/>
    <x v="3124"/>
    <x v="33"/>
    <x v="4"/>
    <x v="28"/>
    <x v="34"/>
    <x v="22"/>
    <x v="9"/>
    <x v="40"/>
    <x v="112"/>
    <x v="120"/>
    <x v="0"/>
    <x v="1"/>
    <x v="14"/>
    <s v="supplier@gmail.com"/>
  </r>
  <r>
    <x v="3125"/>
    <x v="3125"/>
    <x v="7"/>
    <x v="8"/>
    <x v="7"/>
    <x v="6"/>
    <x v="8"/>
    <x v="9"/>
    <x v="9"/>
    <x v="16"/>
    <x v="9"/>
    <x v="0"/>
    <x v="547"/>
    <x v="133"/>
    <s v="supplier@gmail.com"/>
  </r>
  <r>
    <x v="3126"/>
    <x v="3126"/>
    <x v="93"/>
    <x v="96"/>
    <x v="104"/>
    <x v="33"/>
    <x v="12"/>
    <x v="8"/>
    <x v="8"/>
    <x v="12"/>
    <x v="8"/>
    <x v="0"/>
    <x v="148"/>
    <x v="15"/>
    <s v="supplier@gmail.com"/>
  </r>
  <r>
    <x v="3127"/>
    <x v="3127"/>
    <x v="0"/>
    <x v="76"/>
    <x v="16"/>
    <x v="31"/>
    <x v="25"/>
    <x v="26"/>
    <x v="36"/>
    <x v="61"/>
    <x v="8"/>
    <x v="0"/>
    <x v="725"/>
    <x v="148"/>
    <s v="supplier@gmail.com"/>
  </r>
  <r>
    <x v="3128"/>
    <x v="3128"/>
    <x v="18"/>
    <x v="17"/>
    <x v="42"/>
    <x v="19"/>
    <x v="30"/>
    <x v="25"/>
    <x v="40"/>
    <x v="61"/>
    <x v="8"/>
    <x v="0"/>
    <x v="221"/>
    <x v="38"/>
    <s v="supplier@gmail.com"/>
  </r>
  <r>
    <x v="3129"/>
    <x v="3129"/>
    <x v="39"/>
    <x v="17"/>
    <x v="394"/>
    <x v="16"/>
    <x v="38"/>
    <x v="75"/>
    <x v="27"/>
    <x v="33"/>
    <x v="341"/>
    <x v="0"/>
    <x v="1"/>
    <x v="82"/>
    <s v="supplier@gmail.com"/>
  </r>
  <r>
    <x v="3130"/>
    <x v="3130"/>
    <x v="426"/>
    <x v="97"/>
    <x v="449"/>
    <x v="454"/>
    <x v="65"/>
    <x v="230"/>
    <x v="8"/>
    <x v="363"/>
    <x v="53"/>
    <x v="0"/>
    <x v="156"/>
    <x v="135"/>
    <s v="supplier@gmail.com"/>
  </r>
  <r>
    <x v="3131"/>
    <x v="3131"/>
    <x v="30"/>
    <x v="16"/>
    <x v="94"/>
    <x v="35"/>
    <x v="18"/>
    <x v="135"/>
    <x v="17"/>
    <x v="28"/>
    <x v="91"/>
    <x v="0"/>
    <x v="1"/>
    <x v="198"/>
    <s v="supplier@gmail.com"/>
  </r>
  <r>
    <x v="3132"/>
    <x v="3132"/>
    <x v="36"/>
    <x v="125"/>
    <x v="35"/>
    <x v="125"/>
    <x v="23"/>
    <x v="70"/>
    <x v="25"/>
    <x v="42"/>
    <x v="31"/>
    <x v="0"/>
    <x v="111"/>
    <x v="103"/>
    <s v="supplier@gmail.com"/>
  </r>
  <r>
    <x v="3133"/>
    <x v="3133"/>
    <x v="93"/>
    <x v="1"/>
    <x v="30"/>
    <x v="17"/>
    <x v="32"/>
    <x v="8"/>
    <x v="8"/>
    <x v="12"/>
    <x v="23"/>
    <x v="0"/>
    <x v="186"/>
    <x v="130"/>
    <s v="supplier@gmail.com"/>
  </r>
  <r>
    <x v="3134"/>
    <x v="3134"/>
    <x v="115"/>
    <x v="5"/>
    <x v="111"/>
    <x v="455"/>
    <x v="35"/>
    <x v="150"/>
    <x v="363"/>
    <x v="94"/>
    <x v="24"/>
    <x v="0"/>
    <x v="891"/>
    <x v="90"/>
    <s v="supplier@gmail.com"/>
  </r>
  <r>
    <x v="3135"/>
    <x v="3135"/>
    <x v="278"/>
    <x v="16"/>
    <x v="7"/>
    <x v="6"/>
    <x v="82"/>
    <x v="13"/>
    <x v="363"/>
    <x v="165"/>
    <x v="8"/>
    <x v="0"/>
    <x v="918"/>
    <x v="6"/>
    <s v="supplier@gmail.com"/>
  </r>
  <r>
    <x v="3136"/>
    <x v="3136"/>
    <x v="0"/>
    <x v="15"/>
    <x v="17"/>
    <x v="19"/>
    <x v="27"/>
    <x v="25"/>
    <x v="18"/>
    <x v="61"/>
    <x v="8"/>
    <x v="0"/>
    <x v="37"/>
    <x v="190"/>
    <s v="supplier@gmail.com"/>
  </r>
  <r>
    <x v="3137"/>
    <x v="3137"/>
    <x v="427"/>
    <x v="344"/>
    <x v="339"/>
    <x v="54"/>
    <x v="411"/>
    <x v="355"/>
    <x v="279"/>
    <x v="107"/>
    <x v="19"/>
    <x v="0"/>
    <x v="5"/>
    <x v="18"/>
    <s v="supplier@gmail.com"/>
  </r>
  <r>
    <x v="3138"/>
    <x v="3138"/>
    <x v="18"/>
    <x v="86"/>
    <x v="104"/>
    <x v="33"/>
    <x v="32"/>
    <x v="223"/>
    <x v="18"/>
    <x v="28"/>
    <x v="18"/>
    <x v="0"/>
    <x v="919"/>
    <x v="7"/>
    <s v="supplier@gmail.com"/>
  </r>
  <r>
    <x v="3139"/>
    <x v="3139"/>
    <x v="4"/>
    <x v="1"/>
    <x v="4"/>
    <x v="1"/>
    <x v="12"/>
    <x v="8"/>
    <x v="8"/>
    <x v="12"/>
    <x v="8"/>
    <x v="0"/>
    <x v="3"/>
    <x v="107"/>
    <s v="supplier@gmail.com"/>
  </r>
  <r>
    <x v="3140"/>
    <x v="3140"/>
    <x v="82"/>
    <x v="1"/>
    <x v="4"/>
    <x v="1"/>
    <x v="12"/>
    <x v="8"/>
    <x v="8"/>
    <x v="12"/>
    <x v="8"/>
    <x v="0"/>
    <x v="400"/>
    <x v="6"/>
    <s v="supplier@gmail.com"/>
  </r>
  <r>
    <x v="3141"/>
    <x v="3141"/>
    <x v="8"/>
    <x v="223"/>
    <x v="112"/>
    <x v="375"/>
    <x v="244"/>
    <x v="22"/>
    <x v="364"/>
    <x v="232"/>
    <x v="19"/>
    <x v="0"/>
    <x v="160"/>
    <x v="16"/>
    <s v="supplier@gmail.com"/>
  </r>
  <r>
    <x v="3142"/>
    <x v="3142"/>
    <x v="101"/>
    <x v="110"/>
    <x v="0"/>
    <x v="0"/>
    <x v="12"/>
    <x v="8"/>
    <x v="8"/>
    <x v="12"/>
    <x v="8"/>
    <x v="0"/>
    <x v="1"/>
    <x v="129"/>
    <s v="supplier@gmail.com"/>
  </r>
  <r>
    <x v="3143"/>
    <x v="3143"/>
    <x v="4"/>
    <x v="1"/>
    <x v="4"/>
    <x v="1"/>
    <x v="12"/>
    <x v="8"/>
    <x v="8"/>
    <x v="12"/>
    <x v="8"/>
    <x v="0"/>
    <x v="1"/>
    <x v="109"/>
    <s v="supplier@gmail.com"/>
  </r>
  <r>
    <x v="3144"/>
    <x v="3144"/>
    <x v="428"/>
    <x v="364"/>
    <x v="450"/>
    <x v="456"/>
    <x v="412"/>
    <x v="374"/>
    <x v="365"/>
    <x v="364"/>
    <x v="342"/>
    <x v="0"/>
    <x v="354"/>
    <x v="62"/>
    <s v="supplier@gmail.com"/>
  </r>
  <r>
    <x v="3145"/>
    <x v="3145"/>
    <x v="4"/>
    <x v="1"/>
    <x v="4"/>
    <x v="1"/>
    <x v="17"/>
    <x v="8"/>
    <x v="8"/>
    <x v="12"/>
    <x v="8"/>
    <x v="0"/>
    <x v="339"/>
    <x v="51"/>
    <s v="supplier@gmail.com"/>
  </r>
  <r>
    <x v="3146"/>
    <x v="3146"/>
    <x v="36"/>
    <x v="1"/>
    <x v="35"/>
    <x v="125"/>
    <x v="0"/>
    <x v="8"/>
    <x v="8"/>
    <x v="12"/>
    <x v="31"/>
    <x v="0"/>
    <x v="920"/>
    <x v="183"/>
    <s v="supplier@gmail.com"/>
  </r>
  <r>
    <x v="3147"/>
    <x v="3147"/>
    <x v="4"/>
    <x v="1"/>
    <x v="4"/>
    <x v="1"/>
    <x v="12"/>
    <x v="8"/>
    <x v="8"/>
    <x v="12"/>
    <x v="8"/>
    <x v="0"/>
    <x v="1"/>
    <x v="176"/>
    <s v="supplier@gmail.com"/>
  </r>
  <r>
    <x v="3148"/>
    <x v="3148"/>
    <x v="183"/>
    <x v="309"/>
    <x v="22"/>
    <x v="143"/>
    <x v="128"/>
    <x v="42"/>
    <x v="366"/>
    <x v="365"/>
    <x v="343"/>
    <x v="0"/>
    <x v="1"/>
    <x v="2"/>
    <s v="supplier@gmail.com"/>
  </r>
  <r>
    <x v="3149"/>
    <x v="3149"/>
    <x v="312"/>
    <x v="259"/>
    <x v="451"/>
    <x v="62"/>
    <x v="413"/>
    <x v="64"/>
    <x v="367"/>
    <x v="12"/>
    <x v="59"/>
    <x v="0"/>
    <x v="757"/>
    <x v="194"/>
    <s v="supplier@gmail.com"/>
  </r>
  <r>
    <x v="3150"/>
    <x v="3150"/>
    <x v="28"/>
    <x v="30"/>
    <x v="9"/>
    <x v="30"/>
    <x v="36"/>
    <x v="22"/>
    <x v="23"/>
    <x v="8"/>
    <x v="22"/>
    <x v="0"/>
    <x v="921"/>
    <x v="100"/>
    <s v="supplier@gmail.com"/>
  </r>
  <r>
    <x v="3151"/>
    <x v="3151"/>
    <x v="27"/>
    <x v="29"/>
    <x v="12"/>
    <x v="29"/>
    <x v="21"/>
    <x v="24"/>
    <x v="22"/>
    <x v="1"/>
    <x v="21"/>
    <x v="0"/>
    <x v="922"/>
    <x v="60"/>
    <s v="supplier@gmail.com"/>
  </r>
  <r>
    <x v="3152"/>
    <x v="3152"/>
    <x v="102"/>
    <x v="93"/>
    <x v="100"/>
    <x v="106"/>
    <x v="8"/>
    <x v="82"/>
    <x v="67"/>
    <x v="94"/>
    <x v="21"/>
    <x v="0"/>
    <x v="1"/>
    <x v="77"/>
    <s v="supplier@gmail.com"/>
  </r>
  <r>
    <x v="3153"/>
    <x v="3153"/>
    <x v="302"/>
    <x v="337"/>
    <x v="452"/>
    <x v="457"/>
    <x v="10"/>
    <x v="90"/>
    <x v="85"/>
    <x v="282"/>
    <x v="344"/>
    <x v="0"/>
    <x v="1"/>
    <x v="144"/>
    <s v="supplier@gmail.com"/>
  </r>
  <r>
    <x v="3154"/>
    <x v="3154"/>
    <x v="102"/>
    <x v="93"/>
    <x v="100"/>
    <x v="106"/>
    <x v="8"/>
    <x v="82"/>
    <x v="67"/>
    <x v="94"/>
    <x v="21"/>
    <x v="0"/>
    <x v="1"/>
    <x v="6"/>
    <s v="supplier@gmail.com"/>
  </r>
  <r>
    <x v="3155"/>
    <x v="3155"/>
    <x v="102"/>
    <x v="93"/>
    <x v="100"/>
    <x v="106"/>
    <x v="8"/>
    <x v="82"/>
    <x v="67"/>
    <x v="94"/>
    <x v="21"/>
    <x v="0"/>
    <x v="1"/>
    <x v="199"/>
    <s v="supplier@gmail.com"/>
  </r>
  <r>
    <x v="3156"/>
    <x v="3156"/>
    <x v="271"/>
    <x v="351"/>
    <x v="453"/>
    <x v="458"/>
    <x v="3"/>
    <x v="375"/>
    <x v="84"/>
    <x v="366"/>
    <x v="345"/>
    <x v="0"/>
    <x v="1"/>
    <x v="123"/>
    <s v="supplier@gmail.com"/>
  </r>
  <r>
    <x v="3157"/>
    <x v="3157"/>
    <x v="103"/>
    <x v="94"/>
    <x v="101"/>
    <x v="107"/>
    <x v="1"/>
    <x v="99"/>
    <x v="3"/>
    <x v="95"/>
    <x v="20"/>
    <x v="0"/>
    <x v="1"/>
    <x v="147"/>
    <s v="supplier@gmail.com"/>
  </r>
  <r>
    <x v="3158"/>
    <x v="3158"/>
    <x v="102"/>
    <x v="93"/>
    <x v="100"/>
    <x v="106"/>
    <x v="8"/>
    <x v="82"/>
    <x v="67"/>
    <x v="94"/>
    <x v="21"/>
    <x v="0"/>
    <x v="1"/>
    <x v="35"/>
    <s v="supplier@gmail.com"/>
  </r>
  <r>
    <x v="3159"/>
    <x v="3159"/>
    <x v="102"/>
    <x v="93"/>
    <x v="100"/>
    <x v="106"/>
    <x v="8"/>
    <x v="82"/>
    <x v="67"/>
    <x v="94"/>
    <x v="21"/>
    <x v="0"/>
    <x v="1"/>
    <x v="57"/>
    <s v="supplier@gmail.com"/>
  </r>
  <r>
    <x v="3160"/>
    <x v="3160"/>
    <x v="102"/>
    <x v="93"/>
    <x v="100"/>
    <x v="106"/>
    <x v="8"/>
    <x v="82"/>
    <x v="67"/>
    <x v="94"/>
    <x v="21"/>
    <x v="0"/>
    <x v="1"/>
    <x v="15"/>
    <s v="supplier@gmail.com"/>
  </r>
  <r>
    <x v="3161"/>
    <x v="3161"/>
    <x v="102"/>
    <x v="250"/>
    <x v="121"/>
    <x v="123"/>
    <x v="8"/>
    <x v="22"/>
    <x v="13"/>
    <x v="4"/>
    <x v="91"/>
    <x v="0"/>
    <x v="1"/>
    <x v="57"/>
    <s v="supplier@gmail.com"/>
  </r>
  <r>
    <x v="3162"/>
    <x v="3162"/>
    <x v="270"/>
    <x v="233"/>
    <x v="115"/>
    <x v="273"/>
    <x v="9"/>
    <x v="224"/>
    <x v="42"/>
    <x v="232"/>
    <x v="22"/>
    <x v="0"/>
    <x v="1"/>
    <x v="75"/>
    <s v="supplier@gmail.com"/>
  </r>
  <r>
    <x v="3163"/>
    <x v="3163"/>
    <x v="43"/>
    <x v="231"/>
    <x v="169"/>
    <x v="271"/>
    <x v="139"/>
    <x v="33"/>
    <x v="40"/>
    <x v="367"/>
    <x v="18"/>
    <x v="0"/>
    <x v="1"/>
    <x v="58"/>
    <s v="supplier@gmail.com"/>
  </r>
  <r>
    <x v="3164"/>
    <x v="3164"/>
    <x v="270"/>
    <x v="233"/>
    <x v="115"/>
    <x v="273"/>
    <x v="9"/>
    <x v="224"/>
    <x v="42"/>
    <x v="232"/>
    <x v="22"/>
    <x v="0"/>
    <x v="1"/>
    <x v="128"/>
    <s v="supplier@gmail.com"/>
  </r>
  <r>
    <x v="3165"/>
    <x v="3165"/>
    <x v="270"/>
    <x v="233"/>
    <x v="115"/>
    <x v="273"/>
    <x v="9"/>
    <x v="224"/>
    <x v="42"/>
    <x v="232"/>
    <x v="22"/>
    <x v="0"/>
    <x v="1"/>
    <x v="25"/>
    <s v="supplier@gmail.com"/>
  </r>
  <r>
    <x v="3166"/>
    <x v="3166"/>
    <x v="4"/>
    <x v="117"/>
    <x v="268"/>
    <x v="270"/>
    <x v="12"/>
    <x v="85"/>
    <x v="34"/>
    <x v="25"/>
    <x v="0"/>
    <x v="0"/>
    <x v="580"/>
    <x v="193"/>
    <s v="supplier@gmail.com"/>
  </r>
  <r>
    <x v="3167"/>
    <x v="3167"/>
    <x v="27"/>
    <x v="29"/>
    <x v="12"/>
    <x v="29"/>
    <x v="21"/>
    <x v="24"/>
    <x v="22"/>
    <x v="1"/>
    <x v="21"/>
    <x v="0"/>
    <x v="1"/>
    <x v="137"/>
    <s v="supplier@gmail.com"/>
  </r>
  <r>
    <x v="3168"/>
    <x v="3168"/>
    <x v="4"/>
    <x v="1"/>
    <x v="4"/>
    <x v="1"/>
    <x v="12"/>
    <x v="8"/>
    <x v="8"/>
    <x v="12"/>
    <x v="8"/>
    <x v="0"/>
    <x v="1"/>
    <x v="192"/>
    <s v="supplier@gmail.com"/>
  </r>
  <r>
    <x v="3169"/>
    <x v="3169"/>
    <x v="141"/>
    <x v="127"/>
    <x v="136"/>
    <x v="142"/>
    <x v="12"/>
    <x v="8"/>
    <x v="8"/>
    <x v="12"/>
    <x v="8"/>
    <x v="0"/>
    <x v="1"/>
    <x v="36"/>
    <s v="supplier@gmail.com"/>
  </r>
  <r>
    <x v="3170"/>
    <x v="3170"/>
    <x v="17"/>
    <x v="16"/>
    <x v="16"/>
    <x v="16"/>
    <x v="12"/>
    <x v="8"/>
    <x v="8"/>
    <x v="12"/>
    <x v="8"/>
    <x v="0"/>
    <x v="1"/>
    <x v="34"/>
    <s v="supplier@gmail.com"/>
  </r>
  <r>
    <x v="3171"/>
    <x v="3171"/>
    <x v="58"/>
    <x v="122"/>
    <x v="118"/>
    <x v="39"/>
    <x v="12"/>
    <x v="8"/>
    <x v="8"/>
    <x v="12"/>
    <x v="8"/>
    <x v="0"/>
    <x v="1"/>
    <x v="99"/>
    <s v="supplier@gmail.com"/>
  </r>
  <r>
    <x v="3172"/>
    <x v="3172"/>
    <x v="429"/>
    <x v="365"/>
    <x v="454"/>
    <x v="459"/>
    <x v="18"/>
    <x v="8"/>
    <x v="8"/>
    <x v="368"/>
    <x v="8"/>
    <x v="0"/>
    <x v="1"/>
    <x v="187"/>
    <s v="supplier@gmail.com"/>
  </r>
  <r>
    <x v="3173"/>
    <x v="3173"/>
    <x v="4"/>
    <x v="1"/>
    <x v="4"/>
    <x v="1"/>
    <x v="12"/>
    <x v="8"/>
    <x v="8"/>
    <x v="12"/>
    <x v="8"/>
    <x v="0"/>
    <x v="1"/>
    <x v="187"/>
    <s v="supplier@gmail.com"/>
  </r>
  <r>
    <x v="3174"/>
    <x v="3174"/>
    <x v="4"/>
    <x v="1"/>
    <x v="4"/>
    <x v="1"/>
    <x v="12"/>
    <x v="19"/>
    <x v="8"/>
    <x v="12"/>
    <x v="8"/>
    <x v="0"/>
    <x v="1"/>
    <x v="163"/>
    <s v="supplier@gmail.com"/>
  </r>
  <r>
    <x v="3175"/>
    <x v="3175"/>
    <x v="4"/>
    <x v="1"/>
    <x v="4"/>
    <x v="1"/>
    <x v="12"/>
    <x v="8"/>
    <x v="8"/>
    <x v="12"/>
    <x v="8"/>
    <x v="0"/>
    <x v="1"/>
    <x v="40"/>
    <s v="supplier@gmail.com"/>
  </r>
  <r>
    <x v="3176"/>
    <x v="3176"/>
    <x v="4"/>
    <x v="1"/>
    <x v="4"/>
    <x v="1"/>
    <x v="12"/>
    <x v="8"/>
    <x v="8"/>
    <x v="12"/>
    <x v="8"/>
    <x v="0"/>
    <x v="1"/>
    <x v="143"/>
    <s v="supplier@gmail.com"/>
  </r>
  <r>
    <x v="3177"/>
    <x v="3177"/>
    <x v="102"/>
    <x v="93"/>
    <x v="100"/>
    <x v="106"/>
    <x v="8"/>
    <x v="82"/>
    <x v="67"/>
    <x v="94"/>
    <x v="21"/>
    <x v="0"/>
    <x v="923"/>
    <x v="144"/>
    <s v="supplier@gmail.com"/>
  </r>
  <r>
    <x v="3178"/>
    <x v="3178"/>
    <x v="102"/>
    <x v="93"/>
    <x v="100"/>
    <x v="106"/>
    <x v="8"/>
    <x v="82"/>
    <x v="67"/>
    <x v="94"/>
    <x v="21"/>
    <x v="0"/>
    <x v="50"/>
    <x v="33"/>
    <s v="supplier@gmail.com"/>
  </r>
  <r>
    <x v="3179"/>
    <x v="3179"/>
    <x v="44"/>
    <x v="1"/>
    <x v="4"/>
    <x v="1"/>
    <x v="27"/>
    <x v="8"/>
    <x v="8"/>
    <x v="12"/>
    <x v="8"/>
    <x v="0"/>
    <x v="1"/>
    <x v="33"/>
    <s v="supplier@gmail.com"/>
  </r>
  <r>
    <x v="3180"/>
    <x v="3180"/>
    <x v="18"/>
    <x v="76"/>
    <x v="30"/>
    <x v="31"/>
    <x v="26"/>
    <x v="26"/>
    <x v="77"/>
    <x v="26"/>
    <x v="27"/>
    <x v="0"/>
    <x v="338"/>
    <x v="181"/>
    <s v="supplier@gmail.com"/>
  </r>
  <r>
    <x v="3181"/>
    <x v="3181"/>
    <x v="264"/>
    <x v="14"/>
    <x v="270"/>
    <x v="30"/>
    <x v="6"/>
    <x v="224"/>
    <x v="326"/>
    <x v="233"/>
    <x v="110"/>
    <x v="0"/>
    <x v="924"/>
    <x v="127"/>
    <s v="supplier@gmail.com"/>
  </r>
  <r>
    <x v="3182"/>
    <x v="3182"/>
    <x v="4"/>
    <x v="1"/>
    <x v="4"/>
    <x v="1"/>
    <x v="12"/>
    <x v="8"/>
    <x v="8"/>
    <x v="12"/>
    <x v="8"/>
    <x v="0"/>
    <x v="598"/>
    <x v="83"/>
    <s v="supplier@gmail.com"/>
  </r>
  <r>
    <x v="3183"/>
    <x v="3183"/>
    <x v="4"/>
    <x v="1"/>
    <x v="4"/>
    <x v="1"/>
    <x v="12"/>
    <x v="8"/>
    <x v="8"/>
    <x v="12"/>
    <x v="8"/>
    <x v="0"/>
    <x v="7"/>
    <x v="169"/>
    <s v="supplier@gmail.com"/>
  </r>
  <r>
    <x v="3184"/>
    <x v="3184"/>
    <x v="8"/>
    <x v="1"/>
    <x v="4"/>
    <x v="1"/>
    <x v="9"/>
    <x v="8"/>
    <x v="8"/>
    <x v="12"/>
    <x v="8"/>
    <x v="0"/>
    <x v="351"/>
    <x v="123"/>
    <s v="supplier@gmail.com"/>
  </r>
  <r>
    <x v="3185"/>
    <x v="3185"/>
    <x v="123"/>
    <x v="366"/>
    <x v="75"/>
    <x v="4"/>
    <x v="251"/>
    <x v="376"/>
    <x v="364"/>
    <x v="232"/>
    <x v="306"/>
    <x v="0"/>
    <x v="1"/>
    <x v="127"/>
    <s v="supplier@gmail.com"/>
  </r>
  <r>
    <x v="3186"/>
    <x v="3186"/>
    <x v="4"/>
    <x v="1"/>
    <x v="4"/>
    <x v="1"/>
    <x v="12"/>
    <x v="8"/>
    <x v="8"/>
    <x v="12"/>
    <x v="8"/>
    <x v="0"/>
    <x v="1"/>
    <x v="86"/>
    <s v="supplier@gmail.com"/>
  </r>
  <r>
    <x v="3187"/>
    <x v="3187"/>
    <x v="0"/>
    <x v="1"/>
    <x v="4"/>
    <x v="1"/>
    <x v="12"/>
    <x v="8"/>
    <x v="8"/>
    <x v="12"/>
    <x v="8"/>
    <x v="0"/>
    <x v="653"/>
    <x v="113"/>
    <s v="supplier@gmail.com"/>
  </r>
  <r>
    <x v="3188"/>
    <x v="3188"/>
    <x v="0"/>
    <x v="1"/>
    <x v="4"/>
    <x v="1"/>
    <x v="12"/>
    <x v="8"/>
    <x v="8"/>
    <x v="12"/>
    <x v="8"/>
    <x v="0"/>
    <x v="1"/>
    <x v="180"/>
    <s v="supplier@gmail.com"/>
  </r>
  <r>
    <x v="3189"/>
    <x v="3189"/>
    <x v="430"/>
    <x v="158"/>
    <x v="455"/>
    <x v="460"/>
    <x v="354"/>
    <x v="377"/>
    <x v="368"/>
    <x v="369"/>
    <x v="339"/>
    <x v="0"/>
    <x v="925"/>
    <x v="139"/>
    <s v="supplier@gmail.com"/>
  </r>
  <r>
    <x v="3190"/>
    <x v="3190"/>
    <x v="4"/>
    <x v="1"/>
    <x v="4"/>
    <x v="1"/>
    <x v="12"/>
    <x v="8"/>
    <x v="8"/>
    <x v="12"/>
    <x v="8"/>
    <x v="0"/>
    <x v="926"/>
    <x v="76"/>
    <s v="supplier@gmail.com"/>
  </r>
  <r>
    <x v="3191"/>
    <x v="3191"/>
    <x v="27"/>
    <x v="108"/>
    <x v="37"/>
    <x v="103"/>
    <x v="401"/>
    <x v="21"/>
    <x v="20"/>
    <x v="370"/>
    <x v="20"/>
    <x v="0"/>
    <x v="927"/>
    <x v="198"/>
    <s v="supplier@gmail.com"/>
  </r>
  <r>
    <x v="3192"/>
    <x v="3192"/>
    <x v="4"/>
    <x v="1"/>
    <x v="4"/>
    <x v="1"/>
    <x v="12"/>
    <x v="8"/>
    <x v="8"/>
    <x v="12"/>
    <x v="8"/>
    <x v="0"/>
    <x v="1"/>
    <x v="181"/>
    <s v="supplier@gmail.com"/>
  </r>
  <r>
    <x v="3193"/>
    <x v="3193"/>
    <x v="4"/>
    <x v="1"/>
    <x v="4"/>
    <x v="1"/>
    <x v="12"/>
    <x v="8"/>
    <x v="8"/>
    <x v="12"/>
    <x v="8"/>
    <x v="0"/>
    <x v="1"/>
    <x v="162"/>
    <s v="supplier@gmail.com"/>
  </r>
  <r>
    <x v="3194"/>
    <x v="3194"/>
    <x v="7"/>
    <x v="0"/>
    <x v="30"/>
    <x v="31"/>
    <x v="112"/>
    <x v="26"/>
    <x v="77"/>
    <x v="26"/>
    <x v="27"/>
    <x v="0"/>
    <x v="1"/>
    <x v="75"/>
    <s v="supplier@gmail.com"/>
  </r>
  <r>
    <x v="3195"/>
    <x v="3195"/>
    <x v="4"/>
    <x v="1"/>
    <x v="4"/>
    <x v="1"/>
    <x v="12"/>
    <x v="8"/>
    <x v="8"/>
    <x v="12"/>
    <x v="8"/>
    <x v="0"/>
    <x v="1"/>
    <x v="154"/>
    <s v="supplier@gmail.com"/>
  </r>
  <r>
    <x v="3196"/>
    <x v="3196"/>
    <x v="4"/>
    <x v="1"/>
    <x v="4"/>
    <x v="1"/>
    <x v="12"/>
    <x v="8"/>
    <x v="8"/>
    <x v="12"/>
    <x v="8"/>
    <x v="0"/>
    <x v="1"/>
    <x v="60"/>
    <s v="supplier@gmail.com"/>
  </r>
  <r>
    <x v="3197"/>
    <x v="3197"/>
    <x v="25"/>
    <x v="116"/>
    <x v="21"/>
    <x v="160"/>
    <x v="414"/>
    <x v="140"/>
    <x v="85"/>
    <x v="130"/>
    <x v="80"/>
    <x v="0"/>
    <x v="7"/>
    <x v="92"/>
    <s v="supplier@gmail.com"/>
  </r>
  <r>
    <x v="3198"/>
    <x v="3198"/>
    <x v="4"/>
    <x v="1"/>
    <x v="4"/>
    <x v="1"/>
    <x v="12"/>
    <x v="8"/>
    <x v="8"/>
    <x v="12"/>
    <x v="8"/>
    <x v="0"/>
    <x v="3"/>
    <x v="72"/>
    <s v="supplier@gmail.com"/>
  </r>
  <r>
    <x v="3199"/>
    <x v="3199"/>
    <x v="4"/>
    <x v="1"/>
    <x v="4"/>
    <x v="1"/>
    <x v="12"/>
    <x v="8"/>
    <x v="8"/>
    <x v="12"/>
    <x v="8"/>
    <x v="0"/>
    <x v="1"/>
    <x v="33"/>
    <s v="supplier@gmail.com"/>
  </r>
  <r>
    <x v="3200"/>
    <x v="3200"/>
    <x v="431"/>
    <x v="80"/>
    <x v="456"/>
    <x v="461"/>
    <x v="56"/>
    <x v="86"/>
    <x v="267"/>
    <x v="371"/>
    <x v="75"/>
    <x v="0"/>
    <x v="1"/>
    <x v="38"/>
    <s v="supplier@gmail.com"/>
  </r>
  <r>
    <x v="3201"/>
    <x v="3201"/>
    <x v="4"/>
    <x v="1"/>
    <x v="4"/>
    <x v="1"/>
    <x v="12"/>
    <x v="8"/>
    <x v="8"/>
    <x v="12"/>
    <x v="8"/>
    <x v="0"/>
    <x v="1"/>
    <x v="198"/>
    <s v="supplier@gmail.com"/>
  </r>
  <r>
    <x v="3202"/>
    <x v="3202"/>
    <x v="4"/>
    <x v="1"/>
    <x v="4"/>
    <x v="1"/>
    <x v="12"/>
    <x v="8"/>
    <x v="8"/>
    <x v="12"/>
    <x v="8"/>
    <x v="0"/>
    <x v="1"/>
    <x v="137"/>
    <s v="supplier@gmail.com"/>
  </r>
  <r>
    <x v="3203"/>
    <x v="3203"/>
    <x v="4"/>
    <x v="1"/>
    <x v="4"/>
    <x v="1"/>
    <x v="12"/>
    <x v="8"/>
    <x v="8"/>
    <x v="12"/>
    <x v="8"/>
    <x v="0"/>
    <x v="1"/>
    <x v="12"/>
    <s v="supplier@gmail.com"/>
  </r>
  <r>
    <x v="3204"/>
    <x v="3204"/>
    <x v="4"/>
    <x v="1"/>
    <x v="4"/>
    <x v="1"/>
    <x v="12"/>
    <x v="8"/>
    <x v="8"/>
    <x v="12"/>
    <x v="8"/>
    <x v="0"/>
    <x v="1"/>
    <x v="19"/>
    <s v="supplier@gmail.com"/>
  </r>
  <r>
    <x v="3205"/>
    <x v="3205"/>
    <x v="4"/>
    <x v="1"/>
    <x v="4"/>
    <x v="1"/>
    <x v="12"/>
    <x v="8"/>
    <x v="8"/>
    <x v="12"/>
    <x v="8"/>
    <x v="0"/>
    <x v="1"/>
    <x v="56"/>
    <s v="supplier@gmail.com"/>
  </r>
  <r>
    <x v="3206"/>
    <x v="3206"/>
    <x v="8"/>
    <x v="1"/>
    <x v="6"/>
    <x v="1"/>
    <x v="12"/>
    <x v="8"/>
    <x v="8"/>
    <x v="12"/>
    <x v="8"/>
    <x v="0"/>
    <x v="1"/>
    <x v="171"/>
    <s v="supplier@gmail.com"/>
  </r>
  <r>
    <x v="3207"/>
    <x v="3207"/>
    <x v="10"/>
    <x v="11"/>
    <x v="12"/>
    <x v="10"/>
    <x v="9"/>
    <x v="13"/>
    <x v="13"/>
    <x v="1"/>
    <x v="13"/>
    <x v="0"/>
    <x v="1"/>
    <x v="117"/>
    <s v="supplier@gmail.com"/>
  </r>
  <r>
    <x v="3208"/>
    <x v="3208"/>
    <x v="10"/>
    <x v="11"/>
    <x v="12"/>
    <x v="10"/>
    <x v="9"/>
    <x v="13"/>
    <x v="13"/>
    <x v="1"/>
    <x v="13"/>
    <x v="0"/>
    <x v="356"/>
    <x v="116"/>
    <s v="supplier@gmail.com"/>
  </r>
  <r>
    <x v="3209"/>
    <x v="3209"/>
    <x v="4"/>
    <x v="1"/>
    <x v="4"/>
    <x v="35"/>
    <x v="114"/>
    <x v="28"/>
    <x v="0"/>
    <x v="227"/>
    <x v="104"/>
    <x v="0"/>
    <x v="928"/>
    <x v="83"/>
    <s v="supplier@gmail.com"/>
  </r>
  <r>
    <x v="3210"/>
    <x v="3210"/>
    <x v="4"/>
    <x v="1"/>
    <x v="4"/>
    <x v="15"/>
    <x v="27"/>
    <x v="16"/>
    <x v="0"/>
    <x v="19"/>
    <x v="30"/>
    <x v="0"/>
    <x v="929"/>
    <x v="192"/>
    <s v="supplier@gmail.com"/>
  </r>
  <r>
    <x v="3211"/>
    <x v="3211"/>
    <x v="4"/>
    <x v="1"/>
    <x v="4"/>
    <x v="19"/>
    <x v="25"/>
    <x v="25"/>
    <x v="26"/>
    <x v="25"/>
    <x v="23"/>
    <x v="0"/>
    <x v="930"/>
    <x v="171"/>
    <s v="supplier@gmail.com"/>
  </r>
  <r>
    <x v="3212"/>
    <x v="3212"/>
    <x v="4"/>
    <x v="1"/>
    <x v="4"/>
    <x v="15"/>
    <x v="27"/>
    <x v="16"/>
    <x v="8"/>
    <x v="19"/>
    <x v="17"/>
    <x v="0"/>
    <x v="377"/>
    <x v="25"/>
    <s v="supplier@gmail.com"/>
  </r>
  <r>
    <x v="3213"/>
    <x v="3213"/>
    <x v="4"/>
    <x v="1"/>
    <x v="4"/>
    <x v="19"/>
    <x v="25"/>
    <x v="25"/>
    <x v="26"/>
    <x v="25"/>
    <x v="23"/>
    <x v="0"/>
    <x v="931"/>
    <x v="106"/>
    <s v="supplier@gmail.com"/>
  </r>
  <r>
    <x v="3214"/>
    <x v="3214"/>
    <x v="4"/>
    <x v="1"/>
    <x v="4"/>
    <x v="33"/>
    <x v="32"/>
    <x v="19"/>
    <x v="8"/>
    <x v="28"/>
    <x v="18"/>
    <x v="0"/>
    <x v="932"/>
    <x v="100"/>
    <s v="supplier@gmail.com"/>
  </r>
  <r>
    <x v="3215"/>
    <x v="3215"/>
    <x v="93"/>
    <x v="38"/>
    <x v="104"/>
    <x v="19"/>
    <x v="32"/>
    <x v="25"/>
    <x v="17"/>
    <x v="25"/>
    <x v="18"/>
    <x v="0"/>
    <x v="503"/>
    <x v="72"/>
    <s v="supplier@gmail.com"/>
  </r>
  <r>
    <x v="3216"/>
    <x v="3216"/>
    <x v="134"/>
    <x v="119"/>
    <x v="190"/>
    <x v="193"/>
    <x v="178"/>
    <x v="97"/>
    <x v="159"/>
    <x v="93"/>
    <x v="149"/>
    <x v="0"/>
    <x v="503"/>
    <x v="126"/>
    <s v="supplier@gmail.com"/>
  </r>
  <r>
    <x v="3217"/>
    <x v="3217"/>
    <x v="432"/>
    <x v="14"/>
    <x v="99"/>
    <x v="105"/>
    <x v="415"/>
    <x v="98"/>
    <x v="78"/>
    <x v="372"/>
    <x v="210"/>
    <x v="0"/>
    <x v="351"/>
    <x v="52"/>
    <s v="supplier@gmail.com"/>
  </r>
  <r>
    <x v="3218"/>
    <x v="3218"/>
    <x v="4"/>
    <x v="38"/>
    <x v="30"/>
    <x v="31"/>
    <x v="26"/>
    <x v="26"/>
    <x v="77"/>
    <x v="26"/>
    <x v="27"/>
    <x v="0"/>
    <x v="470"/>
    <x v="43"/>
    <s v="supplier@gmail.com"/>
  </r>
  <r>
    <x v="3219"/>
    <x v="3219"/>
    <x v="141"/>
    <x v="1"/>
    <x v="4"/>
    <x v="1"/>
    <x v="12"/>
    <x v="8"/>
    <x v="8"/>
    <x v="12"/>
    <x v="8"/>
    <x v="0"/>
    <x v="358"/>
    <x v="189"/>
    <s v="supplier@gmail.com"/>
  </r>
  <r>
    <x v="3220"/>
    <x v="3220"/>
    <x v="124"/>
    <x v="1"/>
    <x v="4"/>
    <x v="1"/>
    <x v="12"/>
    <x v="8"/>
    <x v="8"/>
    <x v="12"/>
    <x v="8"/>
    <x v="0"/>
    <x v="7"/>
    <x v="198"/>
    <s v="supplier@gmail.com"/>
  </r>
  <r>
    <x v="3221"/>
    <x v="3221"/>
    <x v="114"/>
    <x v="1"/>
    <x v="4"/>
    <x v="1"/>
    <x v="12"/>
    <x v="8"/>
    <x v="8"/>
    <x v="12"/>
    <x v="8"/>
    <x v="0"/>
    <x v="338"/>
    <x v="160"/>
    <s v="supplier@gmail.com"/>
  </r>
  <r>
    <x v="3222"/>
    <x v="3222"/>
    <x v="124"/>
    <x v="1"/>
    <x v="4"/>
    <x v="1"/>
    <x v="12"/>
    <x v="8"/>
    <x v="8"/>
    <x v="12"/>
    <x v="8"/>
    <x v="0"/>
    <x v="64"/>
    <x v="34"/>
    <s v="supplier@gmail.com"/>
  </r>
  <r>
    <x v="3223"/>
    <x v="3223"/>
    <x v="114"/>
    <x v="1"/>
    <x v="4"/>
    <x v="1"/>
    <x v="12"/>
    <x v="8"/>
    <x v="8"/>
    <x v="12"/>
    <x v="8"/>
    <x v="0"/>
    <x v="549"/>
    <x v="51"/>
    <s v="supplier@gmail.com"/>
  </r>
  <r>
    <x v="3224"/>
    <x v="3224"/>
    <x v="433"/>
    <x v="1"/>
    <x v="4"/>
    <x v="1"/>
    <x v="12"/>
    <x v="8"/>
    <x v="8"/>
    <x v="12"/>
    <x v="8"/>
    <x v="0"/>
    <x v="254"/>
    <x v="135"/>
    <s v="supplier@gmail.com"/>
  </r>
  <r>
    <x v="3225"/>
    <x v="3225"/>
    <x v="114"/>
    <x v="1"/>
    <x v="4"/>
    <x v="1"/>
    <x v="12"/>
    <x v="8"/>
    <x v="8"/>
    <x v="12"/>
    <x v="8"/>
    <x v="0"/>
    <x v="1"/>
    <x v="132"/>
    <s v="supplier@gmail.com"/>
  </r>
  <r>
    <x v="3226"/>
    <x v="3226"/>
    <x v="4"/>
    <x v="1"/>
    <x v="4"/>
    <x v="1"/>
    <x v="12"/>
    <x v="8"/>
    <x v="8"/>
    <x v="12"/>
    <x v="8"/>
    <x v="0"/>
    <x v="84"/>
    <x v="137"/>
    <s v="supplier@gmail.com"/>
  </r>
  <r>
    <x v="3227"/>
    <x v="3227"/>
    <x v="0"/>
    <x v="1"/>
    <x v="4"/>
    <x v="0"/>
    <x v="12"/>
    <x v="8"/>
    <x v="8"/>
    <x v="12"/>
    <x v="8"/>
    <x v="0"/>
    <x v="933"/>
    <x v="146"/>
    <s v="supplier@gmail.com"/>
  </r>
  <r>
    <x v="3228"/>
    <x v="3228"/>
    <x v="44"/>
    <x v="1"/>
    <x v="4"/>
    <x v="15"/>
    <x v="12"/>
    <x v="8"/>
    <x v="8"/>
    <x v="12"/>
    <x v="8"/>
    <x v="0"/>
    <x v="934"/>
    <x v="183"/>
    <s v="supplier@gmail.com"/>
  </r>
  <r>
    <x v="3229"/>
    <x v="3229"/>
    <x v="122"/>
    <x v="1"/>
    <x v="285"/>
    <x v="106"/>
    <x v="12"/>
    <x v="8"/>
    <x v="8"/>
    <x v="12"/>
    <x v="8"/>
    <x v="0"/>
    <x v="184"/>
    <x v="134"/>
    <s v="supplier@gmail.com"/>
  </r>
  <r>
    <x v="3230"/>
    <x v="3230"/>
    <x v="261"/>
    <x v="1"/>
    <x v="94"/>
    <x v="101"/>
    <x v="12"/>
    <x v="8"/>
    <x v="8"/>
    <x v="12"/>
    <x v="8"/>
    <x v="0"/>
    <x v="254"/>
    <x v="87"/>
    <s v="supplier@gmail.com"/>
  </r>
  <r>
    <x v="3231"/>
    <x v="3231"/>
    <x v="262"/>
    <x v="1"/>
    <x v="457"/>
    <x v="37"/>
    <x v="12"/>
    <x v="8"/>
    <x v="8"/>
    <x v="12"/>
    <x v="8"/>
    <x v="0"/>
    <x v="206"/>
    <x v="133"/>
    <s v="supplier@gmail.com"/>
  </r>
  <r>
    <x v="3232"/>
    <x v="3232"/>
    <x v="27"/>
    <x v="1"/>
    <x v="268"/>
    <x v="98"/>
    <x v="12"/>
    <x v="8"/>
    <x v="8"/>
    <x v="12"/>
    <x v="8"/>
    <x v="0"/>
    <x v="22"/>
    <x v="154"/>
    <s v="supplier@gmail.com"/>
  </r>
  <r>
    <x v="3233"/>
    <x v="3233"/>
    <x v="17"/>
    <x v="1"/>
    <x v="30"/>
    <x v="31"/>
    <x v="12"/>
    <x v="8"/>
    <x v="8"/>
    <x v="12"/>
    <x v="8"/>
    <x v="0"/>
    <x v="935"/>
    <x v="42"/>
    <s v="supplier@gmail.com"/>
  </r>
  <r>
    <x v="3234"/>
    <x v="3234"/>
    <x v="10"/>
    <x v="1"/>
    <x v="118"/>
    <x v="30"/>
    <x v="12"/>
    <x v="8"/>
    <x v="8"/>
    <x v="12"/>
    <x v="8"/>
    <x v="0"/>
    <x v="64"/>
    <x v="159"/>
    <s v="supplier@gmail.com"/>
  </r>
  <r>
    <x v="3235"/>
    <x v="3235"/>
    <x v="387"/>
    <x v="1"/>
    <x v="37"/>
    <x v="91"/>
    <x v="12"/>
    <x v="8"/>
    <x v="8"/>
    <x v="12"/>
    <x v="8"/>
    <x v="0"/>
    <x v="3"/>
    <x v="85"/>
    <s v="supplier@gmail.com"/>
  </r>
  <r>
    <x v="3236"/>
    <x v="3236"/>
    <x v="44"/>
    <x v="1"/>
    <x v="4"/>
    <x v="15"/>
    <x v="12"/>
    <x v="8"/>
    <x v="8"/>
    <x v="12"/>
    <x v="8"/>
    <x v="0"/>
    <x v="142"/>
    <x v="109"/>
    <s v="supplier@gmail.com"/>
  </r>
  <r>
    <x v="3237"/>
    <x v="3237"/>
    <x v="18"/>
    <x v="1"/>
    <x v="42"/>
    <x v="19"/>
    <x v="12"/>
    <x v="8"/>
    <x v="8"/>
    <x v="12"/>
    <x v="8"/>
    <x v="0"/>
    <x v="3"/>
    <x v="70"/>
    <s v="supplier@gmail.com"/>
  </r>
  <r>
    <x v="3238"/>
    <x v="3238"/>
    <x v="101"/>
    <x v="1"/>
    <x v="42"/>
    <x v="19"/>
    <x v="12"/>
    <x v="8"/>
    <x v="8"/>
    <x v="12"/>
    <x v="8"/>
    <x v="0"/>
    <x v="1"/>
    <x v="144"/>
    <s v="supplier@gmail.com"/>
  </r>
  <r>
    <x v="3239"/>
    <x v="3239"/>
    <x v="8"/>
    <x v="1"/>
    <x v="68"/>
    <x v="1"/>
    <x v="12"/>
    <x v="8"/>
    <x v="8"/>
    <x v="12"/>
    <x v="8"/>
    <x v="0"/>
    <x v="338"/>
    <x v="63"/>
    <s v="supplier@gmail.com"/>
  </r>
  <r>
    <x v="3240"/>
    <x v="3240"/>
    <x v="4"/>
    <x v="1"/>
    <x v="4"/>
    <x v="1"/>
    <x v="12"/>
    <x v="8"/>
    <x v="8"/>
    <x v="12"/>
    <x v="8"/>
    <x v="0"/>
    <x v="936"/>
    <x v="156"/>
    <s v="supplier@gmail.com"/>
  </r>
  <r>
    <x v="3241"/>
    <x v="3241"/>
    <x v="31"/>
    <x v="19"/>
    <x v="28"/>
    <x v="104"/>
    <x v="143"/>
    <x v="13"/>
    <x v="40"/>
    <x v="29"/>
    <x v="104"/>
    <x v="0"/>
    <x v="489"/>
    <x v="69"/>
    <s v="supplier@gmail.com"/>
  </r>
  <r>
    <x v="3242"/>
    <x v="3242"/>
    <x v="434"/>
    <x v="367"/>
    <x v="458"/>
    <x v="462"/>
    <x v="416"/>
    <x v="378"/>
    <x v="369"/>
    <x v="164"/>
    <x v="346"/>
    <x v="0"/>
    <x v="1"/>
    <x v="26"/>
    <s v="supplier@gmail.com"/>
  </r>
  <r>
    <x v="3243"/>
    <x v="3243"/>
    <x v="38"/>
    <x v="35"/>
    <x v="37"/>
    <x v="39"/>
    <x v="36"/>
    <x v="35"/>
    <x v="37"/>
    <x v="31"/>
    <x v="21"/>
    <x v="0"/>
    <x v="403"/>
    <x v="174"/>
    <s v="supplier@gmail.com"/>
  </r>
  <r>
    <x v="3244"/>
    <x v="3244"/>
    <x v="33"/>
    <x v="32"/>
    <x v="31"/>
    <x v="35"/>
    <x v="18"/>
    <x v="9"/>
    <x v="24"/>
    <x v="25"/>
    <x v="26"/>
    <x v="0"/>
    <x v="123"/>
    <x v="99"/>
    <s v="supplier@gmail.com"/>
  </r>
  <r>
    <x v="3245"/>
    <x v="3245"/>
    <x v="31"/>
    <x v="19"/>
    <x v="28"/>
    <x v="34"/>
    <x v="18"/>
    <x v="28"/>
    <x v="29"/>
    <x v="25"/>
    <x v="26"/>
    <x v="0"/>
    <x v="179"/>
    <x v="164"/>
    <s v="supplier@gmail.com"/>
  </r>
  <r>
    <x v="3246"/>
    <x v="3246"/>
    <x v="31"/>
    <x v="19"/>
    <x v="28"/>
    <x v="34"/>
    <x v="18"/>
    <x v="28"/>
    <x v="29"/>
    <x v="25"/>
    <x v="26"/>
    <x v="0"/>
    <x v="697"/>
    <x v="55"/>
    <s v="supplier@gmail.com"/>
  </r>
  <r>
    <x v="3247"/>
    <x v="3247"/>
    <x v="34"/>
    <x v="33"/>
    <x v="117"/>
    <x v="463"/>
    <x v="417"/>
    <x v="14"/>
    <x v="145"/>
    <x v="65"/>
    <x v="208"/>
    <x v="0"/>
    <x v="937"/>
    <x v="145"/>
    <s v="supplier@gmail.com"/>
  </r>
  <r>
    <x v="3248"/>
    <x v="3248"/>
    <x v="435"/>
    <x v="368"/>
    <x v="113"/>
    <x v="464"/>
    <x v="418"/>
    <x v="379"/>
    <x v="370"/>
    <x v="373"/>
    <x v="347"/>
    <x v="0"/>
    <x v="192"/>
    <x v="172"/>
    <s v="supplier@gmail.com"/>
  </r>
  <r>
    <x v="3249"/>
    <x v="3249"/>
    <x v="31"/>
    <x v="19"/>
    <x v="28"/>
    <x v="34"/>
    <x v="18"/>
    <x v="28"/>
    <x v="29"/>
    <x v="25"/>
    <x v="26"/>
    <x v="0"/>
    <x v="274"/>
    <x v="13"/>
    <s v="supplier@gmail.com"/>
  </r>
  <r>
    <x v="3250"/>
    <x v="3250"/>
    <x v="80"/>
    <x v="98"/>
    <x v="459"/>
    <x v="465"/>
    <x v="419"/>
    <x v="380"/>
    <x v="371"/>
    <x v="374"/>
    <x v="71"/>
    <x v="0"/>
    <x v="336"/>
    <x v="186"/>
    <s v="supplier@gmail.com"/>
  </r>
  <r>
    <x v="3251"/>
    <x v="3251"/>
    <x v="39"/>
    <x v="1"/>
    <x v="33"/>
    <x v="16"/>
    <x v="26"/>
    <x v="25"/>
    <x v="34"/>
    <x v="19"/>
    <x v="17"/>
    <x v="0"/>
    <x v="49"/>
    <x v="100"/>
    <s v="supplier@gmail.com"/>
  </r>
  <r>
    <x v="3252"/>
    <x v="3252"/>
    <x v="106"/>
    <x v="1"/>
    <x v="38"/>
    <x v="104"/>
    <x v="21"/>
    <x v="135"/>
    <x v="22"/>
    <x v="28"/>
    <x v="18"/>
    <x v="0"/>
    <x v="938"/>
    <x v="181"/>
    <s v="supplier@gmail.com"/>
  </r>
  <r>
    <x v="3253"/>
    <x v="3253"/>
    <x v="8"/>
    <x v="1"/>
    <x v="10"/>
    <x v="36"/>
    <x v="29"/>
    <x v="13"/>
    <x v="67"/>
    <x v="29"/>
    <x v="28"/>
    <x v="0"/>
    <x v="414"/>
    <x v="168"/>
    <s v="supplier@gmail.com"/>
  </r>
  <r>
    <x v="3254"/>
    <x v="3254"/>
    <x v="106"/>
    <x v="1"/>
    <x v="38"/>
    <x v="104"/>
    <x v="21"/>
    <x v="135"/>
    <x v="22"/>
    <x v="28"/>
    <x v="18"/>
    <x v="0"/>
    <x v="65"/>
    <x v="106"/>
    <s v="supplier@gmail.com"/>
  </r>
  <r>
    <x v="3255"/>
    <x v="3255"/>
    <x v="32"/>
    <x v="32"/>
    <x v="30"/>
    <x v="16"/>
    <x v="17"/>
    <x v="30"/>
    <x v="31"/>
    <x v="19"/>
    <x v="17"/>
    <x v="0"/>
    <x v="595"/>
    <x v="81"/>
    <s v="supplier@gmail.com"/>
  </r>
  <r>
    <x v="3256"/>
    <x v="3256"/>
    <x v="21"/>
    <x v="31"/>
    <x v="29"/>
    <x v="101"/>
    <x v="384"/>
    <x v="381"/>
    <x v="142"/>
    <x v="28"/>
    <x v="29"/>
    <x v="0"/>
    <x v="419"/>
    <x v="125"/>
    <s v="supplier@gmail.com"/>
  </r>
  <r>
    <x v="3257"/>
    <x v="3257"/>
    <x v="30"/>
    <x v="1"/>
    <x v="6"/>
    <x v="33"/>
    <x v="32"/>
    <x v="26"/>
    <x v="18"/>
    <x v="25"/>
    <x v="26"/>
    <x v="0"/>
    <x v="939"/>
    <x v="98"/>
    <s v="supplier@gmail.com"/>
  </r>
  <r>
    <x v="3258"/>
    <x v="3258"/>
    <x v="32"/>
    <x v="125"/>
    <x v="33"/>
    <x v="6"/>
    <x v="8"/>
    <x v="13"/>
    <x v="41"/>
    <x v="36"/>
    <x v="81"/>
    <x v="0"/>
    <x v="940"/>
    <x v="14"/>
    <s v="supplier@gmail.com"/>
  </r>
  <r>
    <x v="3259"/>
    <x v="3259"/>
    <x v="18"/>
    <x v="1"/>
    <x v="16"/>
    <x v="19"/>
    <x v="17"/>
    <x v="18"/>
    <x v="17"/>
    <x v="19"/>
    <x v="17"/>
    <x v="0"/>
    <x v="941"/>
    <x v="43"/>
    <s v="supplier@gmail.com"/>
  </r>
  <r>
    <x v="3260"/>
    <x v="3260"/>
    <x v="4"/>
    <x v="1"/>
    <x v="4"/>
    <x v="1"/>
    <x v="12"/>
    <x v="8"/>
    <x v="8"/>
    <x v="12"/>
    <x v="8"/>
    <x v="0"/>
    <x v="942"/>
    <x v="133"/>
    <s v="supplier@gmail.com"/>
  </r>
  <r>
    <x v="3261"/>
    <x v="3261"/>
    <x v="4"/>
    <x v="33"/>
    <x v="15"/>
    <x v="33"/>
    <x v="32"/>
    <x v="26"/>
    <x v="26"/>
    <x v="12"/>
    <x v="8"/>
    <x v="0"/>
    <x v="194"/>
    <x v="76"/>
    <s v="supplier@gmail.com"/>
  </r>
  <r>
    <x v="3262"/>
    <x v="3262"/>
    <x v="0"/>
    <x v="0"/>
    <x v="30"/>
    <x v="31"/>
    <x v="26"/>
    <x v="113"/>
    <x v="0"/>
    <x v="26"/>
    <x v="27"/>
    <x v="0"/>
    <x v="930"/>
    <x v="169"/>
    <s v="supplier@gmail.com"/>
  </r>
  <r>
    <x v="3263"/>
    <x v="3263"/>
    <x v="175"/>
    <x v="4"/>
    <x v="6"/>
    <x v="34"/>
    <x v="139"/>
    <x v="9"/>
    <x v="40"/>
    <x v="29"/>
    <x v="120"/>
    <x v="0"/>
    <x v="943"/>
    <x v="97"/>
    <s v="supplier@gmail.com"/>
  </r>
  <r>
    <x v="3264"/>
    <x v="3264"/>
    <x v="4"/>
    <x v="1"/>
    <x v="4"/>
    <x v="1"/>
    <x v="12"/>
    <x v="8"/>
    <x v="8"/>
    <x v="12"/>
    <x v="8"/>
    <x v="0"/>
    <x v="918"/>
    <x v="84"/>
    <s v="supplier@gmail.com"/>
  </r>
  <r>
    <x v="3265"/>
    <x v="3265"/>
    <x v="175"/>
    <x v="4"/>
    <x v="6"/>
    <x v="34"/>
    <x v="139"/>
    <x v="9"/>
    <x v="40"/>
    <x v="29"/>
    <x v="120"/>
    <x v="0"/>
    <x v="944"/>
    <x v="75"/>
    <s v="supplier@gmail.com"/>
  </r>
  <r>
    <x v="3266"/>
    <x v="3266"/>
    <x v="29"/>
    <x v="34"/>
    <x v="12"/>
    <x v="10"/>
    <x v="5"/>
    <x v="5"/>
    <x v="13"/>
    <x v="8"/>
    <x v="29"/>
    <x v="0"/>
    <x v="414"/>
    <x v="123"/>
    <s v="supplier@gmail.com"/>
  </r>
  <r>
    <x v="3267"/>
    <x v="3267"/>
    <x v="7"/>
    <x v="8"/>
    <x v="38"/>
    <x v="36"/>
    <x v="8"/>
    <x v="13"/>
    <x v="67"/>
    <x v="65"/>
    <x v="74"/>
    <x v="0"/>
    <x v="147"/>
    <x v="52"/>
    <s v="supplier@gmail.com"/>
  </r>
  <r>
    <x v="3268"/>
    <x v="3268"/>
    <x v="7"/>
    <x v="8"/>
    <x v="38"/>
    <x v="36"/>
    <x v="8"/>
    <x v="13"/>
    <x v="67"/>
    <x v="65"/>
    <x v="74"/>
    <x v="0"/>
    <x v="1"/>
    <x v="13"/>
    <s v="supplier@gmail.com"/>
  </r>
  <r>
    <x v="3269"/>
    <x v="3269"/>
    <x v="4"/>
    <x v="1"/>
    <x v="4"/>
    <x v="1"/>
    <x v="12"/>
    <x v="8"/>
    <x v="8"/>
    <x v="12"/>
    <x v="8"/>
    <x v="0"/>
    <x v="945"/>
    <x v="169"/>
    <s v="supplier@gmail.com"/>
  </r>
  <r>
    <x v="3270"/>
    <x v="3270"/>
    <x v="7"/>
    <x v="8"/>
    <x v="38"/>
    <x v="36"/>
    <x v="8"/>
    <x v="13"/>
    <x v="67"/>
    <x v="65"/>
    <x v="74"/>
    <x v="0"/>
    <x v="1"/>
    <x v="66"/>
    <s v="supplier@gmail.com"/>
  </r>
  <r>
    <x v="3271"/>
    <x v="3271"/>
    <x v="100"/>
    <x v="44"/>
    <x v="98"/>
    <x v="104"/>
    <x v="12"/>
    <x v="8"/>
    <x v="8"/>
    <x v="12"/>
    <x v="8"/>
    <x v="0"/>
    <x v="1"/>
    <x v="12"/>
    <s v="supplier@gmail.com"/>
  </r>
  <r>
    <x v="3272"/>
    <x v="3272"/>
    <x v="28"/>
    <x v="3"/>
    <x v="190"/>
    <x v="193"/>
    <x v="12"/>
    <x v="8"/>
    <x v="8"/>
    <x v="12"/>
    <x v="8"/>
    <x v="0"/>
    <x v="1"/>
    <x v="123"/>
    <s v="supplier@gmail.com"/>
  </r>
  <r>
    <x v="3273"/>
    <x v="3273"/>
    <x v="4"/>
    <x v="86"/>
    <x v="4"/>
    <x v="1"/>
    <x v="12"/>
    <x v="8"/>
    <x v="8"/>
    <x v="12"/>
    <x v="8"/>
    <x v="0"/>
    <x v="1"/>
    <x v="87"/>
    <s v="supplier@gmail.com"/>
  </r>
  <r>
    <x v="3274"/>
    <x v="3274"/>
    <x v="101"/>
    <x v="110"/>
    <x v="0"/>
    <x v="0"/>
    <x v="12"/>
    <x v="8"/>
    <x v="8"/>
    <x v="12"/>
    <x v="8"/>
    <x v="0"/>
    <x v="789"/>
    <x v="44"/>
    <s v="supplier@gmail.com"/>
  </r>
  <r>
    <x v="3275"/>
    <x v="3275"/>
    <x v="93"/>
    <x v="96"/>
    <x v="104"/>
    <x v="33"/>
    <x v="12"/>
    <x v="8"/>
    <x v="8"/>
    <x v="12"/>
    <x v="8"/>
    <x v="0"/>
    <x v="946"/>
    <x v="121"/>
    <s v="supplier@gmail.com"/>
  </r>
  <r>
    <x v="3276"/>
    <x v="3276"/>
    <x v="4"/>
    <x v="1"/>
    <x v="4"/>
    <x v="15"/>
    <x v="27"/>
    <x v="16"/>
    <x v="8"/>
    <x v="19"/>
    <x v="17"/>
    <x v="0"/>
    <x v="947"/>
    <x v="137"/>
    <s v="supplier@gmail.com"/>
  </r>
  <r>
    <x v="3277"/>
    <x v="3277"/>
    <x v="4"/>
    <x v="1"/>
    <x v="4"/>
    <x v="17"/>
    <x v="30"/>
    <x v="18"/>
    <x v="8"/>
    <x v="32"/>
    <x v="23"/>
    <x v="0"/>
    <x v="1"/>
    <x v="8"/>
    <s v="supplier@gmail.com"/>
  </r>
  <r>
    <x v="3278"/>
    <x v="3278"/>
    <x v="4"/>
    <x v="1"/>
    <x v="4"/>
    <x v="1"/>
    <x v="12"/>
    <x v="8"/>
    <x v="8"/>
    <x v="12"/>
    <x v="8"/>
    <x v="0"/>
    <x v="1"/>
    <x v="109"/>
    <s v="supplier@gmail.com"/>
  </r>
  <r>
    <x v="3279"/>
    <x v="3279"/>
    <x v="4"/>
    <x v="1"/>
    <x v="4"/>
    <x v="1"/>
    <x v="12"/>
    <x v="8"/>
    <x v="8"/>
    <x v="12"/>
    <x v="8"/>
    <x v="0"/>
    <x v="1"/>
    <x v="163"/>
    <s v="supplier@gmail.com"/>
  </r>
  <r>
    <x v="3280"/>
    <x v="3280"/>
    <x v="4"/>
    <x v="1"/>
    <x v="4"/>
    <x v="1"/>
    <x v="12"/>
    <x v="8"/>
    <x v="8"/>
    <x v="12"/>
    <x v="8"/>
    <x v="0"/>
    <x v="503"/>
    <x v="151"/>
    <s v="supplier@gmail.com"/>
  </r>
  <r>
    <x v="3281"/>
    <x v="3281"/>
    <x v="42"/>
    <x v="7"/>
    <x v="10"/>
    <x v="8"/>
    <x v="29"/>
    <x v="12"/>
    <x v="12"/>
    <x v="13"/>
    <x v="12"/>
    <x v="0"/>
    <x v="619"/>
    <x v="58"/>
    <s v="supplier@gmail.com"/>
  </r>
  <r>
    <x v="3282"/>
    <x v="3282"/>
    <x v="18"/>
    <x v="1"/>
    <x v="16"/>
    <x v="19"/>
    <x v="17"/>
    <x v="18"/>
    <x v="17"/>
    <x v="19"/>
    <x v="17"/>
    <x v="0"/>
    <x v="606"/>
    <x v="33"/>
    <s v="supplier@gmail.com"/>
  </r>
  <r>
    <x v="3283"/>
    <x v="3283"/>
    <x v="318"/>
    <x v="9"/>
    <x v="6"/>
    <x v="104"/>
    <x v="75"/>
    <x v="8"/>
    <x v="8"/>
    <x v="12"/>
    <x v="8"/>
    <x v="0"/>
    <x v="948"/>
    <x v="151"/>
    <s v="supplier@gmail.com"/>
  </r>
  <r>
    <x v="3284"/>
    <x v="3284"/>
    <x v="101"/>
    <x v="108"/>
    <x v="15"/>
    <x v="15"/>
    <x v="25"/>
    <x v="8"/>
    <x v="8"/>
    <x v="12"/>
    <x v="8"/>
    <x v="0"/>
    <x v="427"/>
    <x v="22"/>
    <s v="supplier@gmail.com"/>
  </r>
  <r>
    <x v="3285"/>
    <x v="3285"/>
    <x v="16"/>
    <x v="19"/>
    <x v="70"/>
    <x v="17"/>
    <x v="30"/>
    <x v="8"/>
    <x v="8"/>
    <x v="12"/>
    <x v="8"/>
    <x v="0"/>
    <x v="351"/>
    <x v="102"/>
    <s v="supplier@gmail.com"/>
  </r>
  <r>
    <x v="3286"/>
    <x v="3286"/>
    <x v="44"/>
    <x v="1"/>
    <x v="4"/>
    <x v="1"/>
    <x v="12"/>
    <x v="8"/>
    <x v="8"/>
    <x v="12"/>
    <x v="8"/>
    <x v="0"/>
    <x v="548"/>
    <x v="77"/>
    <s v="supplier@gmail.com"/>
  </r>
  <r>
    <x v="3287"/>
    <x v="3287"/>
    <x v="106"/>
    <x v="107"/>
    <x v="183"/>
    <x v="424"/>
    <x v="44"/>
    <x v="22"/>
    <x v="22"/>
    <x v="31"/>
    <x v="21"/>
    <x v="0"/>
    <x v="338"/>
    <x v="178"/>
    <s v="supplier@gmail.com"/>
  </r>
  <r>
    <x v="3288"/>
    <x v="3288"/>
    <x v="4"/>
    <x v="1"/>
    <x v="4"/>
    <x v="1"/>
    <x v="12"/>
    <x v="8"/>
    <x v="8"/>
    <x v="12"/>
    <x v="8"/>
    <x v="0"/>
    <x v="949"/>
    <x v="187"/>
    <s v="supplier@gmail.com"/>
  </r>
  <r>
    <x v="3289"/>
    <x v="3289"/>
    <x v="27"/>
    <x v="44"/>
    <x v="10"/>
    <x v="8"/>
    <x v="21"/>
    <x v="12"/>
    <x v="9"/>
    <x v="1"/>
    <x v="9"/>
    <x v="0"/>
    <x v="950"/>
    <x v="92"/>
    <s v="supplier@gmail.com"/>
  </r>
  <r>
    <x v="3290"/>
    <x v="3290"/>
    <x v="4"/>
    <x v="1"/>
    <x v="4"/>
    <x v="159"/>
    <x v="12"/>
    <x v="70"/>
    <x v="8"/>
    <x v="12"/>
    <x v="8"/>
    <x v="0"/>
    <x v="1"/>
    <x v="77"/>
    <s v="supplier@gmail.com"/>
  </r>
  <r>
    <x v="3291"/>
    <x v="3291"/>
    <x v="4"/>
    <x v="1"/>
    <x v="4"/>
    <x v="1"/>
    <x v="12"/>
    <x v="8"/>
    <x v="8"/>
    <x v="12"/>
    <x v="8"/>
    <x v="0"/>
    <x v="492"/>
    <x v="157"/>
    <s v="supplier@gmail.com"/>
  </r>
  <r>
    <x v="3292"/>
    <x v="3292"/>
    <x v="4"/>
    <x v="1"/>
    <x v="4"/>
    <x v="1"/>
    <x v="12"/>
    <x v="8"/>
    <x v="8"/>
    <x v="12"/>
    <x v="8"/>
    <x v="0"/>
    <x v="22"/>
    <x v="49"/>
    <s v="supplier@gmail.com"/>
  </r>
  <r>
    <x v="3293"/>
    <x v="3293"/>
    <x v="42"/>
    <x v="1"/>
    <x v="4"/>
    <x v="1"/>
    <x v="12"/>
    <x v="12"/>
    <x v="8"/>
    <x v="12"/>
    <x v="8"/>
    <x v="0"/>
    <x v="1"/>
    <x v="125"/>
    <s v="supplier@gmail.com"/>
  </r>
  <r>
    <x v="3294"/>
    <x v="3294"/>
    <x v="4"/>
    <x v="1"/>
    <x v="4"/>
    <x v="1"/>
    <x v="12"/>
    <x v="382"/>
    <x v="8"/>
    <x v="12"/>
    <x v="8"/>
    <x v="0"/>
    <x v="1"/>
    <x v="6"/>
    <s v="supplier@gmail.com"/>
  </r>
  <r>
    <x v="3295"/>
    <x v="3295"/>
    <x v="4"/>
    <x v="1"/>
    <x v="4"/>
    <x v="1"/>
    <x v="12"/>
    <x v="383"/>
    <x v="8"/>
    <x v="12"/>
    <x v="8"/>
    <x v="0"/>
    <x v="196"/>
    <x v="127"/>
    <s v="supplier@gmail.com"/>
  </r>
  <r>
    <x v="3296"/>
    <x v="3296"/>
    <x v="4"/>
    <x v="1"/>
    <x v="4"/>
    <x v="1"/>
    <x v="12"/>
    <x v="8"/>
    <x v="8"/>
    <x v="12"/>
    <x v="8"/>
    <x v="0"/>
    <x v="515"/>
    <x v="154"/>
    <s v="supplier@gmail.com"/>
  </r>
  <r>
    <x v="3297"/>
    <x v="3297"/>
    <x v="4"/>
    <x v="1"/>
    <x v="4"/>
    <x v="1"/>
    <x v="12"/>
    <x v="8"/>
    <x v="8"/>
    <x v="12"/>
    <x v="8"/>
    <x v="0"/>
    <x v="33"/>
    <x v="71"/>
    <s v="supplier@gmail.com"/>
  </r>
  <r>
    <x v="3298"/>
    <x v="3298"/>
    <x v="4"/>
    <x v="1"/>
    <x v="4"/>
    <x v="1"/>
    <x v="12"/>
    <x v="8"/>
    <x v="8"/>
    <x v="12"/>
    <x v="8"/>
    <x v="0"/>
    <x v="1"/>
    <x v="66"/>
    <s v="supplier@gmail.com"/>
  </r>
  <r>
    <x v="3299"/>
    <x v="3299"/>
    <x v="4"/>
    <x v="1"/>
    <x v="4"/>
    <x v="1"/>
    <x v="12"/>
    <x v="8"/>
    <x v="8"/>
    <x v="12"/>
    <x v="8"/>
    <x v="0"/>
    <x v="1"/>
    <x v="121"/>
    <s v="supplier@gmail.com"/>
  </r>
  <r>
    <x v="3300"/>
    <x v="3300"/>
    <x v="4"/>
    <x v="1"/>
    <x v="4"/>
    <x v="1"/>
    <x v="12"/>
    <x v="8"/>
    <x v="8"/>
    <x v="12"/>
    <x v="8"/>
    <x v="0"/>
    <x v="951"/>
    <x v="35"/>
    <s v="supplier@gmail.com"/>
  </r>
  <r>
    <x v="3301"/>
    <x v="3301"/>
    <x v="4"/>
    <x v="1"/>
    <x v="4"/>
    <x v="1"/>
    <x v="12"/>
    <x v="8"/>
    <x v="8"/>
    <x v="12"/>
    <x v="8"/>
    <x v="0"/>
    <x v="1"/>
    <x v="22"/>
    <s v="supplier@gmail.com"/>
  </r>
  <r>
    <x v="3302"/>
    <x v="3302"/>
    <x v="4"/>
    <x v="1"/>
    <x v="4"/>
    <x v="1"/>
    <x v="12"/>
    <x v="8"/>
    <x v="8"/>
    <x v="12"/>
    <x v="8"/>
    <x v="0"/>
    <x v="952"/>
    <x v="114"/>
    <s v="supplier@gmail.com"/>
  </r>
  <r>
    <x v="3303"/>
    <x v="3303"/>
    <x v="40"/>
    <x v="255"/>
    <x v="18"/>
    <x v="89"/>
    <x v="420"/>
    <x v="158"/>
    <x v="39"/>
    <x v="262"/>
    <x v="143"/>
    <x v="0"/>
    <x v="4"/>
    <x v="150"/>
    <s v="supplier@gmail.com"/>
  </r>
  <r>
    <x v="3304"/>
    <x v="3304"/>
    <x v="12"/>
    <x v="37"/>
    <x v="39"/>
    <x v="40"/>
    <x v="37"/>
    <x v="90"/>
    <x v="74"/>
    <x v="34"/>
    <x v="35"/>
    <x v="0"/>
    <x v="252"/>
    <x v="33"/>
    <s v="supplier@gmail.com"/>
  </r>
  <r>
    <x v="3305"/>
    <x v="3305"/>
    <x v="40"/>
    <x v="255"/>
    <x v="370"/>
    <x v="285"/>
    <x v="337"/>
    <x v="313"/>
    <x v="147"/>
    <x v="60"/>
    <x v="211"/>
    <x v="0"/>
    <x v="872"/>
    <x v="94"/>
    <s v="supplier@gmail.com"/>
  </r>
  <r>
    <x v="3306"/>
    <x v="3306"/>
    <x v="4"/>
    <x v="1"/>
    <x v="6"/>
    <x v="34"/>
    <x v="18"/>
    <x v="33"/>
    <x v="40"/>
    <x v="29"/>
    <x v="28"/>
    <x v="0"/>
    <x v="372"/>
    <x v="129"/>
    <s v="supplier@gmail.com"/>
  </r>
  <r>
    <x v="3307"/>
    <x v="3307"/>
    <x v="143"/>
    <x v="1"/>
    <x v="63"/>
    <x v="63"/>
    <x v="37"/>
    <x v="90"/>
    <x v="74"/>
    <x v="2"/>
    <x v="35"/>
    <x v="0"/>
    <x v="860"/>
    <x v="20"/>
    <s v="supplier@gmail.com"/>
  </r>
  <r>
    <x v="3308"/>
    <x v="3308"/>
    <x v="143"/>
    <x v="369"/>
    <x v="355"/>
    <x v="80"/>
    <x v="43"/>
    <x v="45"/>
    <x v="62"/>
    <x v="35"/>
    <x v="34"/>
    <x v="0"/>
    <x v="74"/>
    <x v="144"/>
    <s v="supplier@gmail.com"/>
  </r>
  <r>
    <x v="3309"/>
    <x v="3309"/>
    <x v="4"/>
    <x v="1"/>
    <x v="6"/>
    <x v="34"/>
    <x v="18"/>
    <x v="33"/>
    <x v="40"/>
    <x v="29"/>
    <x v="28"/>
    <x v="0"/>
    <x v="1"/>
    <x v="130"/>
    <s v="supplier@gmail.com"/>
  </r>
  <r>
    <x v="3310"/>
    <x v="3310"/>
    <x v="4"/>
    <x v="1"/>
    <x v="4"/>
    <x v="1"/>
    <x v="12"/>
    <x v="8"/>
    <x v="8"/>
    <x v="12"/>
    <x v="8"/>
    <x v="0"/>
    <x v="953"/>
    <x v="178"/>
    <s v="supplier@gmail.com"/>
  </r>
  <r>
    <x v="3311"/>
    <x v="3311"/>
    <x v="436"/>
    <x v="370"/>
    <x v="128"/>
    <x v="466"/>
    <x v="421"/>
    <x v="384"/>
    <x v="372"/>
    <x v="375"/>
    <x v="34"/>
    <x v="0"/>
    <x v="1"/>
    <x v="193"/>
    <s v="supplier@gmail.com"/>
  </r>
  <r>
    <x v="3312"/>
    <x v="3312"/>
    <x v="0"/>
    <x v="1"/>
    <x v="4"/>
    <x v="1"/>
    <x v="12"/>
    <x v="8"/>
    <x v="8"/>
    <x v="12"/>
    <x v="8"/>
    <x v="0"/>
    <x v="105"/>
    <x v="126"/>
    <s v="supplier@gmail.com"/>
  </r>
  <r>
    <x v="3313"/>
    <x v="3313"/>
    <x v="437"/>
    <x v="371"/>
    <x v="460"/>
    <x v="467"/>
    <x v="422"/>
    <x v="385"/>
    <x v="373"/>
    <x v="376"/>
    <x v="348"/>
    <x v="0"/>
    <x v="1"/>
    <x v="61"/>
    <s v="supplier@gmail.com"/>
  </r>
  <r>
    <x v="3314"/>
    <x v="3314"/>
    <x v="4"/>
    <x v="1"/>
    <x v="4"/>
    <x v="1"/>
    <x v="12"/>
    <x v="8"/>
    <x v="8"/>
    <x v="12"/>
    <x v="8"/>
    <x v="0"/>
    <x v="1"/>
    <x v="95"/>
    <s v="supplier@gmail.com"/>
  </r>
  <r>
    <x v="3315"/>
    <x v="3315"/>
    <x v="4"/>
    <x v="1"/>
    <x v="4"/>
    <x v="1"/>
    <x v="423"/>
    <x v="8"/>
    <x v="8"/>
    <x v="12"/>
    <x v="8"/>
    <x v="0"/>
    <x v="107"/>
    <x v="183"/>
    <s v="supplier@gmail.com"/>
  </r>
  <r>
    <x v="3316"/>
    <x v="3316"/>
    <x v="4"/>
    <x v="1"/>
    <x v="4"/>
    <x v="15"/>
    <x v="12"/>
    <x v="8"/>
    <x v="8"/>
    <x v="12"/>
    <x v="8"/>
    <x v="0"/>
    <x v="1"/>
    <x v="162"/>
    <s v="supplier@gmail.com"/>
  </r>
  <r>
    <x v="3317"/>
    <x v="3317"/>
    <x v="4"/>
    <x v="1"/>
    <x v="4"/>
    <x v="192"/>
    <x v="12"/>
    <x v="32"/>
    <x v="8"/>
    <x v="12"/>
    <x v="8"/>
    <x v="0"/>
    <x v="1"/>
    <x v="40"/>
    <s v="supplier@gmail.com"/>
  </r>
  <r>
    <x v="3318"/>
    <x v="3318"/>
    <x v="42"/>
    <x v="16"/>
    <x v="12"/>
    <x v="36"/>
    <x v="36"/>
    <x v="108"/>
    <x v="40"/>
    <x v="13"/>
    <x v="71"/>
    <x v="0"/>
    <x v="954"/>
    <x v="144"/>
    <s v="supplier@gmail.com"/>
  </r>
  <r>
    <x v="3319"/>
    <x v="3319"/>
    <x v="32"/>
    <x v="19"/>
    <x v="33"/>
    <x v="16"/>
    <x v="38"/>
    <x v="8"/>
    <x v="0"/>
    <x v="43"/>
    <x v="8"/>
    <x v="0"/>
    <x v="955"/>
    <x v="42"/>
    <s v="supplier@gmail.com"/>
  </r>
  <r>
    <x v="3320"/>
    <x v="3320"/>
    <x v="438"/>
    <x v="372"/>
    <x v="461"/>
    <x v="468"/>
    <x v="424"/>
    <x v="386"/>
    <x v="374"/>
    <x v="377"/>
    <x v="349"/>
    <x v="0"/>
    <x v="1"/>
    <x v="178"/>
    <s v="supplier@gmail.com"/>
  </r>
  <r>
    <x v="3321"/>
    <x v="3321"/>
    <x v="400"/>
    <x v="1"/>
    <x v="462"/>
    <x v="469"/>
    <x v="425"/>
    <x v="8"/>
    <x v="27"/>
    <x v="378"/>
    <x v="8"/>
    <x v="0"/>
    <x v="358"/>
    <x v="171"/>
    <s v="supplier@gmail.com"/>
  </r>
  <r>
    <x v="3322"/>
    <x v="3322"/>
    <x v="4"/>
    <x v="1"/>
    <x v="4"/>
    <x v="16"/>
    <x v="12"/>
    <x v="0"/>
    <x v="8"/>
    <x v="12"/>
    <x v="8"/>
    <x v="0"/>
    <x v="414"/>
    <x v="46"/>
    <s v="supplier@gmail.com"/>
  </r>
  <r>
    <x v="3323"/>
    <x v="3323"/>
    <x v="4"/>
    <x v="1"/>
    <x v="12"/>
    <x v="1"/>
    <x v="12"/>
    <x v="8"/>
    <x v="8"/>
    <x v="12"/>
    <x v="13"/>
    <x v="0"/>
    <x v="787"/>
    <x v="172"/>
    <s v="supplier@gmail.com"/>
  </r>
  <r>
    <x v="3324"/>
    <x v="3324"/>
    <x v="42"/>
    <x v="304"/>
    <x v="75"/>
    <x v="4"/>
    <x v="14"/>
    <x v="308"/>
    <x v="3"/>
    <x v="34"/>
    <x v="68"/>
    <x v="0"/>
    <x v="108"/>
    <x v="102"/>
    <s v="supplier@gmail.com"/>
  </r>
  <r>
    <x v="3325"/>
    <x v="3325"/>
    <x v="439"/>
    <x v="158"/>
    <x v="463"/>
    <x v="98"/>
    <x v="37"/>
    <x v="8"/>
    <x v="8"/>
    <x v="316"/>
    <x v="8"/>
    <x v="0"/>
    <x v="255"/>
    <x v="97"/>
    <s v="supplier@gmail.com"/>
  </r>
  <r>
    <x v="3326"/>
    <x v="3326"/>
    <x v="9"/>
    <x v="373"/>
    <x v="464"/>
    <x v="153"/>
    <x v="10"/>
    <x v="387"/>
    <x v="85"/>
    <x v="369"/>
    <x v="14"/>
    <x v="0"/>
    <x v="192"/>
    <x v="145"/>
    <s v="supplier@gmail.com"/>
  </r>
  <r>
    <x v="3327"/>
    <x v="3327"/>
    <x v="0"/>
    <x v="1"/>
    <x v="17"/>
    <x v="15"/>
    <x v="0"/>
    <x v="8"/>
    <x v="8"/>
    <x v="12"/>
    <x v="8"/>
    <x v="0"/>
    <x v="118"/>
    <x v="53"/>
    <s v="supplier@gmail.com"/>
  </r>
  <r>
    <x v="3328"/>
    <x v="3328"/>
    <x v="440"/>
    <x v="374"/>
    <x v="465"/>
    <x v="470"/>
    <x v="426"/>
    <x v="388"/>
    <x v="39"/>
    <x v="379"/>
    <x v="292"/>
    <x v="0"/>
    <x v="956"/>
    <x v="103"/>
    <s v="supplier@gmail.com"/>
  </r>
  <r>
    <x v="3329"/>
    <x v="3329"/>
    <x v="441"/>
    <x v="375"/>
    <x v="466"/>
    <x v="471"/>
    <x v="427"/>
    <x v="128"/>
    <x v="14"/>
    <x v="380"/>
    <x v="11"/>
    <x v="0"/>
    <x v="1"/>
    <x v="143"/>
    <s v="supplier@gmail.com"/>
  </r>
  <r>
    <x v="3330"/>
    <x v="3330"/>
    <x v="4"/>
    <x v="1"/>
    <x v="16"/>
    <x v="1"/>
    <x v="12"/>
    <x v="8"/>
    <x v="8"/>
    <x v="12"/>
    <x v="8"/>
    <x v="0"/>
    <x v="803"/>
    <x v="94"/>
    <s v="supplier@gmail.com"/>
  </r>
  <r>
    <x v="3331"/>
    <x v="3331"/>
    <x v="442"/>
    <x v="376"/>
    <x v="467"/>
    <x v="472"/>
    <x v="428"/>
    <x v="389"/>
    <x v="347"/>
    <x v="381"/>
    <x v="350"/>
    <x v="0"/>
    <x v="957"/>
    <x v="116"/>
    <s v="supplier@gmail.com"/>
  </r>
  <r>
    <x v="3332"/>
    <x v="3332"/>
    <x v="4"/>
    <x v="1"/>
    <x v="4"/>
    <x v="0"/>
    <x v="12"/>
    <x v="8"/>
    <x v="8"/>
    <x v="12"/>
    <x v="8"/>
    <x v="0"/>
    <x v="958"/>
    <x v="81"/>
    <s v="supplier@gmail.com"/>
  </r>
  <r>
    <x v="3333"/>
    <x v="3333"/>
    <x v="443"/>
    <x v="377"/>
    <x v="468"/>
    <x v="473"/>
    <x v="429"/>
    <x v="390"/>
    <x v="375"/>
    <x v="382"/>
    <x v="351"/>
    <x v="0"/>
    <x v="405"/>
    <x v="56"/>
    <s v="supplier@gmail.com"/>
  </r>
  <r>
    <x v="3334"/>
    <x v="3334"/>
    <x v="12"/>
    <x v="29"/>
    <x v="12"/>
    <x v="269"/>
    <x v="21"/>
    <x v="24"/>
    <x v="22"/>
    <x v="1"/>
    <x v="21"/>
    <x v="0"/>
    <x v="336"/>
    <x v="153"/>
    <s v="supplier@gmail.com"/>
  </r>
  <r>
    <x v="3335"/>
    <x v="3335"/>
    <x v="4"/>
    <x v="1"/>
    <x v="4"/>
    <x v="1"/>
    <x v="12"/>
    <x v="8"/>
    <x v="8"/>
    <x v="29"/>
    <x v="8"/>
    <x v="0"/>
    <x v="1"/>
    <x v="53"/>
    <s v="supplier@gmail.com"/>
  </r>
  <r>
    <x v="3336"/>
    <x v="3336"/>
    <x v="4"/>
    <x v="1"/>
    <x v="4"/>
    <x v="1"/>
    <x v="12"/>
    <x v="8"/>
    <x v="8"/>
    <x v="12"/>
    <x v="8"/>
    <x v="0"/>
    <x v="959"/>
    <x v="38"/>
    <s v="supplier@gmail.com"/>
  </r>
  <r>
    <x v="3337"/>
    <x v="3337"/>
    <x v="4"/>
    <x v="1"/>
    <x v="4"/>
    <x v="1"/>
    <x v="12"/>
    <x v="8"/>
    <x v="8"/>
    <x v="12"/>
    <x v="8"/>
    <x v="0"/>
    <x v="489"/>
    <x v="125"/>
    <s v="supplier@gmail.com"/>
  </r>
  <r>
    <x v="3338"/>
    <x v="3338"/>
    <x v="411"/>
    <x v="351"/>
    <x v="23"/>
    <x v="438"/>
    <x v="66"/>
    <x v="331"/>
    <x v="347"/>
    <x v="345"/>
    <x v="78"/>
    <x v="0"/>
    <x v="1"/>
    <x v="162"/>
    <s v="supplier@gmail.com"/>
  </r>
  <r>
    <x v="3339"/>
    <x v="3339"/>
    <x v="441"/>
    <x v="378"/>
    <x v="469"/>
    <x v="474"/>
    <x v="430"/>
    <x v="21"/>
    <x v="376"/>
    <x v="383"/>
    <x v="270"/>
    <x v="0"/>
    <x v="92"/>
    <x v="81"/>
    <s v="supplier@gmail.com"/>
  </r>
  <r>
    <x v="3340"/>
    <x v="3340"/>
    <x v="4"/>
    <x v="1"/>
    <x v="42"/>
    <x v="19"/>
    <x v="12"/>
    <x v="8"/>
    <x v="8"/>
    <x v="26"/>
    <x v="8"/>
    <x v="0"/>
    <x v="132"/>
    <x v="188"/>
    <s v="supplier@gmail.com"/>
  </r>
  <r>
    <x v="3341"/>
    <x v="3341"/>
    <x v="44"/>
    <x v="0"/>
    <x v="457"/>
    <x v="34"/>
    <x v="25"/>
    <x v="0"/>
    <x v="27"/>
    <x v="26"/>
    <x v="0"/>
    <x v="0"/>
    <x v="1"/>
    <x v="43"/>
    <s v="supplier@gmail.com"/>
  </r>
  <r>
    <x v="3342"/>
    <x v="3342"/>
    <x v="10"/>
    <x v="8"/>
    <x v="11"/>
    <x v="10"/>
    <x v="14"/>
    <x v="14"/>
    <x v="67"/>
    <x v="8"/>
    <x v="53"/>
    <x v="0"/>
    <x v="683"/>
    <x v="67"/>
    <s v="supplier@gmail.com"/>
  </r>
  <r>
    <x v="3343"/>
    <x v="3343"/>
    <x v="4"/>
    <x v="1"/>
    <x v="4"/>
    <x v="1"/>
    <x v="12"/>
    <x v="8"/>
    <x v="8"/>
    <x v="12"/>
    <x v="8"/>
    <x v="0"/>
    <x v="960"/>
    <x v="10"/>
    <s v="supplier@gmail.com"/>
  </r>
  <r>
    <x v="3344"/>
    <x v="3344"/>
    <x v="4"/>
    <x v="1"/>
    <x v="4"/>
    <x v="1"/>
    <x v="12"/>
    <x v="8"/>
    <x v="8"/>
    <x v="12"/>
    <x v="8"/>
    <x v="0"/>
    <x v="327"/>
    <x v="14"/>
    <s v="supplier@gmail.com"/>
  </r>
  <r>
    <x v="3345"/>
    <x v="3345"/>
    <x v="27"/>
    <x v="8"/>
    <x v="104"/>
    <x v="154"/>
    <x v="97"/>
    <x v="20"/>
    <x v="40"/>
    <x v="90"/>
    <x v="109"/>
    <x v="0"/>
    <x v="961"/>
    <x v="139"/>
    <s v="supplier@gmail.com"/>
  </r>
  <r>
    <x v="3346"/>
    <x v="3346"/>
    <x v="92"/>
    <x v="37"/>
    <x v="309"/>
    <x v="5"/>
    <x v="431"/>
    <x v="322"/>
    <x v="13"/>
    <x v="34"/>
    <x v="61"/>
    <x v="0"/>
    <x v="1"/>
    <x v="162"/>
    <s v="supplier@gmail.com"/>
  </r>
  <r>
    <x v="3347"/>
    <x v="3347"/>
    <x v="4"/>
    <x v="1"/>
    <x v="4"/>
    <x v="1"/>
    <x v="12"/>
    <x v="8"/>
    <x v="6"/>
    <x v="12"/>
    <x v="8"/>
    <x v="0"/>
    <x v="1"/>
    <x v="195"/>
    <s v="supplier@gmail.com"/>
  </r>
  <r>
    <x v="3348"/>
    <x v="3348"/>
    <x v="4"/>
    <x v="1"/>
    <x v="4"/>
    <x v="1"/>
    <x v="12"/>
    <x v="8"/>
    <x v="8"/>
    <x v="12"/>
    <x v="8"/>
    <x v="0"/>
    <x v="962"/>
    <x v="104"/>
    <s v="supplier@gmail.com"/>
  </r>
  <r>
    <x v="3349"/>
    <x v="3349"/>
    <x v="4"/>
    <x v="1"/>
    <x v="4"/>
    <x v="1"/>
    <x v="12"/>
    <x v="8"/>
    <x v="8"/>
    <x v="12"/>
    <x v="8"/>
    <x v="0"/>
    <x v="1"/>
    <x v="145"/>
    <s v="supplier@gmail.com"/>
  </r>
  <r>
    <x v="3350"/>
    <x v="3350"/>
    <x v="4"/>
    <x v="1"/>
    <x v="6"/>
    <x v="8"/>
    <x v="12"/>
    <x v="8"/>
    <x v="8"/>
    <x v="13"/>
    <x v="8"/>
    <x v="0"/>
    <x v="963"/>
    <x v="0"/>
    <s v="supplier@gmail.com"/>
  </r>
  <r>
    <x v="3351"/>
    <x v="3351"/>
    <x v="444"/>
    <x v="379"/>
    <x v="470"/>
    <x v="475"/>
    <x v="335"/>
    <x v="391"/>
    <x v="377"/>
    <x v="384"/>
    <x v="352"/>
    <x v="0"/>
    <x v="1"/>
    <x v="48"/>
    <s v="supplier@gmail.com"/>
  </r>
  <r>
    <x v="3352"/>
    <x v="3352"/>
    <x v="4"/>
    <x v="1"/>
    <x v="8"/>
    <x v="1"/>
    <x v="13"/>
    <x v="10"/>
    <x v="8"/>
    <x v="12"/>
    <x v="8"/>
    <x v="0"/>
    <x v="964"/>
    <x v="42"/>
    <s v="supplier@gmail.com"/>
  </r>
  <r>
    <x v="3353"/>
    <x v="3353"/>
    <x v="445"/>
    <x v="380"/>
    <x v="471"/>
    <x v="476"/>
    <x v="432"/>
    <x v="392"/>
    <x v="378"/>
    <x v="385"/>
    <x v="353"/>
    <x v="0"/>
    <x v="965"/>
    <x v="137"/>
    <s v="supplier@gmail.com"/>
  </r>
  <r>
    <x v="3354"/>
    <x v="3354"/>
    <x v="27"/>
    <x v="107"/>
    <x v="7"/>
    <x v="8"/>
    <x v="89"/>
    <x v="31"/>
    <x v="159"/>
    <x v="386"/>
    <x v="26"/>
    <x v="0"/>
    <x v="966"/>
    <x v="27"/>
    <s v="supplier@gmail.com"/>
  </r>
  <r>
    <x v="3355"/>
    <x v="3355"/>
    <x v="4"/>
    <x v="1"/>
    <x v="4"/>
    <x v="1"/>
    <x v="12"/>
    <x v="8"/>
    <x v="8"/>
    <x v="12"/>
    <x v="8"/>
    <x v="0"/>
    <x v="967"/>
    <x v="35"/>
    <s v="supplier@gmail.com"/>
  </r>
  <r>
    <x v="3356"/>
    <x v="3356"/>
    <x v="4"/>
    <x v="1"/>
    <x v="4"/>
    <x v="1"/>
    <x v="12"/>
    <x v="8"/>
    <x v="8"/>
    <x v="12"/>
    <x v="8"/>
    <x v="0"/>
    <x v="968"/>
    <x v="91"/>
    <s v="supplier@gmail.com"/>
  </r>
  <r>
    <x v="3357"/>
    <x v="3357"/>
    <x v="324"/>
    <x v="381"/>
    <x v="472"/>
    <x v="477"/>
    <x v="433"/>
    <x v="285"/>
    <x v="271"/>
    <x v="387"/>
    <x v="354"/>
    <x v="0"/>
    <x v="387"/>
    <x v="13"/>
    <s v="supplier@gmail.com"/>
  </r>
  <r>
    <x v="3358"/>
    <x v="3358"/>
    <x v="446"/>
    <x v="382"/>
    <x v="473"/>
    <x v="478"/>
    <x v="434"/>
    <x v="393"/>
    <x v="379"/>
    <x v="388"/>
    <x v="355"/>
    <x v="0"/>
    <x v="560"/>
    <x v="44"/>
    <s v="supplier@gmail.com"/>
  </r>
  <r>
    <x v="3359"/>
    <x v="3359"/>
    <x v="4"/>
    <x v="1"/>
    <x v="4"/>
    <x v="1"/>
    <x v="12"/>
    <x v="39"/>
    <x v="8"/>
    <x v="12"/>
    <x v="28"/>
    <x v="0"/>
    <x v="1"/>
    <x v="170"/>
    <s v="supplier@gmail.com"/>
  </r>
  <r>
    <x v="3360"/>
    <x v="3360"/>
    <x v="447"/>
    <x v="383"/>
    <x v="474"/>
    <x v="479"/>
    <x v="435"/>
    <x v="394"/>
    <x v="380"/>
    <x v="389"/>
    <x v="356"/>
    <x v="0"/>
    <x v="969"/>
    <x v="18"/>
    <s v="supplier@gmail.com"/>
  </r>
  <r>
    <x v="3361"/>
    <x v="3361"/>
    <x v="448"/>
    <x v="384"/>
    <x v="475"/>
    <x v="480"/>
    <x v="436"/>
    <x v="395"/>
    <x v="381"/>
    <x v="390"/>
    <x v="357"/>
    <x v="0"/>
    <x v="1"/>
    <x v="38"/>
    <s v="supplier@gmail.com"/>
  </r>
  <r>
    <x v="3362"/>
    <x v="3362"/>
    <x v="0"/>
    <x v="1"/>
    <x v="4"/>
    <x v="1"/>
    <x v="12"/>
    <x v="8"/>
    <x v="8"/>
    <x v="12"/>
    <x v="8"/>
    <x v="0"/>
    <x v="1"/>
    <x v="94"/>
    <s v="supplier@gmail.com"/>
  </r>
  <r>
    <x v="3363"/>
    <x v="3363"/>
    <x v="4"/>
    <x v="37"/>
    <x v="4"/>
    <x v="1"/>
    <x v="14"/>
    <x v="8"/>
    <x v="8"/>
    <x v="12"/>
    <x v="8"/>
    <x v="0"/>
    <x v="970"/>
    <x v="153"/>
    <s v="supplier@gmail.com"/>
  </r>
  <r>
    <x v="3364"/>
    <x v="3364"/>
    <x v="449"/>
    <x v="385"/>
    <x v="476"/>
    <x v="481"/>
    <x v="437"/>
    <x v="396"/>
    <x v="382"/>
    <x v="391"/>
    <x v="358"/>
    <x v="0"/>
    <x v="351"/>
    <x v="168"/>
    <s v="supplier@gmail.com"/>
  </r>
  <r>
    <x v="3365"/>
    <x v="3365"/>
    <x v="450"/>
    <x v="386"/>
    <x v="477"/>
    <x v="482"/>
    <x v="438"/>
    <x v="397"/>
    <x v="383"/>
    <x v="392"/>
    <x v="359"/>
    <x v="0"/>
    <x v="1"/>
    <x v="164"/>
    <s v="supplier@gmail.com"/>
  </r>
  <r>
    <x v="3366"/>
    <x v="3366"/>
    <x v="451"/>
    <x v="387"/>
    <x v="478"/>
    <x v="483"/>
    <x v="413"/>
    <x v="64"/>
    <x v="367"/>
    <x v="12"/>
    <x v="59"/>
    <x v="0"/>
    <x v="1"/>
    <x v="112"/>
    <s v="supplier@gmail.com"/>
  </r>
  <r>
    <x v="3367"/>
    <x v="3367"/>
    <x v="4"/>
    <x v="1"/>
    <x v="4"/>
    <x v="1"/>
    <x v="12"/>
    <x v="8"/>
    <x v="8"/>
    <x v="12"/>
    <x v="8"/>
    <x v="0"/>
    <x v="1"/>
    <x v="87"/>
    <s v="supplier@gmail.com"/>
  </r>
  <r>
    <x v="3368"/>
    <x v="3368"/>
    <x v="4"/>
    <x v="1"/>
    <x v="4"/>
    <x v="1"/>
    <x v="12"/>
    <x v="8"/>
    <x v="8"/>
    <x v="12"/>
    <x v="8"/>
    <x v="0"/>
    <x v="503"/>
    <x v="172"/>
    <s v="supplier@gmail.com"/>
  </r>
  <r>
    <x v="3369"/>
    <x v="3369"/>
    <x v="12"/>
    <x v="258"/>
    <x v="14"/>
    <x v="14"/>
    <x v="29"/>
    <x v="246"/>
    <x v="13"/>
    <x v="13"/>
    <x v="12"/>
    <x v="0"/>
    <x v="1"/>
    <x v="132"/>
    <s v="supplier@gmail.com"/>
  </r>
  <r>
    <x v="3370"/>
    <x v="3370"/>
    <x v="452"/>
    <x v="388"/>
    <x v="479"/>
    <x v="484"/>
    <x v="128"/>
    <x v="398"/>
    <x v="384"/>
    <x v="393"/>
    <x v="225"/>
    <x v="0"/>
    <x v="1"/>
    <x v="144"/>
    <s v="supplier@gmail.com"/>
  </r>
  <r>
    <x v="3371"/>
    <x v="3371"/>
    <x v="453"/>
    <x v="389"/>
    <x v="480"/>
    <x v="485"/>
    <x v="439"/>
    <x v="399"/>
    <x v="385"/>
    <x v="394"/>
    <x v="360"/>
    <x v="0"/>
    <x v="351"/>
    <x v="120"/>
    <s v="supplier@gmail.com"/>
  </r>
  <r>
    <x v="3372"/>
    <x v="3372"/>
    <x v="454"/>
    <x v="365"/>
    <x v="116"/>
    <x v="486"/>
    <x v="440"/>
    <x v="136"/>
    <x v="386"/>
    <x v="10"/>
    <x v="53"/>
    <x v="0"/>
    <x v="971"/>
    <x v="100"/>
    <s v="supplier@gmail.com"/>
  </r>
  <r>
    <x v="3373"/>
    <x v="3373"/>
    <x v="455"/>
    <x v="164"/>
    <x v="481"/>
    <x v="487"/>
    <x v="76"/>
    <x v="400"/>
    <x v="387"/>
    <x v="74"/>
    <x v="68"/>
    <x v="0"/>
    <x v="1"/>
    <x v="183"/>
    <s v="supplier@gmail.com"/>
  </r>
  <r>
    <x v="3374"/>
    <x v="3374"/>
    <x v="456"/>
    <x v="390"/>
    <x v="482"/>
    <x v="488"/>
    <x v="338"/>
    <x v="305"/>
    <x v="14"/>
    <x v="395"/>
    <x v="139"/>
    <x v="0"/>
    <x v="1"/>
    <x v="115"/>
    <s v="supplier@gmail.com"/>
  </r>
  <r>
    <x v="3375"/>
    <x v="3375"/>
    <x v="4"/>
    <x v="1"/>
    <x v="4"/>
    <x v="1"/>
    <x v="12"/>
    <x v="8"/>
    <x v="8"/>
    <x v="12"/>
    <x v="8"/>
    <x v="0"/>
    <x v="1"/>
    <x v="126"/>
    <s v="supplier@gmail.com"/>
  </r>
  <r>
    <x v="3376"/>
    <x v="3376"/>
    <x v="20"/>
    <x v="1"/>
    <x v="4"/>
    <x v="1"/>
    <x v="12"/>
    <x v="8"/>
    <x v="8"/>
    <x v="12"/>
    <x v="8"/>
    <x v="0"/>
    <x v="61"/>
    <x v="80"/>
    <s v="supplier@gmail.com"/>
  </r>
  <r>
    <x v="3377"/>
    <x v="3377"/>
    <x v="457"/>
    <x v="391"/>
    <x v="483"/>
    <x v="489"/>
    <x v="441"/>
    <x v="401"/>
    <x v="388"/>
    <x v="396"/>
    <x v="361"/>
    <x v="0"/>
    <x v="107"/>
    <x v="100"/>
    <s v="supplier@gmail.com"/>
  </r>
  <r>
    <x v="3378"/>
    <x v="3378"/>
    <x v="18"/>
    <x v="17"/>
    <x v="42"/>
    <x v="19"/>
    <x v="30"/>
    <x v="25"/>
    <x v="40"/>
    <x v="61"/>
    <x v="8"/>
    <x v="0"/>
    <x v="972"/>
    <x v="159"/>
    <s v="supplier@gmail.com"/>
  </r>
  <r>
    <x v="3379"/>
    <x v="3379"/>
    <x v="119"/>
    <x v="16"/>
    <x v="94"/>
    <x v="35"/>
    <x v="138"/>
    <x v="122"/>
    <x v="34"/>
    <x v="227"/>
    <x v="91"/>
    <x v="0"/>
    <x v="1"/>
    <x v="33"/>
    <s v="supplier@gmail.com"/>
  </r>
  <r>
    <x v="3380"/>
    <x v="3380"/>
    <x v="458"/>
    <x v="392"/>
    <x v="484"/>
    <x v="490"/>
    <x v="442"/>
    <x v="402"/>
    <x v="389"/>
    <x v="397"/>
    <x v="362"/>
    <x v="0"/>
    <x v="351"/>
    <x v="72"/>
    <s v="supplier@gmail.com"/>
  </r>
  <r>
    <x v="3381"/>
    <x v="3381"/>
    <x v="4"/>
    <x v="1"/>
    <x v="123"/>
    <x v="5"/>
    <x v="12"/>
    <x v="8"/>
    <x v="8"/>
    <x v="12"/>
    <x v="8"/>
    <x v="0"/>
    <x v="46"/>
    <x v="102"/>
    <s v="supplier@gmail.com"/>
  </r>
  <r>
    <x v="3382"/>
    <x v="3382"/>
    <x v="4"/>
    <x v="86"/>
    <x v="4"/>
    <x v="1"/>
    <x v="12"/>
    <x v="8"/>
    <x v="8"/>
    <x v="12"/>
    <x v="8"/>
    <x v="0"/>
    <x v="1"/>
    <x v="57"/>
    <s v="supplier@gmail.com"/>
  </r>
  <r>
    <x v="3383"/>
    <x v="3383"/>
    <x v="93"/>
    <x v="96"/>
    <x v="104"/>
    <x v="33"/>
    <x v="12"/>
    <x v="8"/>
    <x v="8"/>
    <x v="12"/>
    <x v="8"/>
    <x v="0"/>
    <x v="556"/>
    <x v="8"/>
    <s v="supplier@gmail.com"/>
  </r>
  <r>
    <x v="3384"/>
    <x v="3384"/>
    <x v="44"/>
    <x v="1"/>
    <x v="15"/>
    <x v="20"/>
    <x v="135"/>
    <x v="223"/>
    <x v="17"/>
    <x v="90"/>
    <x v="97"/>
    <x v="0"/>
    <x v="405"/>
    <x v="141"/>
    <s v="supplier@gmail.com"/>
  </r>
  <r>
    <x v="3385"/>
    <x v="3385"/>
    <x v="4"/>
    <x v="1"/>
    <x v="4"/>
    <x v="1"/>
    <x v="12"/>
    <x v="8"/>
    <x v="8"/>
    <x v="12"/>
    <x v="8"/>
    <x v="0"/>
    <x v="973"/>
    <x v="147"/>
    <s v="supplier@gmail.com"/>
  </r>
  <r>
    <x v="3386"/>
    <x v="3386"/>
    <x v="30"/>
    <x v="38"/>
    <x v="129"/>
    <x v="154"/>
    <x v="138"/>
    <x v="85"/>
    <x v="27"/>
    <x v="32"/>
    <x v="23"/>
    <x v="0"/>
    <x v="974"/>
    <x v="36"/>
    <s v="supplier@gmail.com"/>
  </r>
  <r>
    <x v="3387"/>
    <x v="3387"/>
    <x v="4"/>
    <x v="1"/>
    <x v="4"/>
    <x v="1"/>
    <x v="12"/>
    <x v="8"/>
    <x v="8"/>
    <x v="12"/>
    <x v="8"/>
    <x v="0"/>
    <x v="975"/>
    <x v="108"/>
    <s v="supplier@gmail.com"/>
  </r>
  <r>
    <x v="3388"/>
    <x v="3388"/>
    <x v="459"/>
    <x v="393"/>
    <x v="485"/>
    <x v="491"/>
    <x v="443"/>
    <x v="403"/>
    <x v="390"/>
    <x v="398"/>
    <x v="363"/>
    <x v="0"/>
    <x v="976"/>
    <x v="31"/>
    <s v="supplier@gmail.com"/>
  </r>
  <r>
    <x v="3389"/>
    <x v="3389"/>
    <x v="460"/>
    <x v="394"/>
    <x v="486"/>
    <x v="492"/>
    <x v="70"/>
    <x v="19"/>
    <x v="17"/>
    <x v="25"/>
    <x v="26"/>
    <x v="0"/>
    <x v="977"/>
    <x v="141"/>
    <s v="supplier@gmail.com"/>
  </r>
  <r>
    <x v="3390"/>
    <x v="3390"/>
    <x v="4"/>
    <x v="1"/>
    <x v="4"/>
    <x v="1"/>
    <x v="12"/>
    <x v="8"/>
    <x v="8"/>
    <x v="12"/>
    <x v="8"/>
    <x v="0"/>
    <x v="978"/>
    <x v="126"/>
    <s v="supplier@gmail.com"/>
  </r>
  <r>
    <x v="3391"/>
    <x v="3391"/>
    <x v="461"/>
    <x v="1"/>
    <x v="56"/>
    <x v="325"/>
    <x v="299"/>
    <x v="8"/>
    <x v="8"/>
    <x v="12"/>
    <x v="8"/>
    <x v="0"/>
    <x v="199"/>
    <x v="65"/>
    <s v="supplier@gmail.com"/>
  </r>
  <r>
    <x v="3392"/>
    <x v="3392"/>
    <x v="123"/>
    <x v="1"/>
    <x v="25"/>
    <x v="375"/>
    <x v="12"/>
    <x v="8"/>
    <x v="8"/>
    <x v="12"/>
    <x v="8"/>
    <x v="0"/>
    <x v="62"/>
    <x v="137"/>
    <s v="supplier@gmail.com"/>
  </r>
  <r>
    <x v="3393"/>
    <x v="3393"/>
    <x v="109"/>
    <x v="395"/>
    <x v="172"/>
    <x v="12"/>
    <x v="444"/>
    <x v="404"/>
    <x v="391"/>
    <x v="399"/>
    <x v="214"/>
    <x v="0"/>
    <x v="979"/>
    <x v="81"/>
    <s v="supplier@gmail.com"/>
  </r>
  <r>
    <x v="3394"/>
    <x v="3394"/>
    <x v="462"/>
    <x v="96"/>
    <x v="487"/>
    <x v="493"/>
    <x v="445"/>
    <x v="150"/>
    <x v="30"/>
    <x v="231"/>
    <x v="278"/>
    <x v="0"/>
    <x v="256"/>
    <x v="57"/>
    <s v="supplier@gmail.com"/>
  </r>
  <r>
    <x v="3395"/>
    <x v="3395"/>
    <x v="426"/>
    <x v="396"/>
    <x v="478"/>
    <x v="39"/>
    <x v="446"/>
    <x v="28"/>
    <x v="34"/>
    <x v="61"/>
    <x v="364"/>
    <x v="0"/>
    <x v="980"/>
    <x v="82"/>
    <s v="supplier@gmail.com"/>
  </r>
  <r>
    <x v="3396"/>
    <x v="3396"/>
    <x v="28"/>
    <x v="234"/>
    <x v="25"/>
    <x v="29"/>
    <x v="387"/>
    <x v="82"/>
    <x v="40"/>
    <x v="93"/>
    <x v="28"/>
    <x v="0"/>
    <x v="885"/>
    <x v="193"/>
    <s v="supplier@gmail.com"/>
  </r>
  <r>
    <x v="3397"/>
    <x v="3397"/>
    <x v="4"/>
    <x v="1"/>
    <x v="4"/>
    <x v="1"/>
    <x v="12"/>
    <x v="8"/>
    <x v="8"/>
    <x v="12"/>
    <x v="8"/>
    <x v="0"/>
    <x v="783"/>
    <x v="162"/>
    <s v="supplier@gmail.com"/>
  </r>
  <r>
    <x v="3398"/>
    <x v="3398"/>
    <x v="4"/>
    <x v="9"/>
    <x v="9"/>
    <x v="1"/>
    <x v="58"/>
    <x v="8"/>
    <x v="8"/>
    <x v="12"/>
    <x v="228"/>
    <x v="0"/>
    <x v="874"/>
    <x v="197"/>
    <s v="supplier@gmail.com"/>
  </r>
  <r>
    <x v="3399"/>
    <x v="3399"/>
    <x v="4"/>
    <x v="1"/>
    <x v="4"/>
    <x v="1"/>
    <x v="12"/>
    <x v="8"/>
    <x v="8"/>
    <x v="12"/>
    <x v="8"/>
    <x v="0"/>
    <x v="1"/>
    <x v="61"/>
    <s v="supplier@gmail.com"/>
  </r>
  <r>
    <x v="3400"/>
    <x v="3400"/>
    <x v="463"/>
    <x v="397"/>
    <x v="488"/>
    <x v="494"/>
    <x v="101"/>
    <x v="405"/>
    <x v="392"/>
    <x v="400"/>
    <x v="365"/>
    <x v="0"/>
    <x v="1"/>
    <x v="80"/>
    <s v="supplier@gmail.com"/>
  </r>
  <r>
    <x v="3401"/>
    <x v="3401"/>
    <x v="464"/>
    <x v="242"/>
    <x v="489"/>
    <x v="495"/>
    <x v="11"/>
    <x v="406"/>
    <x v="155"/>
    <x v="401"/>
    <x v="366"/>
    <x v="0"/>
    <x v="1"/>
    <x v="134"/>
    <s v="supplier@gmail.com"/>
  </r>
  <r>
    <x v="3402"/>
    <x v="3402"/>
    <x v="4"/>
    <x v="1"/>
    <x v="4"/>
    <x v="1"/>
    <x v="12"/>
    <x v="8"/>
    <x v="8"/>
    <x v="12"/>
    <x v="8"/>
    <x v="0"/>
    <x v="1"/>
    <x v="96"/>
    <s v="supplier@gmail.com"/>
  </r>
  <r>
    <x v="3403"/>
    <x v="3403"/>
    <x v="118"/>
    <x v="398"/>
    <x v="490"/>
    <x v="496"/>
    <x v="5"/>
    <x v="97"/>
    <x v="13"/>
    <x v="328"/>
    <x v="218"/>
    <x v="0"/>
    <x v="1"/>
    <x v="159"/>
    <s v="supplier@gmail.com"/>
  </r>
  <r>
    <x v="3404"/>
    <x v="3404"/>
    <x v="271"/>
    <x v="351"/>
    <x v="453"/>
    <x v="458"/>
    <x v="3"/>
    <x v="375"/>
    <x v="84"/>
    <x v="366"/>
    <x v="345"/>
    <x v="0"/>
    <x v="1"/>
    <x v="50"/>
    <s v="supplier@gmail.com"/>
  </r>
  <r>
    <x v="3405"/>
    <x v="3405"/>
    <x v="4"/>
    <x v="117"/>
    <x v="268"/>
    <x v="270"/>
    <x v="12"/>
    <x v="85"/>
    <x v="34"/>
    <x v="25"/>
    <x v="0"/>
    <x v="0"/>
    <x v="1"/>
    <x v="144"/>
    <s v="supplier@gmail.com"/>
  </r>
  <r>
    <x v="3406"/>
    <x v="3406"/>
    <x v="4"/>
    <x v="1"/>
    <x v="4"/>
    <x v="1"/>
    <x v="12"/>
    <x v="8"/>
    <x v="8"/>
    <x v="12"/>
    <x v="8"/>
    <x v="0"/>
    <x v="981"/>
    <x v="1"/>
    <s v="supplier@gmail.com"/>
  </r>
  <r>
    <x v="3407"/>
    <x v="3407"/>
    <x v="270"/>
    <x v="35"/>
    <x v="37"/>
    <x v="103"/>
    <x v="9"/>
    <x v="97"/>
    <x v="13"/>
    <x v="93"/>
    <x v="13"/>
    <x v="0"/>
    <x v="982"/>
    <x v="159"/>
    <s v="supplier@gmail.com"/>
  </r>
  <r>
    <x v="3408"/>
    <x v="3408"/>
    <x v="114"/>
    <x v="103"/>
    <x v="110"/>
    <x v="113"/>
    <x v="109"/>
    <x v="247"/>
    <x v="12"/>
    <x v="31"/>
    <x v="21"/>
    <x v="0"/>
    <x v="983"/>
    <x v="98"/>
    <s v="supplier@gmail.com"/>
  </r>
  <r>
    <x v="3409"/>
    <x v="3409"/>
    <x v="67"/>
    <x v="399"/>
    <x v="491"/>
    <x v="497"/>
    <x v="66"/>
    <x v="407"/>
    <x v="393"/>
    <x v="352"/>
    <x v="367"/>
    <x v="0"/>
    <x v="984"/>
    <x v="151"/>
    <s v="supplier@gmail.com"/>
  </r>
  <r>
    <x v="3410"/>
    <x v="3410"/>
    <x v="102"/>
    <x v="66"/>
    <x v="100"/>
    <x v="109"/>
    <x v="361"/>
    <x v="109"/>
    <x v="13"/>
    <x v="97"/>
    <x v="368"/>
    <x v="0"/>
    <x v="985"/>
    <x v="81"/>
    <s v="supplier@gmail.com"/>
  </r>
  <r>
    <x v="3411"/>
    <x v="3411"/>
    <x v="18"/>
    <x v="1"/>
    <x v="16"/>
    <x v="31"/>
    <x v="112"/>
    <x v="85"/>
    <x v="17"/>
    <x v="25"/>
    <x v="26"/>
    <x v="0"/>
    <x v="70"/>
    <x v="186"/>
    <s v="supplier@gmail.com"/>
  </r>
  <r>
    <x v="3412"/>
    <x v="3412"/>
    <x v="4"/>
    <x v="1"/>
    <x v="4"/>
    <x v="1"/>
    <x v="12"/>
    <x v="8"/>
    <x v="8"/>
    <x v="12"/>
    <x v="8"/>
    <x v="0"/>
    <x v="986"/>
    <x v="165"/>
    <s v="supplier@gmail.com"/>
  </r>
  <r>
    <x v="3413"/>
    <x v="3413"/>
    <x v="120"/>
    <x v="98"/>
    <x v="491"/>
    <x v="498"/>
    <x v="447"/>
    <x v="408"/>
    <x v="394"/>
    <x v="402"/>
    <x v="369"/>
    <x v="0"/>
    <x v="987"/>
    <x v="54"/>
    <s v="supplier@gmail.com"/>
  </r>
  <r>
    <x v="3414"/>
    <x v="3414"/>
    <x v="4"/>
    <x v="1"/>
    <x v="4"/>
    <x v="1"/>
    <x v="12"/>
    <x v="8"/>
    <x v="8"/>
    <x v="12"/>
    <x v="8"/>
    <x v="0"/>
    <x v="637"/>
    <x v="141"/>
    <s v="supplier@gmail.com"/>
  </r>
  <r>
    <x v="3415"/>
    <x v="3415"/>
    <x v="31"/>
    <x v="19"/>
    <x v="28"/>
    <x v="87"/>
    <x v="35"/>
    <x v="122"/>
    <x v="217"/>
    <x v="28"/>
    <x v="97"/>
    <x v="0"/>
    <x v="988"/>
    <x v="68"/>
    <s v="supplier@gmail.com"/>
  </r>
  <r>
    <x v="3416"/>
    <x v="3416"/>
    <x v="166"/>
    <x v="164"/>
    <x v="492"/>
    <x v="499"/>
    <x v="448"/>
    <x v="409"/>
    <x v="94"/>
    <x v="243"/>
    <x v="61"/>
    <x v="0"/>
    <x v="989"/>
    <x v="27"/>
    <s v="supplier@gmail.com"/>
  </r>
  <r>
    <x v="3417"/>
    <x v="3417"/>
    <x v="112"/>
    <x v="102"/>
    <x v="110"/>
    <x v="10"/>
    <x v="9"/>
    <x v="107"/>
    <x v="96"/>
    <x v="30"/>
    <x v="19"/>
    <x v="0"/>
    <x v="187"/>
    <x v="88"/>
    <s v="supplier@gmail.com"/>
  </r>
  <r>
    <x v="3418"/>
    <x v="3418"/>
    <x v="4"/>
    <x v="1"/>
    <x v="4"/>
    <x v="1"/>
    <x v="12"/>
    <x v="8"/>
    <x v="8"/>
    <x v="12"/>
    <x v="8"/>
    <x v="0"/>
    <x v="990"/>
    <x v="102"/>
    <s v="supplier@gmail.com"/>
  </r>
  <r>
    <x v="3419"/>
    <x v="3419"/>
    <x v="36"/>
    <x v="1"/>
    <x v="35"/>
    <x v="34"/>
    <x v="18"/>
    <x v="33"/>
    <x v="26"/>
    <x v="227"/>
    <x v="104"/>
    <x v="0"/>
    <x v="22"/>
    <x v="8"/>
    <s v="supplier@gmail.com"/>
  </r>
  <r>
    <x v="3420"/>
    <x v="3420"/>
    <x v="4"/>
    <x v="1"/>
    <x v="4"/>
    <x v="1"/>
    <x v="12"/>
    <x v="8"/>
    <x v="8"/>
    <x v="12"/>
    <x v="8"/>
    <x v="0"/>
    <x v="514"/>
    <x v="85"/>
    <s v="supplier@gmail.com"/>
  </r>
  <r>
    <x v="3421"/>
    <x v="3421"/>
    <x v="273"/>
    <x v="1"/>
    <x v="4"/>
    <x v="1"/>
    <x v="26"/>
    <x v="8"/>
    <x v="8"/>
    <x v="12"/>
    <x v="8"/>
    <x v="0"/>
    <x v="1"/>
    <x v="179"/>
    <s v="supplier@gmail.com"/>
  </r>
  <r>
    <x v="3422"/>
    <x v="3422"/>
    <x v="450"/>
    <x v="386"/>
    <x v="477"/>
    <x v="482"/>
    <x v="438"/>
    <x v="397"/>
    <x v="383"/>
    <x v="392"/>
    <x v="359"/>
    <x v="0"/>
    <x v="1"/>
    <x v="72"/>
    <s v="supplier@gmail.com"/>
  </r>
  <r>
    <x v="3423"/>
    <x v="3423"/>
    <x v="4"/>
    <x v="1"/>
    <x v="4"/>
    <x v="1"/>
    <x v="12"/>
    <x v="8"/>
    <x v="8"/>
    <x v="12"/>
    <x v="8"/>
    <x v="0"/>
    <x v="1"/>
    <x v="170"/>
    <s v="supplier@gmail.com"/>
  </r>
  <r>
    <x v="3424"/>
    <x v="3424"/>
    <x v="100"/>
    <x v="44"/>
    <x v="98"/>
    <x v="104"/>
    <x v="12"/>
    <x v="8"/>
    <x v="8"/>
    <x v="12"/>
    <x v="8"/>
    <x v="0"/>
    <x v="1"/>
    <x v="20"/>
    <s v="supplier@gmail.com"/>
  </r>
  <r>
    <x v="3425"/>
    <x v="3425"/>
    <x v="93"/>
    <x v="96"/>
    <x v="15"/>
    <x v="15"/>
    <x v="12"/>
    <x v="8"/>
    <x v="8"/>
    <x v="12"/>
    <x v="8"/>
    <x v="0"/>
    <x v="194"/>
    <x v="87"/>
    <s v="supplier@gmail.com"/>
  </r>
  <r>
    <x v="3426"/>
    <x v="3426"/>
    <x v="110"/>
    <x v="366"/>
    <x v="183"/>
    <x v="424"/>
    <x v="12"/>
    <x v="8"/>
    <x v="8"/>
    <x v="12"/>
    <x v="8"/>
    <x v="0"/>
    <x v="991"/>
    <x v="146"/>
    <s v="supplier@gmail.com"/>
  </r>
  <r>
    <x v="3427"/>
    <x v="3427"/>
    <x v="4"/>
    <x v="1"/>
    <x v="4"/>
    <x v="15"/>
    <x v="27"/>
    <x v="16"/>
    <x v="0"/>
    <x v="19"/>
    <x v="30"/>
    <x v="0"/>
    <x v="992"/>
    <x v="190"/>
    <s v="supplier@gmail.com"/>
  </r>
  <r>
    <x v="3428"/>
    <x v="3428"/>
    <x v="4"/>
    <x v="1"/>
    <x v="4"/>
    <x v="15"/>
    <x v="27"/>
    <x v="16"/>
    <x v="0"/>
    <x v="19"/>
    <x v="30"/>
    <x v="0"/>
    <x v="125"/>
    <x v="127"/>
    <s v="supplier@gmail.com"/>
  </r>
  <r>
    <x v="3429"/>
    <x v="3429"/>
    <x v="4"/>
    <x v="1"/>
    <x v="4"/>
    <x v="104"/>
    <x v="143"/>
    <x v="24"/>
    <x v="18"/>
    <x v="31"/>
    <x v="19"/>
    <x v="0"/>
    <x v="1"/>
    <x v="45"/>
    <s v="supplier@gmail.com"/>
  </r>
  <r>
    <x v="3430"/>
    <x v="3430"/>
    <x v="4"/>
    <x v="1"/>
    <x v="4"/>
    <x v="1"/>
    <x v="12"/>
    <x v="8"/>
    <x v="8"/>
    <x v="12"/>
    <x v="8"/>
    <x v="0"/>
    <x v="1"/>
    <x v="86"/>
    <s v="supplier@gmail.com"/>
  </r>
  <r>
    <x v="3431"/>
    <x v="3431"/>
    <x v="4"/>
    <x v="1"/>
    <x v="4"/>
    <x v="1"/>
    <x v="12"/>
    <x v="8"/>
    <x v="8"/>
    <x v="12"/>
    <x v="8"/>
    <x v="0"/>
    <x v="1"/>
    <x v="79"/>
    <s v="supplier@gmail.com"/>
  </r>
  <r>
    <x v="3432"/>
    <x v="3432"/>
    <x v="16"/>
    <x v="19"/>
    <x v="70"/>
    <x v="73"/>
    <x v="30"/>
    <x v="8"/>
    <x v="8"/>
    <x v="12"/>
    <x v="8"/>
    <x v="0"/>
    <x v="1"/>
    <x v="172"/>
    <s v="supplier@gmail.com"/>
  </r>
  <r>
    <x v="3433"/>
    <x v="3433"/>
    <x v="106"/>
    <x v="356"/>
    <x v="28"/>
    <x v="71"/>
    <x v="387"/>
    <x v="8"/>
    <x v="8"/>
    <x v="12"/>
    <x v="8"/>
    <x v="0"/>
    <x v="993"/>
    <x v="147"/>
    <s v="supplier@gmail.com"/>
  </r>
  <r>
    <x v="3434"/>
    <x v="3434"/>
    <x v="465"/>
    <x v="0"/>
    <x v="493"/>
    <x v="500"/>
    <x v="449"/>
    <x v="0"/>
    <x v="0"/>
    <x v="0"/>
    <x v="0"/>
    <x v="0"/>
    <x v="994"/>
    <x v="186"/>
    <s v="supplier@gmail.com"/>
  </r>
  <r>
    <x v="3435"/>
    <x v="3435"/>
    <x v="466"/>
    <x v="1"/>
    <x v="121"/>
    <x v="153"/>
    <x v="450"/>
    <x v="8"/>
    <x v="8"/>
    <x v="12"/>
    <x v="8"/>
    <x v="0"/>
    <x v="500"/>
    <x v="136"/>
    <s v="supplier@gmail.com"/>
  </r>
  <r>
    <x v="3436"/>
    <x v="3436"/>
    <x v="13"/>
    <x v="158"/>
    <x v="494"/>
    <x v="501"/>
    <x v="1"/>
    <x v="12"/>
    <x v="45"/>
    <x v="79"/>
    <x v="208"/>
    <x v="0"/>
    <x v="995"/>
    <x v="77"/>
    <s v="supplier@gmail.com"/>
  </r>
  <r>
    <x v="3437"/>
    <x v="3437"/>
    <x v="16"/>
    <x v="17"/>
    <x v="17"/>
    <x v="17"/>
    <x v="30"/>
    <x v="18"/>
    <x v="27"/>
    <x v="32"/>
    <x v="23"/>
    <x v="0"/>
    <x v="996"/>
    <x v="78"/>
    <s v="supplier@gmail.com"/>
  </r>
  <r>
    <x v="3438"/>
    <x v="3438"/>
    <x v="18"/>
    <x v="76"/>
    <x v="104"/>
    <x v="33"/>
    <x v="26"/>
    <x v="19"/>
    <x v="17"/>
    <x v="25"/>
    <x v="26"/>
    <x v="0"/>
    <x v="351"/>
    <x v="17"/>
    <s v="supplier@gmail.com"/>
  </r>
  <r>
    <x v="3439"/>
    <x v="3439"/>
    <x v="467"/>
    <x v="400"/>
    <x v="495"/>
    <x v="1"/>
    <x v="89"/>
    <x v="8"/>
    <x v="8"/>
    <x v="12"/>
    <x v="8"/>
    <x v="0"/>
    <x v="7"/>
    <x v="170"/>
    <s v="supplier@gmail.com"/>
  </r>
  <r>
    <x v="3440"/>
    <x v="3440"/>
    <x v="4"/>
    <x v="37"/>
    <x v="39"/>
    <x v="1"/>
    <x v="451"/>
    <x v="8"/>
    <x v="8"/>
    <x v="12"/>
    <x v="13"/>
    <x v="0"/>
    <x v="997"/>
    <x v="71"/>
    <s v="supplier@gmail.com"/>
  </r>
  <r>
    <x v="3441"/>
    <x v="3441"/>
    <x v="5"/>
    <x v="401"/>
    <x v="496"/>
    <x v="104"/>
    <x v="452"/>
    <x v="24"/>
    <x v="8"/>
    <x v="249"/>
    <x v="370"/>
    <x v="0"/>
    <x v="1"/>
    <x v="55"/>
    <s v="supplier@gmail.com"/>
  </r>
  <r>
    <x v="3442"/>
    <x v="3442"/>
    <x v="36"/>
    <x v="1"/>
    <x v="4"/>
    <x v="125"/>
    <x v="12"/>
    <x v="8"/>
    <x v="8"/>
    <x v="12"/>
    <x v="8"/>
    <x v="0"/>
    <x v="3"/>
    <x v="12"/>
    <s v="supplier@gmail.com"/>
  </r>
  <r>
    <x v="3443"/>
    <x v="3443"/>
    <x v="101"/>
    <x v="1"/>
    <x v="42"/>
    <x v="19"/>
    <x v="12"/>
    <x v="8"/>
    <x v="8"/>
    <x v="12"/>
    <x v="8"/>
    <x v="0"/>
    <x v="27"/>
    <x v="18"/>
    <s v="supplier@gmail.com"/>
  </r>
  <r>
    <x v="3444"/>
    <x v="3444"/>
    <x v="122"/>
    <x v="1"/>
    <x v="118"/>
    <x v="106"/>
    <x v="12"/>
    <x v="8"/>
    <x v="8"/>
    <x v="12"/>
    <x v="8"/>
    <x v="0"/>
    <x v="346"/>
    <x v="29"/>
    <s v="supplier@gmail.com"/>
  </r>
  <r>
    <x v="3445"/>
    <x v="3445"/>
    <x v="9"/>
    <x v="1"/>
    <x v="497"/>
    <x v="502"/>
    <x v="12"/>
    <x v="8"/>
    <x v="8"/>
    <x v="12"/>
    <x v="8"/>
    <x v="0"/>
    <x v="338"/>
    <x v="63"/>
    <s v="supplier@gmail.com"/>
  </r>
  <r>
    <x v="3446"/>
    <x v="3446"/>
    <x v="4"/>
    <x v="1"/>
    <x v="4"/>
    <x v="1"/>
    <x v="12"/>
    <x v="8"/>
    <x v="8"/>
    <x v="12"/>
    <x v="8"/>
    <x v="0"/>
    <x v="257"/>
    <x v="146"/>
    <s v="supplier@gmail.com"/>
  </r>
  <r>
    <x v="3447"/>
    <x v="3447"/>
    <x v="4"/>
    <x v="1"/>
    <x v="4"/>
    <x v="1"/>
    <x v="12"/>
    <x v="8"/>
    <x v="8"/>
    <x v="12"/>
    <x v="8"/>
    <x v="0"/>
    <x v="998"/>
    <x v="72"/>
    <s v="supplier@gmail.com"/>
  </r>
  <r>
    <x v="3448"/>
    <x v="3448"/>
    <x v="4"/>
    <x v="1"/>
    <x v="4"/>
    <x v="1"/>
    <x v="12"/>
    <x v="8"/>
    <x v="8"/>
    <x v="12"/>
    <x v="8"/>
    <x v="0"/>
    <x v="999"/>
    <x v="119"/>
    <s v="supplier@gmail.com"/>
  </r>
  <r>
    <x v="3449"/>
    <x v="3449"/>
    <x v="4"/>
    <x v="1"/>
    <x v="4"/>
    <x v="1"/>
    <x v="12"/>
    <x v="8"/>
    <x v="8"/>
    <x v="12"/>
    <x v="8"/>
    <x v="0"/>
    <x v="1"/>
    <x v="43"/>
    <s v="supplier@gmail.com"/>
  </r>
  <r>
    <x v="3450"/>
    <x v="3450"/>
    <x v="4"/>
    <x v="1"/>
    <x v="4"/>
    <x v="1"/>
    <x v="12"/>
    <x v="8"/>
    <x v="8"/>
    <x v="12"/>
    <x v="8"/>
    <x v="0"/>
    <x v="1"/>
    <x v="86"/>
    <s v="supplier@gmail.com"/>
  </r>
  <r>
    <x v="3451"/>
    <x v="3451"/>
    <x v="4"/>
    <x v="1"/>
    <x v="4"/>
    <x v="1"/>
    <x v="12"/>
    <x v="8"/>
    <x v="8"/>
    <x v="30"/>
    <x v="8"/>
    <x v="0"/>
    <x v="1000"/>
    <x v="170"/>
    <s v="supplier@gmail.com"/>
  </r>
  <r>
    <x v="3452"/>
    <x v="3452"/>
    <x v="468"/>
    <x v="402"/>
    <x v="498"/>
    <x v="503"/>
    <x v="453"/>
    <x v="410"/>
    <x v="395"/>
    <x v="403"/>
    <x v="371"/>
    <x v="0"/>
    <x v="178"/>
    <x v="199"/>
    <s v="supplier@gmail.com"/>
  </r>
  <r>
    <x v="3453"/>
    <x v="3453"/>
    <x v="4"/>
    <x v="1"/>
    <x v="4"/>
    <x v="1"/>
    <x v="12"/>
    <x v="8"/>
    <x v="8"/>
    <x v="12"/>
    <x v="8"/>
    <x v="0"/>
    <x v="1001"/>
    <x v="108"/>
    <s v="supplier@gmail.com"/>
  </r>
  <r>
    <x v="3454"/>
    <x v="3454"/>
    <x v="469"/>
    <x v="403"/>
    <x v="499"/>
    <x v="504"/>
    <x v="454"/>
    <x v="411"/>
    <x v="396"/>
    <x v="404"/>
    <x v="372"/>
    <x v="0"/>
    <x v="1"/>
    <x v="86"/>
    <s v="supplier@gmail.com"/>
  </r>
  <r>
    <x v="3455"/>
    <x v="3455"/>
    <x v="4"/>
    <x v="1"/>
    <x v="16"/>
    <x v="1"/>
    <x v="12"/>
    <x v="8"/>
    <x v="8"/>
    <x v="12"/>
    <x v="8"/>
    <x v="0"/>
    <x v="1"/>
    <x v="152"/>
    <s v="supplier@gmail.com"/>
  </r>
  <r>
    <x v="3456"/>
    <x v="3456"/>
    <x v="4"/>
    <x v="1"/>
    <x v="4"/>
    <x v="1"/>
    <x v="12"/>
    <x v="70"/>
    <x v="8"/>
    <x v="12"/>
    <x v="8"/>
    <x v="0"/>
    <x v="1"/>
    <x v="171"/>
    <s v="supplier@gmail.com"/>
  </r>
  <r>
    <x v="3457"/>
    <x v="3457"/>
    <x v="4"/>
    <x v="1"/>
    <x v="4"/>
    <x v="1"/>
    <x v="12"/>
    <x v="8"/>
    <x v="8"/>
    <x v="12"/>
    <x v="373"/>
    <x v="0"/>
    <x v="1002"/>
    <x v="93"/>
    <s v="supplier@gmail.com"/>
  </r>
  <r>
    <x v="3458"/>
    <x v="3458"/>
    <x v="432"/>
    <x v="404"/>
    <x v="337"/>
    <x v="505"/>
    <x v="455"/>
    <x v="412"/>
    <x v="397"/>
    <x v="405"/>
    <x v="374"/>
    <x v="0"/>
    <x v="1"/>
    <x v="101"/>
    <s v="supplier@gmail.com"/>
  </r>
  <r>
    <x v="3459"/>
    <x v="3459"/>
    <x v="4"/>
    <x v="1"/>
    <x v="4"/>
    <x v="1"/>
    <x v="12"/>
    <x v="8"/>
    <x v="8"/>
    <x v="12"/>
    <x v="8"/>
    <x v="0"/>
    <x v="1"/>
    <x v="65"/>
    <s v="supplier@gmail.com"/>
  </r>
  <r>
    <x v="3460"/>
    <x v="3460"/>
    <x v="4"/>
    <x v="1"/>
    <x v="4"/>
    <x v="1"/>
    <x v="12"/>
    <x v="8"/>
    <x v="8"/>
    <x v="12"/>
    <x v="8"/>
    <x v="0"/>
    <x v="524"/>
    <x v="129"/>
    <s v="supplier@gmail.com"/>
  </r>
  <r>
    <x v="3461"/>
    <x v="3461"/>
    <x v="83"/>
    <x v="1"/>
    <x v="39"/>
    <x v="1"/>
    <x v="12"/>
    <x v="8"/>
    <x v="8"/>
    <x v="81"/>
    <x v="8"/>
    <x v="0"/>
    <x v="364"/>
    <x v="193"/>
    <s v="supplier@gmail.com"/>
  </r>
  <r>
    <x v="3462"/>
    <x v="3462"/>
    <x v="0"/>
    <x v="1"/>
    <x v="394"/>
    <x v="19"/>
    <x v="30"/>
    <x v="8"/>
    <x v="26"/>
    <x v="61"/>
    <x v="8"/>
    <x v="0"/>
    <x v="1003"/>
    <x v="109"/>
    <s v="supplier@gmail.com"/>
  </r>
  <r>
    <x v="3463"/>
    <x v="3463"/>
    <x v="4"/>
    <x v="1"/>
    <x v="30"/>
    <x v="1"/>
    <x v="12"/>
    <x v="8"/>
    <x v="8"/>
    <x v="12"/>
    <x v="8"/>
    <x v="0"/>
    <x v="1"/>
    <x v="144"/>
    <s v="supplier@gmail.com"/>
  </r>
  <r>
    <x v="3464"/>
    <x v="3464"/>
    <x v="36"/>
    <x v="1"/>
    <x v="4"/>
    <x v="1"/>
    <x v="12"/>
    <x v="8"/>
    <x v="8"/>
    <x v="12"/>
    <x v="8"/>
    <x v="0"/>
    <x v="43"/>
    <x v="175"/>
    <s v="supplier@gmail.com"/>
  </r>
  <r>
    <x v="3465"/>
    <x v="3465"/>
    <x v="4"/>
    <x v="1"/>
    <x v="4"/>
    <x v="1"/>
    <x v="12"/>
    <x v="8"/>
    <x v="8"/>
    <x v="12"/>
    <x v="8"/>
    <x v="0"/>
    <x v="1"/>
    <x v="56"/>
    <s v="supplier@gmail.com"/>
  </r>
  <r>
    <x v="3466"/>
    <x v="3466"/>
    <x v="4"/>
    <x v="7"/>
    <x v="4"/>
    <x v="1"/>
    <x v="29"/>
    <x v="8"/>
    <x v="8"/>
    <x v="12"/>
    <x v="8"/>
    <x v="0"/>
    <x v="536"/>
    <x v="112"/>
    <s v="supplier@gmail.com"/>
  </r>
  <r>
    <x v="3467"/>
    <x v="3467"/>
    <x v="4"/>
    <x v="1"/>
    <x v="4"/>
    <x v="1"/>
    <x v="12"/>
    <x v="8"/>
    <x v="8"/>
    <x v="12"/>
    <x v="8"/>
    <x v="0"/>
    <x v="455"/>
    <x v="35"/>
    <s v="supplier@gmail.com"/>
  </r>
  <r>
    <x v="3468"/>
    <x v="3468"/>
    <x v="12"/>
    <x v="37"/>
    <x v="9"/>
    <x v="5"/>
    <x v="338"/>
    <x v="305"/>
    <x v="303"/>
    <x v="10"/>
    <x v="71"/>
    <x v="0"/>
    <x v="1"/>
    <x v="33"/>
    <s v="supplier@gmail.com"/>
  </r>
  <r>
    <x v="3469"/>
    <x v="3469"/>
    <x v="37"/>
    <x v="92"/>
    <x v="269"/>
    <x v="37"/>
    <x v="143"/>
    <x v="8"/>
    <x v="8"/>
    <x v="12"/>
    <x v="8"/>
    <x v="0"/>
    <x v="1"/>
    <x v="195"/>
    <s v="supplier@gmail.com"/>
  </r>
  <r>
    <x v="3470"/>
    <x v="3470"/>
    <x v="286"/>
    <x v="405"/>
    <x v="292"/>
    <x v="506"/>
    <x v="265"/>
    <x v="413"/>
    <x v="290"/>
    <x v="406"/>
    <x v="375"/>
    <x v="0"/>
    <x v="1"/>
    <x v="173"/>
    <s v="supplier@gmail.com"/>
  </r>
  <r>
    <x v="3471"/>
    <x v="3471"/>
    <x v="8"/>
    <x v="8"/>
    <x v="7"/>
    <x v="6"/>
    <x v="8"/>
    <x v="9"/>
    <x v="9"/>
    <x v="16"/>
    <x v="9"/>
    <x v="0"/>
    <x v="220"/>
    <x v="129"/>
    <s v="supplier@gmail.com"/>
  </r>
  <r>
    <x v="3472"/>
    <x v="3472"/>
    <x v="12"/>
    <x v="5"/>
    <x v="8"/>
    <x v="7"/>
    <x v="13"/>
    <x v="10"/>
    <x v="10"/>
    <x v="14"/>
    <x v="10"/>
    <x v="0"/>
    <x v="187"/>
    <x v="176"/>
    <s v="supplier@gmail.com"/>
  </r>
  <r>
    <x v="3473"/>
    <x v="3473"/>
    <x v="470"/>
    <x v="5"/>
    <x v="8"/>
    <x v="7"/>
    <x v="456"/>
    <x v="10"/>
    <x v="10"/>
    <x v="407"/>
    <x v="10"/>
    <x v="0"/>
    <x v="1"/>
    <x v="95"/>
    <s v="supplier@gmail.com"/>
  </r>
  <r>
    <x v="3474"/>
    <x v="3474"/>
    <x v="11"/>
    <x v="9"/>
    <x v="9"/>
    <x v="5"/>
    <x v="3"/>
    <x v="14"/>
    <x v="3"/>
    <x v="8"/>
    <x v="3"/>
    <x v="0"/>
    <x v="1"/>
    <x v="187"/>
    <s v="supplier@gmail.com"/>
  </r>
  <r>
    <x v="3475"/>
    <x v="3475"/>
    <x v="8"/>
    <x v="1"/>
    <x v="4"/>
    <x v="1"/>
    <x v="9"/>
    <x v="8"/>
    <x v="8"/>
    <x v="8"/>
    <x v="8"/>
    <x v="0"/>
    <x v="1"/>
    <x v="142"/>
    <s v="supplier@gmail.com"/>
  </r>
  <r>
    <x v="3476"/>
    <x v="3476"/>
    <x v="10"/>
    <x v="11"/>
    <x v="12"/>
    <x v="10"/>
    <x v="1"/>
    <x v="13"/>
    <x v="13"/>
    <x v="8"/>
    <x v="13"/>
    <x v="0"/>
    <x v="126"/>
    <x v="125"/>
    <s v="supplier@gmail.com"/>
  </r>
  <r>
    <x v="3477"/>
    <x v="3477"/>
    <x v="4"/>
    <x v="1"/>
    <x v="4"/>
    <x v="1"/>
    <x v="12"/>
    <x v="8"/>
    <x v="8"/>
    <x v="12"/>
    <x v="8"/>
    <x v="0"/>
    <x v="195"/>
    <x v="28"/>
    <s v="supplier@gmail.com"/>
  </r>
  <r>
    <x v="3478"/>
    <x v="3478"/>
    <x v="4"/>
    <x v="1"/>
    <x v="4"/>
    <x v="1"/>
    <x v="12"/>
    <x v="8"/>
    <x v="8"/>
    <x v="12"/>
    <x v="8"/>
    <x v="0"/>
    <x v="134"/>
    <x v="115"/>
    <s v="supplier@gmail.com"/>
  </r>
  <r>
    <x v="3479"/>
    <x v="3479"/>
    <x v="4"/>
    <x v="1"/>
    <x v="4"/>
    <x v="1"/>
    <x v="12"/>
    <x v="8"/>
    <x v="8"/>
    <x v="12"/>
    <x v="8"/>
    <x v="0"/>
    <x v="294"/>
    <x v="178"/>
    <s v="supplier@gmail.com"/>
  </r>
  <r>
    <x v="3480"/>
    <x v="3480"/>
    <x v="20"/>
    <x v="1"/>
    <x v="4"/>
    <x v="1"/>
    <x v="18"/>
    <x v="8"/>
    <x v="8"/>
    <x v="12"/>
    <x v="8"/>
    <x v="0"/>
    <x v="127"/>
    <x v="97"/>
    <s v="supplier@gmail.com"/>
  </r>
  <r>
    <x v="3481"/>
    <x v="3481"/>
    <x v="93"/>
    <x v="86"/>
    <x v="6"/>
    <x v="34"/>
    <x v="32"/>
    <x v="33"/>
    <x v="77"/>
    <x v="26"/>
    <x v="27"/>
    <x v="0"/>
    <x v="160"/>
    <x v="177"/>
    <s v="supplier@gmail.com"/>
  </r>
  <r>
    <x v="3482"/>
    <x v="3482"/>
    <x v="100"/>
    <x v="8"/>
    <x v="268"/>
    <x v="270"/>
    <x v="143"/>
    <x v="46"/>
    <x v="336"/>
    <x v="112"/>
    <x v="36"/>
    <x v="0"/>
    <x v="354"/>
    <x v="176"/>
    <s v="supplier@gmail.com"/>
  </r>
  <r>
    <x v="3483"/>
    <x v="3483"/>
    <x v="101"/>
    <x v="38"/>
    <x v="16"/>
    <x v="16"/>
    <x v="25"/>
    <x v="85"/>
    <x v="27"/>
    <x v="32"/>
    <x v="23"/>
    <x v="0"/>
    <x v="354"/>
    <x v="48"/>
    <s v="supplier@gmail.com"/>
  </r>
  <r>
    <x v="3484"/>
    <x v="3484"/>
    <x v="4"/>
    <x v="1"/>
    <x v="4"/>
    <x v="1"/>
    <x v="12"/>
    <x v="8"/>
    <x v="8"/>
    <x v="12"/>
    <x v="8"/>
    <x v="0"/>
    <x v="1"/>
    <x v="159"/>
    <s v="supplier@gmail.com"/>
  </r>
  <r>
    <x v="3485"/>
    <x v="3485"/>
    <x v="101"/>
    <x v="1"/>
    <x v="4"/>
    <x v="1"/>
    <x v="25"/>
    <x v="8"/>
    <x v="8"/>
    <x v="12"/>
    <x v="8"/>
    <x v="0"/>
    <x v="13"/>
    <x v="171"/>
    <s v="supplier@gmail.com"/>
  </r>
  <r>
    <x v="3486"/>
    <x v="3486"/>
    <x v="27"/>
    <x v="66"/>
    <x v="38"/>
    <x v="34"/>
    <x v="18"/>
    <x v="8"/>
    <x v="8"/>
    <x v="408"/>
    <x v="8"/>
    <x v="0"/>
    <x v="144"/>
    <x v="182"/>
    <s v="supplier@gmail.com"/>
  </r>
  <r>
    <x v="3487"/>
    <x v="3487"/>
    <x v="471"/>
    <x v="7"/>
    <x v="500"/>
    <x v="507"/>
    <x v="396"/>
    <x v="152"/>
    <x v="398"/>
    <x v="409"/>
    <x v="25"/>
    <x v="0"/>
    <x v="207"/>
    <x v="176"/>
    <s v="supplier@gmail.com"/>
  </r>
  <r>
    <x v="3488"/>
    <x v="3488"/>
    <x v="8"/>
    <x v="237"/>
    <x v="11"/>
    <x v="19"/>
    <x v="137"/>
    <x v="25"/>
    <x v="8"/>
    <x v="28"/>
    <x v="19"/>
    <x v="0"/>
    <x v="1004"/>
    <x v="192"/>
    <s v="supplier@gmail.com"/>
  </r>
  <r>
    <x v="3489"/>
    <x v="3489"/>
    <x v="472"/>
    <x v="406"/>
    <x v="501"/>
    <x v="508"/>
    <x v="457"/>
    <x v="11"/>
    <x v="98"/>
    <x v="7"/>
    <x v="136"/>
    <x v="0"/>
    <x v="181"/>
    <x v="99"/>
    <s v="supplier@gmail.com"/>
  </r>
  <r>
    <x v="3490"/>
    <x v="3490"/>
    <x v="18"/>
    <x v="38"/>
    <x v="16"/>
    <x v="16"/>
    <x v="26"/>
    <x v="85"/>
    <x v="27"/>
    <x v="32"/>
    <x v="23"/>
    <x v="0"/>
    <x v="43"/>
    <x v="6"/>
    <s v="supplier@gmail.com"/>
  </r>
  <r>
    <x v="3491"/>
    <x v="3491"/>
    <x v="16"/>
    <x v="1"/>
    <x v="70"/>
    <x v="15"/>
    <x v="12"/>
    <x v="8"/>
    <x v="8"/>
    <x v="12"/>
    <x v="8"/>
    <x v="0"/>
    <x v="129"/>
    <x v="58"/>
    <s v="supplier@gmail.com"/>
  </r>
  <r>
    <x v="3492"/>
    <x v="3492"/>
    <x v="21"/>
    <x v="1"/>
    <x v="149"/>
    <x v="33"/>
    <x v="12"/>
    <x v="8"/>
    <x v="8"/>
    <x v="12"/>
    <x v="8"/>
    <x v="0"/>
    <x v="77"/>
    <x v="66"/>
    <s v="supplier@gmail.com"/>
  </r>
  <r>
    <x v="3493"/>
    <x v="3493"/>
    <x v="18"/>
    <x v="76"/>
    <x v="5"/>
    <x v="21"/>
    <x v="26"/>
    <x v="9"/>
    <x v="41"/>
    <x v="68"/>
    <x v="24"/>
    <x v="0"/>
    <x v="77"/>
    <x v="4"/>
    <s v="supplier@gmail.com"/>
  </r>
  <r>
    <x v="3494"/>
    <x v="3494"/>
    <x v="18"/>
    <x v="76"/>
    <x v="5"/>
    <x v="21"/>
    <x v="26"/>
    <x v="9"/>
    <x v="41"/>
    <x v="68"/>
    <x v="24"/>
    <x v="0"/>
    <x v="375"/>
    <x v="170"/>
    <s v="supplier@gmail.com"/>
  </r>
  <r>
    <x v="3495"/>
    <x v="3495"/>
    <x v="144"/>
    <x v="36"/>
    <x v="15"/>
    <x v="15"/>
    <x v="31"/>
    <x v="16"/>
    <x v="0"/>
    <x v="0"/>
    <x v="0"/>
    <x v="0"/>
    <x v="1"/>
    <x v="79"/>
    <s v="supplier@gmail.com"/>
  </r>
  <r>
    <x v="3496"/>
    <x v="3496"/>
    <x v="144"/>
    <x v="36"/>
    <x v="15"/>
    <x v="15"/>
    <x v="31"/>
    <x v="16"/>
    <x v="0"/>
    <x v="0"/>
    <x v="0"/>
    <x v="0"/>
    <x v="1"/>
    <x v="189"/>
    <s v="supplier@gmail.com"/>
  </r>
  <r>
    <x v="3497"/>
    <x v="3497"/>
    <x v="4"/>
    <x v="1"/>
    <x v="4"/>
    <x v="1"/>
    <x v="12"/>
    <x v="8"/>
    <x v="8"/>
    <x v="12"/>
    <x v="8"/>
    <x v="0"/>
    <x v="1"/>
    <x v="144"/>
    <s v="supplier@gmail.com"/>
  </r>
  <r>
    <x v="3498"/>
    <x v="3498"/>
    <x v="4"/>
    <x v="1"/>
    <x v="4"/>
    <x v="1"/>
    <x v="12"/>
    <x v="8"/>
    <x v="8"/>
    <x v="12"/>
    <x v="8"/>
    <x v="0"/>
    <x v="1"/>
    <x v="141"/>
    <s v="supplier@gmail.com"/>
  </r>
  <r>
    <x v="3499"/>
    <x v="3499"/>
    <x v="4"/>
    <x v="1"/>
    <x v="4"/>
    <x v="1"/>
    <x v="12"/>
    <x v="8"/>
    <x v="8"/>
    <x v="12"/>
    <x v="8"/>
    <x v="0"/>
    <x v="1"/>
    <x v="151"/>
    <s v="supplier@gmail.com"/>
  </r>
  <r>
    <x v="3500"/>
    <x v="3500"/>
    <x v="4"/>
    <x v="1"/>
    <x v="4"/>
    <x v="1"/>
    <x v="12"/>
    <x v="8"/>
    <x v="8"/>
    <x v="12"/>
    <x v="8"/>
    <x v="0"/>
    <x v="1"/>
    <x v="197"/>
    <s v="supplier@gmail.com"/>
  </r>
  <r>
    <x v="3501"/>
    <x v="3501"/>
    <x v="4"/>
    <x v="1"/>
    <x v="4"/>
    <x v="1"/>
    <x v="12"/>
    <x v="8"/>
    <x v="8"/>
    <x v="12"/>
    <x v="8"/>
    <x v="0"/>
    <x v="1"/>
    <x v="0"/>
    <s v="supplier@gmail.com"/>
  </r>
  <r>
    <x v="3502"/>
    <x v="3502"/>
    <x v="4"/>
    <x v="1"/>
    <x v="4"/>
    <x v="1"/>
    <x v="12"/>
    <x v="8"/>
    <x v="8"/>
    <x v="12"/>
    <x v="8"/>
    <x v="0"/>
    <x v="1"/>
    <x v="116"/>
    <s v="supplier@gmail.com"/>
  </r>
  <r>
    <x v="3503"/>
    <x v="3503"/>
    <x v="4"/>
    <x v="1"/>
    <x v="4"/>
    <x v="1"/>
    <x v="12"/>
    <x v="8"/>
    <x v="8"/>
    <x v="12"/>
    <x v="8"/>
    <x v="0"/>
    <x v="1"/>
    <x v="81"/>
    <s v="supplier@gmail.com"/>
  </r>
  <r>
    <x v="3504"/>
    <x v="3504"/>
    <x v="4"/>
    <x v="1"/>
    <x v="4"/>
    <x v="1"/>
    <x v="12"/>
    <x v="8"/>
    <x v="8"/>
    <x v="12"/>
    <x v="8"/>
    <x v="0"/>
    <x v="1"/>
    <x v="36"/>
    <s v="supplier@gmail.com"/>
  </r>
  <r>
    <x v="3505"/>
    <x v="3505"/>
    <x v="4"/>
    <x v="1"/>
    <x v="4"/>
    <x v="1"/>
    <x v="12"/>
    <x v="8"/>
    <x v="8"/>
    <x v="12"/>
    <x v="8"/>
    <x v="0"/>
    <x v="1"/>
    <x v="71"/>
    <s v="supplier@gmail.com"/>
  </r>
  <r>
    <x v="3506"/>
    <x v="3506"/>
    <x v="4"/>
    <x v="1"/>
    <x v="4"/>
    <x v="1"/>
    <x v="12"/>
    <x v="8"/>
    <x v="8"/>
    <x v="12"/>
    <x v="8"/>
    <x v="0"/>
    <x v="1"/>
    <x v="43"/>
    <s v="supplier@gmail.com"/>
  </r>
  <r>
    <x v="3507"/>
    <x v="3507"/>
    <x v="4"/>
    <x v="1"/>
    <x v="4"/>
    <x v="1"/>
    <x v="12"/>
    <x v="8"/>
    <x v="8"/>
    <x v="12"/>
    <x v="8"/>
    <x v="0"/>
    <x v="1"/>
    <x v="148"/>
    <s v="supplier@gmail.com"/>
  </r>
  <r>
    <x v="3508"/>
    <x v="3508"/>
    <x v="4"/>
    <x v="1"/>
    <x v="4"/>
    <x v="1"/>
    <x v="12"/>
    <x v="8"/>
    <x v="8"/>
    <x v="12"/>
    <x v="8"/>
    <x v="0"/>
    <x v="1"/>
    <x v="10"/>
    <s v="supplier@gmail.com"/>
  </r>
  <r>
    <x v="3509"/>
    <x v="3509"/>
    <x v="4"/>
    <x v="1"/>
    <x v="4"/>
    <x v="1"/>
    <x v="12"/>
    <x v="8"/>
    <x v="8"/>
    <x v="12"/>
    <x v="8"/>
    <x v="0"/>
    <x v="1"/>
    <x v="160"/>
    <s v="supplier@gmail.com"/>
  </r>
  <r>
    <x v="3510"/>
    <x v="3510"/>
    <x v="4"/>
    <x v="1"/>
    <x v="4"/>
    <x v="1"/>
    <x v="12"/>
    <x v="8"/>
    <x v="8"/>
    <x v="12"/>
    <x v="8"/>
    <x v="0"/>
    <x v="1"/>
    <x v="119"/>
    <s v="supplier@gmail.com"/>
  </r>
  <r>
    <x v="3511"/>
    <x v="3511"/>
    <x v="4"/>
    <x v="1"/>
    <x v="4"/>
    <x v="1"/>
    <x v="12"/>
    <x v="8"/>
    <x v="8"/>
    <x v="12"/>
    <x v="8"/>
    <x v="0"/>
    <x v="1"/>
    <x v="23"/>
    <s v="supplier@gmail.com"/>
  </r>
  <r>
    <x v="3512"/>
    <x v="3512"/>
    <x v="4"/>
    <x v="1"/>
    <x v="4"/>
    <x v="1"/>
    <x v="12"/>
    <x v="8"/>
    <x v="8"/>
    <x v="12"/>
    <x v="8"/>
    <x v="0"/>
    <x v="1"/>
    <x v="67"/>
    <s v="supplier@gmail.com"/>
  </r>
  <r>
    <x v="3513"/>
    <x v="3513"/>
    <x v="4"/>
    <x v="1"/>
    <x v="4"/>
    <x v="1"/>
    <x v="12"/>
    <x v="8"/>
    <x v="8"/>
    <x v="12"/>
    <x v="8"/>
    <x v="0"/>
    <x v="1"/>
    <x v="126"/>
    <s v="supplier@gmail.com"/>
  </r>
  <r>
    <x v="3514"/>
    <x v="3514"/>
    <x v="4"/>
    <x v="1"/>
    <x v="4"/>
    <x v="1"/>
    <x v="12"/>
    <x v="8"/>
    <x v="8"/>
    <x v="12"/>
    <x v="8"/>
    <x v="0"/>
    <x v="1"/>
    <x v="101"/>
    <s v="supplier@gmail.com"/>
  </r>
  <r>
    <x v="3515"/>
    <x v="3515"/>
    <x v="4"/>
    <x v="1"/>
    <x v="4"/>
    <x v="1"/>
    <x v="12"/>
    <x v="8"/>
    <x v="8"/>
    <x v="12"/>
    <x v="8"/>
    <x v="0"/>
    <x v="1"/>
    <x v="41"/>
    <s v="supplier@gmail.com"/>
  </r>
  <r>
    <x v="3516"/>
    <x v="3516"/>
    <x v="4"/>
    <x v="1"/>
    <x v="4"/>
    <x v="1"/>
    <x v="12"/>
    <x v="8"/>
    <x v="8"/>
    <x v="12"/>
    <x v="8"/>
    <x v="0"/>
    <x v="1"/>
    <x v="5"/>
    <s v="supplier@gmail.com"/>
  </r>
  <r>
    <x v="3517"/>
    <x v="3517"/>
    <x v="4"/>
    <x v="1"/>
    <x v="4"/>
    <x v="1"/>
    <x v="12"/>
    <x v="8"/>
    <x v="8"/>
    <x v="12"/>
    <x v="8"/>
    <x v="0"/>
    <x v="1"/>
    <x v="155"/>
    <s v="supplier@gmail.com"/>
  </r>
  <r>
    <x v="3518"/>
    <x v="3518"/>
    <x v="4"/>
    <x v="1"/>
    <x v="4"/>
    <x v="1"/>
    <x v="12"/>
    <x v="8"/>
    <x v="8"/>
    <x v="12"/>
    <x v="8"/>
    <x v="0"/>
    <x v="1"/>
    <x v="117"/>
    <s v="supplier@gmail.com"/>
  </r>
  <r>
    <x v="3519"/>
    <x v="3519"/>
    <x v="4"/>
    <x v="1"/>
    <x v="4"/>
    <x v="1"/>
    <x v="12"/>
    <x v="8"/>
    <x v="8"/>
    <x v="12"/>
    <x v="8"/>
    <x v="0"/>
    <x v="1"/>
    <x v="192"/>
    <s v="supplier@gmail.com"/>
  </r>
  <r>
    <x v="3520"/>
    <x v="3520"/>
    <x v="4"/>
    <x v="1"/>
    <x v="4"/>
    <x v="1"/>
    <x v="12"/>
    <x v="8"/>
    <x v="8"/>
    <x v="12"/>
    <x v="8"/>
    <x v="0"/>
    <x v="1"/>
    <x v="182"/>
    <s v="supplier@gmail.com"/>
  </r>
  <r>
    <x v="3521"/>
    <x v="3521"/>
    <x v="4"/>
    <x v="1"/>
    <x v="4"/>
    <x v="1"/>
    <x v="12"/>
    <x v="8"/>
    <x v="8"/>
    <x v="12"/>
    <x v="8"/>
    <x v="0"/>
    <x v="1"/>
    <x v="138"/>
    <s v="supplier@gmail.com"/>
  </r>
  <r>
    <x v="3522"/>
    <x v="3522"/>
    <x v="4"/>
    <x v="1"/>
    <x v="4"/>
    <x v="1"/>
    <x v="12"/>
    <x v="8"/>
    <x v="8"/>
    <x v="12"/>
    <x v="8"/>
    <x v="0"/>
    <x v="1"/>
    <x v="29"/>
    <s v="supplier@gmail.com"/>
  </r>
  <r>
    <x v="3523"/>
    <x v="3523"/>
    <x v="4"/>
    <x v="1"/>
    <x v="4"/>
    <x v="1"/>
    <x v="12"/>
    <x v="8"/>
    <x v="8"/>
    <x v="12"/>
    <x v="8"/>
    <x v="0"/>
    <x v="1"/>
    <x v="12"/>
    <s v="supplier@gmail.com"/>
  </r>
  <r>
    <x v="3524"/>
    <x v="3524"/>
    <x v="4"/>
    <x v="1"/>
    <x v="4"/>
    <x v="1"/>
    <x v="12"/>
    <x v="8"/>
    <x v="8"/>
    <x v="12"/>
    <x v="8"/>
    <x v="0"/>
    <x v="1"/>
    <x v="193"/>
    <s v="supplier@gmail.com"/>
  </r>
  <r>
    <x v="3525"/>
    <x v="3525"/>
    <x v="4"/>
    <x v="1"/>
    <x v="4"/>
    <x v="1"/>
    <x v="12"/>
    <x v="8"/>
    <x v="8"/>
    <x v="12"/>
    <x v="8"/>
    <x v="0"/>
    <x v="1"/>
    <x v="149"/>
    <s v="supplier@gmail.com"/>
  </r>
  <r>
    <x v="3526"/>
    <x v="3526"/>
    <x v="4"/>
    <x v="1"/>
    <x v="4"/>
    <x v="1"/>
    <x v="12"/>
    <x v="8"/>
    <x v="8"/>
    <x v="12"/>
    <x v="8"/>
    <x v="0"/>
    <x v="1"/>
    <x v="147"/>
    <s v="supplier@gmail.com"/>
  </r>
  <r>
    <x v="3527"/>
    <x v="3527"/>
    <x v="4"/>
    <x v="1"/>
    <x v="4"/>
    <x v="1"/>
    <x v="12"/>
    <x v="8"/>
    <x v="8"/>
    <x v="12"/>
    <x v="8"/>
    <x v="0"/>
    <x v="1"/>
    <x v="117"/>
    <s v="supplier@gmail.com"/>
  </r>
  <r>
    <x v="3528"/>
    <x v="3528"/>
    <x v="4"/>
    <x v="1"/>
    <x v="4"/>
    <x v="1"/>
    <x v="12"/>
    <x v="8"/>
    <x v="8"/>
    <x v="12"/>
    <x v="8"/>
    <x v="0"/>
    <x v="1"/>
    <x v="186"/>
    <s v="supplier@gmail.com"/>
  </r>
  <r>
    <x v="3529"/>
    <x v="3529"/>
    <x v="4"/>
    <x v="1"/>
    <x v="4"/>
    <x v="1"/>
    <x v="12"/>
    <x v="8"/>
    <x v="8"/>
    <x v="12"/>
    <x v="8"/>
    <x v="0"/>
    <x v="1"/>
    <x v="106"/>
    <s v="supplier@gmail.com"/>
  </r>
  <r>
    <x v="3530"/>
    <x v="3530"/>
    <x v="4"/>
    <x v="1"/>
    <x v="4"/>
    <x v="1"/>
    <x v="12"/>
    <x v="8"/>
    <x v="8"/>
    <x v="12"/>
    <x v="8"/>
    <x v="0"/>
    <x v="1"/>
    <x v="43"/>
    <s v="supplier@gmail.com"/>
  </r>
  <r>
    <x v="3531"/>
    <x v="3531"/>
    <x v="4"/>
    <x v="1"/>
    <x v="4"/>
    <x v="1"/>
    <x v="12"/>
    <x v="8"/>
    <x v="8"/>
    <x v="12"/>
    <x v="8"/>
    <x v="0"/>
    <x v="1"/>
    <x v="0"/>
    <s v="supplier@gmail.com"/>
  </r>
  <r>
    <x v="3532"/>
    <x v="3532"/>
    <x v="4"/>
    <x v="1"/>
    <x v="4"/>
    <x v="1"/>
    <x v="12"/>
    <x v="8"/>
    <x v="8"/>
    <x v="12"/>
    <x v="8"/>
    <x v="0"/>
    <x v="1"/>
    <x v="82"/>
    <s v="supplier@gmail.com"/>
  </r>
  <r>
    <x v="3533"/>
    <x v="3533"/>
    <x v="4"/>
    <x v="1"/>
    <x v="4"/>
    <x v="1"/>
    <x v="12"/>
    <x v="8"/>
    <x v="8"/>
    <x v="12"/>
    <x v="8"/>
    <x v="0"/>
    <x v="1"/>
    <x v="145"/>
    <s v="supplier@gmail.com"/>
  </r>
  <r>
    <x v="3534"/>
    <x v="3534"/>
    <x v="4"/>
    <x v="1"/>
    <x v="4"/>
    <x v="1"/>
    <x v="12"/>
    <x v="8"/>
    <x v="8"/>
    <x v="12"/>
    <x v="8"/>
    <x v="0"/>
    <x v="1"/>
    <x v="124"/>
    <s v="supplier@gmail.com"/>
  </r>
  <r>
    <x v="3535"/>
    <x v="3535"/>
    <x v="4"/>
    <x v="1"/>
    <x v="4"/>
    <x v="1"/>
    <x v="12"/>
    <x v="8"/>
    <x v="8"/>
    <x v="12"/>
    <x v="8"/>
    <x v="0"/>
    <x v="1"/>
    <x v="109"/>
    <s v="supplier@gmail.com"/>
  </r>
  <r>
    <x v="3536"/>
    <x v="3536"/>
    <x v="4"/>
    <x v="1"/>
    <x v="4"/>
    <x v="1"/>
    <x v="12"/>
    <x v="8"/>
    <x v="8"/>
    <x v="12"/>
    <x v="8"/>
    <x v="0"/>
    <x v="1"/>
    <x v="169"/>
    <s v="supplier@gmail.com"/>
  </r>
  <r>
    <x v="3537"/>
    <x v="3537"/>
    <x v="4"/>
    <x v="1"/>
    <x v="4"/>
    <x v="1"/>
    <x v="12"/>
    <x v="8"/>
    <x v="8"/>
    <x v="12"/>
    <x v="8"/>
    <x v="0"/>
    <x v="1"/>
    <x v="14"/>
    <s v="supplier@gmail.com"/>
  </r>
  <r>
    <x v="3538"/>
    <x v="3538"/>
    <x v="4"/>
    <x v="1"/>
    <x v="4"/>
    <x v="1"/>
    <x v="12"/>
    <x v="8"/>
    <x v="8"/>
    <x v="12"/>
    <x v="8"/>
    <x v="0"/>
    <x v="1"/>
    <x v="53"/>
    <s v="supplier@gmail.com"/>
  </r>
  <r>
    <x v="3539"/>
    <x v="3539"/>
    <x v="4"/>
    <x v="1"/>
    <x v="4"/>
    <x v="1"/>
    <x v="12"/>
    <x v="8"/>
    <x v="8"/>
    <x v="12"/>
    <x v="8"/>
    <x v="0"/>
    <x v="1"/>
    <x v="98"/>
    <s v="supplier@gmail.com"/>
  </r>
  <r>
    <x v="3540"/>
    <x v="3540"/>
    <x v="4"/>
    <x v="1"/>
    <x v="4"/>
    <x v="1"/>
    <x v="12"/>
    <x v="8"/>
    <x v="8"/>
    <x v="12"/>
    <x v="8"/>
    <x v="0"/>
    <x v="1"/>
    <x v="60"/>
    <s v="supplier@gmail.com"/>
  </r>
  <r>
    <x v="3541"/>
    <x v="3541"/>
    <x v="4"/>
    <x v="1"/>
    <x v="4"/>
    <x v="1"/>
    <x v="12"/>
    <x v="8"/>
    <x v="8"/>
    <x v="12"/>
    <x v="8"/>
    <x v="0"/>
    <x v="1"/>
    <x v="89"/>
    <s v="supplier@gmail.com"/>
  </r>
  <r>
    <x v="3542"/>
    <x v="3542"/>
    <x v="4"/>
    <x v="1"/>
    <x v="4"/>
    <x v="1"/>
    <x v="12"/>
    <x v="8"/>
    <x v="8"/>
    <x v="12"/>
    <x v="8"/>
    <x v="0"/>
    <x v="1"/>
    <x v="129"/>
    <s v="supplier@gmail.com"/>
  </r>
  <r>
    <x v="3543"/>
    <x v="3543"/>
    <x v="4"/>
    <x v="1"/>
    <x v="4"/>
    <x v="1"/>
    <x v="12"/>
    <x v="8"/>
    <x v="8"/>
    <x v="12"/>
    <x v="8"/>
    <x v="0"/>
    <x v="1"/>
    <x v="154"/>
    <s v="supplier@gmail.com"/>
  </r>
  <r>
    <x v="3544"/>
    <x v="3544"/>
    <x v="4"/>
    <x v="1"/>
    <x v="4"/>
    <x v="1"/>
    <x v="12"/>
    <x v="8"/>
    <x v="8"/>
    <x v="12"/>
    <x v="8"/>
    <x v="0"/>
    <x v="1"/>
    <x v="148"/>
    <s v="supplier@gmail.com"/>
  </r>
  <r>
    <x v="3545"/>
    <x v="3545"/>
    <x v="4"/>
    <x v="1"/>
    <x v="4"/>
    <x v="1"/>
    <x v="12"/>
    <x v="8"/>
    <x v="8"/>
    <x v="12"/>
    <x v="8"/>
    <x v="0"/>
    <x v="1"/>
    <x v="159"/>
    <s v="supplier@gmail.com"/>
  </r>
  <r>
    <x v="3546"/>
    <x v="3546"/>
    <x v="4"/>
    <x v="1"/>
    <x v="4"/>
    <x v="1"/>
    <x v="12"/>
    <x v="8"/>
    <x v="8"/>
    <x v="12"/>
    <x v="8"/>
    <x v="0"/>
    <x v="1"/>
    <x v="67"/>
    <s v="supplier@gmail.com"/>
  </r>
  <r>
    <x v="3547"/>
    <x v="3547"/>
    <x v="4"/>
    <x v="1"/>
    <x v="4"/>
    <x v="1"/>
    <x v="12"/>
    <x v="8"/>
    <x v="8"/>
    <x v="12"/>
    <x v="8"/>
    <x v="0"/>
    <x v="1"/>
    <x v="131"/>
    <s v="supplier@gmail.com"/>
  </r>
  <r>
    <x v="3548"/>
    <x v="3548"/>
    <x v="4"/>
    <x v="1"/>
    <x v="4"/>
    <x v="1"/>
    <x v="12"/>
    <x v="8"/>
    <x v="8"/>
    <x v="12"/>
    <x v="8"/>
    <x v="0"/>
    <x v="1"/>
    <x v="112"/>
    <s v="supplier@gmail.com"/>
  </r>
  <r>
    <x v="3549"/>
    <x v="3549"/>
    <x v="4"/>
    <x v="1"/>
    <x v="4"/>
    <x v="1"/>
    <x v="12"/>
    <x v="8"/>
    <x v="8"/>
    <x v="12"/>
    <x v="8"/>
    <x v="0"/>
    <x v="1"/>
    <x v="45"/>
    <s v="supplier@gmail.com"/>
  </r>
  <r>
    <x v="3550"/>
    <x v="3550"/>
    <x v="4"/>
    <x v="1"/>
    <x v="4"/>
    <x v="1"/>
    <x v="12"/>
    <x v="8"/>
    <x v="8"/>
    <x v="12"/>
    <x v="8"/>
    <x v="0"/>
    <x v="1"/>
    <x v="191"/>
    <s v="supplier@gmail.com"/>
  </r>
  <r>
    <x v="3551"/>
    <x v="3551"/>
    <x v="4"/>
    <x v="1"/>
    <x v="4"/>
    <x v="1"/>
    <x v="12"/>
    <x v="8"/>
    <x v="8"/>
    <x v="12"/>
    <x v="8"/>
    <x v="0"/>
    <x v="1"/>
    <x v="96"/>
    <s v="supplier@gmail.com"/>
  </r>
  <r>
    <x v="3552"/>
    <x v="3552"/>
    <x v="4"/>
    <x v="1"/>
    <x v="4"/>
    <x v="1"/>
    <x v="12"/>
    <x v="8"/>
    <x v="8"/>
    <x v="12"/>
    <x v="8"/>
    <x v="0"/>
    <x v="1"/>
    <x v="49"/>
    <s v="supplier@gmail.com"/>
  </r>
  <r>
    <x v="3553"/>
    <x v="3553"/>
    <x v="4"/>
    <x v="1"/>
    <x v="4"/>
    <x v="1"/>
    <x v="12"/>
    <x v="8"/>
    <x v="8"/>
    <x v="12"/>
    <x v="8"/>
    <x v="0"/>
    <x v="1"/>
    <x v="4"/>
    <s v="supplier@gmail.com"/>
  </r>
  <r>
    <x v="3554"/>
    <x v="3554"/>
    <x v="4"/>
    <x v="1"/>
    <x v="4"/>
    <x v="1"/>
    <x v="12"/>
    <x v="8"/>
    <x v="8"/>
    <x v="12"/>
    <x v="8"/>
    <x v="0"/>
    <x v="1"/>
    <x v="106"/>
    <s v="supplier@gmail.com"/>
  </r>
  <r>
    <x v="3555"/>
    <x v="3555"/>
    <x v="4"/>
    <x v="1"/>
    <x v="4"/>
    <x v="1"/>
    <x v="12"/>
    <x v="8"/>
    <x v="8"/>
    <x v="12"/>
    <x v="8"/>
    <x v="0"/>
    <x v="1"/>
    <x v="8"/>
    <s v="supplier@gmail.com"/>
  </r>
  <r>
    <x v="3556"/>
    <x v="3556"/>
    <x v="4"/>
    <x v="1"/>
    <x v="4"/>
    <x v="1"/>
    <x v="12"/>
    <x v="8"/>
    <x v="8"/>
    <x v="12"/>
    <x v="8"/>
    <x v="0"/>
    <x v="1"/>
    <x v="183"/>
    <s v="supplier@gmail.com"/>
  </r>
  <r>
    <x v="3557"/>
    <x v="3557"/>
    <x v="4"/>
    <x v="1"/>
    <x v="4"/>
    <x v="1"/>
    <x v="12"/>
    <x v="8"/>
    <x v="8"/>
    <x v="12"/>
    <x v="8"/>
    <x v="0"/>
    <x v="1"/>
    <x v="46"/>
    <s v="supplier@gmail.com"/>
  </r>
  <r>
    <x v="3558"/>
    <x v="3558"/>
    <x v="4"/>
    <x v="1"/>
    <x v="4"/>
    <x v="1"/>
    <x v="12"/>
    <x v="8"/>
    <x v="8"/>
    <x v="12"/>
    <x v="8"/>
    <x v="0"/>
    <x v="1"/>
    <x v="183"/>
    <s v="supplier@gmail.com"/>
  </r>
  <r>
    <x v="3559"/>
    <x v="3559"/>
    <x v="4"/>
    <x v="1"/>
    <x v="4"/>
    <x v="1"/>
    <x v="12"/>
    <x v="8"/>
    <x v="8"/>
    <x v="12"/>
    <x v="8"/>
    <x v="0"/>
    <x v="1"/>
    <x v="26"/>
    <s v="supplier@gmail.com"/>
  </r>
  <r>
    <x v="3560"/>
    <x v="3560"/>
    <x v="4"/>
    <x v="1"/>
    <x v="4"/>
    <x v="1"/>
    <x v="12"/>
    <x v="8"/>
    <x v="8"/>
    <x v="12"/>
    <x v="8"/>
    <x v="0"/>
    <x v="1"/>
    <x v="30"/>
    <s v="supplier@gmail.com"/>
  </r>
  <r>
    <x v="3561"/>
    <x v="3561"/>
    <x v="4"/>
    <x v="1"/>
    <x v="4"/>
    <x v="1"/>
    <x v="12"/>
    <x v="8"/>
    <x v="8"/>
    <x v="12"/>
    <x v="8"/>
    <x v="0"/>
    <x v="1"/>
    <x v="165"/>
    <s v="supplier@gmail.com"/>
  </r>
  <r>
    <x v="3562"/>
    <x v="3562"/>
    <x v="4"/>
    <x v="1"/>
    <x v="4"/>
    <x v="1"/>
    <x v="12"/>
    <x v="8"/>
    <x v="8"/>
    <x v="12"/>
    <x v="8"/>
    <x v="0"/>
    <x v="1"/>
    <x v="5"/>
    <s v="supplier@gmail.com"/>
  </r>
  <r>
    <x v="3563"/>
    <x v="3563"/>
    <x v="4"/>
    <x v="1"/>
    <x v="4"/>
    <x v="1"/>
    <x v="12"/>
    <x v="8"/>
    <x v="8"/>
    <x v="12"/>
    <x v="8"/>
    <x v="0"/>
    <x v="1"/>
    <x v="68"/>
    <s v="supplier@gmail.com"/>
  </r>
  <r>
    <x v="3564"/>
    <x v="3564"/>
    <x v="4"/>
    <x v="1"/>
    <x v="4"/>
    <x v="1"/>
    <x v="12"/>
    <x v="8"/>
    <x v="8"/>
    <x v="12"/>
    <x v="8"/>
    <x v="0"/>
    <x v="1"/>
    <x v="56"/>
    <s v="supplier@gmail.com"/>
  </r>
  <r>
    <x v="3565"/>
    <x v="3565"/>
    <x v="4"/>
    <x v="1"/>
    <x v="4"/>
    <x v="1"/>
    <x v="12"/>
    <x v="8"/>
    <x v="8"/>
    <x v="12"/>
    <x v="8"/>
    <x v="0"/>
    <x v="1"/>
    <x v="99"/>
    <s v="supplier@gmail.com"/>
  </r>
  <r>
    <x v="3566"/>
    <x v="3566"/>
    <x v="4"/>
    <x v="1"/>
    <x v="4"/>
    <x v="1"/>
    <x v="12"/>
    <x v="8"/>
    <x v="8"/>
    <x v="12"/>
    <x v="8"/>
    <x v="0"/>
    <x v="1"/>
    <x v="106"/>
    <s v="supplier@gmail.com"/>
  </r>
  <r>
    <x v="3567"/>
    <x v="3567"/>
    <x v="4"/>
    <x v="1"/>
    <x v="4"/>
    <x v="1"/>
    <x v="12"/>
    <x v="8"/>
    <x v="8"/>
    <x v="12"/>
    <x v="8"/>
    <x v="0"/>
    <x v="1"/>
    <x v="118"/>
    <s v="supplier@gmail.com"/>
  </r>
  <r>
    <x v="3568"/>
    <x v="3568"/>
    <x v="4"/>
    <x v="1"/>
    <x v="4"/>
    <x v="1"/>
    <x v="12"/>
    <x v="8"/>
    <x v="8"/>
    <x v="12"/>
    <x v="8"/>
    <x v="0"/>
    <x v="1"/>
    <x v="189"/>
    <s v="supplier@gmail.com"/>
  </r>
  <r>
    <x v="3569"/>
    <x v="3569"/>
    <x v="4"/>
    <x v="1"/>
    <x v="4"/>
    <x v="1"/>
    <x v="12"/>
    <x v="8"/>
    <x v="8"/>
    <x v="12"/>
    <x v="8"/>
    <x v="0"/>
    <x v="1"/>
    <x v="41"/>
    <s v="supplier@gmail.com"/>
  </r>
  <r>
    <x v="3570"/>
    <x v="3570"/>
    <x v="4"/>
    <x v="1"/>
    <x v="4"/>
    <x v="1"/>
    <x v="12"/>
    <x v="8"/>
    <x v="8"/>
    <x v="12"/>
    <x v="8"/>
    <x v="0"/>
    <x v="1"/>
    <x v="12"/>
    <s v="supplier@gmail.com"/>
  </r>
  <r>
    <x v="3571"/>
    <x v="3571"/>
    <x v="4"/>
    <x v="1"/>
    <x v="4"/>
    <x v="1"/>
    <x v="12"/>
    <x v="8"/>
    <x v="8"/>
    <x v="12"/>
    <x v="8"/>
    <x v="0"/>
    <x v="1"/>
    <x v="123"/>
    <s v="supplier@gmail.com"/>
  </r>
  <r>
    <x v="3572"/>
    <x v="3572"/>
    <x v="4"/>
    <x v="1"/>
    <x v="4"/>
    <x v="1"/>
    <x v="12"/>
    <x v="8"/>
    <x v="8"/>
    <x v="12"/>
    <x v="8"/>
    <x v="0"/>
    <x v="1"/>
    <x v="34"/>
    <s v="supplier@gmail.com"/>
  </r>
  <r>
    <x v="3573"/>
    <x v="3573"/>
    <x v="4"/>
    <x v="1"/>
    <x v="4"/>
    <x v="1"/>
    <x v="12"/>
    <x v="8"/>
    <x v="8"/>
    <x v="12"/>
    <x v="8"/>
    <x v="0"/>
    <x v="1"/>
    <x v="140"/>
    <s v="supplier@gmail.com"/>
  </r>
  <r>
    <x v="3574"/>
    <x v="3574"/>
    <x v="4"/>
    <x v="1"/>
    <x v="4"/>
    <x v="1"/>
    <x v="12"/>
    <x v="8"/>
    <x v="8"/>
    <x v="12"/>
    <x v="8"/>
    <x v="0"/>
    <x v="1"/>
    <x v="71"/>
    <s v="supplier@gmail.com"/>
  </r>
  <r>
    <x v="3575"/>
    <x v="3575"/>
    <x v="4"/>
    <x v="1"/>
    <x v="4"/>
    <x v="1"/>
    <x v="12"/>
    <x v="8"/>
    <x v="8"/>
    <x v="12"/>
    <x v="8"/>
    <x v="0"/>
    <x v="1"/>
    <x v="194"/>
    <s v="supplier@gmail.com"/>
  </r>
  <r>
    <x v="3576"/>
    <x v="3576"/>
    <x v="4"/>
    <x v="1"/>
    <x v="4"/>
    <x v="1"/>
    <x v="12"/>
    <x v="8"/>
    <x v="8"/>
    <x v="12"/>
    <x v="8"/>
    <x v="0"/>
    <x v="1"/>
    <x v="46"/>
    <s v="supplier@gmail.com"/>
  </r>
  <r>
    <x v="3577"/>
    <x v="3577"/>
    <x v="4"/>
    <x v="1"/>
    <x v="4"/>
    <x v="1"/>
    <x v="12"/>
    <x v="8"/>
    <x v="8"/>
    <x v="12"/>
    <x v="8"/>
    <x v="0"/>
    <x v="1"/>
    <x v="192"/>
    <s v="supplier@gmail.com"/>
  </r>
  <r>
    <x v="3578"/>
    <x v="3578"/>
    <x v="4"/>
    <x v="1"/>
    <x v="4"/>
    <x v="1"/>
    <x v="12"/>
    <x v="8"/>
    <x v="8"/>
    <x v="12"/>
    <x v="8"/>
    <x v="0"/>
    <x v="1"/>
    <x v="62"/>
    <s v="supplier@gmail.com"/>
  </r>
  <r>
    <x v="3579"/>
    <x v="3579"/>
    <x v="4"/>
    <x v="1"/>
    <x v="4"/>
    <x v="1"/>
    <x v="12"/>
    <x v="8"/>
    <x v="8"/>
    <x v="12"/>
    <x v="8"/>
    <x v="0"/>
    <x v="1"/>
    <x v="177"/>
    <s v="supplier@gmail.com"/>
  </r>
  <r>
    <x v="3580"/>
    <x v="3580"/>
    <x v="4"/>
    <x v="1"/>
    <x v="4"/>
    <x v="1"/>
    <x v="12"/>
    <x v="8"/>
    <x v="8"/>
    <x v="12"/>
    <x v="8"/>
    <x v="0"/>
    <x v="1"/>
    <x v="57"/>
    <s v="supplier@gmail.com"/>
  </r>
  <r>
    <x v="3581"/>
    <x v="3581"/>
    <x v="4"/>
    <x v="1"/>
    <x v="4"/>
    <x v="1"/>
    <x v="12"/>
    <x v="8"/>
    <x v="8"/>
    <x v="12"/>
    <x v="8"/>
    <x v="0"/>
    <x v="1"/>
    <x v="191"/>
    <s v="supplier@gmail.com"/>
  </r>
  <r>
    <x v="3582"/>
    <x v="3582"/>
    <x v="4"/>
    <x v="1"/>
    <x v="4"/>
    <x v="1"/>
    <x v="12"/>
    <x v="8"/>
    <x v="8"/>
    <x v="12"/>
    <x v="8"/>
    <x v="0"/>
    <x v="1"/>
    <x v="94"/>
    <s v="supplier@gmail.com"/>
  </r>
  <r>
    <x v="3583"/>
    <x v="3583"/>
    <x v="4"/>
    <x v="1"/>
    <x v="4"/>
    <x v="1"/>
    <x v="12"/>
    <x v="8"/>
    <x v="8"/>
    <x v="12"/>
    <x v="8"/>
    <x v="0"/>
    <x v="1"/>
    <x v="5"/>
    <s v="supplier@gmail.com"/>
  </r>
  <r>
    <x v="3584"/>
    <x v="3584"/>
    <x v="4"/>
    <x v="1"/>
    <x v="4"/>
    <x v="1"/>
    <x v="12"/>
    <x v="8"/>
    <x v="8"/>
    <x v="12"/>
    <x v="8"/>
    <x v="0"/>
    <x v="1"/>
    <x v="16"/>
    <s v="supplier@gmail.com"/>
  </r>
  <r>
    <x v="3585"/>
    <x v="3585"/>
    <x v="4"/>
    <x v="1"/>
    <x v="4"/>
    <x v="1"/>
    <x v="12"/>
    <x v="8"/>
    <x v="8"/>
    <x v="12"/>
    <x v="8"/>
    <x v="0"/>
    <x v="1"/>
    <x v="153"/>
    <s v="supplier@gmail.com"/>
  </r>
  <r>
    <x v="3586"/>
    <x v="3586"/>
    <x v="4"/>
    <x v="1"/>
    <x v="4"/>
    <x v="1"/>
    <x v="12"/>
    <x v="8"/>
    <x v="8"/>
    <x v="12"/>
    <x v="8"/>
    <x v="0"/>
    <x v="1"/>
    <x v="12"/>
    <s v="supplier@gmail.com"/>
  </r>
  <r>
    <x v="3587"/>
    <x v="3587"/>
    <x v="4"/>
    <x v="1"/>
    <x v="4"/>
    <x v="1"/>
    <x v="12"/>
    <x v="8"/>
    <x v="8"/>
    <x v="12"/>
    <x v="8"/>
    <x v="0"/>
    <x v="1"/>
    <x v="74"/>
    <s v="supplier@gmail.com"/>
  </r>
  <r>
    <x v="3588"/>
    <x v="3588"/>
    <x v="4"/>
    <x v="1"/>
    <x v="4"/>
    <x v="1"/>
    <x v="12"/>
    <x v="8"/>
    <x v="8"/>
    <x v="12"/>
    <x v="8"/>
    <x v="0"/>
    <x v="1"/>
    <x v="165"/>
    <s v="supplier@gmail.com"/>
  </r>
  <r>
    <x v="3589"/>
    <x v="3589"/>
    <x v="4"/>
    <x v="1"/>
    <x v="4"/>
    <x v="1"/>
    <x v="12"/>
    <x v="8"/>
    <x v="8"/>
    <x v="12"/>
    <x v="8"/>
    <x v="0"/>
    <x v="1"/>
    <x v="181"/>
    <s v="supplier@gmail.com"/>
  </r>
  <r>
    <x v="3590"/>
    <x v="3590"/>
    <x v="4"/>
    <x v="1"/>
    <x v="4"/>
    <x v="1"/>
    <x v="12"/>
    <x v="8"/>
    <x v="8"/>
    <x v="12"/>
    <x v="8"/>
    <x v="0"/>
    <x v="1"/>
    <x v="5"/>
    <s v="supplier@gmail.com"/>
  </r>
  <r>
    <x v="3591"/>
    <x v="3591"/>
    <x v="4"/>
    <x v="1"/>
    <x v="4"/>
    <x v="1"/>
    <x v="12"/>
    <x v="8"/>
    <x v="8"/>
    <x v="12"/>
    <x v="8"/>
    <x v="0"/>
    <x v="1"/>
    <x v="81"/>
    <s v="supplier@gmail.com"/>
  </r>
  <r>
    <x v="3592"/>
    <x v="3592"/>
    <x v="4"/>
    <x v="1"/>
    <x v="4"/>
    <x v="1"/>
    <x v="12"/>
    <x v="8"/>
    <x v="8"/>
    <x v="12"/>
    <x v="8"/>
    <x v="0"/>
    <x v="1"/>
    <x v="153"/>
    <s v="supplier@gmail.com"/>
  </r>
  <r>
    <x v="3593"/>
    <x v="3593"/>
    <x v="4"/>
    <x v="1"/>
    <x v="4"/>
    <x v="1"/>
    <x v="12"/>
    <x v="8"/>
    <x v="8"/>
    <x v="12"/>
    <x v="8"/>
    <x v="0"/>
    <x v="1"/>
    <x v="52"/>
    <s v="supplier@gmail.com"/>
  </r>
  <r>
    <x v="3594"/>
    <x v="3594"/>
    <x v="4"/>
    <x v="1"/>
    <x v="4"/>
    <x v="1"/>
    <x v="12"/>
    <x v="8"/>
    <x v="8"/>
    <x v="12"/>
    <x v="8"/>
    <x v="0"/>
    <x v="1"/>
    <x v="6"/>
    <s v="supplier@gmail.com"/>
  </r>
  <r>
    <x v="3595"/>
    <x v="3595"/>
    <x v="4"/>
    <x v="1"/>
    <x v="4"/>
    <x v="1"/>
    <x v="12"/>
    <x v="8"/>
    <x v="8"/>
    <x v="12"/>
    <x v="8"/>
    <x v="0"/>
    <x v="1"/>
    <x v="34"/>
    <s v="supplier@gmail.com"/>
  </r>
  <r>
    <x v="3596"/>
    <x v="3596"/>
    <x v="4"/>
    <x v="1"/>
    <x v="4"/>
    <x v="1"/>
    <x v="12"/>
    <x v="8"/>
    <x v="8"/>
    <x v="12"/>
    <x v="8"/>
    <x v="0"/>
    <x v="1"/>
    <x v="12"/>
    <s v="supplier@gmail.com"/>
  </r>
  <r>
    <x v="3597"/>
    <x v="3597"/>
    <x v="4"/>
    <x v="1"/>
    <x v="4"/>
    <x v="1"/>
    <x v="12"/>
    <x v="8"/>
    <x v="8"/>
    <x v="12"/>
    <x v="8"/>
    <x v="0"/>
    <x v="1"/>
    <x v="165"/>
    <s v="supplier@gmail.com"/>
  </r>
  <r>
    <x v="3598"/>
    <x v="3598"/>
    <x v="4"/>
    <x v="1"/>
    <x v="4"/>
    <x v="1"/>
    <x v="12"/>
    <x v="8"/>
    <x v="8"/>
    <x v="12"/>
    <x v="8"/>
    <x v="0"/>
    <x v="1"/>
    <x v="61"/>
    <s v="supplier@gmail.com"/>
  </r>
  <r>
    <x v="3599"/>
    <x v="3599"/>
    <x v="4"/>
    <x v="1"/>
    <x v="4"/>
    <x v="1"/>
    <x v="12"/>
    <x v="8"/>
    <x v="8"/>
    <x v="12"/>
    <x v="8"/>
    <x v="0"/>
    <x v="1"/>
    <x v="183"/>
    <s v="supplier@gmail.com"/>
  </r>
  <r>
    <x v="3600"/>
    <x v="3600"/>
    <x v="4"/>
    <x v="1"/>
    <x v="4"/>
    <x v="1"/>
    <x v="12"/>
    <x v="8"/>
    <x v="8"/>
    <x v="12"/>
    <x v="8"/>
    <x v="0"/>
    <x v="1"/>
    <x v="37"/>
    <s v="supplier@gmail.com"/>
  </r>
  <r>
    <x v="3601"/>
    <x v="3601"/>
    <x v="4"/>
    <x v="1"/>
    <x v="4"/>
    <x v="1"/>
    <x v="12"/>
    <x v="8"/>
    <x v="8"/>
    <x v="12"/>
    <x v="8"/>
    <x v="0"/>
    <x v="1"/>
    <x v="119"/>
    <s v="supplier@gmail.com"/>
  </r>
  <r>
    <x v="3602"/>
    <x v="3602"/>
    <x v="4"/>
    <x v="1"/>
    <x v="4"/>
    <x v="1"/>
    <x v="12"/>
    <x v="8"/>
    <x v="8"/>
    <x v="12"/>
    <x v="8"/>
    <x v="0"/>
    <x v="1"/>
    <x v="3"/>
    <s v="supplier@gmail.com"/>
  </r>
  <r>
    <x v="3603"/>
    <x v="3603"/>
    <x v="4"/>
    <x v="1"/>
    <x v="4"/>
    <x v="1"/>
    <x v="12"/>
    <x v="8"/>
    <x v="8"/>
    <x v="12"/>
    <x v="8"/>
    <x v="0"/>
    <x v="1"/>
    <x v="74"/>
    <s v="supplier@gmail.com"/>
  </r>
  <r>
    <x v="3604"/>
    <x v="3604"/>
    <x v="4"/>
    <x v="1"/>
    <x v="4"/>
    <x v="1"/>
    <x v="12"/>
    <x v="8"/>
    <x v="8"/>
    <x v="12"/>
    <x v="8"/>
    <x v="0"/>
    <x v="1"/>
    <x v="116"/>
    <s v="supplier@gmail.com"/>
  </r>
  <r>
    <x v="3605"/>
    <x v="3605"/>
    <x v="4"/>
    <x v="1"/>
    <x v="4"/>
    <x v="1"/>
    <x v="12"/>
    <x v="8"/>
    <x v="8"/>
    <x v="12"/>
    <x v="8"/>
    <x v="0"/>
    <x v="1"/>
    <x v="47"/>
    <s v="supplier@gmail.com"/>
  </r>
  <r>
    <x v="3606"/>
    <x v="3606"/>
    <x v="4"/>
    <x v="1"/>
    <x v="4"/>
    <x v="1"/>
    <x v="12"/>
    <x v="8"/>
    <x v="8"/>
    <x v="12"/>
    <x v="8"/>
    <x v="0"/>
    <x v="1"/>
    <x v="102"/>
    <s v="supplier@gmail.com"/>
  </r>
  <r>
    <x v="3607"/>
    <x v="3607"/>
    <x v="4"/>
    <x v="1"/>
    <x v="4"/>
    <x v="1"/>
    <x v="12"/>
    <x v="8"/>
    <x v="8"/>
    <x v="12"/>
    <x v="8"/>
    <x v="0"/>
    <x v="1"/>
    <x v="86"/>
    <s v="supplier@gmail.com"/>
  </r>
  <r>
    <x v="3608"/>
    <x v="3608"/>
    <x v="4"/>
    <x v="1"/>
    <x v="4"/>
    <x v="1"/>
    <x v="12"/>
    <x v="8"/>
    <x v="8"/>
    <x v="12"/>
    <x v="8"/>
    <x v="0"/>
    <x v="1"/>
    <x v="120"/>
    <s v="supplier@gmail.com"/>
  </r>
  <r>
    <x v="3609"/>
    <x v="3609"/>
    <x v="4"/>
    <x v="1"/>
    <x v="4"/>
    <x v="1"/>
    <x v="12"/>
    <x v="8"/>
    <x v="8"/>
    <x v="12"/>
    <x v="8"/>
    <x v="0"/>
    <x v="1"/>
    <x v="118"/>
    <s v="supplier@gmail.com"/>
  </r>
  <r>
    <x v="3610"/>
    <x v="3610"/>
    <x v="4"/>
    <x v="1"/>
    <x v="4"/>
    <x v="1"/>
    <x v="12"/>
    <x v="8"/>
    <x v="8"/>
    <x v="12"/>
    <x v="8"/>
    <x v="0"/>
    <x v="1"/>
    <x v="112"/>
    <s v="supplier@gmail.com"/>
  </r>
  <r>
    <x v="3611"/>
    <x v="3611"/>
    <x v="4"/>
    <x v="1"/>
    <x v="4"/>
    <x v="1"/>
    <x v="12"/>
    <x v="8"/>
    <x v="8"/>
    <x v="12"/>
    <x v="8"/>
    <x v="0"/>
    <x v="1"/>
    <x v="82"/>
    <s v="supplier@gmail.com"/>
  </r>
  <r>
    <x v="3612"/>
    <x v="3612"/>
    <x v="4"/>
    <x v="1"/>
    <x v="4"/>
    <x v="1"/>
    <x v="12"/>
    <x v="8"/>
    <x v="8"/>
    <x v="12"/>
    <x v="8"/>
    <x v="0"/>
    <x v="1"/>
    <x v="48"/>
    <s v="supplier@gmail.com"/>
  </r>
  <r>
    <x v="3613"/>
    <x v="3613"/>
    <x v="4"/>
    <x v="1"/>
    <x v="4"/>
    <x v="1"/>
    <x v="12"/>
    <x v="8"/>
    <x v="8"/>
    <x v="12"/>
    <x v="8"/>
    <x v="0"/>
    <x v="1"/>
    <x v="105"/>
    <s v="supplier@gmail.com"/>
  </r>
  <r>
    <x v="3614"/>
    <x v="3614"/>
    <x v="4"/>
    <x v="1"/>
    <x v="4"/>
    <x v="1"/>
    <x v="12"/>
    <x v="8"/>
    <x v="8"/>
    <x v="12"/>
    <x v="8"/>
    <x v="0"/>
    <x v="1"/>
    <x v="16"/>
    <s v="supplier@gmail.com"/>
  </r>
  <r>
    <x v="3615"/>
    <x v="3615"/>
    <x v="4"/>
    <x v="1"/>
    <x v="4"/>
    <x v="1"/>
    <x v="12"/>
    <x v="8"/>
    <x v="8"/>
    <x v="12"/>
    <x v="8"/>
    <x v="0"/>
    <x v="1"/>
    <x v="144"/>
    <s v="supplier@gmail.com"/>
  </r>
  <r>
    <x v="3616"/>
    <x v="3616"/>
    <x v="4"/>
    <x v="1"/>
    <x v="4"/>
    <x v="1"/>
    <x v="12"/>
    <x v="8"/>
    <x v="8"/>
    <x v="12"/>
    <x v="8"/>
    <x v="0"/>
    <x v="1"/>
    <x v="160"/>
    <s v="supplier@gmail.com"/>
  </r>
  <r>
    <x v="3617"/>
    <x v="3617"/>
    <x v="4"/>
    <x v="1"/>
    <x v="4"/>
    <x v="1"/>
    <x v="12"/>
    <x v="8"/>
    <x v="8"/>
    <x v="12"/>
    <x v="8"/>
    <x v="0"/>
    <x v="1"/>
    <x v="100"/>
    <s v="supplier@gmail.com"/>
  </r>
  <r>
    <x v="3618"/>
    <x v="3618"/>
    <x v="4"/>
    <x v="1"/>
    <x v="4"/>
    <x v="1"/>
    <x v="12"/>
    <x v="8"/>
    <x v="8"/>
    <x v="12"/>
    <x v="8"/>
    <x v="0"/>
    <x v="1"/>
    <x v="93"/>
    <s v="supplier@gmail.com"/>
  </r>
  <r>
    <x v="3619"/>
    <x v="3619"/>
    <x v="4"/>
    <x v="1"/>
    <x v="4"/>
    <x v="1"/>
    <x v="12"/>
    <x v="8"/>
    <x v="8"/>
    <x v="12"/>
    <x v="8"/>
    <x v="0"/>
    <x v="1"/>
    <x v="68"/>
    <s v="supplier@gmail.com"/>
  </r>
  <r>
    <x v="3620"/>
    <x v="3620"/>
    <x v="4"/>
    <x v="1"/>
    <x v="4"/>
    <x v="1"/>
    <x v="12"/>
    <x v="8"/>
    <x v="8"/>
    <x v="12"/>
    <x v="8"/>
    <x v="0"/>
    <x v="1"/>
    <x v="166"/>
    <s v="supplier@gmail.com"/>
  </r>
  <r>
    <x v="3621"/>
    <x v="3621"/>
    <x v="4"/>
    <x v="1"/>
    <x v="4"/>
    <x v="1"/>
    <x v="12"/>
    <x v="8"/>
    <x v="8"/>
    <x v="12"/>
    <x v="8"/>
    <x v="0"/>
    <x v="1"/>
    <x v="87"/>
    <s v="supplier@gmail.com"/>
  </r>
  <r>
    <x v="3622"/>
    <x v="3622"/>
    <x v="4"/>
    <x v="1"/>
    <x v="4"/>
    <x v="1"/>
    <x v="12"/>
    <x v="8"/>
    <x v="8"/>
    <x v="12"/>
    <x v="8"/>
    <x v="0"/>
    <x v="1"/>
    <x v="50"/>
    <s v="supplier@gmail.com"/>
  </r>
  <r>
    <x v="3623"/>
    <x v="3623"/>
    <x v="4"/>
    <x v="1"/>
    <x v="4"/>
    <x v="1"/>
    <x v="12"/>
    <x v="8"/>
    <x v="8"/>
    <x v="12"/>
    <x v="8"/>
    <x v="0"/>
    <x v="1"/>
    <x v="52"/>
    <s v="supplier@gmail.com"/>
  </r>
  <r>
    <x v="3624"/>
    <x v="3624"/>
    <x v="4"/>
    <x v="1"/>
    <x v="4"/>
    <x v="1"/>
    <x v="12"/>
    <x v="8"/>
    <x v="8"/>
    <x v="12"/>
    <x v="8"/>
    <x v="0"/>
    <x v="1"/>
    <x v="145"/>
    <s v="supplier@gmail.com"/>
  </r>
  <r>
    <x v="3625"/>
    <x v="3625"/>
    <x v="4"/>
    <x v="1"/>
    <x v="4"/>
    <x v="1"/>
    <x v="12"/>
    <x v="8"/>
    <x v="8"/>
    <x v="12"/>
    <x v="8"/>
    <x v="0"/>
    <x v="1"/>
    <x v="128"/>
    <s v="supplier@gmail.com"/>
  </r>
  <r>
    <x v="3626"/>
    <x v="3626"/>
    <x v="4"/>
    <x v="1"/>
    <x v="4"/>
    <x v="1"/>
    <x v="12"/>
    <x v="8"/>
    <x v="8"/>
    <x v="12"/>
    <x v="8"/>
    <x v="0"/>
    <x v="1"/>
    <x v="89"/>
    <s v="supplier@gmail.com"/>
  </r>
  <r>
    <x v="3627"/>
    <x v="3627"/>
    <x v="4"/>
    <x v="1"/>
    <x v="4"/>
    <x v="1"/>
    <x v="12"/>
    <x v="8"/>
    <x v="8"/>
    <x v="12"/>
    <x v="8"/>
    <x v="0"/>
    <x v="1"/>
    <x v="50"/>
    <s v="supplier@gmail.com"/>
  </r>
  <r>
    <x v="3628"/>
    <x v="3628"/>
    <x v="4"/>
    <x v="1"/>
    <x v="4"/>
    <x v="1"/>
    <x v="12"/>
    <x v="8"/>
    <x v="8"/>
    <x v="12"/>
    <x v="8"/>
    <x v="0"/>
    <x v="1"/>
    <x v="99"/>
    <s v="supplier@gmail.com"/>
  </r>
  <r>
    <x v="3629"/>
    <x v="3629"/>
    <x v="4"/>
    <x v="1"/>
    <x v="4"/>
    <x v="1"/>
    <x v="12"/>
    <x v="8"/>
    <x v="8"/>
    <x v="12"/>
    <x v="8"/>
    <x v="0"/>
    <x v="1"/>
    <x v="25"/>
    <s v="supplier@gmail.com"/>
  </r>
  <r>
    <x v="3630"/>
    <x v="3630"/>
    <x v="4"/>
    <x v="1"/>
    <x v="4"/>
    <x v="1"/>
    <x v="12"/>
    <x v="8"/>
    <x v="8"/>
    <x v="12"/>
    <x v="8"/>
    <x v="0"/>
    <x v="1"/>
    <x v="37"/>
    <s v="supplier@gmail.com"/>
  </r>
  <r>
    <x v="3631"/>
    <x v="3631"/>
    <x v="4"/>
    <x v="1"/>
    <x v="4"/>
    <x v="1"/>
    <x v="12"/>
    <x v="8"/>
    <x v="8"/>
    <x v="12"/>
    <x v="8"/>
    <x v="0"/>
    <x v="1"/>
    <x v="9"/>
    <s v="supplier@gmail.com"/>
  </r>
  <r>
    <x v="3632"/>
    <x v="3632"/>
    <x v="4"/>
    <x v="1"/>
    <x v="4"/>
    <x v="1"/>
    <x v="12"/>
    <x v="8"/>
    <x v="8"/>
    <x v="12"/>
    <x v="8"/>
    <x v="0"/>
    <x v="1"/>
    <x v="183"/>
    <s v="supplier@gmail.com"/>
  </r>
  <r>
    <x v="3633"/>
    <x v="3633"/>
    <x v="4"/>
    <x v="1"/>
    <x v="4"/>
    <x v="1"/>
    <x v="12"/>
    <x v="8"/>
    <x v="8"/>
    <x v="12"/>
    <x v="8"/>
    <x v="0"/>
    <x v="1"/>
    <x v="42"/>
    <s v="supplier@gmail.com"/>
  </r>
  <r>
    <x v="3634"/>
    <x v="3634"/>
    <x v="4"/>
    <x v="1"/>
    <x v="4"/>
    <x v="1"/>
    <x v="12"/>
    <x v="8"/>
    <x v="8"/>
    <x v="12"/>
    <x v="8"/>
    <x v="0"/>
    <x v="1"/>
    <x v="195"/>
    <s v="supplier@gmail.com"/>
  </r>
  <r>
    <x v="3635"/>
    <x v="3635"/>
    <x v="4"/>
    <x v="1"/>
    <x v="4"/>
    <x v="1"/>
    <x v="12"/>
    <x v="8"/>
    <x v="8"/>
    <x v="12"/>
    <x v="8"/>
    <x v="0"/>
    <x v="1"/>
    <x v="33"/>
    <s v="supplier@gmail.com"/>
  </r>
  <r>
    <x v="3636"/>
    <x v="3636"/>
    <x v="4"/>
    <x v="1"/>
    <x v="4"/>
    <x v="1"/>
    <x v="12"/>
    <x v="8"/>
    <x v="8"/>
    <x v="12"/>
    <x v="8"/>
    <x v="0"/>
    <x v="1"/>
    <x v="75"/>
    <s v="supplier@gmail.com"/>
  </r>
  <r>
    <x v="3637"/>
    <x v="3637"/>
    <x v="4"/>
    <x v="1"/>
    <x v="4"/>
    <x v="1"/>
    <x v="12"/>
    <x v="8"/>
    <x v="8"/>
    <x v="12"/>
    <x v="8"/>
    <x v="0"/>
    <x v="1"/>
    <x v="2"/>
    <s v="supplier@gmail.com"/>
  </r>
  <r>
    <x v="3638"/>
    <x v="3638"/>
    <x v="4"/>
    <x v="1"/>
    <x v="4"/>
    <x v="1"/>
    <x v="12"/>
    <x v="8"/>
    <x v="8"/>
    <x v="12"/>
    <x v="8"/>
    <x v="0"/>
    <x v="1"/>
    <x v="52"/>
    <s v="supplier@gmail.com"/>
  </r>
  <r>
    <x v="3639"/>
    <x v="3639"/>
    <x v="4"/>
    <x v="1"/>
    <x v="4"/>
    <x v="1"/>
    <x v="12"/>
    <x v="8"/>
    <x v="8"/>
    <x v="12"/>
    <x v="8"/>
    <x v="0"/>
    <x v="1"/>
    <x v="105"/>
    <s v="supplier@gmail.com"/>
  </r>
  <r>
    <x v="3640"/>
    <x v="3640"/>
    <x v="4"/>
    <x v="1"/>
    <x v="4"/>
    <x v="1"/>
    <x v="12"/>
    <x v="8"/>
    <x v="8"/>
    <x v="12"/>
    <x v="8"/>
    <x v="0"/>
    <x v="1"/>
    <x v="76"/>
    <s v="supplier@gmail.com"/>
  </r>
  <r>
    <x v="3641"/>
    <x v="3641"/>
    <x v="4"/>
    <x v="1"/>
    <x v="4"/>
    <x v="1"/>
    <x v="12"/>
    <x v="8"/>
    <x v="8"/>
    <x v="12"/>
    <x v="8"/>
    <x v="0"/>
    <x v="1"/>
    <x v="28"/>
    <s v="supplier@gmail.com"/>
  </r>
  <r>
    <x v="3642"/>
    <x v="3642"/>
    <x v="4"/>
    <x v="1"/>
    <x v="4"/>
    <x v="1"/>
    <x v="12"/>
    <x v="8"/>
    <x v="8"/>
    <x v="12"/>
    <x v="8"/>
    <x v="0"/>
    <x v="1"/>
    <x v="154"/>
    <s v="supplier@gmail.com"/>
  </r>
  <r>
    <x v="3643"/>
    <x v="3643"/>
    <x v="4"/>
    <x v="1"/>
    <x v="4"/>
    <x v="1"/>
    <x v="12"/>
    <x v="8"/>
    <x v="8"/>
    <x v="12"/>
    <x v="8"/>
    <x v="0"/>
    <x v="1"/>
    <x v="11"/>
    <s v="supplier@gmail.com"/>
  </r>
  <r>
    <x v="3644"/>
    <x v="3644"/>
    <x v="4"/>
    <x v="1"/>
    <x v="4"/>
    <x v="1"/>
    <x v="12"/>
    <x v="8"/>
    <x v="8"/>
    <x v="12"/>
    <x v="8"/>
    <x v="0"/>
    <x v="1"/>
    <x v="46"/>
    <s v="supplier@gmail.com"/>
  </r>
  <r>
    <x v="3645"/>
    <x v="3645"/>
    <x v="4"/>
    <x v="1"/>
    <x v="4"/>
    <x v="1"/>
    <x v="12"/>
    <x v="8"/>
    <x v="8"/>
    <x v="12"/>
    <x v="8"/>
    <x v="0"/>
    <x v="1"/>
    <x v="84"/>
    <s v="supplier@gmail.com"/>
  </r>
  <r>
    <x v="3646"/>
    <x v="3646"/>
    <x v="4"/>
    <x v="1"/>
    <x v="4"/>
    <x v="1"/>
    <x v="12"/>
    <x v="8"/>
    <x v="8"/>
    <x v="12"/>
    <x v="8"/>
    <x v="0"/>
    <x v="1"/>
    <x v="159"/>
    <s v="supplier@gmail.com"/>
  </r>
  <r>
    <x v="3647"/>
    <x v="3647"/>
    <x v="4"/>
    <x v="1"/>
    <x v="4"/>
    <x v="1"/>
    <x v="12"/>
    <x v="8"/>
    <x v="8"/>
    <x v="12"/>
    <x v="8"/>
    <x v="0"/>
    <x v="1"/>
    <x v="188"/>
    <s v="supplier@gmail.com"/>
  </r>
  <r>
    <x v="3648"/>
    <x v="3648"/>
    <x v="4"/>
    <x v="1"/>
    <x v="4"/>
    <x v="1"/>
    <x v="12"/>
    <x v="8"/>
    <x v="8"/>
    <x v="12"/>
    <x v="8"/>
    <x v="0"/>
    <x v="1"/>
    <x v="112"/>
    <s v="supplier@gmail.com"/>
  </r>
  <r>
    <x v="3649"/>
    <x v="3649"/>
    <x v="4"/>
    <x v="1"/>
    <x v="4"/>
    <x v="1"/>
    <x v="12"/>
    <x v="8"/>
    <x v="8"/>
    <x v="12"/>
    <x v="8"/>
    <x v="0"/>
    <x v="1"/>
    <x v="116"/>
    <s v="supplier@gmail.com"/>
  </r>
  <r>
    <x v="3650"/>
    <x v="3650"/>
    <x v="4"/>
    <x v="1"/>
    <x v="4"/>
    <x v="1"/>
    <x v="12"/>
    <x v="8"/>
    <x v="8"/>
    <x v="12"/>
    <x v="8"/>
    <x v="0"/>
    <x v="1"/>
    <x v="100"/>
    <s v="supplier@gmail.com"/>
  </r>
  <r>
    <x v="3651"/>
    <x v="3651"/>
    <x v="4"/>
    <x v="1"/>
    <x v="4"/>
    <x v="1"/>
    <x v="12"/>
    <x v="8"/>
    <x v="8"/>
    <x v="12"/>
    <x v="8"/>
    <x v="0"/>
    <x v="1"/>
    <x v="194"/>
    <s v="supplier@gmail.com"/>
  </r>
  <r>
    <x v="3652"/>
    <x v="3652"/>
    <x v="4"/>
    <x v="1"/>
    <x v="4"/>
    <x v="1"/>
    <x v="12"/>
    <x v="8"/>
    <x v="8"/>
    <x v="12"/>
    <x v="8"/>
    <x v="0"/>
    <x v="1"/>
    <x v="100"/>
    <s v="supplier@gmail.com"/>
  </r>
  <r>
    <x v="3653"/>
    <x v="3653"/>
    <x v="4"/>
    <x v="1"/>
    <x v="4"/>
    <x v="1"/>
    <x v="12"/>
    <x v="8"/>
    <x v="8"/>
    <x v="12"/>
    <x v="8"/>
    <x v="0"/>
    <x v="1"/>
    <x v="50"/>
    <s v="supplier@gmail.com"/>
  </r>
  <r>
    <x v="3654"/>
    <x v="3654"/>
    <x v="4"/>
    <x v="1"/>
    <x v="4"/>
    <x v="1"/>
    <x v="12"/>
    <x v="8"/>
    <x v="8"/>
    <x v="12"/>
    <x v="8"/>
    <x v="0"/>
    <x v="1"/>
    <x v="33"/>
    <s v="supplier@gmail.com"/>
  </r>
  <r>
    <x v="3655"/>
    <x v="3655"/>
    <x v="4"/>
    <x v="1"/>
    <x v="4"/>
    <x v="1"/>
    <x v="12"/>
    <x v="8"/>
    <x v="8"/>
    <x v="12"/>
    <x v="8"/>
    <x v="0"/>
    <x v="1"/>
    <x v="28"/>
    <s v="supplier@gmail.com"/>
  </r>
  <r>
    <x v="3656"/>
    <x v="3656"/>
    <x v="4"/>
    <x v="1"/>
    <x v="4"/>
    <x v="1"/>
    <x v="12"/>
    <x v="8"/>
    <x v="8"/>
    <x v="12"/>
    <x v="8"/>
    <x v="0"/>
    <x v="1"/>
    <x v="83"/>
    <s v="supplier@gmail.com"/>
  </r>
  <r>
    <x v="3657"/>
    <x v="3657"/>
    <x v="4"/>
    <x v="1"/>
    <x v="4"/>
    <x v="1"/>
    <x v="12"/>
    <x v="8"/>
    <x v="8"/>
    <x v="12"/>
    <x v="8"/>
    <x v="0"/>
    <x v="1"/>
    <x v="93"/>
    <s v="supplier@gmail.com"/>
  </r>
  <r>
    <x v="3658"/>
    <x v="3658"/>
    <x v="4"/>
    <x v="1"/>
    <x v="4"/>
    <x v="1"/>
    <x v="12"/>
    <x v="8"/>
    <x v="8"/>
    <x v="12"/>
    <x v="8"/>
    <x v="0"/>
    <x v="1"/>
    <x v="0"/>
    <s v="supplier@gmail.com"/>
  </r>
  <r>
    <x v="3659"/>
    <x v="3659"/>
    <x v="4"/>
    <x v="1"/>
    <x v="4"/>
    <x v="1"/>
    <x v="12"/>
    <x v="8"/>
    <x v="8"/>
    <x v="12"/>
    <x v="8"/>
    <x v="0"/>
    <x v="1"/>
    <x v="42"/>
    <s v="supplier@gmail.com"/>
  </r>
  <r>
    <x v="3660"/>
    <x v="3660"/>
    <x v="4"/>
    <x v="1"/>
    <x v="4"/>
    <x v="1"/>
    <x v="12"/>
    <x v="8"/>
    <x v="8"/>
    <x v="12"/>
    <x v="8"/>
    <x v="0"/>
    <x v="1"/>
    <x v="152"/>
    <s v="supplier@gmail.com"/>
  </r>
  <r>
    <x v="3661"/>
    <x v="3661"/>
    <x v="4"/>
    <x v="1"/>
    <x v="4"/>
    <x v="1"/>
    <x v="12"/>
    <x v="8"/>
    <x v="8"/>
    <x v="12"/>
    <x v="8"/>
    <x v="0"/>
    <x v="1"/>
    <x v="49"/>
    <s v="supplier@gmail.com"/>
  </r>
  <r>
    <x v="3662"/>
    <x v="3662"/>
    <x v="4"/>
    <x v="1"/>
    <x v="4"/>
    <x v="1"/>
    <x v="12"/>
    <x v="8"/>
    <x v="8"/>
    <x v="12"/>
    <x v="8"/>
    <x v="0"/>
    <x v="1"/>
    <x v="8"/>
    <s v="supplier@gmail.com"/>
  </r>
  <r>
    <x v="3663"/>
    <x v="3663"/>
    <x v="4"/>
    <x v="1"/>
    <x v="4"/>
    <x v="1"/>
    <x v="12"/>
    <x v="8"/>
    <x v="8"/>
    <x v="12"/>
    <x v="8"/>
    <x v="0"/>
    <x v="1"/>
    <x v="34"/>
    <s v="supplier@gmail.com"/>
  </r>
  <r>
    <x v="3664"/>
    <x v="3664"/>
    <x v="4"/>
    <x v="1"/>
    <x v="4"/>
    <x v="1"/>
    <x v="12"/>
    <x v="8"/>
    <x v="8"/>
    <x v="12"/>
    <x v="8"/>
    <x v="0"/>
    <x v="1"/>
    <x v="22"/>
    <s v="supplier@gmail.com"/>
  </r>
  <r>
    <x v="3665"/>
    <x v="3665"/>
    <x v="4"/>
    <x v="1"/>
    <x v="4"/>
    <x v="1"/>
    <x v="12"/>
    <x v="8"/>
    <x v="8"/>
    <x v="12"/>
    <x v="8"/>
    <x v="0"/>
    <x v="1"/>
    <x v="103"/>
    <s v="supplier@gmail.com"/>
  </r>
  <r>
    <x v="3666"/>
    <x v="3666"/>
    <x v="4"/>
    <x v="1"/>
    <x v="4"/>
    <x v="1"/>
    <x v="12"/>
    <x v="8"/>
    <x v="8"/>
    <x v="12"/>
    <x v="8"/>
    <x v="0"/>
    <x v="1"/>
    <x v="54"/>
    <s v="supplier@gmail.com"/>
  </r>
  <r>
    <x v="3667"/>
    <x v="3667"/>
    <x v="4"/>
    <x v="1"/>
    <x v="4"/>
    <x v="1"/>
    <x v="12"/>
    <x v="8"/>
    <x v="8"/>
    <x v="12"/>
    <x v="8"/>
    <x v="0"/>
    <x v="1"/>
    <x v="103"/>
    <s v="supplier@gmail.com"/>
  </r>
  <r>
    <x v="3668"/>
    <x v="3668"/>
    <x v="4"/>
    <x v="1"/>
    <x v="4"/>
    <x v="1"/>
    <x v="12"/>
    <x v="8"/>
    <x v="8"/>
    <x v="12"/>
    <x v="8"/>
    <x v="0"/>
    <x v="1"/>
    <x v="84"/>
    <s v="supplier@gmail.com"/>
  </r>
  <r>
    <x v="3669"/>
    <x v="3669"/>
    <x v="4"/>
    <x v="1"/>
    <x v="4"/>
    <x v="1"/>
    <x v="12"/>
    <x v="8"/>
    <x v="8"/>
    <x v="12"/>
    <x v="8"/>
    <x v="0"/>
    <x v="1"/>
    <x v="32"/>
    <s v="supplier@gmail.com"/>
  </r>
  <r>
    <x v="3670"/>
    <x v="3670"/>
    <x v="4"/>
    <x v="1"/>
    <x v="4"/>
    <x v="1"/>
    <x v="12"/>
    <x v="8"/>
    <x v="8"/>
    <x v="12"/>
    <x v="8"/>
    <x v="0"/>
    <x v="1"/>
    <x v="127"/>
    <s v="supplier@gmail.com"/>
  </r>
  <r>
    <x v="3671"/>
    <x v="3671"/>
    <x v="4"/>
    <x v="1"/>
    <x v="4"/>
    <x v="1"/>
    <x v="12"/>
    <x v="8"/>
    <x v="8"/>
    <x v="12"/>
    <x v="8"/>
    <x v="0"/>
    <x v="1"/>
    <x v="146"/>
    <s v="supplier@gmail.com"/>
  </r>
  <r>
    <x v="3672"/>
    <x v="3672"/>
    <x v="4"/>
    <x v="1"/>
    <x v="4"/>
    <x v="1"/>
    <x v="12"/>
    <x v="8"/>
    <x v="8"/>
    <x v="12"/>
    <x v="8"/>
    <x v="0"/>
    <x v="1"/>
    <x v="147"/>
    <s v="supplier@gmail.com"/>
  </r>
  <r>
    <x v="3673"/>
    <x v="3673"/>
    <x v="4"/>
    <x v="1"/>
    <x v="4"/>
    <x v="1"/>
    <x v="12"/>
    <x v="8"/>
    <x v="8"/>
    <x v="12"/>
    <x v="8"/>
    <x v="0"/>
    <x v="1"/>
    <x v="46"/>
    <s v="supplier@gmail.com"/>
  </r>
  <r>
    <x v="3674"/>
    <x v="3674"/>
    <x v="4"/>
    <x v="1"/>
    <x v="4"/>
    <x v="1"/>
    <x v="12"/>
    <x v="8"/>
    <x v="8"/>
    <x v="12"/>
    <x v="8"/>
    <x v="0"/>
    <x v="1"/>
    <x v="59"/>
    <s v="supplier@gmail.com"/>
  </r>
  <r>
    <x v="3675"/>
    <x v="3675"/>
    <x v="4"/>
    <x v="1"/>
    <x v="4"/>
    <x v="1"/>
    <x v="12"/>
    <x v="8"/>
    <x v="8"/>
    <x v="12"/>
    <x v="8"/>
    <x v="0"/>
    <x v="1"/>
    <x v="174"/>
    <s v="supplier@gmail.com"/>
  </r>
  <r>
    <x v="3676"/>
    <x v="3676"/>
    <x v="4"/>
    <x v="1"/>
    <x v="4"/>
    <x v="1"/>
    <x v="12"/>
    <x v="8"/>
    <x v="8"/>
    <x v="12"/>
    <x v="8"/>
    <x v="0"/>
    <x v="1"/>
    <x v="17"/>
    <s v="supplier@gmail.com"/>
  </r>
  <r>
    <x v="3677"/>
    <x v="3677"/>
    <x v="4"/>
    <x v="1"/>
    <x v="4"/>
    <x v="1"/>
    <x v="12"/>
    <x v="8"/>
    <x v="8"/>
    <x v="12"/>
    <x v="8"/>
    <x v="0"/>
    <x v="1"/>
    <x v="29"/>
    <s v="supplier@gmail.com"/>
  </r>
  <r>
    <x v="3678"/>
    <x v="3678"/>
    <x v="4"/>
    <x v="1"/>
    <x v="4"/>
    <x v="1"/>
    <x v="12"/>
    <x v="8"/>
    <x v="8"/>
    <x v="12"/>
    <x v="8"/>
    <x v="0"/>
    <x v="1"/>
    <x v="162"/>
    <s v="supplier@gmail.com"/>
  </r>
  <r>
    <x v="3679"/>
    <x v="3679"/>
    <x v="4"/>
    <x v="1"/>
    <x v="4"/>
    <x v="1"/>
    <x v="12"/>
    <x v="8"/>
    <x v="8"/>
    <x v="12"/>
    <x v="8"/>
    <x v="0"/>
    <x v="1"/>
    <x v="48"/>
    <s v="supplier@gmail.com"/>
  </r>
  <r>
    <x v="3680"/>
    <x v="3680"/>
    <x v="4"/>
    <x v="1"/>
    <x v="4"/>
    <x v="1"/>
    <x v="12"/>
    <x v="8"/>
    <x v="8"/>
    <x v="12"/>
    <x v="8"/>
    <x v="0"/>
    <x v="1"/>
    <x v="85"/>
    <s v="supplier@gmail.com"/>
  </r>
  <r>
    <x v="3681"/>
    <x v="3681"/>
    <x v="4"/>
    <x v="1"/>
    <x v="4"/>
    <x v="1"/>
    <x v="12"/>
    <x v="8"/>
    <x v="8"/>
    <x v="12"/>
    <x v="8"/>
    <x v="0"/>
    <x v="1"/>
    <x v="139"/>
    <s v="supplier@gmail.com"/>
  </r>
  <r>
    <x v="3682"/>
    <x v="3682"/>
    <x v="4"/>
    <x v="1"/>
    <x v="4"/>
    <x v="1"/>
    <x v="12"/>
    <x v="8"/>
    <x v="8"/>
    <x v="12"/>
    <x v="8"/>
    <x v="0"/>
    <x v="1"/>
    <x v="56"/>
    <s v="supplier@gmail.com"/>
  </r>
  <r>
    <x v="3683"/>
    <x v="3683"/>
    <x v="4"/>
    <x v="1"/>
    <x v="4"/>
    <x v="1"/>
    <x v="12"/>
    <x v="8"/>
    <x v="8"/>
    <x v="12"/>
    <x v="8"/>
    <x v="0"/>
    <x v="1"/>
    <x v="136"/>
    <s v="supplier@gmail.com"/>
  </r>
  <r>
    <x v="3684"/>
    <x v="3684"/>
    <x v="4"/>
    <x v="1"/>
    <x v="4"/>
    <x v="1"/>
    <x v="12"/>
    <x v="8"/>
    <x v="8"/>
    <x v="12"/>
    <x v="8"/>
    <x v="0"/>
    <x v="1"/>
    <x v="52"/>
    <s v="supplier@gmail.com"/>
  </r>
  <r>
    <x v="3685"/>
    <x v="3685"/>
    <x v="4"/>
    <x v="1"/>
    <x v="4"/>
    <x v="1"/>
    <x v="12"/>
    <x v="8"/>
    <x v="8"/>
    <x v="12"/>
    <x v="8"/>
    <x v="0"/>
    <x v="1"/>
    <x v="182"/>
    <s v="supplier@gmail.com"/>
  </r>
  <r>
    <x v="3686"/>
    <x v="3686"/>
    <x v="4"/>
    <x v="1"/>
    <x v="4"/>
    <x v="1"/>
    <x v="12"/>
    <x v="8"/>
    <x v="8"/>
    <x v="12"/>
    <x v="8"/>
    <x v="0"/>
    <x v="1"/>
    <x v="195"/>
    <s v="supplier@gmail.com"/>
  </r>
  <r>
    <x v="3687"/>
    <x v="3687"/>
    <x v="4"/>
    <x v="1"/>
    <x v="4"/>
    <x v="1"/>
    <x v="12"/>
    <x v="8"/>
    <x v="8"/>
    <x v="12"/>
    <x v="8"/>
    <x v="0"/>
    <x v="1"/>
    <x v="90"/>
    <s v="supplier@gmail.com"/>
  </r>
  <r>
    <x v="3688"/>
    <x v="3688"/>
    <x v="4"/>
    <x v="1"/>
    <x v="4"/>
    <x v="1"/>
    <x v="12"/>
    <x v="8"/>
    <x v="8"/>
    <x v="12"/>
    <x v="8"/>
    <x v="0"/>
    <x v="1"/>
    <x v="83"/>
    <s v="supplier@gmail.com"/>
  </r>
  <r>
    <x v="3689"/>
    <x v="3689"/>
    <x v="4"/>
    <x v="1"/>
    <x v="4"/>
    <x v="1"/>
    <x v="12"/>
    <x v="8"/>
    <x v="8"/>
    <x v="12"/>
    <x v="8"/>
    <x v="0"/>
    <x v="1"/>
    <x v="48"/>
    <s v="supplier@gmail.com"/>
  </r>
  <r>
    <x v="3690"/>
    <x v="3690"/>
    <x v="4"/>
    <x v="1"/>
    <x v="4"/>
    <x v="1"/>
    <x v="12"/>
    <x v="8"/>
    <x v="8"/>
    <x v="12"/>
    <x v="8"/>
    <x v="0"/>
    <x v="1"/>
    <x v="148"/>
    <s v="supplier@gmail.com"/>
  </r>
  <r>
    <x v="3691"/>
    <x v="3691"/>
    <x v="4"/>
    <x v="1"/>
    <x v="4"/>
    <x v="1"/>
    <x v="12"/>
    <x v="8"/>
    <x v="8"/>
    <x v="12"/>
    <x v="8"/>
    <x v="0"/>
    <x v="1"/>
    <x v="113"/>
    <s v="supplier@gmail.com"/>
  </r>
  <r>
    <x v="3692"/>
    <x v="3692"/>
    <x v="4"/>
    <x v="1"/>
    <x v="4"/>
    <x v="1"/>
    <x v="12"/>
    <x v="8"/>
    <x v="8"/>
    <x v="12"/>
    <x v="8"/>
    <x v="0"/>
    <x v="1"/>
    <x v="136"/>
    <s v="supplier@gmail.com"/>
  </r>
  <r>
    <x v="3693"/>
    <x v="3693"/>
    <x v="4"/>
    <x v="1"/>
    <x v="4"/>
    <x v="1"/>
    <x v="12"/>
    <x v="8"/>
    <x v="8"/>
    <x v="12"/>
    <x v="8"/>
    <x v="0"/>
    <x v="1"/>
    <x v="48"/>
    <s v="supplier@gmail.com"/>
  </r>
  <r>
    <x v="3694"/>
    <x v="3694"/>
    <x v="4"/>
    <x v="1"/>
    <x v="4"/>
    <x v="1"/>
    <x v="12"/>
    <x v="8"/>
    <x v="8"/>
    <x v="12"/>
    <x v="8"/>
    <x v="0"/>
    <x v="1"/>
    <x v="72"/>
    <s v="supplier@gmail.com"/>
  </r>
  <r>
    <x v="3695"/>
    <x v="3695"/>
    <x v="4"/>
    <x v="1"/>
    <x v="4"/>
    <x v="1"/>
    <x v="12"/>
    <x v="8"/>
    <x v="8"/>
    <x v="12"/>
    <x v="8"/>
    <x v="0"/>
    <x v="1"/>
    <x v="190"/>
    <s v="supplier@gmail.com"/>
  </r>
  <r>
    <x v="3696"/>
    <x v="3696"/>
    <x v="4"/>
    <x v="1"/>
    <x v="4"/>
    <x v="1"/>
    <x v="12"/>
    <x v="8"/>
    <x v="8"/>
    <x v="12"/>
    <x v="8"/>
    <x v="0"/>
    <x v="1"/>
    <x v="162"/>
    <s v="supplier@gmail.com"/>
  </r>
  <r>
    <x v="3697"/>
    <x v="3697"/>
    <x v="4"/>
    <x v="1"/>
    <x v="4"/>
    <x v="1"/>
    <x v="12"/>
    <x v="8"/>
    <x v="8"/>
    <x v="12"/>
    <x v="8"/>
    <x v="0"/>
    <x v="1"/>
    <x v="15"/>
    <s v="supplier@gmail.com"/>
  </r>
  <r>
    <x v="3698"/>
    <x v="3698"/>
    <x v="4"/>
    <x v="1"/>
    <x v="4"/>
    <x v="1"/>
    <x v="12"/>
    <x v="8"/>
    <x v="8"/>
    <x v="12"/>
    <x v="8"/>
    <x v="0"/>
    <x v="1"/>
    <x v="9"/>
    <s v="supplier@gmail.com"/>
  </r>
  <r>
    <x v="3699"/>
    <x v="3699"/>
    <x v="4"/>
    <x v="1"/>
    <x v="4"/>
    <x v="1"/>
    <x v="12"/>
    <x v="8"/>
    <x v="8"/>
    <x v="12"/>
    <x v="8"/>
    <x v="0"/>
    <x v="1"/>
    <x v="126"/>
    <s v="supplier@gmail.com"/>
  </r>
  <r>
    <x v="3700"/>
    <x v="3700"/>
    <x v="4"/>
    <x v="1"/>
    <x v="4"/>
    <x v="1"/>
    <x v="12"/>
    <x v="8"/>
    <x v="8"/>
    <x v="12"/>
    <x v="8"/>
    <x v="0"/>
    <x v="1"/>
    <x v="31"/>
    <s v="supplier@gmail.com"/>
  </r>
  <r>
    <x v="3701"/>
    <x v="3701"/>
    <x v="4"/>
    <x v="1"/>
    <x v="4"/>
    <x v="1"/>
    <x v="12"/>
    <x v="8"/>
    <x v="8"/>
    <x v="12"/>
    <x v="8"/>
    <x v="0"/>
    <x v="1"/>
    <x v="122"/>
    <s v="supplier@gmail.com"/>
  </r>
  <r>
    <x v="3702"/>
    <x v="3702"/>
    <x v="4"/>
    <x v="1"/>
    <x v="4"/>
    <x v="1"/>
    <x v="12"/>
    <x v="8"/>
    <x v="8"/>
    <x v="12"/>
    <x v="8"/>
    <x v="0"/>
    <x v="1"/>
    <x v="80"/>
    <s v="supplier@gmail.com"/>
  </r>
  <r>
    <x v="3703"/>
    <x v="3703"/>
    <x v="4"/>
    <x v="1"/>
    <x v="4"/>
    <x v="1"/>
    <x v="12"/>
    <x v="8"/>
    <x v="8"/>
    <x v="12"/>
    <x v="8"/>
    <x v="0"/>
    <x v="1"/>
    <x v="174"/>
    <s v="supplier@gmail.com"/>
  </r>
  <r>
    <x v="3704"/>
    <x v="3704"/>
    <x v="4"/>
    <x v="1"/>
    <x v="4"/>
    <x v="1"/>
    <x v="12"/>
    <x v="8"/>
    <x v="8"/>
    <x v="12"/>
    <x v="8"/>
    <x v="0"/>
    <x v="1"/>
    <x v="89"/>
    <s v="supplier@gmail.com"/>
  </r>
  <r>
    <x v="3705"/>
    <x v="3705"/>
    <x v="4"/>
    <x v="1"/>
    <x v="4"/>
    <x v="1"/>
    <x v="12"/>
    <x v="8"/>
    <x v="8"/>
    <x v="12"/>
    <x v="8"/>
    <x v="0"/>
    <x v="1"/>
    <x v="76"/>
    <s v="supplier@gmail.com"/>
  </r>
  <r>
    <x v="3706"/>
    <x v="3706"/>
    <x v="4"/>
    <x v="1"/>
    <x v="4"/>
    <x v="1"/>
    <x v="12"/>
    <x v="8"/>
    <x v="8"/>
    <x v="12"/>
    <x v="8"/>
    <x v="0"/>
    <x v="1"/>
    <x v="152"/>
    <s v="supplier@gmail.com"/>
  </r>
  <r>
    <x v="3707"/>
    <x v="3707"/>
    <x v="4"/>
    <x v="1"/>
    <x v="4"/>
    <x v="1"/>
    <x v="12"/>
    <x v="8"/>
    <x v="8"/>
    <x v="12"/>
    <x v="8"/>
    <x v="0"/>
    <x v="1"/>
    <x v="134"/>
    <s v="supplier@gmail.com"/>
  </r>
  <r>
    <x v="3708"/>
    <x v="3708"/>
    <x v="4"/>
    <x v="1"/>
    <x v="4"/>
    <x v="1"/>
    <x v="12"/>
    <x v="8"/>
    <x v="8"/>
    <x v="12"/>
    <x v="8"/>
    <x v="0"/>
    <x v="1"/>
    <x v="128"/>
    <s v="supplier@gmail.com"/>
  </r>
  <r>
    <x v="3709"/>
    <x v="3709"/>
    <x v="4"/>
    <x v="1"/>
    <x v="4"/>
    <x v="1"/>
    <x v="12"/>
    <x v="8"/>
    <x v="8"/>
    <x v="12"/>
    <x v="8"/>
    <x v="0"/>
    <x v="1"/>
    <x v="30"/>
    <s v="supplier@gmail.com"/>
  </r>
  <r>
    <x v="3710"/>
    <x v="3710"/>
    <x v="4"/>
    <x v="1"/>
    <x v="4"/>
    <x v="1"/>
    <x v="12"/>
    <x v="8"/>
    <x v="8"/>
    <x v="12"/>
    <x v="8"/>
    <x v="0"/>
    <x v="1"/>
    <x v="195"/>
    <s v="supplier@gmail.com"/>
  </r>
  <r>
    <x v="3711"/>
    <x v="3711"/>
    <x v="4"/>
    <x v="1"/>
    <x v="4"/>
    <x v="1"/>
    <x v="12"/>
    <x v="8"/>
    <x v="8"/>
    <x v="12"/>
    <x v="8"/>
    <x v="0"/>
    <x v="1"/>
    <x v="8"/>
    <s v="supplier@gmail.com"/>
  </r>
  <r>
    <x v="3712"/>
    <x v="3712"/>
    <x v="4"/>
    <x v="1"/>
    <x v="4"/>
    <x v="1"/>
    <x v="12"/>
    <x v="8"/>
    <x v="8"/>
    <x v="12"/>
    <x v="8"/>
    <x v="0"/>
    <x v="1"/>
    <x v="83"/>
    <s v="supplier@gmail.com"/>
  </r>
  <r>
    <x v="3713"/>
    <x v="3713"/>
    <x v="4"/>
    <x v="1"/>
    <x v="4"/>
    <x v="1"/>
    <x v="12"/>
    <x v="8"/>
    <x v="8"/>
    <x v="12"/>
    <x v="8"/>
    <x v="0"/>
    <x v="1"/>
    <x v="42"/>
    <s v="supplier@gmail.com"/>
  </r>
  <r>
    <x v="3714"/>
    <x v="3714"/>
    <x v="4"/>
    <x v="1"/>
    <x v="4"/>
    <x v="1"/>
    <x v="12"/>
    <x v="8"/>
    <x v="8"/>
    <x v="12"/>
    <x v="8"/>
    <x v="0"/>
    <x v="1"/>
    <x v="83"/>
    <s v="supplier@gmail.com"/>
  </r>
  <r>
    <x v="3715"/>
    <x v="3715"/>
    <x v="4"/>
    <x v="1"/>
    <x v="4"/>
    <x v="1"/>
    <x v="12"/>
    <x v="8"/>
    <x v="8"/>
    <x v="12"/>
    <x v="8"/>
    <x v="0"/>
    <x v="1"/>
    <x v="92"/>
    <s v="supplier@gmail.com"/>
  </r>
  <r>
    <x v="3716"/>
    <x v="3716"/>
    <x v="4"/>
    <x v="1"/>
    <x v="4"/>
    <x v="1"/>
    <x v="12"/>
    <x v="8"/>
    <x v="8"/>
    <x v="12"/>
    <x v="8"/>
    <x v="0"/>
    <x v="1"/>
    <x v="174"/>
    <s v="supplier@gmail.com"/>
  </r>
  <r>
    <x v="3717"/>
    <x v="3717"/>
    <x v="4"/>
    <x v="1"/>
    <x v="4"/>
    <x v="1"/>
    <x v="12"/>
    <x v="8"/>
    <x v="8"/>
    <x v="12"/>
    <x v="8"/>
    <x v="0"/>
    <x v="1"/>
    <x v="194"/>
    <s v="supplier@gmail.com"/>
  </r>
  <r>
    <x v="3718"/>
    <x v="3718"/>
    <x v="4"/>
    <x v="1"/>
    <x v="4"/>
    <x v="1"/>
    <x v="12"/>
    <x v="8"/>
    <x v="8"/>
    <x v="12"/>
    <x v="8"/>
    <x v="0"/>
    <x v="1"/>
    <x v="141"/>
    <s v="supplier@gmail.com"/>
  </r>
  <r>
    <x v="3719"/>
    <x v="3719"/>
    <x v="4"/>
    <x v="1"/>
    <x v="4"/>
    <x v="1"/>
    <x v="12"/>
    <x v="8"/>
    <x v="8"/>
    <x v="12"/>
    <x v="8"/>
    <x v="0"/>
    <x v="1"/>
    <x v="132"/>
    <s v="supplier@gmail.com"/>
  </r>
  <r>
    <x v="3720"/>
    <x v="3720"/>
    <x v="4"/>
    <x v="1"/>
    <x v="4"/>
    <x v="1"/>
    <x v="12"/>
    <x v="8"/>
    <x v="8"/>
    <x v="12"/>
    <x v="8"/>
    <x v="0"/>
    <x v="1"/>
    <x v="188"/>
    <s v="supplier@gmail.com"/>
  </r>
  <r>
    <x v="3721"/>
    <x v="3721"/>
    <x v="4"/>
    <x v="1"/>
    <x v="4"/>
    <x v="1"/>
    <x v="12"/>
    <x v="8"/>
    <x v="8"/>
    <x v="12"/>
    <x v="8"/>
    <x v="0"/>
    <x v="1"/>
    <x v="68"/>
    <s v="supplier@gmail.com"/>
  </r>
  <r>
    <x v="3722"/>
    <x v="3722"/>
    <x v="4"/>
    <x v="1"/>
    <x v="4"/>
    <x v="1"/>
    <x v="12"/>
    <x v="8"/>
    <x v="8"/>
    <x v="12"/>
    <x v="8"/>
    <x v="0"/>
    <x v="1"/>
    <x v="55"/>
    <s v="supplier@gmail.com"/>
  </r>
  <r>
    <x v="3723"/>
    <x v="3723"/>
    <x v="4"/>
    <x v="1"/>
    <x v="4"/>
    <x v="1"/>
    <x v="12"/>
    <x v="8"/>
    <x v="8"/>
    <x v="12"/>
    <x v="8"/>
    <x v="0"/>
    <x v="1"/>
    <x v="120"/>
    <s v="supplier@gmail.com"/>
  </r>
  <r>
    <x v="3724"/>
    <x v="3724"/>
    <x v="4"/>
    <x v="1"/>
    <x v="4"/>
    <x v="1"/>
    <x v="12"/>
    <x v="8"/>
    <x v="8"/>
    <x v="12"/>
    <x v="8"/>
    <x v="0"/>
    <x v="1"/>
    <x v="167"/>
    <s v="supplier@gmail.com"/>
  </r>
  <r>
    <x v="3725"/>
    <x v="3725"/>
    <x v="4"/>
    <x v="1"/>
    <x v="4"/>
    <x v="1"/>
    <x v="12"/>
    <x v="8"/>
    <x v="8"/>
    <x v="12"/>
    <x v="8"/>
    <x v="0"/>
    <x v="1"/>
    <x v="182"/>
    <s v="supplier@gmail.com"/>
  </r>
  <r>
    <x v="3726"/>
    <x v="3726"/>
    <x v="4"/>
    <x v="1"/>
    <x v="4"/>
    <x v="1"/>
    <x v="12"/>
    <x v="8"/>
    <x v="8"/>
    <x v="12"/>
    <x v="8"/>
    <x v="0"/>
    <x v="1"/>
    <x v="190"/>
    <s v="supplier@gmail.com"/>
  </r>
  <r>
    <x v="3727"/>
    <x v="3727"/>
    <x v="4"/>
    <x v="1"/>
    <x v="4"/>
    <x v="1"/>
    <x v="12"/>
    <x v="8"/>
    <x v="8"/>
    <x v="12"/>
    <x v="8"/>
    <x v="0"/>
    <x v="1"/>
    <x v="125"/>
    <s v="supplier@gmail.com"/>
  </r>
  <r>
    <x v="3728"/>
    <x v="3728"/>
    <x v="4"/>
    <x v="1"/>
    <x v="4"/>
    <x v="1"/>
    <x v="12"/>
    <x v="8"/>
    <x v="8"/>
    <x v="12"/>
    <x v="8"/>
    <x v="0"/>
    <x v="1"/>
    <x v="59"/>
    <s v="supplier@gmail.com"/>
  </r>
  <r>
    <x v="3729"/>
    <x v="3729"/>
    <x v="4"/>
    <x v="1"/>
    <x v="4"/>
    <x v="1"/>
    <x v="12"/>
    <x v="8"/>
    <x v="8"/>
    <x v="12"/>
    <x v="8"/>
    <x v="0"/>
    <x v="1"/>
    <x v="160"/>
    <s v="supplier@gmail.com"/>
  </r>
  <r>
    <x v="3730"/>
    <x v="3730"/>
    <x v="4"/>
    <x v="1"/>
    <x v="4"/>
    <x v="1"/>
    <x v="12"/>
    <x v="8"/>
    <x v="8"/>
    <x v="12"/>
    <x v="8"/>
    <x v="0"/>
    <x v="1"/>
    <x v="46"/>
    <s v="supplier@gmail.com"/>
  </r>
  <r>
    <x v="3731"/>
    <x v="3731"/>
    <x v="4"/>
    <x v="1"/>
    <x v="4"/>
    <x v="1"/>
    <x v="12"/>
    <x v="8"/>
    <x v="8"/>
    <x v="12"/>
    <x v="8"/>
    <x v="0"/>
    <x v="1"/>
    <x v="5"/>
    <s v="supplier@gmail.com"/>
  </r>
  <r>
    <x v="3732"/>
    <x v="3732"/>
    <x v="4"/>
    <x v="1"/>
    <x v="4"/>
    <x v="1"/>
    <x v="12"/>
    <x v="8"/>
    <x v="8"/>
    <x v="12"/>
    <x v="8"/>
    <x v="0"/>
    <x v="1"/>
    <x v="26"/>
    <s v="supplier@gmail.com"/>
  </r>
  <r>
    <x v="3733"/>
    <x v="3733"/>
    <x v="4"/>
    <x v="1"/>
    <x v="4"/>
    <x v="1"/>
    <x v="12"/>
    <x v="8"/>
    <x v="8"/>
    <x v="12"/>
    <x v="8"/>
    <x v="0"/>
    <x v="1"/>
    <x v="159"/>
    <s v="supplier@gmail.com"/>
  </r>
  <r>
    <x v="3734"/>
    <x v="3734"/>
    <x v="4"/>
    <x v="1"/>
    <x v="4"/>
    <x v="1"/>
    <x v="12"/>
    <x v="8"/>
    <x v="8"/>
    <x v="12"/>
    <x v="8"/>
    <x v="0"/>
    <x v="1"/>
    <x v="145"/>
    <s v="supplier@gmail.com"/>
  </r>
  <r>
    <x v="3735"/>
    <x v="3735"/>
    <x v="4"/>
    <x v="1"/>
    <x v="4"/>
    <x v="1"/>
    <x v="12"/>
    <x v="8"/>
    <x v="8"/>
    <x v="12"/>
    <x v="8"/>
    <x v="0"/>
    <x v="1"/>
    <x v="10"/>
    <s v="supplier@gmail.com"/>
  </r>
  <r>
    <x v="3736"/>
    <x v="3736"/>
    <x v="4"/>
    <x v="1"/>
    <x v="4"/>
    <x v="1"/>
    <x v="12"/>
    <x v="8"/>
    <x v="8"/>
    <x v="12"/>
    <x v="8"/>
    <x v="0"/>
    <x v="1"/>
    <x v="97"/>
    <s v="supplier@gmail.com"/>
  </r>
  <r>
    <x v="3737"/>
    <x v="3737"/>
    <x v="4"/>
    <x v="1"/>
    <x v="4"/>
    <x v="1"/>
    <x v="12"/>
    <x v="8"/>
    <x v="8"/>
    <x v="12"/>
    <x v="8"/>
    <x v="0"/>
    <x v="1"/>
    <x v="103"/>
    <s v="supplier@gmail.com"/>
  </r>
  <r>
    <x v="3738"/>
    <x v="3738"/>
    <x v="4"/>
    <x v="1"/>
    <x v="4"/>
    <x v="1"/>
    <x v="12"/>
    <x v="8"/>
    <x v="8"/>
    <x v="12"/>
    <x v="8"/>
    <x v="0"/>
    <x v="1"/>
    <x v="63"/>
    <s v="supplier@gmail.com"/>
  </r>
  <r>
    <x v="3739"/>
    <x v="3739"/>
    <x v="4"/>
    <x v="1"/>
    <x v="4"/>
    <x v="1"/>
    <x v="12"/>
    <x v="8"/>
    <x v="8"/>
    <x v="12"/>
    <x v="8"/>
    <x v="0"/>
    <x v="1"/>
    <x v="78"/>
    <s v="supplier@gmail.com"/>
  </r>
  <r>
    <x v="3740"/>
    <x v="3740"/>
    <x v="4"/>
    <x v="1"/>
    <x v="4"/>
    <x v="1"/>
    <x v="12"/>
    <x v="8"/>
    <x v="8"/>
    <x v="12"/>
    <x v="8"/>
    <x v="0"/>
    <x v="1"/>
    <x v="143"/>
    <s v="supplier@gmail.com"/>
  </r>
  <r>
    <x v="3741"/>
    <x v="3741"/>
    <x v="4"/>
    <x v="1"/>
    <x v="4"/>
    <x v="1"/>
    <x v="12"/>
    <x v="8"/>
    <x v="8"/>
    <x v="12"/>
    <x v="8"/>
    <x v="0"/>
    <x v="1"/>
    <x v="55"/>
    <s v="supplier@gmail.com"/>
  </r>
  <r>
    <x v="3742"/>
    <x v="3742"/>
    <x v="4"/>
    <x v="1"/>
    <x v="4"/>
    <x v="1"/>
    <x v="12"/>
    <x v="8"/>
    <x v="8"/>
    <x v="12"/>
    <x v="8"/>
    <x v="0"/>
    <x v="1"/>
    <x v="54"/>
    <s v="supplier@gmail.com"/>
  </r>
  <r>
    <x v="3743"/>
    <x v="3743"/>
    <x v="4"/>
    <x v="1"/>
    <x v="4"/>
    <x v="1"/>
    <x v="12"/>
    <x v="8"/>
    <x v="8"/>
    <x v="12"/>
    <x v="8"/>
    <x v="0"/>
    <x v="1"/>
    <x v="14"/>
    <s v="supplier@gmail.com"/>
  </r>
  <r>
    <x v="3744"/>
    <x v="3744"/>
    <x v="4"/>
    <x v="1"/>
    <x v="4"/>
    <x v="1"/>
    <x v="12"/>
    <x v="8"/>
    <x v="8"/>
    <x v="12"/>
    <x v="8"/>
    <x v="0"/>
    <x v="1"/>
    <x v="64"/>
    <s v="supplier@gmail.com"/>
  </r>
  <r>
    <x v="3745"/>
    <x v="3745"/>
    <x v="4"/>
    <x v="1"/>
    <x v="4"/>
    <x v="1"/>
    <x v="12"/>
    <x v="8"/>
    <x v="8"/>
    <x v="12"/>
    <x v="8"/>
    <x v="0"/>
    <x v="1"/>
    <x v="12"/>
    <s v="supplier@gmail.com"/>
  </r>
  <r>
    <x v="3746"/>
    <x v="3746"/>
    <x v="4"/>
    <x v="1"/>
    <x v="4"/>
    <x v="1"/>
    <x v="12"/>
    <x v="8"/>
    <x v="8"/>
    <x v="12"/>
    <x v="8"/>
    <x v="0"/>
    <x v="1"/>
    <x v="168"/>
    <s v="supplier@gmail.com"/>
  </r>
  <r>
    <x v="3747"/>
    <x v="3747"/>
    <x v="4"/>
    <x v="1"/>
    <x v="4"/>
    <x v="1"/>
    <x v="12"/>
    <x v="8"/>
    <x v="8"/>
    <x v="12"/>
    <x v="8"/>
    <x v="0"/>
    <x v="1"/>
    <x v="94"/>
    <s v="supplier@gmail.com"/>
  </r>
  <r>
    <x v="3748"/>
    <x v="3748"/>
    <x v="4"/>
    <x v="1"/>
    <x v="4"/>
    <x v="1"/>
    <x v="12"/>
    <x v="8"/>
    <x v="8"/>
    <x v="12"/>
    <x v="8"/>
    <x v="0"/>
    <x v="1"/>
    <x v="119"/>
    <s v="supplier@gmail.com"/>
  </r>
  <r>
    <x v="3749"/>
    <x v="3749"/>
    <x v="4"/>
    <x v="1"/>
    <x v="4"/>
    <x v="1"/>
    <x v="12"/>
    <x v="8"/>
    <x v="8"/>
    <x v="12"/>
    <x v="8"/>
    <x v="0"/>
    <x v="1"/>
    <x v="96"/>
    <s v="supplier@gmail.com"/>
  </r>
  <r>
    <x v="3750"/>
    <x v="3750"/>
    <x v="4"/>
    <x v="1"/>
    <x v="4"/>
    <x v="1"/>
    <x v="12"/>
    <x v="8"/>
    <x v="8"/>
    <x v="12"/>
    <x v="8"/>
    <x v="0"/>
    <x v="1"/>
    <x v="189"/>
    <s v="supplier@gmail.com"/>
  </r>
  <r>
    <x v="3751"/>
    <x v="3751"/>
    <x v="4"/>
    <x v="1"/>
    <x v="4"/>
    <x v="1"/>
    <x v="12"/>
    <x v="8"/>
    <x v="8"/>
    <x v="12"/>
    <x v="8"/>
    <x v="0"/>
    <x v="1"/>
    <x v="19"/>
    <s v="supplier@gmail.com"/>
  </r>
  <r>
    <x v="3752"/>
    <x v="3752"/>
    <x v="4"/>
    <x v="1"/>
    <x v="4"/>
    <x v="1"/>
    <x v="12"/>
    <x v="8"/>
    <x v="8"/>
    <x v="12"/>
    <x v="8"/>
    <x v="0"/>
    <x v="1"/>
    <x v="41"/>
    <s v="supplier@gmail.com"/>
  </r>
  <r>
    <x v="3753"/>
    <x v="3753"/>
    <x v="4"/>
    <x v="1"/>
    <x v="4"/>
    <x v="1"/>
    <x v="12"/>
    <x v="8"/>
    <x v="8"/>
    <x v="12"/>
    <x v="8"/>
    <x v="0"/>
    <x v="1"/>
    <x v="3"/>
    <s v="supplier@gmail.com"/>
  </r>
  <r>
    <x v="3754"/>
    <x v="3754"/>
    <x v="4"/>
    <x v="1"/>
    <x v="4"/>
    <x v="1"/>
    <x v="12"/>
    <x v="8"/>
    <x v="8"/>
    <x v="12"/>
    <x v="8"/>
    <x v="0"/>
    <x v="1"/>
    <x v="118"/>
    <s v="supplier@gmail.com"/>
  </r>
  <r>
    <x v="3755"/>
    <x v="3755"/>
    <x v="4"/>
    <x v="1"/>
    <x v="4"/>
    <x v="1"/>
    <x v="12"/>
    <x v="8"/>
    <x v="8"/>
    <x v="12"/>
    <x v="8"/>
    <x v="0"/>
    <x v="1"/>
    <x v="105"/>
    <s v="supplier@gmail.com"/>
  </r>
  <r>
    <x v="3756"/>
    <x v="3756"/>
    <x v="4"/>
    <x v="1"/>
    <x v="4"/>
    <x v="1"/>
    <x v="12"/>
    <x v="8"/>
    <x v="8"/>
    <x v="12"/>
    <x v="8"/>
    <x v="0"/>
    <x v="1"/>
    <x v="58"/>
    <s v="supplier@gmail.com"/>
  </r>
  <r>
    <x v="3757"/>
    <x v="3757"/>
    <x v="4"/>
    <x v="1"/>
    <x v="4"/>
    <x v="1"/>
    <x v="12"/>
    <x v="8"/>
    <x v="8"/>
    <x v="12"/>
    <x v="8"/>
    <x v="0"/>
    <x v="1"/>
    <x v="89"/>
    <s v="supplier@gmail.com"/>
  </r>
  <r>
    <x v="3758"/>
    <x v="3758"/>
    <x v="4"/>
    <x v="1"/>
    <x v="4"/>
    <x v="1"/>
    <x v="12"/>
    <x v="8"/>
    <x v="8"/>
    <x v="12"/>
    <x v="8"/>
    <x v="0"/>
    <x v="1"/>
    <x v="179"/>
    <s v="supplier@gmail.com"/>
  </r>
  <r>
    <x v="3759"/>
    <x v="3759"/>
    <x v="4"/>
    <x v="1"/>
    <x v="4"/>
    <x v="1"/>
    <x v="12"/>
    <x v="8"/>
    <x v="8"/>
    <x v="12"/>
    <x v="8"/>
    <x v="0"/>
    <x v="1"/>
    <x v="71"/>
    <s v="supplier@gmail.com"/>
  </r>
  <r>
    <x v="3760"/>
    <x v="3760"/>
    <x v="4"/>
    <x v="1"/>
    <x v="4"/>
    <x v="1"/>
    <x v="12"/>
    <x v="8"/>
    <x v="8"/>
    <x v="12"/>
    <x v="8"/>
    <x v="0"/>
    <x v="1"/>
    <x v="196"/>
    <s v="supplier@gmail.com"/>
  </r>
  <r>
    <x v="3761"/>
    <x v="3761"/>
    <x v="4"/>
    <x v="1"/>
    <x v="4"/>
    <x v="1"/>
    <x v="12"/>
    <x v="8"/>
    <x v="8"/>
    <x v="12"/>
    <x v="8"/>
    <x v="0"/>
    <x v="1"/>
    <x v="152"/>
    <s v="supplier@gmail.com"/>
  </r>
  <r>
    <x v="3762"/>
    <x v="3762"/>
    <x v="4"/>
    <x v="1"/>
    <x v="4"/>
    <x v="1"/>
    <x v="12"/>
    <x v="8"/>
    <x v="8"/>
    <x v="12"/>
    <x v="8"/>
    <x v="0"/>
    <x v="1"/>
    <x v="191"/>
    <s v="supplier@gmail.com"/>
  </r>
  <r>
    <x v="3763"/>
    <x v="3763"/>
    <x v="4"/>
    <x v="1"/>
    <x v="4"/>
    <x v="1"/>
    <x v="12"/>
    <x v="8"/>
    <x v="8"/>
    <x v="12"/>
    <x v="8"/>
    <x v="0"/>
    <x v="1"/>
    <x v="29"/>
    <s v="supplier@gmail.com"/>
  </r>
  <r>
    <x v="3764"/>
    <x v="3764"/>
    <x v="4"/>
    <x v="1"/>
    <x v="4"/>
    <x v="1"/>
    <x v="12"/>
    <x v="8"/>
    <x v="8"/>
    <x v="12"/>
    <x v="8"/>
    <x v="0"/>
    <x v="1"/>
    <x v="191"/>
    <s v="supplier@gmail.com"/>
  </r>
  <r>
    <x v="3765"/>
    <x v="3765"/>
    <x v="4"/>
    <x v="1"/>
    <x v="4"/>
    <x v="1"/>
    <x v="12"/>
    <x v="8"/>
    <x v="8"/>
    <x v="12"/>
    <x v="8"/>
    <x v="0"/>
    <x v="1"/>
    <x v="131"/>
    <s v="supplier@gmail.com"/>
  </r>
  <r>
    <x v="3766"/>
    <x v="3766"/>
    <x v="4"/>
    <x v="1"/>
    <x v="4"/>
    <x v="1"/>
    <x v="12"/>
    <x v="8"/>
    <x v="8"/>
    <x v="12"/>
    <x v="8"/>
    <x v="0"/>
    <x v="1"/>
    <x v="142"/>
    <s v="supplier@gmail.com"/>
  </r>
  <r>
    <x v="3767"/>
    <x v="3767"/>
    <x v="4"/>
    <x v="1"/>
    <x v="4"/>
    <x v="1"/>
    <x v="12"/>
    <x v="8"/>
    <x v="8"/>
    <x v="12"/>
    <x v="8"/>
    <x v="0"/>
    <x v="1"/>
    <x v="54"/>
    <s v="supplier@gmail.com"/>
  </r>
  <r>
    <x v="3768"/>
    <x v="3768"/>
    <x v="4"/>
    <x v="1"/>
    <x v="4"/>
    <x v="1"/>
    <x v="12"/>
    <x v="8"/>
    <x v="8"/>
    <x v="12"/>
    <x v="8"/>
    <x v="0"/>
    <x v="1"/>
    <x v="38"/>
    <s v="supplier@gmail.com"/>
  </r>
  <r>
    <x v="3769"/>
    <x v="3769"/>
    <x v="4"/>
    <x v="1"/>
    <x v="4"/>
    <x v="1"/>
    <x v="12"/>
    <x v="8"/>
    <x v="8"/>
    <x v="12"/>
    <x v="8"/>
    <x v="0"/>
    <x v="1"/>
    <x v="100"/>
    <s v="supplier@gmail.com"/>
  </r>
  <r>
    <x v="3770"/>
    <x v="3770"/>
    <x v="4"/>
    <x v="1"/>
    <x v="4"/>
    <x v="1"/>
    <x v="12"/>
    <x v="8"/>
    <x v="8"/>
    <x v="12"/>
    <x v="8"/>
    <x v="0"/>
    <x v="1"/>
    <x v="97"/>
    <s v="supplier@gmail.com"/>
  </r>
  <r>
    <x v="3771"/>
    <x v="3771"/>
    <x v="4"/>
    <x v="1"/>
    <x v="4"/>
    <x v="1"/>
    <x v="12"/>
    <x v="8"/>
    <x v="8"/>
    <x v="12"/>
    <x v="8"/>
    <x v="0"/>
    <x v="1"/>
    <x v="172"/>
    <s v="supplier@gmail.com"/>
  </r>
  <r>
    <x v="3772"/>
    <x v="3772"/>
    <x v="4"/>
    <x v="1"/>
    <x v="4"/>
    <x v="1"/>
    <x v="12"/>
    <x v="8"/>
    <x v="8"/>
    <x v="12"/>
    <x v="8"/>
    <x v="0"/>
    <x v="1"/>
    <x v="69"/>
    <s v="supplier@gmail.com"/>
  </r>
  <r>
    <x v="3773"/>
    <x v="3773"/>
    <x v="4"/>
    <x v="1"/>
    <x v="4"/>
    <x v="1"/>
    <x v="12"/>
    <x v="8"/>
    <x v="8"/>
    <x v="12"/>
    <x v="8"/>
    <x v="0"/>
    <x v="1"/>
    <x v="117"/>
    <s v="supplier@gmail.com"/>
  </r>
  <r>
    <x v="3774"/>
    <x v="3774"/>
    <x v="4"/>
    <x v="1"/>
    <x v="4"/>
    <x v="1"/>
    <x v="12"/>
    <x v="8"/>
    <x v="8"/>
    <x v="12"/>
    <x v="8"/>
    <x v="0"/>
    <x v="1"/>
    <x v="189"/>
    <s v="supplier@gmail.com"/>
  </r>
  <r>
    <x v="3775"/>
    <x v="3775"/>
    <x v="4"/>
    <x v="1"/>
    <x v="4"/>
    <x v="1"/>
    <x v="12"/>
    <x v="8"/>
    <x v="8"/>
    <x v="12"/>
    <x v="8"/>
    <x v="0"/>
    <x v="1"/>
    <x v="143"/>
    <s v="supplier@gmail.com"/>
  </r>
  <r>
    <x v="3776"/>
    <x v="3776"/>
    <x v="4"/>
    <x v="1"/>
    <x v="4"/>
    <x v="1"/>
    <x v="12"/>
    <x v="8"/>
    <x v="8"/>
    <x v="12"/>
    <x v="8"/>
    <x v="0"/>
    <x v="1"/>
    <x v="110"/>
    <s v="supplier@gmail.com"/>
  </r>
  <r>
    <x v="3777"/>
    <x v="3777"/>
    <x v="4"/>
    <x v="1"/>
    <x v="4"/>
    <x v="1"/>
    <x v="12"/>
    <x v="8"/>
    <x v="8"/>
    <x v="12"/>
    <x v="8"/>
    <x v="0"/>
    <x v="1"/>
    <x v="104"/>
    <s v="supplier@gmail.com"/>
  </r>
  <r>
    <x v="3778"/>
    <x v="3778"/>
    <x v="4"/>
    <x v="1"/>
    <x v="4"/>
    <x v="1"/>
    <x v="12"/>
    <x v="8"/>
    <x v="8"/>
    <x v="12"/>
    <x v="8"/>
    <x v="0"/>
    <x v="1"/>
    <x v="113"/>
    <s v="supplier@gmail.com"/>
  </r>
  <r>
    <x v="3779"/>
    <x v="3779"/>
    <x v="4"/>
    <x v="1"/>
    <x v="4"/>
    <x v="1"/>
    <x v="12"/>
    <x v="8"/>
    <x v="8"/>
    <x v="12"/>
    <x v="8"/>
    <x v="0"/>
    <x v="1"/>
    <x v="79"/>
    <s v="supplier@gmail.com"/>
  </r>
  <r>
    <x v="3780"/>
    <x v="3780"/>
    <x v="4"/>
    <x v="1"/>
    <x v="4"/>
    <x v="1"/>
    <x v="12"/>
    <x v="8"/>
    <x v="8"/>
    <x v="12"/>
    <x v="8"/>
    <x v="0"/>
    <x v="1"/>
    <x v="170"/>
    <s v="supplier@gmail.com"/>
  </r>
  <r>
    <x v="3781"/>
    <x v="3781"/>
    <x v="4"/>
    <x v="1"/>
    <x v="4"/>
    <x v="1"/>
    <x v="12"/>
    <x v="8"/>
    <x v="8"/>
    <x v="12"/>
    <x v="8"/>
    <x v="0"/>
    <x v="1"/>
    <x v="101"/>
    <s v="supplier@gmail.com"/>
  </r>
  <r>
    <x v="3782"/>
    <x v="3782"/>
    <x v="4"/>
    <x v="1"/>
    <x v="4"/>
    <x v="1"/>
    <x v="12"/>
    <x v="8"/>
    <x v="8"/>
    <x v="12"/>
    <x v="8"/>
    <x v="0"/>
    <x v="1"/>
    <x v="32"/>
    <s v="supplier@gmail.com"/>
  </r>
  <r>
    <x v="3783"/>
    <x v="3783"/>
    <x v="4"/>
    <x v="1"/>
    <x v="4"/>
    <x v="1"/>
    <x v="12"/>
    <x v="8"/>
    <x v="8"/>
    <x v="12"/>
    <x v="8"/>
    <x v="0"/>
    <x v="1"/>
    <x v="103"/>
    <s v="supplier@gmail.com"/>
  </r>
  <r>
    <x v="3784"/>
    <x v="3784"/>
    <x v="4"/>
    <x v="1"/>
    <x v="4"/>
    <x v="1"/>
    <x v="12"/>
    <x v="8"/>
    <x v="8"/>
    <x v="12"/>
    <x v="8"/>
    <x v="0"/>
    <x v="1"/>
    <x v="143"/>
    <s v="supplier@gmail.com"/>
  </r>
  <r>
    <x v="3785"/>
    <x v="3785"/>
    <x v="4"/>
    <x v="1"/>
    <x v="4"/>
    <x v="1"/>
    <x v="12"/>
    <x v="8"/>
    <x v="8"/>
    <x v="12"/>
    <x v="8"/>
    <x v="0"/>
    <x v="1"/>
    <x v="193"/>
    <s v="supplier@gmail.com"/>
  </r>
  <r>
    <x v="3786"/>
    <x v="3786"/>
    <x v="4"/>
    <x v="1"/>
    <x v="4"/>
    <x v="1"/>
    <x v="12"/>
    <x v="8"/>
    <x v="8"/>
    <x v="12"/>
    <x v="8"/>
    <x v="0"/>
    <x v="1"/>
    <x v="33"/>
    <s v="supplier@gmail.com"/>
  </r>
  <r>
    <x v="3787"/>
    <x v="3787"/>
    <x v="4"/>
    <x v="1"/>
    <x v="4"/>
    <x v="1"/>
    <x v="12"/>
    <x v="8"/>
    <x v="8"/>
    <x v="12"/>
    <x v="8"/>
    <x v="0"/>
    <x v="1"/>
    <x v="133"/>
    <s v="supplier@gmail.com"/>
  </r>
  <r>
    <x v="3788"/>
    <x v="3788"/>
    <x v="4"/>
    <x v="1"/>
    <x v="4"/>
    <x v="1"/>
    <x v="12"/>
    <x v="8"/>
    <x v="8"/>
    <x v="12"/>
    <x v="8"/>
    <x v="0"/>
    <x v="1"/>
    <x v="135"/>
    <s v="supplier@gmail.com"/>
  </r>
  <r>
    <x v="3789"/>
    <x v="3789"/>
    <x v="4"/>
    <x v="1"/>
    <x v="4"/>
    <x v="1"/>
    <x v="12"/>
    <x v="8"/>
    <x v="8"/>
    <x v="12"/>
    <x v="8"/>
    <x v="0"/>
    <x v="1"/>
    <x v="85"/>
    <s v="supplier@gmail.com"/>
  </r>
  <r>
    <x v="3790"/>
    <x v="3790"/>
    <x v="4"/>
    <x v="1"/>
    <x v="4"/>
    <x v="1"/>
    <x v="12"/>
    <x v="8"/>
    <x v="8"/>
    <x v="12"/>
    <x v="8"/>
    <x v="0"/>
    <x v="1"/>
    <x v="147"/>
    <s v="supplier@gmail.com"/>
  </r>
  <r>
    <x v="3791"/>
    <x v="3791"/>
    <x v="4"/>
    <x v="1"/>
    <x v="4"/>
    <x v="1"/>
    <x v="12"/>
    <x v="8"/>
    <x v="8"/>
    <x v="12"/>
    <x v="8"/>
    <x v="0"/>
    <x v="1"/>
    <x v="194"/>
    <s v="supplier@gmail.com"/>
  </r>
  <r>
    <x v="3792"/>
    <x v="3792"/>
    <x v="4"/>
    <x v="1"/>
    <x v="4"/>
    <x v="1"/>
    <x v="12"/>
    <x v="8"/>
    <x v="8"/>
    <x v="12"/>
    <x v="8"/>
    <x v="0"/>
    <x v="1"/>
    <x v="111"/>
    <s v="supplier@gmail.com"/>
  </r>
  <r>
    <x v="3793"/>
    <x v="3793"/>
    <x v="4"/>
    <x v="1"/>
    <x v="4"/>
    <x v="1"/>
    <x v="12"/>
    <x v="8"/>
    <x v="8"/>
    <x v="12"/>
    <x v="8"/>
    <x v="0"/>
    <x v="1"/>
    <x v="157"/>
    <s v="supplier@gmail.com"/>
  </r>
  <r>
    <x v="3794"/>
    <x v="3794"/>
    <x v="4"/>
    <x v="1"/>
    <x v="4"/>
    <x v="1"/>
    <x v="12"/>
    <x v="8"/>
    <x v="8"/>
    <x v="12"/>
    <x v="8"/>
    <x v="0"/>
    <x v="1"/>
    <x v="46"/>
    <s v="supplier@gmail.com"/>
  </r>
  <r>
    <x v="3795"/>
    <x v="3795"/>
    <x v="4"/>
    <x v="1"/>
    <x v="4"/>
    <x v="1"/>
    <x v="12"/>
    <x v="8"/>
    <x v="8"/>
    <x v="12"/>
    <x v="8"/>
    <x v="0"/>
    <x v="1"/>
    <x v="57"/>
    <s v="supplier@gmail.com"/>
  </r>
  <r>
    <x v="3796"/>
    <x v="3796"/>
    <x v="4"/>
    <x v="1"/>
    <x v="4"/>
    <x v="1"/>
    <x v="12"/>
    <x v="8"/>
    <x v="8"/>
    <x v="12"/>
    <x v="8"/>
    <x v="0"/>
    <x v="1"/>
    <x v="130"/>
    <s v="supplier@gmail.com"/>
  </r>
  <r>
    <x v="3797"/>
    <x v="3797"/>
    <x v="4"/>
    <x v="1"/>
    <x v="4"/>
    <x v="1"/>
    <x v="12"/>
    <x v="8"/>
    <x v="8"/>
    <x v="12"/>
    <x v="8"/>
    <x v="0"/>
    <x v="1"/>
    <x v="144"/>
    <s v="supplier@gmail.com"/>
  </r>
  <r>
    <x v="3798"/>
    <x v="3798"/>
    <x v="4"/>
    <x v="1"/>
    <x v="4"/>
    <x v="1"/>
    <x v="12"/>
    <x v="8"/>
    <x v="8"/>
    <x v="12"/>
    <x v="8"/>
    <x v="0"/>
    <x v="1"/>
    <x v="147"/>
    <s v="supplier@gmail.com"/>
  </r>
  <r>
    <x v="3799"/>
    <x v="3799"/>
    <x v="4"/>
    <x v="1"/>
    <x v="4"/>
    <x v="1"/>
    <x v="12"/>
    <x v="8"/>
    <x v="8"/>
    <x v="12"/>
    <x v="8"/>
    <x v="0"/>
    <x v="1"/>
    <x v="65"/>
    <s v="supplier@gmail.com"/>
  </r>
  <r>
    <x v="3800"/>
    <x v="3800"/>
    <x v="4"/>
    <x v="1"/>
    <x v="4"/>
    <x v="1"/>
    <x v="12"/>
    <x v="8"/>
    <x v="8"/>
    <x v="12"/>
    <x v="8"/>
    <x v="0"/>
    <x v="1"/>
    <x v="145"/>
    <s v="supplier@gmail.com"/>
  </r>
  <r>
    <x v="3801"/>
    <x v="3801"/>
    <x v="4"/>
    <x v="1"/>
    <x v="4"/>
    <x v="1"/>
    <x v="12"/>
    <x v="8"/>
    <x v="8"/>
    <x v="12"/>
    <x v="8"/>
    <x v="0"/>
    <x v="1"/>
    <x v="124"/>
    <s v="supplier@gmail.com"/>
  </r>
  <r>
    <x v="3802"/>
    <x v="3802"/>
    <x v="4"/>
    <x v="1"/>
    <x v="4"/>
    <x v="1"/>
    <x v="12"/>
    <x v="8"/>
    <x v="8"/>
    <x v="12"/>
    <x v="8"/>
    <x v="0"/>
    <x v="1"/>
    <x v="146"/>
    <s v="supplier@gmail.com"/>
  </r>
  <r>
    <x v="3803"/>
    <x v="3803"/>
    <x v="4"/>
    <x v="1"/>
    <x v="4"/>
    <x v="1"/>
    <x v="12"/>
    <x v="8"/>
    <x v="8"/>
    <x v="12"/>
    <x v="8"/>
    <x v="0"/>
    <x v="1"/>
    <x v="33"/>
    <s v="supplier@gmail.com"/>
  </r>
  <r>
    <x v="3804"/>
    <x v="3804"/>
    <x v="4"/>
    <x v="1"/>
    <x v="4"/>
    <x v="1"/>
    <x v="12"/>
    <x v="8"/>
    <x v="8"/>
    <x v="12"/>
    <x v="8"/>
    <x v="0"/>
    <x v="1"/>
    <x v="66"/>
    <s v="supplier@gmail.com"/>
  </r>
  <r>
    <x v="3805"/>
    <x v="3805"/>
    <x v="4"/>
    <x v="1"/>
    <x v="4"/>
    <x v="1"/>
    <x v="12"/>
    <x v="8"/>
    <x v="8"/>
    <x v="12"/>
    <x v="8"/>
    <x v="0"/>
    <x v="1"/>
    <x v="112"/>
    <s v="supplier@gmail.com"/>
  </r>
  <r>
    <x v="3806"/>
    <x v="3806"/>
    <x v="4"/>
    <x v="1"/>
    <x v="4"/>
    <x v="1"/>
    <x v="12"/>
    <x v="8"/>
    <x v="8"/>
    <x v="12"/>
    <x v="8"/>
    <x v="0"/>
    <x v="1"/>
    <x v="142"/>
    <s v="supplier@gmail.com"/>
  </r>
  <r>
    <x v="3807"/>
    <x v="3807"/>
    <x v="4"/>
    <x v="1"/>
    <x v="4"/>
    <x v="1"/>
    <x v="12"/>
    <x v="8"/>
    <x v="8"/>
    <x v="12"/>
    <x v="8"/>
    <x v="0"/>
    <x v="1"/>
    <x v="144"/>
    <s v="supplier@gmail.com"/>
  </r>
  <r>
    <x v="3808"/>
    <x v="3808"/>
    <x v="4"/>
    <x v="1"/>
    <x v="4"/>
    <x v="1"/>
    <x v="12"/>
    <x v="8"/>
    <x v="8"/>
    <x v="12"/>
    <x v="8"/>
    <x v="0"/>
    <x v="1"/>
    <x v="103"/>
    <s v="supplier@gmail.com"/>
  </r>
  <r>
    <x v="3809"/>
    <x v="3809"/>
    <x v="4"/>
    <x v="1"/>
    <x v="4"/>
    <x v="1"/>
    <x v="12"/>
    <x v="8"/>
    <x v="8"/>
    <x v="12"/>
    <x v="8"/>
    <x v="0"/>
    <x v="1"/>
    <x v="110"/>
    <s v="supplier@gmail.com"/>
  </r>
  <r>
    <x v="3810"/>
    <x v="3810"/>
    <x v="4"/>
    <x v="1"/>
    <x v="4"/>
    <x v="1"/>
    <x v="12"/>
    <x v="8"/>
    <x v="8"/>
    <x v="12"/>
    <x v="8"/>
    <x v="0"/>
    <x v="1"/>
    <x v="196"/>
    <s v="supplier@gmail.com"/>
  </r>
  <r>
    <x v="3811"/>
    <x v="3811"/>
    <x v="4"/>
    <x v="1"/>
    <x v="4"/>
    <x v="1"/>
    <x v="12"/>
    <x v="8"/>
    <x v="8"/>
    <x v="12"/>
    <x v="8"/>
    <x v="0"/>
    <x v="1"/>
    <x v="158"/>
    <s v="supplier@gmail.com"/>
  </r>
  <r>
    <x v="3812"/>
    <x v="3812"/>
    <x v="4"/>
    <x v="1"/>
    <x v="4"/>
    <x v="1"/>
    <x v="12"/>
    <x v="8"/>
    <x v="8"/>
    <x v="12"/>
    <x v="8"/>
    <x v="0"/>
    <x v="1"/>
    <x v="181"/>
    <s v="supplier@gmail.com"/>
  </r>
  <r>
    <x v="3813"/>
    <x v="3813"/>
    <x v="4"/>
    <x v="1"/>
    <x v="4"/>
    <x v="1"/>
    <x v="12"/>
    <x v="8"/>
    <x v="8"/>
    <x v="12"/>
    <x v="8"/>
    <x v="0"/>
    <x v="1"/>
    <x v="154"/>
    <s v="supplier@gmail.com"/>
  </r>
  <r>
    <x v="3814"/>
    <x v="3814"/>
    <x v="4"/>
    <x v="1"/>
    <x v="4"/>
    <x v="1"/>
    <x v="12"/>
    <x v="8"/>
    <x v="8"/>
    <x v="12"/>
    <x v="8"/>
    <x v="0"/>
    <x v="1"/>
    <x v="117"/>
    <s v="supplier@gmail.com"/>
  </r>
  <r>
    <x v="3815"/>
    <x v="3815"/>
    <x v="4"/>
    <x v="1"/>
    <x v="4"/>
    <x v="1"/>
    <x v="12"/>
    <x v="8"/>
    <x v="8"/>
    <x v="12"/>
    <x v="8"/>
    <x v="0"/>
    <x v="1"/>
    <x v="163"/>
    <s v="supplier@gmail.com"/>
  </r>
  <r>
    <x v="3816"/>
    <x v="3816"/>
    <x v="4"/>
    <x v="1"/>
    <x v="4"/>
    <x v="1"/>
    <x v="12"/>
    <x v="8"/>
    <x v="8"/>
    <x v="12"/>
    <x v="8"/>
    <x v="0"/>
    <x v="1"/>
    <x v="4"/>
    <s v="supplier@gmail.com"/>
  </r>
  <r>
    <x v="3817"/>
    <x v="3817"/>
    <x v="4"/>
    <x v="1"/>
    <x v="4"/>
    <x v="1"/>
    <x v="12"/>
    <x v="8"/>
    <x v="8"/>
    <x v="12"/>
    <x v="8"/>
    <x v="0"/>
    <x v="1"/>
    <x v="187"/>
    <s v="supplier@gmail.com"/>
  </r>
  <r>
    <x v="3818"/>
    <x v="3818"/>
    <x v="4"/>
    <x v="1"/>
    <x v="4"/>
    <x v="1"/>
    <x v="12"/>
    <x v="8"/>
    <x v="8"/>
    <x v="12"/>
    <x v="8"/>
    <x v="0"/>
    <x v="1"/>
    <x v="156"/>
    <s v="supplier@gmail.com"/>
  </r>
  <r>
    <x v="3819"/>
    <x v="3819"/>
    <x v="4"/>
    <x v="1"/>
    <x v="4"/>
    <x v="1"/>
    <x v="12"/>
    <x v="8"/>
    <x v="8"/>
    <x v="12"/>
    <x v="8"/>
    <x v="0"/>
    <x v="1"/>
    <x v="101"/>
    <s v="supplier@gmail.com"/>
  </r>
  <r>
    <x v="3820"/>
    <x v="3820"/>
    <x v="4"/>
    <x v="1"/>
    <x v="4"/>
    <x v="1"/>
    <x v="12"/>
    <x v="8"/>
    <x v="8"/>
    <x v="12"/>
    <x v="8"/>
    <x v="0"/>
    <x v="1"/>
    <x v="85"/>
    <s v="supplier@gmail.com"/>
  </r>
  <r>
    <x v="3821"/>
    <x v="3821"/>
    <x v="4"/>
    <x v="1"/>
    <x v="4"/>
    <x v="1"/>
    <x v="12"/>
    <x v="8"/>
    <x v="8"/>
    <x v="12"/>
    <x v="8"/>
    <x v="0"/>
    <x v="1"/>
    <x v="130"/>
    <s v="supplier@gmail.com"/>
  </r>
  <r>
    <x v="3822"/>
    <x v="3822"/>
    <x v="4"/>
    <x v="1"/>
    <x v="4"/>
    <x v="1"/>
    <x v="12"/>
    <x v="8"/>
    <x v="8"/>
    <x v="12"/>
    <x v="8"/>
    <x v="0"/>
    <x v="1"/>
    <x v="167"/>
    <s v="supplier@gmail.com"/>
  </r>
  <r>
    <x v="3823"/>
    <x v="3823"/>
    <x v="4"/>
    <x v="1"/>
    <x v="4"/>
    <x v="1"/>
    <x v="12"/>
    <x v="8"/>
    <x v="8"/>
    <x v="12"/>
    <x v="8"/>
    <x v="0"/>
    <x v="1"/>
    <x v="96"/>
    <s v="supplier@gmail.com"/>
  </r>
  <r>
    <x v="3824"/>
    <x v="3824"/>
    <x v="4"/>
    <x v="1"/>
    <x v="4"/>
    <x v="1"/>
    <x v="12"/>
    <x v="8"/>
    <x v="8"/>
    <x v="12"/>
    <x v="8"/>
    <x v="0"/>
    <x v="1"/>
    <x v="106"/>
    <s v="supplier@gmail.com"/>
  </r>
  <r>
    <x v="3825"/>
    <x v="3825"/>
    <x v="4"/>
    <x v="1"/>
    <x v="4"/>
    <x v="1"/>
    <x v="12"/>
    <x v="8"/>
    <x v="8"/>
    <x v="12"/>
    <x v="8"/>
    <x v="0"/>
    <x v="1"/>
    <x v="34"/>
    <s v="supplier@gmail.com"/>
  </r>
  <r>
    <x v="3826"/>
    <x v="3826"/>
    <x v="4"/>
    <x v="1"/>
    <x v="4"/>
    <x v="1"/>
    <x v="12"/>
    <x v="8"/>
    <x v="8"/>
    <x v="12"/>
    <x v="8"/>
    <x v="0"/>
    <x v="1"/>
    <x v="3"/>
    <s v="supplier@gmail.com"/>
  </r>
  <r>
    <x v="3827"/>
    <x v="3827"/>
    <x v="4"/>
    <x v="1"/>
    <x v="4"/>
    <x v="1"/>
    <x v="12"/>
    <x v="8"/>
    <x v="8"/>
    <x v="12"/>
    <x v="8"/>
    <x v="0"/>
    <x v="1"/>
    <x v="166"/>
    <s v="supplier@gmail.com"/>
  </r>
  <r>
    <x v="3828"/>
    <x v="3828"/>
    <x v="4"/>
    <x v="1"/>
    <x v="4"/>
    <x v="1"/>
    <x v="12"/>
    <x v="8"/>
    <x v="8"/>
    <x v="12"/>
    <x v="8"/>
    <x v="0"/>
    <x v="1"/>
    <x v="31"/>
    <s v="supplier@gmail.com"/>
  </r>
  <r>
    <x v="3829"/>
    <x v="3829"/>
    <x v="4"/>
    <x v="1"/>
    <x v="4"/>
    <x v="1"/>
    <x v="12"/>
    <x v="8"/>
    <x v="8"/>
    <x v="12"/>
    <x v="8"/>
    <x v="0"/>
    <x v="1"/>
    <x v="74"/>
    <s v="supplier@gmail.com"/>
  </r>
  <r>
    <x v="3830"/>
    <x v="3830"/>
    <x v="4"/>
    <x v="1"/>
    <x v="4"/>
    <x v="1"/>
    <x v="12"/>
    <x v="8"/>
    <x v="8"/>
    <x v="12"/>
    <x v="8"/>
    <x v="0"/>
    <x v="1"/>
    <x v="173"/>
    <s v="supplier@gmail.com"/>
  </r>
  <r>
    <x v="3831"/>
    <x v="3831"/>
    <x v="4"/>
    <x v="1"/>
    <x v="4"/>
    <x v="1"/>
    <x v="12"/>
    <x v="8"/>
    <x v="8"/>
    <x v="12"/>
    <x v="8"/>
    <x v="0"/>
    <x v="1"/>
    <x v="112"/>
    <s v="supplier@gmail.com"/>
  </r>
  <r>
    <x v="3832"/>
    <x v="3832"/>
    <x v="4"/>
    <x v="1"/>
    <x v="4"/>
    <x v="1"/>
    <x v="12"/>
    <x v="8"/>
    <x v="8"/>
    <x v="12"/>
    <x v="8"/>
    <x v="0"/>
    <x v="1"/>
    <x v="144"/>
    <s v="supplier@gmail.com"/>
  </r>
  <r>
    <x v="3833"/>
    <x v="3833"/>
    <x v="4"/>
    <x v="1"/>
    <x v="4"/>
    <x v="1"/>
    <x v="12"/>
    <x v="8"/>
    <x v="8"/>
    <x v="12"/>
    <x v="8"/>
    <x v="0"/>
    <x v="1"/>
    <x v="78"/>
    <s v="supplier@gmail.com"/>
  </r>
  <r>
    <x v="3834"/>
    <x v="3834"/>
    <x v="4"/>
    <x v="1"/>
    <x v="4"/>
    <x v="1"/>
    <x v="12"/>
    <x v="8"/>
    <x v="8"/>
    <x v="12"/>
    <x v="8"/>
    <x v="0"/>
    <x v="1"/>
    <x v="87"/>
    <s v="supplier@gmail.com"/>
  </r>
  <r>
    <x v="3835"/>
    <x v="3835"/>
    <x v="4"/>
    <x v="1"/>
    <x v="4"/>
    <x v="1"/>
    <x v="12"/>
    <x v="8"/>
    <x v="8"/>
    <x v="12"/>
    <x v="8"/>
    <x v="0"/>
    <x v="1"/>
    <x v="2"/>
    <s v="supplier@gmail.com"/>
  </r>
  <r>
    <x v="3836"/>
    <x v="3836"/>
    <x v="4"/>
    <x v="1"/>
    <x v="4"/>
    <x v="1"/>
    <x v="12"/>
    <x v="8"/>
    <x v="8"/>
    <x v="12"/>
    <x v="8"/>
    <x v="0"/>
    <x v="1"/>
    <x v="129"/>
    <s v="supplier@gmail.com"/>
  </r>
  <r>
    <x v="3837"/>
    <x v="3837"/>
    <x v="4"/>
    <x v="1"/>
    <x v="4"/>
    <x v="1"/>
    <x v="12"/>
    <x v="8"/>
    <x v="8"/>
    <x v="12"/>
    <x v="8"/>
    <x v="0"/>
    <x v="1"/>
    <x v="83"/>
    <s v="supplier@gmail.com"/>
  </r>
  <r>
    <x v="3838"/>
    <x v="3838"/>
    <x v="4"/>
    <x v="1"/>
    <x v="4"/>
    <x v="1"/>
    <x v="12"/>
    <x v="8"/>
    <x v="8"/>
    <x v="12"/>
    <x v="8"/>
    <x v="0"/>
    <x v="1"/>
    <x v="5"/>
    <s v="supplier@gmail.com"/>
  </r>
  <r>
    <x v="3839"/>
    <x v="3839"/>
    <x v="4"/>
    <x v="1"/>
    <x v="4"/>
    <x v="1"/>
    <x v="12"/>
    <x v="8"/>
    <x v="8"/>
    <x v="12"/>
    <x v="8"/>
    <x v="0"/>
    <x v="1"/>
    <x v="8"/>
    <s v="supplier@gmail.com"/>
  </r>
  <r>
    <x v="3840"/>
    <x v="3840"/>
    <x v="4"/>
    <x v="1"/>
    <x v="4"/>
    <x v="1"/>
    <x v="12"/>
    <x v="8"/>
    <x v="8"/>
    <x v="12"/>
    <x v="8"/>
    <x v="0"/>
    <x v="1"/>
    <x v="114"/>
    <s v="supplier@gmail.com"/>
  </r>
  <r>
    <x v="3841"/>
    <x v="3841"/>
    <x v="4"/>
    <x v="1"/>
    <x v="4"/>
    <x v="1"/>
    <x v="12"/>
    <x v="8"/>
    <x v="8"/>
    <x v="12"/>
    <x v="8"/>
    <x v="0"/>
    <x v="1"/>
    <x v="191"/>
    <s v="supplier@gmail.com"/>
  </r>
  <r>
    <x v="3842"/>
    <x v="3842"/>
    <x v="4"/>
    <x v="1"/>
    <x v="4"/>
    <x v="1"/>
    <x v="12"/>
    <x v="8"/>
    <x v="8"/>
    <x v="12"/>
    <x v="8"/>
    <x v="0"/>
    <x v="1"/>
    <x v="91"/>
    <s v="supplier@gmail.com"/>
  </r>
  <r>
    <x v="3843"/>
    <x v="3843"/>
    <x v="4"/>
    <x v="1"/>
    <x v="4"/>
    <x v="1"/>
    <x v="12"/>
    <x v="8"/>
    <x v="8"/>
    <x v="12"/>
    <x v="8"/>
    <x v="0"/>
    <x v="1"/>
    <x v="36"/>
    <s v="supplier@gmail.com"/>
  </r>
  <r>
    <x v="3844"/>
    <x v="3844"/>
    <x v="4"/>
    <x v="1"/>
    <x v="4"/>
    <x v="1"/>
    <x v="12"/>
    <x v="8"/>
    <x v="8"/>
    <x v="12"/>
    <x v="8"/>
    <x v="0"/>
    <x v="1"/>
    <x v="29"/>
    <s v="supplier@gmail.com"/>
  </r>
  <r>
    <x v="3845"/>
    <x v="3845"/>
    <x v="4"/>
    <x v="1"/>
    <x v="4"/>
    <x v="1"/>
    <x v="12"/>
    <x v="8"/>
    <x v="8"/>
    <x v="12"/>
    <x v="8"/>
    <x v="0"/>
    <x v="1"/>
    <x v="23"/>
    <s v="supplier@gmail.com"/>
  </r>
  <r>
    <x v="3846"/>
    <x v="3846"/>
    <x v="4"/>
    <x v="1"/>
    <x v="4"/>
    <x v="1"/>
    <x v="12"/>
    <x v="8"/>
    <x v="8"/>
    <x v="12"/>
    <x v="8"/>
    <x v="0"/>
    <x v="1"/>
    <x v="64"/>
    <s v="supplier@gmail.com"/>
  </r>
  <r>
    <x v="3847"/>
    <x v="3847"/>
    <x v="4"/>
    <x v="1"/>
    <x v="4"/>
    <x v="1"/>
    <x v="12"/>
    <x v="8"/>
    <x v="8"/>
    <x v="12"/>
    <x v="8"/>
    <x v="0"/>
    <x v="1"/>
    <x v="138"/>
    <s v="supplier@gmail.com"/>
  </r>
  <r>
    <x v="3848"/>
    <x v="3848"/>
    <x v="4"/>
    <x v="1"/>
    <x v="4"/>
    <x v="1"/>
    <x v="12"/>
    <x v="8"/>
    <x v="8"/>
    <x v="12"/>
    <x v="8"/>
    <x v="0"/>
    <x v="1"/>
    <x v="99"/>
    <s v="supplier@gmail.com"/>
  </r>
  <r>
    <x v="3849"/>
    <x v="3849"/>
    <x v="4"/>
    <x v="1"/>
    <x v="4"/>
    <x v="1"/>
    <x v="12"/>
    <x v="8"/>
    <x v="8"/>
    <x v="12"/>
    <x v="8"/>
    <x v="0"/>
    <x v="1"/>
    <x v="175"/>
    <s v="supplier@gmail.com"/>
  </r>
  <r>
    <x v="3850"/>
    <x v="3850"/>
    <x v="4"/>
    <x v="1"/>
    <x v="4"/>
    <x v="1"/>
    <x v="12"/>
    <x v="8"/>
    <x v="8"/>
    <x v="12"/>
    <x v="8"/>
    <x v="0"/>
    <x v="1"/>
    <x v="61"/>
    <s v="supplier@gmail.com"/>
  </r>
  <r>
    <x v="3851"/>
    <x v="3851"/>
    <x v="4"/>
    <x v="1"/>
    <x v="4"/>
    <x v="1"/>
    <x v="12"/>
    <x v="8"/>
    <x v="8"/>
    <x v="12"/>
    <x v="8"/>
    <x v="0"/>
    <x v="1"/>
    <x v="123"/>
    <s v="supplier@gmail.com"/>
  </r>
  <r>
    <x v="3852"/>
    <x v="3852"/>
    <x v="4"/>
    <x v="1"/>
    <x v="4"/>
    <x v="1"/>
    <x v="12"/>
    <x v="8"/>
    <x v="8"/>
    <x v="12"/>
    <x v="8"/>
    <x v="0"/>
    <x v="1"/>
    <x v="38"/>
    <s v="supplier@gmail.com"/>
  </r>
  <r>
    <x v="3853"/>
    <x v="3853"/>
    <x v="4"/>
    <x v="1"/>
    <x v="4"/>
    <x v="1"/>
    <x v="12"/>
    <x v="8"/>
    <x v="8"/>
    <x v="12"/>
    <x v="8"/>
    <x v="0"/>
    <x v="1"/>
    <x v="17"/>
    <s v="supplier@gmail.com"/>
  </r>
  <r>
    <x v="3854"/>
    <x v="3854"/>
    <x v="4"/>
    <x v="1"/>
    <x v="4"/>
    <x v="1"/>
    <x v="12"/>
    <x v="8"/>
    <x v="8"/>
    <x v="12"/>
    <x v="8"/>
    <x v="0"/>
    <x v="1"/>
    <x v="17"/>
    <s v="supplier@gmail.com"/>
  </r>
  <r>
    <x v="3855"/>
    <x v="3855"/>
    <x v="4"/>
    <x v="1"/>
    <x v="4"/>
    <x v="1"/>
    <x v="12"/>
    <x v="8"/>
    <x v="8"/>
    <x v="12"/>
    <x v="8"/>
    <x v="0"/>
    <x v="1"/>
    <x v="185"/>
    <s v="supplier@gmail.com"/>
  </r>
  <r>
    <x v="3856"/>
    <x v="3856"/>
    <x v="4"/>
    <x v="1"/>
    <x v="4"/>
    <x v="1"/>
    <x v="12"/>
    <x v="8"/>
    <x v="8"/>
    <x v="12"/>
    <x v="8"/>
    <x v="0"/>
    <x v="1"/>
    <x v="199"/>
    <s v="supplier@gmail.com"/>
  </r>
  <r>
    <x v="3857"/>
    <x v="3857"/>
    <x v="4"/>
    <x v="1"/>
    <x v="4"/>
    <x v="1"/>
    <x v="12"/>
    <x v="8"/>
    <x v="8"/>
    <x v="12"/>
    <x v="8"/>
    <x v="0"/>
    <x v="1"/>
    <x v="87"/>
    <s v="supplier@gmail.com"/>
  </r>
  <r>
    <x v="3858"/>
    <x v="3858"/>
    <x v="4"/>
    <x v="1"/>
    <x v="4"/>
    <x v="1"/>
    <x v="12"/>
    <x v="8"/>
    <x v="8"/>
    <x v="12"/>
    <x v="8"/>
    <x v="0"/>
    <x v="1"/>
    <x v="9"/>
    <s v="supplier@gmail.com"/>
  </r>
  <r>
    <x v="3859"/>
    <x v="3859"/>
    <x v="4"/>
    <x v="1"/>
    <x v="4"/>
    <x v="1"/>
    <x v="12"/>
    <x v="8"/>
    <x v="8"/>
    <x v="12"/>
    <x v="8"/>
    <x v="0"/>
    <x v="1"/>
    <x v="76"/>
    <s v="supplier@gmail.com"/>
  </r>
  <r>
    <x v="3860"/>
    <x v="3860"/>
    <x v="4"/>
    <x v="1"/>
    <x v="4"/>
    <x v="1"/>
    <x v="12"/>
    <x v="8"/>
    <x v="8"/>
    <x v="12"/>
    <x v="8"/>
    <x v="0"/>
    <x v="1"/>
    <x v="131"/>
    <s v="supplier@gmail.com"/>
  </r>
  <r>
    <x v="3861"/>
    <x v="3861"/>
    <x v="4"/>
    <x v="1"/>
    <x v="4"/>
    <x v="1"/>
    <x v="12"/>
    <x v="8"/>
    <x v="8"/>
    <x v="12"/>
    <x v="8"/>
    <x v="0"/>
    <x v="1"/>
    <x v="162"/>
    <s v="supplier@gmail.com"/>
  </r>
  <r>
    <x v="3862"/>
    <x v="3862"/>
    <x v="4"/>
    <x v="1"/>
    <x v="4"/>
    <x v="1"/>
    <x v="12"/>
    <x v="8"/>
    <x v="8"/>
    <x v="12"/>
    <x v="8"/>
    <x v="0"/>
    <x v="1"/>
    <x v="55"/>
    <s v="supplier@gmail.com"/>
  </r>
  <r>
    <x v="3863"/>
    <x v="3863"/>
    <x v="4"/>
    <x v="1"/>
    <x v="4"/>
    <x v="1"/>
    <x v="12"/>
    <x v="8"/>
    <x v="8"/>
    <x v="12"/>
    <x v="8"/>
    <x v="0"/>
    <x v="1"/>
    <x v="116"/>
    <s v="supplier@gmail.com"/>
  </r>
  <r>
    <x v="3864"/>
    <x v="3864"/>
    <x v="4"/>
    <x v="1"/>
    <x v="4"/>
    <x v="1"/>
    <x v="12"/>
    <x v="8"/>
    <x v="8"/>
    <x v="12"/>
    <x v="8"/>
    <x v="0"/>
    <x v="1"/>
    <x v="76"/>
    <s v="supplier@gmail.com"/>
  </r>
  <r>
    <x v="3865"/>
    <x v="3865"/>
    <x v="4"/>
    <x v="1"/>
    <x v="4"/>
    <x v="1"/>
    <x v="12"/>
    <x v="8"/>
    <x v="8"/>
    <x v="12"/>
    <x v="8"/>
    <x v="0"/>
    <x v="1"/>
    <x v="31"/>
    <s v="supplier@gmail.com"/>
  </r>
  <r>
    <x v="3866"/>
    <x v="3866"/>
    <x v="4"/>
    <x v="1"/>
    <x v="4"/>
    <x v="1"/>
    <x v="12"/>
    <x v="8"/>
    <x v="8"/>
    <x v="12"/>
    <x v="8"/>
    <x v="0"/>
    <x v="1"/>
    <x v="140"/>
    <s v="supplier@gmail.com"/>
  </r>
  <r>
    <x v="3867"/>
    <x v="3867"/>
    <x v="4"/>
    <x v="1"/>
    <x v="4"/>
    <x v="1"/>
    <x v="12"/>
    <x v="8"/>
    <x v="8"/>
    <x v="12"/>
    <x v="8"/>
    <x v="0"/>
    <x v="1"/>
    <x v="93"/>
    <s v="supplier@gmail.com"/>
  </r>
  <r>
    <x v="3868"/>
    <x v="3868"/>
    <x v="4"/>
    <x v="1"/>
    <x v="4"/>
    <x v="1"/>
    <x v="12"/>
    <x v="8"/>
    <x v="8"/>
    <x v="12"/>
    <x v="8"/>
    <x v="0"/>
    <x v="1"/>
    <x v="17"/>
    <s v="supplier@gmail.com"/>
  </r>
  <r>
    <x v="3869"/>
    <x v="3869"/>
    <x v="4"/>
    <x v="1"/>
    <x v="4"/>
    <x v="1"/>
    <x v="12"/>
    <x v="8"/>
    <x v="8"/>
    <x v="12"/>
    <x v="8"/>
    <x v="0"/>
    <x v="1"/>
    <x v="35"/>
    <s v="supplier@gmail.com"/>
  </r>
  <r>
    <x v="3870"/>
    <x v="3870"/>
    <x v="4"/>
    <x v="1"/>
    <x v="4"/>
    <x v="1"/>
    <x v="12"/>
    <x v="8"/>
    <x v="8"/>
    <x v="12"/>
    <x v="8"/>
    <x v="0"/>
    <x v="1"/>
    <x v="102"/>
    <s v="supplier@gmail.com"/>
  </r>
  <r>
    <x v="3871"/>
    <x v="3871"/>
    <x v="4"/>
    <x v="1"/>
    <x v="4"/>
    <x v="1"/>
    <x v="12"/>
    <x v="8"/>
    <x v="8"/>
    <x v="12"/>
    <x v="8"/>
    <x v="0"/>
    <x v="1"/>
    <x v="78"/>
    <s v="supplier@gmail.com"/>
  </r>
  <r>
    <x v="3872"/>
    <x v="3872"/>
    <x v="4"/>
    <x v="1"/>
    <x v="4"/>
    <x v="1"/>
    <x v="12"/>
    <x v="8"/>
    <x v="8"/>
    <x v="12"/>
    <x v="8"/>
    <x v="0"/>
    <x v="1"/>
    <x v="137"/>
    <s v="supplier@gmail.com"/>
  </r>
  <r>
    <x v="3873"/>
    <x v="3873"/>
    <x v="4"/>
    <x v="1"/>
    <x v="4"/>
    <x v="1"/>
    <x v="12"/>
    <x v="8"/>
    <x v="8"/>
    <x v="12"/>
    <x v="8"/>
    <x v="0"/>
    <x v="1"/>
    <x v="27"/>
    <s v="supplier@gmail.com"/>
  </r>
  <r>
    <x v="3874"/>
    <x v="3874"/>
    <x v="4"/>
    <x v="1"/>
    <x v="4"/>
    <x v="1"/>
    <x v="12"/>
    <x v="8"/>
    <x v="8"/>
    <x v="12"/>
    <x v="8"/>
    <x v="0"/>
    <x v="1"/>
    <x v="149"/>
    <s v="supplier@gmail.com"/>
  </r>
  <r>
    <x v="3875"/>
    <x v="3875"/>
    <x v="473"/>
    <x v="407"/>
    <x v="502"/>
    <x v="509"/>
    <x v="458"/>
    <x v="414"/>
    <x v="399"/>
    <x v="410"/>
    <x v="376"/>
    <x v="1"/>
    <x v="1005"/>
    <x v="200"/>
    <m/>
  </r>
</pivotCacheRecords>
</file>

<file path=xl/pivotCache/pivotCacheRecords2.xml><?xml version="1.0" encoding="utf-8"?>
<pivotCacheRecords xmlns="http://schemas.openxmlformats.org/spreadsheetml/2006/main" xmlns:r="http://schemas.openxmlformats.org/officeDocument/2006/relationships" count="3876">
  <r>
    <s v="Description 1"/>
    <s v="Code 1"/>
    <n v="2"/>
    <n v="2"/>
    <n v="2"/>
    <n v="2"/>
    <n v="2"/>
    <n v="2"/>
    <n v="2"/>
    <n v="2"/>
    <n v="2"/>
    <n v="0"/>
    <n v="531"/>
    <x v="0"/>
    <x v="0"/>
    <x v="0"/>
    <x v="0"/>
  </r>
  <r>
    <s v="Description 2"/>
    <s v="Code 2"/>
    <n v="300"/>
    <n v="0"/>
    <n v="150"/>
    <n v="0"/>
    <n v="90"/>
    <n v="90"/>
    <n v="90"/>
    <n v="30"/>
    <n v="90"/>
    <n v="0"/>
    <n v="0"/>
    <x v="1"/>
    <x v="0"/>
    <x v="0"/>
    <x v="0"/>
  </r>
  <r>
    <s v="Description 3"/>
    <s v="Code 3"/>
    <n v="225"/>
    <n v="225"/>
    <n v="375"/>
    <n v="225"/>
    <n v="230"/>
    <n v="230"/>
    <n v="230"/>
    <n v="200"/>
    <n v="230"/>
    <n v="0"/>
    <n v="301"/>
    <x v="2"/>
    <x v="0"/>
    <x v="0"/>
    <x v="0"/>
  </r>
  <r>
    <s v="Description 4"/>
    <s v="Code 4"/>
    <n v="300"/>
    <n v="0"/>
    <n v="150"/>
    <n v="0"/>
    <n v="120"/>
    <n v="120"/>
    <n v="120"/>
    <n v="90"/>
    <n v="120"/>
    <n v="0"/>
    <n v="0"/>
    <x v="3"/>
    <x v="0"/>
    <x v="0"/>
    <x v="0"/>
  </r>
  <r>
    <s v="Description 5"/>
    <s v="Code 5"/>
    <n v="75"/>
    <n v="0"/>
    <n v="75"/>
    <n v="75"/>
    <n v="58"/>
    <n v="58"/>
    <n v="58"/>
    <n v="58"/>
    <n v="58"/>
    <n v="0"/>
    <n v="0"/>
    <x v="4"/>
    <x v="0"/>
    <x v="0"/>
    <x v="0"/>
  </r>
  <r>
    <s v="Description 6"/>
    <s v="Code 6"/>
    <n v="0"/>
    <n v="140"/>
    <n v="0"/>
    <n v="0"/>
    <n v="45"/>
    <n v="45"/>
    <n v="45"/>
    <n v="45"/>
    <n v="45"/>
    <n v="0"/>
    <n v="0"/>
    <x v="5"/>
    <x v="0"/>
    <x v="0"/>
    <x v="0"/>
  </r>
  <r>
    <s v="Description 7"/>
    <s v="Code 7"/>
    <n v="280"/>
    <n v="0"/>
    <n v="0"/>
    <n v="140"/>
    <n v="70"/>
    <n v="70"/>
    <n v="70"/>
    <n v="70"/>
    <n v="70"/>
    <n v="0"/>
    <n v="0"/>
    <x v="6"/>
    <x v="0"/>
    <x v="0"/>
    <x v="0"/>
  </r>
  <r>
    <s v="Description 8"/>
    <s v="Code 8"/>
    <n v="240"/>
    <n v="0"/>
    <n v="0"/>
    <n v="120"/>
    <n v="65"/>
    <n v="65"/>
    <n v="65"/>
    <n v="55"/>
    <n v="65"/>
    <n v="0"/>
    <n v="0"/>
    <x v="7"/>
    <x v="0"/>
    <x v="0"/>
    <x v="0"/>
  </r>
  <r>
    <s v="Description 9"/>
    <s v="Code 9"/>
    <n v="30"/>
    <n v="0"/>
    <n v="0"/>
    <n v="0"/>
    <n v="30"/>
    <n v="0"/>
    <n v="0"/>
    <n v="30"/>
    <n v="0"/>
    <n v="0"/>
    <n v="0"/>
    <x v="8"/>
    <x v="0"/>
    <x v="0"/>
    <x v="0"/>
  </r>
  <r>
    <s v="Description 10"/>
    <s v="Code 10"/>
    <n v="30"/>
    <n v="0"/>
    <n v="0"/>
    <n v="0"/>
    <n v="30"/>
    <n v="0"/>
    <n v="0"/>
    <n v="30"/>
    <n v="0"/>
    <n v="0"/>
    <n v="100"/>
    <x v="8"/>
    <x v="0"/>
    <x v="0"/>
    <x v="0"/>
  </r>
  <r>
    <s v="Description 11"/>
    <s v="Code 11"/>
    <n v="60"/>
    <n v="0"/>
    <n v="0"/>
    <n v="0"/>
    <n v="60"/>
    <n v="0"/>
    <n v="0"/>
    <n v="60"/>
    <n v="0"/>
    <n v="0"/>
    <n v="400"/>
    <x v="9"/>
    <x v="0"/>
    <x v="0"/>
    <x v="0"/>
  </r>
  <r>
    <s v="Description 12"/>
    <s v="Code 12"/>
    <n v="60"/>
    <n v="0"/>
    <n v="0"/>
    <n v="0"/>
    <n v="60"/>
    <n v="0"/>
    <n v="0"/>
    <n v="60"/>
    <n v="0"/>
    <n v="0"/>
    <n v="407"/>
    <x v="10"/>
    <x v="0"/>
    <x v="0"/>
    <x v="0"/>
  </r>
  <r>
    <s v="Description 13"/>
    <s v="Code 13"/>
    <n v="150"/>
    <n v="0"/>
    <n v="0"/>
    <n v="0"/>
    <n v="150"/>
    <n v="0"/>
    <n v="0"/>
    <n v="150"/>
    <n v="0"/>
    <n v="0"/>
    <n v="0"/>
    <x v="11"/>
    <x v="0"/>
    <x v="0"/>
    <x v="0"/>
  </r>
  <r>
    <s v="Description 14"/>
    <s v="Code 14"/>
    <n v="150"/>
    <n v="0"/>
    <n v="0"/>
    <n v="0"/>
    <n v="150"/>
    <n v="0"/>
    <n v="0"/>
    <n v="150"/>
    <n v="0"/>
    <n v="0"/>
    <n v="1045"/>
    <x v="12"/>
    <x v="0"/>
    <x v="0"/>
    <x v="0"/>
  </r>
  <r>
    <s v="Description 15"/>
    <s v="Code 15"/>
    <n v="30"/>
    <n v="0"/>
    <n v="0"/>
    <n v="0"/>
    <n v="30"/>
    <n v="0"/>
    <n v="0"/>
    <n v="30"/>
    <n v="0"/>
    <n v="0"/>
    <n v="100"/>
    <x v="13"/>
    <x v="0"/>
    <x v="1"/>
    <x v="0"/>
  </r>
  <r>
    <s v="Description 16"/>
    <s v="Code 16"/>
    <n v="30"/>
    <n v="0"/>
    <n v="0"/>
    <n v="0"/>
    <n v="30"/>
    <n v="0"/>
    <n v="0"/>
    <n v="30"/>
    <n v="0"/>
    <n v="0"/>
    <n v="200"/>
    <x v="14"/>
    <x v="0"/>
    <x v="0"/>
    <x v="0"/>
  </r>
  <r>
    <s v="Description 17"/>
    <s v="Code 17"/>
    <n v="120"/>
    <n v="0"/>
    <n v="0"/>
    <n v="0"/>
    <n v="120"/>
    <n v="0"/>
    <n v="0"/>
    <n v="120"/>
    <n v="0"/>
    <n v="0"/>
    <n v="805"/>
    <x v="15"/>
    <x v="0"/>
    <x v="0"/>
    <x v="0"/>
  </r>
  <r>
    <s v="Description 18"/>
    <s v="Code 18"/>
    <n v="30"/>
    <n v="0"/>
    <n v="0"/>
    <n v="0"/>
    <n v="30"/>
    <n v="0"/>
    <n v="0"/>
    <n v="30"/>
    <n v="0"/>
    <n v="0"/>
    <n v="205"/>
    <x v="14"/>
    <x v="0"/>
    <x v="0"/>
    <x v="0"/>
  </r>
  <r>
    <s v="Description 19"/>
    <s v="Code 19"/>
    <n v="30"/>
    <n v="0"/>
    <n v="0"/>
    <n v="0"/>
    <n v="30"/>
    <n v="0"/>
    <n v="0"/>
    <n v="30"/>
    <n v="0"/>
    <n v="0"/>
    <n v="201"/>
    <x v="16"/>
    <x v="0"/>
    <x v="0"/>
    <x v="0"/>
  </r>
  <r>
    <s v="Description 20"/>
    <s v="Code 20"/>
    <n v="60"/>
    <n v="0"/>
    <n v="0"/>
    <n v="0"/>
    <n v="60"/>
    <n v="0"/>
    <n v="0"/>
    <n v="60"/>
    <n v="0"/>
    <n v="0"/>
    <n v="417"/>
    <x v="17"/>
    <x v="0"/>
    <x v="0"/>
    <x v="0"/>
  </r>
  <r>
    <s v="Description 21"/>
    <s v="Code 21"/>
    <n v="30"/>
    <n v="0"/>
    <n v="0"/>
    <n v="0"/>
    <n v="30"/>
    <n v="0"/>
    <n v="0"/>
    <n v="30"/>
    <n v="0"/>
    <n v="0"/>
    <n v="0"/>
    <x v="18"/>
    <x v="0"/>
    <x v="0"/>
    <x v="0"/>
  </r>
  <r>
    <s v="Description 22"/>
    <s v="Code 22"/>
    <n v="180"/>
    <n v="15"/>
    <n v="15"/>
    <n v="30"/>
    <n v="180"/>
    <n v="15"/>
    <n v="30"/>
    <n v="165"/>
    <n v="30"/>
    <n v="0"/>
    <n v="407"/>
    <x v="19"/>
    <x v="0"/>
    <x v="0"/>
    <x v="0"/>
  </r>
  <r>
    <s v="Description 23"/>
    <s v="Code 23"/>
    <n v="0"/>
    <n v="25"/>
    <n v="0"/>
    <n v="25"/>
    <n v="0"/>
    <n v="25"/>
    <n v="25"/>
    <n v="0"/>
    <n v="25"/>
    <n v="0"/>
    <n v="344"/>
    <x v="20"/>
    <x v="0"/>
    <x v="0"/>
    <x v="0"/>
  </r>
  <r>
    <s v="Description 24"/>
    <s v="Code 24"/>
    <n v="0"/>
    <n v="25"/>
    <n v="0"/>
    <n v="25"/>
    <n v="0"/>
    <n v="25"/>
    <n v="25"/>
    <n v="0"/>
    <n v="25"/>
    <n v="0"/>
    <n v="0"/>
    <x v="21"/>
    <x v="0"/>
    <x v="0"/>
    <x v="0"/>
  </r>
  <r>
    <s v="Description 25"/>
    <s v="Code 25"/>
    <n v="0"/>
    <n v="0"/>
    <n v="0"/>
    <n v="0"/>
    <n v="0"/>
    <n v="0"/>
    <n v="0"/>
    <n v="0"/>
    <n v="0"/>
    <n v="0"/>
    <n v="50"/>
    <x v="22"/>
    <x v="0"/>
    <x v="0"/>
    <x v="0"/>
  </r>
  <r>
    <s v="Description 26"/>
    <s v="Code 26"/>
    <n v="0"/>
    <n v="0"/>
    <n v="0"/>
    <n v="0"/>
    <n v="0"/>
    <n v="0"/>
    <n v="0"/>
    <n v="0"/>
    <n v="0"/>
    <n v="0"/>
    <n v="0"/>
    <x v="17"/>
    <x v="0"/>
    <x v="0"/>
    <x v="0"/>
  </r>
  <r>
    <s v="Description 27"/>
    <s v="Code 27"/>
    <n v="0"/>
    <n v="25"/>
    <n v="0"/>
    <n v="25"/>
    <n v="0"/>
    <n v="25"/>
    <n v="25"/>
    <n v="0"/>
    <n v="25"/>
    <n v="0"/>
    <n v="109"/>
    <x v="23"/>
    <x v="0"/>
    <x v="1"/>
    <x v="0"/>
  </r>
  <r>
    <s v="Description 28"/>
    <s v="Code 28"/>
    <n v="0"/>
    <n v="25"/>
    <n v="0"/>
    <n v="25"/>
    <n v="0"/>
    <n v="25"/>
    <n v="25"/>
    <n v="0"/>
    <n v="25"/>
    <n v="0"/>
    <n v="50"/>
    <x v="24"/>
    <x v="0"/>
    <x v="0"/>
    <x v="0"/>
  </r>
  <r>
    <s v="Description 29"/>
    <s v="Code 29"/>
    <n v="0"/>
    <n v="75"/>
    <n v="0"/>
    <n v="75"/>
    <n v="0"/>
    <n v="75"/>
    <n v="75"/>
    <n v="0"/>
    <n v="75"/>
    <n v="0"/>
    <n v="97"/>
    <x v="25"/>
    <x v="0"/>
    <x v="1"/>
    <x v="0"/>
  </r>
  <r>
    <s v="Description 30"/>
    <s v="Code 30"/>
    <n v="0"/>
    <n v="50"/>
    <n v="0"/>
    <n v="50"/>
    <n v="0"/>
    <n v="50"/>
    <n v="50"/>
    <n v="0"/>
    <n v="50"/>
    <n v="0"/>
    <n v="0"/>
    <x v="24"/>
    <x v="0"/>
    <x v="0"/>
    <x v="0"/>
  </r>
  <r>
    <s v="Description 31"/>
    <s v="Code 31"/>
    <n v="0"/>
    <n v="25"/>
    <n v="0"/>
    <n v="25"/>
    <n v="0"/>
    <n v="25"/>
    <n v="25"/>
    <n v="0"/>
    <n v="25"/>
    <n v="0"/>
    <n v="260"/>
    <x v="26"/>
    <x v="0"/>
    <x v="1"/>
    <x v="0"/>
  </r>
  <r>
    <s v="Description 32"/>
    <s v="Code 32"/>
    <n v="0"/>
    <n v="0"/>
    <n v="20"/>
    <n v="50"/>
    <n v="0"/>
    <n v="0"/>
    <n v="0"/>
    <n v="50"/>
    <n v="0"/>
    <n v="0"/>
    <n v="338"/>
    <x v="27"/>
    <x v="0"/>
    <x v="0"/>
    <x v="0"/>
  </r>
  <r>
    <s v="Description 33"/>
    <s v="Code 33"/>
    <n v="30"/>
    <n v="0"/>
    <n v="0"/>
    <n v="0"/>
    <n v="30"/>
    <n v="0"/>
    <n v="0"/>
    <n v="30"/>
    <n v="0"/>
    <n v="0"/>
    <n v="0"/>
    <x v="28"/>
    <x v="0"/>
    <x v="1"/>
    <x v="0"/>
  </r>
  <r>
    <s v="Description 34"/>
    <s v="Code 34"/>
    <n v="30"/>
    <n v="0"/>
    <n v="0"/>
    <n v="0"/>
    <n v="30"/>
    <n v="0"/>
    <n v="0"/>
    <n v="30"/>
    <n v="0"/>
    <n v="0"/>
    <n v="100"/>
    <x v="29"/>
    <x v="0"/>
    <x v="0"/>
    <x v="0"/>
  </r>
  <r>
    <s v="Description 35"/>
    <s v="Code 35"/>
    <n v="0"/>
    <n v="30"/>
    <n v="30"/>
    <n v="30"/>
    <n v="30"/>
    <n v="30"/>
    <n v="0"/>
    <n v="30"/>
    <n v="30"/>
    <n v="0"/>
    <n v="36"/>
    <x v="12"/>
    <x v="0"/>
    <x v="0"/>
    <x v="0"/>
  </r>
  <r>
    <s v="Description 36"/>
    <s v="Code 36"/>
    <n v="30"/>
    <n v="30"/>
    <n v="30"/>
    <n v="30"/>
    <n v="30"/>
    <n v="0"/>
    <n v="30"/>
    <n v="0"/>
    <n v="30"/>
    <n v="0"/>
    <n v="90"/>
    <x v="30"/>
    <x v="0"/>
    <x v="0"/>
    <x v="0"/>
  </r>
  <r>
    <s v="Description 37"/>
    <s v="Code 37"/>
    <n v="50"/>
    <n v="25"/>
    <n v="25"/>
    <n v="25"/>
    <n v="25"/>
    <n v="25"/>
    <n v="25"/>
    <n v="25"/>
    <n v="25"/>
    <n v="0"/>
    <n v="200"/>
    <x v="31"/>
    <x v="0"/>
    <x v="0"/>
    <x v="0"/>
  </r>
  <r>
    <s v="Description 38"/>
    <s v="Code 38"/>
    <n v="60"/>
    <n v="120"/>
    <n v="120"/>
    <n v="120"/>
    <n v="120"/>
    <n v="60"/>
    <n v="60"/>
    <n v="60"/>
    <n v="120"/>
    <n v="0"/>
    <n v="64"/>
    <x v="32"/>
    <x v="0"/>
    <x v="0"/>
    <x v="0"/>
  </r>
  <r>
    <s v="Description 39"/>
    <s v="Code 39"/>
    <n v="0"/>
    <n v="0"/>
    <n v="50"/>
    <n v="50"/>
    <n v="100"/>
    <n v="50"/>
    <n v="50"/>
    <n v="50"/>
    <n v="50"/>
    <n v="0"/>
    <n v="225"/>
    <x v="33"/>
    <x v="0"/>
    <x v="0"/>
    <x v="0"/>
  </r>
  <r>
    <s v="Description 40"/>
    <s v="Code 40"/>
    <n v="60"/>
    <n v="90"/>
    <n v="90"/>
    <n v="90"/>
    <n v="90"/>
    <n v="30"/>
    <n v="60"/>
    <n v="30"/>
    <n v="90"/>
    <n v="0"/>
    <n v="200"/>
    <x v="34"/>
    <x v="0"/>
    <x v="0"/>
    <x v="0"/>
  </r>
  <r>
    <s v="Description 41"/>
    <s v="Code 41"/>
    <n v="0"/>
    <n v="30"/>
    <n v="30"/>
    <n v="30"/>
    <n v="30"/>
    <n v="30"/>
    <n v="0"/>
    <n v="30"/>
    <n v="30"/>
    <n v="0"/>
    <n v="150"/>
    <x v="35"/>
    <x v="0"/>
    <x v="1"/>
    <x v="0"/>
  </r>
  <r>
    <s v="Description 42"/>
    <s v="Code 42"/>
    <n v="30"/>
    <n v="60"/>
    <n v="60"/>
    <n v="60"/>
    <n v="60"/>
    <n v="30"/>
    <n v="30"/>
    <n v="30"/>
    <n v="60"/>
    <n v="0"/>
    <n v="519"/>
    <x v="36"/>
    <x v="0"/>
    <x v="0"/>
    <x v="0"/>
  </r>
  <r>
    <s v="Description 43"/>
    <s v="Code 43"/>
    <n v="30"/>
    <n v="60"/>
    <n v="60"/>
    <n v="60"/>
    <n v="60"/>
    <n v="30"/>
    <n v="30"/>
    <n v="30"/>
    <n v="60"/>
    <n v="0"/>
    <n v="479"/>
    <x v="5"/>
    <x v="0"/>
    <x v="0"/>
    <x v="0"/>
  </r>
  <r>
    <s v="Description 44"/>
    <s v="Code 44"/>
    <n v="90"/>
    <n v="60"/>
    <n v="60"/>
    <n v="60"/>
    <n v="60"/>
    <n v="30"/>
    <n v="60"/>
    <n v="30"/>
    <n v="60"/>
    <n v="0"/>
    <n v="0"/>
    <x v="37"/>
    <x v="0"/>
    <x v="0"/>
    <x v="0"/>
  </r>
  <r>
    <s v="Description 45"/>
    <s v="Code 45"/>
    <n v="210"/>
    <n v="150"/>
    <n v="150"/>
    <n v="150"/>
    <n v="180"/>
    <n v="75"/>
    <n v="150"/>
    <n v="105"/>
    <n v="150"/>
    <n v="0"/>
    <n v="0"/>
    <x v="10"/>
    <x v="0"/>
    <x v="0"/>
    <x v="0"/>
  </r>
  <r>
    <s v="Description 46"/>
    <s v="Code 46"/>
    <n v="30"/>
    <n v="30"/>
    <n v="30"/>
    <n v="30"/>
    <n v="30"/>
    <n v="15"/>
    <n v="30"/>
    <n v="15"/>
    <n v="30"/>
    <n v="0"/>
    <n v="112"/>
    <x v="38"/>
    <x v="0"/>
    <x v="0"/>
    <x v="0"/>
  </r>
  <r>
    <s v="Description 47"/>
    <s v="Code 47"/>
    <n v="0"/>
    <n v="0"/>
    <n v="0"/>
    <n v="0"/>
    <n v="0"/>
    <n v="0"/>
    <n v="0"/>
    <n v="0"/>
    <n v="0"/>
    <n v="0"/>
    <n v="0"/>
    <x v="39"/>
    <x v="0"/>
    <x v="0"/>
    <x v="0"/>
  </r>
  <r>
    <s v="Description 48"/>
    <s v="Code 48"/>
    <n v="30"/>
    <n v="30"/>
    <n v="30"/>
    <n v="30"/>
    <n v="30"/>
    <n v="15"/>
    <n v="30"/>
    <n v="15"/>
    <n v="30"/>
    <n v="0"/>
    <n v="600"/>
    <x v="36"/>
    <x v="0"/>
    <x v="0"/>
    <x v="0"/>
  </r>
  <r>
    <s v="Description 49"/>
    <s v="Code 49"/>
    <n v="30"/>
    <n v="30"/>
    <n v="30"/>
    <n v="30"/>
    <n v="30"/>
    <n v="15"/>
    <n v="30"/>
    <n v="15"/>
    <n v="30"/>
    <n v="0"/>
    <n v="650"/>
    <x v="16"/>
    <x v="0"/>
    <x v="0"/>
    <x v="0"/>
  </r>
  <r>
    <s v="Description 50"/>
    <s v="Code 50"/>
    <n v="0"/>
    <n v="0"/>
    <n v="50"/>
    <n v="50"/>
    <n v="100"/>
    <n v="50"/>
    <n v="50"/>
    <n v="50"/>
    <n v="50"/>
    <n v="0"/>
    <n v="265"/>
    <x v="40"/>
    <x v="0"/>
    <x v="0"/>
    <x v="0"/>
  </r>
  <r>
    <s v="Description 51"/>
    <s v="Code 51"/>
    <n v="145"/>
    <n v="85"/>
    <n v="105"/>
    <n v="195"/>
    <n v="149"/>
    <n v="89"/>
    <n v="149"/>
    <n v="135"/>
    <n v="145"/>
    <n v="0"/>
    <n v="2079"/>
    <x v="41"/>
    <x v="0"/>
    <x v="0"/>
    <x v="0"/>
  </r>
  <r>
    <s v="Description 52"/>
    <s v="Code 52"/>
    <n v="145"/>
    <n v="85"/>
    <n v="105"/>
    <n v="197"/>
    <n v="149"/>
    <n v="89"/>
    <n v="149"/>
    <n v="135"/>
    <n v="145"/>
    <n v="0"/>
    <n v="600"/>
    <x v="42"/>
    <x v="0"/>
    <x v="1"/>
    <x v="0"/>
  </r>
  <r>
    <s v="Description 53"/>
    <s v="Code 53"/>
    <n v="30"/>
    <n v="15"/>
    <n v="15"/>
    <n v="30"/>
    <n v="30"/>
    <n v="15"/>
    <n v="30"/>
    <n v="15"/>
    <n v="30"/>
    <n v="0"/>
    <n v="600"/>
    <x v="43"/>
    <x v="0"/>
    <x v="0"/>
    <x v="0"/>
  </r>
  <r>
    <s v="Description 54"/>
    <s v="Code 54"/>
    <n v="0"/>
    <n v="0"/>
    <n v="0"/>
    <n v="50"/>
    <n v="0"/>
    <n v="0"/>
    <n v="0"/>
    <n v="50"/>
    <n v="0"/>
    <n v="0"/>
    <n v="50"/>
    <x v="44"/>
    <x v="0"/>
    <x v="0"/>
    <x v="0"/>
  </r>
  <r>
    <s v="Description 55"/>
    <s v="Code 55"/>
    <n v="0"/>
    <n v="0"/>
    <n v="20"/>
    <n v="0"/>
    <n v="0"/>
    <n v="0"/>
    <n v="0"/>
    <n v="0"/>
    <n v="0"/>
    <n v="0"/>
    <n v="10"/>
    <x v="45"/>
    <x v="0"/>
    <x v="0"/>
    <x v="0"/>
  </r>
  <r>
    <s v="Description 56"/>
    <s v="Code 56"/>
    <n v="0"/>
    <n v="0"/>
    <n v="0"/>
    <n v="0"/>
    <n v="0"/>
    <n v="0"/>
    <n v="0"/>
    <n v="0"/>
    <n v="0"/>
    <n v="0"/>
    <n v="0"/>
    <x v="46"/>
    <x v="0"/>
    <x v="0"/>
    <x v="0"/>
  </r>
  <r>
    <s v="Description 57"/>
    <s v="Code 57"/>
    <n v="0"/>
    <n v="0"/>
    <n v="0"/>
    <n v="0"/>
    <n v="0"/>
    <n v="0"/>
    <n v="0"/>
    <n v="0"/>
    <n v="0"/>
    <n v="0"/>
    <n v="63"/>
    <x v="47"/>
    <x v="0"/>
    <x v="0"/>
    <x v="0"/>
  </r>
  <r>
    <s v="Description 58"/>
    <s v="Code 58"/>
    <n v="90"/>
    <n v="70"/>
    <n v="70"/>
    <n v="70"/>
    <n v="0"/>
    <n v="0"/>
    <n v="0"/>
    <n v="0"/>
    <n v="0"/>
    <n v="0"/>
    <n v="80"/>
    <x v="48"/>
    <x v="0"/>
    <x v="0"/>
    <x v="0"/>
  </r>
  <r>
    <s v="Description 59"/>
    <s v="Code 59"/>
    <n v="0"/>
    <n v="0"/>
    <n v="0"/>
    <n v="0"/>
    <n v="0"/>
    <n v="0"/>
    <n v="0"/>
    <n v="0"/>
    <n v="0"/>
    <n v="0"/>
    <n v="20"/>
    <x v="15"/>
    <x v="0"/>
    <x v="0"/>
    <x v="0"/>
  </r>
  <r>
    <s v="Description 60"/>
    <s v="Code 60"/>
    <n v="6"/>
    <n v="4"/>
    <n v="4"/>
    <n v="4"/>
    <n v="0"/>
    <n v="0"/>
    <n v="0"/>
    <n v="0"/>
    <n v="0"/>
    <n v="0"/>
    <n v="21"/>
    <x v="49"/>
    <x v="0"/>
    <x v="0"/>
    <x v="0"/>
  </r>
  <r>
    <s v="Description 61"/>
    <s v="Code 61"/>
    <n v="18"/>
    <n v="10"/>
    <n v="10"/>
    <n v="10"/>
    <n v="0"/>
    <n v="0"/>
    <n v="0"/>
    <n v="0"/>
    <n v="0"/>
    <n v="0"/>
    <n v="23"/>
    <x v="50"/>
    <x v="0"/>
    <x v="0"/>
    <x v="0"/>
  </r>
  <r>
    <s v="Description 62"/>
    <s v="Code 62"/>
    <n v="0"/>
    <n v="0"/>
    <n v="0"/>
    <n v="0"/>
    <n v="0"/>
    <n v="0"/>
    <n v="0"/>
    <n v="0"/>
    <n v="0"/>
    <n v="0"/>
    <n v="5"/>
    <x v="7"/>
    <x v="0"/>
    <x v="0"/>
    <x v="0"/>
  </r>
  <r>
    <s v="Description 63"/>
    <s v="Code 63"/>
    <n v="0"/>
    <n v="0"/>
    <n v="0"/>
    <n v="0"/>
    <n v="0"/>
    <n v="0"/>
    <n v="0"/>
    <n v="0"/>
    <n v="0"/>
    <n v="0"/>
    <n v="0"/>
    <x v="51"/>
    <x v="0"/>
    <x v="0"/>
    <x v="0"/>
  </r>
  <r>
    <s v="Description 64"/>
    <s v="Code 64"/>
    <n v="12"/>
    <n v="6"/>
    <n v="6"/>
    <n v="6"/>
    <n v="0"/>
    <n v="0"/>
    <n v="0"/>
    <n v="0"/>
    <n v="0"/>
    <n v="0"/>
    <n v="12"/>
    <x v="52"/>
    <x v="0"/>
    <x v="0"/>
    <x v="0"/>
  </r>
  <r>
    <s v="Description 65"/>
    <s v="Code 65"/>
    <n v="0"/>
    <n v="0"/>
    <n v="0"/>
    <n v="0"/>
    <n v="0"/>
    <n v="0"/>
    <n v="0"/>
    <n v="0"/>
    <n v="0"/>
    <n v="0"/>
    <n v="4"/>
    <x v="18"/>
    <x v="0"/>
    <x v="0"/>
    <x v="0"/>
  </r>
  <r>
    <s v="Description 66"/>
    <s v="Code 66"/>
    <n v="0"/>
    <n v="0"/>
    <n v="0"/>
    <n v="0"/>
    <n v="0"/>
    <n v="0"/>
    <n v="0"/>
    <n v="0"/>
    <n v="0"/>
    <n v="0"/>
    <n v="3"/>
    <x v="53"/>
    <x v="0"/>
    <x v="0"/>
    <x v="0"/>
  </r>
  <r>
    <s v="Description 67"/>
    <s v="Code 67"/>
    <n v="0"/>
    <n v="0"/>
    <n v="0"/>
    <n v="0"/>
    <n v="0"/>
    <n v="0"/>
    <n v="0"/>
    <n v="0"/>
    <n v="0"/>
    <n v="0"/>
    <n v="0"/>
    <x v="25"/>
    <x v="0"/>
    <x v="1"/>
    <x v="0"/>
  </r>
  <r>
    <s v="Description 68"/>
    <s v="Code 68"/>
    <n v="0"/>
    <n v="0"/>
    <n v="0"/>
    <n v="0"/>
    <n v="0"/>
    <n v="0"/>
    <n v="0"/>
    <n v="0"/>
    <n v="0"/>
    <n v="0"/>
    <n v="106"/>
    <x v="27"/>
    <x v="0"/>
    <x v="0"/>
    <x v="0"/>
  </r>
  <r>
    <s v="Description 69"/>
    <s v="Code 69"/>
    <n v="60"/>
    <n v="30"/>
    <n v="30"/>
    <n v="60"/>
    <n v="60"/>
    <n v="30"/>
    <n v="60"/>
    <n v="30"/>
    <n v="60"/>
    <n v="0"/>
    <n v="602"/>
    <x v="20"/>
    <x v="0"/>
    <x v="0"/>
    <x v="0"/>
  </r>
  <r>
    <s v="Description 70"/>
    <s v="Code 70"/>
    <n v="30"/>
    <n v="30"/>
    <n v="30"/>
    <n v="30"/>
    <n v="30"/>
    <n v="0"/>
    <n v="30"/>
    <n v="0"/>
    <n v="30"/>
    <n v="0"/>
    <n v="159"/>
    <x v="54"/>
    <x v="0"/>
    <x v="0"/>
    <x v="0"/>
  </r>
  <r>
    <s v="Description 71"/>
    <s v="Code 71"/>
    <n v="0"/>
    <n v="0"/>
    <n v="500"/>
    <n v="0"/>
    <n v="0"/>
    <n v="0"/>
    <n v="0"/>
    <n v="0"/>
    <n v="0"/>
    <n v="0"/>
    <n v="0"/>
    <x v="9"/>
    <x v="0"/>
    <x v="0"/>
    <x v="0"/>
  </r>
  <r>
    <s v="Description 72"/>
    <s v="Code 72"/>
    <n v="30"/>
    <n v="0"/>
    <n v="0"/>
    <n v="0"/>
    <n v="30"/>
    <n v="0"/>
    <n v="0"/>
    <n v="30"/>
    <n v="0"/>
    <n v="0"/>
    <n v="0"/>
    <x v="55"/>
    <x v="0"/>
    <x v="0"/>
    <x v="0"/>
  </r>
  <r>
    <s v="Description 73"/>
    <s v="Code 73"/>
    <n v="30"/>
    <n v="0"/>
    <n v="0"/>
    <n v="0"/>
    <n v="30"/>
    <n v="0"/>
    <n v="0"/>
    <n v="30"/>
    <n v="0"/>
    <n v="0"/>
    <n v="150"/>
    <x v="17"/>
    <x v="0"/>
    <x v="0"/>
    <x v="0"/>
  </r>
  <r>
    <s v="Description 74"/>
    <s v="Code 74"/>
    <n v="0"/>
    <n v="0"/>
    <n v="20"/>
    <n v="50"/>
    <n v="0"/>
    <n v="0"/>
    <n v="0"/>
    <n v="50"/>
    <n v="0"/>
    <n v="0"/>
    <n v="0"/>
    <x v="56"/>
    <x v="0"/>
    <x v="0"/>
    <x v="0"/>
  </r>
  <r>
    <s v="Description 75"/>
    <s v="Code 75"/>
    <n v="0"/>
    <n v="0"/>
    <n v="0"/>
    <n v="0"/>
    <n v="0"/>
    <n v="0"/>
    <n v="0"/>
    <n v="0"/>
    <n v="0"/>
    <n v="0"/>
    <n v="8"/>
    <x v="11"/>
    <x v="0"/>
    <x v="0"/>
    <x v="0"/>
  </r>
  <r>
    <s v="Description 76"/>
    <s v="Code 76"/>
    <n v="0"/>
    <n v="0"/>
    <n v="0"/>
    <n v="0"/>
    <n v="0"/>
    <n v="0"/>
    <n v="0"/>
    <n v="0"/>
    <n v="0"/>
    <n v="0"/>
    <n v="0"/>
    <x v="57"/>
    <x v="0"/>
    <x v="0"/>
    <x v="0"/>
  </r>
  <r>
    <s v="Description 77"/>
    <s v="Code 77"/>
    <n v="0"/>
    <n v="0"/>
    <n v="0"/>
    <n v="0"/>
    <n v="0"/>
    <n v="4"/>
    <n v="0"/>
    <n v="0"/>
    <n v="0"/>
    <n v="0"/>
    <n v="3"/>
    <x v="38"/>
    <x v="0"/>
    <x v="0"/>
    <x v="0"/>
  </r>
  <r>
    <s v="Description 78"/>
    <s v="Code 78"/>
    <n v="0"/>
    <n v="0"/>
    <n v="0"/>
    <n v="0"/>
    <n v="0"/>
    <n v="0"/>
    <n v="0"/>
    <n v="0"/>
    <n v="0"/>
    <n v="0"/>
    <n v="8"/>
    <x v="58"/>
    <x v="0"/>
    <x v="0"/>
    <x v="0"/>
  </r>
  <r>
    <s v="Description 79"/>
    <s v="Code 79"/>
    <n v="0"/>
    <n v="0"/>
    <n v="0"/>
    <n v="0"/>
    <n v="0"/>
    <n v="0"/>
    <n v="0"/>
    <n v="0"/>
    <n v="0"/>
    <n v="0"/>
    <n v="0"/>
    <x v="59"/>
    <x v="0"/>
    <x v="0"/>
    <x v="0"/>
  </r>
  <r>
    <s v="Description 80"/>
    <s v="Code 80"/>
    <n v="60"/>
    <n v="30"/>
    <n v="30"/>
    <n v="30"/>
    <n v="30"/>
    <n v="15"/>
    <n v="30"/>
    <n v="15"/>
    <n v="30"/>
    <n v="0"/>
    <n v="0"/>
    <x v="60"/>
    <x v="0"/>
    <x v="0"/>
    <x v="0"/>
  </r>
  <r>
    <s v="Description 81"/>
    <s v="Code 81"/>
    <n v="50"/>
    <n v="25"/>
    <n v="25"/>
    <n v="25"/>
    <n v="25"/>
    <n v="25"/>
    <n v="25"/>
    <n v="25"/>
    <n v="25"/>
    <n v="0"/>
    <n v="70"/>
    <x v="61"/>
    <x v="0"/>
    <x v="0"/>
    <x v="0"/>
  </r>
  <r>
    <s v="Description 82"/>
    <s v="Code 82"/>
    <n v="1404"/>
    <n v="1188"/>
    <n v="1404"/>
    <n v="1404"/>
    <n v="1404"/>
    <n v="1404"/>
    <n v="1080"/>
    <n v="1512"/>
    <n v="1404"/>
    <n v="0"/>
    <n v="5000"/>
    <x v="62"/>
    <x v="0"/>
    <x v="0"/>
    <x v="0"/>
  </r>
  <r>
    <s v="Description 83"/>
    <s v="Code 83"/>
    <n v="12"/>
    <n v="0"/>
    <n v="10"/>
    <n v="8"/>
    <n v="10"/>
    <n v="6"/>
    <n v="8"/>
    <n v="4"/>
    <n v="4"/>
    <n v="0"/>
    <n v="374"/>
    <x v="63"/>
    <x v="0"/>
    <x v="0"/>
    <x v="0"/>
  </r>
  <r>
    <s v="Description 84"/>
    <s v="Code 84"/>
    <n v="0"/>
    <n v="18"/>
    <n v="0"/>
    <n v="0"/>
    <n v="0"/>
    <n v="0"/>
    <n v="0"/>
    <n v="0"/>
    <n v="0"/>
    <n v="0"/>
    <n v="0"/>
    <x v="64"/>
    <x v="0"/>
    <x v="0"/>
    <x v="0"/>
  </r>
  <r>
    <s v="Description 85"/>
    <s v="Code 85"/>
    <n v="20"/>
    <n v="23"/>
    <n v="30"/>
    <n v="22"/>
    <n v="20"/>
    <n v="16"/>
    <n v="16"/>
    <n v="15"/>
    <n v="16"/>
    <n v="0"/>
    <n v="51"/>
    <x v="65"/>
    <x v="0"/>
    <x v="0"/>
    <x v="0"/>
  </r>
  <r>
    <s v="Description 86"/>
    <s v="Code 86"/>
    <n v="0"/>
    <n v="0"/>
    <n v="0"/>
    <n v="0"/>
    <n v="0"/>
    <n v="0"/>
    <n v="0"/>
    <n v="0"/>
    <n v="0"/>
    <n v="0"/>
    <n v="0"/>
    <x v="66"/>
    <x v="0"/>
    <x v="0"/>
    <x v="0"/>
  </r>
  <r>
    <s v="Description 87"/>
    <s v="Code 87"/>
    <n v="0"/>
    <n v="0"/>
    <n v="0"/>
    <n v="0"/>
    <n v="0"/>
    <n v="0"/>
    <n v="0"/>
    <n v="0"/>
    <n v="0"/>
    <n v="0"/>
    <n v="525"/>
    <x v="67"/>
    <x v="0"/>
    <x v="0"/>
    <x v="0"/>
  </r>
  <r>
    <s v="Description 88"/>
    <s v="Code 88"/>
    <n v="0"/>
    <n v="0"/>
    <n v="0"/>
    <n v="0"/>
    <n v="0"/>
    <n v="0"/>
    <n v="0"/>
    <n v="0"/>
    <n v="0"/>
    <n v="0"/>
    <n v="0"/>
    <x v="68"/>
    <x v="0"/>
    <x v="0"/>
    <x v="0"/>
  </r>
  <r>
    <s v="Description 89"/>
    <s v="Code 89"/>
    <n v="0"/>
    <n v="0"/>
    <n v="0"/>
    <n v="0"/>
    <n v="0"/>
    <n v="0"/>
    <n v="0"/>
    <n v="0"/>
    <n v="0"/>
    <n v="0"/>
    <n v="113"/>
    <x v="69"/>
    <x v="0"/>
    <x v="0"/>
    <x v="0"/>
  </r>
  <r>
    <s v="Description 90"/>
    <s v="Code 90"/>
    <n v="0"/>
    <n v="0"/>
    <n v="0"/>
    <n v="0"/>
    <n v="0"/>
    <n v="0"/>
    <n v="0"/>
    <n v="0"/>
    <n v="0"/>
    <n v="0"/>
    <n v="371"/>
    <x v="70"/>
    <x v="0"/>
    <x v="0"/>
    <x v="0"/>
  </r>
  <r>
    <s v="Description 91"/>
    <s v="Code 91"/>
    <n v="0"/>
    <n v="0"/>
    <n v="0"/>
    <n v="0"/>
    <n v="0"/>
    <n v="0"/>
    <n v="0"/>
    <n v="0"/>
    <n v="0"/>
    <n v="0"/>
    <n v="6"/>
    <x v="71"/>
    <x v="0"/>
    <x v="0"/>
    <x v="0"/>
  </r>
  <r>
    <s v="Description 92"/>
    <s v="Code 92"/>
    <n v="0"/>
    <n v="0"/>
    <n v="0"/>
    <n v="0"/>
    <n v="0"/>
    <n v="0"/>
    <n v="0"/>
    <n v="0"/>
    <n v="0"/>
    <n v="0"/>
    <n v="1383"/>
    <x v="28"/>
    <x v="0"/>
    <x v="1"/>
    <x v="0"/>
  </r>
  <r>
    <s v="Description 93"/>
    <s v="Code 93"/>
    <n v="0"/>
    <n v="0"/>
    <n v="0"/>
    <n v="0"/>
    <n v="0"/>
    <n v="0"/>
    <n v="0"/>
    <n v="0"/>
    <n v="0"/>
    <n v="0"/>
    <n v="183"/>
    <x v="72"/>
    <x v="0"/>
    <x v="0"/>
    <x v="0"/>
  </r>
  <r>
    <s v="Description 94"/>
    <s v="Code 94"/>
    <n v="0"/>
    <n v="0"/>
    <n v="0"/>
    <n v="0"/>
    <n v="0"/>
    <n v="0"/>
    <n v="0"/>
    <n v="0"/>
    <n v="0"/>
    <n v="0"/>
    <n v="69"/>
    <x v="73"/>
    <x v="0"/>
    <x v="0"/>
    <x v="0"/>
  </r>
  <r>
    <s v="Description 95"/>
    <s v="Code 95"/>
    <n v="0"/>
    <n v="0"/>
    <n v="0"/>
    <n v="0"/>
    <n v="0"/>
    <n v="0"/>
    <n v="0"/>
    <n v="0"/>
    <n v="0"/>
    <n v="0"/>
    <n v="525"/>
    <x v="74"/>
    <x v="0"/>
    <x v="0"/>
    <x v="0"/>
  </r>
  <r>
    <s v="Description 96"/>
    <s v="Code 96"/>
    <n v="0"/>
    <n v="0"/>
    <n v="0"/>
    <n v="0"/>
    <n v="0"/>
    <n v="0"/>
    <n v="0"/>
    <n v="0"/>
    <n v="0"/>
    <n v="0"/>
    <n v="529"/>
    <x v="75"/>
    <x v="0"/>
    <x v="0"/>
    <x v="0"/>
  </r>
  <r>
    <s v="Description 97"/>
    <s v="Code 97"/>
    <n v="0"/>
    <n v="0"/>
    <n v="0"/>
    <n v="0"/>
    <n v="0"/>
    <n v="0"/>
    <n v="0"/>
    <n v="0"/>
    <n v="0"/>
    <n v="0"/>
    <n v="168"/>
    <x v="38"/>
    <x v="0"/>
    <x v="0"/>
    <x v="0"/>
  </r>
  <r>
    <s v="Description 98"/>
    <s v="Code 98"/>
    <n v="0"/>
    <n v="0"/>
    <n v="0"/>
    <n v="0"/>
    <n v="0"/>
    <n v="0"/>
    <n v="0"/>
    <n v="0"/>
    <n v="0"/>
    <n v="0"/>
    <n v="712"/>
    <x v="76"/>
    <x v="0"/>
    <x v="1"/>
    <x v="0"/>
  </r>
  <r>
    <s v="Description 99"/>
    <s v="Code 99"/>
    <n v="0"/>
    <n v="0"/>
    <n v="0"/>
    <n v="0"/>
    <n v="0"/>
    <n v="0"/>
    <n v="0"/>
    <n v="0"/>
    <n v="0"/>
    <n v="0"/>
    <n v="405"/>
    <x v="67"/>
    <x v="0"/>
    <x v="0"/>
    <x v="0"/>
  </r>
  <r>
    <s v="Description 100"/>
    <s v="Code 100"/>
    <n v="0"/>
    <n v="0"/>
    <n v="0"/>
    <n v="0"/>
    <n v="0"/>
    <n v="0"/>
    <n v="0"/>
    <n v="0"/>
    <n v="0"/>
    <n v="0"/>
    <n v="964"/>
    <x v="77"/>
    <x v="0"/>
    <x v="0"/>
    <x v="0"/>
  </r>
  <r>
    <s v="Description 101"/>
    <s v="Code 101"/>
    <n v="0"/>
    <n v="0"/>
    <n v="0"/>
    <n v="0"/>
    <n v="0"/>
    <n v="0"/>
    <n v="0"/>
    <n v="0"/>
    <n v="0"/>
    <n v="0"/>
    <n v="287"/>
    <x v="78"/>
    <x v="0"/>
    <x v="0"/>
    <x v="0"/>
  </r>
  <r>
    <s v="Description 102"/>
    <s v="Code 102"/>
    <n v="0"/>
    <n v="0"/>
    <n v="0"/>
    <n v="0"/>
    <n v="0"/>
    <n v="0"/>
    <n v="0"/>
    <n v="0"/>
    <n v="0"/>
    <n v="0"/>
    <n v="0"/>
    <x v="79"/>
    <x v="0"/>
    <x v="0"/>
    <x v="0"/>
  </r>
  <r>
    <s v="Description 103"/>
    <s v="Code 103"/>
    <n v="0"/>
    <n v="0"/>
    <n v="0"/>
    <n v="0"/>
    <n v="0"/>
    <n v="0"/>
    <n v="0"/>
    <n v="0"/>
    <n v="0"/>
    <n v="0"/>
    <n v="24"/>
    <x v="2"/>
    <x v="0"/>
    <x v="0"/>
    <x v="0"/>
  </r>
  <r>
    <s v="Description 104"/>
    <s v="Code 104"/>
    <n v="0"/>
    <n v="0"/>
    <n v="0"/>
    <n v="0"/>
    <n v="0"/>
    <n v="0"/>
    <n v="0"/>
    <n v="0"/>
    <n v="0"/>
    <n v="0"/>
    <n v="452"/>
    <x v="80"/>
    <x v="0"/>
    <x v="0"/>
    <x v="0"/>
  </r>
  <r>
    <s v="Description 105"/>
    <s v="Code 105"/>
    <n v="0"/>
    <n v="0"/>
    <n v="0"/>
    <n v="0"/>
    <n v="0"/>
    <n v="0"/>
    <n v="0"/>
    <n v="0"/>
    <n v="0"/>
    <n v="0"/>
    <n v="570"/>
    <x v="81"/>
    <x v="0"/>
    <x v="0"/>
    <x v="0"/>
  </r>
  <r>
    <s v="Description 106"/>
    <s v="Code 106"/>
    <n v="0"/>
    <n v="0"/>
    <n v="0"/>
    <n v="0"/>
    <n v="0"/>
    <n v="0"/>
    <n v="0"/>
    <n v="0"/>
    <n v="0"/>
    <n v="0"/>
    <n v="1120"/>
    <x v="76"/>
    <x v="0"/>
    <x v="1"/>
    <x v="0"/>
  </r>
  <r>
    <s v="Description 107"/>
    <s v="Code 107"/>
    <n v="0"/>
    <n v="0"/>
    <n v="0"/>
    <n v="0"/>
    <n v="0"/>
    <n v="0"/>
    <n v="0"/>
    <n v="0"/>
    <n v="0"/>
    <n v="0"/>
    <n v="544"/>
    <x v="42"/>
    <x v="0"/>
    <x v="1"/>
    <x v="0"/>
  </r>
  <r>
    <s v="Description 108"/>
    <s v="Code 108"/>
    <n v="0"/>
    <n v="0"/>
    <n v="0"/>
    <n v="0"/>
    <n v="0"/>
    <n v="0"/>
    <n v="0"/>
    <n v="0"/>
    <n v="0"/>
    <n v="0"/>
    <n v="190"/>
    <x v="82"/>
    <x v="0"/>
    <x v="0"/>
    <x v="0"/>
  </r>
  <r>
    <s v="Description 109"/>
    <s v="Code 109"/>
    <n v="0"/>
    <n v="0"/>
    <n v="0"/>
    <n v="0"/>
    <n v="0"/>
    <n v="0"/>
    <n v="0"/>
    <n v="0"/>
    <n v="0"/>
    <n v="0"/>
    <n v="204"/>
    <x v="83"/>
    <x v="0"/>
    <x v="0"/>
    <x v="0"/>
  </r>
  <r>
    <s v="Description 110"/>
    <s v="Code 110"/>
    <n v="21"/>
    <n v="11"/>
    <n v="19"/>
    <n v="15"/>
    <n v="19"/>
    <n v="23"/>
    <n v="11"/>
    <n v="15"/>
    <n v="24"/>
    <n v="0"/>
    <n v="261"/>
    <x v="84"/>
    <x v="0"/>
    <x v="0"/>
    <x v="0"/>
  </r>
  <r>
    <s v="Description 111"/>
    <s v="Code 111"/>
    <n v="0"/>
    <n v="0"/>
    <n v="0"/>
    <n v="0"/>
    <n v="0"/>
    <n v="0"/>
    <n v="0"/>
    <n v="0"/>
    <n v="0"/>
    <n v="0"/>
    <n v="752"/>
    <x v="85"/>
    <x v="0"/>
    <x v="1"/>
    <x v="0"/>
  </r>
  <r>
    <s v="Description 112"/>
    <s v="Code 112"/>
    <n v="0"/>
    <n v="0"/>
    <n v="0"/>
    <n v="0"/>
    <n v="0"/>
    <n v="0"/>
    <n v="0"/>
    <n v="0"/>
    <n v="0"/>
    <n v="0"/>
    <n v="162"/>
    <x v="86"/>
    <x v="0"/>
    <x v="0"/>
    <x v="0"/>
  </r>
  <r>
    <s v="Description 113"/>
    <s v="Code 113"/>
    <n v="0"/>
    <n v="0"/>
    <n v="0"/>
    <n v="0"/>
    <n v="0"/>
    <n v="0"/>
    <n v="0"/>
    <n v="0"/>
    <n v="0"/>
    <n v="0"/>
    <n v="406"/>
    <x v="58"/>
    <x v="0"/>
    <x v="0"/>
    <x v="0"/>
  </r>
  <r>
    <s v="Description 114"/>
    <s v="Code 114"/>
    <n v="0"/>
    <n v="0"/>
    <n v="0"/>
    <n v="0"/>
    <n v="0"/>
    <n v="0"/>
    <n v="0"/>
    <n v="0"/>
    <n v="0"/>
    <n v="0"/>
    <n v="193"/>
    <x v="87"/>
    <x v="0"/>
    <x v="0"/>
    <x v="0"/>
  </r>
  <r>
    <s v="Description 115"/>
    <s v="Code 115"/>
    <n v="120"/>
    <n v="138"/>
    <n v="180"/>
    <n v="132"/>
    <n v="120"/>
    <n v="96"/>
    <n v="96"/>
    <n v="90"/>
    <n v="96"/>
    <n v="0"/>
    <n v="598"/>
    <x v="84"/>
    <x v="0"/>
    <x v="0"/>
    <x v="0"/>
  </r>
  <r>
    <s v="Description 116"/>
    <s v="Code 116"/>
    <n v="20"/>
    <n v="23"/>
    <n v="30"/>
    <n v="22"/>
    <n v="20"/>
    <n v="16"/>
    <n v="16"/>
    <n v="15"/>
    <n v="16"/>
    <n v="0"/>
    <n v="212"/>
    <x v="16"/>
    <x v="0"/>
    <x v="0"/>
    <x v="0"/>
  </r>
  <r>
    <s v="Description 117"/>
    <s v="Code 117"/>
    <n v="20"/>
    <n v="23"/>
    <n v="30"/>
    <n v="22"/>
    <n v="20"/>
    <n v="16"/>
    <n v="16"/>
    <n v="15"/>
    <n v="16"/>
    <n v="0"/>
    <n v="0"/>
    <x v="88"/>
    <x v="0"/>
    <x v="0"/>
    <x v="0"/>
  </r>
  <r>
    <s v="Description 118"/>
    <s v="Code 118"/>
    <n v="0"/>
    <n v="0"/>
    <n v="0"/>
    <n v="1600"/>
    <n v="0"/>
    <n v="0"/>
    <n v="1600"/>
    <n v="0"/>
    <n v="0"/>
    <n v="0"/>
    <n v="8050"/>
    <x v="24"/>
    <x v="0"/>
    <x v="0"/>
    <x v="0"/>
  </r>
  <r>
    <s v="Description 119"/>
    <s v="Code 119"/>
    <n v="0"/>
    <n v="0"/>
    <n v="0"/>
    <n v="0"/>
    <n v="0"/>
    <n v="0"/>
    <n v="0"/>
    <n v="0"/>
    <n v="0"/>
    <n v="0"/>
    <n v="390"/>
    <x v="89"/>
    <x v="0"/>
    <x v="1"/>
    <x v="0"/>
  </r>
  <r>
    <s v="Description 120"/>
    <s v="Code 120"/>
    <n v="0"/>
    <n v="0"/>
    <n v="1200"/>
    <n v="0"/>
    <n v="0"/>
    <n v="0"/>
    <n v="1600"/>
    <n v="0"/>
    <n v="0"/>
    <n v="0"/>
    <n v="18"/>
    <x v="90"/>
    <x v="0"/>
    <x v="0"/>
    <x v="0"/>
  </r>
  <r>
    <s v="Description 121"/>
    <s v="Code 121"/>
    <n v="0"/>
    <n v="0"/>
    <n v="0"/>
    <n v="0"/>
    <n v="0"/>
    <n v="0"/>
    <n v="0"/>
    <n v="0"/>
    <n v="0"/>
    <n v="0"/>
    <n v="0"/>
    <x v="91"/>
    <x v="0"/>
    <x v="0"/>
    <x v="0"/>
  </r>
  <r>
    <s v="Description 122"/>
    <s v="Code 122"/>
    <n v="0"/>
    <n v="0"/>
    <n v="0"/>
    <n v="0"/>
    <n v="0"/>
    <n v="0"/>
    <n v="0"/>
    <n v="0"/>
    <n v="0"/>
    <n v="0"/>
    <n v="3045"/>
    <x v="69"/>
    <x v="0"/>
    <x v="0"/>
    <x v="0"/>
  </r>
  <r>
    <s v="Description 123"/>
    <s v="Code 123"/>
    <n v="0"/>
    <n v="0"/>
    <n v="0"/>
    <n v="0"/>
    <n v="0"/>
    <n v="0"/>
    <n v="0"/>
    <n v="0"/>
    <n v="0"/>
    <n v="0"/>
    <n v="229"/>
    <x v="92"/>
    <x v="0"/>
    <x v="0"/>
    <x v="0"/>
  </r>
  <r>
    <s v="Description 124"/>
    <s v="Code 124"/>
    <n v="0"/>
    <n v="0"/>
    <n v="0"/>
    <n v="0"/>
    <n v="0"/>
    <n v="0"/>
    <n v="0"/>
    <n v="0"/>
    <n v="0"/>
    <n v="0"/>
    <n v="788"/>
    <x v="71"/>
    <x v="0"/>
    <x v="0"/>
    <x v="0"/>
  </r>
  <r>
    <s v="Description 125"/>
    <s v="Code 125"/>
    <n v="0"/>
    <n v="0"/>
    <n v="0"/>
    <n v="0"/>
    <n v="0"/>
    <n v="0"/>
    <n v="32"/>
    <n v="0"/>
    <n v="0"/>
    <n v="0"/>
    <n v="108"/>
    <x v="93"/>
    <x v="0"/>
    <x v="0"/>
    <x v="0"/>
  </r>
  <r>
    <s v="Description 126"/>
    <s v="Code 126"/>
    <n v="0"/>
    <n v="0"/>
    <n v="0"/>
    <n v="0"/>
    <n v="0"/>
    <n v="64"/>
    <n v="32"/>
    <n v="0"/>
    <n v="0"/>
    <n v="0"/>
    <n v="137"/>
    <x v="94"/>
    <x v="0"/>
    <x v="0"/>
    <x v="0"/>
  </r>
  <r>
    <s v="Description 127"/>
    <s v="Code 127"/>
    <n v="0"/>
    <n v="0"/>
    <n v="0"/>
    <n v="0"/>
    <n v="0"/>
    <n v="64"/>
    <n v="32"/>
    <n v="0"/>
    <n v="0"/>
    <n v="0"/>
    <n v="262"/>
    <x v="69"/>
    <x v="0"/>
    <x v="0"/>
    <x v="0"/>
  </r>
  <r>
    <s v="Description 128"/>
    <s v="Code 128"/>
    <n v="0"/>
    <n v="0"/>
    <n v="0"/>
    <n v="0"/>
    <n v="0"/>
    <n v="64"/>
    <n v="32"/>
    <n v="0"/>
    <n v="0"/>
    <n v="0"/>
    <n v="250"/>
    <x v="95"/>
    <x v="0"/>
    <x v="0"/>
    <x v="0"/>
  </r>
  <r>
    <s v="Description 129"/>
    <s v="Code 129"/>
    <n v="0"/>
    <n v="0"/>
    <n v="0"/>
    <n v="0"/>
    <n v="0"/>
    <n v="0"/>
    <n v="0"/>
    <n v="0"/>
    <n v="0"/>
    <n v="0"/>
    <n v="539"/>
    <x v="88"/>
    <x v="0"/>
    <x v="0"/>
    <x v="0"/>
  </r>
  <r>
    <s v="Description 130"/>
    <s v="Code 130"/>
    <n v="0"/>
    <n v="0"/>
    <n v="0"/>
    <n v="0"/>
    <n v="0"/>
    <n v="0"/>
    <n v="0"/>
    <n v="0"/>
    <n v="0"/>
    <n v="0"/>
    <n v="95"/>
    <x v="96"/>
    <x v="0"/>
    <x v="0"/>
    <x v="0"/>
  </r>
  <r>
    <s v="Description 131"/>
    <s v="Code 131"/>
    <n v="0"/>
    <n v="0"/>
    <n v="0"/>
    <n v="0"/>
    <n v="0"/>
    <n v="0"/>
    <n v="0"/>
    <n v="0"/>
    <n v="0"/>
    <n v="0"/>
    <n v="193"/>
    <x v="97"/>
    <x v="0"/>
    <x v="0"/>
    <x v="0"/>
  </r>
  <r>
    <s v="Description 132"/>
    <s v="Code 132"/>
    <n v="0"/>
    <n v="0"/>
    <n v="0"/>
    <n v="0"/>
    <n v="0"/>
    <n v="0"/>
    <n v="0"/>
    <n v="0"/>
    <n v="0"/>
    <n v="0"/>
    <n v="0"/>
    <x v="83"/>
    <x v="0"/>
    <x v="0"/>
    <x v="0"/>
  </r>
  <r>
    <s v="Description 133"/>
    <s v="Code 133"/>
    <n v="0"/>
    <n v="0"/>
    <n v="0"/>
    <n v="0"/>
    <n v="0"/>
    <n v="0"/>
    <n v="0"/>
    <n v="0"/>
    <n v="0"/>
    <n v="0"/>
    <n v="184"/>
    <x v="44"/>
    <x v="0"/>
    <x v="0"/>
    <x v="0"/>
  </r>
  <r>
    <s v="Description 134"/>
    <s v="Code 134"/>
    <n v="0"/>
    <n v="0"/>
    <n v="0"/>
    <n v="0"/>
    <n v="0"/>
    <n v="0"/>
    <n v="0"/>
    <n v="0"/>
    <n v="0"/>
    <n v="0"/>
    <n v="0"/>
    <x v="98"/>
    <x v="0"/>
    <x v="0"/>
    <x v="0"/>
  </r>
  <r>
    <s v="Description 135"/>
    <s v="Code 135"/>
    <n v="0"/>
    <n v="0"/>
    <n v="0"/>
    <n v="0"/>
    <n v="0"/>
    <n v="64"/>
    <n v="0"/>
    <n v="0"/>
    <n v="0"/>
    <n v="0"/>
    <n v="200"/>
    <x v="99"/>
    <x v="0"/>
    <x v="0"/>
    <x v="0"/>
  </r>
  <r>
    <s v="Description 136"/>
    <s v="Code 136"/>
    <n v="0"/>
    <n v="0"/>
    <n v="0"/>
    <n v="0"/>
    <n v="0"/>
    <n v="128"/>
    <n v="64"/>
    <n v="0"/>
    <n v="0"/>
    <n v="0"/>
    <n v="0"/>
    <x v="100"/>
    <x v="0"/>
    <x v="0"/>
    <x v="0"/>
  </r>
  <r>
    <s v="Description 137"/>
    <s v="Code 137"/>
    <n v="520"/>
    <n v="152"/>
    <n v="248"/>
    <n v="420"/>
    <n v="0"/>
    <n v="0"/>
    <n v="0"/>
    <n v="224"/>
    <n v="0"/>
    <n v="0"/>
    <n v="2100"/>
    <x v="5"/>
    <x v="0"/>
    <x v="0"/>
    <x v="0"/>
  </r>
  <r>
    <s v="Description 138"/>
    <s v="Code 138"/>
    <n v="604"/>
    <n v="188"/>
    <n v="266"/>
    <n v="490"/>
    <n v="152"/>
    <n v="120"/>
    <n v="0"/>
    <n v="288"/>
    <n v="120"/>
    <n v="0"/>
    <n v="3000"/>
    <x v="101"/>
    <x v="0"/>
    <x v="0"/>
    <x v="0"/>
  </r>
  <r>
    <s v="Description 139"/>
    <s v="Code 139"/>
    <n v="0"/>
    <n v="0"/>
    <n v="0"/>
    <n v="0"/>
    <n v="0"/>
    <n v="0"/>
    <n v="0"/>
    <n v="0"/>
    <n v="0"/>
    <n v="0"/>
    <n v="245"/>
    <x v="102"/>
    <x v="0"/>
    <x v="0"/>
    <x v="0"/>
  </r>
  <r>
    <s v="Description 140"/>
    <s v="Code 140"/>
    <n v="0"/>
    <n v="0"/>
    <n v="0"/>
    <n v="0"/>
    <n v="0"/>
    <n v="0"/>
    <n v="0"/>
    <n v="0"/>
    <n v="0"/>
    <n v="0"/>
    <n v="420"/>
    <x v="71"/>
    <x v="0"/>
    <x v="0"/>
    <x v="0"/>
  </r>
  <r>
    <s v="Description 141"/>
    <s v="Code 141"/>
    <n v="0"/>
    <n v="0"/>
    <n v="0"/>
    <n v="0"/>
    <n v="0"/>
    <n v="0"/>
    <n v="0"/>
    <n v="0"/>
    <n v="0"/>
    <n v="0"/>
    <n v="54"/>
    <x v="59"/>
    <x v="0"/>
    <x v="0"/>
    <x v="0"/>
  </r>
  <r>
    <s v="Description 142"/>
    <s v="Code 142"/>
    <n v="0"/>
    <n v="0"/>
    <n v="0"/>
    <n v="0"/>
    <n v="0"/>
    <n v="0"/>
    <n v="0"/>
    <n v="0"/>
    <n v="0"/>
    <n v="0"/>
    <n v="99"/>
    <x v="103"/>
    <x v="0"/>
    <x v="0"/>
    <x v="0"/>
  </r>
  <r>
    <s v="Description 143"/>
    <s v="Code 143"/>
    <n v="0"/>
    <n v="0"/>
    <n v="0"/>
    <n v="0"/>
    <n v="0"/>
    <n v="0"/>
    <n v="0"/>
    <n v="0"/>
    <n v="0"/>
    <n v="0"/>
    <n v="180"/>
    <x v="34"/>
    <x v="0"/>
    <x v="0"/>
    <x v="0"/>
  </r>
  <r>
    <s v="Description 144"/>
    <s v="Code 144"/>
    <n v="20"/>
    <n v="23"/>
    <n v="30"/>
    <n v="22"/>
    <n v="20"/>
    <n v="16"/>
    <n v="16"/>
    <n v="15"/>
    <n v="16"/>
    <n v="0"/>
    <n v="279"/>
    <x v="98"/>
    <x v="0"/>
    <x v="0"/>
    <x v="0"/>
  </r>
  <r>
    <s v="Description 145"/>
    <s v="Code 145"/>
    <n v="130"/>
    <n v="38"/>
    <n v="62"/>
    <n v="105"/>
    <n v="0"/>
    <n v="0"/>
    <n v="0"/>
    <n v="56"/>
    <n v="0"/>
    <n v="0"/>
    <n v="0"/>
    <x v="104"/>
    <x v="0"/>
    <x v="0"/>
    <x v="0"/>
  </r>
  <r>
    <s v="Description 146"/>
    <s v="Code 146"/>
    <n v="154"/>
    <n v="2"/>
    <n v="62"/>
    <n v="122"/>
    <n v="60"/>
    <n v="60"/>
    <n v="0"/>
    <n v="88"/>
    <n v="60"/>
    <n v="0"/>
    <n v="400"/>
    <x v="105"/>
    <x v="0"/>
    <x v="1"/>
    <x v="0"/>
  </r>
  <r>
    <s v="Description 147"/>
    <s v="Code 147"/>
    <n v="0"/>
    <n v="0"/>
    <n v="0"/>
    <n v="0"/>
    <n v="0"/>
    <n v="0"/>
    <n v="0"/>
    <n v="0"/>
    <n v="0"/>
    <n v="0"/>
    <n v="0"/>
    <x v="86"/>
    <x v="0"/>
    <x v="0"/>
    <x v="0"/>
  </r>
  <r>
    <s v="Description 148"/>
    <s v="Code 148"/>
    <n v="260"/>
    <n v="76"/>
    <n v="124"/>
    <n v="210"/>
    <n v="0"/>
    <n v="0"/>
    <n v="0"/>
    <n v="112"/>
    <n v="0"/>
    <n v="0"/>
    <n v="960"/>
    <x v="52"/>
    <x v="0"/>
    <x v="0"/>
    <x v="0"/>
  </r>
  <r>
    <s v="Description 149"/>
    <s v="Code 149"/>
    <n v="40"/>
    <n v="44"/>
    <n v="60"/>
    <n v="44"/>
    <n v="40"/>
    <n v="32"/>
    <n v="32"/>
    <n v="30"/>
    <n v="32"/>
    <n v="0"/>
    <n v="202"/>
    <x v="63"/>
    <x v="0"/>
    <x v="0"/>
    <x v="0"/>
  </r>
  <r>
    <s v="Description 150"/>
    <s v="Code 150"/>
    <n v="20"/>
    <n v="22"/>
    <n v="30"/>
    <n v="22"/>
    <n v="17"/>
    <n v="16"/>
    <n v="15"/>
    <n v="15"/>
    <n v="16"/>
    <n v="0"/>
    <n v="53"/>
    <x v="106"/>
    <x v="0"/>
    <x v="0"/>
    <x v="0"/>
  </r>
  <r>
    <s v="Description 151"/>
    <s v="Code 151"/>
    <n v="20"/>
    <n v="22"/>
    <n v="30"/>
    <n v="22"/>
    <n v="17"/>
    <n v="16"/>
    <n v="15"/>
    <n v="15"/>
    <n v="16"/>
    <n v="0"/>
    <n v="66"/>
    <x v="107"/>
    <x v="0"/>
    <x v="0"/>
    <x v="0"/>
  </r>
  <r>
    <s v="Description 152"/>
    <s v="Code 152"/>
    <n v="0"/>
    <n v="0"/>
    <n v="0"/>
    <n v="0"/>
    <n v="1"/>
    <n v="0"/>
    <n v="1"/>
    <n v="0"/>
    <n v="0"/>
    <n v="0"/>
    <n v="104"/>
    <x v="108"/>
    <x v="0"/>
    <x v="1"/>
    <x v="0"/>
  </r>
  <r>
    <s v="Description 153"/>
    <s v="Code 153"/>
    <n v="0"/>
    <n v="0"/>
    <n v="0"/>
    <n v="0"/>
    <n v="1"/>
    <n v="0"/>
    <n v="1"/>
    <n v="0"/>
    <n v="0"/>
    <n v="0"/>
    <n v="103"/>
    <x v="82"/>
    <x v="0"/>
    <x v="0"/>
    <x v="0"/>
  </r>
  <r>
    <s v="Description 154"/>
    <s v="Code 154"/>
    <n v="0"/>
    <n v="0"/>
    <n v="0"/>
    <n v="0"/>
    <n v="2"/>
    <n v="0"/>
    <n v="0"/>
    <n v="0"/>
    <n v="0"/>
    <n v="0"/>
    <n v="1"/>
    <x v="1"/>
    <x v="0"/>
    <x v="0"/>
    <x v="0"/>
  </r>
  <r>
    <s v="Description 155"/>
    <s v="Code 155"/>
    <n v="0"/>
    <n v="0"/>
    <n v="0"/>
    <n v="0"/>
    <n v="2"/>
    <n v="0"/>
    <n v="0"/>
    <n v="0"/>
    <n v="0"/>
    <n v="0"/>
    <n v="4"/>
    <x v="77"/>
    <x v="0"/>
    <x v="0"/>
    <x v="0"/>
  </r>
  <r>
    <s v="Description 156"/>
    <s v="Code 156"/>
    <n v="0"/>
    <n v="0"/>
    <n v="0"/>
    <n v="0"/>
    <n v="0"/>
    <n v="0"/>
    <n v="0"/>
    <n v="0"/>
    <n v="0"/>
    <n v="0"/>
    <n v="24"/>
    <x v="37"/>
    <x v="0"/>
    <x v="0"/>
    <x v="0"/>
  </r>
  <r>
    <s v="Description 157"/>
    <s v="Code 157"/>
    <n v="0"/>
    <n v="0"/>
    <n v="0"/>
    <n v="0"/>
    <n v="0"/>
    <n v="0"/>
    <n v="0"/>
    <n v="0"/>
    <n v="0"/>
    <n v="0"/>
    <n v="24"/>
    <x v="17"/>
    <x v="0"/>
    <x v="0"/>
    <x v="0"/>
  </r>
  <r>
    <s v="Description 158"/>
    <s v="Code 158"/>
    <n v="40"/>
    <n v="46"/>
    <n v="60"/>
    <n v="44"/>
    <n v="40"/>
    <n v="32"/>
    <n v="32"/>
    <n v="30"/>
    <n v="32"/>
    <n v="0"/>
    <n v="39"/>
    <x v="109"/>
    <x v="0"/>
    <x v="0"/>
    <x v="0"/>
  </r>
  <r>
    <s v="Description 159"/>
    <s v="Code 159"/>
    <n v="80"/>
    <n v="92"/>
    <n v="120"/>
    <n v="88"/>
    <n v="76"/>
    <n v="64"/>
    <n v="64"/>
    <n v="60"/>
    <n v="64"/>
    <n v="0"/>
    <n v="0"/>
    <x v="88"/>
    <x v="0"/>
    <x v="0"/>
    <x v="0"/>
  </r>
  <r>
    <s v="Description 160"/>
    <s v="Code 160"/>
    <n v="40"/>
    <n v="46"/>
    <n v="60"/>
    <n v="44"/>
    <n v="40"/>
    <n v="32"/>
    <n v="32"/>
    <n v="30"/>
    <n v="32"/>
    <n v="0"/>
    <n v="198"/>
    <x v="25"/>
    <x v="0"/>
    <x v="1"/>
    <x v="0"/>
  </r>
  <r>
    <s v="Description 161"/>
    <s v="Code 161"/>
    <n v="20"/>
    <n v="23"/>
    <n v="30"/>
    <n v="22"/>
    <n v="20"/>
    <n v="16"/>
    <n v="16"/>
    <n v="15"/>
    <n v="16"/>
    <n v="0"/>
    <n v="266"/>
    <x v="110"/>
    <x v="0"/>
    <x v="0"/>
    <x v="0"/>
  </r>
  <r>
    <s v="Description 162"/>
    <s v="Code 162"/>
    <n v="20"/>
    <n v="23"/>
    <n v="30"/>
    <n v="22"/>
    <n v="20"/>
    <n v="16"/>
    <n v="16"/>
    <n v="15"/>
    <n v="16"/>
    <n v="0"/>
    <n v="280"/>
    <x v="11"/>
    <x v="0"/>
    <x v="0"/>
    <x v="0"/>
  </r>
  <r>
    <s v="Description 163"/>
    <s v="Code 163"/>
    <n v="20"/>
    <n v="23"/>
    <n v="30"/>
    <n v="22"/>
    <n v="20"/>
    <n v="16"/>
    <n v="16"/>
    <n v="15"/>
    <n v="16"/>
    <n v="0"/>
    <n v="280"/>
    <x v="93"/>
    <x v="0"/>
    <x v="0"/>
    <x v="0"/>
  </r>
  <r>
    <s v="Description 164"/>
    <s v="Code 164"/>
    <n v="0"/>
    <n v="0"/>
    <n v="0"/>
    <n v="0"/>
    <n v="0"/>
    <n v="0"/>
    <n v="0"/>
    <n v="0"/>
    <n v="0"/>
    <n v="0"/>
    <n v="0"/>
    <x v="20"/>
    <x v="0"/>
    <x v="0"/>
    <x v="0"/>
  </r>
  <r>
    <s v="Description 165"/>
    <s v="Code 165"/>
    <n v="0"/>
    <n v="0"/>
    <n v="0"/>
    <n v="0"/>
    <n v="0"/>
    <n v="0"/>
    <n v="0"/>
    <n v="0"/>
    <n v="0"/>
    <n v="0"/>
    <n v="75"/>
    <x v="88"/>
    <x v="0"/>
    <x v="0"/>
    <x v="0"/>
  </r>
  <r>
    <s v="Description 166"/>
    <s v="Code 166"/>
    <n v="0"/>
    <n v="0"/>
    <n v="0"/>
    <n v="0"/>
    <n v="0"/>
    <n v="0"/>
    <n v="0"/>
    <n v="0"/>
    <n v="0"/>
    <n v="0"/>
    <n v="10"/>
    <x v="111"/>
    <x v="0"/>
    <x v="0"/>
    <x v="0"/>
  </r>
  <r>
    <s v="Description 167"/>
    <s v="Code 167"/>
    <n v="0"/>
    <n v="0"/>
    <n v="0"/>
    <n v="0"/>
    <n v="0"/>
    <n v="0"/>
    <n v="0"/>
    <n v="0"/>
    <n v="0"/>
    <n v="0"/>
    <n v="50"/>
    <x v="4"/>
    <x v="0"/>
    <x v="0"/>
    <x v="0"/>
  </r>
  <r>
    <s v="Description 168"/>
    <s v="Code 168"/>
    <n v="0"/>
    <n v="0"/>
    <n v="0"/>
    <n v="0"/>
    <n v="0"/>
    <n v="0"/>
    <n v="0"/>
    <n v="0"/>
    <n v="0"/>
    <n v="0"/>
    <n v="92"/>
    <x v="81"/>
    <x v="0"/>
    <x v="0"/>
    <x v="0"/>
  </r>
  <r>
    <s v="Description 169"/>
    <s v="Code 169"/>
    <n v="0"/>
    <n v="0"/>
    <n v="0"/>
    <n v="0"/>
    <n v="0"/>
    <n v="0"/>
    <n v="0"/>
    <n v="0"/>
    <n v="0"/>
    <n v="0"/>
    <n v="116"/>
    <x v="112"/>
    <x v="0"/>
    <x v="0"/>
    <x v="0"/>
  </r>
  <r>
    <s v="Description 170"/>
    <s v="Code 170"/>
    <n v="0"/>
    <n v="0"/>
    <n v="0"/>
    <n v="0"/>
    <n v="0"/>
    <n v="0"/>
    <n v="0"/>
    <n v="0"/>
    <n v="0"/>
    <n v="0"/>
    <n v="0"/>
    <x v="29"/>
    <x v="0"/>
    <x v="0"/>
    <x v="0"/>
  </r>
  <r>
    <s v="Description 171"/>
    <s v="Code 171"/>
    <n v="0"/>
    <n v="0"/>
    <n v="0"/>
    <n v="0"/>
    <n v="0"/>
    <n v="0"/>
    <n v="0"/>
    <n v="0"/>
    <n v="0"/>
    <n v="0"/>
    <n v="478"/>
    <x v="63"/>
    <x v="0"/>
    <x v="0"/>
    <x v="0"/>
  </r>
  <r>
    <s v="Description 172"/>
    <s v="Code 172"/>
    <n v="0"/>
    <n v="0"/>
    <n v="0"/>
    <n v="0"/>
    <n v="0"/>
    <n v="0"/>
    <n v="0"/>
    <n v="0"/>
    <n v="0"/>
    <n v="0"/>
    <n v="202"/>
    <x v="113"/>
    <x v="0"/>
    <x v="0"/>
    <x v="0"/>
  </r>
  <r>
    <s v="Description 173"/>
    <s v="Code 173"/>
    <n v="0"/>
    <n v="0"/>
    <n v="0"/>
    <n v="0"/>
    <n v="0"/>
    <n v="0"/>
    <n v="0"/>
    <n v="0"/>
    <n v="0"/>
    <n v="0"/>
    <n v="13"/>
    <x v="8"/>
    <x v="0"/>
    <x v="0"/>
    <x v="0"/>
  </r>
  <r>
    <s v="Description 174"/>
    <s v="Code 174"/>
    <n v="0"/>
    <n v="0"/>
    <n v="0"/>
    <n v="0"/>
    <n v="0"/>
    <n v="0"/>
    <n v="0"/>
    <n v="0"/>
    <n v="0"/>
    <n v="0"/>
    <n v="225"/>
    <x v="65"/>
    <x v="0"/>
    <x v="0"/>
    <x v="0"/>
  </r>
  <r>
    <s v="Description 175"/>
    <s v="Code 175"/>
    <n v="0"/>
    <n v="0"/>
    <n v="0"/>
    <n v="0"/>
    <n v="0"/>
    <n v="0"/>
    <n v="0"/>
    <n v="0"/>
    <n v="0"/>
    <n v="0"/>
    <n v="174"/>
    <x v="114"/>
    <x v="0"/>
    <x v="0"/>
    <x v="0"/>
  </r>
  <r>
    <s v="Description 176"/>
    <s v="Code 176"/>
    <n v="0"/>
    <n v="0"/>
    <n v="0"/>
    <n v="0"/>
    <n v="0"/>
    <n v="0"/>
    <n v="0"/>
    <n v="0"/>
    <n v="0"/>
    <n v="0"/>
    <n v="163"/>
    <x v="21"/>
    <x v="0"/>
    <x v="0"/>
    <x v="0"/>
  </r>
  <r>
    <s v="Description 177"/>
    <s v="Code 177"/>
    <n v="0"/>
    <n v="0"/>
    <n v="0"/>
    <n v="0"/>
    <n v="0"/>
    <n v="0"/>
    <n v="0"/>
    <n v="0"/>
    <n v="0"/>
    <n v="0"/>
    <n v="35"/>
    <x v="89"/>
    <x v="0"/>
    <x v="1"/>
    <x v="0"/>
  </r>
  <r>
    <s v="Description 178"/>
    <s v="Code 178"/>
    <n v="0"/>
    <n v="0"/>
    <n v="0"/>
    <n v="0"/>
    <n v="0"/>
    <n v="0"/>
    <n v="0"/>
    <n v="0"/>
    <n v="0"/>
    <n v="0"/>
    <n v="521"/>
    <x v="18"/>
    <x v="0"/>
    <x v="0"/>
    <x v="0"/>
  </r>
  <r>
    <s v="Description 179"/>
    <s v="Code 179"/>
    <n v="0"/>
    <n v="0"/>
    <n v="0"/>
    <n v="0"/>
    <n v="0"/>
    <n v="0"/>
    <n v="0"/>
    <n v="0"/>
    <n v="0"/>
    <n v="0"/>
    <n v="106"/>
    <x v="115"/>
    <x v="0"/>
    <x v="0"/>
    <x v="0"/>
  </r>
  <r>
    <s v="Description 180"/>
    <s v="Code 180"/>
    <n v="0"/>
    <n v="0"/>
    <n v="0"/>
    <n v="8"/>
    <n v="8"/>
    <n v="8"/>
    <n v="4"/>
    <n v="8"/>
    <n v="6"/>
    <n v="0"/>
    <n v="18"/>
    <x v="73"/>
    <x v="0"/>
    <x v="0"/>
    <x v="0"/>
  </r>
  <r>
    <s v="Description 181"/>
    <s v="Code 181"/>
    <n v="0"/>
    <n v="0"/>
    <n v="0"/>
    <n v="12"/>
    <n v="12"/>
    <n v="12"/>
    <n v="6"/>
    <n v="12"/>
    <n v="9"/>
    <n v="0"/>
    <n v="78"/>
    <x v="116"/>
    <x v="0"/>
    <x v="0"/>
    <x v="0"/>
  </r>
  <r>
    <s v="Description 182"/>
    <s v="Code 182"/>
    <n v="0"/>
    <n v="0"/>
    <n v="0"/>
    <n v="4"/>
    <n v="4"/>
    <n v="4"/>
    <n v="0"/>
    <n v="4"/>
    <n v="4"/>
    <n v="0"/>
    <n v="219"/>
    <x v="36"/>
    <x v="0"/>
    <x v="0"/>
    <x v="0"/>
  </r>
  <r>
    <s v="Description 183"/>
    <s v="Code 183"/>
    <n v="45"/>
    <n v="27"/>
    <n v="61"/>
    <n v="65"/>
    <n v="69"/>
    <n v="59"/>
    <n v="41"/>
    <n v="39"/>
    <n v="37"/>
    <n v="0"/>
    <n v="28"/>
    <x v="91"/>
    <x v="0"/>
    <x v="0"/>
    <x v="0"/>
  </r>
  <r>
    <s v="Description 184"/>
    <s v="Code 184"/>
    <n v="12"/>
    <n v="0"/>
    <n v="10"/>
    <n v="8"/>
    <n v="10"/>
    <n v="6"/>
    <n v="8"/>
    <n v="4"/>
    <n v="4"/>
    <n v="0"/>
    <n v="110"/>
    <x v="6"/>
    <x v="0"/>
    <x v="0"/>
    <x v="0"/>
  </r>
  <r>
    <s v="Description 185"/>
    <s v="Code 185"/>
    <n v="24"/>
    <n v="0"/>
    <n v="20"/>
    <n v="16"/>
    <n v="20"/>
    <n v="12"/>
    <n v="16"/>
    <n v="8"/>
    <n v="8"/>
    <n v="0"/>
    <n v="0"/>
    <x v="117"/>
    <x v="0"/>
    <x v="0"/>
    <x v="0"/>
  </r>
  <r>
    <s v="Description 186"/>
    <s v="Code 186"/>
    <n v="0"/>
    <n v="0"/>
    <n v="0"/>
    <n v="0"/>
    <n v="0"/>
    <n v="0"/>
    <n v="0"/>
    <n v="0"/>
    <n v="0"/>
    <n v="0"/>
    <n v="0"/>
    <x v="118"/>
    <x v="0"/>
    <x v="0"/>
    <x v="0"/>
  </r>
  <r>
    <s v="Description 187"/>
    <s v="Code 187"/>
    <n v="0"/>
    <n v="0"/>
    <n v="0"/>
    <n v="0"/>
    <n v="0"/>
    <n v="0"/>
    <n v="0"/>
    <n v="0"/>
    <n v="0"/>
    <n v="0"/>
    <n v="145"/>
    <x v="119"/>
    <x v="0"/>
    <x v="1"/>
    <x v="0"/>
  </r>
  <r>
    <s v="Description 188"/>
    <s v="Code 188"/>
    <n v="12"/>
    <n v="0"/>
    <n v="10"/>
    <n v="8"/>
    <n v="10"/>
    <n v="6"/>
    <n v="8"/>
    <n v="4"/>
    <n v="4"/>
    <n v="0"/>
    <n v="170"/>
    <x v="120"/>
    <x v="0"/>
    <x v="0"/>
    <x v="0"/>
  </r>
  <r>
    <s v="Description 189"/>
    <s v="Code 189"/>
    <n v="14"/>
    <n v="18"/>
    <n v="24"/>
    <n v="20"/>
    <n v="20"/>
    <n v="18"/>
    <n v="14"/>
    <n v="8"/>
    <n v="8"/>
    <n v="0"/>
    <n v="143"/>
    <x v="75"/>
    <x v="0"/>
    <x v="0"/>
    <x v="0"/>
  </r>
  <r>
    <s v="Description 190"/>
    <s v="Code 190"/>
    <n v="14"/>
    <n v="18"/>
    <n v="24"/>
    <n v="20"/>
    <n v="20"/>
    <n v="18"/>
    <n v="14"/>
    <n v="8"/>
    <n v="8"/>
    <n v="0"/>
    <n v="205"/>
    <x v="121"/>
    <x v="0"/>
    <x v="0"/>
    <x v="0"/>
  </r>
  <r>
    <s v="Description 191"/>
    <s v="Code 191"/>
    <n v="21"/>
    <n v="27"/>
    <n v="36"/>
    <n v="30"/>
    <n v="30"/>
    <n v="27"/>
    <n v="21"/>
    <n v="12"/>
    <n v="12"/>
    <n v="0"/>
    <n v="54"/>
    <x v="122"/>
    <x v="0"/>
    <x v="0"/>
    <x v="0"/>
  </r>
  <r>
    <s v="Description 192"/>
    <s v="Code 192"/>
    <n v="7"/>
    <n v="9"/>
    <n v="12"/>
    <n v="10"/>
    <n v="10"/>
    <n v="9"/>
    <n v="7"/>
    <n v="4"/>
    <n v="4"/>
    <n v="0"/>
    <n v="115"/>
    <x v="67"/>
    <x v="0"/>
    <x v="0"/>
    <x v="0"/>
  </r>
  <r>
    <s v="Description 193"/>
    <s v="Code 193"/>
    <n v="7"/>
    <n v="9"/>
    <n v="12"/>
    <n v="10"/>
    <n v="10"/>
    <n v="9"/>
    <n v="7"/>
    <n v="4"/>
    <n v="4"/>
    <n v="0"/>
    <n v="69"/>
    <x v="41"/>
    <x v="0"/>
    <x v="0"/>
    <x v="0"/>
  </r>
  <r>
    <s v="Description 194"/>
    <s v="Code 194"/>
    <n v="7"/>
    <n v="9"/>
    <n v="12"/>
    <n v="10"/>
    <n v="10"/>
    <n v="9"/>
    <n v="7"/>
    <n v="4"/>
    <n v="4"/>
    <n v="0"/>
    <n v="67"/>
    <x v="92"/>
    <x v="0"/>
    <x v="0"/>
    <x v="0"/>
  </r>
  <r>
    <s v="Description 195"/>
    <s v="Code 195"/>
    <n v="7"/>
    <n v="9"/>
    <n v="12"/>
    <n v="10"/>
    <n v="10"/>
    <n v="9"/>
    <n v="7"/>
    <n v="4"/>
    <n v="4"/>
    <n v="0"/>
    <n v="56"/>
    <x v="123"/>
    <x v="0"/>
    <x v="1"/>
    <x v="0"/>
  </r>
  <r>
    <s v="Description 196"/>
    <s v="Code 196"/>
    <n v="19"/>
    <n v="9"/>
    <n v="22"/>
    <n v="18"/>
    <n v="20"/>
    <n v="15"/>
    <n v="15"/>
    <n v="8"/>
    <n v="8"/>
    <n v="0"/>
    <n v="260"/>
    <x v="106"/>
    <x v="0"/>
    <x v="0"/>
    <x v="0"/>
  </r>
  <r>
    <s v="Description 197"/>
    <s v="Code 197"/>
    <n v="28"/>
    <n v="36"/>
    <n v="48"/>
    <n v="40"/>
    <n v="40"/>
    <n v="36"/>
    <n v="28"/>
    <n v="16"/>
    <n v="16"/>
    <n v="0"/>
    <n v="56"/>
    <x v="31"/>
    <x v="0"/>
    <x v="0"/>
    <x v="0"/>
  </r>
  <r>
    <s v="Description 198"/>
    <s v="Code 198"/>
    <n v="35"/>
    <n v="45"/>
    <n v="60"/>
    <n v="50"/>
    <n v="50"/>
    <n v="45"/>
    <n v="35"/>
    <n v="20"/>
    <n v="20"/>
    <n v="0"/>
    <n v="109"/>
    <x v="18"/>
    <x v="0"/>
    <x v="0"/>
    <x v="0"/>
  </r>
  <r>
    <s v="Description 199"/>
    <s v="Code 199"/>
    <n v="7"/>
    <n v="9"/>
    <n v="12"/>
    <n v="10"/>
    <n v="10"/>
    <n v="9"/>
    <n v="7"/>
    <n v="4"/>
    <n v="4"/>
    <n v="0"/>
    <n v="15"/>
    <x v="17"/>
    <x v="0"/>
    <x v="0"/>
    <x v="0"/>
  </r>
  <r>
    <s v="Description 200"/>
    <s v="Code 200"/>
    <n v="7"/>
    <n v="0"/>
    <n v="11"/>
    <n v="6"/>
    <n v="6"/>
    <n v="6"/>
    <n v="6"/>
    <n v="4"/>
    <n v="4"/>
    <n v="0"/>
    <n v="72"/>
    <x v="19"/>
    <x v="0"/>
    <x v="0"/>
    <x v="0"/>
  </r>
  <r>
    <s v="Description 201"/>
    <s v="Code 201"/>
    <n v="7"/>
    <n v="9"/>
    <n v="12"/>
    <n v="10"/>
    <n v="10"/>
    <n v="9"/>
    <n v="7"/>
    <n v="4"/>
    <n v="4"/>
    <n v="0"/>
    <n v="74"/>
    <x v="34"/>
    <x v="0"/>
    <x v="0"/>
    <x v="0"/>
  </r>
  <r>
    <s v="Description 202"/>
    <s v="Code 202"/>
    <n v="7"/>
    <n v="9"/>
    <n v="12"/>
    <n v="10"/>
    <n v="10"/>
    <n v="9"/>
    <n v="7"/>
    <n v="4"/>
    <n v="4"/>
    <n v="0"/>
    <n v="76"/>
    <x v="60"/>
    <x v="0"/>
    <x v="0"/>
    <x v="0"/>
  </r>
  <r>
    <s v="Description 203"/>
    <s v="Code 203"/>
    <n v="7"/>
    <n v="9"/>
    <n v="12"/>
    <n v="10"/>
    <n v="10"/>
    <n v="9"/>
    <n v="7"/>
    <n v="4"/>
    <n v="4"/>
    <n v="0"/>
    <n v="262"/>
    <x v="43"/>
    <x v="0"/>
    <x v="0"/>
    <x v="0"/>
  </r>
  <r>
    <s v="Description 204"/>
    <s v="Code 204"/>
    <n v="12"/>
    <n v="0"/>
    <n v="10"/>
    <n v="8"/>
    <n v="10"/>
    <n v="6"/>
    <n v="8"/>
    <n v="4"/>
    <n v="4"/>
    <n v="0"/>
    <n v="122"/>
    <x v="124"/>
    <x v="0"/>
    <x v="0"/>
    <x v="0"/>
  </r>
  <r>
    <s v="Description 205"/>
    <s v="Code 205"/>
    <n v="12"/>
    <n v="0"/>
    <n v="10"/>
    <n v="8"/>
    <n v="10"/>
    <n v="6"/>
    <n v="8"/>
    <n v="4"/>
    <n v="4"/>
    <n v="0"/>
    <n v="145"/>
    <x v="125"/>
    <x v="0"/>
    <x v="0"/>
    <x v="0"/>
  </r>
  <r>
    <s v="Description 206"/>
    <s v="Code 206"/>
    <n v="6"/>
    <n v="0"/>
    <n v="5"/>
    <n v="4"/>
    <n v="5"/>
    <n v="3"/>
    <n v="4"/>
    <n v="2"/>
    <n v="2"/>
    <n v="0"/>
    <n v="62"/>
    <x v="123"/>
    <x v="0"/>
    <x v="1"/>
    <x v="0"/>
  </r>
  <r>
    <s v="Description 207"/>
    <s v="Code 207"/>
    <n v="6"/>
    <n v="0"/>
    <n v="5"/>
    <n v="4"/>
    <n v="5"/>
    <n v="3"/>
    <n v="4"/>
    <n v="2"/>
    <n v="2"/>
    <n v="0"/>
    <n v="58"/>
    <x v="34"/>
    <x v="0"/>
    <x v="0"/>
    <x v="0"/>
  </r>
  <r>
    <s v="Description 208"/>
    <s v="Code 208"/>
    <n v="12"/>
    <n v="0"/>
    <n v="10"/>
    <n v="8"/>
    <n v="10"/>
    <n v="6"/>
    <n v="8"/>
    <n v="4"/>
    <n v="4"/>
    <n v="0"/>
    <n v="171"/>
    <x v="126"/>
    <x v="0"/>
    <x v="0"/>
    <x v="0"/>
  </r>
  <r>
    <s v="Description 209"/>
    <s v="Code 209"/>
    <n v="12"/>
    <n v="0"/>
    <n v="10"/>
    <n v="8"/>
    <n v="10"/>
    <n v="6"/>
    <n v="8"/>
    <n v="4"/>
    <n v="4"/>
    <n v="0"/>
    <n v="137"/>
    <x v="115"/>
    <x v="0"/>
    <x v="0"/>
    <x v="0"/>
  </r>
  <r>
    <s v="Description 210"/>
    <s v="Code 210"/>
    <n v="12"/>
    <n v="0"/>
    <n v="10"/>
    <n v="8"/>
    <n v="10"/>
    <n v="6"/>
    <n v="8"/>
    <n v="4"/>
    <n v="4"/>
    <n v="0"/>
    <n v="27"/>
    <x v="127"/>
    <x v="0"/>
    <x v="0"/>
    <x v="0"/>
  </r>
  <r>
    <s v="Description 211"/>
    <s v="Code 211"/>
    <n v="0"/>
    <n v="9"/>
    <n v="1"/>
    <n v="4"/>
    <n v="4"/>
    <n v="3"/>
    <n v="1"/>
    <n v="0"/>
    <n v="0"/>
    <n v="0"/>
    <n v="211"/>
    <x v="66"/>
    <x v="0"/>
    <x v="0"/>
    <x v="0"/>
  </r>
  <r>
    <s v="Description 212"/>
    <s v="Code 212"/>
    <n v="14"/>
    <n v="18"/>
    <n v="24"/>
    <n v="20"/>
    <n v="20"/>
    <n v="18"/>
    <n v="14"/>
    <n v="8"/>
    <n v="8"/>
    <n v="0"/>
    <n v="97"/>
    <x v="37"/>
    <x v="0"/>
    <x v="0"/>
    <x v="0"/>
  </r>
  <r>
    <s v="Description 213"/>
    <s v="Code 213"/>
    <n v="7"/>
    <n v="9"/>
    <n v="12"/>
    <n v="10"/>
    <n v="10"/>
    <n v="9"/>
    <n v="7"/>
    <n v="4"/>
    <n v="4"/>
    <n v="0"/>
    <n v="123"/>
    <x v="128"/>
    <x v="0"/>
    <x v="0"/>
    <x v="0"/>
  </r>
  <r>
    <s v="Description 214"/>
    <s v="Code 214"/>
    <n v="21"/>
    <n v="27"/>
    <n v="36"/>
    <n v="30"/>
    <n v="30"/>
    <n v="27"/>
    <n v="21"/>
    <n v="12"/>
    <n v="12"/>
    <n v="0"/>
    <n v="177"/>
    <x v="5"/>
    <x v="0"/>
    <x v="0"/>
    <x v="0"/>
  </r>
  <r>
    <s v="Description 215"/>
    <s v="Code 215"/>
    <n v="7"/>
    <n v="9"/>
    <n v="12"/>
    <n v="10"/>
    <n v="10"/>
    <n v="9"/>
    <n v="7"/>
    <n v="4"/>
    <n v="4"/>
    <n v="0"/>
    <n v="71"/>
    <x v="129"/>
    <x v="0"/>
    <x v="1"/>
    <x v="0"/>
  </r>
  <r>
    <s v="Description 216"/>
    <s v="Code 216"/>
    <n v="7"/>
    <n v="9"/>
    <n v="12"/>
    <n v="10"/>
    <n v="10"/>
    <n v="9"/>
    <n v="7"/>
    <n v="4"/>
    <n v="4"/>
    <n v="0"/>
    <n v="317"/>
    <x v="93"/>
    <x v="0"/>
    <x v="0"/>
    <x v="0"/>
  </r>
  <r>
    <s v="Description 217"/>
    <s v="Code 217"/>
    <n v="14"/>
    <n v="18"/>
    <n v="24"/>
    <n v="20"/>
    <n v="20"/>
    <n v="18"/>
    <n v="14"/>
    <n v="8"/>
    <n v="8"/>
    <n v="0"/>
    <n v="62"/>
    <x v="67"/>
    <x v="0"/>
    <x v="0"/>
    <x v="0"/>
  </r>
  <r>
    <s v="Description 218"/>
    <s v="Code 218"/>
    <n v="12"/>
    <n v="0"/>
    <n v="10"/>
    <n v="8"/>
    <n v="10"/>
    <n v="6"/>
    <n v="8"/>
    <n v="4"/>
    <n v="4"/>
    <n v="0"/>
    <n v="489"/>
    <x v="11"/>
    <x v="0"/>
    <x v="0"/>
    <x v="0"/>
  </r>
  <r>
    <s v="Description 219"/>
    <s v="Code 219"/>
    <n v="28"/>
    <n v="36"/>
    <n v="48"/>
    <n v="40"/>
    <n v="40"/>
    <n v="36"/>
    <n v="28"/>
    <n v="16"/>
    <n v="16"/>
    <n v="0"/>
    <n v="249"/>
    <x v="6"/>
    <x v="0"/>
    <x v="0"/>
    <x v="0"/>
  </r>
  <r>
    <s v="Description 220"/>
    <s v="Code 220"/>
    <n v="14"/>
    <n v="18"/>
    <n v="24"/>
    <n v="20"/>
    <n v="20"/>
    <n v="18"/>
    <n v="14"/>
    <n v="8"/>
    <n v="8"/>
    <n v="0"/>
    <n v="115"/>
    <x v="44"/>
    <x v="0"/>
    <x v="0"/>
    <x v="0"/>
  </r>
  <r>
    <s v="Description 221"/>
    <s v="Code 221"/>
    <n v="14"/>
    <n v="18"/>
    <n v="24"/>
    <n v="20"/>
    <n v="20"/>
    <n v="18"/>
    <n v="14"/>
    <n v="8"/>
    <n v="8"/>
    <n v="0"/>
    <n v="140"/>
    <x v="58"/>
    <x v="0"/>
    <x v="0"/>
    <x v="0"/>
  </r>
  <r>
    <s v="Description 222"/>
    <s v="Code 222"/>
    <n v="14"/>
    <n v="18"/>
    <n v="24"/>
    <n v="20"/>
    <n v="20"/>
    <n v="18"/>
    <n v="14"/>
    <n v="8"/>
    <n v="8"/>
    <n v="0"/>
    <n v="216"/>
    <x v="130"/>
    <x v="0"/>
    <x v="1"/>
    <x v="0"/>
  </r>
  <r>
    <s v="Description 223"/>
    <s v="Code 223"/>
    <n v="0"/>
    <n v="0"/>
    <n v="0"/>
    <n v="20"/>
    <n v="20"/>
    <n v="20"/>
    <n v="10"/>
    <n v="20"/>
    <n v="15"/>
    <n v="0"/>
    <n v="0"/>
    <x v="123"/>
    <x v="0"/>
    <x v="1"/>
    <x v="0"/>
  </r>
  <r>
    <s v="Description 224"/>
    <s v="Code 224"/>
    <n v="0"/>
    <n v="0"/>
    <n v="0"/>
    <n v="16"/>
    <n v="16"/>
    <n v="16"/>
    <n v="8"/>
    <n v="16"/>
    <n v="12"/>
    <n v="0"/>
    <n v="12"/>
    <x v="27"/>
    <x v="0"/>
    <x v="0"/>
    <x v="0"/>
  </r>
  <r>
    <s v="Description 225"/>
    <s v="Code 225"/>
    <n v="0"/>
    <n v="0"/>
    <n v="0"/>
    <n v="8"/>
    <n v="8"/>
    <n v="8"/>
    <n v="4"/>
    <n v="8"/>
    <n v="6"/>
    <n v="0"/>
    <n v="132"/>
    <x v="131"/>
    <x v="0"/>
    <x v="0"/>
    <x v="0"/>
  </r>
  <r>
    <s v="Description 226"/>
    <s v="Code 226"/>
    <n v="0"/>
    <n v="0"/>
    <n v="0"/>
    <n v="8"/>
    <n v="8"/>
    <n v="8"/>
    <n v="4"/>
    <n v="8"/>
    <n v="6"/>
    <n v="0"/>
    <n v="13"/>
    <x v="132"/>
    <x v="0"/>
    <x v="0"/>
    <x v="0"/>
  </r>
  <r>
    <s v="Description 227"/>
    <s v="Code 227"/>
    <n v="0"/>
    <n v="0"/>
    <n v="0"/>
    <n v="16"/>
    <n v="16"/>
    <n v="16"/>
    <n v="8"/>
    <n v="16"/>
    <n v="12"/>
    <n v="0"/>
    <n v="16"/>
    <x v="133"/>
    <x v="0"/>
    <x v="0"/>
    <x v="0"/>
  </r>
  <r>
    <s v="Description 228"/>
    <s v="Code 228"/>
    <n v="0"/>
    <n v="0"/>
    <n v="0"/>
    <n v="4"/>
    <n v="4"/>
    <n v="4"/>
    <n v="2"/>
    <n v="4"/>
    <n v="3"/>
    <n v="0"/>
    <n v="18"/>
    <x v="10"/>
    <x v="0"/>
    <x v="0"/>
    <x v="0"/>
  </r>
  <r>
    <s v="Description 229"/>
    <s v="Code 229"/>
    <n v="0"/>
    <n v="0"/>
    <n v="0"/>
    <n v="8"/>
    <n v="8"/>
    <n v="8"/>
    <n v="4"/>
    <n v="8"/>
    <n v="6"/>
    <n v="0"/>
    <n v="12"/>
    <x v="134"/>
    <x v="0"/>
    <x v="0"/>
    <x v="0"/>
  </r>
  <r>
    <s v="Description 230"/>
    <s v="Code 230"/>
    <n v="0"/>
    <n v="0"/>
    <n v="0"/>
    <n v="4"/>
    <n v="4"/>
    <n v="4"/>
    <n v="2"/>
    <n v="4"/>
    <n v="3"/>
    <n v="0"/>
    <n v="3"/>
    <x v="125"/>
    <x v="0"/>
    <x v="0"/>
    <x v="0"/>
  </r>
  <r>
    <s v="Description 231"/>
    <s v="Code 231"/>
    <n v="0"/>
    <n v="0"/>
    <n v="0"/>
    <n v="4"/>
    <n v="4"/>
    <n v="4"/>
    <n v="2"/>
    <n v="4"/>
    <n v="3"/>
    <n v="0"/>
    <n v="8"/>
    <x v="14"/>
    <x v="0"/>
    <x v="0"/>
    <x v="0"/>
  </r>
  <r>
    <s v="Description 232"/>
    <s v="Code 232"/>
    <n v="0"/>
    <n v="0"/>
    <n v="0"/>
    <n v="4"/>
    <n v="4"/>
    <n v="4"/>
    <n v="2"/>
    <n v="4"/>
    <n v="3"/>
    <n v="0"/>
    <n v="8"/>
    <x v="27"/>
    <x v="0"/>
    <x v="0"/>
    <x v="0"/>
  </r>
  <r>
    <s v="Description 233"/>
    <s v="Code 233"/>
    <n v="0"/>
    <n v="0"/>
    <n v="0"/>
    <n v="4"/>
    <n v="4"/>
    <n v="4"/>
    <n v="2"/>
    <n v="4"/>
    <n v="3"/>
    <n v="0"/>
    <n v="184"/>
    <x v="92"/>
    <x v="0"/>
    <x v="0"/>
    <x v="0"/>
  </r>
  <r>
    <s v="Description 234"/>
    <s v="Code 234"/>
    <n v="0"/>
    <n v="0"/>
    <n v="0"/>
    <n v="16"/>
    <n v="16"/>
    <n v="16"/>
    <n v="8"/>
    <n v="16"/>
    <n v="12"/>
    <n v="0"/>
    <n v="142"/>
    <x v="84"/>
    <x v="0"/>
    <x v="0"/>
    <x v="0"/>
  </r>
  <r>
    <s v="Description 235"/>
    <s v="Code 235"/>
    <n v="0"/>
    <n v="0"/>
    <n v="0"/>
    <n v="4"/>
    <n v="4"/>
    <n v="4"/>
    <n v="2"/>
    <n v="4"/>
    <n v="3"/>
    <n v="0"/>
    <n v="18"/>
    <x v="135"/>
    <x v="0"/>
    <x v="0"/>
    <x v="0"/>
  </r>
  <r>
    <s v="Description 236"/>
    <s v="Code 236"/>
    <n v="0"/>
    <n v="0"/>
    <n v="0"/>
    <n v="4"/>
    <n v="4"/>
    <n v="4"/>
    <n v="2"/>
    <n v="4"/>
    <n v="3"/>
    <n v="0"/>
    <n v="97"/>
    <x v="89"/>
    <x v="0"/>
    <x v="1"/>
    <x v="0"/>
  </r>
  <r>
    <s v="Description 237"/>
    <s v="Code 237"/>
    <n v="0"/>
    <n v="0"/>
    <n v="0"/>
    <n v="4"/>
    <n v="4"/>
    <n v="4"/>
    <n v="2"/>
    <n v="4"/>
    <n v="3"/>
    <n v="0"/>
    <n v="6"/>
    <x v="97"/>
    <x v="0"/>
    <x v="0"/>
    <x v="0"/>
  </r>
  <r>
    <s v="Description 238"/>
    <s v="Code 238"/>
    <n v="0"/>
    <n v="0"/>
    <n v="0"/>
    <n v="8"/>
    <n v="8"/>
    <n v="8"/>
    <n v="4"/>
    <n v="8"/>
    <n v="6"/>
    <n v="0"/>
    <n v="51"/>
    <x v="105"/>
    <x v="0"/>
    <x v="1"/>
    <x v="0"/>
  </r>
  <r>
    <s v="Description 239"/>
    <s v="Code 239"/>
    <n v="0"/>
    <n v="0"/>
    <n v="0"/>
    <n v="4"/>
    <n v="4"/>
    <n v="4"/>
    <n v="0"/>
    <n v="4"/>
    <n v="4"/>
    <n v="0"/>
    <n v="95"/>
    <x v="100"/>
    <x v="0"/>
    <x v="0"/>
    <x v="0"/>
  </r>
  <r>
    <s v="Description 240"/>
    <s v="Code 240"/>
    <n v="0"/>
    <n v="0"/>
    <n v="0"/>
    <n v="4"/>
    <n v="4"/>
    <n v="4"/>
    <n v="0"/>
    <n v="4"/>
    <n v="4"/>
    <n v="0"/>
    <n v="23"/>
    <x v="130"/>
    <x v="0"/>
    <x v="1"/>
    <x v="0"/>
  </r>
  <r>
    <s v="Description 241"/>
    <s v="Code 241"/>
    <n v="0"/>
    <n v="0"/>
    <n v="0"/>
    <n v="4"/>
    <n v="4"/>
    <n v="4"/>
    <n v="0"/>
    <n v="4"/>
    <n v="4"/>
    <n v="0"/>
    <n v="8"/>
    <x v="136"/>
    <x v="0"/>
    <x v="1"/>
    <x v="0"/>
  </r>
  <r>
    <s v="Description 242"/>
    <s v="Code 242"/>
    <n v="0"/>
    <n v="0"/>
    <n v="0"/>
    <n v="16"/>
    <n v="16"/>
    <n v="16"/>
    <n v="8"/>
    <n v="16"/>
    <n v="12"/>
    <n v="0"/>
    <n v="100"/>
    <x v="81"/>
    <x v="0"/>
    <x v="0"/>
    <x v="0"/>
  </r>
  <r>
    <s v="Description 243"/>
    <s v="Code 243"/>
    <n v="30"/>
    <n v="15"/>
    <n v="15"/>
    <n v="30"/>
    <n v="30"/>
    <n v="15"/>
    <n v="30"/>
    <n v="15"/>
    <n v="30"/>
    <n v="0"/>
    <n v="145"/>
    <x v="137"/>
    <x v="0"/>
    <x v="1"/>
    <x v="0"/>
  </r>
  <r>
    <s v="Description 244"/>
    <s v="Code 244"/>
    <n v="6"/>
    <n v="0"/>
    <n v="5"/>
    <n v="6"/>
    <n v="7"/>
    <n v="5"/>
    <n v="4"/>
    <n v="4"/>
    <n v="4"/>
    <n v="0"/>
    <n v="36"/>
    <x v="2"/>
    <x v="0"/>
    <x v="0"/>
    <x v="0"/>
  </r>
  <r>
    <s v="Description 245"/>
    <s v="Code 245"/>
    <n v="6"/>
    <n v="0"/>
    <n v="5"/>
    <n v="4"/>
    <n v="5"/>
    <n v="3"/>
    <n v="4"/>
    <n v="2"/>
    <n v="2"/>
    <n v="0"/>
    <n v="36"/>
    <x v="138"/>
    <x v="0"/>
    <x v="0"/>
    <x v="0"/>
  </r>
  <r>
    <s v="Description 246"/>
    <s v="Code 246"/>
    <n v="6"/>
    <n v="0"/>
    <n v="5"/>
    <n v="4"/>
    <n v="5"/>
    <n v="3"/>
    <n v="4"/>
    <n v="2"/>
    <n v="2"/>
    <n v="0"/>
    <n v="37"/>
    <x v="139"/>
    <x v="0"/>
    <x v="0"/>
    <x v="0"/>
  </r>
  <r>
    <s v="Description 247"/>
    <s v="Code 247"/>
    <n v="0"/>
    <n v="0"/>
    <n v="0"/>
    <n v="0"/>
    <n v="0"/>
    <n v="0"/>
    <n v="0"/>
    <n v="0"/>
    <n v="0"/>
    <n v="0"/>
    <n v="45"/>
    <x v="140"/>
    <x v="0"/>
    <x v="0"/>
    <x v="0"/>
  </r>
  <r>
    <s v="Description 248"/>
    <s v="Code 248"/>
    <n v="0"/>
    <n v="0"/>
    <n v="0"/>
    <n v="0"/>
    <n v="0"/>
    <n v="0"/>
    <n v="0"/>
    <n v="0"/>
    <n v="0"/>
    <n v="0"/>
    <n v="23"/>
    <x v="141"/>
    <x v="0"/>
    <x v="0"/>
    <x v="0"/>
  </r>
  <r>
    <s v="Description 249"/>
    <s v="Code 249"/>
    <n v="1"/>
    <n v="9"/>
    <n v="7"/>
    <n v="6"/>
    <n v="5"/>
    <n v="6"/>
    <n v="3"/>
    <n v="2"/>
    <n v="2"/>
    <n v="0"/>
    <n v="24"/>
    <x v="44"/>
    <x v="0"/>
    <x v="0"/>
    <x v="0"/>
  </r>
  <r>
    <s v="Description 250"/>
    <s v="Code 250"/>
    <n v="0"/>
    <n v="0"/>
    <n v="0"/>
    <n v="2"/>
    <n v="2"/>
    <n v="2"/>
    <n v="0"/>
    <n v="2"/>
    <n v="2"/>
    <n v="0"/>
    <n v="15"/>
    <x v="142"/>
    <x v="0"/>
    <x v="0"/>
    <x v="0"/>
  </r>
  <r>
    <s v="Description 251"/>
    <s v="Code 251"/>
    <n v="0"/>
    <n v="0"/>
    <n v="0"/>
    <n v="2"/>
    <n v="2"/>
    <n v="2"/>
    <n v="2"/>
    <n v="2"/>
    <n v="1"/>
    <n v="0"/>
    <n v="1"/>
    <x v="62"/>
    <x v="0"/>
    <x v="0"/>
    <x v="0"/>
  </r>
  <r>
    <s v="Description 252"/>
    <s v="Code 252"/>
    <n v="0"/>
    <n v="0"/>
    <n v="0"/>
    <n v="0"/>
    <n v="0"/>
    <n v="0"/>
    <n v="0"/>
    <n v="0"/>
    <n v="0"/>
    <n v="0"/>
    <n v="1"/>
    <x v="0"/>
    <x v="0"/>
    <x v="0"/>
    <x v="0"/>
  </r>
  <r>
    <s v="Description 253"/>
    <s v="Code 253"/>
    <n v="0"/>
    <n v="0"/>
    <n v="0"/>
    <n v="0"/>
    <n v="0"/>
    <n v="0"/>
    <n v="0"/>
    <n v="0"/>
    <n v="0"/>
    <n v="0"/>
    <n v="423"/>
    <x v="10"/>
    <x v="0"/>
    <x v="0"/>
    <x v="0"/>
  </r>
  <r>
    <s v="Description 254"/>
    <s v="Code 254"/>
    <n v="36"/>
    <n v="0"/>
    <n v="30"/>
    <n v="36"/>
    <n v="42"/>
    <n v="30"/>
    <n v="24"/>
    <n v="24"/>
    <n v="24"/>
    <n v="0"/>
    <n v="340"/>
    <x v="143"/>
    <x v="0"/>
    <x v="0"/>
    <x v="0"/>
  </r>
  <r>
    <s v="Description 255"/>
    <s v="Code 255"/>
    <n v="36"/>
    <n v="0"/>
    <n v="30"/>
    <n v="36"/>
    <n v="42"/>
    <n v="30"/>
    <n v="24"/>
    <n v="24"/>
    <n v="24"/>
    <n v="0"/>
    <n v="124"/>
    <x v="144"/>
    <x v="0"/>
    <x v="0"/>
    <x v="0"/>
  </r>
  <r>
    <s v="Description 256"/>
    <s v="Code 256"/>
    <n v="0"/>
    <n v="0"/>
    <n v="0"/>
    <n v="12"/>
    <n v="12"/>
    <n v="12"/>
    <n v="0"/>
    <n v="12"/>
    <n v="12"/>
    <n v="0"/>
    <n v="133"/>
    <x v="134"/>
    <x v="0"/>
    <x v="0"/>
    <x v="0"/>
  </r>
  <r>
    <s v="Description 257"/>
    <s v="Code 257"/>
    <n v="24"/>
    <n v="0"/>
    <n v="20"/>
    <n v="24"/>
    <n v="28"/>
    <n v="20"/>
    <n v="16"/>
    <n v="16"/>
    <n v="16"/>
    <n v="0"/>
    <n v="94"/>
    <x v="145"/>
    <x v="0"/>
    <x v="0"/>
    <x v="0"/>
  </r>
  <r>
    <s v="Description 258"/>
    <s v="Code 258"/>
    <n v="6"/>
    <n v="0"/>
    <n v="5"/>
    <n v="4"/>
    <n v="5"/>
    <n v="3"/>
    <n v="4"/>
    <n v="2"/>
    <n v="2"/>
    <n v="0"/>
    <n v="86"/>
    <x v="146"/>
    <x v="0"/>
    <x v="0"/>
    <x v="0"/>
  </r>
  <r>
    <s v="Description 259"/>
    <s v="Code 259"/>
    <n v="0"/>
    <n v="0"/>
    <n v="0"/>
    <n v="2"/>
    <n v="2"/>
    <n v="2"/>
    <n v="0"/>
    <n v="2"/>
    <n v="2"/>
    <n v="0"/>
    <n v="179"/>
    <x v="147"/>
    <x v="0"/>
    <x v="0"/>
    <x v="0"/>
  </r>
  <r>
    <s v="Description 260"/>
    <s v="Code 260"/>
    <n v="24"/>
    <n v="0"/>
    <n v="20"/>
    <n v="24"/>
    <n v="28"/>
    <n v="20"/>
    <n v="16"/>
    <n v="16"/>
    <n v="16"/>
    <n v="0"/>
    <n v="251"/>
    <x v="130"/>
    <x v="0"/>
    <x v="1"/>
    <x v="0"/>
  </r>
  <r>
    <s v="Description 261"/>
    <s v="Code 261"/>
    <n v="0"/>
    <n v="0"/>
    <n v="0"/>
    <n v="8"/>
    <n v="8"/>
    <n v="8"/>
    <n v="0"/>
    <n v="8"/>
    <n v="8"/>
    <n v="0"/>
    <n v="603"/>
    <x v="148"/>
    <x v="0"/>
    <x v="0"/>
    <x v="0"/>
  </r>
  <r>
    <s v="Description 262"/>
    <s v="Code 262"/>
    <n v="56"/>
    <n v="72"/>
    <n v="96"/>
    <n v="80"/>
    <n v="80"/>
    <n v="72"/>
    <n v="56"/>
    <n v="32"/>
    <n v="32"/>
    <n v="0"/>
    <n v="810"/>
    <x v="59"/>
    <x v="0"/>
    <x v="0"/>
    <x v="0"/>
  </r>
  <r>
    <s v="Description 263"/>
    <s v="Code 263"/>
    <n v="28"/>
    <n v="36"/>
    <n v="48"/>
    <n v="40"/>
    <n v="40"/>
    <n v="36"/>
    <n v="28"/>
    <n v="16"/>
    <n v="16"/>
    <n v="0"/>
    <n v="14"/>
    <x v="22"/>
    <x v="0"/>
    <x v="0"/>
    <x v="0"/>
  </r>
  <r>
    <s v="Description 264"/>
    <s v="Code 264"/>
    <n v="0"/>
    <n v="0"/>
    <n v="0"/>
    <n v="16"/>
    <n v="16"/>
    <n v="16"/>
    <n v="8"/>
    <n v="16"/>
    <n v="12"/>
    <n v="0"/>
    <n v="42"/>
    <x v="50"/>
    <x v="0"/>
    <x v="0"/>
    <x v="0"/>
  </r>
  <r>
    <s v="Description 265"/>
    <s v="Code 265"/>
    <n v="0"/>
    <n v="0"/>
    <n v="0"/>
    <n v="4"/>
    <n v="4"/>
    <n v="4"/>
    <n v="2"/>
    <n v="4"/>
    <n v="3"/>
    <n v="0"/>
    <n v="65"/>
    <x v="47"/>
    <x v="0"/>
    <x v="0"/>
    <x v="0"/>
  </r>
  <r>
    <s v="Description 266"/>
    <s v="Code 266"/>
    <n v="14"/>
    <n v="2"/>
    <n v="12"/>
    <n v="10"/>
    <n v="12"/>
    <n v="8"/>
    <n v="10"/>
    <n v="6"/>
    <n v="6"/>
    <n v="0"/>
    <n v="55"/>
    <x v="51"/>
    <x v="0"/>
    <x v="0"/>
    <x v="0"/>
  </r>
  <r>
    <s v="Description 267"/>
    <s v="Code 267"/>
    <n v="24"/>
    <n v="0"/>
    <n v="20"/>
    <n v="16"/>
    <n v="20"/>
    <n v="12"/>
    <n v="16"/>
    <n v="8"/>
    <n v="8"/>
    <n v="0"/>
    <n v="128"/>
    <x v="149"/>
    <x v="0"/>
    <x v="0"/>
    <x v="0"/>
  </r>
  <r>
    <s v="Description 268"/>
    <s v="Code 268"/>
    <n v="12"/>
    <n v="0"/>
    <n v="10"/>
    <n v="8"/>
    <n v="10"/>
    <n v="6"/>
    <n v="8"/>
    <n v="4"/>
    <n v="4"/>
    <n v="0"/>
    <n v="0"/>
    <x v="149"/>
    <x v="0"/>
    <x v="0"/>
    <x v="0"/>
  </r>
  <r>
    <s v="Description 269"/>
    <s v="Code 269"/>
    <n v="0"/>
    <n v="0"/>
    <n v="0"/>
    <n v="0"/>
    <n v="0"/>
    <n v="0"/>
    <n v="0"/>
    <n v="0"/>
    <n v="0"/>
    <n v="0"/>
    <n v="0"/>
    <x v="136"/>
    <x v="0"/>
    <x v="1"/>
    <x v="0"/>
  </r>
  <r>
    <s v="Description 270"/>
    <s v="Code 270"/>
    <n v="0"/>
    <n v="0"/>
    <n v="0"/>
    <n v="0"/>
    <n v="0"/>
    <n v="0"/>
    <n v="0"/>
    <n v="0"/>
    <n v="0"/>
    <n v="0"/>
    <n v="11"/>
    <x v="53"/>
    <x v="0"/>
    <x v="0"/>
    <x v="0"/>
  </r>
  <r>
    <s v="Description 271"/>
    <s v="Code 271"/>
    <n v="0"/>
    <n v="0"/>
    <n v="0"/>
    <n v="0"/>
    <n v="0"/>
    <n v="0"/>
    <n v="0"/>
    <n v="0"/>
    <n v="0"/>
    <n v="0"/>
    <n v="16"/>
    <x v="131"/>
    <x v="0"/>
    <x v="0"/>
    <x v="0"/>
  </r>
  <r>
    <s v="Description 272"/>
    <s v="Code 272"/>
    <n v="0"/>
    <n v="0"/>
    <n v="0"/>
    <n v="0"/>
    <n v="0"/>
    <n v="0"/>
    <n v="0"/>
    <n v="0"/>
    <n v="0"/>
    <n v="0"/>
    <n v="0"/>
    <x v="4"/>
    <x v="0"/>
    <x v="0"/>
    <x v="0"/>
  </r>
  <r>
    <s v="Description 273"/>
    <s v="Code 273"/>
    <n v="0"/>
    <n v="0"/>
    <n v="0"/>
    <n v="0"/>
    <n v="0"/>
    <n v="0"/>
    <n v="0"/>
    <n v="0"/>
    <n v="150"/>
    <n v="0"/>
    <n v="360"/>
    <x v="77"/>
    <x v="0"/>
    <x v="0"/>
    <x v="0"/>
  </r>
  <r>
    <s v="Description 274"/>
    <s v="Code 274"/>
    <n v="0"/>
    <n v="0"/>
    <n v="0"/>
    <n v="0"/>
    <n v="0"/>
    <n v="0"/>
    <n v="0"/>
    <n v="0"/>
    <n v="0"/>
    <n v="0"/>
    <n v="3"/>
    <x v="78"/>
    <x v="0"/>
    <x v="0"/>
    <x v="0"/>
  </r>
  <r>
    <s v="Description 275"/>
    <s v="Code 275"/>
    <n v="0"/>
    <n v="0"/>
    <n v="0"/>
    <n v="0"/>
    <n v="0"/>
    <n v="0"/>
    <n v="0"/>
    <n v="0"/>
    <n v="0"/>
    <n v="0"/>
    <n v="4"/>
    <x v="150"/>
    <x v="0"/>
    <x v="0"/>
    <x v="0"/>
  </r>
  <r>
    <s v="Description 276"/>
    <s v="Code 276"/>
    <n v="0"/>
    <n v="0"/>
    <n v="0"/>
    <n v="0"/>
    <n v="0"/>
    <n v="0"/>
    <n v="0"/>
    <n v="0"/>
    <n v="0"/>
    <n v="0"/>
    <n v="59"/>
    <x v="151"/>
    <x v="0"/>
    <x v="0"/>
    <x v="0"/>
  </r>
  <r>
    <s v="Description 277"/>
    <s v="Code 277"/>
    <n v="0"/>
    <n v="0"/>
    <n v="0"/>
    <n v="0"/>
    <n v="0"/>
    <n v="80"/>
    <n v="0"/>
    <n v="0"/>
    <n v="40"/>
    <n v="0"/>
    <n v="130"/>
    <x v="152"/>
    <x v="0"/>
    <x v="0"/>
    <x v="0"/>
  </r>
  <r>
    <s v="Description 278"/>
    <s v="Code 278"/>
    <n v="0"/>
    <n v="0"/>
    <n v="0"/>
    <n v="100"/>
    <n v="0"/>
    <n v="100"/>
    <n v="0"/>
    <n v="0"/>
    <n v="0"/>
    <n v="0"/>
    <n v="110"/>
    <x v="79"/>
    <x v="0"/>
    <x v="0"/>
    <x v="0"/>
  </r>
  <r>
    <s v="Description 279"/>
    <s v="Code 279"/>
    <n v="0"/>
    <n v="0"/>
    <n v="0"/>
    <n v="100"/>
    <n v="0"/>
    <n v="100"/>
    <n v="0"/>
    <n v="0"/>
    <n v="0"/>
    <n v="0"/>
    <n v="680"/>
    <x v="77"/>
    <x v="0"/>
    <x v="0"/>
    <x v="0"/>
  </r>
  <r>
    <s v="Description 280"/>
    <s v="Code 280"/>
    <n v="0"/>
    <n v="0"/>
    <n v="0"/>
    <n v="0"/>
    <n v="0"/>
    <n v="80"/>
    <n v="0"/>
    <n v="0"/>
    <n v="40"/>
    <n v="0"/>
    <n v="33"/>
    <x v="153"/>
    <x v="0"/>
    <x v="0"/>
    <x v="0"/>
  </r>
  <r>
    <s v="Description 281"/>
    <s v="Code 281"/>
    <n v="0"/>
    <n v="0"/>
    <n v="0"/>
    <n v="0"/>
    <n v="0"/>
    <n v="80"/>
    <n v="0"/>
    <n v="0"/>
    <n v="40"/>
    <n v="0"/>
    <n v="114"/>
    <x v="98"/>
    <x v="0"/>
    <x v="0"/>
    <x v="0"/>
  </r>
  <r>
    <s v="Description 282"/>
    <s v="Code 282"/>
    <n v="0"/>
    <n v="0"/>
    <n v="0"/>
    <n v="0"/>
    <n v="0"/>
    <n v="80"/>
    <n v="0"/>
    <n v="0"/>
    <n v="40"/>
    <n v="0"/>
    <n v="20"/>
    <x v="49"/>
    <x v="0"/>
    <x v="0"/>
    <x v="0"/>
  </r>
  <r>
    <s v="Description 283"/>
    <s v="Code 283"/>
    <n v="13"/>
    <n v="3"/>
    <n v="11"/>
    <n v="7"/>
    <n v="10"/>
    <n v="11"/>
    <n v="2"/>
    <n v="7"/>
    <n v="16"/>
    <n v="0"/>
    <n v="131"/>
    <x v="19"/>
    <x v="0"/>
    <x v="0"/>
    <x v="0"/>
  </r>
  <r>
    <s v="Description 284"/>
    <s v="Code 284"/>
    <n v="0"/>
    <n v="0"/>
    <n v="0"/>
    <n v="0"/>
    <n v="0"/>
    <n v="40"/>
    <n v="0"/>
    <n v="0"/>
    <n v="20"/>
    <n v="0"/>
    <n v="100"/>
    <x v="18"/>
    <x v="0"/>
    <x v="0"/>
    <x v="0"/>
  </r>
  <r>
    <s v="Description 285"/>
    <s v="Code 285"/>
    <n v="0"/>
    <n v="0"/>
    <n v="0"/>
    <n v="0"/>
    <n v="0"/>
    <n v="40"/>
    <n v="0"/>
    <n v="0"/>
    <n v="20"/>
    <n v="0"/>
    <n v="788"/>
    <x v="70"/>
    <x v="0"/>
    <x v="0"/>
    <x v="0"/>
  </r>
  <r>
    <s v="Description 286"/>
    <s v="Code 286"/>
    <n v="0"/>
    <n v="0"/>
    <n v="0"/>
    <n v="0"/>
    <n v="0"/>
    <n v="160"/>
    <n v="0"/>
    <n v="0"/>
    <n v="80"/>
    <n v="0"/>
    <n v="810"/>
    <x v="154"/>
    <x v="0"/>
    <x v="0"/>
    <x v="0"/>
  </r>
  <r>
    <s v="Description 287"/>
    <s v="Code 287"/>
    <n v="0"/>
    <n v="0"/>
    <n v="0"/>
    <n v="0"/>
    <n v="0"/>
    <n v="40"/>
    <n v="0"/>
    <n v="0"/>
    <n v="20"/>
    <n v="0"/>
    <n v="854"/>
    <x v="20"/>
    <x v="0"/>
    <x v="0"/>
    <x v="0"/>
  </r>
  <r>
    <s v="Description 288"/>
    <s v="Code 288"/>
    <n v="0"/>
    <n v="0"/>
    <n v="0"/>
    <n v="0"/>
    <n v="0"/>
    <n v="40"/>
    <n v="0"/>
    <n v="0"/>
    <n v="20"/>
    <n v="0"/>
    <n v="3944"/>
    <x v="155"/>
    <x v="0"/>
    <x v="0"/>
    <x v="0"/>
  </r>
  <r>
    <s v="Description 289"/>
    <s v="Code 289"/>
    <n v="0"/>
    <n v="0"/>
    <n v="0"/>
    <n v="420"/>
    <n v="200"/>
    <n v="400"/>
    <n v="0"/>
    <n v="0"/>
    <n v="20"/>
    <n v="0"/>
    <n v="1542"/>
    <x v="33"/>
    <x v="0"/>
    <x v="0"/>
    <x v="0"/>
  </r>
  <r>
    <s v="Description 290"/>
    <s v="Code 290"/>
    <n v="0"/>
    <n v="0"/>
    <n v="0"/>
    <n v="420"/>
    <n v="200"/>
    <n v="400"/>
    <n v="0"/>
    <n v="0"/>
    <n v="20"/>
    <n v="0"/>
    <n v="0"/>
    <x v="44"/>
    <x v="0"/>
    <x v="0"/>
    <x v="0"/>
  </r>
  <r>
    <s v="Description 291"/>
    <s v="Code 291"/>
    <n v="0"/>
    <n v="0"/>
    <n v="0"/>
    <n v="0"/>
    <n v="0"/>
    <n v="0"/>
    <n v="0"/>
    <n v="0"/>
    <n v="0"/>
    <n v="0"/>
    <n v="0"/>
    <x v="129"/>
    <x v="0"/>
    <x v="1"/>
    <x v="0"/>
  </r>
  <r>
    <s v="Description 292"/>
    <s v="Code 292"/>
    <n v="0"/>
    <n v="0"/>
    <n v="40"/>
    <n v="100"/>
    <n v="0"/>
    <n v="0"/>
    <n v="0"/>
    <n v="100"/>
    <n v="0"/>
    <n v="0"/>
    <n v="14"/>
    <x v="69"/>
    <x v="0"/>
    <x v="0"/>
    <x v="0"/>
  </r>
  <r>
    <s v="Description 293"/>
    <s v="Code 293"/>
    <n v="0"/>
    <n v="0"/>
    <n v="0"/>
    <n v="0"/>
    <n v="0"/>
    <n v="0"/>
    <n v="0"/>
    <n v="0"/>
    <n v="0"/>
    <n v="0"/>
    <n v="78"/>
    <x v="11"/>
    <x v="0"/>
    <x v="0"/>
    <x v="0"/>
  </r>
  <r>
    <s v="Description 294"/>
    <s v="Code 294"/>
    <n v="0"/>
    <n v="0"/>
    <n v="0"/>
    <n v="0"/>
    <n v="0"/>
    <n v="0"/>
    <n v="0"/>
    <n v="0"/>
    <n v="0"/>
    <n v="0"/>
    <n v="0"/>
    <x v="47"/>
    <x v="0"/>
    <x v="0"/>
    <x v="0"/>
  </r>
  <r>
    <s v="Description 295"/>
    <s v="Code 295"/>
    <n v="500"/>
    <n v="100"/>
    <n v="100"/>
    <n v="100"/>
    <n v="100"/>
    <n v="100"/>
    <n v="150"/>
    <n v="400"/>
    <n v="300"/>
    <n v="0"/>
    <n v="4867"/>
    <x v="26"/>
    <x v="0"/>
    <x v="1"/>
    <x v="0"/>
  </r>
  <r>
    <s v="Description 296"/>
    <s v="Code 296"/>
    <n v="0"/>
    <n v="0"/>
    <n v="2000"/>
    <n v="0"/>
    <n v="0"/>
    <n v="1200"/>
    <n v="1200"/>
    <n v="0"/>
    <n v="0"/>
    <n v="0"/>
    <n v="0"/>
    <x v="117"/>
    <x v="0"/>
    <x v="0"/>
    <x v="0"/>
  </r>
  <r>
    <s v="Description 297"/>
    <s v="Code 297"/>
    <n v="0"/>
    <n v="0"/>
    <n v="0"/>
    <n v="0"/>
    <n v="0"/>
    <n v="0"/>
    <n v="0"/>
    <n v="0"/>
    <n v="0"/>
    <n v="0"/>
    <n v="0"/>
    <x v="73"/>
    <x v="0"/>
    <x v="0"/>
    <x v="0"/>
  </r>
  <r>
    <s v="Description 298"/>
    <s v="Code 298"/>
    <n v="0"/>
    <n v="0"/>
    <n v="0"/>
    <n v="0"/>
    <n v="0"/>
    <n v="0"/>
    <n v="0"/>
    <n v="0"/>
    <n v="0"/>
    <n v="0"/>
    <n v="0"/>
    <x v="48"/>
    <x v="0"/>
    <x v="0"/>
    <x v="0"/>
  </r>
  <r>
    <s v="Description 299"/>
    <s v="Code 299"/>
    <n v="0"/>
    <n v="0"/>
    <n v="0"/>
    <n v="0"/>
    <n v="0"/>
    <n v="0"/>
    <n v="0"/>
    <n v="0"/>
    <n v="0"/>
    <n v="0"/>
    <n v="0"/>
    <x v="152"/>
    <x v="0"/>
    <x v="0"/>
    <x v="0"/>
  </r>
  <r>
    <s v="Description 300"/>
    <s v="Code 300"/>
    <n v="0"/>
    <n v="0"/>
    <n v="0"/>
    <n v="0"/>
    <n v="0"/>
    <n v="0"/>
    <n v="0"/>
    <n v="0"/>
    <n v="0"/>
    <n v="0"/>
    <n v="0"/>
    <x v="80"/>
    <x v="0"/>
    <x v="0"/>
    <x v="0"/>
  </r>
  <r>
    <s v="Description 301"/>
    <s v="Code 301"/>
    <n v="0"/>
    <n v="0"/>
    <n v="25"/>
    <n v="0"/>
    <n v="0"/>
    <n v="25"/>
    <n v="0"/>
    <n v="0"/>
    <n v="0"/>
    <n v="0"/>
    <n v="1850"/>
    <x v="30"/>
    <x v="0"/>
    <x v="0"/>
    <x v="0"/>
  </r>
  <r>
    <s v="Description 302"/>
    <s v="Code 302"/>
    <n v="0"/>
    <n v="4"/>
    <n v="4"/>
    <n v="4"/>
    <n v="4"/>
    <n v="4"/>
    <n v="6"/>
    <n v="4"/>
    <n v="4"/>
    <n v="0"/>
    <n v="4182"/>
    <x v="27"/>
    <x v="0"/>
    <x v="0"/>
    <x v="0"/>
  </r>
  <r>
    <s v="Description 303"/>
    <s v="Code 303"/>
    <n v="0"/>
    <n v="0"/>
    <n v="25"/>
    <n v="0"/>
    <n v="25"/>
    <n v="25"/>
    <n v="0"/>
    <n v="0"/>
    <n v="0"/>
    <n v="0"/>
    <n v="87"/>
    <x v="44"/>
    <x v="0"/>
    <x v="0"/>
    <x v="0"/>
  </r>
  <r>
    <s v="Description 304"/>
    <s v="Code 304"/>
    <n v="2"/>
    <n v="2"/>
    <n v="2"/>
    <n v="2"/>
    <n v="2"/>
    <n v="3"/>
    <n v="2"/>
    <n v="2"/>
    <n v="2"/>
    <n v="0"/>
    <n v="1"/>
    <x v="156"/>
    <x v="0"/>
    <x v="0"/>
    <x v="0"/>
  </r>
  <r>
    <s v="Description 305"/>
    <s v="Code 305"/>
    <n v="2"/>
    <n v="2"/>
    <n v="2"/>
    <n v="2"/>
    <n v="2"/>
    <n v="3"/>
    <n v="2"/>
    <n v="2"/>
    <n v="2"/>
    <n v="0"/>
    <n v="118"/>
    <x v="110"/>
    <x v="0"/>
    <x v="0"/>
    <x v="0"/>
  </r>
  <r>
    <s v="Description 306"/>
    <s v="Code 306"/>
    <n v="2"/>
    <n v="2"/>
    <n v="2"/>
    <n v="2"/>
    <n v="2"/>
    <n v="3"/>
    <n v="2"/>
    <n v="2"/>
    <n v="2"/>
    <n v="0"/>
    <n v="22"/>
    <x v="38"/>
    <x v="0"/>
    <x v="0"/>
    <x v="0"/>
  </r>
  <r>
    <s v="Description 307"/>
    <s v="Code 307"/>
    <n v="0"/>
    <n v="0"/>
    <n v="1000"/>
    <n v="0"/>
    <n v="0"/>
    <n v="600"/>
    <n v="600"/>
    <n v="0"/>
    <n v="0"/>
    <n v="0"/>
    <n v="29"/>
    <x v="141"/>
    <x v="0"/>
    <x v="0"/>
    <x v="0"/>
  </r>
  <r>
    <s v="Description 308"/>
    <s v="Code 308"/>
    <n v="0"/>
    <n v="0"/>
    <n v="0"/>
    <n v="0"/>
    <n v="0"/>
    <n v="0"/>
    <n v="0"/>
    <n v="0"/>
    <n v="0"/>
    <n v="0"/>
    <n v="202"/>
    <x v="104"/>
    <x v="0"/>
    <x v="0"/>
    <x v="0"/>
  </r>
  <r>
    <s v="Description 309"/>
    <s v="Code 309"/>
    <n v="0"/>
    <n v="0"/>
    <n v="0"/>
    <n v="20"/>
    <n v="0"/>
    <n v="0"/>
    <n v="20"/>
    <n v="0"/>
    <n v="40"/>
    <n v="0"/>
    <n v="2765"/>
    <x v="143"/>
    <x v="0"/>
    <x v="0"/>
    <x v="0"/>
  </r>
  <r>
    <s v="Description 310"/>
    <s v="Code 310"/>
    <n v="0"/>
    <n v="0"/>
    <n v="0"/>
    <n v="0"/>
    <n v="0"/>
    <n v="0"/>
    <n v="35"/>
    <n v="0"/>
    <n v="0"/>
    <n v="0"/>
    <n v="178"/>
    <x v="124"/>
    <x v="0"/>
    <x v="0"/>
    <x v="0"/>
  </r>
  <r>
    <s v="Description 311"/>
    <s v="Code 311"/>
    <n v="28"/>
    <n v="8"/>
    <n v="8"/>
    <n v="8"/>
    <n v="9"/>
    <n v="9"/>
    <n v="9"/>
    <n v="8"/>
    <n v="8"/>
    <n v="0"/>
    <n v="5"/>
    <x v="72"/>
    <x v="0"/>
    <x v="0"/>
    <x v="0"/>
  </r>
  <r>
    <s v="Description 312"/>
    <s v="Code 312"/>
    <n v="0"/>
    <n v="0"/>
    <n v="0"/>
    <n v="0"/>
    <n v="0"/>
    <n v="0"/>
    <n v="0"/>
    <n v="0"/>
    <n v="0"/>
    <n v="0"/>
    <n v="0"/>
    <x v="145"/>
    <x v="0"/>
    <x v="0"/>
    <x v="0"/>
  </r>
  <r>
    <s v="Description 313"/>
    <s v="Code 313"/>
    <n v="0"/>
    <n v="0"/>
    <n v="0"/>
    <n v="0"/>
    <n v="0"/>
    <n v="0"/>
    <n v="35"/>
    <n v="0"/>
    <n v="0"/>
    <n v="0"/>
    <n v="460"/>
    <x v="105"/>
    <x v="0"/>
    <x v="1"/>
    <x v="0"/>
  </r>
  <r>
    <s v="Description 314"/>
    <s v="Code 314"/>
    <n v="0"/>
    <n v="0"/>
    <n v="0"/>
    <n v="0"/>
    <n v="0"/>
    <n v="0"/>
    <n v="35"/>
    <n v="0"/>
    <n v="0"/>
    <n v="0"/>
    <n v="0"/>
    <x v="114"/>
    <x v="0"/>
    <x v="0"/>
    <x v="0"/>
  </r>
  <r>
    <s v="Description 315"/>
    <s v="Code 315"/>
    <n v="0"/>
    <n v="0"/>
    <n v="0"/>
    <n v="0"/>
    <n v="0"/>
    <n v="0"/>
    <n v="35"/>
    <n v="0"/>
    <n v="0"/>
    <n v="0"/>
    <n v="227"/>
    <x v="125"/>
    <x v="0"/>
    <x v="0"/>
    <x v="0"/>
  </r>
  <r>
    <s v="Description 316"/>
    <s v="Code 316"/>
    <n v="0"/>
    <n v="0"/>
    <n v="0"/>
    <n v="0"/>
    <n v="0"/>
    <n v="0"/>
    <n v="70"/>
    <n v="0"/>
    <n v="0"/>
    <n v="0"/>
    <n v="76"/>
    <x v="43"/>
    <x v="0"/>
    <x v="0"/>
    <x v="0"/>
  </r>
  <r>
    <s v="Description 317"/>
    <s v="Code 317"/>
    <n v="0"/>
    <n v="0"/>
    <n v="0"/>
    <n v="0"/>
    <n v="0"/>
    <n v="0"/>
    <n v="0"/>
    <n v="0"/>
    <n v="0"/>
    <n v="0"/>
    <n v="189"/>
    <x v="51"/>
    <x v="0"/>
    <x v="0"/>
    <x v="0"/>
  </r>
  <r>
    <s v="Description 318"/>
    <s v="Code 318"/>
    <n v="0"/>
    <n v="0"/>
    <n v="0"/>
    <n v="0"/>
    <n v="0"/>
    <n v="0"/>
    <n v="35"/>
    <n v="0"/>
    <n v="0"/>
    <n v="0"/>
    <n v="0"/>
    <x v="152"/>
    <x v="0"/>
    <x v="0"/>
    <x v="0"/>
  </r>
  <r>
    <s v="Description 319"/>
    <s v="Code 319"/>
    <n v="0"/>
    <n v="0"/>
    <n v="0"/>
    <n v="0"/>
    <n v="0"/>
    <n v="0"/>
    <n v="0"/>
    <n v="0"/>
    <n v="0"/>
    <n v="0"/>
    <n v="87"/>
    <x v="35"/>
    <x v="0"/>
    <x v="1"/>
    <x v="0"/>
  </r>
  <r>
    <s v="Description 320"/>
    <s v="Code 320"/>
    <n v="0"/>
    <n v="0"/>
    <n v="0"/>
    <n v="0"/>
    <n v="0"/>
    <n v="0"/>
    <n v="35"/>
    <n v="0"/>
    <n v="0"/>
    <n v="0"/>
    <n v="0"/>
    <x v="134"/>
    <x v="0"/>
    <x v="0"/>
    <x v="0"/>
  </r>
  <r>
    <s v="Description 321"/>
    <s v="Code 321"/>
    <n v="0"/>
    <n v="0"/>
    <n v="0"/>
    <n v="0"/>
    <n v="0"/>
    <n v="0"/>
    <n v="0"/>
    <n v="0"/>
    <n v="0"/>
    <n v="0"/>
    <n v="0"/>
    <x v="31"/>
    <x v="0"/>
    <x v="0"/>
    <x v="0"/>
  </r>
  <r>
    <s v="Description 322"/>
    <s v="Code 322"/>
    <n v="0"/>
    <n v="0"/>
    <n v="0"/>
    <n v="0"/>
    <n v="0"/>
    <n v="0"/>
    <n v="0"/>
    <n v="0"/>
    <n v="0"/>
    <n v="0"/>
    <n v="0"/>
    <x v="139"/>
    <x v="0"/>
    <x v="0"/>
    <x v="0"/>
  </r>
  <r>
    <s v="Description 323"/>
    <s v="Code 323"/>
    <n v="0"/>
    <n v="0"/>
    <n v="0"/>
    <n v="0"/>
    <n v="0"/>
    <n v="0"/>
    <n v="0"/>
    <n v="0"/>
    <n v="0"/>
    <n v="0"/>
    <n v="374"/>
    <x v="8"/>
    <x v="0"/>
    <x v="0"/>
    <x v="0"/>
  </r>
  <r>
    <s v="Description 324"/>
    <s v="Code 324"/>
    <n v="0"/>
    <n v="0"/>
    <n v="0"/>
    <n v="0"/>
    <n v="0"/>
    <n v="0"/>
    <n v="0"/>
    <n v="0"/>
    <n v="0"/>
    <n v="0"/>
    <n v="0"/>
    <x v="123"/>
    <x v="0"/>
    <x v="1"/>
    <x v="0"/>
  </r>
  <r>
    <s v="Description 325"/>
    <s v="Code 325"/>
    <n v="0"/>
    <n v="0"/>
    <n v="0"/>
    <n v="0"/>
    <n v="0"/>
    <n v="0"/>
    <n v="0"/>
    <n v="0"/>
    <n v="0"/>
    <n v="0"/>
    <n v="300"/>
    <x v="83"/>
    <x v="0"/>
    <x v="0"/>
    <x v="0"/>
  </r>
  <r>
    <s v="Description 326"/>
    <s v="Code 326"/>
    <n v="180"/>
    <n v="60"/>
    <n v="60"/>
    <n v="60"/>
    <n v="120"/>
    <n v="30"/>
    <n v="60"/>
    <n v="90"/>
    <n v="60"/>
    <n v="0"/>
    <n v="105"/>
    <x v="137"/>
    <x v="0"/>
    <x v="1"/>
    <x v="0"/>
  </r>
  <r>
    <s v="Description 327"/>
    <s v="Code 327"/>
    <n v="30"/>
    <n v="30"/>
    <n v="30"/>
    <n v="30"/>
    <n v="30"/>
    <n v="15"/>
    <n v="30"/>
    <n v="15"/>
    <n v="30"/>
    <n v="0"/>
    <n v="200"/>
    <x v="39"/>
    <x v="0"/>
    <x v="0"/>
    <x v="0"/>
  </r>
  <r>
    <s v="Description 328"/>
    <s v="Code 328"/>
    <n v="30"/>
    <n v="0"/>
    <n v="0"/>
    <n v="0"/>
    <n v="30"/>
    <n v="0"/>
    <n v="0"/>
    <n v="30"/>
    <n v="0"/>
    <n v="0"/>
    <n v="0"/>
    <x v="69"/>
    <x v="0"/>
    <x v="0"/>
    <x v="0"/>
  </r>
  <r>
    <s v="Description 329"/>
    <s v="Code 329"/>
    <n v="80"/>
    <n v="25"/>
    <n v="25"/>
    <n v="25"/>
    <n v="55"/>
    <n v="25"/>
    <n v="25"/>
    <n v="55"/>
    <n v="25"/>
    <n v="0"/>
    <n v="143"/>
    <x v="39"/>
    <x v="0"/>
    <x v="0"/>
    <x v="0"/>
  </r>
  <r>
    <s v="Description 330"/>
    <s v="Code 330"/>
    <n v="30"/>
    <n v="0"/>
    <n v="0"/>
    <n v="0"/>
    <n v="30"/>
    <n v="0"/>
    <n v="0"/>
    <n v="30"/>
    <n v="0"/>
    <n v="0"/>
    <n v="354"/>
    <x v="45"/>
    <x v="0"/>
    <x v="0"/>
    <x v="0"/>
  </r>
  <r>
    <s v="Description 331"/>
    <s v="Code 331"/>
    <n v="0"/>
    <n v="0"/>
    <n v="0"/>
    <n v="40"/>
    <n v="0"/>
    <n v="0"/>
    <n v="80"/>
    <n v="0"/>
    <n v="80"/>
    <n v="0"/>
    <n v="0"/>
    <x v="157"/>
    <x v="0"/>
    <x v="0"/>
    <x v="0"/>
  </r>
  <r>
    <s v="Description 332"/>
    <s v="Code 332"/>
    <n v="80"/>
    <n v="25"/>
    <n v="25"/>
    <n v="25"/>
    <n v="55"/>
    <n v="25"/>
    <n v="25"/>
    <n v="55"/>
    <n v="25"/>
    <n v="0"/>
    <n v="213"/>
    <x v="158"/>
    <x v="0"/>
    <x v="0"/>
    <x v="0"/>
  </r>
  <r>
    <s v="Description 333"/>
    <s v="Code 333"/>
    <n v="12"/>
    <n v="0"/>
    <n v="10"/>
    <n v="8"/>
    <n v="10"/>
    <n v="6"/>
    <n v="8"/>
    <n v="4"/>
    <n v="4"/>
    <n v="0"/>
    <n v="234"/>
    <x v="159"/>
    <x v="0"/>
    <x v="0"/>
    <x v="0"/>
  </r>
  <r>
    <s v="Description 334"/>
    <s v="Code 334"/>
    <n v="21"/>
    <n v="27"/>
    <n v="36"/>
    <n v="46"/>
    <n v="46"/>
    <n v="43"/>
    <n v="29"/>
    <n v="28"/>
    <n v="24"/>
    <n v="0"/>
    <n v="176"/>
    <x v="103"/>
    <x v="0"/>
    <x v="0"/>
    <x v="0"/>
  </r>
  <r>
    <s v="Description 335"/>
    <s v="Code 335"/>
    <n v="12"/>
    <n v="0"/>
    <n v="10"/>
    <n v="8"/>
    <n v="10"/>
    <n v="6"/>
    <n v="8"/>
    <n v="4"/>
    <n v="4"/>
    <n v="0"/>
    <n v="152"/>
    <x v="59"/>
    <x v="0"/>
    <x v="0"/>
    <x v="0"/>
  </r>
  <r>
    <s v="Description 336"/>
    <s v="Code 336"/>
    <n v="7"/>
    <n v="9"/>
    <n v="12"/>
    <n v="10"/>
    <n v="10"/>
    <n v="9"/>
    <n v="7"/>
    <n v="4"/>
    <n v="4"/>
    <n v="0"/>
    <n v="16"/>
    <x v="160"/>
    <x v="0"/>
    <x v="0"/>
    <x v="0"/>
  </r>
  <r>
    <s v="Description 337"/>
    <s v="Code 337"/>
    <n v="0"/>
    <n v="0"/>
    <n v="0"/>
    <n v="0"/>
    <n v="0"/>
    <n v="0"/>
    <n v="0"/>
    <n v="0"/>
    <n v="0"/>
    <n v="0"/>
    <n v="0"/>
    <x v="161"/>
    <x v="0"/>
    <x v="0"/>
    <x v="0"/>
  </r>
  <r>
    <s v="Description 338"/>
    <s v="Code 338"/>
    <n v="300"/>
    <n v="0"/>
    <n v="450"/>
    <n v="300"/>
    <n v="450"/>
    <n v="300"/>
    <n v="0"/>
    <n v="450"/>
    <n v="300"/>
    <n v="0"/>
    <n v="0"/>
    <x v="14"/>
    <x v="0"/>
    <x v="0"/>
    <x v="0"/>
  </r>
  <r>
    <s v="Description 339"/>
    <s v="Code 339"/>
    <n v="600"/>
    <n v="600"/>
    <n v="600"/>
    <n v="600"/>
    <n v="600"/>
    <n v="600"/>
    <n v="300"/>
    <n v="600"/>
    <n v="300"/>
    <n v="0"/>
    <n v="0"/>
    <x v="127"/>
    <x v="0"/>
    <x v="0"/>
    <x v="0"/>
  </r>
  <r>
    <s v="Description 340"/>
    <s v="Code 340"/>
    <n v="0"/>
    <n v="300"/>
    <n v="0"/>
    <n v="300"/>
    <n v="300"/>
    <n v="0"/>
    <n v="0"/>
    <n v="300"/>
    <n v="0"/>
    <n v="0"/>
    <n v="800"/>
    <x v="162"/>
    <x v="0"/>
    <x v="0"/>
    <x v="0"/>
  </r>
  <r>
    <s v="Description 341"/>
    <s v="Code 341"/>
    <n v="100"/>
    <n v="0"/>
    <n v="0"/>
    <n v="0"/>
    <n v="100"/>
    <n v="0"/>
    <n v="0"/>
    <n v="0"/>
    <n v="0"/>
    <n v="0"/>
    <n v="0"/>
    <x v="133"/>
    <x v="0"/>
    <x v="0"/>
    <x v="0"/>
  </r>
  <r>
    <s v="Description 342"/>
    <s v="Code 342"/>
    <n v="0"/>
    <n v="0"/>
    <n v="0"/>
    <n v="0"/>
    <n v="0"/>
    <n v="0"/>
    <n v="0"/>
    <n v="0"/>
    <n v="0"/>
    <n v="0"/>
    <n v="5"/>
    <x v="149"/>
    <x v="0"/>
    <x v="0"/>
    <x v="0"/>
  </r>
  <r>
    <s v="Description 343"/>
    <s v="Code 343"/>
    <n v="0"/>
    <n v="0"/>
    <n v="0"/>
    <n v="0"/>
    <n v="100"/>
    <n v="0"/>
    <n v="0"/>
    <n v="0"/>
    <n v="0"/>
    <n v="0"/>
    <n v="420"/>
    <x v="115"/>
    <x v="0"/>
    <x v="0"/>
    <x v="0"/>
  </r>
  <r>
    <s v="Description 344"/>
    <s v="Code 344"/>
    <n v="0"/>
    <n v="0"/>
    <n v="0"/>
    <n v="0"/>
    <n v="0"/>
    <n v="0"/>
    <n v="0"/>
    <n v="0"/>
    <n v="0"/>
    <n v="0"/>
    <n v="58"/>
    <x v="28"/>
    <x v="0"/>
    <x v="1"/>
    <x v="0"/>
  </r>
  <r>
    <s v="Description 345"/>
    <s v="Code 345"/>
    <n v="6"/>
    <n v="0"/>
    <n v="5"/>
    <n v="4"/>
    <n v="4"/>
    <n v="3"/>
    <n v="4"/>
    <n v="2"/>
    <n v="2"/>
    <n v="0"/>
    <n v="77"/>
    <x v="123"/>
    <x v="0"/>
    <x v="1"/>
    <x v="0"/>
  </r>
  <r>
    <s v="Description 346"/>
    <s v="Code 346"/>
    <n v="6"/>
    <n v="0"/>
    <n v="5"/>
    <n v="4"/>
    <n v="4"/>
    <n v="3"/>
    <n v="4"/>
    <n v="2"/>
    <n v="2"/>
    <n v="0"/>
    <n v="17"/>
    <x v="63"/>
    <x v="0"/>
    <x v="0"/>
    <x v="0"/>
  </r>
  <r>
    <s v="Description 347"/>
    <s v="Code 347"/>
    <n v="6"/>
    <n v="0"/>
    <n v="5"/>
    <n v="4"/>
    <n v="4"/>
    <n v="3"/>
    <n v="4"/>
    <n v="2"/>
    <n v="2"/>
    <n v="0"/>
    <n v="0"/>
    <x v="163"/>
    <x v="0"/>
    <x v="0"/>
    <x v="0"/>
  </r>
  <r>
    <s v="Description 348"/>
    <s v="Code 348"/>
    <n v="300"/>
    <n v="0"/>
    <n v="450"/>
    <n v="300"/>
    <n v="450"/>
    <n v="300"/>
    <n v="0"/>
    <n v="450"/>
    <n v="300"/>
    <n v="0"/>
    <n v="0"/>
    <x v="74"/>
    <x v="0"/>
    <x v="0"/>
    <x v="0"/>
  </r>
  <r>
    <s v="Description 349"/>
    <s v="Code 349"/>
    <n v="600"/>
    <n v="600"/>
    <n v="600"/>
    <n v="600"/>
    <n v="600"/>
    <n v="600"/>
    <n v="300"/>
    <n v="600"/>
    <n v="300"/>
    <n v="0"/>
    <n v="9"/>
    <x v="28"/>
    <x v="0"/>
    <x v="1"/>
    <x v="0"/>
  </r>
  <r>
    <s v="Description 350"/>
    <s v="Code 350"/>
    <n v="0"/>
    <n v="300"/>
    <n v="0"/>
    <n v="300"/>
    <n v="300"/>
    <n v="0"/>
    <n v="0"/>
    <n v="300"/>
    <n v="0"/>
    <n v="0"/>
    <n v="14"/>
    <x v="156"/>
    <x v="0"/>
    <x v="0"/>
    <x v="0"/>
  </r>
  <r>
    <s v="Description 351"/>
    <s v="Code 351"/>
    <n v="100"/>
    <n v="0"/>
    <n v="0"/>
    <n v="0"/>
    <n v="100"/>
    <n v="0"/>
    <n v="0"/>
    <n v="0"/>
    <n v="0"/>
    <n v="0"/>
    <n v="2950"/>
    <x v="133"/>
    <x v="0"/>
    <x v="0"/>
    <x v="0"/>
  </r>
  <r>
    <s v="Description 352"/>
    <s v="Code 352"/>
    <n v="300"/>
    <n v="0"/>
    <n v="450"/>
    <n v="300"/>
    <n v="450"/>
    <n v="300"/>
    <n v="0"/>
    <n v="450"/>
    <n v="300"/>
    <n v="0"/>
    <n v="900"/>
    <x v="164"/>
    <x v="0"/>
    <x v="0"/>
    <x v="0"/>
  </r>
  <r>
    <s v="Description 353"/>
    <s v="Code 353"/>
    <n v="600"/>
    <n v="600"/>
    <n v="600"/>
    <n v="600"/>
    <n v="600"/>
    <n v="600"/>
    <n v="300"/>
    <n v="600"/>
    <n v="300"/>
    <n v="0"/>
    <n v="606"/>
    <x v="21"/>
    <x v="0"/>
    <x v="0"/>
    <x v="0"/>
  </r>
  <r>
    <s v="Description 354"/>
    <s v="Code 354"/>
    <n v="0"/>
    <n v="300"/>
    <n v="0"/>
    <n v="300"/>
    <n v="300"/>
    <n v="0"/>
    <n v="0"/>
    <n v="300"/>
    <n v="0"/>
    <n v="0"/>
    <n v="0"/>
    <x v="165"/>
    <x v="0"/>
    <x v="0"/>
    <x v="0"/>
  </r>
  <r>
    <s v="Description 355"/>
    <s v="Code 355"/>
    <n v="0"/>
    <n v="0"/>
    <n v="0"/>
    <n v="0"/>
    <n v="150"/>
    <n v="0"/>
    <n v="0"/>
    <n v="300"/>
    <n v="200"/>
    <n v="0"/>
    <n v="1200"/>
    <x v="124"/>
    <x v="0"/>
    <x v="0"/>
    <x v="0"/>
  </r>
  <r>
    <s v="Description 356"/>
    <s v="Code 356"/>
    <n v="300"/>
    <n v="0"/>
    <n v="450"/>
    <n v="300"/>
    <n v="450"/>
    <n v="300"/>
    <n v="0"/>
    <n v="450"/>
    <n v="300"/>
    <n v="0"/>
    <n v="0"/>
    <x v="91"/>
    <x v="0"/>
    <x v="0"/>
    <x v="0"/>
  </r>
  <r>
    <s v="Description 357"/>
    <s v="Code 357"/>
    <n v="600"/>
    <n v="600"/>
    <n v="600"/>
    <n v="600"/>
    <n v="600"/>
    <n v="600"/>
    <n v="300"/>
    <n v="600"/>
    <n v="300"/>
    <n v="0"/>
    <n v="1863"/>
    <x v="135"/>
    <x v="0"/>
    <x v="0"/>
    <x v="0"/>
  </r>
  <r>
    <s v="Description 358"/>
    <s v="Code 358"/>
    <n v="0"/>
    <n v="300"/>
    <n v="0"/>
    <n v="300"/>
    <n v="300"/>
    <n v="0"/>
    <n v="0"/>
    <n v="300"/>
    <n v="0"/>
    <n v="0"/>
    <n v="314"/>
    <x v="159"/>
    <x v="0"/>
    <x v="0"/>
    <x v="0"/>
  </r>
  <r>
    <s v="Description 359"/>
    <s v="Code 359"/>
    <n v="100"/>
    <n v="0"/>
    <n v="0"/>
    <n v="0"/>
    <n v="100"/>
    <n v="0"/>
    <n v="0"/>
    <n v="0"/>
    <n v="0"/>
    <n v="0"/>
    <n v="286"/>
    <x v="92"/>
    <x v="0"/>
    <x v="0"/>
    <x v="0"/>
  </r>
  <r>
    <s v="Description 360"/>
    <s v="Code 360"/>
    <n v="38"/>
    <n v="18"/>
    <n v="44"/>
    <n v="44"/>
    <n v="48"/>
    <n v="38"/>
    <n v="34"/>
    <n v="24"/>
    <n v="22"/>
    <n v="0"/>
    <n v="269"/>
    <x v="29"/>
    <x v="0"/>
    <x v="0"/>
    <x v="0"/>
  </r>
  <r>
    <s v="Description 361"/>
    <s v="Code 361"/>
    <n v="0"/>
    <n v="0"/>
    <n v="0"/>
    <n v="0"/>
    <n v="0"/>
    <n v="0"/>
    <n v="0"/>
    <n v="0"/>
    <n v="0"/>
    <n v="0"/>
    <n v="4"/>
    <x v="20"/>
    <x v="0"/>
    <x v="0"/>
    <x v="0"/>
  </r>
  <r>
    <s v="Description 362"/>
    <s v="Code 362"/>
    <n v="0"/>
    <n v="0"/>
    <n v="0"/>
    <n v="100"/>
    <n v="60"/>
    <n v="70"/>
    <n v="0"/>
    <n v="200"/>
    <n v="0"/>
    <n v="0"/>
    <n v="690"/>
    <x v="95"/>
    <x v="0"/>
    <x v="0"/>
    <x v="0"/>
  </r>
  <r>
    <s v="Description 363"/>
    <s v="Code 363"/>
    <n v="0"/>
    <n v="0"/>
    <n v="0"/>
    <n v="0"/>
    <n v="100"/>
    <n v="50"/>
    <n v="0"/>
    <n v="0"/>
    <n v="0"/>
    <n v="0"/>
    <n v="145"/>
    <x v="132"/>
    <x v="0"/>
    <x v="0"/>
    <x v="0"/>
  </r>
  <r>
    <s v="Description 364"/>
    <s v="Code 364"/>
    <n v="0"/>
    <n v="0"/>
    <n v="0"/>
    <n v="0"/>
    <n v="0"/>
    <n v="0"/>
    <n v="0"/>
    <n v="100"/>
    <n v="0"/>
    <n v="0"/>
    <n v="142"/>
    <x v="90"/>
    <x v="0"/>
    <x v="0"/>
    <x v="0"/>
  </r>
  <r>
    <s v="Description 365"/>
    <s v="Code 365"/>
    <n v="0"/>
    <n v="0"/>
    <n v="0"/>
    <n v="0"/>
    <n v="0"/>
    <n v="0"/>
    <n v="0"/>
    <n v="0"/>
    <n v="0"/>
    <n v="0"/>
    <n v="121"/>
    <x v="111"/>
    <x v="0"/>
    <x v="0"/>
    <x v="0"/>
  </r>
  <r>
    <s v="Description 366"/>
    <s v="Code 366"/>
    <n v="2"/>
    <n v="2"/>
    <n v="2"/>
    <n v="2"/>
    <n v="2"/>
    <n v="3"/>
    <n v="2"/>
    <n v="2"/>
    <n v="2"/>
    <n v="0"/>
    <n v="124"/>
    <x v="144"/>
    <x v="0"/>
    <x v="0"/>
    <x v="0"/>
  </r>
  <r>
    <s v="Description 367"/>
    <s v="Code 367"/>
    <n v="4"/>
    <n v="4"/>
    <n v="4"/>
    <n v="4"/>
    <n v="4"/>
    <n v="6"/>
    <n v="4"/>
    <n v="4"/>
    <n v="4"/>
    <n v="0"/>
    <n v="2824"/>
    <x v="166"/>
    <x v="0"/>
    <x v="0"/>
    <x v="0"/>
  </r>
  <r>
    <s v="Description 368"/>
    <s v="Code 368"/>
    <n v="750"/>
    <n v="750"/>
    <n v="950"/>
    <n v="830"/>
    <n v="750"/>
    <n v="750"/>
    <n v="768"/>
    <n v="820"/>
    <n v="950"/>
    <n v="0"/>
    <n v="4"/>
    <x v="167"/>
    <x v="0"/>
    <x v="0"/>
    <x v="0"/>
  </r>
  <r>
    <s v="Description 369"/>
    <s v="Code 369"/>
    <n v="0"/>
    <n v="0"/>
    <n v="0"/>
    <n v="0"/>
    <n v="0"/>
    <n v="0"/>
    <n v="0"/>
    <n v="0"/>
    <n v="0"/>
    <n v="0"/>
    <n v="75"/>
    <x v="149"/>
    <x v="0"/>
    <x v="0"/>
    <x v="0"/>
  </r>
  <r>
    <s v="Description 370"/>
    <s v="Code 370"/>
    <n v="0"/>
    <n v="0"/>
    <n v="0"/>
    <n v="0"/>
    <n v="0"/>
    <n v="0"/>
    <n v="0"/>
    <n v="0"/>
    <n v="0"/>
    <n v="0"/>
    <n v="0"/>
    <x v="28"/>
    <x v="0"/>
    <x v="1"/>
    <x v="0"/>
  </r>
  <r>
    <s v="Description 371"/>
    <s v="Code 371"/>
    <n v="0"/>
    <n v="0"/>
    <n v="0"/>
    <n v="0"/>
    <n v="0"/>
    <n v="0"/>
    <n v="0"/>
    <n v="0"/>
    <n v="0"/>
    <n v="0"/>
    <n v="67"/>
    <x v="128"/>
    <x v="0"/>
    <x v="0"/>
    <x v="0"/>
  </r>
  <r>
    <s v="Description 372"/>
    <s v="Code 372"/>
    <n v="7"/>
    <n v="9"/>
    <n v="12"/>
    <n v="10"/>
    <n v="10"/>
    <n v="9"/>
    <n v="7"/>
    <n v="4"/>
    <n v="4"/>
    <n v="0"/>
    <n v="434"/>
    <x v="152"/>
    <x v="0"/>
    <x v="0"/>
    <x v="0"/>
  </r>
  <r>
    <s v="Description 373"/>
    <s v="Code 373"/>
    <n v="1"/>
    <n v="0"/>
    <n v="1"/>
    <n v="2"/>
    <n v="2"/>
    <n v="2"/>
    <n v="2"/>
    <n v="0"/>
    <n v="0"/>
    <n v="0"/>
    <n v="76"/>
    <x v="151"/>
    <x v="0"/>
    <x v="0"/>
    <x v="0"/>
  </r>
  <r>
    <s v="Description 374"/>
    <s v="Code 374"/>
    <n v="1"/>
    <n v="0"/>
    <n v="1"/>
    <n v="2"/>
    <n v="2"/>
    <n v="2"/>
    <n v="2"/>
    <n v="0"/>
    <n v="0"/>
    <n v="0"/>
    <n v="65"/>
    <x v="168"/>
    <x v="0"/>
    <x v="0"/>
    <x v="0"/>
  </r>
  <r>
    <s v="Description 375"/>
    <s v="Code 375"/>
    <n v="0"/>
    <n v="9"/>
    <n v="1"/>
    <n v="4"/>
    <n v="4"/>
    <n v="3"/>
    <n v="1"/>
    <n v="0"/>
    <n v="0"/>
    <n v="0"/>
    <n v="27"/>
    <x v="51"/>
    <x v="0"/>
    <x v="0"/>
    <x v="0"/>
  </r>
  <r>
    <s v="Description 376"/>
    <s v="Code 376"/>
    <n v="0"/>
    <n v="0"/>
    <n v="0"/>
    <n v="0"/>
    <n v="0"/>
    <n v="0"/>
    <n v="0"/>
    <n v="0"/>
    <n v="0"/>
    <n v="0"/>
    <n v="42"/>
    <x v="130"/>
    <x v="0"/>
    <x v="1"/>
    <x v="0"/>
  </r>
  <r>
    <s v="Description 377"/>
    <s v="Code 377"/>
    <n v="0"/>
    <n v="0"/>
    <n v="0"/>
    <n v="0"/>
    <n v="0"/>
    <n v="0"/>
    <n v="0"/>
    <n v="0"/>
    <n v="0"/>
    <n v="0"/>
    <n v="158"/>
    <x v="63"/>
    <x v="0"/>
    <x v="0"/>
    <x v="0"/>
  </r>
  <r>
    <s v="Description 378"/>
    <s v="Code 378"/>
    <n v="7"/>
    <n v="9"/>
    <n v="12"/>
    <n v="10"/>
    <n v="10"/>
    <n v="9"/>
    <n v="7"/>
    <n v="4"/>
    <n v="4"/>
    <n v="0"/>
    <n v="565"/>
    <x v="169"/>
    <x v="0"/>
    <x v="0"/>
    <x v="0"/>
  </r>
  <r>
    <s v="Description 379"/>
    <s v="Code 379"/>
    <n v="0"/>
    <n v="0"/>
    <n v="0"/>
    <n v="0"/>
    <n v="0"/>
    <n v="0"/>
    <n v="0"/>
    <n v="0"/>
    <n v="0"/>
    <n v="0"/>
    <n v="49"/>
    <x v="32"/>
    <x v="0"/>
    <x v="0"/>
    <x v="0"/>
  </r>
  <r>
    <s v="Description 380"/>
    <s v="Code 380"/>
    <n v="0"/>
    <n v="9"/>
    <n v="1"/>
    <n v="4"/>
    <n v="4"/>
    <n v="3"/>
    <n v="1"/>
    <n v="0"/>
    <n v="0"/>
    <n v="0"/>
    <n v="80"/>
    <x v="169"/>
    <x v="0"/>
    <x v="0"/>
    <x v="0"/>
  </r>
  <r>
    <s v="Description 381"/>
    <s v="Code 381"/>
    <n v="24"/>
    <n v="0"/>
    <n v="20"/>
    <n v="16"/>
    <n v="20"/>
    <n v="12"/>
    <n v="16"/>
    <n v="8"/>
    <n v="8"/>
    <n v="0"/>
    <n v="249"/>
    <x v="166"/>
    <x v="0"/>
    <x v="0"/>
    <x v="0"/>
  </r>
  <r>
    <s v="Description 382"/>
    <s v="Code 382"/>
    <n v="0"/>
    <n v="0"/>
    <n v="0"/>
    <n v="0"/>
    <n v="25"/>
    <n v="0"/>
    <n v="35"/>
    <n v="0"/>
    <n v="0"/>
    <n v="0"/>
    <n v="685"/>
    <x v="55"/>
    <x v="0"/>
    <x v="0"/>
    <x v="0"/>
  </r>
  <r>
    <s v="Description 383"/>
    <s v="Code 383"/>
    <n v="0"/>
    <n v="0"/>
    <n v="0"/>
    <n v="0"/>
    <n v="0"/>
    <n v="0"/>
    <n v="0"/>
    <n v="100"/>
    <n v="0"/>
    <n v="0"/>
    <n v="781"/>
    <x v="39"/>
    <x v="0"/>
    <x v="0"/>
    <x v="0"/>
  </r>
  <r>
    <s v="Description 384"/>
    <s v="Code 384"/>
    <n v="0"/>
    <n v="400"/>
    <n v="0"/>
    <n v="0"/>
    <n v="50"/>
    <n v="0"/>
    <n v="100"/>
    <n v="0"/>
    <n v="50"/>
    <n v="0"/>
    <n v="27"/>
    <x v="59"/>
    <x v="0"/>
    <x v="0"/>
    <x v="0"/>
  </r>
  <r>
    <s v="Description 385"/>
    <s v="Code 385"/>
    <n v="0"/>
    <n v="0"/>
    <n v="0"/>
    <n v="0"/>
    <n v="0"/>
    <n v="0"/>
    <n v="0"/>
    <n v="0"/>
    <n v="0"/>
    <n v="0"/>
    <n v="134"/>
    <x v="109"/>
    <x v="0"/>
    <x v="0"/>
    <x v="0"/>
  </r>
  <r>
    <s v="Description 386"/>
    <s v="Code 386"/>
    <n v="0"/>
    <n v="0"/>
    <n v="0"/>
    <n v="0"/>
    <n v="100"/>
    <n v="0"/>
    <n v="0"/>
    <n v="0"/>
    <n v="0"/>
    <n v="0"/>
    <n v="10300"/>
    <x v="106"/>
    <x v="0"/>
    <x v="0"/>
    <x v="0"/>
  </r>
  <r>
    <s v="Description 387"/>
    <s v="Code 387"/>
    <n v="5870"/>
    <n v="5450"/>
    <n v="4490"/>
    <n v="5290"/>
    <n v="7490"/>
    <n v="6740"/>
    <n v="4170"/>
    <n v="6740"/>
    <n v="4490"/>
    <n v="0"/>
    <n v="50"/>
    <x v="98"/>
    <x v="0"/>
    <x v="0"/>
    <x v="0"/>
  </r>
  <r>
    <s v="Description 388"/>
    <s v="Code 388"/>
    <n v="0"/>
    <n v="0"/>
    <n v="0"/>
    <n v="0"/>
    <n v="0"/>
    <n v="50"/>
    <n v="0"/>
    <n v="0"/>
    <n v="0"/>
    <n v="0"/>
    <n v="165"/>
    <x v="23"/>
    <x v="0"/>
    <x v="1"/>
    <x v="0"/>
  </r>
  <r>
    <s v="Description 389"/>
    <s v="Code 389"/>
    <n v="0"/>
    <n v="50"/>
    <n v="0"/>
    <n v="0"/>
    <n v="50"/>
    <n v="0"/>
    <n v="0"/>
    <n v="0"/>
    <n v="0"/>
    <n v="0"/>
    <n v="450"/>
    <x v="156"/>
    <x v="0"/>
    <x v="0"/>
    <x v="0"/>
  </r>
  <r>
    <s v="Description 390"/>
    <s v="Code 390"/>
    <n v="0"/>
    <n v="0"/>
    <n v="0"/>
    <n v="0"/>
    <n v="0"/>
    <n v="0"/>
    <n v="0"/>
    <n v="0"/>
    <n v="0"/>
    <n v="0"/>
    <n v="95"/>
    <x v="101"/>
    <x v="0"/>
    <x v="0"/>
    <x v="0"/>
  </r>
  <r>
    <s v="Description 391"/>
    <s v="Code 391"/>
    <n v="2"/>
    <n v="2"/>
    <n v="2"/>
    <n v="2"/>
    <n v="2"/>
    <n v="3"/>
    <n v="2"/>
    <n v="2"/>
    <n v="2"/>
    <n v="0"/>
    <n v="166"/>
    <x v="170"/>
    <x v="0"/>
    <x v="0"/>
    <x v="0"/>
  </r>
  <r>
    <s v="Description 392"/>
    <s v="Code 392"/>
    <n v="2"/>
    <n v="2"/>
    <n v="2"/>
    <n v="2"/>
    <n v="2"/>
    <n v="3"/>
    <n v="2"/>
    <n v="2"/>
    <n v="2"/>
    <n v="0"/>
    <n v="14"/>
    <x v="171"/>
    <x v="0"/>
    <x v="0"/>
    <x v="0"/>
  </r>
  <r>
    <s v="Description 393"/>
    <s v="Code 393"/>
    <n v="0"/>
    <n v="0"/>
    <n v="0"/>
    <n v="0"/>
    <n v="0"/>
    <n v="0"/>
    <n v="1"/>
    <n v="1"/>
    <n v="1"/>
    <n v="0"/>
    <n v="30"/>
    <x v="119"/>
    <x v="0"/>
    <x v="1"/>
    <x v="0"/>
  </r>
  <r>
    <s v="Description 394"/>
    <s v="Code 394"/>
    <n v="0"/>
    <n v="0"/>
    <n v="0"/>
    <n v="0"/>
    <n v="0"/>
    <n v="0"/>
    <n v="1"/>
    <n v="1"/>
    <n v="1"/>
    <n v="0"/>
    <n v="38"/>
    <x v="104"/>
    <x v="0"/>
    <x v="0"/>
    <x v="0"/>
  </r>
  <r>
    <s v="Description 395"/>
    <s v="Code 395"/>
    <n v="0"/>
    <n v="0"/>
    <n v="0"/>
    <n v="0"/>
    <n v="0"/>
    <n v="0"/>
    <n v="1"/>
    <n v="1"/>
    <n v="1"/>
    <n v="0"/>
    <n v="70"/>
    <x v="172"/>
    <x v="0"/>
    <x v="0"/>
    <x v="0"/>
  </r>
  <r>
    <s v="Description 396"/>
    <s v="Code 396"/>
    <n v="0"/>
    <n v="0"/>
    <n v="0"/>
    <n v="0"/>
    <n v="0"/>
    <n v="0"/>
    <n v="1"/>
    <n v="1"/>
    <n v="1"/>
    <n v="0"/>
    <n v="300"/>
    <x v="139"/>
    <x v="0"/>
    <x v="0"/>
    <x v="0"/>
  </r>
  <r>
    <s v="Description 397"/>
    <s v="Code 397"/>
    <n v="0"/>
    <n v="0"/>
    <n v="0"/>
    <n v="0"/>
    <n v="0"/>
    <n v="0"/>
    <n v="4"/>
    <n v="4"/>
    <n v="4"/>
    <n v="0"/>
    <n v="0"/>
    <x v="17"/>
    <x v="0"/>
    <x v="0"/>
    <x v="0"/>
  </r>
  <r>
    <s v="Description 398"/>
    <s v="Code 398"/>
    <n v="0"/>
    <n v="0"/>
    <n v="0"/>
    <n v="0"/>
    <n v="0"/>
    <n v="0"/>
    <n v="4"/>
    <n v="4"/>
    <n v="4"/>
    <n v="0"/>
    <n v="64"/>
    <x v="150"/>
    <x v="0"/>
    <x v="0"/>
    <x v="0"/>
  </r>
  <r>
    <s v="Description 399"/>
    <s v="Code 399"/>
    <n v="2"/>
    <n v="2"/>
    <n v="2"/>
    <n v="2"/>
    <n v="2"/>
    <n v="3"/>
    <n v="2"/>
    <n v="2"/>
    <n v="2"/>
    <n v="0"/>
    <n v="50"/>
    <x v="23"/>
    <x v="0"/>
    <x v="1"/>
    <x v="0"/>
  </r>
  <r>
    <s v="Description 400"/>
    <s v="Code 400"/>
    <n v="2"/>
    <n v="2"/>
    <n v="2"/>
    <n v="2"/>
    <n v="2"/>
    <n v="3"/>
    <n v="2"/>
    <n v="2"/>
    <n v="2"/>
    <n v="0"/>
    <n v="20"/>
    <x v="160"/>
    <x v="0"/>
    <x v="0"/>
    <x v="0"/>
  </r>
  <r>
    <s v="Description 401"/>
    <s v="Code 401"/>
    <n v="0"/>
    <n v="0"/>
    <n v="0"/>
    <n v="0"/>
    <n v="0"/>
    <n v="0"/>
    <n v="4"/>
    <n v="4"/>
    <n v="4"/>
    <n v="0"/>
    <n v="9600"/>
    <x v="65"/>
    <x v="0"/>
    <x v="0"/>
    <x v="0"/>
  </r>
  <r>
    <s v="Description 402"/>
    <s v="Code 402"/>
    <n v="0"/>
    <n v="0"/>
    <n v="0"/>
    <n v="0"/>
    <n v="0"/>
    <n v="0"/>
    <n v="0"/>
    <n v="0"/>
    <n v="0"/>
    <n v="0"/>
    <n v="62"/>
    <x v="115"/>
    <x v="0"/>
    <x v="0"/>
    <x v="0"/>
  </r>
  <r>
    <s v="Description 403"/>
    <s v="Code 403"/>
    <n v="0"/>
    <n v="40"/>
    <n v="0"/>
    <n v="0"/>
    <n v="0"/>
    <n v="0"/>
    <n v="0"/>
    <n v="0"/>
    <n v="0"/>
    <n v="0"/>
    <n v="659"/>
    <x v="38"/>
    <x v="0"/>
    <x v="0"/>
    <x v="0"/>
  </r>
  <r>
    <s v="Description 404"/>
    <s v="Code 404"/>
    <n v="0"/>
    <n v="40"/>
    <n v="0"/>
    <n v="0"/>
    <n v="0"/>
    <n v="0"/>
    <n v="0"/>
    <n v="0"/>
    <n v="0"/>
    <n v="0"/>
    <n v="1010"/>
    <x v="86"/>
    <x v="0"/>
    <x v="0"/>
    <x v="0"/>
  </r>
  <r>
    <s v="Description 405"/>
    <s v="Code 405"/>
    <n v="0"/>
    <n v="0"/>
    <n v="25"/>
    <n v="0"/>
    <n v="25"/>
    <n v="25"/>
    <n v="70"/>
    <n v="0"/>
    <n v="0"/>
    <n v="0"/>
    <n v="21"/>
    <x v="121"/>
    <x v="0"/>
    <x v="0"/>
    <x v="0"/>
  </r>
  <r>
    <s v="Description 406"/>
    <s v="Code 406"/>
    <n v="0"/>
    <n v="0"/>
    <n v="0"/>
    <n v="0"/>
    <n v="0"/>
    <n v="0"/>
    <n v="0"/>
    <n v="0"/>
    <n v="0"/>
    <n v="0"/>
    <n v="44"/>
    <x v="157"/>
    <x v="0"/>
    <x v="0"/>
    <x v="0"/>
  </r>
  <r>
    <s v="Description 407"/>
    <s v="Code 407"/>
    <n v="0"/>
    <n v="0"/>
    <n v="0"/>
    <n v="4"/>
    <n v="4"/>
    <n v="4"/>
    <n v="0"/>
    <n v="4"/>
    <n v="4"/>
    <n v="0"/>
    <n v="65"/>
    <x v="65"/>
    <x v="0"/>
    <x v="0"/>
    <x v="0"/>
  </r>
  <r>
    <s v="Description 408"/>
    <s v="Code 408"/>
    <n v="0"/>
    <n v="0"/>
    <n v="0"/>
    <n v="4"/>
    <n v="4"/>
    <n v="4"/>
    <n v="0"/>
    <n v="4"/>
    <n v="4"/>
    <n v="0"/>
    <n v="2"/>
    <x v="156"/>
    <x v="0"/>
    <x v="0"/>
    <x v="0"/>
  </r>
  <r>
    <s v="Description 409"/>
    <s v="Code 409"/>
    <n v="0"/>
    <n v="0"/>
    <n v="2"/>
    <n v="0"/>
    <n v="0"/>
    <n v="0"/>
    <n v="0"/>
    <n v="0"/>
    <n v="0"/>
    <n v="0"/>
    <n v="4"/>
    <x v="173"/>
    <x v="0"/>
    <x v="0"/>
    <x v="0"/>
  </r>
  <r>
    <s v="Description 410"/>
    <s v="Code 410"/>
    <n v="0"/>
    <n v="0"/>
    <n v="1"/>
    <n v="0"/>
    <n v="0"/>
    <n v="0"/>
    <n v="0"/>
    <n v="0"/>
    <n v="0"/>
    <n v="0"/>
    <n v="0"/>
    <x v="26"/>
    <x v="0"/>
    <x v="1"/>
    <x v="0"/>
  </r>
  <r>
    <s v="Description 411"/>
    <s v="Code 411"/>
    <n v="0"/>
    <n v="0"/>
    <n v="0"/>
    <n v="0"/>
    <n v="0"/>
    <n v="0"/>
    <n v="0"/>
    <n v="0"/>
    <n v="0"/>
    <n v="0"/>
    <n v="0"/>
    <x v="74"/>
    <x v="0"/>
    <x v="0"/>
    <x v="0"/>
  </r>
  <r>
    <s v="Description 412"/>
    <s v="Code 412"/>
    <n v="0"/>
    <n v="0"/>
    <n v="0"/>
    <n v="0"/>
    <n v="0"/>
    <n v="0"/>
    <n v="0"/>
    <n v="0"/>
    <n v="0"/>
    <n v="0"/>
    <n v="4"/>
    <x v="174"/>
    <x v="0"/>
    <x v="0"/>
    <x v="0"/>
  </r>
  <r>
    <s v="Description 413"/>
    <s v="Code 413"/>
    <n v="0"/>
    <n v="0"/>
    <n v="0"/>
    <n v="2"/>
    <n v="0"/>
    <n v="0"/>
    <n v="0"/>
    <n v="0"/>
    <n v="0"/>
    <n v="0"/>
    <n v="1"/>
    <x v="140"/>
    <x v="0"/>
    <x v="0"/>
    <x v="0"/>
  </r>
  <r>
    <s v="Description 414"/>
    <s v="Code 414"/>
    <n v="0"/>
    <n v="0"/>
    <n v="0"/>
    <n v="0"/>
    <n v="0"/>
    <n v="0"/>
    <n v="0"/>
    <n v="0"/>
    <n v="0"/>
    <n v="0"/>
    <n v="5"/>
    <x v="85"/>
    <x v="0"/>
    <x v="1"/>
    <x v="0"/>
  </r>
  <r>
    <s v="Description 415"/>
    <s v="Code 415"/>
    <n v="0"/>
    <n v="0"/>
    <n v="0"/>
    <n v="0"/>
    <n v="0"/>
    <n v="0"/>
    <n v="0"/>
    <n v="0"/>
    <n v="0"/>
    <n v="0"/>
    <n v="3"/>
    <x v="134"/>
    <x v="0"/>
    <x v="0"/>
    <x v="0"/>
  </r>
  <r>
    <s v="Description 416"/>
    <s v="Code 416"/>
    <n v="0"/>
    <n v="0"/>
    <n v="0"/>
    <n v="0"/>
    <n v="0"/>
    <n v="0"/>
    <n v="0"/>
    <n v="0"/>
    <n v="0"/>
    <n v="0"/>
    <n v="0"/>
    <x v="126"/>
    <x v="0"/>
    <x v="0"/>
    <x v="0"/>
  </r>
  <r>
    <s v="Description 417"/>
    <s v="Code 417"/>
    <n v="0"/>
    <n v="0"/>
    <n v="0"/>
    <n v="0"/>
    <n v="0"/>
    <n v="0"/>
    <n v="0"/>
    <n v="0"/>
    <n v="0"/>
    <n v="0"/>
    <n v="306"/>
    <x v="28"/>
    <x v="0"/>
    <x v="1"/>
    <x v="0"/>
  </r>
  <r>
    <s v="Description 418"/>
    <s v="Code 418"/>
    <n v="0"/>
    <n v="0"/>
    <n v="0"/>
    <n v="0"/>
    <n v="0"/>
    <n v="0"/>
    <n v="0"/>
    <n v="0"/>
    <n v="0"/>
    <n v="0"/>
    <n v="1480"/>
    <x v="131"/>
    <x v="0"/>
    <x v="0"/>
    <x v="0"/>
  </r>
  <r>
    <s v="Description 419"/>
    <s v="Code 419"/>
    <n v="0"/>
    <n v="0"/>
    <n v="0"/>
    <n v="0"/>
    <n v="0"/>
    <n v="0"/>
    <n v="0"/>
    <n v="0"/>
    <n v="0"/>
    <n v="0"/>
    <n v="389"/>
    <x v="11"/>
    <x v="0"/>
    <x v="0"/>
    <x v="0"/>
  </r>
  <r>
    <s v="Description 420"/>
    <s v="Code 420"/>
    <n v="0"/>
    <n v="0"/>
    <n v="0"/>
    <n v="0"/>
    <n v="0"/>
    <n v="0"/>
    <n v="0"/>
    <n v="0"/>
    <n v="0"/>
    <n v="0"/>
    <n v="0"/>
    <x v="175"/>
    <x v="0"/>
    <x v="0"/>
    <x v="0"/>
  </r>
  <r>
    <s v="Description 421"/>
    <s v="Code 421"/>
    <n v="0"/>
    <n v="0"/>
    <n v="0"/>
    <n v="0"/>
    <n v="0"/>
    <n v="0"/>
    <n v="0"/>
    <n v="0"/>
    <n v="0"/>
    <n v="0"/>
    <n v="0"/>
    <x v="64"/>
    <x v="0"/>
    <x v="0"/>
    <x v="0"/>
  </r>
  <r>
    <s v="Description 422"/>
    <s v="Code 422"/>
    <n v="0"/>
    <n v="0"/>
    <n v="0"/>
    <n v="0"/>
    <n v="0"/>
    <n v="0"/>
    <n v="0"/>
    <n v="0"/>
    <n v="0"/>
    <n v="0"/>
    <n v="0"/>
    <x v="67"/>
    <x v="0"/>
    <x v="0"/>
    <x v="0"/>
  </r>
  <r>
    <s v="Description 423"/>
    <s v="Code 423"/>
    <n v="0"/>
    <n v="0"/>
    <n v="0"/>
    <n v="0"/>
    <n v="0"/>
    <n v="0"/>
    <n v="0"/>
    <n v="0"/>
    <n v="0"/>
    <n v="0"/>
    <n v="1"/>
    <x v="58"/>
    <x v="0"/>
    <x v="0"/>
    <x v="0"/>
  </r>
  <r>
    <s v="Description 424"/>
    <s v="Code 424"/>
    <n v="0"/>
    <n v="0"/>
    <n v="0"/>
    <n v="0"/>
    <n v="0"/>
    <n v="0"/>
    <n v="0"/>
    <n v="0"/>
    <n v="0"/>
    <n v="0"/>
    <n v="17"/>
    <x v="10"/>
    <x v="0"/>
    <x v="0"/>
    <x v="0"/>
  </r>
  <r>
    <s v="Description 425"/>
    <s v="Code 425"/>
    <n v="0"/>
    <n v="0"/>
    <n v="1"/>
    <n v="0"/>
    <n v="2"/>
    <n v="0"/>
    <n v="0"/>
    <n v="0"/>
    <n v="0"/>
    <n v="0"/>
    <n v="5"/>
    <x v="123"/>
    <x v="0"/>
    <x v="1"/>
    <x v="0"/>
  </r>
  <r>
    <s v="Description 426"/>
    <s v="Code 426"/>
    <n v="0"/>
    <n v="0"/>
    <n v="1"/>
    <n v="2"/>
    <n v="0"/>
    <n v="0"/>
    <n v="2"/>
    <n v="5"/>
    <n v="0"/>
    <n v="0"/>
    <n v="10"/>
    <x v="54"/>
    <x v="0"/>
    <x v="0"/>
    <x v="0"/>
  </r>
  <r>
    <s v="Description 427"/>
    <s v="Code 427"/>
    <n v="0"/>
    <n v="0"/>
    <n v="0"/>
    <n v="0"/>
    <n v="0"/>
    <n v="0"/>
    <n v="0"/>
    <n v="0"/>
    <n v="0"/>
    <n v="0"/>
    <n v="3"/>
    <x v="49"/>
    <x v="0"/>
    <x v="0"/>
    <x v="0"/>
  </r>
  <r>
    <s v="Description 428"/>
    <s v="Code 428"/>
    <n v="1"/>
    <n v="0"/>
    <n v="0"/>
    <n v="0"/>
    <n v="1"/>
    <n v="0"/>
    <n v="0"/>
    <n v="0"/>
    <n v="0"/>
    <n v="0"/>
    <n v="0"/>
    <x v="148"/>
    <x v="0"/>
    <x v="0"/>
    <x v="0"/>
  </r>
  <r>
    <s v="Description 429"/>
    <s v="Code 429"/>
    <n v="0"/>
    <n v="0"/>
    <n v="0"/>
    <n v="0"/>
    <n v="0"/>
    <n v="0"/>
    <n v="0"/>
    <n v="0"/>
    <n v="0"/>
    <n v="0"/>
    <n v="1"/>
    <x v="176"/>
    <x v="0"/>
    <x v="0"/>
    <x v="0"/>
  </r>
  <r>
    <s v="Description 430"/>
    <s v="Code 430"/>
    <n v="0"/>
    <n v="0"/>
    <n v="2"/>
    <n v="0"/>
    <n v="0"/>
    <n v="0"/>
    <n v="0"/>
    <n v="0"/>
    <n v="0"/>
    <n v="0"/>
    <n v="2"/>
    <x v="138"/>
    <x v="0"/>
    <x v="0"/>
    <x v="0"/>
  </r>
  <r>
    <s v="Description 431"/>
    <s v="Code 431"/>
    <n v="0"/>
    <n v="0"/>
    <n v="0"/>
    <n v="0"/>
    <n v="0"/>
    <n v="0"/>
    <n v="0"/>
    <n v="0"/>
    <n v="0"/>
    <n v="0"/>
    <n v="0"/>
    <x v="127"/>
    <x v="0"/>
    <x v="0"/>
    <x v="0"/>
  </r>
  <r>
    <s v="Description 432"/>
    <s v="Code 432"/>
    <n v="0"/>
    <n v="0"/>
    <n v="1"/>
    <n v="0"/>
    <n v="0"/>
    <n v="0"/>
    <n v="0"/>
    <n v="0"/>
    <n v="0"/>
    <n v="0"/>
    <n v="0"/>
    <x v="36"/>
    <x v="0"/>
    <x v="0"/>
    <x v="0"/>
  </r>
  <r>
    <s v="Description 433"/>
    <s v="Code 433"/>
    <n v="0"/>
    <n v="0"/>
    <n v="0"/>
    <n v="0"/>
    <n v="0"/>
    <n v="0"/>
    <n v="0"/>
    <n v="0"/>
    <n v="0"/>
    <n v="0"/>
    <n v="0"/>
    <x v="22"/>
    <x v="0"/>
    <x v="0"/>
    <x v="0"/>
  </r>
  <r>
    <s v="Description 434"/>
    <s v="Code 434"/>
    <n v="0"/>
    <n v="0"/>
    <n v="0"/>
    <n v="0"/>
    <n v="0"/>
    <n v="0"/>
    <n v="0"/>
    <n v="0"/>
    <n v="0"/>
    <n v="0"/>
    <n v="0"/>
    <x v="98"/>
    <x v="0"/>
    <x v="0"/>
    <x v="0"/>
  </r>
  <r>
    <s v="Description 435"/>
    <s v="Code 435"/>
    <n v="0"/>
    <n v="0"/>
    <n v="0"/>
    <n v="0"/>
    <n v="0"/>
    <n v="0"/>
    <n v="0"/>
    <n v="0"/>
    <n v="0"/>
    <n v="0"/>
    <n v="0"/>
    <x v="22"/>
    <x v="0"/>
    <x v="0"/>
    <x v="0"/>
  </r>
  <r>
    <s v="Description 436"/>
    <s v="Code 436"/>
    <n v="1404"/>
    <n v="1188"/>
    <n v="1404"/>
    <n v="1404"/>
    <n v="1404"/>
    <n v="1404"/>
    <n v="1080"/>
    <n v="1512"/>
    <n v="1404"/>
    <n v="0"/>
    <n v="0"/>
    <x v="129"/>
    <x v="0"/>
    <x v="1"/>
    <x v="0"/>
  </r>
  <r>
    <s v="Description 437"/>
    <s v="Code 437"/>
    <n v="2808"/>
    <n v="2376"/>
    <n v="2808"/>
    <n v="2808"/>
    <n v="2808"/>
    <n v="2808"/>
    <n v="2160"/>
    <n v="3024"/>
    <n v="2808"/>
    <n v="0"/>
    <n v="0"/>
    <x v="149"/>
    <x v="0"/>
    <x v="0"/>
    <x v="0"/>
  </r>
  <r>
    <s v="Description 438"/>
    <s v="Code 438"/>
    <n v="2808"/>
    <n v="2436"/>
    <n v="2808"/>
    <n v="2808"/>
    <n v="2808"/>
    <n v="2808"/>
    <n v="2160"/>
    <n v="3024"/>
    <n v="2828"/>
    <n v="0"/>
    <n v="1250"/>
    <x v="86"/>
    <x v="0"/>
    <x v="0"/>
    <x v="0"/>
  </r>
  <r>
    <s v="Description 439"/>
    <s v="Code 439"/>
    <n v="328"/>
    <n v="400"/>
    <n v="656"/>
    <n v="656"/>
    <n v="1044"/>
    <n v="656"/>
    <n v="164"/>
    <n v="0"/>
    <n v="328"/>
    <n v="0"/>
    <n v="164"/>
    <x v="175"/>
    <x v="0"/>
    <x v="0"/>
    <x v="0"/>
  </r>
  <r>
    <s v="Description 440"/>
    <s v="Code 440"/>
    <n v="3"/>
    <n v="4"/>
    <n v="5"/>
    <n v="7"/>
    <n v="3"/>
    <n v="3"/>
    <n v="0"/>
    <n v="1"/>
    <n v="0"/>
    <n v="0"/>
    <n v="21"/>
    <x v="122"/>
    <x v="0"/>
    <x v="0"/>
    <x v="0"/>
  </r>
  <r>
    <s v="Description 441"/>
    <s v="Code 441"/>
    <n v="3"/>
    <n v="4"/>
    <n v="5"/>
    <n v="7"/>
    <n v="3"/>
    <n v="3"/>
    <n v="0"/>
    <n v="1"/>
    <n v="0"/>
    <n v="0"/>
    <n v="35"/>
    <x v="98"/>
    <x v="0"/>
    <x v="0"/>
    <x v="0"/>
  </r>
  <r>
    <s v="Description 442"/>
    <s v="Code 442"/>
    <n v="3"/>
    <n v="4"/>
    <n v="5"/>
    <n v="7"/>
    <n v="3"/>
    <n v="3"/>
    <n v="0"/>
    <n v="1"/>
    <n v="0"/>
    <n v="0"/>
    <n v="9"/>
    <x v="92"/>
    <x v="0"/>
    <x v="0"/>
    <x v="0"/>
  </r>
  <r>
    <s v="Description 443"/>
    <s v="Code 443"/>
    <n v="3"/>
    <n v="4"/>
    <n v="5"/>
    <n v="7"/>
    <n v="3"/>
    <n v="3"/>
    <n v="0"/>
    <n v="1"/>
    <n v="0"/>
    <n v="0"/>
    <n v="3600"/>
    <x v="67"/>
    <x v="0"/>
    <x v="0"/>
    <x v="0"/>
  </r>
  <r>
    <s v="Description 444"/>
    <s v="Code 444"/>
    <n v="2368"/>
    <n v="3040"/>
    <n v="3184"/>
    <n v="2624"/>
    <n v="2976"/>
    <n v="2288"/>
    <n v="656"/>
    <n v="1312"/>
    <n v="2448"/>
    <n v="0"/>
    <n v="1200"/>
    <x v="14"/>
    <x v="0"/>
    <x v="0"/>
    <x v="0"/>
  </r>
  <r>
    <s v="Description 445"/>
    <s v="Code 445"/>
    <n v="1992"/>
    <n v="250"/>
    <n v="1312"/>
    <n v="2296"/>
    <n v="2112"/>
    <n v="2358"/>
    <n v="776"/>
    <n v="656"/>
    <n v="328"/>
    <n v="0"/>
    <n v="24220"/>
    <x v="45"/>
    <x v="0"/>
    <x v="0"/>
    <x v="0"/>
  </r>
  <r>
    <s v="Description 446"/>
    <s v="Code 446"/>
    <n v="4212"/>
    <n v="3564"/>
    <n v="4212"/>
    <n v="4212"/>
    <n v="4212"/>
    <n v="4212"/>
    <n v="3240"/>
    <n v="4536"/>
    <n v="4212"/>
    <n v="0"/>
    <n v="8475"/>
    <x v="117"/>
    <x v="0"/>
    <x v="0"/>
    <x v="0"/>
  </r>
  <r>
    <s v="Description 447"/>
    <s v="Code 447"/>
    <n v="1404"/>
    <n v="1188"/>
    <n v="1404"/>
    <n v="1404"/>
    <n v="1404"/>
    <n v="1404"/>
    <n v="1080"/>
    <n v="1512"/>
    <n v="1404"/>
    <n v="0"/>
    <n v="1800"/>
    <x v="122"/>
    <x v="0"/>
    <x v="0"/>
    <x v="0"/>
  </r>
  <r>
    <s v="Description 448"/>
    <s v="Code 448"/>
    <n v="1404"/>
    <n v="1218"/>
    <n v="1404"/>
    <n v="1404"/>
    <n v="1404"/>
    <n v="1404"/>
    <n v="1080"/>
    <n v="1512"/>
    <n v="1414"/>
    <n v="0"/>
    <n v="13125"/>
    <x v="68"/>
    <x v="0"/>
    <x v="0"/>
    <x v="0"/>
  </r>
  <r>
    <s v="Description 449"/>
    <s v="Code 449"/>
    <n v="1404"/>
    <n v="1218"/>
    <n v="1404"/>
    <n v="1404"/>
    <n v="1404"/>
    <n v="1404"/>
    <n v="1080"/>
    <n v="1512"/>
    <n v="1414"/>
    <n v="0"/>
    <n v="0"/>
    <x v="105"/>
    <x v="0"/>
    <x v="1"/>
    <x v="0"/>
  </r>
  <r>
    <s v="Description 450"/>
    <s v="Code 450"/>
    <n v="1404"/>
    <n v="1218"/>
    <n v="1404"/>
    <n v="1404"/>
    <n v="1404"/>
    <n v="1404"/>
    <n v="1080"/>
    <n v="1512"/>
    <n v="1414"/>
    <n v="0"/>
    <n v="0"/>
    <x v="67"/>
    <x v="0"/>
    <x v="0"/>
    <x v="0"/>
  </r>
  <r>
    <s v="Description 451"/>
    <s v="Code 451"/>
    <n v="1404"/>
    <n v="1188"/>
    <n v="1404"/>
    <n v="1404"/>
    <n v="1404"/>
    <n v="1404"/>
    <n v="1080"/>
    <n v="1512"/>
    <n v="1404"/>
    <n v="0"/>
    <n v="2600"/>
    <x v="52"/>
    <x v="0"/>
    <x v="0"/>
    <x v="0"/>
  </r>
  <r>
    <s v="Description 452"/>
    <s v="Code 452"/>
    <n v="1404"/>
    <n v="1218"/>
    <n v="1404"/>
    <n v="1404"/>
    <n v="1404"/>
    <n v="1404"/>
    <n v="1080"/>
    <n v="1512"/>
    <n v="1414"/>
    <n v="0"/>
    <n v="5000"/>
    <x v="172"/>
    <x v="0"/>
    <x v="0"/>
    <x v="0"/>
  </r>
  <r>
    <s v="Description 453"/>
    <s v="Code 453"/>
    <n v="2368"/>
    <n v="3040"/>
    <n v="3184"/>
    <n v="2624"/>
    <n v="2976"/>
    <n v="2288"/>
    <n v="656"/>
    <n v="1312"/>
    <n v="2448"/>
    <n v="0"/>
    <n v="378"/>
    <x v="41"/>
    <x v="0"/>
    <x v="0"/>
    <x v="0"/>
  </r>
  <r>
    <s v="Description 454"/>
    <s v="Code 454"/>
    <n v="1404"/>
    <n v="1218"/>
    <n v="1404"/>
    <n v="1404"/>
    <n v="1404"/>
    <n v="1404"/>
    <n v="1080"/>
    <n v="1512"/>
    <n v="1414"/>
    <n v="0"/>
    <n v="9125"/>
    <x v="177"/>
    <x v="0"/>
    <x v="0"/>
    <x v="0"/>
  </r>
  <r>
    <s v="Description 455"/>
    <s v="Code 455"/>
    <n v="1404"/>
    <n v="1218"/>
    <n v="1404"/>
    <n v="1404"/>
    <n v="1404"/>
    <n v="1404"/>
    <n v="1080"/>
    <n v="1512"/>
    <n v="1414"/>
    <n v="0"/>
    <n v="535"/>
    <x v="76"/>
    <x v="0"/>
    <x v="1"/>
    <x v="0"/>
  </r>
  <r>
    <s v="Description 456"/>
    <s v="Code 456"/>
    <n v="1580"/>
    <n v="1400"/>
    <n v="1300"/>
    <n v="1400"/>
    <n v="1488"/>
    <n v="1144"/>
    <n v="328"/>
    <n v="656"/>
    <n v="1224"/>
    <n v="0"/>
    <n v="540"/>
    <x v="61"/>
    <x v="0"/>
    <x v="0"/>
    <x v="0"/>
  </r>
  <r>
    <s v="Description 457"/>
    <s v="Code 457"/>
    <n v="600"/>
    <n v="0"/>
    <n v="800"/>
    <n v="1228"/>
    <n v="1100"/>
    <n v="1223"/>
    <n v="624"/>
    <n v="328"/>
    <n v="164"/>
    <n v="0"/>
    <n v="595"/>
    <x v="133"/>
    <x v="0"/>
    <x v="0"/>
    <x v="0"/>
  </r>
  <r>
    <s v="Description 458"/>
    <s v="Code 458"/>
    <n v="1580"/>
    <n v="1400"/>
    <n v="1300"/>
    <n v="1400"/>
    <n v="1488"/>
    <n v="1144"/>
    <n v="328"/>
    <n v="656"/>
    <n v="1224"/>
    <n v="0"/>
    <n v="540"/>
    <x v="67"/>
    <x v="0"/>
    <x v="0"/>
    <x v="0"/>
  </r>
  <r>
    <s v="Description 459"/>
    <s v="Code 459"/>
    <n v="600"/>
    <n v="0"/>
    <n v="800"/>
    <n v="1228"/>
    <n v="1100"/>
    <n v="1223"/>
    <n v="624"/>
    <n v="328"/>
    <n v="164"/>
    <n v="0"/>
    <n v="0"/>
    <x v="92"/>
    <x v="0"/>
    <x v="0"/>
    <x v="0"/>
  </r>
  <r>
    <s v="Description 460"/>
    <s v="Code 460"/>
    <n v="1404"/>
    <n v="1218"/>
    <n v="1404"/>
    <n v="1404"/>
    <n v="1404"/>
    <n v="1404"/>
    <n v="1080"/>
    <n v="1512"/>
    <n v="1414"/>
    <n v="0"/>
    <n v="680"/>
    <x v="178"/>
    <x v="0"/>
    <x v="0"/>
    <x v="0"/>
  </r>
  <r>
    <s v="Description 461"/>
    <s v="Code 461"/>
    <n v="648"/>
    <n v="756"/>
    <n v="756"/>
    <n v="648"/>
    <n v="756"/>
    <n v="864"/>
    <n v="540"/>
    <n v="864"/>
    <n v="756"/>
    <n v="0"/>
    <n v="160"/>
    <x v="65"/>
    <x v="0"/>
    <x v="0"/>
    <x v="0"/>
  </r>
  <r>
    <s v="Description 462"/>
    <s v="Code 462"/>
    <n v="756"/>
    <n v="432"/>
    <n v="648"/>
    <n v="756"/>
    <n v="648"/>
    <n v="540"/>
    <n v="540"/>
    <n v="648"/>
    <n v="648"/>
    <n v="0"/>
    <n v="5700"/>
    <x v="21"/>
    <x v="0"/>
    <x v="0"/>
    <x v="0"/>
  </r>
  <r>
    <s v="Description 463"/>
    <s v="Code 463"/>
    <n v="2808"/>
    <n v="2736"/>
    <n v="2808"/>
    <n v="2808"/>
    <n v="2808"/>
    <n v="2808"/>
    <n v="2160"/>
    <n v="3024"/>
    <n v="2828"/>
    <n v="0"/>
    <n v="0"/>
    <x v="179"/>
    <x v="0"/>
    <x v="0"/>
    <x v="0"/>
  </r>
  <r>
    <s v="Description 464"/>
    <s v="Code 464"/>
    <n v="1404"/>
    <n v="1188"/>
    <n v="1404"/>
    <n v="1404"/>
    <n v="1404"/>
    <n v="1404"/>
    <n v="1080"/>
    <n v="1512"/>
    <n v="1404"/>
    <n v="0"/>
    <n v="6615"/>
    <x v="78"/>
    <x v="0"/>
    <x v="0"/>
    <x v="0"/>
  </r>
  <r>
    <s v="Description 465"/>
    <s v="Code 465"/>
    <n v="1184"/>
    <n v="1520"/>
    <n v="1592"/>
    <n v="1312"/>
    <n v="1488"/>
    <n v="1144"/>
    <n v="328"/>
    <n v="656"/>
    <n v="1224"/>
    <n v="0"/>
    <n v="630"/>
    <x v="43"/>
    <x v="0"/>
    <x v="0"/>
    <x v="0"/>
  </r>
  <r>
    <s v="Description 466"/>
    <s v="Code 466"/>
    <n v="996"/>
    <n v="125"/>
    <n v="656"/>
    <n v="1148"/>
    <n v="1056"/>
    <n v="1179"/>
    <n v="388"/>
    <n v="328"/>
    <n v="164"/>
    <n v="0"/>
    <n v="5200"/>
    <x v="180"/>
    <x v="0"/>
    <x v="0"/>
    <x v="0"/>
  </r>
  <r>
    <s v="Description 467"/>
    <s v="Code 467"/>
    <n v="1404"/>
    <n v="1218"/>
    <n v="1404"/>
    <n v="1404"/>
    <n v="1404"/>
    <n v="1404"/>
    <n v="1080"/>
    <n v="1512"/>
    <n v="1414"/>
    <n v="0"/>
    <n v="0"/>
    <x v="61"/>
    <x v="0"/>
    <x v="0"/>
    <x v="0"/>
  </r>
  <r>
    <s v="Description 468"/>
    <s v="Code 468"/>
    <n v="0"/>
    <n v="0"/>
    <n v="0"/>
    <n v="0"/>
    <n v="0"/>
    <n v="0"/>
    <n v="0"/>
    <n v="0"/>
    <n v="0"/>
    <n v="0"/>
    <n v="800"/>
    <x v="75"/>
    <x v="0"/>
    <x v="0"/>
    <x v="0"/>
  </r>
  <r>
    <s v="Description 469"/>
    <s v="Code 469"/>
    <n v="108"/>
    <n v="432"/>
    <n v="216"/>
    <n v="108"/>
    <n v="216"/>
    <n v="432"/>
    <n v="216"/>
    <n v="216"/>
    <n v="334"/>
    <n v="0"/>
    <n v="4400"/>
    <x v="131"/>
    <x v="0"/>
    <x v="0"/>
    <x v="0"/>
  </r>
  <r>
    <s v="Description 470"/>
    <s v="Code 470"/>
    <n v="1296"/>
    <n v="786"/>
    <n v="1188"/>
    <n v="1296"/>
    <n v="1188"/>
    <n v="972"/>
    <n v="864"/>
    <n v="1296"/>
    <n v="1080"/>
    <n v="0"/>
    <n v="904"/>
    <x v="173"/>
    <x v="0"/>
    <x v="0"/>
    <x v="0"/>
  </r>
  <r>
    <s v="Description 471"/>
    <s v="Code 471"/>
    <n v="1426"/>
    <n v="1254.0999999999999"/>
    <n v="1431"/>
    <n v="1431"/>
    <n v="1437"/>
    <n v="1432"/>
    <n v="1108"/>
    <n v="1527"/>
    <n v="1434"/>
    <n v="0"/>
    <n v="1880"/>
    <x v="125"/>
    <x v="0"/>
    <x v="0"/>
    <x v="0"/>
  </r>
  <r>
    <s v="Description 472"/>
    <s v="Code 472"/>
    <n v="1444"/>
    <n v="1256"/>
    <n v="1503"/>
    <n v="1468"/>
    <n v="1469"/>
    <n v="1461"/>
    <n v="1111"/>
    <n v="1573"/>
    <n v="1475"/>
    <n v="0"/>
    <n v="795"/>
    <x v="132"/>
    <x v="0"/>
    <x v="0"/>
    <x v="0"/>
  </r>
  <r>
    <s v="Description 473"/>
    <s v="Code 473"/>
    <n v="1404"/>
    <n v="1188"/>
    <n v="1804"/>
    <n v="1404"/>
    <n v="2204"/>
    <n v="2204"/>
    <n v="1080"/>
    <n v="1512"/>
    <n v="1404"/>
    <n v="0"/>
    <n v="2500"/>
    <x v="136"/>
    <x v="0"/>
    <x v="1"/>
    <x v="0"/>
  </r>
  <r>
    <s v="Description 474"/>
    <s v="Code 474"/>
    <n v="1404"/>
    <n v="1218"/>
    <n v="1404"/>
    <n v="1404"/>
    <n v="1404"/>
    <n v="1404"/>
    <n v="1080"/>
    <n v="1512"/>
    <n v="1414"/>
    <n v="0"/>
    <n v="0"/>
    <x v="64"/>
    <x v="0"/>
    <x v="0"/>
    <x v="0"/>
  </r>
  <r>
    <s v="Description 475"/>
    <s v="Code 475"/>
    <n v="0"/>
    <n v="280"/>
    <n v="0"/>
    <n v="0"/>
    <n v="358"/>
    <n v="0"/>
    <n v="0"/>
    <n v="0"/>
    <n v="328"/>
    <n v="0"/>
    <n v="336"/>
    <x v="181"/>
    <x v="0"/>
    <x v="0"/>
    <x v="0"/>
  </r>
  <r>
    <s v="Description 476"/>
    <s v="Code 476"/>
    <n v="0"/>
    <n v="0"/>
    <n v="0"/>
    <n v="0"/>
    <n v="0"/>
    <n v="0"/>
    <n v="0"/>
    <n v="0"/>
    <n v="0"/>
    <n v="0"/>
    <n v="0"/>
    <x v="181"/>
    <x v="0"/>
    <x v="0"/>
    <x v="0"/>
  </r>
  <r>
    <s v="Description 477"/>
    <s v="Code 477"/>
    <n v="328"/>
    <n v="120"/>
    <n v="656"/>
    <n v="656"/>
    <n v="686"/>
    <n v="656"/>
    <n v="164"/>
    <n v="0"/>
    <n v="0"/>
    <n v="0"/>
    <n v="120"/>
    <x v="141"/>
    <x v="0"/>
    <x v="0"/>
    <x v="0"/>
  </r>
  <r>
    <s v="Description 478"/>
    <s v="Code 478"/>
    <n v="0"/>
    <n v="0"/>
    <n v="0"/>
    <n v="0"/>
    <n v="0"/>
    <n v="0"/>
    <n v="0"/>
    <n v="0"/>
    <n v="0"/>
    <n v="0"/>
    <n v="0"/>
    <x v="109"/>
    <x v="0"/>
    <x v="0"/>
    <x v="0"/>
  </r>
  <r>
    <s v="Description 479"/>
    <s v="Code 479"/>
    <n v="0"/>
    <n v="360"/>
    <n v="0"/>
    <n v="0"/>
    <n v="240"/>
    <n v="120"/>
    <n v="60"/>
    <n v="0"/>
    <n v="240"/>
    <n v="0"/>
    <n v="310"/>
    <x v="65"/>
    <x v="0"/>
    <x v="0"/>
    <x v="0"/>
  </r>
  <r>
    <s v="Description 480"/>
    <s v="Code 480"/>
    <n v="0"/>
    <n v="200"/>
    <n v="300"/>
    <n v="0"/>
    <n v="248"/>
    <n v="384"/>
    <n v="0"/>
    <n v="0"/>
    <n v="0"/>
    <n v="0"/>
    <n v="630"/>
    <x v="50"/>
    <x v="0"/>
    <x v="0"/>
    <x v="0"/>
  </r>
  <r>
    <s v="Description 481"/>
    <s v="Code 481"/>
    <n v="280"/>
    <n v="0"/>
    <n v="700"/>
    <n v="700"/>
    <n v="1028"/>
    <n v="700"/>
    <n v="400"/>
    <n v="0"/>
    <n v="328"/>
    <n v="0"/>
    <n v="1500"/>
    <x v="20"/>
    <x v="0"/>
    <x v="0"/>
    <x v="0"/>
  </r>
  <r>
    <s v="Description 482"/>
    <s v="Code 482"/>
    <n v="600"/>
    <n v="200"/>
    <n v="0"/>
    <n v="200"/>
    <n v="328"/>
    <n v="612"/>
    <n v="60"/>
    <n v="0"/>
    <n v="568"/>
    <n v="0"/>
    <n v="1025"/>
    <x v="41"/>
    <x v="0"/>
    <x v="0"/>
    <x v="0"/>
  </r>
  <r>
    <s v="Description 483"/>
    <s v="Code 483"/>
    <n v="600"/>
    <n v="400"/>
    <n v="500"/>
    <n v="800"/>
    <n v="492"/>
    <n v="343"/>
    <n v="328"/>
    <n v="656"/>
    <n v="328"/>
    <n v="0"/>
    <n v="1140"/>
    <x v="75"/>
    <x v="0"/>
    <x v="0"/>
    <x v="0"/>
  </r>
  <r>
    <s v="Description 484"/>
    <s v="Code 484"/>
    <n v="700"/>
    <n v="600"/>
    <n v="600"/>
    <n v="928"/>
    <n v="492"/>
    <n v="328"/>
    <n v="164"/>
    <n v="328"/>
    <n v="164"/>
    <n v="0"/>
    <n v="204"/>
    <x v="56"/>
    <x v="0"/>
    <x v="0"/>
    <x v="0"/>
  </r>
  <r>
    <s v="Description 485"/>
    <s v="Code 485"/>
    <n v="0"/>
    <n v="0"/>
    <n v="0"/>
    <n v="10"/>
    <n v="0"/>
    <n v="2"/>
    <n v="0"/>
    <n v="0"/>
    <n v="0"/>
    <n v="0"/>
    <n v="2704"/>
    <x v="89"/>
    <x v="0"/>
    <x v="1"/>
    <x v="0"/>
  </r>
  <r>
    <s v="Description 486"/>
    <s v="Code 486"/>
    <n v="81"/>
    <n v="25"/>
    <n v="36"/>
    <n v="241"/>
    <n v="158"/>
    <n v="265"/>
    <n v="27"/>
    <n v="60"/>
    <n v="55"/>
    <n v="0"/>
    <n v="49"/>
    <x v="145"/>
    <x v="0"/>
    <x v="0"/>
    <x v="0"/>
  </r>
  <r>
    <s v="Description 487"/>
    <s v="Code 487"/>
    <n v="2"/>
    <n v="0"/>
    <n v="0"/>
    <n v="0"/>
    <n v="0"/>
    <n v="0"/>
    <n v="0"/>
    <n v="0"/>
    <n v="0"/>
    <n v="0"/>
    <n v="35"/>
    <x v="182"/>
    <x v="0"/>
    <x v="0"/>
    <x v="0"/>
  </r>
  <r>
    <s v="Description 488"/>
    <s v="Code 488"/>
    <n v="4"/>
    <n v="3"/>
    <n v="1"/>
    <n v="6"/>
    <n v="0"/>
    <n v="1"/>
    <n v="2"/>
    <n v="8"/>
    <n v="4"/>
    <n v="0"/>
    <n v="374"/>
    <x v="64"/>
    <x v="0"/>
    <x v="0"/>
    <x v="0"/>
  </r>
  <r>
    <s v="Description 489"/>
    <s v="Code 489"/>
    <n v="0"/>
    <n v="2"/>
    <n v="2"/>
    <n v="2"/>
    <n v="2"/>
    <n v="2"/>
    <n v="3"/>
    <n v="2"/>
    <n v="2"/>
    <n v="0"/>
    <n v="0"/>
    <x v="16"/>
    <x v="0"/>
    <x v="0"/>
    <x v="0"/>
  </r>
  <r>
    <s v="Description 490"/>
    <s v="Code 490"/>
    <n v="0"/>
    <n v="0"/>
    <n v="0"/>
    <n v="0"/>
    <n v="0"/>
    <n v="0"/>
    <n v="0"/>
    <n v="0"/>
    <n v="0"/>
    <n v="0"/>
    <n v="0"/>
    <x v="75"/>
    <x v="0"/>
    <x v="0"/>
    <x v="0"/>
  </r>
  <r>
    <s v="Description 491"/>
    <s v="Code 491"/>
    <n v="0"/>
    <n v="0"/>
    <n v="0"/>
    <n v="0"/>
    <n v="0"/>
    <n v="0"/>
    <n v="0"/>
    <n v="0"/>
    <n v="0"/>
    <n v="0"/>
    <n v="12"/>
    <x v="85"/>
    <x v="0"/>
    <x v="1"/>
    <x v="0"/>
  </r>
  <r>
    <s v="Description 492"/>
    <s v="Code 492"/>
    <n v="0"/>
    <n v="0"/>
    <n v="0"/>
    <n v="0"/>
    <n v="0"/>
    <n v="0"/>
    <n v="0"/>
    <n v="0"/>
    <n v="0"/>
    <n v="0"/>
    <n v="11"/>
    <x v="134"/>
    <x v="0"/>
    <x v="0"/>
    <x v="0"/>
  </r>
  <r>
    <s v="Description 493"/>
    <s v="Code 493"/>
    <n v="0"/>
    <n v="0"/>
    <n v="0"/>
    <n v="0"/>
    <n v="0"/>
    <n v="0"/>
    <n v="0"/>
    <n v="0"/>
    <n v="0"/>
    <n v="0"/>
    <n v="0"/>
    <x v="11"/>
    <x v="0"/>
    <x v="0"/>
    <x v="0"/>
  </r>
  <r>
    <s v="Description 494"/>
    <s v="Code 494"/>
    <n v="0"/>
    <n v="0"/>
    <n v="0"/>
    <n v="0"/>
    <n v="0"/>
    <n v="0"/>
    <n v="0"/>
    <n v="0"/>
    <n v="0"/>
    <n v="0"/>
    <n v="0"/>
    <x v="122"/>
    <x v="0"/>
    <x v="0"/>
    <x v="0"/>
  </r>
  <r>
    <s v="Description 495"/>
    <s v="Code 495"/>
    <n v="0"/>
    <n v="0"/>
    <n v="0"/>
    <n v="0"/>
    <n v="0"/>
    <n v="0"/>
    <n v="0"/>
    <n v="0"/>
    <n v="0"/>
    <n v="0"/>
    <n v="0"/>
    <x v="156"/>
    <x v="0"/>
    <x v="0"/>
    <x v="0"/>
  </r>
  <r>
    <s v="Description 496"/>
    <s v="Code 496"/>
    <n v="0"/>
    <n v="0"/>
    <n v="0"/>
    <n v="0"/>
    <n v="0"/>
    <n v="0"/>
    <n v="0"/>
    <n v="0"/>
    <n v="0"/>
    <n v="0"/>
    <n v="0"/>
    <x v="40"/>
    <x v="0"/>
    <x v="0"/>
    <x v="0"/>
  </r>
  <r>
    <s v="Description 497"/>
    <s v="Code 497"/>
    <n v="0"/>
    <n v="0"/>
    <n v="0"/>
    <n v="0"/>
    <n v="0"/>
    <n v="0"/>
    <n v="0"/>
    <n v="0"/>
    <n v="0"/>
    <n v="0"/>
    <n v="6"/>
    <x v="22"/>
    <x v="0"/>
    <x v="0"/>
    <x v="0"/>
  </r>
  <r>
    <s v="Description 498"/>
    <s v="Code 498"/>
    <n v="0"/>
    <n v="0"/>
    <n v="0"/>
    <n v="0"/>
    <n v="0"/>
    <n v="0"/>
    <n v="0"/>
    <n v="0"/>
    <n v="0"/>
    <n v="0"/>
    <n v="2"/>
    <x v="57"/>
    <x v="0"/>
    <x v="0"/>
    <x v="0"/>
  </r>
  <r>
    <s v="Description 499"/>
    <s v="Code 499"/>
    <n v="0"/>
    <n v="0"/>
    <n v="0"/>
    <n v="0"/>
    <n v="0"/>
    <n v="0"/>
    <n v="0"/>
    <n v="0"/>
    <n v="0"/>
    <n v="0"/>
    <n v="0"/>
    <x v="18"/>
    <x v="0"/>
    <x v="0"/>
    <x v="0"/>
  </r>
  <r>
    <s v="Description 500"/>
    <s v="Code 500"/>
    <n v="0"/>
    <n v="0"/>
    <n v="0"/>
    <n v="0"/>
    <n v="0"/>
    <n v="0"/>
    <n v="0"/>
    <n v="0"/>
    <n v="0"/>
    <n v="0"/>
    <n v="5500"/>
    <x v="123"/>
    <x v="0"/>
    <x v="1"/>
    <x v="0"/>
  </r>
  <r>
    <s v="Description 501"/>
    <s v="Code 501"/>
    <n v="0"/>
    <n v="0"/>
    <n v="0"/>
    <n v="0"/>
    <n v="0"/>
    <n v="0"/>
    <n v="0"/>
    <n v="0"/>
    <n v="0"/>
    <n v="0"/>
    <n v="700"/>
    <x v="148"/>
    <x v="0"/>
    <x v="0"/>
    <x v="0"/>
  </r>
  <r>
    <s v="Description 502"/>
    <s v="Code 502"/>
    <n v="204"/>
    <n v="140"/>
    <n v="150"/>
    <n v="140"/>
    <n v="114"/>
    <n v="110"/>
    <n v="80"/>
    <n v="54"/>
    <n v="80"/>
    <n v="0"/>
    <n v="110"/>
    <x v="153"/>
    <x v="0"/>
    <x v="0"/>
    <x v="0"/>
  </r>
  <r>
    <s v="Description 503"/>
    <s v="Code 503"/>
    <n v="0"/>
    <n v="0"/>
    <n v="0"/>
    <n v="0"/>
    <n v="0"/>
    <n v="0"/>
    <n v="0"/>
    <n v="0"/>
    <n v="0"/>
    <n v="0"/>
    <n v="0"/>
    <x v="183"/>
    <x v="0"/>
    <x v="0"/>
    <x v="0"/>
  </r>
  <r>
    <s v="Description 504"/>
    <s v="Code 504"/>
    <n v="0"/>
    <n v="0"/>
    <n v="0"/>
    <n v="0"/>
    <n v="0"/>
    <n v="0"/>
    <n v="0"/>
    <n v="0"/>
    <n v="0"/>
    <n v="0"/>
    <n v="4349"/>
    <x v="138"/>
    <x v="0"/>
    <x v="0"/>
    <x v="0"/>
  </r>
  <r>
    <s v="Description 505"/>
    <s v="Code 505"/>
    <n v="1"/>
    <n v="0"/>
    <n v="8"/>
    <n v="4"/>
    <n v="3"/>
    <n v="0"/>
    <n v="2"/>
    <n v="5"/>
    <n v="0"/>
    <n v="0"/>
    <n v="690"/>
    <x v="10"/>
    <x v="0"/>
    <x v="0"/>
    <x v="0"/>
  </r>
  <r>
    <s v="Description 506"/>
    <s v="Code 506"/>
    <n v="1735"/>
    <n v="1429"/>
    <n v="1860"/>
    <n v="1701"/>
    <n v="1606"/>
    <n v="1787"/>
    <n v="1031"/>
    <n v="976"/>
    <n v="1221"/>
    <n v="0"/>
    <n v="5850"/>
    <x v="71"/>
    <x v="0"/>
    <x v="0"/>
    <x v="0"/>
  </r>
  <r>
    <s v="Description 507"/>
    <s v="Code 507"/>
    <n v="26898"/>
    <n v="20185"/>
    <n v="25339"/>
    <n v="25848"/>
    <n v="22490"/>
    <n v="26077"/>
    <n v="18566"/>
    <n v="17216"/>
    <n v="19604"/>
    <n v="0"/>
    <n v="1138"/>
    <x v="157"/>
    <x v="0"/>
    <x v="0"/>
    <x v="0"/>
  </r>
  <r>
    <s v="Description 508"/>
    <s v="Code 508"/>
    <n v="0"/>
    <n v="0"/>
    <n v="0"/>
    <n v="0"/>
    <n v="0"/>
    <n v="0"/>
    <n v="0"/>
    <n v="0"/>
    <n v="0"/>
    <n v="0"/>
    <n v="0"/>
    <x v="56"/>
    <x v="0"/>
    <x v="0"/>
    <x v="0"/>
  </r>
  <r>
    <s v="Description 509"/>
    <s v="Code 509"/>
    <n v="4"/>
    <n v="0"/>
    <n v="0"/>
    <n v="0"/>
    <n v="0"/>
    <n v="0"/>
    <n v="0"/>
    <n v="0"/>
    <n v="0"/>
    <n v="0"/>
    <n v="631"/>
    <x v="133"/>
    <x v="0"/>
    <x v="0"/>
    <x v="0"/>
  </r>
  <r>
    <s v="Description 510"/>
    <s v="Code 510"/>
    <n v="12"/>
    <n v="0"/>
    <n v="10"/>
    <n v="8"/>
    <n v="10"/>
    <n v="6"/>
    <n v="8"/>
    <n v="4"/>
    <n v="4"/>
    <n v="0"/>
    <n v="450"/>
    <x v="154"/>
    <x v="0"/>
    <x v="0"/>
    <x v="0"/>
  </r>
  <r>
    <s v="Description 511"/>
    <s v="Code 511"/>
    <n v="0"/>
    <n v="0"/>
    <n v="0"/>
    <n v="0"/>
    <n v="0"/>
    <n v="0"/>
    <n v="0"/>
    <n v="0"/>
    <n v="0"/>
    <n v="0"/>
    <n v="323"/>
    <x v="129"/>
    <x v="0"/>
    <x v="1"/>
    <x v="0"/>
  </r>
  <r>
    <s v="Description 512"/>
    <s v="Code 512"/>
    <n v="0"/>
    <n v="0"/>
    <n v="0"/>
    <n v="8"/>
    <n v="8"/>
    <n v="8"/>
    <n v="0"/>
    <n v="8"/>
    <n v="8"/>
    <n v="0"/>
    <n v="216"/>
    <x v="60"/>
    <x v="0"/>
    <x v="0"/>
    <x v="0"/>
  </r>
  <r>
    <s v="Description 513"/>
    <s v="Code 513"/>
    <n v="0"/>
    <n v="0"/>
    <n v="0"/>
    <n v="16"/>
    <n v="16"/>
    <n v="16"/>
    <n v="8"/>
    <n v="16"/>
    <n v="12"/>
    <n v="0"/>
    <n v="19"/>
    <x v="130"/>
    <x v="0"/>
    <x v="1"/>
    <x v="0"/>
  </r>
  <r>
    <s v="Description 514"/>
    <s v="Code 514"/>
    <n v="129"/>
    <n v="0"/>
    <n v="0"/>
    <n v="8"/>
    <n v="8"/>
    <n v="8"/>
    <n v="4"/>
    <n v="8"/>
    <n v="6"/>
    <n v="0"/>
    <n v="126"/>
    <x v="22"/>
    <x v="0"/>
    <x v="0"/>
    <x v="0"/>
  </r>
  <r>
    <s v="Description 515"/>
    <s v="Code 515"/>
    <n v="0"/>
    <n v="0"/>
    <n v="0"/>
    <n v="8"/>
    <n v="8"/>
    <n v="8"/>
    <n v="4"/>
    <n v="8"/>
    <n v="6"/>
    <n v="0"/>
    <n v="0"/>
    <x v="133"/>
    <x v="0"/>
    <x v="0"/>
    <x v="0"/>
  </r>
  <r>
    <s v="Description 516"/>
    <s v="Code 516"/>
    <n v="0.1"/>
    <n v="0.15"/>
    <n v="0.15"/>
    <n v="0.1"/>
    <n v="0.05"/>
    <n v="0"/>
    <n v="0.05"/>
    <n v="0.1"/>
    <n v="0.05"/>
    <n v="0"/>
    <n v="1786"/>
    <x v="70"/>
    <x v="0"/>
    <x v="0"/>
    <x v="0"/>
  </r>
  <r>
    <s v="Description 517"/>
    <s v="Code 517"/>
    <n v="244"/>
    <n v="46"/>
    <n v="210"/>
    <n v="70"/>
    <n v="52"/>
    <n v="32"/>
    <n v="90"/>
    <n v="74"/>
    <n v="32"/>
    <n v="0"/>
    <n v="4525"/>
    <x v="106"/>
    <x v="0"/>
    <x v="0"/>
    <x v="0"/>
  </r>
  <r>
    <s v="Description 518"/>
    <s v="Code 518"/>
    <n v="0"/>
    <n v="0"/>
    <n v="0"/>
    <n v="0"/>
    <n v="0"/>
    <n v="0"/>
    <n v="0"/>
    <n v="0"/>
    <n v="0"/>
    <n v="0"/>
    <n v="799"/>
    <x v="123"/>
    <x v="0"/>
    <x v="1"/>
    <x v="0"/>
  </r>
  <r>
    <s v="Description 519"/>
    <s v="Code 519"/>
    <n v="200"/>
    <n v="20"/>
    <n v="120"/>
    <n v="80"/>
    <n v="160"/>
    <n v="80"/>
    <n v="40"/>
    <n v="100"/>
    <n v="440"/>
    <n v="0"/>
    <n v="1007"/>
    <x v="20"/>
    <x v="0"/>
    <x v="0"/>
    <x v="0"/>
  </r>
  <r>
    <s v="Description 520"/>
    <s v="Code 520"/>
    <n v="811"/>
    <n v="620"/>
    <n v="810"/>
    <n v="780"/>
    <n v="830"/>
    <n v="820"/>
    <n v="510"/>
    <n v="520"/>
    <n v="620"/>
    <n v="0"/>
    <n v="880"/>
    <x v="184"/>
    <x v="0"/>
    <x v="0"/>
    <x v="0"/>
  </r>
  <r>
    <s v="Description 521"/>
    <s v="Code 521"/>
    <n v="200"/>
    <n v="20"/>
    <n v="120"/>
    <n v="80"/>
    <n v="160"/>
    <n v="80"/>
    <n v="40"/>
    <n v="100"/>
    <n v="140"/>
    <n v="0"/>
    <n v="761"/>
    <x v="185"/>
    <x v="0"/>
    <x v="0"/>
    <x v="0"/>
  </r>
  <r>
    <s v="Description 522"/>
    <s v="Code 522"/>
    <n v="0"/>
    <n v="0"/>
    <n v="3"/>
    <n v="2"/>
    <n v="0"/>
    <n v="0"/>
    <n v="0"/>
    <n v="0"/>
    <n v="0"/>
    <n v="0"/>
    <n v="16"/>
    <x v="160"/>
    <x v="0"/>
    <x v="0"/>
    <x v="0"/>
  </r>
  <r>
    <s v="Description 523"/>
    <s v="Code 523"/>
    <n v="2"/>
    <n v="0"/>
    <n v="13"/>
    <n v="6"/>
    <n v="6"/>
    <n v="0"/>
    <n v="4"/>
    <n v="10"/>
    <n v="0"/>
    <n v="0"/>
    <n v="7774"/>
    <x v="22"/>
    <x v="0"/>
    <x v="0"/>
    <x v="0"/>
  </r>
  <r>
    <s v="Description 524"/>
    <s v="Code 524"/>
    <n v="0"/>
    <n v="0"/>
    <n v="100"/>
    <n v="0"/>
    <n v="0"/>
    <n v="0"/>
    <n v="25"/>
    <n v="0"/>
    <n v="30"/>
    <n v="0"/>
    <n v="2100"/>
    <x v="97"/>
    <x v="0"/>
    <x v="0"/>
    <x v="0"/>
  </r>
  <r>
    <s v="Description 525"/>
    <s v="Code 525"/>
    <n v="100"/>
    <n v="10"/>
    <n v="60"/>
    <n v="40"/>
    <n v="80"/>
    <n v="40"/>
    <n v="20"/>
    <n v="50"/>
    <n v="70"/>
    <n v="0"/>
    <n v="167"/>
    <x v="156"/>
    <x v="0"/>
    <x v="0"/>
    <x v="0"/>
  </r>
  <r>
    <s v="Description 526"/>
    <s v="Code 526"/>
    <n v="4"/>
    <n v="800"/>
    <n v="44"/>
    <n v="25"/>
    <n v="12"/>
    <n v="0"/>
    <n v="8"/>
    <n v="24"/>
    <n v="0"/>
    <n v="0"/>
    <n v="0"/>
    <x v="51"/>
    <x v="0"/>
    <x v="0"/>
    <x v="0"/>
  </r>
  <r>
    <s v="Description 527"/>
    <s v="Code 527"/>
    <n v="3"/>
    <n v="0"/>
    <n v="45"/>
    <n v="36"/>
    <n v="9"/>
    <n v="0"/>
    <n v="6"/>
    <n v="57"/>
    <n v="0"/>
    <n v="0"/>
    <n v="693"/>
    <x v="177"/>
    <x v="0"/>
    <x v="0"/>
    <x v="0"/>
  </r>
  <r>
    <s v="Description 528"/>
    <s v="Code 528"/>
    <n v="7"/>
    <n v="200"/>
    <n v="56"/>
    <n v="48"/>
    <n v="421"/>
    <n v="7"/>
    <n v="14"/>
    <n v="235"/>
    <n v="0"/>
    <n v="0"/>
    <n v="3787"/>
    <x v="148"/>
    <x v="0"/>
    <x v="0"/>
    <x v="0"/>
  </r>
  <r>
    <s v="Description 529"/>
    <s v="Code 529"/>
    <n v="2945"/>
    <n v="2271"/>
    <n v="2601"/>
    <n v="3068"/>
    <n v="2029"/>
    <n v="1729"/>
    <n v="2124"/>
    <n v="1436"/>
    <n v="1431"/>
    <n v="0"/>
    <n v="0"/>
    <x v="101"/>
    <x v="0"/>
    <x v="0"/>
    <x v="0"/>
  </r>
  <r>
    <s v="Description 530"/>
    <s v="Code 530"/>
    <n v="0"/>
    <n v="0"/>
    <n v="0"/>
    <n v="0"/>
    <n v="0"/>
    <n v="0"/>
    <n v="0"/>
    <n v="0"/>
    <n v="0"/>
    <n v="0"/>
    <n v="110"/>
    <x v="146"/>
    <x v="0"/>
    <x v="0"/>
    <x v="0"/>
  </r>
  <r>
    <s v="Description 531"/>
    <s v="Code 531"/>
    <n v="0"/>
    <n v="0"/>
    <n v="100"/>
    <n v="0"/>
    <n v="0"/>
    <n v="0"/>
    <n v="25"/>
    <n v="0"/>
    <n v="30"/>
    <n v="0"/>
    <n v="230"/>
    <x v="61"/>
    <x v="0"/>
    <x v="0"/>
    <x v="0"/>
  </r>
  <r>
    <s v="Description 532"/>
    <s v="Code 532"/>
    <n v="200"/>
    <n v="0"/>
    <n v="140"/>
    <n v="3"/>
    <n v="0"/>
    <n v="1"/>
    <n v="25"/>
    <n v="12"/>
    <n v="30"/>
    <n v="0"/>
    <n v="964"/>
    <x v="19"/>
    <x v="0"/>
    <x v="0"/>
    <x v="0"/>
  </r>
  <r>
    <s v="Description 533"/>
    <s v="Code 533"/>
    <n v="0"/>
    <n v="0"/>
    <n v="0"/>
    <n v="0"/>
    <n v="0"/>
    <n v="0"/>
    <n v="0"/>
    <n v="40"/>
    <n v="0"/>
    <n v="0"/>
    <n v="275"/>
    <x v="102"/>
    <x v="0"/>
    <x v="0"/>
    <x v="0"/>
  </r>
  <r>
    <s v="Description 534"/>
    <s v="Code 534"/>
    <n v="0"/>
    <n v="76"/>
    <n v="12"/>
    <n v="80"/>
    <n v="0"/>
    <n v="2"/>
    <n v="0"/>
    <n v="0"/>
    <n v="0"/>
    <n v="0"/>
    <n v="6387"/>
    <x v="57"/>
    <x v="0"/>
    <x v="0"/>
    <x v="0"/>
  </r>
  <r>
    <s v="Description 535"/>
    <s v="Code 535"/>
    <n v="2"/>
    <n v="0"/>
    <n v="6"/>
    <n v="4"/>
    <n v="2"/>
    <n v="0"/>
    <n v="0"/>
    <n v="0"/>
    <n v="0"/>
    <n v="0"/>
    <n v="865"/>
    <x v="110"/>
    <x v="0"/>
    <x v="0"/>
    <x v="0"/>
  </r>
  <r>
    <s v="Description 536"/>
    <s v="Code 536"/>
    <n v="0"/>
    <n v="0"/>
    <n v="20"/>
    <n v="0"/>
    <n v="0"/>
    <n v="0"/>
    <n v="0"/>
    <n v="0"/>
    <n v="0"/>
    <n v="0"/>
    <n v="1933"/>
    <x v="171"/>
    <x v="0"/>
    <x v="0"/>
    <x v="0"/>
  </r>
  <r>
    <s v="Description 537"/>
    <s v="Code 537"/>
    <n v="283"/>
    <n v="60"/>
    <n v="154"/>
    <n v="164"/>
    <n v="197"/>
    <n v="105"/>
    <n v="146"/>
    <n v="127"/>
    <n v="454"/>
    <n v="0"/>
    <n v="3578"/>
    <x v="26"/>
    <x v="0"/>
    <x v="1"/>
    <x v="0"/>
  </r>
  <r>
    <s v="Description 538"/>
    <s v="Code 538"/>
    <n v="310"/>
    <n v="236"/>
    <n v="410"/>
    <n v="404"/>
    <n v="340"/>
    <n v="332"/>
    <n v="392"/>
    <n v="370"/>
    <n v="362"/>
    <n v="0"/>
    <n v="3260"/>
    <x v="186"/>
    <x v="0"/>
    <x v="0"/>
    <x v="0"/>
  </r>
  <r>
    <s v="Description 539"/>
    <s v="Code 539"/>
    <n v="24"/>
    <n v="39"/>
    <n v="25"/>
    <n v="17"/>
    <n v="13"/>
    <n v="11"/>
    <n v="6"/>
    <n v="9"/>
    <n v="35"/>
    <n v="0"/>
    <n v="126"/>
    <x v="150"/>
    <x v="0"/>
    <x v="0"/>
    <x v="0"/>
  </r>
  <r>
    <s v="Description 540"/>
    <s v="Code 540"/>
    <n v="750"/>
    <n v="1150"/>
    <n v="750"/>
    <n v="750"/>
    <n v="2300"/>
    <n v="1540"/>
    <n v="850"/>
    <n v="1500"/>
    <n v="820"/>
    <n v="0"/>
    <n v="566"/>
    <x v="142"/>
    <x v="0"/>
    <x v="0"/>
    <x v="0"/>
  </r>
  <r>
    <s v="Description 541"/>
    <s v="Code 541"/>
    <n v="2"/>
    <n v="2"/>
    <n v="2"/>
    <n v="2"/>
    <n v="2"/>
    <n v="2"/>
    <n v="2"/>
    <n v="2"/>
    <n v="2"/>
    <n v="0"/>
    <n v="5285"/>
    <x v="165"/>
    <x v="0"/>
    <x v="0"/>
    <x v="0"/>
  </r>
  <r>
    <s v="Description 542"/>
    <s v="Code 542"/>
    <n v="326"/>
    <n v="384"/>
    <n v="426"/>
    <n v="452"/>
    <n v="262"/>
    <n v="313"/>
    <n v="320"/>
    <n v="254"/>
    <n v="190"/>
    <n v="0"/>
    <n v="2926"/>
    <x v="53"/>
    <x v="0"/>
    <x v="0"/>
    <x v="0"/>
  </r>
  <r>
    <s v="Description 543"/>
    <s v="Code 543"/>
    <n v="130"/>
    <n v="40"/>
    <n v="100"/>
    <n v="80"/>
    <n v="110"/>
    <n v="70"/>
    <n v="60"/>
    <n v="90"/>
    <n v="80"/>
    <n v="0"/>
    <n v="0"/>
    <x v="28"/>
    <x v="0"/>
    <x v="1"/>
    <x v="0"/>
  </r>
  <r>
    <s v="Description 544"/>
    <s v="Code 544"/>
    <n v="492"/>
    <n v="328"/>
    <n v="956"/>
    <n v="956"/>
    <n v="892"/>
    <n v="343"/>
    <n v="328"/>
    <n v="1556"/>
    <n v="328"/>
    <n v="0"/>
    <n v="0"/>
    <x v="51"/>
    <x v="0"/>
    <x v="0"/>
    <x v="0"/>
  </r>
  <r>
    <s v="Description 545"/>
    <s v="Code 545"/>
    <n v="0"/>
    <n v="0"/>
    <n v="0"/>
    <n v="400"/>
    <n v="0"/>
    <n v="0"/>
    <n v="200"/>
    <n v="1000"/>
    <n v="100"/>
    <n v="0"/>
    <n v="3610"/>
    <x v="187"/>
    <x v="0"/>
    <x v="1"/>
    <x v="0"/>
  </r>
  <r>
    <s v="Description 546"/>
    <s v="Code 546"/>
    <n v="1062"/>
    <n v="30"/>
    <n v="30"/>
    <n v="30"/>
    <n v="30"/>
    <n v="15"/>
    <n v="30"/>
    <n v="15"/>
    <n v="30"/>
    <n v="0"/>
    <n v="6165"/>
    <x v="144"/>
    <x v="0"/>
    <x v="0"/>
    <x v="0"/>
  </r>
  <r>
    <s v="Description 547"/>
    <s v="Code 547"/>
    <n v="4816"/>
    <n v="4802"/>
    <n v="4902"/>
    <n v="4814"/>
    <n v="4870"/>
    <n v="4874"/>
    <n v="3437"/>
    <n v="3379"/>
    <n v="3412"/>
    <n v="0"/>
    <n v="796"/>
    <x v="107"/>
    <x v="0"/>
    <x v="0"/>
    <x v="0"/>
  </r>
  <r>
    <s v="Description 548"/>
    <s v="Code 548"/>
    <n v="100"/>
    <n v="50"/>
    <n v="60"/>
    <n v="55"/>
    <n v="30"/>
    <n v="44"/>
    <n v="55"/>
    <n v="0"/>
    <n v="70"/>
    <n v="0"/>
    <n v="1463"/>
    <x v="112"/>
    <x v="0"/>
    <x v="0"/>
    <x v="0"/>
  </r>
  <r>
    <s v="Description 549"/>
    <s v="Code 549"/>
    <n v="0"/>
    <n v="40"/>
    <n v="0"/>
    <n v="0"/>
    <n v="0"/>
    <n v="0"/>
    <n v="35"/>
    <n v="0"/>
    <n v="0"/>
    <n v="0"/>
    <n v="112"/>
    <x v="115"/>
    <x v="0"/>
    <x v="0"/>
    <x v="0"/>
  </r>
  <r>
    <s v="Description 550"/>
    <s v="Code 550"/>
    <n v="0"/>
    <n v="0"/>
    <n v="0"/>
    <n v="0"/>
    <n v="0"/>
    <n v="0"/>
    <n v="0"/>
    <n v="20"/>
    <n v="0"/>
    <n v="0"/>
    <n v="0"/>
    <x v="54"/>
    <x v="0"/>
    <x v="0"/>
    <x v="0"/>
  </r>
  <r>
    <s v="Description 551"/>
    <s v="Code 551"/>
    <n v="0"/>
    <n v="0"/>
    <n v="0"/>
    <n v="0"/>
    <n v="0"/>
    <n v="0"/>
    <n v="0"/>
    <n v="20"/>
    <n v="0"/>
    <n v="0"/>
    <n v="3702"/>
    <x v="40"/>
    <x v="0"/>
    <x v="0"/>
    <x v="0"/>
  </r>
  <r>
    <s v="Description 552"/>
    <s v="Code 552"/>
    <n v="4"/>
    <n v="6"/>
    <n v="6"/>
    <n v="8"/>
    <n v="11"/>
    <n v="8"/>
    <n v="12"/>
    <n v="6"/>
    <n v="11"/>
    <n v="0"/>
    <n v="25"/>
    <x v="123"/>
    <x v="0"/>
    <x v="1"/>
    <x v="0"/>
  </r>
  <r>
    <s v="Description 553"/>
    <s v="Code 553"/>
    <n v="0"/>
    <n v="0"/>
    <n v="0"/>
    <n v="0"/>
    <n v="0"/>
    <n v="0"/>
    <n v="0"/>
    <n v="0"/>
    <n v="0"/>
    <n v="0"/>
    <n v="1319"/>
    <x v="167"/>
    <x v="0"/>
    <x v="0"/>
    <x v="0"/>
  </r>
  <r>
    <s v="Description 554"/>
    <s v="Code 554"/>
    <n v="12"/>
    <n v="12"/>
    <n v="12"/>
    <n v="12"/>
    <n v="12"/>
    <n v="18"/>
    <n v="12"/>
    <n v="12"/>
    <n v="12"/>
    <n v="0"/>
    <n v="0"/>
    <x v="114"/>
    <x v="0"/>
    <x v="0"/>
    <x v="0"/>
  </r>
  <r>
    <s v="Description 555"/>
    <s v="Code 555"/>
    <n v="96"/>
    <n v="104"/>
    <n v="242"/>
    <n v="104"/>
    <n v="160"/>
    <n v="72"/>
    <n v="136"/>
    <n v="154"/>
    <n v="150"/>
    <n v="0"/>
    <n v="0"/>
    <x v="0"/>
    <x v="0"/>
    <x v="0"/>
    <x v="0"/>
  </r>
  <r>
    <s v="Description 556"/>
    <s v="Code 556"/>
    <n v="50"/>
    <n v="25"/>
    <n v="25"/>
    <n v="25"/>
    <n v="25"/>
    <n v="25"/>
    <n v="25"/>
    <n v="25"/>
    <n v="25"/>
    <n v="0"/>
    <n v="0"/>
    <x v="142"/>
    <x v="0"/>
    <x v="0"/>
    <x v="0"/>
  </r>
  <r>
    <s v="Description 557"/>
    <s v="Code 557"/>
    <n v="179"/>
    <n v="131"/>
    <n v="139"/>
    <n v="139"/>
    <n v="0"/>
    <n v="0"/>
    <n v="0"/>
    <n v="12"/>
    <n v="0"/>
    <n v="0"/>
    <n v="395"/>
    <x v="169"/>
    <x v="0"/>
    <x v="0"/>
    <x v="0"/>
  </r>
  <r>
    <s v="Description 558"/>
    <s v="Code 558"/>
    <n v="0"/>
    <n v="0"/>
    <n v="0"/>
    <n v="0"/>
    <n v="0"/>
    <n v="0"/>
    <n v="0"/>
    <n v="0"/>
    <n v="0"/>
    <n v="0"/>
    <n v="1045"/>
    <x v="143"/>
    <x v="0"/>
    <x v="0"/>
    <x v="0"/>
  </r>
  <r>
    <s v="Description 559"/>
    <s v="Code 559"/>
    <n v="0"/>
    <n v="0"/>
    <n v="0"/>
    <n v="0"/>
    <n v="0"/>
    <n v="0"/>
    <n v="0"/>
    <n v="0"/>
    <n v="0"/>
    <n v="0"/>
    <n v="1128"/>
    <x v="6"/>
    <x v="0"/>
    <x v="0"/>
    <x v="0"/>
  </r>
  <r>
    <s v="Description 560"/>
    <s v="Code 560"/>
    <n v="0"/>
    <n v="0"/>
    <n v="0"/>
    <n v="40"/>
    <n v="0"/>
    <n v="0"/>
    <n v="0"/>
    <n v="0"/>
    <n v="0"/>
    <n v="0"/>
    <n v="776"/>
    <x v="16"/>
    <x v="0"/>
    <x v="0"/>
    <x v="0"/>
  </r>
  <r>
    <s v="Description 561"/>
    <s v="Code 561"/>
    <n v="0"/>
    <n v="0"/>
    <n v="0"/>
    <n v="0"/>
    <n v="0"/>
    <n v="0"/>
    <n v="0"/>
    <n v="0"/>
    <n v="0"/>
    <n v="0"/>
    <n v="0"/>
    <x v="141"/>
    <x v="0"/>
    <x v="0"/>
    <x v="0"/>
  </r>
  <r>
    <s v="Description 562"/>
    <s v="Code 562"/>
    <n v="0"/>
    <n v="0"/>
    <n v="0"/>
    <n v="0"/>
    <n v="0"/>
    <n v="0"/>
    <n v="0"/>
    <n v="0"/>
    <n v="0"/>
    <n v="0"/>
    <n v="1834"/>
    <x v="151"/>
    <x v="0"/>
    <x v="0"/>
    <x v="0"/>
  </r>
  <r>
    <s v="Description 563"/>
    <s v="Code 563"/>
    <n v="100"/>
    <n v="10"/>
    <n v="60"/>
    <n v="40"/>
    <n v="80"/>
    <n v="40"/>
    <n v="20"/>
    <n v="50"/>
    <n v="220"/>
    <n v="0"/>
    <n v="4032"/>
    <x v="139"/>
    <x v="0"/>
    <x v="0"/>
    <x v="0"/>
  </r>
  <r>
    <s v="Description 564"/>
    <s v="Code 564"/>
    <n v="100"/>
    <n v="30"/>
    <n v="132"/>
    <n v="112"/>
    <n v="80"/>
    <n v="118"/>
    <n v="20"/>
    <n v="50"/>
    <n v="142"/>
    <n v="0"/>
    <n v="0"/>
    <x v="188"/>
    <x v="0"/>
    <x v="0"/>
    <x v="0"/>
  </r>
  <r>
    <s v="Description 565"/>
    <s v="Code 565"/>
    <n v="1496"/>
    <n v="214"/>
    <n v="550"/>
    <n v="1062"/>
    <n v="340"/>
    <n v="336"/>
    <n v="10"/>
    <n v="784"/>
    <n v="242"/>
    <n v="0"/>
    <n v="133"/>
    <x v="112"/>
    <x v="0"/>
    <x v="0"/>
    <x v="0"/>
  </r>
  <r>
    <s v="Description 566"/>
    <s v="Code 566"/>
    <n v="10"/>
    <n v="10"/>
    <n v="15"/>
    <n v="10"/>
    <n v="10"/>
    <n v="10"/>
    <n v="10"/>
    <n v="5"/>
    <n v="10"/>
    <n v="0"/>
    <n v="1366"/>
    <x v="145"/>
    <x v="0"/>
    <x v="0"/>
    <x v="0"/>
  </r>
  <r>
    <s v="Description 567"/>
    <s v="Code 567"/>
    <n v="52"/>
    <n v="12"/>
    <n v="44"/>
    <n v="28"/>
    <n v="36"/>
    <n v="40"/>
    <n v="4"/>
    <n v="28"/>
    <n v="64"/>
    <n v="0"/>
    <n v="0"/>
    <x v="72"/>
    <x v="0"/>
    <x v="0"/>
    <x v="0"/>
  </r>
  <r>
    <s v="Description 568"/>
    <s v="Code 568"/>
    <n v="626"/>
    <n v="624"/>
    <n v="698"/>
    <n v="546"/>
    <n v="654"/>
    <n v="576"/>
    <n v="532"/>
    <n v="538"/>
    <n v="432"/>
    <n v="0"/>
    <n v="1200"/>
    <x v="124"/>
    <x v="0"/>
    <x v="0"/>
    <x v="0"/>
  </r>
  <r>
    <s v="Description 569"/>
    <s v="Code 569"/>
    <n v="800"/>
    <n v="800"/>
    <n v="1200"/>
    <n v="500"/>
    <n v="400"/>
    <n v="0"/>
    <n v="1000"/>
    <n v="900"/>
    <n v="100"/>
    <n v="0"/>
    <n v="279"/>
    <x v="78"/>
    <x v="0"/>
    <x v="0"/>
    <x v="0"/>
  </r>
  <r>
    <s v="Description 570"/>
    <s v="Code 570"/>
    <n v="0"/>
    <n v="0"/>
    <n v="25"/>
    <n v="0"/>
    <n v="25"/>
    <n v="25"/>
    <n v="0"/>
    <n v="0"/>
    <n v="0"/>
    <n v="0"/>
    <n v="635"/>
    <x v="2"/>
    <x v="0"/>
    <x v="0"/>
    <x v="0"/>
  </r>
  <r>
    <s v="Description 571"/>
    <s v="Code 571"/>
    <n v="3892"/>
    <n v="1640"/>
    <n v="2234"/>
    <n v="2487"/>
    <n v="2024"/>
    <n v="2015"/>
    <n v="2831"/>
    <n v="2071"/>
    <n v="2375"/>
    <n v="0"/>
    <n v="460"/>
    <x v="102"/>
    <x v="0"/>
    <x v="0"/>
    <x v="0"/>
  </r>
  <r>
    <s v="Description 572"/>
    <s v="Code 572"/>
    <n v="10"/>
    <n v="0"/>
    <n v="10"/>
    <n v="10"/>
    <n v="0"/>
    <n v="0"/>
    <n v="0"/>
    <n v="0"/>
    <n v="0"/>
    <n v="0"/>
    <n v="731"/>
    <x v="148"/>
    <x v="0"/>
    <x v="0"/>
    <x v="0"/>
  </r>
  <r>
    <s v="Description 573"/>
    <s v="Code 573"/>
    <n v="0"/>
    <n v="0"/>
    <n v="0"/>
    <n v="0"/>
    <n v="0"/>
    <n v="0"/>
    <n v="0"/>
    <n v="0"/>
    <n v="0"/>
    <n v="0"/>
    <n v="792"/>
    <x v="188"/>
    <x v="0"/>
    <x v="0"/>
    <x v="0"/>
  </r>
  <r>
    <s v="Description 574"/>
    <s v="Code 574"/>
    <n v="0"/>
    <n v="0"/>
    <n v="0"/>
    <n v="15"/>
    <n v="0"/>
    <n v="0"/>
    <n v="0"/>
    <n v="0"/>
    <n v="0"/>
    <n v="0"/>
    <n v="1358"/>
    <x v="90"/>
    <x v="0"/>
    <x v="0"/>
    <x v="0"/>
  </r>
  <r>
    <s v="Description 575"/>
    <s v="Code 575"/>
    <n v="0"/>
    <n v="0"/>
    <n v="0"/>
    <n v="0"/>
    <n v="0"/>
    <n v="0"/>
    <n v="0"/>
    <n v="0"/>
    <n v="0"/>
    <n v="0"/>
    <n v="0"/>
    <x v="145"/>
    <x v="0"/>
    <x v="0"/>
    <x v="0"/>
  </r>
  <r>
    <s v="Description 576"/>
    <s v="Code 576"/>
    <n v="129"/>
    <n v="0"/>
    <n v="0"/>
    <n v="0"/>
    <n v="0"/>
    <n v="0"/>
    <n v="0"/>
    <n v="0"/>
    <n v="0"/>
    <n v="0"/>
    <n v="0"/>
    <x v="154"/>
    <x v="0"/>
    <x v="0"/>
    <x v="0"/>
  </r>
  <r>
    <s v="Description 577"/>
    <s v="Code 577"/>
    <n v="0"/>
    <n v="0"/>
    <n v="0"/>
    <n v="4"/>
    <n v="0"/>
    <n v="0"/>
    <n v="0"/>
    <n v="16"/>
    <n v="0"/>
    <n v="0"/>
    <n v="6"/>
    <x v="161"/>
    <x v="0"/>
    <x v="0"/>
    <x v="0"/>
  </r>
  <r>
    <s v="Description 578"/>
    <s v="Code 578"/>
    <n v="176"/>
    <n v="36"/>
    <n v="1248"/>
    <n v="98"/>
    <n v="90"/>
    <n v="134"/>
    <n v="30"/>
    <n v="34"/>
    <n v="80"/>
    <n v="0"/>
    <n v="301"/>
    <x v="58"/>
    <x v="0"/>
    <x v="0"/>
    <x v="0"/>
  </r>
  <r>
    <s v="Description 579"/>
    <s v="Code 579"/>
    <n v="11294"/>
    <n v="10834"/>
    <n v="11697"/>
    <n v="11208"/>
    <n v="11732"/>
    <n v="12516"/>
    <n v="9126"/>
    <n v="11066"/>
    <n v="12296"/>
    <n v="0"/>
    <n v="407"/>
    <x v="123"/>
    <x v="0"/>
    <x v="1"/>
    <x v="0"/>
  </r>
  <r>
    <s v="Description 580"/>
    <s v="Code 580"/>
    <n v="0"/>
    <n v="0"/>
    <n v="0"/>
    <n v="210"/>
    <n v="100"/>
    <n v="200"/>
    <n v="0"/>
    <n v="0"/>
    <n v="10"/>
    <n v="0"/>
    <n v="0"/>
    <x v="179"/>
    <x v="0"/>
    <x v="0"/>
    <x v="0"/>
  </r>
  <r>
    <s v="Description 581"/>
    <s v="Code 581"/>
    <n v="0"/>
    <n v="0"/>
    <n v="100"/>
    <n v="10"/>
    <n v="0"/>
    <n v="0"/>
    <n v="0"/>
    <n v="110"/>
    <n v="0"/>
    <n v="0"/>
    <n v="0"/>
    <x v="74"/>
    <x v="0"/>
    <x v="0"/>
    <x v="0"/>
  </r>
  <r>
    <s v="Description 582"/>
    <s v="Code 582"/>
    <n v="0"/>
    <n v="50"/>
    <n v="0"/>
    <n v="0"/>
    <n v="50"/>
    <n v="0"/>
    <n v="0"/>
    <n v="0"/>
    <n v="0"/>
    <n v="0"/>
    <n v="0"/>
    <x v="159"/>
    <x v="0"/>
    <x v="0"/>
    <x v="0"/>
  </r>
  <r>
    <s v="Description 583"/>
    <s v="Code 583"/>
    <n v="2356"/>
    <n v="925"/>
    <n v="733"/>
    <n v="1530"/>
    <n v="324"/>
    <n v="159"/>
    <n v="254"/>
    <n v="660"/>
    <n v="248"/>
    <n v="0"/>
    <n v="0"/>
    <x v="144"/>
    <x v="0"/>
    <x v="0"/>
    <x v="0"/>
  </r>
  <r>
    <s v="Description 584"/>
    <s v="Code 584"/>
    <n v="840"/>
    <n v="120"/>
    <n v="20"/>
    <n v="540"/>
    <n v="60"/>
    <n v="0"/>
    <n v="400"/>
    <n v="0"/>
    <n v="0"/>
    <n v="0"/>
    <n v="0"/>
    <x v="8"/>
    <x v="0"/>
    <x v="0"/>
    <x v="0"/>
  </r>
  <r>
    <s v="Description 585"/>
    <s v="Code 585"/>
    <n v="390"/>
    <n v="90"/>
    <n v="90"/>
    <n v="90"/>
    <n v="330"/>
    <n v="45"/>
    <n v="90"/>
    <n v="285"/>
    <n v="90"/>
    <n v="0"/>
    <n v="0"/>
    <x v="2"/>
    <x v="0"/>
    <x v="0"/>
    <x v="0"/>
  </r>
  <r>
    <s v="Description 586"/>
    <s v="Code 586"/>
    <n v="30"/>
    <n v="15"/>
    <n v="175"/>
    <n v="430"/>
    <n v="30"/>
    <n v="15"/>
    <n v="30"/>
    <n v="415"/>
    <n v="30"/>
    <n v="0"/>
    <n v="0"/>
    <x v="167"/>
    <x v="0"/>
    <x v="0"/>
    <x v="0"/>
  </r>
  <r>
    <s v="Description 587"/>
    <s v="Code 587"/>
    <n v="160"/>
    <n v="160"/>
    <n v="110"/>
    <n v="160"/>
    <n v="110"/>
    <n v="130"/>
    <n v="160"/>
    <n v="80"/>
    <n v="160"/>
    <n v="0"/>
    <n v="0"/>
    <x v="76"/>
    <x v="0"/>
    <x v="1"/>
    <x v="0"/>
  </r>
  <r>
    <s v="Description 588"/>
    <s v="Code 588"/>
    <n v="300"/>
    <n v="105"/>
    <n v="425"/>
    <n v="980"/>
    <n v="270"/>
    <n v="90"/>
    <n v="180"/>
    <n v="980"/>
    <n v="180"/>
    <n v="0"/>
    <n v="0"/>
    <x v="42"/>
    <x v="0"/>
    <x v="1"/>
    <x v="0"/>
  </r>
  <r>
    <s v="Description 589"/>
    <s v="Code 589"/>
    <n v="180"/>
    <n v="60"/>
    <n v="60"/>
    <n v="60"/>
    <n v="180"/>
    <n v="30"/>
    <n v="60"/>
    <n v="150"/>
    <n v="60"/>
    <n v="0"/>
    <n v="3277"/>
    <x v="10"/>
    <x v="0"/>
    <x v="0"/>
    <x v="0"/>
  </r>
  <r>
    <s v="Description 590"/>
    <s v="Code 590"/>
    <n v="16"/>
    <n v="16"/>
    <n v="26"/>
    <n v="26"/>
    <n v="26"/>
    <n v="34"/>
    <n v="16"/>
    <n v="26"/>
    <n v="26"/>
    <n v="0"/>
    <n v="102"/>
    <x v="8"/>
    <x v="0"/>
    <x v="0"/>
    <x v="0"/>
  </r>
  <r>
    <s v="Description 591"/>
    <s v="Code 591"/>
    <n v="1944"/>
    <n v="1438"/>
    <n v="1916"/>
    <n v="1924"/>
    <n v="1892"/>
    <n v="1820"/>
    <n v="1400"/>
    <n v="1672"/>
    <n v="1854"/>
    <n v="0"/>
    <n v="0"/>
    <x v="144"/>
    <x v="0"/>
    <x v="0"/>
    <x v="0"/>
  </r>
  <r>
    <s v="Description 592"/>
    <s v="Code 592"/>
    <n v="0"/>
    <n v="0"/>
    <n v="0"/>
    <n v="500"/>
    <n v="0"/>
    <n v="0"/>
    <n v="0"/>
    <n v="0"/>
    <n v="0"/>
    <n v="0"/>
    <n v="5602"/>
    <x v="79"/>
    <x v="0"/>
    <x v="0"/>
    <x v="0"/>
  </r>
  <r>
    <s v="Description 593"/>
    <s v="Code 593"/>
    <n v="0"/>
    <n v="0"/>
    <n v="0"/>
    <n v="0"/>
    <n v="0"/>
    <n v="0"/>
    <n v="0"/>
    <n v="0"/>
    <n v="0"/>
    <n v="0"/>
    <n v="3188"/>
    <x v="172"/>
    <x v="0"/>
    <x v="0"/>
    <x v="0"/>
  </r>
  <r>
    <s v="Description 594"/>
    <s v="Code 594"/>
    <n v="889"/>
    <n v="1124"/>
    <n v="1178"/>
    <n v="1464"/>
    <n v="1719"/>
    <n v="1526"/>
    <n v="1470"/>
    <n v="987"/>
    <n v="1348"/>
    <n v="0"/>
    <n v="198"/>
    <x v="82"/>
    <x v="0"/>
    <x v="0"/>
    <x v="0"/>
  </r>
  <r>
    <s v="Description 595"/>
    <s v="Code 595"/>
    <n v="18"/>
    <n v="17"/>
    <n v="8"/>
    <n v="34"/>
    <n v="12"/>
    <n v="11"/>
    <n v="10"/>
    <n v="14"/>
    <n v="12"/>
    <n v="0"/>
    <n v="1416"/>
    <x v="166"/>
    <x v="0"/>
    <x v="0"/>
    <x v="0"/>
  </r>
  <r>
    <s v="Description 596"/>
    <s v="Code 596"/>
    <n v="797"/>
    <n v="668"/>
    <n v="862"/>
    <n v="796"/>
    <n v="914"/>
    <n v="888"/>
    <n v="546"/>
    <n v="592"/>
    <n v="696"/>
    <n v="0"/>
    <n v="0"/>
    <x v="9"/>
    <x v="0"/>
    <x v="0"/>
    <x v="0"/>
  </r>
  <r>
    <s v="Description 597"/>
    <s v="Code 597"/>
    <n v="30"/>
    <n v="15"/>
    <n v="15"/>
    <n v="30"/>
    <n v="30"/>
    <n v="15"/>
    <n v="30"/>
    <n v="15"/>
    <n v="30"/>
    <n v="0"/>
    <n v="0"/>
    <x v="80"/>
    <x v="0"/>
    <x v="0"/>
    <x v="0"/>
  </r>
  <r>
    <s v="Description 598"/>
    <s v="Code 598"/>
    <n v="420"/>
    <n v="120"/>
    <n v="120"/>
    <n v="120"/>
    <n v="360"/>
    <n v="60"/>
    <n v="120"/>
    <n v="300"/>
    <n v="120"/>
    <n v="0"/>
    <n v="0"/>
    <x v="115"/>
    <x v="0"/>
    <x v="0"/>
    <x v="0"/>
  </r>
  <r>
    <s v="Description 599"/>
    <s v="Code 599"/>
    <n v="230"/>
    <n v="100"/>
    <n v="100"/>
    <n v="100"/>
    <n v="130"/>
    <n v="100"/>
    <n v="100"/>
    <n v="130"/>
    <n v="100"/>
    <n v="0"/>
    <n v="662"/>
    <x v="153"/>
    <x v="0"/>
    <x v="0"/>
    <x v="0"/>
  </r>
  <r>
    <s v="Description 600"/>
    <s v="Code 600"/>
    <n v="0"/>
    <n v="120"/>
    <n v="0"/>
    <n v="0"/>
    <n v="0"/>
    <n v="0"/>
    <n v="120"/>
    <n v="0"/>
    <n v="0"/>
    <n v="0"/>
    <n v="0"/>
    <x v="115"/>
    <x v="0"/>
    <x v="0"/>
    <x v="0"/>
  </r>
  <r>
    <s v="Description 601"/>
    <s v="Code 601"/>
    <n v="120"/>
    <n v="0"/>
    <n v="0"/>
    <n v="0"/>
    <n v="120"/>
    <n v="0"/>
    <n v="0"/>
    <n v="120"/>
    <n v="0"/>
    <n v="0"/>
    <n v="0"/>
    <x v="122"/>
    <x v="0"/>
    <x v="0"/>
    <x v="0"/>
  </r>
  <r>
    <s v="Description 602"/>
    <s v="Code 602"/>
    <n v="205"/>
    <n v="72"/>
    <n v="96"/>
    <n v="96"/>
    <n v="60"/>
    <n v="68"/>
    <n v="60"/>
    <n v="68"/>
    <n v="60"/>
    <n v="0"/>
    <n v="0"/>
    <x v="72"/>
    <x v="0"/>
    <x v="0"/>
    <x v="0"/>
  </r>
  <r>
    <s v="Description 603"/>
    <s v="Code 603"/>
    <n v="0"/>
    <n v="0"/>
    <n v="0"/>
    <n v="0"/>
    <n v="600"/>
    <n v="600"/>
    <n v="0"/>
    <n v="0"/>
    <n v="0"/>
    <n v="0"/>
    <n v="0"/>
    <x v="130"/>
    <x v="0"/>
    <x v="1"/>
    <x v="0"/>
  </r>
  <r>
    <s v="Description 604"/>
    <s v="Code 604"/>
    <n v="60"/>
    <n v="0"/>
    <n v="0"/>
    <n v="0"/>
    <n v="60"/>
    <n v="0"/>
    <n v="0"/>
    <n v="60"/>
    <n v="0"/>
    <n v="0"/>
    <n v="0"/>
    <x v="106"/>
    <x v="0"/>
    <x v="0"/>
    <x v="0"/>
  </r>
  <r>
    <s v="Description 605"/>
    <s v="Code 605"/>
    <n v="32"/>
    <n v="56"/>
    <n v="32"/>
    <n v="32"/>
    <n v="0"/>
    <n v="0"/>
    <n v="0"/>
    <n v="0"/>
    <n v="0"/>
    <n v="0"/>
    <n v="0"/>
    <x v="19"/>
    <x v="0"/>
    <x v="0"/>
    <x v="0"/>
  </r>
  <r>
    <s v="Description 606"/>
    <s v="Code 606"/>
    <n v="32"/>
    <n v="40"/>
    <n v="32"/>
    <n v="32"/>
    <n v="0"/>
    <n v="0"/>
    <n v="0"/>
    <n v="0"/>
    <n v="0"/>
    <n v="0"/>
    <n v="0"/>
    <x v="125"/>
    <x v="0"/>
    <x v="0"/>
    <x v="0"/>
  </r>
  <r>
    <s v="Description 607"/>
    <s v="Code 607"/>
    <n v="32"/>
    <n v="40"/>
    <n v="32"/>
    <n v="32"/>
    <n v="0"/>
    <n v="0"/>
    <n v="0"/>
    <n v="0"/>
    <n v="0"/>
    <n v="0"/>
    <n v="26"/>
    <x v="83"/>
    <x v="0"/>
    <x v="0"/>
    <x v="0"/>
  </r>
  <r>
    <s v="Description 608"/>
    <s v="Code 608"/>
    <n v="8"/>
    <n v="0"/>
    <n v="8"/>
    <n v="4"/>
    <n v="12"/>
    <n v="0"/>
    <n v="0"/>
    <n v="0"/>
    <n v="4"/>
    <n v="0"/>
    <n v="3370"/>
    <x v="119"/>
    <x v="0"/>
    <x v="1"/>
    <x v="0"/>
  </r>
  <r>
    <s v="Description 609"/>
    <s v="Code 609"/>
    <n v="108"/>
    <n v="108"/>
    <n v="136"/>
    <n v="136"/>
    <n v="108"/>
    <n v="136"/>
    <n v="80"/>
    <n v="80"/>
    <n v="80"/>
    <n v="0"/>
    <n v="0"/>
    <x v="4"/>
    <x v="0"/>
    <x v="0"/>
    <x v="0"/>
  </r>
  <r>
    <s v="Description 610"/>
    <s v="Code 610"/>
    <n v="76"/>
    <n v="62"/>
    <n v="86"/>
    <n v="86"/>
    <n v="30"/>
    <n v="44"/>
    <n v="40"/>
    <n v="42"/>
    <n v="32"/>
    <n v="0"/>
    <n v="0"/>
    <x v="133"/>
    <x v="0"/>
    <x v="0"/>
    <x v="0"/>
  </r>
  <r>
    <s v="Description 611"/>
    <s v="Code 611"/>
    <n v="228"/>
    <n v="186"/>
    <n v="258"/>
    <n v="258"/>
    <n v="90"/>
    <n v="132"/>
    <n v="120"/>
    <n v="126"/>
    <n v="96"/>
    <n v="0"/>
    <n v="4777"/>
    <x v="133"/>
    <x v="0"/>
    <x v="0"/>
    <x v="0"/>
  </r>
  <r>
    <s v="Description 612"/>
    <s v="Code 612"/>
    <n v="132"/>
    <n v="72"/>
    <n v="90"/>
    <n v="90"/>
    <n v="132"/>
    <n v="90"/>
    <n v="54"/>
    <n v="54"/>
    <n v="54"/>
    <n v="0"/>
    <n v="0"/>
    <x v="80"/>
    <x v="0"/>
    <x v="0"/>
    <x v="0"/>
  </r>
  <r>
    <s v="Description 613"/>
    <s v="Code 613"/>
    <n v="40"/>
    <n v="40"/>
    <n v="50"/>
    <n v="50"/>
    <n v="40"/>
    <n v="50"/>
    <n v="30"/>
    <n v="30"/>
    <n v="30"/>
    <n v="0"/>
    <n v="1570"/>
    <x v="22"/>
    <x v="0"/>
    <x v="0"/>
    <x v="0"/>
  </r>
  <r>
    <s v="Description 614"/>
    <s v="Code 614"/>
    <n v="2872"/>
    <n v="572"/>
    <n v="1268"/>
    <n v="2372"/>
    <n v="620"/>
    <n v="600"/>
    <n v="0"/>
    <n v="1440"/>
    <n v="600"/>
    <n v="0"/>
    <n v="2156"/>
    <x v="120"/>
    <x v="0"/>
    <x v="0"/>
    <x v="0"/>
  </r>
  <r>
    <s v="Description 615"/>
    <s v="Code 615"/>
    <n v="60"/>
    <n v="60"/>
    <n v="76"/>
    <n v="76"/>
    <n v="60"/>
    <n v="76"/>
    <n v="44"/>
    <n v="44"/>
    <n v="44"/>
    <n v="0"/>
    <n v="71"/>
    <x v="86"/>
    <x v="0"/>
    <x v="0"/>
    <x v="0"/>
  </r>
  <r>
    <s v="Description 616"/>
    <s v="Code 616"/>
    <n v="60"/>
    <n v="60"/>
    <n v="76"/>
    <n v="76"/>
    <n v="60"/>
    <n v="76"/>
    <n v="44"/>
    <n v="44"/>
    <n v="44"/>
    <n v="0"/>
    <n v="2237"/>
    <x v="187"/>
    <x v="0"/>
    <x v="1"/>
    <x v="0"/>
  </r>
  <r>
    <s v="Description 617"/>
    <s v="Code 617"/>
    <n v="132"/>
    <n v="72"/>
    <n v="90"/>
    <n v="90"/>
    <n v="132"/>
    <n v="90"/>
    <n v="54"/>
    <n v="54"/>
    <n v="54"/>
    <n v="0"/>
    <n v="867"/>
    <x v="188"/>
    <x v="0"/>
    <x v="0"/>
    <x v="0"/>
  </r>
  <r>
    <s v="Description 618"/>
    <s v="Code 618"/>
    <n v="40"/>
    <n v="40"/>
    <n v="50"/>
    <n v="50"/>
    <n v="40"/>
    <n v="50"/>
    <n v="30"/>
    <n v="30"/>
    <n v="30"/>
    <n v="0"/>
    <n v="1481"/>
    <x v="87"/>
    <x v="0"/>
    <x v="0"/>
    <x v="0"/>
  </r>
  <r>
    <s v="Description 619"/>
    <s v="Code 619"/>
    <n v="108"/>
    <n v="108"/>
    <n v="136"/>
    <n v="136"/>
    <n v="108"/>
    <n v="136"/>
    <n v="80"/>
    <n v="80"/>
    <n v="80"/>
    <n v="0"/>
    <n v="988"/>
    <x v="72"/>
    <x v="0"/>
    <x v="0"/>
    <x v="0"/>
  </r>
  <r>
    <s v="Description 620"/>
    <s v="Code 620"/>
    <n v="4"/>
    <n v="0"/>
    <n v="0"/>
    <n v="0"/>
    <n v="4"/>
    <n v="0"/>
    <n v="0"/>
    <n v="0"/>
    <n v="0"/>
    <n v="0"/>
    <n v="1171"/>
    <x v="130"/>
    <x v="0"/>
    <x v="1"/>
    <x v="0"/>
  </r>
  <r>
    <s v="Description 621"/>
    <s v="Code 621"/>
    <n v="4"/>
    <n v="0"/>
    <n v="0"/>
    <n v="0"/>
    <n v="4"/>
    <n v="0"/>
    <n v="0"/>
    <n v="0"/>
    <n v="0"/>
    <n v="0"/>
    <n v="200"/>
    <x v="91"/>
    <x v="0"/>
    <x v="0"/>
    <x v="0"/>
  </r>
  <r>
    <s v="Description 622"/>
    <s v="Code 622"/>
    <n v="0"/>
    <n v="16"/>
    <n v="0"/>
    <n v="0"/>
    <n v="0"/>
    <n v="0"/>
    <n v="0"/>
    <n v="0"/>
    <n v="0"/>
    <n v="0"/>
    <n v="0"/>
    <x v="177"/>
    <x v="0"/>
    <x v="0"/>
    <x v="0"/>
  </r>
  <r>
    <s v="Description 623"/>
    <s v="Code 623"/>
    <n v="16"/>
    <n v="28"/>
    <n v="16"/>
    <n v="16"/>
    <n v="0"/>
    <n v="0"/>
    <n v="0"/>
    <n v="0"/>
    <n v="0"/>
    <n v="0"/>
    <n v="0"/>
    <x v="130"/>
    <x v="0"/>
    <x v="1"/>
    <x v="0"/>
  </r>
  <r>
    <s v="Description 624"/>
    <s v="Code 624"/>
    <n v="48"/>
    <n v="84"/>
    <n v="36"/>
    <n v="36"/>
    <n v="0"/>
    <n v="0"/>
    <n v="0"/>
    <n v="0"/>
    <n v="0"/>
    <n v="0"/>
    <n v="200"/>
    <x v="34"/>
    <x v="0"/>
    <x v="0"/>
    <x v="0"/>
  </r>
  <r>
    <s v="Description 625"/>
    <s v="Code 625"/>
    <n v="0"/>
    <n v="16"/>
    <n v="0"/>
    <n v="0"/>
    <n v="0"/>
    <n v="0"/>
    <n v="0"/>
    <n v="0"/>
    <n v="0"/>
    <n v="0"/>
    <n v="2231"/>
    <x v="124"/>
    <x v="0"/>
    <x v="0"/>
    <x v="0"/>
  </r>
  <r>
    <s v="Description 626"/>
    <s v="Code 626"/>
    <n v="189"/>
    <n v="225"/>
    <n v="312"/>
    <n v="266"/>
    <n v="268"/>
    <n v="239"/>
    <n v="189"/>
    <n v="108"/>
    <n v="107"/>
    <n v="0"/>
    <n v="5457"/>
    <x v="183"/>
    <x v="0"/>
    <x v="0"/>
    <x v="0"/>
  </r>
  <r>
    <s v="Description 627"/>
    <s v="Code 627"/>
    <n v="239"/>
    <n v="162"/>
    <n v="309"/>
    <n v="451"/>
    <n v="468"/>
    <n v="414"/>
    <n v="281"/>
    <n v="308"/>
    <n v="267"/>
    <n v="0"/>
    <n v="3776"/>
    <x v="188"/>
    <x v="0"/>
    <x v="0"/>
    <x v="0"/>
  </r>
  <r>
    <s v="Description 628"/>
    <s v="Code 628"/>
    <n v="241"/>
    <n v="279"/>
    <n v="392"/>
    <n v="366"/>
    <n v="370"/>
    <n v="331"/>
    <n v="253"/>
    <n v="172"/>
    <n v="162"/>
    <n v="0"/>
    <n v="451"/>
    <x v="22"/>
    <x v="0"/>
    <x v="0"/>
    <x v="0"/>
  </r>
  <r>
    <s v="Description 629"/>
    <s v="Code 629"/>
    <n v="64"/>
    <n v="81"/>
    <n v="109"/>
    <n v="92"/>
    <n v="92"/>
    <n v="83"/>
    <n v="65"/>
    <n v="36"/>
    <n v="36"/>
    <n v="0"/>
    <n v="1060"/>
    <x v="10"/>
    <x v="0"/>
    <x v="0"/>
    <x v="0"/>
  </r>
  <r>
    <s v="Description 630"/>
    <s v="Code 630"/>
    <n v="106"/>
    <n v="99"/>
    <n v="155"/>
    <n v="291"/>
    <n v="294"/>
    <n v="275"/>
    <n v="176"/>
    <n v="218"/>
    <n v="177"/>
    <n v="0"/>
    <n v="1002"/>
    <x v="119"/>
    <x v="0"/>
    <x v="1"/>
    <x v="0"/>
  </r>
  <r>
    <s v="Description 631"/>
    <s v="Code 631"/>
    <n v="42"/>
    <n v="54"/>
    <n v="72"/>
    <n v="108"/>
    <n v="108"/>
    <n v="102"/>
    <n v="66"/>
    <n v="72"/>
    <n v="60"/>
    <n v="0"/>
    <n v="1370"/>
    <x v="0"/>
    <x v="0"/>
    <x v="0"/>
    <x v="0"/>
  </r>
  <r>
    <s v="Description 632"/>
    <s v="Code 632"/>
    <n v="42"/>
    <n v="54"/>
    <n v="72"/>
    <n v="60"/>
    <n v="60"/>
    <n v="54"/>
    <n v="42"/>
    <n v="24"/>
    <n v="24"/>
    <n v="0"/>
    <n v="511"/>
    <x v="170"/>
    <x v="0"/>
    <x v="0"/>
    <x v="0"/>
  </r>
  <r>
    <s v="Description 633"/>
    <s v="Code 633"/>
    <n v="27"/>
    <n v="18"/>
    <n v="35"/>
    <n v="46"/>
    <n v="48"/>
    <n v="42"/>
    <n v="32"/>
    <n v="28"/>
    <n v="24"/>
    <n v="0"/>
    <n v="2321"/>
    <x v="120"/>
    <x v="0"/>
    <x v="0"/>
    <x v="0"/>
  </r>
  <r>
    <s v="Description 634"/>
    <s v="Code 634"/>
    <n v="86"/>
    <n v="18"/>
    <n v="84"/>
    <n v="80"/>
    <n v="92"/>
    <n v="66"/>
    <n v="70"/>
    <n v="44"/>
    <n v="40"/>
    <n v="0"/>
    <n v="4035"/>
    <x v="3"/>
    <x v="0"/>
    <x v="0"/>
    <x v="0"/>
  </r>
  <r>
    <s v="Description 635"/>
    <s v="Code 635"/>
    <n v="81"/>
    <n v="54"/>
    <n v="104"/>
    <n v="154"/>
    <n v="160"/>
    <n v="141"/>
    <n v="76"/>
    <n v="110"/>
    <n v="104"/>
    <n v="0"/>
    <n v="881"/>
    <x v="11"/>
    <x v="0"/>
    <x v="0"/>
    <x v="0"/>
  </r>
  <r>
    <s v="Description 636"/>
    <s v="Code 636"/>
    <n v="12"/>
    <n v="0"/>
    <n v="10"/>
    <n v="8"/>
    <n v="10"/>
    <n v="6"/>
    <n v="8"/>
    <n v="4"/>
    <n v="4"/>
    <n v="0"/>
    <n v="660"/>
    <x v="89"/>
    <x v="0"/>
    <x v="1"/>
    <x v="0"/>
  </r>
  <r>
    <s v="Description 637"/>
    <s v="Code 637"/>
    <n v="55"/>
    <n v="9"/>
    <n v="52"/>
    <n v="42"/>
    <n v="50"/>
    <n v="33"/>
    <n v="39"/>
    <n v="20"/>
    <n v="20"/>
    <n v="0"/>
    <n v="645"/>
    <x v="32"/>
    <x v="0"/>
    <x v="0"/>
    <x v="0"/>
  </r>
  <r>
    <s v="Description 638"/>
    <s v="Code 638"/>
    <n v="104"/>
    <n v="126"/>
    <n v="172"/>
    <n v="315"/>
    <n v="313"/>
    <n v="300"/>
    <n v="187"/>
    <n v="230"/>
    <n v="187"/>
    <n v="0"/>
    <n v="608"/>
    <x v="87"/>
    <x v="0"/>
    <x v="0"/>
    <x v="0"/>
  </r>
  <r>
    <s v="Description 639"/>
    <s v="Code 639"/>
    <n v="7"/>
    <n v="9"/>
    <n v="12"/>
    <n v="10"/>
    <n v="10"/>
    <n v="9"/>
    <n v="7"/>
    <n v="4"/>
    <n v="4"/>
    <n v="0"/>
    <n v="232"/>
    <x v="147"/>
    <x v="0"/>
    <x v="0"/>
    <x v="0"/>
  </r>
  <r>
    <s v="Description 640"/>
    <s v="Code 640"/>
    <n v="6"/>
    <n v="0"/>
    <n v="5"/>
    <n v="4"/>
    <n v="4"/>
    <n v="3"/>
    <n v="4"/>
    <n v="2"/>
    <n v="2"/>
    <n v="0"/>
    <n v="177"/>
    <x v="46"/>
    <x v="0"/>
    <x v="0"/>
    <x v="0"/>
  </r>
  <r>
    <s v="Description 641"/>
    <s v="Code 641"/>
    <n v="0"/>
    <n v="0"/>
    <n v="0"/>
    <n v="0"/>
    <n v="0"/>
    <n v="0"/>
    <n v="0"/>
    <n v="0"/>
    <n v="0"/>
    <n v="0"/>
    <n v="1342"/>
    <x v="80"/>
    <x v="0"/>
    <x v="0"/>
    <x v="0"/>
  </r>
  <r>
    <s v="Description 642"/>
    <s v="Code 642"/>
    <n v="0"/>
    <n v="0"/>
    <n v="0"/>
    <n v="36"/>
    <n v="36"/>
    <n v="36"/>
    <n v="14"/>
    <n v="36"/>
    <n v="29"/>
    <n v="0"/>
    <n v="635"/>
    <x v="125"/>
    <x v="0"/>
    <x v="0"/>
    <x v="0"/>
  </r>
  <r>
    <s v="Description 643"/>
    <s v="Code 643"/>
    <n v="0"/>
    <n v="0"/>
    <n v="0"/>
    <n v="8"/>
    <n v="8"/>
    <n v="8"/>
    <n v="4"/>
    <n v="8"/>
    <n v="6"/>
    <n v="0"/>
    <n v="0"/>
    <x v="43"/>
    <x v="0"/>
    <x v="0"/>
    <x v="0"/>
  </r>
  <r>
    <s v="Description 644"/>
    <s v="Code 644"/>
    <n v="0"/>
    <n v="0"/>
    <n v="0"/>
    <n v="0"/>
    <n v="0"/>
    <n v="0"/>
    <n v="0"/>
    <n v="0"/>
    <n v="0"/>
    <n v="0"/>
    <n v="500"/>
    <x v="64"/>
    <x v="0"/>
    <x v="0"/>
    <x v="0"/>
  </r>
  <r>
    <s v="Description 645"/>
    <s v="Code 645"/>
    <n v="312"/>
    <n v="312"/>
    <n v="336"/>
    <n v="264"/>
    <n v="324"/>
    <n v="288"/>
    <n v="264"/>
    <n v="264"/>
    <n v="216"/>
    <n v="0"/>
    <n v="199"/>
    <x v="98"/>
    <x v="0"/>
    <x v="0"/>
    <x v="0"/>
  </r>
  <r>
    <s v="Description 646"/>
    <s v="Code 646"/>
    <n v="30"/>
    <n v="30"/>
    <n v="40"/>
    <n v="40"/>
    <n v="30"/>
    <n v="30"/>
    <n v="40"/>
    <n v="40"/>
    <n v="10"/>
    <n v="0"/>
    <n v="1328"/>
    <x v="164"/>
    <x v="0"/>
    <x v="0"/>
    <x v="0"/>
  </r>
  <r>
    <s v="Description 647"/>
    <s v="Code 647"/>
    <n v="0"/>
    <n v="0"/>
    <n v="0"/>
    <n v="14"/>
    <n v="14"/>
    <n v="14"/>
    <n v="0"/>
    <n v="14"/>
    <n v="14"/>
    <n v="0"/>
    <n v="5038"/>
    <x v="37"/>
    <x v="0"/>
    <x v="0"/>
    <x v="0"/>
  </r>
  <r>
    <s v="Description 648"/>
    <s v="Code 648"/>
    <n v="2"/>
    <n v="2"/>
    <n v="12"/>
    <n v="16"/>
    <n v="16"/>
    <n v="18"/>
    <n v="2"/>
    <n v="16"/>
    <n v="16"/>
    <n v="0"/>
    <n v="0"/>
    <x v="173"/>
    <x v="0"/>
    <x v="0"/>
    <x v="0"/>
  </r>
  <r>
    <s v="Description 649"/>
    <s v="Code 649"/>
    <n v="114"/>
    <n v="342"/>
    <n v="57"/>
    <n v="75"/>
    <n v="126"/>
    <n v="0"/>
    <n v="0"/>
    <n v="0"/>
    <n v="0"/>
    <n v="0"/>
    <n v="3935"/>
    <x v="189"/>
    <x v="0"/>
    <x v="0"/>
    <x v="0"/>
  </r>
  <r>
    <s v="Description 650"/>
    <s v="Code 650"/>
    <n v="26"/>
    <n v="78"/>
    <n v="13"/>
    <n v="13"/>
    <n v="26"/>
    <n v="0"/>
    <n v="0"/>
    <n v="0"/>
    <n v="0"/>
    <n v="0"/>
    <n v="1770"/>
    <x v="130"/>
    <x v="0"/>
    <x v="1"/>
    <x v="0"/>
  </r>
  <r>
    <s v="Description 651"/>
    <s v="Code 651"/>
    <n v="12"/>
    <n v="36"/>
    <n v="6"/>
    <n v="6"/>
    <n v="12"/>
    <n v="0"/>
    <n v="0"/>
    <n v="0"/>
    <n v="0"/>
    <n v="0"/>
    <n v="2470"/>
    <x v="181"/>
    <x v="0"/>
    <x v="0"/>
    <x v="0"/>
  </r>
  <r>
    <s v="Description 652"/>
    <s v="Code 652"/>
    <n v="12"/>
    <n v="36"/>
    <n v="6"/>
    <n v="12"/>
    <n v="12"/>
    <n v="0"/>
    <n v="0"/>
    <n v="0"/>
    <n v="0"/>
    <n v="0"/>
    <n v="585"/>
    <x v="120"/>
    <x v="0"/>
    <x v="0"/>
    <x v="0"/>
  </r>
  <r>
    <s v="Description 653"/>
    <s v="Code 653"/>
    <n v="6"/>
    <n v="18"/>
    <n v="3"/>
    <n v="6"/>
    <n v="6"/>
    <n v="0"/>
    <n v="0"/>
    <n v="0"/>
    <n v="0"/>
    <n v="0"/>
    <n v="0"/>
    <x v="121"/>
    <x v="0"/>
    <x v="0"/>
    <x v="0"/>
  </r>
  <r>
    <s v="Description 654"/>
    <s v="Code 654"/>
    <n v="16"/>
    <n v="48"/>
    <n v="8"/>
    <n v="16"/>
    <n v="16"/>
    <n v="0"/>
    <n v="0"/>
    <n v="0"/>
    <n v="0"/>
    <n v="0"/>
    <n v="0"/>
    <x v="190"/>
    <x v="0"/>
    <x v="0"/>
    <x v="0"/>
  </r>
  <r>
    <s v="Description 655"/>
    <s v="Code 655"/>
    <n v="8"/>
    <n v="24"/>
    <n v="4"/>
    <n v="8"/>
    <n v="8"/>
    <n v="0"/>
    <n v="0"/>
    <n v="0"/>
    <n v="0"/>
    <n v="0"/>
    <n v="900"/>
    <x v="107"/>
    <x v="0"/>
    <x v="0"/>
    <x v="0"/>
  </r>
  <r>
    <s v="Description 656"/>
    <s v="Code 656"/>
    <n v="1"/>
    <n v="0"/>
    <n v="0"/>
    <n v="0"/>
    <n v="0"/>
    <n v="0"/>
    <n v="0"/>
    <n v="0"/>
    <n v="0"/>
    <n v="0"/>
    <n v="250"/>
    <x v="50"/>
    <x v="0"/>
    <x v="0"/>
    <x v="0"/>
  </r>
  <r>
    <s v="Description 657"/>
    <s v="Code 657"/>
    <n v="16"/>
    <n v="0"/>
    <n v="16"/>
    <n v="16"/>
    <n v="0"/>
    <n v="0"/>
    <n v="0"/>
    <n v="0"/>
    <n v="0"/>
    <n v="0"/>
    <n v="1125"/>
    <x v="131"/>
    <x v="0"/>
    <x v="0"/>
    <x v="0"/>
  </r>
  <r>
    <s v="Description 658"/>
    <s v="Code 658"/>
    <n v="122"/>
    <n v="0"/>
    <n v="80"/>
    <n v="90"/>
    <n v="0"/>
    <n v="0"/>
    <n v="0"/>
    <n v="0"/>
    <n v="0"/>
    <n v="0"/>
    <n v="100"/>
    <x v="129"/>
    <x v="0"/>
    <x v="1"/>
    <x v="0"/>
  </r>
  <r>
    <s v="Description 659"/>
    <s v="Code 659"/>
    <n v="4"/>
    <n v="0"/>
    <n v="0"/>
    <n v="4"/>
    <n v="0"/>
    <n v="0"/>
    <n v="0"/>
    <n v="0"/>
    <n v="0"/>
    <n v="0"/>
    <n v="2840"/>
    <x v="151"/>
    <x v="0"/>
    <x v="0"/>
    <x v="0"/>
  </r>
  <r>
    <s v="Description 660"/>
    <s v="Code 660"/>
    <n v="214"/>
    <n v="0"/>
    <n v="118"/>
    <n v="158"/>
    <n v="0"/>
    <n v="0"/>
    <n v="0"/>
    <n v="0"/>
    <n v="0"/>
    <n v="0"/>
    <n v="1410"/>
    <x v="110"/>
    <x v="0"/>
    <x v="0"/>
    <x v="0"/>
  </r>
  <r>
    <s v="Description 661"/>
    <s v="Code 661"/>
    <n v="130"/>
    <n v="0"/>
    <n v="96"/>
    <n v="96"/>
    <n v="0"/>
    <n v="0"/>
    <n v="0"/>
    <n v="0"/>
    <n v="0"/>
    <n v="0"/>
    <n v="125"/>
    <x v="38"/>
    <x v="0"/>
    <x v="0"/>
    <x v="0"/>
  </r>
  <r>
    <s v="Description 662"/>
    <s v="Code 662"/>
    <n v="16"/>
    <n v="0"/>
    <n v="16"/>
    <n v="16"/>
    <n v="0"/>
    <n v="0"/>
    <n v="0"/>
    <n v="0"/>
    <n v="0"/>
    <n v="0"/>
    <n v="125"/>
    <x v="170"/>
    <x v="0"/>
    <x v="0"/>
    <x v="0"/>
  </r>
  <r>
    <s v="Description 663"/>
    <s v="Code 663"/>
    <n v="2"/>
    <n v="0"/>
    <n v="0"/>
    <n v="2"/>
    <n v="0"/>
    <n v="0"/>
    <n v="0"/>
    <n v="0"/>
    <n v="0"/>
    <n v="0"/>
    <n v="940"/>
    <x v="38"/>
    <x v="0"/>
    <x v="0"/>
    <x v="0"/>
  </r>
  <r>
    <s v="Description 664"/>
    <s v="Code 664"/>
    <n v="118"/>
    <n v="0"/>
    <n v="80"/>
    <n v="86"/>
    <n v="0"/>
    <n v="0"/>
    <n v="0"/>
    <n v="0"/>
    <n v="0"/>
    <n v="0"/>
    <n v="1800"/>
    <x v="142"/>
    <x v="0"/>
    <x v="0"/>
    <x v="0"/>
  </r>
  <r>
    <s v="Description 665"/>
    <s v="Code 665"/>
    <n v="214"/>
    <n v="0"/>
    <n v="118"/>
    <n v="158"/>
    <n v="0"/>
    <n v="0"/>
    <n v="0"/>
    <n v="0"/>
    <n v="0"/>
    <n v="0"/>
    <n v="800"/>
    <x v="76"/>
    <x v="0"/>
    <x v="1"/>
    <x v="0"/>
  </r>
  <r>
    <s v="Description 666"/>
    <s v="Code 666"/>
    <n v="112"/>
    <n v="0"/>
    <n v="82"/>
    <n v="82"/>
    <n v="0"/>
    <n v="0"/>
    <n v="0"/>
    <n v="0"/>
    <n v="0"/>
    <n v="0"/>
    <n v="200"/>
    <x v="60"/>
    <x v="0"/>
    <x v="0"/>
    <x v="0"/>
  </r>
  <r>
    <s v="Description 667"/>
    <s v="Code 667"/>
    <n v="4"/>
    <n v="0"/>
    <n v="0"/>
    <n v="4"/>
    <n v="0"/>
    <n v="0"/>
    <n v="0"/>
    <n v="0"/>
    <n v="0"/>
    <n v="0"/>
    <n v="1000"/>
    <x v="31"/>
    <x v="0"/>
    <x v="0"/>
    <x v="0"/>
  </r>
  <r>
    <s v="Description 668"/>
    <s v="Code 668"/>
    <n v="96"/>
    <n v="0"/>
    <n v="96"/>
    <n v="96"/>
    <n v="0"/>
    <n v="0"/>
    <n v="0"/>
    <n v="0"/>
    <n v="0"/>
    <n v="0"/>
    <n v="500"/>
    <x v="83"/>
    <x v="0"/>
    <x v="0"/>
    <x v="0"/>
  </r>
  <r>
    <s v="Description 669"/>
    <s v="Code 669"/>
    <n v="344"/>
    <n v="0"/>
    <n v="0"/>
    <n v="0"/>
    <n v="0"/>
    <n v="0"/>
    <n v="0"/>
    <n v="0"/>
    <n v="0"/>
    <n v="0"/>
    <n v="3000"/>
    <x v="96"/>
    <x v="0"/>
    <x v="0"/>
    <x v="0"/>
  </r>
  <r>
    <s v="Description 670"/>
    <s v="Code 670"/>
    <n v="86"/>
    <n v="0"/>
    <n v="0"/>
    <n v="0"/>
    <n v="0"/>
    <n v="0"/>
    <n v="0"/>
    <n v="0"/>
    <n v="0"/>
    <n v="0"/>
    <n v="326"/>
    <x v="171"/>
    <x v="0"/>
    <x v="0"/>
    <x v="0"/>
  </r>
  <r>
    <s v="Description 671"/>
    <s v="Code 671"/>
    <n v="406"/>
    <n v="0"/>
    <n v="210"/>
    <n v="28"/>
    <n v="18"/>
    <n v="200"/>
    <n v="12"/>
    <n v="30"/>
    <n v="0"/>
    <n v="0"/>
    <n v="37"/>
    <x v="113"/>
    <x v="0"/>
    <x v="0"/>
    <x v="0"/>
  </r>
  <r>
    <s v="Description 672"/>
    <s v="Code 672"/>
    <n v="0"/>
    <n v="0"/>
    <n v="0"/>
    <n v="0"/>
    <n v="0"/>
    <n v="0"/>
    <n v="0"/>
    <n v="0"/>
    <n v="0"/>
    <n v="0"/>
    <n v="0"/>
    <x v="77"/>
    <x v="0"/>
    <x v="0"/>
    <x v="0"/>
  </r>
  <r>
    <s v="Description 673"/>
    <s v="Code 673"/>
    <n v="0"/>
    <n v="0"/>
    <n v="0"/>
    <n v="0"/>
    <n v="0"/>
    <n v="0"/>
    <n v="0"/>
    <n v="0"/>
    <n v="0"/>
    <n v="0"/>
    <n v="5"/>
    <x v="114"/>
    <x v="0"/>
    <x v="0"/>
    <x v="0"/>
  </r>
  <r>
    <s v="Description 674"/>
    <s v="Code 674"/>
    <n v="0"/>
    <n v="0"/>
    <n v="4"/>
    <n v="4"/>
    <n v="0"/>
    <n v="0"/>
    <n v="0"/>
    <n v="6"/>
    <n v="0"/>
    <n v="0"/>
    <n v="1132"/>
    <x v="133"/>
    <x v="0"/>
    <x v="0"/>
    <x v="0"/>
  </r>
  <r>
    <s v="Description 675"/>
    <s v="Code 675"/>
    <n v="0"/>
    <n v="0"/>
    <n v="0"/>
    <n v="0"/>
    <n v="0"/>
    <n v="0"/>
    <n v="0"/>
    <n v="0"/>
    <n v="0"/>
    <n v="0"/>
    <n v="40"/>
    <x v="191"/>
    <x v="0"/>
    <x v="0"/>
    <x v="0"/>
  </r>
  <r>
    <s v="Description 676"/>
    <s v="Code 676"/>
    <n v="12"/>
    <n v="6"/>
    <n v="12"/>
    <n v="12"/>
    <n v="12"/>
    <n v="12"/>
    <n v="12"/>
    <n v="0"/>
    <n v="0"/>
    <n v="0"/>
    <n v="40"/>
    <x v="144"/>
    <x v="0"/>
    <x v="0"/>
    <x v="0"/>
  </r>
  <r>
    <s v="Description 677"/>
    <s v="Code 677"/>
    <n v="48"/>
    <n v="24"/>
    <n v="48"/>
    <n v="48"/>
    <n v="48"/>
    <n v="48"/>
    <n v="48"/>
    <n v="0"/>
    <n v="0"/>
    <n v="0"/>
    <n v="1200"/>
    <x v="63"/>
    <x v="0"/>
    <x v="0"/>
    <x v="0"/>
  </r>
  <r>
    <s v="Description 678"/>
    <s v="Code 678"/>
    <n v="214"/>
    <n v="162"/>
    <n v="162"/>
    <n v="162"/>
    <n v="0"/>
    <n v="0"/>
    <n v="0"/>
    <n v="0"/>
    <n v="0"/>
    <n v="0"/>
    <n v="1000"/>
    <x v="166"/>
    <x v="0"/>
    <x v="0"/>
    <x v="0"/>
  </r>
  <r>
    <s v="Description 679"/>
    <s v="Code 679"/>
    <n v="372"/>
    <n v="507"/>
    <n v="493"/>
    <n v="584"/>
    <n v="359"/>
    <n v="339"/>
    <n v="349"/>
    <n v="272"/>
    <n v="145"/>
    <n v="0"/>
    <n v="0"/>
    <x v="24"/>
    <x v="0"/>
    <x v="0"/>
    <x v="0"/>
  </r>
  <r>
    <s v="Description 680"/>
    <s v="Code 680"/>
    <n v="0"/>
    <n v="0"/>
    <n v="0"/>
    <n v="0"/>
    <n v="0"/>
    <n v="0"/>
    <n v="0"/>
    <n v="0"/>
    <n v="0"/>
    <n v="0"/>
    <n v="0"/>
    <x v="190"/>
    <x v="0"/>
    <x v="0"/>
    <x v="0"/>
  </r>
  <r>
    <s v="Description 681"/>
    <s v="Code 681"/>
    <n v="8"/>
    <n v="14"/>
    <n v="8"/>
    <n v="8"/>
    <n v="0"/>
    <n v="0"/>
    <n v="0"/>
    <n v="0"/>
    <n v="0"/>
    <n v="0"/>
    <n v="0"/>
    <x v="53"/>
    <x v="0"/>
    <x v="0"/>
    <x v="0"/>
  </r>
  <r>
    <s v="Description 682"/>
    <s v="Code 682"/>
    <n v="0"/>
    <n v="0"/>
    <n v="0"/>
    <n v="0"/>
    <n v="0"/>
    <n v="0"/>
    <n v="0"/>
    <n v="0"/>
    <n v="0"/>
    <n v="0"/>
    <n v="0"/>
    <x v="150"/>
    <x v="0"/>
    <x v="0"/>
    <x v="0"/>
  </r>
  <r>
    <s v="Description 683"/>
    <s v="Code 683"/>
    <n v="6"/>
    <n v="18"/>
    <n v="3"/>
    <n v="3"/>
    <n v="6"/>
    <n v="0"/>
    <n v="0"/>
    <n v="0"/>
    <n v="0"/>
    <n v="0"/>
    <n v="0"/>
    <x v="105"/>
    <x v="0"/>
    <x v="1"/>
    <x v="0"/>
  </r>
  <r>
    <s v="Description 684"/>
    <s v="Code 684"/>
    <n v="2"/>
    <n v="6"/>
    <n v="1"/>
    <n v="1"/>
    <n v="2"/>
    <n v="0"/>
    <n v="0"/>
    <n v="0"/>
    <n v="0"/>
    <n v="0"/>
    <n v="0"/>
    <x v="5"/>
    <x v="0"/>
    <x v="0"/>
    <x v="0"/>
  </r>
  <r>
    <s v="Description 685"/>
    <s v="Code 685"/>
    <n v="4"/>
    <n v="12"/>
    <n v="2"/>
    <n v="2"/>
    <n v="4"/>
    <n v="0"/>
    <n v="0"/>
    <n v="0"/>
    <n v="0"/>
    <n v="0"/>
    <n v="0"/>
    <x v="152"/>
    <x v="0"/>
    <x v="0"/>
    <x v="0"/>
  </r>
  <r>
    <s v="Description 686"/>
    <s v="Code 686"/>
    <n v="4"/>
    <n v="12"/>
    <n v="2"/>
    <n v="2"/>
    <n v="4"/>
    <n v="0"/>
    <n v="0"/>
    <n v="0"/>
    <n v="0"/>
    <n v="0"/>
    <n v="200"/>
    <x v="29"/>
    <x v="0"/>
    <x v="0"/>
    <x v="0"/>
  </r>
  <r>
    <s v="Description 687"/>
    <s v="Code 687"/>
    <n v="0"/>
    <n v="0"/>
    <n v="0"/>
    <n v="0"/>
    <n v="0"/>
    <n v="0"/>
    <n v="0"/>
    <n v="0"/>
    <n v="0"/>
    <n v="0"/>
    <n v="200"/>
    <x v="2"/>
    <x v="0"/>
    <x v="0"/>
    <x v="0"/>
  </r>
  <r>
    <s v="Description 688"/>
    <s v="Code 688"/>
    <n v="6"/>
    <n v="18"/>
    <n v="3"/>
    <n v="6"/>
    <n v="6"/>
    <n v="0"/>
    <n v="0"/>
    <n v="0"/>
    <n v="0"/>
    <n v="0"/>
    <n v="19"/>
    <x v="140"/>
    <x v="0"/>
    <x v="0"/>
    <x v="0"/>
  </r>
  <r>
    <s v="Description 689"/>
    <s v="Code 689"/>
    <n v="2"/>
    <n v="6"/>
    <n v="1"/>
    <n v="2"/>
    <n v="2"/>
    <n v="0"/>
    <n v="0"/>
    <n v="0"/>
    <n v="0"/>
    <n v="0"/>
    <n v="0"/>
    <x v="53"/>
    <x v="0"/>
    <x v="0"/>
    <x v="0"/>
  </r>
  <r>
    <s v="Description 690"/>
    <s v="Code 690"/>
    <n v="2"/>
    <n v="6"/>
    <n v="1"/>
    <n v="1"/>
    <n v="2"/>
    <n v="0"/>
    <n v="0"/>
    <n v="0"/>
    <n v="0"/>
    <n v="0"/>
    <n v="0"/>
    <x v="175"/>
    <x v="0"/>
    <x v="0"/>
    <x v="0"/>
  </r>
  <r>
    <s v="Description 691"/>
    <s v="Code 691"/>
    <n v="2"/>
    <n v="6"/>
    <n v="1"/>
    <n v="1"/>
    <n v="2"/>
    <n v="0"/>
    <n v="0"/>
    <n v="0"/>
    <n v="0"/>
    <n v="0"/>
    <n v="0"/>
    <x v="168"/>
    <x v="0"/>
    <x v="0"/>
    <x v="0"/>
  </r>
  <r>
    <s v="Description 692"/>
    <s v="Code 692"/>
    <n v="2"/>
    <n v="6"/>
    <n v="1"/>
    <n v="2"/>
    <n v="0"/>
    <n v="0"/>
    <n v="0"/>
    <n v="0"/>
    <n v="0"/>
    <n v="0"/>
    <n v="0"/>
    <x v="137"/>
    <x v="0"/>
    <x v="1"/>
    <x v="0"/>
  </r>
  <r>
    <s v="Description 693"/>
    <s v="Code 693"/>
    <n v="2"/>
    <n v="6"/>
    <n v="1"/>
    <n v="2"/>
    <n v="0"/>
    <n v="0"/>
    <n v="0"/>
    <n v="0"/>
    <n v="0"/>
    <n v="0"/>
    <n v="0"/>
    <x v="14"/>
    <x v="0"/>
    <x v="0"/>
    <x v="0"/>
  </r>
  <r>
    <s v="Description 694"/>
    <s v="Code 694"/>
    <n v="2"/>
    <n v="6"/>
    <n v="1"/>
    <n v="2"/>
    <n v="0"/>
    <n v="0"/>
    <n v="0"/>
    <n v="0"/>
    <n v="0"/>
    <n v="0"/>
    <n v="0"/>
    <x v="43"/>
    <x v="0"/>
    <x v="0"/>
    <x v="0"/>
  </r>
  <r>
    <s v="Description 695"/>
    <s v="Code 695"/>
    <n v="2"/>
    <n v="6"/>
    <n v="1"/>
    <n v="2"/>
    <n v="0"/>
    <n v="0"/>
    <n v="0"/>
    <n v="0"/>
    <n v="0"/>
    <n v="0"/>
    <n v="0"/>
    <x v="26"/>
    <x v="0"/>
    <x v="1"/>
    <x v="0"/>
  </r>
  <r>
    <s v="Description 696"/>
    <s v="Code 696"/>
    <n v="2"/>
    <n v="6"/>
    <n v="1"/>
    <n v="2"/>
    <n v="0"/>
    <n v="0"/>
    <n v="0"/>
    <n v="0"/>
    <n v="0"/>
    <n v="0"/>
    <n v="4"/>
    <x v="101"/>
    <x v="0"/>
    <x v="0"/>
    <x v="0"/>
  </r>
  <r>
    <s v="Description 697"/>
    <s v="Code 697"/>
    <n v="2"/>
    <n v="6"/>
    <n v="1"/>
    <n v="2"/>
    <n v="2"/>
    <n v="0"/>
    <n v="0"/>
    <n v="0"/>
    <n v="0"/>
    <n v="0"/>
    <n v="0"/>
    <x v="183"/>
    <x v="0"/>
    <x v="0"/>
    <x v="0"/>
  </r>
  <r>
    <s v="Description 698"/>
    <s v="Code 698"/>
    <n v="0"/>
    <n v="0"/>
    <n v="0"/>
    <n v="0"/>
    <n v="0"/>
    <n v="0"/>
    <n v="0"/>
    <n v="0"/>
    <n v="0"/>
    <n v="0"/>
    <n v="0"/>
    <x v="92"/>
    <x v="0"/>
    <x v="0"/>
    <x v="0"/>
  </r>
  <r>
    <s v="Description 699"/>
    <s v="Code 699"/>
    <n v="0"/>
    <n v="0"/>
    <n v="0"/>
    <n v="0"/>
    <n v="0"/>
    <n v="0"/>
    <n v="0"/>
    <n v="0"/>
    <n v="0"/>
    <n v="0"/>
    <n v="369"/>
    <x v="19"/>
    <x v="0"/>
    <x v="0"/>
    <x v="0"/>
  </r>
  <r>
    <s v="Description 700"/>
    <s v="Code 700"/>
    <n v="2"/>
    <n v="4"/>
    <n v="6"/>
    <n v="10"/>
    <n v="4"/>
    <n v="8"/>
    <n v="16"/>
    <n v="10"/>
    <n v="0"/>
    <n v="0"/>
    <n v="155"/>
    <x v="110"/>
    <x v="0"/>
    <x v="0"/>
    <x v="0"/>
  </r>
  <r>
    <s v="Description 701"/>
    <s v="Code 701"/>
    <n v="2"/>
    <n v="4"/>
    <n v="6"/>
    <n v="8"/>
    <n v="4"/>
    <n v="8"/>
    <n v="16"/>
    <n v="10"/>
    <n v="0"/>
    <n v="0"/>
    <n v="193"/>
    <x v="85"/>
    <x v="0"/>
    <x v="1"/>
    <x v="0"/>
  </r>
  <r>
    <s v="Description 702"/>
    <s v="Code 702"/>
    <n v="2"/>
    <n v="4"/>
    <n v="6"/>
    <n v="8"/>
    <n v="4"/>
    <n v="8"/>
    <n v="16"/>
    <n v="10"/>
    <n v="0"/>
    <n v="0"/>
    <n v="156"/>
    <x v="70"/>
    <x v="0"/>
    <x v="0"/>
    <x v="0"/>
  </r>
  <r>
    <s v="Description 703"/>
    <s v="Code 703"/>
    <n v="2"/>
    <n v="4"/>
    <n v="6"/>
    <n v="6"/>
    <n v="4"/>
    <n v="8"/>
    <n v="16"/>
    <n v="10"/>
    <n v="0"/>
    <n v="0"/>
    <n v="23"/>
    <x v="175"/>
    <x v="0"/>
    <x v="0"/>
    <x v="0"/>
  </r>
  <r>
    <s v="Description 704"/>
    <s v="Code 704"/>
    <n v="10"/>
    <n v="20"/>
    <n v="30"/>
    <n v="0"/>
    <n v="0"/>
    <n v="0"/>
    <n v="0"/>
    <n v="0"/>
    <n v="50"/>
    <n v="0"/>
    <n v="480"/>
    <x v="70"/>
    <x v="0"/>
    <x v="0"/>
    <x v="0"/>
  </r>
  <r>
    <s v="Description 705"/>
    <s v="Code 705"/>
    <n v="10"/>
    <n v="20"/>
    <n v="30"/>
    <n v="0"/>
    <n v="0"/>
    <n v="0"/>
    <n v="0"/>
    <n v="0"/>
    <n v="50"/>
    <n v="0"/>
    <n v="18000"/>
    <x v="170"/>
    <x v="0"/>
    <x v="0"/>
    <x v="0"/>
  </r>
  <r>
    <s v="Description 706"/>
    <s v="Code 706"/>
    <n v="0"/>
    <n v="0"/>
    <n v="0"/>
    <n v="0"/>
    <n v="0"/>
    <n v="0"/>
    <n v="0"/>
    <n v="0"/>
    <n v="0"/>
    <n v="0"/>
    <n v="1046"/>
    <x v="10"/>
    <x v="0"/>
    <x v="0"/>
    <x v="0"/>
  </r>
  <r>
    <s v="Description 707"/>
    <s v="Code 707"/>
    <n v="0"/>
    <n v="0"/>
    <n v="0"/>
    <n v="0"/>
    <n v="0"/>
    <n v="40"/>
    <n v="0"/>
    <n v="0"/>
    <n v="20"/>
    <n v="0"/>
    <n v="3"/>
    <x v="156"/>
    <x v="0"/>
    <x v="0"/>
    <x v="0"/>
  </r>
  <r>
    <s v="Description 708"/>
    <s v="Code 708"/>
    <n v="453"/>
    <n v="0"/>
    <n v="0"/>
    <n v="0"/>
    <n v="0"/>
    <n v="0"/>
    <n v="0"/>
    <n v="0"/>
    <n v="0"/>
    <n v="0"/>
    <n v="0"/>
    <x v="5"/>
    <x v="0"/>
    <x v="0"/>
    <x v="0"/>
  </r>
  <r>
    <s v="Description 709"/>
    <s v="Code 709"/>
    <n v="1"/>
    <n v="0"/>
    <n v="0"/>
    <n v="0"/>
    <n v="1"/>
    <n v="0"/>
    <n v="0"/>
    <n v="1"/>
    <n v="0"/>
    <n v="0"/>
    <n v="179"/>
    <x v="60"/>
    <x v="0"/>
    <x v="0"/>
    <x v="0"/>
  </r>
  <r>
    <s v="Description 710"/>
    <s v="Code 710"/>
    <n v="0"/>
    <n v="0"/>
    <n v="0"/>
    <n v="0"/>
    <n v="0"/>
    <n v="0"/>
    <n v="0"/>
    <n v="0"/>
    <n v="0"/>
    <n v="0"/>
    <n v="140"/>
    <x v="22"/>
    <x v="0"/>
    <x v="0"/>
    <x v="0"/>
  </r>
  <r>
    <s v="Description 711"/>
    <s v="Code 711"/>
    <n v="0"/>
    <n v="0"/>
    <n v="0"/>
    <n v="0"/>
    <n v="0"/>
    <n v="0"/>
    <n v="0"/>
    <n v="0"/>
    <n v="0"/>
    <n v="0"/>
    <n v="0"/>
    <x v="154"/>
    <x v="0"/>
    <x v="0"/>
    <x v="0"/>
  </r>
  <r>
    <s v="Description 712"/>
    <s v="Code 712"/>
    <n v="0"/>
    <n v="0"/>
    <n v="0"/>
    <n v="0"/>
    <n v="0"/>
    <n v="0"/>
    <n v="0"/>
    <n v="0"/>
    <n v="0"/>
    <n v="0"/>
    <n v="0"/>
    <x v="61"/>
    <x v="0"/>
    <x v="0"/>
    <x v="0"/>
  </r>
  <r>
    <s v="Description 713"/>
    <s v="Code 713"/>
    <n v="150"/>
    <n v="300"/>
    <n v="360"/>
    <n v="360"/>
    <n v="660"/>
    <n v="660"/>
    <n v="660"/>
    <n v="360"/>
    <n v="660"/>
    <n v="0"/>
    <n v="1000"/>
    <x v="116"/>
    <x v="0"/>
    <x v="0"/>
    <x v="0"/>
  </r>
  <r>
    <s v="Description 714"/>
    <s v="Code 714"/>
    <n v="4"/>
    <n v="0"/>
    <n v="0"/>
    <n v="0"/>
    <n v="0"/>
    <n v="0"/>
    <n v="0"/>
    <n v="0"/>
    <n v="0"/>
    <n v="0"/>
    <n v="18068"/>
    <x v="4"/>
    <x v="0"/>
    <x v="0"/>
    <x v="0"/>
  </r>
  <r>
    <s v="Description 715"/>
    <s v="Code 715"/>
    <n v="462"/>
    <n v="402.4"/>
    <n v="476.8"/>
    <n v="493.4"/>
    <n v="315"/>
    <n v="293.5"/>
    <n v="352.6"/>
    <n v="273.39999999999998"/>
    <n v="302.8"/>
    <n v="0"/>
    <n v="14977"/>
    <x v="135"/>
    <x v="0"/>
    <x v="0"/>
    <x v="0"/>
  </r>
  <r>
    <s v="Description 716"/>
    <s v="Code 716"/>
    <n v="330.4"/>
    <n v="241"/>
    <n v="1076.8"/>
    <n v="305.60000000000002"/>
    <n v="644.4"/>
    <n v="579.70000000000005"/>
    <n v="185.8"/>
    <n v="242.4"/>
    <n v="292.8"/>
    <n v="0"/>
    <n v="1000"/>
    <x v="32"/>
    <x v="0"/>
    <x v="0"/>
    <x v="0"/>
  </r>
  <r>
    <s v="Description 717"/>
    <s v="Code 717"/>
    <n v="1192"/>
    <n v="1228"/>
    <n v="1256"/>
    <n v="1556"/>
    <n v="1492"/>
    <n v="943"/>
    <n v="628"/>
    <n v="1556"/>
    <n v="628"/>
    <n v="0"/>
    <n v="1200"/>
    <x v="151"/>
    <x v="0"/>
    <x v="0"/>
    <x v="0"/>
  </r>
  <r>
    <s v="Description 718"/>
    <s v="Code 718"/>
    <n v="3312"/>
    <n v="1862"/>
    <n v="3052"/>
    <n v="3124"/>
    <n v="3271"/>
    <n v="2527"/>
    <n v="1046"/>
    <n v="1648"/>
    <n v="2180"/>
    <n v="0"/>
    <n v="1714"/>
    <x v="3"/>
    <x v="0"/>
    <x v="0"/>
    <x v="0"/>
  </r>
  <r>
    <s v="Description 719"/>
    <s v="Code 719"/>
    <n v="779"/>
    <n v="876"/>
    <n v="910"/>
    <n v="837"/>
    <n v="935"/>
    <n v="886"/>
    <n v="626"/>
    <n v="684"/>
    <n v="626"/>
    <n v="0"/>
    <n v="30"/>
    <x v="90"/>
    <x v="0"/>
    <x v="0"/>
    <x v="0"/>
  </r>
  <r>
    <s v="Description 720"/>
    <s v="Code 720"/>
    <n v="2"/>
    <n v="0"/>
    <n v="24"/>
    <n v="16"/>
    <n v="6"/>
    <n v="0"/>
    <n v="4"/>
    <n v="22"/>
    <n v="0"/>
    <n v="0"/>
    <n v="1600"/>
    <x v="45"/>
    <x v="0"/>
    <x v="0"/>
    <x v="0"/>
  </r>
  <r>
    <s v="Description 721"/>
    <s v="Code 721"/>
    <n v="2"/>
    <n v="9"/>
    <n v="12"/>
    <n v="12"/>
    <n v="12"/>
    <n v="12"/>
    <n v="12"/>
    <n v="12"/>
    <n v="12"/>
    <n v="0"/>
    <n v="110"/>
    <x v="192"/>
    <x v="0"/>
    <x v="0"/>
    <x v="0"/>
  </r>
  <r>
    <s v="Description 722"/>
    <s v="Code 722"/>
    <n v="38"/>
    <n v="34"/>
    <n v="46"/>
    <n v="46"/>
    <n v="20"/>
    <n v="26"/>
    <n v="20"/>
    <n v="26"/>
    <n v="17"/>
    <n v="0"/>
    <n v="1450"/>
    <x v="169"/>
    <x v="0"/>
    <x v="0"/>
    <x v="0"/>
  </r>
  <r>
    <s v="Description 723"/>
    <s v="Code 723"/>
    <n v="0"/>
    <n v="0"/>
    <n v="0"/>
    <n v="0"/>
    <n v="0"/>
    <n v="100"/>
    <n v="0"/>
    <n v="0"/>
    <n v="0"/>
    <n v="0"/>
    <n v="200"/>
    <x v="44"/>
    <x v="0"/>
    <x v="0"/>
    <x v="0"/>
  </r>
  <r>
    <s v="Description 724"/>
    <s v="Code 724"/>
    <n v="12"/>
    <n v="26"/>
    <n v="10"/>
    <n v="11"/>
    <n v="2"/>
    <n v="0"/>
    <n v="0"/>
    <n v="0"/>
    <n v="0"/>
    <n v="0"/>
    <n v="1000"/>
    <x v="18"/>
    <x v="0"/>
    <x v="0"/>
    <x v="0"/>
  </r>
  <r>
    <s v="Description 725"/>
    <s v="Code 725"/>
    <n v="108"/>
    <n v="0"/>
    <n v="4"/>
    <n v="0.4"/>
    <n v="58"/>
    <n v="46"/>
    <n v="20"/>
    <n v="50"/>
    <n v="36"/>
    <n v="0"/>
    <n v="0"/>
    <x v="156"/>
    <x v="0"/>
    <x v="0"/>
    <x v="0"/>
  </r>
  <r>
    <s v="Description 726"/>
    <s v="Code 726"/>
    <n v="2808"/>
    <n v="2426.1"/>
    <n v="2808"/>
    <n v="2808"/>
    <n v="2809.9"/>
    <n v="2808"/>
    <n v="2160"/>
    <n v="3024"/>
    <n v="2818"/>
    <n v="0"/>
    <n v="0"/>
    <x v="126"/>
    <x v="0"/>
    <x v="0"/>
    <x v="0"/>
  </r>
  <r>
    <s v="Description 727"/>
    <s v="Code 727"/>
    <n v="0"/>
    <n v="0"/>
    <n v="0"/>
    <n v="0"/>
    <n v="0"/>
    <n v="0"/>
    <n v="0"/>
    <n v="0"/>
    <n v="0"/>
    <n v="0"/>
    <n v="199"/>
    <x v="175"/>
    <x v="0"/>
    <x v="0"/>
    <x v="0"/>
  </r>
  <r>
    <s v="Description 728"/>
    <s v="Code 728"/>
    <n v="400"/>
    <n v="0"/>
    <n v="0"/>
    <n v="150"/>
    <n v="0"/>
    <n v="0"/>
    <n v="300"/>
    <n v="0"/>
    <n v="0"/>
    <n v="0"/>
    <n v="100"/>
    <x v="82"/>
    <x v="0"/>
    <x v="0"/>
    <x v="0"/>
  </r>
  <r>
    <s v="Description 729"/>
    <s v="Code 729"/>
    <n v="0"/>
    <n v="0"/>
    <n v="150"/>
    <n v="0"/>
    <n v="0"/>
    <n v="150"/>
    <n v="0"/>
    <n v="0"/>
    <n v="0"/>
    <n v="0"/>
    <n v="4"/>
    <x v="35"/>
    <x v="0"/>
    <x v="1"/>
    <x v="0"/>
  </r>
  <r>
    <s v="Description 730"/>
    <s v="Code 730"/>
    <n v="0"/>
    <n v="0"/>
    <n v="50"/>
    <n v="0"/>
    <n v="0"/>
    <n v="0"/>
    <n v="0"/>
    <n v="50"/>
    <n v="0"/>
    <n v="0"/>
    <n v="169"/>
    <x v="41"/>
    <x v="0"/>
    <x v="0"/>
    <x v="0"/>
  </r>
  <r>
    <s v="Description 731"/>
    <s v="Code 731"/>
    <n v="92"/>
    <n v="35"/>
    <n v="79"/>
    <n v="79"/>
    <n v="79"/>
    <n v="79"/>
    <n v="79"/>
    <n v="79"/>
    <n v="79"/>
    <n v="0"/>
    <n v="0"/>
    <x v="149"/>
    <x v="0"/>
    <x v="0"/>
    <x v="0"/>
  </r>
  <r>
    <s v="Description 732"/>
    <s v="Code 732"/>
    <n v="10"/>
    <n v="0"/>
    <n v="0"/>
    <n v="10"/>
    <n v="10"/>
    <n v="0"/>
    <n v="0"/>
    <n v="0"/>
    <n v="0"/>
    <n v="0"/>
    <n v="0"/>
    <x v="85"/>
    <x v="0"/>
    <x v="1"/>
    <x v="0"/>
  </r>
  <r>
    <s v="Description 733"/>
    <s v="Code 733"/>
    <n v="0"/>
    <n v="0"/>
    <n v="0"/>
    <n v="0"/>
    <n v="0"/>
    <n v="0"/>
    <n v="0"/>
    <n v="0"/>
    <n v="0"/>
    <n v="0"/>
    <n v="8748"/>
    <x v="160"/>
    <x v="0"/>
    <x v="0"/>
    <x v="0"/>
  </r>
  <r>
    <s v="Description 734"/>
    <s v="Code 734"/>
    <n v="200"/>
    <n v="0"/>
    <n v="140"/>
    <n v="3"/>
    <n v="0"/>
    <n v="1"/>
    <n v="25"/>
    <n v="12"/>
    <n v="30"/>
    <n v="0"/>
    <n v="0"/>
    <x v="140"/>
    <x v="0"/>
    <x v="0"/>
    <x v="0"/>
  </r>
  <r>
    <s v="Description 735"/>
    <s v="Code 735"/>
    <n v="0"/>
    <n v="0"/>
    <n v="0"/>
    <n v="0"/>
    <n v="0"/>
    <n v="0"/>
    <n v="0"/>
    <n v="0"/>
    <n v="0"/>
    <n v="0"/>
    <n v="1108"/>
    <x v="46"/>
    <x v="0"/>
    <x v="0"/>
    <x v="0"/>
  </r>
  <r>
    <s v="Description 736"/>
    <s v="Code 736"/>
    <n v="3028"/>
    <n v="1888"/>
    <n v="3167"/>
    <n v="3059"/>
    <n v="3191"/>
    <n v="3176"/>
    <n v="1778"/>
    <n v="2805"/>
    <n v="715"/>
    <n v="0"/>
    <n v="4872"/>
    <x v="47"/>
    <x v="0"/>
    <x v="0"/>
    <x v="0"/>
  </r>
  <r>
    <s v="Description 737"/>
    <s v="Code 737"/>
    <n v="321"/>
    <n v="113"/>
    <n v="585"/>
    <n v="207"/>
    <n v="215"/>
    <n v="108"/>
    <n v="187"/>
    <n v="116"/>
    <n v="191"/>
    <n v="0"/>
    <n v="950"/>
    <x v="47"/>
    <x v="0"/>
    <x v="0"/>
    <x v="0"/>
  </r>
  <r>
    <s v="Description 738"/>
    <s v="Code 738"/>
    <n v="0"/>
    <n v="0"/>
    <n v="0"/>
    <n v="0"/>
    <n v="0"/>
    <n v="0"/>
    <n v="0"/>
    <n v="0"/>
    <n v="0"/>
    <n v="0"/>
    <n v="136"/>
    <x v="21"/>
    <x v="0"/>
    <x v="0"/>
    <x v="0"/>
  </r>
  <r>
    <s v="Description 739"/>
    <s v="Code 739"/>
    <n v="4"/>
    <n v="4"/>
    <n v="4"/>
    <n v="4"/>
    <n v="4"/>
    <n v="6"/>
    <n v="4"/>
    <n v="4"/>
    <n v="4"/>
    <n v="0"/>
    <n v="350"/>
    <x v="110"/>
    <x v="0"/>
    <x v="0"/>
    <x v="0"/>
  </r>
  <r>
    <s v="Description 740"/>
    <s v="Code 740"/>
    <n v="0"/>
    <n v="0"/>
    <n v="0"/>
    <n v="0"/>
    <n v="0"/>
    <n v="0"/>
    <n v="0"/>
    <n v="0"/>
    <n v="0"/>
    <n v="0"/>
    <n v="64"/>
    <x v="7"/>
    <x v="0"/>
    <x v="0"/>
    <x v="0"/>
  </r>
  <r>
    <s v="Description 741"/>
    <s v="Code 741"/>
    <n v="0"/>
    <n v="0"/>
    <n v="0"/>
    <n v="0"/>
    <n v="16"/>
    <n v="0"/>
    <n v="0"/>
    <n v="0"/>
    <n v="0"/>
    <n v="0"/>
    <n v="59"/>
    <x v="79"/>
    <x v="0"/>
    <x v="0"/>
    <x v="0"/>
  </r>
  <r>
    <s v="Description 742"/>
    <s v="Code 742"/>
    <n v="2"/>
    <n v="4"/>
    <n v="6"/>
    <n v="8"/>
    <n v="4"/>
    <n v="8"/>
    <n v="16"/>
    <n v="10"/>
    <n v="0"/>
    <n v="0"/>
    <n v="0"/>
    <x v="9"/>
    <x v="0"/>
    <x v="0"/>
    <x v="0"/>
  </r>
  <r>
    <s v="Description 743"/>
    <s v="Code 743"/>
    <n v="120"/>
    <n v="80"/>
    <n v="72"/>
    <n v="72"/>
    <n v="2"/>
    <n v="2"/>
    <n v="2"/>
    <n v="2"/>
    <n v="2"/>
    <n v="0"/>
    <n v="0"/>
    <x v="153"/>
    <x v="0"/>
    <x v="0"/>
    <x v="0"/>
  </r>
  <r>
    <s v="Description 744"/>
    <s v="Code 744"/>
    <n v="108"/>
    <n v="108"/>
    <n v="124"/>
    <n v="116"/>
    <n v="2"/>
    <n v="2"/>
    <n v="2"/>
    <n v="2"/>
    <n v="18"/>
    <n v="0"/>
    <n v="0"/>
    <x v="50"/>
    <x v="0"/>
    <x v="0"/>
    <x v="0"/>
  </r>
  <r>
    <s v="Description 745"/>
    <s v="Code 745"/>
    <n v="232"/>
    <n v="184"/>
    <n v="192"/>
    <n v="168"/>
    <n v="36"/>
    <n v="4"/>
    <n v="4"/>
    <n v="4"/>
    <n v="4"/>
    <n v="0"/>
    <n v="351"/>
    <x v="106"/>
    <x v="0"/>
    <x v="0"/>
    <x v="0"/>
  </r>
  <r>
    <s v="Description 746"/>
    <s v="Code 746"/>
    <n v="28"/>
    <n v="90"/>
    <n v="48"/>
    <n v="98"/>
    <n v="98"/>
    <n v="94"/>
    <n v="36"/>
    <n v="56"/>
    <n v="52"/>
    <n v="0"/>
    <n v="1100"/>
    <x v="117"/>
    <x v="0"/>
    <x v="0"/>
    <x v="0"/>
  </r>
  <r>
    <s v="Description 747"/>
    <s v="Code 747"/>
    <n v="333"/>
    <n v="339"/>
    <n v="372"/>
    <n v="306"/>
    <n v="366"/>
    <n v="327"/>
    <n v="291"/>
    <n v="288"/>
    <n v="237"/>
    <n v="0"/>
    <n v="2"/>
    <x v="125"/>
    <x v="0"/>
    <x v="0"/>
    <x v="0"/>
  </r>
  <r>
    <s v="Description 748"/>
    <s v="Code 748"/>
    <n v="2"/>
    <n v="1"/>
    <n v="3"/>
    <n v="0"/>
    <n v="1"/>
    <n v="0"/>
    <n v="0"/>
    <n v="1"/>
    <n v="0"/>
    <n v="0"/>
    <n v="14"/>
    <x v="54"/>
    <x v="0"/>
    <x v="0"/>
    <x v="0"/>
  </r>
  <r>
    <s v="Description 749"/>
    <s v="Code 749"/>
    <n v="0"/>
    <n v="0"/>
    <n v="0"/>
    <n v="0"/>
    <n v="0"/>
    <n v="0"/>
    <n v="0"/>
    <n v="0"/>
    <n v="0"/>
    <n v="0"/>
    <n v="4"/>
    <x v="124"/>
    <x v="0"/>
    <x v="0"/>
    <x v="0"/>
  </r>
  <r>
    <s v="Description 750"/>
    <s v="Code 750"/>
    <n v="1"/>
    <n v="1"/>
    <n v="0"/>
    <n v="1"/>
    <n v="0"/>
    <n v="1"/>
    <n v="0"/>
    <n v="1"/>
    <n v="0"/>
    <n v="0"/>
    <n v="0"/>
    <x v="108"/>
    <x v="0"/>
    <x v="1"/>
    <x v="0"/>
  </r>
  <r>
    <s v="Description 751"/>
    <s v="Code 751"/>
    <n v="0"/>
    <n v="0"/>
    <n v="0"/>
    <n v="0"/>
    <n v="0"/>
    <n v="0"/>
    <n v="0"/>
    <n v="0"/>
    <n v="0"/>
    <n v="0"/>
    <n v="2"/>
    <x v="137"/>
    <x v="0"/>
    <x v="1"/>
    <x v="0"/>
  </r>
  <r>
    <s v="Description 752"/>
    <s v="Code 752"/>
    <n v="0"/>
    <n v="0"/>
    <n v="0"/>
    <n v="0"/>
    <n v="0"/>
    <n v="0"/>
    <n v="0"/>
    <n v="0"/>
    <n v="0"/>
    <n v="0"/>
    <n v="7"/>
    <x v="118"/>
    <x v="0"/>
    <x v="0"/>
    <x v="0"/>
  </r>
  <r>
    <s v="Description 753"/>
    <s v="Code 753"/>
    <n v="0"/>
    <n v="0"/>
    <n v="0"/>
    <n v="0"/>
    <n v="0"/>
    <n v="0"/>
    <n v="0"/>
    <n v="0"/>
    <n v="0"/>
    <n v="0"/>
    <n v="0"/>
    <x v="72"/>
    <x v="0"/>
    <x v="0"/>
    <x v="0"/>
  </r>
  <r>
    <s v="Description 754"/>
    <s v="Code 754"/>
    <n v="0"/>
    <n v="0"/>
    <n v="0"/>
    <n v="0"/>
    <n v="0"/>
    <n v="0"/>
    <n v="0"/>
    <n v="0"/>
    <n v="0"/>
    <n v="0"/>
    <n v="2"/>
    <x v="153"/>
    <x v="0"/>
    <x v="0"/>
    <x v="0"/>
  </r>
  <r>
    <s v="Description 755"/>
    <s v="Code 755"/>
    <n v="0"/>
    <n v="0"/>
    <n v="0"/>
    <n v="0"/>
    <n v="0"/>
    <n v="0"/>
    <n v="0"/>
    <n v="0"/>
    <n v="0"/>
    <n v="0"/>
    <n v="8"/>
    <x v="158"/>
    <x v="0"/>
    <x v="0"/>
    <x v="0"/>
  </r>
  <r>
    <s v="Description 756"/>
    <s v="Code 756"/>
    <n v="0"/>
    <n v="0"/>
    <n v="0"/>
    <n v="0"/>
    <n v="0"/>
    <n v="0"/>
    <n v="0"/>
    <n v="0"/>
    <n v="0"/>
    <n v="0"/>
    <n v="10"/>
    <x v="62"/>
    <x v="0"/>
    <x v="0"/>
    <x v="0"/>
  </r>
  <r>
    <s v="Description 757"/>
    <s v="Code 757"/>
    <n v="0"/>
    <n v="0"/>
    <n v="0"/>
    <n v="0"/>
    <n v="0"/>
    <n v="0"/>
    <n v="0"/>
    <n v="0"/>
    <n v="0"/>
    <n v="0"/>
    <n v="329"/>
    <x v="115"/>
    <x v="0"/>
    <x v="0"/>
    <x v="0"/>
  </r>
  <r>
    <s v="Description 758"/>
    <s v="Code 758"/>
    <n v="111"/>
    <n v="83"/>
    <n v="83"/>
    <n v="83"/>
    <n v="0"/>
    <n v="0"/>
    <n v="0"/>
    <n v="0"/>
    <n v="0"/>
    <n v="0"/>
    <n v="192"/>
    <x v="45"/>
    <x v="0"/>
    <x v="0"/>
    <x v="0"/>
  </r>
  <r>
    <s v="Description 759"/>
    <s v="Code 759"/>
    <n v="61"/>
    <n v="41"/>
    <n v="41"/>
    <n v="41"/>
    <n v="0"/>
    <n v="0"/>
    <n v="0"/>
    <n v="0"/>
    <n v="0"/>
    <n v="0"/>
    <n v="34"/>
    <x v="51"/>
    <x v="0"/>
    <x v="0"/>
    <x v="0"/>
  </r>
  <r>
    <s v="Description 760"/>
    <s v="Code 760"/>
    <n v="7"/>
    <n v="7"/>
    <n v="7"/>
    <n v="7"/>
    <n v="0"/>
    <n v="0"/>
    <n v="0"/>
    <n v="0"/>
    <n v="0"/>
    <n v="0"/>
    <n v="0"/>
    <x v="41"/>
    <x v="0"/>
    <x v="0"/>
    <x v="0"/>
  </r>
  <r>
    <s v="Description 761"/>
    <s v="Code 761"/>
    <n v="0"/>
    <n v="0"/>
    <n v="0"/>
    <n v="0"/>
    <n v="0"/>
    <n v="0"/>
    <n v="0"/>
    <n v="0"/>
    <n v="0"/>
    <n v="0"/>
    <n v="36"/>
    <x v="162"/>
    <x v="0"/>
    <x v="0"/>
    <x v="0"/>
  </r>
  <r>
    <s v="Description 762"/>
    <s v="Code 762"/>
    <n v="0"/>
    <n v="0"/>
    <n v="0"/>
    <n v="0"/>
    <n v="0"/>
    <n v="0"/>
    <n v="0"/>
    <n v="0"/>
    <n v="0"/>
    <n v="0"/>
    <n v="72"/>
    <x v="95"/>
    <x v="0"/>
    <x v="0"/>
    <x v="0"/>
  </r>
  <r>
    <s v="Description 763"/>
    <s v="Code 763"/>
    <n v="53"/>
    <n v="0"/>
    <n v="0"/>
    <n v="0"/>
    <n v="0"/>
    <n v="0"/>
    <n v="0"/>
    <n v="0"/>
    <n v="0"/>
    <n v="0"/>
    <n v="64"/>
    <x v="119"/>
    <x v="0"/>
    <x v="1"/>
    <x v="0"/>
  </r>
  <r>
    <s v="Description 764"/>
    <s v="Code 764"/>
    <n v="0"/>
    <n v="20"/>
    <n v="0"/>
    <n v="0"/>
    <n v="0"/>
    <n v="0"/>
    <n v="0"/>
    <n v="0"/>
    <n v="0"/>
    <n v="0"/>
    <n v="35"/>
    <x v="102"/>
    <x v="0"/>
    <x v="0"/>
    <x v="0"/>
  </r>
  <r>
    <s v="Description 765"/>
    <s v="Code 765"/>
    <n v="0"/>
    <n v="20"/>
    <n v="0"/>
    <n v="0"/>
    <n v="0"/>
    <n v="0"/>
    <n v="0"/>
    <n v="0"/>
    <n v="0"/>
    <n v="0"/>
    <n v="14777"/>
    <x v="101"/>
    <x v="0"/>
    <x v="0"/>
    <x v="0"/>
  </r>
  <r>
    <s v="Description 766"/>
    <s v="Code 766"/>
    <n v="750"/>
    <n v="0"/>
    <n v="1200"/>
    <n v="1200"/>
    <n v="1200"/>
    <n v="1200"/>
    <n v="0"/>
    <n v="2000"/>
    <n v="2000"/>
    <n v="0"/>
    <n v="0"/>
    <x v="92"/>
    <x v="0"/>
    <x v="0"/>
    <x v="0"/>
  </r>
  <r>
    <s v="Description 767"/>
    <s v="Code 767"/>
    <n v="0"/>
    <n v="0.9"/>
    <n v="0"/>
    <n v="0"/>
    <n v="0"/>
    <n v="0"/>
    <n v="0"/>
    <n v="0"/>
    <n v="0"/>
    <n v="0"/>
    <n v="71.23"/>
    <x v="44"/>
    <x v="0"/>
    <x v="0"/>
    <x v="0"/>
  </r>
  <r>
    <s v="Description 768"/>
    <s v="Code 768"/>
    <n v="14.44"/>
    <n v="13.81"/>
    <n v="6.55"/>
    <n v="27.187999999999999"/>
    <n v="9.927999999999999"/>
    <n v="9.3979999999999979"/>
    <n v="8.4600000000000009"/>
    <n v="10.887999999999998"/>
    <n v="9.4879999999999995"/>
    <n v="0"/>
    <n v="150"/>
    <x v="32"/>
    <x v="0"/>
    <x v="0"/>
    <x v="0"/>
  </r>
  <r>
    <s v="Description 769"/>
    <s v="Code 769"/>
    <n v="450"/>
    <n v="175"/>
    <n v="395"/>
    <n v="395"/>
    <n v="395"/>
    <n v="395"/>
    <n v="395"/>
    <n v="395"/>
    <n v="395"/>
    <n v="0"/>
    <n v="221"/>
    <x v="131"/>
    <x v="0"/>
    <x v="0"/>
    <x v="0"/>
  </r>
  <r>
    <s v="Description 770"/>
    <s v="Code 770"/>
    <n v="5"/>
    <n v="0"/>
    <n v="0"/>
    <n v="0"/>
    <n v="0"/>
    <n v="0"/>
    <n v="0"/>
    <n v="0"/>
    <n v="0"/>
    <n v="0"/>
    <n v="1500"/>
    <x v="118"/>
    <x v="0"/>
    <x v="0"/>
    <x v="0"/>
  </r>
  <r>
    <s v="Description 771"/>
    <s v="Code 771"/>
    <n v="0"/>
    <n v="0"/>
    <n v="0"/>
    <n v="0"/>
    <n v="0"/>
    <n v="0"/>
    <n v="0"/>
    <n v="0"/>
    <n v="0"/>
    <n v="0"/>
    <n v="0"/>
    <x v="97"/>
    <x v="0"/>
    <x v="0"/>
    <x v="0"/>
  </r>
  <r>
    <s v="Description 772"/>
    <s v="Code 772"/>
    <n v="5"/>
    <n v="0"/>
    <n v="0"/>
    <n v="0"/>
    <n v="0"/>
    <n v="0"/>
    <n v="0"/>
    <n v="0"/>
    <n v="0"/>
    <n v="0"/>
    <n v="0"/>
    <x v="169"/>
    <x v="0"/>
    <x v="0"/>
    <x v="0"/>
  </r>
  <r>
    <s v="Description 773"/>
    <s v="Code 773"/>
    <n v="0"/>
    <n v="0"/>
    <n v="0"/>
    <n v="0"/>
    <n v="0"/>
    <n v="0"/>
    <n v="0"/>
    <n v="0"/>
    <n v="0"/>
    <n v="0"/>
    <n v="399.6"/>
    <x v="180"/>
    <x v="0"/>
    <x v="0"/>
    <x v="0"/>
  </r>
  <r>
    <s v="Description 774"/>
    <s v="Code 774"/>
    <n v="1.44"/>
    <n v="0"/>
    <n v="30.05"/>
    <n v="6.28"/>
    <n v="4.54"/>
    <n v="0"/>
    <n v="3.1"/>
    <n v="17.350000000000001"/>
    <n v="0"/>
    <n v="0"/>
    <n v="600"/>
    <x v="44"/>
    <x v="0"/>
    <x v="0"/>
    <x v="0"/>
  </r>
  <r>
    <s v="Description 775"/>
    <s v="Code 775"/>
    <n v="0.245"/>
    <n v="0"/>
    <n v="4.9850000000000003"/>
    <n v="1.17"/>
    <n v="0.745"/>
    <n v="0"/>
    <n v="0.5"/>
    <n v="1.25"/>
    <n v="0"/>
    <n v="0"/>
    <n v="226.4"/>
    <x v="69"/>
    <x v="0"/>
    <x v="0"/>
    <x v="0"/>
  </r>
  <r>
    <s v="Description 776"/>
    <s v="Code 776"/>
    <n v="0"/>
    <n v="0"/>
    <n v="0"/>
    <n v="0.628"/>
    <n v="0"/>
    <n v="0"/>
    <n v="0"/>
    <n v="0.6"/>
    <n v="0"/>
    <n v="0"/>
    <n v="26"/>
    <x v="166"/>
    <x v="0"/>
    <x v="0"/>
    <x v="0"/>
  </r>
  <r>
    <s v="Description 777"/>
    <s v="Code 777"/>
    <n v="0"/>
    <n v="0"/>
    <n v="0.4"/>
    <n v="0.57999999999999996"/>
    <n v="0"/>
    <n v="0"/>
    <n v="0"/>
    <n v="0.6"/>
    <n v="0"/>
    <n v="0"/>
    <n v="142"/>
    <x v="170"/>
    <x v="0"/>
    <x v="0"/>
    <x v="0"/>
  </r>
  <r>
    <s v="Description 778"/>
    <s v="Code 778"/>
    <n v="0"/>
    <n v="0"/>
    <n v="0.4"/>
    <n v="0.57999999999999996"/>
    <n v="0"/>
    <n v="0"/>
    <n v="0"/>
    <n v="0.6"/>
    <n v="0"/>
    <n v="0"/>
    <n v="0"/>
    <x v="99"/>
    <x v="0"/>
    <x v="0"/>
    <x v="0"/>
  </r>
  <r>
    <s v="Description 779"/>
    <s v="Code 779"/>
    <n v="0"/>
    <n v="0"/>
    <n v="0"/>
    <n v="0.4"/>
    <n v="0"/>
    <n v="0"/>
    <n v="0"/>
    <n v="0"/>
    <n v="0"/>
    <n v="0"/>
    <n v="320"/>
    <x v="26"/>
    <x v="0"/>
    <x v="1"/>
    <x v="0"/>
  </r>
  <r>
    <s v="Description 780"/>
    <s v="Code 780"/>
    <n v="0"/>
    <n v="0"/>
    <n v="0"/>
    <n v="0"/>
    <n v="0"/>
    <n v="0"/>
    <n v="0"/>
    <n v="0"/>
    <n v="0"/>
    <n v="0"/>
    <n v="0"/>
    <x v="21"/>
    <x v="0"/>
    <x v="0"/>
    <x v="0"/>
  </r>
  <r>
    <s v="Description 781"/>
    <s v="Code 781"/>
    <n v="9161.7150000000001"/>
    <n v="4819.9549999999999"/>
    <n v="9063.7199999999993"/>
    <n v="8915.42"/>
    <n v="7764.5150000000003"/>
    <n v="8913.3149999999987"/>
    <n v="5712.42"/>
    <n v="8510.32"/>
    <n v="3741.1049999999996"/>
    <n v="0"/>
    <n v="22375"/>
    <x v="110"/>
    <x v="0"/>
    <x v="0"/>
    <x v="0"/>
  </r>
  <r>
    <s v="Description 782"/>
    <s v="Code 782"/>
    <n v="0"/>
    <n v="0"/>
    <n v="0"/>
    <n v="0"/>
    <n v="0"/>
    <n v="0"/>
    <n v="0"/>
    <n v="0"/>
    <n v="0"/>
    <n v="0"/>
    <n v="0"/>
    <x v="104"/>
    <x v="0"/>
    <x v="0"/>
    <x v="0"/>
  </r>
  <r>
    <s v="Description 783"/>
    <s v="Code 783"/>
    <n v="185.45"/>
    <n v="103.4"/>
    <n v="342.11"/>
    <n v="192.34"/>
    <n v="167.5"/>
    <n v="288"/>
    <n v="125.25"/>
    <n v="141.35"/>
    <n v="237.95"/>
    <n v="0"/>
    <n v="23"/>
    <x v="89"/>
    <x v="0"/>
    <x v="1"/>
    <x v="0"/>
  </r>
  <r>
    <s v="Description 784"/>
    <s v="Code 784"/>
    <n v="23"/>
    <n v="22"/>
    <n v="15"/>
    <n v="36"/>
    <n v="22"/>
    <n v="19"/>
    <n v="17"/>
    <n v="15"/>
    <n v="16"/>
    <n v="0"/>
    <n v="589"/>
    <x v="16"/>
    <x v="0"/>
    <x v="0"/>
    <x v="0"/>
  </r>
  <r>
    <s v="Description 785"/>
    <s v="Code 785"/>
    <n v="0"/>
    <n v="0"/>
    <n v="0"/>
    <n v="0"/>
    <n v="0"/>
    <n v="0"/>
    <n v="0"/>
    <n v="0"/>
    <n v="0"/>
    <n v="0"/>
    <n v="159"/>
    <x v="172"/>
    <x v="0"/>
    <x v="0"/>
    <x v="0"/>
  </r>
  <r>
    <s v="Description 786"/>
    <s v="Code 786"/>
    <n v="5"/>
    <n v="1"/>
    <n v="12"/>
    <n v="12"/>
    <n v="12"/>
    <n v="12"/>
    <n v="12"/>
    <n v="12"/>
    <n v="12"/>
    <n v="0"/>
    <n v="668"/>
    <x v="59"/>
    <x v="0"/>
    <x v="0"/>
    <x v="0"/>
  </r>
  <r>
    <s v="Description 787"/>
    <s v="Code 787"/>
    <n v="3.9"/>
    <n v="0.85"/>
    <n v="2.2000000000000002"/>
    <n v="2.2000000000000002"/>
    <n v="2.25"/>
    <n v="2.2000000000000002"/>
    <n v="2.2000000000000002"/>
    <n v="2.2000000000000002"/>
    <n v="2.2000000000000002"/>
    <n v="0"/>
    <n v="115"/>
    <x v="130"/>
    <x v="0"/>
    <x v="1"/>
    <x v="0"/>
  </r>
  <r>
    <s v="Description 788"/>
    <s v="Code 788"/>
    <n v="0"/>
    <n v="0"/>
    <n v="0"/>
    <n v="0"/>
    <n v="0"/>
    <n v="0"/>
    <n v="0"/>
    <n v="0"/>
    <n v="0"/>
    <n v="0"/>
    <n v="465"/>
    <x v="69"/>
    <x v="0"/>
    <x v="0"/>
    <x v="0"/>
  </r>
  <r>
    <s v="Description 789"/>
    <s v="Code 789"/>
    <n v="78"/>
    <n v="17"/>
    <n v="90"/>
    <n v="90"/>
    <n v="91"/>
    <n v="90"/>
    <n v="90"/>
    <n v="90"/>
    <n v="90"/>
    <n v="0"/>
    <n v="450"/>
    <x v="193"/>
    <x v="0"/>
    <x v="0"/>
    <x v="0"/>
  </r>
  <r>
    <s v="Description 790"/>
    <s v="Code 790"/>
    <n v="0"/>
    <n v="0"/>
    <n v="0"/>
    <n v="0"/>
    <n v="0"/>
    <n v="0"/>
    <n v="0"/>
    <n v="0"/>
    <n v="0"/>
    <n v="0"/>
    <n v="375"/>
    <x v="63"/>
    <x v="0"/>
    <x v="0"/>
    <x v="0"/>
  </r>
  <r>
    <s v="Description 791"/>
    <s v="Code 791"/>
    <n v="0"/>
    <n v="0"/>
    <n v="0"/>
    <n v="0"/>
    <n v="0"/>
    <n v="0"/>
    <n v="0"/>
    <n v="0"/>
    <n v="0"/>
    <n v="0"/>
    <n v="250"/>
    <x v="146"/>
    <x v="0"/>
    <x v="0"/>
    <x v="0"/>
  </r>
  <r>
    <s v="Description 792"/>
    <s v="Code 792"/>
    <n v="10"/>
    <n v="2"/>
    <n v="12"/>
    <n v="12"/>
    <n v="12"/>
    <n v="12"/>
    <n v="12"/>
    <n v="12"/>
    <n v="12"/>
    <n v="0"/>
    <n v="250"/>
    <x v="130"/>
    <x v="0"/>
    <x v="1"/>
    <x v="0"/>
  </r>
  <r>
    <s v="Description 793"/>
    <s v="Code 793"/>
    <n v="10"/>
    <n v="2"/>
    <n v="12"/>
    <n v="12"/>
    <n v="12"/>
    <n v="12"/>
    <n v="12"/>
    <n v="12"/>
    <n v="12"/>
    <n v="0"/>
    <n v="250"/>
    <x v="176"/>
    <x v="0"/>
    <x v="0"/>
    <x v="0"/>
  </r>
  <r>
    <s v="Description 794"/>
    <s v="Code 794"/>
    <n v="0"/>
    <n v="4"/>
    <n v="12"/>
    <n v="12"/>
    <n v="12"/>
    <n v="12"/>
    <n v="12"/>
    <n v="12"/>
    <n v="12"/>
    <n v="0"/>
    <n v="200"/>
    <x v="70"/>
    <x v="0"/>
    <x v="0"/>
    <x v="0"/>
  </r>
  <r>
    <s v="Description 795"/>
    <s v="Code 795"/>
    <n v="10"/>
    <n v="6"/>
    <n v="24"/>
    <n v="24"/>
    <n v="24"/>
    <n v="24"/>
    <n v="24"/>
    <n v="24"/>
    <n v="24"/>
    <n v="0"/>
    <n v="1"/>
    <x v="83"/>
    <x v="0"/>
    <x v="0"/>
    <x v="0"/>
  </r>
  <r>
    <s v="Description 796"/>
    <s v="Code 796"/>
    <n v="0"/>
    <n v="0"/>
    <n v="0"/>
    <n v="0"/>
    <n v="0"/>
    <n v="0"/>
    <n v="0"/>
    <n v="0"/>
    <n v="0"/>
    <n v="0"/>
    <n v="1"/>
    <x v="175"/>
    <x v="0"/>
    <x v="0"/>
    <x v="0"/>
  </r>
  <r>
    <s v="Description 797"/>
    <s v="Code 797"/>
    <n v="0"/>
    <n v="0"/>
    <n v="0"/>
    <n v="0"/>
    <n v="0"/>
    <n v="0"/>
    <n v="0"/>
    <n v="0"/>
    <n v="0"/>
    <n v="0"/>
    <n v="100"/>
    <x v="111"/>
    <x v="0"/>
    <x v="0"/>
    <x v="0"/>
  </r>
  <r>
    <s v="Description 798"/>
    <s v="Code 798"/>
    <n v="0"/>
    <n v="0"/>
    <n v="26"/>
    <n v="26"/>
    <n v="26"/>
    <n v="26"/>
    <n v="26"/>
    <n v="26"/>
    <n v="26"/>
    <n v="0"/>
    <n v="20"/>
    <x v="94"/>
    <x v="0"/>
    <x v="0"/>
    <x v="0"/>
  </r>
  <r>
    <s v="Description 799"/>
    <s v="Code 799"/>
    <n v="0"/>
    <n v="0"/>
    <n v="15"/>
    <n v="15"/>
    <n v="15"/>
    <n v="15"/>
    <n v="15"/>
    <n v="15"/>
    <n v="15"/>
    <n v="0"/>
    <n v="0"/>
    <x v="28"/>
    <x v="0"/>
    <x v="1"/>
    <x v="0"/>
  </r>
  <r>
    <s v="Description 800"/>
    <s v="Code 800"/>
    <n v="0"/>
    <n v="0"/>
    <n v="0"/>
    <n v="0"/>
    <n v="0"/>
    <n v="0"/>
    <n v="0"/>
    <n v="0"/>
    <n v="0"/>
    <n v="0"/>
    <n v="4"/>
    <x v="145"/>
    <x v="0"/>
    <x v="0"/>
    <x v="0"/>
  </r>
  <r>
    <s v="Description 801"/>
    <s v="Code 801"/>
    <n v="0"/>
    <n v="0"/>
    <n v="0"/>
    <n v="0"/>
    <n v="0"/>
    <n v="0"/>
    <n v="0"/>
    <n v="0"/>
    <n v="0"/>
    <n v="0"/>
    <n v="1"/>
    <x v="95"/>
    <x v="0"/>
    <x v="0"/>
    <x v="0"/>
  </r>
  <r>
    <s v="Description 802"/>
    <s v="Code 802"/>
    <n v="0"/>
    <n v="0"/>
    <n v="0"/>
    <n v="0"/>
    <n v="0"/>
    <n v="0"/>
    <n v="0"/>
    <n v="0"/>
    <n v="0"/>
    <n v="0"/>
    <n v="0"/>
    <x v="59"/>
    <x v="0"/>
    <x v="0"/>
    <x v="0"/>
  </r>
  <r>
    <s v="Description 803"/>
    <s v="Code 803"/>
    <n v="0"/>
    <n v="0"/>
    <n v="0"/>
    <n v="0"/>
    <n v="0"/>
    <n v="0"/>
    <n v="0"/>
    <n v="0"/>
    <n v="0"/>
    <n v="0"/>
    <n v="250"/>
    <x v="34"/>
    <x v="0"/>
    <x v="0"/>
    <x v="0"/>
  </r>
  <r>
    <s v="Description 804"/>
    <s v="Code 804"/>
    <n v="0"/>
    <n v="4"/>
    <n v="12"/>
    <n v="12"/>
    <n v="12"/>
    <n v="12"/>
    <n v="12"/>
    <n v="12"/>
    <n v="12"/>
    <n v="0"/>
    <n v="0"/>
    <x v="103"/>
    <x v="0"/>
    <x v="0"/>
    <x v="0"/>
  </r>
  <r>
    <s v="Description 805"/>
    <s v="Code 805"/>
    <n v="0"/>
    <n v="0"/>
    <n v="0"/>
    <n v="0"/>
    <n v="0"/>
    <n v="0"/>
    <n v="0"/>
    <n v="0"/>
    <n v="0"/>
    <n v="0"/>
    <n v="0"/>
    <x v="102"/>
    <x v="0"/>
    <x v="0"/>
    <x v="0"/>
  </r>
  <r>
    <s v="Description 806"/>
    <s v="Code 806"/>
    <n v="0"/>
    <n v="0"/>
    <n v="0"/>
    <n v="0"/>
    <n v="0"/>
    <n v="0"/>
    <n v="0"/>
    <n v="0"/>
    <n v="0"/>
    <n v="0"/>
    <n v="300"/>
    <x v="167"/>
    <x v="0"/>
    <x v="0"/>
    <x v="0"/>
  </r>
  <r>
    <s v="Description 807"/>
    <s v="Code 807"/>
    <n v="0"/>
    <n v="0"/>
    <n v="0"/>
    <n v="0"/>
    <n v="0"/>
    <n v="0"/>
    <n v="0"/>
    <n v="0"/>
    <n v="0"/>
    <n v="0"/>
    <n v="2"/>
    <x v="185"/>
    <x v="0"/>
    <x v="0"/>
    <x v="0"/>
  </r>
  <r>
    <s v="Description 808"/>
    <s v="Code 808"/>
    <n v="0"/>
    <n v="0"/>
    <n v="0"/>
    <n v="0"/>
    <n v="0"/>
    <n v="0"/>
    <n v="0"/>
    <n v="0"/>
    <n v="0"/>
    <n v="0"/>
    <n v="12"/>
    <x v="54"/>
    <x v="0"/>
    <x v="0"/>
    <x v="0"/>
  </r>
  <r>
    <s v="Description 809"/>
    <s v="Code 809"/>
    <n v="0"/>
    <n v="0"/>
    <n v="0"/>
    <n v="0"/>
    <n v="0"/>
    <n v="0"/>
    <n v="0"/>
    <n v="0"/>
    <n v="0"/>
    <n v="0"/>
    <n v="4"/>
    <x v="135"/>
    <x v="0"/>
    <x v="0"/>
    <x v="0"/>
  </r>
  <r>
    <s v="Description 810"/>
    <s v="Code 810"/>
    <n v="0"/>
    <n v="0"/>
    <n v="0"/>
    <n v="0"/>
    <n v="0"/>
    <n v="0"/>
    <n v="0"/>
    <n v="0"/>
    <n v="0"/>
    <n v="0"/>
    <n v="0"/>
    <x v="37"/>
    <x v="0"/>
    <x v="0"/>
    <x v="0"/>
  </r>
  <r>
    <s v="Description 811"/>
    <s v="Code 811"/>
    <n v="0"/>
    <n v="0"/>
    <n v="0"/>
    <n v="0"/>
    <n v="0"/>
    <n v="0"/>
    <n v="0"/>
    <n v="0"/>
    <n v="0"/>
    <n v="0"/>
    <n v="16116"/>
    <x v="171"/>
    <x v="0"/>
    <x v="0"/>
    <x v="0"/>
  </r>
  <r>
    <s v="Description 812"/>
    <s v="Code 812"/>
    <n v="160"/>
    <n v="37"/>
    <n v="216"/>
    <n v="216"/>
    <n v="217"/>
    <n v="216"/>
    <n v="216"/>
    <n v="216"/>
    <n v="216"/>
    <n v="0"/>
    <n v="3547"/>
    <x v="102"/>
    <x v="0"/>
    <x v="0"/>
    <x v="0"/>
  </r>
  <r>
    <s v="Description 813"/>
    <s v="Code 813"/>
    <n v="0"/>
    <n v="0"/>
    <n v="0"/>
    <n v="0"/>
    <n v="0"/>
    <n v="0"/>
    <n v="0"/>
    <n v="0"/>
    <n v="0"/>
    <n v="0"/>
    <n v="3570"/>
    <x v="120"/>
    <x v="0"/>
    <x v="0"/>
    <x v="0"/>
  </r>
  <r>
    <s v="Description 814"/>
    <s v="Code 814"/>
    <n v="5"/>
    <n v="1"/>
    <n v="58"/>
    <n v="58"/>
    <n v="58"/>
    <n v="58"/>
    <n v="58"/>
    <n v="58"/>
    <n v="58"/>
    <n v="0"/>
    <n v="1148"/>
    <x v="180"/>
    <x v="0"/>
    <x v="0"/>
    <x v="0"/>
  </r>
  <r>
    <s v="Description 815"/>
    <s v="Code 815"/>
    <n v="0"/>
    <n v="0"/>
    <n v="0"/>
    <n v="0"/>
    <n v="0"/>
    <n v="0"/>
    <n v="0"/>
    <n v="0"/>
    <n v="0"/>
    <n v="0"/>
    <n v="1500"/>
    <x v="186"/>
    <x v="0"/>
    <x v="0"/>
    <x v="0"/>
  </r>
  <r>
    <s v="Description 816"/>
    <s v="Code 816"/>
    <n v="5"/>
    <n v="1"/>
    <n v="58"/>
    <n v="58"/>
    <n v="58"/>
    <n v="58"/>
    <n v="58"/>
    <n v="58"/>
    <n v="58"/>
    <n v="0"/>
    <n v="1000"/>
    <x v="101"/>
    <x v="0"/>
    <x v="0"/>
    <x v="0"/>
  </r>
  <r>
    <s v="Description 817"/>
    <s v="Code 817"/>
    <n v="78"/>
    <n v="17"/>
    <n v="90"/>
    <n v="90"/>
    <n v="91"/>
    <n v="90"/>
    <n v="90"/>
    <n v="90"/>
    <n v="90"/>
    <n v="0"/>
    <n v="787"/>
    <x v="9"/>
    <x v="0"/>
    <x v="0"/>
    <x v="0"/>
  </r>
  <r>
    <s v="Description 818"/>
    <s v="Code 818"/>
    <n v="10"/>
    <n v="2"/>
    <n v="24"/>
    <n v="24"/>
    <n v="24"/>
    <n v="24"/>
    <n v="24"/>
    <n v="24"/>
    <n v="24"/>
    <n v="0"/>
    <n v="7436"/>
    <x v="104"/>
    <x v="0"/>
    <x v="0"/>
    <x v="0"/>
  </r>
  <r>
    <s v="Description 819"/>
    <s v="Code 819"/>
    <n v="398"/>
    <n v="102"/>
    <n v="448"/>
    <n v="448"/>
    <n v="448"/>
    <n v="448"/>
    <n v="448"/>
    <n v="448"/>
    <n v="448"/>
    <n v="0"/>
    <n v="1003"/>
    <x v="11"/>
    <x v="0"/>
    <x v="0"/>
    <x v="0"/>
  </r>
  <r>
    <s v="Description 820"/>
    <s v="Code 820"/>
    <n v="358"/>
    <n v="83"/>
    <n v="334"/>
    <n v="334"/>
    <n v="337"/>
    <n v="334"/>
    <n v="334"/>
    <n v="334"/>
    <n v="334"/>
    <n v="0"/>
    <n v="800"/>
    <x v="11"/>
    <x v="0"/>
    <x v="0"/>
    <x v="0"/>
  </r>
  <r>
    <s v="Description 821"/>
    <s v="Code 821"/>
    <n v="398"/>
    <n v="102"/>
    <n v="448"/>
    <n v="448"/>
    <n v="448"/>
    <n v="448"/>
    <n v="448"/>
    <n v="448"/>
    <n v="448"/>
    <n v="0"/>
    <n v="3"/>
    <x v="93"/>
    <x v="0"/>
    <x v="0"/>
    <x v="0"/>
  </r>
  <r>
    <s v="Description 822"/>
    <s v="Code 822"/>
    <n v="0"/>
    <n v="0"/>
    <n v="0"/>
    <n v="0"/>
    <n v="0"/>
    <n v="0"/>
    <n v="0"/>
    <n v="0"/>
    <n v="0"/>
    <n v="0"/>
    <n v="0"/>
    <x v="154"/>
    <x v="0"/>
    <x v="0"/>
    <x v="0"/>
  </r>
  <r>
    <s v="Description 823"/>
    <s v="Code 823"/>
    <n v="0"/>
    <n v="0"/>
    <n v="0"/>
    <n v="0"/>
    <n v="0"/>
    <n v="0"/>
    <n v="0"/>
    <n v="0"/>
    <n v="0"/>
    <n v="0"/>
    <n v="160"/>
    <x v="151"/>
    <x v="0"/>
    <x v="0"/>
    <x v="0"/>
  </r>
  <r>
    <s v="Description 824"/>
    <s v="Code 824"/>
    <n v="62"/>
    <n v="12"/>
    <n v="32"/>
    <n v="32"/>
    <n v="32"/>
    <n v="32"/>
    <n v="32"/>
    <n v="32"/>
    <n v="32"/>
    <n v="0"/>
    <n v="100"/>
    <x v="49"/>
    <x v="0"/>
    <x v="0"/>
    <x v="0"/>
  </r>
  <r>
    <s v="Description 825"/>
    <s v="Code 825"/>
    <n v="11"/>
    <n v="0"/>
    <n v="46"/>
    <n v="46"/>
    <n v="47"/>
    <n v="46"/>
    <n v="46"/>
    <n v="46"/>
    <n v="46"/>
    <n v="0"/>
    <n v="200"/>
    <x v="88"/>
    <x v="0"/>
    <x v="0"/>
    <x v="0"/>
  </r>
  <r>
    <s v="Description 826"/>
    <s v="Code 826"/>
    <n v="5"/>
    <n v="1"/>
    <n v="58"/>
    <n v="58"/>
    <n v="58"/>
    <n v="58"/>
    <n v="58"/>
    <n v="58"/>
    <n v="58"/>
    <n v="0"/>
    <n v="65"/>
    <x v="76"/>
    <x v="0"/>
    <x v="1"/>
    <x v="0"/>
  </r>
  <r>
    <s v="Description 827"/>
    <s v="Code 827"/>
    <n v="4"/>
    <n v="1"/>
    <n v="12"/>
    <n v="12"/>
    <n v="12"/>
    <n v="12"/>
    <n v="12"/>
    <n v="12"/>
    <n v="12"/>
    <n v="0"/>
    <n v="25"/>
    <x v="19"/>
    <x v="0"/>
    <x v="0"/>
    <x v="0"/>
  </r>
  <r>
    <s v="Description 828"/>
    <s v="Code 828"/>
    <n v="0"/>
    <n v="0"/>
    <n v="46"/>
    <n v="46"/>
    <n v="46"/>
    <n v="46"/>
    <n v="46"/>
    <n v="46"/>
    <n v="46"/>
    <n v="0"/>
    <n v="0"/>
    <x v="134"/>
    <x v="0"/>
    <x v="0"/>
    <x v="0"/>
  </r>
  <r>
    <s v="Description 829"/>
    <s v="Code 829"/>
    <n v="0"/>
    <n v="0"/>
    <n v="0"/>
    <n v="0"/>
    <n v="0"/>
    <n v="0"/>
    <n v="0"/>
    <n v="0"/>
    <n v="0"/>
    <n v="0"/>
    <n v="0"/>
    <x v="134"/>
    <x v="0"/>
    <x v="0"/>
    <x v="0"/>
  </r>
  <r>
    <s v="Description 830"/>
    <s v="Code 830"/>
    <n v="0"/>
    <n v="0"/>
    <n v="0"/>
    <n v="0"/>
    <n v="0"/>
    <n v="0"/>
    <n v="0"/>
    <n v="0"/>
    <n v="0"/>
    <n v="0"/>
    <n v="30"/>
    <x v="41"/>
    <x v="0"/>
    <x v="0"/>
    <x v="0"/>
  </r>
  <r>
    <s v="Description 831"/>
    <s v="Code 831"/>
    <n v="0"/>
    <n v="0"/>
    <n v="0"/>
    <n v="0"/>
    <n v="0"/>
    <n v="0"/>
    <n v="0"/>
    <n v="0"/>
    <n v="0"/>
    <n v="0"/>
    <n v="5"/>
    <x v="114"/>
    <x v="0"/>
    <x v="0"/>
    <x v="0"/>
  </r>
  <r>
    <s v="Description 832"/>
    <s v="Code 832"/>
    <n v="0"/>
    <n v="0"/>
    <n v="0"/>
    <n v="0"/>
    <n v="0"/>
    <n v="0"/>
    <n v="0"/>
    <n v="0"/>
    <n v="0"/>
    <n v="0"/>
    <n v="0"/>
    <x v="148"/>
    <x v="0"/>
    <x v="0"/>
    <x v="0"/>
  </r>
  <r>
    <s v="Description 833"/>
    <s v="Code 833"/>
    <n v="682"/>
    <n v="170"/>
    <n v="440"/>
    <n v="440"/>
    <n v="440"/>
    <n v="440"/>
    <n v="440"/>
    <n v="440"/>
    <n v="440"/>
    <n v="0"/>
    <n v="396"/>
    <x v="25"/>
    <x v="0"/>
    <x v="1"/>
    <x v="0"/>
  </r>
  <r>
    <s v="Description 834"/>
    <s v="Code 834"/>
    <n v="11"/>
    <n v="0"/>
    <n v="0"/>
    <n v="0"/>
    <n v="1"/>
    <n v="0"/>
    <n v="0"/>
    <n v="0"/>
    <n v="0"/>
    <n v="0"/>
    <n v="150"/>
    <x v="43"/>
    <x v="0"/>
    <x v="0"/>
    <x v="0"/>
  </r>
  <r>
    <s v="Description 835"/>
    <s v="Code 835"/>
    <n v="62"/>
    <n v="12"/>
    <n v="32"/>
    <n v="32"/>
    <n v="32"/>
    <n v="32"/>
    <n v="32"/>
    <n v="32"/>
    <n v="32"/>
    <n v="0"/>
    <n v="72"/>
    <x v="88"/>
    <x v="0"/>
    <x v="0"/>
    <x v="0"/>
  </r>
  <r>
    <s v="Description 836"/>
    <s v="Code 836"/>
    <n v="1"/>
    <n v="0"/>
    <n v="0"/>
    <n v="0"/>
    <n v="0"/>
    <n v="0"/>
    <n v="0"/>
    <n v="0"/>
    <n v="0"/>
    <n v="0"/>
    <n v="12"/>
    <x v="81"/>
    <x v="0"/>
    <x v="0"/>
    <x v="0"/>
  </r>
  <r>
    <s v="Description 837"/>
    <s v="Code 837"/>
    <n v="1"/>
    <n v="0"/>
    <n v="0"/>
    <n v="0"/>
    <n v="0"/>
    <n v="0"/>
    <n v="0"/>
    <n v="0"/>
    <n v="0"/>
    <n v="0"/>
    <n v="12"/>
    <x v="121"/>
    <x v="0"/>
    <x v="0"/>
    <x v="0"/>
  </r>
  <r>
    <s v="Description 838"/>
    <s v="Code 838"/>
    <n v="2"/>
    <n v="9"/>
    <n v="12"/>
    <n v="12"/>
    <n v="12"/>
    <n v="12"/>
    <n v="12"/>
    <n v="12"/>
    <n v="12"/>
    <n v="0"/>
    <n v="72"/>
    <x v="74"/>
    <x v="0"/>
    <x v="0"/>
    <x v="0"/>
  </r>
  <r>
    <s v="Description 839"/>
    <s v="Code 839"/>
    <n v="0"/>
    <n v="0"/>
    <n v="0"/>
    <n v="0"/>
    <n v="0"/>
    <n v="0"/>
    <n v="0"/>
    <n v="0"/>
    <n v="0"/>
    <n v="0"/>
    <n v="0"/>
    <x v="30"/>
    <x v="0"/>
    <x v="0"/>
    <x v="0"/>
  </r>
  <r>
    <s v="Description 840"/>
    <s v="Code 840"/>
    <n v="2"/>
    <n v="9"/>
    <n v="9"/>
    <n v="9"/>
    <n v="9"/>
    <n v="9"/>
    <n v="9"/>
    <n v="9"/>
    <n v="9"/>
    <n v="0"/>
    <n v="129"/>
    <x v="111"/>
    <x v="0"/>
    <x v="0"/>
    <x v="0"/>
  </r>
  <r>
    <s v="Description 841"/>
    <s v="Code 841"/>
    <n v="0"/>
    <n v="0"/>
    <n v="0"/>
    <n v="0"/>
    <n v="0"/>
    <n v="0"/>
    <n v="0"/>
    <n v="0"/>
    <n v="0"/>
    <n v="0"/>
    <n v="0"/>
    <x v="151"/>
    <x v="0"/>
    <x v="0"/>
    <x v="0"/>
  </r>
  <r>
    <s v="Description 842"/>
    <s v="Code 842"/>
    <n v="0"/>
    <n v="0"/>
    <n v="3"/>
    <n v="3"/>
    <n v="3"/>
    <n v="3"/>
    <n v="3"/>
    <n v="3"/>
    <n v="3"/>
    <n v="0"/>
    <n v="14"/>
    <x v="117"/>
    <x v="0"/>
    <x v="0"/>
    <x v="0"/>
  </r>
  <r>
    <s v="Description 843"/>
    <s v="Code 843"/>
    <n v="0"/>
    <n v="0"/>
    <n v="3"/>
    <n v="3"/>
    <n v="3"/>
    <n v="3"/>
    <n v="3"/>
    <n v="3"/>
    <n v="3"/>
    <n v="0"/>
    <n v="0"/>
    <x v="185"/>
    <x v="0"/>
    <x v="0"/>
    <x v="0"/>
  </r>
  <r>
    <s v="Description 844"/>
    <s v="Code 844"/>
    <n v="0"/>
    <n v="5"/>
    <n v="5"/>
    <n v="5"/>
    <n v="5"/>
    <n v="5"/>
    <n v="5"/>
    <n v="5"/>
    <n v="5"/>
    <n v="0"/>
    <n v="1"/>
    <x v="141"/>
    <x v="0"/>
    <x v="0"/>
    <x v="0"/>
  </r>
  <r>
    <s v="Description 845"/>
    <s v="Code 845"/>
    <n v="0"/>
    <n v="0"/>
    <n v="0"/>
    <n v="0"/>
    <n v="0"/>
    <n v="0"/>
    <n v="0"/>
    <n v="0"/>
    <n v="0"/>
    <n v="0"/>
    <n v="25"/>
    <x v="54"/>
    <x v="0"/>
    <x v="0"/>
    <x v="0"/>
  </r>
  <r>
    <s v="Description 846"/>
    <s v="Code 846"/>
    <n v="2"/>
    <n v="9"/>
    <n v="9"/>
    <n v="9"/>
    <n v="9"/>
    <n v="9"/>
    <n v="9"/>
    <n v="9"/>
    <n v="9"/>
    <n v="0"/>
    <n v="12"/>
    <x v="159"/>
    <x v="0"/>
    <x v="0"/>
    <x v="0"/>
  </r>
  <r>
    <s v="Description 847"/>
    <s v="Code 847"/>
    <n v="0"/>
    <n v="0"/>
    <n v="0"/>
    <n v="0"/>
    <n v="0"/>
    <n v="0"/>
    <n v="0"/>
    <n v="0"/>
    <n v="0"/>
    <n v="0"/>
    <n v="5"/>
    <x v="95"/>
    <x v="0"/>
    <x v="0"/>
    <x v="0"/>
  </r>
  <r>
    <s v="Description 848"/>
    <s v="Code 848"/>
    <n v="0"/>
    <n v="0"/>
    <n v="3"/>
    <n v="3"/>
    <n v="3"/>
    <n v="3"/>
    <n v="3"/>
    <n v="3"/>
    <n v="3"/>
    <n v="0"/>
    <n v="61"/>
    <x v="46"/>
    <x v="0"/>
    <x v="0"/>
    <x v="0"/>
  </r>
  <r>
    <s v="Description 849"/>
    <s v="Code 849"/>
    <n v="1"/>
    <n v="4"/>
    <n v="4"/>
    <n v="4"/>
    <n v="4"/>
    <n v="4"/>
    <n v="4"/>
    <n v="4"/>
    <n v="4"/>
    <n v="0"/>
    <n v="284"/>
    <x v="141"/>
    <x v="0"/>
    <x v="0"/>
    <x v="0"/>
  </r>
  <r>
    <s v="Description 850"/>
    <s v="Code 850"/>
    <n v="0"/>
    <n v="0"/>
    <n v="0"/>
    <n v="0"/>
    <n v="0"/>
    <n v="0"/>
    <n v="0"/>
    <n v="0"/>
    <n v="0"/>
    <n v="0"/>
    <n v="37"/>
    <x v="194"/>
    <x v="0"/>
    <x v="0"/>
    <x v="0"/>
  </r>
  <r>
    <s v="Description 851"/>
    <s v="Code 851"/>
    <n v="0"/>
    <n v="12"/>
    <n v="1"/>
    <n v="0"/>
    <n v="0"/>
    <n v="0"/>
    <n v="0"/>
    <n v="0"/>
    <n v="0"/>
    <n v="0"/>
    <n v="0"/>
    <x v="184"/>
    <x v="0"/>
    <x v="0"/>
    <x v="0"/>
  </r>
  <r>
    <s v="Description 852"/>
    <s v="Code 852"/>
    <n v="0"/>
    <n v="0"/>
    <n v="0"/>
    <n v="0"/>
    <n v="0"/>
    <n v="0"/>
    <n v="0"/>
    <n v="0"/>
    <n v="0"/>
    <n v="0"/>
    <n v="4"/>
    <x v="128"/>
    <x v="0"/>
    <x v="0"/>
    <x v="0"/>
  </r>
  <r>
    <s v="Description 853"/>
    <s v="Code 853"/>
    <n v="1"/>
    <n v="5"/>
    <n v="5"/>
    <n v="5"/>
    <n v="5"/>
    <n v="5"/>
    <n v="5"/>
    <n v="5"/>
    <n v="5"/>
    <n v="0"/>
    <n v="0"/>
    <x v="140"/>
    <x v="0"/>
    <x v="0"/>
    <x v="0"/>
  </r>
  <r>
    <s v="Description 854"/>
    <s v="Code 854"/>
    <n v="0"/>
    <n v="0"/>
    <n v="0"/>
    <n v="0"/>
    <n v="0"/>
    <n v="0"/>
    <n v="0"/>
    <n v="0"/>
    <n v="0"/>
    <n v="0"/>
    <n v="16"/>
    <x v="88"/>
    <x v="0"/>
    <x v="0"/>
    <x v="0"/>
  </r>
  <r>
    <s v="Description 855"/>
    <s v="Code 855"/>
    <n v="5"/>
    <n v="0"/>
    <n v="7"/>
    <n v="7"/>
    <n v="7"/>
    <n v="7"/>
    <n v="7"/>
    <n v="7"/>
    <n v="7"/>
    <n v="0"/>
    <n v="2"/>
    <x v="19"/>
    <x v="0"/>
    <x v="0"/>
    <x v="0"/>
  </r>
  <r>
    <s v="Description 856"/>
    <s v="Code 856"/>
    <n v="0"/>
    <n v="0"/>
    <n v="0"/>
    <n v="0"/>
    <n v="0"/>
    <n v="0"/>
    <n v="0"/>
    <n v="0"/>
    <n v="0"/>
    <n v="0"/>
    <n v="0"/>
    <x v="18"/>
    <x v="0"/>
    <x v="0"/>
    <x v="0"/>
  </r>
  <r>
    <s v="Description 857"/>
    <s v="Code 857"/>
    <n v="0"/>
    <n v="0"/>
    <n v="0"/>
    <n v="0"/>
    <n v="0"/>
    <n v="0"/>
    <n v="0"/>
    <n v="0"/>
    <n v="0"/>
    <n v="0"/>
    <n v="0"/>
    <x v="70"/>
    <x v="0"/>
    <x v="0"/>
    <x v="0"/>
  </r>
  <r>
    <s v="Description 858"/>
    <s v="Code 858"/>
    <n v="0"/>
    <n v="0"/>
    <n v="0"/>
    <n v="0"/>
    <n v="0"/>
    <n v="0"/>
    <n v="0"/>
    <n v="0"/>
    <n v="0"/>
    <n v="0"/>
    <n v="0"/>
    <x v="164"/>
    <x v="0"/>
    <x v="0"/>
    <x v="0"/>
  </r>
  <r>
    <s v="Description 859"/>
    <s v="Code 859"/>
    <n v="0"/>
    <n v="2"/>
    <n v="2"/>
    <n v="2"/>
    <n v="2"/>
    <n v="2"/>
    <n v="2"/>
    <n v="2"/>
    <n v="2"/>
    <n v="0"/>
    <n v="0"/>
    <x v="52"/>
    <x v="0"/>
    <x v="0"/>
    <x v="0"/>
  </r>
  <r>
    <s v="Description 860"/>
    <s v="Code 860"/>
    <n v="0"/>
    <n v="0"/>
    <n v="0"/>
    <n v="0"/>
    <n v="0"/>
    <n v="0"/>
    <n v="0"/>
    <n v="0"/>
    <n v="0"/>
    <n v="0"/>
    <n v="0"/>
    <x v="64"/>
    <x v="0"/>
    <x v="0"/>
    <x v="0"/>
  </r>
  <r>
    <s v="Description 861"/>
    <s v="Code 861"/>
    <n v="0"/>
    <n v="0"/>
    <n v="0"/>
    <n v="0"/>
    <n v="0"/>
    <n v="0"/>
    <n v="0"/>
    <n v="0"/>
    <n v="0"/>
    <n v="0"/>
    <n v="0"/>
    <x v="0"/>
    <x v="0"/>
    <x v="0"/>
    <x v="0"/>
  </r>
  <r>
    <s v="Description 862"/>
    <s v="Code 862"/>
    <n v="0"/>
    <n v="0"/>
    <n v="0"/>
    <n v="0"/>
    <n v="0"/>
    <n v="0"/>
    <n v="0"/>
    <n v="0"/>
    <n v="0"/>
    <n v="0"/>
    <n v="3"/>
    <x v="21"/>
    <x v="0"/>
    <x v="0"/>
    <x v="0"/>
  </r>
  <r>
    <s v="Description 863"/>
    <s v="Code 863"/>
    <n v="0"/>
    <n v="0"/>
    <n v="0"/>
    <n v="0"/>
    <n v="0"/>
    <n v="0"/>
    <n v="0"/>
    <n v="0"/>
    <n v="0"/>
    <n v="0"/>
    <n v="5"/>
    <x v="154"/>
    <x v="0"/>
    <x v="0"/>
    <x v="0"/>
  </r>
  <r>
    <s v="Description 864"/>
    <s v="Code 864"/>
    <n v="0"/>
    <n v="0"/>
    <n v="0"/>
    <n v="0"/>
    <n v="0"/>
    <n v="0"/>
    <n v="0"/>
    <n v="0"/>
    <n v="0"/>
    <n v="0"/>
    <n v="1"/>
    <x v="40"/>
    <x v="0"/>
    <x v="0"/>
    <x v="0"/>
  </r>
  <r>
    <s v="Description 865"/>
    <s v="Code 865"/>
    <n v="0"/>
    <n v="1"/>
    <n v="0"/>
    <n v="0"/>
    <n v="0"/>
    <n v="0"/>
    <n v="0"/>
    <n v="0"/>
    <n v="0"/>
    <n v="0"/>
    <n v="4"/>
    <x v="78"/>
    <x v="0"/>
    <x v="0"/>
    <x v="0"/>
  </r>
  <r>
    <s v="Description 866"/>
    <s v="Code 866"/>
    <n v="0"/>
    <n v="0"/>
    <n v="0"/>
    <n v="0"/>
    <n v="0"/>
    <n v="0"/>
    <n v="0"/>
    <n v="0"/>
    <n v="0"/>
    <n v="0"/>
    <n v="0"/>
    <x v="55"/>
    <x v="0"/>
    <x v="0"/>
    <x v="0"/>
  </r>
  <r>
    <s v="Description 867"/>
    <s v="Code 867"/>
    <n v="0"/>
    <n v="0"/>
    <n v="0"/>
    <n v="0"/>
    <n v="0"/>
    <n v="0"/>
    <n v="0"/>
    <n v="0"/>
    <n v="0"/>
    <n v="0"/>
    <n v="2"/>
    <x v="97"/>
    <x v="0"/>
    <x v="0"/>
    <x v="0"/>
  </r>
  <r>
    <s v="Description 868"/>
    <s v="Code 868"/>
    <n v="11"/>
    <n v="0"/>
    <n v="0"/>
    <n v="0"/>
    <n v="1"/>
    <n v="0"/>
    <n v="0"/>
    <n v="0"/>
    <n v="0"/>
    <n v="0"/>
    <n v="6"/>
    <x v="71"/>
    <x v="0"/>
    <x v="0"/>
    <x v="0"/>
  </r>
  <r>
    <s v="Description 869"/>
    <s v="Code 869"/>
    <n v="0"/>
    <n v="0"/>
    <n v="0"/>
    <n v="0"/>
    <n v="0"/>
    <n v="0"/>
    <n v="0"/>
    <n v="0"/>
    <n v="0"/>
    <n v="0"/>
    <n v="0"/>
    <x v="2"/>
    <x v="0"/>
    <x v="0"/>
    <x v="0"/>
  </r>
  <r>
    <s v="Description 870"/>
    <s v="Code 870"/>
    <n v="0"/>
    <n v="0"/>
    <n v="0"/>
    <n v="0"/>
    <n v="0"/>
    <n v="0"/>
    <n v="0"/>
    <n v="0"/>
    <n v="0"/>
    <n v="0"/>
    <n v="0"/>
    <x v="174"/>
    <x v="0"/>
    <x v="0"/>
    <x v="0"/>
  </r>
  <r>
    <s v="Description 871"/>
    <s v="Code 871"/>
    <n v="0"/>
    <n v="0"/>
    <n v="0"/>
    <n v="0"/>
    <n v="0"/>
    <n v="0"/>
    <n v="0"/>
    <n v="0"/>
    <n v="0"/>
    <n v="0"/>
    <n v="4"/>
    <x v="38"/>
    <x v="0"/>
    <x v="0"/>
    <x v="0"/>
  </r>
  <r>
    <s v="Description 872"/>
    <s v="Code 872"/>
    <n v="0"/>
    <n v="0"/>
    <n v="0"/>
    <n v="0"/>
    <n v="0"/>
    <n v="0"/>
    <n v="0"/>
    <n v="0"/>
    <n v="0"/>
    <n v="0"/>
    <n v="10"/>
    <x v="75"/>
    <x v="0"/>
    <x v="0"/>
    <x v="0"/>
  </r>
  <r>
    <s v="Description 873"/>
    <s v="Code 873"/>
    <n v="1"/>
    <n v="0"/>
    <n v="0"/>
    <n v="0"/>
    <n v="0"/>
    <n v="0"/>
    <n v="0"/>
    <n v="0"/>
    <n v="0"/>
    <n v="0"/>
    <n v="0"/>
    <x v="118"/>
    <x v="0"/>
    <x v="0"/>
    <x v="0"/>
  </r>
  <r>
    <s v="Description 874"/>
    <s v="Code 874"/>
    <n v="0"/>
    <n v="0"/>
    <n v="0"/>
    <n v="0"/>
    <n v="0"/>
    <n v="0"/>
    <n v="0"/>
    <n v="0"/>
    <n v="0"/>
    <n v="0"/>
    <n v="2"/>
    <x v="7"/>
    <x v="0"/>
    <x v="0"/>
    <x v="0"/>
  </r>
  <r>
    <s v="Description 875"/>
    <s v="Code 875"/>
    <n v="0"/>
    <n v="0"/>
    <n v="0"/>
    <n v="0"/>
    <n v="0"/>
    <n v="0"/>
    <n v="0"/>
    <n v="0"/>
    <n v="0"/>
    <n v="0"/>
    <n v="3"/>
    <x v="147"/>
    <x v="0"/>
    <x v="0"/>
    <x v="0"/>
  </r>
  <r>
    <s v="Description 876"/>
    <s v="Code 876"/>
    <n v="1"/>
    <n v="0"/>
    <n v="0"/>
    <n v="0"/>
    <n v="0"/>
    <n v="0"/>
    <n v="0"/>
    <n v="0"/>
    <n v="0"/>
    <n v="0"/>
    <n v="49"/>
    <x v="59"/>
    <x v="0"/>
    <x v="0"/>
    <x v="0"/>
  </r>
  <r>
    <s v="Description 877"/>
    <s v="Code 877"/>
    <n v="0"/>
    <n v="0"/>
    <n v="0"/>
    <n v="0"/>
    <n v="0"/>
    <n v="0"/>
    <n v="0"/>
    <n v="0"/>
    <n v="0"/>
    <n v="0"/>
    <n v="49"/>
    <x v="185"/>
    <x v="0"/>
    <x v="0"/>
    <x v="0"/>
  </r>
  <r>
    <s v="Description 878"/>
    <s v="Code 878"/>
    <n v="0"/>
    <n v="0"/>
    <n v="0"/>
    <n v="0"/>
    <n v="0"/>
    <n v="0"/>
    <n v="0"/>
    <n v="0"/>
    <n v="0"/>
    <n v="0"/>
    <n v="3"/>
    <x v="21"/>
    <x v="0"/>
    <x v="0"/>
    <x v="0"/>
  </r>
  <r>
    <s v="Description 879"/>
    <s v="Code 879"/>
    <n v="0"/>
    <n v="0"/>
    <n v="0"/>
    <n v="0"/>
    <n v="0"/>
    <n v="0"/>
    <n v="0"/>
    <n v="0"/>
    <n v="0"/>
    <n v="0"/>
    <n v="492"/>
    <x v="111"/>
    <x v="0"/>
    <x v="0"/>
    <x v="0"/>
  </r>
  <r>
    <s v="Description 880"/>
    <s v="Code 880"/>
    <n v="132"/>
    <n v="34"/>
    <n v="180"/>
    <n v="180"/>
    <n v="180"/>
    <n v="180"/>
    <n v="180"/>
    <n v="180"/>
    <n v="180"/>
    <n v="0"/>
    <n v="21"/>
    <x v="70"/>
    <x v="0"/>
    <x v="0"/>
    <x v="0"/>
  </r>
  <r>
    <s v="Description 881"/>
    <s v="Code 881"/>
    <n v="2"/>
    <n v="0"/>
    <n v="0"/>
    <n v="0"/>
    <n v="1"/>
    <n v="0"/>
    <n v="0"/>
    <n v="0"/>
    <n v="0"/>
    <n v="0"/>
    <n v="1"/>
    <x v="6"/>
    <x v="0"/>
    <x v="0"/>
    <x v="0"/>
  </r>
  <r>
    <s v="Description 882"/>
    <s v="Code 882"/>
    <n v="0"/>
    <n v="0"/>
    <n v="0"/>
    <n v="0"/>
    <n v="0"/>
    <n v="0"/>
    <n v="0"/>
    <n v="0"/>
    <n v="0"/>
    <n v="0"/>
    <n v="27"/>
    <x v="11"/>
    <x v="0"/>
    <x v="0"/>
    <x v="0"/>
  </r>
  <r>
    <s v="Description 883"/>
    <s v="Code 883"/>
    <n v="233"/>
    <n v="237"/>
    <n v="249"/>
    <n v="284"/>
    <n v="207"/>
    <n v="159"/>
    <n v="169"/>
    <n v="119"/>
    <n v="85"/>
    <n v="0"/>
    <n v="0"/>
    <x v="184"/>
    <x v="0"/>
    <x v="0"/>
    <x v="0"/>
  </r>
  <r>
    <s v="Description 884"/>
    <s v="Code 884"/>
    <n v="135"/>
    <n v="95"/>
    <n v="165"/>
    <n v="180"/>
    <n v="150"/>
    <n v="150"/>
    <n v="180"/>
    <n v="170"/>
    <n v="165"/>
    <n v="0"/>
    <n v="4"/>
    <x v="96"/>
    <x v="0"/>
    <x v="0"/>
    <x v="0"/>
  </r>
  <r>
    <s v="Description 885"/>
    <s v="Code 885"/>
    <n v="8"/>
    <n v="6"/>
    <n v="4"/>
    <n v="0"/>
    <n v="0"/>
    <n v="0"/>
    <n v="6"/>
    <n v="0"/>
    <n v="4"/>
    <n v="0"/>
    <n v="0"/>
    <x v="67"/>
    <x v="0"/>
    <x v="0"/>
    <x v="0"/>
  </r>
  <r>
    <s v="Description 886"/>
    <s v="Code 886"/>
    <n v="32"/>
    <n v="24"/>
    <n v="16"/>
    <n v="0"/>
    <n v="0"/>
    <n v="0"/>
    <n v="24"/>
    <n v="0"/>
    <n v="16"/>
    <n v="0"/>
    <n v="18"/>
    <x v="125"/>
    <x v="0"/>
    <x v="0"/>
    <x v="0"/>
  </r>
  <r>
    <s v="Description 887"/>
    <s v="Code 887"/>
    <n v="12"/>
    <n v="6"/>
    <n v="6"/>
    <n v="0"/>
    <n v="0"/>
    <n v="0"/>
    <n v="6"/>
    <n v="0"/>
    <n v="6"/>
    <n v="0"/>
    <n v="125"/>
    <x v="157"/>
    <x v="0"/>
    <x v="0"/>
    <x v="0"/>
  </r>
  <r>
    <s v="Description 888"/>
    <s v="Code 888"/>
    <n v="0"/>
    <n v="0"/>
    <n v="0"/>
    <n v="0"/>
    <n v="0"/>
    <n v="0"/>
    <n v="0"/>
    <n v="0"/>
    <n v="0"/>
    <n v="0"/>
    <n v="10"/>
    <x v="14"/>
    <x v="0"/>
    <x v="0"/>
    <x v="0"/>
  </r>
  <r>
    <s v="Description 889"/>
    <s v="Code 889"/>
    <n v="0"/>
    <n v="0"/>
    <n v="0"/>
    <n v="0"/>
    <n v="0"/>
    <n v="0"/>
    <n v="0"/>
    <n v="0"/>
    <n v="0"/>
    <n v="0"/>
    <n v="40"/>
    <x v="46"/>
    <x v="0"/>
    <x v="0"/>
    <x v="0"/>
  </r>
  <r>
    <s v="Description 890"/>
    <s v="Code 890"/>
    <n v="0"/>
    <n v="0"/>
    <n v="0"/>
    <n v="0"/>
    <n v="0"/>
    <n v="0"/>
    <n v="0"/>
    <n v="0"/>
    <n v="0"/>
    <n v="0"/>
    <n v="1"/>
    <x v="138"/>
    <x v="0"/>
    <x v="0"/>
    <x v="0"/>
  </r>
  <r>
    <s v="Description 891"/>
    <s v="Code 891"/>
    <n v="0"/>
    <n v="0"/>
    <n v="0"/>
    <n v="0"/>
    <n v="0"/>
    <n v="0"/>
    <n v="0"/>
    <n v="0"/>
    <n v="0"/>
    <n v="0"/>
    <n v="213.2"/>
    <x v="106"/>
    <x v="0"/>
    <x v="0"/>
    <x v="0"/>
  </r>
  <r>
    <s v="Description 892"/>
    <s v="Code 892"/>
    <n v="82.21"/>
    <n v="111.5"/>
    <n v="120.23"/>
    <n v="98.68"/>
    <n v="64.75"/>
    <n v="59.9"/>
    <n v="56.14"/>
    <n v="73.47"/>
    <n v="56.14"/>
    <n v="0"/>
    <n v="36"/>
    <x v="116"/>
    <x v="0"/>
    <x v="0"/>
    <x v="0"/>
  </r>
  <r>
    <s v="Description 893"/>
    <s v="Code 893"/>
    <n v="0"/>
    <n v="6.54"/>
    <n v="4.3600000000000003"/>
    <n v="2.1800000000000002"/>
    <n v="0"/>
    <n v="0"/>
    <n v="2.1800000000000002"/>
    <n v="2.1800000000000002"/>
    <n v="2.1800000000000002"/>
    <n v="0"/>
    <n v="13"/>
    <x v="141"/>
    <x v="0"/>
    <x v="0"/>
    <x v="0"/>
  </r>
  <r>
    <s v="Description 894"/>
    <s v="Code 894"/>
    <n v="4.8639999999999999"/>
    <n v="4.4640000000000004"/>
    <n v="4.6639999999999997"/>
    <n v="4.6639999999999997"/>
    <n v="2.4319999999999999"/>
    <n v="0"/>
    <n v="1.1160000000000001"/>
    <n v="4.6639999999999997"/>
    <n v="1.1160000000000001"/>
    <n v="0"/>
    <n v="1"/>
    <x v="115"/>
    <x v="0"/>
    <x v="0"/>
    <x v="0"/>
  </r>
  <r>
    <s v="Description 895"/>
    <s v="Code 895"/>
    <n v="11.7"/>
    <n v="14.28"/>
    <n v="16.329999999999998"/>
    <n v="9.65"/>
    <n v="5.85"/>
    <n v="0"/>
    <n v="5.24"/>
    <n v="9.65"/>
    <n v="5.24"/>
    <n v="0"/>
    <n v="53"/>
    <x v="155"/>
    <x v="0"/>
    <x v="0"/>
    <x v="0"/>
  </r>
  <r>
    <s v="Description 896"/>
    <s v="Code 896"/>
    <n v="22.35"/>
    <n v="3.8"/>
    <n v="13.55"/>
    <n v="12.6"/>
    <n v="9.75"/>
    <n v="0"/>
    <n v="1.9"/>
    <n v="9.75"/>
    <n v="1.9"/>
    <n v="0"/>
    <n v="90"/>
    <x v="117"/>
    <x v="0"/>
    <x v="0"/>
    <x v="0"/>
  </r>
  <r>
    <s v="Description 897"/>
    <s v="Code 897"/>
    <n v="36.647500000000001"/>
    <n v="64.192999999999998"/>
    <n v="60.36"/>
    <n v="40.480499999999999"/>
    <n v="17.382000000000001"/>
    <n v="0"/>
    <n v="21.489000000000001"/>
    <n v="38.597000000000001"/>
    <n v="21.489000000000001"/>
    <n v="0"/>
    <n v="256"/>
    <x v="104"/>
    <x v="0"/>
    <x v="0"/>
    <x v="0"/>
  </r>
  <r>
    <s v="Description 898"/>
    <s v="Code 898"/>
    <n v="106"/>
    <n v="87"/>
    <n v="111"/>
    <n v="82"/>
    <n v="53"/>
    <n v="0"/>
    <n v="29"/>
    <n v="82"/>
    <n v="29"/>
    <n v="0"/>
    <n v="9"/>
    <x v="81"/>
    <x v="0"/>
    <x v="0"/>
    <x v="0"/>
  </r>
  <r>
    <s v="Description 899"/>
    <s v="Code 899"/>
    <n v="0.16"/>
    <n v="0.16"/>
    <n v="0.16"/>
    <n v="0.16"/>
    <n v="0.08"/>
    <n v="0"/>
    <n v="0.04"/>
    <n v="0.16"/>
    <n v="0.04"/>
    <n v="0"/>
    <n v="0"/>
    <x v="65"/>
    <x v="0"/>
    <x v="0"/>
    <x v="0"/>
  </r>
  <r>
    <s v="Description 900"/>
    <s v="Code 900"/>
    <n v="0"/>
    <n v="0"/>
    <n v="0"/>
    <n v="0"/>
    <n v="300"/>
    <n v="0"/>
    <n v="0"/>
    <n v="0"/>
    <n v="0"/>
    <n v="0"/>
    <n v="200"/>
    <x v="188"/>
    <x v="0"/>
    <x v="0"/>
    <x v="0"/>
  </r>
  <r>
    <s v="Description 901"/>
    <s v="Code 901"/>
    <n v="0"/>
    <n v="0"/>
    <n v="0"/>
    <n v="0"/>
    <n v="300"/>
    <n v="0"/>
    <n v="0"/>
    <n v="0"/>
    <n v="0"/>
    <n v="0"/>
    <n v="566"/>
    <x v="124"/>
    <x v="0"/>
    <x v="0"/>
    <x v="0"/>
  </r>
  <r>
    <s v="Description 902"/>
    <s v="Code 902"/>
    <n v="400"/>
    <n v="0"/>
    <n v="50"/>
    <n v="150"/>
    <n v="0"/>
    <n v="0"/>
    <n v="300"/>
    <n v="50"/>
    <n v="0"/>
    <n v="0"/>
    <n v="625"/>
    <x v="110"/>
    <x v="0"/>
    <x v="0"/>
    <x v="0"/>
  </r>
  <r>
    <s v="Description 903"/>
    <s v="Code 903"/>
    <n v="400"/>
    <n v="0"/>
    <n v="50"/>
    <n v="150"/>
    <n v="0"/>
    <n v="0"/>
    <n v="300"/>
    <n v="50"/>
    <n v="0"/>
    <n v="0"/>
    <n v="98"/>
    <x v="15"/>
    <x v="0"/>
    <x v="0"/>
    <x v="0"/>
  </r>
  <r>
    <s v="Description 904"/>
    <s v="Code 904"/>
    <n v="0"/>
    <n v="0"/>
    <n v="0"/>
    <n v="5"/>
    <n v="0"/>
    <n v="1"/>
    <n v="0"/>
    <n v="0"/>
    <n v="0"/>
    <n v="0"/>
    <n v="317.22000000000003"/>
    <x v="32"/>
    <x v="0"/>
    <x v="0"/>
    <x v="0"/>
  </r>
  <r>
    <s v="Description 905"/>
    <s v="Code 905"/>
    <n v="5.2"/>
    <n v="32.5"/>
    <n v="1.65"/>
    <n v="1.95"/>
    <n v="4"/>
    <n v="2"/>
    <n v="3.9"/>
    <n v="3.15"/>
    <n v="0"/>
    <n v="0"/>
    <n v="205"/>
    <x v="94"/>
    <x v="0"/>
    <x v="0"/>
    <x v="0"/>
  </r>
  <r>
    <s v="Description 906"/>
    <s v="Code 906"/>
    <n v="10"/>
    <n v="20"/>
    <n v="30"/>
    <n v="0"/>
    <n v="0"/>
    <n v="0"/>
    <n v="0"/>
    <n v="0"/>
    <n v="50"/>
    <n v="0"/>
    <n v="220"/>
    <x v="122"/>
    <x v="0"/>
    <x v="0"/>
    <x v="0"/>
  </r>
  <r>
    <s v="Description 907"/>
    <s v="Code 907"/>
    <n v="10"/>
    <n v="1"/>
    <n v="6"/>
    <n v="4"/>
    <n v="8"/>
    <n v="4"/>
    <n v="2"/>
    <n v="5"/>
    <n v="7"/>
    <n v="0"/>
    <n v="58.055999999999997"/>
    <x v="96"/>
    <x v="0"/>
    <x v="0"/>
    <x v="0"/>
  </r>
  <r>
    <s v="Description 908"/>
    <s v="Code 908"/>
    <n v="0"/>
    <n v="0"/>
    <n v="0"/>
    <n v="0"/>
    <n v="0"/>
    <n v="0"/>
    <n v="0"/>
    <n v="0"/>
    <n v="2"/>
    <n v="0"/>
    <n v="920"/>
    <x v="73"/>
    <x v="0"/>
    <x v="0"/>
    <x v="0"/>
  </r>
  <r>
    <s v="Description 909"/>
    <s v="Code 909"/>
    <n v="4"/>
    <n v="5.66"/>
    <n v="25.5"/>
    <n v="6"/>
    <n v="5"/>
    <n v="3"/>
    <n v="6"/>
    <n v="2"/>
    <n v="6"/>
    <n v="0"/>
    <n v="233"/>
    <x v="122"/>
    <x v="0"/>
    <x v="0"/>
    <x v="0"/>
  </r>
  <r>
    <s v="Description 910"/>
    <s v="Code 910"/>
    <n v="0"/>
    <n v="0"/>
    <n v="0"/>
    <n v="0"/>
    <n v="0"/>
    <n v="0"/>
    <n v="0"/>
    <n v="0"/>
    <n v="0"/>
    <n v="0"/>
    <n v="336"/>
    <x v="63"/>
    <x v="0"/>
    <x v="0"/>
    <x v="0"/>
  </r>
  <r>
    <s v="Description 911"/>
    <s v="Code 911"/>
    <n v="138"/>
    <n v="0"/>
    <n v="0"/>
    <n v="30.4"/>
    <n v="50"/>
    <n v="100"/>
    <n v="45"/>
    <n v="70"/>
    <n v="36"/>
    <n v="0"/>
    <n v="1016.35"/>
    <x v="57"/>
    <x v="0"/>
    <x v="0"/>
    <x v="0"/>
  </r>
  <r>
    <s v="Description 912"/>
    <s v="Code 912"/>
    <n v="13.4938"/>
    <n v="6.3967999999999998"/>
    <n v="14.0968"/>
    <n v="12.825799999999999"/>
    <n v="12.495799999999999"/>
    <n v="9.3978999999999999"/>
    <n v="8.4957999999999991"/>
    <n v="13.747900000000001"/>
    <n v="11.495799999999999"/>
    <n v="0"/>
    <n v="118"/>
    <x v="66"/>
    <x v="0"/>
    <x v="0"/>
    <x v="0"/>
  </r>
  <r>
    <s v="Description 913"/>
    <s v="Code 913"/>
    <n v="71.767420000000001"/>
    <n v="6"/>
    <n v="47.668599999999998"/>
    <n v="39.868600000000001"/>
    <n v="19.618600000000001"/>
    <n v="21.668599999999998"/>
    <n v="27.6572"/>
    <n v="22.668599999999998"/>
    <n v="59.0672"/>
    <n v="0"/>
    <n v="300"/>
    <x v="99"/>
    <x v="0"/>
    <x v="0"/>
    <x v="0"/>
  </r>
  <r>
    <s v="Description 914"/>
    <s v="Code 914"/>
    <n v="0"/>
    <n v="0"/>
    <n v="32"/>
    <n v="0"/>
    <n v="32"/>
    <n v="0"/>
    <n v="0"/>
    <n v="32"/>
    <n v="0"/>
    <n v="0"/>
    <n v="31.79"/>
    <x v="60"/>
    <x v="0"/>
    <x v="0"/>
    <x v="0"/>
  </r>
  <r>
    <s v="Description 915"/>
    <s v="Code 915"/>
    <n v="7.4289999999999994"/>
    <n v="3.698"/>
    <n v="54.329500000000003"/>
    <n v="10.998000000000001"/>
    <n v="59.84"/>
    <n v="35.999000000000002"/>
    <n v="41.999000000000002"/>
    <n v="4.9989999999999997"/>
    <n v="19.497999999999998"/>
    <n v="0"/>
    <n v="0"/>
    <x v="100"/>
    <x v="0"/>
    <x v="0"/>
    <x v="0"/>
  </r>
  <r>
    <s v="Description 916"/>
    <s v="Code 916"/>
    <n v="0"/>
    <n v="0"/>
    <n v="0"/>
    <n v="0"/>
    <n v="0"/>
    <n v="0"/>
    <n v="0"/>
    <n v="0"/>
    <n v="0"/>
    <n v="0"/>
    <n v="37"/>
    <x v="78"/>
    <x v="0"/>
    <x v="0"/>
    <x v="0"/>
  </r>
  <r>
    <s v="Description 917"/>
    <s v="Code 917"/>
    <n v="44.36"/>
    <n v="31.103900000000003"/>
    <n v="39.133000000000003"/>
    <n v="47.02"/>
    <n v="43.225899999999996"/>
    <n v="35.847800000000007"/>
    <n v="18.633999999999997"/>
    <n v="33.869"/>
    <n v="17.795999999999999"/>
    <n v="0"/>
    <n v="440"/>
    <x v="151"/>
    <x v="0"/>
    <x v="0"/>
    <x v="0"/>
  </r>
  <r>
    <s v="Description 918"/>
    <s v="Code 918"/>
    <n v="0"/>
    <n v="1"/>
    <n v="0"/>
    <n v="0"/>
    <n v="0"/>
    <n v="0"/>
    <n v="0"/>
    <n v="0"/>
    <n v="0"/>
    <n v="0"/>
    <n v="220"/>
    <x v="9"/>
    <x v="0"/>
    <x v="0"/>
    <x v="0"/>
  </r>
  <r>
    <s v="Description 919"/>
    <s v="Code 919"/>
    <n v="0"/>
    <n v="0"/>
    <n v="0"/>
    <n v="0"/>
    <n v="0"/>
    <n v="0"/>
    <n v="0"/>
    <n v="0"/>
    <n v="0"/>
    <n v="0"/>
    <n v="20"/>
    <x v="67"/>
    <x v="0"/>
    <x v="0"/>
    <x v="0"/>
  </r>
  <r>
    <s v="Description 920"/>
    <s v="Code 920"/>
    <n v="28.014800000000001"/>
    <n v="18.007919999999999"/>
    <n v="27.813359999999999"/>
    <n v="25.014239999999997"/>
    <n v="24.01304"/>
    <n v="26.877280000000003"/>
    <n v="20.04092"/>
    <n v="25.50572"/>
    <n v="21.496839999999999"/>
    <n v="0"/>
    <n v="302"/>
    <x v="85"/>
    <x v="0"/>
    <x v="1"/>
    <x v="0"/>
  </r>
  <r>
    <s v="Description 921"/>
    <s v="Code 921"/>
    <n v="0"/>
    <n v="0"/>
    <n v="0"/>
    <n v="0"/>
    <n v="0"/>
    <n v="0"/>
    <n v="0"/>
    <n v="0"/>
    <n v="0"/>
    <n v="0"/>
    <n v="0"/>
    <x v="52"/>
    <x v="0"/>
    <x v="0"/>
    <x v="0"/>
  </r>
  <r>
    <s v="Description 922"/>
    <s v="Code 922"/>
    <n v="5"/>
    <n v="1"/>
    <n v="1"/>
    <n v="0"/>
    <n v="2"/>
    <n v="1"/>
    <n v="3"/>
    <n v="0"/>
    <n v="0"/>
    <n v="0"/>
    <n v="217.75"/>
    <x v="55"/>
    <x v="0"/>
    <x v="0"/>
    <x v="0"/>
  </r>
  <r>
    <s v="Description 923"/>
    <s v="Code 923"/>
    <n v="0"/>
    <n v="0"/>
    <n v="0"/>
    <n v="0"/>
    <n v="0"/>
    <n v="8"/>
    <n v="4"/>
    <n v="0"/>
    <n v="0"/>
    <n v="0"/>
    <n v="453.5"/>
    <x v="97"/>
    <x v="0"/>
    <x v="0"/>
    <x v="0"/>
  </r>
  <r>
    <s v="Description 924"/>
    <s v="Code 924"/>
    <n v="0"/>
    <n v="0"/>
    <n v="0"/>
    <n v="0"/>
    <n v="0"/>
    <n v="0"/>
    <n v="0"/>
    <n v="0"/>
    <n v="0"/>
    <n v="0"/>
    <n v="11"/>
    <x v="9"/>
    <x v="0"/>
    <x v="0"/>
    <x v="0"/>
  </r>
  <r>
    <s v="Description 925"/>
    <s v="Code 925"/>
    <n v="2.988"/>
    <n v="1.992"/>
    <n v="4.9847999999999999"/>
    <n v="4.9872000000000005"/>
    <n v="5.7911999999999999"/>
    <n v="3.3420000000000001"/>
    <n v="0"/>
    <n v="0"/>
    <n v="0"/>
    <n v="0"/>
    <n v="0"/>
    <x v="164"/>
    <x v="0"/>
    <x v="0"/>
    <x v="0"/>
  </r>
  <r>
    <s v="Description 926"/>
    <s v="Code 926"/>
    <n v="0"/>
    <n v="0"/>
    <n v="0"/>
    <n v="0"/>
    <n v="0"/>
    <n v="0"/>
    <n v="0"/>
    <n v="0"/>
    <n v="0"/>
    <n v="0"/>
    <n v="162"/>
    <x v="154"/>
    <x v="0"/>
    <x v="0"/>
    <x v="0"/>
  </r>
  <r>
    <s v="Description 927"/>
    <s v="Code 927"/>
    <n v="50"/>
    <n v="65"/>
    <n v="50"/>
    <n v="50"/>
    <n v="50"/>
    <n v="50"/>
    <n v="60"/>
    <n v="50"/>
    <n v="50"/>
    <n v="0"/>
    <n v="152"/>
    <x v="113"/>
    <x v="0"/>
    <x v="0"/>
    <x v="0"/>
  </r>
  <r>
    <s v="Description 928"/>
    <s v="Code 928"/>
    <n v="0"/>
    <n v="0"/>
    <n v="0"/>
    <n v="0"/>
    <n v="0"/>
    <n v="0"/>
    <n v="0"/>
    <n v="0"/>
    <n v="0"/>
    <n v="0"/>
    <n v="121"/>
    <x v="195"/>
    <x v="0"/>
    <x v="0"/>
    <x v="0"/>
  </r>
  <r>
    <s v="Description 929"/>
    <s v="Code 929"/>
    <n v="17"/>
    <n v="11"/>
    <n v="5"/>
    <n v="16"/>
    <n v="14"/>
    <n v="12"/>
    <n v="10"/>
    <n v="9"/>
    <n v="10"/>
    <n v="0"/>
    <n v="19"/>
    <x v="161"/>
    <x v="0"/>
    <x v="0"/>
    <x v="0"/>
  </r>
  <r>
    <s v="Description 930"/>
    <s v="Code 930"/>
    <n v="0"/>
    <n v="8"/>
    <n v="2"/>
    <n v="11"/>
    <n v="1"/>
    <n v="3"/>
    <n v="3"/>
    <n v="0"/>
    <n v="3"/>
    <n v="0"/>
    <n v="159"/>
    <x v="20"/>
    <x v="0"/>
    <x v="0"/>
    <x v="0"/>
  </r>
  <r>
    <s v="Description 931"/>
    <s v="Code 931"/>
    <n v="2"/>
    <n v="3"/>
    <n v="87"/>
    <n v="8"/>
    <n v="11.9"/>
    <n v="12"/>
    <n v="5.88"/>
    <n v="4"/>
    <n v="2"/>
    <n v="0"/>
    <n v="56"/>
    <x v="81"/>
    <x v="0"/>
    <x v="0"/>
    <x v="0"/>
  </r>
  <r>
    <s v="Description 932"/>
    <s v="Code 932"/>
    <n v="10"/>
    <n v="0"/>
    <n v="0"/>
    <n v="10"/>
    <n v="10"/>
    <n v="0"/>
    <n v="0"/>
    <n v="0"/>
    <n v="0"/>
    <n v="0"/>
    <n v="450"/>
    <x v="77"/>
    <x v="0"/>
    <x v="0"/>
    <x v="0"/>
  </r>
  <r>
    <s v="Description 933"/>
    <s v="Code 933"/>
    <n v="88"/>
    <n v="30"/>
    <n v="30"/>
    <n v="0"/>
    <n v="118"/>
    <n v="224"/>
    <n v="0"/>
    <n v="0"/>
    <n v="0"/>
    <n v="0"/>
    <n v="2136"/>
    <x v="155"/>
    <x v="0"/>
    <x v="0"/>
    <x v="0"/>
  </r>
  <r>
    <s v="Description 934"/>
    <s v="Code 934"/>
    <n v="0"/>
    <n v="0"/>
    <n v="0"/>
    <n v="0"/>
    <n v="0"/>
    <n v="0"/>
    <n v="0"/>
    <n v="0"/>
    <n v="0"/>
    <n v="0"/>
    <n v="590"/>
    <x v="107"/>
    <x v="0"/>
    <x v="0"/>
    <x v="0"/>
  </r>
  <r>
    <s v="Description 935"/>
    <s v="Code 935"/>
    <n v="0"/>
    <n v="0"/>
    <n v="0"/>
    <n v="0"/>
    <n v="0"/>
    <n v="0"/>
    <n v="0"/>
    <n v="0"/>
    <n v="0"/>
    <n v="0"/>
    <n v="26"/>
    <x v="158"/>
    <x v="0"/>
    <x v="0"/>
    <x v="0"/>
  </r>
  <r>
    <s v="Description 936"/>
    <s v="Code 936"/>
    <n v="4"/>
    <n v="3"/>
    <n v="1"/>
    <n v="6"/>
    <n v="0"/>
    <n v="1"/>
    <n v="2"/>
    <n v="8"/>
    <n v="4"/>
    <n v="0"/>
    <n v="744"/>
    <x v="149"/>
    <x v="0"/>
    <x v="0"/>
    <x v="0"/>
  </r>
  <r>
    <s v="Description 937"/>
    <s v="Code 937"/>
    <n v="0"/>
    <n v="0"/>
    <n v="0"/>
    <n v="6"/>
    <n v="0"/>
    <n v="0"/>
    <n v="0"/>
    <n v="0"/>
    <n v="0"/>
    <n v="0"/>
    <n v="8"/>
    <x v="118"/>
    <x v="0"/>
    <x v="0"/>
    <x v="0"/>
  </r>
  <r>
    <s v="Description 938"/>
    <s v="Code 938"/>
    <n v="3"/>
    <n v="1"/>
    <n v="3"/>
    <n v="3"/>
    <n v="3"/>
    <n v="1"/>
    <n v="2"/>
    <n v="4"/>
    <n v="1"/>
    <n v="0"/>
    <n v="24"/>
    <x v="76"/>
    <x v="0"/>
    <x v="1"/>
    <x v="0"/>
  </r>
  <r>
    <s v="Description 939"/>
    <s v="Code 939"/>
    <n v="0"/>
    <n v="1"/>
    <n v="2"/>
    <n v="2"/>
    <n v="2"/>
    <n v="3"/>
    <n v="6"/>
    <n v="1"/>
    <n v="0"/>
    <n v="0"/>
    <n v="344"/>
    <x v="174"/>
    <x v="0"/>
    <x v="0"/>
    <x v="0"/>
  </r>
  <r>
    <s v="Description 940"/>
    <s v="Code 940"/>
    <n v="15"/>
    <n v="17"/>
    <n v="22"/>
    <n v="22"/>
    <n v="17"/>
    <n v="17"/>
    <n v="23"/>
    <n v="22"/>
    <n v="7"/>
    <n v="0"/>
    <n v="72"/>
    <x v="188"/>
    <x v="0"/>
    <x v="0"/>
    <x v="0"/>
  </r>
  <r>
    <s v="Description 941"/>
    <s v="Code 941"/>
    <n v="59"/>
    <n v="10"/>
    <n v="43"/>
    <n v="33"/>
    <n v="35"/>
    <n v="35"/>
    <n v="25"/>
    <n v="32"/>
    <n v="39"/>
    <n v="0"/>
    <n v="390"/>
    <x v="156"/>
    <x v="0"/>
    <x v="0"/>
    <x v="0"/>
  </r>
  <r>
    <s v="Description 942"/>
    <s v="Code 942"/>
    <n v="135"/>
    <n v="95"/>
    <n v="165"/>
    <n v="180"/>
    <n v="150"/>
    <n v="150"/>
    <n v="180"/>
    <n v="170"/>
    <n v="165"/>
    <n v="0"/>
    <n v="130"/>
    <x v="36"/>
    <x v="0"/>
    <x v="0"/>
    <x v="0"/>
  </r>
  <r>
    <s v="Description 943"/>
    <s v="Code 943"/>
    <n v="135"/>
    <n v="95"/>
    <n v="165"/>
    <n v="180"/>
    <n v="150"/>
    <n v="150"/>
    <n v="180"/>
    <n v="170"/>
    <n v="165"/>
    <n v="0"/>
    <n v="741.5"/>
    <x v="13"/>
    <x v="0"/>
    <x v="1"/>
    <x v="0"/>
  </r>
  <r>
    <s v="Description 944"/>
    <s v="Code 944"/>
    <n v="0"/>
    <n v="0"/>
    <n v="0"/>
    <n v="0"/>
    <n v="0"/>
    <n v="0"/>
    <n v="10"/>
    <n v="0"/>
    <n v="0"/>
    <n v="0"/>
    <n v="38"/>
    <x v="60"/>
    <x v="0"/>
    <x v="0"/>
    <x v="0"/>
  </r>
  <r>
    <s v="Description 945"/>
    <s v="Code 945"/>
    <n v="1"/>
    <n v="0"/>
    <n v="0"/>
    <n v="0"/>
    <n v="0"/>
    <n v="0"/>
    <n v="0"/>
    <n v="0"/>
    <n v="0"/>
    <n v="0"/>
    <n v="0"/>
    <x v="21"/>
    <x v="0"/>
    <x v="0"/>
    <x v="0"/>
  </r>
  <r>
    <s v="Description 946"/>
    <s v="Code 946"/>
    <n v="5"/>
    <n v="0"/>
    <n v="0"/>
    <n v="2"/>
    <n v="0"/>
    <n v="0"/>
    <n v="1"/>
    <n v="1"/>
    <n v="0"/>
    <n v="0"/>
    <n v="0"/>
    <x v="91"/>
    <x v="0"/>
    <x v="0"/>
    <x v="0"/>
  </r>
  <r>
    <s v="Description 947"/>
    <s v="Code 947"/>
    <n v="0"/>
    <n v="0"/>
    <n v="1"/>
    <n v="0"/>
    <n v="1"/>
    <n v="0"/>
    <n v="0"/>
    <n v="0"/>
    <n v="0"/>
    <n v="0"/>
    <n v="0"/>
    <x v="40"/>
    <x v="0"/>
    <x v="0"/>
    <x v="0"/>
  </r>
  <r>
    <s v="Description 948"/>
    <s v="Code 948"/>
    <n v="0"/>
    <n v="0"/>
    <n v="0"/>
    <n v="0"/>
    <n v="0"/>
    <n v="0"/>
    <n v="0"/>
    <n v="0"/>
    <n v="0"/>
    <n v="0"/>
    <n v="4"/>
    <x v="1"/>
    <x v="0"/>
    <x v="0"/>
    <x v="0"/>
  </r>
  <r>
    <s v="Description 949"/>
    <s v="Code 949"/>
    <n v="0"/>
    <n v="0"/>
    <n v="0"/>
    <n v="0"/>
    <n v="0"/>
    <n v="0"/>
    <n v="0"/>
    <n v="0"/>
    <n v="0"/>
    <n v="0"/>
    <n v="130"/>
    <x v="0"/>
    <x v="0"/>
    <x v="0"/>
    <x v="0"/>
  </r>
  <r>
    <s v="Description 950"/>
    <s v="Code 950"/>
    <n v="38"/>
    <n v="34"/>
    <n v="46"/>
    <n v="46"/>
    <n v="20"/>
    <n v="26"/>
    <n v="20"/>
    <n v="26"/>
    <n v="17"/>
    <n v="0"/>
    <n v="358"/>
    <x v="53"/>
    <x v="0"/>
    <x v="0"/>
    <x v="0"/>
  </r>
  <r>
    <s v="Description 951"/>
    <s v="Code 951"/>
    <n v="38"/>
    <n v="34"/>
    <n v="46"/>
    <n v="46"/>
    <n v="20"/>
    <n v="26"/>
    <n v="20"/>
    <n v="26"/>
    <n v="17"/>
    <n v="0"/>
    <n v="298"/>
    <x v="89"/>
    <x v="0"/>
    <x v="1"/>
    <x v="0"/>
  </r>
  <r>
    <s v="Description 952"/>
    <s v="Code 952"/>
    <n v="38"/>
    <n v="34"/>
    <n v="46"/>
    <n v="46"/>
    <n v="20"/>
    <n v="26"/>
    <n v="20"/>
    <n v="26"/>
    <n v="17"/>
    <n v="0"/>
    <n v="731"/>
    <x v="91"/>
    <x v="0"/>
    <x v="0"/>
    <x v="0"/>
  </r>
  <r>
    <s v="Description 953"/>
    <s v="Code 953"/>
    <n v="503.90639999999996"/>
    <n v="251.95320000000001"/>
    <n v="456.6816"/>
    <n v="577.06200000000001"/>
    <n v="505.06559999999996"/>
    <n v="441.91"/>
    <n v="361.09059999999999"/>
    <n v="377.62699999999995"/>
    <n v="305.69899999999996"/>
    <n v="0"/>
    <n v="132"/>
    <x v="59"/>
    <x v="0"/>
    <x v="0"/>
    <x v="0"/>
  </r>
  <r>
    <s v="Description 954"/>
    <s v="Code 954"/>
    <n v="1"/>
    <n v="0"/>
    <n v="0"/>
    <n v="0"/>
    <n v="0"/>
    <n v="0"/>
    <n v="0"/>
    <n v="0"/>
    <n v="0"/>
    <n v="0"/>
    <n v="152"/>
    <x v="28"/>
    <x v="0"/>
    <x v="1"/>
    <x v="0"/>
  </r>
  <r>
    <s v="Description 955"/>
    <s v="Code 955"/>
    <n v="1"/>
    <n v="0"/>
    <n v="0"/>
    <n v="0"/>
    <n v="0"/>
    <n v="0"/>
    <n v="0"/>
    <n v="0"/>
    <n v="0"/>
    <n v="0"/>
    <n v="23"/>
    <x v="145"/>
    <x v="0"/>
    <x v="0"/>
    <x v="0"/>
  </r>
  <r>
    <s v="Description 956"/>
    <s v="Code 956"/>
    <n v="0"/>
    <n v="1"/>
    <n v="1"/>
    <n v="1"/>
    <n v="1"/>
    <n v="5"/>
    <n v="1"/>
    <n v="1"/>
    <n v="1"/>
    <n v="0"/>
    <n v="10"/>
    <x v="33"/>
    <x v="0"/>
    <x v="0"/>
    <x v="0"/>
  </r>
  <r>
    <s v="Description 957"/>
    <s v="Code 957"/>
    <n v="0"/>
    <n v="1"/>
    <n v="1"/>
    <n v="1"/>
    <n v="1"/>
    <n v="1"/>
    <n v="9"/>
    <n v="1"/>
    <n v="1"/>
    <n v="0"/>
    <n v="41"/>
    <x v="55"/>
    <x v="0"/>
    <x v="0"/>
    <x v="0"/>
  </r>
  <r>
    <s v="Description 958"/>
    <s v="Code 958"/>
    <n v="0"/>
    <n v="42"/>
    <n v="63"/>
    <n v="63"/>
    <n v="63"/>
    <n v="63"/>
    <n v="63"/>
    <n v="63"/>
    <n v="66"/>
    <n v="0"/>
    <n v="72"/>
    <x v="128"/>
    <x v="0"/>
    <x v="0"/>
    <x v="0"/>
  </r>
  <r>
    <s v="Description 959"/>
    <s v="Code 959"/>
    <n v="0"/>
    <n v="1"/>
    <n v="1"/>
    <n v="1"/>
    <n v="1"/>
    <n v="1"/>
    <n v="1"/>
    <n v="1"/>
    <n v="1"/>
    <n v="0"/>
    <n v="170"/>
    <x v="58"/>
    <x v="0"/>
    <x v="0"/>
    <x v="0"/>
  </r>
  <r>
    <s v="Description 960"/>
    <s v="Code 960"/>
    <n v="135"/>
    <n v="150"/>
    <n v="195"/>
    <n v="180"/>
    <n v="90"/>
    <n v="120"/>
    <n v="120"/>
    <n v="91"/>
    <n v="60"/>
    <n v="0"/>
    <n v="249"/>
    <x v="50"/>
    <x v="0"/>
    <x v="0"/>
    <x v="0"/>
  </r>
  <r>
    <s v="Description 961"/>
    <s v="Code 961"/>
    <n v="7"/>
    <n v="0"/>
    <n v="5"/>
    <n v="10"/>
    <n v="5"/>
    <n v="5"/>
    <n v="5"/>
    <n v="6"/>
    <n v="5"/>
    <n v="0"/>
    <n v="19"/>
    <x v="144"/>
    <x v="0"/>
    <x v="0"/>
    <x v="0"/>
  </r>
  <r>
    <s v="Description 962"/>
    <s v="Code 962"/>
    <n v="0"/>
    <n v="0"/>
    <n v="0"/>
    <n v="0"/>
    <n v="0"/>
    <n v="0"/>
    <n v="0"/>
    <n v="0"/>
    <n v="0"/>
    <n v="0"/>
    <n v="9"/>
    <x v="100"/>
    <x v="0"/>
    <x v="0"/>
    <x v="0"/>
  </r>
  <r>
    <s v="Description 963"/>
    <s v="Code 963"/>
    <n v="0"/>
    <n v="0"/>
    <n v="0"/>
    <n v="0"/>
    <n v="0"/>
    <n v="0"/>
    <n v="0"/>
    <n v="0"/>
    <n v="0"/>
    <n v="0"/>
    <n v="13"/>
    <x v="50"/>
    <x v="0"/>
    <x v="0"/>
    <x v="0"/>
  </r>
  <r>
    <s v="Description 964"/>
    <s v="Code 964"/>
    <n v="0"/>
    <n v="2"/>
    <n v="0"/>
    <n v="6"/>
    <n v="1"/>
    <n v="2"/>
    <n v="1"/>
    <n v="1"/>
    <n v="3"/>
    <n v="0"/>
    <n v="1"/>
    <x v="98"/>
    <x v="0"/>
    <x v="0"/>
    <x v="0"/>
  </r>
  <r>
    <s v="Description 965"/>
    <s v="Code 965"/>
    <n v="0"/>
    <n v="0"/>
    <n v="0"/>
    <n v="0"/>
    <n v="0"/>
    <n v="0"/>
    <n v="0"/>
    <n v="0"/>
    <n v="0"/>
    <n v="0"/>
    <n v="0"/>
    <x v="78"/>
    <x v="0"/>
    <x v="0"/>
    <x v="0"/>
  </r>
  <r>
    <s v="Description 966"/>
    <s v="Code 966"/>
    <n v="0"/>
    <n v="0"/>
    <n v="0"/>
    <n v="0"/>
    <n v="0"/>
    <n v="0"/>
    <n v="0"/>
    <n v="0"/>
    <n v="0"/>
    <n v="0"/>
    <n v="12"/>
    <x v="93"/>
    <x v="0"/>
    <x v="0"/>
    <x v="0"/>
  </r>
  <r>
    <s v="Description 967"/>
    <s v="Code 967"/>
    <n v="0"/>
    <n v="0"/>
    <n v="0"/>
    <n v="0"/>
    <n v="0"/>
    <n v="0"/>
    <n v="0"/>
    <n v="0"/>
    <n v="0"/>
    <n v="0"/>
    <n v="250"/>
    <x v="194"/>
    <x v="0"/>
    <x v="0"/>
    <x v="0"/>
  </r>
  <r>
    <s v="Description 968"/>
    <s v="Code 968"/>
    <n v="100"/>
    <n v="87"/>
    <n v="91"/>
    <n v="104"/>
    <n v="118"/>
    <n v="39"/>
    <n v="49"/>
    <n v="29"/>
    <n v="25"/>
    <n v="0"/>
    <n v="1086"/>
    <x v="158"/>
    <x v="0"/>
    <x v="0"/>
    <x v="0"/>
  </r>
  <r>
    <s v="Description 969"/>
    <s v="Code 969"/>
    <n v="600"/>
    <n v="600"/>
    <n v="600"/>
    <n v="600"/>
    <n v="600"/>
    <n v="600"/>
    <n v="420"/>
    <n v="420"/>
    <n v="420"/>
    <n v="0"/>
    <n v="5"/>
    <x v="73"/>
    <x v="0"/>
    <x v="0"/>
    <x v="0"/>
  </r>
  <r>
    <s v="Description 970"/>
    <s v="Code 970"/>
    <n v="30"/>
    <n v="0"/>
    <n v="70"/>
    <n v="0"/>
    <n v="0"/>
    <n v="0"/>
    <n v="0"/>
    <n v="0"/>
    <n v="0"/>
    <n v="0"/>
    <n v="201"/>
    <x v="11"/>
    <x v="0"/>
    <x v="0"/>
    <x v="0"/>
  </r>
  <r>
    <s v="Description 971"/>
    <s v="Code 971"/>
    <n v="90"/>
    <n v="60"/>
    <n v="90"/>
    <n v="60"/>
    <n v="30"/>
    <n v="60"/>
    <n v="0"/>
    <n v="0"/>
    <n v="0"/>
    <n v="0"/>
    <n v="0"/>
    <x v="94"/>
    <x v="0"/>
    <x v="0"/>
    <x v="0"/>
  </r>
  <r>
    <s v="Description 972"/>
    <s v="Code 972"/>
    <n v="0"/>
    <n v="0"/>
    <n v="0"/>
    <n v="2"/>
    <n v="0"/>
    <n v="0"/>
    <n v="0"/>
    <n v="0"/>
    <n v="2"/>
    <n v="0"/>
    <n v="413"/>
    <x v="54"/>
    <x v="0"/>
    <x v="0"/>
    <x v="0"/>
  </r>
  <r>
    <s v="Description 973"/>
    <s v="Code 973"/>
    <n v="2"/>
    <n v="0"/>
    <n v="2.5"/>
    <n v="0"/>
    <n v="2.5"/>
    <n v="2.5"/>
    <n v="0"/>
    <n v="0"/>
    <n v="0"/>
    <n v="0"/>
    <n v="17"/>
    <x v="79"/>
    <x v="0"/>
    <x v="0"/>
    <x v="0"/>
  </r>
  <r>
    <s v="Description 974"/>
    <s v="Code 974"/>
    <n v="5"/>
    <n v="0"/>
    <n v="0"/>
    <n v="0"/>
    <n v="5"/>
    <n v="0"/>
    <n v="0"/>
    <n v="0"/>
    <n v="0"/>
    <n v="0"/>
    <n v="1000"/>
    <x v="123"/>
    <x v="0"/>
    <x v="1"/>
    <x v="0"/>
  </r>
  <r>
    <s v="Description 975"/>
    <s v="Code 975"/>
    <n v="620"/>
    <n v="620"/>
    <n v="620"/>
    <n v="620"/>
    <n v="620"/>
    <n v="620"/>
    <n v="620"/>
    <n v="620"/>
    <n v="620"/>
    <n v="0"/>
    <n v="0"/>
    <x v="128"/>
    <x v="0"/>
    <x v="0"/>
    <x v="0"/>
  </r>
  <r>
    <s v="Description 976"/>
    <s v="Code 976"/>
    <n v="0"/>
    <n v="0"/>
    <n v="0"/>
    <n v="0"/>
    <n v="0"/>
    <n v="0"/>
    <n v="0"/>
    <n v="0"/>
    <n v="0"/>
    <n v="0"/>
    <n v="1075"/>
    <x v="65"/>
    <x v="0"/>
    <x v="0"/>
    <x v="0"/>
  </r>
  <r>
    <s v="Description 977"/>
    <s v="Code 977"/>
    <n v="400"/>
    <n v="0"/>
    <n v="280"/>
    <n v="6"/>
    <n v="0"/>
    <n v="2"/>
    <n v="50"/>
    <n v="24"/>
    <n v="60"/>
    <n v="0"/>
    <n v="1585"/>
    <x v="102"/>
    <x v="0"/>
    <x v="0"/>
    <x v="0"/>
  </r>
  <r>
    <s v="Description 978"/>
    <s v="Code 978"/>
    <n v="0"/>
    <n v="0"/>
    <n v="0"/>
    <n v="6"/>
    <n v="0"/>
    <n v="0"/>
    <n v="25"/>
    <n v="24"/>
    <n v="0"/>
    <n v="0"/>
    <n v="333"/>
    <x v="181"/>
    <x v="0"/>
    <x v="0"/>
    <x v="0"/>
  </r>
  <r>
    <s v="Description 979"/>
    <s v="Code 979"/>
    <n v="0"/>
    <n v="0"/>
    <n v="50"/>
    <n v="0"/>
    <n v="0"/>
    <n v="0"/>
    <n v="0"/>
    <n v="50"/>
    <n v="0"/>
    <n v="0"/>
    <n v="525"/>
    <x v="78"/>
    <x v="0"/>
    <x v="0"/>
    <x v="0"/>
  </r>
  <r>
    <s v="Description 980"/>
    <s v="Code 980"/>
    <n v="0"/>
    <n v="0"/>
    <n v="0"/>
    <n v="0"/>
    <n v="0"/>
    <n v="0"/>
    <n v="0"/>
    <n v="0"/>
    <n v="0"/>
    <n v="0"/>
    <n v="0"/>
    <x v="165"/>
    <x v="0"/>
    <x v="0"/>
    <x v="0"/>
  </r>
  <r>
    <s v="Description 981"/>
    <s v="Code 981"/>
    <n v="200"/>
    <n v="0"/>
    <n v="80"/>
    <n v="0"/>
    <n v="0"/>
    <n v="2"/>
    <n v="0"/>
    <n v="0"/>
    <n v="0"/>
    <n v="0"/>
    <n v="301"/>
    <x v="139"/>
    <x v="0"/>
    <x v="0"/>
    <x v="0"/>
  </r>
  <r>
    <s v="Description 982"/>
    <s v="Code 982"/>
    <n v="0"/>
    <n v="0"/>
    <n v="0"/>
    <n v="0"/>
    <n v="0"/>
    <n v="0"/>
    <n v="0"/>
    <n v="0"/>
    <n v="0"/>
    <n v="0"/>
    <n v="540"/>
    <x v="20"/>
    <x v="0"/>
    <x v="0"/>
    <x v="0"/>
  </r>
  <r>
    <s v="Description 983"/>
    <s v="Code 983"/>
    <n v="0"/>
    <n v="0"/>
    <n v="0"/>
    <n v="0"/>
    <n v="0"/>
    <n v="0"/>
    <n v="0"/>
    <n v="0"/>
    <n v="0"/>
    <n v="0"/>
    <n v="20"/>
    <x v="120"/>
    <x v="0"/>
    <x v="0"/>
    <x v="0"/>
  </r>
  <r>
    <s v="Description 984"/>
    <s v="Code 984"/>
    <n v="0"/>
    <n v="0"/>
    <n v="0"/>
    <n v="0"/>
    <n v="0"/>
    <n v="0"/>
    <n v="0"/>
    <n v="0"/>
    <n v="0"/>
    <n v="0"/>
    <n v="250"/>
    <x v="26"/>
    <x v="0"/>
    <x v="1"/>
    <x v="0"/>
  </r>
  <r>
    <s v="Description 985"/>
    <s v="Code 985"/>
    <n v="0"/>
    <n v="0"/>
    <n v="50"/>
    <n v="0"/>
    <n v="0"/>
    <n v="0"/>
    <n v="0"/>
    <n v="50"/>
    <n v="0"/>
    <n v="0"/>
    <n v="0"/>
    <x v="13"/>
    <x v="0"/>
    <x v="1"/>
    <x v="0"/>
  </r>
  <r>
    <s v="Description 986"/>
    <s v="Code 986"/>
    <n v="5.0000000000000001E-3"/>
    <n v="0"/>
    <n v="1.4999999999999999E-2"/>
    <n v="0.01"/>
    <n v="5.0000000000000001E-3"/>
    <n v="0"/>
    <n v="0"/>
    <n v="0"/>
    <n v="0"/>
    <n v="0"/>
    <n v="1"/>
    <x v="108"/>
    <x v="0"/>
    <x v="1"/>
    <x v="0"/>
  </r>
  <r>
    <s v="Description 987"/>
    <s v="Code 987"/>
    <n v="0.2"/>
    <n v="0"/>
    <n v="0.14000000000000001"/>
    <n v="3.0000000000000001E-3"/>
    <n v="0"/>
    <n v="1E-3"/>
    <n v="2.5000000000000001E-2"/>
    <n v="1.2E-2"/>
    <n v="0.03"/>
    <n v="0"/>
    <n v="0"/>
    <x v="161"/>
    <x v="0"/>
    <x v="0"/>
    <x v="0"/>
  </r>
  <r>
    <s v="Description 988"/>
    <s v="Code 988"/>
    <n v="0"/>
    <n v="0"/>
    <n v="5.0999999999999997E-2"/>
    <n v="6.0000000000000001E-3"/>
    <n v="6.0000000000000001E-3"/>
    <n v="0"/>
    <n v="6.0000000000000001E-3"/>
    <n v="1.4999999999999999E-2"/>
    <n v="0"/>
    <n v="0"/>
    <n v="0"/>
    <x v="31"/>
    <x v="0"/>
    <x v="0"/>
    <x v="0"/>
  </r>
  <r>
    <s v="Description 989"/>
    <s v="Code 989"/>
    <n v="0"/>
    <n v="0"/>
    <n v="0"/>
    <n v="0"/>
    <n v="0"/>
    <n v="0"/>
    <n v="0"/>
    <n v="0"/>
    <n v="0"/>
    <n v="0"/>
    <n v="4320"/>
    <x v="13"/>
    <x v="0"/>
    <x v="1"/>
    <x v="0"/>
  </r>
  <r>
    <s v="Description 990"/>
    <s v="Code 990"/>
    <n v="9850"/>
    <n v="7100"/>
    <n v="11250"/>
    <n v="11164"/>
    <n v="7450"/>
    <n v="7470"/>
    <n v="3064"/>
    <n v="6850"/>
    <n v="1700"/>
    <n v="0"/>
    <n v="0"/>
    <x v="135"/>
    <x v="0"/>
    <x v="0"/>
    <x v="0"/>
  </r>
  <r>
    <s v="Description 991"/>
    <s v="Code 991"/>
    <n v="300"/>
    <n v="1900"/>
    <n v="600"/>
    <n v="1750"/>
    <n v="1060"/>
    <n v="700"/>
    <n v="350"/>
    <n v="1800"/>
    <n v="350"/>
    <n v="0"/>
    <n v="560"/>
    <x v="3"/>
    <x v="0"/>
    <x v="0"/>
    <x v="0"/>
  </r>
  <r>
    <s v="Description 992"/>
    <s v="Code 992"/>
    <n v="52"/>
    <n v="0"/>
    <n v="100"/>
    <n v="300"/>
    <n v="300"/>
    <n v="100"/>
    <n v="0"/>
    <n v="410"/>
    <n v="0"/>
    <n v="0"/>
    <n v="615"/>
    <x v="172"/>
    <x v="0"/>
    <x v="0"/>
    <x v="0"/>
  </r>
  <r>
    <s v="Description 993"/>
    <s v="Code 993"/>
    <n v="0"/>
    <n v="50"/>
    <n v="0"/>
    <n v="0"/>
    <n v="150"/>
    <n v="0"/>
    <n v="0"/>
    <n v="0"/>
    <n v="0"/>
    <n v="0"/>
    <n v="124"/>
    <x v="20"/>
    <x v="0"/>
    <x v="0"/>
    <x v="0"/>
  </r>
  <r>
    <s v="Description 994"/>
    <s v="Code 994"/>
    <n v="300"/>
    <n v="0"/>
    <n v="0"/>
    <n v="0"/>
    <n v="0"/>
    <n v="0"/>
    <n v="0"/>
    <n v="0"/>
    <n v="200"/>
    <n v="0"/>
    <n v="0"/>
    <x v="92"/>
    <x v="0"/>
    <x v="0"/>
    <x v="0"/>
  </r>
  <r>
    <s v="Description 995"/>
    <s v="Code 995"/>
    <n v="0"/>
    <n v="0"/>
    <n v="0"/>
    <n v="0"/>
    <n v="0"/>
    <n v="0"/>
    <n v="50"/>
    <n v="0"/>
    <n v="0"/>
    <n v="0"/>
    <n v="0"/>
    <x v="168"/>
    <x v="0"/>
    <x v="0"/>
    <x v="0"/>
  </r>
  <r>
    <s v="Description 996"/>
    <s v="Code 996"/>
    <n v="0"/>
    <n v="0"/>
    <n v="0"/>
    <n v="0"/>
    <n v="0"/>
    <n v="0"/>
    <n v="50"/>
    <n v="0"/>
    <n v="0"/>
    <n v="0"/>
    <n v="600"/>
    <x v="186"/>
    <x v="0"/>
    <x v="0"/>
    <x v="0"/>
  </r>
  <r>
    <s v="Description 997"/>
    <s v="Code 997"/>
    <n v="300"/>
    <n v="800"/>
    <n v="800"/>
    <n v="900"/>
    <n v="900"/>
    <n v="500"/>
    <n v="500"/>
    <n v="800"/>
    <n v="500"/>
    <n v="0"/>
    <n v="0"/>
    <x v="142"/>
    <x v="0"/>
    <x v="0"/>
    <x v="0"/>
  </r>
  <r>
    <s v="Description 998"/>
    <s v="Code 998"/>
    <n v="0"/>
    <n v="0"/>
    <n v="0"/>
    <n v="0"/>
    <n v="0"/>
    <n v="0"/>
    <n v="0"/>
    <n v="0"/>
    <n v="0"/>
    <n v="0"/>
    <n v="1600"/>
    <x v="106"/>
    <x v="0"/>
    <x v="0"/>
    <x v="0"/>
  </r>
  <r>
    <s v="Description 999"/>
    <s v="Code 999"/>
    <n v="5700"/>
    <n v="2750"/>
    <n v="4500"/>
    <n v="4620"/>
    <n v="5590"/>
    <n v="4790"/>
    <n v="3538"/>
    <n v="4560"/>
    <n v="4190"/>
    <n v="0"/>
    <n v="1000"/>
    <x v="65"/>
    <x v="0"/>
    <x v="0"/>
    <x v="0"/>
  </r>
  <r>
    <s v="Description 1000"/>
    <s v="Code 1000"/>
    <n v="1200"/>
    <n v="0"/>
    <n v="0"/>
    <n v="0"/>
    <n v="0"/>
    <n v="0"/>
    <n v="1000"/>
    <n v="0"/>
    <n v="0"/>
    <n v="0"/>
    <n v="342"/>
    <x v="70"/>
    <x v="0"/>
    <x v="0"/>
    <x v="0"/>
  </r>
  <r>
    <s v="Description 1001"/>
    <s v="Code 1001"/>
    <n v="243.10020000000003"/>
    <n v="179.19299999999998"/>
    <n v="238.27159999999995"/>
    <n v="235.07959999999994"/>
    <n v="227.88399999999993"/>
    <n v="224.03599999999997"/>
    <n v="197.42399999999998"/>
    <n v="109.19200000000001"/>
    <n v="98.532000000000011"/>
    <n v="0"/>
    <n v="0"/>
    <x v="109"/>
    <x v="0"/>
    <x v="0"/>
    <x v="0"/>
  </r>
  <r>
    <s v="Description 1002"/>
    <s v="Code 1002"/>
    <n v="0"/>
    <n v="0"/>
    <n v="0"/>
    <n v="0"/>
    <n v="0"/>
    <n v="0"/>
    <n v="0"/>
    <n v="0"/>
    <n v="0"/>
    <n v="0"/>
    <n v="200"/>
    <x v="125"/>
    <x v="0"/>
    <x v="0"/>
    <x v="0"/>
  </r>
  <r>
    <s v="Description 1003"/>
    <s v="Code 1003"/>
    <n v="27"/>
    <n v="30"/>
    <n v="32"/>
    <n v="36"/>
    <n v="18"/>
    <n v="24"/>
    <n v="24"/>
    <n v="18.2"/>
    <n v="12"/>
    <n v="0"/>
    <n v="544"/>
    <x v="128"/>
    <x v="0"/>
    <x v="0"/>
    <x v="0"/>
  </r>
  <r>
    <s v="Description 1004"/>
    <s v="Code 1004"/>
    <n v="100"/>
    <n v="10"/>
    <n v="60"/>
    <n v="40"/>
    <n v="30"/>
    <n v="40"/>
    <n v="20"/>
    <n v="0"/>
    <n v="70"/>
    <n v="0"/>
    <n v="629"/>
    <x v="176"/>
    <x v="0"/>
    <x v="0"/>
    <x v="0"/>
  </r>
  <r>
    <s v="Description 1005"/>
    <s v="Code 1005"/>
    <n v="100"/>
    <n v="10"/>
    <n v="60"/>
    <n v="40"/>
    <n v="80"/>
    <n v="40"/>
    <n v="20"/>
    <n v="50"/>
    <n v="220"/>
    <n v="0"/>
    <n v="482"/>
    <x v="32"/>
    <x v="0"/>
    <x v="0"/>
    <x v="0"/>
  </r>
  <r>
    <s v="Description 1006"/>
    <s v="Code 1006"/>
    <n v="8"/>
    <n v="0"/>
    <n v="64"/>
    <n v="32"/>
    <n v="24"/>
    <n v="0"/>
    <n v="16"/>
    <n v="40"/>
    <n v="0"/>
    <n v="0"/>
    <n v="3743"/>
    <x v="49"/>
    <x v="0"/>
    <x v="0"/>
    <x v="0"/>
  </r>
  <r>
    <s v="Description 1007"/>
    <s v="Code 1007"/>
    <n v="0"/>
    <n v="0"/>
    <n v="0"/>
    <n v="10"/>
    <n v="0"/>
    <n v="1"/>
    <n v="0"/>
    <n v="0"/>
    <n v="0"/>
    <n v="0"/>
    <n v="30"/>
    <x v="2"/>
    <x v="0"/>
    <x v="0"/>
    <x v="0"/>
  </r>
  <r>
    <s v="Description 1008"/>
    <s v="Code 1008"/>
    <n v="0"/>
    <n v="0"/>
    <n v="30"/>
    <n v="0"/>
    <n v="0"/>
    <n v="0"/>
    <n v="0"/>
    <n v="0"/>
    <n v="30"/>
    <n v="0"/>
    <n v="21"/>
    <x v="192"/>
    <x v="0"/>
    <x v="0"/>
    <x v="0"/>
  </r>
  <r>
    <s v="Description 1009"/>
    <s v="Code 1009"/>
    <n v="0"/>
    <n v="0"/>
    <n v="0"/>
    <n v="210"/>
    <n v="100"/>
    <n v="200"/>
    <n v="0"/>
    <n v="0"/>
    <n v="10"/>
    <n v="0"/>
    <n v="14180"/>
    <x v="40"/>
    <x v="0"/>
    <x v="0"/>
    <x v="0"/>
  </r>
  <r>
    <s v="Description 1010"/>
    <s v="Code 1010"/>
    <n v="0"/>
    <n v="0"/>
    <n v="0"/>
    <n v="0"/>
    <n v="0"/>
    <n v="0"/>
    <n v="0"/>
    <n v="0"/>
    <n v="30"/>
    <n v="0"/>
    <n v="200"/>
    <x v="51"/>
    <x v="0"/>
    <x v="0"/>
    <x v="0"/>
  </r>
  <r>
    <s v="Description 1011"/>
    <s v="Code 1011"/>
    <n v="800"/>
    <n v="800"/>
    <n v="0"/>
    <n v="300"/>
    <n v="400"/>
    <n v="0"/>
    <n v="100"/>
    <n v="400"/>
    <n v="50"/>
    <n v="0"/>
    <n v="448"/>
    <x v="71"/>
    <x v="0"/>
    <x v="0"/>
    <x v="0"/>
  </r>
  <r>
    <s v="Description 1012"/>
    <s v="Code 1012"/>
    <n v="0"/>
    <n v="0"/>
    <n v="0"/>
    <n v="0"/>
    <n v="0"/>
    <n v="0"/>
    <n v="0"/>
    <n v="10"/>
    <n v="0"/>
    <n v="0"/>
    <n v="6041"/>
    <x v="48"/>
    <x v="0"/>
    <x v="0"/>
    <x v="0"/>
  </r>
  <r>
    <s v="Description 1013"/>
    <s v="Code 1013"/>
    <n v="540"/>
    <n v="220"/>
    <n v="1280"/>
    <n v="1672"/>
    <n v="1640"/>
    <n v="416"/>
    <n v="320"/>
    <n v="170"/>
    <n v="440"/>
    <n v="0"/>
    <n v="108"/>
    <x v="141"/>
    <x v="0"/>
    <x v="0"/>
    <x v="0"/>
  </r>
  <r>
    <s v="Description 1014"/>
    <s v="Code 1014"/>
    <n v="0"/>
    <n v="20"/>
    <n v="0"/>
    <n v="0"/>
    <n v="0"/>
    <n v="0"/>
    <n v="0"/>
    <n v="0"/>
    <n v="0"/>
    <n v="0"/>
    <n v="600"/>
    <x v="133"/>
    <x v="0"/>
    <x v="0"/>
    <x v="0"/>
  </r>
  <r>
    <s v="Description 1015"/>
    <s v="Code 1015"/>
    <n v="0"/>
    <n v="0"/>
    <n v="0"/>
    <n v="0"/>
    <n v="0"/>
    <n v="0"/>
    <n v="0"/>
    <n v="0"/>
    <n v="0"/>
    <n v="0"/>
    <n v="91"/>
    <x v="58"/>
    <x v="0"/>
    <x v="0"/>
    <x v="0"/>
  </r>
  <r>
    <s v="Description 1016"/>
    <s v="Code 1016"/>
    <n v="0"/>
    <n v="0"/>
    <n v="0"/>
    <n v="0"/>
    <n v="0"/>
    <n v="0"/>
    <n v="0"/>
    <n v="0"/>
    <n v="0"/>
    <n v="0"/>
    <n v="351"/>
    <x v="13"/>
    <x v="0"/>
    <x v="1"/>
    <x v="0"/>
  </r>
  <r>
    <s v="Description 1017"/>
    <s v="Code 1017"/>
    <n v="0"/>
    <n v="0"/>
    <n v="30"/>
    <n v="30"/>
    <n v="30"/>
    <n v="40"/>
    <n v="10"/>
    <n v="0"/>
    <n v="30"/>
    <n v="0"/>
    <n v="57"/>
    <x v="80"/>
    <x v="0"/>
    <x v="0"/>
    <x v="0"/>
  </r>
  <r>
    <s v="Description 1018"/>
    <s v="Code 1018"/>
    <n v="0"/>
    <n v="0"/>
    <n v="25"/>
    <n v="0"/>
    <n v="25"/>
    <n v="25"/>
    <n v="0"/>
    <n v="0"/>
    <n v="0"/>
    <n v="0"/>
    <n v="234"/>
    <x v="147"/>
    <x v="0"/>
    <x v="0"/>
    <x v="0"/>
  </r>
  <r>
    <s v="Description 1019"/>
    <s v="Code 1019"/>
    <n v="6"/>
    <n v="0"/>
    <n v="1"/>
    <n v="2"/>
    <n v="1"/>
    <n v="0"/>
    <n v="1"/>
    <n v="1"/>
    <n v="0"/>
    <n v="0"/>
    <n v="130"/>
    <x v="159"/>
    <x v="0"/>
    <x v="0"/>
    <x v="0"/>
  </r>
  <r>
    <s v="Description 1020"/>
    <s v="Code 1020"/>
    <n v="0"/>
    <n v="0"/>
    <n v="0"/>
    <n v="0"/>
    <n v="0"/>
    <n v="0"/>
    <n v="0"/>
    <n v="0"/>
    <n v="0"/>
    <n v="0"/>
    <n v="218"/>
    <x v="54"/>
    <x v="0"/>
    <x v="0"/>
    <x v="0"/>
  </r>
  <r>
    <s v="Description 1021"/>
    <s v="Code 1021"/>
    <n v="180"/>
    <n v="180"/>
    <n v="240"/>
    <n v="240"/>
    <n v="180"/>
    <n v="180"/>
    <n v="240"/>
    <n v="240"/>
    <n v="60"/>
    <n v="0"/>
    <n v="0"/>
    <x v="100"/>
    <x v="0"/>
    <x v="0"/>
    <x v="0"/>
  </r>
  <r>
    <s v="Description 1022"/>
    <s v="Code 1022"/>
    <n v="0"/>
    <n v="0"/>
    <n v="2400"/>
    <n v="600"/>
    <n v="800"/>
    <n v="0"/>
    <n v="0"/>
    <n v="1800"/>
    <n v="0"/>
    <n v="0"/>
    <n v="270"/>
    <x v="43"/>
    <x v="0"/>
    <x v="0"/>
    <x v="0"/>
  </r>
  <r>
    <s v="Description 1023"/>
    <s v="Code 1023"/>
    <n v="1600"/>
    <n v="1600"/>
    <n v="0"/>
    <n v="400"/>
    <n v="0"/>
    <n v="0"/>
    <n v="1200"/>
    <n v="0"/>
    <n v="200"/>
    <n v="0"/>
    <n v="0"/>
    <x v="5"/>
    <x v="0"/>
    <x v="0"/>
    <x v="0"/>
  </r>
  <r>
    <s v="Description 1024"/>
    <s v="Code 1024"/>
    <n v="0.05"/>
    <n v="0.54200000000000004"/>
    <n v="0.16500000000000001"/>
    <n v="0.16500000000000001"/>
    <n v="0.16500000000000001"/>
    <n v="0.16500000000000001"/>
    <n v="0.16500000000000001"/>
    <n v="9.4E-2"/>
    <n v="0.16500000000000001"/>
    <n v="0"/>
    <n v="50"/>
    <x v="63"/>
    <x v="0"/>
    <x v="0"/>
    <x v="0"/>
  </r>
  <r>
    <s v="Description 1025"/>
    <s v="Code 1025"/>
    <n v="156"/>
    <n v="156"/>
    <n v="168"/>
    <n v="132"/>
    <n v="162"/>
    <n v="144"/>
    <n v="132"/>
    <n v="132"/>
    <n v="108"/>
    <n v="0"/>
    <n v="250"/>
    <x v="7"/>
    <x v="0"/>
    <x v="0"/>
    <x v="0"/>
  </r>
  <r>
    <s v="Description 1026"/>
    <s v="Code 1026"/>
    <n v="0"/>
    <n v="0"/>
    <n v="0"/>
    <n v="0"/>
    <n v="0"/>
    <n v="0"/>
    <n v="0"/>
    <n v="0"/>
    <n v="0"/>
    <n v="0"/>
    <n v="41"/>
    <x v="109"/>
    <x v="0"/>
    <x v="0"/>
    <x v="0"/>
  </r>
  <r>
    <s v="Description 1027"/>
    <s v="Code 1027"/>
    <n v="0"/>
    <n v="0"/>
    <n v="0"/>
    <n v="0"/>
    <n v="0"/>
    <n v="0"/>
    <n v="0"/>
    <n v="0"/>
    <n v="0"/>
    <n v="0"/>
    <n v="14"/>
    <x v="67"/>
    <x v="0"/>
    <x v="0"/>
    <x v="0"/>
  </r>
  <r>
    <s v="Description 1028"/>
    <s v="Code 1028"/>
    <n v="0"/>
    <n v="0"/>
    <n v="0"/>
    <n v="0"/>
    <n v="0"/>
    <n v="0"/>
    <n v="0"/>
    <n v="0"/>
    <n v="0"/>
    <n v="0"/>
    <n v="849"/>
    <x v="139"/>
    <x v="0"/>
    <x v="0"/>
    <x v="0"/>
  </r>
  <r>
    <s v="Description 1029"/>
    <s v="Code 1029"/>
    <n v="0"/>
    <n v="0"/>
    <n v="0"/>
    <n v="0"/>
    <n v="0"/>
    <n v="0"/>
    <n v="0"/>
    <n v="0"/>
    <n v="0"/>
    <n v="0"/>
    <n v="270"/>
    <x v="171"/>
    <x v="0"/>
    <x v="0"/>
    <x v="0"/>
  </r>
  <r>
    <s v="Description 1030"/>
    <s v="Code 1030"/>
    <n v="0"/>
    <n v="0"/>
    <n v="0"/>
    <n v="0"/>
    <n v="0"/>
    <n v="0"/>
    <n v="0"/>
    <n v="0"/>
    <n v="0"/>
    <n v="0"/>
    <n v="50"/>
    <x v="21"/>
    <x v="0"/>
    <x v="0"/>
    <x v="0"/>
  </r>
  <r>
    <s v="Description 1031"/>
    <s v="Code 1031"/>
    <n v="156"/>
    <n v="156"/>
    <n v="168"/>
    <n v="132"/>
    <n v="162"/>
    <n v="144"/>
    <n v="132"/>
    <n v="132"/>
    <n v="108"/>
    <n v="0"/>
    <n v="150"/>
    <x v="114"/>
    <x v="0"/>
    <x v="0"/>
    <x v="0"/>
  </r>
  <r>
    <s v="Description 1032"/>
    <s v="Code 1032"/>
    <n v="156"/>
    <n v="156"/>
    <n v="168"/>
    <n v="132"/>
    <n v="162"/>
    <n v="144"/>
    <n v="132"/>
    <n v="132"/>
    <n v="108"/>
    <n v="0"/>
    <n v="32"/>
    <x v="85"/>
    <x v="0"/>
    <x v="1"/>
    <x v="0"/>
  </r>
  <r>
    <s v="Description 1033"/>
    <s v="Code 1033"/>
    <n v="0"/>
    <n v="0"/>
    <n v="30"/>
    <n v="30"/>
    <n v="30"/>
    <n v="30"/>
    <n v="30"/>
    <n v="30"/>
    <n v="30"/>
    <n v="0"/>
    <n v="100"/>
    <x v="53"/>
    <x v="0"/>
    <x v="0"/>
    <x v="0"/>
  </r>
  <r>
    <s v="Description 1034"/>
    <s v="Code 1034"/>
    <n v="0"/>
    <n v="0"/>
    <n v="30"/>
    <n v="30"/>
    <n v="30"/>
    <n v="30"/>
    <n v="30"/>
    <n v="30"/>
    <n v="30"/>
    <n v="0"/>
    <n v="180"/>
    <x v="32"/>
    <x v="0"/>
    <x v="0"/>
    <x v="0"/>
  </r>
  <r>
    <s v="Description 1035"/>
    <s v="Code 1035"/>
    <n v="2"/>
    <n v="0"/>
    <n v="60"/>
    <n v="60"/>
    <n v="60"/>
    <n v="60"/>
    <n v="60"/>
    <n v="60"/>
    <n v="60"/>
    <n v="0"/>
    <n v="50"/>
    <x v="75"/>
    <x v="0"/>
    <x v="0"/>
    <x v="0"/>
  </r>
  <r>
    <s v="Description 1036"/>
    <s v="Code 1036"/>
    <n v="1"/>
    <n v="0"/>
    <n v="35"/>
    <n v="35"/>
    <n v="35"/>
    <n v="35"/>
    <n v="35"/>
    <n v="35"/>
    <n v="35"/>
    <n v="0"/>
    <n v="200"/>
    <x v="190"/>
    <x v="0"/>
    <x v="0"/>
    <x v="0"/>
  </r>
  <r>
    <s v="Description 1037"/>
    <s v="Code 1037"/>
    <n v="91"/>
    <n v="35"/>
    <n v="33"/>
    <n v="33"/>
    <n v="33"/>
    <n v="33"/>
    <n v="33"/>
    <n v="33"/>
    <n v="33"/>
    <n v="0"/>
    <n v="250"/>
    <x v="63"/>
    <x v="0"/>
    <x v="0"/>
    <x v="0"/>
  </r>
  <r>
    <s v="Description 1038"/>
    <s v="Code 1038"/>
    <n v="91"/>
    <n v="35"/>
    <n v="33"/>
    <n v="33"/>
    <n v="33"/>
    <n v="33"/>
    <n v="33"/>
    <n v="33"/>
    <n v="33"/>
    <n v="0"/>
    <n v="44"/>
    <x v="103"/>
    <x v="0"/>
    <x v="0"/>
    <x v="0"/>
  </r>
  <r>
    <s v="Description 1039"/>
    <s v="Code 1039"/>
    <n v="1"/>
    <n v="0"/>
    <n v="15"/>
    <n v="15"/>
    <n v="15"/>
    <n v="15"/>
    <n v="15"/>
    <n v="15"/>
    <n v="15"/>
    <n v="0"/>
    <n v="190"/>
    <x v="155"/>
    <x v="0"/>
    <x v="0"/>
    <x v="0"/>
  </r>
  <r>
    <s v="Description 1040"/>
    <s v="Code 1040"/>
    <n v="2"/>
    <n v="0"/>
    <n v="30"/>
    <n v="30"/>
    <n v="30"/>
    <n v="30"/>
    <n v="30"/>
    <n v="30"/>
    <n v="30"/>
    <n v="0"/>
    <n v="50"/>
    <x v="149"/>
    <x v="0"/>
    <x v="0"/>
    <x v="0"/>
  </r>
  <r>
    <s v="Description 1041"/>
    <s v="Code 1041"/>
    <n v="1"/>
    <n v="0"/>
    <n v="5"/>
    <n v="5"/>
    <n v="5"/>
    <n v="5"/>
    <n v="5"/>
    <n v="5"/>
    <n v="5"/>
    <n v="0"/>
    <n v="140"/>
    <x v="139"/>
    <x v="0"/>
    <x v="0"/>
    <x v="0"/>
  </r>
  <r>
    <s v="Description 1042"/>
    <s v="Code 1042"/>
    <n v="92"/>
    <n v="35"/>
    <n v="68"/>
    <n v="68"/>
    <n v="68"/>
    <n v="68"/>
    <n v="68"/>
    <n v="68"/>
    <n v="68"/>
    <n v="0"/>
    <n v="0"/>
    <x v="48"/>
    <x v="0"/>
    <x v="0"/>
    <x v="0"/>
  </r>
  <r>
    <s v="Description 1043"/>
    <s v="Code 1043"/>
    <n v="2"/>
    <n v="0"/>
    <n v="70"/>
    <n v="70"/>
    <n v="70"/>
    <n v="70"/>
    <n v="70"/>
    <n v="70"/>
    <n v="70"/>
    <n v="0"/>
    <n v="0"/>
    <x v="189"/>
    <x v="0"/>
    <x v="0"/>
    <x v="0"/>
  </r>
  <r>
    <s v="Description 1044"/>
    <s v="Code 1044"/>
    <n v="0"/>
    <n v="0"/>
    <n v="0"/>
    <n v="0"/>
    <n v="0"/>
    <n v="0"/>
    <n v="0"/>
    <n v="0"/>
    <n v="0"/>
    <n v="0"/>
    <n v="78.5"/>
    <x v="6"/>
    <x v="0"/>
    <x v="0"/>
    <x v="0"/>
  </r>
  <r>
    <s v="Description 1045"/>
    <s v="Code 1045"/>
    <n v="0"/>
    <n v="9.5"/>
    <n v="0"/>
    <n v="9.5"/>
    <n v="4.75"/>
    <n v="9.5"/>
    <n v="0"/>
    <n v="4.75"/>
    <n v="0"/>
    <n v="0"/>
    <n v="0"/>
    <x v="111"/>
    <x v="0"/>
    <x v="0"/>
    <x v="0"/>
  </r>
  <r>
    <s v="Description 1046"/>
    <s v="Code 1046"/>
    <n v="0"/>
    <n v="0"/>
    <n v="0"/>
    <n v="0"/>
    <n v="0"/>
    <n v="0"/>
    <n v="0"/>
    <n v="0"/>
    <n v="0"/>
    <n v="0"/>
    <n v="0"/>
    <x v="65"/>
    <x v="0"/>
    <x v="0"/>
    <x v="0"/>
  </r>
  <r>
    <s v="Description 1047"/>
    <s v="Code 1047"/>
    <n v="0"/>
    <n v="0"/>
    <n v="0"/>
    <n v="0"/>
    <n v="0"/>
    <n v="0"/>
    <n v="0"/>
    <n v="6.2"/>
    <n v="0"/>
    <n v="0"/>
    <n v="0"/>
    <x v="36"/>
    <x v="0"/>
    <x v="0"/>
    <x v="0"/>
  </r>
  <r>
    <s v="Description 1048"/>
    <s v="Code 1048"/>
    <n v="0"/>
    <n v="0"/>
    <n v="0"/>
    <n v="0"/>
    <n v="0"/>
    <n v="0"/>
    <n v="0"/>
    <n v="0"/>
    <n v="0"/>
    <n v="0"/>
    <n v="0"/>
    <x v="33"/>
    <x v="0"/>
    <x v="0"/>
    <x v="0"/>
  </r>
  <r>
    <s v="Description 1049"/>
    <s v="Code 1049"/>
    <n v="8.0520000000000001E-3"/>
    <n v="0"/>
    <n v="0.16104000000000002"/>
    <n v="3.2208000000000001E-2"/>
    <n v="2.4156E-2"/>
    <n v="0"/>
    <n v="1.6104E-2"/>
    <n v="4.0259999999999997E-2"/>
    <n v="0"/>
    <n v="0"/>
    <n v="0"/>
    <x v="17"/>
    <x v="0"/>
    <x v="0"/>
    <x v="0"/>
  </r>
  <r>
    <s v="Description 1050"/>
    <s v="Code 1050"/>
    <n v="0"/>
    <n v="0"/>
    <n v="0"/>
    <n v="0"/>
    <n v="0"/>
    <n v="0"/>
    <n v="0"/>
    <n v="0.02"/>
    <n v="0"/>
    <n v="0"/>
    <n v="0"/>
    <x v="4"/>
    <x v="0"/>
    <x v="0"/>
    <x v="0"/>
  </r>
  <r>
    <s v="Description 1051"/>
    <s v="Code 1051"/>
    <n v="0"/>
    <n v="0"/>
    <n v="0"/>
    <n v="7.5"/>
    <n v="0"/>
    <n v="2.5000000000000001E-2"/>
    <n v="0"/>
    <n v="0"/>
    <n v="0"/>
    <n v="0"/>
    <n v="5.6"/>
    <x v="180"/>
    <x v="0"/>
    <x v="0"/>
    <x v="0"/>
  </r>
  <r>
    <s v="Description 1052"/>
    <s v="Code 1052"/>
    <n v="0"/>
    <n v="0"/>
    <n v="0"/>
    <n v="0"/>
    <n v="0"/>
    <n v="0"/>
    <n v="0"/>
    <n v="0"/>
    <n v="0"/>
    <n v="0"/>
    <n v="0"/>
    <x v="112"/>
    <x v="0"/>
    <x v="0"/>
    <x v="0"/>
  </r>
  <r>
    <s v="Description 1053"/>
    <s v="Code 1053"/>
    <n v="0"/>
    <n v="0"/>
    <n v="0"/>
    <n v="0"/>
    <n v="0"/>
    <n v="0"/>
    <n v="0"/>
    <n v="0.7"/>
    <n v="0"/>
    <n v="0"/>
    <n v="96"/>
    <x v="180"/>
    <x v="0"/>
    <x v="0"/>
    <x v="0"/>
  </r>
  <r>
    <s v="Description 1054"/>
    <s v="Code 1054"/>
    <n v="0"/>
    <n v="0"/>
    <n v="0"/>
    <n v="0"/>
    <n v="0"/>
    <n v="0"/>
    <n v="0"/>
    <n v="0"/>
    <n v="0"/>
    <n v="0"/>
    <n v="0"/>
    <x v="136"/>
    <x v="0"/>
    <x v="1"/>
    <x v="0"/>
  </r>
  <r>
    <s v="Description 1055"/>
    <s v="Code 1055"/>
    <n v="0"/>
    <n v="0"/>
    <n v="1.95"/>
    <n v="0"/>
    <n v="0"/>
    <n v="0"/>
    <n v="0"/>
    <n v="0"/>
    <n v="0"/>
    <n v="0"/>
    <n v="0"/>
    <x v="131"/>
    <x v="0"/>
    <x v="0"/>
    <x v="0"/>
  </r>
  <r>
    <s v="Description 1056"/>
    <s v="Code 1056"/>
    <n v="0"/>
    <n v="0"/>
    <n v="0"/>
    <n v="0"/>
    <n v="0"/>
    <n v="0"/>
    <n v="0"/>
    <n v="0"/>
    <n v="0"/>
    <n v="0"/>
    <n v="0"/>
    <x v="168"/>
    <x v="0"/>
    <x v="0"/>
    <x v="0"/>
  </r>
  <r>
    <s v="Description 1057"/>
    <s v="Code 1057"/>
    <n v="0"/>
    <n v="0"/>
    <n v="0"/>
    <n v="0"/>
    <n v="0"/>
    <n v="0"/>
    <n v="0"/>
    <n v="0"/>
    <n v="0"/>
    <n v="0"/>
    <n v="2240"/>
    <x v="126"/>
    <x v="0"/>
    <x v="0"/>
    <x v="0"/>
  </r>
  <r>
    <s v="Description 1058"/>
    <s v="Code 1058"/>
    <n v="331.15"/>
    <n v="255.76"/>
    <n v="433.16"/>
    <n v="400.74"/>
    <n v="346.14"/>
    <n v="416.64400000000001"/>
    <n v="217.48"/>
    <n v="224.88"/>
    <n v="332.54"/>
    <n v="0"/>
    <n v="0"/>
    <x v="34"/>
    <x v="0"/>
    <x v="0"/>
    <x v="0"/>
  </r>
  <r>
    <s v="Description 1059"/>
    <s v="Code 1059"/>
    <n v="0"/>
    <n v="0"/>
    <n v="0"/>
    <n v="0"/>
    <n v="0"/>
    <n v="0"/>
    <n v="0"/>
    <n v="0"/>
    <n v="0"/>
    <n v="0"/>
    <n v="3360"/>
    <x v="66"/>
    <x v="0"/>
    <x v="0"/>
    <x v="0"/>
  </r>
  <r>
    <s v="Description 1060"/>
    <s v="Code 1060"/>
    <n v="0"/>
    <n v="0"/>
    <n v="0"/>
    <n v="0"/>
    <n v="0"/>
    <n v="0"/>
    <n v="0"/>
    <n v="0"/>
    <n v="0"/>
    <n v="0"/>
    <n v="0"/>
    <x v="136"/>
    <x v="0"/>
    <x v="1"/>
    <x v="0"/>
  </r>
  <r>
    <s v="Description 1061"/>
    <s v="Code 1061"/>
    <n v="4.2"/>
    <n v="1"/>
    <n v="1"/>
    <n v="1"/>
    <n v="1"/>
    <n v="1"/>
    <n v="1"/>
    <n v="1"/>
    <n v="1"/>
    <n v="0"/>
    <n v="28"/>
    <x v="82"/>
    <x v="0"/>
    <x v="0"/>
    <x v="0"/>
  </r>
  <r>
    <s v="Description 1062"/>
    <s v="Code 1062"/>
    <n v="0"/>
    <n v="0"/>
    <n v="0"/>
    <n v="0"/>
    <n v="0"/>
    <n v="0"/>
    <n v="0"/>
    <n v="0"/>
    <n v="0"/>
    <n v="0"/>
    <n v="63"/>
    <x v="48"/>
    <x v="0"/>
    <x v="0"/>
    <x v="0"/>
  </r>
  <r>
    <s v="Description 1063"/>
    <s v="Code 1063"/>
    <n v="0"/>
    <n v="0"/>
    <n v="0"/>
    <n v="0"/>
    <n v="0"/>
    <n v="0"/>
    <n v="0"/>
    <n v="0"/>
    <n v="0"/>
    <n v="0"/>
    <n v="0"/>
    <x v="185"/>
    <x v="0"/>
    <x v="0"/>
    <x v="0"/>
  </r>
  <r>
    <s v="Description 1064"/>
    <s v="Code 1064"/>
    <n v="0"/>
    <n v="0"/>
    <n v="0"/>
    <n v="0"/>
    <n v="0"/>
    <n v="0"/>
    <n v="0"/>
    <n v="0"/>
    <n v="0"/>
    <n v="0"/>
    <n v="1900"/>
    <x v="94"/>
    <x v="0"/>
    <x v="0"/>
    <x v="0"/>
  </r>
  <r>
    <s v="Description 1065"/>
    <s v="Code 1065"/>
    <n v="168.43"/>
    <n v="90.2"/>
    <n v="122.4"/>
    <n v="179.95"/>
    <n v="164.51"/>
    <n v="93.51"/>
    <n v="107.11"/>
    <n v="95.14"/>
    <n v="94.2"/>
    <n v="0"/>
    <n v="1706.085"/>
    <x v="107"/>
    <x v="0"/>
    <x v="0"/>
    <x v="0"/>
  </r>
  <r>
    <s v="Description 1066"/>
    <s v="Code 1066"/>
    <n v="430.57810000000001"/>
    <n v="337.29510000000005"/>
    <n v="288.73255000000006"/>
    <n v="621.51819999999987"/>
    <n v="317.21379999999999"/>
    <n v="295.60149999999999"/>
    <n v="240.35419999999999"/>
    <n v="282.28589999999997"/>
    <n v="271.41719999999998"/>
    <n v="0"/>
    <n v="315.3"/>
    <x v="8"/>
    <x v="0"/>
    <x v="0"/>
    <x v="0"/>
  </r>
  <r>
    <s v="Description 1067"/>
    <s v="Code 1067"/>
    <n v="0"/>
    <n v="0"/>
    <n v="0"/>
    <n v="0"/>
    <n v="0"/>
    <n v="0"/>
    <n v="0"/>
    <n v="0"/>
    <n v="0"/>
    <n v="0"/>
    <n v="4490"/>
    <x v="94"/>
    <x v="0"/>
    <x v="0"/>
    <x v="0"/>
  </r>
  <r>
    <s v="Description 1068"/>
    <s v="Code 1068"/>
    <n v="1238.1113800000001"/>
    <n v="686.46189999999979"/>
    <n v="1102.2808800000003"/>
    <n v="1073.4534000000001"/>
    <n v="963.07761999999957"/>
    <n v="793.54542999999967"/>
    <n v="861.50389999999982"/>
    <n v="742.50944999999979"/>
    <n v="662.39890000000025"/>
    <n v="0"/>
    <n v="0"/>
    <x v="155"/>
    <x v="0"/>
    <x v="0"/>
    <x v="0"/>
  </r>
  <r>
    <s v="Description 1069"/>
    <s v="Code 1069"/>
    <n v="0"/>
    <n v="0"/>
    <n v="0"/>
    <n v="0"/>
    <n v="0"/>
    <n v="0"/>
    <n v="0"/>
    <n v="0"/>
    <n v="0"/>
    <n v="0"/>
    <n v="5710"/>
    <x v="14"/>
    <x v="0"/>
    <x v="0"/>
    <x v="0"/>
  </r>
  <r>
    <s v="Description 1070"/>
    <s v="Code 1070"/>
    <n v="1947.8073800000002"/>
    <n v="1789.9111799999998"/>
    <n v="2086.8603399999993"/>
    <n v="2159.8789599999996"/>
    <n v="2022.6325400000001"/>
    <n v="1941.5057999999997"/>
    <n v="1589.349560000001"/>
    <n v="1578.3994199999995"/>
    <n v="1510.8871600000002"/>
    <n v="0"/>
    <n v="750"/>
    <x v="160"/>
    <x v="0"/>
    <x v="0"/>
    <x v="0"/>
  </r>
  <r>
    <s v="Description 1071"/>
    <s v="Code 1071"/>
    <n v="0"/>
    <n v="0"/>
    <n v="0"/>
    <n v="0"/>
    <n v="254.8"/>
    <n v="0"/>
    <n v="16.8"/>
    <n v="0"/>
    <n v="16.8"/>
    <n v="0"/>
    <n v="1415.6"/>
    <x v="115"/>
    <x v="0"/>
    <x v="0"/>
    <x v="0"/>
  </r>
  <r>
    <s v="Description 1072"/>
    <s v="Code 1072"/>
    <n v="147.79"/>
    <n v="52.38"/>
    <n v="140.05000000000001"/>
    <n v="126.85"/>
    <n v="97.39"/>
    <n v="78.849999999999994"/>
    <n v="25.91"/>
    <n v="93.11"/>
    <n v="25.91"/>
    <n v="0"/>
    <n v="469"/>
    <x v="15"/>
    <x v="0"/>
    <x v="0"/>
    <x v="0"/>
  </r>
  <r>
    <s v="Description 1073"/>
    <s v="Code 1073"/>
    <n v="0.53459999999999996"/>
    <n v="0"/>
    <n v="6.8599999999999994E-2"/>
    <n v="4.8599999999999997E-2"/>
    <n v="0.48599999999999999"/>
    <n v="0"/>
    <n v="0"/>
    <n v="0"/>
    <n v="0"/>
    <n v="0"/>
    <n v="0"/>
    <x v="85"/>
    <x v="0"/>
    <x v="1"/>
    <x v="0"/>
  </r>
  <r>
    <s v="Description 1074"/>
    <s v="Code 1074"/>
    <n v="6.0000000000000001E-3"/>
    <n v="0"/>
    <n v="7.8E-2"/>
    <n v="2.4E-2"/>
    <n v="1.7999999999999999E-2"/>
    <n v="0"/>
    <n v="1.2E-2"/>
    <n v="0.03"/>
    <n v="0"/>
    <n v="0"/>
    <n v="2964"/>
    <x v="38"/>
    <x v="0"/>
    <x v="0"/>
    <x v="0"/>
  </r>
  <r>
    <s v="Description 1075"/>
    <s v="Code 1075"/>
    <n v="0"/>
    <n v="0"/>
    <n v="0"/>
    <n v="0"/>
    <n v="0"/>
    <n v="0"/>
    <n v="0"/>
    <n v="0"/>
    <n v="0"/>
    <n v="0"/>
    <n v="3406"/>
    <x v="68"/>
    <x v="0"/>
    <x v="0"/>
    <x v="0"/>
  </r>
  <r>
    <s v="Description 1076"/>
    <s v="Code 1076"/>
    <n v="53.656799999999997"/>
    <n v="26.828399999999998"/>
    <n v="53.656799999999997"/>
    <n v="53.656799999999997"/>
    <n v="53.656799999999997"/>
    <n v="53.656799999999997"/>
    <n v="53.656799999999997"/>
    <n v="0"/>
    <n v="0"/>
    <n v="0"/>
    <n v="0"/>
    <x v="2"/>
    <x v="0"/>
    <x v="0"/>
    <x v="0"/>
  </r>
  <r>
    <s v="Description 1077"/>
    <s v="Code 1077"/>
    <n v="20.632000000000001"/>
    <n v="0"/>
    <n v="4.8"/>
    <n v="2.5499999999999998"/>
    <n v="1.8"/>
    <n v="0"/>
    <n v="1.2"/>
    <n v="4.5999999999999996"/>
    <n v="0"/>
    <n v="0"/>
    <n v="100"/>
    <x v="31"/>
    <x v="0"/>
    <x v="0"/>
    <x v="0"/>
  </r>
  <r>
    <s v="Description 1078"/>
    <s v="Code 1078"/>
    <n v="0"/>
    <n v="0"/>
    <n v="0"/>
    <n v="0"/>
    <n v="0"/>
    <n v="0"/>
    <n v="0"/>
    <n v="0"/>
    <n v="0"/>
    <n v="0"/>
    <n v="0"/>
    <x v="110"/>
    <x v="0"/>
    <x v="0"/>
    <x v="0"/>
  </r>
  <r>
    <s v="Description 1079"/>
    <s v="Code 1079"/>
    <n v="2.4"/>
    <n v="0"/>
    <n v="49.2"/>
    <n v="49.2"/>
    <n v="49.2"/>
    <n v="49.2"/>
    <n v="49.2"/>
    <n v="49.2"/>
    <n v="49.2"/>
    <n v="0"/>
    <n v="64.347999999999999"/>
    <x v="62"/>
    <x v="0"/>
    <x v="0"/>
    <x v="0"/>
  </r>
  <r>
    <s v="Description 1080"/>
    <s v="Code 1080"/>
    <n v="89.721999999999994"/>
    <n v="0"/>
    <n v="230.26"/>
    <n v="230.26"/>
    <n v="230.26"/>
    <n v="230.26"/>
    <n v="63.52"/>
    <n v="230.26"/>
    <n v="63.52"/>
    <n v="0"/>
    <n v="1760"/>
    <x v="107"/>
    <x v="0"/>
    <x v="0"/>
    <x v="0"/>
  </r>
  <r>
    <s v="Description 1081"/>
    <s v="Code 1081"/>
    <n v="4.5599999999999996"/>
    <n v="8.68"/>
    <n v="15.54"/>
    <n v="28.52"/>
    <n v="40.85"/>
    <n v="32.369999999999997"/>
    <n v="34.6"/>
    <n v="27.02"/>
    <n v="51.49"/>
    <n v="0"/>
    <n v="1640"/>
    <x v="111"/>
    <x v="0"/>
    <x v="0"/>
    <x v="0"/>
  </r>
  <r>
    <s v="Description 1082"/>
    <s v="Code 1082"/>
    <n v="0"/>
    <n v="0"/>
    <n v="0"/>
    <n v="0"/>
    <n v="0"/>
    <n v="0"/>
    <n v="0"/>
    <n v="0"/>
    <n v="0"/>
    <n v="0"/>
    <n v="869"/>
    <x v="44"/>
    <x v="0"/>
    <x v="0"/>
    <x v="0"/>
  </r>
  <r>
    <s v="Description 1083"/>
    <s v="Code 1083"/>
    <n v="49.6"/>
    <n v="0"/>
    <n v="0"/>
    <n v="49.6"/>
    <n v="49.6"/>
    <n v="0"/>
    <n v="0"/>
    <n v="0"/>
    <n v="0"/>
    <n v="0"/>
    <n v="1391.2"/>
    <x v="123"/>
    <x v="0"/>
    <x v="1"/>
    <x v="0"/>
  </r>
  <r>
    <s v="Description 1084"/>
    <s v="Code 1084"/>
    <n v="297.4676"/>
    <n v="237.6636"/>
    <n v="388.18900000000008"/>
    <n v="414.85300000000012"/>
    <n v="281.55559999999997"/>
    <n v="310.21100000000007"/>
    <n v="172.29620000000008"/>
    <n v="188.53620000000012"/>
    <n v="171.97620000000006"/>
    <n v="0"/>
    <n v="1394.3"/>
    <x v="142"/>
    <x v="0"/>
    <x v="0"/>
    <x v="0"/>
  </r>
  <r>
    <s v="Description 1085"/>
    <s v="Code 1085"/>
    <n v="207.28"/>
    <n v="264.56"/>
    <n v="232.72"/>
    <n v="108.92"/>
    <n v="49.64"/>
    <n v="0"/>
    <n v="140.74"/>
    <n v="108.92"/>
    <n v="118.54"/>
    <n v="0"/>
    <n v="3544"/>
    <x v="38"/>
    <x v="0"/>
    <x v="0"/>
    <x v="0"/>
  </r>
  <r>
    <s v="Description 1086"/>
    <s v="Code 1086"/>
    <n v="1010.3951999999999"/>
    <n v="1574.3976"/>
    <n v="1340.3951999999999"/>
    <n v="754.55520000000001"/>
    <n v="1052.0352"/>
    <n v="714.71519999999998"/>
    <n v="714.71519999999998"/>
    <n v="591.36"/>
    <n v="0"/>
    <n v="0"/>
    <n v="8466"/>
    <x v="195"/>
    <x v="0"/>
    <x v="0"/>
    <x v="0"/>
  </r>
  <r>
    <s v="Description 1087"/>
    <s v="Code 1087"/>
    <n v="2695.68"/>
    <n v="2396.16"/>
    <n v="3110.7119999999995"/>
    <n v="2735.4"/>
    <n v="3127.8719999999994"/>
    <n v="3029.52"/>
    <n v="2776.8719999999998"/>
    <n v="2735.4"/>
    <n v="2695.68"/>
    <n v="0"/>
    <n v="0"/>
    <x v="150"/>
    <x v="0"/>
    <x v="0"/>
    <x v="0"/>
  </r>
  <r>
    <s v="Description 1088"/>
    <s v="Code 1088"/>
    <n v="0.55008000000000001"/>
    <n v="0.91679999999999995"/>
    <n v="0.73343999999999998"/>
    <n v="0.36671999999999999"/>
    <n v="0.55008000000000001"/>
    <n v="0.36671999999999999"/>
    <n v="0.36671999999999999"/>
    <n v="0.36671999999999999"/>
    <n v="0"/>
    <n v="0"/>
    <n v="1000"/>
    <x v="153"/>
    <x v="0"/>
    <x v="0"/>
    <x v="0"/>
  </r>
  <r>
    <s v="Description 1089"/>
    <s v="Code 1089"/>
    <n v="514.5"/>
    <n v="0"/>
    <n v="1029"/>
    <n v="1029"/>
    <n v="514.5"/>
    <n v="514.5"/>
    <n v="1029"/>
    <n v="0"/>
    <n v="514.5"/>
    <n v="0"/>
    <n v="186"/>
    <x v="10"/>
    <x v="0"/>
    <x v="0"/>
    <x v="0"/>
  </r>
  <r>
    <s v="Description 1090"/>
    <s v="Code 1090"/>
    <n v="0"/>
    <n v="0"/>
    <n v="37.223999999999997"/>
    <n v="37.223999999999997"/>
    <n v="0"/>
    <n v="40.326000000000001"/>
    <n v="0"/>
    <n v="0"/>
    <n v="37.223999999999997"/>
    <n v="0"/>
    <n v="0"/>
    <x v="3"/>
    <x v="0"/>
    <x v="0"/>
    <x v="0"/>
  </r>
  <r>
    <s v="Description 1091"/>
    <s v="Code 1091"/>
    <n v="0"/>
    <n v="0"/>
    <n v="0"/>
    <n v="0"/>
    <n v="0"/>
    <n v="0"/>
    <n v="0"/>
    <n v="0"/>
    <n v="0"/>
    <n v="0"/>
    <n v="2058"/>
    <x v="122"/>
    <x v="0"/>
    <x v="0"/>
    <x v="0"/>
  </r>
  <r>
    <s v="Description 1092"/>
    <s v="Code 1092"/>
    <n v="259.49906000000004"/>
    <n v="159.10665999999998"/>
    <n v="260.77792000000017"/>
    <n v="277.86892"/>
    <n v="187.53065999999998"/>
    <n v="200.10952000000003"/>
    <n v="118.10380000000001"/>
    <n v="118.10380000000001"/>
    <n v="118.10380000000001"/>
    <n v="0"/>
    <n v="0"/>
    <x v="101"/>
    <x v="0"/>
    <x v="0"/>
    <x v="0"/>
  </r>
  <r>
    <s v="Description 1093"/>
    <s v="Code 1093"/>
    <n v="0"/>
    <n v="0"/>
    <n v="0"/>
    <n v="0"/>
    <n v="0"/>
    <n v="0"/>
    <n v="0"/>
    <n v="0"/>
    <n v="0"/>
    <n v="0"/>
    <n v="200"/>
    <x v="169"/>
    <x v="0"/>
    <x v="0"/>
    <x v="0"/>
  </r>
  <r>
    <s v="Description 1094"/>
    <s v="Code 1094"/>
    <n v="21.38"/>
    <n v="4.4000000000000004"/>
    <n v="20.5"/>
    <n v="20.908000000000001"/>
    <n v="1.76"/>
    <n v="0"/>
    <n v="1.8479999999999999"/>
    <n v="2.1680000000000001"/>
    <n v="0.96"/>
    <n v="0"/>
    <n v="60"/>
    <x v="114"/>
    <x v="0"/>
    <x v="0"/>
    <x v="0"/>
  </r>
  <r>
    <s v="Description 1095"/>
    <s v="Code 1095"/>
    <n v="0"/>
    <n v="0"/>
    <n v="0"/>
    <n v="0"/>
    <n v="0"/>
    <n v="0"/>
    <n v="0"/>
    <n v="0"/>
    <n v="0"/>
    <n v="0"/>
    <n v="0"/>
    <x v="72"/>
    <x v="0"/>
    <x v="0"/>
    <x v="0"/>
  </r>
  <r>
    <s v="Description 1096"/>
    <s v="Code 1096"/>
    <n v="0"/>
    <n v="0"/>
    <n v="0"/>
    <n v="0"/>
    <n v="0"/>
    <n v="0"/>
    <n v="0"/>
    <n v="0"/>
    <n v="0"/>
    <n v="0"/>
    <n v="25"/>
    <x v="124"/>
    <x v="0"/>
    <x v="0"/>
    <x v="0"/>
  </r>
  <r>
    <s v="Description 1097"/>
    <s v="Code 1097"/>
    <n v="0"/>
    <n v="0"/>
    <n v="0"/>
    <n v="0"/>
    <n v="0"/>
    <n v="1"/>
    <n v="0"/>
    <n v="0"/>
    <n v="0"/>
    <n v="0"/>
    <n v="70"/>
    <x v="120"/>
    <x v="0"/>
    <x v="0"/>
    <x v="0"/>
  </r>
  <r>
    <s v="Description 1098"/>
    <s v="Code 1098"/>
    <n v="0"/>
    <n v="0"/>
    <n v="0"/>
    <n v="0"/>
    <n v="0"/>
    <n v="0"/>
    <n v="0"/>
    <n v="0"/>
    <n v="0"/>
    <n v="0"/>
    <n v="4863"/>
    <x v="132"/>
    <x v="0"/>
    <x v="0"/>
    <x v="0"/>
  </r>
  <r>
    <s v="Description 1099"/>
    <s v="Code 1099"/>
    <n v="786.18200000000002"/>
    <n v="1219.1619999999998"/>
    <n v="1343.242"/>
    <n v="1301.7819999999999"/>
    <n v="1460.8"/>
    <n v="1157.5659999999998"/>
    <n v="1012.03"/>
    <n v="1088.69"/>
    <n v="884.46600000000001"/>
    <n v="0"/>
    <n v="118"/>
    <x v="107"/>
    <x v="0"/>
    <x v="0"/>
    <x v="0"/>
  </r>
  <r>
    <s v="Description 1100"/>
    <s v="Code 1100"/>
    <n v="130.81"/>
    <n v="138.554"/>
    <n v="182.38"/>
    <n v="163.26"/>
    <n v="129.69999999999999"/>
    <n v="121.25"/>
    <n v="148.59800000000001"/>
    <n v="146.53"/>
    <n v="65.91"/>
    <n v="0"/>
    <n v="6010"/>
    <x v="103"/>
    <x v="0"/>
    <x v="0"/>
    <x v="0"/>
  </r>
  <r>
    <s v="Description 1101"/>
    <s v="Code 1101"/>
    <n v="1190.9348"/>
    <n v="935.71039999999994"/>
    <n v="1046.5868"/>
    <n v="1232.4027999999998"/>
    <n v="755.92679999999996"/>
    <n v="677.6028"/>
    <n v="859.65080000000012"/>
    <n v="446.77600000000001"/>
    <n v="472.72199999999998"/>
    <n v="0"/>
    <n v="6181"/>
    <x v="146"/>
    <x v="0"/>
    <x v="0"/>
    <x v="0"/>
  </r>
  <r>
    <s v="Description 1102"/>
    <s v="Code 1102"/>
    <n v="707.74"/>
    <n v="1057.3599999999999"/>
    <n v="920.46"/>
    <n v="444"/>
    <n v="877"/>
    <n v="222"/>
    <n v="814.54"/>
    <n v="237.96"/>
    <n v="585.6"/>
    <n v="0"/>
    <n v="1985"/>
    <x v="149"/>
    <x v="0"/>
    <x v="0"/>
    <x v="0"/>
  </r>
  <r>
    <s v="Description 1103"/>
    <s v="Code 1103"/>
    <n v="124.04504"/>
    <n v="1.31952"/>
    <n v="259.30951999999996"/>
    <n v="0.29504000000000002"/>
    <n v="0.29504000000000002"/>
    <n v="0"/>
    <n v="0"/>
    <n v="0"/>
    <n v="0"/>
    <n v="0"/>
    <n v="1710"/>
    <x v="85"/>
    <x v="0"/>
    <x v="1"/>
    <x v="0"/>
  </r>
  <r>
    <s v="Description 1104"/>
    <s v="Code 1104"/>
    <n v="807.52"/>
    <n v="699.02"/>
    <n v="1039.3399999999999"/>
    <n v="1015.22"/>
    <n v="755.72"/>
    <n v="1039.3399999999999"/>
    <n v="259.5"/>
    <n v="439.52"/>
    <n v="807.52"/>
    <n v="0"/>
    <n v="215"/>
    <x v="55"/>
    <x v="0"/>
    <x v="0"/>
    <x v="0"/>
  </r>
  <r>
    <s v="Description 1105"/>
    <s v="Code 1105"/>
    <n v="0"/>
    <n v="0"/>
    <n v="0"/>
    <n v="0"/>
    <n v="0"/>
    <n v="0"/>
    <n v="0"/>
    <n v="0"/>
    <n v="0"/>
    <n v="0"/>
    <n v="1147"/>
    <x v="133"/>
    <x v="0"/>
    <x v="0"/>
    <x v="0"/>
  </r>
  <r>
    <s v="Description 1106"/>
    <s v="Code 1106"/>
    <n v="0"/>
    <n v="0"/>
    <n v="504.8"/>
    <n v="0"/>
    <n v="0"/>
    <n v="753"/>
    <n v="0"/>
    <n v="0"/>
    <n v="0"/>
    <n v="0"/>
    <n v="7940"/>
    <x v="93"/>
    <x v="0"/>
    <x v="0"/>
    <x v="0"/>
  </r>
  <r>
    <s v="Description 1107"/>
    <s v="Code 1107"/>
    <n v="1689.8"/>
    <n v="1559.4"/>
    <n v="1749.5150000000001"/>
    <n v="3323.2"/>
    <n v="1550.2"/>
    <n v="2922.8320000000003"/>
    <n v="1550.2"/>
    <n v="2060.6"/>
    <n v="2501.2160000000003"/>
    <n v="0"/>
    <n v="508"/>
    <x v="11"/>
    <x v="0"/>
    <x v="0"/>
    <x v="0"/>
  </r>
  <r>
    <s v="Description 1108"/>
    <s v="Code 1108"/>
    <n v="39.36"/>
    <n v="0"/>
    <n v="0"/>
    <n v="0"/>
    <n v="0"/>
    <n v="0"/>
    <n v="0"/>
    <n v="78.72"/>
    <n v="0"/>
    <n v="0"/>
    <n v="0"/>
    <x v="19"/>
    <x v="0"/>
    <x v="0"/>
    <x v="0"/>
  </r>
  <r>
    <s v="Description 1109"/>
    <s v="Code 1109"/>
    <n v="14.4"/>
    <n v="0"/>
    <n v="4.8"/>
    <n v="0"/>
    <n v="0"/>
    <n v="0"/>
    <n v="0"/>
    <n v="0"/>
    <n v="0"/>
    <n v="0"/>
    <n v="1413"/>
    <x v="131"/>
    <x v="0"/>
    <x v="0"/>
    <x v="0"/>
  </r>
  <r>
    <s v="Description 1110"/>
    <s v="Code 1110"/>
    <n v="50.3"/>
    <n v="87.65"/>
    <n v="12.05"/>
    <n v="14.69"/>
    <n v="2.64"/>
    <n v="2.64"/>
    <n v="1.32"/>
    <n v="2.64"/>
    <n v="1.98"/>
    <n v="0"/>
    <n v="512"/>
    <x v="30"/>
    <x v="0"/>
    <x v="0"/>
    <x v="0"/>
  </r>
  <r>
    <s v="Description 1111"/>
    <s v="Code 1111"/>
    <n v="91.296000000000021"/>
    <n v="96.224000000000004"/>
    <n v="131.04299999999998"/>
    <n v="16.62"/>
    <n v="88.44"/>
    <n v="15.458000000000004"/>
    <n v="7.72"/>
    <n v="26.38"/>
    <n v="35.14"/>
    <n v="0"/>
    <n v="2280"/>
    <x v="134"/>
    <x v="0"/>
    <x v="0"/>
    <x v="0"/>
  </r>
  <r>
    <s v="Description 1112"/>
    <s v="Code 1112"/>
    <n v="827.72599999999989"/>
    <n v="537.47399999999993"/>
    <n v="823.20600000000013"/>
    <n v="43.314"/>
    <n v="257.72800000000001"/>
    <n v="38.474000000000004"/>
    <n v="24.873999999999999"/>
    <n v="36.845999999999997"/>
    <n v="73.994"/>
    <n v="0"/>
    <n v="101"/>
    <x v="58"/>
    <x v="0"/>
    <x v="0"/>
    <x v="0"/>
  </r>
  <r>
    <s v="Description 1113"/>
    <s v="Code 1113"/>
    <n v="0"/>
    <n v="0"/>
    <n v="0"/>
    <n v="0"/>
    <n v="0"/>
    <n v="0"/>
    <n v="0"/>
    <n v="0"/>
    <n v="0"/>
    <n v="0"/>
    <n v="87"/>
    <x v="156"/>
    <x v="0"/>
    <x v="0"/>
    <x v="0"/>
  </r>
  <r>
    <s v="Description 1114"/>
    <s v="Code 1114"/>
    <n v="0"/>
    <n v="0"/>
    <n v="0"/>
    <n v="0"/>
    <n v="0"/>
    <n v="0"/>
    <n v="0"/>
    <n v="0"/>
    <n v="0"/>
    <n v="0"/>
    <n v="966.9"/>
    <x v="146"/>
    <x v="0"/>
    <x v="0"/>
    <x v="0"/>
  </r>
  <r>
    <s v="Description 1115"/>
    <s v="Code 1115"/>
    <n v="94.38"/>
    <n v="94.38"/>
    <n v="119.83"/>
    <n v="119.83"/>
    <n v="94.38"/>
    <n v="119.83"/>
    <n v="68.930000000000007"/>
    <n v="68.930000000000007"/>
    <n v="68.930000000000007"/>
    <n v="0"/>
    <n v="60"/>
    <x v="63"/>
    <x v="0"/>
    <x v="0"/>
    <x v="0"/>
  </r>
  <r>
    <s v="Description 1116"/>
    <s v="Code 1116"/>
    <n v="0"/>
    <n v="0"/>
    <n v="0"/>
    <n v="0"/>
    <n v="0"/>
    <n v="0"/>
    <n v="0"/>
    <n v="0"/>
    <n v="0"/>
    <n v="0"/>
    <n v="125"/>
    <x v="161"/>
    <x v="0"/>
    <x v="0"/>
    <x v="0"/>
  </r>
  <r>
    <s v="Description 1117"/>
    <s v="Code 1117"/>
    <n v="1.8335999999999999"/>
    <n v="1.46688"/>
    <n v="1.8335999999999999"/>
    <n v="1.6502399999999999"/>
    <n v="1.9252799999999999"/>
    <n v="1.8335999999999999"/>
    <n v="1.6502399999999999"/>
    <n v="1.6502399999999999"/>
    <n v="1.6502399999999999"/>
    <n v="0"/>
    <n v="0"/>
    <x v="41"/>
    <x v="0"/>
    <x v="0"/>
    <x v="0"/>
  </r>
  <r>
    <s v="Description 1118"/>
    <s v="Code 1118"/>
    <n v="0"/>
    <n v="0"/>
    <n v="0"/>
    <n v="13.55"/>
    <n v="0"/>
    <n v="0"/>
    <n v="0"/>
    <n v="0"/>
    <n v="0"/>
    <n v="0"/>
    <n v="5520"/>
    <x v="137"/>
    <x v="0"/>
    <x v="1"/>
    <x v="0"/>
  </r>
  <r>
    <s v="Description 1119"/>
    <s v="Code 1119"/>
    <n v="3062.7551999999996"/>
    <n v="3906.7625999999996"/>
    <n v="3862.0741000000007"/>
    <n v="3155.2692000000002"/>
    <n v="2599.2240000000002"/>
    <n v="2286.1559999999999"/>
    <n v="2423.12"/>
    <n v="2451.192"/>
    <n v="2242.3820000000001"/>
    <n v="0"/>
    <n v="4801"/>
    <x v="93"/>
    <x v="0"/>
    <x v="0"/>
    <x v="0"/>
  </r>
  <r>
    <s v="Description 1120"/>
    <s v="Code 1120"/>
    <n v="276.07499999999999"/>
    <n v="139.84"/>
    <n v="147.19999999999999"/>
    <n v="136.47999999999999"/>
    <n v="25.9"/>
    <n v="26.32"/>
    <n v="21.18"/>
    <n v="20.100000000000001"/>
    <n v="21.44"/>
    <n v="0"/>
    <n v="1962"/>
    <x v="108"/>
    <x v="0"/>
    <x v="1"/>
    <x v="0"/>
  </r>
  <r>
    <s v="Description 1121"/>
    <s v="Code 1121"/>
    <n v="1751.3004599999999"/>
    <n v="1048.8865799999999"/>
    <n v="1581.29738"/>
    <n v="1319.3841599999998"/>
    <n v="284.53899999999999"/>
    <n v="758.73109999999997"/>
    <n v="987.91529999999989"/>
    <n v="85.651600000000002"/>
    <n v="805.58159999999998"/>
    <n v="0"/>
    <n v="1692"/>
    <x v="105"/>
    <x v="0"/>
    <x v="1"/>
    <x v="0"/>
  </r>
  <r>
    <s v="Description 1122"/>
    <s v="Code 1122"/>
    <n v="0"/>
    <n v="495.30245000000002"/>
    <n v="0"/>
    <n v="0"/>
    <n v="0"/>
    <n v="0"/>
    <n v="0"/>
    <n v="0"/>
    <n v="0"/>
    <n v="0"/>
    <n v="430"/>
    <x v="55"/>
    <x v="0"/>
    <x v="0"/>
    <x v="0"/>
  </r>
  <r>
    <s v="Description 1123"/>
    <s v="Code 1123"/>
    <n v="172.23"/>
    <n v="280.77999999999997"/>
    <n v="43.68"/>
    <n v="50.48"/>
    <n v="6.8"/>
    <n v="6.8"/>
    <n v="3.4"/>
    <n v="6.8"/>
    <n v="5.0999999999999996"/>
    <n v="0"/>
    <n v="1460.4"/>
    <x v="21"/>
    <x v="0"/>
    <x v="0"/>
    <x v="0"/>
  </r>
  <r>
    <s v="Description 1124"/>
    <s v="Code 1124"/>
    <n v="1033.5731000000001"/>
    <n v="440.94569999999999"/>
    <n v="844.14159999999993"/>
    <n v="686.15300000000002"/>
    <n v="70.579000000000008"/>
    <n v="436.06369999999998"/>
    <n v="561.58510000000001"/>
    <n v="50.377200000000002"/>
    <n v="412.47719999999998"/>
    <n v="0"/>
    <n v="2196"/>
    <x v="29"/>
    <x v="0"/>
    <x v="0"/>
    <x v="0"/>
  </r>
  <r>
    <s v="Description 1125"/>
    <s v="Code 1125"/>
    <n v="177.6"/>
    <n v="167.91"/>
    <n v="195.8"/>
    <n v="106.6"/>
    <n v="118.4"/>
    <n v="17.84"/>
    <n v="8.84"/>
    <n v="101.76"/>
    <n v="33.64"/>
    <n v="0"/>
    <n v="1587"/>
    <x v="53"/>
    <x v="0"/>
    <x v="0"/>
    <x v="0"/>
  </r>
  <r>
    <s v="Description 1126"/>
    <s v="Code 1126"/>
    <n v="262.5154"/>
    <n v="869.51219999999967"/>
    <n v="131.33844999999999"/>
    <n v="421.7495199999999"/>
    <n v="308.16887999999994"/>
    <n v="138.02550000000002"/>
    <n v="319.26650000000001"/>
    <n v="1.1780000000000002"/>
    <n v="192.69800000000004"/>
    <n v="0"/>
    <n v="0"/>
    <x v="14"/>
    <x v="0"/>
    <x v="0"/>
    <x v="0"/>
  </r>
  <r>
    <s v="Description 1127"/>
    <s v="Code 1127"/>
    <n v="1689.0770600000003"/>
    <n v="555.39218000000005"/>
    <n v="796.57203000000027"/>
    <n v="1393.9281600000004"/>
    <n v="440.62405999999999"/>
    <n v="376.2"/>
    <n v="0"/>
    <n v="739.36"/>
    <n v="376.2"/>
    <n v="0"/>
    <n v="3483"/>
    <x v="163"/>
    <x v="0"/>
    <x v="0"/>
    <x v="0"/>
  </r>
  <r>
    <s v="Description 1128"/>
    <s v="Code 1128"/>
    <n v="1658.2657199999996"/>
    <n v="1204.7971599999998"/>
    <n v="1322.1328599999997"/>
    <n v="1146.3439499999997"/>
    <n v="171.07772000000003"/>
    <n v="558.24"/>
    <n v="777.36"/>
    <n v="1.44"/>
    <n v="639.36"/>
    <n v="0"/>
    <n v="6900"/>
    <x v="21"/>
    <x v="0"/>
    <x v="0"/>
    <x v="0"/>
  </r>
  <r>
    <s v="Description 1129"/>
    <s v="Code 1129"/>
    <n v="323.79000000000002"/>
    <n v="290.39099999999996"/>
    <n v="115.93"/>
    <n v="281.23"/>
    <n v="0"/>
    <n v="10.56"/>
    <n v="33.200000000000003"/>
    <n v="154.28"/>
    <n v="0"/>
    <n v="0"/>
    <n v="1965"/>
    <x v="65"/>
    <x v="0"/>
    <x v="0"/>
    <x v="0"/>
  </r>
  <r>
    <s v="Description 1130"/>
    <s v="Code 1130"/>
    <n v="1407.1411000000003"/>
    <n v="486.98330000000004"/>
    <n v="671.55055000000004"/>
    <n v="1110.8297100000002"/>
    <n v="26.661099999999998"/>
    <n v="2.56"/>
    <n v="1.28"/>
    <n v="570.96"/>
    <n v="1.92"/>
    <n v="0"/>
    <n v="0"/>
    <x v="85"/>
    <x v="0"/>
    <x v="1"/>
    <x v="0"/>
  </r>
  <r>
    <s v="Description 1131"/>
    <s v="Code 1131"/>
    <n v="0"/>
    <n v="0"/>
    <n v="0"/>
    <n v="0"/>
    <n v="0"/>
    <n v="40"/>
    <n v="0"/>
    <n v="0"/>
    <n v="0"/>
    <n v="0"/>
    <n v="3400"/>
    <x v="191"/>
    <x v="0"/>
    <x v="0"/>
    <x v="0"/>
  </r>
  <r>
    <s v="Description 1132"/>
    <s v="Code 1132"/>
    <n v="186.75"/>
    <n v="33.22"/>
    <n v="89.155000000000001"/>
    <n v="195.05500000000001"/>
    <n v="100.17700000000001"/>
    <n v="100.17700000000001"/>
    <n v="100.17700000000001"/>
    <n v="98.021000000000001"/>
    <n v="100.17700000000001"/>
    <n v="0"/>
    <n v="4580"/>
    <x v="100"/>
    <x v="0"/>
    <x v="0"/>
    <x v="0"/>
  </r>
  <r>
    <s v="Description 1133"/>
    <s v="Code 1133"/>
    <n v="2371.9090000000001"/>
    <n v="3111.97"/>
    <n v="3302.36"/>
    <n v="2437.29"/>
    <n v="2557.61"/>
    <n v="3027.85"/>
    <n v="1963.39"/>
    <n v="1781.34"/>
    <n v="1963.39"/>
    <n v="0"/>
    <n v="1626"/>
    <x v="34"/>
    <x v="0"/>
    <x v="0"/>
    <x v="0"/>
  </r>
  <r>
    <s v="Description 1134"/>
    <s v="Code 1134"/>
    <n v="0.48099999999999998"/>
    <n v="0"/>
    <n v="0.44399999999999995"/>
    <n v="0.48099999999999998"/>
    <n v="0"/>
    <n v="0"/>
    <n v="0"/>
    <n v="0"/>
    <n v="0"/>
    <n v="0"/>
    <n v="63"/>
    <x v="49"/>
    <x v="0"/>
    <x v="0"/>
    <x v="0"/>
  </r>
  <r>
    <s v="Description 1135"/>
    <s v="Code 1135"/>
    <n v="0.28000000000000003"/>
    <n v="0.36"/>
    <n v="0.48"/>
    <n v="0.4"/>
    <n v="0.4"/>
    <n v="0.36"/>
    <n v="0.28000000000000003"/>
    <n v="0.16"/>
    <n v="0.16"/>
    <n v="0"/>
    <n v="550"/>
    <x v="70"/>
    <x v="0"/>
    <x v="0"/>
    <x v="0"/>
  </r>
  <r>
    <s v="Description 1136"/>
    <s v="Code 1136"/>
    <n v="2.109"/>
    <n v="0.11700000000000001"/>
    <n v="0.73599999999999999"/>
    <n v="0.91800000000000015"/>
    <n v="1.07"/>
    <n v="0.11700000000000001"/>
    <n v="9.0999999999999998E-2"/>
    <n v="5.1999999999999998E-2"/>
    <n v="5.1999999999999998E-2"/>
    <n v="0"/>
    <n v="1998"/>
    <x v="193"/>
    <x v="0"/>
    <x v="0"/>
    <x v="0"/>
  </r>
  <r>
    <s v="Description 1137"/>
    <s v="Code 1137"/>
    <n v="45.72029999999998"/>
    <n v="43.487099999999991"/>
    <n v="62.085799999999985"/>
    <n v="77.204999999999998"/>
    <n v="61.691999999999993"/>
    <n v="57.223100000000002"/>
    <n v="37.821300000000001"/>
    <n v="34.311600000000006"/>
    <n v="30.2516"/>
    <n v="0"/>
    <n v="0"/>
    <x v="186"/>
    <x v="0"/>
    <x v="0"/>
    <x v="0"/>
  </r>
  <r>
    <s v="Description 1138"/>
    <s v="Code 1138"/>
    <n v="0"/>
    <n v="0"/>
    <n v="0"/>
    <n v="4.04"/>
    <n v="4.04"/>
    <n v="4.04"/>
    <n v="2.02"/>
    <n v="4.04"/>
    <n v="3.03"/>
    <n v="0"/>
    <n v="841"/>
    <x v="85"/>
    <x v="0"/>
    <x v="1"/>
    <x v="0"/>
  </r>
  <r>
    <s v="Description 1139"/>
    <s v="Code 1139"/>
    <n v="31.564399999999999"/>
    <n v="40.582799999999999"/>
    <n v="54.110399999999998"/>
    <n v="45.091999999999999"/>
    <n v="45.091999999999999"/>
    <n v="40.582799999999999"/>
    <n v="31.564399999999999"/>
    <n v="18.036799999999999"/>
    <n v="18.036799999999999"/>
    <n v="0"/>
    <n v="146"/>
    <x v="113"/>
    <x v="0"/>
    <x v="0"/>
    <x v="0"/>
  </r>
  <r>
    <s v="Description 1140"/>
    <s v="Code 1140"/>
    <n v="0"/>
    <n v="0"/>
    <n v="0"/>
    <n v="0"/>
    <n v="0"/>
    <n v="0"/>
    <n v="0"/>
    <n v="0"/>
    <n v="0"/>
    <n v="0"/>
    <n v="118"/>
    <x v="79"/>
    <x v="0"/>
    <x v="0"/>
    <x v="0"/>
  </r>
  <r>
    <s v="Description 1141"/>
    <s v="Code 1141"/>
    <n v="0"/>
    <n v="0"/>
    <n v="0"/>
    <n v="0"/>
    <n v="0"/>
    <n v="0"/>
    <n v="0"/>
    <n v="0"/>
    <n v="0"/>
    <n v="0"/>
    <n v="500"/>
    <x v="113"/>
    <x v="0"/>
    <x v="0"/>
    <x v="0"/>
  </r>
  <r>
    <s v="Description 1142"/>
    <s v="Code 1142"/>
    <n v="13.32"/>
    <n v="23.31"/>
    <n v="13.32"/>
    <n v="15.12"/>
    <n v="1.8"/>
    <n v="1.8"/>
    <n v="0.9"/>
    <n v="1.8"/>
    <n v="1.35"/>
    <n v="0"/>
    <n v="2000"/>
    <x v="4"/>
    <x v="0"/>
    <x v="0"/>
    <x v="0"/>
  </r>
  <r>
    <s v="Description 1143"/>
    <s v="Code 1143"/>
    <n v="408.07499999999999"/>
    <n v="381.226"/>
    <n v="390.8"/>
    <n v="387.53199999999998"/>
    <n v="384.83"/>
    <n v="381.226"/>
    <n v="278.77600000000001"/>
    <n v="279.06400000000002"/>
    <n v="262.52600000000001"/>
    <n v="0"/>
    <n v="122"/>
    <x v="172"/>
    <x v="0"/>
    <x v="0"/>
    <x v="0"/>
  </r>
  <r>
    <s v="Description 1144"/>
    <s v="Code 1144"/>
    <n v="12.84"/>
    <n v="4.9950000000000001"/>
    <n v="11.255000000000001"/>
    <n v="10.78"/>
    <n v="15.06"/>
    <n v="8.0850000000000009"/>
    <n v="9.1150000000000002"/>
    <n v="4.28"/>
    <n v="4.28"/>
    <n v="0"/>
    <n v="354"/>
    <x v="167"/>
    <x v="0"/>
    <x v="0"/>
    <x v="0"/>
  </r>
  <r>
    <s v="Description 1145"/>
    <s v="Code 1145"/>
    <n v="90.98"/>
    <n v="0"/>
    <n v="50.65"/>
    <n v="60.59"/>
    <n v="0"/>
    <n v="0"/>
    <n v="0"/>
    <n v="0"/>
    <n v="0"/>
    <n v="0"/>
    <n v="580"/>
    <x v="55"/>
    <x v="0"/>
    <x v="0"/>
    <x v="0"/>
  </r>
  <r>
    <s v="Description 1146"/>
    <s v="Code 1146"/>
    <n v="0"/>
    <n v="0"/>
    <n v="0"/>
    <n v="0"/>
    <n v="0"/>
    <n v="0"/>
    <n v="0"/>
    <n v="0"/>
    <n v="0"/>
    <n v="0"/>
    <n v="283.8"/>
    <x v="54"/>
    <x v="0"/>
    <x v="0"/>
    <x v="0"/>
  </r>
  <r>
    <s v="Description 1147"/>
    <s v="Code 1147"/>
    <n v="26.604000000000003"/>
    <n v="19.14"/>
    <n v="25.52"/>
    <n v="25.52"/>
    <n v="26.604000000000003"/>
    <n v="25.52"/>
    <n v="12.76"/>
    <n v="12.76"/>
    <n v="12.76"/>
    <n v="0"/>
    <n v="117"/>
    <x v="153"/>
    <x v="0"/>
    <x v="0"/>
    <x v="0"/>
  </r>
  <r>
    <s v="Description 1148"/>
    <s v="Code 1148"/>
    <n v="0.748"/>
    <n v="0"/>
    <n v="0"/>
    <n v="0"/>
    <n v="0.748"/>
    <n v="0"/>
    <n v="0"/>
    <n v="0"/>
    <n v="0"/>
    <n v="0"/>
    <n v="312"/>
    <x v="57"/>
    <x v="0"/>
    <x v="0"/>
    <x v="0"/>
  </r>
  <r>
    <s v="Description 1149"/>
    <s v="Code 1149"/>
    <n v="299.52"/>
    <n v="0"/>
    <n v="0"/>
    <n v="0"/>
    <n v="0"/>
    <n v="0"/>
    <n v="0"/>
    <n v="0"/>
    <n v="0"/>
    <n v="0"/>
    <n v="186"/>
    <x v="122"/>
    <x v="0"/>
    <x v="0"/>
    <x v="0"/>
  </r>
  <r>
    <s v="Description 1150"/>
    <s v="Code 1150"/>
    <n v="0"/>
    <n v="0"/>
    <n v="0"/>
    <n v="0"/>
    <n v="149.76"/>
    <n v="0"/>
    <n v="0"/>
    <n v="0"/>
    <n v="0"/>
    <n v="0"/>
    <n v="1413"/>
    <x v="161"/>
    <x v="0"/>
    <x v="0"/>
    <x v="0"/>
  </r>
  <r>
    <s v="Description 1151"/>
    <s v="Code 1151"/>
    <n v="136.44440000000003"/>
    <n v="409.33320000000003"/>
    <n v="68.222200000000001"/>
    <n v="75.480220000000003"/>
    <n v="136.4444"/>
    <n v="0"/>
    <n v="0"/>
    <n v="0"/>
    <n v="0"/>
    <n v="0"/>
    <n v="312"/>
    <x v="44"/>
    <x v="0"/>
    <x v="0"/>
    <x v="0"/>
  </r>
  <r>
    <s v="Description 1152"/>
    <s v="Code 1152"/>
    <n v="0"/>
    <n v="0"/>
    <n v="0"/>
    <n v="0"/>
    <n v="0"/>
    <n v="0"/>
    <n v="0"/>
    <n v="0"/>
    <n v="0"/>
    <n v="0"/>
    <n v="0"/>
    <x v="147"/>
    <x v="0"/>
    <x v="0"/>
    <x v="0"/>
  </r>
  <r>
    <s v="Description 1153"/>
    <s v="Code 1153"/>
    <n v="0"/>
    <n v="0"/>
    <n v="0"/>
    <n v="0"/>
    <n v="0"/>
    <n v="0"/>
    <n v="0"/>
    <n v="0"/>
    <n v="0"/>
    <n v="0"/>
    <n v="538"/>
    <x v="173"/>
    <x v="0"/>
    <x v="0"/>
    <x v="0"/>
  </r>
  <r>
    <s v="Description 1154"/>
    <s v="Code 1154"/>
    <n v="0"/>
    <n v="0"/>
    <n v="0"/>
    <n v="0"/>
    <n v="0"/>
    <n v="0"/>
    <n v="0"/>
    <n v="0"/>
    <n v="0"/>
    <n v="0"/>
    <n v="0"/>
    <x v="31"/>
    <x v="0"/>
    <x v="0"/>
    <x v="0"/>
  </r>
  <r>
    <s v="Description 1155"/>
    <s v="Code 1155"/>
    <n v="0"/>
    <n v="0"/>
    <n v="0"/>
    <n v="0"/>
    <n v="0"/>
    <n v="0"/>
    <n v="0"/>
    <n v="0"/>
    <n v="0"/>
    <n v="0"/>
    <n v="471"/>
    <x v="73"/>
    <x v="0"/>
    <x v="0"/>
    <x v="0"/>
  </r>
  <r>
    <s v="Description 1156"/>
    <s v="Code 1156"/>
    <n v="0"/>
    <n v="0"/>
    <n v="0"/>
    <n v="0"/>
    <n v="0"/>
    <n v="0"/>
    <n v="0"/>
    <n v="0"/>
    <n v="0"/>
    <n v="0"/>
    <n v="30"/>
    <x v="57"/>
    <x v="0"/>
    <x v="0"/>
    <x v="0"/>
  </r>
  <r>
    <s v="Description 1157"/>
    <s v="Code 1157"/>
    <n v="0"/>
    <n v="0"/>
    <n v="0"/>
    <n v="0"/>
    <n v="0"/>
    <n v="0"/>
    <n v="0"/>
    <n v="0"/>
    <n v="0"/>
    <n v="0"/>
    <n v="30"/>
    <x v="112"/>
    <x v="0"/>
    <x v="0"/>
    <x v="0"/>
  </r>
  <r>
    <s v="Description 1158"/>
    <s v="Code 1158"/>
    <n v="0"/>
    <n v="0"/>
    <n v="0"/>
    <n v="0"/>
    <n v="0"/>
    <n v="0"/>
    <n v="0"/>
    <n v="0"/>
    <n v="0"/>
    <n v="0"/>
    <n v="0"/>
    <x v="158"/>
    <x v="0"/>
    <x v="0"/>
    <x v="0"/>
  </r>
  <r>
    <s v="Description 1159"/>
    <s v="Code 1159"/>
    <n v="17.899999999999999"/>
    <n v="0"/>
    <n v="49.6"/>
    <n v="2.2999999999999998"/>
    <n v="65.099999999999994"/>
    <n v="35"/>
    <n v="0"/>
    <n v="0"/>
    <n v="2.2999999999999998"/>
    <n v="0"/>
    <n v="1760"/>
    <x v="95"/>
    <x v="0"/>
    <x v="0"/>
    <x v="0"/>
  </r>
  <r>
    <s v="Description 1160"/>
    <s v="Code 1160"/>
    <n v="1719.9390000000003"/>
    <n v="0"/>
    <n v="0"/>
    <n v="0"/>
    <n v="0"/>
    <n v="0"/>
    <n v="0"/>
    <n v="0"/>
    <n v="0"/>
    <n v="0"/>
    <n v="1140"/>
    <x v="19"/>
    <x v="0"/>
    <x v="0"/>
    <x v="0"/>
  </r>
  <r>
    <s v="Description 1161"/>
    <s v="Code 1161"/>
    <n v="0"/>
    <n v="0"/>
    <n v="0"/>
    <n v="0"/>
    <n v="0"/>
    <n v="0"/>
    <n v="0"/>
    <n v="0"/>
    <n v="0"/>
    <n v="0"/>
    <n v="1284"/>
    <x v="9"/>
    <x v="0"/>
    <x v="0"/>
    <x v="0"/>
  </r>
  <r>
    <s v="Description 1162"/>
    <s v="Code 1162"/>
    <n v="16.3"/>
    <n v="0"/>
    <n v="0"/>
    <n v="0"/>
    <n v="0"/>
    <n v="0"/>
    <n v="0"/>
    <n v="0"/>
    <n v="0"/>
    <n v="0"/>
    <n v="94"/>
    <x v="78"/>
    <x v="0"/>
    <x v="0"/>
    <x v="0"/>
  </r>
  <r>
    <s v="Description 1163"/>
    <s v="Code 1163"/>
    <n v="39.970999999999997"/>
    <n v="0"/>
    <n v="24.495999999999999"/>
    <n v="39.970999999999997"/>
    <n v="0"/>
    <n v="0"/>
    <n v="0"/>
    <n v="0"/>
    <n v="0"/>
    <n v="0"/>
    <n v="229"/>
    <x v="6"/>
    <x v="0"/>
    <x v="0"/>
    <x v="0"/>
  </r>
  <r>
    <s v="Description 1164"/>
    <s v="Code 1164"/>
    <n v="9.4"/>
    <n v="0"/>
    <n v="5.8"/>
    <n v="9.4"/>
    <n v="0"/>
    <n v="0"/>
    <n v="0"/>
    <n v="0"/>
    <n v="0"/>
    <n v="0"/>
    <n v="490"/>
    <x v="47"/>
    <x v="0"/>
    <x v="0"/>
    <x v="0"/>
  </r>
  <r>
    <s v="Description 1165"/>
    <s v="Code 1165"/>
    <n v="0"/>
    <n v="0"/>
    <n v="0"/>
    <n v="0"/>
    <n v="0"/>
    <n v="0"/>
    <n v="0"/>
    <n v="0"/>
    <n v="0"/>
    <n v="0"/>
    <n v="36"/>
    <x v="146"/>
    <x v="0"/>
    <x v="0"/>
    <x v="0"/>
  </r>
  <r>
    <s v="Description 1166"/>
    <s v="Code 1166"/>
    <n v="0"/>
    <n v="0"/>
    <n v="0"/>
    <n v="0"/>
    <n v="0"/>
    <n v="0"/>
    <n v="0"/>
    <n v="10"/>
    <n v="0"/>
    <n v="0"/>
    <n v="75"/>
    <x v="78"/>
    <x v="0"/>
    <x v="0"/>
    <x v="0"/>
  </r>
  <r>
    <s v="Description 1167"/>
    <s v="Code 1167"/>
    <n v="0"/>
    <n v="0.8"/>
    <n v="0.8"/>
    <n v="0.8"/>
    <n v="0.8"/>
    <n v="0.8"/>
    <n v="1.2"/>
    <n v="0.8"/>
    <n v="0.8"/>
    <n v="0"/>
    <n v="8.8800000000000008"/>
    <x v="93"/>
    <x v="0"/>
    <x v="0"/>
    <x v="0"/>
  </r>
  <r>
    <s v="Description 1168"/>
    <s v="Code 1168"/>
    <n v="2.4"/>
    <n v="1.26"/>
    <n v="2.4"/>
    <n v="1.62"/>
    <n v="3.6"/>
    <n v="1.26"/>
    <n v="0.36"/>
    <n v="0.9"/>
    <n v="0.06"/>
    <n v="0"/>
    <n v="2"/>
    <x v="100"/>
    <x v="0"/>
    <x v="0"/>
    <x v="0"/>
  </r>
  <r>
    <s v="Description 1169"/>
    <s v="Code 1169"/>
    <n v="2E-3"/>
    <n v="3.0000000000000001E-3"/>
    <n v="3.0000000000000001E-3"/>
    <n v="2E-3"/>
    <n v="1E-3"/>
    <n v="0"/>
    <n v="1E-3"/>
    <n v="2E-3"/>
    <n v="1E-3"/>
    <n v="0"/>
    <n v="5.92"/>
    <x v="69"/>
    <x v="0"/>
    <x v="0"/>
    <x v="0"/>
  </r>
  <r>
    <s v="Description 1170"/>
    <s v="Code 1170"/>
    <n v="1.67"/>
    <n v="1.56"/>
    <n v="1.73"/>
    <n v="1.36"/>
    <n v="1.67"/>
    <n v="1.47"/>
    <n v="1.36"/>
    <n v="1.34"/>
    <n v="1.1000000000000001"/>
    <n v="0"/>
    <n v="325"/>
    <x v="141"/>
    <x v="0"/>
    <x v="0"/>
    <x v="0"/>
  </r>
  <r>
    <s v="Description 1171"/>
    <s v="Code 1171"/>
    <n v="64"/>
    <n v="64"/>
    <n v="96"/>
    <n v="69"/>
    <n v="64"/>
    <n v="64"/>
    <n v="169"/>
    <n v="32"/>
    <n v="64"/>
    <n v="0"/>
    <n v="450"/>
    <x v="82"/>
    <x v="0"/>
    <x v="0"/>
    <x v="0"/>
  </r>
  <r>
    <s v="Description 1172"/>
    <s v="Code 1172"/>
    <n v="46"/>
    <n v="0"/>
    <n v="32"/>
    <n v="34"/>
    <n v="0"/>
    <n v="0"/>
    <n v="0"/>
    <n v="0"/>
    <n v="0"/>
    <n v="0"/>
    <n v="25"/>
    <x v="94"/>
    <x v="0"/>
    <x v="0"/>
    <x v="0"/>
  </r>
  <r>
    <s v="Description 1173"/>
    <s v="Code 1173"/>
    <n v="8"/>
    <n v="6"/>
    <n v="4"/>
    <n v="0"/>
    <n v="0"/>
    <n v="0"/>
    <n v="6"/>
    <n v="0"/>
    <n v="4"/>
    <n v="0"/>
    <n v="13"/>
    <x v="104"/>
    <x v="0"/>
    <x v="0"/>
    <x v="0"/>
  </r>
  <r>
    <s v="Description 1174"/>
    <s v="Code 1174"/>
    <n v="5"/>
    <n v="0"/>
    <n v="3"/>
    <n v="5"/>
    <n v="0"/>
    <n v="0"/>
    <n v="0"/>
    <n v="0"/>
    <n v="0"/>
    <n v="0"/>
    <n v="8"/>
    <x v="108"/>
    <x v="0"/>
    <x v="1"/>
    <x v="0"/>
  </r>
  <r>
    <s v="Description 1175"/>
    <s v="Code 1175"/>
    <n v="2"/>
    <n v="0"/>
    <n v="0"/>
    <n v="2"/>
    <n v="0"/>
    <n v="0"/>
    <n v="0"/>
    <n v="0"/>
    <n v="0"/>
    <n v="0"/>
    <n v="155"/>
    <x v="82"/>
    <x v="0"/>
    <x v="0"/>
    <x v="0"/>
  </r>
  <r>
    <s v="Description 1176"/>
    <s v="Code 1176"/>
    <n v="62"/>
    <n v="0"/>
    <n v="42"/>
    <n v="45"/>
    <n v="0"/>
    <n v="0"/>
    <n v="0"/>
    <n v="0"/>
    <n v="0"/>
    <n v="0"/>
    <n v="4"/>
    <x v="14"/>
    <x v="0"/>
    <x v="0"/>
    <x v="0"/>
  </r>
  <r>
    <s v="Description 1177"/>
    <s v="Code 1177"/>
    <n v="6"/>
    <n v="0"/>
    <n v="4"/>
    <n v="4"/>
    <n v="0"/>
    <n v="0"/>
    <n v="0"/>
    <n v="0"/>
    <n v="0"/>
    <n v="0"/>
    <n v="1"/>
    <x v="129"/>
    <x v="0"/>
    <x v="1"/>
    <x v="0"/>
  </r>
  <r>
    <s v="Description 1178"/>
    <s v="Code 1178"/>
    <n v="1"/>
    <n v="0"/>
    <n v="0"/>
    <n v="1"/>
    <n v="0"/>
    <n v="0"/>
    <n v="0"/>
    <n v="0"/>
    <n v="0"/>
    <n v="0"/>
    <n v="72"/>
    <x v="122"/>
    <x v="0"/>
    <x v="0"/>
    <x v="0"/>
  </r>
  <r>
    <s v="Description 1179"/>
    <s v="Code 1179"/>
    <n v="28"/>
    <n v="0"/>
    <n v="20"/>
    <n v="20"/>
    <n v="0"/>
    <n v="0"/>
    <n v="0"/>
    <n v="0"/>
    <n v="0"/>
    <n v="0"/>
    <n v="1"/>
    <x v="11"/>
    <x v="0"/>
    <x v="0"/>
    <x v="0"/>
  </r>
  <r>
    <s v="Description 1180"/>
    <s v="Code 1180"/>
    <n v="1"/>
    <n v="0"/>
    <n v="0"/>
    <n v="1"/>
    <n v="0"/>
    <n v="0"/>
    <n v="0"/>
    <n v="0"/>
    <n v="0"/>
    <n v="0"/>
    <n v="0"/>
    <x v="167"/>
    <x v="0"/>
    <x v="0"/>
    <x v="0"/>
  </r>
  <r>
    <s v="Description 1181"/>
    <s v="Code 1181"/>
    <n v="0"/>
    <n v="0"/>
    <n v="1"/>
    <n v="0"/>
    <n v="0"/>
    <n v="0"/>
    <n v="0"/>
    <n v="0"/>
    <n v="0"/>
    <n v="0"/>
    <n v="1"/>
    <x v="109"/>
    <x v="0"/>
    <x v="0"/>
    <x v="0"/>
  </r>
  <r>
    <s v="Description 1182"/>
    <s v="Code 1182"/>
    <n v="1"/>
    <n v="0"/>
    <n v="0"/>
    <n v="1"/>
    <n v="0"/>
    <n v="0"/>
    <n v="0"/>
    <n v="0"/>
    <n v="0"/>
    <n v="0"/>
    <n v="5"/>
    <x v="51"/>
    <x v="0"/>
    <x v="0"/>
    <x v="0"/>
  </r>
  <r>
    <s v="Description 1183"/>
    <s v="Code 1183"/>
    <n v="1"/>
    <n v="0"/>
    <n v="0"/>
    <n v="1"/>
    <n v="0"/>
    <n v="0"/>
    <n v="0"/>
    <n v="0"/>
    <n v="0"/>
    <n v="0"/>
    <n v="20"/>
    <x v="17"/>
    <x v="0"/>
    <x v="0"/>
    <x v="0"/>
  </r>
  <r>
    <s v="Description 1184"/>
    <s v="Code 1184"/>
    <n v="4"/>
    <n v="0"/>
    <n v="4"/>
    <n v="4"/>
    <n v="0"/>
    <n v="0"/>
    <n v="0"/>
    <n v="0"/>
    <n v="0"/>
    <n v="0"/>
    <n v="18"/>
    <x v="38"/>
    <x v="0"/>
    <x v="0"/>
    <x v="0"/>
  </r>
  <r>
    <s v="Description 1185"/>
    <s v="Code 1185"/>
    <n v="4"/>
    <n v="0"/>
    <n v="4"/>
    <n v="4"/>
    <n v="0"/>
    <n v="0"/>
    <n v="0"/>
    <n v="0"/>
    <n v="0"/>
    <n v="0"/>
    <n v="0"/>
    <x v="87"/>
    <x v="0"/>
    <x v="0"/>
    <x v="0"/>
  </r>
  <r>
    <s v="Description 1186"/>
    <s v="Code 1186"/>
    <n v="6"/>
    <n v="0"/>
    <n v="4"/>
    <n v="4"/>
    <n v="0"/>
    <n v="0"/>
    <n v="0"/>
    <n v="0"/>
    <n v="0"/>
    <n v="0"/>
    <n v="7"/>
    <x v="124"/>
    <x v="0"/>
    <x v="0"/>
    <x v="0"/>
  </r>
  <r>
    <s v="Description 1187"/>
    <s v="Code 1187"/>
    <n v="2"/>
    <n v="0"/>
    <n v="2"/>
    <n v="2"/>
    <n v="0"/>
    <n v="0"/>
    <n v="0"/>
    <n v="0"/>
    <n v="0"/>
    <n v="0"/>
    <n v="2"/>
    <x v="156"/>
    <x v="0"/>
    <x v="0"/>
    <x v="0"/>
  </r>
  <r>
    <s v="Description 1188"/>
    <s v="Code 1188"/>
    <n v="1"/>
    <n v="0"/>
    <n v="0"/>
    <n v="1"/>
    <n v="0"/>
    <n v="0"/>
    <n v="0"/>
    <n v="0"/>
    <n v="0"/>
    <n v="0"/>
    <n v="16"/>
    <x v="180"/>
    <x v="0"/>
    <x v="0"/>
    <x v="0"/>
  </r>
  <r>
    <s v="Description 1189"/>
    <s v="Code 1189"/>
    <n v="4"/>
    <n v="0"/>
    <n v="4"/>
    <n v="4"/>
    <n v="0"/>
    <n v="0"/>
    <n v="0"/>
    <n v="0"/>
    <n v="0"/>
    <n v="0"/>
    <n v="16"/>
    <x v="186"/>
    <x v="0"/>
    <x v="0"/>
    <x v="0"/>
  </r>
  <r>
    <s v="Description 1190"/>
    <s v="Code 1190"/>
    <n v="4"/>
    <n v="0"/>
    <n v="4"/>
    <n v="4"/>
    <n v="0"/>
    <n v="0"/>
    <n v="0"/>
    <n v="0"/>
    <n v="0"/>
    <n v="0"/>
    <n v="24"/>
    <x v="175"/>
    <x v="0"/>
    <x v="0"/>
    <x v="0"/>
  </r>
  <r>
    <s v="Description 1191"/>
    <s v="Code 1191"/>
    <n v="4"/>
    <n v="4"/>
    <n v="5"/>
    <n v="5"/>
    <n v="4"/>
    <n v="5"/>
    <n v="3"/>
    <n v="3"/>
    <n v="3"/>
    <n v="0"/>
    <n v="20"/>
    <x v="105"/>
    <x v="0"/>
    <x v="1"/>
    <x v="0"/>
  </r>
  <r>
    <s v="Description 1192"/>
    <s v="Code 1192"/>
    <n v="4"/>
    <n v="4"/>
    <n v="5"/>
    <n v="5"/>
    <n v="4"/>
    <n v="5"/>
    <n v="3"/>
    <n v="3"/>
    <n v="3"/>
    <n v="0"/>
    <n v="21"/>
    <x v="156"/>
    <x v="0"/>
    <x v="0"/>
    <x v="0"/>
  </r>
  <r>
    <s v="Description 1193"/>
    <s v="Code 1193"/>
    <n v="4"/>
    <n v="4"/>
    <n v="5"/>
    <n v="5"/>
    <n v="4"/>
    <n v="5"/>
    <n v="3"/>
    <n v="3"/>
    <n v="3"/>
    <n v="0"/>
    <n v="23"/>
    <x v="148"/>
    <x v="0"/>
    <x v="0"/>
    <x v="0"/>
  </r>
  <r>
    <s v="Description 1194"/>
    <s v="Code 1194"/>
    <n v="4"/>
    <n v="4"/>
    <n v="5"/>
    <n v="5"/>
    <n v="4"/>
    <n v="5"/>
    <n v="3"/>
    <n v="3"/>
    <n v="3"/>
    <n v="0"/>
    <n v="23"/>
    <x v="37"/>
    <x v="0"/>
    <x v="0"/>
    <x v="0"/>
  </r>
  <r>
    <s v="Description 1195"/>
    <s v="Code 1195"/>
    <n v="4"/>
    <n v="4"/>
    <n v="5"/>
    <n v="5"/>
    <n v="4"/>
    <n v="5"/>
    <n v="3"/>
    <n v="3"/>
    <n v="3"/>
    <n v="0"/>
    <n v="22"/>
    <x v="27"/>
    <x v="0"/>
    <x v="0"/>
    <x v="0"/>
  </r>
  <r>
    <s v="Description 1196"/>
    <s v="Code 1196"/>
    <n v="4"/>
    <n v="4"/>
    <n v="5"/>
    <n v="5"/>
    <n v="4"/>
    <n v="5"/>
    <n v="3"/>
    <n v="3"/>
    <n v="3"/>
    <n v="0"/>
    <n v="23"/>
    <x v="149"/>
    <x v="0"/>
    <x v="0"/>
    <x v="0"/>
  </r>
  <r>
    <s v="Description 1197"/>
    <s v="Code 1197"/>
    <n v="4"/>
    <n v="4"/>
    <n v="5"/>
    <n v="5"/>
    <n v="4"/>
    <n v="5"/>
    <n v="3"/>
    <n v="3"/>
    <n v="3"/>
    <n v="0"/>
    <n v="23"/>
    <x v="76"/>
    <x v="0"/>
    <x v="1"/>
    <x v="0"/>
  </r>
  <r>
    <s v="Description 1198"/>
    <s v="Code 1198"/>
    <n v="4"/>
    <n v="4"/>
    <n v="5"/>
    <n v="5"/>
    <n v="4"/>
    <n v="5"/>
    <n v="3"/>
    <n v="3"/>
    <n v="3"/>
    <n v="0"/>
    <n v="23"/>
    <x v="12"/>
    <x v="0"/>
    <x v="0"/>
    <x v="0"/>
  </r>
  <r>
    <s v="Description 1199"/>
    <s v="Code 1199"/>
    <n v="4"/>
    <n v="4"/>
    <n v="5"/>
    <n v="5"/>
    <n v="4"/>
    <n v="5"/>
    <n v="3"/>
    <n v="3"/>
    <n v="3"/>
    <n v="0"/>
    <n v="84"/>
    <x v="71"/>
    <x v="0"/>
    <x v="0"/>
    <x v="0"/>
  </r>
  <r>
    <s v="Description 1200"/>
    <s v="Code 1200"/>
    <n v="4"/>
    <n v="4"/>
    <n v="5"/>
    <n v="5"/>
    <n v="4"/>
    <n v="5"/>
    <n v="3"/>
    <n v="3"/>
    <n v="3"/>
    <n v="0"/>
    <n v="23"/>
    <x v="127"/>
    <x v="0"/>
    <x v="0"/>
    <x v="0"/>
  </r>
  <r>
    <s v="Description 1201"/>
    <s v="Code 1201"/>
    <n v="4"/>
    <n v="4"/>
    <n v="5"/>
    <n v="5"/>
    <n v="4"/>
    <n v="5"/>
    <n v="3"/>
    <n v="3"/>
    <n v="3"/>
    <n v="0"/>
    <n v="23"/>
    <x v="196"/>
    <x v="0"/>
    <x v="0"/>
    <x v="0"/>
  </r>
  <r>
    <s v="Description 1202"/>
    <s v="Code 1202"/>
    <n v="4"/>
    <n v="4"/>
    <n v="5"/>
    <n v="5"/>
    <n v="4"/>
    <n v="5"/>
    <n v="3"/>
    <n v="3"/>
    <n v="3"/>
    <n v="0"/>
    <n v="35"/>
    <x v="99"/>
    <x v="0"/>
    <x v="0"/>
    <x v="0"/>
  </r>
  <r>
    <s v="Description 1203"/>
    <s v="Code 1203"/>
    <n v="8"/>
    <n v="8"/>
    <n v="10"/>
    <n v="10"/>
    <n v="8"/>
    <n v="10"/>
    <n v="6"/>
    <n v="6"/>
    <n v="6"/>
    <n v="0"/>
    <n v="18"/>
    <x v="171"/>
    <x v="0"/>
    <x v="0"/>
    <x v="0"/>
  </r>
  <r>
    <s v="Description 1204"/>
    <s v="Code 1204"/>
    <n v="4"/>
    <n v="4"/>
    <n v="5"/>
    <n v="5"/>
    <n v="4"/>
    <n v="5"/>
    <n v="3"/>
    <n v="3"/>
    <n v="3"/>
    <n v="0"/>
    <n v="24"/>
    <x v="190"/>
    <x v="0"/>
    <x v="0"/>
    <x v="0"/>
  </r>
  <r>
    <s v="Description 1205"/>
    <s v="Code 1205"/>
    <n v="4"/>
    <n v="4"/>
    <n v="5"/>
    <n v="5"/>
    <n v="4"/>
    <n v="5"/>
    <n v="3"/>
    <n v="3"/>
    <n v="3"/>
    <n v="0"/>
    <n v="18"/>
    <x v="164"/>
    <x v="0"/>
    <x v="0"/>
    <x v="0"/>
  </r>
  <r>
    <s v="Description 1206"/>
    <s v="Code 1206"/>
    <n v="4"/>
    <n v="4"/>
    <n v="5"/>
    <n v="5"/>
    <n v="4"/>
    <n v="5"/>
    <n v="3"/>
    <n v="3"/>
    <n v="3"/>
    <n v="0"/>
    <n v="17"/>
    <x v="147"/>
    <x v="0"/>
    <x v="0"/>
    <x v="0"/>
  </r>
  <r>
    <s v="Description 1207"/>
    <s v="Code 1207"/>
    <n v="4"/>
    <n v="4"/>
    <n v="5"/>
    <n v="5"/>
    <n v="4"/>
    <n v="5"/>
    <n v="3"/>
    <n v="3"/>
    <n v="3"/>
    <n v="0"/>
    <n v="18"/>
    <x v="192"/>
    <x v="0"/>
    <x v="0"/>
    <x v="0"/>
  </r>
  <r>
    <s v="Description 1208"/>
    <s v="Code 1208"/>
    <n v="4"/>
    <n v="4"/>
    <n v="5"/>
    <n v="5"/>
    <n v="4"/>
    <n v="5"/>
    <n v="3"/>
    <n v="3"/>
    <n v="3"/>
    <n v="0"/>
    <n v="18"/>
    <x v="37"/>
    <x v="0"/>
    <x v="0"/>
    <x v="0"/>
  </r>
  <r>
    <s v="Description 1209"/>
    <s v="Code 1209"/>
    <n v="4"/>
    <n v="4"/>
    <n v="5"/>
    <n v="5"/>
    <n v="4"/>
    <n v="5"/>
    <n v="3"/>
    <n v="3"/>
    <n v="3"/>
    <n v="0"/>
    <n v="19"/>
    <x v="165"/>
    <x v="0"/>
    <x v="0"/>
    <x v="0"/>
  </r>
  <r>
    <s v="Description 1210"/>
    <s v="Code 1210"/>
    <n v="4"/>
    <n v="4"/>
    <n v="5"/>
    <n v="5"/>
    <n v="4"/>
    <n v="5"/>
    <n v="3"/>
    <n v="3"/>
    <n v="3"/>
    <n v="0"/>
    <n v="18"/>
    <x v="128"/>
    <x v="0"/>
    <x v="0"/>
    <x v="0"/>
  </r>
  <r>
    <s v="Description 1211"/>
    <s v="Code 1211"/>
    <n v="4"/>
    <n v="4"/>
    <n v="5"/>
    <n v="5"/>
    <n v="4"/>
    <n v="5"/>
    <n v="3"/>
    <n v="3"/>
    <n v="3"/>
    <n v="0"/>
    <n v="6"/>
    <x v="16"/>
    <x v="0"/>
    <x v="0"/>
    <x v="0"/>
  </r>
  <r>
    <s v="Description 1212"/>
    <s v="Code 1212"/>
    <n v="24"/>
    <n v="24"/>
    <n v="30"/>
    <n v="30"/>
    <n v="24"/>
    <n v="30"/>
    <n v="18"/>
    <n v="18"/>
    <n v="18"/>
    <n v="0"/>
    <n v="11"/>
    <x v="124"/>
    <x v="0"/>
    <x v="0"/>
    <x v="0"/>
  </r>
  <r>
    <s v="Description 1213"/>
    <s v="Code 1213"/>
    <n v="4"/>
    <n v="4"/>
    <n v="5"/>
    <n v="5"/>
    <n v="4"/>
    <n v="5"/>
    <n v="3"/>
    <n v="3"/>
    <n v="3"/>
    <n v="0"/>
    <n v="7"/>
    <x v="99"/>
    <x v="0"/>
    <x v="0"/>
    <x v="0"/>
  </r>
  <r>
    <s v="Description 1214"/>
    <s v="Code 1214"/>
    <n v="12"/>
    <n v="12"/>
    <n v="16"/>
    <n v="16"/>
    <n v="12"/>
    <n v="16"/>
    <n v="8"/>
    <n v="8"/>
    <n v="8"/>
    <n v="0"/>
    <n v="34"/>
    <x v="31"/>
    <x v="0"/>
    <x v="0"/>
    <x v="0"/>
  </r>
  <r>
    <s v="Description 1215"/>
    <s v="Code 1215"/>
    <n v="26"/>
    <n v="26"/>
    <n v="32"/>
    <n v="32"/>
    <n v="26"/>
    <n v="32"/>
    <n v="20"/>
    <n v="20"/>
    <n v="20"/>
    <n v="0"/>
    <n v="6"/>
    <x v="166"/>
    <x v="0"/>
    <x v="0"/>
    <x v="0"/>
  </r>
  <r>
    <s v="Description 1216"/>
    <s v="Code 1216"/>
    <n v="6"/>
    <n v="6"/>
    <n v="8"/>
    <n v="8"/>
    <n v="6"/>
    <n v="8"/>
    <n v="4"/>
    <n v="4"/>
    <n v="4"/>
    <n v="0"/>
    <n v="5"/>
    <x v="140"/>
    <x v="0"/>
    <x v="0"/>
    <x v="0"/>
  </r>
  <r>
    <s v="Description 1217"/>
    <s v="Code 1217"/>
    <n v="6"/>
    <n v="6"/>
    <n v="8"/>
    <n v="8"/>
    <n v="6"/>
    <n v="8"/>
    <n v="4"/>
    <n v="4"/>
    <n v="4"/>
    <n v="0"/>
    <n v="31"/>
    <x v="2"/>
    <x v="0"/>
    <x v="0"/>
    <x v="0"/>
  </r>
  <r>
    <s v="Description 1218"/>
    <s v="Code 1218"/>
    <n v="10"/>
    <n v="10"/>
    <n v="12"/>
    <n v="12"/>
    <n v="10"/>
    <n v="12"/>
    <n v="8"/>
    <n v="8"/>
    <n v="8"/>
    <n v="0"/>
    <n v="6"/>
    <x v="56"/>
    <x v="0"/>
    <x v="0"/>
    <x v="0"/>
  </r>
  <r>
    <s v="Description 1219"/>
    <s v="Code 1219"/>
    <n v="6"/>
    <n v="6"/>
    <n v="8"/>
    <n v="8"/>
    <n v="6"/>
    <n v="8"/>
    <n v="4"/>
    <n v="4"/>
    <n v="4"/>
    <n v="0"/>
    <n v="4"/>
    <x v="72"/>
    <x v="0"/>
    <x v="0"/>
    <x v="0"/>
  </r>
  <r>
    <s v="Description 1220"/>
    <s v="Code 1220"/>
    <n v="3"/>
    <n v="3"/>
    <n v="4"/>
    <n v="4"/>
    <n v="3"/>
    <n v="4"/>
    <n v="2"/>
    <n v="2"/>
    <n v="2"/>
    <n v="0"/>
    <n v="36"/>
    <x v="1"/>
    <x v="0"/>
    <x v="0"/>
    <x v="0"/>
  </r>
  <r>
    <s v="Description 1221"/>
    <s v="Code 1221"/>
    <n v="4"/>
    <n v="4"/>
    <n v="4"/>
    <n v="4"/>
    <n v="4"/>
    <n v="4"/>
    <n v="4"/>
    <n v="4"/>
    <n v="4"/>
    <n v="0"/>
    <n v="6"/>
    <x v="65"/>
    <x v="0"/>
    <x v="0"/>
    <x v="0"/>
  </r>
  <r>
    <s v="Description 1222"/>
    <s v="Code 1222"/>
    <n v="6"/>
    <n v="0"/>
    <n v="0"/>
    <n v="0"/>
    <n v="6"/>
    <n v="0"/>
    <n v="0"/>
    <n v="0"/>
    <n v="0"/>
    <n v="0"/>
    <n v="17"/>
    <x v="41"/>
    <x v="0"/>
    <x v="0"/>
    <x v="0"/>
  </r>
  <r>
    <s v="Description 1223"/>
    <s v="Code 1223"/>
    <n v="4"/>
    <n v="0"/>
    <n v="0"/>
    <n v="0"/>
    <n v="4"/>
    <n v="0"/>
    <n v="0"/>
    <n v="0"/>
    <n v="0"/>
    <n v="0"/>
    <n v="4"/>
    <x v="132"/>
    <x v="0"/>
    <x v="0"/>
    <x v="0"/>
  </r>
  <r>
    <s v="Description 1224"/>
    <s v="Code 1224"/>
    <n v="4"/>
    <n v="0"/>
    <n v="0"/>
    <n v="0"/>
    <n v="4"/>
    <n v="0"/>
    <n v="0"/>
    <n v="0"/>
    <n v="0"/>
    <n v="0"/>
    <n v="11"/>
    <x v="196"/>
    <x v="0"/>
    <x v="0"/>
    <x v="0"/>
  </r>
  <r>
    <s v="Description 1225"/>
    <s v="Code 1225"/>
    <n v="8"/>
    <n v="0"/>
    <n v="0"/>
    <n v="0"/>
    <n v="8"/>
    <n v="0"/>
    <n v="0"/>
    <n v="0"/>
    <n v="0"/>
    <n v="0"/>
    <n v="0"/>
    <x v="111"/>
    <x v="0"/>
    <x v="0"/>
    <x v="0"/>
  </r>
  <r>
    <s v="Description 1226"/>
    <s v="Code 1226"/>
    <n v="2"/>
    <n v="0"/>
    <n v="0"/>
    <n v="0"/>
    <n v="2"/>
    <n v="0"/>
    <n v="0"/>
    <n v="0"/>
    <n v="0"/>
    <n v="0"/>
    <n v="2"/>
    <x v="185"/>
    <x v="0"/>
    <x v="0"/>
    <x v="0"/>
  </r>
  <r>
    <s v="Description 1227"/>
    <s v="Code 1227"/>
    <n v="2"/>
    <n v="0"/>
    <n v="0"/>
    <n v="0"/>
    <n v="2"/>
    <n v="0"/>
    <n v="0"/>
    <n v="0"/>
    <n v="0"/>
    <n v="0"/>
    <n v="3"/>
    <x v="24"/>
    <x v="0"/>
    <x v="0"/>
    <x v="0"/>
  </r>
  <r>
    <s v="Description 1228"/>
    <s v="Code 1228"/>
    <n v="2"/>
    <n v="0"/>
    <n v="0"/>
    <n v="0"/>
    <n v="2"/>
    <n v="0"/>
    <n v="0"/>
    <n v="0"/>
    <n v="0"/>
    <n v="0"/>
    <n v="0"/>
    <x v="108"/>
    <x v="0"/>
    <x v="1"/>
    <x v="0"/>
  </r>
  <r>
    <s v="Description 1229"/>
    <s v="Code 1229"/>
    <n v="2"/>
    <n v="0"/>
    <n v="0"/>
    <n v="0"/>
    <n v="2"/>
    <n v="0"/>
    <n v="0"/>
    <n v="0"/>
    <n v="0"/>
    <n v="0"/>
    <n v="2"/>
    <x v="85"/>
    <x v="0"/>
    <x v="1"/>
    <x v="0"/>
  </r>
  <r>
    <s v="Description 1230"/>
    <s v="Code 1230"/>
    <n v="2"/>
    <n v="0"/>
    <n v="0"/>
    <n v="0"/>
    <n v="2"/>
    <n v="0"/>
    <n v="0"/>
    <n v="0"/>
    <n v="0"/>
    <n v="0"/>
    <n v="17"/>
    <x v="148"/>
    <x v="0"/>
    <x v="0"/>
    <x v="0"/>
  </r>
  <r>
    <s v="Description 1231"/>
    <s v="Code 1231"/>
    <n v="8"/>
    <n v="0"/>
    <n v="0"/>
    <n v="0"/>
    <n v="8"/>
    <n v="0"/>
    <n v="0"/>
    <n v="0"/>
    <n v="0"/>
    <n v="0"/>
    <n v="4"/>
    <x v="113"/>
    <x v="0"/>
    <x v="0"/>
    <x v="0"/>
  </r>
  <r>
    <s v="Description 1232"/>
    <s v="Code 1232"/>
    <n v="4"/>
    <n v="0"/>
    <n v="0"/>
    <n v="0"/>
    <n v="4"/>
    <n v="0"/>
    <n v="0"/>
    <n v="0"/>
    <n v="0"/>
    <n v="0"/>
    <n v="8"/>
    <x v="150"/>
    <x v="0"/>
    <x v="0"/>
    <x v="0"/>
  </r>
  <r>
    <s v="Description 1233"/>
    <s v="Code 1233"/>
    <n v="8"/>
    <n v="0"/>
    <n v="0"/>
    <n v="0"/>
    <n v="8"/>
    <n v="0"/>
    <n v="0"/>
    <n v="0"/>
    <n v="0"/>
    <n v="0"/>
    <n v="7"/>
    <x v="45"/>
    <x v="0"/>
    <x v="0"/>
    <x v="0"/>
  </r>
  <r>
    <s v="Description 1234"/>
    <s v="Code 1234"/>
    <n v="2"/>
    <n v="0"/>
    <n v="0"/>
    <n v="0"/>
    <n v="2"/>
    <n v="0"/>
    <n v="0"/>
    <n v="0"/>
    <n v="0"/>
    <n v="0"/>
    <n v="39"/>
    <x v="59"/>
    <x v="0"/>
    <x v="0"/>
    <x v="0"/>
  </r>
  <r>
    <s v="Description 1235"/>
    <s v="Code 1235"/>
    <n v="6"/>
    <n v="0"/>
    <n v="0"/>
    <n v="0"/>
    <n v="6"/>
    <n v="0"/>
    <n v="0"/>
    <n v="0"/>
    <n v="0"/>
    <n v="0"/>
    <n v="45"/>
    <x v="152"/>
    <x v="0"/>
    <x v="0"/>
    <x v="0"/>
  </r>
  <r>
    <s v="Description 1236"/>
    <s v="Code 1236"/>
    <n v="8"/>
    <n v="0"/>
    <n v="0"/>
    <n v="0"/>
    <n v="8"/>
    <n v="0"/>
    <n v="0"/>
    <n v="0"/>
    <n v="0"/>
    <n v="0"/>
    <n v="25"/>
    <x v="82"/>
    <x v="0"/>
    <x v="0"/>
    <x v="0"/>
  </r>
  <r>
    <s v="Description 1237"/>
    <s v="Code 1237"/>
    <n v="7"/>
    <n v="7"/>
    <n v="9"/>
    <n v="9"/>
    <n v="7"/>
    <n v="9"/>
    <n v="5"/>
    <n v="5"/>
    <n v="5"/>
    <n v="0"/>
    <n v="0"/>
    <x v="81"/>
    <x v="0"/>
    <x v="0"/>
    <x v="0"/>
  </r>
  <r>
    <s v="Description 1238"/>
    <s v="Code 1238"/>
    <n v="3"/>
    <n v="3"/>
    <n v="4"/>
    <n v="4"/>
    <n v="3"/>
    <n v="4"/>
    <n v="2"/>
    <n v="2"/>
    <n v="2"/>
    <n v="0"/>
    <n v="0"/>
    <x v="62"/>
    <x v="0"/>
    <x v="0"/>
    <x v="0"/>
  </r>
  <r>
    <s v="Description 1239"/>
    <s v="Code 1239"/>
    <n v="3"/>
    <n v="3"/>
    <n v="4"/>
    <n v="4"/>
    <n v="3"/>
    <n v="4"/>
    <n v="2"/>
    <n v="2"/>
    <n v="2"/>
    <n v="0"/>
    <n v="7"/>
    <x v="105"/>
    <x v="0"/>
    <x v="1"/>
    <x v="0"/>
  </r>
  <r>
    <s v="Description 1240"/>
    <s v="Code 1240"/>
    <n v="4"/>
    <n v="4"/>
    <n v="5"/>
    <n v="5"/>
    <n v="4"/>
    <n v="5"/>
    <n v="3"/>
    <n v="3"/>
    <n v="3"/>
    <n v="0"/>
    <n v="0"/>
    <x v="103"/>
    <x v="0"/>
    <x v="0"/>
    <x v="0"/>
  </r>
  <r>
    <s v="Description 1241"/>
    <s v="Code 1241"/>
    <n v="3"/>
    <n v="3"/>
    <n v="4"/>
    <n v="4"/>
    <n v="3"/>
    <n v="4"/>
    <n v="2"/>
    <n v="2"/>
    <n v="2"/>
    <n v="0"/>
    <n v="32"/>
    <x v="38"/>
    <x v="0"/>
    <x v="0"/>
    <x v="0"/>
  </r>
  <r>
    <s v="Description 1242"/>
    <s v="Code 1242"/>
    <n v="4"/>
    <n v="4"/>
    <n v="5"/>
    <n v="5"/>
    <n v="4"/>
    <n v="5"/>
    <n v="3"/>
    <n v="3"/>
    <n v="3"/>
    <n v="0"/>
    <n v="51"/>
    <x v="178"/>
    <x v="0"/>
    <x v="0"/>
    <x v="0"/>
  </r>
  <r>
    <s v="Description 1243"/>
    <s v="Code 1243"/>
    <n v="3"/>
    <n v="3"/>
    <n v="4"/>
    <n v="4"/>
    <n v="3"/>
    <n v="4"/>
    <n v="2"/>
    <n v="2"/>
    <n v="2"/>
    <n v="0"/>
    <n v="17"/>
    <x v="45"/>
    <x v="0"/>
    <x v="0"/>
    <x v="0"/>
  </r>
  <r>
    <s v="Description 1244"/>
    <s v="Code 1244"/>
    <n v="6"/>
    <n v="6"/>
    <n v="8"/>
    <n v="8"/>
    <n v="6"/>
    <n v="8"/>
    <n v="4"/>
    <n v="4"/>
    <n v="4"/>
    <n v="0"/>
    <n v="2"/>
    <x v="81"/>
    <x v="0"/>
    <x v="0"/>
    <x v="0"/>
  </r>
  <r>
    <s v="Description 1245"/>
    <s v="Code 1245"/>
    <n v="4"/>
    <n v="4"/>
    <n v="5"/>
    <n v="5"/>
    <n v="4"/>
    <n v="5"/>
    <n v="3"/>
    <n v="3"/>
    <n v="3"/>
    <n v="0"/>
    <n v="86"/>
    <x v="187"/>
    <x v="0"/>
    <x v="1"/>
    <x v="0"/>
  </r>
  <r>
    <s v="Description 1246"/>
    <s v="Code 1246"/>
    <n v="16"/>
    <n v="16"/>
    <n v="20"/>
    <n v="20"/>
    <n v="16"/>
    <n v="20"/>
    <n v="12"/>
    <n v="12"/>
    <n v="12"/>
    <n v="0"/>
    <n v="33"/>
    <x v="102"/>
    <x v="0"/>
    <x v="0"/>
    <x v="0"/>
  </r>
  <r>
    <s v="Description 1247"/>
    <s v="Code 1247"/>
    <n v="4"/>
    <n v="4"/>
    <n v="5"/>
    <n v="5"/>
    <n v="4"/>
    <n v="5"/>
    <n v="3"/>
    <n v="3"/>
    <n v="3"/>
    <n v="0"/>
    <n v="4"/>
    <x v="179"/>
    <x v="0"/>
    <x v="0"/>
    <x v="0"/>
  </r>
  <r>
    <s v="Description 1248"/>
    <s v="Code 1248"/>
    <n v="3"/>
    <n v="3"/>
    <n v="4"/>
    <n v="4"/>
    <n v="3"/>
    <n v="4"/>
    <n v="2"/>
    <n v="2"/>
    <n v="2"/>
    <n v="0"/>
    <n v="50"/>
    <x v="72"/>
    <x v="0"/>
    <x v="0"/>
    <x v="0"/>
  </r>
  <r>
    <s v="Description 1249"/>
    <s v="Code 1249"/>
    <n v="3"/>
    <n v="3"/>
    <n v="4"/>
    <n v="4"/>
    <n v="3"/>
    <n v="4"/>
    <n v="2"/>
    <n v="2"/>
    <n v="2"/>
    <n v="0"/>
    <n v="32"/>
    <x v="140"/>
    <x v="0"/>
    <x v="0"/>
    <x v="0"/>
  </r>
  <r>
    <s v="Description 1250"/>
    <s v="Code 1250"/>
    <n v="1"/>
    <n v="1"/>
    <n v="1"/>
    <n v="1"/>
    <n v="1"/>
    <n v="1"/>
    <n v="1"/>
    <n v="1"/>
    <n v="1"/>
    <n v="0"/>
    <n v="31"/>
    <x v="196"/>
    <x v="0"/>
    <x v="0"/>
    <x v="0"/>
  </r>
  <r>
    <s v="Description 1251"/>
    <s v="Code 1251"/>
    <n v="1"/>
    <n v="1"/>
    <n v="1"/>
    <n v="1"/>
    <n v="1"/>
    <n v="1"/>
    <n v="1"/>
    <n v="1"/>
    <n v="1"/>
    <n v="0"/>
    <n v="56"/>
    <x v="102"/>
    <x v="0"/>
    <x v="0"/>
    <x v="0"/>
  </r>
  <r>
    <s v="Description 1252"/>
    <s v="Code 1252"/>
    <n v="4"/>
    <n v="0"/>
    <n v="8"/>
    <n v="8"/>
    <n v="4"/>
    <n v="0"/>
    <n v="0"/>
    <n v="0"/>
    <n v="0"/>
    <n v="0"/>
    <n v="80"/>
    <x v="28"/>
    <x v="0"/>
    <x v="1"/>
    <x v="0"/>
  </r>
  <r>
    <s v="Description 1253"/>
    <s v="Code 1253"/>
    <n v="0"/>
    <n v="0"/>
    <n v="1"/>
    <n v="4"/>
    <n v="0"/>
    <n v="0"/>
    <n v="0"/>
    <n v="0"/>
    <n v="0"/>
    <n v="0"/>
    <n v="62"/>
    <x v="87"/>
    <x v="0"/>
    <x v="0"/>
    <x v="0"/>
  </r>
  <r>
    <s v="Description 1254"/>
    <s v="Code 1254"/>
    <n v="16"/>
    <n v="4"/>
    <n v="13"/>
    <n v="8"/>
    <n v="8"/>
    <n v="8"/>
    <n v="0"/>
    <n v="12"/>
    <n v="0"/>
    <n v="0"/>
    <n v="59"/>
    <x v="177"/>
    <x v="0"/>
    <x v="0"/>
    <x v="0"/>
  </r>
  <r>
    <s v="Description 1255"/>
    <s v="Code 1255"/>
    <n v="16"/>
    <n v="4"/>
    <n v="13"/>
    <n v="8"/>
    <n v="8"/>
    <n v="8"/>
    <n v="0"/>
    <n v="12"/>
    <n v="0"/>
    <n v="0"/>
    <n v="34"/>
    <x v="193"/>
    <x v="0"/>
    <x v="0"/>
    <x v="0"/>
  </r>
  <r>
    <s v="Description 1256"/>
    <s v="Code 1256"/>
    <n v="48"/>
    <n v="12"/>
    <n v="39"/>
    <n v="24"/>
    <n v="24"/>
    <n v="24"/>
    <n v="0"/>
    <n v="36"/>
    <n v="0"/>
    <n v="0"/>
    <n v="14"/>
    <x v="195"/>
    <x v="0"/>
    <x v="0"/>
    <x v="0"/>
  </r>
  <r>
    <s v="Description 1257"/>
    <s v="Code 1257"/>
    <n v="10"/>
    <n v="2"/>
    <n v="7"/>
    <n v="4"/>
    <n v="4"/>
    <n v="4"/>
    <n v="0"/>
    <n v="8"/>
    <n v="0"/>
    <n v="0"/>
    <n v="13"/>
    <x v="100"/>
    <x v="0"/>
    <x v="0"/>
    <x v="0"/>
  </r>
  <r>
    <s v="Description 1258"/>
    <s v="Code 1258"/>
    <n v="10"/>
    <n v="2"/>
    <n v="7"/>
    <n v="4"/>
    <n v="4"/>
    <n v="4"/>
    <n v="0"/>
    <n v="8"/>
    <n v="0"/>
    <n v="0"/>
    <n v="242"/>
    <x v="101"/>
    <x v="0"/>
    <x v="0"/>
    <x v="0"/>
  </r>
  <r>
    <s v="Description 1259"/>
    <s v="Code 1259"/>
    <n v="40"/>
    <n v="22"/>
    <n v="36"/>
    <n v="0"/>
    <n v="3"/>
    <n v="0"/>
    <n v="0"/>
    <n v="0"/>
    <n v="0"/>
    <n v="0"/>
    <n v="258"/>
    <x v="129"/>
    <x v="0"/>
    <x v="1"/>
    <x v="0"/>
  </r>
  <r>
    <s v="Description 1260"/>
    <s v="Code 1260"/>
    <n v="40"/>
    <n v="22"/>
    <n v="36"/>
    <n v="0"/>
    <n v="3"/>
    <n v="0"/>
    <n v="0"/>
    <n v="0"/>
    <n v="0"/>
    <n v="0"/>
    <n v="0"/>
    <x v="164"/>
    <x v="0"/>
    <x v="0"/>
    <x v="0"/>
  </r>
  <r>
    <s v="Description 1261"/>
    <s v="Code 1261"/>
    <n v="2"/>
    <n v="20"/>
    <n v="23"/>
    <n v="0"/>
    <n v="0"/>
    <n v="20"/>
    <n v="0"/>
    <n v="0"/>
    <n v="0"/>
    <n v="0"/>
    <n v="40"/>
    <x v="158"/>
    <x v="0"/>
    <x v="0"/>
    <x v="0"/>
  </r>
  <r>
    <s v="Description 1262"/>
    <s v="Code 1262"/>
    <n v="20"/>
    <n v="2"/>
    <n v="0"/>
    <n v="0"/>
    <n v="0"/>
    <n v="0"/>
    <n v="0"/>
    <n v="25"/>
    <n v="0"/>
    <n v="0"/>
    <n v="100"/>
    <x v="3"/>
    <x v="0"/>
    <x v="0"/>
    <x v="0"/>
  </r>
  <r>
    <s v="Description 1263"/>
    <s v="Code 1263"/>
    <n v="44"/>
    <n v="0"/>
    <n v="0"/>
    <n v="40"/>
    <n v="40"/>
    <n v="40"/>
    <n v="0"/>
    <n v="50"/>
    <n v="40"/>
    <n v="0"/>
    <n v="66"/>
    <x v="0"/>
    <x v="0"/>
    <x v="0"/>
    <x v="0"/>
  </r>
  <r>
    <s v="Description 1264"/>
    <s v="Code 1264"/>
    <n v="40"/>
    <n v="40"/>
    <n v="0"/>
    <n v="40"/>
    <n v="54"/>
    <n v="0"/>
    <n v="0"/>
    <n v="0"/>
    <n v="40"/>
    <n v="0"/>
    <n v="0"/>
    <x v="7"/>
    <x v="0"/>
    <x v="0"/>
    <x v="0"/>
  </r>
  <r>
    <s v="Description 1265"/>
    <s v="Code 1265"/>
    <n v="12"/>
    <n v="0"/>
    <n v="12"/>
    <n v="0"/>
    <n v="0"/>
    <n v="12"/>
    <n v="0"/>
    <n v="12"/>
    <n v="0"/>
    <n v="0"/>
    <n v="8"/>
    <x v="142"/>
    <x v="0"/>
    <x v="0"/>
    <x v="0"/>
  </r>
  <r>
    <s v="Description 1266"/>
    <s v="Code 1266"/>
    <n v="4"/>
    <n v="0"/>
    <n v="9"/>
    <n v="12"/>
    <n v="4"/>
    <n v="0"/>
    <n v="0"/>
    <n v="0"/>
    <n v="0"/>
    <n v="0"/>
    <n v="10"/>
    <x v="174"/>
    <x v="0"/>
    <x v="0"/>
    <x v="0"/>
  </r>
  <r>
    <s v="Description 1267"/>
    <s v="Code 1267"/>
    <n v="0"/>
    <n v="9"/>
    <n v="0"/>
    <n v="0"/>
    <n v="0"/>
    <n v="0"/>
    <n v="0"/>
    <n v="0"/>
    <n v="0"/>
    <n v="0"/>
    <n v="0"/>
    <x v="114"/>
    <x v="0"/>
    <x v="0"/>
    <x v="0"/>
  </r>
  <r>
    <s v="Description 1268"/>
    <s v="Code 1268"/>
    <n v="0"/>
    <n v="0"/>
    <n v="0"/>
    <n v="0"/>
    <n v="0"/>
    <n v="0"/>
    <n v="0"/>
    <n v="0"/>
    <n v="0"/>
    <n v="0"/>
    <n v="11"/>
    <x v="2"/>
    <x v="0"/>
    <x v="0"/>
    <x v="0"/>
  </r>
  <r>
    <s v="Description 1269"/>
    <s v="Code 1269"/>
    <n v="3"/>
    <n v="3"/>
    <n v="4"/>
    <n v="4"/>
    <n v="3"/>
    <n v="4"/>
    <n v="2"/>
    <n v="2"/>
    <n v="2"/>
    <n v="0"/>
    <n v="11"/>
    <x v="66"/>
    <x v="0"/>
    <x v="0"/>
    <x v="0"/>
  </r>
  <r>
    <s v="Description 1270"/>
    <s v="Code 1270"/>
    <n v="3"/>
    <n v="3"/>
    <n v="4"/>
    <n v="4"/>
    <n v="3"/>
    <n v="4"/>
    <n v="2"/>
    <n v="2"/>
    <n v="2"/>
    <n v="0"/>
    <n v="11"/>
    <x v="57"/>
    <x v="0"/>
    <x v="0"/>
    <x v="0"/>
  </r>
  <r>
    <s v="Description 1271"/>
    <s v="Code 1271"/>
    <n v="3"/>
    <n v="3"/>
    <n v="4"/>
    <n v="4"/>
    <n v="3"/>
    <n v="4"/>
    <n v="2"/>
    <n v="2"/>
    <n v="2"/>
    <n v="0"/>
    <n v="10"/>
    <x v="142"/>
    <x v="0"/>
    <x v="0"/>
    <x v="0"/>
  </r>
  <r>
    <s v="Description 1272"/>
    <s v="Code 1272"/>
    <n v="3"/>
    <n v="3"/>
    <n v="4"/>
    <n v="4"/>
    <n v="3"/>
    <n v="4"/>
    <n v="2"/>
    <n v="2"/>
    <n v="2"/>
    <n v="0"/>
    <n v="14"/>
    <x v="115"/>
    <x v="0"/>
    <x v="0"/>
    <x v="0"/>
  </r>
  <r>
    <s v="Description 1273"/>
    <s v="Code 1273"/>
    <n v="6"/>
    <n v="6"/>
    <n v="8"/>
    <n v="8"/>
    <n v="6"/>
    <n v="8"/>
    <n v="4"/>
    <n v="4"/>
    <n v="4"/>
    <n v="0"/>
    <n v="7"/>
    <x v="177"/>
    <x v="0"/>
    <x v="0"/>
    <x v="0"/>
  </r>
  <r>
    <s v="Description 1274"/>
    <s v="Code 1274"/>
    <n v="3"/>
    <n v="3"/>
    <n v="4"/>
    <n v="4"/>
    <n v="3"/>
    <n v="4"/>
    <n v="2"/>
    <n v="2"/>
    <n v="2"/>
    <n v="0"/>
    <n v="14"/>
    <x v="112"/>
    <x v="0"/>
    <x v="0"/>
    <x v="0"/>
  </r>
  <r>
    <s v="Description 1275"/>
    <s v="Code 1275"/>
    <n v="3"/>
    <n v="3"/>
    <n v="4"/>
    <n v="4"/>
    <n v="3"/>
    <n v="4"/>
    <n v="2"/>
    <n v="2"/>
    <n v="2"/>
    <n v="0"/>
    <n v="31"/>
    <x v="98"/>
    <x v="0"/>
    <x v="0"/>
    <x v="0"/>
  </r>
  <r>
    <s v="Description 1276"/>
    <s v="Code 1276"/>
    <n v="3"/>
    <n v="3"/>
    <n v="4"/>
    <n v="4"/>
    <n v="3"/>
    <n v="4"/>
    <n v="2"/>
    <n v="2"/>
    <n v="2"/>
    <n v="0"/>
    <n v="10"/>
    <x v="175"/>
    <x v="0"/>
    <x v="0"/>
    <x v="0"/>
  </r>
  <r>
    <s v="Description 1277"/>
    <s v="Code 1277"/>
    <n v="3"/>
    <n v="3"/>
    <n v="4"/>
    <n v="4"/>
    <n v="3"/>
    <n v="4"/>
    <n v="2"/>
    <n v="2"/>
    <n v="2"/>
    <n v="0"/>
    <n v="11"/>
    <x v="190"/>
    <x v="0"/>
    <x v="0"/>
    <x v="0"/>
  </r>
  <r>
    <s v="Description 1278"/>
    <s v="Code 1278"/>
    <n v="3"/>
    <n v="3"/>
    <n v="4"/>
    <n v="4"/>
    <n v="3"/>
    <n v="4"/>
    <n v="2"/>
    <n v="2"/>
    <n v="2"/>
    <n v="0"/>
    <n v="11"/>
    <x v="116"/>
    <x v="0"/>
    <x v="0"/>
    <x v="0"/>
  </r>
  <r>
    <s v="Description 1279"/>
    <s v="Code 1279"/>
    <n v="3"/>
    <n v="3"/>
    <n v="4"/>
    <n v="4"/>
    <n v="3"/>
    <n v="4"/>
    <n v="2"/>
    <n v="2"/>
    <n v="2"/>
    <n v="0"/>
    <n v="11"/>
    <x v="104"/>
    <x v="0"/>
    <x v="0"/>
    <x v="0"/>
  </r>
  <r>
    <s v="Description 1280"/>
    <s v="Code 1280"/>
    <n v="3"/>
    <n v="3"/>
    <n v="4"/>
    <n v="4"/>
    <n v="3"/>
    <n v="4"/>
    <n v="2"/>
    <n v="2"/>
    <n v="2"/>
    <n v="0"/>
    <n v="11"/>
    <x v="108"/>
    <x v="0"/>
    <x v="1"/>
    <x v="0"/>
  </r>
  <r>
    <s v="Description 1281"/>
    <s v="Code 1281"/>
    <n v="3"/>
    <n v="3"/>
    <n v="4"/>
    <n v="4"/>
    <n v="3"/>
    <n v="4"/>
    <n v="2"/>
    <n v="2"/>
    <n v="2"/>
    <n v="0"/>
    <n v="10"/>
    <x v="102"/>
    <x v="0"/>
    <x v="0"/>
    <x v="0"/>
  </r>
  <r>
    <s v="Description 1282"/>
    <s v="Code 1282"/>
    <n v="3"/>
    <n v="3"/>
    <n v="4"/>
    <n v="4"/>
    <n v="3"/>
    <n v="4"/>
    <n v="2"/>
    <n v="2"/>
    <n v="2"/>
    <n v="0"/>
    <n v="11"/>
    <x v="187"/>
    <x v="0"/>
    <x v="1"/>
    <x v="0"/>
  </r>
  <r>
    <s v="Description 1283"/>
    <s v="Code 1283"/>
    <n v="3"/>
    <n v="3"/>
    <n v="4"/>
    <n v="4"/>
    <n v="3"/>
    <n v="4"/>
    <n v="2"/>
    <n v="2"/>
    <n v="2"/>
    <n v="0"/>
    <n v="11"/>
    <x v="95"/>
    <x v="0"/>
    <x v="0"/>
    <x v="0"/>
  </r>
  <r>
    <s v="Description 1284"/>
    <s v="Code 1284"/>
    <n v="3"/>
    <n v="3"/>
    <n v="4"/>
    <n v="4"/>
    <n v="3"/>
    <n v="4"/>
    <n v="2"/>
    <n v="2"/>
    <n v="2"/>
    <n v="0"/>
    <n v="11"/>
    <x v="40"/>
    <x v="0"/>
    <x v="0"/>
    <x v="0"/>
  </r>
  <r>
    <s v="Description 1285"/>
    <s v="Code 1285"/>
    <n v="3"/>
    <n v="3"/>
    <n v="4"/>
    <n v="4"/>
    <n v="3"/>
    <n v="4"/>
    <n v="2"/>
    <n v="2"/>
    <n v="2"/>
    <n v="0"/>
    <n v="11"/>
    <x v="167"/>
    <x v="0"/>
    <x v="0"/>
    <x v="0"/>
  </r>
  <r>
    <s v="Description 1286"/>
    <s v="Code 1286"/>
    <n v="3"/>
    <n v="3"/>
    <n v="4"/>
    <n v="4"/>
    <n v="3"/>
    <n v="4"/>
    <n v="2"/>
    <n v="2"/>
    <n v="2"/>
    <n v="0"/>
    <n v="10"/>
    <x v="144"/>
    <x v="0"/>
    <x v="0"/>
    <x v="0"/>
  </r>
  <r>
    <s v="Description 1287"/>
    <s v="Code 1287"/>
    <n v="3"/>
    <n v="3"/>
    <n v="4"/>
    <n v="4"/>
    <n v="3"/>
    <n v="4"/>
    <n v="2"/>
    <n v="2"/>
    <n v="2"/>
    <n v="0"/>
    <n v="11"/>
    <x v="97"/>
    <x v="0"/>
    <x v="0"/>
    <x v="0"/>
  </r>
  <r>
    <s v="Description 1288"/>
    <s v="Code 1288"/>
    <n v="3"/>
    <n v="3"/>
    <n v="4"/>
    <n v="4"/>
    <n v="3"/>
    <n v="4"/>
    <n v="2"/>
    <n v="2"/>
    <n v="2"/>
    <n v="0"/>
    <n v="11"/>
    <x v="89"/>
    <x v="0"/>
    <x v="1"/>
    <x v="0"/>
  </r>
  <r>
    <s v="Description 1289"/>
    <s v="Code 1289"/>
    <n v="3"/>
    <n v="3"/>
    <n v="4"/>
    <n v="4"/>
    <n v="3"/>
    <n v="4"/>
    <n v="2"/>
    <n v="2"/>
    <n v="2"/>
    <n v="0"/>
    <n v="10"/>
    <x v="12"/>
    <x v="0"/>
    <x v="0"/>
    <x v="0"/>
  </r>
  <r>
    <s v="Description 1290"/>
    <s v="Code 1290"/>
    <n v="3"/>
    <n v="3"/>
    <n v="4"/>
    <n v="4"/>
    <n v="3"/>
    <n v="4"/>
    <n v="2"/>
    <n v="2"/>
    <n v="2"/>
    <n v="0"/>
    <n v="13"/>
    <x v="84"/>
    <x v="0"/>
    <x v="0"/>
    <x v="0"/>
  </r>
  <r>
    <s v="Description 1291"/>
    <s v="Code 1291"/>
    <n v="3"/>
    <n v="3"/>
    <n v="4"/>
    <n v="4"/>
    <n v="3"/>
    <n v="4"/>
    <n v="2"/>
    <n v="2"/>
    <n v="2"/>
    <n v="0"/>
    <n v="13"/>
    <x v="179"/>
    <x v="0"/>
    <x v="0"/>
    <x v="0"/>
  </r>
  <r>
    <s v="Description 1292"/>
    <s v="Code 1292"/>
    <n v="1"/>
    <n v="1"/>
    <n v="1"/>
    <n v="1"/>
    <n v="1"/>
    <n v="1"/>
    <n v="1"/>
    <n v="1"/>
    <n v="1"/>
    <n v="0"/>
    <n v="26"/>
    <x v="9"/>
    <x v="0"/>
    <x v="0"/>
    <x v="0"/>
  </r>
  <r>
    <s v="Description 1293"/>
    <s v="Code 1293"/>
    <n v="1"/>
    <n v="1"/>
    <n v="1"/>
    <n v="1"/>
    <n v="1"/>
    <n v="1"/>
    <n v="1"/>
    <n v="1"/>
    <n v="1"/>
    <n v="0"/>
    <n v="23"/>
    <x v="98"/>
    <x v="0"/>
    <x v="0"/>
    <x v="0"/>
  </r>
  <r>
    <s v="Description 1294"/>
    <s v="Code 1294"/>
    <n v="1"/>
    <n v="1"/>
    <n v="1"/>
    <n v="1"/>
    <n v="1"/>
    <n v="1"/>
    <n v="1"/>
    <n v="1"/>
    <n v="1"/>
    <n v="0"/>
    <n v="20"/>
    <x v="139"/>
    <x v="0"/>
    <x v="0"/>
    <x v="0"/>
  </r>
  <r>
    <s v="Description 1295"/>
    <s v="Code 1295"/>
    <n v="1"/>
    <n v="1"/>
    <n v="1"/>
    <n v="1"/>
    <n v="1"/>
    <n v="1"/>
    <n v="1"/>
    <n v="1"/>
    <n v="1"/>
    <n v="0"/>
    <n v="13"/>
    <x v="29"/>
    <x v="0"/>
    <x v="0"/>
    <x v="0"/>
  </r>
  <r>
    <s v="Description 1296"/>
    <s v="Code 1296"/>
    <n v="1"/>
    <n v="1"/>
    <n v="1"/>
    <n v="1"/>
    <n v="1"/>
    <n v="1"/>
    <n v="1"/>
    <n v="1"/>
    <n v="1"/>
    <n v="0"/>
    <n v="42"/>
    <x v="53"/>
    <x v="0"/>
    <x v="0"/>
    <x v="0"/>
  </r>
  <r>
    <s v="Description 1297"/>
    <s v="Code 1297"/>
    <n v="1"/>
    <n v="1"/>
    <n v="1"/>
    <n v="1"/>
    <n v="1"/>
    <n v="1"/>
    <n v="1"/>
    <n v="1"/>
    <n v="1"/>
    <n v="0"/>
    <n v="21"/>
    <x v="57"/>
    <x v="0"/>
    <x v="0"/>
    <x v="0"/>
  </r>
  <r>
    <s v="Description 1298"/>
    <s v="Code 1298"/>
    <n v="1"/>
    <n v="1"/>
    <n v="1"/>
    <n v="1"/>
    <n v="1"/>
    <n v="1"/>
    <n v="1"/>
    <n v="1"/>
    <n v="1"/>
    <n v="0"/>
    <n v="13"/>
    <x v="181"/>
    <x v="0"/>
    <x v="0"/>
    <x v="0"/>
  </r>
  <r>
    <s v="Description 1299"/>
    <s v="Code 1299"/>
    <n v="1"/>
    <n v="1"/>
    <n v="1"/>
    <n v="1"/>
    <n v="1"/>
    <n v="1"/>
    <n v="1"/>
    <n v="1"/>
    <n v="1"/>
    <n v="0"/>
    <n v="26"/>
    <x v="127"/>
    <x v="0"/>
    <x v="0"/>
    <x v="0"/>
  </r>
  <r>
    <s v="Description 1300"/>
    <s v="Code 1300"/>
    <n v="1"/>
    <n v="1"/>
    <n v="1"/>
    <n v="1"/>
    <n v="1"/>
    <n v="1"/>
    <n v="1"/>
    <n v="1"/>
    <n v="1"/>
    <n v="0"/>
    <n v="13"/>
    <x v="51"/>
    <x v="0"/>
    <x v="0"/>
    <x v="0"/>
  </r>
  <r>
    <s v="Description 1301"/>
    <s v="Code 1301"/>
    <n v="1"/>
    <n v="1"/>
    <n v="1"/>
    <n v="1"/>
    <n v="1"/>
    <n v="1"/>
    <n v="1"/>
    <n v="1"/>
    <n v="1"/>
    <n v="0"/>
    <n v="13"/>
    <x v="148"/>
    <x v="0"/>
    <x v="0"/>
    <x v="0"/>
  </r>
  <r>
    <s v="Description 1302"/>
    <s v="Code 1302"/>
    <n v="1"/>
    <n v="1"/>
    <n v="1"/>
    <n v="1"/>
    <n v="1"/>
    <n v="1"/>
    <n v="1"/>
    <n v="1"/>
    <n v="1"/>
    <n v="0"/>
    <n v="283"/>
    <x v="22"/>
    <x v="0"/>
    <x v="0"/>
    <x v="0"/>
  </r>
  <r>
    <s v="Description 1303"/>
    <s v="Code 1303"/>
    <n v="0"/>
    <n v="0"/>
    <n v="0"/>
    <n v="0"/>
    <n v="0"/>
    <n v="0"/>
    <n v="0"/>
    <n v="0"/>
    <n v="0"/>
    <n v="0"/>
    <n v="5834"/>
    <x v="42"/>
    <x v="0"/>
    <x v="1"/>
    <x v="0"/>
  </r>
  <r>
    <s v="Description 1304"/>
    <s v="Code 1304"/>
    <n v="0"/>
    <n v="0"/>
    <n v="0"/>
    <n v="0"/>
    <n v="0"/>
    <n v="0"/>
    <n v="0"/>
    <n v="0"/>
    <n v="0"/>
    <n v="0"/>
    <n v="100"/>
    <x v="51"/>
    <x v="0"/>
    <x v="0"/>
    <x v="0"/>
  </r>
  <r>
    <s v="Description 1305"/>
    <s v="Code 1305"/>
    <n v="0"/>
    <n v="0"/>
    <n v="0"/>
    <n v="0"/>
    <n v="0"/>
    <n v="0"/>
    <n v="0"/>
    <n v="0"/>
    <n v="0"/>
    <n v="0"/>
    <n v="934"/>
    <x v="70"/>
    <x v="0"/>
    <x v="0"/>
    <x v="0"/>
  </r>
  <r>
    <s v="Description 1306"/>
    <s v="Code 1306"/>
    <n v="0"/>
    <n v="0"/>
    <n v="0"/>
    <n v="0"/>
    <n v="0"/>
    <n v="0"/>
    <n v="70"/>
    <n v="0"/>
    <n v="0"/>
    <n v="0"/>
    <n v="143"/>
    <x v="175"/>
    <x v="0"/>
    <x v="0"/>
    <x v="0"/>
  </r>
  <r>
    <s v="Description 1307"/>
    <s v="Code 1307"/>
    <n v="0"/>
    <n v="0"/>
    <n v="0"/>
    <n v="0"/>
    <n v="0"/>
    <n v="0"/>
    <n v="0"/>
    <n v="0"/>
    <n v="0"/>
    <n v="0"/>
    <n v="266"/>
    <x v="183"/>
    <x v="0"/>
    <x v="0"/>
    <x v="0"/>
  </r>
  <r>
    <s v="Description 1308"/>
    <s v="Code 1308"/>
    <n v="30"/>
    <n v="60"/>
    <n v="60"/>
    <n v="60"/>
    <n v="60"/>
    <n v="30"/>
    <n v="30"/>
    <n v="30"/>
    <n v="60"/>
    <n v="0"/>
    <n v="363"/>
    <x v="26"/>
    <x v="0"/>
    <x v="1"/>
    <x v="0"/>
  </r>
  <r>
    <s v="Description 1309"/>
    <s v="Code 1309"/>
    <n v="120"/>
    <n v="148"/>
    <n v="56"/>
    <n v="120"/>
    <n v="148"/>
    <n v="108"/>
    <n v="132"/>
    <n v="88"/>
    <n v="76"/>
    <n v="0"/>
    <n v="600"/>
    <x v="109"/>
    <x v="0"/>
    <x v="0"/>
    <x v="0"/>
  </r>
  <r>
    <s v="Description 1310"/>
    <s v="Code 1310"/>
    <n v="344"/>
    <n v="0"/>
    <n v="0"/>
    <n v="0"/>
    <n v="0"/>
    <n v="0"/>
    <n v="0"/>
    <n v="0"/>
    <n v="0"/>
    <n v="0"/>
    <n v="11"/>
    <x v="175"/>
    <x v="0"/>
    <x v="0"/>
    <x v="0"/>
  </r>
  <r>
    <s v="Description 1311"/>
    <s v="Code 1311"/>
    <n v="0.96"/>
    <n v="0.83499999999999996"/>
    <n v="1.17"/>
    <n v="1.1299999999999999"/>
    <n v="0.505"/>
    <n v="0.755"/>
    <n v="0.61"/>
    <n v="0.59"/>
    <n v="0.54"/>
    <n v="0"/>
    <n v="0"/>
    <x v="167"/>
    <x v="0"/>
    <x v="0"/>
    <x v="0"/>
  </r>
  <r>
    <s v="Description 1312"/>
    <s v="Code 1312"/>
    <n v="0"/>
    <n v="0"/>
    <n v="0"/>
    <n v="3"/>
    <n v="0"/>
    <n v="0"/>
    <n v="0"/>
    <n v="4"/>
    <n v="0"/>
    <n v="0"/>
    <n v="118"/>
    <x v="30"/>
    <x v="0"/>
    <x v="0"/>
    <x v="0"/>
  </r>
  <r>
    <s v="Description 1313"/>
    <s v="Code 1313"/>
    <n v="0"/>
    <n v="0"/>
    <n v="0"/>
    <n v="3"/>
    <n v="0"/>
    <n v="0"/>
    <n v="0"/>
    <n v="4"/>
    <n v="0"/>
    <n v="0"/>
    <n v="255"/>
    <x v="107"/>
    <x v="0"/>
    <x v="0"/>
    <x v="0"/>
  </r>
  <r>
    <s v="Description 1314"/>
    <s v="Code 1314"/>
    <n v="0"/>
    <n v="0"/>
    <n v="0"/>
    <n v="3"/>
    <n v="0"/>
    <n v="0"/>
    <n v="0"/>
    <n v="4"/>
    <n v="0"/>
    <n v="0"/>
    <n v="52"/>
    <x v="25"/>
    <x v="0"/>
    <x v="1"/>
    <x v="0"/>
  </r>
  <r>
    <s v="Description 1315"/>
    <s v="Code 1315"/>
    <n v="4"/>
    <n v="0"/>
    <n v="12"/>
    <n v="12"/>
    <n v="4"/>
    <n v="0"/>
    <n v="0"/>
    <n v="0"/>
    <n v="0"/>
    <n v="0"/>
    <n v="176"/>
    <x v="187"/>
    <x v="0"/>
    <x v="1"/>
    <x v="0"/>
  </r>
  <r>
    <s v="Description 1316"/>
    <s v="Code 1316"/>
    <n v="0"/>
    <n v="0"/>
    <n v="0"/>
    <n v="2"/>
    <n v="0"/>
    <n v="0"/>
    <n v="0"/>
    <n v="4"/>
    <n v="0"/>
    <n v="0"/>
    <n v="95"/>
    <x v="51"/>
    <x v="0"/>
    <x v="0"/>
    <x v="0"/>
  </r>
  <r>
    <s v="Description 1317"/>
    <s v="Code 1317"/>
    <n v="1"/>
    <n v="0"/>
    <n v="20"/>
    <n v="2"/>
    <n v="3"/>
    <n v="0"/>
    <n v="2"/>
    <n v="5"/>
    <n v="0"/>
    <n v="0"/>
    <n v="16"/>
    <x v="81"/>
    <x v="0"/>
    <x v="0"/>
    <x v="0"/>
  </r>
  <r>
    <s v="Description 1318"/>
    <s v="Code 1318"/>
    <n v="1"/>
    <n v="0"/>
    <n v="20"/>
    <n v="2"/>
    <n v="3"/>
    <n v="0"/>
    <n v="2"/>
    <n v="5"/>
    <n v="0"/>
    <n v="0"/>
    <n v="188"/>
    <x v="77"/>
    <x v="0"/>
    <x v="0"/>
    <x v="0"/>
  </r>
  <r>
    <s v="Description 1319"/>
    <s v="Code 1319"/>
    <n v="0"/>
    <n v="0"/>
    <n v="0"/>
    <n v="0"/>
    <n v="0"/>
    <n v="0"/>
    <n v="0"/>
    <n v="0"/>
    <n v="0"/>
    <n v="0"/>
    <n v="11"/>
    <x v="180"/>
    <x v="0"/>
    <x v="0"/>
    <x v="0"/>
  </r>
  <r>
    <s v="Description 1320"/>
    <s v="Code 1320"/>
    <n v="0"/>
    <n v="0"/>
    <n v="0"/>
    <n v="0"/>
    <n v="0"/>
    <n v="0"/>
    <n v="0"/>
    <n v="0"/>
    <n v="0"/>
    <n v="0"/>
    <n v="51"/>
    <x v="130"/>
    <x v="0"/>
    <x v="1"/>
    <x v="0"/>
  </r>
  <r>
    <s v="Description 1321"/>
    <s v="Code 1321"/>
    <n v="0"/>
    <n v="0"/>
    <n v="0"/>
    <n v="0"/>
    <n v="0"/>
    <n v="0"/>
    <n v="0"/>
    <n v="0"/>
    <n v="0"/>
    <n v="0"/>
    <n v="6"/>
    <x v="171"/>
    <x v="0"/>
    <x v="0"/>
    <x v="0"/>
  </r>
  <r>
    <s v="Description 1322"/>
    <s v="Code 1322"/>
    <n v="0"/>
    <n v="0"/>
    <n v="0"/>
    <n v="0"/>
    <n v="0"/>
    <n v="0"/>
    <n v="0"/>
    <n v="0"/>
    <n v="0"/>
    <n v="0"/>
    <n v="278"/>
    <x v="6"/>
    <x v="0"/>
    <x v="0"/>
    <x v="0"/>
  </r>
  <r>
    <s v="Description 1323"/>
    <s v="Code 1323"/>
    <n v="0"/>
    <n v="0"/>
    <n v="0"/>
    <n v="0"/>
    <n v="70"/>
    <n v="62"/>
    <n v="0"/>
    <n v="40"/>
    <n v="0"/>
    <n v="0"/>
    <n v="32"/>
    <x v="41"/>
    <x v="0"/>
    <x v="0"/>
    <x v="0"/>
  </r>
  <r>
    <s v="Description 1324"/>
    <s v="Code 1324"/>
    <n v="6"/>
    <n v="6"/>
    <n v="6"/>
    <n v="6"/>
    <n v="6"/>
    <n v="6"/>
    <n v="6"/>
    <n v="6"/>
    <n v="6"/>
    <n v="0"/>
    <n v="19"/>
    <x v="185"/>
    <x v="0"/>
    <x v="0"/>
    <x v="0"/>
  </r>
  <r>
    <s v="Description 1325"/>
    <s v="Code 1325"/>
    <n v="4"/>
    <n v="4"/>
    <n v="4"/>
    <n v="4"/>
    <n v="4"/>
    <n v="4"/>
    <n v="4"/>
    <n v="4"/>
    <n v="4"/>
    <n v="0"/>
    <n v="39"/>
    <x v="142"/>
    <x v="0"/>
    <x v="0"/>
    <x v="0"/>
  </r>
  <r>
    <s v="Description 1326"/>
    <s v="Code 1326"/>
    <n v="0"/>
    <n v="0"/>
    <n v="0"/>
    <n v="0"/>
    <n v="0"/>
    <n v="0"/>
    <n v="0"/>
    <n v="0"/>
    <n v="0"/>
    <n v="0"/>
    <n v="43"/>
    <x v="162"/>
    <x v="0"/>
    <x v="0"/>
    <x v="0"/>
  </r>
  <r>
    <s v="Description 1327"/>
    <s v="Code 1327"/>
    <n v="0"/>
    <n v="0"/>
    <n v="0"/>
    <n v="0"/>
    <n v="2"/>
    <n v="2"/>
    <n v="2"/>
    <n v="0"/>
    <n v="0"/>
    <n v="0"/>
    <n v="11"/>
    <x v="3"/>
    <x v="0"/>
    <x v="0"/>
    <x v="0"/>
  </r>
  <r>
    <s v="Description 1328"/>
    <s v="Code 1328"/>
    <n v="0"/>
    <n v="0"/>
    <n v="0"/>
    <n v="0"/>
    <n v="0"/>
    <n v="0"/>
    <n v="0"/>
    <n v="0"/>
    <n v="0"/>
    <n v="0"/>
    <n v="80"/>
    <x v="108"/>
    <x v="0"/>
    <x v="1"/>
    <x v="0"/>
  </r>
  <r>
    <s v="Description 1329"/>
    <s v="Code 1329"/>
    <n v="4"/>
    <n v="4"/>
    <n v="2"/>
    <n v="4"/>
    <n v="2"/>
    <n v="6"/>
    <n v="4"/>
    <n v="2"/>
    <n v="4"/>
    <n v="0"/>
    <n v="13"/>
    <x v="99"/>
    <x v="0"/>
    <x v="0"/>
    <x v="0"/>
  </r>
  <r>
    <s v="Description 1330"/>
    <s v="Code 1330"/>
    <n v="24"/>
    <n v="24"/>
    <n v="24"/>
    <n v="24"/>
    <n v="24"/>
    <n v="24"/>
    <n v="24"/>
    <n v="24"/>
    <n v="24"/>
    <n v="0"/>
    <n v="7"/>
    <x v="17"/>
    <x v="0"/>
    <x v="0"/>
    <x v="0"/>
  </r>
  <r>
    <s v="Description 1331"/>
    <s v="Code 1331"/>
    <n v="10"/>
    <n v="2"/>
    <n v="2"/>
    <n v="0"/>
    <n v="2"/>
    <n v="0"/>
    <n v="4"/>
    <n v="0"/>
    <n v="0"/>
    <n v="0"/>
    <n v="96"/>
    <x v="102"/>
    <x v="0"/>
    <x v="0"/>
    <x v="0"/>
  </r>
  <r>
    <s v="Description 1332"/>
    <s v="Code 1332"/>
    <n v="0"/>
    <n v="0"/>
    <n v="2"/>
    <n v="0"/>
    <n v="0"/>
    <n v="0"/>
    <n v="2"/>
    <n v="0"/>
    <n v="0"/>
    <n v="0"/>
    <n v="0"/>
    <x v="112"/>
    <x v="0"/>
    <x v="0"/>
    <x v="0"/>
  </r>
  <r>
    <s v="Description 1333"/>
    <s v="Code 1333"/>
    <n v="0"/>
    <n v="0"/>
    <n v="0"/>
    <n v="0"/>
    <n v="0"/>
    <n v="0"/>
    <n v="0"/>
    <n v="0"/>
    <n v="0"/>
    <n v="0"/>
    <n v="0"/>
    <x v="139"/>
    <x v="0"/>
    <x v="0"/>
    <x v="0"/>
  </r>
  <r>
    <s v="Description 1334"/>
    <s v="Code 1334"/>
    <n v="0"/>
    <n v="0"/>
    <n v="0"/>
    <n v="0"/>
    <n v="0"/>
    <n v="0"/>
    <n v="0"/>
    <n v="0"/>
    <n v="0"/>
    <n v="0"/>
    <n v="0"/>
    <x v="86"/>
    <x v="0"/>
    <x v="0"/>
    <x v="0"/>
  </r>
  <r>
    <s v="Description 1335"/>
    <s v="Code 1335"/>
    <n v="70"/>
    <n v="0"/>
    <n v="15"/>
    <n v="1"/>
    <n v="5"/>
    <n v="0"/>
    <n v="4"/>
    <n v="1"/>
    <n v="1"/>
    <n v="0"/>
    <n v="0"/>
    <x v="3"/>
    <x v="0"/>
    <x v="0"/>
    <x v="0"/>
  </r>
  <r>
    <s v="Description 1336"/>
    <s v="Code 1336"/>
    <n v="70"/>
    <n v="0"/>
    <n v="15"/>
    <n v="1"/>
    <n v="5"/>
    <n v="0"/>
    <n v="4"/>
    <n v="1"/>
    <n v="1"/>
    <n v="0"/>
    <n v="60"/>
    <x v="114"/>
    <x v="0"/>
    <x v="0"/>
    <x v="0"/>
  </r>
  <r>
    <s v="Description 1337"/>
    <s v="Code 1337"/>
    <n v="18"/>
    <n v="10"/>
    <n v="10"/>
    <n v="10"/>
    <n v="0"/>
    <n v="0"/>
    <n v="0"/>
    <n v="0"/>
    <n v="0"/>
    <n v="0"/>
    <n v="60"/>
    <x v="101"/>
    <x v="0"/>
    <x v="0"/>
    <x v="0"/>
  </r>
  <r>
    <s v="Description 1338"/>
    <s v="Code 1338"/>
    <n v="18"/>
    <n v="10"/>
    <n v="10"/>
    <n v="10"/>
    <n v="0"/>
    <n v="0"/>
    <n v="0"/>
    <n v="0"/>
    <n v="0"/>
    <n v="0"/>
    <n v="750"/>
    <x v="159"/>
    <x v="0"/>
    <x v="0"/>
    <x v="0"/>
  </r>
  <r>
    <s v="Description 1339"/>
    <s v="Code 1339"/>
    <n v="600"/>
    <n v="600"/>
    <n v="600"/>
    <n v="600"/>
    <n v="600"/>
    <n v="600"/>
    <n v="420"/>
    <n v="420"/>
    <n v="420"/>
    <n v="0"/>
    <n v="0"/>
    <x v="99"/>
    <x v="0"/>
    <x v="0"/>
    <x v="0"/>
  </r>
  <r>
    <s v="Description 1340"/>
    <s v="Code 1340"/>
    <n v="0"/>
    <n v="15"/>
    <n v="10"/>
    <n v="0"/>
    <n v="0"/>
    <n v="0"/>
    <n v="0"/>
    <n v="0"/>
    <n v="0"/>
    <n v="0"/>
    <n v="295"/>
    <x v="14"/>
    <x v="0"/>
    <x v="0"/>
    <x v="0"/>
  </r>
  <r>
    <s v="Description 1341"/>
    <s v="Code 1341"/>
    <n v="135"/>
    <n v="135"/>
    <n v="255"/>
    <n v="180"/>
    <n v="90"/>
    <n v="120"/>
    <n v="120"/>
    <n v="91"/>
    <n v="60"/>
    <n v="0"/>
    <n v="0"/>
    <x v="124"/>
    <x v="0"/>
    <x v="0"/>
    <x v="0"/>
  </r>
  <r>
    <s v="Description 1342"/>
    <s v="Code 1342"/>
    <n v="0"/>
    <n v="0"/>
    <n v="0"/>
    <n v="0"/>
    <n v="0"/>
    <n v="0"/>
    <n v="0"/>
    <n v="0"/>
    <n v="0"/>
    <n v="0"/>
    <n v="67"/>
    <x v="97"/>
    <x v="0"/>
    <x v="0"/>
    <x v="0"/>
  </r>
  <r>
    <s v="Description 1343"/>
    <s v="Code 1343"/>
    <n v="2"/>
    <n v="2"/>
    <n v="7"/>
    <n v="7"/>
    <n v="7"/>
    <n v="8"/>
    <n v="2"/>
    <n v="7"/>
    <n v="7"/>
    <n v="0"/>
    <n v="100"/>
    <x v="42"/>
    <x v="0"/>
    <x v="1"/>
    <x v="0"/>
  </r>
  <r>
    <s v="Description 1344"/>
    <s v="Code 1344"/>
    <n v="30"/>
    <n v="0"/>
    <n v="0"/>
    <n v="0"/>
    <n v="0"/>
    <n v="0"/>
    <n v="0"/>
    <n v="0"/>
    <n v="0"/>
    <n v="0"/>
    <n v="169"/>
    <x v="133"/>
    <x v="0"/>
    <x v="0"/>
    <x v="0"/>
  </r>
  <r>
    <s v="Description 1345"/>
    <s v="Code 1345"/>
    <n v="108"/>
    <n v="0"/>
    <n v="0"/>
    <n v="0"/>
    <n v="50"/>
    <n v="38"/>
    <n v="20"/>
    <n v="50"/>
    <n v="36"/>
    <n v="0"/>
    <n v="1028"/>
    <x v="138"/>
    <x v="0"/>
    <x v="0"/>
    <x v="0"/>
  </r>
  <r>
    <s v="Description 1346"/>
    <s v="Code 1346"/>
    <n v="400"/>
    <n v="0"/>
    <n v="280"/>
    <n v="6"/>
    <n v="0"/>
    <n v="2"/>
    <n v="50"/>
    <n v="24"/>
    <n v="60"/>
    <n v="0"/>
    <n v="4000"/>
    <x v="51"/>
    <x v="0"/>
    <x v="0"/>
    <x v="0"/>
  </r>
  <r>
    <s v="Description 1347"/>
    <s v="Code 1347"/>
    <n v="0"/>
    <n v="0"/>
    <n v="0"/>
    <n v="0"/>
    <n v="0"/>
    <n v="0"/>
    <n v="0"/>
    <n v="0"/>
    <n v="500"/>
    <n v="0"/>
    <n v="1496"/>
    <x v="138"/>
    <x v="0"/>
    <x v="0"/>
    <x v="0"/>
  </r>
  <r>
    <s v="Description 1348"/>
    <s v="Code 1348"/>
    <n v="80"/>
    <n v="80"/>
    <n v="120"/>
    <n v="0"/>
    <n v="0"/>
    <n v="0"/>
    <n v="0"/>
    <n v="0"/>
    <n v="280"/>
    <n v="0"/>
    <n v="2000"/>
    <x v="77"/>
    <x v="0"/>
    <x v="0"/>
    <x v="0"/>
  </r>
  <r>
    <s v="Description 1349"/>
    <s v="Code 1349"/>
    <n v="0"/>
    <n v="0"/>
    <n v="0"/>
    <n v="0"/>
    <n v="0"/>
    <n v="0"/>
    <n v="0"/>
    <n v="0"/>
    <n v="0"/>
    <n v="0"/>
    <n v="1000"/>
    <x v="35"/>
    <x v="0"/>
    <x v="1"/>
    <x v="0"/>
  </r>
  <r>
    <s v="Description 1350"/>
    <s v="Code 1350"/>
    <n v="0"/>
    <n v="0"/>
    <n v="0"/>
    <n v="0"/>
    <n v="0"/>
    <n v="0"/>
    <n v="0"/>
    <n v="0"/>
    <n v="0"/>
    <n v="0"/>
    <n v="0"/>
    <x v="120"/>
    <x v="0"/>
    <x v="0"/>
    <x v="0"/>
  </r>
  <r>
    <s v="Description 1351"/>
    <s v="Code 1351"/>
    <n v="0"/>
    <n v="0"/>
    <n v="0"/>
    <n v="0"/>
    <n v="0"/>
    <n v="0"/>
    <n v="0"/>
    <n v="0"/>
    <n v="0"/>
    <n v="0"/>
    <n v="40"/>
    <x v="158"/>
    <x v="0"/>
    <x v="0"/>
    <x v="0"/>
  </r>
  <r>
    <s v="Description 1352"/>
    <s v="Code 1352"/>
    <n v="24"/>
    <n v="17"/>
    <n v="9"/>
    <n v="36"/>
    <n v="13"/>
    <n v="11"/>
    <n v="11"/>
    <n v="15"/>
    <n v="12"/>
    <n v="0"/>
    <n v="60"/>
    <x v="150"/>
    <x v="0"/>
    <x v="0"/>
    <x v="0"/>
  </r>
  <r>
    <s v="Description 1353"/>
    <s v="Code 1353"/>
    <n v="43"/>
    <n v="0"/>
    <n v="0"/>
    <n v="0"/>
    <n v="0"/>
    <n v="0"/>
    <n v="0"/>
    <n v="0"/>
    <n v="0"/>
    <n v="0"/>
    <n v="2092"/>
    <x v="135"/>
    <x v="0"/>
    <x v="0"/>
    <x v="0"/>
  </r>
  <r>
    <s v="Description 1354"/>
    <s v="Code 1354"/>
    <n v="34"/>
    <n v="38"/>
    <n v="48"/>
    <n v="48"/>
    <n v="38"/>
    <n v="40"/>
    <n v="50"/>
    <n v="48"/>
    <n v="18"/>
    <n v="0"/>
    <n v="54"/>
    <x v="182"/>
    <x v="0"/>
    <x v="0"/>
    <x v="0"/>
  </r>
  <r>
    <s v="Description 1355"/>
    <s v="Code 1355"/>
    <n v="2"/>
    <n v="0"/>
    <n v="2"/>
    <n v="0"/>
    <n v="1"/>
    <n v="0"/>
    <n v="0"/>
    <n v="1"/>
    <n v="0"/>
    <n v="0"/>
    <n v="0"/>
    <x v="63"/>
    <x v="0"/>
    <x v="0"/>
    <x v="0"/>
  </r>
  <r>
    <s v="Description 1356"/>
    <s v="Code 1356"/>
    <n v="0"/>
    <n v="0"/>
    <n v="0"/>
    <n v="0"/>
    <n v="0"/>
    <n v="0"/>
    <n v="0"/>
    <n v="0"/>
    <n v="0"/>
    <n v="0"/>
    <n v="300"/>
    <x v="158"/>
    <x v="0"/>
    <x v="0"/>
    <x v="0"/>
  </r>
  <r>
    <s v="Description 1357"/>
    <s v="Code 1357"/>
    <n v="1"/>
    <n v="0"/>
    <n v="8"/>
    <n v="4"/>
    <n v="3"/>
    <n v="0"/>
    <n v="2"/>
    <n v="5"/>
    <n v="0"/>
    <n v="0"/>
    <n v="10"/>
    <x v="143"/>
    <x v="0"/>
    <x v="0"/>
    <x v="0"/>
  </r>
  <r>
    <s v="Description 1358"/>
    <s v="Code 1358"/>
    <n v="0"/>
    <n v="0"/>
    <n v="0"/>
    <n v="0"/>
    <n v="0"/>
    <n v="0"/>
    <n v="0"/>
    <n v="0"/>
    <n v="0"/>
    <n v="0"/>
    <n v="50"/>
    <x v="124"/>
    <x v="0"/>
    <x v="0"/>
    <x v="0"/>
  </r>
  <r>
    <s v="Description 1359"/>
    <s v="Code 1359"/>
    <n v="0"/>
    <n v="0"/>
    <n v="0"/>
    <n v="0"/>
    <n v="0"/>
    <n v="0"/>
    <n v="0"/>
    <n v="0"/>
    <n v="0"/>
    <n v="0"/>
    <n v="1"/>
    <x v="4"/>
    <x v="0"/>
    <x v="0"/>
    <x v="0"/>
  </r>
  <r>
    <s v="Description 1360"/>
    <s v="Code 1360"/>
    <n v="0"/>
    <n v="0"/>
    <n v="0"/>
    <n v="0"/>
    <n v="0"/>
    <n v="0"/>
    <n v="0"/>
    <n v="0"/>
    <n v="0"/>
    <n v="0"/>
    <n v="100"/>
    <x v="93"/>
    <x v="0"/>
    <x v="0"/>
    <x v="0"/>
  </r>
  <r>
    <s v="Description 1361"/>
    <s v="Code 1361"/>
    <n v="0"/>
    <n v="0"/>
    <n v="0"/>
    <n v="0"/>
    <n v="0"/>
    <n v="0"/>
    <n v="0"/>
    <n v="0"/>
    <n v="0"/>
    <n v="0"/>
    <n v="628"/>
    <x v="30"/>
    <x v="0"/>
    <x v="0"/>
    <x v="0"/>
  </r>
  <r>
    <s v="Description 1362"/>
    <s v="Code 1362"/>
    <n v="400"/>
    <n v="40"/>
    <n v="240"/>
    <n v="160"/>
    <n v="720"/>
    <n v="160"/>
    <n v="80"/>
    <n v="200"/>
    <n v="280"/>
    <n v="0"/>
    <n v="979"/>
    <x v="61"/>
    <x v="0"/>
    <x v="0"/>
    <x v="0"/>
  </r>
  <r>
    <s v="Description 1363"/>
    <s v="Code 1363"/>
    <n v="400"/>
    <n v="0"/>
    <n v="280"/>
    <n v="6"/>
    <n v="0"/>
    <n v="2"/>
    <n v="50"/>
    <n v="24"/>
    <n v="60"/>
    <n v="0"/>
    <n v="300"/>
    <x v="24"/>
    <x v="0"/>
    <x v="0"/>
    <x v="0"/>
  </r>
  <r>
    <s v="Description 1364"/>
    <s v="Code 1364"/>
    <n v="0"/>
    <n v="0"/>
    <n v="0"/>
    <n v="0"/>
    <n v="0"/>
    <n v="0"/>
    <n v="0"/>
    <n v="0"/>
    <n v="0"/>
    <n v="0"/>
    <n v="450"/>
    <x v="182"/>
    <x v="0"/>
    <x v="0"/>
    <x v="0"/>
  </r>
  <r>
    <s v="Description 1365"/>
    <s v="Code 1365"/>
    <n v="0"/>
    <n v="0"/>
    <n v="1500"/>
    <n v="800"/>
    <n v="400"/>
    <n v="0"/>
    <n v="0"/>
    <n v="900"/>
    <n v="0"/>
    <n v="0"/>
    <n v="17444"/>
    <x v="189"/>
    <x v="0"/>
    <x v="0"/>
    <x v="0"/>
  </r>
  <r>
    <s v="Description 1366"/>
    <s v="Code 1366"/>
    <n v="14200"/>
    <n v="7600"/>
    <n v="12850"/>
    <n v="13014"/>
    <n v="9010"/>
    <n v="8670"/>
    <n v="3964"/>
    <n v="8550"/>
    <n v="2750"/>
    <n v="0"/>
    <n v="1050"/>
    <x v="45"/>
    <x v="0"/>
    <x v="0"/>
    <x v="0"/>
  </r>
  <r>
    <s v="Description 1367"/>
    <s v="Code 1367"/>
    <n v="100"/>
    <n v="350"/>
    <n v="100"/>
    <n v="310"/>
    <n v="450"/>
    <n v="100"/>
    <n v="0"/>
    <n v="410"/>
    <n v="0"/>
    <n v="0"/>
    <n v="21"/>
    <x v="7"/>
    <x v="0"/>
    <x v="0"/>
    <x v="0"/>
  </r>
  <r>
    <s v="Description 1368"/>
    <s v="Code 1368"/>
    <n v="0"/>
    <n v="0"/>
    <n v="0"/>
    <n v="0"/>
    <n v="0"/>
    <n v="0"/>
    <n v="0"/>
    <n v="0"/>
    <n v="0"/>
    <n v="0"/>
    <n v="11326"/>
    <x v="186"/>
    <x v="0"/>
    <x v="0"/>
    <x v="0"/>
  </r>
  <r>
    <s v="Description 1369"/>
    <s v="Code 1369"/>
    <n v="4520"/>
    <n v="5100"/>
    <n v="3940"/>
    <n v="4620"/>
    <n v="5590"/>
    <n v="4790"/>
    <n v="3520"/>
    <n v="4560"/>
    <n v="4190"/>
    <n v="0"/>
    <n v="0"/>
    <x v="74"/>
    <x v="0"/>
    <x v="0"/>
    <x v="0"/>
  </r>
  <r>
    <s v="Description 1370"/>
    <s v="Code 1370"/>
    <n v="560"/>
    <n v="0"/>
    <n v="20"/>
    <n v="0"/>
    <n v="0"/>
    <n v="0"/>
    <n v="500"/>
    <n v="0"/>
    <n v="0"/>
    <n v="0"/>
    <n v="247"/>
    <x v="185"/>
    <x v="0"/>
    <x v="0"/>
    <x v="0"/>
  </r>
  <r>
    <s v="Description 1371"/>
    <s v="Code 1371"/>
    <n v="1600"/>
    <n v="0"/>
    <n v="0"/>
    <n v="0"/>
    <n v="0"/>
    <n v="0"/>
    <n v="18"/>
    <n v="0"/>
    <n v="0"/>
    <n v="0"/>
    <n v="0"/>
    <x v="20"/>
    <x v="0"/>
    <x v="0"/>
    <x v="0"/>
  </r>
  <r>
    <s v="Description 1372"/>
    <s v="Code 1372"/>
    <n v="0"/>
    <n v="0"/>
    <n v="0"/>
    <n v="0"/>
    <n v="0"/>
    <n v="0"/>
    <n v="0"/>
    <n v="0"/>
    <n v="0"/>
    <n v="0"/>
    <n v="0"/>
    <x v="121"/>
    <x v="0"/>
    <x v="0"/>
    <x v="0"/>
  </r>
  <r>
    <s v="Description 1373"/>
    <s v="Code 1373"/>
    <n v="0"/>
    <n v="0"/>
    <n v="0"/>
    <n v="0"/>
    <n v="0"/>
    <n v="0"/>
    <n v="0"/>
    <n v="0"/>
    <n v="0"/>
    <n v="0"/>
    <n v="0"/>
    <x v="145"/>
    <x v="0"/>
    <x v="0"/>
    <x v="0"/>
  </r>
  <r>
    <s v="Description 1374"/>
    <s v="Code 1374"/>
    <n v="0"/>
    <n v="0"/>
    <n v="0"/>
    <n v="0"/>
    <n v="0"/>
    <n v="0"/>
    <n v="0"/>
    <n v="0"/>
    <n v="0"/>
    <n v="0"/>
    <n v="0"/>
    <x v="191"/>
    <x v="0"/>
    <x v="0"/>
    <x v="0"/>
  </r>
  <r>
    <s v="Description 1375"/>
    <s v="Code 1375"/>
    <n v="0"/>
    <n v="0"/>
    <n v="0"/>
    <n v="0"/>
    <n v="0"/>
    <n v="0"/>
    <n v="0"/>
    <n v="0"/>
    <n v="0"/>
    <n v="0"/>
    <n v="0"/>
    <x v="157"/>
    <x v="0"/>
    <x v="0"/>
    <x v="0"/>
  </r>
  <r>
    <s v="Description 1376"/>
    <s v="Code 1376"/>
    <n v="0"/>
    <n v="0"/>
    <n v="0"/>
    <n v="0"/>
    <n v="0"/>
    <n v="0"/>
    <n v="0"/>
    <n v="0"/>
    <n v="0"/>
    <n v="0"/>
    <n v="0"/>
    <x v="106"/>
    <x v="0"/>
    <x v="0"/>
    <x v="0"/>
  </r>
  <r>
    <s v="Description 1377"/>
    <s v="Code 1377"/>
    <n v="0"/>
    <n v="0"/>
    <n v="0"/>
    <n v="0"/>
    <n v="0"/>
    <n v="0"/>
    <n v="0"/>
    <n v="0"/>
    <n v="0"/>
    <n v="0"/>
    <n v="0"/>
    <x v="124"/>
    <x v="0"/>
    <x v="0"/>
    <x v="0"/>
  </r>
  <r>
    <s v="Description 1378"/>
    <s v="Code 1378"/>
    <n v="0"/>
    <n v="0"/>
    <n v="0"/>
    <n v="0"/>
    <n v="0"/>
    <n v="0"/>
    <n v="0"/>
    <n v="0"/>
    <n v="0"/>
    <n v="0"/>
    <n v="0"/>
    <x v="6"/>
    <x v="0"/>
    <x v="0"/>
    <x v="0"/>
  </r>
  <r>
    <s v="Description 1379"/>
    <s v="Code 1379"/>
    <n v="0"/>
    <n v="0"/>
    <n v="0"/>
    <n v="0"/>
    <n v="50"/>
    <n v="100"/>
    <n v="20"/>
    <n v="70"/>
    <n v="36"/>
    <n v="0"/>
    <n v="0"/>
    <x v="42"/>
    <x v="0"/>
    <x v="1"/>
    <x v="0"/>
  </r>
  <r>
    <s v="Description 1380"/>
    <s v="Code 1380"/>
    <n v="0"/>
    <n v="0"/>
    <n v="0"/>
    <n v="0"/>
    <n v="0"/>
    <n v="0"/>
    <n v="0"/>
    <n v="0"/>
    <n v="0"/>
    <n v="0"/>
    <n v="2144"/>
    <x v="127"/>
    <x v="0"/>
    <x v="0"/>
    <x v="0"/>
  </r>
  <r>
    <s v="Description 1381"/>
    <s v="Code 1381"/>
    <n v="100"/>
    <n v="10"/>
    <n v="60"/>
    <n v="40"/>
    <n v="80"/>
    <n v="40"/>
    <n v="20"/>
    <n v="50"/>
    <n v="70"/>
    <n v="0"/>
    <n v="537"/>
    <x v="47"/>
    <x v="0"/>
    <x v="0"/>
    <x v="0"/>
  </r>
  <r>
    <s v="Description 1382"/>
    <s v="Code 1382"/>
    <n v="0"/>
    <n v="0"/>
    <n v="0"/>
    <n v="0"/>
    <n v="0"/>
    <n v="0"/>
    <n v="0"/>
    <n v="0"/>
    <n v="0"/>
    <n v="0"/>
    <n v="0"/>
    <x v="82"/>
    <x v="0"/>
    <x v="0"/>
    <x v="0"/>
  </r>
  <r>
    <s v="Description 1383"/>
    <s v="Code 1383"/>
    <n v="0"/>
    <n v="0"/>
    <n v="0"/>
    <n v="0"/>
    <n v="0"/>
    <n v="0"/>
    <n v="0"/>
    <n v="0"/>
    <n v="32"/>
    <n v="0"/>
    <n v="134"/>
    <x v="128"/>
    <x v="0"/>
    <x v="0"/>
    <x v="0"/>
  </r>
  <r>
    <s v="Description 1384"/>
    <s v="Code 1384"/>
    <n v="38"/>
    <n v="19"/>
    <n v="25"/>
    <n v="25"/>
    <n v="18"/>
    <n v="20"/>
    <n v="15"/>
    <n v="20"/>
    <n v="16"/>
    <n v="0"/>
    <n v="126"/>
    <x v="5"/>
    <x v="0"/>
    <x v="0"/>
    <x v="0"/>
  </r>
  <r>
    <s v="Description 1385"/>
    <s v="Code 1385"/>
    <n v="38"/>
    <n v="19"/>
    <n v="25"/>
    <n v="25"/>
    <n v="18"/>
    <n v="20"/>
    <n v="15"/>
    <n v="20"/>
    <n v="16"/>
    <n v="0"/>
    <n v="497"/>
    <x v="197"/>
    <x v="0"/>
    <x v="0"/>
    <x v="0"/>
  </r>
  <r>
    <s v="Description 1386"/>
    <s v="Code 1386"/>
    <n v="76"/>
    <n v="42"/>
    <n v="54"/>
    <n v="54"/>
    <n v="36"/>
    <n v="42"/>
    <n v="30"/>
    <n v="42"/>
    <n v="32"/>
    <n v="0"/>
    <n v="403"/>
    <x v="13"/>
    <x v="0"/>
    <x v="1"/>
    <x v="0"/>
  </r>
  <r>
    <s v="Description 1387"/>
    <s v="Code 1387"/>
    <n v="76"/>
    <n v="42"/>
    <n v="54"/>
    <n v="54"/>
    <n v="36"/>
    <n v="42"/>
    <n v="30"/>
    <n v="42"/>
    <n v="32"/>
    <n v="0"/>
    <n v="335"/>
    <x v="68"/>
    <x v="0"/>
    <x v="0"/>
    <x v="0"/>
  </r>
  <r>
    <s v="Description 1388"/>
    <s v="Code 1388"/>
    <n v="0"/>
    <n v="26"/>
    <n v="38"/>
    <n v="38"/>
    <n v="4"/>
    <n v="10"/>
    <n v="10"/>
    <n v="10"/>
    <n v="2"/>
    <n v="0"/>
    <n v="305"/>
    <x v="188"/>
    <x v="0"/>
    <x v="0"/>
    <x v="0"/>
  </r>
  <r>
    <s v="Description 1389"/>
    <s v="Code 1389"/>
    <n v="38"/>
    <n v="31"/>
    <n v="43"/>
    <n v="43"/>
    <n v="15"/>
    <n v="22"/>
    <n v="20"/>
    <n v="21"/>
    <n v="16"/>
    <n v="0"/>
    <n v="327"/>
    <x v="5"/>
    <x v="0"/>
    <x v="0"/>
    <x v="0"/>
  </r>
  <r>
    <s v="Description 1390"/>
    <s v="Code 1390"/>
    <n v="38"/>
    <n v="31"/>
    <n v="43"/>
    <n v="43"/>
    <n v="15"/>
    <n v="22"/>
    <n v="20"/>
    <n v="21"/>
    <n v="16"/>
    <n v="0"/>
    <n v="234"/>
    <x v="92"/>
    <x v="0"/>
    <x v="0"/>
    <x v="0"/>
  </r>
  <r>
    <s v="Description 1391"/>
    <s v="Code 1391"/>
    <n v="0"/>
    <n v="0"/>
    <n v="0"/>
    <n v="0"/>
    <n v="0"/>
    <n v="0"/>
    <n v="0"/>
    <n v="0"/>
    <n v="0"/>
    <n v="0"/>
    <n v="186"/>
    <x v="123"/>
    <x v="0"/>
    <x v="1"/>
    <x v="0"/>
  </r>
  <r>
    <s v="Description 1392"/>
    <s v="Code 1392"/>
    <n v="6"/>
    <n v="4"/>
    <n v="12"/>
    <n v="12"/>
    <n v="2"/>
    <n v="4"/>
    <n v="2"/>
    <n v="4"/>
    <n v="2"/>
    <n v="0"/>
    <n v="0"/>
    <x v="79"/>
    <x v="0"/>
    <x v="0"/>
    <x v="0"/>
  </r>
  <r>
    <s v="Description 1393"/>
    <s v="Code 1393"/>
    <n v="0"/>
    <n v="0"/>
    <n v="0"/>
    <n v="0"/>
    <n v="2"/>
    <n v="1"/>
    <n v="0"/>
    <n v="1"/>
    <n v="0"/>
    <n v="0"/>
    <n v="139"/>
    <x v="108"/>
    <x v="0"/>
    <x v="1"/>
    <x v="0"/>
  </r>
  <r>
    <s v="Description 1394"/>
    <s v="Code 1394"/>
    <n v="20"/>
    <n v="16"/>
    <n v="18"/>
    <n v="18"/>
    <n v="8"/>
    <n v="10"/>
    <n v="10"/>
    <n v="8"/>
    <n v="8"/>
    <n v="0"/>
    <n v="0"/>
    <x v="69"/>
    <x v="0"/>
    <x v="0"/>
    <x v="0"/>
  </r>
  <r>
    <s v="Description 1395"/>
    <s v="Code 1395"/>
    <n v="0"/>
    <n v="1"/>
    <n v="1"/>
    <n v="1"/>
    <n v="2"/>
    <n v="1"/>
    <n v="0"/>
    <n v="2"/>
    <n v="1"/>
    <n v="0"/>
    <n v="0"/>
    <x v="37"/>
    <x v="0"/>
    <x v="0"/>
    <x v="0"/>
  </r>
  <r>
    <s v="Description 1396"/>
    <s v="Code 1396"/>
    <n v="0"/>
    <n v="1"/>
    <n v="1"/>
    <n v="1"/>
    <n v="0"/>
    <n v="1"/>
    <n v="0"/>
    <n v="1"/>
    <n v="0"/>
    <n v="0"/>
    <n v="226"/>
    <x v="10"/>
    <x v="0"/>
    <x v="0"/>
    <x v="0"/>
  </r>
  <r>
    <s v="Description 1397"/>
    <s v="Code 1397"/>
    <n v="12"/>
    <n v="8"/>
    <n v="10"/>
    <n v="10"/>
    <n v="4"/>
    <n v="5"/>
    <n v="6"/>
    <n v="6"/>
    <n v="5"/>
    <n v="0"/>
    <n v="0"/>
    <x v="37"/>
    <x v="0"/>
    <x v="0"/>
    <x v="0"/>
  </r>
  <r>
    <s v="Description 1398"/>
    <s v="Code 1398"/>
    <n v="0"/>
    <n v="0"/>
    <n v="0"/>
    <n v="0"/>
    <n v="1"/>
    <n v="1"/>
    <n v="0"/>
    <n v="1"/>
    <n v="0"/>
    <n v="0"/>
    <n v="639"/>
    <x v="190"/>
    <x v="0"/>
    <x v="0"/>
    <x v="0"/>
  </r>
  <r>
    <s v="Description 1399"/>
    <s v="Code 1399"/>
    <n v="0"/>
    <n v="3"/>
    <n v="3"/>
    <n v="3"/>
    <n v="1"/>
    <n v="1"/>
    <n v="2"/>
    <n v="1"/>
    <n v="1"/>
    <n v="0"/>
    <n v="0"/>
    <x v="152"/>
    <x v="0"/>
    <x v="0"/>
    <x v="0"/>
  </r>
  <r>
    <s v="Description 1400"/>
    <s v="Code 1400"/>
    <n v="0"/>
    <n v="0"/>
    <n v="0"/>
    <n v="0"/>
    <n v="0"/>
    <n v="0"/>
    <n v="0"/>
    <n v="0"/>
    <n v="0"/>
    <n v="0"/>
    <n v="0"/>
    <x v="63"/>
    <x v="0"/>
    <x v="0"/>
    <x v="0"/>
  </r>
  <r>
    <s v="Description 1401"/>
    <s v="Code 1401"/>
    <n v="0"/>
    <n v="0"/>
    <n v="0"/>
    <n v="0"/>
    <n v="0"/>
    <n v="1"/>
    <n v="0"/>
    <n v="1"/>
    <n v="0"/>
    <n v="0"/>
    <n v="0"/>
    <x v="143"/>
    <x v="0"/>
    <x v="0"/>
    <x v="0"/>
  </r>
  <r>
    <s v="Description 1402"/>
    <s v="Code 1402"/>
    <n v="0"/>
    <n v="0"/>
    <n v="0"/>
    <n v="0"/>
    <n v="0"/>
    <n v="1"/>
    <n v="0"/>
    <n v="1"/>
    <n v="0"/>
    <n v="0"/>
    <n v="240"/>
    <x v="174"/>
    <x v="0"/>
    <x v="0"/>
    <x v="0"/>
  </r>
  <r>
    <s v="Description 1403"/>
    <s v="Code 1403"/>
    <n v="0"/>
    <n v="0"/>
    <n v="0"/>
    <n v="0"/>
    <n v="0"/>
    <n v="0"/>
    <n v="0"/>
    <n v="0"/>
    <n v="0"/>
    <n v="0"/>
    <n v="177"/>
    <x v="21"/>
    <x v="0"/>
    <x v="0"/>
    <x v="0"/>
  </r>
  <r>
    <s v="Description 1404"/>
    <s v="Code 1404"/>
    <n v="6"/>
    <n v="4"/>
    <n v="12"/>
    <n v="12"/>
    <n v="2"/>
    <n v="4"/>
    <n v="2"/>
    <n v="4"/>
    <n v="2"/>
    <n v="0"/>
    <n v="0"/>
    <x v="138"/>
    <x v="0"/>
    <x v="0"/>
    <x v="0"/>
  </r>
  <r>
    <s v="Description 1405"/>
    <s v="Code 1405"/>
    <n v="0"/>
    <n v="0"/>
    <n v="0"/>
    <n v="0"/>
    <n v="2"/>
    <n v="1"/>
    <n v="0"/>
    <n v="1"/>
    <n v="0"/>
    <n v="0"/>
    <n v="131"/>
    <x v="26"/>
    <x v="0"/>
    <x v="1"/>
    <x v="0"/>
  </r>
  <r>
    <s v="Description 1406"/>
    <s v="Code 1406"/>
    <n v="20"/>
    <n v="16"/>
    <n v="18"/>
    <n v="18"/>
    <n v="8"/>
    <n v="10"/>
    <n v="10"/>
    <n v="8"/>
    <n v="8"/>
    <n v="0"/>
    <n v="0"/>
    <x v="102"/>
    <x v="0"/>
    <x v="0"/>
    <x v="0"/>
  </r>
  <r>
    <s v="Description 1407"/>
    <s v="Code 1407"/>
    <n v="0"/>
    <n v="1"/>
    <n v="1"/>
    <n v="1"/>
    <n v="2"/>
    <n v="1"/>
    <n v="0"/>
    <n v="2"/>
    <n v="1"/>
    <n v="0"/>
    <n v="0"/>
    <x v="138"/>
    <x v="0"/>
    <x v="0"/>
    <x v="0"/>
  </r>
  <r>
    <s v="Description 1408"/>
    <s v="Code 1408"/>
    <n v="0"/>
    <n v="1"/>
    <n v="1"/>
    <n v="1"/>
    <n v="0"/>
    <n v="1"/>
    <n v="0"/>
    <n v="1"/>
    <n v="0"/>
    <n v="0"/>
    <n v="232"/>
    <x v="53"/>
    <x v="0"/>
    <x v="0"/>
    <x v="0"/>
  </r>
  <r>
    <s v="Description 1409"/>
    <s v="Code 1409"/>
    <n v="12"/>
    <n v="8"/>
    <n v="10"/>
    <n v="10"/>
    <n v="4"/>
    <n v="5"/>
    <n v="6"/>
    <n v="6"/>
    <n v="5"/>
    <n v="0"/>
    <n v="0"/>
    <x v="38"/>
    <x v="0"/>
    <x v="0"/>
    <x v="0"/>
  </r>
  <r>
    <s v="Description 1410"/>
    <s v="Code 1410"/>
    <n v="0"/>
    <n v="0"/>
    <n v="0"/>
    <n v="0"/>
    <n v="1"/>
    <n v="1"/>
    <n v="0"/>
    <n v="1"/>
    <n v="0"/>
    <n v="0"/>
    <n v="646"/>
    <x v="188"/>
    <x v="0"/>
    <x v="0"/>
    <x v="0"/>
  </r>
  <r>
    <s v="Description 1411"/>
    <s v="Code 1411"/>
    <n v="0"/>
    <n v="3"/>
    <n v="3"/>
    <n v="3"/>
    <n v="1"/>
    <n v="1"/>
    <n v="2"/>
    <n v="1"/>
    <n v="1"/>
    <n v="0"/>
    <n v="0"/>
    <x v="18"/>
    <x v="0"/>
    <x v="0"/>
    <x v="0"/>
  </r>
  <r>
    <s v="Description 1412"/>
    <s v="Code 1412"/>
    <n v="0"/>
    <n v="0"/>
    <n v="0"/>
    <n v="0"/>
    <n v="0"/>
    <n v="0"/>
    <n v="0"/>
    <n v="0"/>
    <n v="0"/>
    <n v="0"/>
    <n v="0"/>
    <x v="12"/>
    <x v="0"/>
    <x v="0"/>
    <x v="0"/>
  </r>
  <r>
    <s v="Description 1413"/>
    <s v="Code 1413"/>
    <n v="0"/>
    <n v="0"/>
    <n v="0"/>
    <n v="0"/>
    <n v="0"/>
    <n v="1"/>
    <n v="0"/>
    <n v="1"/>
    <n v="0"/>
    <n v="0"/>
    <n v="0"/>
    <x v="100"/>
    <x v="0"/>
    <x v="0"/>
    <x v="0"/>
  </r>
  <r>
    <s v="Description 1414"/>
    <s v="Code 1414"/>
    <n v="0"/>
    <n v="0"/>
    <n v="0"/>
    <n v="0"/>
    <n v="0"/>
    <n v="1"/>
    <n v="0"/>
    <n v="1"/>
    <n v="0"/>
    <n v="0"/>
    <n v="245"/>
    <x v="126"/>
    <x v="0"/>
    <x v="0"/>
    <x v="0"/>
  </r>
  <r>
    <s v="Description 1415"/>
    <s v="Code 1415"/>
    <n v="0"/>
    <n v="13"/>
    <n v="19"/>
    <n v="19"/>
    <n v="2"/>
    <n v="5"/>
    <n v="5"/>
    <n v="5"/>
    <n v="1"/>
    <n v="0"/>
    <n v="245"/>
    <x v="27"/>
    <x v="0"/>
    <x v="0"/>
    <x v="0"/>
  </r>
  <r>
    <s v="Description 1416"/>
    <s v="Code 1416"/>
    <n v="0"/>
    <n v="13"/>
    <n v="19"/>
    <n v="19"/>
    <n v="2"/>
    <n v="5"/>
    <n v="5"/>
    <n v="5"/>
    <n v="1"/>
    <n v="0"/>
    <n v="112"/>
    <x v="25"/>
    <x v="0"/>
    <x v="1"/>
    <x v="0"/>
  </r>
  <r>
    <s v="Description 1417"/>
    <s v="Code 1417"/>
    <n v="0"/>
    <n v="4"/>
    <n v="4"/>
    <n v="4"/>
    <n v="0"/>
    <n v="2"/>
    <n v="0"/>
    <n v="2"/>
    <n v="0"/>
    <n v="0"/>
    <n v="0"/>
    <x v="19"/>
    <x v="0"/>
    <x v="0"/>
    <x v="0"/>
  </r>
  <r>
    <s v="Description 1418"/>
    <s v="Code 1418"/>
    <n v="0"/>
    <n v="0"/>
    <n v="0"/>
    <n v="0"/>
    <n v="0"/>
    <n v="0"/>
    <n v="0"/>
    <n v="0"/>
    <n v="0"/>
    <n v="0"/>
    <n v="250"/>
    <x v="171"/>
    <x v="0"/>
    <x v="0"/>
    <x v="0"/>
  </r>
  <r>
    <s v="Description 1419"/>
    <s v="Code 1419"/>
    <n v="0"/>
    <n v="2"/>
    <n v="2"/>
    <n v="2"/>
    <n v="6"/>
    <n v="6"/>
    <n v="0"/>
    <n v="6"/>
    <n v="2"/>
    <n v="0"/>
    <n v="700"/>
    <x v="11"/>
    <x v="0"/>
    <x v="0"/>
    <x v="0"/>
  </r>
  <r>
    <s v="Description 1420"/>
    <s v="Code 1420"/>
    <n v="0"/>
    <n v="4"/>
    <n v="4"/>
    <n v="4"/>
    <n v="0"/>
    <n v="2"/>
    <n v="0"/>
    <n v="2"/>
    <n v="0"/>
    <n v="0"/>
    <n v="112"/>
    <x v="52"/>
    <x v="0"/>
    <x v="0"/>
    <x v="0"/>
  </r>
  <r>
    <s v="Description 1421"/>
    <s v="Code 1421"/>
    <n v="0"/>
    <n v="0"/>
    <n v="0"/>
    <n v="0"/>
    <n v="0"/>
    <n v="0"/>
    <n v="0"/>
    <n v="0"/>
    <n v="0"/>
    <n v="0"/>
    <n v="250"/>
    <x v="51"/>
    <x v="0"/>
    <x v="0"/>
    <x v="0"/>
  </r>
  <r>
    <s v="Description 1422"/>
    <s v="Code 1422"/>
    <n v="0"/>
    <n v="2"/>
    <n v="2"/>
    <n v="2"/>
    <n v="6"/>
    <n v="6"/>
    <n v="0"/>
    <n v="6"/>
    <n v="2"/>
    <n v="0"/>
    <n v="605"/>
    <x v="63"/>
    <x v="0"/>
    <x v="0"/>
    <x v="0"/>
  </r>
  <r>
    <s v="Description 1423"/>
    <s v="Code 1423"/>
    <n v="0"/>
    <n v="26"/>
    <n v="38"/>
    <n v="38"/>
    <n v="0"/>
    <n v="10"/>
    <n v="10"/>
    <n v="8"/>
    <n v="2"/>
    <n v="0"/>
    <n v="1183"/>
    <x v="33"/>
    <x v="0"/>
    <x v="0"/>
    <x v="0"/>
  </r>
  <r>
    <s v="Description 1424"/>
    <s v="Code 1424"/>
    <n v="76"/>
    <n v="62"/>
    <n v="86"/>
    <n v="86"/>
    <n v="30"/>
    <n v="44"/>
    <n v="40"/>
    <n v="42"/>
    <n v="32"/>
    <n v="0"/>
    <n v="680"/>
    <x v="19"/>
    <x v="0"/>
    <x v="0"/>
    <x v="0"/>
  </r>
  <r>
    <s v="Description 1425"/>
    <s v="Code 1425"/>
    <n v="152"/>
    <n v="124"/>
    <n v="172"/>
    <n v="172"/>
    <n v="60"/>
    <n v="88"/>
    <n v="80"/>
    <n v="84"/>
    <n v="64"/>
    <n v="0"/>
    <n v="47"/>
    <x v="27"/>
    <x v="0"/>
    <x v="0"/>
    <x v="0"/>
  </r>
  <r>
    <s v="Description 1426"/>
    <s v="Code 1426"/>
    <n v="152"/>
    <n v="124"/>
    <n v="172"/>
    <n v="172"/>
    <n v="60"/>
    <n v="88"/>
    <n v="80"/>
    <n v="84"/>
    <n v="64"/>
    <n v="0"/>
    <n v="377"/>
    <x v="61"/>
    <x v="0"/>
    <x v="0"/>
    <x v="0"/>
  </r>
  <r>
    <s v="Description 1427"/>
    <s v="Code 1427"/>
    <n v="76"/>
    <n v="64"/>
    <n v="88"/>
    <n v="88"/>
    <n v="40"/>
    <n v="50"/>
    <n v="40"/>
    <n v="50"/>
    <n v="34"/>
    <n v="0"/>
    <n v="265"/>
    <x v="195"/>
    <x v="0"/>
    <x v="0"/>
    <x v="0"/>
  </r>
  <r>
    <s v="Description 1428"/>
    <s v="Code 1428"/>
    <n v="38"/>
    <n v="32"/>
    <n v="44"/>
    <n v="44"/>
    <n v="20"/>
    <n v="25"/>
    <n v="20"/>
    <n v="25"/>
    <n v="17"/>
    <n v="0"/>
    <n v="129"/>
    <x v="13"/>
    <x v="0"/>
    <x v="1"/>
    <x v="0"/>
  </r>
  <r>
    <s v="Description 1429"/>
    <s v="Code 1429"/>
    <n v="0"/>
    <n v="0"/>
    <n v="0"/>
    <n v="0"/>
    <n v="0"/>
    <n v="0"/>
    <n v="0"/>
    <n v="0"/>
    <n v="0"/>
    <n v="0"/>
    <n v="292"/>
    <x v="154"/>
    <x v="0"/>
    <x v="0"/>
    <x v="0"/>
  </r>
  <r>
    <s v="Description 1430"/>
    <s v="Code 1430"/>
    <n v="38"/>
    <n v="34"/>
    <n v="46"/>
    <n v="46"/>
    <n v="20"/>
    <n v="26"/>
    <n v="20"/>
    <n v="26"/>
    <n v="17"/>
    <n v="0"/>
    <n v="0"/>
    <x v="81"/>
    <x v="0"/>
    <x v="0"/>
    <x v="0"/>
  </r>
  <r>
    <s v="Description 1431"/>
    <s v="Code 1431"/>
    <n v="0"/>
    <n v="0"/>
    <n v="0"/>
    <n v="0"/>
    <n v="0"/>
    <n v="0"/>
    <n v="0"/>
    <n v="0"/>
    <n v="0"/>
    <n v="0"/>
    <n v="86"/>
    <x v="54"/>
    <x v="0"/>
    <x v="0"/>
    <x v="0"/>
  </r>
  <r>
    <s v="Description 1432"/>
    <s v="Code 1432"/>
    <n v="38"/>
    <n v="34"/>
    <n v="46"/>
    <n v="46"/>
    <n v="20"/>
    <n v="26"/>
    <n v="20"/>
    <n v="26"/>
    <n v="17"/>
    <n v="0"/>
    <n v="0"/>
    <x v="84"/>
    <x v="0"/>
    <x v="0"/>
    <x v="0"/>
  </r>
  <r>
    <s v="Description 1433"/>
    <s v="Code 1433"/>
    <n v="0"/>
    <n v="0"/>
    <n v="0"/>
    <n v="0"/>
    <n v="0"/>
    <n v="0"/>
    <n v="0"/>
    <n v="0"/>
    <n v="0"/>
    <n v="0"/>
    <n v="1011"/>
    <x v="143"/>
    <x v="0"/>
    <x v="0"/>
    <x v="0"/>
  </r>
  <r>
    <s v="Description 1434"/>
    <s v="Code 1434"/>
    <n v="76"/>
    <n v="68"/>
    <n v="92"/>
    <n v="92"/>
    <n v="40"/>
    <n v="52"/>
    <n v="40"/>
    <n v="52"/>
    <n v="34"/>
    <n v="0"/>
    <n v="0"/>
    <x v="56"/>
    <x v="0"/>
    <x v="0"/>
    <x v="0"/>
  </r>
  <r>
    <s v="Description 1435"/>
    <s v="Code 1435"/>
    <n v="0"/>
    <n v="0"/>
    <n v="0"/>
    <n v="0"/>
    <n v="0"/>
    <n v="0"/>
    <n v="0"/>
    <n v="0"/>
    <n v="0"/>
    <n v="0"/>
    <n v="906"/>
    <x v="186"/>
    <x v="0"/>
    <x v="0"/>
    <x v="0"/>
  </r>
  <r>
    <s v="Description 1436"/>
    <s v="Code 1436"/>
    <n v="76"/>
    <n v="68"/>
    <n v="92"/>
    <n v="92"/>
    <n v="40"/>
    <n v="52"/>
    <n v="40"/>
    <n v="52"/>
    <n v="34"/>
    <n v="0"/>
    <n v="0"/>
    <x v="19"/>
    <x v="0"/>
    <x v="0"/>
    <x v="0"/>
  </r>
  <r>
    <s v="Description 1437"/>
    <s v="Code 1437"/>
    <n v="0"/>
    <n v="0"/>
    <n v="0"/>
    <n v="0"/>
    <n v="0"/>
    <n v="0"/>
    <n v="0"/>
    <n v="0"/>
    <n v="0"/>
    <n v="0"/>
    <n v="429"/>
    <x v="115"/>
    <x v="0"/>
    <x v="0"/>
    <x v="0"/>
  </r>
  <r>
    <s v="Description 1438"/>
    <s v="Code 1438"/>
    <n v="76"/>
    <n v="62"/>
    <n v="86"/>
    <n v="86"/>
    <n v="30"/>
    <n v="44"/>
    <n v="40"/>
    <n v="42"/>
    <n v="32"/>
    <n v="0"/>
    <n v="240"/>
    <x v="91"/>
    <x v="0"/>
    <x v="0"/>
    <x v="0"/>
  </r>
  <r>
    <s v="Description 1439"/>
    <s v="Code 1439"/>
    <n v="76"/>
    <n v="36"/>
    <n v="48"/>
    <n v="48"/>
    <n v="30"/>
    <n v="34"/>
    <n v="30"/>
    <n v="34"/>
    <n v="30"/>
    <n v="0"/>
    <n v="492"/>
    <x v="125"/>
    <x v="0"/>
    <x v="0"/>
    <x v="0"/>
  </r>
  <r>
    <s v="Description 1440"/>
    <s v="Code 1440"/>
    <n v="76"/>
    <n v="62"/>
    <n v="86"/>
    <n v="86"/>
    <n v="30"/>
    <n v="44"/>
    <n v="40"/>
    <n v="42"/>
    <n v="32"/>
    <n v="0"/>
    <n v="231"/>
    <x v="65"/>
    <x v="0"/>
    <x v="0"/>
    <x v="0"/>
  </r>
  <r>
    <s v="Description 1441"/>
    <s v="Code 1441"/>
    <n v="38"/>
    <n v="34"/>
    <n v="46"/>
    <n v="46"/>
    <n v="20"/>
    <n v="26"/>
    <n v="20"/>
    <n v="26"/>
    <n v="17"/>
    <n v="0"/>
    <n v="218"/>
    <x v="196"/>
    <x v="0"/>
    <x v="0"/>
    <x v="0"/>
  </r>
  <r>
    <s v="Description 1442"/>
    <s v="Code 1442"/>
    <n v="38"/>
    <n v="34"/>
    <n v="46"/>
    <n v="46"/>
    <n v="20"/>
    <n v="26"/>
    <n v="20"/>
    <n v="26"/>
    <n v="17"/>
    <n v="0"/>
    <n v="154"/>
    <x v="155"/>
    <x v="0"/>
    <x v="0"/>
    <x v="0"/>
  </r>
  <r>
    <s v="Description 1443"/>
    <s v="Code 1443"/>
    <n v="76"/>
    <n v="68"/>
    <n v="92"/>
    <n v="92"/>
    <n v="40"/>
    <n v="52"/>
    <n v="40"/>
    <n v="52"/>
    <n v="34"/>
    <n v="0"/>
    <n v="0"/>
    <x v="72"/>
    <x v="0"/>
    <x v="0"/>
    <x v="0"/>
  </r>
  <r>
    <s v="Description 1444"/>
    <s v="Code 1444"/>
    <n v="0"/>
    <n v="0"/>
    <n v="0"/>
    <n v="0"/>
    <n v="0"/>
    <n v="0"/>
    <n v="0"/>
    <n v="0"/>
    <n v="0"/>
    <n v="0"/>
    <n v="537"/>
    <x v="0"/>
    <x v="0"/>
    <x v="0"/>
    <x v="0"/>
  </r>
  <r>
    <s v="Description 1445"/>
    <s v="Code 1445"/>
    <n v="76"/>
    <n v="84"/>
    <n v="108"/>
    <n v="108"/>
    <n v="42"/>
    <n v="58"/>
    <n v="46"/>
    <n v="60"/>
    <n v="38"/>
    <n v="0"/>
    <n v="0"/>
    <x v="67"/>
    <x v="0"/>
    <x v="0"/>
    <x v="0"/>
  </r>
  <r>
    <s v="Description 1446"/>
    <s v="Code 1446"/>
    <n v="0"/>
    <n v="0"/>
    <n v="0"/>
    <n v="0"/>
    <n v="0"/>
    <n v="0"/>
    <n v="0"/>
    <n v="0"/>
    <n v="0"/>
    <n v="0"/>
    <n v="142"/>
    <x v="41"/>
    <x v="0"/>
    <x v="0"/>
    <x v="0"/>
  </r>
  <r>
    <s v="Description 1447"/>
    <s v="Code 1447"/>
    <n v="76"/>
    <n v="68"/>
    <n v="92"/>
    <n v="92"/>
    <n v="40"/>
    <n v="52"/>
    <n v="40"/>
    <n v="52"/>
    <n v="34"/>
    <n v="0"/>
    <n v="0"/>
    <x v="56"/>
    <x v="0"/>
    <x v="0"/>
    <x v="0"/>
  </r>
  <r>
    <s v="Description 1448"/>
    <s v="Code 1448"/>
    <n v="0"/>
    <n v="0"/>
    <n v="0"/>
    <n v="0"/>
    <n v="0"/>
    <n v="0"/>
    <n v="0"/>
    <n v="0"/>
    <n v="0"/>
    <n v="0"/>
    <n v="89"/>
    <x v="122"/>
    <x v="0"/>
    <x v="0"/>
    <x v="0"/>
  </r>
  <r>
    <s v="Description 1449"/>
    <s v="Code 1449"/>
    <n v="76"/>
    <n v="40"/>
    <n v="52"/>
    <n v="52"/>
    <n v="30"/>
    <n v="36"/>
    <n v="30"/>
    <n v="36"/>
    <n v="30"/>
    <n v="0"/>
    <n v="0"/>
    <x v="88"/>
    <x v="0"/>
    <x v="0"/>
    <x v="0"/>
  </r>
  <r>
    <s v="Description 1450"/>
    <s v="Code 1450"/>
    <n v="0"/>
    <n v="0"/>
    <n v="0"/>
    <n v="0"/>
    <n v="0"/>
    <n v="0"/>
    <n v="0"/>
    <n v="0"/>
    <n v="0"/>
    <n v="0"/>
    <n v="0"/>
    <x v="161"/>
    <x v="0"/>
    <x v="0"/>
    <x v="0"/>
  </r>
  <r>
    <s v="Description 1451"/>
    <s v="Code 1451"/>
    <n v="0"/>
    <n v="0"/>
    <n v="0"/>
    <n v="0"/>
    <n v="0"/>
    <n v="0"/>
    <n v="0"/>
    <n v="0"/>
    <n v="0"/>
    <n v="0"/>
    <n v="4"/>
    <x v="5"/>
    <x v="0"/>
    <x v="0"/>
    <x v="0"/>
  </r>
  <r>
    <s v="Description 1452"/>
    <s v="Code 1452"/>
    <n v="0"/>
    <n v="0"/>
    <n v="0"/>
    <n v="0"/>
    <n v="0"/>
    <n v="2"/>
    <n v="0"/>
    <n v="2"/>
    <n v="0"/>
    <n v="0"/>
    <n v="60"/>
    <x v="172"/>
    <x v="0"/>
    <x v="0"/>
    <x v="0"/>
  </r>
  <r>
    <s v="Description 1453"/>
    <s v="Code 1453"/>
    <n v="0"/>
    <n v="26"/>
    <n v="38"/>
    <n v="38"/>
    <n v="0"/>
    <n v="10"/>
    <n v="10"/>
    <n v="8"/>
    <n v="2"/>
    <n v="0"/>
    <n v="268"/>
    <x v="176"/>
    <x v="0"/>
    <x v="0"/>
    <x v="0"/>
  </r>
  <r>
    <s v="Description 1454"/>
    <s v="Code 1454"/>
    <n v="76"/>
    <n v="36"/>
    <n v="48"/>
    <n v="48"/>
    <n v="30"/>
    <n v="34"/>
    <n v="30"/>
    <n v="34"/>
    <n v="30"/>
    <n v="0"/>
    <n v="70"/>
    <x v="156"/>
    <x v="0"/>
    <x v="0"/>
    <x v="0"/>
  </r>
  <r>
    <s v="Description 1455"/>
    <s v="Code 1455"/>
    <n v="76"/>
    <n v="58"/>
    <n v="82"/>
    <n v="82"/>
    <n v="28"/>
    <n v="42"/>
    <n v="38"/>
    <n v="40"/>
    <n v="30"/>
    <n v="0"/>
    <n v="0"/>
    <x v="47"/>
    <x v="0"/>
    <x v="0"/>
    <x v="0"/>
  </r>
  <r>
    <s v="Description 1456"/>
    <s v="Code 1456"/>
    <n v="0"/>
    <n v="0"/>
    <n v="0"/>
    <n v="0"/>
    <n v="4"/>
    <n v="0"/>
    <n v="0"/>
    <n v="2"/>
    <n v="0"/>
    <n v="0"/>
    <n v="0"/>
    <x v="18"/>
    <x v="0"/>
    <x v="0"/>
    <x v="0"/>
  </r>
  <r>
    <s v="Description 1457"/>
    <s v="Code 1457"/>
    <n v="0"/>
    <n v="0"/>
    <n v="0"/>
    <n v="0"/>
    <n v="4"/>
    <n v="0"/>
    <n v="0"/>
    <n v="2"/>
    <n v="0"/>
    <n v="0"/>
    <n v="19"/>
    <x v="87"/>
    <x v="0"/>
    <x v="0"/>
    <x v="0"/>
  </r>
  <r>
    <s v="Description 1458"/>
    <s v="Code 1458"/>
    <n v="0"/>
    <n v="1"/>
    <n v="1"/>
    <n v="1"/>
    <n v="5"/>
    <n v="3"/>
    <n v="0"/>
    <n v="4"/>
    <n v="1"/>
    <n v="0"/>
    <n v="19"/>
    <x v="11"/>
    <x v="0"/>
    <x v="0"/>
    <x v="0"/>
  </r>
  <r>
    <s v="Description 1459"/>
    <s v="Code 1459"/>
    <n v="0"/>
    <n v="1"/>
    <n v="1"/>
    <n v="1"/>
    <n v="5"/>
    <n v="3"/>
    <n v="0"/>
    <n v="4"/>
    <n v="1"/>
    <n v="0"/>
    <n v="11"/>
    <x v="143"/>
    <x v="0"/>
    <x v="0"/>
    <x v="0"/>
  </r>
  <r>
    <s v="Description 1460"/>
    <s v="Code 1460"/>
    <n v="0"/>
    <n v="1"/>
    <n v="1"/>
    <n v="1"/>
    <n v="5"/>
    <n v="3"/>
    <n v="0"/>
    <n v="4"/>
    <n v="1"/>
    <n v="0"/>
    <n v="11"/>
    <x v="121"/>
    <x v="0"/>
    <x v="0"/>
    <x v="0"/>
  </r>
  <r>
    <s v="Description 1461"/>
    <s v="Code 1461"/>
    <n v="0"/>
    <n v="1"/>
    <n v="1"/>
    <n v="1"/>
    <n v="5"/>
    <n v="3"/>
    <n v="0"/>
    <n v="4"/>
    <n v="1"/>
    <n v="0"/>
    <n v="0"/>
    <x v="191"/>
    <x v="0"/>
    <x v="0"/>
    <x v="0"/>
  </r>
  <r>
    <s v="Description 1462"/>
    <s v="Code 1462"/>
    <n v="0"/>
    <n v="2"/>
    <n v="2"/>
    <n v="2"/>
    <n v="0"/>
    <n v="1"/>
    <n v="0"/>
    <n v="1"/>
    <n v="0"/>
    <n v="0"/>
    <n v="1"/>
    <x v="9"/>
    <x v="0"/>
    <x v="0"/>
    <x v="0"/>
  </r>
  <r>
    <s v="Description 1463"/>
    <s v="Code 1463"/>
    <n v="0"/>
    <n v="2"/>
    <n v="2"/>
    <n v="2"/>
    <n v="0"/>
    <n v="1"/>
    <n v="0"/>
    <n v="1"/>
    <n v="0"/>
    <n v="0"/>
    <n v="25"/>
    <x v="1"/>
    <x v="0"/>
    <x v="0"/>
    <x v="0"/>
  </r>
  <r>
    <s v="Description 1464"/>
    <s v="Code 1464"/>
    <n v="0"/>
    <n v="2"/>
    <n v="2"/>
    <n v="2"/>
    <n v="0"/>
    <n v="1"/>
    <n v="0"/>
    <n v="1"/>
    <n v="0"/>
    <n v="0"/>
    <n v="25"/>
    <x v="93"/>
    <x v="0"/>
    <x v="0"/>
    <x v="0"/>
  </r>
  <r>
    <s v="Description 1465"/>
    <s v="Code 1465"/>
    <n v="0"/>
    <n v="2"/>
    <n v="2"/>
    <n v="2"/>
    <n v="0"/>
    <n v="1"/>
    <n v="0"/>
    <n v="1"/>
    <n v="0"/>
    <n v="0"/>
    <n v="0"/>
    <x v="12"/>
    <x v="0"/>
    <x v="0"/>
    <x v="0"/>
  </r>
  <r>
    <s v="Description 1466"/>
    <s v="Code 1466"/>
    <n v="0"/>
    <n v="0"/>
    <n v="0"/>
    <n v="0"/>
    <n v="0"/>
    <n v="0"/>
    <n v="0"/>
    <n v="0"/>
    <n v="0"/>
    <n v="0"/>
    <n v="0"/>
    <x v="179"/>
    <x v="0"/>
    <x v="0"/>
    <x v="0"/>
  </r>
  <r>
    <s v="Description 1467"/>
    <s v="Code 1467"/>
    <n v="0"/>
    <n v="2"/>
    <n v="2"/>
    <n v="2"/>
    <n v="0"/>
    <n v="1"/>
    <n v="0"/>
    <n v="1"/>
    <n v="0"/>
    <n v="0"/>
    <n v="0"/>
    <x v="9"/>
    <x v="0"/>
    <x v="0"/>
    <x v="0"/>
  </r>
  <r>
    <s v="Description 1468"/>
    <s v="Code 1468"/>
    <n v="0"/>
    <n v="2"/>
    <n v="2"/>
    <n v="2"/>
    <n v="0"/>
    <n v="1"/>
    <n v="0"/>
    <n v="1"/>
    <n v="0"/>
    <n v="0"/>
    <n v="0"/>
    <x v="147"/>
    <x v="0"/>
    <x v="0"/>
    <x v="0"/>
  </r>
  <r>
    <s v="Description 1469"/>
    <s v="Code 1469"/>
    <n v="0"/>
    <n v="2"/>
    <n v="2"/>
    <n v="2"/>
    <n v="0"/>
    <n v="1"/>
    <n v="0"/>
    <n v="1"/>
    <n v="0"/>
    <n v="0"/>
    <n v="0"/>
    <x v="4"/>
    <x v="0"/>
    <x v="0"/>
    <x v="0"/>
  </r>
  <r>
    <s v="Description 1470"/>
    <s v="Code 1470"/>
    <n v="0"/>
    <n v="2"/>
    <n v="2"/>
    <n v="2"/>
    <n v="0"/>
    <n v="1"/>
    <n v="0"/>
    <n v="1"/>
    <n v="0"/>
    <n v="0"/>
    <n v="0"/>
    <x v="138"/>
    <x v="0"/>
    <x v="0"/>
    <x v="0"/>
  </r>
  <r>
    <s v="Description 1471"/>
    <s v="Code 1471"/>
    <n v="0"/>
    <n v="1"/>
    <n v="1"/>
    <n v="1"/>
    <n v="0"/>
    <n v="0"/>
    <n v="0"/>
    <n v="0"/>
    <n v="0"/>
    <n v="0"/>
    <n v="0"/>
    <x v="151"/>
    <x v="0"/>
    <x v="0"/>
    <x v="0"/>
  </r>
  <r>
    <s v="Description 1472"/>
    <s v="Code 1472"/>
    <n v="0"/>
    <n v="1"/>
    <n v="1"/>
    <n v="1"/>
    <n v="0"/>
    <n v="1"/>
    <n v="0"/>
    <n v="1"/>
    <n v="0"/>
    <n v="0"/>
    <n v="0"/>
    <x v="186"/>
    <x v="0"/>
    <x v="0"/>
    <x v="0"/>
  </r>
  <r>
    <s v="Description 1473"/>
    <s v="Code 1473"/>
    <n v="0"/>
    <n v="4"/>
    <n v="4"/>
    <n v="4"/>
    <n v="0"/>
    <n v="2"/>
    <n v="0"/>
    <n v="2"/>
    <n v="0"/>
    <n v="0"/>
    <n v="249"/>
    <x v="198"/>
    <x v="0"/>
    <x v="0"/>
    <x v="0"/>
  </r>
  <r>
    <s v="Description 1474"/>
    <s v="Code 1474"/>
    <n v="0"/>
    <n v="0"/>
    <n v="0"/>
    <n v="0"/>
    <n v="0"/>
    <n v="0"/>
    <n v="0"/>
    <n v="0"/>
    <n v="0"/>
    <n v="0"/>
    <n v="160"/>
    <x v="188"/>
    <x v="0"/>
    <x v="0"/>
    <x v="0"/>
  </r>
  <r>
    <s v="Description 1475"/>
    <s v="Code 1475"/>
    <n v="76"/>
    <n v="68"/>
    <n v="92"/>
    <n v="92"/>
    <n v="40"/>
    <n v="48"/>
    <n v="40"/>
    <n v="48"/>
    <n v="34"/>
    <n v="0"/>
    <n v="0"/>
    <x v="114"/>
    <x v="0"/>
    <x v="0"/>
    <x v="0"/>
  </r>
  <r>
    <s v="Description 1476"/>
    <s v="Code 1476"/>
    <n v="0"/>
    <n v="0"/>
    <n v="0"/>
    <n v="0"/>
    <n v="0"/>
    <n v="0"/>
    <n v="0"/>
    <n v="0"/>
    <n v="0"/>
    <n v="0"/>
    <n v="183"/>
    <x v="185"/>
    <x v="0"/>
    <x v="0"/>
    <x v="0"/>
  </r>
  <r>
    <s v="Description 1477"/>
    <s v="Code 1477"/>
    <n v="0"/>
    <n v="0"/>
    <n v="0"/>
    <n v="0"/>
    <n v="0"/>
    <n v="4"/>
    <n v="0"/>
    <n v="4"/>
    <n v="0"/>
    <n v="0"/>
    <n v="24"/>
    <x v="69"/>
    <x v="0"/>
    <x v="0"/>
    <x v="0"/>
  </r>
  <r>
    <s v="Description 1478"/>
    <s v="Code 1478"/>
    <n v="0"/>
    <n v="0"/>
    <n v="0"/>
    <n v="0"/>
    <n v="0"/>
    <n v="0"/>
    <n v="0"/>
    <n v="0"/>
    <n v="0"/>
    <n v="0"/>
    <n v="56"/>
    <x v="66"/>
    <x v="0"/>
    <x v="0"/>
    <x v="0"/>
  </r>
  <r>
    <s v="Description 1479"/>
    <s v="Code 1479"/>
    <n v="12"/>
    <n v="8"/>
    <n v="24"/>
    <n v="24"/>
    <n v="4"/>
    <n v="8"/>
    <n v="4"/>
    <n v="8"/>
    <n v="4"/>
    <n v="0"/>
    <n v="134"/>
    <x v="75"/>
    <x v="0"/>
    <x v="0"/>
    <x v="0"/>
  </r>
  <r>
    <s v="Description 1480"/>
    <s v="Code 1480"/>
    <n v="40"/>
    <n v="34"/>
    <n v="38"/>
    <n v="38"/>
    <n v="16"/>
    <n v="22"/>
    <n v="20"/>
    <n v="18"/>
    <n v="16"/>
    <n v="0"/>
    <n v="200"/>
    <x v="182"/>
    <x v="0"/>
    <x v="0"/>
    <x v="0"/>
  </r>
  <r>
    <s v="Description 1481"/>
    <s v="Code 1481"/>
    <n v="24"/>
    <n v="18"/>
    <n v="22"/>
    <n v="22"/>
    <n v="8"/>
    <n v="10"/>
    <n v="12"/>
    <n v="12"/>
    <n v="10"/>
    <n v="0"/>
    <n v="0"/>
    <x v="153"/>
    <x v="0"/>
    <x v="0"/>
    <x v="0"/>
  </r>
  <r>
    <s v="Description 1482"/>
    <s v="Code 1482"/>
    <n v="0"/>
    <n v="6"/>
    <n v="6"/>
    <n v="6"/>
    <n v="2"/>
    <n v="2"/>
    <n v="4"/>
    <n v="2"/>
    <n v="2"/>
    <n v="0"/>
    <n v="0"/>
    <x v="128"/>
    <x v="0"/>
    <x v="0"/>
    <x v="0"/>
  </r>
  <r>
    <s v="Description 1483"/>
    <s v="Code 1483"/>
    <n v="0"/>
    <n v="0"/>
    <n v="0"/>
    <n v="0"/>
    <n v="0"/>
    <n v="4"/>
    <n v="0"/>
    <n v="4"/>
    <n v="0"/>
    <n v="0"/>
    <n v="0"/>
    <x v="6"/>
    <x v="0"/>
    <x v="0"/>
    <x v="0"/>
  </r>
  <r>
    <s v="Description 1484"/>
    <s v="Code 1484"/>
    <n v="0"/>
    <n v="0"/>
    <n v="0"/>
    <n v="0"/>
    <n v="0"/>
    <n v="4"/>
    <n v="0"/>
    <n v="4"/>
    <n v="0"/>
    <n v="0"/>
    <n v="27"/>
    <x v="166"/>
    <x v="0"/>
    <x v="0"/>
    <x v="0"/>
  </r>
  <r>
    <s v="Description 1485"/>
    <s v="Code 1485"/>
    <n v="76"/>
    <n v="66"/>
    <n v="90"/>
    <n v="90"/>
    <n v="30"/>
    <n v="46"/>
    <n v="40"/>
    <n v="44"/>
    <n v="32"/>
    <n v="0"/>
    <n v="0"/>
    <x v="16"/>
    <x v="0"/>
    <x v="0"/>
    <x v="0"/>
  </r>
  <r>
    <s v="Description 1486"/>
    <s v="Code 1486"/>
    <n v="0"/>
    <n v="0"/>
    <n v="0"/>
    <n v="0"/>
    <n v="4"/>
    <n v="2"/>
    <n v="0"/>
    <n v="2"/>
    <n v="0"/>
    <n v="0"/>
    <n v="0"/>
    <x v="69"/>
    <x v="0"/>
    <x v="0"/>
    <x v="0"/>
  </r>
  <r>
    <s v="Description 1487"/>
    <s v="Code 1487"/>
    <n v="0"/>
    <n v="2"/>
    <n v="2"/>
    <n v="2"/>
    <n v="4"/>
    <n v="2"/>
    <n v="0"/>
    <n v="4"/>
    <n v="2"/>
    <n v="0"/>
    <n v="0"/>
    <x v="29"/>
    <x v="0"/>
    <x v="0"/>
    <x v="0"/>
  </r>
  <r>
    <s v="Description 1488"/>
    <s v="Code 1488"/>
    <n v="0"/>
    <n v="0"/>
    <n v="0"/>
    <n v="0"/>
    <n v="2"/>
    <n v="2"/>
    <n v="0"/>
    <n v="2"/>
    <n v="0"/>
    <n v="0"/>
    <n v="0"/>
    <x v="161"/>
    <x v="0"/>
    <x v="0"/>
    <x v="0"/>
  </r>
  <r>
    <s v="Description 1489"/>
    <s v="Code 1489"/>
    <n v="0"/>
    <n v="2"/>
    <n v="2"/>
    <n v="2"/>
    <n v="10"/>
    <n v="6"/>
    <n v="0"/>
    <n v="8"/>
    <n v="2"/>
    <n v="0"/>
    <n v="341"/>
    <x v="193"/>
    <x v="0"/>
    <x v="0"/>
    <x v="0"/>
  </r>
  <r>
    <s v="Description 1490"/>
    <s v="Code 1490"/>
    <n v="76"/>
    <n v="62"/>
    <n v="86"/>
    <n v="86"/>
    <n v="30"/>
    <n v="44"/>
    <n v="40"/>
    <n v="42"/>
    <n v="32"/>
    <n v="0"/>
    <n v="740"/>
    <x v="64"/>
    <x v="0"/>
    <x v="0"/>
    <x v="0"/>
  </r>
  <r>
    <s v="Description 1491"/>
    <s v="Code 1491"/>
    <n v="76"/>
    <n v="68"/>
    <n v="92"/>
    <n v="92"/>
    <n v="40"/>
    <n v="52"/>
    <n v="40"/>
    <n v="52"/>
    <n v="34"/>
    <n v="0"/>
    <n v="88"/>
    <x v="26"/>
    <x v="0"/>
    <x v="1"/>
    <x v="0"/>
  </r>
  <r>
    <s v="Description 1492"/>
    <s v="Code 1492"/>
    <n v="76"/>
    <n v="62"/>
    <n v="86"/>
    <n v="86"/>
    <n v="30"/>
    <n v="44"/>
    <n v="40"/>
    <n v="42"/>
    <n v="32"/>
    <n v="0"/>
    <n v="217"/>
    <x v="179"/>
    <x v="0"/>
    <x v="0"/>
    <x v="0"/>
  </r>
  <r>
    <s v="Description 1493"/>
    <s v="Code 1493"/>
    <n v="76"/>
    <n v="62"/>
    <n v="86"/>
    <n v="86"/>
    <n v="30"/>
    <n v="44"/>
    <n v="40"/>
    <n v="42"/>
    <n v="32"/>
    <n v="0"/>
    <n v="168"/>
    <x v="13"/>
    <x v="0"/>
    <x v="1"/>
    <x v="0"/>
  </r>
  <r>
    <s v="Description 1494"/>
    <s v="Code 1494"/>
    <n v="76"/>
    <n v="62"/>
    <n v="86"/>
    <n v="86"/>
    <n v="30"/>
    <n v="44"/>
    <n v="40"/>
    <n v="42"/>
    <n v="32"/>
    <n v="0"/>
    <n v="301"/>
    <x v="78"/>
    <x v="0"/>
    <x v="0"/>
    <x v="0"/>
  </r>
  <r>
    <s v="Description 1495"/>
    <s v="Code 1495"/>
    <n v="76"/>
    <n v="62"/>
    <n v="86"/>
    <n v="86"/>
    <n v="30"/>
    <n v="44"/>
    <n v="40"/>
    <n v="42"/>
    <n v="32"/>
    <n v="0"/>
    <n v="30"/>
    <x v="181"/>
    <x v="0"/>
    <x v="0"/>
    <x v="0"/>
  </r>
  <r>
    <s v="Description 1496"/>
    <s v="Code 1496"/>
    <n v="0"/>
    <n v="2"/>
    <n v="2"/>
    <n v="2"/>
    <n v="10"/>
    <n v="6"/>
    <n v="0"/>
    <n v="8"/>
    <n v="2"/>
    <n v="0"/>
    <n v="0"/>
    <x v="143"/>
    <x v="0"/>
    <x v="0"/>
    <x v="0"/>
  </r>
  <r>
    <s v="Description 1497"/>
    <s v="Code 1497"/>
    <n v="0"/>
    <n v="2"/>
    <n v="2"/>
    <n v="2"/>
    <n v="10"/>
    <n v="6"/>
    <n v="0"/>
    <n v="8"/>
    <n v="2"/>
    <n v="0"/>
    <n v="0"/>
    <x v="175"/>
    <x v="0"/>
    <x v="0"/>
    <x v="0"/>
  </r>
  <r>
    <s v="Description 1498"/>
    <s v="Code 1498"/>
    <n v="0"/>
    <n v="2"/>
    <n v="2"/>
    <n v="2"/>
    <n v="10"/>
    <n v="6"/>
    <n v="0"/>
    <n v="8"/>
    <n v="2"/>
    <n v="0"/>
    <n v="0"/>
    <x v="53"/>
    <x v="0"/>
    <x v="0"/>
    <x v="0"/>
  </r>
  <r>
    <s v="Description 1499"/>
    <s v="Code 1499"/>
    <n v="0"/>
    <n v="2"/>
    <n v="2"/>
    <n v="2"/>
    <n v="10"/>
    <n v="6"/>
    <n v="0"/>
    <n v="8"/>
    <n v="2"/>
    <n v="0"/>
    <n v="0"/>
    <x v="67"/>
    <x v="0"/>
    <x v="0"/>
    <x v="0"/>
  </r>
  <r>
    <s v="Description 1500"/>
    <s v="Code 1500"/>
    <n v="0"/>
    <n v="2"/>
    <n v="2"/>
    <n v="2"/>
    <n v="10"/>
    <n v="6"/>
    <n v="0"/>
    <n v="8"/>
    <n v="2"/>
    <n v="0"/>
    <n v="0"/>
    <x v="143"/>
    <x v="0"/>
    <x v="0"/>
    <x v="0"/>
  </r>
  <r>
    <s v="Description 1501"/>
    <s v="Code 1501"/>
    <n v="0"/>
    <n v="2"/>
    <n v="2"/>
    <n v="2"/>
    <n v="10"/>
    <n v="6"/>
    <n v="0"/>
    <n v="8"/>
    <n v="2"/>
    <n v="0"/>
    <n v="0"/>
    <x v="82"/>
    <x v="0"/>
    <x v="0"/>
    <x v="0"/>
  </r>
  <r>
    <s v="Description 1502"/>
    <s v="Code 1502"/>
    <n v="0"/>
    <n v="2"/>
    <n v="2"/>
    <n v="2"/>
    <n v="10"/>
    <n v="6"/>
    <n v="0"/>
    <n v="8"/>
    <n v="2"/>
    <n v="0"/>
    <n v="78"/>
    <x v="46"/>
    <x v="0"/>
    <x v="0"/>
    <x v="0"/>
  </r>
  <r>
    <s v="Description 1503"/>
    <s v="Code 1503"/>
    <n v="0"/>
    <n v="4"/>
    <n v="4"/>
    <n v="4"/>
    <n v="0"/>
    <n v="2"/>
    <n v="0"/>
    <n v="2"/>
    <n v="0"/>
    <n v="0"/>
    <n v="60"/>
    <x v="39"/>
    <x v="0"/>
    <x v="0"/>
    <x v="0"/>
  </r>
  <r>
    <s v="Description 1504"/>
    <s v="Code 1504"/>
    <n v="0"/>
    <n v="4"/>
    <n v="4"/>
    <n v="4"/>
    <n v="0"/>
    <n v="2"/>
    <n v="0"/>
    <n v="2"/>
    <n v="0"/>
    <n v="0"/>
    <n v="45"/>
    <x v="149"/>
    <x v="0"/>
    <x v="0"/>
    <x v="0"/>
  </r>
  <r>
    <s v="Description 1505"/>
    <s v="Code 1505"/>
    <n v="0"/>
    <n v="2"/>
    <n v="2"/>
    <n v="2"/>
    <n v="0"/>
    <n v="1"/>
    <n v="0"/>
    <n v="1"/>
    <n v="0"/>
    <n v="0"/>
    <n v="45"/>
    <x v="48"/>
    <x v="0"/>
    <x v="0"/>
    <x v="0"/>
  </r>
  <r>
    <s v="Description 1506"/>
    <s v="Code 1506"/>
    <n v="0"/>
    <n v="2"/>
    <n v="2"/>
    <n v="2"/>
    <n v="0"/>
    <n v="1"/>
    <n v="0"/>
    <n v="1"/>
    <n v="0"/>
    <n v="0"/>
    <n v="495"/>
    <x v="28"/>
    <x v="0"/>
    <x v="1"/>
    <x v="0"/>
  </r>
  <r>
    <s v="Description 1507"/>
    <s v="Code 1507"/>
    <n v="76"/>
    <n v="62"/>
    <n v="86"/>
    <n v="86"/>
    <n v="38"/>
    <n v="46"/>
    <n v="36"/>
    <n v="46"/>
    <n v="32"/>
    <n v="0"/>
    <n v="0"/>
    <x v="136"/>
    <x v="0"/>
    <x v="1"/>
    <x v="0"/>
  </r>
  <r>
    <s v="Description 1508"/>
    <s v="Code 1508"/>
    <n v="0"/>
    <n v="0"/>
    <n v="0"/>
    <n v="0"/>
    <n v="0"/>
    <n v="0"/>
    <n v="0"/>
    <n v="0"/>
    <n v="0"/>
    <n v="0"/>
    <n v="152"/>
    <x v="17"/>
    <x v="0"/>
    <x v="0"/>
    <x v="0"/>
  </r>
  <r>
    <s v="Description 1509"/>
    <s v="Code 1509"/>
    <n v="0"/>
    <n v="6"/>
    <n v="6"/>
    <n v="6"/>
    <n v="2"/>
    <n v="6"/>
    <n v="4"/>
    <n v="6"/>
    <n v="2"/>
    <n v="0"/>
    <n v="1026"/>
    <x v="192"/>
    <x v="0"/>
    <x v="0"/>
    <x v="0"/>
  </r>
  <r>
    <s v="Description 1510"/>
    <s v="Code 1510"/>
    <n v="76"/>
    <n v="68"/>
    <n v="92"/>
    <n v="92"/>
    <n v="40"/>
    <n v="52"/>
    <n v="40"/>
    <n v="52"/>
    <n v="34"/>
    <n v="0"/>
    <n v="504"/>
    <x v="155"/>
    <x v="0"/>
    <x v="0"/>
    <x v="0"/>
  </r>
  <r>
    <s v="Description 1511"/>
    <s v="Code 1511"/>
    <n v="0"/>
    <n v="0"/>
    <n v="0"/>
    <n v="0"/>
    <n v="0"/>
    <n v="0"/>
    <n v="0"/>
    <n v="0"/>
    <n v="0"/>
    <n v="0"/>
    <n v="728"/>
    <x v="159"/>
    <x v="0"/>
    <x v="0"/>
    <x v="0"/>
  </r>
  <r>
    <s v="Description 1512"/>
    <s v="Code 1512"/>
    <n v="76"/>
    <n v="68"/>
    <n v="92"/>
    <n v="92"/>
    <n v="40"/>
    <n v="48"/>
    <n v="40"/>
    <n v="48"/>
    <n v="34"/>
    <n v="0"/>
    <n v="0"/>
    <x v="125"/>
    <x v="0"/>
    <x v="0"/>
    <x v="0"/>
  </r>
  <r>
    <s v="Description 1513"/>
    <s v="Code 1513"/>
    <n v="0"/>
    <n v="0"/>
    <n v="0"/>
    <n v="0"/>
    <n v="0"/>
    <n v="0"/>
    <n v="0"/>
    <n v="0"/>
    <n v="0"/>
    <n v="0"/>
    <n v="9"/>
    <x v="141"/>
    <x v="0"/>
    <x v="0"/>
    <x v="0"/>
  </r>
  <r>
    <s v="Description 1514"/>
    <s v="Code 1514"/>
    <n v="0"/>
    <n v="0"/>
    <n v="0"/>
    <n v="0"/>
    <n v="0"/>
    <n v="4"/>
    <n v="0"/>
    <n v="4"/>
    <n v="0"/>
    <n v="0"/>
    <n v="3349"/>
    <x v="194"/>
    <x v="0"/>
    <x v="0"/>
    <x v="0"/>
  </r>
  <r>
    <s v="Description 1515"/>
    <s v="Code 1515"/>
    <n v="152"/>
    <n v="136"/>
    <n v="184"/>
    <n v="184"/>
    <n v="80"/>
    <n v="104"/>
    <n v="80"/>
    <n v="104"/>
    <n v="68"/>
    <n v="0"/>
    <n v="0"/>
    <x v="198"/>
    <x v="0"/>
    <x v="0"/>
    <x v="0"/>
  </r>
  <r>
    <s v="Description 1516"/>
    <s v="Code 1516"/>
    <n v="0"/>
    <n v="0"/>
    <n v="0"/>
    <n v="0"/>
    <n v="0"/>
    <n v="0"/>
    <n v="0"/>
    <n v="0"/>
    <n v="0"/>
    <n v="0"/>
    <n v="1587"/>
    <x v="85"/>
    <x v="0"/>
    <x v="1"/>
    <x v="0"/>
  </r>
  <r>
    <s v="Description 1517"/>
    <s v="Code 1517"/>
    <n v="152"/>
    <n v="136"/>
    <n v="184"/>
    <n v="184"/>
    <n v="80"/>
    <n v="112"/>
    <n v="80"/>
    <n v="112"/>
    <n v="68"/>
    <n v="0"/>
    <n v="7239"/>
    <x v="69"/>
    <x v="0"/>
    <x v="0"/>
    <x v="0"/>
  </r>
  <r>
    <s v="Description 1518"/>
    <s v="Code 1518"/>
    <n v="304"/>
    <n v="272"/>
    <n v="368"/>
    <n v="368"/>
    <n v="160"/>
    <n v="208"/>
    <n v="160"/>
    <n v="208"/>
    <n v="136"/>
    <n v="0"/>
    <n v="0"/>
    <x v="137"/>
    <x v="0"/>
    <x v="1"/>
    <x v="0"/>
  </r>
  <r>
    <s v="Description 1519"/>
    <s v="Code 1519"/>
    <n v="0"/>
    <n v="0"/>
    <n v="0"/>
    <n v="0"/>
    <n v="0"/>
    <n v="0"/>
    <n v="0"/>
    <n v="0"/>
    <n v="0"/>
    <n v="0"/>
    <n v="4043"/>
    <x v="148"/>
    <x v="0"/>
    <x v="0"/>
    <x v="0"/>
  </r>
  <r>
    <s v="Description 1520"/>
    <s v="Code 1520"/>
    <n v="0"/>
    <n v="0"/>
    <n v="0"/>
    <n v="0"/>
    <n v="0"/>
    <n v="2"/>
    <n v="0"/>
    <n v="2"/>
    <n v="0"/>
    <n v="0"/>
    <n v="537"/>
    <x v="198"/>
    <x v="0"/>
    <x v="0"/>
    <x v="0"/>
  </r>
  <r>
    <s v="Description 1521"/>
    <s v="Code 1521"/>
    <n v="76"/>
    <n v="64"/>
    <n v="88"/>
    <n v="88"/>
    <n v="40"/>
    <n v="50"/>
    <n v="40"/>
    <n v="50"/>
    <n v="34"/>
    <n v="0"/>
    <n v="989"/>
    <x v="32"/>
    <x v="0"/>
    <x v="0"/>
    <x v="0"/>
  </r>
  <r>
    <s v="Description 1522"/>
    <s v="Code 1522"/>
    <n v="76"/>
    <n v="62"/>
    <n v="86"/>
    <n v="86"/>
    <n v="30"/>
    <n v="44"/>
    <n v="40"/>
    <n v="42"/>
    <n v="32"/>
    <n v="0"/>
    <n v="745"/>
    <x v="145"/>
    <x v="0"/>
    <x v="0"/>
    <x v="0"/>
  </r>
  <r>
    <s v="Description 1523"/>
    <s v="Code 1523"/>
    <n v="76"/>
    <n v="68"/>
    <n v="92"/>
    <n v="92"/>
    <n v="40"/>
    <n v="52"/>
    <n v="40"/>
    <n v="52"/>
    <n v="34"/>
    <n v="0"/>
    <n v="303"/>
    <x v="152"/>
    <x v="0"/>
    <x v="0"/>
    <x v="0"/>
  </r>
  <r>
    <s v="Description 1524"/>
    <s v="Code 1524"/>
    <n v="76"/>
    <n v="70"/>
    <n v="94"/>
    <n v="94"/>
    <n v="50"/>
    <n v="58"/>
    <n v="40"/>
    <n v="60"/>
    <n v="36"/>
    <n v="0"/>
    <n v="0"/>
    <x v="27"/>
    <x v="0"/>
    <x v="0"/>
    <x v="0"/>
  </r>
  <r>
    <s v="Description 1525"/>
    <s v="Code 1525"/>
    <n v="0"/>
    <n v="0"/>
    <n v="0"/>
    <n v="0"/>
    <n v="0"/>
    <n v="0"/>
    <n v="0"/>
    <n v="0"/>
    <n v="0"/>
    <n v="0"/>
    <n v="658"/>
    <x v="186"/>
    <x v="0"/>
    <x v="0"/>
    <x v="0"/>
  </r>
  <r>
    <s v="Description 1526"/>
    <s v="Code 1526"/>
    <n v="76"/>
    <n v="68"/>
    <n v="92"/>
    <n v="92"/>
    <n v="40"/>
    <n v="52"/>
    <n v="40"/>
    <n v="52"/>
    <n v="34"/>
    <n v="0"/>
    <n v="0"/>
    <x v="168"/>
    <x v="0"/>
    <x v="0"/>
    <x v="0"/>
  </r>
  <r>
    <s v="Description 1527"/>
    <s v="Code 1527"/>
    <n v="0"/>
    <n v="0"/>
    <n v="0"/>
    <n v="0"/>
    <n v="0"/>
    <n v="0"/>
    <n v="0"/>
    <n v="0"/>
    <n v="0"/>
    <n v="0"/>
    <n v="1398"/>
    <x v="128"/>
    <x v="0"/>
    <x v="0"/>
    <x v="0"/>
  </r>
  <r>
    <s v="Description 1528"/>
    <s v="Code 1528"/>
    <n v="152"/>
    <n v="136"/>
    <n v="184"/>
    <n v="184"/>
    <n v="80"/>
    <n v="104"/>
    <n v="80"/>
    <n v="104"/>
    <n v="68"/>
    <n v="0"/>
    <n v="0"/>
    <x v="191"/>
    <x v="0"/>
    <x v="0"/>
    <x v="0"/>
  </r>
  <r>
    <s v="Description 1529"/>
    <s v="Code 1529"/>
    <n v="0"/>
    <n v="0"/>
    <n v="0"/>
    <n v="0"/>
    <n v="0"/>
    <n v="0"/>
    <n v="0"/>
    <n v="0"/>
    <n v="0"/>
    <n v="0"/>
    <n v="542"/>
    <x v="21"/>
    <x v="0"/>
    <x v="0"/>
    <x v="0"/>
  </r>
  <r>
    <s v="Description 1530"/>
    <s v="Code 1530"/>
    <n v="76"/>
    <n v="68"/>
    <n v="92"/>
    <n v="92"/>
    <n v="40"/>
    <n v="52"/>
    <n v="40"/>
    <n v="52"/>
    <n v="34"/>
    <n v="0"/>
    <n v="364"/>
    <x v="83"/>
    <x v="0"/>
    <x v="0"/>
    <x v="0"/>
  </r>
  <r>
    <s v="Description 1531"/>
    <s v="Code 1531"/>
    <n v="0"/>
    <n v="0"/>
    <n v="0"/>
    <n v="0"/>
    <n v="0"/>
    <n v="0"/>
    <n v="0"/>
    <n v="0"/>
    <n v="0"/>
    <n v="0"/>
    <n v="2711"/>
    <x v="35"/>
    <x v="0"/>
    <x v="1"/>
    <x v="0"/>
  </r>
  <r>
    <s v="Description 1532"/>
    <s v="Code 1532"/>
    <n v="76"/>
    <n v="68"/>
    <n v="92"/>
    <n v="92"/>
    <n v="40"/>
    <n v="52"/>
    <n v="40"/>
    <n v="52"/>
    <n v="34"/>
    <n v="0"/>
    <n v="0"/>
    <x v="174"/>
    <x v="0"/>
    <x v="0"/>
    <x v="0"/>
  </r>
  <r>
    <s v="Description 1533"/>
    <s v="Code 1533"/>
    <n v="0"/>
    <n v="0"/>
    <n v="0"/>
    <n v="0"/>
    <n v="0"/>
    <n v="0"/>
    <n v="0"/>
    <n v="0"/>
    <n v="0"/>
    <n v="0"/>
    <n v="592"/>
    <x v="80"/>
    <x v="0"/>
    <x v="0"/>
    <x v="0"/>
  </r>
  <r>
    <s v="Description 1534"/>
    <s v="Code 1534"/>
    <n v="76"/>
    <n v="64"/>
    <n v="88"/>
    <n v="88"/>
    <n v="40"/>
    <n v="50"/>
    <n v="40"/>
    <n v="50"/>
    <n v="34"/>
    <n v="0"/>
    <n v="2510"/>
    <x v="95"/>
    <x v="0"/>
    <x v="0"/>
    <x v="0"/>
  </r>
  <r>
    <s v="Description 1535"/>
    <s v="Code 1535"/>
    <n v="76"/>
    <n v="68"/>
    <n v="92"/>
    <n v="92"/>
    <n v="40"/>
    <n v="52"/>
    <n v="40"/>
    <n v="52"/>
    <n v="34"/>
    <n v="0"/>
    <n v="0"/>
    <x v="38"/>
    <x v="0"/>
    <x v="0"/>
    <x v="0"/>
  </r>
  <r>
    <s v="Description 1536"/>
    <s v="Code 1536"/>
    <n v="0"/>
    <n v="0"/>
    <n v="0"/>
    <n v="0"/>
    <n v="0"/>
    <n v="0"/>
    <n v="0"/>
    <n v="0"/>
    <n v="0"/>
    <n v="0"/>
    <n v="2145"/>
    <x v="146"/>
    <x v="0"/>
    <x v="0"/>
    <x v="0"/>
  </r>
  <r>
    <s v="Description 1537"/>
    <s v="Code 1537"/>
    <n v="38"/>
    <n v="34"/>
    <n v="46"/>
    <n v="46"/>
    <n v="20"/>
    <n v="26"/>
    <n v="20"/>
    <n v="26"/>
    <n v="17"/>
    <n v="0"/>
    <n v="0"/>
    <x v="115"/>
    <x v="0"/>
    <x v="0"/>
    <x v="0"/>
  </r>
  <r>
    <s v="Description 1538"/>
    <s v="Code 1538"/>
    <n v="0"/>
    <n v="0"/>
    <n v="0"/>
    <n v="0"/>
    <n v="0"/>
    <n v="0"/>
    <n v="0"/>
    <n v="0"/>
    <n v="0"/>
    <n v="0"/>
    <n v="2145"/>
    <x v="104"/>
    <x v="0"/>
    <x v="0"/>
    <x v="0"/>
  </r>
  <r>
    <s v="Description 1539"/>
    <s v="Code 1539"/>
    <n v="38"/>
    <n v="34"/>
    <n v="46"/>
    <n v="46"/>
    <n v="20"/>
    <n v="26"/>
    <n v="20"/>
    <n v="26"/>
    <n v="17"/>
    <n v="0"/>
    <n v="0"/>
    <x v="138"/>
    <x v="0"/>
    <x v="0"/>
    <x v="0"/>
  </r>
  <r>
    <s v="Description 1540"/>
    <s v="Code 1540"/>
    <n v="0"/>
    <n v="0"/>
    <n v="0"/>
    <n v="0"/>
    <n v="0"/>
    <n v="0"/>
    <n v="0"/>
    <n v="0"/>
    <n v="0"/>
    <n v="0"/>
    <n v="859"/>
    <x v="178"/>
    <x v="0"/>
    <x v="0"/>
    <x v="0"/>
  </r>
  <r>
    <s v="Description 1541"/>
    <s v="Code 1541"/>
    <n v="152"/>
    <n v="128"/>
    <n v="176"/>
    <n v="176"/>
    <n v="80"/>
    <n v="100"/>
    <n v="80"/>
    <n v="100"/>
    <n v="68"/>
    <n v="0"/>
    <n v="612"/>
    <x v="192"/>
    <x v="0"/>
    <x v="0"/>
    <x v="0"/>
  </r>
  <r>
    <s v="Description 1542"/>
    <s v="Code 1542"/>
    <n v="76"/>
    <n v="66"/>
    <n v="90"/>
    <n v="90"/>
    <n v="30"/>
    <n v="46"/>
    <n v="40"/>
    <n v="44"/>
    <n v="32"/>
    <n v="0"/>
    <n v="0"/>
    <x v="160"/>
    <x v="0"/>
    <x v="0"/>
    <x v="0"/>
  </r>
  <r>
    <s v="Description 1543"/>
    <s v="Code 1543"/>
    <n v="0"/>
    <n v="0"/>
    <n v="0"/>
    <n v="0"/>
    <n v="0"/>
    <n v="0"/>
    <n v="0"/>
    <n v="0"/>
    <n v="0"/>
    <n v="0"/>
    <n v="596"/>
    <x v="113"/>
    <x v="0"/>
    <x v="0"/>
    <x v="0"/>
  </r>
  <r>
    <s v="Description 1544"/>
    <s v="Code 1544"/>
    <n v="76"/>
    <n v="68"/>
    <n v="92"/>
    <n v="92"/>
    <n v="40"/>
    <n v="52"/>
    <n v="40"/>
    <n v="52"/>
    <n v="34"/>
    <n v="0"/>
    <n v="0"/>
    <x v="115"/>
    <x v="0"/>
    <x v="0"/>
    <x v="0"/>
  </r>
  <r>
    <s v="Description 1545"/>
    <s v="Code 1545"/>
    <n v="0"/>
    <n v="0"/>
    <n v="0"/>
    <n v="0"/>
    <n v="0"/>
    <n v="0"/>
    <n v="0"/>
    <n v="0"/>
    <n v="0"/>
    <n v="0"/>
    <n v="521"/>
    <x v="184"/>
    <x v="0"/>
    <x v="0"/>
    <x v="0"/>
  </r>
  <r>
    <s v="Description 1546"/>
    <s v="Code 1546"/>
    <n v="38"/>
    <n v="34"/>
    <n v="46"/>
    <n v="46"/>
    <n v="20"/>
    <n v="26"/>
    <n v="20"/>
    <n v="26"/>
    <n v="17"/>
    <n v="0"/>
    <n v="0"/>
    <x v="1"/>
    <x v="0"/>
    <x v="0"/>
    <x v="0"/>
  </r>
  <r>
    <s v="Description 1547"/>
    <s v="Code 1547"/>
    <n v="0"/>
    <n v="0"/>
    <n v="0"/>
    <n v="0"/>
    <n v="0"/>
    <n v="0"/>
    <n v="0"/>
    <n v="0"/>
    <n v="0"/>
    <n v="0"/>
    <n v="513"/>
    <x v="57"/>
    <x v="0"/>
    <x v="0"/>
    <x v="0"/>
  </r>
  <r>
    <s v="Description 1548"/>
    <s v="Code 1548"/>
    <n v="38"/>
    <n v="34"/>
    <n v="46"/>
    <n v="46"/>
    <n v="20"/>
    <n v="26"/>
    <n v="20"/>
    <n v="26"/>
    <n v="17"/>
    <n v="0"/>
    <n v="0"/>
    <x v="78"/>
    <x v="0"/>
    <x v="0"/>
    <x v="0"/>
  </r>
  <r>
    <s v="Description 1549"/>
    <s v="Code 1549"/>
    <n v="0"/>
    <n v="0"/>
    <n v="0"/>
    <n v="0"/>
    <n v="0"/>
    <n v="0"/>
    <n v="0"/>
    <n v="0"/>
    <n v="0"/>
    <n v="0"/>
    <n v="1741"/>
    <x v="94"/>
    <x v="0"/>
    <x v="0"/>
    <x v="0"/>
  </r>
  <r>
    <s v="Description 1550"/>
    <s v="Code 1550"/>
    <n v="76"/>
    <n v="68"/>
    <n v="92"/>
    <n v="92"/>
    <n v="40"/>
    <n v="52"/>
    <n v="40"/>
    <n v="52"/>
    <n v="34"/>
    <n v="0"/>
    <n v="0"/>
    <x v="23"/>
    <x v="0"/>
    <x v="1"/>
    <x v="0"/>
  </r>
  <r>
    <s v="Description 1551"/>
    <s v="Code 1551"/>
    <n v="0"/>
    <n v="0"/>
    <n v="0"/>
    <n v="0"/>
    <n v="0"/>
    <n v="0"/>
    <n v="0"/>
    <n v="0"/>
    <n v="0"/>
    <n v="0"/>
    <n v="1403"/>
    <x v="56"/>
    <x v="0"/>
    <x v="0"/>
    <x v="0"/>
  </r>
  <r>
    <s v="Description 1552"/>
    <s v="Code 1552"/>
    <n v="76"/>
    <n v="68"/>
    <n v="92"/>
    <n v="92"/>
    <n v="40"/>
    <n v="52"/>
    <n v="40"/>
    <n v="52"/>
    <n v="34"/>
    <n v="0"/>
    <n v="0"/>
    <x v="158"/>
    <x v="0"/>
    <x v="0"/>
    <x v="0"/>
  </r>
  <r>
    <s v="Description 1553"/>
    <s v="Code 1553"/>
    <n v="0"/>
    <n v="0"/>
    <n v="0"/>
    <n v="0"/>
    <n v="0"/>
    <n v="0"/>
    <n v="0"/>
    <n v="0"/>
    <n v="0"/>
    <n v="0"/>
    <n v="1233"/>
    <x v="194"/>
    <x v="0"/>
    <x v="0"/>
    <x v="0"/>
  </r>
  <r>
    <s v="Description 1554"/>
    <s v="Code 1554"/>
    <n v="76"/>
    <n v="68"/>
    <n v="92"/>
    <n v="92"/>
    <n v="40"/>
    <n v="52"/>
    <n v="40"/>
    <n v="52"/>
    <n v="34"/>
    <n v="0"/>
    <n v="0"/>
    <x v="67"/>
    <x v="0"/>
    <x v="0"/>
    <x v="0"/>
  </r>
  <r>
    <s v="Description 1555"/>
    <s v="Code 1555"/>
    <n v="0"/>
    <n v="0"/>
    <n v="0"/>
    <n v="0"/>
    <n v="0"/>
    <n v="0"/>
    <n v="0"/>
    <n v="0"/>
    <n v="0"/>
    <n v="0"/>
    <n v="2250"/>
    <x v="156"/>
    <x v="0"/>
    <x v="0"/>
    <x v="0"/>
  </r>
  <r>
    <s v="Description 1556"/>
    <s v="Code 1556"/>
    <n v="76"/>
    <n v="68"/>
    <n v="92"/>
    <n v="92"/>
    <n v="40"/>
    <n v="52"/>
    <n v="40"/>
    <n v="52"/>
    <n v="34"/>
    <n v="0"/>
    <n v="0"/>
    <x v="97"/>
    <x v="0"/>
    <x v="0"/>
    <x v="0"/>
  </r>
  <r>
    <s v="Description 1557"/>
    <s v="Code 1557"/>
    <n v="0"/>
    <n v="0"/>
    <n v="0"/>
    <n v="0"/>
    <n v="0"/>
    <n v="0"/>
    <n v="0"/>
    <n v="0"/>
    <n v="0"/>
    <n v="0"/>
    <n v="26"/>
    <x v="101"/>
    <x v="0"/>
    <x v="0"/>
    <x v="0"/>
  </r>
  <r>
    <s v="Description 1558"/>
    <s v="Code 1558"/>
    <n v="0"/>
    <n v="0"/>
    <n v="0"/>
    <n v="0"/>
    <n v="0"/>
    <n v="0"/>
    <n v="0"/>
    <n v="0"/>
    <n v="0"/>
    <n v="0"/>
    <n v="250"/>
    <x v="110"/>
    <x v="0"/>
    <x v="0"/>
    <x v="0"/>
  </r>
  <r>
    <s v="Description 1559"/>
    <s v="Code 1559"/>
    <n v="0"/>
    <n v="2"/>
    <n v="2"/>
    <n v="2"/>
    <n v="10"/>
    <n v="6"/>
    <n v="0"/>
    <n v="8"/>
    <n v="2"/>
    <n v="0"/>
    <n v="0"/>
    <x v="153"/>
    <x v="0"/>
    <x v="0"/>
    <x v="0"/>
  </r>
  <r>
    <s v="Description 1560"/>
    <s v="Code 1560"/>
    <n v="0"/>
    <n v="2"/>
    <n v="2"/>
    <n v="2"/>
    <n v="10"/>
    <n v="6"/>
    <n v="0"/>
    <n v="8"/>
    <n v="2"/>
    <n v="0"/>
    <n v="0"/>
    <x v="166"/>
    <x v="0"/>
    <x v="0"/>
    <x v="0"/>
  </r>
  <r>
    <s v="Description 1561"/>
    <s v="Code 1561"/>
    <n v="0"/>
    <n v="4"/>
    <n v="4"/>
    <n v="4"/>
    <n v="0"/>
    <n v="2"/>
    <n v="0"/>
    <n v="2"/>
    <n v="0"/>
    <n v="0"/>
    <n v="80"/>
    <x v="139"/>
    <x v="0"/>
    <x v="0"/>
    <x v="0"/>
  </r>
  <r>
    <s v="Description 1562"/>
    <s v="Code 1562"/>
    <n v="0"/>
    <n v="4"/>
    <n v="4"/>
    <n v="4"/>
    <n v="0"/>
    <n v="2"/>
    <n v="0"/>
    <n v="2"/>
    <n v="0"/>
    <n v="0"/>
    <n v="0"/>
    <x v="32"/>
    <x v="0"/>
    <x v="0"/>
    <x v="0"/>
  </r>
  <r>
    <s v="Description 1563"/>
    <s v="Code 1563"/>
    <n v="0"/>
    <n v="2"/>
    <n v="2"/>
    <n v="2"/>
    <n v="0"/>
    <n v="2"/>
    <n v="0"/>
    <n v="2"/>
    <n v="0"/>
    <n v="0"/>
    <n v="30"/>
    <x v="89"/>
    <x v="0"/>
    <x v="1"/>
    <x v="0"/>
  </r>
  <r>
    <s v="Description 1564"/>
    <s v="Code 1564"/>
    <n v="0"/>
    <n v="2"/>
    <n v="2"/>
    <n v="2"/>
    <n v="0"/>
    <n v="0"/>
    <n v="0"/>
    <n v="0"/>
    <n v="0"/>
    <n v="0"/>
    <n v="0"/>
    <x v="25"/>
    <x v="0"/>
    <x v="1"/>
    <x v="0"/>
  </r>
  <r>
    <s v="Description 1565"/>
    <s v="Code 1565"/>
    <n v="0"/>
    <n v="4"/>
    <n v="4"/>
    <n v="4"/>
    <n v="0"/>
    <n v="2"/>
    <n v="0"/>
    <n v="2"/>
    <n v="0"/>
    <n v="0"/>
    <n v="0"/>
    <x v="15"/>
    <x v="0"/>
    <x v="0"/>
    <x v="0"/>
  </r>
  <r>
    <s v="Description 1566"/>
    <s v="Code 1566"/>
    <n v="0"/>
    <n v="4"/>
    <n v="4"/>
    <n v="4"/>
    <n v="0"/>
    <n v="2"/>
    <n v="0"/>
    <n v="2"/>
    <n v="0"/>
    <n v="0"/>
    <n v="541"/>
    <x v="160"/>
    <x v="0"/>
    <x v="0"/>
    <x v="0"/>
  </r>
  <r>
    <s v="Description 1567"/>
    <s v="Code 1567"/>
    <n v="0"/>
    <n v="0"/>
    <n v="0"/>
    <n v="0"/>
    <n v="0"/>
    <n v="0"/>
    <n v="0"/>
    <n v="0"/>
    <n v="0"/>
    <n v="0"/>
    <n v="276"/>
    <x v="115"/>
    <x v="0"/>
    <x v="0"/>
    <x v="0"/>
  </r>
  <r>
    <s v="Description 1568"/>
    <s v="Code 1568"/>
    <n v="16"/>
    <n v="28"/>
    <n v="16"/>
    <n v="16"/>
    <n v="0"/>
    <n v="0"/>
    <n v="0"/>
    <n v="0"/>
    <n v="0"/>
    <n v="0"/>
    <n v="0"/>
    <x v="60"/>
    <x v="0"/>
    <x v="0"/>
    <x v="0"/>
  </r>
  <r>
    <s v="Description 1569"/>
    <s v="Code 1569"/>
    <n v="0"/>
    <n v="0"/>
    <n v="0"/>
    <n v="0"/>
    <n v="0"/>
    <n v="0"/>
    <n v="0"/>
    <n v="0"/>
    <n v="0"/>
    <n v="0"/>
    <n v="0"/>
    <x v="45"/>
    <x v="0"/>
    <x v="0"/>
    <x v="0"/>
  </r>
  <r>
    <s v="Description 1570"/>
    <s v="Code 1570"/>
    <n v="0"/>
    <n v="0"/>
    <n v="0"/>
    <n v="0"/>
    <n v="0"/>
    <n v="0"/>
    <n v="0"/>
    <n v="0"/>
    <n v="0"/>
    <n v="0"/>
    <n v="0"/>
    <x v="118"/>
    <x v="0"/>
    <x v="0"/>
    <x v="0"/>
  </r>
  <r>
    <s v="Description 1571"/>
    <s v="Code 1571"/>
    <n v="0"/>
    <n v="0"/>
    <n v="0"/>
    <n v="0"/>
    <n v="0"/>
    <n v="0"/>
    <n v="0"/>
    <n v="0"/>
    <n v="0"/>
    <n v="0"/>
    <n v="0"/>
    <x v="148"/>
    <x v="0"/>
    <x v="0"/>
    <x v="0"/>
  </r>
  <r>
    <s v="Description 1572"/>
    <s v="Code 1572"/>
    <n v="0"/>
    <n v="0"/>
    <n v="0"/>
    <n v="0"/>
    <n v="0"/>
    <n v="0"/>
    <n v="0"/>
    <n v="0"/>
    <n v="0"/>
    <n v="0"/>
    <n v="9"/>
    <x v="174"/>
    <x v="0"/>
    <x v="0"/>
    <x v="0"/>
  </r>
  <r>
    <s v="Description 1573"/>
    <s v="Code 1573"/>
    <n v="0"/>
    <n v="0"/>
    <n v="0"/>
    <n v="0"/>
    <n v="0"/>
    <n v="0"/>
    <n v="0"/>
    <n v="0"/>
    <n v="0"/>
    <n v="0"/>
    <n v="19"/>
    <x v="141"/>
    <x v="0"/>
    <x v="0"/>
    <x v="0"/>
  </r>
  <r>
    <s v="Description 1574"/>
    <s v="Code 1574"/>
    <n v="0"/>
    <n v="0"/>
    <n v="0"/>
    <n v="0"/>
    <n v="200"/>
    <n v="0"/>
    <n v="0"/>
    <n v="0"/>
    <n v="0"/>
    <n v="0"/>
    <n v="200"/>
    <x v="105"/>
    <x v="0"/>
    <x v="1"/>
    <x v="0"/>
  </r>
  <r>
    <s v="Description 1575"/>
    <s v="Code 1575"/>
    <n v="0"/>
    <n v="100"/>
    <n v="0"/>
    <n v="100"/>
    <n v="0"/>
    <n v="100"/>
    <n v="0"/>
    <n v="0"/>
    <n v="0"/>
    <n v="0"/>
    <n v="60"/>
    <x v="12"/>
    <x v="0"/>
    <x v="0"/>
    <x v="0"/>
  </r>
  <r>
    <s v="Description 1576"/>
    <s v="Code 1576"/>
    <n v="10"/>
    <n v="10"/>
    <n v="30"/>
    <n v="10"/>
    <n v="50"/>
    <n v="0"/>
    <n v="10"/>
    <n v="50"/>
    <n v="190"/>
    <n v="0"/>
    <n v="0"/>
    <x v="39"/>
    <x v="0"/>
    <x v="0"/>
    <x v="0"/>
  </r>
  <r>
    <s v="Description 1577"/>
    <s v="Code 1577"/>
    <n v="0"/>
    <n v="0"/>
    <n v="0"/>
    <n v="0"/>
    <n v="0"/>
    <n v="0"/>
    <n v="0"/>
    <n v="0"/>
    <n v="0"/>
    <n v="0"/>
    <n v="197"/>
    <x v="161"/>
    <x v="0"/>
    <x v="0"/>
    <x v="0"/>
  </r>
  <r>
    <s v="Description 1578"/>
    <s v="Code 1578"/>
    <n v="200"/>
    <n v="0"/>
    <n v="140"/>
    <n v="3"/>
    <n v="0"/>
    <n v="1"/>
    <n v="25"/>
    <n v="12"/>
    <n v="30"/>
    <n v="0"/>
    <n v="1602"/>
    <x v="118"/>
    <x v="0"/>
    <x v="0"/>
    <x v="0"/>
  </r>
  <r>
    <s v="Description 1579"/>
    <s v="Code 1579"/>
    <n v="0"/>
    <n v="0"/>
    <n v="0"/>
    <n v="0"/>
    <n v="0"/>
    <n v="2"/>
    <n v="0"/>
    <n v="0"/>
    <n v="0"/>
    <n v="0"/>
    <n v="976"/>
    <x v="194"/>
    <x v="0"/>
    <x v="0"/>
    <x v="0"/>
  </r>
  <r>
    <s v="Description 1580"/>
    <s v="Code 1580"/>
    <n v="0"/>
    <n v="0"/>
    <n v="0"/>
    <n v="5"/>
    <n v="0"/>
    <n v="1"/>
    <n v="0"/>
    <n v="0"/>
    <n v="0"/>
    <n v="0"/>
    <n v="32"/>
    <x v="22"/>
    <x v="0"/>
    <x v="0"/>
    <x v="0"/>
  </r>
  <r>
    <s v="Description 1581"/>
    <s v="Code 1581"/>
    <n v="1"/>
    <n v="0"/>
    <n v="8"/>
    <n v="4"/>
    <n v="3"/>
    <n v="0"/>
    <n v="2"/>
    <n v="5"/>
    <n v="0"/>
    <n v="0"/>
    <n v="20"/>
    <x v="187"/>
    <x v="0"/>
    <x v="1"/>
    <x v="0"/>
  </r>
  <r>
    <s v="Description 1582"/>
    <s v="Code 1582"/>
    <n v="0"/>
    <n v="0"/>
    <n v="10"/>
    <n v="0"/>
    <n v="0"/>
    <n v="0"/>
    <n v="0"/>
    <n v="0"/>
    <n v="0"/>
    <n v="0"/>
    <n v="103"/>
    <x v="186"/>
    <x v="0"/>
    <x v="0"/>
    <x v="0"/>
  </r>
  <r>
    <s v="Description 1583"/>
    <s v="Code 1583"/>
    <n v="0"/>
    <n v="0"/>
    <n v="0"/>
    <n v="0"/>
    <n v="0"/>
    <n v="0"/>
    <n v="0"/>
    <n v="0"/>
    <n v="0"/>
    <n v="0"/>
    <n v="11"/>
    <x v="23"/>
    <x v="0"/>
    <x v="1"/>
    <x v="0"/>
  </r>
  <r>
    <s v="Description 1584"/>
    <s v="Code 1584"/>
    <n v="0"/>
    <n v="0"/>
    <n v="0"/>
    <n v="0"/>
    <n v="0"/>
    <n v="0"/>
    <n v="0"/>
    <n v="0"/>
    <n v="0"/>
    <n v="0"/>
    <n v="65"/>
    <x v="195"/>
    <x v="0"/>
    <x v="0"/>
    <x v="0"/>
  </r>
  <r>
    <s v="Description 1585"/>
    <s v="Code 1585"/>
    <n v="0"/>
    <n v="0"/>
    <n v="0"/>
    <n v="0"/>
    <n v="0"/>
    <n v="40"/>
    <n v="0"/>
    <n v="0"/>
    <n v="20"/>
    <n v="0"/>
    <n v="278"/>
    <x v="143"/>
    <x v="0"/>
    <x v="0"/>
    <x v="0"/>
  </r>
  <r>
    <s v="Description 1586"/>
    <s v="Code 1586"/>
    <n v="0"/>
    <n v="0"/>
    <n v="0"/>
    <n v="0"/>
    <n v="0"/>
    <n v="0"/>
    <n v="0"/>
    <n v="0"/>
    <n v="0"/>
    <n v="0"/>
    <n v="269"/>
    <x v="157"/>
    <x v="0"/>
    <x v="0"/>
    <x v="0"/>
  </r>
  <r>
    <s v="Description 1587"/>
    <s v="Code 1587"/>
    <n v="0"/>
    <n v="0"/>
    <n v="0"/>
    <n v="0"/>
    <n v="0"/>
    <n v="0"/>
    <n v="0"/>
    <n v="0"/>
    <n v="0"/>
    <n v="0"/>
    <n v="181"/>
    <x v="176"/>
    <x v="0"/>
    <x v="0"/>
    <x v="0"/>
  </r>
  <r>
    <s v="Description 1588"/>
    <s v="Code 1588"/>
    <n v="0"/>
    <n v="0"/>
    <n v="0"/>
    <n v="0"/>
    <n v="0"/>
    <n v="0"/>
    <n v="0"/>
    <n v="0"/>
    <n v="0"/>
    <n v="0"/>
    <n v="25"/>
    <x v="79"/>
    <x v="0"/>
    <x v="0"/>
    <x v="0"/>
  </r>
  <r>
    <s v="Description 1589"/>
    <s v="Code 1589"/>
    <n v="0"/>
    <n v="0"/>
    <n v="0"/>
    <n v="0"/>
    <n v="0"/>
    <n v="0"/>
    <n v="0"/>
    <n v="10"/>
    <n v="0"/>
    <n v="0"/>
    <n v="14"/>
    <x v="152"/>
    <x v="0"/>
    <x v="0"/>
    <x v="0"/>
  </r>
  <r>
    <s v="Description 1590"/>
    <s v="Code 1590"/>
    <n v="0"/>
    <n v="0"/>
    <n v="0"/>
    <n v="0"/>
    <n v="0"/>
    <n v="0"/>
    <n v="0"/>
    <n v="10"/>
    <n v="0"/>
    <n v="0"/>
    <n v="100"/>
    <x v="76"/>
    <x v="0"/>
    <x v="1"/>
    <x v="0"/>
  </r>
  <r>
    <s v="Description 1591"/>
    <s v="Code 1591"/>
    <n v="0"/>
    <n v="0"/>
    <n v="0"/>
    <n v="0"/>
    <n v="0"/>
    <n v="0"/>
    <n v="0"/>
    <n v="0"/>
    <n v="0"/>
    <n v="0"/>
    <n v="2497"/>
    <x v="29"/>
    <x v="0"/>
    <x v="0"/>
    <x v="0"/>
  </r>
  <r>
    <s v="Description 1592"/>
    <s v="Code 1592"/>
    <n v="0"/>
    <n v="0"/>
    <n v="0"/>
    <n v="0"/>
    <n v="0"/>
    <n v="0"/>
    <n v="0"/>
    <n v="0"/>
    <n v="0"/>
    <n v="0"/>
    <n v="152"/>
    <x v="154"/>
    <x v="0"/>
    <x v="0"/>
    <x v="0"/>
  </r>
  <r>
    <s v="Description 1593"/>
    <s v="Code 1593"/>
    <n v="0"/>
    <n v="0"/>
    <n v="0"/>
    <n v="0"/>
    <n v="0"/>
    <n v="0"/>
    <n v="0"/>
    <n v="0"/>
    <n v="0"/>
    <n v="0"/>
    <n v="98"/>
    <x v="62"/>
    <x v="0"/>
    <x v="0"/>
    <x v="0"/>
  </r>
  <r>
    <s v="Description 1594"/>
    <s v="Code 1594"/>
    <n v="0"/>
    <n v="0"/>
    <n v="4"/>
    <n v="4"/>
    <n v="0"/>
    <n v="0"/>
    <n v="0"/>
    <n v="6"/>
    <n v="0"/>
    <n v="0"/>
    <n v="840"/>
    <x v="110"/>
    <x v="0"/>
    <x v="0"/>
    <x v="0"/>
  </r>
  <r>
    <s v="Description 1595"/>
    <s v="Code 1595"/>
    <n v="100"/>
    <n v="10"/>
    <n v="60"/>
    <n v="40"/>
    <n v="80"/>
    <n v="40"/>
    <n v="20"/>
    <n v="50"/>
    <n v="70"/>
    <n v="0"/>
    <n v="646"/>
    <x v="190"/>
    <x v="0"/>
    <x v="0"/>
    <x v="0"/>
  </r>
  <r>
    <s v="Description 1596"/>
    <s v="Code 1596"/>
    <n v="0"/>
    <n v="0"/>
    <n v="0"/>
    <n v="105"/>
    <n v="50"/>
    <n v="120"/>
    <n v="0"/>
    <n v="0"/>
    <n v="15"/>
    <n v="0"/>
    <n v="112"/>
    <x v="114"/>
    <x v="0"/>
    <x v="0"/>
    <x v="0"/>
  </r>
  <r>
    <s v="Description 1597"/>
    <s v="Code 1597"/>
    <n v="0"/>
    <n v="20"/>
    <n v="0"/>
    <n v="0"/>
    <n v="0"/>
    <n v="0"/>
    <n v="0"/>
    <n v="0"/>
    <n v="0"/>
    <n v="0"/>
    <n v="158"/>
    <x v="37"/>
    <x v="0"/>
    <x v="0"/>
    <x v="0"/>
  </r>
  <r>
    <s v="Description 1598"/>
    <s v="Code 1598"/>
    <n v="0"/>
    <n v="0"/>
    <n v="0"/>
    <n v="0"/>
    <n v="0"/>
    <n v="0"/>
    <n v="0"/>
    <n v="0"/>
    <n v="0"/>
    <n v="0"/>
    <n v="118"/>
    <x v="176"/>
    <x v="0"/>
    <x v="0"/>
    <x v="0"/>
  </r>
  <r>
    <s v="Description 1599"/>
    <s v="Code 1599"/>
    <n v="90"/>
    <n v="0"/>
    <n v="30"/>
    <n v="30"/>
    <n v="30"/>
    <n v="40"/>
    <n v="10"/>
    <n v="0"/>
    <n v="30"/>
    <n v="0"/>
    <n v="544"/>
    <x v="181"/>
    <x v="0"/>
    <x v="0"/>
    <x v="0"/>
  </r>
  <r>
    <s v="Description 1600"/>
    <s v="Code 1600"/>
    <n v="0"/>
    <n v="0"/>
    <n v="0"/>
    <n v="105"/>
    <n v="50"/>
    <n v="120"/>
    <n v="0"/>
    <n v="0"/>
    <n v="15"/>
    <n v="0"/>
    <n v="0"/>
    <x v="172"/>
    <x v="0"/>
    <x v="0"/>
    <x v="0"/>
  </r>
  <r>
    <s v="Description 1601"/>
    <s v="Code 1601"/>
    <n v="0"/>
    <n v="0"/>
    <n v="0"/>
    <n v="0"/>
    <n v="200"/>
    <n v="0"/>
    <n v="0"/>
    <n v="0"/>
    <n v="0"/>
    <n v="0"/>
    <n v="51"/>
    <x v="6"/>
    <x v="0"/>
    <x v="0"/>
    <x v="0"/>
  </r>
  <r>
    <s v="Description 1602"/>
    <s v="Code 1602"/>
    <n v="0"/>
    <n v="0"/>
    <n v="25"/>
    <n v="0"/>
    <n v="25"/>
    <n v="25"/>
    <n v="0"/>
    <n v="0"/>
    <n v="0"/>
    <n v="0"/>
    <n v="541"/>
    <x v="172"/>
    <x v="0"/>
    <x v="0"/>
    <x v="0"/>
  </r>
  <r>
    <s v="Description 1603"/>
    <s v="Code 1603"/>
    <n v="0"/>
    <n v="0"/>
    <n v="0"/>
    <n v="0"/>
    <n v="0"/>
    <n v="0"/>
    <n v="0"/>
    <n v="0"/>
    <n v="0"/>
    <n v="0"/>
    <n v="39"/>
    <x v="109"/>
    <x v="0"/>
    <x v="0"/>
    <x v="0"/>
  </r>
  <r>
    <s v="Description 1604"/>
    <s v="Code 1604"/>
    <n v="0"/>
    <n v="0"/>
    <n v="0"/>
    <n v="0"/>
    <n v="0"/>
    <n v="0"/>
    <n v="0"/>
    <n v="0"/>
    <n v="0"/>
    <n v="0"/>
    <n v="206"/>
    <x v="129"/>
    <x v="0"/>
    <x v="1"/>
    <x v="0"/>
  </r>
  <r>
    <s v="Description 1605"/>
    <s v="Code 1605"/>
    <n v="0"/>
    <n v="100"/>
    <n v="0"/>
    <n v="100"/>
    <n v="50"/>
    <n v="100"/>
    <n v="0"/>
    <n v="50"/>
    <n v="0"/>
    <n v="0"/>
    <n v="500"/>
    <x v="189"/>
    <x v="0"/>
    <x v="0"/>
    <x v="0"/>
  </r>
  <r>
    <s v="Description 1606"/>
    <s v="Code 1606"/>
    <n v="500"/>
    <n v="0"/>
    <n v="0"/>
    <n v="0"/>
    <n v="0"/>
    <n v="0"/>
    <n v="500"/>
    <n v="0"/>
    <n v="0"/>
    <n v="0"/>
    <n v="242"/>
    <x v="21"/>
    <x v="0"/>
    <x v="0"/>
    <x v="0"/>
  </r>
  <r>
    <s v="Description 1607"/>
    <s v="Code 1607"/>
    <n v="4"/>
    <n v="0"/>
    <n v="4"/>
    <n v="0"/>
    <n v="2"/>
    <n v="0"/>
    <n v="0"/>
    <n v="2"/>
    <n v="0"/>
    <n v="0"/>
    <n v="210"/>
    <x v="196"/>
    <x v="0"/>
    <x v="0"/>
    <x v="0"/>
  </r>
  <r>
    <s v="Description 1608"/>
    <s v="Code 1608"/>
    <n v="129"/>
    <n v="0"/>
    <n v="0"/>
    <n v="0"/>
    <n v="0"/>
    <n v="0"/>
    <n v="0"/>
    <n v="0"/>
    <n v="0"/>
    <n v="0"/>
    <n v="136"/>
    <x v="19"/>
    <x v="0"/>
    <x v="0"/>
    <x v="0"/>
  </r>
  <r>
    <s v="Description 1609"/>
    <s v="Code 1609"/>
    <n v="10"/>
    <n v="0"/>
    <n v="30"/>
    <n v="0"/>
    <n v="0"/>
    <n v="0"/>
    <n v="0"/>
    <n v="0"/>
    <n v="50"/>
    <n v="0"/>
    <n v="391"/>
    <x v="77"/>
    <x v="0"/>
    <x v="0"/>
    <x v="0"/>
  </r>
  <r>
    <s v="Description 1610"/>
    <s v="Code 1610"/>
    <n v="0"/>
    <n v="0"/>
    <n v="0"/>
    <n v="0"/>
    <n v="50"/>
    <n v="0"/>
    <n v="0"/>
    <n v="50"/>
    <n v="0"/>
    <n v="0"/>
    <n v="345"/>
    <x v="39"/>
    <x v="0"/>
    <x v="0"/>
    <x v="0"/>
  </r>
  <r>
    <s v="Description 1611"/>
    <s v="Code 1611"/>
    <n v="1"/>
    <n v="0"/>
    <n v="1"/>
    <n v="2"/>
    <n v="1"/>
    <n v="0"/>
    <n v="0"/>
    <n v="1"/>
    <n v="0"/>
    <n v="0"/>
    <n v="3"/>
    <x v="147"/>
    <x v="0"/>
    <x v="0"/>
    <x v="0"/>
  </r>
  <r>
    <s v="Description 1612"/>
    <s v="Code 1612"/>
    <n v="0"/>
    <n v="0"/>
    <n v="0"/>
    <n v="0"/>
    <n v="0"/>
    <n v="0"/>
    <n v="0"/>
    <n v="0"/>
    <n v="0"/>
    <n v="0"/>
    <n v="1430"/>
    <x v="82"/>
    <x v="0"/>
    <x v="0"/>
    <x v="0"/>
  </r>
  <r>
    <s v="Description 1613"/>
    <s v="Code 1613"/>
    <n v="0"/>
    <n v="0"/>
    <n v="0"/>
    <n v="1"/>
    <n v="0"/>
    <n v="0"/>
    <n v="0"/>
    <n v="4"/>
    <n v="0"/>
    <n v="0"/>
    <n v="1530"/>
    <x v="56"/>
    <x v="0"/>
    <x v="0"/>
    <x v="0"/>
  </r>
  <r>
    <s v="Description 1614"/>
    <s v="Code 1614"/>
    <n v="0"/>
    <n v="0"/>
    <n v="0"/>
    <n v="400"/>
    <n v="0"/>
    <n v="0"/>
    <n v="400"/>
    <n v="0"/>
    <n v="0"/>
    <n v="0"/>
    <n v="75"/>
    <x v="4"/>
    <x v="0"/>
    <x v="0"/>
    <x v="0"/>
  </r>
  <r>
    <s v="Description 1615"/>
    <s v="Code 1615"/>
    <n v="28"/>
    <n v="53"/>
    <n v="74"/>
    <n v="78"/>
    <n v="112"/>
    <n v="39"/>
    <n v="20"/>
    <n v="27"/>
    <n v="24"/>
    <n v="0"/>
    <n v="700"/>
    <x v="128"/>
    <x v="0"/>
    <x v="0"/>
    <x v="0"/>
  </r>
  <r>
    <s v="Description 1616"/>
    <s v="Code 1616"/>
    <n v="135"/>
    <n v="150"/>
    <n v="160"/>
    <n v="180"/>
    <n v="90"/>
    <n v="120"/>
    <n v="120"/>
    <n v="91"/>
    <n v="60"/>
    <n v="0"/>
    <n v="700"/>
    <x v="134"/>
    <x v="0"/>
    <x v="0"/>
    <x v="0"/>
  </r>
  <r>
    <s v="Description 1617"/>
    <s v="Code 1617"/>
    <n v="135"/>
    <n v="150"/>
    <n v="160"/>
    <n v="180"/>
    <n v="90"/>
    <n v="120"/>
    <n v="120"/>
    <n v="91"/>
    <n v="60"/>
    <n v="0"/>
    <n v="80"/>
    <x v="186"/>
    <x v="0"/>
    <x v="0"/>
    <x v="0"/>
  </r>
  <r>
    <s v="Description 1618"/>
    <s v="Code 1618"/>
    <n v="0"/>
    <n v="0"/>
    <n v="0"/>
    <n v="0"/>
    <n v="0"/>
    <n v="0"/>
    <n v="0"/>
    <n v="0"/>
    <n v="0"/>
    <n v="0"/>
    <n v="0"/>
    <x v="31"/>
    <x v="0"/>
    <x v="0"/>
    <x v="0"/>
  </r>
  <r>
    <s v="Description 1619"/>
    <s v="Code 1619"/>
    <n v="135"/>
    <n v="95"/>
    <n v="165"/>
    <n v="180"/>
    <n v="150"/>
    <n v="150"/>
    <n v="180"/>
    <n v="170"/>
    <n v="165"/>
    <n v="0"/>
    <n v="300"/>
    <x v="7"/>
    <x v="0"/>
    <x v="0"/>
    <x v="0"/>
  </r>
  <r>
    <s v="Description 1620"/>
    <s v="Code 1620"/>
    <n v="0"/>
    <n v="0"/>
    <n v="0"/>
    <n v="0"/>
    <n v="0"/>
    <n v="0"/>
    <n v="0"/>
    <n v="0"/>
    <n v="0"/>
    <n v="0"/>
    <n v="70"/>
    <x v="4"/>
    <x v="0"/>
    <x v="0"/>
    <x v="0"/>
  </r>
  <r>
    <s v="Description 1621"/>
    <s v="Code 1621"/>
    <n v="0"/>
    <n v="0"/>
    <n v="0"/>
    <n v="0"/>
    <n v="0"/>
    <n v="0"/>
    <n v="0"/>
    <n v="0"/>
    <n v="0"/>
    <n v="0"/>
    <n v="70"/>
    <x v="175"/>
    <x v="0"/>
    <x v="0"/>
    <x v="0"/>
  </r>
  <r>
    <s v="Description 1622"/>
    <s v="Code 1622"/>
    <n v="0"/>
    <n v="0"/>
    <n v="0"/>
    <n v="0"/>
    <n v="0"/>
    <n v="0"/>
    <n v="0"/>
    <n v="0"/>
    <n v="0"/>
    <n v="0"/>
    <n v="250"/>
    <x v="160"/>
    <x v="0"/>
    <x v="0"/>
    <x v="0"/>
  </r>
  <r>
    <s v="Description 1623"/>
    <s v="Code 1623"/>
    <n v="503"/>
    <n v="372"/>
    <n v="584"/>
    <n v="644"/>
    <n v="567"/>
    <n v="489"/>
    <n v="589"/>
    <n v="538"/>
    <n v="520"/>
    <n v="0"/>
    <n v="0"/>
    <x v="146"/>
    <x v="0"/>
    <x v="0"/>
    <x v="0"/>
  </r>
  <r>
    <s v="Description 1624"/>
    <s v="Code 1624"/>
    <n v="180"/>
    <n v="130"/>
    <n v="270"/>
    <n v="270"/>
    <n v="300"/>
    <n v="240"/>
    <n v="330"/>
    <n v="270"/>
    <n v="300"/>
    <n v="0"/>
    <n v="0"/>
    <x v="163"/>
    <x v="0"/>
    <x v="0"/>
    <x v="0"/>
  </r>
  <r>
    <s v="Description 1625"/>
    <s v="Code 1625"/>
    <n v="90"/>
    <n v="60"/>
    <n v="60"/>
    <n v="90"/>
    <n v="0"/>
    <n v="60"/>
    <n v="30"/>
    <n v="70"/>
    <n v="30"/>
    <n v="0"/>
    <n v="36"/>
    <x v="11"/>
    <x v="0"/>
    <x v="0"/>
    <x v="0"/>
  </r>
  <r>
    <s v="Description 1626"/>
    <s v="Code 1626"/>
    <n v="0"/>
    <n v="0"/>
    <n v="0"/>
    <n v="0"/>
    <n v="0"/>
    <n v="0"/>
    <n v="0"/>
    <n v="0"/>
    <n v="0"/>
    <n v="0"/>
    <n v="1400"/>
    <x v="153"/>
    <x v="0"/>
    <x v="0"/>
    <x v="0"/>
  </r>
  <r>
    <s v="Description 1627"/>
    <s v="Code 1627"/>
    <n v="270"/>
    <n v="190"/>
    <n v="330"/>
    <n v="360"/>
    <n v="300"/>
    <n v="300"/>
    <n v="360"/>
    <n v="340"/>
    <n v="330"/>
    <n v="0"/>
    <n v="1368"/>
    <x v="30"/>
    <x v="0"/>
    <x v="0"/>
    <x v="0"/>
  </r>
  <r>
    <s v="Description 1628"/>
    <s v="Code 1628"/>
    <n v="135"/>
    <n v="95"/>
    <n v="165"/>
    <n v="180"/>
    <n v="150"/>
    <n v="150"/>
    <n v="180"/>
    <n v="170"/>
    <n v="165"/>
    <n v="0"/>
    <n v="1533"/>
    <x v="96"/>
    <x v="0"/>
    <x v="0"/>
    <x v="0"/>
  </r>
  <r>
    <s v="Description 1629"/>
    <s v="Code 1629"/>
    <n v="135"/>
    <n v="95"/>
    <n v="165"/>
    <n v="180"/>
    <n v="150"/>
    <n v="150"/>
    <n v="180"/>
    <n v="170"/>
    <n v="165"/>
    <n v="0"/>
    <n v="100"/>
    <x v="93"/>
    <x v="0"/>
    <x v="0"/>
    <x v="0"/>
  </r>
  <r>
    <s v="Description 1630"/>
    <s v="Code 1630"/>
    <n v="466"/>
    <n v="364"/>
    <n v="508"/>
    <n v="568"/>
    <n v="534"/>
    <n v="378"/>
    <n v="458"/>
    <n v="396"/>
    <n v="380"/>
    <n v="0"/>
    <n v="2900"/>
    <x v="78"/>
    <x v="0"/>
    <x v="0"/>
    <x v="0"/>
  </r>
  <r>
    <s v="Description 1631"/>
    <s v="Code 1631"/>
    <n v="211"/>
    <n v="137"/>
    <n v="245"/>
    <n v="234"/>
    <n v="270"/>
    <n v="192"/>
    <n v="192"/>
    <n v="198"/>
    <n v="167"/>
    <n v="0"/>
    <n v="0"/>
    <x v="13"/>
    <x v="0"/>
    <x v="1"/>
    <x v="0"/>
  </r>
  <r>
    <s v="Description 1632"/>
    <s v="Code 1632"/>
    <n v="600"/>
    <n v="600"/>
    <n v="600"/>
    <n v="600"/>
    <n v="600"/>
    <n v="600"/>
    <n v="420"/>
    <n v="420"/>
    <n v="420"/>
    <n v="0"/>
    <n v="50"/>
    <x v="153"/>
    <x v="0"/>
    <x v="0"/>
    <x v="0"/>
  </r>
  <r>
    <s v="Description 1633"/>
    <s v="Code 1633"/>
    <n v="0"/>
    <n v="34"/>
    <n v="0"/>
    <n v="40"/>
    <n v="40"/>
    <n v="0"/>
    <n v="40"/>
    <n v="0"/>
    <n v="30"/>
    <n v="0"/>
    <n v="920"/>
    <x v="48"/>
    <x v="0"/>
    <x v="0"/>
    <x v="0"/>
  </r>
  <r>
    <s v="Description 1634"/>
    <s v="Code 1634"/>
    <n v="130"/>
    <n v="0"/>
    <n v="419"/>
    <n v="0"/>
    <n v="3"/>
    <n v="0"/>
    <n v="0"/>
    <n v="5"/>
    <n v="0"/>
    <n v="0"/>
    <n v="88"/>
    <x v="155"/>
    <x v="0"/>
    <x v="0"/>
    <x v="0"/>
  </r>
  <r>
    <s v="Description 1635"/>
    <s v="Code 1635"/>
    <n v="30"/>
    <n v="0"/>
    <n v="105"/>
    <n v="0"/>
    <n v="0"/>
    <n v="0"/>
    <n v="0"/>
    <n v="0"/>
    <n v="0"/>
    <n v="0"/>
    <n v="154"/>
    <x v="149"/>
    <x v="0"/>
    <x v="0"/>
    <x v="0"/>
  </r>
  <r>
    <s v="Description 1636"/>
    <s v="Code 1636"/>
    <n v="70"/>
    <n v="38"/>
    <n v="66"/>
    <n v="72"/>
    <n v="68"/>
    <n v="74"/>
    <n v="62"/>
    <n v="76"/>
    <n v="66"/>
    <n v="0"/>
    <n v="94"/>
    <x v="69"/>
    <x v="0"/>
    <x v="0"/>
    <x v="0"/>
  </r>
  <r>
    <s v="Description 1637"/>
    <s v="Code 1637"/>
    <n v="64"/>
    <n v="38"/>
    <n v="60"/>
    <n v="68"/>
    <n v="66"/>
    <n v="70"/>
    <n v="50"/>
    <n v="68"/>
    <n v="70"/>
    <n v="0"/>
    <n v="1"/>
    <x v="47"/>
    <x v="0"/>
    <x v="0"/>
    <x v="0"/>
  </r>
  <r>
    <s v="Description 1638"/>
    <s v="Code 1638"/>
    <n v="4"/>
    <n v="14"/>
    <n v="0"/>
    <n v="20"/>
    <n v="10"/>
    <n v="6"/>
    <n v="6"/>
    <n v="12"/>
    <n v="2"/>
    <n v="0"/>
    <n v="1223"/>
    <x v="177"/>
    <x v="0"/>
    <x v="0"/>
    <x v="0"/>
  </r>
  <r>
    <s v="Description 1639"/>
    <s v="Code 1639"/>
    <n v="21"/>
    <n v="31"/>
    <n v="11"/>
    <n v="47"/>
    <n v="30"/>
    <n v="23"/>
    <n v="14"/>
    <n v="31"/>
    <n v="20"/>
    <n v="0"/>
    <n v="1256"/>
    <x v="105"/>
    <x v="0"/>
    <x v="1"/>
    <x v="0"/>
  </r>
  <r>
    <s v="Description 1640"/>
    <s v="Code 1640"/>
    <n v="4"/>
    <n v="14"/>
    <n v="0"/>
    <n v="20"/>
    <n v="10"/>
    <n v="6"/>
    <n v="6"/>
    <n v="12"/>
    <n v="2"/>
    <n v="0"/>
    <n v="0"/>
    <x v="95"/>
    <x v="0"/>
    <x v="0"/>
    <x v="0"/>
  </r>
  <r>
    <s v="Description 1641"/>
    <s v="Code 1641"/>
    <n v="0"/>
    <n v="0"/>
    <n v="0"/>
    <n v="0"/>
    <n v="0"/>
    <n v="0"/>
    <n v="0"/>
    <n v="0"/>
    <n v="0"/>
    <n v="0"/>
    <n v="96"/>
    <x v="67"/>
    <x v="0"/>
    <x v="0"/>
    <x v="0"/>
  </r>
  <r>
    <s v="Description 1642"/>
    <s v="Code 1642"/>
    <n v="40"/>
    <n v="46"/>
    <n v="60"/>
    <n v="44"/>
    <n v="40"/>
    <n v="32"/>
    <n v="32"/>
    <n v="30"/>
    <n v="32"/>
    <n v="0"/>
    <n v="140"/>
    <x v="55"/>
    <x v="0"/>
    <x v="0"/>
    <x v="0"/>
  </r>
  <r>
    <s v="Description 1643"/>
    <s v="Code 1643"/>
    <n v="20"/>
    <n v="4"/>
    <n v="4"/>
    <n v="0"/>
    <n v="4"/>
    <n v="0"/>
    <n v="8"/>
    <n v="0"/>
    <n v="0"/>
    <n v="0"/>
    <n v="4100"/>
    <x v="185"/>
    <x v="0"/>
    <x v="0"/>
    <x v="0"/>
  </r>
  <r>
    <s v="Description 1644"/>
    <s v="Code 1644"/>
    <n v="540"/>
    <n v="220"/>
    <n v="512"/>
    <n v="520"/>
    <n v="6488"/>
    <n v="4916"/>
    <n v="320"/>
    <n v="160"/>
    <n v="440"/>
    <n v="0"/>
    <n v="0"/>
    <x v="134"/>
    <x v="0"/>
    <x v="0"/>
    <x v="0"/>
  </r>
  <r>
    <s v="Description 1645"/>
    <s v="Code 1645"/>
    <n v="5"/>
    <n v="0"/>
    <n v="0"/>
    <n v="6"/>
    <n v="0"/>
    <n v="0"/>
    <n v="0"/>
    <n v="0"/>
    <n v="0"/>
    <n v="0"/>
    <n v="4"/>
    <x v="50"/>
    <x v="0"/>
    <x v="0"/>
    <x v="0"/>
  </r>
  <r>
    <s v="Description 1646"/>
    <s v="Code 1646"/>
    <n v="0"/>
    <n v="0"/>
    <n v="0"/>
    <n v="0"/>
    <n v="0"/>
    <n v="0"/>
    <n v="0"/>
    <n v="0"/>
    <n v="2"/>
    <n v="0"/>
    <n v="2"/>
    <x v="188"/>
    <x v="0"/>
    <x v="0"/>
    <x v="0"/>
  </r>
  <r>
    <s v="Description 1647"/>
    <s v="Code 1647"/>
    <n v="0"/>
    <n v="0"/>
    <n v="0"/>
    <n v="0"/>
    <n v="0"/>
    <n v="0"/>
    <n v="0"/>
    <n v="0"/>
    <n v="0"/>
    <n v="0"/>
    <n v="0"/>
    <x v="88"/>
    <x v="0"/>
    <x v="0"/>
    <x v="0"/>
  </r>
  <r>
    <s v="Description 1648"/>
    <s v="Code 1648"/>
    <n v="0"/>
    <n v="0"/>
    <n v="0"/>
    <n v="0"/>
    <n v="0"/>
    <n v="0"/>
    <n v="0"/>
    <n v="0"/>
    <n v="0"/>
    <n v="0"/>
    <n v="5"/>
    <x v="139"/>
    <x v="0"/>
    <x v="0"/>
    <x v="0"/>
  </r>
  <r>
    <s v="Description 1649"/>
    <s v="Code 1649"/>
    <n v="0"/>
    <n v="0"/>
    <n v="0"/>
    <n v="0"/>
    <n v="0"/>
    <n v="0"/>
    <n v="0"/>
    <n v="0"/>
    <n v="0"/>
    <n v="0"/>
    <n v="614"/>
    <x v="137"/>
    <x v="0"/>
    <x v="1"/>
    <x v="0"/>
  </r>
  <r>
    <s v="Description 1650"/>
    <s v="Code 1650"/>
    <n v="90"/>
    <n v="10"/>
    <n v="60"/>
    <n v="30"/>
    <n v="30"/>
    <n v="40"/>
    <n v="10"/>
    <n v="0"/>
    <n v="50"/>
    <n v="0"/>
    <n v="60"/>
    <x v="81"/>
    <x v="0"/>
    <x v="0"/>
    <x v="0"/>
  </r>
  <r>
    <s v="Description 1651"/>
    <s v="Code 1651"/>
    <n v="0"/>
    <n v="0"/>
    <n v="0"/>
    <n v="0"/>
    <n v="50"/>
    <n v="0"/>
    <n v="0"/>
    <n v="50"/>
    <n v="0"/>
    <n v="0"/>
    <n v="600"/>
    <x v="132"/>
    <x v="0"/>
    <x v="0"/>
    <x v="0"/>
  </r>
  <r>
    <s v="Description 1652"/>
    <s v="Code 1652"/>
    <n v="182"/>
    <n v="41"/>
    <n v="24"/>
    <n v="118"/>
    <n v="84"/>
    <n v="67"/>
    <n v="80"/>
    <n v="97"/>
    <n v="61"/>
    <n v="0"/>
    <n v="250"/>
    <x v="8"/>
    <x v="0"/>
    <x v="0"/>
    <x v="0"/>
  </r>
  <r>
    <s v="Description 1653"/>
    <s v="Code 1653"/>
    <n v="0"/>
    <n v="0"/>
    <n v="0"/>
    <n v="0"/>
    <n v="0"/>
    <n v="1"/>
    <n v="0"/>
    <n v="0"/>
    <n v="0"/>
    <n v="0"/>
    <n v="66"/>
    <x v="13"/>
    <x v="0"/>
    <x v="1"/>
    <x v="0"/>
  </r>
  <r>
    <s v="Description 1654"/>
    <s v="Code 1654"/>
    <n v="1"/>
    <n v="0"/>
    <n v="20"/>
    <n v="2"/>
    <n v="3"/>
    <n v="0"/>
    <n v="2"/>
    <n v="5"/>
    <n v="0"/>
    <n v="0"/>
    <n v="281"/>
    <x v="190"/>
    <x v="0"/>
    <x v="0"/>
    <x v="0"/>
  </r>
  <r>
    <s v="Description 1655"/>
    <s v="Code 1655"/>
    <n v="1"/>
    <n v="0"/>
    <n v="20"/>
    <n v="2"/>
    <n v="3"/>
    <n v="0"/>
    <n v="2"/>
    <n v="5"/>
    <n v="0"/>
    <n v="0"/>
    <n v="0"/>
    <x v="195"/>
    <x v="0"/>
    <x v="0"/>
    <x v="0"/>
  </r>
  <r>
    <s v="Description 1656"/>
    <s v="Code 1656"/>
    <n v="62"/>
    <n v="62"/>
    <n v="62"/>
    <n v="62"/>
    <n v="62"/>
    <n v="62"/>
    <n v="62"/>
    <n v="62"/>
    <n v="62"/>
    <n v="0"/>
    <n v="2160"/>
    <x v="68"/>
    <x v="0"/>
    <x v="0"/>
    <x v="0"/>
  </r>
  <r>
    <s v="Description 1657"/>
    <s v="Code 1657"/>
    <n v="10"/>
    <n v="0"/>
    <n v="0"/>
    <n v="10"/>
    <n v="0"/>
    <n v="0"/>
    <n v="10"/>
    <n v="0"/>
    <n v="20"/>
    <n v="0"/>
    <n v="0"/>
    <x v="70"/>
    <x v="0"/>
    <x v="0"/>
    <x v="0"/>
  </r>
  <r>
    <s v="Description 1658"/>
    <s v="Code 1658"/>
    <n v="0"/>
    <n v="0"/>
    <n v="0"/>
    <n v="0"/>
    <n v="0"/>
    <n v="0"/>
    <n v="0"/>
    <n v="0"/>
    <n v="0"/>
    <n v="0"/>
    <n v="9000"/>
    <x v="86"/>
    <x v="0"/>
    <x v="0"/>
    <x v="0"/>
  </r>
  <r>
    <s v="Description 1659"/>
    <s v="Code 1659"/>
    <n v="3086"/>
    <n v="2133"/>
    <n v="3493"/>
    <n v="3862"/>
    <n v="3570"/>
    <n v="2690"/>
    <n v="2502"/>
    <n v="2308"/>
    <n v="2428"/>
    <n v="0"/>
    <n v="6000"/>
    <x v="116"/>
    <x v="0"/>
    <x v="0"/>
    <x v="0"/>
  </r>
  <r>
    <s v="Description 1660"/>
    <s v="Code 1660"/>
    <n v="60"/>
    <n v="69"/>
    <n v="90"/>
    <n v="66"/>
    <n v="60"/>
    <n v="48"/>
    <n v="48"/>
    <n v="45"/>
    <n v="48"/>
    <n v="0"/>
    <n v="1302"/>
    <x v="156"/>
    <x v="0"/>
    <x v="0"/>
    <x v="0"/>
  </r>
  <r>
    <s v="Description 1661"/>
    <s v="Code 1661"/>
    <n v="0"/>
    <n v="0"/>
    <n v="0"/>
    <n v="0"/>
    <n v="0"/>
    <n v="0"/>
    <n v="1"/>
    <n v="0"/>
    <n v="2"/>
    <n v="0"/>
    <n v="1759"/>
    <x v="168"/>
    <x v="0"/>
    <x v="0"/>
    <x v="0"/>
  </r>
  <r>
    <s v="Description 1662"/>
    <s v="Code 1662"/>
    <n v="1"/>
    <n v="0"/>
    <n v="0"/>
    <n v="1"/>
    <n v="0"/>
    <n v="0"/>
    <n v="0"/>
    <n v="0"/>
    <n v="0"/>
    <n v="0"/>
    <n v="795"/>
    <x v="51"/>
    <x v="0"/>
    <x v="0"/>
    <x v="0"/>
  </r>
  <r>
    <s v="Description 1663"/>
    <s v="Code 1663"/>
    <n v="0"/>
    <n v="0"/>
    <n v="0"/>
    <n v="0"/>
    <n v="0"/>
    <n v="0"/>
    <n v="0"/>
    <n v="5"/>
    <n v="0"/>
    <n v="0"/>
    <n v="840"/>
    <x v="169"/>
    <x v="0"/>
    <x v="0"/>
    <x v="0"/>
  </r>
  <r>
    <s v="Description 1664"/>
    <s v="Code 1664"/>
    <n v="0"/>
    <n v="0"/>
    <n v="0"/>
    <n v="0"/>
    <n v="5"/>
    <n v="0"/>
    <n v="0"/>
    <n v="0"/>
    <n v="0"/>
    <n v="0"/>
    <n v="267"/>
    <x v="26"/>
    <x v="0"/>
    <x v="1"/>
    <x v="0"/>
  </r>
  <r>
    <s v="Description 1665"/>
    <s v="Code 1665"/>
    <n v="0"/>
    <n v="1"/>
    <n v="3"/>
    <n v="3"/>
    <n v="0"/>
    <n v="4"/>
    <n v="0"/>
    <n v="0"/>
    <n v="5"/>
    <n v="0"/>
    <n v="0"/>
    <x v="15"/>
    <x v="0"/>
    <x v="0"/>
    <x v="0"/>
  </r>
  <r>
    <s v="Description 1666"/>
    <s v="Code 1666"/>
    <n v="9"/>
    <n v="0"/>
    <n v="3"/>
    <n v="0"/>
    <n v="3"/>
    <n v="0"/>
    <n v="1"/>
    <n v="0"/>
    <n v="0"/>
    <n v="0"/>
    <n v="19922"/>
    <x v="161"/>
    <x v="0"/>
    <x v="0"/>
    <x v="0"/>
  </r>
  <r>
    <s v="Description 1667"/>
    <s v="Code 1667"/>
    <n v="11276.495199999999"/>
    <n v="6873.6016"/>
    <n v="9915.5367999999999"/>
    <n v="9197.5400000000009"/>
    <n v="8080.2128000000002"/>
    <n v="8972.5079999999998"/>
    <n v="6392.7568000000001"/>
    <n v="7174.1080000000002"/>
    <n v="7744.5119999999997"/>
    <n v="0"/>
    <n v="0"/>
    <x v="34"/>
    <x v="0"/>
    <x v="0"/>
    <x v="0"/>
  </r>
  <r>
    <s v="Description 1668"/>
    <s v="Code 1668"/>
    <n v="0"/>
    <n v="0"/>
    <n v="5"/>
    <n v="20"/>
    <n v="0"/>
    <n v="0"/>
    <n v="0"/>
    <n v="0"/>
    <n v="30"/>
    <n v="0"/>
    <n v="0"/>
    <x v="185"/>
    <x v="0"/>
    <x v="0"/>
    <x v="0"/>
  </r>
  <r>
    <s v="Description 1669"/>
    <s v="Code 1669"/>
    <n v="0"/>
    <n v="0"/>
    <n v="0"/>
    <n v="0"/>
    <n v="0"/>
    <n v="0"/>
    <n v="0"/>
    <n v="0"/>
    <n v="0"/>
    <n v="0"/>
    <n v="0"/>
    <x v="69"/>
    <x v="0"/>
    <x v="0"/>
    <x v="0"/>
  </r>
  <r>
    <s v="Description 1670"/>
    <s v="Code 1670"/>
    <n v="0"/>
    <n v="0"/>
    <n v="0"/>
    <n v="0"/>
    <n v="0"/>
    <n v="0"/>
    <n v="0"/>
    <n v="0"/>
    <n v="0"/>
    <n v="0"/>
    <n v="0"/>
    <x v="47"/>
    <x v="0"/>
    <x v="0"/>
    <x v="0"/>
  </r>
  <r>
    <s v="Description 1671"/>
    <s v="Code 1671"/>
    <n v="0"/>
    <n v="0"/>
    <n v="0"/>
    <n v="5"/>
    <n v="0"/>
    <n v="0"/>
    <n v="0"/>
    <n v="0"/>
    <n v="0"/>
    <n v="0"/>
    <n v="250"/>
    <x v="143"/>
    <x v="0"/>
    <x v="0"/>
    <x v="0"/>
  </r>
  <r>
    <s v="Description 1672"/>
    <s v="Code 1672"/>
    <n v="0"/>
    <n v="0"/>
    <n v="0"/>
    <n v="0"/>
    <n v="0"/>
    <n v="0"/>
    <n v="0"/>
    <n v="0"/>
    <n v="0"/>
    <n v="0"/>
    <n v="0"/>
    <x v="35"/>
    <x v="0"/>
    <x v="1"/>
    <x v="0"/>
  </r>
  <r>
    <s v="Description 1673"/>
    <s v="Code 1673"/>
    <n v="1"/>
    <n v="0"/>
    <n v="5"/>
    <n v="2"/>
    <n v="3"/>
    <n v="0"/>
    <n v="2"/>
    <n v="5"/>
    <n v="0"/>
    <n v="0"/>
    <n v="0"/>
    <x v="155"/>
    <x v="0"/>
    <x v="0"/>
    <x v="0"/>
  </r>
  <r>
    <s v="Description 1674"/>
    <s v="Code 1674"/>
    <n v="8.9640000000000004"/>
    <n v="0"/>
    <n v="0"/>
    <n v="0"/>
    <n v="4.1500000000000004"/>
    <n v="3.1539999999999999"/>
    <n v="1.66"/>
    <n v="4.1500000000000004"/>
    <n v="2.988"/>
    <n v="0"/>
    <n v="0"/>
    <x v="198"/>
    <x v="0"/>
    <x v="0"/>
    <x v="0"/>
  </r>
  <r>
    <s v="Description 1675"/>
    <s v="Code 1675"/>
    <n v="300"/>
    <n v="300"/>
    <n v="64"/>
    <n v="150"/>
    <n v="214"/>
    <n v="150"/>
    <n v="0"/>
    <n v="64"/>
    <n v="0"/>
    <n v="0"/>
    <n v="3000"/>
    <x v="126"/>
    <x v="0"/>
    <x v="0"/>
    <x v="0"/>
  </r>
  <r>
    <s v="Description 1676"/>
    <s v="Code 1676"/>
    <n v="150"/>
    <n v="0"/>
    <n v="0"/>
    <n v="0"/>
    <n v="0"/>
    <n v="150"/>
    <n v="0"/>
    <n v="0"/>
    <n v="0"/>
    <n v="0"/>
    <n v="1000"/>
    <x v="122"/>
    <x v="0"/>
    <x v="0"/>
    <x v="0"/>
  </r>
  <r>
    <s v="Description 1677"/>
    <s v="Code 1677"/>
    <n v="32"/>
    <n v="48"/>
    <n v="32"/>
    <n v="48"/>
    <n v="32"/>
    <n v="48"/>
    <n v="48"/>
    <n v="32"/>
    <n v="32"/>
    <n v="0"/>
    <n v="1000"/>
    <x v="102"/>
    <x v="0"/>
    <x v="0"/>
    <x v="0"/>
  </r>
  <r>
    <s v="Description 1678"/>
    <s v="Code 1678"/>
    <n v="16"/>
    <n v="16"/>
    <n v="36"/>
    <n v="16"/>
    <n v="36"/>
    <n v="8"/>
    <n v="16"/>
    <n v="28"/>
    <n v="16"/>
    <n v="0"/>
    <n v="0"/>
    <x v="122"/>
    <x v="0"/>
    <x v="0"/>
    <x v="0"/>
  </r>
  <r>
    <s v="Description 1679"/>
    <s v="Code 1679"/>
    <n v="0"/>
    <n v="0"/>
    <n v="0"/>
    <n v="0"/>
    <n v="0"/>
    <n v="0"/>
    <n v="0"/>
    <n v="0"/>
    <n v="0"/>
    <n v="0"/>
    <n v="0"/>
    <x v="55"/>
    <x v="0"/>
    <x v="0"/>
    <x v="0"/>
  </r>
  <r>
    <s v="Description 1680"/>
    <s v="Code 1680"/>
    <n v="0"/>
    <n v="0"/>
    <n v="0"/>
    <n v="0"/>
    <n v="0"/>
    <n v="0"/>
    <n v="0"/>
    <n v="0"/>
    <n v="0"/>
    <n v="0"/>
    <n v="1000"/>
    <x v="164"/>
    <x v="0"/>
    <x v="0"/>
    <x v="0"/>
  </r>
  <r>
    <s v="Description 1681"/>
    <s v="Code 1681"/>
    <n v="0"/>
    <n v="0"/>
    <n v="25"/>
    <n v="0"/>
    <n v="25"/>
    <n v="25"/>
    <n v="35"/>
    <n v="0"/>
    <n v="0"/>
    <n v="0"/>
    <n v="7500"/>
    <x v="92"/>
    <x v="0"/>
    <x v="0"/>
    <x v="0"/>
  </r>
  <r>
    <s v="Description 1682"/>
    <s v="Code 1682"/>
    <n v="0"/>
    <n v="0"/>
    <n v="0"/>
    <n v="0"/>
    <n v="70"/>
    <n v="62"/>
    <n v="0"/>
    <n v="40"/>
    <n v="0"/>
    <n v="0"/>
    <n v="0"/>
    <x v="59"/>
    <x v="0"/>
    <x v="0"/>
    <x v="0"/>
  </r>
  <r>
    <s v="Description 1683"/>
    <s v="Code 1683"/>
    <n v="0"/>
    <n v="0"/>
    <n v="120"/>
    <n v="0"/>
    <n v="0"/>
    <n v="120"/>
    <n v="0"/>
    <n v="0"/>
    <n v="100"/>
    <n v="0"/>
    <n v="5500"/>
    <x v="81"/>
    <x v="0"/>
    <x v="0"/>
    <x v="0"/>
  </r>
  <r>
    <s v="Description 1684"/>
    <s v="Code 1684"/>
    <n v="0"/>
    <n v="0"/>
    <n v="0"/>
    <n v="0"/>
    <n v="0"/>
    <n v="0"/>
    <n v="0"/>
    <n v="0"/>
    <n v="0"/>
    <n v="0"/>
    <n v="5000"/>
    <x v="127"/>
    <x v="0"/>
    <x v="0"/>
    <x v="0"/>
  </r>
  <r>
    <s v="Description 1685"/>
    <s v="Code 1685"/>
    <n v="0"/>
    <n v="0"/>
    <n v="0"/>
    <n v="0"/>
    <n v="0"/>
    <n v="0"/>
    <n v="0"/>
    <n v="0"/>
    <n v="0"/>
    <n v="0"/>
    <n v="2786"/>
    <x v="5"/>
    <x v="0"/>
    <x v="0"/>
    <x v="0"/>
  </r>
  <r>
    <s v="Description 1686"/>
    <s v="Code 1686"/>
    <n v="20"/>
    <n v="0"/>
    <n v="0"/>
    <n v="20"/>
    <n v="20"/>
    <n v="0"/>
    <n v="0"/>
    <n v="0"/>
    <n v="0"/>
    <n v="0"/>
    <n v="9735"/>
    <x v="171"/>
    <x v="0"/>
    <x v="0"/>
    <x v="0"/>
  </r>
  <r>
    <s v="Description 1687"/>
    <s v="Code 1687"/>
    <n v="134"/>
    <n v="114"/>
    <n v="113"/>
    <n v="153"/>
    <n v="146"/>
    <n v="66"/>
    <n v="71"/>
    <n v="52"/>
    <n v="50"/>
    <n v="0"/>
    <n v="0"/>
    <x v="181"/>
    <x v="0"/>
    <x v="0"/>
    <x v="0"/>
  </r>
  <r>
    <s v="Description 1688"/>
    <s v="Code 1688"/>
    <n v="0"/>
    <n v="0"/>
    <n v="25"/>
    <n v="0"/>
    <n v="0"/>
    <n v="25"/>
    <n v="0"/>
    <n v="0"/>
    <n v="0"/>
    <n v="0"/>
    <n v="0"/>
    <x v="39"/>
    <x v="0"/>
    <x v="0"/>
    <x v="0"/>
  </r>
  <r>
    <s v="Description 1689"/>
    <s v="Code 1689"/>
    <n v="0"/>
    <n v="0"/>
    <n v="25"/>
    <n v="0"/>
    <n v="25"/>
    <n v="25"/>
    <n v="35"/>
    <n v="0"/>
    <n v="0"/>
    <n v="0"/>
    <n v="0"/>
    <x v="121"/>
    <x v="0"/>
    <x v="0"/>
    <x v="0"/>
  </r>
  <r>
    <s v="Description 1690"/>
    <s v="Code 1690"/>
    <n v="0"/>
    <n v="0"/>
    <n v="0"/>
    <n v="0"/>
    <n v="25"/>
    <n v="0"/>
    <n v="0"/>
    <n v="0"/>
    <n v="0"/>
    <n v="0"/>
    <n v="0"/>
    <x v="10"/>
    <x v="0"/>
    <x v="0"/>
    <x v="0"/>
  </r>
  <r>
    <s v="Description 1691"/>
    <s v="Code 1691"/>
    <n v="0"/>
    <n v="0"/>
    <n v="0"/>
    <n v="0"/>
    <n v="0"/>
    <n v="0"/>
    <n v="35"/>
    <n v="0"/>
    <n v="0"/>
    <n v="0"/>
    <n v="0"/>
    <x v="127"/>
    <x v="0"/>
    <x v="0"/>
    <x v="0"/>
  </r>
  <r>
    <s v="Description 1692"/>
    <s v="Code 1692"/>
    <n v="0"/>
    <n v="0"/>
    <n v="0"/>
    <n v="0"/>
    <n v="0"/>
    <n v="0"/>
    <n v="0"/>
    <n v="0"/>
    <n v="0"/>
    <n v="0"/>
    <n v="3400"/>
    <x v="152"/>
    <x v="0"/>
    <x v="0"/>
    <x v="0"/>
  </r>
  <r>
    <s v="Description 1693"/>
    <s v="Code 1693"/>
    <n v="2180"/>
    <n v="1645"/>
    <n v="3548"/>
    <n v="2460"/>
    <n v="2544"/>
    <n v="2323"/>
    <n v="716"/>
    <n v="984"/>
    <n v="1388"/>
    <n v="0"/>
    <n v="0"/>
    <x v="177"/>
    <x v="0"/>
    <x v="0"/>
    <x v="0"/>
  </r>
  <r>
    <s v="Description 1694"/>
    <s v="Code 1694"/>
    <n v="0"/>
    <n v="0"/>
    <n v="0"/>
    <n v="0"/>
    <n v="0"/>
    <n v="0"/>
    <n v="0"/>
    <n v="0"/>
    <n v="0"/>
    <n v="0"/>
    <n v="1769"/>
    <x v="62"/>
    <x v="0"/>
    <x v="0"/>
    <x v="0"/>
  </r>
  <r>
    <s v="Description 1695"/>
    <s v="Code 1695"/>
    <n v="755.12"/>
    <n v="811"/>
    <n v="918"/>
    <n v="986"/>
    <n v="689"/>
    <n v="662"/>
    <n v="652"/>
    <n v="543"/>
    <n v="244"/>
    <n v="0"/>
    <n v="198.5"/>
    <x v="61"/>
    <x v="0"/>
    <x v="0"/>
    <x v="0"/>
  </r>
  <r>
    <s v="Description 1696"/>
    <s v="Code 1696"/>
    <n v="2.5"/>
    <n v="0.5"/>
    <n v="0.5"/>
    <n v="0"/>
    <n v="0.5"/>
    <n v="0"/>
    <n v="1"/>
    <n v="0"/>
    <n v="0"/>
    <n v="0"/>
    <n v="4000"/>
    <x v="165"/>
    <x v="0"/>
    <x v="0"/>
    <x v="0"/>
  </r>
  <r>
    <s v="Description 1697"/>
    <s v="Code 1697"/>
    <n v="540"/>
    <n v="220"/>
    <n v="1580.8"/>
    <n v="2011.2"/>
    <n v="1835.2"/>
    <n v="732"/>
    <n v="320"/>
    <n v="160"/>
    <n v="744"/>
    <n v="0"/>
    <n v="0"/>
    <x v="104"/>
    <x v="0"/>
    <x v="0"/>
    <x v="0"/>
  </r>
  <r>
    <s v="Description 1698"/>
    <s v="Code 1698"/>
    <n v="135"/>
    <n v="95"/>
    <n v="165"/>
    <n v="180"/>
    <n v="150"/>
    <n v="150"/>
    <n v="180"/>
    <n v="170"/>
    <n v="165"/>
    <n v="0"/>
    <n v="3000"/>
    <x v="181"/>
    <x v="0"/>
    <x v="0"/>
    <x v="0"/>
  </r>
  <r>
    <s v="Description 1699"/>
    <s v="Code 1699"/>
    <n v="135"/>
    <n v="95"/>
    <n v="165"/>
    <n v="180"/>
    <n v="150"/>
    <n v="150"/>
    <n v="180"/>
    <n v="170"/>
    <n v="165"/>
    <n v="0"/>
    <n v="2000"/>
    <x v="24"/>
    <x v="0"/>
    <x v="0"/>
    <x v="0"/>
  </r>
  <r>
    <s v="Description 1700"/>
    <s v="Code 1700"/>
    <n v="135"/>
    <n v="95"/>
    <n v="165"/>
    <n v="180"/>
    <n v="150"/>
    <n v="150"/>
    <n v="180"/>
    <n v="170"/>
    <n v="165"/>
    <n v="0"/>
    <n v="259"/>
    <x v="119"/>
    <x v="0"/>
    <x v="1"/>
    <x v="0"/>
  </r>
  <r>
    <s v="Description 1701"/>
    <s v="Code 1701"/>
    <n v="4"/>
    <n v="0"/>
    <n v="4"/>
    <n v="0"/>
    <n v="2"/>
    <n v="0"/>
    <n v="0"/>
    <n v="2"/>
    <n v="0"/>
    <n v="0"/>
    <n v="192"/>
    <x v="88"/>
    <x v="0"/>
    <x v="0"/>
    <x v="0"/>
  </r>
  <r>
    <s v="Description 1702"/>
    <s v="Code 1702"/>
    <n v="10"/>
    <n v="3"/>
    <n v="2"/>
    <n v="8"/>
    <n v="1"/>
    <n v="1"/>
    <n v="3"/>
    <n v="9"/>
    <n v="4"/>
    <n v="0"/>
    <n v="192"/>
    <x v="135"/>
    <x v="0"/>
    <x v="0"/>
    <x v="0"/>
  </r>
  <r>
    <s v="Description 1703"/>
    <s v="Code 1703"/>
    <n v="10"/>
    <n v="3"/>
    <n v="2"/>
    <n v="8"/>
    <n v="1"/>
    <n v="1"/>
    <n v="3"/>
    <n v="9"/>
    <n v="4"/>
    <n v="0"/>
    <n v="18"/>
    <x v="146"/>
    <x v="0"/>
    <x v="0"/>
    <x v="0"/>
  </r>
  <r>
    <s v="Description 1704"/>
    <s v="Code 1704"/>
    <n v="0"/>
    <n v="0"/>
    <n v="0"/>
    <n v="0"/>
    <n v="0"/>
    <n v="0"/>
    <n v="0"/>
    <n v="0"/>
    <n v="0"/>
    <n v="0"/>
    <n v="390"/>
    <x v="148"/>
    <x v="0"/>
    <x v="0"/>
    <x v="0"/>
  </r>
  <r>
    <s v="Description 1705"/>
    <s v="Code 1705"/>
    <n v="76"/>
    <n v="68"/>
    <n v="92"/>
    <n v="92"/>
    <n v="40"/>
    <n v="52"/>
    <n v="40"/>
    <n v="52"/>
    <n v="34"/>
    <n v="0"/>
    <n v="4"/>
    <x v="193"/>
    <x v="0"/>
    <x v="0"/>
    <x v="0"/>
  </r>
  <r>
    <s v="Description 1706"/>
    <s v="Code 1706"/>
    <n v="0.108"/>
    <n v="9.6000000000000002E-2"/>
    <n v="0.22799999999999998"/>
    <n v="0.108"/>
    <n v="0.22799999999999998"/>
    <n v="0.22799999999999998"/>
    <n v="0.108"/>
    <n v="0.108"/>
    <n v="0.108"/>
    <n v="0"/>
    <n v="5"/>
    <x v="9"/>
    <x v="0"/>
    <x v="0"/>
    <x v="0"/>
  </r>
  <r>
    <s v="Description 1707"/>
    <s v="Code 1707"/>
    <n v="0"/>
    <n v="0"/>
    <n v="0"/>
    <n v="0"/>
    <n v="0.06"/>
    <n v="0"/>
    <n v="0"/>
    <n v="0"/>
    <n v="0"/>
    <n v="0"/>
    <n v="244"/>
    <x v="31"/>
    <x v="0"/>
    <x v="0"/>
    <x v="0"/>
  </r>
  <r>
    <s v="Description 1708"/>
    <s v="Code 1708"/>
    <n v="152"/>
    <n v="136"/>
    <n v="184"/>
    <n v="184"/>
    <n v="80"/>
    <n v="104"/>
    <n v="80"/>
    <n v="104"/>
    <n v="68"/>
    <n v="0"/>
    <n v="1800"/>
    <x v="39"/>
    <x v="0"/>
    <x v="0"/>
    <x v="0"/>
  </r>
  <r>
    <s v="Description 1709"/>
    <s v="Code 1709"/>
    <n v="152"/>
    <n v="136"/>
    <n v="184"/>
    <n v="184"/>
    <n v="80"/>
    <n v="104"/>
    <n v="80"/>
    <n v="104"/>
    <n v="68"/>
    <n v="0"/>
    <n v="109"/>
    <x v="197"/>
    <x v="0"/>
    <x v="0"/>
    <x v="0"/>
  </r>
  <r>
    <s v="Description 1710"/>
    <s v="Code 1710"/>
    <n v="14"/>
    <n v="14"/>
    <n v="7"/>
    <n v="28"/>
    <n v="12"/>
    <n v="10"/>
    <n v="8"/>
    <n v="6"/>
    <n v="8"/>
    <n v="0"/>
    <n v="314"/>
    <x v="142"/>
    <x v="0"/>
    <x v="0"/>
    <x v="0"/>
  </r>
  <r>
    <s v="Description 1711"/>
    <s v="Code 1711"/>
    <n v="0.5"/>
    <n v="1"/>
    <n v="1.5"/>
    <n v="2"/>
    <n v="1"/>
    <n v="2"/>
    <n v="4"/>
    <n v="2.5"/>
    <n v="0"/>
    <n v="0"/>
    <n v="3000"/>
    <x v="96"/>
    <x v="0"/>
    <x v="0"/>
    <x v="0"/>
  </r>
  <r>
    <s v="Description 1712"/>
    <s v="Code 1712"/>
    <n v="950"/>
    <n v="650"/>
    <n v="820"/>
    <n v="720"/>
    <n v="720"/>
    <n v="720"/>
    <n v="820"/>
    <n v="720"/>
    <n v="720"/>
    <n v="0"/>
    <n v="0"/>
    <x v="129"/>
    <x v="0"/>
    <x v="1"/>
    <x v="0"/>
  </r>
  <r>
    <s v="Description 1713"/>
    <s v="Code 1713"/>
    <n v="1920"/>
    <n v="1600"/>
    <n v="2240"/>
    <n v="2240"/>
    <n v="2240"/>
    <n v="2240"/>
    <n v="1920"/>
    <n v="2240"/>
    <n v="2240"/>
    <n v="0"/>
    <n v="0"/>
    <x v="7"/>
    <x v="0"/>
    <x v="0"/>
    <x v="0"/>
  </r>
  <r>
    <s v="Description 1714"/>
    <s v="Code 1714"/>
    <n v="0"/>
    <n v="8.72E-2"/>
    <n v="0"/>
    <n v="0"/>
    <n v="0"/>
    <n v="0"/>
    <n v="0"/>
    <n v="0"/>
    <n v="0"/>
    <n v="0"/>
    <n v="0"/>
    <x v="146"/>
    <x v="0"/>
    <x v="0"/>
    <x v="0"/>
  </r>
  <r>
    <s v="Description 1715"/>
    <s v="Code 1715"/>
    <n v="0"/>
    <n v="0"/>
    <n v="0"/>
    <n v="0"/>
    <n v="0"/>
    <n v="0"/>
    <n v="0"/>
    <n v="0"/>
    <n v="0"/>
    <n v="0"/>
    <n v="0"/>
    <x v="179"/>
    <x v="0"/>
    <x v="0"/>
    <x v="0"/>
  </r>
  <r>
    <s v="Description 1716"/>
    <s v="Code 1716"/>
    <n v="0"/>
    <n v="0"/>
    <n v="0"/>
    <n v="0"/>
    <n v="0"/>
    <n v="0"/>
    <n v="0"/>
    <n v="0"/>
    <n v="0"/>
    <n v="0"/>
    <n v="0"/>
    <x v="78"/>
    <x v="0"/>
    <x v="0"/>
    <x v="0"/>
  </r>
  <r>
    <s v="Description 1717"/>
    <s v="Code 1717"/>
    <n v="0"/>
    <n v="0"/>
    <n v="0"/>
    <n v="0"/>
    <n v="0"/>
    <n v="0"/>
    <n v="0"/>
    <n v="0"/>
    <n v="0"/>
    <n v="0"/>
    <n v="60"/>
    <x v="116"/>
    <x v="0"/>
    <x v="0"/>
    <x v="0"/>
  </r>
  <r>
    <s v="Description 1718"/>
    <s v="Code 1718"/>
    <n v="43"/>
    <n v="0"/>
    <n v="0"/>
    <n v="0"/>
    <n v="0"/>
    <n v="0"/>
    <n v="0"/>
    <n v="0"/>
    <n v="0"/>
    <n v="0"/>
    <n v="0"/>
    <x v="183"/>
    <x v="0"/>
    <x v="0"/>
    <x v="0"/>
  </r>
  <r>
    <s v="Description 1719"/>
    <s v="Code 1719"/>
    <n v="4.75"/>
    <n v="3.25"/>
    <n v="4.0999999999999996"/>
    <n v="3.6"/>
    <n v="3.6"/>
    <n v="3.6"/>
    <n v="4.0999999999999996"/>
    <n v="3.6"/>
    <n v="3.6"/>
    <n v="0"/>
    <n v="0"/>
    <x v="187"/>
    <x v="0"/>
    <x v="1"/>
    <x v="0"/>
  </r>
  <r>
    <s v="Description 1720"/>
    <s v="Code 1720"/>
    <n v="0"/>
    <n v="0"/>
    <n v="0"/>
    <n v="0"/>
    <n v="0"/>
    <n v="0"/>
    <n v="0"/>
    <n v="0"/>
    <n v="0"/>
    <n v="0"/>
    <n v="2"/>
    <x v="8"/>
    <x v="0"/>
    <x v="0"/>
    <x v="0"/>
  </r>
  <r>
    <s v="Description 1721"/>
    <s v="Code 1721"/>
    <n v="0"/>
    <n v="0"/>
    <n v="0"/>
    <n v="0"/>
    <n v="0"/>
    <n v="0"/>
    <n v="0"/>
    <n v="0"/>
    <n v="0"/>
    <n v="0"/>
    <n v="12"/>
    <x v="127"/>
    <x v="0"/>
    <x v="0"/>
    <x v="0"/>
  </r>
  <r>
    <s v="Description 1722"/>
    <s v="Code 1722"/>
    <n v="0"/>
    <n v="0"/>
    <n v="0"/>
    <n v="0"/>
    <n v="0"/>
    <n v="0"/>
    <n v="0"/>
    <n v="0"/>
    <n v="0"/>
    <n v="0"/>
    <n v="225"/>
    <x v="53"/>
    <x v="0"/>
    <x v="0"/>
    <x v="0"/>
  </r>
  <r>
    <s v="Description 1723"/>
    <s v="Code 1723"/>
    <n v="0"/>
    <n v="0"/>
    <n v="0"/>
    <n v="0"/>
    <n v="0"/>
    <n v="0"/>
    <n v="0"/>
    <n v="0"/>
    <n v="0"/>
    <n v="0"/>
    <n v="84"/>
    <x v="144"/>
    <x v="0"/>
    <x v="0"/>
    <x v="0"/>
  </r>
  <r>
    <s v="Description 1724"/>
    <s v="Code 1724"/>
    <n v="0"/>
    <n v="0"/>
    <n v="0"/>
    <n v="0"/>
    <n v="0"/>
    <n v="0"/>
    <n v="0"/>
    <n v="0"/>
    <n v="0"/>
    <n v="0"/>
    <n v="25"/>
    <x v="93"/>
    <x v="0"/>
    <x v="0"/>
    <x v="0"/>
  </r>
  <r>
    <s v="Description 1725"/>
    <s v="Code 1725"/>
    <n v="0"/>
    <n v="0"/>
    <n v="0"/>
    <n v="0"/>
    <n v="0"/>
    <n v="0"/>
    <n v="0"/>
    <n v="0"/>
    <n v="0"/>
    <n v="0"/>
    <n v="0"/>
    <x v="174"/>
    <x v="0"/>
    <x v="0"/>
    <x v="0"/>
  </r>
  <r>
    <s v="Description 1726"/>
    <s v="Code 1726"/>
    <n v="0"/>
    <n v="0"/>
    <n v="0"/>
    <n v="50"/>
    <n v="0"/>
    <n v="0"/>
    <n v="0"/>
    <n v="0"/>
    <n v="0"/>
    <n v="0"/>
    <n v="12500"/>
    <x v="66"/>
    <x v="0"/>
    <x v="0"/>
    <x v="0"/>
  </r>
  <r>
    <s v="Description 1727"/>
    <s v="Code 1727"/>
    <n v="0"/>
    <n v="0"/>
    <n v="0"/>
    <n v="0"/>
    <n v="0"/>
    <n v="0"/>
    <n v="0"/>
    <n v="0"/>
    <n v="0"/>
    <n v="0"/>
    <n v="2320"/>
    <x v="73"/>
    <x v="0"/>
    <x v="0"/>
    <x v="0"/>
  </r>
  <r>
    <s v="Description 1728"/>
    <s v="Code 1728"/>
    <n v="0"/>
    <n v="0"/>
    <n v="0"/>
    <n v="0"/>
    <n v="0"/>
    <n v="0"/>
    <n v="0"/>
    <n v="0"/>
    <n v="0"/>
    <n v="0"/>
    <n v="5"/>
    <x v="53"/>
    <x v="0"/>
    <x v="0"/>
    <x v="0"/>
  </r>
  <r>
    <s v="Description 1729"/>
    <s v="Code 1729"/>
    <n v="4"/>
    <n v="7"/>
    <n v="1"/>
    <n v="1"/>
    <n v="0"/>
    <n v="0"/>
    <n v="0"/>
    <n v="0"/>
    <n v="0"/>
    <n v="0"/>
    <n v="0"/>
    <x v="154"/>
    <x v="0"/>
    <x v="0"/>
    <x v="0"/>
  </r>
  <r>
    <s v="Description 1730"/>
    <s v="Code 1730"/>
    <n v="50"/>
    <n v="55"/>
    <n v="70"/>
    <n v="70"/>
    <n v="50"/>
    <n v="85"/>
    <n v="60"/>
    <n v="50"/>
    <n v="50"/>
    <n v="0"/>
    <n v="1500"/>
    <x v="38"/>
    <x v="0"/>
    <x v="0"/>
    <x v="0"/>
  </r>
  <r>
    <s v="Description 1731"/>
    <s v="Code 1731"/>
    <n v="50"/>
    <n v="55"/>
    <n v="70"/>
    <n v="70"/>
    <n v="50"/>
    <n v="85"/>
    <n v="60"/>
    <n v="50"/>
    <n v="50"/>
    <n v="0"/>
    <n v="0"/>
    <x v="131"/>
    <x v="0"/>
    <x v="0"/>
    <x v="0"/>
  </r>
  <r>
    <s v="Description 1732"/>
    <s v="Code 1732"/>
    <n v="0"/>
    <n v="0"/>
    <n v="104"/>
    <n v="144"/>
    <n v="104"/>
    <n v="104"/>
    <n v="104"/>
    <n v="104"/>
    <n v="104"/>
    <n v="0"/>
    <n v="266"/>
    <x v="47"/>
    <x v="0"/>
    <x v="0"/>
    <x v="0"/>
  </r>
  <r>
    <s v="Description 1733"/>
    <s v="Code 1733"/>
    <n v="0"/>
    <n v="0"/>
    <n v="72"/>
    <n v="72"/>
    <n v="0"/>
    <n v="78"/>
    <n v="0"/>
    <n v="0"/>
    <n v="72"/>
    <n v="0"/>
    <n v="904"/>
    <x v="141"/>
    <x v="0"/>
    <x v="0"/>
    <x v="0"/>
  </r>
  <r>
    <s v="Description 1734"/>
    <s v="Code 1734"/>
    <n v="825"/>
    <n v="738"/>
    <n v="950"/>
    <n v="880"/>
    <n v="930"/>
    <n v="990"/>
    <n v="630"/>
    <n v="620"/>
    <n v="720"/>
    <n v="0"/>
    <n v="0"/>
    <x v="99"/>
    <x v="0"/>
    <x v="0"/>
    <x v="0"/>
  </r>
  <r>
    <s v="Description 1735"/>
    <s v="Code 1735"/>
    <n v="2687"/>
    <n v="2496"/>
    <n v="2964"/>
    <n v="3052"/>
    <n v="2946"/>
    <n v="3152"/>
    <n v="2018"/>
    <n v="1932"/>
    <n v="2416"/>
    <n v="0"/>
    <n v="0"/>
    <x v="117"/>
    <x v="0"/>
    <x v="0"/>
    <x v="0"/>
  </r>
  <r>
    <s v="Description 1736"/>
    <s v="Code 1736"/>
    <n v="0"/>
    <n v="0"/>
    <n v="0"/>
    <n v="10"/>
    <n v="0"/>
    <n v="0"/>
    <n v="0"/>
    <n v="0"/>
    <n v="0"/>
    <n v="0"/>
    <n v="0"/>
    <x v="155"/>
    <x v="0"/>
    <x v="0"/>
    <x v="0"/>
  </r>
  <r>
    <s v="Description 1737"/>
    <s v="Code 1737"/>
    <n v="0"/>
    <n v="0"/>
    <n v="0"/>
    <n v="30"/>
    <n v="0"/>
    <n v="0"/>
    <n v="0"/>
    <n v="0"/>
    <n v="0"/>
    <n v="0"/>
    <n v="43"/>
    <x v="116"/>
    <x v="0"/>
    <x v="0"/>
    <x v="0"/>
  </r>
  <r>
    <s v="Description 1738"/>
    <s v="Code 1738"/>
    <n v="10"/>
    <n v="0"/>
    <n v="10"/>
    <n v="10"/>
    <n v="0"/>
    <n v="0"/>
    <n v="0"/>
    <n v="0"/>
    <n v="0"/>
    <n v="0"/>
    <n v="200"/>
    <x v="47"/>
    <x v="0"/>
    <x v="0"/>
    <x v="0"/>
  </r>
  <r>
    <s v="Description 1739"/>
    <s v="Code 1739"/>
    <n v="1080"/>
    <n v="440"/>
    <n v="2560"/>
    <n v="3344"/>
    <n v="3280"/>
    <n v="832"/>
    <n v="640"/>
    <n v="340"/>
    <n v="880"/>
    <n v="0"/>
    <n v="200"/>
    <x v="165"/>
    <x v="0"/>
    <x v="0"/>
    <x v="0"/>
  </r>
  <r>
    <s v="Description 1740"/>
    <s v="Code 1740"/>
    <n v="50"/>
    <n v="50"/>
    <n v="100"/>
    <n v="60"/>
    <n v="55"/>
    <n v="60"/>
    <n v="30"/>
    <n v="20"/>
    <n v="70"/>
    <n v="0"/>
    <n v="0"/>
    <x v="46"/>
    <x v="0"/>
    <x v="0"/>
    <x v="0"/>
  </r>
  <r>
    <s v="Description 1741"/>
    <s v="Code 1741"/>
    <n v="10"/>
    <n v="20"/>
    <n v="35"/>
    <n v="20"/>
    <n v="25"/>
    <n v="20"/>
    <n v="0"/>
    <n v="10"/>
    <n v="20"/>
    <n v="0"/>
    <n v="0"/>
    <x v="56"/>
    <x v="0"/>
    <x v="0"/>
    <x v="0"/>
  </r>
  <r>
    <s v="Description 1742"/>
    <s v="Code 1742"/>
    <n v="40"/>
    <n v="30"/>
    <n v="65"/>
    <n v="40"/>
    <n v="30"/>
    <n v="40"/>
    <n v="30"/>
    <n v="10"/>
    <n v="50"/>
    <n v="0"/>
    <n v="0"/>
    <x v="80"/>
    <x v="0"/>
    <x v="0"/>
    <x v="0"/>
  </r>
  <r>
    <s v="Description 1743"/>
    <s v="Code 1743"/>
    <n v="5684"/>
    <n v="4160"/>
    <n v="5284"/>
    <n v="5320"/>
    <n v="5684"/>
    <n v="5492"/>
    <n v="4852"/>
    <n v="5092"/>
    <n v="4452"/>
    <n v="0"/>
    <n v="660"/>
    <x v="185"/>
    <x v="0"/>
    <x v="0"/>
    <x v="0"/>
  </r>
  <r>
    <s v="Description 1744"/>
    <s v="Code 1744"/>
    <n v="0"/>
    <n v="360"/>
    <n v="0"/>
    <n v="0"/>
    <n v="240"/>
    <n v="120"/>
    <n v="60"/>
    <n v="0"/>
    <n v="240"/>
    <n v="0"/>
    <n v="18000"/>
    <x v="170"/>
    <x v="0"/>
    <x v="0"/>
    <x v="0"/>
  </r>
  <r>
    <s v="Description 1745"/>
    <s v="Code 1745"/>
    <n v="0"/>
    <n v="0"/>
    <n v="0"/>
    <n v="0"/>
    <n v="0"/>
    <n v="0"/>
    <n v="0"/>
    <n v="0"/>
    <n v="0"/>
    <n v="0"/>
    <n v="139"/>
    <x v="18"/>
    <x v="0"/>
    <x v="0"/>
    <x v="0"/>
  </r>
  <r>
    <s v="Description 1746"/>
    <s v="Code 1746"/>
    <n v="12088"/>
    <n v="8344"/>
    <n v="11920"/>
    <n v="13856"/>
    <n v="12660"/>
    <n v="11244"/>
    <n v="9400"/>
    <n v="8488"/>
    <n v="9512"/>
    <n v="0"/>
    <n v="44"/>
    <x v="80"/>
    <x v="0"/>
    <x v="0"/>
    <x v="0"/>
  </r>
  <r>
    <s v="Description 1747"/>
    <s v="Code 1747"/>
    <n v="3888"/>
    <n v="2876"/>
    <n v="5368"/>
    <n v="6152"/>
    <n v="6088"/>
    <n v="3640"/>
    <n v="2800"/>
    <n v="3344"/>
    <n v="3708"/>
    <n v="0"/>
    <n v="0"/>
    <x v="37"/>
    <x v="0"/>
    <x v="0"/>
    <x v="0"/>
  </r>
  <r>
    <s v="Description 1748"/>
    <s v="Code 1748"/>
    <n v="0"/>
    <n v="0"/>
    <n v="0"/>
    <n v="0"/>
    <n v="0"/>
    <n v="0"/>
    <n v="0"/>
    <n v="0"/>
    <n v="0"/>
    <n v="0"/>
    <n v="0"/>
    <x v="166"/>
    <x v="0"/>
    <x v="0"/>
    <x v="0"/>
  </r>
  <r>
    <s v="Description 1749"/>
    <s v="Code 1749"/>
    <n v="0"/>
    <n v="0"/>
    <n v="0"/>
    <n v="0"/>
    <n v="0"/>
    <n v="0"/>
    <n v="0"/>
    <n v="0"/>
    <n v="0"/>
    <n v="0"/>
    <n v="1000"/>
    <x v="114"/>
    <x v="0"/>
    <x v="0"/>
    <x v="0"/>
  </r>
  <r>
    <s v="Description 1750"/>
    <s v="Code 1750"/>
    <n v="6229"/>
    <n v="4572"/>
    <n v="6290"/>
    <n v="7128"/>
    <n v="6672"/>
    <n v="6082"/>
    <n v="4890"/>
    <n v="4604"/>
    <n v="4936"/>
    <n v="0"/>
    <n v="47"/>
    <x v="11"/>
    <x v="0"/>
    <x v="0"/>
    <x v="0"/>
  </r>
  <r>
    <s v="Description 1751"/>
    <s v="Code 1751"/>
    <n v="0"/>
    <n v="0"/>
    <n v="0"/>
    <n v="10"/>
    <n v="0"/>
    <n v="0"/>
    <n v="0"/>
    <n v="0"/>
    <n v="0"/>
    <n v="0"/>
    <n v="400"/>
    <x v="169"/>
    <x v="0"/>
    <x v="0"/>
    <x v="0"/>
  </r>
  <r>
    <s v="Description 1752"/>
    <s v="Code 1752"/>
    <n v="50"/>
    <n v="50"/>
    <n v="100"/>
    <n v="50"/>
    <n v="55"/>
    <n v="60"/>
    <n v="30"/>
    <n v="20"/>
    <n v="70"/>
    <n v="0"/>
    <n v="800"/>
    <x v="140"/>
    <x v="0"/>
    <x v="0"/>
    <x v="0"/>
  </r>
  <r>
    <s v="Description 1753"/>
    <s v="Code 1753"/>
    <n v="700"/>
    <n v="600"/>
    <n v="730"/>
    <n v="700"/>
    <n v="800"/>
    <n v="800"/>
    <n v="500"/>
    <n v="500"/>
    <n v="600"/>
    <n v="0"/>
    <n v="150"/>
    <x v="115"/>
    <x v="0"/>
    <x v="0"/>
    <x v="0"/>
  </r>
  <r>
    <s v="Description 1754"/>
    <s v="Code 1754"/>
    <n v="25"/>
    <n v="20"/>
    <n v="80"/>
    <n v="20"/>
    <n v="30"/>
    <n v="20"/>
    <n v="10"/>
    <n v="20"/>
    <n v="20"/>
    <n v="0"/>
    <n v="4500"/>
    <x v="126"/>
    <x v="0"/>
    <x v="0"/>
    <x v="0"/>
  </r>
  <r>
    <s v="Description 1755"/>
    <s v="Code 1755"/>
    <n v="0"/>
    <n v="0"/>
    <n v="0"/>
    <n v="0"/>
    <n v="0"/>
    <n v="0"/>
    <n v="0"/>
    <n v="0"/>
    <n v="0"/>
    <n v="0"/>
    <n v="100"/>
    <x v="186"/>
    <x v="0"/>
    <x v="0"/>
    <x v="0"/>
  </r>
  <r>
    <s v="Description 1756"/>
    <s v="Code 1756"/>
    <n v="20"/>
    <n v="25"/>
    <n v="20"/>
    <n v="30"/>
    <n v="20"/>
    <n v="45"/>
    <n v="20"/>
    <n v="20"/>
    <n v="20"/>
    <n v="0"/>
    <n v="100"/>
    <x v="64"/>
    <x v="0"/>
    <x v="0"/>
    <x v="0"/>
  </r>
  <r>
    <s v="Description 1757"/>
    <s v="Code 1757"/>
    <n v="30"/>
    <n v="30"/>
    <n v="50"/>
    <n v="40"/>
    <n v="30"/>
    <n v="40"/>
    <n v="40"/>
    <n v="30"/>
    <n v="30"/>
    <n v="0"/>
    <n v="458"/>
    <x v="8"/>
    <x v="0"/>
    <x v="0"/>
    <x v="0"/>
  </r>
  <r>
    <s v="Description 1758"/>
    <s v="Code 1758"/>
    <n v="64"/>
    <n v="64"/>
    <n v="96"/>
    <n v="69"/>
    <n v="64"/>
    <n v="64"/>
    <n v="64"/>
    <n v="32"/>
    <n v="64"/>
    <n v="0"/>
    <n v="320"/>
    <x v="95"/>
    <x v="0"/>
    <x v="0"/>
    <x v="0"/>
  </r>
  <r>
    <s v="Description 1759"/>
    <s v="Code 1759"/>
    <n v="64"/>
    <n v="64"/>
    <n v="96"/>
    <n v="69"/>
    <n v="64"/>
    <n v="64"/>
    <n v="64"/>
    <n v="32"/>
    <n v="64"/>
    <n v="0"/>
    <n v="29"/>
    <x v="147"/>
    <x v="0"/>
    <x v="0"/>
    <x v="0"/>
  </r>
  <r>
    <s v="Description 1760"/>
    <s v="Code 1760"/>
    <n v="0"/>
    <n v="0"/>
    <n v="0"/>
    <n v="0"/>
    <n v="0"/>
    <n v="0"/>
    <n v="0"/>
    <n v="0"/>
    <n v="0"/>
    <n v="0"/>
    <n v="29"/>
    <x v="49"/>
    <x v="0"/>
    <x v="0"/>
    <x v="0"/>
  </r>
  <r>
    <s v="Description 1761"/>
    <s v="Code 1761"/>
    <n v="0"/>
    <n v="0"/>
    <n v="0"/>
    <n v="0"/>
    <n v="0"/>
    <n v="0"/>
    <n v="0"/>
    <n v="0"/>
    <n v="0"/>
    <n v="0"/>
    <n v="4250"/>
    <x v="147"/>
    <x v="0"/>
    <x v="0"/>
    <x v="0"/>
  </r>
  <r>
    <s v="Description 1762"/>
    <s v="Code 1762"/>
    <n v="5684"/>
    <n v="4160"/>
    <n v="5284"/>
    <n v="5320"/>
    <n v="5684"/>
    <n v="5492"/>
    <n v="4852"/>
    <n v="5092"/>
    <n v="4452"/>
    <n v="0"/>
    <n v="1023"/>
    <x v="93"/>
    <x v="0"/>
    <x v="0"/>
    <x v="0"/>
  </r>
  <r>
    <s v="Description 1763"/>
    <s v="Code 1763"/>
    <n v="290"/>
    <n v="384"/>
    <n v="458"/>
    <n v="440"/>
    <n v="240"/>
    <n v="516"/>
    <n v="342"/>
    <n v="264"/>
    <n v="414"/>
    <n v="0"/>
    <n v="3306"/>
    <x v="24"/>
    <x v="0"/>
    <x v="0"/>
    <x v="0"/>
  </r>
  <r>
    <s v="Description 1764"/>
    <s v="Code 1764"/>
    <n v="80"/>
    <n v="128"/>
    <n v="136"/>
    <n v="130"/>
    <n v="80"/>
    <n v="172"/>
    <n v="114"/>
    <n v="88"/>
    <n v="138"/>
    <n v="0"/>
    <n v="313"/>
    <x v="33"/>
    <x v="0"/>
    <x v="0"/>
    <x v="0"/>
  </r>
  <r>
    <s v="Description 1765"/>
    <s v="Code 1765"/>
    <n v="20"/>
    <n v="0"/>
    <n v="20"/>
    <n v="20"/>
    <n v="0"/>
    <n v="0"/>
    <n v="0"/>
    <n v="0"/>
    <n v="0"/>
    <n v="0"/>
    <n v="218"/>
    <x v="113"/>
    <x v="0"/>
    <x v="0"/>
    <x v="0"/>
  </r>
  <r>
    <s v="Description 1766"/>
    <s v="Code 1766"/>
    <n v="0"/>
    <n v="0"/>
    <n v="0"/>
    <n v="0"/>
    <n v="0"/>
    <n v="0"/>
    <n v="0"/>
    <n v="0"/>
    <n v="0"/>
    <n v="0"/>
    <n v="390"/>
    <x v="99"/>
    <x v="0"/>
    <x v="0"/>
    <x v="0"/>
  </r>
  <r>
    <s v="Description 1767"/>
    <s v="Code 1767"/>
    <n v="0"/>
    <n v="0"/>
    <n v="0"/>
    <n v="0"/>
    <n v="0"/>
    <n v="0"/>
    <n v="0"/>
    <n v="0"/>
    <n v="0"/>
    <n v="0"/>
    <n v="380"/>
    <x v="17"/>
    <x v="0"/>
    <x v="0"/>
    <x v="0"/>
  </r>
  <r>
    <s v="Description 1768"/>
    <s v="Code 1768"/>
    <n v="0"/>
    <n v="0"/>
    <n v="0"/>
    <n v="0"/>
    <n v="0"/>
    <n v="0"/>
    <n v="0"/>
    <n v="0"/>
    <n v="0"/>
    <n v="0"/>
    <n v="38300"/>
    <x v="77"/>
    <x v="0"/>
    <x v="0"/>
    <x v="0"/>
  </r>
  <r>
    <s v="Description 1769"/>
    <s v="Code 1769"/>
    <n v="5504"/>
    <n v="3952"/>
    <n v="4712"/>
    <n v="5256"/>
    <n v="4690"/>
    <n v="5262"/>
    <n v="4380"/>
    <n v="4084"/>
    <n v="4316"/>
    <n v="0"/>
    <n v="187"/>
    <x v="87"/>
    <x v="0"/>
    <x v="0"/>
    <x v="0"/>
  </r>
  <r>
    <s v="Description 1770"/>
    <s v="Code 1770"/>
    <n v="20"/>
    <n v="0"/>
    <n v="20"/>
    <n v="20"/>
    <n v="0"/>
    <n v="0"/>
    <n v="0"/>
    <n v="0"/>
    <n v="0"/>
    <n v="0"/>
    <n v="1519"/>
    <x v="196"/>
    <x v="0"/>
    <x v="0"/>
    <x v="0"/>
  </r>
  <r>
    <s v="Description 1771"/>
    <s v="Code 1771"/>
    <n v="52"/>
    <n v="7"/>
    <n v="200"/>
    <n v="110"/>
    <n v="105"/>
    <n v="103"/>
    <n v="53"/>
    <n v="6"/>
    <n v="101"/>
    <n v="0"/>
    <n v="3823"/>
    <x v="190"/>
    <x v="0"/>
    <x v="0"/>
    <x v="0"/>
  </r>
  <r>
    <s v="Description 1772"/>
    <s v="Code 1772"/>
    <n v="52"/>
    <n v="7"/>
    <n v="200"/>
    <n v="110"/>
    <n v="105"/>
    <n v="103"/>
    <n v="53"/>
    <n v="6"/>
    <n v="101"/>
    <n v="0"/>
    <n v="36700"/>
    <x v="85"/>
    <x v="0"/>
    <x v="1"/>
    <x v="0"/>
  </r>
  <r>
    <s v="Description 1773"/>
    <s v="Code 1773"/>
    <n v="6224"/>
    <n v="3240"/>
    <n v="6024"/>
    <n v="5960"/>
    <n v="5144"/>
    <n v="6032"/>
    <n v="3632"/>
    <n v="5832"/>
    <n v="2352"/>
    <n v="0"/>
    <n v="310"/>
    <x v="25"/>
    <x v="0"/>
    <x v="1"/>
    <x v="0"/>
  </r>
  <r>
    <s v="Description 1774"/>
    <s v="Code 1774"/>
    <n v="50"/>
    <n v="0"/>
    <n v="50"/>
    <n v="100"/>
    <n v="50"/>
    <n v="50"/>
    <n v="50"/>
    <n v="50"/>
    <n v="50"/>
    <n v="0"/>
    <n v="20800"/>
    <x v="65"/>
    <x v="0"/>
    <x v="0"/>
    <x v="0"/>
  </r>
  <r>
    <s v="Description 1775"/>
    <s v="Code 1775"/>
    <n v="6274"/>
    <n v="3240"/>
    <n v="6074"/>
    <n v="6060"/>
    <n v="5194"/>
    <n v="6082"/>
    <n v="3682"/>
    <n v="5882"/>
    <n v="2402"/>
    <n v="0"/>
    <n v="0"/>
    <x v="152"/>
    <x v="0"/>
    <x v="0"/>
    <x v="0"/>
  </r>
  <r>
    <s v="Description 1776"/>
    <s v="Code 1776"/>
    <n v="0"/>
    <n v="0"/>
    <n v="0"/>
    <n v="0"/>
    <n v="2400"/>
    <n v="0"/>
    <n v="0"/>
    <n v="2400"/>
    <n v="2400"/>
    <n v="0"/>
    <n v="800"/>
    <x v="61"/>
    <x v="0"/>
    <x v="0"/>
    <x v="0"/>
  </r>
  <r>
    <s v="Description 1777"/>
    <s v="Code 1777"/>
    <n v="0"/>
    <n v="0"/>
    <n v="0"/>
    <n v="0"/>
    <n v="1200"/>
    <n v="0"/>
    <n v="1200"/>
    <n v="0"/>
    <n v="0"/>
    <n v="0"/>
    <n v="0"/>
    <x v="132"/>
    <x v="0"/>
    <x v="0"/>
    <x v="0"/>
  </r>
  <r>
    <s v="Description 1778"/>
    <s v="Code 1778"/>
    <n v="380"/>
    <n v="140"/>
    <n v="1128"/>
    <n v="1512"/>
    <n v="1472"/>
    <n v="360"/>
    <n v="240"/>
    <n v="160"/>
    <n v="280"/>
    <n v="0"/>
    <n v="0"/>
    <x v="197"/>
    <x v="0"/>
    <x v="0"/>
    <x v="0"/>
  </r>
  <r>
    <s v="Description 1779"/>
    <s v="Code 1779"/>
    <n v="160"/>
    <n v="80"/>
    <n v="120"/>
    <n v="160"/>
    <n v="168"/>
    <n v="0"/>
    <n v="80"/>
    <n v="0"/>
    <n v="160"/>
    <n v="0"/>
    <n v="2000"/>
    <x v="75"/>
    <x v="0"/>
    <x v="0"/>
    <x v="0"/>
  </r>
  <r>
    <s v="Description 1780"/>
    <s v="Code 1780"/>
    <n v="400"/>
    <n v="100"/>
    <n v="300"/>
    <n v="400"/>
    <n v="400"/>
    <n v="400"/>
    <n v="400"/>
    <n v="400"/>
    <n v="300"/>
    <n v="0"/>
    <n v="3000"/>
    <x v="85"/>
    <x v="0"/>
    <x v="1"/>
    <x v="0"/>
  </r>
  <r>
    <s v="Description 1781"/>
    <s v="Code 1781"/>
    <n v="400"/>
    <n v="100"/>
    <n v="300"/>
    <n v="400"/>
    <n v="400"/>
    <n v="400"/>
    <n v="400"/>
    <n v="400"/>
    <n v="300"/>
    <n v="0"/>
    <n v="72"/>
    <x v="111"/>
    <x v="0"/>
    <x v="0"/>
    <x v="0"/>
  </r>
  <r>
    <s v="Description 1782"/>
    <s v="Code 1782"/>
    <n v="0"/>
    <n v="0"/>
    <n v="0"/>
    <n v="80"/>
    <n v="0"/>
    <n v="80"/>
    <n v="0"/>
    <n v="0"/>
    <n v="80"/>
    <n v="0"/>
    <n v="0"/>
    <x v="81"/>
    <x v="0"/>
    <x v="0"/>
    <x v="0"/>
  </r>
  <r>
    <s v="Description 1783"/>
    <s v="Code 1783"/>
    <n v="0"/>
    <n v="0"/>
    <n v="80"/>
    <n v="0"/>
    <n v="80"/>
    <n v="80"/>
    <n v="0"/>
    <n v="0"/>
    <n v="80"/>
    <n v="0"/>
    <n v="0"/>
    <x v="90"/>
    <x v="0"/>
    <x v="0"/>
    <x v="0"/>
  </r>
  <r>
    <s v="Description 1784"/>
    <s v="Code 1784"/>
    <n v="2400"/>
    <n v="2400"/>
    <n v="3600"/>
    <n v="3600"/>
    <n v="3630"/>
    <n v="3630"/>
    <n v="3600"/>
    <n v="2400"/>
    <n v="2445"/>
    <n v="0"/>
    <n v="444"/>
    <x v="25"/>
    <x v="0"/>
    <x v="1"/>
    <x v="0"/>
  </r>
  <r>
    <s v="Description 1785"/>
    <s v="Code 1785"/>
    <n v="0"/>
    <n v="0"/>
    <n v="72"/>
    <n v="72"/>
    <n v="0"/>
    <n v="78"/>
    <n v="0"/>
    <n v="0"/>
    <n v="72"/>
    <n v="0"/>
    <n v="359"/>
    <x v="49"/>
    <x v="0"/>
    <x v="0"/>
    <x v="0"/>
  </r>
  <r>
    <s v="Description 1786"/>
    <s v="Code 1786"/>
    <n v="10"/>
    <n v="0"/>
    <n v="10"/>
    <n v="10"/>
    <n v="0"/>
    <n v="0"/>
    <n v="0"/>
    <n v="0"/>
    <n v="0"/>
    <n v="0"/>
    <n v="600"/>
    <x v="195"/>
    <x v="0"/>
    <x v="0"/>
    <x v="0"/>
  </r>
  <r>
    <s v="Description 1787"/>
    <s v="Code 1787"/>
    <n v="1000"/>
    <n v="784"/>
    <n v="1040"/>
    <n v="946"/>
    <n v="776"/>
    <n v="942"/>
    <n v="496"/>
    <n v="456"/>
    <n v="576"/>
    <n v="0"/>
    <n v="480"/>
    <x v="108"/>
    <x v="0"/>
    <x v="1"/>
    <x v="0"/>
  </r>
  <r>
    <s v="Description 1788"/>
    <s v="Code 1788"/>
    <n v="1000"/>
    <n v="784"/>
    <n v="968"/>
    <n v="874"/>
    <n v="776"/>
    <n v="864"/>
    <n v="496"/>
    <n v="456"/>
    <n v="504"/>
    <n v="0"/>
    <n v="24"/>
    <x v="138"/>
    <x v="0"/>
    <x v="0"/>
    <x v="0"/>
  </r>
  <r>
    <s v="Description 1789"/>
    <s v="Code 1789"/>
    <n v="0"/>
    <n v="0"/>
    <n v="0"/>
    <n v="0"/>
    <n v="0"/>
    <n v="0"/>
    <n v="0"/>
    <n v="0"/>
    <n v="0"/>
    <n v="0"/>
    <n v="400"/>
    <x v="26"/>
    <x v="0"/>
    <x v="1"/>
    <x v="0"/>
  </r>
  <r>
    <s v="Description 1790"/>
    <s v="Code 1790"/>
    <n v="2136"/>
    <n v="1737"/>
    <n v="2397"/>
    <n v="2141"/>
    <n v="1772"/>
    <n v="2001"/>
    <n v="1173"/>
    <n v="1096"/>
    <n v="1367"/>
    <n v="0"/>
    <n v="250"/>
    <x v="193"/>
    <x v="0"/>
    <x v="0"/>
    <x v="0"/>
  </r>
  <r>
    <s v="Description 1791"/>
    <s v="Code 1791"/>
    <n v="80"/>
    <n v="128"/>
    <n v="136"/>
    <n v="130"/>
    <n v="80"/>
    <n v="172"/>
    <n v="114"/>
    <n v="88"/>
    <n v="138"/>
    <n v="0"/>
    <n v="200"/>
    <x v="198"/>
    <x v="0"/>
    <x v="0"/>
    <x v="0"/>
  </r>
  <r>
    <s v="Description 1792"/>
    <s v="Code 1792"/>
    <n v="40"/>
    <n v="64"/>
    <n v="68"/>
    <n v="65"/>
    <n v="40"/>
    <n v="86"/>
    <n v="57"/>
    <n v="44"/>
    <n v="69"/>
    <n v="0"/>
    <n v="120"/>
    <x v="130"/>
    <x v="0"/>
    <x v="1"/>
    <x v="0"/>
  </r>
  <r>
    <s v="Description 1793"/>
    <s v="Code 1793"/>
    <n v="0"/>
    <n v="0"/>
    <n v="0"/>
    <n v="0"/>
    <n v="0"/>
    <n v="0"/>
    <n v="0"/>
    <n v="0"/>
    <n v="0"/>
    <n v="0"/>
    <n v="400"/>
    <x v="28"/>
    <x v="0"/>
    <x v="1"/>
    <x v="0"/>
  </r>
  <r>
    <s v="Description 1794"/>
    <s v="Code 1794"/>
    <n v="240"/>
    <n v="160"/>
    <n v="160"/>
    <n v="240"/>
    <n v="160"/>
    <n v="160"/>
    <n v="240"/>
    <n v="80"/>
    <n v="240"/>
    <n v="0"/>
    <n v="0"/>
    <x v="170"/>
    <x v="0"/>
    <x v="0"/>
    <x v="0"/>
  </r>
  <r>
    <s v="Description 1795"/>
    <s v="Code 1795"/>
    <n v="160"/>
    <n v="0"/>
    <n v="1008"/>
    <n v="1272"/>
    <n v="1272"/>
    <n v="120"/>
    <n v="0"/>
    <n v="0"/>
    <n v="120"/>
    <n v="0"/>
    <n v="0"/>
    <x v="112"/>
    <x v="0"/>
    <x v="0"/>
    <x v="0"/>
  </r>
  <r>
    <s v="Description 1796"/>
    <s v="Code 1796"/>
    <n v="160"/>
    <n v="0"/>
    <n v="0"/>
    <n v="80"/>
    <n v="80"/>
    <n v="0"/>
    <n v="80"/>
    <n v="0"/>
    <n v="80"/>
    <n v="0"/>
    <n v="100"/>
    <x v="122"/>
    <x v="0"/>
    <x v="0"/>
    <x v="0"/>
  </r>
  <r>
    <s v="Description 1797"/>
    <s v="Code 1797"/>
    <n v="0"/>
    <n v="0"/>
    <n v="0"/>
    <n v="0"/>
    <n v="0"/>
    <n v="0"/>
    <n v="0"/>
    <n v="0"/>
    <n v="0"/>
    <n v="0"/>
    <n v="35"/>
    <x v="117"/>
    <x v="0"/>
    <x v="0"/>
    <x v="0"/>
  </r>
  <r>
    <s v="Description 1798"/>
    <s v="Code 1798"/>
    <n v="0"/>
    <n v="0"/>
    <n v="0"/>
    <n v="0"/>
    <n v="0"/>
    <n v="0"/>
    <n v="0"/>
    <n v="0"/>
    <n v="0"/>
    <n v="0"/>
    <n v="0"/>
    <x v="114"/>
    <x v="0"/>
    <x v="0"/>
    <x v="0"/>
  </r>
  <r>
    <s v="Description 1799"/>
    <s v="Code 1799"/>
    <n v="0"/>
    <n v="0"/>
    <n v="0"/>
    <n v="0"/>
    <n v="0"/>
    <n v="0"/>
    <n v="0"/>
    <n v="0"/>
    <n v="0"/>
    <n v="0"/>
    <n v="72"/>
    <x v="118"/>
    <x v="0"/>
    <x v="0"/>
    <x v="0"/>
  </r>
  <r>
    <s v="Description 1800"/>
    <s v="Code 1800"/>
    <n v="0"/>
    <n v="0"/>
    <n v="0"/>
    <n v="80"/>
    <n v="0"/>
    <n v="80"/>
    <n v="0"/>
    <n v="0"/>
    <n v="80"/>
    <n v="0"/>
    <n v="0"/>
    <x v="129"/>
    <x v="0"/>
    <x v="1"/>
    <x v="0"/>
  </r>
  <r>
    <s v="Description 1801"/>
    <s v="Code 1801"/>
    <n v="0"/>
    <n v="0"/>
    <n v="80"/>
    <n v="0"/>
    <n v="80"/>
    <n v="80"/>
    <n v="0"/>
    <n v="0"/>
    <n v="80"/>
    <n v="0"/>
    <n v="120"/>
    <x v="171"/>
    <x v="0"/>
    <x v="0"/>
    <x v="0"/>
  </r>
  <r>
    <s v="Description 1802"/>
    <s v="Code 1802"/>
    <n v="0"/>
    <n v="0"/>
    <n v="0"/>
    <n v="80"/>
    <n v="0"/>
    <n v="80"/>
    <n v="0"/>
    <n v="0"/>
    <n v="80"/>
    <n v="0"/>
    <n v="120"/>
    <x v="34"/>
    <x v="0"/>
    <x v="0"/>
    <x v="0"/>
  </r>
  <r>
    <s v="Description 1803"/>
    <s v="Code 1803"/>
    <n v="0"/>
    <n v="0"/>
    <n v="80"/>
    <n v="0"/>
    <n v="80"/>
    <n v="80"/>
    <n v="0"/>
    <n v="0"/>
    <n v="80"/>
    <n v="0"/>
    <n v="14074"/>
    <x v="148"/>
    <x v="0"/>
    <x v="0"/>
    <x v="0"/>
  </r>
  <r>
    <s v="Description 1804"/>
    <s v="Code 1804"/>
    <n v="3680"/>
    <n v="3080"/>
    <n v="3480"/>
    <n v="3480"/>
    <n v="4760"/>
    <n v="3680"/>
    <n v="3280"/>
    <n v="3480"/>
    <n v="2000"/>
    <n v="0"/>
    <n v="0"/>
    <x v="91"/>
    <x v="0"/>
    <x v="0"/>
    <x v="0"/>
  </r>
  <r>
    <s v="Description 1805"/>
    <s v="Code 1805"/>
    <n v="2600"/>
    <n v="2000"/>
    <n v="2400"/>
    <n v="2400"/>
    <n v="2600"/>
    <n v="2600"/>
    <n v="2200"/>
    <n v="2400"/>
    <n v="2000"/>
    <n v="0"/>
    <n v="960"/>
    <x v="42"/>
    <x v="0"/>
    <x v="1"/>
    <x v="0"/>
  </r>
  <r>
    <s v="Description 1806"/>
    <s v="Code 1806"/>
    <n v="5504"/>
    <n v="3952"/>
    <n v="4640"/>
    <n v="5184"/>
    <n v="4690"/>
    <n v="5184"/>
    <n v="4380"/>
    <n v="4084"/>
    <n v="4244"/>
    <n v="0"/>
    <n v="1400"/>
    <x v="35"/>
    <x v="0"/>
    <x v="1"/>
    <x v="0"/>
  </r>
  <r>
    <s v="Description 1807"/>
    <s v="Code 1807"/>
    <n v="3456"/>
    <n v="2872"/>
    <n v="3016"/>
    <n v="4024"/>
    <n v="3026"/>
    <n v="3016"/>
    <n v="3460"/>
    <n v="2912"/>
    <n v="3244"/>
    <n v="0"/>
    <n v="1000"/>
    <x v="187"/>
    <x v="0"/>
    <x v="1"/>
    <x v="0"/>
  </r>
  <r>
    <s v="Description 1808"/>
    <s v="Code 1808"/>
    <n v="2048"/>
    <n v="1080"/>
    <n v="1624"/>
    <n v="1160"/>
    <n v="1664"/>
    <n v="2168"/>
    <n v="920"/>
    <n v="1172"/>
    <n v="1000"/>
    <n v="0"/>
    <n v="0"/>
    <x v="97"/>
    <x v="0"/>
    <x v="0"/>
    <x v="0"/>
  </r>
  <r>
    <s v="Description 1809"/>
    <s v="Code 1809"/>
    <n v="3.52"/>
    <n v="2.64"/>
    <n v="5.72"/>
    <n v="3.96"/>
    <n v="3.08"/>
    <n v="3.52"/>
    <n v="2.64"/>
    <n v="1.76"/>
    <n v="4.4000000000000004"/>
    <n v="0"/>
    <n v="0"/>
    <x v="99"/>
    <x v="0"/>
    <x v="0"/>
    <x v="0"/>
  </r>
  <r>
    <s v="Description 1810"/>
    <s v="Code 1810"/>
    <n v="0.88"/>
    <n v="1.76"/>
    <n v="3.08"/>
    <n v="1.32"/>
    <n v="1.76"/>
    <n v="1.76"/>
    <n v="0"/>
    <n v="0"/>
    <n v="1.76"/>
    <n v="0"/>
    <n v="380"/>
    <x v="33"/>
    <x v="0"/>
    <x v="0"/>
    <x v="0"/>
  </r>
  <r>
    <s v="Description 1811"/>
    <s v="Code 1811"/>
    <n v="1000"/>
    <n v="784"/>
    <n v="968"/>
    <n v="864"/>
    <n v="776"/>
    <n v="864"/>
    <n v="496"/>
    <n v="456"/>
    <n v="504"/>
    <n v="0"/>
    <n v="45"/>
    <x v="94"/>
    <x v="0"/>
    <x v="0"/>
    <x v="0"/>
  </r>
  <r>
    <s v="Description 1812"/>
    <s v="Code 1812"/>
    <n v="0"/>
    <n v="0"/>
    <n v="36"/>
    <n v="36"/>
    <n v="0"/>
    <n v="42"/>
    <n v="0"/>
    <n v="0"/>
    <n v="36"/>
    <n v="0"/>
    <n v="0"/>
    <x v="132"/>
    <x v="0"/>
    <x v="0"/>
    <x v="0"/>
  </r>
  <r>
    <s v="Description 1813"/>
    <s v="Code 1813"/>
    <n v="0"/>
    <n v="0"/>
    <n v="36"/>
    <n v="36"/>
    <n v="0"/>
    <n v="36"/>
    <n v="0"/>
    <n v="0"/>
    <n v="36"/>
    <n v="0"/>
    <n v="35"/>
    <x v="7"/>
    <x v="0"/>
    <x v="0"/>
    <x v="0"/>
  </r>
  <r>
    <s v="Description 1814"/>
    <s v="Code 1814"/>
    <n v="120"/>
    <n v="102"/>
    <n v="112"/>
    <n v="110"/>
    <n v="102"/>
    <n v="100"/>
    <n v="104"/>
    <n v="50"/>
    <n v="100"/>
    <n v="0"/>
    <n v="2800"/>
    <x v="98"/>
    <x v="0"/>
    <x v="0"/>
    <x v="0"/>
  </r>
  <r>
    <s v="Description 1815"/>
    <s v="Code 1815"/>
    <n v="1040"/>
    <n v="848"/>
    <n v="1180"/>
    <n v="1083"/>
    <n v="816"/>
    <n v="1106"/>
    <n v="553"/>
    <n v="500"/>
    <n v="717"/>
    <n v="0"/>
    <n v="22390"/>
    <x v="20"/>
    <x v="0"/>
    <x v="0"/>
    <x v="0"/>
  </r>
  <r>
    <s v="Description 1816"/>
    <s v="Code 1816"/>
    <n v="1104"/>
    <n v="449"/>
    <n v="2565"/>
    <n v="3366"/>
    <n v="3282"/>
    <n v="835"/>
    <n v="648"/>
    <n v="346"/>
    <n v="892"/>
    <n v="0"/>
    <n v="7820"/>
    <x v="124"/>
    <x v="0"/>
    <x v="0"/>
    <x v="0"/>
  </r>
  <r>
    <s v="Description 1817"/>
    <s v="Code 1817"/>
    <n v="10"/>
    <n v="0"/>
    <n v="10"/>
    <n v="10"/>
    <n v="0"/>
    <n v="0"/>
    <n v="0"/>
    <n v="0"/>
    <n v="0"/>
    <n v="0"/>
    <n v="27000"/>
    <x v="169"/>
    <x v="0"/>
    <x v="0"/>
    <x v="0"/>
  </r>
  <r>
    <s v="Description 1818"/>
    <s v="Code 1818"/>
    <n v="5504"/>
    <n v="3952"/>
    <n v="4792"/>
    <n v="5336"/>
    <n v="4770"/>
    <n v="5422"/>
    <n v="4380"/>
    <n v="4084"/>
    <n v="4476"/>
    <n v="0"/>
    <n v="680"/>
    <x v="145"/>
    <x v="0"/>
    <x v="0"/>
    <x v="0"/>
  </r>
  <r>
    <s v="Description 1819"/>
    <s v="Code 1819"/>
    <n v="10"/>
    <n v="0"/>
    <n v="10"/>
    <n v="10"/>
    <n v="0"/>
    <n v="0"/>
    <n v="0"/>
    <n v="0"/>
    <n v="0"/>
    <n v="0"/>
    <n v="417"/>
    <x v="101"/>
    <x v="0"/>
    <x v="0"/>
    <x v="0"/>
  </r>
  <r>
    <s v="Description 1820"/>
    <s v="Code 1820"/>
    <n v="0"/>
    <n v="0"/>
    <n v="0"/>
    <n v="0"/>
    <n v="0"/>
    <n v="0"/>
    <n v="0"/>
    <n v="0"/>
    <n v="0"/>
    <n v="0"/>
    <n v="10"/>
    <x v="147"/>
    <x v="0"/>
    <x v="0"/>
    <x v="0"/>
  </r>
  <r>
    <s v="Description 1821"/>
    <s v="Code 1821"/>
    <n v="4"/>
    <n v="7"/>
    <n v="4"/>
    <n v="4"/>
    <n v="0"/>
    <n v="0"/>
    <n v="0"/>
    <n v="0"/>
    <n v="0"/>
    <n v="0"/>
    <n v="1265"/>
    <x v="121"/>
    <x v="0"/>
    <x v="0"/>
    <x v="0"/>
  </r>
  <r>
    <s v="Description 1822"/>
    <s v="Code 1822"/>
    <n v="0"/>
    <n v="0"/>
    <n v="0"/>
    <n v="0"/>
    <n v="0"/>
    <n v="0"/>
    <n v="0"/>
    <n v="0"/>
    <n v="0"/>
    <n v="0"/>
    <n v="2000"/>
    <x v="76"/>
    <x v="0"/>
    <x v="1"/>
    <x v="0"/>
  </r>
  <r>
    <s v="Description 1823"/>
    <s v="Code 1823"/>
    <n v="1000"/>
    <n v="784"/>
    <n v="1040"/>
    <n v="936"/>
    <n v="776"/>
    <n v="942"/>
    <n v="496"/>
    <n v="456"/>
    <n v="576"/>
    <n v="0"/>
    <n v="0"/>
    <x v="48"/>
    <x v="0"/>
    <x v="0"/>
    <x v="0"/>
  </r>
  <r>
    <s v="Description 1824"/>
    <s v="Code 1824"/>
    <n v="50"/>
    <n v="50"/>
    <n v="100"/>
    <n v="60"/>
    <n v="55"/>
    <n v="60"/>
    <n v="30"/>
    <n v="20"/>
    <n v="70"/>
    <n v="0"/>
    <n v="2400"/>
    <x v="109"/>
    <x v="0"/>
    <x v="0"/>
    <x v="0"/>
  </r>
  <r>
    <s v="Description 1825"/>
    <s v="Code 1825"/>
    <n v="725"/>
    <n v="620"/>
    <n v="810"/>
    <n v="720"/>
    <n v="830"/>
    <n v="820"/>
    <n v="510"/>
    <n v="520"/>
    <n v="620"/>
    <n v="0"/>
    <n v="4049"/>
    <x v="124"/>
    <x v="0"/>
    <x v="0"/>
    <x v="0"/>
  </r>
  <r>
    <s v="Description 1826"/>
    <s v="Code 1826"/>
    <n v="725"/>
    <n v="620"/>
    <n v="810"/>
    <n v="720"/>
    <n v="830"/>
    <n v="820"/>
    <n v="510"/>
    <n v="520"/>
    <n v="620"/>
    <n v="0"/>
    <n v="4"/>
    <x v="34"/>
    <x v="0"/>
    <x v="0"/>
    <x v="0"/>
  </r>
  <r>
    <s v="Description 1827"/>
    <s v="Code 1827"/>
    <n v="100"/>
    <n v="0"/>
    <n v="100"/>
    <n v="80"/>
    <n v="80"/>
    <n v="80"/>
    <n v="80"/>
    <n v="80"/>
    <n v="80"/>
    <n v="0"/>
    <n v="0"/>
    <x v="103"/>
    <x v="0"/>
    <x v="0"/>
    <x v="0"/>
  </r>
  <r>
    <s v="Description 1828"/>
    <s v="Code 1828"/>
    <n v="100"/>
    <n v="0"/>
    <n v="100"/>
    <n v="80"/>
    <n v="80"/>
    <n v="80"/>
    <n v="80"/>
    <n v="80"/>
    <n v="80"/>
    <n v="0"/>
    <n v="918"/>
    <x v="139"/>
    <x v="0"/>
    <x v="0"/>
    <x v="0"/>
  </r>
  <r>
    <s v="Description 1829"/>
    <s v="Code 1829"/>
    <n v="50"/>
    <n v="55"/>
    <n v="70"/>
    <n v="70"/>
    <n v="50"/>
    <n v="85"/>
    <n v="60"/>
    <n v="50"/>
    <n v="50"/>
    <n v="0"/>
    <n v="125"/>
    <x v="42"/>
    <x v="0"/>
    <x v="1"/>
    <x v="0"/>
  </r>
  <r>
    <s v="Description 1830"/>
    <s v="Code 1830"/>
    <n v="0"/>
    <n v="0"/>
    <n v="0"/>
    <n v="0"/>
    <n v="0"/>
    <n v="100"/>
    <n v="0"/>
    <n v="0"/>
    <n v="0"/>
    <n v="0"/>
    <n v="1150"/>
    <x v="149"/>
    <x v="0"/>
    <x v="0"/>
    <x v="0"/>
  </r>
  <r>
    <s v="Description 1831"/>
    <s v="Code 1831"/>
    <n v="1936"/>
    <n v="1568"/>
    <n v="1872"/>
    <n v="1696"/>
    <n v="1520"/>
    <n v="1696"/>
    <n v="960"/>
    <n v="880"/>
    <n v="976"/>
    <n v="0"/>
    <n v="92"/>
    <x v="50"/>
    <x v="0"/>
    <x v="0"/>
    <x v="0"/>
  </r>
  <r>
    <s v="Description 1832"/>
    <s v="Code 1832"/>
    <n v="0"/>
    <n v="0"/>
    <n v="0"/>
    <n v="0"/>
    <n v="0"/>
    <n v="0"/>
    <n v="0"/>
    <n v="0"/>
    <n v="0"/>
    <n v="0"/>
    <n v="11"/>
    <x v="120"/>
    <x v="0"/>
    <x v="0"/>
    <x v="0"/>
  </r>
  <r>
    <s v="Description 1833"/>
    <s v="Code 1833"/>
    <n v="0"/>
    <n v="0"/>
    <n v="0"/>
    <n v="0"/>
    <n v="0"/>
    <n v="0"/>
    <n v="0"/>
    <n v="0"/>
    <n v="0"/>
    <n v="0"/>
    <n v="320"/>
    <x v="93"/>
    <x v="0"/>
    <x v="0"/>
    <x v="0"/>
  </r>
  <r>
    <s v="Description 1834"/>
    <s v="Code 1834"/>
    <n v="0"/>
    <n v="0"/>
    <n v="0"/>
    <n v="1"/>
    <n v="0"/>
    <n v="2"/>
    <n v="1"/>
    <n v="0"/>
    <n v="1"/>
    <n v="0"/>
    <n v="392"/>
    <x v="175"/>
    <x v="0"/>
    <x v="0"/>
    <x v="0"/>
  </r>
  <r>
    <s v="Description 1835"/>
    <s v="Code 1835"/>
    <n v="0"/>
    <n v="0"/>
    <n v="0"/>
    <n v="0"/>
    <n v="0"/>
    <n v="0"/>
    <n v="0"/>
    <n v="0"/>
    <n v="0"/>
    <n v="0"/>
    <n v="93"/>
    <x v="12"/>
    <x v="0"/>
    <x v="0"/>
    <x v="0"/>
  </r>
  <r>
    <s v="Description 1836"/>
    <s v="Code 1836"/>
    <n v="0"/>
    <n v="0"/>
    <n v="0"/>
    <n v="1"/>
    <n v="0"/>
    <n v="2"/>
    <n v="1"/>
    <n v="0"/>
    <n v="1"/>
    <n v="0"/>
    <n v="81"/>
    <x v="187"/>
    <x v="0"/>
    <x v="1"/>
    <x v="0"/>
  </r>
  <r>
    <s v="Description 1837"/>
    <s v="Code 1837"/>
    <n v="0"/>
    <n v="0"/>
    <n v="0"/>
    <n v="0"/>
    <n v="0"/>
    <n v="0"/>
    <n v="0"/>
    <n v="0"/>
    <n v="0"/>
    <n v="0"/>
    <n v="51"/>
    <x v="87"/>
    <x v="0"/>
    <x v="0"/>
    <x v="0"/>
  </r>
  <r>
    <s v="Description 1838"/>
    <s v="Code 1838"/>
    <n v="0"/>
    <n v="0"/>
    <n v="0"/>
    <n v="0"/>
    <n v="0"/>
    <n v="0"/>
    <n v="0"/>
    <n v="0"/>
    <n v="0"/>
    <n v="0"/>
    <n v="47"/>
    <x v="7"/>
    <x v="0"/>
    <x v="0"/>
    <x v="0"/>
  </r>
  <r>
    <s v="Description 1839"/>
    <s v="Code 1839"/>
    <n v="0"/>
    <n v="0"/>
    <n v="0"/>
    <n v="0"/>
    <n v="0"/>
    <n v="0"/>
    <n v="0"/>
    <n v="0"/>
    <n v="0"/>
    <n v="0"/>
    <n v="75"/>
    <x v="70"/>
    <x v="0"/>
    <x v="0"/>
    <x v="0"/>
  </r>
  <r>
    <s v="Description 1840"/>
    <s v="Code 1840"/>
    <n v="0"/>
    <n v="0"/>
    <n v="0"/>
    <n v="0"/>
    <n v="0"/>
    <n v="0"/>
    <n v="0"/>
    <n v="0"/>
    <n v="0"/>
    <n v="0"/>
    <n v="0"/>
    <x v="153"/>
    <x v="0"/>
    <x v="0"/>
    <x v="0"/>
  </r>
  <r>
    <s v="Description 1841"/>
    <s v="Code 1841"/>
    <n v="560"/>
    <n v="560"/>
    <n v="528"/>
    <n v="440"/>
    <n v="440"/>
    <n v="440"/>
    <n v="288"/>
    <n v="216"/>
    <n v="280"/>
    <n v="0"/>
    <n v="375"/>
    <x v="5"/>
    <x v="0"/>
    <x v="0"/>
    <x v="0"/>
  </r>
  <r>
    <s v="Description 1842"/>
    <s v="Code 1842"/>
    <n v="408"/>
    <n v="224"/>
    <n v="376"/>
    <n v="408"/>
    <n v="288"/>
    <n v="408"/>
    <n v="192"/>
    <n v="192"/>
    <n v="208"/>
    <n v="0"/>
    <n v="0"/>
    <x v="108"/>
    <x v="0"/>
    <x v="1"/>
    <x v="0"/>
  </r>
  <r>
    <s v="Description 1843"/>
    <s v="Code 1843"/>
    <n v="16"/>
    <n v="0"/>
    <n v="16"/>
    <n v="8"/>
    <n v="8"/>
    <n v="8"/>
    <n v="8"/>
    <n v="8"/>
    <n v="8"/>
    <n v="0"/>
    <n v="0"/>
    <x v="51"/>
    <x v="0"/>
    <x v="0"/>
    <x v="0"/>
  </r>
  <r>
    <s v="Description 1844"/>
    <s v="Code 1844"/>
    <n v="16"/>
    <n v="0"/>
    <n v="16"/>
    <n v="8"/>
    <n v="8"/>
    <n v="8"/>
    <n v="8"/>
    <n v="8"/>
    <n v="8"/>
    <n v="0"/>
    <n v="2000"/>
    <x v="185"/>
    <x v="0"/>
    <x v="0"/>
    <x v="0"/>
  </r>
  <r>
    <s v="Description 1845"/>
    <s v="Code 1845"/>
    <n v="450"/>
    <n v="155"/>
    <n v="370"/>
    <n v="495"/>
    <n v="450"/>
    <n v="485"/>
    <n v="460"/>
    <n v="450"/>
    <n v="350"/>
    <n v="0"/>
    <n v="1170"/>
    <x v="101"/>
    <x v="0"/>
    <x v="0"/>
    <x v="0"/>
  </r>
  <r>
    <s v="Description 1846"/>
    <s v="Code 1846"/>
    <n v="5504"/>
    <n v="3952"/>
    <n v="4640"/>
    <n v="5184"/>
    <n v="4690"/>
    <n v="5184"/>
    <n v="4380"/>
    <n v="4084"/>
    <n v="4244"/>
    <n v="0"/>
    <n v="0"/>
    <x v="170"/>
    <x v="0"/>
    <x v="0"/>
    <x v="0"/>
  </r>
  <r>
    <s v="Description 1847"/>
    <s v="Code 1847"/>
    <n v="1010"/>
    <n v="784"/>
    <n v="1050"/>
    <n v="956"/>
    <n v="776"/>
    <n v="942"/>
    <n v="496"/>
    <n v="456"/>
    <n v="576"/>
    <n v="0"/>
    <n v="12"/>
    <x v="26"/>
    <x v="0"/>
    <x v="1"/>
    <x v="0"/>
  </r>
  <r>
    <s v="Description 1848"/>
    <s v="Code 1848"/>
    <n v="1010"/>
    <n v="784"/>
    <n v="1050"/>
    <n v="956"/>
    <n v="776"/>
    <n v="942"/>
    <n v="496"/>
    <n v="456"/>
    <n v="576"/>
    <n v="0"/>
    <n v="724"/>
    <x v="139"/>
    <x v="0"/>
    <x v="0"/>
    <x v="0"/>
  </r>
  <r>
    <s v="Description 1849"/>
    <s v="Code 1849"/>
    <n v="540"/>
    <n v="220"/>
    <n v="1280"/>
    <n v="1672"/>
    <n v="1640"/>
    <n v="416"/>
    <n v="320"/>
    <n v="160"/>
    <n v="440"/>
    <n v="0"/>
    <n v="308"/>
    <x v="165"/>
    <x v="0"/>
    <x v="0"/>
    <x v="0"/>
  </r>
  <r>
    <s v="Description 1850"/>
    <s v="Code 1850"/>
    <n v="40"/>
    <n v="64"/>
    <n v="68"/>
    <n v="65"/>
    <n v="40"/>
    <n v="86"/>
    <n v="57"/>
    <n v="44"/>
    <n v="69"/>
    <n v="0"/>
    <n v="0"/>
    <x v="169"/>
    <x v="0"/>
    <x v="0"/>
    <x v="0"/>
  </r>
  <r>
    <s v="Description 1851"/>
    <s v="Code 1851"/>
    <n v="0"/>
    <n v="0"/>
    <n v="0"/>
    <n v="0"/>
    <n v="0"/>
    <n v="0"/>
    <n v="0"/>
    <n v="0"/>
    <n v="0"/>
    <n v="0"/>
    <n v="0"/>
    <x v="177"/>
    <x v="0"/>
    <x v="0"/>
    <x v="0"/>
  </r>
  <r>
    <s v="Description 1852"/>
    <s v="Code 1852"/>
    <n v="400"/>
    <n v="100"/>
    <n v="300"/>
    <n v="425"/>
    <n v="400"/>
    <n v="400"/>
    <n v="400"/>
    <n v="400"/>
    <n v="300"/>
    <n v="0"/>
    <n v="10800"/>
    <x v="31"/>
    <x v="0"/>
    <x v="0"/>
    <x v="0"/>
  </r>
  <r>
    <s v="Description 1853"/>
    <s v="Code 1853"/>
    <n v="540"/>
    <n v="220"/>
    <n v="1280"/>
    <n v="1672"/>
    <n v="1640"/>
    <n v="416"/>
    <n v="320"/>
    <n v="160"/>
    <n v="440"/>
    <n v="0"/>
    <n v="1125"/>
    <x v="109"/>
    <x v="0"/>
    <x v="0"/>
    <x v="0"/>
  </r>
  <r>
    <s v="Description 1854"/>
    <s v="Code 1854"/>
    <n v="384"/>
    <n v="160"/>
    <n v="384"/>
    <n v="320"/>
    <n v="384"/>
    <n v="192"/>
    <n v="352"/>
    <n v="192"/>
    <n v="352"/>
    <n v="0"/>
    <n v="1290"/>
    <x v="175"/>
    <x v="0"/>
    <x v="0"/>
    <x v="0"/>
  </r>
  <r>
    <s v="Description 1855"/>
    <s v="Code 1855"/>
    <n v="576"/>
    <n v="240"/>
    <n v="576"/>
    <n v="480"/>
    <n v="576"/>
    <n v="288"/>
    <n v="528"/>
    <n v="288"/>
    <n v="528"/>
    <n v="0"/>
    <n v="0"/>
    <x v="127"/>
    <x v="0"/>
    <x v="0"/>
    <x v="0"/>
  </r>
  <r>
    <s v="Description 1856"/>
    <s v="Code 1856"/>
    <n v="0"/>
    <n v="0"/>
    <n v="0"/>
    <n v="0"/>
    <n v="0"/>
    <n v="0"/>
    <n v="0"/>
    <n v="0"/>
    <n v="10"/>
    <n v="0"/>
    <n v="346"/>
    <x v="161"/>
    <x v="0"/>
    <x v="0"/>
    <x v="0"/>
  </r>
  <r>
    <s v="Description 1857"/>
    <s v="Code 1857"/>
    <n v="0"/>
    <n v="100"/>
    <n v="0"/>
    <n v="100"/>
    <n v="0"/>
    <n v="0"/>
    <n v="100"/>
    <n v="0"/>
    <n v="0"/>
    <n v="0"/>
    <n v="117"/>
    <x v="136"/>
    <x v="0"/>
    <x v="1"/>
    <x v="0"/>
  </r>
  <r>
    <s v="Description 1858"/>
    <s v="Code 1858"/>
    <n v="100"/>
    <n v="0"/>
    <n v="0"/>
    <n v="100"/>
    <n v="0"/>
    <n v="100"/>
    <n v="0"/>
    <n v="100"/>
    <n v="0"/>
    <n v="0"/>
    <n v="541"/>
    <x v="120"/>
    <x v="0"/>
    <x v="0"/>
    <x v="0"/>
  </r>
  <r>
    <s v="Description 1859"/>
    <s v="Code 1859"/>
    <n v="0"/>
    <n v="0"/>
    <n v="0"/>
    <n v="10"/>
    <n v="0"/>
    <n v="10"/>
    <n v="0"/>
    <n v="10"/>
    <n v="0"/>
    <n v="0"/>
    <n v="104"/>
    <x v="112"/>
    <x v="0"/>
    <x v="0"/>
    <x v="0"/>
  </r>
  <r>
    <s v="Description 1860"/>
    <s v="Code 1860"/>
    <n v="0"/>
    <n v="100"/>
    <n v="0"/>
    <n v="0"/>
    <n v="0"/>
    <n v="0"/>
    <n v="100"/>
    <n v="0"/>
    <n v="100"/>
    <n v="0"/>
    <n v="0"/>
    <x v="95"/>
    <x v="0"/>
    <x v="0"/>
    <x v="0"/>
  </r>
  <r>
    <s v="Description 1861"/>
    <s v="Code 1861"/>
    <n v="100"/>
    <n v="0"/>
    <n v="100"/>
    <n v="0"/>
    <n v="0"/>
    <n v="100"/>
    <n v="0"/>
    <n v="100"/>
    <n v="0"/>
    <n v="0"/>
    <n v="49"/>
    <x v="97"/>
    <x v="0"/>
    <x v="0"/>
    <x v="0"/>
  </r>
  <r>
    <s v="Description 1862"/>
    <s v="Code 1862"/>
    <n v="0"/>
    <n v="0"/>
    <n v="0"/>
    <n v="0"/>
    <n v="0"/>
    <n v="0"/>
    <n v="0"/>
    <n v="0"/>
    <n v="5"/>
    <n v="0"/>
    <n v="0"/>
    <x v="119"/>
    <x v="0"/>
    <x v="1"/>
    <x v="0"/>
  </r>
  <r>
    <s v="Description 1863"/>
    <s v="Code 1863"/>
    <n v="0"/>
    <n v="0"/>
    <n v="0"/>
    <n v="0"/>
    <n v="0"/>
    <n v="0"/>
    <n v="100"/>
    <n v="0"/>
    <n v="0"/>
    <n v="0"/>
    <n v="768"/>
    <x v="65"/>
    <x v="0"/>
    <x v="0"/>
    <x v="0"/>
  </r>
  <r>
    <s v="Description 1864"/>
    <s v="Code 1864"/>
    <n v="4500"/>
    <n v="4125"/>
    <n v="4875"/>
    <n v="4875"/>
    <n v="4875"/>
    <n v="4875"/>
    <n v="3375"/>
    <n v="3750"/>
    <n v="4125"/>
    <n v="0"/>
    <n v="338"/>
    <x v="7"/>
    <x v="0"/>
    <x v="0"/>
    <x v="0"/>
  </r>
  <r>
    <s v="Description 1865"/>
    <s v="Code 1865"/>
    <n v="268"/>
    <n v="0"/>
    <n v="268"/>
    <n v="268"/>
    <n v="268"/>
    <n v="268"/>
    <n v="134"/>
    <n v="134"/>
    <n v="268"/>
    <n v="0"/>
    <n v="288"/>
    <x v="20"/>
    <x v="0"/>
    <x v="0"/>
    <x v="0"/>
  </r>
  <r>
    <s v="Description 1866"/>
    <s v="Code 1866"/>
    <n v="402"/>
    <n v="402"/>
    <n v="402"/>
    <n v="402"/>
    <n v="402"/>
    <n v="402"/>
    <n v="268"/>
    <n v="402"/>
    <n v="402"/>
    <n v="0"/>
    <n v="309"/>
    <x v="198"/>
    <x v="0"/>
    <x v="0"/>
    <x v="0"/>
  </r>
  <r>
    <s v="Description 1867"/>
    <s v="Code 1867"/>
    <n v="160"/>
    <n v="320"/>
    <n v="320"/>
    <n v="320"/>
    <n v="320"/>
    <n v="320"/>
    <n v="160"/>
    <n v="320"/>
    <n v="320"/>
    <n v="0"/>
    <n v="984"/>
    <x v="135"/>
    <x v="0"/>
    <x v="0"/>
    <x v="0"/>
  </r>
  <r>
    <s v="Description 1868"/>
    <s v="Code 1868"/>
    <n v="320"/>
    <n v="480"/>
    <n v="320"/>
    <n v="480"/>
    <n v="480"/>
    <n v="480"/>
    <n v="320"/>
    <n v="320"/>
    <n v="320"/>
    <n v="0"/>
    <n v="0"/>
    <x v="64"/>
    <x v="0"/>
    <x v="0"/>
    <x v="0"/>
  </r>
  <r>
    <s v="Description 1869"/>
    <s v="Code 1869"/>
    <n v="0"/>
    <n v="0"/>
    <n v="0"/>
    <n v="0"/>
    <n v="0"/>
    <n v="0"/>
    <n v="0"/>
    <n v="0"/>
    <n v="0"/>
    <n v="0"/>
    <n v="0"/>
    <x v="27"/>
    <x v="0"/>
    <x v="0"/>
    <x v="0"/>
  </r>
  <r>
    <s v="Description 1870"/>
    <s v="Code 1870"/>
    <n v="0"/>
    <n v="0"/>
    <n v="0"/>
    <n v="0"/>
    <n v="0"/>
    <n v="0"/>
    <n v="0"/>
    <n v="0"/>
    <n v="0"/>
    <n v="0"/>
    <n v="348"/>
    <x v="174"/>
    <x v="0"/>
    <x v="0"/>
    <x v="0"/>
  </r>
  <r>
    <s v="Description 1871"/>
    <s v="Code 1871"/>
    <n v="0"/>
    <n v="0"/>
    <n v="0"/>
    <n v="0"/>
    <n v="0"/>
    <n v="0"/>
    <n v="0"/>
    <n v="0"/>
    <n v="0"/>
    <n v="0"/>
    <n v="0"/>
    <x v="2"/>
    <x v="0"/>
    <x v="0"/>
    <x v="0"/>
  </r>
  <r>
    <s v="Description 1872"/>
    <s v="Code 1872"/>
    <n v="0"/>
    <n v="0"/>
    <n v="0"/>
    <n v="0"/>
    <n v="0"/>
    <n v="0"/>
    <n v="0"/>
    <n v="0"/>
    <n v="0"/>
    <n v="0"/>
    <n v="4685"/>
    <x v="129"/>
    <x v="0"/>
    <x v="1"/>
    <x v="0"/>
  </r>
  <r>
    <s v="Description 1873"/>
    <s v="Code 1873"/>
    <n v="2400"/>
    <n v="2400"/>
    <n v="3600"/>
    <n v="3600"/>
    <n v="3630"/>
    <n v="3630"/>
    <n v="3600"/>
    <n v="2400"/>
    <n v="2445"/>
    <n v="0"/>
    <n v="0"/>
    <x v="1"/>
    <x v="0"/>
    <x v="0"/>
    <x v="0"/>
  </r>
  <r>
    <s v="Description 1874"/>
    <s v="Code 1874"/>
    <n v="2400"/>
    <n v="2400"/>
    <n v="3600"/>
    <n v="3600"/>
    <n v="3630"/>
    <n v="3630"/>
    <n v="3600"/>
    <n v="2400"/>
    <n v="2445"/>
    <n v="0"/>
    <n v="2276"/>
    <x v="122"/>
    <x v="0"/>
    <x v="0"/>
    <x v="0"/>
  </r>
  <r>
    <s v="Description 1875"/>
    <s v="Code 1875"/>
    <n v="1080"/>
    <n v="440"/>
    <n v="960"/>
    <n v="1040"/>
    <n v="12976"/>
    <n v="9720"/>
    <n v="640"/>
    <n v="320"/>
    <n v="880"/>
    <n v="0"/>
    <n v="1127"/>
    <x v="197"/>
    <x v="0"/>
    <x v="0"/>
    <x v="0"/>
  </r>
  <r>
    <s v="Description 1876"/>
    <s v="Code 1876"/>
    <n v="1020"/>
    <n v="804"/>
    <n v="998"/>
    <n v="894"/>
    <n v="796"/>
    <n v="884"/>
    <n v="516"/>
    <n v="466"/>
    <n v="524"/>
    <n v="0"/>
    <n v="0"/>
    <x v="69"/>
    <x v="0"/>
    <x v="0"/>
    <x v="0"/>
  </r>
  <r>
    <s v="Description 1877"/>
    <s v="Code 1877"/>
    <n v="48"/>
    <n v="52"/>
    <n v="96"/>
    <n v="52"/>
    <n v="80"/>
    <n v="36"/>
    <n v="68"/>
    <n v="52"/>
    <n v="75"/>
    <n v="0"/>
    <n v="1920"/>
    <x v="179"/>
    <x v="0"/>
    <x v="0"/>
    <x v="0"/>
  </r>
  <r>
    <s v="Description 1878"/>
    <s v="Code 1878"/>
    <n v="11008"/>
    <n v="7904"/>
    <n v="9440"/>
    <n v="10528"/>
    <n v="9540"/>
    <n v="10688"/>
    <n v="8760"/>
    <n v="8168"/>
    <n v="8808"/>
    <n v="0"/>
    <n v="400"/>
    <x v="178"/>
    <x v="0"/>
    <x v="0"/>
    <x v="0"/>
  </r>
  <r>
    <s v="Description 1879"/>
    <s v="Code 1879"/>
    <n v="20"/>
    <n v="45"/>
    <n v="45"/>
    <n v="25"/>
    <n v="40"/>
    <n v="25"/>
    <n v="25"/>
    <n v="20"/>
    <n v="45"/>
    <n v="0"/>
    <n v="400"/>
    <x v="196"/>
    <x v="0"/>
    <x v="0"/>
    <x v="0"/>
  </r>
  <r>
    <s v="Description 1880"/>
    <s v="Code 1880"/>
    <n v="0"/>
    <n v="0"/>
    <n v="72"/>
    <n v="72"/>
    <n v="0"/>
    <n v="78"/>
    <n v="0"/>
    <n v="0"/>
    <n v="72"/>
    <n v="0"/>
    <n v="24"/>
    <x v="136"/>
    <x v="0"/>
    <x v="1"/>
    <x v="0"/>
  </r>
  <r>
    <s v="Description 1881"/>
    <s v="Code 1881"/>
    <n v="0"/>
    <n v="0"/>
    <n v="0"/>
    <n v="0"/>
    <n v="0"/>
    <n v="0"/>
    <n v="0"/>
    <n v="0"/>
    <n v="0"/>
    <n v="0"/>
    <n v="1500"/>
    <x v="193"/>
    <x v="0"/>
    <x v="0"/>
    <x v="0"/>
  </r>
  <r>
    <s v="Description 1882"/>
    <s v="Code 1882"/>
    <n v="0"/>
    <n v="0"/>
    <n v="104"/>
    <n v="104"/>
    <n v="104"/>
    <n v="104"/>
    <n v="104"/>
    <n v="104"/>
    <n v="104"/>
    <n v="0"/>
    <n v="78"/>
    <x v="190"/>
    <x v="0"/>
    <x v="0"/>
    <x v="0"/>
  </r>
  <r>
    <s v="Description 1883"/>
    <s v="Code 1883"/>
    <n v="0"/>
    <n v="0"/>
    <n v="0"/>
    <n v="0"/>
    <n v="0"/>
    <n v="0"/>
    <n v="0"/>
    <n v="0"/>
    <n v="0"/>
    <n v="0"/>
    <n v="10130"/>
    <x v="62"/>
    <x v="0"/>
    <x v="0"/>
    <x v="0"/>
  </r>
  <r>
    <s v="Description 1884"/>
    <s v="Code 1884"/>
    <n v="0"/>
    <n v="0"/>
    <n v="0"/>
    <n v="0"/>
    <n v="0"/>
    <n v="0"/>
    <n v="0"/>
    <n v="0"/>
    <n v="0"/>
    <n v="0"/>
    <n v="4000"/>
    <x v="43"/>
    <x v="0"/>
    <x v="0"/>
    <x v="0"/>
  </r>
  <r>
    <s v="Description 1885"/>
    <s v="Code 1885"/>
    <n v="1404"/>
    <n v="1218"/>
    <n v="1404"/>
    <n v="1404"/>
    <n v="1404"/>
    <n v="1404"/>
    <n v="1080"/>
    <n v="1512"/>
    <n v="1414"/>
    <n v="0"/>
    <n v="0"/>
    <x v="108"/>
    <x v="0"/>
    <x v="1"/>
    <x v="0"/>
  </r>
  <r>
    <s v="Description 1886"/>
    <s v="Code 1886"/>
    <n v="0"/>
    <n v="0"/>
    <n v="0"/>
    <n v="0"/>
    <n v="0"/>
    <n v="0"/>
    <n v="0"/>
    <n v="0"/>
    <n v="0"/>
    <n v="0"/>
    <n v="8"/>
    <x v="122"/>
    <x v="0"/>
    <x v="0"/>
    <x v="0"/>
  </r>
  <r>
    <s v="Description 1887"/>
    <s v="Code 1887"/>
    <n v="0"/>
    <n v="0"/>
    <n v="0"/>
    <n v="0"/>
    <n v="0"/>
    <n v="0"/>
    <n v="0"/>
    <n v="0"/>
    <n v="0"/>
    <n v="0"/>
    <n v="0"/>
    <x v="111"/>
    <x v="0"/>
    <x v="0"/>
    <x v="0"/>
  </r>
  <r>
    <s v="Description 1888"/>
    <s v="Code 1888"/>
    <n v="0"/>
    <n v="0"/>
    <n v="0"/>
    <n v="0"/>
    <n v="0"/>
    <n v="0"/>
    <n v="0"/>
    <n v="0"/>
    <n v="0"/>
    <n v="0"/>
    <n v="14"/>
    <x v="86"/>
    <x v="0"/>
    <x v="0"/>
    <x v="0"/>
  </r>
  <r>
    <s v="Description 1889"/>
    <s v="Code 1889"/>
    <n v="0"/>
    <n v="0"/>
    <n v="0"/>
    <n v="0"/>
    <n v="0"/>
    <n v="0"/>
    <n v="0"/>
    <n v="0"/>
    <n v="0"/>
    <n v="0"/>
    <n v="39"/>
    <x v="21"/>
    <x v="0"/>
    <x v="0"/>
    <x v="0"/>
  </r>
  <r>
    <s v="Description 1890"/>
    <s v="Code 1890"/>
    <n v="0"/>
    <n v="0"/>
    <n v="0"/>
    <n v="0"/>
    <n v="0"/>
    <n v="0"/>
    <n v="0"/>
    <n v="0"/>
    <n v="0"/>
    <n v="0"/>
    <n v="2"/>
    <x v="72"/>
    <x v="0"/>
    <x v="0"/>
    <x v="0"/>
  </r>
  <r>
    <s v="Description 1891"/>
    <s v="Code 1891"/>
    <n v="0"/>
    <n v="0"/>
    <n v="0"/>
    <n v="0"/>
    <n v="0"/>
    <n v="0"/>
    <n v="0"/>
    <n v="0"/>
    <n v="0"/>
    <n v="0"/>
    <n v="177"/>
    <x v="197"/>
    <x v="0"/>
    <x v="0"/>
    <x v="0"/>
  </r>
  <r>
    <s v="Description 1892"/>
    <s v="Code 1892"/>
    <n v="20"/>
    <n v="25"/>
    <n v="35"/>
    <n v="25"/>
    <n v="20"/>
    <n v="25"/>
    <n v="25"/>
    <n v="10"/>
    <n v="25"/>
    <n v="0"/>
    <n v="0"/>
    <x v="45"/>
    <x v="0"/>
    <x v="0"/>
    <x v="0"/>
  </r>
  <r>
    <s v="Description 1893"/>
    <s v="Code 1893"/>
    <n v="136"/>
    <n v="184"/>
    <n v="322"/>
    <n v="144"/>
    <n v="240"/>
    <n v="112"/>
    <n v="176"/>
    <n v="194"/>
    <n v="230"/>
    <n v="0"/>
    <n v="112"/>
    <x v="0"/>
    <x v="0"/>
    <x v="0"/>
    <x v="0"/>
  </r>
  <r>
    <s v="Description 1894"/>
    <s v="Code 1894"/>
    <n v="0"/>
    <n v="0"/>
    <n v="0"/>
    <n v="10"/>
    <n v="0"/>
    <n v="0"/>
    <n v="0"/>
    <n v="0"/>
    <n v="0"/>
    <n v="0"/>
    <n v="145"/>
    <x v="96"/>
    <x v="0"/>
    <x v="0"/>
    <x v="0"/>
  </r>
  <r>
    <s v="Description 1895"/>
    <s v="Code 1895"/>
    <n v="0"/>
    <n v="0"/>
    <n v="0"/>
    <n v="0"/>
    <n v="0"/>
    <n v="0"/>
    <n v="0"/>
    <n v="0"/>
    <n v="0"/>
    <n v="0"/>
    <n v="139"/>
    <x v="37"/>
    <x v="0"/>
    <x v="0"/>
    <x v="0"/>
  </r>
  <r>
    <s v="Description 1896"/>
    <s v="Code 1896"/>
    <n v="0"/>
    <n v="0"/>
    <n v="0"/>
    <n v="20"/>
    <n v="0"/>
    <n v="0"/>
    <n v="0"/>
    <n v="0"/>
    <n v="0"/>
    <n v="0"/>
    <n v="2010"/>
    <x v="113"/>
    <x v="0"/>
    <x v="0"/>
    <x v="0"/>
  </r>
  <r>
    <s v="Description 1897"/>
    <s v="Code 1897"/>
    <n v="10"/>
    <n v="0"/>
    <n v="10"/>
    <n v="10"/>
    <n v="0"/>
    <n v="0"/>
    <n v="0"/>
    <n v="0"/>
    <n v="0"/>
    <n v="0"/>
    <n v="200"/>
    <x v="98"/>
    <x v="0"/>
    <x v="0"/>
    <x v="0"/>
  </r>
  <r>
    <s v="Description 1898"/>
    <s v="Code 1898"/>
    <n v="50"/>
    <n v="0"/>
    <n v="50"/>
    <n v="50"/>
    <n v="0"/>
    <n v="0"/>
    <n v="0"/>
    <n v="0"/>
    <n v="0"/>
    <n v="0"/>
    <n v="96"/>
    <x v="60"/>
    <x v="0"/>
    <x v="0"/>
    <x v="0"/>
  </r>
  <r>
    <s v="Description 1899"/>
    <s v="Code 1899"/>
    <n v="10"/>
    <n v="0"/>
    <n v="10"/>
    <n v="10"/>
    <n v="0"/>
    <n v="0"/>
    <n v="0"/>
    <n v="0"/>
    <n v="0"/>
    <n v="0"/>
    <n v="0"/>
    <x v="180"/>
    <x v="0"/>
    <x v="0"/>
    <x v="0"/>
  </r>
  <r>
    <s v="Description 1900"/>
    <s v="Code 1900"/>
    <n v="0"/>
    <n v="0"/>
    <n v="0"/>
    <n v="0"/>
    <n v="0"/>
    <n v="0"/>
    <n v="0"/>
    <n v="0"/>
    <n v="0"/>
    <n v="0"/>
    <n v="0"/>
    <x v="174"/>
    <x v="0"/>
    <x v="0"/>
    <x v="0"/>
  </r>
  <r>
    <s v="Description 1901"/>
    <s v="Code 1901"/>
    <n v="1000"/>
    <n v="784"/>
    <n v="1040"/>
    <n v="936"/>
    <n v="776"/>
    <n v="942"/>
    <n v="496"/>
    <n v="456"/>
    <n v="576"/>
    <n v="0"/>
    <n v="10500"/>
    <x v="66"/>
    <x v="0"/>
    <x v="0"/>
    <x v="0"/>
  </r>
  <r>
    <s v="Description 1902"/>
    <s v="Code 1902"/>
    <n v="6020"/>
    <n v="4729"/>
    <n v="6275"/>
    <n v="5641"/>
    <n v="4676"/>
    <n v="5677"/>
    <n v="3001"/>
    <n v="2746"/>
    <n v="3481"/>
    <n v="0"/>
    <n v="18300"/>
    <x v="84"/>
    <x v="0"/>
    <x v="0"/>
    <x v="0"/>
  </r>
  <r>
    <s v="Description 1903"/>
    <s v="Code 1903"/>
    <n v="6020"/>
    <n v="4729"/>
    <n v="6275"/>
    <n v="5641"/>
    <n v="4676"/>
    <n v="5677"/>
    <n v="3001"/>
    <n v="2746"/>
    <n v="3481"/>
    <n v="0"/>
    <n v="8300"/>
    <x v="55"/>
    <x v="0"/>
    <x v="0"/>
    <x v="0"/>
  </r>
  <r>
    <s v="Description 1904"/>
    <s v="Code 1904"/>
    <n v="4316"/>
    <n v="3600"/>
    <n v="4854"/>
    <n v="4265"/>
    <n v="3504"/>
    <n v="4368"/>
    <n v="2425"/>
    <n v="2218"/>
    <n v="2911"/>
    <n v="0"/>
    <n v="800"/>
    <x v="164"/>
    <x v="0"/>
    <x v="0"/>
    <x v="0"/>
  </r>
  <r>
    <s v="Description 1905"/>
    <s v="Code 1905"/>
    <n v="0"/>
    <n v="0"/>
    <n v="0"/>
    <n v="0"/>
    <n v="0"/>
    <n v="0"/>
    <n v="0"/>
    <n v="0"/>
    <n v="0"/>
    <n v="0"/>
    <n v="60"/>
    <x v="40"/>
    <x v="0"/>
    <x v="0"/>
    <x v="0"/>
  </r>
  <r>
    <s v="Description 1906"/>
    <s v="Code 1906"/>
    <n v="0"/>
    <n v="0"/>
    <n v="0"/>
    <n v="0"/>
    <n v="0"/>
    <n v="0"/>
    <n v="0"/>
    <n v="0"/>
    <n v="0"/>
    <n v="0"/>
    <n v="99"/>
    <x v="5"/>
    <x v="0"/>
    <x v="0"/>
    <x v="0"/>
  </r>
  <r>
    <s v="Description 1907"/>
    <s v="Code 1907"/>
    <n v="0"/>
    <n v="0"/>
    <n v="0"/>
    <n v="0"/>
    <n v="0"/>
    <n v="0"/>
    <n v="0"/>
    <n v="0"/>
    <n v="0"/>
    <n v="0"/>
    <n v="62"/>
    <x v="119"/>
    <x v="0"/>
    <x v="1"/>
    <x v="0"/>
  </r>
  <r>
    <s v="Description 1908"/>
    <s v="Code 1908"/>
    <n v="0"/>
    <n v="0"/>
    <n v="0"/>
    <n v="0"/>
    <n v="0"/>
    <n v="0"/>
    <n v="0"/>
    <n v="0"/>
    <n v="0"/>
    <n v="0"/>
    <n v="38"/>
    <x v="165"/>
    <x v="0"/>
    <x v="0"/>
    <x v="0"/>
  </r>
  <r>
    <s v="Description 1909"/>
    <s v="Code 1909"/>
    <n v="0"/>
    <n v="0"/>
    <n v="0"/>
    <n v="0"/>
    <n v="0"/>
    <n v="0"/>
    <n v="0"/>
    <n v="0"/>
    <n v="0"/>
    <n v="0"/>
    <n v="692"/>
    <x v="14"/>
    <x v="0"/>
    <x v="0"/>
    <x v="0"/>
  </r>
  <r>
    <s v="Description 1910"/>
    <s v="Code 1910"/>
    <n v="0"/>
    <n v="0"/>
    <n v="0"/>
    <n v="0"/>
    <n v="0"/>
    <n v="0"/>
    <n v="0"/>
    <n v="0"/>
    <n v="0"/>
    <n v="0"/>
    <n v="109"/>
    <x v="77"/>
    <x v="0"/>
    <x v="0"/>
    <x v="0"/>
  </r>
  <r>
    <s v="Description 1911"/>
    <s v="Code 1911"/>
    <n v="10"/>
    <n v="0"/>
    <n v="10"/>
    <n v="10"/>
    <n v="0"/>
    <n v="0"/>
    <n v="0"/>
    <n v="0"/>
    <n v="0"/>
    <n v="0"/>
    <n v="624"/>
    <x v="194"/>
    <x v="0"/>
    <x v="0"/>
    <x v="0"/>
  </r>
  <r>
    <s v="Description 1912"/>
    <s v="Code 1912"/>
    <n v="10"/>
    <n v="0"/>
    <n v="10"/>
    <n v="10"/>
    <n v="0"/>
    <n v="0"/>
    <n v="0"/>
    <n v="0"/>
    <n v="0"/>
    <n v="0"/>
    <n v="422"/>
    <x v="152"/>
    <x v="0"/>
    <x v="0"/>
    <x v="0"/>
  </r>
  <r>
    <s v="Description 1913"/>
    <s v="Code 1913"/>
    <n v="0"/>
    <n v="0"/>
    <n v="0"/>
    <n v="0"/>
    <n v="0"/>
    <n v="0"/>
    <n v="0"/>
    <n v="0"/>
    <n v="0"/>
    <n v="0"/>
    <n v="0"/>
    <x v="56"/>
    <x v="0"/>
    <x v="0"/>
    <x v="0"/>
  </r>
  <r>
    <s v="Description 1914"/>
    <s v="Code 1914"/>
    <n v="0"/>
    <n v="0"/>
    <n v="0"/>
    <n v="0"/>
    <n v="0"/>
    <n v="0"/>
    <n v="0"/>
    <n v="0"/>
    <n v="0"/>
    <n v="0"/>
    <n v="0"/>
    <x v="108"/>
    <x v="0"/>
    <x v="1"/>
    <x v="0"/>
  </r>
  <r>
    <s v="Description 1915"/>
    <s v="Code 1915"/>
    <n v="40"/>
    <n v="64"/>
    <n v="108"/>
    <n v="65"/>
    <n v="80"/>
    <n v="86"/>
    <n v="57"/>
    <n v="44"/>
    <n v="69"/>
    <n v="0"/>
    <n v="226"/>
    <x v="81"/>
    <x v="0"/>
    <x v="0"/>
    <x v="0"/>
  </r>
  <r>
    <s v="Description 1916"/>
    <s v="Code 1916"/>
    <n v="64"/>
    <n v="64"/>
    <n v="96"/>
    <n v="69"/>
    <n v="64"/>
    <n v="64"/>
    <n v="64"/>
    <n v="32"/>
    <n v="64"/>
    <n v="0"/>
    <n v="128"/>
    <x v="181"/>
    <x v="0"/>
    <x v="0"/>
    <x v="0"/>
  </r>
  <r>
    <s v="Description 1917"/>
    <s v="Code 1917"/>
    <n v="0"/>
    <n v="0"/>
    <n v="0"/>
    <n v="0"/>
    <n v="0"/>
    <n v="0"/>
    <n v="0"/>
    <n v="0"/>
    <n v="0"/>
    <n v="0"/>
    <n v="85"/>
    <x v="14"/>
    <x v="0"/>
    <x v="0"/>
    <x v="0"/>
  </r>
  <r>
    <s v="Description 1918"/>
    <s v="Code 1918"/>
    <n v="0"/>
    <n v="0"/>
    <n v="0"/>
    <n v="0"/>
    <n v="0"/>
    <n v="0"/>
    <n v="0"/>
    <n v="0"/>
    <n v="0"/>
    <n v="0"/>
    <n v="0"/>
    <x v="115"/>
    <x v="0"/>
    <x v="0"/>
    <x v="0"/>
  </r>
  <r>
    <s v="Description 1919"/>
    <s v="Code 1919"/>
    <n v="20"/>
    <n v="25"/>
    <n v="35"/>
    <n v="25"/>
    <n v="20"/>
    <n v="25"/>
    <n v="25"/>
    <n v="10"/>
    <n v="25"/>
    <n v="0"/>
    <n v="2000"/>
    <x v="62"/>
    <x v="0"/>
    <x v="0"/>
    <x v="0"/>
  </r>
  <r>
    <s v="Description 1920"/>
    <s v="Code 1920"/>
    <n v="450"/>
    <n v="155"/>
    <n v="370"/>
    <n v="495"/>
    <n v="450"/>
    <n v="485"/>
    <n v="460"/>
    <n v="450"/>
    <n v="350"/>
    <n v="0"/>
    <n v="1099"/>
    <x v="97"/>
    <x v="0"/>
    <x v="0"/>
    <x v="0"/>
  </r>
  <r>
    <s v="Description 1921"/>
    <s v="Code 1921"/>
    <n v="176"/>
    <n v="232"/>
    <n v="328"/>
    <n v="234"/>
    <n v="240"/>
    <n v="244"/>
    <n v="250"/>
    <n v="192"/>
    <n v="288"/>
    <n v="0"/>
    <n v="519"/>
    <x v="124"/>
    <x v="0"/>
    <x v="0"/>
    <x v="0"/>
  </r>
  <r>
    <s v="Description 1922"/>
    <s v="Code 1922"/>
    <n v="40"/>
    <n v="64"/>
    <n v="68"/>
    <n v="65"/>
    <n v="40"/>
    <n v="86"/>
    <n v="57"/>
    <n v="44"/>
    <n v="69"/>
    <n v="0"/>
    <n v="74"/>
    <x v="28"/>
    <x v="0"/>
    <x v="1"/>
    <x v="0"/>
  </r>
  <r>
    <s v="Description 1923"/>
    <s v="Code 1923"/>
    <n v="0"/>
    <n v="0"/>
    <n v="0"/>
    <n v="10"/>
    <n v="0"/>
    <n v="0"/>
    <n v="0"/>
    <n v="0"/>
    <n v="0"/>
    <n v="0"/>
    <n v="300"/>
    <x v="48"/>
    <x v="0"/>
    <x v="0"/>
    <x v="0"/>
  </r>
  <r>
    <s v="Description 1924"/>
    <s v="Code 1924"/>
    <n v="0"/>
    <n v="0"/>
    <n v="0"/>
    <n v="60"/>
    <n v="0"/>
    <n v="0"/>
    <n v="0"/>
    <n v="0"/>
    <n v="0"/>
    <n v="0"/>
    <n v="208"/>
    <x v="69"/>
    <x v="0"/>
    <x v="0"/>
    <x v="0"/>
  </r>
  <r>
    <s v="Description 1925"/>
    <s v="Code 1925"/>
    <n v="0"/>
    <n v="0"/>
    <n v="0"/>
    <n v="40"/>
    <n v="0"/>
    <n v="0"/>
    <n v="0"/>
    <n v="0"/>
    <n v="0"/>
    <n v="0"/>
    <n v="750"/>
    <x v="67"/>
    <x v="0"/>
    <x v="0"/>
    <x v="0"/>
  </r>
  <r>
    <s v="Description 1926"/>
    <s v="Code 1926"/>
    <n v="0"/>
    <n v="0"/>
    <n v="80"/>
    <n v="80"/>
    <n v="80"/>
    <n v="160"/>
    <n v="0"/>
    <n v="0"/>
    <n v="160"/>
    <n v="0"/>
    <n v="200"/>
    <x v="48"/>
    <x v="0"/>
    <x v="0"/>
    <x v="0"/>
  </r>
  <r>
    <s v="Description 1927"/>
    <s v="Code 1927"/>
    <n v="0"/>
    <n v="0"/>
    <n v="80"/>
    <n v="80"/>
    <n v="80"/>
    <n v="160"/>
    <n v="0"/>
    <n v="0"/>
    <n v="160"/>
    <n v="0"/>
    <n v="600"/>
    <x v="91"/>
    <x v="0"/>
    <x v="0"/>
    <x v="0"/>
  </r>
  <r>
    <s v="Description 1928"/>
    <s v="Code 1928"/>
    <n v="0"/>
    <n v="0"/>
    <n v="80"/>
    <n v="80"/>
    <n v="80"/>
    <n v="160"/>
    <n v="0"/>
    <n v="0"/>
    <n v="160"/>
    <n v="0"/>
    <n v="500"/>
    <x v="17"/>
    <x v="0"/>
    <x v="0"/>
    <x v="0"/>
  </r>
  <r>
    <s v="Description 1929"/>
    <s v="Code 1929"/>
    <n v="0"/>
    <n v="0"/>
    <n v="80"/>
    <n v="80"/>
    <n v="80"/>
    <n v="160"/>
    <n v="0"/>
    <n v="0"/>
    <n v="160"/>
    <n v="0"/>
    <n v="19800"/>
    <x v="132"/>
    <x v="0"/>
    <x v="0"/>
    <x v="0"/>
  </r>
  <r>
    <s v="Description 1930"/>
    <s v="Code 1930"/>
    <n v="5504"/>
    <n v="3952"/>
    <n v="4640"/>
    <n v="5184"/>
    <n v="4690"/>
    <n v="5184"/>
    <n v="4380"/>
    <n v="4084"/>
    <n v="4244"/>
    <n v="0"/>
    <n v="650"/>
    <x v="9"/>
    <x v="0"/>
    <x v="0"/>
    <x v="0"/>
  </r>
  <r>
    <s v="Description 1931"/>
    <s v="Code 1931"/>
    <n v="5504"/>
    <n v="3952"/>
    <n v="4640"/>
    <n v="5184"/>
    <n v="4690"/>
    <n v="5184"/>
    <n v="4380"/>
    <n v="4084"/>
    <n v="4244"/>
    <n v="0"/>
    <n v="9250"/>
    <x v="141"/>
    <x v="0"/>
    <x v="0"/>
    <x v="0"/>
  </r>
  <r>
    <s v="Description 1932"/>
    <s v="Code 1932"/>
    <n v="5504"/>
    <n v="3952"/>
    <n v="4640"/>
    <n v="5184"/>
    <n v="4690"/>
    <n v="5184"/>
    <n v="4380"/>
    <n v="4084"/>
    <n v="4244"/>
    <n v="0"/>
    <n v="21750"/>
    <x v="145"/>
    <x v="0"/>
    <x v="0"/>
    <x v="0"/>
  </r>
  <r>
    <s v="Description 1933"/>
    <s v="Code 1933"/>
    <n v="5504"/>
    <n v="3952"/>
    <n v="4640"/>
    <n v="5184"/>
    <n v="4690"/>
    <n v="5184"/>
    <n v="4380"/>
    <n v="4084"/>
    <n v="4244"/>
    <n v="0"/>
    <n v="500"/>
    <x v="193"/>
    <x v="0"/>
    <x v="0"/>
    <x v="0"/>
  </r>
  <r>
    <s v="Description 1934"/>
    <s v="Code 1934"/>
    <n v="725"/>
    <n v="620"/>
    <n v="810"/>
    <n v="720"/>
    <n v="830"/>
    <n v="820"/>
    <n v="510"/>
    <n v="520"/>
    <n v="620"/>
    <n v="0"/>
    <n v="7500"/>
    <x v="53"/>
    <x v="0"/>
    <x v="0"/>
    <x v="0"/>
  </r>
  <r>
    <s v="Description 1935"/>
    <s v="Code 1935"/>
    <n v="725"/>
    <n v="620"/>
    <n v="810"/>
    <n v="720"/>
    <n v="830"/>
    <n v="820"/>
    <n v="510"/>
    <n v="520"/>
    <n v="620"/>
    <n v="0"/>
    <n v="550"/>
    <x v="140"/>
    <x v="0"/>
    <x v="0"/>
    <x v="0"/>
  </r>
  <r>
    <s v="Description 1936"/>
    <s v="Code 1936"/>
    <n v="0"/>
    <n v="0"/>
    <n v="72"/>
    <n v="72"/>
    <n v="0"/>
    <n v="78"/>
    <n v="0"/>
    <n v="0"/>
    <n v="72"/>
    <n v="0"/>
    <n v="1077"/>
    <x v="154"/>
    <x v="0"/>
    <x v="0"/>
    <x v="0"/>
  </r>
  <r>
    <s v="Description 1937"/>
    <s v="Code 1937"/>
    <n v="48"/>
    <n v="52"/>
    <n v="96"/>
    <n v="62"/>
    <n v="80"/>
    <n v="36"/>
    <n v="68"/>
    <n v="52"/>
    <n v="75"/>
    <n v="0"/>
    <n v="14000"/>
    <x v="191"/>
    <x v="0"/>
    <x v="0"/>
    <x v="0"/>
  </r>
  <r>
    <s v="Description 1938"/>
    <s v="Code 1938"/>
    <n v="5002"/>
    <n v="3160"/>
    <n v="4802"/>
    <n v="4820"/>
    <n v="5002"/>
    <n v="4906"/>
    <n v="3506"/>
    <n v="4706"/>
    <n v="2226"/>
    <n v="0"/>
    <n v="20000"/>
    <x v="85"/>
    <x v="0"/>
    <x v="1"/>
    <x v="0"/>
  </r>
  <r>
    <s v="Description 1939"/>
    <s v="Code 1939"/>
    <n v="6274"/>
    <n v="3240"/>
    <n v="6074"/>
    <n v="6060"/>
    <n v="5194"/>
    <n v="6082"/>
    <n v="3682"/>
    <n v="5882"/>
    <n v="2402"/>
    <n v="0"/>
    <n v="11000"/>
    <x v="135"/>
    <x v="0"/>
    <x v="0"/>
    <x v="0"/>
  </r>
  <r>
    <s v="Description 1940"/>
    <s v="Code 1940"/>
    <n v="3851"/>
    <n v="3175"/>
    <n v="3949"/>
    <n v="3799"/>
    <n v="5033"/>
    <n v="3951"/>
    <n v="3451"/>
    <n v="3551"/>
    <n v="2269"/>
    <n v="0"/>
    <n v="1597"/>
    <x v="149"/>
    <x v="0"/>
    <x v="0"/>
    <x v="0"/>
  </r>
  <r>
    <s v="Description 1941"/>
    <s v="Code 1941"/>
    <n v="1272"/>
    <n v="80"/>
    <n v="1272"/>
    <n v="1240"/>
    <n v="192"/>
    <n v="1176"/>
    <n v="176"/>
    <n v="1176"/>
    <n v="176"/>
    <n v="0"/>
    <n v="1500"/>
    <x v="104"/>
    <x v="0"/>
    <x v="0"/>
    <x v="0"/>
  </r>
  <r>
    <s v="Description 1942"/>
    <s v="Code 1942"/>
    <n v="400"/>
    <n v="100"/>
    <n v="300"/>
    <n v="425"/>
    <n v="400"/>
    <n v="400"/>
    <n v="400"/>
    <n v="400"/>
    <n v="300"/>
    <n v="0"/>
    <n v="0"/>
    <x v="2"/>
    <x v="0"/>
    <x v="0"/>
    <x v="0"/>
  </r>
  <r>
    <s v="Description 1943"/>
    <s v="Code 1943"/>
    <n v="6096"/>
    <n v="4842"/>
    <n v="5616"/>
    <n v="5886"/>
    <n v="5856"/>
    <n v="5616"/>
    <n v="4560"/>
    <n v="6048"/>
    <n v="5886"/>
    <n v="0"/>
    <n v="300"/>
    <x v="35"/>
    <x v="0"/>
    <x v="1"/>
    <x v="0"/>
  </r>
  <r>
    <s v="Description 1944"/>
    <s v="Code 1944"/>
    <n v="10"/>
    <n v="10"/>
    <n v="15"/>
    <n v="10"/>
    <n v="10"/>
    <n v="10"/>
    <n v="10"/>
    <n v="5"/>
    <n v="10"/>
    <n v="0"/>
    <n v="471"/>
    <x v="1"/>
    <x v="0"/>
    <x v="0"/>
    <x v="0"/>
  </r>
  <r>
    <s v="Description 1945"/>
    <s v="Code 1945"/>
    <n v="10"/>
    <n v="0"/>
    <n v="10"/>
    <n v="10"/>
    <n v="0"/>
    <n v="0"/>
    <n v="0"/>
    <n v="0"/>
    <n v="0"/>
    <n v="0"/>
    <n v="864"/>
    <x v="123"/>
    <x v="0"/>
    <x v="1"/>
    <x v="0"/>
  </r>
  <r>
    <s v="Description 1946"/>
    <s v="Code 1946"/>
    <n v="152"/>
    <n v="226"/>
    <n v="240"/>
    <n v="136"/>
    <n v="218"/>
    <n v="116"/>
    <n v="144"/>
    <n v="110"/>
    <n v="200"/>
    <n v="0"/>
    <n v="1053"/>
    <x v="147"/>
    <x v="0"/>
    <x v="0"/>
    <x v="0"/>
  </r>
  <r>
    <s v="Description 1947"/>
    <s v="Code 1947"/>
    <n v="0"/>
    <n v="0"/>
    <n v="0"/>
    <n v="0"/>
    <n v="0"/>
    <n v="0"/>
    <n v="0"/>
    <n v="0"/>
    <n v="0"/>
    <n v="0"/>
    <n v="0"/>
    <x v="117"/>
    <x v="0"/>
    <x v="0"/>
    <x v="0"/>
  </r>
  <r>
    <s v="Description 1948"/>
    <s v="Code 1948"/>
    <n v="10296"/>
    <n v="8208"/>
    <n v="10980"/>
    <n v="9965"/>
    <n v="8056"/>
    <n v="10102"/>
    <n v="5341"/>
    <n v="4780"/>
    <n v="6249"/>
    <n v="0"/>
    <n v="21"/>
    <x v="45"/>
    <x v="0"/>
    <x v="0"/>
    <x v="0"/>
  </r>
  <r>
    <s v="Description 1949"/>
    <s v="Code 1949"/>
    <n v="0"/>
    <n v="0"/>
    <n v="0"/>
    <n v="0"/>
    <n v="0"/>
    <n v="0"/>
    <n v="0"/>
    <n v="10"/>
    <n v="0"/>
    <n v="0"/>
    <n v="500"/>
    <x v="100"/>
    <x v="0"/>
    <x v="0"/>
    <x v="0"/>
  </r>
  <r>
    <s v="Description 1950"/>
    <s v="Code 1950"/>
    <n v="560"/>
    <n v="160"/>
    <n v="1168"/>
    <n v="1592"/>
    <n v="1512"/>
    <n v="280"/>
    <n v="320"/>
    <n v="80"/>
    <n v="440"/>
    <n v="0"/>
    <n v="4500"/>
    <x v="110"/>
    <x v="0"/>
    <x v="0"/>
    <x v="0"/>
  </r>
  <r>
    <s v="Description 1951"/>
    <s v="Code 1951"/>
    <n v="540"/>
    <n v="220"/>
    <n v="512"/>
    <n v="520"/>
    <n v="6488"/>
    <n v="4916"/>
    <n v="320"/>
    <n v="160"/>
    <n v="440"/>
    <n v="0"/>
    <n v="6000"/>
    <x v="30"/>
    <x v="0"/>
    <x v="0"/>
    <x v="0"/>
  </r>
  <r>
    <s v="Description 1952"/>
    <s v="Code 1952"/>
    <n v="540"/>
    <n v="220"/>
    <n v="512"/>
    <n v="520"/>
    <n v="6488"/>
    <n v="4916"/>
    <n v="320"/>
    <n v="160"/>
    <n v="440"/>
    <n v="0"/>
    <n v="5400"/>
    <x v="67"/>
    <x v="0"/>
    <x v="0"/>
    <x v="0"/>
  </r>
  <r>
    <s v="Description 1953"/>
    <s v="Code 1953"/>
    <n v="540"/>
    <n v="220"/>
    <n v="512"/>
    <n v="520"/>
    <n v="6488"/>
    <n v="4916"/>
    <n v="320"/>
    <n v="160"/>
    <n v="440"/>
    <n v="0"/>
    <n v="0"/>
    <x v="13"/>
    <x v="0"/>
    <x v="1"/>
    <x v="0"/>
  </r>
  <r>
    <s v="Description 1954"/>
    <s v="Code 1954"/>
    <n v="576"/>
    <n v="560"/>
    <n v="612"/>
    <n v="484"/>
    <n v="480"/>
    <n v="490"/>
    <n v="296"/>
    <n v="256"/>
    <n v="324"/>
    <n v="0"/>
    <n v="500"/>
    <x v="153"/>
    <x v="0"/>
    <x v="0"/>
    <x v="0"/>
  </r>
  <r>
    <s v="Description 1955"/>
    <s v="Code 1955"/>
    <n v="424"/>
    <n v="224"/>
    <n v="428"/>
    <n v="462"/>
    <n v="296"/>
    <n v="452"/>
    <n v="200"/>
    <n v="200"/>
    <n v="252"/>
    <n v="0"/>
    <n v="0"/>
    <x v="167"/>
    <x v="0"/>
    <x v="0"/>
    <x v="0"/>
  </r>
  <r>
    <s v="Description 1956"/>
    <s v="Code 1956"/>
    <n v="0"/>
    <n v="0"/>
    <n v="0"/>
    <n v="0"/>
    <n v="0"/>
    <n v="0"/>
    <n v="0"/>
    <n v="0"/>
    <n v="0"/>
    <n v="0"/>
    <n v="450"/>
    <x v="42"/>
    <x v="0"/>
    <x v="1"/>
    <x v="0"/>
  </r>
  <r>
    <s v="Description 1957"/>
    <s v="Code 1957"/>
    <n v="8"/>
    <n v="16"/>
    <n v="16"/>
    <n v="16"/>
    <n v="8"/>
    <n v="16"/>
    <n v="8"/>
    <n v="12"/>
    <n v="16"/>
    <n v="0"/>
    <n v="0"/>
    <x v="178"/>
    <x v="0"/>
    <x v="0"/>
    <x v="0"/>
  </r>
  <r>
    <s v="Description 1958"/>
    <s v="Code 1958"/>
    <n v="32"/>
    <n v="48"/>
    <n v="52"/>
    <n v="49"/>
    <n v="32"/>
    <n v="70"/>
    <n v="49"/>
    <n v="32"/>
    <n v="53"/>
    <n v="0"/>
    <n v="0"/>
    <x v="197"/>
    <x v="0"/>
    <x v="0"/>
    <x v="0"/>
  </r>
  <r>
    <s v="Description 1959"/>
    <s v="Code 1959"/>
    <n v="20"/>
    <n v="40"/>
    <n v="40"/>
    <n v="20"/>
    <n v="40"/>
    <n v="20"/>
    <n v="20"/>
    <n v="20"/>
    <n v="40"/>
    <n v="0"/>
    <n v="100"/>
    <x v="85"/>
    <x v="0"/>
    <x v="1"/>
    <x v="0"/>
  </r>
  <r>
    <s v="Description 1960"/>
    <s v="Code 1960"/>
    <n v="20"/>
    <n v="40"/>
    <n v="40"/>
    <n v="20"/>
    <n v="40"/>
    <n v="20"/>
    <n v="20"/>
    <n v="20"/>
    <n v="40"/>
    <n v="0"/>
    <n v="96"/>
    <x v="187"/>
    <x v="0"/>
    <x v="1"/>
    <x v="0"/>
  </r>
  <r>
    <s v="Description 1961"/>
    <s v="Code 1961"/>
    <n v="0"/>
    <n v="0"/>
    <n v="0"/>
    <n v="0"/>
    <n v="0"/>
    <n v="0"/>
    <n v="0"/>
    <n v="0"/>
    <n v="0"/>
    <n v="0"/>
    <n v="940"/>
    <x v="29"/>
    <x v="0"/>
    <x v="0"/>
    <x v="0"/>
  </r>
  <r>
    <s v="Description 1962"/>
    <s v="Code 1962"/>
    <n v="0"/>
    <n v="0"/>
    <n v="0"/>
    <n v="10"/>
    <n v="0"/>
    <n v="0"/>
    <n v="0"/>
    <n v="0"/>
    <n v="0"/>
    <n v="0"/>
    <n v="225"/>
    <x v="69"/>
    <x v="0"/>
    <x v="0"/>
    <x v="0"/>
  </r>
  <r>
    <s v="Description 1963"/>
    <s v="Code 1963"/>
    <n v="0"/>
    <n v="0"/>
    <n v="72"/>
    <n v="72"/>
    <n v="0"/>
    <n v="78"/>
    <n v="0"/>
    <n v="0"/>
    <n v="72"/>
    <n v="0"/>
    <n v="0"/>
    <x v="86"/>
    <x v="0"/>
    <x v="0"/>
    <x v="0"/>
  </r>
  <r>
    <s v="Description 1964"/>
    <s v="Code 1964"/>
    <n v="90"/>
    <n v="95"/>
    <n v="105"/>
    <n v="95"/>
    <n v="90"/>
    <n v="95"/>
    <n v="95"/>
    <n v="80"/>
    <n v="95"/>
    <n v="0"/>
    <n v="0"/>
    <x v="0"/>
    <x v="0"/>
    <x v="0"/>
    <x v="0"/>
  </r>
  <r>
    <s v="Description 1965"/>
    <s v="Code 1965"/>
    <n v="1000"/>
    <n v="784"/>
    <n v="968"/>
    <n v="874"/>
    <n v="776"/>
    <n v="864"/>
    <n v="496"/>
    <n v="456"/>
    <n v="504"/>
    <n v="0"/>
    <n v="544"/>
    <x v="117"/>
    <x v="0"/>
    <x v="0"/>
    <x v="0"/>
  </r>
  <r>
    <s v="Description 1966"/>
    <s v="Code 1966"/>
    <n v="42"/>
    <n v="37"/>
    <n v="60"/>
    <n v="60"/>
    <n v="35"/>
    <n v="43"/>
    <n v="43"/>
    <n v="36"/>
    <n v="31"/>
    <n v="0"/>
    <n v="44"/>
    <x v="96"/>
    <x v="0"/>
    <x v="0"/>
    <x v="0"/>
  </r>
  <r>
    <s v="Description 1967"/>
    <s v="Code 1967"/>
    <n v="22"/>
    <n v="32"/>
    <n v="20"/>
    <n v="40"/>
    <n v="25"/>
    <n v="48"/>
    <n v="23"/>
    <n v="26"/>
    <n v="21"/>
    <n v="0"/>
    <n v="113"/>
    <x v="30"/>
    <x v="0"/>
    <x v="0"/>
    <x v="0"/>
  </r>
  <r>
    <s v="Description 1968"/>
    <s v="Code 1968"/>
    <n v="10"/>
    <n v="0"/>
    <n v="10"/>
    <n v="10"/>
    <n v="0"/>
    <n v="0"/>
    <n v="0"/>
    <n v="0"/>
    <n v="0"/>
    <n v="0"/>
    <n v="0"/>
    <x v="187"/>
    <x v="0"/>
    <x v="1"/>
    <x v="0"/>
  </r>
  <r>
    <s v="Description 1969"/>
    <s v="Code 1969"/>
    <n v="100"/>
    <n v="0"/>
    <n v="100"/>
    <n v="80"/>
    <n v="80"/>
    <n v="80"/>
    <n v="80"/>
    <n v="80"/>
    <n v="80"/>
    <n v="0"/>
    <n v="540"/>
    <x v="42"/>
    <x v="0"/>
    <x v="1"/>
    <x v="0"/>
  </r>
  <r>
    <s v="Description 1970"/>
    <s v="Code 1970"/>
    <n v="0"/>
    <n v="0"/>
    <n v="0"/>
    <n v="0"/>
    <n v="0"/>
    <n v="0"/>
    <n v="0"/>
    <n v="0"/>
    <n v="0"/>
    <n v="0"/>
    <n v="232"/>
    <x v="142"/>
    <x v="0"/>
    <x v="0"/>
    <x v="0"/>
  </r>
  <r>
    <s v="Description 1971"/>
    <s v="Code 1971"/>
    <n v="0"/>
    <n v="0"/>
    <n v="0"/>
    <n v="0"/>
    <n v="0"/>
    <n v="0"/>
    <n v="0"/>
    <n v="0"/>
    <n v="0"/>
    <n v="0"/>
    <n v="0"/>
    <x v="58"/>
    <x v="0"/>
    <x v="0"/>
    <x v="0"/>
  </r>
  <r>
    <s v="Description 1972"/>
    <s v="Code 1972"/>
    <n v="30"/>
    <n v="30"/>
    <n v="50"/>
    <n v="40"/>
    <n v="30"/>
    <n v="40"/>
    <n v="40"/>
    <n v="30"/>
    <n v="30"/>
    <n v="0"/>
    <n v="0"/>
    <x v="86"/>
    <x v="0"/>
    <x v="0"/>
    <x v="0"/>
  </r>
  <r>
    <s v="Description 1973"/>
    <s v="Code 1973"/>
    <n v="20"/>
    <n v="25"/>
    <n v="20"/>
    <n v="30"/>
    <n v="20"/>
    <n v="45"/>
    <n v="20"/>
    <n v="20"/>
    <n v="20"/>
    <n v="0"/>
    <n v="1500"/>
    <x v="73"/>
    <x v="0"/>
    <x v="0"/>
    <x v="0"/>
  </r>
  <r>
    <s v="Description 1974"/>
    <s v="Code 1974"/>
    <n v="2400"/>
    <n v="2400"/>
    <n v="3600"/>
    <n v="3600"/>
    <n v="3630"/>
    <n v="3630"/>
    <n v="3600"/>
    <n v="2400"/>
    <n v="2445"/>
    <n v="0"/>
    <n v="0"/>
    <x v="17"/>
    <x v="0"/>
    <x v="0"/>
    <x v="0"/>
  </r>
  <r>
    <s v="Description 1975"/>
    <s v="Code 1975"/>
    <n v="50"/>
    <n v="50"/>
    <n v="100"/>
    <n v="60"/>
    <n v="55"/>
    <n v="60"/>
    <n v="30"/>
    <n v="20"/>
    <n v="70"/>
    <n v="0"/>
    <n v="0"/>
    <x v="197"/>
    <x v="0"/>
    <x v="0"/>
    <x v="0"/>
  </r>
  <r>
    <s v="Description 1976"/>
    <s v="Code 1976"/>
    <n v="50"/>
    <n v="50"/>
    <n v="100"/>
    <n v="60"/>
    <n v="55"/>
    <n v="60"/>
    <n v="30"/>
    <n v="20"/>
    <n v="70"/>
    <n v="0"/>
    <n v="500"/>
    <x v="179"/>
    <x v="0"/>
    <x v="0"/>
    <x v="0"/>
  </r>
  <r>
    <s v="Description 1977"/>
    <s v="Code 1977"/>
    <n v="725"/>
    <n v="620"/>
    <n v="810"/>
    <n v="720"/>
    <n v="830"/>
    <n v="820"/>
    <n v="510"/>
    <n v="520"/>
    <n v="620"/>
    <n v="0"/>
    <n v="47"/>
    <x v="127"/>
    <x v="0"/>
    <x v="0"/>
    <x v="0"/>
  </r>
  <r>
    <s v="Description 1978"/>
    <s v="Code 1978"/>
    <n v="18"/>
    <n v="17"/>
    <n v="8"/>
    <n v="34"/>
    <n v="12"/>
    <n v="11"/>
    <n v="10"/>
    <n v="14"/>
    <n v="12"/>
    <n v="0"/>
    <n v="151"/>
    <x v="101"/>
    <x v="0"/>
    <x v="0"/>
    <x v="0"/>
  </r>
  <r>
    <s v="Description 1979"/>
    <s v="Code 1979"/>
    <n v="18"/>
    <n v="17"/>
    <n v="8"/>
    <n v="34"/>
    <n v="12"/>
    <n v="11"/>
    <n v="10"/>
    <n v="14"/>
    <n v="12"/>
    <n v="0"/>
    <n v="183"/>
    <x v="16"/>
    <x v="0"/>
    <x v="0"/>
    <x v="0"/>
  </r>
  <r>
    <s v="Description 1980"/>
    <s v="Code 1980"/>
    <n v="18"/>
    <n v="17"/>
    <n v="8"/>
    <n v="34"/>
    <n v="12"/>
    <n v="11"/>
    <n v="10"/>
    <n v="14"/>
    <n v="12"/>
    <n v="0"/>
    <n v="137"/>
    <x v="47"/>
    <x v="0"/>
    <x v="0"/>
    <x v="0"/>
  </r>
  <r>
    <s v="Description 1981"/>
    <s v="Code 1981"/>
    <n v="18"/>
    <n v="17"/>
    <n v="8"/>
    <n v="34"/>
    <n v="12"/>
    <n v="11"/>
    <n v="10"/>
    <n v="14"/>
    <n v="12"/>
    <n v="0"/>
    <n v="28"/>
    <x v="81"/>
    <x v="0"/>
    <x v="0"/>
    <x v="0"/>
  </r>
  <r>
    <s v="Description 1982"/>
    <s v="Code 1982"/>
    <n v="0"/>
    <n v="0"/>
    <n v="0"/>
    <n v="0"/>
    <n v="0"/>
    <n v="0"/>
    <n v="0"/>
    <n v="0"/>
    <n v="0"/>
    <n v="0"/>
    <n v="96"/>
    <x v="36"/>
    <x v="0"/>
    <x v="0"/>
    <x v="0"/>
  </r>
  <r>
    <s v="Description 1983"/>
    <s v="Code 1983"/>
    <n v="5"/>
    <n v="0"/>
    <n v="0"/>
    <n v="0"/>
    <n v="0"/>
    <n v="0"/>
    <n v="1"/>
    <n v="0"/>
    <n v="0"/>
    <n v="0"/>
    <n v="0"/>
    <x v="74"/>
    <x v="0"/>
    <x v="0"/>
    <x v="0"/>
  </r>
  <r>
    <s v="Description 1984"/>
    <s v="Code 1984"/>
    <n v="0"/>
    <n v="0"/>
    <n v="0"/>
    <n v="0"/>
    <n v="0"/>
    <n v="0"/>
    <n v="0"/>
    <n v="0"/>
    <n v="0"/>
    <n v="0"/>
    <n v="0"/>
    <x v="51"/>
    <x v="0"/>
    <x v="0"/>
    <x v="0"/>
  </r>
  <r>
    <s v="Description 1985"/>
    <s v="Code 1985"/>
    <n v="0"/>
    <n v="0"/>
    <n v="0"/>
    <n v="0"/>
    <n v="0"/>
    <n v="0"/>
    <n v="0"/>
    <n v="0"/>
    <n v="0"/>
    <n v="0"/>
    <n v="2652"/>
    <x v="75"/>
    <x v="0"/>
    <x v="0"/>
    <x v="0"/>
  </r>
  <r>
    <s v="Description 1986"/>
    <s v="Code 1986"/>
    <n v="0"/>
    <n v="0"/>
    <n v="300"/>
    <n v="300"/>
    <n v="300"/>
    <n v="300"/>
    <n v="0"/>
    <n v="500"/>
    <n v="500"/>
    <n v="0"/>
    <n v="1152"/>
    <x v="175"/>
    <x v="0"/>
    <x v="0"/>
    <x v="0"/>
  </r>
  <r>
    <s v="Description 1987"/>
    <s v="Code 1987"/>
    <n v="375"/>
    <n v="0"/>
    <n v="300"/>
    <n v="300"/>
    <n v="300"/>
    <n v="300"/>
    <n v="0"/>
    <n v="500"/>
    <n v="500"/>
    <n v="0"/>
    <n v="0"/>
    <x v="4"/>
    <x v="0"/>
    <x v="0"/>
    <x v="0"/>
  </r>
  <r>
    <s v="Description 1988"/>
    <s v="Code 1988"/>
    <n v="1008"/>
    <n v="300"/>
    <n v="780"/>
    <n v="1260"/>
    <n v="780"/>
    <n v="780"/>
    <n v="780"/>
    <n v="876"/>
    <n v="1260"/>
    <n v="0"/>
    <n v="4800"/>
    <x v="142"/>
    <x v="0"/>
    <x v="0"/>
    <x v="0"/>
  </r>
  <r>
    <s v="Description 1989"/>
    <s v="Code 1989"/>
    <n v="100"/>
    <n v="0"/>
    <n v="400"/>
    <n v="200"/>
    <n v="200"/>
    <n v="200"/>
    <n v="100"/>
    <n v="0"/>
    <n v="200"/>
    <n v="0"/>
    <n v="0"/>
    <x v="31"/>
    <x v="0"/>
    <x v="0"/>
    <x v="0"/>
  </r>
  <r>
    <s v="Description 1990"/>
    <s v="Code 1990"/>
    <n v="0"/>
    <n v="0"/>
    <n v="0"/>
    <n v="0"/>
    <n v="0"/>
    <n v="0"/>
    <n v="0"/>
    <n v="0"/>
    <n v="0"/>
    <n v="0"/>
    <n v="324"/>
    <x v="46"/>
    <x v="0"/>
    <x v="0"/>
    <x v="0"/>
  </r>
  <r>
    <s v="Description 1991"/>
    <s v="Code 1991"/>
    <n v="108"/>
    <n v="0"/>
    <n v="0"/>
    <n v="0"/>
    <n v="0"/>
    <n v="0"/>
    <n v="0"/>
    <n v="0"/>
    <n v="0"/>
    <n v="0"/>
    <n v="1356"/>
    <x v="60"/>
    <x v="0"/>
    <x v="0"/>
    <x v="0"/>
  </r>
  <r>
    <s v="Description 1992"/>
    <s v="Code 1992"/>
    <n v="0"/>
    <n v="0"/>
    <n v="0"/>
    <n v="0"/>
    <n v="0"/>
    <n v="0"/>
    <n v="0"/>
    <n v="0"/>
    <n v="0"/>
    <n v="0"/>
    <n v="50"/>
    <x v="63"/>
    <x v="0"/>
    <x v="0"/>
    <x v="0"/>
  </r>
  <r>
    <s v="Description 1993"/>
    <s v="Code 1993"/>
    <n v="10"/>
    <n v="0"/>
    <n v="10"/>
    <n v="10"/>
    <n v="0"/>
    <n v="0"/>
    <n v="0"/>
    <n v="0"/>
    <n v="0"/>
    <n v="0"/>
    <n v="0"/>
    <x v="106"/>
    <x v="0"/>
    <x v="0"/>
    <x v="0"/>
  </r>
  <r>
    <s v="Description 1994"/>
    <s v="Code 1994"/>
    <n v="0"/>
    <n v="0"/>
    <n v="0"/>
    <n v="0"/>
    <n v="0"/>
    <n v="0"/>
    <n v="0"/>
    <n v="0"/>
    <n v="0"/>
    <n v="0"/>
    <n v="780"/>
    <x v="182"/>
    <x v="0"/>
    <x v="0"/>
    <x v="0"/>
  </r>
  <r>
    <s v="Description 1995"/>
    <s v="Code 1995"/>
    <n v="0"/>
    <n v="0"/>
    <n v="0"/>
    <n v="0"/>
    <n v="0"/>
    <n v="0"/>
    <n v="0"/>
    <n v="0"/>
    <n v="0"/>
    <n v="0"/>
    <n v="0"/>
    <x v="154"/>
    <x v="0"/>
    <x v="0"/>
    <x v="0"/>
  </r>
  <r>
    <s v="Description 1996"/>
    <s v="Code 1996"/>
    <n v="40"/>
    <n v="30"/>
    <n v="65"/>
    <n v="45"/>
    <n v="35"/>
    <n v="40"/>
    <n v="30"/>
    <n v="20"/>
    <n v="50"/>
    <n v="0"/>
    <n v="600"/>
    <x v="185"/>
    <x v="0"/>
    <x v="0"/>
    <x v="0"/>
  </r>
  <r>
    <s v="Description 1997"/>
    <s v="Code 1997"/>
    <n v="10"/>
    <n v="20"/>
    <n v="35"/>
    <n v="15"/>
    <n v="20"/>
    <n v="20"/>
    <n v="0"/>
    <n v="0"/>
    <n v="20"/>
    <n v="0"/>
    <n v="1200"/>
    <x v="170"/>
    <x v="0"/>
    <x v="0"/>
    <x v="0"/>
  </r>
  <r>
    <s v="Description 1998"/>
    <s v="Code 1998"/>
    <n v="50"/>
    <n v="50"/>
    <n v="100"/>
    <n v="60"/>
    <n v="55"/>
    <n v="60"/>
    <n v="30"/>
    <n v="20"/>
    <n v="70"/>
    <n v="0"/>
    <n v="0"/>
    <x v="66"/>
    <x v="0"/>
    <x v="0"/>
    <x v="0"/>
  </r>
  <r>
    <s v="Description 1999"/>
    <s v="Code 1999"/>
    <n v="0"/>
    <n v="0"/>
    <n v="32"/>
    <n v="0"/>
    <n v="32"/>
    <n v="0"/>
    <n v="0"/>
    <n v="32"/>
    <n v="0"/>
    <n v="0"/>
    <n v="78"/>
    <x v="98"/>
    <x v="0"/>
    <x v="0"/>
    <x v="0"/>
  </r>
  <r>
    <s v="Description 2000"/>
    <s v="Code 2000"/>
    <n v="0"/>
    <n v="0"/>
    <n v="0"/>
    <n v="0"/>
    <n v="0"/>
    <n v="0"/>
    <n v="0"/>
    <n v="0"/>
    <n v="0"/>
    <n v="0"/>
    <n v="600"/>
    <x v="55"/>
    <x v="0"/>
    <x v="0"/>
    <x v="0"/>
  </r>
  <r>
    <s v="Description 2001"/>
    <s v="Code 2001"/>
    <n v="2352"/>
    <n v="2058"/>
    <n v="2058"/>
    <n v="2058"/>
    <n v="2058"/>
    <n v="2058"/>
    <n v="1568"/>
    <n v="1470"/>
    <n v="1862"/>
    <n v="0"/>
    <n v="258"/>
    <x v="100"/>
    <x v="0"/>
    <x v="0"/>
    <x v="0"/>
  </r>
  <r>
    <s v="Description 2002"/>
    <s v="Code 2002"/>
    <n v="294"/>
    <n v="196"/>
    <n v="196"/>
    <n v="196"/>
    <n v="196"/>
    <n v="196"/>
    <n v="196"/>
    <n v="196"/>
    <n v="98"/>
    <n v="0"/>
    <n v="278"/>
    <x v="107"/>
    <x v="0"/>
    <x v="0"/>
    <x v="0"/>
  </r>
  <r>
    <s v="Description 2003"/>
    <s v="Code 2003"/>
    <n v="196"/>
    <n v="196"/>
    <n v="196"/>
    <n v="196"/>
    <n v="196"/>
    <n v="196"/>
    <n v="98"/>
    <n v="98"/>
    <n v="98"/>
    <n v="0"/>
    <n v="250"/>
    <x v="156"/>
    <x v="0"/>
    <x v="0"/>
    <x v="0"/>
  </r>
  <r>
    <s v="Description 2004"/>
    <s v="Code 2004"/>
    <n v="725"/>
    <n v="620"/>
    <n v="810"/>
    <n v="720"/>
    <n v="830"/>
    <n v="820"/>
    <n v="510"/>
    <n v="520"/>
    <n v="620"/>
    <n v="0"/>
    <n v="0"/>
    <x v="139"/>
    <x v="0"/>
    <x v="0"/>
    <x v="0"/>
  </r>
  <r>
    <s v="Description 2005"/>
    <s v="Code 2005"/>
    <n v="40"/>
    <n v="45"/>
    <n v="50"/>
    <n v="60"/>
    <n v="40"/>
    <n v="75"/>
    <n v="50"/>
    <n v="40"/>
    <n v="40"/>
    <n v="0"/>
    <n v="0"/>
    <x v="104"/>
    <x v="0"/>
    <x v="0"/>
    <x v="0"/>
  </r>
  <r>
    <s v="Description 2006"/>
    <s v="Code 2006"/>
    <n v="10"/>
    <n v="10"/>
    <n v="20"/>
    <n v="10"/>
    <n v="10"/>
    <n v="10"/>
    <n v="10"/>
    <n v="10"/>
    <n v="10"/>
    <n v="0"/>
    <n v="260"/>
    <x v="155"/>
    <x v="0"/>
    <x v="0"/>
    <x v="0"/>
  </r>
  <r>
    <s v="Description 2007"/>
    <s v="Code 2007"/>
    <n v="0"/>
    <n v="0"/>
    <n v="0"/>
    <n v="0"/>
    <n v="50"/>
    <n v="38"/>
    <n v="20"/>
    <n v="50"/>
    <n v="36"/>
    <n v="0"/>
    <n v="0"/>
    <x v="130"/>
    <x v="0"/>
    <x v="1"/>
    <x v="0"/>
  </r>
  <r>
    <s v="Description 2008"/>
    <s v="Code 2008"/>
    <n v="3.024"/>
    <n v="0"/>
    <n v="0"/>
    <n v="0"/>
    <n v="1.35"/>
    <n v="1.026"/>
    <n v="0.54"/>
    <n v="1.35"/>
    <n v="0.97199999999999998"/>
    <n v="0"/>
    <n v="701"/>
    <x v="144"/>
    <x v="0"/>
    <x v="0"/>
    <x v="0"/>
  </r>
  <r>
    <s v="Description 2009"/>
    <s v="Code 2009"/>
    <n v="50"/>
    <n v="55"/>
    <n v="70"/>
    <n v="70"/>
    <n v="50"/>
    <n v="85"/>
    <n v="60"/>
    <n v="50"/>
    <n v="50"/>
    <n v="0"/>
    <n v="2074"/>
    <x v="65"/>
    <x v="0"/>
    <x v="0"/>
    <x v="0"/>
  </r>
  <r>
    <s v="Description 2010"/>
    <s v="Code 2010"/>
    <n v="0"/>
    <n v="0"/>
    <n v="0"/>
    <n v="0"/>
    <n v="200"/>
    <n v="0"/>
    <n v="0"/>
    <n v="0"/>
    <n v="0"/>
    <n v="0"/>
    <n v="4"/>
    <x v="156"/>
    <x v="0"/>
    <x v="0"/>
    <x v="0"/>
  </r>
  <r>
    <s v="Description 2011"/>
    <s v="Code 2011"/>
    <n v="0"/>
    <n v="0"/>
    <n v="11"/>
    <n v="11"/>
    <n v="11"/>
    <n v="11"/>
    <n v="11"/>
    <n v="11"/>
    <n v="11"/>
    <n v="0"/>
    <n v="0"/>
    <x v="66"/>
    <x v="0"/>
    <x v="0"/>
    <x v="0"/>
  </r>
  <r>
    <s v="Description 2012"/>
    <s v="Code 2012"/>
    <n v="0"/>
    <n v="0"/>
    <n v="0"/>
    <n v="0"/>
    <n v="0"/>
    <n v="0"/>
    <n v="0"/>
    <n v="0"/>
    <n v="0"/>
    <n v="0"/>
    <n v="6"/>
    <x v="92"/>
    <x v="0"/>
    <x v="0"/>
    <x v="0"/>
  </r>
  <r>
    <s v="Description 2013"/>
    <s v="Code 2013"/>
    <n v="10"/>
    <n v="0"/>
    <n v="0"/>
    <n v="10"/>
    <n v="10"/>
    <n v="0"/>
    <n v="0"/>
    <n v="0"/>
    <n v="0"/>
    <n v="0"/>
    <n v="0"/>
    <x v="77"/>
    <x v="0"/>
    <x v="0"/>
    <x v="0"/>
  </r>
  <r>
    <s v="Description 2014"/>
    <s v="Code 2014"/>
    <n v="0"/>
    <n v="0"/>
    <n v="0"/>
    <n v="0"/>
    <n v="0"/>
    <n v="0"/>
    <n v="0"/>
    <n v="0"/>
    <n v="0"/>
    <n v="0"/>
    <n v="30"/>
    <x v="22"/>
    <x v="0"/>
    <x v="0"/>
    <x v="0"/>
  </r>
  <r>
    <s v="Description 2015"/>
    <s v="Code 2015"/>
    <n v="0"/>
    <n v="0"/>
    <n v="0"/>
    <n v="0"/>
    <n v="0"/>
    <n v="0"/>
    <n v="0"/>
    <n v="0"/>
    <n v="0"/>
    <n v="0"/>
    <n v="1583"/>
    <x v="30"/>
    <x v="0"/>
    <x v="0"/>
    <x v="0"/>
  </r>
  <r>
    <s v="Description 2016"/>
    <s v="Code 2016"/>
    <n v="420"/>
    <n v="420"/>
    <n v="420"/>
    <n v="420"/>
    <n v="420"/>
    <n v="600"/>
    <n v="0"/>
    <n v="420"/>
    <n v="420"/>
    <n v="0"/>
    <n v="2572"/>
    <x v="46"/>
    <x v="0"/>
    <x v="0"/>
    <x v="0"/>
  </r>
  <r>
    <s v="Description 2017"/>
    <s v="Code 2017"/>
    <n v="0"/>
    <n v="0"/>
    <n v="720"/>
    <n v="0"/>
    <n v="360"/>
    <n v="360"/>
    <n v="0"/>
    <n v="360"/>
    <n v="600"/>
    <n v="0"/>
    <n v="8046"/>
    <x v="56"/>
    <x v="0"/>
    <x v="0"/>
    <x v="0"/>
  </r>
  <r>
    <s v="Description 2018"/>
    <s v="Code 2018"/>
    <n v="1200"/>
    <n v="0"/>
    <n v="600"/>
    <n v="0"/>
    <n v="0"/>
    <n v="0"/>
    <n v="0"/>
    <n v="0"/>
    <n v="0"/>
    <n v="0"/>
    <n v="1782"/>
    <x v="3"/>
    <x v="0"/>
    <x v="0"/>
    <x v="0"/>
  </r>
  <r>
    <s v="Description 2019"/>
    <s v="Code 2019"/>
    <n v="300"/>
    <n v="300"/>
    <n v="300"/>
    <n v="400"/>
    <n v="0"/>
    <n v="300"/>
    <n v="0"/>
    <n v="0"/>
    <n v="300"/>
    <n v="0"/>
    <n v="624"/>
    <x v="0"/>
    <x v="0"/>
    <x v="0"/>
    <x v="0"/>
  </r>
  <r>
    <s v="Description 2020"/>
    <s v="Code 2020"/>
    <n v="200"/>
    <n v="0"/>
    <n v="200"/>
    <n v="200"/>
    <n v="300"/>
    <n v="200"/>
    <n v="200"/>
    <n v="200"/>
    <n v="200"/>
    <n v="0"/>
    <n v="35"/>
    <x v="58"/>
    <x v="0"/>
    <x v="0"/>
    <x v="0"/>
  </r>
  <r>
    <s v="Description 2021"/>
    <s v="Code 2021"/>
    <n v="1"/>
    <n v="0"/>
    <n v="2"/>
    <n v="2"/>
    <n v="1"/>
    <n v="0"/>
    <n v="0"/>
    <n v="0"/>
    <n v="0"/>
    <n v="0"/>
    <n v="81"/>
    <x v="128"/>
    <x v="0"/>
    <x v="0"/>
    <x v="0"/>
  </r>
  <r>
    <s v="Description 2022"/>
    <s v="Code 2022"/>
    <n v="0"/>
    <n v="0"/>
    <n v="0"/>
    <n v="0"/>
    <n v="0"/>
    <n v="0"/>
    <n v="0"/>
    <n v="0"/>
    <n v="0"/>
    <n v="0"/>
    <n v="2"/>
    <x v="12"/>
    <x v="0"/>
    <x v="0"/>
    <x v="0"/>
  </r>
  <r>
    <s v="Description 2023"/>
    <s v="Code 2023"/>
    <n v="0"/>
    <n v="0"/>
    <n v="1"/>
    <n v="0"/>
    <n v="0"/>
    <n v="0"/>
    <n v="0"/>
    <n v="0"/>
    <n v="0"/>
    <n v="0"/>
    <n v="38"/>
    <x v="18"/>
    <x v="0"/>
    <x v="0"/>
    <x v="0"/>
  </r>
  <r>
    <s v="Description 2024"/>
    <s v="Code 2024"/>
    <n v="0"/>
    <n v="0"/>
    <n v="0"/>
    <n v="0"/>
    <n v="0"/>
    <n v="0"/>
    <n v="0"/>
    <n v="0"/>
    <n v="0"/>
    <n v="0"/>
    <n v="443.995"/>
    <x v="152"/>
    <x v="0"/>
    <x v="0"/>
    <x v="0"/>
  </r>
  <r>
    <s v="Description 2025"/>
    <s v="Code 2025"/>
    <n v="0"/>
    <n v="0"/>
    <n v="0"/>
    <n v="0"/>
    <n v="0"/>
    <n v="0"/>
    <n v="0"/>
    <n v="0"/>
    <n v="0"/>
    <n v="0"/>
    <n v="198.8"/>
    <x v="131"/>
    <x v="0"/>
    <x v="0"/>
    <x v="0"/>
  </r>
  <r>
    <s v="Description 2026"/>
    <s v="Code 2026"/>
    <n v="0"/>
    <n v="0"/>
    <n v="0"/>
    <n v="407.47500000000002"/>
    <n v="0"/>
    <n v="0"/>
    <n v="0"/>
    <n v="0"/>
    <n v="0"/>
    <n v="0"/>
    <n v="544"/>
    <x v="53"/>
    <x v="0"/>
    <x v="0"/>
    <x v="0"/>
  </r>
  <r>
    <s v="Description 2027"/>
    <s v="Code 2027"/>
    <n v="0"/>
    <n v="0"/>
    <n v="0"/>
    <n v="0"/>
    <n v="0"/>
    <n v="0"/>
    <n v="0"/>
    <n v="0"/>
    <n v="0"/>
    <n v="0"/>
    <n v="162"/>
    <x v="72"/>
    <x v="0"/>
    <x v="0"/>
    <x v="0"/>
  </r>
  <r>
    <s v="Description 2028"/>
    <s v="Code 2028"/>
    <n v="0"/>
    <n v="0"/>
    <n v="3.45"/>
    <n v="0"/>
    <n v="0"/>
    <n v="0"/>
    <n v="0"/>
    <n v="0"/>
    <n v="3.45"/>
    <n v="0"/>
    <n v="170"/>
    <x v="71"/>
    <x v="0"/>
    <x v="0"/>
    <x v="0"/>
  </r>
  <r>
    <s v="Description 2029"/>
    <s v="Code 2029"/>
    <n v="0"/>
    <n v="0"/>
    <n v="0"/>
    <n v="0"/>
    <n v="15"/>
    <n v="0"/>
    <n v="0"/>
    <n v="0"/>
    <n v="0"/>
    <n v="0"/>
    <n v="1164"/>
    <x v="69"/>
    <x v="0"/>
    <x v="0"/>
    <x v="0"/>
  </r>
  <r>
    <s v="Description 2030"/>
    <s v="Code 2030"/>
    <n v="0"/>
    <n v="0"/>
    <n v="0"/>
    <n v="0"/>
    <n v="0"/>
    <n v="0"/>
    <n v="0"/>
    <n v="0"/>
    <n v="0"/>
    <n v="0"/>
    <n v="0"/>
    <x v="183"/>
    <x v="0"/>
    <x v="0"/>
    <x v="0"/>
  </r>
  <r>
    <s v="Description 2031"/>
    <s v="Code 2031"/>
    <n v="0"/>
    <n v="0"/>
    <n v="0"/>
    <n v="0"/>
    <n v="0"/>
    <n v="0"/>
    <n v="0"/>
    <n v="0"/>
    <n v="0"/>
    <n v="0"/>
    <n v="130"/>
    <x v="91"/>
    <x v="0"/>
    <x v="0"/>
    <x v="0"/>
  </r>
  <r>
    <s v="Description 2032"/>
    <s v="Code 2032"/>
    <n v="0"/>
    <n v="0"/>
    <n v="0"/>
    <n v="0"/>
    <n v="0"/>
    <n v="0"/>
    <n v="0"/>
    <n v="0"/>
    <n v="0"/>
    <n v="0"/>
    <n v="0"/>
    <x v="2"/>
    <x v="0"/>
    <x v="0"/>
    <x v="0"/>
  </r>
  <r>
    <s v="Description 2033"/>
    <s v="Code 2033"/>
    <n v="0"/>
    <n v="0"/>
    <n v="0"/>
    <n v="0"/>
    <n v="0"/>
    <n v="0"/>
    <n v="0"/>
    <n v="0"/>
    <n v="0"/>
    <n v="0"/>
    <n v="0"/>
    <x v="99"/>
    <x v="0"/>
    <x v="0"/>
    <x v="0"/>
  </r>
  <r>
    <s v="Description 2034"/>
    <s v="Code 2034"/>
    <n v="0"/>
    <n v="0"/>
    <n v="0"/>
    <n v="0"/>
    <n v="0"/>
    <n v="0"/>
    <n v="0"/>
    <n v="0"/>
    <n v="0"/>
    <n v="0"/>
    <n v="872.4"/>
    <x v="2"/>
    <x v="0"/>
    <x v="0"/>
    <x v="0"/>
  </r>
  <r>
    <s v="Description 2035"/>
    <s v="Code 2035"/>
    <n v="0"/>
    <n v="0"/>
    <n v="0"/>
    <n v="0"/>
    <n v="0"/>
    <n v="0"/>
    <n v="0"/>
    <n v="0"/>
    <n v="0"/>
    <n v="0"/>
    <n v="253"/>
    <x v="142"/>
    <x v="0"/>
    <x v="0"/>
    <x v="0"/>
  </r>
  <r>
    <s v="Description 2036"/>
    <s v="Code 2036"/>
    <n v="0"/>
    <n v="0"/>
    <n v="0"/>
    <n v="0"/>
    <n v="0"/>
    <n v="0"/>
    <n v="0"/>
    <n v="0"/>
    <n v="0"/>
    <n v="0"/>
    <n v="0"/>
    <x v="88"/>
    <x v="0"/>
    <x v="0"/>
    <x v="0"/>
  </r>
  <r>
    <s v="Description 2037"/>
    <s v="Code 2037"/>
    <n v="0"/>
    <n v="0"/>
    <n v="0"/>
    <n v="0"/>
    <n v="0"/>
    <n v="0"/>
    <n v="0"/>
    <n v="0"/>
    <n v="5.0999999999999996"/>
    <n v="0"/>
    <n v="0"/>
    <x v="116"/>
    <x v="0"/>
    <x v="0"/>
    <x v="0"/>
  </r>
  <r>
    <s v="Description 2038"/>
    <s v="Code 2038"/>
    <n v="0"/>
    <n v="0"/>
    <n v="0"/>
    <n v="0"/>
    <n v="0"/>
    <n v="0"/>
    <n v="0"/>
    <n v="0"/>
    <n v="0"/>
    <n v="0"/>
    <n v="429"/>
    <x v="155"/>
    <x v="0"/>
    <x v="0"/>
    <x v="0"/>
  </r>
  <r>
    <s v="Description 2039"/>
    <s v="Code 2039"/>
    <n v="0"/>
    <n v="0"/>
    <n v="0"/>
    <n v="3.95"/>
    <n v="39.5"/>
    <n v="0"/>
    <n v="0"/>
    <n v="0"/>
    <n v="3.95"/>
    <n v="0"/>
    <n v="2934.4"/>
    <x v="56"/>
    <x v="0"/>
    <x v="0"/>
    <x v="0"/>
  </r>
  <r>
    <s v="Description 2040"/>
    <s v="Code 2040"/>
    <n v="1036.8"/>
    <n v="0"/>
    <n v="1036.8"/>
    <n v="363"/>
    <n v="1036.8"/>
    <n v="1399.8"/>
    <n v="1036.8"/>
    <n v="363"/>
    <n v="0"/>
    <n v="0"/>
    <n v="0"/>
    <x v="135"/>
    <x v="0"/>
    <x v="0"/>
    <x v="0"/>
  </r>
  <r>
    <s v="Description 2041"/>
    <s v="Code 2041"/>
    <n v="0.27"/>
    <n v="0"/>
    <n v="5.4"/>
    <n v="0.54"/>
    <n v="0.81"/>
    <n v="0"/>
    <n v="0.54"/>
    <n v="1.35"/>
    <n v="0"/>
    <n v="0"/>
    <n v="0"/>
    <x v="159"/>
    <x v="0"/>
    <x v="0"/>
    <x v="0"/>
  </r>
  <r>
    <s v="Description 2042"/>
    <s v="Code 2042"/>
    <n v="0"/>
    <n v="0"/>
    <n v="0"/>
    <n v="0"/>
    <n v="0"/>
    <n v="0"/>
    <n v="0"/>
    <n v="0"/>
    <n v="0"/>
    <n v="0"/>
    <n v="214"/>
    <x v="35"/>
    <x v="0"/>
    <x v="1"/>
    <x v="0"/>
  </r>
  <r>
    <s v="Description 2043"/>
    <s v="Code 2043"/>
    <n v="0"/>
    <n v="0"/>
    <n v="0"/>
    <n v="0"/>
    <n v="0"/>
    <n v="0"/>
    <n v="0"/>
    <n v="52"/>
    <n v="0"/>
    <n v="0"/>
    <n v="0"/>
    <x v="16"/>
    <x v="0"/>
    <x v="0"/>
    <x v="0"/>
  </r>
  <r>
    <s v="Description 2044"/>
    <s v="Code 2044"/>
    <n v="0"/>
    <n v="0"/>
    <n v="0"/>
    <n v="0"/>
    <n v="0"/>
    <n v="0"/>
    <n v="0"/>
    <n v="0"/>
    <n v="0"/>
    <n v="0"/>
    <n v="0"/>
    <x v="27"/>
    <x v="0"/>
    <x v="0"/>
    <x v="0"/>
  </r>
  <r>
    <s v="Description 2045"/>
    <s v="Code 2045"/>
    <n v="0"/>
    <n v="0"/>
    <n v="0"/>
    <n v="0"/>
    <n v="0"/>
    <n v="0"/>
    <n v="0"/>
    <n v="0"/>
    <n v="24.8"/>
    <n v="0"/>
    <n v="938"/>
    <x v="29"/>
    <x v="0"/>
    <x v="0"/>
    <x v="0"/>
  </r>
  <r>
    <s v="Description 2046"/>
    <s v="Code 2046"/>
    <n v="0"/>
    <n v="0"/>
    <n v="0"/>
    <n v="0"/>
    <n v="0"/>
    <n v="0"/>
    <n v="0"/>
    <n v="0"/>
    <n v="0"/>
    <n v="0"/>
    <n v="0"/>
    <x v="118"/>
    <x v="0"/>
    <x v="0"/>
    <x v="0"/>
  </r>
  <r>
    <s v="Description 2047"/>
    <s v="Code 2047"/>
    <n v="0.3"/>
    <n v="0"/>
    <n v="6"/>
    <n v="0.6"/>
    <n v="0.9"/>
    <n v="0"/>
    <n v="0.6"/>
    <n v="1.5"/>
    <n v="0"/>
    <n v="0"/>
    <n v="1136"/>
    <x v="110"/>
    <x v="0"/>
    <x v="0"/>
    <x v="0"/>
  </r>
  <r>
    <s v="Description 2048"/>
    <s v="Code 2048"/>
    <n v="6.9000000000000006E-2"/>
    <n v="0"/>
    <n v="0"/>
    <n v="0"/>
    <n v="0"/>
    <n v="0"/>
    <n v="0"/>
    <n v="0"/>
    <n v="0"/>
    <n v="0"/>
    <n v="280"/>
    <x v="176"/>
    <x v="0"/>
    <x v="0"/>
    <x v="0"/>
  </r>
  <r>
    <s v="Description 2049"/>
    <s v="Code 2049"/>
    <n v="0"/>
    <n v="0"/>
    <n v="0"/>
    <n v="0"/>
    <n v="0"/>
    <n v="0"/>
    <n v="0"/>
    <n v="0"/>
    <n v="0"/>
    <n v="0"/>
    <n v="286"/>
    <x v="106"/>
    <x v="0"/>
    <x v="0"/>
    <x v="0"/>
  </r>
  <r>
    <s v="Description 2050"/>
    <s v="Code 2050"/>
    <n v="0"/>
    <n v="0"/>
    <n v="0"/>
    <n v="0"/>
    <n v="0"/>
    <n v="0"/>
    <n v="0"/>
    <n v="0"/>
    <n v="0"/>
    <n v="0"/>
    <n v="764"/>
    <x v="164"/>
    <x v="0"/>
    <x v="0"/>
    <x v="0"/>
  </r>
  <r>
    <s v="Description 2051"/>
    <s v="Code 2051"/>
    <n v="0"/>
    <n v="0"/>
    <n v="24.6"/>
    <n v="0"/>
    <n v="0"/>
    <n v="0"/>
    <n v="65.599999999999994"/>
    <n v="0"/>
    <n v="0"/>
    <n v="0"/>
    <n v="0"/>
    <x v="31"/>
    <x v="0"/>
    <x v="0"/>
    <x v="0"/>
  </r>
  <r>
    <s v="Description 2052"/>
    <s v="Code 2052"/>
    <n v="0"/>
    <n v="0"/>
    <n v="0"/>
    <n v="0"/>
    <n v="0"/>
    <n v="0"/>
    <n v="0"/>
    <n v="0"/>
    <n v="0"/>
    <n v="0"/>
    <n v="253"/>
    <x v="52"/>
    <x v="0"/>
    <x v="0"/>
    <x v="0"/>
  </r>
  <r>
    <s v="Description 2053"/>
    <s v="Code 2053"/>
    <n v="0"/>
    <n v="0"/>
    <n v="0"/>
    <n v="0"/>
    <n v="0"/>
    <n v="0"/>
    <n v="10.220000000000001"/>
    <n v="0"/>
    <n v="0"/>
    <n v="0"/>
    <n v="0"/>
    <x v="191"/>
    <x v="0"/>
    <x v="0"/>
    <x v="0"/>
  </r>
  <r>
    <s v="Description 2054"/>
    <s v="Code 2054"/>
    <n v="0"/>
    <n v="0"/>
    <n v="0"/>
    <n v="0"/>
    <n v="0"/>
    <n v="0"/>
    <n v="23.835000000000001"/>
    <n v="0"/>
    <n v="0"/>
    <n v="0"/>
    <n v="0"/>
    <x v="42"/>
    <x v="0"/>
    <x v="1"/>
    <x v="0"/>
  </r>
  <r>
    <s v="Description 2055"/>
    <s v="Code 2055"/>
    <n v="0"/>
    <n v="0"/>
    <n v="0"/>
    <n v="0"/>
    <n v="0"/>
    <n v="0"/>
    <n v="22.364999999999998"/>
    <n v="0"/>
    <n v="0"/>
    <n v="0"/>
    <n v="0"/>
    <x v="109"/>
    <x v="0"/>
    <x v="0"/>
    <x v="0"/>
  </r>
  <r>
    <s v="Description 2056"/>
    <s v="Code 2056"/>
    <n v="0"/>
    <n v="0"/>
    <n v="0"/>
    <n v="0"/>
    <n v="0"/>
    <n v="0"/>
    <n v="0"/>
    <n v="0"/>
    <n v="0"/>
    <n v="0"/>
    <n v="29"/>
    <x v="53"/>
    <x v="0"/>
    <x v="0"/>
    <x v="0"/>
  </r>
  <r>
    <s v="Description 2057"/>
    <s v="Code 2057"/>
    <n v="0"/>
    <n v="0"/>
    <n v="0"/>
    <n v="0"/>
    <n v="0"/>
    <n v="0"/>
    <n v="0"/>
    <n v="0"/>
    <n v="0"/>
    <n v="0"/>
    <n v="0"/>
    <x v="151"/>
    <x v="0"/>
    <x v="0"/>
    <x v="0"/>
  </r>
  <r>
    <s v="Description 2058"/>
    <s v="Code 2058"/>
    <n v="0"/>
    <n v="0"/>
    <n v="0"/>
    <n v="0"/>
    <n v="0"/>
    <n v="0"/>
    <n v="0"/>
    <n v="0"/>
    <n v="0"/>
    <n v="0"/>
    <n v="77"/>
    <x v="144"/>
    <x v="0"/>
    <x v="0"/>
    <x v="0"/>
  </r>
  <r>
    <s v="Description 2059"/>
    <s v="Code 2059"/>
    <n v="0"/>
    <n v="0"/>
    <n v="0"/>
    <n v="0"/>
    <n v="0"/>
    <n v="0"/>
    <n v="0"/>
    <n v="0"/>
    <n v="0"/>
    <n v="0"/>
    <n v="80"/>
    <x v="131"/>
    <x v="0"/>
    <x v="0"/>
    <x v="0"/>
  </r>
  <r>
    <s v="Description 2060"/>
    <s v="Code 2060"/>
    <n v="0"/>
    <n v="0"/>
    <n v="0"/>
    <n v="0"/>
    <n v="0"/>
    <n v="0"/>
    <n v="0"/>
    <n v="0"/>
    <n v="0"/>
    <n v="0"/>
    <n v="3412"/>
    <x v="110"/>
    <x v="0"/>
    <x v="0"/>
    <x v="0"/>
  </r>
  <r>
    <s v="Description 2061"/>
    <s v="Code 2061"/>
    <n v="1972"/>
    <n v="0"/>
    <n v="0"/>
    <n v="2477.5"/>
    <n v="30"/>
    <n v="0"/>
    <n v="0"/>
    <n v="0"/>
    <n v="0"/>
    <n v="0"/>
    <n v="1051"/>
    <x v="4"/>
    <x v="0"/>
    <x v="0"/>
    <x v="0"/>
  </r>
  <r>
    <s v="Description 2062"/>
    <s v="Code 2062"/>
    <n v="0"/>
    <n v="0"/>
    <n v="0"/>
    <n v="0"/>
    <n v="0"/>
    <n v="0"/>
    <n v="892"/>
    <n v="0"/>
    <n v="0"/>
    <n v="0"/>
    <n v="964"/>
    <x v="26"/>
    <x v="0"/>
    <x v="1"/>
    <x v="0"/>
  </r>
  <r>
    <s v="Description 2063"/>
    <s v="Code 2063"/>
    <n v="0"/>
    <n v="0"/>
    <n v="0"/>
    <n v="1894"/>
    <n v="0"/>
    <n v="0"/>
    <n v="0"/>
    <n v="0"/>
    <n v="0"/>
    <n v="0"/>
    <n v="80"/>
    <x v="109"/>
    <x v="0"/>
    <x v="0"/>
    <x v="0"/>
  </r>
  <r>
    <s v="Description 2064"/>
    <s v="Code 2064"/>
    <n v="0"/>
    <n v="0"/>
    <n v="0"/>
    <n v="0"/>
    <n v="0"/>
    <n v="0"/>
    <n v="0"/>
    <n v="0"/>
    <n v="0"/>
    <n v="0"/>
    <n v="3"/>
    <x v="137"/>
    <x v="0"/>
    <x v="1"/>
    <x v="0"/>
  </r>
  <r>
    <s v="Description 2065"/>
    <s v="Code 2065"/>
    <n v="0"/>
    <n v="0"/>
    <n v="0"/>
    <n v="0"/>
    <n v="0"/>
    <n v="0"/>
    <n v="0"/>
    <n v="0"/>
    <n v="0"/>
    <n v="0"/>
    <n v="103"/>
    <x v="92"/>
    <x v="0"/>
    <x v="0"/>
    <x v="0"/>
  </r>
  <r>
    <s v="Description 2066"/>
    <s v="Code 2066"/>
    <n v="0"/>
    <n v="0"/>
    <n v="0"/>
    <n v="0"/>
    <n v="0"/>
    <n v="0"/>
    <n v="0"/>
    <n v="0"/>
    <n v="0"/>
    <n v="0"/>
    <n v="7687"/>
    <x v="149"/>
    <x v="0"/>
    <x v="0"/>
    <x v="0"/>
  </r>
  <r>
    <s v="Description 2067"/>
    <s v="Code 2067"/>
    <n v="0"/>
    <n v="0"/>
    <n v="0"/>
    <n v="0"/>
    <n v="0"/>
    <n v="0"/>
    <n v="0"/>
    <n v="0"/>
    <n v="0"/>
    <n v="0"/>
    <n v="2970"/>
    <x v="193"/>
    <x v="0"/>
    <x v="0"/>
    <x v="0"/>
  </r>
  <r>
    <s v="Description 2068"/>
    <s v="Code 2068"/>
    <n v="0"/>
    <n v="0"/>
    <n v="0"/>
    <n v="0"/>
    <n v="0"/>
    <n v="0"/>
    <n v="0"/>
    <n v="30"/>
    <n v="0"/>
    <n v="0"/>
    <n v="101"/>
    <x v="110"/>
    <x v="0"/>
    <x v="0"/>
    <x v="0"/>
  </r>
  <r>
    <s v="Description 2069"/>
    <s v="Code 2069"/>
    <n v="0"/>
    <n v="0"/>
    <n v="4"/>
    <n v="4"/>
    <n v="0"/>
    <n v="0"/>
    <n v="0"/>
    <n v="6"/>
    <n v="0"/>
    <n v="0"/>
    <n v="0"/>
    <x v="104"/>
    <x v="0"/>
    <x v="0"/>
    <x v="0"/>
  </r>
  <r>
    <s v="Description 2070"/>
    <s v="Code 2070"/>
    <n v="0"/>
    <n v="0"/>
    <n v="0"/>
    <n v="0"/>
    <n v="0"/>
    <n v="0"/>
    <n v="0"/>
    <n v="0"/>
    <n v="0"/>
    <n v="0"/>
    <n v="440"/>
    <x v="185"/>
    <x v="0"/>
    <x v="0"/>
    <x v="0"/>
  </r>
  <r>
    <s v="Description 2071"/>
    <s v="Code 2071"/>
    <n v="0"/>
    <n v="0"/>
    <n v="0"/>
    <n v="0"/>
    <n v="0"/>
    <n v="0"/>
    <n v="0"/>
    <n v="20"/>
    <n v="0"/>
    <n v="0"/>
    <n v="1500"/>
    <x v="121"/>
    <x v="0"/>
    <x v="0"/>
    <x v="0"/>
  </r>
  <r>
    <s v="Description 2072"/>
    <s v="Code 2072"/>
    <n v="50"/>
    <n v="50"/>
    <n v="180"/>
    <n v="140"/>
    <n v="135"/>
    <n v="220"/>
    <n v="30"/>
    <n v="20"/>
    <n v="230"/>
    <n v="0"/>
    <n v="0"/>
    <x v="63"/>
    <x v="0"/>
    <x v="0"/>
    <x v="0"/>
  </r>
  <r>
    <s v="Description 2073"/>
    <s v="Code 2073"/>
    <n v="156"/>
    <n v="156"/>
    <n v="168"/>
    <n v="132"/>
    <n v="162"/>
    <n v="144"/>
    <n v="132"/>
    <n v="132"/>
    <n v="108"/>
    <n v="0"/>
    <n v="0"/>
    <x v="105"/>
    <x v="0"/>
    <x v="1"/>
    <x v="0"/>
  </r>
  <r>
    <s v="Description 2074"/>
    <s v="Code 2074"/>
    <n v="0"/>
    <n v="0"/>
    <n v="0"/>
    <n v="0"/>
    <n v="0"/>
    <n v="0"/>
    <n v="0"/>
    <n v="0"/>
    <n v="0"/>
    <n v="0"/>
    <n v="0"/>
    <x v="16"/>
    <x v="0"/>
    <x v="0"/>
    <x v="0"/>
  </r>
  <r>
    <s v="Description 2075"/>
    <s v="Code 2075"/>
    <n v="0"/>
    <n v="0"/>
    <n v="150"/>
    <n v="0"/>
    <n v="0"/>
    <n v="150"/>
    <n v="0"/>
    <n v="0"/>
    <n v="0"/>
    <n v="0"/>
    <n v="79"/>
    <x v="55"/>
    <x v="0"/>
    <x v="0"/>
    <x v="0"/>
  </r>
  <r>
    <s v="Description 2076"/>
    <s v="Code 2076"/>
    <n v="0"/>
    <n v="0"/>
    <n v="0"/>
    <n v="2"/>
    <n v="0"/>
    <n v="0"/>
    <n v="0"/>
    <n v="8"/>
    <n v="0"/>
    <n v="0"/>
    <n v="52"/>
    <x v="153"/>
    <x v="0"/>
    <x v="0"/>
    <x v="0"/>
  </r>
  <r>
    <s v="Description 2077"/>
    <s v="Code 2077"/>
    <n v="0"/>
    <n v="0"/>
    <n v="0"/>
    <n v="3"/>
    <n v="0"/>
    <n v="0"/>
    <n v="25"/>
    <n v="12"/>
    <n v="0"/>
    <n v="0"/>
    <n v="28"/>
    <x v="4"/>
    <x v="0"/>
    <x v="0"/>
    <x v="0"/>
  </r>
  <r>
    <s v="Description 2078"/>
    <s v="Code 2078"/>
    <n v="0"/>
    <n v="0"/>
    <n v="0"/>
    <n v="0"/>
    <n v="0"/>
    <n v="0"/>
    <n v="0"/>
    <n v="0"/>
    <n v="0"/>
    <n v="0"/>
    <n v="173"/>
    <x v="54"/>
    <x v="0"/>
    <x v="0"/>
    <x v="0"/>
  </r>
  <r>
    <s v="Description 2079"/>
    <s v="Code 2079"/>
    <n v="0"/>
    <n v="0"/>
    <n v="0"/>
    <n v="0"/>
    <n v="0"/>
    <n v="0"/>
    <n v="0"/>
    <n v="0"/>
    <n v="0"/>
    <n v="0"/>
    <n v="0"/>
    <x v="68"/>
    <x v="0"/>
    <x v="0"/>
    <x v="0"/>
  </r>
  <r>
    <s v="Description 2080"/>
    <s v="Code 2080"/>
    <n v="0"/>
    <n v="0"/>
    <n v="0"/>
    <n v="0"/>
    <n v="0"/>
    <n v="0"/>
    <n v="0"/>
    <n v="0"/>
    <n v="0"/>
    <n v="0"/>
    <n v="190"/>
    <x v="155"/>
    <x v="0"/>
    <x v="0"/>
    <x v="0"/>
  </r>
  <r>
    <s v="Description 2081"/>
    <s v="Code 2081"/>
    <n v="0"/>
    <n v="0"/>
    <n v="0"/>
    <n v="1"/>
    <n v="0"/>
    <n v="0"/>
    <n v="0"/>
    <n v="4"/>
    <n v="0"/>
    <n v="0"/>
    <n v="0"/>
    <x v="113"/>
    <x v="0"/>
    <x v="0"/>
    <x v="0"/>
  </r>
  <r>
    <s v="Description 2082"/>
    <s v="Code 2082"/>
    <n v="0"/>
    <n v="0"/>
    <n v="0"/>
    <n v="0"/>
    <n v="0"/>
    <n v="0"/>
    <n v="0"/>
    <n v="0"/>
    <n v="0"/>
    <n v="0"/>
    <n v="52"/>
    <x v="195"/>
    <x v="0"/>
    <x v="0"/>
    <x v="0"/>
  </r>
  <r>
    <s v="Description 2083"/>
    <s v="Code 2083"/>
    <n v="0"/>
    <n v="0"/>
    <n v="0"/>
    <n v="0"/>
    <n v="0"/>
    <n v="0"/>
    <n v="0"/>
    <n v="0"/>
    <n v="0"/>
    <n v="0"/>
    <n v="54"/>
    <x v="48"/>
    <x v="0"/>
    <x v="0"/>
    <x v="0"/>
  </r>
  <r>
    <s v="Description 2084"/>
    <s v="Code 2084"/>
    <n v="0"/>
    <n v="0"/>
    <n v="0"/>
    <n v="0"/>
    <n v="0"/>
    <n v="0"/>
    <n v="0"/>
    <n v="0"/>
    <n v="0"/>
    <n v="0"/>
    <n v="1510"/>
    <x v="183"/>
    <x v="0"/>
    <x v="0"/>
    <x v="0"/>
  </r>
  <r>
    <s v="Description 2085"/>
    <s v="Code 2085"/>
    <n v="7666"/>
    <n v="5663"/>
    <n v="7260"/>
    <n v="7382"/>
    <n v="6605"/>
    <n v="7425"/>
    <n v="5961"/>
    <n v="5447"/>
    <n v="5947"/>
    <n v="0"/>
    <n v="1093"/>
    <x v="114"/>
    <x v="0"/>
    <x v="0"/>
    <x v="0"/>
  </r>
  <r>
    <s v="Description 2086"/>
    <s v="Code 2086"/>
    <n v="17482"/>
    <n v="12312"/>
    <n v="15204"/>
    <n v="15420"/>
    <n v="15906"/>
    <n v="15762"/>
    <n v="13008"/>
    <n v="14776"/>
    <n v="13392"/>
    <n v="0"/>
    <n v="0"/>
    <x v="166"/>
    <x v="0"/>
    <x v="0"/>
    <x v="0"/>
  </r>
  <r>
    <s v="Description 2087"/>
    <s v="Code 2087"/>
    <n v="100"/>
    <n v="110"/>
    <n v="140"/>
    <n v="140"/>
    <n v="100"/>
    <n v="170"/>
    <n v="120"/>
    <n v="100"/>
    <n v="100"/>
    <n v="0"/>
    <n v="0"/>
    <x v="38"/>
    <x v="0"/>
    <x v="0"/>
    <x v="0"/>
  </r>
  <r>
    <s v="Description 2088"/>
    <s v="Code 2088"/>
    <n v="1080"/>
    <n v="860"/>
    <n v="1218"/>
    <n v="1020"/>
    <n v="908"/>
    <n v="994"/>
    <n v="604"/>
    <n v="594"/>
    <n v="683"/>
    <n v="0"/>
    <n v="15"/>
    <x v="50"/>
    <x v="0"/>
    <x v="0"/>
    <x v="0"/>
  </r>
  <r>
    <s v="Description 2089"/>
    <s v="Code 2089"/>
    <n v="0"/>
    <n v="0"/>
    <n v="4"/>
    <n v="4"/>
    <n v="0"/>
    <n v="0"/>
    <n v="0"/>
    <n v="6"/>
    <n v="0"/>
    <n v="0"/>
    <n v="9132"/>
    <x v="185"/>
    <x v="0"/>
    <x v="0"/>
    <x v="0"/>
  </r>
  <r>
    <s v="Description 2090"/>
    <s v="Code 2090"/>
    <n v="6"/>
    <n v="0"/>
    <n v="1"/>
    <n v="2"/>
    <n v="1"/>
    <n v="0"/>
    <n v="1"/>
    <n v="1"/>
    <n v="0"/>
    <n v="0"/>
    <n v="19"/>
    <x v="159"/>
    <x v="0"/>
    <x v="0"/>
    <x v="0"/>
  </r>
  <r>
    <s v="Description 2091"/>
    <s v="Code 2091"/>
    <n v="0"/>
    <n v="0"/>
    <n v="0"/>
    <n v="0"/>
    <n v="0"/>
    <n v="0"/>
    <n v="0"/>
    <n v="10"/>
    <n v="0"/>
    <n v="0"/>
    <n v="0"/>
    <x v="100"/>
    <x v="0"/>
    <x v="0"/>
    <x v="0"/>
  </r>
  <r>
    <s v="Description 2092"/>
    <s v="Code 2092"/>
    <n v="0"/>
    <n v="0"/>
    <n v="0"/>
    <n v="0"/>
    <n v="0"/>
    <n v="500"/>
    <n v="0"/>
    <n v="0"/>
    <n v="0"/>
    <n v="0"/>
    <n v="0"/>
    <x v="108"/>
    <x v="0"/>
    <x v="1"/>
    <x v="0"/>
  </r>
  <r>
    <s v="Description 2093"/>
    <s v="Code 2093"/>
    <n v="0"/>
    <n v="0"/>
    <n v="0"/>
    <n v="0"/>
    <n v="0"/>
    <n v="0"/>
    <n v="0"/>
    <n v="0"/>
    <n v="0"/>
    <n v="0"/>
    <n v="0"/>
    <x v="199"/>
    <x v="0"/>
    <x v="0"/>
    <x v="0"/>
  </r>
  <r>
    <s v="Description 2094"/>
    <s v="Code 2094"/>
    <n v="0"/>
    <n v="0"/>
    <n v="0"/>
    <n v="0"/>
    <n v="0"/>
    <n v="0"/>
    <n v="0"/>
    <n v="0"/>
    <n v="0"/>
    <n v="0"/>
    <n v="0"/>
    <x v="49"/>
    <x v="0"/>
    <x v="0"/>
    <x v="0"/>
  </r>
  <r>
    <s v="Description 2095"/>
    <s v="Code 2095"/>
    <n v="0"/>
    <n v="0"/>
    <n v="0"/>
    <n v="0"/>
    <n v="0"/>
    <n v="0"/>
    <n v="0"/>
    <n v="0"/>
    <n v="0"/>
    <n v="0"/>
    <n v="0"/>
    <x v="197"/>
    <x v="0"/>
    <x v="0"/>
    <x v="0"/>
  </r>
  <r>
    <s v="Description 2096"/>
    <s v="Code 2096"/>
    <n v="0"/>
    <n v="0"/>
    <n v="0"/>
    <n v="0"/>
    <n v="0"/>
    <n v="0"/>
    <n v="0"/>
    <n v="0"/>
    <n v="0"/>
    <n v="0"/>
    <n v="0"/>
    <x v="93"/>
    <x v="0"/>
    <x v="0"/>
    <x v="0"/>
  </r>
  <r>
    <s v="Description 2097"/>
    <s v="Code 2097"/>
    <n v="0"/>
    <n v="0"/>
    <n v="0"/>
    <n v="0"/>
    <n v="0"/>
    <n v="0"/>
    <n v="0"/>
    <n v="0"/>
    <n v="0"/>
    <n v="0"/>
    <n v="0"/>
    <x v="0"/>
    <x v="0"/>
    <x v="0"/>
    <x v="0"/>
  </r>
  <r>
    <s v="Description 2098"/>
    <s v="Code 2098"/>
    <n v="0"/>
    <n v="0"/>
    <n v="0"/>
    <n v="0"/>
    <n v="0"/>
    <n v="0"/>
    <n v="0"/>
    <n v="0"/>
    <n v="0"/>
    <n v="0"/>
    <n v="0"/>
    <x v="79"/>
    <x v="0"/>
    <x v="0"/>
    <x v="0"/>
  </r>
  <r>
    <s v="Description 2099"/>
    <s v="Code 2099"/>
    <n v="0"/>
    <n v="0"/>
    <n v="0"/>
    <n v="0"/>
    <n v="0"/>
    <n v="0"/>
    <n v="0"/>
    <n v="0"/>
    <n v="0"/>
    <n v="0"/>
    <n v="0"/>
    <x v="75"/>
    <x v="0"/>
    <x v="0"/>
    <x v="0"/>
  </r>
  <r>
    <s v="Description 2100"/>
    <s v="Code 2100"/>
    <n v="0"/>
    <n v="0"/>
    <n v="0"/>
    <n v="0"/>
    <n v="0"/>
    <n v="0"/>
    <n v="0"/>
    <n v="0"/>
    <n v="0"/>
    <n v="0"/>
    <n v="0"/>
    <x v="56"/>
    <x v="0"/>
    <x v="0"/>
    <x v="0"/>
  </r>
  <r>
    <s v="Description 2101"/>
    <s v="Code 2101"/>
    <n v="0"/>
    <n v="0"/>
    <n v="0"/>
    <n v="0"/>
    <n v="0"/>
    <n v="0"/>
    <n v="0"/>
    <n v="0"/>
    <n v="0"/>
    <n v="0"/>
    <n v="0"/>
    <x v="197"/>
    <x v="0"/>
    <x v="0"/>
    <x v="0"/>
  </r>
  <r>
    <s v="Description 2102"/>
    <s v="Code 2102"/>
    <n v="0"/>
    <n v="0"/>
    <n v="0"/>
    <n v="0"/>
    <n v="0"/>
    <n v="0"/>
    <n v="0"/>
    <n v="0"/>
    <n v="0"/>
    <n v="0"/>
    <n v="0"/>
    <x v="99"/>
    <x v="0"/>
    <x v="0"/>
    <x v="0"/>
  </r>
  <r>
    <s v="Description 2103"/>
    <s v="Code 2103"/>
    <n v="0"/>
    <n v="0"/>
    <n v="0"/>
    <n v="0"/>
    <n v="0"/>
    <n v="0"/>
    <n v="0"/>
    <n v="0"/>
    <n v="0"/>
    <n v="0"/>
    <n v="238"/>
    <x v="116"/>
    <x v="0"/>
    <x v="0"/>
    <x v="0"/>
  </r>
  <r>
    <s v="Description 2104"/>
    <s v="Code 2104"/>
    <n v="0"/>
    <n v="0"/>
    <n v="0"/>
    <n v="0"/>
    <n v="0"/>
    <n v="0"/>
    <n v="0"/>
    <n v="0"/>
    <n v="0"/>
    <n v="0"/>
    <n v="10"/>
    <x v="148"/>
    <x v="0"/>
    <x v="0"/>
    <x v="0"/>
  </r>
  <r>
    <s v="Description 2105"/>
    <s v="Code 2105"/>
    <n v="0"/>
    <n v="2"/>
    <n v="2"/>
    <n v="2"/>
    <n v="2"/>
    <n v="2"/>
    <n v="3"/>
    <n v="2"/>
    <n v="2"/>
    <n v="0"/>
    <n v="17.899999999999999"/>
    <x v="109"/>
    <x v="0"/>
    <x v="0"/>
    <x v="0"/>
  </r>
  <r>
    <s v="Description 2106"/>
    <s v="Code 2106"/>
    <n v="11.9"/>
    <n v="11.2"/>
    <n v="8.4"/>
    <n v="16.8"/>
    <n v="11.8"/>
    <n v="10.3"/>
    <n v="9.5"/>
    <n v="8.6999999999999993"/>
    <n v="8.8000000000000007"/>
    <n v="0"/>
    <n v="2.4900000000000002"/>
    <x v="26"/>
    <x v="0"/>
    <x v="1"/>
    <x v="0"/>
  </r>
  <r>
    <s v="Description 2107"/>
    <s v="Code 2107"/>
    <n v="1.64"/>
    <n v="2.74"/>
    <n v="1.2"/>
    <n v="3.4"/>
    <n v="2.2999999999999998"/>
    <n v="1.86"/>
    <n v="1.86"/>
    <n v="2.52"/>
    <n v="1.42"/>
    <n v="0"/>
    <n v="15"/>
    <x v="61"/>
    <x v="0"/>
    <x v="0"/>
    <x v="0"/>
  </r>
  <r>
    <s v="Description 2108"/>
    <s v="Code 2108"/>
    <n v="64.14"/>
    <n v="26.54"/>
    <n v="64.709999999999994"/>
    <n v="66.239999999999995"/>
    <n v="45.9"/>
    <n v="38.06"/>
    <n v="39.26"/>
    <n v="40.520000000000003"/>
    <n v="37.82"/>
    <n v="0"/>
    <n v="96"/>
    <x v="70"/>
    <x v="0"/>
    <x v="0"/>
    <x v="0"/>
  </r>
  <r>
    <s v="Description 2109"/>
    <s v="Code 2109"/>
    <n v="0"/>
    <n v="0"/>
    <n v="0"/>
    <n v="0"/>
    <n v="0"/>
    <n v="0"/>
    <n v="0"/>
    <n v="0"/>
    <n v="0"/>
    <n v="0"/>
    <n v="337"/>
    <x v="81"/>
    <x v="0"/>
    <x v="0"/>
    <x v="0"/>
  </r>
  <r>
    <s v="Description 2110"/>
    <s v="Code 2110"/>
    <n v="0"/>
    <n v="0"/>
    <n v="1000"/>
    <n v="0"/>
    <n v="0"/>
    <n v="0"/>
    <n v="0"/>
    <n v="0"/>
    <n v="0"/>
    <n v="0"/>
    <n v="450"/>
    <x v="108"/>
    <x v="0"/>
    <x v="1"/>
    <x v="0"/>
  </r>
  <r>
    <s v="Description 2111"/>
    <s v="Code 2111"/>
    <n v="100"/>
    <n v="10"/>
    <n v="60"/>
    <n v="40"/>
    <n v="30"/>
    <n v="40"/>
    <n v="20"/>
    <n v="0"/>
    <n v="70"/>
    <n v="0"/>
    <n v="0"/>
    <x v="47"/>
    <x v="0"/>
    <x v="0"/>
    <x v="0"/>
  </r>
  <r>
    <s v="Description 2112"/>
    <s v="Code 2112"/>
    <n v="1600"/>
    <n v="0"/>
    <n v="100"/>
    <n v="1000"/>
    <n v="0"/>
    <n v="0"/>
    <n v="0"/>
    <n v="0"/>
    <n v="0"/>
    <n v="0"/>
    <n v="459"/>
    <x v="54"/>
    <x v="0"/>
    <x v="0"/>
    <x v="0"/>
  </r>
  <r>
    <s v="Description 2113"/>
    <s v="Code 2113"/>
    <n v="0"/>
    <n v="0"/>
    <n v="0"/>
    <n v="0"/>
    <n v="0"/>
    <n v="0"/>
    <n v="0"/>
    <n v="0"/>
    <n v="0"/>
    <n v="0"/>
    <n v="50"/>
    <x v="162"/>
    <x v="0"/>
    <x v="0"/>
    <x v="0"/>
  </r>
  <r>
    <s v="Description 2114"/>
    <s v="Code 2114"/>
    <n v="0"/>
    <n v="0"/>
    <n v="0"/>
    <n v="0"/>
    <n v="0"/>
    <n v="0"/>
    <n v="0"/>
    <n v="0"/>
    <n v="0"/>
    <n v="0"/>
    <n v="9"/>
    <x v="41"/>
    <x v="0"/>
    <x v="0"/>
    <x v="0"/>
  </r>
  <r>
    <s v="Description 2115"/>
    <s v="Code 2115"/>
    <n v="0"/>
    <n v="0"/>
    <n v="0"/>
    <n v="0"/>
    <n v="0"/>
    <n v="0"/>
    <n v="0"/>
    <n v="0"/>
    <n v="0"/>
    <n v="0"/>
    <n v="835"/>
    <x v="171"/>
    <x v="0"/>
    <x v="0"/>
    <x v="0"/>
  </r>
  <r>
    <s v="Description 2116"/>
    <s v="Code 2116"/>
    <n v="0"/>
    <n v="0"/>
    <n v="0"/>
    <n v="0"/>
    <n v="0"/>
    <n v="0"/>
    <n v="0"/>
    <n v="0"/>
    <n v="0"/>
    <n v="0"/>
    <n v="2580"/>
    <x v="126"/>
    <x v="0"/>
    <x v="0"/>
    <x v="0"/>
  </r>
  <r>
    <s v="Description 2117"/>
    <s v="Code 2117"/>
    <n v="600"/>
    <n v="1200"/>
    <n v="0"/>
    <n v="0"/>
    <n v="2100"/>
    <n v="600"/>
    <n v="600"/>
    <n v="600"/>
    <n v="600"/>
    <n v="0"/>
    <n v="4059"/>
    <x v="93"/>
    <x v="0"/>
    <x v="0"/>
    <x v="0"/>
  </r>
  <r>
    <s v="Description 2118"/>
    <s v="Code 2118"/>
    <n v="950"/>
    <n v="650"/>
    <n v="800"/>
    <n v="700"/>
    <n v="700"/>
    <n v="700"/>
    <n v="800"/>
    <n v="700"/>
    <n v="700"/>
    <n v="0"/>
    <n v="2600"/>
    <x v="98"/>
    <x v="0"/>
    <x v="0"/>
    <x v="0"/>
  </r>
  <r>
    <s v="Description 2119"/>
    <s v="Code 2119"/>
    <n v="500"/>
    <n v="650"/>
    <n v="520"/>
    <n v="520"/>
    <n v="520"/>
    <n v="520"/>
    <n v="620"/>
    <n v="520"/>
    <n v="520"/>
    <n v="0"/>
    <n v="900"/>
    <x v="77"/>
    <x v="0"/>
    <x v="0"/>
    <x v="0"/>
  </r>
  <r>
    <s v="Description 2120"/>
    <s v="Code 2120"/>
    <n v="50"/>
    <n v="100"/>
    <n v="120"/>
    <n v="120"/>
    <n v="220"/>
    <n v="220"/>
    <n v="220"/>
    <n v="120"/>
    <n v="220"/>
    <n v="0"/>
    <n v="1350"/>
    <x v="65"/>
    <x v="0"/>
    <x v="0"/>
    <x v="0"/>
  </r>
  <r>
    <s v="Description 2121"/>
    <s v="Code 2121"/>
    <n v="50"/>
    <n v="100"/>
    <n v="120"/>
    <n v="120"/>
    <n v="220"/>
    <n v="220"/>
    <n v="220"/>
    <n v="120"/>
    <n v="220"/>
    <n v="0"/>
    <n v="2450"/>
    <x v="43"/>
    <x v="0"/>
    <x v="0"/>
    <x v="0"/>
  </r>
  <r>
    <s v="Description 2122"/>
    <s v="Code 2122"/>
    <n v="500"/>
    <n v="650"/>
    <n v="520"/>
    <n v="520"/>
    <n v="520"/>
    <n v="520"/>
    <n v="620"/>
    <n v="520"/>
    <n v="520"/>
    <n v="0"/>
    <n v="15900"/>
    <x v="131"/>
    <x v="0"/>
    <x v="0"/>
    <x v="0"/>
  </r>
  <r>
    <s v="Description 2123"/>
    <s v="Code 2123"/>
    <n v="500"/>
    <n v="650"/>
    <n v="520"/>
    <n v="520"/>
    <n v="520"/>
    <n v="520"/>
    <n v="620"/>
    <n v="520"/>
    <n v="520"/>
    <n v="0"/>
    <n v="200"/>
    <x v="105"/>
    <x v="0"/>
    <x v="1"/>
    <x v="0"/>
  </r>
  <r>
    <s v="Description 2124"/>
    <s v="Code 2124"/>
    <n v="50"/>
    <n v="100"/>
    <n v="120"/>
    <n v="120"/>
    <n v="220"/>
    <n v="220"/>
    <n v="220"/>
    <n v="120"/>
    <n v="220"/>
    <n v="0"/>
    <n v="3800"/>
    <x v="101"/>
    <x v="0"/>
    <x v="0"/>
    <x v="0"/>
  </r>
  <r>
    <s v="Description 2125"/>
    <s v="Code 2125"/>
    <n v="950"/>
    <n v="650"/>
    <n v="800"/>
    <n v="700"/>
    <n v="700"/>
    <n v="700"/>
    <n v="800"/>
    <n v="700"/>
    <n v="700"/>
    <n v="0"/>
    <n v="4000"/>
    <x v="81"/>
    <x v="0"/>
    <x v="0"/>
    <x v="0"/>
  </r>
  <r>
    <s v="Description 2126"/>
    <s v="Code 2126"/>
    <n v="500"/>
    <n v="650"/>
    <n v="520"/>
    <n v="520"/>
    <n v="520"/>
    <n v="520"/>
    <n v="620"/>
    <n v="520"/>
    <n v="520"/>
    <n v="0"/>
    <n v="0"/>
    <x v="83"/>
    <x v="0"/>
    <x v="0"/>
    <x v="0"/>
  </r>
  <r>
    <s v="Description 2127"/>
    <s v="Code 2127"/>
    <n v="0"/>
    <n v="0"/>
    <n v="20"/>
    <n v="20"/>
    <n v="20"/>
    <n v="20"/>
    <n v="20"/>
    <n v="20"/>
    <n v="20"/>
    <n v="0"/>
    <n v="1350"/>
    <x v="167"/>
    <x v="0"/>
    <x v="0"/>
    <x v="0"/>
  </r>
  <r>
    <s v="Description 2128"/>
    <s v="Code 2128"/>
    <n v="450"/>
    <n v="0"/>
    <n v="300"/>
    <n v="200"/>
    <n v="200"/>
    <n v="200"/>
    <n v="200"/>
    <n v="200"/>
    <n v="200"/>
    <n v="0"/>
    <n v="3076"/>
    <x v="64"/>
    <x v="0"/>
    <x v="0"/>
    <x v="0"/>
  </r>
  <r>
    <s v="Description 2129"/>
    <s v="Code 2129"/>
    <n v="1"/>
    <n v="0"/>
    <n v="11"/>
    <n v="2"/>
    <n v="3"/>
    <n v="0"/>
    <n v="2"/>
    <n v="5"/>
    <n v="0"/>
    <n v="0"/>
    <n v="617"/>
    <x v="154"/>
    <x v="0"/>
    <x v="0"/>
    <x v="0"/>
  </r>
  <r>
    <s v="Description 2130"/>
    <s v="Code 2130"/>
    <n v="400"/>
    <n v="0"/>
    <n v="280"/>
    <n v="6"/>
    <n v="0"/>
    <n v="2"/>
    <n v="50"/>
    <n v="24"/>
    <n v="60"/>
    <n v="0"/>
    <n v="0"/>
    <x v="188"/>
    <x v="0"/>
    <x v="0"/>
    <x v="0"/>
  </r>
  <r>
    <s v="Description 2131"/>
    <s v="Code 2131"/>
    <n v="0"/>
    <n v="0"/>
    <n v="0"/>
    <n v="0"/>
    <n v="0"/>
    <n v="0"/>
    <n v="0"/>
    <n v="0"/>
    <n v="0"/>
    <n v="0"/>
    <n v="0"/>
    <x v="117"/>
    <x v="0"/>
    <x v="0"/>
    <x v="0"/>
  </r>
  <r>
    <s v="Description 2132"/>
    <s v="Code 2132"/>
    <n v="20"/>
    <n v="0"/>
    <n v="0"/>
    <n v="0"/>
    <n v="0"/>
    <n v="0"/>
    <n v="0"/>
    <n v="0"/>
    <n v="0"/>
    <n v="0"/>
    <n v="0"/>
    <x v="9"/>
    <x v="0"/>
    <x v="0"/>
    <x v="0"/>
  </r>
  <r>
    <s v="Description 2133"/>
    <s v="Code 2133"/>
    <n v="0"/>
    <n v="0"/>
    <n v="0"/>
    <n v="0.02"/>
    <n v="0"/>
    <n v="0"/>
    <n v="0"/>
    <n v="0.08"/>
    <n v="0"/>
    <n v="0"/>
    <n v="0"/>
    <x v="89"/>
    <x v="0"/>
    <x v="1"/>
    <x v="0"/>
  </r>
  <r>
    <s v="Description 2134"/>
    <s v="Code 2134"/>
    <n v="0.05"/>
    <n v="0.05"/>
    <n v="0.1"/>
    <n v="0.06"/>
    <n v="5.5E-2"/>
    <n v="0.06"/>
    <n v="0.03"/>
    <n v="0.02"/>
    <n v="7.0000000000000007E-2"/>
    <n v="0"/>
    <n v="23"/>
    <x v="194"/>
    <x v="0"/>
    <x v="0"/>
    <x v="0"/>
  </r>
  <r>
    <s v="Description 2135"/>
    <s v="Code 2135"/>
    <n v="0"/>
    <n v="0"/>
    <n v="0.42719999999999997"/>
    <n v="0.42719999999999997"/>
    <n v="6.7199999999999996E-2"/>
    <n v="0.52439999999999998"/>
    <n v="0"/>
    <n v="0"/>
    <n v="0.49439999999999995"/>
    <n v="0"/>
    <n v="0"/>
    <x v="80"/>
    <x v="0"/>
    <x v="0"/>
    <x v="0"/>
  </r>
  <r>
    <s v="Description 2136"/>
    <s v="Code 2136"/>
    <n v="0"/>
    <n v="38"/>
    <n v="120"/>
    <n v="0"/>
    <n v="0"/>
    <n v="120"/>
    <n v="0"/>
    <n v="0"/>
    <n v="100"/>
    <n v="0"/>
    <n v="123"/>
    <x v="112"/>
    <x v="0"/>
    <x v="0"/>
    <x v="0"/>
  </r>
  <r>
    <s v="Description 2137"/>
    <s v="Code 2137"/>
    <n v="161"/>
    <n v="121"/>
    <n v="191"/>
    <n v="206"/>
    <n v="179"/>
    <n v="179"/>
    <n v="209"/>
    <n v="196"/>
    <n v="191"/>
    <n v="0"/>
    <n v="27"/>
    <x v="80"/>
    <x v="0"/>
    <x v="0"/>
    <x v="0"/>
  </r>
  <r>
    <s v="Description 2138"/>
    <s v="Code 2138"/>
    <n v="10"/>
    <n v="0"/>
    <n v="0"/>
    <n v="0"/>
    <n v="0"/>
    <n v="0"/>
    <n v="2"/>
    <n v="0"/>
    <n v="0"/>
    <n v="0"/>
    <n v="18"/>
    <x v="25"/>
    <x v="0"/>
    <x v="1"/>
    <x v="0"/>
  </r>
  <r>
    <s v="Description 2139"/>
    <s v="Code 2139"/>
    <n v="8"/>
    <n v="0"/>
    <n v="6"/>
    <n v="42"/>
    <n v="20"/>
    <n v="8"/>
    <n v="6"/>
    <n v="8"/>
    <n v="12"/>
    <n v="0"/>
    <n v="83"/>
    <x v="127"/>
    <x v="0"/>
    <x v="0"/>
    <x v="0"/>
  </r>
  <r>
    <s v="Description 2140"/>
    <s v="Code 2140"/>
    <n v="30"/>
    <n v="34"/>
    <n v="12"/>
    <n v="30"/>
    <n v="6"/>
    <n v="14"/>
    <n v="14"/>
    <n v="22"/>
    <n v="12"/>
    <n v="0"/>
    <n v="26"/>
    <x v="8"/>
    <x v="0"/>
    <x v="0"/>
    <x v="0"/>
  </r>
  <r>
    <s v="Description 2141"/>
    <s v="Code 2141"/>
    <n v="2"/>
    <n v="0"/>
    <n v="2"/>
    <n v="4"/>
    <n v="2"/>
    <n v="0"/>
    <n v="0"/>
    <n v="2"/>
    <n v="0"/>
    <n v="0"/>
    <n v="32"/>
    <x v="84"/>
    <x v="0"/>
    <x v="0"/>
    <x v="0"/>
  </r>
  <r>
    <s v="Description 2142"/>
    <s v="Code 2142"/>
    <n v="20"/>
    <n v="0"/>
    <n v="0"/>
    <n v="0"/>
    <n v="0"/>
    <n v="0"/>
    <n v="4"/>
    <n v="0"/>
    <n v="0"/>
    <n v="0"/>
    <n v="11"/>
    <x v="94"/>
    <x v="0"/>
    <x v="0"/>
    <x v="0"/>
  </r>
  <r>
    <s v="Description 2143"/>
    <s v="Code 2143"/>
    <n v="4"/>
    <n v="0"/>
    <n v="0"/>
    <n v="0"/>
    <n v="4"/>
    <n v="0"/>
    <n v="0"/>
    <n v="0"/>
    <n v="0"/>
    <n v="0"/>
    <n v="60"/>
    <x v="31"/>
    <x v="0"/>
    <x v="0"/>
    <x v="0"/>
  </r>
  <r>
    <s v="Description 2144"/>
    <s v="Code 2144"/>
    <n v="4"/>
    <n v="0"/>
    <n v="0"/>
    <n v="0"/>
    <n v="4"/>
    <n v="0"/>
    <n v="0"/>
    <n v="0"/>
    <n v="0"/>
    <n v="0"/>
    <n v="44"/>
    <x v="187"/>
    <x v="0"/>
    <x v="1"/>
    <x v="0"/>
  </r>
  <r>
    <s v="Description 2145"/>
    <s v="Code 2145"/>
    <n v="8"/>
    <n v="8"/>
    <n v="10"/>
    <n v="10"/>
    <n v="8"/>
    <n v="10"/>
    <n v="6"/>
    <n v="6"/>
    <n v="6"/>
    <n v="0"/>
    <n v="27"/>
    <x v="195"/>
    <x v="0"/>
    <x v="0"/>
    <x v="0"/>
  </r>
  <r>
    <s v="Description 2146"/>
    <s v="Code 2146"/>
    <n v="4"/>
    <n v="4"/>
    <n v="5"/>
    <n v="5"/>
    <n v="4"/>
    <n v="5"/>
    <n v="3"/>
    <n v="3"/>
    <n v="3"/>
    <n v="0"/>
    <n v="583"/>
    <x v="153"/>
    <x v="0"/>
    <x v="0"/>
    <x v="0"/>
  </r>
  <r>
    <s v="Description 2147"/>
    <s v="Code 2147"/>
    <n v="28"/>
    <n v="28"/>
    <n v="36"/>
    <n v="36"/>
    <n v="28"/>
    <n v="36"/>
    <n v="20"/>
    <n v="20"/>
    <n v="20"/>
    <n v="0"/>
    <n v="133"/>
    <x v="194"/>
    <x v="0"/>
    <x v="0"/>
    <x v="0"/>
  </r>
  <r>
    <s v="Description 2148"/>
    <s v="Code 2148"/>
    <n v="27"/>
    <n v="27"/>
    <n v="34"/>
    <n v="34"/>
    <n v="27"/>
    <n v="34"/>
    <n v="20"/>
    <n v="20"/>
    <n v="20"/>
    <n v="0"/>
    <n v="92"/>
    <x v="130"/>
    <x v="0"/>
    <x v="1"/>
    <x v="0"/>
  </r>
  <r>
    <s v="Description 2149"/>
    <s v="Code 2149"/>
    <n v="8"/>
    <n v="0"/>
    <n v="0"/>
    <n v="0"/>
    <n v="8"/>
    <n v="0"/>
    <n v="0"/>
    <n v="0"/>
    <n v="0"/>
    <n v="0"/>
    <n v="91"/>
    <x v="184"/>
    <x v="0"/>
    <x v="0"/>
    <x v="0"/>
  </r>
  <r>
    <s v="Description 2150"/>
    <s v="Code 2150"/>
    <n v="8"/>
    <n v="0"/>
    <n v="0"/>
    <n v="0"/>
    <n v="8"/>
    <n v="0"/>
    <n v="0"/>
    <n v="0"/>
    <n v="0"/>
    <n v="0"/>
    <n v="30"/>
    <x v="157"/>
    <x v="0"/>
    <x v="0"/>
    <x v="0"/>
  </r>
  <r>
    <s v="Description 2151"/>
    <s v="Code 2151"/>
    <n v="2"/>
    <n v="0"/>
    <n v="0"/>
    <n v="0"/>
    <n v="2"/>
    <n v="0"/>
    <n v="0"/>
    <n v="0"/>
    <n v="0"/>
    <n v="0"/>
    <n v="63"/>
    <x v="61"/>
    <x v="0"/>
    <x v="0"/>
    <x v="0"/>
  </r>
  <r>
    <s v="Description 2152"/>
    <s v="Code 2152"/>
    <n v="8"/>
    <n v="8"/>
    <n v="10"/>
    <n v="10"/>
    <n v="8"/>
    <n v="10"/>
    <n v="6"/>
    <n v="6"/>
    <n v="6"/>
    <n v="0"/>
    <n v="184"/>
    <x v="148"/>
    <x v="0"/>
    <x v="0"/>
    <x v="0"/>
  </r>
  <r>
    <s v="Description 2153"/>
    <s v="Code 2153"/>
    <n v="3"/>
    <n v="3"/>
    <n v="4"/>
    <n v="4"/>
    <n v="3"/>
    <n v="4"/>
    <n v="2"/>
    <n v="2"/>
    <n v="2"/>
    <n v="0"/>
    <n v="52"/>
    <x v="13"/>
    <x v="0"/>
    <x v="1"/>
    <x v="0"/>
  </r>
  <r>
    <s v="Description 2154"/>
    <s v="Code 2154"/>
    <n v="20"/>
    <n v="0"/>
    <n v="0"/>
    <n v="0"/>
    <n v="20"/>
    <n v="0"/>
    <n v="0"/>
    <n v="0"/>
    <n v="0"/>
    <n v="0"/>
    <n v="35"/>
    <x v="197"/>
    <x v="0"/>
    <x v="0"/>
    <x v="0"/>
  </r>
  <r>
    <s v="Description 2155"/>
    <s v="Code 2155"/>
    <n v="16"/>
    <n v="16"/>
    <n v="20"/>
    <n v="20"/>
    <n v="16"/>
    <n v="20"/>
    <n v="12"/>
    <n v="12"/>
    <n v="12"/>
    <n v="0"/>
    <n v="20"/>
    <x v="63"/>
    <x v="0"/>
    <x v="0"/>
    <x v="0"/>
  </r>
  <r>
    <s v="Description 2156"/>
    <s v="Code 2156"/>
    <n v="8"/>
    <n v="6"/>
    <n v="8"/>
    <n v="8"/>
    <n v="8"/>
    <n v="8"/>
    <n v="4"/>
    <n v="4"/>
    <n v="4"/>
    <n v="0"/>
    <n v="44"/>
    <x v="21"/>
    <x v="0"/>
    <x v="0"/>
    <x v="0"/>
  </r>
  <r>
    <s v="Description 2157"/>
    <s v="Code 2157"/>
    <n v="24"/>
    <n v="24"/>
    <n v="30"/>
    <n v="30"/>
    <n v="24"/>
    <n v="30"/>
    <n v="18"/>
    <n v="18"/>
    <n v="18"/>
    <n v="0"/>
    <n v="128"/>
    <x v="142"/>
    <x v="0"/>
    <x v="0"/>
    <x v="0"/>
  </r>
  <r>
    <s v="Description 2158"/>
    <s v="Code 2158"/>
    <n v="16"/>
    <n v="16"/>
    <n v="20"/>
    <n v="20"/>
    <n v="16"/>
    <n v="20"/>
    <n v="12"/>
    <n v="12"/>
    <n v="12"/>
    <n v="0"/>
    <n v="120"/>
    <x v="165"/>
    <x v="0"/>
    <x v="0"/>
    <x v="0"/>
  </r>
  <r>
    <s v="Description 2159"/>
    <s v="Code 2159"/>
    <n v="12"/>
    <n v="0"/>
    <n v="0"/>
    <n v="0"/>
    <n v="12"/>
    <n v="0"/>
    <n v="0"/>
    <n v="0"/>
    <n v="0"/>
    <n v="0"/>
    <n v="527"/>
    <x v="79"/>
    <x v="0"/>
    <x v="0"/>
    <x v="0"/>
  </r>
  <r>
    <s v="Description 2160"/>
    <s v="Code 2160"/>
    <n v="0"/>
    <n v="0"/>
    <n v="0"/>
    <n v="0"/>
    <n v="0"/>
    <n v="0"/>
    <n v="0"/>
    <n v="0"/>
    <n v="0"/>
    <n v="0"/>
    <n v="804"/>
    <x v="14"/>
    <x v="0"/>
    <x v="0"/>
    <x v="0"/>
  </r>
  <r>
    <s v="Description 2161"/>
    <s v="Code 2161"/>
    <n v="16"/>
    <n v="16"/>
    <n v="20"/>
    <n v="20"/>
    <n v="16"/>
    <n v="20"/>
    <n v="12"/>
    <n v="12"/>
    <n v="12"/>
    <n v="0"/>
    <n v="271"/>
    <x v="8"/>
    <x v="0"/>
    <x v="0"/>
    <x v="0"/>
  </r>
  <r>
    <s v="Description 2162"/>
    <s v="Code 2162"/>
    <n v="36"/>
    <n v="34"/>
    <n v="43"/>
    <n v="43"/>
    <n v="36"/>
    <n v="43"/>
    <n v="25"/>
    <n v="25"/>
    <n v="25"/>
    <n v="0"/>
    <n v="572"/>
    <x v="115"/>
    <x v="0"/>
    <x v="0"/>
    <x v="0"/>
  </r>
  <r>
    <s v="Description 2163"/>
    <s v="Code 2163"/>
    <n v="8"/>
    <n v="8"/>
    <n v="10"/>
    <n v="10"/>
    <n v="8"/>
    <n v="10"/>
    <n v="6"/>
    <n v="6"/>
    <n v="6"/>
    <n v="0"/>
    <n v="410"/>
    <x v="169"/>
    <x v="0"/>
    <x v="0"/>
    <x v="0"/>
  </r>
  <r>
    <s v="Description 2164"/>
    <s v="Code 2164"/>
    <n v="20"/>
    <n v="0"/>
    <n v="0"/>
    <n v="0"/>
    <n v="20"/>
    <n v="0"/>
    <n v="0"/>
    <n v="0"/>
    <n v="0"/>
    <n v="0"/>
    <n v="30"/>
    <x v="90"/>
    <x v="0"/>
    <x v="0"/>
    <x v="0"/>
  </r>
  <r>
    <s v="Description 2165"/>
    <s v="Code 2165"/>
    <n v="8"/>
    <n v="8"/>
    <n v="10"/>
    <n v="10"/>
    <n v="8"/>
    <n v="10"/>
    <n v="6"/>
    <n v="6"/>
    <n v="6"/>
    <n v="0"/>
    <n v="0"/>
    <x v="11"/>
    <x v="0"/>
    <x v="0"/>
    <x v="0"/>
  </r>
  <r>
    <s v="Description 2166"/>
    <s v="Code 2166"/>
    <n v="3"/>
    <n v="3"/>
    <n v="4"/>
    <n v="4"/>
    <n v="3"/>
    <n v="4"/>
    <n v="2"/>
    <n v="2"/>
    <n v="2"/>
    <n v="0"/>
    <n v="70"/>
    <x v="135"/>
    <x v="0"/>
    <x v="0"/>
    <x v="0"/>
  </r>
  <r>
    <s v="Description 2167"/>
    <s v="Code 2167"/>
    <n v="18"/>
    <n v="12"/>
    <n v="15"/>
    <n v="15"/>
    <n v="18"/>
    <n v="15"/>
    <n v="9"/>
    <n v="9"/>
    <n v="9"/>
    <n v="0"/>
    <n v="0"/>
    <x v="13"/>
    <x v="0"/>
    <x v="1"/>
    <x v="0"/>
  </r>
  <r>
    <s v="Description 2168"/>
    <s v="Code 2168"/>
    <n v="0"/>
    <n v="0"/>
    <n v="0"/>
    <n v="0"/>
    <n v="0"/>
    <n v="0"/>
    <n v="0"/>
    <n v="0"/>
    <n v="0"/>
    <n v="0"/>
    <n v="0"/>
    <x v="151"/>
    <x v="0"/>
    <x v="0"/>
    <x v="0"/>
  </r>
  <r>
    <s v="Description 2169"/>
    <s v="Code 2169"/>
    <n v="0"/>
    <n v="0"/>
    <n v="0"/>
    <n v="0"/>
    <n v="0"/>
    <n v="0"/>
    <n v="0"/>
    <n v="0"/>
    <n v="0"/>
    <n v="0"/>
    <n v="0"/>
    <x v="0"/>
    <x v="0"/>
    <x v="0"/>
    <x v="0"/>
  </r>
  <r>
    <s v="Description 2170"/>
    <s v="Code 2170"/>
    <n v="0"/>
    <n v="0"/>
    <n v="0"/>
    <n v="0"/>
    <n v="0"/>
    <n v="0"/>
    <n v="0"/>
    <n v="0"/>
    <n v="0"/>
    <n v="0"/>
    <n v="0"/>
    <x v="189"/>
    <x v="0"/>
    <x v="0"/>
    <x v="0"/>
  </r>
  <r>
    <s v="Description 2171"/>
    <s v="Code 2171"/>
    <n v="0"/>
    <n v="0"/>
    <n v="0"/>
    <n v="0"/>
    <n v="0"/>
    <n v="0"/>
    <n v="0"/>
    <n v="0"/>
    <n v="0"/>
    <n v="0"/>
    <n v="0"/>
    <x v="108"/>
    <x v="0"/>
    <x v="1"/>
    <x v="0"/>
  </r>
  <r>
    <s v="Description 2172"/>
    <s v="Code 2172"/>
    <n v="0"/>
    <n v="0"/>
    <n v="0"/>
    <n v="0"/>
    <n v="0"/>
    <n v="0"/>
    <n v="0"/>
    <n v="0"/>
    <n v="0"/>
    <n v="0"/>
    <n v="0"/>
    <x v="90"/>
    <x v="0"/>
    <x v="0"/>
    <x v="0"/>
  </r>
  <r>
    <s v="Description 2173"/>
    <s v="Code 2173"/>
    <n v="0"/>
    <n v="0"/>
    <n v="0"/>
    <n v="0"/>
    <n v="0"/>
    <n v="0"/>
    <n v="0"/>
    <n v="0"/>
    <n v="0"/>
    <n v="0"/>
    <n v="0"/>
    <x v="161"/>
    <x v="0"/>
    <x v="0"/>
    <x v="0"/>
  </r>
  <r>
    <s v="Description 2174"/>
    <s v="Code 2174"/>
    <n v="0"/>
    <n v="0"/>
    <n v="0"/>
    <n v="0"/>
    <n v="0"/>
    <n v="0"/>
    <n v="0"/>
    <n v="0"/>
    <n v="0"/>
    <n v="0"/>
    <n v="0"/>
    <x v="32"/>
    <x v="0"/>
    <x v="0"/>
    <x v="0"/>
  </r>
  <r>
    <s v="Description 2175"/>
    <s v="Code 2175"/>
    <n v="0"/>
    <n v="0"/>
    <n v="0"/>
    <n v="0"/>
    <n v="0"/>
    <n v="0"/>
    <n v="0"/>
    <n v="0"/>
    <n v="0"/>
    <n v="0"/>
    <n v="0"/>
    <x v="150"/>
    <x v="0"/>
    <x v="0"/>
    <x v="0"/>
  </r>
  <r>
    <s v="Description 2176"/>
    <s v="Code 2176"/>
    <n v="0"/>
    <n v="0"/>
    <n v="0"/>
    <n v="0"/>
    <n v="0"/>
    <n v="0"/>
    <n v="0"/>
    <n v="0"/>
    <n v="0"/>
    <n v="0"/>
    <n v="0"/>
    <x v="134"/>
    <x v="0"/>
    <x v="0"/>
    <x v="0"/>
  </r>
  <r>
    <s v="Description 2177"/>
    <s v="Code 2177"/>
    <n v="0"/>
    <n v="0"/>
    <n v="0"/>
    <n v="0"/>
    <n v="0"/>
    <n v="0"/>
    <n v="0"/>
    <n v="0"/>
    <n v="0"/>
    <n v="0"/>
    <n v="0"/>
    <x v="122"/>
    <x v="0"/>
    <x v="0"/>
    <x v="0"/>
  </r>
  <r>
    <s v="Description 2178"/>
    <s v="Code 2178"/>
    <n v="0"/>
    <n v="0"/>
    <n v="0"/>
    <n v="0"/>
    <n v="0"/>
    <n v="0"/>
    <n v="0"/>
    <n v="0"/>
    <n v="0"/>
    <n v="0"/>
    <n v="0"/>
    <x v="27"/>
    <x v="0"/>
    <x v="0"/>
    <x v="0"/>
  </r>
  <r>
    <s v="Description 2179"/>
    <s v="Code 2179"/>
    <n v="0"/>
    <n v="0"/>
    <n v="0"/>
    <n v="0"/>
    <n v="0"/>
    <n v="0"/>
    <n v="0"/>
    <n v="0"/>
    <n v="0"/>
    <n v="0"/>
    <n v="473"/>
    <x v="18"/>
    <x v="0"/>
    <x v="0"/>
    <x v="0"/>
  </r>
  <r>
    <s v="Description 2180"/>
    <s v="Code 2180"/>
    <n v="0"/>
    <n v="0"/>
    <n v="0"/>
    <n v="0"/>
    <n v="0"/>
    <n v="0"/>
    <n v="0"/>
    <n v="0"/>
    <n v="0"/>
    <n v="0"/>
    <n v="130"/>
    <x v="164"/>
    <x v="0"/>
    <x v="0"/>
    <x v="0"/>
  </r>
  <r>
    <s v="Description 2181"/>
    <s v="Code 2181"/>
    <n v="0"/>
    <n v="0"/>
    <n v="0"/>
    <n v="0"/>
    <n v="0"/>
    <n v="0"/>
    <n v="0"/>
    <n v="0"/>
    <n v="0"/>
    <n v="0"/>
    <n v="228"/>
    <x v="122"/>
    <x v="0"/>
    <x v="0"/>
    <x v="0"/>
  </r>
  <r>
    <s v="Description 2182"/>
    <s v="Code 2182"/>
    <n v="0"/>
    <n v="0"/>
    <n v="0"/>
    <n v="0"/>
    <n v="0"/>
    <n v="0"/>
    <n v="0"/>
    <n v="0"/>
    <n v="0"/>
    <n v="0"/>
    <n v="14"/>
    <x v="50"/>
    <x v="0"/>
    <x v="0"/>
    <x v="0"/>
  </r>
  <r>
    <s v="Description 2183"/>
    <s v="Code 2183"/>
    <n v="3"/>
    <n v="1"/>
    <n v="3"/>
    <n v="2"/>
    <n v="4"/>
    <n v="1"/>
    <n v="1"/>
    <n v="1"/>
    <n v="2"/>
    <n v="0"/>
    <n v="0"/>
    <x v="189"/>
    <x v="0"/>
    <x v="0"/>
    <x v="0"/>
  </r>
  <r>
    <s v="Description 2184"/>
    <s v="Code 2184"/>
    <n v="0"/>
    <n v="0"/>
    <n v="0"/>
    <n v="0"/>
    <n v="0"/>
    <n v="0"/>
    <n v="0"/>
    <n v="0"/>
    <n v="0"/>
    <n v="0"/>
    <n v="5"/>
    <x v="57"/>
    <x v="0"/>
    <x v="0"/>
    <x v="0"/>
  </r>
  <r>
    <s v="Description 2185"/>
    <s v="Code 2185"/>
    <n v="0"/>
    <n v="0"/>
    <n v="0"/>
    <n v="0"/>
    <n v="0"/>
    <n v="0"/>
    <n v="0"/>
    <n v="0"/>
    <n v="0"/>
    <n v="0"/>
    <n v="0"/>
    <x v="84"/>
    <x v="0"/>
    <x v="0"/>
    <x v="0"/>
  </r>
  <r>
    <s v="Description 2186"/>
    <s v="Code 2186"/>
    <n v="0"/>
    <n v="0"/>
    <n v="0"/>
    <n v="0"/>
    <n v="0"/>
    <n v="0"/>
    <n v="0"/>
    <n v="0"/>
    <n v="0"/>
    <n v="0"/>
    <n v="9500"/>
    <x v="145"/>
    <x v="0"/>
    <x v="0"/>
    <x v="0"/>
  </r>
  <r>
    <s v="Description 2187"/>
    <s v="Code 2187"/>
    <n v="0"/>
    <n v="0"/>
    <n v="0"/>
    <n v="400"/>
    <n v="0"/>
    <n v="0"/>
    <n v="400"/>
    <n v="0"/>
    <n v="0"/>
    <n v="0"/>
    <n v="0"/>
    <x v="140"/>
    <x v="0"/>
    <x v="0"/>
    <x v="0"/>
  </r>
  <r>
    <s v="Description 2188"/>
    <s v="Code 2188"/>
    <n v="0"/>
    <n v="0"/>
    <n v="0"/>
    <n v="0"/>
    <n v="0"/>
    <n v="0"/>
    <n v="0"/>
    <n v="0"/>
    <n v="0"/>
    <n v="0"/>
    <n v="209"/>
    <x v="152"/>
    <x v="0"/>
    <x v="0"/>
    <x v="0"/>
  </r>
  <r>
    <s v="Description 2189"/>
    <s v="Code 2189"/>
    <n v="38"/>
    <n v="31"/>
    <n v="43"/>
    <n v="43"/>
    <n v="15"/>
    <n v="22"/>
    <n v="20"/>
    <n v="21"/>
    <n v="16"/>
    <n v="0"/>
    <n v="187"/>
    <x v="9"/>
    <x v="0"/>
    <x v="0"/>
    <x v="0"/>
  </r>
  <r>
    <s v="Description 2190"/>
    <s v="Code 2190"/>
    <n v="0"/>
    <n v="0"/>
    <n v="0"/>
    <n v="0"/>
    <n v="0"/>
    <n v="0"/>
    <n v="0"/>
    <n v="0"/>
    <n v="0"/>
    <n v="0"/>
    <n v="6"/>
    <x v="33"/>
    <x v="0"/>
    <x v="0"/>
    <x v="0"/>
  </r>
  <r>
    <s v="Description 2191"/>
    <s v="Code 2191"/>
    <n v="0"/>
    <n v="0"/>
    <n v="0"/>
    <n v="0"/>
    <n v="0"/>
    <n v="0"/>
    <n v="0"/>
    <n v="0"/>
    <n v="0"/>
    <n v="0"/>
    <n v="147"/>
    <x v="157"/>
    <x v="0"/>
    <x v="0"/>
    <x v="0"/>
  </r>
  <r>
    <s v="Description 2192"/>
    <s v="Code 2192"/>
    <n v="0"/>
    <n v="0"/>
    <n v="0"/>
    <n v="0"/>
    <n v="0"/>
    <n v="0"/>
    <n v="0"/>
    <n v="0"/>
    <n v="0"/>
    <n v="0"/>
    <n v="46"/>
    <x v="174"/>
    <x v="0"/>
    <x v="0"/>
    <x v="0"/>
  </r>
  <r>
    <s v="Description 2193"/>
    <s v="Code 2193"/>
    <n v="0"/>
    <n v="0"/>
    <n v="0"/>
    <n v="0"/>
    <n v="0"/>
    <n v="0"/>
    <n v="0"/>
    <n v="0"/>
    <n v="0"/>
    <n v="0"/>
    <n v="37"/>
    <x v="93"/>
    <x v="0"/>
    <x v="0"/>
    <x v="0"/>
  </r>
  <r>
    <s v="Description 2194"/>
    <s v="Code 2194"/>
    <n v="0"/>
    <n v="1"/>
    <n v="1"/>
    <n v="1"/>
    <n v="5"/>
    <n v="3"/>
    <n v="0"/>
    <n v="4"/>
    <n v="1"/>
    <n v="0"/>
    <n v="47"/>
    <x v="121"/>
    <x v="0"/>
    <x v="0"/>
    <x v="0"/>
  </r>
  <r>
    <s v="Description 2195"/>
    <s v="Code 2195"/>
    <n v="0"/>
    <n v="2"/>
    <n v="2"/>
    <n v="2"/>
    <n v="0"/>
    <n v="1"/>
    <n v="0"/>
    <n v="1"/>
    <n v="0"/>
    <n v="0"/>
    <n v="500"/>
    <x v="164"/>
    <x v="0"/>
    <x v="0"/>
    <x v="0"/>
  </r>
  <r>
    <s v="Description 2196"/>
    <s v="Code 2196"/>
    <n v="0"/>
    <n v="0"/>
    <n v="0"/>
    <n v="0"/>
    <n v="400"/>
    <n v="0"/>
    <n v="0"/>
    <n v="0"/>
    <n v="0"/>
    <n v="0"/>
    <n v="45"/>
    <x v="174"/>
    <x v="0"/>
    <x v="0"/>
    <x v="0"/>
  </r>
  <r>
    <s v="Description 2197"/>
    <s v="Code 2197"/>
    <n v="42"/>
    <n v="42"/>
    <n v="21"/>
    <n v="84"/>
    <n v="36"/>
    <n v="30"/>
    <n v="24"/>
    <n v="18"/>
    <n v="24"/>
    <n v="0"/>
    <n v="31"/>
    <x v="90"/>
    <x v="0"/>
    <x v="0"/>
    <x v="0"/>
  </r>
  <r>
    <s v="Description 2198"/>
    <s v="Code 2198"/>
    <n v="2"/>
    <n v="4"/>
    <n v="9"/>
    <n v="9"/>
    <n v="9"/>
    <n v="10"/>
    <n v="15"/>
    <n v="9"/>
    <n v="9"/>
    <n v="0"/>
    <n v="19"/>
    <x v="91"/>
    <x v="0"/>
    <x v="0"/>
    <x v="0"/>
  </r>
  <r>
    <s v="Description 2199"/>
    <s v="Code 2199"/>
    <n v="15"/>
    <n v="15"/>
    <n v="20"/>
    <n v="20"/>
    <n v="15"/>
    <n v="15"/>
    <n v="20"/>
    <n v="20"/>
    <n v="5"/>
    <n v="0"/>
    <n v="0"/>
    <x v="73"/>
    <x v="0"/>
    <x v="0"/>
    <x v="0"/>
  </r>
  <r>
    <s v="Description 2200"/>
    <s v="Code 2200"/>
    <n v="0"/>
    <n v="0"/>
    <n v="0"/>
    <n v="0"/>
    <n v="0"/>
    <n v="0"/>
    <n v="0"/>
    <n v="0"/>
    <n v="0"/>
    <n v="0"/>
    <n v="0"/>
    <x v="56"/>
    <x v="0"/>
    <x v="0"/>
    <x v="0"/>
  </r>
  <r>
    <s v="Description 2201"/>
    <s v="Code 2201"/>
    <n v="2"/>
    <n v="0"/>
    <n v="0"/>
    <n v="0"/>
    <n v="0"/>
    <n v="0"/>
    <n v="0"/>
    <n v="0"/>
    <n v="0"/>
    <n v="0"/>
    <n v="31"/>
    <x v="5"/>
    <x v="0"/>
    <x v="0"/>
    <x v="0"/>
  </r>
  <r>
    <s v="Description 2202"/>
    <s v="Code 2202"/>
    <n v="10"/>
    <n v="0"/>
    <n v="0"/>
    <n v="10"/>
    <n v="10"/>
    <n v="0"/>
    <n v="0"/>
    <n v="0"/>
    <n v="0"/>
    <n v="0"/>
    <n v="24"/>
    <x v="114"/>
    <x v="0"/>
    <x v="0"/>
    <x v="0"/>
  </r>
  <r>
    <s v="Description 2203"/>
    <s v="Code 2203"/>
    <n v="2"/>
    <n v="0"/>
    <n v="0"/>
    <n v="0"/>
    <n v="0"/>
    <n v="0"/>
    <n v="0"/>
    <n v="0"/>
    <n v="0"/>
    <n v="0"/>
    <n v="560"/>
    <x v="114"/>
    <x v="0"/>
    <x v="0"/>
    <x v="0"/>
  </r>
  <r>
    <s v="Description 2204"/>
    <s v="Code 2204"/>
    <n v="2"/>
    <n v="0"/>
    <n v="0"/>
    <n v="0"/>
    <n v="0"/>
    <n v="0"/>
    <n v="0"/>
    <n v="0"/>
    <n v="0"/>
    <n v="0"/>
    <n v="330"/>
    <x v="1"/>
    <x v="0"/>
    <x v="0"/>
    <x v="0"/>
  </r>
  <r>
    <s v="Description 2205"/>
    <s v="Code 2205"/>
    <n v="1"/>
    <n v="0"/>
    <n v="0"/>
    <n v="0"/>
    <n v="0"/>
    <n v="0"/>
    <n v="0"/>
    <n v="0"/>
    <n v="0"/>
    <n v="0"/>
    <n v="0"/>
    <x v="172"/>
    <x v="0"/>
    <x v="0"/>
    <x v="0"/>
  </r>
  <r>
    <s v="Description 2206"/>
    <s v="Code 2206"/>
    <n v="2"/>
    <n v="0"/>
    <n v="0"/>
    <n v="0"/>
    <n v="0"/>
    <n v="0"/>
    <n v="0"/>
    <n v="0"/>
    <n v="0"/>
    <n v="0"/>
    <n v="316"/>
    <x v="7"/>
    <x v="0"/>
    <x v="0"/>
    <x v="0"/>
  </r>
  <r>
    <s v="Description 2207"/>
    <s v="Code 2207"/>
    <n v="1"/>
    <n v="0"/>
    <n v="0"/>
    <n v="0"/>
    <n v="0"/>
    <n v="0"/>
    <n v="0"/>
    <n v="0"/>
    <n v="0"/>
    <n v="0"/>
    <n v="0"/>
    <x v="89"/>
    <x v="0"/>
    <x v="1"/>
    <x v="0"/>
  </r>
  <r>
    <s v="Description 2208"/>
    <s v="Code 2208"/>
    <n v="2"/>
    <n v="0"/>
    <n v="0"/>
    <n v="0"/>
    <n v="0"/>
    <n v="0"/>
    <n v="0"/>
    <n v="0"/>
    <n v="0"/>
    <n v="0"/>
    <n v="76"/>
    <x v="80"/>
    <x v="0"/>
    <x v="0"/>
    <x v="0"/>
  </r>
  <r>
    <s v="Description 2209"/>
    <s v="Code 2209"/>
    <n v="20"/>
    <n v="0"/>
    <n v="0"/>
    <n v="20"/>
    <n v="20"/>
    <n v="0"/>
    <n v="0"/>
    <n v="0"/>
    <n v="0"/>
    <n v="0"/>
    <n v="0"/>
    <x v="110"/>
    <x v="0"/>
    <x v="0"/>
    <x v="0"/>
  </r>
  <r>
    <s v="Description 2210"/>
    <s v="Code 2210"/>
    <n v="0"/>
    <n v="0"/>
    <n v="0"/>
    <n v="0"/>
    <n v="0"/>
    <n v="0"/>
    <n v="0"/>
    <n v="0"/>
    <n v="0"/>
    <n v="0"/>
    <n v="97"/>
    <x v="192"/>
    <x v="0"/>
    <x v="0"/>
    <x v="0"/>
  </r>
  <r>
    <s v="Description 2211"/>
    <s v="Code 2211"/>
    <n v="10"/>
    <n v="0"/>
    <n v="0"/>
    <n v="10"/>
    <n v="10"/>
    <n v="0"/>
    <n v="0"/>
    <n v="0"/>
    <n v="0"/>
    <n v="0"/>
    <n v="0"/>
    <x v="174"/>
    <x v="0"/>
    <x v="0"/>
    <x v="0"/>
  </r>
  <r>
    <s v="Description 2212"/>
    <s v="Code 2212"/>
    <n v="0"/>
    <n v="0"/>
    <n v="0"/>
    <n v="0"/>
    <n v="0"/>
    <n v="0"/>
    <n v="0"/>
    <n v="0"/>
    <n v="0"/>
    <n v="0"/>
    <n v="2000"/>
    <x v="135"/>
    <x v="0"/>
    <x v="0"/>
    <x v="0"/>
  </r>
  <r>
    <s v="Description 2213"/>
    <s v="Code 2213"/>
    <n v="610"/>
    <n v="660"/>
    <n v="699"/>
    <n v="534"/>
    <n v="472"/>
    <n v="366"/>
    <n v="364"/>
    <n v="464"/>
    <n v="364"/>
    <n v="0"/>
    <n v="2982"/>
    <x v="21"/>
    <x v="0"/>
    <x v="0"/>
    <x v="0"/>
  </r>
  <r>
    <s v="Description 2214"/>
    <s v="Code 2214"/>
    <n v="610"/>
    <n v="660"/>
    <n v="699"/>
    <n v="534"/>
    <n v="472"/>
    <n v="366"/>
    <n v="364"/>
    <n v="464"/>
    <n v="364"/>
    <n v="0"/>
    <n v="100"/>
    <x v="151"/>
    <x v="0"/>
    <x v="0"/>
    <x v="0"/>
  </r>
  <r>
    <s v="Description 2215"/>
    <s v="Code 2215"/>
    <n v="3.2000000000000001E-2"/>
    <n v="0"/>
    <n v="0"/>
    <n v="3.2000000000000001E-2"/>
    <n v="0"/>
    <n v="0"/>
    <n v="0"/>
    <n v="0"/>
    <n v="0"/>
    <n v="0"/>
    <n v="100"/>
    <x v="14"/>
    <x v="0"/>
    <x v="0"/>
    <x v="0"/>
  </r>
  <r>
    <s v="Description 2216"/>
    <s v="Code 2216"/>
    <n v="15.8"/>
    <n v="0"/>
    <n v="15.8"/>
    <n v="15.8"/>
    <n v="0"/>
    <n v="0"/>
    <n v="0"/>
    <n v="0"/>
    <n v="0"/>
    <n v="0"/>
    <n v="90"/>
    <x v="60"/>
    <x v="0"/>
    <x v="0"/>
    <x v="0"/>
  </r>
  <r>
    <s v="Description 2217"/>
    <s v="Code 2217"/>
    <n v="1.226"/>
    <n v="0"/>
    <n v="0"/>
    <n v="1.226"/>
    <n v="0"/>
    <n v="0"/>
    <n v="0"/>
    <n v="0"/>
    <n v="0"/>
    <n v="0"/>
    <n v="90"/>
    <x v="139"/>
    <x v="0"/>
    <x v="0"/>
    <x v="0"/>
  </r>
  <r>
    <s v="Description 2218"/>
    <s v="Code 2218"/>
    <n v="1.73"/>
    <n v="0"/>
    <n v="0.96"/>
    <n v="1.73"/>
    <n v="0"/>
    <n v="0"/>
    <n v="0"/>
    <n v="0"/>
    <n v="0"/>
    <n v="0"/>
    <n v="150"/>
    <x v="55"/>
    <x v="0"/>
    <x v="0"/>
    <x v="0"/>
  </r>
  <r>
    <s v="Description 2219"/>
    <s v="Code 2219"/>
    <n v="2.74"/>
    <n v="0"/>
    <n v="5.5220000000000002"/>
    <n v="2.74"/>
    <n v="0"/>
    <n v="0"/>
    <n v="0"/>
    <n v="0"/>
    <n v="0"/>
    <n v="0"/>
    <n v="100"/>
    <x v="139"/>
    <x v="0"/>
    <x v="0"/>
    <x v="0"/>
  </r>
  <r>
    <s v="Description 2220"/>
    <s v="Code 2220"/>
    <n v="36.283000000000001"/>
    <n v="0"/>
    <n v="23.728000000000002"/>
    <n v="24.416999999999994"/>
    <n v="0"/>
    <n v="0"/>
    <n v="0"/>
    <n v="0"/>
    <n v="0"/>
    <n v="0"/>
    <n v="100"/>
    <x v="159"/>
    <x v="0"/>
    <x v="0"/>
    <x v="0"/>
  </r>
  <r>
    <s v="Description 2221"/>
    <s v="Code 2221"/>
    <n v="1.43"/>
    <n v="0"/>
    <n v="0"/>
    <n v="1.43"/>
    <n v="0"/>
    <n v="0"/>
    <n v="0"/>
    <n v="0"/>
    <n v="0"/>
    <n v="0"/>
    <n v="3"/>
    <x v="154"/>
    <x v="0"/>
    <x v="0"/>
    <x v="0"/>
  </r>
  <r>
    <s v="Description 2222"/>
    <s v="Code 2222"/>
    <n v="0.91900000000000004"/>
    <n v="0"/>
    <n v="0"/>
    <n v="0.91900000000000004"/>
    <n v="0"/>
    <n v="0"/>
    <n v="0"/>
    <n v="0"/>
    <n v="0"/>
    <n v="0"/>
    <n v="660"/>
    <x v="40"/>
    <x v="0"/>
    <x v="0"/>
    <x v="0"/>
  </r>
  <r>
    <s v="Description 2223"/>
    <s v="Code 2223"/>
    <n v="1.41"/>
    <n v="0"/>
    <n v="0"/>
    <n v="1.41"/>
    <n v="0"/>
    <n v="0"/>
    <n v="0"/>
    <n v="0"/>
    <n v="0"/>
    <n v="0"/>
    <n v="0"/>
    <x v="62"/>
    <x v="0"/>
    <x v="0"/>
    <x v="0"/>
  </r>
  <r>
    <s v="Description 2224"/>
    <s v="Code 2224"/>
    <n v="73.528999999999996"/>
    <n v="0"/>
    <n v="49.825000000000003"/>
    <n v="54.597000000000001"/>
    <n v="0"/>
    <n v="0"/>
    <n v="0"/>
    <n v="0"/>
    <n v="0"/>
    <n v="0"/>
    <n v="300"/>
    <x v="148"/>
    <x v="0"/>
    <x v="0"/>
    <x v="0"/>
  </r>
  <r>
    <s v="Description 2225"/>
    <s v="Code 2225"/>
    <n v="0"/>
    <n v="25"/>
    <n v="0"/>
    <n v="25"/>
    <n v="0"/>
    <n v="25"/>
    <n v="25"/>
    <n v="0"/>
    <n v="25"/>
    <n v="0"/>
    <n v="600"/>
    <x v="189"/>
    <x v="0"/>
    <x v="0"/>
    <x v="0"/>
  </r>
  <r>
    <s v="Description 2226"/>
    <s v="Code 2226"/>
    <n v="0"/>
    <n v="0"/>
    <n v="0"/>
    <n v="0"/>
    <n v="0"/>
    <n v="0"/>
    <n v="0"/>
    <n v="0"/>
    <n v="0"/>
    <n v="0"/>
    <n v="600"/>
    <x v="183"/>
    <x v="0"/>
    <x v="0"/>
    <x v="0"/>
  </r>
  <r>
    <s v="Description 2227"/>
    <s v="Code 2227"/>
    <n v="0"/>
    <n v="0"/>
    <n v="0"/>
    <n v="0"/>
    <n v="0"/>
    <n v="0"/>
    <n v="0"/>
    <n v="0"/>
    <n v="0"/>
    <n v="0"/>
    <n v="0"/>
    <x v="188"/>
    <x v="0"/>
    <x v="0"/>
    <x v="0"/>
  </r>
  <r>
    <s v="Description 2228"/>
    <s v="Code 2228"/>
    <n v="2204"/>
    <n v="2018"/>
    <n v="2204"/>
    <n v="1804"/>
    <n v="2204"/>
    <n v="2204"/>
    <n v="1080"/>
    <n v="1512"/>
    <n v="1414"/>
    <n v="0"/>
    <n v="200"/>
    <x v="143"/>
    <x v="0"/>
    <x v="0"/>
    <x v="0"/>
  </r>
  <r>
    <s v="Description 2229"/>
    <s v="Code 2229"/>
    <n v="200"/>
    <n v="0"/>
    <n v="0"/>
    <n v="0"/>
    <n v="0"/>
    <n v="0"/>
    <n v="0"/>
    <n v="0"/>
    <n v="0"/>
    <n v="0"/>
    <n v="0"/>
    <x v="92"/>
    <x v="0"/>
    <x v="0"/>
    <x v="0"/>
  </r>
  <r>
    <s v="Description 2230"/>
    <s v="Code 2230"/>
    <n v="0"/>
    <n v="0"/>
    <n v="0"/>
    <n v="0"/>
    <n v="0"/>
    <n v="0"/>
    <n v="0"/>
    <n v="0"/>
    <n v="0"/>
    <n v="0"/>
    <n v="423"/>
    <x v="199"/>
    <x v="0"/>
    <x v="0"/>
    <x v="0"/>
  </r>
  <r>
    <s v="Description 2231"/>
    <s v="Code 2231"/>
    <n v="20"/>
    <n v="23"/>
    <n v="30"/>
    <n v="22"/>
    <n v="20"/>
    <n v="16"/>
    <n v="16"/>
    <n v="15"/>
    <n v="16"/>
    <n v="0"/>
    <n v="101"/>
    <x v="61"/>
    <x v="0"/>
    <x v="0"/>
    <x v="0"/>
  </r>
  <r>
    <s v="Description 2232"/>
    <s v="Code 2232"/>
    <n v="0"/>
    <n v="0"/>
    <n v="0"/>
    <n v="0"/>
    <n v="0"/>
    <n v="0"/>
    <n v="0"/>
    <n v="0"/>
    <n v="0"/>
    <n v="0"/>
    <n v="0"/>
    <x v="85"/>
    <x v="0"/>
    <x v="1"/>
    <x v="0"/>
  </r>
  <r>
    <s v="Description 2233"/>
    <s v="Code 2233"/>
    <n v="10"/>
    <n v="0"/>
    <n v="0"/>
    <n v="10"/>
    <n v="10"/>
    <n v="0"/>
    <n v="0"/>
    <n v="0"/>
    <n v="0"/>
    <n v="0"/>
    <n v="100"/>
    <x v="63"/>
    <x v="0"/>
    <x v="0"/>
    <x v="0"/>
  </r>
  <r>
    <s v="Description 2234"/>
    <s v="Code 2234"/>
    <n v="88"/>
    <n v="30"/>
    <n v="30"/>
    <n v="0"/>
    <n v="118"/>
    <n v="224"/>
    <n v="0"/>
    <n v="0"/>
    <n v="0"/>
    <n v="0"/>
    <n v="0"/>
    <x v="134"/>
    <x v="0"/>
    <x v="0"/>
    <x v="0"/>
  </r>
  <r>
    <s v="Description 2235"/>
    <s v="Code 2235"/>
    <n v="50"/>
    <n v="50"/>
    <n v="100"/>
    <n v="60"/>
    <n v="55"/>
    <n v="60"/>
    <n v="30"/>
    <n v="20"/>
    <n v="70"/>
    <n v="0"/>
    <n v="0"/>
    <x v="2"/>
    <x v="0"/>
    <x v="0"/>
    <x v="0"/>
  </r>
  <r>
    <s v="Description 2236"/>
    <s v="Code 2236"/>
    <n v="1804"/>
    <n v="1585"/>
    <n v="1988"/>
    <n v="2460"/>
    <n v="2208"/>
    <n v="1775"/>
    <n v="716"/>
    <n v="984"/>
    <n v="1388"/>
    <n v="0"/>
    <n v="0"/>
    <x v="170"/>
    <x v="0"/>
    <x v="0"/>
    <x v="0"/>
  </r>
  <r>
    <s v="Description 2237"/>
    <s v="Code 2237"/>
    <n v="1404"/>
    <n v="1218"/>
    <n v="1404"/>
    <n v="1404"/>
    <n v="1404"/>
    <n v="1404"/>
    <n v="1080"/>
    <n v="1512"/>
    <n v="1414"/>
    <n v="0"/>
    <n v="200"/>
    <x v="159"/>
    <x v="0"/>
    <x v="0"/>
    <x v="0"/>
  </r>
  <r>
    <s v="Description 2238"/>
    <s v="Code 2238"/>
    <n v="200"/>
    <n v="0"/>
    <n v="200"/>
    <n v="0"/>
    <n v="100"/>
    <n v="100"/>
    <n v="0"/>
    <n v="0"/>
    <n v="0"/>
    <n v="0"/>
    <n v="0"/>
    <x v="140"/>
    <x v="0"/>
    <x v="0"/>
    <x v="0"/>
  </r>
  <r>
    <s v="Description 2239"/>
    <s v="Code 2239"/>
    <n v="1"/>
    <n v="0"/>
    <n v="0"/>
    <n v="1"/>
    <n v="0"/>
    <n v="0"/>
    <n v="0"/>
    <n v="0"/>
    <n v="0"/>
    <n v="0"/>
    <n v="0"/>
    <x v="46"/>
    <x v="0"/>
    <x v="0"/>
    <x v="0"/>
  </r>
  <r>
    <s v="Description 2240"/>
    <s v="Code 2240"/>
    <n v="1"/>
    <n v="0"/>
    <n v="0"/>
    <n v="1"/>
    <n v="0"/>
    <n v="0"/>
    <n v="0"/>
    <n v="0"/>
    <n v="0"/>
    <n v="0"/>
    <n v="0"/>
    <x v="42"/>
    <x v="0"/>
    <x v="1"/>
    <x v="0"/>
  </r>
  <r>
    <s v="Description 2241"/>
    <s v="Code 2241"/>
    <n v="0"/>
    <n v="0"/>
    <n v="0"/>
    <n v="0"/>
    <n v="0"/>
    <n v="0"/>
    <n v="0"/>
    <n v="0"/>
    <n v="0"/>
    <n v="0"/>
    <n v="0"/>
    <x v="132"/>
    <x v="0"/>
    <x v="0"/>
    <x v="0"/>
  </r>
  <r>
    <s v="Description 2242"/>
    <s v="Code 2242"/>
    <n v="1"/>
    <n v="0"/>
    <n v="1"/>
    <n v="1"/>
    <n v="0"/>
    <n v="0"/>
    <n v="0"/>
    <n v="0"/>
    <n v="0"/>
    <n v="0"/>
    <n v="0"/>
    <x v="116"/>
    <x v="0"/>
    <x v="0"/>
    <x v="0"/>
  </r>
  <r>
    <s v="Description 2243"/>
    <s v="Code 2243"/>
    <n v="0"/>
    <n v="0"/>
    <n v="1"/>
    <n v="0"/>
    <n v="0"/>
    <n v="0"/>
    <n v="0"/>
    <n v="0"/>
    <n v="0"/>
    <n v="0"/>
    <n v="0"/>
    <x v="4"/>
    <x v="0"/>
    <x v="0"/>
    <x v="0"/>
  </r>
  <r>
    <s v="Description 2244"/>
    <s v="Code 2244"/>
    <n v="0"/>
    <n v="0"/>
    <n v="0"/>
    <n v="0"/>
    <n v="0"/>
    <n v="0"/>
    <n v="0"/>
    <n v="0"/>
    <n v="0"/>
    <n v="0"/>
    <n v="0"/>
    <x v="79"/>
    <x v="0"/>
    <x v="0"/>
    <x v="0"/>
  </r>
  <r>
    <s v="Description 2245"/>
    <s v="Code 2245"/>
    <n v="0"/>
    <n v="0"/>
    <n v="1"/>
    <n v="0"/>
    <n v="0"/>
    <n v="0"/>
    <n v="0"/>
    <n v="0"/>
    <n v="0"/>
    <n v="0"/>
    <n v="0"/>
    <x v="14"/>
    <x v="0"/>
    <x v="0"/>
    <x v="0"/>
  </r>
  <r>
    <s v="Description 2246"/>
    <s v="Code 2246"/>
    <n v="1"/>
    <n v="0"/>
    <n v="0"/>
    <n v="0"/>
    <n v="0"/>
    <n v="0"/>
    <n v="0"/>
    <n v="0"/>
    <n v="0"/>
    <n v="0"/>
    <n v="0"/>
    <x v="85"/>
    <x v="0"/>
    <x v="1"/>
    <x v="0"/>
  </r>
  <r>
    <s v="Description 2247"/>
    <s v="Code 2247"/>
    <n v="0"/>
    <n v="0"/>
    <n v="0"/>
    <n v="0"/>
    <n v="0"/>
    <n v="0"/>
    <n v="0"/>
    <n v="0"/>
    <n v="0"/>
    <n v="0"/>
    <n v="0"/>
    <x v="12"/>
    <x v="0"/>
    <x v="0"/>
    <x v="0"/>
  </r>
  <r>
    <s v="Description 2248"/>
    <s v="Code 2248"/>
    <n v="1"/>
    <n v="0"/>
    <n v="0"/>
    <n v="1"/>
    <n v="0"/>
    <n v="0"/>
    <n v="0"/>
    <n v="0"/>
    <n v="0"/>
    <n v="0"/>
    <n v="38"/>
    <x v="79"/>
    <x v="0"/>
    <x v="0"/>
    <x v="0"/>
  </r>
  <r>
    <s v="Description 2249"/>
    <s v="Code 2249"/>
    <n v="0"/>
    <n v="0"/>
    <n v="0"/>
    <n v="0"/>
    <n v="0"/>
    <n v="0"/>
    <n v="0"/>
    <n v="0"/>
    <n v="0"/>
    <n v="0"/>
    <n v="42"/>
    <x v="66"/>
    <x v="0"/>
    <x v="0"/>
    <x v="0"/>
  </r>
  <r>
    <s v="Description 2250"/>
    <s v="Code 2250"/>
    <n v="0"/>
    <n v="0"/>
    <n v="0"/>
    <n v="0"/>
    <n v="0"/>
    <n v="0"/>
    <n v="0"/>
    <n v="0"/>
    <n v="0"/>
    <n v="0"/>
    <n v="997"/>
    <x v="77"/>
    <x v="0"/>
    <x v="0"/>
    <x v="0"/>
  </r>
  <r>
    <s v="Description 2251"/>
    <s v="Code 2251"/>
    <n v="10"/>
    <n v="20"/>
    <n v="30"/>
    <n v="0"/>
    <n v="0"/>
    <n v="0"/>
    <n v="0"/>
    <n v="0"/>
    <n v="50"/>
    <n v="0"/>
    <n v="840"/>
    <x v="154"/>
    <x v="0"/>
    <x v="0"/>
    <x v="0"/>
  </r>
  <r>
    <s v="Description 2252"/>
    <s v="Code 2252"/>
    <n v="10"/>
    <n v="20"/>
    <n v="30"/>
    <n v="0"/>
    <n v="0"/>
    <n v="0"/>
    <n v="0"/>
    <n v="0"/>
    <n v="50"/>
    <n v="0"/>
    <n v="14"/>
    <x v="185"/>
    <x v="0"/>
    <x v="0"/>
    <x v="0"/>
  </r>
  <r>
    <s v="Description 2253"/>
    <s v="Code 2253"/>
    <n v="0"/>
    <n v="0"/>
    <n v="0"/>
    <n v="0"/>
    <n v="0"/>
    <n v="0"/>
    <n v="0"/>
    <n v="0"/>
    <n v="0"/>
    <n v="0"/>
    <n v="47"/>
    <x v="160"/>
    <x v="0"/>
    <x v="0"/>
    <x v="0"/>
  </r>
  <r>
    <s v="Description 2254"/>
    <s v="Code 2254"/>
    <n v="0"/>
    <n v="0"/>
    <n v="0"/>
    <n v="0"/>
    <n v="0"/>
    <n v="0"/>
    <n v="0"/>
    <n v="0"/>
    <n v="0"/>
    <n v="0"/>
    <n v="12"/>
    <x v="146"/>
    <x v="0"/>
    <x v="0"/>
    <x v="0"/>
  </r>
  <r>
    <s v="Description 2255"/>
    <s v="Code 2255"/>
    <n v="0"/>
    <n v="0"/>
    <n v="0"/>
    <n v="0"/>
    <n v="0"/>
    <n v="0"/>
    <n v="0"/>
    <n v="0"/>
    <n v="0"/>
    <n v="0"/>
    <n v="8"/>
    <x v="115"/>
    <x v="0"/>
    <x v="0"/>
    <x v="0"/>
  </r>
  <r>
    <s v="Description 2256"/>
    <s v="Code 2256"/>
    <n v="0"/>
    <n v="0"/>
    <n v="0"/>
    <n v="0"/>
    <n v="0"/>
    <n v="0"/>
    <n v="0"/>
    <n v="0"/>
    <n v="0"/>
    <n v="0"/>
    <n v="8"/>
    <x v="125"/>
    <x v="0"/>
    <x v="0"/>
    <x v="0"/>
  </r>
  <r>
    <s v="Description 2257"/>
    <s v="Code 2257"/>
    <n v="0"/>
    <n v="0"/>
    <n v="0"/>
    <n v="0"/>
    <n v="0"/>
    <n v="0"/>
    <n v="0"/>
    <n v="0"/>
    <n v="0"/>
    <n v="0"/>
    <n v="8"/>
    <x v="187"/>
    <x v="0"/>
    <x v="1"/>
    <x v="0"/>
  </r>
  <r>
    <s v="Description 2258"/>
    <s v="Code 2258"/>
    <n v="0"/>
    <n v="0"/>
    <n v="0"/>
    <n v="0"/>
    <n v="0"/>
    <n v="0"/>
    <n v="0"/>
    <n v="0"/>
    <n v="0"/>
    <n v="0"/>
    <n v="32"/>
    <x v="186"/>
    <x v="0"/>
    <x v="0"/>
    <x v="0"/>
  </r>
  <r>
    <s v="Description 2259"/>
    <s v="Code 2259"/>
    <n v="0"/>
    <n v="0"/>
    <n v="0"/>
    <n v="0"/>
    <n v="0"/>
    <n v="0"/>
    <n v="0"/>
    <n v="0"/>
    <n v="0"/>
    <n v="0"/>
    <n v="8"/>
    <x v="148"/>
    <x v="0"/>
    <x v="0"/>
    <x v="0"/>
  </r>
  <r>
    <s v="Description 2260"/>
    <s v="Code 2260"/>
    <n v="0"/>
    <n v="0"/>
    <n v="0"/>
    <n v="0"/>
    <n v="0"/>
    <n v="0"/>
    <n v="0"/>
    <n v="0"/>
    <n v="0"/>
    <n v="0"/>
    <n v="12"/>
    <x v="35"/>
    <x v="0"/>
    <x v="1"/>
    <x v="0"/>
  </r>
  <r>
    <s v="Description 2261"/>
    <s v="Code 2261"/>
    <n v="0"/>
    <n v="0"/>
    <n v="0"/>
    <n v="0"/>
    <n v="0"/>
    <n v="0"/>
    <n v="0"/>
    <n v="0"/>
    <n v="0"/>
    <n v="0"/>
    <n v="8"/>
    <x v="25"/>
    <x v="0"/>
    <x v="1"/>
    <x v="0"/>
  </r>
  <r>
    <s v="Description 2262"/>
    <s v="Code 2262"/>
    <n v="0"/>
    <n v="0"/>
    <n v="0"/>
    <n v="0"/>
    <n v="0"/>
    <n v="0"/>
    <n v="0"/>
    <n v="0"/>
    <n v="0"/>
    <n v="0"/>
    <n v="8"/>
    <x v="122"/>
    <x v="0"/>
    <x v="0"/>
    <x v="0"/>
  </r>
  <r>
    <s v="Description 2263"/>
    <s v="Code 2263"/>
    <n v="0"/>
    <n v="0"/>
    <n v="0"/>
    <n v="0"/>
    <n v="0"/>
    <n v="0"/>
    <n v="0"/>
    <n v="0"/>
    <n v="0"/>
    <n v="0"/>
    <n v="12"/>
    <x v="57"/>
    <x v="0"/>
    <x v="0"/>
    <x v="0"/>
  </r>
  <r>
    <s v="Description 2264"/>
    <s v="Code 2264"/>
    <n v="0"/>
    <n v="0"/>
    <n v="0"/>
    <n v="0"/>
    <n v="0"/>
    <n v="0"/>
    <n v="0"/>
    <n v="0"/>
    <n v="0"/>
    <n v="0"/>
    <n v="8"/>
    <x v="56"/>
    <x v="0"/>
    <x v="0"/>
    <x v="0"/>
  </r>
  <r>
    <s v="Description 2265"/>
    <s v="Code 2265"/>
    <n v="0"/>
    <n v="0"/>
    <n v="0"/>
    <n v="0"/>
    <n v="0"/>
    <n v="0"/>
    <n v="0"/>
    <n v="0"/>
    <n v="0"/>
    <n v="0"/>
    <n v="8"/>
    <x v="104"/>
    <x v="0"/>
    <x v="0"/>
    <x v="0"/>
  </r>
  <r>
    <s v="Description 2266"/>
    <s v="Code 2266"/>
    <n v="0"/>
    <n v="0"/>
    <n v="0"/>
    <n v="0"/>
    <n v="0"/>
    <n v="0"/>
    <n v="0"/>
    <n v="0"/>
    <n v="0"/>
    <n v="0"/>
    <n v="8"/>
    <x v="97"/>
    <x v="0"/>
    <x v="0"/>
    <x v="0"/>
  </r>
  <r>
    <s v="Description 2267"/>
    <s v="Code 2267"/>
    <n v="0"/>
    <n v="0"/>
    <n v="0"/>
    <n v="0"/>
    <n v="0"/>
    <n v="0"/>
    <n v="0"/>
    <n v="0"/>
    <n v="0"/>
    <n v="0"/>
    <n v="0"/>
    <x v="176"/>
    <x v="0"/>
    <x v="0"/>
    <x v="0"/>
  </r>
  <r>
    <s v="Description 2268"/>
    <s v="Code 2268"/>
    <n v="0"/>
    <n v="0"/>
    <n v="0"/>
    <n v="0"/>
    <n v="0"/>
    <n v="0"/>
    <n v="0"/>
    <n v="0"/>
    <n v="0"/>
    <n v="0"/>
    <n v="0"/>
    <x v="77"/>
    <x v="0"/>
    <x v="0"/>
    <x v="0"/>
  </r>
  <r>
    <s v="Description 2269"/>
    <s v="Code 2269"/>
    <n v="0"/>
    <n v="0"/>
    <n v="0"/>
    <n v="0"/>
    <n v="0"/>
    <n v="0"/>
    <n v="0"/>
    <n v="0"/>
    <n v="0"/>
    <n v="0"/>
    <n v="144"/>
    <x v="14"/>
    <x v="0"/>
    <x v="0"/>
    <x v="0"/>
  </r>
  <r>
    <s v="Description 2270"/>
    <s v="Code 2270"/>
    <n v="0"/>
    <n v="0"/>
    <n v="0"/>
    <n v="0"/>
    <n v="0"/>
    <n v="0"/>
    <n v="0"/>
    <n v="0"/>
    <n v="0"/>
    <n v="0"/>
    <n v="32"/>
    <x v="192"/>
    <x v="0"/>
    <x v="0"/>
    <x v="0"/>
  </r>
  <r>
    <s v="Description 2271"/>
    <s v="Code 2271"/>
    <n v="0"/>
    <n v="0"/>
    <n v="0"/>
    <n v="0"/>
    <n v="0"/>
    <n v="0"/>
    <n v="0"/>
    <n v="0"/>
    <n v="0"/>
    <n v="0"/>
    <n v="0"/>
    <x v="188"/>
    <x v="0"/>
    <x v="0"/>
    <x v="0"/>
  </r>
  <r>
    <s v="Description 2272"/>
    <s v="Code 2272"/>
    <n v="0"/>
    <n v="0"/>
    <n v="0"/>
    <n v="0"/>
    <n v="0"/>
    <n v="0"/>
    <n v="0"/>
    <n v="0"/>
    <n v="0"/>
    <n v="0"/>
    <n v="0"/>
    <x v="111"/>
    <x v="0"/>
    <x v="0"/>
    <x v="0"/>
  </r>
  <r>
    <s v="Description 2273"/>
    <s v="Code 2273"/>
    <n v="0"/>
    <n v="0"/>
    <n v="0"/>
    <n v="0"/>
    <n v="0"/>
    <n v="0"/>
    <n v="0"/>
    <n v="0"/>
    <n v="0"/>
    <n v="0"/>
    <n v="0"/>
    <x v="56"/>
    <x v="0"/>
    <x v="0"/>
    <x v="0"/>
  </r>
  <r>
    <s v="Description 2274"/>
    <s v="Code 2274"/>
    <n v="0"/>
    <n v="0"/>
    <n v="0"/>
    <n v="0"/>
    <n v="0"/>
    <n v="0"/>
    <n v="0"/>
    <n v="0"/>
    <n v="0"/>
    <n v="0"/>
    <n v="250"/>
    <x v="47"/>
    <x v="0"/>
    <x v="0"/>
    <x v="0"/>
  </r>
  <r>
    <s v="Description 2275"/>
    <s v="Code 2275"/>
    <n v="0"/>
    <n v="0"/>
    <n v="0"/>
    <n v="0"/>
    <n v="0"/>
    <n v="0"/>
    <n v="0"/>
    <n v="0"/>
    <n v="0"/>
    <n v="0"/>
    <n v="250"/>
    <x v="104"/>
    <x v="0"/>
    <x v="0"/>
    <x v="0"/>
  </r>
  <r>
    <s v="Description 2276"/>
    <s v="Code 2276"/>
    <n v="0"/>
    <n v="0"/>
    <n v="0"/>
    <n v="0"/>
    <n v="0"/>
    <n v="0"/>
    <n v="0"/>
    <n v="0"/>
    <n v="0"/>
    <n v="0"/>
    <n v="3006"/>
    <x v="113"/>
    <x v="0"/>
    <x v="0"/>
    <x v="0"/>
  </r>
  <r>
    <s v="Description 2277"/>
    <s v="Code 2277"/>
    <n v="200"/>
    <n v="0"/>
    <n v="140"/>
    <n v="3"/>
    <n v="0"/>
    <n v="1"/>
    <n v="25"/>
    <n v="12"/>
    <n v="30"/>
    <n v="0"/>
    <n v="930"/>
    <x v="15"/>
    <x v="0"/>
    <x v="0"/>
    <x v="0"/>
  </r>
  <r>
    <s v="Description 2278"/>
    <s v="Code 2278"/>
    <n v="0"/>
    <n v="0"/>
    <n v="0"/>
    <n v="0"/>
    <n v="0"/>
    <n v="0"/>
    <n v="0"/>
    <n v="0"/>
    <n v="0"/>
    <n v="0"/>
    <n v="25"/>
    <x v="128"/>
    <x v="0"/>
    <x v="0"/>
    <x v="0"/>
  </r>
  <r>
    <s v="Description 2279"/>
    <s v="Code 2279"/>
    <n v="14"/>
    <n v="18"/>
    <n v="24"/>
    <n v="28"/>
    <n v="28"/>
    <n v="26"/>
    <n v="18"/>
    <n v="16"/>
    <n v="14"/>
    <n v="0"/>
    <n v="318"/>
    <x v="64"/>
    <x v="0"/>
    <x v="0"/>
    <x v="0"/>
  </r>
  <r>
    <s v="Description 2280"/>
    <s v="Code 2280"/>
    <n v="7"/>
    <n v="9"/>
    <n v="12"/>
    <n v="26"/>
    <n v="26"/>
    <n v="25"/>
    <n v="15"/>
    <n v="20"/>
    <n v="16"/>
    <n v="0"/>
    <n v="1081"/>
    <x v="67"/>
    <x v="0"/>
    <x v="0"/>
    <x v="0"/>
  </r>
  <r>
    <s v="Description 2281"/>
    <s v="Code 2281"/>
    <n v="3"/>
    <n v="0"/>
    <n v="23"/>
    <n v="12"/>
    <n v="9"/>
    <n v="200"/>
    <n v="6"/>
    <n v="15"/>
    <n v="0"/>
    <n v="0"/>
    <n v="583"/>
    <x v="32"/>
    <x v="0"/>
    <x v="0"/>
    <x v="0"/>
  </r>
  <r>
    <s v="Description 2282"/>
    <s v="Code 2282"/>
    <n v="0"/>
    <n v="0"/>
    <n v="0"/>
    <n v="0"/>
    <n v="0"/>
    <n v="0"/>
    <n v="0"/>
    <n v="0"/>
    <n v="0"/>
    <n v="0"/>
    <n v="518"/>
    <x v="39"/>
    <x v="0"/>
    <x v="0"/>
    <x v="0"/>
  </r>
  <r>
    <s v="Description 2283"/>
    <s v="Code 2283"/>
    <n v="0"/>
    <n v="0"/>
    <n v="0"/>
    <n v="0"/>
    <n v="0"/>
    <n v="0"/>
    <n v="0"/>
    <n v="0"/>
    <n v="0"/>
    <n v="0"/>
    <n v="259"/>
    <x v="169"/>
    <x v="0"/>
    <x v="0"/>
    <x v="0"/>
  </r>
  <r>
    <s v="Description 2284"/>
    <s v="Code 2284"/>
    <n v="0"/>
    <n v="0"/>
    <n v="0"/>
    <n v="0"/>
    <n v="0"/>
    <n v="0"/>
    <n v="0"/>
    <n v="0"/>
    <n v="0"/>
    <n v="0"/>
    <n v="0"/>
    <x v="52"/>
    <x v="0"/>
    <x v="0"/>
    <x v="0"/>
  </r>
  <r>
    <s v="Description 2285"/>
    <s v="Code 2285"/>
    <n v="0"/>
    <n v="0"/>
    <n v="0"/>
    <n v="0"/>
    <n v="0"/>
    <n v="0"/>
    <n v="0"/>
    <n v="0"/>
    <n v="0"/>
    <n v="0"/>
    <n v="0"/>
    <x v="49"/>
    <x v="0"/>
    <x v="0"/>
    <x v="0"/>
  </r>
  <r>
    <s v="Description 2286"/>
    <s v="Code 2286"/>
    <n v="312"/>
    <n v="312"/>
    <n v="336"/>
    <n v="264"/>
    <n v="324"/>
    <n v="288"/>
    <n v="264"/>
    <n v="264"/>
    <n v="216"/>
    <n v="0"/>
    <n v="175"/>
    <x v="0"/>
    <x v="0"/>
    <x v="0"/>
    <x v="0"/>
  </r>
  <r>
    <s v="Description 2287"/>
    <s v="Code 2287"/>
    <n v="0"/>
    <n v="0"/>
    <n v="0"/>
    <n v="0"/>
    <n v="0"/>
    <n v="0"/>
    <n v="0"/>
    <n v="0"/>
    <n v="0"/>
    <n v="0"/>
    <n v="0"/>
    <x v="102"/>
    <x v="0"/>
    <x v="0"/>
    <x v="0"/>
  </r>
  <r>
    <s v="Description 2288"/>
    <s v="Code 2288"/>
    <n v="0"/>
    <n v="0"/>
    <n v="0"/>
    <n v="400"/>
    <n v="0"/>
    <n v="0"/>
    <n v="400"/>
    <n v="0"/>
    <n v="0"/>
    <n v="0"/>
    <n v="3.96"/>
    <x v="77"/>
    <x v="0"/>
    <x v="0"/>
    <x v="0"/>
  </r>
  <r>
    <s v="Description 2289"/>
    <s v="Code 2289"/>
    <n v="0.64"/>
    <n v="0.64"/>
    <n v="0.96"/>
    <n v="0.71"/>
    <n v="0.64"/>
    <n v="0.64"/>
    <n v="0.64"/>
    <n v="0.32"/>
    <n v="0.64"/>
    <n v="0"/>
    <n v="3.9"/>
    <x v="91"/>
    <x v="0"/>
    <x v="0"/>
    <x v="0"/>
  </r>
  <r>
    <s v="Description 2290"/>
    <s v="Code 2290"/>
    <n v="0"/>
    <n v="0"/>
    <n v="0"/>
    <n v="0"/>
    <n v="0"/>
    <n v="0"/>
    <n v="0"/>
    <n v="0"/>
    <n v="0"/>
    <n v="0"/>
    <n v="0"/>
    <x v="178"/>
    <x v="0"/>
    <x v="0"/>
    <x v="0"/>
  </r>
  <r>
    <s v="Description 2291"/>
    <s v="Code 2291"/>
    <n v="8.0000000000000002E-3"/>
    <n v="6.0000000000000001E-3"/>
    <n v="4.0000000000000001E-3"/>
    <n v="0"/>
    <n v="0"/>
    <n v="0"/>
    <n v="6.0000000000000001E-3"/>
    <n v="0"/>
    <n v="4.0000000000000001E-3"/>
    <n v="0"/>
    <n v="6"/>
    <x v="178"/>
    <x v="0"/>
    <x v="0"/>
    <x v="0"/>
  </r>
  <r>
    <s v="Description 2292"/>
    <s v="Code 2292"/>
    <n v="2"/>
    <n v="2.2000000000000002"/>
    <n v="3.4"/>
    <n v="3.4"/>
    <n v="0.78"/>
    <n v="1.48"/>
    <n v="1.28"/>
    <n v="1.38"/>
    <n v="0.88"/>
    <n v="0"/>
    <n v="0"/>
    <x v="58"/>
    <x v="0"/>
    <x v="0"/>
    <x v="0"/>
  </r>
  <r>
    <s v="Description 2293"/>
    <s v="Code 2293"/>
    <n v="0"/>
    <n v="0"/>
    <n v="0"/>
    <n v="0"/>
    <n v="0"/>
    <n v="0"/>
    <n v="0"/>
    <n v="0"/>
    <n v="0"/>
    <n v="0"/>
    <n v="0"/>
    <x v="86"/>
    <x v="0"/>
    <x v="0"/>
    <x v="0"/>
  </r>
  <r>
    <s v="Description 2294"/>
    <s v="Code 2294"/>
    <n v="0"/>
    <n v="0"/>
    <n v="0"/>
    <n v="0"/>
    <n v="0"/>
    <n v="0"/>
    <n v="0"/>
    <n v="0"/>
    <n v="0"/>
    <n v="0"/>
    <n v="2"/>
    <x v="21"/>
    <x v="0"/>
    <x v="0"/>
    <x v="0"/>
  </r>
  <r>
    <s v="Description 2295"/>
    <s v="Code 2295"/>
    <n v="0"/>
    <n v="0"/>
    <n v="0"/>
    <n v="0"/>
    <n v="0"/>
    <n v="0"/>
    <n v="0"/>
    <n v="0"/>
    <n v="0"/>
    <n v="0"/>
    <n v="0"/>
    <x v="30"/>
    <x v="0"/>
    <x v="0"/>
    <x v="0"/>
  </r>
  <r>
    <s v="Description 2296"/>
    <s v="Code 2296"/>
    <n v="0"/>
    <n v="0"/>
    <n v="0"/>
    <n v="0"/>
    <n v="0"/>
    <n v="0"/>
    <n v="0"/>
    <n v="0"/>
    <n v="0"/>
    <n v="0"/>
    <n v="0"/>
    <x v="14"/>
    <x v="0"/>
    <x v="0"/>
    <x v="0"/>
  </r>
  <r>
    <s v="Description 2297"/>
    <s v="Code 2297"/>
    <n v="1.0089999999999999"/>
    <n v="0.50749999999999995"/>
    <n v="0.51249999999999996"/>
    <n v="0.51400000000000001"/>
    <n v="0.52200000000000002"/>
    <n v="0.50949999999999995"/>
    <n v="0.51100000000000001"/>
    <n v="0.51249999999999996"/>
    <n v="0.51400000000000001"/>
    <n v="0"/>
    <n v="0"/>
    <x v="155"/>
    <x v="0"/>
    <x v="0"/>
    <x v="0"/>
  </r>
  <r>
    <s v="Description 2298"/>
    <s v="Code 2298"/>
    <n v="0"/>
    <n v="0"/>
    <n v="0"/>
    <n v="0"/>
    <n v="0"/>
    <n v="0"/>
    <n v="0"/>
    <n v="0"/>
    <n v="0"/>
    <n v="0"/>
    <n v="473"/>
    <x v="150"/>
    <x v="0"/>
    <x v="0"/>
    <x v="0"/>
  </r>
  <r>
    <s v="Description 2299"/>
    <s v="Code 2299"/>
    <n v="0"/>
    <n v="0"/>
    <n v="0"/>
    <n v="0"/>
    <n v="0"/>
    <n v="0"/>
    <n v="0"/>
    <n v="0"/>
    <n v="0"/>
    <n v="0"/>
    <n v="130"/>
    <x v="103"/>
    <x v="0"/>
    <x v="0"/>
    <x v="0"/>
  </r>
  <r>
    <s v="Description 2300"/>
    <s v="Code 2300"/>
    <n v="0"/>
    <n v="0"/>
    <n v="0"/>
    <n v="0"/>
    <n v="0"/>
    <n v="0"/>
    <n v="0"/>
    <n v="0"/>
    <n v="0"/>
    <n v="0"/>
    <n v="400"/>
    <x v="142"/>
    <x v="0"/>
    <x v="0"/>
    <x v="0"/>
  </r>
  <r>
    <s v="Description 2301"/>
    <s v="Code 2301"/>
    <n v="0"/>
    <n v="0"/>
    <n v="0"/>
    <n v="0"/>
    <n v="0"/>
    <n v="0"/>
    <n v="0"/>
    <n v="0"/>
    <n v="0"/>
    <n v="0"/>
    <n v="500"/>
    <x v="7"/>
    <x v="0"/>
    <x v="0"/>
    <x v="0"/>
  </r>
  <r>
    <s v="Description 2302"/>
    <s v="Code 2302"/>
    <n v="100"/>
    <n v="200"/>
    <n v="100"/>
    <n v="200"/>
    <n v="100"/>
    <n v="200"/>
    <n v="100"/>
    <n v="100"/>
    <n v="100"/>
    <n v="0"/>
    <n v="200"/>
    <x v="36"/>
    <x v="0"/>
    <x v="0"/>
    <x v="0"/>
  </r>
  <r>
    <s v="Description 2303"/>
    <s v="Code 2303"/>
    <n v="0"/>
    <n v="0"/>
    <n v="0"/>
    <n v="0"/>
    <n v="0"/>
    <n v="0"/>
    <n v="0"/>
    <n v="0"/>
    <n v="0"/>
    <n v="0"/>
    <n v="638"/>
    <x v="171"/>
    <x v="0"/>
    <x v="0"/>
    <x v="0"/>
  </r>
  <r>
    <s v="Description 2304"/>
    <s v="Code 2304"/>
    <n v="0"/>
    <n v="0"/>
    <n v="0"/>
    <n v="105"/>
    <n v="50"/>
    <n v="120"/>
    <n v="0"/>
    <n v="0"/>
    <n v="15"/>
    <n v="0"/>
    <n v="139"/>
    <x v="24"/>
    <x v="0"/>
    <x v="0"/>
    <x v="0"/>
  </r>
  <r>
    <s v="Description 2305"/>
    <s v="Code 2305"/>
    <n v="1"/>
    <n v="0"/>
    <n v="8"/>
    <n v="4"/>
    <n v="3"/>
    <n v="0"/>
    <n v="2"/>
    <n v="5"/>
    <n v="0"/>
    <n v="0"/>
    <n v="192"/>
    <x v="3"/>
    <x v="0"/>
    <x v="0"/>
    <x v="0"/>
  </r>
  <r>
    <s v="Description 2306"/>
    <s v="Code 2306"/>
    <n v="5"/>
    <n v="3"/>
    <n v="2"/>
    <n v="8"/>
    <n v="1"/>
    <n v="1"/>
    <n v="2"/>
    <n v="9"/>
    <n v="4"/>
    <n v="0"/>
    <n v="303"/>
    <x v="146"/>
    <x v="0"/>
    <x v="0"/>
    <x v="0"/>
  </r>
  <r>
    <s v="Description 2307"/>
    <s v="Code 2307"/>
    <n v="14"/>
    <n v="14"/>
    <n v="7"/>
    <n v="28"/>
    <n v="12"/>
    <n v="10"/>
    <n v="8"/>
    <n v="6"/>
    <n v="8"/>
    <n v="0"/>
    <n v="1169"/>
    <x v="109"/>
    <x v="0"/>
    <x v="0"/>
    <x v="0"/>
  </r>
  <r>
    <s v="Description 2308"/>
    <s v="Code 2308"/>
    <n v="101"/>
    <n v="0"/>
    <n v="53"/>
    <n v="5"/>
    <n v="3"/>
    <n v="0"/>
    <n v="2"/>
    <n v="9"/>
    <n v="0"/>
    <n v="0"/>
    <n v="886"/>
    <x v="124"/>
    <x v="0"/>
    <x v="0"/>
    <x v="0"/>
  </r>
  <r>
    <s v="Description 2309"/>
    <s v="Code 2309"/>
    <n v="101"/>
    <n v="0"/>
    <n v="53"/>
    <n v="5"/>
    <n v="3"/>
    <n v="0"/>
    <n v="2"/>
    <n v="9"/>
    <n v="0"/>
    <n v="0"/>
    <n v="1222"/>
    <x v="121"/>
    <x v="0"/>
    <x v="0"/>
    <x v="0"/>
  </r>
  <r>
    <s v="Description 2310"/>
    <s v="Code 2310"/>
    <n v="101"/>
    <n v="0"/>
    <n v="47"/>
    <n v="5"/>
    <n v="3"/>
    <n v="0"/>
    <n v="2"/>
    <n v="9"/>
    <n v="0"/>
    <n v="0"/>
    <n v="100"/>
    <x v="168"/>
    <x v="0"/>
    <x v="0"/>
    <x v="0"/>
  </r>
  <r>
    <s v="Description 2311"/>
    <s v="Code 2311"/>
    <n v="64"/>
    <n v="0"/>
    <n v="50"/>
    <n v="50"/>
    <n v="0"/>
    <n v="0"/>
    <n v="0"/>
    <n v="0"/>
    <n v="0"/>
    <n v="0"/>
    <n v="0"/>
    <x v="120"/>
    <x v="0"/>
    <x v="0"/>
    <x v="0"/>
  </r>
  <r>
    <s v="Description 2312"/>
    <s v="Code 2312"/>
    <n v="0"/>
    <n v="0"/>
    <n v="0"/>
    <n v="0"/>
    <n v="0"/>
    <n v="0"/>
    <n v="0"/>
    <n v="0"/>
    <n v="0"/>
    <n v="0"/>
    <n v="0"/>
    <x v="198"/>
    <x v="0"/>
    <x v="0"/>
    <x v="0"/>
  </r>
  <r>
    <s v="Description 2313"/>
    <s v="Code 2313"/>
    <n v="0"/>
    <n v="0"/>
    <n v="0"/>
    <n v="0"/>
    <n v="0"/>
    <n v="0"/>
    <n v="0"/>
    <n v="0"/>
    <n v="0"/>
    <n v="0"/>
    <n v="4"/>
    <x v="175"/>
    <x v="0"/>
    <x v="0"/>
    <x v="0"/>
  </r>
  <r>
    <s v="Description 2314"/>
    <s v="Code 2314"/>
    <n v="0"/>
    <n v="0"/>
    <n v="0"/>
    <n v="0"/>
    <n v="0"/>
    <n v="0"/>
    <n v="0"/>
    <n v="0"/>
    <n v="0"/>
    <n v="0"/>
    <n v="3"/>
    <x v="179"/>
    <x v="0"/>
    <x v="0"/>
    <x v="0"/>
  </r>
  <r>
    <s v="Description 2315"/>
    <s v="Code 2315"/>
    <n v="0"/>
    <n v="0"/>
    <n v="4"/>
    <n v="0"/>
    <n v="0"/>
    <n v="0"/>
    <n v="0"/>
    <n v="4"/>
    <n v="0"/>
    <n v="0"/>
    <n v="0"/>
    <x v="190"/>
    <x v="0"/>
    <x v="0"/>
    <x v="0"/>
  </r>
  <r>
    <s v="Description 2316"/>
    <s v="Code 2316"/>
    <n v="0"/>
    <n v="0"/>
    <n v="0"/>
    <n v="0"/>
    <n v="0"/>
    <n v="0"/>
    <n v="0"/>
    <n v="0"/>
    <n v="0"/>
    <n v="0"/>
    <n v="6"/>
    <x v="87"/>
    <x v="0"/>
    <x v="0"/>
    <x v="0"/>
  </r>
  <r>
    <s v="Description 2317"/>
    <s v="Code 2317"/>
    <n v="0"/>
    <n v="0"/>
    <n v="0"/>
    <n v="3"/>
    <n v="0"/>
    <n v="0"/>
    <n v="0"/>
    <n v="0"/>
    <n v="0"/>
    <n v="0"/>
    <n v="0"/>
    <x v="44"/>
    <x v="0"/>
    <x v="0"/>
    <x v="0"/>
  </r>
  <r>
    <s v="Description 2318"/>
    <s v="Code 2318"/>
    <n v="0"/>
    <n v="0"/>
    <n v="0"/>
    <n v="0"/>
    <n v="0"/>
    <n v="0"/>
    <n v="0"/>
    <n v="2"/>
    <n v="0"/>
    <n v="0"/>
    <n v="5"/>
    <x v="154"/>
    <x v="0"/>
    <x v="0"/>
    <x v="0"/>
  </r>
  <r>
    <s v="Description 2319"/>
    <s v="Code 2319"/>
    <n v="0"/>
    <n v="0"/>
    <n v="0"/>
    <n v="1"/>
    <n v="0"/>
    <n v="0"/>
    <n v="0"/>
    <n v="0"/>
    <n v="0"/>
    <n v="0"/>
    <n v="86"/>
    <x v="126"/>
    <x v="0"/>
    <x v="0"/>
    <x v="0"/>
  </r>
  <r>
    <s v="Description 2320"/>
    <s v="Code 2320"/>
    <n v="80"/>
    <n v="50"/>
    <n v="50"/>
    <n v="130"/>
    <n v="70"/>
    <n v="100"/>
    <n v="75"/>
    <n v="70"/>
    <n v="50"/>
    <n v="0"/>
    <n v="1"/>
    <x v="158"/>
    <x v="0"/>
    <x v="0"/>
    <x v="0"/>
  </r>
  <r>
    <s v="Description 2321"/>
    <s v="Code 2321"/>
    <n v="0"/>
    <n v="0"/>
    <n v="0"/>
    <n v="0"/>
    <n v="0"/>
    <n v="0"/>
    <n v="0"/>
    <n v="0"/>
    <n v="0"/>
    <n v="0"/>
    <n v="117"/>
    <x v="37"/>
    <x v="0"/>
    <x v="0"/>
    <x v="0"/>
  </r>
  <r>
    <s v="Description 2322"/>
    <s v="Code 2322"/>
    <n v="0"/>
    <n v="2"/>
    <n v="2"/>
    <n v="2"/>
    <n v="7"/>
    <n v="2"/>
    <n v="8"/>
    <n v="2"/>
    <n v="7"/>
    <n v="0"/>
    <n v="377"/>
    <x v="184"/>
    <x v="0"/>
    <x v="0"/>
    <x v="0"/>
  </r>
  <r>
    <s v="Description 2323"/>
    <s v="Code 2323"/>
    <n v="0"/>
    <n v="0"/>
    <n v="0"/>
    <n v="0"/>
    <n v="0"/>
    <n v="0"/>
    <n v="0"/>
    <n v="0"/>
    <n v="0"/>
    <n v="0"/>
    <n v="236"/>
    <x v="197"/>
    <x v="0"/>
    <x v="0"/>
    <x v="0"/>
  </r>
  <r>
    <s v="Description 2324"/>
    <s v="Code 2324"/>
    <n v="10"/>
    <n v="10"/>
    <n v="15"/>
    <n v="10"/>
    <n v="10"/>
    <n v="10"/>
    <n v="10"/>
    <n v="5"/>
    <n v="10"/>
    <n v="0"/>
    <n v="0"/>
    <x v="4"/>
    <x v="0"/>
    <x v="0"/>
    <x v="0"/>
  </r>
  <r>
    <s v="Description 2325"/>
    <s v="Code 2325"/>
    <n v="0"/>
    <n v="0"/>
    <n v="0"/>
    <n v="0"/>
    <n v="0"/>
    <n v="0"/>
    <n v="0"/>
    <n v="0"/>
    <n v="0"/>
    <n v="0"/>
    <n v="140"/>
    <x v="164"/>
    <x v="0"/>
    <x v="0"/>
    <x v="0"/>
  </r>
  <r>
    <s v="Description 2326"/>
    <s v="Code 2326"/>
    <n v="18"/>
    <n v="17"/>
    <n v="8"/>
    <n v="34"/>
    <n v="12"/>
    <n v="11"/>
    <n v="10"/>
    <n v="14"/>
    <n v="12"/>
    <n v="0"/>
    <n v="5"/>
    <x v="148"/>
    <x v="0"/>
    <x v="0"/>
    <x v="0"/>
  </r>
  <r>
    <s v="Description 2327"/>
    <s v="Code 2327"/>
    <n v="136"/>
    <n v="151"/>
    <n v="161"/>
    <n v="181"/>
    <n v="91"/>
    <n v="121"/>
    <n v="121"/>
    <n v="92"/>
    <n v="61"/>
    <n v="0"/>
    <n v="1578"/>
    <x v="11"/>
    <x v="0"/>
    <x v="0"/>
    <x v="0"/>
  </r>
  <r>
    <s v="Description 2328"/>
    <s v="Code 2328"/>
    <n v="1"/>
    <n v="0"/>
    <n v="1"/>
    <n v="2"/>
    <n v="1"/>
    <n v="0"/>
    <n v="0"/>
    <n v="1"/>
    <n v="0"/>
    <n v="0"/>
    <n v="0"/>
    <x v="111"/>
    <x v="0"/>
    <x v="0"/>
    <x v="0"/>
  </r>
  <r>
    <s v="Description 2329"/>
    <s v="Code 2329"/>
    <n v="2"/>
    <n v="0"/>
    <n v="2"/>
    <n v="1"/>
    <n v="3"/>
    <n v="0"/>
    <n v="0"/>
    <n v="0"/>
    <n v="1"/>
    <n v="0"/>
    <n v="0"/>
    <x v="131"/>
    <x v="0"/>
    <x v="0"/>
    <x v="0"/>
  </r>
  <r>
    <s v="Description 2330"/>
    <s v="Code 2330"/>
    <n v="0"/>
    <n v="0"/>
    <n v="0"/>
    <n v="0"/>
    <n v="0"/>
    <n v="0"/>
    <n v="0"/>
    <n v="0"/>
    <n v="0"/>
    <n v="0"/>
    <n v="36"/>
    <x v="50"/>
    <x v="0"/>
    <x v="0"/>
    <x v="0"/>
  </r>
  <r>
    <s v="Description 2331"/>
    <s v="Code 2331"/>
    <n v="0"/>
    <n v="0"/>
    <n v="0"/>
    <n v="0"/>
    <n v="0"/>
    <n v="0"/>
    <n v="0"/>
    <n v="0"/>
    <n v="0"/>
    <n v="0"/>
    <n v="73"/>
    <x v="171"/>
    <x v="0"/>
    <x v="0"/>
    <x v="0"/>
  </r>
  <r>
    <s v="Description 2332"/>
    <s v="Code 2332"/>
    <n v="0"/>
    <n v="0.495"/>
    <n v="0"/>
    <n v="0"/>
    <n v="0"/>
    <n v="0"/>
    <n v="0"/>
    <n v="0"/>
    <n v="0"/>
    <n v="0"/>
    <n v="2"/>
    <x v="165"/>
    <x v="0"/>
    <x v="0"/>
    <x v="0"/>
  </r>
  <r>
    <s v="Description 2333"/>
    <s v="Code 2333"/>
    <n v="5"/>
    <n v="0"/>
    <n v="0"/>
    <n v="11.25"/>
    <n v="0"/>
    <n v="0"/>
    <n v="2.5"/>
    <n v="0"/>
    <n v="0"/>
    <n v="0"/>
    <n v="0"/>
    <x v="48"/>
    <x v="0"/>
    <x v="0"/>
    <x v="0"/>
  </r>
  <r>
    <s v="Description 2334"/>
    <s v="Code 2334"/>
    <n v="0"/>
    <n v="0"/>
    <n v="1.0475000000000001"/>
    <n v="0"/>
    <n v="0"/>
    <n v="1.5"/>
    <n v="0"/>
    <n v="0"/>
    <n v="0"/>
    <n v="0"/>
    <n v="0"/>
    <x v="137"/>
    <x v="0"/>
    <x v="1"/>
    <x v="0"/>
  </r>
  <r>
    <s v="Description 2335"/>
    <s v="Code 2335"/>
    <n v="0"/>
    <n v="0"/>
    <n v="0"/>
    <n v="0"/>
    <n v="0"/>
    <n v="0"/>
    <n v="0"/>
    <n v="0"/>
    <n v="0"/>
    <n v="0"/>
    <n v="0"/>
    <x v="12"/>
    <x v="0"/>
    <x v="0"/>
    <x v="0"/>
  </r>
  <r>
    <s v="Description 2336"/>
    <s v="Code 2336"/>
    <n v="0"/>
    <n v="0"/>
    <n v="0"/>
    <n v="0"/>
    <n v="0"/>
    <n v="0"/>
    <n v="0"/>
    <n v="0"/>
    <n v="0"/>
    <n v="0"/>
    <n v="0"/>
    <x v="94"/>
    <x v="0"/>
    <x v="0"/>
    <x v="0"/>
  </r>
  <r>
    <s v="Description 2337"/>
    <s v="Code 2337"/>
    <n v="0"/>
    <n v="0"/>
    <n v="0"/>
    <n v="0"/>
    <n v="0"/>
    <n v="0"/>
    <n v="0"/>
    <n v="0"/>
    <n v="0"/>
    <n v="0"/>
    <n v="1"/>
    <x v="160"/>
    <x v="0"/>
    <x v="0"/>
    <x v="0"/>
  </r>
  <r>
    <s v="Description 2338"/>
    <s v="Code 2338"/>
    <n v="0"/>
    <n v="0"/>
    <n v="0"/>
    <n v="0"/>
    <n v="0"/>
    <n v="0"/>
    <n v="0"/>
    <n v="0"/>
    <n v="0"/>
    <n v="0"/>
    <n v="7"/>
    <x v="171"/>
    <x v="0"/>
    <x v="0"/>
    <x v="0"/>
  </r>
  <r>
    <s v="Description 2339"/>
    <s v="Code 2339"/>
    <n v="14.255000000000001"/>
    <n v="10.755000000000001"/>
    <n v="16.18"/>
    <n v="17.09"/>
    <n v="14.32"/>
    <n v="11.91"/>
    <n v="12.31"/>
    <n v="11.153"/>
    <n v="9.83"/>
    <n v="0"/>
    <n v="7"/>
    <x v="161"/>
    <x v="0"/>
    <x v="0"/>
    <x v="0"/>
  </r>
  <r>
    <s v="Description 2340"/>
    <s v="Code 2340"/>
    <n v="0"/>
    <n v="0"/>
    <n v="0"/>
    <n v="0"/>
    <n v="0"/>
    <n v="0"/>
    <n v="0"/>
    <n v="0"/>
    <n v="0"/>
    <n v="0"/>
    <n v="2"/>
    <x v="4"/>
    <x v="0"/>
    <x v="0"/>
    <x v="0"/>
  </r>
  <r>
    <s v="Description 2341"/>
    <s v="Code 2341"/>
    <n v="2"/>
    <n v="0"/>
    <n v="0"/>
    <n v="0"/>
    <n v="2"/>
    <n v="0"/>
    <n v="0"/>
    <n v="0"/>
    <n v="0"/>
    <n v="0"/>
    <n v="2"/>
    <x v="189"/>
    <x v="0"/>
    <x v="0"/>
    <x v="0"/>
  </r>
  <r>
    <s v="Description 2342"/>
    <s v="Code 2342"/>
    <n v="0"/>
    <n v="0"/>
    <n v="0"/>
    <n v="0"/>
    <n v="0"/>
    <n v="0"/>
    <n v="0"/>
    <n v="0"/>
    <n v="0"/>
    <n v="0"/>
    <n v="6"/>
    <x v="9"/>
    <x v="0"/>
    <x v="0"/>
    <x v="0"/>
  </r>
  <r>
    <s v="Description 2343"/>
    <s v="Code 2343"/>
    <n v="1"/>
    <n v="0"/>
    <n v="0"/>
    <n v="0"/>
    <n v="0"/>
    <n v="0"/>
    <n v="0"/>
    <n v="0"/>
    <n v="0"/>
    <n v="0"/>
    <n v="0"/>
    <x v="79"/>
    <x v="0"/>
    <x v="0"/>
    <x v="0"/>
  </r>
  <r>
    <s v="Description 2344"/>
    <s v="Code 2344"/>
    <n v="3"/>
    <n v="3"/>
    <n v="4"/>
    <n v="4"/>
    <n v="3"/>
    <n v="4"/>
    <n v="2"/>
    <n v="2"/>
    <n v="2"/>
    <n v="0"/>
    <n v="3"/>
    <x v="37"/>
    <x v="0"/>
    <x v="0"/>
    <x v="0"/>
  </r>
  <r>
    <s v="Description 2345"/>
    <s v="Code 2345"/>
    <n v="1"/>
    <n v="1"/>
    <n v="1"/>
    <n v="1"/>
    <n v="1"/>
    <n v="1"/>
    <n v="1"/>
    <n v="1"/>
    <n v="1"/>
    <n v="0"/>
    <n v="300"/>
    <x v="57"/>
    <x v="0"/>
    <x v="0"/>
    <x v="0"/>
  </r>
  <r>
    <s v="Description 2346"/>
    <s v="Code 2346"/>
    <n v="62.2"/>
    <n v="62"/>
    <n v="63"/>
    <n v="64.5"/>
    <n v="62.2"/>
    <n v="62"/>
    <n v="62"/>
    <n v="64.7"/>
    <n v="62"/>
    <n v="0"/>
    <n v="30"/>
    <x v="118"/>
    <x v="0"/>
    <x v="0"/>
    <x v="0"/>
  </r>
  <r>
    <s v="Description 2347"/>
    <s v="Code 2347"/>
    <n v="21.8"/>
    <n v="20.916"/>
    <n v="30.631999999999998"/>
    <n v="21.466000000000001"/>
    <n v="21.5489"/>
    <n v="15.8"/>
    <n v="12.8"/>
    <n v="13.8"/>
    <n v="12.8826"/>
    <n v="0"/>
    <n v="0"/>
    <x v="187"/>
    <x v="0"/>
    <x v="1"/>
    <x v="0"/>
  </r>
  <r>
    <s v="Description 2348"/>
    <s v="Code 2348"/>
    <n v="21.21"/>
    <n v="11.101000000000001"/>
    <n v="13.914999999999999"/>
    <n v="10.62"/>
    <n v="11.244"/>
    <n v="13.204000000000001"/>
    <n v="11.244"/>
    <n v="9.0760000000000005"/>
    <n v="11.244"/>
    <n v="0"/>
    <n v="3"/>
    <x v="121"/>
    <x v="0"/>
    <x v="0"/>
    <x v="0"/>
  </r>
  <r>
    <s v="Description 2349"/>
    <s v="Code 2349"/>
    <n v="0"/>
    <n v="0"/>
    <n v="0"/>
    <n v="0"/>
    <n v="0"/>
    <n v="0"/>
    <n v="0"/>
    <n v="0"/>
    <n v="0"/>
    <n v="0"/>
    <n v="16"/>
    <x v="77"/>
    <x v="0"/>
    <x v="0"/>
    <x v="0"/>
  </r>
  <r>
    <s v="Description 2350"/>
    <s v="Code 2350"/>
    <n v="28"/>
    <n v="28"/>
    <n v="14"/>
    <n v="56"/>
    <n v="24"/>
    <n v="20"/>
    <n v="16"/>
    <n v="12"/>
    <n v="16"/>
    <n v="0"/>
    <n v="1500"/>
    <x v="134"/>
    <x v="0"/>
    <x v="0"/>
    <x v="0"/>
  </r>
  <r>
    <s v="Description 2351"/>
    <s v="Code 2351"/>
    <n v="0"/>
    <n v="0"/>
    <n v="0"/>
    <n v="0"/>
    <n v="0"/>
    <n v="0"/>
    <n v="0"/>
    <n v="0"/>
    <n v="0"/>
    <n v="0"/>
    <n v="309"/>
    <x v="131"/>
    <x v="0"/>
    <x v="0"/>
    <x v="0"/>
  </r>
  <r>
    <s v="Description 2352"/>
    <s v="Code 2352"/>
    <n v="0"/>
    <n v="0"/>
    <n v="0"/>
    <n v="7"/>
    <n v="0"/>
    <n v="0"/>
    <n v="0"/>
    <n v="28"/>
    <n v="0"/>
    <n v="0"/>
    <n v="0"/>
    <x v="3"/>
    <x v="0"/>
    <x v="0"/>
    <x v="0"/>
  </r>
  <r>
    <s v="Description 2353"/>
    <s v="Code 2353"/>
    <n v="1646"/>
    <n v="0"/>
    <n v="20"/>
    <n v="0"/>
    <n v="0"/>
    <n v="0"/>
    <n v="1500"/>
    <n v="0"/>
    <n v="0"/>
    <n v="0"/>
    <n v="0"/>
    <x v="112"/>
    <x v="0"/>
    <x v="0"/>
    <x v="0"/>
  </r>
  <r>
    <s v="Description 2354"/>
    <s v="Code 2354"/>
    <n v="372"/>
    <n v="100"/>
    <n v="200"/>
    <n v="20"/>
    <n v="300"/>
    <n v="0"/>
    <n v="0"/>
    <n v="220"/>
    <n v="0"/>
    <n v="0"/>
    <n v="0"/>
    <x v="77"/>
    <x v="0"/>
    <x v="0"/>
    <x v="0"/>
  </r>
  <r>
    <s v="Description 2355"/>
    <s v="Code 2355"/>
    <n v="0"/>
    <n v="0"/>
    <n v="25"/>
    <n v="0"/>
    <n v="25"/>
    <n v="25"/>
    <n v="0"/>
    <n v="0"/>
    <n v="0"/>
    <n v="0"/>
    <n v="0"/>
    <x v="7"/>
    <x v="0"/>
    <x v="0"/>
    <x v="0"/>
  </r>
  <r>
    <s v="Description 2356"/>
    <s v="Code 2356"/>
    <n v="0"/>
    <n v="0"/>
    <n v="25"/>
    <n v="0"/>
    <n v="25"/>
    <n v="25"/>
    <n v="0"/>
    <n v="0"/>
    <n v="0"/>
    <n v="0"/>
    <n v="0"/>
    <x v="20"/>
    <x v="0"/>
    <x v="0"/>
    <x v="0"/>
  </r>
  <r>
    <s v="Description 2357"/>
    <s v="Code 2357"/>
    <n v="0"/>
    <n v="0"/>
    <n v="0"/>
    <n v="1600"/>
    <n v="0"/>
    <n v="0"/>
    <n v="1600"/>
    <n v="0"/>
    <n v="0"/>
    <n v="0"/>
    <n v="0"/>
    <x v="185"/>
    <x v="0"/>
    <x v="0"/>
    <x v="0"/>
  </r>
  <r>
    <s v="Description 2358"/>
    <s v="Code 2358"/>
    <n v="27280"/>
    <n v="17400"/>
    <n v="23460"/>
    <n v="24748"/>
    <n v="21280"/>
    <n v="19000"/>
    <n v="11544"/>
    <n v="19300"/>
    <n v="10660"/>
    <n v="0"/>
    <n v="0"/>
    <x v="29"/>
    <x v="0"/>
    <x v="0"/>
    <x v="0"/>
  </r>
  <r>
    <s v="Description 2359"/>
    <s v="Code 2359"/>
    <n v="50"/>
    <n v="100"/>
    <n v="120"/>
    <n v="120"/>
    <n v="220"/>
    <n v="220"/>
    <n v="220"/>
    <n v="120"/>
    <n v="220"/>
    <n v="0"/>
    <n v="0"/>
    <x v="9"/>
    <x v="0"/>
    <x v="0"/>
    <x v="0"/>
  </r>
  <r>
    <s v="Description 2360"/>
    <s v="Code 2360"/>
    <n v="950"/>
    <n v="650"/>
    <n v="800"/>
    <n v="700"/>
    <n v="700"/>
    <n v="700"/>
    <n v="800"/>
    <n v="700"/>
    <n v="700"/>
    <n v="0"/>
    <n v="557"/>
    <x v="8"/>
    <x v="0"/>
    <x v="0"/>
    <x v="0"/>
  </r>
  <r>
    <s v="Description 2361"/>
    <s v="Code 2361"/>
    <n v="4"/>
    <n v="0"/>
    <n v="0"/>
    <n v="0"/>
    <n v="0"/>
    <n v="0"/>
    <n v="0"/>
    <n v="0"/>
    <n v="0"/>
    <n v="0"/>
    <n v="129"/>
    <x v="84"/>
    <x v="0"/>
    <x v="0"/>
    <x v="0"/>
  </r>
  <r>
    <s v="Description 2362"/>
    <s v="Code 2362"/>
    <n v="32"/>
    <n v="31"/>
    <n v="15"/>
    <n v="62"/>
    <n v="24"/>
    <n v="21"/>
    <n v="18"/>
    <n v="20"/>
    <n v="20"/>
    <n v="0"/>
    <n v="0"/>
    <x v="17"/>
    <x v="0"/>
    <x v="0"/>
    <x v="0"/>
  </r>
  <r>
    <s v="Description 2363"/>
    <s v="Code 2363"/>
    <n v="0"/>
    <n v="0"/>
    <n v="0"/>
    <n v="0"/>
    <n v="0"/>
    <n v="0"/>
    <n v="0"/>
    <n v="0"/>
    <n v="0"/>
    <n v="0"/>
    <n v="0"/>
    <x v="172"/>
    <x v="0"/>
    <x v="0"/>
    <x v="0"/>
  </r>
  <r>
    <s v="Description 2364"/>
    <s v="Code 2364"/>
    <n v="0"/>
    <n v="0"/>
    <n v="0"/>
    <n v="0"/>
    <n v="0"/>
    <n v="0"/>
    <n v="0"/>
    <n v="0"/>
    <n v="0"/>
    <n v="0"/>
    <n v="68"/>
    <x v="168"/>
    <x v="0"/>
    <x v="0"/>
    <x v="0"/>
  </r>
  <r>
    <s v="Description 2365"/>
    <s v="Code 2365"/>
    <n v="0"/>
    <n v="72"/>
    <n v="8"/>
    <n v="32"/>
    <n v="32"/>
    <n v="24"/>
    <n v="8"/>
    <n v="0"/>
    <n v="0"/>
    <n v="0"/>
    <n v="665"/>
    <x v="99"/>
    <x v="0"/>
    <x v="0"/>
    <x v="0"/>
  </r>
  <r>
    <s v="Description 2366"/>
    <s v="Code 2366"/>
    <n v="36"/>
    <n v="0"/>
    <n v="30"/>
    <n v="24"/>
    <n v="30"/>
    <n v="18"/>
    <n v="24"/>
    <n v="12"/>
    <n v="12"/>
    <n v="0"/>
    <n v="884"/>
    <x v="110"/>
    <x v="0"/>
    <x v="0"/>
    <x v="0"/>
  </r>
  <r>
    <s v="Description 2367"/>
    <s v="Code 2367"/>
    <n v="0"/>
    <n v="9"/>
    <n v="1"/>
    <n v="4"/>
    <n v="4"/>
    <n v="3"/>
    <n v="1"/>
    <n v="0"/>
    <n v="0"/>
    <n v="0"/>
    <n v="120"/>
    <x v="149"/>
    <x v="0"/>
    <x v="0"/>
    <x v="0"/>
  </r>
  <r>
    <s v="Description 2368"/>
    <s v="Code 2368"/>
    <n v="86"/>
    <n v="0"/>
    <n v="0"/>
    <n v="0"/>
    <n v="0"/>
    <n v="0"/>
    <n v="0"/>
    <n v="0"/>
    <n v="0"/>
    <n v="0"/>
    <n v="0"/>
    <x v="46"/>
    <x v="0"/>
    <x v="0"/>
    <x v="0"/>
  </r>
  <r>
    <s v="Description 2369"/>
    <s v="Code 2369"/>
    <n v="100"/>
    <n v="10"/>
    <n v="60"/>
    <n v="40"/>
    <n v="80"/>
    <n v="40"/>
    <n v="20"/>
    <n v="50"/>
    <n v="70"/>
    <n v="0"/>
    <n v="0"/>
    <x v="80"/>
    <x v="0"/>
    <x v="0"/>
    <x v="0"/>
  </r>
  <r>
    <s v="Description 2370"/>
    <s v="Code 2370"/>
    <n v="0"/>
    <n v="0"/>
    <n v="0"/>
    <n v="0"/>
    <n v="0"/>
    <n v="0"/>
    <n v="0"/>
    <n v="0"/>
    <n v="0"/>
    <n v="0"/>
    <n v="0"/>
    <x v="51"/>
    <x v="0"/>
    <x v="0"/>
    <x v="0"/>
  </r>
  <r>
    <s v="Description 2371"/>
    <s v="Code 2371"/>
    <n v="0"/>
    <n v="0"/>
    <n v="0"/>
    <n v="0"/>
    <n v="0"/>
    <n v="0"/>
    <n v="0"/>
    <n v="0"/>
    <n v="0"/>
    <n v="0"/>
    <n v="439"/>
    <x v="169"/>
    <x v="0"/>
    <x v="0"/>
    <x v="0"/>
  </r>
  <r>
    <s v="Description 2372"/>
    <s v="Code 2372"/>
    <n v="14"/>
    <n v="18"/>
    <n v="24"/>
    <n v="20"/>
    <n v="20"/>
    <n v="18"/>
    <n v="14"/>
    <n v="8"/>
    <n v="8"/>
    <n v="0"/>
    <n v="202"/>
    <x v="199"/>
    <x v="0"/>
    <x v="0"/>
    <x v="0"/>
  </r>
  <r>
    <s v="Description 2373"/>
    <s v="Code 2373"/>
    <n v="14"/>
    <n v="18"/>
    <n v="24"/>
    <n v="20"/>
    <n v="20"/>
    <n v="18"/>
    <n v="14"/>
    <n v="8"/>
    <n v="8"/>
    <n v="0"/>
    <n v="0"/>
    <x v="125"/>
    <x v="0"/>
    <x v="0"/>
    <x v="0"/>
  </r>
  <r>
    <s v="Description 2374"/>
    <s v="Code 2374"/>
    <n v="0"/>
    <n v="0"/>
    <n v="0"/>
    <n v="0"/>
    <n v="0"/>
    <n v="0"/>
    <n v="0"/>
    <n v="0"/>
    <n v="0"/>
    <n v="0"/>
    <n v="0"/>
    <x v="193"/>
    <x v="0"/>
    <x v="0"/>
    <x v="0"/>
  </r>
  <r>
    <s v="Description 2375"/>
    <s v="Code 2375"/>
    <n v="0"/>
    <n v="0"/>
    <n v="0"/>
    <n v="0.68"/>
    <n v="0"/>
    <n v="0"/>
    <n v="0"/>
    <n v="0"/>
    <n v="0"/>
    <n v="0"/>
    <n v="491"/>
    <x v="81"/>
    <x v="0"/>
    <x v="0"/>
    <x v="0"/>
  </r>
  <r>
    <s v="Description 2376"/>
    <s v="Code 2376"/>
    <n v="19"/>
    <n v="27"/>
    <n v="34"/>
    <n v="58"/>
    <n v="58"/>
    <n v="55"/>
    <n v="33"/>
    <n v="44"/>
    <n v="36"/>
    <n v="0"/>
    <n v="756"/>
    <x v="13"/>
    <x v="0"/>
    <x v="1"/>
    <x v="0"/>
  </r>
  <r>
    <s v="Description 2377"/>
    <s v="Code 2377"/>
    <n v="28"/>
    <n v="36"/>
    <n v="48"/>
    <n v="40"/>
    <n v="40"/>
    <n v="36"/>
    <n v="28"/>
    <n v="16"/>
    <n v="16"/>
    <n v="0"/>
    <n v="1500"/>
    <x v="48"/>
    <x v="0"/>
    <x v="0"/>
    <x v="0"/>
  </r>
  <r>
    <s v="Description 2378"/>
    <s v="Code 2378"/>
    <n v="468"/>
    <n v="468"/>
    <n v="504"/>
    <n v="396"/>
    <n v="486"/>
    <n v="432"/>
    <n v="396"/>
    <n v="396"/>
    <n v="324"/>
    <n v="0"/>
    <n v="0"/>
    <x v="54"/>
    <x v="0"/>
    <x v="0"/>
    <x v="0"/>
  </r>
  <r>
    <s v="Description 2379"/>
    <s v="Code 2379"/>
    <n v="168"/>
    <n v="162"/>
    <n v="180"/>
    <n v="144"/>
    <n v="174"/>
    <n v="156"/>
    <n v="144"/>
    <n v="132"/>
    <n v="108"/>
    <n v="0"/>
    <n v="0"/>
    <x v="160"/>
    <x v="0"/>
    <x v="0"/>
    <x v="0"/>
  </r>
  <r>
    <s v="Description 2380"/>
    <s v="Code 2380"/>
    <n v="0"/>
    <n v="0"/>
    <n v="0"/>
    <n v="32"/>
    <n v="32"/>
    <n v="32"/>
    <n v="16"/>
    <n v="32"/>
    <n v="24"/>
    <n v="0"/>
    <n v="0"/>
    <x v="49"/>
    <x v="0"/>
    <x v="0"/>
    <x v="0"/>
  </r>
  <r>
    <s v="Description 2381"/>
    <s v="Code 2381"/>
    <n v="0"/>
    <n v="0"/>
    <n v="0"/>
    <n v="0"/>
    <n v="0"/>
    <n v="0"/>
    <n v="0"/>
    <n v="0"/>
    <n v="0"/>
    <n v="0"/>
    <n v="60"/>
    <x v="193"/>
    <x v="0"/>
    <x v="0"/>
    <x v="0"/>
  </r>
  <r>
    <s v="Description 2382"/>
    <s v="Code 2382"/>
    <n v="100"/>
    <n v="0"/>
    <n v="30"/>
    <n v="10"/>
    <n v="30"/>
    <n v="0"/>
    <n v="10"/>
    <n v="0"/>
    <n v="0"/>
    <n v="0"/>
    <n v="55"/>
    <x v="189"/>
    <x v="0"/>
    <x v="0"/>
    <x v="0"/>
  </r>
  <r>
    <s v="Description 2383"/>
    <s v="Code 2383"/>
    <n v="0"/>
    <n v="0"/>
    <n v="0"/>
    <n v="0"/>
    <n v="0"/>
    <n v="0"/>
    <n v="0"/>
    <n v="50"/>
    <n v="0"/>
    <n v="0"/>
    <n v="57"/>
    <x v="128"/>
    <x v="0"/>
    <x v="0"/>
    <x v="0"/>
  </r>
  <r>
    <s v="Description 2384"/>
    <s v="Code 2384"/>
    <n v="0"/>
    <n v="0"/>
    <n v="0"/>
    <n v="0"/>
    <n v="50"/>
    <n v="0"/>
    <n v="0"/>
    <n v="0"/>
    <n v="0"/>
    <n v="0"/>
    <n v="160"/>
    <x v="68"/>
    <x v="0"/>
    <x v="0"/>
    <x v="0"/>
  </r>
  <r>
    <s v="Description 2385"/>
    <s v="Code 2385"/>
    <n v="0"/>
    <n v="10"/>
    <n v="30"/>
    <n v="30"/>
    <n v="0"/>
    <n v="40"/>
    <n v="10"/>
    <n v="0"/>
    <n v="70"/>
    <n v="0"/>
    <n v="23"/>
    <x v="47"/>
    <x v="0"/>
    <x v="0"/>
    <x v="0"/>
  </r>
  <r>
    <s v="Description 2386"/>
    <s v="Code 2386"/>
    <n v="18"/>
    <n v="17"/>
    <n v="8"/>
    <n v="34"/>
    <n v="12"/>
    <n v="11"/>
    <n v="10"/>
    <n v="14"/>
    <n v="12"/>
    <n v="0"/>
    <n v="47"/>
    <x v="74"/>
    <x v="0"/>
    <x v="0"/>
    <x v="0"/>
  </r>
  <r>
    <s v="Description 2387"/>
    <s v="Code 2387"/>
    <n v="6"/>
    <n v="0"/>
    <n v="1"/>
    <n v="2"/>
    <n v="1"/>
    <n v="0"/>
    <n v="1"/>
    <n v="1"/>
    <n v="0"/>
    <n v="0"/>
    <n v="1190"/>
    <x v="192"/>
    <x v="0"/>
    <x v="0"/>
    <x v="0"/>
  </r>
  <r>
    <s v="Description 2388"/>
    <s v="Code 2388"/>
    <n v="0"/>
    <n v="0"/>
    <n v="0"/>
    <n v="0"/>
    <n v="280"/>
    <n v="248"/>
    <n v="0"/>
    <n v="160"/>
    <n v="0"/>
    <n v="0"/>
    <n v="9296"/>
    <x v="32"/>
    <x v="0"/>
    <x v="0"/>
    <x v="0"/>
  </r>
  <r>
    <s v="Description 2389"/>
    <s v="Code 2389"/>
    <n v="546"/>
    <n v="210"/>
    <n v="394"/>
    <n v="394"/>
    <n v="394"/>
    <n v="394"/>
    <n v="394"/>
    <n v="394"/>
    <n v="394"/>
    <n v="0"/>
    <n v="11"/>
    <x v="43"/>
    <x v="0"/>
    <x v="0"/>
    <x v="0"/>
  </r>
  <r>
    <s v="Description 2390"/>
    <s v="Code 2390"/>
    <n v="0"/>
    <n v="0"/>
    <n v="0"/>
    <n v="0"/>
    <n v="0"/>
    <n v="0"/>
    <n v="0"/>
    <n v="0"/>
    <n v="0"/>
    <n v="0"/>
    <n v="0"/>
    <x v="189"/>
    <x v="0"/>
    <x v="0"/>
    <x v="0"/>
  </r>
  <r>
    <s v="Description 2391"/>
    <s v="Code 2391"/>
    <n v="0"/>
    <n v="0"/>
    <n v="0"/>
    <n v="0"/>
    <n v="0"/>
    <n v="0"/>
    <n v="0"/>
    <n v="0"/>
    <n v="0"/>
    <n v="0"/>
    <n v="23"/>
    <x v="67"/>
    <x v="0"/>
    <x v="0"/>
    <x v="0"/>
  </r>
  <r>
    <s v="Description 2392"/>
    <s v="Code 2392"/>
    <n v="0"/>
    <n v="0"/>
    <n v="0"/>
    <n v="0"/>
    <n v="0"/>
    <n v="0"/>
    <n v="0"/>
    <n v="0"/>
    <n v="0"/>
    <n v="0"/>
    <n v="46"/>
    <x v="95"/>
    <x v="0"/>
    <x v="0"/>
    <x v="0"/>
  </r>
  <r>
    <s v="Description 2393"/>
    <s v="Code 2393"/>
    <n v="0"/>
    <n v="0"/>
    <n v="0"/>
    <n v="0"/>
    <n v="0"/>
    <n v="0"/>
    <n v="0"/>
    <n v="0"/>
    <n v="0"/>
    <n v="0"/>
    <n v="21"/>
    <x v="143"/>
    <x v="0"/>
    <x v="0"/>
    <x v="0"/>
  </r>
  <r>
    <s v="Description 2394"/>
    <s v="Code 2394"/>
    <n v="0"/>
    <n v="0"/>
    <n v="0"/>
    <n v="0"/>
    <n v="0"/>
    <n v="0"/>
    <n v="0"/>
    <n v="0"/>
    <n v="0"/>
    <n v="0"/>
    <n v="47"/>
    <x v="155"/>
    <x v="0"/>
    <x v="0"/>
    <x v="0"/>
  </r>
  <r>
    <s v="Description 2395"/>
    <s v="Code 2395"/>
    <n v="0"/>
    <n v="0"/>
    <n v="0"/>
    <n v="0"/>
    <n v="0"/>
    <n v="0"/>
    <n v="0"/>
    <n v="0"/>
    <n v="0"/>
    <n v="0"/>
    <n v="0"/>
    <x v="110"/>
    <x v="0"/>
    <x v="0"/>
    <x v="0"/>
  </r>
  <r>
    <s v="Description 2396"/>
    <s v="Code 2396"/>
    <n v="1"/>
    <n v="0"/>
    <n v="0"/>
    <n v="0"/>
    <n v="0"/>
    <n v="0"/>
    <n v="0"/>
    <n v="0"/>
    <n v="0"/>
    <n v="0"/>
    <n v="0"/>
    <x v="68"/>
    <x v="0"/>
    <x v="0"/>
    <x v="0"/>
  </r>
  <r>
    <s v="Description 2397"/>
    <s v="Code 2397"/>
    <n v="1"/>
    <n v="0"/>
    <n v="0"/>
    <n v="0"/>
    <n v="0"/>
    <n v="0"/>
    <n v="0"/>
    <n v="0"/>
    <n v="0"/>
    <n v="0"/>
    <n v="158"/>
    <x v="82"/>
    <x v="0"/>
    <x v="0"/>
    <x v="0"/>
  </r>
  <r>
    <s v="Description 2398"/>
    <s v="Code 2398"/>
    <n v="0"/>
    <n v="0"/>
    <n v="0"/>
    <n v="3"/>
    <n v="0"/>
    <n v="0"/>
    <n v="0"/>
    <n v="4"/>
    <n v="0"/>
    <n v="0"/>
    <n v="25"/>
    <x v="168"/>
    <x v="0"/>
    <x v="0"/>
    <x v="0"/>
  </r>
  <r>
    <s v="Description 2399"/>
    <s v="Code 2399"/>
    <n v="0"/>
    <n v="0"/>
    <n v="0"/>
    <n v="2"/>
    <n v="0"/>
    <n v="0"/>
    <n v="0"/>
    <n v="4"/>
    <n v="0"/>
    <n v="0"/>
    <n v="1561"/>
    <x v="173"/>
    <x v="0"/>
    <x v="0"/>
    <x v="0"/>
  </r>
  <r>
    <s v="Description 2400"/>
    <s v="Code 2400"/>
    <n v="14.48"/>
    <n v="5.6"/>
    <n v="4.08"/>
    <n v="4.08"/>
    <n v="4.08"/>
    <n v="4.08"/>
    <n v="23.28"/>
    <n v="4.08"/>
    <n v="4.08"/>
    <n v="0"/>
    <n v="0"/>
    <x v="16"/>
    <x v="0"/>
    <x v="0"/>
    <x v="0"/>
  </r>
  <r>
    <s v="Description 2401"/>
    <s v="Code 2401"/>
    <n v="0"/>
    <n v="0"/>
    <n v="0"/>
    <n v="0"/>
    <n v="0"/>
    <n v="0"/>
    <n v="0"/>
    <n v="0"/>
    <n v="0"/>
    <n v="0"/>
    <n v="22"/>
    <x v="122"/>
    <x v="0"/>
    <x v="0"/>
    <x v="0"/>
  </r>
  <r>
    <s v="Description 2402"/>
    <s v="Code 2402"/>
    <n v="0"/>
    <n v="0"/>
    <n v="0"/>
    <n v="0"/>
    <n v="0"/>
    <n v="0"/>
    <n v="0"/>
    <n v="0"/>
    <n v="0"/>
    <n v="0"/>
    <n v="88"/>
    <x v="69"/>
    <x v="0"/>
    <x v="0"/>
    <x v="0"/>
  </r>
  <r>
    <s v="Description 2403"/>
    <s v="Code 2403"/>
    <n v="0"/>
    <n v="0"/>
    <n v="0"/>
    <n v="0"/>
    <n v="0"/>
    <n v="0"/>
    <n v="0"/>
    <n v="0"/>
    <n v="100"/>
    <n v="0"/>
    <n v="560"/>
    <x v="103"/>
    <x v="0"/>
    <x v="0"/>
    <x v="0"/>
  </r>
  <r>
    <s v="Description 2404"/>
    <s v="Code 2404"/>
    <n v="0"/>
    <n v="0"/>
    <n v="0"/>
    <n v="0"/>
    <n v="97.5"/>
    <n v="0"/>
    <n v="0"/>
    <n v="0"/>
    <n v="0"/>
    <n v="0"/>
    <n v="0"/>
    <x v="125"/>
    <x v="0"/>
    <x v="0"/>
    <x v="0"/>
  </r>
  <r>
    <s v="Description 2405"/>
    <s v="Code 2405"/>
    <n v="0"/>
    <n v="0"/>
    <n v="0"/>
    <n v="0"/>
    <n v="0"/>
    <n v="0"/>
    <n v="0"/>
    <n v="0"/>
    <n v="0"/>
    <n v="0"/>
    <n v="0"/>
    <x v="117"/>
    <x v="0"/>
    <x v="0"/>
    <x v="0"/>
  </r>
  <r>
    <s v="Description 2406"/>
    <s v="Code 2406"/>
    <n v="3.6"/>
    <n v="0"/>
    <n v="3.6"/>
    <n v="3.6"/>
    <n v="0"/>
    <n v="0"/>
    <n v="0"/>
    <n v="0"/>
    <n v="0"/>
    <n v="0"/>
    <n v="0"/>
    <x v="197"/>
    <x v="0"/>
    <x v="0"/>
    <x v="0"/>
  </r>
  <r>
    <s v="Description 2407"/>
    <s v="Code 2407"/>
    <n v="4"/>
    <n v="0"/>
    <n v="0"/>
    <n v="0"/>
    <n v="0"/>
    <n v="0"/>
    <n v="0"/>
    <n v="0"/>
    <n v="0"/>
    <n v="0"/>
    <n v="0"/>
    <x v="66"/>
    <x v="0"/>
    <x v="0"/>
    <x v="0"/>
  </r>
  <r>
    <s v="Description 2408"/>
    <s v="Code 2408"/>
    <n v="0"/>
    <n v="0"/>
    <n v="0"/>
    <n v="5"/>
    <n v="0"/>
    <n v="0"/>
    <n v="0"/>
    <n v="0"/>
    <n v="0"/>
    <n v="0"/>
    <n v="57"/>
    <x v="79"/>
    <x v="0"/>
    <x v="0"/>
    <x v="0"/>
  </r>
  <r>
    <s v="Description 2409"/>
    <s v="Code 2409"/>
    <n v="0"/>
    <n v="0"/>
    <n v="0"/>
    <n v="0"/>
    <n v="0"/>
    <n v="0"/>
    <n v="0"/>
    <n v="0"/>
    <n v="0"/>
    <n v="0"/>
    <n v="1103"/>
    <x v="103"/>
    <x v="0"/>
    <x v="0"/>
    <x v="0"/>
  </r>
  <r>
    <s v="Description 2410"/>
    <s v="Code 2410"/>
    <n v="0"/>
    <n v="0"/>
    <n v="0"/>
    <n v="0"/>
    <n v="0"/>
    <n v="0"/>
    <n v="0"/>
    <n v="20"/>
    <n v="0"/>
    <n v="0"/>
    <n v="46"/>
    <x v="31"/>
    <x v="0"/>
    <x v="0"/>
    <x v="0"/>
  </r>
  <r>
    <s v="Description 2411"/>
    <s v="Code 2411"/>
    <n v="0"/>
    <n v="0"/>
    <n v="40"/>
    <n v="0"/>
    <n v="0"/>
    <n v="0"/>
    <n v="0"/>
    <n v="0"/>
    <n v="0"/>
    <n v="0"/>
    <n v="15"/>
    <x v="193"/>
    <x v="0"/>
    <x v="0"/>
    <x v="0"/>
  </r>
  <r>
    <s v="Description 2412"/>
    <s v="Code 2412"/>
    <n v="0"/>
    <n v="0"/>
    <n v="0"/>
    <n v="0"/>
    <n v="0"/>
    <n v="0"/>
    <n v="0"/>
    <n v="0"/>
    <n v="0"/>
    <n v="0"/>
    <n v="40"/>
    <x v="57"/>
    <x v="0"/>
    <x v="0"/>
    <x v="0"/>
  </r>
  <r>
    <s v="Description 2413"/>
    <s v="Code 2413"/>
    <n v="0"/>
    <n v="0"/>
    <n v="0"/>
    <n v="0"/>
    <n v="0"/>
    <n v="0"/>
    <n v="0"/>
    <n v="0"/>
    <n v="0"/>
    <n v="0"/>
    <n v="0"/>
    <x v="180"/>
    <x v="0"/>
    <x v="0"/>
    <x v="0"/>
  </r>
  <r>
    <s v="Description 2414"/>
    <s v="Code 2414"/>
    <n v="0"/>
    <n v="0"/>
    <n v="0"/>
    <n v="0"/>
    <n v="0"/>
    <n v="0"/>
    <n v="0"/>
    <n v="0"/>
    <n v="0"/>
    <n v="0"/>
    <n v="0"/>
    <x v="34"/>
    <x v="0"/>
    <x v="0"/>
    <x v="0"/>
  </r>
  <r>
    <s v="Description 2415"/>
    <s v="Code 2415"/>
    <n v="0"/>
    <n v="0"/>
    <n v="0"/>
    <n v="0"/>
    <n v="0"/>
    <n v="0"/>
    <n v="0"/>
    <n v="0"/>
    <n v="0"/>
    <n v="0"/>
    <n v="121"/>
    <x v="168"/>
    <x v="0"/>
    <x v="0"/>
    <x v="0"/>
  </r>
  <r>
    <s v="Description 2416"/>
    <s v="Code 2416"/>
    <n v="26"/>
    <n v="26"/>
    <n v="26"/>
    <n v="26"/>
    <n v="29"/>
    <n v="29"/>
    <n v="29"/>
    <n v="26"/>
    <n v="26"/>
    <n v="0"/>
    <n v="0"/>
    <x v="166"/>
    <x v="0"/>
    <x v="0"/>
    <x v="0"/>
  </r>
  <r>
    <s v="Description 2417"/>
    <s v="Code 2417"/>
    <n v="0"/>
    <n v="0"/>
    <n v="0"/>
    <n v="0"/>
    <n v="0"/>
    <n v="0"/>
    <n v="0"/>
    <n v="0"/>
    <n v="0"/>
    <n v="0"/>
    <n v="43"/>
    <x v="84"/>
    <x v="0"/>
    <x v="0"/>
    <x v="0"/>
  </r>
  <r>
    <s v="Description 2418"/>
    <s v="Code 2418"/>
    <n v="0"/>
    <n v="2"/>
    <n v="2"/>
    <n v="2"/>
    <n v="7"/>
    <n v="2"/>
    <n v="8"/>
    <n v="2"/>
    <n v="7"/>
    <n v="0"/>
    <n v="498"/>
    <x v="151"/>
    <x v="0"/>
    <x v="0"/>
    <x v="0"/>
  </r>
  <r>
    <s v="Description 2419"/>
    <s v="Code 2419"/>
    <n v="0"/>
    <n v="0"/>
    <n v="0"/>
    <n v="5"/>
    <n v="0"/>
    <n v="1"/>
    <n v="0"/>
    <n v="0"/>
    <n v="0"/>
    <n v="0"/>
    <n v="4445"/>
    <x v="65"/>
    <x v="0"/>
    <x v="0"/>
    <x v="0"/>
  </r>
  <r>
    <s v="Description 2420"/>
    <s v="Code 2420"/>
    <n v="400"/>
    <n v="0"/>
    <n v="280"/>
    <n v="6"/>
    <n v="0"/>
    <n v="2"/>
    <n v="50"/>
    <n v="24"/>
    <n v="60"/>
    <n v="0"/>
    <n v="50"/>
    <x v="34"/>
    <x v="0"/>
    <x v="0"/>
    <x v="0"/>
  </r>
  <r>
    <s v="Description 2421"/>
    <s v="Code 2421"/>
    <n v="1"/>
    <n v="0"/>
    <n v="15"/>
    <n v="15"/>
    <n v="15"/>
    <n v="115"/>
    <n v="15"/>
    <n v="15"/>
    <n v="15"/>
    <n v="0"/>
    <n v="100"/>
    <x v="36"/>
    <x v="0"/>
    <x v="0"/>
    <x v="0"/>
  </r>
  <r>
    <s v="Description 2422"/>
    <s v="Code 2422"/>
    <n v="5"/>
    <n v="0"/>
    <n v="2"/>
    <n v="6"/>
    <n v="0"/>
    <n v="0"/>
    <n v="0"/>
    <n v="0"/>
    <n v="2"/>
    <n v="0"/>
    <n v="0"/>
    <x v="3"/>
    <x v="0"/>
    <x v="0"/>
    <x v="0"/>
  </r>
  <r>
    <s v="Description 2423"/>
    <s v="Code 2423"/>
    <n v="0"/>
    <n v="0"/>
    <n v="0"/>
    <n v="0"/>
    <n v="0"/>
    <n v="0"/>
    <n v="0"/>
    <n v="0"/>
    <n v="0"/>
    <n v="0"/>
    <n v="0"/>
    <x v="125"/>
    <x v="0"/>
    <x v="0"/>
    <x v="0"/>
  </r>
  <r>
    <s v="Description 2424"/>
    <s v="Code 2424"/>
    <n v="0"/>
    <n v="150"/>
    <n v="0"/>
    <n v="150"/>
    <n v="0"/>
    <n v="150"/>
    <n v="150"/>
    <n v="0"/>
    <n v="150"/>
    <n v="0"/>
    <n v="0"/>
    <x v="139"/>
    <x v="0"/>
    <x v="0"/>
    <x v="0"/>
  </r>
  <r>
    <s v="Description 2425"/>
    <s v="Code 2425"/>
    <n v="0"/>
    <n v="50"/>
    <n v="0"/>
    <n v="50"/>
    <n v="0"/>
    <n v="50"/>
    <n v="50"/>
    <n v="0"/>
    <n v="50"/>
    <n v="0"/>
    <n v="1431"/>
    <x v="127"/>
    <x v="0"/>
    <x v="0"/>
    <x v="0"/>
  </r>
  <r>
    <s v="Description 2426"/>
    <s v="Code 2426"/>
    <n v="2"/>
    <n v="2"/>
    <n v="2"/>
    <n v="2"/>
    <n v="2"/>
    <n v="3"/>
    <n v="2"/>
    <n v="2"/>
    <n v="2"/>
    <n v="0"/>
    <n v="0"/>
    <x v="13"/>
    <x v="0"/>
    <x v="1"/>
    <x v="0"/>
  </r>
  <r>
    <s v="Description 2427"/>
    <s v="Code 2427"/>
    <n v="76"/>
    <n v="62"/>
    <n v="86"/>
    <n v="86"/>
    <n v="30"/>
    <n v="44"/>
    <n v="40"/>
    <n v="42"/>
    <n v="32"/>
    <n v="0"/>
    <n v="512"/>
    <x v="104"/>
    <x v="0"/>
    <x v="0"/>
    <x v="0"/>
  </r>
  <r>
    <s v="Description 2428"/>
    <s v="Code 2428"/>
    <n v="14"/>
    <n v="18"/>
    <n v="24"/>
    <n v="20"/>
    <n v="20"/>
    <n v="18"/>
    <n v="14"/>
    <n v="8"/>
    <n v="8"/>
    <n v="0"/>
    <n v="423"/>
    <x v="75"/>
    <x v="0"/>
    <x v="0"/>
    <x v="0"/>
  </r>
  <r>
    <s v="Description 2429"/>
    <s v="Code 2429"/>
    <n v="8"/>
    <n v="0"/>
    <n v="148"/>
    <n v="30"/>
    <n v="24"/>
    <n v="0"/>
    <n v="16"/>
    <n v="40"/>
    <n v="0"/>
    <n v="0"/>
    <n v="197"/>
    <x v="14"/>
    <x v="0"/>
    <x v="0"/>
    <x v="0"/>
  </r>
  <r>
    <s v="Description 2430"/>
    <s v="Code 2430"/>
    <n v="0"/>
    <n v="0"/>
    <n v="0"/>
    <n v="1"/>
    <n v="0"/>
    <n v="0"/>
    <n v="0"/>
    <n v="4"/>
    <n v="0"/>
    <n v="0"/>
    <n v="3322"/>
    <x v="108"/>
    <x v="0"/>
    <x v="1"/>
    <x v="0"/>
  </r>
  <r>
    <s v="Description 2431"/>
    <s v="Code 2431"/>
    <n v="0"/>
    <n v="0"/>
    <n v="0"/>
    <n v="0"/>
    <n v="0"/>
    <n v="0"/>
    <n v="0"/>
    <n v="0"/>
    <n v="0"/>
    <n v="0"/>
    <n v="17"/>
    <x v="141"/>
    <x v="0"/>
    <x v="0"/>
    <x v="0"/>
  </r>
  <r>
    <s v="Description 2432"/>
    <s v="Code 2432"/>
    <n v="24"/>
    <n v="17"/>
    <n v="9"/>
    <n v="36"/>
    <n v="13"/>
    <n v="11"/>
    <n v="11"/>
    <n v="15"/>
    <n v="12"/>
    <n v="0"/>
    <n v="68"/>
    <x v="14"/>
    <x v="0"/>
    <x v="0"/>
    <x v="0"/>
  </r>
  <r>
    <s v="Description 2433"/>
    <s v="Code 2433"/>
    <n v="4"/>
    <n v="14"/>
    <n v="0"/>
    <n v="20"/>
    <n v="10"/>
    <n v="6"/>
    <n v="6"/>
    <n v="12"/>
    <n v="2"/>
    <n v="0"/>
    <n v="763"/>
    <x v="184"/>
    <x v="0"/>
    <x v="0"/>
    <x v="0"/>
  </r>
  <r>
    <s v="Description 2434"/>
    <s v="Code 2434"/>
    <n v="213"/>
    <n v="247"/>
    <n v="351"/>
    <n v="293"/>
    <n v="203"/>
    <n v="159"/>
    <n v="165"/>
    <n v="119"/>
    <n v="84"/>
    <n v="0"/>
    <n v="197"/>
    <x v="46"/>
    <x v="0"/>
    <x v="0"/>
    <x v="0"/>
  </r>
  <r>
    <s v="Description 2435"/>
    <s v="Code 2435"/>
    <n v="0"/>
    <n v="0"/>
    <n v="0"/>
    <n v="0"/>
    <n v="0"/>
    <n v="0"/>
    <n v="0"/>
    <n v="0"/>
    <n v="0"/>
    <n v="0"/>
    <n v="113"/>
    <x v="14"/>
    <x v="0"/>
    <x v="0"/>
    <x v="0"/>
  </r>
  <r>
    <s v="Description 2436"/>
    <s v="Code 2436"/>
    <n v="0"/>
    <n v="0"/>
    <n v="0"/>
    <n v="0"/>
    <n v="0"/>
    <n v="0"/>
    <n v="0"/>
    <n v="0"/>
    <n v="0"/>
    <n v="0"/>
    <n v="243"/>
    <x v="179"/>
    <x v="0"/>
    <x v="0"/>
    <x v="0"/>
  </r>
  <r>
    <s v="Description 2437"/>
    <s v="Code 2437"/>
    <n v="0"/>
    <n v="0"/>
    <n v="0"/>
    <n v="0"/>
    <n v="0"/>
    <n v="0"/>
    <n v="0"/>
    <n v="0"/>
    <n v="0"/>
    <n v="0"/>
    <n v="260"/>
    <x v="197"/>
    <x v="0"/>
    <x v="0"/>
    <x v="0"/>
  </r>
  <r>
    <s v="Description 2438"/>
    <s v="Code 2438"/>
    <n v="0"/>
    <n v="0"/>
    <n v="0"/>
    <n v="0"/>
    <n v="0"/>
    <n v="0"/>
    <n v="0"/>
    <n v="0"/>
    <n v="0"/>
    <n v="0"/>
    <n v="64"/>
    <x v="65"/>
    <x v="0"/>
    <x v="0"/>
    <x v="0"/>
  </r>
  <r>
    <s v="Description 2439"/>
    <s v="Code 2439"/>
    <n v="0"/>
    <n v="0"/>
    <n v="0"/>
    <n v="0"/>
    <n v="0"/>
    <n v="0"/>
    <n v="0"/>
    <n v="0"/>
    <n v="0"/>
    <n v="0"/>
    <n v="69"/>
    <x v="191"/>
    <x v="0"/>
    <x v="0"/>
    <x v="0"/>
  </r>
  <r>
    <s v="Description 2440"/>
    <s v="Code 2440"/>
    <n v="0"/>
    <n v="0"/>
    <n v="0"/>
    <n v="0"/>
    <n v="0"/>
    <n v="0"/>
    <n v="0"/>
    <n v="0"/>
    <n v="0"/>
    <n v="0"/>
    <n v="69"/>
    <x v="91"/>
    <x v="0"/>
    <x v="0"/>
    <x v="0"/>
  </r>
  <r>
    <s v="Description 2441"/>
    <s v="Code 2441"/>
    <n v="0"/>
    <n v="0"/>
    <n v="0"/>
    <n v="0"/>
    <n v="0"/>
    <n v="0"/>
    <n v="0"/>
    <n v="0"/>
    <n v="0"/>
    <n v="0"/>
    <n v="62"/>
    <x v="151"/>
    <x v="0"/>
    <x v="0"/>
    <x v="0"/>
  </r>
  <r>
    <s v="Description 2442"/>
    <s v="Code 2442"/>
    <n v="0"/>
    <n v="0"/>
    <n v="0"/>
    <n v="0"/>
    <n v="0"/>
    <n v="0"/>
    <n v="0"/>
    <n v="0"/>
    <n v="0"/>
    <n v="0"/>
    <n v="43"/>
    <x v="92"/>
    <x v="0"/>
    <x v="0"/>
    <x v="0"/>
  </r>
  <r>
    <s v="Description 2443"/>
    <s v="Code 2443"/>
    <n v="0"/>
    <n v="0"/>
    <n v="0"/>
    <n v="0"/>
    <n v="0"/>
    <n v="0"/>
    <n v="0"/>
    <n v="0"/>
    <n v="0"/>
    <n v="0"/>
    <n v="150"/>
    <x v="7"/>
    <x v="0"/>
    <x v="0"/>
    <x v="0"/>
  </r>
  <r>
    <s v="Description 2444"/>
    <s v="Code 2444"/>
    <n v="0"/>
    <n v="0"/>
    <n v="0"/>
    <n v="0"/>
    <n v="0"/>
    <n v="0"/>
    <n v="0"/>
    <n v="0"/>
    <n v="0"/>
    <n v="0"/>
    <n v="264"/>
    <x v="85"/>
    <x v="0"/>
    <x v="1"/>
    <x v="0"/>
  </r>
  <r>
    <s v="Description 2445"/>
    <s v="Code 2445"/>
    <n v="0"/>
    <n v="0"/>
    <n v="0"/>
    <n v="0"/>
    <n v="0"/>
    <n v="0"/>
    <n v="0"/>
    <n v="0"/>
    <n v="0"/>
    <n v="0"/>
    <n v="186"/>
    <x v="70"/>
    <x v="0"/>
    <x v="0"/>
    <x v="0"/>
  </r>
  <r>
    <s v="Description 2446"/>
    <s v="Code 2446"/>
    <n v="0"/>
    <n v="0"/>
    <n v="0"/>
    <n v="0"/>
    <n v="0"/>
    <n v="0"/>
    <n v="0"/>
    <n v="0"/>
    <n v="0"/>
    <n v="0"/>
    <n v="96"/>
    <x v="189"/>
    <x v="0"/>
    <x v="0"/>
    <x v="0"/>
  </r>
  <r>
    <s v="Description 2447"/>
    <s v="Code 2447"/>
    <n v="0"/>
    <n v="0"/>
    <n v="0"/>
    <n v="0"/>
    <n v="0"/>
    <n v="0"/>
    <n v="0"/>
    <n v="0"/>
    <n v="0"/>
    <n v="0"/>
    <n v="280"/>
    <x v="44"/>
    <x v="0"/>
    <x v="0"/>
    <x v="0"/>
  </r>
  <r>
    <s v="Description 2448"/>
    <s v="Code 2448"/>
    <n v="0"/>
    <n v="0"/>
    <n v="0"/>
    <n v="0"/>
    <n v="0"/>
    <n v="0"/>
    <n v="0"/>
    <n v="0"/>
    <n v="0"/>
    <n v="0"/>
    <n v="113"/>
    <x v="3"/>
    <x v="0"/>
    <x v="0"/>
    <x v="0"/>
  </r>
  <r>
    <s v="Description 2449"/>
    <s v="Code 2449"/>
    <n v="0"/>
    <n v="0"/>
    <n v="0"/>
    <n v="0"/>
    <n v="0"/>
    <n v="0"/>
    <n v="0"/>
    <n v="0"/>
    <n v="0"/>
    <n v="0"/>
    <n v="300"/>
    <x v="44"/>
    <x v="0"/>
    <x v="0"/>
    <x v="0"/>
  </r>
  <r>
    <s v="Description 2450"/>
    <s v="Code 2450"/>
    <n v="0"/>
    <n v="0"/>
    <n v="0"/>
    <n v="0"/>
    <n v="0"/>
    <n v="0"/>
    <n v="0"/>
    <n v="0"/>
    <n v="0"/>
    <n v="0"/>
    <n v="386"/>
    <x v="85"/>
    <x v="0"/>
    <x v="1"/>
    <x v="0"/>
  </r>
  <r>
    <s v="Description 2451"/>
    <s v="Code 2451"/>
    <n v="0"/>
    <n v="0"/>
    <n v="0"/>
    <n v="0"/>
    <n v="0"/>
    <n v="0"/>
    <n v="0"/>
    <n v="0"/>
    <n v="0"/>
    <n v="0"/>
    <n v="237"/>
    <x v="48"/>
    <x v="0"/>
    <x v="0"/>
    <x v="0"/>
  </r>
  <r>
    <s v="Description 2452"/>
    <s v="Code 2452"/>
    <n v="0"/>
    <n v="0"/>
    <n v="0"/>
    <n v="0"/>
    <n v="0"/>
    <n v="0"/>
    <n v="0"/>
    <n v="0"/>
    <n v="0"/>
    <n v="0"/>
    <n v="70"/>
    <x v="150"/>
    <x v="0"/>
    <x v="0"/>
    <x v="0"/>
  </r>
  <r>
    <s v="Description 2453"/>
    <s v="Code 2453"/>
    <n v="0"/>
    <n v="0"/>
    <n v="0"/>
    <n v="0"/>
    <n v="0"/>
    <n v="0"/>
    <n v="0"/>
    <n v="0"/>
    <n v="0"/>
    <n v="0"/>
    <n v="10"/>
    <x v="134"/>
    <x v="0"/>
    <x v="0"/>
    <x v="0"/>
  </r>
  <r>
    <s v="Description 2454"/>
    <s v="Code 2454"/>
    <n v="0"/>
    <n v="0"/>
    <n v="0"/>
    <n v="0"/>
    <n v="0"/>
    <n v="0"/>
    <n v="0"/>
    <n v="0"/>
    <n v="0"/>
    <n v="0"/>
    <n v="0"/>
    <x v="143"/>
    <x v="0"/>
    <x v="0"/>
    <x v="0"/>
  </r>
  <r>
    <s v="Description 2455"/>
    <s v="Code 2455"/>
    <n v="0"/>
    <n v="0"/>
    <n v="0"/>
    <n v="0"/>
    <n v="0"/>
    <n v="0"/>
    <n v="0"/>
    <n v="0"/>
    <n v="0"/>
    <n v="0"/>
    <n v="0"/>
    <x v="6"/>
    <x v="0"/>
    <x v="0"/>
    <x v="0"/>
  </r>
  <r>
    <s v="Description 2456"/>
    <s v="Code 2456"/>
    <n v="0"/>
    <n v="0"/>
    <n v="0"/>
    <n v="0"/>
    <n v="0"/>
    <n v="0"/>
    <n v="0"/>
    <n v="0"/>
    <n v="0"/>
    <n v="0"/>
    <n v="206"/>
    <x v="68"/>
    <x v="0"/>
    <x v="0"/>
    <x v="0"/>
  </r>
  <r>
    <s v="Description 2457"/>
    <s v="Code 2457"/>
    <n v="0"/>
    <n v="0"/>
    <n v="0"/>
    <n v="0"/>
    <n v="0"/>
    <n v="0"/>
    <n v="0"/>
    <n v="0"/>
    <n v="0"/>
    <n v="0"/>
    <n v="20"/>
    <x v="126"/>
    <x v="0"/>
    <x v="0"/>
    <x v="0"/>
  </r>
  <r>
    <s v="Description 2458"/>
    <s v="Code 2458"/>
    <n v="0"/>
    <n v="0"/>
    <n v="0"/>
    <n v="0"/>
    <n v="0"/>
    <n v="0"/>
    <n v="0"/>
    <n v="0"/>
    <n v="0"/>
    <n v="0"/>
    <n v="203"/>
    <x v="111"/>
    <x v="0"/>
    <x v="0"/>
    <x v="0"/>
  </r>
  <r>
    <s v="Description 2459"/>
    <s v="Code 2459"/>
    <n v="0"/>
    <n v="0"/>
    <n v="0"/>
    <n v="0"/>
    <n v="0"/>
    <n v="0"/>
    <n v="0"/>
    <n v="0"/>
    <n v="0"/>
    <n v="0"/>
    <n v="429"/>
    <x v="80"/>
    <x v="0"/>
    <x v="0"/>
    <x v="0"/>
  </r>
  <r>
    <s v="Description 2460"/>
    <s v="Code 2460"/>
    <n v="0"/>
    <n v="0"/>
    <n v="0"/>
    <n v="0"/>
    <n v="0"/>
    <n v="0"/>
    <n v="0"/>
    <n v="0"/>
    <n v="0"/>
    <n v="0"/>
    <n v="1402"/>
    <x v="108"/>
    <x v="0"/>
    <x v="1"/>
    <x v="0"/>
  </r>
  <r>
    <s v="Description 2461"/>
    <s v="Code 2461"/>
    <n v="0"/>
    <n v="0"/>
    <n v="0"/>
    <n v="0"/>
    <n v="0"/>
    <n v="0"/>
    <n v="0"/>
    <n v="0"/>
    <n v="0"/>
    <n v="0"/>
    <n v="1427"/>
    <x v="176"/>
    <x v="0"/>
    <x v="0"/>
    <x v="0"/>
  </r>
  <r>
    <s v="Description 2462"/>
    <s v="Code 2462"/>
    <n v="0"/>
    <n v="0"/>
    <n v="0"/>
    <n v="0"/>
    <n v="0"/>
    <n v="0"/>
    <n v="0"/>
    <n v="0"/>
    <n v="0"/>
    <n v="0"/>
    <n v="1417"/>
    <x v="80"/>
    <x v="0"/>
    <x v="0"/>
    <x v="0"/>
  </r>
  <r>
    <s v="Description 2463"/>
    <s v="Code 2463"/>
    <n v="0"/>
    <n v="0"/>
    <n v="0"/>
    <n v="0"/>
    <n v="0"/>
    <n v="0"/>
    <n v="0"/>
    <n v="0"/>
    <n v="0"/>
    <n v="0"/>
    <n v="58"/>
    <x v="186"/>
    <x v="0"/>
    <x v="0"/>
    <x v="0"/>
  </r>
  <r>
    <s v="Description 2464"/>
    <s v="Code 2464"/>
    <n v="0"/>
    <n v="0"/>
    <n v="0"/>
    <n v="0"/>
    <n v="0"/>
    <n v="0"/>
    <n v="0"/>
    <n v="0"/>
    <n v="0"/>
    <n v="0"/>
    <n v="141"/>
    <x v="108"/>
    <x v="0"/>
    <x v="1"/>
    <x v="0"/>
  </r>
  <r>
    <s v="Description 2465"/>
    <s v="Code 2465"/>
    <n v="0"/>
    <n v="0"/>
    <n v="0"/>
    <n v="0"/>
    <n v="0"/>
    <n v="0"/>
    <n v="0"/>
    <n v="0"/>
    <n v="0"/>
    <n v="0"/>
    <n v="34"/>
    <x v="131"/>
    <x v="0"/>
    <x v="0"/>
    <x v="0"/>
  </r>
  <r>
    <s v="Description 2466"/>
    <s v="Code 2466"/>
    <n v="0"/>
    <n v="0"/>
    <n v="0"/>
    <n v="0"/>
    <n v="0"/>
    <n v="0"/>
    <n v="0"/>
    <n v="0"/>
    <n v="0"/>
    <n v="0"/>
    <n v="49"/>
    <x v="134"/>
    <x v="0"/>
    <x v="0"/>
    <x v="0"/>
  </r>
  <r>
    <s v="Description 2467"/>
    <s v="Code 2467"/>
    <n v="0"/>
    <n v="0"/>
    <n v="0"/>
    <n v="0"/>
    <n v="0"/>
    <n v="0"/>
    <n v="0"/>
    <n v="0"/>
    <n v="0"/>
    <n v="0"/>
    <n v="49"/>
    <x v="26"/>
    <x v="0"/>
    <x v="1"/>
    <x v="0"/>
  </r>
  <r>
    <s v="Description 2468"/>
    <s v="Code 2468"/>
    <n v="0"/>
    <n v="0"/>
    <n v="0"/>
    <n v="0"/>
    <n v="0"/>
    <n v="0"/>
    <n v="0"/>
    <n v="0"/>
    <n v="0"/>
    <n v="0"/>
    <n v="25"/>
    <x v="20"/>
    <x v="0"/>
    <x v="0"/>
    <x v="0"/>
  </r>
  <r>
    <s v="Description 2469"/>
    <s v="Code 2469"/>
    <n v="0"/>
    <n v="2"/>
    <n v="2"/>
    <n v="2"/>
    <n v="2"/>
    <n v="2"/>
    <n v="3"/>
    <n v="2"/>
    <n v="2"/>
    <n v="0"/>
    <n v="260"/>
    <x v="154"/>
    <x v="0"/>
    <x v="0"/>
    <x v="0"/>
  </r>
  <r>
    <s v="Description 2470"/>
    <s v="Code 2470"/>
    <n v="182"/>
    <n v="70"/>
    <n v="86"/>
    <n v="86"/>
    <n v="86"/>
    <n v="86"/>
    <n v="86"/>
    <n v="86"/>
    <n v="86"/>
    <n v="0"/>
    <n v="200"/>
    <x v="194"/>
    <x v="0"/>
    <x v="0"/>
    <x v="0"/>
  </r>
  <r>
    <s v="Description 2471"/>
    <s v="Code 2471"/>
    <n v="182"/>
    <n v="70"/>
    <n v="86"/>
    <n v="86"/>
    <n v="86"/>
    <n v="86"/>
    <n v="86"/>
    <n v="86"/>
    <n v="86"/>
    <n v="0"/>
    <n v="121"/>
    <x v="99"/>
    <x v="0"/>
    <x v="0"/>
    <x v="0"/>
  </r>
  <r>
    <s v="Description 2472"/>
    <s v="Code 2472"/>
    <n v="92"/>
    <n v="35"/>
    <n v="79"/>
    <n v="79"/>
    <n v="79"/>
    <n v="79"/>
    <n v="79"/>
    <n v="79"/>
    <n v="79"/>
    <n v="0"/>
    <n v="40"/>
    <x v="38"/>
    <x v="0"/>
    <x v="0"/>
    <x v="0"/>
  </r>
  <r>
    <s v="Description 2473"/>
    <s v="Code 2473"/>
    <n v="0"/>
    <n v="0"/>
    <n v="0"/>
    <n v="0"/>
    <n v="0"/>
    <n v="0"/>
    <n v="0"/>
    <n v="0"/>
    <n v="0"/>
    <n v="0"/>
    <n v="2999"/>
    <x v="145"/>
    <x v="0"/>
    <x v="0"/>
    <x v="0"/>
  </r>
  <r>
    <s v="Description 2474"/>
    <s v="Code 2474"/>
    <n v="90"/>
    <n v="35"/>
    <n v="79"/>
    <n v="79"/>
    <n v="79"/>
    <n v="79"/>
    <n v="79"/>
    <n v="79"/>
    <n v="79"/>
    <n v="0"/>
    <n v="1020"/>
    <x v="18"/>
    <x v="0"/>
    <x v="0"/>
    <x v="0"/>
  </r>
  <r>
    <s v="Description 2475"/>
    <s v="Code 2475"/>
    <n v="0"/>
    <n v="0"/>
    <n v="0"/>
    <n v="0"/>
    <n v="0"/>
    <n v="0"/>
    <n v="0"/>
    <n v="0"/>
    <n v="0"/>
    <n v="0"/>
    <n v="709"/>
    <x v="164"/>
    <x v="0"/>
    <x v="0"/>
    <x v="0"/>
  </r>
  <r>
    <s v="Description 2476"/>
    <s v="Code 2476"/>
    <n v="300"/>
    <n v="30"/>
    <n v="180"/>
    <n v="120"/>
    <n v="440"/>
    <n v="120"/>
    <n v="60"/>
    <n v="150"/>
    <n v="210"/>
    <n v="0"/>
    <n v="2402"/>
    <x v="23"/>
    <x v="0"/>
    <x v="1"/>
    <x v="0"/>
  </r>
  <r>
    <s v="Description 2477"/>
    <s v="Code 2477"/>
    <n v="100"/>
    <n v="10"/>
    <n v="60"/>
    <n v="40"/>
    <n v="80"/>
    <n v="40"/>
    <n v="20"/>
    <n v="50"/>
    <n v="70"/>
    <n v="0"/>
    <n v="503"/>
    <x v="55"/>
    <x v="0"/>
    <x v="0"/>
    <x v="0"/>
  </r>
  <r>
    <s v="Description 2478"/>
    <s v="Code 2478"/>
    <n v="200"/>
    <n v="0"/>
    <n v="140"/>
    <n v="3"/>
    <n v="0"/>
    <n v="1"/>
    <n v="25"/>
    <n v="12"/>
    <n v="30"/>
    <n v="0"/>
    <n v="1900"/>
    <x v="192"/>
    <x v="0"/>
    <x v="0"/>
    <x v="0"/>
  </r>
  <r>
    <s v="Description 2479"/>
    <s v="Code 2479"/>
    <n v="200"/>
    <n v="0"/>
    <n v="140"/>
    <n v="3"/>
    <n v="0"/>
    <n v="1"/>
    <n v="25"/>
    <n v="12"/>
    <n v="30"/>
    <n v="0"/>
    <n v="1276"/>
    <x v="192"/>
    <x v="0"/>
    <x v="0"/>
    <x v="0"/>
  </r>
  <r>
    <s v="Description 2480"/>
    <s v="Code 2480"/>
    <n v="0"/>
    <n v="0"/>
    <n v="0"/>
    <n v="5"/>
    <n v="0"/>
    <n v="1"/>
    <n v="0"/>
    <n v="0"/>
    <n v="0"/>
    <n v="0"/>
    <n v="172"/>
    <x v="99"/>
    <x v="0"/>
    <x v="0"/>
    <x v="0"/>
  </r>
  <r>
    <s v="Description 2481"/>
    <s v="Code 2481"/>
    <n v="10"/>
    <n v="20"/>
    <n v="30"/>
    <n v="0"/>
    <n v="0"/>
    <n v="0"/>
    <n v="0"/>
    <n v="0"/>
    <n v="50"/>
    <n v="0"/>
    <n v="136"/>
    <x v="60"/>
    <x v="0"/>
    <x v="0"/>
    <x v="0"/>
  </r>
  <r>
    <s v="Description 2482"/>
    <s v="Code 2482"/>
    <n v="0"/>
    <n v="0"/>
    <n v="0"/>
    <n v="105"/>
    <n v="50"/>
    <n v="120"/>
    <n v="0"/>
    <n v="0"/>
    <n v="15"/>
    <n v="0"/>
    <n v="0"/>
    <x v="146"/>
    <x v="0"/>
    <x v="0"/>
    <x v="0"/>
  </r>
  <r>
    <s v="Description 2483"/>
    <s v="Code 2483"/>
    <n v="800"/>
    <n v="0"/>
    <n v="1250"/>
    <n v="700"/>
    <n v="0"/>
    <n v="0"/>
    <n v="500"/>
    <n v="500"/>
    <n v="50"/>
    <n v="0"/>
    <n v="164"/>
    <x v="41"/>
    <x v="0"/>
    <x v="0"/>
    <x v="0"/>
  </r>
  <r>
    <s v="Description 2484"/>
    <s v="Code 2484"/>
    <n v="0"/>
    <n v="0"/>
    <n v="10"/>
    <n v="0"/>
    <n v="0"/>
    <n v="0"/>
    <n v="0"/>
    <n v="0"/>
    <n v="0"/>
    <n v="0"/>
    <n v="163"/>
    <x v="143"/>
    <x v="0"/>
    <x v="0"/>
    <x v="0"/>
  </r>
  <r>
    <s v="Description 2485"/>
    <s v="Code 2485"/>
    <n v="0"/>
    <n v="0"/>
    <n v="0"/>
    <n v="0"/>
    <n v="0"/>
    <n v="0"/>
    <n v="0"/>
    <n v="0"/>
    <n v="0"/>
    <n v="0"/>
    <n v="138"/>
    <x v="175"/>
    <x v="0"/>
    <x v="0"/>
    <x v="0"/>
  </r>
  <r>
    <s v="Description 2486"/>
    <s v="Code 2486"/>
    <n v="0"/>
    <n v="0"/>
    <n v="0"/>
    <n v="0"/>
    <n v="0"/>
    <n v="0"/>
    <n v="0"/>
    <n v="0"/>
    <n v="0"/>
    <n v="0"/>
    <n v="1758"/>
    <x v="183"/>
    <x v="0"/>
    <x v="0"/>
    <x v="0"/>
  </r>
  <r>
    <s v="Description 2487"/>
    <s v="Code 2487"/>
    <n v="0"/>
    <n v="0"/>
    <n v="0"/>
    <n v="0"/>
    <n v="0"/>
    <n v="0"/>
    <n v="0"/>
    <n v="0"/>
    <n v="0"/>
    <n v="0"/>
    <n v="48"/>
    <x v="11"/>
    <x v="0"/>
    <x v="0"/>
    <x v="0"/>
  </r>
  <r>
    <s v="Description 2488"/>
    <s v="Code 2488"/>
    <n v="0"/>
    <n v="0"/>
    <n v="0"/>
    <n v="300"/>
    <n v="0"/>
    <n v="0"/>
    <n v="0"/>
    <n v="300"/>
    <n v="0"/>
    <n v="0"/>
    <n v="750"/>
    <x v="146"/>
    <x v="0"/>
    <x v="0"/>
    <x v="0"/>
  </r>
  <r>
    <s v="Description 2489"/>
    <s v="Code 2489"/>
    <n v="1810"/>
    <n v="1600"/>
    <n v="1120"/>
    <n v="1520"/>
    <n v="1120"/>
    <n v="1120"/>
    <n v="960"/>
    <n v="1120"/>
    <n v="1120"/>
    <n v="0"/>
    <n v="19"/>
    <x v="135"/>
    <x v="0"/>
    <x v="0"/>
    <x v="0"/>
  </r>
  <r>
    <s v="Description 2490"/>
    <s v="Code 2490"/>
    <n v="0"/>
    <n v="0"/>
    <n v="0"/>
    <n v="0"/>
    <n v="0"/>
    <n v="0"/>
    <n v="0"/>
    <n v="0"/>
    <n v="0"/>
    <n v="0"/>
    <n v="0"/>
    <x v="60"/>
    <x v="0"/>
    <x v="0"/>
    <x v="0"/>
  </r>
  <r>
    <s v="Description 2491"/>
    <s v="Code 2491"/>
    <n v="50"/>
    <n v="100"/>
    <n v="120"/>
    <n v="120"/>
    <n v="220"/>
    <n v="220"/>
    <n v="220"/>
    <n v="120"/>
    <n v="220"/>
    <n v="0"/>
    <n v="20"/>
    <x v="167"/>
    <x v="0"/>
    <x v="0"/>
    <x v="0"/>
  </r>
  <r>
    <s v="Description 2492"/>
    <s v="Code 2492"/>
    <n v="0"/>
    <n v="0"/>
    <n v="0"/>
    <n v="0"/>
    <n v="300"/>
    <n v="0"/>
    <n v="0"/>
    <n v="0"/>
    <n v="0"/>
    <n v="0"/>
    <n v="264"/>
    <x v="157"/>
    <x v="0"/>
    <x v="0"/>
    <x v="0"/>
  </r>
  <r>
    <s v="Description 2493"/>
    <s v="Code 2493"/>
    <n v="15"/>
    <n v="17"/>
    <n v="22"/>
    <n v="22"/>
    <n v="17"/>
    <n v="17"/>
    <n v="23"/>
    <n v="22"/>
    <n v="7"/>
    <n v="0"/>
    <n v="306"/>
    <x v="50"/>
    <x v="0"/>
    <x v="0"/>
    <x v="0"/>
  </r>
  <r>
    <s v="Description 2494"/>
    <s v="Code 2494"/>
    <n v="2"/>
    <n v="4"/>
    <n v="9"/>
    <n v="9"/>
    <n v="9"/>
    <n v="10"/>
    <n v="5"/>
    <n v="9"/>
    <n v="9"/>
    <n v="0"/>
    <n v="103"/>
    <x v="29"/>
    <x v="0"/>
    <x v="0"/>
    <x v="0"/>
  </r>
  <r>
    <s v="Description 2495"/>
    <s v="Code 2495"/>
    <n v="2"/>
    <n v="0"/>
    <n v="2"/>
    <n v="0"/>
    <n v="1"/>
    <n v="0"/>
    <n v="0"/>
    <n v="1"/>
    <n v="0"/>
    <n v="0"/>
    <n v="108"/>
    <x v="138"/>
    <x v="0"/>
    <x v="0"/>
    <x v="0"/>
  </r>
  <r>
    <s v="Description 2496"/>
    <s v="Code 2496"/>
    <n v="2"/>
    <n v="0"/>
    <n v="2"/>
    <n v="0"/>
    <n v="1"/>
    <n v="0"/>
    <n v="0"/>
    <n v="1"/>
    <n v="0"/>
    <n v="0"/>
    <n v="57"/>
    <x v="65"/>
    <x v="0"/>
    <x v="0"/>
    <x v="0"/>
  </r>
  <r>
    <s v="Description 2497"/>
    <s v="Code 2497"/>
    <n v="30"/>
    <n v="30"/>
    <n v="40"/>
    <n v="40"/>
    <n v="30"/>
    <n v="30"/>
    <n v="40"/>
    <n v="40"/>
    <n v="10"/>
    <n v="0"/>
    <n v="453"/>
    <x v="125"/>
    <x v="0"/>
    <x v="0"/>
    <x v="0"/>
  </r>
  <r>
    <s v="Description 2498"/>
    <s v="Code 2498"/>
    <n v="4"/>
    <n v="200"/>
    <n v="22"/>
    <n v="12"/>
    <n v="8"/>
    <n v="0"/>
    <n v="4"/>
    <n v="210"/>
    <n v="0"/>
    <n v="0"/>
    <n v="0"/>
    <x v="143"/>
    <x v="0"/>
    <x v="0"/>
    <x v="0"/>
  </r>
  <r>
    <s v="Description 2499"/>
    <s v="Code 2499"/>
    <n v="10"/>
    <n v="20"/>
    <n v="30"/>
    <n v="0"/>
    <n v="0"/>
    <n v="0"/>
    <n v="0"/>
    <n v="0"/>
    <n v="50"/>
    <n v="0"/>
    <n v="2687"/>
    <x v="21"/>
    <x v="0"/>
    <x v="0"/>
    <x v="0"/>
  </r>
  <r>
    <s v="Description 2500"/>
    <s v="Code 2500"/>
    <n v="0"/>
    <n v="0"/>
    <n v="100"/>
    <n v="0"/>
    <n v="0"/>
    <n v="0"/>
    <n v="0"/>
    <n v="100"/>
    <n v="0"/>
    <n v="0"/>
    <n v="7207"/>
    <x v="151"/>
    <x v="0"/>
    <x v="0"/>
    <x v="0"/>
  </r>
  <r>
    <s v="Description 2501"/>
    <s v="Code 2501"/>
    <n v="0"/>
    <n v="0"/>
    <n v="0"/>
    <n v="0"/>
    <n v="0"/>
    <n v="0"/>
    <n v="0"/>
    <n v="0"/>
    <n v="0"/>
    <n v="0"/>
    <n v="1"/>
    <x v="113"/>
    <x v="0"/>
    <x v="0"/>
    <x v="0"/>
  </r>
  <r>
    <s v="Description 2502"/>
    <s v="Code 2502"/>
    <n v="0"/>
    <n v="0"/>
    <n v="0"/>
    <n v="0"/>
    <n v="0"/>
    <n v="0"/>
    <n v="0"/>
    <n v="0"/>
    <n v="0"/>
    <n v="0"/>
    <n v="0"/>
    <x v="148"/>
    <x v="0"/>
    <x v="0"/>
    <x v="0"/>
  </r>
  <r>
    <s v="Description 2503"/>
    <s v="Code 2503"/>
    <n v="0"/>
    <n v="0"/>
    <n v="0"/>
    <n v="2"/>
    <n v="0"/>
    <n v="0"/>
    <n v="0"/>
    <n v="8"/>
    <n v="0"/>
    <n v="0"/>
    <n v="0"/>
    <x v="17"/>
    <x v="0"/>
    <x v="0"/>
    <x v="0"/>
  </r>
  <r>
    <s v="Description 2504"/>
    <s v="Code 2504"/>
    <n v="1"/>
    <n v="0"/>
    <n v="20"/>
    <n v="317"/>
    <n v="153"/>
    <n v="360"/>
    <n v="2"/>
    <n v="5"/>
    <n v="45"/>
    <n v="0"/>
    <n v="203"/>
    <x v="34"/>
    <x v="0"/>
    <x v="0"/>
    <x v="0"/>
  </r>
  <r>
    <s v="Description 2505"/>
    <s v="Code 2505"/>
    <n v="0"/>
    <n v="0"/>
    <n v="0"/>
    <n v="0"/>
    <n v="0"/>
    <n v="0"/>
    <n v="0"/>
    <n v="20"/>
    <n v="0"/>
    <n v="0"/>
    <n v="1120"/>
    <x v="87"/>
    <x v="0"/>
    <x v="0"/>
    <x v="0"/>
  </r>
  <r>
    <s v="Description 2506"/>
    <s v="Code 2506"/>
    <n v="966"/>
    <n v="844"/>
    <n v="1338"/>
    <n v="1406"/>
    <n v="1234"/>
    <n v="1098"/>
    <n v="1230"/>
    <n v="1114"/>
    <n v="1178"/>
    <n v="0"/>
    <n v="544"/>
    <x v="78"/>
    <x v="0"/>
    <x v="0"/>
    <x v="0"/>
  </r>
  <r>
    <s v="Description 2507"/>
    <s v="Code 2507"/>
    <n v="5716"/>
    <n v="5284"/>
    <n v="7396"/>
    <n v="7110"/>
    <n v="7482"/>
    <n v="7280"/>
    <n v="5956"/>
    <n v="4726"/>
    <n v="5273"/>
    <n v="0"/>
    <n v="250"/>
    <x v="71"/>
    <x v="0"/>
    <x v="0"/>
    <x v="0"/>
  </r>
  <r>
    <s v="Description 2508"/>
    <s v="Code 2508"/>
    <n v="725"/>
    <n v="620"/>
    <n v="810"/>
    <n v="720"/>
    <n v="830"/>
    <n v="820"/>
    <n v="510"/>
    <n v="520"/>
    <n v="620"/>
    <n v="0"/>
    <n v="292"/>
    <x v="57"/>
    <x v="0"/>
    <x v="0"/>
    <x v="0"/>
  </r>
  <r>
    <s v="Description 2509"/>
    <s v="Code 2509"/>
    <n v="200"/>
    <n v="20"/>
    <n v="120"/>
    <n v="80"/>
    <n v="160"/>
    <n v="80"/>
    <n v="40"/>
    <n v="100"/>
    <n v="140"/>
    <n v="0"/>
    <n v="500"/>
    <x v="119"/>
    <x v="0"/>
    <x v="1"/>
    <x v="0"/>
  </r>
  <r>
    <s v="Description 2510"/>
    <s v="Code 2510"/>
    <n v="312"/>
    <n v="312"/>
    <n v="336"/>
    <n v="264"/>
    <n v="324"/>
    <n v="288"/>
    <n v="264"/>
    <n v="264"/>
    <n v="216"/>
    <n v="0"/>
    <n v="1010"/>
    <x v="191"/>
    <x v="0"/>
    <x v="0"/>
    <x v="0"/>
  </r>
  <r>
    <s v="Description 2511"/>
    <s v="Code 2511"/>
    <n v="88"/>
    <n v="72"/>
    <n v="56"/>
    <n v="140"/>
    <n v="68"/>
    <n v="52"/>
    <n v="36"/>
    <n v="40"/>
    <n v="96"/>
    <n v="0"/>
    <n v="746"/>
    <x v="113"/>
    <x v="0"/>
    <x v="0"/>
    <x v="0"/>
  </r>
  <r>
    <s v="Description 2512"/>
    <s v="Code 2512"/>
    <n v="798"/>
    <n v="182"/>
    <n v="1809"/>
    <n v="380"/>
    <n v="190"/>
    <n v="130"/>
    <n v="116"/>
    <n v="120"/>
    <n v="104"/>
    <n v="0"/>
    <n v="0"/>
    <x v="4"/>
    <x v="0"/>
    <x v="0"/>
    <x v="0"/>
  </r>
  <r>
    <s v="Description 2513"/>
    <s v="Code 2513"/>
    <n v="1524"/>
    <n v="1218"/>
    <n v="1604"/>
    <n v="1564"/>
    <n v="1564"/>
    <n v="1724"/>
    <n v="1080"/>
    <n v="1512"/>
    <n v="1734"/>
    <n v="0"/>
    <n v="124"/>
    <x v="80"/>
    <x v="0"/>
    <x v="0"/>
    <x v="0"/>
  </r>
  <r>
    <s v="Description 2514"/>
    <s v="Code 2514"/>
    <n v="0"/>
    <n v="0"/>
    <n v="0"/>
    <n v="0"/>
    <n v="0"/>
    <n v="0"/>
    <n v="0"/>
    <n v="0"/>
    <n v="0"/>
    <n v="0"/>
    <n v="0"/>
    <x v="144"/>
    <x v="0"/>
    <x v="0"/>
    <x v="0"/>
  </r>
  <r>
    <s v="Description 2515"/>
    <s v="Code 2515"/>
    <n v="400"/>
    <n v="100"/>
    <n v="300"/>
    <n v="425"/>
    <n v="400"/>
    <n v="400"/>
    <n v="400"/>
    <n v="400"/>
    <n v="300"/>
    <n v="0"/>
    <n v="0"/>
    <x v="14"/>
    <x v="0"/>
    <x v="0"/>
    <x v="0"/>
  </r>
  <r>
    <s v="Description 2516"/>
    <s v="Code 2516"/>
    <n v="0"/>
    <n v="0"/>
    <n v="0"/>
    <n v="0"/>
    <n v="0"/>
    <n v="0"/>
    <n v="0"/>
    <n v="0"/>
    <n v="0"/>
    <n v="0"/>
    <n v="0"/>
    <x v="185"/>
    <x v="0"/>
    <x v="0"/>
    <x v="0"/>
  </r>
  <r>
    <s v="Description 2517"/>
    <s v="Code 2517"/>
    <n v="0"/>
    <n v="0"/>
    <n v="0"/>
    <n v="0"/>
    <n v="0"/>
    <n v="0"/>
    <n v="0"/>
    <n v="0"/>
    <n v="0"/>
    <n v="0"/>
    <n v="708"/>
    <x v="136"/>
    <x v="0"/>
    <x v="1"/>
    <x v="0"/>
  </r>
  <r>
    <s v="Description 2518"/>
    <s v="Code 2518"/>
    <n v="0"/>
    <n v="0"/>
    <n v="0"/>
    <n v="0"/>
    <n v="0"/>
    <n v="0"/>
    <n v="0"/>
    <n v="0"/>
    <n v="0"/>
    <n v="0"/>
    <n v="1799"/>
    <x v="177"/>
    <x v="0"/>
    <x v="0"/>
    <x v="0"/>
  </r>
  <r>
    <s v="Description 2519"/>
    <s v="Code 2519"/>
    <n v="0"/>
    <n v="0"/>
    <n v="0"/>
    <n v="0"/>
    <n v="0"/>
    <n v="0"/>
    <n v="0"/>
    <n v="0"/>
    <n v="0"/>
    <n v="0"/>
    <n v="5384"/>
    <x v="57"/>
    <x v="0"/>
    <x v="0"/>
    <x v="0"/>
  </r>
  <r>
    <s v="Description 2520"/>
    <s v="Code 2520"/>
    <n v="0"/>
    <n v="0"/>
    <n v="0"/>
    <n v="0"/>
    <n v="0"/>
    <n v="0"/>
    <n v="0"/>
    <n v="0"/>
    <n v="0"/>
    <n v="0"/>
    <n v="6919"/>
    <x v="76"/>
    <x v="0"/>
    <x v="1"/>
    <x v="0"/>
  </r>
  <r>
    <s v="Description 2521"/>
    <s v="Code 2521"/>
    <n v="0"/>
    <n v="0"/>
    <n v="0"/>
    <n v="0"/>
    <n v="0"/>
    <n v="0"/>
    <n v="0"/>
    <n v="0"/>
    <n v="0"/>
    <n v="0"/>
    <n v="0"/>
    <x v="73"/>
    <x v="0"/>
    <x v="0"/>
    <x v="0"/>
  </r>
  <r>
    <s v="Description 2522"/>
    <s v="Code 2522"/>
    <n v="0"/>
    <n v="0"/>
    <n v="0"/>
    <n v="0"/>
    <n v="0"/>
    <n v="0"/>
    <n v="0"/>
    <n v="0"/>
    <n v="0"/>
    <n v="0"/>
    <n v="1976"/>
    <x v="51"/>
    <x v="0"/>
    <x v="0"/>
    <x v="0"/>
  </r>
  <r>
    <s v="Description 2523"/>
    <s v="Code 2523"/>
    <n v="98"/>
    <n v="0"/>
    <n v="52"/>
    <n v="70"/>
    <n v="0"/>
    <n v="0"/>
    <n v="0"/>
    <n v="0"/>
    <n v="0"/>
    <n v="0"/>
    <n v="1602"/>
    <x v="177"/>
    <x v="0"/>
    <x v="0"/>
    <x v="0"/>
  </r>
  <r>
    <s v="Description 2524"/>
    <s v="Code 2524"/>
    <n v="44"/>
    <n v="0"/>
    <n v="2"/>
    <n v="4"/>
    <n v="40"/>
    <n v="0"/>
    <n v="0"/>
    <n v="0"/>
    <n v="0"/>
    <n v="0"/>
    <n v="1550"/>
    <x v="166"/>
    <x v="0"/>
    <x v="0"/>
    <x v="0"/>
  </r>
  <r>
    <s v="Description 2525"/>
    <s v="Code 2525"/>
    <n v="154"/>
    <n v="154"/>
    <n v="198"/>
    <n v="198"/>
    <n v="154"/>
    <n v="198"/>
    <n v="110"/>
    <n v="110"/>
    <n v="110"/>
    <n v="0"/>
    <n v="4400"/>
    <x v="114"/>
    <x v="0"/>
    <x v="0"/>
    <x v="0"/>
  </r>
  <r>
    <s v="Description 2526"/>
    <s v="Code 2526"/>
    <n v="4538"/>
    <n v="4018"/>
    <n v="5024"/>
    <n v="5020"/>
    <n v="4544"/>
    <n v="5018"/>
    <n v="3014"/>
    <n v="3008"/>
    <n v="3008"/>
    <n v="0"/>
    <n v="0"/>
    <x v="156"/>
    <x v="0"/>
    <x v="0"/>
    <x v="0"/>
  </r>
  <r>
    <s v="Description 2527"/>
    <s v="Code 2527"/>
    <n v="0"/>
    <n v="0"/>
    <n v="0"/>
    <n v="0"/>
    <n v="0"/>
    <n v="0"/>
    <n v="0"/>
    <n v="0"/>
    <n v="0"/>
    <n v="0"/>
    <n v="1950"/>
    <x v="52"/>
    <x v="0"/>
    <x v="0"/>
    <x v="0"/>
  </r>
  <r>
    <s v="Description 2528"/>
    <s v="Code 2528"/>
    <n v="1366"/>
    <n v="120"/>
    <n v="60"/>
    <n v="52"/>
    <n v="40"/>
    <n v="36"/>
    <n v="28"/>
    <n v="16"/>
    <n v="16"/>
    <n v="0"/>
    <n v="1956"/>
    <x v="147"/>
    <x v="0"/>
    <x v="0"/>
    <x v="0"/>
  </r>
  <r>
    <s v="Description 2529"/>
    <s v="Code 2529"/>
    <n v="0"/>
    <n v="0"/>
    <n v="0"/>
    <n v="0"/>
    <n v="0"/>
    <n v="0"/>
    <n v="0"/>
    <n v="0"/>
    <n v="0"/>
    <n v="0"/>
    <n v="959"/>
    <x v="35"/>
    <x v="0"/>
    <x v="1"/>
    <x v="0"/>
  </r>
  <r>
    <s v="Description 2530"/>
    <s v="Code 2530"/>
    <n v="0"/>
    <n v="0"/>
    <n v="0"/>
    <n v="0"/>
    <n v="0"/>
    <n v="0"/>
    <n v="0"/>
    <n v="0"/>
    <n v="0"/>
    <n v="0"/>
    <n v="124"/>
    <x v="106"/>
    <x v="0"/>
    <x v="0"/>
    <x v="0"/>
  </r>
  <r>
    <s v="Description 2531"/>
    <s v="Code 2531"/>
    <n v="96"/>
    <n v="76"/>
    <n v="62"/>
    <n v="132"/>
    <n v="88"/>
    <n v="60"/>
    <n v="52"/>
    <n v="44"/>
    <n v="72"/>
    <n v="0"/>
    <n v="2500"/>
    <x v="107"/>
    <x v="0"/>
    <x v="0"/>
    <x v="0"/>
  </r>
  <r>
    <s v="Description 2532"/>
    <s v="Code 2532"/>
    <n v="2964"/>
    <n v="3642"/>
    <n v="3468"/>
    <n v="3228"/>
    <n v="3300"/>
    <n v="3564"/>
    <n v="2628"/>
    <n v="2448"/>
    <n v="2112"/>
    <n v="0"/>
    <n v="206"/>
    <x v="131"/>
    <x v="0"/>
    <x v="0"/>
    <x v="0"/>
  </r>
  <r>
    <s v="Description 2533"/>
    <s v="Code 2533"/>
    <n v="0"/>
    <n v="0"/>
    <n v="0"/>
    <n v="16"/>
    <n v="16"/>
    <n v="16"/>
    <n v="8"/>
    <n v="16"/>
    <n v="12"/>
    <n v="0"/>
    <n v="0"/>
    <x v="199"/>
    <x v="0"/>
    <x v="0"/>
    <x v="0"/>
  </r>
  <r>
    <s v="Description 2534"/>
    <s v="Code 2534"/>
    <n v="200"/>
    <n v="400"/>
    <n v="200"/>
    <n v="400"/>
    <n v="200"/>
    <n v="400"/>
    <n v="200"/>
    <n v="200"/>
    <n v="200"/>
    <n v="0"/>
    <n v="0"/>
    <x v="157"/>
    <x v="0"/>
    <x v="0"/>
    <x v="0"/>
  </r>
  <r>
    <s v="Description 2535"/>
    <s v="Code 2535"/>
    <n v="0"/>
    <n v="0"/>
    <n v="0"/>
    <n v="0"/>
    <n v="0"/>
    <n v="0"/>
    <n v="0"/>
    <n v="0"/>
    <n v="0"/>
    <n v="0"/>
    <n v="850"/>
    <x v="78"/>
    <x v="0"/>
    <x v="0"/>
    <x v="0"/>
  </r>
  <r>
    <s v="Description 2536"/>
    <s v="Code 2536"/>
    <n v="520"/>
    <n v="520"/>
    <n v="650"/>
    <n v="650"/>
    <n v="520"/>
    <n v="650"/>
    <n v="390"/>
    <n v="390"/>
    <n v="390"/>
    <n v="0"/>
    <n v="0"/>
    <x v="2"/>
    <x v="0"/>
    <x v="0"/>
    <x v="0"/>
  </r>
  <r>
    <s v="Description 2537"/>
    <s v="Code 2537"/>
    <n v="16"/>
    <n v="48"/>
    <n v="8"/>
    <n v="16"/>
    <n v="16"/>
    <n v="0"/>
    <n v="0"/>
    <n v="0"/>
    <n v="0"/>
    <n v="0"/>
    <n v="341"/>
    <x v="153"/>
    <x v="0"/>
    <x v="0"/>
    <x v="0"/>
  </r>
  <r>
    <s v="Description 2538"/>
    <s v="Code 2538"/>
    <n v="0"/>
    <n v="0"/>
    <n v="0"/>
    <n v="0"/>
    <n v="0"/>
    <n v="0"/>
    <n v="0"/>
    <n v="0"/>
    <n v="0"/>
    <n v="0"/>
    <n v="1000"/>
    <x v="34"/>
    <x v="0"/>
    <x v="0"/>
    <x v="0"/>
  </r>
  <r>
    <s v="Description 2539"/>
    <s v="Code 2539"/>
    <n v="16"/>
    <n v="0"/>
    <n v="0"/>
    <n v="0"/>
    <n v="0"/>
    <n v="0"/>
    <n v="0"/>
    <n v="0"/>
    <n v="0"/>
    <n v="0"/>
    <n v="1000"/>
    <x v="9"/>
    <x v="0"/>
    <x v="0"/>
    <x v="0"/>
  </r>
  <r>
    <s v="Description 2540"/>
    <s v="Code 2540"/>
    <n v="4"/>
    <n v="0"/>
    <n v="0"/>
    <n v="0"/>
    <n v="0"/>
    <n v="0"/>
    <n v="0"/>
    <n v="0"/>
    <n v="0"/>
    <n v="0"/>
    <n v="860"/>
    <x v="125"/>
    <x v="0"/>
    <x v="0"/>
    <x v="0"/>
  </r>
  <r>
    <s v="Description 2541"/>
    <s v="Code 2541"/>
    <n v="48"/>
    <n v="0"/>
    <n v="32"/>
    <n v="48"/>
    <n v="0"/>
    <n v="0"/>
    <n v="0"/>
    <n v="0"/>
    <n v="0"/>
    <n v="0"/>
    <n v="413"/>
    <x v="118"/>
    <x v="0"/>
    <x v="0"/>
    <x v="0"/>
  </r>
  <r>
    <s v="Description 2542"/>
    <s v="Code 2542"/>
    <n v="0"/>
    <n v="0"/>
    <n v="0"/>
    <n v="0"/>
    <n v="0"/>
    <n v="0"/>
    <n v="0"/>
    <n v="0"/>
    <n v="0"/>
    <n v="0"/>
    <n v="0"/>
    <x v="46"/>
    <x v="0"/>
    <x v="0"/>
    <x v="0"/>
  </r>
  <r>
    <s v="Description 2543"/>
    <s v="Code 2543"/>
    <n v="152"/>
    <n v="124"/>
    <n v="172"/>
    <n v="172"/>
    <n v="60"/>
    <n v="88"/>
    <n v="80"/>
    <n v="84"/>
    <n v="64"/>
    <n v="0"/>
    <n v="1692"/>
    <x v="55"/>
    <x v="0"/>
    <x v="0"/>
    <x v="0"/>
  </r>
  <r>
    <s v="Description 2544"/>
    <s v="Code 2544"/>
    <n v="344"/>
    <n v="128"/>
    <n v="306"/>
    <n v="216"/>
    <n v="200"/>
    <n v="216"/>
    <n v="40"/>
    <n v="256"/>
    <n v="40"/>
    <n v="0"/>
    <n v="208"/>
    <x v="68"/>
    <x v="0"/>
    <x v="0"/>
    <x v="0"/>
  </r>
  <r>
    <s v="Description 2545"/>
    <s v="Code 2545"/>
    <n v="64"/>
    <n v="64"/>
    <n v="96"/>
    <n v="69"/>
    <n v="64"/>
    <n v="64"/>
    <n v="64"/>
    <n v="32"/>
    <n v="64"/>
    <n v="0"/>
    <n v="357"/>
    <x v="175"/>
    <x v="0"/>
    <x v="0"/>
    <x v="0"/>
  </r>
  <r>
    <s v="Description 2546"/>
    <s v="Code 2546"/>
    <n v="64"/>
    <n v="64"/>
    <n v="96"/>
    <n v="69"/>
    <n v="64"/>
    <n v="64"/>
    <n v="64"/>
    <n v="32"/>
    <n v="64"/>
    <n v="0"/>
    <n v="300"/>
    <x v="93"/>
    <x v="0"/>
    <x v="0"/>
    <x v="0"/>
  </r>
  <r>
    <s v="Description 2547"/>
    <s v="Code 2547"/>
    <n v="150"/>
    <n v="0"/>
    <n v="0"/>
    <n v="0"/>
    <n v="150"/>
    <n v="0"/>
    <n v="0"/>
    <n v="150"/>
    <n v="0"/>
    <n v="0"/>
    <n v="100"/>
    <x v="39"/>
    <x v="0"/>
    <x v="0"/>
    <x v="0"/>
  </r>
  <r>
    <s v="Description 2548"/>
    <s v="Code 2548"/>
    <n v="0"/>
    <n v="0"/>
    <n v="0"/>
    <n v="0"/>
    <n v="0"/>
    <n v="0"/>
    <n v="0"/>
    <n v="0"/>
    <n v="0"/>
    <n v="0"/>
    <n v="1000"/>
    <x v="31"/>
    <x v="0"/>
    <x v="0"/>
    <x v="0"/>
  </r>
  <r>
    <s v="Description 2549"/>
    <s v="Code 2549"/>
    <n v="130"/>
    <n v="80"/>
    <n v="80"/>
    <n v="80"/>
    <n v="80"/>
    <n v="65"/>
    <n v="80"/>
    <n v="65"/>
    <n v="80"/>
    <n v="0"/>
    <n v="81"/>
    <x v="48"/>
    <x v="0"/>
    <x v="0"/>
    <x v="0"/>
  </r>
  <r>
    <s v="Description 2550"/>
    <s v="Code 2550"/>
    <n v="30"/>
    <n v="65"/>
    <n v="15"/>
    <n v="80"/>
    <n v="30"/>
    <n v="65"/>
    <n v="80"/>
    <n v="15"/>
    <n v="80"/>
    <n v="0"/>
    <n v="38"/>
    <x v="158"/>
    <x v="0"/>
    <x v="0"/>
    <x v="0"/>
  </r>
  <r>
    <s v="Description 2551"/>
    <s v="Code 2551"/>
    <n v="0"/>
    <n v="0"/>
    <n v="10"/>
    <n v="0"/>
    <n v="0"/>
    <n v="0"/>
    <n v="0"/>
    <n v="0"/>
    <n v="0"/>
    <n v="0"/>
    <n v="0"/>
    <x v="116"/>
    <x v="0"/>
    <x v="0"/>
    <x v="0"/>
  </r>
  <r>
    <s v="Description 2552"/>
    <s v="Code 2552"/>
    <n v="0"/>
    <n v="0"/>
    <n v="0"/>
    <n v="0"/>
    <n v="0"/>
    <n v="0"/>
    <n v="0"/>
    <n v="0"/>
    <n v="0"/>
    <n v="0"/>
    <n v="5"/>
    <x v="60"/>
    <x v="0"/>
    <x v="0"/>
    <x v="0"/>
  </r>
  <r>
    <s v="Description 2553"/>
    <s v="Code 2553"/>
    <n v="15"/>
    <n v="15"/>
    <n v="20"/>
    <n v="20"/>
    <n v="15"/>
    <n v="15"/>
    <n v="20"/>
    <n v="20"/>
    <n v="5"/>
    <n v="0"/>
    <n v="0"/>
    <x v="35"/>
    <x v="0"/>
    <x v="1"/>
    <x v="0"/>
  </r>
  <r>
    <s v="Description 2554"/>
    <s v="Code 2554"/>
    <n v="0"/>
    <n v="0"/>
    <n v="0"/>
    <n v="0"/>
    <n v="0"/>
    <n v="0"/>
    <n v="0"/>
    <n v="0"/>
    <n v="0"/>
    <n v="0"/>
    <n v="50"/>
    <x v="8"/>
    <x v="0"/>
    <x v="0"/>
    <x v="0"/>
  </r>
  <r>
    <s v="Description 2555"/>
    <s v="Code 2555"/>
    <n v="100"/>
    <n v="10"/>
    <n v="60"/>
    <n v="40"/>
    <n v="80"/>
    <n v="40"/>
    <n v="20"/>
    <n v="50"/>
    <n v="220"/>
    <n v="0"/>
    <n v="55"/>
    <x v="120"/>
    <x v="0"/>
    <x v="0"/>
    <x v="0"/>
  </r>
  <r>
    <s v="Description 2556"/>
    <s v="Code 2556"/>
    <n v="300"/>
    <n v="0"/>
    <n v="0"/>
    <n v="0"/>
    <n v="0"/>
    <n v="0"/>
    <n v="0"/>
    <n v="0"/>
    <n v="0"/>
    <n v="0"/>
    <n v="797"/>
    <x v="46"/>
    <x v="0"/>
    <x v="0"/>
    <x v="0"/>
  </r>
  <r>
    <s v="Description 2557"/>
    <s v="Code 2557"/>
    <n v="30"/>
    <n v="30"/>
    <n v="40"/>
    <n v="40"/>
    <n v="30"/>
    <n v="30"/>
    <n v="40"/>
    <n v="40"/>
    <n v="10"/>
    <n v="0"/>
    <n v="60"/>
    <x v="95"/>
    <x v="0"/>
    <x v="0"/>
    <x v="0"/>
  </r>
  <r>
    <s v="Description 2558"/>
    <s v="Code 2558"/>
    <n v="7"/>
    <n v="9"/>
    <n v="12"/>
    <n v="10"/>
    <n v="10"/>
    <n v="9"/>
    <n v="7"/>
    <n v="4"/>
    <n v="4"/>
    <n v="0"/>
    <n v="145"/>
    <x v="109"/>
    <x v="0"/>
    <x v="0"/>
    <x v="0"/>
  </r>
  <r>
    <s v="Description 2559"/>
    <s v="Code 2559"/>
    <n v="21"/>
    <n v="27"/>
    <n v="36"/>
    <n v="30"/>
    <n v="30"/>
    <n v="27"/>
    <n v="21"/>
    <n v="12"/>
    <n v="12"/>
    <n v="0"/>
    <n v="204"/>
    <x v="42"/>
    <x v="0"/>
    <x v="1"/>
    <x v="0"/>
  </r>
  <r>
    <s v="Description 2560"/>
    <s v="Code 2560"/>
    <n v="14"/>
    <n v="18"/>
    <n v="24"/>
    <n v="20"/>
    <n v="20"/>
    <n v="18"/>
    <n v="14"/>
    <n v="8"/>
    <n v="8"/>
    <n v="0"/>
    <n v="1746"/>
    <x v="126"/>
    <x v="0"/>
    <x v="0"/>
    <x v="0"/>
  </r>
  <r>
    <s v="Description 2561"/>
    <s v="Code 2561"/>
    <n v="42"/>
    <n v="54"/>
    <n v="72"/>
    <n v="60"/>
    <n v="60"/>
    <n v="54"/>
    <n v="42"/>
    <n v="24"/>
    <n v="24"/>
    <n v="0"/>
    <n v="841"/>
    <x v="31"/>
    <x v="0"/>
    <x v="0"/>
    <x v="0"/>
  </r>
  <r>
    <s v="Description 2562"/>
    <s v="Code 2562"/>
    <n v="28"/>
    <n v="36"/>
    <n v="48"/>
    <n v="40"/>
    <n v="40"/>
    <n v="36"/>
    <n v="28"/>
    <n v="16"/>
    <n v="16"/>
    <n v="0"/>
    <n v="80"/>
    <x v="54"/>
    <x v="0"/>
    <x v="0"/>
    <x v="0"/>
  </r>
  <r>
    <s v="Description 2563"/>
    <s v="Code 2563"/>
    <n v="12"/>
    <n v="0"/>
    <n v="10"/>
    <n v="8"/>
    <n v="10"/>
    <n v="6"/>
    <n v="8"/>
    <n v="4"/>
    <n v="4"/>
    <n v="0"/>
    <n v="152"/>
    <x v="63"/>
    <x v="0"/>
    <x v="0"/>
    <x v="0"/>
  </r>
  <r>
    <s v="Description 2564"/>
    <s v="Code 2564"/>
    <n v="14"/>
    <n v="18"/>
    <n v="24"/>
    <n v="20"/>
    <n v="20"/>
    <n v="18"/>
    <n v="14"/>
    <n v="8"/>
    <n v="8"/>
    <n v="0"/>
    <n v="87"/>
    <x v="99"/>
    <x v="0"/>
    <x v="0"/>
    <x v="0"/>
  </r>
  <r>
    <s v="Description 2565"/>
    <s v="Code 2565"/>
    <n v="0"/>
    <n v="36"/>
    <n v="4"/>
    <n v="16"/>
    <n v="16"/>
    <n v="12"/>
    <n v="4"/>
    <n v="0"/>
    <n v="0"/>
    <n v="0"/>
    <n v="228"/>
    <x v="95"/>
    <x v="0"/>
    <x v="0"/>
    <x v="0"/>
  </r>
  <r>
    <s v="Description 2566"/>
    <s v="Code 2566"/>
    <n v="0"/>
    <n v="36"/>
    <n v="4"/>
    <n v="16"/>
    <n v="16"/>
    <n v="12"/>
    <n v="4"/>
    <n v="0"/>
    <n v="0"/>
    <n v="0"/>
    <n v="120"/>
    <x v="100"/>
    <x v="0"/>
    <x v="0"/>
    <x v="0"/>
  </r>
  <r>
    <s v="Description 2567"/>
    <s v="Code 2567"/>
    <n v="12"/>
    <n v="0"/>
    <n v="10"/>
    <n v="12"/>
    <n v="14"/>
    <n v="10"/>
    <n v="8"/>
    <n v="8"/>
    <n v="8"/>
    <n v="0"/>
    <n v="100"/>
    <x v="73"/>
    <x v="0"/>
    <x v="0"/>
    <x v="0"/>
  </r>
  <r>
    <s v="Description 2568"/>
    <s v="Code 2568"/>
    <n v="1"/>
    <n v="0"/>
    <n v="20"/>
    <n v="2"/>
    <n v="3"/>
    <n v="0"/>
    <n v="2"/>
    <n v="5"/>
    <n v="0"/>
    <n v="0"/>
    <n v="0"/>
    <x v="136"/>
    <x v="0"/>
    <x v="1"/>
    <x v="0"/>
  </r>
  <r>
    <s v="Description 2569"/>
    <s v="Code 2569"/>
    <n v="0"/>
    <n v="0"/>
    <n v="0"/>
    <n v="0"/>
    <n v="0"/>
    <n v="0"/>
    <n v="0"/>
    <n v="0"/>
    <n v="0"/>
    <n v="0"/>
    <n v="46"/>
    <x v="149"/>
    <x v="0"/>
    <x v="0"/>
    <x v="0"/>
  </r>
  <r>
    <s v="Description 2570"/>
    <s v="Code 2570"/>
    <n v="0"/>
    <n v="0"/>
    <n v="0"/>
    <n v="0"/>
    <n v="0"/>
    <n v="0"/>
    <n v="0"/>
    <n v="0"/>
    <n v="0"/>
    <n v="0"/>
    <n v="253"/>
    <x v="4"/>
    <x v="0"/>
    <x v="0"/>
    <x v="0"/>
  </r>
  <r>
    <s v="Description 2571"/>
    <s v="Code 2571"/>
    <n v="0"/>
    <n v="0"/>
    <n v="68"/>
    <n v="8"/>
    <n v="8"/>
    <n v="0"/>
    <n v="8"/>
    <n v="20"/>
    <n v="0"/>
    <n v="0"/>
    <n v="15.12"/>
    <x v="149"/>
    <x v="0"/>
    <x v="0"/>
    <x v="0"/>
  </r>
  <r>
    <s v="Description 2572"/>
    <s v="Code 2572"/>
    <n v="0"/>
    <n v="0"/>
    <n v="0"/>
    <n v="0"/>
    <n v="0"/>
    <n v="1.28"/>
    <n v="0.64"/>
    <n v="0"/>
    <n v="0"/>
    <n v="0"/>
    <n v="360"/>
    <x v="132"/>
    <x v="0"/>
    <x v="0"/>
    <x v="0"/>
  </r>
  <r>
    <s v="Description 2573"/>
    <s v="Code 2573"/>
    <n v="4"/>
    <n v="0"/>
    <n v="4"/>
    <n v="0"/>
    <n v="2"/>
    <n v="0"/>
    <n v="0"/>
    <n v="2"/>
    <n v="0"/>
    <n v="0"/>
    <n v="6353"/>
    <x v="109"/>
    <x v="0"/>
    <x v="0"/>
    <x v="0"/>
  </r>
  <r>
    <s v="Description 2574"/>
    <s v="Code 2574"/>
    <n v="2000"/>
    <n v="2600"/>
    <n v="2288.768"/>
    <n v="2433.152"/>
    <n v="2433.152"/>
    <n v="2000"/>
    <n v="2400"/>
    <n v="2000"/>
    <n v="2000"/>
    <n v="0"/>
    <n v="845"/>
    <x v="29"/>
    <x v="0"/>
    <x v="0"/>
    <x v="0"/>
  </r>
  <r>
    <s v="Description 2575"/>
    <s v="Code 2575"/>
    <n v="540"/>
    <n v="258"/>
    <n v="512"/>
    <n v="530"/>
    <n v="488"/>
    <n v="416"/>
    <n v="320"/>
    <n v="170"/>
    <n v="440"/>
    <n v="0"/>
    <n v="1"/>
    <x v="139"/>
    <x v="0"/>
    <x v="0"/>
    <x v="0"/>
  </r>
  <r>
    <s v="Description 2576"/>
    <s v="Code 2576"/>
    <n v="0.25"/>
    <n v="0"/>
    <n v="0.2"/>
    <n v="0.2"/>
    <n v="0"/>
    <n v="0"/>
    <n v="0"/>
    <n v="0"/>
    <n v="0"/>
    <n v="0"/>
    <n v="0"/>
    <x v="107"/>
    <x v="0"/>
    <x v="0"/>
    <x v="0"/>
  </r>
  <r>
    <s v="Description 2577"/>
    <s v="Code 2577"/>
    <n v="0.25"/>
    <n v="0"/>
    <n v="0.2"/>
    <n v="0.2"/>
    <n v="0"/>
    <n v="0"/>
    <n v="0"/>
    <n v="0"/>
    <n v="0"/>
    <n v="0"/>
    <n v="0"/>
    <x v="166"/>
    <x v="0"/>
    <x v="0"/>
    <x v="0"/>
  </r>
  <r>
    <s v="Description 2578"/>
    <s v="Code 2578"/>
    <n v="0"/>
    <n v="0"/>
    <n v="0"/>
    <n v="0"/>
    <n v="0"/>
    <n v="0"/>
    <n v="0"/>
    <n v="0"/>
    <n v="0"/>
    <n v="0"/>
    <n v="12"/>
    <x v="63"/>
    <x v="0"/>
    <x v="0"/>
    <x v="0"/>
  </r>
  <r>
    <s v="Description 2579"/>
    <s v="Code 2579"/>
    <n v="0"/>
    <n v="0"/>
    <n v="0"/>
    <n v="0"/>
    <n v="0"/>
    <n v="0"/>
    <n v="0"/>
    <n v="0"/>
    <n v="0"/>
    <n v="0"/>
    <n v="4"/>
    <x v="22"/>
    <x v="0"/>
    <x v="0"/>
    <x v="0"/>
  </r>
  <r>
    <s v="Description 2580"/>
    <s v="Code 2580"/>
    <n v="0.4"/>
    <n v="0"/>
    <n v="0"/>
    <n v="0"/>
    <n v="0.4"/>
    <n v="0"/>
    <n v="0"/>
    <n v="0"/>
    <n v="0"/>
    <n v="0"/>
    <n v="0"/>
    <x v="156"/>
    <x v="0"/>
    <x v="0"/>
    <x v="0"/>
  </r>
  <r>
    <s v="Description 2581"/>
    <s v="Code 2581"/>
    <n v="0.25"/>
    <n v="0"/>
    <n v="0.2"/>
    <n v="0.2"/>
    <n v="0"/>
    <n v="0"/>
    <n v="0"/>
    <n v="0"/>
    <n v="0"/>
    <n v="0"/>
    <n v="172"/>
    <x v="149"/>
    <x v="0"/>
    <x v="0"/>
    <x v="0"/>
  </r>
  <r>
    <s v="Description 2582"/>
    <s v="Code 2582"/>
    <n v="21.08"/>
    <n v="21.08"/>
    <n v="21.08"/>
    <n v="21.08"/>
    <n v="21.08"/>
    <n v="21.08"/>
    <n v="21.08"/>
    <n v="21.08"/>
    <n v="21.08"/>
    <n v="0"/>
    <n v="0"/>
    <x v="22"/>
    <x v="0"/>
    <x v="0"/>
    <x v="0"/>
  </r>
  <r>
    <s v="Description 2583"/>
    <s v="Code 2583"/>
    <n v="0"/>
    <n v="0"/>
    <n v="0"/>
    <n v="0"/>
    <n v="0"/>
    <n v="0"/>
    <n v="0"/>
    <n v="0"/>
    <n v="0"/>
    <n v="0"/>
    <n v="0"/>
    <x v="107"/>
    <x v="0"/>
    <x v="0"/>
    <x v="0"/>
  </r>
  <r>
    <s v="Description 2584"/>
    <s v="Code 2584"/>
    <n v="0"/>
    <n v="0"/>
    <n v="0"/>
    <n v="0"/>
    <n v="2400"/>
    <n v="0"/>
    <n v="0"/>
    <n v="0"/>
    <n v="0"/>
    <n v="0"/>
    <n v="0"/>
    <x v="102"/>
    <x v="0"/>
    <x v="0"/>
    <x v="0"/>
  </r>
  <r>
    <s v="Description 2585"/>
    <s v="Code 2585"/>
    <n v="0"/>
    <n v="0"/>
    <n v="0"/>
    <n v="0"/>
    <n v="0"/>
    <n v="0"/>
    <n v="0"/>
    <n v="0"/>
    <n v="0"/>
    <n v="0"/>
    <n v="510"/>
    <x v="127"/>
    <x v="0"/>
    <x v="0"/>
    <x v="0"/>
  </r>
  <r>
    <s v="Description 2586"/>
    <s v="Code 2586"/>
    <n v="100"/>
    <n v="0"/>
    <n v="0"/>
    <n v="0"/>
    <n v="0"/>
    <n v="50"/>
    <n v="0"/>
    <n v="0"/>
    <n v="0"/>
    <n v="0"/>
    <n v="510"/>
    <x v="96"/>
    <x v="0"/>
    <x v="0"/>
    <x v="0"/>
  </r>
  <r>
    <s v="Description 2587"/>
    <s v="Code 2587"/>
    <n v="100"/>
    <n v="0"/>
    <n v="0"/>
    <n v="0"/>
    <n v="0"/>
    <n v="50"/>
    <n v="0"/>
    <n v="0"/>
    <n v="0"/>
    <n v="0"/>
    <n v="150"/>
    <x v="120"/>
    <x v="0"/>
    <x v="0"/>
    <x v="0"/>
  </r>
  <r>
    <s v="Description 2588"/>
    <s v="Code 2588"/>
    <n v="0"/>
    <n v="0"/>
    <n v="0"/>
    <n v="0"/>
    <n v="0"/>
    <n v="0"/>
    <n v="0"/>
    <n v="0"/>
    <n v="0"/>
    <n v="0"/>
    <n v="28"/>
    <x v="140"/>
    <x v="0"/>
    <x v="0"/>
    <x v="0"/>
  </r>
  <r>
    <s v="Description 2589"/>
    <s v="Code 2589"/>
    <n v="0"/>
    <n v="0"/>
    <n v="0"/>
    <n v="0"/>
    <n v="0"/>
    <n v="0"/>
    <n v="0"/>
    <n v="0"/>
    <n v="0"/>
    <n v="0"/>
    <n v="34"/>
    <x v="151"/>
    <x v="0"/>
    <x v="0"/>
    <x v="0"/>
  </r>
  <r>
    <s v="Description 2590"/>
    <s v="Code 2590"/>
    <n v="0"/>
    <n v="0"/>
    <n v="0"/>
    <n v="0"/>
    <n v="0"/>
    <n v="0"/>
    <n v="0"/>
    <n v="0"/>
    <n v="0"/>
    <n v="0"/>
    <n v="355"/>
    <x v="23"/>
    <x v="0"/>
    <x v="1"/>
    <x v="0"/>
  </r>
  <r>
    <s v="Description 2591"/>
    <s v="Code 2591"/>
    <n v="0"/>
    <n v="0"/>
    <n v="0"/>
    <n v="0"/>
    <n v="0"/>
    <n v="0"/>
    <n v="0"/>
    <n v="0"/>
    <n v="0"/>
    <n v="0"/>
    <n v="1100"/>
    <x v="155"/>
    <x v="0"/>
    <x v="0"/>
    <x v="0"/>
  </r>
  <r>
    <s v="Description 2592"/>
    <s v="Code 2592"/>
    <n v="750"/>
    <n v="750"/>
    <n v="750"/>
    <n v="750"/>
    <n v="1500"/>
    <n v="1500"/>
    <n v="750"/>
    <n v="1500"/>
    <n v="750"/>
    <n v="0"/>
    <n v="1"/>
    <x v="104"/>
    <x v="0"/>
    <x v="0"/>
    <x v="0"/>
  </r>
  <r>
    <s v="Description 2593"/>
    <s v="Code 2593"/>
    <n v="0"/>
    <n v="0"/>
    <n v="0"/>
    <n v="0"/>
    <n v="0"/>
    <n v="0"/>
    <n v="0"/>
    <n v="0"/>
    <n v="0"/>
    <n v="0"/>
    <n v="3"/>
    <x v="153"/>
    <x v="0"/>
    <x v="0"/>
    <x v="0"/>
  </r>
  <r>
    <s v="Description 2594"/>
    <s v="Code 2594"/>
    <n v="1"/>
    <n v="0"/>
    <n v="0"/>
    <n v="0"/>
    <n v="0"/>
    <n v="0"/>
    <n v="0"/>
    <n v="0"/>
    <n v="0"/>
    <n v="0"/>
    <n v="5"/>
    <x v="45"/>
    <x v="0"/>
    <x v="0"/>
    <x v="0"/>
  </r>
  <r>
    <s v="Description 2595"/>
    <s v="Code 2595"/>
    <n v="0"/>
    <n v="0"/>
    <n v="5"/>
    <n v="0"/>
    <n v="0"/>
    <n v="0"/>
    <n v="0"/>
    <n v="0"/>
    <n v="0"/>
    <n v="0"/>
    <n v="0"/>
    <x v="44"/>
    <x v="0"/>
    <x v="0"/>
    <x v="0"/>
  </r>
  <r>
    <s v="Description 2596"/>
    <s v="Code 2596"/>
    <n v="0"/>
    <n v="0"/>
    <n v="0"/>
    <n v="0"/>
    <n v="0"/>
    <n v="0"/>
    <n v="0"/>
    <n v="0"/>
    <n v="0"/>
    <n v="0"/>
    <n v="3"/>
    <x v="35"/>
    <x v="0"/>
    <x v="1"/>
    <x v="0"/>
  </r>
  <r>
    <s v="Description 2597"/>
    <s v="Code 2597"/>
    <n v="0"/>
    <n v="0"/>
    <n v="0"/>
    <n v="0"/>
    <n v="0"/>
    <n v="0"/>
    <n v="0"/>
    <n v="0"/>
    <n v="0"/>
    <n v="0"/>
    <n v="0"/>
    <x v="12"/>
    <x v="0"/>
    <x v="0"/>
    <x v="0"/>
  </r>
  <r>
    <s v="Description 2598"/>
    <s v="Code 2598"/>
    <n v="0"/>
    <n v="0"/>
    <n v="0"/>
    <n v="0"/>
    <n v="0"/>
    <n v="0"/>
    <n v="0"/>
    <n v="0"/>
    <n v="0"/>
    <n v="0"/>
    <n v="0"/>
    <x v="143"/>
    <x v="0"/>
    <x v="0"/>
    <x v="0"/>
  </r>
  <r>
    <s v="Description 2599"/>
    <s v="Code 2599"/>
    <n v="0"/>
    <n v="0"/>
    <n v="0"/>
    <n v="0"/>
    <n v="0"/>
    <n v="0"/>
    <n v="0"/>
    <n v="0"/>
    <n v="0"/>
    <n v="0"/>
    <n v="4"/>
    <x v="81"/>
    <x v="0"/>
    <x v="0"/>
    <x v="0"/>
  </r>
  <r>
    <s v="Description 2600"/>
    <s v="Code 2600"/>
    <n v="0"/>
    <n v="0"/>
    <n v="0"/>
    <n v="0"/>
    <n v="0"/>
    <n v="0"/>
    <n v="0"/>
    <n v="0"/>
    <n v="0"/>
    <n v="0"/>
    <n v="0"/>
    <x v="96"/>
    <x v="0"/>
    <x v="0"/>
    <x v="0"/>
  </r>
  <r>
    <s v="Description 2601"/>
    <s v="Code 2601"/>
    <n v="1000"/>
    <n v="200"/>
    <n v="200"/>
    <n v="200"/>
    <n v="200"/>
    <n v="200"/>
    <n v="236"/>
    <n v="800"/>
    <n v="600"/>
    <n v="0"/>
    <n v="0"/>
    <x v="6"/>
    <x v="0"/>
    <x v="0"/>
    <x v="0"/>
  </r>
  <r>
    <s v="Description 2602"/>
    <s v="Code 2602"/>
    <n v="300"/>
    <n v="0"/>
    <n v="450"/>
    <n v="300"/>
    <n v="450"/>
    <n v="300"/>
    <n v="0"/>
    <n v="450"/>
    <n v="300"/>
    <n v="0"/>
    <n v="0"/>
    <x v="88"/>
    <x v="0"/>
    <x v="0"/>
    <x v="0"/>
  </r>
  <r>
    <s v="Description 2603"/>
    <s v="Code 2603"/>
    <n v="600"/>
    <n v="600"/>
    <n v="600"/>
    <n v="600"/>
    <n v="600"/>
    <n v="600"/>
    <n v="400"/>
    <n v="600"/>
    <n v="300"/>
    <n v="0"/>
    <n v="0"/>
    <x v="123"/>
    <x v="0"/>
    <x v="1"/>
    <x v="0"/>
  </r>
  <r>
    <s v="Description 2604"/>
    <s v="Code 2604"/>
    <n v="0"/>
    <n v="300"/>
    <n v="0"/>
    <n v="300"/>
    <n v="300"/>
    <n v="100"/>
    <n v="0"/>
    <n v="300"/>
    <n v="0"/>
    <n v="0"/>
    <n v="0"/>
    <x v="32"/>
    <x v="0"/>
    <x v="0"/>
    <x v="0"/>
  </r>
  <r>
    <s v="Description 2605"/>
    <s v="Code 2605"/>
    <n v="100"/>
    <n v="0"/>
    <n v="0"/>
    <n v="0"/>
    <n v="100"/>
    <n v="0"/>
    <n v="0"/>
    <n v="0"/>
    <n v="0"/>
    <n v="0"/>
    <n v="22"/>
    <x v="166"/>
    <x v="0"/>
    <x v="0"/>
    <x v="0"/>
  </r>
  <r>
    <s v="Description 2606"/>
    <s v="Code 2606"/>
    <n v="0"/>
    <n v="0"/>
    <n v="0"/>
    <n v="0"/>
    <n v="0"/>
    <n v="0"/>
    <n v="0"/>
    <n v="0"/>
    <n v="0"/>
    <n v="0"/>
    <n v="0"/>
    <x v="76"/>
    <x v="0"/>
    <x v="1"/>
    <x v="0"/>
  </r>
  <r>
    <s v="Description 2607"/>
    <s v="Code 2607"/>
    <n v="0"/>
    <n v="0"/>
    <n v="0"/>
    <n v="800"/>
    <n v="400"/>
    <n v="0"/>
    <n v="200"/>
    <n v="1200"/>
    <n v="100"/>
    <n v="0"/>
    <n v="0"/>
    <x v="170"/>
    <x v="0"/>
    <x v="0"/>
    <x v="0"/>
  </r>
  <r>
    <s v="Description 2608"/>
    <s v="Code 2608"/>
    <n v="1920"/>
    <n v="1600"/>
    <n v="2240"/>
    <n v="2240"/>
    <n v="2240"/>
    <n v="2240"/>
    <n v="1920"/>
    <n v="2240"/>
    <n v="2240"/>
    <n v="0"/>
    <n v="6268"/>
    <x v="2"/>
    <x v="0"/>
    <x v="0"/>
    <x v="0"/>
  </r>
  <r>
    <s v="Description 2609"/>
    <s v="Code 2609"/>
    <n v="0"/>
    <n v="0"/>
    <n v="0"/>
    <n v="0"/>
    <n v="0"/>
    <n v="0"/>
    <n v="0"/>
    <n v="0"/>
    <n v="0"/>
    <n v="0"/>
    <n v="112"/>
    <x v="99"/>
    <x v="0"/>
    <x v="0"/>
    <x v="0"/>
  </r>
  <r>
    <s v="Description 2610"/>
    <s v="Code 2610"/>
    <n v="30"/>
    <n v="30"/>
    <n v="40"/>
    <n v="40"/>
    <n v="30"/>
    <n v="30"/>
    <n v="40"/>
    <n v="40"/>
    <n v="10"/>
    <n v="0"/>
    <n v="0"/>
    <x v="151"/>
    <x v="0"/>
    <x v="0"/>
    <x v="0"/>
  </r>
  <r>
    <s v="Description 2611"/>
    <s v="Code 2611"/>
    <n v="0"/>
    <n v="0"/>
    <n v="40"/>
    <n v="100"/>
    <n v="0"/>
    <n v="0"/>
    <n v="0"/>
    <n v="100"/>
    <n v="0"/>
    <n v="0"/>
    <n v="63"/>
    <x v="127"/>
    <x v="0"/>
    <x v="0"/>
    <x v="0"/>
  </r>
  <r>
    <s v="Description 2612"/>
    <s v="Code 2612"/>
    <n v="0"/>
    <n v="0"/>
    <n v="0"/>
    <n v="0"/>
    <n v="0"/>
    <n v="0"/>
    <n v="0"/>
    <n v="0"/>
    <n v="0"/>
    <n v="0"/>
    <n v="0"/>
    <x v="76"/>
    <x v="0"/>
    <x v="1"/>
    <x v="0"/>
  </r>
  <r>
    <s v="Description 2613"/>
    <s v="Code 2613"/>
    <n v="0"/>
    <n v="0"/>
    <n v="0"/>
    <n v="51"/>
    <n v="0"/>
    <n v="0"/>
    <n v="0"/>
    <n v="0"/>
    <n v="0"/>
    <n v="0"/>
    <n v="0"/>
    <x v="57"/>
    <x v="0"/>
    <x v="0"/>
    <x v="0"/>
  </r>
  <r>
    <s v="Description 2614"/>
    <s v="Code 2614"/>
    <n v="0"/>
    <n v="0"/>
    <n v="0"/>
    <n v="0"/>
    <n v="0"/>
    <n v="0"/>
    <n v="0"/>
    <n v="0"/>
    <n v="0"/>
    <n v="0"/>
    <n v="0"/>
    <x v="6"/>
    <x v="0"/>
    <x v="0"/>
    <x v="0"/>
  </r>
  <r>
    <s v="Description 2615"/>
    <s v="Code 2615"/>
    <n v="0"/>
    <n v="0"/>
    <n v="0"/>
    <n v="0"/>
    <n v="0"/>
    <n v="0"/>
    <n v="0"/>
    <n v="0"/>
    <n v="0"/>
    <n v="0"/>
    <n v="0"/>
    <x v="11"/>
    <x v="0"/>
    <x v="0"/>
    <x v="0"/>
  </r>
  <r>
    <s v="Description 2616"/>
    <s v="Code 2616"/>
    <n v="0"/>
    <n v="0"/>
    <n v="0"/>
    <n v="0"/>
    <n v="0"/>
    <n v="0"/>
    <n v="0"/>
    <n v="0"/>
    <n v="0"/>
    <n v="0"/>
    <n v="0"/>
    <x v="123"/>
    <x v="0"/>
    <x v="1"/>
    <x v="0"/>
  </r>
  <r>
    <s v="Description 2617"/>
    <s v="Code 2617"/>
    <n v="0"/>
    <n v="0"/>
    <n v="0"/>
    <n v="0"/>
    <n v="0"/>
    <n v="0"/>
    <n v="0"/>
    <n v="0"/>
    <n v="0"/>
    <n v="0"/>
    <n v="0"/>
    <x v="94"/>
    <x v="0"/>
    <x v="0"/>
    <x v="0"/>
  </r>
  <r>
    <s v="Description 2618"/>
    <s v="Code 2618"/>
    <n v="0"/>
    <n v="0"/>
    <n v="0"/>
    <n v="0"/>
    <n v="0"/>
    <n v="0"/>
    <n v="0"/>
    <n v="0"/>
    <n v="0"/>
    <n v="0"/>
    <n v="0"/>
    <x v="175"/>
    <x v="0"/>
    <x v="0"/>
    <x v="0"/>
  </r>
  <r>
    <s v="Description 2619"/>
    <s v="Code 2619"/>
    <n v="0"/>
    <n v="0"/>
    <n v="0"/>
    <n v="0"/>
    <n v="0"/>
    <n v="0"/>
    <n v="51"/>
    <n v="0"/>
    <n v="0"/>
    <n v="0"/>
    <n v="0"/>
    <x v="184"/>
    <x v="0"/>
    <x v="0"/>
    <x v="0"/>
  </r>
  <r>
    <s v="Description 2620"/>
    <s v="Code 2620"/>
    <n v="0"/>
    <n v="0"/>
    <n v="0"/>
    <n v="0"/>
    <n v="0"/>
    <n v="0"/>
    <n v="0"/>
    <n v="0"/>
    <n v="0"/>
    <n v="0"/>
    <n v="0"/>
    <x v="142"/>
    <x v="0"/>
    <x v="0"/>
    <x v="0"/>
  </r>
  <r>
    <s v="Description 2621"/>
    <s v="Code 2621"/>
    <n v="0"/>
    <n v="0"/>
    <n v="0"/>
    <n v="51"/>
    <n v="0"/>
    <n v="0"/>
    <n v="0"/>
    <n v="0"/>
    <n v="0"/>
    <n v="0"/>
    <n v="0"/>
    <x v="11"/>
    <x v="0"/>
    <x v="0"/>
    <x v="0"/>
  </r>
  <r>
    <s v="Description 2622"/>
    <s v="Code 2622"/>
    <n v="0"/>
    <n v="0"/>
    <n v="0"/>
    <n v="0"/>
    <n v="0"/>
    <n v="0"/>
    <n v="0"/>
    <n v="0"/>
    <n v="0"/>
    <n v="0"/>
    <n v="0"/>
    <x v="147"/>
    <x v="0"/>
    <x v="0"/>
    <x v="0"/>
  </r>
  <r>
    <s v="Description 2623"/>
    <s v="Code 2623"/>
    <n v="0"/>
    <n v="0"/>
    <n v="0"/>
    <n v="0"/>
    <n v="0"/>
    <n v="0"/>
    <n v="0"/>
    <n v="0"/>
    <n v="0"/>
    <n v="0"/>
    <n v="40"/>
    <x v="145"/>
    <x v="0"/>
    <x v="0"/>
    <x v="0"/>
  </r>
  <r>
    <s v="Description 2624"/>
    <s v="Code 2624"/>
    <n v="0"/>
    <n v="0"/>
    <n v="0"/>
    <n v="0"/>
    <n v="0"/>
    <n v="0"/>
    <n v="0"/>
    <n v="0"/>
    <n v="0"/>
    <n v="0"/>
    <n v="0"/>
    <x v="164"/>
    <x v="0"/>
    <x v="0"/>
    <x v="0"/>
  </r>
  <r>
    <s v="Description 2625"/>
    <s v="Code 2625"/>
    <n v="0"/>
    <n v="0"/>
    <n v="0"/>
    <n v="0"/>
    <n v="0"/>
    <n v="0"/>
    <n v="0"/>
    <n v="0"/>
    <n v="0"/>
    <n v="0"/>
    <n v="0"/>
    <x v="148"/>
    <x v="0"/>
    <x v="0"/>
    <x v="0"/>
  </r>
  <r>
    <s v="Description 2626"/>
    <s v="Code 2626"/>
    <n v="0"/>
    <n v="0"/>
    <n v="0"/>
    <n v="0"/>
    <n v="0"/>
    <n v="0"/>
    <n v="0"/>
    <n v="0"/>
    <n v="0"/>
    <n v="0"/>
    <n v="0"/>
    <x v="110"/>
    <x v="0"/>
    <x v="0"/>
    <x v="0"/>
  </r>
  <r>
    <s v="Description 2627"/>
    <s v="Code 2627"/>
    <n v="0"/>
    <n v="0"/>
    <n v="0"/>
    <n v="0"/>
    <n v="0"/>
    <n v="0"/>
    <n v="0"/>
    <n v="0"/>
    <n v="0"/>
    <n v="0"/>
    <n v="43"/>
    <x v="60"/>
    <x v="0"/>
    <x v="0"/>
    <x v="0"/>
  </r>
  <r>
    <s v="Description 2628"/>
    <s v="Code 2628"/>
    <n v="0"/>
    <n v="0"/>
    <n v="0"/>
    <n v="0"/>
    <n v="0"/>
    <n v="0"/>
    <n v="0"/>
    <n v="50"/>
    <n v="0"/>
    <n v="0"/>
    <n v="1220"/>
    <x v="137"/>
    <x v="0"/>
    <x v="1"/>
    <x v="0"/>
  </r>
  <r>
    <s v="Description 2629"/>
    <s v="Code 2629"/>
    <n v="0"/>
    <n v="0"/>
    <n v="0"/>
    <n v="0"/>
    <n v="50"/>
    <n v="0"/>
    <n v="0"/>
    <n v="0"/>
    <n v="0"/>
    <n v="0"/>
    <n v="2720"/>
    <x v="183"/>
    <x v="0"/>
    <x v="0"/>
    <x v="0"/>
  </r>
  <r>
    <s v="Description 2630"/>
    <s v="Code 2630"/>
    <n v="0"/>
    <n v="10"/>
    <n v="30"/>
    <n v="30"/>
    <n v="0"/>
    <n v="40"/>
    <n v="0"/>
    <n v="0"/>
    <n v="50"/>
    <n v="0"/>
    <n v="179"/>
    <x v="24"/>
    <x v="0"/>
    <x v="0"/>
    <x v="0"/>
  </r>
  <r>
    <s v="Description 2631"/>
    <s v="Code 2631"/>
    <n v="90"/>
    <n v="0"/>
    <n v="30"/>
    <n v="0"/>
    <n v="30"/>
    <n v="0"/>
    <n v="10"/>
    <n v="0"/>
    <n v="0"/>
    <n v="0"/>
    <n v="500"/>
    <x v="141"/>
    <x v="0"/>
    <x v="0"/>
    <x v="0"/>
  </r>
  <r>
    <s v="Description 2632"/>
    <s v="Code 2632"/>
    <n v="0"/>
    <n v="0"/>
    <n v="0"/>
    <n v="0"/>
    <n v="0"/>
    <n v="0"/>
    <n v="10"/>
    <n v="0"/>
    <n v="20"/>
    <n v="0"/>
    <n v="1510"/>
    <x v="48"/>
    <x v="0"/>
    <x v="0"/>
    <x v="0"/>
  </r>
  <r>
    <s v="Description 2633"/>
    <s v="Code 2633"/>
    <n v="10"/>
    <n v="0"/>
    <n v="0"/>
    <n v="10"/>
    <n v="0"/>
    <n v="0"/>
    <n v="0"/>
    <n v="0"/>
    <n v="0"/>
    <n v="0"/>
    <n v="436"/>
    <x v="68"/>
    <x v="0"/>
    <x v="0"/>
    <x v="0"/>
  </r>
  <r>
    <s v="Description 2634"/>
    <s v="Code 2634"/>
    <n v="300"/>
    <n v="0"/>
    <n v="0"/>
    <n v="0"/>
    <n v="0"/>
    <n v="0"/>
    <n v="300"/>
    <n v="0"/>
    <n v="0"/>
    <n v="0"/>
    <n v="26550"/>
    <x v="150"/>
    <x v="0"/>
    <x v="0"/>
    <x v="0"/>
  </r>
  <r>
    <s v="Description 2635"/>
    <s v="Code 2635"/>
    <n v="1852"/>
    <n v="885"/>
    <n v="1592"/>
    <n v="1804"/>
    <n v="1260"/>
    <n v="1547"/>
    <n v="492"/>
    <n v="984"/>
    <n v="820"/>
    <n v="0"/>
    <n v="77"/>
    <x v="165"/>
    <x v="0"/>
    <x v="0"/>
    <x v="0"/>
  </r>
  <r>
    <s v="Description 2636"/>
    <s v="Code 2636"/>
    <n v="0"/>
    <n v="0"/>
    <n v="0"/>
    <n v="0"/>
    <n v="0"/>
    <n v="0"/>
    <n v="0"/>
    <n v="0"/>
    <n v="0"/>
    <n v="0"/>
    <n v="373"/>
    <x v="104"/>
    <x v="0"/>
    <x v="0"/>
    <x v="0"/>
  </r>
  <r>
    <s v="Description 2637"/>
    <s v="Code 2637"/>
    <n v="0"/>
    <n v="0"/>
    <n v="0"/>
    <n v="10"/>
    <n v="0"/>
    <n v="2"/>
    <n v="0"/>
    <n v="0"/>
    <n v="0"/>
    <n v="0"/>
    <n v="1120"/>
    <x v="14"/>
    <x v="0"/>
    <x v="0"/>
    <x v="0"/>
  </r>
  <r>
    <s v="Description 2638"/>
    <s v="Code 2638"/>
    <n v="0"/>
    <n v="360"/>
    <n v="0"/>
    <n v="0"/>
    <n v="240"/>
    <n v="120"/>
    <n v="60"/>
    <n v="0"/>
    <n v="240"/>
    <n v="0"/>
    <n v="2800"/>
    <x v="39"/>
    <x v="0"/>
    <x v="0"/>
    <x v="0"/>
  </r>
  <r>
    <s v="Description 2639"/>
    <s v="Code 2639"/>
    <n v="328"/>
    <n v="400"/>
    <n v="656"/>
    <n v="656"/>
    <n v="1044"/>
    <n v="656"/>
    <n v="164"/>
    <n v="0"/>
    <n v="328"/>
    <n v="0"/>
    <n v="339"/>
    <x v="109"/>
    <x v="0"/>
    <x v="0"/>
    <x v="0"/>
  </r>
  <r>
    <s v="Description 2640"/>
    <s v="Code 2640"/>
    <n v="0"/>
    <n v="0"/>
    <n v="0"/>
    <n v="0"/>
    <n v="0"/>
    <n v="0"/>
    <n v="0"/>
    <n v="0"/>
    <n v="0"/>
    <n v="0"/>
    <n v="17"/>
    <x v="168"/>
    <x v="0"/>
    <x v="0"/>
    <x v="0"/>
  </r>
  <r>
    <s v="Description 2641"/>
    <s v="Code 2641"/>
    <n v="0"/>
    <n v="0"/>
    <n v="0"/>
    <n v="0"/>
    <n v="0"/>
    <n v="0"/>
    <n v="0"/>
    <n v="0"/>
    <n v="0"/>
    <n v="0"/>
    <n v="1"/>
    <x v="75"/>
    <x v="0"/>
    <x v="0"/>
    <x v="0"/>
  </r>
  <r>
    <s v="Description 2642"/>
    <s v="Code 2642"/>
    <n v="0"/>
    <n v="0"/>
    <n v="0"/>
    <n v="0"/>
    <n v="0"/>
    <n v="0"/>
    <n v="0"/>
    <n v="0"/>
    <n v="0"/>
    <n v="0"/>
    <n v="57"/>
    <x v="72"/>
    <x v="0"/>
    <x v="0"/>
    <x v="0"/>
  </r>
  <r>
    <s v="Description 2643"/>
    <s v="Code 2643"/>
    <n v="3"/>
    <n v="0"/>
    <n v="33"/>
    <n v="17"/>
    <n v="9"/>
    <n v="0"/>
    <n v="6"/>
    <n v="15"/>
    <n v="0"/>
    <n v="0"/>
    <n v="2081"/>
    <x v="5"/>
    <x v="0"/>
    <x v="0"/>
    <x v="0"/>
  </r>
  <r>
    <s v="Description 2644"/>
    <s v="Code 2644"/>
    <n v="1272"/>
    <n v="522"/>
    <n v="706"/>
    <n v="820"/>
    <n v="580"/>
    <n v="895"/>
    <n v="328"/>
    <n v="656"/>
    <n v="656"/>
    <n v="0"/>
    <n v="982"/>
    <x v="3"/>
    <x v="0"/>
    <x v="0"/>
    <x v="0"/>
  </r>
  <r>
    <s v="Description 2645"/>
    <s v="Code 2645"/>
    <n v="88"/>
    <n v="35"/>
    <n v="200"/>
    <n v="0"/>
    <n v="188"/>
    <n v="324"/>
    <n v="0"/>
    <n v="0"/>
    <n v="0"/>
    <n v="0"/>
    <n v="1925"/>
    <x v="42"/>
    <x v="0"/>
    <x v="1"/>
    <x v="0"/>
  </r>
  <r>
    <s v="Description 2646"/>
    <s v="Code 2646"/>
    <n v="492"/>
    <n v="328"/>
    <n v="686"/>
    <n v="984"/>
    <n v="492"/>
    <n v="328"/>
    <n v="164"/>
    <n v="328"/>
    <n v="164"/>
    <n v="0"/>
    <n v="2000"/>
    <x v="41"/>
    <x v="0"/>
    <x v="0"/>
    <x v="0"/>
  </r>
  <r>
    <s v="Description 2647"/>
    <s v="Code 2647"/>
    <n v="0"/>
    <n v="0"/>
    <n v="0"/>
    <n v="0"/>
    <n v="0"/>
    <n v="0"/>
    <n v="0"/>
    <n v="0"/>
    <n v="1000"/>
    <n v="0"/>
    <n v="190"/>
    <x v="183"/>
    <x v="0"/>
    <x v="0"/>
    <x v="0"/>
  </r>
  <r>
    <s v="Description 2648"/>
    <s v="Code 2648"/>
    <n v="0"/>
    <n v="0"/>
    <n v="0"/>
    <n v="0"/>
    <n v="0"/>
    <n v="0"/>
    <n v="0"/>
    <n v="0"/>
    <n v="0"/>
    <n v="0"/>
    <n v="10"/>
    <x v="25"/>
    <x v="0"/>
    <x v="1"/>
    <x v="0"/>
  </r>
  <r>
    <s v="Description 2649"/>
    <s v="Code 2649"/>
    <n v="0"/>
    <n v="0"/>
    <n v="0"/>
    <n v="0"/>
    <n v="0"/>
    <n v="0"/>
    <n v="0"/>
    <n v="0"/>
    <n v="0"/>
    <n v="0"/>
    <n v="233"/>
    <x v="179"/>
    <x v="0"/>
    <x v="0"/>
    <x v="0"/>
  </r>
  <r>
    <s v="Description 2650"/>
    <s v="Code 2650"/>
    <n v="0"/>
    <n v="0"/>
    <n v="0"/>
    <n v="0"/>
    <n v="0"/>
    <n v="0"/>
    <n v="0"/>
    <n v="0"/>
    <n v="0"/>
    <n v="0"/>
    <n v="330"/>
    <x v="4"/>
    <x v="0"/>
    <x v="0"/>
    <x v="0"/>
  </r>
  <r>
    <s v="Description 2651"/>
    <s v="Code 2651"/>
    <n v="200"/>
    <n v="0"/>
    <n v="40"/>
    <n v="3"/>
    <n v="0"/>
    <n v="1"/>
    <n v="0"/>
    <n v="12"/>
    <n v="0"/>
    <n v="0"/>
    <n v="50"/>
    <x v="91"/>
    <x v="0"/>
    <x v="0"/>
    <x v="0"/>
  </r>
  <r>
    <s v="Description 2652"/>
    <s v="Code 2652"/>
    <n v="0"/>
    <n v="0"/>
    <n v="0"/>
    <n v="0"/>
    <n v="0"/>
    <n v="0"/>
    <n v="0"/>
    <n v="0"/>
    <n v="0"/>
    <n v="0"/>
    <n v="88"/>
    <x v="96"/>
    <x v="0"/>
    <x v="0"/>
    <x v="0"/>
  </r>
  <r>
    <s v="Description 2653"/>
    <s v="Code 2653"/>
    <n v="0"/>
    <n v="0"/>
    <n v="0"/>
    <n v="0"/>
    <n v="0"/>
    <n v="0"/>
    <n v="0"/>
    <n v="0"/>
    <n v="0"/>
    <n v="0"/>
    <n v="4240"/>
    <x v="158"/>
    <x v="0"/>
    <x v="0"/>
    <x v="0"/>
  </r>
  <r>
    <s v="Description 2654"/>
    <s v="Code 2654"/>
    <n v="984"/>
    <n v="656"/>
    <n v="1312"/>
    <n v="1312"/>
    <n v="984"/>
    <n v="686"/>
    <n v="656"/>
    <n v="1312"/>
    <n v="656"/>
    <n v="0"/>
    <n v="3"/>
    <x v="112"/>
    <x v="0"/>
    <x v="0"/>
    <x v="0"/>
  </r>
  <r>
    <s v="Description 2655"/>
    <s v="Code 2655"/>
    <n v="1"/>
    <n v="0"/>
    <n v="5"/>
    <n v="2"/>
    <n v="3"/>
    <n v="0"/>
    <n v="2"/>
    <n v="5"/>
    <n v="0"/>
    <n v="0"/>
    <n v="43"/>
    <x v="162"/>
    <x v="0"/>
    <x v="0"/>
    <x v="0"/>
  </r>
  <r>
    <s v="Description 2656"/>
    <s v="Code 2656"/>
    <n v="1"/>
    <n v="0"/>
    <n v="20"/>
    <n v="2"/>
    <n v="3"/>
    <n v="0"/>
    <n v="2"/>
    <n v="5"/>
    <n v="0"/>
    <n v="0"/>
    <n v="0"/>
    <x v="172"/>
    <x v="0"/>
    <x v="0"/>
    <x v="0"/>
  </r>
  <r>
    <s v="Description 2657"/>
    <s v="Code 2657"/>
    <n v="0"/>
    <n v="0"/>
    <n v="0"/>
    <n v="0"/>
    <n v="0"/>
    <n v="0"/>
    <n v="0"/>
    <n v="0"/>
    <n v="0"/>
    <n v="0"/>
    <n v="7000"/>
    <x v="82"/>
    <x v="0"/>
    <x v="0"/>
    <x v="0"/>
  </r>
  <r>
    <s v="Description 2658"/>
    <s v="Code 2658"/>
    <n v="1992"/>
    <n v="250"/>
    <n v="1312"/>
    <n v="2296"/>
    <n v="2112"/>
    <n v="2358"/>
    <n v="776"/>
    <n v="656"/>
    <n v="328"/>
    <n v="0"/>
    <n v="454"/>
    <x v="152"/>
    <x v="0"/>
    <x v="0"/>
    <x v="0"/>
  </r>
  <r>
    <s v="Description 2659"/>
    <s v="Code 2659"/>
    <n v="0"/>
    <n v="0"/>
    <n v="0"/>
    <n v="0"/>
    <n v="0"/>
    <n v="0"/>
    <n v="0"/>
    <n v="0"/>
    <n v="0"/>
    <n v="0"/>
    <n v="0"/>
    <x v="69"/>
    <x v="0"/>
    <x v="0"/>
    <x v="0"/>
  </r>
  <r>
    <s v="Description 2660"/>
    <s v="Code 2660"/>
    <n v="0"/>
    <n v="0"/>
    <n v="0"/>
    <n v="0"/>
    <n v="0"/>
    <n v="0"/>
    <n v="0"/>
    <n v="0"/>
    <n v="0"/>
    <n v="0"/>
    <n v="20"/>
    <x v="30"/>
    <x v="0"/>
    <x v="0"/>
    <x v="0"/>
  </r>
  <r>
    <s v="Description 2661"/>
    <s v="Code 2661"/>
    <n v="0"/>
    <n v="0"/>
    <n v="0"/>
    <n v="0"/>
    <n v="0"/>
    <n v="0"/>
    <n v="0"/>
    <n v="0"/>
    <n v="0"/>
    <n v="0"/>
    <n v="213"/>
    <x v="129"/>
    <x v="0"/>
    <x v="1"/>
    <x v="0"/>
  </r>
  <r>
    <s v="Description 2662"/>
    <s v="Code 2662"/>
    <n v="0"/>
    <n v="0"/>
    <n v="0"/>
    <n v="0"/>
    <n v="0"/>
    <n v="0"/>
    <n v="0"/>
    <n v="0"/>
    <n v="0"/>
    <n v="0"/>
    <n v="550"/>
    <x v="155"/>
    <x v="0"/>
    <x v="0"/>
    <x v="0"/>
  </r>
  <r>
    <s v="Description 2663"/>
    <s v="Code 2663"/>
    <n v="492"/>
    <n v="328"/>
    <n v="656"/>
    <n v="656"/>
    <n v="492"/>
    <n v="343"/>
    <n v="328"/>
    <n v="656"/>
    <n v="328"/>
    <n v="0"/>
    <n v="0"/>
    <x v="42"/>
    <x v="0"/>
    <x v="1"/>
    <x v="0"/>
  </r>
  <r>
    <s v="Description 2664"/>
    <s v="Code 2664"/>
    <n v="0"/>
    <n v="0"/>
    <n v="0"/>
    <n v="0"/>
    <n v="0"/>
    <n v="0"/>
    <n v="0"/>
    <n v="0"/>
    <n v="0"/>
    <n v="0"/>
    <n v="0"/>
    <x v="171"/>
    <x v="0"/>
    <x v="0"/>
    <x v="0"/>
  </r>
  <r>
    <s v="Description 2665"/>
    <s v="Code 2665"/>
    <n v="0"/>
    <n v="0"/>
    <n v="0"/>
    <n v="0"/>
    <n v="0"/>
    <n v="0"/>
    <n v="0"/>
    <n v="0"/>
    <n v="0"/>
    <n v="0"/>
    <n v="2379"/>
    <x v="5"/>
    <x v="0"/>
    <x v="0"/>
    <x v="0"/>
  </r>
  <r>
    <s v="Description 2666"/>
    <s v="Code 2666"/>
    <n v="885"/>
    <n v="728"/>
    <n v="712"/>
    <n v="696"/>
    <n v="111"/>
    <n v="110"/>
    <n v="120"/>
    <n v="111"/>
    <n v="102"/>
    <n v="0"/>
    <n v="40"/>
    <x v="63"/>
    <x v="0"/>
    <x v="0"/>
    <x v="0"/>
  </r>
  <r>
    <s v="Description 2667"/>
    <s v="Code 2667"/>
    <n v="32"/>
    <n v="34"/>
    <n v="44"/>
    <n v="44"/>
    <n v="34"/>
    <n v="34"/>
    <n v="46"/>
    <n v="44"/>
    <n v="14"/>
    <n v="0"/>
    <n v="166"/>
    <x v="141"/>
    <x v="0"/>
    <x v="0"/>
    <x v="0"/>
  </r>
  <r>
    <s v="Description 2668"/>
    <s v="Code 2668"/>
    <n v="4"/>
    <n v="0"/>
    <n v="4"/>
    <n v="0"/>
    <n v="2"/>
    <n v="0"/>
    <n v="0"/>
    <n v="2"/>
    <n v="0"/>
    <n v="0"/>
    <n v="0"/>
    <x v="151"/>
    <x v="0"/>
    <x v="0"/>
    <x v="0"/>
  </r>
  <r>
    <s v="Description 2669"/>
    <s v="Code 2669"/>
    <n v="0"/>
    <n v="0"/>
    <n v="0"/>
    <n v="0"/>
    <n v="0"/>
    <n v="0"/>
    <n v="0"/>
    <n v="0"/>
    <n v="0"/>
    <n v="0"/>
    <n v="400"/>
    <x v="8"/>
    <x v="0"/>
    <x v="0"/>
    <x v="0"/>
  </r>
  <r>
    <s v="Description 2670"/>
    <s v="Code 2670"/>
    <n v="0"/>
    <n v="0"/>
    <n v="0"/>
    <n v="0"/>
    <n v="0"/>
    <n v="0"/>
    <n v="0"/>
    <n v="0"/>
    <n v="0"/>
    <n v="0"/>
    <n v="120"/>
    <x v="12"/>
    <x v="0"/>
    <x v="0"/>
    <x v="0"/>
  </r>
  <r>
    <s v="Description 2671"/>
    <s v="Code 2671"/>
    <n v="86"/>
    <n v="0"/>
    <n v="0"/>
    <n v="0"/>
    <n v="0"/>
    <n v="0"/>
    <n v="0"/>
    <n v="0"/>
    <n v="0"/>
    <n v="0"/>
    <n v="300"/>
    <x v="155"/>
    <x v="0"/>
    <x v="0"/>
    <x v="0"/>
  </r>
  <r>
    <s v="Description 2672"/>
    <s v="Code 2672"/>
    <n v="265"/>
    <n v="0"/>
    <n v="0"/>
    <n v="0"/>
    <n v="0"/>
    <n v="0"/>
    <n v="0"/>
    <n v="0"/>
    <n v="0"/>
    <n v="0"/>
    <n v="0"/>
    <x v="22"/>
    <x v="0"/>
    <x v="0"/>
    <x v="0"/>
  </r>
  <r>
    <s v="Description 2673"/>
    <s v="Code 2673"/>
    <n v="8"/>
    <n v="14"/>
    <n v="2"/>
    <n v="2"/>
    <n v="0"/>
    <n v="0"/>
    <n v="0"/>
    <n v="0"/>
    <n v="0"/>
    <n v="0"/>
    <n v="0"/>
    <x v="124"/>
    <x v="0"/>
    <x v="0"/>
    <x v="0"/>
  </r>
  <r>
    <s v="Description 2674"/>
    <s v="Code 2674"/>
    <n v="270"/>
    <n v="300"/>
    <n v="320"/>
    <n v="360"/>
    <n v="180"/>
    <n v="240"/>
    <n v="240"/>
    <n v="182"/>
    <n v="120"/>
    <n v="0"/>
    <n v="840"/>
    <x v="45"/>
    <x v="0"/>
    <x v="0"/>
    <x v="0"/>
  </r>
  <r>
    <s v="Description 2675"/>
    <s v="Code 2675"/>
    <n v="431"/>
    <n v="114"/>
    <n v="276"/>
    <n v="370"/>
    <n v="244"/>
    <n v="232"/>
    <n v="220"/>
    <n v="210"/>
    <n v="216"/>
    <n v="0"/>
    <n v="90"/>
    <x v="183"/>
    <x v="0"/>
    <x v="0"/>
    <x v="0"/>
  </r>
  <r>
    <s v="Description 2676"/>
    <s v="Code 2676"/>
    <n v="0"/>
    <n v="0"/>
    <n v="0"/>
    <n v="0"/>
    <n v="0"/>
    <n v="0"/>
    <n v="0"/>
    <n v="0"/>
    <n v="0"/>
    <n v="0"/>
    <n v="332"/>
    <x v="28"/>
    <x v="0"/>
    <x v="1"/>
    <x v="0"/>
  </r>
  <r>
    <s v="Description 2677"/>
    <s v="Code 2677"/>
    <n v="0"/>
    <n v="0"/>
    <n v="0"/>
    <n v="0"/>
    <n v="0"/>
    <n v="0"/>
    <n v="0"/>
    <n v="0"/>
    <n v="0"/>
    <n v="0"/>
    <n v="466"/>
    <x v="123"/>
    <x v="0"/>
    <x v="1"/>
    <x v="0"/>
  </r>
  <r>
    <s v="Description 2678"/>
    <s v="Code 2678"/>
    <n v="4"/>
    <n v="12"/>
    <n v="2"/>
    <n v="2"/>
    <n v="4"/>
    <n v="0"/>
    <n v="0"/>
    <n v="0"/>
    <n v="0"/>
    <n v="0"/>
    <n v="54"/>
    <x v="49"/>
    <x v="0"/>
    <x v="0"/>
    <x v="0"/>
  </r>
  <r>
    <s v="Description 2679"/>
    <s v="Code 2679"/>
    <n v="0"/>
    <n v="0"/>
    <n v="0"/>
    <n v="0"/>
    <n v="0"/>
    <n v="0"/>
    <n v="0"/>
    <n v="0"/>
    <n v="0"/>
    <n v="0"/>
    <n v="500"/>
    <x v="147"/>
    <x v="0"/>
    <x v="0"/>
    <x v="0"/>
  </r>
  <r>
    <s v="Description 2680"/>
    <s v="Code 2680"/>
    <n v="156"/>
    <n v="156"/>
    <n v="168"/>
    <n v="132"/>
    <n v="162"/>
    <n v="144"/>
    <n v="132"/>
    <n v="132"/>
    <n v="108"/>
    <n v="0"/>
    <n v="360"/>
    <x v="88"/>
    <x v="0"/>
    <x v="0"/>
    <x v="0"/>
  </r>
  <r>
    <s v="Description 2681"/>
    <s v="Code 2681"/>
    <n v="8"/>
    <n v="0"/>
    <n v="0"/>
    <n v="0"/>
    <n v="0"/>
    <n v="0"/>
    <n v="0"/>
    <n v="0"/>
    <n v="0"/>
    <n v="0"/>
    <n v="200"/>
    <x v="182"/>
    <x v="0"/>
    <x v="0"/>
    <x v="0"/>
  </r>
  <r>
    <s v="Description 2682"/>
    <s v="Code 2682"/>
    <n v="0"/>
    <n v="0"/>
    <n v="0"/>
    <n v="0"/>
    <n v="0"/>
    <n v="0"/>
    <n v="0"/>
    <n v="0"/>
    <n v="0"/>
    <n v="0"/>
    <n v="228"/>
    <x v="143"/>
    <x v="0"/>
    <x v="0"/>
    <x v="0"/>
  </r>
  <r>
    <s v="Description 2683"/>
    <s v="Code 2683"/>
    <n v="100"/>
    <n v="10"/>
    <n v="60"/>
    <n v="40"/>
    <n v="80"/>
    <n v="40"/>
    <n v="20"/>
    <n v="50"/>
    <n v="70"/>
    <n v="0"/>
    <n v="68"/>
    <x v="10"/>
    <x v="0"/>
    <x v="0"/>
    <x v="0"/>
  </r>
  <r>
    <s v="Description 2684"/>
    <s v="Code 2684"/>
    <n v="0"/>
    <n v="10"/>
    <n v="30"/>
    <n v="0"/>
    <n v="0"/>
    <n v="0"/>
    <n v="10"/>
    <n v="50"/>
    <n v="40"/>
    <n v="0"/>
    <n v="99"/>
    <x v="186"/>
    <x v="0"/>
    <x v="0"/>
    <x v="0"/>
  </r>
  <r>
    <s v="Description 2685"/>
    <s v="Code 2685"/>
    <n v="10"/>
    <n v="0"/>
    <n v="0"/>
    <n v="10"/>
    <n v="50"/>
    <n v="0"/>
    <n v="0"/>
    <n v="0"/>
    <n v="0"/>
    <n v="0"/>
    <n v="75"/>
    <x v="130"/>
    <x v="0"/>
    <x v="1"/>
    <x v="0"/>
  </r>
  <r>
    <s v="Description 2686"/>
    <s v="Code 2686"/>
    <n v="0"/>
    <n v="0"/>
    <n v="30"/>
    <n v="0"/>
    <n v="30"/>
    <n v="0"/>
    <n v="10"/>
    <n v="0"/>
    <n v="0"/>
    <n v="0"/>
    <n v="75"/>
    <x v="9"/>
    <x v="0"/>
    <x v="0"/>
    <x v="0"/>
  </r>
  <r>
    <s v="Description 2687"/>
    <s v="Code 2687"/>
    <n v="0"/>
    <n v="0"/>
    <n v="0"/>
    <n v="30"/>
    <n v="0"/>
    <n v="40"/>
    <n v="0"/>
    <n v="0"/>
    <n v="30"/>
    <n v="0"/>
    <n v="6"/>
    <x v="41"/>
    <x v="0"/>
    <x v="0"/>
    <x v="0"/>
  </r>
  <r>
    <s v="Description 2688"/>
    <s v="Code 2688"/>
    <n v="17"/>
    <n v="11"/>
    <n v="5"/>
    <n v="16"/>
    <n v="14"/>
    <n v="12"/>
    <n v="10"/>
    <n v="9"/>
    <n v="10"/>
    <n v="0"/>
    <n v="23"/>
    <x v="127"/>
    <x v="0"/>
    <x v="0"/>
    <x v="0"/>
  </r>
  <r>
    <s v="Description 2689"/>
    <s v="Code 2689"/>
    <n v="0"/>
    <n v="8"/>
    <n v="2"/>
    <n v="11"/>
    <n v="1"/>
    <n v="3"/>
    <n v="3"/>
    <n v="0"/>
    <n v="3"/>
    <n v="0"/>
    <n v="0"/>
    <x v="12"/>
    <x v="0"/>
    <x v="0"/>
    <x v="0"/>
  </r>
  <r>
    <s v="Description 2690"/>
    <s v="Code 2690"/>
    <n v="0"/>
    <n v="0"/>
    <n v="0"/>
    <n v="0"/>
    <n v="0"/>
    <n v="0"/>
    <n v="0"/>
    <n v="0"/>
    <n v="0"/>
    <n v="0"/>
    <n v="0"/>
    <x v="57"/>
    <x v="0"/>
    <x v="0"/>
    <x v="0"/>
  </r>
  <r>
    <s v="Description 2691"/>
    <s v="Code 2691"/>
    <n v="0"/>
    <n v="0"/>
    <n v="0"/>
    <n v="0"/>
    <n v="0"/>
    <n v="0"/>
    <n v="0"/>
    <n v="0"/>
    <n v="0"/>
    <n v="0"/>
    <n v="21"/>
    <x v="143"/>
    <x v="0"/>
    <x v="0"/>
    <x v="0"/>
  </r>
  <r>
    <s v="Description 2692"/>
    <s v="Code 2692"/>
    <n v="4"/>
    <n v="3"/>
    <n v="1"/>
    <n v="6"/>
    <n v="0"/>
    <n v="1"/>
    <n v="2"/>
    <n v="8"/>
    <n v="4"/>
    <n v="0"/>
    <n v="760"/>
    <x v="130"/>
    <x v="0"/>
    <x v="1"/>
    <x v="0"/>
  </r>
  <r>
    <s v="Description 2693"/>
    <s v="Code 2693"/>
    <n v="0"/>
    <n v="0"/>
    <n v="0"/>
    <n v="6"/>
    <n v="0"/>
    <n v="0"/>
    <n v="0"/>
    <n v="0"/>
    <n v="0"/>
    <n v="0"/>
    <n v="53"/>
    <x v="85"/>
    <x v="0"/>
    <x v="1"/>
    <x v="0"/>
  </r>
  <r>
    <s v="Description 2694"/>
    <s v="Code 2694"/>
    <n v="3"/>
    <n v="1"/>
    <n v="3"/>
    <n v="3"/>
    <n v="3"/>
    <n v="1"/>
    <n v="2"/>
    <n v="4"/>
    <n v="1"/>
    <n v="0"/>
    <n v="35"/>
    <x v="25"/>
    <x v="0"/>
    <x v="1"/>
    <x v="0"/>
  </r>
  <r>
    <s v="Description 2695"/>
    <s v="Code 2695"/>
    <n v="0"/>
    <n v="1"/>
    <n v="2"/>
    <n v="2"/>
    <n v="2"/>
    <n v="3"/>
    <n v="6"/>
    <n v="1"/>
    <n v="0"/>
    <n v="0"/>
    <n v="0"/>
    <x v="175"/>
    <x v="0"/>
    <x v="0"/>
    <x v="0"/>
  </r>
  <r>
    <s v="Description 2696"/>
    <s v="Code 2696"/>
    <n v="0"/>
    <n v="0"/>
    <n v="0"/>
    <n v="0"/>
    <n v="0"/>
    <n v="0"/>
    <n v="0"/>
    <n v="0"/>
    <n v="0"/>
    <n v="0"/>
    <n v="0"/>
    <x v="185"/>
    <x v="0"/>
    <x v="0"/>
    <x v="0"/>
  </r>
  <r>
    <s v="Description 2697"/>
    <s v="Code 2697"/>
    <n v="0"/>
    <n v="0"/>
    <n v="0"/>
    <n v="0"/>
    <n v="0"/>
    <n v="0"/>
    <n v="0"/>
    <n v="0"/>
    <n v="0"/>
    <n v="0"/>
    <n v="616"/>
    <x v="84"/>
    <x v="0"/>
    <x v="0"/>
    <x v="0"/>
  </r>
  <r>
    <s v="Description 2698"/>
    <s v="Code 2698"/>
    <n v="0"/>
    <n v="0"/>
    <n v="0"/>
    <n v="0"/>
    <n v="50"/>
    <n v="0"/>
    <n v="0"/>
    <n v="50"/>
    <n v="0"/>
    <n v="0"/>
    <n v="0"/>
    <x v="77"/>
    <x v="0"/>
    <x v="0"/>
    <x v="0"/>
  </r>
  <r>
    <s v="Description 2699"/>
    <s v="Code 2699"/>
    <n v="0"/>
    <n v="0"/>
    <n v="0"/>
    <n v="0"/>
    <n v="50"/>
    <n v="0"/>
    <n v="0"/>
    <n v="50"/>
    <n v="0"/>
    <n v="0"/>
    <n v="12976"/>
    <x v="198"/>
    <x v="0"/>
    <x v="0"/>
    <x v="0"/>
  </r>
  <r>
    <s v="Description 2700"/>
    <s v="Code 2700"/>
    <n v="0"/>
    <n v="0"/>
    <n v="0"/>
    <n v="0"/>
    <n v="0"/>
    <n v="0"/>
    <n v="0"/>
    <n v="0"/>
    <n v="0"/>
    <n v="0"/>
    <n v="0"/>
    <x v="196"/>
    <x v="0"/>
    <x v="0"/>
    <x v="0"/>
  </r>
  <r>
    <s v="Description 2701"/>
    <s v="Code 2701"/>
    <n v="270"/>
    <n v="300"/>
    <n v="320"/>
    <n v="360"/>
    <n v="180"/>
    <n v="240"/>
    <n v="240"/>
    <n v="182"/>
    <n v="120"/>
    <n v="0"/>
    <n v="600"/>
    <x v="44"/>
    <x v="0"/>
    <x v="0"/>
    <x v="0"/>
  </r>
  <r>
    <s v="Description 2702"/>
    <s v="Code 2702"/>
    <n v="100"/>
    <n v="200"/>
    <n v="100"/>
    <n v="200"/>
    <n v="100"/>
    <n v="200"/>
    <n v="100"/>
    <n v="100"/>
    <n v="100"/>
    <n v="0"/>
    <n v="39"/>
    <x v="87"/>
    <x v="0"/>
    <x v="0"/>
    <x v="0"/>
  </r>
  <r>
    <s v="Description 2703"/>
    <s v="Code 2703"/>
    <n v="0"/>
    <n v="0"/>
    <n v="17"/>
    <n v="22"/>
    <n v="2"/>
    <n v="0"/>
    <n v="2"/>
    <n v="5"/>
    <n v="30"/>
    <n v="0"/>
    <n v="11"/>
    <x v="40"/>
    <x v="0"/>
    <x v="0"/>
    <x v="0"/>
  </r>
  <r>
    <s v="Description 2704"/>
    <s v="Code 2704"/>
    <n v="0"/>
    <n v="0"/>
    <n v="0"/>
    <n v="0"/>
    <n v="0"/>
    <n v="0"/>
    <n v="0"/>
    <n v="0"/>
    <n v="0"/>
    <n v="0"/>
    <n v="32"/>
    <x v="29"/>
    <x v="0"/>
    <x v="0"/>
    <x v="0"/>
  </r>
  <r>
    <s v="Description 2705"/>
    <s v="Code 2705"/>
    <n v="0"/>
    <n v="0"/>
    <n v="0"/>
    <n v="0"/>
    <n v="0"/>
    <n v="0"/>
    <n v="0"/>
    <n v="0"/>
    <n v="0"/>
    <n v="0"/>
    <n v="3"/>
    <x v="29"/>
    <x v="0"/>
    <x v="0"/>
    <x v="0"/>
  </r>
  <r>
    <s v="Description 2706"/>
    <s v="Code 2706"/>
    <n v="2"/>
    <n v="0"/>
    <n v="2"/>
    <n v="2"/>
    <n v="0"/>
    <n v="0"/>
    <n v="0"/>
    <n v="0"/>
    <n v="0"/>
    <n v="0"/>
    <n v="0"/>
    <x v="162"/>
    <x v="0"/>
    <x v="0"/>
    <x v="0"/>
  </r>
  <r>
    <s v="Description 2707"/>
    <s v="Code 2707"/>
    <n v="1"/>
    <n v="0"/>
    <n v="0"/>
    <n v="1"/>
    <n v="0"/>
    <n v="0"/>
    <n v="0"/>
    <n v="0"/>
    <n v="0"/>
    <n v="0"/>
    <n v="0"/>
    <x v="126"/>
    <x v="0"/>
    <x v="0"/>
    <x v="0"/>
  </r>
  <r>
    <s v="Description 2708"/>
    <s v="Code 2708"/>
    <n v="1"/>
    <n v="0"/>
    <n v="1"/>
    <n v="1"/>
    <n v="0"/>
    <n v="0"/>
    <n v="0"/>
    <n v="0"/>
    <n v="0"/>
    <n v="0"/>
    <n v="0"/>
    <x v="89"/>
    <x v="0"/>
    <x v="1"/>
    <x v="0"/>
  </r>
  <r>
    <s v="Description 2709"/>
    <s v="Code 2709"/>
    <n v="0"/>
    <n v="0"/>
    <n v="1"/>
    <n v="0"/>
    <n v="0"/>
    <n v="0"/>
    <n v="0"/>
    <n v="0"/>
    <n v="0"/>
    <n v="0"/>
    <n v="0"/>
    <x v="89"/>
    <x v="0"/>
    <x v="1"/>
    <x v="0"/>
  </r>
  <r>
    <s v="Description 2710"/>
    <s v="Code 2710"/>
    <n v="1"/>
    <n v="0"/>
    <n v="0"/>
    <n v="1"/>
    <n v="0"/>
    <n v="0"/>
    <n v="0"/>
    <n v="0"/>
    <n v="0"/>
    <n v="0"/>
    <n v="0"/>
    <x v="101"/>
    <x v="0"/>
    <x v="0"/>
    <x v="0"/>
  </r>
  <r>
    <s v="Description 2711"/>
    <s v="Code 2711"/>
    <n v="0"/>
    <n v="0"/>
    <n v="1"/>
    <n v="0"/>
    <n v="0"/>
    <n v="0"/>
    <n v="0"/>
    <n v="0"/>
    <n v="0"/>
    <n v="0"/>
    <n v="0"/>
    <x v="150"/>
    <x v="0"/>
    <x v="0"/>
    <x v="0"/>
  </r>
  <r>
    <s v="Description 2712"/>
    <s v="Code 2712"/>
    <n v="0"/>
    <n v="0"/>
    <n v="1"/>
    <n v="0"/>
    <n v="0"/>
    <n v="0"/>
    <n v="0"/>
    <n v="0"/>
    <n v="0"/>
    <n v="0"/>
    <n v="0"/>
    <x v="99"/>
    <x v="0"/>
    <x v="0"/>
    <x v="0"/>
  </r>
  <r>
    <s v="Description 2713"/>
    <s v="Code 2713"/>
    <n v="1"/>
    <n v="0"/>
    <n v="1"/>
    <n v="0"/>
    <n v="0"/>
    <n v="0"/>
    <n v="0"/>
    <n v="0"/>
    <n v="0"/>
    <n v="0"/>
    <n v="0"/>
    <x v="147"/>
    <x v="0"/>
    <x v="0"/>
    <x v="0"/>
  </r>
  <r>
    <s v="Description 2714"/>
    <s v="Code 2714"/>
    <n v="1"/>
    <n v="0"/>
    <n v="0"/>
    <n v="1"/>
    <n v="0"/>
    <n v="0"/>
    <n v="0"/>
    <n v="0"/>
    <n v="0"/>
    <n v="0"/>
    <n v="0"/>
    <x v="114"/>
    <x v="0"/>
    <x v="0"/>
    <x v="0"/>
  </r>
  <r>
    <s v="Description 2715"/>
    <s v="Code 2715"/>
    <n v="1"/>
    <n v="0"/>
    <n v="0"/>
    <n v="1"/>
    <n v="0"/>
    <n v="0"/>
    <n v="0"/>
    <n v="0"/>
    <n v="0"/>
    <n v="0"/>
    <n v="0"/>
    <x v="82"/>
    <x v="0"/>
    <x v="0"/>
    <x v="0"/>
  </r>
  <r>
    <s v="Description 2716"/>
    <s v="Code 2716"/>
    <n v="1"/>
    <n v="0"/>
    <n v="0"/>
    <n v="1"/>
    <n v="0"/>
    <n v="0"/>
    <n v="0"/>
    <n v="0"/>
    <n v="0"/>
    <n v="0"/>
    <n v="0"/>
    <x v="38"/>
    <x v="0"/>
    <x v="0"/>
    <x v="0"/>
  </r>
  <r>
    <s v="Description 2717"/>
    <s v="Code 2717"/>
    <n v="1"/>
    <n v="0"/>
    <n v="0"/>
    <n v="1"/>
    <n v="0"/>
    <n v="0"/>
    <n v="0"/>
    <n v="0"/>
    <n v="0"/>
    <n v="0"/>
    <n v="4"/>
    <x v="171"/>
    <x v="0"/>
    <x v="0"/>
    <x v="0"/>
  </r>
  <r>
    <s v="Description 2718"/>
    <s v="Code 2718"/>
    <n v="8"/>
    <n v="0"/>
    <n v="4"/>
    <n v="6"/>
    <n v="0"/>
    <n v="0"/>
    <n v="0"/>
    <n v="0"/>
    <n v="0"/>
    <n v="0"/>
    <n v="4"/>
    <x v="192"/>
    <x v="0"/>
    <x v="0"/>
    <x v="0"/>
  </r>
  <r>
    <s v="Description 2719"/>
    <s v="Code 2719"/>
    <n v="2"/>
    <n v="0"/>
    <n v="4"/>
    <n v="0"/>
    <n v="0"/>
    <n v="0"/>
    <n v="0"/>
    <n v="0"/>
    <n v="0"/>
    <n v="0"/>
    <n v="0"/>
    <x v="195"/>
    <x v="0"/>
    <x v="0"/>
    <x v="0"/>
  </r>
  <r>
    <s v="Description 2720"/>
    <s v="Code 2720"/>
    <n v="2"/>
    <n v="0"/>
    <n v="0"/>
    <n v="2"/>
    <n v="0"/>
    <n v="0"/>
    <n v="0"/>
    <n v="0"/>
    <n v="0"/>
    <n v="0"/>
    <n v="0"/>
    <x v="11"/>
    <x v="0"/>
    <x v="0"/>
    <x v="0"/>
  </r>
  <r>
    <s v="Description 2721"/>
    <s v="Code 2721"/>
    <n v="1"/>
    <n v="0"/>
    <n v="0"/>
    <n v="1"/>
    <n v="0"/>
    <n v="0"/>
    <n v="0"/>
    <n v="0"/>
    <n v="0"/>
    <n v="0"/>
    <n v="0"/>
    <x v="138"/>
    <x v="0"/>
    <x v="0"/>
    <x v="0"/>
  </r>
  <r>
    <s v="Description 2722"/>
    <s v="Code 2722"/>
    <n v="1"/>
    <n v="0"/>
    <n v="0"/>
    <n v="1"/>
    <n v="0"/>
    <n v="0"/>
    <n v="0"/>
    <n v="0"/>
    <n v="0"/>
    <n v="0"/>
    <n v="0"/>
    <x v="101"/>
    <x v="0"/>
    <x v="0"/>
    <x v="0"/>
  </r>
  <r>
    <s v="Description 2723"/>
    <s v="Code 2723"/>
    <n v="1"/>
    <n v="0"/>
    <n v="0"/>
    <n v="1"/>
    <n v="0"/>
    <n v="0"/>
    <n v="0"/>
    <n v="0"/>
    <n v="0"/>
    <n v="0"/>
    <n v="0"/>
    <x v="5"/>
    <x v="0"/>
    <x v="0"/>
    <x v="0"/>
  </r>
  <r>
    <s v="Description 2724"/>
    <s v="Code 2724"/>
    <n v="1"/>
    <n v="0"/>
    <n v="0"/>
    <n v="1"/>
    <n v="0"/>
    <n v="0"/>
    <n v="0"/>
    <n v="0"/>
    <n v="0"/>
    <n v="0"/>
    <n v="5"/>
    <x v="116"/>
    <x v="0"/>
    <x v="0"/>
    <x v="0"/>
  </r>
  <r>
    <s v="Description 2725"/>
    <s v="Code 2725"/>
    <n v="8"/>
    <n v="0"/>
    <n v="4"/>
    <n v="6"/>
    <n v="0"/>
    <n v="0"/>
    <n v="0"/>
    <n v="0"/>
    <n v="0"/>
    <n v="0"/>
    <n v="4"/>
    <x v="165"/>
    <x v="0"/>
    <x v="0"/>
    <x v="0"/>
  </r>
  <r>
    <s v="Description 2726"/>
    <s v="Code 2726"/>
    <n v="3"/>
    <n v="0"/>
    <n v="2"/>
    <n v="2"/>
    <n v="0"/>
    <n v="0"/>
    <n v="0"/>
    <n v="0"/>
    <n v="0"/>
    <n v="0"/>
    <n v="2"/>
    <x v="151"/>
    <x v="0"/>
    <x v="0"/>
    <x v="0"/>
  </r>
  <r>
    <s v="Description 2727"/>
    <s v="Code 2727"/>
    <n v="2"/>
    <n v="0"/>
    <n v="1"/>
    <n v="1"/>
    <n v="0"/>
    <n v="0"/>
    <n v="0"/>
    <n v="0"/>
    <n v="0"/>
    <n v="0"/>
    <n v="2"/>
    <x v="49"/>
    <x v="0"/>
    <x v="0"/>
    <x v="0"/>
  </r>
  <r>
    <s v="Description 2728"/>
    <s v="Code 2728"/>
    <n v="1"/>
    <n v="0"/>
    <n v="2"/>
    <n v="0"/>
    <n v="0"/>
    <n v="0"/>
    <n v="0"/>
    <n v="0"/>
    <n v="0"/>
    <n v="0"/>
    <n v="0"/>
    <x v="165"/>
    <x v="0"/>
    <x v="0"/>
    <x v="0"/>
  </r>
  <r>
    <s v="Description 2729"/>
    <s v="Code 2729"/>
    <n v="1"/>
    <n v="0"/>
    <n v="0"/>
    <n v="1"/>
    <n v="0"/>
    <n v="0"/>
    <n v="0"/>
    <n v="0"/>
    <n v="0"/>
    <n v="0"/>
    <n v="0"/>
    <x v="96"/>
    <x v="0"/>
    <x v="0"/>
    <x v="0"/>
  </r>
  <r>
    <s v="Description 2730"/>
    <s v="Code 2730"/>
    <n v="1"/>
    <n v="0"/>
    <n v="0"/>
    <n v="1"/>
    <n v="0"/>
    <n v="0"/>
    <n v="0"/>
    <n v="0"/>
    <n v="0"/>
    <n v="0"/>
    <n v="0"/>
    <x v="46"/>
    <x v="0"/>
    <x v="0"/>
    <x v="0"/>
  </r>
  <r>
    <s v="Description 2731"/>
    <s v="Code 2731"/>
    <n v="0"/>
    <n v="0"/>
    <n v="1"/>
    <n v="0"/>
    <n v="0"/>
    <n v="0"/>
    <n v="0"/>
    <n v="0"/>
    <n v="0"/>
    <n v="0"/>
    <n v="0"/>
    <x v="91"/>
    <x v="0"/>
    <x v="0"/>
    <x v="0"/>
  </r>
  <r>
    <s v="Description 2732"/>
    <s v="Code 2732"/>
    <n v="1"/>
    <n v="0"/>
    <n v="0"/>
    <n v="1"/>
    <n v="0"/>
    <n v="0"/>
    <n v="0"/>
    <n v="0"/>
    <n v="0"/>
    <n v="0"/>
    <n v="0"/>
    <x v="171"/>
    <x v="0"/>
    <x v="0"/>
    <x v="0"/>
  </r>
  <r>
    <s v="Description 2733"/>
    <s v="Code 2733"/>
    <n v="2"/>
    <n v="0"/>
    <n v="1"/>
    <n v="2"/>
    <n v="0"/>
    <n v="0"/>
    <n v="0"/>
    <n v="0"/>
    <n v="0"/>
    <n v="0"/>
    <n v="0"/>
    <x v="177"/>
    <x v="0"/>
    <x v="0"/>
    <x v="0"/>
  </r>
  <r>
    <s v="Description 2734"/>
    <s v="Code 2734"/>
    <n v="4"/>
    <n v="0"/>
    <n v="2"/>
    <n v="4"/>
    <n v="0"/>
    <n v="0"/>
    <n v="0"/>
    <n v="0"/>
    <n v="0"/>
    <n v="0"/>
    <n v="0"/>
    <x v="33"/>
    <x v="0"/>
    <x v="0"/>
    <x v="0"/>
  </r>
  <r>
    <s v="Description 2735"/>
    <s v="Code 2735"/>
    <n v="1"/>
    <n v="0"/>
    <n v="0"/>
    <n v="1"/>
    <n v="0"/>
    <n v="0"/>
    <n v="0"/>
    <n v="0"/>
    <n v="0"/>
    <n v="0"/>
    <n v="0"/>
    <x v="122"/>
    <x v="0"/>
    <x v="0"/>
    <x v="0"/>
  </r>
  <r>
    <s v="Description 2736"/>
    <s v="Code 2736"/>
    <n v="2"/>
    <n v="0"/>
    <n v="0"/>
    <n v="2"/>
    <n v="0"/>
    <n v="0"/>
    <n v="0"/>
    <n v="0"/>
    <n v="0"/>
    <n v="0"/>
    <n v="4"/>
    <x v="196"/>
    <x v="0"/>
    <x v="0"/>
    <x v="0"/>
  </r>
  <r>
    <s v="Description 2737"/>
    <s v="Code 2737"/>
    <n v="6"/>
    <n v="0"/>
    <n v="4"/>
    <n v="4"/>
    <n v="0"/>
    <n v="0"/>
    <n v="0"/>
    <n v="0"/>
    <n v="0"/>
    <n v="0"/>
    <n v="4"/>
    <x v="163"/>
    <x v="0"/>
    <x v="0"/>
    <x v="0"/>
  </r>
  <r>
    <s v="Description 2738"/>
    <s v="Code 2738"/>
    <n v="2"/>
    <n v="0"/>
    <n v="4"/>
    <n v="0"/>
    <n v="0"/>
    <n v="0"/>
    <n v="0"/>
    <n v="0"/>
    <n v="0"/>
    <n v="0"/>
    <n v="1"/>
    <x v="160"/>
    <x v="0"/>
    <x v="0"/>
    <x v="0"/>
  </r>
  <r>
    <s v="Description 2739"/>
    <s v="Code 2739"/>
    <n v="1"/>
    <n v="0"/>
    <n v="1"/>
    <n v="0"/>
    <n v="0"/>
    <n v="0"/>
    <n v="0"/>
    <n v="0"/>
    <n v="0"/>
    <n v="0"/>
    <n v="1"/>
    <x v="153"/>
    <x v="0"/>
    <x v="0"/>
    <x v="0"/>
  </r>
  <r>
    <s v="Description 2740"/>
    <s v="Code 2740"/>
    <n v="1"/>
    <n v="0"/>
    <n v="1"/>
    <n v="0"/>
    <n v="0"/>
    <n v="0"/>
    <n v="0"/>
    <n v="0"/>
    <n v="0"/>
    <n v="0"/>
    <n v="2"/>
    <x v="87"/>
    <x v="0"/>
    <x v="0"/>
    <x v="0"/>
  </r>
  <r>
    <s v="Description 2741"/>
    <s v="Code 2741"/>
    <n v="2"/>
    <n v="0"/>
    <n v="0"/>
    <n v="2"/>
    <n v="0"/>
    <n v="0"/>
    <n v="0"/>
    <n v="0"/>
    <n v="0"/>
    <n v="0"/>
    <n v="5"/>
    <x v="150"/>
    <x v="0"/>
    <x v="0"/>
    <x v="0"/>
  </r>
  <r>
    <s v="Description 2742"/>
    <s v="Code 2742"/>
    <n v="3"/>
    <n v="0"/>
    <n v="3"/>
    <n v="3"/>
    <n v="0"/>
    <n v="0"/>
    <n v="0"/>
    <n v="0"/>
    <n v="0"/>
    <n v="0"/>
    <n v="0"/>
    <x v="186"/>
    <x v="0"/>
    <x v="0"/>
    <x v="0"/>
  </r>
  <r>
    <s v="Description 2743"/>
    <s v="Code 2743"/>
    <n v="2"/>
    <n v="0"/>
    <n v="0"/>
    <n v="2"/>
    <n v="0"/>
    <n v="0"/>
    <n v="0"/>
    <n v="0"/>
    <n v="0"/>
    <n v="0"/>
    <n v="0"/>
    <x v="76"/>
    <x v="0"/>
    <x v="1"/>
    <x v="0"/>
  </r>
  <r>
    <s v="Description 2744"/>
    <s v="Code 2744"/>
    <n v="1"/>
    <n v="0"/>
    <n v="0"/>
    <n v="1"/>
    <n v="0"/>
    <n v="0"/>
    <n v="0"/>
    <n v="0"/>
    <n v="0"/>
    <n v="0"/>
    <n v="39"/>
    <x v="41"/>
    <x v="0"/>
    <x v="0"/>
    <x v="0"/>
  </r>
  <r>
    <s v="Description 2745"/>
    <s v="Code 2745"/>
    <n v="60"/>
    <n v="0"/>
    <n v="37"/>
    <n v="44"/>
    <n v="0"/>
    <n v="0"/>
    <n v="0"/>
    <n v="0"/>
    <n v="0"/>
    <n v="0"/>
    <n v="12"/>
    <x v="78"/>
    <x v="0"/>
    <x v="0"/>
    <x v="0"/>
  </r>
  <r>
    <s v="Description 2746"/>
    <s v="Code 2746"/>
    <n v="16"/>
    <n v="0"/>
    <n v="12"/>
    <n v="10"/>
    <n v="0"/>
    <n v="0"/>
    <n v="0"/>
    <n v="0"/>
    <n v="0"/>
    <n v="0"/>
    <n v="10"/>
    <x v="149"/>
    <x v="0"/>
    <x v="0"/>
    <x v="0"/>
  </r>
  <r>
    <s v="Description 2747"/>
    <s v="Code 2747"/>
    <n v="13"/>
    <n v="0"/>
    <n v="9"/>
    <n v="7"/>
    <n v="0"/>
    <n v="0"/>
    <n v="0"/>
    <n v="0"/>
    <n v="0"/>
    <n v="0"/>
    <n v="0"/>
    <x v="85"/>
    <x v="0"/>
    <x v="1"/>
    <x v="0"/>
  </r>
  <r>
    <s v="Description 2748"/>
    <s v="Code 2748"/>
    <n v="2"/>
    <n v="0"/>
    <n v="0"/>
    <n v="2"/>
    <n v="0"/>
    <n v="0"/>
    <n v="0"/>
    <n v="0"/>
    <n v="0"/>
    <n v="0"/>
    <n v="2"/>
    <x v="57"/>
    <x v="0"/>
    <x v="0"/>
    <x v="0"/>
  </r>
  <r>
    <s v="Description 2749"/>
    <s v="Code 2749"/>
    <n v="2"/>
    <n v="0"/>
    <n v="0"/>
    <n v="2"/>
    <n v="0"/>
    <n v="0"/>
    <n v="0"/>
    <n v="0"/>
    <n v="0"/>
    <n v="0"/>
    <n v="8"/>
    <x v="168"/>
    <x v="0"/>
    <x v="0"/>
    <x v="0"/>
  </r>
  <r>
    <s v="Description 2750"/>
    <s v="Code 2750"/>
    <n v="14"/>
    <n v="0"/>
    <n v="8"/>
    <n v="10"/>
    <n v="0"/>
    <n v="0"/>
    <n v="0"/>
    <n v="0"/>
    <n v="0"/>
    <n v="0"/>
    <n v="0"/>
    <x v="121"/>
    <x v="0"/>
    <x v="0"/>
    <x v="0"/>
  </r>
  <r>
    <s v="Description 2751"/>
    <s v="Code 2751"/>
    <n v="1"/>
    <n v="0"/>
    <n v="0"/>
    <n v="1"/>
    <n v="0"/>
    <n v="0"/>
    <n v="0"/>
    <n v="0"/>
    <n v="0"/>
    <n v="0"/>
    <n v="4"/>
    <x v="157"/>
    <x v="0"/>
    <x v="0"/>
    <x v="0"/>
  </r>
  <r>
    <s v="Description 2752"/>
    <s v="Code 2752"/>
    <n v="2"/>
    <n v="0"/>
    <n v="2"/>
    <n v="2"/>
    <n v="0"/>
    <n v="0"/>
    <n v="0"/>
    <n v="0"/>
    <n v="0"/>
    <n v="0"/>
    <n v="2"/>
    <x v="128"/>
    <x v="0"/>
    <x v="0"/>
    <x v="0"/>
  </r>
  <r>
    <s v="Description 2753"/>
    <s v="Code 2753"/>
    <n v="3"/>
    <n v="0"/>
    <n v="2"/>
    <n v="2"/>
    <n v="0"/>
    <n v="0"/>
    <n v="0"/>
    <n v="0"/>
    <n v="0"/>
    <n v="0"/>
    <n v="2"/>
    <x v="164"/>
    <x v="0"/>
    <x v="0"/>
    <x v="0"/>
  </r>
  <r>
    <s v="Description 2754"/>
    <s v="Code 2754"/>
    <n v="3"/>
    <n v="0"/>
    <n v="2"/>
    <n v="2"/>
    <n v="0"/>
    <n v="0"/>
    <n v="0"/>
    <n v="0"/>
    <n v="0"/>
    <n v="0"/>
    <n v="1"/>
    <x v="88"/>
    <x v="0"/>
    <x v="0"/>
    <x v="0"/>
  </r>
  <r>
    <s v="Description 2755"/>
    <s v="Code 2755"/>
    <n v="1"/>
    <n v="0"/>
    <n v="1"/>
    <n v="0"/>
    <n v="0"/>
    <n v="0"/>
    <n v="0"/>
    <n v="0"/>
    <n v="0"/>
    <n v="0"/>
    <n v="1"/>
    <x v="106"/>
    <x v="0"/>
    <x v="0"/>
    <x v="0"/>
  </r>
  <r>
    <s v="Description 2756"/>
    <s v="Code 2756"/>
    <n v="1"/>
    <n v="0"/>
    <n v="1"/>
    <n v="0"/>
    <n v="0"/>
    <n v="0"/>
    <n v="0"/>
    <n v="0"/>
    <n v="0"/>
    <n v="0"/>
    <n v="0"/>
    <x v="39"/>
    <x v="0"/>
    <x v="0"/>
    <x v="0"/>
  </r>
  <r>
    <s v="Description 2757"/>
    <s v="Code 2757"/>
    <n v="1"/>
    <n v="0"/>
    <n v="0"/>
    <n v="1"/>
    <n v="0"/>
    <n v="0"/>
    <n v="0"/>
    <n v="0"/>
    <n v="0"/>
    <n v="0"/>
    <n v="2"/>
    <x v="115"/>
    <x v="0"/>
    <x v="0"/>
    <x v="0"/>
  </r>
  <r>
    <s v="Description 2758"/>
    <s v="Code 2758"/>
    <n v="1"/>
    <n v="0"/>
    <n v="1"/>
    <n v="1"/>
    <n v="0"/>
    <n v="0"/>
    <n v="0"/>
    <n v="0"/>
    <n v="0"/>
    <n v="0"/>
    <n v="1"/>
    <x v="14"/>
    <x v="0"/>
    <x v="0"/>
    <x v="0"/>
  </r>
  <r>
    <s v="Description 2759"/>
    <s v="Code 2759"/>
    <n v="1"/>
    <n v="0"/>
    <n v="0"/>
    <n v="1"/>
    <n v="0"/>
    <n v="0"/>
    <n v="0"/>
    <n v="0"/>
    <n v="0"/>
    <n v="0"/>
    <n v="1"/>
    <x v="175"/>
    <x v="0"/>
    <x v="0"/>
    <x v="0"/>
  </r>
  <r>
    <s v="Description 2760"/>
    <s v="Code 2760"/>
    <n v="1"/>
    <n v="0"/>
    <n v="0"/>
    <n v="1"/>
    <n v="0"/>
    <n v="0"/>
    <n v="0"/>
    <n v="0"/>
    <n v="0"/>
    <n v="0"/>
    <n v="2"/>
    <x v="176"/>
    <x v="0"/>
    <x v="0"/>
    <x v="0"/>
  </r>
  <r>
    <s v="Description 2761"/>
    <s v="Code 2761"/>
    <n v="2"/>
    <n v="0"/>
    <n v="0"/>
    <n v="2"/>
    <n v="0"/>
    <n v="0"/>
    <n v="0"/>
    <n v="0"/>
    <n v="0"/>
    <n v="0"/>
    <n v="4"/>
    <x v="76"/>
    <x v="0"/>
    <x v="1"/>
    <x v="0"/>
  </r>
  <r>
    <s v="Description 2762"/>
    <s v="Code 2762"/>
    <n v="2"/>
    <n v="0"/>
    <n v="2"/>
    <n v="2"/>
    <n v="0"/>
    <n v="0"/>
    <n v="0"/>
    <n v="0"/>
    <n v="0"/>
    <n v="0"/>
    <n v="4"/>
    <x v="50"/>
    <x v="0"/>
    <x v="0"/>
    <x v="0"/>
  </r>
  <r>
    <s v="Description 2763"/>
    <s v="Code 2763"/>
    <n v="2"/>
    <n v="0"/>
    <n v="2"/>
    <n v="2"/>
    <n v="0"/>
    <n v="0"/>
    <n v="0"/>
    <n v="0"/>
    <n v="0"/>
    <n v="0"/>
    <n v="3"/>
    <x v="91"/>
    <x v="0"/>
    <x v="0"/>
    <x v="0"/>
  </r>
  <r>
    <s v="Description 2764"/>
    <s v="Code 2764"/>
    <n v="1"/>
    <n v="0"/>
    <n v="1"/>
    <n v="1"/>
    <n v="0"/>
    <n v="0"/>
    <n v="0"/>
    <n v="0"/>
    <n v="0"/>
    <n v="0"/>
    <n v="1"/>
    <x v="78"/>
    <x v="0"/>
    <x v="0"/>
    <x v="0"/>
  </r>
  <r>
    <s v="Description 2765"/>
    <s v="Code 2765"/>
    <n v="1"/>
    <n v="0"/>
    <n v="0"/>
    <n v="1"/>
    <n v="0"/>
    <n v="0"/>
    <n v="0"/>
    <n v="0"/>
    <n v="0"/>
    <n v="0"/>
    <n v="0"/>
    <x v="108"/>
    <x v="0"/>
    <x v="1"/>
    <x v="0"/>
  </r>
  <r>
    <s v="Description 2766"/>
    <s v="Code 2766"/>
    <n v="1"/>
    <n v="0"/>
    <n v="0"/>
    <n v="1"/>
    <n v="0"/>
    <n v="0"/>
    <n v="0"/>
    <n v="0"/>
    <n v="0"/>
    <n v="0"/>
    <n v="0"/>
    <x v="114"/>
    <x v="0"/>
    <x v="0"/>
    <x v="0"/>
  </r>
  <r>
    <s v="Description 2767"/>
    <s v="Code 2767"/>
    <n v="3"/>
    <n v="0"/>
    <n v="0"/>
    <n v="3"/>
    <n v="0"/>
    <n v="0"/>
    <n v="0"/>
    <n v="0"/>
    <n v="0"/>
    <n v="0"/>
    <n v="1"/>
    <x v="71"/>
    <x v="0"/>
    <x v="0"/>
    <x v="0"/>
  </r>
  <r>
    <s v="Description 2768"/>
    <s v="Code 2768"/>
    <n v="1"/>
    <n v="0"/>
    <n v="0"/>
    <n v="1"/>
    <n v="0"/>
    <n v="0"/>
    <n v="0"/>
    <n v="0"/>
    <n v="0"/>
    <n v="0"/>
    <n v="1"/>
    <x v="160"/>
    <x v="0"/>
    <x v="0"/>
    <x v="0"/>
  </r>
  <r>
    <s v="Description 2769"/>
    <s v="Code 2769"/>
    <n v="1"/>
    <n v="0"/>
    <n v="1"/>
    <n v="1"/>
    <n v="0"/>
    <n v="0"/>
    <n v="0"/>
    <n v="0"/>
    <n v="0"/>
    <n v="0"/>
    <n v="2"/>
    <x v="158"/>
    <x v="0"/>
    <x v="0"/>
    <x v="0"/>
  </r>
  <r>
    <s v="Description 2770"/>
    <s v="Code 2770"/>
    <n v="2"/>
    <n v="0"/>
    <n v="2"/>
    <n v="2"/>
    <n v="0"/>
    <n v="0"/>
    <n v="0"/>
    <n v="0"/>
    <n v="0"/>
    <n v="0"/>
    <n v="1"/>
    <x v="9"/>
    <x v="0"/>
    <x v="0"/>
    <x v="0"/>
  </r>
  <r>
    <s v="Description 2771"/>
    <s v="Code 2771"/>
    <n v="1"/>
    <n v="0"/>
    <n v="1"/>
    <n v="1"/>
    <n v="0"/>
    <n v="0"/>
    <n v="0"/>
    <n v="0"/>
    <n v="0"/>
    <n v="0"/>
    <n v="1"/>
    <x v="91"/>
    <x v="0"/>
    <x v="0"/>
    <x v="0"/>
  </r>
  <r>
    <s v="Description 2772"/>
    <s v="Code 2772"/>
    <n v="1"/>
    <n v="0"/>
    <n v="0"/>
    <n v="1"/>
    <n v="0"/>
    <n v="0"/>
    <n v="0"/>
    <n v="0"/>
    <n v="0"/>
    <n v="0"/>
    <n v="1"/>
    <x v="22"/>
    <x v="0"/>
    <x v="0"/>
    <x v="0"/>
  </r>
  <r>
    <s v="Description 2773"/>
    <s v="Code 2773"/>
    <n v="1"/>
    <n v="0"/>
    <n v="1"/>
    <n v="1"/>
    <n v="0"/>
    <n v="0"/>
    <n v="0"/>
    <n v="0"/>
    <n v="0"/>
    <n v="0"/>
    <n v="1"/>
    <x v="65"/>
    <x v="0"/>
    <x v="0"/>
    <x v="0"/>
  </r>
  <r>
    <s v="Description 2774"/>
    <s v="Code 2774"/>
    <n v="1"/>
    <n v="0"/>
    <n v="0"/>
    <n v="1"/>
    <n v="0"/>
    <n v="0"/>
    <n v="0"/>
    <n v="0"/>
    <n v="0"/>
    <n v="0"/>
    <n v="29"/>
    <x v="121"/>
    <x v="0"/>
    <x v="0"/>
    <x v="0"/>
  </r>
  <r>
    <s v="Description 2775"/>
    <s v="Code 2775"/>
    <n v="24"/>
    <n v="0"/>
    <n v="14"/>
    <n v="17"/>
    <n v="0"/>
    <n v="0"/>
    <n v="0"/>
    <n v="0"/>
    <n v="0"/>
    <n v="0"/>
    <n v="1"/>
    <x v="178"/>
    <x v="0"/>
    <x v="0"/>
    <x v="0"/>
  </r>
  <r>
    <s v="Description 2776"/>
    <s v="Code 2776"/>
    <n v="1"/>
    <n v="0"/>
    <n v="1"/>
    <n v="1"/>
    <n v="0"/>
    <n v="0"/>
    <n v="0"/>
    <n v="0"/>
    <n v="0"/>
    <n v="0"/>
    <n v="2"/>
    <x v="47"/>
    <x v="0"/>
    <x v="0"/>
    <x v="0"/>
  </r>
  <r>
    <s v="Description 2777"/>
    <s v="Code 2777"/>
    <n v="2"/>
    <n v="0"/>
    <n v="2"/>
    <n v="2"/>
    <n v="0"/>
    <n v="0"/>
    <n v="0"/>
    <n v="0"/>
    <n v="0"/>
    <n v="0"/>
    <n v="8"/>
    <x v="67"/>
    <x v="0"/>
    <x v="0"/>
    <x v="0"/>
  </r>
  <r>
    <s v="Description 2778"/>
    <s v="Code 2778"/>
    <n v="4"/>
    <n v="0"/>
    <n v="4"/>
    <n v="4"/>
    <n v="0"/>
    <n v="0"/>
    <n v="0"/>
    <n v="0"/>
    <n v="0"/>
    <n v="0"/>
    <n v="1"/>
    <x v="68"/>
    <x v="0"/>
    <x v="0"/>
    <x v="0"/>
  </r>
  <r>
    <s v="Description 2779"/>
    <s v="Code 2779"/>
    <n v="1"/>
    <n v="0"/>
    <n v="0"/>
    <n v="1"/>
    <n v="0"/>
    <n v="0"/>
    <n v="0"/>
    <n v="0"/>
    <n v="0"/>
    <n v="0"/>
    <n v="0"/>
    <x v="94"/>
    <x v="0"/>
    <x v="0"/>
    <x v="0"/>
  </r>
  <r>
    <s v="Description 2780"/>
    <s v="Code 2780"/>
    <n v="1"/>
    <n v="0"/>
    <n v="0"/>
    <n v="1"/>
    <n v="0"/>
    <n v="0"/>
    <n v="0"/>
    <n v="0"/>
    <n v="0"/>
    <n v="0"/>
    <n v="1"/>
    <x v="193"/>
    <x v="0"/>
    <x v="0"/>
    <x v="0"/>
  </r>
  <r>
    <s v="Description 2781"/>
    <s v="Code 2781"/>
    <n v="0"/>
    <n v="0"/>
    <n v="1"/>
    <n v="0"/>
    <n v="0"/>
    <n v="0"/>
    <n v="0"/>
    <n v="0"/>
    <n v="0"/>
    <n v="0"/>
    <n v="1"/>
    <x v="190"/>
    <x v="0"/>
    <x v="0"/>
    <x v="0"/>
  </r>
  <r>
    <s v="Description 2782"/>
    <s v="Code 2782"/>
    <n v="0"/>
    <n v="0"/>
    <n v="1"/>
    <n v="0"/>
    <n v="0"/>
    <n v="0"/>
    <n v="0"/>
    <n v="0"/>
    <n v="0"/>
    <n v="0"/>
    <n v="1"/>
    <x v="119"/>
    <x v="0"/>
    <x v="1"/>
    <x v="0"/>
  </r>
  <r>
    <s v="Description 2783"/>
    <s v="Code 2783"/>
    <n v="0"/>
    <n v="0"/>
    <n v="1"/>
    <n v="0"/>
    <n v="0"/>
    <n v="0"/>
    <n v="0"/>
    <n v="0"/>
    <n v="0"/>
    <n v="0"/>
    <n v="1"/>
    <x v="68"/>
    <x v="0"/>
    <x v="0"/>
    <x v="0"/>
  </r>
  <r>
    <s v="Description 2784"/>
    <s v="Code 2784"/>
    <n v="0"/>
    <n v="0"/>
    <n v="1"/>
    <n v="0"/>
    <n v="0"/>
    <n v="0"/>
    <n v="0"/>
    <n v="0"/>
    <n v="0"/>
    <n v="0"/>
    <n v="1"/>
    <x v="59"/>
    <x v="0"/>
    <x v="0"/>
    <x v="0"/>
  </r>
  <r>
    <s v="Description 2785"/>
    <s v="Code 2785"/>
    <n v="0"/>
    <n v="0"/>
    <n v="1"/>
    <n v="0"/>
    <n v="0"/>
    <n v="0"/>
    <n v="0"/>
    <n v="0"/>
    <n v="0"/>
    <n v="0"/>
    <n v="1"/>
    <x v="51"/>
    <x v="0"/>
    <x v="0"/>
    <x v="0"/>
  </r>
  <r>
    <s v="Description 2786"/>
    <s v="Code 2786"/>
    <n v="0"/>
    <n v="0"/>
    <n v="1"/>
    <n v="0"/>
    <n v="0"/>
    <n v="0"/>
    <n v="0"/>
    <n v="0"/>
    <n v="0"/>
    <n v="0"/>
    <n v="1"/>
    <x v="158"/>
    <x v="0"/>
    <x v="0"/>
    <x v="0"/>
  </r>
  <r>
    <s v="Description 2787"/>
    <s v="Code 2787"/>
    <n v="0"/>
    <n v="0"/>
    <n v="1"/>
    <n v="0"/>
    <n v="0"/>
    <n v="0"/>
    <n v="0"/>
    <n v="0"/>
    <n v="0"/>
    <n v="0"/>
    <n v="1"/>
    <x v="24"/>
    <x v="0"/>
    <x v="0"/>
    <x v="0"/>
  </r>
  <r>
    <s v="Description 2788"/>
    <s v="Code 2788"/>
    <n v="0"/>
    <n v="0"/>
    <n v="1"/>
    <n v="0"/>
    <n v="0"/>
    <n v="0"/>
    <n v="0"/>
    <n v="0"/>
    <n v="0"/>
    <n v="0"/>
    <n v="1"/>
    <x v="178"/>
    <x v="0"/>
    <x v="0"/>
    <x v="0"/>
  </r>
  <r>
    <s v="Description 2789"/>
    <s v="Code 2789"/>
    <n v="0"/>
    <n v="0"/>
    <n v="1"/>
    <n v="0"/>
    <n v="0"/>
    <n v="0"/>
    <n v="0"/>
    <n v="0"/>
    <n v="0"/>
    <n v="0"/>
    <n v="1"/>
    <x v="34"/>
    <x v="0"/>
    <x v="0"/>
    <x v="0"/>
  </r>
  <r>
    <s v="Description 2790"/>
    <s v="Code 2790"/>
    <n v="0"/>
    <n v="0"/>
    <n v="1"/>
    <n v="0"/>
    <n v="0"/>
    <n v="0"/>
    <n v="0"/>
    <n v="0"/>
    <n v="0"/>
    <n v="0"/>
    <n v="2"/>
    <x v="89"/>
    <x v="0"/>
    <x v="1"/>
    <x v="0"/>
  </r>
  <r>
    <s v="Description 2791"/>
    <s v="Code 2791"/>
    <n v="0"/>
    <n v="0"/>
    <n v="2"/>
    <n v="0"/>
    <n v="0"/>
    <n v="0"/>
    <n v="0"/>
    <n v="0"/>
    <n v="0"/>
    <n v="0"/>
    <n v="1"/>
    <x v="166"/>
    <x v="0"/>
    <x v="0"/>
    <x v="0"/>
  </r>
  <r>
    <s v="Description 2792"/>
    <s v="Code 2792"/>
    <n v="0"/>
    <n v="0"/>
    <n v="1"/>
    <n v="0"/>
    <n v="0"/>
    <n v="0"/>
    <n v="0"/>
    <n v="0"/>
    <n v="0"/>
    <n v="0"/>
    <n v="1"/>
    <x v="75"/>
    <x v="0"/>
    <x v="0"/>
    <x v="0"/>
  </r>
  <r>
    <s v="Description 2793"/>
    <s v="Code 2793"/>
    <n v="0"/>
    <n v="0"/>
    <n v="1"/>
    <n v="0"/>
    <n v="0"/>
    <n v="0"/>
    <n v="0"/>
    <n v="0"/>
    <n v="0"/>
    <n v="0"/>
    <n v="2"/>
    <x v="127"/>
    <x v="0"/>
    <x v="0"/>
    <x v="0"/>
  </r>
  <r>
    <s v="Description 2794"/>
    <s v="Code 2794"/>
    <n v="0"/>
    <n v="0"/>
    <n v="2"/>
    <n v="0"/>
    <n v="0"/>
    <n v="0"/>
    <n v="0"/>
    <n v="0"/>
    <n v="0"/>
    <n v="0"/>
    <n v="1"/>
    <x v="13"/>
    <x v="0"/>
    <x v="1"/>
    <x v="0"/>
  </r>
  <r>
    <s v="Description 2795"/>
    <s v="Code 2795"/>
    <n v="0"/>
    <n v="0"/>
    <n v="1"/>
    <n v="0"/>
    <n v="0"/>
    <n v="0"/>
    <n v="0"/>
    <n v="0"/>
    <n v="0"/>
    <n v="0"/>
    <n v="1"/>
    <x v="30"/>
    <x v="0"/>
    <x v="0"/>
    <x v="0"/>
  </r>
  <r>
    <s v="Description 2796"/>
    <s v="Code 2796"/>
    <n v="0"/>
    <n v="0"/>
    <n v="1"/>
    <n v="0"/>
    <n v="0"/>
    <n v="0"/>
    <n v="0"/>
    <n v="0"/>
    <n v="0"/>
    <n v="0"/>
    <n v="1"/>
    <x v="54"/>
    <x v="0"/>
    <x v="0"/>
    <x v="0"/>
  </r>
  <r>
    <s v="Description 2797"/>
    <s v="Code 2797"/>
    <n v="0"/>
    <n v="0"/>
    <n v="1"/>
    <n v="0"/>
    <n v="0"/>
    <n v="0"/>
    <n v="0"/>
    <n v="0"/>
    <n v="0"/>
    <n v="0"/>
    <n v="1"/>
    <x v="25"/>
    <x v="0"/>
    <x v="1"/>
    <x v="0"/>
  </r>
  <r>
    <s v="Description 2798"/>
    <s v="Code 2798"/>
    <n v="0"/>
    <n v="0"/>
    <n v="1"/>
    <n v="0"/>
    <n v="0"/>
    <n v="0"/>
    <n v="0"/>
    <n v="0"/>
    <n v="0"/>
    <n v="0"/>
    <n v="2"/>
    <x v="30"/>
    <x v="0"/>
    <x v="0"/>
    <x v="0"/>
  </r>
  <r>
    <s v="Description 2799"/>
    <s v="Code 2799"/>
    <n v="2"/>
    <n v="0"/>
    <n v="1"/>
    <n v="1"/>
    <n v="0"/>
    <n v="0"/>
    <n v="0"/>
    <n v="0"/>
    <n v="0"/>
    <n v="0"/>
    <n v="150"/>
    <x v="152"/>
    <x v="0"/>
    <x v="0"/>
    <x v="0"/>
  </r>
  <r>
    <s v="Description 2800"/>
    <s v="Code 2800"/>
    <n v="56"/>
    <n v="0"/>
    <n v="33"/>
    <n v="40"/>
    <n v="0"/>
    <n v="0"/>
    <n v="0"/>
    <n v="0"/>
    <n v="0"/>
    <n v="0"/>
    <n v="7"/>
    <x v="138"/>
    <x v="0"/>
    <x v="0"/>
    <x v="0"/>
  </r>
  <r>
    <s v="Description 2801"/>
    <s v="Code 2801"/>
    <n v="6"/>
    <n v="0"/>
    <n v="6"/>
    <n v="6"/>
    <n v="0"/>
    <n v="0"/>
    <n v="0"/>
    <n v="0"/>
    <n v="0"/>
    <n v="0"/>
    <n v="7"/>
    <x v="89"/>
    <x v="0"/>
    <x v="1"/>
    <x v="0"/>
  </r>
  <r>
    <s v="Description 2802"/>
    <s v="Code 2802"/>
    <n v="3"/>
    <n v="0"/>
    <n v="3"/>
    <n v="3"/>
    <n v="0"/>
    <n v="0"/>
    <n v="0"/>
    <n v="0"/>
    <n v="0"/>
    <n v="0"/>
    <n v="4"/>
    <x v="116"/>
    <x v="0"/>
    <x v="0"/>
    <x v="0"/>
  </r>
  <r>
    <s v="Description 2803"/>
    <s v="Code 2803"/>
    <n v="2"/>
    <n v="0"/>
    <n v="2"/>
    <n v="2"/>
    <n v="0"/>
    <n v="0"/>
    <n v="0"/>
    <n v="0"/>
    <n v="0"/>
    <n v="0"/>
    <n v="50"/>
    <x v="46"/>
    <x v="0"/>
    <x v="0"/>
    <x v="0"/>
  </r>
  <r>
    <s v="Description 2804"/>
    <s v="Code 2804"/>
    <n v="0"/>
    <n v="0"/>
    <n v="3"/>
    <n v="0"/>
    <n v="0"/>
    <n v="0"/>
    <n v="0"/>
    <n v="0"/>
    <n v="0"/>
    <n v="0"/>
    <n v="85"/>
    <x v="148"/>
    <x v="0"/>
    <x v="0"/>
    <x v="0"/>
  </r>
  <r>
    <s v="Description 2805"/>
    <s v="Code 2805"/>
    <n v="34"/>
    <n v="0"/>
    <n v="30"/>
    <n v="22"/>
    <n v="0"/>
    <n v="0"/>
    <n v="0"/>
    <n v="0"/>
    <n v="0"/>
    <n v="0"/>
    <n v="95"/>
    <x v="125"/>
    <x v="0"/>
    <x v="0"/>
    <x v="0"/>
  </r>
  <r>
    <s v="Description 2806"/>
    <s v="Code 2806"/>
    <n v="2.5"/>
    <n v="0"/>
    <n v="1.5"/>
    <n v="2.5"/>
    <n v="0"/>
    <n v="0"/>
    <n v="0"/>
    <n v="0"/>
    <n v="0"/>
    <n v="0"/>
    <n v="3"/>
    <x v="66"/>
    <x v="0"/>
    <x v="0"/>
    <x v="0"/>
  </r>
  <r>
    <s v="Description 2807"/>
    <s v="Code 2807"/>
    <n v="2"/>
    <n v="0"/>
    <n v="2"/>
    <n v="2"/>
    <n v="0"/>
    <n v="0"/>
    <n v="0"/>
    <n v="0"/>
    <n v="0"/>
    <n v="0"/>
    <n v="45"/>
    <x v="156"/>
    <x v="0"/>
    <x v="0"/>
    <x v="0"/>
  </r>
  <r>
    <s v="Description 2808"/>
    <s v="Code 2808"/>
    <n v="6"/>
    <n v="0"/>
    <n v="6"/>
    <n v="6"/>
    <n v="0"/>
    <n v="0"/>
    <n v="0"/>
    <n v="0"/>
    <n v="0"/>
    <n v="0"/>
    <n v="0"/>
    <x v="160"/>
    <x v="0"/>
    <x v="0"/>
    <x v="0"/>
  </r>
  <r>
    <s v="Description 2809"/>
    <s v="Code 2809"/>
    <n v="1"/>
    <n v="0"/>
    <n v="0"/>
    <n v="1"/>
    <n v="0"/>
    <n v="0"/>
    <n v="0"/>
    <n v="0"/>
    <n v="0"/>
    <n v="0"/>
    <n v="25"/>
    <x v="183"/>
    <x v="0"/>
    <x v="0"/>
    <x v="0"/>
  </r>
  <r>
    <s v="Description 2810"/>
    <s v="Code 2810"/>
    <n v="2"/>
    <n v="0"/>
    <n v="3"/>
    <n v="2"/>
    <n v="0"/>
    <n v="0"/>
    <n v="0"/>
    <n v="0"/>
    <n v="0"/>
    <n v="0"/>
    <n v="68"/>
    <x v="76"/>
    <x v="0"/>
    <x v="1"/>
    <x v="0"/>
  </r>
  <r>
    <s v="Description 2811"/>
    <s v="Code 2811"/>
    <n v="8"/>
    <n v="0"/>
    <n v="8"/>
    <n v="8"/>
    <n v="0"/>
    <n v="0"/>
    <n v="0"/>
    <n v="0"/>
    <n v="0"/>
    <n v="0"/>
    <n v="0"/>
    <x v="182"/>
    <x v="0"/>
    <x v="0"/>
    <x v="0"/>
  </r>
  <r>
    <s v="Description 2812"/>
    <s v="Code 2812"/>
    <n v="33"/>
    <n v="0"/>
    <n v="22"/>
    <n v="24"/>
    <n v="0"/>
    <n v="0"/>
    <n v="0"/>
    <n v="0"/>
    <n v="0"/>
    <n v="0"/>
    <n v="16"/>
    <x v="80"/>
    <x v="0"/>
    <x v="0"/>
    <x v="0"/>
  </r>
  <r>
    <s v="Description 2813"/>
    <s v="Code 2813"/>
    <n v="12"/>
    <n v="0"/>
    <n v="8"/>
    <n v="8"/>
    <n v="0"/>
    <n v="0"/>
    <n v="0"/>
    <n v="0"/>
    <n v="0"/>
    <n v="0"/>
    <n v="450"/>
    <x v="184"/>
    <x v="0"/>
    <x v="0"/>
    <x v="0"/>
  </r>
  <r>
    <s v="Description 2814"/>
    <s v="Code 2814"/>
    <n v="50"/>
    <n v="0"/>
    <n v="34"/>
    <n v="38"/>
    <n v="0"/>
    <n v="0"/>
    <n v="0"/>
    <n v="0"/>
    <n v="0"/>
    <n v="0"/>
    <n v="7"/>
    <x v="119"/>
    <x v="0"/>
    <x v="1"/>
    <x v="0"/>
  </r>
  <r>
    <s v="Description 2815"/>
    <s v="Code 2815"/>
    <n v="3"/>
    <n v="0"/>
    <n v="0"/>
    <n v="3"/>
    <n v="0"/>
    <n v="0"/>
    <n v="0"/>
    <n v="0"/>
    <n v="0"/>
    <n v="0"/>
    <n v="0"/>
    <x v="59"/>
    <x v="0"/>
    <x v="0"/>
    <x v="0"/>
  </r>
  <r>
    <s v="Description 2816"/>
    <s v="Code 2816"/>
    <n v="8"/>
    <n v="0"/>
    <n v="4"/>
    <n v="8"/>
    <n v="0"/>
    <n v="0"/>
    <n v="0"/>
    <n v="0"/>
    <n v="0"/>
    <n v="0"/>
    <n v="120"/>
    <x v="91"/>
    <x v="0"/>
    <x v="0"/>
    <x v="0"/>
  </r>
  <r>
    <s v="Description 2817"/>
    <s v="Code 2817"/>
    <n v="59"/>
    <n v="0"/>
    <n v="37"/>
    <n v="43"/>
    <n v="0"/>
    <n v="0"/>
    <n v="0"/>
    <n v="0"/>
    <n v="0"/>
    <n v="0"/>
    <n v="14"/>
    <x v="12"/>
    <x v="0"/>
    <x v="0"/>
    <x v="0"/>
  </r>
  <r>
    <s v="Description 2818"/>
    <s v="Code 2818"/>
    <n v="1"/>
    <n v="0"/>
    <n v="0"/>
    <n v="1"/>
    <n v="0"/>
    <n v="0"/>
    <n v="0"/>
    <n v="0"/>
    <n v="0"/>
    <n v="0"/>
    <n v="68"/>
    <x v="14"/>
    <x v="0"/>
    <x v="0"/>
    <x v="0"/>
  </r>
  <r>
    <s v="Description 2819"/>
    <s v="Code 2819"/>
    <n v="8"/>
    <n v="0"/>
    <n v="8"/>
    <n v="8"/>
    <n v="0"/>
    <n v="0"/>
    <n v="0"/>
    <n v="0"/>
    <n v="0"/>
    <n v="0"/>
    <n v="200"/>
    <x v="16"/>
    <x v="0"/>
    <x v="0"/>
    <x v="0"/>
  </r>
  <r>
    <s v="Description 2820"/>
    <s v="Code 2820"/>
    <n v="124"/>
    <n v="124"/>
    <n v="124"/>
    <n v="124"/>
    <n v="124"/>
    <n v="124"/>
    <n v="124"/>
    <n v="124"/>
    <n v="124"/>
    <n v="0"/>
    <n v="0"/>
    <x v="165"/>
    <x v="0"/>
    <x v="0"/>
    <x v="0"/>
  </r>
  <r>
    <s v="Description 2821"/>
    <s v="Code 2821"/>
    <n v="0"/>
    <n v="0"/>
    <n v="0"/>
    <n v="0"/>
    <n v="0"/>
    <n v="0"/>
    <n v="0"/>
    <n v="0"/>
    <n v="0"/>
    <n v="0"/>
    <n v="0"/>
    <x v="103"/>
    <x v="0"/>
    <x v="0"/>
    <x v="0"/>
  </r>
  <r>
    <s v="Description 2822"/>
    <s v="Code 2822"/>
    <n v="0"/>
    <n v="0"/>
    <n v="0"/>
    <n v="0"/>
    <n v="0"/>
    <n v="0"/>
    <n v="0"/>
    <n v="0"/>
    <n v="0"/>
    <n v="0"/>
    <n v="0"/>
    <x v="176"/>
    <x v="0"/>
    <x v="0"/>
    <x v="0"/>
  </r>
  <r>
    <s v="Description 2823"/>
    <s v="Code 2823"/>
    <n v="0"/>
    <n v="0"/>
    <n v="0"/>
    <n v="0"/>
    <n v="0"/>
    <n v="0"/>
    <n v="0"/>
    <n v="0"/>
    <n v="0"/>
    <n v="0"/>
    <n v="0"/>
    <x v="164"/>
    <x v="0"/>
    <x v="0"/>
    <x v="0"/>
  </r>
  <r>
    <s v="Description 2824"/>
    <s v="Code 2824"/>
    <n v="0"/>
    <n v="0"/>
    <n v="0"/>
    <n v="0"/>
    <n v="0"/>
    <n v="0"/>
    <n v="0"/>
    <n v="0"/>
    <n v="0"/>
    <n v="0"/>
    <n v="10"/>
    <x v="11"/>
    <x v="0"/>
    <x v="0"/>
    <x v="0"/>
  </r>
  <r>
    <s v="Description 2825"/>
    <s v="Code 2825"/>
    <n v="0"/>
    <n v="0"/>
    <n v="0"/>
    <n v="0"/>
    <n v="0"/>
    <n v="0"/>
    <n v="0"/>
    <n v="0"/>
    <n v="0"/>
    <n v="0"/>
    <n v="0"/>
    <x v="80"/>
    <x v="0"/>
    <x v="0"/>
    <x v="0"/>
  </r>
  <r>
    <s v="Description 2826"/>
    <s v="Code 2826"/>
    <n v="0"/>
    <n v="0"/>
    <n v="0"/>
    <n v="0"/>
    <n v="0"/>
    <n v="0"/>
    <n v="0"/>
    <n v="0"/>
    <n v="0"/>
    <n v="0"/>
    <n v="0"/>
    <x v="57"/>
    <x v="0"/>
    <x v="0"/>
    <x v="0"/>
  </r>
  <r>
    <s v="Description 2827"/>
    <s v="Code 2827"/>
    <n v="0"/>
    <n v="0"/>
    <n v="0"/>
    <n v="0"/>
    <n v="0"/>
    <n v="0"/>
    <n v="0"/>
    <n v="0"/>
    <n v="0"/>
    <n v="0"/>
    <n v="0"/>
    <x v="119"/>
    <x v="0"/>
    <x v="1"/>
    <x v="0"/>
  </r>
  <r>
    <s v="Description 2828"/>
    <s v="Code 2828"/>
    <n v="0"/>
    <n v="0"/>
    <n v="0"/>
    <n v="0"/>
    <n v="0"/>
    <n v="0"/>
    <n v="0"/>
    <n v="0"/>
    <n v="0"/>
    <n v="0"/>
    <n v="0"/>
    <x v="165"/>
    <x v="0"/>
    <x v="0"/>
    <x v="0"/>
  </r>
  <r>
    <s v="Description 2829"/>
    <s v="Code 2829"/>
    <n v="0"/>
    <n v="0"/>
    <n v="0"/>
    <n v="0"/>
    <n v="0"/>
    <n v="0"/>
    <n v="0"/>
    <n v="0"/>
    <n v="0"/>
    <n v="0"/>
    <n v="0"/>
    <x v="194"/>
    <x v="0"/>
    <x v="0"/>
    <x v="0"/>
  </r>
  <r>
    <s v="Description 2830"/>
    <s v="Code 2830"/>
    <n v="0"/>
    <n v="0"/>
    <n v="0"/>
    <n v="0"/>
    <n v="0"/>
    <n v="0"/>
    <n v="0"/>
    <n v="0"/>
    <n v="0"/>
    <n v="0"/>
    <n v="0"/>
    <x v="194"/>
    <x v="0"/>
    <x v="0"/>
    <x v="0"/>
  </r>
  <r>
    <s v="Description 2831"/>
    <s v="Code 2831"/>
    <n v="0"/>
    <n v="0"/>
    <n v="0"/>
    <n v="0"/>
    <n v="0"/>
    <n v="0"/>
    <n v="0"/>
    <n v="0"/>
    <n v="0"/>
    <n v="0"/>
    <n v="0"/>
    <x v="75"/>
    <x v="0"/>
    <x v="0"/>
    <x v="0"/>
  </r>
  <r>
    <s v="Description 2832"/>
    <s v="Code 2832"/>
    <n v="0"/>
    <n v="0"/>
    <n v="0"/>
    <n v="0"/>
    <n v="0"/>
    <n v="0"/>
    <n v="0"/>
    <n v="0"/>
    <n v="0"/>
    <n v="0"/>
    <n v="0"/>
    <x v="179"/>
    <x v="0"/>
    <x v="0"/>
    <x v="0"/>
  </r>
  <r>
    <s v="Description 2833"/>
    <s v="Code 2833"/>
    <n v="0"/>
    <n v="0"/>
    <n v="0"/>
    <n v="0"/>
    <n v="0"/>
    <n v="0"/>
    <n v="0"/>
    <n v="0"/>
    <n v="0"/>
    <n v="0"/>
    <n v="35"/>
    <x v="53"/>
    <x v="0"/>
    <x v="0"/>
    <x v="0"/>
  </r>
  <r>
    <s v="Description 2834"/>
    <s v="Code 2834"/>
    <n v="0"/>
    <n v="0"/>
    <n v="0"/>
    <n v="0"/>
    <n v="0"/>
    <n v="0"/>
    <n v="0"/>
    <n v="0"/>
    <n v="0"/>
    <n v="0"/>
    <n v="0"/>
    <x v="58"/>
    <x v="0"/>
    <x v="0"/>
    <x v="0"/>
  </r>
  <r>
    <s v="Description 2835"/>
    <s v="Code 2835"/>
    <n v="0"/>
    <n v="0"/>
    <n v="0"/>
    <n v="0"/>
    <n v="0"/>
    <n v="0"/>
    <n v="0"/>
    <n v="0"/>
    <n v="0"/>
    <n v="0"/>
    <n v="0"/>
    <x v="5"/>
    <x v="0"/>
    <x v="0"/>
    <x v="0"/>
  </r>
  <r>
    <s v="Description 2836"/>
    <s v="Code 2836"/>
    <n v="0"/>
    <n v="0"/>
    <n v="0"/>
    <n v="0"/>
    <n v="0"/>
    <n v="0"/>
    <n v="0"/>
    <n v="0"/>
    <n v="0"/>
    <n v="0"/>
    <n v="0"/>
    <x v="118"/>
    <x v="0"/>
    <x v="0"/>
    <x v="0"/>
  </r>
  <r>
    <s v="Description 2837"/>
    <s v="Code 2837"/>
    <n v="0"/>
    <n v="0"/>
    <n v="0"/>
    <n v="0"/>
    <n v="0"/>
    <n v="0"/>
    <n v="0"/>
    <n v="0"/>
    <n v="0"/>
    <n v="0"/>
    <n v="0"/>
    <x v="92"/>
    <x v="0"/>
    <x v="0"/>
    <x v="0"/>
  </r>
  <r>
    <s v="Description 2838"/>
    <s v="Code 2838"/>
    <n v="0"/>
    <n v="0"/>
    <n v="0"/>
    <n v="0"/>
    <n v="0"/>
    <n v="0"/>
    <n v="0"/>
    <n v="0"/>
    <n v="0"/>
    <n v="0"/>
    <n v="0"/>
    <x v="33"/>
    <x v="0"/>
    <x v="0"/>
    <x v="0"/>
  </r>
  <r>
    <s v="Description 2839"/>
    <s v="Code 2839"/>
    <n v="0"/>
    <n v="0"/>
    <n v="0"/>
    <n v="0"/>
    <n v="0"/>
    <n v="0"/>
    <n v="0"/>
    <n v="0"/>
    <n v="0"/>
    <n v="0"/>
    <n v="0"/>
    <x v="172"/>
    <x v="0"/>
    <x v="0"/>
    <x v="0"/>
  </r>
  <r>
    <s v="Description 2840"/>
    <s v="Code 2840"/>
    <n v="0"/>
    <n v="0"/>
    <n v="0"/>
    <n v="0"/>
    <n v="0"/>
    <n v="0"/>
    <n v="0"/>
    <n v="0"/>
    <n v="0"/>
    <n v="0"/>
    <n v="0"/>
    <x v="153"/>
    <x v="0"/>
    <x v="0"/>
    <x v="0"/>
  </r>
  <r>
    <s v="Description 2841"/>
    <s v="Code 2841"/>
    <n v="0"/>
    <n v="0"/>
    <n v="0"/>
    <n v="0"/>
    <n v="0"/>
    <n v="0"/>
    <n v="0"/>
    <n v="0"/>
    <n v="0"/>
    <n v="0"/>
    <n v="0"/>
    <x v="187"/>
    <x v="0"/>
    <x v="1"/>
    <x v="0"/>
  </r>
  <r>
    <s v="Description 2842"/>
    <s v="Code 2842"/>
    <n v="0"/>
    <n v="0"/>
    <n v="0"/>
    <n v="0"/>
    <n v="0"/>
    <n v="0"/>
    <n v="0"/>
    <n v="0"/>
    <n v="0"/>
    <n v="0"/>
    <n v="0"/>
    <x v="97"/>
    <x v="0"/>
    <x v="0"/>
    <x v="0"/>
  </r>
  <r>
    <s v="Description 2843"/>
    <s v="Code 2843"/>
    <n v="0"/>
    <n v="0"/>
    <n v="0"/>
    <n v="0"/>
    <n v="0"/>
    <n v="0"/>
    <n v="0"/>
    <n v="0"/>
    <n v="0"/>
    <n v="0"/>
    <n v="0"/>
    <x v="31"/>
    <x v="0"/>
    <x v="0"/>
    <x v="0"/>
  </r>
  <r>
    <s v="Description 2844"/>
    <s v="Code 2844"/>
    <n v="0"/>
    <n v="0"/>
    <n v="0"/>
    <n v="0"/>
    <n v="0"/>
    <n v="0"/>
    <n v="0"/>
    <n v="0"/>
    <n v="0"/>
    <n v="0"/>
    <n v="0"/>
    <x v="65"/>
    <x v="0"/>
    <x v="0"/>
    <x v="0"/>
  </r>
  <r>
    <s v="Description 2845"/>
    <s v="Code 2845"/>
    <n v="0"/>
    <n v="0"/>
    <n v="0"/>
    <n v="0"/>
    <n v="0"/>
    <n v="0"/>
    <n v="0"/>
    <n v="0"/>
    <n v="0"/>
    <n v="0"/>
    <n v="0"/>
    <x v="42"/>
    <x v="0"/>
    <x v="1"/>
    <x v="0"/>
  </r>
  <r>
    <s v="Description 2846"/>
    <s v="Code 2846"/>
    <n v="0"/>
    <n v="0"/>
    <n v="0"/>
    <n v="0"/>
    <n v="0"/>
    <n v="0"/>
    <n v="0"/>
    <n v="0"/>
    <n v="0"/>
    <n v="0"/>
    <n v="0"/>
    <x v="141"/>
    <x v="0"/>
    <x v="0"/>
    <x v="0"/>
  </r>
  <r>
    <s v="Description 2847"/>
    <s v="Code 2847"/>
    <n v="0"/>
    <n v="0"/>
    <n v="0"/>
    <n v="0"/>
    <n v="0"/>
    <n v="0"/>
    <n v="0"/>
    <n v="0"/>
    <n v="0"/>
    <n v="0"/>
    <n v="0"/>
    <x v="169"/>
    <x v="0"/>
    <x v="0"/>
    <x v="0"/>
  </r>
  <r>
    <s v="Description 2848"/>
    <s v="Code 2848"/>
    <n v="0"/>
    <n v="0"/>
    <n v="0"/>
    <n v="0"/>
    <n v="0"/>
    <n v="0"/>
    <n v="0"/>
    <n v="0"/>
    <n v="0"/>
    <n v="0"/>
    <n v="0"/>
    <x v="74"/>
    <x v="0"/>
    <x v="0"/>
    <x v="0"/>
  </r>
  <r>
    <s v="Description 2849"/>
    <s v="Code 2849"/>
    <n v="0"/>
    <n v="0"/>
    <n v="0"/>
    <n v="0"/>
    <n v="0"/>
    <n v="0"/>
    <n v="0"/>
    <n v="0"/>
    <n v="0"/>
    <n v="0"/>
    <n v="0"/>
    <x v="102"/>
    <x v="0"/>
    <x v="0"/>
    <x v="0"/>
  </r>
  <r>
    <s v="Description 2850"/>
    <s v="Code 2850"/>
    <n v="0"/>
    <n v="0"/>
    <n v="0"/>
    <n v="0"/>
    <n v="0"/>
    <n v="0"/>
    <n v="0"/>
    <n v="0"/>
    <n v="0"/>
    <n v="0"/>
    <n v="0"/>
    <x v="75"/>
    <x v="0"/>
    <x v="0"/>
    <x v="0"/>
  </r>
  <r>
    <s v="Description 2851"/>
    <s v="Code 2851"/>
    <n v="0"/>
    <n v="0"/>
    <n v="0"/>
    <n v="0"/>
    <n v="0"/>
    <n v="0"/>
    <n v="0"/>
    <n v="0"/>
    <n v="0"/>
    <n v="0"/>
    <n v="0"/>
    <x v="118"/>
    <x v="0"/>
    <x v="0"/>
    <x v="0"/>
  </r>
  <r>
    <s v="Description 2852"/>
    <s v="Code 2852"/>
    <n v="0"/>
    <n v="0"/>
    <n v="0"/>
    <n v="0"/>
    <n v="0"/>
    <n v="0"/>
    <n v="0"/>
    <n v="0"/>
    <n v="0"/>
    <n v="0"/>
    <n v="0"/>
    <x v="190"/>
    <x v="0"/>
    <x v="0"/>
    <x v="0"/>
  </r>
  <r>
    <s v="Description 2853"/>
    <s v="Code 2853"/>
    <n v="0"/>
    <n v="0"/>
    <n v="0"/>
    <n v="0"/>
    <n v="0"/>
    <n v="0"/>
    <n v="0"/>
    <n v="0"/>
    <n v="0"/>
    <n v="0"/>
    <n v="0"/>
    <x v="110"/>
    <x v="0"/>
    <x v="0"/>
    <x v="0"/>
  </r>
  <r>
    <s v="Description 2854"/>
    <s v="Code 2854"/>
    <n v="0"/>
    <n v="0"/>
    <n v="0"/>
    <n v="0"/>
    <n v="0"/>
    <n v="0"/>
    <n v="0"/>
    <n v="0"/>
    <n v="0"/>
    <n v="0"/>
    <n v="0"/>
    <x v="90"/>
    <x v="0"/>
    <x v="0"/>
    <x v="0"/>
  </r>
  <r>
    <s v="Description 2855"/>
    <s v="Code 2855"/>
    <n v="0"/>
    <n v="0"/>
    <n v="0"/>
    <n v="0"/>
    <n v="0"/>
    <n v="0"/>
    <n v="0"/>
    <n v="0"/>
    <n v="0"/>
    <n v="0"/>
    <n v="0"/>
    <x v="197"/>
    <x v="0"/>
    <x v="0"/>
    <x v="0"/>
  </r>
  <r>
    <s v="Description 2856"/>
    <s v="Code 2856"/>
    <n v="0"/>
    <n v="0"/>
    <n v="0"/>
    <n v="0"/>
    <n v="0"/>
    <n v="0"/>
    <n v="0"/>
    <n v="0"/>
    <n v="0"/>
    <n v="0"/>
    <n v="0"/>
    <x v="107"/>
    <x v="0"/>
    <x v="0"/>
    <x v="0"/>
  </r>
  <r>
    <s v="Description 2857"/>
    <s v="Code 2857"/>
    <n v="0"/>
    <n v="0"/>
    <n v="0"/>
    <n v="0"/>
    <n v="0"/>
    <n v="0"/>
    <n v="0"/>
    <n v="0"/>
    <n v="0"/>
    <n v="0"/>
    <n v="0"/>
    <x v="95"/>
    <x v="0"/>
    <x v="0"/>
    <x v="0"/>
  </r>
  <r>
    <s v="Description 2858"/>
    <s v="Code 2858"/>
    <n v="0"/>
    <n v="0"/>
    <n v="0"/>
    <n v="0"/>
    <n v="0"/>
    <n v="0"/>
    <n v="0"/>
    <n v="0"/>
    <n v="0"/>
    <n v="0"/>
    <n v="0"/>
    <x v="77"/>
    <x v="0"/>
    <x v="0"/>
    <x v="0"/>
  </r>
  <r>
    <s v="Description 2859"/>
    <s v="Code 2859"/>
    <n v="0"/>
    <n v="0"/>
    <n v="0"/>
    <n v="0"/>
    <n v="0"/>
    <n v="0"/>
    <n v="0"/>
    <n v="0"/>
    <n v="0"/>
    <n v="0"/>
    <n v="0"/>
    <x v="186"/>
    <x v="0"/>
    <x v="0"/>
    <x v="0"/>
  </r>
  <r>
    <s v="Description 2860"/>
    <s v="Code 2860"/>
    <n v="0"/>
    <n v="0"/>
    <n v="0"/>
    <n v="0"/>
    <n v="0"/>
    <n v="0"/>
    <n v="0"/>
    <n v="0"/>
    <n v="0"/>
    <n v="0"/>
    <n v="0"/>
    <x v="34"/>
    <x v="0"/>
    <x v="0"/>
    <x v="0"/>
  </r>
  <r>
    <s v="Description 2861"/>
    <s v="Code 2861"/>
    <n v="0"/>
    <n v="0"/>
    <n v="0"/>
    <n v="0"/>
    <n v="0"/>
    <n v="0"/>
    <n v="0"/>
    <n v="0"/>
    <n v="0"/>
    <n v="0"/>
    <n v="100"/>
    <x v="99"/>
    <x v="0"/>
    <x v="0"/>
    <x v="0"/>
  </r>
  <r>
    <s v="Description 2862"/>
    <s v="Code 2862"/>
    <n v="2"/>
    <n v="0"/>
    <n v="0"/>
    <n v="0"/>
    <n v="0"/>
    <n v="0"/>
    <n v="0"/>
    <n v="0"/>
    <n v="0"/>
    <n v="0"/>
    <n v="12"/>
    <x v="57"/>
    <x v="0"/>
    <x v="0"/>
    <x v="0"/>
  </r>
  <r>
    <s v="Description 2863"/>
    <s v="Code 2863"/>
    <n v="1"/>
    <n v="0"/>
    <n v="0"/>
    <n v="0"/>
    <n v="0"/>
    <n v="0"/>
    <n v="0"/>
    <n v="0"/>
    <n v="0"/>
    <n v="0"/>
    <n v="100"/>
    <x v="24"/>
    <x v="0"/>
    <x v="0"/>
    <x v="0"/>
  </r>
  <r>
    <s v="Description 2864"/>
    <s v="Code 2864"/>
    <n v="1"/>
    <n v="0"/>
    <n v="0"/>
    <n v="0"/>
    <n v="0"/>
    <n v="0"/>
    <n v="0"/>
    <n v="0"/>
    <n v="0"/>
    <n v="0"/>
    <n v="55"/>
    <x v="53"/>
    <x v="0"/>
    <x v="0"/>
    <x v="0"/>
  </r>
  <r>
    <s v="Description 2865"/>
    <s v="Code 2865"/>
    <n v="1"/>
    <n v="0"/>
    <n v="0"/>
    <n v="0"/>
    <n v="0"/>
    <n v="0"/>
    <n v="0"/>
    <n v="0"/>
    <n v="0"/>
    <n v="0"/>
    <n v="0"/>
    <x v="82"/>
    <x v="0"/>
    <x v="0"/>
    <x v="0"/>
  </r>
  <r>
    <s v="Description 2866"/>
    <s v="Code 2866"/>
    <n v="1"/>
    <n v="0"/>
    <n v="0"/>
    <n v="0"/>
    <n v="0"/>
    <n v="0"/>
    <n v="0"/>
    <n v="0"/>
    <n v="0"/>
    <n v="0"/>
    <n v="0"/>
    <x v="128"/>
    <x v="0"/>
    <x v="0"/>
    <x v="0"/>
  </r>
  <r>
    <s v="Description 2867"/>
    <s v="Code 2867"/>
    <n v="1"/>
    <n v="0"/>
    <n v="0"/>
    <n v="0"/>
    <n v="0"/>
    <n v="0"/>
    <n v="0"/>
    <n v="0"/>
    <n v="0"/>
    <n v="0"/>
    <n v="132"/>
    <x v="33"/>
    <x v="0"/>
    <x v="0"/>
    <x v="0"/>
  </r>
  <r>
    <s v="Description 2868"/>
    <s v="Code 2868"/>
    <n v="2.4"/>
    <n v="0"/>
    <n v="0"/>
    <n v="0"/>
    <n v="0"/>
    <n v="0"/>
    <n v="0"/>
    <n v="0"/>
    <n v="0"/>
    <n v="0"/>
    <n v="0"/>
    <x v="2"/>
    <x v="0"/>
    <x v="0"/>
    <x v="0"/>
  </r>
  <r>
    <s v="Description 2869"/>
    <s v="Code 2869"/>
    <n v="3.2"/>
    <n v="0"/>
    <n v="0"/>
    <n v="0"/>
    <n v="0"/>
    <n v="0"/>
    <n v="0"/>
    <n v="0"/>
    <n v="0"/>
    <n v="0"/>
    <n v="0"/>
    <x v="143"/>
    <x v="0"/>
    <x v="0"/>
    <x v="0"/>
  </r>
  <r>
    <s v="Description 2870"/>
    <s v="Code 2870"/>
    <n v="4"/>
    <n v="0"/>
    <n v="0"/>
    <n v="0"/>
    <n v="0"/>
    <n v="0"/>
    <n v="0"/>
    <n v="0"/>
    <n v="0"/>
    <n v="0"/>
    <n v="200"/>
    <x v="169"/>
    <x v="0"/>
    <x v="0"/>
    <x v="0"/>
  </r>
  <r>
    <s v="Description 2871"/>
    <s v="Code 2871"/>
    <n v="2"/>
    <n v="0"/>
    <n v="0"/>
    <n v="0"/>
    <n v="0"/>
    <n v="0"/>
    <n v="0"/>
    <n v="0"/>
    <n v="0"/>
    <n v="0"/>
    <n v="10"/>
    <x v="178"/>
    <x v="0"/>
    <x v="0"/>
    <x v="0"/>
  </r>
  <r>
    <s v="Description 2872"/>
    <s v="Code 2872"/>
    <n v="0"/>
    <n v="0"/>
    <n v="0"/>
    <n v="0"/>
    <n v="0"/>
    <n v="0"/>
    <n v="0"/>
    <n v="0"/>
    <n v="0"/>
    <n v="0"/>
    <n v="5"/>
    <x v="43"/>
    <x v="0"/>
    <x v="0"/>
    <x v="0"/>
  </r>
  <r>
    <s v="Description 2873"/>
    <s v="Code 2873"/>
    <n v="0"/>
    <n v="0"/>
    <n v="0"/>
    <n v="0"/>
    <n v="0"/>
    <n v="0"/>
    <n v="0"/>
    <n v="0"/>
    <n v="0"/>
    <n v="0"/>
    <n v="5"/>
    <x v="159"/>
    <x v="0"/>
    <x v="0"/>
    <x v="0"/>
  </r>
  <r>
    <s v="Description 2874"/>
    <s v="Code 2874"/>
    <n v="0"/>
    <n v="0"/>
    <n v="0"/>
    <n v="0"/>
    <n v="0"/>
    <n v="0"/>
    <n v="0"/>
    <n v="0"/>
    <n v="0"/>
    <n v="0"/>
    <n v="1000"/>
    <x v="81"/>
    <x v="0"/>
    <x v="0"/>
    <x v="0"/>
  </r>
  <r>
    <s v="Description 2875"/>
    <s v="Code 2875"/>
    <n v="0"/>
    <n v="0"/>
    <n v="0"/>
    <n v="0"/>
    <n v="0"/>
    <n v="0"/>
    <n v="0"/>
    <n v="0"/>
    <n v="0"/>
    <n v="0"/>
    <n v="15"/>
    <x v="188"/>
    <x v="0"/>
    <x v="0"/>
    <x v="0"/>
  </r>
  <r>
    <s v="Description 2876"/>
    <s v="Code 2876"/>
    <n v="36"/>
    <n v="36"/>
    <n v="22"/>
    <n v="64"/>
    <n v="33"/>
    <n v="29"/>
    <n v="25"/>
    <n v="20"/>
    <n v="24"/>
    <n v="0"/>
    <n v="2915"/>
    <x v="191"/>
    <x v="0"/>
    <x v="0"/>
    <x v="0"/>
  </r>
  <r>
    <s v="Description 2877"/>
    <s v="Code 2877"/>
    <n v="0"/>
    <n v="0"/>
    <n v="0"/>
    <n v="0"/>
    <n v="0"/>
    <n v="0"/>
    <n v="0"/>
    <n v="0"/>
    <n v="0"/>
    <n v="0"/>
    <n v="310"/>
    <x v="66"/>
    <x v="0"/>
    <x v="0"/>
    <x v="0"/>
  </r>
  <r>
    <s v="Description 2878"/>
    <s v="Code 2878"/>
    <n v="400"/>
    <n v="0"/>
    <n v="280"/>
    <n v="0"/>
    <n v="0"/>
    <n v="2"/>
    <n v="50"/>
    <n v="0"/>
    <n v="0"/>
    <n v="0"/>
    <n v="529"/>
    <x v="164"/>
    <x v="0"/>
    <x v="0"/>
    <x v="0"/>
  </r>
  <r>
    <s v="Description 2879"/>
    <s v="Code 2879"/>
    <n v="8"/>
    <n v="0"/>
    <n v="148"/>
    <n v="30"/>
    <n v="24"/>
    <n v="0"/>
    <n v="16"/>
    <n v="40"/>
    <n v="0"/>
    <n v="0"/>
    <n v="285"/>
    <x v="97"/>
    <x v="0"/>
    <x v="0"/>
    <x v="0"/>
  </r>
  <r>
    <s v="Description 2880"/>
    <s v="Code 2880"/>
    <n v="0"/>
    <n v="0"/>
    <n v="36"/>
    <n v="74"/>
    <n v="0"/>
    <n v="0"/>
    <n v="0"/>
    <n v="78"/>
    <n v="0"/>
    <n v="0"/>
    <n v="26"/>
    <x v="129"/>
    <x v="0"/>
    <x v="1"/>
    <x v="0"/>
  </r>
  <r>
    <s v="Description 2881"/>
    <s v="Code 2881"/>
    <n v="0"/>
    <n v="0"/>
    <n v="0"/>
    <n v="3"/>
    <n v="0"/>
    <n v="0"/>
    <n v="0"/>
    <n v="4"/>
    <n v="0"/>
    <n v="0"/>
    <n v="2003"/>
    <x v="185"/>
    <x v="0"/>
    <x v="0"/>
    <x v="0"/>
  </r>
  <r>
    <s v="Description 2882"/>
    <s v="Code 2882"/>
    <n v="0"/>
    <n v="0"/>
    <n v="0"/>
    <n v="12"/>
    <n v="0"/>
    <n v="0"/>
    <n v="0"/>
    <n v="0"/>
    <n v="0"/>
    <n v="0"/>
    <n v="2802"/>
    <x v="167"/>
    <x v="0"/>
    <x v="0"/>
    <x v="0"/>
  </r>
  <r>
    <s v="Description 2883"/>
    <s v="Code 2883"/>
    <n v="0"/>
    <n v="0"/>
    <n v="0"/>
    <n v="0"/>
    <n v="0"/>
    <n v="0"/>
    <n v="0"/>
    <n v="0"/>
    <n v="0"/>
    <n v="0"/>
    <n v="64"/>
    <x v="153"/>
    <x v="0"/>
    <x v="0"/>
    <x v="0"/>
  </r>
  <r>
    <s v="Description 2884"/>
    <s v="Code 2884"/>
    <n v="0"/>
    <n v="0"/>
    <n v="0"/>
    <n v="0"/>
    <n v="0"/>
    <n v="0"/>
    <n v="0"/>
    <n v="24"/>
    <n v="0"/>
    <n v="0"/>
    <n v="735"/>
    <x v="6"/>
    <x v="0"/>
    <x v="0"/>
    <x v="0"/>
  </r>
  <r>
    <s v="Description 2885"/>
    <s v="Code 2885"/>
    <n v="106"/>
    <n v="21"/>
    <n v="330"/>
    <n v="77"/>
    <n v="60"/>
    <n v="261"/>
    <n v="6"/>
    <n v="14"/>
    <n v="201"/>
    <n v="0"/>
    <n v="1038"/>
    <x v="3"/>
    <x v="0"/>
    <x v="0"/>
    <x v="0"/>
  </r>
  <r>
    <s v="Description 2886"/>
    <s v="Code 2886"/>
    <n v="20"/>
    <n v="58"/>
    <n v="20"/>
    <n v="20"/>
    <n v="22"/>
    <n v="22"/>
    <n v="22"/>
    <n v="20"/>
    <n v="20"/>
    <n v="0"/>
    <n v="154"/>
    <x v="125"/>
    <x v="0"/>
    <x v="0"/>
    <x v="0"/>
  </r>
  <r>
    <s v="Description 2887"/>
    <s v="Code 2887"/>
    <n v="32"/>
    <n v="32"/>
    <n v="25"/>
    <n v="46"/>
    <n v="31"/>
    <n v="29"/>
    <n v="27"/>
    <n v="24"/>
    <n v="26"/>
    <n v="0"/>
    <n v="95"/>
    <x v="160"/>
    <x v="0"/>
    <x v="0"/>
    <x v="0"/>
  </r>
  <r>
    <s v="Description 2888"/>
    <s v="Code 2888"/>
    <n v="0"/>
    <n v="0"/>
    <n v="0"/>
    <n v="0"/>
    <n v="0"/>
    <n v="0"/>
    <n v="0"/>
    <n v="0"/>
    <n v="0"/>
    <n v="0"/>
    <n v="0"/>
    <x v="174"/>
    <x v="0"/>
    <x v="0"/>
    <x v="0"/>
  </r>
  <r>
    <s v="Description 2889"/>
    <s v="Code 2889"/>
    <n v="0"/>
    <n v="0"/>
    <n v="0"/>
    <n v="0"/>
    <n v="0"/>
    <n v="0"/>
    <n v="0"/>
    <n v="0"/>
    <n v="0"/>
    <n v="0"/>
    <n v="143"/>
    <x v="106"/>
    <x v="0"/>
    <x v="0"/>
    <x v="0"/>
  </r>
  <r>
    <s v="Description 2890"/>
    <s v="Code 2890"/>
    <n v="0"/>
    <n v="0"/>
    <n v="0"/>
    <n v="0"/>
    <n v="0"/>
    <n v="0"/>
    <n v="0"/>
    <n v="0"/>
    <n v="0"/>
    <n v="0"/>
    <n v="50"/>
    <x v="135"/>
    <x v="0"/>
    <x v="0"/>
    <x v="0"/>
  </r>
  <r>
    <s v="Description 2891"/>
    <s v="Code 2891"/>
    <n v="0"/>
    <n v="0"/>
    <n v="4"/>
    <n v="0"/>
    <n v="0"/>
    <n v="0"/>
    <n v="0"/>
    <n v="0"/>
    <n v="0"/>
    <n v="0"/>
    <n v="0"/>
    <x v="28"/>
    <x v="0"/>
    <x v="1"/>
    <x v="0"/>
  </r>
  <r>
    <s v="Description 2892"/>
    <s v="Code 2892"/>
    <n v="0"/>
    <n v="0"/>
    <n v="4"/>
    <n v="0"/>
    <n v="0"/>
    <n v="0"/>
    <n v="0"/>
    <n v="0"/>
    <n v="0"/>
    <n v="0"/>
    <n v="3500"/>
    <x v="14"/>
    <x v="0"/>
    <x v="0"/>
    <x v="0"/>
  </r>
  <r>
    <s v="Description 2893"/>
    <s v="Code 2893"/>
    <n v="135"/>
    <n v="95"/>
    <n v="165"/>
    <n v="180"/>
    <n v="150"/>
    <n v="150"/>
    <n v="180"/>
    <n v="170"/>
    <n v="165"/>
    <n v="0"/>
    <n v="1750"/>
    <x v="108"/>
    <x v="0"/>
    <x v="1"/>
    <x v="0"/>
  </r>
  <r>
    <s v="Description 2894"/>
    <s v="Code 2894"/>
    <n v="540"/>
    <n v="504"/>
    <n v="576"/>
    <n v="468"/>
    <n v="558"/>
    <n v="504"/>
    <n v="468"/>
    <n v="396"/>
    <n v="324"/>
    <n v="0"/>
    <n v="2400"/>
    <x v="191"/>
    <x v="0"/>
    <x v="0"/>
    <x v="0"/>
  </r>
  <r>
    <s v="Description 2895"/>
    <s v="Code 2895"/>
    <n v="0"/>
    <n v="0"/>
    <n v="0"/>
    <n v="0"/>
    <n v="0"/>
    <n v="0"/>
    <n v="0"/>
    <n v="0"/>
    <n v="0"/>
    <n v="0"/>
    <n v="200"/>
    <x v="57"/>
    <x v="0"/>
    <x v="0"/>
    <x v="0"/>
  </r>
  <r>
    <s v="Description 2896"/>
    <s v="Code 2896"/>
    <n v="102"/>
    <n v="102"/>
    <n v="102"/>
    <n v="102"/>
    <n v="102"/>
    <n v="102"/>
    <n v="102"/>
    <n v="102"/>
    <n v="102"/>
    <n v="0"/>
    <n v="101"/>
    <x v="43"/>
    <x v="0"/>
    <x v="0"/>
    <x v="0"/>
  </r>
  <r>
    <s v="Description 2897"/>
    <s v="Code 2897"/>
    <n v="16"/>
    <n v="16"/>
    <n v="16"/>
    <n v="16"/>
    <n v="16"/>
    <n v="16"/>
    <n v="16"/>
    <n v="16"/>
    <n v="16"/>
    <n v="0"/>
    <n v="0"/>
    <x v="188"/>
    <x v="0"/>
    <x v="0"/>
    <x v="0"/>
  </r>
  <r>
    <s v="Description 2898"/>
    <s v="Code 2898"/>
    <n v="0"/>
    <n v="0"/>
    <n v="0"/>
    <n v="0"/>
    <n v="0"/>
    <n v="0"/>
    <n v="0"/>
    <n v="0"/>
    <n v="0"/>
    <n v="0"/>
    <n v="10"/>
    <x v="116"/>
    <x v="0"/>
    <x v="0"/>
    <x v="0"/>
  </r>
  <r>
    <s v="Description 2899"/>
    <s v="Code 2899"/>
    <n v="0.04"/>
    <n v="0"/>
    <n v="0.52"/>
    <n v="0.16"/>
    <n v="0.12"/>
    <n v="0"/>
    <n v="0.08"/>
    <n v="0.2"/>
    <n v="0"/>
    <n v="0"/>
    <n v="0"/>
    <x v="176"/>
    <x v="0"/>
    <x v="0"/>
    <x v="0"/>
  </r>
  <r>
    <s v="Description 2900"/>
    <s v="Code 2900"/>
    <n v="366"/>
    <n v="366"/>
    <n v="366"/>
    <n v="366"/>
    <n v="366"/>
    <n v="366"/>
    <n v="366"/>
    <n v="366"/>
    <n v="366"/>
    <n v="0"/>
    <n v="0"/>
    <x v="58"/>
    <x v="0"/>
    <x v="0"/>
    <x v="0"/>
  </r>
  <r>
    <s v="Description 2901"/>
    <s v="Code 2901"/>
    <n v="0"/>
    <n v="0"/>
    <n v="0"/>
    <n v="0"/>
    <n v="0"/>
    <n v="0"/>
    <n v="0"/>
    <n v="0"/>
    <n v="0"/>
    <n v="0"/>
    <n v="0"/>
    <x v="132"/>
    <x v="0"/>
    <x v="0"/>
    <x v="0"/>
  </r>
  <r>
    <s v="Description 2902"/>
    <s v="Code 2902"/>
    <n v="0"/>
    <n v="0"/>
    <n v="0"/>
    <n v="0"/>
    <n v="0"/>
    <n v="0"/>
    <n v="0"/>
    <n v="0"/>
    <n v="0"/>
    <n v="0"/>
    <n v="100"/>
    <x v="188"/>
    <x v="0"/>
    <x v="0"/>
    <x v="0"/>
  </r>
  <r>
    <s v="Description 2903"/>
    <s v="Code 2903"/>
    <n v="91"/>
    <n v="35"/>
    <n v="53"/>
    <n v="53"/>
    <n v="53"/>
    <n v="403"/>
    <n v="53"/>
    <n v="203"/>
    <n v="253"/>
    <n v="0"/>
    <n v="47"/>
    <x v="163"/>
    <x v="0"/>
    <x v="0"/>
    <x v="0"/>
  </r>
  <r>
    <s v="Description 2904"/>
    <s v="Code 2904"/>
    <n v="0"/>
    <n v="0"/>
    <n v="0"/>
    <n v="0"/>
    <n v="0"/>
    <n v="0"/>
    <n v="0"/>
    <n v="0"/>
    <n v="0"/>
    <n v="0"/>
    <n v="94"/>
    <x v="56"/>
    <x v="0"/>
    <x v="0"/>
    <x v="0"/>
  </r>
  <r>
    <s v="Description 2905"/>
    <s v="Code 2905"/>
    <n v="5"/>
    <n v="0"/>
    <n v="2"/>
    <n v="6"/>
    <n v="0"/>
    <n v="0"/>
    <n v="0"/>
    <n v="0"/>
    <n v="2"/>
    <n v="0"/>
    <n v="20"/>
    <x v="186"/>
    <x v="0"/>
    <x v="0"/>
    <x v="0"/>
  </r>
  <r>
    <s v="Description 2906"/>
    <s v="Code 2906"/>
    <n v="20"/>
    <n v="0"/>
    <n v="0"/>
    <n v="0"/>
    <n v="0"/>
    <n v="0"/>
    <n v="0"/>
    <n v="0"/>
    <n v="20"/>
    <n v="0"/>
    <n v="0"/>
    <x v="106"/>
    <x v="0"/>
    <x v="0"/>
    <x v="0"/>
  </r>
  <r>
    <s v="Description 2907"/>
    <s v="Code 2907"/>
    <n v="0"/>
    <n v="0"/>
    <n v="0"/>
    <n v="0"/>
    <n v="0"/>
    <n v="0"/>
    <n v="0"/>
    <n v="0"/>
    <n v="0"/>
    <n v="0"/>
    <n v="0"/>
    <x v="149"/>
    <x v="0"/>
    <x v="0"/>
    <x v="0"/>
  </r>
  <r>
    <s v="Description 2908"/>
    <s v="Code 2908"/>
    <n v="0"/>
    <n v="0"/>
    <n v="0"/>
    <n v="0"/>
    <n v="0"/>
    <n v="0"/>
    <n v="0"/>
    <n v="0"/>
    <n v="0"/>
    <n v="0"/>
    <n v="205"/>
    <x v="76"/>
    <x v="0"/>
    <x v="1"/>
    <x v="0"/>
  </r>
  <r>
    <s v="Description 2909"/>
    <s v="Code 2909"/>
    <n v="10"/>
    <n v="20"/>
    <n v="30"/>
    <n v="0"/>
    <n v="0"/>
    <n v="0"/>
    <n v="0"/>
    <n v="0"/>
    <n v="50"/>
    <n v="0"/>
    <n v="390"/>
    <x v="128"/>
    <x v="0"/>
    <x v="0"/>
    <x v="0"/>
  </r>
  <r>
    <s v="Description 2910"/>
    <s v="Code 2910"/>
    <n v="200"/>
    <n v="20"/>
    <n v="120"/>
    <n v="80"/>
    <n v="360"/>
    <n v="80"/>
    <n v="40"/>
    <n v="100"/>
    <n v="140"/>
    <n v="0"/>
    <n v="1535"/>
    <x v="48"/>
    <x v="0"/>
    <x v="0"/>
    <x v="0"/>
  </r>
  <r>
    <s v="Description 2911"/>
    <s v="Code 2911"/>
    <n v="0"/>
    <n v="0"/>
    <n v="0"/>
    <n v="0"/>
    <n v="600"/>
    <n v="0"/>
    <n v="0"/>
    <n v="0"/>
    <n v="0"/>
    <n v="0"/>
    <n v="5000"/>
    <x v="96"/>
    <x v="0"/>
    <x v="0"/>
    <x v="0"/>
  </r>
  <r>
    <s v="Description 2912"/>
    <s v="Code 2912"/>
    <n v="312"/>
    <n v="225"/>
    <n v="610"/>
    <n v="407"/>
    <n v="370"/>
    <n v="567"/>
    <n v="372"/>
    <n v="366"/>
    <n v="533"/>
    <n v="0"/>
    <n v="3444"/>
    <x v="187"/>
    <x v="0"/>
    <x v="1"/>
    <x v="0"/>
  </r>
  <r>
    <s v="Description 2913"/>
    <s v="Code 2913"/>
    <n v="0"/>
    <n v="0"/>
    <n v="0"/>
    <n v="5"/>
    <n v="0"/>
    <n v="1"/>
    <n v="0"/>
    <n v="0"/>
    <n v="0"/>
    <n v="0"/>
    <n v="980"/>
    <x v="153"/>
    <x v="0"/>
    <x v="0"/>
    <x v="0"/>
  </r>
  <r>
    <s v="Description 2914"/>
    <s v="Code 2914"/>
    <n v="0"/>
    <n v="0"/>
    <n v="0"/>
    <n v="105"/>
    <n v="50"/>
    <n v="150"/>
    <n v="0"/>
    <n v="0"/>
    <n v="45"/>
    <n v="0"/>
    <n v="36"/>
    <x v="0"/>
    <x v="0"/>
    <x v="0"/>
    <x v="0"/>
  </r>
  <r>
    <s v="Description 2915"/>
    <s v="Code 2915"/>
    <n v="0"/>
    <n v="0"/>
    <n v="0"/>
    <n v="0"/>
    <n v="0"/>
    <n v="0"/>
    <n v="0"/>
    <n v="0"/>
    <n v="0"/>
    <n v="0"/>
    <n v="1089"/>
    <x v="40"/>
    <x v="0"/>
    <x v="0"/>
    <x v="0"/>
  </r>
  <r>
    <s v="Description 2916"/>
    <s v="Code 2916"/>
    <n v="0"/>
    <n v="0"/>
    <n v="0"/>
    <n v="0"/>
    <n v="0"/>
    <n v="0"/>
    <n v="0"/>
    <n v="0"/>
    <n v="0"/>
    <n v="0"/>
    <n v="273"/>
    <x v="128"/>
    <x v="0"/>
    <x v="0"/>
    <x v="0"/>
  </r>
  <r>
    <s v="Description 2917"/>
    <s v="Code 2917"/>
    <n v="0"/>
    <n v="0"/>
    <n v="0"/>
    <n v="0"/>
    <n v="0"/>
    <n v="0"/>
    <n v="0"/>
    <n v="20"/>
    <n v="0"/>
    <n v="0"/>
    <n v="1994"/>
    <x v="39"/>
    <x v="0"/>
    <x v="0"/>
    <x v="0"/>
  </r>
  <r>
    <s v="Description 2918"/>
    <s v="Code 2918"/>
    <n v="0"/>
    <n v="0"/>
    <n v="0"/>
    <n v="0"/>
    <n v="0"/>
    <n v="0"/>
    <n v="0"/>
    <n v="0"/>
    <n v="0"/>
    <n v="0"/>
    <n v="5000"/>
    <x v="184"/>
    <x v="0"/>
    <x v="0"/>
    <x v="0"/>
  </r>
  <r>
    <s v="Description 2919"/>
    <s v="Code 2919"/>
    <n v="5000"/>
    <n v="0"/>
    <n v="0"/>
    <n v="0"/>
    <n v="0"/>
    <n v="0"/>
    <n v="0"/>
    <n v="0"/>
    <n v="0"/>
    <n v="0"/>
    <n v="5335"/>
    <x v="144"/>
    <x v="0"/>
    <x v="0"/>
    <x v="0"/>
  </r>
  <r>
    <s v="Description 2920"/>
    <s v="Code 2920"/>
    <n v="0"/>
    <n v="0"/>
    <n v="0"/>
    <n v="0"/>
    <n v="0"/>
    <n v="0"/>
    <n v="70"/>
    <n v="0"/>
    <n v="0"/>
    <n v="0"/>
    <n v="4900"/>
    <x v="37"/>
    <x v="0"/>
    <x v="0"/>
    <x v="0"/>
  </r>
  <r>
    <s v="Description 2921"/>
    <s v="Code 2921"/>
    <n v="0"/>
    <n v="0"/>
    <n v="0"/>
    <n v="100"/>
    <n v="0"/>
    <n v="70"/>
    <n v="0"/>
    <n v="200"/>
    <n v="0"/>
    <n v="0"/>
    <n v="679"/>
    <x v="113"/>
    <x v="0"/>
    <x v="0"/>
    <x v="0"/>
  </r>
  <r>
    <s v="Description 2922"/>
    <s v="Code 2922"/>
    <n v="0"/>
    <n v="0"/>
    <n v="0"/>
    <n v="100"/>
    <n v="0"/>
    <n v="70"/>
    <n v="0"/>
    <n v="200"/>
    <n v="0"/>
    <n v="0"/>
    <n v="0"/>
    <x v="145"/>
    <x v="0"/>
    <x v="0"/>
    <x v="0"/>
  </r>
  <r>
    <s v="Description 2923"/>
    <s v="Code 2923"/>
    <n v="100"/>
    <n v="0"/>
    <n v="0"/>
    <n v="50"/>
    <n v="60"/>
    <n v="50"/>
    <n v="0"/>
    <n v="0"/>
    <n v="50"/>
    <n v="0"/>
    <n v="0"/>
    <x v="65"/>
    <x v="0"/>
    <x v="0"/>
    <x v="0"/>
  </r>
  <r>
    <s v="Description 2924"/>
    <s v="Code 2924"/>
    <n v="0"/>
    <n v="0"/>
    <n v="0"/>
    <n v="0"/>
    <n v="60"/>
    <n v="0"/>
    <n v="0"/>
    <n v="0"/>
    <n v="0"/>
    <n v="0"/>
    <n v="39"/>
    <x v="52"/>
    <x v="0"/>
    <x v="0"/>
    <x v="0"/>
  </r>
  <r>
    <s v="Description 2925"/>
    <s v="Code 2925"/>
    <n v="0"/>
    <n v="0"/>
    <n v="0"/>
    <n v="0"/>
    <n v="0"/>
    <n v="0"/>
    <n v="0"/>
    <n v="0"/>
    <n v="0"/>
    <n v="0"/>
    <n v="169"/>
    <x v="92"/>
    <x v="0"/>
    <x v="0"/>
    <x v="0"/>
  </r>
  <r>
    <s v="Description 2926"/>
    <s v="Code 2926"/>
    <n v="0"/>
    <n v="0"/>
    <n v="100"/>
    <n v="10"/>
    <n v="0"/>
    <n v="0"/>
    <n v="0"/>
    <n v="10"/>
    <n v="0"/>
    <n v="0"/>
    <n v="853"/>
    <x v="20"/>
    <x v="0"/>
    <x v="0"/>
    <x v="0"/>
  </r>
  <r>
    <s v="Description 2927"/>
    <s v="Code 2927"/>
    <n v="0"/>
    <n v="0"/>
    <n v="0"/>
    <n v="600"/>
    <n v="0"/>
    <n v="0"/>
    <n v="0"/>
    <n v="600"/>
    <n v="0"/>
    <n v="0"/>
    <n v="112"/>
    <x v="131"/>
    <x v="0"/>
    <x v="0"/>
    <x v="0"/>
  </r>
  <r>
    <s v="Description 2928"/>
    <s v="Code 2928"/>
    <n v="4"/>
    <n v="4"/>
    <n v="4"/>
    <n v="4"/>
    <n v="4"/>
    <n v="6"/>
    <n v="4"/>
    <n v="4"/>
    <n v="4"/>
    <n v="0"/>
    <n v="91"/>
    <x v="162"/>
    <x v="0"/>
    <x v="0"/>
    <x v="0"/>
  </r>
  <r>
    <s v="Description 2929"/>
    <s v="Code 2929"/>
    <n v="10"/>
    <n v="0"/>
    <n v="0"/>
    <n v="10"/>
    <n v="10"/>
    <n v="0"/>
    <n v="0"/>
    <n v="0"/>
    <n v="0"/>
    <n v="0"/>
    <n v="0"/>
    <x v="101"/>
    <x v="0"/>
    <x v="0"/>
    <x v="0"/>
  </r>
  <r>
    <s v="Description 2930"/>
    <s v="Code 2930"/>
    <n v="10"/>
    <n v="0"/>
    <n v="0"/>
    <n v="10"/>
    <n v="10"/>
    <n v="0"/>
    <n v="0"/>
    <n v="0"/>
    <n v="0"/>
    <n v="0"/>
    <n v="59"/>
    <x v="198"/>
    <x v="0"/>
    <x v="0"/>
    <x v="0"/>
  </r>
  <r>
    <s v="Description 2931"/>
    <s v="Code 2931"/>
    <n v="2"/>
    <n v="7"/>
    <n v="0"/>
    <n v="10"/>
    <n v="5"/>
    <n v="3"/>
    <n v="3"/>
    <n v="6"/>
    <n v="1"/>
    <n v="0"/>
    <n v="7"/>
    <x v="2"/>
    <x v="0"/>
    <x v="0"/>
    <x v="0"/>
  </r>
  <r>
    <s v="Description 2932"/>
    <s v="Code 2932"/>
    <n v="2"/>
    <n v="2"/>
    <n v="0"/>
    <n v="3"/>
    <n v="2"/>
    <n v="1"/>
    <n v="1"/>
    <n v="4"/>
    <n v="1"/>
    <n v="0"/>
    <n v="1.5"/>
    <x v="182"/>
    <x v="0"/>
    <x v="0"/>
    <x v="0"/>
  </r>
  <r>
    <s v="Description 2933"/>
    <s v="Code 2933"/>
    <n v="0"/>
    <n v="0"/>
    <n v="0"/>
    <n v="6"/>
    <n v="0"/>
    <n v="0"/>
    <n v="0.25"/>
    <n v="2"/>
    <n v="0"/>
    <n v="0"/>
    <n v="0"/>
    <x v="147"/>
    <x v="0"/>
    <x v="0"/>
    <x v="0"/>
  </r>
  <r>
    <s v="Description 2934"/>
    <s v="Code 2934"/>
    <n v="0"/>
    <n v="0"/>
    <n v="0"/>
    <n v="0"/>
    <n v="0"/>
    <n v="0"/>
    <n v="0"/>
    <n v="0"/>
    <n v="0"/>
    <n v="0"/>
    <n v="2"/>
    <x v="184"/>
    <x v="0"/>
    <x v="0"/>
    <x v="0"/>
  </r>
  <r>
    <s v="Description 2935"/>
    <s v="Code 2935"/>
    <n v="0"/>
    <n v="5"/>
    <n v="0"/>
    <n v="1"/>
    <n v="3"/>
    <n v="2"/>
    <n v="1"/>
    <n v="0"/>
    <n v="0"/>
    <n v="0"/>
    <n v="265"/>
    <x v="60"/>
    <x v="0"/>
    <x v="0"/>
    <x v="0"/>
  </r>
  <r>
    <s v="Description 2936"/>
    <s v="Code 2936"/>
    <n v="30"/>
    <n v="17"/>
    <n v="26"/>
    <n v="28"/>
    <n v="31"/>
    <n v="29"/>
    <n v="13"/>
    <n v="26"/>
    <n v="37"/>
    <n v="0"/>
    <n v="26"/>
    <x v="55"/>
    <x v="0"/>
    <x v="0"/>
    <x v="0"/>
  </r>
  <r>
    <s v="Description 2937"/>
    <s v="Code 2937"/>
    <n v="2"/>
    <n v="7"/>
    <n v="0"/>
    <n v="10"/>
    <n v="5"/>
    <n v="3"/>
    <n v="3"/>
    <n v="6"/>
    <n v="1"/>
    <n v="0"/>
    <n v="15"/>
    <x v="69"/>
    <x v="0"/>
    <x v="0"/>
    <x v="0"/>
  </r>
  <r>
    <s v="Description 2938"/>
    <s v="Code 2938"/>
    <n v="0"/>
    <n v="0"/>
    <n v="0"/>
    <n v="0"/>
    <n v="0"/>
    <n v="0"/>
    <n v="0"/>
    <n v="0"/>
    <n v="0"/>
    <n v="0"/>
    <n v="38"/>
    <x v="162"/>
    <x v="0"/>
    <x v="0"/>
    <x v="0"/>
  </r>
  <r>
    <s v="Description 2939"/>
    <s v="Code 2939"/>
    <n v="2"/>
    <n v="7"/>
    <n v="0"/>
    <n v="10"/>
    <n v="5"/>
    <n v="3"/>
    <n v="3"/>
    <n v="6"/>
    <n v="1"/>
    <n v="0"/>
    <n v="0"/>
    <x v="39"/>
    <x v="0"/>
    <x v="0"/>
    <x v="0"/>
  </r>
  <r>
    <s v="Description 2940"/>
    <s v="Code 2940"/>
    <n v="0"/>
    <n v="0"/>
    <n v="0"/>
    <n v="1"/>
    <n v="0"/>
    <n v="0"/>
    <n v="1"/>
    <n v="1"/>
    <n v="0"/>
    <n v="0"/>
    <n v="50"/>
    <x v="123"/>
    <x v="0"/>
    <x v="1"/>
    <x v="0"/>
  </r>
  <r>
    <s v="Description 2941"/>
    <s v="Code 2941"/>
    <n v="2"/>
    <n v="7"/>
    <n v="0"/>
    <n v="10"/>
    <n v="5"/>
    <n v="3"/>
    <n v="3"/>
    <n v="6"/>
    <n v="1"/>
    <n v="0"/>
    <n v="59"/>
    <x v="17"/>
    <x v="0"/>
    <x v="0"/>
    <x v="0"/>
  </r>
  <r>
    <s v="Description 2942"/>
    <s v="Code 2942"/>
    <n v="2"/>
    <n v="7"/>
    <n v="0"/>
    <n v="10"/>
    <n v="5"/>
    <n v="3"/>
    <n v="3"/>
    <n v="6"/>
    <n v="1"/>
    <n v="0"/>
    <n v="1"/>
    <x v="38"/>
    <x v="0"/>
    <x v="0"/>
    <x v="0"/>
  </r>
  <r>
    <s v="Description 2943"/>
    <s v="Code 2943"/>
    <n v="1"/>
    <n v="5"/>
    <n v="0"/>
    <n v="0"/>
    <n v="2"/>
    <n v="0"/>
    <n v="0"/>
    <n v="2"/>
    <n v="0"/>
    <n v="0"/>
    <n v="165"/>
    <x v="9"/>
    <x v="0"/>
    <x v="0"/>
    <x v="0"/>
  </r>
  <r>
    <s v="Description 2944"/>
    <s v="Code 2944"/>
    <n v="0"/>
    <n v="0"/>
    <n v="0"/>
    <n v="0"/>
    <n v="0"/>
    <n v="0"/>
    <n v="0"/>
    <n v="0"/>
    <n v="0"/>
    <n v="0"/>
    <n v="183"/>
    <x v="69"/>
    <x v="0"/>
    <x v="0"/>
    <x v="0"/>
  </r>
  <r>
    <s v="Description 2945"/>
    <s v="Code 2945"/>
    <n v="0"/>
    <n v="0"/>
    <n v="0"/>
    <n v="0"/>
    <n v="0"/>
    <n v="0"/>
    <n v="0"/>
    <n v="0"/>
    <n v="0"/>
    <n v="0"/>
    <n v="27"/>
    <x v="160"/>
    <x v="0"/>
    <x v="0"/>
    <x v="0"/>
  </r>
  <r>
    <s v="Description 2946"/>
    <s v="Code 2946"/>
    <n v="15"/>
    <n v="15"/>
    <n v="20"/>
    <n v="20"/>
    <n v="15"/>
    <n v="15"/>
    <n v="20"/>
    <n v="20"/>
    <n v="5"/>
    <n v="0"/>
    <n v="58"/>
    <x v="160"/>
    <x v="0"/>
    <x v="0"/>
    <x v="0"/>
  </r>
  <r>
    <s v="Description 2947"/>
    <s v="Code 2947"/>
    <n v="15"/>
    <n v="15"/>
    <n v="20"/>
    <n v="20"/>
    <n v="15"/>
    <n v="15"/>
    <n v="20"/>
    <n v="20"/>
    <n v="5"/>
    <n v="0"/>
    <n v="34"/>
    <x v="51"/>
    <x v="0"/>
    <x v="0"/>
    <x v="0"/>
  </r>
  <r>
    <s v="Description 2948"/>
    <s v="Code 2948"/>
    <n v="15"/>
    <n v="15"/>
    <n v="20"/>
    <n v="20"/>
    <n v="15"/>
    <n v="15"/>
    <n v="20"/>
    <n v="20"/>
    <n v="5"/>
    <n v="0"/>
    <n v="15"/>
    <x v="188"/>
    <x v="0"/>
    <x v="0"/>
    <x v="0"/>
  </r>
  <r>
    <s v="Description 2949"/>
    <s v="Code 2949"/>
    <n v="15"/>
    <n v="15"/>
    <n v="20"/>
    <n v="20"/>
    <n v="15"/>
    <n v="15"/>
    <n v="20"/>
    <n v="20"/>
    <n v="5"/>
    <n v="0"/>
    <n v="8"/>
    <x v="143"/>
    <x v="0"/>
    <x v="0"/>
    <x v="0"/>
  </r>
  <r>
    <s v="Description 2950"/>
    <s v="Code 2950"/>
    <n v="0"/>
    <n v="0"/>
    <n v="0"/>
    <n v="0"/>
    <n v="0"/>
    <n v="0"/>
    <n v="0"/>
    <n v="0"/>
    <n v="0"/>
    <n v="0"/>
    <n v="7"/>
    <x v="34"/>
    <x v="0"/>
    <x v="0"/>
    <x v="0"/>
  </r>
  <r>
    <s v="Description 2951"/>
    <s v="Code 2951"/>
    <n v="5"/>
    <n v="0"/>
    <n v="5"/>
    <n v="1"/>
    <n v="5"/>
    <n v="9"/>
    <n v="2"/>
    <n v="3"/>
    <n v="1"/>
    <n v="0"/>
    <n v="170"/>
    <x v="132"/>
    <x v="0"/>
    <x v="0"/>
    <x v="0"/>
  </r>
  <r>
    <s v="Description 2952"/>
    <s v="Code 2952"/>
    <n v="20"/>
    <n v="20"/>
    <n v="20"/>
    <n v="20"/>
    <n v="22"/>
    <n v="22"/>
    <n v="22"/>
    <n v="20"/>
    <n v="20"/>
    <n v="0"/>
    <n v="402"/>
    <x v="181"/>
    <x v="0"/>
    <x v="0"/>
    <x v="0"/>
  </r>
  <r>
    <s v="Description 2953"/>
    <s v="Code 2953"/>
    <n v="40"/>
    <n v="40"/>
    <n v="40"/>
    <n v="40"/>
    <n v="44"/>
    <n v="44"/>
    <n v="44"/>
    <n v="40"/>
    <n v="40"/>
    <n v="0"/>
    <n v="11"/>
    <x v="100"/>
    <x v="0"/>
    <x v="0"/>
    <x v="0"/>
  </r>
  <r>
    <s v="Description 2954"/>
    <s v="Code 2954"/>
    <n v="8"/>
    <n v="3"/>
    <n v="6"/>
    <n v="6"/>
    <n v="5"/>
    <n v="2"/>
    <n v="0"/>
    <n v="4"/>
    <n v="15"/>
    <n v="0"/>
    <n v="1"/>
    <x v="81"/>
    <x v="0"/>
    <x v="0"/>
    <x v="0"/>
  </r>
  <r>
    <s v="Description 2955"/>
    <s v="Code 2955"/>
    <n v="0"/>
    <n v="2"/>
    <n v="2"/>
    <n v="2"/>
    <n v="2"/>
    <n v="2"/>
    <n v="3"/>
    <n v="2"/>
    <n v="2"/>
    <n v="0"/>
    <n v="102"/>
    <x v="125"/>
    <x v="0"/>
    <x v="0"/>
    <x v="0"/>
  </r>
  <r>
    <s v="Description 2956"/>
    <s v="Code 2956"/>
    <n v="0"/>
    <n v="8"/>
    <n v="8"/>
    <n v="8"/>
    <n v="8"/>
    <n v="8"/>
    <n v="12"/>
    <n v="8"/>
    <n v="8"/>
    <n v="0"/>
    <n v="55"/>
    <x v="36"/>
    <x v="0"/>
    <x v="0"/>
    <x v="0"/>
  </r>
  <r>
    <s v="Description 2957"/>
    <s v="Code 2957"/>
    <n v="0"/>
    <n v="2"/>
    <n v="2"/>
    <n v="2"/>
    <n v="2"/>
    <n v="2"/>
    <n v="3"/>
    <n v="2"/>
    <n v="2"/>
    <n v="0"/>
    <n v="32"/>
    <x v="175"/>
    <x v="0"/>
    <x v="0"/>
    <x v="0"/>
  </r>
  <r>
    <s v="Description 2958"/>
    <s v="Code 2958"/>
    <n v="0"/>
    <n v="2"/>
    <n v="2"/>
    <n v="2"/>
    <n v="2"/>
    <n v="2"/>
    <n v="3"/>
    <n v="2"/>
    <n v="2"/>
    <n v="0"/>
    <n v="9"/>
    <x v="32"/>
    <x v="0"/>
    <x v="0"/>
    <x v="0"/>
  </r>
  <r>
    <s v="Description 2959"/>
    <s v="Code 2959"/>
    <n v="0"/>
    <n v="2"/>
    <n v="2"/>
    <n v="2"/>
    <n v="2"/>
    <n v="2"/>
    <n v="3"/>
    <n v="2"/>
    <n v="2"/>
    <n v="0"/>
    <n v="15"/>
    <x v="190"/>
    <x v="0"/>
    <x v="0"/>
    <x v="0"/>
  </r>
  <r>
    <s v="Description 2960"/>
    <s v="Code 2960"/>
    <n v="0"/>
    <n v="0"/>
    <n v="0"/>
    <n v="0"/>
    <n v="0"/>
    <n v="0"/>
    <n v="1"/>
    <n v="0"/>
    <n v="0"/>
    <n v="0"/>
    <n v="15"/>
    <x v="147"/>
    <x v="0"/>
    <x v="0"/>
    <x v="0"/>
  </r>
  <r>
    <s v="Description 2961"/>
    <s v="Code 2961"/>
    <n v="0"/>
    <n v="0"/>
    <n v="0"/>
    <n v="0"/>
    <n v="0"/>
    <n v="0"/>
    <n v="0"/>
    <n v="0"/>
    <n v="0"/>
    <n v="0"/>
    <n v="7"/>
    <x v="169"/>
    <x v="0"/>
    <x v="0"/>
    <x v="0"/>
  </r>
  <r>
    <s v="Description 2962"/>
    <s v="Code 2962"/>
    <n v="0"/>
    <n v="0"/>
    <n v="0"/>
    <n v="0"/>
    <n v="1"/>
    <n v="1"/>
    <n v="1"/>
    <n v="0"/>
    <n v="0"/>
    <n v="0"/>
    <n v="11"/>
    <x v="34"/>
    <x v="0"/>
    <x v="0"/>
    <x v="0"/>
  </r>
  <r>
    <s v="Description 2963"/>
    <s v="Code 2963"/>
    <n v="1"/>
    <n v="0"/>
    <n v="0"/>
    <n v="0"/>
    <n v="1"/>
    <n v="0"/>
    <n v="0"/>
    <n v="1"/>
    <n v="0"/>
    <n v="0"/>
    <n v="938"/>
    <x v="80"/>
    <x v="0"/>
    <x v="0"/>
    <x v="0"/>
  </r>
  <r>
    <s v="Description 2964"/>
    <s v="Code 2964"/>
    <n v="0"/>
    <n v="0"/>
    <n v="0"/>
    <n v="0"/>
    <n v="0"/>
    <n v="0"/>
    <n v="0"/>
    <n v="0"/>
    <n v="0"/>
    <n v="0"/>
    <n v="0"/>
    <x v="90"/>
    <x v="0"/>
    <x v="0"/>
    <x v="0"/>
  </r>
  <r>
    <s v="Description 2965"/>
    <s v="Code 2965"/>
    <n v="400"/>
    <n v="40"/>
    <n v="240"/>
    <n v="160"/>
    <n v="320"/>
    <n v="160"/>
    <n v="80"/>
    <n v="200"/>
    <n v="280"/>
    <n v="0"/>
    <n v="1860"/>
    <x v="63"/>
    <x v="0"/>
    <x v="0"/>
    <x v="0"/>
  </r>
  <r>
    <s v="Description 2966"/>
    <s v="Code 2966"/>
    <n v="0"/>
    <n v="0"/>
    <n v="0"/>
    <n v="0"/>
    <n v="0"/>
    <n v="0"/>
    <n v="0"/>
    <n v="0"/>
    <n v="0"/>
    <n v="0"/>
    <n v="0"/>
    <x v="181"/>
    <x v="0"/>
    <x v="0"/>
    <x v="0"/>
  </r>
  <r>
    <s v="Description 2967"/>
    <s v="Code 2967"/>
    <n v="100"/>
    <n v="10"/>
    <n v="60"/>
    <n v="40"/>
    <n v="80"/>
    <n v="40"/>
    <n v="20"/>
    <n v="50"/>
    <n v="220"/>
    <n v="0"/>
    <n v="73"/>
    <x v="176"/>
    <x v="0"/>
    <x v="0"/>
    <x v="0"/>
  </r>
  <r>
    <s v="Description 2968"/>
    <s v="Code 2968"/>
    <n v="4"/>
    <n v="0"/>
    <n v="32"/>
    <n v="16"/>
    <n v="12"/>
    <n v="0"/>
    <n v="8"/>
    <n v="20"/>
    <n v="0"/>
    <n v="0"/>
    <n v="0"/>
    <x v="92"/>
    <x v="0"/>
    <x v="0"/>
    <x v="0"/>
  </r>
  <r>
    <s v="Description 2969"/>
    <s v="Code 2969"/>
    <n v="55"/>
    <n v="269"/>
    <n v="80"/>
    <n v="76"/>
    <n v="59"/>
    <n v="45"/>
    <n v="64"/>
    <n v="270"/>
    <n v="15"/>
    <n v="0"/>
    <n v="189"/>
    <x v="81"/>
    <x v="0"/>
    <x v="0"/>
    <x v="0"/>
  </r>
  <r>
    <s v="Description 2970"/>
    <s v="Code 2970"/>
    <n v="200"/>
    <n v="0"/>
    <n v="82"/>
    <n v="0"/>
    <n v="0"/>
    <n v="0"/>
    <n v="0"/>
    <n v="0"/>
    <n v="0"/>
    <n v="0"/>
    <n v="430"/>
    <x v="80"/>
    <x v="0"/>
    <x v="0"/>
    <x v="0"/>
  </r>
  <r>
    <s v="Description 2971"/>
    <s v="Code 2971"/>
    <n v="216"/>
    <n v="2"/>
    <n v="128"/>
    <n v="32"/>
    <n v="20"/>
    <n v="200"/>
    <n v="16"/>
    <n v="30"/>
    <n v="0"/>
    <n v="0"/>
    <n v="37"/>
    <x v="13"/>
    <x v="0"/>
    <x v="1"/>
    <x v="0"/>
  </r>
  <r>
    <s v="Description 2972"/>
    <s v="Code 2972"/>
    <n v="1080"/>
    <n v="860"/>
    <n v="1258"/>
    <n v="1046"/>
    <n v="908"/>
    <n v="994"/>
    <n v="654"/>
    <n v="618"/>
    <n v="683"/>
    <n v="0"/>
    <n v="0"/>
    <x v="131"/>
    <x v="0"/>
    <x v="0"/>
    <x v="0"/>
  </r>
  <r>
    <s v="Description 2973"/>
    <s v="Code 2973"/>
    <n v="400"/>
    <n v="0"/>
    <n v="280"/>
    <n v="0"/>
    <n v="0"/>
    <n v="2"/>
    <n v="50"/>
    <n v="0"/>
    <n v="60"/>
    <n v="0"/>
    <n v="250"/>
    <x v="39"/>
    <x v="0"/>
    <x v="0"/>
    <x v="0"/>
  </r>
  <r>
    <s v="Description 2974"/>
    <s v="Code 2974"/>
    <n v="200"/>
    <n v="0"/>
    <n v="0"/>
    <n v="0"/>
    <n v="0"/>
    <n v="100"/>
    <n v="0"/>
    <n v="0"/>
    <n v="0"/>
    <n v="0"/>
    <n v="0"/>
    <x v="36"/>
    <x v="0"/>
    <x v="0"/>
    <x v="0"/>
  </r>
  <r>
    <s v="Description 2975"/>
    <s v="Code 2975"/>
    <n v="0"/>
    <n v="0"/>
    <n v="0"/>
    <n v="2"/>
    <n v="0"/>
    <n v="0"/>
    <n v="0"/>
    <n v="0"/>
    <n v="0"/>
    <n v="0"/>
    <n v="207"/>
    <x v="113"/>
    <x v="0"/>
    <x v="0"/>
    <x v="0"/>
  </r>
  <r>
    <s v="Description 2976"/>
    <s v="Code 2976"/>
    <n v="2"/>
    <n v="0"/>
    <n v="6"/>
    <n v="4"/>
    <n v="2"/>
    <n v="0"/>
    <n v="0"/>
    <n v="0"/>
    <n v="0"/>
    <n v="0"/>
    <n v="26"/>
    <x v="153"/>
    <x v="0"/>
    <x v="0"/>
    <x v="0"/>
  </r>
  <r>
    <s v="Description 2977"/>
    <s v="Code 2977"/>
    <n v="0"/>
    <n v="0"/>
    <n v="30"/>
    <n v="0"/>
    <n v="0"/>
    <n v="0"/>
    <n v="0"/>
    <n v="0"/>
    <n v="30"/>
    <n v="0"/>
    <n v="56"/>
    <x v="197"/>
    <x v="0"/>
    <x v="0"/>
    <x v="0"/>
  </r>
  <r>
    <s v="Description 2978"/>
    <s v="Code 2978"/>
    <n v="0"/>
    <n v="0"/>
    <n v="0"/>
    <n v="0"/>
    <n v="0"/>
    <n v="0"/>
    <n v="0"/>
    <n v="0"/>
    <n v="0"/>
    <n v="0"/>
    <n v="190"/>
    <x v="105"/>
    <x v="0"/>
    <x v="1"/>
    <x v="0"/>
  </r>
  <r>
    <s v="Description 2979"/>
    <s v="Code 2979"/>
    <n v="200"/>
    <n v="0"/>
    <n v="80"/>
    <n v="4"/>
    <n v="0"/>
    <n v="0"/>
    <n v="0"/>
    <n v="0"/>
    <n v="0"/>
    <n v="0"/>
    <n v="0"/>
    <x v="75"/>
    <x v="0"/>
    <x v="0"/>
    <x v="0"/>
  </r>
  <r>
    <s v="Description 2980"/>
    <s v="Code 2980"/>
    <n v="0"/>
    <n v="0"/>
    <n v="0"/>
    <n v="0"/>
    <n v="0"/>
    <n v="0"/>
    <n v="0"/>
    <n v="0"/>
    <n v="0"/>
    <n v="0"/>
    <n v="166"/>
    <x v="21"/>
    <x v="0"/>
    <x v="0"/>
    <x v="0"/>
  </r>
  <r>
    <s v="Description 2981"/>
    <s v="Code 2981"/>
    <n v="0"/>
    <n v="0"/>
    <n v="0"/>
    <n v="0"/>
    <n v="0"/>
    <n v="0"/>
    <n v="0"/>
    <n v="0"/>
    <n v="0"/>
    <n v="0"/>
    <n v="0"/>
    <x v="168"/>
    <x v="0"/>
    <x v="0"/>
    <x v="0"/>
  </r>
  <r>
    <s v="Description 2982"/>
    <s v="Code 2982"/>
    <n v="200"/>
    <n v="0"/>
    <n v="0"/>
    <n v="200"/>
    <n v="200"/>
    <n v="0"/>
    <n v="0"/>
    <n v="0"/>
    <n v="0"/>
    <n v="0"/>
    <n v="681"/>
    <x v="27"/>
    <x v="0"/>
    <x v="0"/>
    <x v="0"/>
  </r>
  <r>
    <s v="Description 2983"/>
    <s v="Code 2983"/>
    <n v="11050"/>
    <n v="7964"/>
    <n v="9516"/>
    <n v="10516"/>
    <n v="9382"/>
    <n v="10524"/>
    <n v="8762"/>
    <n v="8170"/>
    <n v="8782"/>
    <n v="0"/>
    <n v="0"/>
    <x v="199"/>
    <x v="0"/>
    <x v="0"/>
    <x v="0"/>
  </r>
  <r>
    <s v="Description 2984"/>
    <s v="Code 2984"/>
    <n v="0"/>
    <n v="0"/>
    <n v="0"/>
    <n v="0"/>
    <n v="0"/>
    <n v="0"/>
    <n v="0"/>
    <n v="0"/>
    <n v="0"/>
    <n v="0"/>
    <n v="2354"/>
    <x v="31"/>
    <x v="0"/>
    <x v="0"/>
    <x v="0"/>
  </r>
  <r>
    <s v="Description 2985"/>
    <s v="Code 2985"/>
    <n v="0"/>
    <n v="0"/>
    <n v="0"/>
    <n v="0"/>
    <n v="0"/>
    <n v="2"/>
    <n v="0"/>
    <n v="0"/>
    <n v="0"/>
    <n v="0"/>
    <n v="1377"/>
    <x v="30"/>
    <x v="0"/>
    <x v="0"/>
    <x v="0"/>
  </r>
  <r>
    <s v="Description 2986"/>
    <s v="Code 2986"/>
    <n v="0"/>
    <n v="0"/>
    <n v="0"/>
    <n v="15"/>
    <n v="0"/>
    <n v="3"/>
    <n v="0"/>
    <n v="0"/>
    <n v="0"/>
    <n v="0"/>
    <n v="600"/>
    <x v="58"/>
    <x v="0"/>
    <x v="0"/>
    <x v="0"/>
  </r>
  <r>
    <s v="Description 2987"/>
    <s v="Code 2987"/>
    <n v="36"/>
    <n v="20"/>
    <n v="20"/>
    <n v="20"/>
    <n v="0"/>
    <n v="0"/>
    <n v="0"/>
    <n v="0"/>
    <n v="0"/>
    <n v="0"/>
    <n v="912"/>
    <x v="76"/>
    <x v="0"/>
    <x v="1"/>
    <x v="0"/>
  </r>
  <r>
    <s v="Description 2988"/>
    <s v="Code 2988"/>
    <n v="0"/>
    <n v="0"/>
    <n v="20"/>
    <n v="0"/>
    <n v="0"/>
    <n v="0"/>
    <n v="0"/>
    <n v="0"/>
    <n v="0"/>
    <n v="0"/>
    <n v="74"/>
    <x v="45"/>
    <x v="0"/>
    <x v="0"/>
    <x v="0"/>
  </r>
  <r>
    <s v="Description 2989"/>
    <s v="Code 2989"/>
    <n v="0"/>
    <n v="0"/>
    <n v="20"/>
    <n v="0"/>
    <n v="0"/>
    <n v="0"/>
    <n v="0"/>
    <n v="0"/>
    <n v="0"/>
    <n v="0"/>
    <n v="400"/>
    <x v="23"/>
    <x v="0"/>
    <x v="1"/>
    <x v="0"/>
  </r>
  <r>
    <s v="Description 2990"/>
    <s v="Code 2990"/>
    <n v="0"/>
    <n v="0"/>
    <n v="0"/>
    <n v="0"/>
    <n v="0"/>
    <n v="0"/>
    <n v="0"/>
    <n v="0"/>
    <n v="0"/>
    <n v="0"/>
    <n v="2800"/>
    <x v="66"/>
    <x v="0"/>
    <x v="0"/>
    <x v="0"/>
  </r>
  <r>
    <s v="Description 2991"/>
    <s v="Code 2991"/>
    <n v="0"/>
    <n v="0"/>
    <n v="0"/>
    <n v="0"/>
    <n v="0"/>
    <n v="0"/>
    <n v="0"/>
    <n v="0"/>
    <n v="0"/>
    <n v="0"/>
    <n v="1631"/>
    <x v="154"/>
    <x v="0"/>
    <x v="0"/>
    <x v="0"/>
  </r>
  <r>
    <s v="Description 2992"/>
    <s v="Code 2992"/>
    <n v="78"/>
    <n v="114"/>
    <n v="89"/>
    <n v="89"/>
    <n v="78"/>
    <n v="60"/>
    <n v="80"/>
    <n v="80"/>
    <n v="20"/>
    <n v="0"/>
    <n v="264"/>
    <x v="24"/>
    <x v="0"/>
    <x v="0"/>
    <x v="0"/>
  </r>
  <r>
    <s v="Description 2993"/>
    <s v="Code 2993"/>
    <n v="40"/>
    <n v="46"/>
    <n v="160"/>
    <n v="297"/>
    <n v="40"/>
    <n v="32"/>
    <n v="32"/>
    <n v="292"/>
    <n v="32"/>
    <n v="0"/>
    <n v="4"/>
    <x v="96"/>
    <x v="0"/>
    <x v="0"/>
    <x v="0"/>
  </r>
  <r>
    <s v="Description 2994"/>
    <s v="Code 2994"/>
    <n v="2"/>
    <n v="0"/>
    <n v="2"/>
    <n v="1"/>
    <n v="2"/>
    <n v="0"/>
    <n v="0"/>
    <n v="0"/>
    <n v="1"/>
    <n v="0"/>
    <n v="72"/>
    <x v="48"/>
    <x v="0"/>
    <x v="0"/>
    <x v="0"/>
  </r>
  <r>
    <s v="Description 2995"/>
    <s v="Code 2995"/>
    <n v="0"/>
    <n v="0"/>
    <n v="0"/>
    <n v="0"/>
    <n v="0"/>
    <n v="0"/>
    <n v="0"/>
    <n v="20"/>
    <n v="0"/>
    <n v="0"/>
    <n v="1167"/>
    <x v="155"/>
    <x v="0"/>
    <x v="0"/>
    <x v="0"/>
  </r>
  <r>
    <s v="Description 2996"/>
    <s v="Code 2996"/>
    <n v="100"/>
    <n v="10"/>
    <n v="60"/>
    <n v="40"/>
    <n v="80"/>
    <n v="40"/>
    <n v="20"/>
    <n v="50"/>
    <n v="70"/>
    <n v="0"/>
    <n v="1339"/>
    <x v="121"/>
    <x v="0"/>
    <x v="0"/>
    <x v="0"/>
  </r>
  <r>
    <s v="Description 2997"/>
    <s v="Code 2997"/>
    <n v="112"/>
    <n v="194"/>
    <n v="202"/>
    <n v="194"/>
    <n v="120"/>
    <n v="182"/>
    <n v="136"/>
    <n v="128"/>
    <n v="108"/>
    <n v="0"/>
    <n v="200"/>
    <x v="24"/>
    <x v="0"/>
    <x v="0"/>
    <x v="0"/>
  </r>
  <r>
    <s v="Description 2998"/>
    <s v="Code 2998"/>
    <n v="0"/>
    <n v="0"/>
    <n v="0"/>
    <n v="0"/>
    <n v="0"/>
    <n v="0"/>
    <n v="0"/>
    <n v="0"/>
    <n v="0"/>
    <n v="0"/>
    <n v="3089"/>
    <x v="91"/>
    <x v="0"/>
    <x v="0"/>
    <x v="0"/>
  </r>
  <r>
    <s v="Description 2999"/>
    <s v="Code 2999"/>
    <n v="0"/>
    <n v="0"/>
    <n v="0"/>
    <n v="0"/>
    <n v="0"/>
    <n v="0"/>
    <n v="0"/>
    <n v="0"/>
    <n v="0"/>
    <n v="0"/>
    <n v="0"/>
    <x v="25"/>
    <x v="0"/>
    <x v="1"/>
    <x v="0"/>
  </r>
  <r>
    <s v="Description 3000"/>
    <s v="Code 3000"/>
    <n v="0"/>
    <n v="0"/>
    <n v="0"/>
    <n v="0"/>
    <n v="0"/>
    <n v="0"/>
    <n v="0"/>
    <n v="0"/>
    <n v="0"/>
    <n v="0"/>
    <n v="372"/>
    <x v="21"/>
    <x v="0"/>
    <x v="0"/>
    <x v="0"/>
  </r>
  <r>
    <s v="Description 3001"/>
    <s v="Code 3001"/>
    <n v="0"/>
    <n v="0"/>
    <n v="0"/>
    <n v="0"/>
    <n v="0"/>
    <n v="0"/>
    <n v="0"/>
    <n v="0"/>
    <n v="0"/>
    <n v="0"/>
    <n v="214"/>
    <x v="30"/>
    <x v="0"/>
    <x v="0"/>
    <x v="0"/>
  </r>
  <r>
    <s v="Description 3002"/>
    <s v="Code 3002"/>
    <n v="0"/>
    <n v="0"/>
    <n v="0"/>
    <n v="20"/>
    <n v="0"/>
    <n v="4"/>
    <n v="0"/>
    <n v="0"/>
    <n v="0"/>
    <n v="0"/>
    <n v="0"/>
    <x v="123"/>
    <x v="0"/>
    <x v="1"/>
    <x v="0"/>
  </r>
  <r>
    <s v="Description 3003"/>
    <s v="Code 3003"/>
    <n v="0"/>
    <n v="20"/>
    <n v="30"/>
    <n v="0"/>
    <n v="0"/>
    <n v="0"/>
    <n v="0"/>
    <n v="0"/>
    <n v="30"/>
    <n v="0"/>
    <n v="0"/>
    <x v="94"/>
    <x v="0"/>
    <x v="0"/>
    <x v="0"/>
  </r>
  <r>
    <s v="Description 3004"/>
    <s v="Code 3004"/>
    <n v="0"/>
    <n v="0"/>
    <n v="0"/>
    <n v="0"/>
    <n v="200"/>
    <n v="0"/>
    <n v="0"/>
    <n v="0"/>
    <n v="0"/>
    <n v="0"/>
    <n v="0"/>
    <x v="12"/>
    <x v="0"/>
    <x v="0"/>
    <x v="0"/>
  </r>
  <r>
    <s v="Description 3005"/>
    <s v="Code 3005"/>
    <n v="500"/>
    <n v="100"/>
    <n v="100"/>
    <n v="100"/>
    <n v="100"/>
    <n v="100"/>
    <n v="100"/>
    <n v="400"/>
    <n v="300"/>
    <n v="0"/>
    <n v="52"/>
    <x v="7"/>
    <x v="0"/>
    <x v="0"/>
    <x v="0"/>
  </r>
  <r>
    <s v="Description 3006"/>
    <s v="Code 3006"/>
    <n v="0"/>
    <n v="0"/>
    <n v="0"/>
    <n v="0"/>
    <n v="0"/>
    <n v="0"/>
    <n v="0"/>
    <n v="0"/>
    <n v="0"/>
    <n v="0"/>
    <n v="494"/>
    <x v="83"/>
    <x v="0"/>
    <x v="0"/>
    <x v="0"/>
  </r>
  <r>
    <s v="Description 3007"/>
    <s v="Code 3007"/>
    <n v="0"/>
    <n v="20"/>
    <n v="12"/>
    <n v="12"/>
    <n v="0"/>
    <n v="0"/>
    <n v="0"/>
    <n v="18"/>
    <n v="0"/>
    <n v="0"/>
    <n v="193"/>
    <x v="17"/>
    <x v="0"/>
    <x v="0"/>
    <x v="0"/>
  </r>
  <r>
    <s v="Description 3008"/>
    <s v="Code 3008"/>
    <n v="0"/>
    <n v="0"/>
    <n v="0"/>
    <n v="0"/>
    <n v="0"/>
    <n v="0"/>
    <n v="0"/>
    <n v="0"/>
    <n v="0"/>
    <n v="0"/>
    <n v="618"/>
    <x v="87"/>
    <x v="0"/>
    <x v="0"/>
    <x v="0"/>
  </r>
  <r>
    <s v="Description 3009"/>
    <s v="Code 3009"/>
    <n v="0"/>
    <n v="0"/>
    <n v="0"/>
    <n v="0"/>
    <n v="0"/>
    <n v="0"/>
    <n v="0"/>
    <n v="0"/>
    <n v="0"/>
    <n v="0"/>
    <n v="208"/>
    <x v="188"/>
    <x v="0"/>
    <x v="0"/>
    <x v="0"/>
  </r>
  <r>
    <s v="Description 3010"/>
    <s v="Code 3010"/>
    <n v="0"/>
    <n v="0"/>
    <n v="0"/>
    <n v="0"/>
    <n v="0"/>
    <n v="0"/>
    <n v="0"/>
    <n v="0"/>
    <n v="0"/>
    <n v="0"/>
    <n v="0"/>
    <x v="166"/>
    <x v="0"/>
    <x v="0"/>
    <x v="0"/>
  </r>
  <r>
    <s v="Description 3011"/>
    <s v="Code 3011"/>
    <n v="0"/>
    <n v="0"/>
    <n v="0"/>
    <n v="0"/>
    <n v="0"/>
    <n v="0"/>
    <n v="0"/>
    <n v="0"/>
    <n v="0"/>
    <n v="0"/>
    <n v="6000"/>
    <x v="140"/>
    <x v="0"/>
    <x v="0"/>
    <x v="0"/>
  </r>
  <r>
    <s v="Description 3012"/>
    <s v="Code 3012"/>
    <n v="734"/>
    <n v="280"/>
    <n v="494"/>
    <n v="494"/>
    <n v="494"/>
    <n v="494"/>
    <n v="494"/>
    <n v="494"/>
    <n v="494"/>
    <n v="0"/>
    <n v="0"/>
    <x v="45"/>
    <x v="0"/>
    <x v="0"/>
    <x v="0"/>
  </r>
  <r>
    <s v="Description 3013"/>
    <s v="Code 3013"/>
    <n v="96"/>
    <n v="168"/>
    <n v="96"/>
    <n v="206"/>
    <n v="0"/>
    <n v="0"/>
    <n v="0"/>
    <n v="150"/>
    <n v="0"/>
    <n v="0"/>
    <n v="1037"/>
    <x v="0"/>
    <x v="0"/>
    <x v="0"/>
    <x v="0"/>
  </r>
  <r>
    <s v="Description 3014"/>
    <s v="Code 3014"/>
    <n v="0"/>
    <n v="0"/>
    <n v="0"/>
    <n v="0"/>
    <n v="0"/>
    <n v="0"/>
    <n v="0"/>
    <n v="0"/>
    <n v="0"/>
    <n v="0"/>
    <n v="0"/>
    <x v="121"/>
    <x v="0"/>
    <x v="0"/>
    <x v="0"/>
  </r>
  <r>
    <s v="Description 3015"/>
    <s v="Code 3015"/>
    <n v="0"/>
    <n v="0"/>
    <n v="0"/>
    <n v="0"/>
    <n v="0"/>
    <n v="0"/>
    <n v="0"/>
    <n v="0"/>
    <n v="0"/>
    <n v="0"/>
    <n v="0"/>
    <x v="180"/>
    <x v="0"/>
    <x v="0"/>
    <x v="0"/>
  </r>
  <r>
    <s v="Description 3016"/>
    <s v="Code 3016"/>
    <n v="0"/>
    <n v="0"/>
    <n v="0"/>
    <n v="0"/>
    <n v="0"/>
    <n v="0"/>
    <n v="0"/>
    <n v="0"/>
    <n v="0"/>
    <n v="0"/>
    <n v="0"/>
    <x v="193"/>
    <x v="0"/>
    <x v="0"/>
    <x v="0"/>
  </r>
  <r>
    <s v="Description 3017"/>
    <s v="Code 3017"/>
    <n v="506"/>
    <n v="496"/>
    <n v="604"/>
    <n v="604"/>
    <n v="604"/>
    <n v="604"/>
    <n v="604"/>
    <n v="604"/>
    <n v="604"/>
    <n v="0"/>
    <n v="3934"/>
    <x v="126"/>
    <x v="0"/>
    <x v="0"/>
    <x v="0"/>
  </r>
  <r>
    <s v="Description 3018"/>
    <s v="Code 3018"/>
    <n v="0"/>
    <n v="0"/>
    <n v="0"/>
    <n v="0"/>
    <n v="0"/>
    <n v="0"/>
    <n v="0"/>
    <n v="0"/>
    <n v="0"/>
    <n v="0"/>
    <n v="338"/>
    <x v="45"/>
    <x v="0"/>
    <x v="0"/>
    <x v="0"/>
  </r>
  <r>
    <s v="Description 3019"/>
    <s v="Code 3019"/>
    <n v="248"/>
    <n v="248"/>
    <n v="248"/>
    <n v="248"/>
    <n v="248"/>
    <n v="248"/>
    <n v="248"/>
    <n v="248"/>
    <n v="248"/>
    <n v="0"/>
    <n v="664"/>
    <x v="19"/>
    <x v="0"/>
    <x v="0"/>
    <x v="0"/>
  </r>
  <r>
    <s v="Description 3020"/>
    <s v="Code 3020"/>
    <n v="62"/>
    <n v="65"/>
    <n v="82"/>
    <n v="74"/>
    <n v="62"/>
    <n v="64"/>
    <n v="68"/>
    <n v="67"/>
    <n v="38"/>
    <n v="0"/>
    <n v="0"/>
    <x v="79"/>
    <x v="0"/>
    <x v="0"/>
    <x v="0"/>
  </r>
  <r>
    <s v="Description 3021"/>
    <s v="Code 3021"/>
    <n v="100"/>
    <n v="100"/>
    <n v="200"/>
    <n v="120"/>
    <n v="110"/>
    <n v="120"/>
    <n v="60"/>
    <n v="40"/>
    <n v="140"/>
    <n v="0"/>
    <n v="106"/>
    <x v="137"/>
    <x v="0"/>
    <x v="1"/>
    <x v="0"/>
  </r>
  <r>
    <s v="Description 3022"/>
    <s v="Code 3022"/>
    <n v="270"/>
    <n v="300"/>
    <n v="320"/>
    <n v="363"/>
    <n v="180"/>
    <n v="240"/>
    <n v="240"/>
    <n v="194"/>
    <n v="120"/>
    <n v="0"/>
    <n v="241"/>
    <x v="145"/>
    <x v="0"/>
    <x v="0"/>
    <x v="0"/>
  </r>
  <r>
    <s v="Description 3023"/>
    <s v="Code 3023"/>
    <n v="0"/>
    <n v="0"/>
    <n v="0"/>
    <n v="0"/>
    <n v="0"/>
    <n v="0"/>
    <n v="0"/>
    <n v="0"/>
    <n v="0"/>
    <n v="0"/>
    <n v="280"/>
    <x v="106"/>
    <x v="0"/>
    <x v="0"/>
    <x v="0"/>
  </r>
  <r>
    <s v="Description 3024"/>
    <s v="Code 3024"/>
    <n v="4"/>
    <n v="4"/>
    <n v="4"/>
    <n v="4"/>
    <n v="4"/>
    <n v="6"/>
    <n v="4"/>
    <n v="4"/>
    <n v="4"/>
    <n v="0"/>
    <n v="0"/>
    <x v="142"/>
    <x v="0"/>
    <x v="0"/>
    <x v="0"/>
  </r>
  <r>
    <s v="Description 3025"/>
    <s v="Code 3025"/>
    <n v="0"/>
    <n v="0"/>
    <n v="0"/>
    <n v="1600"/>
    <n v="0"/>
    <n v="0"/>
    <n v="1600"/>
    <n v="0"/>
    <n v="0"/>
    <n v="0"/>
    <n v="379"/>
    <x v="95"/>
    <x v="0"/>
    <x v="0"/>
    <x v="0"/>
  </r>
  <r>
    <s v="Description 3026"/>
    <s v="Code 3026"/>
    <n v="0"/>
    <n v="0"/>
    <n v="50"/>
    <n v="0"/>
    <n v="50"/>
    <n v="50"/>
    <n v="0"/>
    <n v="0"/>
    <n v="0"/>
    <n v="0"/>
    <n v="148"/>
    <x v="151"/>
    <x v="0"/>
    <x v="0"/>
    <x v="0"/>
  </r>
  <r>
    <s v="Description 3027"/>
    <s v="Code 3027"/>
    <n v="198"/>
    <n v="120"/>
    <n v="170"/>
    <n v="120"/>
    <n v="206"/>
    <n v="128"/>
    <n v="208"/>
    <n v="78"/>
    <n v="120"/>
    <n v="0"/>
    <n v="0"/>
    <x v="6"/>
    <x v="0"/>
    <x v="0"/>
    <x v="0"/>
  </r>
  <r>
    <s v="Description 3028"/>
    <s v="Code 3028"/>
    <n v="0"/>
    <n v="0"/>
    <n v="0"/>
    <n v="0"/>
    <n v="0"/>
    <n v="0"/>
    <n v="0"/>
    <n v="0"/>
    <n v="0"/>
    <n v="0"/>
    <n v="0"/>
    <x v="59"/>
    <x v="0"/>
    <x v="0"/>
    <x v="0"/>
  </r>
  <r>
    <s v="Description 3029"/>
    <s v="Code 3029"/>
    <n v="5504"/>
    <n v="3952"/>
    <n v="4640"/>
    <n v="4680"/>
    <n v="4186"/>
    <n v="4680"/>
    <n v="3624"/>
    <n v="3076"/>
    <n v="3236"/>
    <n v="0"/>
    <n v="0"/>
    <x v="49"/>
    <x v="0"/>
    <x v="0"/>
    <x v="0"/>
  </r>
  <r>
    <s v="Description 3030"/>
    <s v="Code 3030"/>
    <n v="100"/>
    <n v="110"/>
    <n v="140"/>
    <n v="140"/>
    <n v="100"/>
    <n v="170"/>
    <n v="120"/>
    <n v="100"/>
    <n v="100"/>
    <n v="0"/>
    <n v="40"/>
    <x v="25"/>
    <x v="0"/>
    <x v="1"/>
    <x v="0"/>
  </r>
  <r>
    <s v="Description 3031"/>
    <s v="Code 3031"/>
    <n v="10"/>
    <n v="10"/>
    <n v="15"/>
    <n v="10"/>
    <n v="10"/>
    <n v="10"/>
    <n v="10"/>
    <n v="5"/>
    <n v="10"/>
    <n v="0"/>
    <n v="612"/>
    <x v="9"/>
    <x v="0"/>
    <x v="0"/>
    <x v="0"/>
  </r>
  <r>
    <s v="Description 3032"/>
    <s v="Code 3032"/>
    <n v="2"/>
    <n v="2"/>
    <n v="2"/>
    <n v="12"/>
    <n v="2"/>
    <n v="2"/>
    <n v="2"/>
    <n v="2"/>
    <n v="2"/>
    <n v="0"/>
    <n v="18"/>
    <x v="185"/>
    <x v="0"/>
    <x v="0"/>
    <x v="0"/>
  </r>
  <r>
    <s v="Description 3033"/>
    <s v="Code 3033"/>
    <n v="0"/>
    <n v="0"/>
    <n v="0"/>
    <n v="10"/>
    <n v="0"/>
    <n v="0"/>
    <n v="0"/>
    <n v="0"/>
    <n v="0"/>
    <n v="0"/>
    <n v="737"/>
    <x v="84"/>
    <x v="0"/>
    <x v="0"/>
    <x v="0"/>
  </r>
  <r>
    <s v="Description 3034"/>
    <s v="Code 3034"/>
    <n v="0"/>
    <n v="0"/>
    <n v="0"/>
    <n v="0"/>
    <n v="0"/>
    <n v="0"/>
    <n v="0"/>
    <n v="0"/>
    <n v="0"/>
    <n v="0"/>
    <n v="0"/>
    <x v="61"/>
    <x v="0"/>
    <x v="0"/>
    <x v="0"/>
  </r>
  <r>
    <s v="Description 3035"/>
    <s v="Code 3035"/>
    <n v="0"/>
    <n v="0"/>
    <n v="0"/>
    <n v="0"/>
    <n v="0"/>
    <n v="0"/>
    <n v="0"/>
    <n v="0"/>
    <n v="0"/>
    <n v="0"/>
    <n v="1066"/>
    <x v="178"/>
    <x v="0"/>
    <x v="0"/>
    <x v="0"/>
  </r>
  <r>
    <s v="Description 3036"/>
    <s v="Code 3036"/>
    <n v="216"/>
    <n v="232"/>
    <n v="314"/>
    <n v="242"/>
    <n v="222"/>
    <n v="192"/>
    <n v="192"/>
    <n v="186"/>
    <n v="182"/>
    <n v="0"/>
    <n v="21868"/>
    <x v="134"/>
    <x v="0"/>
    <x v="0"/>
    <x v="0"/>
  </r>
  <r>
    <s v="Description 3037"/>
    <s v="Code 3037"/>
    <n v="112"/>
    <n v="58"/>
    <n v="94"/>
    <n v="94"/>
    <n v="74"/>
    <n v="75"/>
    <n v="74"/>
    <n v="2"/>
    <n v="2"/>
    <n v="0"/>
    <n v="79"/>
    <x v="100"/>
    <x v="0"/>
    <x v="0"/>
    <x v="0"/>
  </r>
  <r>
    <s v="Description 3038"/>
    <s v="Code 3038"/>
    <n v="0"/>
    <n v="0"/>
    <n v="0"/>
    <n v="210"/>
    <n v="100"/>
    <n v="200"/>
    <n v="0"/>
    <n v="0"/>
    <n v="10"/>
    <n v="0"/>
    <n v="3000"/>
    <x v="156"/>
    <x v="0"/>
    <x v="0"/>
    <x v="0"/>
  </r>
  <r>
    <s v="Description 3039"/>
    <s v="Code 3039"/>
    <n v="1"/>
    <n v="1"/>
    <n v="1"/>
    <n v="1"/>
    <n v="1"/>
    <n v="1"/>
    <n v="1"/>
    <n v="1"/>
    <n v="1"/>
    <n v="0"/>
    <n v="0"/>
    <x v="115"/>
    <x v="0"/>
    <x v="0"/>
    <x v="0"/>
  </r>
  <r>
    <s v="Description 3040"/>
    <s v="Code 3040"/>
    <n v="0"/>
    <n v="0"/>
    <n v="0"/>
    <n v="0"/>
    <n v="0"/>
    <n v="0"/>
    <n v="0"/>
    <n v="0"/>
    <n v="0"/>
    <n v="0"/>
    <n v="136"/>
    <x v="145"/>
    <x v="0"/>
    <x v="0"/>
    <x v="0"/>
  </r>
  <r>
    <s v="Description 3041"/>
    <s v="Code 3041"/>
    <n v="96"/>
    <n v="104"/>
    <n v="242"/>
    <n v="104"/>
    <n v="160"/>
    <n v="72"/>
    <n v="136"/>
    <n v="154"/>
    <n v="150"/>
    <n v="0"/>
    <n v="743"/>
    <x v="186"/>
    <x v="0"/>
    <x v="0"/>
    <x v="0"/>
  </r>
  <r>
    <s v="Description 3042"/>
    <s v="Code 3042"/>
    <n v="0"/>
    <n v="0"/>
    <n v="0"/>
    <n v="0"/>
    <n v="1"/>
    <n v="0"/>
    <n v="0"/>
    <n v="0"/>
    <n v="0"/>
    <n v="0"/>
    <n v="0"/>
    <x v="119"/>
    <x v="0"/>
    <x v="1"/>
    <x v="0"/>
  </r>
  <r>
    <s v="Description 3043"/>
    <s v="Code 3043"/>
    <n v="9"/>
    <n v="0"/>
    <n v="0"/>
    <n v="0"/>
    <n v="0"/>
    <n v="0"/>
    <n v="0"/>
    <n v="0"/>
    <n v="0"/>
    <n v="0"/>
    <n v="0"/>
    <x v="7"/>
    <x v="0"/>
    <x v="0"/>
    <x v="0"/>
  </r>
  <r>
    <s v="Description 3044"/>
    <s v="Code 3044"/>
    <n v="5"/>
    <n v="0"/>
    <n v="108"/>
    <n v="108"/>
    <n v="108"/>
    <n v="108"/>
    <n v="108"/>
    <n v="108"/>
    <n v="108"/>
    <n v="0"/>
    <n v="199"/>
    <x v="74"/>
    <x v="0"/>
    <x v="0"/>
    <x v="0"/>
  </r>
  <r>
    <s v="Description 3045"/>
    <s v="Code 3045"/>
    <n v="0"/>
    <n v="2"/>
    <n v="2"/>
    <n v="2"/>
    <n v="2"/>
    <n v="2"/>
    <n v="2"/>
    <n v="2"/>
    <n v="2"/>
    <n v="0"/>
    <n v="50"/>
    <x v="130"/>
    <x v="0"/>
    <x v="1"/>
    <x v="0"/>
  </r>
  <r>
    <s v="Description 3046"/>
    <s v="Code 3046"/>
    <n v="0"/>
    <n v="0"/>
    <n v="0"/>
    <n v="0"/>
    <n v="0"/>
    <n v="0"/>
    <n v="50"/>
    <n v="0"/>
    <n v="0"/>
    <n v="0"/>
    <n v="572"/>
    <x v="182"/>
    <x v="0"/>
    <x v="0"/>
    <x v="0"/>
  </r>
  <r>
    <s v="Description 3047"/>
    <s v="Code 3047"/>
    <n v="620"/>
    <n v="492"/>
    <n v="783"/>
    <n v="818"/>
    <n v="554"/>
    <n v="768"/>
    <n v="394"/>
    <n v="286"/>
    <n v="624"/>
    <n v="0"/>
    <n v="300"/>
    <x v="41"/>
    <x v="0"/>
    <x v="0"/>
    <x v="0"/>
  </r>
  <r>
    <s v="Description 3048"/>
    <s v="Code 3048"/>
    <n v="0"/>
    <n v="0"/>
    <n v="0"/>
    <n v="0"/>
    <n v="0"/>
    <n v="0"/>
    <n v="0"/>
    <n v="0"/>
    <n v="0"/>
    <n v="0"/>
    <n v="1297"/>
    <x v="101"/>
    <x v="0"/>
    <x v="0"/>
    <x v="0"/>
  </r>
  <r>
    <s v="Description 3049"/>
    <s v="Code 3049"/>
    <n v="52"/>
    <n v="12"/>
    <n v="44"/>
    <n v="28"/>
    <n v="40"/>
    <n v="44"/>
    <n v="8"/>
    <n v="28"/>
    <n v="64"/>
    <n v="0"/>
    <n v="0"/>
    <x v="124"/>
    <x v="0"/>
    <x v="0"/>
    <x v="0"/>
  </r>
  <r>
    <s v="Description 3050"/>
    <s v="Code 3050"/>
    <n v="40"/>
    <n v="0"/>
    <n v="0"/>
    <n v="40"/>
    <n v="40"/>
    <n v="0"/>
    <n v="0"/>
    <n v="0"/>
    <n v="0"/>
    <n v="0"/>
    <n v="1000"/>
    <x v="160"/>
    <x v="0"/>
    <x v="0"/>
    <x v="0"/>
  </r>
  <r>
    <s v="Description 3051"/>
    <s v="Code 3051"/>
    <n v="0"/>
    <n v="0"/>
    <n v="0"/>
    <n v="0"/>
    <n v="0"/>
    <n v="0"/>
    <n v="0"/>
    <n v="0"/>
    <n v="0"/>
    <n v="0"/>
    <n v="0"/>
    <x v="57"/>
    <x v="0"/>
    <x v="0"/>
    <x v="0"/>
  </r>
  <r>
    <s v="Description 3052"/>
    <s v="Code 3052"/>
    <n v="1404"/>
    <n v="1218"/>
    <n v="1404"/>
    <n v="1404"/>
    <n v="1404"/>
    <n v="1404"/>
    <n v="1080"/>
    <n v="1512"/>
    <n v="1414"/>
    <n v="0"/>
    <n v="0"/>
    <x v="105"/>
    <x v="0"/>
    <x v="1"/>
    <x v="0"/>
  </r>
  <r>
    <s v="Description 3053"/>
    <s v="Code 3053"/>
    <n v="0"/>
    <n v="0"/>
    <n v="0"/>
    <n v="0"/>
    <n v="0"/>
    <n v="0"/>
    <n v="0"/>
    <n v="0"/>
    <n v="0"/>
    <n v="0"/>
    <n v="0"/>
    <x v="41"/>
    <x v="0"/>
    <x v="0"/>
    <x v="0"/>
  </r>
  <r>
    <s v="Description 3054"/>
    <s v="Code 3054"/>
    <n v="0"/>
    <n v="0"/>
    <n v="0"/>
    <n v="0"/>
    <n v="0"/>
    <n v="0"/>
    <n v="0"/>
    <n v="0"/>
    <n v="0"/>
    <n v="0"/>
    <n v="0"/>
    <x v="41"/>
    <x v="0"/>
    <x v="0"/>
    <x v="0"/>
  </r>
  <r>
    <s v="Description 3055"/>
    <s v="Code 3055"/>
    <n v="2808"/>
    <n v="2376"/>
    <n v="2808"/>
    <n v="2808"/>
    <n v="2808"/>
    <n v="2808"/>
    <n v="2160"/>
    <n v="3024"/>
    <n v="2808"/>
    <n v="0"/>
    <n v="178"/>
    <x v="106"/>
    <x v="0"/>
    <x v="0"/>
    <x v="0"/>
  </r>
  <r>
    <s v="Description 3056"/>
    <s v="Code 3056"/>
    <n v="0"/>
    <n v="0"/>
    <n v="0"/>
    <n v="0"/>
    <n v="0"/>
    <n v="0"/>
    <n v="0"/>
    <n v="0"/>
    <n v="0"/>
    <n v="0"/>
    <n v="290"/>
    <x v="193"/>
    <x v="0"/>
    <x v="0"/>
    <x v="0"/>
  </r>
  <r>
    <s v="Description 3057"/>
    <s v="Code 3057"/>
    <n v="14"/>
    <n v="22"/>
    <n v="32"/>
    <n v="30"/>
    <n v="22"/>
    <n v="30"/>
    <n v="46"/>
    <n v="30"/>
    <n v="10"/>
    <n v="0"/>
    <n v="0"/>
    <x v="198"/>
    <x v="0"/>
    <x v="0"/>
    <x v="0"/>
  </r>
  <r>
    <s v="Description 3058"/>
    <s v="Code 3058"/>
    <n v="10"/>
    <n v="0"/>
    <n v="4"/>
    <n v="12"/>
    <n v="0"/>
    <n v="0"/>
    <n v="0"/>
    <n v="0"/>
    <n v="4"/>
    <n v="0"/>
    <n v="1412"/>
    <x v="26"/>
    <x v="0"/>
    <x v="1"/>
    <x v="0"/>
  </r>
  <r>
    <s v="Description 3059"/>
    <s v="Code 3059"/>
    <n v="28"/>
    <n v="143"/>
    <n v="55"/>
    <n v="22"/>
    <n v="45"/>
    <n v="41"/>
    <n v="171"/>
    <n v="15"/>
    <n v="16"/>
    <n v="0"/>
    <n v="0"/>
    <x v="98"/>
    <x v="0"/>
    <x v="0"/>
    <x v="0"/>
  </r>
  <r>
    <s v="Description 3060"/>
    <s v="Code 3060"/>
    <n v="50"/>
    <n v="55"/>
    <n v="70"/>
    <n v="70"/>
    <n v="50"/>
    <n v="85"/>
    <n v="60"/>
    <n v="50"/>
    <n v="50"/>
    <n v="0"/>
    <n v="0"/>
    <x v="179"/>
    <x v="0"/>
    <x v="0"/>
    <x v="0"/>
  </r>
  <r>
    <s v="Description 3061"/>
    <s v="Code 3061"/>
    <n v="2808"/>
    <n v="2436"/>
    <n v="2808"/>
    <n v="2808"/>
    <n v="2808"/>
    <n v="2808"/>
    <n v="2160"/>
    <n v="3024"/>
    <n v="2828"/>
    <n v="0"/>
    <n v="0"/>
    <x v="0"/>
    <x v="0"/>
    <x v="0"/>
    <x v="0"/>
  </r>
  <r>
    <s v="Description 3062"/>
    <s v="Code 3062"/>
    <n v="40"/>
    <n v="45"/>
    <n v="50"/>
    <n v="60"/>
    <n v="40"/>
    <n v="75"/>
    <n v="50"/>
    <n v="40"/>
    <n v="40"/>
    <n v="0"/>
    <n v="0"/>
    <x v="126"/>
    <x v="0"/>
    <x v="0"/>
    <x v="0"/>
  </r>
  <r>
    <s v="Description 3063"/>
    <s v="Code 3063"/>
    <n v="4212"/>
    <n v="3564"/>
    <n v="4212"/>
    <n v="4212"/>
    <n v="4212"/>
    <n v="4212"/>
    <n v="3240"/>
    <n v="4536"/>
    <n v="4212"/>
    <n v="0"/>
    <n v="23240"/>
    <x v="152"/>
    <x v="0"/>
    <x v="0"/>
    <x v="0"/>
  </r>
  <r>
    <s v="Description 3064"/>
    <s v="Code 3064"/>
    <n v="120"/>
    <n v="138"/>
    <n v="180"/>
    <n v="132"/>
    <n v="120"/>
    <n v="96"/>
    <n v="96"/>
    <n v="90"/>
    <n v="96"/>
    <n v="0"/>
    <n v="0"/>
    <x v="141"/>
    <x v="0"/>
    <x v="0"/>
    <x v="0"/>
  </r>
  <r>
    <s v="Description 3065"/>
    <s v="Code 3065"/>
    <n v="2617"/>
    <n v="2712"/>
    <n v="2796"/>
    <n v="2324"/>
    <n v="1968"/>
    <n v="1584"/>
    <n v="1736"/>
    <n v="1856"/>
    <n v="1624"/>
    <n v="0"/>
    <n v="0"/>
    <x v="3"/>
    <x v="0"/>
    <x v="0"/>
    <x v="0"/>
  </r>
  <r>
    <s v="Description 3066"/>
    <s v="Code 3066"/>
    <n v="20"/>
    <n v="25"/>
    <n v="35"/>
    <n v="25"/>
    <n v="20"/>
    <n v="25"/>
    <n v="25"/>
    <n v="10"/>
    <n v="25"/>
    <n v="0"/>
    <n v="0"/>
    <x v="19"/>
    <x v="0"/>
    <x v="0"/>
    <x v="0"/>
  </r>
  <r>
    <s v="Description 3067"/>
    <s v="Code 3067"/>
    <n v="0"/>
    <n v="0"/>
    <n v="0"/>
    <n v="0"/>
    <n v="0"/>
    <n v="0"/>
    <n v="0"/>
    <n v="0"/>
    <n v="0"/>
    <n v="0"/>
    <n v="153"/>
    <x v="165"/>
    <x v="0"/>
    <x v="0"/>
    <x v="0"/>
  </r>
  <r>
    <s v="Description 3068"/>
    <s v="Code 3068"/>
    <n v="5"/>
    <n v="9"/>
    <n v="13"/>
    <n v="17"/>
    <n v="9"/>
    <n v="17"/>
    <n v="33"/>
    <n v="21"/>
    <n v="1"/>
    <n v="0"/>
    <n v="500"/>
    <x v="86"/>
    <x v="0"/>
    <x v="0"/>
    <x v="0"/>
  </r>
  <r>
    <s v="Description 3069"/>
    <s v="Code 3069"/>
    <n v="1"/>
    <n v="0"/>
    <n v="0"/>
    <n v="0"/>
    <n v="5"/>
    <n v="7"/>
    <n v="1"/>
    <n v="4"/>
    <n v="0"/>
    <n v="0"/>
    <n v="0"/>
    <x v="180"/>
    <x v="0"/>
    <x v="0"/>
    <x v="0"/>
  </r>
  <r>
    <s v="Description 3070"/>
    <s v="Code 3070"/>
    <n v="120"/>
    <n v="90"/>
    <n v="90"/>
    <n v="90"/>
    <n v="90"/>
    <n v="45"/>
    <n v="90"/>
    <n v="45"/>
    <n v="90"/>
    <n v="0"/>
    <n v="1610"/>
    <x v="42"/>
    <x v="0"/>
    <x v="1"/>
    <x v="0"/>
  </r>
  <r>
    <s v="Description 3071"/>
    <s v="Code 3071"/>
    <n v="2984"/>
    <n v="2411"/>
    <n v="3284"/>
    <n v="3558"/>
    <n v="3385"/>
    <n v="2319"/>
    <n v="2781"/>
    <n v="2389"/>
    <n v="2315"/>
    <n v="0"/>
    <n v="0"/>
    <x v="37"/>
    <x v="0"/>
    <x v="0"/>
    <x v="0"/>
  </r>
  <r>
    <s v="Description 3072"/>
    <s v="Code 3072"/>
    <n v="0"/>
    <n v="0"/>
    <n v="0"/>
    <n v="0"/>
    <n v="0"/>
    <n v="0"/>
    <n v="0"/>
    <n v="0"/>
    <n v="0"/>
    <n v="0"/>
    <n v="3752"/>
    <x v="144"/>
    <x v="0"/>
    <x v="0"/>
    <x v="0"/>
  </r>
  <r>
    <s v="Description 3073"/>
    <s v="Code 3073"/>
    <n v="318"/>
    <n v="144"/>
    <n v="82"/>
    <n v="323"/>
    <n v="113"/>
    <n v="90"/>
    <n v="114"/>
    <n v="144"/>
    <n v="104"/>
    <n v="0"/>
    <n v="6430"/>
    <x v="120"/>
    <x v="0"/>
    <x v="0"/>
    <x v="0"/>
  </r>
  <r>
    <s v="Description 3074"/>
    <s v="Code 3074"/>
    <n v="1384"/>
    <n v="0"/>
    <n v="0"/>
    <n v="0"/>
    <n v="0"/>
    <n v="0"/>
    <n v="0"/>
    <n v="0"/>
    <n v="0"/>
    <n v="0"/>
    <n v="381"/>
    <x v="37"/>
    <x v="0"/>
    <x v="0"/>
    <x v="0"/>
  </r>
  <r>
    <s v="Description 3075"/>
    <s v="Code 3075"/>
    <n v="40"/>
    <n v="46"/>
    <n v="60"/>
    <n v="44"/>
    <n v="40"/>
    <n v="32"/>
    <n v="32"/>
    <n v="30"/>
    <n v="32"/>
    <n v="0"/>
    <n v="0"/>
    <x v="159"/>
    <x v="0"/>
    <x v="0"/>
    <x v="0"/>
  </r>
  <r>
    <s v="Description 3076"/>
    <s v="Code 3076"/>
    <n v="8"/>
    <n v="14"/>
    <n v="8"/>
    <n v="14"/>
    <n v="15"/>
    <n v="15"/>
    <n v="15"/>
    <n v="8"/>
    <n v="8"/>
    <n v="0"/>
    <n v="313"/>
    <x v="12"/>
    <x v="0"/>
    <x v="0"/>
    <x v="0"/>
  </r>
  <r>
    <s v="Description 3077"/>
    <s v="Code 3077"/>
    <n v="88"/>
    <n v="110"/>
    <n v="80"/>
    <n v="80"/>
    <n v="96"/>
    <n v="88"/>
    <n v="88"/>
    <n v="88"/>
    <n v="80"/>
    <n v="0"/>
    <n v="1900"/>
    <x v="87"/>
    <x v="0"/>
    <x v="0"/>
    <x v="0"/>
  </r>
  <r>
    <s v="Description 3078"/>
    <s v="Code 3078"/>
    <n v="0"/>
    <n v="0"/>
    <n v="0"/>
    <n v="0"/>
    <n v="0"/>
    <n v="0"/>
    <n v="32"/>
    <n v="0"/>
    <n v="0"/>
    <n v="0"/>
    <n v="739"/>
    <x v="179"/>
    <x v="0"/>
    <x v="0"/>
    <x v="0"/>
  </r>
  <r>
    <s v="Description 3079"/>
    <s v="Code 3079"/>
    <n v="18"/>
    <n v="17"/>
    <n v="8"/>
    <n v="34"/>
    <n v="12"/>
    <n v="11"/>
    <n v="10"/>
    <n v="14"/>
    <n v="12"/>
    <n v="0"/>
    <n v="442"/>
    <x v="126"/>
    <x v="0"/>
    <x v="0"/>
    <x v="0"/>
  </r>
  <r>
    <s v="Description 3080"/>
    <s v="Code 3080"/>
    <n v="4"/>
    <n v="14"/>
    <n v="0"/>
    <n v="20"/>
    <n v="10"/>
    <n v="6"/>
    <n v="6"/>
    <n v="12"/>
    <n v="2"/>
    <n v="0"/>
    <n v="0"/>
    <x v="61"/>
    <x v="0"/>
    <x v="0"/>
    <x v="0"/>
  </r>
  <r>
    <s v="Description 3081"/>
    <s v="Code 3081"/>
    <n v="100"/>
    <n v="50"/>
    <n v="50"/>
    <n v="50"/>
    <n v="50"/>
    <n v="50"/>
    <n v="50"/>
    <n v="50"/>
    <n v="50"/>
    <n v="0"/>
    <n v="0"/>
    <x v="98"/>
    <x v="0"/>
    <x v="0"/>
    <x v="0"/>
  </r>
  <r>
    <s v="Description 3082"/>
    <s v="Code 3082"/>
    <n v="120"/>
    <n v="60"/>
    <n v="80"/>
    <n v="170"/>
    <n v="120"/>
    <n v="60"/>
    <n v="120"/>
    <n v="110"/>
    <n v="120"/>
    <n v="0"/>
    <n v="0"/>
    <x v="120"/>
    <x v="0"/>
    <x v="0"/>
    <x v="0"/>
  </r>
  <r>
    <s v="Description 3083"/>
    <s v="Code 3083"/>
    <n v="60"/>
    <n v="30"/>
    <n v="30"/>
    <n v="60"/>
    <n v="60"/>
    <n v="30"/>
    <n v="60"/>
    <n v="30"/>
    <n v="60"/>
    <n v="0"/>
    <n v="0"/>
    <x v="56"/>
    <x v="0"/>
    <x v="0"/>
    <x v="0"/>
  </r>
  <r>
    <s v="Description 3084"/>
    <s v="Code 3084"/>
    <n v="120"/>
    <n v="15"/>
    <n v="15"/>
    <n v="30"/>
    <n v="120"/>
    <n v="15"/>
    <n v="30"/>
    <n v="105"/>
    <n v="30"/>
    <n v="0"/>
    <n v="625"/>
    <x v="1"/>
    <x v="0"/>
    <x v="0"/>
    <x v="0"/>
  </r>
  <r>
    <s v="Description 3085"/>
    <s v="Code 3085"/>
    <n v="4"/>
    <n v="0"/>
    <n v="104"/>
    <n v="100"/>
    <n v="202"/>
    <n v="100"/>
    <n v="100"/>
    <n v="102"/>
    <n v="100"/>
    <n v="0"/>
    <n v="1000"/>
    <x v="84"/>
    <x v="0"/>
    <x v="0"/>
    <x v="0"/>
  </r>
  <r>
    <s v="Description 3086"/>
    <s v="Code 3086"/>
    <n v="2"/>
    <n v="0"/>
    <n v="0"/>
    <n v="0"/>
    <n v="0"/>
    <n v="0"/>
    <n v="0"/>
    <n v="0"/>
    <n v="0"/>
    <n v="0"/>
    <n v="0"/>
    <x v="43"/>
    <x v="0"/>
    <x v="0"/>
    <x v="0"/>
  </r>
  <r>
    <s v="Description 3087"/>
    <s v="Code 3087"/>
    <n v="240"/>
    <n v="120"/>
    <n v="120"/>
    <n v="120"/>
    <n v="120"/>
    <n v="60"/>
    <n v="120"/>
    <n v="60"/>
    <n v="120"/>
    <n v="0"/>
    <n v="560"/>
    <x v="109"/>
    <x v="0"/>
    <x v="0"/>
    <x v="0"/>
  </r>
  <r>
    <s v="Description 3088"/>
    <s v="Code 3088"/>
    <n v="258"/>
    <n v="0"/>
    <n v="0"/>
    <n v="0"/>
    <n v="0"/>
    <n v="0"/>
    <n v="0"/>
    <n v="0"/>
    <n v="0"/>
    <n v="0"/>
    <n v="0"/>
    <x v="55"/>
    <x v="0"/>
    <x v="0"/>
    <x v="0"/>
  </r>
  <r>
    <s v="Description 3089"/>
    <s v="Code 3089"/>
    <n v="150"/>
    <n v="0"/>
    <n v="0"/>
    <n v="0"/>
    <n v="150"/>
    <n v="0"/>
    <n v="0"/>
    <n v="150"/>
    <n v="0"/>
    <n v="0"/>
    <n v="1056"/>
    <x v="139"/>
    <x v="0"/>
    <x v="0"/>
    <x v="0"/>
  </r>
  <r>
    <s v="Description 3090"/>
    <s v="Code 3090"/>
    <n v="375"/>
    <n v="429"/>
    <n v="560"/>
    <n v="416"/>
    <n v="375"/>
    <n v="303"/>
    <n v="308"/>
    <n v="290"/>
    <n v="293"/>
    <n v="0"/>
    <n v="1064"/>
    <x v="65"/>
    <x v="0"/>
    <x v="0"/>
    <x v="0"/>
  </r>
  <r>
    <s v="Description 3091"/>
    <s v="Code 3091"/>
    <n v="2643"/>
    <n v="2276"/>
    <n v="2675"/>
    <n v="2438"/>
    <n v="2503"/>
    <n v="2468"/>
    <n v="2030"/>
    <n v="2037"/>
    <n v="2000"/>
    <n v="0"/>
    <n v="0"/>
    <x v="88"/>
    <x v="0"/>
    <x v="0"/>
    <x v="0"/>
  </r>
  <r>
    <s v="Description 3092"/>
    <s v="Code 3092"/>
    <n v="60"/>
    <n v="0"/>
    <n v="0"/>
    <n v="0"/>
    <n v="60"/>
    <n v="0"/>
    <n v="0"/>
    <n v="60"/>
    <n v="0"/>
    <n v="0"/>
    <n v="0"/>
    <x v="182"/>
    <x v="0"/>
    <x v="0"/>
    <x v="0"/>
  </r>
  <r>
    <s v="Description 3093"/>
    <s v="Code 3093"/>
    <n v="120"/>
    <n v="30"/>
    <n v="30"/>
    <n v="30"/>
    <n v="90"/>
    <n v="15"/>
    <n v="30"/>
    <n v="75"/>
    <n v="30"/>
    <n v="0"/>
    <n v="0"/>
    <x v="189"/>
    <x v="0"/>
    <x v="0"/>
    <x v="0"/>
  </r>
  <r>
    <s v="Description 3094"/>
    <s v="Code 3094"/>
    <n v="120"/>
    <n v="120"/>
    <n v="120"/>
    <n v="120"/>
    <n v="120"/>
    <n v="60"/>
    <n v="120"/>
    <n v="60"/>
    <n v="120"/>
    <n v="0"/>
    <n v="0"/>
    <x v="61"/>
    <x v="0"/>
    <x v="0"/>
    <x v="0"/>
  </r>
  <r>
    <s v="Description 3095"/>
    <s v="Code 3095"/>
    <n v="150"/>
    <n v="60"/>
    <n v="60"/>
    <n v="60"/>
    <n v="150"/>
    <n v="30"/>
    <n v="60"/>
    <n v="120"/>
    <n v="60"/>
    <n v="0"/>
    <n v="0"/>
    <x v="147"/>
    <x v="0"/>
    <x v="0"/>
    <x v="0"/>
  </r>
  <r>
    <s v="Description 3096"/>
    <s v="Code 3096"/>
    <n v="294"/>
    <n v="242"/>
    <n v="159"/>
    <n v="283"/>
    <n v="174"/>
    <n v="120"/>
    <n v="0"/>
    <n v="120"/>
    <n v="120"/>
    <n v="0"/>
    <n v="0"/>
    <x v="122"/>
    <x v="0"/>
    <x v="0"/>
    <x v="0"/>
  </r>
  <r>
    <s v="Description 3097"/>
    <s v="Code 3097"/>
    <n v="0"/>
    <n v="0"/>
    <n v="0"/>
    <n v="0"/>
    <n v="0"/>
    <n v="0"/>
    <n v="0"/>
    <n v="0"/>
    <n v="0"/>
    <n v="0"/>
    <n v="8946"/>
    <x v="27"/>
    <x v="0"/>
    <x v="0"/>
    <x v="0"/>
  </r>
  <r>
    <s v="Description 3098"/>
    <s v="Code 3098"/>
    <n v="0"/>
    <n v="0"/>
    <n v="0"/>
    <n v="0"/>
    <n v="0"/>
    <n v="0"/>
    <n v="0"/>
    <n v="0"/>
    <n v="0"/>
    <n v="0"/>
    <n v="0"/>
    <x v="108"/>
    <x v="0"/>
    <x v="1"/>
    <x v="0"/>
  </r>
  <r>
    <s v="Description 3099"/>
    <s v="Code 3099"/>
    <n v="330"/>
    <n v="60"/>
    <n v="60"/>
    <n v="60"/>
    <n v="270"/>
    <n v="30"/>
    <n v="60"/>
    <n v="240"/>
    <n v="60"/>
    <n v="0"/>
    <n v="0"/>
    <x v="197"/>
    <x v="0"/>
    <x v="0"/>
    <x v="0"/>
  </r>
  <r>
    <s v="Description 3100"/>
    <s v="Code 3100"/>
    <n v="30"/>
    <n v="0"/>
    <n v="0"/>
    <n v="0"/>
    <n v="30"/>
    <n v="0"/>
    <n v="0"/>
    <n v="30"/>
    <n v="0"/>
    <n v="0"/>
    <n v="0"/>
    <x v="161"/>
    <x v="0"/>
    <x v="0"/>
    <x v="0"/>
  </r>
  <r>
    <s v="Description 3101"/>
    <s v="Code 3101"/>
    <n v="60"/>
    <n v="0"/>
    <n v="0"/>
    <n v="0"/>
    <n v="60"/>
    <n v="0"/>
    <n v="0"/>
    <n v="60"/>
    <n v="0"/>
    <n v="0"/>
    <n v="65"/>
    <x v="110"/>
    <x v="0"/>
    <x v="0"/>
    <x v="0"/>
  </r>
  <r>
    <s v="Description 3102"/>
    <s v="Code 3102"/>
    <n v="0"/>
    <n v="120"/>
    <n v="0"/>
    <n v="0"/>
    <n v="0"/>
    <n v="0"/>
    <n v="120"/>
    <n v="0"/>
    <n v="0"/>
    <n v="0"/>
    <n v="3178"/>
    <x v="15"/>
    <x v="0"/>
    <x v="0"/>
    <x v="0"/>
  </r>
  <r>
    <s v="Description 3103"/>
    <s v="Code 3103"/>
    <n v="20"/>
    <n v="0"/>
    <n v="0"/>
    <n v="20"/>
    <n v="20"/>
    <n v="0"/>
    <n v="0"/>
    <n v="0"/>
    <n v="0"/>
    <n v="0"/>
    <n v="267"/>
    <x v="129"/>
    <x v="0"/>
    <x v="1"/>
    <x v="0"/>
  </r>
  <r>
    <s v="Description 3104"/>
    <s v="Code 3104"/>
    <n v="43"/>
    <n v="37"/>
    <n v="95"/>
    <n v="151"/>
    <n v="44"/>
    <n v="45"/>
    <n v="48"/>
    <n v="151"/>
    <n v="30"/>
    <n v="0"/>
    <n v="0"/>
    <x v="61"/>
    <x v="0"/>
    <x v="0"/>
    <x v="0"/>
  </r>
  <r>
    <s v="Description 3105"/>
    <s v="Code 3105"/>
    <n v="0"/>
    <n v="0"/>
    <n v="0"/>
    <n v="0"/>
    <n v="0"/>
    <n v="0"/>
    <n v="0"/>
    <n v="0"/>
    <n v="0"/>
    <n v="0"/>
    <n v="534"/>
    <x v="29"/>
    <x v="0"/>
    <x v="0"/>
    <x v="0"/>
  </r>
  <r>
    <s v="Description 3106"/>
    <s v="Code 3106"/>
    <n v="60"/>
    <n v="44"/>
    <n v="62"/>
    <n v="66"/>
    <n v="77"/>
    <n v="68"/>
    <n v="41"/>
    <n v="62"/>
    <n v="89"/>
    <n v="0"/>
    <n v="577"/>
    <x v="65"/>
    <x v="0"/>
    <x v="0"/>
    <x v="0"/>
  </r>
  <r>
    <s v="Description 3107"/>
    <s v="Code 3107"/>
    <n v="124"/>
    <n v="120"/>
    <n v="20"/>
    <n v="184"/>
    <n v="68"/>
    <n v="40"/>
    <n v="64"/>
    <n v="162"/>
    <n v="50"/>
    <n v="0"/>
    <n v="25"/>
    <x v="94"/>
    <x v="0"/>
    <x v="0"/>
    <x v="0"/>
  </r>
  <r>
    <s v="Description 3108"/>
    <s v="Code 3108"/>
    <n v="6"/>
    <n v="9"/>
    <n v="4"/>
    <n v="12"/>
    <n v="9"/>
    <n v="5"/>
    <n v="5"/>
    <n v="8"/>
    <n v="5"/>
    <n v="0"/>
    <n v="110"/>
    <x v="60"/>
    <x v="0"/>
    <x v="0"/>
    <x v="0"/>
  </r>
  <r>
    <s v="Description 3109"/>
    <s v="Code 3109"/>
    <n v="439"/>
    <n v="449"/>
    <n v="580"/>
    <n v="600"/>
    <n v="445"/>
    <n v="441"/>
    <n v="586"/>
    <n v="592"/>
    <n v="147"/>
    <n v="0"/>
    <n v="419"/>
    <x v="117"/>
    <x v="0"/>
    <x v="0"/>
    <x v="0"/>
  </r>
  <r>
    <s v="Description 3110"/>
    <s v="Code 3110"/>
    <n v="738"/>
    <n v="675"/>
    <n v="1055"/>
    <n v="984"/>
    <n v="750"/>
    <n v="659"/>
    <n v="714"/>
    <n v="652"/>
    <n v="508"/>
    <n v="0"/>
    <n v="0"/>
    <x v="105"/>
    <x v="0"/>
    <x v="1"/>
    <x v="0"/>
  </r>
  <r>
    <s v="Description 3111"/>
    <s v="Code 3111"/>
    <n v="60"/>
    <n v="26"/>
    <n v="44"/>
    <n v="48"/>
    <n v="54"/>
    <n v="50"/>
    <n v="14"/>
    <n v="44"/>
    <n v="66"/>
    <n v="0"/>
    <n v="276"/>
    <x v="141"/>
    <x v="0"/>
    <x v="0"/>
    <x v="0"/>
  </r>
  <r>
    <s v="Description 3112"/>
    <s v="Code 3112"/>
    <n v="1922"/>
    <n v="1554"/>
    <n v="2198"/>
    <n v="2463"/>
    <n v="2053"/>
    <n v="1775"/>
    <n v="2085"/>
    <n v="1873"/>
    <n v="1730"/>
    <n v="0"/>
    <n v="0"/>
    <x v="40"/>
    <x v="0"/>
    <x v="0"/>
    <x v="0"/>
  </r>
  <r>
    <s v="Description 3113"/>
    <s v="Code 3113"/>
    <n v="60"/>
    <n v="0"/>
    <n v="0"/>
    <n v="0"/>
    <n v="60"/>
    <n v="0"/>
    <n v="0"/>
    <n v="60"/>
    <n v="0"/>
    <n v="0"/>
    <n v="330"/>
    <x v="55"/>
    <x v="0"/>
    <x v="0"/>
    <x v="0"/>
  </r>
  <r>
    <s v="Description 3114"/>
    <s v="Code 3114"/>
    <n v="13"/>
    <n v="28"/>
    <n v="0"/>
    <n v="40"/>
    <n v="20"/>
    <n v="12"/>
    <n v="13"/>
    <n v="24"/>
    <n v="4"/>
    <n v="0"/>
    <n v="272"/>
    <x v="192"/>
    <x v="0"/>
    <x v="0"/>
    <x v="0"/>
  </r>
  <r>
    <s v="Description 3115"/>
    <s v="Code 3115"/>
    <n v="332"/>
    <n v="362"/>
    <n v="380"/>
    <n v="432"/>
    <n v="278"/>
    <n v="336"/>
    <n v="300"/>
    <n v="268"/>
    <n v="174"/>
    <n v="0"/>
    <n v="0"/>
    <x v="109"/>
    <x v="0"/>
    <x v="0"/>
    <x v="0"/>
  </r>
  <r>
    <s v="Description 3116"/>
    <s v="Code 3116"/>
    <n v="0"/>
    <n v="0"/>
    <n v="0"/>
    <n v="0"/>
    <n v="0"/>
    <n v="0"/>
    <n v="0"/>
    <n v="0"/>
    <n v="0"/>
    <n v="0"/>
    <n v="460"/>
    <x v="175"/>
    <x v="0"/>
    <x v="0"/>
    <x v="0"/>
  </r>
  <r>
    <s v="Description 3117"/>
    <s v="Code 3117"/>
    <n v="0"/>
    <n v="0"/>
    <n v="0"/>
    <n v="0"/>
    <n v="0"/>
    <n v="0"/>
    <n v="0"/>
    <n v="0"/>
    <n v="0"/>
    <n v="0"/>
    <n v="0"/>
    <x v="44"/>
    <x v="0"/>
    <x v="0"/>
    <x v="0"/>
  </r>
  <r>
    <s v="Description 3118"/>
    <s v="Code 3118"/>
    <n v="20"/>
    <n v="0"/>
    <n v="0"/>
    <n v="0"/>
    <n v="0"/>
    <n v="0"/>
    <n v="0"/>
    <n v="0"/>
    <n v="0"/>
    <n v="0"/>
    <n v="0"/>
    <x v="189"/>
    <x v="0"/>
    <x v="0"/>
    <x v="0"/>
  </r>
  <r>
    <s v="Description 3119"/>
    <s v="Code 3119"/>
    <n v="40"/>
    <n v="80"/>
    <n v="80"/>
    <n v="40"/>
    <n v="80"/>
    <n v="40"/>
    <n v="40"/>
    <n v="40"/>
    <n v="80"/>
    <n v="0"/>
    <n v="226"/>
    <x v="157"/>
    <x v="0"/>
    <x v="0"/>
    <x v="0"/>
  </r>
  <r>
    <s v="Description 3120"/>
    <s v="Code 3120"/>
    <n v="28"/>
    <n v="48"/>
    <n v="48"/>
    <n v="36"/>
    <n v="40"/>
    <n v="28"/>
    <n v="36"/>
    <n v="52"/>
    <n v="40"/>
    <n v="0"/>
    <n v="0"/>
    <x v="3"/>
    <x v="0"/>
    <x v="0"/>
    <x v="0"/>
  </r>
  <r>
    <s v="Description 3121"/>
    <s v="Code 3121"/>
    <n v="20"/>
    <n v="40"/>
    <n v="40"/>
    <n v="20"/>
    <n v="40"/>
    <n v="20"/>
    <n v="20"/>
    <n v="20"/>
    <n v="40"/>
    <n v="0"/>
    <n v="838"/>
    <x v="6"/>
    <x v="0"/>
    <x v="0"/>
    <x v="0"/>
  </r>
  <r>
    <s v="Description 3122"/>
    <s v="Code 3122"/>
    <n v="64"/>
    <n v="70"/>
    <n v="38"/>
    <n v="132"/>
    <n v="76"/>
    <n v="50"/>
    <n v="64"/>
    <n v="48"/>
    <n v="68"/>
    <n v="0"/>
    <n v="666"/>
    <x v="21"/>
    <x v="0"/>
    <x v="0"/>
    <x v="0"/>
  </r>
  <r>
    <s v="Description 3123"/>
    <s v="Code 3123"/>
    <n v="2345"/>
    <n v="3683"/>
    <n v="3376"/>
    <n v="4347"/>
    <n v="2334"/>
    <n v="2673"/>
    <n v="2749"/>
    <n v="2310"/>
    <n v="1205"/>
    <n v="0"/>
    <n v="0"/>
    <x v="63"/>
    <x v="0"/>
    <x v="0"/>
    <x v="0"/>
  </r>
  <r>
    <s v="Description 3124"/>
    <s v="Code 3124"/>
    <n v="2847"/>
    <n v="3040"/>
    <n v="3108"/>
    <n v="3630"/>
    <n v="2630"/>
    <n v="1984"/>
    <n v="2102"/>
    <n v="1543"/>
    <n v="950"/>
    <n v="0"/>
    <n v="730"/>
    <x v="123"/>
    <x v="0"/>
    <x v="1"/>
    <x v="0"/>
  </r>
  <r>
    <s v="Description 3125"/>
    <s v="Code 3125"/>
    <n v="19"/>
    <n v="15"/>
    <n v="24"/>
    <n v="20"/>
    <n v="17"/>
    <n v="15"/>
    <n v="20"/>
    <n v="22"/>
    <n v="5"/>
    <n v="0"/>
    <n v="0"/>
    <x v="14"/>
    <x v="0"/>
    <x v="0"/>
    <x v="0"/>
  </r>
  <r>
    <s v="Description 3126"/>
    <s v="Code 3126"/>
    <n v="30"/>
    <n v="30"/>
    <n v="30"/>
    <n v="30"/>
    <n v="30"/>
    <n v="15"/>
    <n v="30"/>
    <n v="15"/>
    <n v="30"/>
    <n v="0"/>
    <n v="226"/>
    <x v="133"/>
    <x v="0"/>
    <x v="0"/>
    <x v="0"/>
  </r>
  <r>
    <s v="Description 3127"/>
    <s v="Code 3127"/>
    <n v="16"/>
    <n v="28"/>
    <n v="16"/>
    <n v="16"/>
    <n v="0"/>
    <n v="0"/>
    <n v="0"/>
    <n v="0"/>
    <n v="0"/>
    <n v="0"/>
    <n v="45"/>
    <x v="15"/>
    <x v="0"/>
    <x v="0"/>
    <x v="0"/>
  </r>
  <r>
    <s v="Description 3128"/>
    <s v="Code 3128"/>
    <n v="2"/>
    <n v="12"/>
    <n v="10"/>
    <n v="12"/>
    <n v="8"/>
    <n v="12"/>
    <n v="24"/>
    <n v="10"/>
    <n v="0"/>
    <n v="0"/>
    <n v="173"/>
    <x v="148"/>
    <x v="0"/>
    <x v="0"/>
    <x v="0"/>
  </r>
  <r>
    <s v="Description 3129"/>
    <s v="Code 3129"/>
    <n v="12"/>
    <n v="6"/>
    <n v="8"/>
    <n v="8"/>
    <n v="6"/>
    <n v="8"/>
    <n v="20"/>
    <n v="10"/>
    <n v="0"/>
    <n v="0"/>
    <n v="38"/>
    <x v="38"/>
    <x v="0"/>
    <x v="0"/>
    <x v="0"/>
  </r>
  <r>
    <s v="Description 3130"/>
    <s v="Code 3130"/>
    <n v="13"/>
    <n v="6"/>
    <n v="14"/>
    <n v="10"/>
    <n v="9"/>
    <n v="7"/>
    <n v="6"/>
    <n v="7"/>
    <n v="19"/>
    <n v="0"/>
    <n v="0"/>
    <x v="82"/>
    <x v="0"/>
    <x v="0"/>
    <x v="0"/>
  </r>
  <r>
    <s v="Description 3131"/>
    <s v="Code 3131"/>
    <n v="740"/>
    <n v="84"/>
    <n v="364"/>
    <n v="570"/>
    <n v="240"/>
    <n v="240"/>
    <n v="0"/>
    <n v="352"/>
    <n v="240"/>
    <n v="0"/>
    <n v="251"/>
    <x v="135"/>
    <x v="0"/>
    <x v="0"/>
    <x v="0"/>
  </r>
  <r>
    <s v="Description 3132"/>
    <s v="Code 3132"/>
    <n v="24"/>
    <n v="10"/>
    <n v="26"/>
    <n v="18"/>
    <n v="20"/>
    <n v="24"/>
    <n v="8"/>
    <n v="16"/>
    <n v="36"/>
    <n v="0"/>
    <n v="0"/>
    <x v="198"/>
    <x v="0"/>
    <x v="0"/>
    <x v="0"/>
  </r>
  <r>
    <s v="Description 3133"/>
    <s v="Code 3133"/>
    <n v="1"/>
    <n v="1"/>
    <n v="1"/>
    <n v="1"/>
    <n v="1"/>
    <n v="1"/>
    <n v="1"/>
    <n v="1"/>
    <n v="1"/>
    <n v="0"/>
    <n v="13"/>
    <x v="103"/>
    <x v="0"/>
    <x v="0"/>
    <x v="0"/>
  </r>
  <r>
    <s v="Description 3134"/>
    <s v="Code 3134"/>
    <n v="16"/>
    <n v="0"/>
    <n v="12"/>
    <n v="6"/>
    <n v="16"/>
    <n v="0"/>
    <n v="0"/>
    <n v="0"/>
    <n v="6"/>
    <n v="0"/>
    <n v="189"/>
    <x v="130"/>
    <x v="0"/>
    <x v="1"/>
    <x v="0"/>
  </r>
  <r>
    <s v="Description 3135"/>
    <s v="Code 3135"/>
    <n v="55"/>
    <n v="25"/>
    <n v="35"/>
    <n v="29"/>
    <n v="28"/>
    <n v="35"/>
    <n v="69"/>
    <n v="42"/>
    <n v="9"/>
    <n v="0"/>
    <n v="148"/>
    <x v="90"/>
    <x v="0"/>
    <x v="0"/>
    <x v="0"/>
  </r>
  <r>
    <s v="Description 3136"/>
    <s v="Code 3136"/>
    <n v="9"/>
    <n v="10"/>
    <n v="30"/>
    <n v="30"/>
    <n v="13"/>
    <n v="30"/>
    <n v="69"/>
    <n v="35"/>
    <n v="0"/>
    <n v="0"/>
    <n v="293"/>
    <x v="6"/>
    <x v="0"/>
    <x v="0"/>
    <x v="0"/>
  </r>
  <r>
    <s v="Description 3137"/>
    <s v="Code 3137"/>
    <n v="2"/>
    <n v="4"/>
    <n v="6"/>
    <n v="8"/>
    <n v="4"/>
    <n v="8"/>
    <n v="16"/>
    <n v="10"/>
    <n v="0"/>
    <n v="0"/>
    <n v="12"/>
    <x v="190"/>
    <x v="0"/>
    <x v="0"/>
    <x v="0"/>
  </r>
  <r>
    <s v="Description 3138"/>
    <s v="Code 3138"/>
    <n v="960"/>
    <n v="504"/>
    <n v="960"/>
    <n v="648"/>
    <n v="1440"/>
    <n v="504"/>
    <n v="144"/>
    <n v="360"/>
    <n v="24"/>
    <n v="0"/>
    <n v="407"/>
    <x v="18"/>
    <x v="0"/>
    <x v="0"/>
    <x v="0"/>
  </r>
  <r>
    <s v="Description 3139"/>
    <s v="Code 3139"/>
    <n v="12"/>
    <n v="16"/>
    <n v="16"/>
    <n v="16"/>
    <n v="16"/>
    <n v="22"/>
    <n v="16"/>
    <n v="16"/>
    <n v="16"/>
    <n v="0"/>
    <n v="4169"/>
    <x v="7"/>
    <x v="0"/>
    <x v="0"/>
    <x v="0"/>
  </r>
  <r>
    <s v="Description 3140"/>
    <s v="Code 3140"/>
    <n v="0"/>
    <n v="0"/>
    <n v="0"/>
    <n v="0"/>
    <n v="0"/>
    <n v="0"/>
    <n v="0"/>
    <n v="0"/>
    <n v="0"/>
    <n v="0"/>
    <n v="100"/>
    <x v="107"/>
    <x v="0"/>
    <x v="0"/>
    <x v="0"/>
  </r>
  <r>
    <s v="Description 3141"/>
    <s v="Code 3141"/>
    <n v="10"/>
    <n v="0"/>
    <n v="0"/>
    <n v="0"/>
    <n v="0"/>
    <n v="0"/>
    <n v="0"/>
    <n v="0"/>
    <n v="0"/>
    <n v="0"/>
    <n v="284"/>
    <x v="6"/>
    <x v="0"/>
    <x v="0"/>
    <x v="0"/>
  </r>
  <r>
    <s v="Description 3142"/>
    <s v="Code 3142"/>
    <n v="60"/>
    <n v="64"/>
    <n v="84"/>
    <n v="84"/>
    <n v="64"/>
    <n v="64"/>
    <n v="84"/>
    <n v="84"/>
    <n v="24"/>
    <n v="0"/>
    <n v="42"/>
    <x v="16"/>
    <x v="0"/>
    <x v="0"/>
    <x v="0"/>
  </r>
  <r>
    <s v="Description 3143"/>
    <s v="Code 3143"/>
    <n v="8"/>
    <n v="14"/>
    <n v="2"/>
    <n v="2"/>
    <n v="0"/>
    <n v="0"/>
    <n v="0"/>
    <n v="0"/>
    <n v="0"/>
    <n v="0"/>
    <n v="0"/>
    <x v="129"/>
    <x v="0"/>
    <x v="1"/>
    <x v="0"/>
  </r>
  <r>
    <s v="Description 3144"/>
    <s v="Code 3144"/>
    <n v="0"/>
    <n v="0"/>
    <n v="0"/>
    <n v="0"/>
    <n v="0"/>
    <n v="0"/>
    <n v="0"/>
    <n v="0"/>
    <n v="0"/>
    <n v="0"/>
    <n v="0"/>
    <x v="109"/>
    <x v="0"/>
    <x v="0"/>
    <x v="0"/>
  </r>
  <r>
    <s v="Description 3145"/>
    <s v="Code 3145"/>
    <n v="2205"/>
    <n v="1545"/>
    <n v="2595"/>
    <n v="2880"/>
    <n v="2250"/>
    <n v="2370"/>
    <n v="2760"/>
    <n v="2690"/>
    <n v="2535"/>
    <n v="0"/>
    <n v="40"/>
    <x v="62"/>
    <x v="0"/>
    <x v="0"/>
    <x v="0"/>
  </r>
  <r>
    <s v="Description 3146"/>
    <s v="Code 3146"/>
    <n v="0"/>
    <n v="0"/>
    <n v="0"/>
    <n v="0"/>
    <n v="10"/>
    <n v="0"/>
    <n v="0"/>
    <n v="0"/>
    <n v="0"/>
    <n v="0"/>
    <n v="199"/>
    <x v="51"/>
    <x v="0"/>
    <x v="0"/>
    <x v="0"/>
  </r>
  <r>
    <s v="Description 3147"/>
    <s v="Code 3147"/>
    <n v="1"/>
    <n v="0"/>
    <n v="1"/>
    <n v="1"/>
    <n v="2"/>
    <n v="0"/>
    <n v="0"/>
    <n v="0"/>
    <n v="1"/>
    <n v="0"/>
    <n v="962"/>
    <x v="183"/>
    <x v="0"/>
    <x v="0"/>
    <x v="0"/>
  </r>
  <r>
    <s v="Description 3148"/>
    <s v="Code 3148"/>
    <n v="0"/>
    <n v="0"/>
    <n v="0"/>
    <n v="0"/>
    <n v="0"/>
    <n v="0"/>
    <n v="0"/>
    <n v="0"/>
    <n v="0"/>
    <n v="0"/>
    <n v="0"/>
    <x v="176"/>
    <x v="0"/>
    <x v="0"/>
    <x v="0"/>
  </r>
  <r>
    <s v="Description 3149"/>
    <s v="Code 3149"/>
    <n v="1200"/>
    <n v="1200"/>
    <n v="1200"/>
    <n v="1200"/>
    <n v="1200"/>
    <n v="1200"/>
    <n v="840"/>
    <n v="840"/>
    <n v="840"/>
    <n v="0"/>
    <n v="0"/>
    <x v="2"/>
    <x v="0"/>
    <x v="0"/>
    <x v="0"/>
  </r>
  <r>
    <s v="Description 3150"/>
    <s v="Code 3150"/>
    <n v="1040"/>
    <n v="738"/>
    <n v="860"/>
    <n v="700"/>
    <n v="56"/>
    <n v="384"/>
    <n v="536"/>
    <n v="0"/>
    <n v="440"/>
    <n v="0"/>
    <n v="316"/>
    <x v="194"/>
    <x v="0"/>
    <x v="0"/>
    <x v="0"/>
  </r>
  <r>
    <s v="Description 3151"/>
    <s v="Code 3151"/>
    <n v="80"/>
    <n v="92"/>
    <n v="120"/>
    <n v="88"/>
    <n v="80"/>
    <n v="64"/>
    <n v="64"/>
    <n v="60"/>
    <n v="64"/>
    <n v="0"/>
    <n v="223"/>
    <x v="100"/>
    <x v="0"/>
    <x v="0"/>
    <x v="0"/>
  </r>
  <r>
    <s v="Description 3152"/>
    <s v="Code 3152"/>
    <n v="40"/>
    <n v="46"/>
    <n v="60"/>
    <n v="44"/>
    <n v="40"/>
    <n v="32"/>
    <n v="32"/>
    <n v="30"/>
    <n v="32"/>
    <n v="0"/>
    <n v="558"/>
    <x v="60"/>
    <x v="0"/>
    <x v="0"/>
    <x v="0"/>
  </r>
  <r>
    <s v="Description 3153"/>
    <s v="Code 3153"/>
    <n v="76"/>
    <n v="62"/>
    <n v="86"/>
    <n v="86"/>
    <n v="30"/>
    <n v="44"/>
    <n v="40"/>
    <n v="42"/>
    <n v="32"/>
    <n v="0"/>
    <n v="0"/>
    <x v="77"/>
    <x v="0"/>
    <x v="0"/>
    <x v="0"/>
  </r>
  <r>
    <s v="Description 3154"/>
    <s v="Code 3154"/>
    <n v="380"/>
    <n v="258"/>
    <n v="354"/>
    <n v="354"/>
    <n v="150"/>
    <n v="200"/>
    <n v="180"/>
    <n v="194"/>
    <n v="156"/>
    <n v="0"/>
    <n v="0"/>
    <x v="144"/>
    <x v="0"/>
    <x v="0"/>
    <x v="0"/>
  </r>
  <r>
    <s v="Description 3155"/>
    <s v="Code 3155"/>
    <n v="76"/>
    <n v="62"/>
    <n v="86"/>
    <n v="86"/>
    <n v="30"/>
    <n v="44"/>
    <n v="40"/>
    <n v="42"/>
    <n v="32"/>
    <n v="0"/>
    <n v="0"/>
    <x v="6"/>
    <x v="0"/>
    <x v="0"/>
    <x v="0"/>
  </r>
  <r>
    <s v="Description 3156"/>
    <s v="Code 3156"/>
    <n v="76"/>
    <n v="62"/>
    <n v="86"/>
    <n v="86"/>
    <n v="30"/>
    <n v="44"/>
    <n v="40"/>
    <n v="42"/>
    <n v="32"/>
    <n v="0"/>
    <n v="0"/>
    <x v="199"/>
    <x v="0"/>
    <x v="0"/>
    <x v="0"/>
  </r>
  <r>
    <s v="Description 3157"/>
    <s v="Code 3157"/>
    <n v="304"/>
    <n v="248"/>
    <n v="344"/>
    <n v="344"/>
    <n v="120"/>
    <n v="176"/>
    <n v="160"/>
    <n v="168"/>
    <n v="128"/>
    <n v="0"/>
    <n v="0"/>
    <x v="123"/>
    <x v="0"/>
    <x v="1"/>
    <x v="0"/>
  </r>
  <r>
    <s v="Description 3158"/>
    <s v="Code 3158"/>
    <n v="228"/>
    <n v="186"/>
    <n v="258"/>
    <n v="258"/>
    <n v="90"/>
    <n v="132"/>
    <n v="120"/>
    <n v="126"/>
    <n v="96"/>
    <n v="0"/>
    <n v="0"/>
    <x v="147"/>
    <x v="0"/>
    <x v="0"/>
    <x v="0"/>
  </r>
  <r>
    <s v="Description 3159"/>
    <s v="Code 3159"/>
    <n v="76"/>
    <n v="62"/>
    <n v="86"/>
    <n v="86"/>
    <n v="30"/>
    <n v="44"/>
    <n v="40"/>
    <n v="42"/>
    <n v="32"/>
    <n v="0"/>
    <n v="0"/>
    <x v="35"/>
    <x v="0"/>
    <x v="1"/>
    <x v="0"/>
  </r>
  <r>
    <s v="Description 3160"/>
    <s v="Code 3160"/>
    <n v="76"/>
    <n v="62"/>
    <n v="86"/>
    <n v="86"/>
    <n v="30"/>
    <n v="44"/>
    <n v="40"/>
    <n v="42"/>
    <n v="32"/>
    <n v="0"/>
    <n v="0"/>
    <x v="57"/>
    <x v="0"/>
    <x v="0"/>
    <x v="0"/>
  </r>
  <r>
    <s v="Description 3161"/>
    <s v="Code 3161"/>
    <n v="76"/>
    <n v="62"/>
    <n v="86"/>
    <n v="86"/>
    <n v="30"/>
    <n v="44"/>
    <n v="40"/>
    <n v="42"/>
    <n v="32"/>
    <n v="0"/>
    <n v="0"/>
    <x v="15"/>
    <x v="0"/>
    <x v="0"/>
    <x v="0"/>
  </r>
  <r>
    <s v="Description 3162"/>
    <s v="Code 3162"/>
    <n v="76"/>
    <n v="114"/>
    <n v="162"/>
    <n v="162"/>
    <n v="30"/>
    <n v="64"/>
    <n v="60"/>
    <n v="58"/>
    <n v="36"/>
    <n v="0"/>
    <n v="0"/>
    <x v="57"/>
    <x v="0"/>
    <x v="0"/>
    <x v="0"/>
  </r>
  <r>
    <s v="Description 3163"/>
    <s v="Code 3163"/>
    <n v="152"/>
    <n v="124"/>
    <n v="172"/>
    <n v="172"/>
    <n v="60"/>
    <n v="88"/>
    <n v="80"/>
    <n v="84"/>
    <n v="64"/>
    <n v="0"/>
    <n v="0"/>
    <x v="75"/>
    <x v="0"/>
    <x v="0"/>
    <x v="0"/>
  </r>
  <r>
    <s v="Description 3164"/>
    <s v="Code 3164"/>
    <n v="38"/>
    <n v="31"/>
    <n v="43"/>
    <n v="43"/>
    <n v="15"/>
    <n v="20"/>
    <n v="20"/>
    <n v="19"/>
    <n v="16"/>
    <n v="0"/>
    <n v="0"/>
    <x v="58"/>
    <x v="0"/>
    <x v="0"/>
    <x v="0"/>
  </r>
  <r>
    <s v="Description 3165"/>
    <s v="Code 3165"/>
    <n v="152"/>
    <n v="124"/>
    <n v="172"/>
    <n v="172"/>
    <n v="60"/>
    <n v="88"/>
    <n v="80"/>
    <n v="84"/>
    <n v="64"/>
    <n v="0"/>
    <n v="0"/>
    <x v="128"/>
    <x v="0"/>
    <x v="0"/>
    <x v="0"/>
  </r>
  <r>
    <s v="Description 3166"/>
    <s v="Code 3166"/>
    <n v="152"/>
    <n v="124"/>
    <n v="172"/>
    <n v="172"/>
    <n v="60"/>
    <n v="88"/>
    <n v="80"/>
    <n v="84"/>
    <n v="64"/>
    <n v="0"/>
    <n v="0"/>
    <x v="25"/>
    <x v="0"/>
    <x v="1"/>
    <x v="0"/>
  </r>
  <r>
    <s v="Description 3167"/>
    <s v="Code 3167"/>
    <n v="0"/>
    <n v="26"/>
    <n v="38"/>
    <n v="38"/>
    <n v="0"/>
    <n v="10"/>
    <n v="10"/>
    <n v="8"/>
    <n v="2"/>
    <n v="0"/>
    <n v="364"/>
    <x v="193"/>
    <x v="0"/>
    <x v="0"/>
    <x v="0"/>
  </r>
  <r>
    <s v="Description 3168"/>
    <s v="Code 3168"/>
    <n v="40"/>
    <n v="46"/>
    <n v="60"/>
    <n v="44"/>
    <n v="40"/>
    <n v="32"/>
    <n v="32"/>
    <n v="30"/>
    <n v="32"/>
    <n v="0"/>
    <n v="0"/>
    <x v="137"/>
    <x v="0"/>
    <x v="1"/>
    <x v="0"/>
  </r>
  <r>
    <s v="Description 3169"/>
    <s v="Code 3169"/>
    <n v="0"/>
    <n v="0"/>
    <n v="0"/>
    <n v="0"/>
    <n v="0"/>
    <n v="0"/>
    <n v="0"/>
    <n v="0"/>
    <n v="0"/>
    <n v="0"/>
    <n v="0"/>
    <x v="192"/>
    <x v="0"/>
    <x v="0"/>
    <x v="0"/>
  </r>
  <r>
    <s v="Description 3170"/>
    <s v="Code 3170"/>
    <n v="53"/>
    <n v="41"/>
    <n v="41"/>
    <n v="41"/>
    <n v="0"/>
    <n v="0"/>
    <n v="0"/>
    <n v="0"/>
    <n v="0"/>
    <n v="0"/>
    <n v="0"/>
    <x v="36"/>
    <x v="0"/>
    <x v="0"/>
    <x v="0"/>
  </r>
  <r>
    <s v="Description 3171"/>
    <s v="Code 3171"/>
    <n v="18"/>
    <n v="10"/>
    <n v="10"/>
    <n v="10"/>
    <n v="0"/>
    <n v="0"/>
    <n v="0"/>
    <n v="0"/>
    <n v="0"/>
    <n v="0"/>
    <n v="0"/>
    <x v="34"/>
    <x v="0"/>
    <x v="0"/>
    <x v="0"/>
  </r>
  <r>
    <s v="Description 3172"/>
    <s v="Code 3172"/>
    <n v="108"/>
    <n v="80"/>
    <n v="80"/>
    <n v="80"/>
    <n v="0"/>
    <n v="0"/>
    <n v="0"/>
    <n v="0"/>
    <n v="0"/>
    <n v="0"/>
    <n v="0"/>
    <x v="99"/>
    <x v="0"/>
    <x v="0"/>
    <x v="0"/>
  </r>
  <r>
    <s v="Description 3173"/>
    <s v="Code 3173"/>
    <n v="1264"/>
    <n v="288"/>
    <n v="506"/>
    <n v="972"/>
    <n v="20"/>
    <n v="0"/>
    <n v="0"/>
    <n v="616"/>
    <n v="0"/>
    <n v="0"/>
    <n v="0"/>
    <x v="187"/>
    <x v="0"/>
    <x v="1"/>
    <x v="0"/>
  </r>
  <r>
    <s v="Description 3174"/>
    <s v="Code 3174"/>
    <n v="0"/>
    <n v="0"/>
    <n v="0"/>
    <n v="0"/>
    <n v="0"/>
    <n v="0"/>
    <n v="0"/>
    <n v="0"/>
    <n v="0"/>
    <n v="0"/>
    <n v="0"/>
    <x v="187"/>
    <x v="0"/>
    <x v="1"/>
    <x v="0"/>
  </r>
  <r>
    <s v="Description 3175"/>
    <s v="Code 3175"/>
    <n v="0"/>
    <n v="0"/>
    <n v="0"/>
    <n v="0"/>
    <n v="0"/>
    <n v="16"/>
    <n v="0"/>
    <n v="0"/>
    <n v="0"/>
    <n v="0"/>
    <n v="0"/>
    <x v="163"/>
    <x v="0"/>
    <x v="0"/>
    <x v="0"/>
  </r>
  <r>
    <s v="Description 3176"/>
    <s v="Code 3176"/>
    <n v="0"/>
    <n v="0"/>
    <n v="0"/>
    <n v="0"/>
    <n v="0"/>
    <n v="0"/>
    <n v="0"/>
    <n v="0"/>
    <n v="0"/>
    <n v="0"/>
    <n v="0"/>
    <x v="40"/>
    <x v="0"/>
    <x v="0"/>
    <x v="0"/>
  </r>
  <r>
    <s v="Description 3177"/>
    <s v="Code 3177"/>
    <n v="0"/>
    <n v="0"/>
    <n v="0"/>
    <n v="0"/>
    <n v="0"/>
    <n v="0"/>
    <n v="0"/>
    <n v="0"/>
    <n v="0"/>
    <n v="0"/>
    <n v="0"/>
    <x v="143"/>
    <x v="0"/>
    <x v="0"/>
    <x v="0"/>
  </r>
  <r>
    <s v="Description 3178"/>
    <s v="Code 3178"/>
    <n v="76"/>
    <n v="62"/>
    <n v="86"/>
    <n v="86"/>
    <n v="30"/>
    <n v="44"/>
    <n v="40"/>
    <n v="42"/>
    <n v="32"/>
    <n v="0"/>
    <n v="235"/>
    <x v="144"/>
    <x v="0"/>
    <x v="0"/>
    <x v="0"/>
  </r>
  <r>
    <s v="Description 3179"/>
    <s v="Code 3179"/>
    <n v="76"/>
    <n v="62"/>
    <n v="86"/>
    <n v="86"/>
    <n v="30"/>
    <n v="44"/>
    <n v="40"/>
    <n v="42"/>
    <n v="32"/>
    <n v="0"/>
    <n v="371"/>
    <x v="33"/>
    <x v="0"/>
    <x v="0"/>
    <x v="0"/>
  </r>
  <r>
    <s v="Description 3180"/>
    <s v="Code 3180"/>
    <n v="4"/>
    <n v="0"/>
    <n v="0"/>
    <n v="0"/>
    <n v="4"/>
    <n v="0"/>
    <n v="0"/>
    <n v="0"/>
    <n v="0"/>
    <n v="0"/>
    <n v="0"/>
    <x v="33"/>
    <x v="0"/>
    <x v="0"/>
    <x v="0"/>
  </r>
  <r>
    <s v="Description 3181"/>
    <s v="Code 3181"/>
    <n v="12"/>
    <n v="12"/>
    <n v="12"/>
    <n v="12"/>
    <n v="12"/>
    <n v="12"/>
    <n v="12"/>
    <n v="12"/>
    <n v="12"/>
    <n v="0"/>
    <n v="500"/>
    <x v="181"/>
    <x v="0"/>
    <x v="0"/>
    <x v="0"/>
  </r>
  <r>
    <s v="Description 3182"/>
    <s v="Code 3182"/>
    <n v="70"/>
    <n v="70"/>
    <n v="88"/>
    <n v="88"/>
    <n v="70"/>
    <n v="88"/>
    <n v="52"/>
    <n v="52"/>
    <n v="52"/>
    <n v="0"/>
    <n v="388"/>
    <x v="127"/>
    <x v="0"/>
    <x v="0"/>
    <x v="0"/>
  </r>
  <r>
    <s v="Description 3183"/>
    <s v="Code 3183"/>
    <n v="0"/>
    <n v="0"/>
    <n v="0"/>
    <n v="0"/>
    <n v="0"/>
    <n v="0"/>
    <n v="0"/>
    <n v="0"/>
    <n v="0"/>
    <n v="0"/>
    <n v="181"/>
    <x v="83"/>
    <x v="0"/>
    <x v="0"/>
    <x v="0"/>
  </r>
  <r>
    <s v="Description 3184"/>
    <s v="Code 3184"/>
    <n v="0"/>
    <n v="0"/>
    <n v="0"/>
    <n v="0"/>
    <n v="0"/>
    <n v="0"/>
    <n v="0"/>
    <n v="0"/>
    <n v="0"/>
    <n v="0"/>
    <n v="200"/>
    <x v="169"/>
    <x v="0"/>
    <x v="0"/>
    <x v="0"/>
  </r>
  <r>
    <s v="Description 3185"/>
    <s v="Code 3185"/>
    <n v="60"/>
    <n v="0"/>
    <n v="0"/>
    <n v="0"/>
    <n v="60"/>
    <n v="0"/>
    <n v="0"/>
    <n v="0"/>
    <n v="0"/>
    <n v="0"/>
    <n v="1000"/>
    <x v="123"/>
    <x v="0"/>
    <x v="1"/>
    <x v="0"/>
  </r>
  <r>
    <s v="Description 3186"/>
    <s v="Code 3186"/>
    <n v="112"/>
    <n v="112"/>
    <n v="140"/>
    <n v="140"/>
    <n v="112"/>
    <n v="140"/>
    <n v="84"/>
    <n v="84"/>
    <n v="84"/>
    <n v="0"/>
    <n v="0"/>
    <x v="127"/>
    <x v="0"/>
    <x v="0"/>
    <x v="0"/>
  </r>
  <r>
    <s v="Description 3187"/>
    <s v="Code 3187"/>
    <n v="0"/>
    <n v="0"/>
    <n v="0"/>
    <n v="0"/>
    <n v="0"/>
    <n v="0"/>
    <n v="0"/>
    <n v="0"/>
    <n v="0"/>
    <n v="0"/>
    <n v="0"/>
    <x v="86"/>
    <x v="0"/>
    <x v="0"/>
    <x v="0"/>
  </r>
  <r>
    <s v="Description 3188"/>
    <s v="Code 3188"/>
    <n v="2"/>
    <n v="0"/>
    <n v="0"/>
    <n v="0"/>
    <n v="0"/>
    <n v="0"/>
    <n v="0"/>
    <n v="0"/>
    <n v="0"/>
    <n v="0"/>
    <n v="2400"/>
    <x v="113"/>
    <x v="0"/>
    <x v="0"/>
    <x v="0"/>
  </r>
  <r>
    <s v="Description 3189"/>
    <s v="Code 3189"/>
    <n v="2"/>
    <n v="0"/>
    <n v="0"/>
    <n v="0"/>
    <n v="0"/>
    <n v="0"/>
    <n v="0"/>
    <n v="0"/>
    <n v="0"/>
    <n v="0"/>
    <n v="0"/>
    <x v="180"/>
    <x v="0"/>
    <x v="0"/>
    <x v="0"/>
  </r>
  <r>
    <s v="Description 3190"/>
    <s v="Code 3190"/>
    <n v="128"/>
    <n v="42"/>
    <n v="174"/>
    <n v="174"/>
    <n v="174"/>
    <n v="174"/>
    <n v="174"/>
    <n v="174"/>
    <n v="174"/>
    <n v="0"/>
    <n v="1823"/>
    <x v="139"/>
    <x v="0"/>
    <x v="0"/>
    <x v="0"/>
  </r>
  <r>
    <s v="Description 3191"/>
    <s v="Code 3191"/>
    <n v="0"/>
    <n v="0"/>
    <n v="0"/>
    <n v="0"/>
    <n v="0"/>
    <n v="0"/>
    <n v="0"/>
    <n v="0"/>
    <n v="0"/>
    <n v="0"/>
    <n v="2902"/>
    <x v="76"/>
    <x v="0"/>
    <x v="1"/>
    <x v="0"/>
  </r>
  <r>
    <s v="Description 3192"/>
    <s v="Code 3192"/>
    <n v="40"/>
    <n v="24"/>
    <n v="96"/>
    <n v="96"/>
    <n v="96"/>
    <n v="96"/>
    <n v="96"/>
    <n v="96"/>
    <n v="96"/>
    <n v="0"/>
    <n v="2200"/>
    <x v="198"/>
    <x v="0"/>
    <x v="0"/>
    <x v="0"/>
  </r>
  <r>
    <s v="Description 3193"/>
    <s v="Code 3193"/>
    <n v="0"/>
    <n v="0"/>
    <n v="0"/>
    <n v="0"/>
    <n v="0"/>
    <n v="0"/>
    <n v="0"/>
    <n v="0"/>
    <n v="0"/>
    <n v="0"/>
    <n v="0"/>
    <x v="181"/>
    <x v="0"/>
    <x v="0"/>
    <x v="0"/>
  </r>
  <r>
    <s v="Description 3194"/>
    <s v="Code 3194"/>
    <n v="0"/>
    <n v="0"/>
    <n v="0"/>
    <n v="0"/>
    <n v="0"/>
    <n v="0"/>
    <n v="0"/>
    <n v="0"/>
    <n v="0"/>
    <n v="0"/>
    <n v="0"/>
    <x v="162"/>
    <x v="0"/>
    <x v="0"/>
    <x v="0"/>
  </r>
  <r>
    <s v="Description 3195"/>
    <s v="Code 3195"/>
    <n v="30"/>
    <n v="2"/>
    <n v="12"/>
    <n v="12"/>
    <n v="14"/>
    <n v="12"/>
    <n v="12"/>
    <n v="12"/>
    <n v="12"/>
    <n v="0"/>
    <n v="0"/>
    <x v="75"/>
    <x v="0"/>
    <x v="0"/>
    <x v="0"/>
  </r>
  <r>
    <s v="Description 3196"/>
    <s v="Code 3196"/>
    <n v="0"/>
    <n v="0"/>
    <n v="0"/>
    <n v="0"/>
    <n v="0"/>
    <n v="0"/>
    <n v="0"/>
    <n v="0"/>
    <n v="0"/>
    <n v="0"/>
    <n v="0"/>
    <x v="154"/>
    <x v="0"/>
    <x v="0"/>
    <x v="0"/>
  </r>
  <r>
    <s v="Description 3197"/>
    <s v="Code 3197"/>
    <n v="0"/>
    <n v="0"/>
    <n v="0"/>
    <n v="0"/>
    <n v="0"/>
    <n v="0"/>
    <n v="0"/>
    <n v="0"/>
    <n v="0"/>
    <n v="0"/>
    <n v="0"/>
    <x v="60"/>
    <x v="0"/>
    <x v="0"/>
    <x v="0"/>
  </r>
  <r>
    <s v="Description 3198"/>
    <s v="Code 3198"/>
    <n v="154"/>
    <n v="34"/>
    <n v="180"/>
    <n v="180"/>
    <n v="182"/>
    <n v="180"/>
    <n v="180"/>
    <n v="180"/>
    <n v="180"/>
    <n v="0"/>
    <n v="200"/>
    <x v="92"/>
    <x v="0"/>
    <x v="0"/>
    <x v="0"/>
  </r>
  <r>
    <s v="Description 3199"/>
    <s v="Code 3199"/>
    <n v="0"/>
    <n v="0"/>
    <n v="0"/>
    <n v="0"/>
    <n v="0"/>
    <n v="0"/>
    <n v="0"/>
    <n v="0"/>
    <n v="0"/>
    <n v="0"/>
    <n v="100"/>
    <x v="72"/>
    <x v="0"/>
    <x v="0"/>
    <x v="0"/>
  </r>
  <r>
    <s v="Description 3200"/>
    <s v="Code 3200"/>
    <n v="0"/>
    <n v="0"/>
    <n v="0"/>
    <n v="0"/>
    <n v="0"/>
    <n v="0"/>
    <n v="0"/>
    <n v="0"/>
    <n v="0"/>
    <n v="0"/>
    <n v="0"/>
    <x v="33"/>
    <x v="0"/>
    <x v="0"/>
    <x v="0"/>
  </r>
  <r>
    <s v="Description 3201"/>
    <s v="Code 3201"/>
    <n v="624"/>
    <n v="624"/>
    <n v="672"/>
    <n v="528"/>
    <n v="648"/>
    <n v="576"/>
    <n v="528"/>
    <n v="528"/>
    <n v="432"/>
    <n v="0"/>
    <n v="0"/>
    <x v="38"/>
    <x v="0"/>
    <x v="0"/>
    <x v="0"/>
  </r>
  <r>
    <s v="Description 3202"/>
    <s v="Code 3202"/>
    <n v="0"/>
    <n v="0"/>
    <n v="0"/>
    <n v="0"/>
    <n v="0"/>
    <n v="0"/>
    <n v="0"/>
    <n v="0"/>
    <n v="0"/>
    <n v="0"/>
    <n v="0"/>
    <x v="198"/>
    <x v="0"/>
    <x v="0"/>
    <x v="0"/>
  </r>
  <r>
    <s v="Description 3203"/>
    <s v="Code 3203"/>
    <n v="0"/>
    <n v="0"/>
    <n v="0"/>
    <n v="0"/>
    <n v="0"/>
    <n v="0"/>
    <n v="0"/>
    <n v="0"/>
    <n v="0"/>
    <n v="0"/>
    <n v="0"/>
    <x v="137"/>
    <x v="0"/>
    <x v="1"/>
    <x v="0"/>
  </r>
  <r>
    <s v="Description 3204"/>
    <s v="Code 3204"/>
    <n v="0"/>
    <n v="0"/>
    <n v="0"/>
    <n v="0"/>
    <n v="0"/>
    <n v="0"/>
    <n v="0"/>
    <n v="0"/>
    <n v="0"/>
    <n v="0"/>
    <n v="0"/>
    <x v="12"/>
    <x v="0"/>
    <x v="0"/>
    <x v="0"/>
  </r>
  <r>
    <s v="Description 3205"/>
    <s v="Code 3205"/>
    <n v="0"/>
    <n v="0"/>
    <n v="0"/>
    <n v="0"/>
    <n v="0"/>
    <n v="0"/>
    <n v="0"/>
    <n v="0"/>
    <n v="0"/>
    <n v="0"/>
    <n v="0"/>
    <x v="19"/>
    <x v="0"/>
    <x v="0"/>
    <x v="0"/>
  </r>
  <r>
    <s v="Description 3206"/>
    <s v="Code 3206"/>
    <n v="0"/>
    <n v="0"/>
    <n v="0"/>
    <n v="0"/>
    <n v="0"/>
    <n v="0"/>
    <n v="0"/>
    <n v="0"/>
    <n v="0"/>
    <n v="0"/>
    <n v="0"/>
    <x v="56"/>
    <x v="0"/>
    <x v="0"/>
    <x v="0"/>
  </r>
  <r>
    <s v="Description 3207"/>
    <s v="Code 3207"/>
    <n v="60"/>
    <n v="0"/>
    <n v="20"/>
    <n v="0"/>
    <n v="0"/>
    <n v="0"/>
    <n v="0"/>
    <n v="0"/>
    <n v="0"/>
    <n v="0"/>
    <n v="0"/>
    <x v="171"/>
    <x v="0"/>
    <x v="0"/>
    <x v="0"/>
  </r>
  <r>
    <s v="Description 3208"/>
    <s v="Code 3208"/>
    <n v="120"/>
    <n v="60"/>
    <n v="60"/>
    <n v="60"/>
    <n v="60"/>
    <n v="30"/>
    <n v="60"/>
    <n v="30"/>
    <n v="60"/>
    <n v="0"/>
    <n v="0"/>
    <x v="117"/>
    <x v="0"/>
    <x v="0"/>
    <x v="0"/>
  </r>
  <r>
    <s v="Description 3209"/>
    <s v="Code 3209"/>
    <n v="120"/>
    <n v="60"/>
    <n v="60"/>
    <n v="60"/>
    <n v="60"/>
    <n v="30"/>
    <n v="60"/>
    <n v="30"/>
    <n v="60"/>
    <n v="0"/>
    <n v="155"/>
    <x v="116"/>
    <x v="0"/>
    <x v="0"/>
    <x v="0"/>
  </r>
  <r>
    <s v="Description 3210"/>
    <s v="Code 3210"/>
    <n v="0"/>
    <n v="0"/>
    <n v="0"/>
    <n v="18"/>
    <n v="18"/>
    <n v="18"/>
    <n v="2"/>
    <n v="18"/>
    <n v="17"/>
    <n v="0"/>
    <n v="682"/>
    <x v="83"/>
    <x v="0"/>
    <x v="0"/>
    <x v="0"/>
  </r>
  <r>
    <s v="Description 3211"/>
    <s v="Code 3211"/>
    <n v="0"/>
    <n v="0"/>
    <n v="0"/>
    <n v="4"/>
    <n v="4"/>
    <n v="4"/>
    <n v="2"/>
    <n v="4"/>
    <n v="3"/>
    <n v="0"/>
    <n v="1228"/>
    <x v="192"/>
    <x v="0"/>
    <x v="0"/>
    <x v="0"/>
  </r>
  <r>
    <s v="Description 3212"/>
    <s v="Code 3212"/>
    <n v="0"/>
    <n v="0"/>
    <n v="0"/>
    <n v="8"/>
    <n v="8"/>
    <n v="8"/>
    <n v="4"/>
    <n v="8"/>
    <n v="6"/>
    <n v="0"/>
    <n v="1218"/>
    <x v="171"/>
    <x v="0"/>
    <x v="0"/>
    <x v="0"/>
  </r>
  <r>
    <s v="Description 3213"/>
    <s v="Code 3213"/>
    <n v="0"/>
    <n v="0"/>
    <n v="0"/>
    <n v="4"/>
    <n v="4"/>
    <n v="4"/>
    <n v="0"/>
    <n v="4"/>
    <n v="4"/>
    <n v="0"/>
    <n v="192"/>
    <x v="25"/>
    <x v="0"/>
    <x v="1"/>
    <x v="0"/>
  </r>
  <r>
    <s v="Description 3214"/>
    <s v="Code 3214"/>
    <n v="0"/>
    <n v="0"/>
    <n v="0"/>
    <n v="8"/>
    <n v="8"/>
    <n v="8"/>
    <n v="4"/>
    <n v="8"/>
    <n v="6"/>
    <n v="0"/>
    <n v="1443"/>
    <x v="106"/>
    <x v="0"/>
    <x v="0"/>
    <x v="0"/>
  </r>
  <r>
    <s v="Description 3215"/>
    <s v="Code 3215"/>
    <n v="0"/>
    <n v="0"/>
    <n v="0"/>
    <n v="16"/>
    <n v="16"/>
    <n v="16"/>
    <n v="0"/>
    <n v="16"/>
    <n v="16"/>
    <n v="0"/>
    <n v="455"/>
    <x v="100"/>
    <x v="0"/>
    <x v="0"/>
    <x v="0"/>
  </r>
  <r>
    <s v="Description 3216"/>
    <s v="Code 3216"/>
    <n v="16"/>
    <n v="8"/>
    <n v="16"/>
    <n v="8"/>
    <n v="16"/>
    <n v="8"/>
    <n v="8"/>
    <n v="8"/>
    <n v="16"/>
    <n v="0"/>
    <n v="2000"/>
    <x v="72"/>
    <x v="0"/>
    <x v="0"/>
    <x v="0"/>
  </r>
  <r>
    <s v="Description 3217"/>
    <s v="Code 3217"/>
    <n v="92"/>
    <n v="35"/>
    <n v="68"/>
    <n v="68"/>
    <n v="68"/>
    <n v="68"/>
    <n v="68"/>
    <n v="68"/>
    <n v="68"/>
    <n v="0"/>
    <n v="2000"/>
    <x v="126"/>
    <x v="0"/>
    <x v="0"/>
    <x v="0"/>
  </r>
  <r>
    <s v="Description 3218"/>
    <s v="Code 3218"/>
    <n v="184"/>
    <n v="70"/>
    <n v="136"/>
    <n v="136"/>
    <n v="136"/>
    <n v="136"/>
    <n v="136"/>
    <n v="136"/>
    <n v="136"/>
    <n v="0"/>
    <n v="1000"/>
    <x v="52"/>
    <x v="0"/>
    <x v="0"/>
    <x v="0"/>
  </r>
  <r>
    <s v="Description 3219"/>
    <s v="Code 3219"/>
    <n v="0"/>
    <n v="8"/>
    <n v="12"/>
    <n v="12"/>
    <n v="12"/>
    <n v="12"/>
    <n v="12"/>
    <n v="12"/>
    <n v="12"/>
    <n v="0"/>
    <n v="60"/>
    <x v="43"/>
    <x v="0"/>
    <x v="0"/>
    <x v="0"/>
  </r>
  <r>
    <s v="Description 3220"/>
    <s v="Code 3220"/>
    <n v="53"/>
    <n v="0"/>
    <n v="0"/>
    <n v="0"/>
    <n v="0"/>
    <n v="0"/>
    <n v="0"/>
    <n v="0"/>
    <n v="0"/>
    <n v="0"/>
    <n v="480"/>
    <x v="189"/>
    <x v="0"/>
    <x v="0"/>
    <x v="0"/>
  </r>
  <r>
    <s v="Description 3221"/>
    <s v="Code 3221"/>
    <n v="344"/>
    <n v="0"/>
    <n v="0"/>
    <n v="0"/>
    <n v="0"/>
    <n v="0"/>
    <n v="0"/>
    <n v="0"/>
    <n v="0"/>
    <n v="0"/>
    <n v="200"/>
    <x v="198"/>
    <x v="0"/>
    <x v="0"/>
    <x v="0"/>
  </r>
  <r>
    <s v="Description 3222"/>
    <s v="Code 3222"/>
    <n v="86"/>
    <n v="0"/>
    <n v="0"/>
    <n v="0"/>
    <n v="0"/>
    <n v="0"/>
    <n v="0"/>
    <n v="0"/>
    <n v="0"/>
    <n v="0"/>
    <n v="500"/>
    <x v="160"/>
    <x v="0"/>
    <x v="0"/>
    <x v="0"/>
  </r>
  <r>
    <s v="Description 3223"/>
    <s v="Code 3223"/>
    <n v="344"/>
    <n v="0"/>
    <n v="0"/>
    <n v="0"/>
    <n v="0"/>
    <n v="0"/>
    <n v="0"/>
    <n v="0"/>
    <n v="0"/>
    <n v="0"/>
    <n v="1120"/>
    <x v="34"/>
    <x v="0"/>
    <x v="0"/>
    <x v="0"/>
  </r>
  <r>
    <s v="Description 3224"/>
    <s v="Code 3224"/>
    <n v="86"/>
    <n v="0"/>
    <n v="0"/>
    <n v="0"/>
    <n v="0"/>
    <n v="0"/>
    <n v="0"/>
    <n v="0"/>
    <n v="0"/>
    <n v="0"/>
    <n v="240"/>
    <x v="51"/>
    <x v="0"/>
    <x v="0"/>
    <x v="0"/>
  </r>
  <r>
    <s v="Description 3225"/>
    <s v="Code 3225"/>
    <n v="172"/>
    <n v="0"/>
    <n v="0"/>
    <n v="0"/>
    <n v="0"/>
    <n v="0"/>
    <n v="0"/>
    <n v="0"/>
    <n v="0"/>
    <n v="0"/>
    <n v="120"/>
    <x v="135"/>
    <x v="0"/>
    <x v="0"/>
    <x v="0"/>
  </r>
  <r>
    <s v="Description 3226"/>
    <s v="Code 3226"/>
    <n v="86"/>
    <n v="0"/>
    <n v="0"/>
    <n v="0"/>
    <n v="0"/>
    <n v="0"/>
    <n v="0"/>
    <n v="0"/>
    <n v="0"/>
    <n v="0"/>
    <n v="0"/>
    <x v="132"/>
    <x v="0"/>
    <x v="0"/>
    <x v="0"/>
  </r>
  <r>
    <s v="Description 3227"/>
    <s v="Code 3227"/>
    <n v="0"/>
    <n v="0"/>
    <n v="0"/>
    <n v="0"/>
    <n v="0"/>
    <n v="0"/>
    <n v="0"/>
    <n v="0"/>
    <n v="0"/>
    <n v="0"/>
    <n v="250"/>
    <x v="137"/>
    <x v="0"/>
    <x v="1"/>
    <x v="0"/>
  </r>
  <r>
    <s v="Description 3228"/>
    <s v="Code 3228"/>
    <n v="2"/>
    <n v="0"/>
    <n v="0"/>
    <n v="2"/>
    <n v="0"/>
    <n v="0"/>
    <n v="0"/>
    <n v="0"/>
    <n v="0"/>
    <n v="0"/>
    <n v="246"/>
    <x v="146"/>
    <x v="0"/>
    <x v="0"/>
    <x v="0"/>
  </r>
  <r>
    <s v="Description 3229"/>
    <s v="Code 3229"/>
    <n v="4"/>
    <n v="0"/>
    <n v="0"/>
    <n v="4"/>
    <n v="0"/>
    <n v="0"/>
    <n v="0"/>
    <n v="0"/>
    <n v="0"/>
    <n v="0"/>
    <n v="1910"/>
    <x v="183"/>
    <x v="0"/>
    <x v="0"/>
    <x v="0"/>
  </r>
  <r>
    <s v="Description 3230"/>
    <s v="Code 3230"/>
    <n v="118"/>
    <n v="0"/>
    <n v="66"/>
    <n v="86"/>
    <n v="0"/>
    <n v="0"/>
    <n v="0"/>
    <n v="0"/>
    <n v="0"/>
    <n v="0"/>
    <n v="460"/>
    <x v="134"/>
    <x v="0"/>
    <x v="0"/>
    <x v="0"/>
  </r>
  <r>
    <s v="Description 3231"/>
    <s v="Code 3231"/>
    <n v="46"/>
    <n v="0"/>
    <n v="26"/>
    <n v="34"/>
    <n v="0"/>
    <n v="0"/>
    <n v="0"/>
    <n v="0"/>
    <n v="0"/>
    <n v="0"/>
    <n v="120"/>
    <x v="87"/>
    <x v="0"/>
    <x v="0"/>
    <x v="0"/>
  </r>
  <r>
    <s v="Description 3232"/>
    <s v="Code 3232"/>
    <n v="44"/>
    <n v="0"/>
    <n v="28"/>
    <n v="36"/>
    <n v="0"/>
    <n v="0"/>
    <n v="0"/>
    <n v="0"/>
    <n v="0"/>
    <n v="0"/>
    <n v="690"/>
    <x v="133"/>
    <x v="0"/>
    <x v="0"/>
    <x v="0"/>
  </r>
  <r>
    <s v="Description 3233"/>
    <s v="Code 3233"/>
    <n v="40"/>
    <n v="0"/>
    <n v="38"/>
    <n v="26"/>
    <n v="0"/>
    <n v="0"/>
    <n v="0"/>
    <n v="0"/>
    <n v="0"/>
    <n v="0"/>
    <n v="150"/>
    <x v="154"/>
    <x v="0"/>
    <x v="0"/>
    <x v="0"/>
  </r>
  <r>
    <s v="Description 3234"/>
    <s v="Code 3234"/>
    <n v="18"/>
    <n v="0"/>
    <n v="12"/>
    <n v="12"/>
    <n v="0"/>
    <n v="0"/>
    <n v="0"/>
    <n v="0"/>
    <n v="0"/>
    <n v="0"/>
    <n v="1300"/>
    <x v="42"/>
    <x v="0"/>
    <x v="1"/>
    <x v="0"/>
  </r>
  <r>
    <s v="Description 3235"/>
    <s v="Code 3235"/>
    <n v="120"/>
    <n v="0"/>
    <n v="80"/>
    <n v="88"/>
    <n v="0"/>
    <n v="0"/>
    <n v="0"/>
    <n v="0"/>
    <n v="0"/>
    <n v="0"/>
    <n v="1120"/>
    <x v="159"/>
    <x v="0"/>
    <x v="0"/>
    <x v="0"/>
  </r>
  <r>
    <s v="Description 3236"/>
    <s v="Code 3236"/>
    <n v="98"/>
    <n v="0"/>
    <n v="96"/>
    <n v="98"/>
    <n v="0"/>
    <n v="0"/>
    <n v="0"/>
    <n v="0"/>
    <n v="0"/>
    <n v="0"/>
    <n v="100"/>
    <x v="85"/>
    <x v="0"/>
    <x v="1"/>
    <x v="0"/>
  </r>
  <r>
    <s v="Description 3237"/>
    <s v="Code 3237"/>
    <n v="4"/>
    <n v="0"/>
    <n v="0"/>
    <n v="4"/>
    <n v="0"/>
    <n v="0"/>
    <n v="0"/>
    <n v="0"/>
    <n v="0"/>
    <n v="0"/>
    <n v="140"/>
    <x v="109"/>
    <x v="0"/>
    <x v="0"/>
    <x v="0"/>
  </r>
  <r>
    <s v="Description 3238"/>
    <s v="Code 3238"/>
    <n v="12"/>
    <n v="0"/>
    <n v="8"/>
    <n v="8"/>
    <n v="0"/>
    <n v="0"/>
    <n v="0"/>
    <n v="0"/>
    <n v="0"/>
    <n v="0"/>
    <n v="100"/>
    <x v="70"/>
    <x v="0"/>
    <x v="0"/>
    <x v="0"/>
  </r>
  <r>
    <s v="Description 3239"/>
    <s v="Code 3239"/>
    <n v="8"/>
    <n v="0"/>
    <n v="8"/>
    <n v="8"/>
    <n v="0"/>
    <n v="0"/>
    <n v="0"/>
    <n v="0"/>
    <n v="0"/>
    <n v="0"/>
    <n v="0"/>
    <x v="144"/>
    <x v="0"/>
    <x v="0"/>
    <x v="0"/>
  </r>
  <r>
    <s v="Description 3240"/>
    <s v="Code 3240"/>
    <n v="60"/>
    <n v="0"/>
    <n v="210"/>
    <n v="0"/>
    <n v="0"/>
    <n v="0"/>
    <n v="0"/>
    <n v="0"/>
    <n v="0"/>
    <n v="0"/>
    <n v="500"/>
    <x v="63"/>
    <x v="0"/>
    <x v="0"/>
    <x v="0"/>
  </r>
  <r>
    <s v="Description 3241"/>
    <s v="Code 3241"/>
    <n v="0"/>
    <n v="0"/>
    <n v="0"/>
    <n v="0"/>
    <n v="0"/>
    <n v="0"/>
    <n v="0"/>
    <n v="0"/>
    <n v="0"/>
    <n v="0"/>
    <n v="2884"/>
    <x v="156"/>
    <x v="0"/>
    <x v="0"/>
    <x v="0"/>
  </r>
  <r>
    <s v="Description 3242"/>
    <s v="Code 3242"/>
    <n v="14"/>
    <n v="18"/>
    <n v="24"/>
    <n v="32"/>
    <n v="32"/>
    <n v="30"/>
    <n v="20"/>
    <n v="20"/>
    <n v="17"/>
    <n v="0"/>
    <n v="430"/>
    <x v="69"/>
    <x v="0"/>
    <x v="0"/>
    <x v="0"/>
  </r>
  <r>
    <s v="Description 3243"/>
    <s v="Code 3243"/>
    <n v="163"/>
    <n v="207"/>
    <n v="278"/>
    <n v="274"/>
    <n v="274"/>
    <n v="251"/>
    <n v="185"/>
    <n v="132"/>
    <n v="122"/>
    <n v="0"/>
    <n v="0"/>
    <x v="26"/>
    <x v="0"/>
    <x v="1"/>
    <x v="0"/>
  </r>
  <r>
    <s v="Description 3244"/>
    <s v="Code 3244"/>
    <n v="56"/>
    <n v="72"/>
    <n v="96"/>
    <n v="80"/>
    <n v="80"/>
    <n v="72"/>
    <n v="56"/>
    <n v="32"/>
    <n v="32"/>
    <n v="0"/>
    <n v="256"/>
    <x v="174"/>
    <x v="0"/>
    <x v="0"/>
    <x v="0"/>
  </r>
  <r>
    <s v="Description 3245"/>
    <s v="Code 3245"/>
    <n v="19"/>
    <n v="9"/>
    <n v="22"/>
    <n v="18"/>
    <n v="20"/>
    <n v="15"/>
    <n v="15"/>
    <n v="8"/>
    <n v="8"/>
    <n v="0"/>
    <n v="115"/>
    <x v="99"/>
    <x v="0"/>
    <x v="0"/>
    <x v="0"/>
  </r>
  <r>
    <s v="Description 3246"/>
    <s v="Code 3246"/>
    <n v="14"/>
    <n v="18"/>
    <n v="24"/>
    <n v="20"/>
    <n v="20"/>
    <n v="18"/>
    <n v="14"/>
    <n v="8"/>
    <n v="8"/>
    <n v="0"/>
    <n v="118"/>
    <x v="164"/>
    <x v="0"/>
    <x v="0"/>
    <x v="0"/>
  </r>
  <r>
    <s v="Description 3247"/>
    <s v="Code 3247"/>
    <n v="14"/>
    <n v="18"/>
    <n v="24"/>
    <n v="20"/>
    <n v="20"/>
    <n v="18"/>
    <n v="14"/>
    <n v="8"/>
    <n v="8"/>
    <n v="0"/>
    <n v="151"/>
    <x v="55"/>
    <x v="0"/>
    <x v="0"/>
    <x v="0"/>
  </r>
  <r>
    <s v="Description 3248"/>
    <s v="Code 3248"/>
    <n v="28"/>
    <n v="36"/>
    <n v="57"/>
    <n v="73"/>
    <n v="73"/>
    <n v="60"/>
    <n v="49"/>
    <n v="40"/>
    <n v="34"/>
    <n v="0"/>
    <n v="1052"/>
    <x v="145"/>
    <x v="0"/>
    <x v="0"/>
    <x v="0"/>
  </r>
  <r>
    <s v="Description 3249"/>
    <s v="Code 3249"/>
    <n v="73"/>
    <n v="63"/>
    <n v="104"/>
    <n v="590"/>
    <n v="594"/>
    <n v="579"/>
    <n v="821"/>
    <n v="1044"/>
    <n v="1044"/>
    <n v="0"/>
    <n v="176"/>
    <x v="172"/>
    <x v="0"/>
    <x v="0"/>
    <x v="0"/>
  </r>
  <r>
    <s v="Description 3250"/>
    <s v="Code 3250"/>
    <n v="14"/>
    <n v="18"/>
    <n v="24"/>
    <n v="20"/>
    <n v="20"/>
    <n v="18"/>
    <n v="14"/>
    <n v="8"/>
    <n v="8"/>
    <n v="0"/>
    <n v="761"/>
    <x v="13"/>
    <x v="0"/>
    <x v="1"/>
    <x v="0"/>
  </r>
  <r>
    <s v="Description 3251"/>
    <s v="Code 3251"/>
    <n v="179"/>
    <n v="162"/>
    <n v="259"/>
    <n v="381"/>
    <n v="388"/>
    <n v="354"/>
    <n v="235"/>
    <n v="258"/>
    <n v="220"/>
    <n v="0"/>
    <n v="232"/>
    <x v="186"/>
    <x v="0"/>
    <x v="0"/>
    <x v="0"/>
  </r>
  <r>
    <s v="Description 3252"/>
    <s v="Code 3252"/>
    <n v="13"/>
    <n v="0"/>
    <n v="11"/>
    <n v="10"/>
    <n v="12"/>
    <n v="8"/>
    <n v="10"/>
    <n v="4"/>
    <n v="4"/>
    <n v="0"/>
    <n v="113"/>
    <x v="100"/>
    <x v="0"/>
    <x v="0"/>
    <x v="0"/>
  </r>
  <r>
    <s v="Description 3253"/>
    <s v="Code 3253"/>
    <n v="48"/>
    <n v="0"/>
    <n v="40"/>
    <n v="32"/>
    <n v="40"/>
    <n v="24"/>
    <n v="32"/>
    <n v="16"/>
    <n v="16"/>
    <n v="0"/>
    <n v="1516"/>
    <x v="181"/>
    <x v="0"/>
    <x v="0"/>
    <x v="0"/>
  </r>
  <r>
    <s v="Description 3254"/>
    <s v="Code 3254"/>
    <n v="60"/>
    <n v="0"/>
    <n v="50"/>
    <n v="40"/>
    <n v="50"/>
    <n v="30"/>
    <n v="40"/>
    <n v="20"/>
    <n v="20"/>
    <n v="0"/>
    <n v="302"/>
    <x v="168"/>
    <x v="0"/>
    <x v="0"/>
    <x v="0"/>
  </r>
  <r>
    <s v="Description 3255"/>
    <s v="Code 3255"/>
    <n v="48"/>
    <n v="0"/>
    <n v="40"/>
    <n v="32"/>
    <n v="40"/>
    <n v="24"/>
    <n v="32"/>
    <n v="16"/>
    <n v="16"/>
    <n v="0"/>
    <n v="544"/>
    <x v="106"/>
    <x v="0"/>
    <x v="0"/>
    <x v="0"/>
  </r>
  <r>
    <s v="Description 3256"/>
    <s v="Code 3256"/>
    <n v="7"/>
    <n v="9"/>
    <n v="12"/>
    <n v="10"/>
    <n v="10"/>
    <n v="9"/>
    <n v="7"/>
    <n v="4"/>
    <n v="4"/>
    <n v="0"/>
    <n v="197"/>
    <x v="81"/>
    <x v="0"/>
    <x v="0"/>
    <x v="0"/>
  </r>
  <r>
    <s v="Description 3257"/>
    <s v="Code 3257"/>
    <n v="21"/>
    <n v="27"/>
    <n v="36"/>
    <n v="34"/>
    <n v="31"/>
    <n v="31"/>
    <n v="23"/>
    <n v="16"/>
    <n v="15"/>
    <n v="0"/>
    <n v="744"/>
    <x v="125"/>
    <x v="0"/>
    <x v="0"/>
    <x v="0"/>
  </r>
  <r>
    <s v="Description 3258"/>
    <s v="Code 3258"/>
    <n v="24"/>
    <n v="0"/>
    <n v="20"/>
    <n v="16"/>
    <n v="16"/>
    <n v="12"/>
    <n v="16"/>
    <n v="8"/>
    <n v="8"/>
    <n v="0"/>
    <n v="2480"/>
    <x v="98"/>
    <x v="0"/>
    <x v="0"/>
    <x v="0"/>
  </r>
  <r>
    <s v="Description 3259"/>
    <s v="Code 3259"/>
    <n v="7"/>
    <n v="1"/>
    <n v="11"/>
    <n v="30"/>
    <n v="30"/>
    <n v="30"/>
    <n v="9"/>
    <n v="28"/>
    <n v="26"/>
    <n v="0"/>
    <n v="837"/>
    <x v="14"/>
    <x v="0"/>
    <x v="0"/>
    <x v="0"/>
  </r>
  <r>
    <s v="Description 3260"/>
    <s v="Code 3260"/>
    <n v="12"/>
    <n v="0"/>
    <n v="10"/>
    <n v="8"/>
    <n v="10"/>
    <n v="6"/>
    <n v="8"/>
    <n v="4"/>
    <n v="4"/>
    <n v="0"/>
    <n v="2278"/>
    <x v="43"/>
    <x v="0"/>
    <x v="0"/>
    <x v="0"/>
  </r>
  <r>
    <s v="Description 3261"/>
    <s v="Code 3261"/>
    <n v="0"/>
    <n v="0"/>
    <n v="0"/>
    <n v="0"/>
    <n v="0"/>
    <n v="0"/>
    <n v="0"/>
    <n v="0"/>
    <n v="0"/>
    <n v="0"/>
    <n v="1433"/>
    <x v="133"/>
    <x v="0"/>
    <x v="0"/>
    <x v="0"/>
  </r>
  <r>
    <s v="Description 3262"/>
    <s v="Code 3262"/>
    <n v="0"/>
    <n v="36"/>
    <n v="4"/>
    <n v="16"/>
    <n v="16"/>
    <n v="12"/>
    <n v="4"/>
    <n v="0"/>
    <n v="0"/>
    <n v="0"/>
    <n v="800"/>
    <x v="76"/>
    <x v="0"/>
    <x v="1"/>
    <x v="0"/>
  </r>
  <r>
    <s v="Description 3263"/>
    <s v="Code 3263"/>
    <n v="2"/>
    <n v="2"/>
    <n v="12"/>
    <n v="12"/>
    <n v="12"/>
    <n v="14"/>
    <n v="2"/>
    <n v="12"/>
    <n v="12"/>
    <n v="0"/>
    <n v="1218"/>
    <x v="169"/>
    <x v="0"/>
    <x v="0"/>
    <x v="0"/>
  </r>
  <r>
    <s v="Description 3264"/>
    <s v="Code 3264"/>
    <n v="15"/>
    <n v="15"/>
    <n v="20"/>
    <n v="20"/>
    <n v="15"/>
    <n v="15"/>
    <n v="20"/>
    <n v="20"/>
    <n v="5"/>
    <n v="0"/>
    <n v="2468"/>
    <x v="97"/>
    <x v="0"/>
    <x v="0"/>
    <x v="0"/>
  </r>
  <r>
    <s v="Description 3265"/>
    <s v="Code 3265"/>
    <n v="0"/>
    <n v="0"/>
    <n v="0"/>
    <n v="0"/>
    <n v="0"/>
    <n v="0"/>
    <n v="0"/>
    <n v="0"/>
    <n v="0"/>
    <n v="0"/>
    <n v="293"/>
    <x v="84"/>
    <x v="0"/>
    <x v="0"/>
    <x v="0"/>
  </r>
  <r>
    <s v="Description 3266"/>
    <s v="Code 3266"/>
    <n v="15"/>
    <n v="15"/>
    <n v="20"/>
    <n v="20"/>
    <n v="15"/>
    <n v="15"/>
    <n v="20"/>
    <n v="20"/>
    <n v="5"/>
    <n v="0"/>
    <n v="224"/>
    <x v="75"/>
    <x v="0"/>
    <x v="0"/>
    <x v="0"/>
  </r>
  <r>
    <s v="Description 3267"/>
    <s v="Code 3267"/>
    <n v="45"/>
    <n v="45"/>
    <n v="60"/>
    <n v="60"/>
    <n v="45"/>
    <n v="45"/>
    <n v="60"/>
    <n v="60"/>
    <n v="15"/>
    <n v="0"/>
    <n v="302"/>
    <x v="123"/>
    <x v="0"/>
    <x v="1"/>
    <x v="0"/>
  </r>
  <r>
    <s v="Description 3268"/>
    <s v="Code 3268"/>
    <n v="30"/>
    <n v="30"/>
    <n v="40"/>
    <n v="40"/>
    <n v="30"/>
    <n v="30"/>
    <n v="40"/>
    <n v="40"/>
    <n v="10"/>
    <n v="0"/>
    <n v="37"/>
    <x v="52"/>
    <x v="0"/>
    <x v="0"/>
    <x v="0"/>
  </r>
  <r>
    <s v="Description 3269"/>
    <s v="Code 3269"/>
    <n v="30"/>
    <n v="30"/>
    <n v="40"/>
    <n v="40"/>
    <n v="30"/>
    <n v="30"/>
    <n v="40"/>
    <n v="40"/>
    <n v="10"/>
    <n v="0"/>
    <n v="0"/>
    <x v="13"/>
    <x v="0"/>
    <x v="1"/>
    <x v="0"/>
  </r>
  <r>
    <s v="Description 3270"/>
    <s v="Code 3270"/>
    <n v="0"/>
    <n v="0"/>
    <n v="0"/>
    <n v="0"/>
    <n v="0"/>
    <n v="0"/>
    <n v="0"/>
    <n v="0"/>
    <n v="0"/>
    <n v="0"/>
    <n v="307"/>
    <x v="169"/>
    <x v="0"/>
    <x v="0"/>
    <x v="0"/>
  </r>
  <r>
    <s v="Description 3271"/>
    <s v="Code 3271"/>
    <n v="30"/>
    <n v="30"/>
    <n v="40"/>
    <n v="40"/>
    <n v="30"/>
    <n v="30"/>
    <n v="40"/>
    <n v="40"/>
    <n v="10"/>
    <n v="0"/>
    <n v="0"/>
    <x v="66"/>
    <x v="0"/>
    <x v="0"/>
    <x v="0"/>
  </r>
  <r>
    <s v="Description 3272"/>
    <s v="Code 3272"/>
    <n v="32"/>
    <n v="40"/>
    <n v="32"/>
    <n v="32"/>
    <n v="0"/>
    <n v="0"/>
    <n v="0"/>
    <n v="0"/>
    <n v="0"/>
    <n v="0"/>
    <n v="0"/>
    <x v="12"/>
    <x v="0"/>
    <x v="0"/>
    <x v="0"/>
  </r>
  <r>
    <s v="Description 3273"/>
    <s v="Code 3273"/>
    <n v="80"/>
    <n v="140"/>
    <n v="68"/>
    <n v="68"/>
    <n v="0"/>
    <n v="0"/>
    <n v="0"/>
    <n v="0"/>
    <n v="0"/>
    <n v="0"/>
    <n v="0"/>
    <x v="123"/>
    <x v="0"/>
    <x v="1"/>
    <x v="0"/>
  </r>
  <r>
    <s v="Description 3274"/>
    <s v="Code 3274"/>
    <n v="0"/>
    <n v="16"/>
    <n v="0"/>
    <n v="0"/>
    <n v="0"/>
    <n v="0"/>
    <n v="0"/>
    <n v="0"/>
    <n v="0"/>
    <n v="0"/>
    <n v="0"/>
    <x v="87"/>
    <x v="0"/>
    <x v="0"/>
    <x v="0"/>
  </r>
  <r>
    <s v="Description 3275"/>
    <s v="Code 3275"/>
    <n v="8"/>
    <n v="14"/>
    <n v="2"/>
    <n v="2"/>
    <n v="0"/>
    <n v="0"/>
    <n v="0"/>
    <n v="0"/>
    <n v="0"/>
    <n v="0"/>
    <n v="1431"/>
    <x v="44"/>
    <x v="0"/>
    <x v="0"/>
    <x v="0"/>
  </r>
  <r>
    <s v="Description 3276"/>
    <s v="Code 3276"/>
    <n v="16"/>
    <n v="28"/>
    <n v="16"/>
    <n v="16"/>
    <n v="0"/>
    <n v="0"/>
    <n v="0"/>
    <n v="0"/>
    <n v="0"/>
    <n v="0"/>
    <n v="1257"/>
    <x v="121"/>
    <x v="0"/>
    <x v="0"/>
    <x v="0"/>
  </r>
  <r>
    <s v="Description 3277"/>
    <s v="Code 3277"/>
    <n v="0"/>
    <n v="0"/>
    <n v="0"/>
    <n v="4"/>
    <n v="4"/>
    <n v="4"/>
    <n v="0"/>
    <n v="4"/>
    <n v="4"/>
    <n v="0"/>
    <n v="1379"/>
    <x v="137"/>
    <x v="0"/>
    <x v="1"/>
    <x v="0"/>
  </r>
  <r>
    <s v="Description 3278"/>
    <s v="Code 3278"/>
    <n v="0"/>
    <n v="0"/>
    <n v="0"/>
    <n v="6"/>
    <n v="6"/>
    <n v="6"/>
    <n v="0"/>
    <n v="6"/>
    <n v="6"/>
    <n v="0"/>
    <n v="0"/>
    <x v="8"/>
    <x v="0"/>
    <x v="0"/>
    <x v="0"/>
  </r>
  <r>
    <s v="Description 3279"/>
    <s v="Code 3279"/>
    <n v="0"/>
    <n v="0"/>
    <n v="0"/>
    <n v="0"/>
    <n v="0"/>
    <n v="0"/>
    <n v="0"/>
    <n v="0"/>
    <n v="0"/>
    <n v="0"/>
    <n v="0"/>
    <x v="109"/>
    <x v="0"/>
    <x v="0"/>
    <x v="0"/>
  </r>
  <r>
    <s v="Description 3280"/>
    <s v="Code 3280"/>
    <n v="0"/>
    <n v="0"/>
    <n v="0"/>
    <n v="0"/>
    <n v="0"/>
    <n v="0"/>
    <n v="0"/>
    <n v="0"/>
    <n v="0"/>
    <n v="0"/>
    <n v="0"/>
    <x v="163"/>
    <x v="0"/>
    <x v="0"/>
    <x v="0"/>
  </r>
  <r>
    <s v="Description 3281"/>
    <s v="Code 3281"/>
    <n v="0"/>
    <n v="0"/>
    <n v="0"/>
    <n v="0"/>
    <n v="0"/>
    <n v="0"/>
    <n v="0"/>
    <n v="0"/>
    <n v="0"/>
    <n v="0"/>
    <n v="2000"/>
    <x v="151"/>
    <x v="0"/>
    <x v="0"/>
    <x v="0"/>
  </r>
  <r>
    <s v="Description 3282"/>
    <s v="Code 3282"/>
    <n v="100"/>
    <n v="50"/>
    <n v="50"/>
    <n v="50"/>
    <n v="50"/>
    <n v="50"/>
    <n v="50"/>
    <n v="50"/>
    <n v="50"/>
    <n v="0"/>
    <n v="1302"/>
    <x v="58"/>
    <x v="0"/>
    <x v="0"/>
    <x v="0"/>
  </r>
  <r>
    <s v="Description 3283"/>
    <s v="Code 3283"/>
    <n v="12"/>
    <n v="0"/>
    <n v="10"/>
    <n v="8"/>
    <n v="10"/>
    <n v="6"/>
    <n v="8"/>
    <n v="4"/>
    <n v="4"/>
    <n v="0"/>
    <n v="1530"/>
    <x v="33"/>
    <x v="0"/>
    <x v="0"/>
    <x v="0"/>
  </r>
  <r>
    <s v="Description 3284"/>
    <s v="Code 3284"/>
    <n v="384"/>
    <n v="120"/>
    <n v="20"/>
    <n v="32"/>
    <n v="52"/>
    <n v="0"/>
    <n v="0"/>
    <n v="0"/>
    <n v="0"/>
    <n v="0"/>
    <n v="1580"/>
    <x v="151"/>
    <x v="0"/>
    <x v="0"/>
    <x v="0"/>
  </r>
  <r>
    <s v="Description 3285"/>
    <s v="Code 3285"/>
    <n v="8"/>
    <n v="24"/>
    <n v="4"/>
    <n v="4"/>
    <n v="8"/>
    <n v="0"/>
    <n v="0"/>
    <n v="0"/>
    <n v="0"/>
    <n v="0"/>
    <n v="1585"/>
    <x v="22"/>
    <x v="0"/>
    <x v="0"/>
    <x v="0"/>
  </r>
  <r>
    <s v="Description 3286"/>
    <s v="Code 3286"/>
    <n v="6"/>
    <n v="18"/>
    <n v="3"/>
    <n v="6"/>
    <n v="6"/>
    <n v="0"/>
    <n v="0"/>
    <n v="0"/>
    <n v="0"/>
    <n v="0"/>
    <n v="1000"/>
    <x v="102"/>
    <x v="0"/>
    <x v="0"/>
    <x v="0"/>
  </r>
  <r>
    <s v="Description 3287"/>
    <s v="Code 3287"/>
    <n v="4"/>
    <n v="0"/>
    <n v="0"/>
    <n v="0"/>
    <n v="0"/>
    <n v="0"/>
    <n v="0"/>
    <n v="0"/>
    <n v="0"/>
    <n v="0"/>
    <n v="639"/>
    <x v="77"/>
    <x v="0"/>
    <x v="0"/>
    <x v="0"/>
  </r>
  <r>
    <s v="Description 3288"/>
    <s v="Code 3288"/>
    <n v="48"/>
    <n v="48"/>
    <n v="64"/>
    <n v="64"/>
    <n v="48"/>
    <n v="64"/>
    <n v="32"/>
    <n v="32"/>
    <n v="32"/>
    <n v="0"/>
    <n v="500"/>
    <x v="178"/>
    <x v="0"/>
    <x v="0"/>
    <x v="0"/>
  </r>
  <r>
    <s v="Description 3289"/>
    <s v="Code 3289"/>
    <n v="0"/>
    <n v="0"/>
    <n v="0"/>
    <n v="0"/>
    <n v="0"/>
    <n v="0"/>
    <n v="0"/>
    <n v="0"/>
    <n v="0"/>
    <n v="0"/>
    <n v="522"/>
    <x v="187"/>
    <x v="0"/>
    <x v="1"/>
    <x v="0"/>
  </r>
  <r>
    <s v="Description 3290"/>
    <s v="Code 3290"/>
    <n v="40"/>
    <n v="40"/>
    <n v="50"/>
    <n v="50"/>
    <n v="40"/>
    <n v="50"/>
    <n v="30"/>
    <n v="30"/>
    <n v="30"/>
    <n v="0"/>
    <n v="811"/>
    <x v="92"/>
    <x v="0"/>
    <x v="0"/>
    <x v="0"/>
  </r>
  <r>
    <s v="Description 3291"/>
    <s v="Code 3291"/>
    <n v="0"/>
    <n v="0"/>
    <n v="0"/>
    <n v="5"/>
    <n v="0"/>
    <n v="1"/>
    <n v="0"/>
    <n v="0"/>
    <n v="0"/>
    <n v="0"/>
    <n v="0"/>
    <x v="77"/>
    <x v="0"/>
    <x v="0"/>
    <x v="0"/>
  </r>
  <r>
    <s v="Description 3292"/>
    <s v="Code 3292"/>
    <n v="0"/>
    <n v="0"/>
    <n v="0"/>
    <n v="0"/>
    <n v="0"/>
    <n v="0"/>
    <n v="0"/>
    <n v="0"/>
    <n v="0"/>
    <n v="0"/>
    <n v="1587"/>
    <x v="157"/>
    <x v="0"/>
    <x v="0"/>
    <x v="0"/>
  </r>
  <r>
    <s v="Description 3293"/>
    <s v="Code 3293"/>
    <n v="0"/>
    <n v="0"/>
    <n v="0"/>
    <n v="0"/>
    <n v="0"/>
    <n v="0"/>
    <n v="0"/>
    <n v="0"/>
    <n v="0"/>
    <n v="0"/>
    <n v="150"/>
    <x v="49"/>
    <x v="0"/>
    <x v="0"/>
    <x v="0"/>
  </r>
  <r>
    <s v="Description 3294"/>
    <s v="Code 3294"/>
    <n v="100"/>
    <n v="0"/>
    <n v="0"/>
    <n v="0"/>
    <n v="0"/>
    <n v="50"/>
    <n v="0"/>
    <n v="0"/>
    <n v="0"/>
    <n v="0"/>
    <n v="0"/>
    <x v="125"/>
    <x v="0"/>
    <x v="0"/>
    <x v="0"/>
  </r>
  <r>
    <s v="Description 3295"/>
    <s v="Code 3295"/>
    <n v="0"/>
    <n v="0"/>
    <n v="0"/>
    <n v="0"/>
    <n v="0"/>
    <n v="0.39"/>
    <n v="0"/>
    <n v="0"/>
    <n v="0"/>
    <n v="0"/>
    <n v="0"/>
    <x v="6"/>
    <x v="0"/>
    <x v="0"/>
    <x v="0"/>
  </r>
  <r>
    <s v="Description 3296"/>
    <s v="Code 3296"/>
    <n v="0"/>
    <n v="0"/>
    <n v="0"/>
    <n v="0"/>
    <n v="0"/>
    <n v="0.37"/>
    <n v="0"/>
    <n v="0"/>
    <n v="0"/>
    <n v="0"/>
    <n v="17"/>
    <x v="127"/>
    <x v="0"/>
    <x v="0"/>
    <x v="0"/>
  </r>
  <r>
    <s v="Description 3297"/>
    <s v="Code 3297"/>
    <n v="0"/>
    <n v="0"/>
    <n v="0"/>
    <n v="0"/>
    <n v="0"/>
    <n v="0"/>
    <n v="0"/>
    <n v="0"/>
    <n v="0"/>
    <n v="0"/>
    <n v="84"/>
    <x v="154"/>
    <x v="0"/>
    <x v="0"/>
    <x v="0"/>
  </r>
  <r>
    <s v="Description 3298"/>
    <s v="Code 3298"/>
    <n v="0"/>
    <n v="0"/>
    <n v="0"/>
    <n v="0"/>
    <n v="0"/>
    <n v="0"/>
    <n v="0"/>
    <n v="0"/>
    <n v="0"/>
    <n v="0"/>
    <n v="20"/>
    <x v="71"/>
    <x v="0"/>
    <x v="0"/>
    <x v="0"/>
  </r>
  <r>
    <s v="Description 3299"/>
    <s v="Code 3299"/>
    <n v="0"/>
    <n v="0"/>
    <n v="0"/>
    <n v="0"/>
    <n v="0"/>
    <n v="0"/>
    <n v="0"/>
    <n v="0"/>
    <n v="0"/>
    <n v="0"/>
    <n v="0"/>
    <x v="66"/>
    <x v="0"/>
    <x v="0"/>
    <x v="0"/>
  </r>
  <r>
    <s v="Description 3300"/>
    <s v="Code 3300"/>
    <n v="0"/>
    <n v="0"/>
    <n v="0"/>
    <n v="0"/>
    <n v="0"/>
    <n v="0"/>
    <n v="0"/>
    <n v="0"/>
    <n v="0"/>
    <n v="0"/>
    <n v="0"/>
    <x v="121"/>
    <x v="0"/>
    <x v="0"/>
    <x v="0"/>
  </r>
  <r>
    <s v="Description 3301"/>
    <s v="Code 3301"/>
    <n v="0"/>
    <n v="0"/>
    <n v="0"/>
    <n v="0"/>
    <n v="0"/>
    <n v="0"/>
    <n v="0"/>
    <n v="0"/>
    <n v="0"/>
    <n v="0"/>
    <n v="0.03"/>
    <x v="35"/>
    <x v="0"/>
    <x v="1"/>
    <x v="0"/>
  </r>
  <r>
    <s v="Description 3302"/>
    <s v="Code 3302"/>
    <n v="0"/>
    <n v="0"/>
    <n v="0"/>
    <n v="0"/>
    <n v="0"/>
    <n v="0"/>
    <n v="0"/>
    <n v="0"/>
    <n v="0"/>
    <n v="0"/>
    <n v="0"/>
    <x v="22"/>
    <x v="0"/>
    <x v="0"/>
    <x v="0"/>
  </r>
  <r>
    <s v="Description 3303"/>
    <s v="Code 3303"/>
    <n v="0"/>
    <n v="0"/>
    <n v="0"/>
    <n v="0"/>
    <n v="0"/>
    <n v="0"/>
    <n v="0"/>
    <n v="0"/>
    <n v="0"/>
    <n v="0"/>
    <n v="2344"/>
    <x v="114"/>
    <x v="0"/>
    <x v="0"/>
    <x v="0"/>
  </r>
  <r>
    <s v="Description 3304"/>
    <s v="Code 3304"/>
    <n v="500"/>
    <n v="650"/>
    <n v="500"/>
    <n v="500"/>
    <n v="500"/>
    <n v="500"/>
    <n v="600"/>
    <n v="500"/>
    <n v="500"/>
    <n v="0"/>
    <n v="400"/>
    <x v="150"/>
    <x v="0"/>
    <x v="0"/>
    <x v="0"/>
  </r>
  <r>
    <s v="Description 3305"/>
    <s v="Code 3305"/>
    <n v="50"/>
    <n v="100"/>
    <n v="100"/>
    <n v="100"/>
    <n v="200"/>
    <n v="200"/>
    <n v="200"/>
    <n v="100"/>
    <n v="200"/>
    <n v="0"/>
    <n v="2500"/>
    <x v="33"/>
    <x v="0"/>
    <x v="0"/>
    <x v="0"/>
  </r>
  <r>
    <s v="Description 3306"/>
    <s v="Code 3306"/>
    <n v="500"/>
    <n v="650"/>
    <n v="520"/>
    <n v="520"/>
    <n v="520"/>
    <n v="520"/>
    <n v="620"/>
    <n v="520"/>
    <n v="520"/>
    <n v="0"/>
    <n v="402"/>
    <x v="94"/>
    <x v="0"/>
    <x v="0"/>
    <x v="0"/>
  </r>
  <r>
    <s v="Description 3307"/>
    <s v="Code 3307"/>
    <n v="0"/>
    <n v="0"/>
    <n v="20"/>
    <n v="20"/>
    <n v="20"/>
    <n v="20"/>
    <n v="20"/>
    <n v="20"/>
    <n v="20"/>
    <n v="0"/>
    <n v="350"/>
    <x v="129"/>
    <x v="0"/>
    <x v="1"/>
    <x v="0"/>
  </r>
  <r>
    <s v="Description 3308"/>
    <s v="Code 3308"/>
    <n v="450"/>
    <n v="0"/>
    <n v="300"/>
    <n v="200"/>
    <n v="200"/>
    <n v="200"/>
    <n v="200"/>
    <n v="200"/>
    <n v="200"/>
    <n v="0"/>
    <n v="1750"/>
    <x v="20"/>
    <x v="0"/>
    <x v="0"/>
    <x v="0"/>
  </r>
  <r>
    <s v="Description 3309"/>
    <s v="Code 3309"/>
    <n v="450"/>
    <n v="550"/>
    <n v="400"/>
    <n v="400"/>
    <n v="300"/>
    <n v="300"/>
    <n v="400"/>
    <n v="400"/>
    <n v="300"/>
    <n v="0"/>
    <n v="212"/>
    <x v="144"/>
    <x v="0"/>
    <x v="0"/>
    <x v="0"/>
  </r>
  <r>
    <s v="Description 3310"/>
    <s v="Code 3310"/>
    <n v="0"/>
    <n v="0"/>
    <n v="20"/>
    <n v="20"/>
    <n v="20"/>
    <n v="20"/>
    <n v="20"/>
    <n v="20"/>
    <n v="20"/>
    <n v="0"/>
    <n v="0"/>
    <x v="130"/>
    <x v="0"/>
    <x v="1"/>
    <x v="0"/>
  </r>
  <r>
    <s v="Description 3311"/>
    <s v="Code 3311"/>
    <n v="0"/>
    <n v="0"/>
    <n v="0"/>
    <n v="0"/>
    <n v="0"/>
    <n v="0"/>
    <n v="0"/>
    <n v="0"/>
    <n v="0"/>
    <n v="0"/>
    <n v="868"/>
    <x v="178"/>
    <x v="0"/>
    <x v="0"/>
    <x v="0"/>
  </r>
  <r>
    <s v="Description 3312"/>
    <s v="Code 3312"/>
    <n v="720"/>
    <n v="900"/>
    <n v="910"/>
    <n v="1080"/>
    <n v="510"/>
    <n v="690"/>
    <n v="690"/>
    <n v="545"/>
    <n v="300"/>
    <n v="0"/>
    <n v="0"/>
    <x v="193"/>
    <x v="0"/>
    <x v="0"/>
    <x v="0"/>
  </r>
  <r>
    <s v="Description 3313"/>
    <s v="Code 3313"/>
    <n v="2"/>
    <n v="0"/>
    <n v="0"/>
    <n v="0"/>
    <n v="0"/>
    <n v="0"/>
    <n v="0"/>
    <n v="0"/>
    <n v="0"/>
    <n v="0"/>
    <n v="266"/>
    <x v="126"/>
    <x v="0"/>
    <x v="0"/>
    <x v="0"/>
  </r>
  <r>
    <s v="Description 3314"/>
    <s v="Code 3314"/>
    <n v="192"/>
    <n v="146.875"/>
    <n v="201.75"/>
    <n v="226.875"/>
    <n v="207.5"/>
    <n v="150.25"/>
    <n v="176.375"/>
    <n v="158.875"/>
    <n v="145.625"/>
    <n v="0"/>
    <n v="0"/>
    <x v="61"/>
    <x v="0"/>
    <x v="0"/>
    <x v="0"/>
  </r>
  <r>
    <s v="Description 3315"/>
    <s v="Code 3315"/>
    <n v="0"/>
    <n v="0"/>
    <n v="0"/>
    <n v="0"/>
    <n v="0"/>
    <n v="0"/>
    <n v="0"/>
    <n v="0"/>
    <n v="0"/>
    <n v="0"/>
    <n v="0"/>
    <x v="95"/>
    <x v="0"/>
    <x v="0"/>
    <x v="0"/>
  </r>
  <r>
    <s v="Description 3316"/>
    <s v="Code 3316"/>
    <n v="0"/>
    <n v="0"/>
    <n v="0"/>
    <n v="0"/>
    <n v="0.16"/>
    <n v="0"/>
    <n v="0"/>
    <n v="0"/>
    <n v="0"/>
    <n v="0"/>
    <n v="75"/>
    <x v="183"/>
    <x v="0"/>
    <x v="0"/>
    <x v="0"/>
  </r>
  <r>
    <s v="Description 3317"/>
    <s v="Code 3317"/>
    <n v="0"/>
    <n v="0"/>
    <n v="0"/>
    <n v="4"/>
    <n v="0"/>
    <n v="0"/>
    <n v="0"/>
    <n v="0"/>
    <n v="0"/>
    <n v="0"/>
    <n v="0"/>
    <x v="162"/>
    <x v="0"/>
    <x v="0"/>
    <x v="0"/>
  </r>
  <r>
    <s v="Description 3318"/>
    <s v="Code 3318"/>
    <n v="0"/>
    <n v="0"/>
    <n v="0"/>
    <n v="35"/>
    <n v="0"/>
    <n v="3"/>
    <n v="0"/>
    <n v="0"/>
    <n v="0"/>
    <n v="0"/>
    <n v="0"/>
    <x v="40"/>
    <x v="0"/>
    <x v="0"/>
    <x v="0"/>
  </r>
  <r>
    <s v="Description 3319"/>
    <s v="Code 3319"/>
    <n v="100"/>
    <n v="10"/>
    <n v="60"/>
    <n v="40"/>
    <n v="80"/>
    <n v="42"/>
    <n v="20"/>
    <n v="50"/>
    <n v="220"/>
    <n v="0"/>
    <n v="830"/>
    <x v="144"/>
    <x v="0"/>
    <x v="0"/>
    <x v="0"/>
  </r>
  <r>
    <s v="Description 3320"/>
    <s v="Code 3320"/>
    <n v="7"/>
    <n v="18"/>
    <n v="11"/>
    <n v="10"/>
    <n v="9"/>
    <n v="0"/>
    <n v="2"/>
    <n v="5"/>
    <n v="0"/>
    <n v="0"/>
    <n v="5986"/>
    <x v="42"/>
    <x v="0"/>
    <x v="1"/>
    <x v="0"/>
  </r>
  <r>
    <s v="Description 3321"/>
    <s v="Code 3321"/>
    <n v="4769"/>
    <n v="4529"/>
    <n v="4976"/>
    <n v="4756"/>
    <n v="4928"/>
    <n v="5126"/>
    <n v="3398"/>
    <n v="3285"/>
    <n v="3656"/>
    <n v="0"/>
    <n v="0"/>
    <x v="178"/>
    <x v="0"/>
    <x v="0"/>
    <x v="0"/>
  </r>
  <r>
    <s v="Description 3322"/>
    <s v="Code 3322"/>
    <n v="33"/>
    <n v="0"/>
    <n v="285"/>
    <n v="636"/>
    <n v="39"/>
    <n v="0"/>
    <n v="6"/>
    <n v="687"/>
    <n v="0"/>
    <n v="0"/>
    <n v="480"/>
    <x v="171"/>
    <x v="0"/>
    <x v="0"/>
    <x v="0"/>
  </r>
  <r>
    <s v="Description 3323"/>
    <s v="Code 3323"/>
    <n v="0"/>
    <n v="0"/>
    <n v="0"/>
    <n v="10"/>
    <n v="0"/>
    <n v="2"/>
    <n v="0"/>
    <n v="0"/>
    <n v="0"/>
    <n v="0"/>
    <n v="302"/>
    <x v="46"/>
    <x v="0"/>
    <x v="0"/>
    <x v="0"/>
  </r>
  <r>
    <s v="Description 3324"/>
    <s v="Code 3324"/>
    <n v="0"/>
    <n v="0"/>
    <n v="60"/>
    <n v="0"/>
    <n v="0"/>
    <n v="0"/>
    <n v="0"/>
    <n v="0"/>
    <n v="60"/>
    <n v="0"/>
    <n v="498"/>
    <x v="172"/>
    <x v="0"/>
    <x v="0"/>
    <x v="0"/>
  </r>
  <r>
    <s v="Description 3325"/>
    <s v="Code 3325"/>
    <n v="100"/>
    <n v="110"/>
    <n v="140"/>
    <n v="140"/>
    <n v="100"/>
    <n v="170"/>
    <n v="120"/>
    <n v="100"/>
    <n v="100"/>
    <n v="0"/>
    <n v="92"/>
    <x v="102"/>
    <x v="0"/>
    <x v="0"/>
    <x v="0"/>
  </r>
  <r>
    <s v="Description 3326"/>
    <s v="Code 3326"/>
    <n v="224"/>
    <n v="42"/>
    <n v="206"/>
    <n v="26"/>
    <n v="200"/>
    <n v="0"/>
    <n v="0"/>
    <n v="220"/>
    <n v="0"/>
    <n v="0"/>
    <n v="310"/>
    <x v="97"/>
    <x v="0"/>
    <x v="0"/>
    <x v="0"/>
  </r>
  <r>
    <s v="Description 3327"/>
    <s v="Code 3327"/>
    <n v="150"/>
    <n v="165"/>
    <n v="250"/>
    <n v="216"/>
    <n v="150"/>
    <n v="255"/>
    <n v="180"/>
    <n v="174"/>
    <n v="150"/>
    <n v="0"/>
    <n v="176"/>
    <x v="145"/>
    <x v="0"/>
    <x v="0"/>
    <x v="0"/>
  </r>
  <r>
    <s v="Description 3328"/>
    <s v="Code 3328"/>
    <n v="2"/>
    <n v="0"/>
    <n v="6"/>
    <n v="4"/>
    <n v="2"/>
    <n v="0"/>
    <n v="0"/>
    <n v="0"/>
    <n v="0"/>
    <n v="0"/>
    <n v="28"/>
    <x v="53"/>
    <x v="0"/>
    <x v="0"/>
    <x v="0"/>
  </r>
  <r>
    <s v="Description 3329"/>
    <s v="Code 3329"/>
    <n v="1400"/>
    <n v="1800"/>
    <n v="4200"/>
    <n v="4100"/>
    <n v="2720"/>
    <n v="1600"/>
    <n v="600"/>
    <n v="4200"/>
    <n v="700"/>
    <n v="0"/>
    <n v="686"/>
    <x v="103"/>
    <x v="0"/>
    <x v="0"/>
    <x v="0"/>
  </r>
  <r>
    <s v="Description 3330"/>
    <s v="Code 3330"/>
    <n v="207"/>
    <n v="123"/>
    <n v="99"/>
    <n v="212"/>
    <n v="106"/>
    <n v="94"/>
    <n v="150"/>
    <n v="195"/>
    <n v="75"/>
    <n v="0"/>
    <n v="0"/>
    <x v="143"/>
    <x v="0"/>
    <x v="0"/>
    <x v="0"/>
  </r>
  <r>
    <s v="Description 3331"/>
    <s v="Code 3331"/>
    <n v="0"/>
    <n v="0"/>
    <n v="10"/>
    <n v="0"/>
    <n v="0"/>
    <n v="0"/>
    <n v="0"/>
    <n v="0"/>
    <n v="0"/>
    <n v="0"/>
    <n v="709"/>
    <x v="94"/>
    <x v="0"/>
    <x v="0"/>
    <x v="0"/>
  </r>
  <r>
    <s v="Description 3332"/>
    <s v="Code 3332"/>
    <n v="323"/>
    <n v="202"/>
    <n v="324"/>
    <n v="290"/>
    <n v="267"/>
    <n v="228"/>
    <n v="248"/>
    <n v="276"/>
    <n v="159"/>
    <n v="0"/>
    <n v="4643"/>
    <x v="116"/>
    <x v="0"/>
    <x v="0"/>
    <x v="0"/>
  </r>
  <r>
    <s v="Description 3333"/>
    <s v="Code 3333"/>
    <n v="0"/>
    <n v="0"/>
    <n v="0"/>
    <n v="2"/>
    <n v="0"/>
    <n v="0"/>
    <n v="0"/>
    <n v="0"/>
    <n v="0"/>
    <n v="0"/>
    <n v="704"/>
    <x v="81"/>
    <x v="0"/>
    <x v="0"/>
    <x v="0"/>
  </r>
  <r>
    <s v="Description 3334"/>
    <s v="Code 3334"/>
    <n v="12248"/>
    <n v="10224"/>
    <n v="7884"/>
    <n v="9247"/>
    <n v="11188"/>
    <n v="9580"/>
    <n v="7076"/>
    <n v="9132"/>
    <n v="8380"/>
    <n v="0"/>
    <n v="98"/>
    <x v="56"/>
    <x v="0"/>
    <x v="0"/>
    <x v="0"/>
  </r>
  <r>
    <s v="Description 3335"/>
    <s v="Code 3335"/>
    <n v="50"/>
    <n v="46"/>
    <n v="60"/>
    <n v="54"/>
    <n v="40"/>
    <n v="32"/>
    <n v="32"/>
    <n v="30"/>
    <n v="32"/>
    <n v="0"/>
    <n v="232"/>
    <x v="153"/>
    <x v="0"/>
    <x v="0"/>
    <x v="0"/>
  </r>
  <r>
    <s v="Description 3336"/>
    <s v="Code 3336"/>
    <n v="0"/>
    <n v="0"/>
    <n v="0"/>
    <n v="0"/>
    <n v="0"/>
    <n v="0"/>
    <n v="0"/>
    <n v="20"/>
    <n v="0"/>
    <n v="0"/>
    <n v="0"/>
    <x v="53"/>
    <x v="0"/>
    <x v="0"/>
    <x v="0"/>
  </r>
  <r>
    <s v="Description 3337"/>
    <s v="Code 3337"/>
    <n v="0"/>
    <n v="0"/>
    <n v="0"/>
    <n v="0"/>
    <n v="0"/>
    <n v="0"/>
    <n v="0"/>
    <n v="0"/>
    <n v="0"/>
    <n v="0"/>
    <n v="801"/>
    <x v="38"/>
    <x v="0"/>
    <x v="0"/>
    <x v="0"/>
  </r>
  <r>
    <s v="Description 3338"/>
    <s v="Code 3338"/>
    <n v="0"/>
    <n v="0"/>
    <n v="0"/>
    <n v="0"/>
    <n v="0"/>
    <n v="0"/>
    <n v="0"/>
    <n v="0"/>
    <n v="0"/>
    <n v="0"/>
    <n v="430"/>
    <x v="125"/>
    <x v="0"/>
    <x v="0"/>
    <x v="0"/>
  </r>
  <r>
    <s v="Description 3339"/>
    <s v="Code 3339"/>
    <n v="248"/>
    <n v="248"/>
    <n v="248"/>
    <n v="248"/>
    <n v="248"/>
    <n v="248"/>
    <n v="248"/>
    <n v="248"/>
    <n v="248"/>
    <n v="0"/>
    <n v="0"/>
    <x v="162"/>
    <x v="0"/>
    <x v="0"/>
    <x v="0"/>
  </r>
  <r>
    <s v="Description 3340"/>
    <s v="Code 3340"/>
    <n v="207"/>
    <n v="304"/>
    <n v="292"/>
    <n v="296"/>
    <n v="621"/>
    <n v="96"/>
    <n v="190"/>
    <n v="431"/>
    <n v="176"/>
    <n v="0"/>
    <n v="54"/>
    <x v="81"/>
    <x v="0"/>
    <x v="0"/>
    <x v="0"/>
  </r>
  <r>
    <s v="Description 3341"/>
    <s v="Code 3341"/>
    <n v="0"/>
    <n v="0"/>
    <n v="8"/>
    <n v="8"/>
    <n v="0"/>
    <n v="0"/>
    <n v="0"/>
    <n v="12"/>
    <n v="0"/>
    <n v="0"/>
    <n v="58"/>
    <x v="188"/>
    <x v="0"/>
    <x v="0"/>
    <x v="0"/>
  </r>
  <r>
    <s v="Description 3342"/>
    <s v="Code 3342"/>
    <n v="4"/>
    <n v="2"/>
    <n v="28"/>
    <n v="20"/>
    <n v="8"/>
    <n v="2"/>
    <n v="6"/>
    <n v="12"/>
    <n v="2"/>
    <n v="0"/>
    <n v="0"/>
    <x v="43"/>
    <x v="0"/>
    <x v="0"/>
    <x v="0"/>
  </r>
  <r>
    <s v="Description 3343"/>
    <s v="Code 3343"/>
    <n v="120"/>
    <n v="30"/>
    <n v="90"/>
    <n v="60"/>
    <n v="100"/>
    <n v="60"/>
    <n v="40"/>
    <n v="60"/>
    <n v="240"/>
    <n v="0"/>
    <n v="85"/>
    <x v="67"/>
    <x v="0"/>
    <x v="0"/>
    <x v="0"/>
  </r>
  <r>
    <s v="Description 3344"/>
    <s v="Code 3344"/>
    <n v="0"/>
    <n v="0"/>
    <n v="0"/>
    <n v="0"/>
    <n v="0"/>
    <n v="0"/>
    <n v="0"/>
    <n v="0"/>
    <n v="0"/>
    <n v="0"/>
    <n v="2946"/>
    <x v="10"/>
    <x v="0"/>
    <x v="0"/>
    <x v="0"/>
  </r>
  <r>
    <s v="Description 3345"/>
    <s v="Code 3345"/>
    <n v="0"/>
    <n v="0"/>
    <n v="0"/>
    <n v="0"/>
    <n v="0"/>
    <n v="0"/>
    <n v="0"/>
    <n v="0"/>
    <n v="0"/>
    <n v="0"/>
    <n v="1002"/>
    <x v="14"/>
    <x v="0"/>
    <x v="0"/>
    <x v="0"/>
  </r>
  <r>
    <s v="Description 3346"/>
    <s v="Code 3346"/>
    <n v="40"/>
    <n v="30"/>
    <n v="16"/>
    <n v="58"/>
    <n v="26"/>
    <n v="23"/>
    <n v="20"/>
    <n v="14"/>
    <n v="18"/>
    <n v="0"/>
    <n v="1142"/>
    <x v="139"/>
    <x v="0"/>
    <x v="0"/>
    <x v="0"/>
  </r>
  <r>
    <s v="Description 3347"/>
    <s v="Code 3347"/>
    <n v="160"/>
    <n v="100"/>
    <n v="200"/>
    <n v="120"/>
    <n v="170"/>
    <n v="121"/>
    <n v="60"/>
    <n v="100"/>
    <n v="140"/>
    <n v="0"/>
    <n v="0"/>
    <x v="162"/>
    <x v="0"/>
    <x v="0"/>
    <x v="0"/>
  </r>
  <r>
    <s v="Description 3348"/>
    <s v="Code 3348"/>
    <n v="0"/>
    <n v="0"/>
    <n v="0"/>
    <n v="0"/>
    <n v="0"/>
    <n v="0"/>
    <n v="70"/>
    <n v="0"/>
    <n v="0"/>
    <n v="0"/>
    <n v="0"/>
    <x v="195"/>
    <x v="0"/>
    <x v="0"/>
    <x v="0"/>
  </r>
  <r>
    <s v="Description 3349"/>
    <s v="Code 3349"/>
    <n v="0"/>
    <n v="0"/>
    <n v="0"/>
    <n v="0"/>
    <n v="0"/>
    <n v="0"/>
    <n v="0"/>
    <n v="0"/>
    <n v="0"/>
    <n v="0"/>
    <n v="532"/>
    <x v="104"/>
    <x v="0"/>
    <x v="0"/>
    <x v="0"/>
  </r>
  <r>
    <s v="Description 3350"/>
    <s v="Code 3350"/>
    <n v="0"/>
    <n v="0"/>
    <n v="0"/>
    <n v="0"/>
    <n v="0"/>
    <n v="0"/>
    <n v="0"/>
    <n v="0"/>
    <n v="0"/>
    <n v="0"/>
    <n v="0"/>
    <x v="145"/>
    <x v="0"/>
    <x v="0"/>
    <x v="0"/>
  </r>
  <r>
    <s v="Description 3351"/>
    <s v="Code 3351"/>
    <n v="0"/>
    <n v="0"/>
    <n v="20"/>
    <n v="50"/>
    <n v="0"/>
    <n v="0"/>
    <n v="0"/>
    <n v="50"/>
    <n v="0"/>
    <n v="0"/>
    <n v="3095"/>
    <x v="0"/>
    <x v="0"/>
    <x v="0"/>
    <x v="0"/>
  </r>
  <r>
    <s v="Description 3352"/>
    <s v="Code 3352"/>
    <n v="2476"/>
    <n v="1995"/>
    <n v="2656"/>
    <n v="2854"/>
    <n v="2100"/>
    <n v="1943"/>
    <n v="2062"/>
    <n v="1787"/>
    <n v="1733"/>
    <n v="0"/>
    <n v="0"/>
    <x v="48"/>
    <x v="0"/>
    <x v="0"/>
    <x v="0"/>
  </r>
  <r>
    <s v="Description 3353"/>
    <s v="Code 3353"/>
    <n v="0"/>
    <n v="0"/>
    <n v="25"/>
    <n v="0"/>
    <n v="25"/>
    <n v="25"/>
    <n v="0"/>
    <n v="0"/>
    <n v="0"/>
    <n v="0"/>
    <n v="6024"/>
    <x v="42"/>
    <x v="0"/>
    <x v="1"/>
    <x v="0"/>
  </r>
  <r>
    <s v="Description 3354"/>
    <s v="Code 3354"/>
    <n v="997"/>
    <n v="957"/>
    <n v="1466"/>
    <n v="1304"/>
    <n v="1135"/>
    <n v="1630"/>
    <n v="1034"/>
    <n v="826"/>
    <n v="1455"/>
    <n v="0"/>
    <n v="4407"/>
    <x v="137"/>
    <x v="0"/>
    <x v="1"/>
    <x v="0"/>
  </r>
  <r>
    <s v="Description 3355"/>
    <s v="Code 3355"/>
    <n v="40"/>
    <n v="48"/>
    <n v="30"/>
    <n v="50"/>
    <n v="36"/>
    <n v="36"/>
    <n v="68"/>
    <n v="38"/>
    <n v="8"/>
    <n v="0"/>
    <n v="999"/>
    <x v="27"/>
    <x v="0"/>
    <x v="0"/>
    <x v="0"/>
  </r>
  <r>
    <s v="Description 3356"/>
    <s v="Code 3356"/>
    <n v="0"/>
    <n v="0"/>
    <n v="0"/>
    <n v="0"/>
    <n v="0"/>
    <n v="0"/>
    <n v="0"/>
    <n v="0"/>
    <n v="0"/>
    <n v="0"/>
    <n v="1690"/>
    <x v="35"/>
    <x v="0"/>
    <x v="1"/>
    <x v="0"/>
  </r>
  <r>
    <s v="Description 3357"/>
    <s v="Code 3357"/>
    <n v="0"/>
    <n v="0"/>
    <n v="0"/>
    <n v="0"/>
    <n v="0"/>
    <n v="0"/>
    <n v="0"/>
    <n v="0"/>
    <n v="0"/>
    <n v="0"/>
    <n v="195"/>
    <x v="91"/>
    <x v="0"/>
    <x v="0"/>
    <x v="0"/>
  </r>
  <r>
    <s v="Description 3358"/>
    <s v="Code 3358"/>
    <n v="1020"/>
    <n v="824"/>
    <n v="976"/>
    <n v="884"/>
    <n v="784"/>
    <n v="884"/>
    <n v="516"/>
    <n v="444"/>
    <n v="544"/>
    <n v="0"/>
    <n v="668"/>
    <x v="13"/>
    <x v="0"/>
    <x v="1"/>
    <x v="0"/>
  </r>
  <r>
    <s v="Description 3359"/>
    <s v="Code 3359"/>
    <n v="8420"/>
    <n v="8497"/>
    <n v="10117"/>
    <n v="11774"/>
    <n v="9129"/>
    <n v="7640"/>
    <n v="8795"/>
    <n v="7831"/>
    <n v="5846"/>
    <n v="0"/>
    <n v="154"/>
    <x v="44"/>
    <x v="0"/>
    <x v="0"/>
    <x v="0"/>
  </r>
  <r>
    <s v="Description 3360"/>
    <s v="Code 3360"/>
    <n v="0"/>
    <n v="0"/>
    <n v="0"/>
    <n v="0"/>
    <n v="0"/>
    <n v="40"/>
    <n v="0"/>
    <n v="0"/>
    <n v="20"/>
    <n v="0"/>
    <n v="0"/>
    <x v="170"/>
    <x v="0"/>
    <x v="0"/>
    <x v="0"/>
  </r>
  <r>
    <s v="Description 3361"/>
    <s v="Code 3361"/>
    <n v="5034"/>
    <n v="442"/>
    <n v="3443"/>
    <n v="3495"/>
    <n v="1446"/>
    <n v="2196"/>
    <n v="2728"/>
    <n v="1876"/>
    <n v="1040"/>
    <n v="0"/>
    <n v="899"/>
    <x v="18"/>
    <x v="0"/>
    <x v="0"/>
    <x v="0"/>
  </r>
  <r>
    <s v="Description 3362"/>
    <s v="Code 3362"/>
    <n v="2657"/>
    <n v="2759"/>
    <n v="2858"/>
    <n v="2386"/>
    <n v="2015"/>
    <n v="1631"/>
    <n v="1798"/>
    <n v="1918"/>
    <n v="1641"/>
    <n v="0"/>
    <n v="0"/>
    <x v="38"/>
    <x v="0"/>
    <x v="0"/>
    <x v="0"/>
  </r>
  <r>
    <s v="Description 3363"/>
    <s v="Code 3363"/>
    <n v="2"/>
    <n v="0"/>
    <n v="0"/>
    <n v="0"/>
    <n v="0"/>
    <n v="0"/>
    <n v="0"/>
    <n v="0"/>
    <n v="0"/>
    <n v="0"/>
    <n v="0"/>
    <x v="94"/>
    <x v="0"/>
    <x v="0"/>
    <x v="0"/>
  </r>
  <r>
    <s v="Description 3364"/>
    <s v="Code 3364"/>
    <n v="0"/>
    <n v="100"/>
    <n v="0"/>
    <n v="0"/>
    <n v="100"/>
    <n v="0"/>
    <n v="0"/>
    <n v="0"/>
    <n v="0"/>
    <n v="0"/>
    <n v="3323"/>
    <x v="153"/>
    <x v="0"/>
    <x v="0"/>
    <x v="0"/>
  </r>
  <r>
    <s v="Description 3365"/>
    <s v="Code 3365"/>
    <n v="1178"/>
    <n v="958"/>
    <n v="1236"/>
    <n v="1156"/>
    <n v="1183"/>
    <n v="1112"/>
    <n v="1032"/>
    <n v="606"/>
    <n v="552"/>
    <n v="0"/>
    <n v="1000"/>
    <x v="168"/>
    <x v="0"/>
    <x v="0"/>
    <x v="0"/>
  </r>
  <r>
    <s v="Description 3366"/>
    <s v="Code 3366"/>
    <n v="1248"/>
    <n v="1248"/>
    <n v="1344"/>
    <n v="1056"/>
    <n v="1296"/>
    <n v="1152"/>
    <n v="1056"/>
    <n v="1056"/>
    <n v="864"/>
    <n v="0"/>
    <n v="0"/>
    <x v="164"/>
    <x v="0"/>
    <x v="0"/>
    <x v="0"/>
  </r>
  <r>
    <s v="Description 3367"/>
    <s v="Code 3367"/>
    <n v="1797"/>
    <n v="766"/>
    <n v="864"/>
    <n v="704"/>
    <n v="56"/>
    <n v="384"/>
    <n v="536"/>
    <n v="0"/>
    <n v="440"/>
    <n v="0"/>
    <n v="0"/>
    <x v="112"/>
    <x v="0"/>
    <x v="0"/>
    <x v="0"/>
  </r>
  <r>
    <s v="Description 3368"/>
    <s v="Code 3368"/>
    <n v="0"/>
    <n v="0"/>
    <n v="0"/>
    <n v="0"/>
    <n v="0"/>
    <n v="0"/>
    <n v="0"/>
    <n v="0"/>
    <n v="0"/>
    <n v="0"/>
    <n v="0"/>
    <x v="87"/>
    <x v="0"/>
    <x v="0"/>
    <x v="0"/>
  </r>
  <r>
    <s v="Description 3369"/>
    <s v="Code 3369"/>
    <n v="0"/>
    <n v="0"/>
    <n v="0"/>
    <n v="0"/>
    <n v="0"/>
    <n v="0"/>
    <n v="0"/>
    <n v="0"/>
    <n v="0"/>
    <n v="0"/>
    <n v="2000"/>
    <x v="172"/>
    <x v="0"/>
    <x v="0"/>
    <x v="0"/>
  </r>
  <r>
    <s v="Description 3370"/>
    <s v="Code 3370"/>
    <n v="50"/>
    <n v="55"/>
    <n v="70"/>
    <n v="70"/>
    <n v="50"/>
    <n v="85"/>
    <n v="60"/>
    <n v="50"/>
    <n v="50"/>
    <n v="0"/>
    <n v="0"/>
    <x v="132"/>
    <x v="0"/>
    <x v="0"/>
    <x v="0"/>
  </r>
  <r>
    <s v="Description 3371"/>
    <s v="Code 3371"/>
    <n v="1710"/>
    <n v="2100"/>
    <n v="2140"/>
    <n v="2520"/>
    <n v="1200"/>
    <n v="1620"/>
    <n v="1620"/>
    <n v="1272"/>
    <n v="720"/>
    <n v="0"/>
    <n v="0"/>
    <x v="144"/>
    <x v="0"/>
    <x v="0"/>
    <x v="0"/>
  </r>
  <r>
    <s v="Description 3372"/>
    <s v="Code 3372"/>
    <n v="42516"/>
    <n v="40384"/>
    <n v="45904"/>
    <n v="49324"/>
    <n v="46684"/>
    <n v="48724"/>
    <n v="31828"/>
    <n v="37300"/>
    <n v="40596"/>
    <n v="0"/>
    <n v="1000"/>
    <x v="120"/>
    <x v="0"/>
    <x v="0"/>
    <x v="0"/>
  </r>
  <r>
    <s v="Description 3373"/>
    <s v="Code 3373"/>
    <n v="972"/>
    <n v="288"/>
    <n v="336"/>
    <n v="336"/>
    <n v="336"/>
    <n v="216"/>
    <n v="336"/>
    <n v="120"/>
    <n v="240"/>
    <n v="0"/>
    <n v="2769"/>
    <x v="100"/>
    <x v="0"/>
    <x v="0"/>
    <x v="0"/>
  </r>
  <r>
    <s v="Description 3374"/>
    <s v="Code 3374"/>
    <n v="178"/>
    <n v="180"/>
    <n v="147"/>
    <n v="304"/>
    <n v="160"/>
    <n v="154"/>
    <n v="156"/>
    <n v="154"/>
    <n v="100"/>
    <n v="0"/>
    <n v="0"/>
    <x v="183"/>
    <x v="0"/>
    <x v="0"/>
    <x v="0"/>
  </r>
  <r>
    <s v="Description 3375"/>
    <s v="Code 3375"/>
    <n v="1588"/>
    <n v="332"/>
    <n v="596"/>
    <n v="974"/>
    <n v="220"/>
    <n v="220"/>
    <n v="150"/>
    <n v="912"/>
    <n v="420"/>
    <n v="0"/>
    <n v="0"/>
    <x v="115"/>
    <x v="0"/>
    <x v="0"/>
    <x v="0"/>
  </r>
  <r>
    <s v="Description 3376"/>
    <s v="Code 3376"/>
    <n v="0"/>
    <n v="0"/>
    <n v="0"/>
    <n v="0"/>
    <n v="0"/>
    <n v="0"/>
    <n v="0"/>
    <n v="0"/>
    <n v="0"/>
    <n v="0"/>
    <n v="0"/>
    <x v="126"/>
    <x v="0"/>
    <x v="0"/>
    <x v="0"/>
  </r>
  <r>
    <s v="Description 3377"/>
    <s v="Code 3377"/>
    <n v="20"/>
    <n v="0"/>
    <n v="0"/>
    <n v="0"/>
    <n v="0"/>
    <n v="0"/>
    <n v="0"/>
    <n v="0"/>
    <n v="0"/>
    <n v="0"/>
    <n v="24"/>
    <x v="80"/>
    <x v="0"/>
    <x v="0"/>
    <x v="0"/>
  </r>
  <r>
    <s v="Description 3378"/>
    <s v="Code 3378"/>
    <n v="30380"/>
    <n v="25284"/>
    <n v="27048"/>
    <n v="27048"/>
    <n v="26264"/>
    <n v="26264"/>
    <n v="20972"/>
    <n v="18228"/>
    <n v="21952"/>
    <n v="0"/>
    <n v="75"/>
    <x v="100"/>
    <x v="0"/>
    <x v="0"/>
    <x v="0"/>
  </r>
  <r>
    <s v="Description 3379"/>
    <s v="Code 3379"/>
    <n v="12"/>
    <n v="6"/>
    <n v="8"/>
    <n v="8"/>
    <n v="6"/>
    <n v="8"/>
    <n v="20"/>
    <n v="10"/>
    <n v="0"/>
    <n v="0"/>
    <n v="4356"/>
    <x v="159"/>
    <x v="0"/>
    <x v="0"/>
    <x v="0"/>
  </r>
  <r>
    <s v="Description 3380"/>
    <s v="Code 3380"/>
    <n v="26"/>
    <n v="10"/>
    <n v="26"/>
    <n v="18"/>
    <n v="24"/>
    <n v="26"/>
    <n v="10"/>
    <n v="18"/>
    <n v="36"/>
    <n v="0"/>
    <n v="0"/>
    <x v="33"/>
    <x v="0"/>
    <x v="0"/>
    <x v="0"/>
  </r>
  <r>
    <s v="Description 3381"/>
    <s v="Code 3381"/>
    <n v="969"/>
    <n v="846"/>
    <n v="1082"/>
    <n v="1212"/>
    <n v="981"/>
    <n v="807"/>
    <n v="927"/>
    <n v="776"/>
    <n v="690"/>
    <n v="0"/>
    <n v="1000"/>
    <x v="72"/>
    <x v="0"/>
    <x v="0"/>
    <x v="0"/>
  </r>
  <r>
    <s v="Description 3382"/>
    <s v="Code 3382"/>
    <n v="0"/>
    <n v="0"/>
    <n v="360"/>
    <n v="120"/>
    <n v="0"/>
    <n v="0"/>
    <n v="0"/>
    <n v="0"/>
    <n v="0"/>
    <n v="0"/>
    <n v="374"/>
    <x v="102"/>
    <x v="0"/>
    <x v="0"/>
    <x v="0"/>
  </r>
  <r>
    <s v="Description 3383"/>
    <s v="Code 3383"/>
    <n v="0"/>
    <n v="16"/>
    <n v="0"/>
    <n v="0"/>
    <n v="0"/>
    <n v="0"/>
    <n v="0"/>
    <n v="0"/>
    <n v="0"/>
    <n v="0"/>
    <n v="0"/>
    <x v="57"/>
    <x v="0"/>
    <x v="0"/>
    <x v="0"/>
  </r>
  <r>
    <s v="Description 3384"/>
    <s v="Code 3384"/>
    <n v="16"/>
    <n v="28"/>
    <n v="16"/>
    <n v="16"/>
    <n v="0"/>
    <n v="0"/>
    <n v="0"/>
    <n v="0"/>
    <n v="0"/>
    <n v="0"/>
    <n v="1011"/>
    <x v="8"/>
    <x v="0"/>
    <x v="0"/>
    <x v="0"/>
  </r>
  <r>
    <s v="Description 3385"/>
    <s v="Code 3385"/>
    <n v="4"/>
    <n v="0"/>
    <n v="4"/>
    <n v="22"/>
    <n v="22"/>
    <n v="22"/>
    <n v="8"/>
    <n v="14"/>
    <n v="14"/>
    <n v="0"/>
    <n v="98"/>
    <x v="141"/>
    <x v="0"/>
    <x v="0"/>
    <x v="0"/>
  </r>
  <r>
    <s v="Description 3386"/>
    <s v="Code 3386"/>
    <n v="0"/>
    <n v="0"/>
    <n v="0"/>
    <n v="0"/>
    <n v="0"/>
    <n v="0"/>
    <n v="0"/>
    <n v="0"/>
    <n v="0"/>
    <n v="0"/>
    <n v="1031"/>
    <x v="147"/>
    <x v="0"/>
    <x v="0"/>
    <x v="0"/>
  </r>
  <r>
    <s v="Description 3387"/>
    <s v="Code 3387"/>
    <n v="24"/>
    <n v="8"/>
    <n v="46"/>
    <n v="58"/>
    <n v="24"/>
    <n v="10"/>
    <n v="6"/>
    <n v="6"/>
    <n v="6"/>
    <n v="0"/>
    <n v="992"/>
    <x v="36"/>
    <x v="0"/>
    <x v="0"/>
    <x v="0"/>
  </r>
  <r>
    <s v="Description 3388"/>
    <s v="Code 3388"/>
    <n v="0"/>
    <n v="0"/>
    <n v="0"/>
    <n v="0"/>
    <n v="0"/>
    <n v="0"/>
    <n v="0"/>
    <n v="0"/>
    <n v="0"/>
    <n v="0"/>
    <n v="5246"/>
    <x v="108"/>
    <x v="0"/>
    <x v="1"/>
    <x v="0"/>
  </r>
  <r>
    <s v="Description 3389"/>
    <s v="Code 3389"/>
    <n v="4144"/>
    <n v="4020"/>
    <n v="4440"/>
    <n v="3540"/>
    <n v="4290"/>
    <n v="3840"/>
    <n v="3540"/>
    <n v="3300"/>
    <n v="2700"/>
    <n v="0"/>
    <n v="1491"/>
    <x v="31"/>
    <x v="0"/>
    <x v="0"/>
    <x v="0"/>
  </r>
  <r>
    <s v="Description 3390"/>
    <s v="Code 3390"/>
    <n v="824"/>
    <n v="408"/>
    <n v="871"/>
    <n v="292"/>
    <n v="158"/>
    <n v="16"/>
    <n v="8"/>
    <n v="8"/>
    <n v="8"/>
    <n v="0"/>
    <n v="5211"/>
    <x v="141"/>
    <x v="0"/>
    <x v="0"/>
    <x v="0"/>
  </r>
  <r>
    <s v="Description 3391"/>
    <s v="Code 3391"/>
    <n v="0"/>
    <n v="0"/>
    <n v="0"/>
    <n v="0"/>
    <n v="0"/>
    <n v="0"/>
    <n v="0"/>
    <n v="0"/>
    <n v="0"/>
    <n v="0"/>
    <n v="1456"/>
    <x v="126"/>
    <x v="0"/>
    <x v="0"/>
    <x v="0"/>
  </r>
  <r>
    <s v="Description 3392"/>
    <s v="Code 3392"/>
    <n v="288"/>
    <n v="0"/>
    <n v="648"/>
    <n v="864"/>
    <n v="288"/>
    <n v="0"/>
    <n v="0"/>
    <n v="0"/>
    <n v="0"/>
    <n v="0"/>
    <n v="900"/>
    <x v="65"/>
    <x v="0"/>
    <x v="0"/>
    <x v="0"/>
  </r>
  <r>
    <s v="Description 3393"/>
    <s v="Code 3393"/>
    <n v="112"/>
    <n v="0"/>
    <n v="62"/>
    <n v="84"/>
    <n v="0"/>
    <n v="0"/>
    <n v="0"/>
    <n v="0"/>
    <n v="0"/>
    <n v="0"/>
    <n v="452"/>
    <x v="137"/>
    <x v="0"/>
    <x v="1"/>
    <x v="0"/>
  </r>
  <r>
    <s v="Description 3394"/>
    <s v="Code 3394"/>
    <n v="241"/>
    <n v="181"/>
    <n v="195"/>
    <n v="195"/>
    <n v="241"/>
    <n v="195"/>
    <n v="167"/>
    <n v="167"/>
    <n v="167"/>
    <n v="0"/>
    <n v="3652"/>
    <x v="81"/>
    <x v="0"/>
    <x v="0"/>
    <x v="0"/>
  </r>
  <r>
    <s v="Description 3395"/>
    <s v="Code 3395"/>
    <n v="516"/>
    <n v="28"/>
    <n v="1133"/>
    <n v="1499"/>
    <n v="516"/>
    <n v="35"/>
    <n v="21"/>
    <n v="21"/>
    <n v="21"/>
    <n v="0"/>
    <n v="1500"/>
    <x v="57"/>
    <x v="0"/>
    <x v="0"/>
    <x v="0"/>
  </r>
  <r>
    <s v="Description 3396"/>
    <s v="Code 3396"/>
    <n v="740"/>
    <n v="566"/>
    <n v="864"/>
    <n v="80"/>
    <n v="342"/>
    <n v="18"/>
    <n v="10"/>
    <n v="10"/>
    <n v="130"/>
    <n v="0"/>
    <n v="965"/>
    <x v="82"/>
    <x v="0"/>
    <x v="0"/>
    <x v="0"/>
  </r>
  <r>
    <s v="Description 3397"/>
    <s v="Code 3397"/>
    <n v="80"/>
    <n v="32"/>
    <n v="62"/>
    <n v="44"/>
    <n v="44"/>
    <n v="44"/>
    <n v="20"/>
    <n v="68"/>
    <n v="20"/>
    <n v="0"/>
    <n v="618"/>
    <x v="193"/>
    <x v="0"/>
    <x v="0"/>
    <x v="0"/>
  </r>
  <r>
    <s v="Description 3398"/>
    <s v="Code 3398"/>
    <n v="0"/>
    <n v="0"/>
    <n v="0"/>
    <n v="0"/>
    <n v="0"/>
    <n v="0"/>
    <n v="0"/>
    <n v="0"/>
    <n v="0"/>
    <n v="0"/>
    <n v="1190"/>
    <x v="162"/>
    <x v="0"/>
    <x v="0"/>
    <x v="0"/>
  </r>
  <r>
    <s v="Description 3399"/>
    <s v="Code 3399"/>
    <n v="0"/>
    <n v="120"/>
    <n v="120"/>
    <n v="0"/>
    <n v="216"/>
    <n v="0"/>
    <n v="0"/>
    <n v="0"/>
    <n v="72"/>
    <n v="0"/>
    <n v="207"/>
    <x v="197"/>
    <x v="0"/>
    <x v="0"/>
    <x v="0"/>
  </r>
  <r>
    <s v="Description 3400"/>
    <s v="Code 3400"/>
    <n v="0"/>
    <n v="0"/>
    <n v="0"/>
    <n v="0"/>
    <n v="0"/>
    <n v="0"/>
    <n v="0"/>
    <n v="0"/>
    <n v="0"/>
    <n v="0"/>
    <n v="0"/>
    <x v="61"/>
    <x v="0"/>
    <x v="0"/>
    <x v="0"/>
  </r>
  <r>
    <s v="Description 3401"/>
    <s v="Code 3401"/>
    <n v="912"/>
    <n v="744"/>
    <n v="1032"/>
    <n v="1032"/>
    <n v="360"/>
    <n v="528"/>
    <n v="480"/>
    <n v="504"/>
    <n v="384"/>
    <n v="0"/>
    <n v="0"/>
    <x v="80"/>
    <x v="0"/>
    <x v="0"/>
    <x v="0"/>
  </r>
  <r>
    <s v="Description 3402"/>
    <s v="Code 3402"/>
    <n v="456"/>
    <n v="372"/>
    <n v="516"/>
    <n v="516"/>
    <n v="180"/>
    <n v="264"/>
    <n v="240"/>
    <n v="252"/>
    <n v="192"/>
    <n v="0"/>
    <n v="0"/>
    <x v="134"/>
    <x v="0"/>
    <x v="0"/>
    <x v="0"/>
  </r>
  <r>
    <s v="Description 3403"/>
    <s v="Code 3403"/>
    <n v="0"/>
    <n v="0"/>
    <n v="0"/>
    <n v="0"/>
    <n v="0"/>
    <n v="0"/>
    <n v="0"/>
    <n v="0"/>
    <n v="0"/>
    <n v="0"/>
    <n v="0"/>
    <x v="96"/>
    <x v="0"/>
    <x v="0"/>
    <x v="0"/>
  </r>
  <r>
    <s v="Description 3404"/>
    <s v="Code 3404"/>
    <n v="114"/>
    <n v="93"/>
    <n v="129"/>
    <n v="129"/>
    <n v="45"/>
    <n v="68"/>
    <n v="60"/>
    <n v="65"/>
    <n v="48"/>
    <n v="0"/>
    <n v="0"/>
    <x v="159"/>
    <x v="0"/>
    <x v="0"/>
    <x v="0"/>
  </r>
  <r>
    <s v="Description 3405"/>
    <s v="Code 3405"/>
    <n v="304"/>
    <n v="248"/>
    <n v="344"/>
    <n v="344"/>
    <n v="120"/>
    <n v="176"/>
    <n v="160"/>
    <n v="168"/>
    <n v="128"/>
    <n v="0"/>
    <n v="0"/>
    <x v="50"/>
    <x v="0"/>
    <x v="0"/>
    <x v="0"/>
  </r>
  <r>
    <s v="Description 3406"/>
    <s v="Code 3406"/>
    <n v="0"/>
    <n v="26"/>
    <n v="38"/>
    <n v="38"/>
    <n v="0"/>
    <n v="10"/>
    <n v="10"/>
    <n v="8"/>
    <n v="2"/>
    <n v="0"/>
    <n v="0"/>
    <x v="144"/>
    <x v="0"/>
    <x v="0"/>
    <x v="0"/>
  </r>
  <r>
    <s v="Description 3407"/>
    <s v="Code 3407"/>
    <n v="0"/>
    <n v="0"/>
    <n v="0"/>
    <n v="0"/>
    <n v="0"/>
    <n v="0"/>
    <n v="0"/>
    <n v="0"/>
    <n v="0"/>
    <n v="0"/>
    <n v="923"/>
    <x v="1"/>
    <x v="0"/>
    <x v="0"/>
    <x v="0"/>
  </r>
  <r>
    <s v="Description 3408"/>
    <s v="Code 3408"/>
    <n v="152"/>
    <n v="72"/>
    <n v="96"/>
    <n v="96"/>
    <n v="60"/>
    <n v="68"/>
    <n v="60"/>
    <n v="68"/>
    <n v="60"/>
    <n v="0"/>
    <n v="1268"/>
    <x v="159"/>
    <x v="0"/>
    <x v="0"/>
    <x v="0"/>
  </r>
  <r>
    <s v="Description 3409"/>
    <s v="Code 3409"/>
    <n v="86"/>
    <n v="126"/>
    <n v="72"/>
    <n v="92"/>
    <n v="92"/>
    <n v="78"/>
    <n v="50"/>
    <n v="32"/>
    <n v="32"/>
    <n v="0"/>
    <n v="2106"/>
    <x v="98"/>
    <x v="0"/>
    <x v="0"/>
    <x v="0"/>
  </r>
  <r>
    <s v="Description 3410"/>
    <s v="Code 3410"/>
    <n v="129"/>
    <n v="153"/>
    <n v="212"/>
    <n v="246"/>
    <n v="248"/>
    <n v="227"/>
    <n v="159"/>
    <n v="144"/>
    <n v="126"/>
    <n v="0"/>
    <n v="1744"/>
    <x v="151"/>
    <x v="0"/>
    <x v="0"/>
    <x v="0"/>
  </r>
  <r>
    <s v="Description 3411"/>
    <s v="Code 3411"/>
    <n v="76"/>
    <n v="20"/>
    <n v="86"/>
    <n v="76"/>
    <n v="86"/>
    <n v="66"/>
    <n v="60"/>
    <n v="44"/>
    <n v="42"/>
    <n v="0"/>
    <n v="486"/>
    <x v="81"/>
    <x v="0"/>
    <x v="0"/>
    <x v="0"/>
  </r>
  <r>
    <s v="Description 3412"/>
    <s v="Code 3412"/>
    <n v="12"/>
    <n v="0"/>
    <n v="10"/>
    <n v="12"/>
    <n v="14"/>
    <n v="10"/>
    <n v="8"/>
    <n v="8"/>
    <n v="8"/>
    <n v="0"/>
    <n v="162"/>
    <x v="186"/>
    <x v="0"/>
    <x v="0"/>
    <x v="0"/>
  </r>
  <r>
    <s v="Description 3413"/>
    <s v="Code 3413"/>
    <n v="0"/>
    <n v="0"/>
    <n v="0"/>
    <n v="0"/>
    <n v="0"/>
    <n v="0"/>
    <n v="0"/>
    <n v="0"/>
    <n v="0"/>
    <n v="0"/>
    <n v="1568"/>
    <x v="165"/>
    <x v="0"/>
    <x v="0"/>
    <x v="0"/>
  </r>
  <r>
    <s v="Description 3414"/>
    <s v="Code 3414"/>
    <n v="122"/>
    <n v="162"/>
    <n v="212"/>
    <n v="312"/>
    <n v="312"/>
    <n v="294"/>
    <n v="186"/>
    <n v="212"/>
    <n v="178"/>
    <n v="0"/>
    <n v="365"/>
    <x v="54"/>
    <x v="0"/>
    <x v="0"/>
    <x v="0"/>
  </r>
  <r>
    <s v="Description 3415"/>
    <s v="Code 3415"/>
    <n v="0"/>
    <n v="0"/>
    <n v="0"/>
    <n v="0"/>
    <n v="0"/>
    <n v="0"/>
    <n v="0"/>
    <n v="0"/>
    <n v="0"/>
    <n v="0"/>
    <n v="313"/>
    <x v="141"/>
    <x v="0"/>
    <x v="0"/>
    <x v="0"/>
  </r>
  <r>
    <s v="Description 3416"/>
    <s v="Code 3416"/>
    <n v="14"/>
    <n v="18"/>
    <n v="24"/>
    <n v="28"/>
    <n v="28"/>
    <n v="26"/>
    <n v="18"/>
    <n v="16"/>
    <n v="14"/>
    <n v="0"/>
    <n v="517"/>
    <x v="68"/>
    <x v="0"/>
    <x v="0"/>
    <x v="0"/>
  </r>
  <r>
    <s v="Description 3417"/>
    <s v="Code 3417"/>
    <n v="138"/>
    <n v="180"/>
    <n v="238"/>
    <n v="276"/>
    <n v="276"/>
    <n v="256"/>
    <n v="176"/>
    <n v="160"/>
    <n v="140"/>
    <n v="0"/>
    <n v="1569"/>
    <x v="27"/>
    <x v="0"/>
    <x v="0"/>
    <x v="0"/>
  </r>
  <r>
    <s v="Description 3418"/>
    <s v="Code 3418"/>
    <n v="42"/>
    <n v="54"/>
    <n v="72"/>
    <n v="60"/>
    <n v="60"/>
    <n v="54"/>
    <n v="42"/>
    <n v="24"/>
    <n v="24"/>
    <n v="0"/>
    <n v="300"/>
    <x v="88"/>
    <x v="0"/>
    <x v="0"/>
    <x v="0"/>
  </r>
  <r>
    <s v="Description 3419"/>
    <s v="Code 3419"/>
    <n v="0"/>
    <n v="0"/>
    <n v="0"/>
    <n v="0"/>
    <n v="0"/>
    <n v="0"/>
    <n v="0"/>
    <n v="0"/>
    <n v="0"/>
    <n v="0"/>
    <n v="1691"/>
    <x v="102"/>
    <x v="0"/>
    <x v="0"/>
    <x v="0"/>
  </r>
  <r>
    <s v="Description 3420"/>
    <s v="Code 3420"/>
    <n v="1"/>
    <n v="0"/>
    <n v="1"/>
    <n v="20"/>
    <n v="20"/>
    <n v="20"/>
    <n v="4"/>
    <n v="18"/>
    <n v="17"/>
    <n v="0"/>
    <n v="150"/>
    <x v="8"/>
    <x v="0"/>
    <x v="0"/>
    <x v="0"/>
  </r>
  <r>
    <s v="Description 3421"/>
    <s v="Code 3421"/>
    <n v="0"/>
    <n v="0"/>
    <n v="0"/>
    <n v="0"/>
    <n v="0"/>
    <n v="0"/>
    <n v="0"/>
    <n v="0"/>
    <n v="0"/>
    <n v="0"/>
    <n v="325"/>
    <x v="85"/>
    <x v="0"/>
    <x v="1"/>
    <x v="0"/>
  </r>
  <r>
    <s v="Description 3422"/>
    <s v="Code 3422"/>
    <n v="270"/>
    <n v="0"/>
    <n v="0"/>
    <n v="0"/>
    <n v="12"/>
    <n v="0"/>
    <n v="0"/>
    <n v="0"/>
    <n v="0"/>
    <n v="0"/>
    <n v="0"/>
    <x v="179"/>
    <x v="0"/>
    <x v="0"/>
    <x v="0"/>
  </r>
  <r>
    <s v="Description 3423"/>
    <s v="Code 3423"/>
    <n v="1248"/>
    <n v="1248"/>
    <n v="1344"/>
    <n v="1056"/>
    <n v="1296"/>
    <n v="1152"/>
    <n v="1056"/>
    <n v="1056"/>
    <n v="864"/>
    <n v="0"/>
    <n v="0"/>
    <x v="72"/>
    <x v="0"/>
    <x v="0"/>
    <x v="0"/>
  </r>
  <r>
    <s v="Description 3424"/>
    <s v="Code 3424"/>
    <n v="0"/>
    <n v="0"/>
    <n v="0"/>
    <n v="0"/>
    <n v="0"/>
    <n v="0"/>
    <n v="0"/>
    <n v="0"/>
    <n v="0"/>
    <n v="0"/>
    <n v="0"/>
    <x v="170"/>
    <x v="0"/>
    <x v="0"/>
    <x v="0"/>
  </r>
  <r>
    <s v="Description 3425"/>
    <s v="Code 3425"/>
    <n v="32"/>
    <n v="40"/>
    <n v="32"/>
    <n v="32"/>
    <n v="0"/>
    <n v="0"/>
    <n v="0"/>
    <n v="0"/>
    <n v="0"/>
    <n v="0"/>
    <n v="0"/>
    <x v="20"/>
    <x v="0"/>
    <x v="0"/>
    <x v="0"/>
  </r>
  <r>
    <s v="Description 3426"/>
    <s v="Code 3426"/>
    <n v="16"/>
    <n v="28"/>
    <n v="4"/>
    <n v="4"/>
    <n v="0"/>
    <n v="0"/>
    <n v="0"/>
    <n v="0"/>
    <n v="0"/>
    <n v="0"/>
    <n v="800"/>
    <x v="87"/>
    <x v="0"/>
    <x v="0"/>
    <x v="0"/>
  </r>
  <r>
    <s v="Description 3427"/>
    <s v="Code 3427"/>
    <n v="64"/>
    <n v="112"/>
    <n v="64"/>
    <n v="64"/>
    <n v="0"/>
    <n v="0"/>
    <n v="0"/>
    <n v="0"/>
    <n v="0"/>
    <n v="0"/>
    <n v="892"/>
    <x v="146"/>
    <x v="0"/>
    <x v="0"/>
    <x v="0"/>
  </r>
  <r>
    <s v="Description 3428"/>
    <s v="Code 3428"/>
    <n v="0"/>
    <n v="0"/>
    <n v="0"/>
    <n v="4"/>
    <n v="4"/>
    <n v="4"/>
    <n v="2"/>
    <n v="4"/>
    <n v="3"/>
    <n v="0"/>
    <n v="879"/>
    <x v="190"/>
    <x v="0"/>
    <x v="0"/>
    <x v="0"/>
  </r>
  <r>
    <s v="Description 3429"/>
    <s v="Code 3429"/>
    <n v="0"/>
    <n v="0"/>
    <n v="0"/>
    <n v="4"/>
    <n v="4"/>
    <n v="4"/>
    <n v="2"/>
    <n v="4"/>
    <n v="3"/>
    <n v="0"/>
    <n v="56"/>
    <x v="127"/>
    <x v="0"/>
    <x v="0"/>
    <x v="0"/>
  </r>
  <r>
    <s v="Description 3430"/>
    <s v="Code 3430"/>
    <n v="0"/>
    <n v="0"/>
    <n v="0"/>
    <n v="32"/>
    <n v="32"/>
    <n v="32"/>
    <n v="16"/>
    <n v="32"/>
    <n v="24"/>
    <n v="0"/>
    <n v="0"/>
    <x v="45"/>
    <x v="0"/>
    <x v="0"/>
    <x v="0"/>
  </r>
  <r>
    <s v="Description 3431"/>
    <s v="Code 3431"/>
    <n v="0"/>
    <n v="0"/>
    <n v="0"/>
    <n v="0"/>
    <n v="0"/>
    <n v="0"/>
    <n v="0"/>
    <n v="0"/>
    <n v="0"/>
    <n v="0"/>
    <n v="0"/>
    <x v="86"/>
    <x v="0"/>
    <x v="0"/>
    <x v="0"/>
  </r>
  <r>
    <s v="Description 3432"/>
    <s v="Code 3432"/>
    <n v="0"/>
    <n v="0"/>
    <n v="0"/>
    <n v="0"/>
    <n v="0"/>
    <n v="0"/>
    <n v="0"/>
    <n v="0"/>
    <n v="0"/>
    <n v="0"/>
    <n v="0"/>
    <x v="79"/>
    <x v="0"/>
    <x v="0"/>
    <x v="0"/>
  </r>
  <r>
    <s v="Description 3433"/>
    <s v="Code 3433"/>
    <n v="6"/>
    <n v="18"/>
    <n v="3"/>
    <n v="3"/>
    <n v="6"/>
    <n v="0"/>
    <n v="0"/>
    <n v="0"/>
    <n v="0"/>
    <n v="0"/>
    <n v="0"/>
    <x v="172"/>
    <x v="0"/>
    <x v="0"/>
    <x v="0"/>
  </r>
  <r>
    <s v="Description 3434"/>
    <s v="Code 3434"/>
    <n v="48"/>
    <n v="144"/>
    <n v="24"/>
    <n v="48"/>
    <n v="44"/>
    <n v="0"/>
    <n v="0"/>
    <n v="0"/>
    <n v="0"/>
    <n v="0"/>
    <n v="2188"/>
    <x v="147"/>
    <x v="0"/>
    <x v="0"/>
    <x v="0"/>
  </r>
  <r>
    <s v="Description 3435"/>
    <s v="Code 3435"/>
    <n v="410"/>
    <n v="2"/>
    <n v="920"/>
    <n v="1226"/>
    <n v="410"/>
    <n v="2"/>
    <n v="2"/>
    <n v="2"/>
    <n v="2"/>
    <n v="0"/>
    <n v="957"/>
    <x v="186"/>
    <x v="0"/>
    <x v="0"/>
    <x v="0"/>
  </r>
  <r>
    <s v="Description 3436"/>
    <s v="Code 3436"/>
    <n v="72"/>
    <n v="0"/>
    <n v="162"/>
    <n v="216"/>
    <n v="72"/>
    <n v="0"/>
    <n v="0"/>
    <n v="0"/>
    <n v="0"/>
    <n v="0"/>
    <n v="1998"/>
    <x v="136"/>
    <x v="0"/>
    <x v="1"/>
    <x v="0"/>
  </r>
  <r>
    <s v="Description 3437"/>
    <s v="Code 3437"/>
    <n v="90"/>
    <n v="42"/>
    <n v="146"/>
    <n v="146"/>
    <n v="90"/>
    <n v="50"/>
    <n v="34"/>
    <n v="34"/>
    <n v="34"/>
    <n v="0"/>
    <n v="1263"/>
    <x v="77"/>
    <x v="0"/>
    <x v="0"/>
    <x v="0"/>
  </r>
  <r>
    <s v="Description 3438"/>
    <s v="Code 3438"/>
    <n v="6"/>
    <n v="6"/>
    <n v="6"/>
    <n v="6"/>
    <n v="6"/>
    <n v="6"/>
    <n v="6"/>
    <n v="6"/>
    <n v="6"/>
    <n v="0"/>
    <n v="3324"/>
    <x v="78"/>
    <x v="0"/>
    <x v="0"/>
    <x v="0"/>
  </r>
  <r>
    <s v="Description 3439"/>
    <s v="Code 3439"/>
    <n v="12"/>
    <n v="12"/>
    <n v="16"/>
    <n v="16"/>
    <n v="12"/>
    <n v="16"/>
    <n v="8"/>
    <n v="8"/>
    <n v="8"/>
    <n v="0"/>
    <n v="1000"/>
    <x v="17"/>
    <x v="0"/>
    <x v="0"/>
    <x v="0"/>
  </r>
  <r>
    <s v="Description 3440"/>
    <s v="Code 3440"/>
    <n v="480"/>
    <n v="264"/>
    <n v="432"/>
    <n v="0"/>
    <n v="36"/>
    <n v="0"/>
    <n v="0"/>
    <n v="0"/>
    <n v="0"/>
    <n v="0"/>
    <n v="200"/>
    <x v="170"/>
    <x v="0"/>
    <x v="0"/>
    <x v="0"/>
  </r>
  <r>
    <s v="Description 3441"/>
    <s v="Code 3441"/>
    <n v="0"/>
    <n v="100"/>
    <n v="100"/>
    <n v="0"/>
    <n v="156"/>
    <n v="0"/>
    <n v="0"/>
    <n v="0"/>
    <n v="60"/>
    <n v="0"/>
    <n v="1730"/>
    <x v="71"/>
    <x v="0"/>
    <x v="0"/>
    <x v="0"/>
  </r>
  <r>
    <s v="Description 3442"/>
    <s v="Code 3442"/>
    <n v="280"/>
    <n v="346"/>
    <n v="456"/>
    <n v="32"/>
    <n v="403"/>
    <n v="32"/>
    <n v="0"/>
    <n v="64"/>
    <n v="132"/>
    <n v="0"/>
    <n v="0"/>
    <x v="55"/>
    <x v="0"/>
    <x v="0"/>
    <x v="0"/>
  </r>
  <r>
    <s v="Description 3443"/>
    <s v="Code 3443"/>
    <n v="1"/>
    <n v="0"/>
    <n v="0"/>
    <n v="1"/>
    <n v="0"/>
    <n v="0"/>
    <n v="0"/>
    <n v="0"/>
    <n v="0"/>
    <n v="0"/>
    <n v="100"/>
    <x v="12"/>
    <x v="0"/>
    <x v="0"/>
    <x v="0"/>
  </r>
  <r>
    <s v="Description 3444"/>
    <s v="Code 3444"/>
    <n v="8"/>
    <n v="0"/>
    <n v="8"/>
    <n v="8"/>
    <n v="0"/>
    <n v="0"/>
    <n v="0"/>
    <n v="0"/>
    <n v="0"/>
    <n v="0"/>
    <n v="650"/>
    <x v="18"/>
    <x v="0"/>
    <x v="0"/>
    <x v="0"/>
  </r>
  <r>
    <s v="Description 3445"/>
    <s v="Code 3445"/>
    <n v="118"/>
    <n v="0"/>
    <n v="80"/>
    <n v="86"/>
    <n v="0"/>
    <n v="0"/>
    <n v="0"/>
    <n v="0"/>
    <n v="0"/>
    <n v="0"/>
    <n v="1125"/>
    <x v="29"/>
    <x v="0"/>
    <x v="0"/>
    <x v="0"/>
  </r>
  <r>
    <s v="Description 3446"/>
    <s v="Code 3446"/>
    <n v="150"/>
    <n v="0"/>
    <n v="126"/>
    <n v="138"/>
    <n v="0"/>
    <n v="0"/>
    <n v="0"/>
    <n v="0"/>
    <n v="0"/>
    <n v="0"/>
    <n v="500"/>
    <x v="63"/>
    <x v="0"/>
    <x v="0"/>
    <x v="0"/>
  </r>
  <r>
    <s v="Description 3447"/>
    <s v="Code 3447"/>
    <n v="0"/>
    <n v="0"/>
    <n v="0"/>
    <n v="0"/>
    <n v="0"/>
    <n v="0"/>
    <n v="0"/>
    <n v="0"/>
    <n v="0"/>
    <n v="0"/>
    <n v="1025"/>
    <x v="146"/>
    <x v="0"/>
    <x v="0"/>
    <x v="0"/>
  </r>
  <r>
    <s v="Description 3448"/>
    <s v="Code 3448"/>
    <n v="0"/>
    <n v="0"/>
    <n v="0"/>
    <n v="0"/>
    <n v="0"/>
    <n v="0"/>
    <n v="0"/>
    <n v="0"/>
    <n v="0"/>
    <n v="0"/>
    <n v="520"/>
    <x v="72"/>
    <x v="0"/>
    <x v="0"/>
    <x v="0"/>
  </r>
  <r>
    <s v="Description 3449"/>
    <s v="Code 3449"/>
    <n v="0"/>
    <n v="0"/>
    <n v="0"/>
    <n v="0"/>
    <n v="0"/>
    <n v="0"/>
    <n v="0"/>
    <n v="0"/>
    <n v="0"/>
    <n v="0"/>
    <n v="1004"/>
    <x v="119"/>
    <x v="0"/>
    <x v="1"/>
    <x v="0"/>
  </r>
  <r>
    <s v="Description 3450"/>
    <s v="Code 3450"/>
    <n v="0"/>
    <n v="0"/>
    <n v="0"/>
    <n v="0"/>
    <n v="0"/>
    <n v="0"/>
    <n v="0"/>
    <n v="0"/>
    <n v="0"/>
    <n v="0"/>
    <n v="0"/>
    <x v="43"/>
    <x v="0"/>
    <x v="0"/>
    <x v="0"/>
  </r>
  <r>
    <s v="Description 3451"/>
    <s v="Code 3451"/>
    <n v="0"/>
    <n v="0"/>
    <n v="0"/>
    <n v="0"/>
    <n v="0"/>
    <n v="0"/>
    <n v="0"/>
    <n v="0"/>
    <n v="0"/>
    <n v="0"/>
    <n v="0"/>
    <x v="86"/>
    <x v="0"/>
    <x v="0"/>
    <x v="0"/>
  </r>
  <r>
    <s v="Description 3452"/>
    <s v="Code 3452"/>
    <n v="0"/>
    <n v="0"/>
    <n v="0"/>
    <n v="0"/>
    <n v="0"/>
    <n v="0"/>
    <n v="0"/>
    <n v="24"/>
    <n v="0"/>
    <n v="0"/>
    <n v="1197"/>
    <x v="170"/>
    <x v="0"/>
    <x v="0"/>
    <x v="0"/>
  </r>
  <r>
    <s v="Description 3453"/>
    <s v="Code 3453"/>
    <n v="1888.25"/>
    <n v="1284"/>
    <n v="2126"/>
    <n v="2157.4"/>
    <n v="1351"/>
    <n v="1418"/>
    <n v="528.1"/>
    <n v="1276.5999999999999"/>
    <n v="231.65"/>
    <n v="0"/>
    <n v="87"/>
    <x v="199"/>
    <x v="0"/>
    <x v="0"/>
    <x v="0"/>
  </r>
  <r>
    <s v="Description 3454"/>
    <s v="Code 3454"/>
    <n v="0"/>
    <n v="0"/>
    <n v="0"/>
    <n v="0"/>
    <n v="0"/>
    <n v="0"/>
    <n v="0"/>
    <n v="0"/>
    <n v="0"/>
    <n v="0"/>
    <n v="3103"/>
    <x v="108"/>
    <x v="0"/>
    <x v="1"/>
    <x v="0"/>
  </r>
  <r>
    <s v="Description 3455"/>
    <s v="Code 3455"/>
    <n v="816.3"/>
    <n v="377.5"/>
    <n v="655.5"/>
    <n v="671.58"/>
    <n v="804.17"/>
    <n v="696.37"/>
    <n v="527.79199999999992"/>
    <n v="672.54"/>
    <n v="626.16"/>
    <n v="0"/>
    <n v="0"/>
    <x v="86"/>
    <x v="0"/>
    <x v="0"/>
    <x v="0"/>
  </r>
  <r>
    <s v="Description 3456"/>
    <s v="Code 3456"/>
    <n v="0"/>
    <n v="0"/>
    <n v="10"/>
    <n v="0"/>
    <n v="0"/>
    <n v="0"/>
    <n v="0"/>
    <n v="0"/>
    <n v="0"/>
    <n v="0"/>
    <n v="0"/>
    <x v="152"/>
    <x v="0"/>
    <x v="0"/>
    <x v="0"/>
  </r>
  <r>
    <s v="Description 3457"/>
    <s v="Code 3457"/>
    <n v="0"/>
    <n v="0"/>
    <n v="0"/>
    <n v="0"/>
    <n v="0"/>
    <n v="1"/>
    <n v="0"/>
    <n v="0"/>
    <n v="0"/>
    <n v="0"/>
    <n v="0"/>
    <x v="171"/>
    <x v="0"/>
    <x v="0"/>
    <x v="0"/>
  </r>
  <r>
    <s v="Description 3458"/>
    <s v="Code 3458"/>
    <n v="0"/>
    <n v="0"/>
    <n v="0"/>
    <n v="0"/>
    <n v="0"/>
    <n v="0"/>
    <n v="0"/>
    <n v="0"/>
    <n v="250"/>
    <n v="0"/>
    <n v="1917"/>
    <x v="93"/>
    <x v="0"/>
    <x v="0"/>
    <x v="0"/>
  </r>
  <r>
    <s v="Description 3459"/>
    <s v="Code 3459"/>
    <n v="184"/>
    <n v="1030"/>
    <n v="402"/>
    <n v="1298.0999999999999"/>
    <n v="842.2"/>
    <n v="494.7"/>
    <n v="201"/>
    <n v="1234.2"/>
    <n v="225"/>
    <n v="0"/>
    <n v="0"/>
    <x v="101"/>
    <x v="0"/>
    <x v="0"/>
    <x v="0"/>
  </r>
  <r>
    <s v="Description 3460"/>
    <s v="Code 3460"/>
    <n v="0"/>
    <n v="0"/>
    <n v="0"/>
    <n v="0"/>
    <n v="0"/>
    <n v="0"/>
    <n v="0"/>
    <n v="0"/>
    <n v="0"/>
    <n v="0"/>
    <n v="0"/>
    <x v="65"/>
    <x v="0"/>
    <x v="0"/>
    <x v="0"/>
  </r>
  <r>
    <s v="Description 3461"/>
    <s v="Code 3461"/>
    <n v="0"/>
    <n v="0"/>
    <n v="0"/>
    <n v="0"/>
    <n v="0"/>
    <n v="0"/>
    <n v="0"/>
    <n v="0"/>
    <n v="0"/>
    <n v="0"/>
    <n v="52"/>
    <x v="129"/>
    <x v="0"/>
    <x v="1"/>
    <x v="0"/>
  </r>
  <r>
    <s v="Description 3462"/>
    <s v="Code 3462"/>
    <n v="52"/>
    <n v="0"/>
    <n v="100"/>
    <n v="0"/>
    <n v="0"/>
    <n v="0"/>
    <n v="0"/>
    <n v="110"/>
    <n v="0"/>
    <n v="0"/>
    <n v="1600"/>
    <x v="193"/>
    <x v="0"/>
    <x v="0"/>
    <x v="0"/>
  </r>
  <r>
    <s v="Description 3463"/>
    <s v="Code 3463"/>
    <n v="2"/>
    <n v="0"/>
    <n v="14"/>
    <n v="8"/>
    <n v="6"/>
    <n v="0"/>
    <n v="4"/>
    <n v="10"/>
    <n v="0"/>
    <n v="0"/>
    <n v="2087"/>
    <x v="109"/>
    <x v="0"/>
    <x v="0"/>
    <x v="0"/>
  </r>
  <r>
    <s v="Description 3464"/>
    <s v="Code 3464"/>
    <n v="0"/>
    <n v="0"/>
    <n v="12"/>
    <n v="0"/>
    <n v="0"/>
    <n v="0"/>
    <n v="0"/>
    <n v="0"/>
    <n v="0"/>
    <n v="0"/>
    <n v="0"/>
    <x v="144"/>
    <x v="0"/>
    <x v="0"/>
    <x v="0"/>
  </r>
  <r>
    <s v="Description 3465"/>
    <s v="Code 3465"/>
    <n v="1"/>
    <n v="0"/>
    <n v="0"/>
    <n v="0"/>
    <n v="0"/>
    <n v="0"/>
    <n v="0"/>
    <n v="0"/>
    <n v="0"/>
    <n v="0"/>
    <n v="8"/>
    <x v="175"/>
    <x v="0"/>
    <x v="0"/>
    <x v="0"/>
  </r>
  <r>
    <s v="Description 3466"/>
    <s v="Code 3466"/>
    <n v="0"/>
    <n v="0"/>
    <n v="0"/>
    <n v="0"/>
    <n v="0"/>
    <n v="0"/>
    <n v="0"/>
    <n v="0"/>
    <n v="0"/>
    <n v="0"/>
    <n v="0"/>
    <x v="56"/>
    <x v="0"/>
    <x v="0"/>
    <x v="0"/>
  </r>
  <r>
    <s v="Description 3467"/>
    <s v="Code 3467"/>
    <n v="0"/>
    <n v="50"/>
    <n v="0"/>
    <n v="0"/>
    <n v="50"/>
    <n v="0"/>
    <n v="0"/>
    <n v="0"/>
    <n v="0"/>
    <n v="0"/>
    <n v="1050"/>
    <x v="112"/>
    <x v="0"/>
    <x v="0"/>
    <x v="0"/>
  </r>
  <r>
    <s v="Description 3468"/>
    <s v="Code 3468"/>
    <n v="0"/>
    <n v="0"/>
    <n v="0"/>
    <n v="0"/>
    <n v="0"/>
    <n v="0"/>
    <n v="0"/>
    <n v="0"/>
    <n v="0"/>
    <n v="0"/>
    <n v="750"/>
    <x v="35"/>
    <x v="0"/>
    <x v="1"/>
    <x v="0"/>
  </r>
  <r>
    <s v="Description 3469"/>
    <s v="Code 3469"/>
    <n v="50"/>
    <n v="100"/>
    <n v="120"/>
    <n v="120"/>
    <n v="220"/>
    <n v="220"/>
    <n v="220"/>
    <n v="120"/>
    <n v="220"/>
    <n v="0"/>
    <n v="0"/>
    <x v="33"/>
    <x v="0"/>
    <x v="0"/>
    <x v="0"/>
  </r>
  <r>
    <s v="Description 3470"/>
    <s v="Code 3470"/>
    <n v="36"/>
    <n v="108"/>
    <n v="18"/>
    <n v="36"/>
    <n v="32"/>
    <n v="0"/>
    <n v="0"/>
    <n v="0"/>
    <n v="0"/>
    <n v="0"/>
    <n v="0"/>
    <x v="195"/>
    <x v="0"/>
    <x v="0"/>
    <x v="0"/>
  </r>
  <r>
    <s v="Description 3471"/>
    <s v="Code 3471"/>
    <n v="0.5"/>
    <n v="0.65"/>
    <n v="0.5"/>
    <n v="0.5"/>
    <n v="0.5"/>
    <n v="0.5"/>
    <n v="0.6"/>
    <n v="0.5"/>
    <n v="0.5"/>
    <n v="0"/>
    <n v="0"/>
    <x v="173"/>
    <x v="0"/>
    <x v="0"/>
    <x v="0"/>
  </r>
  <r>
    <s v="Description 3472"/>
    <s v="Code 3472"/>
    <n v="60"/>
    <n v="30"/>
    <n v="30"/>
    <n v="30"/>
    <n v="30"/>
    <n v="15"/>
    <n v="30"/>
    <n v="15"/>
    <n v="30"/>
    <n v="0"/>
    <n v="30"/>
    <x v="129"/>
    <x v="0"/>
    <x v="1"/>
    <x v="0"/>
  </r>
  <r>
    <s v="Description 3473"/>
    <s v="Code 3473"/>
    <n v="50"/>
    <n v="25"/>
    <n v="25"/>
    <n v="25"/>
    <n v="25"/>
    <n v="25"/>
    <n v="25"/>
    <n v="25"/>
    <n v="25"/>
    <n v="0"/>
    <n v="300"/>
    <x v="176"/>
    <x v="0"/>
    <x v="0"/>
    <x v="0"/>
  </r>
  <r>
    <s v="Description 3474"/>
    <s v="Code 3474"/>
    <n v="110"/>
    <n v="25"/>
    <n v="25"/>
    <n v="25"/>
    <n v="85"/>
    <n v="25"/>
    <n v="25"/>
    <n v="85"/>
    <n v="25"/>
    <n v="0"/>
    <n v="0"/>
    <x v="95"/>
    <x v="0"/>
    <x v="0"/>
    <x v="0"/>
  </r>
  <r>
    <s v="Description 3475"/>
    <s v="Code 3475"/>
    <n v="180"/>
    <n v="120"/>
    <n v="120"/>
    <n v="120"/>
    <n v="120"/>
    <n v="60"/>
    <n v="120"/>
    <n v="60"/>
    <n v="120"/>
    <n v="0"/>
    <n v="0"/>
    <x v="187"/>
    <x v="0"/>
    <x v="1"/>
    <x v="0"/>
  </r>
  <r>
    <s v="Description 3476"/>
    <s v="Code 3476"/>
    <n v="60"/>
    <n v="0"/>
    <n v="0"/>
    <n v="0"/>
    <n v="60"/>
    <n v="0"/>
    <n v="0"/>
    <n v="60"/>
    <n v="0"/>
    <n v="0"/>
    <n v="0"/>
    <x v="142"/>
    <x v="0"/>
    <x v="0"/>
    <x v="0"/>
  </r>
  <r>
    <s v="Description 3477"/>
    <s v="Code 3477"/>
    <n v="120"/>
    <n v="60"/>
    <n v="60"/>
    <n v="60"/>
    <n v="90"/>
    <n v="30"/>
    <n v="60"/>
    <n v="60"/>
    <n v="60"/>
    <n v="0"/>
    <n v="15"/>
    <x v="125"/>
    <x v="0"/>
    <x v="0"/>
    <x v="0"/>
  </r>
  <r>
    <s v="Description 3478"/>
    <s v="Code 3478"/>
    <n v="0"/>
    <n v="0"/>
    <n v="0"/>
    <n v="0"/>
    <n v="0"/>
    <n v="0"/>
    <n v="0"/>
    <n v="0"/>
    <n v="0"/>
    <n v="0"/>
    <n v="77"/>
    <x v="28"/>
    <x v="0"/>
    <x v="1"/>
    <x v="0"/>
  </r>
  <r>
    <s v="Description 3479"/>
    <s v="Code 3479"/>
    <n v="0"/>
    <n v="0"/>
    <n v="0"/>
    <n v="0"/>
    <n v="0"/>
    <n v="0"/>
    <n v="0"/>
    <n v="0"/>
    <n v="0"/>
    <n v="0"/>
    <n v="27"/>
    <x v="115"/>
    <x v="0"/>
    <x v="0"/>
    <x v="0"/>
  </r>
  <r>
    <s v="Description 3480"/>
    <s v="Code 3480"/>
    <n v="0"/>
    <n v="0"/>
    <n v="0"/>
    <n v="0"/>
    <n v="0"/>
    <n v="0"/>
    <n v="0"/>
    <n v="0"/>
    <n v="0"/>
    <n v="0"/>
    <n v="25"/>
    <x v="178"/>
    <x v="0"/>
    <x v="0"/>
    <x v="0"/>
  </r>
  <r>
    <s v="Description 3481"/>
    <s v="Code 3481"/>
    <n v="20"/>
    <n v="0"/>
    <n v="0"/>
    <n v="0"/>
    <n v="20"/>
    <n v="0"/>
    <n v="0"/>
    <n v="0"/>
    <n v="0"/>
    <n v="0"/>
    <n v="72"/>
    <x v="97"/>
    <x v="0"/>
    <x v="0"/>
    <x v="0"/>
  </r>
  <r>
    <s v="Description 3482"/>
    <s v="Code 3482"/>
    <n v="16"/>
    <n v="16"/>
    <n v="20"/>
    <n v="20"/>
    <n v="16"/>
    <n v="20"/>
    <n v="12"/>
    <n v="12"/>
    <n v="12"/>
    <n v="0"/>
    <n v="42"/>
    <x v="177"/>
    <x v="0"/>
    <x v="0"/>
    <x v="0"/>
  </r>
  <r>
    <s v="Description 3483"/>
    <s v="Code 3483"/>
    <n v="32"/>
    <n v="30"/>
    <n v="38"/>
    <n v="38"/>
    <n v="32"/>
    <n v="38"/>
    <n v="22"/>
    <n v="22"/>
    <n v="22"/>
    <n v="0"/>
    <n v="40"/>
    <x v="176"/>
    <x v="0"/>
    <x v="0"/>
    <x v="0"/>
  </r>
  <r>
    <s v="Description 3484"/>
    <s v="Code 3484"/>
    <n v="8"/>
    <n v="8"/>
    <n v="10"/>
    <n v="10"/>
    <n v="8"/>
    <n v="10"/>
    <n v="6"/>
    <n v="6"/>
    <n v="6"/>
    <n v="0"/>
    <n v="40"/>
    <x v="48"/>
    <x v="0"/>
    <x v="0"/>
    <x v="0"/>
  </r>
  <r>
    <s v="Description 3485"/>
    <s v="Code 3485"/>
    <n v="0"/>
    <n v="0"/>
    <n v="0"/>
    <n v="0"/>
    <n v="0"/>
    <n v="0"/>
    <n v="0"/>
    <n v="0"/>
    <n v="0"/>
    <n v="0"/>
    <n v="0"/>
    <x v="159"/>
    <x v="0"/>
    <x v="0"/>
    <x v="0"/>
  </r>
  <r>
    <s v="Description 3486"/>
    <s v="Code 3486"/>
    <n v="8"/>
    <n v="0"/>
    <n v="0"/>
    <n v="0"/>
    <n v="8"/>
    <n v="0"/>
    <n v="0"/>
    <n v="0"/>
    <n v="0"/>
    <n v="0"/>
    <n v="50"/>
    <x v="171"/>
    <x v="0"/>
    <x v="0"/>
    <x v="0"/>
  </r>
  <r>
    <s v="Description 3487"/>
    <s v="Code 3487"/>
    <n v="40"/>
    <n v="20"/>
    <n v="40"/>
    <n v="20"/>
    <n v="20"/>
    <n v="0"/>
    <n v="0"/>
    <n v="23"/>
    <n v="0"/>
    <n v="0"/>
    <n v="132"/>
    <x v="182"/>
    <x v="0"/>
    <x v="0"/>
    <x v="0"/>
  </r>
  <r>
    <s v="Description 3488"/>
    <s v="Code 3488"/>
    <n v="74"/>
    <n v="50"/>
    <n v="117"/>
    <n v="135"/>
    <n v="74"/>
    <n v="63"/>
    <n v="37"/>
    <n v="37"/>
    <n v="37"/>
    <n v="0"/>
    <n v="121"/>
    <x v="176"/>
    <x v="0"/>
    <x v="0"/>
    <x v="0"/>
  </r>
  <r>
    <s v="Description 3489"/>
    <s v="Code 3489"/>
    <n v="60"/>
    <n v="66"/>
    <n v="90"/>
    <n v="8"/>
    <n v="91"/>
    <n v="8"/>
    <n v="0"/>
    <n v="16"/>
    <n v="24"/>
    <n v="0"/>
    <n v="274"/>
    <x v="192"/>
    <x v="0"/>
    <x v="0"/>
    <x v="0"/>
  </r>
  <r>
    <s v="Description 3490"/>
    <s v="Code 3490"/>
    <n v="107"/>
    <n v="57"/>
    <n v="135"/>
    <n v="147"/>
    <n v="95"/>
    <n v="75"/>
    <n v="39"/>
    <n v="55"/>
    <n v="39"/>
    <n v="0"/>
    <n v="29"/>
    <x v="99"/>
    <x v="0"/>
    <x v="0"/>
    <x v="0"/>
  </r>
  <r>
    <s v="Description 3491"/>
    <s v="Code 3491"/>
    <n v="12"/>
    <n v="8"/>
    <n v="10"/>
    <n v="10"/>
    <n v="12"/>
    <n v="10"/>
    <n v="6"/>
    <n v="6"/>
    <n v="6"/>
    <n v="0"/>
    <n v="8"/>
    <x v="6"/>
    <x v="0"/>
    <x v="0"/>
    <x v="0"/>
  </r>
  <r>
    <s v="Description 3492"/>
    <s v="Code 3492"/>
    <n v="6"/>
    <n v="0"/>
    <n v="3"/>
    <n v="4"/>
    <n v="0"/>
    <n v="0"/>
    <n v="0"/>
    <n v="0"/>
    <n v="0"/>
    <n v="0"/>
    <n v="76"/>
    <x v="58"/>
    <x v="0"/>
    <x v="0"/>
    <x v="0"/>
  </r>
  <r>
    <s v="Description 3493"/>
    <s v="Code 3493"/>
    <n v="21"/>
    <n v="0"/>
    <n v="9"/>
    <n v="16"/>
    <n v="0"/>
    <n v="0"/>
    <n v="0"/>
    <n v="0"/>
    <n v="0"/>
    <n v="0"/>
    <n v="18"/>
    <x v="66"/>
    <x v="0"/>
    <x v="0"/>
    <x v="0"/>
  </r>
  <r>
    <s v="Description 3494"/>
    <s v="Code 3494"/>
    <n v="12"/>
    <n v="12"/>
    <n v="15"/>
    <n v="15"/>
    <n v="12"/>
    <n v="15"/>
    <n v="9"/>
    <n v="9"/>
    <n v="9"/>
    <n v="0"/>
    <n v="18"/>
    <x v="4"/>
    <x v="0"/>
    <x v="0"/>
    <x v="0"/>
  </r>
  <r>
    <s v="Description 3495"/>
    <s v="Code 3495"/>
    <n v="12"/>
    <n v="12"/>
    <n v="15"/>
    <n v="15"/>
    <n v="12"/>
    <n v="15"/>
    <n v="9"/>
    <n v="9"/>
    <n v="9"/>
    <n v="0"/>
    <n v="7"/>
    <x v="170"/>
    <x v="0"/>
    <x v="0"/>
    <x v="0"/>
  </r>
  <r>
    <s v="Description 3496"/>
    <s v="Code 3496"/>
    <n v="5"/>
    <n v="3"/>
    <n v="4"/>
    <n v="4"/>
    <n v="5"/>
    <n v="4"/>
    <n v="2"/>
    <n v="2"/>
    <n v="2"/>
    <n v="0"/>
    <n v="0"/>
    <x v="79"/>
    <x v="0"/>
    <x v="0"/>
    <x v="0"/>
  </r>
  <r>
    <s v="Description 3497"/>
    <s v="Code 3497"/>
    <n v="5"/>
    <n v="3"/>
    <n v="4"/>
    <n v="4"/>
    <n v="5"/>
    <n v="4"/>
    <n v="2"/>
    <n v="2"/>
    <n v="2"/>
    <n v="0"/>
    <n v="0"/>
    <x v="189"/>
    <x v="0"/>
    <x v="0"/>
    <x v="0"/>
  </r>
  <r>
    <s v="Description 3498"/>
    <s v="Code 3498"/>
    <n v="0"/>
    <n v="0"/>
    <n v="0"/>
    <n v="0"/>
    <n v="0"/>
    <n v="0"/>
    <n v="0"/>
    <n v="0"/>
    <n v="0"/>
    <n v="0"/>
    <n v="0"/>
    <x v="144"/>
    <x v="0"/>
    <x v="0"/>
    <x v="0"/>
  </r>
  <r>
    <s v="Description 3499"/>
    <s v="Code 3499"/>
    <n v="0"/>
    <n v="0"/>
    <n v="0"/>
    <n v="0"/>
    <n v="0"/>
    <n v="0"/>
    <n v="0"/>
    <n v="0"/>
    <n v="0"/>
    <n v="0"/>
    <n v="0"/>
    <x v="141"/>
    <x v="0"/>
    <x v="0"/>
    <x v="0"/>
  </r>
  <r>
    <s v="Description 3500"/>
    <s v="Code 3500"/>
    <n v="0"/>
    <n v="0"/>
    <n v="0"/>
    <n v="0"/>
    <n v="0"/>
    <n v="0"/>
    <n v="0"/>
    <n v="0"/>
    <n v="0"/>
    <n v="0"/>
    <n v="0"/>
    <x v="151"/>
    <x v="0"/>
    <x v="0"/>
    <x v="0"/>
  </r>
  <r>
    <s v="Description 3501"/>
    <s v="Code 3501"/>
    <n v="0"/>
    <n v="0"/>
    <n v="0"/>
    <n v="0"/>
    <n v="0"/>
    <n v="0"/>
    <n v="0"/>
    <n v="0"/>
    <n v="0"/>
    <n v="0"/>
    <n v="0"/>
    <x v="197"/>
    <x v="0"/>
    <x v="0"/>
    <x v="0"/>
  </r>
  <r>
    <s v="Description 3502"/>
    <s v="Code 3502"/>
    <n v="0"/>
    <n v="0"/>
    <n v="0"/>
    <n v="0"/>
    <n v="0"/>
    <n v="0"/>
    <n v="0"/>
    <n v="0"/>
    <n v="0"/>
    <n v="0"/>
    <n v="0"/>
    <x v="0"/>
    <x v="0"/>
    <x v="0"/>
    <x v="0"/>
  </r>
  <r>
    <s v="Description 3503"/>
    <s v="Code 3503"/>
    <n v="0"/>
    <n v="0"/>
    <n v="0"/>
    <n v="0"/>
    <n v="0"/>
    <n v="0"/>
    <n v="0"/>
    <n v="0"/>
    <n v="0"/>
    <n v="0"/>
    <n v="0"/>
    <x v="116"/>
    <x v="0"/>
    <x v="0"/>
    <x v="0"/>
  </r>
  <r>
    <s v="Description 3504"/>
    <s v="Code 3504"/>
    <n v="0"/>
    <n v="0"/>
    <n v="0"/>
    <n v="0"/>
    <n v="0"/>
    <n v="0"/>
    <n v="0"/>
    <n v="0"/>
    <n v="0"/>
    <n v="0"/>
    <n v="0"/>
    <x v="81"/>
    <x v="0"/>
    <x v="0"/>
    <x v="0"/>
  </r>
  <r>
    <s v="Description 3505"/>
    <s v="Code 3505"/>
    <n v="0"/>
    <n v="0"/>
    <n v="0"/>
    <n v="0"/>
    <n v="0"/>
    <n v="0"/>
    <n v="0"/>
    <n v="0"/>
    <n v="0"/>
    <n v="0"/>
    <n v="0"/>
    <x v="36"/>
    <x v="0"/>
    <x v="0"/>
    <x v="0"/>
  </r>
  <r>
    <s v="Description 3506"/>
    <s v="Code 3506"/>
    <n v="0"/>
    <n v="0"/>
    <n v="0"/>
    <n v="0"/>
    <n v="0"/>
    <n v="0"/>
    <n v="0"/>
    <n v="0"/>
    <n v="0"/>
    <n v="0"/>
    <n v="0"/>
    <x v="71"/>
    <x v="0"/>
    <x v="0"/>
    <x v="0"/>
  </r>
  <r>
    <s v="Description 3507"/>
    <s v="Code 3507"/>
    <n v="0"/>
    <n v="0"/>
    <n v="0"/>
    <n v="0"/>
    <n v="0"/>
    <n v="0"/>
    <n v="0"/>
    <n v="0"/>
    <n v="0"/>
    <n v="0"/>
    <n v="0"/>
    <x v="43"/>
    <x v="0"/>
    <x v="0"/>
    <x v="0"/>
  </r>
  <r>
    <s v="Description 3508"/>
    <s v="Code 3508"/>
    <n v="0"/>
    <n v="0"/>
    <n v="0"/>
    <n v="0"/>
    <n v="0"/>
    <n v="0"/>
    <n v="0"/>
    <n v="0"/>
    <n v="0"/>
    <n v="0"/>
    <n v="0"/>
    <x v="148"/>
    <x v="0"/>
    <x v="0"/>
    <x v="0"/>
  </r>
  <r>
    <s v="Description 3509"/>
    <s v="Code 3509"/>
    <n v="0"/>
    <n v="0"/>
    <n v="0"/>
    <n v="0"/>
    <n v="0"/>
    <n v="0"/>
    <n v="0"/>
    <n v="0"/>
    <n v="0"/>
    <n v="0"/>
    <n v="0"/>
    <x v="10"/>
    <x v="0"/>
    <x v="0"/>
    <x v="0"/>
  </r>
  <r>
    <s v="Description 3510"/>
    <s v="Code 3510"/>
    <n v="0"/>
    <n v="0"/>
    <n v="0"/>
    <n v="0"/>
    <n v="0"/>
    <n v="0"/>
    <n v="0"/>
    <n v="0"/>
    <n v="0"/>
    <n v="0"/>
    <n v="0"/>
    <x v="160"/>
    <x v="0"/>
    <x v="0"/>
    <x v="0"/>
  </r>
  <r>
    <s v="Description 3511"/>
    <s v="Code 3511"/>
    <n v="0"/>
    <n v="0"/>
    <n v="0"/>
    <n v="0"/>
    <n v="0"/>
    <n v="0"/>
    <n v="0"/>
    <n v="0"/>
    <n v="0"/>
    <n v="0"/>
    <n v="0"/>
    <x v="119"/>
    <x v="0"/>
    <x v="1"/>
    <x v="0"/>
  </r>
  <r>
    <s v="Description 3512"/>
    <s v="Code 3512"/>
    <n v="0"/>
    <n v="0"/>
    <n v="0"/>
    <n v="0"/>
    <n v="0"/>
    <n v="0"/>
    <n v="0"/>
    <n v="0"/>
    <n v="0"/>
    <n v="0"/>
    <n v="0"/>
    <x v="23"/>
    <x v="0"/>
    <x v="1"/>
    <x v="0"/>
  </r>
  <r>
    <s v="Description 3513"/>
    <s v="Code 3513"/>
    <n v="0"/>
    <n v="0"/>
    <n v="0"/>
    <n v="0"/>
    <n v="0"/>
    <n v="0"/>
    <n v="0"/>
    <n v="0"/>
    <n v="0"/>
    <n v="0"/>
    <n v="0"/>
    <x v="67"/>
    <x v="0"/>
    <x v="0"/>
    <x v="0"/>
  </r>
  <r>
    <s v="Description 3514"/>
    <s v="Code 3514"/>
    <n v="0"/>
    <n v="0"/>
    <n v="0"/>
    <n v="0"/>
    <n v="0"/>
    <n v="0"/>
    <n v="0"/>
    <n v="0"/>
    <n v="0"/>
    <n v="0"/>
    <n v="0"/>
    <x v="126"/>
    <x v="0"/>
    <x v="0"/>
    <x v="0"/>
  </r>
  <r>
    <s v="Description 3515"/>
    <s v="Code 3515"/>
    <n v="0"/>
    <n v="0"/>
    <n v="0"/>
    <n v="0"/>
    <n v="0"/>
    <n v="0"/>
    <n v="0"/>
    <n v="0"/>
    <n v="0"/>
    <n v="0"/>
    <n v="0"/>
    <x v="101"/>
    <x v="0"/>
    <x v="0"/>
    <x v="0"/>
  </r>
  <r>
    <s v="Description 3516"/>
    <s v="Code 3516"/>
    <n v="0"/>
    <n v="0"/>
    <n v="0"/>
    <n v="0"/>
    <n v="0"/>
    <n v="0"/>
    <n v="0"/>
    <n v="0"/>
    <n v="0"/>
    <n v="0"/>
    <n v="0"/>
    <x v="41"/>
    <x v="0"/>
    <x v="0"/>
    <x v="0"/>
  </r>
  <r>
    <s v="Description 3517"/>
    <s v="Code 3517"/>
    <n v="0"/>
    <n v="0"/>
    <n v="0"/>
    <n v="0"/>
    <n v="0"/>
    <n v="0"/>
    <n v="0"/>
    <n v="0"/>
    <n v="0"/>
    <n v="0"/>
    <n v="0"/>
    <x v="5"/>
    <x v="0"/>
    <x v="0"/>
    <x v="0"/>
  </r>
  <r>
    <s v="Description 3518"/>
    <s v="Code 3518"/>
    <n v="0"/>
    <n v="0"/>
    <n v="0"/>
    <n v="0"/>
    <n v="0"/>
    <n v="0"/>
    <n v="0"/>
    <n v="0"/>
    <n v="0"/>
    <n v="0"/>
    <n v="0"/>
    <x v="155"/>
    <x v="0"/>
    <x v="0"/>
    <x v="0"/>
  </r>
  <r>
    <s v="Description 3519"/>
    <s v="Code 3519"/>
    <n v="0"/>
    <n v="0"/>
    <n v="0"/>
    <n v="0"/>
    <n v="0"/>
    <n v="0"/>
    <n v="0"/>
    <n v="0"/>
    <n v="0"/>
    <n v="0"/>
    <n v="0"/>
    <x v="117"/>
    <x v="0"/>
    <x v="0"/>
    <x v="0"/>
  </r>
  <r>
    <s v="Description 3520"/>
    <s v="Code 3520"/>
    <n v="0"/>
    <n v="0"/>
    <n v="0"/>
    <n v="0"/>
    <n v="0"/>
    <n v="0"/>
    <n v="0"/>
    <n v="0"/>
    <n v="0"/>
    <n v="0"/>
    <n v="0"/>
    <x v="192"/>
    <x v="0"/>
    <x v="0"/>
    <x v="0"/>
  </r>
  <r>
    <s v="Description 3521"/>
    <s v="Code 3521"/>
    <n v="0"/>
    <n v="0"/>
    <n v="0"/>
    <n v="0"/>
    <n v="0"/>
    <n v="0"/>
    <n v="0"/>
    <n v="0"/>
    <n v="0"/>
    <n v="0"/>
    <n v="0"/>
    <x v="182"/>
    <x v="0"/>
    <x v="0"/>
    <x v="0"/>
  </r>
  <r>
    <s v="Description 3522"/>
    <s v="Code 3522"/>
    <n v="0"/>
    <n v="0"/>
    <n v="0"/>
    <n v="0"/>
    <n v="0"/>
    <n v="0"/>
    <n v="0"/>
    <n v="0"/>
    <n v="0"/>
    <n v="0"/>
    <n v="0"/>
    <x v="138"/>
    <x v="0"/>
    <x v="0"/>
    <x v="0"/>
  </r>
  <r>
    <s v="Description 3523"/>
    <s v="Code 3523"/>
    <n v="0"/>
    <n v="0"/>
    <n v="0"/>
    <n v="0"/>
    <n v="0"/>
    <n v="0"/>
    <n v="0"/>
    <n v="0"/>
    <n v="0"/>
    <n v="0"/>
    <n v="0"/>
    <x v="29"/>
    <x v="0"/>
    <x v="0"/>
    <x v="0"/>
  </r>
  <r>
    <s v="Description 3524"/>
    <s v="Code 3524"/>
    <n v="0"/>
    <n v="0"/>
    <n v="0"/>
    <n v="0"/>
    <n v="0"/>
    <n v="0"/>
    <n v="0"/>
    <n v="0"/>
    <n v="0"/>
    <n v="0"/>
    <n v="0"/>
    <x v="12"/>
    <x v="0"/>
    <x v="0"/>
    <x v="0"/>
  </r>
  <r>
    <s v="Description 3525"/>
    <s v="Code 3525"/>
    <n v="0"/>
    <n v="0"/>
    <n v="0"/>
    <n v="0"/>
    <n v="0"/>
    <n v="0"/>
    <n v="0"/>
    <n v="0"/>
    <n v="0"/>
    <n v="0"/>
    <n v="0"/>
    <x v="193"/>
    <x v="0"/>
    <x v="0"/>
    <x v="0"/>
  </r>
  <r>
    <s v="Description 3526"/>
    <s v="Code 3526"/>
    <n v="0"/>
    <n v="0"/>
    <n v="0"/>
    <n v="0"/>
    <n v="0"/>
    <n v="0"/>
    <n v="0"/>
    <n v="0"/>
    <n v="0"/>
    <n v="0"/>
    <n v="0"/>
    <x v="149"/>
    <x v="0"/>
    <x v="0"/>
    <x v="0"/>
  </r>
  <r>
    <s v="Description 3527"/>
    <s v="Code 3527"/>
    <n v="0"/>
    <n v="0"/>
    <n v="0"/>
    <n v="0"/>
    <n v="0"/>
    <n v="0"/>
    <n v="0"/>
    <n v="0"/>
    <n v="0"/>
    <n v="0"/>
    <n v="0"/>
    <x v="147"/>
    <x v="0"/>
    <x v="0"/>
    <x v="0"/>
  </r>
  <r>
    <s v="Description 3528"/>
    <s v="Code 3528"/>
    <n v="0"/>
    <n v="0"/>
    <n v="0"/>
    <n v="0"/>
    <n v="0"/>
    <n v="0"/>
    <n v="0"/>
    <n v="0"/>
    <n v="0"/>
    <n v="0"/>
    <n v="0"/>
    <x v="117"/>
    <x v="0"/>
    <x v="0"/>
    <x v="0"/>
  </r>
  <r>
    <s v="Description 3529"/>
    <s v="Code 3529"/>
    <n v="0"/>
    <n v="0"/>
    <n v="0"/>
    <n v="0"/>
    <n v="0"/>
    <n v="0"/>
    <n v="0"/>
    <n v="0"/>
    <n v="0"/>
    <n v="0"/>
    <n v="0"/>
    <x v="186"/>
    <x v="0"/>
    <x v="0"/>
    <x v="0"/>
  </r>
  <r>
    <s v="Description 3530"/>
    <s v="Code 3530"/>
    <n v="0"/>
    <n v="0"/>
    <n v="0"/>
    <n v="0"/>
    <n v="0"/>
    <n v="0"/>
    <n v="0"/>
    <n v="0"/>
    <n v="0"/>
    <n v="0"/>
    <n v="0"/>
    <x v="106"/>
    <x v="0"/>
    <x v="0"/>
    <x v="0"/>
  </r>
  <r>
    <s v="Description 3531"/>
    <s v="Code 3531"/>
    <n v="0"/>
    <n v="0"/>
    <n v="0"/>
    <n v="0"/>
    <n v="0"/>
    <n v="0"/>
    <n v="0"/>
    <n v="0"/>
    <n v="0"/>
    <n v="0"/>
    <n v="0"/>
    <x v="43"/>
    <x v="0"/>
    <x v="0"/>
    <x v="0"/>
  </r>
  <r>
    <s v="Description 3532"/>
    <s v="Code 3532"/>
    <n v="0"/>
    <n v="0"/>
    <n v="0"/>
    <n v="0"/>
    <n v="0"/>
    <n v="0"/>
    <n v="0"/>
    <n v="0"/>
    <n v="0"/>
    <n v="0"/>
    <n v="0"/>
    <x v="0"/>
    <x v="0"/>
    <x v="0"/>
    <x v="0"/>
  </r>
  <r>
    <s v="Description 3533"/>
    <s v="Code 3533"/>
    <n v="0"/>
    <n v="0"/>
    <n v="0"/>
    <n v="0"/>
    <n v="0"/>
    <n v="0"/>
    <n v="0"/>
    <n v="0"/>
    <n v="0"/>
    <n v="0"/>
    <n v="0"/>
    <x v="82"/>
    <x v="0"/>
    <x v="0"/>
    <x v="0"/>
  </r>
  <r>
    <s v="Description 3534"/>
    <s v="Code 3534"/>
    <n v="0"/>
    <n v="0"/>
    <n v="0"/>
    <n v="0"/>
    <n v="0"/>
    <n v="0"/>
    <n v="0"/>
    <n v="0"/>
    <n v="0"/>
    <n v="0"/>
    <n v="0"/>
    <x v="145"/>
    <x v="0"/>
    <x v="0"/>
    <x v="0"/>
  </r>
  <r>
    <s v="Description 3535"/>
    <s v="Code 3535"/>
    <n v="0"/>
    <n v="0"/>
    <n v="0"/>
    <n v="0"/>
    <n v="0"/>
    <n v="0"/>
    <n v="0"/>
    <n v="0"/>
    <n v="0"/>
    <n v="0"/>
    <n v="0"/>
    <x v="124"/>
    <x v="0"/>
    <x v="0"/>
    <x v="0"/>
  </r>
  <r>
    <s v="Description 3536"/>
    <s v="Code 3536"/>
    <n v="0"/>
    <n v="0"/>
    <n v="0"/>
    <n v="0"/>
    <n v="0"/>
    <n v="0"/>
    <n v="0"/>
    <n v="0"/>
    <n v="0"/>
    <n v="0"/>
    <n v="0"/>
    <x v="109"/>
    <x v="0"/>
    <x v="0"/>
    <x v="0"/>
  </r>
  <r>
    <s v="Description 3537"/>
    <s v="Code 3537"/>
    <n v="0"/>
    <n v="0"/>
    <n v="0"/>
    <n v="0"/>
    <n v="0"/>
    <n v="0"/>
    <n v="0"/>
    <n v="0"/>
    <n v="0"/>
    <n v="0"/>
    <n v="0"/>
    <x v="169"/>
    <x v="0"/>
    <x v="0"/>
    <x v="0"/>
  </r>
  <r>
    <s v="Description 3538"/>
    <s v="Code 3538"/>
    <n v="0"/>
    <n v="0"/>
    <n v="0"/>
    <n v="0"/>
    <n v="0"/>
    <n v="0"/>
    <n v="0"/>
    <n v="0"/>
    <n v="0"/>
    <n v="0"/>
    <n v="0"/>
    <x v="14"/>
    <x v="0"/>
    <x v="0"/>
    <x v="0"/>
  </r>
  <r>
    <s v="Description 3539"/>
    <s v="Code 3539"/>
    <n v="0"/>
    <n v="0"/>
    <n v="0"/>
    <n v="0"/>
    <n v="0"/>
    <n v="0"/>
    <n v="0"/>
    <n v="0"/>
    <n v="0"/>
    <n v="0"/>
    <n v="0"/>
    <x v="53"/>
    <x v="0"/>
    <x v="0"/>
    <x v="0"/>
  </r>
  <r>
    <s v="Description 3540"/>
    <s v="Code 3540"/>
    <n v="0"/>
    <n v="0"/>
    <n v="0"/>
    <n v="0"/>
    <n v="0"/>
    <n v="0"/>
    <n v="0"/>
    <n v="0"/>
    <n v="0"/>
    <n v="0"/>
    <n v="0"/>
    <x v="98"/>
    <x v="0"/>
    <x v="0"/>
    <x v="0"/>
  </r>
  <r>
    <s v="Description 3541"/>
    <s v="Code 3541"/>
    <n v="0"/>
    <n v="0"/>
    <n v="0"/>
    <n v="0"/>
    <n v="0"/>
    <n v="0"/>
    <n v="0"/>
    <n v="0"/>
    <n v="0"/>
    <n v="0"/>
    <n v="0"/>
    <x v="60"/>
    <x v="0"/>
    <x v="0"/>
    <x v="0"/>
  </r>
  <r>
    <s v="Description 3542"/>
    <s v="Code 3542"/>
    <n v="0"/>
    <n v="0"/>
    <n v="0"/>
    <n v="0"/>
    <n v="0"/>
    <n v="0"/>
    <n v="0"/>
    <n v="0"/>
    <n v="0"/>
    <n v="0"/>
    <n v="0"/>
    <x v="89"/>
    <x v="0"/>
    <x v="1"/>
    <x v="0"/>
  </r>
  <r>
    <s v="Description 3543"/>
    <s v="Code 3543"/>
    <n v="0"/>
    <n v="0"/>
    <n v="0"/>
    <n v="0"/>
    <n v="0"/>
    <n v="0"/>
    <n v="0"/>
    <n v="0"/>
    <n v="0"/>
    <n v="0"/>
    <n v="0"/>
    <x v="129"/>
    <x v="0"/>
    <x v="1"/>
    <x v="0"/>
  </r>
  <r>
    <s v="Description 3544"/>
    <s v="Code 3544"/>
    <n v="0"/>
    <n v="0"/>
    <n v="0"/>
    <n v="0"/>
    <n v="0"/>
    <n v="0"/>
    <n v="0"/>
    <n v="0"/>
    <n v="0"/>
    <n v="0"/>
    <n v="0"/>
    <x v="154"/>
    <x v="0"/>
    <x v="0"/>
    <x v="0"/>
  </r>
  <r>
    <s v="Description 3545"/>
    <s v="Code 3545"/>
    <n v="0"/>
    <n v="0"/>
    <n v="0"/>
    <n v="0"/>
    <n v="0"/>
    <n v="0"/>
    <n v="0"/>
    <n v="0"/>
    <n v="0"/>
    <n v="0"/>
    <n v="0"/>
    <x v="148"/>
    <x v="0"/>
    <x v="0"/>
    <x v="0"/>
  </r>
  <r>
    <s v="Description 3546"/>
    <s v="Code 3546"/>
    <n v="0"/>
    <n v="0"/>
    <n v="0"/>
    <n v="0"/>
    <n v="0"/>
    <n v="0"/>
    <n v="0"/>
    <n v="0"/>
    <n v="0"/>
    <n v="0"/>
    <n v="0"/>
    <x v="159"/>
    <x v="0"/>
    <x v="0"/>
    <x v="0"/>
  </r>
  <r>
    <s v="Description 3547"/>
    <s v="Code 3547"/>
    <n v="0"/>
    <n v="0"/>
    <n v="0"/>
    <n v="0"/>
    <n v="0"/>
    <n v="0"/>
    <n v="0"/>
    <n v="0"/>
    <n v="0"/>
    <n v="0"/>
    <n v="0"/>
    <x v="67"/>
    <x v="0"/>
    <x v="0"/>
    <x v="0"/>
  </r>
  <r>
    <s v="Description 3548"/>
    <s v="Code 3548"/>
    <n v="0"/>
    <n v="0"/>
    <n v="0"/>
    <n v="0"/>
    <n v="0"/>
    <n v="0"/>
    <n v="0"/>
    <n v="0"/>
    <n v="0"/>
    <n v="0"/>
    <n v="0"/>
    <x v="131"/>
    <x v="0"/>
    <x v="0"/>
    <x v="0"/>
  </r>
  <r>
    <s v="Description 3549"/>
    <s v="Code 3549"/>
    <n v="0"/>
    <n v="0"/>
    <n v="0"/>
    <n v="0"/>
    <n v="0"/>
    <n v="0"/>
    <n v="0"/>
    <n v="0"/>
    <n v="0"/>
    <n v="0"/>
    <n v="0"/>
    <x v="112"/>
    <x v="0"/>
    <x v="0"/>
    <x v="0"/>
  </r>
  <r>
    <s v="Description 3550"/>
    <s v="Code 3550"/>
    <n v="0"/>
    <n v="0"/>
    <n v="0"/>
    <n v="0"/>
    <n v="0"/>
    <n v="0"/>
    <n v="0"/>
    <n v="0"/>
    <n v="0"/>
    <n v="0"/>
    <n v="0"/>
    <x v="45"/>
    <x v="0"/>
    <x v="0"/>
    <x v="0"/>
  </r>
  <r>
    <s v="Description 3551"/>
    <s v="Code 3551"/>
    <n v="0"/>
    <n v="0"/>
    <n v="0"/>
    <n v="0"/>
    <n v="0"/>
    <n v="0"/>
    <n v="0"/>
    <n v="0"/>
    <n v="0"/>
    <n v="0"/>
    <n v="0"/>
    <x v="191"/>
    <x v="0"/>
    <x v="0"/>
    <x v="0"/>
  </r>
  <r>
    <s v="Description 3552"/>
    <s v="Code 3552"/>
    <n v="0"/>
    <n v="0"/>
    <n v="0"/>
    <n v="0"/>
    <n v="0"/>
    <n v="0"/>
    <n v="0"/>
    <n v="0"/>
    <n v="0"/>
    <n v="0"/>
    <n v="0"/>
    <x v="96"/>
    <x v="0"/>
    <x v="0"/>
    <x v="0"/>
  </r>
  <r>
    <s v="Description 3553"/>
    <s v="Code 3553"/>
    <n v="0"/>
    <n v="0"/>
    <n v="0"/>
    <n v="0"/>
    <n v="0"/>
    <n v="0"/>
    <n v="0"/>
    <n v="0"/>
    <n v="0"/>
    <n v="0"/>
    <n v="0"/>
    <x v="49"/>
    <x v="0"/>
    <x v="0"/>
    <x v="0"/>
  </r>
  <r>
    <s v="Description 3554"/>
    <s v="Code 3554"/>
    <n v="0"/>
    <n v="0"/>
    <n v="0"/>
    <n v="0"/>
    <n v="0"/>
    <n v="0"/>
    <n v="0"/>
    <n v="0"/>
    <n v="0"/>
    <n v="0"/>
    <n v="0"/>
    <x v="4"/>
    <x v="0"/>
    <x v="0"/>
    <x v="0"/>
  </r>
  <r>
    <s v="Description 3555"/>
    <s v="Code 3555"/>
    <n v="0"/>
    <n v="0"/>
    <n v="0"/>
    <n v="0"/>
    <n v="0"/>
    <n v="0"/>
    <n v="0"/>
    <n v="0"/>
    <n v="0"/>
    <n v="0"/>
    <n v="0"/>
    <x v="106"/>
    <x v="0"/>
    <x v="0"/>
    <x v="0"/>
  </r>
  <r>
    <s v="Description 3556"/>
    <s v="Code 3556"/>
    <n v="0"/>
    <n v="0"/>
    <n v="0"/>
    <n v="0"/>
    <n v="0"/>
    <n v="0"/>
    <n v="0"/>
    <n v="0"/>
    <n v="0"/>
    <n v="0"/>
    <n v="0"/>
    <x v="8"/>
    <x v="0"/>
    <x v="0"/>
    <x v="0"/>
  </r>
  <r>
    <s v="Description 3557"/>
    <s v="Code 3557"/>
    <n v="0"/>
    <n v="0"/>
    <n v="0"/>
    <n v="0"/>
    <n v="0"/>
    <n v="0"/>
    <n v="0"/>
    <n v="0"/>
    <n v="0"/>
    <n v="0"/>
    <n v="0"/>
    <x v="183"/>
    <x v="0"/>
    <x v="0"/>
    <x v="0"/>
  </r>
  <r>
    <s v="Description 3558"/>
    <s v="Code 3558"/>
    <n v="0"/>
    <n v="0"/>
    <n v="0"/>
    <n v="0"/>
    <n v="0"/>
    <n v="0"/>
    <n v="0"/>
    <n v="0"/>
    <n v="0"/>
    <n v="0"/>
    <n v="0"/>
    <x v="46"/>
    <x v="0"/>
    <x v="0"/>
    <x v="0"/>
  </r>
  <r>
    <s v="Description 3559"/>
    <s v="Code 3559"/>
    <n v="0"/>
    <n v="0"/>
    <n v="0"/>
    <n v="0"/>
    <n v="0"/>
    <n v="0"/>
    <n v="0"/>
    <n v="0"/>
    <n v="0"/>
    <n v="0"/>
    <n v="0"/>
    <x v="183"/>
    <x v="0"/>
    <x v="0"/>
    <x v="0"/>
  </r>
  <r>
    <s v="Description 3560"/>
    <s v="Code 3560"/>
    <n v="0"/>
    <n v="0"/>
    <n v="0"/>
    <n v="0"/>
    <n v="0"/>
    <n v="0"/>
    <n v="0"/>
    <n v="0"/>
    <n v="0"/>
    <n v="0"/>
    <n v="0"/>
    <x v="26"/>
    <x v="0"/>
    <x v="1"/>
    <x v="0"/>
  </r>
  <r>
    <s v="Description 3561"/>
    <s v="Code 3561"/>
    <n v="0"/>
    <n v="0"/>
    <n v="0"/>
    <n v="0"/>
    <n v="0"/>
    <n v="0"/>
    <n v="0"/>
    <n v="0"/>
    <n v="0"/>
    <n v="0"/>
    <n v="0"/>
    <x v="30"/>
    <x v="0"/>
    <x v="0"/>
    <x v="0"/>
  </r>
  <r>
    <s v="Description 3562"/>
    <s v="Code 3562"/>
    <n v="0"/>
    <n v="0"/>
    <n v="0"/>
    <n v="0"/>
    <n v="0"/>
    <n v="0"/>
    <n v="0"/>
    <n v="0"/>
    <n v="0"/>
    <n v="0"/>
    <n v="0"/>
    <x v="165"/>
    <x v="0"/>
    <x v="0"/>
    <x v="0"/>
  </r>
  <r>
    <s v="Description 3563"/>
    <s v="Code 3563"/>
    <n v="0"/>
    <n v="0"/>
    <n v="0"/>
    <n v="0"/>
    <n v="0"/>
    <n v="0"/>
    <n v="0"/>
    <n v="0"/>
    <n v="0"/>
    <n v="0"/>
    <n v="0"/>
    <x v="5"/>
    <x v="0"/>
    <x v="0"/>
    <x v="0"/>
  </r>
  <r>
    <s v="Description 3564"/>
    <s v="Code 3564"/>
    <n v="0"/>
    <n v="0"/>
    <n v="0"/>
    <n v="0"/>
    <n v="0"/>
    <n v="0"/>
    <n v="0"/>
    <n v="0"/>
    <n v="0"/>
    <n v="0"/>
    <n v="0"/>
    <x v="68"/>
    <x v="0"/>
    <x v="0"/>
    <x v="0"/>
  </r>
  <r>
    <s v="Description 3565"/>
    <s v="Code 3565"/>
    <n v="0"/>
    <n v="0"/>
    <n v="0"/>
    <n v="0"/>
    <n v="0"/>
    <n v="0"/>
    <n v="0"/>
    <n v="0"/>
    <n v="0"/>
    <n v="0"/>
    <n v="0"/>
    <x v="56"/>
    <x v="0"/>
    <x v="0"/>
    <x v="0"/>
  </r>
  <r>
    <s v="Description 3566"/>
    <s v="Code 3566"/>
    <n v="0"/>
    <n v="0"/>
    <n v="0"/>
    <n v="0"/>
    <n v="0"/>
    <n v="0"/>
    <n v="0"/>
    <n v="0"/>
    <n v="0"/>
    <n v="0"/>
    <n v="0"/>
    <x v="99"/>
    <x v="0"/>
    <x v="0"/>
    <x v="0"/>
  </r>
  <r>
    <s v="Description 3567"/>
    <s v="Code 3567"/>
    <n v="0"/>
    <n v="0"/>
    <n v="0"/>
    <n v="0"/>
    <n v="0"/>
    <n v="0"/>
    <n v="0"/>
    <n v="0"/>
    <n v="0"/>
    <n v="0"/>
    <n v="0"/>
    <x v="106"/>
    <x v="0"/>
    <x v="0"/>
    <x v="0"/>
  </r>
  <r>
    <s v="Description 3568"/>
    <s v="Code 3568"/>
    <n v="0"/>
    <n v="0"/>
    <n v="0"/>
    <n v="0"/>
    <n v="0"/>
    <n v="0"/>
    <n v="0"/>
    <n v="0"/>
    <n v="0"/>
    <n v="0"/>
    <n v="0"/>
    <x v="118"/>
    <x v="0"/>
    <x v="0"/>
    <x v="0"/>
  </r>
  <r>
    <s v="Description 3569"/>
    <s v="Code 3569"/>
    <n v="0"/>
    <n v="0"/>
    <n v="0"/>
    <n v="0"/>
    <n v="0"/>
    <n v="0"/>
    <n v="0"/>
    <n v="0"/>
    <n v="0"/>
    <n v="0"/>
    <n v="0"/>
    <x v="189"/>
    <x v="0"/>
    <x v="0"/>
    <x v="0"/>
  </r>
  <r>
    <s v="Description 3570"/>
    <s v="Code 3570"/>
    <n v="0"/>
    <n v="0"/>
    <n v="0"/>
    <n v="0"/>
    <n v="0"/>
    <n v="0"/>
    <n v="0"/>
    <n v="0"/>
    <n v="0"/>
    <n v="0"/>
    <n v="0"/>
    <x v="41"/>
    <x v="0"/>
    <x v="0"/>
    <x v="0"/>
  </r>
  <r>
    <s v="Description 3571"/>
    <s v="Code 3571"/>
    <n v="0"/>
    <n v="0"/>
    <n v="0"/>
    <n v="0"/>
    <n v="0"/>
    <n v="0"/>
    <n v="0"/>
    <n v="0"/>
    <n v="0"/>
    <n v="0"/>
    <n v="0"/>
    <x v="12"/>
    <x v="0"/>
    <x v="0"/>
    <x v="0"/>
  </r>
  <r>
    <s v="Description 3572"/>
    <s v="Code 3572"/>
    <n v="0"/>
    <n v="0"/>
    <n v="0"/>
    <n v="0"/>
    <n v="0"/>
    <n v="0"/>
    <n v="0"/>
    <n v="0"/>
    <n v="0"/>
    <n v="0"/>
    <n v="0"/>
    <x v="123"/>
    <x v="0"/>
    <x v="1"/>
    <x v="0"/>
  </r>
  <r>
    <s v="Description 3573"/>
    <s v="Code 3573"/>
    <n v="0"/>
    <n v="0"/>
    <n v="0"/>
    <n v="0"/>
    <n v="0"/>
    <n v="0"/>
    <n v="0"/>
    <n v="0"/>
    <n v="0"/>
    <n v="0"/>
    <n v="0"/>
    <x v="34"/>
    <x v="0"/>
    <x v="0"/>
    <x v="0"/>
  </r>
  <r>
    <s v="Description 3574"/>
    <s v="Code 3574"/>
    <n v="0"/>
    <n v="0"/>
    <n v="0"/>
    <n v="0"/>
    <n v="0"/>
    <n v="0"/>
    <n v="0"/>
    <n v="0"/>
    <n v="0"/>
    <n v="0"/>
    <n v="0"/>
    <x v="140"/>
    <x v="0"/>
    <x v="0"/>
    <x v="0"/>
  </r>
  <r>
    <s v="Description 3575"/>
    <s v="Code 3575"/>
    <n v="0"/>
    <n v="0"/>
    <n v="0"/>
    <n v="0"/>
    <n v="0"/>
    <n v="0"/>
    <n v="0"/>
    <n v="0"/>
    <n v="0"/>
    <n v="0"/>
    <n v="0"/>
    <x v="71"/>
    <x v="0"/>
    <x v="0"/>
    <x v="0"/>
  </r>
  <r>
    <s v="Description 3576"/>
    <s v="Code 3576"/>
    <n v="0"/>
    <n v="0"/>
    <n v="0"/>
    <n v="0"/>
    <n v="0"/>
    <n v="0"/>
    <n v="0"/>
    <n v="0"/>
    <n v="0"/>
    <n v="0"/>
    <n v="0"/>
    <x v="194"/>
    <x v="0"/>
    <x v="0"/>
    <x v="0"/>
  </r>
  <r>
    <s v="Description 3577"/>
    <s v="Code 3577"/>
    <n v="0"/>
    <n v="0"/>
    <n v="0"/>
    <n v="0"/>
    <n v="0"/>
    <n v="0"/>
    <n v="0"/>
    <n v="0"/>
    <n v="0"/>
    <n v="0"/>
    <n v="0"/>
    <x v="46"/>
    <x v="0"/>
    <x v="0"/>
    <x v="0"/>
  </r>
  <r>
    <s v="Description 3578"/>
    <s v="Code 3578"/>
    <n v="0"/>
    <n v="0"/>
    <n v="0"/>
    <n v="0"/>
    <n v="0"/>
    <n v="0"/>
    <n v="0"/>
    <n v="0"/>
    <n v="0"/>
    <n v="0"/>
    <n v="0"/>
    <x v="192"/>
    <x v="0"/>
    <x v="0"/>
    <x v="0"/>
  </r>
  <r>
    <s v="Description 3579"/>
    <s v="Code 3579"/>
    <n v="0"/>
    <n v="0"/>
    <n v="0"/>
    <n v="0"/>
    <n v="0"/>
    <n v="0"/>
    <n v="0"/>
    <n v="0"/>
    <n v="0"/>
    <n v="0"/>
    <n v="0"/>
    <x v="62"/>
    <x v="0"/>
    <x v="0"/>
    <x v="0"/>
  </r>
  <r>
    <s v="Description 3580"/>
    <s v="Code 3580"/>
    <n v="0"/>
    <n v="0"/>
    <n v="0"/>
    <n v="0"/>
    <n v="0"/>
    <n v="0"/>
    <n v="0"/>
    <n v="0"/>
    <n v="0"/>
    <n v="0"/>
    <n v="0"/>
    <x v="177"/>
    <x v="0"/>
    <x v="0"/>
    <x v="0"/>
  </r>
  <r>
    <s v="Description 3581"/>
    <s v="Code 3581"/>
    <n v="0"/>
    <n v="0"/>
    <n v="0"/>
    <n v="0"/>
    <n v="0"/>
    <n v="0"/>
    <n v="0"/>
    <n v="0"/>
    <n v="0"/>
    <n v="0"/>
    <n v="0"/>
    <x v="57"/>
    <x v="0"/>
    <x v="0"/>
    <x v="0"/>
  </r>
  <r>
    <s v="Description 3582"/>
    <s v="Code 3582"/>
    <n v="0"/>
    <n v="0"/>
    <n v="0"/>
    <n v="0"/>
    <n v="0"/>
    <n v="0"/>
    <n v="0"/>
    <n v="0"/>
    <n v="0"/>
    <n v="0"/>
    <n v="0"/>
    <x v="191"/>
    <x v="0"/>
    <x v="0"/>
    <x v="0"/>
  </r>
  <r>
    <s v="Description 3583"/>
    <s v="Code 3583"/>
    <n v="0"/>
    <n v="0"/>
    <n v="0"/>
    <n v="0"/>
    <n v="0"/>
    <n v="0"/>
    <n v="0"/>
    <n v="0"/>
    <n v="0"/>
    <n v="0"/>
    <n v="0"/>
    <x v="94"/>
    <x v="0"/>
    <x v="0"/>
    <x v="0"/>
  </r>
  <r>
    <s v="Description 3584"/>
    <s v="Code 3584"/>
    <n v="0"/>
    <n v="0"/>
    <n v="0"/>
    <n v="0"/>
    <n v="0"/>
    <n v="0"/>
    <n v="0"/>
    <n v="0"/>
    <n v="0"/>
    <n v="0"/>
    <n v="0"/>
    <x v="5"/>
    <x v="0"/>
    <x v="0"/>
    <x v="0"/>
  </r>
  <r>
    <s v="Description 3585"/>
    <s v="Code 3585"/>
    <n v="0"/>
    <n v="0"/>
    <n v="0"/>
    <n v="0"/>
    <n v="0"/>
    <n v="0"/>
    <n v="0"/>
    <n v="0"/>
    <n v="0"/>
    <n v="0"/>
    <n v="0"/>
    <x v="16"/>
    <x v="0"/>
    <x v="0"/>
    <x v="0"/>
  </r>
  <r>
    <s v="Description 3586"/>
    <s v="Code 3586"/>
    <n v="0"/>
    <n v="0"/>
    <n v="0"/>
    <n v="0"/>
    <n v="0"/>
    <n v="0"/>
    <n v="0"/>
    <n v="0"/>
    <n v="0"/>
    <n v="0"/>
    <n v="0"/>
    <x v="153"/>
    <x v="0"/>
    <x v="0"/>
    <x v="0"/>
  </r>
  <r>
    <s v="Description 3587"/>
    <s v="Code 3587"/>
    <n v="0"/>
    <n v="0"/>
    <n v="0"/>
    <n v="0"/>
    <n v="0"/>
    <n v="0"/>
    <n v="0"/>
    <n v="0"/>
    <n v="0"/>
    <n v="0"/>
    <n v="0"/>
    <x v="12"/>
    <x v="0"/>
    <x v="0"/>
    <x v="0"/>
  </r>
  <r>
    <s v="Description 3588"/>
    <s v="Code 3588"/>
    <n v="0"/>
    <n v="0"/>
    <n v="0"/>
    <n v="0"/>
    <n v="0"/>
    <n v="0"/>
    <n v="0"/>
    <n v="0"/>
    <n v="0"/>
    <n v="0"/>
    <n v="0"/>
    <x v="74"/>
    <x v="0"/>
    <x v="0"/>
    <x v="0"/>
  </r>
  <r>
    <s v="Description 3589"/>
    <s v="Code 3589"/>
    <n v="0"/>
    <n v="0"/>
    <n v="0"/>
    <n v="0"/>
    <n v="0"/>
    <n v="0"/>
    <n v="0"/>
    <n v="0"/>
    <n v="0"/>
    <n v="0"/>
    <n v="0"/>
    <x v="165"/>
    <x v="0"/>
    <x v="0"/>
    <x v="0"/>
  </r>
  <r>
    <s v="Description 3590"/>
    <s v="Code 3590"/>
    <n v="0"/>
    <n v="0"/>
    <n v="0"/>
    <n v="0"/>
    <n v="0"/>
    <n v="0"/>
    <n v="0"/>
    <n v="0"/>
    <n v="0"/>
    <n v="0"/>
    <n v="0"/>
    <x v="181"/>
    <x v="0"/>
    <x v="0"/>
    <x v="0"/>
  </r>
  <r>
    <s v="Description 3591"/>
    <s v="Code 3591"/>
    <n v="0"/>
    <n v="0"/>
    <n v="0"/>
    <n v="0"/>
    <n v="0"/>
    <n v="0"/>
    <n v="0"/>
    <n v="0"/>
    <n v="0"/>
    <n v="0"/>
    <n v="0"/>
    <x v="5"/>
    <x v="0"/>
    <x v="0"/>
    <x v="0"/>
  </r>
  <r>
    <s v="Description 3592"/>
    <s v="Code 3592"/>
    <n v="0"/>
    <n v="0"/>
    <n v="0"/>
    <n v="0"/>
    <n v="0"/>
    <n v="0"/>
    <n v="0"/>
    <n v="0"/>
    <n v="0"/>
    <n v="0"/>
    <n v="0"/>
    <x v="81"/>
    <x v="0"/>
    <x v="0"/>
    <x v="0"/>
  </r>
  <r>
    <s v="Description 3593"/>
    <s v="Code 3593"/>
    <n v="0"/>
    <n v="0"/>
    <n v="0"/>
    <n v="0"/>
    <n v="0"/>
    <n v="0"/>
    <n v="0"/>
    <n v="0"/>
    <n v="0"/>
    <n v="0"/>
    <n v="0"/>
    <x v="153"/>
    <x v="0"/>
    <x v="0"/>
    <x v="0"/>
  </r>
  <r>
    <s v="Description 3594"/>
    <s v="Code 3594"/>
    <n v="0"/>
    <n v="0"/>
    <n v="0"/>
    <n v="0"/>
    <n v="0"/>
    <n v="0"/>
    <n v="0"/>
    <n v="0"/>
    <n v="0"/>
    <n v="0"/>
    <n v="0"/>
    <x v="52"/>
    <x v="0"/>
    <x v="0"/>
    <x v="0"/>
  </r>
  <r>
    <s v="Description 3595"/>
    <s v="Code 3595"/>
    <n v="0"/>
    <n v="0"/>
    <n v="0"/>
    <n v="0"/>
    <n v="0"/>
    <n v="0"/>
    <n v="0"/>
    <n v="0"/>
    <n v="0"/>
    <n v="0"/>
    <n v="0"/>
    <x v="6"/>
    <x v="0"/>
    <x v="0"/>
    <x v="0"/>
  </r>
  <r>
    <s v="Description 3596"/>
    <s v="Code 3596"/>
    <n v="0"/>
    <n v="0"/>
    <n v="0"/>
    <n v="0"/>
    <n v="0"/>
    <n v="0"/>
    <n v="0"/>
    <n v="0"/>
    <n v="0"/>
    <n v="0"/>
    <n v="0"/>
    <x v="34"/>
    <x v="0"/>
    <x v="0"/>
    <x v="0"/>
  </r>
  <r>
    <s v="Description 3597"/>
    <s v="Code 3597"/>
    <n v="0"/>
    <n v="0"/>
    <n v="0"/>
    <n v="0"/>
    <n v="0"/>
    <n v="0"/>
    <n v="0"/>
    <n v="0"/>
    <n v="0"/>
    <n v="0"/>
    <n v="0"/>
    <x v="12"/>
    <x v="0"/>
    <x v="0"/>
    <x v="0"/>
  </r>
  <r>
    <s v="Description 3598"/>
    <s v="Code 3598"/>
    <n v="0"/>
    <n v="0"/>
    <n v="0"/>
    <n v="0"/>
    <n v="0"/>
    <n v="0"/>
    <n v="0"/>
    <n v="0"/>
    <n v="0"/>
    <n v="0"/>
    <n v="0"/>
    <x v="165"/>
    <x v="0"/>
    <x v="0"/>
    <x v="0"/>
  </r>
  <r>
    <s v="Description 3599"/>
    <s v="Code 3599"/>
    <n v="0"/>
    <n v="0"/>
    <n v="0"/>
    <n v="0"/>
    <n v="0"/>
    <n v="0"/>
    <n v="0"/>
    <n v="0"/>
    <n v="0"/>
    <n v="0"/>
    <n v="0"/>
    <x v="61"/>
    <x v="0"/>
    <x v="0"/>
    <x v="0"/>
  </r>
  <r>
    <s v="Description 3600"/>
    <s v="Code 3600"/>
    <n v="0"/>
    <n v="0"/>
    <n v="0"/>
    <n v="0"/>
    <n v="0"/>
    <n v="0"/>
    <n v="0"/>
    <n v="0"/>
    <n v="0"/>
    <n v="0"/>
    <n v="0"/>
    <x v="183"/>
    <x v="0"/>
    <x v="0"/>
    <x v="0"/>
  </r>
  <r>
    <s v="Description 3601"/>
    <s v="Code 3601"/>
    <n v="0"/>
    <n v="0"/>
    <n v="0"/>
    <n v="0"/>
    <n v="0"/>
    <n v="0"/>
    <n v="0"/>
    <n v="0"/>
    <n v="0"/>
    <n v="0"/>
    <n v="0"/>
    <x v="37"/>
    <x v="0"/>
    <x v="0"/>
    <x v="0"/>
  </r>
  <r>
    <s v="Description 3602"/>
    <s v="Code 3602"/>
    <n v="0"/>
    <n v="0"/>
    <n v="0"/>
    <n v="0"/>
    <n v="0"/>
    <n v="0"/>
    <n v="0"/>
    <n v="0"/>
    <n v="0"/>
    <n v="0"/>
    <n v="0"/>
    <x v="119"/>
    <x v="0"/>
    <x v="1"/>
    <x v="0"/>
  </r>
  <r>
    <s v="Description 3603"/>
    <s v="Code 3603"/>
    <n v="0"/>
    <n v="0"/>
    <n v="0"/>
    <n v="0"/>
    <n v="0"/>
    <n v="0"/>
    <n v="0"/>
    <n v="0"/>
    <n v="0"/>
    <n v="0"/>
    <n v="0"/>
    <x v="3"/>
    <x v="0"/>
    <x v="0"/>
    <x v="0"/>
  </r>
  <r>
    <s v="Description 3604"/>
    <s v="Code 3604"/>
    <n v="0"/>
    <n v="0"/>
    <n v="0"/>
    <n v="0"/>
    <n v="0"/>
    <n v="0"/>
    <n v="0"/>
    <n v="0"/>
    <n v="0"/>
    <n v="0"/>
    <n v="0"/>
    <x v="74"/>
    <x v="0"/>
    <x v="0"/>
    <x v="0"/>
  </r>
  <r>
    <s v="Description 3605"/>
    <s v="Code 3605"/>
    <n v="0"/>
    <n v="0"/>
    <n v="0"/>
    <n v="0"/>
    <n v="0"/>
    <n v="0"/>
    <n v="0"/>
    <n v="0"/>
    <n v="0"/>
    <n v="0"/>
    <n v="0"/>
    <x v="116"/>
    <x v="0"/>
    <x v="0"/>
    <x v="0"/>
  </r>
  <r>
    <s v="Description 3606"/>
    <s v="Code 3606"/>
    <n v="0"/>
    <n v="0"/>
    <n v="0"/>
    <n v="0"/>
    <n v="0"/>
    <n v="0"/>
    <n v="0"/>
    <n v="0"/>
    <n v="0"/>
    <n v="0"/>
    <n v="0"/>
    <x v="47"/>
    <x v="0"/>
    <x v="0"/>
    <x v="0"/>
  </r>
  <r>
    <s v="Description 3607"/>
    <s v="Code 3607"/>
    <n v="0"/>
    <n v="0"/>
    <n v="0"/>
    <n v="0"/>
    <n v="0"/>
    <n v="0"/>
    <n v="0"/>
    <n v="0"/>
    <n v="0"/>
    <n v="0"/>
    <n v="0"/>
    <x v="102"/>
    <x v="0"/>
    <x v="0"/>
    <x v="0"/>
  </r>
  <r>
    <s v="Description 3608"/>
    <s v="Code 3608"/>
    <n v="0"/>
    <n v="0"/>
    <n v="0"/>
    <n v="0"/>
    <n v="0"/>
    <n v="0"/>
    <n v="0"/>
    <n v="0"/>
    <n v="0"/>
    <n v="0"/>
    <n v="0"/>
    <x v="86"/>
    <x v="0"/>
    <x v="0"/>
    <x v="0"/>
  </r>
  <r>
    <s v="Description 3609"/>
    <s v="Code 3609"/>
    <n v="0"/>
    <n v="0"/>
    <n v="0"/>
    <n v="0"/>
    <n v="0"/>
    <n v="0"/>
    <n v="0"/>
    <n v="0"/>
    <n v="0"/>
    <n v="0"/>
    <n v="0"/>
    <x v="120"/>
    <x v="0"/>
    <x v="0"/>
    <x v="0"/>
  </r>
  <r>
    <s v="Description 3610"/>
    <s v="Code 3610"/>
    <n v="0"/>
    <n v="0"/>
    <n v="0"/>
    <n v="0"/>
    <n v="0"/>
    <n v="0"/>
    <n v="0"/>
    <n v="0"/>
    <n v="0"/>
    <n v="0"/>
    <n v="0"/>
    <x v="118"/>
    <x v="0"/>
    <x v="0"/>
    <x v="0"/>
  </r>
  <r>
    <s v="Description 3611"/>
    <s v="Code 3611"/>
    <n v="0"/>
    <n v="0"/>
    <n v="0"/>
    <n v="0"/>
    <n v="0"/>
    <n v="0"/>
    <n v="0"/>
    <n v="0"/>
    <n v="0"/>
    <n v="0"/>
    <n v="0"/>
    <x v="112"/>
    <x v="0"/>
    <x v="0"/>
    <x v="0"/>
  </r>
  <r>
    <s v="Description 3612"/>
    <s v="Code 3612"/>
    <n v="0"/>
    <n v="0"/>
    <n v="0"/>
    <n v="0"/>
    <n v="0"/>
    <n v="0"/>
    <n v="0"/>
    <n v="0"/>
    <n v="0"/>
    <n v="0"/>
    <n v="0"/>
    <x v="82"/>
    <x v="0"/>
    <x v="0"/>
    <x v="0"/>
  </r>
  <r>
    <s v="Description 3613"/>
    <s v="Code 3613"/>
    <n v="0"/>
    <n v="0"/>
    <n v="0"/>
    <n v="0"/>
    <n v="0"/>
    <n v="0"/>
    <n v="0"/>
    <n v="0"/>
    <n v="0"/>
    <n v="0"/>
    <n v="0"/>
    <x v="48"/>
    <x v="0"/>
    <x v="0"/>
    <x v="0"/>
  </r>
  <r>
    <s v="Description 3614"/>
    <s v="Code 3614"/>
    <n v="0"/>
    <n v="0"/>
    <n v="0"/>
    <n v="0"/>
    <n v="0"/>
    <n v="0"/>
    <n v="0"/>
    <n v="0"/>
    <n v="0"/>
    <n v="0"/>
    <n v="0"/>
    <x v="105"/>
    <x v="0"/>
    <x v="1"/>
    <x v="0"/>
  </r>
  <r>
    <s v="Description 3615"/>
    <s v="Code 3615"/>
    <n v="0"/>
    <n v="0"/>
    <n v="0"/>
    <n v="0"/>
    <n v="0"/>
    <n v="0"/>
    <n v="0"/>
    <n v="0"/>
    <n v="0"/>
    <n v="0"/>
    <n v="0"/>
    <x v="16"/>
    <x v="0"/>
    <x v="0"/>
    <x v="0"/>
  </r>
  <r>
    <s v="Description 3616"/>
    <s v="Code 3616"/>
    <n v="0"/>
    <n v="0"/>
    <n v="0"/>
    <n v="0"/>
    <n v="0"/>
    <n v="0"/>
    <n v="0"/>
    <n v="0"/>
    <n v="0"/>
    <n v="0"/>
    <n v="0"/>
    <x v="144"/>
    <x v="0"/>
    <x v="0"/>
    <x v="0"/>
  </r>
  <r>
    <s v="Description 3617"/>
    <s v="Code 3617"/>
    <n v="0"/>
    <n v="0"/>
    <n v="0"/>
    <n v="0"/>
    <n v="0"/>
    <n v="0"/>
    <n v="0"/>
    <n v="0"/>
    <n v="0"/>
    <n v="0"/>
    <n v="0"/>
    <x v="160"/>
    <x v="0"/>
    <x v="0"/>
    <x v="0"/>
  </r>
  <r>
    <s v="Description 3618"/>
    <s v="Code 3618"/>
    <n v="0"/>
    <n v="0"/>
    <n v="0"/>
    <n v="0"/>
    <n v="0"/>
    <n v="0"/>
    <n v="0"/>
    <n v="0"/>
    <n v="0"/>
    <n v="0"/>
    <n v="0"/>
    <x v="100"/>
    <x v="0"/>
    <x v="0"/>
    <x v="0"/>
  </r>
  <r>
    <s v="Description 3619"/>
    <s v="Code 3619"/>
    <n v="0"/>
    <n v="0"/>
    <n v="0"/>
    <n v="0"/>
    <n v="0"/>
    <n v="0"/>
    <n v="0"/>
    <n v="0"/>
    <n v="0"/>
    <n v="0"/>
    <n v="0"/>
    <x v="93"/>
    <x v="0"/>
    <x v="0"/>
    <x v="0"/>
  </r>
  <r>
    <s v="Description 3620"/>
    <s v="Code 3620"/>
    <n v="0"/>
    <n v="0"/>
    <n v="0"/>
    <n v="0"/>
    <n v="0"/>
    <n v="0"/>
    <n v="0"/>
    <n v="0"/>
    <n v="0"/>
    <n v="0"/>
    <n v="0"/>
    <x v="68"/>
    <x v="0"/>
    <x v="0"/>
    <x v="0"/>
  </r>
  <r>
    <s v="Description 3621"/>
    <s v="Code 3621"/>
    <n v="0"/>
    <n v="0"/>
    <n v="0"/>
    <n v="0"/>
    <n v="0"/>
    <n v="0"/>
    <n v="0"/>
    <n v="0"/>
    <n v="0"/>
    <n v="0"/>
    <n v="0"/>
    <x v="166"/>
    <x v="0"/>
    <x v="0"/>
    <x v="0"/>
  </r>
  <r>
    <s v="Description 3622"/>
    <s v="Code 3622"/>
    <n v="0"/>
    <n v="0"/>
    <n v="0"/>
    <n v="0"/>
    <n v="0"/>
    <n v="0"/>
    <n v="0"/>
    <n v="0"/>
    <n v="0"/>
    <n v="0"/>
    <n v="0"/>
    <x v="87"/>
    <x v="0"/>
    <x v="0"/>
    <x v="0"/>
  </r>
  <r>
    <s v="Description 3623"/>
    <s v="Code 3623"/>
    <n v="0"/>
    <n v="0"/>
    <n v="0"/>
    <n v="0"/>
    <n v="0"/>
    <n v="0"/>
    <n v="0"/>
    <n v="0"/>
    <n v="0"/>
    <n v="0"/>
    <n v="0"/>
    <x v="50"/>
    <x v="0"/>
    <x v="0"/>
    <x v="0"/>
  </r>
  <r>
    <s v="Description 3624"/>
    <s v="Code 3624"/>
    <n v="0"/>
    <n v="0"/>
    <n v="0"/>
    <n v="0"/>
    <n v="0"/>
    <n v="0"/>
    <n v="0"/>
    <n v="0"/>
    <n v="0"/>
    <n v="0"/>
    <n v="0"/>
    <x v="52"/>
    <x v="0"/>
    <x v="0"/>
    <x v="0"/>
  </r>
  <r>
    <s v="Description 3625"/>
    <s v="Code 3625"/>
    <n v="0"/>
    <n v="0"/>
    <n v="0"/>
    <n v="0"/>
    <n v="0"/>
    <n v="0"/>
    <n v="0"/>
    <n v="0"/>
    <n v="0"/>
    <n v="0"/>
    <n v="0"/>
    <x v="145"/>
    <x v="0"/>
    <x v="0"/>
    <x v="0"/>
  </r>
  <r>
    <s v="Description 3626"/>
    <s v="Code 3626"/>
    <n v="0"/>
    <n v="0"/>
    <n v="0"/>
    <n v="0"/>
    <n v="0"/>
    <n v="0"/>
    <n v="0"/>
    <n v="0"/>
    <n v="0"/>
    <n v="0"/>
    <n v="0"/>
    <x v="128"/>
    <x v="0"/>
    <x v="0"/>
    <x v="0"/>
  </r>
  <r>
    <s v="Description 3627"/>
    <s v="Code 3627"/>
    <n v="0"/>
    <n v="0"/>
    <n v="0"/>
    <n v="0"/>
    <n v="0"/>
    <n v="0"/>
    <n v="0"/>
    <n v="0"/>
    <n v="0"/>
    <n v="0"/>
    <n v="0"/>
    <x v="89"/>
    <x v="0"/>
    <x v="1"/>
    <x v="0"/>
  </r>
  <r>
    <s v="Description 3628"/>
    <s v="Code 3628"/>
    <n v="0"/>
    <n v="0"/>
    <n v="0"/>
    <n v="0"/>
    <n v="0"/>
    <n v="0"/>
    <n v="0"/>
    <n v="0"/>
    <n v="0"/>
    <n v="0"/>
    <n v="0"/>
    <x v="50"/>
    <x v="0"/>
    <x v="0"/>
    <x v="0"/>
  </r>
  <r>
    <s v="Description 3629"/>
    <s v="Code 3629"/>
    <n v="0"/>
    <n v="0"/>
    <n v="0"/>
    <n v="0"/>
    <n v="0"/>
    <n v="0"/>
    <n v="0"/>
    <n v="0"/>
    <n v="0"/>
    <n v="0"/>
    <n v="0"/>
    <x v="99"/>
    <x v="0"/>
    <x v="0"/>
    <x v="0"/>
  </r>
  <r>
    <s v="Description 3630"/>
    <s v="Code 3630"/>
    <n v="0"/>
    <n v="0"/>
    <n v="0"/>
    <n v="0"/>
    <n v="0"/>
    <n v="0"/>
    <n v="0"/>
    <n v="0"/>
    <n v="0"/>
    <n v="0"/>
    <n v="0"/>
    <x v="25"/>
    <x v="0"/>
    <x v="1"/>
    <x v="0"/>
  </r>
  <r>
    <s v="Description 3631"/>
    <s v="Code 3631"/>
    <n v="0"/>
    <n v="0"/>
    <n v="0"/>
    <n v="0"/>
    <n v="0"/>
    <n v="0"/>
    <n v="0"/>
    <n v="0"/>
    <n v="0"/>
    <n v="0"/>
    <n v="0"/>
    <x v="37"/>
    <x v="0"/>
    <x v="0"/>
    <x v="0"/>
  </r>
  <r>
    <s v="Description 3632"/>
    <s v="Code 3632"/>
    <n v="0"/>
    <n v="0"/>
    <n v="0"/>
    <n v="0"/>
    <n v="0"/>
    <n v="0"/>
    <n v="0"/>
    <n v="0"/>
    <n v="0"/>
    <n v="0"/>
    <n v="0"/>
    <x v="9"/>
    <x v="0"/>
    <x v="0"/>
    <x v="0"/>
  </r>
  <r>
    <s v="Description 3633"/>
    <s v="Code 3633"/>
    <n v="0"/>
    <n v="0"/>
    <n v="0"/>
    <n v="0"/>
    <n v="0"/>
    <n v="0"/>
    <n v="0"/>
    <n v="0"/>
    <n v="0"/>
    <n v="0"/>
    <n v="0"/>
    <x v="183"/>
    <x v="0"/>
    <x v="0"/>
    <x v="0"/>
  </r>
  <r>
    <s v="Description 3634"/>
    <s v="Code 3634"/>
    <n v="0"/>
    <n v="0"/>
    <n v="0"/>
    <n v="0"/>
    <n v="0"/>
    <n v="0"/>
    <n v="0"/>
    <n v="0"/>
    <n v="0"/>
    <n v="0"/>
    <n v="0"/>
    <x v="42"/>
    <x v="0"/>
    <x v="1"/>
    <x v="0"/>
  </r>
  <r>
    <s v="Description 3635"/>
    <s v="Code 3635"/>
    <n v="0"/>
    <n v="0"/>
    <n v="0"/>
    <n v="0"/>
    <n v="0"/>
    <n v="0"/>
    <n v="0"/>
    <n v="0"/>
    <n v="0"/>
    <n v="0"/>
    <n v="0"/>
    <x v="195"/>
    <x v="0"/>
    <x v="0"/>
    <x v="0"/>
  </r>
  <r>
    <s v="Description 3636"/>
    <s v="Code 3636"/>
    <n v="0"/>
    <n v="0"/>
    <n v="0"/>
    <n v="0"/>
    <n v="0"/>
    <n v="0"/>
    <n v="0"/>
    <n v="0"/>
    <n v="0"/>
    <n v="0"/>
    <n v="0"/>
    <x v="33"/>
    <x v="0"/>
    <x v="0"/>
    <x v="0"/>
  </r>
  <r>
    <s v="Description 3637"/>
    <s v="Code 3637"/>
    <n v="0"/>
    <n v="0"/>
    <n v="0"/>
    <n v="0"/>
    <n v="0"/>
    <n v="0"/>
    <n v="0"/>
    <n v="0"/>
    <n v="0"/>
    <n v="0"/>
    <n v="0"/>
    <x v="75"/>
    <x v="0"/>
    <x v="0"/>
    <x v="0"/>
  </r>
  <r>
    <s v="Description 3638"/>
    <s v="Code 3638"/>
    <n v="0"/>
    <n v="0"/>
    <n v="0"/>
    <n v="0"/>
    <n v="0"/>
    <n v="0"/>
    <n v="0"/>
    <n v="0"/>
    <n v="0"/>
    <n v="0"/>
    <n v="0"/>
    <x v="2"/>
    <x v="0"/>
    <x v="0"/>
    <x v="0"/>
  </r>
  <r>
    <s v="Description 3639"/>
    <s v="Code 3639"/>
    <n v="0"/>
    <n v="0"/>
    <n v="0"/>
    <n v="0"/>
    <n v="0"/>
    <n v="0"/>
    <n v="0"/>
    <n v="0"/>
    <n v="0"/>
    <n v="0"/>
    <n v="0"/>
    <x v="52"/>
    <x v="0"/>
    <x v="0"/>
    <x v="0"/>
  </r>
  <r>
    <s v="Description 3640"/>
    <s v="Code 3640"/>
    <n v="0"/>
    <n v="0"/>
    <n v="0"/>
    <n v="0"/>
    <n v="0"/>
    <n v="0"/>
    <n v="0"/>
    <n v="0"/>
    <n v="0"/>
    <n v="0"/>
    <n v="0"/>
    <x v="105"/>
    <x v="0"/>
    <x v="1"/>
    <x v="0"/>
  </r>
  <r>
    <s v="Description 3641"/>
    <s v="Code 3641"/>
    <n v="0"/>
    <n v="0"/>
    <n v="0"/>
    <n v="0"/>
    <n v="0"/>
    <n v="0"/>
    <n v="0"/>
    <n v="0"/>
    <n v="0"/>
    <n v="0"/>
    <n v="0"/>
    <x v="76"/>
    <x v="0"/>
    <x v="1"/>
    <x v="0"/>
  </r>
  <r>
    <s v="Description 3642"/>
    <s v="Code 3642"/>
    <n v="0"/>
    <n v="0"/>
    <n v="0"/>
    <n v="0"/>
    <n v="0"/>
    <n v="0"/>
    <n v="0"/>
    <n v="0"/>
    <n v="0"/>
    <n v="0"/>
    <n v="0"/>
    <x v="28"/>
    <x v="0"/>
    <x v="1"/>
    <x v="0"/>
  </r>
  <r>
    <s v="Description 3643"/>
    <s v="Code 3643"/>
    <n v="0"/>
    <n v="0"/>
    <n v="0"/>
    <n v="0"/>
    <n v="0"/>
    <n v="0"/>
    <n v="0"/>
    <n v="0"/>
    <n v="0"/>
    <n v="0"/>
    <n v="0"/>
    <x v="154"/>
    <x v="0"/>
    <x v="0"/>
    <x v="0"/>
  </r>
  <r>
    <s v="Description 3644"/>
    <s v="Code 3644"/>
    <n v="0"/>
    <n v="0"/>
    <n v="0"/>
    <n v="0"/>
    <n v="0"/>
    <n v="0"/>
    <n v="0"/>
    <n v="0"/>
    <n v="0"/>
    <n v="0"/>
    <n v="0"/>
    <x v="11"/>
    <x v="0"/>
    <x v="0"/>
    <x v="0"/>
  </r>
  <r>
    <s v="Description 3645"/>
    <s v="Code 3645"/>
    <n v="0"/>
    <n v="0"/>
    <n v="0"/>
    <n v="0"/>
    <n v="0"/>
    <n v="0"/>
    <n v="0"/>
    <n v="0"/>
    <n v="0"/>
    <n v="0"/>
    <n v="0"/>
    <x v="46"/>
    <x v="0"/>
    <x v="0"/>
    <x v="0"/>
  </r>
  <r>
    <s v="Description 3646"/>
    <s v="Code 3646"/>
    <n v="0"/>
    <n v="0"/>
    <n v="0"/>
    <n v="0"/>
    <n v="0"/>
    <n v="0"/>
    <n v="0"/>
    <n v="0"/>
    <n v="0"/>
    <n v="0"/>
    <n v="0"/>
    <x v="84"/>
    <x v="0"/>
    <x v="0"/>
    <x v="0"/>
  </r>
  <r>
    <s v="Description 3647"/>
    <s v="Code 3647"/>
    <n v="0"/>
    <n v="0"/>
    <n v="0"/>
    <n v="0"/>
    <n v="0"/>
    <n v="0"/>
    <n v="0"/>
    <n v="0"/>
    <n v="0"/>
    <n v="0"/>
    <n v="0"/>
    <x v="159"/>
    <x v="0"/>
    <x v="0"/>
    <x v="0"/>
  </r>
  <r>
    <s v="Description 3648"/>
    <s v="Code 3648"/>
    <n v="0"/>
    <n v="0"/>
    <n v="0"/>
    <n v="0"/>
    <n v="0"/>
    <n v="0"/>
    <n v="0"/>
    <n v="0"/>
    <n v="0"/>
    <n v="0"/>
    <n v="0"/>
    <x v="188"/>
    <x v="0"/>
    <x v="0"/>
    <x v="0"/>
  </r>
  <r>
    <s v="Description 3649"/>
    <s v="Code 3649"/>
    <n v="0"/>
    <n v="0"/>
    <n v="0"/>
    <n v="0"/>
    <n v="0"/>
    <n v="0"/>
    <n v="0"/>
    <n v="0"/>
    <n v="0"/>
    <n v="0"/>
    <n v="0"/>
    <x v="112"/>
    <x v="0"/>
    <x v="0"/>
    <x v="0"/>
  </r>
  <r>
    <s v="Description 3650"/>
    <s v="Code 3650"/>
    <n v="0"/>
    <n v="0"/>
    <n v="0"/>
    <n v="0"/>
    <n v="0"/>
    <n v="0"/>
    <n v="0"/>
    <n v="0"/>
    <n v="0"/>
    <n v="0"/>
    <n v="0"/>
    <x v="116"/>
    <x v="0"/>
    <x v="0"/>
    <x v="0"/>
  </r>
  <r>
    <s v="Description 3651"/>
    <s v="Code 3651"/>
    <n v="0"/>
    <n v="0"/>
    <n v="0"/>
    <n v="0"/>
    <n v="0"/>
    <n v="0"/>
    <n v="0"/>
    <n v="0"/>
    <n v="0"/>
    <n v="0"/>
    <n v="0"/>
    <x v="100"/>
    <x v="0"/>
    <x v="0"/>
    <x v="0"/>
  </r>
  <r>
    <s v="Description 3652"/>
    <s v="Code 3652"/>
    <n v="0"/>
    <n v="0"/>
    <n v="0"/>
    <n v="0"/>
    <n v="0"/>
    <n v="0"/>
    <n v="0"/>
    <n v="0"/>
    <n v="0"/>
    <n v="0"/>
    <n v="0"/>
    <x v="194"/>
    <x v="0"/>
    <x v="0"/>
    <x v="0"/>
  </r>
  <r>
    <s v="Description 3653"/>
    <s v="Code 3653"/>
    <n v="0"/>
    <n v="0"/>
    <n v="0"/>
    <n v="0"/>
    <n v="0"/>
    <n v="0"/>
    <n v="0"/>
    <n v="0"/>
    <n v="0"/>
    <n v="0"/>
    <n v="0"/>
    <x v="100"/>
    <x v="0"/>
    <x v="0"/>
    <x v="0"/>
  </r>
  <r>
    <s v="Description 3654"/>
    <s v="Code 3654"/>
    <n v="0"/>
    <n v="0"/>
    <n v="0"/>
    <n v="0"/>
    <n v="0"/>
    <n v="0"/>
    <n v="0"/>
    <n v="0"/>
    <n v="0"/>
    <n v="0"/>
    <n v="0"/>
    <x v="50"/>
    <x v="0"/>
    <x v="0"/>
    <x v="0"/>
  </r>
  <r>
    <s v="Description 3655"/>
    <s v="Code 3655"/>
    <n v="0"/>
    <n v="0"/>
    <n v="0"/>
    <n v="0"/>
    <n v="0"/>
    <n v="0"/>
    <n v="0"/>
    <n v="0"/>
    <n v="0"/>
    <n v="0"/>
    <n v="0"/>
    <x v="33"/>
    <x v="0"/>
    <x v="0"/>
    <x v="0"/>
  </r>
  <r>
    <s v="Description 3656"/>
    <s v="Code 3656"/>
    <n v="0"/>
    <n v="0"/>
    <n v="0"/>
    <n v="0"/>
    <n v="0"/>
    <n v="0"/>
    <n v="0"/>
    <n v="0"/>
    <n v="0"/>
    <n v="0"/>
    <n v="0"/>
    <x v="28"/>
    <x v="0"/>
    <x v="1"/>
    <x v="0"/>
  </r>
  <r>
    <s v="Description 3657"/>
    <s v="Code 3657"/>
    <n v="0"/>
    <n v="0"/>
    <n v="0"/>
    <n v="0"/>
    <n v="0"/>
    <n v="0"/>
    <n v="0"/>
    <n v="0"/>
    <n v="0"/>
    <n v="0"/>
    <n v="0"/>
    <x v="83"/>
    <x v="0"/>
    <x v="0"/>
    <x v="0"/>
  </r>
  <r>
    <s v="Description 3658"/>
    <s v="Code 3658"/>
    <n v="0"/>
    <n v="0"/>
    <n v="0"/>
    <n v="0"/>
    <n v="0"/>
    <n v="0"/>
    <n v="0"/>
    <n v="0"/>
    <n v="0"/>
    <n v="0"/>
    <n v="0"/>
    <x v="93"/>
    <x v="0"/>
    <x v="0"/>
    <x v="0"/>
  </r>
  <r>
    <s v="Description 3659"/>
    <s v="Code 3659"/>
    <n v="0"/>
    <n v="0"/>
    <n v="0"/>
    <n v="0"/>
    <n v="0"/>
    <n v="0"/>
    <n v="0"/>
    <n v="0"/>
    <n v="0"/>
    <n v="0"/>
    <n v="0"/>
    <x v="0"/>
    <x v="0"/>
    <x v="0"/>
    <x v="0"/>
  </r>
  <r>
    <s v="Description 3660"/>
    <s v="Code 3660"/>
    <n v="0"/>
    <n v="0"/>
    <n v="0"/>
    <n v="0"/>
    <n v="0"/>
    <n v="0"/>
    <n v="0"/>
    <n v="0"/>
    <n v="0"/>
    <n v="0"/>
    <n v="0"/>
    <x v="42"/>
    <x v="0"/>
    <x v="1"/>
    <x v="0"/>
  </r>
  <r>
    <s v="Description 3661"/>
    <s v="Code 3661"/>
    <n v="0"/>
    <n v="0"/>
    <n v="0"/>
    <n v="0"/>
    <n v="0"/>
    <n v="0"/>
    <n v="0"/>
    <n v="0"/>
    <n v="0"/>
    <n v="0"/>
    <n v="0"/>
    <x v="152"/>
    <x v="0"/>
    <x v="0"/>
    <x v="0"/>
  </r>
  <r>
    <s v="Description 3662"/>
    <s v="Code 3662"/>
    <n v="0"/>
    <n v="0"/>
    <n v="0"/>
    <n v="0"/>
    <n v="0"/>
    <n v="0"/>
    <n v="0"/>
    <n v="0"/>
    <n v="0"/>
    <n v="0"/>
    <n v="0"/>
    <x v="49"/>
    <x v="0"/>
    <x v="0"/>
    <x v="0"/>
  </r>
  <r>
    <s v="Description 3663"/>
    <s v="Code 3663"/>
    <n v="0"/>
    <n v="0"/>
    <n v="0"/>
    <n v="0"/>
    <n v="0"/>
    <n v="0"/>
    <n v="0"/>
    <n v="0"/>
    <n v="0"/>
    <n v="0"/>
    <n v="0"/>
    <x v="8"/>
    <x v="0"/>
    <x v="0"/>
    <x v="0"/>
  </r>
  <r>
    <s v="Description 3664"/>
    <s v="Code 3664"/>
    <n v="0"/>
    <n v="0"/>
    <n v="0"/>
    <n v="0"/>
    <n v="0"/>
    <n v="0"/>
    <n v="0"/>
    <n v="0"/>
    <n v="0"/>
    <n v="0"/>
    <n v="0"/>
    <x v="34"/>
    <x v="0"/>
    <x v="0"/>
    <x v="0"/>
  </r>
  <r>
    <s v="Description 3665"/>
    <s v="Code 3665"/>
    <n v="0"/>
    <n v="0"/>
    <n v="0"/>
    <n v="0"/>
    <n v="0"/>
    <n v="0"/>
    <n v="0"/>
    <n v="0"/>
    <n v="0"/>
    <n v="0"/>
    <n v="0"/>
    <x v="22"/>
    <x v="0"/>
    <x v="0"/>
    <x v="0"/>
  </r>
  <r>
    <s v="Description 3666"/>
    <s v="Code 3666"/>
    <n v="0"/>
    <n v="0"/>
    <n v="0"/>
    <n v="0"/>
    <n v="0"/>
    <n v="0"/>
    <n v="0"/>
    <n v="0"/>
    <n v="0"/>
    <n v="0"/>
    <n v="0"/>
    <x v="103"/>
    <x v="0"/>
    <x v="0"/>
    <x v="0"/>
  </r>
  <r>
    <s v="Description 3667"/>
    <s v="Code 3667"/>
    <n v="0"/>
    <n v="0"/>
    <n v="0"/>
    <n v="0"/>
    <n v="0"/>
    <n v="0"/>
    <n v="0"/>
    <n v="0"/>
    <n v="0"/>
    <n v="0"/>
    <n v="0"/>
    <x v="54"/>
    <x v="0"/>
    <x v="0"/>
    <x v="0"/>
  </r>
  <r>
    <s v="Description 3668"/>
    <s v="Code 3668"/>
    <n v="0"/>
    <n v="0"/>
    <n v="0"/>
    <n v="0"/>
    <n v="0"/>
    <n v="0"/>
    <n v="0"/>
    <n v="0"/>
    <n v="0"/>
    <n v="0"/>
    <n v="0"/>
    <x v="103"/>
    <x v="0"/>
    <x v="0"/>
    <x v="0"/>
  </r>
  <r>
    <s v="Description 3669"/>
    <s v="Code 3669"/>
    <n v="0"/>
    <n v="0"/>
    <n v="0"/>
    <n v="0"/>
    <n v="0"/>
    <n v="0"/>
    <n v="0"/>
    <n v="0"/>
    <n v="0"/>
    <n v="0"/>
    <n v="0"/>
    <x v="84"/>
    <x v="0"/>
    <x v="0"/>
    <x v="0"/>
  </r>
  <r>
    <s v="Description 3670"/>
    <s v="Code 3670"/>
    <n v="0"/>
    <n v="0"/>
    <n v="0"/>
    <n v="0"/>
    <n v="0"/>
    <n v="0"/>
    <n v="0"/>
    <n v="0"/>
    <n v="0"/>
    <n v="0"/>
    <n v="0"/>
    <x v="32"/>
    <x v="0"/>
    <x v="0"/>
    <x v="0"/>
  </r>
  <r>
    <s v="Description 3671"/>
    <s v="Code 3671"/>
    <n v="0"/>
    <n v="0"/>
    <n v="0"/>
    <n v="0"/>
    <n v="0"/>
    <n v="0"/>
    <n v="0"/>
    <n v="0"/>
    <n v="0"/>
    <n v="0"/>
    <n v="0"/>
    <x v="127"/>
    <x v="0"/>
    <x v="0"/>
    <x v="0"/>
  </r>
  <r>
    <s v="Description 3672"/>
    <s v="Code 3672"/>
    <n v="0"/>
    <n v="0"/>
    <n v="0"/>
    <n v="0"/>
    <n v="0"/>
    <n v="0"/>
    <n v="0"/>
    <n v="0"/>
    <n v="0"/>
    <n v="0"/>
    <n v="0"/>
    <x v="146"/>
    <x v="0"/>
    <x v="0"/>
    <x v="0"/>
  </r>
  <r>
    <s v="Description 3673"/>
    <s v="Code 3673"/>
    <n v="0"/>
    <n v="0"/>
    <n v="0"/>
    <n v="0"/>
    <n v="0"/>
    <n v="0"/>
    <n v="0"/>
    <n v="0"/>
    <n v="0"/>
    <n v="0"/>
    <n v="0"/>
    <x v="147"/>
    <x v="0"/>
    <x v="0"/>
    <x v="0"/>
  </r>
  <r>
    <s v="Description 3674"/>
    <s v="Code 3674"/>
    <n v="0"/>
    <n v="0"/>
    <n v="0"/>
    <n v="0"/>
    <n v="0"/>
    <n v="0"/>
    <n v="0"/>
    <n v="0"/>
    <n v="0"/>
    <n v="0"/>
    <n v="0"/>
    <x v="46"/>
    <x v="0"/>
    <x v="0"/>
    <x v="0"/>
  </r>
  <r>
    <s v="Description 3675"/>
    <s v="Code 3675"/>
    <n v="0"/>
    <n v="0"/>
    <n v="0"/>
    <n v="0"/>
    <n v="0"/>
    <n v="0"/>
    <n v="0"/>
    <n v="0"/>
    <n v="0"/>
    <n v="0"/>
    <n v="0"/>
    <x v="59"/>
    <x v="0"/>
    <x v="0"/>
    <x v="0"/>
  </r>
  <r>
    <s v="Description 3676"/>
    <s v="Code 3676"/>
    <n v="0"/>
    <n v="0"/>
    <n v="0"/>
    <n v="0"/>
    <n v="0"/>
    <n v="0"/>
    <n v="0"/>
    <n v="0"/>
    <n v="0"/>
    <n v="0"/>
    <n v="0"/>
    <x v="174"/>
    <x v="0"/>
    <x v="0"/>
    <x v="0"/>
  </r>
  <r>
    <s v="Description 3677"/>
    <s v="Code 3677"/>
    <n v="0"/>
    <n v="0"/>
    <n v="0"/>
    <n v="0"/>
    <n v="0"/>
    <n v="0"/>
    <n v="0"/>
    <n v="0"/>
    <n v="0"/>
    <n v="0"/>
    <n v="0"/>
    <x v="17"/>
    <x v="0"/>
    <x v="0"/>
    <x v="0"/>
  </r>
  <r>
    <s v="Description 3678"/>
    <s v="Code 3678"/>
    <n v="0"/>
    <n v="0"/>
    <n v="0"/>
    <n v="0"/>
    <n v="0"/>
    <n v="0"/>
    <n v="0"/>
    <n v="0"/>
    <n v="0"/>
    <n v="0"/>
    <n v="0"/>
    <x v="29"/>
    <x v="0"/>
    <x v="0"/>
    <x v="0"/>
  </r>
  <r>
    <s v="Description 3679"/>
    <s v="Code 3679"/>
    <n v="0"/>
    <n v="0"/>
    <n v="0"/>
    <n v="0"/>
    <n v="0"/>
    <n v="0"/>
    <n v="0"/>
    <n v="0"/>
    <n v="0"/>
    <n v="0"/>
    <n v="0"/>
    <x v="162"/>
    <x v="0"/>
    <x v="0"/>
    <x v="0"/>
  </r>
  <r>
    <s v="Description 3680"/>
    <s v="Code 3680"/>
    <n v="0"/>
    <n v="0"/>
    <n v="0"/>
    <n v="0"/>
    <n v="0"/>
    <n v="0"/>
    <n v="0"/>
    <n v="0"/>
    <n v="0"/>
    <n v="0"/>
    <n v="0"/>
    <x v="48"/>
    <x v="0"/>
    <x v="0"/>
    <x v="0"/>
  </r>
  <r>
    <s v="Description 3681"/>
    <s v="Code 3681"/>
    <n v="0"/>
    <n v="0"/>
    <n v="0"/>
    <n v="0"/>
    <n v="0"/>
    <n v="0"/>
    <n v="0"/>
    <n v="0"/>
    <n v="0"/>
    <n v="0"/>
    <n v="0"/>
    <x v="85"/>
    <x v="0"/>
    <x v="1"/>
    <x v="0"/>
  </r>
  <r>
    <s v="Description 3682"/>
    <s v="Code 3682"/>
    <n v="0"/>
    <n v="0"/>
    <n v="0"/>
    <n v="0"/>
    <n v="0"/>
    <n v="0"/>
    <n v="0"/>
    <n v="0"/>
    <n v="0"/>
    <n v="0"/>
    <n v="0"/>
    <x v="139"/>
    <x v="0"/>
    <x v="0"/>
    <x v="0"/>
  </r>
  <r>
    <s v="Description 3683"/>
    <s v="Code 3683"/>
    <n v="0"/>
    <n v="0"/>
    <n v="0"/>
    <n v="0"/>
    <n v="0"/>
    <n v="0"/>
    <n v="0"/>
    <n v="0"/>
    <n v="0"/>
    <n v="0"/>
    <n v="0"/>
    <x v="56"/>
    <x v="0"/>
    <x v="0"/>
    <x v="0"/>
  </r>
  <r>
    <s v="Description 3684"/>
    <s v="Code 3684"/>
    <n v="0"/>
    <n v="0"/>
    <n v="0"/>
    <n v="0"/>
    <n v="0"/>
    <n v="0"/>
    <n v="0"/>
    <n v="0"/>
    <n v="0"/>
    <n v="0"/>
    <n v="0"/>
    <x v="136"/>
    <x v="0"/>
    <x v="1"/>
    <x v="0"/>
  </r>
  <r>
    <s v="Description 3685"/>
    <s v="Code 3685"/>
    <n v="0"/>
    <n v="0"/>
    <n v="0"/>
    <n v="0"/>
    <n v="0"/>
    <n v="0"/>
    <n v="0"/>
    <n v="0"/>
    <n v="0"/>
    <n v="0"/>
    <n v="0"/>
    <x v="52"/>
    <x v="0"/>
    <x v="0"/>
    <x v="0"/>
  </r>
  <r>
    <s v="Description 3686"/>
    <s v="Code 3686"/>
    <n v="0"/>
    <n v="0"/>
    <n v="0"/>
    <n v="0"/>
    <n v="0"/>
    <n v="0"/>
    <n v="0"/>
    <n v="0"/>
    <n v="0"/>
    <n v="0"/>
    <n v="0"/>
    <x v="182"/>
    <x v="0"/>
    <x v="0"/>
    <x v="0"/>
  </r>
  <r>
    <s v="Description 3687"/>
    <s v="Code 3687"/>
    <n v="0"/>
    <n v="0"/>
    <n v="0"/>
    <n v="0"/>
    <n v="0"/>
    <n v="0"/>
    <n v="0"/>
    <n v="0"/>
    <n v="0"/>
    <n v="0"/>
    <n v="0"/>
    <x v="195"/>
    <x v="0"/>
    <x v="0"/>
    <x v="0"/>
  </r>
  <r>
    <s v="Description 3688"/>
    <s v="Code 3688"/>
    <n v="0"/>
    <n v="0"/>
    <n v="0"/>
    <n v="0"/>
    <n v="0"/>
    <n v="0"/>
    <n v="0"/>
    <n v="0"/>
    <n v="0"/>
    <n v="0"/>
    <n v="0"/>
    <x v="90"/>
    <x v="0"/>
    <x v="0"/>
    <x v="0"/>
  </r>
  <r>
    <s v="Description 3689"/>
    <s v="Code 3689"/>
    <n v="0"/>
    <n v="0"/>
    <n v="0"/>
    <n v="0"/>
    <n v="0"/>
    <n v="0"/>
    <n v="0"/>
    <n v="0"/>
    <n v="0"/>
    <n v="0"/>
    <n v="0"/>
    <x v="83"/>
    <x v="0"/>
    <x v="0"/>
    <x v="0"/>
  </r>
  <r>
    <s v="Description 3690"/>
    <s v="Code 3690"/>
    <n v="0"/>
    <n v="0"/>
    <n v="0"/>
    <n v="0"/>
    <n v="0"/>
    <n v="0"/>
    <n v="0"/>
    <n v="0"/>
    <n v="0"/>
    <n v="0"/>
    <n v="0"/>
    <x v="48"/>
    <x v="0"/>
    <x v="0"/>
    <x v="0"/>
  </r>
  <r>
    <s v="Description 3691"/>
    <s v="Code 3691"/>
    <n v="0"/>
    <n v="0"/>
    <n v="0"/>
    <n v="0"/>
    <n v="0"/>
    <n v="0"/>
    <n v="0"/>
    <n v="0"/>
    <n v="0"/>
    <n v="0"/>
    <n v="0"/>
    <x v="148"/>
    <x v="0"/>
    <x v="0"/>
    <x v="0"/>
  </r>
  <r>
    <s v="Description 3692"/>
    <s v="Code 3692"/>
    <n v="0"/>
    <n v="0"/>
    <n v="0"/>
    <n v="0"/>
    <n v="0"/>
    <n v="0"/>
    <n v="0"/>
    <n v="0"/>
    <n v="0"/>
    <n v="0"/>
    <n v="0"/>
    <x v="113"/>
    <x v="0"/>
    <x v="0"/>
    <x v="0"/>
  </r>
  <r>
    <s v="Description 3693"/>
    <s v="Code 3693"/>
    <n v="0"/>
    <n v="0"/>
    <n v="0"/>
    <n v="0"/>
    <n v="0"/>
    <n v="0"/>
    <n v="0"/>
    <n v="0"/>
    <n v="0"/>
    <n v="0"/>
    <n v="0"/>
    <x v="136"/>
    <x v="0"/>
    <x v="1"/>
    <x v="0"/>
  </r>
  <r>
    <s v="Description 3694"/>
    <s v="Code 3694"/>
    <n v="0"/>
    <n v="0"/>
    <n v="0"/>
    <n v="0"/>
    <n v="0"/>
    <n v="0"/>
    <n v="0"/>
    <n v="0"/>
    <n v="0"/>
    <n v="0"/>
    <n v="0"/>
    <x v="48"/>
    <x v="0"/>
    <x v="0"/>
    <x v="0"/>
  </r>
  <r>
    <s v="Description 3695"/>
    <s v="Code 3695"/>
    <n v="0"/>
    <n v="0"/>
    <n v="0"/>
    <n v="0"/>
    <n v="0"/>
    <n v="0"/>
    <n v="0"/>
    <n v="0"/>
    <n v="0"/>
    <n v="0"/>
    <n v="0"/>
    <x v="72"/>
    <x v="0"/>
    <x v="0"/>
    <x v="0"/>
  </r>
  <r>
    <s v="Description 3696"/>
    <s v="Code 3696"/>
    <n v="0"/>
    <n v="0"/>
    <n v="0"/>
    <n v="0"/>
    <n v="0"/>
    <n v="0"/>
    <n v="0"/>
    <n v="0"/>
    <n v="0"/>
    <n v="0"/>
    <n v="0"/>
    <x v="190"/>
    <x v="0"/>
    <x v="0"/>
    <x v="0"/>
  </r>
  <r>
    <s v="Description 3697"/>
    <s v="Code 3697"/>
    <n v="0"/>
    <n v="0"/>
    <n v="0"/>
    <n v="0"/>
    <n v="0"/>
    <n v="0"/>
    <n v="0"/>
    <n v="0"/>
    <n v="0"/>
    <n v="0"/>
    <n v="0"/>
    <x v="162"/>
    <x v="0"/>
    <x v="0"/>
    <x v="0"/>
  </r>
  <r>
    <s v="Description 3698"/>
    <s v="Code 3698"/>
    <n v="0"/>
    <n v="0"/>
    <n v="0"/>
    <n v="0"/>
    <n v="0"/>
    <n v="0"/>
    <n v="0"/>
    <n v="0"/>
    <n v="0"/>
    <n v="0"/>
    <n v="0"/>
    <x v="15"/>
    <x v="0"/>
    <x v="0"/>
    <x v="0"/>
  </r>
  <r>
    <s v="Description 3699"/>
    <s v="Code 3699"/>
    <n v="0"/>
    <n v="0"/>
    <n v="0"/>
    <n v="0"/>
    <n v="0"/>
    <n v="0"/>
    <n v="0"/>
    <n v="0"/>
    <n v="0"/>
    <n v="0"/>
    <n v="0"/>
    <x v="9"/>
    <x v="0"/>
    <x v="0"/>
    <x v="0"/>
  </r>
  <r>
    <s v="Description 3700"/>
    <s v="Code 3700"/>
    <n v="0"/>
    <n v="0"/>
    <n v="0"/>
    <n v="0"/>
    <n v="0"/>
    <n v="0"/>
    <n v="0"/>
    <n v="0"/>
    <n v="0"/>
    <n v="0"/>
    <n v="0"/>
    <x v="126"/>
    <x v="0"/>
    <x v="0"/>
    <x v="0"/>
  </r>
  <r>
    <s v="Description 3701"/>
    <s v="Code 3701"/>
    <n v="0"/>
    <n v="0"/>
    <n v="0"/>
    <n v="0"/>
    <n v="0"/>
    <n v="0"/>
    <n v="0"/>
    <n v="0"/>
    <n v="0"/>
    <n v="0"/>
    <n v="0"/>
    <x v="31"/>
    <x v="0"/>
    <x v="0"/>
    <x v="0"/>
  </r>
  <r>
    <s v="Description 3702"/>
    <s v="Code 3702"/>
    <n v="0"/>
    <n v="0"/>
    <n v="0"/>
    <n v="0"/>
    <n v="0"/>
    <n v="0"/>
    <n v="0"/>
    <n v="0"/>
    <n v="0"/>
    <n v="0"/>
    <n v="0"/>
    <x v="122"/>
    <x v="0"/>
    <x v="0"/>
    <x v="0"/>
  </r>
  <r>
    <s v="Description 3703"/>
    <s v="Code 3703"/>
    <n v="0"/>
    <n v="0"/>
    <n v="0"/>
    <n v="0"/>
    <n v="0"/>
    <n v="0"/>
    <n v="0"/>
    <n v="0"/>
    <n v="0"/>
    <n v="0"/>
    <n v="0"/>
    <x v="80"/>
    <x v="0"/>
    <x v="0"/>
    <x v="0"/>
  </r>
  <r>
    <s v="Description 3704"/>
    <s v="Code 3704"/>
    <n v="0"/>
    <n v="0"/>
    <n v="0"/>
    <n v="0"/>
    <n v="0"/>
    <n v="0"/>
    <n v="0"/>
    <n v="0"/>
    <n v="0"/>
    <n v="0"/>
    <n v="0"/>
    <x v="174"/>
    <x v="0"/>
    <x v="0"/>
    <x v="0"/>
  </r>
  <r>
    <s v="Description 3705"/>
    <s v="Code 3705"/>
    <n v="0"/>
    <n v="0"/>
    <n v="0"/>
    <n v="0"/>
    <n v="0"/>
    <n v="0"/>
    <n v="0"/>
    <n v="0"/>
    <n v="0"/>
    <n v="0"/>
    <n v="0"/>
    <x v="89"/>
    <x v="0"/>
    <x v="1"/>
    <x v="0"/>
  </r>
  <r>
    <s v="Description 3706"/>
    <s v="Code 3706"/>
    <n v="0"/>
    <n v="0"/>
    <n v="0"/>
    <n v="0"/>
    <n v="0"/>
    <n v="0"/>
    <n v="0"/>
    <n v="0"/>
    <n v="0"/>
    <n v="0"/>
    <n v="0"/>
    <x v="76"/>
    <x v="0"/>
    <x v="1"/>
    <x v="0"/>
  </r>
  <r>
    <s v="Description 3707"/>
    <s v="Code 3707"/>
    <n v="0"/>
    <n v="0"/>
    <n v="0"/>
    <n v="0"/>
    <n v="0"/>
    <n v="0"/>
    <n v="0"/>
    <n v="0"/>
    <n v="0"/>
    <n v="0"/>
    <n v="0"/>
    <x v="152"/>
    <x v="0"/>
    <x v="0"/>
    <x v="0"/>
  </r>
  <r>
    <s v="Description 3708"/>
    <s v="Code 3708"/>
    <n v="0"/>
    <n v="0"/>
    <n v="0"/>
    <n v="0"/>
    <n v="0"/>
    <n v="0"/>
    <n v="0"/>
    <n v="0"/>
    <n v="0"/>
    <n v="0"/>
    <n v="0"/>
    <x v="134"/>
    <x v="0"/>
    <x v="0"/>
    <x v="0"/>
  </r>
  <r>
    <s v="Description 3709"/>
    <s v="Code 3709"/>
    <n v="0"/>
    <n v="0"/>
    <n v="0"/>
    <n v="0"/>
    <n v="0"/>
    <n v="0"/>
    <n v="0"/>
    <n v="0"/>
    <n v="0"/>
    <n v="0"/>
    <n v="0"/>
    <x v="128"/>
    <x v="0"/>
    <x v="0"/>
    <x v="0"/>
  </r>
  <r>
    <s v="Description 3710"/>
    <s v="Code 3710"/>
    <n v="0"/>
    <n v="0"/>
    <n v="0"/>
    <n v="0"/>
    <n v="0"/>
    <n v="0"/>
    <n v="0"/>
    <n v="0"/>
    <n v="0"/>
    <n v="0"/>
    <n v="0"/>
    <x v="30"/>
    <x v="0"/>
    <x v="0"/>
    <x v="0"/>
  </r>
  <r>
    <s v="Description 3711"/>
    <s v="Code 3711"/>
    <n v="0"/>
    <n v="0"/>
    <n v="0"/>
    <n v="0"/>
    <n v="0"/>
    <n v="0"/>
    <n v="0"/>
    <n v="0"/>
    <n v="0"/>
    <n v="0"/>
    <n v="0"/>
    <x v="195"/>
    <x v="0"/>
    <x v="0"/>
    <x v="0"/>
  </r>
  <r>
    <s v="Description 3712"/>
    <s v="Code 3712"/>
    <n v="0"/>
    <n v="0"/>
    <n v="0"/>
    <n v="0"/>
    <n v="0"/>
    <n v="0"/>
    <n v="0"/>
    <n v="0"/>
    <n v="0"/>
    <n v="0"/>
    <n v="0"/>
    <x v="8"/>
    <x v="0"/>
    <x v="0"/>
    <x v="0"/>
  </r>
  <r>
    <s v="Description 3713"/>
    <s v="Code 3713"/>
    <n v="0"/>
    <n v="0"/>
    <n v="0"/>
    <n v="0"/>
    <n v="0"/>
    <n v="0"/>
    <n v="0"/>
    <n v="0"/>
    <n v="0"/>
    <n v="0"/>
    <n v="0"/>
    <x v="83"/>
    <x v="0"/>
    <x v="0"/>
    <x v="0"/>
  </r>
  <r>
    <s v="Description 3714"/>
    <s v="Code 3714"/>
    <n v="0"/>
    <n v="0"/>
    <n v="0"/>
    <n v="0"/>
    <n v="0"/>
    <n v="0"/>
    <n v="0"/>
    <n v="0"/>
    <n v="0"/>
    <n v="0"/>
    <n v="0"/>
    <x v="42"/>
    <x v="0"/>
    <x v="1"/>
    <x v="0"/>
  </r>
  <r>
    <s v="Description 3715"/>
    <s v="Code 3715"/>
    <n v="0"/>
    <n v="0"/>
    <n v="0"/>
    <n v="0"/>
    <n v="0"/>
    <n v="0"/>
    <n v="0"/>
    <n v="0"/>
    <n v="0"/>
    <n v="0"/>
    <n v="0"/>
    <x v="83"/>
    <x v="0"/>
    <x v="0"/>
    <x v="0"/>
  </r>
  <r>
    <s v="Description 3716"/>
    <s v="Code 3716"/>
    <n v="0"/>
    <n v="0"/>
    <n v="0"/>
    <n v="0"/>
    <n v="0"/>
    <n v="0"/>
    <n v="0"/>
    <n v="0"/>
    <n v="0"/>
    <n v="0"/>
    <n v="0"/>
    <x v="92"/>
    <x v="0"/>
    <x v="0"/>
    <x v="0"/>
  </r>
  <r>
    <s v="Description 3717"/>
    <s v="Code 3717"/>
    <n v="0"/>
    <n v="0"/>
    <n v="0"/>
    <n v="0"/>
    <n v="0"/>
    <n v="0"/>
    <n v="0"/>
    <n v="0"/>
    <n v="0"/>
    <n v="0"/>
    <n v="0"/>
    <x v="174"/>
    <x v="0"/>
    <x v="0"/>
    <x v="0"/>
  </r>
  <r>
    <s v="Description 3718"/>
    <s v="Code 3718"/>
    <n v="0"/>
    <n v="0"/>
    <n v="0"/>
    <n v="0"/>
    <n v="0"/>
    <n v="0"/>
    <n v="0"/>
    <n v="0"/>
    <n v="0"/>
    <n v="0"/>
    <n v="0"/>
    <x v="194"/>
    <x v="0"/>
    <x v="0"/>
    <x v="0"/>
  </r>
  <r>
    <s v="Description 3719"/>
    <s v="Code 3719"/>
    <n v="0"/>
    <n v="0"/>
    <n v="0"/>
    <n v="0"/>
    <n v="0"/>
    <n v="0"/>
    <n v="0"/>
    <n v="0"/>
    <n v="0"/>
    <n v="0"/>
    <n v="0"/>
    <x v="141"/>
    <x v="0"/>
    <x v="0"/>
    <x v="0"/>
  </r>
  <r>
    <s v="Description 3720"/>
    <s v="Code 3720"/>
    <n v="0"/>
    <n v="0"/>
    <n v="0"/>
    <n v="0"/>
    <n v="0"/>
    <n v="0"/>
    <n v="0"/>
    <n v="0"/>
    <n v="0"/>
    <n v="0"/>
    <n v="0"/>
    <x v="132"/>
    <x v="0"/>
    <x v="0"/>
    <x v="0"/>
  </r>
  <r>
    <s v="Description 3721"/>
    <s v="Code 3721"/>
    <n v="0"/>
    <n v="0"/>
    <n v="0"/>
    <n v="0"/>
    <n v="0"/>
    <n v="0"/>
    <n v="0"/>
    <n v="0"/>
    <n v="0"/>
    <n v="0"/>
    <n v="0"/>
    <x v="188"/>
    <x v="0"/>
    <x v="0"/>
    <x v="0"/>
  </r>
  <r>
    <s v="Description 3722"/>
    <s v="Code 3722"/>
    <n v="0"/>
    <n v="0"/>
    <n v="0"/>
    <n v="0"/>
    <n v="0"/>
    <n v="0"/>
    <n v="0"/>
    <n v="0"/>
    <n v="0"/>
    <n v="0"/>
    <n v="0"/>
    <x v="68"/>
    <x v="0"/>
    <x v="0"/>
    <x v="0"/>
  </r>
  <r>
    <s v="Description 3723"/>
    <s v="Code 3723"/>
    <n v="0"/>
    <n v="0"/>
    <n v="0"/>
    <n v="0"/>
    <n v="0"/>
    <n v="0"/>
    <n v="0"/>
    <n v="0"/>
    <n v="0"/>
    <n v="0"/>
    <n v="0"/>
    <x v="55"/>
    <x v="0"/>
    <x v="0"/>
    <x v="0"/>
  </r>
  <r>
    <s v="Description 3724"/>
    <s v="Code 3724"/>
    <n v="0"/>
    <n v="0"/>
    <n v="0"/>
    <n v="0"/>
    <n v="0"/>
    <n v="0"/>
    <n v="0"/>
    <n v="0"/>
    <n v="0"/>
    <n v="0"/>
    <n v="0"/>
    <x v="120"/>
    <x v="0"/>
    <x v="0"/>
    <x v="0"/>
  </r>
  <r>
    <s v="Description 3725"/>
    <s v="Code 3725"/>
    <n v="0"/>
    <n v="0"/>
    <n v="0"/>
    <n v="0"/>
    <n v="0"/>
    <n v="0"/>
    <n v="0"/>
    <n v="0"/>
    <n v="0"/>
    <n v="0"/>
    <n v="0"/>
    <x v="167"/>
    <x v="0"/>
    <x v="0"/>
    <x v="0"/>
  </r>
  <r>
    <s v="Description 3726"/>
    <s v="Code 3726"/>
    <n v="0"/>
    <n v="0"/>
    <n v="0"/>
    <n v="0"/>
    <n v="0"/>
    <n v="0"/>
    <n v="0"/>
    <n v="0"/>
    <n v="0"/>
    <n v="0"/>
    <n v="0"/>
    <x v="182"/>
    <x v="0"/>
    <x v="0"/>
    <x v="0"/>
  </r>
  <r>
    <s v="Description 3727"/>
    <s v="Code 3727"/>
    <n v="0"/>
    <n v="0"/>
    <n v="0"/>
    <n v="0"/>
    <n v="0"/>
    <n v="0"/>
    <n v="0"/>
    <n v="0"/>
    <n v="0"/>
    <n v="0"/>
    <n v="0"/>
    <x v="190"/>
    <x v="0"/>
    <x v="0"/>
    <x v="0"/>
  </r>
  <r>
    <s v="Description 3728"/>
    <s v="Code 3728"/>
    <n v="0"/>
    <n v="0"/>
    <n v="0"/>
    <n v="0"/>
    <n v="0"/>
    <n v="0"/>
    <n v="0"/>
    <n v="0"/>
    <n v="0"/>
    <n v="0"/>
    <n v="0"/>
    <x v="125"/>
    <x v="0"/>
    <x v="0"/>
    <x v="0"/>
  </r>
  <r>
    <s v="Description 3729"/>
    <s v="Code 3729"/>
    <n v="0"/>
    <n v="0"/>
    <n v="0"/>
    <n v="0"/>
    <n v="0"/>
    <n v="0"/>
    <n v="0"/>
    <n v="0"/>
    <n v="0"/>
    <n v="0"/>
    <n v="0"/>
    <x v="59"/>
    <x v="0"/>
    <x v="0"/>
    <x v="0"/>
  </r>
  <r>
    <s v="Description 3730"/>
    <s v="Code 3730"/>
    <n v="0"/>
    <n v="0"/>
    <n v="0"/>
    <n v="0"/>
    <n v="0"/>
    <n v="0"/>
    <n v="0"/>
    <n v="0"/>
    <n v="0"/>
    <n v="0"/>
    <n v="0"/>
    <x v="160"/>
    <x v="0"/>
    <x v="0"/>
    <x v="0"/>
  </r>
  <r>
    <s v="Description 3731"/>
    <s v="Code 3731"/>
    <n v="0"/>
    <n v="0"/>
    <n v="0"/>
    <n v="0"/>
    <n v="0"/>
    <n v="0"/>
    <n v="0"/>
    <n v="0"/>
    <n v="0"/>
    <n v="0"/>
    <n v="0"/>
    <x v="46"/>
    <x v="0"/>
    <x v="0"/>
    <x v="0"/>
  </r>
  <r>
    <s v="Description 3732"/>
    <s v="Code 3732"/>
    <n v="0"/>
    <n v="0"/>
    <n v="0"/>
    <n v="0"/>
    <n v="0"/>
    <n v="0"/>
    <n v="0"/>
    <n v="0"/>
    <n v="0"/>
    <n v="0"/>
    <n v="0"/>
    <x v="5"/>
    <x v="0"/>
    <x v="0"/>
    <x v="0"/>
  </r>
  <r>
    <s v="Description 3733"/>
    <s v="Code 3733"/>
    <n v="0"/>
    <n v="0"/>
    <n v="0"/>
    <n v="0"/>
    <n v="0"/>
    <n v="0"/>
    <n v="0"/>
    <n v="0"/>
    <n v="0"/>
    <n v="0"/>
    <n v="0"/>
    <x v="26"/>
    <x v="0"/>
    <x v="1"/>
    <x v="0"/>
  </r>
  <r>
    <s v="Description 3734"/>
    <s v="Code 3734"/>
    <n v="0"/>
    <n v="0"/>
    <n v="0"/>
    <n v="0"/>
    <n v="0"/>
    <n v="0"/>
    <n v="0"/>
    <n v="0"/>
    <n v="0"/>
    <n v="0"/>
    <n v="0"/>
    <x v="159"/>
    <x v="0"/>
    <x v="0"/>
    <x v="0"/>
  </r>
  <r>
    <s v="Description 3735"/>
    <s v="Code 3735"/>
    <n v="0"/>
    <n v="0"/>
    <n v="0"/>
    <n v="0"/>
    <n v="0"/>
    <n v="0"/>
    <n v="0"/>
    <n v="0"/>
    <n v="0"/>
    <n v="0"/>
    <n v="0"/>
    <x v="145"/>
    <x v="0"/>
    <x v="0"/>
    <x v="0"/>
  </r>
  <r>
    <s v="Description 3736"/>
    <s v="Code 3736"/>
    <n v="0"/>
    <n v="0"/>
    <n v="0"/>
    <n v="0"/>
    <n v="0"/>
    <n v="0"/>
    <n v="0"/>
    <n v="0"/>
    <n v="0"/>
    <n v="0"/>
    <n v="0"/>
    <x v="10"/>
    <x v="0"/>
    <x v="0"/>
    <x v="0"/>
  </r>
  <r>
    <s v="Description 3737"/>
    <s v="Code 3737"/>
    <n v="0"/>
    <n v="0"/>
    <n v="0"/>
    <n v="0"/>
    <n v="0"/>
    <n v="0"/>
    <n v="0"/>
    <n v="0"/>
    <n v="0"/>
    <n v="0"/>
    <n v="0"/>
    <x v="97"/>
    <x v="0"/>
    <x v="0"/>
    <x v="0"/>
  </r>
  <r>
    <s v="Description 3738"/>
    <s v="Code 3738"/>
    <n v="0"/>
    <n v="0"/>
    <n v="0"/>
    <n v="0"/>
    <n v="0"/>
    <n v="0"/>
    <n v="0"/>
    <n v="0"/>
    <n v="0"/>
    <n v="0"/>
    <n v="0"/>
    <x v="103"/>
    <x v="0"/>
    <x v="0"/>
    <x v="0"/>
  </r>
  <r>
    <s v="Description 3739"/>
    <s v="Code 3739"/>
    <n v="0"/>
    <n v="0"/>
    <n v="0"/>
    <n v="0"/>
    <n v="0"/>
    <n v="0"/>
    <n v="0"/>
    <n v="0"/>
    <n v="0"/>
    <n v="0"/>
    <n v="0"/>
    <x v="63"/>
    <x v="0"/>
    <x v="0"/>
    <x v="0"/>
  </r>
  <r>
    <s v="Description 3740"/>
    <s v="Code 3740"/>
    <n v="0"/>
    <n v="0"/>
    <n v="0"/>
    <n v="0"/>
    <n v="0"/>
    <n v="0"/>
    <n v="0"/>
    <n v="0"/>
    <n v="0"/>
    <n v="0"/>
    <n v="0"/>
    <x v="78"/>
    <x v="0"/>
    <x v="0"/>
    <x v="0"/>
  </r>
  <r>
    <s v="Description 3741"/>
    <s v="Code 3741"/>
    <n v="0"/>
    <n v="0"/>
    <n v="0"/>
    <n v="0"/>
    <n v="0"/>
    <n v="0"/>
    <n v="0"/>
    <n v="0"/>
    <n v="0"/>
    <n v="0"/>
    <n v="0"/>
    <x v="143"/>
    <x v="0"/>
    <x v="0"/>
    <x v="0"/>
  </r>
  <r>
    <s v="Description 3742"/>
    <s v="Code 3742"/>
    <n v="0"/>
    <n v="0"/>
    <n v="0"/>
    <n v="0"/>
    <n v="0"/>
    <n v="0"/>
    <n v="0"/>
    <n v="0"/>
    <n v="0"/>
    <n v="0"/>
    <n v="0"/>
    <x v="55"/>
    <x v="0"/>
    <x v="0"/>
    <x v="0"/>
  </r>
  <r>
    <s v="Description 3743"/>
    <s v="Code 3743"/>
    <n v="0"/>
    <n v="0"/>
    <n v="0"/>
    <n v="0"/>
    <n v="0"/>
    <n v="0"/>
    <n v="0"/>
    <n v="0"/>
    <n v="0"/>
    <n v="0"/>
    <n v="0"/>
    <x v="54"/>
    <x v="0"/>
    <x v="0"/>
    <x v="0"/>
  </r>
  <r>
    <s v="Description 3744"/>
    <s v="Code 3744"/>
    <n v="0"/>
    <n v="0"/>
    <n v="0"/>
    <n v="0"/>
    <n v="0"/>
    <n v="0"/>
    <n v="0"/>
    <n v="0"/>
    <n v="0"/>
    <n v="0"/>
    <n v="0"/>
    <x v="14"/>
    <x v="0"/>
    <x v="0"/>
    <x v="0"/>
  </r>
  <r>
    <s v="Description 3745"/>
    <s v="Code 3745"/>
    <n v="0"/>
    <n v="0"/>
    <n v="0"/>
    <n v="0"/>
    <n v="0"/>
    <n v="0"/>
    <n v="0"/>
    <n v="0"/>
    <n v="0"/>
    <n v="0"/>
    <n v="0"/>
    <x v="64"/>
    <x v="0"/>
    <x v="0"/>
    <x v="0"/>
  </r>
  <r>
    <s v="Description 3746"/>
    <s v="Code 3746"/>
    <n v="0"/>
    <n v="0"/>
    <n v="0"/>
    <n v="0"/>
    <n v="0"/>
    <n v="0"/>
    <n v="0"/>
    <n v="0"/>
    <n v="0"/>
    <n v="0"/>
    <n v="0"/>
    <x v="12"/>
    <x v="0"/>
    <x v="0"/>
    <x v="0"/>
  </r>
  <r>
    <s v="Description 3747"/>
    <s v="Code 3747"/>
    <n v="0"/>
    <n v="0"/>
    <n v="0"/>
    <n v="0"/>
    <n v="0"/>
    <n v="0"/>
    <n v="0"/>
    <n v="0"/>
    <n v="0"/>
    <n v="0"/>
    <n v="0"/>
    <x v="168"/>
    <x v="0"/>
    <x v="0"/>
    <x v="0"/>
  </r>
  <r>
    <s v="Description 3748"/>
    <s v="Code 3748"/>
    <n v="0"/>
    <n v="0"/>
    <n v="0"/>
    <n v="0"/>
    <n v="0"/>
    <n v="0"/>
    <n v="0"/>
    <n v="0"/>
    <n v="0"/>
    <n v="0"/>
    <n v="0"/>
    <x v="94"/>
    <x v="0"/>
    <x v="0"/>
    <x v="0"/>
  </r>
  <r>
    <s v="Description 3749"/>
    <s v="Code 3749"/>
    <n v="0"/>
    <n v="0"/>
    <n v="0"/>
    <n v="0"/>
    <n v="0"/>
    <n v="0"/>
    <n v="0"/>
    <n v="0"/>
    <n v="0"/>
    <n v="0"/>
    <n v="0"/>
    <x v="119"/>
    <x v="0"/>
    <x v="1"/>
    <x v="0"/>
  </r>
  <r>
    <s v="Description 3750"/>
    <s v="Code 3750"/>
    <n v="0"/>
    <n v="0"/>
    <n v="0"/>
    <n v="0"/>
    <n v="0"/>
    <n v="0"/>
    <n v="0"/>
    <n v="0"/>
    <n v="0"/>
    <n v="0"/>
    <n v="0"/>
    <x v="96"/>
    <x v="0"/>
    <x v="0"/>
    <x v="0"/>
  </r>
  <r>
    <s v="Description 3751"/>
    <s v="Code 3751"/>
    <n v="0"/>
    <n v="0"/>
    <n v="0"/>
    <n v="0"/>
    <n v="0"/>
    <n v="0"/>
    <n v="0"/>
    <n v="0"/>
    <n v="0"/>
    <n v="0"/>
    <n v="0"/>
    <x v="189"/>
    <x v="0"/>
    <x v="0"/>
    <x v="0"/>
  </r>
  <r>
    <s v="Description 3752"/>
    <s v="Code 3752"/>
    <n v="0"/>
    <n v="0"/>
    <n v="0"/>
    <n v="0"/>
    <n v="0"/>
    <n v="0"/>
    <n v="0"/>
    <n v="0"/>
    <n v="0"/>
    <n v="0"/>
    <n v="0"/>
    <x v="19"/>
    <x v="0"/>
    <x v="0"/>
    <x v="0"/>
  </r>
  <r>
    <s v="Description 3753"/>
    <s v="Code 3753"/>
    <n v="0"/>
    <n v="0"/>
    <n v="0"/>
    <n v="0"/>
    <n v="0"/>
    <n v="0"/>
    <n v="0"/>
    <n v="0"/>
    <n v="0"/>
    <n v="0"/>
    <n v="0"/>
    <x v="41"/>
    <x v="0"/>
    <x v="0"/>
    <x v="0"/>
  </r>
  <r>
    <s v="Description 3754"/>
    <s v="Code 3754"/>
    <n v="0"/>
    <n v="0"/>
    <n v="0"/>
    <n v="0"/>
    <n v="0"/>
    <n v="0"/>
    <n v="0"/>
    <n v="0"/>
    <n v="0"/>
    <n v="0"/>
    <n v="0"/>
    <x v="3"/>
    <x v="0"/>
    <x v="0"/>
    <x v="0"/>
  </r>
  <r>
    <s v="Description 3755"/>
    <s v="Code 3755"/>
    <n v="0"/>
    <n v="0"/>
    <n v="0"/>
    <n v="0"/>
    <n v="0"/>
    <n v="0"/>
    <n v="0"/>
    <n v="0"/>
    <n v="0"/>
    <n v="0"/>
    <n v="0"/>
    <x v="118"/>
    <x v="0"/>
    <x v="0"/>
    <x v="0"/>
  </r>
  <r>
    <s v="Description 3756"/>
    <s v="Code 3756"/>
    <n v="0"/>
    <n v="0"/>
    <n v="0"/>
    <n v="0"/>
    <n v="0"/>
    <n v="0"/>
    <n v="0"/>
    <n v="0"/>
    <n v="0"/>
    <n v="0"/>
    <n v="0"/>
    <x v="105"/>
    <x v="0"/>
    <x v="1"/>
    <x v="0"/>
  </r>
  <r>
    <s v="Description 3757"/>
    <s v="Code 3757"/>
    <n v="0"/>
    <n v="0"/>
    <n v="0"/>
    <n v="0"/>
    <n v="0"/>
    <n v="0"/>
    <n v="0"/>
    <n v="0"/>
    <n v="0"/>
    <n v="0"/>
    <n v="0"/>
    <x v="58"/>
    <x v="0"/>
    <x v="0"/>
    <x v="0"/>
  </r>
  <r>
    <s v="Description 3758"/>
    <s v="Code 3758"/>
    <n v="0"/>
    <n v="0"/>
    <n v="0"/>
    <n v="0"/>
    <n v="0"/>
    <n v="0"/>
    <n v="0"/>
    <n v="0"/>
    <n v="0"/>
    <n v="0"/>
    <n v="0"/>
    <x v="89"/>
    <x v="0"/>
    <x v="1"/>
    <x v="0"/>
  </r>
  <r>
    <s v="Description 3759"/>
    <s v="Code 3759"/>
    <n v="0"/>
    <n v="0"/>
    <n v="0"/>
    <n v="0"/>
    <n v="0"/>
    <n v="0"/>
    <n v="0"/>
    <n v="0"/>
    <n v="0"/>
    <n v="0"/>
    <n v="0"/>
    <x v="179"/>
    <x v="0"/>
    <x v="0"/>
    <x v="0"/>
  </r>
  <r>
    <s v="Description 3760"/>
    <s v="Code 3760"/>
    <n v="0"/>
    <n v="0"/>
    <n v="0"/>
    <n v="0"/>
    <n v="0"/>
    <n v="0"/>
    <n v="0"/>
    <n v="0"/>
    <n v="0"/>
    <n v="0"/>
    <n v="0"/>
    <x v="71"/>
    <x v="0"/>
    <x v="0"/>
    <x v="0"/>
  </r>
  <r>
    <s v="Description 3761"/>
    <s v="Code 3761"/>
    <n v="0"/>
    <n v="0"/>
    <n v="0"/>
    <n v="0"/>
    <n v="0"/>
    <n v="0"/>
    <n v="0"/>
    <n v="0"/>
    <n v="0"/>
    <n v="0"/>
    <n v="0"/>
    <x v="196"/>
    <x v="0"/>
    <x v="0"/>
    <x v="0"/>
  </r>
  <r>
    <s v="Description 3762"/>
    <s v="Code 3762"/>
    <n v="0"/>
    <n v="0"/>
    <n v="0"/>
    <n v="0"/>
    <n v="0"/>
    <n v="0"/>
    <n v="0"/>
    <n v="0"/>
    <n v="0"/>
    <n v="0"/>
    <n v="0"/>
    <x v="152"/>
    <x v="0"/>
    <x v="0"/>
    <x v="0"/>
  </r>
  <r>
    <s v="Description 3763"/>
    <s v="Code 3763"/>
    <n v="0"/>
    <n v="0"/>
    <n v="0"/>
    <n v="0"/>
    <n v="0"/>
    <n v="0"/>
    <n v="0"/>
    <n v="0"/>
    <n v="0"/>
    <n v="0"/>
    <n v="0"/>
    <x v="191"/>
    <x v="0"/>
    <x v="0"/>
    <x v="0"/>
  </r>
  <r>
    <s v="Description 3764"/>
    <s v="Code 3764"/>
    <n v="0"/>
    <n v="0"/>
    <n v="0"/>
    <n v="0"/>
    <n v="0"/>
    <n v="0"/>
    <n v="0"/>
    <n v="0"/>
    <n v="0"/>
    <n v="0"/>
    <n v="0"/>
    <x v="29"/>
    <x v="0"/>
    <x v="0"/>
    <x v="0"/>
  </r>
  <r>
    <s v="Description 3765"/>
    <s v="Code 3765"/>
    <n v="0"/>
    <n v="0"/>
    <n v="0"/>
    <n v="0"/>
    <n v="0"/>
    <n v="0"/>
    <n v="0"/>
    <n v="0"/>
    <n v="0"/>
    <n v="0"/>
    <n v="0"/>
    <x v="191"/>
    <x v="0"/>
    <x v="0"/>
    <x v="0"/>
  </r>
  <r>
    <s v="Description 3766"/>
    <s v="Code 3766"/>
    <n v="0"/>
    <n v="0"/>
    <n v="0"/>
    <n v="0"/>
    <n v="0"/>
    <n v="0"/>
    <n v="0"/>
    <n v="0"/>
    <n v="0"/>
    <n v="0"/>
    <n v="0"/>
    <x v="131"/>
    <x v="0"/>
    <x v="0"/>
    <x v="0"/>
  </r>
  <r>
    <s v="Description 3767"/>
    <s v="Code 3767"/>
    <n v="0"/>
    <n v="0"/>
    <n v="0"/>
    <n v="0"/>
    <n v="0"/>
    <n v="0"/>
    <n v="0"/>
    <n v="0"/>
    <n v="0"/>
    <n v="0"/>
    <n v="0"/>
    <x v="142"/>
    <x v="0"/>
    <x v="0"/>
    <x v="0"/>
  </r>
  <r>
    <s v="Description 3768"/>
    <s v="Code 3768"/>
    <n v="0"/>
    <n v="0"/>
    <n v="0"/>
    <n v="0"/>
    <n v="0"/>
    <n v="0"/>
    <n v="0"/>
    <n v="0"/>
    <n v="0"/>
    <n v="0"/>
    <n v="0"/>
    <x v="54"/>
    <x v="0"/>
    <x v="0"/>
    <x v="0"/>
  </r>
  <r>
    <s v="Description 3769"/>
    <s v="Code 3769"/>
    <n v="0"/>
    <n v="0"/>
    <n v="0"/>
    <n v="0"/>
    <n v="0"/>
    <n v="0"/>
    <n v="0"/>
    <n v="0"/>
    <n v="0"/>
    <n v="0"/>
    <n v="0"/>
    <x v="38"/>
    <x v="0"/>
    <x v="0"/>
    <x v="0"/>
  </r>
  <r>
    <s v="Description 3770"/>
    <s v="Code 3770"/>
    <n v="0"/>
    <n v="0"/>
    <n v="0"/>
    <n v="0"/>
    <n v="0"/>
    <n v="0"/>
    <n v="0"/>
    <n v="0"/>
    <n v="0"/>
    <n v="0"/>
    <n v="0"/>
    <x v="100"/>
    <x v="0"/>
    <x v="0"/>
    <x v="0"/>
  </r>
  <r>
    <s v="Description 3771"/>
    <s v="Code 3771"/>
    <n v="0"/>
    <n v="0"/>
    <n v="0"/>
    <n v="0"/>
    <n v="0"/>
    <n v="0"/>
    <n v="0"/>
    <n v="0"/>
    <n v="0"/>
    <n v="0"/>
    <n v="0"/>
    <x v="97"/>
    <x v="0"/>
    <x v="0"/>
    <x v="0"/>
  </r>
  <r>
    <s v="Description 3772"/>
    <s v="Code 3772"/>
    <n v="0"/>
    <n v="0"/>
    <n v="0"/>
    <n v="0"/>
    <n v="0"/>
    <n v="0"/>
    <n v="0"/>
    <n v="0"/>
    <n v="0"/>
    <n v="0"/>
    <n v="0"/>
    <x v="172"/>
    <x v="0"/>
    <x v="0"/>
    <x v="0"/>
  </r>
  <r>
    <s v="Description 3773"/>
    <s v="Code 3773"/>
    <n v="0"/>
    <n v="0"/>
    <n v="0"/>
    <n v="0"/>
    <n v="0"/>
    <n v="0"/>
    <n v="0"/>
    <n v="0"/>
    <n v="0"/>
    <n v="0"/>
    <n v="0"/>
    <x v="69"/>
    <x v="0"/>
    <x v="0"/>
    <x v="0"/>
  </r>
  <r>
    <s v="Description 3774"/>
    <s v="Code 3774"/>
    <n v="0"/>
    <n v="0"/>
    <n v="0"/>
    <n v="0"/>
    <n v="0"/>
    <n v="0"/>
    <n v="0"/>
    <n v="0"/>
    <n v="0"/>
    <n v="0"/>
    <n v="0"/>
    <x v="117"/>
    <x v="0"/>
    <x v="0"/>
    <x v="0"/>
  </r>
  <r>
    <s v="Description 3775"/>
    <s v="Code 3775"/>
    <n v="0"/>
    <n v="0"/>
    <n v="0"/>
    <n v="0"/>
    <n v="0"/>
    <n v="0"/>
    <n v="0"/>
    <n v="0"/>
    <n v="0"/>
    <n v="0"/>
    <n v="0"/>
    <x v="189"/>
    <x v="0"/>
    <x v="0"/>
    <x v="0"/>
  </r>
  <r>
    <s v="Description 3776"/>
    <s v="Code 3776"/>
    <n v="0"/>
    <n v="0"/>
    <n v="0"/>
    <n v="0"/>
    <n v="0"/>
    <n v="0"/>
    <n v="0"/>
    <n v="0"/>
    <n v="0"/>
    <n v="0"/>
    <n v="0"/>
    <x v="143"/>
    <x v="0"/>
    <x v="0"/>
    <x v="0"/>
  </r>
  <r>
    <s v="Description 3777"/>
    <s v="Code 3777"/>
    <n v="0"/>
    <n v="0"/>
    <n v="0"/>
    <n v="0"/>
    <n v="0"/>
    <n v="0"/>
    <n v="0"/>
    <n v="0"/>
    <n v="0"/>
    <n v="0"/>
    <n v="0"/>
    <x v="110"/>
    <x v="0"/>
    <x v="0"/>
    <x v="0"/>
  </r>
  <r>
    <s v="Description 3778"/>
    <s v="Code 3778"/>
    <n v="0"/>
    <n v="0"/>
    <n v="0"/>
    <n v="0"/>
    <n v="0"/>
    <n v="0"/>
    <n v="0"/>
    <n v="0"/>
    <n v="0"/>
    <n v="0"/>
    <n v="0"/>
    <x v="104"/>
    <x v="0"/>
    <x v="0"/>
    <x v="0"/>
  </r>
  <r>
    <s v="Description 3779"/>
    <s v="Code 3779"/>
    <n v="0"/>
    <n v="0"/>
    <n v="0"/>
    <n v="0"/>
    <n v="0"/>
    <n v="0"/>
    <n v="0"/>
    <n v="0"/>
    <n v="0"/>
    <n v="0"/>
    <n v="0"/>
    <x v="113"/>
    <x v="0"/>
    <x v="0"/>
    <x v="0"/>
  </r>
  <r>
    <s v="Description 3780"/>
    <s v="Code 3780"/>
    <n v="0"/>
    <n v="0"/>
    <n v="0"/>
    <n v="0"/>
    <n v="0"/>
    <n v="0"/>
    <n v="0"/>
    <n v="0"/>
    <n v="0"/>
    <n v="0"/>
    <n v="0"/>
    <x v="79"/>
    <x v="0"/>
    <x v="0"/>
    <x v="0"/>
  </r>
  <r>
    <s v="Description 3781"/>
    <s v="Code 3781"/>
    <n v="0"/>
    <n v="0"/>
    <n v="0"/>
    <n v="0"/>
    <n v="0"/>
    <n v="0"/>
    <n v="0"/>
    <n v="0"/>
    <n v="0"/>
    <n v="0"/>
    <n v="0"/>
    <x v="170"/>
    <x v="0"/>
    <x v="0"/>
    <x v="0"/>
  </r>
  <r>
    <s v="Description 3782"/>
    <s v="Code 3782"/>
    <n v="0"/>
    <n v="0"/>
    <n v="0"/>
    <n v="0"/>
    <n v="0"/>
    <n v="0"/>
    <n v="0"/>
    <n v="0"/>
    <n v="0"/>
    <n v="0"/>
    <n v="0"/>
    <x v="101"/>
    <x v="0"/>
    <x v="0"/>
    <x v="0"/>
  </r>
  <r>
    <s v="Description 3783"/>
    <s v="Code 3783"/>
    <n v="0"/>
    <n v="0"/>
    <n v="0"/>
    <n v="0"/>
    <n v="0"/>
    <n v="0"/>
    <n v="0"/>
    <n v="0"/>
    <n v="0"/>
    <n v="0"/>
    <n v="0"/>
    <x v="32"/>
    <x v="0"/>
    <x v="0"/>
    <x v="0"/>
  </r>
  <r>
    <s v="Description 3784"/>
    <s v="Code 3784"/>
    <n v="0"/>
    <n v="0"/>
    <n v="0"/>
    <n v="0"/>
    <n v="0"/>
    <n v="0"/>
    <n v="0"/>
    <n v="0"/>
    <n v="0"/>
    <n v="0"/>
    <n v="0"/>
    <x v="103"/>
    <x v="0"/>
    <x v="0"/>
    <x v="0"/>
  </r>
  <r>
    <s v="Description 3785"/>
    <s v="Code 3785"/>
    <n v="0"/>
    <n v="0"/>
    <n v="0"/>
    <n v="0"/>
    <n v="0"/>
    <n v="0"/>
    <n v="0"/>
    <n v="0"/>
    <n v="0"/>
    <n v="0"/>
    <n v="0"/>
    <x v="143"/>
    <x v="0"/>
    <x v="0"/>
    <x v="0"/>
  </r>
  <r>
    <s v="Description 3786"/>
    <s v="Code 3786"/>
    <n v="0"/>
    <n v="0"/>
    <n v="0"/>
    <n v="0"/>
    <n v="0"/>
    <n v="0"/>
    <n v="0"/>
    <n v="0"/>
    <n v="0"/>
    <n v="0"/>
    <n v="0"/>
    <x v="193"/>
    <x v="0"/>
    <x v="0"/>
    <x v="0"/>
  </r>
  <r>
    <s v="Description 3787"/>
    <s v="Code 3787"/>
    <n v="0"/>
    <n v="0"/>
    <n v="0"/>
    <n v="0"/>
    <n v="0"/>
    <n v="0"/>
    <n v="0"/>
    <n v="0"/>
    <n v="0"/>
    <n v="0"/>
    <n v="0"/>
    <x v="33"/>
    <x v="0"/>
    <x v="0"/>
    <x v="0"/>
  </r>
  <r>
    <s v="Description 3788"/>
    <s v="Code 3788"/>
    <n v="0"/>
    <n v="0"/>
    <n v="0"/>
    <n v="0"/>
    <n v="0"/>
    <n v="0"/>
    <n v="0"/>
    <n v="0"/>
    <n v="0"/>
    <n v="0"/>
    <n v="0"/>
    <x v="133"/>
    <x v="0"/>
    <x v="0"/>
    <x v="0"/>
  </r>
  <r>
    <s v="Description 3789"/>
    <s v="Code 3789"/>
    <n v="0"/>
    <n v="0"/>
    <n v="0"/>
    <n v="0"/>
    <n v="0"/>
    <n v="0"/>
    <n v="0"/>
    <n v="0"/>
    <n v="0"/>
    <n v="0"/>
    <n v="0"/>
    <x v="135"/>
    <x v="0"/>
    <x v="0"/>
    <x v="0"/>
  </r>
  <r>
    <s v="Description 3790"/>
    <s v="Code 3790"/>
    <n v="0"/>
    <n v="0"/>
    <n v="0"/>
    <n v="0"/>
    <n v="0"/>
    <n v="0"/>
    <n v="0"/>
    <n v="0"/>
    <n v="0"/>
    <n v="0"/>
    <n v="0"/>
    <x v="85"/>
    <x v="0"/>
    <x v="1"/>
    <x v="0"/>
  </r>
  <r>
    <s v="Description 3791"/>
    <s v="Code 3791"/>
    <n v="0"/>
    <n v="0"/>
    <n v="0"/>
    <n v="0"/>
    <n v="0"/>
    <n v="0"/>
    <n v="0"/>
    <n v="0"/>
    <n v="0"/>
    <n v="0"/>
    <n v="0"/>
    <x v="147"/>
    <x v="0"/>
    <x v="0"/>
    <x v="0"/>
  </r>
  <r>
    <s v="Description 3792"/>
    <s v="Code 3792"/>
    <n v="0"/>
    <n v="0"/>
    <n v="0"/>
    <n v="0"/>
    <n v="0"/>
    <n v="0"/>
    <n v="0"/>
    <n v="0"/>
    <n v="0"/>
    <n v="0"/>
    <n v="0"/>
    <x v="194"/>
    <x v="0"/>
    <x v="0"/>
    <x v="0"/>
  </r>
  <r>
    <s v="Description 3793"/>
    <s v="Code 3793"/>
    <n v="0"/>
    <n v="0"/>
    <n v="0"/>
    <n v="0"/>
    <n v="0"/>
    <n v="0"/>
    <n v="0"/>
    <n v="0"/>
    <n v="0"/>
    <n v="0"/>
    <n v="0"/>
    <x v="111"/>
    <x v="0"/>
    <x v="0"/>
    <x v="0"/>
  </r>
  <r>
    <s v="Description 3794"/>
    <s v="Code 3794"/>
    <n v="0"/>
    <n v="0"/>
    <n v="0"/>
    <n v="0"/>
    <n v="0"/>
    <n v="0"/>
    <n v="0"/>
    <n v="0"/>
    <n v="0"/>
    <n v="0"/>
    <n v="0"/>
    <x v="157"/>
    <x v="0"/>
    <x v="0"/>
    <x v="0"/>
  </r>
  <r>
    <s v="Description 3795"/>
    <s v="Code 3795"/>
    <n v="0"/>
    <n v="0"/>
    <n v="0"/>
    <n v="0"/>
    <n v="0"/>
    <n v="0"/>
    <n v="0"/>
    <n v="0"/>
    <n v="0"/>
    <n v="0"/>
    <n v="0"/>
    <x v="46"/>
    <x v="0"/>
    <x v="0"/>
    <x v="0"/>
  </r>
  <r>
    <s v="Description 3796"/>
    <s v="Code 3796"/>
    <n v="0"/>
    <n v="0"/>
    <n v="0"/>
    <n v="0"/>
    <n v="0"/>
    <n v="0"/>
    <n v="0"/>
    <n v="0"/>
    <n v="0"/>
    <n v="0"/>
    <n v="0"/>
    <x v="57"/>
    <x v="0"/>
    <x v="0"/>
    <x v="0"/>
  </r>
  <r>
    <s v="Description 3797"/>
    <s v="Code 3797"/>
    <n v="0"/>
    <n v="0"/>
    <n v="0"/>
    <n v="0"/>
    <n v="0"/>
    <n v="0"/>
    <n v="0"/>
    <n v="0"/>
    <n v="0"/>
    <n v="0"/>
    <n v="0"/>
    <x v="130"/>
    <x v="0"/>
    <x v="1"/>
    <x v="0"/>
  </r>
  <r>
    <s v="Description 3798"/>
    <s v="Code 3798"/>
    <n v="0"/>
    <n v="0"/>
    <n v="0"/>
    <n v="0"/>
    <n v="0"/>
    <n v="0"/>
    <n v="0"/>
    <n v="0"/>
    <n v="0"/>
    <n v="0"/>
    <n v="0"/>
    <x v="144"/>
    <x v="0"/>
    <x v="0"/>
    <x v="0"/>
  </r>
  <r>
    <s v="Description 3799"/>
    <s v="Code 3799"/>
    <n v="0"/>
    <n v="0"/>
    <n v="0"/>
    <n v="0"/>
    <n v="0"/>
    <n v="0"/>
    <n v="0"/>
    <n v="0"/>
    <n v="0"/>
    <n v="0"/>
    <n v="0"/>
    <x v="147"/>
    <x v="0"/>
    <x v="0"/>
    <x v="0"/>
  </r>
  <r>
    <s v="Description 3800"/>
    <s v="Code 3800"/>
    <n v="0"/>
    <n v="0"/>
    <n v="0"/>
    <n v="0"/>
    <n v="0"/>
    <n v="0"/>
    <n v="0"/>
    <n v="0"/>
    <n v="0"/>
    <n v="0"/>
    <n v="0"/>
    <x v="65"/>
    <x v="0"/>
    <x v="0"/>
    <x v="0"/>
  </r>
  <r>
    <s v="Description 3801"/>
    <s v="Code 3801"/>
    <n v="0"/>
    <n v="0"/>
    <n v="0"/>
    <n v="0"/>
    <n v="0"/>
    <n v="0"/>
    <n v="0"/>
    <n v="0"/>
    <n v="0"/>
    <n v="0"/>
    <n v="0"/>
    <x v="145"/>
    <x v="0"/>
    <x v="0"/>
    <x v="0"/>
  </r>
  <r>
    <s v="Description 3802"/>
    <s v="Code 3802"/>
    <n v="0"/>
    <n v="0"/>
    <n v="0"/>
    <n v="0"/>
    <n v="0"/>
    <n v="0"/>
    <n v="0"/>
    <n v="0"/>
    <n v="0"/>
    <n v="0"/>
    <n v="0"/>
    <x v="124"/>
    <x v="0"/>
    <x v="0"/>
    <x v="0"/>
  </r>
  <r>
    <s v="Description 3803"/>
    <s v="Code 3803"/>
    <n v="0"/>
    <n v="0"/>
    <n v="0"/>
    <n v="0"/>
    <n v="0"/>
    <n v="0"/>
    <n v="0"/>
    <n v="0"/>
    <n v="0"/>
    <n v="0"/>
    <n v="0"/>
    <x v="146"/>
    <x v="0"/>
    <x v="0"/>
    <x v="0"/>
  </r>
  <r>
    <s v="Description 3804"/>
    <s v="Code 3804"/>
    <n v="0"/>
    <n v="0"/>
    <n v="0"/>
    <n v="0"/>
    <n v="0"/>
    <n v="0"/>
    <n v="0"/>
    <n v="0"/>
    <n v="0"/>
    <n v="0"/>
    <n v="0"/>
    <x v="33"/>
    <x v="0"/>
    <x v="0"/>
    <x v="0"/>
  </r>
  <r>
    <s v="Description 3805"/>
    <s v="Code 3805"/>
    <n v="0"/>
    <n v="0"/>
    <n v="0"/>
    <n v="0"/>
    <n v="0"/>
    <n v="0"/>
    <n v="0"/>
    <n v="0"/>
    <n v="0"/>
    <n v="0"/>
    <n v="0"/>
    <x v="66"/>
    <x v="0"/>
    <x v="0"/>
    <x v="0"/>
  </r>
  <r>
    <s v="Description 3806"/>
    <s v="Code 3806"/>
    <n v="0"/>
    <n v="0"/>
    <n v="0"/>
    <n v="0"/>
    <n v="0"/>
    <n v="0"/>
    <n v="0"/>
    <n v="0"/>
    <n v="0"/>
    <n v="0"/>
    <n v="0"/>
    <x v="112"/>
    <x v="0"/>
    <x v="0"/>
    <x v="0"/>
  </r>
  <r>
    <s v="Description 3807"/>
    <s v="Code 3807"/>
    <n v="0"/>
    <n v="0"/>
    <n v="0"/>
    <n v="0"/>
    <n v="0"/>
    <n v="0"/>
    <n v="0"/>
    <n v="0"/>
    <n v="0"/>
    <n v="0"/>
    <n v="0"/>
    <x v="142"/>
    <x v="0"/>
    <x v="0"/>
    <x v="0"/>
  </r>
  <r>
    <s v="Description 3808"/>
    <s v="Code 3808"/>
    <n v="0"/>
    <n v="0"/>
    <n v="0"/>
    <n v="0"/>
    <n v="0"/>
    <n v="0"/>
    <n v="0"/>
    <n v="0"/>
    <n v="0"/>
    <n v="0"/>
    <n v="0"/>
    <x v="144"/>
    <x v="0"/>
    <x v="0"/>
    <x v="0"/>
  </r>
  <r>
    <s v="Description 3809"/>
    <s v="Code 3809"/>
    <n v="0"/>
    <n v="0"/>
    <n v="0"/>
    <n v="0"/>
    <n v="0"/>
    <n v="0"/>
    <n v="0"/>
    <n v="0"/>
    <n v="0"/>
    <n v="0"/>
    <n v="0"/>
    <x v="103"/>
    <x v="0"/>
    <x v="0"/>
    <x v="0"/>
  </r>
  <r>
    <s v="Description 3810"/>
    <s v="Code 3810"/>
    <n v="0"/>
    <n v="0"/>
    <n v="0"/>
    <n v="0"/>
    <n v="0"/>
    <n v="0"/>
    <n v="0"/>
    <n v="0"/>
    <n v="0"/>
    <n v="0"/>
    <n v="0"/>
    <x v="110"/>
    <x v="0"/>
    <x v="0"/>
    <x v="0"/>
  </r>
  <r>
    <s v="Description 3811"/>
    <s v="Code 3811"/>
    <n v="0"/>
    <n v="0"/>
    <n v="0"/>
    <n v="0"/>
    <n v="0"/>
    <n v="0"/>
    <n v="0"/>
    <n v="0"/>
    <n v="0"/>
    <n v="0"/>
    <n v="0"/>
    <x v="196"/>
    <x v="0"/>
    <x v="0"/>
    <x v="0"/>
  </r>
  <r>
    <s v="Description 3812"/>
    <s v="Code 3812"/>
    <n v="0"/>
    <n v="0"/>
    <n v="0"/>
    <n v="0"/>
    <n v="0"/>
    <n v="0"/>
    <n v="0"/>
    <n v="0"/>
    <n v="0"/>
    <n v="0"/>
    <n v="0"/>
    <x v="158"/>
    <x v="0"/>
    <x v="0"/>
    <x v="0"/>
  </r>
  <r>
    <s v="Description 3813"/>
    <s v="Code 3813"/>
    <n v="0"/>
    <n v="0"/>
    <n v="0"/>
    <n v="0"/>
    <n v="0"/>
    <n v="0"/>
    <n v="0"/>
    <n v="0"/>
    <n v="0"/>
    <n v="0"/>
    <n v="0"/>
    <x v="181"/>
    <x v="0"/>
    <x v="0"/>
    <x v="0"/>
  </r>
  <r>
    <s v="Description 3814"/>
    <s v="Code 3814"/>
    <n v="0"/>
    <n v="0"/>
    <n v="0"/>
    <n v="0"/>
    <n v="0"/>
    <n v="0"/>
    <n v="0"/>
    <n v="0"/>
    <n v="0"/>
    <n v="0"/>
    <n v="0"/>
    <x v="154"/>
    <x v="0"/>
    <x v="0"/>
    <x v="0"/>
  </r>
  <r>
    <s v="Description 3815"/>
    <s v="Code 3815"/>
    <n v="0"/>
    <n v="0"/>
    <n v="0"/>
    <n v="0"/>
    <n v="0"/>
    <n v="0"/>
    <n v="0"/>
    <n v="0"/>
    <n v="0"/>
    <n v="0"/>
    <n v="0"/>
    <x v="117"/>
    <x v="0"/>
    <x v="0"/>
    <x v="0"/>
  </r>
  <r>
    <s v="Description 3816"/>
    <s v="Code 3816"/>
    <n v="0"/>
    <n v="0"/>
    <n v="0"/>
    <n v="0"/>
    <n v="0"/>
    <n v="0"/>
    <n v="0"/>
    <n v="0"/>
    <n v="0"/>
    <n v="0"/>
    <n v="0"/>
    <x v="163"/>
    <x v="0"/>
    <x v="0"/>
    <x v="0"/>
  </r>
  <r>
    <s v="Description 3817"/>
    <s v="Code 3817"/>
    <n v="0"/>
    <n v="0"/>
    <n v="0"/>
    <n v="0"/>
    <n v="0"/>
    <n v="0"/>
    <n v="0"/>
    <n v="0"/>
    <n v="0"/>
    <n v="0"/>
    <n v="0"/>
    <x v="4"/>
    <x v="0"/>
    <x v="0"/>
    <x v="0"/>
  </r>
  <r>
    <s v="Description 3818"/>
    <s v="Code 3818"/>
    <n v="0"/>
    <n v="0"/>
    <n v="0"/>
    <n v="0"/>
    <n v="0"/>
    <n v="0"/>
    <n v="0"/>
    <n v="0"/>
    <n v="0"/>
    <n v="0"/>
    <n v="0"/>
    <x v="187"/>
    <x v="0"/>
    <x v="1"/>
    <x v="0"/>
  </r>
  <r>
    <s v="Description 3819"/>
    <s v="Code 3819"/>
    <n v="0"/>
    <n v="0"/>
    <n v="0"/>
    <n v="0"/>
    <n v="0"/>
    <n v="0"/>
    <n v="0"/>
    <n v="0"/>
    <n v="0"/>
    <n v="0"/>
    <n v="0"/>
    <x v="156"/>
    <x v="0"/>
    <x v="0"/>
    <x v="0"/>
  </r>
  <r>
    <s v="Description 3820"/>
    <s v="Code 3820"/>
    <n v="0"/>
    <n v="0"/>
    <n v="0"/>
    <n v="0"/>
    <n v="0"/>
    <n v="0"/>
    <n v="0"/>
    <n v="0"/>
    <n v="0"/>
    <n v="0"/>
    <n v="0"/>
    <x v="101"/>
    <x v="0"/>
    <x v="0"/>
    <x v="0"/>
  </r>
  <r>
    <s v="Description 3821"/>
    <s v="Code 3821"/>
    <n v="0"/>
    <n v="0"/>
    <n v="0"/>
    <n v="0"/>
    <n v="0"/>
    <n v="0"/>
    <n v="0"/>
    <n v="0"/>
    <n v="0"/>
    <n v="0"/>
    <n v="0"/>
    <x v="85"/>
    <x v="0"/>
    <x v="1"/>
    <x v="0"/>
  </r>
  <r>
    <s v="Description 3822"/>
    <s v="Code 3822"/>
    <n v="0"/>
    <n v="0"/>
    <n v="0"/>
    <n v="0"/>
    <n v="0"/>
    <n v="0"/>
    <n v="0"/>
    <n v="0"/>
    <n v="0"/>
    <n v="0"/>
    <n v="0"/>
    <x v="130"/>
    <x v="0"/>
    <x v="1"/>
    <x v="0"/>
  </r>
  <r>
    <s v="Description 3823"/>
    <s v="Code 3823"/>
    <n v="0"/>
    <n v="0"/>
    <n v="0"/>
    <n v="0"/>
    <n v="0"/>
    <n v="0"/>
    <n v="0"/>
    <n v="0"/>
    <n v="0"/>
    <n v="0"/>
    <n v="0"/>
    <x v="167"/>
    <x v="0"/>
    <x v="0"/>
    <x v="0"/>
  </r>
  <r>
    <s v="Description 3824"/>
    <s v="Code 3824"/>
    <n v="0"/>
    <n v="0"/>
    <n v="0"/>
    <n v="0"/>
    <n v="0"/>
    <n v="0"/>
    <n v="0"/>
    <n v="0"/>
    <n v="0"/>
    <n v="0"/>
    <n v="0"/>
    <x v="96"/>
    <x v="0"/>
    <x v="0"/>
    <x v="0"/>
  </r>
  <r>
    <s v="Description 3825"/>
    <s v="Code 3825"/>
    <n v="0"/>
    <n v="0"/>
    <n v="0"/>
    <n v="0"/>
    <n v="0"/>
    <n v="0"/>
    <n v="0"/>
    <n v="0"/>
    <n v="0"/>
    <n v="0"/>
    <n v="0"/>
    <x v="106"/>
    <x v="0"/>
    <x v="0"/>
    <x v="0"/>
  </r>
  <r>
    <s v="Description 3826"/>
    <s v="Code 3826"/>
    <n v="0"/>
    <n v="0"/>
    <n v="0"/>
    <n v="0"/>
    <n v="0"/>
    <n v="0"/>
    <n v="0"/>
    <n v="0"/>
    <n v="0"/>
    <n v="0"/>
    <n v="0"/>
    <x v="34"/>
    <x v="0"/>
    <x v="0"/>
    <x v="0"/>
  </r>
  <r>
    <s v="Description 3827"/>
    <s v="Code 3827"/>
    <n v="0"/>
    <n v="0"/>
    <n v="0"/>
    <n v="0"/>
    <n v="0"/>
    <n v="0"/>
    <n v="0"/>
    <n v="0"/>
    <n v="0"/>
    <n v="0"/>
    <n v="0"/>
    <x v="3"/>
    <x v="0"/>
    <x v="0"/>
    <x v="0"/>
  </r>
  <r>
    <s v="Description 3828"/>
    <s v="Code 3828"/>
    <n v="0"/>
    <n v="0"/>
    <n v="0"/>
    <n v="0"/>
    <n v="0"/>
    <n v="0"/>
    <n v="0"/>
    <n v="0"/>
    <n v="0"/>
    <n v="0"/>
    <n v="0"/>
    <x v="166"/>
    <x v="0"/>
    <x v="0"/>
    <x v="0"/>
  </r>
  <r>
    <s v="Description 3829"/>
    <s v="Code 3829"/>
    <n v="0"/>
    <n v="0"/>
    <n v="0"/>
    <n v="0"/>
    <n v="0"/>
    <n v="0"/>
    <n v="0"/>
    <n v="0"/>
    <n v="0"/>
    <n v="0"/>
    <n v="0"/>
    <x v="31"/>
    <x v="0"/>
    <x v="0"/>
    <x v="0"/>
  </r>
  <r>
    <s v="Description 3830"/>
    <s v="Code 3830"/>
    <n v="0"/>
    <n v="0"/>
    <n v="0"/>
    <n v="0"/>
    <n v="0"/>
    <n v="0"/>
    <n v="0"/>
    <n v="0"/>
    <n v="0"/>
    <n v="0"/>
    <n v="0"/>
    <x v="74"/>
    <x v="0"/>
    <x v="0"/>
    <x v="0"/>
  </r>
  <r>
    <s v="Description 3831"/>
    <s v="Code 3831"/>
    <n v="0"/>
    <n v="0"/>
    <n v="0"/>
    <n v="0"/>
    <n v="0"/>
    <n v="0"/>
    <n v="0"/>
    <n v="0"/>
    <n v="0"/>
    <n v="0"/>
    <n v="0"/>
    <x v="173"/>
    <x v="0"/>
    <x v="0"/>
    <x v="0"/>
  </r>
  <r>
    <s v="Description 3832"/>
    <s v="Code 3832"/>
    <n v="0"/>
    <n v="0"/>
    <n v="0"/>
    <n v="0"/>
    <n v="0"/>
    <n v="0"/>
    <n v="0"/>
    <n v="0"/>
    <n v="0"/>
    <n v="0"/>
    <n v="0"/>
    <x v="112"/>
    <x v="0"/>
    <x v="0"/>
    <x v="0"/>
  </r>
  <r>
    <s v="Description 3833"/>
    <s v="Code 3833"/>
    <n v="0"/>
    <n v="0"/>
    <n v="0"/>
    <n v="0"/>
    <n v="0"/>
    <n v="0"/>
    <n v="0"/>
    <n v="0"/>
    <n v="0"/>
    <n v="0"/>
    <n v="0"/>
    <x v="144"/>
    <x v="0"/>
    <x v="0"/>
    <x v="0"/>
  </r>
  <r>
    <s v="Description 3834"/>
    <s v="Code 3834"/>
    <n v="0"/>
    <n v="0"/>
    <n v="0"/>
    <n v="0"/>
    <n v="0"/>
    <n v="0"/>
    <n v="0"/>
    <n v="0"/>
    <n v="0"/>
    <n v="0"/>
    <n v="0"/>
    <x v="78"/>
    <x v="0"/>
    <x v="0"/>
    <x v="0"/>
  </r>
  <r>
    <s v="Description 3835"/>
    <s v="Code 3835"/>
    <n v="0"/>
    <n v="0"/>
    <n v="0"/>
    <n v="0"/>
    <n v="0"/>
    <n v="0"/>
    <n v="0"/>
    <n v="0"/>
    <n v="0"/>
    <n v="0"/>
    <n v="0"/>
    <x v="87"/>
    <x v="0"/>
    <x v="0"/>
    <x v="0"/>
  </r>
  <r>
    <s v="Description 3836"/>
    <s v="Code 3836"/>
    <n v="0"/>
    <n v="0"/>
    <n v="0"/>
    <n v="0"/>
    <n v="0"/>
    <n v="0"/>
    <n v="0"/>
    <n v="0"/>
    <n v="0"/>
    <n v="0"/>
    <n v="0"/>
    <x v="2"/>
    <x v="0"/>
    <x v="0"/>
    <x v="0"/>
  </r>
  <r>
    <s v="Description 3837"/>
    <s v="Code 3837"/>
    <n v="0"/>
    <n v="0"/>
    <n v="0"/>
    <n v="0"/>
    <n v="0"/>
    <n v="0"/>
    <n v="0"/>
    <n v="0"/>
    <n v="0"/>
    <n v="0"/>
    <n v="0"/>
    <x v="129"/>
    <x v="0"/>
    <x v="1"/>
    <x v="0"/>
  </r>
  <r>
    <s v="Description 3838"/>
    <s v="Code 3838"/>
    <n v="0"/>
    <n v="0"/>
    <n v="0"/>
    <n v="0"/>
    <n v="0"/>
    <n v="0"/>
    <n v="0"/>
    <n v="0"/>
    <n v="0"/>
    <n v="0"/>
    <n v="0"/>
    <x v="83"/>
    <x v="0"/>
    <x v="0"/>
    <x v="0"/>
  </r>
  <r>
    <s v="Description 3839"/>
    <s v="Code 3839"/>
    <n v="0"/>
    <n v="0"/>
    <n v="0"/>
    <n v="0"/>
    <n v="0"/>
    <n v="0"/>
    <n v="0"/>
    <n v="0"/>
    <n v="0"/>
    <n v="0"/>
    <n v="0"/>
    <x v="5"/>
    <x v="0"/>
    <x v="0"/>
    <x v="0"/>
  </r>
  <r>
    <s v="Description 3840"/>
    <s v="Code 3840"/>
    <n v="0"/>
    <n v="0"/>
    <n v="0"/>
    <n v="0"/>
    <n v="0"/>
    <n v="0"/>
    <n v="0"/>
    <n v="0"/>
    <n v="0"/>
    <n v="0"/>
    <n v="0"/>
    <x v="8"/>
    <x v="0"/>
    <x v="0"/>
    <x v="0"/>
  </r>
  <r>
    <s v="Description 3841"/>
    <s v="Code 3841"/>
    <n v="0"/>
    <n v="0"/>
    <n v="0"/>
    <n v="0"/>
    <n v="0"/>
    <n v="0"/>
    <n v="0"/>
    <n v="0"/>
    <n v="0"/>
    <n v="0"/>
    <n v="0"/>
    <x v="114"/>
    <x v="0"/>
    <x v="0"/>
    <x v="0"/>
  </r>
  <r>
    <s v="Description 3842"/>
    <s v="Code 3842"/>
    <n v="0"/>
    <n v="0"/>
    <n v="0"/>
    <n v="0"/>
    <n v="0"/>
    <n v="0"/>
    <n v="0"/>
    <n v="0"/>
    <n v="0"/>
    <n v="0"/>
    <n v="0"/>
    <x v="191"/>
    <x v="0"/>
    <x v="0"/>
    <x v="0"/>
  </r>
  <r>
    <s v="Description 3843"/>
    <s v="Code 3843"/>
    <n v="0"/>
    <n v="0"/>
    <n v="0"/>
    <n v="0"/>
    <n v="0"/>
    <n v="0"/>
    <n v="0"/>
    <n v="0"/>
    <n v="0"/>
    <n v="0"/>
    <n v="0"/>
    <x v="91"/>
    <x v="0"/>
    <x v="0"/>
    <x v="0"/>
  </r>
  <r>
    <s v="Description 3844"/>
    <s v="Code 3844"/>
    <n v="0"/>
    <n v="0"/>
    <n v="0"/>
    <n v="0"/>
    <n v="0"/>
    <n v="0"/>
    <n v="0"/>
    <n v="0"/>
    <n v="0"/>
    <n v="0"/>
    <n v="0"/>
    <x v="36"/>
    <x v="0"/>
    <x v="0"/>
    <x v="0"/>
  </r>
  <r>
    <s v="Description 3845"/>
    <s v="Code 3845"/>
    <n v="0"/>
    <n v="0"/>
    <n v="0"/>
    <n v="0"/>
    <n v="0"/>
    <n v="0"/>
    <n v="0"/>
    <n v="0"/>
    <n v="0"/>
    <n v="0"/>
    <n v="0"/>
    <x v="29"/>
    <x v="0"/>
    <x v="0"/>
    <x v="0"/>
  </r>
  <r>
    <s v="Description 3846"/>
    <s v="Code 3846"/>
    <n v="0"/>
    <n v="0"/>
    <n v="0"/>
    <n v="0"/>
    <n v="0"/>
    <n v="0"/>
    <n v="0"/>
    <n v="0"/>
    <n v="0"/>
    <n v="0"/>
    <n v="0"/>
    <x v="23"/>
    <x v="0"/>
    <x v="1"/>
    <x v="0"/>
  </r>
  <r>
    <s v="Description 3847"/>
    <s v="Code 3847"/>
    <n v="0"/>
    <n v="0"/>
    <n v="0"/>
    <n v="0"/>
    <n v="0"/>
    <n v="0"/>
    <n v="0"/>
    <n v="0"/>
    <n v="0"/>
    <n v="0"/>
    <n v="0"/>
    <x v="64"/>
    <x v="0"/>
    <x v="0"/>
    <x v="0"/>
  </r>
  <r>
    <s v="Description 3848"/>
    <s v="Code 3848"/>
    <n v="0"/>
    <n v="0"/>
    <n v="0"/>
    <n v="0"/>
    <n v="0"/>
    <n v="0"/>
    <n v="0"/>
    <n v="0"/>
    <n v="0"/>
    <n v="0"/>
    <n v="0"/>
    <x v="138"/>
    <x v="0"/>
    <x v="0"/>
    <x v="0"/>
  </r>
  <r>
    <s v="Description 3849"/>
    <s v="Code 3849"/>
    <n v="0"/>
    <n v="0"/>
    <n v="0"/>
    <n v="0"/>
    <n v="0"/>
    <n v="0"/>
    <n v="0"/>
    <n v="0"/>
    <n v="0"/>
    <n v="0"/>
    <n v="0"/>
    <x v="99"/>
    <x v="0"/>
    <x v="0"/>
    <x v="0"/>
  </r>
  <r>
    <s v="Description 3850"/>
    <s v="Code 3850"/>
    <n v="0"/>
    <n v="0"/>
    <n v="0"/>
    <n v="0"/>
    <n v="0"/>
    <n v="0"/>
    <n v="0"/>
    <n v="0"/>
    <n v="0"/>
    <n v="0"/>
    <n v="0"/>
    <x v="175"/>
    <x v="0"/>
    <x v="0"/>
    <x v="0"/>
  </r>
  <r>
    <s v="Description 3851"/>
    <s v="Code 3851"/>
    <n v="0"/>
    <n v="0"/>
    <n v="0"/>
    <n v="0"/>
    <n v="0"/>
    <n v="0"/>
    <n v="0"/>
    <n v="0"/>
    <n v="0"/>
    <n v="0"/>
    <n v="0"/>
    <x v="61"/>
    <x v="0"/>
    <x v="0"/>
    <x v="0"/>
  </r>
  <r>
    <s v="Description 3852"/>
    <s v="Code 3852"/>
    <n v="0"/>
    <n v="0"/>
    <n v="0"/>
    <n v="0"/>
    <n v="0"/>
    <n v="0"/>
    <n v="0"/>
    <n v="0"/>
    <n v="0"/>
    <n v="0"/>
    <n v="0"/>
    <x v="123"/>
    <x v="0"/>
    <x v="1"/>
    <x v="0"/>
  </r>
  <r>
    <s v="Description 3853"/>
    <s v="Code 3853"/>
    <n v="0"/>
    <n v="0"/>
    <n v="0"/>
    <n v="0"/>
    <n v="0"/>
    <n v="0"/>
    <n v="0"/>
    <n v="0"/>
    <n v="0"/>
    <n v="0"/>
    <n v="0"/>
    <x v="38"/>
    <x v="0"/>
    <x v="0"/>
    <x v="0"/>
  </r>
  <r>
    <s v="Description 3854"/>
    <s v="Code 3854"/>
    <n v="0"/>
    <n v="0"/>
    <n v="0"/>
    <n v="0"/>
    <n v="0"/>
    <n v="0"/>
    <n v="0"/>
    <n v="0"/>
    <n v="0"/>
    <n v="0"/>
    <n v="0"/>
    <x v="17"/>
    <x v="0"/>
    <x v="0"/>
    <x v="0"/>
  </r>
  <r>
    <s v="Description 3855"/>
    <s v="Code 3855"/>
    <n v="0"/>
    <n v="0"/>
    <n v="0"/>
    <n v="0"/>
    <n v="0"/>
    <n v="0"/>
    <n v="0"/>
    <n v="0"/>
    <n v="0"/>
    <n v="0"/>
    <n v="0"/>
    <x v="17"/>
    <x v="0"/>
    <x v="0"/>
    <x v="0"/>
  </r>
  <r>
    <s v="Description 3856"/>
    <s v="Code 3856"/>
    <n v="0"/>
    <n v="0"/>
    <n v="0"/>
    <n v="0"/>
    <n v="0"/>
    <n v="0"/>
    <n v="0"/>
    <n v="0"/>
    <n v="0"/>
    <n v="0"/>
    <n v="0"/>
    <x v="185"/>
    <x v="0"/>
    <x v="0"/>
    <x v="0"/>
  </r>
  <r>
    <s v="Description 3857"/>
    <s v="Code 3857"/>
    <n v="0"/>
    <n v="0"/>
    <n v="0"/>
    <n v="0"/>
    <n v="0"/>
    <n v="0"/>
    <n v="0"/>
    <n v="0"/>
    <n v="0"/>
    <n v="0"/>
    <n v="0"/>
    <x v="199"/>
    <x v="0"/>
    <x v="0"/>
    <x v="0"/>
  </r>
  <r>
    <s v="Description 3858"/>
    <s v="Code 3858"/>
    <n v="0"/>
    <n v="0"/>
    <n v="0"/>
    <n v="0"/>
    <n v="0"/>
    <n v="0"/>
    <n v="0"/>
    <n v="0"/>
    <n v="0"/>
    <n v="0"/>
    <n v="0"/>
    <x v="87"/>
    <x v="0"/>
    <x v="0"/>
    <x v="0"/>
  </r>
  <r>
    <s v="Description 3859"/>
    <s v="Code 3859"/>
    <n v="0"/>
    <n v="0"/>
    <n v="0"/>
    <n v="0"/>
    <n v="0"/>
    <n v="0"/>
    <n v="0"/>
    <n v="0"/>
    <n v="0"/>
    <n v="0"/>
    <n v="0"/>
    <x v="9"/>
    <x v="0"/>
    <x v="0"/>
    <x v="0"/>
  </r>
  <r>
    <s v="Description 3860"/>
    <s v="Code 3860"/>
    <n v="0"/>
    <n v="0"/>
    <n v="0"/>
    <n v="0"/>
    <n v="0"/>
    <n v="0"/>
    <n v="0"/>
    <n v="0"/>
    <n v="0"/>
    <n v="0"/>
    <n v="0"/>
    <x v="76"/>
    <x v="0"/>
    <x v="1"/>
    <x v="0"/>
  </r>
  <r>
    <s v="Description 3861"/>
    <s v="Code 3861"/>
    <n v="0"/>
    <n v="0"/>
    <n v="0"/>
    <n v="0"/>
    <n v="0"/>
    <n v="0"/>
    <n v="0"/>
    <n v="0"/>
    <n v="0"/>
    <n v="0"/>
    <n v="0"/>
    <x v="131"/>
    <x v="0"/>
    <x v="0"/>
    <x v="0"/>
  </r>
  <r>
    <s v="Description 3862"/>
    <s v="Code 3862"/>
    <n v="0"/>
    <n v="0"/>
    <n v="0"/>
    <n v="0"/>
    <n v="0"/>
    <n v="0"/>
    <n v="0"/>
    <n v="0"/>
    <n v="0"/>
    <n v="0"/>
    <n v="0"/>
    <x v="162"/>
    <x v="0"/>
    <x v="0"/>
    <x v="0"/>
  </r>
  <r>
    <s v="Description 3863"/>
    <s v="Code 3863"/>
    <n v="0"/>
    <n v="0"/>
    <n v="0"/>
    <n v="0"/>
    <n v="0"/>
    <n v="0"/>
    <n v="0"/>
    <n v="0"/>
    <n v="0"/>
    <n v="0"/>
    <n v="0"/>
    <x v="55"/>
    <x v="0"/>
    <x v="0"/>
    <x v="0"/>
  </r>
  <r>
    <s v="Description 3864"/>
    <s v="Code 3864"/>
    <n v="0"/>
    <n v="0"/>
    <n v="0"/>
    <n v="0"/>
    <n v="0"/>
    <n v="0"/>
    <n v="0"/>
    <n v="0"/>
    <n v="0"/>
    <n v="0"/>
    <n v="0"/>
    <x v="116"/>
    <x v="0"/>
    <x v="0"/>
    <x v="0"/>
  </r>
  <r>
    <s v="Description 3865"/>
    <s v="Code 3865"/>
    <n v="0"/>
    <n v="0"/>
    <n v="0"/>
    <n v="0"/>
    <n v="0"/>
    <n v="0"/>
    <n v="0"/>
    <n v="0"/>
    <n v="0"/>
    <n v="0"/>
    <n v="0"/>
    <x v="76"/>
    <x v="0"/>
    <x v="1"/>
    <x v="0"/>
  </r>
  <r>
    <s v="Description 3866"/>
    <s v="Code 3866"/>
    <n v="0"/>
    <n v="0"/>
    <n v="0"/>
    <n v="0"/>
    <n v="0"/>
    <n v="0"/>
    <n v="0"/>
    <n v="0"/>
    <n v="0"/>
    <n v="0"/>
    <n v="0"/>
    <x v="31"/>
    <x v="0"/>
    <x v="0"/>
    <x v="0"/>
  </r>
  <r>
    <s v="Description 3867"/>
    <s v="Code 3867"/>
    <n v="0"/>
    <n v="0"/>
    <n v="0"/>
    <n v="0"/>
    <n v="0"/>
    <n v="0"/>
    <n v="0"/>
    <n v="0"/>
    <n v="0"/>
    <n v="0"/>
    <n v="0"/>
    <x v="140"/>
    <x v="0"/>
    <x v="0"/>
    <x v="0"/>
  </r>
  <r>
    <s v="Description 3868"/>
    <s v="Code 3868"/>
    <n v="0"/>
    <n v="0"/>
    <n v="0"/>
    <n v="0"/>
    <n v="0"/>
    <n v="0"/>
    <n v="0"/>
    <n v="0"/>
    <n v="0"/>
    <n v="0"/>
    <n v="0"/>
    <x v="93"/>
    <x v="0"/>
    <x v="0"/>
    <x v="0"/>
  </r>
  <r>
    <s v="Description 3869"/>
    <s v="Code 3869"/>
    <n v="0"/>
    <n v="0"/>
    <n v="0"/>
    <n v="0"/>
    <n v="0"/>
    <n v="0"/>
    <n v="0"/>
    <n v="0"/>
    <n v="0"/>
    <n v="0"/>
    <n v="0"/>
    <x v="17"/>
    <x v="0"/>
    <x v="0"/>
    <x v="0"/>
  </r>
  <r>
    <s v="Description 3870"/>
    <s v="Code 3870"/>
    <n v="0"/>
    <n v="0"/>
    <n v="0"/>
    <n v="0"/>
    <n v="0"/>
    <n v="0"/>
    <n v="0"/>
    <n v="0"/>
    <n v="0"/>
    <n v="0"/>
    <n v="0"/>
    <x v="35"/>
    <x v="0"/>
    <x v="1"/>
    <x v="0"/>
  </r>
  <r>
    <s v="Description 3871"/>
    <s v="Code 3871"/>
    <n v="0"/>
    <n v="0"/>
    <n v="0"/>
    <n v="0"/>
    <n v="0"/>
    <n v="0"/>
    <n v="0"/>
    <n v="0"/>
    <n v="0"/>
    <n v="0"/>
    <n v="0"/>
    <x v="102"/>
    <x v="0"/>
    <x v="0"/>
    <x v="0"/>
  </r>
  <r>
    <s v="Description 3872"/>
    <s v="Code 3872"/>
    <n v="0"/>
    <n v="0"/>
    <n v="0"/>
    <n v="0"/>
    <n v="0"/>
    <n v="0"/>
    <n v="0"/>
    <n v="0"/>
    <n v="0"/>
    <n v="0"/>
    <n v="0"/>
    <x v="78"/>
    <x v="0"/>
    <x v="0"/>
    <x v="0"/>
  </r>
  <r>
    <s v="Description 3873"/>
    <s v="Code 3873"/>
    <n v="0"/>
    <n v="0"/>
    <n v="0"/>
    <n v="0"/>
    <n v="0"/>
    <n v="0"/>
    <n v="0"/>
    <n v="0"/>
    <n v="0"/>
    <n v="0"/>
    <n v="0"/>
    <x v="137"/>
    <x v="0"/>
    <x v="1"/>
    <x v="0"/>
  </r>
  <r>
    <s v="Description 3874"/>
    <s v="Code 3874"/>
    <n v="0"/>
    <n v="0"/>
    <n v="0"/>
    <n v="0"/>
    <n v="0"/>
    <n v="0"/>
    <n v="0"/>
    <n v="0"/>
    <n v="0"/>
    <n v="0"/>
    <n v="0"/>
    <x v="27"/>
    <x v="0"/>
    <x v="0"/>
    <x v="0"/>
  </r>
  <r>
    <s v="Description 3875"/>
    <s v="Code 3875"/>
    <n v="0"/>
    <n v="0"/>
    <n v="0"/>
    <n v="0"/>
    <n v="0"/>
    <n v="0"/>
    <n v="0"/>
    <n v="0"/>
    <n v="0"/>
    <n v="0"/>
    <n v="0"/>
    <x v="149"/>
    <x v="0"/>
    <x v="0"/>
    <x v="0"/>
  </r>
  <r>
    <m/>
    <m/>
    <m/>
    <m/>
    <m/>
    <m/>
    <m/>
    <m/>
    <m/>
    <m/>
    <m/>
    <m/>
    <m/>
    <x v="200"/>
    <x v="1"/>
    <x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EMAILS" cacheId="1" applyNumberFormats="0" applyBorderFormats="0" applyFontFormats="0" applyPatternFormats="0" applyAlignmentFormats="0" applyWidthHeightFormats="1" dataCaption="Valores" updatedVersion="6" minRefreshableVersion="3" showCalcMbrs="0" showDrill="0" useAutoFormatting="1" rowGrandTotals="0" colGrandTotals="0" itemPrintTitles="1" createdVersion="3" indent="0" compact="0" compactData="0" multipleFieldFilters="0">
  <location ref="A2:D202" firstHeaderRow="1" firstDataRow="1" firstDataCol="4"/>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multipleItemSelectionAllowed="1" showAll="0" includeNewItemsInFilter="1" sortType="ascending" defaultSubtotal="0">
      <items count="201">
        <item x="130"/>
        <item x="42"/>
        <item x="151"/>
        <item x="112"/>
        <item x="142"/>
        <item x="1"/>
        <item x="104"/>
        <item x="158"/>
        <item x="67"/>
        <item x="189"/>
        <item x="97"/>
        <item x="62"/>
        <item x="76"/>
        <item x="27"/>
        <item x="54"/>
        <item x="22"/>
        <item x="185"/>
        <item x="11"/>
        <item x="162"/>
        <item x="2"/>
        <item x="180"/>
        <item x="92"/>
        <item x="131"/>
        <item x="89"/>
        <item x="65"/>
        <item x="52"/>
        <item x="86"/>
        <item x="43"/>
        <item x="21"/>
        <item x="94"/>
        <item x="30"/>
        <item x="53"/>
        <item x="157"/>
        <item x="55"/>
        <item x="23"/>
        <item x="166"/>
        <item x="154"/>
        <item x="146"/>
        <item x="165"/>
        <item x="122"/>
        <item x="110"/>
        <item x="37"/>
        <item x="57"/>
        <item x="156"/>
        <item x="171"/>
        <item x="108"/>
        <item x="74"/>
        <item x="101"/>
        <item x="45"/>
        <item x="161"/>
        <item x="150"/>
        <item x="4"/>
        <item x="78"/>
        <item x="111"/>
        <item x="186"/>
        <item x="68"/>
        <item x="26"/>
        <item x="83"/>
        <item x="34"/>
        <item x="181"/>
        <item x="87"/>
        <item x="144"/>
        <item x="192"/>
        <item x="59"/>
        <item x="49"/>
        <item x="81"/>
        <item x="19"/>
        <item x="28"/>
        <item x="196"/>
        <item x="141"/>
        <item x="33"/>
        <item x="79"/>
        <item x="20"/>
        <item x="103"/>
        <item x="82"/>
        <item x="15"/>
        <item x="182"/>
        <item x="174"/>
        <item x="119"/>
        <item x="121"/>
        <item x="63"/>
        <item x="114"/>
        <item x="48"/>
        <item x="113"/>
        <item x="10"/>
        <item x="188"/>
        <item x="77"/>
        <item x="17"/>
        <item x="115"/>
        <item x="187"/>
        <item x="39"/>
        <item x="172"/>
        <item x="170"/>
        <item x="16"/>
        <item x="126"/>
        <item x="167"/>
        <item x="84"/>
        <item x="194"/>
        <item x="159"/>
        <item x="176"/>
        <item x="35"/>
        <item x="95"/>
        <item x="145"/>
        <item x="32"/>
        <item x="191"/>
        <item x="140"/>
        <item x="155"/>
        <item x="70"/>
        <item x="40"/>
        <item x="116"/>
        <item x="164"/>
        <item x="85"/>
        <item x="197"/>
        <item x="147"/>
        <item x="153"/>
        <item x="128"/>
        <item x="118"/>
        <item x="5"/>
        <item x="132"/>
        <item x="46"/>
        <item x="31"/>
        <item x="127"/>
        <item x="106"/>
        <item x="123"/>
        <item x="60"/>
        <item x="47"/>
        <item x="149"/>
        <item x="75"/>
        <item x="125"/>
        <item x="198"/>
        <item x="184"/>
        <item x="61"/>
        <item x="107"/>
        <item x="80"/>
        <item x="136"/>
        <item x="134"/>
        <item x="71"/>
        <item x="29"/>
        <item x="98"/>
        <item x="175"/>
        <item x="93"/>
        <item x="195"/>
        <item x="58"/>
        <item x="133"/>
        <item x="24"/>
        <item x="13"/>
        <item x="102"/>
        <item x="88"/>
        <item x="160"/>
        <item x="143"/>
        <item x="120"/>
        <item x="169"/>
        <item x="38"/>
        <item x="0"/>
        <item x="91"/>
        <item x="12"/>
        <item x="25"/>
        <item x="3"/>
        <item x="179"/>
        <item x="117"/>
        <item x="66"/>
        <item x="8"/>
        <item x="14"/>
        <item x="135"/>
        <item x="178"/>
        <item x="124"/>
        <item x="100"/>
        <item x="137"/>
        <item x="72"/>
        <item x="109"/>
        <item x="139"/>
        <item x="163"/>
        <item x="183"/>
        <item x="51"/>
        <item x="90"/>
        <item x="64"/>
        <item x="7"/>
        <item x="152"/>
        <item x="105"/>
        <item x="138"/>
        <item x="199"/>
        <item x="96"/>
        <item x="9"/>
        <item x="6"/>
        <item x="173"/>
        <item x="73"/>
        <item x="18"/>
        <item x="168"/>
        <item x="190"/>
        <item x="129"/>
        <item x="36"/>
        <item x="56"/>
        <item x="41"/>
        <item x="44"/>
        <item x="148"/>
        <item x="177"/>
        <item x="193"/>
        <item x="50"/>
        <item x="99"/>
        <item x="69"/>
        <item h="1" x="200"/>
      </items>
    </pivotField>
    <pivotField axis="axisRow" compact="0" outline="0" showAll="0" sortType="ascending" defaultSubtotal="0">
      <items count="2">
        <item x="0"/>
        <item x="1"/>
      </items>
    </pivotField>
    <pivotField axis="axisRow" compact="0" outline="0" showAll="0" defaultSubtotal="0">
      <items count="3">
        <item x="2"/>
        <item x="0"/>
        <item x="1"/>
      </items>
    </pivotField>
    <pivotField axis="axisRow" compact="0" outline="0" showAll="0" defaultSubtotal="0">
      <items count="2">
        <item x="1"/>
        <item x="0"/>
      </items>
    </pivotField>
  </pivotFields>
  <rowFields count="4">
    <field x="13"/>
    <field x="14"/>
    <field x="15"/>
    <field x="16"/>
  </rowFields>
  <rowItems count="200">
    <i>
      <x/>
      <x/>
      <x v="2"/>
      <x v="1"/>
    </i>
    <i>
      <x v="1"/>
      <x/>
      <x v="2"/>
      <x v="1"/>
    </i>
    <i>
      <x v="2"/>
      <x/>
      <x v="1"/>
      <x v="1"/>
    </i>
    <i>
      <x v="3"/>
      <x/>
      <x v="1"/>
      <x v="1"/>
    </i>
    <i>
      <x v="4"/>
      <x/>
      <x v="1"/>
      <x v="1"/>
    </i>
    <i>
      <x v="5"/>
      <x/>
      <x v="1"/>
      <x v="1"/>
    </i>
    <i>
      <x v="6"/>
      <x/>
      <x v="1"/>
      <x v="1"/>
    </i>
    <i>
      <x v="7"/>
      <x/>
      <x v="1"/>
      <x v="1"/>
    </i>
    <i>
      <x v="8"/>
      <x/>
      <x v="1"/>
      <x v="1"/>
    </i>
    <i>
      <x v="9"/>
      <x/>
      <x v="1"/>
      <x v="1"/>
    </i>
    <i>
      <x v="10"/>
      <x/>
      <x v="1"/>
      <x v="1"/>
    </i>
    <i>
      <x v="11"/>
      <x/>
      <x v="1"/>
      <x v="1"/>
    </i>
    <i>
      <x v="12"/>
      <x/>
      <x v="2"/>
      <x v="1"/>
    </i>
    <i>
      <x v="13"/>
      <x/>
      <x v="1"/>
      <x v="1"/>
    </i>
    <i>
      <x v="14"/>
      <x/>
      <x v="1"/>
      <x v="1"/>
    </i>
    <i>
      <x v="15"/>
      <x/>
      <x v="1"/>
      <x v="1"/>
    </i>
    <i>
      <x v="16"/>
      <x/>
      <x v="1"/>
      <x v="1"/>
    </i>
    <i>
      <x v="17"/>
      <x/>
      <x v="1"/>
      <x v="1"/>
    </i>
    <i>
      <x v="18"/>
      <x/>
      <x v="1"/>
      <x v="1"/>
    </i>
    <i>
      <x v="19"/>
      <x/>
      <x v="1"/>
      <x v="1"/>
    </i>
    <i>
      <x v="20"/>
      <x/>
      <x v="1"/>
      <x v="1"/>
    </i>
    <i>
      <x v="21"/>
      <x/>
      <x v="1"/>
      <x v="1"/>
    </i>
    <i>
      <x v="22"/>
      <x/>
      <x v="1"/>
      <x v="1"/>
    </i>
    <i>
      <x v="23"/>
      <x/>
      <x v="2"/>
      <x v="1"/>
    </i>
    <i>
      <x v="24"/>
      <x/>
      <x v="1"/>
      <x v="1"/>
    </i>
    <i>
      <x v="25"/>
      <x/>
      <x v="1"/>
      <x v="1"/>
    </i>
    <i>
      <x v="26"/>
      <x/>
      <x v="1"/>
      <x v="1"/>
    </i>
    <i>
      <x v="27"/>
      <x/>
      <x v="1"/>
      <x v="1"/>
    </i>
    <i>
      <x v="28"/>
      <x/>
      <x v="1"/>
      <x v="1"/>
    </i>
    <i>
      <x v="29"/>
      <x/>
      <x v="1"/>
      <x v="1"/>
    </i>
    <i>
      <x v="30"/>
      <x/>
      <x v="1"/>
      <x v="1"/>
    </i>
    <i>
      <x v="31"/>
      <x/>
      <x v="1"/>
      <x v="1"/>
    </i>
    <i>
      <x v="32"/>
      <x/>
      <x v="1"/>
      <x v="1"/>
    </i>
    <i>
      <x v="33"/>
      <x/>
      <x v="1"/>
      <x v="1"/>
    </i>
    <i>
      <x v="34"/>
      <x/>
      <x v="2"/>
      <x v="1"/>
    </i>
    <i>
      <x v="35"/>
      <x/>
      <x v="1"/>
      <x v="1"/>
    </i>
    <i>
      <x v="36"/>
      <x/>
      <x v="1"/>
      <x v="1"/>
    </i>
    <i>
      <x v="37"/>
      <x/>
      <x v="1"/>
      <x v="1"/>
    </i>
    <i>
      <x v="38"/>
      <x/>
      <x v="1"/>
      <x v="1"/>
    </i>
    <i>
      <x v="39"/>
      <x/>
      <x v="1"/>
      <x v="1"/>
    </i>
    <i>
      <x v="40"/>
      <x/>
      <x v="1"/>
      <x v="1"/>
    </i>
    <i>
      <x v="41"/>
      <x/>
      <x v="1"/>
      <x v="1"/>
    </i>
    <i>
      <x v="42"/>
      <x/>
      <x v="1"/>
      <x v="1"/>
    </i>
    <i>
      <x v="43"/>
      <x/>
      <x v="1"/>
      <x v="1"/>
    </i>
    <i>
      <x v="44"/>
      <x/>
      <x v="1"/>
      <x v="1"/>
    </i>
    <i>
      <x v="45"/>
      <x/>
      <x v="2"/>
      <x v="1"/>
    </i>
    <i>
      <x v="46"/>
      <x/>
      <x v="1"/>
      <x v="1"/>
    </i>
    <i>
      <x v="47"/>
      <x/>
      <x v="1"/>
      <x v="1"/>
    </i>
    <i>
      <x v="48"/>
      <x/>
      <x v="1"/>
      <x v="1"/>
    </i>
    <i>
      <x v="49"/>
      <x/>
      <x v="1"/>
      <x v="1"/>
    </i>
    <i>
      <x v="50"/>
      <x/>
      <x v="1"/>
      <x v="1"/>
    </i>
    <i>
      <x v="51"/>
      <x/>
      <x v="1"/>
      <x v="1"/>
    </i>
    <i>
      <x v="52"/>
      <x/>
      <x v="1"/>
      <x v="1"/>
    </i>
    <i>
      <x v="53"/>
      <x/>
      <x v="1"/>
      <x v="1"/>
    </i>
    <i>
      <x v="54"/>
      <x/>
      <x v="1"/>
      <x v="1"/>
    </i>
    <i>
      <x v="55"/>
      <x/>
      <x v="1"/>
      <x v="1"/>
    </i>
    <i>
      <x v="56"/>
      <x/>
      <x v="2"/>
      <x v="1"/>
    </i>
    <i>
      <x v="57"/>
      <x/>
      <x v="1"/>
      <x v="1"/>
    </i>
    <i>
      <x v="58"/>
      <x/>
      <x v="1"/>
      <x v="1"/>
    </i>
    <i>
      <x v="59"/>
      <x/>
      <x v="1"/>
      <x v="1"/>
    </i>
    <i>
      <x v="60"/>
      <x/>
      <x v="1"/>
      <x v="1"/>
    </i>
    <i>
      <x v="61"/>
      <x/>
      <x v="1"/>
      <x v="1"/>
    </i>
    <i>
      <x v="62"/>
      <x/>
      <x v="1"/>
      <x v="1"/>
    </i>
    <i>
      <x v="63"/>
      <x/>
      <x v="1"/>
      <x v="1"/>
    </i>
    <i>
      <x v="64"/>
      <x/>
      <x v="1"/>
      <x v="1"/>
    </i>
    <i>
      <x v="65"/>
      <x/>
      <x v="1"/>
      <x v="1"/>
    </i>
    <i>
      <x v="66"/>
      <x/>
      <x v="1"/>
      <x v="1"/>
    </i>
    <i>
      <x v="67"/>
      <x/>
      <x v="2"/>
      <x v="1"/>
    </i>
    <i>
      <x v="68"/>
      <x/>
      <x v="1"/>
      <x v="1"/>
    </i>
    <i>
      <x v="69"/>
      <x/>
      <x v="1"/>
      <x v="1"/>
    </i>
    <i>
      <x v="70"/>
      <x/>
      <x v="1"/>
      <x v="1"/>
    </i>
    <i>
      <x v="71"/>
      <x/>
      <x v="1"/>
      <x v="1"/>
    </i>
    <i>
      <x v="72"/>
      <x/>
      <x v="1"/>
      <x v="1"/>
    </i>
    <i>
      <x v="73"/>
      <x/>
      <x v="1"/>
      <x v="1"/>
    </i>
    <i>
      <x v="74"/>
      <x/>
      <x v="1"/>
      <x v="1"/>
    </i>
    <i>
      <x v="75"/>
      <x/>
      <x v="1"/>
      <x v="1"/>
    </i>
    <i>
      <x v="76"/>
      <x/>
      <x v="1"/>
      <x v="1"/>
    </i>
    <i>
      <x v="77"/>
      <x/>
      <x v="1"/>
      <x v="1"/>
    </i>
    <i>
      <x v="78"/>
      <x/>
      <x v="2"/>
      <x v="1"/>
    </i>
    <i>
      <x v="79"/>
      <x/>
      <x v="1"/>
      <x v="1"/>
    </i>
    <i>
      <x v="80"/>
      <x/>
      <x v="1"/>
      <x v="1"/>
    </i>
    <i>
      <x v="81"/>
      <x/>
      <x v="1"/>
      <x v="1"/>
    </i>
    <i>
      <x v="82"/>
      <x/>
      <x v="1"/>
      <x v="1"/>
    </i>
    <i>
      <x v="83"/>
      <x/>
      <x v="1"/>
      <x v="1"/>
    </i>
    <i>
      <x v="84"/>
      <x/>
      <x v="1"/>
      <x v="1"/>
    </i>
    <i>
      <x v="85"/>
      <x/>
      <x v="1"/>
      <x v="1"/>
    </i>
    <i>
      <x v="86"/>
      <x/>
      <x v="1"/>
      <x v="1"/>
    </i>
    <i>
      <x v="87"/>
      <x/>
      <x v="1"/>
      <x v="1"/>
    </i>
    <i>
      <x v="88"/>
      <x/>
      <x v="1"/>
      <x v="1"/>
    </i>
    <i>
      <x v="89"/>
      <x/>
      <x v="2"/>
      <x v="1"/>
    </i>
    <i>
      <x v="90"/>
      <x/>
      <x v="1"/>
      <x v="1"/>
    </i>
    <i>
      <x v="91"/>
      <x/>
      <x v="1"/>
      <x v="1"/>
    </i>
    <i>
      <x v="92"/>
      <x/>
      <x v="1"/>
      <x v="1"/>
    </i>
    <i>
      <x v="93"/>
      <x/>
      <x v="1"/>
      <x v="1"/>
    </i>
    <i>
      <x v="94"/>
      <x/>
      <x v="1"/>
      <x v="1"/>
    </i>
    <i>
      <x v="95"/>
      <x/>
      <x v="1"/>
      <x v="1"/>
    </i>
    <i>
      <x v="96"/>
      <x/>
      <x v="1"/>
      <x v="1"/>
    </i>
    <i>
      <x v="97"/>
      <x/>
      <x v="1"/>
      <x v="1"/>
    </i>
    <i>
      <x v="98"/>
      <x/>
      <x v="1"/>
      <x v="1"/>
    </i>
    <i>
      <x v="99"/>
      <x/>
      <x v="1"/>
      <x v="1"/>
    </i>
    <i>
      <x v="100"/>
      <x/>
      <x v="2"/>
      <x v="1"/>
    </i>
    <i>
      <x v="101"/>
      <x/>
      <x v="1"/>
      <x v="1"/>
    </i>
    <i>
      <x v="102"/>
      <x/>
      <x v="1"/>
      <x v="1"/>
    </i>
    <i>
      <x v="103"/>
      <x/>
      <x v="1"/>
      <x v="1"/>
    </i>
    <i>
      <x v="104"/>
      <x/>
      <x v="1"/>
      <x v="1"/>
    </i>
    <i>
      <x v="105"/>
      <x/>
      <x v="1"/>
      <x v="1"/>
    </i>
    <i>
      <x v="106"/>
      <x/>
      <x v="1"/>
      <x v="1"/>
    </i>
    <i>
      <x v="107"/>
      <x/>
      <x v="1"/>
      <x v="1"/>
    </i>
    <i>
      <x v="108"/>
      <x/>
      <x v="1"/>
      <x v="1"/>
    </i>
    <i>
      <x v="109"/>
      <x/>
      <x v="1"/>
      <x v="1"/>
    </i>
    <i>
      <x v="110"/>
      <x/>
      <x v="1"/>
      <x v="1"/>
    </i>
    <i>
      <x v="111"/>
      <x/>
      <x v="2"/>
      <x v="1"/>
    </i>
    <i>
      <x v="112"/>
      <x/>
      <x v="1"/>
      <x v="1"/>
    </i>
    <i>
      <x v="113"/>
      <x/>
      <x v="1"/>
      <x v="1"/>
    </i>
    <i>
      <x v="114"/>
      <x/>
      <x v="1"/>
      <x v="1"/>
    </i>
    <i>
      <x v="115"/>
      <x/>
      <x v="1"/>
      <x v="1"/>
    </i>
    <i>
      <x v="116"/>
      <x/>
      <x v="1"/>
      <x v="1"/>
    </i>
    <i>
      <x v="117"/>
      <x/>
      <x v="1"/>
      <x v="1"/>
    </i>
    <i>
      <x v="118"/>
      <x/>
      <x v="1"/>
      <x v="1"/>
    </i>
    <i>
      <x v="119"/>
      <x/>
      <x v="1"/>
      <x v="1"/>
    </i>
    <i>
      <x v="120"/>
      <x/>
      <x v="1"/>
      <x v="1"/>
    </i>
    <i>
      <x v="121"/>
      <x/>
      <x v="1"/>
      <x v="1"/>
    </i>
    <i>
      <x v="122"/>
      <x/>
      <x v="1"/>
      <x v="1"/>
    </i>
    <i>
      <x v="123"/>
      <x/>
      <x v="2"/>
      <x v="1"/>
    </i>
    <i>
      <x v="124"/>
      <x/>
      <x v="1"/>
      <x v="1"/>
    </i>
    <i>
      <x v="125"/>
      <x/>
      <x v="1"/>
      <x v="1"/>
    </i>
    <i>
      <x v="126"/>
      <x/>
      <x v="1"/>
      <x v="1"/>
    </i>
    <i>
      <x v="127"/>
      <x/>
      <x v="1"/>
      <x v="1"/>
    </i>
    <i>
      <x v="128"/>
      <x/>
      <x v="1"/>
      <x v="1"/>
    </i>
    <i>
      <x v="129"/>
      <x/>
      <x v="1"/>
      <x v="1"/>
    </i>
    <i>
      <x v="130"/>
      <x/>
      <x v="1"/>
      <x v="1"/>
    </i>
    <i>
      <x v="131"/>
      <x/>
      <x v="1"/>
      <x v="1"/>
    </i>
    <i>
      <x v="132"/>
      <x/>
      <x v="1"/>
      <x v="1"/>
    </i>
    <i>
      <x v="133"/>
      <x/>
      <x v="1"/>
      <x v="1"/>
    </i>
    <i>
      <x v="134"/>
      <x/>
      <x v="2"/>
      <x v="1"/>
    </i>
    <i>
      <x v="135"/>
      <x/>
      <x v="1"/>
      <x v="1"/>
    </i>
    <i>
      <x v="136"/>
      <x/>
      <x v="1"/>
      <x v="1"/>
    </i>
    <i>
      <x v="137"/>
      <x/>
      <x v="1"/>
      <x v="1"/>
    </i>
    <i>
      <x v="138"/>
      <x/>
      <x v="1"/>
      <x v="1"/>
    </i>
    <i>
      <x v="139"/>
      <x/>
      <x v="1"/>
      <x v="1"/>
    </i>
    <i>
      <x v="140"/>
      <x/>
      <x v="1"/>
      <x v="1"/>
    </i>
    <i>
      <x v="141"/>
      <x/>
      <x v="1"/>
      <x v="1"/>
    </i>
    <i>
      <x v="142"/>
      <x/>
      <x v="1"/>
      <x v="1"/>
    </i>
    <i>
      <x v="143"/>
      <x/>
      <x v="1"/>
      <x v="1"/>
    </i>
    <i>
      <x v="144"/>
      <x/>
      <x v="1"/>
      <x v="1"/>
    </i>
    <i>
      <x v="145"/>
      <x/>
      <x v="2"/>
      <x v="1"/>
    </i>
    <i>
      <x v="146"/>
      <x/>
      <x v="1"/>
      <x v="1"/>
    </i>
    <i>
      <x v="147"/>
      <x/>
      <x v="1"/>
      <x v="1"/>
    </i>
    <i>
      <x v="148"/>
      <x/>
      <x v="1"/>
      <x v="1"/>
    </i>
    <i>
      <x v="149"/>
      <x/>
      <x v="1"/>
      <x v="1"/>
    </i>
    <i>
      <x v="150"/>
      <x/>
      <x v="1"/>
      <x v="1"/>
    </i>
    <i>
      <x v="151"/>
      <x/>
      <x v="1"/>
      <x v="1"/>
    </i>
    <i>
      <x v="152"/>
      <x/>
      <x v="1"/>
      <x v="1"/>
    </i>
    <i>
      <x v="153"/>
      <x/>
      <x v="1"/>
      <x v="1"/>
    </i>
    <i>
      <x v="154"/>
      <x/>
      <x v="1"/>
      <x v="1"/>
    </i>
    <i>
      <x v="155"/>
      <x/>
      <x v="1"/>
      <x v="1"/>
    </i>
    <i>
      <x v="156"/>
      <x/>
      <x v="2"/>
      <x v="1"/>
    </i>
    <i>
      <x v="157"/>
      <x/>
      <x v="1"/>
      <x v="1"/>
    </i>
    <i>
      <x v="158"/>
      <x/>
      <x v="1"/>
      <x v="1"/>
    </i>
    <i>
      <x v="159"/>
      <x/>
      <x v="1"/>
      <x v="1"/>
    </i>
    <i>
      <x v="160"/>
      <x/>
      <x v="1"/>
      <x v="1"/>
    </i>
    <i>
      <x v="161"/>
      <x/>
      <x v="1"/>
      <x v="1"/>
    </i>
    <i>
      <x v="162"/>
      <x/>
      <x v="1"/>
      <x v="1"/>
    </i>
    <i>
      <x v="163"/>
      <x/>
      <x v="1"/>
      <x v="1"/>
    </i>
    <i>
      <x v="164"/>
      <x/>
      <x v="1"/>
      <x v="1"/>
    </i>
    <i>
      <x v="165"/>
      <x/>
      <x v="1"/>
      <x v="1"/>
    </i>
    <i>
      <x v="166"/>
      <x/>
      <x v="1"/>
      <x v="1"/>
    </i>
    <i>
      <x v="167"/>
      <x/>
      <x v="2"/>
      <x v="1"/>
    </i>
    <i>
      <x v="168"/>
      <x/>
      <x v="1"/>
      <x v="1"/>
    </i>
    <i>
      <x v="169"/>
      <x/>
      <x v="1"/>
      <x v="1"/>
    </i>
    <i>
      <x v="170"/>
      <x/>
      <x v="1"/>
      <x v="1"/>
    </i>
    <i>
      <x v="171"/>
      <x/>
      <x v="1"/>
      <x v="1"/>
    </i>
    <i>
      <x v="172"/>
      <x/>
      <x v="1"/>
      <x v="1"/>
    </i>
    <i>
      <x v="173"/>
      <x/>
      <x v="1"/>
      <x v="1"/>
    </i>
    <i>
      <x v="174"/>
      <x/>
      <x v="1"/>
      <x v="1"/>
    </i>
    <i>
      <x v="175"/>
      <x/>
      <x v="1"/>
      <x v="1"/>
    </i>
    <i>
      <x v="176"/>
      <x/>
      <x v="1"/>
      <x v="1"/>
    </i>
    <i>
      <x v="177"/>
      <x/>
      <x v="1"/>
      <x v="1"/>
    </i>
    <i>
      <x v="178"/>
      <x/>
      <x v="2"/>
      <x v="1"/>
    </i>
    <i>
      <x v="179"/>
      <x/>
      <x v="1"/>
      <x v="1"/>
    </i>
    <i>
      <x v="180"/>
      <x/>
      <x v="1"/>
      <x v="1"/>
    </i>
    <i>
      <x v="181"/>
      <x/>
      <x v="1"/>
      <x v="1"/>
    </i>
    <i>
      <x v="182"/>
      <x/>
      <x v="1"/>
      <x v="1"/>
    </i>
    <i>
      <x v="183"/>
      <x/>
      <x v="1"/>
      <x v="1"/>
    </i>
    <i>
      <x v="184"/>
      <x/>
      <x v="1"/>
      <x v="1"/>
    </i>
    <i>
      <x v="185"/>
      <x/>
      <x v="1"/>
      <x v="1"/>
    </i>
    <i>
      <x v="186"/>
      <x/>
      <x v="1"/>
      <x v="1"/>
    </i>
    <i>
      <x v="187"/>
      <x/>
      <x v="1"/>
      <x v="1"/>
    </i>
    <i>
      <x v="188"/>
      <x/>
      <x v="1"/>
      <x v="1"/>
    </i>
    <i>
      <x v="189"/>
      <x/>
      <x v="2"/>
      <x v="1"/>
    </i>
    <i>
      <x v="190"/>
      <x/>
      <x v="1"/>
      <x v="1"/>
    </i>
    <i>
      <x v="191"/>
      <x/>
      <x v="1"/>
      <x v="1"/>
    </i>
    <i>
      <x v="192"/>
      <x/>
      <x v="1"/>
      <x v="1"/>
    </i>
    <i>
      <x v="193"/>
      <x/>
      <x v="1"/>
      <x v="1"/>
    </i>
    <i>
      <x v="194"/>
      <x/>
      <x v="1"/>
      <x v="1"/>
    </i>
    <i>
      <x v="195"/>
      <x/>
      <x v="1"/>
      <x v="1"/>
    </i>
    <i>
      <x v="196"/>
      <x/>
      <x v="1"/>
      <x v="1"/>
    </i>
    <i>
      <x v="197"/>
      <x/>
      <x v="1"/>
      <x v="1"/>
    </i>
    <i>
      <x v="198"/>
      <x/>
      <x v="1"/>
      <x v="1"/>
    </i>
    <i>
      <x v="199"/>
      <x/>
      <x v="1"/>
      <x v="1"/>
    </i>
  </rowItems>
  <colItems count="1">
    <i/>
  </colItems>
  <formats count="257">
    <format dxfId="256">
      <pivotArea dataOnly="0" labelOnly="1" outline="0" offset="IV1" fieldPosition="0">
        <references count="2">
          <reference field="13" count="1" selected="0">
            <x v="0"/>
          </reference>
          <reference field="14" count="0"/>
        </references>
      </pivotArea>
    </format>
    <format dxfId="255">
      <pivotArea dataOnly="0" labelOnly="1" outline="0" offset="IV1" fieldPosition="0">
        <references count="2">
          <reference field="13" count="1" selected="0">
            <x v="0"/>
          </reference>
          <reference field="14" count="0"/>
        </references>
      </pivotArea>
    </format>
    <format dxfId="254">
      <pivotArea dataOnly="0" labelOnly="1" outline="0" offset="IV2" fieldPosition="0">
        <references count="2">
          <reference field="13" count="1" selected="0">
            <x v="0"/>
          </reference>
          <reference field="14" count="0"/>
        </references>
      </pivotArea>
    </format>
    <format dxfId="253">
      <pivotArea dataOnly="0" labelOnly="1" outline="0" offset="IV2" fieldPosition="0">
        <references count="2">
          <reference field="13" count="1" selected="0">
            <x v="0"/>
          </reference>
          <reference field="14" count="0"/>
        </references>
      </pivotArea>
    </format>
    <format dxfId="252">
      <pivotArea dataOnly="0" labelOnly="1" outline="0" offset="IV256" fieldPosition="0">
        <references count="2">
          <reference field="13" count="1" selected="0">
            <x v="0"/>
          </reference>
          <reference field="14" count="0"/>
        </references>
      </pivotArea>
    </format>
    <format dxfId="251">
      <pivotArea dataOnly="0" labelOnly="1" outline="0" offset="IV256" fieldPosition="0">
        <references count="2">
          <reference field="13" count="1" selected="0">
            <x v="0"/>
          </reference>
          <reference field="14" count="0"/>
        </references>
      </pivotArea>
    </format>
    <format dxfId="250">
      <pivotArea field="14" type="button" dataOnly="0" labelOnly="1" outline="0" axis="axisRow" fieldPosition="1"/>
    </format>
    <format dxfId="249">
      <pivotArea dataOnly="0" labelOnly="1" outline="0" fieldPosition="0">
        <references count="2">
          <reference field="13" count="1" selected="0">
            <x v="0"/>
          </reference>
          <reference field="14" count="0"/>
        </references>
      </pivotArea>
    </format>
    <format dxfId="248">
      <pivotArea dataOnly="0" labelOnly="1" outline="0" offset="IV1" fieldPosition="0">
        <references count="2">
          <reference field="13" count="1" selected="0">
            <x v="0"/>
          </reference>
          <reference field="14" count="0"/>
        </references>
      </pivotArea>
    </format>
    <format dxfId="247">
      <pivotArea dataOnly="0" labelOnly="1" outline="0" offset="IV1" fieldPosition="0">
        <references count="2">
          <reference field="13" count="1" selected="0">
            <x v="0"/>
          </reference>
          <reference field="14" count="0"/>
        </references>
      </pivotArea>
    </format>
    <format dxfId="246">
      <pivotArea dataOnly="0" labelOnly="1" outline="0" offset="IV2" fieldPosition="0">
        <references count="2">
          <reference field="13" count="1" selected="0">
            <x v="0"/>
          </reference>
          <reference field="14" count="0"/>
        </references>
      </pivotArea>
    </format>
    <format dxfId="245">
      <pivotArea dataOnly="0" labelOnly="1" outline="0" offset="IV2" fieldPosition="0">
        <references count="2">
          <reference field="13" count="1" selected="0">
            <x v="0"/>
          </reference>
          <reference field="14" count="0"/>
        </references>
      </pivotArea>
    </format>
    <format dxfId="244">
      <pivotArea dataOnly="0" labelOnly="1" outline="0" offset="IV256" fieldPosition="0">
        <references count="2">
          <reference field="13" count="1" selected="0">
            <x v="0"/>
          </reference>
          <reference field="14" count="0"/>
        </references>
      </pivotArea>
    </format>
    <format dxfId="243">
      <pivotArea dataOnly="0" labelOnly="1" outline="0" offset="IV256" fieldPosition="0">
        <references count="2">
          <reference field="13" count="1" selected="0">
            <x v="0"/>
          </reference>
          <reference field="14" count="0"/>
        </references>
      </pivotArea>
    </format>
    <format dxfId="242">
      <pivotArea field="14" type="button" dataOnly="0" labelOnly="1" outline="0" axis="axisRow" fieldPosition="1"/>
    </format>
    <format dxfId="241">
      <pivotArea dataOnly="0" labelOnly="1" outline="0" fieldPosition="0">
        <references count="2">
          <reference field="13" count="1" selected="0">
            <x v="0"/>
          </reference>
          <reference field="14" count="0"/>
        </references>
      </pivotArea>
    </format>
    <format dxfId="240">
      <pivotArea dataOnly="0" labelOnly="1" outline="0" offset="IV1" fieldPosition="0">
        <references count="2">
          <reference field="13" count="1" selected="0">
            <x v="0"/>
          </reference>
          <reference field="14" count="0"/>
        </references>
      </pivotArea>
    </format>
    <format dxfId="239">
      <pivotArea dataOnly="0" labelOnly="1" outline="0" offset="IV1" fieldPosition="0">
        <references count="2">
          <reference field="13" count="1" selected="0">
            <x v="0"/>
          </reference>
          <reference field="14" count="0"/>
        </references>
      </pivotArea>
    </format>
    <format dxfId="238">
      <pivotArea dataOnly="0" labelOnly="1" outline="0" offset="IV2" fieldPosition="0">
        <references count="2">
          <reference field="13" count="1" selected="0">
            <x v="0"/>
          </reference>
          <reference field="14" count="0"/>
        </references>
      </pivotArea>
    </format>
    <format dxfId="237">
      <pivotArea dataOnly="0" labelOnly="1" outline="0" offset="IV2" fieldPosition="0">
        <references count="2">
          <reference field="13" count="1" selected="0">
            <x v="0"/>
          </reference>
          <reference field="14" count="0"/>
        </references>
      </pivotArea>
    </format>
    <format dxfId="236">
      <pivotArea dataOnly="0" labelOnly="1" outline="0" offset="IV256" fieldPosition="0">
        <references count="2">
          <reference field="13" count="1" selected="0">
            <x v="0"/>
          </reference>
          <reference field="14" count="0"/>
        </references>
      </pivotArea>
    </format>
    <format dxfId="235">
      <pivotArea dataOnly="0" labelOnly="1" outline="0" offset="IV256" fieldPosition="0">
        <references count="2">
          <reference field="13" count="1" selected="0">
            <x v="0"/>
          </reference>
          <reference field="14" count="0"/>
        </references>
      </pivotArea>
    </format>
    <format dxfId="234">
      <pivotArea field="14" type="button" dataOnly="0" labelOnly="1" outline="0" axis="axisRow" fieldPosition="1"/>
    </format>
    <format dxfId="233">
      <pivotArea dataOnly="0" labelOnly="1" outline="0" fieldPosition="0">
        <references count="2">
          <reference field="13" count="1" selected="0">
            <x v="0"/>
          </reference>
          <reference field="14" count="0"/>
        </references>
      </pivotArea>
    </format>
    <format dxfId="232">
      <pivotArea dataOnly="0" labelOnly="1" outline="0" offset="IV1" fieldPosition="0">
        <references count="2">
          <reference field="13" count="1" selected="0">
            <x v="0"/>
          </reference>
          <reference field="14" count="1">
            <x v="0"/>
          </reference>
        </references>
      </pivotArea>
    </format>
    <format dxfId="231">
      <pivotArea dataOnly="0" labelOnly="1" outline="0" offset="IV1" fieldPosition="0">
        <references count="2">
          <reference field="13" count="1" selected="0">
            <x v="0"/>
          </reference>
          <reference field="14" count="1">
            <x v="0"/>
          </reference>
        </references>
      </pivotArea>
    </format>
    <format dxfId="230">
      <pivotArea dataOnly="0" labelOnly="1" outline="0" offset="IV2" fieldPosition="0">
        <references count="2">
          <reference field="13" count="1" selected="0">
            <x v="0"/>
          </reference>
          <reference field="14" count="1">
            <x v="0"/>
          </reference>
        </references>
      </pivotArea>
    </format>
    <format dxfId="229">
      <pivotArea dataOnly="0" labelOnly="1" outline="0" offset="IV2" fieldPosition="0">
        <references count="2">
          <reference field="13" count="1" selected="0">
            <x v="0"/>
          </reference>
          <reference field="14" count="1">
            <x v="0"/>
          </reference>
        </references>
      </pivotArea>
    </format>
    <format dxfId="228">
      <pivotArea dataOnly="0" labelOnly="1" outline="0" offset="IV3" fieldPosition="0">
        <references count="2">
          <reference field="13" count="1" selected="0">
            <x v="0"/>
          </reference>
          <reference field="14" count="1">
            <x v="0"/>
          </reference>
        </references>
      </pivotArea>
    </format>
    <format dxfId="227">
      <pivotArea dataOnly="0" labelOnly="1" outline="0" offset="IV3" fieldPosition="0">
        <references count="2">
          <reference field="13" count="1" selected="0">
            <x v="0"/>
          </reference>
          <reference field="14" count="1">
            <x v="0"/>
          </reference>
        </references>
      </pivotArea>
    </format>
    <format dxfId="226">
      <pivotArea dataOnly="0" labelOnly="1" outline="0" offset="IV4" fieldPosition="0">
        <references count="2">
          <reference field="13" count="1" selected="0">
            <x v="0"/>
          </reference>
          <reference field="14" count="1">
            <x v="0"/>
          </reference>
        </references>
      </pivotArea>
    </format>
    <format dxfId="225">
      <pivotArea dataOnly="0" labelOnly="1" outline="0" offset="IV4" fieldPosition="0">
        <references count="2">
          <reference field="13" count="1" selected="0">
            <x v="0"/>
          </reference>
          <reference field="14" count="1">
            <x v="0"/>
          </reference>
        </references>
      </pivotArea>
    </format>
    <format dxfId="224">
      <pivotArea dataOnly="0" labelOnly="1" outline="0" offset="IV5" fieldPosition="0">
        <references count="2">
          <reference field="13" count="1" selected="0">
            <x v="0"/>
          </reference>
          <reference field="14" count="1">
            <x v="0"/>
          </reference>
        </references>
      </pivotArea>
    </format>
    <format dxfId="223">
      <pivotArea dataOnly="0" labelOnly="1" outline="0" offset="IV5" fieldPosition="0">
        <references count="2">
          <reference field="13" count="1" selected="0">
            <x v="0"/>
          </reference>
          <reference field="14" count="1">
            <x v="0"/>
          </reference>
        </references>
      </pivotArea>
    </format>
    <format dxfId="222">
      <pivotArea dataOnly="0" labelOnly="1" outline="0" offset="IV6" fieldPosition="0">
        <references count="2">
          <reference field="13" count="1" selected="0">
            <x v="0"/>
          </reference>
          <reference field="14" count="1">
            <x v="0"/>
          </reference>
        </references>
      </pivotArea>
    </format>
    <format dxfId="221">
      <pivotArea dataOnly="0" labelOnly="1" outline="0" offset="IV6" fieldPosition="0">
        <references count="2">
          <reference field="13" count="1" selected="0">
            <x v="0"/>
          </reference>
          <reference field="14" count="1">
            <x v="0"/>
          </reference>
        </references>
      </pivotArea>
    </format>
    <format dxfId="220">
      <pivotArea dataOnly="0" labelOnly="1" outline="0" offset="IV7" fieldPosition="0">
        <references count="2">
          <reference field="13" count="1" selected="0">
            <x v="0"/>
          </reference>
          <reference field="14" count="1">
            <x v="0"/>
          </reference>
        </references>
      </pivotArea>
    </format>
    <format dxfId="219">
      <pivotArea dataOnly="0" labelOnly="1" outline="0" offset="IV7" fieldPosition="0">
        <references count="2">
          <reference field="13" count="1" selected="0">
            <x v="0"/>
          </reference>
          <reference field="14" count="1">
            <x v="0"/>
          </reference>
        </references>
      </pivotArea>
    </format>
    <format dxfId="218">
      <pivotArea dataOnly="0" labelOnly="1" outline="0" offset="IV8" fieldPosition="0">
        <references count="2">
          <reference field="13" count="1" selected="0">
            <x v="0"/>
          </reference>
          <reference field="14" count="1">
            <x v="0"/>
          </reference>
        </references>
      </pivotArea>
    </format>
    <format dxfId="217">
      <pivotArea dataOnly="0" labelOnly="1" outline="0" offset="IV8" fieldPosition="0">
        <references count="2">
          <reference field="13" count="1" selected="0">
            <x v="0"/>
          </reference>
          <reference field="14" count="1">
            <x v="0"/>
          </reference>
        </references>
      </pivotArea>
    </format>
    <format dxfId="216">
      <pivotArea dataOnly="0" labelOnly="1" outline="0" offset="IV9" fieldPosition="0">
        <references count="2">
          <reference field="13" count="1" selected="0">
            <x v="0"/>
          </reference>
          <reference field="14" count="1">
            <x v="0"/>
          </reference>
        </references>
      </pivotArea>
    </format>
    <format dxfId="215">
      <pivotArea dataOnly="0" labelOnly="1" outline="0" offset="IV9" fieldPosition="0">
        <references count="2">
          <reference field="13" count="1" selected="0">
            <x v="0"/>
          </reference>
          <reference field="14" count="1">
            <x v="0"/>
          </reference>
        </references>
      </pivotArea>
    </format>
    <format dxfId="214">
      <pivotArea dataOnly="0" labelOnly="1" outline="0" offset="IV10" fieldPosition="0">
        <references count="2">
          <reference field="13" count="1" selected="0">
            <x v="0"/>
          </reference>
          <reference field="14" count="1">
            <x v="0"/>
          </reference>
        </references>
      </pivotArea>
    </format>
    <format dxfId="213">
      <pivotArea dataOnly="0" labelOnly="1" outline="0" offset="IV10" fieldPosition="0">
        <references count="2">
          <reference field="13" count="1" selected="0">
            <x v="0"/>
          </reference>
          <reference field="14" count="1">
            <x v="0"/>
          </reference>
        </references>
      </pivotArea>
    </format>
    <format dxfId="212">
      <pivotArea dataOnly="0" labelOnly="1" outline="0" offset="IV11" fieldPosition="0">
        <references count="2">
          <reference field="13" count="1" selected="0">
            <x v="0"/>
          </reference>
          <reference field="14" count="1">
            <x v="0"/>
          </reference>
        </references>
      </pivotArea>
    </format>
    <format dxfId="211">
      <pivotArea dataOnly="0" labelOnly="1" outline="0" offset="IV11" fieldPosition="0">
        <references count="2">
          <reference field="13" count="1" selected="0">
            <x v="0"/>
          </reference>
          <reference field="14" count="1">
            <x v="0"/>
          </reference>
        </references>
      </pivotArea>
    </format>
    <format dxfId="210">
      <pivotArea dataOnly="0" labelOnly="1" outline="0" offset="IV12" fieldPosition="0">
        <references count="2">
          <reference field="13" count="1" selected="0">
            <x v="0"/>
          </reference>
          <reference field="14" count="1">
            <x v="0"/>
          </reference>
        </references>
      </pivotArea>
    </format>
    <format dxfId="209">
      <pivotArea dataOnly="0" labelOnly="1" outline="0" offset="IV12" fieldPosition="0">
        <references count="2">
          <reference field="13" count="1" selected="0">
            <x v="0"/>
          </reference>
          <reference field="14" count="1">
            <x v="0"/>
          </reference>
        </references>
      </pivotArea>
    </format>
    <format dxfId="208">
      <pivotArea dataOnly="0" labelOnly="1" outline="0" offset="IV13" fieldPosition="0">
        <references count="2">
          <reference field="13" count="1" selected="0">
            <x v="0"/>
          </reference>
          <reference field="14" count="1">
            <x v="0"/>
          </reference>
        </references>
      </pivotArea>
    </format>
    <format dxfId="207">
      <pivotArea dataOnly="0" labelOnly="1" outline="0" offset="IV13" fieldPosition="0">
        <references count="2">
          <reference field="13" count="1" selected="0">
            <x v="0"/>
          </reference>
          <reference field="14" count="1">
            <x v="0"/>
          </reference>
        </references>
      </pivotArea>
    </format>
    <format dxfId="206">
      <pivotArea dataOnly="0" labelOnly="1" outline="0" offset="IV14" fieldPosition="0">
        <references count="2">
          <reference field="13" count="1" selected="0">
            <x v="0"/>
          </reference>
          <reference field="14" count="1">
            <x v="0"/>
          </reference>
        </references>
      </pivotArea>
    </format>
    <format dxfId="205">
      <pivotArea dataOnly="0" labelOnly="1" outline="0" offset="IV14" fieldPosition="0">
        <references count="2">
          <reference field="13" count="1" selected="0">
            <x v="0"/>
          </reference>
          <reference field="14" count="1">
            <x v="0"/>
          </reference>
        </references>
      </pivotArea>
    </format>
    <format dxfId="204">
      <pivotArea dataOnly="0" labelOnly="1" outline="0" offset="IV15" fieldPosition="0">
        <references count="2">
          <reference field="13" count="1" selected="0">
            <x v="0"/>
          </reference>
          <reference field="14" count="1">
            <x v="0"/>
          </reference>
        </references>
      </pivotArea>
    </format>
    <format dxfId="203">
      <pivotArea dataOnly="0" labelOnly="1" outline="0" offset="IV15" fieldPosition="0">
        <references count="2">
          <reference field="13" count="1" selected="0">
            <x v="0"/>
          </reference>
          <reference field="14" count="1">
            <x v="0"/>
          </reference>
        </references>
      </pivotArea>
    </format>
    <format dxfId="202">
      <pivotArea dataOnly="0" labelOnly="1" outline="0" offset="IV16" fieldPosition="0">
        <references count="2">
          <reference field="13" count="1" selected="0">
            <x v="0"/>
          </reference>
          <reference field="14" count="1">
            <x v="0"/>
          </reference>
        </references>
      </pivotArea>
    </format>
    <format dxfId="201">
      <pivotArea dataOnly="0" labelOnly="1" outline="0" offset="IV16" fieldPosition="0">
        <references count="2">
          <reference field="13" count="1" selected="0">
            <x v="0"/>
          </reference>
          <reference field="14" count="1">
            <x v="0"/>
          </reference>
        </references>
      </pivotArea>
    </format>
    <format dxfId="200">
      <pivotArea dataOnly="0" labelOnly="1" outline="0" offset="IV17" fieldPosition="0">
        <references count="2">
          <reference field="13" count="1" selected="0">
            <x v="0"/>
          </reference>
          <reference field="14" count="1">
            <x v="0"/>
          </reference>
        </references>
      </pivotArea>
    </format>
    <format dxfId="199">
      <pivotArea dataOnly="0" labelOnly="1" outline="0" offset="IV17" fieldPosition="0">
        <references count="2">
          <reference field="13" count="1" selected="0">
            <x v="0"/>
          </reference>
          <reference field="14" count="1">
            <x v="0"/>
          </reference>
        </references>
      </pivotArea>
    </format>
    <format dxfId="198">
      <pivotArea dataOnly="0" labelOnly="1" outline="0" offset="IV18" fieldPosition="0">
        <references count="2">
          <reference field="13" count="1" selected="0">
            <x v="0"/>
          </reference>
          <reference field="14" count="1">
            <x v="0"/>
          </reference>
        </references>
      </pivotArea>
    </format>
    <format dxfId="197">
      <pivotArea dataOnly="0" labelOnly="1" outline="0" offset="IV18" fieldPosition="0">
        <references count="2">
          <reference field="13" count="1" selected="0">
            <x v="0"/>
          </reference>
          <reference field="14" count="1">
            <x v="0"/>
          </reference>
        </references>
      </pivotArea>
    </format>
    <format dxfId="196">
      <pivotArea dataOnly="0" labelOnly="1" outline="0" offset="IV19" fieldPosition="0">
        <references count="2">
          <reference field="13" count="1" selected="0">
            <x v="0"/>
          </reference>
          <reference field="14" count="1">
            <x v="0"/>
          </reference>
        </references>
      </pivotArea>
    </format>
    <format dxfId="195">
      <pivotArea dataOnly="0" labelOnly="1" outline="0" offset="IV19" fieldPosition="0">
        <references count="2">
          <reference field="13" count="1" selected="0">
            <x v="0"/>
          </reference>
          <reference field="14" count="1">
            <x v="0"/>
          </reference>
        </references>
      </pivotArea>
    </format>
    <format dxfId="194">
      <pivotArea dataOnly="0" labelOnly="1" outline="0" offset="IV20" fieldPosition="0">
        <references count="2">
          <reference field="13" count="1" selected="0">
            <x v="0"/>
          </reference>
          <reference field="14" count="1">
            <x v="0"/>
          </reference>
        </references>
      </pivotArea>
    </format>
    <format dxfId="193">
      <pivotArea dataOnly="0" labelOnly="1" outline="0" offset="IV20" fieldPosition="0">
        <references count="2">
          <reference field="13" count="1" selected="0">
            <x v="0"/>
          </reference>
          <reference field="14" count="1">
            <x v="0"/>
          </reference>
        </references>
      </pivotArea>
    </format>
    <format dxfId="192">
      <pivotArea dataOnly="0" labelOnly="1" outline="0" offset="IV21" fieldPosition="0">
        <references count="2">
          <reference field="13" count="1" selected="0">
            <x v="0"/>
          </reference>
          <reference field="14" count="1">
            <x v="0"/>
          </reference>
        </references>
      </pivotArea>
    </format>
    <format dxfId="191">
      <pivotArea dataOnly="0" labelOnly="1" outline="0" offset="IV21" fieldPosition="0">
        <references count="2">
          <reference field="13" count="1" selected="0">
            <x v="0"/>
          </reference>
          <reference field="14" count="1">
            <x v="0"/>
          </reference>
        </references>
      </pivotArea>
    </format>
    <format dxfId="190">
      <pivotArea dataOnly="0" labelOnly="1" outline="0" offset="IV2" fieldPosition="0">
        <references count="2">
          <reference field="13" count="1" selected="0">
            <x v="0"/>
          </reference>
          <reference field="14" count="1">
            <x v="0"/>
          </reference>
        </references>
      </pivotArea>
    </format>
    <format dxfId="189">
      <pivotArea dataOnly="0" labelOnly="1" outline="0" offset="IV2" fieldPosition="0">
        <references count="2">
          <reference field="13" count="1" selected="0">
            <x v="0"/>
          </reference>
          <reference field="14" count="1">
            <x v="0"/>
          </reference>
        </references>
      </pivotArea>
    </format>
    <format dxfId="188">
      <pivotArea dataOnly="0" labelOnly="1" outline="0" offset="IV3" fieldPosition="0">
        <references count="2">
          <reference field="13" count="1" selected="0">
            <x v="0"/>
          </reference>
          <reference field="14" count="1">
            <x v="0"/>
          </reference>
        </references>
      </pivotArea>
    </format>
    <format dxfId="187">
      <pivotArea dataOnly="0" labelOnly="1" outline="0" offset="IV3" fieldPosition="0">
        <references count="2">
          <reference field="13" count="1" selected="0">
            <x v="0"/>
          </reference>
          <reference field="14" count="1">
            <x v="0"/>
          </reference>
        </references>
      </pivotArea>
    </format>
    <format dxfId="186">
      <pivotArea dataOnly="0" labelOnly="1" outline="0" offset="IV4" fieldPosition="0">
        <references count="2">
          <reference field="13" count="1" selected="0">
            <x v="0"/>
          </reference>
          <reference field="14" count="1">
            <x v="0"/>
          </reference>
        </references>
      </pivotArea>
    </format>
    <format dxfId="185">
      <pivotArea dataOnly="0" labelOnly="1" outline="0" offset="IV4" fieldPosition="0">
        <references count="2">
          <reference field="13" count="1" selected="0">
            <x v="0"/>
          </reference>
          <reference field="14" count="1">
            <x v="0"/>
          </reference>
        </references>
      </pivotArea>
    </format>
    <format dxfId="184">
      <pivotArea dataOnly="0" labelOnly="1" outline="0" offset="IV5" fieldPosition="0">
        <references count="2">
          <reference field="13" count="1" selected="0">
            <x v="0"/>
          </reference>
          <reference field="14" count="1">
            <x v="0"/>
          </reference>
        </references>
      </pivotArea>
    </format>
    <format dxfId="183">
      <pivotArea dataOnly="0" labelOnly="1" outline="0" offset="IV5" fieldPosition="0">
        <references count="2">
          <reference field="13" count="1" selected="0">
            <x v="0"/>
          </reference>
          <reference field="14" count="1">
            <x v="0"/>
          </reference>
        </references>
      </pivotArea>
    </format>
    <format dxfId="182">
      <pivotArea dataOnly="0" labelOnly="1" outline="0" offset="IV6" fieldPosition="0">
        <references count="2">
          <reference field="13" count="1" selected="0">
            <x v="0"/>
          </reference>
          <reference field="14" count="1">
            <x v="0"/>
          </reference>
        </references>
      </pivotArea>
    </format>
    <format dxfId="181">
      <pivotArea dataOnly="0" labelOnly="1" outline="0" offset="IV6" fieldPosition="0">
        <references count="2">
          <reference field="13" count="1" selected="0">
            <x v="0"/>
          </reference>
          <reference field="14" count="1">
            <x v="0"/>
          </reference>
        </references>
      </pivotArea>
    </format>
    <format dxfId="180">
      <pivotArea dataOnly="0" labelOnly="1" outline="0" offset="IV7" fieldPosition="0">
        <references count="2">
          <reference field="13" count="1" selected="0">
            <x v="0"/>
          </reference>
          <reference field="14" count="1">
            <x v="0"/>
          </reference>
        </references>
      </pivotArea>
    </format>
    <format dxfId="179">
      <pivotArea dataOnly="0" labelOnly="1" outline="0" offset="IV7" fieldPosition="0">
        <references count="2">
          <reference field="13" count="1" selected="0">
            <x v="0"/>
          </reference>
          <reference field="14" count="1">
            <x v="0"/>
          </reference>
        </references>
      </pivotArea>
    </format>
    <format dxfId="178">
      <pivotArea dataOnly="0" labelOnly="1" outline="0" offset="IV8" fieldPosition="0">
        <references count="2">
          <reference field="13" count="1" selected="0">
            <x v="0"/>
          </reference>
          <reference field="14" count="1">
            <x v="0"/>
          </reference>
        </references>
      </pivotArea>
    </format>
    <format dxfId="177">
      <pivotArea dataOnly="0" labelOnly="1" outline="0" offset="IV8" fieldPosition="0">
        <references count="2">
          <reference field="13" count="1" selected="0">
            <x v="0"/>
          </reference>
          <reference field="14" count="1">
            <x v="0"/>
          </reference>
        </references>
      </pivotArea>
    </format>
    <format dxfId="176">
      <pivotArea dataOnly="0" labelOnly="1" outline="0" offset="IV9" fieldPosition="0">
        <references count="2">
          <reference field="13" count="1" selected="0">
            <x v="0"/>
          </reference>
          <reference field="14" count="1">
            <x v="0"/>
          </reference>
        </references>
      </pivotArea>
    </format>
    <format dxfId="175">
      <pivotArea dataOnly="0" labelOnly="1" outline="0" offset="IV9" fieldPosition="0">
        <references count="2">
          <reference field="13" count="1" selected="0">
            <x v="0"/>
          </reference>
          <reference field="14" count="1">
            <x v="0"/>
          </reference>
        </references>
      </pivotArea>
    </format>
    <format dxfId="174">
      <pivotArea dataOnly="0" labelOnly="1" outline="0" offset="IV10" fieldPosition="0">
        <references count="2">
          <reference field="13" count="1" selected="0">
            <x v="0"/>
          </reference>
          <reference field="14" count="1">
            <x v="0"/>
          </reference>
        </references>
      </pivotArea>
    </format>
    <format dxfId="173">
      <pivotArea dataOnly="0" labelOnly="1" outline="0" offset="IV10" fieldPosition="0">
        <references count="2">
          <reference field="13" count="1" selected="0">
            <x v="0"/>
          </reference>
          <reference field="14" count="1">
            <x v="0"/>
          </reference>
        </references>
      </pivotArea>
    </format>
    <format dxfId="172">
      <pivotArea dataOnly="0" labelOnly="1" outline="0" offset="IV11" fieldPosition="0">
        <references count="2">
          <reference field="13" count="1" selected="0">
            <x v="0"/>
          </reference>
          <reference field="14" count="1">
            <x v="0"/>
          </reference>
        </references>
      </pivotArea>
    </format>
    <format dxfId="171">
      <pivotArea dataOnly="0" labelOnly="1" outline="0" offset="IV11" fieldPosition="0">
        <references count="2">
          <reference field="13" count="1" selected="0">
            <x v="0"/>
          </reference>
          <reference field="14" count="1">
            <x v="0"/>
          </reference>
        </references>
      </pivotArea>
    </format>
    <format dxfId="170">
      <pivotArea field="14" type="button" dataOnly="0" labelOnly="1" outline="0" axis="axisRow" fieldPosition="1"/>
    </format>
    <format dxfId="169">
      <pivotArea dataOnly="0" labelOnly="1" outline="0" fieldPosition="0">
        <references count="2">
          <reference field="13" count="1" selected="0">
            <x v="0"/>
          </reference>
          <reference field="14" count="1">
            <x v="0"/>
          </reference>
        </references>
      </pivotArea>
    </format>
    <format dxfId="168">
      <pivotArea dataOnly="0" labelOnly="1" outline="0" fieldPosition="0">
        <references count="2">
          <reference field="13" count="1" selected="0">
            <x v="200"/>
          </reference>
          <reference field="14" count="1">
            <x v="1"/>
          </reference>
        </references>
      </pivotArea>
    </format>
    <format dxfId="167">
      <pivotArea dataOnly="0" labelOnly="1" outline="0" offset="IV1" fieldPosition="0">
        <references count="2">
          <reference field="13" count="1" selected="0">
            <x v="0"/>
          </reference>
          <reference field="14" count="1">
            <x v="0"/>
          </reference>
        </references>
      </pivotArea>
    </format>
    <format dxfId="166">
      <pivotArea dataOnly="0" labelOnly="1" outline="0" offset="IV1" fieldPosition="0">
        <references count="2">
          <reference field="13" count="1" selected="0">
            <x v="0"/>
          </reference>
          <reference field="14" count="1">
            <x v="0"/>
          </reference>
        </references>
      </pivotArea>
    </format>
    <format dxfId="165">
      <pivotArea dataOnly="0" labelOnly="1" outline="0" offset="IV2" fieldPosition="0">
        <references count="2">
          <reference field="13" count="1" selected="0">
            <x v="0"/>
          </reference>
          <reference field="14" count="1">
            <x v="0"/>
          </reference>
        </references>
      </pivotArea>
    </format>
    <format dxfId="164">
      <pivotArea dataOnly="0" labelOnly="1" outline="0" offset="IV2" fieldPosition="0">
        <references count="2">
          <reference field="13" count="1" selected="0">
            <x v="0"/>
          </reference>
          <reference field="14" count="1">
            <x v="0"/>
          </reference>
        </references>
      </pivotArea>
    </format>
    <format dxfId="163">
      <pivotArea dataOnly="0" labelOnly="1" outline="0" offset="IV3" fieldPosition="0">
        <references count="2">
          <reference field="13" count="1" selected="0">
            <x v="0"/>
          </reference>
          <reference field="14" count="1">
            <x v="0"/>
          </reference>
        </references>
      </pivotArea>
    </format>
    <format dxfId="162">
      <pivotArea dataOnly="0" labelOnly="1" outline="0" offset="IV3" fieldPosition="0">
        <references count="2">
          <reference field="13" count="1" selected="0">
            <x v="0"/>
          </reference>
          <reference field="14" count="1">
            <x v="0"/>
          </reference>
        </references>
      </pivotArea>
    </format>
    <format dxfId="161">
      <pivotArea dataOnly="0" labelOnly="1" outline="0" offset="IV4" fieldPosition="0">
        <references count="2">
          <reference field="13" count="1" selected="0">
            <x v="0"/>
          </reference>
          <reference field="14" count="1">
            <x v="0"/>
          </reference>
        </references>
      </pivotArea>
    </format>
    <format dxfId="160">
      <pivotArea dataOnly="0" labelOnly="1" outline="0" offset="IV4" fieldPosition="0">
        <references count="2">
          <reference field="13" count="1" selected="0">
            <x v="0"/>
          </reference>
          <reference field="14" count="1">
            <x v="0"/>
          </reference>
        </references>
      </pivotArea>
    </format>
    <format dxfId="159">
      <pivotArea dataOnly="0" labelOnly="1" outline="0" offset="IV5" fieldPosition="0">
        <references count="2">
          <reference field="13" count="1" selected="0">
            <x v="0"/>
          </reference>
          <reference field="14" count="1">
            <x v="0"/>
          </reference>
        </references>
      </pivotArea>
    </format>
    <format dxfId="158">
      <pivotArea dataOnly="0" labelOnly="1" outline="0" offset="IV5" fieldPosition="0">
        <references count="2">
          <reference field="13" count="1" selected="0">
            <x v="0"/>
          </reference>
          <reference field="14" count="1">
            <x v="0"/>
          </reference>
        </references>
      </pivotArea>
    </format>
    <format dxfId="157">
      <pivotArea dataOnly="0" labelOnly="1" outline="0" offset="IV6" fieldPosition="0">
        <references count="2">
          <reference field="13" count="1" selected="0">
            <x v="0"/>
          </reference>
          <reference field="14" count="1">
            <x v="0"/>
          </reference>
        </references>
      </pivotArea>
    </format>
    <format dxfId="156">
      <pivotArea dataOnly="0" labelOnly="1" outline="0" offset="IV6" fieldPosition="0">
        <references count="2">
          <reference field="13" count="1" selected="0">
            <x v="0"/>
          </reference>
          <reference field="14" count="1">
            <x v="0"/>
          </reference>
        </references>
      </pivotArea>
    </format>
    <format dxfId="155">
      <pivotArea dataOnly="0" labelOnly="1" outline="0" offset="IV7" fieldPosition="0">
        <references count="2">
          <reference field="13" count="1" selected="0">
            <x v="0"/>
          </reference>
          <reference field="14" count="1">
            <x v="0"/>
          </reference>
        </references>
      </pivotArea>
    </format>
    <format dxfId="154">
      <pivotArea dataOnly="0" labelOnly="1" outline="0" offset="IV7" fieldPosition="0">
        <references count="2">
          <reference field="13" count="1" selected="0">
            <x v="0"/>
          </reference>
          <reference field="14" count="1">
            <x v="0"/>
          </reference>
        </references>
      </pivotArea>
    </format>
    <format dxfId="153">
      <pivotArea dataOnly="0" labelOnly="1" outline="0" offset="IV8" fieldPosition="0">
        <references count="2">
          <reference field="13" count="1" selected="0">
            <x v="0"/>
          </reference>
          <reference field="14" count="1">
            <x v="0"/>
          </reference>
        </references>
      </pivotArea>
    </format>
    <format dxfId="152">
      <pivotArea dataOnly="0" labelOnly="1" outline="0" offset="IV8" fieldPosition="0">
        <references count="2">
          <reference field="13" count="1" selected="0">
            <x v="0"/>
          </reference>
          <reference field="14" count="1">
            <x v="0"/>
          </reference>
        </references>
      </pivotArea>
    </format>
    <format dxfId="151">
      <pivotArea dataOnly="0" labelOnly="1" outline="0" offset="IV9" fieldPosition="0">
        <references count="2">
          <reference field="13" count="1" selected="0">
            <x v="0"/>
          </reference>
          <reference field="14" count="1">
            <x v="0"/>
          </reference>
        </references>
      </pivotArea>
    </format>
    <format dxfId="150">
      <pivotArea dataOnly="0" labelOnly="1" outline="0" offset="IV9" fieldPosition="0">
        <references count="2">
          <reference field="13" count="1" selected="0">
            <x v="0"/>
          </reference>
          <reference field="14" count="1">
            <x v="0"/>
          </reference>
        </references>
      </pivotArea>
    </format>
    <format dxfId="149">
      <pivotArea dataOnly="0" labelOnly="1" outline="0" offset="IV10" fieldPosition="0">
        <references count="2">
          <reference field="13" count="1" selected="0">
            <x v="0"/>
          </reference>
          <reference field="14" count="1">
            <x v="0"/>
          </reference>
        </references>
      </pivotArea>
    </format>
    <format dxfId="148">
      <pivotArea dataOnly="0" labelOnly="1" outline="0" offset="IV10" fieldPosition="0">
        <references count="2">
          <reference field="13" count="1" selected="0">
            <x v="0"/>
          </reference>
          <reference field="14" count="1">
            <x v="0"/>
          </reference>
        </references>
      </pivotArea>
    </format>
    <format dxfId="147">
      <pivotArea dataOnly="0" labelOnly="1" outline="0" offset="IV11" fieldPosition="0">
        <references count="2">
          <reference field="13" count="1" selected="0">
            <x v="0"/>
          </reference>
          <reference field="14" count="1">
            <x v="0"/>
          </reference>
        </references>
      </pivotArea>
    </format>
    <format dxfId="146">
      <pivotArea dataOnly="0" labelOnly="1" outline="0" offset="IV11" fieldPosition="0">
        <references count="2">
          <reference field="13" count="1" selected="0">
            <x v="0"/>
          </reference>
          <reference field="14" count="1">
            <x v="0"/>
          </reference>
        </references>
      </pivotArea>
    </format>
    <format dxfId="145">
      <pivotArea dataOnly="0" labelOnly="1" outline="0" offset="IV12" fieldPosition="0">
        <references count="2">
          <reference field="13" count="1" selected="0">
            <x v="0"/>
          </reference>
          <reference field="14" count="1">
            <x v="0"/>
          </reference>
        </references>
      </pivotArea>
    </format>
    <format dxfId="144">
      <pivotArea dataOnly="0" labelOnly="1" outline="0" offset="IV12" fieldPosition="0">
        <references count="2">
          <reference field="13" count="1" selected="0">
            <x v="0"/>
          </reference>
          <reference field="14" count="1">
            <x v="0"/>
          </reference>
        </references>
      </pivotArea>
    </format>
    <format dxfId="143">
      <pivotArea field="14" type="button" dataOnly="0" labelOnly="1" outline="0" axis="axisRow" fieldPosition="1"/>
    </format>
    <format dxfId="142">
      <pivotArea dataOnly="0" labelOnly="1" outline="0" fieldPosition="0">
        <references count="2">
          <reference field="13" count="1" selected="0">
            <x v="0"/>
          </reference>
          <reference field="14" count="1">
            <x v="0"/>
          </reference>
        </references>
      </pivotArea>
    </format>
    <format dxfId="141">
      <pivotArea dataOnly="0" labelOnly="1" outline="0" fieldPosition="0">
        <references count="2">
          <reference field="13" count="1" selected="0">
            <x v="200"/>
          </reference>
          <reference field="14" count="1">
            <x v="1"/>
          </reference>
        </references>
      </pivotArea>
    </format>
    <format dxfId="140">
      <pivotArea dataOnly="0" labelOnly="1" outline="0" fieldPosition="0">
        <references count="1">
          <reference field="13" count="1">
            <x v="0"/>
          </reference>
        </references>
      </pivotArea>
    </format>
    <format dxfId="139">
      <pivotArea dataOnly="0" labelOnly="1" outline="0" fieldPosition="0">
        <references count="1">
          <reference field="13" count="1">
            <x v="0"/>
          </reference>
        </references>
      </pivotArea>
    </format>
    <format dxfId="138">
      <pivotArea dataOnly="0" labelOnly="1" outline="0" fieldPosition="0">
        <references count="1">
          <reference field="13" count="1">
            <x v="1"/>
          </reference>
        </references>
      </pivotArea>
    </format>
    <format dxfId="137">
      <pivotArea dataOnly="0" labelOnly="1" outline="0" fieldPosition="0">
        <references count="1">
          <reference field="13" count="1">
            <x v="1"/>
          </reference>
        </references>
      </pivotArea>
    </format>
    <format dxfId="136">
      <pivotArea dataOnly="0" labelOnly="1" outline="0" fieldPosition="0">
        <references count="1">
          <reference field="13" count="1">
            <x v="2"/>
          </reference>
        </references>
      </pivotArea>
    </format>
    <format dxfId="135">
      <pivotArea dataOnly="0" labelOnly="1" outline="0" fieldPosition="0">
        <references count="1">
          <reference field="13" count="1">
            <x v="2"/>
          </reference>
        </references>
      </pivotArea>
    </format>
    <format dxfId="134">
      <pivotArea dataOnly="0" labelOnly="1" outline="0" fieldPosition="0">
        <references count="1">
          <reference field="13" count="1">
            <x v="3"/>
          </reference>
        </references>
      </pivotArea>
    </format>
    <format dxfId="133">
      <pivotArea dataOnly="0" labelOnly="1" outline="0" fieldPosition="0">
        <references count="1">
          <reference field="13" count="1">
            <x v="3"/>
          </reference>
        </references>
      </pivotArea>
    </format>
    <format dxfId="132">
      <pivotArea field="13" type="button" dataOnly="0" labelOnly="1" outline="0" axis="axisRow" fieldPosition="0"/>
    </format>
    <format dxfId="131">
      <pivotArea dataOnly="0" labelOnly="1" outline="0" fieldPosition="0">
        <references count="1">
          <reference field="1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0">
      <pivotArea dataOnly="0" labelOnly="1" outline="0" fieldPosition="0">
        <references count="1">
          <reference field="1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29">
      <pivotArea dataOnly="0" labelOnly="1" outline="0" fieldPosition="0">
        <references count="1">
          <reference field="13"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28">
      <pivotArea dataOnly="0" labelOnly="1" outline="0" fieldPosition="0">
        <references count="1">
          <reference field="13"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27">
      <pivotArea dataOnly="0" labelOnly="1" outline="0" fieldPosition="0">
        <references count="1">
          <reference field="13" count="1">
            <x v="0"/>
          </reference>
        </references>
      </pivotArea>
    </format>
    <format dxfId="126">
      <pivotArea dataOnly="0" labelOnly="1" outline="0" fieldPosition="0">
        <references count="1">
          <reference field="13" count="1">
            <x v="0"/>
          </reference>
        </references>
      </pivotArea>
    </format>
    <format dxfId="125">
      <pivotArea dataOnly="0" labelOnly="1" outline="0" fieldPosition="0">
        <references count="1">
          <reference field="13" count="1">
            <x v="1"/>
          </reference>
        </references>
      </pivotArea>
    </format>
    <format dxfId="124">
      <pivotArea dataOnly="0" labelOnly="1" outline="0" fieldPosition="0">
        <references count="1">
          <reference field="13" count="1">
            <x v="1"/>
          </reference>
        </references>
      </pivotArea>
    </format>
    <format dxfId="123">
      <pivotArea dataOnly="0" labelOnly="1" outline="0" fieldPosition="0">
        <references count="1">
          <reference field="13" count="1">
            <x v="2"/>
          </reference>
        </references>
      </pivotArea>
    </format>
    <format dxfId="122">
      <pivotArea dataOnly="0" labelOnly="1" outline="0" fieldPosition="0">
        <references count="1">
          <reference field="13" count="1">
            <x v="2"/>
          </reference>
        </references>
      </pivotArea>
    </format>
    <format dxfId="121">
      <pivotArea dataOnly="0" labelOnly="1" outline="0" fieldPosition="0">
        <references count="1">
          <reference field="13" count="1">
            <x v="3"/>
          </reference>
        </references>
      </pivotArea>
    </format>
    <format dxfId="120">
      <pivotArea dataOnly="0" labelOnly="1" outline="0" fieldPosition="0">
        <references count="1">
          <reference field="13" count="1">
            <x v="3"/>
          </reference>
        </references>
      </pivotArea>
    </format>
    <format dxfId="119">
      <pivotArea dataOnly="0" labelOnly="1" outline="0" fieldPosition="0">
        <references count="1">
          <reference field="13" count="1">
            <x v="4"/>
          </reference>
        </references>
      </pivotArea>
    </format>
    <format dxfId="118">
      <pivotArea dataOnly="0" labelOnly="1" outline="0" fieldPosition="0">
        <references count="1">
          <reference field="13" count="1">
            <x v="4"/>
          </reference>
        </references>
      </pivotArea>
    </format>
    <format dxfId="117">
      <pivotArea dataOnly="0" labelOnly="1" outline="0" fieldPosition="0">
        <references count="1">
          <reference field="13" count="1">
            <x v="5"/>
          </reference>
        </references>
      </pivotArea>
    </format>
    <format dxfId="116">
      <pivotArea dataOnly="0" labelOnly="1" outline="0" fieldPosition="0">
        <references count="1">
          <reference field="13" count="1">
            <x v="5"/>
          </reference>
        </references>
      </pivotArea>
    </format>
    <format dxfId="115">
      <pivotArea dataOnly="0" labelOnly="1" outline="0" fieldPosition="0">
        <references count="1">
          <reference field="13" count="1">
            <x v="6"/>
          </reference>
        </references>
      </pivotArea>
    </format>
    <format dxfId="114">
      <pivotArea dataOnly="0" labelOnly="1" outline="0" fieldPosition="0">
        <references count="1">
          <reference field="13" count="1">
            <x v="6"/>
          </reference>
        </references>
      </pivotArea>
    </format>
    <format dxfId="113">
      <pivotArea dataOnly="0" labelOnly="1" outline="0" fieldPosition="0">
        <references count="1">
          <reference field="13" count="1">
            <x v="7"/>
          </reference>
        </references>
      </pivotArea>
    </format>
    <format dxfId="112">
      <pivotArea dataOnly="0" labelOnly="1" outline="0" fieldPosition="0">
        <references count="1">
          <reference field="13" count="1">
            <x v="7"/>
          </reference>
        </references>
      </pivotArea>
    </format>
    <format dxfId="111">
      <pivotArea dataOnly="0" labelOnly="1" outline="0" fieldPosition="0">
        <references count="1">
          <reference field="13" count="1">
            <x v="8"/>
          </reference>
        </references>
      </pivotArea>
    </format>
    <format dxfId="110">
      <pivotArea dataOnly="0" labelOnly="1" outline="0" fieldPosition="0">
        <references count="1">
          <reference field="13" count="1">
            <x v="8"/>
          </reference>
        </references>
      </pivotArea>
    </format>
    <format dxfId="109">
      <pivotArea dataOnly="0" labelOnly="1" outline="0" fieldPosition="0">
        <references count="1">
          <reference field="13" count="1">
            <x v="9"/>
          </reference>
        </references>
      </pivotArea>
    </format>
    <format dxfId="108">
      <pivotArea dataOnly="0" labelOnly="1" outline="0" fieldPosition="0">
        <references count="1">
          <reference field="13" count="1">
            <x v="9"/>
          </reference>
        </references>
      </pivotArea>
    </format>
    <format dxfId="107">
      <pivotArea dataOnly="0" labelOnly="1" outline="0" fieldPosition="0">
        <references count="1">
          <reference field="13" count="1">
            <x v="10"/>
          </reference>
        </references>
      </pivotArea>
    </format>
    <format dxfId="106">
      <pivotArea dataOnly="0" labelOnly="1" outline="0" fieldPosition="0">
        <references count="1">
          <reference field="13" count="1">
            <x v="10"/>
          </reference>
        </references>
      </pivotArea>
    </format>
    <format dxfId="105">
      <pivotArea dataOnly="0" labelOnly="1" outline="0" fieldPosition="0">
        <references count="1">
          <reference field="13" count="1">
            <x v="11"/>
          </reference>
        </references>
      </pivotArea>
    </format>
    <format dxfId="104">
      <pivotArea dataOnly="0" labelOnly="1" outline="0" fieldPosition="0">
        <references count="1">
          <reference field="13" count="1">
            <x v="11"/>
          </reference>
        </references>
      </pivotArea>
    </format>
    <format dxfId="103">
      <pivotArea dataOnly="0" labelOnly="1" outline="0" fieldPosition="0">
        <references count="1">
          <reference field="13" count="1">
            <x v="12"/>
          </reference>
        </references>
      </pivotArea>
    </format>
    <format dxfId="102">
      <pivotArea dataOnly="0" labelOnly="1" outline="0" fieldPosition="0">
        <references count="1">
          <reference field="13" count="1">
            <x v="12"/>
          </reference>
        </references>
      </pivotArea>
    </format>
    <format dxfId="101">
      <pivotArea dataOnly="0" labelOnly="1" outline="0" fieldPosition="0">
        <references count="1">
          <reference field="13" count="1">
            <x v="13"/>
          </reference>
        </references>
      </pivotArea>
    </format>
    <format dxfId="100">
      <pivotArea dataOnly="0" labelOnly="1" outline="0" fieldPosition="0">
        <references count="1">
          <reference field="13" count="1">
            <x v="13"/>
          </reference>
        </references>
      </pivotArea>
    </format>
    <format dxfId="99">
      <pivotArea dataOnly="0" labelOnly="1" outline="0" fieldPosition="0">
        <references count="1">
          <reference field="13" count="1">
            <x v="14"/>
          </reference>
        </references>
      </pivotArea>
    </format>
    <format dxfId="98">
      <pivotArea dataOnly="0" labelOnly="1" outline="0" fieldPosition="0">
        <references count="1">
          <reference field="13" count="1">
            <x v="14"/>
          </reference>
        </references>
      </pivotArea>
    </format>
    <format dxfId="97">
      <pivotArea dataOnly="0" labelOnly="1" outline="0" fieldPosition="0">
        <references count="1">
          <reference field="13" count="1">
            <x v="15"/>
          </reference>
        </references>
      </pivotArea>
    </format>
    <format dxfId="96">
      <pivotArea dataOnly="0" labelOnly="1" outline="0" fieldPosition="0">
        <references count="1">
          <reference field="13" count="1">
            <x v="15"/>
          </reference>
        </references>
      </pivotArea>
    </format>
    <format dxfId="95">
      <pivotArea dataOnly="0" labelOnly="1" outline="0" fieldPosition="0">
        <references count="1">
          <reference field="13" count="1">
            <x v="16"/>
          </reference>
        </references>
      </pivotArea>
    </format>
    <format dxfId="94">
      <pivotArea dataOnly="0" labelOnly="1" outline="0" fieldPosition="0">
        <references count="1">
          <reference field="13" count="1">
            <x v="16"/>
          </reference>
        </references>
      </pivotArea>
    </format>
    <format dxfId="93">
      <pivotArea dataOnly="0" labelOnly="1" outline="0" fieldPosition="0">
        <references count="1">
          <reference field="13" count="1">
            <x v="17"/>
          </reference>
        </references>
      </pivotArea>
    </format>
    <format dxfId="92">
      <pivotArea dataOnly="0" labelOnly="1" outline="0" fieldPosition="0">
        <references count="1">
          <reference field="13" count="1">
            <x v="17"/>
          </reference>
        </references>
      </pivotArea>
    </format>
    <format dxfId="91">
      <pivotArea dataOnly="0" labelOnly="1" outline="0" fieldPosition="0">
        <references count="1">
          <reference field="13" count="1">
            <x v="18"/>
          </reference>
        </references>
      </pivotArea>
    </format>
    <format dxfId="90">
      <pivotArea dataOnly="0" labelOnly="1" outline="0" fieldPosition="0">
        <references count="1">
          <reference field="13" count="1">
            <x v="18"/>
          </reference>
        </references>
      </pivotArea>
    </format>
    <format dxfId="89">
      <pivotArea dataOnly="0" labelOnly="1" outline="0" fieldPosition="0">
        <references count="1">
          <reference field="13" count="1">
            <x v="19"/>
          </reference>
        </references>
      </pivotArea>
    </format>
    <format dxfId="88">
      <pivotArea dataOnly="0" labelOnly="1" outline="0" fieldPosition="0">
        <references count="1">
          <reference field="13" count="1">
            <x v="19"/>
          </reference>
        </references>
      </pivotArea>
    </format>
    <format dxfId="87">
      <pivotArea dataOnly="0" labelOnly="1" outline="0" fieldPosition="0">
        <references count="1">
          <reference field="13" count="1">
            <x v="20"/>
          </reference>
        </references>
      </pivotArea>
    </format>
    <format dxfId="86">
      <pivotArea dataOnly="0" labelOnly="1" outline="0" fieldPosition="0">
        <references count="1">
          <reference field="13" count="1">
            <x v="20"/>
          </reference>
        </references>
      </pivotArea>
    </format>
    <format dxfId="85">
      <pivotArea dataOnly="0" labelOnly="1" outline="0" fieldPosition="0">
        <references count="1">
          <reference field="13" count="1">
            <x v="21"/>
          </reference>
        </references>
      </pivotArea>
    </format>
    <format dxfId="84">
      <pivotArea dataOnly="0" labelOnly="1" outline="0" fieldPosition="0">
        <references count="1">
          <reference field="13" count="1">
            <x v="21"/>
          </reference>
        </references>
      </pivotArea>
    </format>
    <format dxfId="83">
      <pivotArea dataOnly="0" labelOnly="1" outline="0" fieldPosition="0">
        <references count="1">
          <reference field="13" count="1">
            <x v="22"/>
          </reference>
        </references>
      </pivotArea>
    </format>
    <format dxfId="82">
      <pivotArea dataOnly="0" labelOnly="1" outline="0" fieldPosition="0">
        <references count="1">
          <reference field="13" count="1">
            <x v="22"/>
          </reference>
        </references>
      </pivotArea>
    </format>
    <format dxfId="81">
      <pivotArea dataOnly="0" labelOnly="1" outline="0" fieldPosition="0">
        <references count="1">
          <reference field="13" count="1">
            <x v="23"/>
          </reference>
        </references>
      </pivotArea>
    </format>
    <format dxfId="80">
      <pivotArea dataOnly="0" labelOnly="1" outline="0" fieldPosition="0">
        <references count="1">
          <reference field="13" count="1">
            <x v="23"/>
          </reference>
        </references>
      </pivotArea>
    </format>
    <format dxfId="79">
      <pivotArea dataOnly="0" labelOnly="1" outline="0" fieldPosition="0">
        <references count="1">
          <reference field="13" count="1">
            <x v="24"/>
          </reference>
        </references>
      </pivotArea>
    </format>
    <format dxfId="78">
      <pivotArea dataOnly="0" labelOnly="1" outline="0" fieldPosition="0">
        <references count="1">
          <reference field="13" count="1">
            <x v="24"/>
          </reference>
        </references>
      </pivotArea>
    </format>
    <format dxfId="77">
      <pivotArea dataOnly="0" labelOnly="1" outline="0" fieldPosition="0">
        <references count="1">
          <reference field="13" count="1">
            <x v="25"/>
          </reference>
        </references>
      </pivotArea>
    </format>
    <format dxfId="76">
      <pivotArea dataOnly="0" labelOnly="1" outline="0" fieldPosition="0">
        <references count="1">
          <reference field="13" count="1">
            <x v="25"/>
          </reference>
        </references>
      </pivotArea>
    </format>
    <format dxfId="75">
      <pivotArea dataOnly="0" labelOnly="1" outline="0" fieldPosition="0">
        <references count="1">
          <reference field="13" count="1">
            <x v="26"/>
          </reference>
        </references>
      </pivotArea>
    </format>
    <format dxfId="74">
      <pivotArea dataOnly="0" labelOnly="1" outline="0" fieldPosition="0">
        <references count="1">
          <reference field="13" count="1">
            <x v="26"/>
          </reference>
        </references>
      </pivotArea>
    </format>
    <format dxfId="73">
      <pivotArea dataOnly="0" labelOnly="1" outline="0" fieldPosition="0">
        <references count="1">
          <reference field="13" count="1">
            <x v="27"/>
          </reference>
        </references>
      </pivotArea>
    </format>
    <format dxfId="72">
      <pivotArea dataOnly="0" labelOnly="1" outline="0" fieldPosition="0">
        <references count="1">
          <reference field="13" count="1">
            <x v="27"/>
          </reference>
        </references>
      </pivotArea>
    </format>
    <format dxfId="71">
      <pivotArea dataOnly="0" labelOnly="1" outline="0" fieldPosition="0">
        <references count="1">
          <reference field="13" count="1">
            <x v="28"/>
          </reference>
        </references>
      </pivotArea>
    </format>
    <format dxfId="70">
      <pivotArea dataOnly="0" labelOnly="1" outline="0" fieldPosition="0">
        <references count="1">
          <reference field="13" count="1">
            <x v="28"/>
          </reference>
        </references>
      </pivotArea>
    </format>
    <format dxfId="69">
      <pivotArea dataOnly="0" labelOnly="1" outline="0" fieldPosition="0">
        <references count="1">
          <reference field="13" count="1">
            <x v="29"/>
          </reference>
        </references>
      </pivotArea>
    </format>
    <format dxfId="68">
      <pivotArea dataOnly="0" labelOnly="1" outline="0" fieldPosition="0">
        <references count="1">
          <reference field="13" count="1">
            <x v="29"/>
          </reference>
        </references>
      </pivotArea>
    </format>
    <format dxfId="67">
      <pivotArea dataOnly="0" labelOnly="1" outline="0" fieldPosition="0">
        <references count="1">
          <reference field="13" count="1">
            <x v="30"/>
          </reference>
        </references>
      </pivotArea>
    </format>
    <format dxfId="66">
      <pivotArea dataOnly="0" labelOnly="1" outline="0" fieldPosition="0">
        <references count="1">
          <reference field="13" count="1">
            <x v="30"/>
          </reference>
        </references>
      </pivotArea>
    </format>
    <format dxfId="65">
      <pivotArea dataOnly="0" labelOnly="1" outline="0" fieldPosition="0">
        <references count="1">
          <reference field="13" count="1">
            <x v="31"/>
          </reference>
        </references>
      </pivotArea>
    </format>
    <format dxfId="64">
      <pivotArea dataOnly="0" labelOnly="1" outline="0" fieldPosition="0">
        <references count="1">
          <reference field="13" count="1">
            <x v="31"/>
          </reference>
        </references>
      </pivotArea>
    </format>
    <format dxfId="63">
      <pivotArea dataOnly="0" labelOnly="1" outline="0" fieldPosition="0">
        <references count="1">
          <reference field="13" count="1">
            <x v="32"/>
          </reference>
        </references>
      </pivotArea>
    </format>
    <format dxfId="62">
      <pivotArea dataOnly="0" labelOnly="1" outline="0" fieldPosition="0">
        <references count="1">
          <reference field="13" count="1">
            <x v="32"/>
          </reference>
        </references>
      </pivotArea>
    </format>
    <format dxfId="61">
      <pivotArea dataOnly="0" labelOnly="1" outline="0" fieldPosition="0">
        <references count="1">
          <reference field="13" count="1">
            <x v="33"/>
          </reference>
        </references>
      </pivotArea>
    </format>
    <format dxfId="60">
      <pivotArea dataOnly="0" labelOnly="1" outline="0" fieldPosition="0">
        <references count="1">
          <reference field="13" count="1">
            <x v="33"/>
          </reference>
        </references>
      </pivotArea>
    </format>
    <format dxfId="59">
      <pivotArea dataOnly="0" labelOnly="1" outline="0" fieldPosition="0">
        <references count="1">
          <reference field="13" count="1">
            <x v="34"/>
          </reference>
        </references>
      </pivotArea>
    </format>
    <format dxfId="58">
      <pivotArea dataOnly="0" labelOnly="1" outline="0" fieldPosition="0">
        <references count="1">
          <reference field="13" count="1">
            <x v="34"/>
          </reference>
        </references>
      </pivotArea>
    </format>
    <format dxfId="57">
      <pivotArea dataOnly="0" labelOnly="1" outline="0" fieldPosition="0">
        <references count="1">
          <reference field="13" count="1">
            <x v="35"/>
          </reference>
        </references>
      </pivotArea>
    </format>
    <format dxfId="56">
      <pivotArea dataOnly="0" labelOnly="1" outline="0" fieldPosition="0">
        <references count="1">
          <reference field="13" count="1">
            <x v="35"/>
          </reference>
        </references>
      </pivotArea>
    </format>
    <format dxfId="55">
      <pivotArea dataOnly="0" labelOnly="1" outline="0" fieldPosition="0">
        <references count="1">
          <reference field="13" count="1">
            <x v="36"/>
          </reference>
        </references>
      </pivotArea>
    </format>
    <format dxfId="54">
      <pivotArea dataOnly="0" labelOnly="1" outline="0" fieldPosition="0">
        <references count="1">
          <reference field="13" count="1">
            <x v="36"/>
          </reference>
        </references>
      </pivotArea>
    </format>
    <format dxfId="53">
      <pivotArea dataOnly="0" labelOnly="1" outline="0" fieldPosition="0">
        <references count="1">
          <reference field="13" count="1">
            <x v="37"/>
          </reference>
        </references>
      </pivotArea>
    </format>
    <format dxfId="52">
      <pivotArea dataOnly="0" labelOnly="1" outline="0" fieldPosition="0">
        <references count="1">
          <reference field="13" count="1">
            <x v="37"/>
          </reference>
        </references>
      </pivotArea>
    </format>
    <format dxfId="51">
      <pivotArea dataOnly="0" labelOnly="1" outline="0" fieldPosition="0">
        <references count="1">
          <reference field="13" count="1">
            <x v="38"/>
          </reference>
        </references>
      </pivotArea>
    </format>
    <format dxfId="50">
      <pivotArea dataOnly="0" labelOnly="1" outline="0" fieldPosition="0">
        <references count="1">
          <reference field="13" count="1">
            <x v="38"/>
          </reference>
        </references>
      </pivotArea>
    </format>
    <format dxfId="49">
      <pivotArea dataOnly="0" labelOnly="1" outline="0" fieldPosition="0">
        <references count="1">
          <reference field="13" count="1">
            <x v="39"/>
          </reference>
        </references>
      </pivotArea>
    </format>
    <format dxfId="48">
      <pivotArea dataOnly="0" labelOnly="1" outline="0" fieldPosition="0">
        <references count="1">
          <reference field="13" count="1">
            <x v="39"/>
          </reference>
        </references>
      </pivotArea>
    </format>
    <format dxfId="47">
      <pivotArea dataOnly="0" labelOnly="1" outline="0" fieldPosition="0">
        <references count="1">
          <reference field="13" count="1">
            <x v="40"/>
          </reference>
        </references>
      </pivotArea>
    </format>
    <format dxfId="46">
      <pivotArea dataOnly="0" labelOnly="1" outline="0" fieldPosition="0">
        <references count="1">
          <reference field="13" count="1">
            <x v="40"/>
          </reference>
        </references>
      </pivotArea>
    </format>
    <format dxfId="45">
      <pivotArea dataOnly="0" labelOnly="1" outline="0" fieldPosition="0">
        <references count="1">
          <reference field="13" count="1">
            <x v="41"/>
          </reference>
        </references>
      </pivotArea>
    </format>
    <format dxfId="44">
      <pivotArea dataOnly="0" labelOnly="1" outline="0" fieldPosition="0">
        <references count="1">
          <reference field="13" count="1">
            <x v="41"/>
          </reference>
        </references>
      </pivotArea>
    </format>
    <format dxfId="43">
      <pivotArea dataOnly="0" labelOnly="1" outline="0" fieldPosition="0">
        <references count="1">
          <reference field="13" count="1">
            <x v="42"/>
          </reference>
        </references>
      </pivotArea>
    </format>
    <format dxfId="42">
      <pivotArea dataOnly="0" labelOnly="1" outline="0" fieldPosition="0">
        <references count="1">
          <reference field="13" count="1">
            <x v="42"/>
          </reference>
        </references>
      </pivotArea>
    </format>
    <format dxfId="41">
      <pivotArea dataOnly="0" labelOnly="1" outline="0" fieldPosition="0">
        <references count="1">
          <reference field="13" count="1">
            <x v="43"/>
          </reference>
        </references>
      </pivotArea>
    </format>
    <format dxfId="40">
      <pivotArea dataOnly="0" labelOnly="1" outline="0" fieldPosition="0">
        <references count="1">
          <reference field="13" count="1">
            <x v="43"/>
          </reference>
        </references>
      </pivotArea>
    </format>
    <format dxfId="39">
      <pivotArea dataOnly="0" labelOnly="1" outline="0" fieldPosition="0">
        <references count="1">
          <reference field="13" count="1">
            <x v="44"/>
          </reference>
        </references>
      </pivotArea>
    </format>
    <format dxfId="38">
      <pivotArea dataOnly="0" labelOnly="1" outline="0" fieldPosition="0">
        <references count="1">
          <reference field="13" count="1">
            <x v="44"/>
          </reference>
        </references>
      </pivotArea>
    </format>
    <format dxfId="37">
      <pivotArea dataOnly="0" labelOnly="1" outline="0" fieldPosition="0">
        <references count="1">
          <reference field="13" count="1">
            <x v="45"/>
          </reference>
        </references>
      </pivotArea>
    </format>
    <format dxfId="36">
      <pivotArea dataOnly="0" labelOnly="1" outline="0" fieldPosition="0">
        <references count="1">
          <reference field="13" count="1">
            <x v="45"/>
          </reference>
        </references>
      </pivotArea>
    </format>
    <format dxfId="35">
      <pivotArea dataOnly="0" labelOnly="1" outline="0" fieldPosition="0">
        <references count="1">
          <reference field="13" count="1">
            <x v="46"/>
          </reference>
        </references>
      </pivotArea>
    </format>
    <format dxfId="34">
      <pivotArea dataOnly="0" labelOnly="1" outline="0" fieldPosition="0">
        <references count="1">
          <reference field="13" count="1">
            <x v="46"/>
          </reference>
        </references>
      </pivotArea>
    </format>
    <format dxfId="33">
      <pivotArea dataOnly="0" labelOnly="1" outline="0" fieldPosition="0">
        <references count="1">
          <reference field="13" count="1">
            <x v="47"/>
          </reference>
        </references>
      </pivotArea>
    </format>
    <format dxfId="32">
      <pivotArea dataOnly="0" labelOnly="1" outline="0" fieldPosition="0">
        <references count="1">
          <reference field="13" count="1">
            <x v="47"/>
          </reference>
        </references>
      </pivotArea>
    </format>
    <format dxfId="31">
      <pivotArea dataOnly="0" labelOnly="1" outline="0" fieldPosition="0">
        <references count="1">
          <reference field="13" count="1">
            <x v="48"/>
          </reference>
        </references>
      </pivotArea>
    </format>
    <format dxfId="30">
      <pivotArea dataOnly="0" labelOnly="1" outline="0" fieldPosition="0">
        <references count="1">
          <reference field="13" count="1">
            <x v="48"/>
          </reference>
        </references>
      </pivotArea>
    </format>
    <format dxfId="29">
      <pivotArea dataOnly="0" labelOnly="1" outline="0" fieldPosition="0">
        <references count="1">
          <reference field="13" count="1">
            <x v="49"/>
          </reference>
        </references>
      </pivotArea>
    </format>
    <format dxfId="28">
      <pivotArea dataOnly="0" labelOnly="1" outline="0" fieldPosition="0">
        <references count="1">
          <reference field="13" count="1">
            <x v="49"/>
          </reference>
        </references>
      </pivotArea>
    </format>
    <format dxfId="27">
      <pivotArea dataOnly="0" labelOnly="1" outline="0" fieldPosition="0">
        <references count="1">
          <reference field="13" count="1">
            <x v="50"/>
          </reference>
        </references>
      </pivotArea>
    </format>
    <format dxfId="26">
      <pivotArea dataOnly="0" labelOnly="1" outline="0" fieldPosition="0">
        <references count="1">
          <reference field="13" count="1">
            <x v="50"/>
          </reference>
        </references>
      </pivotArea>
    </format>
    <format dxfId="25">
      <pivotArea dataOnly="0" labelOnly="1" outline="0" fieldPosition="0">
        <references count="1">
          <reference field="13" count="1">
            <x v="51"/>
          </reference>
        </references>
      </pivotArea>
    </format>
    <format dxfId="24">
      <pivotArea dataOnly="0" labelOnly="1" outline="0" fieldPosition="0">
        <references count="1">
          <reference field="13" count="1">
            <x v="51"/>
          </reference>
        </references>
      </pivotArea>
    </format>
    <format dxfId="23">
      <pivotArea field="13" type="button" dataOnly="0" labelOnly="1" outline="0" axis="axisRow" fieldPosition="0"/>
    </format>
    <format dxfId="22">
      <pivotArea dataOnly="0" labelOnly="1" outline="0" fieldPosition="0">
        <references count="1">
          <reference field="1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1">
      <pivotArea dataOnly="0" labelOnly="1" outline="0" fieldPosition="0">
        <references count="1">
          <reference field="1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0">
      <pivotArea dataOnly="0" labelOnly="1" outline="0" fieldPosition="0">
        <references count="1">
          <reference field="13"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9">
      <pivotArea dataOnly="0" labelOnly="1" outline="0" fieldPosition="0">
        <references count="1">
          <reference field="13"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8">
      <pivotArea dataOnly="0" labelOnly="1" outline="0" fieldPosition="0">
        <references count="1">
          <reference field="13" count="1">
            <x v="0"/>
          </reference>
        </references>
      </pivotArea>
    </format>
    <format dxfId="17">
      <pivotArea dataOnly="0" labelOnly="1" outline="0" fieldPosition="0">
        <references count="1">
          <reference field="13" count="1">
            <x v="0"/>
          </reference>
        </references>
      </pivotArea>
    </format>
    <format dxfId="16">
      <pivotArea dataOnly="0" labelOnly="1" outline="0" fieldPosition="0">
        <references count="1">
          <reference field="13" count="1">
            <x v="1"/>
          </reference>
        </references>
      </pivotArea>
    </format>
    <format dxfId="15">
      <pivotArea dataOnly="0" labelOnly="1" outline="0" fieldPosition="0">
        <references count="1">
          <reference field="13" count="1">
            <x v="1"/>
          </reference>
        </references>
      </pivotArea>
    </format>
    <format dxfId="14">
      <pivotArea dataOnly="0" labelOnly="1" outline="0" fieldPosition="0">
        <references count="1">
          <reference field="13" count="1">
            <x v="2"/>
          </reference>
        </references>
      </pivotArea>
    </format>
    <format dxfId="13">
      <pivotArea dataOnly="0" labelOnly="1" outline="0" fieldPosition="0">
        <references count="1">
          <reference field="13" count="1">
            <x v="2"/>
          </reference>
        </references>
      </pivotArea>
    </format>
    <format dxfId="12">
      <pivotArea dataOnly="0" labelOnly="1" outline="0" fieldPosition="0">
        <references count="1">
          <reference field="13" count="1">
            <x v="3"/>
          </reference>
        </references>
      </pivotArea>
    </format>
    <format dxfId="11">
      <pivotArea dataOnly="0" labelOnly="1" outline="0" fieldPosition="0">
        <references count="1">
          <reference field="13" count="1">
            <x v="3"/>
          </reference>
        </references>
      </pivotArea>
    </format>
    <format dxfId="10">
      <pivotArea dataOnly="0" labelOnly="1" outline="0" fieldPosition="0">
        <references count="1">
          <reference field="13" count="1">
            <x v="4"/>
          </reference>
        </references>
      </pivotArea>
    </format>
    <format dxfId="9">
      <pivotArea dataOnly="0" labelOnly="1" outline="0" fieldPosition="0">
        <references count="1">
          <reference field="13" count="1">
            <x v="4"/>
          </reference>
        </references>
      </pivotArea>
    </format>
    <format dxfId="8">
      <pivotArea dataOnly="0" labelOnly="1" outline="0" fieldPosition="0">
        <references count="1">
          <reference field="13" count="1">
            <x v="5"/>
          </reference>
        </references>
      </pivotArea>
    </format>
    <format dxfId="7">
      <pivotArea dataOnly="0" labelOnly="1" outline="0" fieldPosition="0">
        <references count="1">
          <reference field="13" count="1">
            <x v="5"/>
          </reference>
        </references>
      </pivotArea>
    </format>
    <format dxfId="6">
      <pivotArea dataOnly="0" labelOnly="1" outline="0" fieldPosition="0">
        <references count="1">
          <reference field="13" count="1">
            <x v="6"/>
          </reference>
        </references>
      </pivotArea>
    </format>
    <format dxfId="5">
      <pivotArea dataOnly="0" labelOnly="1" outline="0" fieldPosition="0">
        <references count="1">
          <reference field="13" count="1">
            <x v="6"/>
          </reference>
        </references>
      </pivotArea>
    </format>
    <format dxfId="4">
      <pivotArea field="13" type="button" dataOnly="0" labelOnly="1" outline="0" axis="axisRow" fieldPosition="0"/>
    </format>
    <format dxfId="3">
      <pivotArea dataOnly="0" labelOnly="1" outline="0" fieldPosition="0">
        <references count="1">
          <reference field="1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
      <pivotArea dataOnly="0" labelOnly="1" outline="0" fieldPosition="0">
        <references count="1">
          <reference field="1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
      <pivotArea dataOnly="0" labelOnly="1" outline="0" fieldPosition="0">
        <references count="1">
          <reference field="13"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0">
      <pivotArea dataOnly="0" labelOnly="1" outline="0" fieldPosition="0">
        <references count="1">
          <reference field="13"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INFO" cacheId="0" applyNumberFormats="0" applyBorderFormats="0" applyFontFormats="0" applyPatternFormats="0" applyAlignmentFormats="0" applyWidthHeightFormats="1" dataCaption="Valores" updatedVersion="6" minRefreshableVersion="3" showCalcMbrs="0" showDrill="0" useAutoFormatting="1" rowGrandTotals="0" colGrandTotals="0" itemPrintTitles="1" createdVersion="3" indent="0" compact="0" compactData="0" multipleFieldFilters="0">
  <location ref="G3:S18" firstHeaderRow="1" firstDataRow="1" firstDataCol="13" rowPageCount="1" colPageCount="1"/>
  <pivotFields count="15">
    <pivotField axis="axisRow" compact="0" outline="0" showAll="0" defaultSubtotal="0">
      <items count="3876">
        <item x="0"/>
        <item x="9"/>
        <item x="99"/>
        <item x="999"/>
        <item x="1000"/>
        <item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5"/>
        <item x="2926"/>
        <item x="2927"/>
        <item x="2928"/>
        <item x="292"/>
        <item x="2929"/>
        <item x="2930"/>
        <item x="2931"/>
        <item x="2932"/>
        <item x="2933"/>
        <item x="2934"/>
        <item x="2935"/>
        <item x="2936"/>
        <item x="2937"/>
        <item x="2938"/>
        <item x="293"/>
        <item x="2939"/>
        <item x="2940"/>
        <item x="2941"/>
        <item x="2942"/>
        <item x="2943"/>
        <item x="2944"/>
        <item x="2945"/>
        <item x="2946"/>
        <item x="2947"/>
        <item x="2948"/>
        <item x="294"/>
        <item x="2949"/>
        <item x="2950"/>
        <item x="2951"/>
        <item x="2952"/>
        <item x="2953"/>
        <item x="2954"/>
        <item x="2955"/>
        <item x="2956"/>
        <item x="2957"/>
        <item x="2958"/>
        <item x="295"/>
        <item x="2959"/>
        <item x="2960"/>
        <item x="2961"/>
        <item x="2962"/>
        <item x="2963"/>
        <item x="2964"/>
        <item x="2965"/>
        <item x="2966"/>
        <item x="2967"/>
        <item x="2968"/>
        <item x="296"/>
        <item x="2969"/>
        <item x="2970"/>
        <item x="2971"/>
        <item x="2972"/>
        <item x="2973"/>
        <item x="2974"/>
        <item x="2975"/>
        <item x="2976"/>
        <item x="2977"/>
        <item x="2978"/>
        <item x="297"/>
        <item x="2979"/>
        <item x="2980"/>
        <item x="2981"/>
        <item x="2982"/>
        <item x="2983"/>
        <item x="2984"/>
        <item x="2985"/>
        <item x="2986"/>
        <item x="2987"/>
        <item x="2988"/>
        <item x="298"/>
        <item x="2989"/>
        <item x="2990"/>
        <item x="2991"/>
        <item x="2992"/>
        <item x="2993"/>
        <item x="2994"/>
        <item x="2995"/>
        <item x="2996"/>
        <item x="2997"/>
        <item x="2998"/>
        <item x="2"/>
        <item x="29"/>
        <item x="299"/>
        <item x="2999"/>
        <item x="3000"/>
        <item x="3001"/>
        <item x="3002"/>
        <item x="3003"/>
        <item x="3004"/>
        <item x="3005"/>
        <item x="3006"/>
        <item x="3007"/>
        <item x="3008"/>
        <item x="300"/>
        <item x="3009"/>
        <item x="3010"/>
        <item x="3011"/>
        <item x="3012"/>
        <item x="3013"/>
        <item x="3014"/>
        <item x="3015"/>
        <item x="3016"/>
        <item x="3017"/>
        <item x="3018"/>
        <item x="301"/>
        <item x="3019"/>
        <item x="3020"/>
        <item x="3021"/>
        <item x="3022"/>
        <item x="3023"/>
        <item x="3024"/>
        <item x="3025"/>
        <item x="3026"/>
        <item x="3027"/>
        <item x="3028"/>
        <item x="302"/>
        <item x="3029"/>
        <item x="3030"/>
        <item x="3031"/>
        <item x="3032"/>
        <item x="3033"/>
        <item x="3034"/>
        <item x="3035"/>
        <item x="3036"/>
        <item x="3037"/>
        <item x="3038"/>
        <item x="303"/>
        <item x="3039"/>
        <item x="3040"/>
        <item x="3041"/>
        <item x="3042"/>
        <item x="3043"/>
        <item x="3044"/>
        <item x="3045"/>
        <item x="3046"/>
        <item x="3047"/>
        <item x="3048"/>
        <item x="304"/>
        <item x="3049"/>
        <item x="3050"/>
        <item x="3051"/>
        <item x="3052"/>
        <item x="3053"/>
        <item x="3054"/>
        <item x="3055"/>
        <item x="3056"/>
        <item x="3057"/>
        <item x="3058"/>
        <item x="305"/>
        <item x="3059"/>
        <item x="3060"/>
        <item x="3061"/>
        <item x="3062"/>
        <item x="3063"/>
        <item x="3064"/>
        <item x="3065"/>
        <item x="3066"/>
        <item x="3067"/>
        <item x="3068"/>
        <item x="306"/>
        <item x="3069"/>
        <item x="3070"/>
        <item x="3071"/>
        <item x="3072"/>
        <item x="3073"/>
        <item x="3074"/>
        <item x="3075"/>
        <item x="3076"/>
        <item x="3077"/>
        <item x="3078"/>
        <item x="307"/>
        <item x="3079"/>
        <item x="3080"/>
        <item x="3081"/>
        <item x="3082"/>
        <item x="3083"/>
        <item x="3084"/>
        <item x="3085"/>
        <item x="3086"/>
        <item x="3087"/>
        <item x="3088"/>
        <item x="308"/>
        <item x="3089"/>
        <item x="3090"/>
        <item x="3091"/>
        <item x="3092"/>
        <item x="3093"/>
        <item x="3094"/>
        <item x="3095"/>
        <item x="3096"/>
        <item x="3097"/>
        <item x="3098"/>
        <item x="30"/>
        <item x="309"/>
        <item x="3099"/>
        <item x="3100"/>
        <item x="3101"/>
        <item x="3102"/>
        <item x="3103"/>
        <item x="3104"/>
        <item x="3105"/>
        <item x="3106"/>
        <item x="3107"/>
        <item x="3108"/>
        <item x="310"/>
        <item x="3109"/>
        <item x="3110"/>
        <item x="3111"/>
        <item x="3112"/>
        <item x="3113"/>
        <item x="3114"/>
        <item x="3115"/>
        <item x="3116"/>
        <item x="3117"/>
        <item x="3118"/>
        <item x="311"/>
        <item x="3119"/>
        <item x="3120"/>
        <item x="3121"/>
        <item x="3122"/>
        <item x="3123"/>
        <item x="3124"/>
        <item x="3125"/>
        <item x="3126"/>
        <item x="3127"/>
        <item x="3128"/>
        <item x="312"/>
        <item x="3129"/>
        <item x="3130"/>
        <item x="3131"/>
        <item x="3132"/>
        <item x="3133"/>
        <item x="3134"/>
        <item x="3135"/>
        <item x="3136"/>
        <item x="3137"/>
        <item x="3138"/>
        <item x="313"/>
        <item x="3139"/>
        <item x="3140"/>
        <item x="3141"/>
        <item x="3142"/>
        <item x="3143"/>
        <item x="3144"/>
        <item x="3145"/>
        <item x="3146"/>
        <item x="3147"/>
        <item x="3148"/>
        <item x="314"/>
        <item x="3149"/>
        <item x="3150"/>
        <item x="3151"/>
        <item x="3152"/>
        <item x="3153"/>
        <item x="3154"/>
        <item x="3155"/>
        <item x="3156"/>
        <item x="3157"/>
        <item x="3158"/>
        <item x="315"/>
        <item x="3159"/>
        <item x="3160"/>
        <item x="3161"/>
        <item x="3162"/>
        <item x="3163"/>
        <item x="3164"/>
        <item x="3165"/>
        <item x="3166"/>
        <item x="3167"/>
        <item x="3168"/>
        <item x="316"/>
        <item x="3169"/>
        <item x="3170"/>
        <item x="3171"/>
        <item x="3172"/>
        <item x="3173"/>
        <item x="3174"/>
        <item x="3175"/>
        <item x="3176"/>
        <item x="3177"/>
        <item x="3178"/>
        <item x="317"/>
        <item x="3179"/>
        <item x="3180"/>
        <item x="3181"/>
        <item x="3182"/>
        <item x="3183"/>
        <item x="3184"/>
        <item x="3185"/>
        <item x="3186"/>
        <item x="3187"/>
        <item x="3188"/>
        <item x="318"/>
        <item x="3189"/>
        <item x="3190"/>
        <item x="3191"/>
        <item x="3192"/>
        <item x="3193"/>
        <item x="3194"/>
        <item x="3195"/>
        <item x="3196"/>
        <item x="3197"/>
        <item x="3198"/>
        <item x="31"/>
        <item x="319"/>
        <item x="3199"/>
        <item x="3200"/>
        <item x="3201"/>
        <item x="3202"/>
        <item x="3203"/>
        <item x="3204"/>
        <item x="3205"/>
        <item x="3206"/>
        <item x="3207"/>
        <item x="3208"/>
        <item x="320"/>
        <item x="3209"/>
        <item x="3210"/>
        <item x="3211"/>
        <item x="3212"/>
        <item x="3213"/>
        <item x="3214"/>
        <item x="3215"/>
        <item x="3216"/>
        <item x="3217"/>
        <item x="3218"/>
        <item x="321"/>
        <item x="3219"/>
        <item x="3220"/>
        <item x="3221"/>
        <item x="3222"/>
        <item x="3223"/>
        <item x="3224"/>
        <item x="3225"/>
        <item x="3226"/>
        <item x="3227"/>
        <item x="3228"/>
        <item x="322"/>
        <item x="3229"/>
        <item x="3230"/>
        <item x="3231"/>
        <item x="3232"/>
        <item x="3233"/>
        <item x="3234"/>
        <item x="3235"/>
        <item x="3236"/>
        <item x="3237"/>
        <item x="3238"/>
        <item x="323"/>
        <item x="3239"/>
        <item x="3240"/>
        <item x="3241"/>
        <item x="3242"/>
        <item x="3243"/>
        <item x="3244"/>
        <item x="3245"/>
        <item x="3246"/>
        <item x="3247"/>
        <item x="3248"/>
        <item x="324"/>
        <item x="3249"/>
        <item x="3250"/>
        <item x="3251"/>
        <item x="3252"/>
        <item x="3253"/>
        <item x="3254"/>
        <item x="3255"/>
        <item x="3256"/>
        <item x="3257"/>
        <item x="3258"/>
        <item x="325"/>
        <item x="3259"/>
        <item x="3260"/>
        <item x="3261"/>
        <item x="3262"/>
        <item x="3263"/>
        <item x="3264"/>
        <item x="3265"/>
        <item x="3266"/>
        <item x="3267"/>
        <item x="3268"/>
        <item x="326"/>
        <item x="3269"/>
        <item x="3270"/>
        <item x="3271"/>
        <item x="3272"/>
        <item x="3273"/>
        <item x="3274"/>
        <item x="3275"/>
        <item x="3276"/>
        <item x="3277"/>
        <item x="3278"/>
        <item x="327"/>
        <item x="3279"/>
        <item x="3280"/>
        <item x="3281"/>
        <item x="3282"/>
        <item x="3283"/>
        <item x="3284"/>
        <item x="3285"/>
        <item x="3286"/>
        <item x="3287"/>
        <item x="3288"/>
        <item x="328"/>
        <item x="3289"/>
        <item x="3290"/>
        <item x="3291"/>
        <item x="3292"/>
        <item x="3293"/>
        <item x="3294"/>
        <item x="3295"/>
        <item x="3296"/>
        <item x="3297"/>
        <item x="3298"/>
        <item x="32"/>
        <item x="329"/>
        <item x="3299"/>
        <item x="3300"/>
        <item x="3301"/>
        <item x="3302"/>
        <item x="3303"/>
        <item x="3304"/>
        <item x="3305"/>
        <item x="3306"/>
        <item x="3307"/>
        <item x="3308"/>
        <item x="330"/>
        <item x="3309"/>
        <item x="3310"/>
        <item x="3311"/>
        <item x="3312"/>
        <item x="3313"/>
        <item x="3314"/>
        <item x="3315"/>
        <item x="3316"/>
        <item x="3317"/>
        <item x="3318"/>
        <item x="331"/>
        <item x="3319"/>
        <item x="3320"/>
        <item x="3321"/>
        <item x="3322"/>
        <item x="3323"/>
        <item x="3324"/>
        <item x="3325"/>
        <item x="3326"/>
        <item x="3327"/>
        <item x="3328"/>
        <item x="332"/>
        <item x="3329"/>
        <item x="3330"/>
        <item x="3331"/>
        <item x="3332"/>
        <item x="3333"/>
        <item x="3334"/>
        <item x="3335"/>
        <item x="3336"/>
        <item x="3337"/>
        <item x="3338"/>
        <item x="333"/>
        <item x="3339"/>
        <item x="3340"/>
        <item x="3341"/>
        <item x="3342"/>
        <item x="3343"/>
        <item x="3344"/>
        <item x="3345"/>
        <item x="3346"/>
        <item x="3347"/>
        <item x="3348"/>
        <item x="334"/>
        <item x="3349"/>
        <item x="3350"/>
        <item x="3351"/>
        <item x="3352"/>
        <item x="3353"/>
        <item x="3354"/>
        <item x="3355"/>
        <item x="3356"/>
        <item x="3357"/>
        <item x="3358"/>
        <item x="335"/>
        <item x="3359"/>
        <item x="3360"/>
        <item x="3361"/>
        <item x="3362"/>
        <item x="3363"/>
        <item x="3364"/>
        <item x="3365"/>
        <item x="3366"/>
        <item x="3367"/>
        <item x="3368"/>
        <item x="336"/>
        <item x="3369"/>
        <item x="3370"/>
        <item x="3371"/>
        <item x="3372"/>
        <item x="3373"/>
        <item x="3374"/>
        <item x="3375"/>
        <item x="3376"/>
        <item x="3377"/>
        <item x="3378"/>
        <item x="337"/>
        <item x="3379"/>
        <item x="3380"/>
        <item x="3381"/>
        <item x="3382"/>
        <item x="3383"/>
        <item x="3384"/>
        <item x="3385"/>
        <item x="3386"/>
        <item x="3387"/>
        <item x="3388"/>
        <item x="338"/>
        <item x="3389"/>
        <item x="3390"/>
        <item x="3391"/>
        <item x="3392"/>
        <item x="3393"/>
        <item x="3394"/>
        <item x="3395"/>
        <item x="3396"/>
        <item x="3397"/>
        <item x="3398"/>
        <item x="33"/>
        <item x="339"/>
        <item x="3399"/>
        <item x="3400"/>
        <item x="3401"/>
        <item x="3402"/>
        <item x="3403"/>
        <item x="3404"/>
        <item x="3405"/>
        <item x="3406"/>
        <item x="3407"/>
        <item x="3408"/>
        <item x="340"/>
        <item x="3409"/>
        <item x="3410"/>
        <item x="3411"/>
        <item x="3412"/>
        <item x="3413"/>
        <item x="3414"/>
        <item x="3415"/>
        <item x="3416"/>
        <item x="3417"/>
        <item x="3418"/>
        <item x="341"/>
        <item x="3419"/>
        <item x="3420"/>
        <item x="3421"/>
        <item x="3422"/>
        <item x="3423"/>
        <item x="3424"/>
        <item x="3425"/>
        <item x="3426"/>
        <item x="3427"/>
        <item x="3428"/>
        <item x="342"/>
        <item x="3429"/>
        <item x="3430"/>
        <item x="3431"/>
        <item x="3432"/>
        <item x="3433"/>
        <item x="3434"/>
        <item x="3435"/>
        <item x="3436"/>
        <item x="3437"/>
        <item x="3438"/>
        <item x="343"/>
        <item x="3439"/>
        <item x="3440"/>
        <item x="3441"/>
        <item x="3442"/>
        <item x="3443"/>
        <item x="3444"/>
        <item x="3445"/>
        <item x="3446"/>
        <item x="3447"/>
        <item x="3448"/>
        <item x="344"/>
        <item x="3449"/>
        <item x="3450"/>
        <item x="3451"/>
        <item x="3452"/>
        <item x="3453"/>
        <item x="3454"/>
        <item x="3455"/>
        <item x="3456"/>
        <item x="3457"/>
        <item x="3458"/>
        <item x="345"/>
        <item x="3459"/>
        <item x="3460"/>
        <item x="3461"/>
        <item x="3462"/>
        <item x="3463"/>
        <item x="3464"/>
        <item x="3465"/>
        <item x="3466"/>
        <item x="3467"/>
        <item x="3468"/>
        <item x="346"/>
        <item x="3469"/>
        <item x="3470"/>
        <item x="3471"/>
        <item x="3472"/>
        <item x="3473"/>
        <item x="3474"/>
        <item x="3475"/>
        <item x="3476"/>
        <item x="3477"/>
        <item x="3478"/>
        <item x="347"/>
        <item x="3479"/>
        <item x="3480"/>
        <item x="3481"/>
        <item x="3482"/>
        <item x="3483"/>
        <item x="3484"/>
        <item x="3485"/>
        <item x="3486"/>
        <item x="3487"/>
        <item x="3488"/>
        <item x="348"/>
        <item x="3489"/>
        <item x="3490"/>
        <item x="3491"/>
        <item x="3492"/>
        <item x="3493"/>
        <item x="3494"/>
        <item x="3495"/>
        <item x="3496"/>
        <item x="3497"/>
        <item x="3498"/>
        <item x="34"/>
        <item x="349"/>
        <item x="3499"/>
        <item x="3500"/>
        <item x="3501"/>
        <item x="3502"/>
        <item x="3503"/>
        <item x="3504"/>
        <item x="3505"/>
        <item x="3506"/>
        <item x="3507"/>
        <item x="3508"/>
        <item x="350"/>
        <item x="3509"/>
        <item x="3510"/>
        <item x="3511"/>
        <item x="3512"/>
        <item x="3513"/>
        <item x="3514"/>
        <item x="3515"/>
        <item x="3516"/>
        <item x="3517"/>
        <item x="3518"/>
        <item x="351"/>
        <item x="3519"/>
        <item x="3520"/>
        <item x="3521"/>
        <item x="3522"/>
        <item x="3523"/>
        <item x="3524"/>
        <item x="3525"/>
        <item x="3526"/>
        <item x="3527"/>
        <item x="3528"/>
        <item x="352"/>
        <item x="3529"/>
        <item x="3530"/>
        <item x="3531"/>
        <item x="3532"/>
        <item x="3533"/>
        <item x="3534"/>
        <item x="3535"/>
        <item x="3536"/>
        <item x="3537"/>
        <item x="3538"/>
        <item x="353"/>
        <item x="3539"/>
        <item x="3540"/>
        <item x="3541"/>
        <item x="3542"/>
        <item x="3543"/>
        <item x="3544"/>
        <item x="3545"/>
        <item x="3546"/>
        <item x="3547"/>
        <item x="3548"/>
        <item x="354"/>
        <item x="3549"/>
        <item x="3550"/>
        <item x="3551"/>
        <item x="3552"/>
        <item x="3553"/>
        <item x="3554"/>
        <item x="3555"/>
        <item x="3556"/>
        <item x="3557"/>
        <item x="3558"/>
        <item x="355"/>
        <item x="3559"/>
        <item x="3560"/>
        <item x="3561"/>
        <item x="3562"/>
        <item x="3563"/>
        <item x="3564"/>
        <item x="3565"/>
        <item x="3566"/>
        <item x="3567"/>
        <item x="3568"/>
        <item x="356"/>
        <item x="3569"/>
        <item x="3570"/>
        <item x="3571"/>
        <item x="3572"/>
        <item x="3573"/>
        <item x="3574"/>
        <item x="3575"/>
        <item x="3576"/>
        <item x="3577"/>
        <item x="3578"/>
        <item x="357"/>
        <item x="3579"/>
        <item x="3580"/>
        <item x="3581"/>
        <item x="3582"/>
        <item x="3583"/>
        <item x="3584"/>
        <item x="3585"/>
        <item x="3586"/>
        <item x="3587"/>
        <item x="3588"/>
        <item x="358"/>
        <item x="3589"/>
        <item x="3590"/>
        <item x="3591"/>
        <item x="3592"/>
        <item x="3593"/>
        <item x="3594"/>
        <item x="3595"/>
        <item x="3596"/>
        <item x="3597"/>
        <item x="3598"/>
        <item x="35"/>
        <item x="359"/>
        <item x="3599"/>
        <item x="3600"/>
        <item x="3601"/>
        <item x="3602"/>
        <item x="3603"/>
        <item x="3604"/>
        <item x="3605"/>
        <item x="3606"/>
        <item x="3607"/>
        <item x="3608"/>
        <item x="360"/>
        <item x="3609"/>
        <item x="3610"/>
        <item x="3611"/>
        <item x="3612"/>
        <item x="3613"/>
        <item x="3614"/>
        <item x="3615"/>
        <item x="3616"/>
        <item x="3617"/>
        <item x="3618"/>
        <item x="361"/>
        <item x="3619"/>
        <item x="3620"/>
        <item x="3621"/>
        <item x="3622"/>
        <item x="3623"/>
        <item x="3624"/>
        <item x="3625"/>
        <item x="3626"/>
        <item x="3627"/>
        <item x="3628"/>
        <item x="362"/>
        <item x="3629"/>
        <item x="3630"/>
        <item x="3631"/>
        <item x="3632"/>
        <item x="3633"/>
        <item x="3634"/>
        <item x="3635"/>
        <item x="3636"/>
        <item x="3637"/>
        <item x="3638"/>
        <item x="363"/>
        <item x="3639"/>
        <item x="3640"/>
        <item x="3641"/>
        <item x="3642"/>
        <item x="3643"/>
        <item x="3644"/>
        <item x="3645"/>
        <item x="3646"/>
        <item x="3647"/>
        <item x="3648"/>
        <item x="364"/>
        <item x="3649"/>
        <item x="3650"/>
        <item x="3651"/>
        <item x="3652"/>
        <item x="3653"/>
        <item x="3654"/>
        <item x="3655"/>
        <item x="3656"/>
        <item x="3657"/>
        <item x="3658"/>
        <item x="365"/>
        <item x="3659"/>
        <item x="3660"/>
        <item x="3661"/>
        <item x="3662"/>
        <item x="3663"/>
        <item x="3664"/>
        <item x="3665"/>
        <item x="3666"/>
        <item x="3667"/>
        <item x="3668"/>
        <item x="366"/>
        <item x="3669"/>
        <item x="3670"/>
        <item x="3671"/>
        <item x="3672"/>
        <item x="3673"/>
        <item x="3674"/>
        <item x="3675"/>
        <item x="3676"/>
        <item x="3677"/>
        <item x="3678"/>
        <item x="367"/>
        <item x="3679"/>
        <item x="3680"/>
        <item x="3681"/>
        <item x="3682"/>
        <item x="3683"/>
        <item x="3684"/>
        <item x="3685"/>
        <item x="3686"/>
        <item x="3687"/>
        <item x="3688"/>
        <item x="368"/>
        <item x="3689"/>
        <item x="3690"/>
        <item x="3691"/>
        <item x="3692"/>
        <item x="3693"/>
        <item x="3694"/>
        <item x="3695"/>
        <item x="3696"/>
        <item x="3697"/>
        <item x="3698"/>
        <item x="36"/>
        <item x="369"/>
        <item x="3699"/>
        <item x="3700"/>
        <item x="3701"/>
        <item x="3702"/>
        <item x="3703"/>
        <item x="3704"/>
        <item x="3705"/>
        <item x="3706"/>
        <item x="3707"/>
        <item x="3708"/>
        <item x="370"/>
        <item x="3709"/>
        <item x="3710"/>
        <item x="3711"/>
        <item x="3712"/>
        <item x="3713"/>
        <item x="3714"/>
        <item x="3715"/>
        <item x="3716"/>
        <item x="3717"/>
        <item x="3718"/>
        <item x="371"/>
        <item x="3719"/>
        <item x="3720"/>
        <item x="3721"/>
        <item x="3722"/>
        <item x="3723"/>
        <item x="3724"/>
        <item x="3725"/>
        <item x="3726"/>
        <item x="3727"/>
        <item x="3728"/>
        <item x="372"/>
        <item x="3729"/>
        <item x="3730"/>
        <item x="3731"/>
        <item x="3732"/>
        <item x="3733"/>
        <item x="3734"/>
        <item x="3735"/>
        <item x="3736"/>
        <item x="3737"/>
        <item x="3738"/>
        <item x="373"/>
        <item x="3739"/>
        <item x="3740"/>
        <item x="3741"/>
        <item x="3742"/>
        <item x="3743"/>
        <item x="3744"/>
        <item x="3745"/>
        <item x="3746"/>
        <item x="3747"/>
        <item x="3748"/>
        <item x="374"/>
        <item x="3749"/>
        <item x="3750"/>
        <item x="3751"/>
        <item x="3752"/>
        <item x="3753"/>
        <item x="3754"/>
        <item x="3755"/>
        <item x="3756"/>
        <item x="3757"/>
        <item x="3758"/>
        <item x="375"/>
        <item x="3759"/>
        <item x="3760"/>
        <item x="3761"/>
        <item x="3762"/>
        <item x="3763"/>
        <item x="3764"/>
        <item x="3765"/>
        <item x="3766"/>
        <item x="3767"/>
        <item x="3768"/>
        <item x="376"/>
        <item x="3769"/>
        <item x="3770"/>
        <item x="3771"/>
        <item x="3772"/>
        <item x="3773"/>
        <item x="3774"/>
        <item x="3775"/>
        <item x="3776"/>
        <item x="3777"/>
        <item x="3778"/>
        <item x="377"/>
        <item x="3779"/>
        <item x="3780"/>
        <item x="3781"/>
        <item x="3782"/>
        <item x="3783"/>
        <item x="3784"/>
        <item x="3785"/>
        <item x="3786"/>
        <item x="3787"/>
        <item x="3788"/>
        <item x="378"/>
        <item x="3789"/>
        <item x="3790"/>
        <item x="3791"/>
        <item x="3792"/>
        <item x="3793"/>
        <item x="3794"/>
        <item x="3795"/>
        <item x="3796"/>
        <item x="3797"/>
        <item x="3798"/>
        <item x="37"/>
        <item x="379"/>
        <item x="3799"/>
        <item x="3800"/>
        <item x="3801"/>
        <item x="3802"/>
        <item x="3803"/>
        <item x="3804"/>
        <item x="3805"/>
        <item x="3806"/>
        <item x="3807"/>
        <item x="3808"/>
        <item x="380"/>
        <item x="3809"/>
        <item x="3810"/>
        <item x="3811"/>
        <item x="3812"/>
        <item x="3813"/>
        <item x="3814"/>
        <item x="3815"/>
        <item x="3816"/>
        <item x="3817"/>
        <item x="3818"/>
        <item x="381"/>
        <item x="3819"/>
        <item x="3820"/>
        <item x="3821"/>
        <item x="3822"/>
        <item x="3823"/>
        <item x="3824"/>
        <item x="3825"/>
        <item x="3826"/>
        <item x="3827"/>
        <item x="3828"/>
        <item x="382"/>
        <item x="3829"/>
        <item x="3830"/>
        <item x="3831"/>
        <item x="3832"/>
        <item x="3833"/>
        <item x="3834"/>
        <item x="3835"/>
        <item x="3836"/>
        <item x="3837"/>
        <item x="3838"/>
        <item x="383"/>
        <item x="3839"/>
        <item x="3840"/>
        <item x="3841"/>
        <item x="3842"/>
        <item x="3843"/>
        <item x="3844"/>
        <item x="3845"/>
        <item x="3846"/>
        <item x="3847"/>
        <item x="3848"/>
        <item x="384"/>
        <item x="3849"/>
        <item x="3850"/>
        <item x="3851"/>
        <item x="3852"/>
        <item x="3853"/>
        <item x="3854"/>
        <item x="3855"/>
        <item x="3856"/>
        <item x="3857"/>
        <item x="3858"/>
        <item x="385"/>
        <item x="3859"/>
        <item x="3860"/>
        <item x="3861"/>
        <item x="3862"/>
        <item x="3863"/>
        <item x="3864"/>
        <item x="3865"/>
        <item x="3866"/>
        <item x="3867"/>
        <item x="3868"/>
        <item x="386"/>
        <item x="3869"/>
        <item x="3870"/>
        <item x="3871"/>
        <item x="3872"/>
        <item x="3873"/>
        <item x="3874"/>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h="1" x="3875"/>
      </items>
    </pivotField>
    <pivotField axis="axisRow" compact="0" outline="0" showAll="0" defaultSubtotal="0">
      <items count="3876">
        <item x="0"/>
        <item x="9"/>
        <item x="99"/>
        <item x="999"/>
        <item x="1000"/>
        <item sd="0" x="1001"/>
        <item x="1002"/>
        <item x="1003"/>
        <item x="1004"/>
        <item x="1005"/>
        <item x="1006"/>
        <item x="1007"/>
        <item x="1008"/>
        <item x="100"/>
        <item x="1009"/>
        <item x="1010"/>
        <item x="1011"/>
        <item x="1012"/>
        <item x="1013"/>
        <item x="1014"/>
        <item x="1015"/>
        <item x="1016"/>
        <item x="1017"/>
        <item x="1018"/>
        <item x="101"/>
        <item x="1019"/>
        <item x="1020"/>
        <item x="1021"/>
        <item x="1022"/>
        <item x="1023"/>
        <item x="1024"/>
        <item x="1025"/>
        <item x="1026"/>
        <item x="1027"/>
        <item x="1028"/>
        <item x="102"/>
        <item x="1029"/>
        <item x="1030"/>
        <item x="1031"/>
        <item x="1032"/>
        <item x="1033"/>
        <item x="1034"/>
        <item x="1035"/>
        <item x="1036"/>
        <item x="1037"/>
        <item x="1038"/>
        <item x="103"/>
        <item x="1039"/>
        <item x="1040"/>
        <item x="1041"/>
        <item x="1042"/>
        <item x="1043"/>
        <item x="1044"/>
        <item x="1045"/>
        <item x="1046"/>
        <item x="1047"/>
        <item x="1048"/>
        <item x="104"/>
        <item x="1049"/>
        <item x="1050"/>
        <item x="1051"/>
        <item x="1052"/>
        <item x="1053"/>
        <item x="1054"/>
        <item x="1055"/>
        <item x="1056"/>
        <item x="1057"/>
        <item x="1058"/>
        <item x="105"/>
        <item x="1059"/>
        <item x="1060"/>
        <item x="1061"/>
        <item x="1062"/>
        <item x="1063"/>
        <item x="1064"/>
        <item x="1065"/>
        <item x="1066"/>
        <item x="1067"/>
        <item x="1068"/>
        <item x="106"/>
        <item x="1069"/>
        <item x="1070"/>
        <item x="1071"/>
        <item x="1072"/>
        <item x="1073"/>
        <item x="1074"/>
        <item x="1075"/>
        <item x="1076"/>
        <item x="1077"/>
        <item x="1078"/>
        <item x="107"/>
        <item x="1079"/>
        <item x="1080"/>
        <item x="1081"/>
        <item x="1082"/>
        <item x="1083"/>
        <item x="1084"/>
        <item x="1085"/>
        <item x="1086"/>
        <item x="1087"/>
        <item x="1088"/>
        <item x="108"/>
        <item x="1089"/>
        <item x="1090"/>
        <item x="1091"/>
        <item x="1092"/>
        <item x="1093"/>
        <item x="1094"/>
        <item x="1095"/>
        <item x="1096"/>
        <item x="1097"/>
        <item x="1098"/>
        <item x="10"/>
        <item x="109"/>
        <item x="1099"/>
        <item x="1100"/>
        <item x="1101"/>
        <item x="1102"/>
        <item x="1103"/>
        <item x="1104"/>
        <item x="1105"/>
        <item x="1106"/>
        <item x="1107"/>
        <item x="1108"/>
        <item x="110"/>
        <item x="1109"/>
        <item x="1110"/>
        <item x="1111"/>
        <item x="1112"/>
        <item x="1113"/>
        <item x="1114"/>
        <item x="1115"/>
        <item x="1116"/>
        <item x="1117"/>
        <item x="1118"/>
        <item x="111"/>
        <item x="1119"/>
        <item x="1120"/>
        <item x="1121"/>
        <item x="1122"/>
        <item x="1123"/>
        <item x="1124"/>
        <item x="1125"/>
        <item x="1126"/>
        <item x="1127"/>
        <item x="1128"/>
        <item x="112"/>
        <item x="1129"/>
        <item x="1130"/>
        <item x="1131"/>
        <item x="1132"/>
        <item x="1133"/>
        <item x="1134"/>
        <item x="1135"/>
        <item x="1136"/>
        <item x="1137"/>
        <item x="1138"/>
        <item x="113"/>
        <item x="1139"/>
        <item x="1140"/>
        <item x="1141"/>
        <item x="1142"/>
        <item x="1143"/>
        <item x="1144"/>
        <item x="1145"/>
        <item x="1146"/>
        <item x="1147"/>
        <item x="1148"/>
        <item x="114"/>
        <item x="1149"/>
        <item x="1150"/>
        <item x="1151"/>
        <item x="1152"/>
        <item x="1153"/>
        <item x="1154"/>
        <item x="1155"/>
        <item x="1156"/>
        <item x="1157"/>
        <item x="1158"/>
        <item x="115"/>
        <item x="1159"/>
        <item x="1160"/>
        <item x="1161"/>
        <item x="1162"/>
        <item x="1163"/>
        <item x="1164"/>
        <item x="1165"/>
        <item x="1166"/>
        <item x="1167"/>
        <item x="1168"/>
        <item x="116"/>
        <item x="1169"/>
        <item x="1170"/>
        <item x="1171"/>
        <item x="1172"/>
        <item x="1173"/>
        <item x="1174"/>
        <item x="1175"/>
        <item x="1176"/>
        <item x="1177"/>
        <item x="1178"/>
        <item x="117"/>
        <item x="1179"/>
        <item x="1180"/>
        <item x="1181"/>
        <item x="1182"/>
        <item x="1183"/>
        <item x="1184"/>
        <item x="1185"/>
        <item x="1186"/>
        <item x="1187"/>
        <item x="1188"/>
        <item x="118"/>
        <item x="1189"/>
        <item x="1190"/>
        <item x="1191"/>
        <item x="1192"/>
        <item x="1193"/>
        <item x="1194"/>
        <item x="1195"/>
        <item x="1196"/>
        <item x="1197"/>
        <item x="1198"/>
        <item x="11"/>
        <item x="119"/>
        <item x="1199"/>
        <item x="1200"/>
        <item x="1201"/>
        <item x="1202"/>
        <item x="1203"/>
        <item x="1204"/>
        <item x="1205"/>
        <item x="1206"/>
        <item x="1207"/>
        <item x="1208"/>
        <item x="120"/>
        <item x="1209"/>
        <item x="1210"/>
        <item x="1211"/>
        <item x="1212"/>
        <item x="1213"/>
        <item x="1214"/>
        <item x="1215"/>
        <item x="1216"/>
        <item x="1217"/>
        <item x="1218"/>
        <item x="121"/>
        <item x="1219"/>
        <item x="1220"/>
        <item x="1221"/>
        <item x="1222"/>
        <item x="1223"/>
        <item x="1224"/>
        <item x="1225"/>
        <item x="1226"/>
        <item x="1227"/>
        <item x="1228"/>
        <item x="122"/>
        <item x="1229"/>
        <item x="1230"/>
        <item x="1231"/>
        <item x="1232"/>
        <item x="1233"/>
        <item x="1234"/>
        <item x="1235"/>
        <item x="1236"/>
        <item x="1237"/>
        <item x="1238"/>
        <item x="123"/>
        <item x="1239"/>
        <item x="1240"/>
        <item x="1241"/>
        <item x="1242"/>
        <item x="1243"/>
        <item x="1244"/>
        <item x="1245"/>
        <item x="1246"/>
        <item x="1247"/>
        <item x="1248"/>
        <item x="124"/>
        <item x="1249"/>
        <item x="1250"/>
        <item x="1251"/>
        <item x="1252"/>
        <item x="1253"/>
        <item x="1254"/>
        <item x="1255"/>
        <item x="1256"/>
        <item x="1257"/>
        <item x="1258"/>
        <item x="125"/>
        <item x="1259"/>
        <item x="1260"/>
        <item x="1261"/>
        <item x="1262"/>
        <item x="1263"/>
        <item x="1264"/>
        <item x="1265"/>
        <item x="1266"/>
        <item x="1267"/>
        <item x="1268"/>
        <item x="126"/>
        <item x="1269"/>
        <item x="1270"/>
        <item x="1271"/>
        <item x="1272"/>
        <item x="1273"/>
        <item x="1274"/>
        <item x="1275"/>
        <item x="1276"/>
        <item x="1277"/>
        <item x="1278"/>
        <item x="127"/>
        <item x="1279"/>
        <item x="1280"/>
        <item x="1281"/>
        <item x="1282"/>
        <item x="1283"/>
        <item x="1284"/>
        <item x="1285"/>
        <item x="1286"/>
        <item x="1287"/>
        <item x="1288"/>
        <item x="128"/>
        <item x="1289"/>
        <item x="1290"/>
        <item x="1291"/>
        <item x="1292"/>
        <item x="1293"/>
        <item x="1294"/>
        <item x="1295"/>
        <item x="1296"/>
        <item x="1297"/>
        <item x="1298"/>
        <item x="12"/>
        <item x="129"/>
        <item x="1299"/>
        <item x="1300"/>
        <item x="1301"/>
        <item x="1302"/>
        <item x="1303"/>
        <item x="1304"/>
        <item x="1305"/>
        <item x="1306"/>
        <item x="1307"/>
        <item x="1308"/>
        <item x="130"/>
        <item x="1309"/>
        <item x="1310"/>
        <item x="1311"/>
        <item x="1312"/>
        <item x="1313"/>
        <item x="1314"/>
        <item x="1315"/>
        <item x="1316"/>
        <item x="1317"/>
        <item x="1318"/>
        <item x="131"/>
        <item x="1319"/>
        <item x="1320"/>
        <item x="1321"/>
        <item x="1322"/>
        <item x="1323"/>
        <item x="1324"/>
        <item x="1325"/>
        <item x="1326"/>
        <item x="1327"/>
        <item x="1328"/>
        <item x="132"/>
        <item x="1329"/>
        <item x="1330"/>
        <item x="1331"/>
        <item x="1332"/>
        <item x="1333"/>
        <item x="1334"/>
        <item x="1335"/>
        <item x="1336"/>
        <item x="1337"/>
        <item x="1338"/>
        <item x="133"/>
        <item x="1339"/>
        <item x="1340"/>
        <item x="1341"/>
        <item x="1342"/>
        <item x="1343"/>
        <item x="1344"/>
        <item x="1345"/>
        <item x="1346"/>
        <item x="1347"/>
        <item x="1348"/>
        <item x="134"/>
        <item x="1349"/>
        <item x="1350"/>
        <item x="1351"/>
        <item x="1352"/>
        <item x="1353"/>
        <item x="1354"/>
        <item x="1355"/>
        <item x="1356"/>
        <item x="1357"/>
        <item x="1358"/>
        <item x="135"/>
        <item x="1359"/>
        <item x="1360"/>
        <item x="1361"/>
        <item x="1362"/>
        <item x="1363"/>
        <item x="1364"/>
        <item x="1365"/>
        <item x="1366"/>
        <item x="1367"/>
        <item x="1368"/>
        <item x="136"/>
        <item x="1369"/>
        <item x="1370"/>
        <item x="1371"/>
        <item x="1372"/>
        <item x="1373"/>
        <item x="1374"/>
        <item x="1375"/>
        <item x="1376"/>
        <item x="1377"/>
        <item x="1378"/>
        <item x="137"/>
        <item x="1379"/>
        <item x="1380"/>
        <item x="1381"/>
        <item x="1382"/>
        <item x="1383"/>
        <item x="1384"/>
        <item x="1385"/>
        <item x="1386"/>
        <item x="1387"/>
        <item x="1388"/>
        <item x="138"/>
        <item x="1389"/>
        <item x="1390"/>
        <item x="1391"/>
        <item x="1392"/>
        <item x="1393"/>
        <item x="1394"/>
        <item x="1395"/>
        <item x="1396"/>
        <item x="1397"/>
        <item x="1398"/>
        <item x="13"/>
        <item x="139"/>
        <item x="1399"/>
        <item x="1400"/>
        <item x="1401"/>
        <item x="1402"/>
        <item x="1403"/>
        <item x="1404"/>
        <item x="1405"/>
        <item x="1406"/>
        <item x="1407"/>
        <item x="1408"/>
        <item x="140"/>
        <item x="1409"/>
        <item x="1410"/>
        <item x="1411"/>
        <item x="1412"/>
        <item x="1413"/>
        <item x="1414"/>
        <item x="1415"/>
        <item x="1416"/>
        <item x="1417"/>
        <item x="1418"/>
        <item x="141"/>
        <item x="1419"/>
        <item x="1420"/>
        <item x="1421"/>
        <item x="1422"/>
        <item x="1423"/>
        <item x="1424"/>
        <item x="1425"/>
        <item x="1426"/>
        <item x="1427"/>
        <item x="1428"/>
        <item x="142"/>
        <item x="1429"/>
        <item x="1430"/>
        <item x="1431"/>
        <item x="1432"/>
        <item x="1433"/>
        <item x="1434"/>
        <item x="1435"/>
        <item x="1436"/>
        <item x="1437"/>
        <item x="1438"/>
        <item x="143"/>
        <item x="1439"/>
        <item x="1440"/>
        <item x="1441"/>
        <item x="1442"/>
        <item x="1443"/>
        <item x="1444"/>
        <item x="1445"/>
        <item x="1446"/>
        <item x="1447"/>
        <item x="1448"/>
        <item x="144"/>
        <item x="1449"/>
        <item x="1450"/>
        <item x="1451"/>
        <item x="1452"/>
        <item x="1453"/>
        <item x="1454"/>
        <item x="1455"/>
        <item x="1456"/>
        <item x="1457"/>
        <item x="1458"/>
        <item x="145"/>
        <item x="1459"/>
        <item x="1460"/>
        <item x="1461"/>
        <item x="1462"/>
        <item x="1463"/>
        <item x="1464"/>
        <item x="1465"/>
        <item x="1466"/>
        <item x="1467"/>
        <item x="1468"/>
        <item x="146"/>
        <item x="1469"/>
        <item x="1470"/>
        <item x="1471"/>
        <item x="1472"/>
        <item x="1473"/>
        <item x="1474"/>
        <item x="1475"/>
        <item x="1476"/>
        <item x="1477"/>
        <item x="1478"/>
        <item x="147"/>
        <item x="1479"/>
        <item x="1480"/>
        <item x="1481"/>
        <item x="1482"/>
        <item x="1483"/>
        <item x="1484"/>
        <item x="1485"/>
        <item x="1486"/>
        <item x="1487"/>
        <item x="1488"/>
        <item x="148"/>
        <item x="1489"/>
        <item x="1490"/>
        <item x="1491"/>
        <item x="1492"/>
        <item x="1493"/>
        <item x="1494"/>
        <item x="1495"/>
        <item x="1496"/>
        <item x="1497"/>
        <item x="1498"/>
        <item x="14"/>
        <item x="149"/>
        <item x="1499"/>
        <item x="1500"/>
        <item x="1501"/>
        <item x="1502"/>
        <item x="1503"/>
        <item x="1504"/>
        <item x="1505"/>
        <item x="1506"/>
        <item x="1507"/>
        <item x="1508"/>
        <item x="150"/>
        <item x="1509"/>
        <item x="1510"/>
        <item x="1511"/>
        <item x="1512"/>
        <item x="1513"/>
        <item x="1514"/>
        <item x="1515"/>
        <item x="1516"/>
        <item x="1517"/>
        <item x="1518"/>
        <item x="151"/>
        <item x="1519"/>
        <item x="1520"/>
        <item x="1521"/>
        <item x="1522"/>
        <item x="1523"/>
        <item x="1524"/>
        <item x="1525"/>
        <item x="1526"/>
        <item x="1527"/>
        <item x="1528"/>
        <item x="152"/>
        <item x="1529"/>
        <item x="1530"/>
        <item x="1531"/>
        <item x="1532"/>
        <item x="1533"/>
        <item x="1534"/>
        <item x="1535"/>
        <item x="1536"/>
        <item x="1537"/>
        <item x="1538"/>
        <item x="153"/>
        <item x="1539"/>
        <item x="1540"/>
        <item x="1541"/>
        <item x="1542"/>
        <item x="1543"/>
        <item x="1544"/>
        <item x="1545"/>
        <item x="1546"/>
        <item x="1547"/>
        <item x="1548"/>
        <item x="154"/>
        <item x="1549"/>
        <item x="1550"/>
        <item x="1551"/>
        <item x="1552"/>
        <item x="1553"/>
        <item x="1554"/>
        <item x="1555"/>
        <item x="1556"/>
        <item x="1557"/>
        <item x="1558"/>
        <item x="155"/>
        <item x="1559"/>
        <item x="1560"/>
        <item x="1561"/>
        <item x="1562"/>
        <item x="1563"/>
        <item x="1564"/>
        <item x="1565"/>
        <item x="1566"/>
        <item x="1567"/>
        <item x="1568"/>
        <item x="156"/>
        <item x="1569"/>
        <item x="1570"/>
        <item x="1571"/>
        <item x="1572"/>
        <item x="1573"/>
        <item x="1574"/>
        <item x="1575"/>
        <item x="1576"/>
        <item x="1577"/>
        <item x="1578"/>
        <item x="157"/>
        <item x="1579"/>
        <item x="1580"/>
        <item x="1581"/>
        <item x="1582"/>
        <item x="1583"/>
        <item x="1584"/>
        <item x="1585"/>
        <item x="1586"/>
        <item x="1587"/>
        <item x="1588"/>
        <item x="158"/>
        <item x="1589"/>
        <item x="1590"/>
        <item x="1591"/>
        <item x="1592"/>
        <item x="1593"/>
        <item x="1594"/>
        <item x="1595"/>
        <item x="1596"/>
        <item x="1597"/>
        <item x="1598"/>
        <item x="15"/>
        <item x="159"/>
        <item x="1599"/>
        <item x="1600"/>
        <item x="1601"/>
        <item x="1602"/>
        <item x="1603"/>
        <item x="1604"/>
        <item x="1605"/>
        <item x="1606"/>
        <item x="1607"/>
        <item x="1608"/>
        <item x="160"/>
        <item x="1609"/>
        <item x="1610"/>
        <item x="1611"/>
        <item x="1612"/>
        <item x="1613"/>
        <item x="1614"/>
        <item x="1615"/>
        <item x="1616"/>
        <item x="1617"/>
        <item x="1618"/>
        <item x="161"/>
        <item x="1619"/>
        <item x="1620"/>
        <item x="1621"/>
        <item x="1622"/>
        <item x="1623"/>
        <item x="1624"/>
        <item x="1625"/>
        <item x="1626"/>
        <item x="1627"/>
        <item x="1628"/>
        <item x="162"/>
        <item x="1629"/>
        <item x="1630"/>
        <item x="1631"/>
        <item x="1632"/>
        <item x="1633"/>
        <item x="1634"/>
        <item x="1635"/>
        <item x="1636"/>
        <item x="1637"/>
        <item x="1638"/>
        <item x="163"/>
        <item x="1639"/>
        <item x="1640"/>
        <item x="1641"/>
        <item x="1642"/>
        <item x="1643"/>
        <item x="1644"/>
        <item x="1645"/>
        <item x="1646"/>
        <item x="1647"/>
        <item x="1648"/>
        <item x="164"/>
        <item x="1649"/>
        <item x="1650"/>
        <item x="1651"/>
        <item x="1652"/>
        <item x="1653"/>
        <item x="1654"/>
        <item x="1655"/>
        <item x="1656"/>
        <item x="1657"/>
        <item x="1658"/>
        <item x="165"/>
        <item x="1659"/>
        <item x="1660"/>
        <item x="1661"/>
        <item x="1662"/>
        <item x="1663"/>
        <item x="1664"/>
        <item x="1665"/>
        <item x="1666"/>
        <item x="1667"/>
        <item x="1668"/>
        <item x="166"/>
        <item x="1669"/>
        <item x="1670"/>
        <item x="1671"/>
        <item x="1672"/>
        <item x="1673"/>
        <item x="1674"/>
        <item x="1675"/>
        <item x="1676"/>
        <item x="1677"/>
        <item x="1678"/>
        <item x="167"/>
        <item x="1679"/>
        <item x="1680"/>
        <item x="1681"/>
        <item x="1682"/>
        <item x="1683"/>
        <item x="1684"/>
        <item x="1685"/>
        <item x="1686"/>
        <item x="1687"/>
        <item x="1688"/>
        <item x="168"/>
        <item x="1689"/>
        <item x="1690"/>
        <item x="1691"/>
        <item x="1692"/>
        <item x="1693"/>
        <item x="1694"/>
        <item x="1695"/>
        <item x="1696"/>
        <item x="1697"/>
        <item x="1698"/>
        <item x="16"/>
        <item x="169"/>
        <item x="1699"/>
        <item x="1700"/>
        <item x="1701"/>
        <item x="1702"/>
        <item x="1703"/>
        <item x="1704"/>
        <item x="1705"/>
        <item x="1706"/>
        <item x="1707"/>
        <item x="1708"/>
        <item x="170"/>
        <item x="1709"/>
        <item x="1710"/>
        <item x="1711"/>
        <item x="1712"/>
        <item x="1713"/>
        <item x="1714"/>
        <item x="1715"/>
        <item x="1716"/>
        <item x="1717"/>
        <item x="1718"/>
        <item x="171"/>
        <item x="1719"/>
        <item x="1720"/>
        <item x="1721"/>
        <item x="1722"/>
        <item x="1723"/>
        <item x="1724"/>
        <item x="1725"/>
        <item x="1726"/>
        <item x="1727"/>
        <item x="1728"/>
        <item x="172"/>
        <item x="1729"/>
        <item x="1730"/>
        <item x="1731"/>
        <item x="1732"/>
        <item x="1733"/>
        <item x="1734"/>
        <item x="1735"/>
        <item x="1736"/>
        <item x="1737"/>
        <item x="1738"/>
        <item x="173"/>
        <item x="1739"/>
        <item x="1740"/>
        <item x="1741"/>
        <item x="1742"/>
        <item x="1743"/>
        <item x="1744"/>
        <item x="1745"/>
        <item x="1746"/>
        <item x="1747"/>
        <item x="1748"/>
        <item x="174"/>
        <item x="1749"/>
        <item x="1750"/>
        <item x="1751"/>
        <item x="1752"/>
        <item x="1753"/>
        <item x="1754"/>
        <item x="1755"/>
        <item x="1756"/>
        <item x="1757"/>
        <item x="1758"/>
        <item x="175"/>
        <item x="1759"/>
        <item x="1760"/>
        <item x="1761"/>
        <item x="1762"/>
        <item x="1763"/>
        <item x="1764"/>
        <item x="1765"/>
        <item x="1766"/>
        <item x="1767"/>
        <item x="1768"/>
        <item x="176"/>
        <item x="1769"/>
        <item x="1770"/>
        <item x="1771"/>
        <item x="1772"/>
        <item x="1773"/>
        <item x="1774"/>
        <item x="1775"/>
        <item x="1776"/>
        <item x="1777"/>
        <item x="1778"/>
        <item x="177"/>
        <item x="1779"/>
        <item x="1780"/>
        <item x="1781"/>
        <item x="1782"/>
        <item x="1783"/>
        <item x="1784"/>
        <item x="1785"/>
        <item x="1786"/>
        <item x="1787"/>
        <item x="1788"/>
        <item x="178"/>
        <item x="1789"/>
        <item x="1790"/>
        <item x="1791"/>
        <item x="1792"/>
        <item x="1793"/>
        <item x="1794"/>
        <item x="1795"/>
        <item x="1796"/>
        <item x="1797"/>
        <item x="1798"/>
        <item x="17"/>
        <item x="179"/>
        <item x="1799"/>
        <item x="1800"/>
        <item x="1801"/>
        <item x="1802"/>
        <item x="1803"/>
        <item x="1804"/>
        <item x="1805"/>
        <item x="1806"/>
        <item x="1807"/>
        <item x="1808"/>
        <item x="180"/>
        <item x="1809"/>
        <item x="1810"/>
        <item x="1811"/>
        <item x="1812"/>
        <item x="1813"/>
        <item x="1814"/>
        <item x="1815"/>
        <item x="1816"/>
        <item x="1817"/>
        <item x="1818"/>
        <item x="181"/>
        <item x="1819"/>
        <item x="1820"/>
        <item x="1821"/>
        <item x="1822"/>
        <item x="1823"/>
        <item x="1824"/>
        <item x="1825"/>
        <item x="1826"/>
        <item x="1827"/>
        <item x="1828"/>
        <item x="182"/>
        <item x="1829"/>
        <item x="1830"/>
        <item x="1831"/>
        <item x="1832"/>
        <item x="1833"/>
        <item x="1834"/>
        <item x="1835"/>
        <item x="1836"/>
        <item x="1837"/>
        <item x="1838"/>
        <item x="183"/>
        <item x="1839"/>
        <item x="1840"/>
        <item x="1841"/>
        <item x="1842"/>
        <item x="1843"/>
        <item x="1844"/>
        <item x="1845"/>
        <item x="1846"/>
        <item x="1847"/>
        <item x="1848"/>
        <item x="184"/>
        <item x="1849"/>
        <item x="1850"/>
        <item x="1851"/>
        <item x="1852"/>
        <item x="1853"/>
        <item x="1854"/>
        <item x="1855"/>
        <item x="1856"/>
        <item x="1857"/>
        <item x="1858"/>
        <item x="185"/>
        <item x="1859"/>
        <item x="1860"/>
        <item x="1861"/>
        <item x="1862"/>
        <item x="1863"/>
        <item x="1864"/>
        <item x="1865"/>
        <item x="1866"/>
        <item x="1867"/>
        <item x="1868"/>
        <item x="186"/>
        <item x="1869"/>
        <item x="1870"/>
        <item x="1871"/>
        <item x="1872"/>
        <item x="1873"/>
        <item x="1874"/>
        <item x="1875"/>
        <item x="1876"/>
        <item x="1877"/>
        <item x="1878"/>
        <item x="187"/>
        <item x="1879"/>
        <item x="1880"/>
        <item x="1881"/>
        <item x="1882"/>
        <item x="1883"/>
        <item x="1884"/>
        <item x="1885"/>
        <item x="1886"/>
        <item x="1887"/>
        <item x="1888"/>
        <item x="188"/>
        <item x="1889"/>
        <item x="1890"/>
        <item x="1891"/>
        <item x="1892"/>
        <item x="1893"/>
        <item x="1894"/>
        <item x="1895"/>
        <item x="1896"/>
        <item x="1897"/>
        <item x="1898"/>
        <item x="18"/>
        <item x="189"/>
        <item x="1899"/>
        <item x="1900"/>
        <item x="1901"/>
        <item x="1902"/>
        <item x="1903"/>
        <item x="1904"/>
        <item x="1905"/>
        <item x="1906"/>
        <item x="1907"/>
        <item x="1908"/>
        <item x="190"/>
        <item x="1909"/>
        <item x="1910"/>
        <item x="1911"/>
        <item x="1912"/>
        <item x="1913"/>
        <item x="1914"/>
        <item x="1915"/>
        <item x="1916"/>
        <item x="1917"/>
        <item x="1918"/>
        <item x="191"/>
        <item x="1919"/>
        <item x="1920"/>
        <item x="1921"/>
        <item x="1922"/>
        <item x="1923"/>
        <item x="1924"/>
        <item x="1925"/>
        <item x="1926"/>
        <item x="1927"/>
        <item x="1928"/>
        <item x="192"/>
        <item x="1929"/>
        <item x="1930"/>
        <item x="1931"/>
        <item x="1932"/>
        <item x="1933"/>
        <item x="1934"/>
        <item x="1935"/>
        <item x="1936"/>
        <item x="1937"/>
        <item x="1938"/>
        <item x="193"/>
        <item x="1939"/>
        <item x="1940"/>
        <item x="1941"/>
        <item x="1942"/>
        <item x="1943"/>
        <item x="1944"/>
        <item x="1945"/>
        <item x="1946"/>
        <item x="1947"/>
        <item x="1948"/>
        <item x="194"/>
        <item x="1949"/>
        <item x="1950"/>
        <item x="1951"/>
        <item x="1952"/>
        <item x="1953"/>
        <item x="1954"/>
        <item x="1955"/>
        <item x="1956"/>
        <item x="1957"/>
        <item x="1958"/>
        <item x="195"/>
        <item x="1959"/>
        <item x="1960"/>
        <item x="1961"/>
        <item x="1962"/>
        <item x="1963"/>
        <item x="1964"/>
        <item x="1965"/>
        <item x="1966"/>
        <item x="1967"/>
        <item x="1968"/>
        <item x="196"/>
        <item x="1969"/>
        <item x="1970"/>
        <item x="1971"/>
        <item x="1972"/>
        <item x="1973"/>
        <item x="1974"/>
        <item x="1975"/>
        <item x="1976"/>
        <item x="1977"/>
        <item x="1978"/>
        <item x="197"/>
        <item x="1979"/>
        <item x="1980"/>
        <item x="1981"/>
        <item x="1982"/>
        <item x="1983"/>
        <item x="1984"/>
        <item x="1985"/>
        <item x="1986"/>
        <item x="1987"/>
        <item x="1988"/>
        <item x="198"/>
        <item x="1989"/>
        <item x="1990"/>
        <item x="1991"/>
        <item x="1992"/>
        <item x="1993"/>
        <item x="1994"/>
        <item x="1995"/>
        <item x="1996"/>
        <item x="1997"/>
        <item x="1998"/>
        <item x="1"/>
        <item x="19"/>
        <item x="199"/>
        <item x="1999"/>
        <item x="2000"/>
        <item x="2001"/>
        <item x="2002"/>
        <item x="2003"/>
        <item x="2004"/>
        <item x="2005"/>
        <item x="2006"/>
        <item x="2007"/>
        <item x="2008"/>
        <item x="200"/>
        <item x="2009"/>
        <item x="2010"/>
        <item x="2011"/>
        <item x="2012"/>
        <item x="2013"/>
        <item x="2014"/>
        <item x="2015"/>
        <item x="2016"/>
        <item x="2017"/>
        <item x="2018"/>
        <item x="201"/>
        <item x="2019"/>
        <item x="2020"/>
        <item x="2021"/>
        <item x="2022"/>
        <item x="2023"/>
        <item x="2024"/>
        <item x="2025"/>
        <item x="2026"/>
        <item x="2027"/>
        <item x="2028"/>
        <item x="202"/>
        <item x="2029"/>
        <item x="2030"/>
        <item x="2031"/>
        <item x="2032"/>
        <item x="2033"/>
        <item x="2034"/>
        <item x="2035"/>
        <item x="2036"/>
        <item x="2037"/>
        <item x="2038"/>
        <item x="203"/>
        <item x="2039"/>
        <item x="2040"/>
        <item x="2041"/>
        <item x="2042"/>
        <item x="2043"/>
        <item x="2044"/>
        <item x="2045"/>
        <item x="2046"/>
        <item x="2047"/>
        <item x="2048"/>
        <item x="204"/>
        <item x="2049"/>
        <item x="2050"/>
        <item x="2051"/>
        <item x="2052"/>
        <item x="2053"/>
        <item x="2054"/>
        <item x="2055"/>
        <item x="2056"/>
        <item x="2057"/>
        <item x="2058"/>
        <item x="205"/>
        <item x="2059"/>
        <item x="2060"/>
        <item x="2061"/>
        <item x="2062"/>
        <item x="2063"/>
        <item x="2064"/>
        <item x="2065"/>
        <item x="2066"/>
        <item x="2067"/>
        <item x="2068"/>
        <item x="206"/>
        <item x="2069"/>
        <item x="2070"/>
        <item x="2071"/>
        <item x="2072"/>
        <item x="2073"/>
        <item x="2074"/>
        <item x="2075"/>
        <item x="2076"/>
        <item x="2077"/>
        <item x="2078"/>
        <item x="207"/>
        <item x="2079"/>
        <item x="2080"/>
        <item x="2081"/>
        <item x="2082"/>
        <item x="2083"/>
        <item x="2084"/>
        <item x="2085"/>
        <item x="2086"/>
        <item x="2087"/>
        <item x="2088"/>
        <item x="208"/>
        <item x="2089"/>
        <item x="2090"/>
        <item x="2091"/>
        <item x="2092"/>
        <item x="2093"/>
        <item x="2094"/>
        <item x="2095"/>
        <item x="2096"/>
        <item x="2097"/>
        <item x="2098"/>
        <item x="20"/>
        <item x="209"/>
        <item x="2099"/>
        <item x="2100"/>
        <item x="2101"/>
        <item x="2102"/>
        <item x="2103"/>
        <item x="2104"/>
        <item x="2105"/>
        <item x="2106"/>
        <item x="2107"/>
        <item x="2108"/>
        <item x="210"/>
        <item x="2109"/>
        <item x="2110"/>
        <item x="2111"/>
        <item x="2112"/>
        <item x="2113"/>
        <item x="2114"/>
        <item x="2115"/>
        <item x="2116"/>
        <item x="2117"/>
        <item x="2118"/>
        <item x="211"/>
        <item x="2119"/>
        <item x="2120"/>
        <item x="2121"/>
        <item x="2122"/>
        <item x="2123"/>
        <item x="2124"/>
        <item x="2125"/>
        <item x="2126"/>
        <item x="2127"/>
        <item x="2128"/>
        <item x="212"/>
        <item x="2129"/>
        <item x="2130"/>
        <item x="2131"/>
        <item x="2132"/>
        <item x="2133"/>
        <item x="2134"/>
        <item x="2135"/>
        <item x="2136"/>
        <item x="2137"/>
        <item x="2138"/>
        <item x="213"/>
        <item x="2139"/>
        <item x="2140"/>
        <item x="2141"/>
        <item x="2142"/>
        <item x="2143"/>
        <item x="2144"/>
        <item x="2145"/>
        <item x="2146"/>
        <item x="2147"/>
        <item x="2148"/>
        <item x="214"/>
        <item x="2149"/>
        <item x="2150"/>
        <item x="2151"/>
        <item x="2152"/>
        <item x="2153"/>
        <item x="2154"/>
        <item x="2155"/>
        <item x="2156"/>
        <item x="2157"/>
        <item x="2158"/>
        <item x="215"/>
        <item x="2159"/>
        <item x="2160"/>
        <item x="2161"/>
        <item x="2162"/>
        <item x="2163"/>
        <item x="2164"/>
        <item x="2165"/>
        <item x="2166"/>
        <item x="2167"/>
        <item x="2168"/>
        <item x="216"/>
        <item x="2169"/>
        <item x="2170"/>
        <item x="2171"/>
        <item x="2172"/>
        <item x="2173"/>
        <item x="2174"/>
        <item x="2175"/>
        <item x="2176"/>
        <item x="2177"/>
        <item x="2178"/>
        <item x="217"/>
        <item x="2179"/>
        <item x="2180"/>
        <item x="2181"/>
        <item x="2182"/>
        <item x="2183"/>
        <item x="2184"/>
        <item x="2185"/>
        <item x="2186"/>
        <item x="2187"/>
        <item x="2188"/>
        <item x="218"/>
        <item x="2189"/>
        <item x="2190"/>
        <item x="2191"/>
        <item x="2192"/>
        <item x="2193"/>
        <item x="2194"/>
        <item x="2195"/>
        <item x="2196"/>
        <item x="2197"/>
        <item x="2198"/>
        <item x="21"/>
        <item x="219"/>
        <item x="2199"/>
        <item x="2200"/>
        <item x="2201"/>
        <item x="2202"/>
        <item x="2203"/>
        <item x="2204"/>
        <item x="2205"/>
        <item x="2206"/>
        <item x="2207"/>
        <item x="2208"/>
        <item x="220"/>
        <item x="2209"/>
        <item x="2210"/>
        <item x="2211"/>
        <item x="2212"/>
        <item x="2213"/>
        <item x="2214"/>
        <item x="2215"/>
        <item x="2216"/>
        <item x="2217"/>
        <item x="2218"/>
        <item x="221"/>
        <item x="2219"/>
        <item x="2220"/>
        <item x="2221"/>
        <item x="2222"/>
        <item x="2223"/>
        <item x="2224"/>
        <item x="2225"/>
        <item x="2226"/>
        <item x="2227"/>
        <item x="2228"/>
        <item x="222"/>
        <item x="2229"/>
        <item x="2230"/>
        <item x="2231"/>
        <item x="2232"/>
        <item x="2233"/>
        <item x="2234"/>
        <item x="2235"/>
        <item x="2236"/>
        <item x="2237"/>
        <item x="2238"/>
        <item x="223"/>
        <item x="2239"/>
        <item x="2240"/>
        <item x="2241"/>
        <item x="2242"/>
        <item x="2243"/>
        <item x="2244"/>
        <item x="2245"/>
        <item x="2246"/>
        <item x="2247"/>
        <item x="2248"/>
        <item x="224"/>
        <item x="2249"/>
        <item x="2250"/>
        <item x="2251"/>
        <item x="2252"/>
        <item x="2253"/>
        <item x="2254"/>
        <item x="2255"/>
        <item x="2256"/>
        <item x="2257"/>
        <item x="2258"/>
        <item x="225"/>
        <item x="2259"/>
        <item x="2260"/>
        <item x="2261"/>
        <item x="2262"/>
        <item x="2263"/>
        <item x="2264"/>
        <item x="2265"/>
        <item x="2266"/>
        <item x="2267"/>
        <item x="2268"/>
        <item x="226"/>
        <item x="2269"/>
        <item x="2270"/>
        <item x="2271"/>
        <item x="2272"/>
        <item x="2273"/>
        <item x="2274"/>
        <item x="2275"/>
        <item x="2276"/>
        <item x="2277"/>
        <item x="2278"/>
        <item x="227"/>
        <item x="2279"/>
        <item x="2280"/>
        <item x="2281"/>
        <item x="2282"/>
        <item x="2283"/>
        <item x="2284"/>
        <item x="2285"/>
        <item x="2286"/>
        <item x="2287"/>
        <item x="2288"/>
        <item x="228"/>
        <item x="2289"/>
        <item x="2290"/>
        <item x="2291"/>
        <item x="2292"/>
        <item x="2293"/>
        <item x="2294"/>
        <item x="2295"/>
        <item x="2296"/>
        <item x="2297"/>
        <item x="2298"/>
        <item x="22"/>
        <item x="229"/>
        <item x="2299"/>
        <item x="2300"/>
        <item x="2301"/>
        <item x="2302"/>
        <item x="2303"/>
        <item x="2304"/>
        <item x="2305"/>
        <item x="2306"/>
        <item x="2307"/>
        <item x="2308"/>
        <item x="230"/>
        <item x="2309"/>
        <item x="2310"/>
        <item x="2311"/>
        <item x="2312"/>
        <item x="2313"/>
        <item x="2314"/>
        <item x="2315"/>
        <item x="2316"/>
        <item x="2317"/>
        <item x="2318"/>
        <item x="231"/>
        <item x="2319"/>
        <item x="2320"/>
        <item x="2321"/>
        <item x="2322"/>
        <item x="2323"/>
        <item x="2324"/>
        <item x="2325"/>
        <item x="2326"/>
        <item x="2327"/>
        <item x="2328"/>
        <item x="232"/>
        <item x="2329"/>
        <item x="2330"/>
        <item x="2331"/>
        <item x="2332"/>
        <item x="2333"/>
        <item x="2334"/>
        <item x="2335"/>
        <item x="2336"/>
        <item x="2337"/>
        <item x="2338"/>
        <item x="233"/>
        <item x="2339"/>
        <item x="2340"/>
        <item x="2341"/>
        <item x="2342"/>
        <item x="2343"/>
        <item x="2344"/>
        <item x="2345"/>
        <item x="2346"/>
        <item x="2347"/>
        <item x="2348"/>
        <item x="234"/>
        <item x="2349"/>
        <item x="2350"/>
        <item x="2351"/>
        <item x="2352"/>
        <item x="2353"/>
        <item x="2354"/>
        <item x="2355"/>
        <item x="2356"/>
        <item x="2357"/>
        <item x="2358"/>
        <item x="235"/>
        <item x="2359"/>
        <item x="2360"/>
        <item x="2361"/>
        <item x="2362"/>
        <item x="2363"/>
        <item x="2364"/>
        <item x="2365"/>
        <item x="2366"/>
        <item x="2367"/>
        <item x="2368"/>
        <item x="236"/>
        <item x="2369"/>
        <item x="2370"/>
        <item x="2371"/>
        <item x="2372"/>
        <item x="2373"/>
        <item x="2374"/>
        <item x="2375"/>
        <item x="2376"/>
        <item x="2377"/>
        <item x="2378"/>
        <item x="237"/>
        <item x="2379"/>
        <item x="2380"/>
        <item x="2381"/>
        <item x="2382"/>
        <item x="2383"/>
        <item x="2384"/>
        <item x="2385"/>
        <item x="2386"/>
        <item x="2387"/>
        <item x="2388"/>
        <item x="238"/>
        <item x="2389"/>
        <item x="2390"/>
        <item x="2391"/>
        <item x="2392"/>
        <item x="2393"/>
        <item x="2394"/>
        <item x="2395"/>
        <item x="2396"/>
        <item x="2397"/>
        <item x="2398"/>
        <item x="23"/>
        <item x="239"/>
        <item x="2399"/>
        <item x="2400"/>
        <item x="2401"/>
        <item x="2402"/>
        <item x="2403"/>
        <item x="2404"/>
        <item x="2405"/>
        <item x="2406"/>
        <item x="2407"/>
        <item x="2408"/>
        <item x="240"/>
        <item x="2409"/>
        <item x="2410"/>
        <item x="2411"/>
        <item x="2412"/>
        <item x="2413"/>
        <item x="2414"/>
        <item x="2415"/>
        <item x="2416"/>
        <item x="2417"/>
        <item x="2418"/>
        <item x="241"/>
        <item x="2419"/>
        <item x="2420"/>
        <item x="2421"/>
        <item x="2422"/>
        <item x="2423"/>
        <item x="2424"/>
        <item x="2425"/>
        <item x="2426"/>
        <item x="2427"/>
        <item x="2428"/>
        <item x="242"/>
        <item x="2429"/>
        <item x="2430"/>
        <item x="2431"/>
        <item x="2432"/>
        <item x="2433"/>
        <item x="2434"/>
        <item x="2435"/>
        <item x="2436"/>
        <item x="2437"/>
        <item x="2438"/>
        <item x="243"/>
        <item x="2439"/>
        <item x="2440"/>
        <item x="2441"/>
        <item x="2442"/>
        <item x="2443"/>
        <item x="2444"/>
        <item x="2445"/>
        <item x="2446"/>
        <item x="2447"/>
        <item x="2448"/>
        <item x="244"/>
        <item x="2449"/>
        <item x="2450"/>
        <item x="2451"/>
        <item x="2452"/>
        <item x="2453"/>
        <item x="2454"/>
        <item x="2455"/>
        <item x="2456"/>
        <item x="2457"/>
        <item x="2458"/>
        <item x="245"/>
        <item x="2459"/>
        <item x="2460"/>
        <item x="2461"/>
        <item x="2462"/>
        <item x="2463"/>
        <item x="2464"/>
        <item x="2465"/>
        <item x="2466"/>
        <item x="2467"/>
        <item x="2468"/>
        <item x="246"/>
        <item x="2469"/>
        <item x="2470"/>
        <item x="2471"/>
        <item x="2472"/>
        <item x="2473"/>
        <item x="2474"/>
        <item x="2475"/>
        <item x="2476"/>
        <item x="2477"/>
        <item x="2478"/>
        <item x="247"/>
        <item x="2479"/>
        <item x="2480"/>
        <item x="2481"/>
        <item x="2482"/>
        <item x="2483"/>
        <item x="2484"/>
        <item x="2485"/>
        <item x="2486"/>
        <item x="2487"/>
        <item x="2488"/>
        <item x="248"/>
        <item x="2489"/>
        <item x="2490"/>
        <item x="2491"/>
        <item x="2492"/>
        <item x="2493"/>
        <item x="2494"/>
        <item x="2495"/>
        <item x="2496"/>
        <item x="2497"/>
        <item x="2498"/>
        <item x="24"/>
        <item x="249"/>
        <item x="2499"/>
        <item x="2500"/>
        <item x="2501"/>
        <item x="2502"/>
        <item x="2503"/>
        <item x="2504"/>
        <item x="2505"/>
        <item x="2506"/>
        <item x="2507"/>
        <item x="2508"/>
        <item x="250"/>
        <item x="2509"/>
        <item x="2510"/>
        <item x="2511"/>
        <item x="2512"/>
        <item x="2513"/>
        <item x="2514"/>
        <item x="2515"/>
        <item x="2516"/>
        <item x="2517"/>
        <item x="2518"/>
        <item x="251"/>
        <item x="2519"/>
        <item x="2520"/>
        <item x="2521"/>
        <item x="2522"/>
        <item x="2523"/>
        <item x="2524"/>
        <item x="2525"/>
        <item x="2526"/>
        <item x="2527"/>
        <item x="2528"/>
        <item x="252"/>
        <item x="2529"/>
        <item x="2530"/>
        <item x="2531"/>
        <item x="2532"/>
        <item x="2533"/>
        <item x="2534"/>
        <item x="2535"/>
        <item x="2536"/>
        <item x="2537"/>
        <item x="2538"/>
        <item x="253"/>
        <item x="2539"/>
        <item x="2540"/>
        <item x="2541"/>
        <item x="2542"/>
        <item x="2543"/>
        <item x="2544"/>
        <item x="2545"/>
        <item x="2546"/>
        <item x="2547"/>
        <item x="2548"/>
        <item x="254"/>
        <item x="2549"/>
        <item x="2550"/>
        <item x="2551"/>
        <item x="2552"/>
        <item x="2553"/>
        <item x="2554"/>
        <item x="2555"/>
        <item x="2556"/>
        <item x="2557"/>
        <item x="2558"/>
        <item x="255"/>
        <item x="2559"/>
        <item x="2560"/>
        <item x="2561"/>
        <item x="2562"/>
        <item x="2563"/>
        <item x="2564"/>
        <item x="2565"/>
        <item x="2566"/>
        <item x="2567"/>
        <item x="2568"/>
        <item x="256"/>
        <item x="2569"/>
        <item x="2570"/>
        <item x="2571"/>
        <item x="2572"/>
        <item x="2573"/>
        <item x="2574"/>
        <item x="2575"/>
        <item x="2576"/>
        <item x="2577"/>
        <item x="2578"/>
        <item x="257"/>
        <item x="2579"/>
        <item x="2580"/>
        <item x="2581"/>
        <item x="2582"/>
        <item x="2583"/>
        <item x="2584"/>
        <item x="2585"/>
        <item x="2586"/>
        <item x="2587"/>
        <item x="2588"/>
        <item x="258"/>
        <item x="2589"/>
        <item x="2590"/>
        <item x="2591"/>
        <item x="2592"/>
        <item x="2593"/>
        <item x="2594"/>
        <item x="2595"/>
        <item x="2596"/>
        <item x="2597"/>
        <item x="2598"/>
        <item x="25"/>
        <item x="259"/>
        <item x="2599"/>
        <item x="2600"/>
        <item x="2601"/>
        <item x="2602"/>
        <item x="2603"/>
        <item x="2604"/>
        <item x="2605"/>
        <item x="2606"/>
        <item x="2607"/>
        <item x="2608"/>
        <item x="260"/>
        <item x="2609"/>
        <item x="2610"/>
        <item x="2611"/>
        <item x="2612"/>
        <item x="2613"/>
        <item x="2614"/>
        <item x="2615"/>
        <item x="2616"/>
        <item x="2617"/>
        <item x="2618"/>
        <item x="261"/>
        <item x="2619"/>
        <item x="2620"/>
        <item x="2621"/>
        <item x="2622"/>
        <item x="2623"/>
        <item x="2624"/>
        <item x="2625"/>
        <item x="2626"/>
        <item x="2627"/>
        <item x="2628"/>
        <item x="262"/>
        <item x="2629"/>
        <item x="2630"/>
        <item x="2631"/>
        <item x="2632"/>
        <item x="2633"/>
        <item x="2634"/>
        <item x="2635"/>
        <item x="2636"/>
        <item x="2637"/>
        <item x="2638"/>
        <item x="263"/>
        <item x="2639"/>
        <item x="2640"/>
        <item x="2641"/>
        <item x="2642"/>
        <item x="2643"/>
        <item x="2644"/>
        <item x="2645"/>
        <item x="2646"/>
        <item x="2647"/>
        <item x="2648"/>
        <item x="264"/>
        <item x="2649"/>
        <item x="2650"/>
        <item x="2651"/>
        <item x="2652"/>
        <item x="2653"/>
        <item x="2654"/>
        <item x="2655"/>
        <item x="2656"/>
        <item x="2657"/>
        <item x="2658"/>
        <item x="265"/>
        <item x="2659"/>
        <item x="2660"/>
        <item x="2661"/>
        <item x="2662"/>
        <item x="2663"/>
        <item x="2664"/>
        <item x="2665"/>
        <item x="2666"/>
        <item x="2667"/>
        <item x="2668"/>
        <item x="266"/>
        <item x="2669"/>
        <item x="2670"/>
        <item x="2671"/>
        <item x="2672"/>
        <item x="2673"/>
        <item x="2674"/>
        <item x="2675"/>
        <item x="2676"/>
        <item x="2677"/>
        <item x="2678"/>
        <item x="267"/>
        <item x="2679"/>
        <item x="2680"/>
        <item x="2681"/>
        <item x="2682"/>
        <item x="2683"/>
        <item x="2684"/>
        <item x="2685"/>
        <item x="2686"/>
        <item x="2687"/>
        <item x="2688"/>
        <item x="268"/>
        <item x="2689"/>
        <item x="2690"/>
        <item x="2691"/>
        <item x="2692"/>
        <item x="2693"/>
        <item x="2694"/>
        <item x="2695"/>
        <item x="2696"/>
        <item x="2697"/>
        <item x="2698"/>
        <item x="26"/>
        <item x="269"/>
        <item x="2699"/>
        <item x="2700"/>
        <item x="2701"/>
        <item x="2702"/>
        <item x="2703"/>
        <item x="2704"/>
        <item x="2705"/>
        <item x="2706"/>
        <item x="2707"/>
        <item x="2708"/>
        <item x="270"/>
        <item x="2709"/>
        <item x="2710"/>
        <item x="2711"/>
        <item x="2712"/>
        <item x="2713"/>
        <item x="2714"/>
        <item x="2715"/>
        <item x="2716"/>
        <item x="2717"/>
        <item x="2718"/>
        <item x="271"/>
        <item x="2719"/>
        <item x="2720"/>
        <item x="2721"/>
        <item x="2722"/>
        <item x="2723"/>
        <item x="2724"/>
        <item x="2725"/>
        <item x="2726"/>
        <item x="2727"/>
        <item x="2728"/>
        <item x="272"/>
        <item x="2729"/>
        <item x="2730"/>
        <item x="2731"/>
        <item x="2732"/>
        <item x="2733"/>
        <item x="2734"/>
        <item x="2735"/>
        <item x="2736"/>
        <item x="2737"/>
        <item x="2738"/>
        <item x="273"/>
        <item x="2739"/>
        <item x="2740"/>
        <item x="2741"/>
        <item x="2742"/>
        <item x="2743"/>
        <item x="2744"/>
        <item x="2745"/>
        <item x="2746"/>
        <item x="2747"/>
        <item x="2748"/>
        <item x="274"/>
        <item x="2749"/>
        <item x="2750"/>
        <item x="2751"/>
        <item x="2752"/>
        <item x="2753"/>
        <item x="2754"/>
        <item x="2755"/>
        <item x="2756"/>
        <item x="2757"/>
        <item x="2758"/>
        <item x="275"/>
        <item x="2759"/>
        <item x="2760"/>
        <item x="2761"/>
        <item x="2762"/>
        <item x="2763"/>
        <item x="2764"/>
        <item x="2765"/>
        <item x="2766"/>
        <item x="2767"/>
        <item x="2768"/>
        <item x="276"/>
        <item x="2769"/>
        <item x="2770"/>
        <item x="2771"/>
        <item x="2772"/>
        <item x="2773"/>
        <item x="2774"/>
        <item x="2775"/>
        <item x="2776"/>
        <item x="2777"/>
        <item x="2778"/>
        <item x="277"/>
        <item x="2779"/>
        <item x="2780"/>
        <item x="2781"/>
        <item x="2782"/>
        <item x="2783"/>
        <item x="2784"/>
        <item x="2785"/>
        <item x="2786"/>
        <item x="2787"/>
        <item x="2788"/>
        <item x="278"/>
        <item x="2789"/>
        <item x="2790"/>
        <item x="2791"/>
        <item x="2792"/>
        <item x="2793"/>
        <item x="2794"/>
        <item x="2795"/>
        <item x="2796"/>
        <item x="2797"/>
        <item x="2798"/>
        <item x="27"/>
        <item x="279"/>
        <item x="2799"/>
        <item x="2800"/>
        <item x="2801"/>
        <item x="2802"/>
        <item x="2803"/>
        <item x="2804"/>
        <item x="2805"/>
        <item x="2806"/>
        <item x="2807"/>
        <item x="2808"/>
        <item x="280"/>
        <item x="2809"/>
        <item x="2810"/>
        <item x="2811"/>
        <item x="2812"/>
        <item x="2813"/>
        <item x="2814"/>
        <item x="2815"/>
        <item x="2816"/>
        <item x="2817"/>
        <item x="2818"/>
        <item x="281"/>
        <item x="2819"/>
        <item x="2820"/>
        <item x="2821"/>
        <item x="2822"/>
        <item x="2823"/>
        <item x="2824"/>
        <item x="2825"/>
        <item x="2826"/>
        <item x="2827"/>
        <item x="2828"/>
        <item x="282"/>
        <item x="2829"/>
        <item x="2830"/>
        <item x="2831"/>
        <item x="2832"/>
        <item x="2833"/>
        <item x="2834"/>
        <item x="2835"/>
        <item x="2836"/>
        <item x="2837"/>
        <item x="2838"/>
        <item x="283"/>
        <item x="2839"/>
        <item x="2840"/>
        <item x="2841"/>
        <item x="2842"/>
        <item x="2843"/>
        <item x="2844"/>
        <item x="2845"/>
        <item x="2846"/>
        <item x="2847"/>
        <item x="2848"/>
        <item x="284"/>
        <item x="2849"/>
        <item x="2850"/>
        <item x="2851"/>
        <item x="2852"/>
        <item x="2853"/>
        <item x="2854"/>
        <item x="2855"/>
        <item x="2856"/>
        <item x="2857"/>
        <item x="2858"/>
        <item x="285"/>
        <item x="2859"/>
        <item x="2860"/>
        <item x="2861"/>
        <item x="2862"/>
        <item x="2863"/>
        <item x="2864"/>
        <item x="2865"/>
        <item x="2866"/>
        <item x="2867"/>
        <item x="2868"/>
        <item x="286"/>
        <item x="2869"/>
        <item x="2870"/>
        <item x="2871"/>
        <item x="2872"/>
        <item x="2873"/>
        <item x="2874"/>
        <item x="2875"/>
        <item x="2876"/>
        <item x="2877"/>
        <item x="2878"/>
        <item x="287"/>
        <item x="2879"/>
        <item x="2880"/>
        <item x="2881"/>
        <item x="2882"/>
        <item x="2883"/>
        <item x="2884"/>
        <item x="2885"/>
        <item x="2886"/>
        <item x="2887"/>
        <item x="2888"/>
        <item x="288"/>
        <item x="2889"/>
        <item x="2890"/>
        <item x="2891"/>
        <item x="2892"/>
        <item x="2893"/>
        <item x="2894"/>
        <item x="2895"/>
        <item x="2896"/>
        <item x="2897"/>
        <item x="2898"/>
        <item x="28"/>
        <item x="289"/>
        <item x="2899"/>
        <item x="2900"/>
        <item x="2901"/>
        <item x="2902"/>
        <item x="2903"/>
        <item x="2904"/>
        <item x="2905"/>
        <item x="2906"/>
        <item x="2907"/>
        <item x="2908"/>
        <item x="290"/>
        <item x="2909"/>
        <item x="2910"/>
        <item x="2911"/>
        <item x="2912"/>
        <item x="2913"/>
        <item x="2914"/>
        <item x="2915"/>
        <item x="2916"/>
        <item x="2917"/>
        <item x="2918"/>
        <item x="291"/>
        <item x="2919"/>
        <item x="2920"/>
        <item x="2921"/>
        <item x="2922"/>
        <item x="2923"/>
        <item x="2924"/>
        <item x="2925"/>
        <item x="2926"/>
        <item x="2927"/>
        <item x="2928"/>
        <item x="292"/>
        <item x="2929"/>
        <item x="2930"/>
        <item x="2931"/>
        <item x="2932"/>
        <item x="2933"/>
        <item x="2934"/>
        <item x="2935"/>
        <item x="2936"/>
        <item x="2937"/>
        <item x="2938"/>
        <item x="293"/>
        <item x="2939"/>
        <item x="2940"/>
        <item x="2941"/>
        <item x="2942"/>
        <item x="2943"/>
        <item x="2944"/>
        <item x="2945"/>
        <item x="2946"/>
        <item x="2947"/>
        <item x="2948"/>
        <item x="294"/>
        <item x="2949"/>
        <item x="2950"/>
        <item x="2951"/>
        <item x="2952"/>
        <item x="2953"/>
        <item x="2954"/>
        <item x="2955"/>
        <item x="2956"/>
        <item x="2957"/>
        <item x="2958"/>
        <item x="295"/>
        <item x="2959"/>
        <item x="2960"/>
        <item x="2961"/>
        <item x="2962"/>
        <item x="2963"/>
        <item x="2964"/>
        <item x="2965"/>
        <item x="2966"/>
        <item x="2967"/>
        <item x="2968"/>
        <item x="296"/>
        <item x="2969"/>
        <item x="2970"/>
        <item x="2971"/>
        <item x="2972"/>
        <item x="2973"/>
        <item x="2974"/>
        <item x="2975"/>
        <item x="2976"/>
        <item x="2977"/>
        <item x="2978"/>
        <item x="297"/>
        <item x="2979"/>
        <item x="2980"/>
        <item x="2981"/>
        <item x="2982"/>
        <item x="2983"/>
        <item x="2984"/>
        <item x="2985"/>
        <item x="2986"/>
        <item x="2987"/>
        <item x="2988"/>
        <item x="298"/>
        <item x="2989"/>
        <item x="2990"/>
        <item x="2991"/>
        <item x="2992"/>
        <item x="2993"/>
        <item x="2994"/>
        <item x="2995"/>
        <item x="2996"/>
        <item x="2997"/>
        <item x="2998"/>
        <item x="2"/>
        <item x="29"/>
        <item x="299"/>
        <item x="2999"/>
        <item x="3000"/>
        <item x="3001"/>
        <item x="3002"/>
        <item x="3003"/>
        <item x="3004"/>
        <item x="3005"/>
        <item x="3006"/>
        <item x="3007"/>
        <item x="3008"/>
        <item x="300"/>
        <item x="3009"/>
        <item x="3010"/>
        <item x="3011"/>
        <item x="3012"/>
        <item x="3013"/>
        <item x="3014"/>
        <item x="3015"/>
        <item x="3016"/>
        <item x="3017"/>
        <item x="3018"/>
        <item x="301"/>
        <item x="3019"/>
        <item x="3020"/>
        <item x="3021"/>
        <item x="3022"/>
        <item x="3023"/>
        <item x="3024"/>
        <item x="3025"/>
        <item x="3026"/>
        <item x="3027"/>
        <item x="3028"/>
        <item x="302"/>
        <item x="3029"/>
        <item x="3030"/>
        <item x="3031"/>
        <item x="3032"/>
        <item x="3033"/>
        <item x="3034"/>
        <item x="3035"/>
        <item x="3036"/>
        <item x="3037"/>
        <item x="3038"/>
        <item x="303"/>
        <item x="3039"/>
        <item x="3040"/>
        <item x="3041"/>
        <item x="3042"/>
        <item x="3043"/>
        <item x="3044"/>
        <item x="3045"/>
        <item x="3046"/>
        <item x="3047"/>
        <item x="3048"/>
        <item x="304"/>
        <item x="3049"/>
        <item x="3050"/>
        <item x="3051"/>
        <item x="3052"/>
        <item x="3053"/>
        <item x="3054"/>
        <item x="3055"/>
        <item x="3056"/>
        <item x="3057"/>
        <item x="3058"/>
        <item x="305"/>
        <item x="3059"/>
        <item x="3060"/>
        <item x="3061"/>
        <item x="3062"/>
        <item x="3063"/>
        <item x="3064"/>
        <item x="3065"/>
        <item x="3066"/>
        <item x="3067"/>
        <item x="3068"/>
        <item x="306"/>
        <item x="3069"/>
        <item x="3070"/>
        <item x="3071"/>
        <item x="3072"/>
        <item x="3073"/>
        <item x="3074"/>
        <item x="3075"/>
        <item x="3076"/>
        <item x="3077"/>
        <item x="3078"/>
        <item x="307"/>
        <item x="3079"/>
        <item x="3080"/>
        <item x="3081"/>
        <item x="3082"/>
        <item x="3083"/>
        <item x="3084"/>
        <item x="3085"/>
        <item x="3086"/>
        <item x="3087"/>
        <item x="3088"/>
        <item x="308"/>
        <item x="3089"/>
        <item x="3090"/>
        <item x="3091"/>
        <item x="3092"/>
        <item x="3093"/>
        <item x="3094"/>
        <item x="3095"/>
        <item x="3096"/>
        <item x="3097"/>
        <item x="3098"/>
        <item x="30"/>
        <item x="309"/>
        <item x="3099"/>
        <item x="3100"/>
        <item x="3101"/>
        <item x="3102"/>
        <item x="3103"/>
        <item x="3104"/>
        <item x="3105"/>
        <item x="3106"/>
        <item x="3107"/>
        <item x="3108"/>
        <item x="310"/>
        <item x="3109"/>
        <item x="3110"/>
        <item x="3111"/>
        <item x="3112"/>
        <item x="3113"/>
        <item x="3114"/>
        <item x="3115"/>
        <item x="3116"/>
        <item x="3117"/>
        <item x="3118"/>
        <item x="311"/>
        <item x="3119"/>
        <item x="3120"/>
        <item x="3121"/>
        <item x="3122"/>
        <item x="3123"/>
        <item x="3124"/>
        <item x="3125"/>
        <item x="3126"/>
        <item x="3127"/>
        <item x="3128"/>
        <item x="312"/>
        <item x="3129"/>
        <item x="3130"/>
        <item x="3131"/>
        <item x="3132"/>
        <item x="3133"/>
        <item x="3134"/>
        <item x="3135"/>
        <item x="3136"/>
        <item x="3137"/>
        <item x="3138"/>
        <item x="313"/>
        <item x="3139"/>
        <item x="3140"/>
        <item x="3141"/>
        <item x="3142"/>
        <item x="3143"/>
        <item x="3144"/>
        <item x="3145"/>
        <item x="3146"/>
        <item x="3147"/>
        <item x="3148"/>
        <item x="314"/>
        <item x="3149"/>
        <item x="3150"/>
        <item x="3151"/>
        <item x="3152"/>
        <item x="3153"/>
        <item x="3154"/>
        <item x="3155"/>
        <item x="3156"/>
        <item x="3157"/>
        <item x="3158"/>
        <item x="315"/>
        <item x="3159"/>
        <item x="3160"/>
        <item x="3161"/>
        <item x="3162"/>
        <item x="3163"/>
        <item x="3164"/>
        <item x="3165"/>
        <item x="3166"/>
        <item x="3167"/>
        <item x="3168"/>
        <item x="316"/>
        <item x="3169"/>
        <item x="3170"/>
        <item x="3171"/>
        <item x="3172"/>
        <item x="3173"/>
        <item x="3174"/>
        <item x="3175"/>
        <item x="3176"/>
        <item x="3177"/>
        <item x="3178"/>
        <item x="317"/>
        <item x="3179"/>
        <item x="3180"/>
        <item x="3181"/>
        <item x="3182"/>
        <item x="3183"/>
        <item x="3184"/>
        <item x="3185"/>
        <item x="3186"/>
        <item x="3187"/>
        <item x="3188"/>
        <item x="318"/>
        <item x="3189"/>
        <item x="3190"/>
        <item x="3191"/>
        <item x="3192"/>
        <item x="3193"/>
        <item x="3194"/>
        <item x="3195"/>
        <item x="3196"/>
        <item x="3197"/>
        <item x="3198"/>
        <item x="31"/>
        <item x="319"/>
        <item x="3199"/>
        <item x="3200"/>
        <item x="3201"/>
        <item x="3202"/>
        <item x="3203"/>
        <item x="3204"/>
        <item x="3205"/>
        <item x="3206"/>
        <item x="3207"/>
        <item x="3208"/>
        <item x="320"/>
        <item x="3209"/>
        <item x="3210"/>
        <item x="3211"/>
        <item x="3212"/>
        <item x="3213"/>
        <item x="3214"/>
        <item x="3215"/>
        <item x="3216"/>
        <item x="3217"/>
        <item x="3218"/>
        <item x="321"/>
        <item x="3219"/>
        <item x="3220"/>
        <item x="3221"/>
        <item x="3222"/>
        <item x="3223"/>
        <item x="3224"/>
        <item x="3225"/>
        <item x="3226"/>
        <item x="3227"/>
        <item x="3228"/>
        <item x="322"/>
        <item x="3229"/>
        <item x="3230"/>
        <item x="3231"/>
        <item x="3232"/>
        <item x="3233"/>
        <item x="3234"/>
        <item x="3235"/>
        <item x="3236"/>
        <item x="3237"/>
        <item x="3238"/>
        <item x="323"/>
        <item x="3239"/>
        <item x="3240"/>
        <item x="3241"/>
        <item x="3242"/>
        <item x="3243"/>
        <item x="3244"/>
        <item x="3245"/>
        <item x="3246"/>
        <item x="3247"/>
        <item x="3248"/>
        <item x="324"/>
        <item x="3249"/>
        <item x="3250"/>
        <item x="3251"/>
        <item x="3252"/>
        <item x="3253"/>
        <item x="3254"/>
        <item x="3255"/>
        <item x="3256"/>
        <item x="3257"/>
        <item x="3258"/>
        <item x="325"/>
        <item x="3259"/>
        <item x="3260"/>
        <item x="3261"/>
        <item x="3262"/>
        <item x="3263"/>
        <item x="3264"/>
        <item x="3265"/>
        <item x="3266"/>
        <item x="3267"/>
        <item x="3268"/>
        <item x="326"/>
        <item x="3269"/>
        <item x="3270"/>
        <item x="3271"/>
        <item x="3272"/>
        <item x="3273"/>
        <item x="3274"/>
        <item x="3275"/>
        <item x="3276"/>
        <item x="3277"/>
        <item x="3278"/>
        <item x="327"/>
        <item x="3279"/>
        <item x="3280"/>
        <item x="3281"/>
        <item x="3282"/>
        <item x="3283"/>
        <item x="3284"/>
        <item x="3285"/>
        <item x="3286"/>
        <item x="3287"/>
        <item x="3288"/>
        <item x="328"/>
        <item x="3289"/>
        <item x="3290"/>
        <item x="3291"/>
        <item x="3292"/>
        <item x="3293"/>
        <item x="3294"/>
        <item x="3295"/>
        <item x="3296"/>
        <item x="3297"/>
        <item x="3298"/>
        <item x="32"/>
        <item x="329"/>
        <item x="3299"/>
        <item x="3300"/>
        <item x="3301"/>
        <item x="3302"/>
        <item x="3303"/>
        <item x="3304"/>
        <item x="3305"/>
        <item x="3306"/>
        <item x="3307"/>
        <item x="3308"/>
        <item x="330"/>
        <item x="3309"/>
        <item x="3310"/>
        <item x="3311"/>
        <item x="3312"/>
        <item x="3313"/>
        <item x="3314"/>
        <item x="3315"/>
        <item x="3316"/>
        <item x="3317"/>
        <item x="3318"/>
        <item x="331"/>
        <item x="3319"/>
        <item x="3320"/>
        <item x="3321"/>
        <item x="3322"/>
        <item x="3323"/>
        <item x="3324"/>
        <item x="3325"/>
        <item x="3326"/>
        <item x="3327"/>
        <item x="3328"/>
        <item x="332"/>
        <item x="3329"/>
        <item x="3330"/>
        <item x="3331"/>
        <item x="3332"/>
        <item x="3333"/>
        <item x="3334"/>
        <item x="3335"/>
        <item x="3336"/>
        <item x="3337"/>
        <item x="3338"/>
        <item x="333"/>
        <item x="3339"/>
        <item x="3340"/>
        <item x="3341"/>
        <item x="3342"/>
        <item x="3343"/>
        <item x="3344"/>
        <item x="3345"/>
        <item x="3346"/>
        <item x="3347"/>
        <item x="3348"/>
        <item x="334"/>
        <item x="3349"/>
        <item x="3350"/>
        <item x="3351"/>
        <item x="3352"/>
        <item x="3353"/>
        <item x="3354"/>
        <item x="3355"/>
        <item x="3356"/>
        <item x="3357"/>
        <item x="3358"/>
        <item x="335"/>
        <item x="3359"/>
        <item x="3360"/>
        <item x="3361"/>
        <item x="3362"/>
        <item x="3363"/>
        <item x="3364"/>
        <item x="3365"/>
        <item x="3366"/>
        <item x="3367"/>
        <item x="3368"/>
        <item x="336"/>
        <item x="3369"/>
        <item x="3370"/>
        <item x="3371"/>
        <item x="3372"/>
        <item x="3373"/>
        <item x="3374"/>
        <item x="3375"/>
        <item x="3376"/>
        <item x="3377"/>
        <item x="3378"/>
        <item x="337"/>
        <item x="3379"/>
        <item x="3380"/>
        <item x="3381"/>
        <item x="3382"/>
        <item x="3383"/>
        <item x="3384"/>
        <item x="3385"/>
        <item x="3386"/>
        <item x="3387"/>
        <item x="3388"/>
        <item x="338"/>
        <item x="3389"/>
        <item x="3390"/>
        <item x="3391"/>
        <item x="3392"/>
        <item x="3393"/>
        <item x="3394"/>
        <item x="3395"/>
        <item x="3396"/>
        <item x="3397"/>
        <item x="3398"/>
        <item x="33"/>
        <item x="339"/>
        <item x="3399"/>
        <item x="3400"/>
        <item x="3401"/>
        <item x="3402"/>
        <item x="3403"/>
        <item x="3404"/>
        <item x="3405"/>
        <item x="3406"/>
        <item x="3407"/>
        <item x="3408"/>
        <item x="340"/>
        <item x="3409"/>
        <item x="3410"/>
        <item x="3411"/>
        <item x="3412"/>
        <item x="3413"/>
        <item x="3414"/>
        <item x="3415"/>
        <item x="3416"/>
        <item x="3417"/>
        <item x="3418"/>
        <item x="341"/>
        <item x="3419"/>
        <item x="3420"/>
        <item x="3421"/>
        <item x="3422"/>
        <item x="3423"/>
        <item x="3424"/>
        <item x="3425"/>
        <item x="3426"/>
        <item x="3427"/>
        <item x="3428"/>
        <item x="342"/>
        <item x="3429"/>
        <item x="3430"/>
        <item x="3431"/>
        <item x="3432"/>
        <item x="3433"/>
        <item x="3434"/>
        <item x="3435"/>
        <item x="3436"/>
        <item x="3437"/>
        <item x="3438"/>
        <item x="343"/>
        <item x="3439"/>
        <item x="3440"/>
        <item x="3441"/>
        <item x="3442"/>
        <item x="3443"/>
        <item x="3444"/>
        <item x="3445"/>
        <item x="3446"/>
        <item x="3447"/>
        <item x="3448"/>
        <item x="344"/>
        <item x="3449"/>
        <item x="3450"/>
        <item x="3451"/>
        <item x="3452"/>
        <item x="3453"/>
        <item x="3454"/>
        <item x="3455"/>
        <item x="3456"/>
        <item x="3457"/>
        <item x="3458"/>
        <item x="345"/>
        <item x="3459"/>
        <item x="3460"/>
        <item x="3461"/>
        <item x="3462"/>
        <item x="3463"/>
        <item x="3464"/>
        <item x="3465"/>
        <item x="3466"/>
        <item x="3467"/>
        <item x="3468"/>
        <item x="346"/>
        <item x="3469"/>
        <item x="3470"/>
        <item x="3471"/>
        <item x="3472"/>
        <item x="3473"/>
        <item x="3474"/>
        <item x="3475"/>
        <item x="3476"/>
        <item x="3477"/>
        <item x="3478"/>
        <item x="347"/>
        <item x="3479"/>
        <item x="3480"/>
        <item x="3481"/>
        <item x="3482"/>
        <item x="3483"/>
        <item x="3484"/>
        <item x="3485"/>
        <item x="3486"/>
        <item x="3487"/>
        <item x="3488"/>
        <item x="348"/>
        <item x="3489"/>
        <item x="3490"/>
        <item x="3491"/>
        <item x="3492"/>
        <item x="3493"/>
        <item x="3494"/>
        <item x="3495"/>
        <item x="3496"/>
        <item x="3497"/>
        <item x="3498"/>
        <item x="34"/>
        <item x="349"/>
        <item x="3499"/>
        <item x="3500"/>
        <item x="3501"/>
        <item x="3502"/>
        <item x="3503"/>
        <item x="3504"/>
        <item x="3505"/>
        <item x="3506"/>
        <item x="3507"/>
        <item x="3508"/>
        <item x="350"/>
        <item x="3509"/>
        <item x="3510"/>
        <item x="3511"/>
        <item x="3512"/>
        <item x="3513"/>
        <item x="3514"/>
        <item x="3515"/>
        <item x="3516"/>
        <item x="3517"/>
        <item x="3518"/>
        <item x="351"/>
        <item x="3519"/>
        <item x="3520"/>
        <item x="3521"/>
        <item x="3522"/>
        <item x="3523"/>
        <item x="3524"/>
        <item x="3525"/>
        <item x="3526"/>
        <item x="3527"/>
        <item x="3528"/>
        <item x="352"/>
        <item x="3529"/>
        <item x="3530"/>
        <item x="3531"/>
        <item x="3532"/>
        <item x="3533"/>
        <item x="3534"/>
        <item x="3535"/>
        <item x="3536"/>
        <item x="3537"/>
        <item x="3538"/>
        <item x="353"/>
        <item x="3539"/>
        <item x="3540"/>
        <item x="3541"/>
        <item x="3542"/>
        <item x="3543"/>
        <item x="3544"/>
        <item x="3545"/>
        <item x="3546"/>
        <item x="3547"/>
        <item x="3548"/>
        <item x="354"/>
        <item x="3549"/>
        <item x="3550"/>
        <item x="3551"/>
        <item x="3552"/>
        <item x="3553"/>
        <item x="3554"/>
        <item x="3555"/>
        <item x="3556"/>
        <item x="3557"/>
        <item x="3558"/>
        <item x="355"/>
        <item x="3559"/>
        <item x="3560"/>
        <item x="3561"/>
        <item x="3562"/>
        <item x="3563"/>
        <item x="3564"/>
        <item x="3565"/>
        <item x="3566"/>
        <item x="3567"/>
        <item x="3568"/>
        <item x="356"/>
        <item x="3569"/>
        <item x="3570"/>
        <item x="3571"/>
        <item x="3572"/>
        <item x="3573"/>
        <item x="3574"/>
        <item x="3575"/>
        <item x="3576"/>
        <item x="3577"/>
        <item x="3578"/>
        <item x="357"/>
        <item x="3579"/>
        <item x="3580"/>
        <item x="3581"/>
        <item x="3582"/>
        <item x="3583"/>
        <item x="3584"/>
        <item x="3585"/>
        <item x="3586"/>
        <item x="3587"/>
        <item x="3588"/>
        <item x="358"/>
        <item x="3589"/>
        <item x="3590"/>
        <item x="3591"/>
        <item x="3592"/>
        <item x="3593"/>
        <item x="3594"/>
        <item x="3595"/>
        <item x="3596"/>
        <item x="3597"/>
        <item x="3598"/>
        <item x="35"/>
        <item x="359"/>
        <item x="3599"/>
        <item x="3600"/>
        <item x="3601"/>
        <item x="3602"/>
        <item x="3603"/>
        <item x="3604"/>
        <item x="3605"/>
        <item x="3606"/>
        <item x="3607"/>
        <item x="3608"/>
        <item x="360"/>
        <item x="3609"/>
        <item x="3610"/>
        <item x="3611"/>
        <item x="3612"/>
        <item x="3613"/>
        <item x="3614"/>
        <item x="3615"/>
        <item x="3616"/>
        <item x="3617"/>
        <item x="3618"/>
        <item x="361"/>
        <item x="3619"/>
        <item x="3620"/>
        <item x="3621"/>
        <item x="3622"/>
        <item x="3623"/>
        <item x="3624"/>
        <item x="3625"/>
        <item x="3626"/>
        <item x="3627"/>
        <item x="3628"/>
        <item x="362"/>
        <item x="3629"/>
        <item x="3630"/>
        <item x="3631"/>
        <item x="3632"/>
        <item x="3633"/>
        <item x="3634"/>
        <item x="3635"/>
        <item x="3636"/>
        <item x="3637"/>
        <item x="3638"/>
        <item x="363"/>
        <item x="3639"/>
        <item x="3640"/>
        <item x="3641"/>
        <item x="3642"/>
        <item x="3643"/>
        <item x="3644"/>
        <item x="3645"/>
        <item x="3646"/>
        <item x="3647"/>
        <item x="3648"/>
        <item x="364"/>
        <item x="3649"/>
        <item x="3650"/>
        <item x="3651"/>
        <item x="3652"/>
        <item x="3653"/>
        <item x="3654"/>
        <item x="3655"/>
        <item x="3656"/>
        <item x="3657"/>
        <item x="3658"/>
        <item x="365"/>
        <item x="3659"/>
        <item x="3660"/>
        <item x="3661"/>
        <item x="3662"/>
        <item x="3663"/>
        <item x="3664"/>
        <item x="3665"/>
        <item x="3666"/>
        <item x="3667"/>
        <item x="3668"/>
        <item x="366"/>
        <item x="3669"/>
        <item x="3670"/>
        <item x="3671"/>
        <item x="3672"/>
        <item x="3673"/>
        <item x="3674"/>
        <item x="3675"/>
        <item x="3676"/>
        <item x="3677"/>
        <item x="3678"/>
        <item x="367"/>
        <item x="3679"/>
        <item x="3680"/>
        <item x="3681"/>
        <item x="3682"/>
        <item x="3683"/>
        <item x="3684"/>
        <item x="3685"/>
        <item x="3686"/>
        <item x="3687"/>
        <item x="3688"/>
        <item x="368"/>
        <item x="3689"/>
        <item x="3690"/>
        <item x="3691"/>
        <item x="3692"/>
        <item x="3693"/>
        <item x="3694"/>
        <item x="3695"/>
        <item x="3696"/>
        <item x="3697"/>
        <item x="3698"/>
        <item x="36"/>
        <item x="369"/>
        <item x="3699"/>
        <item x="3700"/>
        <item x="3701"/>
        <item x="3702"/>
        <item x="3703"/>
        <item x="3704"/>
        <item x="3705"/>
        <item x="3706"/>
        <item x="3707"/>
        <item x="3708"/>
        <item x="370"/>
        <item x="3709"/>
        <item x="3710"/>
        <item x="3711"/>
        <item x="3712"/>
        <item x="3713"/>
        <item x="3714"/>
        <item x="3715"/>
        <item x="3716"/>
        <item x="3717"/>
        <item x="3718"/>
        <item x="371"/>
        <item x="3719"/>
        <item x="3720"/>
        <item x="3721"/>
        <item x="3722"/>
        <item x="3723"/>
        <item x="3724"/>
        <item x="3725"/>
        <item x="3726"/>
        <item x="3727"/>
        <item x="3728"/>
        <item x="372"/>
        <item x="3729"/>
        <item x="3730"/>
        <item x="3731"/>
        <item x="3732"/>
        <item x="3733"/>
        <item x="3734"/>
        <item x="3735"/>
        <item x="3736"/>
        <item x="3737"/>
        <item x="3738"/>
        <item x="373"/>
        <item x="3739"/>
        <item x="3740"/>
        <item x="3741"/>
        <item x="3742"/>
        <item x="3743"/>
        <item x="3744"/>
        <item x="3745"/>
        <item x="3746"/>
        <item x="3747"/>
        <item x="3748"/>
        <item x="374"/>
        <item x="3749"/>
        <item x="3750"/>
        <item x="3751"/>
        <item x="3752"/>
        <item x="3753"/>
        <item x="3754"/>
        <item x="3755"/>
        <item x="3756"/>
        <item x="3757"/>
        <item x="3758"/>
        <item x="375"/>
        <item x="3759"/>
        <item x="3760"/>
        <item x="3761"/>
        <item x="3762"/>
        <item x="3763"/>
        <item x="3764"/>
        <item x="3765"/>
        <item x="3766"/>
        <item x="3767"/>
        <item x="3768"/>
        <item x="376"/>
        <item x="3769"/>
        <item x="3770"/>
        <item x="3771"/>
        <item x="3772"/>
        <item x="3773"/>
        <item x="3774"/>
        <item x="3775"/>
        <item x="3776"/>
        <item x="3777"/>
        <item x="3778"/>
        <item x="377"/>
        <item x="3779"/>
        <item x="3780"/>
        <item x="3781"/>
        <item x="3782"/>
        <item x="3783"/>
        <item x="3784"/>
        <item x="3785"/>
        <item x="3786"/>
        <item x="3787"/>
        <item x="3788"/>
        <item x="378"/>
        <item x="3789"/>
        <item x="3790"/>
        <item x="3791"/>
        <item x="3792"/>
        <item x="3793"/>
        <item x="3794"/>
        <item x="3795"/>
        <item x="3796"/>
        <item x="3797"/>
        <item x="3798"/>
        <item x="37"/>
        <item x="379"/>
        <item x="3799"/>
        <item x="3800"/>
        <item x="3801"/>
        <item x="3802"/>
        <item x="3803"/>
        <item x="3804"/>
        <item x="3805"/>
        <item x="3806"/>
        <item x="3807"/>
        <item x="3808"/>
        <item x="380"/>
        <item x="3809"/>
        <item x="3810"/>
        <item x="3811"/>
        <item x="3812"/>
        <item x="3813"/>
        <item x="3814"/>
        <item x="3815"/>
        <item x="3816"/>
        <item x="3817"/>
        <item x="3818"/>
        <item x="381"/>
        <item x="3819"/>
        <item x="3820"/>
        <item x="3821"/>
        <item x="3822"/>
        <item x="3823"/>
        <item x="3824"/>
        <item x="3825"/>
        <item x="3826"/>
        <item x="3827"/>
        <item x="3828"/>
        <item x="382"/>
        <item x="3829"/>
        <item x="3830"/>
        <item x="3831"/>
        <item x="3832"/>
        <item x="3833"/>
        <item x="3834"/>
        <item x="3835"/>
        <item x="3836"/>
        <item x="3837"/>
        <item x="3838"/>
        <item x="383"/>
        <item x="3839"/>
        <item x="3840"/>
        <item x="3841"/>
        <item x="3842"/>
        <item x="3843"/>
        <item x="3844"/>
        <item x="3845"/>
        <item x="3846"/>
        <item x="3847"/>
        <item x="3848"/>
        <item x="384"/>
        <item x="3849"/>
        <item x="3850"/>
        <item x="3851"/>
        <item x="3852"/>
        <item x="3853"/>
        <item x="3854"/>
        <item x="3855"/>
        <item x="3856"/>
        <item x="3857"/>
        <item x="3858"/>
        <item x="385"/>
        <item x="3859"/>
        <item x="3860"/>
        <item x="3861"/>
        <item x="3862"/>
        <item x="3863"/>
        <item x="3864"/>
        <item x="3865"/>
        <item x="3866"/>
        <item x="3867"/>
        <item x="3868"/>
        <item x="386"/>
        <item x="3869"/>
        <item x="3870"/>
        <item x="3871"/>
        <item x="3872"/>
        <item x="3873"/>
        <item x="3874"/>
        <item x="387"/>
        <item x="388"/>
        <item x="38"/>
        <item x="389"/>
        <item x="390"/>
        <item x="391"/>
        <item x="392"/>
        <item x="393"/>
        <item x="394"/>
        <item x="395"/>
        <item x="396"/>
        <item x="397"/>
        <item x="398"/>
        <item x="3"/>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h="1" x="3875"/>
      </items>
    </pivotField>
    <pivotField axis="axisRow" compact="0" outline="0" showAll="0" defaultSubtotal="0">
      <items count="474">
        <item x="4"/>
        <item x="259"/>
        <item x="179"/>
        <item x="199"/>
        <item x="367"/>
        <item x="190"/>
        <item x="354"/>
        <item x="404"/>
        <item x="187"/>
        <item x="345"/>
        <item x="68"/>
        <item x="285"/>
        <item x="164"/>
        <item x="180"/>
        <item x="146"/>
        <item x="392"/>
        <item x="343"/>
        <item x="242"/>
        <item x="344"/>
        <item x="393"/>
        <item x="241"/>
        <item x="286"/>
        <item x="198"/>
        <item x="210"/>
        <item x="366"/>
        <item x="251"/>
        <item x="311"/>
        <item x="361"/>
        <item x="263"/>
        <item x="36"/>
        <item x="368"/>
        <item x="356"/>
        <item x="362"/>
        <item x="360"/>
        <item x="145"/>
        <item x="350"/>
        <item x="260"/>
        <item x="357"/>
        <item x="227"/>
        <item x="0"/>
        <item x="243"/>
        <item x="202"/>
        <item x="284"/>
        <item x="358"/>
        <item x="172"/>
        <item x="49"/>
        <item x="341"/>
        <item x="402"/>
        <item x="310"/>
        <item x="380"/>
        <item x="150"/>
        <item x="44"/>
        <item x="192"/>
        <item x="204"/>
        <item x="289"/>
        <item x="160"/>
        <item x="144"/>
        <item x="165"/>
        <item x="16"/>
        <item x="32"/>
        <item x="169"/>
        <item x="101"/>
        <item x="280"/>
        <item x="278"/>
        <item x="258"/>
        <item x="82"/>
        <item x="155"/>
        <item x="161"/>
        <item x="349"/>
        <item x="18"/>
        <item x="248"/>
        <item x="39"/>
        <item x="246"/>
        <item x="167"/>
        <item x="31"/>
        <item x="370"/>
        <item x="222"/>
        <item x="142"/>
        <item x="379"/>
        <item x="175"/>
        <item x="355"/>
        <item x="93"/>
        <item x="256"/>
        <item x="173"/>
        <item x="254"/>
        <item x="17"/>
        <item x="33"/>
        <item x="20"/>
        <item x="201"/>
        <item x="21"/>
        <item x="394"/>
        <item x="373"/>
        <item x="213"/>
        <item x="372"/>
        <item x="335"/>
        <item x="162"/>
        <item x="149"/>
        <item x="30"/>
        <item x="297"/>
        <item x="119"/>
        <item x="250"/>
        <item x="113"/>
        <item x="34"/>
        <item x="171"/>
        <item x="7"/>
        <item x="245"/>
        <item x="100"/>
        <item x="400"/>
        <item x="266"/>
        <item x="35"/>
        <item x="37"/>
        <item x="359"/>
        <item x="163"/>
        <item x="43"/>
        <item x="221"/>
        <item x="257"/>
        <item x="27"/>
        <item x="112"/>
        <item x="265"/>
        <item x="262"/>
        <item x="170"/>
        <item x="29"/>
        <item x="244"/>
        <item x="261"/>
        <item x="106"/>
        <item x="205"/>
        <item x="12"/>
        <item x="223"/>
        <item x="83"/>
        <item x="141"/>
        <item x="200"/>
        <item x="115"/>
        <item x="38"/>
        <item x="176"/>
        <item x="8"/>
        <item x="140"/>
        <item x="154"/>
        <item x="371"/>
        <item x="110"/>
        <item x="351"/>
        <item x="264"/>
        <item x="168"/>
        <item x="466"/>
        <item x="435"/>
        <item x="363"/>
        <item x="471"/>
        <item x="3"/>
        <item x="102"/>
        <item x="151"/>
        <item x="28"/>
        <item x="63"/>
        <item x="159"/>
        <item x="114"/>
        <item x="174"/>
        <item x="203"/>
        <item x="13"/>
        <item x="249"/>
        <item x="189"/>
        <item x="224"/>
        <item x="134"/>
        <item x="226"/>
        <item x="79"/>
        <item x="387"/>
        <item x="42"/>
        <item x="369"/>
        <item x="403"/>
        <item x="116"/>
        <item x="111"/>
        <item x="472"/>
        <item x="58"/>
        <item x="470"/>
        <item x="139"/>
        <item x="123"/>
        <item x="118"/>
        <item x="122"/>
        <item x="10"/>
        <item x="120"/>
        <item x="401"/>
        <item x="218"/>
        <item x="430"/>
        <item x="67"/>
        <item x="24"/>
        <item x="215"/>
        <item x="104"/>
        <item x="281"/>
        <item x="158"/>
        <item x="326"/>
        <item x="253"/>
        <item x="166"/>
        <item x="15"/>
        <item x="197"/>
        <item x="9"/>
        <item x="270"/>
        <item x="25"/>
        <item x="188"/>
        <item x="92"/>
        <item x="352"/>
        <item x="434"/>
        <item x="377"/>
        <item x="193"/>
        <item x="433"/>
        <item x="231"/>
        <item x="87"/>
        <item x="233"/>
        <item x="455"/>
        <item x="80"/>
        <item x="11"/>
        <item x="276"/>
        <item x="432"/>
        <item x="148"/>
        <item x="239"/>
        <item x="107"/>
        <item x="437"/>
        <item x="340"/>
        <item x="412"/>
        <item x="70"/>
        <item x="64"/>
        <item x="99"/>
        <item x="441"/>
        <item x="207"/>
        <item x="14"/>
        <item x="275"/>
        <item x="381"/>
        <item x="121"/>
        <item x="407"/>
        <item x="439"/>
        <item x="2"/>
        <item x="103"/>
        <item x="98"/>
        <item x="137"/>
        <item x="157"/>
        <item x="108"/>
        <item x="6"/>
        <item x="109"/>
        <item x="184"/>
        <item x="69"/>
        <item x="411"/>
        <item x="417"/>
        <item x="212"/>
        <item x="26"/>
        <item x="234"/>
        <item x="398"/>
        <item x="321"/>
        <item x="273"/>
        <item x="229"/>
        <item x="5"/>
        <item x="73"/>
        <item x="461"/>
        <item x="298"/>
        <item x="339"/>
        <item x="206"/>
        <item x="252"/>
        <item x="1"/>
        <item x="271"/>
        <item x="74"/>
        <item x="117"/>
        <item x="415"/>
        <item x="323"/>
        <item x="136"/>
        <item x="442"/>
        <item x="237"/>
        <item x="75"/>
        <item x="48"/>
        <item x="419"/>
        <item x="129"/>
        <item x="191"/>
        <item x="423"/>
        <item x="138"/>
        <item x="124"/>
        <item x="153"/>
        <item x="405"/>
        <item x="126"/>
        <item x="336"/>
        <item x="302"/>
        <item x="318"/>
        <item x="91"/>
        <item x="152"/>
        <item x="133"/>
        <item x="322"/>
        <item x="125"/>
        <item x="316"/>
        <item x="247"/>
        <item x="465"/>
        <item x="97"/>
        <item x="334"/>
        <item x="194"/>
        <item x="399"/>
        <item x="420"/>
        <item x="143"/>
        <item x="127"/>
        <item x="464"/>
        <item x="128"/>
        <item x="274"/>
        <item x="376"/>
        <item x="467"/>
        <item x="76"/>
        <item x="40"/>
        <item x="272"/>
        <item x="177"/>
        <item x="410"/>
        <item x="211"/>
        <item x="462"/>
        <item x="22"/>
        <item x="185"/>
        <item x="378"/>
        <item x="269"/>
        <item x="319"/>
        <item x="41"/>
        <item x="23"/>
        <item x="353"/>
        <item x="178"/>
        <item x="431"/>
        <item x="84"/>
        <item x="54"/>
        <item x="156"/>
        <item x="62"/>
        <item x="217"/>
        <item x="436"/>
        <item x="314"/>
        <item x="409"/>
        <item x="421"/>
        <item x="426"/>
        <item x="45"/>
        <item x="283"/>
        <item x="55"/>
        <item x="132"/>
        <item x="214"/>
        <item x="96"/>
        <item x="385"/>
        <item x="85"/>
        <item x="219"/>
        <item x="71"/>
        <item x="469"/>
        <item x="460"/>
        <item x="290"/>
        <item x="225"/>
        <item x="90"/>
        <item x="397"/>
        <item x="95"/>
        <item x="463"/>
        <item x="287"/>
        <item x="427"/>
        <item x="383"/>
        <item x="458"/>
        <item x="454"/>
        <item x="396"/>
        <item x="57"/>
        <item x="445"/>
        <item x="304"/>
        <item x="337"/>
        <item x="317"/>
        <item x="208"/>
        <item x="324"/>
        <item x="232"/>
        <item x="342"/>
        <item x="312"/>
        <item x="77"/>
        <item x="292"/>
        <item x="313"/>
        <item x="449"/>
        <item x="56"/>
        <item x="216"/>
        <item x="130"/>
        <item x="183"/>
        <item x="195"/>
        <item x="450"/>
        <item x="429"/>
        <item x="331"/>
        <item x="59"/>
        <item x="389"/>
        <item x="416"/>
        <item x="440"/>
        <item x="19"/>
        <item x="238"/>
        <item x="60"/>
        <item x="61"/>
        <item x="81"/>
        <item x="386"/>
        <item x="53"/>
        <item x="456"/>
        <item x="186"/>
        <item x="374"/>
        <item x="236"/>
        <item x="235"/>
        <item x="220"/>
        <item x="452"/>
        <item x="255"/>
        <item x="65"/>
        <item x="230"/>
        <item x="451"/>
        <item x="365"/>
        <item x="382"/>
        <item x="395"/>
        <item x="468"/>
        <item x="288"/>
        <item x="422"/>
        <item x="315"/>
        <item x="94"/>
        <item x="196"/>
        <item x="346"/>
        <item x="51"/>
        <item x="391"/>
        <item x="309"/>
        <item x="305"/>
        <item x="282"/>
        <item x="364"/>
        <item x="428"/>
        <item x="424"/>
        <item x="338"/>
        <item x="89"/>
        <item x="50"/>
        <item x="240"/>
        <item x="303"/>
        <item x="444"/>
        <item x="307"/>
        <item x="413"/>
        <item x="418"/>
        <item x="448"/>
        <item x="291"/>
        <item x="209"/>
        <item x="47"/>
        <item x="425"/>
        <item x="105"/>
        <item x="72"/>
        <item x="390"/>
        <item x="414"/>
        <item x="135"/>
        <item x="228"/>
        <item x="277"/>
        <item x="131"/>
        <item x="308"/>
        <item x="306"/>
        <item x="330"/>
        <item x="295"/>
        <item x="86"/>
        <item x="459"/>
        <item x="52"/>
        <item x="328"/>
        <item x="320"/>
        <item x="268"/>
        <item x="388"/>
        <item x="438"/>
        <item x="78"/>
        <item x="406"/>
        <item x="329"/>
        <item x="447"/>
        <item x="299"/>
        <item x="293"/>
        <item x="182"/>
        <item x="384"/>
        <item x="46"/>
        <item x="327"/>
        <item x="332"/>
        <item x="300"/>
        <item x="296"/>
        <item x="301"/>
        <item x="347"/>
        <item x="446"/>
        <item x="147"/>
        <item x="181"/>
        <item x="333"/>
        <item x="325"/>
        <item x="408"/>
        <item x="279"/>
        <item x="88"/>
        <item x="294"/>
        <item x="443"/>
        <item x="267"/>
        <item x="348"/>
        <item x="66"/>
        <item x="375"/>
        <item x="457"/>
        <item x="453"/>
        <item x="473"/>
      </items>
    </pivotField>
    <pivotField axis="axisRow" compact="0" outline="0" showAll="0" defaultSubtotal="0">
      <items count="408">
        <item x="1"/>
        <item x="221"/>
        <item x="316"/>
        <item x="310"/>
        <item x="256"/>
        <item x="254"/>
        <item x="211"/>
        <item x="65"/>
        <item x="148"/>
        <item x="210"/>
        <item x="320"/>
        <item x="253"/>
        <item x="318"/>
        <item x="166"/>
        <item x="315"/>
        <item x="405"/>
        <item x="219"/>
        <item x="225"/>
        <item x="134"/>
        <item x="129"/>
        <item x="181"/>
        <item x="125"/>
        <item x="220"/>
        <item x="188"/>
        <item x="195"/>
        <item x="222"/>
        <item x="276"/>
        <item x="155"/>
        <item x="0"/>
        <item x="317"/>
        <item x="275"/>
        <item x="307"/>
        <item x="36"/>
        <item x="257"/>
        <item x="152"/>
        <item x="145"/>
        <item x="15"/>
        <item x="183"/>
        <item x="143"/>
        <item x="216"/>
        <item x="138"/>
        <item x="327"/>
        <item x="150"/>
        <item x="17"/>
        <item x="151"/>
        <item x="142"/>
        <item x="128"/>
        <item x="38"/>
        <item x="176"/>
        <item x="32"/>
        <item x="168"/>
        <item x="16"/>
        <item x="321"/>
        <item x="21"/>
        <item x="323"/>
        <item x="306"/>
        <item x="76"/>
        <item x="232"/>
        <item x="130"/>
        <item x="110"/>
        <item x="144"/>
        <item x="4"/>
        <item x="86"/>
        <item x="89"/>
        <item x="19"/>
        <item x="154"/>
        <item x="230"/>
        <item x="217"/>
        <item x="66"/>
        <item x="322"/>
        <item x="343"/>
        <item x="338"/>
        <item x="28"/>
        <item x="20"/>
        <item x="214"/>
        <item x="108"/>
        <item x="5"/>
        <item x="117"/>
        <item x="308"/>
        <item x="175"/>
        <item x="31"/>
        <item x="96"/>
        <item x="8"/>
        <item x="231"/>
        <item x="153"/>
        <item x="234"/>
        <item x="149"/>
        <item x="208"/>
        <item x="116"/>
        <item x="119"/>
        <item x="33"/>
        <item x="135"/>
        <item x="25"/>
        <item x="71"/>
        <item x="44"/>
        <item x="213"/>
        <item x="127"/>
        <item x="158"/>
        <item x="212"/>
        <item x="27"/>
        <item x="34"/>
        <item x="29"/>
        <item x="107"/>
        <item x="7"/>
        <item x="289"/>
        <item x="174"/>
        <item x="241"/>
        <item x="102"/>
        <item x="258"/>
        <item x="91"/>
        <item x="406"/>
        <item x="236"/>
        <item x="11"/>
        <item x="93"/>
        <item x="368"/>
        <item x="223"/>
        <item x="146"/>
        <item x="156"/>
        <item x="237"/>
        <item x="235"/>
        <item x="248"/>
        <item x="14"/>
        <item x="35"/>
        <item x="6"/>
        <item x="26"/>
        <item x="106"/>
        <item x="122"/>
        <item x="100"/>
        <item x="126"/>
        <item x="97"/>
        <item x="13"/>
        <item x="147"/>
        <item x="191"/>
        <item x="10"/>
        <item x="170"/>
        <item x="30"/>
        <item x="398"/>
        <item x="194"/>
        <item x="140"/>
        <item x="192"/>
        <item x="101"/>
        <item x="37"/>
        <item x="136"/>
        <item x="133"/>
        <item x="77"/>
        <item x="85"/>
        <item x="92"/>
        <item x="304"/>
        <item x="141"/>
        <item x="366"/>
        <item x="121"/>
        <item x="250"/>
        <item x="9"/>
        <item x="311"/>
        <item x="375"/>
        <item x="233"/>
        <item x="56"/>
        <item x="103"/>
        <item x="240"/>
        <item x="243"/>
        <item x="78"/>
        <item x="226"/>
        <item x="238"/>
        <item x="246"/>
        <item x="22"/>
        <item x="185"/>
        <item x="197"/>
        <item x="3"/>
        <item x="353"/>
        <item x="356"/>
        <item x="371"/>
        <item x="224"/>
        <item x="12"/>
        <item x="319"/>
        <item x="23"/>
        <item x="399"/>
        <item x="332"/>
        <item x="282"/>
        <item x="167"/>
        <item x="182"/>
        <item x="84"/>
        <item x="98"/>
        <item x="373"/>
        <item x="202"/>
        <item x="349"/>
        <item x="137"/>
        <item x="131"/>
        <item x="162"/>
        <item x="164"/>
        <item x="395"/>
        <item x="331"/>
        <item x="123"/>
        <item x="94"/>
        <item x="24"/>
        <item x="244"/>
        <item x="348"/>
        <item x="300"/>
        <item x="62"/>
        <item x="376"/>
        <item x="367"/>
        <item x="326"/>
        <item x="79"/>
        <item x="163"/>
        <item x="281"/>
        <item x="2"/>
        <item x="297"/>
        <item x="293"/>
        <item x="70"/>
        <item x="139"/>
        <item x="177"/>
        <item x="283"/>
        <item x="112"/>
        <item x="359"/>
        <item x="328"/>
        <item x="351"/>
        <item x="48"/>
        <item x="157"/>
        <item x="169"/>
        <item x="337"/>
        <item x="400"/>
        <item x="178"/>
        <item x="346"/>
        <item x="239"/>
        <item x="99"/>
        <item x="60"/>
        <item x="200"/>
        <item x="365"/>
        <item x="206"/>
        <item x="40"/>
        <item x="378"/>
        <item x="104"/>
        <item x="286"/>
        <item x="74"/>
        <item x="390"/>
        <item x="171"/>
        <item x="124"/>
        <item x="105"/>
        <item x="401"/>
        <item x="228"/>
        <item x="61"/>
        <item x="362"/>
        <item x="245"/>
        <item x="345"/>
        <item x="242"/>
        <item x="403"/>
        <item x="215"/>
        <item x="73"/>
        <item x="42"/>
        <item x="285"/>
        <item x="111"/>
        <item x="394"/>
        <item x="218"/>
        <item x="301"/>
        <item x="357"/>
        <item x="53"/>
        <item x="261"/>
        <item x="201"/>
        <item x="383"/>
        <item x="278"/>
        <item x="325"/>
        <item x="287"/>
        <item x="207"/>
        <item x="352"/>
        <item x="199"/>
        <item x="350"/>
        <item x="344"/>
        <item x="109"/>
        <item x="335"/>
        <item x="340"/>
        <item x="193"/>
        <item x="369"/>
        <item x="204"/>
        <item x="280"/>
        <item x="396"/>
        <item x="95"/>
        <item x="39"/>
        <item x="67"/>
        <item x="80"/>
        <item x="255"/>
        <item x="341"/>
        <item x="312"/>
        <item x="90"/>
        <item x="360"/>
        <item x="172"/>
        <item x="189"/>
        <item x="342"/>
        <item x="259"/>
        <item x="397"/>
        <item x="41"/>
        <item x="52"/>
        <item x="387"/>
        <item x="269"/>
        <item x="57"/>
        <item x="68"/>
        <item x="288"/>
        <item x="252"/>
        <item x="381"/>
        <item x="329"/>
        <item x="392"/>
        <item x="277"/>
        <item x="305"/>
        <item x="203"/>
        <item x="115"/>
        <item x="339"/>
        <item x="370"/>
        <item x="83"/>
        <item x="186"/>
        <item x="380"/>
        <item x="385"/>
        <item x="404"/>
        <item x="198"/>
        <item x="187"/>
        <item x="274"/>
        <item x="88"/>
        <item x="72"/>
        <item x="18"/>
        <item x="309"/>
        <item x="205"/>
        <item x="50"/>
        <item x="184"/>
        <item x="113"/>
        <item x="386"/>
        <item x="58"/>
        <item x="59"/>
        <item x="402"/>
        <item x="51"/>
        <item x="63"/>
        <item x="87"/>
        <item x="55"/>
        <item x="364"/>
        <item x="361"/>
        <item x="190"/>
        <item x="279"/>
        <item x="179"/>
        <item x="314"/>
        <item x="165"/>
        <item x="81"/>
        <item x="251"/>
        <item x="270"/>
        <item x="173"/>
        <item x="374"/>
        <item x="114"/>
        <item x="120"/>
        <item x="160"/>
        <item x="379"/>
        <item x="272"/>
        <item x="313"/>
        <item x="299"/>
        <item x="388"/>
        <item x="247"/>
        <item x="69"/>
        <item x="358"/>
        <item x="45"/>
        <item x="180"/>
        <item x="268"/>
        <item x="355"/>
        <item x="118"/>
        <item x="46"/>
        <item x="260"/>
        <item x="336"/>
        <item x="354"/>
        <item x="54"/>
        <item x="161"/>
        <item x="384"/>
        <item x="273"/>
        <item x="264"/>
        <item x="47"/>
        <item x="271"/>
        <item x="209"/>
        <item x="294"/>
        <item x="295"/>
        <item x="267"/>
        <item x="49"/>
        <item x="292"/>
        <item x="334"/>
        <item x="363"/>
        <item x="196"/>
        <item x="266"/>
        <item x="333"/>
        <item x="393"/>
        <item x="284"/>
        <item x="262"/>
        <item x="372"/>
        <item x="265"/>
        <item x="291"/>
        <item x="75"/>
        <item x="132"/>
        <item x="296"/>
        <item x="229"/>
        <item x="330"/>
        <item x="43"/>
        <item x="302"/>
        <item x="249"/>
        <item x="159"/>
        <item x="227"/>
        <item x="290"/>
        <item x="347"/>
        <item x="298"/>
        <item x="263"/>
        <item x="382"/>
        <item x="377"/>
        <item x="82"/>
        <item x="303"/>
        <item x="324"/>
        <item x="64"/>
        <item x="391"/>
        <item x="389"/>
        <item x="407"/>
      </items>
    </pivotField>
    <pivotField axis="axisRow" compact="0" outline="0" showAll="0" defaultSubtotal="0">
      <items count="503">
        <item x="4"/>
        <item x="257"/>
        <item x="384"/>
        <item x="177"/>
        <item x="179"/>
        <item x="199"/>
        <item x="200"/>
        <item x="371"/>
        <item x="178"/>
        <item x="67"/>
        <item x="159"/>
        <item x="191"/>
        <item x="187"/>
        <item x="414"/>
        <item x="294"/>
        <item x="141"/>
        <item x="372"/>
        <item x="241"/>
        <item x="242"/>
        <item x="292"/>
        <item x="386"/>
        <item x="423"/>
        <item x="210"/>
        <item x="243"/>
        <item x="255"/>
        <item x="378"/>
        <item x="35"/>
        <item x="390"/>
        <item x="262"/>
        <item x="368"/>
        <item x="295"/>
        <item x="160"/>
        <item x="258"/>
        <item x="227"/>
        <item x="192"/>
        <item x="0"/>
        <item x="144"/>
        <item x="256"/>
        <item x="174"/>
        <item x="70"/>
        <item x="323"/>
        <item x="385"/>
        <item x="360"/>
        <item x="399"/>
        <item x="15"/>
        <item x="398"/>
        <item x="298"/>
        <item x="153"/>
        <item x="154"/>
        <item x="202"/>
        <item x="167"/>
        <item x="140"/>
        <item x="34"/>
        <item x="362"/>
        <item x="379"/>
        <item x="322"/>
        <item x="254"/>
        <item x="17"/>
        <item x="137"/>
        <item x="36"/>
        <item x="42"/>
        <item x="367"/>
        <item x="149"/>
        <item x="16"/>
        <item x="33"/>
        <item x="248"/>
        <item x="30"/>
        <item x="223"/>
        <item x="71"/>
        <item x="246"/>
        <item x="156"/>
        <item x="393"/>
        <item x="394"/>
        <item x="162"/>
        <item x="5"/>
        <item x="205"/>
        <item x="377"/>
        <item x="104"/>
        <item x="391"/>
        <item x="155"/>
        <item x="420"/>
        <item x="269"/>
        <item x="20"/>
        <item x="6"/>
        <item x="214"/>
        <item x="375"/>
        <item x="415"/>
        <item x="31"/>
        <item x="261"/>
        <item x="380"/>
        <item x="28"/>
        <item x="253"/>
        <item x="363"/>
        <item x="8"/>
        <item x="161"/>
        <item x="250"/>
        <item x="94"/>
        <item x="166"/>
        <item x="457"/>
        <item x="7"/>
        <item x="139"/>
        <item x="392"/>
        <item x="98"/>
        <item x="189"/>
        <item x="374"/>
        <item x="111"/>
        <item x="29"/>
        <item x="421"/>
        <item x="212"/>
        <item x="268"/>
        <item x="260"/>
        <item x="165"/>
        <item x="38"/>
        <item x="136"/>
        <item x="259"/>
        <item x="169"/>
        <item x="231"/>
        <item x="45"/>
        <item x="72"/>
        <item x="129"/>
        <item x="388"/>
        <item x="163"/>
        <item x="32"/>
        <item x="203"/>
        <item x="252"/>
        <item x="381"/>
        <item x="10"/>
        <item x="249"/>
        <item x="114"/>
        <item x="387"/>
        <item x="201"/>
        <item x="267"/>
        <item x="245"/>
        <item x="164"/>
        <item x="436"/>
        <item x="73"/>
        <item x="117"/>
        <item x="145"/>
        <item x="12"/>
        <item x="157"/>
        <item x="27"/>
        <item x="25"/>
        <item x="244"/>
        <item x="171"/>
        <item x="183"/>
        <item x="369"/>
        <item x="301"/>
        <item x="285"/>
        <item x="190"/>
        <item x="251"/>
        <item x="14"/>
        <item x="110"/>
        <item x="277"/>
        <item x="3"/>
        <item x="103"/>
        <item x="130"/>
        <item x="118"/>
        <item x="120"/>
        <item x="135"/>
        <item x="112"/>
        <item x="100"/>
        <item x="168"/>
        <item x="270"/>
        <item x="429"/>
        <item x="239"/>
        <item x="11"/>
        <item x="173"/>
        <item x="271"/>
        <item x="275"/>
        <item x="442"/>
        <item x="37"/>
        <item x="466"/>
        <item x="39"/>
        <item x="422"/>
        <item x="113"/>
        <item x="13"/>
        <item x="272"/>
        <item x="108"/>
        <item x="92"/>
        <item x="158"/>
        <item x="324"/>
        <item x="289"/>
        <item x="237"/>
        <item x="500"/>
        <item x="119"/>
        <item x="226"/>
        <item x="9"/>
        <item x="152"/>
        <item x="194"/>
        <item x="26"/>
        <item x="497"/>
        <item x="426"/>
        <item x="490"/>
        <item x="224"/>
        <item x="234"/>
        <item x="84"/>
        <item x="501"/>
        <item x="99"/>
        <item x="83"/>
        <item x="75"/>
        <item x="198"/>
        <item x="494"/>
        <item x="481"/>
        <item x="229"/>
        <item x="400"/>
        <item x="1"/>
        <item x="76"/>
        <item x="109"/>
        <item x="441"/>
        <item x="278"/>
        <item x="389"/>
        <item x="121"/>
        <item x="151"/>
        <item x="188"/>
        <item x="433"/>
        <item x="115"/>
        <item x="455"/>
        <item x="91"/>
        <item x="276"/>
        <item x="21"/>
        <item x="216"/>
        <item x="273"/>
        <item x="373"/>
        <item x="133"/>
        <item x="172"/>
        <item x="233"/>
        <item x="357"/>
        <item x="408"/>
        <item x="309"/>
        <item x="460"/>
        <item x="430"/>
        <item x="463"/>
        <item x="68"/>
        <item x="491"/>
        <item x="58"/>
        <item x="204"/>
        <item x="207"/>
        <item x="492"/>
        <item x="182"/>
        <item x="185"/>
        <item x="82"/>
        <item x="283"/>
        <item x="23"/>
        <item x="150"/>
        <item x="464"/>
        <item x="263"/>
        <item x="101"/>
        <item x="459"/>
        <item x="219"/>
        <item x="213"/>
        <item x="24"/>
        <item x="336"/>
        <item x="280"/>
        <item x="419"/>
        <item x="458"/>
        <item x="176"/>
        <item x="462"/>
        <item x="195"/>
        <item x="469"/>
        <item x="63"/>
        <item x="412"/>
        <item x="106"/>
        <item x="105"/>
        <item x="434"/>
        <item x="338"/>
        <item x="342"/>
        <item x="467"/>
        <item x="345"/>
        <item x="281"/>
        <item x="147"/>
        <item x="116"/>
        <item x="143"/>
        <item x="453"/>
        <item x="401"/>
        <item x="452"/>
        <item x="123"/>
        <item x="449"/>
        <item x="424"/>
        <item x="274"/>
        <item x="331"/>
        <item x="134"/>
        <item x="2"/>
        <item x="330"/>
        <item x="446"/>
        <item x="333"/>
        <item x="206"/>
        <item x="247"/>
        <item x="107"/>
        <item x="397"/>
        <item x="138"/>
        <item x="355"/>
        <item x="337"/>
        <item x="77"/>
        <item x="284"/>
        <item x="358"/>
        <item x="93"/>
        <item x="79"/>
        <item x="353"/>
        <item x="495"/>
        <item x="193"/>
        <item x="148"/>
        <item x="146"/>
        <item x="43"/>
        <item x="496"/>
        <item x="170"/>
        <item x="307"/>
        <item x="124"/>
        <item x="122"/>
        <item x="431"/>
        <item x="18"/>
        <item x="396"/>
        <item x="221"/>
        <item x="454"/>
        <item x="282"/>
        <item x="286"/>
        <item x="489"/>
        <item x="370"/>
        <item x="329"/>
        <item x="85"/>
        <item x="439"/>
        <item x="334"/>
        <item x="443"/>
        <item x="279"/>
        <item x="132"/>
        <item x="482"/>
        <item x="44"/>
        <item x="432"/>
        <item x="425"/>
        <item x="352"/>
        <item x="175"/>
        <item x="56"/>
        <item x="411"/>
        <item x="499"/>
        <item x="49"/>
        <item x="238"/>
        <item x="456"/>
        <item x="417"/>
        <item x="86"/>
        <item x="376"/>
        <item x="64"/>
        <item x="416"/>
        <item x="418"/>
        <item x="359"/>
        <item x="306"/>
        <item x="90"/>
        <item x="78"/>
        <item x="55"/>
        <item x="354"/>
        <item x="435"/>
        <item x="235"/>
        <item x="54"/>
        <item x="69"/>
        <item x="296"/>
        <item x="225"/>
        <item x="232"/>
        <item x="451"/>
        <item x="97"/>
        <item x="478"/>
        <item x="486"/>
        <item x="128"/>
        <item x="291"/>
        <item x="493"/>
        <item x="218"/>
        <item x="46"/>
        <item x="80"/>
        <item x="339"/>
        <item x="315"/>
        <item x="472"/>
        <item x="340"/>
        <item x="41"/>
        <item x="317"/>
        <item x="211"/>
        <item x="488"/>
        <item x="361"/>
        <item x="220"/>
        <item x="314"/>
        <item x="217"/>
        <item x="332"/>
        <item x="444"/>
        <item x="125"/>
        <item x="484"/>
        <item x="196"/>
        <item x="403"/>
        <item x="312"/>
        <item x="487"/>
        <item x="351"/>
        <item x="96"/>
        <item x="325"/>
        <item x="59"/>
        <item x="22"/>
        <item x="366"/>
        <item x="476"/>
        <item x="88"/>
        <item x="402"/>
        <item x="126"/>
        <item x="427"/>
        <item x="102"/>
        <item x="348"/>
        <item x="184"/>
        <item x="53"/>
        <item x="51"/>
        <item x="236"/>
        <item x="404"/>
        <item x="208"/>
        <item x="215"/>
        <item x="477"/>
        <item x="19"/>
        <item x="60"/>
        <item x="471"/>
        <item x="264"/>
        <item x="61"/>
        <item x="293"/>
        <item x="230"/>
        <item x="57"/>
        <item x="407"/>
        <item x="321"/>
        <item x="222"/>
        <item x="62"/>
        <item x="406"/>
        <item x="65"/>
        <item x="328"/>
        <item x="95"/>
        <item x="383"/>
        <item x="40"/>
        <item x="356"/>
        <item x="197"/>
        <item x="498"/>
        <item x="479"/>
        <item x="445"/>
        <item x="382"/>
        <item x="87"/>
        <item x="297"/>
        <item x="413"/>
        <item x="316"/>
        <item x="186"/>
        <item x="300"/>
        <item x="326"/>
        <item x="450"/>
        <item x="74"/>
        <item x="470"/>
        <item x="440"/>
        <item x="437"/>
        <item x="48"/>
        <item x="475"/>
        <item x="299"/>
        <item x="320"/>
        <item x="127"/>
        <item x="448"/>
        <item x="209"/>
        <item x="131"/>
        <item x="50"/>
        <item x="438"/>
        <item x="240"/>
        <item x="447"/>
        <item x="474"/>
        <item x="410"/>
        <item x="318"/>
        <item x="287"/>
        <item x="290"/>
        <item x="313"/>
        <item x="228"/>
        <item x="266"/>
        <item x="347"/>
        <item x="465"/>
        <item x="52"/>
        <item x="485"/>
        <item x="47"/>
        <item x="181"/>
        <item x="319"/>
        <item x="308"/>
        <item x="327"/>
        <item x="346"/>
        <item x="344"/>
        <item x="335"/>
        <item x="81"/>
        <item x="461"/>
        <item x="409"/>
        <item x="302"/>
        <item x="304"/>
        <item x="349"/>
        <item x="310"/>
        <item x="311"/>
        <item x="343"/>
        <item x="305"/>
        <item x="364"/>
        <item x="405"/>
        <item x="468"/>
        <item x="142"/>
        <item x="341"/>
        <item x="428"/>
        <item x="288"/>
        <item x="473"/>
        <item x="350"/>
        <item x="180"/>
        <item x="89"/>
        <item x="303"/>
        <item x="265"/>
        <item x="365"/>
        <item x="395"/>
        <item x="66"/>
        <item x="483"/>
        <item x="480"/>
        <item x="502"/>
      </items>
    </pivotField>
    <pivotField axis="axisRow" compact="0" outline="0" showAll="0" defaultSubtotal="0">
      <items count="510">
        <item x="1"/>
        <item x="262"/>
        <item x="182"/>
        <item x="183"/>
        <item x="181"/>
        <item x="371"/>
        <item x="204"/>
        <item x="377"/>
        <item x="195"/>
        <item x="203"/>
        <item x="372"/>
        <item x="69"/>
        <item x="295"/>
        <item x="168"/>
        <item x="191"/>
        <item x="415"/>
        <item x="224"/>
        <item x="215"/>
        <item x="133"/>
        <item x="373"/>
        <item x="246"/>
        <item x="506"/>
        <item x="389"/>
        <item x="360"/>
        <item x="149"/>
        <item x="361"/>
        <item x="148"/>
        <item x="398"/>
        <item x="388"/>
        <item x="260"/>
        <item x="247"/>
        <item x="384"/>
        <item x="125"/>
        <item x="266"/>
        <item x="147"/>
        <item x="379"/>
        <item x="324"/>
        <item x="263"/>
        <item x="385"/>
        <item x="383"/>
        <item x="261"/>
        <item x="231"/>
        <item x="380"/>
        <item x="169"/>
        <item x="0"/>
        <item x="163"/>
        <item x="152"/>
        <item x="257"/>
        <item x="422"/>
        <item x="206"/>
        <item x="381"/>
        <item x="73"/>
        <item x="368"/>
        <item x="298"/>
        <item x="358"/>
        <item x="323"/>
        <item x="15"/>
        <item x="249"/>
        <item x="401"/>
        <item x="164"/>
        <item x="176"/>
        <item x="159"/>
        <item x="17"/>
        <item x="146"/>
        <item x="41"/>
        <item x="196"/>
        <item x="19"/>
        <item x="158"/>
        <item x="259"/>
        <item x="194"/>
        <item x="165"/>
        <item x="16"/>
        <item x="395"/>
        <item x="253"/>
        <item x="173"/>
        <item x="132"/>
        <item x="391"/>
        <item x="31"/>
        <item x="166"/>
        <item x="171"/>
        <item x="120"/>
        <item x="232"/>
        <item x="119"/>
        <item x="227"/>
        <item x="21"/>
        <item x="251"/>
        <item x="378"/>
        <item x="33"/>
        <item x="228"/>
        <item x="367"/>
        <item x="76"/>
        <item x="392"/>
        <item x="35"/>
        <item x="272"/>
        <item x="34"/>
        <item x="219"/>
        <item x="416"/>
        <item x="394"/>
        <item x="20"/>
        <item x="38"/>
        <item x="382"/>
        <item x="7"/>
        <item x="175"/>
        <item x="255"/>
        <item x="98"/>
        <item x="144"/>
        <item x="87"/>
        <item x="209"/>
        <item x="455"/>
        <item x="6"/>
        <item x="170"/>
        <item x="104"/>
        <item x="177"/>
        <item x="101"/>
        <item x="192"/>
        <item x="37"/>
        <item x="217"/>
        <item x="270"/>
        <item x="172"/>
        <item x="258"/>
        <item x="36"/>
        <item x="167"/>
        <item x="142"/>
        <item x="116"/>
        <item x="271"/>
        <item x="229"/>
        <item x="29"/>
        <item x="265"/>
        <item x="250"/>
        <item x="42"/>
        <item x="284"/>
        <item x="174"/>
        <item x="71"/>
        <item x="352"/>
        <item x="207"/>
        <item x="210"/>
        <item x="8"/>
        <item x="236"/>
        <item x="417"/>
        <item x="274"/>
        <item x="429"/>
        <item x="205"/>
        <item x="269"/>
        <item x="386"/>
        <item x="82"/>
        <item x="396"/>
        <item x="154"/>
        <item x="10"/>
        <item x="254"/>
        <item x="287"/>
        <item x="179"/>
        <item x="424"/>
        <item x="393"/>
        <item x="32"/>
        <item x="289"/>
        <item x="369"/>
        <item x="193"/>
        <item x="264"/>
        <item x="14"/>
        <item x="137"/>
        <item x="463"/>
        <item x="425"/>
        <item x="3"/>
        <item x="256"/>
        <item x="109"/>
        <item x="426"/>
        <item x="248"/>
        <item x="279"/>
        <item x="134"/>
        <item x="39"/>
        <item x="122"/>
        <item x="141"/>
        <item x="375"/>
        <item x="106"/>
        <item x="30"/>
        <item x="433"/>
        <item x="9"/>
        <item x="113"/>
        <item x="277"/>
        <item x="353"/>
        <item x="103"/>
        <item x="91"/>
        <item x="162"/>
        <item x="40"/>
        <item x="428"/>
        <item x="83"/>
        <item x="26"/>
        <item x="238"/>
        <item x="58"/>
        <item x="212"/>
        <item x="309"/>
        <item x="85"/>
        <item x="138"/>
        <item x="286"/>
        <item x="230"/>
        <item x="5"/>
        <item x="27"/>
        <item x="423"/>
        <item x="202"/>
        <item x="496"/>
        <item x="307"/>
        <item x="22"/>
        <item x="507"/>
        <item x="105"/>
        <item x="234"/>
        <item x="502"/>
        <item x="84"/>
        <item x="4"/>
        <item x="299"/>
        <item x="501"/>
        <item x="508"/>
        <item x="11"/>
        <item x="449"/>
        <item x="291"/>
        <item x="115"/>
        <item x="121"/>
        <item x="96"/>
        <item x="123"/>
        <item x="221"/>
        <item x="74"/>
        <item x="139"/>
        <item x="445"/>
        <item x="273"/>
        <item x="460"/>
        <item x="278"/>
        <item x="198"/>
        <item x="160"/>
        <item x="390"/>
        <item x="275"/>
        <item x="151"/>
        <item x="435"/>
        <item x="12"/>
        <item x="244"/>
        <item x="356"/>
        <item x="13"/>
        <item x="409"/>
        <item x="63"/>
        <item x="374"/>
        <item x="136"/>
        <item x="28"/>
        <item x="471"/>
        <item x="153"/>
        <item x="2"/>
        <item x="467"/>
        <item x="208"/>
        <item x="283"/>
        <item x="188"/>
        <item x="190"/>
        <item x="66"/>
        <item x="440"/>
        <item x="497"/>
        <item x="438"/>
        <item x="107"/>
        <item x="118"/>
        <item x="110"/>
        <item x="337"/>
        <item x="281"/>
        <item x="462"/>
        <item x="499"/>
        <item x="218"/>
        <item x="242"/>
        <item x="448"/>
        <item x="161"/>
        <item x="472"/>
        <item x="114"/>
        <item x="492"/>
        <item x="402"/>
        <item x="474"/>
        <item x="434"/>
        <item x="43"/>
        <item x="487"/>
        <item x="128"/>
        <item x="140"/>
        <item x="268"/>
        <item x="498"/>
        <item x="117"/>
        <item x="404"/>
        <item x="334"/>
        <item x="444"/>
        <item x="156"/>
        <item x="486"/>
        <item x="458"/>
        <item x="457"/>
        <item x="126"/>
        <item x="359"/>
        <item x="112"/>
        <item x="276"/>
        <item x="421"/>
        <item x="407"/>
        <item x="465"/>
        <item x="252"/>
        <item x="400"/>
        <item x="145"/>
        <item x="399"/>
        <item x="80"/>
        <item x="197"/>
        <item x="338"/>
        <item x="75"/>
        <item x="430"/>
        <item x="357"/>
        <item x="331"/>
        <item x="211"/>
        <item x="446"/>
        <item x="24"/>
        <item x="239"/>
        <item x="333"/>
        <item x="95"/>
        <item x="451"/>
        <item x="157"/>
        <item x="223"/>
        <item x="155"/>
        <item x="111"/>
        <item x="78"/>
        <item x="351"/>
        <item x="427"/>
        <item x="335"/>
        <item x="350"/>
        <item x="25"/>
        <item x="127"/>
        <item x="436"/>
        <item x="332"/>
        <item x="89"/>
        <item x="495"/>
        <item x="285"/>
        <item x="461"/>
        <item x="414"/>
        <item x="376"/>
        <item x="94"/>
        <item x="88"/>
        <item x="282"/>
        <item x="454"/>
        <item x="178"/>
        <item x="124"/>
        <item x="464"/>
        <item x="44"/>
        <item x="437"/>
        <item x="180"/>
        <item x="199"/>
        <item x="469"/>
        <item x="280"/>
        <item x="54"/>
        <item x="412"/>
        <item x="48"/>
        <item x="504"/>
        <item x="237"/>
        <item x="420"/>
        <item x="62"/>
        <item x="483"/>
        <item x="296"/>
        <item x="77"/>
        <item x="213"/>
        <item x="55"/>
        <item x="70"/>
        <item x="102"/>
        <item x="64"/>
        <item x="441"/>
        <item x="418"/>
        <item x="45"/>
        <item x="131"/>
        <item x="325"/>
        <item x="315"/>
        <item x="300"/>
        <item x="477"/>
        <item x="340"/>
        <item x="186"/>
        <item x="65"/>
        <item x="329"/>
        <item x="314"/>
        <item x="79"/>
        <item x="459"/>
        <item x="488"/>
        <item x="97"/>
        <item x="419"/>
        <item x="293"/>
        <item x="370"/>
        <item x="225"/>
        <item x="366"/>
        <item x="216"/>
        <item x="494"/>
        <item x="339"/>
        <item x="431"/>
        <item x="482"/>
        <item x="86"/>
        <item x="200"/>
        <item x="466"/>
        <item x="326"/>
        <item x="243"/>
        <item x="241"/>
        <item x="57"/>
        <item x="481"/>
        <item x="322"/>
        <item x="143"/>
        <item x="490"/>
        <item x="500"/>
        <item x="53"/>
        <item x="222"/>
        <item x="346"/>
        <item x="354"/>
        <item x="317"/>
        <item x="59"/>
        <item x="505"/>
        <item x="220"/>
        <item x="476"/>
        <item x="56"/>
        <item x="235"/>
        <item x="240"/>
        <item x="52"/>
        <item x="18"/>
        <item x="405"/>
        <item x="60"/>
        <item x="100"/>
        <item x="61"/>
        <item x="493"/>
        <item x="312"/>
        <item x="403"/>
        <item x="93"/>
        <item x="129"/>
        <item x="408"/>
        <item x="349"/>
        <item x="23"/>
        <item x="189"/>
        <item x="330"/>
        <item x="67"/>
        <item x="185"/>
        <item x="387"/>
        <item x="363"/>
        <item x="99"/>
        <item x="294"/>
        <item x="355"/>
        <item x="316"/>
        <item x="503"/>
        <item x="201"/>
        <item x="297"/>
        <item x="50"/>
        <item x="442"/>
        <item x="108"/>
        <item x="480"/>
        <item x="319"/>
        <item x="413"/>
        <item x="245"/>
        <item x="447"/>
        <item x="292"/>
        <item x="450"/>
        <item x="362"/>
        <item x="90"/>
        <item x="484"/>
        <item x="49"/>
        <item x="214"/>
        <item x="47"/>
        <item x="475"/>
        <item x="456"/>
        <item x="301"/>
        <item x="135"/>
        <item x="72"/>
        <item x="130"/>
        <item x="233"/>
        <item x="411"/>
        <item x="226"/>
        <item x="302"/>
        <item x="327"/>
        <item x="318"/>
        <item x="479"/>
        <item x="491"/>
        <item x="443"/>
        <item x="313"/>
        <item x="453"/>
        <item x="345"/>
        <item x="288"/>
        <item x="321"/>
        <item x="470"/>
        <item x="51"/>
        <item x="343"/>
        <item x="452"/>
        <item x="187"/>
        <item x="439"/>
        <item x="468"/>
        <item x="81"/>
        <item x="344"/>
        <item x="336"/>
        <item x="410"/>
        <item x="320"/>
        <item x="308"/>
        <item x="46"/>
        <item x="303"/>
        <item x="328"/>
        <item x="342"/>
        <item x="347"/>
        <item x="310"/>
        <item x="311"/>
        <item x="305"/>
        <item x="406"/>
        <item x="306"/>
        <item x="364"/>
        <item x="150"/>
        <item x="290"/>
        <item x="473"/>
        <item x="348"/>
        <item x="432"/>
        <item x="341"/>
        <item x="184"/>
        <item x="92"/>
        <item x="478"/>
        <item x="267"/>
        <item x="304"/>
        <item x="365"/>
        <item x="397"/>
        <item x="68"/>
        <item x="489"/>
        <item x="485"/>
        <item x="509"/>
      </items>
    </pivotField>
    <pivotField axis="axisRow" compact="0" outline="0" showAll="0" defaultSubtotal="0">
      <items count="459">
        <item x="12"/>
        <item x="242"/>
        <item x="166"/>
        <item x="167"/>
        <item x="189"/>
        <item x="180"/>
        <item x="74"/>
        <item x="339"/>
        <item x="268"/>
        <item x="340"/>
        <item x="153"/>
        <item x="386"/>
        <item x="423"/>
        <item x="175"/>
        <item x="267"/>
        <item x="208"/>
        <item x="228"/>
        <item x="188"/>
        <item x="265"/>
        <item x="247"/>
        <item x="347"/>
        <item x="200"/>
        <item x="345"/>
        <item x="132"/>
        <item x="236"/>
        <item x="346"/>
        <item x="240"/>
        <item x="326"/>
        <item x="327"/>
        <item x="23"/>
        <item x="229"/>
        <item x="322"/>
        <item x="243"/>
        <item x="203"/>
        <item x="191"/>
        <item x="215"/>
        <item x="0"/>
        <item x="136"/>
        <item x="333"/>
        <item x="148"/>
        <item x="165"/>
        <item x="211"/>
        <item x="49"/>
        <item x="293"/>
        <item x="241"/>
        <item x="27"/>
        <item x="231"/>
        <item x="357"/>
        <item x="260"/>
        <item x="131"/>
        <item x="179"/>
        <item x="31"/>
        <item x="159"/>
        <item x="149"/>
        <item x="30"/>
        <item x="219"/>
        <item x="33"/>
        <item x="25"/>
        <item x="38"/>
        <item x="150"/>
        <item x="129"/>
        <item x="17"/>
        <item x="88"/>
        <item x="351"/>
        <item x="332"/>
        <item x="160"/>
        <item x="26"/>
        <item x="154"/>
        <item x="82"/>
        <item x="112"/>
        <item x="348"/>
        <item x="139"/>
        <item x="234"/>
        <item x="32"/>
        <item x="22"/>
        <item x="151"/>
        <item x="114"/>
        <item x="19"/>
        <item x="155"/>
        <item x="18"/>
        <item x="374"/>
        <item x="350"/>
        <item x="135"/>
        <item x="138"/>
        <item x="158"/>
        <item x="13"/>
        <item x="217"/>
        <item x="97"/>
        <item x="235"/>
        <item x="225"/>
        <item x="342"/>
        <item x="35"/>
        <item x="359"/>
        <item x="8"/>
        <item x="384"/>
        <item x="143"/>
        <item x="177"/>
        <item x="381"/>
        <item x="162"/>
        <item x="89"/>
        <item x="248"/>
        <item x="425"/>
        <item x="324"/>
        <item x="21"/>
        <item x="194"/>
        <item x="34"/>
        <item x="157"/>
        <item x="387"/>
        <item x="5"/>
        <item x="232"/>
        <item x="334"/>
        <item x="40"/>
        <item x="144"/>
        <item x="44"/>
        <item x="192"/>
        <item x="195"/>
        <item x="197"/>
        <item x="29"/>
        <item x="75"/>
        <item x="152"/>
        <item x="190"/>
        <item x="245"/>
        <item x="39"/>
        <item x="413"/>
        <item x="4"/>
        <item x="388"/>
        <item x="156"/>
        <item x="9"/>
        <item x="230"/>
        <item x="257"/>
        <item x="349"/>
        <item x="164"/>
        <item x="244"/>
        <item x="147"/>
        <item x="7"/>
        <item x="239"/>
        <item x="254"/>
        <item x="178"/>
        <item x="28"/>
        <item x="6"/>
        <item x="220"/>
        <item x="450"/>
        <item x="417"/>
        <item x="396"/>
        <item x="24"/>
        <item x="405"/>
        <item x="390"/>
        <item x="123"/>
        <item x="36"/>
        <item x="256"/>
        <item x="456"/>
        <item x="361"/>
        <item x="370"/>
        <item x="212"/>
        <item x="1"/>
        <item x="137"/>
        <item x="109"/>
        <item x="214"/>
        <item x="457"/>
        <item x="401"/>
        <item x="187"/>
        <item x="358"/>
        <item x="126"/>
        <item x="14"/>
        <item x="226"/>
        <item x="294"/>
        <item x="270"/>
        <item x="279"/>
        <item x="427"/>
        <item x="103"/>
        <item x="85"/>
        <item x="380"/>
        <item x="251"/>
        <item x="400"/>
        <item x="71"/>
        <item x="161"/>
        <item x="221"/>
        <item x="3"/>
        <item x="383"/>
        <item x="113"/>
        <item x="205"/>
        <item x="102"/>
        <item x="104"/>
        <item x="328"/>
        <item x="415"/>
        <item x="238"/>
        <item x="262"/>
        <item x="246"/>
        <item x="15"/>
        <item x="237"/>
        <item x="10"/>
        <item x="20"/>
        <item x="363"/>
        <item x="368"/>
        <item x="451"/>
        <item x="70"/>
        <item x="76"/>
        <item x="176"/>
        <item x="182"/>
        <item x="134"/>
        <item x="284"/>
        <item x="431"/>
        <item x="224"/>
        <item x="354"/>
        <item x="341"/>
        <item x="11"/>
        <item x="414"/>
        <item x="202"/>
        <item x="378"/>
        <item x="366"/>
        <item x="313"/>
        <item x="321"/>
        <item x="80"/>
        <item x="37"/>
        <item x="402"/>
        <item x="360"/>
        <item x="393"/>
        <item x="146"/>
        <item x="422"/>
        <item x="261"/>
        <item x="125"/>
        <item x="58"/>
        <item x="140"/>
        <item x="315"/>
        <item x="338"/>
        <item x="395"/>
        <item x="172"/>
        <item x="2"/>
        <item x="193"/>
        <item x="65"/>
        <item x="444"/>
        <item x="382"/>
        <item x="66"/>
        <item x="186"/>
        <item x="213"/>
        <item x="84"/>
        <item x="428"/>
        <item x="106"/>
        <item x="96"/>
        <item x="416"/>
        <item x="448"/>
        <item x="408"/>
        <item x="355"/>
        <item x="196"/>
        <item x="218"/>
        <item x="299"/>
        <item x="110"/>
        <item x="318"/>
        <item x="43"/>
        <item x="222"/>
        <item x="447"/>
        <item x="111"/>
        <item x="117"/>
        <item x="183"/>
        <item x="304"/>
        <item x="94"/>
        <item x="68"/>
        <item x="95"/>
        <item x="440"/>
        <item x="142"/>
        <item x="81"/>
        <item x="446"/>
        <item x="181"/>
        <item x="63"/>
        <item x="115"/>
        <item x="101"/>
        <item x="127"/>
        <item x="108"/>
        <item x="403"/>
        <item x="300"/>
        <item x="233"/>
        <item x="419"/>
        <item x="356"/>
        <item x="130"/>
        <item x="91"/>
        <item x="303"/>
        <item x="452"/>
        <item x="449"/>
        <item x="323"/>
        <item x="78"/>
        <item x="145"/>
        <item x="223"/>
        <item x="406"/>
        <item x="141"/>
        <item x="41"/>
        <item x="107"/>
        <item x="343"/>
        <item x="305"/>
        <item x="353"/>
        <item x="373"/>
        <item x="69"/>
        <item x="391"/>
        <item x="420"/>
        <item x="163"/>
        <item x="421"/>
        <item x="201"/>
        <item x="445"/>
        <item x="337"/>
        <item x="253"/>
        <item x="397"/>
        <item x="385"/>
        <item x="252"/>
        <item x="301"/>
        <item x="377"/>
        <item x="418"/>
        <item x="42"/>
        <item x="392"/>
        <item x="105"/>
        <item x="430"/>
        <item x="118"/>
        <item x="56"/>
        <item x="90"/>
        <item x="116"/>
        <item x="64"/>
        <item x="264"/>
        <item x="336"/>
        <item x="249"/>
        <item x="45"/>
        <item x="209"/>
        <item x="206"/>
        <item x="55"/>
        <item x="286"/>
        <item x="319"/>
        <item x="433"/>
        <item x="307"/>
        <item x="174"/>
        <item x="454"/>
        <item x="295"/>
        <item x="77"/>
        <item x="455"/>
        <item x="207"/>
        <item x="86"/>
        <item x="170"/>
        <item x="331"/>
        <item x="100"/>
        <item x="271"/>
        <item x="121"/>
        <item x="184"/>
        <item x="442"/>
        <item x="379"/>
        <item x="67"/>
        <item x="325"/>
        <item x="48"/>
        <item x="198"/>
        <item x="57"/>
        <item x="169"/>
        <item x="54"/>
        <item x="362"/>
        <item x="432"/>
        <item x="437"/>
        <item x="59"/>
        <item x="128"/>
        <item x="364"/>
        <item x="376"/>
        <item x="288"/>
        <item x="438"/>
        <item x="453"/>
        <item x="16"/>
        <item x="60"/>
        <item x="411"/>
        <item x="435"/>
        <item x="204"/>
        <item x="61"/>
        <item x="283"/>
        <item x="53"/>
        <item x="119"/>
        <item x="375"/>
        <item x="317"/>
        <item x="298"/>
        <item x="210"/>
        <item x="367"/>
        <item x="72"/>
        <item x="173"/>
        <item x="292"/>
        <item x="99"/>
        <item x="287"/>
        <item x="266"/>
        <item x="98"/>
        <item x="398"/>
        <item x="436"/>
        <item x="185"/>
        <item x="92"/>
        <item x="79"/>
        <item x="407"/>
        <item x="320"/>
        <item x="335"/>
        <item x="51"/>
        <item x="62"/>
        <item x="344"/>
        <item x="269"/>
        <item x="412"/>
        <item x="83"/>
        <item x="409"/>
        <item x="282"/>
        <item x="372"/>
        <item x="404"/>
        <item x="263"/>
        <item x="227"/>
        <item x="216"/>
        <item x="290"/>
        <item x="410"/>
        <item x="426"/>
        <item x="47"/>
        <item x="122"/>
        <item x="272"/>
        <item x="50"/>
        <item x="291"/>
        <item x="199"/>
        <item x="124"/>
        <item x="120"/>
        <item x="273"/>
        <item x="296"/>
        <item x="371"/>
        <item x="399"/>
        <item x="310"/>
        <item x="258"/>
        <item x="285"/>
        <item x="394"/>
        <item x="52"/>
        <item x="443"/>
        <item x="369"/>
        <item x="309"/>
        <item x="278"/>
        <item x="289"/>
        <item x="297"/>
        <item x="87"/>
        <item x="302"/>
        <item x="424"/>
        <item x="311"/>
        <item x="312"/>
        <item x="280"/>
        <item x="281"/>
        <item x="171"/>
        <item x="274"/>
        <item x="314"/>
        <item x="276"/>
        <item x="255"/>
        <item x="329"/>
        <item x="277"/>
        <item x="168"/>
        <item x="365"/>
        <item x="46"/>
        <item x="133"/>
        <item x="316"/>
        <item x="259"/>
        <item x="250"/>
        <item x="434"/>
        <item x="389"/>
        <item x="308"/>
        <item x="429"/>
        <item x="93"/>
        <item x="275"/>
        <item x="306"/>
        <item x="330"/>
        <item x="352"/>
        <item x="73"/>
        <item x="441"/>
        <item x="439"/>
        <item x="458"/>
      </items>
    </pivotField>
    <pivotField axis="axisRow" compact="0" outline="0" showAll="0" defaultSubtotal="0">
      <items count="415">
        <item x="8"/>
        <item x="156"/>
        <item x="165"/>
        <item x="314"/>
        <item x="209"/>
        <item x="162"/>
        <item x="242"/>
        <item x="208"/>
        <item x="179"/>
        <item x="383"/>
        <item x="382"/>
        <item x="413"/>
        <item x="321"/>
        <item x="315"/>
        <item x="319"/>
        <item x="220"/>
        <item x="217"/>
        <item x="70"/>
        <item x="303"/>
        <item x="218"/>
        <item x="344"/>
        <item x="219"/>
        <item x="320"/>
        <item x="323"/>
        <item x="272"/>
        <item x="213"/>
        <item x="194"/>
        <item x="311"/>
        <item x="0"/>
        <item x="134"/>
        <item x="154"/>
        <item x="205"/>
        <item x="190"/>
        <item x="32"/>
        <item x="238"/>
        <item x="147"/>
        <item x="271"/>
        <item x="245"/>
        <item x="16"/>
        <item x="211"/>
        <item x="333"/>
        <item x="34"/>
        <item x="18"/>
        <item x="198"/>
        <item x="75"/>
        <item x="25"/>
        <item x="215"/>
        <item x="30"/>
        <item x="142"/>
        <item x="130"/>
        <item x="164"/>
        <item x="85"/>
        <item x="310"/>
        <item x="204"/>
        <item x="38"/>
        <item x="324"/>
        <item x="26"/>
        <item x="326"/>
        <item x="113"/>
        <item x="9"/>
        <item x="191"/>
        <item x="325"/>
        <item x="19"/>
        <item x="149"/>
        <item x="200"/>
        <item x="28"/>
        <item x="133"/>
        <item x="33"/>
        <item x="328"/>
        <item x="346"/>
        <item x="143"/>
        <item x="223"/>
        <item x="20"/>
        <item x="135"/>
        <item x="10"/>
        <item x="216"/>
        <item x="122"/>
        <item x="196"/>
        <item x="146"/>
        <item x="29"/>
        <item x="371"/>
        <item x="334"/>
        <item x="13"/>
        <item x="381"/>
        <item x="24"/>
        <item x="175"/>
        <item x="111"/>
        <item x="93"/>
        <item x="150"/>
        <item x="145"/>
        <item x="144"/>
        <item x="31"/>
        <item x="46"/>
        <item x="312"/>
        <item x="192"/>
        <item x="153"/>
        <item x="39"/>
        <item x="181"/>
        <item x="212"/>
        <item x="364"/>
        <item x="108"/>
        <item x="44"/>
        <item x="82"/>
        <item x="5"/>
        <item x="123"/>
        <item x="114"/>
        <item x="173"/>
        <item x="12"/>
        <item x="225"/>
        <item x="172"/>
        <item x="107"/>
        <item x="329"/>
        <item x="210"/>
        <item x="4"/>
        <item x="27"/>
        <item x="141"/>
        <item x="14"/>
        <item x="221"/>
        <item x="152"/>
        <item x="22"/>
        <item x="7"/>
        <item x="109"/>
        <item x="235"/>
        <item x="97"/>
        <item x="6"/>
        <item x="35"/>
        <item x="233"/>
        <item x="11"/>
        <item x="100"/>
        <item x="247"/>
        <item x="171"/>
        <item x="125"/>
        <item x="36"/>
        <item x="104"/>
        <item x="246"/>
        <item x="265"/>
        <item x="224"/>
        <item x="15"/>
        <item x="1"/>
        <item x="167"/>
        <item x="128"/>
        <item x="299"/>
        <item x="21"/>
        <item x="37"/>
        <item x="206"/>
        <item x="106"/>
        <item x="259"/>
        <item x="226"/>
        <item x="77"/>
        <item x="127"/>
        <item x="71"/>
        <item x="227"/>
        <item x="335"/>
        <item x="294"/>
        <item x="83"/>
        <item x="193"/>
        <item x="3"/>
        <item x="322"/>
        <item x="184"/>
        <item x="353"/>
        <item x="23"/>
        <item x="92"/>
        <item x="99"/>
        <item x="88"/>
        <item x="98"/>
        <item x="201"/>
        <item x="376"/>
        <item x="110"/>
        <item x="163"/>
        <item x="124"/>
        <item x="385"/>
        <item x="400"/>
        <item x="330"/>
        <item x="91"/>
        <item x="40"/>
        <item x="308"/>
        <item x="257"/>
        <item x="377"/>
        <item x="375"/>
        <item x="316"/>
        <item x="140"/>
        <item x="359"/>
        <item x="232"/>
        <item x="404"/>
        <item x="302"/>
        <item x="340"/>
        <item x="90"/>
        <item x="182"/>
        <item x="228"/>
        <item x="136"/>
        <item x="305"/>
        <item x="186"/>
        <item x="148"/>
        <item x="160"/>
        <item x="407"/>
        <item x="389"/>
        <item x="2"/>
        <item x="174"/>
        <item x="352"/>
        <item x="101"/>
        <item x="230"/>
        <item x="289"/>
        <item x="331"/>
        <item x="378"/>
        <item x="387"/>
        <item x="409"/>
        <item x="354"/>
        <item x="406"/>
        <item x="69"/>
        <item x="280"/>
        <item x="105"/>
        <item x="296"/>
        <item x="112"/>
        <item x="117"/>
        <item x="408"/>
        <item x="168"/>
        <item x="45"/>
        <item x="367"/>
        <item x="176"/>
        <item x="80"/>
        <item x="282"/>
        <item x="350"/>
        <item x="129"/>
        <item x="68"/>
        <item x="103"/>
        <item x="78"/>
        <item x="138"/>
        <item x="84"/>
        <item x="115"/>
        <item x="67"/>
        <item x="380"/>
        <item x="261"/>
        <item x="317"/>
        <item x="202"/>
        <item x="231"/>
        <item x="214"/>
        <item x="64"/>
        <item x="332"/>
        <item x="131"/>
        <item x="41"/>
        <item x="281"/>
        <item x="356"/>
        <item x="277"/>
        <item x="102"/>
        <item x="161"/>
        <item x="166"/>
        <item x="59"/>
        <item x="199"/>
        <item x="139"/>
        <item x="369"/>
        <item x="151"/>
        <item x="137"/>
        <item x="298"/>
        <item x="283"/>
        <item x="278"/>
        <item x="229"/>
        <item x="297"/>
        <item x="360"/>
        <item x="412"/>
        <item x="158"/>
        <item x="355"/>
        <item x="180"/>
        <item x="256"/>
        <item x="313"/>
        <item x="405"/>
        <item x="57"/>
        <item x="203"/>
        <item x="357"/>
        <item x="86"/>
        <item x="379"/>
        <item x="118"/>
        <item x="43"/>
        <item x="361"/>
        <item x="66"/>
        <item x="155"/>
        <item x="343"/>
        <item x="50"/>
        <item x="370"/>
        <item x="116"/>
        <item x="240"/>
        <item x="185"/>
        <item x="351"/>
        <item x="384"/>
        <item x="411"/>
        <item x="65"/>
        <item x="177"/>
        <item x="243"/>
        <item x="241"/>
        <item x="47"/>
        <item x="188"/>
        <item x="197"/>
        <item x="363"/>
        <item x="300"/>
        <item x="169"/>
        <item x="255"/>
        <item x="402"/>
        <item x="74"/>
        <item x="250"/>
        <item x="274"/>
        <item x="56"/>
        <item x="285"/>
        <item x="121"/>
        <item x="96"/>
        <item x="349"/>
        <item x="263"/>
        <item x="119"/>
        <item x="60"/>
        <item x="248"/>
        <item x="309"/>
        <item x="187"/>
        <item x="337"/>
        <item x="273"/>
        <item x="396"/>
        <item x="336"/>
        <item x="54"/>
        <item x="397"/>
        <item x="183"/>
        <item x="292"/>
        <item x="58"/>
        <item x="42"/>
        <item x="55"/>
        <item x="304"/>
        <item x="17"/>
        <item x="410"/>
        <item x="61"/>
        <item x="62"/>
        <item x="347"/>
        <item x="95"/>
        <item x="79"/>
        <item x="348"/>
        <item x="365"/>
        <item x="388"/>
        <item x="398"/>
        <item x="392"/>
        <item x="395"/>
        <item x="276"/>
        <item x="339"/>
        <item x="76"/>
        <item x="318"/>
        <item x="72"/>
        <item x="94"/>
        <item x="170"/>
        <item x="391"/>
        <item x="373"/>
        <item x="345"/>
        <item x="264"/>
        <item x="87"/>
        <item x="301"/>
        <item x="270"/>
        <item x="394"/>
        <item x="63"/>
        <item x="244"/>
        <item x="195"/>
        <item x="51"/>
        <item x="366"/>
        <item x="239"/>
        <item x="52"/>
        <item x="374"/>
        <item x="368"/>
        <item x="120"/>
        <item x="267"/>
        <item x="372"/>
        <item x="236"/>
        <item x="49"/>
        <item x="189"/>
        <item x="269"/>
        <item x="207"/>
        <item x="178"/>
        <item x="249"/>
        <item x="126"/>
        <item x="342"/>
        <item x="262"/>
        <item x="253"/>
        <item x="266"/>
        <item x="403"/>
        <item x="291"/>
        <item x="53"/>
        <item x="288"/>
        <item x="362"/>
        <item x="159"/>
        <item x="81"/>
        <item x="279"/>
        <item x="290"/>
        <item x="234"/>
        <item x="341"/>
        <item x="386"/>
        <item x="268"/>
        <item x="258"/>
        <item x="275"/>
        <item x="251"/>
        <item x="293"/>
        <item x="287"/>
        <item x="260"/>
        <item x="254"/>
        <item x="48"/>
        <item x="338"/>
        <item x="306"/>
        <item x="157"/>
        <item x="393"/>
        <item x="222"/>
        <item x="132"/>
        <item x="237"/>
        <item x="390"/>
        <item x="284"/>
        <item x="295"/>
        <item x="358"/>
        <item x="286"/>
        <item x="252"/>
        <item x="89"/>
        <item x="307"/>
        <item x="327"/>
        <item x="73"/>
        <item x="401"/>
        <item x="399"/>
        <item x="414"/>
      </items>
    </pivotField>
    <pivotField axis="axisRow" compact="0" outline="0" showAll="0" defaultSubtotal="0">
      <items count="400">
        <item x="8"/>
        <item x="215"/>
        <item x="149"/>
        <item x="168"/>
        <item x="160"/>
        <item x="148"/>
        <item x="304"/>
        <item x="134"/>
        <item x="66"/>
        <item x="339"/>
        <item x="206"/>
        <item x="234"/>
        <item x="156"/>
        <item x="342"/>
        <item x="205"/>
        <item x="214"/>
        <item x="178"/>
        <item x="116"/>
        <item x="308"/>
        <item x="288"/>
        <item x="290"/>
        <item x="218"/>
        <item x="307"/>
        <item x="210"/>
        <item x="25"/>
        <item x="130"/>
        <item x="170"/>
        <item x="202"/>
        <item x="188"/>
        <item x="216"/>
        <item x="192"/>
        <item x="230"/>
        <item x="181"/>
        <item x="300"/>
        <item x="132"/>
        <item x="0"/>
        <item x="208"/>
        <item x="129"/>
        <item x="120"/>
        <item x="310"/>
        <item x="260"/>
        <item x="35"/>
        <item x="115"/>
        <item x="196"/>
        <item x="135"/>
        <item x="26"/>
        <item x="237"/>
        <item x="126"/>
        <item x="131"/>
        <item x="141"/>
        <item x="27"/>
        <item x="31"/>
        <item x="189"/>
        <item x="17"/>
        <item x="113"/>
        <item x="136"/>
        <item x="198"/>
        <item x="41"/>
        <item x="212"/>
        <item x="299"/>
        <item x="34"/>
        <item x="292"/>
        <item x="19"/>
        <item x="313"/>
        <item x="77"/>
        <item x="311"/>
        <item x="213"/>
        <item x="312"/>
        <item x="343"/>
        <item x="29"/>
        <item x="24"/>
        <item x="18"/>
        <item x="166"/>
        <item x="119"/>
        <item x="217"/>
        <item x="139"/>
        <item x="40"/>
        <item x="140"/>
        <item x="30"/>
        <item x="330"/>
        <item x="194"/>
        <item x="133"/>
        <item x="336"/>
        <item x="294"/>
        <item x="142"/>
        <item x="318"/>
        <item x="293"/>
        <item x="36"/>
        <item x="190"/>
        <item x="10"/>
        <item x="167"/>
        <item x="121"/>
        <item x="63"/>
        <item x="137"/>
        <item x="32"/>
        <item x="43"/>
        <item x="9"/>
        <item x="209"/>
        <item x="22"/>
        <item x="158"/>
        <item x="201"/>
        <item x="45"/>
        <item x="173"/>
        <item x="33"/>
        <item x="111"/>
        <item x="398"/>
        <item x="207"/>
        <item x="221"/>
        <item x="98"/>
        <item x="301"/>
        <item x="67"/>
        <item x="28"/>
        <item x="138"/>
        <item x="96"/>
        <item x="283"/>
        <item x="90"/>
        <item x="5"/>
        <item x="124"/>
        <item x="101"/>
        <item x="145"/>
        <item x="171"/>
        <item x="12"/>
        <item x="333"/>
        <item x="326"/>
        <item x="249"/>
        <item x="169"/>
        <item x="89"/>
        <item x="76"/>
        <item x="37"/>
        <item x="128"/>
        <item x="255"/>
        <item x="4"/>
        <item x="13"/>
        <item x="227"/>
        <item x="144"/>
        <item x="172"/>
        <item x="23"/>
        <item x="7"/>
        <item x="291"/>
        <item x="95"/>
        <item x="159"/>
        <item x="191"/>
        <item x="363"/>
        <item x="6"/>
        <item x="231"/>
        <item x="350"/>
        <item x="11"/>
        <item x="97"/>
        <item x="109"/>
        <item x="42"/>
        <item x="364"/>
        <item x="320"/>
        <item x="355"/>
        <item x="1"/>
        <item x="282"/>
        <item x="20"/>
        <item x="287"/>
        <item x="47"/>
        <item x="203"/>
        <item x="338"/>
        <item x="238"/>
        <item x="162"/>
        <item x="351"/>
        <item x="324"/>
        <item x="247"/>
        <item x="323"/>
        <item x="180"/>
        <item x="3"/>
        <item x="309"/>
        <item x="335"/>
        <item x="118"/>
        <item x="157"/>
        <item x="269"/>
        <item x="78"/>
        <item x="175"/>
        <item x="279"/>
        <item x="70"/>
        <item x="183"/>
        <item x="15"/>
        <item x="14"/>
        <item x="387"/>
        <item x="393"/>
        <item x="84"/>
        <item x="50"/>
        <item x="319"/>
        <item x="391"/>
        <item x="127"/>
        <item x="352"/>
        <item x="174"/>
        <item x="368"/>
        <item x="94"/>
        <item x="373"/>
        <item x="85"/>
        <item x="369"/>
        <item x="105"/>
        <item x="394"/>
        <item x="99"/>
        <item x="91"/>
        <item x="376"/>
        <item x="226"/>
        <item x="286"/>
        <item x="154"/>
        <item x="74"/>
        <item x="397"/>
        <item x="348"/>
        <item x="305"/>
        <item x="58"/>
        <item x="161"/>
        <item x="303"/>
        <item x="2"/>
        <item x="371"/>
        <item x="332"/>
        <item x="155"/>
        <item x="163"/>
        <item x="347"/>
        <item x="275"/>
        <item x="93"/>
        <item x="83"/>
        <item x="186"/>
        <item x="100"/>
        <item x="270"/>
        <item x="211"/>
        <item x="92"/>
        <item x="264"/>
        <item x="112"/>
        <item x="281"/>
        <item x="44"/>
        <item x="356"/>
        <item x="199"/>
        <item x="73"/>
        <item x="54"/>
        <item x="223"/>
        <item x="123"/>
        <item x="386"/>
        <item x="246"/>
        <item x="102"/>
        <item x="151"/>
        <item x="266"/>
        <item x="104"/>
        <item x="224"/>
        <item x="143"/>
        <item x="306"/>
        <item x="340"/>
        <item x="341"/>
        <item x="57"/>
        <item x="328"/>
        <item x="71"/>
        <item x="317"/>
        <item x="114"/>
        <item x="316"/>
        <item x="62"/>
        <item x="146"/>
        <item x="125"/>
        <item x="122"/>
        <item x="225"/>
        <item x="265"/>
        <item x="337"/>
        <item x="392"/>
        <item x="334"/>
        <item x="346"/>
        <item x="253"/>
        <item x="152"/>
        <item x="68"/>
        <item x="271"/>
        <item x="396"/>
        <item x="267"/>
        <item x="395"/>
        <item x="79"/>
        <item x="367"/>
        <item x="56"/>
        <item x="88"/>
        <item x="261"/>
        <item x="197"/>
        <item x="358"/>
        <item x="222"/>
        <item x="39"/>
        <item x="298"/>
        <item x="147"/>
        <item x="55"/>
        <item x="108"/>
        <item x="106"/>
        <item x="239"/>
        <item x="241"/>
        <item x="262"/>
        <item x="233"/>
        <item x="344"/>
        <item x="51"/>
        <item x="103"/>
        <item x="372"/>
        <item x="359"/>
        <item x="176"/>
        <item x="232"/>
        <item x="331"/>
        <item x="46"/>
        <item x="52"/>
        <item x="200"/>
        <item x="284"/>
        <item x="302"/>
        <item x="185"/>
        <item x="235"/>
        <item x="370"/>
        <item x="366"/>
        <item x="72"/>
        <item x="184"/>
        <item x="164"/>
        <item x="59"/>
        <item x="295"/>
        <item x="259"/>
        <item x="389"/>
        <item x="263"/>
        <item x="195"/>
        <item x="80"/>
        <item x="182"/>
        <item x="179"/>
        <item x="64"/>
        <item x="382"/>
        <item x="378"/>
        <item x="289"/>
        <item x="107"/>
        <item x="383"/>
        <item x="16"/>
        <item x="60"/>
        <item x="61"/>
        <item x="254"/>
        <item x="38"/>
        <item x="321"/>
        <item x="86"/>
        <item x="87"/>
        <item x="314"/>
        <item x="187"/>
        <item x="285"/>
        <item x="165"/>
        <item x="21"/>
        <item x="384"/>
        <item x="353"/>
        <item x="110"/>
        <item x="381"/>
        <item x="236"/>
        <item x="204"/>
        <item x="240"/>
        <item x="357"/>
        <item x="377"/>
        <item x="360"/>
        <item x="362"/>
        <item x="69"/>
        <item x="49"/>
        <item x="257"/>
        <item x="329"/>
        <item x="193"/>
        <item x="274"/>
        <item x="228"/>
        <item x="327"/>
        <item x="380"/>
        <item x="361"/>
        <item x="365"/>
        <item x="177"/>
        <item x="354"/>
        <item x="244"/>
        <item x="81"/>
        <item x="273"/>
        <item x="325"/>
        <item x="150"/>
        <item x="53"/>
        <item x="256"/>
        <item x="268"/>
        <item x="374"/>
        <item x="75"/>
        <item x="277"/>
        <item x="258"/>
        <item x="276"/>
        <item x="220"/>
        <item x="153"/>
        <item x="390"/>
        <item x="252"/>
        <item x="349"/>
        <item x="250"/>
        <item x="251"/>
        <item x="219"/>
        <item x="48"/>
        <item x="248"/>
        <item x="278"/>
        <item x="242"/>
        <item x="245"/>
        <item x="280"/>
        <item x="117"/>
        <item x="322"/>
        <item x="296"/>
        <item x="229"/>
        <item x="375"/>
        <item x="272"/>
        <item x="345"/>
        <item x="379"/>
        <item x="82"/>
        <item x="243"/>
        <item x="315"/>
        <item x="297"/>
        <item x="65"/>
        <item x="388"/>
        <item x="385"/>
        <item x="399"/>
      </items>
    </pivotField>
    <pivotField axis="axisRow" compact="0" outline="0" showAll="0" defaultSubtotal="0">
      <items count="411">
        <item x="12"/>
        <item x="225"/>
        <item x="153"/>
        <item x="154"/>
        <item x="170"/>
        <item x="178"/>
        <item x="169"/>
        <item x="215"/>
        <item x="306"/>
        <item x="163"/>
        <item x="58"/>
        <item x="252"/>
        <item x="140"/>
        <item x="336"/>
        <item x="308"/>
        <item x="187"/>
        <item x="406"/>
        <item x="310"/>
        <item x="228"/>
        <item x="121"/>
        <item x="171"/>
        <item x="223"/>
        <item x="224"/>
        <item x="42"/>
        <item x="208"/>
        <item x="120"/>
        <item x="226"/>
        <item x="295"/>
        <item x="309"/>
        <item x="210"/>
        <item x="298"/>
        <item x="201"/>
        <item x="272"/>
        <item x="219"/>
        <item x="0"/>
        <item x="189"/>
        <item x="134"/>
        <item x="124"/>
        <item x="253"/>
        <item x="303"/>
        <item x="197"/>
        <item x="129"/>
        <item x="141"/>
        <item x="256"/>
        <item x="19"/>
        <item x="217"/>
        <item x="319"/>
        <item x="248"/>
        <item x="221"/>
        <item x="179"/>
        <item x="135"/>
        <item x="167"/>
        <item x="144"/>
        <item x="43"/>
        <item x="32"/>
        <item x="168"/>
        <item x="205"/>
        <item x="33"/>
        <item x="25"/>
        <item x="302"/>
        <item x="68"/>
        <item x="315"/>
        <item x="136"/>
        <item x="137"/>
        <item x="61"/>
        <item x="117"/>
        <item x="296"/>
        <item x="312"/>
        <item x="26"/>
        <item x="222"/>
        <item x="142"/>
        <item x="314"/>
        <item x="90"/>
        <item x="16"/>
        <item x="28"/>
        <item x="119"/>
        <item x="227"/>
        <item x="218"/>
        <item x="161"/>
        <item x="367"/>
        <item x="29"/>
        <item x="203"/>
        <item x="231"/>
        <item x="329"/>
        <item x="112"/>
        <item x="143"/>
        <item x="408"/>
        <item x="30"/>
        <item x="14"/>
        <item x="146"/>
        <item x="87"/>
        <item x="198"/>
        <item x="236"/>
        <item x="182"/>
        <item x="36"/>
        <item x="150"/>
        <item x="1"/>
        <item x="242"/>
        <item x="31"/>
        <item x="166"/>
        <item x="145"/>
        <item x="79"/>
        <item x="216"/>
        <item x="165"/>
        <item x="101"/>
        <item x="199"/>
        <item x="409"/>
        <item x="386"/>
        <item x="138"/>
        <item x="27"/>
        <item x="65"/>
        <item x="304"/>
        <item x="94"/>
        <item x="97"/>
        <item x="5"/>
        <item x="127"/>
        <item x="229"/>
        <item x="180"/>
        <item x="13"/>
        <item x="206"/>
        <item x="233"/>
        <item x="55"/>
        <item x="7"/>
        <item x="22"/>
        <item x="62"/>
        <item x="4"/>
        <item x="8"/>
        <item x="245"/>
        <item x="148"/>
        <item x="249"/>
        <item x="313"/>
        <item x="328"/>
        <item x="346"/>
        <item x="93"/>
        <item x="200"/>
        <item x="6"/>
        <item x="103"/>
        <item x="133"/>
        <item x="59"/>
        <item x="355"/>
        <item x="241"/>
        <item x="334"/>
        <item x="196"/>
        <item x="113"/>
        <item x="85"/>
        <item x="139"/>
        <item x="232"/>
        <item x="407"/>
        <item x="204"/>
        <item x="320"/>
        <item x="23"/>
        <item x="3"/>
        <item x="149"/>
        <item x="311"/>
        <item x="177"/>
        <item x="173"/>
        <item x="370"/>
        <item x="244"/>
        <item x="294"/>
        <item x="213"/>
        <item x="34"/>
        <item x="207"/>
        <item x="335"/>
        <item x="234"/>
        <item x="15"/>
        <item x="98"/>
        <item x="184"/>
        <item x="160"/>
        <item x="81"/>
        <item x="331"/>
        <item x="24"/>
        <item x="115"/>
        <item x="188"/>
        <item x="131"/>
        <item x="10"/>
        <item x="333"/>
        <item x="95"/>
        <item x="66"/>
        <item x="342"/>
        <item x="92"/>
        <item x="164"/>
        <item x="277"/>
        <item x="17"/>
        <item x="372"/>
        <item x="123"/>
        <item x="352"/>
        <item x="191"/>
        <item x="9"/>
        <item x="356"/>
        <item x="74"/>
        <item x="211"/>
        <item x="376"/>
        <item x="243"/>
        <item x="357"/>
        <item x="11"/>
        <item x="399"/>
        <item x="366"/>
        <item x="132"/>
        <item x="100"/>
        <item x="369"/>
        <item x="130"/>
        <item x="332"/>
        <item x="348"/>
        <item x="183"/>
        <item x="275"/>
        <item x="282"/>
        <item x="380"/>
        <item x="293"/>
        <item x="240"/>
        <item x="2"/>
        <item x="338"/>
        <item x="235"/>
        <item x="322"/>
        <item x="402"/>
        <item x="51"/>
        <item x="102"/>
        <item x="316"/>
        <item x="20"/>
        <item x="172"/>
        <item x="104"/>
        <item x="181"/>
        <item x="63"/>
        <item x="193"/>
        <item x="162"/>
        <item x="109"/>
        <item x="345"/>
        <item x="401"/>
        <item x="70"/>
        <item x="290"/>
        <item x="374"/>
        <item x="105"/>
        <item x="360"/>
        <item x="237"/>
        <item x="106"/>
        <item x="108"/>
        <item x="381"/>
        <item x="220"/>
        <item x="174"/>
        <item x="83"/>
        <item x="349"/>
        <item x="21"/>
        <item x="353"/>
        <item x="341"/>
        <item x="39"/>
        <item x="99"/>
        <item x="279"/>
        <item x="48"/>
        <item x="126"/>
        <item x="238"/>
        <item x="273"/>
        <item x="363"/>
        <item x="107"/>
        <item x="297"/>
        <item x="337"/>
        <item x="67"/>
        <item x="147"/>
        <item x="327"/>
        <item x="318"/>
        <item x="118"/>
        <item x="239"/>
        <item x="35"/>
        <item x="278"/>
        <item x="157"/>
        <item x="84"/>
        <item x="151"/>
        <item x="383"/>
        <item x="194"/>
        <item x="128"/>
        <item x="387"/>
        <item x="192"/>
        <item x="125"/>
        <item x="37"/>
        <item x="267"/>
        <item x="307"/>
        <item x="280"/>
        <item x="343"/>
        <item x="262"/>
        <item x="400"/>
        <item x="60"/>
        <item x="371"/>
        <item x="76"/>
        <item x="251"/>
        <item x="375"/>
        <item x="212"/>
        <item x="185"/>
        <item x="91"/>
        <item x="301"/>
        <item x="38"/>
        <item x="344"/>
        <item x="391"/>
        <item x="368"/>
        <item x="339"/>
        <item x="152"/>
        <item x="50"/>
        <item x="358"/>
        <item x="46"/>
        <item x="82"/>
        <item x="404"/>
        <item x="111"/>
        <item x="378"/>
        <item x="305"/>
        <item x="254"/>
        <item x="209"/>
        <item x="175"/>
        <item x="397"/>
        <item x="75"/>
        <item x="158"/>
        <item x="40"/>
        <item x="385"/>
        <item x="365"/>
        <item x="49"/>
        <item x="291"/>
        <item x="274"/>
        <item x="77"/>
        <item x="395"/>
        <item x="56"/>
        <item x="86"/>
        <item x="250"/>
        <item x="89"/>
        <item x="72"/>
        <item x="373"/>
        <item x="392"/>
        <item x="190"/>
        <item x="268"/>
        <item x="323"/>
        <item x="321"/>
        <item x="271"/>
        <item x="287"/>
        <item x="330"/>
        <item x="405"/>
        <item x="393"/>
        <item x="403"/>
        <item x="52"/>
        <item x="45"/>
        <item x="64"/>
        <item x="96"/>
        <item x="292"/>
        <item x="69"/>
        <item x="18"/>
        <item x="53"/>
        <item x="362"/>
        <item x="71"/>
        <item x="54"/>
        <item x="176"/>
        <item x="110"/>
        <item x="88"/>
        <item x="214"/>
        <item x="384"/>
        <item x="156"/>
        <item x="350"/>
        <item x="359"/>
        <item x="389"/>
        <item x="390"/>
        <item x="257"/>
        <item x="116"/>
        <item x="354"/>
        <item x="195"/>
        <item x="78"/>
        <item x="284"/>
        <item x="255"/>
        <item x="246"/>
        <item x="361"/>
        <item x="351"/>
        <item x="266"/>
        <item x="326"/>
        <item x="202"/>
        <item x="364"/>
        <item x="186"/>
        <item x="283"/>
        <item x="114"/>
        <item x="270"/>
        <item x="325"/>
        <item x="44"/>
        <item x="347"/>
        <item x="377"/>
        <item x="398"/>
        <item x="260"/>
        <item x="73"/>
        <item x="269"/>
        <item x="286"/>
        <item x="276"/>
        <item x="263"/>
        <item x="379"/>
        <item x="47"/>
        <item x="159"/>
        <item x="261"/>
        <item x="285"/>
        <item x="324"/>
        <item x="289"/>
        <item x="258"/>
        <item x="299"/>
        <item x="264"/>
        <item x="265"/>
        <item x="288"/>
        <item x="41"/>
        <item x="155"/>
        <item x="247"/>
        <item x="388"/>
        <item x="281"/>
        <item x="340"/>
        <item x="259"/>
        <item x="122"/>
        <item x="230"/>
        <item x="382"/>
        <item x="80"/>
        <item x="300"/>
        <item x="57"/>
        <item x="396"/>
        <item x="317"/>
        <item x="394"/>
        <item x="410"/>
      </items>
    </pivotField>
    <pivotField axis="axisRow" compact="0" outline="0" showAll="0" defaultSubtotal="0">
      <items count="377">
        <item x="8"/>
        <item x="202"/>
        <item x="297"/>
        <item x="140"/>
        <item x="130"/>
        <item x="58"/>
        <item x="191"/>
        <item x="201"/>
        <item x="293"/>
        <item x="224"/>
        <item x="190"/>
        <item x="146"/>
        <item x="294"/>
        <item x="375"/>
        <item x="299"/>
        <item x="205"/>
        <item x="296"/>
        <item x="200"/>
        <item x="298"/>
        <item x="166"/>
        <item x="282"/>
        <item x="31"/>
        <item x="203"/>
        <item x="126"/>
        <item x="195"/>
        <item x="290"/>
        <item x="177"/>
        <item x="251"/>
        <item x="128"/>
        <item x="187"/>
        <item x="173"/>
        <item x="0"/>
        <item x="125"/>
        <item x="117"/>
        <item x="199"/>
        <item x="220"/>
        <item x="30"/>
        <item x="193"/>
        <item x="283"/>
        <item x="227"/>
        <item x="284"/>
        <item x="17"/>
        <item x="305"/>
        <item x="197"/>
        <item x="250"/>
        <item x="120"/>
        <item x="181"/>
        <item x="127"/>
        <item x="23"/>
        <item x="121"/>
        <item x="26"/>
        <item x="289"/>
        <item x="24"/>
        <item x="113"/>
        <item x="300"/>
        <item x="74"/>
        <item x="70"/>
        <item x="302"/>
        <item x="131"/>
        <item x="27"/>
        <item x="198"/>
        <item x="301"/>
        <item x="97"/>
        <item x="29"/>
        <item x="18"/>
        <item x="155"/>
        <item x="104"/>
        <item x="134"/>
        <item x="109"/>
        <item x="194"/>
        <item x="341"/>
        <item x="133"/>
        <item x="28"/>
        <item x="278"/>
        <item x="317"/>
        <item x="179"/>
        <item x="129"/>
        <item x="135"/>
        <item x="36"/>
        <item x="19"/>
        <item x="285"/>
        <item x="10"/>
        <item x="156"/>
        <item x="81"/>
        <item x="95"/>
        <item x="9"/>
        <item x="192"/>
        <item x="277"/>
        <item x="21"/>
        <item x="148"/>
        <item x="183"/>
        <item x="208"/>
        <item x="65"/>
        <item x="174"/>
        <item x="91"/>
        <item x="25"/>
        <item x="164"/>
        <item x="291"/>
        <item x="209"/>
        <item x="136"/>
        <item x="32"/>
        <item x="368"/>
        <item x="87"/>
        <item x="5"/>
        <item x="119"/>
        <item x="218"/>
        <item x="157"/>
        <item x="12"/>
        <item x="159"/>
        <item x="110"/>
        <item x="275"/>
        <item x="85"/>
        <item x="55"/>
        <item x="124"/>
        <item x="4"/>
        <item x="132"/>
        <item x="13"/>
        <item x="215"/>
        <item x="216"/>
        <item x="158"/>
        <item x="22"/>
        <item x="7"/>
        <item x="168"/>
        <item x="138"/>
        <item x="149"/>
        <item x="176"/>
        <item x="246"/>
        <item x="6"/>
        <item x="228"/>
        <item x="175"/>
        <item x="11"/>
        <item x="204"/>
        <item x="106"/>
        <item x="33"/>
        <item x="306"/>
        <item x="122"/>
        <item x="307"/>
        <item x="335"/>
        <item x="1"/>
        <item x="151"/>
        <item x="276"/>
        <item x="20"/>
        <item x="281"/>
        <item x="145"/>
        <item x="68"/>
        <item x="188"/>
        <item x="238"/>
        <item x="320"/>
        <item x="93"/>
        <item x="88"/>
        <item x="147"/>
        <item x="313"/>
        <item x="165"/>
        <item x="161"/>
        <item x="3"/>
        <item x="346"/>
        <item x="321"/>
        <item x="367"/>
        <item x="345"/>
        <item x="364"/>
        <item x="370"/>
        <item x="210"/>
        <item x="236"/>
        <item x="61"/>
        <item x="72"/>
        <item x="15"/>
        <item x="348"/>
        <item x="336"/>
        <item x="14"/>
        <item x="344"/>
        <item x="350"/>
        <item x="79"/>
        <item x="90"/>
        <item x="46"/>
        <item x="123"/>
        <item x="214"/>
        <item x="160"/>
        <item x="339"/>
        <item x="270"/>
        <item x="92"/>
        <item x="369"/>
        <item x="80"/>
        <item x="330"/>
        <item x="94"/>
        <item x="67"/>
        <item x="108"/>
        <item x="366"/>
        <item x="184"/>
        <item x="35"/>
        <item x="322"/>
        <item x="256"/>
        <item x="308"/>
        <item x="96"/>
        <item x="71"/>
        <item x="374"/>
        <item x="2"/>
        <item x="371"/>
        <item x="111"/>
        <item x="116"/>
        <item x="53"/>
        <item x="73"/>
        <item x="222"/>
        <item x="78"/>
        <item x="373"/>
        <item x="274"/>
        <item x="324"/>
        <item x="196"/>
        <item x="89"/>
        <item x="260"/>
        <item x="152"/>
        <item x="206"/>
        <item x="267"/>
        <item x="100"/>
        <item x="334"/>
        <item x="34"/>
        <item x="99"/>
        <item x="137"/>
        <item x="262"/>
        <item x="273"/>
        <item x="41"/>
        <item x="212"/>
        <item x="150"/>
        <item x="49"/>
        <item x="142"/>
        <item x="257"/>
        <item x="64"/>
        <item x="295"/>
        <item x="323"/>
        <item x="185"/>
        <item x="213"/>
        <item x="365"/>
        <item x="316"/>
        <item x="304"/>
        <item x="114"/>
        <item x="261"/>
        <item x="182"/>
        <item x="235"/>
        <item x="139"/>
        <item x="75"/>
        <item x="59"/>
        <item x="118"/>
        <item x="63"/>
        <item x="169"/>
        <item x="327"/>
        <item x="143"/>
        <item x="244"/>
        <item x="337"/>
        <item x="163"/>
        <item x="211"/>
        <item x="263"/>
        <item x="258"/>
        <item x="325"/>
        <item x="354"/>
        <item x="358"/>
        <item x="54"/>
        <item x="243"/>
        <item x="170"/>
        <item x="86"/>
        <item x="328"/>
        <item x="60"/>
        <item x="331"/>
        <item x="103"/>
        <item x="372"/>
        <item x="101"/>
        <item x="186"/>
        <item x="48"/>
        <item x="319"/>
        <item x="98"/>
        <item x="153"/>
        <item x="288"/>
        <item x="362"/>
        <item x="84"/>
        <item x="292"/>
        <item x="107"/>
        <item x="252"/>
        <item x="225"/>
        <item x="223"/>
        <item x="318"/>
        <item x="47"/>
        <item x="180"/>
        <item x="171"/>
        <item x="66"/>
        <item x="343"/>
        <item x="359"/>
        <item x="230"/>
        <item x="167"/>
        <item x="253"/>
        <item x="37"/>
        <item x="255"/>
        <item x="249"/>
        <item x="356"/>
        <item x="347"/>
        <item x="50"/>
        <item x="309"/>
        <item x="310"/>
        <item x="340"/>
        <item x="56"/>
        <item x="45"/>
        <item x="279"/>
        <item x="83"/>
        <item x="245"/>
        <item x="221"/>
        <item x="16"/>
        <item x="44"/>
        <item x="62"/>
        <item x="51"/>
        <item x="353"/>
        <item x="52"/>
        <item x="154"/>
        <item x="332"/>
        <item x="357"/>
        <item x="141"/>
        <item x="338"/>
        <item x="352"/>
        <item x="312"/>
        <item x="82"/>
        <item x="280"/>
        <item x="189"/>
        <item x="112"/>
        <item x="315"/>
        <item x="102"/>
        <item x="268"/>
        <item x="226"/>
        <item x="178"/>
        <item x="269"/>
        <item x="333"/>
        <item x="239"/>
        <item x="76"/>
        <item x="241"/>
        <item x="240"/>
        <item x="229"/>
        <item x="217"/>
        <item x="242"/>
        <item x="42"/>
        <item x="172"/>
        <item x="342"/>
        <item x="162"/>
        <item x="363"/>
        <item x="207"/>
        <item x="39"/>
        <item x="105"/>
        <item x="40"/>
        <item x="266"/>
        <item x="314"/>
        <item x="329"/>
        <item x="248"/>
        <item x="69"/>
        <item x="265"/>
        <item x="349"/>
        <item x="233"/>
        <item x="115"/>
        <item x="259"/>
        <item x="144"/>
        <item x="43"/>
        <item x="247"/>
        <item x="237"/>
        <item x="231"/>
        <item x="254"/>
        <item x="38"/>
        <item x="234"/>
        <item x="311"/>
        <item x="355"/>
        <item x="271"/>
        <item x="286"/>
        <item x="272"/>
        <item x="219"/>
        <item x="351"/>
        <item x="326"/>
        <item x="264"/>
        <item x="232"/>
        <item x="303"/>
        <item x="77"/>
        <item x="287"/>
        <item x="57"/>
        <item x="361"/>
        <item x="360"/>
        <item x="376"/>
      </items>
    </pivotField>
    <pivotField axis="axisRow" compact="0" outline="0" showAll="0" defaultSubtotal="0">
      <items count="2">
        <item x="0"/>
        <item x="1"/>
      </items>
    </pivotField>
    <pivotField axis="axisRow" compact="0" outline="0" showAll="0" defaultSubtotal="0">
      <items count="1006">
        <item x="1"/>
        <item x="951"/>
        <item x="102"/>
        <item x="871"/>
        <item x="226"/>
        <item x="731"/>
        <item x="39"/>
        <item x="768"/>
        <item x="767"/>
        <item x="38"/>
        <item x="36"/>
        <item x="446"/>
        <item x="513"/>
        <item x="51"/>
        <item x="375"/>
        <item x="43"/>
        <item x="512"/>
        <item x="197"/>
        <item x="30"/>
        <item x="164"/>
        <item x="37"/>
        <item x="111"/>
        <item x="159"/>
        <item x="126"/>
        <item x="829"/>
        <item x="145"/>
        <item x="196"/>
        <item x="730"/>
        <item x="77"/>
        <item x="267"/>
        <item x="33"/>
        <item x="34"/>
        <item x="180"/>
        <item x="35"/>
        <item x="61"/>
        <item x="294"/>
        <item x="312"/>
        <item x="134"/>
        <item x="118"/>
        <item x="181"/>
        <item x="220"/>
        <item x="516"/>
        <item x="412"/>
        <item x="444"/>
        <item x="169"/>
        <item x="378"/>
        <item x="114"/>
        <item x="18"/>
        <item x="147"/>
        <item x="221"/>
        <item x="103"/>
        <item x="354"/>
        <item x="423"/>
        <item x="160"/>
        <item x="527"/>
        <item x="225"/>
        <item x="148"/>
        <item x="755"/>
        <item x="553"/>
        <item x="810"/>
        <item x="212"/>
        <item x="13"/>
        <item x="47"/>
        <item x="524"/>
        <item x="98"/>
        <item x="92"/>
        <item x="162"/>
        <item x="125"/>
        <item x="440"/>
        <item x="132"/>
        <item x="408"/>
        <item x="166"/>
        <item x="470"/>
        <item x="399"/>
        <item x="131"/>
        <item x="31"/>
        <item x="20"/>
        <item x="460"/>
        <item x="161"/>
        <item x="99"/>
        <item x="124"/>
        <item x="777"/>
        <item x="54"/>
        <item x="44"/>
        <item x="138"/>
        <item x="380"/>
        <item x="127"/>
        <item x="775"/>
        <item x="128"/>
        <item x="107"/>
        <item x="129"/>
        <item x="195"/>
        <item x="116"/>
        <item x="445"/>
        <item x="724"/>
        <item x="32"/>
        <item x="659"/>
        <item x="743"/>
        <item x="515"/>
        <item x="683"/>
        <item x="154"/>
        <item x="178"/>
        <item x="565"/>
        <item x="561"/>
        <item x="19"/>
        <item x="439"/>
        <item x="108"/>
        <item x="658"/>
        <item x="153"/>
        <item x="86"/>
        <item x="447"/>
        <item x="15"/>
        <item x="405"/>
        <item x="93"/>
        <item x="3"/>
        <item x="483"/>
        <item x="307"/>
        <item x="101"/>
        <item x="100"/>
        <item x="188"/>
        <item x="40"/>
        <item x="81"/>
        <item x="14"/>
        <item x="119"/>
        <item x="25"/>
        <item x="49"/>
        <item x="170"/>
        <item x="123"/>
        <item x="109"/>
        <item x="506"/>
        <item x="179"/>
        <item x="254"/>
        <item x="207"/>
        <item x="130"/>
        <item x="136"/>
        <item x="151"/>
        <item x="349"/>
        <item x="268"/>
        <item x="163"/>
        <item x="398"/>
        <item x="167"/>
        <item x="171"/>
        <item x="144"/>
        <item x="152"/>
        <item x="215"/>
        <item x="371"/>
        <item x="82"/>
        <item x="808"/>
        <item x="546"/>
        <item x="142"/>
        <item x="800"/>
        <item x="146"/>
        <item x="122"/>
        <item x="760"/>
        <item x="120"/>
        <item x="502"/>
        <item x="754"/>
        <item x="891"/>
        <item x="22"/>
        <item x="697"/>
        <item x="193"/>
        <item x="900"/>
        <item x="560"/>
        <item x="356"/>
        <item x="357"/>
        <item x="210"/>
        <item x="42"/>
        <item x="243"/>
        <item x="70"/>
        <item x="113"/>
        <item x="231"/>
        <item x="217"/>
        <item x="219"/>
        <item x="276"/>
        <item x="56"/>
        <item x="366"/>
        <item x="121"/>
        <item x="133"/>
        <item x="807"/>
        <item x="725"/>
        <item x="112"/>
        <item x="766"/>
        <item x="192"/>
        <item x="137"/>
        <item x="183"/>
        <item x="155"/>
        <item x="94"/>
        <item x="598"/>
        <item x="53"/>
        <item x="87"/>
        <item x="468"/>
        <item x="640"/>
        <item x="525"/>
        <item x="186"/>
        <item x="66"/>
        <item x="377"/>
        <item x="72"/>
        <item x="968"/>
        <item x="595"/>
        <item x="104"/>
        <item x="627"/>
        <item x="711"/>
        <item x="339"/>
        <item x="7"/>
        <item x="10"/>
        <item x="97"/>
        <item x="796"/>
        <item x="67"/>
        <item x="9"/>
        <item x="601"/>
        <item x="874"/>
        <item x="685"/>
        <item x="753"/>
        <item x="602"/>
        <item x="135"/>
        <item x="74"/>
        <item x="190"/>
        <item x="402"/>
        <item x="716"/>
        <item x="476"/>
        <item x="143"/>
        <item x="566"/>
        <item x="415"/>
        <item x="441"/>
        <item x="117"/>
        <item x="407"/>
        <item x="381"/>
        <item x="921"/>
        <item x="944"/>
        <item x="21"/>
        <item x="547"/>
        <item x="383"/>
        <item x="185"/>
        <item x="751"/>
        <item x="79"/>
        <item x="279"/>
        <item x="559"/>
        <item x="336"/>
        <item x="410"/>
        <item x="191"/>
        <item x="923"/>
        <item x="773"/>
        <item x="795"/>
        <item x="729"/>
        <item x="549"/>
        <item x="889"/>
        <item x="517"/>
        <item x="792"/>
        <item x="629"/>
        <item x="90"/>
        <item x="933"/>
        <item x="538"/>
        <item x="141"/>
        <item x="84"/>
        <item x="156"/>
        <item x="714"/>
        <item x="523"/>
        <item x="403"/>
        <item x="518"/>
        <item x="628"/>
        <item x="16"/>
        <item x="68"/>
        <item x="83"/>
        <item x="793"/>
        <item x="28"/>
        <item x="105"/>
        <item x="621"/>
        <item x="562"/>
        <item x="205"/>
        <item x="442"/>
        <item x="747"/>
        <item x="914"/>
        <item x="865"/>
        <item x="1004"/>
        <item x="280"/>
        <item x="594"/>
        <item x="526"/>
        <item x="95"/>
        <item x="106"/>
        <item x="615"/>
        <item x="519"/>
        <item x="505"/>
        <item x="400"/>
        <item x="854"/>
        <item x="204"/>
        <item x="60"/>
        <item x="667"/>
        <item x="897"/>
        <item x="555"/>
        <item x="918"/>
        <item x="528"/>
        <item x="422"/>
        <item x="187"/>
        <item x="2"/>
        <item x="414"/>
        <item x="576"/>
        <item x="544"/>
        <item x="227"/>
        <item x="945"/>
        <item x="662"/>
        <item x="668"/>
        <item x="255"/>
        <item x="507"/>
        <item x="637"/>
        <item x="203"/>
        <item x="452"/>
        <item x="757"/>
        <item x="139"/>
        <item x="406"/>
        <item x="763"/>
        <item x="384"/>
        <item x="266"/>
        <item x="701"/>
        <item x="514"/>
        <item x="352"/>
        <item x="545"/>
        <item x="376"/>
        <item x="756"/>
        <item x="848"/>
        <item x="428"/>
        <item x="543"/>
        <item x="253"/>
        <item x="732"/>
        <item x="17"/>
        <item x="840"/>
        <item x="150"/>
        <item x="563"/>
        <item x="432"/>
        <item x="12"/>
        <item x="604"/>
        <item x="665"/>
        <item x="670"/>
        <item x="372"/>
        <item x="373"/>
        <item x="189"/>
        <item x="833"/>
        <item x="826"/>
        <item x="421"/>
        <item x="646"/>
        <item x="165"/>
        <item x="522"/>
        <item x="580"/>
        <item x="987"/>
        <item x="355"/>
        <item x="50"/>
        <item x="883"/>
        <item x="839"/>
        <item x="46"/>
        <item x="389"/>
        <item x="554"/>
        <item x="238"/>
        <item x="890"/>
        <item x="638"/>
        <item x="904"/>
        <item x="794"/>
        <item x="924"/>
        <item x="229"/>
        <item x="76"/>
        <item x="603"/>
        <item x="657"/>
        <item x="296"/>
        <item x="397"/>
        <item x="382"/>
        <item x="4"/>
        <item x="872"/>
        <item x="542"/>
        <item x="58"/>
        <item x="71"/>
        <item x="5"/>
        <item x="749"/>
        <item x="425"/>
        <item x="11"/>
        <item x="913"/>
        <item x="91"/>
        <item x="682"/>
        <item x="149"/>
        <item x="558"/>
        <item x="489"/>
        <item x="209"/>
        <item x="837"/>
        <item x="780"/>
        <item x="413"/>
        <item x="906"/>
        <item x="710"/>
        <item x="645"/>
        <item x="437"/>
        <item x="218"/>
        <item x="325"/>
        <item x="62"/>
        <item x="811"/>
        <item x="416"/>
        <item x="846"/>
        <item x="932"/>
        <item x="633"/>
        <item x="733"/>
        <item x="184"/>
        <item x="388"/>
        <item x="849"/>
        <item x="457"/>
        <item x="509"/>
        <item x="750"/>
        <item x="110"/>
        <item x="24"/>
        <item x="358"/>
        <item x="434"/>
        <item x="985"/>
        <item x="140"/>
        <item x="511"/>
        <item x="781"/>
        <item x="401"/>
        <item x="884"/>
        <item x="567"/>
        <item x="541"/>
        <item x="787"/>
        <item x="338"/>
        <item x="805"/>
        <item x="569"/>
        <item x="479"/>
        <item x="832"/>
        <item x="329"/>
        <item x="481"/>
        <item x="588"/>
        <item x="988"/>
        <item x="765"/>
        <item x="23"/>
        <item x="998"/>
        <item x="115"/>
        <item x="949"/>
        <item x="48"/>
        <item x="745"/>
        <item x="55"/>
        <item x="0"/>
        <item x="962"/>
        <item x="911"/>
        <item x="240"/>
        <item x="540"/>
        <item x="508"/>
        <item x="85"/>
        <item x="241"/>
        <item x="593"/>
        <item x="579"/>
        <item x="65"/>
        <item x="499"/>
        <item x="776"/>
        <item x="922"/>
        <item x="430"/>
        <item x="211"/>
        <item x="286"/>
        <item x="63"/>
        <item x="748"/>
        <item x="912"/>
        <item x="504"/>
        <item x="744"/>
        <item x="345"/>
        <item x="386"/>
        <item x="418"/>
        <item x="582"/>
        <item x="242"/>
        <item x="587"/>
        <item x="73"/>
        <item x="26"/>
        <item x="41"/>
        <item x="157"/>
        <item x="551"/>
        <item x="200"/>
        <item x="335"/>
        <item x="586"/>
        <item x="614"/>
        <item x="431"/>
        <item x="851"/>
        <item x="742"/>
        <item x="885"/>
        <item x="681"/>
        <item x="404"/>
        <item x="533"/>
        <item x="433"/>
        <item x="246"/>
        <item x="265"/>
        <item x="302"/>
        <item x="769"/>
        <item x="548"/>
        <item x="334"/>
        <item x="550"/>
        <item x="27"/>
        <item x="577"/>
        <item x="223"/>
        <item x="333"/>
        <item x="311"/>
        <item x="888"/>
        <item x="778"/>
        <item x="916"/>
        <item x="387"/>
        <item x="869"/>
        <item x="168"/>
        <item x="875"/>
        <item x="928"/>
        <item x="213"/>
        <item x="956"/>
        <item x="206"/>
        <item x="680"/>
        <item x="277"/>
        <item x="261"/>
        <item x="704"/>
        <item x="958"/>
        <item x="815"/>
        <item x="803"/>
        <item x="57"/>
        <item x="661"/>
        <item x="570"/>
        <item x="917"/>
        <item x="303"/>
        <item x="857"/>
        <item x="892"/>
        <item x="905"/>
        <item x="564"/>
        <item x="420"/>
        <item x="895"/>
        <item x="419"/>
        <item x="575"/>
        <item x="814"/>
        <item x="455"/>
        <item x="69"/>
        <item x="782"/>
        <item x="850"/>
        <item x="274"/>
        <item x="791"/>
        <item x="719"/>
        <item x="666"/>
        <item x="298"/>
        <item x="703"/>
        <item x="214"/>
        <item x="394"/>
        <item x="80"/>
        <item x="304"/>
        <item x="251"/>
        <item x="291"/>
        <item x="827"/>
        <item x="271"/>
        <item x="194"/>
        <item x="959"/>
        <item x="746"/>
        <item x="8"/>
        <item x="158"/>
        <item x="950"/>
        <item x="954"/>
        <item x="734"/>
        <item x="940"/>
        <item x="915"/>
        <item x="600"/>
        <item x="501"/>
        <item x="831"/>
        <item x="443"/>
        <item x="824"/>
        <item x="870"/>
        <item x="172"/>
        <item x="585"/>
        <item x="825"/>
        <item x="694"/>
        <item x="282"/>
        <item x="318"/>
        <item x="953"/>
        <item x="463"/>
        <item x="713"/>
        <item x="992"/>
        <item x="273"/>
        <item x="332"/>
        <item x="779"/>
        <item x="771"/>
        <item x="991"/>
        <item x="969"/>
        <item x="199"/>
        <item x="249"/>
        <item x="557"/>
        <item x="878"/>
        <item x="655"/>
        <item x="409"/>
        <item x="981"/>
        <item x="762"/>
        <item x="521"/>
        <item x="717"/>
        <item x="350"/>
        <item x="370"/>
        <item x="994"/>
        <item x="823"/>
        <item x="96"/>
        <item x="920"/>
        <item x="59"/>
        <item x="980"/>
        <item x="484"/>
        <item x="597"/>
        <item x="534"/>
        <item x="863"/>
        <item x="842"/>
        <item x="669"/>
        <item x="320"/>
        <item x="574"/>
        <item x="974"/>
        <item x="759"/>
        <item x="966"/>
        <item x="351"/>
        <item x="327"/>
        <item x="396"/>
        <item x="999"/>
        <item x="272"/>
        <item x="224"/>
        <item x="556"/>
        <item x="411"/>
        <item x="802"/>
        <item x="635"/>
        <item x="257"/>
        <item x="568"/>
        <item x="529"/>
        <item x="973"/>
        <item x="886"/>
        <item x="858"/>
        <item x="6"/>
        <item x="360"/>
        <item x="536"/>
        <item x="721"/>
        <item x="937"/>
        <item x="695"/>
        <item x="907"/>
        <item x="326"/>
        <item x="908"/>
        <item x="893"/>
        <item x="426"/>
        <item x="689"/>
        <item x="764"/>
        <item x="424"/>
        <item x="864"/>
        <item x="727"/>
        <item x="684"/>
        <item x="374"/>
        <item x="786"/>
        <item x="368"/>
        <item x="64"/>
        <item x="346"/>
        <item x="673"/>
        <item x="297"/>
        <item x="353"/>
        <item x="718"/>
        <item x="264"/>
        <item x="258"/>
        <item x="961"/>
        <item x="477"/>
        <item x="393"/>
        <item x="656"/>
        <item x="699"/>
        <item x="712"/>
        <item x="880"/>
        <item x="770"/>
        <item x="660"/>
        <item x="321"/>
        <item x="552"/>
        <item x="783"/>
        <item x="1000"/>
        <item x="201"/>
        <item x="930"/>
        <item x="835"/>
        <item x="772"/>
        <item x="611"/>
        <item x="929"/>
        <item x="591"/>
        <item x="230"/>
        <item x="612"/>
        <item x="946"/>
        <item x="995"/>
        <item x="652"/>
        <item x="982"/>
        <item x="806"/>
        <item x="510"/>
        <item x="664"/>
        <item x="896"/>
        <item x="935"/>
        <item x="619"/>
        <item x="295"/>
        <item x="340"/>
        <item x="881"/>
        <item x="337"/>
        <item x="737"/>
        <item x="702"/>
        <item x="305"/>
        <item x="301"/>
        <item x="608"/>
        <item x="328"/>
        <item x="877"/>
        <item x="947"/>
        <item x="52"/>
        <item x="464"/>
        <item x="465"/>
        <item x="578"/>
        <item x="607"/>
        <item x="797"/>
        <item x="590"/>
        <item x="348"/>
        <item x="898"/>
        <item x="480"/>
        <item x="456"/>
        <item x="310"/>
        <item x="799"/>
        <item x="798"/>
        <item x="605"/>
        <item x="789"/>
        <item x="942"/>
        <item x="931"/>
        <item x="365"/>
        <item x="978"/>
        <item x="490"/>
        <item x="292"/>
        <item x="228"/>
        <item x="319"/>
        <item x="976"/>
        <item x="531"/>
        <item x="256"/>
        <item x="726"/>
        <item x="938"/>
        <item x="641"/>
        <item x="606"/>
        <item x="609"/>
        <item x="861"/>
        <item x="174"/>
        <item x="820"/>
        <item x="785"/>
        <item x="986"/>
        <item x="989"/>
        <item x="315"/>
        <item x="774"/>
        <item x="948"/>
        <item x="706"/>
        <item x="427"/>
        <item x="492"/>
        <item x="693"/>
        <item x="364"/>
        <item x="596"/>
        <item x="901"/>
        <item x="498"/>
        <item x="879"/>
        <item x="462"/>
        <item x="967"/>
        <item x="990"/>
        <item x="488"/>
        <item x="451"/>
        <item x="475"/>
        <item x="363"/>
        <item x="997"/>
        <item x="589"/>
        <item x="984"/>
        <item x="828"/>
        <item x="860"/>
        <item x="809"/>
        <item x="620"/>
        <item x="461"/>
        <item x="626"/>
        <item x="343"/>
        <item x="709"/>
        <item x="269"/>
        <item x="816"/>
        <item x="235"/>
        <item x="925"/>
        <item x="299"/>
        <item x="176"/>
        <item x="873"/>
        <item x="202"/>
        <item x="250"/>
        <item x="450"/>
        <item x="934"/>
        <item x="1002"/>
        <item x="674"/>
        <item x="843"/>
        <item x="283"/>
        <item x="821"/>
        <item x="822"/>
        <item x="487"/>
        <item x="495"/>
        <item x="819"/>
        <item x="474"/>
        <item x="866"/>
        <item x="500"/>
        <item x="503"/>
        <item x="855"/>
        <item x="676"/>
        <item x="469"/>
        <item x="705"/>
        <item x="29"/>
        <item x="841"/>
        <item x="1003"/>
        <item x="532"/>
        <item x="88"/>
        <item x="983"/>
        <item x="417"/>
        <item x="539"/>
        <item x="584"/>
        <item x="316"/>
        <item x="616"/>
        <item x="993"/>
        <item x="491"/>
        <item x="927"/>
        <item x="322"/>
        <item x="317"/>
        <item x="448"/>
        <item x="592"/>
        <item x="672"/>
        <item x="941"/>
        <item x="482"/>
        <item x="631"/>
        <item x="330"/>
        <item x="952"/>
        <item x="876"/>
        <item x="847"/>
        <item x="653"/>
        <item x="804"/>
        <item x="738"/>
        <item x="943"/>
        <item x="344"/>
        <item x="939"/>
        <item x="599"/>
        <item x="252"/>
        <item x="583"/>
        <item x="707"/>
        <item x="735"/>
        <item x="237"/>
        <item x="698"/>
        <item x="812"/>
        <item x="259"/>
        <item x="581"/>
        <item x="836"/>
        <item x="182"/>
        <item x="971"/>
        <item x="624"/>
        <item x="648"/>
        <item x="856"/>
        <item x="208"/>
        <item x="347"/>
        <item x="936"/>
        <item x="610"/>
        <item x="926"/>
        <item x="853"/>
        <item x="288"/>
        <item x="715"/>
        <item x="960"/>
        <item x="198"/>
        <item x="458"/>
        <item x="723"/>
        <item x="758"/>
        <item x="801"/>
        <item x="89"/>
        <item x="761"/>
        <item x="78"/>
        <item x="741"/>
        <item x="882"/>
        <item x="963"/>
        <item x="1001"/>
        <item x="910"/>
        <item x="309"/>
        <item x="285"/>
        <item x="306"/>
        <item x="636"/>
        <item x="790"/>
        <item x="970"/>
        <item x="996"/>
        <item x="571"/>
        <item x="449"/>
        <item x="313"/>
        <item x="496"/>
        <item x="459"/>
        <item x="720"/>
        <item x="862"/>
        <item x="493"/>
        <item x="859"/>
        <item x="466"/>
        <item x="391"/>
        <item x="392"/>
        <item x="284"/>
        <item x="232"/>
        <item x="289"/>
        <item x="979"/>
        <item x="293"/>
        <item x="435"/>
        <item x="902"/>
        <item x="324"/>
        <item x="278"/>
        <item x="740"/>
        <item x="642"/>
        <item x="887"/>
        <item x="342"/>
        <item x="173"/>
        <item x="530"/>
        <item x="300"/>
        <item x="331"/>
        <item x="573"/>
        <item x="654"/>
        <item x="736"/>
        <item x="613"/>
        <item x="919"/>
        <item x="177"/>
        <item x="844"/>
        <item x="634"/>
        <item x="429"/>
        <item x="262"/>
        <item x="972"/>
        <item x="248"/>
        <item x="965"/>
        <item x="788"/>
        <item x="453"/>
        <item x="632"/>
        <item x="270"/>
        <item x="497"/>
        <item x="957"/>
        <item x="671"/>
        <item x="314"/>
        <item x="700"/>
        <item x="486"/>
        <item x="471"/>
        <item x="175"/>
        <item x="369"/>
        <item x="868"/>
        <item x="45"/>
        <item x="341"/>
        <item x="247"/>
        <item x="977"/>
        <item x="975"/>
        <item x="287"/>
        <item x="867"/>
        <item x="817"/>
        <item x="696"/>
        <item x="323"/>
        <item x="260"/>
        <item x="485"/>
        <item x="308"/>
        <item x="244"/>
        <item x="454"/>
        <item x="520"/>
        <item x="263"/>
        <item x="955"/>
        <item x="618"/>
        <item x="472"/>
        <item x="964"/>
        <item x="438"/>
        <item x="290"/>
        <item x="473"/>
        <item x="834"/>
        <item x="830"/>
        <item x="281"/>
        <item x="903"/>
        <item x="245"/>
        <item x="494"/>
        <item x="818"/>
        <item x="845"/>
        <item x="813"/>
        <item x="572"/>
        <item x="395"/>
        <item x="623"/>
        <item x="722"/>
        <item x="275"/>
        <item x="650"/>
        <item x="478"/>
        <item x="708"/>
        <item x="75"/>
        <item x="679"/>
        <item x="467"/>
        <item x="234"/>
        <item x="367"/>
        <item x="909"/>
        <item x="617"/>
        <item x="239"/>
        <item x="728"/>
        <item x="687"/>
        <item x="784"/>
        <item x="752"/>
        <item x="222"/>
        <item x="625"/>
        <item x="675"/>
        <item x="216"/>
        <item x="677"/>
        <item x="663"/>
        <item x="692"/>
        <item x="537"/>
        <item x="630"/>
        <item x="852"/>
        <item x="236"/>
        <item x="690"/>
        <item x="647"/>
        <item x="436"/>
        <item x="379"/>
        <item x="362"/>
        <item x="739"/>
        <item x="390"/>
        <item x="535"/>
        <item x="359"/>
        <item x="361"/>
        <item x="678"/>
        <item x="686"/>
        <item x="622"/>
        <item x="691"/>
        <item x="644"/>
        <item x="688"/>
        <item x="894"/>
        <item x="385"/>
        <item x="649"/>
        <item x="899"/>
        <item x="233"/>
        <item x="838"/>
        <item x="651"/>
        <item x="643"/>
        <item x="639"/>
        <item x="1005"/>
      </items>
    </pivotField>
    <pivotField axis="axisPage" compact="0" outline="0" showAll="0" defaultSubtotal="0">
      <items count="201">
        <item x="130"/>
        <item x="42"/>
        <item x="151"/>
        <item x="112"/>
        <item x="142"/>
        <item x="1"/>
        <item x="104"/>
        <item x="158"/>
        <item x="67"/>
        <item x="189"/>
        <item x="97"/>
        <item x="62"/>
        <item x="76"/>
        <item x="27"/>
        <item x="54"/>
        <item x="22"/>
        <item x="185"/>
        <item x="11"/>
        <item x="162"/>
        <item x="2"/>
        <item x="180"/>
        <item x="92"/>
        <item x="131"/>
        <item x="89"/>
        <item x="65"/>
        <item x="52"/>
        <item x="86"/>
        <item x="43"/>
        <item x="21"/>
        <item x="94"/>
        <item x="30"/>
        <item x="53"/>
        <item x="157"/>
        <item x="55"/>
        <item x="23"/>
        <item x="166"/>
        <item x="154"/>
        <item x="146"/>
        <item x="165"/>
        <item x="122"/>
        <item x="110"/>
        <item x="37"/>
        <item x="57"/>
        <item x="156"/>
        <item x="171"/>
        <item x="108"/>
        <item x="74"/>
        <item x="101"/>
        <item x="45"/>
        <item x="161"/>
        <item x="150"/>
        <item x="4"/>
        <item x="78"/>
        <item x="111"/>
        <item x="186"/>
        <item x="68"/>
        <item x="26"/>
        <item x="83"/>
        <item x="181"/>
        <item x="87"/>
        <item x="144"/>
        <item x="192"/>
        <item x="59"/>
        <item x="49"/>
        <item x="81"/>
        <item x="19"/>
        <item x="28"/>
        <item x="196"/>
        <item x="141"/>
        <item x="33"/>
        <item x="79"/>
        <item x="20"/>
        <item x="103"/>
        <item x="82"/>
        <item x="15"/>
        <item x="182"/>
        <item x="174"/>
        <item x="119"/>
        <item x="121"/>
        <item x="63"/>
        <item x="114"/>
        <item x="48"/>
        <item x="113"/>
        <item x="10"/>
        <item x="188"/>
        <item x="77"/>
        <item x="17"/>
        <item x="115"/>
        <item x="187"/>
        <item x="39"/>
        <item x="172"/>
        <item x="170"/>
        <item x="16"/>
        <item x="126"/>
        <item x="167"/>
        <item x="84"/>
        <item x="194"/>
        <item x="159"/>
        <item x="176"/>
        <item x="35"/>
        <item x="95"/>
        <item x="145"/>
        <item x="32"/>
        <item x="191"/>
        <item x="140"/>
        <item x="155"/>
        <item x="70"/>
        <item x="40"/>
        <item x="116"/>
        <item x="164"/>
        <item x="85"/>
        <item x="197"/>
        <item x="147"/>
        <item x="153"/>
        <item x="128"/>
        <item x="118"/>
        <item x="5"/>
        <item x="132"/>
        <item x="46"/>
        <item x="31"/>
        <item x="127"/>
        <item x="106"/>
        <item x="123"/>
        <item x="60"/>
        <item x="47"/>
        <item x="149"/>
        <item x="75"/>
        <item x="125"/>
        <item x="198"/>
        <item x="184"/>
        <item x="61"/>
        <item x="107"/>
        <item x="80"/>
        <item x="136"/>
        <item x="134"/>
        <item x="71"/>
        <item x="29"/>
        <item x="98"/>
        <item x="175"/>
        <item x="93"/>
        <item x="195"/>
        <item x="58"/>
        <item x="133"/>
        <item x="24"/>
        <item x="13"/>
        <item x="102"/>
        <item x="88"/>
        <item x="160"/>
        <item x="143"/>
        <item x="120"/>
        <item x="169"/>
        <item x="38"/>
        <item x="0"/>
        <item x="91"/>
        <item x="12"/>
        <item x="25"/>
        <item x="3"/>
        <item x="179"/>
        <item x="117"/>
        <item x="66"/>
        <item x="8"/>
        <item x="14"/>
        <item x="135"/>
        <item x="178"/>
        <item x="124"/>
        <item x="100"/>
        <item x="137"/>
        <item x="72"/>
        <item x="109"/>
        <item x="139"/>
        <item x="163"/>
        <item x="183"/>
        <item x="51"/>
        <item x="90"/>
        <item x="64"/>
        <item x="7"/>
        <item x="152"/>
        <item x="105"/>
        <item x="138"/>
        <item x="199"/>
        <item x="96"/>
        <item x="9"/>
        <item x="6"/>
        <item x="173"/>
        <item x="73"/>
        <item x="18"/>
        <item x="168"/>
        <item x="190"/>
        <item x="129"/>
        <item x="36"/>
        <item x="56"/>
        <item x="41"/>
        <item x="44"/>
        <item x="148"/>
        <item x="177"/>
        <item x="193"/>
        <item x="50"/>
        <item x="99"/>
        <item x="69"/>
        <item x="200"/>
        <item x="34"/>
      </items>
    </pivotField>
    <pivotField compact="0" outline="0" showAll="0" defaultSubtotal="0"/>
  </pivotFields>
  <rowFields count="13">
    <field x="0"/>
    <field x="1"/>
    <field x="2"/>
    <field x="3"/>
    <field x="4"/>
    <field x="5"/>
    <field x="6"/>
    <field x="7"/>
    <field x="8"/>
    <field x="9"/>
    <field x="10"/>
    <field x="11"/>
    <field x="12"/>
  </rowFields>
  <rowItems count="15">
    <i>
      <x v="177"/>
      <x v="177"/>
      <x/>
      <x/>
      <x/>
      <x/>
      <x/>
      <x/>
      <x/>
      <x/>
      <x/>
      <x/>
      <x/>
    </i>
    <i>
      <x v="292"/>
      <x v="292"/>
      <x v="39"/>
      <x v="68"/>
      <x v="88"/>
      <x/>
      <x/>
      <x v="67"/>
      <x/>
      <x/>
      <x/>
      <x/>
      <x v="51"/>
    </i>
    <i>
      <x v="392"/>
      <x v="392"/>
      <x/>
      <x/>
      <x/>
      <x/>
      <x/>
      <x/>
      <x/>
      <x/>
      <x/>
      <x/>
      <x v="51"/>
    </i>
    <i>
      <x v="397"/>
      <x v="397"/>
      <x/>
      <x/>
      <x/>
      <x/>
      <x/>
      <x/>
      <x/>
      <x/>
      <x/>
      <x/>
      <x v="292"/>
    </i>
    <i>
      <x v="615"/>
      <x v="615"/>
      <x v="147"/>
      <x v="119"/>
      <x v="167"/>
      <x v="177"/>
      <x v="103"/>
      <x v="108"/>
      <x v="110"/>
      <x v="120"/>
      <x v="91"/>
      <x/>
      <x/>
    </i>
    <i>
      <x v="1469"/>
      <x v="1469"/>
      <x v="149"/>
      <x v="103"/>
      <x v="126"/>
      <x v="200"/>
      <x v="139"/>
      <x v="143"/>
      <x v="146"/>
      <x v="135"/>
      <x v="107"/>
      <x/>
      <x v="2"/>
    </i>
    <i>
      <x v="1724"/>
      <x v="1724"/>
      <x v="104"/>
      <x v="117"/>
      <x v="74"/>
      <x v="169"/>
      <x v="93"/>
      <x v="120"/>
      <x v="149"/>
      <x v="73"/>
      <x v="133"/>
      <x/>
      <x v="49"/>
    </i>
    <i>
      <x v="1838"/>
      <x v="1838"/>
      <x/>
      <x/>
      <x/>
      <x/>
      <x/>
      <x/>
      <x/>
      <x/>
      <x/>
      <x/>
      <x v="895"/>
    </i>
    <i>
      <x v="1966"/>
      <x v="1966"/>
      <x v="29"/>
      <x/>
      <x v="26"/>
      <x v="32"/>
      <x/>
      <x/>
      <x/>
      <x/>
      <x/>
      <x/>
      <x v="4"/>
    </i>
    <i>
      <x v="1985"/>
      <x v="1985"/>
      <x/>
      <x/>
      <x v="26"/>
      <x/>
      <x/>
      <x/>
      <x/>
      <x/>
      <x/>
      <x/>
      <x v="2"/>
    </i>
    <i>
      <x v="2579"/>
      <x v="2579"/>
      <x v="149"/>
      <x v="76"/>
      <x v="93"/>
      <x v="101"/>
      <x v="122"/>
      <x v="74"/>
      <x v="89"/>
      <x v="122"/>
      <x v="81"/>
      <x/>
      <x v="216"/>
    </i>
    <i>
      <x v="3126"/>
      <x v="3126"/>
      <x/>
      <x/>
      <x/>
      <x/>
      <x/>
      <x/>
      <x/>
      <x/>
      <x/>
      <x/>
      <x/>
    </i>
    <i>
      <x v="3604"/>
      <x v="3604"/>
      <x/>
      <x/>
      <x/>
      <x/>
      <x/>
      <x/>
      <x/>
      <x/>
      <x/>
      <x/>
      <x v="15"/>
    </i>
    <i>
      <x v="3804"/>
      <x v="3804"/>
      <x/>
      <x/>
      <x/>
      <x/>
      <x/>
      <x/>
      <x/>
      <x/>
      <x/>
      <x/>
      <x v="36"/>
    </i>
    <i>
      <x v="3840"/>
      <x v="3840"/>
      <x v="163"/>
      <x v="131"/>
      <x v="166"/>
      <x v="185"/>
      <x v="175"/>
      <x v="95"/>
      <x v="119"/>
      <x v="95"/>
      <x v="81"/>
      <x/>
      <x v="628"/>
    </i>
  </rowItems>
  <colItems count="1">
    <i/>
  </colItems>
  <pageFields count="1">
    <pageField fld="13" item="7" hier="-1"/>
  </pageFields>
  <formats count="107">
    <format dxfId="363">
      <pivotArea dataOnly="0" labelOnly="1" outline="0" fieldPosition="0">
        <references count="3">
          <reference field="0" count="1" selected="0">
            <x v="0"/>
          </reference>
          <reference field="1" count="1" selected="0">
            <x v="0"/>
          </reference>
          <reference field="2" count="1">
            <x v="39"/>
          </reference>
        </references>
      </pivotArea>
    </format>
    <format dxfId="362">
      <pivotArea dataOnly="0" labelOnly="1" outline="0" fieldPosition="0">
        <references count="3">
          <reference field="0" count="1" selected="0">
            <x v="1"/>
          </reference>
          <reference field="1" count="1" selected="0">
            <x v="1"/>
          </reference>
          <reference field="2" count="1">
            <x v="104"/>
          </reference>
        </references>
      </pivotArea>
    </format>
    <format dxfId="361">
      <pivotArea dataOnly="0" labelOnly="1" outline="0" fieldPosition="0">
        <references count="3">
          <reference field="0" count="1" selected="0">
            <x v="2"/>
          </reference>
          <reference field="1" count="1" selected="0">
            <x v="2"/>
          </reference>
          <reference field="2" count="1">
            <x v="0"/>
          </reference>
        </references>
      </pivotArea>
    </format>
    <format dxfId="360">
      <pivotArea dataOnly="0" labelOnly="1" outline="0" fieldPosition="0">
        <references count="3">
          <reference field="0" count="1" selected="0">
            <x v="3"/>
          </reference>
          <reference field="1" count="1" selected="0">
            <x v="3"/>
          </reference>
          <reference field="2" count="1">
            <x v="363"/>
          </reference>
        </references>
      </pivotArea>
    </format>
    <format dxfId="359">
      <pivotArea dataOnly="0" labelOnly="1" outline="0" fieldPosition="0">
        <references count="3">
          <reference field="0" count="1" selected="0">
            <x v="4"/>
          </reference>
          <reference field="1" count="1" selected="0">
            <x v="4"/>
          </reference>
          <reference field="2" count="1">
            <x v="234"/>
          </reference>
        </references>
      </pivotArea>
    </format>
    <format dxfId="358">
      <pivotArea dataOnly="0" labelOnly="1" outline="0" fieldPosition="0">
        <references count="3">
          <reference field="0" count="1" selected="0">
            <x v="5"/>
          </reference>
          <reference field="1" count="1" selected="0">
            <x v="5"/>
          </reference>
          <reference field="2" count="1">
            <x v="0"/>
          </reference>
        </references>
      </pivotArea>
    </format>
    <format dxfId="357">
      <pivotArea dataOnly="0" labelOnly="1" outline="0" fieldPosition="0">
        <references count="3">
          <reference field="0" count="1" selected="0">
            <x v="6"/>
          </reference>
          <reference field="1" count="1" selected="0">
            <x v="6"/>
          </reference>
          <reference field="2" count="1">
            <x v="101"/>
          </reference>
        </references>
      </pivotArea>
    </format>
    <format dxfId="356">
      <pivotArea dataOnly="0" labelOnly="1" outline="0" fieldPosition="0">
        <references count="3">
          <reference field="0" count="1" selected="0">
            <x v="7"/>
          </reference>
          <reference field="1" count="1" selected="0">
            <x v="7"/>
          </reference>
          <reference field="2" count="1">
            <x v="163"/>
          </reference>
        </references>
      </pivotArea>
    </format>
    <format dxfId="355">
      <pivotArea dataOnly="0" labelOnly="1" outline="0" fieldPosition="0">
        <references count="3">
          <reference field="0" count="1" selected="0">
            <x v="9"/>
          </reference>
          <reference field="1" count="1" selected="0">
            <x v="9"/>
          </reference>
          <reference field="2" count="1">
            <x v="61"/>
          </reference>
        </references>
      </pivotArea>
    </format>
    <format dxfId="354">
      <pivotArea dataOnly="0" labelOnly="1" outline="0" fieldPosition="0">
        <references count="3">
          <reference field="0" count="1" selected="0">
            <x v="10"/>
          </reference>
          <reference field="1" count="1" selected="0">
            <x v="10"/>
          </reference>
          <reference field="2" count="1">
            <x v="0"/>
          </reference>
        </references>
      </pivotArea>
    </format>
    <format dxfId="353">
      <pivotArea dataOnly="0" labelOnly="1" outline="0" fieldPosition="0">
        <references count="3">
          <reference field="0" count="1" selected="0">
            <x v="15"/>
          </reference>
          <reference field="1" count="1" selected="0">
            <x v="15"/>
          </reference>
          <reference field="2" count="1">
            <x v="329"/>
          </reference>
        </references>
      </pivotArea>
    </format>
    <format dxfId="352">
      <pivotArea dataOnly="0" labelOnly="1" outline="0" fieldPosition="0">
        <references count="3">
          <reference field="0" count="1" selected="0">
            <x v="16"/>
          </reference>
          <reference field="1" count="1" selected="0">
            <x v="16"/>
          </reference>
          <reference field="2" count="1">
            <x v="0"/>
          </reference>
        </references>
      </pivotArea>
    </format>
    <format dxfId="351">
      <pivotArea dataOnly="0" labelOnly="1" outline="0" fieldPosition="0">
        <references count="4">
          <reference field="0" count="1" selected="0">
            <x v="0"/>
          </reference>
          <reference field="1" count="1" selected="0">
            <x v="0"/>
          </reference>
          <reference field="2" count="1" selected="0">
            <x v="39"/>
          </reference>
          <reference field="3" count="1">
            <x v="28"/>
          </reference>
        </references>
      </pivotArea>
    </format>
    <format dxfId="350">
      <pivotArea dataOnly="0" labelOnly="1" outline="0" fieldPosition="0">
        <references count="4">
          <reference field="0" count="1" selected="0">
            <x v="1"/>
          </reference>
          <reference field="1" count="1" selected="0">
            <x v="1"/>
          </reference>
          <reference field="2" count="1" selected="0">
            <x v="104"/>
          </reference>
          <reference field="3" count="1">
            <x v="0"/>
          </reference>
        </references>
      </pivotArea>
    </format>
    <format dxfId="349">
      <pivotArea dataOnly="0" labelOnly="1" outline="0" fieldPosition="0">
        <references count="4">
          <reference field="0" count="1" selected="0">
            <x v="4"/>
          </reference>
          <reference field="1" count="1" selected="0">
            <x v="4"/>
          </reference>
          <reference field="2" count="1" selected="0">
            <x v="234"/>
          </reference>
          <reference field="3" count="1">
            <x v="187"/>
          </reference>
        </references>
      </pivotArea>
    </format>
    <format dxfId="348">
      <pivotArea dataOnly="0" labelOnly="1" outline="0" fieldPosition="0">
        <references count="4">
          <reference field="0" count="1" selected="0">
            <x v="5"/>
          </reference>
          <reference field="1" count="1" selected="0">
            <x v="5"/>
          </reference>
          <reference field="2" count="1" selected="0">
            <x v="0"/>
          </reference>
          <reference field="3" count="1">
            <x v="0"/>
          </reference>
        </references>
      </pivotArea>
    </format>
    <format dxfId="347">
      <pivotArea dataOnly="0" labelOnly="1" outline="0" fieldPosition="0">
        <references count="4">
          <reference field="0" count="1" selected="0">
            <x v="6"/>
          </reference>
          <reference field="1" count="1" selected="0">
            <x v="6"/>
          </reference>
          <reference field="2" count="1" selected="0">
            <x v="101"/>
          </reference>
          <reference field="3" count="1">
            <x v="82"/>
          </reference>
        </references>
      </pivotArea>
    </format>
    <format dxfId="346">
      <pivotArea dataOnly="0" labelOnly="1" outline="0" fieldPosition="0">
        <references count="4">
          <reference field="0" count="1" selected="0">
            <x v="7"/>
          </reference>
          <reference field="1" count="1" selected="0">
            <x v="7"/>
          </reference>
          <reference field="2" count="1" selected="0">
            <x v="163"/>
          </reference>
          <reference field="3" count="1">
            <x v="51"/>
          </reference>
        </references>
      </pivotArea>
    </format>
    <format dxfId="345">
      <pivotArea dataOnly="0" labelOnly="1" outline="0" fieldPosition="0">
        <references count="4">
          <reference field="0" count="1" selected="0">
            <x v="9"/>
          </reference>
          <reference field="1" count="1" selected="0">
            <x v="9"/>
          </reference>
          <reference field="2" count="1" selected="0">
            <x v="61"/>
          </reference>
          <reference field="3" count="1">
            <x v="0"/>
          </reference>
        </references>
      </pivotArea>
    </format>
    <format dxfId="344">
      <pivotArea dataOnly="0" labelOnly="1" outline="0" fieldPosition="0">
        <references count="4">
          <reference field="0" count="1" selected="0">
            <x v="15"/>
          </reference>
          <reference field="1" count="1" selected="0">
            <x v="15"/>
          </reference>
          <reference field="2" count="1" selected="0">
            <x v="329"/>
          </reference>
          <reference field="3" count="1">
            <x v="293"/>
          </reference>
        </references>
      </pivotArea>
    </format>
    <format dxfId="343">
      <pivotArea dataOnly="0" labelOnly="1" outline="0" fieldPosition="0">
        <references count="4">
          <reference field="0" count="1" selected="0">
            <x v="16"/>
          </reference>
          <reference field="1" count="1" selected="0">
            <x v="16"/>
          </reference>
          <reference field="2" count="1" selected="0">
            <x v="0"/>
          </reference>
          <reference field="3" count="1">
            <x v="0"/>
          </reference>
        </references>
      </pivotArea>
    </format>
    <format dxfId="342">
      <pivotArea dataOnly="0" labelOnly="1" outline="0" fieldPosition="0">
        <references count="5">
          <reference field="0" count="1" selected="0">
            <x v="0"/>
          </reference>
          <reference field="1" count="1" selected="0">
            <x v="0"/>
          </reference>
          <reference field="2" count="1" selected="0">
            <x v="39"/>
          </reference>
          <reference field="3" count="1" selected="0">
            <x v="28"/>
          </reference>
          <reference field="4" count="1">
            <x v="35"/>
          </reference>
        </references>
      </pivotArea>
    </format>
    <format dxfId="341">
      <pivotArea dataOnly="0" labelOnly="1" outline="0" fieldPosition="0">
        <references count="5">
          <reference field="0" count="1" selected="0">
            <x v="1"/>
          </reference>
          <reference field="1" count="1" selected="0">
            <x v="1"/>
          </reference>
          <reference field="2" count="1" selected="0">
            <x v="104"/>
          </reference>
          <reference field="3" count="1" selected="0">
            <x v="0"/>
          </reference>
          <reference field="4" count="1">
            <x v="0"/>
          </reference>
        </references>
      </pivotArea>
    </format>
    <format dxfId="340">
      <pivotArea dataOnly="0" labelOnly="1" outline="0" fieldPosition="0">
        <references count="5">
          <reference field="0" count="1" selected="0">
            <x v="4"/>
          </reference>
          <reference field="1" count="1" selected="0">
            <x v="4"/>
          </reference>
          <reference field="2" count="1" selected="0">
            <x v="234"/>
          </reference>
          <reference field="3" count="1" selected="0">
            <x v="187"/>
          </reference>
          <reference field="4" count="1">
            <x v="238"/>
          </reference>
        </references>
      </pivotArea>
    </format>
    <format dxfId="339">
      <pivotArea dataOnly="0" labelOnly="1" outline="0" fieldPosition="0">
        <references count="5">
          <reference field="0" count="1" selected="0">
            <x v="5"/>
          </reference>
          <reference field="1" count="1" selected="0">
            <x v="5"/>
          </reference>
          <reference field="2" count="1" selected="0">
            <x v="0"/>
          </reference>
          <reference field="3" count="1" selected="0">
            <x v="0"/>
          </reference>
          <reference field="4" count="1">
            <x v="0"/>
          </reference>
        </references>
      </pivotArea>
    </format>
    <format dxfId="338">
      <pivotArea dataOnly="0" labelOnly="1" outline="0" fieldPosition="0">
        <references count="5">
          <reference field="0" count="1" selected="0">
            <x v="6"/>
          </reference>
          <reference field="1" count="1" selected="0">
            <x v="6"/>
          </reference>
          <reference field="2" count="1" selected="0">
            <x v="101"/>
          </reference>
          <reference field="3" count="1" selected="0">
            <x v="82"/>
          </reference>
          <reference field="4" count="1">
            <x v="102"/>
          </reference>
        </references>
      </pivotArea>
    </format>
    <format dxfId="337">
      <pivotArea dataOnly="0" labelOnly="1" outline="0" fieldPosition="0">
        <references count="5">
          <reference field="0" count="1" selected="0">
            <x v="7"/>
          </reference>
          <reference field="1" count="1" selected="0">
            <x v="7"/>
          </reference>
          <reference field="2" count="1" selected="0">
            <x v="163"/>
          </reference>
          <reference field="3" count="1" selected="0">
            <x v="51"/>
          </reference>
          <reference field="4" count="1">
            <x v="138"/>
          </reference>
        </references>
      </pivotArea>
    </format>
    <format dxfId="336">
      <pivotArea dataOnly="0" labelOnly="1" outline="0" fieldPosition="0">
        <references count="5">
          <reference field="0" count="1" selected="0">
            <x v="9"/>
          </reference>
          <reference field="1" count="1" selected="0">
            <x v="9"/>
          </reference>
          <reference field="2" count="1" selected="0">
            <x v="61"/>
          </reference>
          <reference field="3" count="1" selected="0">
            <x v="0"/>
          </reference>
          <reference field="4" count="1">
            <x v="144"/>
          </reference>
        </references>
      </pivotArea>
    </format>
    <format dxfId="335">
      <pivotArea dataOnly="0" labelOnly="1" outline="0" fieldPosition="0">
        <references count="5">
          <reference field="0" count="1" selected="0">
            <x v="10"/>
          </reference>
          <reference field="1" count="1" selected="0">
            <x v="10"/>
          </reference>
          <reference field="2" count="1" selected="0">
            <x v="0"/>
          </reference>
          <reference field="3" count="1" selected="0">
            <x v="0"/>
          </reference>
          <reference field="4" count="1">
            <x v="0"/>
          </reference>
        </references>
      </pivotArea>
    </format>
    <format dxfId="334">
      <pivotArea dataOnly="0" labelOnly="1" outline="0" fieldPosition="0">
        <references count="5">
          <reference field="0" count="1" selected="0">
            <x v="11"/>
          </reference>
          <reference field="1" count="1" selected="0">
            <x v="11"/>
          </reference>
          <reference field="2" count="1" selected="0">
            <x v="0"/>
          </reference>
          <reference field="3" count="1" selected="0">
            <x v="0"/>
          </reference>
          <reference field="4" count="1">
            <x v="99"/>
          </reference>
        </references>
      </pivotArea>
    </format>
    <format dxfId="333">
      <pivotArea dataOnly="0" labelOnly="1" outline="0" fieldPosition="0">
        <references count="5">
          <reference field="0" count="1" selected="0">
            <x v="12"/>
          </reference>
          <reference field="1" count="1" selected="0">
            <x v="12"/>
          </reference>
          <reference field="2" count="1" selected="0">
            <x v="0"/>
          </reference>
          <reference field="3" count="1" selected="0">
            <x v="0"/>
          </reference>
          <reference field="4" count="1">
            <x v="0"/>
          </reference>
        </references>
      </pivotArea>
    </format>
    <format dxfId="332">
      <pivotArea dataOnly="0" labelOnly="1" outline="0" fieldPosition="0">
        <references count="6">
          <reference field="0" count="1" selected="0">
            <x v="0"/>
          </reference>
          <reference field="1" count="1" selected="0">
            <x v="0"/>
          </reference>
          <reference field="2" count="1" selected="0">
            <x v="39"/>
          </reference>
          <reference field="3" count="1" selected="0">
            <x v="28"/>
          </reference>
          <reference field="4" count="1" selected="0">
            <x v="35"/>
          </reference>
          <reference field="5" count="1">
            <x v="44"/>
          </reference>
        </references>
      </pivotArea>
    </format>
    <format dxfId="331">
      <pivotArea dataOnly="0" labelOnly="1" outline="0" fieldPosition="0">
        <references count="6">
          <reference field="0" count="1" selected="0">
            <x v="1"/>
          </reference>
          <reference field="1" count="1" selected="0">
            <x v="1"/>
          </reference>
          <reference field="2" count="1" selected="0">
            <x v="104"/>
          </reference>
          <reference field="3" count="1" selected="0">
            <x v="0"/>
          </reference>
          <reference field="4" count="1" selected="0">
            <x v="0"/>
          </reference>
          <reference field="5" count="1">
            <x v="0"/>
          </reference>
        </references>
      </pivotArea>
    </format>
    <format dxfId="330">
      <pivotArea dataOnly="0" labelOnly="1" outline="0" fieldPosition="0">
        <references count="6">
          <reference field="0" count="1" selected="0">
            <x v="4"/>
          </reference>
          <reference field="1" count="1" selected="0">
            <x v="4"/>
          </reference>
          <reference field="2" count="1" selected="0">
            <x v="234"/>
          </reference>
          <reference field="3" count="1" selected="0">
            <x v="187"/>
          </reference>
          <reference field="4" count="1" selected="0">
            <x v="238"/>
          </reference>
          <reference field="5" count="1">
            <x v="246"/>
          </reference>
        </references>
      </pivotArea>
    </format>
    <format dxfId="329">
      <pivotArea dataOnly="0" labelOnly="1" outline="0" fieldPosition="0">
        <references count="6">
          <reference field="0" count="1" selected="0">
            <x v="5"/>
          </reference>
          <reference field="1" count="1" selected="0">
            <x v="5"/>
          </reference>
          <reference field="2" count="1" selected="0">
            <x v="0"/>
          </reference>
          <reference field="3" count="1" selected="0">
            <x v="0"/>
          </reference>
          <reference field="4" count="1" selected="0">
            <x v="0"/>
          </reference>
          <reference field="5" count="1">
            <x v="0"/>
          </reference>
        </references>
      </pivotArea>
    </format>
    <format dxfId="328">
      <pivotArea dataOnly="0" labelOnly="1" outline="0" fieldPosition="0">
        <references count="6">
          <reference field="0" count="1" selected="0">
            <x v="6"/>
          </reference>
          <reference field="1" count="1" selected="0">
            <x v="6"/>
          </reference>
          <reference field="2" count="1" selected="0">
            <x v="101"/>
          </reference>
          <reference field="3" count="1" selected="0">
            <x v="82"/>
          </reference>
          <reference field="4" count="1" selected="0">
            <x v="102"/>
          </reference>
          <reference field="5" count="1">
            <x v="115"/>
          </reference>
        </references>
      </pivotArea>
    </format>
    <format dxfId="327">
      <pivotArea dataOnly="0" labelOnly="1" outline="0" fieldPosition="0">
        <references count="6">
          <reference field="0" count="1" selected="0">
            <x v="7"/>
          </reference>
          <reference field="1" count="1" selected="0">
            <x v="7"/>
          </reference>
          <reference field="2" count="1" selected="0">
            <x v="163"/>
          </reference>
          <reference field="3" count="1" selected="0">
            <x v="51"/>
          </reference>
          <reference field="4" count="1" selected="0">
            <x v="138"/>
          </reference>
          <reference field="5" count="1">
            <x v="120"/>
          </reference>
        </references>
      </pivotArea>
    </format>
    <format dxfId="326">
      <pivotArea dataOnly="0" labelOnly="1" outline="0" fieldPosition="0">
        <references count="6">
          <reference field="0" count="1" selected="0">
            <x v="9"/>
          </reference>
          <reference field="1" count="1" selected="0">
            <x v="9"/>
          </reference>
          <reference field="2" count="1" selected="0">
            <x v="61"/>
          </reference>
          <reference field="3" count="1" selected="0">
            <x v="0"/>
          </reference>
          <reference field="4" count="1" selected="0">
            <x v="144"/>
          </reference>
          <reference field="5" count="1">
            <x v="111"/>
          </reference>
        </references>
      </pivotArea>
    </format>
    <format dxfId="325">
      <pivotArea dataOnly="0" labelOnly="1" outline="0" fieldPosition="0">
        <references count="6">
          <reference field="0" count="1" selected="0">
            <x v="10"/>
          </reference>
          <reference field="1" count="1" selected="0">
            <x v="10"/>
          </reference>
          <reference field="2" count="1" selected="0">
            <x v="0"/>
          </reference>
          <reference field="3" count="1" selected="0">
            <x v="0"/>
          </reference>
          <reference field="4" count="1" selected="0">
            <x v="0"/>
          </reference>
          <reference field="5" count="1">
            <x v="71"/>
          </reference>
        </references>
      </pivotArea>
    </format>
    <format dxfId="324">
      <pivotArea dataOnly="0" labelOnly="1" outline="0" fieldPosition="0">
        <references count="6">
          <reference field="0" count="1" selected="0">
            <x v="11"/>
          </reference>
          <reference field="1" count="1" selected="0">
            <x v="11"/>
          </reference>
          <reference field="2" count="1" selected="0">
            <x v="0"/>
          </reference>
          <reference field="3" count="1" selected="0">
            <x v="0"/>
          </reference>
          <reference field="4" count="1" selected="0">
            <x v="99"/>
          </reference>
          <reference field="5" count="1">
            <x v="0"/>
          </reference>
        </references>
      </pivotArea>
    </format>
    <format dxfId="323">
      <pivotArea dataOnly="0" labelOnly="1" outline="0" fieldPosition="0">
        <references count="6">
          <reference field="0" count="1" selected="0">
            <x v="12"/>
          </reference>
          <reference field="1" count="1" selected="0">
            <x v="12"/>
          </reference>
          <reference field="2" count="1" selected="0">
            <x v="0"/>
          </reference>
          <reference field="3" count="1" selected="0">
            <x v="0"/>
          </reference>
          <reference field="4" count="1" selected="0">
            <x v="0"/>
          </reference>
          <reference field="5" count="1">
            <x v="239"/>
          </reference>
        </references>
      </pivotArea>
    </format>
    <format dxfId="322">
      <pivotArea dataOnly="0" labelOnly="1" outline="0" fieldPosition="0">
        <references count="6">
          <reference field="0" count="1" selected="0">
            <x v="13"/>
          </reference>
          <reference field="1" count="1" selected="0">
            <x v="13"/>
          </reference>
          <reference field="2" count="1" selected="0">
            <x v="0"/>
          </reference>
          <reference field="3" count="1" selected="0">
            <x v="0"/>
          </reference>
          <reference field="4" count="1" selected="0">
            <x v="0"/>
          </reference>
          <reference field="5" count="1">
            <x v="0"/>
          </reference>
        </references>
      </pivotArea>
    </format>
    <format dxfId="321">
      <pivotArea dataOnly="0" labelOnly="1" outline="0" fieldPosition="0">
        <references count="6">
          <reference field="0" count="1" selected="0">
            <x v="15"/>
          </reference>
          <reference field="1" count="1" selected="0">
            <x v="15"/>
          </reference>
          <reference field="2" count="1" selected="0">
            <x v="329"/>
          </reference>
          <reference field="3" count="1" selected="0">
            <x v="293"/>
          </reference>
          <reference field="4" count="1" selected="0">
            <x v="0"/>
          </reference>
          <reference field="5" count="1">
            <x v="269"/>
          </reference>
        </references>
      </pivotArea>
    </format>
    <format dxfId="320">
      <pivotArea dataOnly="0" labelOnly="1" outline="0" fieldPosition="0">
        <references count="6">
          <reference field="0" count="1" selected="0">
            <x v="16"/>
          </reference>
          <reference field="1" count="1" selected="0">
            <x v="16"/>
          </reference>
          <reference field="2" count="1" selected="0">
            <x v="0"/>
          </reference>
          <reference field="3" count="1" selected="0">
            <x v="0"/>
          </reference>
          <reference field="4" count="1" selected="0">
            <x v="0"/>
          </reference>
          <reference field="5" count="1">
            <x v="0"/>
          </reference>
        </references>
      </pivotArea>
    </format>
    <format dxfId="319">
      <pivotArea dataOnly="0" labelOnly="1" outline="0" fieldPosition="0">
        <references count="7">
          <reference field="0" count="1" selected="0">
            <x v="0"/>
          </reference>
          <reference field="1" count="1" selected="0">
            <x v="0"/>
          </reference>
          <reference field="2" count="1" selected="0">
            <x v="39"/>
          </reference>
          <reference field="3" count="1" selected="0">
            <x v="28"/>
          </reference>
          <reference field="4" count="1" selected="0">
            <x v="35"/>
          </reference>
          <reference field="5" count="1" selected="0">
            <x v="44"/>
          </reference>
          <reference field="6" count="1">
            <x v="36"/>
          </reference>
        </references>
      </pivotArea>
    </format>
    <format dxfId="318">
      <pivotArea dataOnly="0" labelOnly="1" outline="0" fieldPosition="0">
        <references count="7">
          <reference field="0" count="1" selected="0">
            <x v="1"/>
          </reference>
          <reference field="1" count="1" selected="0">
            <x v="1"/>
          </reference>
          <reference field="2" count="1" selected="0">
            <x v="104"/>
          </reference>
          <reference field="3" count="1" selected="0">
            <x v="0"/>
          </reference>
          <reference field="4" count="1" selected="0">
            <x v="0"/>
          </reference>
          <reference field="5" count="1" selected="0">
            <x v="0"/>
          </reference>
          <reference field="6" count="1">
            <x v="93"/>
          </reference>
        </references>
      </pivotArea>
    </format>
    <format dxfId="317">
      <pivotArea dataOnly="0" labelOnly="1" outline="0" fieldPosition="0">
        <references count="7">
          <reference field="0" count="1" selected="0">
            <x v="2"/>
          </reference>
          <reference field="1" count="1" selected="0">
            <x v="2"/>
          </reference>
          <reference field="2" count="1" selected="0">
            <x v="0"/>
          </reference>
          <reference field="3" count="1" selected="0">
            <x v="0"/>
          </reference>
          <reference field="4" count="1" selected="0">
            <x v="0"/>
          </reference>
          <reference field="5" count="1" selected="0">
            <x v="0"/>
          </reference>
          <reference field="6" count="1">
            <x v="0"/>
          </reference>
        </references>
      </pivotArea>
    </format>
    <format dxfId="316">
      <pivotArea dataOnly="0" labelOnly="1" outline="0" fieldPosition="0">
        <references count="7">
          <reference field="0" count="1" selected="0">
            <x v="4"/>
          </reference>
          <reference field="1" count="1" selected="0">
            <x v="4"/>
          </reference>
          <reference field="2" count="1" selected="0">
            <x v="234"/>
          </reference>
          <reference field="3" count="1" selected="0">
            <x v="187"/>
          </reference>
          <reference field="4" count="1" selected="0">
            <x v="238"/>
          </reference>
          <reference field="5" count="1" selected="0">
            <x v="246"/>
          </reference>
          <reference field="6" count="1">
            <x v="226"/>
          </reference>
        </references>
      </pivotArea>
    </format>
    <format dxfId="315">
      <pivotArea dataOnly="0" labelOnly="1" outline="0" fieldPosition="0">
        <references count="7">
          <reference field="0" count="1" selected="0">
            <x v="5"/>
          </reference>
          <reference field="1" count="1" selected="0">
            <x v="5"/>
          </reference>
          <reference field="2" count="1" selected="0">
            <x v="0"/>
          </reference>
          <reference field="3" count="1" selected="0">
            <x v="0"/>
          </reference>
          <reference field="4" count="1" selected="0">
            <x v="0"/>
          </reference>
          <reference field="5" count="1" selected="0">
            <x v="0"/>
          </reference>
          <reference field="6" count="1">
            <x v="0"/>
          </reference>
        </references>
      </pivotArea>
    </format>
    <format dxfId="314">
      <pivotArea dataOnly="0" labelOnly="1" outline="0" fieldPosition="0">
        <references count="7">
          <reference field="0" count="1" selected="0">
            <x v="6"/>
          </reference>
          <reference field="1" count="1" selected="0">
            <x v="6"/>
          </reference>
          <reference field="2" count="1" selected="0">
            <x v="101"/>
          </reference>
          <reference field="3" count="1" selected="0">
            <x v="82"/>
          </reference>
          <reference field="4" count="1" selected="0">
            <x v="102"/>
          </reference>
          <reference field="5" count="1" selected="0">
            <x v="115"/>
          </reference>
          <reference field="6" count="1">
            <x v="76"/>
          </reference>
        </references>
      </pivotArea>
    </format>
    <format dxfId="313">
      <pivotArea dataOnly="0" labelOnly="1" outline="0" fieldPosition="0">
        <references count="7">
          <reference field="0" count="1" selected="0">
            <x v="7"/>
          </reference>
          <reference field="1" count="1" selected="0">
            <x v="7"/>
          </reference>
          <reference field="2" count="1" selected="0">
            <x v="163"/>
          </reference>
          <reference field="3" count="1" selected="0">
            <x v="51"/>
          </reference>
          <reference field="4" count="1" selected="0">
            <x v="138"/>
          </reference>
          <reference field="5" count="1" selected="0">
            <x v="120"/>
          </reference>
          <reference field="6" count="1">
            <x v="93"/>
          </reference>
        </references>
      </pivotArea>
    </format>
    <format dxfId="312">
      <pivotArea dataOnly="0" labelOnly="1" outline="0" fieldPosition="0">
        <references count="7">
          <reference field="0" count="1" selected="0">
            <x v="8"/>
          </reference>
          <reference field="1" count="1" selected="0">
            <x v="8"/>
          </reference>
          <reference field="2" count="1" selected="0">
            <x v="163"/>
          </reference>
          <reference field="3" count="1" selected="0">
            <x v="51"/>
          </reference>
          <reference field="4" count="1" selected="0">
            <x v="138"/>
          </reference>
          <reference field="5" count="1" selected="0">
            <x v="120"/>
          </reference>
          <reference field="6" count="1">
            <x v="148"/>
          </reference>
        </references>
      </pivotArea>
    </format>
    <format dxfId="311">
      <pivotArea dataOnly="0" labelOnly="1" outline="0" fieldPosition="0">
        <references count="7">
          <reference field="0" count="1" selected="0">
            <x v="9"/>
          </reference>
          <reference field="1" count="1" selected="0">
            <x v="9"/>
          </reference>
          <reference field="2" count="1" selected="0">
            <x v="61"/>
          </reference>
          <reference field="3" count="1" selected="0">
            <x v="0"/>
          </reference>
          <reference field="4" count="1" selected="0">
            <x v="144"/>
          </reference>
          <reference field="5" count="1" selected="0">
            <x v="111"/>
          </reference>
          <reference field="6" count="1">
            <x v="83"/>
          </reference>
        </references>
      </pivotArea>
    </format>
    <format dxfId="310">
      <pivotArea dataOnly="0" labelOnly="1" outline="0" fieldPosition="0">
        <references count="7">
          <reference field="0" count="1" selected="0">
            <x v="10"/>
          </reference>
          <reference field="1" count="1" selected="0">
            <x v="10"/>
          </reference>
          <reference field="2" count="1" selected="0">
            <x v="0"/>
          </reference>
          <reference field="3" count="1" selected="0">
            <x v="0"/>
          </reference>
          <reference field="4" count="1" selected="0">
            <x v="0"/>
          </reference>
          <reference field="5" count="1" selected="0">
            <x v="71"/>
          </reference>
          <reference field="6" count="1">
            <x v="0"/>
          </reference>
        </references>
      </pivotArea>
    </format>
    <format dxfId="309">
      <pivotArea dataOnly="0" labelOnly="1" outline="0" fieldPosition="0">
        <references count="7">
          <reference field="0" count="1" selected="0">
            <x v="12"/>
          </reference>
          <reference field="1" count="1" selected="0">
            <x v="12"/>
          </reference>
          <reference field="2" count="1" selected="0">
            <x v="0"/>
          </reference>
          <reference field="3" count="1" selected="0">
            <x v="0"/>
          </reference>
          <reference field="4" count="1" selected="0">
            <x v="0"/>
          </reference>
          <reference field="5" count="1" selected="0">
            <x v="239"/>
          </reference>
          <reference field="6" count="1">
            <x v="163"/>
          </reference>
        </references>
      </pivotArea>
    </format>
    <format dxfId="308">
      <pivotArea dataOnly="0" labelOnly="1" outline="0" fieldPosition="0">
        <references count="7">
          <reference field="0" count="1" selected="0">
            <x v="13"/>
          </reference>
          <reference field="1" count="1" selected="0">
            <x v="13"/>
          </reference>
          <reference field="2" count="1" selected="0">
            <x v="0"/>
          </reference>
          <reference field="3" count="1" selected="0">
            <x v="0"/>
          </reference>
          <reference field="4" count="1" selected="0">
            <x v="0"/>
          </reference>
          <reference field="5" count="1" selected="0">
            <x v="0"/>
          </reference>
          <reference field="6" count="1">
            <x v="0"/>
          </reference>
        </references>
      </pivotArea>
    </format>
    <format dxfId="307">
      <pivotArea dataOnly="0" labelOnly="1" outline="0" fieldPosition="0">
        <references count="7">
          <reference field="0" count="1" selected="0">
            <x v="15"/>
          </reference>
          <reference field="1" count="1" selected="0">
            <x v="15"/>
          </reference>
          <reference field="2" count="1" selected="0">
            <x v="329"/>
          </reference>
          <reference field="3" count="1" selected="0">
            <x v="293"/>
          </reference>
          <reference field="4" count="1" selected="0">
            <x v="0"/>
          </reference>
          <reference field="5" count="1" selected="0">
            <x v="269"/>
          </reference>
          <reference field="6" count="1">
            <x v="274"/>
          </reference>
        </references>
      </pivotArea>
    </format>
    <format dxfId="306">
      <pivotArea dataOnly="0" labelOnly="1" outline="0" fieldPosition="0">
        <references count="7">
          <reference field="0" count="1" selected="0">
            <x v="16"/>
          </reference>
          <reference field="1" count="1" selected="0">
            <x v="16"/>
          </reference>
          <reference field="2" count="1" selected="0">
            <x v="0"/>
          </reference>
          <reference field="3" count="1" selected="0">
            <x v="0"/>
          </reference>
          <reference field="4" count="1" selected="0">
            <x v="0"/>
          </reference>
          <reference field="5" count="1" selected="0">
            <x v="0"/>
          </reference>
          <reference field="6" count="1">
            <x v="0"/>
          </reference>
        </references>
      </pivotArea>
    </format>
    <format dxfId="305">
      <pivotArea dataOnly="0" labelOnly="1" outline="0" fieldPosition="0">
        <references count="8">
          <reference field="0" count="1" selected="0">
            <x v="0"/>
          </reference>
          <reference field="1" count="1" selected="0">
            <x v="0"/>
          </reference>
          <reference field="2" count="1" selected="0">
            <x v="39"/>
          </reference>
          <reference field="3" count="1" selected="0">
            <x v="28"/>
          </reference>
          <reference field="4" count="1" selected="0">
            <x v="35"/>
          </reference>
          <reference field="5" count="1" selected="0">
            <x v="44"/>
          </reference>
          <reference field="6" count="1" selected="0">
            <x v="36"/>
          </reference>
          <reference field="7" count="1">
            <x v="28"/>
          </reference>
        </references>
      </pivotArea>
    </format>
    <format dxfId="304">
      <pivotArea dataOnly="0" labelOnly="1" outline="0" fieldPosition="0">
        <references count="8">
          <reference field="0" count="1" selected="0">
            <x v="1"/>
          </reference>
          <reference field="1" count="1" selected="0">
            <x v="1"/>
          </reference>
          <reference field="2" count="1" selected="0">
            <x v="104"/>
          </reference>
          <reference field="3" count="1" selected="0">
            <x v="0"/>
          </reference>
          <reference field="4" count="1" selected="0">
            <x v="0"/>
          </reference>
          <reference field="5" count="1" selected="0">
            <x v="0"/>
          </reference>
          <reference field="6" count="1" selected="0">
            <x v="93"/>
          </reference>
          <reference field="7" count="1">
            <x v="0"/>
          </reference>
        </references>
      </pivotArea>
    </format>
    <format dxfId="303">
      <pivotArea dataOnly="0" labelOnly="1" outline="0" fieldPosition="0">
        <references count="8">
          <reference field="0" count="1" selected="0">
            <x v="4"/>
          </reference>
          <reference field="1" count="1" selected="0">
            <x v="4"/>
          </reference>
          <reference field="2" count="1" selected="0">
            <x v="234"/>
          </reference>
          <reference field="3" count="1" selected="0">
            <x v="187"/>
          </reference>
          <reference field="4" count="1" selected="0">
            <x v="238"/>
          </reference>
          <reference field="5" count="1" selected="0">
            <x v="246"/>
          </reference>
          <reference field="6" count="1" selected="0">
            <x v="226"/>
          </reference>
          <reference field="7" count="1">
            <x v="193"/>
          </reference>
        </references>
      </pivotArea>
    </format>
    <format dxfId="302">
      <pivotArea dataOnly="0" labelOnly="1" outline="0" fieldPosition="0">
        <references count="8">
          <reference field="0" count="1" selected="0">
            <x v="5"/>
          </reference>
          <reference field="1" count="1" selected="0">
            <x v="5"/>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x v="0"/>
          </reference>
        </references>
      </pivotArea>
    </format>
    <format dxfId="301">
      <pivotArea dataOnly="0" labelOnly="1" outline="0" fieldPosition="0">
        <references count="8">
          <reference field="0" count="1" selected="0">
            <x v="6"/>
          </reference>
          <reference field="1" count="1" selected="0">
            <x v="6"/>
          </reference>
          <reference field="2" count="1" selected="0">
            <x v="101"/>
          </reference>
          <reference field="3" count="1" selected="0">
            <x v="82"/>
          </reference>
          <reference field="4" count="1" selected="0">
            <x v="102"/>
          </reference>
          <reference field="5" count="1" selected="0">
            <x v="115"/>
          </reference>
          <reference field="6" count="1" selected="0">
            <x v="76"/>
          </reference>
          <reference field="7" count="1">
            <x v="73"/>
          </reference>
        </references>
      </pivotArea>
    </format>
    <format dxfId="300">
      <pivotArea dataOnly="0" labelOnly="1" outline="0" fieldPosition="0">
        <references count="8">
          <reference field="0" count="1" selected="0">
            <x v="7"/>
          </reference>
          <reference field="1" count="1" selected="0">
            <x v="7"/>
          </reference>
          <reference field="2" count="1" selected="0">
            <x v="163"/>
          </reference>
          <reference field="3" count="1" selected="0">
            <x v="51"/>
          </reference>
          <reference field="4" count="1" selected="0">
            <x v="138"/>
          </reference>
          <reference field="5" count="1" selected="0">
            <x v="120"/>
          </reference>
          <reference field="6" count="1" selected="0">
            <x v="93"/>
          </reference>
          <reference field="7" count="1">
            <x v="96"/>
          </reference>
        </references>
      </pivotArea>
    </format>
    <format dxfId="299">
      <pivotArea dataOnly="0" labelOnly="1" outline="0" fieldPosition="0">
        <references count="8">
          <reference field="0" count="1" selected="0">
            <x v="9"/>
          </reference>
          <reference field="1" count="1" selected="0">
            <x v="9"/>
          </reference>
          <reference field="2" count="1" selected="0">
            <x v="61"/>
          </reference>
          <reference field="3" count="1" selected="0">
            <x v="0"/>
          </reference>
          <reference field="4" count="1" selected="0">
            <x v="144"/>
          </reference>
          <reference field="5" count="1" selected="0">
            <x v="111"/>
          </reference>
          <reference field="6" count="1" selected="0">
            <x v="83"/>
          </reference>
          <reference field="7" count="1">
            <x v="0"/>
          </reference>
        </references>
      </pivotArea>
    </format>
    <format dxfId="298">
      <pivotArea dataOnly="0" labelOnly="1" outline="0" fieldPosition="0">
        <references count="8">
          <reference field="0" count="1" selected="0">
            <x v="10"/>
          </reference>
          <reference field="1" count="1" selected="0">
            <x v="10"/>
          </reference>
          <reference field="2" count="1" selected="0">
            <x v="0"/>
          </reference>
          <reference field="3" count="1" selected="0">
            <x v="0"/>
          </reference>
          <reference field="4" count="1" selected="0">
            <x v="0"/>
          </reference>
          <reference field="5" count="1" selected="0">
            <x v="71"/>
          </reference>
          <reference field="6" count="1" selected="0">
            <x v="0"/>
          </reference>
          <reference field="7" count="1">
            <x v="17"/>
          </reference>
        </references>
      </pivotArea>
    </format>
    <format dxfId="297">
      <pivotArea dataOnly="0" labelOnly="1" outline="0" fieldPosition="0">
        <references count="8">
          <reference field="0" count="1" selected="0">
            <x v="11"/>
          </reference>
          <reference field="1" count="1" selected="0">
            <x v="11"/>
          </reference>
          <reference field="2" count="1" selected="0">
            <x v="0"/>
          </reference>
          <reference field="3" count="1" selected="0">
            <x v="0"/>
          </reference>
          <reference field="4" count="1" selected="0">
            <x v="99"/>
          </reference>
          <reference field="5" count="1" selected="0">
            <x v="0"/>
          </reference>
          <reference field="6" count="1" selected="0">
            <x v="0"/>
          </reference>
          <reference field="7" count="1">
            <x v="0"/>
          </reference>
        </references>
      </pivotArea>
    </format>
    <format dxfId="296">
      <pivotArea dataOnly="0" labelOnly="1" outline="0" fieldPosition="0">
        <references count="8">
          <reference field="0" count="1" selected="0">
            <x v="12"/>
          </reference>
          <reference field="1" count="1" selected="0">
            <x v="12"/>
          </reference>
          <reference field="2" count="1" selected="0">
            <x v="0"/>
          </reference>
          <reference field="3" count="1" selected="0">
            <x v="0"/>
          </reference>
          <reference field="4" count="1" selected="0">
            <x v="0"/>
          </reference>
          <reference field="5" count="1" selected="0">
            <x v="239"/>
          </reference>
          <reference field="6" count="1" selected="0">
            <x v="163"/>
          </reference>
          <reference field="7" count="1">
            <x v="186"/>
          </reference>
        </references>
      </pivotArea>
    </format>
    <format dxfId="295">
      <pivotArea dataOnly="0" labelOnly="1" outline="0" fieldPosition="0">
        <references count="8">
          <reference field="0" count="1" selected="0">
            <x v="13"/>
          </reference>
          <reference field="1" count="1" selected="0">
            <x v="13"/>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x v="0"/>
          </reference>
        </references>
      </pivotArea>
    </format>
    <format dxfId="294">
      <pivotArea dataOnly="0" labelOnly="1" outline="0" fieldPosition="0">
        <references count="9">
          <reference field="0" count="1" selected="0">
            <x v="0"/>
          </reference>
          <reference field="1" count="1" selected="0">
            <x v="0"/>
          </reference>
          <reference field="2" count="1" selected="0">
            <x v="39"/>
          </reference>
          <reference field="3" count="1" selected="0">
            <x v="28"/>
          </reference>
          <reference field="4" count="1" selected="0">
            <x v="35"/>
          </reference>
          <reference field="5" count="1" selected="0">
            <x v="44"/>
          </reference>
          <reference field="6" count="1" selected="0">
            <x v="36"/>
          </reference>
          <reference field="7" count="1" selected="0">
            <x v="28"/>
          </reference>
          <reference field="8" count="1">
            <x v="35"/>
          </reference>
        </references>
      </pivotArea>
    </format>
    <format dxfId="293">
      <pivotArea dataOnly="0" labelOnly="1" outline="0" fieldPosition="0">
        <references count="9">
          <reference field="0" count="1" selected="0">
            <x v="1"/>
          </reference>
          <reference field="1" count="1" selected="0">
            <x v="1"/>
          </reference>
          <reference field="2" count="1" selected="0">
            <x v="104"/>
          </reference>
          <reference field="3" count="1" selected="0">
            <x v="0"/>
          </reference>
          <reference field="4" count="1" selected="0">
            <x v="0"/>
          </reference>
          <reference field="5" count="1" selected="0">
            <x v="0"/>
          </reference>
          <reference field="6" count="1" selected="0">
            <x v="93"/>
          </reference>
          <reference field="7" count="1" selected="0">
            <x v="0"/>
          </reference>
          <reference field="8" count="1">
            <x v="0"/>
          </reference>
        </references>
      </pivotArea>
    </format>
    <format dxfId="292">
      <pivotArea dataOnly="0" labelOnly="1" outline="0" fieldPosition="0">
        <references count="9">
          <reference field="0" count="1" selected="0">
            <x v="3"/>
          </reference>
          <reference field="1" count="1" selected="0">
            <x v="3"/>
          </reference>
          <reference field="2" count="1" selected="0">
            <x v="363"/>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x v="311"/>
          </reference>
        </references>
      </pivotArea>
    </format>
    <format dxfId="291">
      <pivotArea dataOnly="0" labelOnly="1" outline="0" fieldPosition="0">
        <references count="9">
          <reference field="0" count="1" selected="0">
            <x v="4"/>
          </reference>
          <reference field="1" count="1" selected="0">
            <x v="4"/>
          </reference>
          <reference field="2" count="1" selected="0">
            <x v="234"/>
          </reference>
          <reference field="3" count="1" selected="0">
            <x v="187"/>
          </reference>
          <reference field="4" count="1" selected="0">
            <x v="238"/>
          </reference>
          <reference field="5" count="1" selected="0">
            <x v="246"/>
          </reference>
          <reference field="6" count="1" selected="0">
            <x v="226"/>
          </reference>
          <reference field="7" count="1" selected="0">
            <x v="193"/>
          </reference>
          <reference field="8" count="1">
            <x v="201"/>
          </reference>
        </references>
      </pivotArea>
    </format>
    <format dxfId="290">
      <pivotArea dataOnly="0" labelOnly="1" outline="0" fieldPosition="0">
        <references count="9">
          <reference field="0" count="1" selected="0">
            <x v="5"/>
          </reference>
          <reference field="1" count="1" selected="0">
            <x v="5"/>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x v="0"/>
          </reference>
        </references>
      </pivotArea>
    </format>
    <format dxfId="289">
      <pivotArea dataOnly="0" labelOnly="1" outline="0" fieldPosition="0">
        <references count="9">
          <reference field="0" count="1" selected="0">
            <x v="6"/>
          </reference>
          <reference field="1" count="1" selected="0">
            <x v="6"/>
          </reference>
          <reference field="2" count="1" selected="0">
            <x v="101"/>
          </reference>
          <reference field="3" count="1" selected="0">
            <x v="82"/>
          </reference>
          <reference field="4" count="1" selected="0">
            <x v="102"/>
          </reference>
          <reference field="5" count="1" selected="0">
            <x v="115"/>
          </reference>
          <reference field="6" count="1" selected="0">
            <x v="76"/>
          </reference>
          <reference field="7" count="1" selected="0">
            <x v="73"/>
          </reference>
          <reference field="8" count="1">
            <x v="87"/>
          </reference>
        </references>
      </pivotArea>
    </format>
    <format dxfId="288">
      <pivotArea dataOnly="0" labelOnly="1" outline="0" fieldPosition="0">
        <references count="9">
          <reference field="0" count="1" selected="0">
            <x v="7"/>
          </reference>
          <reference field="1" count="1" selected="0">
            <x v="7"/>
          </reference>
          <reference field="2" count="1" selected="0">
            <x v="163"/>
          </reference>
          <reference field="3" count="1" selected="0">
            <x v="51"/>
          </reference>
          <reference field="4" count="1" selected="0">
            <x v="138"/>
          </reference>
          <reference field="5" count="1" selected="0">
            <x v="120"/>
          </reference>
          <reference field="6" count="1" selected="0">
            <x v="93"/>
          </reference>
          <reference field="7" count="1" selected="0">
            <x v="96"/>
          </reference>
          <reference field="8" count="1">
            <x v="76"/>
          </reference>
        </references>
      </pivotArea>
    </format>
    <format dxfId="287">
      <pivotArea dataOnly="0" labelOnly="1" outline="0" fieldPosition="0">
        <references count="9">
          <reference field="0" count="1" selected="0">
            <x v="9"/>
          </reference>
          <reference field="1" count="1" selected="0">
            <x v="9"/>
          </reference>
          <reference field="2" count="1" selected="0">
            <x v="61"/>
          </reference>
          <reference field="3" count="1" selected="0">
            <x v="0"/>
          </reference>
          <reference field="4" count="1" selected="0">
            <x v="144"/>
          </reference>
          <reference field="5" count="1" selected="0">
            <x v="111"/>
          </reference>
          <reference field="6" count="1" selected="0">
            <x v="83"/>
          </reference>
          <reference field="7" count="1" selected="0">
            <x v="0"/>
          </reference>
          <reference field="8" count="1">
            <x v="71"/>
          </reference>
        </references>
      </pivotArea>
    </format>
    <format dxfId="286">
      <pivotArea dataOnly="0" labelOnly="1" outline="0" fieldPosition="0">
        <references count="9">
          <reference field="0" count="1" selected="0">
            <x v="10"/>
          </reference>
          <reference field="1" count="1" selected="0">
            <x v="10"/>
          </reference>
          <reference field="2" count="1" selected="0">
            <x v="0"/>
          </reference>
          <reference field="3" count="1" selected="0">
            <x v="0"/>
          </reference>
          <reference field="4" count="1" selected="0">
            <x v="0"/>
          </reference>
          <reference field="5" count="1" selected="0">
            <x v="71"/>
          </reference>
          <reference field="6" count="1" selected="0">
            <x v="0"/>
          </reference>
          <reference field="7" count="1" selected="0">
            <x v="17"/>
          </reference>
          <reference field="8" count="1">
            <x v="0"/>
          </reference>
        </references>
      </pivotArea>
    </format>
    <format dxfId="285">
      <pivotArea dataOnly="0" labelOnly="1" outline="0" fieldPosition="0">
        <references count="9">
          <reference field="0" count="1" selected="0">
            <x v="15"/>
          </reference>
          <reference field="1" count="1" selected="0">
            <x v="15"/>
          </reference>
          <reference field="2" count="1" selected="0">
            <x v="329"/>
          </reference>
          <reference field="3" count="1" selected="0">
            <x v="293"/>
          </reference>
          <reference field="4" count="1" selected="0">
            <x v="0"/>
          </reference>
          <reference field="5" count="1" selected="0">
            <x v="269"/>
          </reference>
          <reference field="6" count="1" selected="0">
            <x v="274"/>
          </reference>
          <reference field="7" count="1" selected="0">
            <x v="0"/>
          </reference>
          <reference field="8" count="1">
            <x v="157"/>
          </reference>
        </references>
      </pivotArea>
    </format>
    <format dxfId="284">
      <pivotArea dataOnly="0" labelOnly="1" outline="0" fieldPosition="0">
        <references count="9">
          <reference field="0" count="1" selected="0">
            <x v="16"/>
          </reference>
          <reference field="1" count="1" selected="0">
            <x v="16"/>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x v="0"/>
          </reference>
        </references>
      </pivotArea>
    </format>
    <format dxfId="283">
      <pivotArea dataOnly="0" labelOnly="1" outline="0" fieldPosition="0">
        <references count="10">
          <reference field="0" count="1" selected="0">
            <x v="0"/>
          </reference>
          <reference field="1" count="1" selected="0">
            <x v="0"/>
          </reference>
          <reference field="2" count="1" selected="0">
            <x v="39"/>
          </reference>
          <reference field="3" count="1" selected="0">
            <x v="28"/>
          </reference>
          <reference field="4" count="1" selected="0">
            <x v="35"/>
          </reference>
          <reference field="5" count="1" selected="0">
            <x v="44"/>
          </reference>
          <reference field="6" count="1" selected="0">
            <x v="36"/>
          </reference>
          <reference field="7" count="1" selected="0">
            <x v="28"/>
          </reference>
          <reference field="8" count="1" selected="0">
            <x v="35"/>
          </reference>
          <reference field="9" count="1">
            <x v="34"/>
          </reference>
        </references>
      </pivotArea>
    </format>
    <format dxfId="282">
      <pivotArea dataOnly="0" labelOnly="1" outline="0" fieldPosition="0">
        <references count="10">
          <reference field="0" count="1" selected="0">
            <x v="1"/>
          </reference>
          <reference field="1" count="1" selected="0">
            <x v="1"/>
          </reference>
          <reference field="2" count="1" selected="0">
            <x v="104"/>
          </reference>
          <reference field="3" count="1" selected="0">
            <x v="0"/>
          </reference>
          <reference field="4" count="1" selected="0">
            <x v="0"/>
          </reference>
          <reference field="5" count="1" selected="0">
            <x v="0"/>
          </reference>
          <reference field="6" count="1" selected="0">
            <x v="93"/>
          </reference>
          <reference field="7" count="1" selected="0">
            <x v="0"/>
          </reference>
          <reference field="8" count="1" selected="0">
            <x v="0"/>
          </reference>
          <reference field="9" count="1">
            <x v="96"/>
          </reference>
        </references>
      </pivotArea>
    </format>
    <format dxfId="281">
      <pivotArea dataOnly="0" labelOnly="1" outline="0" fieldPosition="0">
        <references count="10">
          <reference field="0" count="1" selected="0">
            <x v="2"/>
          </reference>
          <reference field="1" count="1" selected="0">
            <x v="2"/>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selected="0">
            <x v="0"/>
          </reference>
          <reference field="9" count="1">
            <x v="0"/>
          </reference>
        </references>
      </pivotArea>
    </format>
    <format dxfId="280">
      <pivotArea dataOnly="0" labelOnly="1" outline="0" fieldPosition="0">
        <references count="10">
          <reference field="0" count="1" selected="0">
            <x v="4"/>
          </reference>
          <reference field="1" count="1" selected="0">
            <x v="4"/>
          </reference>
          <reference field="2" count="1" selected="0">
            <x v="234"/>
          </reference>
          <reference field="3" count="1" selected="0">
            <x v="187"/>
          </reference>
          <reference field="4" count="1" selected="0">
            <x v="238"/>
          </reference>
          <reference field="5" count="1" selected="0">
            <x v="246"/>
          </reference>
          <reference field="6" count="1" selected="0">
            <x v="226"/>
          </reference>
          <reference field="7" count="1" selected="0">
            <x v="193"/>
          </reference>
          <reference field="8" count="1" selected="0">
            <x v="201"/>
          </reference>
          <reference field="9" count="1">
            <x v="167"/>
          </reference>
        </references>
      </pivotArea>
    </format>
    <format dxfId="279">
      <pivotArea dataOnly="0" labelOnly="1" outline="0" fieldPosition="0">
        <references count="10">
          <reference field="0" count="1" selected="0">
            <x v="5"/>
          </reference>
          <reference field="1" count="1" selected="0">
            <x v="5"/>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selected="0">
            <x v="0"/>
          </reference>
          <reference field="9" count="1">
            <x v="0"/>
          </reference>
        </references>
      </pivotArea>
    </format>
    <format dxfId="278">
      <pivotArea dataOnly="0" labelOnly="1" outline="0" fieldPosition="0">
        <references count="10">
          <reference field="0" count="1" selected="0">
            <x v="6"/>
          </reference>
          <reference field="1" count="1" selected="0">
            <x v="6"/>
          </reference>
          <reference field="2" count="1" selected="0">
            <x v="101"/>
          </reference>
          <reference field="3" count="1" selected="0">
            <x v="82"/>
          </reference>
          <reference field="4" count="1" selected="0">
            <x v="102"/>
          </reference>
          <reference field="5" count="1" selected="0">
            <x v="115"/>
          </reference>
          <reference field="6" count="1" selected="0">
            <x v="76"/>
          </reference>
          <reference field="7" count="1" selected="0">
            <x v="73"/>
          </reference>
          <reference field="8" count="1" selected="0">
            <x v="87"/>
          </reference>
          <reference field="9" count="1">
            <x v="78"/>
          </reference>
        </references>
      </pivotArea>
    </format>
    <format dxfId="277">
      <pivotArea dataOnly="0" labelOnly="1" outline="0" fieldPosition="0">
        <references count="10">
          <reference field="0" count="1" selected="0">
            <x v="7"/>
          </reference>
          <reference field="1" count="1" selected="0">
            <x v="7"/>
          </reference>
          <reference field="2" count="1" selected="0">
            <x v="163"/>
          </reference>
          <reference field="3" count="1" selected="0">
            <x v="51"/>
          </reference>
          <reference field="4" count="1" selected="0">
            <x v="138"/>
          </reference>
          <reference field="5" count="1" selected="0">
            <x v="120"/>
          </reference>
          <reference field="6" count="1" selected="0">
            <x v="93"/>
          </reference>
          <reference field="7" count="1" selected="0">
            <x v="96"/>
          </reference>
          <reference field="8" count="1" selected="0">
            <x v="76"/>
          </reference>
          <reference field="9" count="1">
            <x v="0"/>
          </reference>
        </references>
      </pivotArea>
    </format>
    <format dxfId="276">
      <pivotArea dataOnly="0" labelOnly="1" outline="0" fieldPosition="0">
        <references count="10">
          <reference field="0" count="1" selected="0">
            <x v="8"/>
          </reference>
          <reference field="1" count="1" selected="0">
            <x v="8"/>
          </reference>
          <reference field="2" count="1" selected="0">
            <x v="163"/>
          </reference>
          <reference field="3" count="1" selected="0">
            <x v="51"/>
          </reference>
          <reference field="4" count="1" selected="0">
            <x v="138"/>
          </reference>
          <reference field="5" count="1" selected="0">
            <x v="120"/>
          </reference>
          <reference field="6" count="1" selected="0">
            <x v="148"/>
          </reference>
          <reference field="7" count="1" selected="0">
            <x v="96"/>
          </reference>
          <reference field="8" count="1" selected="0">
            <x v="76"/>
          </reference>
          <reference field="9" count="1">
            <x v="118"/>
          </reference>
        </references>
      </pivotArea>
    </format>
    <format dxfId="275">
      <pivotArea dataOnly="0" labelOnly="1" outline="0" fieldPosition="0">
        <references count="10">
          <reference field="0" count="1" selected="0">
            <x v="9"/>
          </reference>
          <reference field="1" count="1" selected="0">
            <x v="9"/>
          </reference>
          <reference field="2" count="1" selected="0">
            <x v="61"/>
          </reference>
          <reference field="3" count="1" selected="0">
            <x v="0"/>
          </reference>
          <reference field="4" count="1" selected="0">
            <x v="144"/>
          </reference>
          <reference field="5" count="1" selected="0">
            <x v="111"/>
          </reference>
          <reference field="6" count="1" selected="0">
            <x v="83"/>
          </reference>
          <reference field="7" count="1" selected="0">
            <x v="0"/>
          </reference>
          <reference field="8" count="1" selected="0">
            <x v="71"/>
          </reference>
          <reference field="9" count="1">
            <x v="110"/>
          </reference>
        </references>
      </pivotArea>
    </format>
    <format dxfId="274">
      <pivotArea dataOnly="0" labelOnly="1" outline="0" fieldPosition="0">
        <references count="10">
          <reference field="0" count="1" selected="0">
            <x v="10"/>
          </reference>
          <reference field="1" count="1" selected="0">
            <x v="10"/>
          </reference>
          <reference field="2" count="1" selected="0">
            <x v="0"/>
          </reference>
          <reference field="3" count="1" selected="0">
            <x v="0"/>
          </reference>
          <reference field="4" count="1" selected="0">
            <x v="0"/>
          </reference>
          <reference field="5" count="1" selected="0">
            <x v="71"/>
          </reference>
          <reference field="6" count="1" selected="0">
            <x v="0"/>
          </reference>
          <reference field="7" count="1" selected="0">
            <x v="17"/>
          </reference>
          <reference field="8" count="1" selected="0">
            <x v="0"/>
          </reference>
          <reference field="9" count="1">
            <x v="0"/>
          </reference>
        </references>
      </pivotArea>
    </format>
    <format dxfId="273">
      <pivotArea dataOnly="0" labelOnly="1" outline="0" fieldPosition="0">
        <references count="10">
          <reference field="0" count="1" selected="0">
            <x v="15"/>
          </reference>
          <reference field="1" count="1" selected="0">
            <x v="15"/>
          </reference>
          <reference field="2" count="1" selected="0">
            <x v="329"/>
          </reference>
          <reference field="3" count="1" selected="0">
            <x v="293"/>
          </reference>
          <reference field="4" count="1" selected="0">
            <x v="0"/>
          </reference>
          <reference field="5" count="1" selected="0">
            <x v="269"/>
          </reference>
          <reference field="6" count="1" selected="0">
            <x v="274"/>
          </reference>
          <reference field="7" count="1" selected="0">
            <x v="0"/>
          </reference>
          <reference field="8" count="1" selected="0">
            <x v="157"/>
          </reference>
          <reference field="9" count="1">
            <x v="260"/>
          </reference>
        </references>
      </pivotArea>
    </format>
    <format dxfId="272">
      <pivotArea dataOnly="0" labelOnly="1" outline="0" fieldPosition="0">
        <references count="10">
          <reference field="0" count="1" selected="0">
            <x v="16"/>
          </reference>
          <reference field="1" count="1" selected="0">
            <x v="16"/>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selected="0">
            <x v="0"/>
          </reference>
          <reference field="9" count="1">
            <x v="64"/>
          </reference>
        </references>
      </pivotArea>
    </format>
    <format dxfId="271">
      <pivotArea dataOnly="0" labelOnly="1" outline="0" fieldPosition="0">
        <references count="11">
          <reference field="0" count="1" selected="0">
            <x v="0"/>
          </reference>
          <reference field="1" count="1" selected="0">
            <x v="0"/>
          </reference>
          <reference field="2" count="1" selected="0">
            <x v="39"/>
          </reference>
          <reference field="3" count="1" selected="0">
            <x v="28"/>
          </reference>
          <reference field="4" count="1" selected="0">
            <x v="35"/>
          </reference>
          <reference field="5" count="1" selected="0">
            <x v="44"/>
          </reference>
          <reference field="6" count="1" selected="0">
            <x v="36"/>
          </reference>
          <reference field="7" count="1" selected="0">
            <x v="28"/>
          </reference>
          <reference field="8" count="1" selected="0">
            <x v="35"/>
          </reference>
          <reference field="9" count="1" selected="0">
            <x v="34"/>
          </reference>
          <reference field="10" count="1">
            <x v="31"/>
          </reference>
        </references>
      </pivotArea>
    </format>
    <format dxfId="270">
      <pivotArea dataOnly="0" labelOnly="1" outline="0" fieldPosition="0">
        <references count="11">
          <reference field="0" count="1" selected="0">
            <x v="1"/>
          </reference>
          <reference field="1" count="1" selected="0">
            <x v="1"/>
          </reference>
          <reference field="2" count="1" selected="0">
            <x v="104"/>
          </reference>
          <reference field="3" count="1" selected="0">
            <x v="0"/>
          </reference>
          <reference field="4" count="1" selected="0">
            <x v="0"/>
          </reference>
          <reference field="5" count="1" selected="0">
            <x v="0"/>
          </reference>
          <reference field="6" count="1" selected="0">
            <x v="93"/>
          </reference>
          <reference field="7" count="1" selected="0">
            <x v="0"/>
          </reference>
          <reference field="8" count="1" selected="0">
            <x v="0"/>
          </reference>
          <reference field="9" count="1" selected="0">
            <x v="96"/>
          </reference>
          <reference field="10" count="1">
            <x v="0"/>
          </reference>
        </references>
      </pivotArea>
    </format>
    <format dxfId="269">
      <pivotArea dataOnly="0" labelOnly="1" outline="0" fieldPosition="0">
        <references count="11">
          <reference field="0" count="1" selected="0">
            <x v="4"/>
          </reference>
          <reference field="1" count="1" selected="0">
            <x v="4"/>
          </reference>
          <reference field="2" count="1" selected="0">
            <x v="234"/>
          </reference>
          <reference field="3" count="1" selected="0">
            <x v="187"/>
          </reference>
          <reference field="4" count="1" selected="0">
            <x v="238"/>
          </reference>
          <reference field="5" count="1" selected="0">
            <x v="246"/>
          </reference>
          <reference field="6" count="1" selected="0">
            <x v="226"/>
          </reference>
          <reference field="7" count="1" selected="0">
            <x v="193"/>
          </reference>
          <reference field="8" count="1" selected="0">
            <x v="201"/>
          </reference>
          <reference field="9" count="1" selected="0">
            <x v="167"/>
          </reference>
          <reference field="10" count="1">
            <x v="143"/>
          </reference>
        </references>
      </pivotArea>
    </format>
    <format dxfId="268">
      <pivotArea dataOnly="0" labelOnly="1" outline="0" fieldPosition="0">
        <references count="11">
          <reference field="0" count="1" selected="0">
            <x v="5"/>
          </reference>
          <reference field="1" count="1" selected="0">
            <x v="5"/>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selected="0">
            <x v="0"/>
          </reference>
          <reference field="9" count="1" selected="0">
            <x v="0"/>
          </reference>
          <reference field="10" count="1">
            <x v="0"/>
          </reference>
        </references>
      </pivotArea>
    </format>
    <format dxfId="267">
      <pivotArea dataOnly="0" labelOnly="1" outline="0" fieldPosition="0">
        <references count="11">
          <reference field="0" count="1" selected="0">
            <x v="6"/>
          </reference>
          <reference field="1" count="1" selected="0">
            <x v="6"/>
          </reference>
          <reference field="2" count="1" selected="0">
            <x v="101"/>
          </reference>
          <reference field="3" count="1" selected="0">
            <x v="82"/>
          </reference>
          <reference field="4" count="1" selected="0">
            <x v="102"/>
          </reference>
          <reference field="5" count="1" selected="0">
            <x v="115"/>
          </reference>
          <reference field="6" count="1" selected="0">
            <x v="76"/>
          </reference>
          <reference field="7" count="1" selected="0">
            <x v="73"/>
          </reference>
          <reference field="8" count="1" selected="0">
            <x v="87"/>
          </reference>
          <reference field="9" count="1" selected="0">
            <x v="78"/>
          </reference>
          <reference field="10" count="1">
            <x v="59"/>
          </reference>
        </references>
      </pivotArea>
    </format>
    <format dxfId="266">
      <pivotArea dataOnly="0" labelOnly="1" outline="0" fieldPosition="0">
        <references count="11">
          <reference field="0" count="1" selected="0">
            <x v="7"/>
          </reference>
          <reference field="1" count="1" selected="0">
            <x v="7"/>
          </reference>
          <reference field="2" count="1" selected="0">
            <x v="163"/>
          </reference>
          <reference field="3" count="1" selected="0">
            <x v="51"/>
          </reference>
          <reference field="4" count="1" selected="0">
            <x v="138"/>
          </reference>
          <reference field="5" count="1" selected="0">
            <x v="120"/>
          </reference>
          <reference field="6" count="1" selected="0">
            <x v="93"/>
          </reference>
          <reference field="7" count="1" selected="0">
            <x v="96"/>
          </reference>
          <reference field="8" count="1" selected="0">
            <x v="76"/>
          </reference>
          <reference field="9" count="1" selected="0">
            <x v="0"/>
          </reference>
          <reference field="10" count="1">
            <x v="127"/>
          </reference>
        </references>
      </pivotArea>
    </format>
    <format dxfId="265">
      <pivotArea dataOnly="0" labelOnly="1" outline="0" fieldPosition="0">
        <references count="11">
          <reference field="0" count="1" selected="0">
            <x v="8"/>
          </reference>
          <reference field="1" count="1" selected="0">
            <x v="8"/>
          </reference>
          <reference field="2" count="1" selected="0">
            <x v="163"/>
          </reference>
          <reference field="3" count="1" selected="0">
            <x v="51"/>
          </reference>
          <reference field="4" count="1" selected="0">
            <x v="138"/>
          </reference>
          <reference field="5" count="1" selected="0">
            <x v="120"/>
          </reference>
          <reference field="6" count="1" selected="0">
            <x v="148"/>
          </reference>
          <reference field="7" count="1" selected="0">
            <x v="96"/>
          </reference>
          <reference field="8" count="1" selected="0">
            <x v="76"/>
          </reference>
          <reference field="9" count="1" selected="0">
            <x v="118"/>
          </reference>
          <reference field="10" count="1">
            <x v="193"/>
          </reference>
        </references>
      </pivotArea>
    </format>
    <format dxfId="264">
      <pivotArea dataOnly="0" labelOnly="1" outline="0" fieldPosition="0">
        <references count="11">
          <reference field="0" count="1" selected="0">
            <x v="9"/>
          </reference>
          <reference field="1" count="1" selected="0">
            <x v="9"/>
          </reference>
          <reference field="2" count="1" selected="0">
            <x v="61"/>
          </reference>
          <reference field="3" count="1" selected="0">
            <x v="0"/>
          </reference>
          <reference field="4" count="1" selected="0">
            <x v="144"/>
          </reference>
          <reference field="5" count="1" selected="0">
            <x v="111"/>
          </reference>
          <reference field="6" count="1" selected="0">
            <x v="83"/>
          </reference>
          <reference field="7" count="1" selected="0">
            <x v="0"/>
          </reference>
          <reference field="8" count="1" selected="0">
            <x v="71"/>
          </reference>
          <reference field="9" count="1" selected="0">
            <x v="110"/>
          </reference>
          <reference field="10" count="1">
            <x v="0"/>
          </reference>
        </references>
      </pivotArea>
    </format>
    <format dxfId="263">
      <pivotArea dataOnly="0" labelOnly="1" outline="0" fieldPosition="0">
        <references count="11">
          <reference field="0" count="1" selected="0">
            <x v="11"/>
          </reference>
          <reference field="1" count="1" selected="0">
            <x v="11"/>
          </reference>
          <reference field="2" count="1" selected="0">
            <x v="0"/>
          </reference>
          <reference field="3" count="1" selected="0">
            <x v="0"/>
          </reference>
          <reference field="4" count="1" selected="0">
            <x v="99"/>
          </reference>
          <reference field="5" count="1" selected="0">
            <x v="0"/>
          </reference>
          <reference field="6" count="1" selected="0">
            <x v="0"/>
          </reference>
          <reference field="7" count="1" selected="0">
            <x v="0"/>
          </reference>
          <reference field="8" count="1" selected="0">
            <x v="0"/>
          </reference>
          <reference field="9" count="1" selected="0">
            <x v="0"/>
          </reference>
          <reference field="10" count="1">
            <x v="85"/>
          </reference>
        </references>
      </pivotArea>
    </format>
    <format dxfId="262">
      <pivotArea dataOnly="0" labelOnly="1" outline="0" fieldPosition="0">
        <references count="11">
          <reference field="0" count="1" selected="0">
            <x v="12"/>
          </reference>
          <reference field="1" count="1" selected="0">
            <x v="12"/>
          </reference>
          <reference field="2" count="1" selected="0">
            <x v="0"/>
          </reference>
          <reference field="3" count="1" selected="0">
            <x v="0"/>
          </reference>
          <reference field="4" count="1" selected="0">
            <x v="0"/>
          </reference>
          <reference field="5" count="1" selected="0">
            <x v="239"/>
          </reference>
          <reference field="6" count="1" selected="0">
            <x v="163"/>
          </reference>
          <reference field="7" count="1" selected="0">
            <x v="186"/>
          </reference>
          <reference field="8" count="1" selected="0">
            <x v="0"/>
          </reference>
          <reference field="9" count="1" selected="0">
            <x v="0"/>
          </reference>
          <reference field="10" count="1">
            <x v="55"/>
          </reference>
        </references>
      </pivotArea>
    </format>
    <format dxfId="261">
      <pivotArea dataOnly="0" labelOnly="1" outline="0" fieldPosition="0">
        <references count="11">
          <reference field="0" count="1" selected="0">
            <x v="13"/>
          </reference>
          <reference field="1" count="1" selected="0">
            <x v="13"/>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selected="0">
            <x v="0"/>
          </reference>
          <reference field="9" count="1" selected="0">
            <x v="0"/>
          </reference>
          <reference field="10" count="1">
            <x v="0"/>
          </reference>
        </references>
      </pivotArea>
    </format>
    <format dxfId="260">
      <pivotArea dataOnly="0" labelOnly="1" outline="0" fieldPosition="0">
        <references count="11">
          <reference field="0" count="1" selected="0">
            <x v="14"/>
          </reference>
          <reference field="1" count="1" selected="0">
            <x v="14"/>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selected="0">
            <x v="0"/>
          </reference>
          <reference field="9" count="1" selected="0">
            <x v="0"/>
          </reference>
          <reference field="10" count="1">
            <x v="85"/>
          </reference>
        </references>
      </pivotArea>
    </format>
    <format dxfId="259">
      <pivotArea dataOnly="0" labelOnly="1" outline="0" fieldPosition="0">
        <references count="11">
          <reference field="0" count="1" selected="0">
            <x v="15"/>
          </reference>
          <reference field="1" count="1" selected="0">
            <x v="15"/>
          </reference>
          <reference field="2" count="1" selected="0">
            <x v="329"/>
          </reference>
          <reference field="3" count="1" selected="0">
            <x v="293"/>
          </reference>
          <reference field="4" count="1" selected="0">
            <x v="0"/>
          </reference>
          <reference field="5" count="1" selected="0">
            <x v="269"/>
          </reference>
          <reference field="6" count="1" selected="0">
            <x v="274"/>
          </reference>
          <reference field="7" count="1" selected="0">
            <x v="0"/>
          </reference>
          <reference field="8" count="1" selected="0">
            <x v="157"/>
          </reference>
          <reference field="9" count="1" selected="0">
            <x v="260"/>
          </reference>
          <reference field="10" count="1">
            <x v="107"/>
          </reference>
        </references>
      </pivotArea>
    </format>
    <format dxfId="258">
      <pivotArea dataOnly="0" labelOnly="1" outline="0" fieldPosition="0">
        <references count="11">
          <reference field="0" count="1" selected="0">
            <x v="16"/>
          </reference>
          <reference field="1" count="1" selected="0">
            <x v="16"/>
          </reference>
          <reference field="2" count="1" selected="0">
            <x v="0"/>
          </reference>
          <reference field="3" count="1" selected="0">
            <x v="0"/>
          </reference>
          <reference field="4" count="1" selected="0">
            <x v="0"/>
          </reference>
          <reference field="5" count="1" selected="0">
            <x v="0"/>
          </reference>
          <reference field="6" count="1" selected="0">
            <x v="0"/>
          </reference>
          <reference field="7" count="1" selected="0">
            <x v="0"/>
          </reference>
          <reference field="8" count="1" selected="0">
            <x v="0"/>
          </reference>
          <reference field="9" count="1" selected="0">
            <x v="64"/>
          </reference>
          <reference field="10" count="1">
            <x v="0"/>
          </reference>
        </references>
      </pivotArea>
    </format>
    <format dxfId="257">
      <pivotArea dataOnly="0" labelOnly="1" outline="0" offset="IV1:IV17" fieldPosition="0">
        <references count="12">
          <reference field="0" count="1" selected="0">
            <x v="0"/>
          </reference>
          <reference field="1" count="1" selected="0">
            <x v="0"/>
          </reference>
          <reference field="2" count="1" selected="0">
            <x v="39"/>
          </reference>
          <reference field="3" count="1" selected="0">
            <x v="28"/>
          </reference>
          <reference field="4" count="1" selected="0">
            <x v="35"/>
          </reference>
          <reference field="5" count="1" selected="0">
            <x v="44"/>
          </reference>
          <reference field="6" count="1" selected="0">
            <x v="36"/>
          </reference>
          <reference field="7" count="1" selected="0">
            <x v="28"/>
          </reference>
          <reference field="8" count="1" selected="0">
            <x v="35"/>
          </reference>
          <reference field="9" count="1" selected="0">
            <x v="34"/>
          </reference>
          <reference field="10" count="1" selected="0">
            <x v="31"/>
          </reference>
          <reference field="11"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printerSettings" Target="../printerSettings/printerSettings2.bin"/><Relationship Id="rId7" Type="http://schemas.openxmlformats.org/officeDocument/2006/relationships/ctrlProp" Target="../ctrlProps/ctrlProp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mailto:supplier_logistics@gmail.com" TargetMode="External"/><Relationship Id="rId7" Type="http://schemas.openxmlformats.org/officeDocument/2006/relationships/drawing" Target="../drawings/drawing3.xml"/><Relationship Id="rId2" Type="http://schemas.openxmlformats.org/officeDocument/2006/relationships/hyperlink" Target="mailto:supplier@gmail.com" TargetMode="External"/><Relationship Id="rId1" Type="http://schemas.openxmlformats.org/officeDocument/2006/relationships/hyperlink" Target="mailto:supplier@gmail.com" TargetMode="External"/><Relationship Id="rId6" Type="http://schemas.openxmlformats.org/officeDocument/2006/relationships/hyperlink" Target="mailto:supplier@gmail.com" TargetMode="External"/><Relationship Id="rId5" Type="http://schemas.openxmlformats.org/officeDocument/2006/relationships/hyperlink" Target="mailto:supplier@gmail.com" TargetMode="External"/><Relationship Id="rId4" Type="http://schemas.openxmlformats.org/officeDocument/2006/relationships/hyperlink" Target="mailto:supplier_logistics@gmail.com" TargetMode="Externa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rgb="FF7030A0"/>
  </sheetPr>
  <dimension ref="B1:R3876"/>
  <sheetViews>
    <sheetView workbookViewId="0">
      <pane xSplit="1" topLeftCell="B1" activePane="topRight" state="frozen"/>
      <selection pane="topRight"/>
    </sheetView>
  </sheetViews>
  <sheetFormatPr baseColWidth="10" defaultRowHeight="15" x14ac:dyDescent="0.25"/>
  <cols>
    <col min="2" max="2" width="62.140625" bestFit="1" customWidth="1"/>
    <col min="3" max="3" width="17.7109375" bestFit="1" customWidth="1"/>
    <col min="4" max="13" width="16.7109375" bestFit="1" customWidth="1"/>
    <col min="15" max="15" width="44.85546875" bestFit="1" customWidth="1"/>
    <col min="16" max="16" width="44.42578125" style="20" bestFit="1" customWidth="1"/>
    <col min="17" max="17" width="29.28515625" bestFit="1" customWidth="1"/>
  </cols>
  <sheetData>
    <row r="1" spans="2:18" x14ac:dyDescent="0.25">
      <c r="B1" s="5" t="s">
        <v>3</v>
      </c>
      <c r="C1" s="5" t="s">
        <v>2</v>
      </c>
      <c r="D1" s="5" t="s">
        <v>3881</v>
      </c>
      <c r="E1" s="5" t="s">
        <v>3882</v>
      </c>
      <c r="F1" s="5" t="s">
        <v>3883</v>
      </c>
      <c r="G1" s="5" t="s">
        <v>3884</v>
      </c>
      <c r="H1" s="5" t="s">
        <v>3885</v>
      </c>
      <c r="I1" s="5" t="s">
        <v>3886</v>
      </c>
      <c r="J1" s="5" t="s">
        <v>3887</v>
      </c>
      <c r="K1" s="5" t="s">
        <v>3888</v>
      </c>
      <c r="L1" s="5" t="s">
        <v>3889</v>
      </c>
      <c r="M1" s="5" t="s">
        <v>3890</v>
      </c>
      <c r="N1" s="5" t="s">
        <v>1</v>
      </c>
      <c r="O1" s="5" t="s">
        <v>3891</v>
      </c>
      <c r="P1" s="20" t="s">
        <v>0</v>
      </c>
      <c r="Q1" s="5" t="s">
        <v>8026</v>
      </c>
      <c r="R1" s="5" t="s">
        <v>8027</v>
      </c>
    </row>
    <row r="2" spans="2:18" x14ac:dyDescent="0.25">
      <c r="B2" s="5" t="s">
        <v>4</v>
      </c>
      <c r="C2" s="5" t="s">
        <v>3879</v>
      </c>
      <c r="D2" s="5">
        <v>2</v>
      </c>
      <c r="E2" s="5">
        <v>2</v>
      </c>
      <c r="F2" s="5">
        <v>2</v>
      </c>
      <c r="G2" s="5">
        <v>2</v>
      </c>
      <c r="H2" s="5">
        <v>2</v>
      </c>
      <c r="I2" s="5">
        <v>2</v>
      </c>
      <c r="J2" s="5">
        <v>2</v>
      </c>
      <c r="K2" s="5">
        <v>2</v>
      </c>
      <c r="L2" s="5">
        <v>2</v>
      </c>
      <c r="M2" s="5">
        <v>0</v>
      </c>
      <c r="N2" s="5">
        <v>531</v>
      </c>
      <c r="O2" s="5" t="str">
        <f ca="1">"Supplier "&amp;RANDBETWEEN(1,200)</f>
        <v>Supplier 28</v>
      </c>
      <c r="P2" s="20" t="str">
        <f ca="1">IFERROR(VLOOKUP(O2,EMAILS!B:C,2,FALSE),"NOT FOUND IN EMAILS")</f>
        <v>supplier@gmail.com</v>
      </c>
      <c r="Q2" t="str">
        <f ca="1">""&amp;IFERROR(VLOOKUP(O2,EMAILS!B:D,3,FALSE),"NOT FOUND IN EMAILS")</f>
        <v/>
      </c>
      <c r="R2" t="str">
        <f ca="1">""&amp;IFERROR(VLOOKUP(O2,EMAILS!B:E,4,FALSE),"NO T FOUND IN EMAILS")</f>
        <v/>
      </c>
    </row>
    <row r="3" spans="2:18" x14ac:dyDescent="0.25">
      <c r="B3" s="5" t="s">
        <v>5</v>
      </c>
      <c r="C3" s="5" t="s">
        <v>3880</v>
      </c>
      <c r="D3" s="5">
        <v>300</v>
      </c>
      <c r="E3" s="5">
        <v>0</v>
      </c>
      <c r="F3" s="5">
        <v>150</v>
      </c>
      <c r="G3" s="5">
        <v>0</v>
      </c>
      <c r="H3" s="5">
        <v>90</v>
      </c>
      <c r="I3" s="5">
        <v>90</v>
      </c>
      <c r="J3" s="5">
        <v>90</v>
      </c>
      <c r="K3" s="5">
        <v>30</v>
      </c>
      <c r="L3" s="5">
        <v>90</v>
      </c>
      <c r="M3" s="5">
        <v>0</v>
      </c>
      <c r="N3" s="5">
        <v>0</v>
      </c>
      <c r="O3" s="5" t="str">
        <f t="shared" ref="O3:O66" ca="1" si="0">"Supplier "&amp;RANDBETWEEN(1,200)</f>
        <v>Supplier 17</v>
      </c>
      <c r="P3" s="20" t="str">
        <f ca="1">IFERROR(VLOOKUP(O3,EMAILS!B:C,2,FALSE),"NOT FOUND IN EMAILS")</f>
        <v>supplier@gmail.com</v>
      </c>
      <c r="Q3" t="str">
        <f ca="1">""&amp;IFERROR(VLOOKUP(O3,EMAILS!B:D,3,FALSE),"NOT FOUND IN EMAILS")</f>
        <v>supplier_logistics@gmail.com</v>
      </c>
      <c r="R3" t="str">
        <f ca="1">""&amp;IFERROR(VLOOKUP(O3,EMAILS!B:E,4,FALSE),"NO T FOUND IN EMAILS")</f>
        <v/>
      </c>
    </row>
    <row r="4" spans="2:18" x14ac:dyDescent="0.25">
      <c r="B4" s="5" t="s">
        <v>6</v>
      </c>
      <c r="C4" s="5" t="s">
        <v>4146</v>
      </c>
      <c r="D4" s="5">
        <v>225</v>
      </c>
      <c r="E4" s="5">
        <v>225</v>
      </c>
      <c r="F4" s="5">
        <v>375</v>
      </c>
      <c r="G4" s="5">
        <v>225</v>
      </c>
      <c r="H4" s="5">
        <v>230</v>
      </c>
      <c r="I4" s="5">
        <v>230</v>
      </c>
      <c r="J4" s="5">
        <v>230</v>
      </c>
      <c r="K4" s="5">
        <v>200</v>
      </c>
      <c r="L4" s="5">
        <v>230</v>
      </c>
      <c r="M4" s="5">
        <v>0</v>
      </c>
      <c r="N4" s="5">
        <v>301</v>
      </c>
      <c r="O4" s="5" t="str">
        <f t="shared" ca="1" si="0"/>
        <v>Supplier 96</v>
      </c>
      <c r="P4" s="20" t="str">
        <f ca="1">IFERROR(VLOOKUP(O4,EMAILS!B:C,2,FALSE),"NOT FOUND IN EMAILS")</f>
        <v>supplier@gmail.com</v>
      </c>
      <c r="Q4" t="str">
        <f ca="1">""&amp;IFERROR(VLOOKUP(O4,EMAILS!B:D,3,FALSE),"NOT FOUND IN EMAILS")</f>
        <v/>
      </c>
      <c r="R4" t="str">
        <f ca="1">""&amp;IFERROR(VLOOKUP(O4,EMAILS!B:E,4,FALSE),"NO T FOUND IN EMAILS")</f>
        <v/>
      </c>
    </row>
    <row r="5" spans="2:18" x14ac:dyDescent="0.25">
      <c r="B5" s="5" t="s">
        <v>7</v>
      </c>
      <c r="C5" s="5" t="s">
        <v>4147</v>
      </c>
      <c r="D5" s="5">
        <v>300</v>
      </c>
      <c r="E5" s="5">
        <v>0</v>
      </c>
      <c r="F5" s="5">
        <v>150</v>
      </c>
      <c r="G5" s="5">
        <v>0</v>
      </c>
      <c r="H5" s="5">
        <v>120</v>
      </c>
      <c r="I5" s="5">
        <v>120</v>
      </c>
      <c r="J5" s="5">
        <v>120</v>
      </c>
      <c r="K5" s="5">
        <v>90</v>
      </c>
      <c r="L5" s="5">
        <v>120</v>
      </c>
      <c r="M5" s="5">
        <v>0</v>
      </c>
      <c r="N5" s="5">
        <v>0</v>
      </c>
      <c r="O5" s="5" t="str">
        <f t="shared" ca="1" si="0"/>
        <v>Supplier 82</v>
      </c>
      <c r="P5" s="20" t="str">
        <f ca="1">IFERROR(VLOOKUP(O5,EMAILS!B:C,2,FALSE),"NOT FOUND IN EMAILS")</f>
        <v>supplier@gmail.com</v>
      </c>
      <c r="Q5" t="str">
        <f ca="1">""&amp;IFERROR(VLOOKUP(O5,EMAILS!B:D,3,FALSE),"NOT FOUND IN EMAILS")</f>
        <v/>
      </c>
      <c r="R5" t="str">
        <f ca="1">""&amp;IFERROR(VLOOKUP(O5,EMAILS!B:E,4,FALSE),"NO T FOUND IN EMAILS")</f>
        <v/>
      </c>
    </row>
    <row r="6" spans="2:18" x14ac:dyDescent="0.25">
      <c r="B6" s="5" t="s">
        <v>8</v>
      </c>
      <c r="C6" s="5" t="s">
        <v>4148</v>
      </c>
      <c r="D6" s="5">
        <v>75</v>
      </c>
      <c r="E6" s="5">
        <v>0</v>
      </c>
      <c r="F6" s="5">
        <v>75</v>
      </c>
      <c r="G6" s="5">
        <v>75</v>
      </c>
      <c r="H6" s="5">
        <v>58</v>
      </c>
      <c r="I6" s="5">
        <v>58</v>
      </c>
      <c r="J6" s="5">
        <v>58</v>
      </c>
      <c r="K6" s="5">
        <v>58</v>
      </c>
      <c r="L6" s="5">
        <v>58</v>
      </c>
      <c r="M6" s="5">
        <v>0</v>
      </c>
      <c r="N6" s="5">
        <v>0</v>
      </c>
      <c r="O6" s="5" t="str">
        <f t="shared" ca="1" si="0"/>
        <v>Supplier 116</v>
      </c>
      <c r="P6" s="20" t="str">
        <f ca="1">IFERROR(VLOOKUP(O6,EMAILS!B:C,2,FALSE),"NOT FOUND IN EMAILS")</f>
        <v>supplier@gmail.com</v>
      </c>
      <c r="Q6" t="str">
        <f ca="1">""&amp;IFERROR(VLOOKUP(O6,EMAILS!B:D,3,FALSE),"NOT FOUND IN EMAILS")</f>
        <v/>
      </c>
      <c r="R6" t="str">
        <f ca="1">""&amp;IFERROR(VLOOKUP(O6,EMAILS!B:E,4,FALSE),"NO T FOUND IN EMAILS")</f>
        <v/>
      </c>
    </row>
    <row r="7" spans="2:18" x14ac:dyDescent="0.25">
      <c r="B7" s="5" t="s">
        <v>9</v>
      </c>
      <c r="C7" s="5" t="s">
        <v>4149</v>
      </c>
      <c r="D7" s="5">
        <v>0</v>
      </c>
      <c r="E7" s="5">
        <v>140</v>
      </c>
      <c r="F7" s="5">
        <v>0</v>
      </c>
      <c r="G7" s="5">
        <v>0</v>
      </c>
      <c r="H7" s="5">
        <v>45</v>
      </c>
      <c r="I7" s="5">
        <v>45</v>
      </c>
      <c r="J7" s="5">
        <v>45</v>
      </c>
      <c r="K7" s="5">
        <v>45</v>
      </c>
      <c r="L7" s="5">
        <v>45</v>
      </c>
      <c r="M7" s="5">
        <v>0</v>
      </c>
      <c r="N7" s="5">
        <v>0</v>
      </c>
      <c r="O7" s="5" t="str">
        <f t="shared" ca="1" si="0"/>
        <v>Supplier 175</v>
      </c>
      <c r="P7" s="20" t="str">
        <f ca="1">IFERROR(VLOOKUP(O7,EMAILS!B:C,2,FALSE),"NOT FOUND IN EMAILS")</f>
        <v>supplier@gmail.com</v>
      </c>
      <c r="Q7" t="str">
        <f ca="1">""&amp;IFERROR(VLOOKUP(O7,EMAILS!B:D,3,FALSE),"NOT FOUND IN EMAILS")</f>
        <v/>
      </c>
      <c r="R7" t="str">
        <f ca="1">""&amp;IFERROR(VLOOKUP(O7,EMAILS!B:E,4,FALSE),"NO T FOUND IN EMAILS")</f>
        <v/>
      </c>
    </row>
    <row r="8" spans="2:18" x14ac:dyDescent="0.25">
      <c r="B8" s="5" t="s">
        <v>10</v>
      </c>
      <c r="C8" s="5" t="s">
        <v>4150</v>
      </c>
      <c r="D8" s="5">
        <v>280</v>
      </c>
      <c r="E8" s="5">
        <v>0</v>
      </c>
      <c r="F8" s="5">
        <v>0</v>
      </c>
      <c r="G8" s="5">
        <v>140</v>
      </c>
      <c r="H8" s="5">
        <v>70</v>
      </c>
      <c r="I8" s="5">
        <v>70</v>
      </c>
      <c r="J8" s="5">
        <v>70</v>
      </c>
      <c r="K8" s="5">
        <v>70</v>
      </c>
      <c r="L8" s="5">
        <v>70</v>
      </c>
      <c r="M8" s="5">
        <v>0</v>
      </c>
      <c r="N8" s="5">
        <v>0</v>
      </c>
      <c r="O8" s="5" t="str">
        <f t="shared" ca="1" si="0"/>
        <v>Supplier 74</v>
      </c>
      <c r="P8" s="20" t="str">
        <f ca="1">IFERROR(VLOOKUP(O8,EMAILS!B:C,2,FALSE),"NOT FOUND IN EMAILS")</f>
        <v>supplier@gmail.com</v>
      </c>
      <c r="Q8" t="str">
        <f ca="1">""&amp;IFERROR(VLOOKUP(O8,EMAILS!B:D,3,FALSE),"NOT FOUND IN EMAILS")</f>
        <v/>
      </c>
      <c r="R8" t="str">
        <f ca="1">""&amp;IFERROR(VLOOKUP(O8,EMAILS!B:E,4,FALSE),"NO T FOUND IN EMAILS")</f>
        <v/>
      </c>
    </row>
    <row r="9" spans="2:18" x14ac:dyDescent="0.25">
      <c r="B9" s="5" t="s">
        <v>11</v>
      </c>
      <c r="C9" s="5" t="s">
        <v>4151</v>
      </c>
      <c r="D9" s="5">
        <v>240</v>
      </c>
      <c r="E9" s="5">
        <v>0</v>
      </c>
      <c r="F9" s="5">
        <v>0</v>
      </c>
      <c r="G9" s="5">
        <v>120</v>
      </c>
      <c r="H9" s="5">
        <v>65</v>
      </c>
      <c r="I9" s="5">
        <v>65</v>
      </c>
      <c r="J9" s="5">
        <v>65</v>
      </c>
      <c r="K9" s="5">
        <v>55</v>
      </c>
      <c r="L9" s="5">
        <v>65</v>
      </c>
      <c r="M9" s="5">
        <v>0</v>
      </c>
      <c r="N9" s="5">
        <v>0</v>
      </c>
      <c r="O9" s="5" t="str">
        <f t="shared" ca="1" si="0"/>
        <v>Supplier 162</v>
      </c>
      <c r="P9" s="20" t="str">
        <f ca="1">IFERROR(VLOOKUP(O9,EMAILS!B:C,2,FALSE),"NOT FOUND IN EMAILS")</f>
        <v>supplier@gmail.com</v>
      </c>
      <c r="Q9" t="str">
        <f ca="1">""&amp;IFERROR(VLOOKUP(O9,EMAILS!B:D,3,FALSE),"NOT FOUND IN EMAILS")</f>
        <v/>
      </c>
      <c r="R9" t="str">
        <f ca="1">""&amp;IFERROR(VLOOKUP(O9,EMAILS!B:E,4,FALSE),"NO T FOUND IN EMAILS")</f>
        <v/>
      </c>
    </row>
    <row r="10" spans="2:18" x14ac:dyDescent="0.25">
      <c r="B10" s="5" t="s">
        <v>12</v>
      </c>
      <c r="C10" s="5" t="s">
        <v>4152</v>
      </c>
      <c r="D10" s="5">
        <v>30</v>
      </c>
      <c r="E10" s="5">
        <v>0</v>
      </c>
      <c r="F10" s="5">
        <v>0</v>
      </c>
      <c r="G10" s="5">
        <v>0</v>
      </c>
      <c r="H10" s="5">
        <v>30</v>
      </c>
      <c r="I10" s="5">
        <v>0</v>
      </c>
      <c r="J10" s="5">
        <v>0</v>
      </c>
      <c r="K10" s="5">
        <v>30</v>
      </c>
      <c r="L10" s="5">
        <v>0</v>
      </c>
      <c r="M10" s="5">
        <v>0</v>
      </c>
      <c r="N10" s="5">
        <v>0</v>
      </c>
      <c r="O10" s="5" t="str">
        <f t="shared" ca="1" si="0"/>
        <v>Supplier 156</v>
      </c>
      <c r="P10" s="20" t="str">
        <f ca="1">IFERROR(VLOOKUP(O10,EMAILS!B:C,2,FALSE),"NOT FOUND IN EMAILS")</f>
        <v>supplier@gmail.com</v>
      </c>
      <c r="Q10" t="str">
        <f ca="1">""&amp;IFERROR(VLOOKUP(O10,EMAILS!B:D,3,FALSE),"NOT FOUND IN EMAILS")</f>
        <v/>
      </c>
      <c r="R10" t="str">
        <f ca="1">""&amp;IFERROR(VLOOKUP(O10,EMAILS!B:E,4,FALSE),"NO T FOUND IN EMAILS")</f>
        <v/>
      </c>
    </row>
    <row r="11" spans="2:18" x14ac:dyDescent="0.25">
      <c r="B11" s="5" t="s">
        <v>13</v>
      </c>
      <c r="C11" s="5" t="s">
        <v>4153</v>
      </c>
      <c r="D11" s="5">
        <v>30</v>
      </c>
      <c r="E11" s="5">
        <v>0</v>
      </c>
      <c r="F11" s="5">
        <v>0</v>
      </c>
      <c r="G11" s="5">
        <v>0</v>
      </c>
      <c r="H11" s="5">
        <v>30</v>
      </c>
      <c r="I11" s="5">
        <v>0</v>
      </c>
      <c r="J11" s="5">
        <v>0</v>
      </c>
      <c r="K11" s="5">
        <v>30</v>
      </c>
      <c r="L11" s="5">
        <v>0</v>
      </c>
      <c r="M11" s="5">
        <v>0</v>
      </c>
      <c r="N11" s="5">
        <v>100</v>
      </c>
      <c r="O11" s="5" t="str">
        <f t="shared" ca="1" si="0"/>
        <v>Supplier 14</v>
      </c>
      <c r="P11" s="20" t="str">
        <f ca="1">IFERROR(VLOOKUP(O11,EMAILS!B:C,2,FALSE),"NOT FOUND IN EMAILS")</f>
        <v>supplier@gmail.com</v>
      </c>
      <c r="Q11" t="str">
        <f ca="1">""&amp;IFERROR(VLOOKUP(O11,EMAILS!B:D,3,FALSE),"NOT FOUND IN EMAILS")</f>
        <v>supplier_logistics@gmail.com</v>
      </c>
      <c r="R11" t="str">
        <f ca="1">""&amp;IFERROR(VLOOKUP(O11,EMAILS!B:E,4,FALSE),"NO T FOUND IN EMAILS")</f>
        <v/>
      </c>
    </row>
    <row r="12" spans="2:18" x14ac:dyDescent="0.25">
      <c r="B12" s="5" t="s">
        <v>14</v>
      </c>
      <c r="C12" s="5" t="s">
        <v>4154</v>
      </c>
      <c r="D12" s="5">
        <v>60</v>
      </c>
      <c r="E12" s="5">
        <v>0</v>
      </c>
      <c r="F12" s="5">
        <v>0</v>
      </c>
      <c r="G12" s="5">
        <v>0</v>
      </c>
      <c r="H12" s="5">
        <v>60</v>
      </c>
      <c r="I12" s="5">
        <v>0</v>
      </c>
      <c r="J12" s="5">
        <v>0</v>
      </c>
      <c r="K12" s="5">
        <v>60</v>
      </c>
      <c r="L12" s="5">
        <v>0</v>
      </c>
      <c r="M12" s="5">
        <v>0</v>
      </c>
      <c r="N12" s="5">
        <v>400</v>
      </c>
      <c r="O12" s="5" t="str">
        <f t="shared" ca="1" si="0"/>
        <v>Supplier 184</v>
      </c>
      <c r="P12" s="20" t="str">
        <f ca="1">IFERROR(VLOOKUP(O12,EMAILS!B:C,2,FALSE),"NOT FOUND IN EMAILS")</f>
        <v>supplier@gmail.com</v>
      </c>
      <c r="Q12" t="str">
        <f ca="1">""&amp;IFERROR(VLOOKUP(O12,EMAILS!B:D,3,FALSE),"NOT FOUND IN EMAILS")</f>
        <v/>
      </c>
      <c r="R12" t="str">
        <f ca="1">""&amp;IFERROR(VLOOKUP(O12,EMAILS!B:E,4,FALSE),"NO T FOUND IN EMAILS")</f>
        <v/>
      </c>
    </row>
    <row r="13" spans="2:18" x14ac:dyDescent="0.25">
      <c r="B13" s="5" t="s">
        <v>15</v>
      </c>
      <c r="C13" s="5" t="s">
        <v>4155</v>
      </c>
      <c r="D13" s="5">
        <v>60</v>
      </c>
      <c r="E13" s="5">
        <v>0</v>
      </c>
      <c r="F13" s="5">
        <v>0</v>
      </c>
      <c r="G13" s="5">
        <v>0</v>
      </c>
      <c r="H13" s="5">
        <v>60</v>
      </c>
      <c r="I13" s="5">
        <v>0</v>
      </c>
      <c r="J13" s="5">
        <v>0</v>
      </c>
      <c r="K13" s="5">
        <v>60</v>
      </c>
      <c r="L13" s="5">
        <v>0</v>
      </c>
      <c r="M13" s="5">
        <v>0</v>
      </c>
      <c r="N13" s="5">
        <v>407</v>
      </c>
      <c r="O13" s="5" t="str">
        <f t="shared" ca="1" si="0"/>
        <v>Supplier 170</v>
      </c>
      <c r="P13" s="20" t="str">
        <f ca="1">IFERROR(VLOOKUP(O13,EMAILS!B:C,2,FALSE),"NOT FOUND IN EMAILS")</f>
        <v>supplier@gmail.com</v>
      </c>
      <c r="Q13" t="str">
        <f ca="1">""&amp;IFERROR(VLOOKUP(O13,EMAILS!B:D,3,FALSE),"NOT FOUND IN EMAILS")</f>
        <v/>
      </c>
      <c r="R13" t="str">
        <f ca="1">""&amp;IFERROR(VLOOKUP(O13,EMAILS!B:E,4,FALSE),"NO T FOUND IN EMAILS")</f>
        <v/>
      </c>
    </row>
    <row r="14" spans="2:18" x14ac:dyDescent="0.25">
      <c r="B14" s="5" t="s">
        <v>16</v>
      </c>
      <c r="C14" s="5" t="s">
        <v>4156</v>
      </c>
      <c r="D14" s="5">
        <v>150</v>
      </c>
      <c r="E14" s="5">
        <v>0</v>
      </c>
      <c r="F14" s="5">
        <v>0</v>
      </c>
      <c r="G14" s="5">
        <v>0</v>
      </c>
      <c r="H14" s="5">
        <v>150</v>
      </c>
      <c r="I14" s="5">
        <v>0</v>
      </c>
      <c r="J14" s="5">
        <v>0</v>
      </c>
      <c r="K14" s="5">
        <v>150</v>
      </c>
      <c r="L14" s="5">
        <v>0</v>
      </c>
      <c r="M14" s="5">
        <v>0</v>
      </c>
      <c r="N14" s="5">
        <v>0</v>
      </c>
      <c r="O14" s="5" t="str">
        <f t="shared" ca="1" si="0"/>
        <v>Supplier 137</v>
      </c>
      <c r="P14" s="20" t="str">
        <f ca="1">IFERROR(VLOOKUP(O14,EMAILS!B:C,2,FALSE),"NOT FOUND IN EMAILS")</f>
        <v>supplier@gmail.com</v>
      </c>
      <c r="Q14" t="str">
        <f ca="1">""&amp;IFERROR(VLOOKUP(O14,EMAILS!B:D,3,FALSE),"NOT FOUND IN EMAILS")</f>
        <v/>
      </c>
      <c r="R14" t="str">
        <f ca="1">""&amp;IFERROR(VLOOKUP(O14,EMAILS!B:E,4,FALSE),"NO T FOUND IN EMAILS")</f>
        <v/>
      </c>
    </row>
    <row r="15" spans="2:18" x14ac:dyDescent="0.25">
      <c r="B15" s="5" t="s">
        <v>17</v>
      </c>
      <c r="C15" s="5" t="s">
        <v>4157</v>
      </c>
      <c r="D15" s="5">
        <v>150</v>
      </c>
      <c r="E15" s="5">
        <v>0</v>
      </c>
      <c r="F15" s="5">
        <v>0</v>
      </c>
      <c r="G15" s="5">
        <v>0</v>
      </c>
      <c r="H15" s="5">
        <v>150</v>
      </c>
      <c r="I15" s="5">
        <v>0</v>
      </c>
      <c r="J15" s="5">
        <v>0</v>
      </c>
      <c r="K15" s="5">
        <v>150</v>
      </c>
      <c r="L15" s="5">
        <v>0</v>
      </c>
      <c r="M15" s="5">
        <v>0</v>
      </c>
      <c r="N15" s="5">
        <v>1045</v>
      </c>
      <c r="O15" s="5" t="str">
        <f t="shared" ca="1" si="0"/>
        <v>Supplier 172</v>
      </c>
      <c r="P15" s="20" t="str">
        <f ca="1">IFERROR(VLOOKUP(O15,EMAILS!B:C,2,FALSE),"NOT FOUND IN EMAILS")</f>
        <v>supplier@gmail.com</v>
      </c>
      <c r="Q15" t="str">
        <f ca="1">""&amp;IFERROR(VLOOKUP(O15,EMAILS!B:D,3,FALSE),"NOT FOUND IN EMAILS")</f>
        <v/>
      </c>
      <c r="R15" t="str">
        <f ca="1">""&amp;IFERROR(VLOOKUP(O15,EMAILS!B:E,4,FALSE),"NO T FOUND IN EMAILS")</f>
        <v/>
      </c>
    </row>
    <row r="16" spans="2:18" x14ac:dyDescent="0.25">
      <c r="B16" s="5" t="s">
        <v>18</v>
      </c>
      <c r="C16" s="5" t="s">
        <v>4158</v>
      </c>
      <c r="D16" s="5">
        <v>30</v>
      </c>
      <c r="E16" s="5">
        <v>0</v>
      </c>
      <c r="F16" s="5">
        <v>0</v>
      </c>
      <c r="G16" s="5">
        <v>0</v>
      </c>
      <c r="H16" s="5">
        <v>30</v>
      </c>
      <c r="I16" s="5">
        <v>0</v>
      </c>
      <c r="J16" s="5">
        <v>0</v>
      </c>
      <c r="K16" s="5">
        <v>30</v>
      </c>
      <c r="L16" s="5">
        <v>0</v>
      </c>
      <c r="M16" s="5">
        <v>0</v>
      </c>
      <c r="N16" s="5">
        <v>100</v>
      </c>
      <c r="O16" s="5" t="str">
        <f t="shared" ca="1" si="0"/>
        <v>Supplier 174</v>
      </c>
      <c r="P16" s="20" t="str">
        <f ca="1">IFERROR(VLOOKUP(O16,EMAILS!B:C,2,FALSE),"NOT FOUND IN EMAILS")</f>
        <v>supplier@gmail.com</v>
      </c>
      <c r="Q16" t="str">
        <f ca="1">""&amp;IFERROR(VLOOKUP(O16,EMAILS!B:D,3,FALSE),"NOT FOUND IN EMAILS")</f>
        <v/>
      </c>
      <c r="R16" t="str">
        <f ca="1">""&amp;IFERROR(VLOOKUP(O16,EMAILS!B:E,4,FALSE),"NO T FOUND IN EMAILS")</f>
        <v/>
      </c>
    </row>
    <row r="17" spans="2:18" x14ac:dyDescent="0.25">
      <c r="B17" s="5" t="s">
        <v>19</v>
      </c>
      <c r="C17" s="5" t="s">
        <v>4159</v>
      </c>
      <c r="D17" s="5">
        <v>30</v>
      </c>
      <c r="E17" s="5">
        <v>0</v>
      </c>
      <c r="F17" s="5">
        <v>0</v>
      </c>
      <c r="G17" s="5">
        <v>0</v>
      </c>
      <c r="H17" s="5">
        <v>30</v>
      </c>
      <c r="I17" s="5">
        <v>0</v>
      </c>
      <c r="J17" s="5">
        <v>0</v>
      </c>
      <c r="K17" s="5">
        <v>30</v>
      </c>
      <c r="L17" s="5">
        <v>0</v>
      </c>
      <c r="M17" s="5">
        <v>0</v>
      </c>
      <c r="N17" s="5">
        <v>200</v>
      </c>
      <c r="O17" s="5" t="str">
        <f t="shared" ca="1" si="0"/>
        <v>Supplier 101</v>
      </c>
      <c r="P17" s="20" t="str">
        <f ca="1">IFERROR(VLOOKUP(O17,EMAILS!B:C,2,FALSE),"NOT FOUND IN EMAILS")</f>
        <v>supplier@gmail.com</v>
      </c>
      <c r="Q17" t="str">
        <f ca="1">""&amp;IFERROR(VLOOKUP(O17,EMAILS!B:D,3,FALSE),"NOT FOUND IN EMAILS")</f>
        <v/>
      </c>
      <c r="R17" t="str">
        <f ca="1">""&amp;IFERROR(VLOOKUP(O17,EMAILS!B:E,4,FALSE),"NO T FOUND IN EMAILS")</f>
        <v/>
      </c>
    </row>
    <row r="18" spans="2:18" x14ac:dyDescent="0.25">
      <c r="B18" s="5" t="s">
        <v>20</v>
      </c>
      <c r="C18" s="5" t="s">
        <v>4160</v>
      </c>
      <c r="D18" s="5">
        <v>120</v>
      </c>
      <c r="E18" s="5">
        <v>0</v>
      </c>
      <c r="F18" s="5">
        <v>0</v>
      </c>
      <c r="G18" s="5">
        <v>0</v>
      </c>
      <c r="H18" s="5">
        <v>120</v>
      </c>
      <c r="I18" s="5">
        <v>0</v>
      </c>
      <c r="J18" s="5">
        <v>0</v>
      </c>
      <c r="K18" s="5">
        <v>120</v>
      </c>
      <c r="L18" s="5">
        <v>0</v>
      </c>
      <c r="M18" s="5">
        <v>0</v>
      </c>
      <c r="N18" s="5">
        <v>805</v>
      </c>
      <c r="O18" s="5" t="str">
        <f t="shared" ca="1" si="0"/>
        <v>Supplier 160</v>
      </c>
      <c r="P18" s="20" t="str">
        <f ca="1">IFERROR(VLOOKUP(O18,EMAILS!B:C,2,FALSE),"NOT FOUND IN EMAILS")</f>
        <v>supplier@gmail.com</v>
      </c>
      <c r="Q18" t="str">
        <f ca="1">""&amp;IFERROR(VLOOKUP(O18,EMAILS!B:D,3,FALSE),"NOT FOUND IN EMAILS")</f>
        <v/>
      </c>
      <c r="R18" t="str">
        <f ca="1">""&amp;IFERROR(VLOOKUP(O18,EMAILS!B:E,4,FALSE),"NO T FOUND IN EMAILS")</f>
        <v/>
      </c>
    </row>
    <row r="19" spans="2:18" x14ac:dyDescent="0.25">
      <c r="B19" s="5" t="s">
        <v>21</v>
      </c>
      <c r="C19" s="5" t="s">
        <v>4161</v>
      </c>
      <c r="D19" s="5">
        <v>30</v>
      </c>
      <c r="E19" s="5">
        <v>0</v>
      </c>
      <c r="F19" s="5">
        <v>0</v>
      </c>
      <c r="G19" s="5">
        <v>0</v>
      </c>
      <c r="H19" s="5">
        <v>30</v>
      </c>
      <c r="I19" s="5">
        <v>0</v>
      </c>
      <c r="J19" s="5">
        <v>0</v>
      </c>
      <c r="K19" s="5">
        <v>30</v>
      </c>
      <c r="L19" s="5">
        <v>0</v>
      </c>
      <c r="M19" s="5">
        <v>0</v>
      </c>
      <c r="N19" s="5">
        <v>205</v>
      </c>
      <c r="O19" s="5" t="str">
        <f t="shared" ca="1" si="0"/>
        <v>Supplier 70</v>
      </c>
      <c r="P19" s="20" t="str">
        <f ca="1">IFERROR(VLOOKUP(O19,EMAILS!B:C,2,FALSE),"NOT FOUND IN EMAILS")</f>
        <v>supplier@gmail.com</v>
      </c>
      <c r="Q19" t="str">
        <f ca="1">""&amp;IFERROR(VLOOKUP(O19,EMAILS!B:D,3,FALSE),"NOT FOUND IN EMAILS")</f>
        <v/>
      </c>
      <c r="R19" t="str">
        <f ca="1">""&amp;IFERROR(VLOOKUP(O19,EMAILS!B:E,4,FALSE),"NO T FOUND IN EMAILS")</f>
        <v/>
      </c>
    </row>
    <row r="20" spans="2:18" x14ac:dyDescent="0.25">
      <c r="B20" s="5" t="s">
        <v>22</v>
      </c>
      <c r="C20" s="5" t="s">
        <v>4162</v>
      </c>
      <c r="D20" s="5">
        <v>30</v>
      </c>
      <c r="E20" s="5">
        <v>0</v>
      </c>
      <c r="F20" s="5">
        <v>0</v>
      </c>
      <c r="G20" s="5">
        <v>0</v>
      </c>
      <c r="H20" s="5">
        <v>30</v>
      </c>
      <c r="I20" s="5">
        <v>0</v>
      </c>
      <c r="J20" s="5">
        <v>0</v>
      </c>
      <c r="K20" s="5">
        <v>30</v>
      </c>
      <c r="L20" s="5">
        <v>0</v>
      </c>
      <c r="M20" s="5">
        <v>0</v>
      </c>
      <c r="N20" s="5">
        <v>201</v>
      </c>
      <c r="O20" s="5" t="str">
        <f t="shared" ca="1" si="0"/>
        <v>Supplier 154</v>
      </c>
      <c r="P20" s="20" t="str">
        <f ca="1">IFERROR(VLOOKUP(O20,EMAILS!B:C,2,FALSE),"NOT FOUND IN EMAILS")</f>
        <v>supplier@gmail.com</v>
      </c>
      <c r="Q20" t="str">
        <f ca="1">""&amp;IFERROR(VLOOKUP(O20,EMAILS!B:D,3,FALSE),"NOT FOUND IN EMAILS")</f>
        <v/>
      </c>
      <c r="R20" t="str">
        <f ca="1">""&amp;IFERROR(VLOOKUP(O20,EMAILS!B:E,4,FALSE),"NO T FOUND IN EMAILS")</f>
        <v/>
      </c>
    </row>
    <row r="21" spans="2:18" x14ac:dyDescent="0.25">
      <c r="B21" s="5" t="s">
        <v>23</v>
      </c>
      <c r="C21" s="5" t="s">
        <v>4163</v>
      </c>
      <c r="D21" s="5">
        <v>60</v>
      </c>
      <c r="E21" s="5">
        <v>0</v>
      </c>
      <c r="F21" s="5">
        <v>0</v>
      </c>
      <c r="G21" s="5">
        <v>0</v>
      </c>
      <c r="H21" s="5">
        <v>60</v>
      </c>
      <c r="I21" s="5">
        <v>0</v>
      </c>
      <c r="J21" s="5">
        <v>0</v>
      </c>
      <c r="K21" s="5">
        <v>60</v>
      </c>
      <c r="L21" s="5">
        <v>0</v>
      </c>
      <c r="M21" s="5">
        <v>0</v>
      </c>
      <c r="N21" s="5">
        <v>417</v>
      </c>
      <c r="O21" s="5" t="str">
        <f t="shared" ca="1" si="0"/>
        <v>Supplier 13</v>
      </c>
      <c r="P21" s="20" t="str">
        <f ca="1">IFERROR(VLOOKUP(O21,EMAILS!B:C,2,FALSE),"NOT FOUND IN EMAILS")</f>
        <v>supplier@gmail.com</v>
      </c>
      <c r="Q21" t="str">
        <f ca="1">""&amp;IFERROR(VLOOKUP(O21,EMAILS!B:D,3,FALSE),"NOT FOUND IN EMAILS")</f>
        <v>supplier_logistics@gmail.com</v>
      </c>
      <c r="R21" t="str">
        <f ca="1">""&amp;IFERROR(VLOOKUP(O21,EMAILS!B:E,4,FALSE),"NO T FOUND IN EMAILS")</f>
        <v/>
      </c>
    </row>
    <row r="22" spans="2:18" x14ac:dyDescent="0.25">
      <c r="B22" s="5" t="s">
        <v>24</v>
      </c>
      <c r="C22" s="5" t="s">
        <v>4164</v>
      </c>
      <c r="D22" s="5">
        <v>30</v>
      </c>
      <c r="E22" s="5">
        <v>0</v>
      </c>
      <c r="F22" s="5">
        <v>0</v>
      </c>
      <c r="G22" s="5">
        <v>0</v>
      </c>
      <c r="H22" s="5">
        <v>30</v>
      </c>
      <c r="I22" s="5">
        <v>0</v>
      </c>
      <c r="J22" s="5">
        <v>0</v>
      </c>
      <c r="K22" s="5">
        <v>30</v>
      </c>
      <c r="L22" s="5">
        <v>0</v>
      </c>
      <c r="M22" s="5">
        <v>0</v>
      </c>
      <c r="N22" s="5">
        <v>0</v>
      </c>
      <c r="O22" s="5" t="str">
        <f t="shared" ca="1" si="0"/>
        <v>Supplier 146</v>
      </c>
      <c r="P22" s="20" t="str">
        <f ca="1">IFERROR(VLOOKUP(O22,EMAILS!B:C,2,FALSE),"NOT FOUND IN EMAILS")</f>
        <v>supplier@gmail.com</v>
      </c>
      <c r="Q22" t="str">
        <f ca="1">""&amp;IFERROR(VLOOKUP(O22,EMAILS!B:D,3,FALSE),"NOT FOUND IN EMAILS")</f>
        <v/>
      </c>
      <c r="R22" t="str">
        <f ca="1">""&amp;IFERROR(VLOOKUP(O22,EMAILS!B:E,4,FALSE),"NO T FOUND IN EMAILS")</f>
        <v/>
      </c>
    </row>
    <row r="23" spans="2:18" x14ac:dyDescent="0.25">
      <c r="B23" s="5" t="s">
        <v>25</v>
      </c>
      <c r="C23" s="5" t="s">
        <v>4165</v>
      </c>
      <c r="D23" s="5">
        <v>180</v>
      </c>
      <c r="E23" s="5">
        <v>15</v>
      </c>
      <c r="F23" s="5">
        <v>15</v>
      </c>
      <c r="G23" s="5">
        <v>30</v>
      </c>
      <c r="H23" s="5">
        <v>180</v>
      </c>
      <c r="I23" s="5">
        <v>15</v>
      </c>
      <c r="J23" s="5">
        <v>30</v>
      </c>
      <c r="K23" s="5">
        <v>165</v>
      </c>
      <c r="L23" s="5">
        <v>30</v>
      </c>
      <c r="M23" s="5">
        <v>0</v>
      </c>
      <c r="N23" s="5">
        <v>407</v>
      </c>
      <c r="O23" s="5" t="str">
        <f t="shared" ca="1" si="0"/>
        <v>Supplier 82</v>
      </c>
      <c r="P23" s="20" t="str">
        <f ca="1">IFERROR(VLOOKUP(O23,EMAILS!B:C,2,FALSE),"NOT FOUND IN EMAILS")</f>
        <v>supplier@gmail.com</v>
      </c>
      <c r="Q23" t="str">
        <f ca="1">""&amp;IFERROR(VLOOKUP(O23,EMAILS!B:D,3,FALSE),"NOT FOUND IN EMAILS")</f>
        <v/>
      </c>
      <c r="R23" t="str">
        <f ca="1">""&amp;IFERROR(VLOOKUP(O23,EMAILS!B:E,4,FALSE),"NO T FOUND IN EMAILS")</f>
        <v/>
      </c>
    </row>
    <row r="24" spans="2:18" x14ac:dyDescent="0.25">
      <c r="B24" s="5" t="s">
        <v>26</v>
      </c>
      <c r="C24" s="5" t="s">
        <v>4166</v>
      </c>
      <c r="D24" s="5">
        <v>0</v>
      </c>
      <c r="E24" s="5">
        <v>25</v>
      </c>
      <c r="F24" s="5">
        <v>0</v>
      </c>
      <c r="G24" s="5">
        <v>25</v>
      </c>
      <c r="H24" s="5">
        <v>0</v>
      </c>
      <c r="I24" s="5">
        <v>25</v>
      </c>
      <c r="J24" s="5">
        <v>25</v>
      </c>
      <c r="K24" s="5">
        <v>0</v>
      </c>
      <c r="L24" s="5">
        <v>25</v>
      </c>
      <c r="M24" s="5">
        <v>0</v>
      </c>
      <c r="N24" s="5">
        <v>344</v>
      </c>
      <c r="O24" s="5" t="str">
        <f t="shared" ca="1" si="0"/>
        <v>Supplier 114</v>
      </c>
      <c r="P24" s="20" t="str">
        <f ca="1">IFERROR(VLOOKUP(O24,EMAILS!B:C,2,FALSE),"NOT FOUND IN EMAILS")</f>
        <v>supplier@gmail.com</v>
      </c>
      <c r="Q24" t="str">
        <f ca="1">""&amp;IFERROR(VLOOKUP(O24,EMAILS!B:D,3,FALSE),"NOT FOUND IN EMAILS")</f>
        <v/>
      </c>
      <c r="R24" t="str">
        <f ca="1">""&amp;IFERROR(VLOOKUP(O24,EMAILS!B:E,4,FALSE),"NO T FOUND IN EMAILS")</f>
        <v/>
      </c>
    </row>
    <row r="25" spans="2:18" x14ac:dyDescent="0.25">
      <c r="B25" s="5" t="s">
        <v>27</v>
      </c>
      <c r="C25" s="5" t="s">
        <v>4167</v>
      </c>
      <c r="D25" s="5">
        <v>0</v>
      </c>
      <c r="E25" s="5">
        <v>25</v>
      </c>
      <c r="F25" s="5">
        <v>0</v>
      </c>
      <c r="G25" s="5">
        <v>25</v>
      </c>
      <c r="H25" s="5">
        <v>0</v>
      </c>
      <c r="I25" s="5">
        <v>25</v>
      </c>
      <c r="J25" s="5">
        <v>25</v>
      </c>
      <c r="K25" s="5">
        <v>0</v>
      </c>
      <c r="L25" s="5">
        <v>25</v>
      </c>
      <c r="M25" s="5">
        <v>0</v>
      </c>
      <c r="N25" s="5">
        <v>0</v>
      </c>
      <c r="O25" s="5" t="str">
        <f t="shared" ca="1" si="0"/>
        <v>Supplier 75</v>
      </c>
      <c r="P25" s="20" t="str">
        <f ca="1">IFERROR(VLOOKUP(O25,EMAILS!B:C,2,FALSE),"NOT FOUND IN EMAILS")</f>
        <v>supplier@gmail.com</v>
      </c>
      <c r="Q25" t="str">
        <f ca="1">""&amp;IFERROR(VLOOKUP(O25,EMAILS!B:D,3,FALSE),"NOT FOUND IN EMAILS")</f>
        <v/>
      </c>
      <c r="R25" t="str">
        <f ca="1">""&amp;IFERROR(VLOOKUP(O25,EMAILS!B:E,4,FALSE),"NO T FOUND IN EMAILS")</f>
        <v/>
      </c>
    </row>
    <row r="26" spans="2:18" x14ac:dyDescent="0.25">
      <c r="B26" s="5" t="s">
        <v>28</v>
      </c>
      <c r="C26" s="5" t="s">
        <v>4168</v>
      </c>
      <c r="D26" s="5">
        <v>0</v>
      </c>
      <c r="E26" s="5">
        <v>0</v>
      </c>
      <c r="F26" s="5">
        <v>0</v>
      </c>
      <c r="G26" s="5">
        <v>0</v>
      </c>
      <c r="H26" s="5">
        <v>0</v>
      </c>
      <c r="I26" s="5">
        <v>0</v>
      </c>
      <c r="J26" s="5">
        <v>0</v>
      </c>
      <c r="K26" s="5">
        <v>0</v>
      </c>
      <c r="L26" s="5">
        <v>0</v>
      </c>
      <c r="M26" s="5">
        <v>0</v>
      </c>
      <c r="N26" s="5">
        <v>50</v>
      </c>
      <c r="O26" s="5" t="str">
        <f t="shared" ca="1" si="0"/>
        <v>Supplier 188</v>
      </c>
      <c r="P26" s="20" t="str">
        <f ca="1">IFERROR(VLOOKUP(O26,EMAILS!B:C,2,FALSE),"NOT FOUND IN EMAILS")</f>
        <v>supplier@gmail.com</v>
      </c>
      <c r="Q26" t="str">
        <f ca="1">""&amp;IFERROR(VLOOKUP(O26,EMAILS!B:D,3,FALSE),"NOT FOUND IN EMAILS")</f>
        <v/>
      </c>
      <c r="R26" t="str">
        <f ca="1">""&amp;IFERROR(VLOOKUP(O26,EMAILS!B:E,4,FALSE),"NO T FOUND IN EMAILS")</f>
        <v/>
      </c>
    </row>
    <row r="27" spans="2:18" x14ac:dyDescent="0.25">
      <c r="B27" s="5" t="s">
        <v>29</v>
      </c>
      <c r="C27" s="5" t="s">
        <v>4169</v>
      </c>
      <c r="D27" s="5">
        <v>0</v>
      </c>
      <c r="E27" s="5">
        <v>0</v>
      </c>
      <c r="F27" s="5">
        <v>0</v>
      </c>
      <c r="G27" s="5">
        <v>0</v>
      </c>
      <c r="H27" s="5">
        <v>0</v>
      </c>
      <c r="I27" s="5">
        <v>0</v>
      </c>
      <c r="J27" s="5">
        <v>0</v>
      </c>
      <c r="K27" s="5">
        <v>0</v>
      </c>
      <c r="L27" s="5">
        <v>0</v>
      </c>
      <c r="M27" s="5">
        <v>0</v>
      </c>
      <c r="N27" s="5">
        <v>0</v>
      </c>
      <c r="O27" s="5" t="str">
        <f t="shared" ca="1" si="0"/>
        <v>Supplier 6</v>
      </c>
      <c r="P27" s="20" t="str">
        <f ca="1">IFERROR(VLOOKUP(O27,EMAILS!B:C,2,FALSE),"NOT FOUND IN EMAILS")</f>
        <v>supplier@gmail.com</v>
      </c>
      <c r="Q27" t="str">
        <f ca="1">""&amp;IFERROR(VLOOKUP(O27,EMAILS!B:D,3,FALSE),"NOT FOUND IN EMAILS")</f>
        <v>supplier_logistics@gmail.com</v>
      </c>
      <c r="R27" t="str">
        <f ca="1">""&amp;IFERROR(VLOOKUP(O27,EMAILS!B:E,4,FALSE),"NO T FOUND IN EMAILS")</f>
        <v/>
      </c>
    </row>
    <row r="28" spans="2:18" x14ac:dyDescent="0.25">
      <c r="B28" s="5" t="s">
        <v>30</v>
      </c>
      <c r="C28" s="5" t="s">
        <v>4170</v>
      </c>
      <c r="D28" s="5">
        <v>0</v>
      </c>
      <c r="E28" s="5">
        <v>25</v>
      </c>
      <c r="F28" s="5">
        <v>0</v>
      </c>
      <c r="G28" s="5">
        <v>25</v>
      </c>
      <c r="H28" s="5">
        <v>0</v>
      </c>
      <c r="I28" s="5">
        <v>25</v>
      </c>
      <c r="J28" s="5">
        <v>25</v>
      </c>
      <c r="K28" s="5">
        <v>0</v>
      </c>
      <c r="L28" s="5">
        <v>25</v>
      </c>
      <c r="M28" s="5">
        <v>0</v>
      </c>
      <c r="N28" s="5">
        <v>109</v>
      </c>
      <c r="O28" s="5" t="str">
        <f t="shared" ca="1" si="0"/>
        <v>Supplier 153</v>
      </c>
      <c r="P28" s="20" t="str">
        <f ca="1">IFERROR(VLOOKUP(O28,EMAILS!B:C,2,FALSE),"NOT FOUND IN EMAILS")</f>
        <v>supplier@gmail.com</v>
      </c>
      <c r="Q28" t="str">
        <f ca="1">""&amp;IFERROR(VLOOKUP(O28,EMAILS!B:D,3,FALSE),"NOT FOUND IN EMAILS")</f>
        <v/>
      </c>
      <c r="R28" t="str">
        <f ca="1">""&amp;IFERROR(VLOOKUP(O28,EMAILS!B:E,4,FALSE),"NO T FOUND IN EMAILS")</f>
        <v/>
      </c>
    </row>
    <row r="29" spans="2:18" x14ac:dyDescent="0.25">
      <c r="B29" s="5" t="s">
        <v>31</v>
      </c>
      <c r="C29" s="5" t="s">
        <v>4171</v>
      </c>
      <c r="D29" s="5">
        <v>0</v>
      </c>
      <c r="E29" s="5">
        <v>25</v>
      </c>
      <c r="F29" s="5">
        <v>0</v>
      </c>
      <c r="G29" s="5">
        <v>25</v>
      </c>
      <c r="H29" s="5">
        <v>0</v>
      </c>
      <c r="I29" s="5">
        <v>25</v>
      </c>
      <c r="J29" s="5">
        <v>25</v>
      </c>
      <c r="K29" s="5">
        <v>0</v>
      </c>
      <c r="L29" s="5">
        <v>25</v>
      </c>
      <c r="M29" s="5">
        <v>0</v>
      </c>
      <c r="N29" s="5">
        <v>50</v>
      </c>
      <c r="O29" s="5" t="str">
        <f t="shared" ca="1" si="0"/>
        <v>Supplier 125</v>
      </c>
      <c r="P29" s="20" t="str">
        <f ca="1">IFERROR(VLOOKUP(O29,EMAILS!B:C,2,FALSE),"NOT FOUND IN EMAILS")</f>
        <v>supplier@gmail.com</v>
      </c>
      <c r="Q29" t="str">
        <f ca="1">""&amp;IFERROR(VLOOKUP(O29,EMAILS!B:D,3,FALSE),"NOT FOUND IN EMAILS")</f>
        <v/>
      </c>
      <c r="R29" t="str">
        <f ca="1">""&amp;IFERROR(VLOOKUP(O29,EMAILS!B:E,4,FALSE),"NO T FOUND IN EMAILS")</f>
        <v/>
      </c>
    </row>
    <row r="30" spans="2:18" x14ac:dyDescent="0.25">
      <c r="B30" s="5" t="s">
        <v>32</v>
      </c>
      <c r="C30" s="5" t="s">
        <v>4172</v>
      </c>
      <c r="D30" s="5">
        <v>0</v>
      </c>
      <c r="E30" s="5">
        <v>75</v>
      </c>
      <c r="F30" s="5">
        <v>0</v>
      </c>
      <c r="G30" s="5">
        <v>75</v>
      </c>
      <c r="H30" s="5">
        <v>0</v>
      </c>
      <c r="I30" s="5">
        <v>75</v>
      </c>
      <c r="J30" s="5">
        <v>75</v>
      </c>
      <c r="K30" s="5">
        <v>0</v>
      </c>
      <c r="L30" s="5">
        <v>75</v>
      </c>
      <c r="M30" s="5">
        <v>0</v>
      </c>
      <c r="N30" s="5">
        <v>97</v>
      </c>
      <c r="O30" s="5" t="str">
        <f t="shared" ca="1" si="0"/>
        <v>Supplier 147</v>
      </c>
      <c r="P30" s="20" t="str">
        <f ca="1">IFERROR(VLOOKUP(O30,EMAILS!B:C,2,FALSE),"NOT FOUND IN EMAILS")</f>
        <v>supplier@gmail.com</v>
      </c>
      <c r="Q30" t="str">
        <f ca="1">""&amp;IFERROR(VLOOKUP(O30,EMAILS!B:D,3,FALSE),"NOT FOUND IN EMAILS")</f>
        <v/>
      </c>
      <c r="R30" t="str">
        <f ca="1">""&amp;IFERROR(VLOOKUP(O30,EMAILS!B:E,4,FALSE),"NO T FOUND IN EMAILS")</f>
        <v/>
      </c>
    </row>
    <row r="31" spans="2:18" x14ac:dyDescent="0.25">
      <c r="B31" s="5" t="s">
        <v>33</v>
      </c>
      <c r="C31" s="5" t="s">
        <v>4173</v>
      </c>
      <c r="D31" s="5">
        <v>0</v>
      </c>
      <c r="E31" s="5">
        <v>50</v>
      </c>
      <c r="F31" s="5">
        <v>0</v>
      </c>
      <c r="G31" s="5">
        <v>50</v>
      </c>
      <c r="H31" s="5">
        <v>0</v>
      </c>
      <c r="I31" s="5">
        <v>50</v>
      </c>
      <c r="J31" s="5">
        <v>50</v>
      </c>
      <c r="K31" s="5">
        <v>0</v>
      </c>
      <c r="L31" s="5">
        <v>50</v>
      </c>
      <c r="M31" s="5">
        <v>0</v>
      </c>
      <c r="N31" s="5">
        <v>0</v>
      </c>
      <c r="O31" s="5" t="str">
        <f t="shared" ca="1" si="0"/>
        <v>Supplier 160</v>
      </c>
      <c r="P31" s="20" t="str">
        <f ca="1">IFERROR(VLOOKUP(O31,EMAILS!B:C,2,FALSE),"NOT FOUND IN EMAILS")</f>
        <v>supplier@gmail.com</v>
      </c>
      <c r="Q31" t="str">
        <f ca="1">""&amp;IFERROR(VLOOKUP(O31,EMAILS!B:D,3,FALSE),"NOT FOUND IN EMAILS")</f>
        <v/>
      </c>
      <c r="R31" t="str">
        <f ca="1">""&amp;IFERROR(VLOOKUP(O31,EMAILS!B:E,4,FALSE),"NO T FOUND IN EMAILS")</f>
        <v/>
      </c>
    </row>
    <row r="32" spans="2:18" x14ac:dyDescent="0.25">
      <c r="B32" s="5" t="s">
        <v>34</v>
      </c>
      <c r="C32" s="5" t="s">
        <v>4174</v>
      </c>
      <c r="D32" s="5">
        <v>0</v>
      </c>
      <c r="E32" s="5">
        <v>25</v>
      </c>
      <c r="F32" s="5">
        <v>0</v>
      </c>
      <c r="G32" s="5">
        <v>25</v>
      </c>
      <c r="H32" s="5">
        <v>0</v>
      </c>
      <c r="I32" s="5">
        <v>25</v>
      </c>
      <c r="J32" s="5">
        <v>25</v>
      </c>
      <c r="K32" s="5">
        <v>0</v>
      </c>
      <c r="L32" s="5">
        <v>25</v>
      </c>
      <c r="M32" s="5">
        <v>0</v>
      </c>
      <c r="N32" s="5">
        <v>260</v>
      </c>
      <c r="O32" s="5" t="str">
        <f t="shared" ca="1" si="0"/>
        <v>Supplier 100</v>
      </c>
      <c r="P32" s="20" t="str">
        <f ca="1">IFERROR(VLOOKUP(O32,EMAILS!B:C,2,FALSE),"NOT FOUND IN EMAILS")</f>
        <v>supplier@gmail.com</v>
      </c>
      <c r="Q32" t="str">
        <f ca="1">""&amp;IFERROR(VLOOKUP(O32,EMAILS!B:D,3,FALSE),"NOT FOUND IN EMAILS")</f>
        <v/>
      </c>
      <c r="R32" t="str">
        <f ca="1">""&amp;IFERROR(VLOOKUP(O32,EMAILS!B:E,4,FALSE),"NO T FOUND IN EMAILS")</f>
        <v/>
      </c>
    </row>
    <row r="33" spans="2:18" x14ac:dyDescent="0.25">
      <c r="B33" s="5" t="s">
        <v>35</v>
      </c>
      <c r="C33" s="5" t="s">
        <v>4175</v>
      </c>
      <c r="D33" s="5">
        <v>0</v>
      </c>
      <c r="E33" s="5">
        <v>0</v>
      </c>
      <c r="F33" s="5">
        <v>20</v>
      </c>
      <c r="G33" s="5">
        <v>50</v>
      </c>
      <c r="H33" s="5">
        <v>0</v>
      </c>
      <c r="I33" s="5">
        <v>0</v>
      </c>
      <c r="J33" s="5">
        <v>0</v>
      </c>
      <c r="K33" s="5">
        <v>50</v>
      </c>
      <c r="L33" s="5">
        <v>0</v>
      </c>
      <c r="M33" s="5">
        <v>0</v>
      </c>
      <c r="N33" s="5">
        <v>338</v>
      </c>
      <c r="O33" s="5" t="str">
        <f t="shared" ca="1" si="0"/>
        <v>Supplier 169</v>
      </c>
      <c r="P33" s="20" t="str">
        <f ca="1">IFERROR(VLOOKUP(O33,EMAILS!B:C,2,FALSE),"NOT FOUND IN EMAILS")</f>
        <v>supplier@gmail.com</v>
      </c>
      <c r="Q33" t="str">
        <f ca="1">""&amp;IFERROR(VLOOKUP(O33,EMAILS!B:D,3,FALSE),"NOT FOUND IN EMAILS")</f>
        <v/>
      </c>
      <c r="R33" t="str">
        <f ca="1">""&amp;IFERROR(VLOOKUP(O33,EMAILS!B:E,4,FALSE),"NO T FOUND IN EMAILS")</f>
        <v/>
      </c>
    </row>
    <row r="34" spans="2:18" x14ac:dyDescent="0.25">
      <c r="B34" s="5" t="s">
        <v>36</v>
      </c>
      <c r="C34" s="5" t="s">
        <v>4176</v>
      </c>
      <c r="D34" s="5">
        <v>30</v>
      </c>
      <c r="E34" s="5">
        <v>0</v>
      </c>
      <c r="F34" s="5">
        <v>0</v>
      </c>
      <c r="G34" s="5">
        <v>0</v>
      </c>
      <c r="H34" s="5">
        <v>30</v>
      </c>
      <c r="I34" s="5">
        <v>0</v>
      </c>
      <c r="J34" s="5">
        <v>0</v>
      </c>
      <c r="K34" s="5">
        <v>30</v>
      </c>
      <c r="L34" s="5">
        <v>0</v>
      </c>
      <c r="M34" s="5">
        <v>0</v>
      </c>
      <c r="N34" s="5">
        <v>0</v>
      </c>
      <c r="O34" s="5" t="str">
        <f t="shared" ca="1" si="0"/>
        <v>Supplier 116</v>
      </c>
      <c r="P34" s="20" t="str">
        <f ca="1">IFERROR(VLOOKUP(O34,EMAILS!B:C,2,FALSE),"NOT FOUND IN EMAILS")</f>
        <v>supplier@gmail.com</v>
      </c>
      <c r="Q34" t="str">
        <f ca="1">""&amp;IFERROR(VLOOKUP(O34,EMAILS!B:D,3,FALSE),"NOT FOUND IN EMAILS")</f>
        <v/>
      </c>
      <c r="R34" t="str">
        <f ca="1">""&amp;IFERROR(VLOOKUP(O34,EMAILS!B:E,4,FALSE),"NO T FOUND IN EMAILS")</f>
        <v/>
      </c>
    </row>
    <row r="35" spans="2:18" x14ac:dyDescent="0.25">
      <c r="B35" s="5" t="s">
        <v>37</v>
      </c>
      <c r="C35" s="5" t="s">
        <v>4177</v>
      </c>
      <c r="D35" s="5">
        <v>30</v>
      </c>
      <c r="E35" s="5">
        <v>0</v>
      </c>
      <c r="F35" s="5">
        <v>0</v>
      </c>
      <c r="G35" s="5">
        <v>0</v>
      </c>
      <c r="H35" s="5">
        <v>30</v>
      </c>
      <c r="I35" s="5">
        <v>0</v>
      </c>
      <c r="J35" s="5">
        <v>0</v>
      </c>
      <c r="K35" s="5">
        <v>30</v>
      </c>
      <c r="L35" s="5">
        <v>0</v>
      </c>
      <c r="M35" s="5">
        <v>0</v>
      </c>
      <c r="N35" s="5">
        <v>100</v>
      </c>
      <c r="O35" s="5" t="str">
        <f t="shared" ca="1" si="0"/>
        <v>Supplier 66</v>
      </c>
      <c r="P35" s="20" t="str">
        <f ca="1">IFERROR(VLOOKUP(O35,EMAILS!B:C,2,FALSE),"NOT FOUND IN EMAILS")</f>
        <v>supplier@gmail.com</v>
      </c>
      <c r="Q35" t="str">
        <f ca="1">""&amp;IFERROR(VLOOKUP(O35,EMAILS!B:D,3,FALSE),"NOT FOUND IN EMAILS")</f>
        <v/>
      </c>
      <c r="R35" t="str">
        <f ca="1">""&amp;IFERROR(VLOOKUP(O35,EMAILS!B:E,4,FALSE),"NO T FOUND IN EMAILS")</f>
        <v/>
      </c>
    </row>
    <row r="36" spans="2:18" x14ac:dyDescent="0.25">
      <c r="B36" s="5" t="s">
        <v>38</v>
      </c>
      <c r="C36" s="5" t="s">
        <v>4178</v>
      </c>
      <c r="D36" s="5">
        <v>0</v>
      </c>
      <c r="E36" s="5">
        <v>30</v>
      </c>
      <c r="F36" s="5">
        <v>30</v>
      </c>
      <c r="G36" s="5">
        <v>30</v>
      </c>
      <c r="H36" s="5">
        <v>30</v>
      </c>
      <c r="I36" s="5">
        <v>30</v>
      </c>
      <c r="J36" s="5">
        <v>0</v>
      </c>
      <c r="K36" s="5">
        <v>30</v>
      </c>
      <c r="L36" s="5">
        <v>30</v>
      </c>
      <c r="M36" s="5">
        <v>0</v>
      </c>
      <c r="N36" s="5">
        <v>36</v>
      </c>
      <c r="O36" s="5" t="str">
        <f t="shared" ca="1" si="0"/>
        <v>Supplier 190</v>
      </c>
      <c r="P36" s="20" t="str">
        <f ca="1">IFERROR(VLOOKUP(O36,EMAILS!B:C,2,FALSE),"NOT FOUND IN EMAILS")</f>
        <v>supplier@gmail.com</v>
      </c>
      <c r="Q36" t="str">
        <f ca="1">""&amp;IFERROR(VLOOKUP(O36,EMAILS!B:D,3,FALSE),"NOT FOUND IN EMAILS")</f>
        <v/>
      </c>
      <c r="R36" t="str">
        <f ca="1">""&amp;IFERROR(VLOOKUP(O36,EMAILS!B:E,4,FALSE),"NO T FOUND IN EMAILS")</f>
        <v/>
      </c>
    </row>
    <row r="37" spans="2:18" x14ac:dyDescent="0.25">
      <c r="B37" s="5" t="s">
        <v>39</v>
      </c>
      <c r="C37" s="5" t="s">
        <v>4179</v>
      </c>
      <c r="D37" s="5">
        <v>30</v>
      </c>
      <c r="E37" s="5">
        <v>30</v>
      </c>
      <c r="F37" s="5">
        <v>30</v>
      </c>
      <c r="G37" s="5">
        <v>30</v>
      </c>
      <c r="H37" s="5">
        <v>30</v>
      </c>
      <c r="I37" s="5">
        <v>0</v>
      </c>
      <c r="J37" s="5">
        <v>30</v>
      </c>
      <c r="K37" s="5">
        <v>0</v>
      </c>
      <c r="L37" s="5">
        <v>30</v>
      </c>
      <c r="M37" s="5">
        <v>0</v>
      </c>
      <c r="N37" s="5">
        <v>90</v>
      </c>
      <c r="O37" s="5" t="str">
        <f t="shared" ca="1" si="0"/>
        <v>Supplier 155</v>
      </c>
      <c r="P37" s="20" t="str">
        <f ca="1">IFERROR(VLOOKUP(O37,EMAILS!B:C,2,FALSE),"NOT FOUND IN EMAILS")</f>
        <v>supplier@gmail.com</v>
      </c>
      <c r="Q37" t="str">
        <f ca="1">""&amp;IFERROR(VLOOKUP(O37,EMAILS!B:D,3,FALSE),"NOT FOUND IN EMAILS")</f>
        <v/>
      </c>
      <c r="R37" t="str">
        <f ca="1">""&amp;IFERROR(VLOOKUP(O37,EMAILS!B:E,4,FALSE),"NO T FOUND IN EMAILS")</f>
        <v/>
      </c>
    </row>
    <row r="38" spans="2:18" x14ac:dyDescent="0.25">
      <c r="B38" s="5" t="s">
        <v>40</v>
      </c>
      <c r="C38" s="5" t="s">
        <v>4180</v>
      </c>
      <c r="D38" s="5">
        <v>50</v>
      </c>
      <c r="E38" s="5">
        <v>25</v>
      </c>
      <c r="F38" s="5">
        <v>25</v>
      </c>
      <c r="G38" s="5">
        <v>25</v>
      </c>
      <c r="H38" s="5">
        <v>25</v>
      </c>
      <c r="I38" s="5">
        <v>25</v>
      </c>
      <c r="J38" s="5">
        <v>25</v>
      </c>
      <c r="K38" s="5">
        <v>25</v>
      </c>
      <c r="L38" s="5">
        <v>25</v>
      </c>
      <c r="M38" s="5">
        <v>0</v>
      </c>
      <c r="N38" s="5">
        <v>200</v>
      </c>
      <c r="O38" s="5" t="str">
        <f t="shared" ca="1" si="0"/>
        <v>Supplier 21</v>
      </c>
      <c r="P38" s="20" t="str">
        <f ca="1">IFERROR(VLOOKUP(O38,EMAILS!B:C,2,FALSE),"NOT FOUND IN EMAILS")</f>
        <v>supplier@gmail.com</v>
      </c>
      <c r="Q38" t="str">
        <f ca="1">""&amp;IFERROR(VLOOKUP(O38,EMAILS!B:D,3,FALSE),"NOT FOUND IN EMAILS")</f>
        <v/>
      </c>
      <c r="R38" t="str">
        <f ca="1">""&amp;IFERROR(VLOOKUP(O38,EMAILS!B:E,4,FALSE),"NO T FOUND IN EMAILS")</f>
        <v/>
      </c>
    </row>
    <row r="39" spans="2:18" x14ac:dyDescent="0.25">
      <c r="B39" s="5" t="s">
        <v>41</v>
      </c>
      <c r="C39" s="5" t="s">
        <v>4181</v>
      </c>
      <c r="D39" s="5">
        <v>60</v>
      </c>
      <c r="E39" s="5">
        <v>120</v>
      </c>
      <c r="F39" s="5">
        <v>120</v>
      </c>
      <c r="G39" s="5">
        <v>120</v>
      </c>
      <c r="H39" s="5">
        <v>120</v>
      </c>
      <c r="I39" s="5">
        <v>60</v>
      </c>
      <c r="J39" s="5">
        <v>60</v>
      </c>
      <c r="K39" s="5">
        <v>60</v>
      </c>
      <c r="L39" s="5">
        <v>120</v>
      </c>
      <c r="M39" s="5">
        <v>0</v>
      </c>
      <c r="N39" s="5">
        <v>64</v>
      </c>
      <c r="O39" s="5" t="str">
        <f t="shared" ca="1" si="0"/>
        <v>Supplier 110</v>
      </c>
      <c r="P39" s="20" t="str">
        <f ca="1">IFERROR(VLOOKUP(O39,EMAILS!B:C,2,FALSE),"NOT FOUND IN EMAILS")</f>
        <v>supplier@gmail.com</v>
      </c>
      <c r="Q39" t="str">
        <f ca="1">""&amp;IFERROR(VLOOKUP(O39,EMAILS!B:D,3,FALSE),"NOT FOUND IN EMAILS")</f>
        <v/>
      </c>
      <c r="R39" t="str">
        <f ca="1">""&amp;IFERROR(VLOOKUP(O39,EMAILS!B:E,4,FALSE),"NO T FOUND IN EMAILS")</f>
        <v/>
      </c>
    </row>
    <row r="40" spans="2:18" x14ac:dyDescent="0.25">
      <c r="B40" s="5" t="s">
        <v>42</v>
      </c>
      <c r="C40" s="5" t="s">
        <v>4182</v>
      </c>
      <c r="D40" s="5">
        <v>0</v>
      </c>
      <c r="E40" s="5">
        <v>0</v>
      </c>
      <c r="F40" s="5">
        <v>50</v>
      </c>
      <c r="G40" s="5">
        <v>50</v>
      </c>
      <c r="H40" s="5">
        <v>100</v>
      </c>
      <c r="I40" s="5">
        <v>50</v>
      </c>
      <c r="J40" s="5">
        <v>50</v>
      </c>
      <c r="K40" s="5">
        <v>50</v>
      </c>
      <c r="L40" s="5">
        <v>50</v>
      </c>
      <c r="M40" s="5">
        <v>0</v>
      </c>
      <c r="N40" s="5">
        <v>225</v>
      </c>
      <c r="O40" s="5" t="str">
        <f t="shared" ca="1" si="0"/>
        <v>Supplier 24</v>
      </c>
      <c r="P40" s="20" t="str">
        <f ca="1">IFERROR(VLOOKUP(O40,EMAILS!B:C,2,FALSE),"NOT FOUND IN EMAILS")</f>
        <v>supplier@gmail.com</v>
      </c>
      <c r="Q40" t="str">
        <f ca="1">""&amp;IFERROR(VLOOKUP(O40,EMAILS!B:D,3,FALSE),"NOT FOUND IN EMAILS")</f>
        <v/>
      </c>
      <c r="R40" t="str">
        <f ca="1">""&amp;IFERROR(VLOOKUP(O40,EMAILS!B:E,4,FALSE),"NO T FOUND IN EMAILS")</f>
        <v/>
      </c>
    </row>
    <row r="41" spans="2:18" x14ac:dyDescent="0.25">
      <c r="B41" s="5" t="s">
        <v>43</v>
      </c>
      <c r="C41" s="5" t="s">
        <v>4183</v>
      </c>
      <c r="D41" s="5">
        <v>60</v>
      </c>
      <c r="E41" s="5">
        <v>90</v>
      </c>
      <c r="F41" s="5">
        <v>90</v>
      </c>
      <c r="G41" s="5">
        <v>90</v>
      </c>
      <c r="H41" s="5">
        <v>90</v>
      </c>
      <c r="I41" s="5">
        <v>30</v>
      </c>
      <c r="J41" s="5">
        <v>60</v>
      </c>
      <c r="K41" s="5">
        <v>30</v>
      </c>
      <c r="L41" s="5">
        <v>90</v>
      </c>
      <c r="M41" s="5">
        <v>0</v>
      </c>
      <c r="N41" s="5">
        <v>200</v>
      </c>
      <c r="O41" s="5" t="str">
        <f t="shared" ca="1" si="0"/>
        <v>Supplier 39</v>
      </c>
      <c r="P41" s="20" t="str">
        <f ca="1">IFERROR(VLOOKUP(O41,EMAILS!B:C,2,FALSE),"NOT FOUND IN EMAILS")</f>
        <v>supplier@gmail.com</v>
      </c>
      <c r="Q41" t="str">
        <f ca="1">""&amp;IFERROR(VLOOKUP(O41,EMAILS!B:D,3,FALSE),"NOT FOUND IN EMAILS")</f>
        <v/>
      </c>
      <c r="R41" t="str">
        <f ca="1">""&amp;IFERROR(VLOOKUP(O41,EMAILS!B:E,4,FALSE),"NO T FOUND IN EMAILS")</f>
        <v/>
      </c>
    </row>
    <row r="42" spans="2:18" x14ac:dyDescent="0.25">
      <c r="B42" s="5" t="s">
        <v>44</v>
      </c>
      <c r="C42" s="5" t="s">
        <v>4184</v>
      </c>
      <c r="D42" s="5">
        <v>0</v>
      </c>
      <c r="E42" s="5">
        <v>30</v>
      </c>
      <c r="F42" s="5">
        <v>30</v>
      </c>
      <c r="G42" s="5">
        <v>30</v>
      </c>
      <c r="H42" s="5">
        <v>30</v>
      </c>
      <c r="I42" s="5">
        <v>30</v>
      </c>
      <c r="J42" s="5">
        <v>0</v>
      </c>
      <c r="K42" s="5">
        <v>30</v>
      </c>
      <c r="L42" s="5">
        <v>30</v>
      </c>
      <c r="M42" s="5">
        <v>0</v>
      </c>
      <c r="N42" s="5">
        <v>150</v>
      </c>
      <c r="O42" s="5" t="str">
        <f t="shared" ca="1" si="0"/>
        <v>Supplier 103</v>
      </c>
      <c r="P42" s="20" t="str">
        <f ca="1">IFERROR(VLOOKUP(O42,EMAILS!B:C,2,FALSE),"NOT FOUND IN EMAILS")</f>
        <v>supplier@gmail.com</v>
      </c>
      <c r="Q42" t="str">
        <f ca="1">""&amp;IFERROR(VLOOKUP(O42,EMAILS!B:D,3,FALSE),"NOT FOUND IN EMAILS")</f>
        <v/>
      </c>
      <c r="R42" t="str">
        <f ca="1">""&amp;IFERROR(VLOOKUP(O42,EMAILS!B:E,4,FALSE),"NO T FOUND IN EMAILS")</f>
        <v/>
      </c>
    </row>
    <row r="43" spans="2:18" x14ac:dyDescent="0.25">
      <c r="B43" s="5" t="s">
        <v>45</v>
      </c>
      <c r="C43" s="5" t="s">
        <v>4185</v>
      </c>
      <c r="D43" s="5">
        <v>30</v>
      </c>
      <c r="E43" s="5">
        <v>60</v>
      </c>
      <c r="F43" s="5">
        <v>60</v>
      </c>
      <c r="G43" s="5">
        <v>60</v>
      </c>
      <c r="H43" s="5">
        <v>60</v>
      </c>
      <c r="I43" s="5">
        <v>30</v>
      </c>
      <c r="J43" s="5">
        <v>30</v>
      </c>
      <c r="K43" s="5">
        <v>30</v>
      </c>
      <c r="L43" s="5">
        <v>60</v>
      </c>
      <c r="M43" s="5">
        <v>0</v>
      </c>
      <c r="N43" s="5">
        <v>519</v>
      </c>
      <c r="O43" s="5" t="str">
        <f t="shared" ca="1" si="0"/>
        <v>Supplier 24</v>
      </c>
      <c r="P43" s="20" t="str">
        <f ca="1">IFERROR(VLOOKUP(O43,EMAILS!B:C,2,FALSE),"NOT FOUND IN EMAILS")</f>
        <v>supplier@gmail.com</v>
      </c>
      <c r="Q43" t="str">
        <f ca="1">""&amp;IFERROR(VLOOKUP(O43,EMAILS!B:D,3,FALSE),"NOT FOUND IN EMAILS")</f>
        <v/>
      </c>
      <c r="R43" t="str">
        <f ca="1">""&amp;IFERROR(VLOOKUP(O43,EMAILS!B:E,4,FALSE),"NO T FOUND IN EMAILS")</f>
        <v/>
      </c>
    </row>
    <row r="44" spans="2:18" x14ac:dyDescent="0.25">
      <c r="B44" s="5" t="s">
        <v>46</v>
      </c>
      <c r="C44" s="5" t="s">
        <v>4186</v>
      </c>
      <c r="D44" s="5">
        <v>30</v>
      </c>
      <c r="E44" s="5">
        <v>60</v>
      </c>
      <c r="F44" s="5">
        <v>60</v>
      </c>
      <c r="G44" s="5">
        <v>60</v>
      </c>
      <c r="H44" s="5">
        <v>60</v>
      </c>
      <c r="I44" s="5">
        <v>30</v>
      </c>
      <c r="J44" s="5">
        <v>30</v>
      </c>
      <c r="K44" s="5">
        <v>30</v>
      </c>
      <c r="L44" s="5">
        <v>60</v>
      </c>
      <c r="M44" s="5">
        <v>0</v>
      </c>
      <c r="N44" s="5">
        <v>479</v>
      </c>
      <c r="O44" s="5" t="str">
        <f t="shared" ca="1" si="0"/>
        <v>Supplier 59</v>
      </c>
      <c r="P44" s="20" t="str">
        <f ca="1">IFERROR(VLOOKUP(O44,EMAILS!B:C,2,FALSE),"NOT FOUND IN EMAILS")</f>
        <v>supplier@gmail.com</v>
      </c>
      <c r="Q44" t="str">
        <f ca="1">""&amp;IFERROR(VLOOKUP(O44,EMAILS!B:D,3,FALSE),"NOT FOUND IN EMAILS")</f>
        <v/>
      </c>
      <c r="R44" t="str">
        <f ca="1">""&amp;IFERROR(VLOOKUP(O44,EMAILS!B:E,4,FALSE),"NO T FOUND IN EMAILS")</f>
        <v/>
      </c>
    </row>
    <row r="45" spans="2:18" x14ac:dyDescent="0.25">
      <c r="B45" s="5" t="s">
        <v>47</v>
      </c>
      <c r="C45" s="5" t="s">
        <v>4187</v>
      </c>
      <c r="D45" s="5">
        <v>90</v>
      </c>
      <c r="E45" s="5">
        <v>60</v>
      </c>
      <c r="F45" s="5">
        <v>60</v>
      </c>
      <c r="G45" s="5">
        <v>60</v>
      </c>
      <c r="H45" s="5">
        <v>60</v>
      </c>
      <c r="I45" s="5">
        <v>30</v>
      </c>
      <c r="J45" s="5">
        <v>60</v>
      </c>
      <c r="K45" s="5">
        <v>30</v>
      </c>
      <c r="L45" s="5">
        <v>60</v>
      </c>
      <c r="M45" s="5">
        <v>0</v>
      </c>
      <c r="N45" s="5">
        <v>0</v>
      </c>
      <c r="O45" s="5" t="str">
        <f t="shared" ca="1" si="0"/>
        <v>Supplier 93</v>
      </c>
      <c r="P45" s="20" t="str">
        <f ca="1">IFERROR(VLOOKUP(O45,EMAILS!B:C,2,FALSE),"NOT FOUND IN EMAILS")</f>
        <v>supplier@gmail.com</v>
      </c>
      <c r="Q45" t="str">
        <f ca="1">""&amp;IFERROR(VLOOKUP(O45,EMAILS!B:D,3,FALSE),"NOT FOUND IN EMAILS")</f>
        <v/>
      </c>
      <c r="R45" t="str">
        <f ca="1">""&amp;IFERROR(VLOOKUP(O45,EMAILS!B:E,4,FALSE),"NO T FOUND IN EMAILS")</f>
        <v/>
      </c>
    </row>
    <row r="46" spans="2:18" x14ac:dyDescent="0.25">
      <c r="B46" s="5" t="s">
        <v>48</v>
      </c>
      <c r="C46" s="5" t="s">
        <v>4188</v>
      </c>
      <c r="D46" s="5">
        <v>210</v>
      </c>
      <c r="E46" s="5">
        <v>150</v>
      </c>
      <c r="F46" s="5">
        <v>150</v>
      </c>
      <c r="G46" s="5">
        <v>150</v>
      </c>
      <c r="H46" s="5">
        <v>180</v>
      </c>
      <c r="I46" s="5">
        <v>75</v>
      </c>
      <c r="J46" s="5">
        <v>150</v>
      </c>
      <c r="K46" s="5">
        <v>105</v>
      </c>
      <c r="L46" s="5">
        <v>150</v>
      </c>
      <c r="M46" s="5">
        <v>0</v>
      </c>
      <c r="N46" s="5">
        <v>0</v>
      </c>
      <c r="O46" s="5" t="str">
        <f t="shared" ca="1" si="0"/>
        <v>Supplier 61</v>
      </c>
      <c r="P46" s="20" t="str">
        <f ca="1">IFERROR(VLOOKUP(O46,EMAILS!B:C,2,FALSE),"NOT FOUND IN EMAILS")</f>
        <v>supplier@gmail.com</v>
      </c>
      <c r="Q46" t="str">
        <f ca="1">""&amp;IFERROR(VLOOKUP(O46,EMAILS!B:D,3,FALSE),"NOT FOUND IN EMAILS")</f>
        <v/>
      </c>
      <c r="R46" t="str">
        <f ca="1">""&amp;IFERROR(VLOOKUP(O46,EMAILS!B:E,4,FALSE),"NO T FOUND IN EMAILS")</f>
        <v/>
      </c>
    </row>
    <row r="47" spans="2:18" x14ac:dyDescent="0.25">
      <c r="B47" s="5" t="s">
        <v>49</v>
      </c>
      <c r="C47" s="5" t="s">
        <v>4189</v>
      </c>
      <c r="D47" s="5">
        <v>30</v>
      </c>
      <c r="E47" s="5">
        <v>30</v>
      </c>
      <c r="F47" s="5">
        <v>30</v>
      </c>
      <c r="G47" s="5">
        <v>30</v>
      </c>
      <c r="H47" s="5">
        <v>30</v>
      </c>
      <c r="I47" s="5">
        <v>15</v>
      </c>
      <c r="J47" s="5">
        <v>30</v>
      </c>
      <c r="K47" s="5">
        <v>15</v>
      </c>
      <c r="L47" s="5">
        <v>30</v>
      </c>
      <c r="M47" s="5">
        <v>0</v>
      </c>
      <c r="N47" s="5">
        <v>112</v>
      </c>
      <c r="O47" s="5" t="str">
        <f t="shared" ca="1" si="0"/>
        <v>Supplier 111</v>
      </c>
      <c r="P47" s="20" t="str">
        <f ca="1">IFERROR(VLOOKUP(O47,EMAILS!B:C,2,FALSE),"NOT FOUND IN EMAILS")</f>
        <v>supplier@gmail.com</v>
      </c>
      <c r="Q47" t="str">
        <f ca="1">""&amp;IFERROR(VLOOKUP(O47,EMAILS!B:D,3,FALSE),"NOT FOUND IN EMAILS")</f>
        <v/>
      </c>
      <c r="R47" t="str">
        <f ca="1">""&amp;IFERROR(VLOOKUP(O47,EMAILS!B:E,4,FALSE),"NO T FOUND IN EMAILS")</f>
        <v/>
      </c>
    </row>
    <row r="48" spans="2:18" x14ac:dyDescent="0.25">
      <c r="B48" s="5" t="s">
        <v>50</v>
      </c>
      <c r="C48" s="5" t="s">
        <v>4190</v>
      </c>
      <c r="D48" s="5">
        <v>0</v>
      </c>
      <c r="E48" s="5">
        <v>0</v>
      </c>
      <c r="F48" s="5">
        <v>0</v>
      </c>
      <c r="G48" s="5">
        <v>0</v>
      </c>
      <c r="H48" s="5">
        <v>0</v>
      </c>
      <c r="I48" s="5">
        <v>0</v>
      </c>
      <c r="J48" s="5">
        <v>0</v>
      </c>
      <c r="K48" s="5">
        <v>0</v>
      </c>
      <c r="L48" s="5">
        <v>0</v>
      </c>
      <c r="M48" s="5">
        <v>0</v>
      </c>
      <c r="N48" s="5">
        <v>0</v>
      </c>
      <c r="O48" s="5" t="str">
        <f t="shared" ca="1" si="0"/>
        <v>Supplier 182</v>
      </c>
      <c r="P48" s="20" t="str">
        <f ca="1">IFERROR(VLOOKUP(O48,EMAILS!B:C,2,FALSE),"NOT FOUND IN EMAILS")</f>
        <v>supplier@gmail.com</v>
      </c>
      <c r="Q48" t="str">
        <f ca="1">""&amp;IFERROR(VLOOKUP(O48,EMAILS!B:D,3,FALSE),"NOT FOUND IN EMAILS")</f>
        <v/>
      </c>
      <c r="R48" t="str">
        <f ca="1">""&amp;IFERROR(VLOOKUP(O48,EMAILS!B:E,4,FALSE),"NO T FOUND IN EMAILS")</f>
        <v/>
      </c>
    </row>
    <row r="49" spans="2:18" x14ac:dyDescent="0.25">
      <c r="B49" s="5" t="s">
        <v>51</v>
      </c>
      <c r="C49" s="5" t="s">
        <v>4191</v>
      </c>
      <c r="D49" s="5">
        <v>30</v>
      </c>
      <c r="E49" s="5">
        <v>30</v>
      </c>
      <c r="F49" s="5">
        <v>30</v>
      </c>
      <c r="G49" s="5">
        <v>30</v>
      </c>
      <c r="H49" s="5">
        <v>30</v>
      </c>
      <c r="I49" s="5">
        <v>15</v>
      </c>
      <c r="J49" s="5">
        <v>30</v>
      </c>
      <c r="K49" s="5">
        <v>15</v>
      </c>
      <c r="L49" s="5">
        <v>30</v>
      </c>
      <c r="M49" s="5">
        <v>0</v>
      </c>
      <c r="N49" s="5">
        <v>600</v>
      </c>
      <c r="O49" s="5" t="str">
        <f t="shared" ca="1" si="0"/>
        <v>Supplier 104</v>
      </c>
      <c r="P49" s="20" t="str">
        <f ca="1">IFERROR(VLOOKUP(O49,EMAILS!B:C,2,FALSE),"NOT FOUND IN EMAILS")</f>
        <v>supplier@gmail.com</v>
      </c>
      <c r="Q49" t="str">
        <f ca="1">""&amp;IFERROR(VLOOKUP(O49,EMAILS!B:D,3,FALSE),"NOT FOUND IN EMAILS")</f>
        <v/>
      </c>
      <c r="R49" t="str">
        <f ca="1">""&amp;IFERROR(VLOOKUP(O49,EMAILS!B:E,4,FALSE),"NO T FOUND IN EMAILS")</f>
        <v/>
      </c>
    </row>
    <row r="50" spans="2:18" x14ac:dyDescent="0.25">
      <c r="B50" s="5" t="s">
        <v>52</v>
      </c>
      <c r="C50" s="5" t="s">
        <v>4192</v>
      </c>
      <c r="D50" s="5">
        <v>30</v>
      </c>
      <c r="E50" s="5">
        <v>30</v>
      </c>
      <c r="F50" s="5">
        <v>30</v>
      </c>
      <c r="G50" s="5">
        <v>30</v>
      </c>
      <c r="H50" s="5">
        <v>30</v>
      </c>
      <c r="I50" s="5">
        <v>15</v>
      </c>
      <c r="J50" s="5">
        <v>30</v>
      </c>
      <c r="K50" s="5">
        <v>15</v>
      </c>
      <c r="L50" s="5">
        <v>30</v>
      </c>
      <c r="M50" s="5">
        <v>0</v>
      </c>
      <c r="N50" s="5">
        <v>650</v>
      </c>
      <c r="O50" s="5" t="str">
        <f t="shared" ca="1" si="0"/>
        <v>Supplier 18</v>
      </c>
      <c r="P50" s="20" t="str">
        <f ca="1">IFERROR(VLOOKUP(O50,EMAILS!B:C,2,FALSE),"NOT FOUND IN EMAILS")</f>
        <v>supplier@gmail.com</v>
      </c>
      <c r="Q50" t="str">
        <f ca="1">""&amp;IFERROR(VLOOKUP(O50,EMAILS!B:D,3,FALSE),"NOT FOUND IN EMAILS")</f>
        <v>supplier_logistics@gmail.com</v>
      </c>
      <c r="R50" t="str">
        <f ca="1">""&amp;IFERROR(VLOOKUP(O50,EMAILS!B:E,4,FALSE),"NO T FOUND IN EMAILS")</f>
        <v/>
      </c>
    </row>
    <row r="51" spans="2:18" x14ac:dyDescent="0.25">
      <c r="B51" s="5" t="s">
        <v>53</v>
      </c>
      <c r="C51" s="5" t="s">
        <v>4193</v>
      </c>
      <c r="D51" s="5">
        <v>0</v>
      </c>
      <c r="E51" s="5">
        <v>0</v>
      </c>
      <c r="F51" s="5">
        <v>50</v>
      </c>
      <c r="G51" s="5">
        <v>50</v>
      </c>
      <c r="H51" s="5">
        <v>100</v>
      </c>
      <c r="I51" s="5">
        <v>50</v>
      </c>
      <c r="J51" s="5">
        <v>50</v>
      </c>
      <c r="K51" s="5">
        <v>50</v>
      </c>
      <c r="L51" s="5">
        <v>50</v>
      </c>
      <c r="M51" s="5">
        <v>0</v>
      </c>
      <c r="N51" s="5">
        <v>265</v>
      </c>
      <c r="O51" s="5" t="str">
        <f t="shared" ca="1" si="0"/>
        <v>Supplier 12</v>
      </c>
      <c r="P51" s="20" t="str">
        <f ca="1">IFERROR(VLOOKUP(O51,EMAILS!B:C,2,FALSE),"NOT FOUND IN EMAILS")</f>
        <v>supplier@gmail.com</v>
      </c>
      <c r="Q51" t="str">
        <f ca="1">""&amp;IFERROR(VLOOKUP(O51,EMAILS!B:D,3,FALSE),"NOT FOUND IN EMAILS")</f>
        <v>supplier_logistics@gmail.com</v>
      </c>
      <c r="R51" t="str">
        <f ca="1">""&amp;IFERROR(VLOOKUP(O51,EMAILS!B:E,4,FALSE),"NO T FOUND IN EMAILS")</f>
        <v/>
      </c>
    </row>
    <row r="52" spans="2:18" x14ac:dyDescent="0.25">
      <c r="B52" s="5" t="s">
        <v>54</v>
      </c>
      <c r="C52" s="5" t="s">
        <v>4194</v>
      </c>
      <c r="D52" s="5">
        <v>145</v>
      </c>
      <c r="E52" s="5">
        <v>85</v>
      </c>
      <c r="F52" s="5">
        <v>105</v>
      </c>
      <c r="G52" s="5">
        <v>195</v>
      </c>
      <c r="H52" s="5">
        <v>149</v>
      </c>
      <c r="I52" s="5">
        <v>89</v>
      </c>
      <c r="J52" s="5">
        <v>149</v>
      </c>
      <c r="K52" s="5">
        <v>135</v>
      </c>
      <c r="L52" s="5">
        <v>145</v>
      </c>
      <c r="M52" s="5">
        <v>0</v>
      </c>
      <c r="N52" s="5">
        <v>2079</v>
      </c>
      <c r="O52" s="5" t="str">
        <f t="shared" ca="1" si="0"/>
        <v>Supplier 199</v>
      </c>
      <c r="P52" s="20" t="str">
        <f ca="1">IFERROR(VLOOKUP(O52,EMAILS!B:C,2,FALSE),"NOT FOUND IN EMAILS")</f>
        <v>supplier@gmail.com</v>
      </c>
      <c r="Q52" t="str">
        <f ca="1">""&amp;IFERROR(VLOOKUP(O52,EMAILS!B:D,3,FALSE),"NOT FOUND IN EMAILS")</f>
        <v/>
      </c>
      <c r="R52" t="str">
        <f ca="1">""&amp;IFERROR(VLOOKUP(O52,EMAILS!B:E,4,FALSE),"NO T FOUND IN EMAILS")</f>
        <v/>
      </c>
    </row>
    <row r="53" spans="2:18" x14ac:dyDescent="0.25">
      <c r="B53" s="5" t="s">
        <v>55</v>
      </c>
      <c r="C53" s="5" t="s">
        <v>4195</v>
      </c>
      <c r="D53" s="5">
        <v>145</v>
      </c>
      <c r="E53" s="5">
        <v>85</v>
      </c>
      <c r="F53" s="5">
        <v>105</v>
      </c>
      <c r="G53" s="5">
        <v>197</v>
      </c>
      <c r="H53" s="5">
        <v>149</v>
      </c>
      <c r="I53" s="5">
        <v>89</v>
      </c>
      <c r="J53" s="5">
        <v>149</v>
      </c>
      <c r="K53" s="5">
        <v>135</v>
      </c>
      <c r="L53" s="5">
        <v>145</v>
      </c>
      <c r="M53" s="5">
        <v>0</v>
      </c>
      <c r="N53" s="5">
        <v>600</v>
      </c>
      <c r="O53" s="5" t="str">
        <f t="shared" ca="1" si="0"/>
        <v>Supplier 133</v>
      </c>
      <c r="P53" s="20" t="str">
        <f ca="1">IFERROR(VLOOKUP(O53,EMAILS!B:C,2,FALSE),"NOT FOUND IN EMAILS")</f>
        <v>supplier@gmail.com</v>
      </c>
      <c r="Q53" t="str">
        <f ca="1">""&amp;IFERROR(VLOOKUP(O53,EMAILS!B:D,3,FALSE),"NOT FOUND IN EMAILS")</f>
        <v/>
      </c>
      <c r="R53" t="str">
        <f ca="1">""&amp;IFERROR(VLOOKUP(O53,EMAILS!B:E,4,FALSE),"NO T FOUND IN EMAILS")</f>
        <v/>
      </c>
    </row>
    <row r="54" spans="2:18" x14ac:dyDescent="0.25">
      <c r="B54" s="5" t="s">
        <v>56</v>
      </c>
      <c r="C54" s="5" t="s">
        <v>4196</v>
      </c>
      <c r="D54" s="5">
        <v>30</v>
      </c>
      <c r="E54" s="5">
        <v>15</v>
      </c>
      <c r="F54" s="5">
        <v>15</v>
      </c>
      <c r="G54" s="5">
        <v>30</v>
      </c>
      <c r="H54" s="5">
        <v>30</v>
      </c>
      <c r="I54" s="5">
        <v>15</v>
      </c>
      <c r="J54" s="5">
        <v>30</v>
      </c>
      <c r="K54" s="5">
        <v>15</v>
      </c>
      <c r="L54" s="5">
        <v>30</v>
      </c>
      <c r="M54" s="5">
        <v>0</v>
      </c>
      <c r="N54" s="5">
        <v>600</v>
      </c>
      <c r="O54" s="5" t="str">
        <f t="shared" ca="1" si="0"/>
        <v>Supplier 24</v>
      </c>
      <c r="P54" s="20" t="str">
        <f ca="1">IFERROR(VLOOKUP(O54,EMAILS!B:C,2,FALSE),"NOT FOUND IN EMAILS")</f>
        <v>supplier@gmail.com</v>
      </c>
      <c r="Q54" t="str">
        <f ca="1">""&amp;IFERROR(VLOOKUP(O54,EMAILS!B:D,3,FALSE),"NOT FOUND IN EMAILS")</f>
        <v/>
      </c>
      <c r="R54" t="str">
        <f ca="1">""&amp;IFERROR(VLOOKUP(O54,EMAILS!B:E,4,FALSE),"NO T FOUND IN EMAILS")</f>
        <v/>
      </c>
    </row>
    <row r="55" spans="2:18" x14ac:dyDescent="0.25">
      <c r="B55" s="5" t="s">
        <v>57</v>
      </c>
      <c r="C55" s="5" t="s">
        <v>4197</v>
      </c>
      <c r="D55" s="5">
        <v>0</v>
      </c>
      <c r="E55" s="5">
        <v>0</v>
      </c>
      <c r="F55" s="5">
        <v>0</v>
      </c>
      <c r="G55" s="5">
        <v>50</v>
      </c>
      <c r="H55" s="5">
        <v>0</v>
      </c>
      <c r="I55" s="5">
        <v>0</v>
      </c>
      <c r="J55" s="5">
        <v>0</v>
      </c>
      <c r="K55" s="5">
        <v>50</v>
      </c>
      <c r="L55" s="5">
        <v>0</v>
      </c>
      <c r="M55" s="5">
        <v>0</v>
      </c>
      <c r="N55" s="5">
        <v>50</v>
      </c>
      <c r="O55" s="5" t="str">
        <f t="shared" ca="1" si="0"/>
        <v>Supplier 10</v>
      </c>
      <c r="P55" s="20" t="str">
        <f ca="1">IFERROR(VLOOKUP(O55,EMAILS!B:C,2,FALSE),"NOT FOUND IN EMAILS")</f>
        <v>supplier@gmail.com</v>
      </c>
      <c r="Q55" t="str">
        <f ca="1">""&amp;IFERROR(VLOOKUP(O55,EMAILS!B:D,3,FALSE),"NOT FOUND IN EMAILS")</f>
        <v>supplier_logistics@gmail.com</v>
      </c>
      <c r="R55" t="str">
        <f ca="1">""&amp;IFERROR(VLOOKUP(O55,EMAILS!B:E,4,FALSE),"NO T FOUND IN EMAILS")</f>
        <v/>
      </c>
    </row>
    <row r="56" spans="2:18" x14ac:dyDescent="0.25">
      <c r="B56" s="5" t="s">
        <v>58</v>
      </c>
      <c r="C56" s="5" t="s">
        <v>4198</v>
      </c>
      <c r="D56" s="5">
        <v>0</v>
      </c>
      <c r="E56" s="5">
        <v>0</v>
      </c>
      <c r="F56" s="5">
        <v>20</v>
      </c>
      <c r="G56" s="5">
        <v>0</v>
      </c>
      <c r="H56" s="5">
        <v>0</v>
      </c>
      <c r="I56" s="5">
        <v>0</v>
      </c>
      <c r="J56" s="5">
        <v>0</v>
      </c>
      <c r="K56" s="5">
        <v>0</v>
      </c>
      <c r="L56" s="5">
        <v>0</v>
      </c>
      <c r="M56" s="5">
        <v>0</v>
      </c>
      <c r="N56" s="5">
        <v>10</v>
      </c>
      <c r="O56" s="5" t="str">
        <f t="shared" ca="1" si="0"/>
        <v>Supplier 152</v>
      </c>
      <c r="P56" s="20" t="str">
        <f ca="1">IFERROR(VLOOKUP(O56,EMAILS!B:C,2,FALSE),"NOT FOUND IN EMAILS")</f>
        <v>supplier@gmail.com</v>
      </c>
      <c r="Q56" t="str">
        <f ca="1">""&amp;IFERROR(VLOOKUP(O56,EMAILS!B:D,3,FALSE),"NOT FOUND IN EMAILS")</f>
        <v/>
      </c>
      <c r="R56" t="str">
        <f ca="1">""&amp;IFERROR(VLOOKUP(O56,EMAILS!B:E,4,FALSE),"NO T FOUND IN EMAILS")</f>
        <v/>
      </c>
    </row>
    <row r="57" spans="2:18" x14ac:dyDescent="0.25">
      <c r="B57" s="5" t="s">
        <v>59</v>
      </c>
      <c r="C57" s="5" t="s">
        <v>4199</v>
      </c>
      <c r="D57" s="5">
        <v>0</v>
      </c>
      <c r="E57" s="5">
        <v>0</v>
      </c>
      <c r="F57" s="5">
        <v>0</v>
      </c>
      <c r="G57" s="5">
        <v>0</v>
      </c>
      <c r="H57" s="5">
        <v>0</v>
      </c>
      <c r="I57" s="5">
        <v>0</v>
      </c>
      <c r="J57" s="5">
        <v>0</v>
      </c>
      <c r="K57" s="5">
        <v>0</v>
      </c>
      <c r="L57" s="5">
        <v>0</v>
      </c>
      <c r="M57" s="5">
        <v>0</v>
      </c>
      <c r="N57" s="5">
        <v>0</v>
      </c>
      <c r="O57" s="5" t="str">
        <f t="shared" ca="1" si="0"/>
        <v>Supplier 72</v>
      </c>
      <c r="P57" s="20" t="str">
        <f ca="1">IFERROR(VLOOKUP(O57,EMAILS!B:C,2,FALSE),"NOT FOUND IN EMAILS")</f>
        <v>supplier@gmail.com</v>
      </c>
      <c r="Q57" t="str">
        <f ca="1">""&amp;IFERROR(VLOOKUP(O57,EMAILS!B:D,3,FALSE),"NOT FOUND IN EMAILS")</f>
        <v/>
      </c>
      <c r="R57" t="str">
        <f ca="1">""&amp;IFERROR(VLOOKUP(O57,EMAILS!B:E,4,FALSE),"NO T FOUND IN EMAILS")</f>
        <v/>
      </c>
    </row>
    <row r="58" spans="2:18" x14ac:dyDescent="0.25">
      <c r="B58" s="5" t="s">
        <v>60</v>
      </c>
      <c r="C58" s="5" t="s">
        <v>4200</v>
      </c>
      <c r="D58" s="5">
        <v>0</v>
      </c>
      <c r="E58" s="5">
        <v>0</v>
      </c>
      <c r="F58" s="5">
        <v>0</v>
      </c>
      <c r="G58" s="5">
        <v>0</v>
      </c>
      <c r="H58" s="5">
        <v>0</v>
      </c>
      <c r="I58" s="5">
        <v>0</v>
      </c>
      <c r="J58" s="5">
        <v>0</v>
      </c>
      <c r="K58" s="5">
        <v>0</v>
      </c>
      <c r="L58" s="5">
        <v>0</v>
      </c>
      <c r="M58" s="5">
        <v>0</v>
      </c>
      <c r="N58" s="5">
        <v>63</v>
      </c>
      <c r="O58" s="5" t="str">
        <f t="shared" ca="1" si="0"/>
        <v>Supplier 13</v>
      </c>
      <c r="P58" s="20" t="str">
        <f ca="1">IFERROR(VLOOKUP(O58,EMAILS!B:C,2,FALSE),"NOT FOUND IN EMAILS")</f>
        <v>supplier@gmail.com</v>
      </c>
      <c r="Q58" t="str">
        <f ca="1">""&amp;IFERROR(VLOOKUP(O58,EMAILS!B:D,3,FALSE),"NOT FOUND IN EMAILS")</f>
        <v>supplier_logistics@gmail.com</v>
      </c>
      <c r="R58" t="str">
        <f ca="1">""&amp;IFERROR(VLOOKUP(O58,EMAILS!B:E,4,FALSE),"NO T FOUND IN EMAILS")</f>
        <v/>
      </c>
    </row>
    <row r="59" spans="2:18" x14ac:dyDescent="0.25">
      <c r="B59" s="5" t="s">
        <v>61</v>
      </c>
      <c r="C59" s="5" t="s">
        <v>4201</v>
      </c>
      <c r="D59" s="5">
        <v>90</v>
      </c>
      <c r="E59" s="5">
        <v>70</v>
      </c>
      <c r="F59" s="5">
        <v>70</v>
      </c>
      <c r="G59" s="5">
        <v>70</v>
      </c>
      <c r="H59" s="5">
        <v>0</v>
      </c>
      <c r="I59" s="5">
        <v>0</v>
      </c>
      <c r="J59" s="5">
        <v>0</v>
      </c>
      <c r="K59" s="5">
        <v>0</v>
      </c>
      <c r="L59" s="5">
        <v>0</v>
      </c>
      <c r="M59" s="5">
        <v>0</v>
      </c>
      <c r="N59" s="5">
        <v>80</v>
      </c>
      <c r="O59" s="5" t="str">
        <f t="shared" ca="1" si="0"/>
        <v>Supplier 1</v>
      </c>
      <c r="P59" s="20" t="str">
        <f ca="1">IFERROR(VLOOKUP(O59,EMAILS!B:C,2,FALSE),"NOT FOUND IN EMAILS")</f>
        <v>supplier@gmail.com</v>
      </c>
      <c r="Q59" t="str">
        <f ca="1">""&amp;IFERROR(VLOOKUP(O59,EMAILS!B:D,3,FALSE),"NOT FOUND IN EMAILS")</f>
        <v>supplier_logistics@gmail.com</v>
      </c>
      <c r="R59" t="str">
        <f ca="1">""&amp;IFERROR(VLOOKUP(O59,EMAILS!B:E,4,FALSE),"NO T FOUND IN EMAILS")</f>
        <v/>
      </c>
    </row>
    <row r="60" spans="2:18" x14ac:dyDescent="0.25">
      <c r="B60" s="5" t="s">
        <v>62</v>
      </c>
      <c r="C60" s="5" t="s">
        <v>4202</v>
      </c>
      <c r="D60" s="5">
        <v>0</v>
      </c>
      <c r="E60" s="5">
        <v>0</v>
      </c>
      <c r="F60" s="5">
        <v>0</v>
      </c>
      <c r="G60" s="5">
        <v>0</v>
      </c>
      <c r="H60" s="5">
        <v>0</v>
      </c>
      <c r="I60" s="5">
        <v>0</v>
      </c>
      <c r="J60" s="5">
        <v>0</v>
      </c>
      <c r="K60" s="5">
        <v>0</v>
      </c>
      <c r="L60" s="5">
        <v>0</v>
      </c>
      <c r="M60" s="5">
        <v>0</v>
      </c>
      <c r="N60" s="5">
        <v>20</v>
      </c>
      <c r="O60" s="5" t="str">
        <f t="shared" ca="1" si="0"/>
        <v>Supplier 188</v>
      </c>
      <c r="P60" s="20" t="str">
        <f ca="1">IFERROR(VLOOKUP(O60,EMAILS!B:C,2,FALSE),"NOT FOUND IN EMAILS")</f>
        <v>supplier@gmail.com</v>
      </c>
      <c r="Q60" t="str">
        <f ca="1">""&amp;IFERROR(VLOOKUP(O60,EMAILS!B:D,3,FALSE),"NOT FOUND IN EMAILS")</f>
        <v/>
      </c>
      <c r="R60" t="str">
        <f ca="1">""&amp;IFERROR(VLOOKUP(O60,EMAILS!B:E,4,FALSE),"NO T FOUND IN EMAILS")</f>
        <v/>
      </c>
    </row>
    <row r="61" spans="2:18" x14ac:dyDescent="0.25">
      <c r="B61" s="5" t="s">
        <v>63</v>
      </c>
      <c r="C61" s="5" t="s">
        <v>4203</v>
      </c>
      <c r="D61" s="5">
        <v>6</v>
      </c>
      <c r="E61" s="5">
        <v>4</v>
      </c>
      <c r="F61" s="5">
        <v>4</v>
      </c>
      <c r="G61" s="5">
        <v>4</v>
      </c>
      <c r="H61" s="5">
        <v>0</v>
      </c>
      <c r="I61" s="5">
        <v>0</v>
      </c>
      <c r="J61" s="5">
        <v>0</v>
      </c>
      <c r="K61" s="5">
        <v>0</v>
      </c>
      <c r="L61" s="5">
        <v>0</v>
      </c>
      <c r="M61" s="5">
        <v>0</v>
      </c>
      <c r="N61" s="5">
        <v>21</v>
      </c>
      <c r="O61" s="5" t="str">
        <f t="shared" ca="1" si="0"/>
        <v>Supplier 27</v>
      </c>
      <c r="P61" s="20" t="str">
        <f ca="1">IFERROR(VLOOKUP(O61,EMAILS!B:C,2,FALSE),"NOT FOUND IN EMAILS")</f>
        <v>supplier@gmail.com</v>
      </c>
      <c r="Q61" t="str">
        <f ca="1">""&amp;IFERROR(VLOOKUP(O61,EMAILS!B:D,3,FALSE),"NOT FOUND IN EMAILS")</f>
        <v/>
      </c>
      <c r="R61" t="str">
        <f ca="1">""&amp;IFERROR(VLOOKUP(O61,EMAILS!B:E,4,FALSE),"NO T FOUND IN EMAILS")</f>
        <v/>
      </c>
    </row>
    <row r="62" spans="2:18" x14ac:dyDescent="0.25">
      <c r="B62" s="5" t="s">
        <v>64</v>
      </c>
      <c r="C62" s="5" t="s">
        <v>4204</v>
      </c>
      <c r="D62" s="5">
        <v>18</v>
      </c>
      <c r="E62" s="5">
        <v>10</v>
      </c>
      <c r="F62" s="5">
        <v>10</v>
      </c>
      <c r="G62" s="5">
        <v>10</v>
      </c>
      <c r="H62" s="5">
        <v>0</v>
      </c>
      <c r="I62" s="5">
        <v>0</v>
      </c>
      <c r="J62" s="5">
        <v>0</v>
      </c>
      <c r="K62" s="5">
        <v>0</v>
      </c>
      <c r="L62" s="5">
        <v>0</v>
      </c>
      <c r="M62" s="5">
        <v>0</v>
      </c>
      <c r="N62" s="5">
        <v>23</v>
      </c>
      <c r="O62" s="5" t="str">
        <f t="shared" ca="1" si="0"/>
        <v>Supplier 36</v>
      </c>
      <c r="P62" s="20" t="str">
        <f ca="1">IFERROR(VLOOKUP(O62,EMAILS!B:C,2,FALSE),"NOT FOUND IN EMAILS")</f>
        <v>supplier@gmail.com</v>
      </c>
      <c r="Q62" t="str">
        <f ca="1">""&amp;IFERROR(VLOOKUP(O62,EMAILS!B:D,3,FALSE),"NOT FOUND IN EMAILS")</f>
        <v/>
      </c>
      <c r="R62" t="str">
        <f ca="1">""&amp;IFERROR(VLOOKUP(O62,EMAILS!B:E,4,FALSE),"NO T FOUND IN EMAILS")</f>
        <v/>
      </c>
    </row>
    <row r="63" spans="2:18" x14ac:dyDescent="0.25">
      <c r="B63" s="5" t="s">
        <v>65</v>
      </c>
      <c r="C63" s="5" t="s">
        <v>4205</v>
      </c>
      <c r="D63" s="5">
        <v>0</v>
      </c>
      <c r="E63" s="5">
        <v>0</v>
      </c>
      <c r="F63" s="5">
        <v>0</v>
      </c>
      <c r="G63" s="5">
        <v>0</v>
      </c>
      <c r="H63" s="5">
        <v>0</v>
      </c>
      <c r="I63" s="5">
        <v>0</v>
      </c>
      <c r="J63" s="5">
        <v>0</v>
      </c>
      <c r="K63" s="5">
        <v>0</v>
      </c>
      <c r="L63" s="5">
        <v>0</v>
      </c>
      <c r="M63" s="5">
        <v>0</v>
      </c>
      <c r="N63" s="5">
        <v>5</v>
      </c>
      <c r="O63" s="5" t="str">
        <f t="shared" ca="1" si="0"/>
        <v>Supplier 145</v>
      </c>
      <c r="P63" s="20" t="str">
        <f ca="1">IFERROR(VLOOKUP(O63,EMAILS!B:C,2,FALSE),"NOT FOUND IN EMAILS")</f>
        <v>supplier@gmail.com</v>
      </c>
      <c r="Q63" t="str">
        <f ca="1">""&amp;IFERROR(VLOOKUP(O63,EMAILS!B:D,3,FALSE),"NOT FOUND IN EMAILS")</f>
        <v/>
      </c>
      <c r="R63" t="str">
        <f ca="1">""&amp;IFERROR(VLOOKUP(O63,EMAILS!B:E,4,FALSE),"NO T FOUND IN EMAILS")</f>
        <v/>
      </c>
    </row>
    <row r="64" spans="2:18" x14ac:dyDescent="0.25">
      <c r="B64" s="5" t="s">
        <v>66</v>
      </c>
      <c r="C64" s="5" t="s">
        <v>4206</v>
      </c>
      <c r="D64" s="5">
        <v>0</v>
      </c>
      <c r="E64" s="5">
        <v>0</v>
      </c>
      <c r="F64" s="5">
        <v>0</v>
      </c>
      <c r="G64" s="5">
        <v>0</v>
      </c>
      <c r="H64" s="5">
        <v>0</v>
      </c>
      <c r="I64" s="5">
        <v>0</v>
      </c>
      <c r="J64" s="5">
        <v>0</v>
      </c>
      <c r="K64" s="5">
        <v>0</v>
      </c>
      <c r="L64" s="5">
        <v>0</v>
      </c>
      <c r="M64" s="5">
        <v>0</v>
      </c>
      <c r="N64" s="5">
        <v>0</v>
      </c>
      <c r="O64" s="5" t="str">
        <f t="shared" ca="1" si="0"/>
        <v>Supplier 140</v>
      </c>
      <c r="P64" s="20" t="str">
        <f ca="1">IFERROR(VLOOKUP(O64,EMAILS!B:C,2,FALSE),"NOT FOUND IN EMAILS")</f>
        <v>supplier@gmail.com</v>
      </c>
      <c r="Q64" t="str">
        <f ca="1">""&amp;IFERROR(VLOOKUP(O64,EMAILS!B:D,3,FALSE),"NOT FOUND IN EMAILS")</f>
        <v/>
      </c>
      <c r="R64" t="str">
        <f ca="1">""&amp;IFERROR(VLOOKUP(O64,EMAILS!B:E,4,FALSE),"NO T FOUND IN EMAILS")</f>
        <v/>
      </c>
    </row>
    <row r="65" spans="2:18" x14ac:dyDescent="0.25">
      <c r="B65" s="5" t="s">
        <v>67</v>
      </c>
      <c r="C65" s="5" t="s">
        <v>4207</v>
      </c>
      <c r="D65" s="5">
        <v>12</v>
      </c>
      <c r="E65" s="5">
        <v>6</v>
      </c>
      <c r="F65" s="5">
        <v>6</v>
      </c>
      <c r="G65" s="5">
        <v>6</v>
      </c>
      <c r="H65" s="5">
        <v>0</v>
      </c>
      <c r="I65" s="5">
        <v>0</v>
      </c>
      <c r="J65" s="5">
        <v>0</v>
      </c>
      <c r="K65" s="5">
        <v>0</v>
      </c>
      <c r="L65" s="5">
        <v>0</v>
      </c>
      <c r="M65" s="5">
        <v>0</v>
      </c>
      <c r="N65" s="5">
        <v>12</v>
      </c>
      <c r="O65" s="5" t="str">
        <f t="shared" ca="1" si="0"/>
        <v>Supplier 198</v>
      </c>
      <c r="P65" s="20" t="str">
        <f ca="1">IFERROR(VLOOKUP(O65,EMAILS!B:C,2,FALSE),"NOT FOUND IN EMAILS")</f>
        <v>supplier@gmail.com</v>
      </c>
      <c r="Q65" t="str">
        <f ca="1">""&amp;IFERROR(VLOOKUP(O65,EMAILS!B:D,3,FALSE),"NOT FOUND IN EMAILS")</f>
        <v/>
      </c>
      <c r="R65" t="str">
        <f ca="1">""&amp;IFERROR(VLOOKUP(O65,EMAILS!B:E,4,FALSE),"NO T FOUND IN EMAILS")</f>
        <v/>
      </c>
    </row>
    <row r="66" spans="2:18" x14ac:dyDescent="0.25">
      <c r="B66" s="5" t="s">
        <v>68</v>
      </c>
      <c r="C66" s="5" t="s">
        <v>4208</v>
      </c>
      <c r="D66" s="5">
        <v>0</v>
      </c>
      <c r="E66" s="5">
        <v>0</v>
      </c>
      <c r="F66" s="5">
        <v>0</v>
      </c>
      <c r="G66" s="5">
        <v>0</v>
      </c>
      <c r="H66" s="5">
        <v>0</v>
      </c>
      <c r="I66" s="5">
        <v>0</v>
      </c>
      <c r="J66" s="5">
        <v>0</v>
      </c>
      <c r="K66" s="5">
        <v>0</v>
      </c>
      <c r="L66" s="5">
        <v>0</v>
      </c>
      <c r="M66" s="5">
        <v>0</v>
      </c>
      <c r="N66" s="5">
        <v>4</v>
      </c>
      <c r="O66" s="5" t="str">
        <f t="shared" ca="1" si="0"/>
        <v>Supplier 168</v>
      </c>
      <c r="P66" s="20" t="str">
        <f ca="1">IFERROR(VLOOKUP(O66,EMAILS!B:C,2,FALSE),"NOT FOUND IN EMAILS")</f>
        <v>supplier@gmail.com</v>
      </c>
      <c r="Q66" t="str">
        <f ca="1">""&amp;IFERROR(VLOOKUP(O66,EMAILS!B:D,3,FALSE),"NOT FOUND IN EMAILS")</f>
        <v/>
      </c>
      <c r="R66" t="str">
        <f ca="1">""&amp;IFERROR(VLOOKUP(O66,EMAILS!B:E,4,FALSE),"NO T FOUND IN EMAILS")</f>
        <v/>
      </c>
    </row>
    <row r="67" spans="2:18" x14ac:dyDescent="0.25">
      <c r="B67" s="5" t="s">
        <v>69</v>
      </c>
      <c r="C67" s="5" t="s">
        <v>4209</v>
      </c>
      <c r="D67" s="5">
        <v>0</v>
      </c>
      <c r="E67" s="5">
        <v>0</v>
      </c>
      <c r="F67" s="5">
        <v>0</v>
      </c>
      <c r="G67" s="5">
        <v>0</v>
      </c>
      <c r="H67" s="5">
        <v>0</v>
      </c>
      <c r="I67" s="5">
        <v>0</v>
      </c>
      <c r="J67" s="5">
        <v>0</v>
      </c>
      <c r="K67" s="5">
        <v>0</v>
      </c>
      <c r="L67" s="5">
        <v>0</v>
      </c>
      <c r="M67" s="5">
        <v>0</v>
      </c>
      <c r="N67" s="5">
        <v>3</v>
      </c>
      <c r="O67" s="5" t="str">
        <f t="shared" ref="O67:O130" ca="1" si="1">"Supplier "&amp;RANDBETWEEN(1,200)</f>
        <v>Supplier 48</v>
      </c>
      <c r="P67" s="20" t="str">
        <f ca="1">IFERROR(VLOOKUP(O67,EMAILS!B:C,2,FALSE),"NOT FOUND IN EMAILS")</f>
        <v>supplier@gmail.com</v>
      </c>
      <c r="Q67" t="str">
        <f ca="1">""&amp;IFERROR(VLOOKUP(O67,EMAILS!B:D,3,FALSE),"NOT FOUND IN EMAILS")</f>
        <v/>
      </c>
      <c r="R67" t="str">
        <f ca="1">""&amp;IFERROR(VLOOKUP(O67,EMAILS!B:E,4,FALSE),"NO T FOUND IN EMAILS")</f>
        <v/>
      </c>
    </row>
    <row r="68" spans="2:18" x14ac:dyDescent="0.25">
      <c r="B68" s="5" t="s">
        <v>70</v>
      </c>
      <c r="C68" s="5" t="s">
        <v>4210</v>
      </c>
      <c r="D68" s="5">
        <v>0</v>
      </c>
      <c r="E68" s="5">
        <v>0</v>
      </c>
      <c r="F68" s="5">
        <v>0</v>
      </c>
      <c r="G68" s="5">
        <v>0</v>
      </c>
      <c r="H68" s="5">
        <v>0</v>
      </c>
      <c r="I68" s="5">
        <v>0</v>
      </c>
      <c r="J68" s="5">
        <v>0</v>
      </c>
      <c r="K68" s="5">
        <v>0</v>
      </c>
      <c r="L68" s="5">
        <v>0</v>
      </c>
      <c r="M68" s="5">
        <v>0</v>
      </c>
      <c r="N68" s="5">
        <v>0</v>
      </c>
      <c r="O68" s="5" t="str">
        <f t="shared" ca="1" si="1"/>
        <v>Supplier 5</v>
      </c>
      <c r="P68" s="20" t="str">
        <f ca="1">IFERROR(VLOOKUP(O68,EMAILS!B:C,2,FALSE),"NOT FOUND IN EMAILS")</f>
        <v>supplier@gmail.com</v>
      </c>
      <c r="Q68" t="str">
        <f ca="1">""&amp;IFERROR(VLOOKUP(O68,EMAILS!B:D,3,FALSE),"NOT FOUND IN EMAILS")</f>
        <v>supplier_logistics@gmail.com</v>
      </c>
      <c r="R68" t="str">
        <f ca="1">""&amp;IFERROR(VLOOKUP(O68,EMAILS!B:E,4,FALSE),"NO T FOUND IN EMAILS")</f>
        <v/>
      </c>
    </row>
    <row r="69" spans="2:18" x14ac:dyDescent="0.25">
      <c r="B69" s="5" t="s">
        <v>71</v>
      </c>
      <c r="C69" s="5" t="s">
        <v>4211</v>
      </c>
      <c r="D69" s="5">
        <v>0</v>
      </c>
      <c r="E69" s="5">
        <v>0</v>
      </c>
      <c r="F69" s="5">
        <v>0</v>
      </c>
      <c r="G69" s="5">
        <v>0</v>
      </c>
      <c r="H69" s="5">
        <v>0</v>
      </c>
      <c r="I69" s="5">
        <v>0</v>
      </c>
      <c r="J69" s="5">
        <v>0</v>
      </c>
      <c r="K69" s="5">
        <v>0</v>
      </c>
      <c r="L69" s="5">
        <v>0</v>
      </c>
      <c r="M69" s="5">
        <v>0</v>
      </c>
      <c r="N69" s="5">
        <v>106</v>
      </c>
      <c r="O69" s="5" t="str">
        <f t="shared" ca="1" si="1"/>
        <v>Supplier 74</v>
      </c>
      <c r="P69" s="20" t="str">
        <f ca="1">IFERROR(VLOOKUP(O69,EMAILS!B:C,2,FALSE),"NOT FOUND IN EMAILS")</f>
        <v>supplier@gmail.com</v>
      </c>
      <c r="Q69" t="str">
        <f ca="1">""&amp;IFERROR(VLOOKUP(O69,EMAILS!B:D,3,FALSE),"NOT FOUND IN EMAILS")</f>
        <v/>
      </c>
      <c r="R69" t="str">
        <f ca="1">""&amp;IFERROR(VLOOKUP(O69,EMAILS!B:E,4,FALSE),"NO T FOUND IN EMAILS")</f>
        <v/>
      </c>
    </row>
    <row r="70" spans="2:18" x14ac:dyDescent="0.25">
      <c r="B70" s="5" t="s">
        <v>72</v>
      </c>
      <c r="C70" s="5" t="s">
        <v>4212</v>
      </c>
      <c r="D70" s="5">
        <v>60</v>
      </c>
      <c r="E70" s="5">
        <v>30</v>
      </c>
      <c r="F70" s="5">
        <v>30</v>
      </c>
      <c r="G70" s="5">
        <v>60</v>
      </c>
      <c r="H70" s="5">
        <v>60</v>
      </c>
      <c r="I70" s="5">
        <v>30</v>
      </c>
      <c r="J70" s="5">
        <v>60</v>
      </c>
      <c r="K70" s="5">
        <v>30</v>
      </c>
      <c r="L70" s="5">
        <v>60</v>
      </c>
      <c r="M70" s="5">
        <v>0</v>
      </c>
      <c r="N70" s="5">
        <v>602</v>
      </c>
      <c r="O70" s="5" t="str">
        <f t="shared" ca="1" si="1"/>
        <v>Supplier 177</v>
      </c>
      <c r="P70" s="20" t="str">
        <f ca="1">IFERROR(VLOOKUP(O70,EMAILS!B:C,2,FALSE),"NOT FOUND IN EMAILS")</f>
        <v>supplier@gmail.com</v>
      </c>
      <c r="Q70" t="str">
        <f ca="1">""&amp;IFERROR(VLOOKUP(O70,EMAILS!B:D,3,FALSE),"NOT FOUND IN EMAILS")</f>
        <v/>
      </c>
      <c r="R70" t="str">
        <f ca="1">""&amp;IFERROR(VLOOKUP(O70,EMAILS!B:E,4,FALSE),"NO T FOUND IN EMAILS")</f>
        <v/>
      </c>
    </row>
    <row r="71" spans="2:18" x14ac:dyDescent="0.25">
      <c r="B71" s="5" t="s">
        <v>73</v>
      </c>
      <c r="C71" s="5" t="s">
        <v>4213</v>
      </c>
      <c r="D71" s="5">
        <v>30</v>
      </c>
      <c r="E71" s="5">
        <v>30</v>
      </c>
      <c r="F71" s="5">
        <v>30</v>
      </c>
      <c r="G71" s="5">
        <v>30</v>
      </c>
      <c r="H71" s="5">
        <v>30</v>
      </c>
      <c r="I71" s="5">
        <v>0</v>
      </c>
      <c r="J71" s="5">
        <v>30</v>
      </c>
      <c r="K71" s="5">
        <v>0</v>
      </c>
      <c r="L71" s="5">
        <v>30</v>
      </c>
      <c r="M71" s="5">
        <v>0</v>
      </c>
      <c r="N71" s="5">
        <v>159</v>
      </c>
      <c r="O71" s="5" t="str">
        <f t="shared" ca="1" si="1"/>
        <v>Supplier 159</v>
      </c>
      <c r="P71" s="20" t="str">
        <f ca="1">IFERROR(VLOOKUP(O71,EMAILS!B:C,2,FALSE),"NOT FOUND IN EMAILS")</f>
        <v>supplier@gmail.com</v>
      </c>
      <c r="Q71" t="str">
        <f ca="1">""&amp;IFERROR(VLOOKUP(O71,EMAILS!B:D,3,FALSE),"NOT FOUND IN EMAILS")</f>
        <v/>
      </c>
      <c r="R71" t="str">
        <f ca="1">""&amp;IFERROR(VLOOKUP(O71,EMAILS!B:E,4,FALSE),"NO T FOUND IN EMAILS")</f>
        <v/>
      </c>
    </row>
    <row r="72" spans="2:18" x14ac:dyDescent="0.25">
      <c r="B72" s="5" t="s">
        <v>74</v>
      </c>
      <c r="C72" s="5" t="s">
        <v>4214</v>
      </c>
      <c r="D72" s="5">
        <v>0</v>
      </c>
      <c r="E72" s="5">
        <v>0</v>
      </c>
      <c r="F72" s="5">
        <v>500</v>
      </c>
      <c r="G72" s="5">
        <v>0</v>
      </c>
      <c r="H72" s="5">
        <v>0</v>
      </c>
      <c r="I72" s="5">
        <v>0</v>
      </c>
      <c r="J72" s="5">
        <v>0</v>
      </c>
      <c r="K72" s="5">
        <v>0</v>
      </c>
      <c r="L72" s="5">
        <v>0</v>
      </c>
      <c r="M72" s="5">
        <v>0</v>
      </c>
      <c r="N72" s="5">
        <v>0</v>
      </c>
      <c r="O72" s="5" t="str">
        <f t="shared" ca="1" si="1"/>
        <v>Supplier 30</v>
      </c>
      <c r="P72" s="20" t="str">
        <f ca="1">IFERROR(VLOOKUP(O72,EMAILS!B:C,2,FALSE),"NOT FOUND IN EMAILS")</f>
        <v>supplier@gmail.com</v>
      </c>
      <c r="Q72" t="str">
        <f ca="1">""&amp;IFERROR(VLOOKUP(O72,EMAILS!B:D,3,FALSE),"NOT FOUND IN EMAILS")</f>
        <v/>
      </c>
      <c r="R72" t="str">
        <f ca="1">""&amp;IFERROR(VLOOKUP(O72,EMAILS!B:E,4,FALSE),"NO T FOUND IN EMAILS")</f>
        <v/>
      </c>
    </row>
    <row r="73" spans="2:18" x14ac:dyDescent="0.25">
      <c r="B73" s="5" t="s">
        <v>75</v>
      </c>
      <c r="C73" s="5" t="s">
        <v>4215</v>
      </c>
      <c r="D73" s="5">
        <v>30</v>
      </c>
      <c r="E73" s="5">
        <v>0</v>
      </c>
      <c r="F73" s="5">
        <v>0</v>
      </c>
      <c r="G73" s="5">
        <v>0</v>
      </c>
      <c r="H73" s="5">
        <v>30</v>
      </c>
      <c r="I73" s="5">
        <v>0</v>
      </c>
      <c r="J73" s="5">
        <v>0</v>
      </c>
      <c r="K73" s="5">
        <v>30</v>
      </c>
      <c r="L73" s="5">
        <v>0</v>
      </c>
      <c r="M73" s="5">
        <v>0</v>
      </c>
      <c r="N73" s="5">
        <v>0</v>
      </c>
      <c r="O73" s="5" t="str">
        <f t="shared" ca="1" si="1"/>
        <v>Supplier 11</v>
      </c>
      <c r="P73" s="20" t="str">
        <f ca="1">IFERROR(VLOOKUP(O73,EMAILS!B:C,2,FALSE),"NOT FOUND IN EMAILS")</f>
        <v>supplier@gmail.com</v>
      </c>
      <c r="Q73" t="str">
        <f ca="1">""&amp;IFERROR(VLOOKUP(O73,EMAILS!B:D,3,FALSE),"NOT FOUND IN EMAILS")</f>
        <v>supplier_logistics@gmail.com</v>
      </c>
      <c r="R73" t="str">
        <f ca="1">""&amp;IFERROR(VLOOKUP(O73,EMAILS!B:E,4,FALSE),"NO T FOUND IN EMAILS")</f>
        <v/>
      </c>
    </row>
    <row r="74" spans="2:18" x14ac:dyDescent="0.25">
      <c r="B74" s="5" t="s">
        <v>76</v>
      </c>
      <c r="C74" s="5" t="s">
        <v>4216</v>
      </c>
      <c r="D74" s="5">
        <v>30</v>
      </c>
      <c r="E74" s="5">
        <v>0</v>
      </c>
      <c r="F74" s="5">
        <v>0</v>
      </c>
      <c r="G74" s="5">
        <v>0</v>
      </c>
      <c r="H74" s="5">
        <v>30</v>
      </c>
      <c r="I74" s="5">
        <v>0</v>
      </c>
      <c r="J74" s="5">
        <v>0</v>
      </c>
      <c r="K74" s="5">
        <v>30</v>
      </c>
      <c r="L74" s="5">
        <v>0</v>
      </c>
      <c r="M74" s="5">
        <v>0</v>
      </c>
      <c r="N74" s="5">
        <v>150</v>
      </c>
      <c r="O74" s="5" t="str">
        <f t="shared" ca="1" si="1"/>
        <v>Supplier 56</v>
      </c>
      <c r="P74" s="20" t="str">
        <f ca="1">IFERROR(VLOOKUP(O74,EMAILS!B:C,2,FALSE),"NOT FOUND IN EMAILS")</f>
        <v>supplier@gmail.com</v>
      </c>
      <c r="Q74" t="str">
        <f ca="1">""&amp;IFERROR(VLOOKUP(O74,EMAILS!B:D,3,FALSE),"NOT FOUND IN EMAILS")</f>
        <v/>
      </c>
      <c r="R74" t="str">
        <f ca="1">""&amp;IFERROR(VLOOKUP(O74,EMAILS!B:E,4,FALSE),"NO T FOUND IN EMAILS")</f>
        <v/>
      </c>
    </row>
    <row r="75" spans="2:18" x14ac:dyDescent="0.25">
      <c r="B75" s="5" t="s">
        <v>77</v>
      </c>
      <c r="C75" s="5" t="s">
        <v>4217</v>
      </c>
      <c r="D75" s="5">
        <v>0</v>
      </c>
      <c r="E75" s="5">
        <v>0</v>
      </c>
      <c r="F75" s="5">
        <v>20</v>
      </c>
      <c r="G75" s="5">
        <v>50</v>
      </c>
      <c r="H75" s="5">
        <v>0</v>
      </c>
      <c r="I75" s="5">
        <v>0</v>
      </c>
      <c r="J75" s="5">
        <v>0</v>
      </c>
      <c r="K75" s="5">
        <v>50</v>
      </c>
      <c r="L75" s="5">
        <v>0</v>
      </c>
      <c r="M75" s="5">
        <v>0</v>
      </c>
      <c r="N75" s="5">
        <v>0</v>
      </c>
      <c r="O75" s="5" t="str">
        <f t="shared" ca="1" si="1"/>
        <v>Supplier 83</v>
      </c>
      <c r="P75" s="20" t="str">
        <f ca="1">IFERROR(VLOOKUP(O75,EMAILS!B:C,2,FALSE),"NOT FOUND IN EMAILS")</f>
        <v>supplier@gmail.com</v>
      </c>
      <c r="Q75" t="str">
        <f ca="1">""&amp;IFERROR(VLOOKUP(O75,EMAILS!B:D,3,FALSE),"NOT FOUND IN EMAILS")</f>
        <v/>
      </c>
      <c r="R75" t="str">
        <f ca="1">""&amp;IFERROR(VLOOKUP(O75,EMAILS!B:E,4,FALSE),"NO T FOUND IN EMAILS")</f>
        <v/>
      </c>
    </row>
    <row r="76" spans="2:18" x14ac:dyDescent="0.25">
      <c r="B76" s="5" t="s">
        <v>78</v>
      </c>
      <c r="C76" s="5" t="s">
        <v>4218</v>
      </c>
      <c r="D76" s="5">
        <v>0</v>
      </c>
      <c r="E76" s="5">
        <v>0</v>
      </c>
      <c r="F76" s="5">
        <v>0</v>
      </c>
      <c r="G76" s="5">
        <v>0</v>
      </c>
      <c r="H76" s="5">
        <v>0</v>
      </c>
      <c r="I76" s="5">
        <v>0</v>
      </c>
      <c r="J76" s="5">
        <v>0</v>
      </c>
      <c r="K76" s="5">
        <v>0</v>
      </c>
      <c r="L76" s="5">
        <v>0</v>
      </c>
      <c r="M76" s="5">
        <v>0</v>
      </c>
      <c r="N76" s="5">
        <v>8</v>
      </c>
      <c r="O76" s="5" t="str">
        <f t="shared" ca="1" si="1"/>
        <v>Supplier 3</v>
      </c>
      <c r="P76" s="20" t="str">
        <f ca="1">IFERROR(VLOOKUP(O76,EMAILS!B:C,2,FALSE),"NOT FOUND IN EMAILS")</f>
        <v>supplier@gmail.com</v>
      </c>
      <c r="Q76" t="str">
        <f ca="1">""&amp;IFERROR(VLOOKUP(O76,EMAILS!B:D,3,FALSE),"NOT FOUND IN EMAILS")</f>
        <v>supplier_logistics@gmail.com</v>
      </c>
      <c r="R76" t="str">
        <f ca="1">""&amp;IFERROR(VLOOKUP(O76,EMAILS!B:E,4,FALSE),"NO T FOUND IN EMAILS")</f>
        <v/>
      </c>
    </row>
    <row r="77" spans="2:18" x14ac:dyDescent="0.25">
      <c r="B77" s="5" t="s">
        <v>79</v>
      </c>
      <c r="C77" s="5" t="s">
        <v>4219</v>
      </c>
      <c r="D77" s="5">
        <v>0</v>
      </c>
      <c r="E77" s="5">
        <v>0</v>
      </c>
      <c r="F77" s="5">
        <v>0</v>
      </c>
      <c r="G77" s="5">
        <v>0</v>
      </c>
      <c r="H77" s="5">
        <v>0</v>
      </c>
      <c r="I77" s="5">
        <v>0</v>
      </c>
      <c r="J77" s="5">
        <v>0</v>
      </c>
      <c r="K77" s="5">
        <v>0</v>
      </c>
      <c r="L77" s="5">
        <v>0</v>
      </c>
      <c r="M77" s="5">
        <v>0</v>
      </c>
      <c r="N77" s="5">
        <v>0</v>
      </c>
      <c r="O77" s="5" t="str">
        <f t="shared" ca="1" si="1"/>
        <v>Supplier 157</v>
      </c>
      <c r="P77" s="20" t="str">
        <f ca="1">IFERROR(VLOOKUP(O77,EMAILS!B:C,2,FALSE),"NOT FOUND IN EMAILS")</f>
        <v>supplier@gmail.com</v>
      </c>
      <c r="Q77" t="str">
        <f ca="1">""&amp;IFERROR(VLOOKUP(O77,EMAILS!B:D,3,FALSE),"NOT FOUND IN EMAILS")</f>
        <v/>
      </c>
      <c r="R77" t="str">
        <f ca="1">""&amp;IFERROR(VLOOKUP(O77,EMAILS!B:E,4,FALSE),"NO T FOUND IN EMAILS")</f>
        <v/>
      </c>
    </row>
    <row r="78" spans="2:18" x14ac:dyDescent="0.25">
      <c r="B78" s="5" t="s">
        <v>80</v>
      </c>
      <c r="C78" s="5" t="s">
        <v>4220</v>
      </c>
      <c r="D78" s="5">
        <v>0</v>
      </c>
      <c r="E78" s="5">
        <v>0</v>
      </c>
      <c r="F78" s="5">
        <v>0</v>
      </c>
      <c r="G78" s="5">
        <v>0</v>
      </c>
      <c r="H78" s="5">
        <v>0</v>
      </c>
      <c r="I78" s="5">
        <v>4</v>
      </c>
      <c r="J78" s="5">
        <v>0</v>
      </c>
      <c r="K78" s="5">
        <v>0</v>
      </c>
      <c r="L78" s="5">
        <v>0</v>
      </c>
      <c r="M78" s="5">
        <v>0</v>
      </c>
      <c r="N78" s="5">
        <v>3</v>
      </c>
      <c r="O78" s="5" t="str">
        <f t="shared" ca="1" si="1"/>
        <v>Supplier 45</v>
      </c>
      <c r="P78" s="20" t="str">
        <f ca="1">IFERROR(VLOOKUP(O78,EMAILS!B:C,2,FALSE),"NOT FOUND IN EMAILS")</f>
        <v>supplier@gmail.com</v>
      </c>
      <c r="Q78" t="str">
        <f ca="1">""&amp;IFERROR(VLOOKUP(O78,EMAILS!B:D,3,FALSE),"NOT FOUND IN EMAILS")</f>
        <v/>
      </c>
      <c r="R78" t="str">
        <f ca="1">""&amp;IFERROR(VLOOKUP(O78,EMAILS!B:E,4,FALSE),"NO T FOUND IN EMAILS")</f>
        <v/>
      </c>
    </row>
    <row r="79" spans="2:18" x14ac:dyDescent="0.25">
      <c r="B79" s="5" t="s">
        <v>81</v>
      </c>
      <c r="C79" s="5" t="s">
        <v>4221</v>
      </c>
      <c r="D79" s="5">
        <v>0</v>
      </c>
      <c r="E79" s="5">
        <v>0</v>
      </c>
      <c r="F79" s="5">
        <v>0</v>
      </c>
      <c r="G79" s="5">
        <v>0</v>
      </c>
      <c r="H79" s="5">
        <v>0</v>
      </c>
      <c r="I79" s="5">
        <v>0</v>
      </c>
      <c r="J79" s="5">
        <v>0</v>
      </c>
      <c r="K79" s="5">
        <v>0</v>
      </c>
      <c r="L79" s="5">
        <v>0</v>
      </c>
      <c r="M79" s="5">
        <v>0</v>
      </c>
      <c r="N79" s="5">
        <v>8</v>
      </c>
      <c r="O79" s="5" t="str">
        <f t="shared" ca="1" si="1"/>
        <v>Supplier 132</v>
      </c>
      <c r="P79" s="20" t="str">
        <f ca="1">IFERROR(VLOOKUP(O79,EMAILS!B:C,2,FALSE),"NOT FOUND IN EMAILS")</f>
        <v>supplier@gmail.com</v>
      </c>
      <c r="Q79" t="str">
        <f ca="1">""&amp;IFERROR(VLOOKUP(O79,EMAILS!B:D,3,FALSE),"NOT FOUND IN EMAILS")</f>
        <v/>
      </c>
      <c r="R79" t="str">
        <f ca="1">""&amp;IFERROR(VLOOKUP(O79,EMAILS!B:E,4,FALSE),"NO T FOUND IN EMAILS")</f>
        <v/>
      </c>
    </row>
    <row r="80" spans="2:18" x14ac:dyDescent="0.25">
      <c r="B80" s="5" t="s">
        <v>82</v>
      </c>
      <c r="C80" s="5" t="s">
        <v>4222</v>
      </c>
      <c r="D80" s="5">
        <v>0</v>
      </c>
      <c r="E80" s="5">
        <v>0</v>
      </c>
      <c r="F80" s="5">
        <v>0</v>
      </c>
      <c r="G80" s="5">
        <v>0</v>
      </c>
      <c r="H80" s="5">
        <v>0</v>
      </c>
      <c r="I80" s="5">
        <v>0</v>
      </c>
      <c r="J80" s="5">
        <v>0</v>
      </c>
      <c r="K80" s="5">
        <v>0</v>
      </c>
      <c r="L80" s="5">
        <v>0</v>
      </c>
      <c r="M80" s="5">
        <v>0</v>
      </c>
      <c r="N80" s="5">
        <v>0</v>
      </c>
      <c r="O80" s="5" t="str">
        <f t="shared" ca="1" si="1"/>
        <v>Supplier 153</v>
      </c>
      <c r="P80" s="20" t="str">
        <f ca="1">IFERROR(VLOOKUP(O80,EMAILS!B:C,2,FALSE),"NOT FOUND IN EMAILS")</f>
        <v>supplier@gmail.com</v>
      </c>
      <c r="Q80" t="str">
        <f ca="1">""&amp;IFERROR(VLOOKUP(O80,EMAILS!B:D,3,FALSE),"NOT FOUND IN EMAILS")</f>
        <v/>
      </c>
      <c r="R80" t="str">
        <f ca="1">""&amp;IFERROR(VLOOKUP(O80,EMAILS!B:E,4,FALSE),"NO T FOUND IN EMAILS")</f>
        <v/>
      </c>
    </row>
    <row r="81" spans="2:18" x14ac:dyDescent="0.25">
      <c r="B81" s="5" t="s">
        <v>83</v>
      </c>
      <c r="C81" s="5" t="s">
        <v>4223</v>
      </c>
      <c r="D81" s="5">
        <v>60</v>
      </c>
      <c r="E81" s="5">
        <v>30</v>
      </c>
      <c r="F81" s="5">
        <v>30</v>
      </c>
      <c r="G81" s="5">
        <v>30</v>
      </c>
      <c r="H81" s="5">
        <v>30</v>
      </c>
      <c r="I81" s="5">
        <v>15</v>
      </c>
      <c r="J81" s="5">
        <v>30</v>
      </c>
      <c r="K81" s="5">
        <v>15</v>
      </c>
      <c r="L81" s="5">
        <v>30</v>
      </c>
      <c r="M81" s="5">
        <v>0</v>
      </c>
      <c r="N81" s="5">
        <v>0</v>
      </c>
      <c r="O81" s="5" t="str">
        <f t="shared" ca="1" si="1"/>
        <v>Supplier 145</v>
      </c>
      <c r="P81" s="20" t="str">
        <f ca="1">IFERROR(VLOOKUP(O81,EMAILS!B:C,2,FALSE),"NOT FOUND IN EMAILS")</f>
        <v>supplier@gmail.com</v>
      </c>
      <c r="Q81" t="str">
        <f ca="1">""&amp;IFERROR(VLOOKUP(O81,EMAILS!B:D,3,FALSE),"NOT FOUND IN EMAILS")</f>
        <v/>
      </c>
      <c r="R81" t="str">
        <f ca="1">""&amp;IFERROR(VLOOKUP(O81,EMAILS!B:E,4,FALSE),"NO T FOUND IN EMAILS")</f>
        <v/>
      </c>
    </row>
    <row r="82" spans="2:18" x14ac:dyDescent="0.25">
      <c r="B82" s="5" t="s">
        <v>84</v>
      </c>
      <c r="C82" s="5" t="s">
        <v>4224</v>
      </c>
      <c r="D82" s="5">
        <v>50</v>
      </c>
      <c r="E82" s="5">
        <v>25</v>
      </c>
      <c r="F82" s="5">
        <v>25</v>
      </c>
      <c r="G82" s="5">
        <v>25</v>
      </c>
      <c r="H82" s="5">
        <v>25</v>
      </c>
      <c r="I82" s="5">
        <v>25</v>
      </c>
      <c r="J82" s="5">
        <v>25</v>
      </c>
      <c r="K82" s="5">
        <v>25</v>
      </c>
      <c r="L82" s="5">
        <v>25</v>
      </c>
      <c r="M82" s="5">
        <v>0</v>
      </c>
      <c r="N82" s="5">
        <v>70</v>
      </c>
      <c r="O82" s="5" t="str">
        <f t="shared" ca="1" si="1"/>
        <v>Supplier 92</v>
      </c>
      <c r="P82" s="20" t="str">
        <f ca="1">IFERROR(VLOOKUP(O82,EMAILS!B:C,2,FALSE),"NOT FOUND IN EMAILS")</f>
        <v>supplier@gmail.com</v>
      </c>
      <c r="Q82" t="str">
        <f ca="1">""&amp;IFERROR(VLOOKUP(O82,EMAILS!B:D,3,FALSE),"NOT FOUND IN EMAILS")</f>
        <v/>
      </c>
      <c r="R82" t="str">
        <f ca="1">""&amp;IFERROR(VLOOKUP(O82,EMAILS!B:E,4,FALSE),"NO T FOUND IN EMAILS")</f>
        <v/>
      </c>
    </row>
    <row r="83" spans="2:18" x14ac:dyDescent="0.25">
      <c r="B83" s="5" t="s">
        <v>85</v>
      </c>
      <c r="C83" s="5" t="s">
        <v>4225</v>
      </c>
      <c r="D83" s="5">
        <v>1404</v>
      </c>
      <c r="E83" s="5">
        <v>1188</v>
      </c>
      <c r="F83" s="5">
        <v>1404</v>
      </c>
      <c r="G83" s="5">
        <v>1404</v>
      </c>
      <c r="H83" s="5">
        <v>1404</v>
      </c>
      <c r="I83" s="5">
        <v>1404</v>
      </c>
      <c r="J83" s="5">
        <v>1080</v>
      </c>
      <c r="K83" s="5">
        <v>1512</v>
      </c>
      <c r="L83" s="5">
        <v>1404</v>
      </c>
      <c r="M83" s="5">
        <v>0</v>
      </c>
      <c r="N83" s="5">
        <v>5000</v>
      </c>
      <c r="O83" s="5" t="str">
        <f t="shared" ca="1" si="1"/>
        <v>Supplier 43</v>
      </c>
      <c r="P83" s="20" t="str">
        <f ca="1">IFERROR(VLOOKUP(O83,EMAILS!B:C,2,FALSE),"NOT FOUND IN EMAILS")</f>
        <v>supplier@gmail.com</v>
      </c>
      <c r="Q83" t="str">
        <f ca="1">""&amp;IFERROR(VLOOKUP(O83,EMAILS!B:D,3,FALSE),"NOT FOUND IN EMAILS")</f>
        <v/>
      </c>
      <c r="R83" t="str">
        <f ca="1">""&amp;IFERROR(VLOOKUP(O83,EMAILS!B:E,4,FALSE),"NO T FOUND IN EMAILS")</f>
        <v/>
      </c>
    </row>
    <row r="84" spans="2:18" x14ac:dyDescent="0.25">
      <c r="B84" s="5" t="s">
        <v>86</v>
      </c>
      <c r="C84" s="5" t="s">
        <v>4226</v>
      </c>
      <c r="D84" s="5">
        <v>12</v>
      </c>
      <c r="E84" s="5">
        <v>0</v>
      </c>
      <c r="F84" s="5">
        <v>10</v>
      </c>
      <c r="G84" s="5">
        <v>8</v>
      </c>
      <c r="H84" s="5">
        <v>10</v>
      </c>
      <c r="I84" s="5">
        <v>6</v>
      </c>
      <c r="J84" s="5">
        <v>8</v>
      </c>
      <c r="K84" s="5">
        <v>4</v>
      </c>
      <c r="L84" s="5">
        <v>4</v>
      </c>
      <c r="M84" s="5">
        <v>0</v>
      </c>
      <c r="N84" s="5">
        <v>374</v>
      </c>
      <c r="O84" s="5" t="str">
        <f t="shared" ca="1" si="1"/>
        <v>Supplier 195</v>
      </c>
      <c r="P84" s="20" t="str">
        <f ca="1">IFERROR(VLOOKUP(O84,EMAILS!B:C,2,FALSE),"NOT FOUND IN EMAILS")</f>
        <v>supplier@gmail.com</v>
      </c>
      <c r="Q84" t="str">
        <f ca="1">""&amp;IFERROR(VLOOKUP(O84,EMAILS!B:D,3,FALSE),"NOT FOUND IN EMAILS")</f>
        <v/>
      </c>
      <c r="R84" t="str">
        <f ca="1">""&amp;IFERROR(VLOOKUP(O84,EMAILS!B:E,4,FALSE),"NO T FOUND IN EMAILS")</f>
        <v/>
      </c>
    </row>
    <row r="85" spans="2:18" x14ac:dyDescent="0.25">
      <c r="B85" s="5" t="s">
        <v>87</v>
      </c>
      <c r="C85" s="5" t="s">
        <v>4227</v>
      </c>
      <c r="D85" s="5">
        <v>0</v>
      </c>
      <c r="E85" s="5">
        <v>18</v>
      </c>
      <c r="F85" s="5">
        <v>0</v>
      </c>
      <c r="G85" s="5">
        <v>0</v>
      </c>
      <c r="H85" s="5">
        <v>0</v>
      </c>
      <c r="I85" s="5">
        <v>0</v>
      </c>
      <c r="J85" s="5">
        <v>0</v>
      </c>
      <c r="K85" s="5">
        <v>0</v>
      </c>
      <c r="L85" s="5">
        <v>0</v>
      </c>
      <c r="M85" s="5">
        <v>0</v>
      </c>
      <c r="N85" s="5">
        <v>0</v>
      </c>
      <c r="O85" s="5" t="str">
        <f t="shared" ca="1" si="1"/>
        <v>Supplier 189</v>
      </c>
      <c r="P85" s="20" t="str">
        <f ca="1">IFERROR(VLOOKUP(O85,EMAILS!B:C,2,FALSE),"NOT FOUND IN EMAILS")</f>
        <v>supplier@gmail.com</v>
      </c>
      <c r="Q85" t="str">
        <f ca="1">""&amp;IFERROR(VLOOKUP(O85,EMAILS!B:D,3,FALSE),"NOT FOUND IN EMAILS")</f>
        <v/>
      </c>
      <c r="R85" t="str">
        <f ca="1">""&amp;IFERROR(VLOOKUP(O85,EMAILS!B:E,4,FALSE),"NO T FOUND IN EMAILS")</f>
        <v/>
      </c>
    </row>
    <row r="86" spans="2:18" x14ac:dyDescent="0.25">
      <c r="B86" s="5" t="s">
        <v>88</v>
      </c>
      <c r="C86" s="5" t="s">
        <v>4228</v>
      </c>
      <c r="D86" s="5">
        <v>20</v>
      </c>
      <c r="E86" s="5">
        <v>23</v>
      </c>
      <c r="F86" s="5">
        <v>30</v>
      </c>
      <c r="G86" s="5">
        <v>22</v>
      </c>
      <c r="H86" s="5">
        <v>20</v>
      </c>
      <c r="I86" s="5">
        <v>16</v>
      </c>
      <c r="J86" s="5">
        <v>16</v>
      </c>
      <c r="K86" s="5">
        <v>15</v>
      </c>
      <c r="L86" s="5">
        <v>16</v>
      </c>
      <c r="M86" s="5">
        <v>0</v>
      </c>
      <c r="N86" s="5">
        <v>51</v>
      </c>
      <c r="O86" s="5" t="str">
        <f t="shared" ca="1" si="1"/>
        <v>Supplier 118</v>
      </c>
      <c r="P86" s="20" t="str">
        <f ca="1">IFERROR(VLOOKUP(O86,EMAILS!B:C,2,FALSE),"NOT FOUND IN EMAILS")</f>
        <v>supplier@gmail.com</v>
      </c>
      <c r="Q86" t="str">
        <f ca="1">""&amp;IFERROR(VLOOKUP(O86,EMAILS!B:D,3,FALSE),"NOT FOUND IN EMAILS")</f>
        <v/>
      </c>
      <c r="R86" t="str">
        <f ca="1">""&amp;IFERROR(VLOOKUP(O86,EMAILS!B:E,4,FALSE),"NO T FOUND IN EMAILS")</f>
        <v/>
      </c>
    </row>
    <row r="87" spans="2:18" x14ac:dyDescent="0.25">
      <c r="B87" s="5" t="s">
        <v>89</v>
      </c>
      <c r="C87" s="5" t="s">
        <v>4229</v>
      </c>
      <c r="D87" s="5">
        <v>0</v>
      </c>
      <c r="E87" s="5">
        <v>0</v>
      </c>
      <c r="F87" s="5">
        <v>0</v>
      </c>
      <c r="G87" s="5">
        <v>0</v>
      </c>
      <c r="H87" s="5">
        <v>0</v>
      </c>
      <c r="I87" s="5">
        <v>0</v>
      </c>
      <c r="J87" s="5">
        <v>0</v>
      </c>
      <c r="K87" s="5">
        <v>0</v>
      </c>
      <c r="L87" s="5">
        <v>0</v>
      </c>
      <c r="M87" s="5">
        <v>0</v>
      </c>
      <c r="N87" s="5">
        <v>0</v>
      </c>
      <c r="O87" s="5" t="str">
        <f t="shared" ca="1" si="1"/>
        <v>Supplier 26</v>
      </c>
      <c r="P87" s="20" t="str">
        <f ca="1">IFERROR(VLOOKUP(O87,EMAILS!B:C,2,FALSE),"NOT FOUND IN EMAILS")</f>
        <v>supplier@gmail.com</v>
      </c>
      <c r="Q87" t="str">
        <f ca="1">""&amp;IFERROR(VLOOKUP(O87,EMAILS!B:D,3,FALSE),"NOT FOUND IN EMAILS")</f>
        <v/>
      </c>
      <c r="R87" t="str">
        <f ca="1">""&amp;IFERROR(VLOOKUP(O87,EMAILS!B:E,4,FALSE),"NO T FOUND IN EMAILS")</f>
        <v/>
      </c>
    </row>
    <row r="88" spans="2:18" x14ac:dyDescent="0.25">
      <c r="B88" s="5" t="s">
        <v>90</v>
      </c>
      <c r="C88" s="5" t="s">
        <v>4230</v>
      </c>
      <c r="D88" s="5">
        <v>0</v>
      </c>
      <c r="E88" s="5">
        <v>0</v>
      </c>
      <c r="F88" s="5">
        <v>0</v>
      </c>
      <c r="G88" s="5">
        <v>0</v>
      </c>
      <c r="H88" s="5">
        <v>0</v>
      </c>
      <c r="I88" s="5">
        <v>0</v>
      </c>
      <c r="J88" s="5">
        <v>0</v>
      </c>
      <c r="K88" s="5">
        <v>0</v>
      </c>
      <c r="L88" s="5">
        <v>0</v>
      </c>
      <c r="M88" s="5">
        <v>0</v>
      </c>
      <c r="N88" s="5">
        <v>525</v>
      </c>
      <c r="O88" s="5" t="str">
        <f t="shared" ca="1" si="1"/>
        <v>Supplier 137</v>
      </c>
      <c r="P88" s="20" t="str">
        <f ca="1">IFERROR(VLOOKUP(O88,EMAILS!B:C,2,FALSE),"NOT FOUND IN EMAILS")</f>
        <v>supplier@gmail.com</v>
      </c>
      <c r="Q88" t="str">
        <f ca="1">""&amp;IFERROR(VLOOKUP(O88,EMAILS!B:D,3,FALSE),"NOT FOUND IN EMAILS")</f>
        <v/>
      </c>
      <c r="R88" t="str">
        <f ca="1">""&amp;IFERROR(VLOOKUP(O88,EMAILS!B:E,4,FALSE),"NO T FOUND IN EMAILS")</f>
        <v/>
      </c>
    </row>
    <row r="89" spans="2:18" x14ac:dyDescent="0.25">
      <c r="B89" s="5" t="s">
        <v>91</v>
      </c>
      <c r="C89" s="5" t="s">
        <v>4231</v>
      </c>
      <c r="D89" s="5">
        <v>0</v>
      </c>
      <c r="E89" s="5">
        <v>0</v>
      </c>
      <c r="F89" s="5">
        <v>0</v>
      </c>
      <c r="G89" s="5">
        <v>0</v>
      </c>
      <c r="H89" s="5">
        <v>0</v>
      </c>
      <c r="I89" s="5">
        <v>0</v>
      </c>
      <c r="J89" s="5">
        <v>0</v>
      </c>
      <c r="K89" s="5">
        <v>0</v>
      </c>
      <c r="L89" s="5">
        <v>0</v>
      </c>
      <c r="M89" s="5">
        <v>0</v>
      </c>
      <c r="N89" s="5">
        <v>0</v>
      </c>
      <c r="O89" s="5" t="str">
        <f t="shared" ca="1" si="1"/>
        <v>Supplier 67</v>
      </c>
      <c r="P89" s="20" t="str">
        <f ca="1">IFERROR(VLOOKUP(O89,EMAILS!B:C,2,FALSE),"NOT FOUND IN EMAILS")</f>
        <v>supplier@gmail.com</v>
      </c>
      <c r="Q89" t="str">
        <f ca="1">""&amp;IFERROR(VLOOKUP(O89,EMAILS!B:D,3,FALSE),"NOT FOUND IN EMAILS")</f>
        <v/>
      </c>
      <c r="R89" t="str">
        <f ca="1">""&amp;IFERROR(VLOOKUP(O89,EMAILS!B:E,4,FALSE),"NO T FOUND IN EMAILS")</f>
        <v/>
      </c>
    </row>
    <row r="90" spans="2:18" x14ac:dyDescent="0.25">
      <c r="B90" s="5" t="s">
        <v>92</v>
      </c>
      <c r="C90" s="5" t="s">
        <v>4232</v>
      </c>
      <c r="D90" s="5">
        <v>0</v>
      </c>
      <c r="E90" s="5">
        <v>0</v>
      </c>
      <c r="F90" s="5">
        <v>0</v>
      </c>
      <c r="G90" s="5">
        <v>0</v>
      </c>
      <c r="H90" s="5">
        <v>0</v>
      </c>
      <c r="I90" s="5">
        <v>0</v>
      </c>
      <c r="J90" s="5">
        <v>0</v>
      </c>
      <c r="K90" s="5">
        <v>0</v>
      </c>
      <c r="L90" s="5">
        <v>0</v>
      </c>
      <c r="M90" s="5">
        <v>0</v>
      </c>
      <c r="N90" s="5">
        <v>113</v>
      </c>
      <c r="O90" s="5" t="str">
        <f t="shared" ca="1" si="1"/>
        <v>Supplier 20</v>
      </c>
      <c r="P90" s="20" t="str">
        <f ca="1">IFERROR(VLOOKUP(O90,EMAILS!B:C,2,FALSE),"NOT FOUND IN EMAILS")</f>
        <v>supplier@gmail.com</v>
      </c>
      <c r="Q90" t="str">
        <f ca="1">""&amp;IFERROR(VLOOKUP(O90,EMAILS!B:D,3,FALSE),"NOT FOUND IN EMAILS")</f>
        <v/>
      </c>
      <c r="R90" t="str">
        <f ca="1">""&amp;IFERROR(VLOOKUP(O90,EMAILS!B:E,4,FALSE),"NO T FOUND IN EMAILS")</f>
        <v/>
      </c>
    </row>
    <row r="91" spans="2:18" x14ac:dyDescent="0.25">
      <c r="B91" s="5" t="s">
        <v>93</v>
      </c>
      <c r="C91" s="5" t="s">
        <v>4233</v>
      </c>
      <c r="D91" s="5">
        <v>0</v>
      </c>
      <c r="E91" s="5">
        <v>0</v>
      </c>
      <c r="F91" s="5">
        <v>0</v>
      </c>
      <c r="G91" s="5">
        <v>0</v>
      </c>
      <c r="H91" s="5">
        <v>0</v>
      </c>
      <c r="I91" s="5">
        <v>0</v>
      </c>
      <c r="J91" s="5">
        <v>0</v>
      </c>
      <c r="K91" s="5">
        <v>0</v>
      </c>
      <c r="L91" s="5">
        <v>0</v>
      </c>
      <c r="M91" s="5">
        <v>0</v>
      </c>
      <c r="N91" s="5">
        <v>371</v>
      </c>
      <c r="O91" s="5" t="str">
        <f t="shared" ca="1" si="1"/>
        <v>Supplier 23</v>
      </c>
      <c r="P91" s="20" t="str">
        <f ca="1">IFERROR(VLOOKUP(O91,EMAILS!B:C,2,FALSE),"NOT FOUND IN EMAILS")</f>
        <v>supplier@gmail.com</v>
      </c>
      <c r="Q91" t="str">
        <f ca="1">""&amp;IFERROR(VLOOKUP(O91,EMAILS!B:D,3,FALSE),"NOT FOUND IN EMAILS")</f>
        <v/>
      </c>
      <c r="R91" t="str">
        <f ca="1">""&amp;IFERROR(VLOOKUP(O91,EMAILS!B:E,4,FALSE),"NO T FOUND IN EMAILS")</f>
        <v/>
      </c>
    </row>
    <row r="92" spans="2:18" x14ac:dyDescent="0.25">
      <c r="B92" s="5" t="s">
        <v>94</v>
      </c>
      <c r="C92" s="5" t="s">
        <v>4234</v>
      </c>
      <c r="D92" s="5">
        <v>0</v>
      </c>
      <c r="E92" s="5">
        <v>0</v>
      </c>
      <c r="F92" s="5">
        <v>0</v>
      </c>
      <c r="G92" s="5">
        <v>0</v>
      </c>
      <c r="H92" s="5">
        <v>0</v>
      </c>
      <c r="I92" s="5">
        <v>0</v>
      </c>
      <c r="J92" s="5">
        <v>0</v>
      </c>
      <c r="K92" s="5">
        <v>0</v>
      </c>
      <c r="L92" s="5">
        <v>0</v>
      </c>
      <c r="M92" s="5">
        <v>0</v>
      </c>
      <c r="N92" s="5">
        <v>6</v>
      </c>
      <c r="O92" s="5" t="str">
        <f t="shared" ca="1" si="1"/>
        <v>Supplier 22</v>
      </c>
      <c r="P92" s="20" t="str">
        <f ca="1">IFERROR(VLOOKUP(O92,EMAILS!B:C,2,FALSE),"NOT FOUND IN EMAILS")</f>
        <v>supplier@gmail.com</v>
      </c>
      <c r="Q92" t="str">
        <f ca="1">""&amp;IFERROR(VLOOKUP(O92,EMAILS!B:D,3,FALSE),"NOT FOUND IN EMAILS")</f>
        <v/>
      </c>
      <c r="R92" t="str">
        <f ca="1">""&amp;IFERROR(VLOOKUP(O92,EMAILS!B:E,4,FALSE),"NO T FOUND IN EMAILS")</f>
        <v/>
      </c>
    </row>
    <row r="93" spans="2:18" x14ac:dyDescent="0.25">
      <c r="B93" s="5" t="s">
        <v>95</v>
      </c>
      <c r="C93" s="5" t="s">
        <v>4235</v>
      </c>
      <c r="D93" s="5">
        <v>0</v>
      </c>
      <c r="E93" s="5">
        <v>0</v>
      </c>
      <c r="F93" s="5">
        <v>0</v>
      </c>
      <c r="G93" s="5">
        <v>0</v>
      </c>
      <c r="H93" s="5">
        <v>0</v>
      </c>
      <c r="I93" s="5">
        <v>0</v>
      </c>
      <c r="J93" s="5">
        <v>0</v>
      </c>
      <c r="K93" s="5">
        <v>0</v>
      </c>
      <c r="L93" s="5">
        <v>0</v>
      </c>
      <c r="M93" s="5">
        <v>0</v>
      </c>
      <c r="N93" s="5">
        <v>1383</v>
      </c>
      <c r="O93" s="5" t="str">
        <f t="shared" ca="1" si="1"/>
        <v>Supplier 131</v>
      </c>
      <c r="P93" s="20" t="str">
        <f ca="1">IFERROR(VLOOKUP(O93,EMAILS!B:C,2,FALSE),"NOT FOUND IN EMAILS")</f>
        <v>supplier@gmail.com</v>
      </c>
      <c r="Q93" t="str">
        <f ca="1">""&amp;IFERROR(VLOOKUP(O93,EMAILS!B:D,3,FALSE),"NOT FOUND IN EMAILS")</f>
        <v/>
      </c>
      <c r="R93" t="str">
        <f ca="1">""&amp;IFERROR(VLOOKUP(O93,EMAILS!B:E,4,FALSE),"NO T FOUND IN EMAILS")</f>
        <v/>
      </c>
    </row>
    <row r="94" spans="2:18" x14ac:dyDescent="0.25">
      <c r="B94" s="5" t="s">
        <v>96</v>
      </c>
      <c r="C94" s="5" t="s">
        <v>4236</v>
      </c>
      <c r="D94" s="5">
        <v>0</v>
      </c>
      <c r="E94" s="5">
        <v>0</v>
      </c>
      <c r="F94" s="5">
        <v>0</v>
      </c>
      <c r="G94" s="5">
        <v>0</v>
      </c>
      <c r="H94" s="5">
        <v>0</v>
      </c>
      <c r="I94" s="5">
        <v>0</v>
      </c>
      <c r="J94" s="5">
        <v>0</v>
      </c>
      <c r="K94" s="5">
        <v>0</v>
      </c>
      <c r="L94" s="5">
        <v>0</v>
      </c>
      <c r="M94" s="5">
        <v>0</v>
      </c>
      <c r="N94" s="5">
        <v>183</v>
      </c>
      <c r="O94" s="5" t="str">
        <f t="shared" ca="1" si="1"/>
        <v>Supplier 153</v>
      </c>
      <c r="P94" s="20" t="str">
        <f ca="1">IFERROR(VLOOKUP(O94,EMAILS!B:C,2,FALSE),"NOT FOUND IN EMAILS")</f>
        <v>supplier@gmail.com</v>
      </c>
      <c r="Q94" t="str">
        <f ca="1">""&amp;IFERROR(VLOOKUP(O94,EMAILS!B:D,3,FALSE),"NOT FOUND IN EMAILS")</f>
        <v/>
      </c>
      <c r="R94" t="str">
        <f ca="1">""&amp;IFERROR(VLOOKUP(O94,EMAILS!B:E,4,FALSE),"NO T FOUND IN EMAILS")</f>
        <v/>
      </c>
    </row>
    <row r="95" spans="2:18" x14ac:dyDescent="0.25">
      <c r="B95" s="5" t="s">
        <v>97</v>
      </c>
      <c r="C95" s="5" t="s">
        <v>4237</v>
      </c>
      <c r="D95" s="5">
        <v>0</v>
      </c>
      <c r="E95" s="5">
        <v>0</v>
      </c>
      <c r="F95" s="5">
        <v>0</v>
      </c>
      <c r="G95" s="5">
        <v>0</v>
      </c>
      <c r="H95" s="5">
        <v>0</v>
      </c>
      <c r="I95" s="5">
        <v>0</v>
      </c>
      <c r="J95" s="5">
        <v>0</v>
      </c>
      <c r="K95" s="5">
        <v>0</v>
      </c>
      <c r="L95" s="5">
        <v>0</v>
      </c>
      <c r="M95" s="5">
        <v>0</v>
      </c>
      <c r="N95" s="5">
        <v>69</v>
      </c>
      <c r="O95" s="5" t="str">
        <f t="shared" ca="1" si="1"/>
        <v>Supplier 98</v>
      </c>
      <c r="P95" s="20" t="str">
        <f ca="1">IFERROR(VLOOKUP(O95,EMAILS!B:C,2,FALSE),"NOT FOUND IN EMAILS")</f>
        <v>supplier@gmail.com</v>
      </c>
      <c r="Q95" t="str">
        <f ca="1">""&amp;IFERROR(VLOOKUP(O95,EMAILS!B:D,3,FALSE),"NOT FOUND IN EMAILS")</f>
        <v/>
      </c>
      <c r="R95" t="str">
        <f ca="1">""&amp;IFERROR(VLOOKUP(O95,EMAILS!B:E,4,FALSE),"NO T FOUND IN EMAILS")</f>
        <v/>
      </c>
    </row>
    <row r="96" spans="2:18" x14ac:dyDescent="0.25">
      <c r="B96" s="5" t="s">
        <v>98</v>
      </c>
      <c r="C96" s="5" t="s">
        <v>4238</v>
      </c>
      <c r="D96" s="5">
        <v>0</v>
      </c>
      <c r="E96" s="5">
        <v>0</v>
      </c>
      <c r="F96" s="5">
        <v>0</v>
      </c>
      <c r="G96" s="5">
        <v>0</v>
      </c>
      <c r="H96" s="5">
        <v>0</v>
      </c>
      <c r="I96" s="5">
        <v>0</v>
      </c>
      <c r="J96" s="5">
        <v>0</v>
      </c>
      <c r="K96" s="5">
        <v>0</v>
      </c>
      <c r="L96" s="5">
        <v>0</v>
      </c>
      <c r="M96" s="5">
        <v>0</v>
      </c>
      <c r="N96" s="5">
        <v>525</v>
      </c>
      <c r="O96" s="5" t="str">
        <f t="shared" ca="1" si="1"/>
        <v>Supplier 113</v>
      </c>
      <c r="P96" s="20" t="str">
        <f ca="1">IFERROR(VLOOKUP(O96,EMAILS!B:C,2,FALSE),"NOT FOUND IN EMAILS")</f>
        <v>supplier@gmail.com</v>
      </c>
      <c r="Q96" t="str">
        <f ca="1">""&amp;IFERROR(VLOOKUP(O96,EMAILS!B:D,3,FALSE),"NOT FOUND IN EMAILS")</f>
        <v/>
      </c>
      <c r="R96" t="str">
        <f ca="1">""&amp;IFERROR(VLOOKUP(O96,EMAILS!B:E,4,FALSE),"NO T FOUND IN EMAILS")</f>
        <v/>
      </c>
    </row>
    <row r="97" spans="2:18" x14ac:dyDescent="0.25">
      <c r="B97" s="5" t="s">
        <v>99</v>
      </c>
      <c r="C97" s="5" t="s">
        <v>4239</v>
      </c>
      <c r="D97" s="5">
        <v>0</v>
      </c>
      <c r="E97" s="5">
        <v>0</v>
      </c>
      <c r="F97" s="5">
        <v>0</v>
      </c>
      <c r="G97" s="5">
        <v>0</v>
      </c>
      <c r="H97" s="5">
        <v>0</v>
      </c>
      <c r="I97" s="5">
        <v>0</v>
      </c>
      <c r="J97" s="5">
        <v>0</v>
      </c>
      <c r="K97" s="5">
        <v>0</v>
      </c>
      <c r="L97" s="5">
        <v>0</v>
      </c>
      <c r="M97" s="5">
        <v>0</v>
      </c>
      <c r="N97" s="5">
        <v>529</v>
      </c>
      <c r="O97" s="5" t="str">
        <f t="shared" ca="1" si="1"/>
        <v>Supplier 34</v>
      </c>
      <c r="P97" s="20" t="str">
        <f ca="1">IFERROR(VLOOKUP(O97,EMAILS!B:C,2,FALSE),"NOT FOUND IN EMAILS")</f>
        <v>supplier@gmail.com</v>
      </c>
      <c r="Q97" t="str">
        <f ca="1">""&amp;IFERROR(VLOOKUP(O97,EMAILS!B:D,3,FALSE),"NOT FOUND IN EMAILS")</f>
        <v/>
      </c>
      <c r="R97" t="str">
        <f ca="1">""&amp;IFERROR(VLOOKUP(O97,EMAILS!B:E,4,FALSE),"NO T FOUND IN EMAILS")</f>
        <v/>
      </c>
    </row>
    <row r="98" spans="2:18" x14ac:dyDescent="0.25">
      <c r="B98" s="5" t="s">
        <v>100</v>
      </c>
      <c r="C98" s="5" t="s">
        <v>4240</v>
      </c>
      <c r="D98" s="5">
        <v>0</v>
      </c>
      <c r="E98" s="5">
        <v>0</v>
      </c>
      <c r="F98" s="5">
        <v>0</v>
      </c>
      <c r="G98" s="5">
        <v>0</v>
      </c>
      <c r="H98" s="5">
        <v>0</v>
      </c>
      <c r="I98" s="5">
        <v>0</v>
      </c>
      <c r="J98" s="5">
        <v>0</v>
      </c>
      <c r="K98" s="5">
        <v>0</v>
      </c>
      <c r="L98" s="5">
        <v>0</v>
      </c>
      <c r="M98" s="5">
        <v>0</v>
      </c>
      <c r="N98" s="5">
        <v>168</v>
      </c>
      <c r="O98" s="5" t="str">
        <f t="shared" ca="1" si="1"/>
        <v>Supplier 104</v>
      </c>
      <c r="P98" s="20" t="str">
        <f ca="1">IFERROR(VLOOKUP(O98,EMAILS!B:C,2,FALSE),"NOT FOUND IN EMAILS")</f>
        <v>supplier@gmail.com</v>
      </c>
      <c r="Q98" t="str">
        <f ca="1">""&amp;IFERROR(VLOOKUP(O98,EMAILS!B:D,3,FALSE),"NOT FOUND IN EMAILS")</f>
        <v/>
      </c>
      <c r="R98" t="str">
        <f ca="1">""&amp;IFERROR(VLOOKUP(O98,EMAILS!B:E,4,FALSE),"NO T FOUND IN EMAILS")</f>
        <v/>
      </c>
    </row>
    <row r="99" spans="2:18" x14ac:dyDescent="0.25">
      <c r="B99" s="5" t="s">
        <v>101</v>
      </c>
      <c r="C99" s="5" t="s">
        <v>4241</v>
      </c>
      <c r="D99" s="5">
        <v>0</v>
      </c>
      <c r="E99" s="5">
        <v>0</v>
      </c>
      <c r="F99" s="5">
        <v>0</v>
      </c>
      <c r="G99" s="5">
        <v>0</v>
      </c>
      <c r="H99" s="5">
        <v>0</v>
      </c>
      <c r="I99" s="5">
        <v>0</v>
      </c>
      <c r="J99" s="5">
        <v>0</v>
      </c>
      <c r="K99" s="5">
        <v>0</v>
      </c>
      <c r="L99" s="5">
        <v>0</v>
      </c>
      <c r="M99" s="5">
        <v>0</v>
      </c>
      <c r="N99" s="5">
        <v>712</v>
      </c>
      <c r="O99" s="5" t="str">
        <f t="shared" ca="1" si="1"/>
        <v>Supplier 145</v>
      </c>
      <c r="P99" s="20" t="str">
        <f ca="1">IFERROR(VLOOKUP(O99,EMAILS!B:C,2,FALSE),"NOT FOUND IN EMAILS")</f>
        <v>supplier@gmail.com</v>
      </c>
      <c r="Q99" t="str">
        <f ca="1">""&amp;IFERROR(VLOOKUP(O99,EMAILS!B:D,3,FALSE),"NOT FOUND IN EMAILS")</f>
        <v/>
      </c>
      <c r="R99" t="str">
        <f ca="1">""&amp;IFERROR(VLOOKUP(O99,EMAILS!B:E,4,FALSE),"NO T FOUND IN EMAILS")</f>
        <v/>
      </c>
    </row>
    <row r="100" spans="2:18" x14ac:dyDescent="0.25">
      <c r="B100" s="5" t="s">
        <v>102</v>
      </c>
      <c r="C100" s="5" t="s">
        <v>4242</v>
      </c>
      <c r="D100" s="5">
        <v>0</v>
      </c>
      <c r="E100" s="5">
        <v>0</v>
      </c>
      <c r="F100" s="5">
        <v>0</v>
      </c>
      <c r="G100" s="5">
        <v>0</v>
      </c>
      <c r="H100" s="5">
        <v>0</v>
      </c>
      <c r="I100" s="5">
        <v>0</v>
      </c>
      <c r="J100" s="5">
        <v>0</v>
      </c>
      <c r="K100" s="5">
        <v>0</v>
      </c>
      <c r="L100" s="5">
        <v>0</v>
      </c>
      <c r="M100" s="5">
        <v>0</v>
      </c>
      <c r="N100" s="5">
        <v>405</v>
      </c>
      <c r="O100" s="5" t="str">
        <f t="shared" ca="1" si="1"/>
        <v>Supplier 116</v>
      </c>
      <c r="P100" s="20" t="str">
        <f ca="1">IFERROR(VLOOKUP(O100,EMAILS!B:C,2,FALSE),"NOT FOUND IN EMAILS")</f>
        <v>supplier@gmail.com</v>
      </c>
      <c r="Q100" t="str">
        <f ca="1">""&amp;IFERROR(VLOOKUP(O100,EMAILS!B:D,3,FALSE),"NOT FOUND IN EMAILS")</f>
        <v/>
      </c>
      <c r="R100" t="str">
        <f ca="1">""&amp;IFERROR(VLOOKUP(O100,EMAILS!B:E,4,FALSE),"NO T FOUND IN EMAILS")</f>
        <v/>
      </c>
    </row>
    <row r="101" spans="2:18" x14ac:dyDescent="0.25">
      <c r="B101" s="5" t="s">
        <v>103</v>
      </c>
      <c r="C101" s="5" t="s">
        <v>4243</v>
      </c>
      <c r="D101" s="5">
        <v>0</v>
      </c>
      <c r="E101" s="5">
        <v>0</v>
      </c>
      <c r="F101" s="5">
        <v>0</v>
      </c>
      <c r="G101" s="5">
        <v>0</v>
      </c>
      <c r="H101" s="5">
        <v>0</v>
      </c>
      <c r="I101" s="5">
        <v>0</v>
      </c>
      <c r="J101" s="5">
        <v>0</v>
      </c>
      <c r="K101" s="5">
        <v>0</v>
      </c>
      <c r="L101" s="5">
        <v>0</v>
      </c>
      <c r="M101" s="5">
        <v>0</v>
      </c>
      <c r="N101" s="5">
        <v>964</v>
      </c>
      <c r="O101" s="5" t="str">
        <f t="shared" ca="1" si="1"/>
        <v>Supplier 42</v>
      </c>
      <c r="P101" s="20" t="str">
        <f ca="1">IFERROR(VLOOKUP(O101,EMAILS!B:C,2,FALSE),"NOT FOUND IN EMAILS")</f>
        <v>supplier@gmail.com</v>
      </c>
      <c r="Q101" t="str">
        <f ca="1">""&amp;IFERROR(VLOOKUP(O101,EMAILS!B:D,3,FALSE),"NOT FOUND IN EMAILS")</f>
        <v/>
      </c>
      <c r="R101" t="str">
        <f ca="1">""&amp;IFERROR(VLOOKUP(O101,EMAILS!B:E,4,FALSE),"NO T FOUND IN EMAILS")</f>
        <v/>
      </c>
    </row>
    <row r="102" spans="2:18" x14ac:dyDescent="0.25">
      <c r="B102" s="5" t="s">
        <v>104</v>
      </c>
      <c r="C102" s="5" t="s">
        <v>4244</v>
      </c>
      <c r="D102" s="5">
        <v>0</v>
      </c>
      <c r="E102" s="5">
        <v>0</v>
      </c>
      <c r="F102" s="5">
        <v>0</v>
      </c>
      <c r="G102" s="5">
        <v>0</v>
      </c>
      <c r="H102" s="5">
        <v>0</v>
      </c>
      <c r="I102" s="5">
        <v>0</v>
      </c>
      <c r="J102" s="5">
        <v>0</v>
      </c>
      <c r="K102" s="5">
        <v>0</v>
      </c>
      <c r="L102" s="5">
        <v>0</v>
      </c>
      <c r="M102" s="5">
        <v>0</v>
      </c>
      <c r="N102" s="5">
        <v>287</v>
      </c>
      <c r="O102" s="5" t="str">
        <f t="shared" ca="1" si="1"/>
        <v>Supplier 197</v>
      </c>
      <c r="P102" s="20" t="str">
        <f ca="1">IFERROR(VLOOKUP(O102,EMAILS!B:C,2,FALSE),"NOT FOUND IN EMAILS")</f>
        <v>supplier@gmail.com</v>
      </c>
      <c r="Q102" t="str">
        <f ca="1">""&amp;IFERROR(VLOOKUP(O102,EMAILS!B:D,3,FALSE),"NOT FOUND IN EMAILS")</f>
        <v/>
      </c>
      <c r="R102" t="str">
        <f ca="1">""&amp;IFERROR(VLOOKUP(O102,EMAILS!B:E,4,FALSE),"NO T FOUND IN EMAILS")</f>
        <v/>
      </c>
    </row>
    <row r="103" spans="2:18" x14ac:dyDescent="0.25">
      <c r="B103" s="5" t="s">
        <v>105</v>
      </c>
      <c r="C103" s="5" t="s">
        <v>4245</v>
      </c>
      <c r="D103" s="5">
        <v>0</v>
      </c>
      <c r="E103" s="5">
        <v>0</v>
      </c>
      <c r="F103" s="5">
        <v>0</v>
      </c>
      <c r="G103" s="5">
        <v>0</v>
      </c>
      <c r="H103" s="5">
        <v>0</v>
      </c>
      <c r="I103" s="5">
        <v>0</v>
      </c>
      <c r="J103" s="5">
        <v>0</v>
      </c>
      <c r="K103" s="5">
        <v>0</v>
      </c>
      <c r="L103" s="5">
        <v>0</v>
      </c>
      <c r="M103" s="5">
        <v>0</v>
      </c>
      <c r="N103" s="5">
        <v>0</v>
      </c>
      <c r="O103" s="5" t="str">
        <f t="shared" ca="1" si="1"/>
        <v>Supplier 73</v>
      </c>
      <c r="P103" s="20" t="str">
        <f ca="1">IFERROR(VLOOKUP(O103,EMAILS!B:C,2,FALSE),"NOT FOUND IN EMAILS")</f>
        <v>supplier@gmail.com</v>
      </c>
      <c r="Q103" t="str">
        <f ca="1">""&amp;IFERROR(VLOOKUP(O103,EMAILS!B:D,3,FALSE),"NOT FOUND IN EMAILS")</f>
        <v/>
      </c>
      <c r="R103" t="str">
        <f ca="1">""&amp;IFERROR(VLOOKUP(O103,EMAILS!B:E,4,FALSE),"NO T FOUND IN EMAILS")</f>
        <v/>
      </c>
    </row>
    <row r="104" spans="2:18" x14ac:dyDescent="0.25">
      <c r="B104" s="5" t="s">
        <v>106</v>
      </c>
      <c r="C104" s="5" t="s">
        <v>4246</v>
      </c>
      <c r="D104" s="5">
        <v>0</v>
      </c>
      <c r="E104" s="5">
        <v>0</v>
      </c>
      <c r="F104" s="5">
        <v>0</v>
      </c>
      <c r="G104" s="5">
        <v>0</v>
      </c>
      <c r="H104" s="5">
        <v>0</v>
      </c>
      <c r="I104" s="5">
        <v>0</v>
      </c>
      <c r="J104" s="5">
        <v>0</v>
      </c>
      <c r="K104" s="5">
        <v>0</v>
      </c>
      <c r="L104" s="5">
        <v>0</v>
      </c>
      <c r="M104" s="5">
        <v>0</v>
      </c>
      <c r="N104" s="5">
        <v>24</v>
      </c>
      <c r="O104" s="5" t="str">
        <f t="shared" ca="1" si="1"/>
        <v>Supplier 32</v>
      </c>
      <c r="P104" s="20" t="str">
        <f ca="1">IFERROR(VLOOKUP(O104,EMAILS!B:C,2,FALSE),"NOT FOUND IN EMAILS")</f>
        <v>supplier@gmail.com</v>
      </c>
      <c r="Q104" t="str">
        <f ca="1">""&amp;IFERROR(VLOOKUP(O104,EMAILS!B:D,3,FALSE),"NOT FOUND IN EMAILS")</f>
        <v/>
      </c>
      <c r="R104" t="str">
        <f ca="1">""&amp;IFERROR(VLOOKUP(O104,EMAILS!B:E,4,FALSE),"NO T FOUND IN EMAILS")</f>
        <v/>
      </c>
    </row>
    <row r="105" spans="2:18" x14ac:dyDescent="0.25">
      <c r="B105" s="5" t="s">
        <v>107</v>
      </c>
      <c r="C105" s="5" t="s">
        <v>4247</v>
      </c>
      <c r="D105" s="5">
        <v>0</v>
      </c>
      <c r="E105" s="5">
        <v>0</v>
      </c>
      <c r="F105" s="5">
        <v>0</v>
      </c>
      <c r="G105" s="5">
        <v>0</v>
      </c>
      <c r="H105" s="5">
        <v>0</v>
      </c>
      <c r="I105" s="5">
        <v>0</v>
      </c>
      <c r="J105" s="5">
        <v>0</v>
      </c>
      <c r="K105" s="5">
        <v>0</v>
      </c>
      <c r="L105" s="5">
        <v>0</v>
      </c>
      <c r="M105" s="5">
        <v>0</v>
      </c>
      <c r="N105" s="5">
        <v>452</v>
      </c>
      <c r="O105" s="5" t="str">
        <f t="shared" ca="1" si="1"/>
        <v>Supplier 11</v>
      </c>
      <c r="P105" s="20" t="str">
        <f ca="1">IFERROR(VLOOKUP(O105,EMAILS!B:C,2,FALSE),"NOT FOUND IN EMAILS")</f>
        <v>supplier@gmail.com</v>
      </c>
      <c r="Q105" t="str">
        <f ca="1">""&amp;IFERROR(VLOOKUP(O105,EMAILS!B:D,3,FALSE),"NOT FOUND IN EMAILS")</f>
        <v>supplier_logistics@gmail.com</v>
      </c>
      <c r="R105" t="str">
        <f ca="1">""&amp;IFERROR(VLOOKUP(O105,EMAILS!B:E,4,FALSE),"NO T FOUND IN EMAILS")</f>
        <v/>
      </c>
    </row>
    <row r="106" spans="2:18" x14ac:dyDescent="0.25">
      <c r="B106" s="5" t="s">
        <v>108</v>
      </c>
      <c r="C106" s="5" t="s">
        <v>4248</v>
      </c>
      <c r="D106" s="5">
        <v>0</v>
      </c>
      <c r="E106" s="5">
        <v>0</v>
      </c>
      <c r="F106" s="5">
        <v>0</v>
      </c>
      <c r="G106" s="5">
        <v>0</v>
      </c>
      <c r="H106" s="5">
        <v>0</v>
      </c>
      <c r="I106" s="5">
        <v>0</v>
      </c>
      <c r="J106" s="5">
        <v>0</v>
      </c>
      <c r="K106" s="5">
        <v>0</v>
      </c>
      <c r="L106" s="5">
        <v>0</v>
      </c>
      <c r="M106" s="5">
        <v>0</v>
      </c>
      <c r="N106" s="5">
        <v>570</v>
      </c>
      <c r="O106" s="5" t="str">
        <f t="shared" ca="1" si="1"/>
        <v>Supplier 119</v>
      </c>
      <c r="P106" s="20" t="str">
        <f ca="1">IFERROR(VLOOKUP(O106,EMAILS!B:C,2,FALSE),"NOT FOUND IN EMAILS")</f>
        <v>supplier@gmail.com</v>
      </c>
      <c r="Q106" t="str">
        <f ca="1">""&amp;IFERROR(VLOOKUP(O106,EMAILS!B:D,3,FALSE),"NOT FOUND IN EMAILS")</f>
        <v/>
      </c>
      <c r="R106" t="str">
        <f ca="1">""&amp;IFERROR(VLOOKUP(O106,EMAILS!B:E,4,FALSE),"NO T FOUND IN EMAILS")</f>
        <v/>
      </c>
    </row>
    <row r="107" spans="2:18" x14ac:dyDescent="0.25">
      <c r="B107" s="5" t="s">
        <v>109</v>
      </c>
      <c r="C107" s="5" t="s">
        <v>4249</v>
      </c>
      <c r="D107" s="5">
        <v>0</v>
      </c>
      <c r="E107" s="5">
        <v>0</v>
      </c>
      <c r="F107" s="5">
        <v>0</v>
      </c>
      <c r="G107" s="5">
        <v>0</v>
      </c>
      <c r="H107" s="5">
        <v>0</v>
      </c>
      <c r="I107" s="5">
        <v>0</v>
      </c>
      <c r="J107" s="5">
        <v>0</v>
      </c>
      <c r="K107" s="5">
        <v>0</v>
      </c>
      <c r="L107" s="5">
        <v>0</v>
      </c>
      <c r="M107" s="5">
        <v>0</v>
      </c>
      <c r="N107" s="5">
        <v>1120</v>
      </c>
      <c r="O107" s="5" t="str">
        <f t="shared" ca="1" si="1"/>
        <v>Supplier 186</v>
      </c>
      <c r="P107" s="20" t="str">
        <f ca="1">IFERROR(VLOOKUP(O107,EMAILS!B:C,2,FALSE),"NOT FOUND IN EMAILS")</f>
        <v>supplier@gmail.com</v>
      </c>
      <c r="Q107" t="str">
        <f ca="1">""&amp;IFERROR(VLOOKUP(O107,EMAILS!B:D,3,FALSE),"NOT FOUND IN EMAILS")</f>
        <v/>
      </c>
      <c r="R107" t="str">
        <f ca="1">""&amp;IFERROR(VLOOKUP(O107,EMAILS!B:E,4,FALSE),"NO T FOUND IN EMAILS")</f>
        <v/>
      </c>
    </row>
    <row r="108" spans="2:18" x14ac:dyDescent="0.25">
      <c r="B108" s="5" t="s">
        <v>110</v>
      </c>
      <c r="C108" s="5" t="s">
        <v>4250</v>
      </c>
      <c r="D108" s="5">
        <v>0</v>
      </c>
      <c r="E108" s="5">
        <v>0</v>
      </c>
      <c r="F108" s="5">
        <v>0</v>
      </c>
      <c r="G108" s="5">
        <v>0</v>
      </c>
      <c r="H108" s="5">
        <v>0</v>
      </c>
      <c r="I108" s="5">
        <v>0</v>
      </c>
      <c r="J108" s="5">
        <v>0</v>
      </c>
      <c r="K108" s="5">
        <v>0</v>
      </c>
      <c r="L108" s="5">
        <v>0</v>
      </c>
      <c r="M108" s="5">
        <v>0</v>
      </c>
      <c r="N108" s="5">
        <v>544</v>
      </c>
      <c r="O108" s="5" t="str">
        <f t="shared" ca="1" si="1"/>
        <v>Supplier 74</v>
      </c>
      <c r="P108" s="20" t="str">
        <f ca="1">IFERROR(VLOOKUP(O108,EMAILS!B:C,2,FALSE),"NOT FOUND IN EMAILS")</f>
        <v>supplier@gmail.com</v>
      </c>
      <c r="Q108" t="str">
        <f ca="1">""&amp;IFERROR(VLOOKUP(O108,EMAILS!B:D,3,FALSE),"NOT FOUND IN EMAILS")</f>
        <v/>
      </c>
      <c r="R108" t="str">
        <f ca="1">""&amp;IFERROR(VLOOKUP(O108,EMAILS!B:E,4,FALSE),"NO T FOUND IN EMAILS")</f>
        <v/>
      </c>
    </row>
    <row r="109" spans="2:18" x14ac:dyDescent="0.25">
      <c r="B109" s="5" t="s">
        <v>111</v>
      </c>
      <c r="C109" s="5" t="s">
        <v>4251</v>
      </c>
      <c r="D109" s="5">
        <v>0</v>
      </c>
      <c r="E109" s="5">
        <v>0</v>
      </c>
      <c r="F109" s="5">
        <v>0</v>
      </c>
      <c r="G109" s="5">
        <v>0</v>
      </c>
      <c r="H109" s="5">
        <v>0</v>
      </c>
      <c r="I109" s="5">
        <v>0</v>
      </c>
      <c r="J109" s="5">
        <v>0</v>
      </c>
      <c r="K109" s="5">
        <v>0</v>
      </c>
      <c r="L109" s="5">
        <v>0</v>
      </c>
      <c r="M109" s="5">
        <v>0</v>
      </c>
      <c r="N109" s="5">
        <v>190</v>
      </c>
      <c r="O109" s="5" t="str">
        <f t="shared" ca="1" si="1"/>
        <v>Supplier 136</v>
      </c>
      <c r="P109" s="20" t="str">
        <f ca="1">IFERROR(VLOOKUP(O109,EMAILS!B:C,2,FALSE),"NOT FOUND IN EMAILS")</f>
        <v>supplier@gmail.com</v>
      </c>
      <c r="Q109" t="str">
        <f ca="1">""&amp;IFERROR(VLOOKUP(O109,EMAILS!B:D,3,FALSE),"NOT FOUND IN EMAILS")</f>
        <v/>
      </c>
      <c r="R109" t="str">
        <f ca="1">""&amp;IFERROR(VLOOKUP(O109,EMAILS!B:E,4,FALSE),"NO T FOUND IN EMAILS")</f>
        <v/>
      </c>
    </row>
    <row r="110" spans="2:18" x14ac:dyDescent="0.25">
      <c r="B110" s="5" t="s">
        <v>112</v>
      </c>
      <c r="C110" s="5" t="s">
        <v>4252</v>
      </c>
      <c r="D110" s="5">
        <v>0</v>
      </c>
      <c r="E110" s="5">
        <v>0</v>
      </c>
      <c r="F110" s="5">
        <v>0</v>
      </c>
      <c r="G110" s="5">
        <v>0</v>
      </c>
      <c r="H110" s="5">
        <v>0</v>
      </c>
      <c r="I110" s="5">
        <v>0</v>
      </c>
      <c r="J110" s="5">
        <v>0</v>
      </c>
      <c r="K110" s="5">
        <v>0</v>
      </c>
      <c r="L110" s="5">
        <v>0</v>
      </c>
      <c r="M110" s="5">
        <v>0</v>
      </c>
      <c r="N110" s="5">
        <v>204</v>
      </c>
      <c r="O110" s="5" t="str">
        <f t="shared" ca="1" si="1"/>
        <v>Supplier 111</v>
      </c>
      <c r="P110" s="20" t="str">
        <f ca="1">IFERROR(VLOOKUP(O110,EMAILS!B:C,2,FALSE),"NOT FOUND IN EMAILS")</f>
        <v>supplier@gmail.com</v>
      </c>
      <c r="Q110" t="str">
        <f ca="1">""&amp;IFERROR(VLOOKUP(O110,EMAILS!B:D,3,FALSE),"NOT FOUND IN EMAILS")</f>
        <v/>
      </c>
      <c r="R110" t="str">
        <f ca="1">""&amp;IFERROR(VLOOKUP(O110,EMAILS!B:E,4,FALSE),"NO T FOUND IN EMAILS")</f>
        <v/>
      </c>
    </row>
    <row r="111" spans="2:18" x14ac:dyDescent="0.25">
      <c r="B111" s="5" t="s">
        <v>113</v>
      </c>
      <c r="C111" s="5" t="s">
        <v>4253</v>
      </c>
      <c r="D111" s="5">
        <v>21</v>
      </c>
      <c r="E111" s="5">
        <v>11</v>
      </c>
      <c r="F111" s="5">
        <v>19</v>
      </c>
      <c r="G111" s="5">
        <v>15</v>
      </c>
      <c r="H111" s="5">
        <v>19</v>
      </c>
      <c r="I111" s="5">
        <v>23</v>
      </c>
      <c r="J111" s="5">
        <v>11</v>
      </c>
      <c r="K111" s="5">
        <v>15</v>
      </c>
      <c r="L111" s="5">
        <v>24</v>
      </c>
      <c r="M111" s="5">
        <v>0</v>
      </c>
      <c r="N111" s="5">
        <v>261</v>
      </c>
      <c r="O111" s="5" t="str">
        <f t="shared" ca="1" si="1"/>
        <v>Supplier 183</v>
      </c>
      <c r="P111" s="20" t="str">
        <f ca="1">IFERROR(VLOOKUP(O111,EMAILS!B:C,2,FALSE),"NOT FOUND IN EMAILS")</f>
        <v>supplier@gmail.com</v>
      </c>
      <c r="Q111" t="str">
        <f ca="1">""&amp;IFERROR(VLOOKUP(O111,EMAILS!B:D,3,FALSE),"NOT FOUND IN EMAILS")</f>
        <v/>
      </c>
      <c r="R111" t="str">
        <f ca="1">""&amp;IFERROR(VLOOKUP(O111,EMAILS!B:E,4,FALSE),"NO T FOUND IN EMAILS")</f>
        <v/>
      </c>
    </row>
    <row r="112" spans="2:18" x14ac:dyDescent="0.25">
      <c r="B112" s="5" t="s">
        <v>114</v>
      </c>
      <c r="C112" s="5" t="s">
        <v>4254</v>
      </c>
      <c r="D112" s="5">
        <v>0</v>
      </c>
      <c r="E112" s="5">
        <v>0</v>
      </c>
      <c r="F112" s="5">
        <v>0</v>
      </c>
      <c r="G112" s="5">
        <v>0</v>
      </c>
      <c r="H112" s="5">
        <v>0</v>
      </c>
      <c r="I112" s="5">
        <v>0</v>
      </c>
      <c r="J112" s="5">
        <v>0</v>
      </c>
      <c r="K112" s="5">
        <v>0</v>
      </c>
      <c r="L112" s="5">
        <v>0</v>
      </c>
      <c r="M112" s="5">
        <v>0</v>
      </c>
      <c r="N112" s="5">
        <v>752</v>
      </c>
      <c r="O112" s="5" t="str">
        <f t="shared" ca="1" si="1"/>
        <v>Supplier 63</v>
      </c>
      <c r="P112" s="20" t="str">
        <f ca="1">IFERROR(VLOOKUP(O112,EMAILS!B:C,2,FALSE),"NOT FOUND IN EMAILS")</f>
        <v>supplier@gmail.com</v>
      </c>
      <c r="Q112" t="str">
        <f ca="1">""&amp;IFERROR(VLOOKUP(O112,EMAILS!B:D,3,FALSE),"NOT FOUND IN EMAILS")</f>
        <v/>
      </c>
      <c r="R112" t="str">
        <f ca="1">""&amp;IFERROR(VLOOKUP(O112,EMAILS!B:E,4,FALSE),"NO T FOUND IN EMAILS")</f>
        <v/>
      </c>
    </row>
    <row r="113" spans="2:18" x14ac:dyDescent="0.25">
      <c r="B113" s="5" t="s">
        <v>115</v>
      </c>
      <c r="C113" s="5" t="s">
        <v>4255</v>
      </c>
      <c r="D113" s="5">
        <v>0</v>
      </c>
      <c r="E113" s="5">
        <v>0</v>
      </c>
      <c r="F113" s="5">
        <v>0</v>
      </c>
      <c r="G113" s="5">
        <v>0</v>
      </c>
      <c r="H113" s="5">
        <v>0</v>
      </c>
      <c r="I113" s="5">
        <v>0</v>
      </c>
      <c r="J113" s="5">
        <v>0</v>
      </c>
      <c r="K113" s="5">
        <v>0</v>
      </c>
      <c r="L113" s="5">
        <v>0</v>
      </c>
      <c r="M113" s="5">
        <v>0</v>
      </c>
      <c r="N113" s="5">
        <v>162</v>
      </c>
      <c r="O113" s="5" t="str">
        <f t="shared" ca="1" si="1"/>
        <v>Supplier 187</v>
      </c>
      <c r="P113" s="20" t="str">
        <f ca="1">IFERROR(VLOOKUP(O113,EMAILS!B:C,2,FALSE),"NOT FOUND IN EMAILS")</f>
        <v>supplier@gmail.com</v>
      </c>
      <c r="Q113" t="str">
        <f ca="1">""&amp;IFERROR(VLOOKUP(O113,EMAILS!B:D,3,FALSE),"NOT FOUND IN EMAILS")</f>
        <v/>
      </c>
      <c r="R113" t="str">
        <f ca="1">""&amp;IFERROR(VLOOKUP(O113,EMAILS!B:E,4,FALSE),"NO T FOUND IN EMAILS")</f>
        <v/>
      </c>
    </row>
    <row r="114" spans="2:18" x14ac:dyDescent="0.25">
      <c r="B114" s="5" t="s">
        <v>116</v>
      </c>
      <c r="C114" s="5" t="s">
        <v>4256</v>
      </c>
      <c r="D114" s="5">
        <v>0</v>
      </c>
      <c r="E114" s="5">
        <v>0</v>
      </c>
      <c r="F114" s="5">
        <v>0</v>
      </c>
      <c r="G114" s="5">
        <v>0</v>
      </c>
      <c r="H114" s="5">
        <v>0</v>
      </c>
      <c r="I114" s="5">
        <v>0</v>
      </c>
      <c r="J114" s="5">
        <v>0</v>
      </c>
      <c r="K114" s="5">
        <v>0</v>
      </c>
      <c r="L114" s="5">
        <v>0</v>
      </c>
      <c r="M114" s="5">
        <v>0</v>
      </c>
      <c r="N114" s="5">
        <v>406</v>
      </c>
      <c r="O114" s="5" t="str">
        <f t="shared" ca="1" si="1"/>
        <v>Supplier 82</v>
      </c>
      <c r="P114" s="20" t="str">
        <f ca="1">IFERROR(VLOOKUP(O114,EMAILS!B:C,2,FALSE),"NOT FOUND IN EMAILS")</f>
        <v>supplier@gmail.com</v>
      </c>
      <c r="Q114" t="str">
        <f ca="1">""&amp;IFERROR(VLOOKUP(O114,EMAILS!B:D,3,FALSE),"NOT FOUND IN EMAILS")</f>
        <v/>
      </c>
      <c r="R114" t="str">
        <f ca="1">""&amp;IFERROR(VLOOKUP(O114,EMAILS!B:E,4,FALSE),"NO T FOUND IN EMAILS")</f>
        <v/>
      </c>
    </row>
    <row r="115" spans="2:18" x14ac:dyDescent="0.25">
      <c r="B115" s="5" t="s">
        <v>117</v>
      </c>
      <c r="C115" s="5" t="s">
        <v>4257</v>
      </c>
      <c r="D115" s="5">
        <v>0</v>
      </c>
      <c r="E115" s="5">
        <v>0</v>
      </c>
      <c r="F115" s="5">
        <v>0</v>
      </c>
      <c r="G115" s="5">
        <v>0</v>
      </c>
      <c r="H115" s="5">
        <v>0</v>
      </c>
      <c r="I115" s="5">
        <v>0</v>
      </c>
      <c r="J115" s="5">
        <v>0</v>
      </c>
      <c r="K115" s="5">
        <v>0</v>
      </c>
      <c r="L115" s="5">
        <v>0</v>
      </c>
      <c r="M115" s="5">
        <v>0</v>
      </c>
      <c r="N115" s="5">
        <v>193</v>
      </c>
      <c r="O115" s="5" t="str">
        <f t="shared" ca="1" si="1"/>
        <v>Supplier 191</v>
      </c>
      <c r="P115" s="20" t="str">
        <f ca="1">IFERROR(VLOOKUP(O115,EMAILS!B:C,2,FALSE),"NOT FOUND IN EMAILS")</f>
        <v>supplier@gmail.com</v>
      </c>
      <c r="Q115" t="str">
        <f ca="1">""&amp;IFERROR(VLOOKUP(O115,EMAILS!B:D,3,FALSE),"NOT FOUND IN EMAILS")</f>
        <v/>
      </c>
      <c r="R115" t="str">
        <f ca="1">""&amp;IFERROR(VLOOKUP(O115,EMAILS!B:E,4,FALSE),"NO T FOUND IN EMAILS")</f>
        <v/>
      </c>
    </row>
    <row r="116" spans="2:18" x14ac:dyDescent="0.25">
      <c r="B116" s="5" t="s">
        <v>118</v>
      </c>
      <c r="C116" s="5" t="s">
        <v>4258</v>
      </c>
      <c r="D116" s="5">
        <v>120</v>
      </c>
      <c r="E116" s="5">
        <v>138</v>
      </c>
      <c r="F116" s="5">
        <v>180</v>
      </c>
      <c r="G116" s="5">
        <v>132</v>
      </c>
      <c r="H116" s="5">
        <v>120</v>
      </c>
      <c r="I116" s="5">
        <v>96</v>
      </c>
      <c r="J116" s="5">
        <v>96</v>
      </c>
      <c r="K116" s="5">
        <v>90</v>
      </c>
      <c r="L116" s="5">
        <v>96</v>
      </c>
      <c r="M116" s="5">
        <v>0</v>
      </c>
      <c r="N116" s="5">
        <v>598</v>
      </c>
      <c r="O116" s="5" t="str">
        <f t="shared" ca="1" si="1"/>
        <v>Supplier 29</v>
      </c>
      <c r="P116" s="20" t="str">
        <f ca="1">IFERROR(VLOOKUP(O116,EMAILS!B:C,2,FALSE),"NOT FOUND IN EMAILS")</f>
        <v>supplier@gmail.com</v>
      </c>
      <c r="Q116" t="str">
        <f ca="1">""&amp;IFERROR(VLOOKUP(O116,EMAILS!B:D,3,FALSE),"NOT FOUND IN EMAILS")</f>
        <v/>
      </c>
      <c r="R116" t="str">
        <f ca="1">""&amp;IFERROR(VLOOKUP(O116,EMAILS!B:E,4,FALSE),"NO T FOUND IN EMAILS")</f>
        <v/>
      </c>
    </row>
    <row r="117" spans="2:18" x14ac:dyDescent="0.25">
      <c r="B117" s="5" t="s">
        <v>119</v>
      </c>
      <c r="C117" s="5" t="s">
        <v>4259</v>
      </c>
      <c r="D117" s="5">
        <v>20</v>
      </c>
      <c r="E117" s="5">
        <v>23</v>
      </c>
      <c r="F117" s="5">
        <v>30</v>
      </c>
      <c r="G117" s="5">
        <v>22</v>
      </c>
      <c r="H117" s="5">
        <v>20</v>
      </c>
      <c r="I117" s="5">
        <v>16</v>
      </c>
      <c r="J117" s="5">
        <v>16</v>
      </c>
      <c r="K117" s="5">
        <v>15</v>
      </c>
      <c r="L117" s="5">
        <v>16</v>
      </c>
      <c r="M117" s="5">
        <v>0</v>
      </c>
      <c r="N117" s="5">
        <v>212</v>
      </c>
      <c r="O117" s="5" t="str">
        <f t="shared" ca="1" si="1"/>
        <v>Supplier 99</v>
      </c>
      <c r="P117" s="20" t="str">
        <f ca="1">IFERROR(VLOOKUP(O117,EMAILS!B:C,2,FALSE),"NOT FOUND IN EMAILS")</f>
        <v>supplier@gmail.com</v>
      </c>
      <c r="Q117" t="str">
        <f ca="1">""&amp;IFERROR(VLOOKUP(O117,EMAILS!B:D,3,FALSE),"NOT FOUND IN EMAILS")</f>
        <v/>
      </c>
      <c r="R117" t="str">
        <f ca="1">""&amp;IFERROR(VLOOKUP(O117,EMAILS!B:E,4,FALSE),"NO T FOUND IN EMAILS")</f>
        <v/>
      </c>
    </row>
    <row r="118" spans="2:18" x14ac:dyDescent="0.25">
      <c r="B118" s="5" t="s">
        <v>120</v>
      </c>
      <c r="C118" s="5" t="s">
        <v>4260</v>
      </c>
      <c r="D118" s="5">
        <v>20</v>
      </c>
      <c r="E118" s="5">
        <v>23</v>
      </c>
      <c r="F118" s="5">
        <v>30</v>
      </c>
      <c r="G118" s="5">
        <v>22</v>
      </c>
      <c r="H118" s="5">
        <v>20</v>
      </c>
      <c r="I118" s="5">
        <v>16</v>
      </c>
      <c r="J118" s="5">
        <v>16</v>
      </c>
      <c r="K118" s="5">
        <v>15</v>
      </c>
      <c r="L118" s="5">
        <v>16</v>
      </c>
      <c r="M118" s="5">
        <v>0</v>
      </c>
      <c r="N118" s="5">
        <v>0</v>
      </c>
      <c r="O118" s="5" t="str">
        <f t="shared" ca="1" si="1"/>
        <v>Supplier 178</v>
      </c>
      <c r="P118" s="20" t="str">
        <f ca="1">IFERROR(VLOOKUP(O118,EMAILS!B:C,2,FALSE),"NOT FOUND IN EMAILS")</f>
        <v>supplier@gmail.com</v>
      </c>
      <c r="Q118" t="str">
        <f ca="1">""&amp;IFERROR(VLOOKUP(O118,EMAILS!B:D,3,FALSE),"NOT FOUND IN EMAILS")</f>
        <v/>
      </c>
      <c r="R118" t="str">
        <f ca="1">""&amp;IFERROR(VLOOKUP(O118,EMAILS!B:E,4,FALSE),"NO T FOUND IN EMAILS")</f>
        <v/>
      </c>
    </row>
    <row r="119" spans="2:18" x14ac:dyDescent="0.25">
      <c r="B119" s="5" t="s">
        <v>121</v>
      </c>
      <c r="C119" s="5" t="s">
        <v>4261</v>
      </c>
      <c r="D119" s="5">
        <v>0</v>
      </c>
      <c r="E119" s="5">
        <v>0</v>
      </c>
      <c r="F119" s="5">
        <v>0</v>
      </c>
      <c r="G119" s="5">
        <v>1600</v>
      </c>
      <c r="H119" s="5">
        <v>0</v>
      </c>
      <c r="I119" s="5">
        <v>0</v>
      </c>
      <c r="J119" s="5">
        <v>1600</v>
      </c>
      <c r="K119" s="5">
        <v>0</v>
      </c>
      <c r="L119" s="5">
        <v>0</v>
      </c>
      <c r="M119" s="5">
        <v>0</v>
      </c>
      <c r="N119" s="5">
        <v>8050</v>
      </c>
      <c r="O119" s="5" t="str">
        <f t="shared" ca="1" si="1"/>
        <v>Supplier 176</v>
      </c>
      <c r="P119" s="20" t="str">
        <f ca="1">IFERROR(VLOOKUP(O119,EMAILS!B:C,2,FALSE),"NOT FOUND IN EMAILS")</f>
        <v>supplier@gmail.com</v>
      </c>
      <c r="Q119" t="str">
        <f ca="1">""&amp;IFERROR(VLOOKUP(O119,EMAILS!B:D,3,FALSE),"NOT FOUND IN EMAILS")</f>
        <v/>
      </c>
      <c r="R119" t="str">
        <f ca="1">""&amp;IFERROR(VLOOKUP(O119,EMAILS!B:E,4,FALSE),"NO T FOUND IN EMAILS")</f>
        <v/>
      </c>
    </row>
    <row r="120" spans="2:18" x14ac:dyDescent="0.25">
      <c r="B120" s="5" t="s">
        <v>122</v>
      </c>
      <c r="C120" s="5" t="s">
        <v>4262</v>
      </c>
      <c r="D120" s="5">
        <v>0</v>
      </c>
      <c r="E120" s="5">
        <v>0</v>
      </c>
      <c r="F120" s="5">
        <v>0</v>
      </c>
      <c r="G120" s="5">
        <v>0</v>
      </c>
      <c r="H120" s="5">
        <v>0</v>
      </c>
      <c r="I120" s="5">
        <v>0</v>
      </c>
      <c r="J120" s="5">
        <v>0</v>
      </c>
      <c r="K120" s="5">
        <v>0</v>
      </c>
      <c r="L120" s="5">
        <v>0</v>
      </c>
      <c r="M120" s="5">
        <v>0</v>
      </c>
      <c r="N120" s="5">
        <v>390</v>
      </c>
      <c r="O120" s="5" t="str">
        <f t="shared" ca="1" si="1"/>
        <v>Supplier 101</v>
      </c>
      <c r="P120" s="20" t="str">
        <f ca="1">IFERROR(VLOOKUP(O120,EMAILS!B:C,2,FALSE),"NOT FOUND IN EMAILS")</f>
        <v>supplier@gmail.com</v>
      </c>
      <c r="Q120" t="str">
        <f ca="1">""&amp;IFERROR(VLOOKUP(O120,EMAILS!B:D,3,FALSE),"NOT FOUND IN EMAILS")</f>
        <v/>
      </c>
      <c r="R120" t="str">
        <f ca="1">""&amp;IFERROR(VLOOKUP(O120,EMAILS!B:E,4,FALSE),"NO T FOUND IN EMAILS")</f>
        <v/>
      </c>
    </row>
    <row r="121" spans="2:18" x14ac:dyDescent="0.25">
      <c r="B121" s="5" t="s">
        <v>123</v>
      </c>
      <c r="C121" s="5" t="s">
        <v>4263</v>
      </c>
      <c r="D121" s="5">
        <v>0</v>
      </c>
      <c r="E121" s="5">
        <v>0</v>
      </c>
      <c r="F121" s="5">
        <v>1200</v>
      </c>
      <c r="G121" s="5">
        <v>0</v>
      </c>
      <c r="H121" s="5">
        <v>0</v>
      </c>
      <c r="I121" s="5">
        <v>0</v>
      </c>
      <c r="J121" s="5">
        <v>1600</v>
      </c>
      <c r="K121" s="5">
        <v>0</v>
      </c>
      <c r="L121" s="5">
        <v>0</v>
      </c>
      <c r="M121" s="5">
        <v>0</v>
      </c>
      <c r="N121" s="5">
        <v>18</v>
      </c>
      <c r="O121" s="5" t="str">
        <f t="shared" ca="1" si="1"/>
        <v>Supplier 11</v>
      </c>
      <c r="P121" s="20" t="str">
        <f ca="1">IFERROR(VLOOKUP(O121,EMAILS!B:C,2,FALSE),"NOT FOUND IN EMAILS")</f>
        <v>supplier@gmail.com</v>
      </c>
      <c r="Q121" t="str">
        <f ca="1">""&amp;IFERROR(VLOOKUP(O121,EMAILS!B:D,3,FALSE),"NOT FOUND IN EMAILS")</f>
        <v>supplier_logistics@gmail.com</v>
      </c>
      <c r="R121" t="str">
        <f ca="1">""&amp;IFERROR(VLOOKUP(O121,EMAILS!B:E,4,FALSE),"NO T FOUND IN EMAILS")</f>
        <v/>
      </c>
    </row>
    <row r="122" spans="2:18" x14ac:dyDescent="0.25">
      <c r="B122" s="5" t="s">
        <v>124</v>
      </c>
      <c r="C122" s="5" t="s">
        <v>4264</v>
      </c>
      <c r="D122" s="5">
        <v>0</v>
      </c>
      <c r="E122" s="5">
        <v>0</v>
      </c>
      <c r="F122" s="5">
        <v>0</v>
      </c>
      <c r="G122" s="5">
        <v>0</v>
      </c>
      <c r="H122" s="5">
        <v>0</v>
      </c>
      <c r="I122" s="5">
        <v>0</v>
      </c>
      <c r="J122" s="5">
        <v>0</v>
      </c>
      <c r="K122" s="5">
        <v>0</v>
      </c>
      <c r="L122" s="5">
        <v>0</v>
      </c>
      <c r="M122" s="5">
        <v>0</v>
      </c>
      <c r="N122" s="5">
        <v>0</v>
      </c>
      <c r="O122" s="5" t="str">
        <f t="shared" ca="1" si="1"/>
        <v>Supplier 64</v>
      </c>
      <c r="P122" s="20" t="str">
        <f ca="1">IFERROR(VLOOKUP(O122,EMAILS!B:C,2,FALSE),"NOT FOUND IN EMAILS")</f>
        <v>supplier@gmail.com</v>
      </c>
      <c r="Q122" t="str">
        <f ca="1">""&amp;IFERROR(VLOOKUP(O122,EMAILS!B:D,3,FALSE),"NOT FOUND IN EMAILS")</f>
        <v/>
      </c>
      <c r="R122" t="str">
        <f ca="1">""&amp;IFERROR(VLOOKUP(O122,EMAILS!B:E,4,FALSE),"NO T FOUND IN EMAILS")</f>
        <v/>
      </c>
    </row>
    <row r="123" spans="2:18" x14ac:dyDescent="0.25">
      <c r="B123" s="5" t="s">
        <v>125</v>
      </c>
      <c r="C123" s="5" t="s">
        <v>4265</v>
      </c>
      <c r="D123" s="5">
        <v>0</v>
      </c>
      <c r="E123" s="5">
        <v>0</v>
      </c>
      <c r="F123" s="5">
        <v>0</v>
      </c>
      <c r="G123" s="5">
        <v>0</v>
      </c>
      <c r="H123" s="5">
        <v>0</v>
      </c>
      <c r="I123" s="5">
        <v>0</v>
      </c>
      <c r="J123" s="5">
        <v>0</v>
      </c>
      <c r="K123" s="5">
        <v>0</v>
      </c>
      <c r="L123" s="5">
        <v>0</v>
      </c>
      <c r="M123" s="5">
        <v>0</v>
      </c>
      <c r="N123" s="5">
        <v>3045</v>
      </c>
      <c r="O123" s="5" t="str">
        <f t="shared" ca="1" si="1"/>
        <v>Supplier 82</v>
      </c>
      <c r="P123" s="20" t="str">
        <f ca="1">IFERROR(VLOOKUP(O123,EMAILS!B:C,2,FALSE),"NOT FOUND IN EMAILS")</f>
        <v>supplier@gmail.com</v>
      </c>
      <c r="Q123" t="str">
        <f ca="1">""&amp;IFERROR(VLOOKUP(O123,EMAILS!B:D,3,FALSE),"NOT FOUND IN EMAILS")</f>
        <v/>
      </c>
      <c r="R123" t="str">
        <f ca="1">""&amp;IFERROR(VLOOKUP(O123,EMAILS!B:E,4,FALSE),"NO T FOUND IN EMAILS")</f>
        <v/>
      </c>
    </row>
    <row r="124" spans="2:18" x14ac:dyDescent="0.25">
      <c r="B124" s="5" t="s">
        <v>126</v>
      </c>
      <c r="C124" s="5" t="s">
        <v>4266</v>
      </c>
      <c r="D124" s="5">
        <v>0</v>
      </c>
      <c r="E124" s="5">
        <v>0</v>
      </c>
      <c r="F124" s="5">
        <v>0</v>
      </c>
      <c r="G124" s="5">
        <v>0</v>
      </c>
      <c r="H124" s="5">
        <v>0</v>
      </c>
      <c r="I124" s="5">
        <v>0</v>
      </c>
      <c r="J124" s="5">
        <v>0</v>
      </c>
      <c r="K124" s="5">
        <v>0</v>
      </c>
      <c r="L124" s="5">
        <v>0</v>
      </c>
      <c r="M124" s="5">
        <v>0</v>
      </c>
      <c r="N124" s="5">
        <v>229</v>
      </c>
      <c r="O124" s="5" t="str">
        <f t="shared" ca="1" si="1"/>
        <v>Supplier 73</v>
      </c>
      <c r="P124" s="20" t="str">
        <f ca="1">IFERROR(VLOOKUP(O124,EMAILS!B:C,2,FALSE),"NOT FOUND IN EMAILS")</f>
        <v>supplier@gmail.com</v>
      </c>
      <c r="Q124" t="str">
        <f ca="1">""&amp;IFERROR(VLOOKUP(O124,EMAILS!B:D,3,FALSE),"NOT FOUND IN EMAILS")</f>
        <v/>
      </c>
      <c r="R124" t="str">
        <f ca="1">""&amp;IFERROR(VLOOKUP(O124,EMAILS!B:E,4,FALSE),"NO T FOUND IN EMAILS")</f>
        <v/>
      </c>
    </row>
    <row r="125" spans="2:18" x14ac:dyDescent="0.25">
      <c r="B125" s="5" t="s">
        <v>127</v>
      </c>
      <c r="C125" s="5" t="s">
        <v>4267</v>
      </c>
      <c r="D125" s="5">
        <v>0</v>
      </c>
      <c r="E125" s="5">
        <v>0</v>
      </c>
      <c r="F125" s="5">
        <v>0</v>
      </c>
      <c r="G125" s="5">
        <v>0</v>
      </c>
      <c r="H125" s="5">
        <v>0</v>
      </c>
      <c r="I125" s="5">
        <v>0</v>
      </c>
      <c r="J125" s="5">
        <v>0</v>
      </c>
      <c r="K125" s="5">
        <v>0</v>
      </c>
      <c r="L125" s="5">
        <v>0</v>
      </c>
      <c r="M125" s="5">
        <v>0</v>
      </c>
      <c r="N125" s="5">
        <v>788</v>
      </c>
      <c r="O125" s="5" t="str">
        <f t="shared" ca="1" si="1"/>
        <v>Supplier 102</v>
      </c>
      <c r="P125" s="20" t="str">
        <f ca="1">IFERROR(VLOOKUP(O125,EMAILS!B:C,2,FALSE),"NOT FOUND IN EMAILS")</f>
        <v>supplier@gmail.com</v>
      </c>
      <c r="Q125" t="str">
        <f ca="1">""&amp;IFERROR(VLOOKUP(O125,EMAILS!B:D,3,FALSE),"NOT FOUND IN EMAILS")</f>
        <v/>
      </c>
      <c r="R125" t="str">
        <f ca="1">""&amp;IFERROR(VLOOKUP(O125,EMAILS!B:E,4,FALSE),"NO T FOUND IN EMAILS")</f>
        <v/>
      </c>
    </row>
    <row r="126" spans="2:18" x14ac:dyDescent="0.25">
      <c r="B126" s="5" t="s">
        <v>128</v>
      </c>
      <c r="C126" s="5" t="s">
        <v>4268</v>
      </c>
      <c r="D126" s="5">
        <v>0</v>
      </c>
      <c r="E126" s="5">
        <v>0</v>
      </c>
      <c r="F126" s="5">
        <v>0</v>
      </c>
      <c r="G126" s="5">
        <v>0</v>
      </c>
      <c r="H126" s="5">
        <v>0</v>
      </c>
      <c r="I126" s="5">
        <v>0</v>
      </c>
      <c r="J126" s="5">
        <v>32</v>
      </c>
      <c r="K126" s="5">
        <v>0</v>
      </c>
      <c r="L126" s="5">
        <v>0</v>
      </c>
      <c r="M126" s="5">
        <v>0</v>
      </c>
      <c r="N126" s="5">
        <v>108</v>
      </c>
      <c r="O126" s="5" t="str">
        <f t="shared" ca="1" si="1"/>
        <v>Supplier 49</v>
      </c>
      <c r="P126" s="20" t="str">
        <f ca="1">IFERROR(VLOOKUP(O126,EMAILS!B:C,2,FALSE),"NOT FOUND IN EMAILS")</f>
        <v>supplier@gmail.com</v>
      </c>
      <c r="Q126" t="str">
        <f ca="1">""&amp;IFERROR(VLOOKUP(O126,EMAILS!B:D,3,FALSE),"NOT FOUND IN EMAILS")</f>
        <v/>
      </c>
      <c r="R126" t="str">
        <f ca="1">""&amp;IFERROR(VLOOKUP(O126,EMAILS!B:E,4,FALSE),"NO T FOUND IN EMAILS")</f>
        <v/>
      </c>
    </row>
    <row r="127" spans="2:18" x14ac:dyDescent="0.25">
      <c r="B127" s="5" t="s">
        <v>129</v>
      </c>
      <c r="C127" s="5" t="s">
        <v>4269</v>
      </c>
      <c r="D127" s="5">
        <v>0</v>
      </c>
      <c r="E127" s="5">
        <v>0</v>
      </c>
      <c r="F127" s="5">
        <v>0</v>
      </c>
      <c r="G127" s="5">
        <v>0</v>
      </c>
      <c r="H127" s="5">
        <v>0</v>
      </c>
      <c r="I127" s="5">
        <v>64</v>
      </c>
      <c r="J127" s="5">
        <v>32</v>
      </c>
      <c r="K127" s="5">
        <v>0</v>
      </c>
      <c r="L127" s="5">
        <v>0</v>
      </c>
      <c r="M127" s="5">
        <v>0</v>
      </c>
      <c r="N127" s="5">
        <v>137</v>
      </c>
      <c r="O127" s="5" t="str">
        <f t="shared" ca="1" si="1"/>
        <v>Supplier 140</v>
      </c>
      <c r="P127" s="20" t="str">
        <f ca="1">IFERROR(VLOOKUP(O127,EMAILS!B:C,2,FALSE),"NOT FOUND IN EMAILS")</f>
        <v>supplier@gmail.com</v>
      </c>
      <c r="Q127" t="str">
        <f ca="1">""&amp;IFERROR(VLOOKUP(O127,EMAILS!B:D,3,FALSE),"NOT FOUND IN EMAILS")</f>
        <v/>
      </c>
      <c r="R127" t="str">
        <f ca="1">""&amp;IFERROR(VLOOKUP(O127,EMAILS!B:E,4,FALSE),"NO T FOUND IN EMAILS")</f>
        <v/>
      </c>
    </row>
    <row r="128" spans="2:18" x14ac:dyDescent="0.25">
      <c r="B128" s="5" t="s">
        <v>130</v>
      </c>
      <c r="C128" s="5" t="s">
        <v>4270</v>
      </c>
      <c r="D128" s="5">
        <v>0</v>
      </c>
      <c r="E128" s="5">
        <v>0</v>
      </c>
      <c r="F128" s="5">
        <v>0</v>
      </c>
      <c r="G128" s="5">
        <v>0</v>
      </c>
      <c r="H128" s="5">
        <v>0</v>
      </c>
      <c r="I128" s="5">
        <v>64</v>
      </c>
      <c r="J128" s="5">
        <v>32</v>
      </c>
      <c r="K128" s="5">
        <v>0</v>
      </c>
      <c r="L128" s="5">
        <v>0</v>
      </c>
      <c r="M128" s="5">
        <v>0</v>
      </c>
      <c r="N128" s="5">
        <v>262</v>
      </c>
      <c r="O128" s="5" t="str">
        <f t="shared" ca="1" si="1"/>
        <v>Supplier 91</v>
      </c>
      <c r="P128" s="20" t="str">
        <f ca="1">IFERROR(VLOOKUP(O128,EMAILS!B:C,2,FALSE),"NOT FOUND IN EMAILS")</f>
        <v>supplier@gmail.com</v>
      </c>
      <c r="Q128" t="str">
        <f ca="1">""&amp;IFERROR(VLOOKUP(O128,EMAILS!B:D,3,FALSE),"NOT FOUND IN EMAILS")</f>
        <v/>
      </c>
      <c r="R128" t="str">
        <f ca="1">""&amp;IFERROR(VLOOKUP(O128,EMAILS!B:E,4,FALSE),"NO T FOUND IN EMAILS")</f>
        <v/>
      </c>
    </row>
    <row r="129" spans="2:18" x14ac:dyDescent="0.25">
      <c r="B129" s="5" t="s">
        <v>131</v>
      </c>
      <c r="C129" s="5" t="s">
        <v>4271</v>
      </c>
      <c r="D129" s="5">
        <v>0</v>
      </c>
      <c r="E129" s="5">
        <v>0</v>
      </c>
      <c r="F129" s="5">
        <v>0</v>
      </c>
      <c r="G129" s="5">
        <v>0</v>
      </c>
      <c r="H129" s="5">
        <v>0</v>
      </c>
      <c r="I129" s="5">
        <v>64</v>
      </c>
      <c r="J129" s="5">
        <v>32</v>
      </c>
      <c r="K129" s="5">
        <v>0</v>
      </c>
      <c r="L129" s="5">
        <v>0</v>
      </c>
      <c r="M129" s="5">
        <v>0</v>
      </c>
      <c r="N129" s="5">
        <v>250</v>
      </c>
      <c r="O129" s="5" t="str">
        <f t="shared" ca="1" si="1"/>
        <v>Supplier 43</v>
      </c>
      <c r="P129" s="20" t="str">
        <f ca="1">IFERROR(VLOOKUP(O129,EMAILS!B:C,2,FALSE),"NOT FOUND IN EMAILS")</f>
        <v>supplier@gmail.com</v>
      </c>
      <c r="Q129" t="str">
        <f ca="1">""&amp;IFERROR(VLOOKUP(O129,EMAILS!B:D,3,FALSE),"NOT FOUND IN EMAILS")</f>
        <v/>
      </c>
      <c r="R129" t="str">
        <f ca="1">""&amp;IFERROR(VLOOKUP(O129,EMAILS!B:E,4,FALSE),"NO T FOUND IN EMAILS")</f>
        <v/>
      </c>
    </row>
    <row r="130" spans="2:18" x14ac:dyDescent="0.25">
      <c r="B130" s="5" t="s">
        <v>132</v>
      </c>
      <c r="C130" s="5" t="s">
        <v>4272</v>
      </c>
      <c r="D130" s="5">
        <v>0</v>
      </c>
      <c r="E130" s="5">
        <v>0</v>
      </c>
      <c r="F130" s="5">
        <v>0</v>
      </c>
      <c r="G130" s="5">
        <v>0</v>
      </c>
      <c r="H130" s="5">
        <v>0</v>
      </c>
      <c r="I130" s="5">
        <v>0</v>
      </c>
      <c r="J130" s="5">
        <v>0</v>
      </c>
      <c r="K130" s="5">
        <v>0</v>
      </c>
      <c r="L130" s="5">
        <v>0</v>
      </c>
      <c r="M130" s="5">
        <v>0</v>
      </c>
      <c r="N130" s="5">
        <v>539</v>
      </c>
      <c r="O130" s="5" t="str">
        <f t="shared" ca="1" si="1"/>
        <v>Supplier 116</v>
      </c>
      <c r="P130" s="20" t="str">
        <f ca="1">IFERROR(VLOOKUP(O130,EMAILS!B:C,2,FALSE),"NOT FOUND IN EMAILS")</f>
        <v>supplier@gmail.com</v>
      </c>
      <c r="Q130" t="str">
        <f ca="1">""&amp;IFERROR(VLOOKUP(O130,EMAILS!B:D,3,FALSE),"NOT FOUND IN EMAILS")</f>
        <v/>
      </c>
      <c r="R130" t="str">
        <f ca="1">""&amp;IFERROR(VLOOKUP(O130,EMAILS!B:E,4,FALSE),"NO T FOUND IN EMAILS")</f>
        <v/>
      </c>
    </row>
    <row r="131" spans="2:18" x14ac:dyDescent="0.25">
      <c r="B131" s="5" t="s">
        <v>133</v>
      </c>
      <c r="C131" s="5" t="s">
        <v>4273</v>
      </c>
      <c r="D131" s="5">
        <v>0</v>
      </c>
      <c r="E131" s="5">
        <v>0</v>
      </c>
      <c r="F131" s="5">
        <v>0</v>
      </c>
      <c r="G131" s="5">
        <v>0</v>
      </c>
      <c r="H131" s="5">
        <v>0</v>
      </c>
      <c r="I131" s="5">
        <v>0</v>
      </c>
      <c r="J131" s="5">
        <v>0</v>
      </c>
      <c r="K131" s="5">
        <v>0</v>
      </c>
      <c r="L131" s="5">
        <v>0</v>
      </c>
      <c r="M131" s="5">
        <v>0</v>
      </c>
      <c r="N131" s="5">
        <v>95</v>
      </c>
      <c r="O131" s="5" t="str">
        <f t="shared" ref="O131:O194" ca="1" si="2">"Supplier "&amp;RANDBETWEEN(1,200)</f>
        <v>Supplier 102</v>
      </c>
      <c r="P131" s="20" t="str">
        <f ca="1">IFERROR(VLOOKUP(O131,EMAILS!B:C,2,FALSE),"NOT FOUND IN EMAILS")</f>
        <v>supplier@gmail.com</v>
      </c>
      <c r="Q131" t="str">
        <f ca="1">""&amp;IFERROR(VLOOKUP(O131,EMAILS!B:D,3,FALSE),"NOT FOUND IN EMAILS")</f>
        <v/>
      </c>
      <c r="R131" t="str">
        <f ca="1">""&amp;IFERROR(VLOOKUP(O131,EMAILS!B:E,4,FALSE),"NO T FOUND IN EMAILS")</f>
        <v/>
      </c>
    </row>
    <row r="132" spans="2:18" x14ac:dyDescent="0.25">
      <c r="B132" s="5" t="s">
        <v>134</v>
      </c>
      <c r="C132" s="5" t="s">
        <v>4274</v>
      </c>
      <c r="D132" s="5">
        <v>0</v>
      </c>
      <c r="E132" s="5">
        <v>0</v>
      </c>
      <c r="F132" s="5">
        <v>0</v>
      </c>
      <c r="G132" s="5">
        <v>0</v>
      </c>
      <c r="H132" s="5">
        <v>0</v>
      </c>
      <c r="I132" s="5">
        <v>0</v>
      </c>
      <c r="J132" s="5">
        <v>0</v>
      </c>
      <c r="K132" s="5">
        <v>0</v>
      </c>
      <c r="L132" s="5">
        <v>0</v>
      </c>
      <c r="M132" s="5">
        <v>0</v>
      </c>
      <c r="N132" s="5">
        <v>193</v>
      </c>
      <c r="O132" s="5" t="str">
        <f t="shared" ca="1" si="2"/>
        <v>Supplier 77</v>
      </c>
      <c r="P132" s="20" t="str">
        <f ca="1">IFERROR(VLOOKUP(O132,EMAILS!B:C,2,FALSE),"NOT FOUND IN EMAILS")</f>
        <v>supplier@gmail.com</v>
      </c>
      <c r="Q132" t="str">
        <f ca="1">""&amp;IFERROR(VLOOKUP(O132,EMAILS!B:D,3,FALSE),"NOT FOUND IN EMAILS")</f>
        <v/>
      </c>
      <c r="R132" t="str">
        <f ca="1">""&amp;IFERROR(VLOOKUP(O132,EMAILS!B:E,4,FALSE),"NO T FOUND IN EMAILS")</f>
        <v/>
      </c>
    </row>
    <row r="133" spans="2:18" x14ac:dyDescent="0.25">
      <c r="B133" s="5" t="s">
        <v>135</v>
      </c>
      <c r="C133" s="5" t="s">
        <v>4275</v>
      </c>
      <c r="D133" s="5">
        <v>0</v>
      </c>
      <c r="E133" s="5">
        <v>0</v>
      </c>
      <c r="F133" s="5">
        <v>0</v>
      </c>
      <c r="G133" s="5">
        <v>0</v>
      </c>
      <c r="H133" s="5">
        <v>0</v>
      </c>
      <c r="I133" s="5">
        <v>0</v>
      </c>
      <c r="J133" s="5">
        <v>0</v>
      </c>
      <c r="K133" s="5">
        <v>0</v>
      </c>
      <c r="L133" s="5">
        <v>0</v>
      </c>
      <c r="M133" s="5">
        <v>0</v>
      </c>
      <c r="N133" s="5">
        <v>0</v>
      </c>
      <c r="O133" s="5" t="str">
        <f t="shared" ca="1" si="2"/>
        <v>Supplier 176</v>
      </c>
      <c r="P133" s="20" t="str">
        <f ca="1">IFERROR(VLOOKUP(O133,EMAILS!B:C,2,FALSE),"NOT FOUND IN EMAILS")</f>
        <v>supplier@gmail.com</v>
      </c>
      <c r="Q133" t="str">
        <f ca="1">""&amp;IFERROR(VLOOKUP(O133,EMAILS!B:D,3,FALSE),"NOT FOUND IN EMAILS")</f>
        <v/>
      </c>
      <c r="R133" t="str">
        <f ca="1">""&amp;IFERROR(VLOOKUP(O133,EMAILS!B:E,4,FALSE),"NO T FOUND IN EMAILS")</f>
        <v/>
      </c>
    </row>
    <row r="134" spans="2:18" x14ac:dyDescent="0.25">
      <c r="B134" s="5" t="s">
        <v>136</v>
      </c>
      <c r="C134" s="5" t="s">
        <v>4276</v>
      </c>
      <c r="D134" s="5">
        <v>0</v>
      </c>
      <c r="E134" s="5">
        <v>0</v>
      </c>
      <c r="F134" s="5">
        <v>0</v>
      </c>
      <c r="G134" s="5">
        <v>0</v>
      </c>
      <c r="H134" s="5">
        <v>0</v>
      </c>
      <c r="I134" s="5">
        <v>0</v>
      </c>
      <c r="J134" s="5">
        <v>0</v>
      </c>
      <c r="K134" s="5">
        <v>0</v>
      </c>
      <c r="L134" s="5">
        <v>0</v>
      </c>
      <c r="M134" s="5">
        <v>0</v>
      </c>
      <c r="N134" s="5">
        <v>184</v>
      </c>
      <c r="O134" s="5" t="str">
        <f t="shared" ca="1" si="2"/>
        <v>Supplier 134</v>
      </c>
      <c r="P134" s="20" t="str">
        <f ca="1">IFERROR(VLOOKUP(O134,EMAILS!B:C,2,FALSE),"NOT FOUND IN EMAILS")</f>
        <v>supplier@gmail.com</v>
      </c>
      <c r="Q134" t="str">
        <f ca="1">""&amp;IFERROR(VLOOKUP(O134,EMAILS!B:D,3,FALSE),"NOT FOUND IN EMAILS")</f>
        <v/>
      </c>
      <c r="R134" t="str">
        <f ca="1">""&amp;IFERROR(VLOOKUP(O134,EMAILS!B:E,4,FALSE),"NO T FOUND IN EMAILS")</f>
        <v/>
      </c>
    </row>
    <row r="135" spans="2:18" x14ac:dyDescent="0.25">
      <c r="B135" s="5" t="s">
        <v>137</v>
      </c>
      <c r="C135" s="5" t="s">
        <v>4277</v>
      </c>
      <c r="D135" s="5">
        <v>0</v>
      </c>
      <c r="E135" s="5">
        <v>0</v>
      </c>
      <c r="F135" s="5">
        <v>0</v>
      </c>
      <c r="G135" s="5">
        <v>0</v>
      </c>
      <c r="H135" s="5">
        <v>0</v>
      </c>
      <c r="I135" s="5">
        <v>0</v>
      </c>
      <c r="J135" s="5">
        <v>0</v>
      </c>
      <c r="K135" s="5">
        <v>0</v>
      </c>
      <c r="L135" s="5">
        <v>0</v>
      </c>
      <c r="M135" s="5">
        <v>0</v>
      </c>
      <c r="N135" s="5">
        <v>0</v>
      </c>
      <c r="O135" s="5" t="str">
        <f t="shared" ca="1" si="2"/>
        <v>Supplier 8</v>
      </c>
      <c r="P135" s="20" t="str">
        <f ca="1">IFERROR(VLOOKUP(O135,EMAILS!B:C,2,FALSE),"NOT FOUND IN EMAILS")</f>
        <v>supplier@gmail.com</v>
      </c>
      <c r="Q135" t="str">
        <f ca="1">""&amp;IFERROR(VLOOKUP(O135,EMAILS!B:D,3,FALSE),"NOT FOUND IN EMAILS")</f>
        <v>supplier_logistics@gmail.com</v>
      </c>
      <c r="R135" t="str">
        <f ca="1">""&amp;IFERROR(VLOOKUP(O135,EMAILS!B:E,4,FALSE),"NO T FOUND IN EMAILS")</f>
        <v/>
      </c>
    </row>
    <row r="136" spans="2:18" x14ac:dyDescent="0.25">
      <c r="B136" s="5" t="s">
        <v>138</v>
      </c>
      <c r="C136" s="5" t="s">
        <v>4278</v>
      </c>
      <c r="D136" s="5">
        <v>0</v>
      </c>
      <c r="E136" s="5">
        <v>0</v>
      </c>
      <c r="F136" s="5">
        <v>0</v>
      </c>
      <c r="G136" s="5">
        <v>0</v>
      </c>
      <c r="H136" s="5">
        <v>0</v>
      </c>
      <c r="I136" s="5">
        <v>64</v>
      </c>
      <c r="J136" s="5">
        <v>0</v>
      </c>
      <c r="K136" s="5">
        <v>0</v>
      </c>
      <c r="L136" s="5">
        <v>0</v>
      </c>
      <c r="M136" s="5">
        <v>0</v>
      </c>
      <c r="N136" s="5">
        <v>200</v>
      </c>
      <c r="O136" s="5" t="str">
        <f t="shared" ca="1" si="2"/>
        <v>Supplier 189</v>
      </c>
      <c r="P136" s="20" t="str">
        <f ca="1">IFERROR(VLOOKUP(O136,EMAILS!B:C,2,FALSE),"NOT FOUND IN EMAILS")</f>
        <v>supplier@gmail.com</v>
      </c>
      <c r="Q136" t="str">
        <f ca="1">""&amp;IFERROR(VLOOKUP(O136,EMAILS!B:D,3,FALSE),"NOT FOUND IN EMAILS")</f>
        <v/>
      </c>
      <c r="R136" t="str">
        <f ca="1">""&amp;IFERROR(VLOOKUP(O136,EMAILS!B:E,4,FALSE),"NO T FOUND IN EMAILS")</f>
        <v/>
      </c>
    </row>
    <row r="137" spans="2:18" x14ac:dyDescent="0.25">
      <c r="B137" s="5" t="s">
        <v>139</v>
      </c>
      <c r="C137" s="5" t="s">
        <v>4279</v>
      </c>
      <c r="D137" s="5">
        <v>0</v>
      </c>
      <c r="E137" s="5">
        <v>0</v>
      </c>
      <c r="F137" s="5">
        <v>0</v>
      </c>
      <c r="G137" s="5">
        <v>0</v>
      </c>
      <c r="H137" s="5">
        <v>0</v>
      </c>
      <c r="I137" s="5">
        <v>128</v>
      </c>
      <c r="J137" s="5">
        <v>64</v>
      </c>
      <c r="K137" s="5">
        <v>0</v>
      </c>
      <c r="L137" s="5">
        <v>0</v>
      </c>
      <c r="M137" s="5">
        <v>0</v>
      </c>
      <c r="N137" s="5">
        <v>0</v>
      </c>
      <c r="O137" s="5" t="str">
        <f t="shared" ca="1" si="2"/>
        <v>Supplier 90</v>
      </c>
      <c r="P137" s="20" t="str">
        <f ca="1">IFERROR(VLOOKUP(O137,EMAILS!B:C,2,FALSE),"NOT FOUND IN EMAILS")</f>
        <v>supplier@gmail.com</v>
      </c>
      <c r="Q137" t="str">
        <f ca="1">""&amp;IFERROR(VLOOKUP(O137,EMAILS!B:D,3,FALSE),"NOT FOUND IN EMAILS")</f>
        <v/>
      </c>
      <c r="R137" t="str">
        <f ca="1">""&amp;IFERROR(VLOOKUP(O137,EMAILS!B:E,4,FALSE),"NO T FOUND IN EMAILS")</f>
        <v/>
      </c>
    </row>
    <row r="138" spans="2:18" x14ac:dyDescent="0.25">
      <c r="B138" s="5" t="s">
        <v>140</v>
      </c>
      <c r="C138" s="5" t="s">
        <v>4280</v>
      </c>
      <c r="D138" s="5">
        <v>520</v>
      </c>
      <c r="E138" s="5">
        <v>152</v>
      </c>
      <c r="F138" s="5">
        <v>248</v>
      </c>
      <c r="G138" s="5">
        <v>420</v>
      </c>
      <c r="H138" s="5">
        <v>0</v>
      </c>
      <c r="I138" s="5">
        <v>0</v>
      </c>
      <c r="J138" s="5">
        <v>0</v>
      </c>
      <c r="K138" s="5">
        <v>224</v>
      </c>
      <c r="L138" s="5">
        <v>0</v>
      </c>
      <c r="M138" s="5">
        <v>0</v>
      </c>
      <c r="N138" s="5">
        <v>2100</v>
      </c>
      <c r="O138" s="5" t="str">
        <f t="shared" ca="1" si="2"/>
        <v>Supplier 125</v>
      </c>
      <c r="P138" s="20" t="str">
        <f ca="1">IFERROR(VLOOKUP(O138,EMAILS!B:C,2,FALSE),"NOT FOUND IN EMAILS")</f>
        <v>supplier@gmail.com</v>
      </c>
      <c r="Q138" t="str">
        <f ca="1">""&amp;IFERROR(VLOOKUP(O138,EMAILS!B:D,3,FALSE),"NOT FOUND IN EMAILS")</f>
        <v/>
      </c>
      <c r="R138" t="str">
        <f ca="1">""&amp;IFERROR(VLOOKUP(O138,EMAILS!B:E,4,FALSE),"NO T FOUND IN EMAILS")</f>
        <v/>
      </c>
    </row>
    <row r="139" spans="2:18" x14ac:dyDescent="0.25">
      <c r="B139" s="5" t="s">
        <v>141</v>
      </c>
      <c r="C139" s="5" t="s">
        <v>4281</v>
      </c>
      <c r="D139" s="5">
        <v>604</v>
      </c>
      <c r="E139" s="5">
        <v>188</v>
      </c>
      <c r="F139" s="5">
        <v>266</v>
      </c>
      <c r="G139" s="5">
        <v>490</v>
      </c>
      <c r="H139" s="5">
        <v>152</v>
      </c>
      <c r="I139" s="5">
        <v>120</v>
      </c>
      <c r="J139" s="5">
        <v>0</v>
      </c>
      <c r="K139" s="5">
        <v>288</v>
      </c>
      <c r="L139" s="5">
        <v>120</v>
      </c>
      <c r="M139" s="5">
        <v>0</v>
      </c>
      <c r="N139" s="5">
        <v>3000</v>
      </c>
      <c r="O139" s="5" t="str">
        <f t="shared" ca="1" si="2"/>
        <v>Supplier 135</v>
      </c>
      <c r="P139" s="20" t="str">
        <f ca="1">IFERROR(VLOOKUP(O139,EMAILS!B:C,2,FALSE),"NOT FOUND IN EMAILS")</f>
        <v>supplier@gmail.com</v>
      </c>
      <c r="Q139" t="str">
        <f ca="1">""&amp;IFERROR(VLOOKUP(O139,EMAILS!B:D,3,FALSE),"NOT FOUND IN EMAILS")</f>
        <v/>
      </c>
      <c r="R139" t="str">
        <f ca="1">""&amp;IFERROR(VLOOKUP(O139,EMAILS!B:E,4,FALSE),"NO T FOUND IN EMAILS")</f>
        <v/>
      </c>
    </row>
    <row r="140" spans="2:18" x14ac:dyDescent="0.25">
      <c r="B140" s="5" t="s">
        <v>142</v>
      </c>
      <c r="C140" s="5" t="s">
        <v>4282</v>
      </c>
      <c r="D140" s="5">
        <v>0</v>
      </c>
      <c r="E140" s="5">
        <v>0</v>
      </c>
      <c r="F140" s="5">
        <v>0</v>
      </c>
      <c r="G140" s="5">
        <v>0</v>
      </c>
      <c r="H140" s="5">
        <v>0</v>
      </c>
      <c r="I140" s="5">
        <v>0</v>
      </c>
      <c r="J140" s="5">
        <v>0</v>
      </c>
      <c r="K140" s="5">
        <v>0</v>
      </c>
      <c r="L140" s="5">
        <v>0</v>
      </c>
      <c r="M140" s="5">
        <v>0</v>
      </c>
      <c r="N140" s="5">
        <v>245</v>
      </c>
      <c r="O140" s="5" t="str">
        <f t="shared" ca="1" si="2"/>
        <v>Supplier 136</v>
      </c>
      <c r="P140" s="20" t="str">
        <f ca="1">IFERROR(VLOOKUP(O140,EMAILS!B:C,2,FALSE),"NOT FOUND IN EMAILS")</f>
        <v>supplier@gmail.com</v>
      </c>
      <c r="Q140" t="str">
        <f ca="1">""&amp;IFERROR(VLOOKUP(O140,EMAILS!B:D,3,FALSE),"NOT FOUND IN EMAILS")</f>
        <v/>
      </c>
      <c r="R140" t="str">
        <f ca="1">""&amp;IFERROR(VLOOKUP(O140,EMAILS!B:E,4,FALSE),"NO T FOUND IN EMAILS")</f>
        <v/>
      </c>
    </row>
    <row r="141" spans="2:18" x14ac:dyDescent="0.25">
      <c r="B141" s="5" t="s">
        <v>143</v>
      </c>
      <c r="C141" s="5" t="s">
        <v>4283</v>
      </c>
      <c r="D141" s="5">
        <v>0</v>
      </c>
      <c r="E141" s="5">
        <v>0</v>
      </c>
      <c r="F141" s="5">
        <v>0</v>
      </c>
      <c r="G141" s="5">
        <v>0</v>
      </c>
      <c r="H141" s="5">
        <v>0</v>
      </c>
      <c r="I141" s="5">
        <v>0</v>
      </c>
      <c r="J141" s="5">
        <v>0</v>
      </c>
      <c r="K141" s="5">
        <v>0</v>
      </c>
      <c r="L141" s="5">
        <v>0</v>
      </c>
      <c r="M141" s="5">
        <v>0</v>
      </c>
      <c r="N141" s="5">
        <v>420</v>
      </c>
      <c r="O141" s="5" t="str">
        <f t="shared" ca="1" si="2"/>
        <v>Supplier 80</v>
      </c>
      <c r="P141" s="20" t="str">
        <f ca="1">IFERROR(VLOOKUP(O141,EMAILS!B:C,2,FALSE),"NOT FOUND IN EMAILS")</f>
        <v>supplier@gmail.com</v>
      </c>
      <c r="Q141" t="str">
        <f ca="1">""&amp;IFERROR(VLOOKUP(O141,EMAILS!B:D,3,FALSE),"NOT FOUND IN EMAILS")</f>
        <v/>
      </c>
      <c r="R141" t="str">
        <f ca="1">""&amp;IFERROR(VLOOKUP(O141,EMAILS!B:E,4,FALSE),"NO T FOUND IN EMAILS")</f>
        <v/>
      </c>
    </row>
    <row r="142" spans="2:18" x14ac:dyDescent="0.25">
      <c r="B142" s="5" t="s">
        <v>144</v>
      </c>
      <c r="C142" s="5" t="s">
        <v>4284</v>
      </c>
      <c r="D142" s="5">
        <v>0</v>
      </c>
      <c r="E142" s="5">
        <v>0</v>
      </c>
      <c r="F142" s="5">
        <v>0</v>
      </c>
      <c r="G142" s="5">
        <v>0</v>
      </c>
      <c r="H142" s="5">
        <v>0</v>
      </c>
      <c r="I142" s="5">
        <v>0</v>
      </c>
      <c r="J142" s="5">
        <v>0</v>
      </c>
      <c r="K142" s="5">
        <v>0</v>
      </c>
      <c r="L142" s="5">
        <v>0</v>
      </c>
      <c r="M142" s="5">
        <v>0</v>
      </c>
      <c r="N142" s="5">
        <v>54</v>
      </c>
      <c r="O142" s="5" t="str">
        <f t="shared" ca="1" si="2"/>
        <v>Supplier 133</v>
      </c>
      <c r="P142" s="20" t="str">
        <f ca="1">IFERROR(VLOOKUP(O142,EMAILS!B:C,2,FALSE),"NOT FOUND IN EMAILS")</f>
        <v>supplier@gmail.com</v>
      </c>
      <c r="Q142" t="str">
        <f ca="1">""&amp;IFERROR(VLOOKUP(O142,EMAILS!B:D,3,FALSE),"NOT FOUND IN EMAILS")</f>
        <v/>
      </c>
      <c r="R142" t="str">
        <f ca="1">""&amp;IFERROR(VLOOKUP(O142,EMAILS!B:E,4,FALSE),"NO T FOUND IN EMAILS")</f>
        <v/>
      </c>
    </row>
    <row r="143" spans="2:18" x14ac:dyDescent="0.25">
      <c r="B143" s="5" t="s">
        <v>145</v>
      </c>
      <c r="C143" s="5" t="s">
        <v>4285</v>
      </c>
      <c r="D143" s="5">
        <v>0</v>
      </c>
      <c r="E143" s="5">
        <v>0</v>
      </c>
      <c r="F143" s="5">
        <v>0</v>
      </c>
      <c r="G143" s="5">
        <v>0</v>
      </c>
      <c r="H143" s="5">
        <v>0</v>
      </c>
      <c r="I143" s="5">
        <v>0</v>
      </c>
      <c r="J143" s="5">
        <v>0</v>
      </c>
      <c r="K143" s="5">
        <v>0</v>
      </c>
      <c r="L143" s="5">
        <v>0</v>
      </c>
      <c r="M143" s="5">
        <v>0</v>
      </c>
      <c r="N143" s="5">
        <v>99</v>
      </c>
      <c r="O143" s="5" t="str">
        <f t="shared" ca="1" si="2"/>
        <v>Supplier 66</v>
      </c>
      <c r="P143" s="20" t="str">
        <f ca="1">IFERROR(VLOOKUP(O143,EMAILS!B:C,2,FALSE),"NOT FOUND IN EMAILS")</f>
        <v>supplier@gmail.com</v>
      </c>
      <c r="Q143" t="str">
        <f ca="1">""&amp;IFERROR(VLOOKUP(O143,EMAILS!B:D,3,FALSE),"NOT FOUND IN EMAILS")</f>
        <v/>
      </c>
      <c r="R143" t="str">
        <f ca="1">""&amp;IFERROR(VLOOKUP(O143,EMAILS!B:E,4,FALSE),"NO T FOUND IN EMAILS")</f>
        <v/>
      </c>
    </row>
    <row r="144" spans="2:18" x14ac:dyDescent="0.25">
      <c r="B144" s="5" t="s">
        <v>146</v>
      </c>
      <c r="C144" s="5" t="s">
        <v>4286</v>
      </c>
      <c r="D144" s="5">
        <v>0</v>
      </c>
      <c r="E144" s="5">
        <v>0</v>
      </c>
      <c r="F144" s="5">
        <v>0</v>
      </c>
      <c r="G144" s="5">
        <v>0</v>
      </c>
      <c r="H144" s="5">
        <v>0</v>
      </c>
      <c r="I144" s="5">
        <v>0</v>
      </c>
      <c r="J144" s="5">
        <v>0</v>
      </c>
      <c r="K144" s="5">
        <v>0</v>
      </c>
      <c r="L144" s="5">
        <v>0</v>
      </c>
      <c r="M144" s="5">
        <v>0</v>
      </c>
      <c r="N144" s="5">
        <v>180</v>
      </c>
      <c r="O144" s="5" t="str">
        <f t="shared" ca="1" si="2"/>
        <v>Supplier 174</v>
      </c>
      <c r="P144" s="20" t="str">
        <f ca="1">IFERROR(VLOOKUP(O144,EMAILS!B:C,2,FALSE),"NOT FOUND IN EMAILS")</f>
        <v>supplier@gmail.com</v>
      </c>
      <c r="Q144" t="str">
        <f ca="1">""&amp;IFERROR(VLOOKUP(O144,EMAILS!B:D,3,FALSE),"NOT FOUND IN EMAILS")</f>
        <v/>
      </c>
      <c r="R144" t="str">
        <f ca="1">""&amp;IFERROR(VLOOKUP(O144,EMAILS!B:E,4,FALSE),"NO T FOUND IN EMAILS")</f>
        <v/>
      </c>
    </row>
    <row r="145" spans="2:18" x14ac:dyDescent="0.25">
      <c r="B145" s="5" t="s">
        <v>147</v>
      </c>
      <c r="C145" s="5" t="s">
        <v>4287</v>
      </c>
      <c r="D145" s="5">
        <v>20</v>
      </c>
      <c r="E145" s="5">
        <v>23</v>
      </c>
      <c r="F145" s="5">
        <v>30</v>
      </c>
      <c r="G145" s="5">
        <v>22</v>
      </c>
      <c r="H145" s="5">
        <v>20</v>
      </c>
      <c r="I145" s="5">
        <v>16</v>
      </c>
      <c r="J145" s="5">
        <v>16</v>
      </c>
      <c r="K145" s="5">
        <v>15</v>
      </c>
      <c r="L145" s="5">
        <v>16</v>
      </c>
      <c r="M145" s="5">
        <v>0</v>
      </c>
      <c r="N145" s="5">
        <v>279</v>
      </c>
      <c r="O145" s="5" t="str">
        <f t="shared" ca="1" si="2"/>
        <v>Supplier 158</v>
      </c>
      <c r="P145" s="20" t="str">
        <f ca="1">IFERROR(VLOOKUP(O145,EMAILS!B:C,2,FALSE),"NOT FOUND IN EMAILS")</f>
        <v>supplier@gmail.com</v>
      </c>
      <c r="Q145" t="str">
        <f ca="1">""&amp;IFERROR(VLOOKUP(O145,EMAILS!B:D,3,FALSE),"NOT FOUND IN EMAILS")</f>
        <v/>
      </c>
      <c r="R145" t="str">
        <f ca="1">""&amp;IFERROR(VLOOKUP(O145,EMAILS!B:E,4,FALSE),"NO T FOUND IN EMAILS")</f>
        <v/>
      </c>
    </row>
    <row r="146" spans="2:18" x14ac:dyDescent="0.25">
      <c r="B146" s="5" t="s">
        <v>148</v>
      </c>
      <c r="C146" s="5" t="s">
        <v>4288</v>
      </c>
      <c r="D146" s="5">
        <v>130</v>
      </c>
      <c r="E146" s="5">
        <v>38</v>
      </c>
      <c r="F146" s="5">
        <v>62</v>
      </c>
      <c r="G146" s="5">
        <v>105</v>
      </c>
      <c r="H146" s="5">
        <v>0</v>
      </c>
      <c r="I146" s="5">
        <v>0</v>
      </c>
      <c r="J146" s="5">
        <v>0</v>
      </c>
      <c r="K146" s="5">
        <v>56</v>
      </c>
      <c r="L146" s="5">
        <v>0</v>
      </c>
      <c r="M146" s="5">
        <v>0</v>
      </c>
      <c r="N146" s="5">
        <v>0</v>
      </c>
      <c r="O146" s="5" t="str">
        <f t="shared" ca="1" si="2"/>
        <v>Supplier 122</v>
      </c>
      <c r="P146" s="20" t="str">
        <f ca="1">IFERROR(VLOOKUP(O146,EMAILS!B:C,2,FALSE),"NOT FOUND IN EMAILS")</f>
        <v>supplier@gmail.com</v>
      </c>
      <c r="Q146" t="str">
        <f ca="1">""&amp;IFERROR(VLOOKUP(O146,EMAILS!B:D,3,FALSE),"NOT FOUND IN EMAILS")</f>
        <v/>
      </c>
      <c r="R146" t="str">
        <f ca="1">""&amp;IFERROR(VLOOKUP(O146,EMAILS!B:E,4,FALSE),"NO T FOUND IN EMAILS")</f>
        <v/>
      </c>
    </row>
    <row r="147" spans="2:18" x14ac:dyDescent="0.25">
      <c r="B147" s="5" t="s">
        <v>149</v>
      </c>
      <c r="C147" s="5" t="s">
        <v>4289</v>
      </c>
      <c r="D147" s="5">
        <v>154</v>
      </c>
      <c r="E147" s="5">
        <v>2</v>
      </c>
      <c r="F147" s="5">
        <v>62</v>
      </c>
      <c r="G147" s="5">
        <v>122</v>
      </c>
      <c r="H147" s="5">
        <v>60</v>
      </c>
      <c r="I147" s="5">
        <v>60</v>
      </c>
      <c r="J147" s="5">
        <v>0</v>
      </c>
      <c r="K147" s="5">
        <v>88</v>
      </c>
      <c r="L147" s="5">
        <v>60</v>
      </c>
      <c r="M147" s="5">
        <v>0</v>
      </c>
      <c r="N147" s="5">
        <v>400</v>
      </c>
      <c r="O147" s="5" t="str">
        <f t="shared" ca="1" si="2"/>
        <v>Supplier 65</v>
      </c>
      <c r="P147" s="20" t="str">
        <f ca="1">IFERROR(VLOOKUP(O147,EMAILS!B:C,2,FALSE),"NOT FOUND IN EMAILS")</f>
        <v>supplier@gmail.com</v>
      </c>
      <c r="Q147" t="str">
        <f ca="1">""&amp;IFERROR(VLOOKUP(O147,EMAILS!B:D,3,FALSE),"NOT FOUND IN EMAILS")</f>
        <v/>
      </c>
      <c r="R147" t="str">
        <f ca="1">""&amp;IFERROR(VLOOKUP(O147,EMAILS!B:E,4,FALSE),"NO T FOUND IN EMAILS")</f>
        <v/>
      </c>
    </row>
    <row r="148" spans="2:18" x14ac:dyDescent="0.25">
      <c r="B148" s="5" t="s">
        <v>150</v>
      </c>
      <c r="C148" s="5" t="s">
        <v>4290</v>
      </c>
      <c r="D148" s="5">
        <v>0</v>
      </c>
      <c r="E148" s="5">
        <v>0</v>
      </c>
      <c r="F148" s="5">
        <v>0</v>
      </c>
      <c r="G148" s="5">
        <v>0</v>
      </c>
      <c r="H148" s="5">
        <v>0</v>
      </c>
      <c r="I148" s="5">
        <v>0</v>
      </c>
      <c r="J148" s="5">
        <v>0</v>
      </c>
      <c r="K148" s="5">
        <v>0</v>
      </c>
      <c r="L148" s="5">
        <v>0</v>
      </c>
      <c r="M148" s="5">
        <v>0</v>
      </c>
      <c r="N148" s="5">
        <v>0</v>
      </c>
      <c r="O148" s="5" t="str">
        <f t="shared" ca="1" si="2"/>
        <v>Supplier 183</v>
      </c>
      <c r="P148" s="20" t="str">
        <f ca="1">IFERROR(VLOOKUP(O148,EMAILS!B:C,2,FALSE),"NOT FOUND IN EMAILS")</f>
        <v>supplier@gmail.com</v>
      </c>
      <c r="Q148" t="str">
        <f ca="1">""&amp;IFERROR(VLOOKUP(O148,EMAILS!B:D,3,FALSE),"NOT FOUND IN EMAILS")</f>
        <v/>
      </c>
      <c r="R148" t="str">
        <f ca="1">""&amp;IFERROR(VLOOKUP(O148,EMAILS!B:E,4,FALSE),"NO T FOUND IN EMAILS")</f>
        <v/>
      </c>
    </row>
    <row r="149" spans="2:18" x14ac:dyDescent="0.25">
      <c r="B149" s="5" t="s">
        <v>151</v>
      </c>
      <c r="C149" s="5" t="s">
        <v>4291</v>
      </c>
      <c r="D149" s="5">
        <v>260</v>
      </c>
      <c r="E149" s="5">
        <v>76</v>
      </c>
      <c r="F149" s="5">
        <v>124</v>
      </c>
      <c r="G149" s="5">
        <v>210</v>
      </c>
      <c r="H149" s="5">
        <v>0</v>
      </c>
      <c r="I149" s="5">
        <v>0</v>
      </c>
      <c r="J149" s="5">
        <v>0</v>
      </c>
      <c r="K149" s="5">
        <v>112</v>
      </c>
      <c r="L149" s="5">
        <v>0</v>
      </c>
      <c r="M149" s="5">
        <v>0</v>
      </c>
      <c r="N149" s="5">
        <v>960</v>
      </c>
      <c r="O149" s="5" t="str">
        <f t="shared" ca="1" si="2"/>
        <v>Supplier 39</v>
      </c>
      <c r="P149" s="20" t="str">
        <f ca="1">IFERROR(VLOOKUP(O149,EMAILS!B:C,2,FALSE),"NOT FOUND IN EMAILS")</f>
        <v>supplier@gmail.com</v>
      </c>
      <c r="Q149" t="str">
        <f ca="1">""&amp;IFERROR(VLOOKUP(O149,EMAILS!B:D,3,FALSE),"NOT FOUND IN EMAILS")</f>
        <v/>
      </c>
      <c r="R149" t="str">
        <f ca="1">""&amp;IFERROR(VLOOKUP(O149,EMAILS!B:E,4,FALSE),"NO T FOUND IN EMAILS")</f>
        <v/>
      </c>
    </row>
    <row r="150" spans="2:18" x14ac:dyDescent="0.25">
      <c r="B150" s="5" t="s">
        <v>152</v>
      </c>
      <c r="C150" s="5" t="s">
        <v>4292</v>
      </c>
      <c r="D150" s="5">
        <v>40</v>
      </c>
      <c r="E150" s="5">
        <v>44</v>
      </c>
      <c r="F150" s="5">
        <v>60</v>
      </c>
      <c r="G150" s="5">
        <v>44</v>
      </c>
      <c r="H150" s="5">
        <v>40</v>
      </c>
      <c r="I150" s="5">
        <v>32</v>
      </c>
      <c r="J150" s="5">
        <v>32</v>
      </c>
      <c r="K150" s="5">
        <v>30</v>
      </c>
      <c r="L150" s="5">
        <v>32</v>
      </c>
      <c r="M150" s="5">
        <v>0</v>
      </c>
      <c r="N150" s="5">
        <v>202</v>
      </c>
      <c r="O150" s="5" t="str">
        <f t="shared" ca="1" si="2"/>
        <v>Supplier 26</v>
      </c>
      <c r="P150" s="20" t="str">
        <f ca="1">IFERROR(VLOOKUP(O150,EMAILS!B:C,2,FALSE),"NOT FOUND IN EMAILS")</f>
        <v>supplier@gmail.com</v>
      </c>
      <c r="Q150" t="str">
        <f ca="1">""&amp;IFERROR(VLOOKUP(O150,EMAILS!B:D,3,FALSE),"NOT FOUND IN EMAILS")</f>
        <v/>
      </c>
      <c r="R150" t="str">
        <f ca="1">""&amp;IFERROR(VLOOKUP(O150,EMAILS!B:E,4,FALSE),"NO T FOUND IN EMAILS")</f>
        <v/>
      </c>
    </row>
    <row r="151" spans="2:18" x14ac:dyDescent="0.25">
      <c r="B151" s="5" t="s">
        <v>153</v>
      </c>
      <c r="C151" s="5" t="s">
        <v>4293</v>
      </c>
      <c r="D151" s="5">
        <v>20</v>
      </c>
      <c r="E151" s="5">
        <v>22</v>
      </c>
      <c r="F151" s="5">
        <v>30</v>
      </c>
      <c r="G151" s="5">
        <v>22</v>
      </c>
      <c r="H151" s="5">
        <v>17</v>
      </c>
      <c r="I151" s="5">
        <v>16</v>
      </c>
      <c r="J151" s="5">
        <v>15</v>
      </c>
      <c r="K151" s="5">
        <v>15</v>
      </c>
      <c r="L151" s="5">
        <v>16</v>
      </c>
      <c r="M151" s="5">
        <v>0</v>
      </c>
      <c r="N151" s="5">
        <v>53</v>
      </c>
      <c r="O151" s="5" t="str">
        <f t="shared" ca="1" si="2"/>
        <v>Supplier 99</v>
      </c>
      <c r="P151" s="20" t="str">
        <f ca="1">IFERROR(VLOOKUP(O151,EMAILS!B:C,2,FALSE),"NOT FOUND IN EMAILS")</f>
        <v>supplier@gmail.com</v>
      </c>
      <c r="Q151" t="str">
        <f ca="1">""&amp;IFERROR(VLOOKUP(O151,EMAILS!B:D,3,FALSE),"NOT FOUND IN EMAILS")</f>
        <v/>
      </c>
      <c r="R151" t="str">
        <f ca="1">""&amp;IFERROR(VLOOKUP(O151,EMAILS!B:E,4,FALSE),"NO T FOUND IN EMAILS")</f>
        <v/>
      </c>
    </row>
    <row r="152" spans="2:18" x14ac:dyDescent="0.25">
      <c r="B152" s="5" t="s">
        <v>154</v>
      </c>
      <c r="C152" s="5" t="s">
        <v>4294</v>
      </c>
      <c r="D152" s="5">
        <v>20</v>
      </c>
      <c r="E152" s="5">
        <v>22</v>
      </c>
      <c r="F152" s="5">
        <v>30</v>
      </c>
      <c r="G152" s="5">
        <v>22</v>
      </c>
      <c r="H152" s="5">
        <v>17</v>
      </c>
      <c r="I152" s="5">
        <v>16</v>
      </c>
      <c r="J152" s="5">
        <v>15</v>
      </c>
      <c r="K152" s="5">
        <v>15</v>
      </c>
      <c r="L152" s="5">
        <v>16</v>
      </c>
      <c r="M152" s="5">
        <v>0</v>
      </c>
      <c r="N152" s="5">
        <v>66</v>
      </c>
      <c r="O152" s="5" t="str">
        <f t="shared" ca="1" si="2"/>
        <v>Supplier 186</v>
      </c>
      <c r="P152" s="20" t="str">
        <f ca="1">IFERROR(VLOOKUP(O152,EMAILS!B:C,2,FALSE),"NOT FOUND IN EMAILS")</f>
        <v>supplier@gmail.com</v>
      </c>
      <c r="Q152" t="str">
        <f ca="1">""&amp;IFERROR(VLOOKUP(O152,EMAILS!B:D,3,FALSE),"NOT FOUND IN EMAILS")</f>
        <v/>
      </c>
      <c r="R152" t="str">
        <f ca="1">""&amp;IFERROR(VLOOKUP(O152,EMAILS!B:E,4,FALSE),"NO T FOUND IN EMAILS")</f>
        <v/>
      </c>
    </row>
    <row r="153" spans="2:18" x14ac:dyDescent="0.25">
      <c r="B153" s="5" t="s">
        <v>155</v>
      </c>
      <c r="C153" s="5" t="s">
        <v>4295</v>
      </c>
      <c r="D153" s="5">
        <v>0</v>
      </c>
      <c r="E153" s="5">
        <v>0</v>
      </c>
      <c r="F153" s="5">
        <v>0</v>
      </c>
      <c r="G153" s="5">
        <v>0</v>
      </c>
      <c r="H153" s="5">
        <v>1</v>
      </c>
      <c r="I153" s="5">
        <v>0</v>
      </c>
      <c r="J153" s="5">
        <v>1</v>
      </c>
      <c r="K153" s="5">
        <v>0</v>
      </c>
      <c r="L153" s="5">
        <v>0</v>
      </c>
      <c r="M153" s="5">
        <v>0</v>
      </c>
      <c r="N153" s="5">
        <v>104</v>
      </c>
      <c r="O153" s="5" t="str">
        <f t="shared" ca="1" si="2"/>
        <v>Supplier 135</v>
      </c>
      <c r="P153" s="20" t="str">
        <f ca="1">IFERROR(VLOOKUP(O153,EMAILS!B:C,2,FALSE),"NOT FOUND IN EMAILS")</f>
        <v>supplier@gmail.com</v>
      </c>
      <c r="Q153" t="str">
        <f ca="1">""&amp;IFERROR(VLOOKUP(O153,EMAILS!B:D,3,FALSE),"NOT FOUND IN EMAILS")</f>
        <v/>
      </c>
      <c r="R153" t="str">
        <f ca="1">""&amp;IFERROR(VLOOKUP(O153,EMAILS!B:E,4,FALSE),"NO T FOUND IN EMAILS")</f>
        <v/>
      </c>
    </row>
    <row r="154" spans="2:18" x14ac:dyDescent="0.25">
      <c r="B154" s="5" t="s">
        <v>156</v>
      </c>
      <c r="C154" s="5" t="s">
        <v>4296</v>
      </c>
      <c r="D154" s="5">
        <v>0</v>
      </c>
      <c r="E154" s="5">
        <v>0</v>
      </c>
      <c r="F154" s="5">
        <v>0</v>
      </c>
      <c r="G154" s="5">
        <v>0</v>
      </c>
      <c r="H154" s="5">
        <v>1</v>
      </c>
      <c r="I154" s="5">
        <v>0</v>
      </c>
      <c r="J154" s="5">
        <v>1</v>
      </c>
      <c r="K154" s="5">
        <v>0</v>
      </c>
      <c r="L154" s="5">
        <v>0</v>
      </c>
      <c r="M154" s="5">
        <v>0</v>
      </c>
      <c r="N154" s="5">
        <v>103</v>
      </c>
      <c r="O154" s="5" t="str">
        <f t="shared" ca="1" si="2"/>
        <v>Supplier 78</v>
      </c>
      <c r="P154" s="20" t="str">
        <f ca="1">IFERROR(VLOOKUP(O154,EMAILS!B:C,2,FALSE),"NOT FOUND IN EMAILS")</f>
        <v>supplier@gmail.com</v>
      </c>
      <c r="Q154" t="str">
        <f ca="1">""&amp;IFERROR(VLOOKUP(O154,EMAILS!B:D,3,FALSE),"NOT FOUND IN EMAILS")</f>
        <v/>
      </c>
      <c r="R154" t="str">
        <f ca="1">""&amp;IFERROR(VLOOKUP(O154,EMAILS!B:E,4,FALSE),"NO T FOUND IN EMAILS")</f>
        <v/>
      </c>
    </row>
    <row r="155" spans="2:18" x14ac:dyDescent="0.25">
      <c r="B155" s="5" t="s">
        <v>157</v>
      </c>
      <c r="C155" s="5" t="s">
        <v>4297</v>
      </c>
      <c r="D155" s="5">
        <v>0</v>
      </c>
      <c r="E155" s="5">
        <v>0</v>
      </c>
      <c r="F155" s="5">
        <v>0</v>
      </c>
      <c r="G155" s="5">
        <v>0</v>
      </c>
      <c r="H155" s="5">
        <v>2</v>
      </c>
      <c r="I155" s="5">
        <v>0</v>
      </c>
      <c r="J155" s="5">
        <v>0</v>
      </c>
      <c r="K155" s="5">
        <v>0</v>
      </c>
      <c r="L155" s="5">
        <v>0</v>
      </c>
      <c r="M155" s="5">
        <v>0</v>
      </c>
      <c r="N155" s="5">
        <v>1</v>
      </c>
      <c r="O155" s="5" t="str">
        <f t="shared" ca="1" si="2"/>
        <v>Supplier 152</v>
      </c>
      <c r="P155" s="20" t="str">
        <f ca="1">IFERROR(VLOOKUP(O155,EMAILS!B:C,2,FALSE),"NOT FOUND IN EMAILS")</f>
        <v>supplier@gmail.com</v>
      </c>
      <c r="Q155" t="str">
        <f ca="1">""&amp;IFERROR(VLOOKUP(O155,EMAILS!B:D,3,FALSE),"NOT FOUND IN EMAILS")</f>
        <v/>
      </c>
      <c r="R155" t="str">
        <f ca="1">""&amp;IFERROR(VLOOKUP(O155,EMAILS!B:E,4,FALSE),"NO T FOUND IN EMAILS")</f>
        <v/>
      </c>
    </row>
    <row r="156" spans="2:18" x14ac:dyDescent="0.25">
      <c r="B156" s="5" t="s">
        <v>158</v>
      </c>
      <c r="C156" s="5" t="s">
        <v>4298</v>
      </c>
      <c r="D156" s="5">
        <v>0</v>
      </c>
      <c r="E156" s="5">
        <v>0</v>
      </c>
      <c r="F156" s="5">
        <v>0</v>
      </c>
      <c r="G156" s="5">
        <v>0</v>
      </c>
      <c r="H156" s="5">
        <v>2</v>
      </c>
      <c r="I156" s="5">
        <v>0</v>
      </c>
      <c r="J156" s="5">
        <v>0</v>
      </c>
      <c r="K156" s="5">
        <v>0</v>
      </c>
      <c r="L156" s="5">
        <v>0</v>
      </c>
      <c r="M156" s="5">
        <v>0</v>
      </c>
      <c r="N156" s="5">
        <v>4</v>
      </c>
      <c r="O156" s="5" t="str">
        <f t="shared" ca="1" si="2"/>
        <v>Supplier 55</v>
      </c>
      <c r="P156" s="20" t="str">
        <f ca="1">IFERROR(VLOOKUP(O156,EMAILS!B:C,2,FALSE),"NOT FOUND IN EMAILS")</f>
        <v>supplier@gmail.com</v>
      </c>
      <c r="Q156" t="str">
        <f ca="1">""&amp;IFERROR(VLOOKUP(O156,EMAILS!B:D,3,FALSE),"NOT FOUND IN EMAILS")</f>
        <v/>
      </c>
      <c r="R156" t="str">
        <f ca="1">""&amp;IFERROR(VLOOKUP(O156,EMAILS!B:E,4,FALSE),"NO T FOUND IN EMAILS")</f>
        <v/>
      </c>
    </row>
    <row r="157" spans="2:18" x14ac:dyDescent="0.25">
      <c r="B157" s="5" t="s">
        <v>159</v>
      </c>
      <c r="C157" s="5" t="s">
        <v>4299</v>
      </c>
      <c r="D157" s="5">
        <v>0</v>
      </c>
      <c r="E157" s="5">
        <v>0</v>
      </c>
      <c r="F157" s="5">
        <v>0</v>
      </c>
      <c r="G157" s="5">
        <v>0</v>
      </c>
      <c r="H157" s="5">
        <v>0</v>
      </c>
      <c r="I157" s="5">
        <v>0</v>
      </c>
      <c r="J157" s="5">
        <v>0</v>
      </c>
      <c r="K157" s="5">
        <v>0</v>
      </c>
      <c r="L157" s="5">
        <v>0</v>
      </c>
      <c r="M157" s="5">
        <v>0</v>
      </c>
      <c r="N157" s="5">
        <v>24</v>
      </c>
      <c r="O157" s="5" t="str">
        <f t="shared" ca="1" si="2"/>
        <v>Supplier 86</v>
      </c>
      <c r="P157" s="20" t="str">
        <f ca="1">IFERROR(VLOOKUP(O157,EMAILS!B:C,2,FALSE),"NOT FOUND IN EMAILS")</f>
        <v>supplier@gmail.com</v>
      </c>
      <c r="Q157" t="str">
        <f ca="1">""&amp;IFERROR(VLOOKUP(O157,EMAILS!B:D,3,FALSE),"NOT FOUND IN EMAILS")</f>
        <v/>
      </c>
      <c r="R157" t="str">
        <f ca="1">""&amp;IFERROR(VLOOKUP(O157,EMAILS!B:E,4,FALSE),"NO T FOUND IN EMAILS")</f>
        <v/>
      </c>
    </row>
    <row r="158" spans="2:18" x14ac:dyDescent="0.25">
      <c r="B158" s="5" t="s">
        <v>160</v>
      </c>
      <c r="C158" s="5" t="s">
        <v>4300</v>
      </c>
      <c r="D158" s="5">
        <v>0</v>
      </c>
      <c r="E158" s="5">
        <v>0</v>
      </c>
      <c r="F158" s="5">
        <v>0</v>
      </c>
      <c r="G158" s="5">
        <v>0</v>
      </c>
      <c r="H158" s="5">
        <v>0</v>
      </c>
      <c r="I158" s="5">
        <v>0</v>
      </c>
      <c r="J158" s="5">
        <v>0</v>
      </c>
      <c r="K158" s="5">
        <v>0</v>
      </c>
      <c r="L158" s="5">
        <v>0</v>
      </c>
      <c r="M158" s="5">
        <v>0</v>
      </c>
      <c r="N158" s="5">
        <v>24</v>
      </c>
      <c r="O158" s="5" t="str">
        <f t="shared" ca="1" si="2"/>
        <v>Supplier 132</v>
      </c>
      <c r="P158" s="20" t="str">
        <f ca="1">IFERROR(VLOOKUP(O158,EMAILS!B:C,2,FALSE),"NOT FOUND IN EMAILS")</f>
        <v>supplier@gmail.com</v>
      </c>
      <c r="Q158" t="str">
        <f ca="1">""&amp;IFERROR(VLOOKUP(O158,EMAILS!B:D,3,FALSE),"NOT FOUND IN EMAILS")</f>
        <v/>
      </c>
      <c r="R158" t="str">
        <f ca="1">""&amp;IFERROR(VLOOKUP(O158,EMAILS!B:E,4,FALSE),"NO T FOUND IN EMAILS")</f>
        <v/>
      </c>
    </row>
    <row r="159" spans="2:18" x14ac:dyDescent="0.25">
      <c r="B159" s="5" t="s">
        <v>161</v>
      </c>
      <c r="C159" s="5" t="s">
        <v>4301</v>
      </c>
      <c r="D159" s="5">
        <v>40</v>
      </c>
      <c r="E159" s="5">
        <v>46</v>
      </c>
      <c r="F159" s="5">
        <v>60</v>
      </c>
      <c r="G159" s="5">
        <v>44</v>
      </c>
      <c r="H159" s="5">
        <v>40</v>
      </c>
      <c r="I159" s="5">
        <v>32</v>
      </c>
      <c r="J159" s="5">
        <v>32</v>
      </c>
      <c r="K159" s="5">
        <v>30</v>
      </c>
      <c r="L159" s="5">
        <v>32</v>
      </c>
      <c r="M159" s="5">
        <v>0</v>
      </c>
      <c r="N159" s="5">
        <v>39</v>
      </c>
      <c r="O159" s="5" t="str">
        <f t="shared" ca="1" si="2"/>
        <v>Supplier 23</v>
      </c>
      <c r="P159" s="20" t="str">
        <f ca="1">IFERROR(VLOOKUP(O159,EMAILS!B:C,2,FALSE),"NOT FOUND IN EMAILS")</f>
        <v>supplier@gmail.com</v>
      </c>
      <c r="Q159" t="str">
        <f ca="1">""&amp;IFERROR(VLOOKUP(O159,EMAILS!B:D,3,FALSE),"NOT FOUND IN EMAILS")</f>
        <v/>
      </c>
      <c r="R159" t="str">
        <f ca="1">""&amp;IFERROR(VLOOKUP(O159,EMAILS!B:E,4,FALSE),"NO T FOUND IN EMAILS")</f>
        <v/>
      </c>
    </row>
    <row r="160" spans="2:18" x14ac:dyDescent="0.25">
      <c r="B160" s="5" t="s">
        <v>162</v>
      </c>
      <c r="C160" s="5" t="s">
        <v>4302</v>
      </c>
      <c r="D160" s="5">
        <v>80</v>
      </c>
      <c r="E160" s="5">
        <v>92</v>
      </c>
      <c r="F160" s="5">
        <v>120</v>
      </c>
      <c r="G160" s="5">
        <v>88</v>
      </c>
      <c r="H160" s="5">
        <v>76</v>
      </c>
      <c r="I160" s="5">
        <v>64</v>
      </c>
      <c r="J160" s="5">
        <v>64</v>
      </c>
      <c r="K160" s="5">
        <v>60</v>
      </c>
      <c r="L160" s="5">
        <v>64</v>
      </c>
      <c r="M160" s="5">
        <v>0</v>
      </c>
      <c r="N160" s="5">
        <v>0</v>
      </c>
      <c r="O160" s="5" t="str">
        <f t="shared" ca="1" si="2"/>
        <v>Supplier 68</v>
      </c>
      <c r="P160" s="20" t="str">
        <f ca="1">IFERROR(VLOOKUP(O160,EMAILS!B:C,2,FALSE),"NOT FOUND IN EMAILS")</f>
        <v>supplier@gmail.com</v>
      </c>
      <c r="Q160" t="str">
        <f ca="1">""&amp;IFERROR(VLOOKUP(O160,EMAILS!B:D,3,FALSE),"NOT FOUND IN EMAILS")</f>
        <v/>
      </c>
      <c r="R160" t="str">
        <f ca="1">""&amp;IFERROR(VLOOKUP(O160,EMAILS!B:E,4,FALSE),"NO T FOUND IN EMAILS")</f>
        <v/>
      </c>
    </row>
    <row r="161" spans="2:18" x14ac:dyDescent="0.25">
      <c r="B161" s="5" t="s">
        <v>163</v>
      </c>
      <c r="C161" s="5" t="s">
        <v>4303</v>
      </c>
      <c r="D161" s="5">
        <v>40</v>
      </c>
      <c r="E161" s="5">
        <v>46</v>
      </c>
      <c r="F161" s="5">
        <v>60</v>
      </c>
      <c r="G161" s="5">
        <v>44</v>
      </c>
      <c r="H161" s="5">
        <v>40</v>
      </c>
      <c r="I161" s="5">
        <v>32</v>
      </c>
      <c r="J161" s="5">
        <v>32</v>
      </c>
      <c r="K161" s="5">
        <v>30</v>
      </c>
      <c r="L161" s="5">
        <v>32</v>
      </c>
      <c r="M161" s="5">
        <v>0</v>
      </c>
      <c r="N161" s="5">
        <v>198</v>
      </c>
      <c r="O161" s="5" t="str">
        <f t="shared" ca="1" si="2"/>
        <v>Supplier 161</v>
      </c>
      <c r="P161" s="20" t="str">
        <f ca="1">IFERROR(VLOOKUP(O161,EMAILS!B:C,2,FALSE),"NOT FOUND IN EMAILS")</f>
        <v>supplier@gmail.com</v>
      </c>
      <c r="Q161" t="str">
        <f ca="1">""&amp;IFERROR(VLOOKUP(O161,EMAILS!B:D,3,FALSE),"NOT FOUND IN EMAILS")</f>
        <v/>
      </c>
      <c r="R161" t="str">
        <f ca="1">""&amp;IFERROR(VLOOKUP(O161,EMAILS!B:E,4,FALSE),"NO T FOUND IN EMAILS")</f>
        <v/>
      </c>
    </row>
    <row r="162" spans="2:18" x14ac:dyDescent="0.25">
      <c r="B162" s="5" t="s">
        <v>164</v>
      </c>
      <c r="C162" s="5" t="s">
        <v>4304</v>
      </c>
      <c r="D162" s="5">
        <v>20</v>
      </c>
      <c r="E162" s="5">
        <v>23</v>
      </c>
      <c r="F162" s="5">
        <v>30</v>
      </c>
      <c r="G162" s="5">
        <v>22</v>
      </c>
      <c r="H162" s="5">
        <v>20</v>
      </c>
      <c r="I162" s="5">
        <v>16</v>
      </c>
      <c r="J162" s="5">
        <v>16</v>
      </c>
      <c r="K162" s="5">
        <v>15</v>
      </c>
      <c r="L162" s="5">
        <v>16</v>
      </c>
      <c r="M162" s="5">
        <v>0</v>
      </c>
      <c r="N162" s="5">
        <v>266</v>
      </c>
      <c r="O162" s="5" t="str">
        <f t="shared" ca="1" si="2"/>
        <v>Supplier 93</v>
      </c>
      <c r="P162" s="20" t="str">
        <f ca="1">IFERROR(VLOOKUP(O162,EMAILS!B:C,2,FALSE),"NOT FOUND IN EMAILS")</f>
        <v>supplier@gmail.com</v>
      </c>
      <c r="Q162" t="str">
        <f ca="1">""&amp;IFERROR(VLOOKUP(O162,EMAILS!B:D,3,FALSE),"NOT FOUND IN EMAILS")</f>
        <v/>
      </c>
      <c r="R162" t="str">
        <f ca="1">""&amp;IFERROR(VLOOKUP(O162,EMAILS!B:E,4,FALSE),"NO T FOUND IN EMAILS")</f>
        <v/>
      </c>
    </row>
    <row r="163" spans="2:18" x14ac:dyDescent="0.25">
      <c r="B163" s="5" t="s">
        <v>165</v>
      </c>
      <c r="C163" s="5" t="s">
        <v>4305</v>
      </c>
      <c r="D163" s="5">
        <v>20</v>
      </c>
      <c r="E163" s="5">
        <v>23</v>
      </c>
      <c r="F163" s="5">
        <v>30</v>
      </c>
      <c r="G163" s="5">
        <v>22</v>
      </c>
      <c r="H163" s="5">
        <v>20</v>
      </c>
      <c r="I163" s="5">
        <v>16</v>
      </c>
      <c r="J163" s="5">
        <v>16</v>
      </c>
      <c r="K163" s="5">
        <v>15</v>
      </c>
      <c r="L163" s="5">
        <v>16</v>
      </c>
      <c r="M163" s="5">
        <v>0</v>
      </c>
      <c r="N163" s="5">
        <v>280</v>
      </c>
      <c r="O163" s="5" t="str">
        <f t="shared" ca="1" si="2"/>
        <v>Supplier 73</v>
      </c>
      <c r="P163" s="20" t="str">
        <f ca="1">IFERROR(VLOOKUP(O163,EMAILS!B:C,2,FALSE),"NOT FOUND IN EMAILS")</f>
        <v>supplier@gmail.com</v>
      </c>
      <c r="Q163" t="str">
        <f ca="1">""&amp;IFERROR(VLOOKUP(O163,EMAILS!B:D,3,FALSE),"NOT FOUND IN EMAILS")</f>
        <v/>
      </c>
      <c r="R163" t="str">
        <f ca="1">""&amp;IFERROR(VLOOKUP(O163,EMAILS!B:E,4,FALSE),"NO T FOUND IN EMAILS")</f>
        <v/>
      </c>
    </row>
    <row r="164" spans="2:18" x14ac:dyDescent="0.25">
      <c r="B164" s="5" t="s">
        <v>166</v>
      </c>
      <c r="C164" s="5" t="s">
        <v>4306</v>
      </c>
      <c r="D164" s="5">
        <v>20</v>
      </c>
      <c r="E164" s="5">
        <v>23</v>
      </c>
      <c r="F164" s="5">
        <v>30</v>
      </c>
      <c r="G164" s="5">
        <v>22</v>
      </c>
      <c r="H164" s="5">
        <v>20</v>
      </c>
      <c r="I164" s="5">
        <v>16</v>
      </c>
      <c r="J164" s="5">
        <v>16</v>
      </c>
      <c r="K164" s="5">
        <v>15</v>
      </c>
      <c r="L164" s="5">
        <v>16</v>
      </c>
      <c r="M164" s="5">
        <v>0</v>
      </c>
      <c r="N164" s="5">
        <v>280</v>
      </c>
      <c r="O164" s="5" t="str">
        <f t="shared" ca="1" si="2"/>
        <v>Supplier 52</v>
      </c>
      <c r="P164" s="20" t="str">
        <f ca="1">IFERROR(VLOOKUP(O164,EMAILS!B:C,2,FALSE),"NOT FOUND IN EMAILS")</f>
        <v>supplier@gmail.com</v>
      </c>
      <c r="Q164" t="str">
        <f ca="1">""&amp;IFERROR(VLOOKUP(O164,EMAILS!B:D,3,FALSE),"NOT FOUND IN EMAILS")</f>
        <v/>
      </c>
      <c r="R164" t="str">
        <f ca="1">""&amp;IFERROR(VLOOKUP(O164,EMAILS!B:E,4,FALSE),"NO T FOUND IN EMAILS")</f>
        <v/>
      </c>
    </row>
    <row r="165" spans="2:18" x14ac:dyDescent="0.25">
      <c r="B165" s="5" t="s">
        <v>167</v>
      </c>
      <c r="C165" s="5" t="s">
        <v>4307</v>
      </c>
      <c r="D165" s="5">
        <v>0</v>
      </c>
      <c r="E165" s="5">
        <v>0</v>
      </c>
      <c r="F165" s="5">
        <v>0</v>
      </c>
      <c r="G165" s="5">
        <v>0</v>
      </c>
      <c r="H165" s="5">
        <v>0</v>
      </c>
      <c r="I165" s="5">
        <v>0</v>
      </c>
      <c r="J165" s="5">
        <v>0</v>
      </c>
      <c r="K165" s="5">
        <v>0</v>
      </c>
      <c r="L165" s="5">
        <v>0</v>
      </c>
      <c r="M165" s="5">
        <v>0</v>
      </c>
      <c r="N165" s="5">
        <v>0</v>
      </c>
      <c r="O165" s="5" t="str">
        <f t="shared" ca="1" si="2"/>
        <v>Supplier 166</v>
      </c>
      <c r="P165" s="20" t="str">
        <f ca="1">IFERROR(VLOOKUP(O165,EMAILS!B:C,2,FALSE),"NOT FOUND IN EMAILS")</f>
        <v>supplier@gmail.com</v>
      </c>
      <c r="Q165" t="str">
        <f ca="1">""&amp;IFERROR(VLOOKUP(O165,EMAILS!B:D,3,FALSE),"NOT FOUND IN EMAILS")</f>
        <v/>
      </c>
      <c r="R165" t="str">
        <f ca="1">""&amp;IFERROR(VLOOKUP(O165,EMAILS!B:E,4,FALSE),"NO T FOUND IN EMAILS")</f>
        <v/>
      </c>
    </row>
    <row r="166" spans="2:18" x14ac:dyDescent="0.25">
      <c r="B166" s="5" t="s">
        <v>168</v>
      </c>
      <c r="C166" s="5" t="s">
        <v>4308</v>
      </c>
      <c r="D166" s="5">
        <v>0</v>
      </c>
      <c r="E166" s="5">
        <v>0</v>
      </c>
      <c r="F166" s="5">
        <v>0</v>
      </c>
      <c r="G166" s="5">
        <v>0</v>
      </c>
      <c r="H166" s="5">
        <v>0</v>
      </c>
      <c r="I166" s="5">
        <v>0</v>
      </c>
      <c r="J166" s="5">
        <v>0</v>
      </c>
      <c r="K166" s="5">
        <v>0</v>
      </c>
      <c r="L166" s="5">
        <v>0</v>
      </c>
      <c r="M166" s="5">
        <v>0</v>
      </c>
      <c r="N166" s="5">
        <v>75</v>
      </c>
      <c r="O166" s="5" t="str">
        <f t="shared" ca="1" si="2"/>
        <v>Supplier 135</v>
      </c>
      <c r="P166" s="20" t="str">
        <f ca="1">IFERROR(VLOOKUP(O166,EMAILS!B:C,2,FALSE),"NOT FOUND IN EMAILS")</f>
        <v>supplier@gmail.com</v>
      </c>
      <c r="Q166" t="str">
        <f ca="1">""&amp;IFERROR(VLOOKUP(O166,EMAILS!B:D,3,FALSE),"NOT FOUND IN EMAILS")</f>
        <v/>
      </c>
      <c r="R166" t="str">
        <f ca="1">""&amp;IFERROR(VLOOKUP(O166,EMAILS!B:E,4,FALSE),"NO T FOUND IN EMAILS")</f>
        <v/>
      </c>
    </row>
    <row r="167" spans="2:18" x14ac:dyDescent="0.25">
      <c r="B167" s="5" t="s">
        <v>169</v>
      </c>
      <c r="C167" s="5" t="s">
        <v>4309</v>
      </c>
      <c r="D167" s="5">
        <v>0</v>
      </c>
      <c r="E167" s="5">
        <v>0</v>
      </c>
      <c r="F167" s="5">
        <v>0</v>
      </c>
      <c r="G167" s="5">
        <v>0</v>
      </c>
      <c r="H167" s="5">
        <v>0</v>
      </c>
      <c r="I167" s="5">
        <v>0</v>
      </c>
      <c r="J167" s="5">
        <v>0</v>
      </c>
      <c r="K167" s="5">
        <v>0</v>
      </c>
      <c r="L167" s="5">
        <v>0</v>
      </c>
      <c r="M167" s="5">
        <v>0</v>
      </c>
      <c r="N167" s="5">
        <v>10</v>
      </c>
      <c r="O167" s="5" t="str">
        <f t="shared" ca="1" si="2"/>
        <v>Supplier 48</v>
      </c>
      <c r="P167" s="20" t="str">
        <f ca="1">IFERROR(VLOOKUP(O167,EMAILS!B:C,2,FALSE),"NOT FOUND IN EMAILS")</f>
        <v>supplier@gmail.com</v>
      </c>
      <c r="Q167" t="str">
        <f ca="1">""&amp;IFERROR(VLOOKUP(O167,EMAILS!B:D,3,FALSE),"NOT FOUND IN EMAILS")</f>
        <v/>
      </c>
      <c r="R167" t="str">
        <f ca="1">""&amp;IFERROR(VLOOKUP(O167,EMAILS!B:E,4,FALSE),"NO T FOUND IN EMAILS")</f>
        <v/>
      </c>
    </row>
    <row r="168" spans="2:18" x14ac:dyDescent="0.25">
      <c r="B168" s="5" t="s">
        <v>170</v>
      </c>
      <c r="C168" s="5" t="s">
        <v>4310</v>
      </c>
      <c r="D168" s="5">
        <v>0</v>
      </c>
      <c r="E168" s="5">
        <v>0</v>
      </c>
      <c r="F168" s="5">
        <v>0</v>
      </c>
      <c r="G168" s="5">
        <v>0</v>
      </c>
      <c r="H168" s="5">
        <v>0</v>
      </c>
      <c r="I168" s="5">
        <v>0</v>
      </c>
      <c r="J168" s="5">
        <v>0</v>
      </c>
      <c r="K168" s="5">
        <v>0</v>
      </c>
      <c r="L168" s="5">
        <v>0</v>
      </c>
      <c r="M168" s="5">
        <v>0</v>
      </c>
      <c r="N168" s="5">
        <v>50</v>
      </c>
      <c r="O168" s="5" t="str">
        <f t="shared" ca="1" si="2"/>
        <v>Supplier 108</v>
      </c>
      <c r="P168" s="20" t="str">
        <f ca="1">IFERROR(VLOOKUP(O168,EMAILS!B:C,2,FALSE),"NOT FOUND IN EMAILS")</f>
        <v>supplier@gmail.com</v>
      </c>
      <c r="Q168" t="str">
        <f ca="1">""&amp;IFERROR(VLOOKUP(O168,EMAILS!B:D,3,FALSE),"NOT FOUND IN EMAILS")</f>
        <v/>
      </c>
      <c r="R168" t="str">
        <f ca="1">""&amp;IFERROR(VLOOKUP(O168,EMAILS!B:E,4,FALSE),"NO T FOUND IN EMAILS")</f>
        <v/>
      </c>
    </row>
    <row r="169" spans="2:18" x14ac:dyDescent="0.25">
      <c r="B169" s="5" t="s">
        <v>171</v>
      </c>
      <c r="C169" s="5" t="s">
        <v>4311</v>
      </c>
      <c r="D169" s="5">
        <v>0</v>
      </c>
      <c r="E169" s="5">
        <v>0</v>
      </c>
      <c r="F169" s="5">
        <v>0</v>
      </c>
      <c r="G169" s="5">
        <v>0</v>
      </c>
      <c r="H169" s="5">
        <v>0</v>
      </c>
      <c r="I169" s="5">
        <v>0</v>
      </c>
      <c r="J169" s="5">
        <v>0</v>
      </c>
      <c r="K169" s="5">
        <v>0</v>
      </c>
      <c r="L169" s="5">
        <v>0</v>
      </c>
      <c r="M169" s="5">
        <v>0</v>
      </c>
      <c r="N169" s="5">
        <v>92</v>
      </c>
      <c r="O169" s="5" t="str">
        <f t="shared" ca="1" si="2"/>
        <v>Supplier 77</v>
      </c>
      <c r="P169" s="20" t="str">
        <f ca="1">IFERROR(VLOOKUP(O169,EMAILS!B:C,2,FALSE),"NOT FOUND IN EMAILS")</f>
        <v>supplier@gmail.com</v>
      </c>
      <c r="Q169" t="str">
        <f ca="1">""&amp;IFERROR(VLOOKUP(O169,EMAILS!B:D,3,FALSE),"NOT FOUND IN EMAILS")</f>
        <v/>
      </c>
      <c r="R169" t="str">
        <f ca="1">""&amp;IFERROR(VLOOKUP(O169,EMAILS!B:E,4,FALSE),"NO T FOUND IN EMAILS")</f>
        <v/>
      </c>
    </row>
    <row r="170" spans="2:18" x14ac:dyDescent="0.25">
      <c r="B170" s="5" t="s">
        <v>172</v>
      </c>
      <c r="C170" s="5" t="s">
        <v>4312</v>
      </c>
      <c r="D170" s="5">
        <v>0</v>
      </c>
      <c r="E170" s="5">
        <v>0</v>
      </c>
      <c r="F170" s="5">
        <v>0</v>
      </c>
      <c r="G170" s="5">
        <v>0</v>
      </c>
      <c r="H170" s="5">
        <v>0</v>
      </c>
      <c r="I170" s="5">
        <v>0</v>
      </c>
      <c r="J170" s="5">
        <v>0</v>
      </c>
      <c r="K170" s="5">
        <v>0</v>
      </c>
      <c r="L170" s="5">
        <v>0</v>
      </c>
      <c r="M170" s="5">
        <v>0</v>
      </c>
      <c r="N170" s="5">
        <v>116</v>
      </c>
      <c r="O170" s="5" t="str">
        <f t="shared" ca="1" si="2"/>
        <v>Supplier 181</v>
      </c>
      <c r="P170" s="20" t="str">
        <f ca="1">IFERROR(VLOOKUP(O170,EMAILS!B:C,2,FALSE),"NOT FOUND IN EMAILS")</f>
        <v>supplier@gmail.com</v>
      </c>
      <c r="Q170" t="str">
        <f ca="1">""&amp;IFERROR(VLOOKUP(O170,EMAILS!B:D,3,FALSE),"NOT FOUND IN EMAILS")</f>
        <v/>
      </c>
      <c r="R170" t="str">
        <f ca="1">""&amp;IFERROR(VLOOKUP(O170,EMAILS!B:E,4,FALSE),"NO T FOUND IN EMAILS")</f>
        <v/>
      </c>
    </row>
    <row r="171" spans="2:18" x14ac:dyDescent="0.25">
      <c r="B171" s="5" t="s">
        <v>173</v>
      </c>
      <c r="C171" s="5" t="s">
        <v>4313</v>
      </c>
      <c r="D171" s="5">
        <v>0</v>
      </c>
      <c r="E171" s="5">
        <v>0</v>
      </c>
      <c r="F171" s="5">
        <v>0</v>
      </c>
      <c r="G171" s="5">
        <v>0</v>
      </c>
      <c r="H171" s="5">
        <v>0</v>
      </c>
      <c r="I171" s="5">
        <v>0</v>
      </c>
      <c r="J171" s="5">
        <v>0</v>
      </c>
      <c r="K171" s="5">
        <v>0</v>
      </c>
      <c r="L171" s="5">
        <v>0</v>
      </c>
      <c r="M171" s="5">
        <v>0</v>
      </c>
      <c r="N171" s="5">
        <v>0</v>
      </c>
      <c r="O171" s="5" t="str">
        <f t="shared" ca="1" si="2"/>
        <v>Supplier 116</v>
      </c>
      <c r="P171" s="20" t="str">
        <f ca="1">IFERROR(VLOOKUP(O171,EMAILS!B:C,2,FALSE),"NOT FOUND IN EMAILS")</f>
        <v>supplier@gmail.com</v>
      </c>
      <c r="Q171" t="str">
        <f ca="1">""&amp;IFERROR(VLOOKUP(O171,EMAILS!B:D,3,FALSE),"NOT FOUND IN EMAILS")</f>
        <v/>
      </c>
      <c r="R171" t="str">
        <f ca="1">""&amp;IFERROR(VLOOKUP(O171,EMAILS!B:E,4,FALSE),"NO T FOUND IN EMAILS")</f>
        <v/>
      </c>
    </row>
    <row r="172" spans="2:18" x14ac:dyDescent="0.25">
      <c r="B172" s="5" t="s">
        <v>174</v>
      </c>
      <c r="C172" s="5" t="s">
        <v>4314</v>
      </c>
      <c r="D172" s="5">
        <v>0</v>
      </c>
      <c r="E172" s="5">
        <v>0</v>
      </c>
      <c r="F172" s="5">
        <v>0</v>
      </c>
      <c r="G172" s="5">
        <v>0</v>
      </c>
      <c r="H172" s="5">
        <v>0</v>
      </c>
      <c r="I172" s="5">
        <v>0</v>
      </c>
      <c r="J172" s="5">
        <v>0</v>
      </c>
      <c r="K172" s="5">
        <v>0</v>
      </c>
      <c r="L172" s="5">
        <v>0</v>
      </c>
      <c r="M172" s="5">
        <v>0</v>
      </c>
      <c r="N172" s="5">
        <v>478</v>
      </c>
      <c r="O172" s="5" t="str">
        <f t="shared" ca="1" si="2"/>
        <v>Supplier 77</v>
      </c>
      <c r="P172" s="20" t="str">
        <f ca="1">IFERROR(VLOOKUP(O172,EMAILS!B:C,2,FALSE),"NOT FOUND IN EMAILS")</f>
        <v>supplier@gmail.com</v>
      </c>
      <c r="Q172" t="str">
        <f ca="1">""&amp;IFERROR(VLOOKUP(O172,EMAILS!B:D,3,FALSE),"NOT FOUND IN EMAILS")</f>
        <v/>
      </c>
      <c r="R172" t="str">
        <f ca="1">""&amp;IFERROR(VLOOKUP(O172,EMAILS!B:E,4,FALSE),"NO T FOUND IN EMAILS")</f>
        <v/>
      </c>
    </row>
    <row r="173" spans="2:18" x14ac:dyDescent="0.25">
      <c r="B173" s="5" t="s">
        <v>175</v>
      </c>
      <c r="C173" s="5" t="s">
        <v>4315</v>
      </c>
      <c r="D173" s="5">
        <v>0</v>
      </c>
      <c r="E173" s="5">
        <v>0</v>
      </c>
      <c r="F173" s="5">
        <v>0</v>
      </c>
      <c r="G173" s="5">
        <v>0</v>
      </c>
      <c r="H173" s="5">
        <v>0</v>
      </c>
      <c r="I173" s="5">
        <v>0</v>
      </c>
      <c r="J173" s="5">
        <v>0</v>
      </c>
      <c r="K173" s="5">
        <v>0</v>
      </c>
      <c r="L173" s="5">
        <v>0</v>
      </c>
      <c r="M173" s="5">
        <v>0</v>
      </c>
      <c r="N173" s="5">
        <v>202</v>
      </c>
      <c r="O173" s="5" t="str">
        <f t="shared" ca="1" si="2"/>
        <v>Supplier 196</v>
      </c>
      <c r="P173" s="20" t="str">
        <f ca="1">IFERROR(VLOOKUP(O173,EMAILS!B:C,2,FALSE),"NOT FOUND IN EMAILS")</f>
        <v>supplier@gmail.com</v>
      </c>
      <c r="Q173" t="str">
        <f ca="1">""&amp;IFERROR(VLOOKUP(O173,EMAILS!B:D,3,FALSE),"NOT FOUND IN EMAILS")</f>
        <v/>
      </c>
      <c r="R173" t="str">
        <f ca="1">""&amp;IFERROR(VLOOKUP(O173,EMAILS!B:E,4,FALSE),"NO T FOUND IN EMAILS")</f>
        <v/>
      </c>
    </row>
    <row r="174" spans="2:18" x14ac:dyDescent="0.25">
      <c r="B174" s="5" t="s">
        <v>176</v>
      </c>
      <c r="C174" s="5" t="s">
        <v>4316</v>
      </c>
      <c r="D174" s="5">
        <v>0</v>
      </c>
      <c r="E174" s="5">
        <v>0</v>
      </c>
      <c r="F174" s="5">
        <v>0</v>
      </c>
      <c r="G174" s="5">
        <v>0</v>
      </c>
      <c r="H174" s="5">
        <v>0</v>
      </c>
      <c r="I174" s="5">
        <v>0</v>
      </c>
      <c r="J174" s="5">
        <v>0</v>
      </c>
      <c r="K174" s="5">
        <v>0</v>
      </c>
      <c r="L174" s="5">
        <v>0</v>
      </c>
      <c r="M174" s="5">
        <v>0</v>
      </c>
      <c r="N174" s="5">
        <v>13</v>
      </c>
      <c r="O174" s="5" t="str">
        <f t="shared" ca="1" si="2"/>
        <v>Supplier 49</v>
      </c>
      <c r="P174" s="20" t="str">
        <f ca="1">IFERROR(VLOOKUP(O174,EMAILS!B:C,2,FALSE),"NOT FOUND IN EMAILS")</f>
        <v>supplier@gmail.com</v>
      </c>
      <c r="Q174" t="str">
        <f ca="1">""&amp;IFERROR(VLOOKUP(O174,EMAILS!B:D,3,FALSE),"NOT FOUND IN EMAILS")</f>
        <v/>
      </c>
      <c r="R174" t="str">
        <f ca="1">""&amp;IFERROR(VLOOKUP(O174,EMAILS!B:E,4,FALSE),"NO T FOUND IN EMAILS")</f>
        <v/>
      </c>
    </row>
    <row r="175" spans="2:18" x14ac:dyDescent="0.25">
      <c r="B175" s="5" t="s">
        <v>177</v>
      </c>
      <c r="C175" s="5" t="s">
        <v>4317</v>
      </c>
      <c r="D175" s="5">
        <v>0</v>
      </c>
      <c r="E175" s="5">
        <v>0</v>
      </c>
      <c r="F175" s="5">
        <v>0</v>
      </c>
      <c r="G175" s="5">
        <v>0</v>
      </c>
      <c r="H175" s="5">
        <v>0</v>
      </c>
      <c r="I175" s="5">
        <v>0</v>
      </c>
      <c r="J175" s="5">
        <v>0</v>
      </c>
      <c r="K175" s="5">
        <v>0</v>
      </c>
      <c r="L175" s="5">
        <v>0</v>
      </c>
      <c r="M175" s="5">
        <v>0</v>
      </c>
      <c r="N175" s="5">
        <v>225</v>
      </c>
      <c r="O175" s="5" t="str">
        <f t="shared" ca="1" si="2"/>
        <v>Supplier 41</v>
      </c>
      <c r="P175" s="20" t="str">
        <f ca="1">IFERROR(VLOOKUP(O175,EMAILS!B:C,2,FALSE),"NOT FOUND IN EMAILS")</f>
        <v>supplier@gmail.com</v>
      </c>
      <c r="Q175" t="str">
        <f ca="1">""&amp;IFERROR(VLOOKUP(O175,EMAILS!B:D,3,FALSE),"NOT FOUND IN EMAILS")</f>
        <v/>
      </c>
      <c r="R175" t="str">
        <f ca="1">""&amp;IFERROR(VLOOKUP(O175,EMAILS!B:E,4,FALSE),"NO T FOUND IN EMAILS")</f>
        <v/>
      </c>
    </row>
    <row r="176" spans="2:18" x14ac:dyDescent="0.25">
      <c r="B176" s="5" t="s">
        <v>178</v>
      </c>
      <c r="C176" s="5" t="s">
        <v>4318</v>
      </c>
      <c r="D176" s="5">
        <v>0</v>
      </c>
      <c r="E176" s="5">
        <v>0</v>
      </c>
      <c r="F176" s="5">
        <v>0</v>
      </c>
      <c r="G176" s="5">
        <v>0</v>
      </c>
      <c r="H176" s="5">
        <v>0</v>
      </c>
      <c r="I176" s="5">
        <v>0</v>
      </c>
      <c r="J176" s="5">
        <v>0</v>
      </c>
      <c r="K176" s="5">
        <v>0</v>
      </c>
      <c r="L176" s="5">
        <v>0</v>
      </c>
      <c r="M176" s="5">
        <v>0</v>
      </c>
      <c r="N176" s="5">
        <v>174</v>
      </c>
      <c r="O176" s="5" t="str">
        <f t="shared" ca="1" si="2"/>
        <v>Supplier 82</v>
      </c>
      <c r="P176" s="20" t="str">
        <f ca="1">IFERROR(VLOOKUP(O176,EMAILS!B:C,2,FALSE),"NOT FOUND IN EMAILS")</f>
        <v>supplier@gmail.com</v>
      </c>
      <c r="Q176" t="str">
        <f ca="1">""&amp;IFERROR(VLOOKUP(O176,EMAILS!B:D,3,FALSE),"NOT FOUND IN EMAILS")</f>
        <v/>
      </c>
      <c r="R176" t="str">
        <f ca="1">""&amp;IFERROR(VLOOKUP(O176,EMAILS!B:E,4,FALSE),"NO T FOUND IN EMAILS")</f>
        <v/>
      </c>
    </row>
    <row r="177" spans="2:18" x14ac:dyDescent="0.25">
      <c r="B177" s="5" t="s">
        <v>179</v>
      </c>
      <c r="C177" s="5" t="s">
        <v>4319</v>
      </c>
      <c r="D177" s="5">
        <v>0</v>
      </c>
      <c r="E177" s="5">
        <v>0</v>
      </c>
      <c r="F177" s="5">
        <v>0</v>
      </c>
      <c r="G177" s="5">
        <v>0</v>
      </c>
      <c r="H177" s="5">
        <v>0</v>
      </c>
      <c r="I177" s="5">
        <v>0</v>
      </c>
      <c r="J177" s="5">
        <v>0</v>
      </c>
      <c r="K177" s="5">
        <v>0</v>
      </c>
      <c r="L177" s="5">
        <v>0</v>
      </c>
      <c r="M177" s="5">
        <v>0</v>
      </c>
      <c r="N177" s="5">
        <v>163</v>
      </c>
      <c r="O177" s="5" t="str">
        <f t="shared" ca="1" si="2"/>
        <v>Supplier 102</v>
      </c>
      <c r="P177" s="20" t="str">
        <f ca="1">IFERROR(VLOOKUP(O177,EMAILS!B:C,2,FALSE),"NOT FOUND IN EMAILS")</f>
        <v>supplier@gmail.com</v>
      </c>
      <c r="Q177" t="str">
        <f ca="1">""&amp;IFERROR(VLOOKUP(O177,EMAILS!B:D,3,FALSE),"NOT FOUND IN EMAILS")</f>
        <v/>
      </c>
      <c r="R177" t="str">
        <f ca="1">""&amp;IFERROR(VLOOKUP(O177,EMAILS!B:E,4,FALSE),"NO T FOUND IN EMAILS")</f>
        <v/>
      </c>
    </row>
    <row r="178" spans="2:18" x14ac:dyDescent="0.25">
      <c r="B178" s="5" t="s">
        <v>180</v>
      </c>
      <c r="C178" s="5" t="s">
        <v>4320</v>
      </c>
      <c r="D178" s="5">
        <v>0</v>
      </c>
      <c r="E178" s="5">
        <v>0</v>
      </c>
      <c r="F178" s="5">
        <v>0</v>
      </c>
      <c r="G178" s="5">
        <v>0</v>
      </c>
      <c r="H178" s="5">
        <v>0</v>
      </c>
      <c r="I178" s="5">
        <v>0</v>
      </c>
      <c r="J178" s="5">
        <v>0</v>
      </c>
      <c r="K178" s="5">
        <v>0</v>
      </c>
      <c r="L178" s="5">
        <v>0</v>
      </c>
      <c r="M178" s="5">
        <v>0</v>
      </c>
      <c r="N178" s="5">
        <v>35</v>
      </c>
      <c r="O178" s="5" t="str">
        <f t="shared" ca="1" si="2"/>
        <v>Supplier 40</v>
      </c>
      <c r="P178" s="20" t="str">
        <f ca="1">IFERROR(VLOOKUP(O178,EMAILS!B:C,2,FALSE),"NOT FOUND IN EMAILS")</f>
        <v>supplier@gmail.com</v>
      </c>
      <c r="Q178" t="str">
        <f ca="1">""&amp;IFERROR(VLOOKUP(O178,EMAILS!B:D,3,FALSE),"NOT FOUND IN EMAILS")</f>
        <v/>
      </c>
      <c r="R178" t="str">
        <f ca="1">""&amp;IFERROR(VLOOKUP(O178,EMAILS!B:E,4,FALSE),"NO T FOUND IN EMAILS")</f>
        <v/>
      </c>
    </row>
    <row r="179" spans="2:18" x14ac:dyDescent="0.25">
      <c r="B179" s="5" t="s">
        <v>181</v>
      </c>
      <c r="C179" s="5" t="s">
        <v>4321</v>
      </c>
      <c r="D179" s="5">
        <v>0</v>
      </c>
      <c r="E179" s="5">
        <v>0</v>
      </c>
      <c r="F179" s="5">
        <v>0</v>
      </c>
      <c r="G179" s="5">
        <v>0</v>
      </c>
      <c r="H179" s="5">
        <v>0</v>
      </c>
      <c r="I179" s="5">
        <v>0</v>
      </c>
      <c r="J179" s="5">
        <v>0</v>
      </c>
      <c r="K179" s="5">
        <v>0</v>
      </c>
      <c r="L179" s="5">
        <v>0</v>
      </c>
      <c r="M179" s="5">
        <v>0</v>
      </c>
      <c r="N179" s="5">
        <v>521</v>
      </c>
      <c r="O179" s="5" t="str">
        <f t="shared" ca="1" si="2"/>
        <v>Supplier 192</v>
      </c>
      <c r="P179" s="20" t="str">
        <f ca="1">IFERROR(VLOOKUP(O179,EMAILS!B:C,2,FALSE),"NOT FOUND IN EMAILS")</f>
        <v>supplier@gmail.com</v>
      </c>
      <c r="Q179" t="str">
        <f ca="1">""&amp;IFERROR(VLOOKUP(O179,EMAILS!B:D,3,FALSE),"NOT FOUND IN EMAILS")</f>
        <v/>
      </c>
      <c r="R179" t="str">
        <f ca="1">""&amp;IFERROR(VLOOKUP(O179,EMAILS!B:E,4,FALSE),"NO T FOUND IN EMAILS")</f>
        <v/>
      </c>
    </row>
    <row r="180" spans="2:18" x14ac:dyDescent="0.25">
      <c r="B180" s="5" t="s">
        <v>182</v>
      </c>
      <c r="C180" s="5" t="s">
        <v>4322</v>
      </c>
      <c r="D180" s="5">
        <v>0</v>
      </c>
      <c r="E180" s="5">
        <v>0</v>
      </c>
      <c r="F180" s="5">
        <v>0</v>
      </c>
      <c r="G180" s="5">
        <v>0</v>
      </c>
      <c r="H180" s="5">
        <v>0</v>
      </c>
      <c r="I180" s="5">
        <v>0</v>
      </c>
      <c r="J180" s="5">
        <v>0</v>
      </c>
      <c r="K180" s="5">
        <v>0</v>
      </c>
      <c r="L180" s="5">
        <v>0</v>
      </c>
      <c r="M180" s="5">
        <v>0</v>
      </c>
      <c r="N180" s="5">
        <v>106</v>
      </c>
      <c r="O180" s="5" t="str">
        <f t="shared" ca="1" si="2"/>
        <v>Supplier 114</v>
      </c>
      <c r="P180" s="20" t="str">
        <f ca="1">IFERROR(VLOOKUP(O180,EMAILS!B:C,2,FALSE),"NOT FOUND IN EMAILS")</f>
        <v>supplier@gmail.com</v>
      </c>
      <c r="Q180" t="str">
        <f ca="1">""&amp;IFERROR(VLOOKUP(O180,EMAILS!B:D,3,FALSE),"NOT FOUND IN EMAILS")</f>
        <v/>
      </c>
      <c r="R180" t="str">
        <f ca="1">""&amp;IFERROR(VLOOKUP(O180,EMAILS!B:E,4,FALSE),"NO T FOUND IN EMAILS")</f>
        <v/>
      </c>
    </row>
    <row r="181" spans="2:18" x14ac:dyDescent="0.25">
      <c r="B181" s="5" t="s">
        <v>183</v>
      </c>
      <c r="C181" s="5" t="s">
        <v>4323</v>
      </c>
      <c r="D181" s="5">
        <v>0</v>
      </c>
      <c r="E181" s="5">
        <v>0</v>
      </c>
      <c r="F181" s="5">
        <v>0</v>
      </c>
      <c r="G181" s="5">
        <v>8</v>
      </c>
      <c r="H181" s="5">
        <v>8</v>
      </c>
      <c r="I181" s="5">
        <v>8</v>
      </c>
      <c r="J181" s="5">
        <v>4</v>
      </c>
      <c r="K181" s="5">
        <v>8</v>
      </c>
      <c r="L181" s="5">
        <v>6</v>
      </c>
      <c r="M181" s="5">
        <v>0</v>
      </c>
      <c r="N181" s="5">
        <v>18</v>
      </c>
      <c r="O181" s="5" t="str">
        <f t="shared" ca="1" si="2"/>
        <v>Supplier 141</v>
      </c>
      <c r="P181" s="20" t="str">
        <f ca="1">IFERROR(VLOOKUP(O181,EMAILS!B:C,2,FALSE),"NOT FOUND IN EMAILS")</f>
        <v>supplier@gmail.com</v>
      </c>
      <c r="Q181" t="str">
        <f ca="1">""&amp;IFERROR(VLOOKUP(O181,EMAILS!B:D,3,FALSE),"NOT FOUND IN EMAILS")</f>
        <v/>
      </c>
      <c r="R181" t="str">
        <f ca="1">""&amp;IFERROR(VLOOKUP(O181,EMAILS!B:E,4,FALSE),"NO T FOUND IN EMAILS")</f>
        <v/>
      </c>
    </row>
    <row r="182" spans="2:18" x14ac:dyDescent="0.25">
      <c r="B182" s="5" t="s">
        <v>184</v>
      </c>
      <c r="C182" s="5" t="s">
        <v>4324</v>
      </c>
      <c r="D182" s="5">
        <v>0</v>
      </c>
      <c r="E182" s="5">
        <v>0</v>
      </c>
      <c r="F182" s="5">
        <v>0</v>
      </c>
      <c r="G182" s="5">
        <v>12</v>
      </c>
      <c r="H182" s="5">
        <v>12</v>
      </c>
      <c r="I182" s="5">
        <v>12</v>
      </c>
      <c r="J182" s="5">
        <v>6</v>
      </c>
      <c r="K182" s="5">
        <v>12</v>
      </c>
      <c r="L182" s="5">
        <v>9</v>
      </c>
      <c r="M182" s="5">
        <v>0</v>
      </c>
      <c r="N182" s="5">
        <v>78</v>
      </c>
      <c r="O182" s="5" t="str">
        <f t="shared" ca="1" si="2"/>
        <v>Supplier 25</v>
      </c>
      <c r="P182" s="20" t="str">
        <f ca="1">IFERROR(VLOOKUP(O182,EMAILS!B:C,2,FALSE),"NOT FOUND IN EMAILS")</f>
        <v>supplier@gmail.com</v>
      </c>
      <c r="Q182" t="str">
        <f ca="1">""&amp;IFERROR(VLOOKUP(O182,EMAILS!B:D,3,FALSE),"NOT FOUND IN EMAILS")</f>
        <v/>
      </c>
      <c r="R182" t="str">
        <f ca="1">""&amp;IFERROR(VLOOKUP(O182,EMAILS!B:E,4,FALSE),"NO T FOUND IN EMAILS")</f>
        <v/>
      </c>
    </row>
    <row r="183" spans="2:18" x14ac:dyDescent="0.25">
      <c r="B183" s="5" t="s">
        <v>185</v>
      </c>
      <c r="C183" s="5" t="s">
        <v>4325</v>
      </c>
      <c r="D183" s="5">
        <v>0</v>
      </c>
      <c r="E183" s="5">
        <v>0</v>
      </c>
      <c r="F183" s="5">
        <v>0</v>
      </c>
      <c r="G183" s="5">
        <v>4</v>
      </c>
      <c r="H183" s="5">
        <v>4</v>
      </c>
      <c r="I183" s="5">
        <v>4</v>
      </c>
      <c r="J183" s="5">
        <v>0</v>
      </c>
      <c r="K183" s="5">
        <v>4</v>
      </c>
      <c r="L183" s="5">
        <v>4</v>
      </c>
      <c r="M183" s="5">
        <v>0</v>
      </c>
      <c r="N183" s="5">
        <v>219</v>
      </c>
      <c r="O183" s="5" t="str">
        <f t="shared" ca="1" si="2"/>
        <v>Supplier 133</v>
      </c>
      <c r="P183" s="20" t="str">
        <f ca="1">IFERROR(VLOOKUP(O183,EMAILS!B:C,2,FALSE),"NOT FOUND IN EMAILS")</f>
        <v>supplier@gmail.com</v>
      </c>
      <c r="Q183" t="str">
        <f ca="1">""&amp;IFERROR(VLOOKUP(O183,EMAILS!B:D,3,FALSE),"NOT FOUND IN EMAILS")</f>
        <v/>
      </c>
      <c r="R183" t="str">
        <f ca="1">""&amp;IFERROR(VLOOKUP(O183,EMAILS!B:E,4,FALSE),"NO T FOUND IN EMAILS")</f>
        <v/>
      </c>
    </row>
    <row r="184" spans="2:18" x14ac:dyDescent="0.25">
      <c r="B184" s="5" t="s">
        <v>186</v>
      </c>
      <c r="C184" s="5" t="s">
        <v>4326</v>
      </c>
      <c r="D184" s="5">
        <v>45</v>
      </c>
      <c r="E184" s="5">
        <v>27</v>
      </c>
      <c r="F184" s="5">
        <v>61</v>
      </c>
      <c r="G184" s="5">
        <v>65</v>
      </c>
      <c r="H184" s="5">
        <v>69</v>
      </c>
      <c r="I184" s="5">
        <v>59</v>
      </c>
      <c r="J184" s="5">
        <v>41</v>
      </c>
      <c r="K184" s="5">
        <v>39</v>
      </c>
      <c r="L184" s="5">
        <v>37</v>
      </c>
      <c r="M184" s="5">
        <v>0</v>
      </c>
      <c r="N184" s="5">
        <v>28</v>
      </c>
      <c r="O184" s="5" t="str">
        <f t="shared" ca="1" si="2"/>
        <v>Supplier 158</v>
      </c>
      <c r="P184" s="20" t="str">
        <f ca="1">IFERROR(VLOOKUP(O184,EMAILS!B:C,2,FALSE),"NOT FOUND IN EMAILS")</f>
        <v>supplier@gmail.com</v>
      </c>
      <c r="Q184" t="str">
        <f ca="1">""&amp;IFERROR(VLOOKUP(O184,EMAILS!B:D,3,FALSE),"NOT FOUND IN EMAILS")</f>
        <v/>
      </c>
      <c r="R184" t="str">
        <f ca="1">""&amp;IFERROR(VLOOKUP(O184,EMAILS!B:E,4,FALSE),"NO T FOUND IN EMAILS")</f>
        <v/>
      </c>
    </row>
    <row r="185" spans="2:18" x14ac:dyDescent="0.25">
      <c r="B185" s="5" t="s">
        <v>187</v>
      </c>
      <c r="C185" s="5" t="s">
        <v>4327</v>
      </c>
      <c r="D185" s="5">
        <v>12</v>
      </c>
      <c r="E185" s="5">
        <v>0</v>
      </c>
      <c r="F185" s="5">
        <v>10</v>
      </c>
      <c r="G185" s="5">
        <v>8</v>
      </c>
      <c r="H185" s="5">
        <v>10</v>
      </c>
      <c r="I185" s="5">
        <v>6</v>
      </c>
      <c r="J185" s="5">
        <v>8</v>
      </c>
      <c r="K185" s="5">
        <v>4</v>
      </c>
      <c r="L185" s="5">
        <v>4</v>
      </c>
      <c r="M185" s="5">
        <v>0</v>
      </c>
      <c r="N185" s="5">
        <v>110</v>
      </c>
      <c r="O185" s="5" t="str">
        <f t="shared" ca="1" si="2"/>
        <v>Supplier 16</v>
      </c>
      <c r="P185" s="20" t="str">
        <f ca="1">IFERROR(VLOOKUP(O185,EMAILS!B:C,2,FALSE),"NOT FOUND IN EMAILS")</f>
        <v>supplier@gmail.com</v>
      </c>
      <c r="Q185" t="str">
        <f ca="1">""&amp;IFERROR(VLOOKUP(O185,EMAILS!B:D,3,FALSE),"NOT FOUND IN EMAILS")</f>
        <v>supplier_logistics@gmail.com</v>
      </c>
      <c r="R185" t="str">
        <f ca="1">""&amp;IFERROR(VLOOKUP(O185,EMAILS!B:E,4,FALSE),"NO T FOUND IN EMAILS")</f>
        <v/>
      </c>
    </row>
    <row r="186" spans="2:18" x14ac:dyDescent="0.25">
      <c r="B186" s="5" t="s">
        <v>188</v>
      </c>
      <c r="C186" s="5" t="s">
        <v>4328</v>
      </c>
      <c r="D186" s="5">
        <v>24</v>
      </c>
      <c r="E186" s="5">
        <v>0</v>
      </c>
      <c r="F186" s="5">
        <v>20</v>
      </c>
      <c r="G186" s="5">
        <v>16</v>
      </c>
      <c r="H186" s="5">
        <v>20</v>
      </c>
      <c r="I186" s="5">
        <v>12</v>
      </c>
      <c r="J186" s="5">
        <v>16</v>
      </c>
      <c r="K186" s="5">
        <v>8</v>
      </c>
      <c r="L186" s="5">
        <v>8</v>
      </c>
      <c r="M186" s="5">
        <v>0</v>
      </c>
      <c r="N186" s="5">
        <v>0</v>
      </c>
      <c r="O186" s="5" t="str">
        <f t="shared" ca="1" si="2"/>
        <v>Supplier 177</v>
      </c>
      <c r="P186" s="20" t="str">
        <f ca="1">IFERROR(VLOOKUP(O186,EMAILS!B:C,2,FALSE),"NOT FOUND IN EMAILS")</f>
        <v>supplier@gmail.com</v>
      </c>
      <c r="Q186" t="str">
        <f ca="1">""&amp;IFERROR(VLOOKUP(O186,EMAILS!B:D,3,FALSE),"NOT FOUND IN EMAILS")</f>
        <v/>
      </c>
      <c r="R186" t="str">
        <f ca="1">""&amp;IFERROR(VLOOKUP(O186,EMAILS!B:E,4,FALSE),"NO T FOUND IN EMAILS")</f>
        <v/>
      </c>
    </row>
    <row r="187" spans="2:18" x14ac:dyDescent="0.25">
      <c r="B187" s="5" t="s">
        <v>189</v>
      </c>
      <c r="C187" s="5" t="s">
        <v>4329</v>
      </c>
      <c r="D187" s="5">
        <v>0</v>
      </c>
      <c r="E187" s="5">
        <v>0</v>
      </c>
      <c r="F187" s="5">
        <v>0</v>
      </c>
      <c r="G187" s="5">
        <v>0</v>
      </c>
      <c r="H187" s="5">
        <v>0</v>
      </c>
      <c r="I187" s="5">
        <v>0</v>
      </c>
      <c r="J187" s="5">
        <v>0</v>
      </c>
      <c r="K187" s="5">
        <v>0</v>
      </c>
      <c r="L187" s="5">
        <v>0</v>
      </c>
      <c r="M187" s="5">
        <v>0</v>
      </c>
      <c r="N187" s="5">
        <v>0</v>
      </c>
      <c r="O187" s="5" t="str">
        <f t="shared" ca="1" si="2"/>
        <v>Supplier 50</v>
      </c>
      <c r="P187" s="20" t="str">
        <f ca="1">IFERROR(VLOOKUP(O187,EMAILS!B:C,2,FALSE),"NOT FOUND IN EMAILS")</f>
        <v>supplier@gmail.com</v>
      </c>
      <c r="Q187" t="str">
        <f ca="1">""&amp;IFERROR(VLOOKUP(O187,EMAILS!B:D,3,FALSE),"NOT FOUND IN EMAILS")</f>
        <v/>
      </c>
      <c r="R187" t="str">
        <f ca="1">""&amp;IFERROR(VLOOKUP(O187,EMAILS!B:E,4,FALSE),"NO T FOUND IN EMAILS")</f>
        <v/>
      </c>
    </row>
    <row r="188" spans="2:18" x14ac:dyDescent="0.25">
      <c r="B188" s="5" t="s">
        <v>190</v>
      </c>
      <c r="C188" s="5" t="s">
        <v>4330</v>
      </c>
      <c r="D188" s="5">
        <v>0</v>
      </c>
      <c r="E188" s="5">
        <v>0</v>
      </c>
      <c r="F188" s="5">
        <v>0</v>
      </c>
      <c r="G188" s="5">
        <v>0</v>
      </c>
      <c r="H188" s="5">
        <v>0</v>
      </c>
      <c r="I188" s="5">
        <v>0</v>
      </c>
      <c r="J188" s="5">
        <v>0</v>
      </c>
      <c r="K188" s="5">
        <v>0</v>
      </c>
      <c r="L188" s="5">
        <v>0</v>
      </c>
      <c r="M188" s="5">
        <v>0</v>
      </c>
      <c r="N188" s="5">
        <v>145</v>
      </c>
      <c r="O188" s="5" t="str">
        <f t="shared" ca="1" si="2"/>
        <v>Supplier 22</v>
      </c>
      <c r="P188" s="20" t="str">
        <f ca="1">IFERROR(VLOOKUP(O188,EMAILS!B:C,2,FALSE),"NOT FOUND IN EMAILS")</f>
        <v>supplier@gmail.com</v>
      </c>
      <c r="Q188" t="str">
        <f ca="1">""&amp;IFERROR(VLOOKUP(O188,EMAILS!B:D,3,FALSE),"NOT FOUND IN EMAILS")</f>
        <v/>
      </c>
      <c r="R188" t="str">
        <f ca="1">""&amp;IFERROR(VLOOKUP(O188,EMAILS!B:E,4,FALSE),"NO T FOUND IN EMAILS")</f>
        <v/>
      </c>
    </row>
    <row r="189" spans="2:18" x14ac:dyDescent="0.25">
      <c r="B189" s="5" t="s">
        <v>191</v>
      </c>
      <c r="C189" s="5" t="s">
        <v>4331</v>
      </c>
      <c r="D189" s="5">
        <v>12</v>
      </c>
      <c r="E189" s="5">
        <v>0</v>
      </c>
      <c r="F189" s="5">
        <v>10</v>
      </c>
      <c r="G189" s="5">
        <v>8</v>
      </c>
      <c r="H189" s="5">
        <v>10</v>
      </c>
      <c r="I189" s="5">
        <v>6</v>
      </c>
      <c r="J189" s="5">
        <v>8</v>
      </c>
      <c r="K189" s="5">
        <v>4</v>
      </c>
      <c r="L189" s="5">
        <v>4</v>
      </c>
      <c r="M189" s="5">
        <v>0</v>
      </c>
      <c r="N189" s="5">
        <v>170</v>
      </c>
      <c r="O189" s="5" t="str">
        <f t="shared" ca="1" si="2"/>
        <v>Supplier 163</v>
      </c>
      <c r="P189" s="20" t="str">
        <f ca="1">IFERROR(VLOOKUP(O189,EMAILS!B:C,2,FALSE),"NOT FOUND IN EMAILS")</f>
        <v>supplier@gmail.com</v>
      </c>
      <c r="Q189" t="str">
        <f ca="1">""&amp;IFERROR(VLOOKUP(O189,EMAILS!B:D,3,FALSE),"NOT FOUND IN EMAILS")</f>
        <v/>
      </c>
      <c r="R189" t="str">
        <f ca="1">""&amp;IFERROR(VLOOKUP(O189,EMAILS!B:E,4,FALSE),"NO T FOUND IN EMAILS")</f>
        <v/>
      </c>
    </row>
    <row r="190" spans="2:18" x14ac:dyDescent="0.25">
      <c r="B190" s="5" t="s">
        <v>192</v>
      </c>
      <c r="C190" s="5" t="s">
        <v>4332</v>
      </c>
      <c r="D190" s="5">
        <v>14</v>
      </c>
      <c r="E190" s="5">
        <v>18</v>
      </c>
      <c r="F190" s="5">
        <v>24</v>
      </c>
      <c r="G190" s="5">
        <v>20</v>
      </c>
      <c r="H190" s="5">
        <v>20</v>
      </c>
      <c r="I190" s="5">
        <v>18</v>
      </c>
      <c r="J190" s="5">
        <v>14</v>
      </c>
      <c r="K190" s="5">
        <v>8</v>
      </c>
      <c r="L190" s="5">
        <v>8</v>
      </c>
      <c r="M190" s="5">
        <v>0</v>
      </c>
      <c r="N190" s="5">
        <v>143</v>
      </c>
      <c r="O190" s="5" t="str">
        <f t="shared" ca="1" si="2"/>
        <v>Supplier 89</v>
      </c>
      <c r="P190" s="20" t="str">
        <f ca="1">IFERROR(VLOOKUP(O190,EMAILS!B:C,2,FALSE),"NOT FOUND IN EMAILS")</f>
        <v>supplier@gmail.com</v>
      </c>
      <c r="Q190" t="str">
        <f ca="1">""&amp;IFERROR(VLOOKUP(O190,EMAILS!B:D,3,FALSE),"NOT FOUND IN EMAILS")</f>
        <v/>
      </c>
      <c r="R190" t="str">
        <f ca="1">""&amp;IFERROR(VLOOKUP(O190,EMAILS!B:E,4,FALSE),"NO T FOUND IN EMAILS")</f>
        <v/>
      </c>
    </row>
    <row r="191" spans="2:18" x14ac:dyDescent="0.25">
      <c r="B191" s="5" t="s">
        <v>193</v>
      </c>
      <c r="C191" s="5" t="s">
        <v>4333</v>
      </c>
      <c r="D191" s="5">
        <v>14</v>
      </c>
      <c r="E191" s="5">
        <v>18</v>
      </c>
      <c r="F191" s="5">
        <v>24</v>
      </c>
      <c r="G191" s="5">
        <v>20</v>
      </c>
      <c r="H191" s="5">
        <v>20</v>
      </c>
      <c r="I191" s="5">
        <v>18</v>
      </c>
      <c r="J191" s="5">
        <v>14</v>
      </c>
      <c r="K191" s="5">
        <v>8</v>
      </c>
      <c r="L191" s="5">
        <v>8</v>
      </c>
      <c r="M191" s="5">
        <v>0</v>
      </c>
      <c r="N191" s="5">
        <v>205</v>
      </c>
      <c r="O191" s="5" t="str">
        <f t="shared" ca="1" si="2"/>
        <v>Supplier 66</v>
      </c>
      <c r="P191" s="20" t="str">
        <f ca="1">IFERROR(VLOOKUP(O191,EMAILS!B:C,2,FALSE),"NOT FOUND IN EMAILS")</f>
        <v>supplier@gmail.com</v>
      </c>
      <c r="Q191" t="str">
        <f ca="1">""&amp;IFERROR(VLOOKUP(O191,EMAILS!B:D,3,FALSE),"NOT FOUND IN EMAILS")</f>
        <v/>
      </c>
      <c r="R191" t="str">
        <f ca="1">""&amp;IFERROR(VLOOKUP(O191,EMAILS!B:E,4,FALSE),"NO T FOUND IN EMAILS")</f>
        <v/>
      </c>
    </row>
    <row r="192" spans="2:18" x14ac:dyDescent="0.25">
      <c r="B192" s="5" t="s">
        <v>194</v>
      </c>
      <c r="C192" s="5" t="s">
        <v>4334</v>
      </c>
      <c r="D192" s="5">
        <v>21</v>
      </c>
      <c r="E192" s="5">
        <v>27</v>
      </c>
      <c r="F192" s="5">
        <v>36</v>
      </c>
      <c r="G192" s="5">
        <v>30</v>
      </c>
      <c r="H192" s="5">
        <v>30</v>
      </c>
      <c r="I192" s="5">
        <v>27</v>
      </c>
      <c r="J192" s="5">
        <v>21</v>
      </c>
      <c r="K192" s="5">
        <v>12</v>
      </c>
      <c r="L192" s="5">
        <v>12</v>
      </c>
      <c r="M192" s="5">
        <v>0</v>
      </c>
      <c r="N192" s="5">
        <v>54</v>
      </c>
      <c r="O192" s="5" t="str">
        <f t="shared" ca="1" si="2"/>
        <v>Supplier 100</v>
      </c>
      <c r="P192" s="20" t="str">
        <f ca="1">IFERROR(VLOOKUP(O192,EMAILS!B:C,2,FALSE),"NOT FOUND IN EMAILS")</f>
        <v>supplier@gmail.com</v>
      </c>
      <c r="Q192" t="str">
        <f ca="1">""&amp;IFERROR(VLOOKUP(O192,EMAILS!B:D,3,FALSE),"NOT FOUND IN EMAILS")</f>
        <v/>
      </c>
      <c r="R192" t="str">
        <f ca="1">""&amp;IFERROR(VLOOKUP(O192,EMAILS!B:E,4,FALSE),"NO T FOUND IN EMAILS")</f>
        <v/>
      </c>
    </row>
    <row r="193" spans="2:18" x14ac:dyDescent="0.25">
      <c r="B193" s="5" t="s">
        <v>195</v>
      </c>
      <c r="C193" s="5" t="s">
        <v>4335</v>
      </c>
      <c r="D193" s="5">
        <v>7</v>
      </c>
      <c r="E193" s="5">
        <v>9</v>
      </c>
      <c r="F193" s="5">
        <v>12</v>
      </c>
      <c r="G193" s="5">
        <v>10</v>
      </c>
      <c r="H193" s="5">
        <v>10</v>
      </c>
      <c r="I193" s="5">
        <v>9</v>
      </c>
      <c r="J193" s="5">
        <v>7</v>
      </c>
      <c r="K193" s="5">
        <v>4</v>
      </c>
      <c r="L193" s="5">
        <v>4</v>
      </c>
      <c r="M193" s="5">
        <v>0</v>
      </c>
      <c r="N193" s="5">
        <v>115</v>
      </c>
      <c r="O193" s="5" t="str">
        <f t="shared" ca="1" si="2"/>
        <v>Supplier 92</v>
      </c>
      <c r="P193" s="20" t="str">
        <f ca="1">IFERROR(VLOOKUP(O193,EMAILS!B:C,2,FALSE),"NOT FOUND IN EMAILS")</f>
        <v>supplier@gmail.com</v>
      </c>
      <c r="Q193" t="str">
        <f ca="1">""&amp;IFERROR(VLOOKUP(O193,EMAILS!B:D,3,FALSE),"NOT FOUND IN EMAILS")</f>
        <v/>
      </c>
      <c r="R193" t="str">
        <f ca="1">""&amp;IFERROR(VLOOKUP(O193,EMAILS!B:E,4,FALSE),"NO T FOUND IN EMAILS")</f>
        <v/>
      </c>
    </row>
    <row r="194" spans="2:18" x14ac:dyDescent="0.25">
      <c r="B194" s="5" t="s">
        <v>196</v>
      </c>
      <c r="C194" s="5" t="s">
        <v>4336</v>
      </c>
      <c r="D194" s="5">
        <v>7</v>
      </c>
      <c r="E194" s="5">
        <v>9</v>
      </c>
      <c r="F194" s="5">
        <v>12</v>
      </c>
      <c r="G194" s="5">
        <v>10</v>
      </c>
      <c r="H194" s="5">
        <v>10</v>
      </c>
      <c r="I194" s="5">
        <v>9</v>
      </c>
      <c r="J194" s="5">
        <v>7</v>
      </c>
      <c r="K194" s="5">
        <v>4</v>
      </c>
      <c r="L194" s="5">
        <v>4</v>
      </c>
      <c r="M194" s="5">
        <v>0</v>
      </c>
      <c r="N194" s="5">
        <v>69</v>
      </c>
      <c r="O194" s="5" t="str">
        <f t="shared" ca="1" si="2"/>
        <v>Supplier 19</v>
      </c>
      <c r="P194" s="20" t="str">
        <f ca="1">IFERROR(VLOOKUP(O194,EMAILS!B:C,2,FALSE),"NOT FOUND IN EMAILS")</f>
        <v>supplier@gmail.com</v>
      </c>
      <c r="Q194" t="str">
        <f ca="1">""&amp;IFERROR(VLOOKUP(O194,EMAILS!B:D,3,FALSE),"NOT FOUND IN EMAILS")</f>
        <v>supplier_logistics@gmail.com</v>
      </c>
      <c r="R194" t="str">
        <f ca="1">""&amp;IFERROR(VLOOKUP(O194,EMAILS!B:E,4,FALSE),"NO T FOUND IN EMAILS")</f>
        <v/>
      </c>
    </row>
    <row r="195" spans="2:18" x14ac:dyDescent="0.25">
      <c r="B195" s="5" t="s">
        <v>197</v>
      </c>
      <c r="C195" s="5" t="s">
        <v>4337</v>
      </c>
      <c r="D195" s="5">
        <v>7</v>
      </c>
      <c r="E195" s="5">
        <v>9</v>
      </c>
      <c r="F195" s="5">
        <v>12</v>
      </c>
      <c r="G195" s="5">
        <v>10</v>
      </c>
      <c r="H195" s="5">
        <v>10</v>
      </c>
      <c r="I195" s="5">
        <v>9</v>
      </c>
      <c r="J195" s="5">
        <v>7</v>
      </c>
      <c r="K195" s="5">
        <v>4</v>
      </c>
      <c r="L195" s="5">
        <v>4</v>
      </c>
      <c r="M195" s="5">
        <v>0</v>
      </c>
      <c r="N195" s="5">
        <v>67</v>
      </c>
      <c r="O195" s="5" t="str">
        <f t="shared" ref="O195:O258" ca="1" si="3">"Supplier "&amp;RANDBETWEEN(1,200)</f>
        <v>Supplier 144</v>
      </c>
      <c r="P195" s="20" t="str">
        <f ca="1">IFERROR(VLOOKUP(O195,EMAILS!B:C,2,FALSE),"NOT FOUND IN EMAILS")</f>
        <v>supplier@gmail.com</v>
      </c>
      <c r="Q195" t="str">
        <f ca="1">""&amp;IFERROR(VLOOKUP(O195,EMAILS!B:D,3,FALSE),"NOT FOUND IN EMAILS")</f>
        <v/>
      </c>
      <c r="R195" t="str">
        <f ca="1">""&amp;IFERROR(VLOOKUP(O195,EMAILS!B:E,4,FALSE),"NO T FOUND IN EMAILS")</f>
        <v/>
      </c>
    </row>
    <row r="196" spans="2:18" x14ac:dyDescent="0.25">
      <c r="B196" s="5" t="s">
        <v>198</v>
      </c>
      <c r="C196" s="5" t="s">
        <v>4338</v>
      </c>
      <c r="D196" s="5">
        <v>7</v>
      </c>
      <c r="E196" s="5">
        <v>9</v>
      </c>
      <c r="F196" s="5">
        <v>12</v>
      </c>
      <c r="G196" s="5">
        <v>10</v>
      </c>
      <c r="H196" s="5">
        <v>10</v>
      </c>
      <c r="I196" s="5">
        <v>9</v>
      </c>
      <c r="J196" s="5">
        <v>7</v>
      </c>
      <c r="K196" s="5">
        <v>4</v>
      </c>
      <c r="L196" s="5">
        <v>4</v>
      </c>
      <c r="M196" s="5">
        <v>0</v>
      </c>
      <c r="N196" s="5">
        <v>56</v>
      </c>
      <c r="O196" s="5" t="str">
        <f t="shared" ca="1" si="3"/>
        <v>Supplier 2</v>
      </c>
      <c r="P196" s="20" t="str">
        <f ca="1">IFERROR(VLOOKUP(O196,EMAILS!B:C,2,FALSE),"NOT FOUND IN EMAILS")</f>
        <v>supplier@gmail.com</v>
      </c>
      <c r="Q196" t="str">
        <f ca="1">""&amp;IFERROR(VLOOKUP(O196,EMAILS!B:D,3,FALSE),"NOT FOUND IN EMAILS")</f>
        <v>supplier_logistics@gmail.com</v>
      </c>
      <c r="R196" t="str">
        <f ca="1">""&amp;IFERROR(VLOOKUP(O196,EMAILS!B:E,4,FALSE),"NO T FOUND IN EMAILS")</f>
        <v/>
      </c>
    </row>
    <row r="197" spans="2:18" x14ac:dyDescent="0.25">
      <c r="B197" s="5" t="s">
        <v>199</v>
      </c>
      <c r="C197" s="5" t="s">
        <v>4339</v>
      </c>
      <c r="D197" s="5">
        <v>19</v>
      </c>
      <c r="E197" s="5">
        <v>9</v>
      </c>
      <c r="F197" s="5">
        <v>22</v>
      </c>
      <c r="G197" s="5">
        <v>18</v>
      </c>
      <c r="H197" s="5">
        <v>20</v>
      </c>
      <c r="I197" s="5">
        <v>15</v>
      </c>
      <c r="J197" s="5">
        <v>15</v>
      </c>
      <c r="K197" s="5">
        <v>8</v>
      </c>
      <c r="L197" s="5">
        <v>8</v>
      </c>
      <c r="M197" s="5">
        <v>0</v>
      </c>
      <c r="N197" s="5">
        <v>260</v>
      </c>
      <c r="O197" s="5" t="str">
        <f t="shared" ca="1" si="3"/>
        <v>Supplier 66</v>
      </c>
      <c r="P197" s="20" t="str">
        <f ca="1">IFERROR(VLOOKUP(O197,EMAILS!B:C,2,FALSE),"NOT FOUND IN EMAILS")</f>
        <v>supplier@gmail.com</v>
      </c>
      <c r="Q197" t="str">
        <f ca="1">""&amp;IFERROR(VLOOKUP(O197,EMAILS!B:D,3,FALSE),"NOT FOUND IN EMAILS")</f>
        <v/>
      </c>
      <c r="R197" t="str">
        <f ca="1">""&amp;IFERROR(VLOOKUP(O197,EMAILS!B:E,4,FALSE),"NO T FOUND IN EMAILS")</f>
        <v/>
      </c>
    </row>
    <row r="198" spans="2:18" x14ac:dyDescent="0.25">
      <c r="B198" s="5" t="s">
        <v>200</v>
      </c>
      <c r="C198" s="5" t="s">
        <v>4340</v>
      </c>
      <c r="D198" s="5">
        <v>28</v>
      </c>
      <c r="E198" s="5">
        <v>36</v>
      </c>
      <c r="F198" s="5">
        <v>48</v>
      </c>
      <c r="G198" s="5">
        <v>40</v>
      </c>
      <c r="H198" s="5">
        <v>40</v>
      </c>
      <c r="I198" s="5">
        <v>36</v>
      </c>
      <c r="J198" s="5">
        <v>28</v>
      </c>
      <c r="K198" s="5">
        <v>16</v>
      </c>
      <c r="L198" s="5">
        <v>16</v>
      </c>
      <c r="M198" s="5">
        <v>0</v>
      </c>
      <c r="N198" s="5">
        <v>56</v>
      </c>
      <c r="O198" s="5" t="str">
        <f t="shared" ca="1" si="3"/>
        <v>Supplier 190</v>
      </c>
      <c r="P198" s="20" t="str">
        <f ca="1">IFERROR(VLOOKUP(O198,EMAILS!B:C,2,FALSE),"NOT FOUND IN EMAILS")</f>
        <v>supplier@gmail.com</v>
      </c>
      <c r="Q198" t="str">
        <f ca="1">""&amp;IFERROR(VLOOKUP(O198,EMAILS!B:D,3,FALSE),"NOT FOUND IN EMAILS")</f>
        <v/>
      </c>
      <c r="R198" t="str">
        <f ca="1">""&amp;IFERROR(VLOOKUP(O198,EMAILS!B:E,4,FALSE),"NO T FOUND IN EMAILS")</f>
        <v/>
      </c>
    </row>
    <row r="199" spans="2:18" x14ac:dyDescent="0.25">
      <c r="B199" s="5" t="s">
        <v>201</v>
      </c>
      <c r="C199" s="5" t="s">
        <v>4341</v>
      </c>
      <c r="D199" s="5">
        <v>35</v>
      </c>
      <c r="E199" s="5">
        <v>45</v>
      </c>
      <c r="F199" s="5">
        <v>60</v>
      </c>
      <c r="G199" s="5">
        <v>50</v>
      </c>
      <c r="H199" s="5">
        <v>50</v>
      </c>
      <c r="I199" s="5">
        <v>45</v>
      </c>
      <c r="J199" s="5">
        <v>35</v>
      </c>
      <c r="K199" s="5">
        <v>20</v>
      </c>
      <c r="L199" s="5">
        <v>20</v>
      </c>
      <c r="M199" s="5">
        <v>0</v>
      </c>
      <c r="N199" s="5">
        <v>109</v>
      </c>
      <c r="O199" s="5" t="str">
        <f t="shared" ca="1" si="3"/>
        <v>Supplier 185</v>
      </c>
      <c r="P199" s="20" t="str">
        <f ca="1">IFERROR(VLOOKUP(O199,EMAILS!B:C,2,FALSE),"NOT FOUND IN EMAILS")</f>
        <v>supplier@gmail.com</v>
      </c>
      <c r="Q199" t="str">
        <f ca="1">""&amp;IFERROR(VLOOKUP(O199,EMAILS!B:D,3,FALSE),"NOT FOUND IN EMAILS")</f>
        <v/>
      </c>
      <c r="R199" t="str">
        <f ca="1">""&amp;IFERROR(VLOOKUP(O199,EMAILS!B:E,4,FALSE),"NO T FOUND IN EMAILS")</f>
        <v/>
      </c>
    </row>
    <row r="200" spans="2:18" x14ac:dyDescent="0.25">
      <c r="B200" s="5" t="s">
        <v>202</v>
      </c>
      <c r="C200" s="5" t="s">
        <v>4342</v>
      </c>
      <c r="D200" s="5">
        <v>7</v>
      </c>
      <c r="E200" s="5">
        <v>9</v>
      </c>
      <c r="F200" s="5">
        <v>12</v>
      </c>
      <c r="G200" s="5">
        <v>10</v>
      </c>
      <c r="H200" s="5">
        <v>10</v>
      </c>
      <c r="I200" s="5">
        <v>9</v>
      </c>
      <c r="J200" s="5">
        <v>7</v>
      </c>
      <c r="K200" s="5">
        <v>4</v>
      </c>
      <c r="L200" s="5">
        <v>4</v>
      </c>
      <c r="M200" s="5">
        <v>0</v>
      </c>
      <c r="N200" s="5">
        <v>15</v>
      </c>
      <c r="O200" s="5" t="str">
        <f t="shared" ca="1" si="3"/>
        <v>Supplier 1</v>
      </c>
      <c r="P200" s="20" t="str">
        <f ca="1">IFERROR(VLOOKUP(O200,EMAILS!B:C,2,FALSE),"NOT FOUND IN EMAILS")</f>
        <v>supplier@gmail.com</v>
      </c>
      <c r="Q200" t="str">
        <f ca="1">""&amp;IFERROR(VLOOKUP(O200,EMAILS!B:D,3,FALSE),"NOT FOUND IN EMAILS")</f>
        <v>supplier_logistics@gmail.com</v>
      </c>
      <c r="R200" t="str">
        <f ca="1">""&amp;IFERROR(VLOOKUP(O200,EMAILS!B:E,4,FALSE),"NO T FOUND IN EMAILS")</f>
        <v/>
      </c>
    </row>
    <row r="201" spans="2:18" x14ac:dyDescent="0.25">
      <c r="B201" s="5" t="s">
        <v>203</v>
      </c>
      <c r="C201" s="5" t="s">
        <v>4343</v>
      </c>
      <c r="D201" s="5">
        <v>7</v>
      </c>
      <c r="E201" s="5">
        <v>0</v>
      </c>
      <c r="F201" s="5">
        <v>11</v>
      </c>
      <c r="G201" s="5">
        <v>6</v>
      </c>
      <c r="H201" s="5">
        <v>6</v>
      </c>
      <c r="I201" s="5">
        <v>6</v>
      </c>
      <c r="J201" s="5">
        <v>6</v>
      </c>
      <c r="K201" s="5">
        <v>4</v>
      </c>
      <c r="L201" s="5">
        <v>4</v>
      </c>
      <c r="M201" s="5">
        <v>0</v>
      </c>
      <c r="N201" s="5">
        <v>72</v>
      </c>
      <c r="O201" s="5" t="str">
        <f t="shared" ca="1" si="3"/>
        <v>Supplier 146</v>
      </c>
      <c r="P201" s="20" t="str">
        <f ca="1">IFERROR(VLOOKUP(O201,EMAILS!B:C,2,FALSE),"NOT FOUND IN EMAILS")</f>
        <v>supplier@gmail.com</v>
      </c>
      <c r="Q201" t="str">
        <f ca="1">""&amp;IFERROR(VLOOKUP(O201,EMAILS!B:D,3,FALSE),"NOT FOUND IN EMAILS")</f>
        <v/>
      </c>
      <c r="R201" t="str">
        <f ca="1">""&amp;IFERROR(VLOOKUP(O201,EMAILS!B:E,4,FALSE),"NO T FOUND IN EMAILS")</f>
        <v/>
      </c>
    </row>
    <row r="202" spans="2:18" x14ac:dyDescent="0.25">
      <c r="B202" s="5" t="s">
        <v>204</v>
      </c>
      <c r="C202" s="5" t="s">
        <v>4344</v>
      </c>
      <c r="D202" s="5">
        <v>7</v>
      </c>
      <c r="E202" s="5">
        <v>9</v>
      </c>
      <c r="F202" s="5">
        <v>12</v>
      </c>
      <c r="G202" s="5">
        <v>10</v>
      </c>
      <c r="H202" s="5">
        <v>10</v>
      </c>
      <c r="I202" s="5">
        <v>9</v>
      </c>
      <c r="J202" s="5">
        <v>7</v>
      </c>
      <c r="K202" s="5">
        <v>4</v>
      </c>
      <c r="L202" s="5">
        <v>4</v>
      </c>
      <c r="M202" s="5">
        <v>0</v>
      </c>
      <c r="N202" s="5">
        <v>74</v>
      </c>
      <c r="O202" s="5" t="str">
        <f t="shared" ca="1" si="3"/>
        <v>Supplier 101</v>
      </c>
      <c r="P202" s="20" t="str">
        <f ca="1">IFERROR(VLOOKUP(O202,EMAILS!B:C,2,FALSE),"NOT FOUND IN EMAILS")</f>
        <v>supplier@gmail.com</v>
      </c>
      <c r="Q202" t="str">
        <f ca="1">""&amp;IFERROR(VLOOKUP(O202,EMAILS!B:D,3,FALSE),"NOT FOUND IN EMAILS")</f>
        <v/>
      </c>
      <c r="R202" t="str">
        <f ca="1">""&amp;IFERROR(VLOOKUP(O202,EMAILS!B:E,4,FALSE),"NO T FOUND IN EMAILS")</f>
        <v/>
      </c>
    </row>
    <row r="203" spans="2:18" x14ac:dyDescent="0.25">
      <c r="B203" s="5" t="s">
        <v>205</v>
      </c>
      <c r="C203" s="5" t="s">
        <v>4345</v>
      </c>
      <c r="D203" s="5">
        <v>7</v>
      </c>
      <c r="E203" s="5">
        <v>9</v>
      </c>
      <c r="F203" s="5">
        <v>12</v>
      </c>
      <c r="G203" s="5">
        <v>10</v>
      </c>
      <c r="H203" s="5">
        <v>10</v>
      </c>
      <c r="I203" s="5">
        <v>9</v>
      </c>
      <c r="J203" s="5">
        <v>7</v>
      </c>
      <c r="K203" s="5">
        <v>4</v>
      </c>
      <c r="L203" s="5">
        <v>4</v>
      </c>
      <c r="M203" s="5">
        <v>0</v>
      </c>
      <c r="N203" s="5">
        <v>76</v>
      </c>
      <c r="O203" s="5" t="str">
        <f t="shared" ca="1" si="3"/>
        <v>Supplier 189</v>
      </c>
      <c r="P203" s="20" t="str">
        <f ca="1">IFERROR(VLOOKUP(O203,EMAILS!B:C,2,FALSE),"NOT FOUND IN EMAILS")</f>
        <v>supplier@gmail.com</v>
      </c>
      <c r="Q203" t="str">
        <f ca="1">""&amp;IFERROR(VLOOKUP(O203,EMAILS!B:D,3,FALSE),"NOT FOUND IN EMAILS")</f>
        <v/>
      </c>
      <c r="R203" t="str">
        <f ca="1">""&amp;IFERROR(VLOOKUP(O203,EMAILS!B:E,4,FALSE),"NO T FOUND IN EMAILS")</f>
        <v/>
      </c>
    </row>
    <row r="204" spans="2:18" x14ac:dyDescent="0.25">
      <c r="B204" s="5" t="s">
        <v>206</v>
      </c>
      <c r="C204" s="5" t="s">
        <v>4346</v>
      </c>
      <c r="D204" s="5">
        <v>7</v>
      </c>
      <c r="E204" s="5">
        <v>9</v>
      </c>
      <c r="F204" s="5">
        <v>12</v>
      </c>
      <c r="G204" s="5">
        <v>10</v>
      </c>
      <c r="H204" s="5">
        <v>10</v>
      </c>
      <c r="I204" s="5">
        <v>9</v>
      </c>
      <c r="J204" s="5">
        <v>7</v>
      </c>
      <c r="K204" s="5">
        <v>4</v>
      </c>
      <c r="L204" s="5">
        <v>4</v>
      </c>
      <c r="M204" s="5">
        <v>0</v>
      </c>
      <c r="N204" s="5">
        <v>262</v>
      </c>
      <c r="O204" s="5" t="str">
        <f t="shared" ca="1" si="3"/>
        <v>Supplier 65</v>
      </c>
      <c r="P204" s="20" t="str">
        <f ca="1">IFERROR(VLOOKUP(O204,EMAILS!B:C,2,FALSE),"NOT FOUND IN EMAILS")</f>
        <v>supplier@gmail.com</v>
      </c>
      <c r="Q204" t="str">
        <f ca="1">""&amp;IFERROR(VLOOKUP(O204,EMAILS!B:D,3,FALSE),"NOT FOUND IN EMAILS")</f>
        <v/>
      </c>
      <c r="R204" t="str">
        <f ca="1">""&amp;IFERROR(VLOOKUP(O204,EMAILS!B:E,4,FALSE),"NO T FOUND IN EMAILS")</f>
        <v/>
      </c>
    </row>
    <row r="205" spans="2:18" x14ac:dyDescent="0.25">
      <c r="B205" s="5" t="s">
        <v>207</v>
      </c>
      <c r="C205" s="5" t="s">
        <v>4347</v>
      </c>
      <c r="D205" s="5">
        <v>12</v>
      </c>
      <c r="E205" s="5">
        <v>0</v>
      </c>
      <c r="F205" s="5">
        <v>10</v>
      </c>
      <c r="G205" s="5">
        <v>8</v>
      </c>
      <c r="H205" s="5">
        <v>10</v>
      </c>
      <c r="I205" s="5">
        <v>6</v>
      </c>
      <c r="J205" s="5">
        <v>8</v>
      </c>
      <c r="K205" s="5">
        <v>4</v>
      </c>
      <c r="L205" s="5">
        <v>4</v>
      </c>
      <c r="M205" s="5">
        <v>0</v>
      </c>
      <c r="N205" s="5">
        <v>122</v>
      </c>
      <c r="O205" s="5" t="str">
        <f t="shared" ca="1" si="3"/>
        <v>Supplier 70</v>
      </c>
      <c r="P205" s="20" t="str">
        <f ca="1">IFERROR(VLOOKUP(O205,EMAILS!B:C,2,FALSE),"NOT FOUND IN EMAILS")</f>
        <v>supplier@gmail.com</v>
      </c>
      <c r="Q205" t="str">
        <f ca="1">""&amp;IFERROR(VLOOKUP(O205,EMAILS!B:D,3,FALSE),"NOT FOUND IN EMAILS")</f>
        <v/>
      </c>
      <c r="R205" t="str">
        <f ca="1">""&amp;IFERROR(VLOOKUP(O205,EMAILS!B:E,4,FALSE),"NO T FOUND IN EMAILS")</f>
        <v/>
      </c>
    </row>
    <row r="206" spans="2:18" x14ac:dyDescent="0.25">
      <c r="B206" s="5" t="s">
        <v>208</v>
      </c>
      <c r="C206" s="5" t="s">
        <v>4348</v>
      </c>
      <c r="D206" s="5">
        <v>12</v>
      </c>
      <c r="E206" s="5">
        <v>0</v>
      </c>
      <c r="F206" s="5">
        <v>10</v>
      </c>
      <c r="G206" s="5">
        <v>8</v>
      </c>
      <c r="H206" s="5">
        <v>10</v>
      </c>
      <c r="I206" s="5">
        <v>6</v>
      </c>
      <c r="J206" s="5">
        <v>8</v>
      </c>
      <c r="K206" s="5">
        <v>4</v>
      </c>
      <c r="L206" s="5">
        <v>4</v>
      </c>
      <c r="M206" s="5">
        <v>0</v>
      </c>
      <c r="N206" s="5">
        <v>145</v>
      </c>
      <c r="O206" s="5" t="str">
        <f t="shared" ca="1" si="3"/>
        <v>Supplier 2</v>
      </c>
      <c r="P206" s="20" t="str">
        <f ca="1">IFERROR(VLOOKUP(O206,EMAILS!B:C,2,FALSE),"NOT FOUND IN EMAILS")</f>
        <v>supplier@gmail.com</v>
      </c>
      <c r="Q206" t="str">
        <f ca="1">""&amp;IFERROR(VLOOKUP(O206,EMAILS!B:D,3,FALSE),"NOT FOUND IN EMAILS")</f>
        <v>supplier_logistics@gmail.com</v>
      </c>
      <c r="R206" t="str">
        <f ca="1">""&amp;IFERROR(VLOOKUP(O206,EMAILS!B:E,4,FALSE),"NO T FOUND IN EMAILS")</f>
        <v/>
      </c>
    </row>
    <row r="207" spans="2:18" x14ac:dyDescent="0.25">
      <c r="B207" s="5" t="s">
        <v>209</v>
      </c>
      <c r="C207" s="5" t="s">
        <v>4349</v>
      </c>
      <c r="D207" s="5">
        <v>6</v>
      </c>
      <c r="E207" s="5">
        <v>0</v>
      </c>
      <c r="F207" s="5">
        <v>5</v>
      </c>
      <c r="G207" s="5">
        <v>4</v>
      </c>
      <c r="H207" s="5">
        <v>5</v>
      </c>
      <c r="I207" s="5">
        <v>3</v>
      </c>
      <c r="J207" s="5">
        <v>4</v>
      </c>
      <c r="K207" s="5">
        <v>2</v>
      </c>
      <c r="L207" s="5">
        <v>2</v>
      </c>
      <c r="M207" s="5">
        <v>0</v>
      </c>
      <c r="N207" s="5">
        <v>62</v>
      </c>
      <c r="O207" s="5" t="str">
        <f t="shared" ca="1" si="3"/>
        <v>Supplier 70</v>
      </c>
      <c r="P207" s="20" t="str">
        <f ca="1">IFERROR(VLOOKUP(O207,EMAILS!B:C,2,FALSE),"NOT FOUND IN EMAILS")</f>
        <v>supplier@gmail.com</v>
      </c>
      <c r="Q207" t="str">
        <f ca="1">""&amp;IFERROR(VLOOKUP(O207,EMAILS!B:D,3,FALSE),"NOT FOUND IN EMAILS")</f>
        <v/>
      </c>
      <c r="R207" t="str">
        <f ca="1">""&amp;IFERROR(VLOOKUP(O207,EMAILS!B:E,4,FALSE),"NO T FOUND IN EMAILS")</f>
        <v/>
      </c>
    </row>
    <row r="208" spans="2:18" x14ac:dyDescent="0.25">
      <c r="B208" s="5" t="s">
        <v>210</v>
      </c>
      <c r="C208" s="5" t="s">
        <v>4350</v>
      </c>
      <c r="D208" s="5">
        <v>6</v>
      </c>
      <c r="E208" s="5">
        <v>0</v>
      </c>
      <c r="F208" s="5">
        <v>5</v>
      </c>
      <c r="G208" s="5">
        <v>4</v>
      </c>
      <c r="H208" s="5">
        <v>5</v>
      </c>
      <c r="I208" s="5">
        <v>3</v>
      </c>
      <c r="J208" s="5">
        <v>4</v>
      </c>
      <c r="K208" s="5">
        <v>2</v>
      </c>
      <c r="L208" s="5">
        <v>2</v>
      </c>
      <c r="M208" s="5">
        <v>0</v>
      </c>
      <c r="N208" s="5">
        <v>58</v>
      </c>
      <c r="O208" s="5" t="str">
        <f t="shared" ca="1" si="3"/>
        <v>Supplier 118</v>
      </c>
      <c r="P208" s="20" t="str">
        <f ca="1">IFERROR(VLOOKUP(O208,EMAILS!B:C,2,FALSE),"NOT FOUND IN EMAILS")</f>
        <v>supplier@gmail.com</v>
      </c>
      <c r="Q208" t="str">
        <f ca="1">""&amp;IFERROR(VLOOKUP(O208,EMAILS!B:D,3,FALSE),"NOT FOUND IN EMAILS")</f>
        <v/>
      </c>
      <c r="R208" t="str">
        <f ca="1">""&amp;IFERROR(VLOOKUP(O208,EMAILS!B:E,4,FALSE),"NO T FOUND IN EMAILS")</f>
        <v/>
      </c>
    </row>
    <row r="209" spans="2:18" x14ac:dyDescent="0.25">
      <c r="B209" s="5" t="s">
        <v>211</v>
      </c>
      <c r="C209" s="5" t="s">
        <v>4351</v>
      </c>
      <c r="D209" s="5">
        <v>12</v>
      </c>
      <c r="E209" s="5">
        <v>0</v>
      </c>
      <c r="F209" s="5">
        <v>10</v>
      </c>
      <c r="G209" s="5">
        <v>8</v>
      </c>
      <c r="H209" s="5">
        <v>10</v>
      </c>
      <c r="I209" s="5">
        <v>6</v>
      </c>
      <c r="J209" s="5">
        <v>8</v>
      </c>
      <c r="K209" s="5">
        <v>4</v>
      </c>
      <c r="L209" s="5">
        <v>4</v>
      </c>
      <c r="M209" s="5">
        <v>0</v>
      </c>
      <c r="N209" s="5">
        <v>171</v>
      </c>
      <c r="O209" s="5" t="str">
        <f t="shared" ca="1" si="3"/>
        <v>Supplier 142</v>
      </c>
      <c r="P209" s="20" t="str">
        <f ca="1">IFERROR(VLOOKUP(O209,EMAILS!B:C,2,FALSE),"NOT FOUND IN EMAILS")</f>
        <v>supplier@gmail.com</v>
      </c>
      <c r="Q209" t="str">
        <f ca="1">""&amp;IFERROR(VLOOKUP(O209,EMAILS!B:D,3,FALSE),"NOT FOUND IN EMAILS")</f>
        <v/>
      </c>
      <c r="R209" t="str">
        <f ca="1">""&amp;IFERROR(VLOOKUP(O209,EMAILS!B:E,4,FALSE),"NO T FOUND IN EMAILS")</f>
        <v/>
      </c>
    </row>
    <row r="210" spans="2:18" x14ac:dyDescent="0.25">
      <c r="B210" s="5" t="s">
        <v>212</v>
      </c>
      <c r="C210" s="5" t="s">
        <v>4352</v>
      </c>
      <c r="D210" s="5">
        <v>12</v>
      </c>
      <c r="E210" s="5">
        <v>0</v>
      </c>
      <c r="F210" s="5">
        <v>10</v>
      </c>
      <c r="G210" s="5">
        <v>8</v>
      </c>
      <c r="H210" s="5">
        <v>10</v>
      </c>
      <c r="I210" s="5">
        <v>6</v>
      </c>
      <c r="J210" s="5">
        <v>8</v>
      </c>
      <c r="K210" s="5">
        <v>4</v>
      </c>
      <c r="L210" s="5">
        <v>4</v>
      </c>
      <c r="M210" s="5">
        <v>0</v>
      </c>
      <c r="N210" s="5">
        <v>137</v>
      </c>
      <c r="O210" s="5" t="str">
        <f t="shared" ca="1" si="3"/>
        <v>Supplier 138</v>
      </c>
      <c r="P210" s="20" t="str">
        <f ca="1">IFERROR(VLOOKUP(O210,EMAILS!B:C,2,FALSE),"NOT FOUND IN EMAILS")</f>
        <v>supplier@gmail.com</v>
      </c>
      <c r="Q210" t="str">
        <f ca="1">""&amp;IFERROR(VLOOKUP(O210,EMAILS!B:D,3,FALSE),"NOT FOUND IN EMAILS")</f>
        <v/>
      </c>
      <c r="R210" t="str">
        <f ca="1">""&amp;IFERROR(VLOOKUP(O210,EMAILS!B:E,4,FALSE),"NO T FOUND IN EMAILS")</f>
        <v/>
      </c>
    </row>
    <row r="211" spans="2:18" x14ac:dyDescent="0.25">
      <c r="B211" s="5" t="s">
        <v>213</v>
      </c>
      <c r="C211" s="5" t="s">
        <v>4353</v>
      </c>
      <c r="D211" s="5">
        <v>12</v>
      </c>
      <c r="E211" s="5">
        <v>0</v>
      </c>
      <c r="F211" s="5">
        <v>10</v>
      </c>
      <c r="G211" s="5">
        <v>8</v>
      </c>
      <c r="H211" s="5">
        <v>10</v>
      </c>
      <c r="I211" s="5">
        <v>6</v>
      </c>
      <c r="J211" s="5">
        <v>8</v>
      </c>
      <c r="K211" s="5">
        <v>4</v>
      </c>
      <c r="L211" s="5">
        <v>4</v>
      </c>
      <c r="M211" s="5">
        <v>0</v>
      </c>
      <c r="N211" s="5">
        <v>27</v>
      </c>
      <c r="O211" s="5" t="str">
        <f t="shared" ca="1" si="3"/>
        <v>Supplier 173</v>
      </c>
      <c r="P211" s="20" t="str">
        <f ca="1">IFERROR(VLOOKUP(O211,EMAILS!B:C,2,FALSE),"NOT FOUND IN EMAILS")</f>
        <v>supplier@gmail.com</v>
      </c>
      <c r="Q211" t="str">
        <f ca="1">""&amp;IFERROR(VLOOKUP(O211,EMAILS!B:D,3,FALSE),"NOT FOUND IN EMAILS")</f>
        <v/>
      </c>
      <c r="R211" t="str">
        <f ca="1">""&amp;IFERROR(VLOOKUP(O211,EMAILS!B:E,4,FALSE),"NO T FOUND IN EMAILS")</f>
        <v/>
      </c>
    </row>
    <row r="212" spans="2:18" x14ac:dyDescent="0.25">
      <c r="B212" s="5" t="s">
        <v>214</v>
      </c>
      <c r="C212" s="5" t="s">
        <v>4354</v>
      </c>
      <c r="D212" s="5">
        <v>0</v>
      </c>
      <c r="E212" s="5">
        <v>9</v>
      </c>
      <c r="F212" s="5">
        <v>1</v>
      </c>
      <c r="G212" s="5">
        <v>4</v>
      </c>
      <c r="H212" s="5">
        <v>4</v>
      </c>
      <c r="I212" s="5">
        <v>3</v>
      </c>
      <c r="J212" s="5">
        <v>1</v>
      </c>
      <c r="K212" s="5">
        <v>0</v>
      </c>
      <c r="L212" s="5">
        <v>0</v>
      </c>
      <c r="M212" s="5">
        <v>0</v>
      </c>
      <c r="N212" s="5">
        <v>211</v>
      </c>
      <c r="O212" s="5" t="str">
        <f t="shared" ca="1" si="3"/>
        <v>Supplier 51</v>
      </c>
      <c r="P212" s="20" t="str">
        <f ca="1">IFERROR(VLOOKUP(O212,EMAILS!B:C,2,FALSE),"NOT FOUND IN EMAILS")</f>
        <v>supplier@gmail.com</v>
      </c>
      <c r="Q212" t="str">
        <f ca="1">""&amp;IFERROR(VLOOKUP(O212,EMAILS!B:D,3,FALSE),"NOT FOUND IN EMAILS")</f>
        <v/>
      </c>
      <c r="R212" t="str">
        <f ca="1">""&amp;IFERROR(VLOOKUP(O212,EMAILS!B:E,4,FALSE),"NO T FOUND IN EMAILS")</f>
        <v/>
      </c>
    </row>
    <row r="213" spans="2:18" x14ac:dyDescent="0.25">
      <c r="B213" s="5" t="s">
        <v>215</v>
      </c>
      <c r="C213" s="5" t="s">
        <v>4355</v>
      </c>
      <c r="D213" s="5">
        <v>14</v>
      </c>
      <c r="E213" s="5">
        <v>18</v>
      </c>
      <c r="F213" s="5">
        <v>24</v>
      </c>
      <c r="G213" s="5">
        <v>20</v>
      </c>
      <c r="H213" s="5">
        <v>20</v>
      </c>
      <c r="I213" s="5">
        <v>18</v>
      </c>
      <c r="J213" s="5">
        <v>14</v>
      </c>
      <c r="K213" s="5">
        <v>8</v>
      </c>
      <c r="L213" s="5">
        <v>8</v>
      </c>
      <c r="M213" s="5">
        <v>0</v>
      </c>
      <c r="N213" s="5">
        <v>97</v>
      </c>
      <c r="O213" s="5" t="str">
        <f t="shared" ca="1" si="3"/>
        <v>Supplier 134</v>
      </c>
      <c r="P213" s="20" t="str">
        <f ca="1">IFERROR(VLOOKUP(O213,EMAILS!B:C,2,FALSE),"NOT FOUND IN EMAILS")</f>
        <v>supplier@gmail.com</v>
      </c>
      <c r="Q213" t="str">
        <f ca="1">""&amp;IFERROR(VLOOKUP(O213,EMAILS!B:D,3,FALSE),"NOT FOUND IN EMAILS")</f>
        <v/>
      </c>
      <c r="R213" t="str">
        <f ca="1">""&amp;IFERROR(VLOOKUP(O213,EMAILS!B:E,4,FALSE),"NO T FOUND IN EMAILS")</f>
        <v/>
      </c>
    </row>
    <row r="214" spans="2:18" x14ac:dyDescent="0.25">
      <c r="B214" s="5" t="s">
        <v>216</v>
      </c>
      <c r="C214" s="5" t="s">
        <v>4356</v>
      </c>
      <c r="D214" s="5">
        <v>7</v>
      </c>
      <c r="E214" s="5">
        <v>9</v>
      </c>
      <c r="F214" s="5">
        <v>12</v>
      </c>
      <c r="G214" s="5">
        <v>10</v>
      </c>
      <c r="H214" s="5">
        <v>10</v>
      </c>
      <c r="I214" s="5">
        <v>9</v>
      </c>
      <c r="J214" s="5">
        <v>7</v>
      </c>
      <c r="K214" s="5">
        <v>4</v>
      </c>
      <c r="L214" s="5">
        <v>4</v>
      </c>
      <c r="M214" s="5">
        <v>0</v>
      </c>
      <c r="N214" s="5">
        <v>123</v>
      </c>
      <c r="O214" s="5" t="str">
        <f t="shared" ca="1" si="3"/>
        <v>Supplier 13</v>
      </c>
      <c r="P214" s="20" t="str">
        <f ca="1">IFERROR(VLOOKUP(O214,EMAILS!B:C,2,FALSE),"NOT FOUND IN EMAILS")</f>
        <v>supplier@gmail.com</v>
      </c>
      <c r="Q214" t="str">
        <f ca="1">""&amp;IFERROR(VLOOKUP(O214,EMAILS!B:D,3,FALSE),"NOT FOUND IN EMAILS")</f>
        <v>supplier_logistics@gmail.com</v>
      </c>
      <c r="R214" t="str">
        <f ca="1">""&amp;IFERROR(VLOOKUP(O214,EMAILS!B:E,4,FALSE),"NO T FOUND IN EMAILS")</f>
        <v/>
      </c>
    </row>
    <row r="215" spans="2:18" x14ac:dyDescent="0.25">
      <c r="B215" s="5" t="s">
        <v>217</v>
      </c>
      <c r="C215" s="5" t="s">
        <v>4357</v>
      </c>
      <c r="D215" s="5">
        <v>21</v>
      </c>
      <c r="E215" s="5">
        <v>27</v>
      </c>
      <c r="F215" s="5">
        <v>36</v>
      </c>
      <c r="G215" s="5">
        <v>30</v>
      </c>
      <c r="H215" s="5">
        <v>30</v>
      </c>
      <c r="I215" s="5">
        <v>27</v>
      </c>
      <c r="J215" s="5">
        <v>21</v>
      </c>
      <c r="K215" s="5">
        <v>12</v>
      </c>
      <c r="L215" s="5">
        <v>12</v>
      </c>
      <c r="M215" s="5">
        <v>0</v>
      </c>
      <c r="N215" s="5">
        <v>177</v>
      </c>
      <c r="O215" s="5" t="str">
        <f t="shared" ca="1" si="3"/>
        <v>Supplier 10</v>
      </c>
      <c r="P215" s="20" t="str">
        <f ca="1">IFERROR(VLOOKUP(O215,EMAILS!B:C,2,FALSE),"NOT FOUND IN EMAILS")</f>
        <v>supplier@gmail.com</v>
      </c>
      <c r="Q215" t="str">
        <f ca="1">""&amp;IFERROR(VLOOKUP(O215,EMAILS!B:D,3,FALSE),"NOT FOUND IN EMAILS")</f>
        <v>supplier_logistics@gmail.com</v>
      </c>
      <c r="R215" t="str">
        <f ca="1">""&amp;IFERROR(VLOOKUP(O215,EMAILS!B:E,4,FALSE),"NO T FOUND IN EMAILS")</f>
        <v/>
      </c>
    </row>
    <row r="216" spans="2:18" x14ac:dyDescent="0.25">
      <c r="B216" s="5" t="s">
        <v>218</v>
      </c>
      <c r="C216" s="5" t="s">
        <v>4358</v>
      </c>
      <c r="D216" s="5">
        <v>7</v>
      </c>
      <c r="E216" s="5">
        <v>9</v>
      </c>
      <c r="F216" s="5">
        <v>12</v>
      </c>
      <c r="G216" s="5">
        <v>10</v>
      </c>
      <c r="H216" s="5">
        <v>10</v>
      </c>
      <c r="I216" s="5">
        <v>9</v>
      </c>
      <c r="J216" s="5">
        <v>7</v>
      </c>
      <c r="K216" s="5">
        <v>4</v>
      </c>
      <c r="L216" s="5">
        <v>4</v>
      </c>
      <c r="M216" s="5">
        <v>0</v>
      </c>
      <c r="N216" s="5">
        <v>71</v>
      </c>
      <c r="O216" s="5" t="str">
        <f t="shared" ca="1" si="3"/>
        <v>Supplier 25</v>
      </c>
      <c r="P216" s="20" t="str">
        <f ca="1">IFERROR(VLOOKUP(O216,EMAILS!B:C,2,FALSE),"NOT FOUND IN EMAILS")</f>
        <v>supplier@gmail.com</v>
      </c>
      <c r="Q216" t="str">
        <f ca="1">""&amp;IFERROR(VLOOKUP(O216,EMAILS!B:D,3,FALSE),"NOT FOUND IN EMAILS")</f>
        <v/>
      </c>
      <c r="R216" t="str">
        <f ca="1">""&amp;IFERROR(VLOOKUP(O216,EMAILS!B:E,4,FALSE),"NO T FOUND IN EMAILS")</f>
        <v/>
      </c>
    </row>
    <row r="217" spans="2:18" x14ac:dyDescent="0.25">
      <c r="B217" s="5" t="s">
        <v>219</v>
      </c>
      <c r="C217" s="5" t="s">
        <v>4359</v>
      </c>
      <c r="D217" s="5">
        <v>7</v>
      </c>
      <c r="E217" s="5">
        <v>9</v>
      </c>
      <c r="F217" s="5">
        <v>12</v>
      </c>
      <c r="G217" s="5">
        <v>10</v>
      </c>
      <c r="H217" s="5">
        <v>10</v>
      </c>
      <c r="I217" s="5">
        <v>9</v>
      </c>
      <c r="J217" s="5">
        <v>7</v>
      </c>
      <c r="K217" s="5">
        <v>4</v>
      </c>
      <c r="L217" s="5">
        <v>4</v>
      </c>
      <c r="M217" s="5">
        <v>0</v>
      </c>
      <c r="N217" s="5">
        <v>317</v>
      </c>
      <c r="O217" s="5" t="str">
        <f t="shared" ca="1" si="3"/>
        <v>Supplier 168</v>
      </c>
      <c r="P217" s="20" t="str">
        <f ca="1">IFERROR(VLOOKUP(O217,EMAILS!B:C,2,FALSE),"NOT FOUND IN EMAILS")</f>
        <v>supplier@gmail.com</v>
      </c>
      <c r="Q217" t="str">
        <f ca="1">""&amp;IFERROR(VLOOKUP(O217,EMAILS!B:D,3,FALSE),"NOT FOUND IN EMAILS")</f>
        <v/>
      </c>
      <c r="R217" t="str">
        <f ca="1">""&amp;IFERROR(VLOOKUP(O217,EMAILS!B:E,4,FALSE),"NO T FOUND IN EMAILS")</f>
        <v/>
      </c>
    </row>
    <row r="218" spans="2:18" x14ac:dyDescent="0.25">
      <c r="B218" s="5" t="s">
        <v>220</v>
      </c>
      <c r="C218" s="5" t="s">
        <v>4360</v>
      </c>
      <c r="D218" s="5">
        <v>14</v>
      </c>
      <c r="E218" s="5">
        <v>18</v>
      </c>
      <c r="F218" s="5">
        <v>24</v>
      </c>
      <c r="G218" s="5">
        <v>20</v>
      </c>
      <c r="H218" s="5">
        <v>20</v>
      </c>
      <c r="I218" s="5">
        <v>18</v>
      </c>
      <c r="J218" s="5">
        <v>14</v>
      </c>
      <c r="K218" s="5">
        <v>8</v>
      </c>
      <c r="L218" s="5">
        <v>8</v>
      </c>
      <c r="M218" s="5">
        <v>0</v>
      </c>
      <c r="N218" s="5">
        <v>62</v>
      </c>
      <c r="O218" s="5" t="str">
        <f t="shared" ca="1" si="3"/>
        <v>Supplier 117</v>
      </c>
      <c r="P218" s="20" t="str">
        <f ca="1">IFERROR(VLOOKUP(O218,EMAILS!B:C,2,FALSE),"NOT FOUND IN EMAILS")</f>
        <v>supplier@gmail.com</v>
      </c>
      <c r="Q218" t="str">
        <f ca="1">""&amp;IFERROR(VLOOKUP(O218,EMAILS!B:D,3,FALSE),"NOT FOUND IN EMAILS")</f>
        <v/>
      </c>
      <c r="R218" t="str">
        <f ca="1">""&amp;IFERROR(VLOOKUP(O218,EMAILS!B:E,4,FALSE),"NO T FOUND IN EMAILS")</f>
        <v/>
      </c>
    </row>
    <row r="219" spans="2:18" x14ac:dyDescent="0.25">
      <c r="B219" s="5" t="s">
        <v>221</v>
      </c>
      <c r="C219" s="5" t="s">
        <v>4361</v>
      </c>
      <c r="D219" s="5">
        <v>12</v>
      </c>
      <c r="E219" s="5">
        <v>0</v>
      </c>
      <c r="F219" s="5">
        <v>10</v>
      </c>
      <c r="G219" s="5">
        <v>8</v>
      </c>
      <c r="H219" s="5">
        <v>10</v>
      </c>
      <c r="I219" s="5">
        <v>6</v>
      </c>
      <c r="J219" s="5">
        <v>8</v>
      </c>
      <c r="K219" s="5">
        <v>4</v>
      </c>
      <c r="L219" s="5">
        <v>4</v>
      </c>
      <c r="M219" s="5">
        <v>0</v>
      </c>
      <c r="N219" s="5">
        <v>489</v>
      </c>
      <c r="O219" s="5" t="str">
        <f t="shared" ca="1" si="3"/>
        <v>Supplier 88</v>
      </c>
      <c r="P219" s="20" t="str">
        <f ca="1">IFERROR(VLOOKUP(O219,EMAILS!B:C,2,FALSE),"NOT FOUND IN EMAILS")</f>
        <v>supplier@gmail.com</v>
      </c>
      <c r="Q219" t="str">
        <f ca="1">""&amp;IFERROR(VLOOKUP(O219,EMAILS!B:D,3,FALSE),"NOT FOUND IN EMAILS")</f>
        <v/>
      </c>
      <c r="R219" t="str">
        <f ca="1">""&amp;IFERROR(VLOOKUP(O219,EMAILS!B:E,4,FALSE),"NO T FOUND IN EMAILS")</f>
        <v/>
      </c>
    </row>
    <row r="220" spans="2:18" x14ac:dyDescent="0.25">
      <c r="B220" s="5" t="s">
        <v>222</v>
      </c>
      <c r="C220" s="5" t="s">
        <v>4362</v>
      </c>
      <c r="D220" s="5">
        <v>28</v>
      </c>
      <c r="E220" s="5">
        <v>36</v>
      </c>
      <c r="F220" s="5">
        <v>48</v>
      </c>
      <c r="G220" s="5">
        <v>40</v>
      </c>
      <c r="H220" s="5">
        <v>40</v>
      </c>
      <c r="I220" s="5">
        <v>36</v>
      </c>
      <c r="J220" s="5">
        <v>28</v>
      </c>
      <c r="K220" s="5">
        <v>16</v>
      </c>
      <c r="L220" s="5">
        <v>16</v>
      </c>
      <c r="M220" s="5">
        <v>0</v>
      </c>
      <c r="N220" s="5">
        <v>249</v>
      </c>
      <c r="O220" s="5" t="str">
        <f t="shared" ca="1" si="3"/>
        <v>Supplier 11</v>
      </c>
      <c r="P220" s="20" t="str">
        <f ca="1">IFERROR(VLOOKUP(O220,EMAILS!B:C,2,FALSE),"NOT FOUND IN EMAILS")</f>
        <v>supplier@gmail.com</v>
      </c>
      <c r="Q220" t="str">
        <f ca="1">""&amp;IFERROR(VLOOKUP(O220,EMAILS!B:D,3,FALSE),"NOT FOUND IN EMAILS")</f>
        <v>supplier_logistics@gmail.com</v>
      </c>
      <c r="R220" t="str">
        <f ca="1">""&amp;IFERROR(VLOOKUP(O220,EMAILS!B:E,4,FALSE),"NO T FOUND IN EMAILS")</f>
        <v/>
      </c>
    </row>
    <row r="221" spans="2:18" x14ac:dyDescent="0.25">
      <c r="B221" s="5" t="s">
        <v>223</v>
      </c>
      <c r="C221" s="5" t="s">
        <v>4363</v>
      </c>
      <c r="D221" s="5">
        <v>14</v>
      </c>
      <c r="E221" s="5">
        <v>18</v>
      </c>
      <c r="F221" s="5">
        <v>24</v>
      </c>
      <c r="G221" s="5">
        <v>20</v>
      </c>
      <c r="H221" s="5">
        <v>20</v>
      </c>
      <c r="I221" s="5">
        <v>18</v>
      </c>
      <c r="J221" s="5">
        <v>14</v>
      </c>
      <c r="K221" s="5">
        <v>8</v>
      </c>
      <c r="L221" s="5">
        <v>8</v>
      </c>
      <c r="M221" s="5">
        <v>0</v>
      </c>
      <c r="N221" s="5">
        <v>115</v>
      </c>
      <c r="O221" s="5" t="str">
        <f t="shared" ca="1" si="3"/>
        <v>Supplier 188</v>
      </c>
      <c r="P221" s="20" t="str">
        <f ca="1">IFERROR(VLOOKUP(O221,EMAILS!B:C,2,FALSE),"NOT FOUND IN EMAILS")</f>
        <v>supplier@gmail.com</v>
      </c>
      <c r="Q221" t="str">
        <f ca="1">""&amp;IFERROR(VLOOKUP(O221,EMAILS!B:D,3,FALSE),"NOT FOUND IN EMAILS")</f>
        <v/>
      </c>
      <c r="R221" t="str">
        <f ca="1">""&amp;IFERROR(VLOOKUP(O221,EMAILS!B:E,4,FALSE),"NO T FOUND IN EMAILS")</f>
        <v/>
      </c>
    </row>
    <row r="222" spans="2:18" x14ac:dyDescent="0.25">
      <c r="B222" s="5" t="s">
        <v>224</v>
      </c>
      <c r="C222" s="5" t="s">
        <v>4364</v>
      </c>
      <c r="D222" s="5">
        <v>14</v>
      </c>
      <c r="E222" s="5">
        <v>18</v>
      </c>
      <c r="F222" s="5">
        <v>24</v>
      </c>
      <c r="G222" s="5">
        <v>20</v>
      </c>
      <c r="H222" s="5">
        <v>20</v>
      </c>
      <c r="I222" s="5">
        <v>18</v>
      </c>
      <c r="J222" s="5">
        <v>14</v>
      </c>
      <c r="K222" s="5">
        <v>8</v>
      </c>
      <c r="L222" s="5">
        <v>8</v>
      </c>
      <c r="M222" s="5">
        <v>0</v>
      </c>
      <c r="N222" s="5">
        <v>140</v>
      </c>
      <c r="O222" s="5" t="str">
        <f t="shared" ca="1" si="3"/>
        <v>Supplier 149</v>
      </c>
      <c r="P222" s="20" t="str">
        <f ca="1">IFERROR(VLOOKUP(O222,EMAILS!B:C,2,FALSE),"NOT FOUND IN EMAILS")</f>
        <v>supplier@gmail.com</v>
      </c>
      <c r="Q222" t="str">
        <f ca="1">""&amp;IFERROR(VLOOKUP(O222,EMAILS!B:D,3,FALSE),"NOT FOUND IN EMAILS")</f>
        <v/>
      </c>
      <c r="R222" t="str">
        <f ca="1">""&amp;IFERROR(VLOOKUP(O222,EMAILS!B:E,4,FALSE),"NO T FOUND IN EMAILS")</f>
        <v/>
      </c>
    </row>
    <row r="223" spans="2:18" x14ac:dyDescent="0.25">
      <c r="B223" s="5" t="s">
        <v>225</v>
      </c>
      <c r="C223" s="5" t="s">
        <v>4365</v>
      </c>
      <c r="D223" s="5">
        <v>14</v>
      </c>
      <c r="E223" s="5">
        <v>18</v>
      </c>
      <c r="F223" s="5">
        <v>24</v>
      </c>
      <c r="G223" s="5">
        <v>20</v>
      </c>
      <c r="H223" s="5">
        <v>20</v>
      </c>
      <c r="I223" s="5">
        <v>18</v>
      </c>
      <c r="J223" s="5">
        <v>14</v>
      </c>
      <c r="K223" s="5">
        <v>8</v>
      </c>
      <c r="L223" s="5">
        <v>8</v>
      </c>
      <c r="M223" s="5">
        <v>0</v>
      </c>
      <c r="N223" s="5">
        <v>216</v>
      </c>
      <c r="O223" s="5" t="str">
        <f t="shared" ca="1" si="3"/>
        <v>Supplier 64</v>
      </c>
      <c r="P223" s="20" t="str">
        <f ca="1">IFERROR(VLOOKUP(O223,EMAILS!B:C,2,FALSE),"NOT FOUND IN EMAILS")</f>
        <v>supplier@gmail.com</v>
      </c>
      <c r="Q223" t="str">
        <f ca="1">""&amp;IFERROR(VLOOKUP(O223,EMAILS!B:D,3,FALSE),"NOT FOUND IN EMAILS")</f>
        <v/>
      </c>
      <c r="R223" t="str">
        <f ca="1">""&amp;IFERROR(VLOOKUP(O223,EMAILS!B:E,4,FALSE),"NO T FOUND IN EMAILS")</f>
        <v/>
      </c>
    </row>
    <row r="224" spans="2:18" x14ac:dyDescent="0.25">
      <c r="B224" s="5" t="s">
        <v>226</v>
      </c>
      <c r="C224" s="5" t="s">
        <v>4366</v>
      </c>
      <c r="D224" s="5">
        <v>0</v>
      </c>
      <c r="E224" s="5">
        <v>0</v>
      </c>
      <c r="F224" s="5">
        <v>0</v>
      </c>
      <c r="G224" s="5">
        <v>20</v>
      </c>
      <c r="H224" s="5">
        <v>20</v>
      </c>
      <c r="I224" s="5">
        <v>20</v>
      </c>
      <c r="J224" s="5">
        <v>10</v>
      </c>
      <c r="K224" s="5">
        <v>20</v>
      </c>
      <c r="L224" s="5">
        <v>15</v>
      </c>
      <c r="M224" s="5">
        <v>0</v>
      </c>
      <c r="N224" s="5">
        <v>0</v>
      </c>
      <c r="O224" s="5" t="str">
        <f t="shared" ca="1" si="3"/>
        <v>Supplier 3</v>
      </c>
      <c r="P224" s="20" t="str">
        <f ca="1">IFERROR(VLOOKUP(O224,EMAILS!B:C,2,FALSE),"NOT FOUND IN EMAILS")</f>
        <v>supplier@gmail.com</v>
      </c>
      <c r="Q224" t="str">
        <f ca="1">""&amp;IFERROR(VLOOKUP(O224,EMAILS!B:D,3,FALSE),"NOT FOUND IN EMAILS")</f>
        <v>supplier_logistics@gmail.com</v>
      </c>
      <c r="R224" t="str">
        <f ca="1">""&amp;IFERROR(VLOOKUP(O224,EMAILS!B:E,4,FALSE),"NO T FOUND IN EMAILS")</f>
        <v/>
      </c>
    </row>
    <row r="225" spans="2:18" x14ac:dyDescent="0.25">
      <c r="B225" s="5" t="s">
        <v>227</v>
      </c>
      <c r="C225" s="5" t="s">
        <v>4367</v>
      </c>
      <c r="D225" s="5">
        <v>0</v>
      </c>
      <c r="E225" s="5">
        <v>0</v>
      </c>
      <c r="F225" s="5">
        <v>0</v>
      </c>
      <c r="G225" s="5">
        <v>16</v>
      </c>
      <c r="H225" s="5">
        <v>16</v>
      </c>
      <c r="I225" s="5">
        <v>16</v>
      </c>
      <c r="J225" s="5">
        <v>8</v>
      </c>
      <c r="K225" s="5">
        <v>16</v>
      </c>
      <c r="L225" s="5">
        <v>12</v>
      </c>
      <c r="M225" s="5">
        <v>0</v>
      </c>
      <c r="N225" s="5">
        <v>12</v>
      </c>
      <c r="O225" s="5" t="str">
        <f t="shared" ca="1" si="3"/>
        <v>Supplier 134</v>
      </c>
      <c r="P225" s="20" t="str">
        <f ca="1">IFERROR(VLOOKUP(O225,EMAILS!B:C,2,FALSE),"NOT FOUND IN EMAILS")</f>
        <v>supplier@gmail.com</v>
      </c>
      <c r="Q225" t="str">
        <f ca="1">""&amp;IFERROR(VLOOKUP(O225,EMAILS!B:D,3,FALSE),"NOT FOUND IN EMAILS")</f>
        <v/>
      </c>
      <c r="R225" t="str">
        <f ca="1">""&amp;IFERROR(VLOOKUP(O225,EMAILS!B:E,4,FALSE),"NO T FOUND IN EMAILS")</f>
        <v/>
      </c>
    </row>
    <row r="226" spans="2:18" x14ac:dyDescent="0.25">
      <c r="B226" s="5" t="s">
        <v>228</v>
      </c>
      <c r="C226" s="5" t="s">
        <v>4368</v>
      </c>
      <c r="D226" s="5">
        <v>0</v>
      </c>
      <c r="E226" s="5">
        <v>0</v>
      </c>
      <c r="F226" s="5">
        <v>0</v>
      </c>
      <c r="G226" s="5">
        <v>8</v>
      </c>
      <c r="H226" s="5">
        <v>8</v>
      </c>
      <c r="I226" s="5">
        <v>8</v>
      </c>
      <c r="J226" s="5">
        <v>4</v>
      </c>
      <c r="K226" s="5">
        <v>8</v>
      </c>
      <c r="L226" s="5">
        <v>6</v>
      </c>
      <c r="M226" s="5">
        <v>0</v>
      </c>
      <c r="N226" s="5">
        <v>132</v>
      </c>
      <c r="O226" s="5" t="str">
        <f t="shared" ca="1" si="3"/>
        <v>Supplier 23</v>
      </c>
      <c r="P226" s="20" t="str">
        <f ca="1">IFERROR(VLOOKUP(O226,EMAILS!B:C,2,FALSE),"NOT FOUND IN EMAILS")</f>
        <v>supplier@gmail.com</v>
      </c>
      <c r="Q226" t="str">
        <f ca="1">""&amp;IFERROR(VLOOKUP(O226,EMAILS!B:D,3,FALSE),"NOT FOUND IN EMAILS")</f>
        <v/>
      </c>
      <c r="R226" t="str">
        <f ca="1">""&amp;IFERROR(VLOOKUP(O226,EMAILS!B:E,4,FALSE),"NO T FOUND IN EMAILS")</f>
        <v/>
      </c>
    </row>
    <row r="227" spans="2:18" x14ac:dyDescent="0.25">
      <c r="B227" s="5" t="s">
        <v>229</v>
      </c>
      <c r="C227" s="5" t="s">
        <v>4369</v>
      </c>
      <c r="D227" s="5">
        <v>0</v>
      </c>
      <c r="E227" s="5">
        <v>0</v>
      </c>
      <c r="F227" s="5">
        <v>0</v>
      </c>
      <c r="G227" s="5">
        <v>8</v>
      </c>
      <c r="H227" s="5">
        <v>8</v>
      </c>
      <c r="I227" s="5">
        <v>8</v>
      </c>
      <c r="J227" s="5">
        <v>4</v>
      </c>
      <c r="K227" s="5">
        <v>8</v>
      </c>
      <c r="L227" s="5">
        <v>6</v>
      </c>
      <c r="M227" s="5">
        <v>0</v>
      </c>
      <c r="N227" s="5">
        <v>13</v>
      </c>
      <c r="O227" s="5" t="str">
        <f t="shared" ca="1" si="3"/>
        <v>Supplier 119</v>
      </c>
      <c r="P227" s="20" t="str">
        <f ca="1">IFERROR(VLOOKUP(O227,EMAILS!B:C,2,FALSE),"NOT FOUND IN EMAILS")</f>
        <v>supplier@gmail.com</v>
      </c>
      <c r="Q227" t="str">
        <f ca="1">""&amp;IFERROR(VLOOKUP(O227,EMAILS!B:D,3,FALSE),"NOT FOUND IN EMAILS")</f>
        <v/>
      </c>
      <c r="R227" t="str">
        <f ca="1">""&amp;IFERROR(VLOOKUP(O227,EMAILS!B:E,4,FALSE),"NO T FOUND IN EMAILS")</f>
        <v/>
      </c>
    </row>
    <row r="228" spans="2:18" x14ac:dyDescent="0.25">
      <c r="B228" s="5" t="s">
        <v>230</v>
      </c>
      <c r="C228" s="5" t="s">
        <v>4370</v>
      </c>
      <c r="D228" s="5">
        <v>0</v>
      </c>
      <c r="E228" s="5">
        <v>0</v>
      </c>
      <c r="F228" s="5">
        <v>0</v>
      </c>
      <c r="G228" s="5">
        <v>16</v>
      </c>
      <c r="H228" s="5">
        <v>16</v>
      </c>
      <c r="I228" s="5">
        <v>16</v>
      </c>
      <c r="J228" s="5">
        <v>8</v>
      </c>
      <c r="K228" s="5">
        <v>16</v>
      </c>
      <c r="L228" s="5">
        <v>12</v>
      </c>
      <c r="M228" s="5">
        <v>0</v>
      </c>
      <c r="N228" s="5">
        <v>16</v>
      </c>
      <c r="O228" s="5" t="str">
        <f t="shared" ca="1" si="3"/>
        <v>Supplier 187</v>
      </c>
      <c r="P228" s="20" t="str">
        <f ca="1">IFERROR(VLOOKUP(O228,EMAILS!B:C,2,FALSE),"NOT FOUND IN EMAILS")</f>
        <v>supplier@gmail.com</v>
      </c>
      <c r="Q228" t="str">
        <f ca="1">""&amp;IFERROR(VLOOKUP(O228,EMAILS!B:D,3,FALSE),"NOT FOUND IN EMAILS")</f>
        <v/>
      </c>
      <c r="R228" t="str">
        <f ca="1">""&amp;IFERROR(VLOOKUP(O228,EMAILS!B:E,4,FALSE),"NO T FOUND IN EMAILS")</f>
        <v/>
      </c>
    </row>
    <row r="229" spans="2:18" x14ac:dyDescent="0.25">
      <c r="B229" s="5" t="s">
        <v>231</v>
      </c>
      <c r="C229" s="5" t="s">
        <v>4371</v>
      </c>
      <c r="D229" s="5">
        <v>0</v>
      </c>
      <c r="E229" s="5">
        <v>0</v>
      </c>
      <c r="F229" s="5">
        <v>0</v>
      </c>
      <c r="G229" s="5">
        <v>4</v>
      </c>
      <c r="H229" s="5">
        <v>4</v>
      </c>
      <c r="I229" s="5">
        <v>4</v>
      </c>
      <c r="J229" s="5">
        <v>2</v>
      </c>
      <c r="K229" s="5">
        <v>4</v>
      </c>
      <c r="L229" s="5">
        <v>3</v>
      </c>
      <c r="M229" s="5">
        <v>0</v>
      </c>
      <c r="N229" s="5">
        <v>18</v>
      </c>
      <c r="O229" s="5" t="str">
        <f t="shared" ca="1" si="3"/>
        <v>Supplier 77</v>
      </c>
      <c r="P229" s="20" t="str">
        <f ca="1">IFERROR(VLOOKUP(O229,EMAILS!B:C,2,FALSE),"NOT FOUND IN EMAILS")</f>
        <v>supplier@gmail.com</v>
      </c>
      <c r="Q229" t="str">
        <f ca="1">""&amp;IFERROR(VLOOKUP(O229,EMAILS!B:D,3,FALSE),"NOT FOUND IN EMAILS")</f>
        <v/>
      </c>
      <c r="R229" t="str">
        <f ca="1">""&amp;IFERROR(VLOOKUP(O229,EMAILS!B:E,4,FALSE),"NO T FOUND IN EMAILS")</f>
        <v/>
      </c>
    </row>
    <row r="230" spans="2:18" x14ac:dyDescent="0.25">
      <c r="B230" s="5" t="s">
        <v>232</v>
      </c>
      <c r="C230" s="5" t="s">
        <v>4372</v>
      </c>
      <c r="D230" s="5">
        <v>0</v>
      </c>
      <c r="E230" s="5">
        <v>0</v>
      </c>
      <c r="F230" s="5">
        <v>0</v>
      </c>
      <c r="G230" s="5">
        <v>8</v>
      </c>
      <c r="H230" s="5">
        <v>8</v>
      </c>
      <c r="I230" s="5">
        <v>8</v>
      </c>
      <c r="J230" s="5">
        <v>4</v>
      </c>
      <c r="K230" s="5">
        <v>8</v>
      </c>
      <c r="L230" s="5">
        <v>6</v>
      </c>
      <c r="M230" s="5">
        <v>0</v>
      </c>
      <c r="N230" s="5">
        <v>12</v>
      </c>
      <c r="O230" s="5" t="str">
        <f t="shared" ca="1" si="3"/>
        <v>Supplier 130</v>
      </c>
      <c r="P230" s="20" t="str">
        <f ca="1">IFERROR(VLOOKUP(O230,EMAILS!B:C,2,FALSE),"NOT FOUND IN EMAILS")</f>
        <v>supplier@gmail.com</v>
      </c>
      <c r="Q230" t="str">
        <f ca="1">""&amp;IFERROR(VLOOKUP(O230,EMAILS!B:D,3,FALSE),"NOT FOUND IN EMAILS")</f>
        <v/>
      </c>
      <c r="R230" t="str">
        <f ca="1">""&amp;IFERROR(VLOOKUP(O230,EMAILS!B:E,4,FALSE),"NO T FOUND IN EMAILS")</f>
        <v/>
      </c>
    </row>
    <row r="231" spans="2:18" x14ac:dyDescent="0.25">
      <c r="B231" s="5" t="s">
        <v>233</v>
      </c>
      <c r="C231" s="5" t="s">
        <v>4373</v>
      </c>
      <c r="D231" s="5">
        <v>0</v>
      </c>
      <c r="E231" s="5">
        <v>0</v>
      </c>
      <c r="F231" s="5">
        <v>0</v>
      </c>
      <c r="G231" s="5">
        <v>4</v>
      </c>
      <c r="H231" s="5">
        <v>4</v>
      </c>
      <c r="I231" s="5">
        <v>4</v>
      </c>
      <c r="J231" s="5">
        <v>2</v>
      </c>
      <c r="K231" s="5">
        <v>4</v>
      </c>
      <c r="L231" s="5">
        <v>3</v>
      </c>
      <c r="M231" s="5">
        <v>0</v>
      </c>
      <c r="N231" s="5">
        <v>3</v>
      </c>
      <c r="O231" s="5" t="str">
        <f t="shared" ca="1" si="3"/>
        <v>Supplier 17</v>
      </c>
      <c r="P231" s="20" t="str">
        <f ca="1">IFERROR(VLOOKUP(O231,EMAILS!B:C,2,FALSE),"NOT FOUND IN EMAILS")</f>
        <v>supplier@gmail.com</v>
      </c>
      <c r="Q231" t="str">
        <f ca="1">""&amp;IFERROR(VLOOKUP(O231,EMAILS!B:D,3,FALSE),"NOT FOUND IN EMAILS")</f>
        <v>supplier_logistics@gmail.com</v>
      </c>
      <c r="R231" t="str">
        <f ca="1">""&amp;IFERROR(VLOOKUP(O231,EMAILS!B:E,4,FALSE),"NO T FOUND IN EMAILS")</f>
        <v/>
      </c>
    </row>
    <row r="232" spans="2:18" x14ac:dyDescent="0.25">
      <c r="B232" s="5" t="s">
        <v>234</v>
      </c>
      <c r="C232" s="5" t="s">
        <v>4374</v>
      </c>
      <c r="D232" s="5">
        <v>0</v>
      </c>
      <c r="E232" s="5">
        <v>0</v>
      </c>
      <c r="F232" s="5">
        <v>0</v>
      </c>
      <c r="G232" s="5">
        <v>4</v>
      </c>
      <c r="H232" s="5">
        <v>4</v>
      </c>
      <c r="I232" s="5">
        <v>4</v>
      </c>
      <c r="J232" s="5">
        <v>2</v>
      </c>
      <c r="K232" s="5">
        <v>4</v>
      </c>
      <c r="L232" s="5">
        <v>3</v>
      </c>
      <c r="M232" s="5">
        <v>0</v>
      </c>
      <c r="N232" s="5">
        <v>8</v>
      </c>
      <c r="O232" s="5" t="str">
        <f t="shared" ca="1" si="3"/>
        <v>Supplier 74</v>
      </c>
      <c r="P232" s="20" t="str">
        <f ca="1">IFERROR(VLOOKUP(O232,EMAILS!B:C,2,FALSE),"NOT FOUND IN EMAILS")</f>
        <v>supplier@gmail.com</v>
      </c>
      <c r="Q232" t="str">
        <f ca="1">""&amp;IFERROR(VLOOKUP(O232,EMAILS!B:D,3,FALSE),"NOT FOUND IN EMAILS")</f>
        <v/>
      </c>
      <c r="R232" t="str">
        <f ca="1">""&amp;IFERROR(VLOOKUP(O232,EMAILS!B:E,4,FALSE),"NO T FOUND IN EMAILS")</f>
        <v/>
      </c>
    </row>
    <row r="233" spans="2:18" x14ac:dyDescent="0.25">
      <c r="B233" s="5" t="s">
        <v>235</v>
      </c>
      <c r="C233" s="5" t="s">
        <v>4375</v>
      </c>
      <c r="D233" s="5">
        <v>0</v>
      </c>
      <c r="E233" s="5">
        <v>0</v>
      </c>
      <c r="F233" s="5">
        <v>0</v>
      </c>
      <c r="G233" s="5">
        <v>4</v>
      </c>
      <c r="H233" s="5">
        <v>4</v>
      </c>
      <c r="I233" s="5">
        <v>4</v>
      </c>
      <c r="J233" s="5">
        <v>2</v>
      </c>
      <c r="K233" s="5">
        <v>4</v>
      </c>
      <c r="L233" s="5">
        <v>3</v>
      </c>
      <c r="M233" s="5">
        <v>0</v>
      </c>
      <c r="N233" s="5">
        <v>8</v>
      </c>
      <c r="O233" s="5" t="str">
        <f t="shared" ca="1" si="3"/>
        <v>Supplier 35</v>
      </c>
      <c r="P233" s="20" t="str">
        <f ca="1">IFERROR(VLOOKUP(O233,EMAILS!B:C,2,FALSE),"NOT FOUND IN EMAILS")</f>
        <v>supplier@gmail.com</v>
      </c>
      <c r="Q233" t="str">
        <f ca="1">""&amp;IFERROR(VLOOKUP(O233,EMAILS!B:D,3,FALSE),"NOT FOUND IN EMAILS")</f>
        <v/>
      </c>
      <c r="R233" t="str">
        <f ca="1">""&amp;IFERROR(VLOOKUP(O233,EMAILS!B:E,4,FALSE),"NO T FOUND IN EMAILS")</f>
        <v/>
      </c>
    </row>
    <row r="234" spans="2:18" x14ac:dyDescent="0.25">
      <c r="B234" s="5" t="s">
        <v>236</v>
      </c>
      <c r="C234" s="5" t="s">
        <v>4376</v>
      </c>
      <c r="D234" s="5">
        <v>0</v>
      </c>
      <c r="E234" s="5">
        <v>0</v>
      </c>
      <c r="F234" s="5">
        <v>0</v>
      </c>
      <c r="G234" s="5">
        <v>4</v>
      </c>
      <c r="H234" s="5">
        <v>4</v>
      </c>
      <c r="I234" s="5">
        <v>4</v>
      </c>
      <c r="J234" s="5">
        <v>2</v>
      </c>
      <c r="K234" s="5">
        <v>4</v>
      </c>
      <c r="L234" s="5">
        <v>3</v>
      </c>
      <c r="M234" s="5">
        <v>0</v>
      </c>
      <c r="N234" s="5">
        <v>184</v>
      </c>
      <c r="O234" s="5" t="str">
        <f t="shared" ca="1" si="3"/>
        <v>Supplier 15</v>
      </c>
      <c r="P234" s="20" t="str">
        <f ca="1">IFERROR(VLOOKUP(O234,EMAILS!B:C,2,FALSE),"NOT FOUND IN EMAILS")</f>
        <v>supplier@gmail.com</v>
      </c>
      <c r="Q234" t="str">
        <f ca="1">""&amp;IFERROR(VLOOKUP(O234,EMAILS!B:D,3,FALSE),"NOT FOUND IN EMAILS")</f>
        <v>supplier_logistics@gmail.com</v>
      </c>
      <c r="R234" t="str">
        <f ca="1">""&amp;IFERROR(VLOOKUP(O234,EMAILS!B:E,4,FALSE),"NO T FOUND IN EMAILS")</f>
        <v/>
      </c>
    </row>
    <row r="235" spans="2:18" x14ac:dyDescent="0.25">
      <c r="B235" s="5" t="s">
        <v>237</v>
      </c>
      <c r="C235" s="5" t="s">
        <v>4377</v>
      </c>
      <c r="D235" s="5">
        <v>0</v>
      </c>
      <c r="E235" s="5">
        <v>0</v>
      </c>
      <c r="F235" s="5">
        <v>0</v>
      </c>
      <c r="G235" s="5">
        <v>16</v>
      </c>
      <c r="H235" s="5">
        <v>16</v>
      </c>
      <c r="I235" s="5">
        <v>16</v>
      </c>
      <c r="J235" s="5">
        <v>8</v>
      </c>
      <c r="K235" s="5">
        <v>16</v>
      </c>
      <c r="L235" s="5">
        <v>12</v>
      </c>
      <c r="M235" s="5">
        <v>0</v>
      </c>
      <c r="N235" s="5">
        <v>142</v>
      </c>
      <c r="O235" s="5" t="str">
        <f t="shared" ca="1" si="3"/>
        <v>Supplier 101</v>
      </c>
      <c r="P235" s="20" t="str">
        <f ca="1">IFERROR(VLOOKUP(O235,EMAILS!B:C,2,FALSE),"NOT FOUND IN EMAILS")</f>
        <v>supplier@gmail.com</v>
      </c>
      <c r="Q235" t="str">
        <f ca="1">""&amp;IFERROR(VLOOKUP(O235,EMAILS!B:D,3,FALSE),"NOT FOUND IN EMAILS")</f>
        <v/>
      </c>
      <c r="R235" t="str">
        <f ca="1">""&amp;IFERROR(VLOOKUP(O235,EMAILS!B:E,4,FALSE),"NO T FOUND IN EMAILS")</f>
        <v/>
      </c>
    </row>
    <row r="236" spans="2:18" x14ac:dyDescent="0.25">
      <c r="B236" s="5" t="s">
        <v>238</v>
      </c>
      <c r="C236" s="5" t="s">
        <v>4378</v>
      </c>
      <c r="D236" s="5">
        <v>0</v>
      </c>
      <c r="E236" s="5">
        <v>0</v>
      </c>
      <c r="F236" s="5">
        <v>0</v>
      </c>
      <c r="G236" s="5">
        <v>4</v>
      </c>
      <c r="H236" s="5">
        <v>4</v>
      </c>
      <c r="I236" s="5">
        <v>4</v>
      </c>
      <c r="J236" s="5">
        <v>2</v>
      </c>
      <c r="K236" s="5">
        <v>4</v>
      </c>
      <c r="L236" s="5">
        <v>3</v>
      </c>
      <c r="M236" s="5">
        <v>0</v>
      </c>
      <c r="N236" s="5">
        <v>18</v>
      </c>
      <c r="O236" s="5" t="str">
        <f t="shared" ca="1" si="3"/>
        <v>Supplier 21</v>
      </c>
      <c r="P236" s="20" t="str">
        <f ca="1">IFERROR(VLOOKUP(O236,EMAILS!B:C,2,FALSE),"NOT FOUND IN EMAILS")</f>
        <v>supplier@gmail.com</v>
      </c>
      <c r="Q236" t="str">
        <f ca="1">""&amp;IFERROR(VLOOKUP(O236,EMAILS!B:D,3,FALSE),"NOT FOUND IN EMAILS")</f>
        <v/>
      </c>
      <c r="R236" t="str">
        <f ca="1">""&amp;IFERROR(VLOOKUP(O236,EMAILS!B:E,4,FALSE),"NO T FOUND IN EMAILS")</f>
        <v/>
      </c>
    </row>
    <row r="237" spans="2:18" x14ac:dyDescent="0.25">
      <c r="B237" s="5" t="s">
        <v>239</v>
      </c>
      <c r="C237" s="5" t="s">
        <v>4379</v>
      </c>
      <c r="D237" s="5">
        <v>0</v>
      </c>
      <c r="E237" s="5">
        <v>0</v>
      </c>
      <c r="F237" s="5">
        <v>0</v>
      </c>
      <c r="G237" s="5">
        <v>4</v>
      </c>
      <c r="H237" s="5">
        <v>4</v>
      </c>
      <c r="I237" s="5">
        <v>4</v>
      </c>
      <c r="J237" s="5">
        <v>2</v>
      </c>
      <c r="K237" s="5">
        <v>4</v>
      </c>
      <c r="L237" s="5">
        <v>3</v>
      </c>
      <c r="M237" s="5">
        <v>0</v>
      </c>
      <c r="N237" s="5">
        <v>97</v>
      </c>
      <c r="O237" s="5" t="str">
        <f t="shared" ca="1" si="3"/>
        <v>Supplier 87</v>
      </c>
      <c r="P237" s="20" t="str">
        <f ca="1">IFERROR(VLOOKUP(O237,EMAILS!B:C,2,FALSE),"NOT FOUND IN EMAILS")</f>
        <v>supplier@gmail.com</v>
      </c>
      <c r="Q237" t="str">
        <f ca="1">""&amp;IFERROR(VLOOKUP(O237,EMAILS!B:D,3,FALSE),"NOT FOUND IN EMAILS")</f>
        <v/>
      </c>
      <c r="R237" t="str">
        <f ca="1">""&amp;IFERROR(VLOOKUP(O237,EMAILS!B:E,4,FALSE),"NO T FOUND IN EMAILS")</f>
        <v/>
      </c>
    </row>
    <row r="238" spans="2:18" x14ac:dyDescent="0.25">
      <c r="B238" s="5" t="s">
        <v>240</v>
      </c>
      <c r="C238" s="5" t="s">
        <v>4380</v>
      </c>
      <c r="D238" s="5">
        <v>0</v>
      </c>
      <c r="E238" s="5">
        <v>0</v>
      </c>
      <c r="F238" s="5">
        <v>0</v>
      </c>
      <c r="G238" s="5">
        <v>4</v>
      </c>
      <c r="H238" s="5">
        <v>4</v>
      </c>
      <c r="I238" s="5">
        <v>4</v>
      </c>
      <c r="J238" s="5">
        <v>2</v>
      </c>
      <c r="K238" s="5">
        <v>4</v>
      </c>
      <c r="L238" s="5">
        <v>3</v>
      </c>
      <c r="M238" s="5">
        <v>0</v>
      </c>
      <c r="N238" s="5">
        <v>6</v>
      </c>
      <c r="O238" s="5" t="str">
        <f t="shared" ca="1" si="3"/>
        <v>Supplier 187</v>
      </c>
      <c r="P238" s="20" t="str">
        <f ca="1">IFERROR(VLOOKUP(O238,EMAILS!B:C,2,FALSE),"NOT FOUND IN EMAILS")</f>
        <v>supplier@gmail.com</v>
      </c>
      <c r="Q238" t="str">
        <f ca="1">""&amp;IFERROR(VLOOKUP(O238,EMAILS!B:D,3,FALSE),"NOT FOUND IN EMAILS")</f>
        <v/>
      </c>
      <c r="R238" t="str">
        <f ca="1">""&amp;IFERROR(VLOOKUP(O238,EMAILS!B:E,4,FALSE),"NO T FOUND IN EMAILS")</f>
        <v/>
      </c>
    </row>
    <row r="239" spans="2:18" x14ac:dyDescent="0.25">
      <c r="B239" s="5" t="s">
        <v>241</v>
      </c>
      <c r="C239" s="5" t="s">
        <v>4381</v>
      </c>
      <c r="D239" s="5">
        <v>0</v>
      </c>
      <c r="E239" s="5">
        <v>0</v>
      </c>
      <c r="F239" s="5">
        <v>0</v>
      </c>
      <c r="G239" s="5">
        <v>8</v>
      </c>
      <c r="H239" s="5">
        <v>8</v>
      </c>
      <c r="I239" s="5">
        <v>8</v>
      </c>
      <c r="J239" s="5">
        <v>4</v>
      </c>
      <c r="K239" s="5">
        <v>8</v>
      </c>
      <c r="L239" s="5">
        <v>6</v>
      </c>
      <c r="M239" s="5">
        <v>0</v>
      </c>
      <c r="N239" s="5">
        <v>51</v>
      </c>
      <c r="O239" s="5" t="str">
        <f t="shared" ca="1" si="3"/>
        <v>Supplier 32</v>
      </c>
      <c r="P239" s="20" t="str">
        <f ca="1">IFERROR(VLOOKUP(O239,EMAILS!B:C,2,FALSE),"NOT FOUND IN EMAILS")</f>
        <v>supplier@gmail.com</v>
      </c>
      <c r="Q239" t="str">
        <f ca="1">""&amp;IFERROR(VLOOKUP(O239,EMAILS!B:D,3,FALSE),"NOT FOUND IN EMAILS")</f>
        <v/>
      </c>
      <c r="R239" t="str">
        <f ca="1">""&amp;IFERROR(VLOOKUP(O239,EMAILS!B:E,4,FALSE),"NO T FOUND IN EMAILS")</f>
        <v/>
      </c>
    </row>
    <row r="240" spans="2:18" x14ac:dyDescent="0.25">
      <c r="B240" s="5" t="s">
        <v>242</v>
      </c>
      <c r="C240" s="5" t="s">
        <v>4382</v>
      </c>
      <c r="D240" s="5">
        <v>0</v>
      </c>
      <c r="E240" s="5">
        <v>0</v>
      </c>
      <c r="F240" s="5">
        <v>0</v>
      </c>
      <c r="G240" s="5">
        <v>4</v>
      </c>
      <c r="H240" s="5">
        <v>4</v>
      </c>
      <c r="I240" s="5">
        <v>4</v>
      </c>
      <c r="J240" s="5">
        <v>0</v>
      </c>
      <c r="K240" s="5">
        <v>4</v>
      </c>
      <c r="L240" s="5">
        <v>4</v>
      </c>
      <c r="M240" s="5">
        <v>0</v>
      </c>
      <c r="N240" s="5">
        <v>95</v>
      </c>
      <c r="O240" s="5" t="str">
        <f t="shared" ca="1" si="3"/>
        <v>Supplier 131</v>
      </c>
      <c r="P240" s="20" t="str">
        <f ca="1">IFERROR(VLOOKUP(O240,EMAILS!B:C,2,FALSE),"NOT FOUND IN EMAILS")</f>
        <v>supplier@gmail.com</v>
      </c>
      <c r="Q240" t="str">
        <f ca="1">""&amp;IFERROR(VLOOKUP(O240,EMAILS!B:D,3,FALSE),"NOT FOUND IN EMAILS")</f>
        <v/>
      </c>
      <c r="R240" t="str">
        <f ca="1">""&amp;IFERROR(VLOOKUP(O240,EMAILS!B:E,4,FALSE),"NO T FOUND IN EMAILS")</f>
        <v/>
      </c>
    </row>
    <row r="241" spans="2:18" x14ac:dyDescent="0.25">
      <c r="B241" s="5" t="s">
        <v>243</v>
      </c>
      <c r="C241" s="5" t="s">
        <v>4383</v>
      </c>
      <c r="D241" s="5">
        <v>0</v>
      </c>
      <c r="E241" s="5">
        <v>0</v>
      </c>
      <c r="F241" s="5">
        <v>0</v>
      </c>
      <c r="G241" s="5">
        <v>4</v>
      </c>
      <c r="H241" s="5">
        <v>4</v>
      </c>
      <c r="I241" s="5">
        <v>4</v>
      </c>
      <c r="J241" s="5">
        <v>0</v>
      </c>
      <c r="K241" s="5">
        <v>4</v>
      </c>
      <c r="L241" s="5">
        <v>4</v>
      </c>
      <c r="M241" s="5">
        <v>0</v>
      </c>
      <c r="N241" s="5">
        <v>23</v>
      </c>
      <c r="O241" s="5" t="str">
        <f t="shared" ca="1" si="3"/>
        <v>Supplier 104</v>
      </c>
      <c r="P241" s="20" t="str">
        <f ca="1">IFERROR(VLOOKUP(O241,EMAILS!B:C,2,FALSE),"NOT FOUND IN EMAILS")</f>
        <v>supplier@gmail.com</v>
      </c>
      <c r="Q241" t="str">
        <f ca="1">""&amp;IFERROR(VLOOKUP(O241,EMAILS!B:D,3,FALSE),"NOT FOUND IN EMAILS")</f>
        <v/>
      </c>
      <c r="R241" t="str">
        <f ca="1">""&amp;IFERROR(VLOOKUP(O241,EMAILS!B:E,4,FALSE),"NO T FOUND IN EMAILS")</f>
        <v/>
      </c>
    </row>
    <row r="242" spans="2:18" x14ac:dyDescent="0.25">
      <c r="B242" s="5" t="s">
        <v>244</v>
      </c>
      <c r="C242" s="5" t="s">
        <v>4384</v>
      </c>
      <c r="D242" s="5">
        <v>0</v>
      </c>
      <c r="E242" s="5">
        <v>0</v>
      </c>
      <c r="F242" s="5">
        <v>0</v>
      </c>
      <c r="G242" s="5">
        <v>4</v>
      </c>
      <c r="H242" s="5">
        <v>4</v>
      </c>
      <c r="I242" s="5">
        <v>4</v>
      </c>
      <c r="J242" s="5">
        <v>0</v>
      </c>
      <c r="K242" s="5">
        <v>4</v>
      </c>
      <c r="L242" s="5">
        <v>4</v>
      </c>
      <c r="M242" s="5">
        <v>0</v>
      </c>
      <c r="N242" s="5">
        <v>8</v>
      </c>
      <c r="O242" s="5" t="str">
        <f t="shared" ca="1" si="3"/>
        <v>Supplier 129</v>
      </c>
      <c r="P242" s="20" t="str">
        <f ca="1">IFERROR(VLOOKUP(O242,EMAILS!B:C,2,FALSE),"NOT FOUND IN EMAILS")</f>
        <v>supplier@gmail.com</v>
      </c>
      <c r="Q242" t="str">
        <f ca="1">""&amp;IFERROR(VLOOKUP(O242,EMAILS!B:D,3,FALSE),"NOT FOUND IN EMAILS")</f>
        <v/>
      </c>
      <c r="R242" t="str">
        <f ca="1">""&amp;IFERROR(VLOOKUP(O242,EMAILS!B:E,4,FALSE),"NO T FOUND IN EMAILS")</f>
        <v/>
      </c>
    </row>
    <row r="243" spans="2:18" x14ac:dyDescent="0.25">
      <c r="B243" s="5" t="s">
        <v>245</v>
      </c>
      <c r="C243" s="5" t="s">
        <v>4385</v>
      </c>
      <c r="D243" s="5">
        <v>0</v>
      </c>
      <c r="E243" s="5">
        <v>0</v>
      </c>
      <c r="F243" s="5">
        <v>0</v>
      </c>
      <c r="G243" s="5">
        <v>16</v>
      </c>
      <c r="H243" s="5">
        <v>16</v>
      </c>
      <c r="I243" s="5">
        <v>16</v>
      </c>
      <c r="J243" s="5">
        <v>8</v>
      </c>
      <c r="K243" s="5">
        <v>16</v>
      </c>
      <c r="L243" s="5">
        <v>12</v>
      </c>
      <c r="M243" s="5">
        <v>0</v>
      </c>
      <c r="N243" s="5">
        <v>100</v>
      </c>
      <c r="O243" s="5" t="str">
        <f t="shared" ca="1" si="3"/>
        <v>Supplier 84</v>
      </c>
      <c r="P243" s="20" t="str">
        <f ca="1">IFERROR(VLOOKUP(O243,EMAILS!B:C,2,FALSE),"NOT FOUND IN EMAILS")</f>
        <v>supplier@gmail.com</v>
      </c>
      <c r="Q243" t="str">
        <f ca="1">""&amp;IFERROR(VLOOKUP(O243,EMAILS!B:D,3,FALSE),"NOT FOUND IN EMAILS")</f>
        <v/>
      </c>
      <c r="R243" t="str">
        <f ca="1">""&amp;IFERROR(VLOOKUP(O243,EMAILS!B:E,4,FALSE),"NO T FOUND IN EMAILS")</f>
        <v/>
      </c>
    </row>
    <row r="244" spans="2:18" x14ac:dyDescent="0.25">
      <c r="B244" s="5" t="s">
        <v>246</v>
      </c>
      <c r="C244" s="5" t="s">
        <v>4386</v>
      </c>
      <c r="D244" s="5">
        <v>30</v>
      </c>
      <c r="E244" s="5">
        <v>15</v>
      </c>
      <c r="F244" s="5">
        <v>15</v>
      </c>
      <c r="G244" s="5">
        <v>30</v>
      </c>
      <c r="H244" s="5">
        <v>30</v>
      </c>
      <c r="I244" s="5">
        <v>15</v>
      </c>
      <c r="J244" s="5">
        <v>30</v>
      </c>
      <c r="K244" s="5">
        <v>15</v>
      </c>
      <c r="L244" s="5">
        <v>30</v>
      </c>
      <c r="M244" s="5">
        <v>0</v>
      </c>
      <c r="N244" s="5">
        <v>145</v>
      </c>
      <c r="O244" s="5" t="str">
        <f t="shared" ca="1" si="3"/>
        <v>Supplier 137</v>
      </c>
      <c r="P244" s="20" t="str">
        <f ca="1">IFERROR(VLOOKUP(O244,EMAILS!B:C,2,FALSE),"NOT FOUND IN EMAILS")</f>
        <v>supplier@gmail.com</v>
      </c>
      <c r="Q244" t="str">
        <f ca="1">""&amp;IFERROR(VLOOKUP(O244,EMAILS!B:D,3,FALSE),"NOT FOUND IN EMAILS")</f>
        <v/>
      </c>
      <c r="R244" t="str">
        <f ca="1">""&amp;IFERROR(VLOOKUP(O244,EMAILS!B:E,4,FALSE),"NO T FOUND IN EMAILS")</f>
        <v/>
      </c>
    </row>
    <row r="245" spans="2:18" x14ac:dyDescent="0.25">
      <c r="B245" s="5" t="s">
        <v>247</v>
      </c>
      <c r="C245" s="5" t="s">
        <v>4387</v>
      </c>
      <c r="D245" s="5">
        <v>6</v>
      </c>
      <c r="E245" s="5">
        <v>0</v>
      </c>
      <c r="F245" s="5">
        <v>5</v>
      </c>
      <c r="G245" s="5">
        <v>6</v>
      </c>
      <c r="H245" s="5">
        <v>7</v>
      </c>
      <c r="I245" s="5">
        <v>5</v>
      </c>
      <c r="J245" s="5">
        <v>4</v>
      </c>
      <c r="K245" s="5">
        <v>4</v>
      </c>
      <c r="L245" s="5">
        <v>4</v>
      </c>
      <c r="M245" s="5">
        <v>0</v>
      </c>
      <c r="N245" s="5">
        <v>36</v>
      </c>
      <c r="O245" s="5" t="str">
        <f t="shared" ca="1" si="3"/>
        <v>Supplier 47</v>
      </c>
      <c r="P245" s="20" t="str">
        <f ca="1">IFERROR(VLOOKUP(O245,EMAILS!B:C,2,FALSE),"NOT FOUND IN EMAILS")</f>
        <v>supplier@gmail.com</v>
      </c>
      <c r="Q245" t="str">
        <f ca="1">""&amp;IFERROR(VLOOKUP(O245,EMAILS!B:D,3,FALSE),"NOT FOUND IN EMAILS")</f>
        <v/>
      </c>
      <c r="R245" t="str">
        <f ca="1">""&amp;IFERROR(VLOOKUP(O245,EMAILS!B:E,4,FALSE),"NO T FOUND IN EMAILS")</f>
        <v/>
      </c>
    </row>
    <row r="246" spans="2:18" x14ac:dyDescent="0.25">
      <c r="B246" s="5" t="s">
        <v>248</v>
      </c>
      <c r="C246" s="5" t="s">
        <v>4388</v>
      </c>
      <c r="D246" s="5">
        <v>6</v>
      </c>
      <c r="E246" s="5">
        <v>0</v>
      </c>
      <c r="F246" s="5">
        <v>5</v>
      </c>
      <c r="G246" s="5">
        <v>4</v>
      </c>
      <c r="H246" s="5">
        <v>5</v>
      </c>
      <c r="I246" s="5">
        <v>3</v>
      </c>
      <c r="J246" s="5">
        <v>4</v>
      </c>
      <c r="K246" s="5">
        <v>2</v>
      </c>
      <c r="L246" s="5">
        <v>2</v>
      </c>
      <c r="M246" s="5">
        <v>0</v>
      </c>
      <c r="N246" s="5">
        <v>36</v>
      </c>
      <c r="O246" s="5" t="str">
        <f t="shared" ca="1" si="3"/>
        <v>Supplier 181</v>
      </c>
      <c r="P246" s="20" t="str">
        <f ca="1">IFERROR(VLOOKUP(O246,EMAILS!B:C,2,FALSE),"NOT FOUND IN EMAILS")</f>
        <v>supplier@gmail.com</v>
      </c>
      <c r="Q246" t="str">
        <f ca="1">""&amp;IFERROR(VLOOKUP(O246,EMAILS!B:D,3,FALSE),"NOT FOUND IN EMAILS")</f>
        <v/>
      </c>
      <c r="R246" t="str">
        <f ca="1">""&amp;IFERROR(VLOOKUP(O246,EMAILS!B:E,4,FALSE),"NO T FOUND IN EMAILS")</f>
        <v/>
      </c>
    </row>
    <row r="247" spans="2:18" x14ac:dyDescent="0.25">
      <c r="B247" s="5" t="s">
        <v>249</v>
      </c>
      <c r="C247" s="5" t="s">
        <v>4389</v>
      </c>
      <c r="D247" s="5">
        <v>6</v>
      </c>
      <c r="E247" s="5">
        <v>0</v>
      </c>
      <c r="F247" s="5">
        <v>5</v>
      </c>
      <c r="G247" s="5">
        <v>4</v>
      </c>
      <c r="H247" s="5">
        <v>5</v>
      </c>
      <c r="I247" s="5">
        <v>3</v>
      </c>
      <c r="J247" s="5">
        <v>4</v>
      </c>
      <c r="K247" s="5">
        <v>2</v>
      </c>
      <c r="L247" s="5">
        <v>2</v>
      </c>
      <c r="M247" s="5">
        <v>0</v>
      </c>
      <c r="N247" s="5">
        <v>37</v>
      </c>
      <c r="O247" s="5" t="str">
        <f t="shared" ca="1" si="3"/>
        <v>Supplier 113</v>
      </c>
      <c r="P247" s="20" t="str">
        <f ca="1">IFERROR(VLOOKUP(O247,EMAILS!B:C,2,FALSE),"NOT FOUND IN EMAILS")</f>
        <v>supplier@gmail.com</v>
      </c>
      <c r="Q247" t="str">
        <f ca="1">""&amp;IFERROR(VLOOKUP(O247,EMAILS!B:D,3,FALSE),"NOT FOUND IN EMAILS")</f>
        <v/>
      </c>
      <c r="R247" t="str">
        <f ca="1">""&amp;IFERROR(VLOOKUP(O247,EMAILS!B:E,4,FALSE),"NO T FOUND IN EMAILS")</f>
        <v/>
      </c>
    </row>
    <row r="248" spans="2:18" x14ac:dyDescent="0.25">
      <c r="B248" s="5" t="s">
        <v>250</v>
      </c>
      <c r="C248" s="5" t="s">
        <v>4390</v>
      </c>
      <c r="D248" s="5">
        <v>0</v>
      </c>
      <c r="E248" s="5">
        <v>0</v>
      </c>
      <c r="F248" s="5">
        <v>0</v>
      </c>
      <c r="G248" s="5">
        <v>0</v>
      </c>
      <c r="H248" s="5">
        <v>0</v>
      </c>
      <c r="I248" s="5">
        <v>0</v>
      </c>
      <c r="J248" s="5">
        <v>0</v>
      </c>
      <c r="K248" s="5">
        <v>0</v>
      </c>
      <c r="L248" s="5">
        <v>0</v>
      </c>
      <c r="M248" s="5">
        <v>0</v>
      </c>
      <c r="N248" s="5">
        <v>45</v>
      </c>
      <c r="O248" s="5" t="str">
        <f t="shared" ca="1" si="3"/>
        <v>Supplier 35</v>
      </c>
      <c r="P248" s="20" t="str">
        <f ca="1">IFERROR(VLOOKUP(O248,EMAILS!B:C,2,FALSE),"NOT FOUND IN EMAILS")</f>
        <v>supplier@gmail.com</v>
      </c>
      <c r="Q248" t="str">
        <f ca="1">""&amp;IFERROR(VLOOKUP(O248,EMAILS!B:D,3,FALSE),"NOT FOUND IN EMAILS")</f>
        <v/>
      </c>
      <c r="R248" t="str">
        <f ca="1">""&amp;IFERROR(VLOOKUP(O248,EMAILS!B:E,4,FALSE),"NO T FOUND IN EMAILS")</f>
        <v/>
      </c>
    </row>
    <row r="249" spans="2:18" x14ac:dyDescent="0.25">
      <c r="B249" s="5" t="s">
        <v>251</v>
      </c>
      <c r="C249" s="5" t="s">
        <v>4391</v>
      </c>
      <c r="D249" s="5">
        <v>0</v>
      </c>
      <c r="E249" s="5">
        <v>0</v>
      </c>
      <c r="F249" s="5">
        <v>0</v>
      </c>
      <c r="G249" s="5">
        <v>0</v>
      </c>
      <c r="H249" s="5">
        <v>0</v>
      </c>
      <c r="I249" s="5">
        <v>0</v>
      </c>
      <c r="J249" s="5">
        <v>0</v>
      </c>
      <c r="K249" s="5">
        <v>0</v>
      </c>
      <c r="L249" s="5">
        <v>0</v>
      </c>
      <c r="M249" s="5">
        <v>0</v>
      </c>
      <c r="N249" s="5">
        <v>23</v>
      </c>
      <c r="O249" s="5" t="str">
        <f t="shared" ca="1" si="3"/>
        <v>Supplier 100</v>
      </c>
      <c r="P249" s="20" t="str">
        <f ca="1">IFERROR(VLOOKUP(O249,EMAILS!B:C,2,FALSE),"NOT FOUND IN EMAILS")</f>
        <v>supplier@gmail.com</v>
      </c>
      <c r="Q249" t="str">
        <f ca="1">""&amp;IFERROR(VLOOKUP(O249,EMAILS!B:D,3,FALSE),"NOT FOUND IN EMAILS")</f>
        <v/>
      </c>
      <c r="R249" t="str">
        <f ca="1">""&amp;IFERROR(VLOOKUP(O249,EMAILS!B:E,4,FALSE),"NO T FOUND IN EMAILS")</f>
        <v/>
      </c>
    </row>
    <row r="250" spans="2:18" x14ac:dyDescent="0.25">
      <c r="B250" s="5" t="s">
        <v>252</v>
      </c>
      <c r="C250" s="5" t="s">
        <v>4392</v>
      </c>
      <c r="D250" s="5">
        <v>1</v>
      </c>
      <c r="E250" s="5">
        <v>9</v>
      </c>
      <c r="F250" s="5">
        <v>7</v>
      </c>
      <c r="G250" s="5">
        <v>6</v>
      </c>
      <c r="H250" s="5">
        <v>5</v>
      </c>
      <c r="I250" s="5">
        <v>6</v>
      </c>
      <c r="J250" s="5">
        <v>3</v>
      </c>
      <c r="K250" s="5">
        <v>2</v>
      </c>
      <c r="L250" s="5">
        <v>2</v>
      </c>
      <c r="M250" s="5">
        <v>0</v>
      </c>
      <c r="N250" s="5">
        <v>24</v>
      </c>
      <c r="O250" s="5" t="str">
        <f t="shared" ca="1" si="3"/>
        <v>Supplier 169</v>
      </c>
      <c r="P250" s="20" t="str">
        <f ca="1">IFERROR(VLOOKUP(O250,EMAILS!B:C,2,FALSE),"NOT FOUND IN EMAILS")</f>
        <v>supplier@gmail.com</v>
      </c>
      <c r="Q250" t="str">
        <f ca="1">""&amp;IFERROR(VLOOKUP(O250,EMAILS!B:D,3,FALSE),"NOT FOUND IN EMAILS")</f>
        <v/>
      </c>
      <c r="R250" t="str">
        <f ca="1">""&amp;IFERROR(VLOOKUP(O250,EMAILS!B:E,4,FALSE),"NO T FOUND IN EMAILS")</f>
        <v/>
      </c>
    </row>
    <row r="251" spans="2:18" x14ac:dyDescent="0.25">
      <c r="B251" s="5" t="s">
        <v>253</v>
      </c>
      <c r="C251" s="5" t="s">
        <v>4393</v>
      </c>
      <c r="D251" s="5">
        <v>0</v>
      </c>
      <c r="E251" s="5">
        <v>0</v>
      </c>
      <c r="F251" s="5">
        <v>0</v>
      </c>
      <c r="G251" s="5">
        <v>2</v>
      </c>
      <c r="H251" s="5">
        <v>2</v>
      </c>
      <c r="I251" s="5">
        <v>2</v>
      </c>
      <c r="J251" s="5">
        <v>0</v>
      </c>
      <c r="K251" s="5">
        <v>2</v>
      </c>
      <c r="L251" s="5">
        <v>2</v>
      </c>
      <c r="M251" s="5">
        <v>0</v>
      </c>
      <c r="N251" s="5">
        <v>15</v>
      </c>
      <c r="O251" s="5" t="str">
        <f t="shared" ca="1" si="3"/>
        <v>Supplier 33</v>
      </c>
      <c r="P251" s="20" t="str">
        <f ca="1">IFERROR(VLOOKUP(O251,EMAILS!B:C,2,FALSE),"NOT FOUND IN EMAILS")</f>
        <v>supplier@gmail.com</v>
      </c>
      <c r="Q251" t="str">
        <f ca="1">""&amp;IFERROR(VLOOKUP(O251,EMAILS!B:D,3,FALSE),"NOT FOUND IN EMAILS")</f>
        <v/>
      </c>
      <c r="R251" t="str">
        <f ca="1">""&amp;IFERROR(VLOOKUP(O251,EMAILS!B:E,4,FALSE),"NO T FOUND IN EMAILS")</f>
        <v/>
      </c>
    </row>
    <row r="252" spans="2:18" x14ac:dyDescent="0.25">
      <c r="B252" s="5" t="s">
        <v>254</v>
      </c>
      <c r="C252" s="5" t="s">
        <v>4394</v>
      </c>
      <c r="D252" s="5">
        <v>0</v>
      </c>
      <c r="E252" s="5">
        <v>0</v>
      </c>
      <c r="F252" s="5">
        <v>0</v>
      </c>
      <c r="G252" s="5">
        <v>2</v>
      </c>
      <c r="H252" s="5">
        <v>2</v>
      </c>
      <c r="I252" s="5">
        <v>2</v>
      </c>
      <c r="J252" s="5">
        <v>2</v>
      </c>
      <c r="K252" s="5">
        <v>2</v>
      </c>
      <c r="L252" s="5">
        <v>1</v>
      </c>
      <c r="M252" s="5">
        <v>0</v>
      </c>
      <c r="N252" s="5">
        <v>1</v>
      </c>
      <c r="O252" s="5" t="str">
        <f t="shared" ca="1" si="3"/>
        <v>Supplier 64</v>
      </c>
      <c r="P252" s="20" t="str">
        <f ca="1">IFERROR(VLOOKUP(O252,EMAILS!B:C,2,FALSE),"NOT FOUND IN EMAILS")</f>
        <v>supplier@gmail.com</v>
      </c>
      <c r="Q252" t="str">
        <f ca="1">""&amp;IFERROR(VLOOKUP(O252,EMAILS!B:D,3,FALSE),"NOT FOUND IN EMAILS")</f>
        <v/>
      </c>
      <c r="R252" t="str">
        <f ca="1">""&amp;IFERROR(VLOOKUP(O252,EMAILS!B:E,4,FALSE),"NO T FOUND IN EMAILS")</f>
        <v/>
      </c>
    </row>
    <row r="253" spans="2:18" x14ac:dyDescent="0.25">
      <c r="B253" s="5" t="s">
        <v>255</v>
      </c>
      <c r="C253" s="5" t="s">
        <v>4395</v>
      </c>
      <c r="D253" s="5">
        <v>0</v>
      </c>
      <c r="E253" s="5">
        <v>0</v>
      </c>
      <c r="F253" s="5">
        <v>0</v>
      </c>
      <c r="G253" s="5">
        <v>0</v>
      </c>
      <c r="H253" s="5">
        <v>0</v>
      </c>
      <c r="I253" s="5">
        <v>0</v>
      </c>
      <c r="J253" s="5">
        <v>0</v>
      </c>
      <c r="K253" s="5">
        <v>0</v>
      </c>
      <c r="L253" s="5">
        <v>0</v>
      </c>
      <c r="M253" s="5">
        <v>0</v>
      </c>
      <c r="N253" s="5">
        <v>1</v>
      </c>
      <c r="O253" s="5" t="str">
        <f t="shared" ca="1" si="3"/>
        <v>Supplier 110</v>
      </c>
      <c r="P253" s="20" t="str">
        <f ca="1">IFERROR(VLOOKUP(O253,EMAILS!B:C,2,FALSE),"NOT FOUND IN EMAILS")</f>
        <v>supplier@gmail.com</v>
      </c>
      <c r="Q253" t="str">
        <f ca="1">""&amp;IFERROR(VLOOKUP(O253,EMAILS!B:D,3,FALSE),"NOT FOUND IN EMAILS")</f>
        <v/>
      </c>
      <c r="R253" t="str">
        <f ca="1">""&amp;IFERROR(VLOOKUP(O253,EMAILS!B:E,4,FALSE),"NO T FOUND IN EMAILS")</f>
        <v/>
      </c>
    </row>
    <row r="254" spans="2:18" x14ac:dyDescent="0.25">
      <c r="B254" s="5" t="s">
        <v>256</v>
      </c>
      <c r="C254" s="5" t="s">
        <v>4396</v>
      </c>
      <c r="D254" s="5">
        <v>0</v>
      </c>
      <c r="E254" s="5">
        <v>0</v>
      </c>
      <c r="F254" s="5">
        <v>0</v>
      </c>
      <c r="G254" s="5">
        <v>0</v>
      </c>
      <c r="H254" s="5">
        <v>0</v>
      </c>
      <c r="I254" s="5">
        <v>0</v>
      </c>
      <c r="J254" s="5">
        <v>0</v>
      </c>
      <c r="K254" s="5">
        <v>0</v>
      </c>
      <c r="L254" s="5">
        <v>0</v>
      </c>
      <c r="M254" s="5">
        <v>0</v>
      </c>
      <c r="N254" s="5">
        <v>423</v>
      </c>
      <c r="O254" s="5" t="str">
        <f t="shared" ca="1" si="3"/>
        <v>Supplier 48</v>
      </c>
      <c r="P254" s="20" t="str">
        <f ca="1">IFERROR(VLOOKUP(O254,EMAILS!B:C,2,FALSE),"NOT FOUND IN EMAILS")</f>
        <v>supplier@gmail.com</v>
      </c>
      <c r="Q254" t="str">
        <f ca="1">""&amp;IFERROR(VLOOKUP(O254,EMAILS!B:D,3,FALSE),"NOT FOUND IN EMAILS")</f>
        <v/>
      </c>
      <c r="R254" t="str">
        <f ca="1">""&amp;IFERROR(VLOOKUP(O254,EMAILS!B:E,4,FALSE),"NO T FOUND IN EMAILS")</f>
        <v/>
      </c>
    </row>
    <row r="255" spans="2:18" x14ac:dyDescent="0.25">
      <c r="B255" s="5" t="s">
        <v>257</v>
      </c>
      <c r="C255" s="5" t="s">
        <v>4397</v>
      </c>
      <c r="D255" s="5">
        <v>36</v>
      </c>
      <c r="E255" s="5">
        <v>0</v>
      </c>
      <c r="F255" s="5">
        <v>30</v>
      </c>
      <c r="G255" s="5">
        <v>36</v>
      </c>
      <c r="H255" s="5">
        <v>42</v>
      </c>
      <c r="I255" s="5">
        <v>30</v>
      </c>
      <c r="J255" s="5">
        <v>24</v>
      </c>
      <c r="K255" s="5">
        <v>24</v>
      </c>
      <c r="L255" s="5">
        <v>24</v>
      </c>
      <c r="M255" s="5">
        <v>0</v>
      </c>
      <c r="N255" s="5">
        <v>340</v>
      </c>
      <c r="O255" s="5" t="str">
        <f t="shared" ca="1" si="3"/>
        <v>Supplier 130</v>
      </c>
      <c r="P255" s="20" t="str">
        <f ca="1">IFERROR(VLOOKUP(O255,EMAILS!B:C,2,FALSE),"NOT FOUND IN EMAILS")</f>
        <v>supplier@gmail.com</v>
      </c>
      <c r="Q255" t="str">
        <f ca="1">""&amp;IFERROR(VLOOKUP(O255,EMAILS!B:D,3,FALSE),"NOT FOUND IN EMAILS")</f>
        <v/>
      </c>
      <c r="R255" t="str">
        <f ca="1">""&amp;IFERROR(VLOOKUP(O255,EMAILS!B:E,4,FALSE),"NO T FOUND IN EMAILS")</f>
        <v/>
      </c>
    </row>
    <row r="256" spans="2:18" x14ac:dyDescent="0.25">
      <c r="B256" s="5" t="s">
        <v>258</v>
      </c>
      <c r="C256" s="5" t="s">
        <v>4398</v>
      </c>
      <c r="D256" s="5">
        <v>36</v>
      </c>
      <c r="E256" s="5">
        <v>0</v>
      </c>
      <c r="F256" s="5">
        <v>30</v>
      </c>
      <c r="G256" s="5">
        <v>36</v>
      </c>
      <c r="H256" s="5">
        <v>42</v>
      </c>
      <c r="I256" s="5">
        <v>30</v>
      </c>
      <c r="J256" s="5">
        <v>24</v>
      </c>
      <c r="K256" s="5">
        <v>24</v>
      </c>
      <c r="L256" s="5">
        <v>24</v>
      </c>
      <c r="M256" s="5">
        <v>0</v>
      </c>
      <c r="N256" s="5">
        <v>124</v>
      </c>
      <c r="O256" s="5" t="str">
        <f t="shared" ca="1" si="3"/>
        <v>Supplier 160</v>
      </c>
      <c r="P256" s="20" t="str">
        <f ca="1">IFERROR(VLOOKUP(O256,EMAILS!B:C,2,FALSE),"NOT FOUND IN EMAILS")</f>
        <v>supplier@gmail.com</v>
      </c>
      <c r="Q256" t="str">
        <f ca="1">""&amp;IFERROR(VLOOKUP(O256,EMAILS!B:D,3,FALSE),"NOT FOUND IN EMAILS")</f>
        <v/>
      </c>
      <c r="R256" t="str">
        <f ca="1">""&amp;IFERROR(VLOOKUP(O256,EMAILS!B:E,4,FALSE),"NO T FOUND IN EMAILS")</f>
        <v/>
      </c>
    </row>
    <row r="257" spans="2:18" x14ac:dyDescent="0.25">
      <c r="B257" s="5" t="s">
        <v>259</v>
      </c>
      <c r="C257" s="5" t="s">
        <v>4399</v>
      </c>
      <c r="D257" s="5">
        <v>0</v>
      </c>
      <c r="E257" s="5">
        <v>0</v>
      </c>
      <c r="F257" s="5">
        <v>0</v>
      </c>
      <c r="G257" s="5">
        <v>12</v>
      </c>
      <c r="H257" s="5">
        <v>12</v>
      </c>
      <c r="I257" s="5">
        <v>12</v>
      </c>
      <c r="J257" s="5">
        <v>0</v>
      </c>
      <c r="K257" s="5">
        <v>12</v>
      </c>
      <c r="L257" s="5">
        <v>12</v>
      </c>
      <c r="M257" s="5">
        <v>0</v>
      </c>
      <c r="N257" s="5">
        <v>133</v>
      </c>
      <c r="O257" s="5" t="str">
        <f t="shared" ca="1" si="3"/>
        <v>Supplier 200</v>
      </c>
      <c r="P257" s="20" t="str">
        <f ca="1">IFERROR(VLOOKUP(O257,EMAILS!B:C,2,FALSE),"NOT FOUND IN EMAILS")</f>
        <v>supplier@gmail.com</v>
      </c>
      <c r="Q257" t="str">
        <f ca="1">""&amp;IFERROR(VLOOKUP(O257,EMAILS!B:D,3,FALSE),"NOT FOUND IN EMAILS")</f>
        <v/>
      </c>
      <c r="R257" t="str">
        <f ca="1">""&amp;IFERROR(VLOOKUP(O257,EMAILS!B:E,4,FALSE),"NO T FOUND IN EMAILS")</f>
        <v/>
      </c>
    </row>
    <row r="258" spans="2:18" x14ac:dyDescent="0.25">
      <c r="B258" s="5" t="s">
        <v>260</v>
      </c>
      <c r="C258" s="5" t="s">
        <v>4400</v>
      </c>
      <c r="D258" s="5">
        <v>24</v>
      </c>
      <c r="E258" s="5">
        <v>0</v>
      </c>
      <c r="F258" s="5">
        <v>20</v>
      </c>
      <c r="G258" s="5">
        <v>24</v>
      </c>
      <c r="H258" s="5">
        <v>28</v>
      </c>
      <c r="I258" s="5">
        <v>20</v>
      </c>
      <c r="J258" s="5">
        <v>16</v>
      </c>
      <c r="K258" s="5">
        <v>16</v>
      </c>
      <c r="L258" s="5">
        <v>16</v>
      </c>
      <c r="M258" s="5">
        <v>0</v>
      </c>
      <c r="N258" s="5">
        <v>94</v>
      </c>
      <c r="O258" s="5" t="str">
        <f t="shared" ca="1" si="3"/>
        <v>Supplier 47</v>
      </c>
      <c r="P258" s="20" t="str">
        <f ca="1">IFERROR(VLOOKUP(O258,EMAILS!B:C,2,FALSE),"NOT FOUND IN EMAILS")</f>
        <v>supplier@gmail.com</v>
      </c>
      <c r="Q258" t="str">
        <f ca="1">""&amp;IFERROR(VLOOKUP(O258,EMAILS!B:D,3,FALSE),"NOT FOUND IN EMAILS")</f>
        <v/>
      </c>
      <c r="R258" t="str">
        <f ca="1">""&amp;IFERROR(VLOOKUP(O258,EMAILS!B:E,4,FALSE),"NO T FOUND IN EMAILS")</f>
        <v/>
      </c>
    </row>
    <row r="259" spans="2:18" x14ac:dyDescent="0.25">
      <c r="B259" s="5" t="s">
        <v>261</v>
      </c>
      <c r="C259" s="5" t="s">
        <v>4401</v>
      </c>
      <c r="D259" s="5">
        <v>6</v>
      </c>
      <c r="E259" s="5">
        <v>0</v>
      </c>
      <c r="F259" s="5">
        <v>5</v>
      </c>
      <c r="G259" s="5">
        <v>4</v>
      </c>
      <c r="H259" s="5">
        <v>5</v>
      </c>
      <c r="I259" s="5">
        <v>3</v>
      </c>
      <c r="J259" s="5">
        <v>4</v>
      </c>
      <c r="K259" s="5">
        <v>2</v>
      </c>
      <c r="L259" s="5">
        <v>2</v>
      </c>
      <c r="M259" s="5">
        <v>0</v>
      </c>
      <c r="N259" s="5">
        <v>86</v>
      </c>
      <c r="O259" s="5" t="str">
        <f t="shared" ref="O259:O322" ca="1" si="4">"Supplier "&amp;RANDBETWEEN(1,200)</f>
        <v>Supplier 191</v>
      </c>
      <c r="P259" s="20" t="str">
        <f ca="1">IFERROR(VLOOKUP(O259,EMAILS!B:C,2,FALSE),"NOT FOUND IN EMAILS")</f>
        <v>supplier@gmail.com</v>
      </c>
      <c r="Q259" t="str">
        <f ca="1">""&amp;IFERROR(VLOOKUP(O259,EMAILS!B:D,3,FALSE),"NOT FOUND IN EMAILS")</f>
        <v/>
      </c>
      <c r="R259" t="str">
        <f ca="1">""&amp;IFERROR(VLOOKUP(O259,EMAILS!B:E,4,FALSE),"NO T FOUND IN EMAILS")</f>
        <v/>
      </c>
    </row>
    <row r="260" spans="2:18" x14ac:dyDescent="0.25">
      <c r="B260" s="5" t="s">
        <v>262</v>
      </c>
      <c r="C260" s="5" t="s">
        <v>4402</v>
      </c>
      <c r="D260" s="5">
        <v>0</v>
      </c>
      <c r="E260" s="5">
        <v>0</v>
      </c>
      <c r="F260" s="5">
        <v>0</v>
      </c>
      <c r="G260" s="5">
        <v>2</v>
      </c>
      <c r="H260" s="5">
        <v>2</v>
      </c>
      <c r="I260" s="5">
        <v>2</v>
      </c>
      <c r="J260" s="5">
        <v>0</v>
      </c>
      <c r="K260" s="5">
        <v>2</v>
      </c>
      <c r="L260" s="5">
        <v>2</v>
      </c>
      <c r="M260" s="5">
        <v>0</v>
      </c>
      <c r="N260" s="5">
        <v>179</v>
      </c>
      <c r="O260" s="5" t="str">
        <f t="shared" ca="1" si="4"/>
        <v>Supplier 61</v>
      </c>
      <c r="P260" s="20" t="str">
        <f ca="1">IFERROR(VLOOKUP(O260,EMAILS!B:C,2,FALSE),"NOT FOUND IN EMAILS")</f>
        <v>supplier@gmail.com</v>
      </c>
      <c r="Q260" t="str">
        <f ca="1">""&amp;IFERROR(VLOOKUP(O260,EMAILS!B:D,3,FALSE),"NOT FOUND IN EMAILS")</f>
        <v/>
      </c>
      <c r="R260" t="str">
        <f ca="1">""&amp;IFERROR(VLOOKUP(O260,EMAILS!B:E,4,FALSE),"NO T FOUND IN EMAILS")</f>
        <v/>
      </c>
    </row>
    <row r="261" spans="2:18" x14ac:dyDescent="0.25">
      <c r="B261" s="5" t="s">
        <v>263</v>
      </c>
      <c r="C261" s="5" t="s">
        <v>4403</v>
      </c>
      <c r="D261" s="5">
        <v>24</v>
      </c>
      <c r="E261" s="5">
        <v>0</v>
      </c>
      <c r="F261" s="5">
        <v>20</v>
      </c>
      <c r="G261" s="5">
        <v>24</v>
      </c>
      <c r="H261" s="5">
        <v>28</v>
      </c>
      <c r="I261" s="5">
        <v>20</v>
      </c>
      <c r="J261" s="5">
        <v>16</v>
      </c>
      <c r="K261" s="5">
        <v>16</v>
      </c>
      <c r="L261" s="5">
        <v>16</v>
      </c>
      <c r="M261" s="5">
        <v>0</v>
      </c>
      <c r="N261" s="5">
        <v>251</v>
      </c>
      <c r="O261" s="5" t="str">
        <f t="shared" ca="1" si="4"/>
        <v>Supplier 106</v>
      </c>
      <c r="P261" s="20" t="str">
        <f ca="1">IFERROR(VLOOKUP(O261,EMAILS!B:C,2,FALSE),"NOT FOUND IN EMAILS")</f>
        <v>supplier@gmail.com</v>
      </c>
      <c r="Q261" t="str">
        <f ca="1">""&amp;IFERROR(VLOOKUP(O261,EMAILS!B:D,3,FALSE),"NOT FOUND IN EMAILS")</f>
        <v/>
      </c>
      <c r="R261" t="str">
        <f ca="1">""&amp;IFERROR(VLOOKUP(O261,EMAILS!B:E,4,FALSE),"NO T FOUND IN EMAILS")</f>
        <v/>
      </c>
    </row>
    <row r="262" spans="2:18" x14ac:dyDescent="0.25">
      <c r="B262" s="5" t="s">
        <v>264</v>
      </c>
      <c r="C262" s="5" t="s">
        <v>4404</v>
      </c>
      <c r="D262" s="5">
        <v>0</v>
      </c>
      <c r="E262" s="5">
        <v>0</v>
      </c>
      <c r="F262" s="5">
        <v>0</v>
      </c>
      <c r="G262" s="5">
        <v>8</v>
      </c>
      <c r="H262" s="5">
        <v>8</v>
      </c>
      <c r="I262" s="5">
        <v>8</v>
      </c>
      <c r="J262" s="5">
        <v>0</v>
      </c>
      <c r="K262" s="5">
        <v>8</v>
      </c>
      <c r="L262" s="5">
        <v>8</v>
      </c>
      <c r="M262" s="5">
        <v>0</v>
      </c>
      <c r="N262" s="5">
        <v>603</v>
      </c>
      <c r="O262" s="5" t="str">
        <f t="shared" ca="1" si="4"/>
        <v>Supplier 85</v>
      </c>
      <c r="P262" s="20" t="str">
        <f ca="1">IFERROR(VLOOKUP(O262,EMAILS!B:C,2,FALSE),"NOT FOUND IN EMAILS")</f>
        <v>supplier@gmail.com</v>
      </c>
      <c r="Q262" t="str">
        <f ca="1">""&amp;IFERROR(VLOOKUP(O262,EMAILS!B:D,3,FALSE),"NOT FOUND IN EMAILS")</f>
        <v/>
      </c>
      <c r="R262" t="str">
        <f ca="1">""&amp;IFERROR(VLOOKUP(O262,EMAILS!B:E,4,FALSE),"NO T FOUND IN EMAILS")</f>
        <v/>
      </c>
    </row>
    <row r="263" spans="2:18" x14ac:dyDescent="0.25">
      <c r="B263" s="5" t="s">
        <v>265</v>
      </c>
      <c r="C263" s="5" t="s">
        <v>4405</v>
      </c>
      <c r="D263" s="5">
        <v>56</v>
      </c>
      <c r="E263" s="5">
        <v>72</v>
      </c>
      <c r="F263" s="5">
        <v>96</v>
      </c>
      <c r="G263" s="5">
        <v>80</v>
      </c>
      <c r="H263" s="5">
        <v>80</v>
      </c>
      <c r="I263" s="5">
        <v>72</v>
      </c>
      <c r="J263" s="5">
        <v>56</v>
      </c>
      <c r="K263" s="5">
        <v>32</v>
      </c>
      <c r="L263" s="5">
        <v>32</v>
      </c>
      <c r="M263" s="5">
        <v>0</v>
      </c>
      <c r="N263" s="5">
        <v>810</v>
      </c>
      <c r="O263" s="5" t="str">
        <f t="shared" ca="1" si="4"/>
        <v>Supplier 171</v>
      </c>
      <c r="P263" s="20" t="str">
        <f ca="1">IFERROR(VLOOKUP(O263,EMAILS!B:C,2,FALSE),"NOT FOUND IN EMAILS")</f>
        <v>supplier@gmail.com</v>
      </c>
      <c r="Q263" t="str">
        <f ca="1">""&amp;IFERROR(VLOOKUP(O263,EMAILS!B:D,3,FALSE),"NOT FOUND IN EMAILS")</f>
        <v/>
      </c>
      <c r="R263" t="str">
        <f ca="1">""&amp;IFERROR(VLOOKUP(O263,EMAILS!B:E,4,FALSE),"NO T FOUND IN EMAILS")</f>
        <v/>
      </c>
    </row>
    <row r="264" spans="2:18" x14ac:dyDescent="0.25">
      <c r="B264" s="5" t="s">
        <v>266</v>
      </c>
      <c r="C264" s="5" t="s">
        <v>4406</v>
      </c>
      <c r="D264" s="5">
        <v>28</v>
      </c>
      <c r="E264" s="5">
        <v>36</v>
      </c>
      <c r="F264" s="5">
        <v>48</v>
      </c>
      <c r="G264" s="5">
        <v>40</v>
      </c>
      <c r="H264" s="5">
        <v>40</v>
      </c>
      <c r="I264" s="5">
        <v>36</v>
      </c>
      <c r="J264" s="5">
        <v>28</v>
      </c>
      <c r="K264" s="5">
        <v>16</v>
      </c>
      <c r="L264" s="5">
        <v>16</v>
      </c>
      <c r="M264" s="5">
        <v>0</v>
      </c>
      <c r="N264" s="5">
        <v>14</v>
      </c>
      <c r="O264" s="5" t="str">
        <f t="shared" ca="1" si="4"/>
        <v>Supplier 52</v>
      </c>
      <c r="P264" s="20" t="str">
        <f ca="1">IFERROR(VLOOKUP(O264,EMAILS!B:C,2,FALSE),"NOT FOUND IN EMAILS")</f>
        <v>supplier@gmail.com</v>
      </c>
      <c r="Q264" t="str">
        <f ca="1">""&amp;IFERROR(VLOOKUP(O264,EMAILS!B:D,3,FALSE),"NOT FOUND IN EMAILS")</f>
        <v/>
      </c>
      <c r="R264" t="str">
        <f ca="1">""&amp;IFERROR(VLOOKUP(O264,EMAILS!B:E,4,FALSE),"NO T FOUND IN EMAILS")</f>
        <v/>
      </c>
    </row>
    <row r="265" spans="2:18" x14ac:dyDescent="0.25">
      <c r="B265" s="5" t="s">
        <v>267</v>
      </c>
      <c r="C265" s="5" t="s">
        <v>4407</v>
      </c>
      <c r="D265" s="5">
        <v>0</v>
      </c>
      <c r="E265" s="5">
        <v>0</v>
      </c>
      <c r="F265" s="5">
        <v>0</v>
      </c>
      <c r="G265" s="5">
        <v>16</v>
      </c>
      <c r="H265" s="5">
        <v>16</v>
      </c>
      <c r="I265" s="5">
        <v>16</v>
      </c>
      <c r="J265" s="5">
        <v>8</v>
      </c>
      <c r="K265" s="5">
        <v>16</v>
      </c>
      <c r="L265" s="5">
        <v>12</v>
      </c>
      <c r="M265" s="5">
        <v>0</v>
      </c>
      <c r="N265" s="5">
        <v>42</v>
      </c>
      <c r="O265" s="5" t="str">
        <f t="shared" ca="1" si="4"/>
        <v>Supplier 177</v>
      </c>
      <c r="P265" s="20" t="str">
        <f ca="1">IFERROR(VLOOKUP(O265,EMAILS!B:C,2,FALSE),"NOT FOUND IN EMAILS")</f>
        <v>supplier@gmail.com</v>
      </c>
      <c r="Q265" t="str">
        <f ca="1">""&amp;IFERROR(VLOOKUP(O265,EMAILS!B:D,3,FALSE),"NOT FOUND IN EMAILS")</f>
        <v/>
      </c>
      <c r="R265" t="str">
        <f ca="1">""&amp;IFERROR(VLOOKUP(O265,EMAILS!B:E,4,FALSE),"NO T FOUND IN EMAILS")</f>
        <v/>
      </c>
    </row>
    <row r="266" spans="2:18" x14ac:dyDescent="0.25">
      <c r="B266" s="5" t="s">
        <v>268</v>
      </c>
      <c r="C266" s="5" t="s">
        <v>4408</v>
      </c>
      <c r="D266" s="5">
        <v>0</v>
      </c>
      <c r="E266" s="5">
        <v>0</v>
      </c>
      <c r="F266" s="5">
        <v>0</v>
      </c>
      <c r="G266" s="5">
        <v>4</v>
      </c>
      <c r="H266" s="5">
        <v>4</v>
      </c>
      <c r="I266" s="5">
        <v>4</v>
      </c>
      <c r="J266" s="5">
        <v>2</v>
      </c>
      <c r="K266" s="5">
        <v>4</v>
      </c>
      <c r="L266" s="5">
        <v>3</v>
      </c>
      <c r="M266" s="5">
        <v>0</v>
      </c>
      <c r="N266" s="5">
        <v>65</v>
      </c>
      <c r="O266" s="5" t="str">
        <f t="shared" ca="1" si="4"/>
        <v>Supplier 117</v>
      </c>
      <c r="P266" s="20" t="str">
        <f ca="1">IFERROR(VLOOKUP(O266,EMAILS!B:C,2,FALSE),"NOT FOUND IN EMAILS")</f>
        <v>supplier@gmail.com</v>
      </c>
      <c r="Q266" t="str">
        <f ca="1">""&amp;IFERROR(VLOOKUP(O266,EMAILS!B:D,3,FALSE),"NOT FOUND IN EMAILS")</f>
        <v/>
      </c>
      <c r="R266" t="str">
        <f ca="1">""&amp;IFERROR(VLOOKUP(O266,EMAILS!B:E,4,FALSE),"NO T FOUND IN EMAILS")</f>
        <v/>
      </c>
    </row>
    <row r="267" spans="2:18" x14ac:dyDescent="0.25">
      <c r="B267" s="5" t="s">
        <v>269</v>
      </c>
      <c r="C267" s="5" t="s">
        <v>4409</v>
      </c>
      <c r="D267" s="5">
        <v>14</v>
      </c>
      <c r="E267" s="5">
        <v>2</v>
      </c>
      <c r="F267" s="5">
        <v>12</v>
      </c>
      <c r="G267" s="5">
        <v>10</v>
      </c>
      <c r="H267" s="5">
        <v>12</v>
      </c>
      <c r="I267" s="5">
        <v>8</v>
      </c>
      <c r="J267" s="5">
        <v>10</v>
      </c>
      <c r="K267" s="5">
        <v>6</v>
      </c>
      <c r="L267" s="5">
        <v>6</v>
      </c>
      <c r="M267" s="5">
        <v>0</v>
      </c>
      <c r="N267" s="5">
        <v>55</v>
      </c>
      <c r="O267" s="5" t="str">
        <f t="shared" ca="1" si="4"/>
        <v>Supplier 20</v>
      </c>
      <c r="P267" s="20" t="str">
        <f ca="1">IFERROR(VLOOKUP(O267,EMAILS!B:C,2,FALSE),"NOT FOUND IN EMAILS")</f>
        <v>supplier@gmail.com</v>
      </c>
      <c r="Q267" t="str">
        <f ca="1">""&amp;IFERROR(VLOOKUP(O267,EMAILS!B:D,3,FALSE),"NOT FOUND IN EMAILS")</f>
        <v/>
      </c>
      <c r="R267" t="str">
        <f ca="1">""&amp;IFERROR(VLOOKUP(O267,EMAILS!B:E,4,FALSE),"NO T FOUND IN EMAILS")</f>
        <v/>
      </c>
    </row>
    <row r="268" spans="2:18" x14ac:dyDescent="0.25">
      <c r="B268" s="5" t="s">
        <v>270</v>
      </c>
      <c r="C268" s="5" t="s">
        <v>4410</v>
      </c>
      <c r="D268" s="5">
        <v>24</v>
      </c>
      <c r="E268" s="5">
        <v>0</v>
      </c>
      <c r="F268" s="5">
        <v>20</v>
      </c>
      <c r="G268" s="5">
        <v>16</v>
      </c>
      <c r="H268" s="5">
        <v>20</v>
      </c>
      <c r="I268" s="5">
        <v>12</v>
      </c>
      <c r="J268" s="5">
        <v>16</v>
      </c>
      <c r="K268" s="5">
        <v>8</v>
      </c>
      <c r="L268" s="5">
        <v>8</v>
      </c>
      <c r="M268" s="5">
        <v>0</v>
      </c>
      <c r="N268" s="5">
        <v>128</v>
      </c>
      <c r="O268" s="5" t="str">
        <f t="shared" ca="1" si="4"/>
        <v>Supplier 26</v>
      </c>
      <c r="P268" s="20" t="str">
        <f ca="1">IFERROR(VLOOKUP(O268,EMAILS!B:C,2,FALSE),"NOT FOUND IN EMAILS")</f>
        <v>supplier@gmail.com</v>
      </c>
      <c r="Q268" t="str">
        <f ca="1">""&amp;IFERROR(VLOOKUP(O268,EMAILS!B:D,3,FALSE),"NOT FOUND IN EMAILS")</f>
        <v/>
      </c>
      <c r="R268" t="str">
        <f ca="1">""&amp;IFERROR(VLOOKUP(O268,EMAILS!B:E,4,FALSE),"NO T FOUND IN EMAILS")</f>
        <v/>
      </c>
    </row>
    <row r="269" spans="2:18" x14ac:dyDescent="0.25">
      <c r="B269" s="5" t="s">
        <v>271</v>
      </c>
      <c r="C269" s="5" t="s">
        <v>4411</v>
      </c>
      <c r="D269" s="5">
        <v>12</v>
      </c>
      <c r="E269" s="5">
        <v>0</v>
      </c>
      <c r="F269" s="5">
        <v>10</v>
      </c>
      <c r="G269" s="5">
        <v>8</v>
      </c>
      <c r="H269" s="5">
        <v>10</v>
      </c>
      <c r="I269" s="5">
        <v>6</v>
      </c>
      <c r="J269" s="5">
        <v>8</v>
      </c>
      <c r="K269" s="5">
        <v>4</v>
      </c>
      <c r="L269" s="5">
        <v>4</v>
      </c>
      <c r="M269" s="5">
        <v>0</v>
      </c>
      <c r="N269" s="5">
        <v>0</v>
      </c>
      <c r="O269" s="5" t="str">
        <f t="shared" ca="1" si="4"/>
        <v>Supplier 31</v>
      </c>
      <c r="P269" s="20" t="str">
        <f ca="1">IFERROR(VLOOKUP(O269,EMAILS!B:C,2,FALSE),"NOT FOUND IN EMAILS")</f>
        <v>supplier@gmail.com</v>
      </c>
      <c r="Q269" t="str">
        <f ca="1">""&amp;IFERROR(VLOOKUP(O269,EMAILS!B:D,3,FALSE),"NOT FOUND IN EMAILS")</f>
        <v/>
      </c>
      <c r="R269" t="str">
        <f ca="1">""&amp;IFERROR(VLOOKUP(O269,EMAILS!B:E,4,FALSE),"NO T FOUND IN EMAILS")</f>
        <v/>
      </c>
    </row>
    <row r="270" spans="2:18" x14ac:dyDescent="0.25">
      <c r="B270" s="5" t="s">
        <v>272</v>
      </c>
      <c r="C270" s="5" t="s">
        <v>4412</v>
      </c>
      <c r="D270" s="5">
        <v>0</v>
      </c>
      <c r="E270" s="5">
        <v>0</v>
      </c>
      <c r="F270" s="5">
        <v>0</v>
      </c>
      <c r="G270" s="5">
        <v>0</v>
      </c>
      <c r="H270" s="5">
        <v>0</v>
      </c>
      <c r="I270" s="5">
        <v>0</v>
      </c>
      <c r="J270" s="5">
        <v>0</v>
      </c>
      <c r="K270" s="5">
        <v>0</v>
      </c>
      <c r="L270" s="5">
        <v>0</v>
      </c>
      <c r="M270" s="5">
        <v>0</v>
      </c>
      <c r="N270" s="5">
        <v>0</v>
      </c>
      <c r="O270" s="5" t="str">
        <f t="shared" ca="1" si="4"/>
        <v>Supplier 197</v>
      </c>
      <c r="P270" s="20" t="str">
        <f ca="1">IFERROR(VLOOKUP(O270,EMAILS!B:C,2,FALSE),"NOT FOUND IN EMAILS")</f>
        <v>supplier@gmail.com</v>
      </c>
      <c r="Q270" t="str">
        <f ca="1">""&amp;IFERROR(VLOOKUP(O270,EMAILS!B:D,3,FALSE),"NOT FOUND IN EMAILS")</f>
        <v/>
      </c>
      <c r="R270" t="str">
        <f ca="1">""&amp;IFERROR(VLOOKUP(O270,EMAILS!B:E,4,FALSE),"NO T FOUND IN EMAILS")</f>
        <v/>
      </c>
    </row>
    <row r="271" spans="2:18" x14ac:dyDescent="0.25">
      <c r="B271" s="5" t="s">
        <v>273</v>
      </c>
      <c r="C271" s="5" t="s">
        <v>4413</v>
      </c>
      <c r="D271" s="5">
        <v>0</v>
      </c>
      <c r="E271" s="5">
        <v>0</v>
      </c>
      <c r="F271" s="5">
        <v>0</v>
      </c>
      <c r="G271" s="5">
        <v>0</v>
      </c>
      <c r="H271" s="5">
        <v>0</v>
      </c>
      <c r="I271" s="5">
        <v>0</v>
      </c>
      <c r="J271" s="5">
        <v>0</v>
      </c>
      <c r="K271" s="5">
        <v>0</v>
      </c>
      <c r="L271" s="5">
        <v>0</v>
      </c>
      <c r="M271" s="5">
        <v>0</v>
      </c>
      <c r="N271" s="5">
        <v>11</v>
      </c>
      <c r="O271" s="5" t="str">
        <f t="shared" ca="1" si="4"/>
        <v>Supplier 48</v>
      </c>
      <c r="P271" s="20" t="str">
        <f ca="1">IFERROR(VLOOKUP(O271,EMAILS!B:C,2,FALSE),"NOT FOUND IN EMAILS")</f>
        <v>supplier@gmail.com</v>
      </c>
      <c r="Q271" t="str">
        <f ca="1">""&amp;IFERROR(VLOOKUP(O271,EMAILS!B:D,3,FALSE),"NOT FOUND IN EMAILS")</f>
        <v/>
      </c>
      <c r="R271" t="str">
        <f ca="1">""&amp;IFERROR(VLOOKUP(O271,EMAILS!B:E,4,FALSE),"NO T FOUND IN EMAILS")</f>
        <v/>
      </c>
    </row>
    <row r="272" spans="2:18" x14ac:dyDescent="0.25">
      <c r="B272" s="5" t="s">
        <v>274</v>
      </c>
      <c r="C272" s="5" t="s">
        <v>4414</v>
      </c>
      <c r="D272" s="5">
        <v>0</v>
      </c>
      <c r="E272" s="5">
        <v>0</v>
      </c>
      <c r="F272" s="5">
        <v>0</v>
      </c>
      <c r="G272" s="5">
        <v>0</v>
      </c>
      <c r="H272" s="5">
        <v>0</v>
      </c>
      <c r="I272" s="5">
        <v>0</v>
      </c>
      <c r="J272" s="5">
        <v>0</v>
      </c>
      <c r="K272" s="5">
        <v>0</v>
      </c>
      <c r="L272" s="5">
        <v>0</v>
      </c>
      <c r="M272" s="5">
        <v>0</v>
      </c>
      <c r="N272" s="5">
        <v>16</v>
      </c>
      <c r="O272" s="5" t="str">
        <f t="shared" ca="1" si="4"/>
        <v>Supplier 68</v>
      </c>
      <c r="P272" s="20" t="str">
        <f ca="1">IFERROR(VLOOKUP(O272,EMAILS!B:C,2,FALSE),"NOT FOUND IN EMAILS")</f>
        <v>supplier@gmail.com</v>
      </c>
      <c r="Q272" t="str">
        <f ca="1">""&amp;IFERROR(VLOOKUP(O272,EMAILS!B:D,3,FALSE),"NOT FOUND IN EMAILS")</f>
        <v/>
      </c>
      <c r="R272" t="str">
        <f ca="1">""&amp;IFERROR(VLOOKUP(O272,EMAILS!B:E,4,FALSE),"NO T FOUND IN EMAILS")</f>
        <v/>
      </c>
    </row>
    <row r="273" spans="2:18" x14ac:dyDescent="0.25">
      <c r="B273" s="5" t="s">
        <v>275</v>
      </c>
      <c r="C273" s="5" t="s">
        <v>4415</v>
      </c>
      <c r="D273" s="5">
        <v>0</v>
      </c>
      <c r="E273" s="5">
        <v>0</v>
      </c>
      <c r="F273" s="5">
        <v>0</v>
      </c>
      <c r="G273" s="5">
        <v>0</v>
      </c>
      <c r="H273" s="5">
        <v>0</v>
      </c>
      <c r="I273" s="5">
        <v>0</v>
      </c>
      <c r="J273" s="5">
        <v>0</v>
      </c>
      <c r="K273" s="5">
        <v>0</v>
      </c>
      <c r="L273" s="5">
        <v>0</v>
      </c>
      <c r="M273" s="5">
        <v>0</v>
      </c>
      <c r="N273" s="5">
        <v>0</v>
      </c>
      <c r="O273" s="5" t="str">
        <f t="shared" ca="1" si="4"/>
        <v>Supplier 189</v>
      </c>
      <c r="P273" s="20" t="str">
        <f ca="1">IFERROR(VLOOKUP(O273,EMAILS!B:C,2,FALSE),"NOT FOUND IN EMAILS")</f>
        <v>supplier@gmail.com</v>
      </c>
      <c r="Q273" t="str">
        <f ca="1">""&amp;IFERROR(VLOOKUP(O273,EMAILS!B:D,3,FALSE),"NOT FOUND IN EMAILS")</f>
        <v/>
      </c>
      <c r="R273" t="str">
        <f ca="1">""&amp;IFERROR(VLOOKUP(O273,EMAILS!B:E,4,FALSE),"NO T FOUND IN EMAILS")</f>
        <v/>
      </c>
    </row>
    <row r="274" spans="2:18" x14ac:dyDescent="0.25">
      <c r="B274" s="5" t="s">
        <v>276</v>
      </c>
      <c r="C274" s="5" t="s">
        <v>4416</v>
      </c>
      <c r="D274" s="5">
        <v>0</v>
      </c>
      <c r="E274" s="5">
        <v>0</v>
      </c>
      <c r="F274" s="5">
        <v>0</v>
      </c>
      <c r="G274" s="5">
        <v>0</v>
      </c>
      <c r="H274" s="5">
        <v>0</v>
      </c>
      <c r="I274" s="5">
        <v>0</v>
      </c>
      <c r="J274" s="5">
        <v>0</v>
      </c>
      <c r="K274" s="5">
        <v>0</v>
      </c>
      <c r="L274" s="5">
        <v>150</v>
      </c>
      <c r="M274" s="5">
        <v>0</v>
      </c>
      <c r="N274" s="5">
        <v>360</v>
      </c>
      <c r="O274" s="5" t="str">
        <f t="shared" ca="1" si="4"/>
        <v>Supplier 192</v>
      </c>
      <c r="P274" s="20" t="str">
        <f ca="1">IFERROR(VLOOKUP(O274,EMAILS!B:C,2,FALSE),"NOT FOUND IN EMAILS")</f>
        <v>supplier@gmail.com</v>
      </c>
      <c r="Q274" t="str">
        <f ca="1">""&amp;IFERROR(VLOOKUP(O274,EMAILS!B:D,3,FALSE),"NOT FOUND IN EMAILS")</f>
        <v/>
      </c>
      <c r="R274" t="str">
        <f ca="1">""&amp;IFERROR(VLOOKUP(O274,EMAILS!B:E,4,FALSE),"NO T FOUND IN EMAILS")</f>
        <v/>
      </c>
    </row>
    <row r="275" spans="2:18" x14ac:dyDescent="0.25">
      <c r="B275" s="5" t="s">
        <v>277</v>
      </c>
      <c r="C275" s="5" t="s">
        <v>4417</v>
      </c>
      <c r="D275" s="5">
        <v>0</v>
      </c>
      <c r="E275" s="5">
        <v>0</v>
      </c>
      <c r="F275" s="5">
        <v>0</v>
      </c>
      <c r="G275" s="5">
        <v>0</v>
      </c>
      <c r="H275" s="5">
        <v>0</v>
      </c>
      <c r="I275" s="5">
        <v>0</v>
      </c>
      <c r="J275" s="5">
        <v>0</v>
      </c>
      <c r="K275" s="5">
        <v>0</v>
      </c>
      <c r="L275" s="5">
        <v>0</v>
      </c>
      <c r="M275" s="5">
        <v>0</v>
      </c>
      <c r="N275" s="5">
        <v>3</v>
      </c>
      <c r="O275" s="5" t="str">
        <f t="shared" ca="1" si="4"/>
        <v>Supplier 13</v>
      </c>
      <c r="P275" s="20" t="str">
        <f ca="1">IFERROR(VLOOKUP(O275,EMAILS!B:C,2,FALSE),"NOT FOUND IN EMAILS")</f>
        <v>supplier@gmail.com</v>
      </c>
      <c r="Q275" t="str">
        <f ca="1">""&amp;IFERROR(VLOOKUP(O275,EMAILS!B:D,3,FALSE),"NOT FOUND IN EMAILS")</f>
        <v>supplier_logistics@gmail.com</v>
      </c>
      <c r="R275" t="str">
        <f ca="1">""&amp;IFERROR(VLOOKUP(O275,EMAILS!B:E,4,FALSE),"NO T FOUND IN EMAILS")</f>
        <v/>
      </c>
    </row>
    <row r="276" spans="2:18" x14ac:dyDescent="0.25">
      <c r="B276" s="5" t="s">
        <v>278</v>
      </c>
      <c r="C276" s="5" t="s">
        <v>4418</v>
      </c>
      <c r="D276" s="5">
        <v>0</v>
      </c>
      <c r="E276" s="5">
        <v>0</v>
      </c>
      <c r="F276" s="5">
        <v>0</v>
      </c>
      <c r="G276" s="5">
        <v>0</v>
      </c>
      <c r="H276" s="5">
        <v>0</v>
      </c>
      <c r="I276" s="5">
        <v>0</v>
      </c>
      <c r="J276" s="5">
        <v>0</v>
      </c>
      <c r="K276" s="5">
        <v>0</v>
      </c>
      <c r="L276" s="5">
        <v>0</v>
      </c>
      <c r="M276" s="5">
        <v>0</v>
      </c>
      <c r="N276" s="5">
        <v>4</v>
      </c>
      <c r="O276" s="5" t="str">
        <f t="shared" ca="1" si="4"/>
        <v>Supplier 51</v>
      </c>
      <c r="P276" s="20" t="str">
        <f ca="1">IFERROR(VLOOKUP(O276,EMAILS!B:C,2,FALSE),"NOT FOUND IN EMAILS")</f>
        <v>supplier@gmail.com</v>
      </c>
      <c r="Q276" t="str">
        <f ca="1">""&amp;IFERROR(VLOOKUP(O276,EMAILS!B:D,3,FALSE),"NOT FOUND IN EMAILS")</f>
        <v/>
      </c>
      <c r="R276" t="str">
        <f ca="1">""&amp;IFERROR(VLOOKUP(O276,EMAILS!B:E,4,FALSE),"NO T FOUND IN EMAILS")</f>
        <v/>
      </c>
    </row>
    <row r="277" spans="2:18" x14ac:dyDescent="0.25">
      <c r="B277" s="5" t="s">
        <v>279</v>
      </c>
      <c r="C277" s="5" t="s">
        <v>4419</v>
      </c>
      <c r="D277" s="5">
        <v>0</v>
      </c>
      <c r="E277" s="5">
        <v>0</v>
      </c>
      <c r="F277" s="5">
        <v>0</v>
      </c>
      <c r="G277" s="5">
        <v>0</v>
      </c>
      <c r="H277" s="5">
        <v>0</v>
      </c>
      <c r="I277" s="5">
        <v>0</v>
      </c>
      <c r="J277" s="5">
        <v>0</v>
      </c>
      <c r="K277" s="5">
        <v>0</v>
      </c>
      <c r="L277" s="5">
        <v>0</v>
      </c>
      <c r="M277" s="5">
        <v>0</v>
      </c>
      <c r="N277" s="5">
        <v>59</v>
      </c>
      <c r="O277" s="5" t="str">
        <f t="shared" ca="1" si="4"/>
        <v>Supplier 200</v>
      </c>
      <c r="P277" s="20" t="str">
        <f ca="1">IFERROR(VLOOKUP(O277,EMAILS!B:C,2,FALSE),"NOT FOUND IN EMAILS")</f>
        <v>supplier@gmail.com</v>
      </c>
      <c r="Q277" t="str">
        <f ca="1">""&amp;IFERROR(VLOOKUP(O277,EMAILS!B:D,3,FALSE),"NOT FOUND IN EMAILS")</f>
        <v/>
      </c>
      <c r="R277" t="str">
        <f ca="1">""&amp;IFERROR(VLOOKUP(O277,EMAILS!B:E,4,FALSE),"NO T FOUND IN EMAILS")</f>
        <v/>
      </c>
    </row>
    <row r="278" spans="2:18" x14ac:dyDescent="0.25">
      <c r="B278" s="5" t="s">
        <v>280</v>
      </c>
      <c r="C278" s="5" t="s">
        <v>4420</v>
      </c>
      <c r="D278" s="5">
        <v>0</v>
      </c>
      <c r="E278" s="5">
        <v>0</v>
      </c>
      <c r="F278" s="5">
        <v>0</v>
      </c>
      <c r="G278" s="5">
        <v>0</v>
      </c>
      <c r="H278" s="5">
        <v>0</v>
      </c>
      <c r="I278" s="5">
        <v>80</v>
      </c>
      <c r="J278" s="5">
        <v>0</v>
      </c>
      <c r="K278" s="5">
        <v>0</v>
      </c>
      <c r="L278" s="5">
        <v>40</v>
      </c>
      <c r="M278" s="5">
        <v>0</v>
      </c>
      <c r="N278" s="5">
        <v>130</v>
      </c>
      <c r="O278" s="5" t="str">
        <f t="shared" ca="1" si="4"/>
        <v>Supplier 68</v>
      </c>
      <c r="P278" s="20" t="str">
        <f ca="1">IFERROR(VLOOKUP(O278,EMAILS!B:C,2,FALSE),"NOT FOUND IN EMAILS")</f>
        <v>supplier@gmail.com</v>
      </c>
      <c r="Q278" t="str">
        <f ca="1">""&amp;IFERROR(VLOOKUP(O278,EMAILS!B:D,3,FALSE),"NOT FOUND IN EMAILS")</f>
        <v/>
      </c>
      <c r="R278" t="str">
        <f ca="1">""&amp;IFERROR(VLOOKUP(O278,EMAILS!B:E,4,FALSE),"NO T FOUND IN EMAILS")</f>
        <v/>
      </c>
    </row>
    <row r="279" spans="2:18" x14ac:dyDescent="0.25">
      <c r="B279" s="5" t="s">
        <v>281</v>
      </c>
      <c r="C279" s="5" t="s">
        <v>4421</v>
      </c>
      <c r="D279" s="5">
        <v>0</v>
      </c>
      <c r="E279" s="5">
        <v>0</v>
      </c>
      <c r="F279" s="5">
        <v>0</v>
      </c>
      <c r="G279" s="5">
        <v>100</v>
      </c>
      <c r="H279" s="5">
        <v>0</v>
      </c>
      <c r="I279" s="5">
        <v>100</v>
      </c>
      <c r="J279" s="5">
        <v>0</v>
      </c>
      <c r="K279" s="5">
        <v>0</v>
      </c>
      <c r="L279" s="5">
        <v>0</v>
      </c>
      <c r="M279" s="5">
        <v>0</v>
      </c>
      <c r="N279" s="5">
        <v>110</v>
      </c>
      <c r="O279" s="5" t="str">
        <f t="shared" ca="1" si="4"/>
        <v>Supplier 73</v>
      </c>
      <c r="P279" s="20" t="str">
        <f ca="1">IFERROR(VLOOKUP(O279,EMAILS!B:C,2,FALSE),"NOT FOUND IN EMAILS")</f>
        <v>supplier@gmail.com</v>
      </c>
      <c r="Q279" t="str">
        <f ca="1">""&amp;IFERROR(VLOOKUP(O279,EMAILS!B:D,3,FALSE),"NOT FOUND IN EMAILS")</f>
        <v/>
      </c>
      <c r="R279" t="str">
        <f ca="1">""&amp;IFERROR(VLOOKUP(O279,EMAILS!B:E,4,FALSE),"NO T FOUND IN EMAILS")</f>
        <v/>
      </c>
    </row>
    <row r="280" spans="2:18" x14ac:dyDescent="0.25">
      <c r="B280" s="5" t="s">
        <v>282</v>
      </c>
      <c r="C280" s="5" t="s">
        <v>4422</v>
      </c>
      <c r="D280" s="5">
        <v>0</v>
      </c>
      <c r="E280" s="5">
        <v>0</v>
      </c>
      <c r="F280" s="5">
        <v>0</v>
      </c>
      <c r="G280" s="5">
        <v>100</v>
      </c>
      <c r="H280" s="5">
        <v>0</v>
      </c>
      <c r="I280" s="5">
        <v>100</v>
      </c>
      <c r="J280" s="5">
        <v>0</v>
      </c>
      <c r="K280" s="5">
        <v>0</v>
      </c>
      <c r="L280" s="5">
        <v>0</v>
      </c>
      <c r="M280" s="5">
        <v>0</v>
      </c>
      <c r="N280" s="5">
        <v>680</v>
      </c>
      <c r="O280" s="5" t="str">
        <f t="shared" ca="1" si="4"/>
        <v>Supplier 45</v>
      </c>
      <c r="P280" s="20" t="str">
        <f ca="1">IFERROR(VLOOKUP(O280,EMAILS!B:C,2,FALSE),"NOT FOUND IN EMAILS")</f>
        <v>supplier@gmail.com</v>
      </c>
      <c r="Q280" t="str">
        <f ca="1">""&amp;IFERROR(VLOOKUP(O280,EMAILS!B:D,3,FALSE),"NOT FOUND IN EMAILS")</f>
        <v/>
      </c>
      <c r="R280" t="str">
        <f ca="1">""&amp;IFERROR(VLOOKUP(O280,EMAILS!B:E,4,FALSE),"NO T FOUND IN EMAILS")</f>
        <v/>
      </c>
    </row>
    <row r="281" spans="2:18" x14ac:dyDescent="0.25">
      <c r="B281" s="5" t="s">
        <v>283</v>
      </c>
      <c r="C281" s="5" t="s">
        <v>4423</v>
      </c>
      <c r="D281" s="5">
        <v>0</v>
      </c>
      <c r="E281" s="5">
        <v>0</v>
      </c>
      <c r="F281" s="5">
        <v>0</v>
      </c>
      <c r="G281" s="5">
        <v>0</v>
      </c>
      <c r="H281" s="5">
        <v>0</v>
      </c>
      <c r="I281" s="5">
        <v>80</v>
      </c>
      <c r="J281" s="5">
        <v>0</v>
      </c>
      <c r="K281" s="5">
        <v>0</v>
      </c>
      <c r="L281" s="5">
        <v>40</v>
      </c>
      <c r="M281" s="5">
        <v>0</v>
      </c>
      <c r="N281" s="5">
        <v>33</v>
      </c>
      <c r="O281" s="5" t="str">
        <f t="shared" ca="1" si="4"/>
        <v>Supplier 180</v>
      </c>
      <c r="P281" s="20" t="str">
        <f ca="1">IFERROR(VLOOKUP(O281,EMAILS!B:C,2,FALSE),"NOT FOUND IN EMAILS")</f>
        <v>supplier@gmail.com</v>
      </c>
      <c r="Q281" t="str">
        <f ca="1">""&amp;IFERROR(VLOOKUP(O281,EMAILS!B:D,3,FALSE),"NOT FOUND IN EMAILS")</f>
        <v/>
      </c>
      <c r="R281" t="str">
        <f ca="1">""&amp;IFERROR(VLOOKUP(O281,EMAILS!B:E,4,FALSE),"NO T FOUND IN EMAILS")</f>
        <v/>
      </c>
    </row>
    <row r="282" spans="2:18" x14ac:dyDescent="0.25">
      <c r="B282" s="5" t="s">
        <v>284</v>
      </c>
      <c r="C282" s="5" t="s">
        <v>4424</v>
      </c>
      <c r="D282" s="5">
        <v>0</v>
      </c>
      <c r="E282" s="5">
        <v>0</v>
      </c>
      <c r="F282" s="5">
        <v>0</v>
      </c>
      <c r="G282" s="5">
        <v>0</v>
      </c>
      <c r="H282" s="5">
        <v>0</v>
      </c>
      <c r="I282" s="5">
        <v>80</v>
      </c>
      <c r="J282" s="5">
        <v>0</v>
      </c>
      <c r="K282" s="5">
        <v>0</v>
      </c>
      <c r="L282" s="5">
        <v>40</v>
      </c>
      <c r="M282" s="5">
        <v>0</v>
      </c>
      <c r="N282" s="5">
        <v>114</v>
      </c>
      <c r="O282" s="5" t="str">
        <f t="shared" ca="1" si="4"/>
        <v>Supplier 172</v>
      </c>
      <c r="P282" s="20" t="str">
        <f ca="1">IFERROR(VLOOKUP(O282,EMAILS!B:C,2,FALSE),"NOT FOUND IN EMAILS")</f>
        <v>supplier@gmail.com</v>
      </c>
      <c r="Q282" t="str">
        <f ca="1">""&amp;IFERROR(VLOOKUP(O282,EMAILS!B:D,3,FALSE),"NOT FOUND IN EMAILS")</f>
        <v/>
      </c>
      <c r="R282" t="str">
        <f ca="1">""&amp;IFERROR(VLOOKUP(O282,EMAILS!B:E,4,FALSE),"NO T FOUND IN EMAILS")</f>
        <v/>
      </c>
    </row>
    <row r="283" spans="2:18" x14ac:dyDescent="0.25">
      <c r="B283" s="5" t="s">
        <v>285</v>
      </c>
      <c r="C283" s="5" t="s">
        <v>4425</v>
      </c>
      <c r="D283" s="5">
        <v>0</v>
      </c>
      <c r="E283" s="5">
        <v>0</v>
      </c>
      <c r="F283" s="5">
        <v>0</v>
      </c>
      <c r="G283" s="5">
        <v>0</v>
      </c>
      <c r="H283" s="5">
        <v>0</v>
      </c>
      <c r="I283" s="5">
        <v>80</v>
      </c>
      <c r="J283" s="5">
        <v>0</v>
      </c>
      <c r="K283" s="5">
        <v>0</v>
      </c>
      <c r="L283" s="5">
        <v>40</v>
      </c>
      <c r="M283" s="5">
        <v>0</v>
      </c>
      <c r="N283" s="5">
        <v>20</v>
      </c>
      <c r="O283" s="5" t="str">
        <f t="shared" ca="1" si="4"/>
        <v>Supplier 19</v>
      </c>
      <c r="P283" s="20" t="str">
        <f ca="1">IFERROR(VLOOKUP(O283,EMAILS!B:C,2,FALSE),"NOT FOUND IN EMAILS")</f>
        <v>supplier@gmail.com</v>
      </c>
      <c r="Q283" t="str">
        <f ca="1">""&amp;IFERROR(VLOOKUP(O283,EMAILS!B:D,3,FALSE),"NOT FOUND IN EMAILS")</f>
        <v>supplier_logistics@gmail.com</v>
      </c>
      <c r="R283" t="str">
        <f ca="1">""&amp;IFERROR(VLOOKUP(O283,EMAILS!B:E,4,FALSE),"NO T FOUND IN EMAILS")</f>
        <v/>
      </c>
    </row>
    <row r="284" spans="2:18" x14ac:dyDescent="0.25">
      <c r="B284" s="5" t="s">
        <v>286</v>
      </c>
      <c r="C284" s="5" t="s">
        <v>4426</v>
      </c>
      <c r="D284" s="5">
        <v>13</v>
      </c>
      <c r="E284" s="5">
        <v>3</v>
      </c>
      <c r="F284" s="5">
        <v>11</v>
      </c>
      <c r="G284" s="5">
        <v>7</v>
      </c>
      <c r="H284" s="5">
        <v>10</v>
      </c>
      <c r="I284" s="5">
        <v>11</v>
      </c>
      <c r="J284" s="5">
        <v>2</v>
      </c>
      <c r="K284" s="5">
        <v>7</v>
      </c>
      <c r="L284" s="5">
        <v>16</v>
      </c>
      <c r="M284" s="5">
        <v>0</v>
      </c>
      <c r="N284" s="5">
        <v>131</v>
      </c>
      <c r="O284" s="5" t="str">
        <f t="shared" ca="1" si="4"/>
        <v>Supplier 79</v>
      </c>
      <c r="P284" s="20" t="str">
        <f ca="1">IFERROR(VLOOKUP(O284,EMAILS!B:C,2,FALSE),"NOT FOUND IN EMAILS")</f>
        <v>supplier@gmail.com</v>
      </c>
      <c r="Q284" t="str">
        <f ca="1">""&amp;IFERROR(VLOOKUP(O284,EMAILS!B:D,3,FALSE),"NOT FOUND IN EMAILS")</f>
        <v/>
      </c>
      <c r="R284" t="str">
        <f ca="1">""&amp;IFERROR(VLOOKUP(O284,EMAILS!B:E,4,FALSE),"NO T FOUND IN EMAILS")</f>
        <v/>
      </c>
    </row>
    <row r="285" spans="2:18" x14ac:dyDescent="0.25">
      <c r="B285" s="5" t="s">
        <v>287</v>
      </c>
      <c r="C285" s="5" t="s">
        <v>4427</v>
      </c>
      <c r="D285" s="5">
        <v>0</v>
      </c>
      <c r="E285" s="5">
        <v>0</v>
      </c>
      <c r="F285" s="5">
        <v>0</v>
      </c>
      <c r="G285" s="5">
        <v>0</v>
      </c>
      <c r="H285" s="5">
        <v>0</v>
      </c>
      <c r="I285" s="5">
        <v>40</v>
      </c>
      <c r="J285" s="5">
        <v>0</v>
      </c>
      <c r="K285" s="5">
        <v>0</v>
      </c>
      <c r="L285" s="5">
        <v>20</v>
      </c>
      <c r="M285" s="5">
        <v>0</v>
      </c>
      <c r="N285" s="5">
        <v>100</v>
      </c>
      <c r="O285" s="5" t="str">
        <f t="shared" ca="1" si="4"/>
        <v>Supplier 195</v>
      </c>
      <c r="P285" s="20" t="str">
        <f ca="1">IFERROR(VLOOKUP(O285,EMAILS!B:C,2,FALSE),"NOT FOUND IN EMAILS")</f>
        <v>supplier@gmail.com</v>
      </c>
      <c r="Q285" t="str">
        <f ca="1">""&amp;IFERROR(VLOOKUP(O285,EMAILS!B:D,3,FALSE),"NOT FOUND IN EMAILS")</f>
        <v/>
      </c>
      <c r="R285" t="str">
        <f ca="1">""&amp;IFERROR(VLOOKUP(O285,EMAILS!B:E,4,FALSE),"NO T FOUND IN EMAILS")</f>
        <v/>
      </c>
    </row>
    <row r="286" spans="2:18" x14ac:dyDescent="0.25">
      <c r="B286" s="5" t="s">
        <v>288</v>
      </c>
      <c r="C286" s="5" t="s">
        <v>4428</v>
      </c>
      <c r="D286" s="5">
        <v>0</v>
      </c>
      <c r="E286" s="5">
        <v>0</v>
      </c>
      <c r="F286" s="5">
        <v>0</v>
      </c>
      <c r="G286" s="5">
        <v>0</v>
      </c>
      <c r="H286" s="5">
        <v>0</v>
      </c>
      <c r="I286" s="5">
        <v>40</v>
      </c>
      <c r="J286" s="5">
        <v>0</v>
      </c>
      <c r="K286" s="5">
        <v>0</v>
      </c>
      <c r="L286" s="5">
        <v>20</v>
      </c>
      <c r="M286" s="5">
        <v>0</v>
      </c>
      <c r="N286" s="5">
        <v>788</v>
      </c>
      <c r="O286" s="5" t="str">
        <f t="shared" ca="1" si="4"/>
        <v>Supplier 105</v>
      </c>
      <c r="P286" s="20" t="str">
        <f ca="1">IFERROR(VLOOKUP(O286,EMAILS!B:C,2,FALSE),"NOT FOUND IN EMAILS")</f>
        <v>supplier@gmail.com</v>
      </c>
      <c r="Q286" t="str">
        <f ca="1">""&amp;IFERROR(VLOOKUP(O286,EMAILS!B:D,3,FALSE),"NOT FOUND IN EMAILS")</f>
        <v/>
      </c>
      <c r="R286" t="str">
        <f ca="1">""&amp;IFERROR(VLOOKUP(O286,EMAILS!B:E,4,FALSE),"NO T FOUND IN EMAILS")</f>
        <v/>
      </c>
    </row>
    <row r="287" spans="2:18" x14ac:dyDescent="0.25">
      <c r="B287" s="5" t="s">
        <v>289</v>
      </c>
      <c r="C287" s="5" t="s">
        <v>4429</v>
      </c>
      <c r="D287" s="5">
        <v>0</v>
      </c>
      <c r="E287" s="5">
        <v>0</v>
      </c>
      <c r="F287" s="5">
        <v>0</v>
      </c>
      <c r="G287" s="5">
        <v>0</v>
      </c>
      <c r="H287" s="5">
        <v>0</v>
      </c>
      <c r="I287" s="5">
        <v>160</v>
      </c>
      <c r="J287" s="5">
        <v>0</v>
      </c>
      <c r="K287" s="5">
        <v>0</v>
      </c>
      <c r="L287" s="5">
        <v>80</v>
      </c>
      <c r="M287" s="5">
        <v>0</v>
      </c>
      <c r="N287" s="5">
        <v>810</v>
      </c>
      <c r="O287" s="5" t="str">
        <f t="shared" ca="1" si="4"/>
        <v>Supplier 76</v>
      </c>
      <c r="P287" s="20" t="str">
        <f ca="1">IFERROR(VLOOKUP(O287,EMAILS!B:C,2,FALSE),"NOT FOUND IN EMAILS")</f>
        <v>supplier@gmail.com</v>
      </c>
      <c r="Q287" t="str">
        <f ca="1">""&amp;IFERROR(VLOOKUP(O287,EMAILS!B:D,3,FALSE),"NOT FOUND IN EMAILS")</f>
        <v/>
      </c>
      <c r="R287" t="str">
        <f ca="1">""&amp;IFERROR(VLOOKUP(O287,EMAILS!B:E,4,FALSE),"NO T FOUND IN EMAILS")</f>
        <v/>
      </c>
    </row>
    <row r="288" spans="2:18" x14ac:dyDescent="0.25">
      <c r="B288" s="5" t="s">
        <v>290</v>
      </c>
      <c r="C288" s="5" t="s">
        <v>4430</v>
      </c>
      <c r="D288" s="5">
        <v>0</v>
      </c>
      <c r="E288" s="5">
        <v>0</v>
      </c>
      <c r="F288" s="5">
        <v>0</v>
      </c>
      <c r="G288" s="5">
        <v>0</v>
      </c>
      <c r="H288" s="5">
        <v>0</v>
      </c>
      <c r="I288" s="5">
        <v>40</v>
      </c>
      <c r="J288" s="5">
        <v>0</v>
      </c>
      <c r="K288" s="5">
        <v>0</v>
      </c>
      <c r="L288" s="5">
        <v>20</v>
      </c>
      <c r="M288" s="5">
        <v>0</v>
      </c>
      <c r="N288" s="5">
        <v>854</v>
      </c>
      <c r="O288" s="5" t="str">
        <f t="shared" ca="1" si="4"/>
        <v>Supplier 92</v>
      </c>
      <c r="P288" s="20" t="str">
        <f ca="1">IFERROR(VLOOKUP(O288,EMAILS!B:C,2,FALSE),"NOT FOUND IN EMAILS")</f>
        <v>supplier@gmail.com</v>
      </c>
      <c r="Q288" t="str">
        <f ca="1">""&amp;IFERROR(VLOOKUP(O288,EMAILS!B:D,3,FALSE),"NOT FOUND IN EMAILS")</f>
        <v/>
      </c>
      <c r="R288" t="str">
        <f ca="1">""&amp;IFERROR(VLOOKUP(O288,EMAILS!B:E,4,FALSE),"NO T FOUND IN EMAILS")</f>
        <v/>
      </c>
    </row>
    <row r="289" spans="2:18" x14ac:dyDescent="0.25">
      <c r="B289" s="5" t="s">
        <v>291</v>
      </c>
      <c r="C289" s="5" t="s">
        <v>4431</v>
      </c>
      <c r="D289" s="5">
        <v>0</v>
      </c>
      <c r="E289" s="5">
        <v>0</v>
      </c>
      <c r="F289" s="5">
        <v>0</v>
      </c>
      <c r="G289" s="5">
        <v>0</v>
      </c>
      <c r="H289" s="5">
        <v>0</v>
      </c>
      <c r="I289" s="5">
        <v>40</v>
      </c>
      <c r="J289" s="5">
        <v>0</v>
      </c>
      <c r="K289" s="5">
        <v>0</v>
      </c>
      <c r="L289" s="5">
        <v>20</v>
      </c>
      <c r="M289" s="5">
        <v>0</v>
      </c>
      <c r="N289" s="5">
        <v>3944</v>
      </c>
      <c r="O289" s="5" t="str">
        <f t="shared" ca="1" si="4"/>
        <v>Supplier 68</v>
      </c>
      <c r="P289" s="20" t="str">
        <f ca="1">IFERROR(VLOOKUP(O289,EMAILS!B:C,2,FALSE),"NOT FOUND IN EMAILS")</f>
        <v>supplier@gmail.com</v>
      </c>
      <c r="Q289" t="str">
        <f ca="1">""&amp;IFERROR(VLOOKUP(O289,EMAILS!B:D,3,FALSE),"NOT FOUND IN EMAILS")</f>
        <v/>
      </c>
      <c r="R289" t="str">
        <f ca="1">""&amp;IFERROR(VLOOKUP(O289,EMAILS!B:E,4,FALSE),"NO T FOUND IN EMAILS")</f>
        <v/>
      </c>
    </row>
    <row r="290" spans="2:18" x14ac:dyDescent="0.25">
      <c r="B290" s="5" t="s">
        <v>292</v>
      </c>
      <c r="C290" s="5" t="s">
        <v>4432</v>
      </c>
      <c r="D290" s="5">
        <v>0</v>
      </c>
      <c r="E290" s="5">
        <v>0</v>
      </c>
      <c r="F290" s="5">
        <v>0</v>
      </c>
      <c r="G290" s="5">
        <v>420</v>
      </c>
      <c r="H290" s="5">
        <v>200</v>
      </c>
      <c r="I290" s="5">
        <v>400</v>
      </c>
      <c r="J290" s="5">
        <v>0</v>
      </c>
      <c r="K290" s="5">
        <v>0</v>
      </c>
      <c r="L290" s="5">
        <v>20</v>
      </c>
      <c r="M290" s="5">
        <v>0</v>
      </c>
      <c r="N290" s="5">
        <v>1542</v>
      </c>
      <c r="O290" s="5" t="str">
        <f t="shared" ca="1" si="4"/>
        <v>Supplier 169</v>
      </c>
      <c r="P290" s="20" t="str">
        <f ca="1">IFERROR(VLOOKUP(O290,EMAILS!B:C,2,FALSE),"NOT FOUND IN EMAILS")</f>
        <v>supplier@gmail.com</v>
      </c>
      <c r="Q290" t="str">
        <f ca="1">""&amp;IFERROR(VLOOKUP(O290,EMAILS!B:D,3,FALSE),"NOT FOUND IN EMAILS")</f>
        <v/>
      </c>
      <c r="R290" t="str">
        <f ca="1">""&amp;IFERROR(VLOOKUP(O290,EMAILS!B:E,4,FALSE),"NO T FOUND IN EMAILS")</f>
        <v/>
      </c>
    </row>
    <row r="291" spans="2:18" x14ac:dyDescent="0.25">
      <c r="B291" s="5" t="s">
        <v>293</v>
      </c>
      <c r="C291" s="5" t="s">
        <v>4433</v>
      </c>
      <c r="D291" s="5">
        <v>0</v>
      </c>
      <c r="E291" s="5">
        <v>0</v>
      </c>
      <c r="F291" s="5">
        <v>0</v>
      </c>
      <c r="G291" s="5">
        <v>420</v>
      </c>
      <c r="H291" s="5">
        <v>200</v>
      </c>
      <c r="I291" s="5">
        <v>400</v>
      </c>
      <c r="J291" s="5">
        <v>0</v>
      </c>
      <c r="K291" s="5">
        <v>0</v>
      </c>
      <c r="L291" s="5">
        <v>20</v>
      </c>
      <c r="M291" s="5">
        <v>0</v>
      </c>
      <c r="N291" s="5">
        <v>0</v>
      </c>
      <c r="O291" s="5" t="str">
        <f t="shared" ca="1" si="4"/>
        <v>Supplier 70</v>
      </c>
      <c r="P291" s="20" t="str">
        <f ca="1">IFERROR(VLOOKUP(O291,EMAILS!B:C,2,FALSE),"NOT FOUND IN EMAILS")</f>
        <v>supplier@gmail.com</v>
      </c>
      <c r="Q291" t="str">
        <f ca="1">""&amp;IFERROR(VLOOKUP(O291,EMAILS!B:D,3,FALSE),"NOT FOUND IN EMAILS")</f>
        <v/>
      </c>
      <c r="R291" t="str">
        <f ca="1">""&amp;IFERROR(VLOOKUP(O291,EMAILS!B:E,4,FALSE),"NO T FOUND IN EMAILS")</f>
        <v/>
      </c>
    </row>
    <row r="292" spans="2:18" x14ac:dyDescent="0.25">
      <c r="B292" s="5" t="s">
        <v>294</v>
      </c>
      <c r="C292" s="5" t="s">
        <v>4434</v>
      </c>
      <c r="D292" s="5">
        <v>0</v>
      </c>
      <c r="E292" s="5">
        <v>0</v>
      </c>
      <c r="F292" s="5">
        <v>0</v>
      </c>
      <c r="G292" s="5">
        <v>0</v>
      </c>
      <c r="H292" s="5">
        <v>0</v>
      </c>
      <c r="I292" s="5">
        <v>0</v>
      </c>
      <c r="J292" s="5">
        <v>0</v>
      </c>
      <c r="K292" s="5">
        <v>0</v>
      </c>
      <c r="L292" s="5">
        <v>0</v>
      </c>
      <c r="M292" s="5">
        <v>0</v>
      </c>
      <c r="N292" s="5">
        <v>0</v>
      </c>
      <c r="O292" s="5" t="str">
        <f t="shared" ca="1" si="4"/>
        <v>Supplier 194</v>
      </c>
      <c r="P292" s="20" t="str">
        <f ca="1">IFERROR(VLOOKUP(O292,EMAILS!B:C,2,FALSE),"NOT FOUND IN EMAILS")</f>
        <v>supplier@gmail.com</v>
      </c>
      <c r="Q292" t="str">
        <f ca="1">""&amp;IFERROR(VLOOKUP(O292,EMAILS!B:D,3,FALSE),"NOT FOUND IN EMAILS")</f>
        <v/>
      </c>
      <c r="R292" t="str">
        <f ca="1">""&amp;IFERROR(VLOOKUP(O292,EMAILS!B:E,4,FALSE),"NO T FOUND IN EMAILS")</f>
        <v/>
      </c>
    </row>
    <row r="293" spans="2:18" x14ac:dyDescent="0.25">
      <c r="B293" s="5" t="s">
        <v>295</v>
      </c>
      <c r="C293" s="5" t="s">
        <v>4435</v>
      </c>
      <c r="D293" s="5">
        <v>0</v>
      </c>
      <c r="E293" s="5">
        <v>0</v>
      </c>
      <c r="F293" s="5">
        <v>40</v>
      </c>
      <c r="G293" s="5">
        <v>100</v>
      </c>
      <c r="H293" s="5">
        <v>0</v>
      </c>
      <c r="I293" s="5">
        <v>0</v>
      </c>
      <c r="J293" s="5">
        <v>0</v>
      </c>
      <c r="K293" s="5">
        <v>100</v>
      </c>
      <c r="L293" s="5">
        <v>0</v>
      </c>
      <c r="M293" s="5">
        <v>0</v>
      </c>
      <c r="N293" s="5">
        <v>14</v>
      </c>
      <c r="O293" s="5" t="str">
        <f t="shared" ca="1" si="4"/>
        <v>Supplier 70</v>
      </c>
      <c r="P293" s="20" t="str">
        <f ca="1">IFERROR(VLOOKUP(O293,EMAILS!B:C,2,FALSE),"NOT FOUND IN EMAILS")</f>
        <v>supplier@gmail.com</v>
      </c>
      <c r="Q293" t="str">
        <f ca="1">""&amp;IFERROR(VLOOKUP(O293,EMAILS!B:D,3,FALSE),"NOT FOUND IN EMAILS")</f>
        <v/>
      </c>
      <c r="R293" t="str">
        <f ca="1">""&amp;IFERROR(VLOOKUP(O293,EMAILS!B:E,4,FALSE),"NO T FOUND IN EMAILS")</f>
        <v/>
      </c>
    </row>
    <row r="294" spans="2:18" x14ac:dyDescent="0.25">
      <c r="B294" s="5" t="s">
        <v>296</v>
      </c>
      <c r="C294" s="5" t="s">
        <v>4436</v>
      </c>
      <c r="D294" s="5">
        <v>0</v>
      </c>
      <c r="E294" s="5">
        <v>0</v>
      </c>
      <c r="F294" s="5">
        <v>0</v>
      </c>
      <c r="G294" s="5">
        <v>0</v>
      </c>
      <c r="H294" s="5">
        <v>0</v>
      </c>
      <c r="I294" s="5">
        <v>0</v>
      </c>
      <c r="J294" s="5">
        <v>0</v>
      </c>
      <c r="K294" s="5">
        <v>0</v>
      </c>
      <c r="L294" s="5">
        <v>0</v>
      </c>
      <c r="M294" s="5">
        <v>0</v>
      </c>
      <c r="N294" s="5">
        <v>78</v>
      </c>
      <c r="O294" s="5" t="str">
        <f t="shared" ca="1" si="4"/>
        <v>Supplier 30</v>
      </c>
      <c r="P294" s="20" t="str">
        <f ca="1">IFERROR(VLOOKUP(O294,EMAILS!B:C,2,FALSE),"NOT FOUND IN EMAILS")</f>
        <v>supplier@gmail.com</v>
      </c>
      <c r="Q294" t="str">
        <f ca="1">""&amp;IFERROR(VLOOKUP(O294,EMAILS!B:D,3,FALSE),"NOT FOUND IN EMAILS")</f>
        <v/>
      </c>
      <c r="R294" t="str">
        <f ca="1">""&amp;IFERROR(VLOOKUP(O294,EMAILS!B:E,4,FALSE),"NO T FOUND IN EMAILS")</f>
        <v/>
      </c>
    </row>
    <row r="295" spans="2:18" x14ac:dyDescent="0.25">
      <c r="B295" s="5" t="s">
        <v>297</v>
      </c>
      <c r="C295" s="5" t="s">
        <v>4437</v>
      </c>
      <c r="D295" s="5">
        <v>0</v>
      </c>
      <c r="E295" s="5">
        <v>0</v>
      </c>
      <c r="F295" s="5">
        <v>0</v>
      </c>
      <c r="G295" s="5">
        <v>0</v>
      </c>
      <c r="H295" s="5">
        <v>0</v>
      </c>
      <c r="I295" s="5">
        <v>0</v>
      </c>
      <c r="J295" s="5">
        <v>0</v>
      </c>
      <c r="K295" s="5">
        <v>0</v>
      </c>
      <c r="L295" s="5">
        <v>0</v>
      </c>
      <c r="M295" s="5">
        <v>0</v>
      </c>
      <c r="N295" s="5">
        <v>0</v>
      </c>
      <c r="O295" s="5" t="str">
        <f t="shared" ca="1" si="4"/>
        <v>Supplier 74</v>
      </c>
      <c r="P295" s="20" t="str">
        <f ca="1">IFERROR(VLOOKUP(O295,EMAILS!B:C,2,FALSE),"NOT FOUND IN EMAILS")</f>
        <v>supplier@gmail.com</v>
      </c>
      <c r="Q295" t="str">
        <f ca="1">""&amp;IFERROR(VLOOKUP(O295,EMAILS!B:D,3,FALSE),"NOT FOUND IN EMAILS")</f>
        <v/>
      </c>
      <c r="R295" t="str">
        <f ca="1">""&amp;IFERROR(VLOOKUP(O295,EMAILS!B:E,4,FALSE),"NO T FOUND IN EMAILS")</f>
        <v/>
      </c>
    </row>
    <row r="296" spans="2:18" x14ac:dyDescent="0.25">
      <c r="B296" s="5" t="s">
        <v>298</v>
      </c>
      <c r="C296" s="5" t="s">
        <v>4438</v>
      </c>
      <c r="D296" s="5">
        <v>500</v>
      </c>
      <c r="E296" s="5">
        <v>100</v>
      </c>
      <c r="F296" s="5">
        <v>100</v>
      </c>
      <c r="G296" s="5">
        <v>100</v>
      </c>
      <c r="H296" s="5">
        <v>100</v>
      </c>
      <c r="I296" s="5">
        <v>100</v>
      </c>
      <c r="J296" s="5">
        <v>150</v>
      </c>
      <c r="K296" s="5">
        <v>400</v>
      </c>
      <c r="L296" s="5">
        <v>300</v>
      </c>
      <c r="M296" s="5">
        <v>0</v>
      </c>
      <c r="N296" s="5">
        <v>4867</v>
      </c>
      <c r="O296" s="5" t="str">
        <f t="shared" ca="1" si="4"/>
        <v>Supplier 82</v>
      </c>
      <c r="P296" s="20" t="str">
        <f ca="1">IFERROR(VLOOKUP(O296,EMAILS!B:C,2,FALSE),"NOT FOUND IN EMAILS")</f>
        <v>supplier@gmail.com</v>
      </c>
      <c r="Q296" t="str">
        <f ca="1">""&amp;IFERROR(VLOOKUP(O296,EMAILS!B:D,3,FALSE),"NOT FOUND IN EMAILS")</f>
        <v/>
      </c>
      <c r="R296" t="str">
        <f ca="1">""&amp;IFERROR(VLOOKUP(O296,EMAILS!B:E,4,FALSE),"NO T FOUND IN EMAILS")</f>
        <v/>
      </c>
    </row>
    <row r="297" spans="2:18" x14ac:dyDescent="0.25">
      <c r="B297" s="5" t="s">
        <v>299</v>
      </c>
      <c r="C297" s="5" t="s">
        <v>4439</v>
      </c>
      <c r="D297" s="5">
        <v>0</v>
      </c>
      <c r="E297" s="5">
        <v>0</v>
      </c>
      <c r="F297" s="5">
        <v>2000</v>
      </c>
      <c r="G297" s="5">
        <v>0</v>
      </c>
      <c r="H297" s="5">
        <v>0</v>
      </c>
      <c r="I297" s="5">
        <v>1200</v>
      </c>
      <c r="J297" s="5">
        <v>1200</v>
      </c>
      <c r="K297" s="5">
        <v>0</v>
      </c>
      <c r="L297" s="5">
        <v>0</v>
      </c>
      <c r="M297" s="5">
        <v>0</v>
      </c>
      <c r="N297" s="5">
        <v>0</v>
      </c>
      <c r="O297" s="5" t="str">
        <f t="shared" ca="1" si="4"/>
        <v>Supplier 164</v>
      </c>
      <c r="P297" s="20" t="str">
        <f ca="1">IFERROR(VLOOKUP(O297,EMAILS!B:C,2,FALSE),"NOT FOUND IN EMAILS")</f>
        <v>supplier@gmail.com</v>
      </c>
      <c r="Q297" t="str">
        <f ca="1">""&amp;IFERROR(VLOOKUP(O297,EMAILS!B:D,3,FALSE),"NOT FOUND IN EMAILS")</f>
        <v/>
      </c>
      <c r="R297" t="str">
        <f ca="1">""&amp;IFERROR(VLOOKUP(O297,EMAILS!B:E,4,FALSE),"NO T FOUND IN EMAILS")</f>
        <v/>
      </c>
    </row>
    <row r="298" spans="2:18" x14ac:dyDescent="0.25">
      <c r="B298" s="5" t="s">
        <v>300</v>
      </c>
      <c r="C298" s="5" t="s">
        <v>4440</v>
      </c>
      <c r="D298" s="5">
        <v>0</v>
      </c>
      <c r="E298" s="5">
        <v>0</v>
      </c>
      <c r="F298" s="5">
        <v>0</v>
      </c>
      <c r="G298" s="5">
        <v>0</v>
      </c>
      <c r="H298" s="5">
        <v>0</v>
      </c>
      <c r="I298" s="5">
        <v>0</v>
      </c>
      <c r="J298" s="5">
        <v>0</v>
      </c>
      <c r="K298" s="5">
        <v>0</v>
      </c>
      <c r="L298" s="5">
        <v>0</v>
      </c>
      <c r="M298" s="5">
        <v>0</v>
      </c>
      <c r="N298" s="5">
        <v>0</v>
      </c>
      <c r="O298" s="5" t="str">
        <f t="shared" ca="1" si="4"/>
        <v>Supplier 8</v>
      </c>
      <c r="P298" s="20" t="str">
        <f ca="1">IFERROR(VLOOKUP(O298,EMAILS!B:C,2,FALSE),"NOT FOUND IN EMAILS")</f>
        <v>supplier@gmail.com</v>
      </c>
      <c r="Q298" t="str">
        <f ca="1">""&amp;IFERROR(VLOOKUP(O298,EMAILS!B:D,3,FALSE),"NOT FOUND IN EMAILS")</f>
        <v>supplier_logistics@gmail.com</v>
      </c>
      <c r="R298" t="str">
        <f ca="1">""&amp;IFERROR(VLOOKUP(O298,EMAILS!B:E,4,FALSE),"NO T FOUND IN EMAILS")</f>
        <v/>
      </c>
    </row>
    <row r="299" spans="2:18" x14ac:dyDescent="0.25">
      <c r="B299" s="5" t="s">
        <v>301</v>
      </c>
      <c r="C299" s="5" t="s">
        <v>4441</v>
      </c>
      <c r="D299" s="5">
        <v>0</v>
      </c>
      <c r="E299" s="5">
        <v>0</v>
      </c>
      <c r="F299" s="5">
        <v>0</v>
      </c>
      <c r="G299" s="5">
        <v>0</v>
      </c>
      <c r="H299" s="5">
        <v>0</v>
      </c>
      <c r="I299" s="5">
        <v>0</v>
      </c>
      <c r="J299" s="5">
        <v>0</v>
      </c>
      <c r="K299" s="5">
        <v>0</v>
      </c>
      <c r="L299" s="5">
        <v>0</v>
      </c>
      <c r="M299" s="5">
        <v>0</v>
      </c>
      <c r="N299" s="5">
        <v>0</v>
      </c>
      <c r="O299" s="5" t="str">
        <f t="shared" ca="1" si="4"/>
        <v>Supplier 195</v>
      </c>
      <c r="P299" s="20" t="str">
        <f ca="1">IFERROR(VLOOKUP(O299,EMAILS!B:C,2,FALSE),"NOT FOUND IN EMAILS")</f>
        <v>supplier@gmail.com</v>
      </c>
      <c r="Q299" t="str">
        <f ca="1">""&amp;IFERROR(VLOOKUP(O299,EMAILS!B:D,3,FALSE),"NOT FOUND IN EMAILS")</f>
        <v/>
      </c>
      <c r="R299" t="str">
        <f ca="1">""&amp;IFERROR(VLOOKUP(O299,EMAILS!B:E,4,FALSE),"NO T FOUND IN EMAILS")</f>
        <v/>
      </c>
    </row>
    <row r="300" spans="2:18" x14ac:dyDescent="0.25">
      <c r="B300" s="5" t="s">
        <v>302</v>
      </c>
      <c r="C300" s="5" t="s">
        <v>4442</v>
      </c>
      <c r="D300" s="5">
        <v>0</v>
      </c>
      <c r="E300" s="5">
        <v>0</v>
      </c>
      <c r="F300" s="5">
        <v>0</v>
      </c>
      <c r="G300" s="5">
        <v>0</v>
      </c>
      <c r="H300" s="5">
        <v>0</v>
      </c>
      <c r="I300" s="5">
        <v>0</v>
      </c>
      <c r="J300" s="5">
        <v>0</v>
      </c>
      <c r="K300" s="5">
        <v>0</v>
      </c>
      <c r="L300" s="5">
        <v>0</v>
      </c>
      <c r="M300" s="5">
        <v>0</v>
      </c>
      <c r="N300" s="5">
        <v>0</v>
      </c>
      <c r="O300" s="5" t="str">
        <f t="shared" ca="1" si="4"/>
        <v>Supplier 174</v>
      </c>
      <c r="P300" s="20" t="str">
        <f ca="1">IFERROR(VLOOKUP(O300,EMAILS!B:C,2,FALSE),"NOT FOUND IN EMAILS")</f>
        <v>supplier@gmail.com</v>
      </c>
      <c r="Q300" t="str">
        <f ca="1">""&amp;IFERROR(VLOOKUP(O300,EMAILS!B:D,3,FALSE),"NOT FOUND IN EMAILS")</f>
        <v/>
      </c>
      <c r="R300" t="str">
        <f ca="1">""&amp;IFERROR(VLOOKUP(O300,EMAILS!B:E,4,FALSE),"NO T FOUND IN EMAILS")</f>
        <v/>
      </c>
    </row>
    <row r="301" spans="2:18" x14ac:dyDescent="0.25">
      <c r="B301" s="5" t="s">
        <v>303</v>
      </c>
      <c r="C301" s="5" t="s">
        <v>4443</v>
      </c>
      <c r="D301" s="5">
        <v>0</v>
      </c>
      <c r="E301" s="5">
        <v>0</v>
      </c>
      <c r="F301" s="5">
        <v>0</v>
      </c>
      <c r="G301" s="5">
        <v>0</v>
      </c>
      <c r="H301" s="5">
        <v>0</v>
      </c>
      <c r="I301" s="5">
        <v>0</v>
      </c>
      <c r="J301" s="5">
        <v>0</v>
      </c>
      <c r="K301" s="5">
        <v>0</v>
      </c>
      <c r="L301" s="5">
        <v>0</v>
      </c>
      <c r="M301" s="5">
        <v>0</v>
      </c>
      <c r="N301" s="5">
        <v>0</v>
      </c>
      <c r="O301" s="5" t="str">
        <f t="shared" ca="1" si="4"/>
        <v>Supplier 182</v>
      </c>
      <c r="P301" s="20" t="str">
        <f ca="1">IFERROR(VLOOKUP(O301,EMAILS!B:C,2,FALSE),"NOT FOUND IN EMAILS")</f>
        <v>supplier@gmail.com</v>
      </c>
      <c r="Q301" t="str">
        <f ca="1">""&amp;IFERROR(VLOOKUP(O301,EMAILS!B:D,3,FALSE),"NOT FOUND IN EMAILS")</f>
        <v/>
      </c>
      <c r="R301" t="str">
        <f ca="1">""&amp;IFERROR(VLOOKUP(O301,EMAILS!B:E,4,FALSE),"NO T FOUND IN EMAILS")</f>
        <v/>
      </c>
    </row>
    <row r="302" spans="2:18" x14ac:dyDescent="0.25">
      <c r="B302" s="5" t="s">
        <v>304</v>
      </c>
      <c r="C302" s="5" t="s">
        <v>4444</v>
      </c>
      <c r="D302" s="5">
        <v>0</v>
      </c>
      <c r="E302" s="5">
        <v>0</v>
      </c>
      <c r="F302" s="5">
        <v>25</v>
      </c>
      <c r="G302" s="5">
        <v>0</v>
      </c>
      <c r="H302" s="5">
        <v>0</v>
      </c>
      <c r="I302" s="5">
        <v>25</v>
      </c>
      <c r="J302" s="5">
        <v>0</v>
      </c>
      <c r="K302" s="5">
        <v>0</v>
      </c>
      <c r="L302" s="5">
        <v>0</v>
      </c>
      <c r="M302" s="5">
        <v>0</v>
      </c>
      <c r="N302" s="5">
        <v>1850</v>
      </c>
      <c r="O302" s="5" t="str">
        <f t="shared" ca="1" si="4"/>
        <v>Supplier 99</v>
      </c>
      <c r="P302" s="20" t="str">
        <f ca="1">IFERROR(VLOOKUP(O302,EMAILS!B:C,2,FALSE),"NOT FOUND IN EMAILS")</f>
        <v>supplier@gmail.com</v>
      </c>
      <c r="Q302" t="str">
        <f ca="1">""&amp;IFERROR(VLOOKUP(O302,EMAILS!B:D,3,FALSE),"NOT FOUND IN EMAILS")</f>
        <v/>
      </c>
      <c r="R302" t="str">
        <f ca="1">""&amp;IFERROR(VLOOKUP(O302,EMAILS!B:E,4,FALSE),"NO T FOUND IN EMAILS")</f>
        <v/>
      </c>
    </row>
    <row r="303" spans="2:18" x14ac:dyDescent="0.25">
      <c r="B303" s="5" t="s">
        <v>305</v>
      </c>
      <c r="C303" s="5" t="s">
        <v>4445</v>
      </c>
      <c r="D303" s="5">
        <v>0</v>
      </c>
      <c r="E303" s="5">
        <v>4</v>
      </c>
      <c r="F303" s="5">
        <v>4</v>
      </c>
      <c r="G303" s="5">
        <v>4</v>
      </c>
      <c r="H303" s="5">
        <v>4</v>
      </c>
      <c r="I303" s="5">
        <v>4</v>
      </c>
      <c r="J303" s="5">
        <v>6</v>
      </c>
      <c r="K303" s="5">
        <v>4</v>
      </c>
      <c r="L303" s="5">
        <v>4</v>
      </c>
      <c r="M303" s="5">
        <v>0</v>
      </c>
      <c r="N303" s="5">
        <v>4182</v>
      </c>
      <c r="O303" s="5" t="str">
        <f t="shared" ca="1" si="4"/>
        <v>Supplier 12</v>
      </c>
      <c r="P303" s="20" t="str">
        <f ca="1">IFERROR(VLOOKUP(O303,EMAILS!B:C,2,FALSE),"NOT FOUND IN EMAILS")</f>
        <v>supplier@gmail.com</v>
      </c>
      <c r="Q303" t="str">
        <f ca="1">""&amp;IFERROR(VLOOKUP(O303,EMAILS!B:D,3,FALSE),"NOT FOUND IN EMAILS")</f>
        <v>supplier_logistics@gmail.com</v>
      </c>
      <c r="R303" t="str">
        <f ca="1">""&amp;IFERROR(VLOOKUP(O303,EMAILS!B:E,4,FALSE),"NO T FOUND IN EMAILS")</f>
        <v/>
      </c>
    </row>
    <row r="304" spans="2:18" x14ac:dyDescent="0.25">
      <c r="B304" s="5" t="s">
        <v>306</v>
      </c>
      <c r="C304" s="5" t="s">
        <v>4446</v>
      </c>
      <c r="D304" s="5">
        <v>0</v>
      </c>
      <c r="E304" s="5">
        <v>0</v>
      </c>
      <c r="F304" s="5">
        <v>25</v>
      </c>
      <c r="G304" s="5">
        <v>0</v>
      </c>
      <c r="H304" s="5">
        <v>25</v>
      </c>
      <c r="I304" s="5">
        <v>25</v>
      </c>
      <c r="J304" s="5">
        <v>0</v>
      </c>
      <c r="K304" s="5">
        <v>0</v>
      </c>
      <c r="L304" s="5">
        <v>0</v>
      </c>
      <c r="M304" s="5">
        <v>0</v>
      </c>
      <c r="N304" s="5">
        <v>87</v>
      </c>
      <c r="O304" s="5" t="str">
        <f t="shared" ca="1" si="4"/>
        <v>Supplier 47</v>
      </c>
      <c r="P304" s="20" t="str">
        <f ca="1">IFERROR(VLOOKUP(O304,EMAILS!B:C,2,FALSE),"NOT FOUND IN EMAILS")</f>
        <v>supplier@gmail.com</v>
      </c>
      <c r="Q304" t="str">
        <f ca="1">""&amp;IFERROR(VLOOKUP(O304,EMAILS!B:D,3,FALSE),"NOT FOUND IN EMAILS")</f>
        <v/>
      </c>
      <c r="R304" t="str">
        <f ca="1">""&amp;IFERROR(VLOOKUP(O304,EMAILS!B:E,4,FALSE),"NO T FOUND IN EMAILS")</f>
        <v/>
      </c>
    </row>
    <row r="305" spans="2:18" x14ac:dyDescent="0.25">
      <c r="B305" s="5" t="s">
        <v>307</v>
      </c>
      <c r="C305" s="5" t="s">
        <v>4447</v>
      </c>
      <c r="D305" s="5">
        <v>2</v>
      </c>
      <c r="E305" s="5">
        <v>2</v>
      </c>
      <c r="F305" s="5">
        <v>2</v>
      </c>
      <c r="G305" s="5">
        <v>2</v>
      </c>
      <c r="H305" s="5">
        <v>2</v>
      </c>
      <c r="I305" s="5">
        <v>3</v>
      </c>
      <c r="J305" s="5">
        <v>2</v>
      </c>
      <c r="K305" s="5">
        <v>2</v>
      </c>
      <c r="L305" s="5">
        <v>2</v>
      </c>
      <c r="M305" s="5">
        <v>0</v>
      </c>
      <c r="N305" s="5">
        <v>1</v>
      </c>
      <c r="O305" s="5" t="str">
        <f t="shared" ca="1" si="4"/>
        <v>Supplier 41</v>
      </c>
      <c r="P305" s="20" t="str">
        <f ca="1">IFERROR(VLOOKUP(O305,EMAILS!B:C,2,FALSE),"NOT FOUND IN EMAILS")</f>
        <v>supplier@gmail.com</v>
      </c>
      <c r="Q305" t="str">
        <f ca="1">""&amp;IFERROR(VLOOKUP(O305,EMAILS!B:D,3,FALSE),"NOT FOUND IN EMAILS")</f>
        <v/>
      </c>
      <c r="R305" t="str">
        <f ca="1">""&amp;IFERROR(VLOOKUP(O305,EMAILS!B:E,4,FALSE),"NO T FOUND IN EMAILS")</f>
        <v/>
      </c>
    </row>
    <row r="306" spans="2:18" x14ac:dyDescent="0.25">
      <c r="B306" s="5" t="s">
        <v>308</v>
      </c>
      <c r="C306" s="5" t="s">
        <v>4448</v>
      </c>
      <c r="D306" s="5">
        <v>2</v>
      </c>
      <c r="E306" s="5">
        <v>2</v>
      </c>
      <c r="F306" s="5">
        <v>2</v>
      </c>
      <c r="G306" s="5">
        <v>2</v>
      </c>
      <c r="H306" s="5">
        <v>2</v>
      </c>
      <c r="I306" s="5">
        <v>3</v>
      </c>
      <c r="J306" s="5">
        <v>2</v>
      </c>
      <c r="K306" s="5">
        <v>2</v>
      </c>
      <c r="L306" s="5">
        <v>2</v>
      </c>
      <c r="M306" s="5">
        <v>0</v>
      </c>
      <c r="N306" s="5">
        <v>118</v>
      </c>
      <c r="O306" s="5" t="str">
        <f t="shared" ca="1" si="4"/>
        <v>Supplier 101</v>
      </c>
      <c r="P306" s="20" t="str">
        <f ca="1">IFERROR(VLOOKUP(O306,EMAILS!B:C,2,FALSE),"NOT FOUND IN EMAILS")</f>
        <v>supplier@gmail.com</v>
      </c>
      <c r="Q306" t="str">
        <f ca="1">""&amp;IFERROR(VLOOKUP(O306,EMAILS!B:D,3,FALSE),"NOT FOUND IN EMAILS")</f>
        <v/>
      </c>
      <c r="R306" t="str">
        <f ca="1">""&amp;IFERROR(VLOOKUP(O306,EMAILS!B:E,4,FALSE),"NO T FOUND IN EMAILS")</f>
        <v/>
      </c>
    </row>
    <row r="307" spans="2:18" x14ac:dyDescent="0.25">
      <c r="B307" s="5" t="s">
        <v>309</v>
      </c>
      <c r="C307" s="5" t="s">
        <v>4449</v>
      </c>
      <c r="D307" s="5">
        <v>2</v>
      </c>
      <c r="E307" s="5">
        <v>2</v>
      </c>
      <c r="F307" s="5">
        <v>2</v>
      </c>
      <c r="G307" s="5">
        <v>2</v>
      </c>
      <c r="H307" s="5">
        <v>2</v>
      </c>
      <c r="I307" s="5">
        <v>3</v>
      </c>
      <c r="J307" s="5">
        <v>2</v>
      </c>
      <c r="K307" s="5">
        <v>2</v>
      </c>
      <c r="L307" s="5">
        <v>2</v>
      </c>
      <c r="M307" s="5">
        <v>0</v>
      </c>
      <c r="N307" s="5">
        <v>22</v>
      </c>
      <c r="O307" s="5" t="str">
        <f t="shared" ca="1" si="4"/>
        <v>Supplier 122</v>
      </c>
      <c r="P307" s="20" t="str">
        <f ca="1">IFERROR(VLOOKUP(O307,EMAILS!B:C,2,FALSE),"NOT FOUND IN EMAILS")</f>
        <v>supplier@gmail.com</v>
      </c>
      <c r="Q307" t="str">
        <f ca="1">""&amp;IFERROR(VLOOKUP(O307,EMAILS!B:D,3,FALSE),"NOT FOUND IN EMAILS")</f>
        <v/>
      </c>
      <c r="R307" t="str">
        <f ca="1">""&amp;IFERROR(VLOOKUP(O307,EMAILS!B:E,4,FALSE),"NO T FOUND IN EMAILS")</f>
        <v/>
      </c>
    </row>
    <row r="308" spans="2:18" x14ac:dyDescent="0.25">
      <c r="B308" s="5" t="s">
        <v>310</v>
      </c>
      <c r="C308" s="5" t="s">
        <v>4450</v>
      </c>
      <c r="D308" s="5">
        <v>0</v>
      </c>
      <c r="E308" s="5">
        <v>0</v>
      </c>
      <c r="F308" s="5">
        <v>1000</v>
      </c>
      <c r="G308" s="5">
        <v>0</v>
      </c>
      <c r="H308" s="5">
        <v>0</v>
      </c>
      <c r="I308" s="5">
        <v>600</v>
      </c>
      <c r="J308" s="5">
        <v>600</v>
      </c>
      <c r="K308" s="5">
        <v>0</v>
      </c>
      <c r="L308" s="5">
        <v>0</v>
      </c>
      <c r="M308" s="5">
        <v>0</v>
      </c>
      <c r="N308" s="5">
        <v>29</v>
      </c>
      <c r="O308" s="5" t="str">
        <f t="shared" ca="1" si="4"/>
        <v>Supplier 115</v>
      </c>
      <c r="P308" s="20" t="str">
        <f ca="1">IFERROR(VLOOKUP(O308,EMAILS!B:C,2,FALSE),"NOT FOUND IN EMAILS")</f>
        <v>supplier@gmail.com</v>
      </c>
      <c r="Q308" t="str">
        <f ca="1">""&amp;IFERROR(VLOOKUP(O308,EMAILS!B:D,3,FALSE),"NOT FOUND IN EMAILS")</f>
        <v/>
      </c>
      <c r="R308" t="str">
        <f ca="1">""&amp;IFERROR(VLOOKUP(O308,EMAILS!B:E,4,FALSE),"NO T FOUND IN EMAILS")</f>
        <v/>
      </c>
    </row>
    <row r="309" spans="2:18" x14ac:dyDescent="0.25">
      <c r="B309" s="5" t="s">
        <v>311</v>
      </c>
      <c r="C309" s="5" t="s">
        <v>4451</v>
      </c>
      <c r="D309" s="5">
        <v>0</v>
      </c>
      <c r="E309" s="5">
        <v>0</v>
      </c>
      <c r="F309" s="5">
        <v>0</v>
      </c>
      <c r="G309" s="5">
        <v>0</v>
      </c>
      <c r="H309" s="5">
        <v>0</v>
      </c>
      <c r="I309" s="5">
        <v>0</v>
      </c>
      <c r="J309" s="5">
        <v>0</v>
      </c>
      <c r="K309" s="5">
        <v>0</v>
      </c>
      <c r="L309" s="5">
        <v>0</v>
      </c>
      <c r="M309" s="5">
        <v>0</v>
      </c>
      <c r="N309" s="5">
        <v>202</v>
      </c>
      <c r="O309" s="5" t="str">
        <f t="shared" ca="1" si="4"/>
        <v>Supplier 129</v>
      </c>
      <c r="P309" s="20" t="str">
        <f ca="1">IFERROR(VLOOKUP(O309,EMAILS!B:C,2,FALSE),"NOT FOUND IN EMAILS")</f>
        <v>supplier@gmail.com</v>
      </c>
      <c r="Q309" t="str">
        <f ca="1">""&amp;IFERROR(VLOOKUP(O309,EMAILS!B:D,3,FALSE),"NOT FOUND IN EMAILS")</f>
        <v/>
      </c>
      <c r="R309" t="str">
        <f ca="1">""&amp;IFERROR(VLOOKUP(O309,EMAILS!B:E,4,FALSE),"NO T FOUND IN EMAILS")</f>
        <v/>
      </c>
    </row>
    <row r="310" spans="2:18" x14ac:dyDescent="0.25">
      <c r="B310" s="5" t="s">
        <v>312</v>
      </c>
      <c r="C310" s="5" t="s">
        <v>4452</v>
      </c>
      <c r="D310" s="5">
        <v>0</v>
      </c>
      <c r="E310" s="5">
        <v>0</v>
      </c>
      <c r="F310" s="5">
        <v>0</v>
      </c>
      <c r="G310" s="5">
        <v>20</v>
      </c>
      <c r="H310" s="5">
        <v>0</v>
      </c>
      <c r="I310" s="5">
        <v>0</v>
      </c>
      <c r="J310" s="5">
        <v>20</v>
      </c>
      <c r="K310" s="5">
        <v>0</v>
      </c>
      <c r="L310" s="5">
        <v>40</v>
      </c>
      <c r="M310" s="5">
        <v>0</v>
      </c>
      <c r="N310" s="5">
        <v>2765</v>
      </c>
      <c r="O310" s="5" t="str">
        <f t="shared" ca="1" si="4"/>
        <v>Supplier 32</v>
      </c>
      <c r="P310" s="20" t="str">
        <f ca="1">IFERROR(VLOOKUP(O310,EMAILS!B:C,2,FALSE),"NOT FOUND IN EMAILS")</f>
        <v>supplier@gmail.com</v>
      </c>
      <c r="Q310" t="str">
        <f ca="1">""&amp;IFERROR(VLOOKUP(O310,EMAILS!B:D,3,FALSE),"NOT FOUND IN EMAILS")</f>
        <v/>
      </c>
      <c r="R310" t="str">
        <f ca="1">""&amp;IFERROR(VLOOKUP(O310,EMAILS!B:E,4,FALSE),"NO T FOUND IN EMAILS")</f>
        <v/>
      </c>
    </row>
    <row r="311" spans="2:18" x14ac:dyDescent="0.25">
      <c r="B311" s="5" t="s">
        <v>313</v>
      </c>
      <c r="C311" s="5" t="s">
        <v>4453</v>
      </c>
      <c r="D311" s="5">
        <v>0</v>
      </c>
      <c r="E311" s="5">
        <v>0</v>
      </c>
      <c r="F311" s="5">
        <v>0</v>
      </c>
      <c r="G311" s="5">
        <v>0</v>
      </c>
      <c r="H311" s="5">
        <v>0</v>
      </c>
      <c r="I311" s="5">
        <v>0</v>
      </c>
      <c r="J311" s="5">
        <v>35</v>
      </c>
      <c r="K311" s="5">
        <v>0</v>
      </c>
      <c r="L311" s="5">
        <v>0</v>
      </c>
      <c r="M311" s="5">
        <v>0</v>
      </c>
      <c r="N311" s="5">
        <v>178</v>
      </c>
      <c r="O311" s="5" t="str">
        <f t="shared" ca="1" si="4"/>
        <v>Supplier 182</v>
      </c>
      <c r="P311" s="20" t="str">
        <f ca="1">IFERROR(VLOOKUP(O311,EMAILS!B:C,2,FALSE),"NOT FOUND IN EMAILS")</f>
        <v>supplier@gmail.com</v>
      </c>
      <c r="Q311" t="str">
        <f ca="1">""&amp;IFERROR(VLOOKUP(O311,EMAILS!B:D,3,FALSE),"NOT FOUND IN EMAILS")</f>
        <v/>
      </c>
      <c r="R311" t="str">
        <f ca="1">""&amp;IFERROR(VLOOKUP(O311,EMAILS!B:E,4,FALSE),"NO T FOUND IN EMAILS")</f>
        <v/>
      </c>
    </row>
    <row r="312" spans="2:18" x14ac:dyDescent="0.25">
      <c r="B312" s="5" t="s">
        <v>314</v>
      </c>
      <c r="C312" s="5" t="s">
        <v>4454</v>
      </c>
      <c r="D312" s="5">
        <v>28</v>
      </c>
      <c r="E312" s="5">
        <v>8</v>
      </c>
      <c r="F312" s="5">
        <v>8</v>
      </c>
      <c r="G312" s="5">
        <v>8</v>
      </c>
      <c r="H312" s="5">
        <v>9</v>
      </c>
      <c r="I312" s="5">
        <v>9</v>
      </c>
      <c r="J312" s="5">
        <v>9</v>
      </c>
      <c r="K312" s="5">
        <v>8</v>
      </c>
      <c r="L312" s="5">
        <v>8</v>
      </c>
      <c r="M312" s="5">
        <v>0</v>
      </c>
      <c r="N312" s="5">
        <v>5</v>
      </c>
      <c r="O312" s="5" t="str">
        <f t="shared" ca="1" si="4"/>
        <v>Supplier 175</v>
      </c>
      <c r="P312" s="20" t="str">
        <f ca="1">IFERROR(VLOOKUP(O312,EMAILS!B:C,2,FALSE),"NOT FOUND IN EMAILS")</f>
        <v>supplier@gmail.com</v>
      </c>
      <c r="Q312" t="str">
        <f ca="1">""&amp;IFERROR(VLOOKUP(O312,EMAILS!B:D,3,FALSE),"NOT FOUND IN EMAILS")</f>
        <v/>
      </c>
      <c r="R312" t="str">
        <f ca="1">""&amp;IFERROR(VLOOKUP(O312,EMAILS!B:E,4,FALSE),"NO T FOUND IN EMAILS")</f>
        <v/>
      </c>
    </row>
    <row r="313" spans="2:18" x14ac:dyDescent="0.25">
      <c r="B313" s="5" t="s">
        <v>315</v>
      </c>
      <c r="C313" s="5" t="s">
        <v>4455</v>
      </c>
      <c r="D313" s="5">
        <v>0</v>
      </c>
      <c r="E313" s="5">
        <v>0</v>
      </c>
      <c r="F313" s="5">
        <v>0</v>
      </c>
      <c r="G313" s="5">
        <v>0</v>
      </c>
      <c r="H313" s="5">
        <v>0</v>
      </c>
      <c r="I313" s="5">
        <v>0</v>
      </c>
      <c r="J313" s="5">
        <v>0</v>
      </c>
      <c r="K313" s="5">
        <v>0</v>
      </c>
      <c r="L313" s="5">
        <v>0</v>
      </c>
      <c r="M313" s="5">
        <v>0</v>
      </c>
      <c r="N313" s="5">
        <v>0</v>
      </c>
      <c r="O313" s="5" t="str">
        <f t="shared" ca="1" si="4"/>
        <v>Supplier 17</v>
      </c>
      <c r="P313" s="20" t="str">
        <f ca="1">IFERROR(VLOOKUP(O313,EMAILS!B:C,2,FALSE),"NOT FOUND IN EMAILS")</f>
        <v>supplier@gmail.com</v>
      </c>
      <c r="Q313" t="str">
        <f ca="1">""&amp;IFERROR(VLOOKUP(O313,EMAILS!B:D,3,FALSE),"NOT FOUND IN EMAILS")</f>
        <v>supplier_logistics@gmail.com</v>
      </c>
      <c r="R313" t="str">
        <f ca="1">""&amp;IFERROR(VLOOKUP(O313,EMAILS!B:E,4,FALSE),"NO T FOUND IN EMAILS")</f>
        <v/>
      </c>
    </row>
    <row r="314" spans="2:18" x14ac:dyDescent="0.25">
      <c r="B314" s="5" t="s">
        <v>316</v>
      </c>
      <c r="C314" s="5" t="s">
        <v>4456</v>
      </c>
      <c r="D314" s="5">
        <v>0</v>
      </c>
      <c r="E314" s="5">
        <v>0</v>
      </c>
      <c r="F314" s="5">
        <v>0</v>
      </c>
      <c r="G314" s="5">
        <v>0</v>
      </c>
      <c r="H314" s="5">
        <v>0</v>
      </c>
      <c r="I314" s="5">
        <v>0</v>
      </c>
      <c r="J314" s="5">
        <v>35</v>
      </c>
      <c r="K314" s="5">
        <v>0</v>
      </c>
      <c r="L314" s="5">
        <v>0</v>
      </c>
      <c r="M314" s="5">
        <v>0</v>
      </c>
      <c r="N314" s="5">
        <v>460</v>
      </c>
      <c r="O314" s="5" t="str">
        <f t="shared" ca="1" si="4"/>
        <v>Supplier 107</v>
      </c>
      <c r="P314" s="20" t="str">
        <f ca="1">IFERROR(VLOOKUP(O314,EMAILS!B:C,2,FALSE),"NOT FOUND IN EMAILS")</f>
        <v>supplier@gmail.com</v>
      </c>
      <c r="Q314" t="str">
        <f ca="1">""&amp;IFERROR(VLOOKUP(O314,EMAILS!B:D,3,FALSE),"NOT FOUND IN EMAILS")</f>
        <v/>
      </c>
      <c r="R314" t="str">
        <f ca="1">""&amp;IFERROR(VLOOKUP(O314,EMAILS!B:E,4,FALSE),"NO T FOUND IN EMAILS")</f>
        <v/>
      </c>
    </row>
    <row r="315" spans="2:18" x14ac:dyDescent="0.25">
      <c r="B315" s="5" t="s">
        <v>317</v>
      </c>
      <c r="C315" s="5" t="s">
        <v>4457</v>
      </c>
      <c r="D315" s="5">
        <v>0</v>
      </c>
      <c r="E315" s="5">
        <v>0</v>
      </c>
      <c r="F315" s="5">
        <v>0</v>
      </c>
      <c r="G315" s="5">
        <v>0</v>
      </c>
      <c r="H315" s="5">
        <v>0</v>
      </c>
      <c r="I315" s="5">
        <v>0</v>
      </c>
      <c r="J315" s="5">
        <v>35</v>
      </c>
      <c r="K315" s="5">
        <v>0</v>
      </c>
      <c r="L315" s="5">
        <v>0</v>
      </c>
      <c r="M315" s="5">
        <v>0</v>
      </c>
      <c r="N315" s="5">
        <v>0</v>
      </c>
      <c r="O315" s="5" t="str">
        <f t="shared" ca="1" si="4"/>
        <v>Supplier 34</v>
      </c>
      <c r="P315" s="20" t="str">
        <f ca="1">IFERROR(VLOOKUP(O315,EMAILS!B:C,2,FALSE),"NOT FOUND IN EMAILS")</f>
        <v>supplier@gmail.com</v>
      </c>
      <c r="Q315" t="str">
        <f ca="1">""&amp;IFERROR(VLOOKUP(O315,EMAILS!B:D,3,FALSE),"NOT FOUND IN EMAILS")</f>
        <v/>
      </c>
      <c r="R315" t="str">
        <f ca="1">""&amp;IFERROR(VLOOKUP(O315,EMAILS!B:E,4,FALSE),"NO T FOUND IN EMAILS")</f>
        <v/>
      </c>
    </row>
    <row r="316" spans="2:18" x14ac:dyDescent="0.25">
      <c r="B316" s="5" t="s">
        <v>318</v>
      </c>
      <c r="C316" s="5" t="s">
        <v>4458</v>
      </c>
      <c r="D316" s="5">
        <v>0</v>
      </c>
      <c r="E316" s="5">
        <v>0</v>
      </c>
      <c r="F316" s="5">
        <v>0</v>
      </c>
      <c r="G316" s="5">
        <v>0</v>
      </c>
      <c r="H316" s="5">
        <v>0</v>
      </c>
      <c r="I316" s="5">
        <v>0</v>
      </c>
      <c r="J316" s="5">
        <v>35</v>
      </c>
      <c r="K316" s="5">
        <v>0</v>
      </c>
      <c r="L316" s="5">
        <v>0</v>
      </c>
      <c r="M316" s="5">
        <v>0</v>
      </c>
      <c r="N316" s="5">
        <v>227</v>
      </c>
      <c r="O316" s="5" t="str">
        <f t="shared" ca="1" si="4"/>
        <v>Supplier 64</v>
      </c>
      <c r="P316" s="20" t="str">
        <f ca="1">IFERROR(VLOOKUP(O316,EMAILS!B:C,2,FALSE),"NOT FOUND IN EMAILS")</f>
        <v>supplier@gmail.com</v>
      </c>
      <c r="Q316" t="str">
        <f ca="1">""&amp;IFERROR(VLOOKUP(O316,EMAILS!B:D,3,FALSE),"NOT FOUND IN EMAILS")</f>
        <v/>
      </c>
      <c r="R316" t="str">
        <f ca="1">""&amp;IFERROR(VLOOKUP(O316,EMAILS!B:E,4,FALSE),"NO T FOUND IN EMAILS")</f>
        <v/>
      </c>
    </row>
    <row r="317" spans="2:18" x14ac:dyDescent="0.25">
      <c r="B317" s="5" t="s">
        <v>319</v>
      </c>
      <c r="C317" s="5" t="s">
        <v>4459</v>
      </c>
      <c r="D317" s="5">
        <v>0</v>
      </c>
      <c r="E317" s="5">
        <v>0</v>
      </c>
      <c r="F317" s="5">
        <v>0</v>
      </c>
      <c r="G317" s="5">
        <v>0</v>
      </c>
      <c r="H317" s="5">
        <v>0</v>
      </c>
      <c r="I317" s="5">
        <v>0</v>
      </c>
      <c r="J317" s="5">
        <v>70</v>
      </c>
      <c r="K317" s="5">
        <v>0</v>
      </c>
      <c r="L317" s="5">
        <v>0</v>
      </c>
      <c r="M317" s="5">
        <v>0</v>
      </c>
      <c r="N317" s="5">
        <v>76</v>
      </c>
      <c r="O317" s="5" t="str">
        <f t="shared" ca="1" si="4"/>
        <v>Supplier 120</v>
      </c>
      <c r="P317" s="20" t="str">
        <f ca="1">IFERROR(VLOOKUP(O317,EMAILS!B:C,2,FALSE),"NOT FOUND IN EMAILS")</f>
        <v>supplier@gmail.com</v>
      </c>
      <c r="Q317" t="str">
        <f ca="1">""&amp;IFERROR(VLOOKUP(O317,EMAILS!B:D,3,FALSE),"NOT FOUND IN EMAILS")</f>
        <v/>
      </c>
      <c r="R317" t="str">
        <f ca="1">""&amp;IFERROR(VLOOKUP(O317,EMAILS!B:E,4,FALSE),"NO T FOUND IN EMAILS")</f>
        <v/>
      </c>
    </row>
    <row r="318" spans="2:18" x14ac:dyDescent="0.25">
      <c r="B318" s="5" t="s">
        <v>320</v>
      </c>
      <c r="C318" s="5" t="s">
        <v>4460</v>
      </c>
      <c r="D318" s="5">
        <v>0</v>
      </c>
      <c r="E318" s="5">
        <v>0</v>
      </c>
      <c r="F318" s="5">
        <v>0</v>
      </c>
      <c r="G318" s="5">
        <v>0</v>
      </c>
      <c r="H318" s="5">
        <v>0</v>
      </c>
      <c r="I318" s="5">
        <v>0</v>
      </c>
      <c r="J318" s="5">
        <v>0</v>
      </c>
      <c r="K318" s="5">
        <v>0</v>
      </c>
      <c r="L318" s="5">
        <v>0</v>
      </c>
      <c r="M318" s="5">
        <v>0</v>
      </c>
      <c r="N318" s="5">
        <v>189</v>
      </c>
      <c r="O318" s="5" t="str">
        <f t="shared" ca="1" si="4"/>
        <v>Supplier 167</v>
      </c>
      <c r="P318" s="20" t="str">
        <f ca="1">IFERROR(VLOOKUP(O318,EMAILS!B:C,2,FALSE),"NOT FOUND IN EMAILS")</f>
        <v>supplier@gmail.com</v>
      </c>
      <c r="Q318" t="str">
        <f ca="1">""&amp;IFERROR(VLOOKUP(O318,EMAILS!B:D,3,FALSE),"NOT FOUND IN EMAILS")</f>
        <v/>
      </c>
      <c r="R318" t="str">
        <f ca="1">""&amp;IFERROR(VLOOKUP(O318,EMAILS!B:E,4,FALSE),"NO T FOUND IN EMAILS")</f>
        <v/>
      </c>
    </row>
    <row r="319" spans="2:18" x14ac:dyDescent="0.25">
      <c r="B319" s="5" t="s">
        <v>321</v>
      </c>
      <c r="C319" s="5" t="s">
        <v>4461</v>
      </c>
      <c r="D319" s="5">
        <v>0</v>
      </c>
      <c r="E319" s="5">
        <v>0</v>
      </c>
      <c r="F319" s="5">
        <v>0</v>
      </c>
      <c r="G319" s="5">
        <v>0</v>
      </c>
      <c r="H319" s="5">
        <v>0</v>
      </c>
      <c r="I319" s="5">
        <v>0</v>
      </c>
      <c r="J319" s="5">
        <v>35</v>
      </c>
      <c r="K319" s="5">
        <v>0</v>
      </c>
      <c r="L319" s="5">
        <v>0</v>
      </c>
      <c r="M319" s="5">
        <v>0</v>
      </c>
      <c r="N319" s="5">
        <v>0</v>
      </c>
      <c r="O319" s="5" t="str">
        <f t="shared" ca="1" si="4"/>
        <v>Supplier 186</v>
      </c>
      <c r="P319" s="20" t="str">
        <f ca="1">IFERROR(VLOOKUP(O319,EMAILS!B:C,2,FALSE),"NOT FOUND IN EMAILS")</f>
        <v>supplier@gmail.com</v>
      </c>
      <c r="Q319" t="str">
        <f ca="1">""&amp;IFERROR(VLOOKUP(O319,EMAILS!B:D,3,FALSE),"NOT FOUND IN EMAILS")</f>
        <v/>
      </c>
      <c r="R319" t="str">
        <f ca="1">""&amp;IFERROR(VLOOKUP(O319,EMAILS!B:E,4,FALSE),"NO T FOUND IN EMAILS")</f>
        <v/>
      </c>
    </row>
    <row r="320" spans="2:18" x14ac:dyDescent="0.25">
      <c r="B320" s="5" t="s">
        <v>322</v>
      </c>
      <c r="C320" s="5" t="s">
        <v>4462</v>
      </c>
      <c r="D320" s="5">
        <v>0</v>
      </c>
      <c r="E320" s="5">
        <v>0</v>
      </c>
      <c r="F320" s="5">
        <v>0</v>
      </c>
      <c r="G320" s="5">
        <v>0</v>
      </c>
      <c r="H320" s="5">
        <v>0</v>
      </c>
      <c r="I320" s="5">
        <v>0</v>
      </c>
      <c r="J320" s="5">
        <v>0</v>
      </c>
      <c r="K320" s="5">
        <v>0</v>
      </c>
      <c r="L320" s="5">
        <v>0</v>
      </c>
      <c r="M320" s="5">
        <v>0</v>
      </c>
      <c r="N320" s="5">
        <v>87</v>
      </c>
      <c r="O320" s="5" t="str">
        <f t="shared" ca="1" si="4"/>
        <v>Supplier 157</v>
      </c>
      <c r="P320" s="20" t="str">
        <f ca="1">IFERROR(VLOOKUP(O320,EMAILS!B:C,2,FALSE),"NOT FOUND IN EMAILS")</f>
        <v>supplier@gmail.com</v>
      </c>
      <c r="Q320" t="str">
        <f ca="1">""&amp;IFERROR(VLOOKUP(O320,EMAILS!B:D,3,FALSE),"NOT FOUND IN EMAILS")</f>
        <v/>
      </c>
      <c r="R320" t="str">
        <f ca="1">""&amp;IFERROR(VLOOKUP(O320,EMAILS!B:E,4,FALSE),"NO T FOUND IN EMAILS")</f>
        <v/>
      </c>
    </row>
    <row r="321" spans="2:18" x14ac:dyDescent="0.25">
      <c r="B321" s="5" t="s">
        <v>323</v>
      </c>
      <c r="C321" s="5" t="s">
        <v>4463</v>
      </c>
      <c r="D321" s="5">
        <v>0</v>
      </c>
      <c r="E321" s="5">
        <v>0</v>
      </c>
      <c r="F321" s="5">
        <v>0</v>
      </c>
      <c r="G321" s="5">
        <v>0</v>
      </c>
      <c r="H321" s="5">
        <v>0</v>
      </c>
      <c r="I321" s="5">
        <v>0</v>
      </c>
      <c r="J321" s="5">
        <v>35</v>
      </c>
      <c r="K321" s="5">
        <v>0</v>
      </c>
      <c r="L321" s="5">
        <v>0</v>
      </c>
      <c r="M321" s="5">
        <v>0</v>
      </c>
      <c r="N321" s="5">
        <v>0</v>
      </c>
      <c r="O321" s="5" t="str">
        <f t="shared" ca="1" si="4"/>
        <v>Supplier 133</v>
      </c>
      <c r="P321" s="20" t="str">
        <f ca="1">IFERROR(VLOOKUP(O321,EMAILS!B:C,2,FALSE),"NOT FOUND IN EMAILS")</f>
        <v>supplier@gmail.com</v>
      </c>
      <c r="Q321" t="str">
        <f ca="1">""&amp;IFERROR(VLOOKUP(O321,EMAILS!B:D,3,FALSE),"NOT FOUND IN EMAILS")</f>
        <v/>
      </c>
      <c r="R321" t="str">
        <f ca="1">""&amp;IFERROR(VLOOKUP(O321,EMAILS!B:E,4,FALSE),"NO T FOUND IN EMAILS")</f>
        <v/>
      </c>
    </row>
    <row r="322" spans="2:18" x14ac:dyDescent="0.25">
      <c r="B322" s="5" t="s">
        <v>324</v>
      </c>
      <c r="C322" s="5" t="s">
        <v>4464</v>
      </c>
      <c r="D322" s="5">
        <v>0</v>
      </c>
      <c r="E322" s="5">
        <v>0</v>
      </c>
      <c r="F322" s="5">
        <v>0</v>
      </c>
      <c r="G322" s="5">
        <v>0</v>
      </c>
      <c r="H322" s="5">
        <v>0</v>
      </c>
      <c r="I322" s="5">
        <v>0</v>
      </c>
      <c r="J322" s="5">
        <v>0</v>
      </c>
      <c r="K322" s="5">
        <v>0</v>
      </c>
      <c r="L322" s="5">
        <v>0</v>
      </c>
      <c r="M322" s="5">
        <v>0</v>
      </c>
      <c r="N322" s="5">
        <v>0</v>
      </c>
      <c r="O322" s="5" t="str">
        <f t="shared" ca="1" si="4"/>
        <v>Supplier 44</v>
      </c>
      <c r="P322" s="20" t="str">
        <f ca="1">IFERROR(VLOOKUP(O322,EMAILS!B:C,2,FALSE),"NOT FOUND IN EMAILS")</f>
        <v>supplier@gmail.com</v>
      </c>
      <c r="Q322" t="str">
        <f ca="1">""&amp;IFERROR(VLOOKUP(O322,EMAILS!B:D,3,FALSE),"NOT FOUND IN EMAILS")</f>
        <v/>
      </c>
      <c r="R322" t="str">
        <f ca="1">""&amp;IFERROR(VLOOKUP(O322,EMAILS!B:E,4,FALSE),"NO T FOUND IN EMAILS")</f>
        <v/>
      </c>
    </row>
    <row r="323" spans="2:18" x14ac:dyDescent="0.25">
      <c r="B323" s="5" t="s">
        <v>325</v>
      </c>
      <c r="C323" s="5" t="s">
        <v>4465</v>
      </c>
      <c r="D323" s="5">
        <v>0</v>
      </c>
      <c r="E323" s="5">
        <v>0</v>
      </c>
      <c r="F323" s="5">
        <v>0</v>
      </c>
      <c r="G323" s="5">
        <v>0</v>
      </c>
      <c r="H323" s="5">
        <v>0</v>
      </c>
      <c r="I323" s="5">
        <v>0</v>
      </c>
      <c r="J323" s="5">
        <v>0</v>
      </c>
      <c r="K323" s="5">
        <v>0</v>
      </c>
      <c r="L323" s="5">
        <v>0</v>
      </c>
      <c r="M323" s="5">
        <v>0</v>
      </c>
      <c r="N323" s="5">
        <v>0</v>
      </c>
      <c r="O323" s="5" t="str">
        <f t="shared" ref="O323:O386" ca="1" si="5">"Supplier "&amp;RANDBETWEEN(1,200)</f>
        <v>Supplier 8</v>
      </c>
      <c r="P323" s="20" t="str">
        <f ca="1">IFERROR(VLOOKUP(O323,EMAILS!B:C,2,FALSE),"NOT FOUND IN EMAILS")</f>
        <v>supplier@gmail.com</v>
      </c>
      <c r="Q323" t="str">
        <f ca="1">""&amp;IFERROR(VLOOKUP(O323,EMAILS!B:D,3,FALSE),"NOT FOUND IN EMAILS")</f>
        <v>supplier_logistics@gmail.com</v>
      </c>
      <c r="R323" t="str">
        <f ca="1">""&amp;IFERROR(VLOOKUP(O323,EMAILS!B:E,4,FALSE),"NO T FOUND IN EMAILS")</f>
        <v/>
      </c>
    </row>
    <row r="324" spans="2:18" x14ac:dyDescent="0.25">
      <c r="B324" s="5" t="s">
        <v>326</v>
      </c>
      <c r="C324" s="5" t="s">
        <v>4466</v>
      </c>
      <c r="D324" s="5">
        <v>0</v>
      </c>
      <c r="E324" s="5">
        <v>0</v>
      </c>
      <c r="F324" s="5">
        <v>0</v>
      </c>
      <c r="G324" s="5">
        <v>0</v>
      </c>
      <c r="H324" s="5">
        <v>0</v>
      </c>
      <c r="I324" s="5">
        <v>0</v>
      </c>
      <c r="J324" s="5">
        <v>0</v>
      </c>
      <c r="K324" s="5">
        <v>0</v>
      </c>
      <c r="L324" s="5">
        <v>0</v>
      </c>
      <c r="M324" s="5">
        <v>0</v>
      </c>
      <c r="N324" s="5">
        <v>374</v>
      </c>
      <c r="O324" s="5" t="str">
        <f t="shared" ca="1" si="5"/>
        <v>Supplier 97</v>
      </c>
      <c r="P324" s="20" t="str">
        <f ca="1">IFERROR(VLOOKUP(O324,EMAILS!B:C,2,FALSE),"NOT FOUND IN EMAILS")</f>
        <v>supplier@gmail.com</v>
      </c>
      <c r="Q324" t="str">
        <f ca="1">""&amp;IFERROR(VLOOKUP(O324,EMAILS!B:D,3,FALSE),"NOT FOUND IN EMAILS")</f>
        <v/>
      </c>
      <c r="R324" t="str">
        <f ca="1">""&amp;IFERROR(VLOOKUP(O324,EMAILS!B:E,4,FALSE),"NO T FOUND IN EMAILS")</f>
        <v/>
      </c>
    </row>
    <row r="325" spans="2:18" x14ac:dyDescent="0.25">
      <c r="B325" s="5" t="s">
        <v>327</v>
      </c>
      <c r="C325" s="5" t="s">
        <v>4467</v>
      </c>
      <c r="D325" s="5">
        <v>0</v>
      </c>
      <c r="E325" s="5">
        <v>0</v>
      </c>
      <c r="F325" s="5">
        <v>0</v>
      </c>
      <c r="G325" s="5">
        <v>0</v>
      </c>
      <c r="H325" s="5">
        <v>0</v>
      </c>
      <c r="I325" s="5">
        <v>0</v>
      </c>
      <c r="J325" s="5">
        <v>0</v>
      </c>
      <c r="K325" s="5">
        <v>0</v>
      </c>
      <c r="L325" s="5">
        <v>0</v>
      </c>
      <c r="M325" s="5">
        <v>0</v>
      </c>
      <c r="N325" s="5">
        <v>0</v>
      </c>
      <c r="O325" s="5" t="str">
        <f t="shared" ca="1" si="5"/>
        <v>Supplier 140</v>
      </c>
      <c r="P325" s="20" t="str">
        <f ca="1">IFERROR(VLOOKUP(O325,EMAILS!B:C,2,FALSE),"NOT FOUND IN EMAILS")</f>
        <v>supplier@gmail.com</v>
      </c>
      <c r="Q325" t="str">
        <f ca="1">""&amp;IFERROR(VLOOKUP(O325,EMAILS!B:D,3,FALSE),"NOT FOUND IN EMAILS")</f>
        <v/>
      </c>
      <c r="R325" t="str">
        <f ca="1">""&amp;IFERROR(VLOOKUP(O325,EMAILS!B:E,4,FALSE),"NO T FOUND IN EMAILS")</f>
        <v/>
      </c>
    </row>
    <row r="326" spans="2:18" x14ac:dyDescent="0.25">
      <c r="B326" s="5" t="s">
        <v>328</v>
      </c>
      <c r="C326" s="5" t="s">
        <v>4468</v>
      </c>
      <c r="D326" s="5">
        <v>0</v>
      </c>
      <c r="E326" s="5">
        <v>0</v>
      </c>
      <c r="F326" s="5">
        <v>0</v>
      </c>
      <c r="G326" s="5">
        <v>0</v>
      </c>
      <c r="H326" s="5">
        <v>0</v>
      </c>
      <c r="I326" s="5">
        <v>0</v>
      </c>
      <c r="J326" s="5">
        <v>0</v>
      </c>
      <c r="K326" s="5">
        <v>0</v>
      </c>
      <c r="L326" s="5">
        <v>0</v>
      </c>
      <c r="M326" s="5">
        <v>0</v>
      </c>
      <c r="N326" s="5">
        <v>300</v>
      </c>
      <c r="O326" s="5" t="str">
        <f t="shared" ca="1" si="5"/>
        <v>Supplier 146</v>
      </c>
      <c r="P326" s="20" t="str">
        <f ca="1">IFERROR(VLOOKUP(O326,EMAILS!B:C,2,FALSE),"NOT FOUND IN EMAILS")</f>
        <v>supplier@gmail.com</v>
      </c>
      <c r="Q326" t="str">
        <f ca="1">""&amp;IFERROR(VLOOKUP(O326,EMAILS!B:D,3,FALSE),"NOT FOUND IN EMAILS")</f>
        <v/>
      </c>
      <c r="R326" t="str">
        <f ca="1">""&amp;IFERROR(VLOOKUP(O326,EMAILS!B:E,4,FALSE),"NO T FOUND IN EMAILS")</f>
        <v/>
      </c>
    </row>
    <row r="327" spans="2:18" x14ac:dyDescent="0.25">
      <c r="B327" s="5" t="s">
        <v>329</v>
      </c>
      <c r="C327" s="5" t="s">
        <v>4469</v>
      </c>
      <c r="D327" s="5">
        <v>180</v>
      </c>
      <c r="E327" s="5">
        <v>60</v>
      </c>
      <c r="F327" s="5">
        <v>60</v>
      </c>
      <c r="G327" s="5">
        <v>60</v>
      </c>
      <c r="H327" s="5">
        <v>120</v>
      </c>
      <c r="I327" s="5">
        <v>30</v>
      </c>
      <c r="J327" s="5">
        <v>60</v>
      </c>
      <c r="K327" s="5">
        <v>90</v>
      </c>
      <c r="L327" s="5">
        <v>60</v>
      </c>
      <c r="M327" s="5">
        <v>0</v>
      </c>
      <c r="N327" s="5">
        <v>105</v>
      </c>
      <c r="O327" s="5" t="str">
        <f t="shared" ca="1" si="5"/>
        <v>Supplier 78</v>
      </c>
      <c r="P327" s="20" t="str">
        <f ca="1">IFERROR(VLOOKUP(O327,EMAILS!B:C,2,FALSE),"NOT FOUND IN EMAILS")</f>
        <v>supplier@gmail.com</v>
      </c>
      <c r="Q327" t="str">
        <f ca="1">""&amp;IFERROR(VLOOKUP(O327,EMAILS!B:D,3,FALSE),"NOT FOUND IN EMAILS")</f>
        <v/>
      </c>
      <c r="R327" t="str">
        <f ca="1">""&amp;IFERROR(VLOOKUP(O327,EMAILS!B:E,4,FALSE),"NO T FOUND IN EMAILS")</f>
        <v/>
      </c>
    </row>
    <row r="328" spans="2:18" x14ac:dyDescent="0.25">
      <c r="B328" s="5" t="s">
        <v>330</v>
      </c>
      <c r="C328" s="5" t="s">
        <v>4470</v>
      </c>
      <c r="D328" s="5">
        <v>30</v>
      </c>
      <c r="E328" s="5">
        <v>30</v>
      </c>
      <c r="F328" s="5">
        <v>30</v>
      </c>
      <c r="G328" s="5">
        <v>30</v>
      </c>
      <c r="H328" s="5">
        <v>30</v>
      </c>
      <c r="I328" s="5">
        <v>15</v>
      </c>
      <c r="J328" s="5">
        <v>30</v>
      </c>
      <c r="K328" s="5">
        <v>15</v>
      </c>
      <c r="L328" s="5">
        <v>30</v>
      </c>
      <c r="M328" s="5">
        <v>0</v>
      </c>
      <c r="N328" s="5">
        <v>200</v>
      </c>
      <c r="O328" s="5" t="str">
        <f t="shared" ca="1" si="5"/>
        <v>Supplier 71</v>
      </c>
      <c r="P328" s="20" t="str">
        <f ca="1">IFERROR(VLOOKUP(O328,EMAILS!B:C,2,FALSE),"NOT FOUND IN EMAILS")</f>
        <v>supplier@gmail.com</v>
      </c>
      <c r="Q328" t="str">
        <f ca="1">""&amp;IFERROR(VLOOKUP(O328,EMAILS!B:D,3,FALSE),"NOT FOUND IN EMAILS")</f>
        <v/>
      </c>
      <c r="R328" t="str">
        <f ca="1">""&amp;IFERROR(VLOOKUP(O328,EMAILS!B:E,4,FALSE),"NO T FOUND IN EMAILS")</f>
        <v/>
      </c>
    </row>
    <row r="329" spans="2:18" x14ac:dyDescent="0.25">
      <c r="B329" s="5" t="s">
        <v>331</v>
      </c>
      <c r="C329" s="5" t="s">
        <v>4471</v>
      </c>
      <c r="D329" s="5">
        <v>30</v>
      </c>
      <c r="E329" s="5">
        <v>0</v>
      </c>
      <c r="F329" s="5">
        <v>0</v>
      </c>
      <c r="G329" s="5">
        <v>0</v>
      </c>
      <c r="H329" s="5">
        <v>30</v>
      </c>
      <c r="I329" s="5">
        <v>0</v>
      </c>
      <c r="J329" s="5">
        <v>0</v>
      </c>
      <c r="K329" s="5">
        <v>30</v>
      </c>
      <c r="L329" s="5">
        <v>0</v>
      </c>
      <c r="M329" s="5">
        <v>0</v>
      </c>
      <c r="N329" s="5">
        <v>0</v>
      </c>
      <c r="O329" s="5" t="str">
        <f t="shared" ca="1" si="5"/>
        <v>Supplier 147</v>
      </c>
      <c r="P329" s="20" t="str">
        <f ca="1">IFERROR(VLOOKUP(O329,EMAILS!B:C,2,FALSE),"NOT FOUND IN EMAILS")</f>
        <v>supplier@gmail.com</v>
      </c>
      <c r="Q329" t="str">
        <f ca="1">""&amp;IFERROR(VLOOKUP(O329,EMAILS!B:D,3,FALSE),"NOT FOUND IN EMAILS")</f>
        <v/>
      </c>
      <c r="R329" t="str">
        <f ca="1">""&amp;IFERROR(VLOOKUP(O329,EMAILS!B:E,4,FALSE),"NO T FOUND IN EMAILS")</f>
        <v/>
      </c>
    </row>
    <row r="330" spans="2:18" x14ac:dyDescent="0.25">
      <c r="B330" s="5" t="s">
        <v>332</v>
      </c>
      <c r="C330" s="5" t="s">
        <v>4472</v>
      </c>
      <c r="D330" s="5">
        <v>80</v>
      </c>
      <c r="E330" s="5">
        <v>25</v>
      </c>
      <c r="F330" s="5">
        <v>25</v>
      </c>
      <c r="G330" s="5">
        <v>25</v>
      </c>
      <c r="H330" s="5">
        <v>55</v>
      </c>
      <c r="I330" s="5">
        <v>25</v>
      </c>
      <c r="J330" s="5">
        <v>25</v>
      </c>
      <c r="K330" s="5">
        <v>55</v>
      </c>
      <c r="L330" s="5">
        <v>25</v>
      </c>
      <c r="M330" s="5">
        <v>0</v>
      </c>
      <c r="N330" s="5">
        <v>143</v>
      </c>
      <c r="O330" s="5" t="str">
        <f t="shared" ca="1" si="5"/>
        <v>Supplier 56</v>
      </c>
      <c r="P330" s="20" t="str">
        <f ca="1">IFERROR(VLOOKUP(O330,EMAILS!B:C,2,FALSE),"NOT FOUND IN EMAILS")</f>
        <v>supplier@gmail.com</v>
      </c>
      <c r="Q330" t="str">
        <f ca="1">""&amp;IFERROR(VLOOKUP(O330,EMAILS!B:D,3,FALSE),"NOT FOUND IN EMAILS")</f>
        <v/>
      </c>
      <c r="R330" t="str">
        <f ca="1">""&amp;IFERROR(VLOOKUP(O330,EMAILS!B:E,4,FALSE),"NO T FOUND IN EMAILS")</f>
        <v/>
      </c>
    </row>
    <row r="331" spans="2:18" x14ac:dyDescent="0.25">
      <c r="B331" s="5" t="s">
        <v>333</v>
      </c>
      <c r="C331" s="5" t="s">
        <v>4473</v>
      </c>
      <c r="D331" s="5">
        <v>30</v>
      </c>
      <c r="E331" s="5">
        <v>0</v>
      </c>
      <c r="F331" s="5">
        <v>0</v>
      </c>
      <c r="G331" s="5">
        <v>0</v>
      </c>
      <c r="H331" s="5">
        <v>30</v>
      </c>
      <c r="I331" s="5">
        <v>0</v>
      </c>
      <c r="J331" s="5">
        <v>0</v>
      </c>
      <c r="K331" s="5">
        <v>30</v>
      </c>
      <c r="L331" s="5">
        <v>0</v>
      </c>
      <c r="M331" s="5">
        <v>0</v>
      </c>
      <c r="N331" s="5">
        <v>354</v>
      </c>
      <c r="O331" s="5" t="str">
        <f t="shared" ca="1" si="5"/>
        <v>Supplier 188</v>
      </c>
      <c r="P331" s="20" t="str">
        <f ca="1">IFERROR(VLOOKUP(O331,EMAILS!B:C,2,FALSE),"NOT FOUND IN EMAILS")</f>
        <v>supplier@gmail.com</v>
      </c>
      <c r="Q331" t="str">
        <f ca="1">""&amp;IFERROR(VLOOKUP(O331,EMAILS!B:D,3,FALSE),"NOT FOUND IN EMAILS")</f>
        <v/>
      </c>
      <c r="R331" t="str">
        <f ca="1">""&amp;IFERROR(VLOOKUP(O331,EMAILS!B:E,4,FALSE),"NO T FOUND IN EMAILS")</f>
        <v/>
      </c>
    </row>
    <row r="332" spans="2:18" x14ac:dyDescent="0.25">
      <c r="B332" s="5" t="s">
        <v>334</v>
      </c>
      <c r="C332" s="5" t="s">
        <v>4474</v>
      </c>
      <c r="D332" s="5">
        <v>0</v>
      </c>
      <c r="E332" s="5">
        <v>0</v>
      </c>
      <c r="F332" s="5">
        <v>0</v>
      </c>
      <c r="G332" s="5">
        <v>40</v>
      </c>
      <c r="H332" s="5">
        <v>0</v>
      </c>
      <c r="I332" s="5">
        <v>0</v>
      </c>
      <c r="J332" s="5">
        <v>80</v>
      </c>
      <c r="K332" s="5">
        <v>0</v>
      </c>
      <c r="L332" s="5">
        <v>80</v>
      </c>
      <c r="M332" s="5">
        <v>0</v>
      </c>
      <c r="N332" s="5">
        <v>0</v>
      </c>
      <c r="O332" s="5" t="str">
        <f t="shared" ca="1" si="5"/>
        <v>Supplier 172</v>
      </c>
      <c r="P332" s="20" t="str">
        <f ca="1">IFERROR(VLOOKUP(O332,EMAILS!B:C,2,FALSE),"NOT FOUND IN EMAILS")</f>
        <v>supplier@gmail.com</v>
      </c>
      <c r="Q332" t="str">
        <f ca="1">""&amp;IFERROR(VLOOKUP(O332,EMAILS!B:D,3,FALSE),"NOT FOUND IN EMAILS")</f>
        <v/>
      </c>
      <c r="R332" t="str">
        <f ca="1">""&amp;IFERROR(VLOOKUP(O332,EMAILS!B:E,4,FALSE),"NO T FOUND IN EMAILS")</f>
        <v/>
      </c>
    </row>
    <row r="333" spans="2:18" x14ac:dyDescent="0.25">
      <c r="B333" s="5" t="s">
        <v>335</v>
      </c>
      <c r="C333" s="5" t="s">
        <v>4475</v>
      </c>
      <c r="D333" s="5">
        <v>80</v>
      </c>
      <c r="E333" s="5">
        <v>25</v>
      </c>
      <c r="F333" s="5">
        <v>25</v>
      </c>
      <c r="G333" s="5">
        <v>25</v>
      </c>
      <c r="H333" s="5">
        <v>55</v>
      </c>
      <c r="I333" s="5">
        <v>25</v>
      </c>
      <c r="J333" s="5">
        <v>25</v>
      </c>
      <c r="K333" s="5">
        <v>55</v>
      </c>
      <c r="L333" s="5">
        <v>25</v>
      </c>
      <c r="M333" s="5">
        <v>0</v>
      </c>
      <c r="N333" s="5">
        <v>213</v>
      </c>
      <c r="O333" s="5" t="str">
        <f t="shared" ca="1" si="5"/>
        <v>Supplier 71</v>
      </c>
      <c r="P333" s="20" t="str">
        <f ca="1">IFERROR(VLOOKUP(O333,EMAILS!B:C,2,FALSE),"NOT FOUND IN EMAILS")</f>
        <v>supplier@gmail.com</v>
      </c>
      <c r="Q333" t="str">
        <f ca="1">""&amp;IFERROR(VLOOKUP(O333,EMAILS!B:D,3,FALSE),"NOT FOUND IN EMAILS")</f>
        <v/>
      </c>
      <c r="R333" t="str">
        <f ca="1">""&amp;IFERROR(VLOOKUP(O333,EMAILS!B:E,4,FALSE),"NO T FOUND IN EMAILS")</f>
        <v/>
      </c>
    </row>
    <row r="334" spans="2:18" x14ac:dyDescent="0.25">
      <c r="B334" s="5" t="s">
        <v>336</v>
      </c>
      <c r="C334" s="5" t="s">
        <v>4476</v>
      </c>
      <c r="D334" s="5">
        <v>12</v>
      </c>
      <c r="E334" s="5">
        <v>0</v>
      </c>
      <c r="F334" s="5">
        <v>10</v>
      </c>
      <c r="G334" s="5">
        <v>8</v>
      </c>
      <c r="H334" s="5">
        <v>10</v>
      </c>
      <c r="I334" s="5">
        <v>6</v>
      </c>
      <c r="J334" s="5">
        <v>8</v>
      </c>
      <c r="K334" s="5">
        <v>4</v>
      </c>
      <c r="L334" s="5">
        <v>4</v>
      </c>
      <c r="M334" s="5">
        <v>0</v>
      </c>
      <c r="N334" s="5">
        <v>234</v>
      </c>
      <c r="O334" s="5" t="str">
        <f t="shared" ca="1" si="5"/>
        <v>Supplier 73</v>
      </c>
      <c r="P334" s="20" t="str">
        <f ca="1">IFERROR(VLOOKUP(O334,EMAILS!B:C,2,FALSE),"NOT FOUND IN EMAILS")</f>
        <v>supplier@gmail.com</v>
      </c>
      <c r="Q334" t="str">
        <f ca="1">""&amp;IFERROR(VLOOKUP(O334,EMAILS!B:D,3,FALSE),"NOT FOUND IN EMAILS")</f>
        <v/>
      </c>
      <c r="R334" t="str">
        <f ca="1">""&amp;IFERROR(VLOOKUP(O334,EMAILS!B:E,4,FALSE),"NO T FOUND IN EMAILS")</f>
        <v/>
      </c>
    </row>
    <row r="335" spans="2:18" x14ac:dyDescent="0.25">
      <c r="B335" s="5" t="s">
        <v>337</v>
      </c>
      <c r="C335" s="5" t="s">
        <v>4477</v>
      </c>
      <c r="D335" s="5">
        <v>21</v>
      </c>
      <c r="E335" s="5">
        <v>27</v>
      </c>
      <c r="F335" s="5">
        <v>36</v>
      </c>
      <c r="G335" s="5">
        <v>46</v>
      </c>
      <c r="H335" s="5">
        <v>46</v>
      </c>
      <c r="I335" s="5">
        <v>43</v>
      </c>
      <c r="J335" s="5">
        <v>29</v>
      </c>
      <c r="K335" s="5">
        <v>28</v>
      </c>
      <c r="L335" s="5">
        <v>24</v>
      </c>
      <c r="M335" s="5">
        <v>0</v>
      </c>
      <c r="N335" s="5">
        <v>176</v>
      </c>
      <c r="O335" s="5" t="str">
        <f t="shared" ca="1" si="5"/>
        <v>Supplier 183</v>
      </c>
      <c r="P335" s="20" t="str">
        <f ca="1">IFERROR(VLOOKUP(O335,EMAILS!B:C,2,FALSE),"NOT FOUND IN EMAILS")</f>
        <v>supplier@gmail.com</v>
      </c>
      <c r="Q335" t="str">
        <f ca="1">""&amp;IFERROR(VLOOKUP(O335,EMAILS!B:D,3,FALSE),"NOT FOUND IN EMAILS")</f>
        <v/>
      </c>
      <c r="R335" t="str">
        <f ca="1">""&amp;IFERROR(VLOOKUP(O335,EMAILS!B:E,4,FALSE),"NO T FOUND IN EMAILS")</f>
        <v/>
      </c>
    </row>
    <row r="336" spans="2:18" x14ac:dyDescent="0.25">
      <c r="B336" s="5" t="s">
        <v>338</v>
      </c>
      <c r="C336" s="5" t="s">
        <v>4478</v>
      </c>
      <c r="D336" s="5">
        <v>12</v>
      </c>
      <c r="E336" s="5">
        <v>0</v>
      </c>
      <c r="F336" s="5">
        <v>10</v>
      </c>
      <c r="G336" s="5">
        <v>8</v>
      </c>
      <c r="H336" s="5">
        <v>10</v>
      </c>
      <c r="I336" s="5">
        <v>6</v>
      </c>
      <c r="J336" s="5">
        <v>8</v>
      </c>
      <c r="K336" s="5">
        <v>4</v>
      </c>
      <c r="L336" s="5">
        <v>4</v>
      </c>
      <c r="M336" s="5">
        <v>0</v>
      </c>
      <c r="N336" s="5">
        <v>152</v>
      </c>
      <c r="O336" s="5" t="str">
        <f t="shared" ca="1" si="5"/>
        <v>Supplier 101</v>
      </c>
      <c r="P336" s="20" t="str">
        <f ca="1">IFERROR(VLOOKUP(O336,EMAILS!B:C,2,FALSE),"NOT FOUND IN EMAILS")</f>
        <v>supplier@gmail.com</v>
      </c>
      <c r="Q336" t="str">
        <f ca="1">""&amp;IFERROR(VLOOKUP(O336,EMAILS!B:D,3,FALSE),"NOT FOUND IN EMAILS")</f>
        <v/>
      </c>
      <c r="R336" t="str">
        <f ca="1">""&amp;IFERROR(VLOOKUP(O336,EMAILS!B:E,4,FALSE),"NO T FOUND IN EMAILS")</f>
        <v/>
      </c>
    </row>
    <row r="337" spans="2:18" x14ac:dyDescent="0.25">
      <c r="B337" s="5" t="s">
        <v>339</v>
      </c>
      <c r="C337" s="5" t="s">
        <v>4479</v>
      </c>
      <c r="D337" s="5">
        <v>7</v>
      </c>
      <c r="E337" s="5">
        <v>9</v>
      </c>
      <c r="F337" s="5">
        <v>12</v>
      </c>
      <c r="G337" s="5">
        <v>10</v>
      </c>
      <c r="H337" s="5">
        <v>10</v>
      </c>
      <c r="I337" s="5">
        <v>9</v>
      </c>
      <c r="J337" s="5">
        <v>7</v>
      </c>
      <c r="K337" s="5">
        <v>4</v>
      </c>
      <c r="L337" s="5">
        <v>4</v>
      </c>
      <c r="M337" s="5">
        <v>0</v>
      </c>
      <c r="N337" s="5">
        <v>16</v>
      </c>
      <c r="O337" s="5" t="str">
        <f t="shared" ca="1" si="5"/>
        <v>Supplier 168</v>
      </c>
      <c r="P337" s="20" t="str">
        <f ca="1">IFERROR(VLOOKUP(O337,EMAILS!B:C,2,FALSE),"NOT FOUND IN EMAILS")</f>
        <v>supplier@gmail.com</v>
      </c>
      <c r="Q337" t="str">
        <f ca="1">""&amp;IFERROR(VLOOKUP(O337,EMAILS!B:D,3,FALSE),"NOT FOUND IN EMAILS")</f>
        <v/>
      </c>
      <c r="R337" t="str">
        <f ca="1">""&amp;IFERROR(VLOOKUP(O337,EMAILS!B:E,4,FALSE),"NO T FOUND IN EMAILS")</f>
        <v/>
      </c>
    </row>
    <row r="338" spans="2:18" x14ac:dyDescent="0.25">
      <c r="B338" s="5" t="s">
        <v>340</v>
      </c>
      <c r="C338" s="5" t="s">
        <v>4480</v>
      </c>
      <c r="D338" s="5">
        <v>0</v>
      </c>
      <c r="E338" s="5">
        <v>0</v>
      </c>
      <c r="F338" s="5">
        <v>0</v>
      </c>
      <c r="G338" s="5">
        <v>0</v>
      </c>
      <c r="H338" s="5">
        <v>0</v>
      </c>
      <c r="I338" s="5">
        <v>0</v>
      </c>
      <c r="J338" s="5">
        <v>0</v>
      </c>
      <c r="K338" s="5">
        <v>0</v>
      </c>
      <c r="L338" s="5">
        <v>0</v>
      </c>
      <c r="M338" s="5">
        <v>0</v>
      </c>
      <c r="N338" s="5">
        <v>0</v>
      </c>
      <c r="O338" s="5" t="str">
        <f t="shared" ca="1" si="5"/>
        <v>Supplier 124</v>
      </c>
      <c r="P338" s="20" t="str">
        <f ca="1">IFERROR(VLOOKUP(O338,EMAILS!B:C,2,FALSE),"NOT FOUND IN EMAILS")</f>
        <v>supplier@gmail.com</v>
      </c>
      <c r="Q338" t="str">
        <f ca="1">""&amp;IFERROR(VLOOKUP(O338,EMAILS!B:D,3,FALSE),"NOT FOUND IN EMAILS")</f>
        <v/>
      </c>
      <c r="R338" t="str">
        <f ca="1">""&amp;IFERROR(VLOOKUP(O338,EMAILS!B:E,4,FALSE),"NO T FOUND IN EMAILS")</f>
        <v/>
      </c>
    </row>
    <row r="339" spans="2:18" x14ac:dyDescent="0.25">
      <c r="B339" s="5" t="s">
        <v>341</v>
      </c>
      <c r="C339" s="5" t="s">
        <v>4481</v>
      </c>
      <c r="D339" s="5">
        <v>300</v>
      </c>
      <c r="E339" s="5">
        <v>0</v>
      </c>
      <c r="F339" s="5">
        <v>450</v>
      </c>
      <c r="G339" s="5">
        <v>300</v>
      </c>
      <c r="H339" s="5">
        <v>450</v>
      </c>
      <c r="I339" s="5">
        <v>300</v>
      </c>
      <c r="J339" s="5">
        <v>0</v>
      </c>
      <c r="K339" s="5">
        <v>450</v>
      </c>
      <c r="L339" s="5">
        <v>300</v>
      </c>
      <c r="M339" s="5">
        <v>0</v>
      </c>
      <c r="N339" s="5">
        <v>0</v>
      </c>
      <c r="O339" s="5" t="str">
        <f t="shared" ca="1" si="5"/>
        <v>Supplier 140</v>
      </c>
      <c r="P339" s="20" t="str">
        <f ca="1">IFERROR(VLOOKUP(O339,EMAILS!B:C,2,FALSE),"NOT FOUND IN EMAILS")</f>
        <v>supplier@gmail.com</v>
      </c>
      <c r="Q339" t="str">
        <f ca="1">""&amp;IFERROR(VLOOKUP(O339,EMAILS!B:D,3,FALSE),"NOT FOUND IN EMAILS")</f>
        <v/>
      </c>
      <c r="R339" t="str">
        <f ca="1">""&amp;IFERROR(VLOOKUP(O339,EMAILS!B:E,4,FALSE),"NO T FOUND IN EMAILS")</f>
        <v/>
      </c>
    </row>
    <row r="340" spans="2:18" x14ac:dyDescent="0.25">
      <c r="B340" s="5" t="s">
        <v>342</v>
      </c>
      <c r="C340" s="5" t="s">
        <v>4482</v>
      </c>
      <c r="D340" s="5">
        <v>600</v>
      </c>
      <c r="E340" s="5">
        <v>600</v>
      </c>
      <c r="F340" s="5">
        <v>600</v>
      </c>
      <c r="G340" s="5">
        <v>600</v>
      </c>
      <c r="H340" s="5">
        <v>600</v>
      </c>
      <c r="I340" s="5">
        <v>600</v>
      </c>
      <c r="J340" s="5">
        <v>300</v>
      </c>
      <c r="K340" s="5">
        <v>600</v>
      </c>
      <c r="L340" s="5">
        <v>300</v>
      </c>
      <c r="M340" s="5">
        <v>0</v>
      </c>
      <c r="N340" s="5">
        <v>0</v>
      </c>
      <c r="O340" s="5" t="str">
        <f t="shared" ca="1" si="5"/>
        <v>Supplier 184</v>
      </c>
      <c r="P340" s="20" t="str">
        <f ca="1">IFERROR(VLOOKUP(O340,EMAILS!B:C,2,FALSE),"NOT FOUND IN EMAILS")</f>
        <v>supplier@gmail.com</v>
      </c>
      <c r="Q340" t="str">
        <f ca="1">""&amp;IFERROR(VLOOKUP(O340,EMAILS!B:D,3,FALSE),"NOT FOUND IN EMAILS")</f>
        <v/>
      </c>
      <c r="R340" t="str">
        <f ca="1">""&amp;IFERROR(VLOOKUP(O340,EMAILS!B:E,4,FALSE),"NO T FOUND IN EMAILS")</f>
        <v/>
      </c>
    </row>
    <row r="341" spans="2:18" x14ac:dyDescent="0.25">
      <c r="B341" s="5" t="s">
        <v>343</v>
      </c>
      <c r="C341" s="5" t="s">
        <v>4483</v>
      </c>
      <c r="D341" s="5">
        <v>0</v>
      </c>
      <c r="E341" s="5">
        <v>300</v>
      </c>
      <c r="F341" s="5">
        <v>0</v>
      </c>
      <c r="G341" s="5">
        <v>300</v>
      </c>
      <c r="H341" s="5">
        <v>300</v>
      </c>
      <c r="I341" s="5">
        <v>0</v>
      </c>
      <c r="J341" s="5">
        <v>0</v>
      </c>
      <c r="K341" s="5">
        <v>300</v>
      </c>
      <c r="L341" s="5">
        <v>0</v>
      </c>
      <c r="M341" s="5">
        <v>0</v>
      </c>
      <c r="N341" s="5">
        <v>800</v>
      </c>
      <c r="O341" s="5" t="str">
        <f t="shared" ca="1" si="5"/>
        <v>Supplier 191</v>
      </c>
      <c r="P341" s="20" t="str">
        <f ca="1">IFERROR(VLOOKUP(O341,EMAILS!B:C,2,FALSE),"NOT FOUND IN EMAILS")</f>
        <v>supplier@gmail.com</v>
      </c>
      <c r="Q341" t="str">
        <f ca="1">""&amp;IFERROR(VLOOKUP(O341,EMAILS!B:D,3,FALSE),"NOT FOUND IN EMAILS")</f>
        <v/>
      </c>
      <c r="R341" t="str">
        <f ca="1">""&amp;IFERROR(VLOOKUP(O341,EMAILS!B:E,4,FALSE),"NO T FOUND IN EMAILS")</f>
        <v/>
      </c>
    </row>
    <row r="342" spans="2:18" x14ac:dyDescent="0.25">
      <c r="B342" s="5" t="s">
        <v>344</v>
      </c>
      <c r="C342" s="5" t="s">
        <v>4484</v>
      </c>
      <c r="D342" s="5">
        <v>100</v>
      </c>
      <c r="E342" s="5">
        <v>0</v>
      </c>
      <c r="F342" s="5">
        <v>0</v>
      </c>
      <c r="G342" s="5">
        <v>0</v>
      </c>
      <c r="H342" s="5">
        <v>100</v>
      </c>
      <c r="I342" s="5">
        <v>0</v>
      </c>
      <c r="J342" s="5">
        <v>0</v>
      </c>
      <c r="K342" s="5">
        <v>0</v>
      </c>
      <c r="L342" s="5">
        <v>0</v>
      </c>
      <c r="M342" s="5">
        <v>0</v>
      </c>
      <c r="N342" s="5">
        <v>0</v>
      </c>
      <c r="O342" s="5" t="str">
        <f t="shared" ca="1" si="5"/>
        <v>Supplier 117</v>
      </c>
      <c r="P342" s="20" t="str">
        <f ca="1">IFERROR(VLOOKUP(O342,EMAILS!B:C,2,FALSE),"NOT FOUND IN EMAILS")</f>
        <v>supplier@gmail.com</v>
      </c>
      <c r="Q342" t="str">
        <f ca="1">""&amp;IFERROR(VLOOKUP(O342,EMAILS!B:D,3,FALSE),"NOT FOUND IN EMAILS")</f>
        <v/>
      </c>
      <c r="R342" t="str">
        <f ca="1">""&amp;IFERROR(VLOOKUP(O342,EMAILS!B:E,4,FALSE),"NO T FOUND IN EMAILS")</f>
        <v/>
      </c>
    </row>
    <row r="343" spans="2:18" x14ac:dyDescent="0.25">
      <c r="B343" s="5" t="s">
        <v>345</v>
      </c>
      <c r="C343" s="5" t="s">
        <v>4485</v>
      </c>
      <c r="D343" s="5">
        <v>0</v>
      </c>
      <c r="E343" s="5">
        <v>0</v>
      </c>
      <c r="F343" s="5">
        <v>0</v>
      </c>
      <c r="G343" s="5">
        <v>0</v>
      </c>
      <c r="H343" s="5">
        <v>0</v>
      </c>
      <c r="I343" s="5">
        <v>0</v>
      </c>
      <c r="J343" s="5">
        <v>0</v>
      </c>
      <c r="K343" s="5">
        <v>0</v>
      </c>
      <c r="L343" s="5">
        <v>0</v>
      </c>
      <c r="M343" s="5">
        <v>0</v>
      </c>
      <c r="N343" s="5">
        <v>5</v>
      </c>
      <c r="O343" s="5" t="str">
        <f t="shared" ca="1" si="5"/>
        <v>Supplier 160</v>
      </c>
      <c r="P343" s="20" t="str">
        <f ca="1">IFERROR(VLOOKUP(O343,EMAILS!B:C,2,FALSE),"NOT FOUND IN EMAILS")</f>
        <v>supplier@gmail.com</v>
      </c>
      <c r="Q343" t="str">
        <f ca="1">""&amp;IFERROR(VLOOKUP(O343,EMAILS!B:D,3,FALSE),"NOT FOUND IN EMAILS")</f>
        <v/>
      </c>
      <c r="R343" t="str">
        <f ca="1">""&amp;IFERROR(VLOOKUP(O343,EMAILS!B:E,4,FALSE),"NO T FOUND IN EMAILS")</f>
        <v/>
      </c>
    </row>
    <row r="344" spans="2:18" x14ac:dyDescent="0.25">
      <c r="B344" s="5" t="s">
        <v>346</v>
      </c>
      <c r="C344" s="5" t="s">
        <v>4486</v>
      </c>
      <c r="D344" s="5">
        <v>0</v>
      </c>
      <c r="E344" s="5">
        <v>0</v>
      </c>
      <c r="F344" s="5">
        <v>0</v>
      </c>
      <c r="G344" s="5">
        <v>0</v>
      </c>
      <c r="H344" s="5">
        <v>100</v>
      </c>
      <c r="I344" s="5">
        <v>0</v>
      </c>
      <c r="J344" s="5">
        <v>0</v>
      </c>
      <c r="K344" s="5">
        <v>0</v>
      </c>
      <c r="L344" s="5">
        <v>0</v>
      </c>
      <c r="M344" s="5">
        <v>0</v>
      </c>
      <c r="N344" s="5">
        <v>420</v>
      </c>
      <c r="O344" s="5" t="str">
        <f t="shared" ca="1" si="5"/>
        <v>Supplier 85</v>
      </c>
      <c r="P344" s="20" t="str">
        <f ca="1">IFERROR(VLOOKUP(O344,EMAILS!B:C,2,FALSE),"NOT FOUND IN EMAILS")</f>
        <v>supplier@gmail.com</v>
      </c>
      <c r="Q344" t="str">
        <f ca="1">""&amp;IFERROR(VLOOKUP(O344,EMAILS!B:D,3,FALSE),"NOT FOUND IN EMAILS")</f>
        <v/>
      </c>
      <c r="R344" t="str">
        <f ca="1">""&amp;IFERROR(VLOOKUP(O344,EMAILS!B:E,4,FALSE),"NO T FOUND IN EMAILS")</f>
        <v/>
      </c>
    </row>
    <row r="345" spans="2:18" x14ac:dyDescent="0.25">
      <c r="B345" s="5" t="s">
        <v>347</v>
      </c>
      <c r="C345" s="5" t="s">
        <v>4487</v>
      </c>
      <c r="D345" s="5">
        <v>0</v>
      </c>
      <c r="E345" s="5">
        <v>0</v>
      </c>
      <c r="F345" s="5">
        <v>0</v>
      </c>
      <c r="G345" s="5">
        <v>0</v>
      </c>
      <c r="H345" s="5">
        <v>0</v>
      </c>
      <c r="I345" s="5">
        <v>0</v>
      </c>
      <c r="J345" s="5">
        <v>0</v>
      </c>
      <c r="K345" s="5">
        <v>0</v>
      </c>
      <c r="L345" s="5">
        <v>0</v>
      </c>
      <c r="M345" s="5">
        <v>0</v>
      </c>
      <c r="N345" s="5">
        <v>58</v>
      </c>
      <c r="O345" s="5" t="str">
        <f t="shared" ca="1" si="5"/>
        <v>Supplier 43</v>
      </c>
      <c r="P345" s="20" t="str">
        <f ca="1">IFERROR(VLOOKUP(O345,EMAILS!B:C,2,FALSE),"NOT FOUND IN EMAILS")</f>
        <v>supplier@gmail.com</v>
      </c>
      <c r="Q345" t="str">
        <f ca="1">""&amp;IFERROR(VLOOKUP(O345,EMAILS!B:D,3,FALSE),"NOT FOUND IN EMAILS")</f>
        <v/>
      </c>
      <c r="R345" t="str">
        <f ca="1">""&amp;IFERROR(VLOOKUP(O345,EMAILS!B:E,4,FALSE),"NO T FOUND IN EMAILS")</f>
        <v/>
      </c>
    </row>
    <row r="346" spans="2:18" x14ac:dyDescent="0.25">
      <c r="B346" s="5" t="s">
        <v>348</v>
      </c>
      <c r="C346" s="5" t="s">
        <v>4488</v>
      </c>
      <c r="D346" s="5">
        <v>6</v>
      </c>
      <c r="E346" s="5">
        <v>0</v>
      </c>
      <c r="F346" s="5">
        <v>5</v>
      </c>
      <c r="G346" s="5">
        <v>4</v>
      </c>
      <c r="H346" s="5">
        <v>4</v>
      </c>
      <c r="I346" s="5">
        <v>3</v>
      </c>
      <c r="J346" s="5">
        <v>4</v>
      </c>
      <c r="K346" s="5">
        <v>2</v>
      </c>
      <c r="L346" s="5">
        <v>2</v>
      </c>
      <c r="M346" s="5">
        <v>0</v>
      </c>
      <c r="N346" s="5">
        <v>77</v>
      </c>
      <c r="O346" s="5" t="str">
        <f t="shared" ca="1" si="5"/>
        <v>Supplier 92</v>
      </c>
      <c r="P346" s="20" t="str">
        <f ca="1">IFERROR(VLOOKUP(O346,EMAILS!B:C,2,FALSE),"NOT FOUND IN EMAILS")</f>
        <v>supplier@gmail.com</v>
      </c>
      <c r="Q346" t="str">
        <f ca="1">""&amp;IFERROR(VLOOKUP(O346,EMAILS!B:D,3,FALSE),"NOT FOUND IN EMAILS")</f>
        <v/>
      </c>
      <c r="R346" t="str">
        <f ca="1">""&amp;IFERROR(VLOOKUP(O346,EMAILS!B:E,4,FALSE),"NO T FOUND IN EMAILS")</f>
        <v/>
      </c>
    </row>
    <row r="347" spans="2:18" x14ac:dyDescent="0.25">
      <c r="B347" s="5" t="s">
        <v>349</v>
      </c>
      <c r="C347" s="5" t="s">
        <v>4489</v>
      </c>
      <c r="D347" s="5">
        <v>6</v>
      </c>
      <c r="E347" s="5">
        <v>0</v>
      </c>
      <c r="F347" s="5">
        <v>5</v>
      </c>
      <c r="G347" s="5">
        <v>4</v>
      </c>
      <c r="H347" s="5">
        <v>4</v>
      </c>
      <c r="I347" s="5">
        <v>3</v>
      </c>
      <c r="J347" s="5">
        <v>4</v>
      </c>
      <c r="K347" s="5">
        <v>2</v>
      </c>
      <c r="L347" s="5">
        <v>2</v>
      </c>
      <c r="M347" s="5">
        <v>0</v>
      </c>
      <c r="N347" s="5">
        <v>17</v>
      </c>
      <c r="O347" s="5" t="str">
        <f t="shared" ca="1" si="5"/>
        <v>Supplier 32</v>
      </c>
      <c r="P347" s="20" t="str">
        <f ca="1">IFERROR(VLOOKUP(O347,EMAILS!B:C,2,FALSE),"NOT FOUND IN EMAILS")</f>
        <v>supplier@gmail.com</v>
      </c>
      <c r="Q347" t="str">
        <f ca="1">""&amp;IFERROR(VLOOKUP(O347,EMAILS!B:D,3,FALSE),"NOT FOUND IN EMAILS")</f>
        <v/>
      </c>
      <c r="R347" t="str">
        <f ca="1">""&amp;IFERROR(VLOOKUP(O347,EMAILS!B:E,4,FALSE),"NO T FOUND IN EMAILS")</f>
        <v/>
      </c>
    </row>
    <row r="348" spans="2:18" x14ac:dyDescent="0.25">
      <c r="B348" s="5" t="s">
        <v>350</v>
      </c>
      <c r="C348" s="5" t="s">
        <v>4490</v>
      </c>
      <c r="D348" s="5">
        <v>6</v>
      </c>
      <c r="E348" s="5">
        <v>0</v>
      </c>
      <c r="F348" s="5">
        <v>5</v>
      </c>
      <c r="G348" s="5">
        <v>4</v>
      </c>
      <c r="H348" s="5">
        <v>4</v>
      </c>
      <c r="I348" s="5">
        <v>3</v>
      </c>
      <c r="J348" s="5">
        <v>4</v>
      </c>
      <c r="K348" s="5">
        <v>2</v>
      </c>
      <c r="L348" s="5">
        <v>2</v>
      </c>
      <c r="M348" s="5">
        <v>0</v>
      </c>
      <c r="N348" s="5">
        <v>0</v>
      </c>
      <c r="O348" s="5" t="str">
        <f t="shared" ca="1" si="5"/>
        <v>Supplier 63</v>
      </c>
      <c r="P348" s="20" t="str">
        <f ca="1">IFERROR(VLOOKUP(O348,EMAILS!B:C,2,FALSE),"NOT FOUND IN EMAILS")</f>
        <v>supplier@gmail.com</v>
      </c>
      <c r="Q348" t="str">
        <f ca="1">""&amp;IFERROR(VLOOKUP(O348,EMAILS!B:D,3,FALSE),"NOT FOUND IN EMAILS")</f>
        <v/>
      </c>
      <c r="R348" t="str">
        <f ca="1">""&amp;IFERROR(VLOOKUP(O348,EMAILS!B:E,4,FALSE),"NO T FOUND IN EMAILS")</f>
        <v/>
      </c>
    </row>
    <row r="349" spans="2:18" x14ac:dyDescent="0.25">
      <c r="B349" s="5" t="s">
        <v>351</v>
      </c>
      <c r="C349" s="5" t="s">
        <v>4491</v>
      </c>
      <c r="D349" s="5">
        <v>300</v>
      </c>
      <c r="E349" s="5">
        <v>0</v>
      </c>
      <c r="F349" s="5">
        <v>450</v>
      </c>
      <c r="G349" s="5">
        <v>300</v>
      </c>
      <c r="H349" s="5">
        <v>450</v>
      </c>
      <c r="I349" s="5">
        <v>300</v>
      </c>
      <c r="J349" s="5">
        <v>0</v>
      </c>
      <c r="K349" s="5">
        <v>450</v>
      </c>
      <c r="L349" s="5">
        <v>300</v>
      </c>
      <c r="M349" s="5">
        <v>0</v>
      </c>
      <c r="N349" s="5">
        <v>0</v>
      </c>
      <c r="O349" s="5" t="str">
        <f t="shared" ca="1" si="5"/>
        <v>Supplier 4</v>
      </c>
      <c r="P349" s="20" t="str">
        <f ca="1">IFERROR(VLOOKUP(O349,EMAILS!B:C,2,FALSE),"NOT FOUND IN EMAILS")</f>
        <v>supplier@gmail.com</v>
      </c>
      <c r="Q349" t="str">
        <f ca="1">""&amp;IFERROR(VLOOKUP(O349,EMAILS!B:D,3,FALSE),"NOT FOUND IN EMAILS")</f>
        <v>supplier_logistics@gmail.com</v>
      </c>
      <c r="R349" t="str">
        <f ca="1">""&amp;IFERROR(VLOOKUP(O349,EMAILS!B:E,4,FALSE),"NO T FOUND IN EMAILS")</f>
        <v/>
      </c>
    </row>
    <row r="350" spans="2:18" x14ac:dyDescent="0.25">
      <c r="B350" s="5" t="s">
        <v>352</v>
      </c>
      <c r="C350" s="5" t="s">
        <v>4492</v>
      </c>
      <c r="D350" s="5">
        <v>600</v>
      </c>
      <c r="E350" s="5">
        <v>600</v>
      </c>
      <c r="F350" s="5">
        <v>600</v>
      </c>
      <c r="G350" s="5">
        <v>600</v>
      </c>
      <c r="H350" s="5">
        <v>600</v>
      </c>
      <c r="I350" s="5">
        <v>600</v>
      </c>
      <c r="J350" s="5">
        <v>300</v>
      </c>
      <c r="K350" s="5">
        <v>600</v>
      </c>
      <c r="L350" s="5">
        <v>300</v>
      </c>
      <c r="M350" s="5">
        <v>0</v>
      </c>
      <c r="N350" s="5">
        <v>9</v>
      </c>
      <c r="O350" s="5" t="str">
        <f t="shared" ca="1" si="5"/>
        <v>Supplier 159</v>
      </c>
      <c r="P350" s="20" t="str">
        <f ca="1">IFERROR(VLOOKUP(O350,EMAILS!B:C,2,FALSE),"NOT FOUND IN EMAILS")</f>
        <v>supplier@gmail.com</v>
      </c>
      <c r="Q350" t="str">
        <f ca="1">""&amp;IFERROR(VLOOKUP(O350,EMAILS!B:D,3,FALSE),"NOT FOUND IN EMAILS")</f>
        <v/>
      </c>
      <c r="R350" t="str">
        <f ca="1">""&amp;IFERROR(VLOOKUP(O350,EMAILS!B:E,4,FALSE),"NO T FOUND IN EMAILS")</f>
        <v/>
      </c>
    </row>
    <row r="351" spans="2:18" x14ac:dyDescent="0.25">
      <c r="B351" s="5" t="s">
        <v>353</v>
      </c>
      <c r="C351" s="5" t="s">
        <v>4493</v>
      </c>
      <c r="D351" s="5">
        <v>0</v>
      </c>
      <c r="E351" s="5">
        <v>300</v>
      </c>
      <c r="F351" s="5">
        <v>0</v>
      </c>
      <c r="G351" s="5">
        <v>300</v>
      </c>
      <c r="H351" s="5">
        <v>300</v>
      </c>
      <c r="I351" s="5">
        <v>0</v>
      </c>
      <c r="J351" s="5">
        <v>0</v>
      </c>
      <c r="K351" s="5">
        <v>300</v>
      </c>
      <c r="L351" s="5">
        <v>0</v>
      </c>
      <c r="M351" s="5">
        <v>0</v>
      </c>
      <c r="N351" s="5">
        <v>14</v>
      </c>
      <c r="O351" s="5" t="str">
        <f t="shared" ca="1" si="5"/>
        <v>Supplier 31</v>
      </c>
      <c r="P351" s="20" t="str">
        <f ca="1">IFERROR(VLOOKUP(O351,EMAILS!B:C,2,FALSE),"NOT FOUND IN EMAILS")</f>
        <v>supplier@gmail.com</v>
      </c>
      <c r="Q351" t="str">
        <f ca="1">""&amp;IFERROR(VLOOKUP(O351,EMAILS!B:D,3,FALSE),"NOT FOUND IN EMAILS")</f>
        <v/>
      </c>
      <c r="R351" t="str">
        <f ca="1">""&amp;IFERROR(VLOOKUP(O351,EMAILS!B:E,4,FALSE),"NO T FOUND IN EMAILS")</f>
        <v/>
      </c>
    </row>
    <row r="352" spans="2:18" x14ac:dyDescent="0.25">
      <c r="B352" s="5" t="s">
        <v>354</v>
      </c>
      <c r="C352" s="5" t="s">
        <v>4494</v>
      </c>
      <c r="D352" s="5">
        <v>100</v>
      </c>
      <c r="E352" s="5">
        <v>0</v>
      </c>
      <c r="F352" s="5">
        <v>0</v>
      </c>
      <c r="G352" s="5">
        <v>0</v>
      </c>
      <c r="H352" s="5">
        <v>100</v>
      </c>
      <c r="I352" s="5">
        <v>0</v>
      </c>
      <c r="J352" s="5">
        <v>0</v>
      </c>
      <c r="K352" s="5">
        <v>0</v>
      </c>
      <c r="L352" s="5">
        <v>0</v>
      </c>
      <c r="M352" s="5">
        <v>0</v>
      </c>
      <c r="N352" s="5">
        <v>2950</v>
      </c>
      <c r="O352" s="5" t="str">
        <f t="shared" ca="1" si="5"/>
        <v>Supplier 96</v>
      </c>
      <c r="P352" s="20" t="str">
        <f ca="1">IFERROR(VLOOKUP(O352,EMAILS!B:C,2,FALSE),"NOT FOUND IN EMAILS")</f>
        <v>supplier@gmail.com</v>
      </c>
      <c r="Q352" t="str">
        <f ca="1">""&amp;IFERROR(VLOOKUP(O352,EMAILS!B:D,3,FALSE),"NOT FOUND IN EMAILS")</f>
        <v/>
      </c>
      <c r="R352" t="str">
        <f ca="1">""&amp;IFERROR(VLOOKUP(O352,EMAILS!B:E,4,FALSE),"NO T FOUND IN EMAILS")</f>
        <v/>
      </c>
    </row>
    <row r="353" spans="2:18" x14ac:dyDescent="0.25">
      <c r="B353" s="5" t="s">
        <v>355</v>
      </c>
      <c r="C353" s="5" t="s">
        <v>4495</v>
      </c>
      <c r="D353" s="5">
        <v>300</v>
      </c>
      <c r="E353" s="5">
        <v>0</v>
      </c>
      <c r="F353" s="5">
        <v>450</v>
      </c>
      <c r="G353" s="5">
        <v>300</v>
      </c>
      <c r="H353" s="5">
        <v>450</v>
      </c>
      <c r="I353" s="5">
        <v>300</v>
      </c>
      <c r="J353" s="5">
        <v>0</v>
      </c>
      <c r="K353" s="5">
        <v>450</v>
      </c>
      <c r="L353" s="5">
        <v>300</v>
      </c>
      <c r="M353" s="5">
        <v>0</v>
      </c>
      <c r="N353" s="5">
        <v>900</v>
      </c>
      <c r="O353" s="5" t="str">
        <f t="shared" ca="1" si="5"/>
        <v>Supplier 123</v>
      </c>
      <c r="P353" s="20" t="str">
        <f ca="1">IFERROR(VLOOKUP(O353,EMAILS!B:C,2,FALSE),"NOT FOUND IN EMAILS")</f>
        <v>supplier@gmail.com</v>
      </c>
      <c r="Q353" t="str">
        <f ca="1">""&amp;IFERROR(VLOOKUP(O353,EMAILS!B:D,3,FALSE),"NOT FOUND IN EMAILS")</f>
        <v/>
      </c>
      <c r="R353" t="str">
        <f ca="1">""&amp;IFERROR(VLOOKUP(O353,EMAILS!B:E,4,FALSE),"NO T FOUND IN EMAILS")</f>
        <v/>
      </c>
    </row>
    <row r="354" spans="2:18" x14ac:dyDescent="0.25">
      <c r="B354" s="5" t="s">
        <v>356</v>
      </c>
      <c r="C354" s="5" t="s">
        <v>4496</v>
      </c>
      <c r="D354" s="5">
        <v>600</v>
      </c>
      <c r="E354" s="5">
        <v>600</v>
      </c>
      <c r="F354" s="5">
        <v>600</v>
      </c>
      <c r="G354" s="5">
        <v>600</v>
      </c>
      <c r="H354" s="5">
        <v>600</v>
      </c>
      <c r="I354" s="5">
        <v>600</v>
      </c>
      <c r="J354" s="5">
        <v>300</v>
      </c>
      <c r="K354" s="5">
        <v>600</v>
      </c>
      <c r="L354" s="5">
        <v>300</v>
      </c>
      <c r="M354" s="5">
        <v>0</v>
      </c>
      <c r="N354" s="5">
        <v>606</v>
      </c>
      <c r="O354" s="5" t="str">
        <f t="shared" ca="1" si="5"/>
        <v>Supplier 129</v>
      </c>
      <c r="P354" s="20" t="str">
        <f ca="1">IFERROR(VLOOKUP(O354,EMAILS!B:C,2,FALSE),"NOT FOUND IN EMAILS")</f>
        <v>supplier@gmail.com</v>
      </c>
      <c r="Q354" t="str">
        <f ca="1">""&amp;IFERROR(VLOOKUP(O354,EMAILS!B:D,3,FALSE),"NOT FOUND IN EMAILS")</f>
        <v/>
      </c>
      <c r="R354" t="str">
        <f ca="1">""&amp;IFERROR(VLOOKUP(O354,EMAILS!B:E,4,FALSE),"NO T FOUND IN EMAILS")</f>
        <v/>
      </c>
    </row>
    <row r="355" spans="2:18" x14ac:dyDescent="0.25">
      <c r="B355" s="5" t="s">
        <v>357</v>
      </c>
      <c r="C355" s="5" t="s">
        <v>4497</v>
      </c>
      <c r="D355" s="5">
        <v>0</v>
      </c>
      <c r="E355" s="5">
        <v>300</v>
      </c>
      <c r="F355" s="5">
        <v>0</v>
      </c>
      <c r="G355" s="5">
        <v>300</v>
      </c>
      <c r="H355" s="5">
        <v>300</v>
      </c>
      <c r="I355" s="5">
        <v>0</v>
      </c>
      <c r="J355" s="5">
        <v>0</v>
      </c>
      <c r="K355" s="5">
        <v>300</v>
      </c>
      <c r="L355" s="5">
        <v>0</v>
      </c>
      <c r="M355" s="5">
        <v>0</v>
      </c>
      <c r="N355" s="5">
        <v>0</v>
      </c>
      <c r="O355" s="5" t="str">
        <f t="shared" ca="1" si="5"/>
        <v>Supplier 111</v>
      </c>
      <c r="P355" s="20" t="str">
        <f ca="1">IFERROR(VLOOKUP(O355,EMAILS!B:C,2,FALSE),"NOT FOUND IN EMAILS")</f>
        <v>supplier@gmail.com</v>
      </c>
      <c r="Q355" t="str">
        <f ca="1">""&amp;IFERROR(VLOOKUP(O355,EMAILS!B:D,3,FALSE),"NOT FOUND IN EMAILS")</f>
        <v/>
      </c>
      <c r="R355" t="str">
        <f ca="1">""&amp;IFERROR(VLOOKUP(O355,EMAILS!B:E,4,FALSE),"NO T FOUND IN EMAILS")</f>
        <v/>
      </c>
    </row>
    <row r="356" spans="2:18" x14ac:dyDescent="0.25">
      <c r="B356" s="5" t="s">
        <v>358</v>
      </c>
      <c r="C356" s="5" t="s">
        <v>4498</v>
      </c>
      <c r="D356" s="5">
        <v>0</v>
      </c>
      <c r="E356" s="5">
        <v>0</v>
      </c>
      <c r="F356" s="5">
        <v>0</v>
      </c>
      <c r="G356" s="5">
        <v>0</v>
      </c>
      <c r="H356" s="5">
        <v>150</v>
      </c>
      <c r="I356" s="5">
        <v>0</v>
      </c>
      <c r="J356" s="5">
        <v>0</v>
      </c>
      <c r="K356" s="5">
        <v>300</v>
      </c>
      <c r="L356" s="5">
        <v>200</v>
      </c>
      <c r="M356" s="5">
        <v>0</v>
      </c>
      <c r="N356" s="5">
        <v>1200</v>
      </c>
      <c r="O356" s="5" t="str">
        <f t="shared" ca="1" si="5"/>
        <v>Supplier 114</v>
      </c>
      <c r="P356" s="20" t="str">
        <f ca="1">IFERROR(VLOOKUP(O356,EMAILS!B:C,2,FALSE),"NOT FOUND IN EMAILS")</f>
        <v>supplier@gmail.com</v>
      </c>
      <c r="Q356" t="str">
        <f ca="1">""&amp;IFERROR(VLOOKUP(O356,EMAILS!B:D,3,FALSE),"NOT FOUND IN EMAILS")</f>
        <v/>
      </c>
      <c r="R356" t="str">
        <f ca="1">""&amp;IFERROR(VLOOKUP(O356,EMAILS!B:E,4,FALSE),"NO T FOUND IN EMAILS")</f>
        <v/>
      </c>
    </row>
    <row r="357" spans="2:18" x14ac:dyDescent="0.25">
      <c r="B357" s="5" t="s">
        <v>359</v>
      </c>
      <c r="C357" s="5" t="s">
        <v>4499</v>
      </c>
      <c r="D357" s="5">
        <v>300</v>
      </c>
      <c r="E357" s="5">
        <v>0</v>
      </c>
      <c r="F357" s="5">
        <v>450</v>
      </c>
      <c r="G357" s="5">
        <v>300</v>
      </c>
      <c r="H357" s="5">
        <v>450</v>
      </c>
      <c r="I357" s="5">
        <v>300</v>
      </c>
      <c r="J357" s="5">
        <v>0</v>
      </c>
      <c r="K357" s="5">
        <v>450</v>
      </c>
      <c r="L357" s="5">
        <v>300</v>
      </c>
      <c r="M357" s="5">
        <v>0</v>
      </c>
      <c r="N357" s="5">
        <v>0</v>
      </c>
      <c r="O357" s="5" t="str">
        <f t="shared" ca="1" si="5"/>
        <v>Supplier 29</v>
      </c>
      <c r="P357" s="20" t="str">
        <f ca="1">IFERROR(VLOOKUP(O357,EMAILS!B:C,2,FALSE),"NOT FOUND IN EMAILS")</f>
        <v>supplier@gmail.com</v>
      </c>
      <c r="Q357" t="str">
        <f ca="1">""&amp;IFERROR(VLOOKUP(O357,EMAILS!B:D,3,FALSE),"NOT FOUND IN EMAILS")</f>
        <v/>
      </c>
      <c r="R357" t="str">
        <f ca="1">""&amp;IFERROR(VLOOKUP(O357,EMAILS!B:E,4,FALSE),"NO T FOUND IN EMAILS")</f>
        <v/>
      </c>
    </row>
    <row r="358" spans="2:18" x14ac:dyDescent="0.25">
      <c r="B358" s="5" t="s">
        <v>360</v>
      </c>
      <c r="C358" s="5" t="s">
        <v>4500</v>
      </c>
      <c r="D358" s="5">
        <v>600</v>
      </c>
      <c r="E358" s="5">
        <v>600</v>
      </c>
      <c r="F358" s="5">
        <v>600</v>
      </c>
      <c r="G358" s="5">
        <v>600</v>
      </c>
      <c r="H358" s="5">
        <v>600</v>
      </c>
      <c r="I358" s="5">
        <v>600</v>
      </c>
      <c r="J358" s="5">
        <v>300</v>
      </c>
      <c r="K358" s="5">
        <v>600</v>
      </c>
      <c r="L358" s="5">
        <v>300</v>
      </c>
      <c r="M358" s="5">
        <v>0</v>
      </c>
      <c r="N358" s="5">
        <v>1863</v>
      </c>
      <c r="O358" s="5" t="str">
        <f t="shared" ca="1" si="5"/>
        <v>Supplier 134</v>
      </c>
      <c r="P358" s="20" t="str">
        <f ca="1">IFERROR(VLOOKUP(O358,EMAILS!B:C,2,FALSE),"NOT FOUND IN EMAILS")</f>
        <v>supplier@gmail.com</v>
      </c>
      <c r="Q358" t="str">
        <f ca="1">""&amp;IFERROR(VLOOKUP(O358,EMAILS!B:D,3,FALSE),"NOT FOUND IN EMAILS")</f>
        <v/>
      </c>
      <c r="R358" t="str">
        <f ca="1">""&amp;IFERROR(VLOOKUP(O358,EMAILS!B:E,4,FALSE),"NO T FOUND IN EMAILS")</f>
        <v/>
      </c>
    </row>
    <row r="359" spans="2:18" x14ac:dyDescent="0.25">
      <c r="B359" s="5" t="s">
        <v>361</v>
      </c>
      <c r="C359" s="5" t="s">
        <v>4501</v>
      </c>
      <c r="D359" s="5">
        <v>0</v>
      </c>
      <c r="E359" s="5">
        <v>300</v>
      </c>
      <c r="F359" s="5">
        <v>0</v>
      </c>
      <c r="G359" s="5">
        <v>300</v>
      </c>
      <c r="H359" s="5">
        <v>300</v>
      </c>
      <c r="I359" s="5">
        <v>0</v>
      </c>
      <c r="J359" s="5">
        <v>0</v>
      </c>
      <c r="K359" s="5">
        <v>300</v>
      </c>
      <c r="L359" s="5">
        <v>0</v>
      </c>
      <c r="M359" s="5">
        <v>0</v>
      </c>
      <c r="N359" s="5">
        <v>314</v>
      </c>
      <c r="O359" s="5" t="str">
        <f t="shared" ca="1" si="5"/>
        <v>Supplier 132</v>
      </c>
      <c r="P359" s="20" t="str">
        <f ca="1">IFERROR(VLOOKUP(O359,EMAILS!B:C,2,FALSE),"NOT FOUND IN EMAILS")</f>
        <v>supplier@gmail.com</v>
      </c>
      <c r="Q359" t="str">
        <f ca="1">""&amp;IFERROR(VLOOKUP(O359,EMAILS!B:D,3,FALSE),"NOT FOUND IN EMAILS")</f>
        <v/>
      </c>
      <c r="R359" t="str">
        <f ca="1">""&amp;IFERROR(VLOOKUP(O359,EMAILS!B:E,4,FALSE),"NO T FOUND IN EMAILS")</f>
        <v/>
      </c>
    </row>
    <row r="360" spans="2:18" x14ac:dyDescent="0.25">
      <c r="B360" s="5" t="s">
        <v>362</v>
      </c>
      <c r="C360" s="5" t="s">
        <v>4502</v>
      </c>
      <c r="D360" s="5">
        <v>100</v>
      </c>
      <c r="E360" s="5">
        <v>0</v>
      </c>
      <c r="F360" s="5">
        <v>0</v>
      </c>
      <c r="G360" s="5">
        <v>0</v>
      </c>
      <c r="H360" s="5">
        <v>100</v>
      </c>
      <c r="I360" s="5">
        <v>0</v>
      </c>
      <c r="J360" s="5">
        <v>0</v>
      </c>
      <c r="K360" s="5">
        <v>0</v>
      </c>
      <c r="L360" s="5">
        <v>0</v>
      </c>
      <c r="M360" s="5">
        <v>0</v>
      </c>
      <c r="N360" s="5">
        <v>286</v>
      </c>
      <c r="O360" s="5" t="str">
        <f t="shared" ca="1" si="5"/>
        <v>Supplier 184</v>
      </c>
      <c r="P360" s="20" t="str">
        <f ca="1">IFERROR(VLOOKUP(O360,EMAILS!B:C,2,FALSE),"NOT FOUND IN EMAILS")</f>
        <v>supplier@gmail.com</v>
      </c>
      <c r="Q360" t="str">
        <f ca="1">""&amp;IFERROR(VLOOKUP(O360,EMAILS!B:D,3,FALSE),"NOT FOUND IN EMAILS")</f>
        <v/>
      </c>
      <c r="R360" t="str">
        <f ca="1">""&amp;IFERROR(VLOOKUP(O360,EMAILS!B:E,4,FALSE),"NO T FOUND IN EMAILS")</f>
        <v/>
      </c>
    </row>
    <row r="361" spans="2:18" x14ac:dyDescent="0.25">
      <c r="B361" s="5" t="s">
        <v>363</v>
      </c>
      <c r="C361" s="5" t="s">
        <v>4503</v>
      </c>
      <c r="D361" s="5">
        <v>38</v>
      </c>
      <c r="E361" s="5">
        <v>18</v>
      </c>
      <c r="F361" s="5">
        <v>44</v>
      </c>
      <c r="G361" s="5">
        <v>44</v>
      </c>
      <c r="H361" s="5">
        <v>48</v>
      </c>
      <c r="I361" s="5">
        <v>38</v>
      </c>
      <c r="J361" s="5">
        <v>34</v>
      </c>
      <c r="K361" s="5">
        <v>24</v>
      </c>
      <c r="L361" s="5">
        <v>22</v>
      </c>
      <c r="M361" s="5">
        <v>0</v>
      </c>
      <c r="N361" s="5">
        <v>269</v>
      </c>
      <c r="O361" s="5" t="str">
        <f t="shared" ca="1" si="5"/>
        <v>Supplier 52</v>
      </c>
      <c r="P361" s="20" t="str">
        <f ca="1">IFERROR(VLOOKUP(O361,EMAILS!B:C,2,FALSE),"NOT FOUND IN EMAILS")</f>
        <v>supplier@gmail.com</v>
      </c>
      <c r="Q361" t="str">
        <f ca="1">""&amp;IFERROR(VLOOKUP(O361,EMAILS!B:D,3,FALSE),"NOT FOUND IN EMAILS")</f>
        <v/>
      </c>
      <c r="R361" t="str">
        <f ca="1">""&amp;IFERROR(VLOOKUP(O361,EMAILS!B:E,4,FALSE),"NO T FOUND IN EMAILS")</f>
        <v/>
      </c>
    </row>
    <row r="362" spans="2:18" x14ac:dyDescent="0.25">
      <c r="B362" s="5" t="s">
        <v>364</v>
      </c>
      <c r="C362" s="5" t="s">
        <v>4504</v>
      </c>
      <c r="D362" s="5">
        <v>0</v>
      </c>
      <c r="E362" s="5">
        <v>0</v>
      </c>
      <c r="F362" s="5">
        <v>0</v>
      </c>
      <c r="G362" s="5">
        <v>0</v>
      </c>
      <c r="H362" s="5">
        <v>0</v>
      </c>
      <c r="I362" s="5">
        <v>0</v>
      </c>
      <c r="J362" s="5">
        <v>0</v>
      </c>
      <c r="K362" s="5">
        <v>0</v>
      </c>
      <c r="L362" s="5">
        <v>0</v>
      </c>
      <c r="M362" s="5">
        <v>0</v>
      </c>
      <c r="N362" s="5">
        <v>4</v>
      </c>
      <c r="O362" s="5" t="str">
        <f t="shared" ca="1" si="5"/>
        <v>Supplier 187</v>
      </c>
      <c r="P362" s="20" t="str">
        <f ca="1">IFERROR(VLOOKUP(O362,EMAILS!B:C,2,FALSE),"NOT FOUND IN EMAILS")</f>
        <v>supplier@gmail.com</v>
      </c>
      <c r="Q362" t="str">
        <f ca="1">""&amp;IFERROR(VLOOKUP(O362,EMAILS!B:D,3,FALSE),"NOT FOUND IN EMAILS")</f>
        <v/>
      </c>
      <c r="R362" t="str">
        <f ca="1">""&amp;IFERROR(VLOOKUP(O362,EMAILS!B:E,4,FALSE),"NO T FOUND IN EMAILS")</f>
        <v/>
      </c>
    </row>
    <row r="363" spans="2:18" x14ac:dyDescent="0.25">
      <c r="B363" s="5" t="s">
        <v>365</v>
      </c>
      <c r="C363" s="5" t="s">
        <v>4505</v>
      </c>
      <c r="D363" s="5">
        <v>0</v>
      </c>
      <c r="E363" s="5">
        <v>0</v>
      </c>
      <c r="F363" s="5">
        <v>0</v>
      </c>
      <c r="G363" s="5">
        <v>100</v>
      </c>
      <c r="H363" s="5">
        <v>60</v>
      </c>
      <c r="I363" s="5">
        <v>70</v>
      </c>
      <c r="J363" s="5">
        <v>0</v>
      </c>
      <c r="K363" s="5">
        <v>200</v>
      </c>
      <c r="L363" s="5">
        <v>0</v>
      </c>
      <c r="M363" s="5">
        <v>0</v>
      </c>
      <c r="N363" s="5">
        <v>690</v>
      </c>
      <c r="O363" s="5" t="str">
        <f t="shared" ca="1" si="5"/>
        <v>Supplier 116</v>
      </c>
      <c r="P363" s="20" t="str">
        <f ca="1">IFERROR(VLOOKUP(O363,EMAILS!B:C,2,FALSE),"NOT FOUND IN EMAILS")</f>
        <v>supplier@gmail.com</v>
      </c>
      <c r="Q363" t="str">
        <f ca="1">""&amp;IFERROR(VLOOKUP(O363,EMAILS!B:D,3,FALSE),"NOT FOUND IN EMAILS")</f>
        <v/>
      </c>
      <c r="R363" t="str">
        <f ca="1">""&amp;IFERROR(VLOOKUP(O363,EMAILS!B:E,4,FALSE),"NO T FOUND IN EMAILS")</f>
        <v/>
      </c>
    </row>
    <row r="364" spans="2:18" x14ac:dyDescent="0.25">
      <c r="B364" s="5" t="s">
        <v>366</v>
      </c>
      <c r="C364" s="5" t="s">
        <v>4506</v>
      </c>
      <c r="D364" s="5">
        <v>0</v>
      </c>
      <c r="E364" s="5">
        <v>0</v>
      </c>
      <c r="F364" s="5">
        <v>0</v>
      </c>
      <c r="G364" s="5">
        <v>0</v>
      </c>
      <c r="H364" s="5">
        <v>100</v>
      </c>
      <c r="I364" s="5">
        <v>50</v>
      </c>
      <c r="J364" s="5">
        <v>0</v>
      </c>
      <c r="K364" s="5">
        <v>0</v>
      </c>
      <c r="L364" s="5">
        <v>0</v>
      </c>
      <c r="M364" s="5">
        <v>0</v>
      </c>
      <c r="N364" s="5">
        <v>145</v>
      </c>
      <c r="O364" s="5" t="str">
        <f t="shared" ca="1" si="5"/>
        <v>Supplier 74</v>
      </c>
      <c r="P364" s="20" t="str">
        <f ca="1">IFERROR(VLOOKUP(O364,EMAILS!B:C,2,FALSE),"NOT FOUND IN EMAILS")</f>
        <v>supplier@gmail.com</v>
      </c>
      <c r="Q364" t="str">
        <f ca="1">""&amp;IFERROR(VLOOKUP(O364,EMAILS!B:D,3,FALSE),"NOT FOUND IN EMAILS")</f>
        <v/>
      </c>
      <c r="R364" t="str">
        <f ca="1">""&amp;IFERROR(VLOOKUP(O364,EMAILS!B:E,4,FALSE),"NO T FOUND IN EMAILS")</f>
        <v/>
      </c>
    </row>
    <row r="365" spans="2:18" x14ac:dyDescent="0.25">
      <c r="B365" s="5" t="s">
        <v>367</v>
      </c>
      <c r="C365" s="5" t="s">
        <v>4507</v>
      </c>
      <c r="D365" s="5">
        <v>0</v>
      </c>
      <c r="E365" s="5">
        <v>0</v>
      </c>
      <c r="F365" s="5">
        <v>0</v>
      </c>
      <c r="G365" s="5">
        <v>0</v>
      </c>
      <c r="H365" s="5">
        <v>0</v>
      </c>
      <c r="I365" s="5">
        <v>0</v>
      </c>
      <c r="J365" s="5">
        <v>0</v>
      </c>
      <c r="K365" s="5">
        <v>100</v>
      </c>
      <c r="L365" s="5">
        <v>0</v>
      </c>
      <c r="M365" s="5">
        <v>0</v>
      </c>
      <c r="N365" s="5">
        <v>142</v>
      </c>
      <c r="O365" s="5" t="str">
        <f t="shared" ca="1" si="5"/>
        <v>Supplier 195</v>
      </c>
      <c r="P365" s="20" t="str">
        <f ca="1">IFERROR(VLOOKUP(O365,EMAILS!B:C,2,FALSE),"NOT FOUND IN EMAILS")</f>
        <v>supplier@gmail.com</v>
      </c>
      <c r="Q365" t="str">
        <f ca="1">""&amp;IFERROR(VLOOKUP(O365,EMAILS!B:D,3,FALSE),"NOT FOUND IN EMAILS")</f>
        <v/>
      </c>
      <c r="R365" t="str">
        <f ca="1">""&amp;IFERROR(VLOOKUP(O365,EMAILS!B:E,4,FALSE),"NO T FOUND IN EMAILS")</f>
        <v/>
      </c>
    </row>
    <row r="366" spans="2:18" x14ac:dyDescent="0.25">
      <c r="B366" s="5" t="s">
        <v>368</v>
      </c>
      <c r="C366" s="5" t="s">
        <v>4508</v>
      </c>
      <c r="D366" s="5">
        <v>0</v>
      </c>
      <c r="E366" s="5">
        <v>0</v>
      </c>
      <c r="F366" s="5">
        <v>0</v>
      </c>
      <c r="G366" s="5">
        <v>0</v>
      </c>
      <c r="H366" s="5">
        <v>0</v>
      </c>
      <c r="I366" s="5">
        <v>0</v>
      </c>
      <c r="J366" s="5">
        <v>0</v>
      </c>
      <c r="K366" s="5">
        <v>0</v>
      </c>
      <c r="L366" s="5">
        <v>0</v>
      </c>
      <c r="M366" s="5">
        <v>0</v>
      </c>
      <c r="N366" s="5">
        <v>121</v>
      </c>
      <c r="O366" s="5" t="str">
        <f t="shared" ca="1" si="5"/>
        <v>Supplier 19</v>
      </c>
      <c r="P366" s="20" t="str">
        <f ca="1">IFERROR(VLOOKUP(O366,EMAILS!B:C,2,FALSE),"NOT FOUND IN EMAILS")</f>
        <v>supplier@gmail.com</v>
      </c>
      <c r="Q366" t="str">
        <f ca="1">""&amp;IFERROR(VLOOKUP(O366,EMAILS!B:D,3,FALSE),"NOT FOUND IN EMAILS")</f>
        <v>supplier_logistics@gmail.com</v>
      </c>
      <c r="R366" t="str">
        <f ca="1">""&amp;IFERROR(VLOOKUP(O366,EMAILS!B:E,4,FALSE),"NO T FOUND IN EMAILS")</f>
        <v/>
      </c>
    </row>
    <row r="367" spans="2:18" x14ac:dyDescent="0.25">
      <c r="B367" s="5" t="s">
        <v>369</v>
      </c>
      <c r="C367" s="5" t="s">
        <v>4509</v>
      </c>
      <c r="D367" s="5">
        <v>2</v>
      </c>
      <c r="E367" s="5">
        <v>2</v>
      </c>
      <c r="F367" s="5">
        <v>2</v>
      </c>
      <c r="G367" s="5">
        <v>2</v>
      </c>
      <c r="H367" s="5">
        <v>2</v>
      </c>
      <c r="I367" s="5">
        <v>3</v>
      </c>
      <c r="J367" s="5">
        <v>2</v>
      </c>
      <c r="K367" s="5">
        <v>2</v>
      </c>
      <c r="L367" s="5">
        <v>2</v>
      </c>
      <c r="M367" s="5">
        <v>0</v>
      </c>
      <c r="N367" s="5">
        <v>124</v>
      </c>
      <c r="O367" s="5" t="str">
        <f t="shared" ca="1" si="5"/>
        <v>Supplier 146</v>
      </c>
      <c r="P367" s="20" t="str">
        <f ca="1">IFERROR(VLOOKUP(O367,EMAILS!B:C,2,FALSE),"NOT FOUND IN EMAILS")</f>
        <v>supplier@gmail.com</v>
      </c>
      <c r="Q367" t="str">
        <f ca="1">""&amp;IFERROR(VLOOKUP(O367,EMAILS!B:D,3,FALSE),"NOT FOUND IN EMAILS")</f>
        <v/>
      </c>
      <c r="R367" t="str">
        <f ca="1">""&amp;IFERROR(VLOOKUP(O367,EMAILS!B:E,4,FALSE),"NO T FOUND IN EMAILS")</f>
        <v/>
      </c>
    </row>
    <row r="368" spans="2:18" x14ac:dyDescent="0.25">
      <c r="B368" s="5" t="s">
        <v>370</v>
      </c>
      <c r="C368" s="5" t="s">
        <v>4510</v>
      </c>
      <c r="D368" s="5">
        <v>4</v>
      </c>
      <c r="E368" s="5">
        <v>4</v>
      </c>
      <c r="F368" s="5">
        <v>4</v>
      </c>
      <c r="G368" s="5">
        <v>4</v>
      </c>
      <c r="H368" s="5">
        <v>4</v>
      </c>
      <c r="I368" s="5">
        <v>6</v>
      </c>
      <c r="J368" s="5">
        <v>4</v>
      </c>
      <c r="K368" s="5">
        <v>4</v>
      </c>
      <c r="L368" s="5">
        <v>4</v>
      </c>
      <c r="M368" s="5">
        <v>0</v>
      </c>
      <c r="N368" s="5">
        <v>2824</v>
      </c>
      <c r="O368" s="5" t="str">
        <f t="shared" ca="1" si="5"/>
        <v>Supplier 77</v>
      </c>
      <c r="P368" s="20" t="str">
        <f ca="1">IFERROR(VLOOKUP(O368,EMAILS!B:C,2,FALSE),"NOT FOUND IN EMAILS")</f>
        <v>supplier@gmail.com</v>
      </c>
      <c r="Q368" t="str">
        <f ca="1">""&amp;IFERROR(VLOOKUP(O368,EMAILS!B:D,3,FALSE),"NOT FOUND IN EMAILS")</f>
        <v/>
      </c>
      <c r="R368" t="str">
        <f ca="1">""&amp;IFERROR(VLOOKUP(O368,EMAILS!B:E,4,FALSE),"NO T FOUND IN EMAILS")</f>
        <v/>
      </c>
    </row>
    <row r="369" spans="2:18" x14ac:dyDescent="0.25">
      <c r="B369" s="5" t="s">
        <v>371</v>
      </c>
      <c r="C369" s="5" t="s">
        <v>4511</v>
      </c>
      <c r="D369" s="5">
        <v>750</v>
      </c>
      <c r="E369" s="5">
        <v>750</v>
      </c>
      <c r="F369" s="5">
        <v>950</v>
      </c>
      <c r="G369" s="5">
        <v>830</v>
      </c>
      <c r="H369" s="5">
        <v>750</v>
      </c>
      <c r="I369" s="5">
        <v>750</v>
      </c>
      <c r="J369" s="5">
        <v>768</v>
      </c>
      <c r="K369" s="5">
        <v>820</v>
      </c>
      <c r="L369" s="5">
        <v>950</v>
      </c>
      <c r="M369" s="5">
        <v>0</v>
      </c>
      <c r="N369" s="5">
        <v>4</v>
      </c>
      <c r="O369" s="5" t="str">
        <f t="shared" ca="1" si="5"/>
        <v>Supplier 15</v>
      </c>
      <c r="P369" s="20" t="str">
        <f ca="1">IFERROR(VLOOKUP(O369,EMAILS!B:C,2,FALSE),"NOT FOUND IN EMAILS")</f>
        <v>supplier@gmail.com</v>
      </c>
      <c r="Q369" t="str">
        <f ca="1">""&amp;IFERROR(VLOOKUP(O369,EMAILS!B:D,3,FALSE),"NOT FOUND IN EMAILS")</f>
        <v>supplier_logistics@gmail.com</v>
      </c>
      <c r="R369" t="str">
        <f ca="1">""&amp;IFERROR(VLOOKUP(O369,EMAILS!B:E,4,FALSE),"NO T FOUND IN EMAILS")</f>
        <v/>
      </c>
    </row>
    <row r="370" spans="2:18" x14ac:dyDescent="0.25">
      <c r="B370" s="5" t="s">
        <v>372</v>
      </c>
      <c r="C370" s="5" t="s">
        <v>4512</v>
      </c>
      <c r="D370" s="5">
        <v>0</v>
      </c>
      <c r="E370" s="5">
        <v>0</v>
      </c>
      <c r="F370" s="5">
        <v>0</v>
      </c>
      <c r="G370" s="5">
        <v>0</v>
      </c>
      <c r="H370" s="5">
        <v>0</v>
      </c>
      <c r="I370" s="5">
        <v>0</v>
      </c>
      <c r="J370" s="5">
        <v>0</v>
      </c>
      <c r="K370" s="5">
        <v>0</v>
      </c>
      <c r="L370" s="5">
        <v>0</v>
      </c>
      <c r="M370" s="5">
        <v>0</v>
      </c>
      <c r="N370" s="5">
        <v>75</v>
      </c>
      <c r="O370" s="5" t="str">
        <f t="shared" ca="1" si="5"/>
        <v>Supplier 113</v>
      </c>
      <c r="P370" s="20" t="str">
        <f ca="1">IFERROR(VLOOKUP(O370,EMAILS!B:C,2,FALSE),"NOT FOUND IN EMAILS")</f>
        <v>supplier@gmail.com</v>
      </c>
      <c r="Q370" t="str">
        <f ca="1">""&amp;IFERROR(VLOOKUP(O370,EMAILS!B:D,3,FALSE),"NOT FOUND IN EMAILS")</f>
        <v/>
      </c>
      <c r="R370" t="str">
        <f ca="1">""&amp;IFERROR(VLOOKUP(O370,EMAILS!B:E,4,FALSE),"NO T FOUND IN EMAILS")</f>
        <v/>
      </c>
    </row>
    <row r="371" spans="2:18" x14ac:dyDescent="0.25">
      <c r="B371" s="5" t="s">
        <v>373</v>
      </c>
      <c r="C371" s="5" t="s">
        <v>4513</v>
      </c>
      <c r="D371" s="5">
        <v>0</v>
      </c>
      <c r="E371" s="5">
        <v>0</v>
      </c>
      <c r="F371" s="5">
        <v>0</v>
      </c>
      <c r="G371" s="5">
        <v>0</v>
      </c>
      <c r="H371" s="5">
        <v>0</v>
      </c>
      <c r="I371" s="5">
        <v>0</v>
      </c>
      <c r="J371" s="5">
        <v>0</v>
      </c>
      <c r="K371" s="5">
        <v>0</v>
      </c>
      <c r="L371" s="5">
        <v>0</v>
      </c>
      <c r="M371" s="5">
        <v>0</v>
      </c>
      <c r="N371" s="5">
        <v>0</v>
      </c>
      <c r="O371" s="5" t="str">
        <f t="shared" ca="1" si="5"/>
        <v>Supplier 127</v>
      </c>
      <c r="P371" s="20" t="str">
        <f ca="1">IFERROR(VLOOKUP(O371,EMAILS!B:C,2,FALSE),"NOT FOUND IN EMAILS")</f>
        <v>supplier@gmail.com</v>
      </c>
      <c r="Q371" t="str">
        <f ca="1">""&amp;IFERROR(VLOOKUP(O371,EMAILS!B:D,3,FALSE),"NOT FOUND IN EMAILS")</f>
        <v/>
      </c>
      <c r="R371" t="str">
        <f ca="1">""&amp;IFERROR(VLOOKUP(O371,EMAILS!B:E,4,FALSE),"NO T FOUND IN EMAILS")</f>
        <v/>
      </c>
    </row>
    <row r="372" spans="2:18" x14ac:dyDescent="0.25">
      <c r="B372" s="5" t="s">
        <v>374</v>
      </c>
      <c r="C372" s="5" t="s">
        <v>4514</v>
      </c>
      <c r="D372" s="5">
        <v>0</v>
      </c>
      <c r="E372" s="5">
        <v>0</v>
      </c>
      <c r="F372" s="5">
        <v>0</v>
      </c>
      <c r="G372" s="5">
        <v>0</v>
      </c>
      <c r="H372" s="5">
        <v>0</v>
      </c>
      <c r="I372" s="5">
        <v>0</v>
      </c>
      <c r="J372" s="5">
        <v>0</v>
      </c>
      <c r="K372" s="5">
        <v>0</v>
      </c>
      <c r="L372" s="5">
        <v>0</v>
      </c>
      <c r="M372" s="5">
        <v>0</v>
      </c>
      <c r="N372" s="5">
        <v>67</v>
      </c>
      <c r="O372" s="5" t="str">
        <f t="shared" ca="1" si="5"/>
        <v>Supplier 126</v>
      </c>
      <c r="P372" s="20" t="str">
        <f ca="1">IFERROR(VLOOKUP(O372,EMAILS!B:C,2,FALSE),"NOT FOUND IN EMAILS")</f>
        <v>supplier@gmail.com</v>
      </c>
      <c r="Q372" t="str">
        <f ca="1">""&amp;IFERROR(VLOOKUP(O372,EMAILS!B:D,3,FALSE),"NOT FOUND IN EMAILS")</f>
        <v/>
      </c>
      <c r="R372" t="str">
        <f ca="1">""&amp;IFERROR(VLOOKUP(O372,EMAILS!B:E,4,FALSE),"NO T FOUND IN EMAILS")</f>
        <v/>
      </c>
    </row>
    <row r="373" spans="2:18" x14ac:dyDescent="0.25">
      <c r="B373" s="5" t="s">
        <v>375</v>
      </c>
      <c r="C373" s="5" t="s">
        <v>4515</v>
      </c>
      <c r="D373" s="5">
        <v>7</v>
      </c>
      <c r="E373" s="5">
        <v>9</v>
      </c>
      <c r="F373" s="5">
        <v>12</v>
      </c>
      <c r="G373" s="5">
        <v>10</v>
      </c>
      <c r="H373" s="5">
        <v>10</v>
      </c>
      <c r="I373" s="5">
        <v>9</v>
      </c>
      <c r="J373" s="5">
        <v>7</v>
      </c>
      <c r="K373" s="5">
        <v>4</v>
      </c>
      <c r="L373" s="5">
        <v>4</v>
      </c>
      <c r="M373" s="5">
        <v>0</v>
      </c>
      <c r="N373" s="5">
        <v>434</v>
      </c>
      <c r="O373" s="5" t="str">
        <f t="shared" ca="1" si="5"/>
        <v>Supplier 60</v>
      </c>
      <c r="P373" s="20" t="str">
        <f ca="1">IFERROR(VLOOKUP(O373,EMAILS!B:C,2,FALSE),"NOT FOUND IN EMAILS")</f>
        <v>supplier@gmail.com</v>
      </c>
      <c r="Q373" t="str">
        <f ca="1">""&amp;IFERROR(VLOOKUP(O373,EMAILS!B:D,3,FALSE),"NOT FOUND IN EMAILS")</f>
        <v/>
      </c>
      <c r="R373" t="str">
        <f ca="1">""&amp;IFERROR(VLOOKUP(O373,EMAILS!B:E,4,FALSE),"NO T FOUND IN EMAILS")</f>
        <v/>
      </c>
    </row>
    <row r="374" spans="2:18" x14ac:dyDescent="0.25">
      <c r="B374" s="5" t="s">
        <v>376</v>
      </c>
      <c r="C374" s="5" t="s">
        <v>4516</v>
      </c>
      <c r="D374" s="5">
        <v>1</v>
      </c>
      <c r="E374" s="5">
        <v>0</v>
      </c>
      <c r="F374" s="5">
        <v>1</v>
      </c>
      <c r="G374" s="5">
        <v>2</v>
      </c>
      <c r="H374" s="5">
        <v>2</v>
      </c>
      <c r="I374" s="5">
        <v>2</v>
      </c>
      <c r="J374" s="5">
        <v>2</v>
      </c>
      <c r="K374" s="5">
        <v>0</v>
      </c>
      <c r="L374" s="5">
        <v>0</v>
      </c>
      <c r="M374" s="5">
        <v>0</v>
      </c>
      <c r="N374" s="5">
        <v>76</v>
      </c>
      <c r="O374" s="5" t="str">
        <f t="shared" ca="1" si="5"/>
        <v>Supplier 30</v>
      </c>
      <c r="P374" s="20" t="str">
        <f ca="1">IFERROR(VLOOKUP(O374,EMAILS!B:C,2,FALSE),"NOT FOUND IN EMAILS")</f>
        <v>supplier@gmail.com</v>
      </c>
      <c r="Q374" t="str">
        <f ca="1">""&amp;IFERROR(VLOOKUP(O374,EMAILS!B:D,3,FALSE),"NOT FOUND IN EMAILS")</f>
        <v/>
      </c>
      <c r="R374" t="str">
        <f ca="1">""&amp;IFERROR(VLOOKUP(O374,EMAILS!B:E,4,FALSE),"NO T FOUND IN EMAILS")</f>
        <v/>
      </c>
    </row>
    <row r="375" spans="2:18" x14ac:dyDescent="0.25">
      <c r="B375" s="5" t="s">
        <v>377</v>
      </c>
      <c r="C375" s="5" t="s">
        <v>4517</v>
      </c>
      <c r="D375" s="5">
        <v>1</v>
      </c>
      <c r="E375" s="5">
        <v>0</v>
      </c>
      <c r="F375" s="5">
        <v>1</v>
      </c>
      <c r="G375" s="5">
        <v>2</v>
      </c>
      <c r="H375" s="5">
        <v>2</v>
      </c>
      <c r="I375" s="5">
        <v>2</v>
      </c>
      <c r="J375" s="5">
        <v>2</v>
      </c>
      <c r="K375" s="5">
        <v>0</v>
      </c>
      <c r="L375" s="5">
        <v>0</v>
      </c>
      <c r="M375" s="5">
        <v>0</v>
      </c>
      <c r="N375" s="5">
        <v>65</v>
      </c>
      <c r="O375" s="5" t="str">
        <f t="shared" ca="1" si="5"/>
        <v>Supplier 153</v>
      </c>
      <c r="P375" s="20" t="str">
        <f ca="1">IFERROR(VLOOKUP(O375,EMAILS!B:C,2,FALSE),"NOT FOUND IN EMAILS")</f>
        <v>supplier@gmail.com</v>
      </c>
      <c r="Q375" t="str">
        <f ca="1">""&amp;IFERROR(VLOOKUP(O375,EMAILS!B:D,3,FALSE),"NOT FOUND IN EMAILS")</f>
        <v/>
      </c>
      <c r="R375" t="str">
        <f ca="1">""&amp;IFERROR(VLOOKUP(O375,EMAILS!B:E,4,FALSE),"NO T FOUND IN EMAILS")</f>
        <v/>
      </c>
    </row>
    <row r="376" spans="2:18" x14ac:dyDescent="0.25">
      <c r="B376" s="5" t="s">
        <v>378</v>
      </c>
      <c r="C376" s="5" t="s">
        <v>4518</v>
      </c>
      <c r="D376" s="5">
        <v>0</v>
      </c>
      <c r="E376" s="5">
        <v>9</v>
      </c>
      <c r="F376" s="5">
        <v>1</v>
      </c>
      <c r="G376" s="5">
        <v>4</v>
      </c>
      <c r="H376" s="5">
        <v>4</v>
      </c>
      <c r="I376" s="5">
        <v>3</v>
      </c>
      <c r="J376" s="5">
        <v>1</v>
      </c>
      <c r="K376" s="5">
        <v>0</v>
      </c>
      <c r="L376" s="5">
        <v>0</v>
      </c>
      <c r="M376" s="5">
        <v>0</v>
      </c>
      <c r="N376" s="5">
        <v>27</v>
      </c>
      <c r="O376" s="5" t="str">
        <f t="shared" ca="1" si="5"/>
        <v>Supplier 151</v>
      </c>
      <c r="P376" s="20" t="str">
        <f ca="1">IFERROR(VLOOKUP(O376,EMAILS!B:C,2,FALSE),"NOT FOUND IN EMAILS")</f>
        <v>supplier@gmail.com</v>
      </c>
      <c r="Q376" t="str">
        <f ca="1">""&amp;IFERROR(VLOOKUP(O376,EMAILS!B:D,3,FALSE),"NOT FOUND IN EMAILS")</f>
        <v/>
      </c>
      <c r="R376" t="str">
        <f ca="1">""&amp;IFERROR(VLOOKUP(O376,EMAILS!B:E,4,FALSE),"NO T FOUND IN EMAILS")</f>
        <v/>
      </c>
    </row>
    <row r="377" spans="2:18" x14ac:dyDescent="0.25">
      <c r="B377" s="5" t="s">
        <v>379</v>
      </c>
      <c r="C377" s="5" t="s">
        <v>4519</v>
      </c>
      <c r="D377" s="5">
        <v>0</v>
      </c>
      <c r="E377" s="5">
        <v>0</v>
      </c>
      <c r="F377" s="5">
        <v>0</v>
      </c>
      <c r="G377" s="5">
        <v>0</v>
      </c>
      <c r="H377" s="5">
        <v>0</v>
      </c>
      <c r="I377" s="5">
        <v>0</v>
      </c>
      <c r="J377" s="5">
        <v>0</v>
      </c>
      <c r="K377" s="5">
        <v>0</v>
      </c>
      <c r="L377" s="5">
        <v>0</v>
      </c>
      <c r="M377" s="5">
        <v>0</v>
      </c>
      <c r="N377" s="5">
        <v>42</v>
      </c>
      <c r="O377" s="5" t="str">
        <f t="shared" ca="1" si="5"/>
        <v>Supplier 89</v>
      </c>
      <c r="P377" s="20" t="str">
        <f ca="1">IFERROR(VLOOKUP(O377,EMAILS!B:C,2,FALSE),"NOT FOUND IN EMAILS")</f>
        <v>supplier@gmail.com</v>
      </c>
      <c r="Q377" t="str">
        <f ca="1">""&amp;IFERROR(VLOOKUP(O377,EMAILS!B:D,3,FALSE),"NOT FOUND IN EMAILS")</f>
        <v/>
      </c>
      <c r="R377" t="str">
        <f ca="1">""&amp;IFERROR(VLOOKUP(O377,EMAILS!B:E,4,FALSE),"NO T FOUND IN EMAILS")</f>
        <v/>
      </c>
    </row>
    <row r="378" spans="2:18" x14ac:dyDescent="0.25">
      <c r="B378" s="5" t="s">
        <v>380</v>
      </c>
      <c r="C378" s="5" t="s">
        <v>4520</v>
      </c>
      <c r="D378" s="5">
        <v>0</v>
      </c>
      <c r="E378" s="5">
        <v>0</v>
      </c>
      <c r="F378" s="5">
        <v>0</v>
      </c>
      <c r="G378" s="5">
        <v>0</v>
      </c>
      <c r="H378" s="5">
        <v>0</v>
      </c>
      <c r="I378" s="5">
        <v>0</v>
      </c>
      <c r="J378" s="5">
        <v>0</v>
      </c>
      <c r="K378" s="5">
        <v>0</v>
      </c>
      <c r="L378" s="5">
        <v>0</v>
      </c>
      <c r="M378" s="5">
        <v>0</v>
      </c>
      <c r="N378" s="5">
        <v>158</v>
      </c>
      <c r="O378" s="5" t="str">
        <f t="shared" ca="1" si="5"/>
        <v>Supplier 5</v>
      </c>
      <c r="P378" s="20" t="str">
        <f ca="1">IFERROR(VLOOKUP(O378,EMAILS!B:C,2,FALSE),"NOT FOUND IN EMAILS")</f>
        <v>supplier@gmail.com</v>
      </c>
      <c r="Q378" t="str">
        <f ca="1">""&amp;IFERROR(VLOOKUP(O378,EMAILS!B:D,3,FALSE),"NOT FOUND IN EMAILS")</f>
        <v>supplier_logistics@gmail.com</v>
      </c>
      <c r="R378" t="str">
        <f ca="1">""&amp;IFERROR(VLOOKUP(O378,EMAILS!B:E,4,FALSE),"NO T FOUND IN EMAILS")</f>
        <v/>
      </c>
    </row>
    <row r="379" spans="2:18" x14ac:dyDescent="0.25">
      <c r="B379" s="5" t="s">
        <v>381</v>
      </c>
      <c r="C379" s="5" t="s">
        <v>4521</v>
      </c>
      <c r="D379" s="5">
        <v>7</v>
      </c>
      <c r="E379" s="5">
        <v>9</v>
      </c>
      <c r="F379" s="5">
        <v>12</v>
      </c>
      <c r="G379" s="5">
        <v>10</v>
      </c>
      <c r="H379" s="5">
        <v>10</v>
      </c>
      <c r="I379" s="5">
        <v>9</v>
      </c>
      <c r="J379" s="5">
        <v>7</v>
      </c>
      <c r="K379" s="5">
        <v>4</v>
      </c>
      <c r="L379" s="5">
        <v>4</v>
      </c>
      <c r="M379" s="5">
        <v>0</v>
      </c>
      <c r="N379" s="5">
        <v>565</v>
      </c>
      <c r="O379" s="5" t="str">
        <f t="shared" ca="1" si="5"/>
        <v>Supplier 74</v>
      </c>
      <c r="P379" s="20" t="str">
        <f ca="1">IFERROR(VLOOKUP(O379,EMAILS!B:C,2,FALSE),"NOT FOUND IN EMAILS")</f>
        <v>supplier@gmail.com</v>
      </c>
      <c r="Q379" t="str">
        <f ca="1">""&amp;IFERROR(VLOOKUP(O379,EMAILS!B:D,3,FALSE),"NOT FOUND IN EMAILS")</f>
        <v/>
      </c>
      <c r="R379" t="str">
        <f ca="1">""&amp;IFERROR(VLOOKUP(O379,EMAILS!B:E,4,FALSE),"NO T FOUND IN EMAILS")</f>
        <v/>
      </c>
    </row>
    <row r="380" spans="2:18" x14ac:dyDescent="0.25">
      <c r="B380" s="5" t="s">
        <v>382</v>
      </c>
      <c r="C380" s="5" t="s">
        <v>4522</v>
      </c>
      <c r="D380" s="5">
        <v>0</v>
      </c>
      <c r="E380" s="5">
        <v>0</v>
      </c>
      <c r="F380" s="5">
        <v>0</v>
      </c>
      <c r="G380" s="5">
        <v>0</v>
      </c>
      <c r="H380" s="5">
        <v>0</v>
      </c>
      <c r="I380" s="5">
        <v>0</v>
      </c>
      <c r="J380" s="5">
        <v>0</v>
      </c>
      <c r="K380" s="5">
        <v>0</v>
      </c>
      <c r="L380" s="5">
        <v>0</v>
      </c>
      <c r="M380" s="5">
        <v>0</v>
      </c>
      <c r="N380" s="5">
        <v>49</v>
      </c>
      <c r="O380" s="5" t="str">
        <f t="shared" ca="1" si="5"/>
        <v>Supplier 3</v>
      </c>
      <c r="P380" s="20" t="str">
        <f ca="1">IFERROR(VLOOKUP(O380,EMAILS!B:C,2,FALSE),"NOT FOUND IN EMAILS")</f>
        <v>supplier@gmail.com</v>
      </c>
      <c r="Q380" t="str">
        <f ca="1">""&amp;IFERROR(VLOOKUP(O380,EMAILS!B:D,3,FALSE),"NOT FOUND IN EMAILS")</f>
        <v>supplier_logistics@gmail.com</v>
      </c>
      <c r="R380" t="str">
        <f ca="1">""&amp;IFERROR(VLOOKUP(O380,EMAILS!B:E,4,FALSE),"NO T FOUND IN EMAILS")</f>
        <v/>
      </c>
    </row>
    <row r="381" spans="2:18" x14ac:dyDescent="0.25">
      <c r="B381" s="5" t="s">
        <v>383</v>
      </c>
      <c r="C381" s="5" t="s">
        <v>4523</v>
      </c>
      <c r="D381" s="5">
        <v>0</v>
      </c>
      <c r="E381" s="5">
        <v>9</v>
      </c>
      <c r="F381" s="5">
        <v>1</v>
      </c>
      <c r="G381" s="5">
        <v>4</v>
      </c>
      <c r="H381" s="5">
        <v>4</v>
      </c>
      <c r="I381" s="5">
        <v>3</v>
      </c>
      <c r="J381" s="5">
        <v>1</v>
      </c>
      <c r="K381" s="5">
        <v>0</v>
      </c>
      <c r="L381" s="5">
        <v>0</v>
      </c>
      <c r="M381" s="5">
        <v>0</v>
      </c>
      <c r="N381" s="5">
        <v>80</v>
      </c>
      <c r="O381" s="5" t="str">
        <f t="shared" ca="1" si="5"/>
        <v>Supplier 139</v>
      </c>
      <c r="P381" s="20" t="str">
        <f ca="1">IFERROR(VLOOKUP(O381,EMAILS!B:C,2,FALSE),"NOT FOUND IN EMAILS")</f>
        <v>supplier@gmail.com</v>
      </c>
      <c r="Q381" t="str">
        <f ca="1">""&amp;IFERROR(VLOOKUP(O381,EMAILS!B:D,3,FALSE),"NOT FOUND IN EMAILS")</f>
        <v/>
      </c>
      <c r="R381" t="str">
        <f ca="1">""&amp;IFERROR(VLOOKUP(O381,EMAILS!B:E,4,FALSE),"NO T FOUND IN EMAILS")</f>
        <v/>
      </c>
    </row>
    <row r="382" spans="2:18" x14ac:dyDescent="0.25">
      <c r="B382" s="5" t="s">
        <v>384</v>
      </c>
      <c r="C382" s="5" t="s">
        <v>4524</v>
      </c>
      <c r="D382" s="5">
        <v>24</v>
      </c>
      <c r="E382" s="5">
        <v>0</v>
      </c>
      <c r="F382" s="5">
        <v>20</v>
      </c>
      <c r="G382" s="5">
        <v>16</v>
      </c>
      <c r="H382" s="5">
        <v>20</v>
      </c>
      <c r="I382" s="5">
        <v>12</v>
      </c>
      <c r="J382" s="5">
        <v>16</v>
      </c>
      <c r="K382" s="5">
        <v>8</v>
      </c>
      <c r="L382" s="5">
        <v>8</v>
      </c>
      <c r="M382" s="5">
        <v>0</v>
      </c>
      <c r="N382" s="5">
        <v>249</v>
      </c>
      <c r="O382" s="5" t="str">
        <f t="shared" ca="1" si="5"/>
        <v>Supplier 175</v>
      </c>
      <c r="P382" s="20" t="str">
        <f ca="1">IFERROR(VLOOKUP(O382,EMAILS!B:C,2,FALSE),"NOT FOUND IN EMAILS")</f>
        <v>supplier@gmail.com</v>
      </c>
      <c r="Q382" t="str">
        <f ca="1">""&amp;IFERROR(VLOOKUP(O382,EMAILS!B:D,3,FALSE),"NOT FOUND IN EMAILS")</f>
        <v/>
      </c>
      <c r="R382" t="str">
        <f ca="1">""&amp;IFERROR(VLOOKUP(O382,EMAILS!B:E,4,FALSE),"NO T FOUND IN EMAILS")</f>
        <v/>
      </c>
    </row>
    <row r="383" spans="2:18" x14ac:dyDescent="0.25">
      <c r="B383" s="5" t="s">
        <v>385</v>
      </c>
      <c r="C383" s="5" t="s">
        <v>4525</v>
      </c>
      <c r="D383" s="5">
        <v>0</v>
      </c>
      <c r="E383" s="5">
        <v>0</v>
      </c>
      <c r="F383" s="5">
        <v>0</v>
      </c>
      <c r="G383" s="5">
        <v>0</v>
      </c>
      <c r="H383" s="5">
        <v>25</v>
      </c>
      <c r="I383" s="5">
        <v>0</v>
      </c>
      <c r="J383" s="5">
        <v>35</v>
      </c>
      <c r="K383" s="5">
        <v>0</v>
      </c>
      <c r="L383" s="5">
        <v>0</v>
      </c>
      <c r="M383" s="5">
        <v>0</v>
      </c>
      <c r="N383" s="5">
        <v>685</v>
      </c>
      <c r="O383" s="5" t="str">
        <f t="shared" ca="1" si="5"/>
        <v>Supplier 90</v>
      </c>
      <c r="P383" s="20" t="str">
        <f ca="1">IFERROR(VLOOKUP(O383,EMAILS!B:C,2,FALSE),"NOT FOUND IN EMAILS")</f>
        <v>supplier@gmail.com</v>
      </c>
      <c r="Q383" t="str">
        <f ca="1">""&amp;IFERROR(VLOOKUP(O383,EMAILS!B:D,3,FALSE),"NOT FOUND IN EMAILS")</f>
        <v/>
      </c>
      <c r="R383" t="str">
        <f ca="1">""&amp;IFERROR(VLOOKUP(O383,EMAILS!B:E,4,FALSE),"NO T FOUND IN EMAILS")</f>
        <v/>
      </c>
    </row>
    <row r="384" spans="2:18" x14ac:dyDescent="0.25">
      <c r="B384" s="5" t="s">
        <v>386</v>
      </c>
      <c r="C384" s="5" t="s">
        <v>4526</v>
      </c>
      <c r="D384" s="5">
        <v>0</v>
      </c>
      <c r="E384" s="5">
        <v>0</v>
      </c>
      <c r="F384" s="5">
        <v>0</v>
      </c>
      <c r="G384" s="5">
        <v>0</v>
      </c>
      <c r="H384" s="5">
        <v>0</v>
      </c>
      <c r="I384" s="5">
        <v>0</v>
      </c>
      <c r="J384" s="5">
        <v>0</v>
      </c>
      <c r="K384" s="5">
        <v>100</v>
      </c>
      <c r="L384" s="5">
        <v>0</v>
      </c>
      <c r="M384" s="5">
        <v>0</v>
      </c>
      <c r="N384" s="5">
        <v>781</v>
      </c>
      <c r="O384" s="5" t="str">
        <f t="shared" ca="1" si="5"/>
        <v>Supplier 168</v>
      </c>
      <c r="P384" s="20" t="str">
        <f ca="1">IFERROR(VLOOKUP(O384,EMAILS!B:C,2,FALSE),"NOT FOUND IN EMAILS")</f>
        <v>supplier@gmail.com</v>
      </c>
      <c r="Q384" t="str">
        <f ca="1">""&amp;IFERROR(VLOOKUP(O384,EMAILS!B:D,3,FALSE),"NOT FOUND IN EMAILS")</f>
        <v/>
      </c>
      <c r="R384" t="str">
        <f ca="1">""&amp;IFERROR(VLOOKUP(O384,EMAILS!B:E,4,FALSE),"NO T FOUND IN EMAILS")</f>
        <v/>
      </c>
    </row>
    <row r="385" spans="2:18" x14ac:dyDescent="0.25">
      <c r="B385" s="5" t="s">
        <v>387</v>
      </c>
      <c r="C385" s="5" t="s">
        <v>4527</v>
      </c>
      <c r="D385" s="5">
        <v>0</v>
      </c>
      <c r="E385" s="5">
        <v>400</v>
      </c>
      <c r="F385" s="5">
        <v>0</v>
      </c>
      <c r="G385" s="5">
        <v>0</v>
      </c>
      <c r="H385" s="5">
        <v>50</v>
      </c>
      <c r="I385" s="5">
        <v>0</v>
      </c>
      <c r="J385" s="5">
        <v>100</v>
      </c>
      <c r="K385" s="5">
        <v>0</v>
      </c>
      <c r="L385" s="5">
        <v>50</v>
      </c>
      <c r="M385" s="5">
        <v>0</v>
      </c>
      <c r="N385" s="5">
        <v>27</v>
      </c>
      <c r="O385" s="5" t="str">
        <f t="shared" ca="1" si="5"/>
        <v>Supplier 37</v>
      </c>
      <c r="P385" s="20" t="str">
        <f ca="1">IFERROR(VLOOKUP(O385,EMAILS!B:C,2,FALSE),"NOT FOUND IN EMAILS")</f>
        <v>supplier@gmail.com</v>
      </c>
      <c r="Q385" t="str">
        <f ca="1">""&amp;IFERROR(VLOOKUP(O385,EMAILS!B:D,3,FALSE),"NOT FOUND IN EMAILS")</f>
        <v/>
      </c>
      <c r="R385" t="str">
        <f ca="1">""&amp;IFERROR(VLOOKUP(O385,EMAILS!B:E,4,FALSE),"NO T FOUND IN EMAILS")</f>
        <v/>
      </c>
    </row>
    <row r="386" spans="2:18" x14ac:dyDescent="0.25">
      <c r="B386" s="5" t="s">
        <v>388</v>
      </c>
      <c r="C386" s="5" t="s">
        <v>4528</v>
      </c>
      <c r="D386" s="5">
        <v>0</v>
      </c>
      <c r="E386" s="5">
        <v>0</v>
      </c>
      <c r="F386" s="5">
        <v>0</v>
      </c>
      <c r="G386" s="5">
        <v>0</v>
      </c>
      <c r="H386" s="5">
        <v>0</v>
      </c>
      <c r="I386" s="5">
        <v>0</v>
      </c>
      <c r="J386" s="5">
        <v>0</v>
      </c>
      <c r="K386" s="5">
        <v>0</v>
      </c>
      <c r="L386" s="5">
        <v>0</v>
      </c>
      <c r="M386" s="5">
        <v>0</v>
      </c>
      <c r="N386" s="5">
        <v>134</v>
      </c>
      <c r="O386" s="5" t="str">
        <f t="shared" ca="1" si="5"/>
        <v>Supplier 147</v>
      </c>
      <c r="P386" s="20" t="str">
        <f ca="1">IFERROR(VLOOKUP(O386,EMAILS!B:C,2,FALSE),"NOT FOUND IN EMAILS")</f>
        <v>supplier@gmail.com</v>
      </c>
      <c r="Q386" t="str">
        <f ca="1">""&amp;IFERROR(VLOOKUP(O386,EMAILS!B:D,3,FALSE),"NOT FOUND IN EMAILS")</f>
        <v/>
      </c>
      <c r="R386" t="str">
        <f ca="1">""&amp;IFERROR(VLOOKUP(O386,EMAILS!B:E,4,FALSE),"NO T FOUND IN EMAILS")</f>
        <v/>
      </c>
    </row>
    <row r="387" spans="2:18" x14ac:dyDescent="0.25">
      <c r="B387" s="5" t="s">
        <v>389</v>
      </c>
      <c r="C387" s="5" t="s">
        <v>4529</v>
      </c>
      <c r="D387" s="5">
        <v>0</v>
      </c>
      <c r="E387" s="5">
        <v>0</v>
      </c>
      <c r="F387" s="5">
        <v>0</v>
      </c>
      <c r="G387" s="5">
        <v>0</v>
      </c>
      <c r="H387" s="5">
        <v>100</v>
      </c>
      <c r="I387" s="5">
        <v>0</v>
      </c>
      <c r="J387" s="5">
        <v>0</v>
      </c>
      <c r="K387" s="5">
        <v>0</v>
      </c>
      <c r="L387" s="5">
        <v>0</v>
      </c>
      <c r="M387" s="5">
        <v>0</v>
      </c>
      <c r="N387" s="5">
        <v>10300</v>
      </c>
      <c r="O387" s="5" t="str">
        <f t="shared" ref="O387:O450" ca="1" si="6">"Supplier "&amp;RANDBETWEEN(1,200)</f>
        <v>Supplier 177</v>
      </c>
      <c r="P387" s="20" t="str">
        <f ca="1">IFERROR(VLOOKUP(O387,EMAILS!B:C,2,FALSE),"NOT FOUND IN EMAILS")</f>
        <v>supplier@gmail.com</v>
      </c>
      <c r="Q387" t="str">
        <f ca="1">""&amp;IFERROR(VLOOKUP(O387,EMAILS!B:D,3,FALSE),"NOT FOUND IN EMAILS")</f>
        <v/>
      </c>
      <c r="R387" t="str">
        <f ca="1">""&amp;IFERROR(VLOOKUP(O387,EMAILS!B:E,4,FALSE),"NO T FOUND IN EMAILS")</f>
        <v/>
      </c>
    </row>
    <row r="388" spans="2:18" x14ac:dyDescent="0.25">
      <c r="B388" s="5" t="s">
        <v>390</v>
      </c>
      <c r="C388" s="5" t="s">
        <v>4530</v>
      </c>
      <c r="D388" s="5">
        <v>5870</v>
      </c>
      <c r="E388" s="5">
        <v>5450</v>
      </c>
      <c r="F388" s="5">
        <v>4490</v>
      </c>
      <c r="G388" s="5">
        <v>5290</v>
      </c>
      <c r="H388" s="5">
        <v>7490</v>
      </c>
      <c r="I388" s="5">
        <v>6740</v>
      </c>
      <c r="J388" s="5">
        <v>4170</v>
      </c>
      <c r="K388" s="5">
        <v>6740</v>
      </c>
      <c r="L388" s="5">
        <v>4490</v>
      </c>
      <c r="M388" s="5">
        <v>0</v>
      </c>
      <c r="N388" s="5">
        <v>50</v>
      </c>
      <c r="O388" s="5" t="str">
        <f t="shared" ca="1" si="6"/>
        <v>Supplier 4</v>
      </c>
      <c r="P388" s="20" t="str">
        <f ca="1">IFERROR(VLOOKUP(O388,EMAILS!B:C,2,FALSE),"NOT FOUND IN EMAILS")</f>
        <v>supplier@gmail.com</v>
      </c>
      <c r="Q388" t="str">
        <f ca="1">""&amp;IFERROR(VLOOKUP(O388,EMAILS!B:D,3,FALSE),"NOT FOUND IN EMAILS")</f>
        <v>supplier_logistics@gmail.com</v>
      </c>
      <c r="R388" t="str">
        <f ca="1">""&amp;IFERROR(VLOOKUP(O388,EMAILS!B:E,4,FALSE),"NO T FOUND IN EMAILS")</f>
        <v/>
      </c>
    </row>
    <row r="389" spans="2:18" x14ac:dyDescent="0.25">
      <c r="B389" s="5" t="s">
        <v>391</v>
      </c>
      <c r="C389" s="5" t="s">
        <v>4531</v>
      </c>
      <c r="D389" s="5">
        <v>0</v>
      </c>
      <c r="E389" s="5">
        <v>0</v>
      </c>
      <c r="F389" s="5">
        <v>0</v>
      </c>
      <c r="G389" s="5">
        <v>0</v>
      </c>
      <c r="H389" s="5">
        <v>0</v>
      </c>
      <c r="I389" s="5">
        <v>50</v>
      </c>
      <c r="J389" s="5">
        <v>0</v>
      </c>
      <c r="K389" s="5">
        <v>0</v>
      </c>
      <c r="L389" s="5">
        <v>0</v>
      </c>
      <c r="M389" s="5">
        <v>0</v>
      </c>
      <c r="N389" s="5">
        <v>165</v>
      </c>
      <c r="O389" s="5" t="str">
        <f t="shared" ca="1" si="6"/>
        <v>Supplier 7</v>
      </c>
      <c r="P389" s="20" t="str">
        <f ca="1">IFERROR(VLOOKUP(O389,EMAILS!B:C,2,FALSE),"NOT FOUND IN EMAILS")</f>
        <v>supplier@gmail.com</v>
      </c>
      <c r="Q389" t="str">
        <f ca="1">""&amp;IFERROR(VLOOKUP(O389,EMAILS!B:D,3,FALSE),"NOT FOUND IN EMAILS")</f>
        <v>supplier_logistics@gmail.com</v>
      </c>
      <c r="R389" t="str">
        <f ca="1">""&amp;IFERROR(VLOOKUP(O389,EMAILS!B:E,4,FALSE),"NO T FOUND IN EMAILS")</f>
        <v/>
      </c>
    </row>
    <row r="390" spans="2:18" x14ac:dyDescent="0.25">
      <c r="B390" s="5" t="s">
        <v>392</v>
      </c>
      <c r="C390" s="5" t="s">
        <v>4532</v>
      </c>
      <c r="D390" s="5">
        <v>0</v>
      </c>
      <c r="E390" s="5">
        <v>50</v>
      </c>
      <c r="F390" s="5">
        <v>0</v>
      </c>
      <c r="G390" s="5">
        <v>0</v>
      </c>
      <c r="H390" s="5">
        <v>50</v>
      </c>
      <c r="I390" s="5">
        <v>0</v>
      </c>
      <c r="J390" s="5">
        <v>0</v>
      </c>
      <c r="K390" s="5">
        <v>0</v>
      </c>
      <c r="L390" s="5">
        <v>0</v>
      </c>
      <c r="M390" s="5">
        <v>0</v>
      </c>
      <c r="N390" s="5">
        <v>450</v>
      </c>
      <c r="O390" s="5" t="str">
        <f t="shared" ca="1" si="6"/>
        <v>Supplier 157</v>
      </c>
      <c r="P390" s="20" t="str">
        <f ca="1">IFERROR(VLOOKUP(O390,EMAILS!B:C,2,FALSE),"NOT FOUND IN EMAILS")</f>
        <v>supplier@gmail.com</v>
      </c>
      <c r="Q390" t="str">
        <f ca="1">""&amp;IFERROR(VLOOKUP(O390,EMAILS!B:D,3,FALSE),"NOT FOUND IN EMAILS")</f>
        <v/>
      </c>
      <c r="R390" t="str">
        <f ca="1">""&amp;IFERROR(VLOOKUP(O390,EMAILS!B:E,4,FALSE),"NO T FOUND IN EMAILS")</f>
        <v/>
      </c>
    </row>
    <row r="391" spans="2:18" x14ac:dyDescent="0.25">
      <c r="B391" s="5" t="s">
        <v>393</v>
      </c>
      <c r="C391" s="5" t="s">
        <v>4533</v>
      </c>
      <c r="D391" s="5">
        <v>0</v>
      </c>
      <c r="E391" s="5">
        <v>0</v>
      </c>
      <c r="F391" s="5">
        <v>0</v>
      </c>
      <c r="G391" s="5">
        <v>0</v>
      </c>
      <c r="H391" s="5">
        <v>0</v>
      </c>
      <c r="I391" s="5">
        <v>0</v>
      </c>
      <c r="J391" s="5">
        <v>0</v>
      </c>
      <c r="K391" s="5">
        <v>0</v>
      </c>
      <c r="L391" s="5">
        <v>0</v>
      </c>
      <c r="M391" s="5">
        <v>0</v>
      </c>
      <c r="N391" s="5">
        <v>95</v>
      </c>
      <c r="O391" s="5" t="str">
        <f t="shared" ca="1" si="6"/>
        <v>Supplier 60</v>
      </c>
      <c r="P391" s="20" t="str">
        <f ca="1">IFERROR(VLOOKUP(O391,EMAILS!B:C,2,FALSE),"NOT FOUND IN EMAILS")</f>
        <v>supplier@gmail.com</v>
      </c>
      <c r="Q391" t="str">
        <f ca="1">""&amp;IFERROR(VLOOKUP(O391,EMAILS!B:D,3,FALSE),"NOT FOUND IN EMAILS")</f>
        <v/>
      </c>
      <c r="R391" t="str">
        <f ca="1">""&amp;IFERROR(VLOOKUP(O391,EMAILS!B:E,4,FALSE),"NO T FOUND IN EMAILS")</f>
        <v/>
      </c>
    </row>
    <row r="392" spans="2:18" x14ac:dyDescent="0.25">
      <c r="B392" s="5" t="s">
        <v>394</v>
      </c>
      <c r="C392" s="5" t="s">
        <v>4534</v>
      </c>
      <c r="D392" s="5">
        <v>2</v>
      </c>
      <c r="E392" s="5">
        <v>2</v>
      </c>
      <c r="F392" s="5">
        <v>2</v>
      </c>
      <c r="G392" s="5">
        <v>2</v>
      </c>
      <c r="H392" s="5">
        <v>2</v>
      </c>
      <c r="I392" s="5">
        <v>3</v>
      </c>
      <c r="J392" s="5">
        <v>2</v>
      </c>
      <c r="K392" s="5">
        <v>2</v>
      </c>
      <c r="L392" s="5">
        <v>2</v>
      </c>
      <c r="M392" s="5">
        <v>0</v>
      </c>
      <c r="N392" s="5">
        <v>166</v>
      </c>
      <c r="O392" s="5" t="str">
        <f t="shared" ca="1" si="6"/>
        <v>Supplier 185</v>
      </c>
      <c r="P392" s="20" t="str">
        <f ca="1">IFERROR(VLOOKUP(O392,EMAILS!B:C,2,FALSE),"NOT FOUND IN EMAILS")</f>
        <v>supplier@gmail.com</v>
      </c>
      <c r="Q392" t="str">
        <f ca="1">""&amp;IFERROR(VLOOKUP(O392,EMAILS!B:D,3,FALSE),"NOT FOUND IN EMAILS")</f>
        <v/>
      </c>
      <c r="R392" t="str">
        <f ca="1">""&amp;IFERROR(VLOOKUP(O392,EMAILS!B:E,4,FALSE),"NO T FOUND IN EMAILS")</f>
        <v/>
      </c>
    </row>
    <row r="393" spans="2:18" x14ac:dyDescent="0.25">
      <c r="B393" s="5" t="s">
        <v>395</v>
      </c>
      <c r="C393" s="5" t="s">
        <v>4535</v>
      </c>
      <c r="D393" s="5">
        <v>2</v>
      </c>
      <c r="E393" s="5">
        <v>2</v>
      </c>
      <c r="F393" s="5">
        <v>2</v>
      </c>
      <c r="G393" s="5">
        <v>2</v>
      </c>
      <c r="H393" s="5">
        <v>2</v>
      </c>
      <c r="I393" s="5">
        <v>3</v>
      </c>
      <c r="J393" s="5">
        <v>2</v>
      </c>
      <c r="K393" s="5">
        <v>2</v>
      </c>
      <c r="L393" s="5">
        <v>2</v>
      </c>
      <c r="M393" s="5">
        <v>0</v>
      </c>
      <c r="N393" s="5">
        <v>14</v>
      </c>
      <c r="O393" s="5" t="str">
        <f t="shared" ca="1" si="6"/>
        <v>Supplier 199</v>
      </c>
      <c r="P393" s="20" t="str">
        <f ca="1">IFERROR(VLOOKUP(O393,EMAILS!B:C,2,FALSE),"NOT FOUND IN EMAILS")</f>
        <v>supplier@gmail.com</v>
      </c>
      <c r="Q393" t="str">
        <f ca="1">""&amp;IFERROR(VLOOKUP(O393,EMAILS!B:D,3,FALSE),"NOT FOUND IN EMAILS")</f>
        <v/>
      </c>
      <c r="R393" t="str">
        <f ca="1">""&amp;IFERROR(VLOOKUP(O393,EMAILS!B:E,4,FALSE),"NO T FOUND IN EMAILS")</f>
        <v/>
      </c>
    </row>
    <row r="394" spans="2:18" x14ac:dyDescent="0.25">
      <c r="B394" s="5" t="s">
        <v>396</v>
      </c>
      <c r="C394" s="5" t="s">
        <v>4536</v>
      </c>
      <c r="D394" s="5">
        <v>0</v>
      </c>
      <c r="E394" s="5">
        <v>0</v>
      </c>
      <c r="F394" s="5">
        <v>0</v>
      </c>
      <c r="G394" s="5">
        <v>0</v>
      </c>
      <c r="H394" s="5">
        <v>0</v>
      </c>
      <c r="I394" s="5">
        <v>0</v>
      </c>
      <c r="J394" s="5">
        <v>1</v>
      </c>
      <c r="K394" s="5">
        <v>1</v>
      </c>
      <c r="L394" s="5">
        <v>1</v>
      </c>
      <c r="M394" s="5">
        <v>0</v>
      </c>
      <c r="N394" s="5">
        <v>30</v>
      </c>
      <c r="O394" s="5" t="str">
        <f t="shared" ca="1" si="6"/>
        <v>Supplier 140</v>
      </c>
      <c r="P394" s="20" t="str">
        <f ca="1">IFERROR(VLOOKUP(O394,EMAILS!B:C,2,FALSE),"NOT FOUND IN EMAILS")</f>
        <v>supplier@gmail.com</v>
      </c>
      <c r="Q394" t="str">
        <f ca="1">""&amp;IFERROR(VLOOKUP(O394,EMAILS!B:D,3,FALSE),"NOT FOUND IN EMAILS")</f>
        <v/>
      </c>
      <c r="R394" t="str">
        <f ca="1">""&amp;IFERROR(VLOOKUP(O394,EMAILS!B:E,4,FALSE),"NO T FOUND IN EMAILS")</f>
        <v/>
      </c>
    </row>
    <row r="395" spans="2:18" x14ac:dyDescent="0.25">
      <c r="B395" s="5" t="s">
        <v>397</v>
      </c>
      <c r="C395" s="5" t="s">
        <v>4537</v>
      </c>
      <c r="D395" s="5">
        <v>0</v>
      </c>
      <c r="E395" s="5">
        <v>0</v>
      </c>
      <c r="F395" s="5">
        <v>0</v>
      </c>
      <c r="G395" s="5">
        <v>0</v>
      </c>
      <c r="H395" s="5">
        <v>0</v>
      </c>
      <c r="I395" s="5">
        <v>0</v>
      </c>
      <c r="J395" s="5">
        <v>1</v>
      </c>
      <c r="K395" s="5">
        <v>1</v>
      </c>
      <c r="L395" s="5">
        <v>1</v>
      </c>
      <c r="M395" s="5">
        <v>0</v>
      </c>
      <c r="N395" s="5">
        <v>38</v>
      </c>
      <c r="O395" s="5" t="str">
        <f t="shared" ca="1" si="6"/>
        <v>Supplier 155</v>
      </c>
      <c r="P395" s="20" t="str">
        <f ca="1">IFERROR(VLOOKUP(O395,EMAILS!B:C,2,FALSE),"NOT FOUND IN EMAILS")</f>
        <v>supplier@gmail.com</v>
      </c>
      <c r="Q395" t="str">
        <f ca="1">""&amp;IFERROR(VLOOKUP(O395,EMAILS!B:D,3,FALSE),"NOT FOUND IN EMAILS")</f>
        <v/>
      </c>
      <c r="R395" t="str">
        <f ca="1">""&amp;IFERROR(VLOOKUP(O395,EMAILS!B:E,4,FALSE),"NO T FOUND IN EMAILS")</f>
        <v/>
      </c>
    </row>
    <row r="396" spans="2:18" x14ac:dyDescent="0.25">
      <c r="B396" s="5" t="s">
        <v>398</v>
      </c>
      <c r="C396" s="5" t="s">
        <v>4538</v>
      </c>
      <c r="D396" s="5">
        <v>0</v>
      </c>
      <c r="E396" s="5">
        <v>0</v>
      </c>
      <c r="F396" s="5">
        <v>0</v>
      </c>
      <c r="G396" s="5">
        <v>0</v>
      </c>
      <c r="H396" s="5">
        <v>0</v>
      </c>
      <c r="I396" s="5">
        <v>0</v>
      </c>
      <c r="J396" s="5">
        <v>1</v>
      </c>
      <c r="K396" s="5">
        <v>1</v>
      </c>
      <c r="L396" s="5">
        <v>1</v>
      </c>
      <c r="M396" s="5">
        <v>0</v>
      </c>
      <c r="N396" s="5">
        <v>70</v>
      </c>
      <c r="O396" s="5" t="str">
        <f t="shared" ca="1" si="6"/>
        <v>Supplier 99</v>
      </c>
      <c r="P396" s="20" t="str">
        <f ca="1">IFERROR(VLOOKUP(O396,EMAILS!B:C,2,FALSE),"NOT FOUND IN EMAILS")</f>
        <v>supplier@gmail.com</v>
      </c>
      <c r="Q396" t="str">
        <f ca="1">""&amp;IFERROR(VLOOKUP(O396,EMAILS!B:D,3,FALSE),"NOT FOUND IN EMAILS")</f>
        <v/>
      </c>
      <c r="R396" t="str">
        <f ca="1">""&amp;IFERROR(VLOOKUP(O396,EMAILS!B:E,4,FALSE),"NO T FOUND IN EMAILS")</f>
        <v/>
      </c>
    </row>
    <row r="397" spans="2:18" x14ac:dyDescent="0.25">
      <c r="B397" s="5" t="s">
        <v>399</v>
      </c>
      <c r="C397" s="5" t="s">
        <v>4539</v>
      </c>
      <c r="D397" s="5">
        <v>0</v>
      </c>
      <c r="E397" s="5">
        <v>0</v>
      </c>
      <c r="F397" s="5">
        <v>0</v>
      </c>
      <c r="G397" s="5">
        <v>0</v>
      </c>
      <c r="H397" s="5">
        <v>0</v>
      </c>
      <c r="I397" s="5">
        <v>0</v>
      </c>
      <c r="J397" s="5">
        <v>1</v>
      </c>
      <c r="K397" s="5">
        <v>1</v>
      </c>
      <c r="L397" s="5">
        <v>1</v>
      </c>
      <c r="M397" s="5">
        <v>0</v>
      </c>
      <c r="N397" s="5">
        <v>300</v>
      </c>
      <c r="O397" s="5" t="str">
        <f t="shared" ca="1" si="6"/>
        <v>Supplier 19</v>
      </c>
      <c r="P397" s="20" t="str">
        <f ca="1">IFERROR(VLOOKUP(O397,EMAILS!B:C,2,FALSE),"NOT FOUND IN EMAILS")</f>
        <v>supplier@gmail.com</v>
      </c>
      <c r="Q397" t="str">
        <f ca="1">""&amp;IFERROR(VLOOKUP(O397,EMAILS!B:D,3,FALSE),"NOT FOUND IN EMAILS")</f>
        <v>supplier_logistics@gmail.com</v>
      </c>
      <c r="R397" t="str">
        <f ca="1">""&amp;IFERROR(VLOOKUP(O397,EMAILS!B:E,4,FALSE),"NO T FOUND IN EMAILS")</f>
        <v/>
      </c>
    </row>
    <row r="398" spans="2:18" x14ac:dyDescent="0.25">
      <c r="B398" s="5" t="s">
        <v>400</v>
      </c>
      <c r="C398" s="5" t="s">
        <v>4540</v>
      </c>
      <c r="D398" s="5">
        <v>0</v>
      </c>
      <c r="E398" s="5">
        <v>0</v>
      </c>
      <c r="F398" s="5">
        <v>0</v>
      </c>
      <c r="G398" s="5">
        <v>0</v>
      </c>
      <c r="H398" s="5">
        <v>0</v>
      </c>
      <c r="I398" s="5">
        <v>0</v>
      </c>
      <c r="J398" s="5">
        <v>4</v>
      </c>
      <c r="K398" s="5">
        <v>4</v>
      </c>
      <c r="L398" s="5">
        <v>4</v>
      </c>
      <c r="M398" s="5">
        <v>0</v>
      </c>
      <c r="N398" s="5">
        <v>0</v>
      </c>
      <c r="O398" s="5" t="str">
        <f t="shared" ca="1" si="6"/>
        <v>Supplier 41</v>
      </c>
      <c r="P398" s="20" t="str">
        <f ca="1">IFERROR(VLOOKUP(O398,EMAILS!B:C,2,FALSE),"NOT FOUND IN EMAILS")</f>
        <v>supplier@gmail.com</v>
      </c>
      <c r="Q398" t="str">
        <f ca="1">""&amp;IFERROR(VLOOKUP(O398,EMAILS!B:D,3,FALSE),"NOT FOUND IN EMAILS")</f>
        <v/>
      </c>
      <c r="R398" t="str">
        <f ca="1">""&amp;IFERROR(VLOOKUP(O398,EMAILS!B:E,4,FALSE),"NO T FOUND IN EMAILS")</f>
        <v/>
      </c>
    </row>
    <row r="399" spans="2:18" x14ac:dyDescent="0.25">
      <c r="B399" s="5" t="s">
        <v>401</v>
      </c>
      <c r="C399" s="5" t="s">
        <v>4541</v>
      </c>
      <c r="D399" s="5">
        <v>0</v>
      </c>
      <c r="E399" s="5">
        <v>0</v>
      </c>
      <c r="F399" s="5">
        <v>0</v>
      </c>
      <c r="G399" s="5">
        <v>0</v>
      </c>
      <c r="H399" s="5">
        <v>0</v>
      </c>
      <c r="I399" s="5">
        <v>0</v>
      </c>
      <c r="J399" s="5">
        <v>4</v>
      </c>
      <c r="K399" s="5">
        <v>4</v>
      </c>
      <c r="L399" s="5">
        <v>4</v>
      </c>
      <c r="M399" s="5">
        <v>0</v>
      </c>
      <c r="N399" s="5">
        <v>64</v>
      </c>
      <c r="O399" s="5" t="str">
        <f t="shared" ca="1" si="6"/>
        <v>Supplier 160</v>
      </c>
      <c r="P399" s="20" t="str">
        <f ca="1">IFERROR(VLOOKUP(O399,EMAILS!B:C,2,FALSE),"NOT FOUND IN EMAILS")</f>
        <v>supplier@gmail.com</v>
      </c>
      <c r="Q399" t="str">
        <f ca="1">""&amp;IFERROR(VLOOKUP(O399,EMAILS!B:D,3,FALSE),"NOT FOUND IN EMAILS")</f>
        <v/>
      </c>
      <c r="R399" t="str">
        <f ca="1">""&amp;IFERROR(VLOOKUP(O399,EMAILS!B:E,4,FALSE),"NO T FOUND IN EMAILS")</f>
        <v/>
      </c>
    </row>
    <row r="400" spans="2:18" x14ac:dyDescent="0.25">
      <c r="B400" s="5" t="s">
        <v>402</v>
      </c>
      <c r="C400" s="5" t="s">
        <v>4542</v>
      </c>
      <c r="D400" s="5">
        <v>2</v>
      </c>
      <c r="E400" s="5">
        <v>2</v>
      </c>
      <c r="F400" s="5">
        <v>2</v>
      </c>
      <c r="G400" s="5">
        <v>2</v>
      </c>
      <c r="H400" s="5">
        <v>2</v>
      </c>
      <c r="I400" s="5">
        <v>3</v>
      </c>
      <c r="J400" s="5">
        <v>2</v>
      </c>
      <c r="K400" s="5">
        <v>2</v>
      </c>
      <c r="L400" s="5">
        <v>2</v>
      </c>
      <c r="M400" s="5">
        <v>0</v>
      </c>
      <c r="N400" s="5">
        <v>50</v>
      </c>
      <c r="O400" s="5" t="str">
        <f t="shared" ca="1" si="6"/>
        <v>Supplier 178</v>
      </c>
      <c r="P400" s="20" t="str">
        <f ca="1">IFERROR(VLOOKUP(O400,EMAILS!B:C,2,FALSE),"NOT FOUND IN EMAILS")</f>
        <v>supplier@gmail.com</v>
      </c>
      <c r="Q400" t="str">
        <f ca="1">""&amp;IFERROR(VLOOKUP(O400,EMAILS!B:D,3,FALSE),"NOT FOUND IN EMAILS")</f>
        <v/>
      </c>
      <c r="R400" t="str">
        <f ca="1">""&amp;IFERROR(VLOOKUP(O400,EMAILS!B:E,4,FALSE),"NO T FOUND IN EMAILS")</f>
        <v/>
      </c>
    </row>
    <row r="401" spans="2:18" x14ac:dyDescent="0.25">
      <c r="B401" s="5" t="s">
        <v>403</v>
      </c>
      <c r="C401" s="5" t="s">
        <v>4543</v>
      </c>
      <c r="D401" s="5">
        <v>2</v>
      </c>
      <c r="E401" s="5">
        <v>2</v>
      </c>
      <c r="F401" s="5">
        <v>2</v>
      </c>
      <c r="G401" s="5">
        <v>2</v>
      </c>
      <c r="H401" s="5">
        <v>2</v>
      </c>
      <c r="I401" s="5">
        <v>3</v>
      </c>
      <c r="J401" s="5">
        <v>2</v>
      </c>
      <c r="K401" s="5">
        <v>2</v>
      </c>
      <c r="L401" s="5">
        <v>2</v>
      </c>
      <c r="M401" s="5">
        <v>0</v>
      </c>
      <c r="N401" s="5">
        <v>20</v>
      </c>
      <c r="O401" s="5" t="str">
        <f t="shared" ca="1" si="6"/>
        <v>Supplier 30</v>
      </c>
      <c r="P401" s="20" t="str">
        <f ca="1">IFERROR(VLOOKUP(O401,EMAILS!B:C,2,FALSE),"NOT FOUND IN EMAILS")</f>
        <v>supplier@gmail.com</v>
      </c>
      <c r="Q401" t="str">
        <f ca="1">""&amp;IFERROR(VLOOKUP(O401,EMAILS!B:D,3,FALSE),"NOT FOUND IN EMAILS")</f>
        <v/>
      </c>
      <c r="R401" t="str">
        <f ca="1">""&amp;IFERROR(VLOOKUP(O401,EMAILS!B:E,4,FALSE),"NO T FOUND IN EMAILS")</f>
        <v/>
      </c>
    </row>
    <row r="402" spans="2:18" x14ac:dyDescent="0.25">
      <c r="B402" s="5" t="s">
        <v>404</v>
      </c>
      <c r="C402" s="5" t="s">
        <v>4544</v>
      </c>
      <c r="D402" s="5">
        <v>0</v>
      </c>
      <c r="E402" s="5">
        <v>0</v>
      </c>
      <c r="F402" s="5">
        <v>0</v>
      </c>
      <c r="G402" s="5">
        <v>0</v>
      </c>
      <c r="H402" s="5">
        <v>0</v>
      </c>
      <c r="I402" s="5">
        <v>0</v>
      </c>
      <c r="J402" s="5">
        <v>4</v>
      </c>
      <c r="K402" s="5">
        <v>4</v>
      </c>
      <c r="L402" s="5">
        <v>4</v>
      </c>
      <c r="M402" s="5">
        <v>0</v>
      </c>
      <c r="N402" s="5">
        <v>9600</v>
      </c>
      <c r="O402" s="5" t="str">
        <f t="shared" ca="1" si="6"/>
        <v>Supplier 58</v>
      </c>
      <c r="P402" s="20" t="str">
        <f ca="1">IFERROR(VLOOKUP(O402,EMAILS!B:C,2,FALSE),"NOT FOUND IN EMAILS")</f>
        <v>supplier@gmail.com</v>
      </c>
      <c r="Q402" t="str">
        <f ca="1">""&amp;IFERROR(VLOOKUP(O402,EMAILS!B:D,3,FALSE),"NOT FOUND IN EMAILS")</f>
        <v/>
      </c>
      <c r="R402" t="str">
        <f ca="1">""&amp;IFERROR(VLOOKUP(O402,EMAILS!B:E,4,FALSE),"NO T FOUND IN EMAILS")</f>
        <v/>
      </c>
    </row>
    <row r="403" spans="2:18" x14ac:dyDescent="0.25">
      <c r="B403" s="5" t="s">
        <v>405</v>
      </c>
      <c r="C403" s="5" t="s">
        <v>4545</v>
      </c>
      <c r="D403" s="5">
        <v>0</v>
      </c>
      <c r="E403" s="5">
        <v>0</v>
      </c>
      <c r="F403" s="5">
        <v>0</v>
      </c>
      <c r="G403" s="5">
        <v>0</v>
      </c>
      <c r="H403" s="5">
        <v>0</v>
      </c>
      <c r="I403" s="5">
        <v>0</v>
      </c>
      <c r="J403" s="5">
        <v>0</v>
      </c>
      <c r="K403" s="5">
        <v>0</v>
      </c>
      <c r="L403" s="5">
        <v>0</v>
      </c>
      <c r="M403" s="5">
        <v>0</v>
      </c>
      <c r="N403" s="5">
        <v>62</v>
      </c>
      <c r="O403" s="5" t="str">
        <f t="shared" ca="1" si="6"/>
        <v>Supplier 152</v>
      </c>
      <c r="P403" s="20" t="str">
        <f ca="1">IFERROR(VLOOKUP(O403,EMAILS!B:C,2,FALSE),"NOT FOUND IN EMAILS")</f>
        <v>supplier@gmail.com</v>
      </c>
      <c r="Q403" t="str">
        <f ca="1">""&amp;IFERROR(VLOOKUP(O403,EMAILS!B:D,3,FALSE),"NOT FOUND IN EMAILS")</f>
        <v/>
      </c>
      <c r="R403" t="str">
        <f ca="1">""&amp;IFERROR(VLOOKUP(O403,EMAILS!B:E,4,FALSE),"NO T FOUND IN EMAILS")</f>
        <v/>
      </c>
    </row>
    <row r="404" spans="2:18" x14ac:dyDescent="0.25">
      <c r="B404" s="5" t="s">
        <v>406</v>
      </c>
      <c r="C404" s="5" t="s">
        <v>4546</v>
      </c>
      <c r="D404" s="5">
        <v>0</v>
      </c>
      <c r="E404" s="5">
        <v>40</v>
      </c>
      <c r="F404" s="5">
        <v>0</v>
      </c>
      <c r="G404" s="5">
        <v>0</v>
      </c>
      <c r="H404" s="5">
        <v>0</v>
      </c>
      <c r="I404" s="5">
        <v>0</v>
      </c>
      <c r="J404" s="5">
        <v>0</v>
      </c>
      <c r="K404" s="5">
        <v>0</v>
      </c>
      <c r="L404" s="5">
        <v>0</v>
      </c>
      <c r="M404" s="5">
        <v>0</v>
      </c>
      <c r="N404" s="5">
        <v>659</v>
      </c>
      <c r="O404" s="5" t="str">
        <f t="shared" ca="1" si="6"/>
        <v>Supplier 31</v>
      </c>
      <c r="P404" s="20" t="str">
        <f ca="1">IFERROR(VLOOKUP(O404,EMAILS!B:C,2,FALSE),"NOT FOUND IN EMAILS")</f>
        <v>supplier@gmail.com</v>
      </c>
      <c r="Q404" t="str">
        <f ca="1">""&amp;IFERROR(VLOOKUP(O404,EMAILS!B:D,3,FALSE),"NOT FOUND IN EMAILS")</f>
        <v/>
      </c>
      <c r="R404" t="str">
        <f ca="1">""&amp;IFERROR(VLOOKUP(O404,EMAILS!B:E,4,FALSE),"NO T FOUND IN EMAILS")</f>
        <v/>
      </c>
    </row>
    <row r="405" spans="2:18" x14ac:dyDescent="0.25">
      <c r="B405" s="5" t="s">
        <v>407</v>
      </c>
      <c r="C405" s="5" t="s">
        <v>4547</v>
      </c>
      <c r="D405" s="5">
        <v>0</v>
      </c>
      <c r="E405" s="5">
        <v>40</v>
      </c>
      <c r="F405" s="5">
        <v>0</v>
      </c>
      <c r="G405" s="5">
        <v>0</v>
      </c>
      <c r="H405" s="5">
        <v>0</v>
      </c>
      <c r="I405" s="5">
        <v>0</v>
      </c>
      <c r="J405" s="5">
        <v>0</v>
      </c>
      <c r="K405" s="5">
        <v>0</v>
      </c>
      <c r="L405" s="5">
        <v>0</v>
      </c>
      <c r="M405" s="5">
        <v>0</v>
      </c>
      <c r="N405" s="5">
        <v>1010</v>
      </c>
      <c r="O405" s="5" t="str">
        <f t="shared" ca="1" si="6"/>
        <v>Supplier 196</v>
      </c>
      <c r="P405" s="20" t="str">
        <f ca="1">IFERROR(VLOOKUP(O405,EMAILS!B:C,2,FALSE),"NOT FOUND IN EMAILS")</f>
        <v>supplier@gmail.com</v>
      </c>
      <c r="Q405" t="str">
        <f ca="1">""&amp;IFERROR(VLOOKUP(O405,EMAILS!B:D,3,FALSE),"NOT FOUND IN EMAILS")</f>
        <v/>
      </c>
      <c r="R405" t="str">
        <f ca="1">""&amp;IFERROR(VLOOKUP(O405,EMAILS!B:E,4,FALSE),"NO T FOUND IN EMAILS")</f>
        <v/>
      </c>
    </row>
    <row r="406" spans="2:18" x14ac:dyDescent="0.25">
      <c r="B406" s="5" t="s">
        <v>408</v>
      </c>
      <c r="C406" s="5" t="s">
        <v>4548</v>
      </c>
      <c r="D406" s="5">
        <v>0</v>
      </c>
      <c r="E406" s="5">
        <v>0</v>
      </c>
      <c r="F406" s="5">
        <v>25</v>
      </c>
      <c r="G406" s="5">
        <v>0</v>
      </c>
      <c r="H406" s="5">
        <v>25</v>
      </c>
      <c r="I406" s="5">
        <v>25</v>
      </c>
      <c r="J406" s="5">
        <v>70</v>
      </c>
      <c r="K406" s="5">
        <v>0</v>
      </c>
      <c r="L406" s="5">
        <v>0</v>
      </c>
      <c r="M406" s="5">
        <v>0</v>
      </c>
      <c r="N406" s="5">
        <v>21</v>
      </c>
      <c r="O406" s="5" t="str">
        <f t="shared" ca="1" si="6"/>
        <v>Supplier 77</v>
      </c>
      <c r="P406" s="20" t="str">
        <f ca="1">IFERROR(VLOOKUP(O406,EMAILS!B:C,2,FALSE),"NOT FOUND IN EMAILS")</f>
        <v>supplier@gmail.com</v>
      </c>
      <c r="Q406" t="str">
        <f ca="1">""&amp;IFERROR(VLOOKUP(O406,EMAILS!B:D,3,FALSE),"NOT FOUND IN EMAILS")</f>
        <v/>
      </c>
      <c r="R406" t="str">
        <f ca="1">""&amp;IFERROR(VLOOKUP(O406,EMAILS!B:E,4,FALSE),"NO T FOUND IN EMAILS")</f>
        <v/>
      </c>
    </row>
    <row r="407" spans="2:18" x14ac:dyDescent="0.25">
      <c r="B407" s="5" t="s">
        <v>409</v>
      </c>
      <c r="C407" s="5" t="s">
        <v>4549</v>
      </c>
      <c r="D407" s="5">
        <v>0</v>
      </c>
      <c r="E407" s="5">
        <v>0</v>
      </c>
      <c r="F407" s="5">
        <v>0</v>
      </c>
      <c r="G407" s="5">
        <v>0</v>
      </c>
      <c r="H407" s="5">
        <v>0</v>
      </c>
      <c r="I407" s="5">
        <v>0</v>
      </c>
      <c r="J407" s="5">
        <v>0</v>
      </c>
      <c r="K407" s="5">
        <v>0</v>
      </c>
      <c r="L407" s="5">
        <v>0</v>
      </c>
      <c r="M407" s="5">
        <v>0</v>
      </c>
      <c r="N407" s="5">
        <v>44</v>
      </c>
      <c r="O407" s="5" t="str">
        <f t="shared" ca="1" si="6"/>
        <v>Supplier 72</v>
      </c>
      <c r="P407" s="20" t="str">
        <f ca="1">IFERROR(VLOOKUP(O407,EMAILS!B:C,2,FALSE),"NOT FOUND IN EMAILS")</f>
        <v>supplier@gmail.com</v>
      </c>
      <c r="Q407" t="str">
        <f ca="1">""&amp;IFERROR(VLOOKUP(O407,EMAILS!B:D,3,FALSE),"NOT FOUND IN EMAILS")</f>
        <v/>
      </c>
      <c r="R407" t="str">
        <f ca="1">""&amp;IFERROR(VLOOKUP(O407,EMAILS!B:E,4,FALSE),"NO T FOUND IN EMAILS")</f>
        <v/>
      </c>
    </row>
    <row r="408" spans="2:18" x14ac:dyDescent="0.25">
      <c r="B408" s="5" t="s">
        <v>410</v>
      </c>
      <c r="C408" s="5" t="s">
        <v>4550</v>
      </c>
      <c r="D408" s="5">
        <v>0</v>
      </c>
      <c r="E408" s="5">
        <v>0</v>
      </c>
      <c r="F408" s="5">
        <v>0</v>
      </c>
      <c r="G408" s="5">
        <v>4</v>
      </c>
      <c r="H408" s="5">
        <v>4</v>
      </c>
      <c r="I408" s="5">
        <v>4</v>
      </c>
      <c r="J408" s="5">
        <v>0</v>
      </c>
      <c r="K408" s="5">
        <v>4</v>
      </c>
      <c r="L408" s="5">
        <v>4</v>
      </c>
      <c r="M408" s="5">
        <v>0</v>
      </c>
      <c r="N408" s="5">
        <v>65</v>
      </c>
      <c r="O408" s="5" t="str">
        <f t="shared" ca="1" si="6"/>
        <v>Supplier 189</v>
      </c>
      <c r="P408" s="20" t="str">
        <f ca="1">IFERROR(VLOOKUP(O408,EMAILS!B:C,2,FALSE),"NOT FOUND IN EMAILS")</f>
        <v>supplier@gmail.com</v>
      </c>
      <c r="Q408" t="str">
        <f ca="1">""&amp;IFERROR(VLOOKUP(O408,EMAILS!B:D,3,FALSE),"NOT FOUND IN EMAILS")</f>
        <v/>
      </c>
      <c r="R408" t="str">
        <f ca="1">""&amp;IFERROR(VLOOKUP(O408,EMAILS!B:E,4,FALSE),"NO T FOUND IN EMAILS")</f>
        <v/>
      </c>
    </row>
    <row r="409" spans="2:18" x14ac:dyDescent="0.25">
      <c r="B409" s="5" t="s">
        <v>411</v>
      </c>
      <c r="C409" s="5" t="s">
        <v>4551</v>
      </c>
      <c r="D409" s="5">
        <v>0</v>
      </c>
      <c r="E409" s="5">
        <v>0</v>
      </c>
      <c r="F409" s="5">
        <v>0</v>
      </c>
      <c r="G409" s="5">
        <v>4</v>
      </c>
      <c r="H409" s="5">
        <v>4</v>
      </c>
      <c r="I409" s="5">
        <v>4</v>
      </c>
      <c r="J409" s="5">
        <v>0</v>
      </c>
      <c r="K409" s="5">
        <v>4</v>
      </c>
      <c r="L409" s="5">
        <v>4</v>
      </c>
      <c r="M409" s="5">
        <v>0</v>
      </c>
      <c r="N409" s="5">
        <v>2</v>
      </c>
      <c r="O409" s="5" t="str">
        <f t="shared" ca="1" si="6"/>
        <v>Supplier 164</v>
      </c>
      <c r="P409" s="20" t="str">
        <f ca="1">IFERROR(VLOOKUP(O409,EMAILS!B:C,2,FALSE),"NOT FOUND IN EMAILS")</f>
        <v>supplier@gmail.com</v>
      </c>
      <c r="Q409" t="str">
        <f ca="1">""&amp;IFERROR(VLOOKUP(O409,EMAILS!B:D,3,FALSE),"NOT FOUND IN EMAILS")</f>
        <v/>
      </c>
      <c r="R409" t="str">
        <f ca="1">""&amp;IFERROR(VLOOKUP(O409,EMAILS!B:E,4,FALSE),"NO T FOUND IN EMAILS")</f>
        <v/>
      </c>
    </row>
    <row r="410" spans="2:18" x14ac:dyDescent="0.25">
      <c r="B410" s="5" t="s">
        <v>412</v>
      </c>
      <c r="C410" s="5" t="s">
        <v>4552</v>
      </c>
      <c r="D410" s="5">
        <v>0</v>
      </c>
      <c r="E410" s="5">
        <v>0</v>
      </c>
      <c r="F410" s="5">
        <v>2</v>
      </c>
      <c r="G410" s="5">
        <v>0</v>
      </c>
      <c r="H410" s="5">
        <v>0</v>
      </c>
      <c r="I410" s="5">
        <v>0</v>
      </c>
      <c r="J410" s="5">
        <v>0</v>
      </c>
      <c r="K410" s="5">
        <v>0</v>
      </c>
      <c r="L410" s="5">
        <v>0</v>
      </c>
      <c r="M410" s="5">
        <v>0</v>
      </c>
      <c r="N410" s="5">
        <v>4</v>
      </c>
      <c r="O410" s="5" t="str">
        <f t="shared" ca="1" si="6"/>
        <v>Supplier 13</v>
      </c>
      <c r="P410" s="20" t="str">
        <f ca="1">IFERROR(VLOOKUP(O410,EMAILS!B:C,2,FALSE),"NOT FOUND IN EMAILS")</f>
        <v>supplier@gmail.com</v>
      </c>
      <c r="Q410" t="str">
        <f ca="1">""&amp;IFERROR(VLOOKUP(O410,EMAILS!B:D,3,FALSE),"NOT FOUND IN EMAILS")</f>
        <v>supplier_logistics@gmail.com</v>
      </c>
      <c r="R410" t="str">
        <f ca="1">""&amp;IFERROR(VLOOKUP(O410,EMAILS!B:E,4,FALSE),"NO T FOUND IN EMAILS")</f>
        <v/>
      </c>
    </row>
    <row r="411" spans="2:18" x14ac:dyDescent="0.25">
      <c r="B411" s="5" t="s">
        <v>413</v>
      </c>
      <c r="C411" s="5" t="s">
        <v>4553</v>
      </c>
      <c r="D411" s="5">
        <v>0</v>
      </c>
      <c r="E411" s="5">
        <v>0</v>
      </c>
      <c r="F411" s="5">
        <v>1</v>
      </c>
      <c r="G411" s="5">
        <v>0</v>
      </c>
      <c r="H411" s="5">
        <v>0</v>
      </c>
      <c r="I411" s="5">
        <v>0</v>
      </c>
      <c r="J411" s="5">
        <v>0</v>
      </c>
      <c r="K411" s="5">
        <v>0</v>
      </c>
      <c r="L411" s="5">
        <v>0</v>
      </c>
      <c r="M411" s="5">
        <v>0</v>
      </c>
      <c r="N411" s="5">
        <v>0</v>
      </c>
      <c r="O411" s="5" t="str">
        <f t="shared" ca="1" si="6"/>
        <v>Supplier 153</v>
      </c>
      <c r="P411" s="20" t="str">
        <f ca="1">IFERROR(VLOOKUP(O411,EMAILS!B:C,2,FALSE),"NOT FOUND IN EMAILS")</f>
        <v>supplier@gmail.com</v>
      </c>
      <c r="Q411" t="str">
        <f ca="1">""&amp;IFERROR(VLOOKUP(O411,EMAILS!B:D,3,FALSE),"NOT FOUND IN EMAILS")</f>
        <v/>
      </c>
      <c r="R411" t="str">
        <f ca="1">""&amp;IFERROR(VLOOKUP(O411,EMAILS!B:E,4,FALSE),"NO T FOUND IN EMAILS")</f>
        <v/>
      </c>
    </row>
    <row r="412" spans="2:18" x14ac:dyDescent="0.25">
      <c r="B412" s="5" t="s">
        <v>414</v>
      </c>
      <c r="C412" s="5" t="s">
        <v>4554</v>
      </c>
      <c r="D412" s="5">
        <v>0</v>
      </c>
      <c r="E412" s="5">
        <v>0</v>
      </c>
      <c r="F412" s="5">
        <v>0</v>
      </c>
      <c r="G412" s="5">
        <v>0</v>
      </c>
      <c r="H412" s="5">
        <v>0</v>
      </c>
      <c r="I412" s="5">
        <v>0</v>
      </c>
      <c r="J412" s="5">
        <v>0</v>
      </c>
      <c r="K412" s="5">
        <v>0</v>
      </c>
      <c r="L412" s="5">
        <v>0</v>
      </c>
      <c r="M412" s="5">
        <v>0</v>
      </c>
      <c r="N412" s="5">
        <v>0</v>
      </c>
      <c r="O412" s="5" t="str">
        <f t="shared" ca="1" si="6"/>
        <v>Supplier 74</v>
      </c>
      <c r="P412" s="20" t="str">
        <f ca="1">IFERROR(VLOOKUP(O412,EMAILS!B:C,2,FALSE),"NOT FOUND IN EMAILS")</f>
        <v>supplier@gmail.com</v>
      </c>
      <c r="Q412" t="str">
        <f ca="1">""&amp;IFERROR(VLOOKUP(O412,EMAILS!B:D,3,FALSE),"NOT FOUND IN EMAILS")</f>
        <v/>
      </c>
      <c r="R412" t="str">
        <f ca="1">""&amp;IFERROR(VLOOKUP(O412,EMAILS!B:E,4,FALSE),"NO T FOUND IN EMAILS")</f>
        <v/>
      </c>
    </row>
    <row r="413" spans="2:18" x14ac:dyDescent="0.25">
      <c r="B413" s="5" t="s">
        <v>415</v>
      </c>
      <c r="C413" s="5" t="s">
        <v>4555</v>
      </c>
      <c r="D413" s="5">
        <v>0</v>
      </c>
      <c r="E413" s="5">
        <v>0</v>
      </c>
      <c r="F413" s="5">
        <v>0</v>
      </c>
      <c r="G413" s="5">
        <v>0</v>
      </c>
      <c r="H413" s="5">
        <v>0</v>
      </c>
      <c r="I413" s="5">
        <v>0</v>
      </c>
      <c r="J413" s="5">
        <v>0</v>
      </c>
      <c r="K413" s="5">
        <v>0</v>
      </c>
      <c r="L413" s="5">
        <v>0</v>
      </c>
      <c r="M413" s="5">
        <v>0</v>
      </c>
      <c r="N413" s="5">
        <v>4</v>
      </c>
      <c r="O413" s="5" t="str">
        <f t="shared" ca="1" si="6"/>
        <v>Supplier 95</v>
      </c>
      <c r="P413" s="20" t="str">
        <f ca="1">IFERROR(VLOOKUP(O413,EMAILS!B:C,2,FALSE),"NOT FOUND IN EMAILS")</f>
        <v>supplier@gmail.com</v>
      </c>
      <c r="Q413" t="str">
        <f ca="1">""&amp;IFERROR(VLOOKUP(O413,EMAILS!B:D,3,FALSE),"NOT FOUND IN EMAILS")</f>
        <v/>
      </c>
      <c r="R413" t="str">
        <f ca="1">""&amp;IFERROR(VLOOKUP(O413,EMAILS!B:E,4,FALSE),"NO T FOUND IN EMAILS")</f>
        <v/>
      </c>
    </row>
    <row r="414" spans="2:18" x14ac:dyDescent="0.25">
      <c r="B414" s="5" t="s">
        <v>416</v>
      </c>
      <c r="C414" s="5" t="s">
        <v>4556</v>
      </c>
      <c r="D414" s="5">
        <v>0</v>
      </c>
      <c r="E414" s="5">
        <v>0</v>
      </c>
      <c r="F414" s="5">
        <v>0</v>
      </c>
      <c r="G414" s="5">
        <v>2</v>
      </c>
      <c r="H414" s="5">
        <v>0</v>
      </c>
      <c r="I414" s="5">
        <v>0</v>
      </c>
      <c r="J414" s="5">
        <v>0</v>
      </c>
      <c r="K414" s="5">
        <v>0</v>
      </c>
      <c r="L414" s="5">
        <v>0</v>
      </c>
      <c r="M414" s="5">
        <v>0</v>
      </c>
      <c r="N414" s="5">
        <v>1</v>
      </c>
      <c r="O414" s="5" t="str">
        <f t="shared" ca="1" si="6"/>
        <v>Supplier 16</v>
      </c>
      <c r="P414" s="20" t="str">
        <f ca="1">IFERROR(VLOOKUP(O414,EMAILS!B:C,2,FALSE),"NOT FOUND IN EMAILS")</f>
        <v>supplier@gmail.com</v>
      </c>
      <c r="Q414" t="str">
        <f ca="1">""&amp;IFERROR(VLOOKUP(O414,EMAILS!B:D,3,FALSE),"NOT FOUND IN EMAILS")</f>
        <v>supplier_logistics@gmail.com</v>
      </c>
      <c r="R414" t="str">
        <f ca="1">""&amp;IFERROR(VLOOKUP(O414,EMAILS!B:E,4,FALSE),"NO T FOUND IN EMAILS")</f>
        <v/>
      </c>
    </row>
    <row r="415" spans="2:18" x14ac:dyDescent="0.25">
      <c r="B415" s="5" t="s">
        <v>417</v>
      </c>
      <c r="C415" s="5" t="s">
        <v>4557</v>
      </c>
      <c r="D415" s="5">
        <v>0</v>
      </c>
      <c r="E415" s="5">
        <v>0</v>
      </c>
      <c r="F415" s="5">
        <v>0</v>
      </c>
      <c r="G415" s="5">
        <v>0</v>
      </c>
      <c r="H415" s="5">
        <v>0</v>
      </c>
      <c r="I415" s="5">
        <v>0</v>
      </c>
      <c r="J415" s="5">
        <v>0</v>
      </c>
      <c r="K415" s="5">
        <v>0</v>
      </c>
      <c r="L415" s="5">
        <v>0</v>
      </c>
      <c r="M415" s="5">
        <v>0</v>
      </c>
      <c r="N415" s="5">
        <v>5</v>
      </c>
      <c r="O415" s="5" t="str">
        <f t="shared" ca="1" si="6"/>
        <v>Supplier 171</v>
      </c>
      <c r="P415" s="20" t="str">
        <f ca="1">IFERROR(VLOOKUP(O415,EMAILS!B:C,2,FALSE),"NOT FOUND IN EMAILS")</f>
        <v>supplier@gmail.com</v>
      </c>
      <c r="Q415" t="str">
        <f ca="1">""&amp;IFERROR(VLOOKUP(O415,EMAILS!B:D,3,FALSE),"NOT FOUND IN EMAILS")</f>
        <v/>
      </c>
      <c r="R415" t="str">
        <f ca="1">""&amp;IFERROR(VLOOKUP(O415,EMAILS!B:E,4,FALSE),"NO T FOUND IN EMAILS")</f>
        <v/>
      </c>
    </row>
    <row r="416" spans="2:18" x14ac:dyDescent="0.25">
      <c r="B416" s="5" t="s">
        <v>418</v>
      </c>
      <c r="C416" s="5" t="s">
        <v>4558</v>
      </c>
      <c r="D416" s="5">
        <v>0</v>
      </c>
      <c r="E416" s="5">
        <v>0</v>
      </c>
      <c r="F416" s="5">
        <v>0</v>
      </c>
      <c r="G416" s="5">
        <v>0</v>
      </c>
      <c r="H416" s="5">
        <v>0</v>
      </c>
      <c r="I416" s="5">
        <v>0</v>
      </c>
      <c r="J416" s="5">
        <v>0</v>
      </c>
      <c r="K416" s="5">
        <v>0</v>
      </c>
      <c r="L416" s="5">
        <v>0</v>
      </c>
      <c r="M416" s="5">
        <v>0</v>
      </c>
      <c r="N416" s="5">
        <v>3</v>
      </c>
      <c r="O416" s="5" t="str">
        <f t="shared" ca="1" si="6"/>
        <v>Supplier 195</v>
      </c>
      <c r="P416" s="20" t="str">
        <f ca="1">IFERROR(VLOOKUP(O416,EMAILS!B:C,2,FALSE),"NOT FOUND IN EMAILS")</f>
        <v>supplier@gmail.com</v>
      </c>
      <c r="Q416" t="str">
        <f ca="1">""&amp;IFERROR(VLOOKUP(O416,EMAILS!B:D,3,FALSE),"NOT FOUND IN EMAILS")</f>
        <v/>
      </c>
      <c r="R416" t="str">
        <f ca="1">""&amp;IFERROR(VLOOKUP(O416,EMAILS!B:E,4,FALSE),"NO T FOUND IN EMAILS")</f>
        <v/>
      </c>
    </row>
    <row r="417" spans="2:18" x14ac:dyDescent="0.25">
      <c r="B417" s="5" t="s">
        <v>419</v>
      </c>
      <c r="C417" s="5" t="s">
        <v>4559</v>
      </c>
      <c r="D417" s="5">
        <v>0</v>
      </c>
      <c r="E417" s="5">
        <v>0</v>
      </c>
      <c r="F417" s="5">
        <v>0</v>
      </c>
      <c r="G417" s="5">
        <v>0</v>
      </c>
      <c r="H417" s="5">
        <v>0</v>
      </c>
      <c r="I417" s="5">
        <v>0</v>
      </c>
      <c r="J417" s="5">
        <v>0</v>
      </c>
      <c r="K417" s="5">
        <v>0</v>
      </c>
      <c r="L417" s="5">
        <v>0</v>
      </c>
      <c r="M417" s="5">
        <v>0</v>
      </c>
      <c r="N417" s="5">
        <v>0</v>
      </c>
      <c r="O417" s="5" t="str">
        <f t="shared" ca="1" si="6"/>
        <v>Supplier 172</v>
      </c>
      <c r="P417" s="20" t="str">
        <f ca="1">IFERROR(VLOOKUP(O417,EMAILS!B:C,2,FALSE),"NOT FOUND IN EMAILS")</f>
        <v>supplier@gmail.com</v>
      </c>
      <c r="Q417" t="str">
        <f ca="1">""&amp;IFERROR(VLOOKUP(O417,EMAILS!B:D,3,FALSE),"NOT FOUND IN EMAILS")</f>
        <v/>
      </c>
      <c r="R417" t="str">
        <f ca="1">""&amp;IFERROR(VLOOKUP(O417,EMAILS!B:E,4,FALSE),"NO T FOUND IN EMAILS")</f>
        <v/>
      </c>
    </row>
    <row r="418" spans="2:18" x14ac:dyDescent="0.25">
      <c r="B418" s="5" t="s">
        <v>420</v>
      </c>
      <c r="C418" s="5" t="s">
        <v>4560</v>
      </c>
      <c r="D418" s="5">
        <v>0</v>
      </c>
      <c r="E418" s="5">
        <v>0</v>
      </c>
      <c r="F418" s="5">
        <v>0</v>
      </c>
      <c r="G418" s="5">
        <v>0</v>
      </c>
      <c r="H418" s="5">
        <v>0</v>
      </c>
      <c r="I418" s="5">
        <v>0</v>
      </c>
      <c r="J418" s="5">
        <v>0</v>
      </c>
      <c r="K418" s="5">
        <v>0</v>
      </c>
      <c r="L418" s="5">
        <v>0</v>
      </c>
      <c r="M418" s="5">
        <v>0</v>
      </c>
      <c r="N418" s="5">
        <v>306</v>
      </c>
      <c r="O418" s="5" t="str">
        <f t="shared" ca="1" si="6"/>
        <v>Supplier 193</v>
      </c>
      <c r="P418" s="20" t="str">
        <f ca="1">IFERROR(VLOOKUP(O418,EMAILS!B:C,2,FALSE),"NOT FOUND IN EMAILS")</f>
        <v>supplier@gmail.com</v>
      </c>
      <c r="Q418" t="str">
        <f ca="1">""&amp;IFERROR(VLOOKUP(O418,EMAILS!B:D,3,FALSE),"NOT FOUND IN EMAILS")</f>
        <v/>
      </c>
      <c r="R418" t="str">
        <f ca="1">""&amp;IFERROR(VLOOKUP(O418,EMAILS!B:E,4,FALSE),"NO T FOUND IN EMAILS")</f>
        <v/>
      </c>
    </row>
    <row r="419" spans="2:18" x14ac:dyDescent="0.25">
      <c r="B419" s="5" t="s">
        <v>421</v>
      </c>
      <c r="C419" s="5" t="s">
        <v>4561</v>
      </c>
      <c r="D419" s="5">
        <v>0</v>
      </c>
      <c r="E419" s="5">
        <v>0</v>
      </c>
      <c r="F419" s="5">
        <v>0</v>
      </c>
      <c r="G419" s="5">
        <v>0</v>
      </c>
      <c r="H419" s="5">
        <v>0</v>
      </c>
      <c r="I419" s="5">
        <v>0</v>
      </c>
      <c r="J419" s="5">
        <v>0</v>
      </c>
      <c r="K419" s="5">
        <v>0</v>
      </c>
      <c r="L419" s="5">
        <v>0</v>
      </c>
      <c r="M419" s="5">
        <v>0</v>
      </c>
      <c r="N419" s="5">
        <v>1480</v>
      </c>
      <c r="O419" s="5" t="str">
        <f t="shared" ca="1" si="6"/>
        <v>Supplier 5</v>
      </c>
      <c r="P419" s="20" t="str">
        <f ca="1">IFERROR(VLOOKUP(O419,EMAILS!B:C,2,FALSE),"NOT FOUND IN EMAILS")</f>
        <v>supplier@gmail.com</v>
      </c>
      <c r="Q419" t="str">
        <f ca="1">""&amp;IFERROR(VLOOKUP(O419,EMAILS!B:D,3,FALSE),"NOT FOUND IN EMAILS")</f>
        <v>supplier_logistics@gmail.com</v>
      </c>
      <c r="R419" t="str">
        <f ca="1">""&amp;IFERROR(VLOOKUP(O419,EMAILS!B:E,4,FALSE),"NO T FOUND IN EMAILS")</f>
        <v/>
      </c>
    </row>
    <row r="420" spans="2:18" x14ac:dyDescent="0.25">
      <c r="B420" s="5" t="s">
        <v>422</v>
      </c>
      <c r="C420" s="5" t="s">
        <v>4562</v>
      </c>
      <c r="D420" s="5">
        <v>0</v>
      </c>
      <c r="E420" s="5">
        <v>0</v>
      </c>
      <c r="F420" s="5">
        <v>0</v>
      </c>
      <c r="G420" s="5">
        <v>0</v>
      </c>
      <c r="H420" s="5">
        <v>0</v>
      </c>
      <c r="I420" s="5">
        <v>0</v>
      </c>
      <c r="J420" s="5">
        <v>0</v>
      </c>
      <c r="K420" s="5">
        <v>0</v>
      </c>
      <c r="L420" s="5">
        <v>0</v>
      </c>
      <c r="M420" s="5">
        <v>0</v>
      </c>
      <c r="N420" s="5">
        <v>389</v>
      </c>
      <c r="O420" s="5" t="str">
        <f t="shared" ca="1" si="6"/>
        <v>Supplier 197</v>
      </c>
      <c r="P420" s="20" t="str">
        <f ca="1">IFERROR(VLOOKUP(O420,EMAILS!B:C,2,FALSE),"NOT FOUND IN EMAILS")</f>
        <v>supplier@gmail.com</v>
      </c>
      <c r="Q420" t="str">
        <f ca="1">""&amp;IFERROR(VLOOKUP(O420,EMAILS!B:D,3,FALSE),"NOT FOUND IN EMAILS")</f>
        <v/>
      </c>
      <c r="R420" t="str">
        <f ca="1">""&amp;IFERROR(VLOOKUP(O420,EMAILS!B:E,4,FALSE),"NO T FOUND IN EMAILS")</f>
        <v/>
      </c>
    </row>
    <row r="421" spans="2:18" x14ac:dyDescent="0.25">
      <c r="B421" s="5" t="s">
        <v>423</v>
      </c>
      <c r="C421" s="5" t="s">
        <v>4563</v>
      </c>
      <c r="D421" s="5">
        <v>0</v>
      </c>
      <c r="E421" s="5">
        <v>0</v>
      </c>
      <c r="F421" s="5">
        <v>0</v>
      </c>
      <c r="G421" s="5">
        <v>0</v>
      </c>
      <c r="H421" s="5">
        <v>0</v>
      </c>
      <c r="I421" s="5">
        <v>0</v>
      </c>
      <c r="J421" s="5">
        <v>0</v>
      </c>
      <c r="K421" s="5">
        <v>0</v>
      </c>
      <c r="L421" s="5">
        <v>0</v>
      </c>
      <c r="M421" s="5">
        <v>0</v>
      </c>
      <c r="N421" s="5">
        <v>0</v>
      </c>
      <c r="O421" s="5" t="str">
        <f t="shared" ca="1" si="6"/>
        <v>Supplier 190</v>
      </c>
      <c r="P421" s="20" t="str">
        <f ca="1">IFERROR(VLOOKUP(O421,EMAILS!B:C,2,FALSE),"NOT FOUND IN EMAILS")</f>
        <v>supplier@gmail.com</v>
      </c>
      <c r="Q421" t="str">
        <f ca="1">""&amp;IFERROR(VLOOKUP(O421,EMAILS!B:D,3,FALSE),"NOT FOUND IN EMAILS")</f>
        <v/>
      </c>
      <c r="R421" t="str">
        <f ca="1">""&amp;IFERROR(VLOOKUP(O421,EMAILS!B:E,4,FALSE),"NO T FOUND IN EMAILS")</f>
        <v/>
      </c>
    </row>
    <row r="422" spans="2:18" x14ac:dyDescent="0.25">
      <c r="B422" s="5" t="s">
        <v>424</v>
      </c>
      <c r="C422" s="5" t="s">
        <v>4564</v>
      </c>
      <c r="D422" s="5">
        <v>0</v>
      </c>
      <c r="E422" s="5">
        <v>0</v>
      </c>
      <c r="F422" s="5">
        <v>0</v>
      </c>
      <c r="G422" s="5">
        <v>0</v>
      </c>
      <c r="H422" s="5">
        <v>0</v>
      </c>
      <c r="I422" s="5">
        <v>0</v>
      </c>
      <c r="J422" s="5">
        <v>0</v>
      </c>
      <c r="K422" s="5">
        <v>0</v>
      </c>
      <c r="L422" s="5">
        <v>0</v>
      </c>
      <c r="M422" s="5">
        <v>0</v>
      </c>
      <c r="N422" s="5">
        <v>0</v>
      </c>
      <c r="O422" s="5" t="str">
        <f t="shared" ca="1" si="6"/>
        <v>Supplier 95</v>
      </c>
      <c r="P422" s="20" t="str">
        <f ca="1">IFERROR(VLOOKUP(O422,EMAILS!B:C,2,FALSE),"NOT FOUND IN EMAILS")</f>
        <v>supplier@gmail.com</v>
      </c>
      <c r="Q422" t="str">
        <f ca="1">""&amp;IFERROR(VLOOKUP(O422,EMAILS!B:D,3,FALSE),"NOT FOUND IN EMAILS")</f>
        <v/>
      </c>
      <c r="R422" t="str">
        <f ca="1">""&amp;IFERROR(VLOOKUP(O422,EMAILS!B:E,4,FALSE),"NO T FOUND IN EMAILS")</f>
        <v/>
      </c>
    </row>
    <row r="423" spans="2:18" x14ac:dyDescent="0.25">
      <c r="B423" s="5" t="s">
        <v>425</v>
      </c>
      <c r="C423" s="5" t="s">
        <v>4565</v>
      </c>
      <c r="D423" s="5">
        <v>0</v>
      </c>
      <c r="E423" s="5">
        <v>0</v>
      </c>
      <c r="F423" s="5">
        <v>0</v>
      </c>
      <c r="G423" s="5">
        <v>0</v>
      </c>
      <c r="H423" s="5">
        <v>0</v>
      </c>
      <c r="I423" s="5">
        <v>0</v>
      </c>
      <c r="J423" s="5">
        <v>0</v>
      </c>
      <c r="K423" s="5">
        <v>0</v>
      </c>
      <c r="L423" s="5">
        <v>0</v>
      </c>
      <c r="M423" s="5">
        <v>0</v>
      </c>
      <c r="N423" s="5">
        <v>0</v>
      </c>
      <c r="O423" s="5" t="str">
        <f t="shared" ca="1" si="6"/>
        <v>Supplier 122</v>
      </c>
      <c r="P423" s="20" t="str">
        <f ca="1">IFERROR(VLOOKUP(O423,EMAILS!B:C,2,FALSE),"NOT FOUND IN EMAILS")</f>
        <v>supplier@gmail.com</v>
      </c>
      <c r="Q423" t="str">
        <f ca="1">""&amp;IFERROR(VLOOKUP(O423,EMAILS!B:D,3,FALSE),"NOT FOUND IN EMAILS")</f>
        <v/>
      </c>
      <c r="R423" t="str">
        <f ca="1">""&amp;IFERROR(VLOOKUP(O423,EMAILS!B:E,4,FALSE),"NO T FOUND IN EMAILS")</f>
        <v/>
      </c>
    </row>
    <row r="424" spans="2:18" x14ac:dyDescent="0.25">
      <c r="B424" s="5" t="s">
        <v>426</v>
      </c>
      <c r="C424" s="5" t="s">
        <v>4566</v>
      </c>
      <c r="D424" s="5">
        <v>0</v>
      </c>
      <c r="E424" s="5">
        <v>0</v>
      </c>
      <c r="F424" s="5">
        <v>0</v>
      </c>
      <c r="G424" s="5">
        <v>0</v>
      </c>
      <c r="H424" s="5">
        <v>0</v>
      </c>
      <c r="I424" s="5">
        <v>0</v>
      </c>
      <c r="J424" s="5">
        <v>0</v>
      </c>
      <c r="K424" s="5">
        <v>0</v>
      </c>
      <c r="L424" s="5">
        <v>0</v>
      </c>
      <c r="M424" s="5">
        <v>0</v>
      </c>
      <c r="N424" s="5">
        <v>1</v>
      </c>
      <c r="O424" s="5" t="str">
        <f t="shared" ca="1" si="6"/>
        <v>Supplier 80</v>
      </c>
      <c r="P424" s="20" t="str">
        <f ca="1">IFERROR(VLOOKUP(O424,EMAILS!B:C,2,FALSE),"NOT FOUND IN EMAILS")</f>
        <v>supplier@gmail.com</v>
      </c>
      <c r="Q424" t="str">
        <f ca="1">""&amp;IFERROR(VLOOKUP(O424,EMAILS!B:D,3,FALSE),"NOT FOUND IN EMAILS")</f>
        <v/>
      </c>
      <c r="R424" t="str">
        <f ca="1">""&amp;IFERROR(VLOOKUP(O424,EMAILS!B:E,4,FALSE),"NO T FOUND IN EMAILS")</f>
        <v/>
      </c>
    </row>
    <row r="425" spans="2:18" x14ac:dyDescent="0.25">
      <c r="B425" s="5" t="s">
        <v>427</v>
      </c>
      <c r="C425" s="5" t="s">
        <v>4567</v>
      </c>
      <c r="D425" s="5">
        <v>0</v>
      </c>
      <c r="E425" s="5">
        <v>0</v>
      </c>
      <c r="F425" s="5">
        <v>0</v>
      </c>
      <c r="G425" s="5">
        <v>0</v>
      </c>
      <c r="H425" s="5">
        <v>0</v>
      </c>
      <c r="I425" s="5">
        <v>0</v>
      </c>
      <c r="J425" s="5">
        <v>0</v>
      </c>
      <c r="K425" s="5">
        <v>0</v>
      </c>
      <c r="L425" s="5">
        <v>0</v>
      </c>
      <c r="M425" s="5">
        <v>0</v>
      </c>
      <c r="N425" s="5">
        <v>17</v>
      </c>
      <c r="O425" s="5" t="str">
        <f t="shared" ca="1" si="6"/>
        <v>Supplier 139</v>
      </c>
      <c r="P425" s="20" t="str">
        <f ca="1">IFERROR(VLOOKUP(O425,EMAILS!B:C,2,FALSE),"NOT FOUND IN EMAILS")</f>
        <v>supplier@gmail.com</v>
      </c>
      <c r="Q425" t="str">
        <f ca="1">""&amp;IFERROR(VLOOKUP(O425,EMAILS!B:D,3,FALSE),"NOT FOUND IN EMAILS")</f>
        <v/>
      </c>
      <c r="R425" t="str">
        <f ca="1">""&amp;IFERROR(VLOOKUP(O425,EMAILS!B:E,4,FALSE),"NO T FOUND IN EMAILS")</f>
        <v/>
      </c>
    </row>
    <row r="426" spans="2:18" x14ac:dyDescent="0.25">
      <c r="B426" s="5" t="s">
        <v>428</v>
      </c>
      <c r="C426" s="5" t="s">
        <v>4568</v>
      </c>
      <c r="D426" s="5">
        <v>0</v>
      </c>
      <c r="E426" s="5">
        <v>0</v>
      </c>
      <c r="F426" s="5">
        <v>1</v>
      </c>
      <c r="G426" s="5">
        <v>0</v>
      </c>
      <c r="H426" s="5">
        <v>2</v>
      </c>
      <c r="I426" s="5">
        <v>0</v>
      </c>
      <c r="J426" s="5">
        <v>0</v>
      </c>
      <c r="K426" s="5">
        <v>0</v>
      </c>
      <c r="L426" s="5">
        <v>0</v>
      </c>
      <c r="M426" s="5">
        <v>0</v>
      </c>
      <c r="N426" s="5">
        <v>5</v>
      </c>
      <c r="O426" s="5" t="str">
        <f t="shared" ca="1" si="6"/>
        <v>Supplier 47</v>
      </c>
      <c r="P426" s="20" t="str">
        <f ca="1">IFERROR(VLOOKUP(O426,EMAILS!B:C,2,FALSE),"NOT FOUND IN EMAILS")</f>
        <v>supplier@gmail.com</v>
      </c>
      <c r="Q426" t="str">
        <f ca="1">""&amp;IFERROR(VLOOKUP(O426,EMAILS!B:D,3,FALSE),"NOT FOUND IN EMAILS")</f>
        <v/>
      </c>
      <c r="R426" t="str">
        <f ca="1">""&amp;IFERROR(VLOOKUP(O426,EMAILS!B:E,4,FALSE),"NO T FOUND IN EMAILS")</f>
        <v/>
      </c>
    </row>
    <row r="427" spans="2:18" x14ac:dyDescent="0.25">
      <c r="B427" s="5" t="s">
        <v>429</v>
      </c>
      <c r="C427" s="5" t="s">
        <v>4569</v>
      </c>
      <c r="D427" s="5">
        <v>0</v>
      </c>
      <c r="E427" s="5">
        <v>0</v>
      </c>
      <c r="F427" s="5">
        <v>1</v>
      </c>
      <c r="G427" s="5">
        <v>2</v>
      </c>
      <c r="H427" s="5">
        <v>0</v>
      </c>
      <c r="I427" s="5">
        <v>0</v>
      </c>
      <c r="J427" s="5">
        <v>2</v>
      </c>
      <c r="K427" s="5">
        <v>5</v>
      </c>
      <c r="L427" s="5">
        <v>0</v>
      </c>
      <c r="M427" s="5">
        <v>0</v>
      </c>
      <c r="N427" s="5">
        <v>10</v>
      </c>
      <c r="O427" s="5" t="str">
        <f t="shared" ca="1" si="6"/>
        <v>Supplier 124</v>
      </c>
      <c r="P427" s="20" t="str">
        <f ca="1">IFERROR(VLOOKUP(O427,EMAILS!B:C,2,FALSE),"NOT FOUND IN EMAILS")</f>
        <v>supplier@gmail.com</v>
      </c>
      <c r="Q427" t="str">
        <f ca="1">""&amp;IFERROR(VLOOKUP(O427,EMAILS!B:D,3,FALSE),"NOT FOUND IN EMAILS")</f>
        <v/>
      </c>
      <c r="R427" t="str">
        <f ca="1">""&amp;IFERROR(VLOOKUP(O427,EMAILS!B:E,4,FALSE),"NO T FOUND IN EMAILS")</f>
        <v/>
      </c>
    </row>
    <row r="428" spans="2:18" x14ac:dyDescent="0.25">
      <c r="B428" s="5" t="s">
        <v>430</v>
      </c>
      <c r="C428" s="5" t="s">
        <v>4570</v>
      </c>
      <c r="D428" s="5">
        <v>0</v>
      </c>
      <c r="E428" s="5">
        <v>0</v>
      </c>
      <c r="F428" s="5">
        <v>0</v>
      </c>
      <c r="G428" s="5">
        <v>0</v>
      </c>
      <c r="H428" s="5">
        <v>0</v>
      </c>
      <c r="I428" s="5">
        <v>0</v>
      </c>
      <c r="J428" s="5">
        <v>0</v>
      </c>
      <c r="K428" s="5">
        <v>0</v>
      </c>
      <c r="L428" s="5">
        <v>0</v>
      </c>
      <c r="M428" s="5">
        <v>0</v>
      </c>
      <c r="N428" s="5">
        <v>3</v>
      </c>
      <c r="O428" s="5" t="str">
        <f t="shared" ca="1" si="6"/>
        <v>Supplier 157</v>
      </c>
      <c r="P428" s="20" t="str">
        <f ca="1">IFERROR(VLOOKUP(O428,EMAILS!B:C,2,FALSE),"NOT FOUND IN EMAILS")</f>
        <v>supplier@gmail.com</v>
      </c>
      <c r="Q428" t="str">
        <f ca="1">""&amp;IFERROR(VLOOKUP(O428,EMAILS!B:D,3,FALSE),"NOT FOUND IN EMAILS")</f>
        <v/>
      </c>
      <c r="R428" t="str">
        <f ca="1">""&amp;IFERROR(VLOOKUP(O428,EMAILS!B:E,4,FALSE),"NO T FOUND IN EMAILS")</f>
        <v/>
      </c>
    </row>
    <row r="429" spans="2:18" x14ac:dyDescent="0.25">
      <c r="B429" s="5" t="s">
        <v>431</v>
      </c>
      <c r="C429" s="5" t="s">
        <v>4571</v>
      </c>
      <c r="D429" s="5">
        <v>1</v>
      </c>
      <c r="E429" s="5">
        <v>0</v>
      </c>
      <c r="F429" s="5">
        <v>0</v>
      </c>
      <c r="G429" s="5">
        <v>0</v>
      </c>
      <c r="H429" s="5">
        <v>1</v>
      </c>
      <c r="I429" s="5">
        <v>0</v>
      </c>
      <c r="J429" s="5">
        <v>0</v>
      </c>
      <c r="K429" s="5">
        <v>0</v>
      </c>
      <c r="L429" s="5">
        <v>0</v>
      </c>
      <c r="M429" s="5">
        <v>0</v>
      </c>
      <c r="N429" s="5">
        <v>0</v>
      </c>
      <c r="O429" s="5" t="str">
        <f t="shared" ca="1" si="6"/>
        <v>Supplier 46</v>
      </c>
      <c r="P429" s="20" t="str">
        <f ca="1">IFERROR(VLOOKUP(O429,EMAILS!B:C,2,FALSE),"NOT FOUND IN EMAILS")</f>
        <v>supplier@gmail.com</v>
      </c>
      <c r="Q429" t="str">
        <f ca="1">""&amp;IFERROR(VLOOKUP(O429,EMAILS!B:D,3,FALSE),"NOT FOUND IN EMAILS")</f>
        <v/>
      </c>
      <c r="R429" t="str">
        <f ca="1">""&amp;IFERROR(VLOOKUP(O429,EMAILS!B:E,4,FALSE),"NO T FOUND IN EMAILS")</f>
        <v/>
      </c>
    </row>
    <row r="430" spans="2:18" x14ac:dyDescent="0.25">
      <c r="B430" s="5" t="s">
        <v>432</v>
      </c>
      <c r="C430" s="5" t="s">
        <v>4572</v>
      </c>
      <c r="D430" s="5">
        <v>0</v>
      </c>
      <c r="E430" s="5">
        <v>0</v>
      </c>
      <c r="F430" s="5">
        <v>0</v>
      </c>
      <c r="G430" s="5">
        <v>0</v>
      </c>
      <c r="H430" s="5">
        <v>0</v>
      </c>
      <c r="I430" s="5">
        <v>0</v>
      </c>
      <c r="J430" s="5">
        <v>0</v>
      </c>
      <c r="K430" s="5">
        <v>0</v>
      </c>
      <c r="L430" s="5">
        <v>0</v>
      </c>
      <c r="M430" s="5">
        <v>0</v>
      </c>
      <c r="N430" s="5">
        <v>1</v>
      </c>
      <c r="O430" s="5" t="str">
        <f t="shared" ca="1" si="6"/>
        <v>Supplier 23</v>
      </c>
      <c r="P430" s="20" t="str">
        <f ca="1">IFERROR(VLOOKUP(O430,EMAILS!B:C,2,FALSE),"NOT FOUND IN EMAILS")</f>
        <v>supplier@gmail.com</v>
      </c>
      <c r="Q430" t="str">
        <f ca="1">""&amp;IFERROR(VLOOKUP(O430,EMAILS!B:D,3,FALSE),"NOT FOUND IN EMAILS")</f>
        <v/>
      </c>
      <c r="R430" t="str">
        <f ca="1">""&amp;IFERROR(VLOOKUP(O430,EMAILS!B:E,4,FALSE),"NO T FOUND IN EMAILS")</f>
        <v/>
      </c>
    </row>
    <row r="431" spans="2:18" x14ac:dyDescent="0.25">
      <c r="B431" s="5" t="s">
        <v>433</v>
      </c>
      <c r="C431" s="5" t="s">
        <v>4573</v>
      </c>
      <c r="D431" s="5">
        <v>0</v>
      </c>
      <c r="E431" s="5">
        <v>0</v>
      </c>
      <c r="F431" s="5">
        <v>2</v>
      </c>
      <c r="G431" s="5">
        <v>0</v>
      </c>
      <c r="H431" s="5">
        <v>0</v>
      </c>
      <c r="I431" s="5">
        <v>0</v>
      </c>
      <c r="J431" s="5">
        <v>0</v>
      </c>
      <c r="K431" s="5">
        <v>0</v>
      </c>
      <c r="L431" s="5">
        <v>0</v>
      </c>
      <c r="M431" s="5">
        <v>0</v>
      </c>
      <c r="N431" s="5">
        <v>2</v>
      </c>
      <c r="O431" s="5" t="str">
        <f t="shared" ca="1" si="6"/>
        <v>Supplier 99</v>
      </c>
      <c r="P431" s="20" t="str">
        <f ca="1">IFERROR(VLOOKUP(O431,EMAILS!B:C,2,FALSE),"NOT FOUND IN EMAILS")</f>
        <v>supplier@gmail.com</v>
      </c>
      <c r="Q431" t="str">
        <f ca="1">""&amp;IFERROR(VLOOKUP(O431,EMAILS!B:D,3,FALSE),"NOT FOUND IN EMAILS")</f>
        <v/>
      </c>
      <c r="R431" t="str">
        <f ca="1">""&amp;IFERROR(VLOOKUP(O431,EMAILS!B:E,4,FALSE),"NO T FOUND IN EMAILS")</f>
        <v/>
      </c>
    </row>
    <row r="432" spans="2:18" x14ac:dyDescent="0.25">
      <c r="B432" s="5" t="s">
        <v>434</v>
      </c>
      <c r="C432" s="5" t="s">
        <v>4574</v>
      </c>
      <c r="D432" s="5">
        <v>0</v>
      </c>
      <c r="E432" s="5">
        <v>0</v>
      </c>
      <c r="F432" s="5">
        <v>0</v>
      </c>
      <c r="G432" s="5">
        <v>0</v>
      </c>
      <c r="H432" s="5">
        <v>0</v>
      </c>
      <c r="I432" s="5">
        <v>0</v>
      </c>
      <c r="J432" s="5">
        <v>0</v>
      </c>
      <c r="K432" s="5">
        <v>0</v>
      </c>
      <c r="L432" s="5">
        <v>0</v>
      </c>
      <c r="M432" s="5">
        <v>0</v>
      </c>
      <c r="N432" s="5">
        <v>0</v>
      </c>
      <c r="O432" s="5" t="str">
        <f t="shared" ca="1" si="6"/>
        <v>Supplier 30</v>
      </c>
      <c r="P432" s="20" t="str">
        <f ca="1">IFERROR(VLOOKUP(O432,EMAILS!B:C,2,FALSE),"NOT FOUND IN EMAILS")</f>
        <v>supplier@gmail.com</v>
      </c>
      <c r="Q432" t="str">
        <f ca="1">""&amp;IFERROR(VLOOKUP(O432,EMAILS!B:D,3,FALSE),"NOT FOUND IN EMAILS")</f>
        <v/>
      </c>
      <c r="R432" t="str">
        <f ca="1">""&amp;IFERROR(VLOOKUP(O432,EMAILS!B:E,4,FALSE),"NO T FOUND IN EMAILS")</f>
        <v/>
      </c>
    </row>
    <row r="433" spans="2:18" x14ac:dyDescent="0.25">
      <c r="B433" s="5" t="s">
        <v>435</v>
      </c>
      <c r="C433" s="5" t="s">
        <v>4575</v>
      </c>
      <c r="D433" s="5">
        <v>0</v>
      </c>
      <c r="E433" s="5">
        <v>0</v>
      </c>
      <c r="F433" s="5">
        <v>1</v>
      </c>
      <c r="G433" s="5">
        <v>0</v>
      </c>
      <c r="H433" s="5">
        <v>0</v>
      </c>
      <c r="I433" s="5">
        <v>0</v>
      </c>
      <c r="J433" s="5">
        <v>0</v>
      </c>
      <c r="K433" s="5">
        <v>0</v>
      </c>
      <c r="L433" s="5">
        <v>0</v>
      </c>
      <c r="M433" s="5">
        <v>0</v>
      </c>
      <c r="N433" s="5">
        <v>0</v>
      </c>
      <c r="O433" s="5" t="str">
        <f t="shared" ca="1" si="6"/>
        <v>Supplier 179</v>
      </c>
      <c r="P433" s="20" t="str">
        <f ca="1">IFERROR(VLOOKUP(O433,EMAILS!B:C,2,FALSE),"NOT FOUND IN EMAILS")</f>
        <v>supplier@gmail.com</v>
      </c>
      <c r="Q433" t="str">
        <f ca="1">""&amp;IFERROR(VLOOKUP(O433,EMAILS!B:D,3,FALSE),"NOT FOUND IN EMAILS")</f>
        <v/>
      </c>
      <c r="R433" t="str">
        <f ca="1">""&amp;IFERROR(VLOOKUP(O433,EMAILS!B:E,4,FALSE),"NO T FOUND IN EMAILS")</f>
        <v/>
      </c>
    </row>
    <row r="434" spans="2:18" x14ac:dyDescent="0.25">
      <c r="B434" s="5" t="s">
        <v>436</v>
      </c>
      <c r="C434" s="5" t="s">
        <v>4576</v>
      </c>
      <c r="D434" s="5">
        <v>0</v>
      </c>
      <c r="E434" s="5">
        <v>0</v>
      </c>
      <c r="F434" s="5">
        <v>0</v>
      </c>
      <c r="G434" s="5">
        <v>0</v>
      </c>
      <c r="H434" s="5">
        <v>0</v>
      </c>
      <c r="I434" s="5">
        <v>0</v>
      </c>
      <c r="J434" s="5">
        <v>0</v>
      </c>
      <c r="K434" s="5">
        <v>0</v>
      </c>
      <c r="L434" s="5">
        <v>0</v>
      </c>
      <c r="M434" s="5">
        <v>0</v>
      </c>
      <c r="N434" s="5">
        <v>0</v>
      </c>
      <c r="O434" s="5" t="str">
        <f t="shared" ca="1" si="6"/>
        <v>Supplier 171</v>
      </c>
      <c r="P434" s="20" t="str">
        <f ca="1">IFERROR(VLOOKUP(O434,EMAILS!B:C,2,FALSE),"NOT FOUND IN EMAILS")</f>
        <v>supplier@gmail.com</v>
      </c>
      <c r="Q434" t="str">
        <f ca="1">""&amp;IFERROR(VLOOKUP(O434,EMAILS!B:D,3,FALSE),"NOT FOUND IN EMAILS")</f>
        <v/>
      </c>
      <c r="R434" t="str">
        <f ca="1">""&amp;IFERROR(VLOOKUP(O434,EMAILS!B:E,4,FALSE),"NO T FOUND IN EMAILS")</f>
        <v/>
      </c>
    </row>
    <row r="435" spans="2:18" x14ac:dyDescent="0.25">
      <c r="B435" s="5" t="s">
        <v>437</v>
      </c>
      <c r="C435" s="5" t="s">
        <v>4577</v>
      </c>
      <c r="D435" s="5">
        <v>0</v>
      </c>
      <c r="E435" s="5">
        <v>0</v>
      </c>
      <c r="F435" s="5">
        <v>0</v>
      </c>
      <c r="G435" s="5">
        <v>0</v>
      </c>
      <c r="H435" s="5">
        <v>0</v>
      </c>
      <c r="I435" s="5">
        <v>0</v>
      </c>
      <c r="J435" s="5">
        <v>0</v>
      </c>
      <c r="K435" s="5">
        <v>0</v>
      </c>
      <c r="L435" s="5">
        <v>0</v>
      </c>
      <c r="M435" s="5">
        <v>0</v>
      </c>
      <c r="N435" s="5">
        <v>0</v>
      </c>
      <c r="O435" s="5" t="str">
        <f t="shared" ca="1" si="6"/>
        <v>Supplier 157</v>
      </c>
      <c r="P435" s="20" t="str">
        <f ca="1">IFERROR(VLOOKUP(O435,EMAILS!B:C,2,FALSE),"NOT FOUND IN EMAILS")</f>
        <v>supplier@gmail.com</v>
      </c>
      <c r="Q435" t="str">
        <f ca="1">""&amp;IFERROR(VLOOKUP(O435,EMAILS!B:D,3,FALSE),"NOT FOUND IN EMAILS")</f>
        <v/>
      </c>
      <c r="R435" t="str">
        <f ca="1">""&amp;IFERROR(VLOOKUP(O435,EMAILS!B:E,4,FALSE),"NO T FOUND IN EMAILS")</f>
        <v/>
      </c>
    </row>
    <row r="436" spans="2:18" x14ac:dyDescent="0.25">
      <c r="B436" s="5" t="s">
        <v>438</v>
      </c>
      <c r="C436" s="5" t="s">
        <v>4578</v>
      </c>
      <c r="D436" s="5">
        <v>0</v>
      </c>
      <c r="E436" s="5">
        <v>0</v>
      </c>
      <c r="F436" s="5">
        <v>0</v>
      </c>
      <c r="G436" s="5">
        <v>0</v>
      </c>
      <c r="H436" s="5">
        <v>0</v>
      </c>
      <c r="I436" s="5">
        <v>0</v>
      </c>
      <c r="J436" s="5">
        <v>0</v>
      </c>
      <c r="K436" s="5">
        <v>0</v>
      </c>
      <c r="L436" s="5">
        <v>0</v>
      </c>
      <c r="M436" s="5">
        <v>0</v>
      </c>
      <c r="N436" s="5">
        <v>0</v>
      </c>
      <c r="O436" s="5" t="str">
        <f t="shared" ca="1" si="6"/>
        <v>Supplier 43</v>
      </c>
      <c r="P436" s="20" t="str">
        <f ca="1">IFERROR(VLOOKUP(O436,EMAILS!B:C,2,FALSE),"NOT FOUND IN EMAILS")</f>
        <v>supplier@gmail.com</v>
      </c>
      <c r="Q436" t="str">
        <f ca="1">""&amp;IFERROR(VLOOKUP(O436,EMAILS!B:D,3,FALSE),"NOT FOUND IN EMAILS")</f>
        <v/>
      </c>
      <c r="R436" t="str">
        <f ca="1">""&amp;IFERROR(VLOOKUP(O436,EMAILS!B:E,4,FALSE),"NO T FOUND IN EMAILS")</f>
        <v/>
      </c>
    </row>
    <row r="437" spans="2:18" x14ac:dyDescent="0.25">
      <c r="B437" s="5" t="s">
        <v>439</v>
      </c>
      <c r="C437" s="5" t="s">
        <v>4579</v>
      </c>
      <c r="D437" s="5">
        <v>1404</v>
      </c>
      <c r="E437" s="5">
        <v>1188</v>
      </c>
      <c r="F437" s="5">
        <v>1404</v>
      </c>
      <c r="G437" s="5">
        <v>1404</v>
      </c>
      <c r="H437" s="5">
        <v>1404</v>
      </c>
      <c r="I437" s="5">
        <v>1404</v>
      </c>
      <c r="J437" s="5">
        <v>1080</v>
      </c>
      <c r="K437" s="5">
        <v>1512</v>
      </c>
      <c r="L437" s="5">
        <v>1404</v>
      </c>
      <c r="M437" s="5">
        <v>0</v>
      </c>
      <c r="N437" s="5">
        <v>0</v>
      </c>
      <c r="O437" s="5" t="str">
        <f t="shared" ca="1" si="6"/>
        <v>Supplier 96</v>
      </c>
      <c r="P437" s="20" t="str">
        <f ca="1">IFERROR(VLOOKUP(O437,EMAILS!B:C,2,FALSE),"NOT FOUND IN EMAILS")</f>
        <v>supplier@gmail.com</v>
      </c>
      <c r="Q437" t="str">
        <f ca="1">""&amp;IFERROR(VLOOKUP(O437,EMAILS!B:D,3,FALSE),"NOT FOUND IN EMAILS")</f>
        <v/>
      </c>
      <c r="R437" t="str">
        <f ca="1">""&amp;IFERROR(VLOOKUP(O437,EMAILS!B:E,4,FALSE),"NO T FOUND IN EMAILS")</f>
        <v/>
      </c>
    </row>
    <row r="438" spans="2:18" x14ac:dyDescent="0.25">
      <c r="B438" s="5" t="s">
        <v>440</v>
      </c>
      <c r="C438" s="5" t="s">
        <v>4580</v>
      </c>
      <c r="D438" s="5">
        <v>2808</v>
      </c>
      <c r="E438" s="5">
        <v>2376</v>
      </c>
      <c r="F438" s="5">
        <v>2808</v>
      </c>
      <c r="G438" s="5">
        <v>2808</v>
      </c>
      <c r="H438" s="5">
        <v>2808</v>
      </c>
      <c r="I438" s="5">
        <v>2808</v>
      </c>
      <c r="J438" s="5">
        <v>2160</v>
      </c>
      <c r="K438" s="5">
        <v>3024</v>
      </c>
      <c r="L438" s="5">
        <v>2808</v>
      </c>
      <c r="M438" s="5">
        <v>0</v>
      </c>
      <c r="N438" s="5">
        <v>0</v>
      </c>
      <c r="O438" s="5" t="str">
        <f t="shared" ca="1" si="6"/>
        <v>Supplier 131</v>
      </c>
      <c r="P438" s="20" t="str">
        <f ca="1">IFERROR(VLOOKUP(O438,EMAILS!B:C,2,FALSE),"NOT FOUND IN EMAILS")</f>
        <v>supplier@gmail.com</v>
      </c>
      <c r="Q438" t="str">
        <f ca="1">""&amp;IFERROR(VLOOKUP(O438,EMAILS!B:D,3,FALSE),"NOT FOUND IN EMAILS")</f>
        <v/>
      </c>
      <c r="R438" t="str">
        <f ca="1">""&amp;IFERROR(VLOOKUP(O438,EMAILS!B:E,4,FALSE),"NO T FOUND IN EMAILS")</f>
        <v/>
      </c>
    </row>
    <row r="439" spans="2:18" x14ac:dyDescent="0.25">
      <c r="B439" s="5" t="s">
        <v>441</v>
      </c>
      <c r="C439" s="5" t="s">
        <v>4581</v>
      </c>
      <c r="D439" s="5">
        <v>2808</v>
      </c>
      <c r="E439" s="5">
        <v>2436</v>
      </c>
      <c r="F439" s="5">
        <v>2808</v>
      </c>
      <c r="G439" s="5">
        <v>2808</v>
      </c>
      <c r="H439" s="5">
        <v>2808</v>
      </c>
      <c r="I439" s="5">
        <v>2808</v>
      </c>
      <c r="J439" s="5">
        <v>2160</v>
      </c>
      <c r="K439" s="5">
        <v>3024</v>
      </c>
      <c r="L439" s="5">
        <v>2828</v>
      </c>
      <c r="M439" s="5">
        <v>0</v>
      </c>
      <c r="N439" s="5">
        <v>1250</v>
      </c>
      <c r="O439" s="5" t="str">
        <f t="shared" ca="1" si="6"/>
        <v>Supplier 51</v>
      </c>
      <c r="P439" s="20" t="str">
        <f ca="1">IFERROR(VLOOKUP(O439,EMAILS!B:C,2,FALSE),"NOT FOUND IN EMAILS")</f>
        <v>supplier@gmail.com</v>
      </c>
      <c r="Q439" t="str">
        <f ca="1">""&amp;IFERROR(VLOOKUP(O439,EMAILS!B:D,3,FALSE),"NOT FOUND IN EMAILS")</f>
        <v/>
      </c>
      <c r="R439" t="str">
        <f ca="1">""&amp;IFERROR(VLOOKUP(O439,EMAILS!B:E,4,FALSE),"NO T FOUND IN EMAILS")</f>
        <v/>
      </c>
    </row>
    <row r="440" spans="2:18" x14ac:dyDescent="0.25">
      <c r="B440" s="5" t="s">
        <v>442</v>
      </c>
      <c r="C440" s="5" t="s">
        <v>4582</v>
      </c>
      <c r="D440" s="5">
        <v>328</v>
      </c>
      <c r="E440" s="5">
        <v>400</v>
      </c>
      <c r="F440" s="5">
        <v>656</v>
      </c>
      <c r="G440" s="5">
        <v>656</v>
      </c>
      <c r="H440" s="5">
        <v>1044</v>
      </c>
      <c r="I440" s="5">
        <v>656</v>
      </c>
      <c r="J440" s="5">
        <v>164</v>
      </c>
      <c r="K440" s="5">
        <v>0</v>
      </c>
      <c r="L440" s="5">
        <v>328</v>
      </c>
      <c r="M440" s="5">
        <v>0</v>
      </c>
      <c r="N440" s="5">
        <v>164</v>
      </c>
      <c r="O440" s="5" t="str">
        <f t="shared" ca="1" si="6"/>
        <v>Supplier 142</v>
      </c>
      <c r="P440" s="20" t="str">
        <f ca="1">IFERROR(VLOOKUP(O440,EMAILS!B:C,2,FALSE),"NOT FOUND IN EMAILS")</f>
        <v>supplier@gmail.com</v>
      </c>
      <c r="Q440" t="str">
        <f ca="1">""&amp;IFERROR(VLOOKUP(O440,EMAILS!B:D,3,FALSE),"NOT FOUND IN EMAILS")</f>
        <v/>
      </c>
      <c r="R440" t="str">
        <f ca="1">""&amp;IFERROR(VLOOKUP(O440,EMAILS!B:E,4,FALSE),"NO T FOUND IN EMAILS")</f>
        <v/>
      </c>
    </row>
    <row r="441" spans="2:18" x14ac:dyDescent="0.25">
      <c r="B441" s="5" t="s">
        <v>443</v>
      </c>
      <c r="C441" s="5" t="s">
        <v>4583</v>
      </c>
      <c r="D441" s="5">
        <v>3</v>
      </c>
      <c r="E441" s="5">
        <v>4</v>
      </c>
      <c r="F441" s="5">
        <v>5</v>
      </c>
      <c r="G441" s="5">
        <v>7</v>
      </c>
      <c r="H441" s="5">
        <v>3</v>
      </c>
      <c r="I441" s="5">
        <v>3</v>
      </c>
      <c r="J441" s="5">
        <v>0</v>
      </c>
      <c r="K441" s="5">
        <v>1</v>
      </c>
      <c r="L441" s="5">
        <v>0</v>
      </c>
      <c r="M441" s="5">
        <v>0</v>
      </c>
      <c r="N441" s="5">
        <v>21</v>
      </c>
      <c r="O441" s="5" t="str">
        <f t="shared" ca="1" si="6"/>
        <v>Supplier 115</v>
      </c>
      <c r="P441" s="20" t="str">
        <f ca="1">IFERROR(VLOOKUP(O441,EMAILS!B:C,2,FALSE),"NOT FOUND IN EMAILS")</f>
        <v>supplier@gmail.com</v>
      </c>
      <c r="Q441" t="str">
        <f ca="1">""&amp;IFERROR(VLOOKUP(O441,EMAILS!B:D,3,FALSE),"NOT FOUND IN EMAILS")</f>
        <v/>
      </c>
      <c r="R441" t="str">
        <f ca="1">""&amp;IFERROR(VLOOKUP(O441,EMAILS!B:E,4,FALSE),"NO T FOUND IN EMAILS")</f>
        <v/>
      </c>
    </row>
    <row r="442" spans="2:18" x14ac:dyDescent="0.25">
      <c r="B442" s="5" t="s">
        <v>444</v>
      </c>
      <c r="C442" s="5" t="s">
        <v>4584</v>
      </c>
      <c r="D442" s="5">
        <v>3</v>
      </c>
      <c r="E442" s="5">
        <v>4</v>
      </c>
      <c r="F442" s="5">
        <v>5</v>
      </c>
      <c r="G442" s="5">
        <v>7</v>
      </c>
      <c r="H442" s="5">
        <v>3</v>
      </c>
      <c r="I442" s="5">
        <v>3</v>
      </c>
      <c r="J442" s="5">
        <v>0</v>
      </c>
      <c r="K442" s="5">
        <v>1</v>
      </c>
      <c r="L442" s="5">
        <v>0</v>
      </c>
      <c r="M442" s="5">
        <v>0</v>
      </c>
      <c r="N442" s="5">
        <v>35</v>
      </c>
      <c r="O442" s="5" t="str">
        <f t="shared" ca="1" si="6"/>
        <v>Supplier 130</v>
      </c>
      <c r="P442" s="20" t="str">
        <f ca="1">IFERROR(VLOOKUP(O442,EMAILS!B:C,2,FALSE),"NOT FOUND IN EMAILS")</f>
        <v>supplier@gmail.com</v>
      </c>
      <c r="Q442" t="str">
        <f ca="1">""&amp;IFERROR(VLOOKUP(O442,EMAILS!B:D,3,FALSE),"NOT FOUND IN EMAILS")</f>
        <v/>
      </c>
      <c r="R442" t="str">
        <f ca="1">""&amp;IFERROR(VLOOKUP(O442,EMAILS!B:E,4,FALSE),"NO T FOUND IN EMAILS")</f>
        <v/>
      </c>
    </row>
    <row r="443" spans="2:18" x14ac:dyDescent="0.25">
      <c r="B443" s="5" t="s">
        <v>445</v>
      </c>
      <c r="C443" s="5" t="s">
        <v>4585</v>
      </c>
      <c r="D443" s="5">
        <v>3</v>
      </c>
      <c r="E443" s="5">
        <v>4</v>
      </c>
      <c r="F443" s="5">
        <v>5</v>
      </c>
      <c r="G443" s="5">
        <v>7</v>
      </c>
      <c r="H443" s="5">
        <v>3</v>
      </c>
      <c r="I443" s="5">
        <v>3</v>
      </c>
      <c r="J443" s="5">
        <v>0</v>
      </c>
      <c r="K443" s="5">
        <v>1</v>
      </c>
      <c r="L443" s="5">
        <v>0</v>
      </c>
      <c r="M443" s="5">
        <v>0</v>
      </c>
      <c r="N443" s="5">
        <v>9</v>
      </c>
      <c r="O443" s="5" t="str">
        <f t="shared" ca="1" si="6"/>
        <v>Supplier 55</v>
      </c>
      <c r="P443" s="20" t="str">
        <f ca="1">IFERROR(VLOOKUP(O443,EMAILS!B:C,2,FALSE),"NOT FOUND IN EMAILS")</f>
        <v>supplier@gmail.com</v>
      </c>
      <c r="Q443" t="str">
        <f ca="1">""&amp;IFERROR(VLOOKUP(O443,EMAILS!B:D,3,FALSE),"NOT FOUND IN EMAILS")</f>
        <v/>
      </c>
      <c r="R443" t="str">
        <f ca="1">""&amp;IFERROR(VLOOKUP(O443,EMAILS!B:E,4,FALSE),"NO T FOUND IN EMAILS")</f>
        <v/>
      </c>
    </row>
    <row r="444" spans="2:18" x14ac:dyDescent="0.25">
      <c r="B444" s="5" t="s">
        <v>446</v>
      </c>
      <c r="C444" s="5" t="s">
        <v>4586</v>
      </c>
      <c r="D444" s="5">
        <v>3</v>
      </c>
      <c r="E444" s="5">
        <v>4</v>
      </c>
      <c r="F444" s="5">
        <v>5</v>
      </c>
      <c r="G444" s="5">
        <v>7</v>
      </c>
      <c r="H444" s="5">
        <v>3</v>
      </c>
      <c r="I444" s="5">
        <v>3</v>
      </c>
      <c r="J444" s="5">
        <v>0</v>
      </c>
      <c r="K444" s="5">
        <v>1</v>
      </c>
      <c r="L444" s="5">
        <v>0</v>
      </c>
      <c r="M444" s="5">
        <v>0</v>
      </c>
      <c r="N444" s="5">
        <v>3600</v>
      </c>
      <c r="O444" s="5" t="str">
        <f t="shared" ca="1" si="6"/>
        <v>Supplier 71</v>
      </c>
      <c r="P444" s="20" t="str">
        <f ca="1">IFERROR(VLOOKUP(O444,EMAILS!B:C,2,FALSE),"NOT FOUND IN EMAILS")</f>
        <v>supplier@gmail.com</v>
      </c>
      <c r="Q444" t="str">
        <f ca="1">""&amp;IFERROR(VLOOKUP(O444,EMAILS!B:D,3,FALSE),"NOT FOUND IN EMAILS")</f>
        <v/>
      </c>
      <c r="R444" t="str">
        <f ca="1">""&amp;IFERROR(VLOOKUP(O444,EMAILS!B:E,4,FALSE),"NO T FOUND IN EMAILS")</f>
        <v/>
      </c>
    </row>
    <row r="445" spans="2:18" x14ac:dyDescent="0.25">
      <c r="B445" s="5" t="s">
        <v>447</v>
      </c>
      <c r="C445" s="5" t="s">
        <v>4587</v>
      </c>
      <c r="D445" s="5">
        <v>2368</v>
      </c>
      <c r="E445" s="5">
        <v>3040</v>
      </c>
      <c r="F445" s="5">
        <v>3184</v>
      </c>
      <c r="G445" s="5">
        <v>2624</v>
      </c>
      <c r="H445" s="5">
        <v>2976</v>
      </c>
      <c r="I445" s="5">
        <v>2288</v>
      </c>
      <c r="J445" s="5">
        <v>656</v>
      </c>
      <c r="K445" s="5">
        <v>1312</v>
      </c>
      <c r="L445" s="5">
        <v>2448</v>
      </c>
      <c r="M445" s="5">
        <v>0</v>
      </c>
      <c r="N445" s="5">
        <v>1200</v>
      </c>
      <c r="O445" s="5" t="str">
        <f t="shared" ca="1" si="6"/>
        <v>Supplier 95</v>
      </c>
      <c r="P445" s="20" t="str">
        <f ca="1">IFERROR(VLOOKUP(O445,EMAILS!B:C,2,FALSE),"NOT FOUND IN EMAILS")</f>
        <v>supplier@gmail.com</v>
      </c>
      <c r="Q445" t="str">
        <f ca="1">""&amp;IFERROR(VLOOKUP(O445,EMAILS!B:D,3,FALSE),"NOT FOUND IN EMAILS")</f>
        <v/>
      </c>
      <c r="R445" t="str">
        <f ca="1">""&amp;IFERROR(VLOOKUP(O445,EMAILS!B:E,4,FALSE),"NO T FOUND IN EMAILS")</f>
        <v/>
      </c>
    </row>
    <row r="446" spans="2:18" x14ac:dyDescent="0.25">
      <c r="B446" s="5" t="s">
        <v>448</v>
      </c>
      <c r="C446" s="5" t="s">
        <v>4588</v>
      </c>
      <c r="D446" s="5">
        <v>1992</v>
      </c>
      <c r="E446" s="5">
        <v>250</v>
      </c>
      <c r="F446" s="5">
        <v>1312</v>
      </c>
      <c r="G446" s="5">
        <v>2296</v>
      </c>
      <c r="H446" s="5">
        <v>2112</v>
      </c>
      <c r="I446" s="5">
        <v>2358</v>
      </c>
      <c r="J446" s="5">
        <v>776</v>
      </c>
      <c r="K446" s="5">
        <v>656</v>
      </c>
      <c r="L446" s="5">
        <v>328</v>
      </c>
      <c r="M446" s="5">
        <v>0</v>
      </c>
      <c r="N446" s="5">
        <v>24220</v>
      </c>
      <c r="O446" s="5" t="str">
        <f t="shared" ca="1" si="6"/>
        <v>Supplier 116</v>
      </c>
      <c r="P446" s="20" t="str">
        <f ca="1">IFERROR(VLOOKUP(O446,EMAILS!B:C,2,FALSE),"NOT FOUND IN EMAILS")</f>
        <v>supplier@gmail.com</v>
      </c>
      <c r="Q446" t="str">
        <f ca="1">""&amp;IFERROR(VLOOKUP(O446,EMAILS!B:D,3,FALSE),"NOT FOUND IN EMAILS")</f>
        <v/>
      </c>
      <c r="R446" t="str">
        <f ca="1">""&amp;IFERROR(VLOOKUP(O446,EMAILS!B:E,4,FALSE),"NO T FOUND IN EMAILS")</f>
        <v/>
      </c>
    </row>
    <row r="447" spans="2:18" x14ac:dyDescent="0.25">
      <c r="B447" s="5" t="s">
        <v>449</v>
      </c>
      <c r="C447" s="5" t="s">
        <v>4589</v>
      </c>
      <c r="D447" s="5">
        <v>4212</v>
      </c>
      <c r="E447" s="5">
        <v>3564</v>
      </c>
      <c r="F447" s="5">
        <v>4212</v>
      </c>
      <c r="G447" s="5">
        <v>4212</v>
      </c>
      <c r="H447" s="5">
        <v>4212</v>
      </c>
      <c r="I447" s="5">
        <v>4212</v>
      </c>
      <c r="J447" s="5">
        <v>3240</v>
      </c>
      <c r="K447" s="5">
        <v>4536</v>
      </c>
      <c r="L447" s="5">
        <v>4212</v>
      </c>
      <c r="M447" s="5">
        <v>0</v>
      </c>
      <c r="N447" s="5">
        <v>8475</v>
      </c>
      <c r="O447" s="5" t="str">
        <f t="shared" ca="1" si="6"/>
        <v>Supplier 193</v>
      </c>
      <c r="P447" s="20" t="str">
        <f ca="1">IFERROR(VLOOKUP(O447,EMAILS!B:C,2,FALSE),"NOT FOUND IN EMAILS")</f>
        <v>supplier@gmail.com</v>
      </c>
      <c r="Q447" t="str">
        <f ca="1">""&amp;IFERROR(VLOOKUP(O447,EMAILS!B:D,3,FALSE),"NOT FOUND IN EMAILS")</f>
        <v/>
      </c>
      <c r="R447" t="str">
        <f ca="1">""&amp;IFERROR(VLOOKUP(O447,EMAILS!B:E,4,FALSE),"NO T FOUND IN EMAILS")</f>
        <v/>
      </c>
    </row>
    <row r="448" spans="2:18" x14ac:dyDescent="0.25">
      <c r="B448" s="5" t="s">
        <v>450</v>
      </c>
      <c r="C448" s="5" t="s">
        <v>4590</v>
      </c>
      <c r="D448" s="5">
        <v>1404</v>
      </c>
      <c r="E448" s="5">
        <v>1188</v>
      </c>
      <c r="F448" s="5">
        <v>1404</v>
      </c>
      <c r="G448" s="5">
        <v>1404</v>
      </c>
      <c r="H448" s="5">
        <v>1404</v>
      </c>
      <c r="I448" s="5">
        <v>1404</v>
      </c>
      <c r="J448" s="5">
        <v>1080</v>
      </c>
      <c r="K448" s="5">
        <v>1512</v>
      </c>
      <c r="L448" s="5">
        <v>1404</v>
      </c>
      <c r="M448" s="5">
        <v>0</v>
      </c>
      <c r="N448" s="5">
        <v>1800</v>
      </c>
      <c r="O448" s="5" t="str">
        <f t="shared" ca="1" si="6"/>
        <v>Supplier 72</v>
      </c>
      <c r="P448" s="20" t="str">
        <f ca="1">IFERROR(VLOOKUP(O448,EMAILS!B:C,2,FALSE),"NOT FOUND IN EMAILS")</f>
        <v>supplier@gmail.com</v>
      </c>
      <c r="Q448" t="str">
        <f ca="1">""&amp;IFERROR(VLOOKUP(O448,EMAILS!B:D,3,FALSE),"NOT FOUND IN EMAILS")</f>
        <v/>
      </c>
      <c r="R448" t="str">
        <f ca="1">""&amp;IFERROR(VLOOKUP(O448,EMAILS!B:E,4,FALSE),"NO T FOUND IN EMAILS")</f>
        <v/>
      </c>
    </row>
    <row r="449" spans="2:18" x14ac:dyDescent="0.25">
      <c r="B449" s="5" t="s">
        <v>451</v>
      </c>
      <c r="C449" s="5" t="s">
        <v>4591</v>
      </c>
      <c r="D449" s="5">
        <v>1404</v>
      </c>
      <c r="E449" s="5">
        <v>1218</v>
      </c>
      <c r="F449" s="5">
        <v>1404</v>
      </c>
      <c r="G449" s="5">
        <v>1404</v>
      </c>
      <c r="H449" s="5">
        <v>1404</v>
      </c>
      <c r="I449" s="5">
        <v>1404</v>
      </c>
      <c r="J449" s="5">
        <v>1080</v>
      </c>
      <c r="K449" s="5">
        <v>1512</v>
      </c>
      <c r="L449" s="5">
        <v>1414</v>
      </c>
      <c r="M449" s="5">
        <v>0</v>
      </c>
      <c r="N449" s="5">
        <v>13125</v>
      </c>
      <c r="O449" s="5" t="str">
        <f t="shared" ca="1" si="6"/>
        <v>Supplier 159</v>
      </c>
      <c r="P449" s="20" t="str">
        <f ca="1">IFERROR(VLOOKUP(O449,EMAILS!B:C,2,FALSE),"NOT FOUND IN EMAILS")</f>
        <v>supplier@gmail.com</v>
      </c>
      <c r="Q449" t="str">
        <f ca="1">""&amp;IFERROR(VLOOKUP(O449,EMAILS!B:D,3,FALSE),"NOT FOUND IN EMAILS")</f>
        <v/>
      </c>
      <c r="R449" t="str">
        <f ca="1">""&amp;IFERROR(VLOOKUP(O449,EMAILS!B:E,4,FALSE),"NO T FOUND IN EMAILS")</f>
        <v/>
      </c>
    </row>
    <row r="450" spans="2:18" x14ac:dyDescent="0.25">
      <c r="B450" s="5" t="s">
        <v>452</v>
      </c>
      <c r="C450" s="5" t="s">
        <v>4592</v>
      </c>
      <c r="D450" s="5">
        <v>1404</v>
      </c>
      <c r="E450" s="5">
        <v>1218</v>
      </c>
      <c r="F450" s="5">
        <v>1404</v>
      </c>
      <c r="G450" s="5">
        <v>1404</v>
      </c>
      <c r="H450" s="5">
        <v>1404</v>
      </c>
      <c r="I450" s="5">
        <v>1404</v>
      </c>
      <c r="J450" s="5">
        <v>1080</v>
      </c>
      <c r="K450" s="5">
        <v>1512</v>
      </c>
      <c r="L450" s="5">
        <v>1414</v>
      </c>
      <c r="M450" s="5">
        <v>0</v>
      </c>
      <c r="N450" s="5">
        <v>0</v>
      </c>
      <c r="O450" s="5" t="str">
        <f t="shared" ca="1" si="6"/>
        <v>Supplier 151</v>
      </c>
      <c r="P450" s="20" t="str">
        <f ca="1">IFERROR(VLOOKUP(O450,EMAILS!B:C,2,FALSE),"NOT FOUND IN EMAILS")</f>
        <v>supplier@gmail.com</v>
      </c>
      <c r="Q450" t="str">
        <f ca="1">""&amp;IFERROR(VLOOKUP(O450,EMAILS!B:D,3,FALSE),"NOT FOUND IN EMAILS")</f>
        <v/>
      </c>
      <c r="R450" t="str">
        <f ca="1">""&amp;IFERROR(VLOOKUP(O450,EMAILS!B:E,4,FALSE),"NO T FOUND IN EMAILS")</f>
        <v/>
      </c>
    </row>
    <row r="451" spans="2:18" x14ac:dyDescent="0.25">
      <c r="B451" s="5" t="s">
        <v>453</v>
      </c>
      <c r="C451" s="5" t="s">
        <v>4593</v>
      </c>
      <c r="D451" s="5">
        <v>1404</v>
      </c>
      <c r="E451" s="5">
        <v>1218</v>
      </c>
      <c r="F451" s="5">
        <v>1404</v>
      </c>
      <c r="G451" s="5">
        <v>1404</v>
      </c>
      <c r="H451" s="5">
        <v>1404</v>
      </c>
      <c r="I451" s="5">
        <v>1404</v>
      </c>
      <c r="J451" s="5">
        <v>1080</v>
      </c>
      <c r="K451" s="5">
        <v>1512</v>
      </c>
      <c r="L451" s="5">
        <v>1414</v>
      </c>
      <c r="M451" s="5">
        <v>0</v>
      </c>
      <c r="N451" s="5">
        <v>0</v>
      </c>
      <c r="O451" s="5" t="str">
        <f t="shared" ref="O451:O514" ca="1" si="7">"Supplier "&amp;RANDBETWEEN(1,200)</f>
        <v>Supplier 117</v>
      </c>
      <c r="P451" s="20" t="str">
        <f ca="1">IFERROR(VLOOKUP(O451,EMAILS!B:C,2,FALSE),"NOT FOUND IN EMAILS")</f>
        <v>supplier@gmail.com</v>
      </c>
      <c r="Q451" t="str">
        <f ca="1">""&amp;IFERROR(VLOOKUP(O451,EMAILS!B:D,3,FALSE),"NOT FOUND IN EMAILS")</f>
        <v/>
      </c>
      <c r="R451" t="str">
        <f ca="1">""&amp;IFERROR(VLOOKUP(O451,EMAILS!B:E,4,FALSE),"NO T FOUND IN EMAILS")</f>
        <v/>
      </c>
    </row>
    <row r="452" spans="2:18" x14ac:dyDescent="0.25">
      <c r="B452" s="5" t="s">
        <v>454</v>
      </c>
      <c r="C452" s="5" t="s">
        <v>4594</v>
      </c>
      <c r="D452" s="5">
        <v>1404</v>
      </c>
      <c r="E452" s="5">
        <v>1188</v>
      </c>
      <c r="F452" s="5">
        <v>1404</v>
      </c>
      <c r="G452" s="5">
        <v>1404</v>
      </c>
      <c r="H452" s="5">
        <v>1404</v>
      </c>
      <c r="I452" s="5">
        <v>1404</v>
      </c>
      <c r="J452" s="5">
        <v>1080</v>
      </c>
      <c r="K452" s="5">
        <v>1512</v>
      </c>
      <c r="L452" s="5">
        <v>1404</v>
      </c>
      <c r="M452" s="5">
        <v>0</v>
      </c>
      <c r="N452" s="5">
        <v>2600</v>
      </c>
      <c r="O452" s="5" t="str">
        <f t="shared" ca="1" si="7"/>
        <v>Supplier 174</v>
      </c>
      <c r="P452" s="20" t="str">
        <f ca="1">IFERROR(VLOOKUP(O452,EMAILS!B:C,2,FALSE),"NOT FOUND IN EMAILS")</f>
        <v>supplier@gmail.com</v>
      </c>
      <c r="Q452" t="str">
        <f ca="1">""&amp;IFERROR(VLOOKUP(O452,EMAILS!B:D,3,FALSE),"NOT FOUND IN EMAILS")</f>
        <v/>
      </c>
      <c r="R452" t="str">
        <f ca="1">""&amp;IFERROR(VLOOKUP(O452,EMAILS!B:E,4,FALSE),"NO T FOUND IN EMAILS")</f>
        <v/>
      </c>
    </row>
    <row r="453" spans="2:18" x14ac:dyDescent="0.25">
      <c r="B453" s="5" t="s">
        <v>455</v>
      </c>
      <c r="C453" s="5" t="s">
        <v>4595</v>
      </c>
      <c r="D453" s="5">
        <v>1404</v>
      </c>
      <c r="E453" s="5">
        <v>1218</v>
      </c>
      <c r="F453" s="5">
        <v>1404</v>
      </c>
      <c r="G453" s="5">
        <v>1404</v>
      </c>
      <c r="H453" s="5">
        <v>1404</v>
      </c>
      <c r="I453" s="5">
        <v>1404</v>
      </c>
      <c r="J453" s="5">
        <v>1080</v>
      </c>
      <c r="K453" s="5">
        <v>1512</v>
      </c>
      <c r="L453" s="5">
        <v>1414</v>
      </c>
      <c r="M453" s="5">
        <v>0</v>
      </c>
      <c r="N453" s="5">
        <v>5000</v>
      </c>
      <c r="O453" s="5" t="str">
        <f t="shared" ca="1" si="7"/>
        <v>Supplier 184</v>
      </c>
      <c r="P453" s="20" t="str">
        <f ca="1">IFERROR(VLOOKUP(O453,EMAILS!B:C,2,FALSE),"NOT FOUND IN EMAILS")</f>
        <v>supplier@gmail.com</v>
      </c>
      <c r="Q453" t="str">
        <f ca="1">""&amp;IFERROR(VLOOKUP(O453,EMAILS!B:D,3,FALSE),"NOT FOUND IN EMAILS")</f>
        <v/>
      </c>
      <c r="R453" t="str">
        <f ca="1">""&amp;IFERROR(VLOOKUP(O453,EMAILS!B:E,4,FALSE),"NO T FOUND IN EMAILS")</f>
        <v/>
      </c>
    </row>
    <row r="454" spans="2:18" x14ac:dyDescent="0.25">
      <c r="B454" s="5" t="s">
        <v>456</v>
      </c>
      <c r="C454" s="5" t="s">
        <v>4596</v>
      </c>
      <c r="D454" s="5">
        <v>2368</v>
      </c>
      <c r="E454" s="5">
        <v>3040</v>
      </c>
      <c r="F454" s="5">
        <v>3184</v>
      </c>
      <c r="G454" s="5">
        <v>2624</v>
      </c>
      <c r="H454" s="5">
        <v>2976</v>
      </c>
      <c r="I454" s="5">
        <v>2288</v>
      </c>
      <c r="J454" s="5">
        <v>656</v>
      </c>
      <c r="K454" s="5">
        <v>1312</v>
      </c>
      <c r="L454" s="5">
        <v>2448</v>
      </c>
      <c r="M454" s="5">
        <v>0</v>
      </c>
      <c r="N454" s="5">
        <v>378</v>
      </c>
      <c r="O454" s="5" t="str">
        <f t="shared" ca="1" si="7"/>
        <v>Supplier 28</v>
      </c>
      <c r="P454" s="20" t="str">
        <f ca="1">IFERROR(VLOOKUP(O454,EMAILS!B:C,2,FALSE),"NOT FOUND IN EMAILS")</f>
        <v>supplier@gmail.com</v>
      </c>
      <c r="Q454" t="str">
        <f ca="1">""&amp;IFERROR(VLOOKUP(O454,EMAILS!B:D,3,FALSE),"NOT FOUND IN EMAILS")</f>
        <v/>
      </c>
      <c r="R454" t="str">
        <f ca="1">""&amp;IFERROR(VLOOKUP(O454,EMAILS!B:E,4,FALSE),"NO T FOUND IN EMAILS")</f>
        <v/>
      </c>
    </row>
    <row r="455" spans="2:18" x14ac:dyDescent="0.25">
      <c r="B455" s="5" t="s">
        <v>457</v>
      </c>
      <c r="C455" s="5" t="s">
        <v>4597</v>
      </c>
      <c r="D455" s="5">
        <v>1404</v>
      </c>
      <c r="E455" s="5">
        <v>1218</v>
      </c>
      <c r="F455" s="5">
        <v>1404</v>
      </c>
      <c r="G455" s="5">
        <v>1404</v>
      </c>
      <c r="H455" s="5">
        <v>1404</v>
      </c>
      <c r="I455" s="5">
        <v>1404</v>
      </c>
      <c r="J455" s="5">
        <v>1080</v>
      </c>
      <c r="K455" s="5">
        <v>1512</v>
      </c>
      <c r="L455" s="5">
        <v>1414</v>
      </c>
      <c r="M455" s="5">
        <v>0</v>
      </c>
      <c r="N455" s="5">
        <v>9125</v>
      </c>
      <c r="O455" s="5" t="str">
        <f t="shared" ca="1" si="7"/>
        <v>Supplier 161</v>
      </c>
      <c r="P455" s="20" t="str">
        <f ca="1">IFERROR(VLOOKUP(O455,EMAILS!B:C,2,FALSE),"NOT FOUND IN EMAILS")</f>
        <v>supplier@gmail.com</v>
      </c>
      <c r="Q455" t="str">
        <f ca="1">""&amp;IFERROR(VLOOKUP(O455,EMAILS!B:D,3,FALSE),"NOT FOUND IN EMAILS")</f>
        <v/>
      </c>
      <c r="R455" t="str">
        <f ca="1">""&amp;IFERROR(VLOOKUP(O455,EMAILS!B:E,4,FALSE),"NO T FOUND IN EMAILS")</f>
        <v/>
      </c>
    </row>
    <row r="456" spans="2:18" x14ac:dyDescent="0.25">
      <c r="B456" s="5" t="s">
        <v>458</v>
      </c>
      <c r="C456" s="5" t="s">
        <v>4598</v>
      </c>
      <c r="D456" s="5">
        <v>1404</v>
      </c>
      <c r="E456" s="5">
        <v>1218</v>
      </c>
      <c r="F456" s="5">
        <v>1404</v>
      </c>
      <c r="G456" s="5">
        <v>1404</v>
      </c>
      <c r="H456" s="5">
        <v>1404</v>
      </c>
      <c r="I456" s="5">
        <v>1404</v>
      </c>
      <c r="J456" s="5">
        <v>1080</v>
      </c>
      <c r="K456" s="5">
        <v>1512</v>
      </c>
      <c r="L456" s="5">
        <v>1414</v>
      </c>
      <c r="M456" s="5">
        <v>0</v>
      </c>
      <c r="N456" s="5">
        <v>535</v>
      </c>
      <c r="O456" s="5" t="str">
        <f t="shared" ca="1" si="7"/>
        <v>Supplier 91</v>
      </c>
      <c r="P456" s="20" t="str">
        <f ca="1">IFERROR(VLOOKUP(O456,EMAILS!B:C,2,FALSE),"NOT FOUND IN EMAILS")</f>
        <v>supplier@gmail.com</v>
      </c>
      <c r="Q456" t="str">
        <f ca="1">""&amp;IFERROR(VLOOKUP(O456,EMAILS!B:D,3,FALSE),"NOT FOUND IN EMAILS")</f>
        <v/>
      </c>
      <c r="R456" t="str">
        <f ca="1">""&amp;IFERROR(VLOOKUP(O456,EMAILS!B:E,4,FALSE),"NO T FOUND IN EMAILS")</f>
        <v/>
      </c>
    </row>
    <row r="457" spans="2:18" x14ac:dyDescent="0.25">
      <c r="B457" s="5" t="s">
        <v>459</v>
      </c>
      <c r="C457" s="5" t="s">
        <v>4599</v>
      </c>
      <c r="D457" s="5">
        <v>1580</v>
      </c>
      <c r="E457" s="5">
        <v>1400</v>
      </c>
      <c r="F457" s="5">
        <v>1300</v>
      </c>
      <c r="G457" s="5">
        <v>1400</v>
      </c>
      <c r="H457" s="5">
        <v>1488</v>
      </c>
      <c r="I457" s="5">
        <v>1144</v>
      </c>
      <c r="J457" s="5">
        <v>328</v>
      </c>
      <c r="K457" s="5">
        <v>656</v>
      </c>
      <c r="L457" s="5">
        <v>1224</v>
      </c>
      <c r="M457" s="5">
        <v>0</v>
      </c>
      <c r="N457" s="5">
        <v>540</v>
      </c>
      <c r="O457" s="5" t="str">
        <f t="shared" ca="1" si="7"/>
        <v>Supplier 150</v>
      </c>
      <c r="P457" s="20" t="str">
        <f ca="1">IFERROR(VLOOKUP(O457,EMAILS!B:C,2,FALSE),"NOT FOUND IN EMAILS")</f>
        <v>supplier@gmail.com</v>
      </c>
      <c r="Q457" t="str">
        <f ca="1">""&amp;IFERROR(VLOOKUP(O457,EMAILS!B:D,3,FALSE),"NOT FOUND IN EMAILS")</f>
        <v/>
      </c>
      <c r="R457" t="str">
        <f ca="1">""&amp;IFERROR(VLOOKUP(O457,EMAILS!B:E,4,FALSE),"NO T FOUND IN EMAILS")</f>
        <v/>
      </c>
    </row>
    <row r="458" spans="2:18" x14ac:dyDescent="0.25">
      <c r="B458" s="5" t="s">
        <v>460</v>
      </c>
      <c r="C458" s="5" t="s">
        <v>4600</v>
      </c>
      <c r="D458" s="5">
        <v>600</v>
      </c>
      <c r="E458" s="5">
        <v>0</v>
      </c>
      <c r="F458" s="5">
        <v>800</v>
      </c>
      <c r="G458" s="5">
        <v>1228</v>
      </c>
      <c r="H458" s="5">
        <v>1100</v>
      </c>
      <c r="I458" s="5">
        <v>1223</v>
      </c>
      <c r="J458" s="5">
        <v>624</v>
      </c>
      <c r="K458" s="5">
        <v>328</v>
      </c>
      <c r="L458" s="5">
        <v>164</v>
      </c>
      <c r="M458" s="5">
        <v>0</v>
      </c>
      <c r="N458" s="5">
        <v>595</v>
      </c>
      <c r="O458" s="5" t="str">
        <f t="shared" ca="1" si="7"/>
        <v>Supplier 162</v>
      </c>
      <c r="P458" s="20" t="str">
        <f ca="1">IFERROR(VLOOKUP(O458,EMAILS!B:C,2,FALSE),"NOT FOUND IN EMAILS")</f>
        <v>supplier@gmail.com</v>
      </c>
      <c r="Q458" t="str">
        <f ca="1">""&amp;IFERROR(VLOOKUP(O458,EMAILS!B:D,3,FALSE),"NOT FOUND IN EMAILS")</f>
        <v/>
      </c>
      <c r="R458" t="str">
        <f ca="1">""&amp;IFERROR(VLOOKUP(O458,EMAILS!B:E,4,FALSE),"NO T FOUND IN EMAILS")</f>
        <v/>
      </c>
    </row>
    <row r="459" spans="2:18" x14ac:dyDescent="0.25">
      <c r="B459" s="5" t="s">
        <v>461</v>
      </c>
      <c r="C459" s="5" t="s">
        <v>4601</v>
      </c>
      <c r="D459" s="5">
        <v>1580</v>
      </c>
      <c r="E459" s="5">
        <v>1400</v>
      </c>
      <c r="F459" s="5">
        <v>1300</v>
      </c>
      <c r="G459" s="5">
        <v>1400</v>
      </c>
      <c r="H459" s="5">
        <v>1488</v>
      </c>
      <c r="I459" s="5">
        <v>1144</v>
      </c>
      <c r="J459" s="5">
        <v>328</v>
      </c>
      <c r="K459" s="5">
        <v>656</v>
      </c>
      <c r="L459" s="5">
        <v>1224</v>
      </c>
      <c r="M459" s="5">
        <v>0</v>
      </c>
      <c r="N459" s="5">
        <v>540</v>
      </c>
      <c r="O459" s="5" t="str">
        <f t="shared" ca="1" si="7"/>
        <v>Supplier 95</v>
      </c>
      <c r="P459" s="20" t="str">
        <f ca="1">IFERROR(VLOOKUP(O459,EMAILS!B:C,2,FALSE),"NOT FOUND IN EMAILS")</f>
        <v>supplier@gmail.com</v>
      </c>
      <c r="Q459" t="str">
        <f ca="1">""&amp;IFERROR(VLOOKUP(O459,EMAILS!B:D,3,FALSE),"NOT FOUND IN EMAILS")</f>
        <v/>
      </c>
      <c r="R459" t="str">
        <f ca="1">""&amp;IFERROR(VLOOKUP(O459,EMAILS!B:E,4,FALSE),"NO T FOUND IN EMAILS")</f>
        <v/>
      </c>
    </row>
    <row r="460" spans="2:18" x14ac:dyDescent="0.25">
      <c r="B460" s="5" t="s">
        <v>462</v>
      </c>
      <c r="C460" s="5" t="s">
        <v>4602</v>
      </c>
      <c r="D460" s="5">
        <v>600</v>
      </c>
      <c r="E460" s="5">
        <v>0</v>
      </c>
      <c r="F460" s="5">
        <v>800</v>
      </c>
      <c r="G460" s="5">
        <v>1228</v>
      </c>
      <c r="H460" s="5">
        <v>1100</v>
      </c>
      <c r="I460" s="5">
        <v>1223</v>
      </c>
      <c r="J460" s="5">
        <v>624</v>
      </c>
      <c r="K460" s="5">
        <v>328</v>
      </c>
      <c r="L460" s="5">
        <v>164</v>
      </c>
      <c r="M460" s="5">
        <v>0</v>
      </c>
      <c r="N460" s="5">
        <v>0</v>
      </c>
      <c r="O460" s="5" t="str">
        <f t="shared" ca="1" si="7"/>
        <v>Supplier 71</v>
      </c>
      <c r="P460" s="20" t="str">
        <f ca="1">IFERROR(VLOOKUP(O460,EMAILS!B:C,2,FALSE),"NOT FOUND IN EMAILS")</f>
        <v>supplier@gmail.com</v>
      </c>
      <c r="Q460" t="str">
        <f ca="1">""&amp;IFERROR(VLOOKUP(O460,EMAILS!B:D,3,FALSE),"NOT FOUND IN EMAILS")</f>
        <v/>
      </c>
      <c r="R460" t="str">
        <f ca="1">""&amp;IFERROR(VLOOKUP(O460,EMAILS!B:E,4,FALSE),"NO T FOUND IN EMAILS")</f>
        <v/>
      </c>
    </row>
    <row r="461" spans="2:18" x14ac:dyDescent="0.25">
      <c r="B461" s="5" t="s">
        <v>463</v>
      </c>
      <c r="C461" s="5" t="s">
        <v>4603</v>
      </c>
      <c r="D461" s="5">
        <v>1404</v>
      </c>
      <c r="E461" s="5">
        <v>1218</v>
      </c>
      <c r="F461" s="5">
        <v>1404</v>
      </c>
      <c r="G461" s="5">
        <v>1404</v>
      </c>
      <c r="H461" s="5">
        <v>1404</v>
      </c>
      <c r="I461" s="5">
        <v>1404</v>
      </c>
      <c r="J461" s="5">
        <v>1080</v>
      </c>
      <c r="K461" s="5">
        <v>1512</v>
      </c>
      <c r="L461" s="5">
        <v>1414</v>
      </c>
      <c r="M461" s="5">
        <v>0</v>
      </c>
      <c r="N461" s="5">
        <v>680</v>
      </c>
      <c r="O461" s="5" t="str">
        <f t="shared" ca="1" si="7"/>
        <v>Supplier 72</v>
      </c>
      <c r="P461" s="20" t="str">
        <f ca="1">IFERROR(VLOOKUP(O461,EMAILS!B:C,2,FALSE),"NOT FOUND IN EMAILS")</f>
        <v>supplier@gmail.com</v>
      </c>
      <c r="Q461" t="str">
        <f ca="1">""&amp;IFERROR(VLOOKUP(O461,EMAILS!B:D,3,FALSE),"NOT FOUND IN EMAILS")</f>
        <v/>
      </c>
      <c r="R461" t="str">
        <f ca="1">""&amp;IFERROR(VLOOKUP(O461,EMAILS!B:E,4,FALSE),"NO T FOUND IN EMAILS")</f>
        <v/>
      </c>
    </row>
    <row r="462" spans="2:18" x14ac:dyDescent="0.25">
      <c r="B462" s="5" t="s">
        <v>464</v>
      </c>
      <c r="C462" s="5" t="s">
        <v>4604</v>
      </c>
      <c r="D462" s="5">
        <v>648</v>
      </c>
      <c r="E462" s="5">
        <v>756</v>
      </c>
      <c r="F462" s="5">
        <v>756</v>
      </c>
      <c r="G462" s="5">
        <v>648</v>
      </c>
      <c r="H462" s="5">
        <v>756</v>
      </c>
      <c r="I462" s="5">
        <v>864</v>
      </c>
      <c r="J462" s="5">
        <v>540</v>
      </c>
      <c r="K462" s="5">
        <v>864</v>
      </c>
      <c r="L462" s="5">
        <v>756</v>
      </c>
      <c r="M462" s="5">
        <v>0</v>
      </c>
      <c r="N462" s="5">
        <v>160</v>
      </c>
      <c r="O462" s="5" t="str">
        <f t="shared" ca="1" si="7"/>
        <v>Supplier 83</v>
      </c>
      <c r="P462" s="20" t="str">
        <f ca="1">IFERROR(VLOOKUP(O462,EMAILS!B:C,2,FALSE),"NOT FOUND IN EMAILS")</f>
        <v>supplier@gmail.com</v>
      </c>
      <c r="Q462" t="str">
        <f ca="1">""&amp;IFERROR(VLOOKUP(O462,EMAILS!B:D,3,FALSE),"NOT FOUND IN EMAILS")</f>
        <v/>
      </c>
      <c r="R462" t="str">
        <f ca="1">""&amp;IFERROR(VLOOKUP(O462,EMAILS!B:E,4,FALSE),"NO T FOUND IN EMAILS")</f>
        <v/>
      </c>
    </row>
    <row r="463" spans="2:18" x14ac:dyDescent="0.25">
      <c r="B463" s="5" t="s">
        <v>465</v>
      </c>
      <c r="C463" s="5" t="s">
        <v>4605</v>
      </c>
      <c r="D463" s="5">
        <v>756</v>
      </c>
      <c r="E463" s="5">
        <v>432</v>
      </c>
      <c r="F463" s="5">
        <v>648</v>
      </c>
      <c r="G463" s="5">
        <v>756</v>
      </c>
      <c r="H463" s="5">
        <v>648</v>
      </c>
      <c r="I463" s="5">
        <v>540</v>
      </c>
      <c r="J463" s="5">
        <v>540</v>
      </c>
      <c r="K463" s="5">
        <v>648</v>
      </c>
      <c r="L463" s="5">
        <v>648</v>
      </c>
      <c r="M463" s="5">
        <v>0</v>
      </c>
      <c r="N463" s="5">
        <v>5700</v>
      </c>
      <c r="O463" s="5" t="str">
        <f t="shared" ca="1" si="7"/>
        <v>Supplier 64</v>
      </c>
      <c r="P463" s="20" t="str">
        <f ca="1">IFERROR(VLOOKUP(O463,EMAILS!B:C,2,FALSE),"NOT FOUND IN EMAILS")</f>
        <v>supplier@gmail.com</v>
      </c>
      <c r="Q463" t="str">
        <f ca="1">""&amp;IFERROR(VLOOKUP(O463,EMAILS!B:D,3,FALSE),"NOT FOUND IN EMAILS")</f>
        <v/>
      </c>
      <c r="R463" t="str">
        <f ca="1">""&amp;IFERROR(VLOOKUP(O463,EMAILS!B:E,4,FALSE),"NO T FOUND IN EMAILS")</f>
        <v/>
      </c>
    </row>
    <row r="464" spans="2:18" x14ac:dyDescent="0.25">
      <c r="B464" s="5" t="s">
        <v>466</v>
      </c>
      <c r="C464" s="5" t="s">
        <v>4606</v>
      </c>
      <c r="D464" s="5">
        <v>2808</v>
      </c>
      <c r="E464" s="5">
        <v>2736</v>
      </c>
      <c r="F464" s="5">
        <v>2808</v>
      </c>
      <c r="G464" s="5">
        <v>2808</v>
      </c>
      <c r="H464" s="5">
        <v>2808</v>
      </c>
      <c r="I464" s="5">
        <v>2808</v>
      </c>
      <c r="J464" s="5">
        <v>2160</v>
      </c>
      <c r="K464" s="5">
        <v>3024</v>
      </c>
      <c r="L464" s="5">
        <v>2828</v>
      </c>
      <c r="M464" s="5">
        <v>0</v>
      </c>
      <c r="N464" s="5">
        <v>0</v>
      </c>
      <c r="O464" s="5" t="str">
        <f t="shared" ca="1" si="7"/>
        <v>Supplier 98</v>
      </c>
      <c r="P464" s="20" t="str">
        <f ca="1">IFERROR(VLOOKUP(O464,EMAILS!B:C,2,FALSE),"NOT FOUND IN EMAILS")</f>
        <v>supplier@gmail.com</v>
      </c>
      <c r="Q464" t="str">
        <f ca="1">""&amp;IFERROR(VLOOKUP(O464,EMAILS!B:D,3,FALSE),"NOT FOUND IN EMAILS")</f>
        <v/>
      </c>
      <c r="R464" t="str">
        <f ca="1">""&amp;IFERROR(VLOOKUP(O464,EMAILS!B:E,4,FALSE),"NO T FOUND IN EMAILS")</f>
        <v/>
      </c>
    </row>
    <row r="465" spans="2:18" x14ac:dyDescent="0.25">
      <c r="B465" s="5" t="s">
        <v>467</v>
      </c>
      <c r="C465" s="5" t="s">
        <v>4607</v>
      </c>
      <c r="D465" s="5">
        <v>1404</v>
      </c>
      <c r="E465" s="5">
        <v>1188</v>
      </c>
      <c r="F465" s="5">
        <v>1404</v>
      </c>
      <c r="G465" s="5">
        <v>1404</v>
      </c>
      <c r="H465" s="5">
        <v>1404</v>
      </c>
      <c r="I465" s="5">
        <v>1404</v>
      </c>
      <c r="J465" s="5">
        <v>1080</v>
      </c>
      <c r="K465" s="5">
        <v>1512</v>
      </c>
      <c r="L465" s="5">
        <v>1404</v>
      </c>
      <c r="M465" s="5">
        <v>0</v>
      </c>
      <c r="N465" s="5">
        <v>6615</v>
      </c>
      <c r="O465" s="5" t="str">
        <f t="shared" ca="1" si="7"/>
        <v>Supplier 145</v>
      </c>
      <c r="P465" s="20" t="str">
        <f ca="1">IFERROR(VLOOKUP(O465,EMAILS!B:C,2,FALSE),"NOT FOUND IN EMAILS")</f>
        <v>supplier@gmail.com</v>
      </c>
      <c r="Q465" t="str">
        <f ca="1">""&amp;IFERROR(VLOOKUP(O465,EMAILS!B:D,3,FALSE),"NOT FOUND IN EMAILS")</f>
        <v/>
      </c>
      <c r="R465" t="str">
        <f ca="1">""&amp;IFERROR(VLOOKUP(O465,EMAILS!B:E,4,FALSE),"NO T FOUND IN EMAILS")</f>
        <v/>
      </c>
    </row>
    <row r="466" spans="2:18" x14ac:dyDescent="0.25">
      <c r="B466" s="5" t="s">
        <v>468</v>
      </c>
      <c r="C466" s="5" t="s">
        <v>4608</v>
      </c>
      <c r="D466" s="5">
        <v>1184</v>
      </c>
      <c r="E466" s="5">
        <v>1520</v>
      </c>
      <c r="F466" s="5">
        <v>1592</v>
      </c>
      <c r="G466" s="5">
        <v>1312</v>
      </c>
      <c r="H466" s="5">
        <v>1488</v>
      </c>
      <c r="I466" s="5">
        <v>1144</v>
      </c>
      <c r="J466" s="5">
        <v>328</v>
      </c>
      <c r="K466" s="5">
        <v>656</v>
      </c>
      <c r="L466" s="5">
        <v>1224</v>
      </c>
      <c r="M466" s="5">
        <v>0</v>
      </c>
      <c r="N466" s="5">
        <v>630</v>
      </c>
      <c r="O466" s="5" t="str">
        <f t="shared" ca="1" si="7"/>
        <v>Supplier 192</v>
      </c>
      <c r="P466" s="20" t="str">
        <f ca="1">IFERROR(VLOOKUP(O466,EMAILS!B:C,2,FALSE),"NOT FOUND IN EMAILS")</f>
        <v>supplier@gmail.com</v>
      </c>
      <c r="Q466" t="str">
        <f ca="1">""&amp;IFERROR(VLOOKUP(O466,EMAILS!B:D,3,FALSE),"NOT FOUND IN EMAILS")</f>
        <v/>
      </c>
      <c r="R466" t="str">
        <f ca="1">""&amp;IFERROR(VLOOKUP(O466,EMAILS!B:E,4,FALSE),"NO T FOUND IN EMAILS")</f>
        <v/>
      </c>
    </row>
    <row r="467" spans="2:18" x14ac:dyDescent="0.25">
      <c r="B467" s="5" t="s">
        <v>469</v>
      </c>
      <c r="C467" s="5" t="s">
        <v>4609</v>
      </c>
      <c r="D467" s="5">
        <v>996</v>
      </c>
      <c r="E467" s="5">
        <v>125</v>
      </c>
      <c r="F467" s="5">
        <v>656</v>
      </c>
      <c r="G467" s="5">
        <v>1148</v>
      </c>
      <c r="H467" s="5">
        <v>1056</v>
      </c>
      <c r="I467" s="5">
        <v>1179</v>
      </c>
      <c r="J467" s="5">
        <v>388</v>
      </c>
      <c r="K467" s="5">
        <v>328</v>
      </c>
      <c r="L467" s="5">
        <v>164</v>
      </c>
      <c r="M467" s="5">
        <v>0</v>
      </c>
      <c r="N467" s="5">
        <v>5200</v>
      </c>
      <c r="O467" s="5" t="str">
        <f t="shared" ca="1" si="7"/>
        <v>Supplier 88</v>
      </c>
      <c r="P467" s="20" t="str">
        <f ca="1">IFERROR(VLOOKUP(O467,EMAILS!B:C,2,FALSE),"NOT FOUND IN EMAILS")</f>
        <v>supplier@gmail.com</v>
      </c>
      <c r="Q467" t="str">
        <f ca="1">""&amp;IFERROR(VLOOKUP(O467,EMAILS!B:D,3,FALSE),"NOT FOUND IN EMAILS")</f>
        <v/>
      </c>
      <c r="R467" t="str">
        <f ca="1">""&amp;IFERROR(VLOOKUP(O467,EMAILS!B:E,4,FALSE),"NO T FOUND IN EMAILS")</f>
        <v/>
      </c>
    </row>
    <row r="468" spans="2:18" x14ac:dyDescent="0.25">
      <c r="B468" s="5" t="s">
        <v>470</v>
      </c>
      <c r="C468" s="5" t="s">
        <v>4610</v>
      </c>
      <c r="D468" s="5">
        <v>1404</v>
      </c>
      <c r="E468" s="5">
        <v>1218</v>
      </c>
      <c r="F468" s="5">
        <v>1404</v>
      </c>
      <c r="G468" s="5">
        <v>1404</v>
      </c>
      <c r="H468" s="5">
        <v>1404</v>
      </c>
      <c r="I468" s="5">
        <v>1404</v>
      </c>
      <c r="J468" s="5">
        <v>1080</v>
      </c>
      <c r="K468" s="5">
        <v>1512</v>
      </c>
      <c r="L468" s="5">
        <v>1414</v>
      </c>
      <c r="M468" s="5">
        <v>0</v>
      </c>
      <c r="N468" s="5">
        <v>0</v>
      </c>
      <c r="O468" s="5" t="str">
        <f t="shared" ca="1" si="7"/>
        <v>Supplier 195</v>
      </c>
      <c r="P468" s="20" t="str">
        <f ca="1">IFERROR(VLOOKUP(O468,EMAILS!B:C,2,FALSE),"NOT FOUND IN EMAILS")</f>
        <v>supplier@gmail.com</v>
      </c>
      <c r="Q468" t="str">
        <f ca="1">""&amp;IFERROR(VLOOKUP(O468,EMAILS!B:D,3,FALSE),"NOT FOUND IN EMAILS")</f>
        <v/>
      </c>
      <c r="R468" t="str">
        <f ca="1">""&amp;IFERROR(VLOOKUP(O468,EMAILS!B:E,4,FALSE),"NO T FOUND IN EMAILS")</f>
        <v/>
      </c>
    </row>
    <row r="469" spans="2:18" x14ac:dyDescent="0.25">
      <c r="B469" s="5" t="s">
        <v>471</v>
      </c>
      <c r="C469" s="5" t="s">
        <v>4611</v>
      </c>
      <c r="D469" s="5">
        <v>0</v>
      </c>
      <c r="E469" s="5">
        <v>0</v>
      </c>
      <c r="F469" s="5">
        <v>0</v>
      </c>
      <c r="G469" s="5">
        <v>0</v>
      </c>
      <c r="H469" s="5">
        <v>0</v>
      </c>
      <c r="I469" s="5">
        <v>0</v>
      </c>
      <c r="J469" s="5">
        <v>0</v>
      </c>
      <c r="K469" s="5">
        <v>0</v>
      </c>
      <c r="L469" s="5">
        <v>0</v>
      </c>
      <c r="M469" s="5">
        <v>0</v>
      </c>
      <c r="N469" s="5">
        <v>800</v>
      </c>
      <c r="O469" s="5" t="str">
        <f t="shared" ca="1" si="7"/>
        <v>Supplier 193</v>
      </c>
      <c r="P469" s="20" t="str">
        <f ca="1">IFERROR(VLOOKUP(O469,EMAILS!B:C,2,FALSE),"NOT FOUND IN EMAILS")</f>
        <v>supplier@gmail.com</v>
      </c>
      <c r="Q469" t="str">
        <f ca="1">""&amp;IFERROR(VLOOKUP(O469,EMAILS!B:D,3,FALSE),"NOT FOUND IN EMAILS")</f>
        <v/>
      </c>
      <c r="R469" t="str">
        <f ca="1">""&amp;IFERROR(VLOOKUP(O469,EMAILS!B:E,4,FALSE),"NO T FOUND IN EMAILS")</f>
        <v/>
      </c>
    </row>
    <row r="470" spans="2:18" x14ac:dyDescent="0.25">
      <c r="B470" s="5" t="s">
        <v>472</v>
      </c>
      <c r="C470" s="5" t="s">
        <v>4612</v>
      </c>
      <c r="D470" s="5">
        <v>108</v>
      </c>
      <c r="E470" s="5">
        <v>432</v>
      </c>
      <c r="F470" s="5">
        <v>216</v>
      </c>
      <c r="G470" s="5">
        <v>108</v>
      </c>
      <c r="H470" s="5">
        <v>216</v>
      </c>
      <c r="I470" s="5">
        <v>432</v>
      </c>
      <c r="J470" s="5">
        <v>216</v>
      </c>
      <c r="K470" s="5">
        <v>216</v>
      </c>
      <c r="L470" s="5">
        <v>334</v>
      </c>
      <c r="M470" s="5">
        <v>0</v>
      </c>
      <c r="N470" s="5">
        <v>4400</v>
      </c>
      <c r="O470" s="5" t="str">
        <f t="shared" ca="1" si="7"/>
        <v>Supplier 99</v>
      </c>
      <c r="P470" s="20" t="str">
        <f ca="1">IFERROR(VLOOKUP(O470,EMAILS!B:C,2,FALSE),"NOT FOUND IN EMAILS")</f>
        <v>supplier@gmail.com</v>
      </c>
      <c r="Q470" t="str">
        <f ca="1">""&amp;IFERROR(VLOOKUP(O470,EMAILS!B:D,3,FALSE),"NOT FOUND IN EMAILS")</f>
        <v/>
      </c>
      <c r="R470" t="str">
        <f ca="1">""&amp;IFERROR(VLOOKUP(O470,EMAILS!B:E,4,FALSE),"NO T FOUND IN EMAILS")</f>
        <v/>
      </c>
    </row>
    <row r="471" spans="2:18" x14ac:dyDescent="0.25">
      <c r="B471" s="5" t="s">
        <v>473</v>
      </c>
      <c r="C471" s="5" t="s">
        <v>4613</v>
      </c>
      <c r="D471" s="5">
        <v>1296</v>
      </c>
      <c r="E471" s="5">
        <v>786</v>
      </c>
      <c r="F471" s="5">
        <v>1188</v>
      </c>
      <c r="G471" s="5">
        <v>1296</v>
      </c>
      <c r="H471" s="5">
        <v>1188</v>
      </c>
      <c r="I471" s="5">
        <v>972</v>
      </c>
      <c r="J471" s="5">
        <v>864</v>
      </c>
      <c r="K471" s="5">
        <v>1296</v>
      </c>
      <c r="L471" s="5">
        <v>1080</v>
      </c>
      <c r="M471" s="5">
        <v>0</v>
      </c>
      <c r="N471" s="5">
        <v>904</v>
      </c>
      <c r="O471" s="5" t="str">
        <f t="shared" ca="1" si="7"/>
        <v>Supplier 113</v>
      </c>
      <c r="P471" s="20" t="str">
        <f ca="1">IFERROR(VLOOKUP(O471,EMAILS!B:C,2,FALSE),"NOT FOUND IN EMAILS")</f>
        <v>supplier@gmail.com</v>
      </c>
      <c r="Q471" t="str">
        <f ca="1">""&amp;IFERROR(VLOOKUP(O471,EMAILS!B:D,3,FALSE),"NOT FOUND IN EMAILS")</f>
        <v/>
      </c>
      <c r="R471" t="str">
        <f ca="1">""&amp;IFERROR(VLOOKUP(O471,EMAILS!B:E,4,FALSE),"NO T FOUND IN EMAILS")</f>
        <v/>
      </c>
    </row>
    <row r="472" spans="2:18" x14ac:dyDescent="0.25">
      <c r="B472" s="5" t="s">
        <v>474</v>
      </c>
      <c r="C472" s="5" t="s">
        <v>4614</v>
      </c>
      <c r="D472" s="5">
        <v>1426</v>
      </c>
      <c r="E472" s="5">
        <v>1254.0999999999999</v>
      </c>
      <c r="F472" s="5">
        <v>1431</v>
      </c>
      <c r="G472" s="5">
        <v>1431</v>
      </c>
      <c r="H472" s="5">
        <v>1437</v>
      </c>
      <c r="I472" s="5">
        <v>1432</v>
      </c>
      <c r="J472" s="5">
        <v>1108</v>
      </c>
      <c r="K472" s="5">
        <v>1527</v>
      </c>
      <c r="L472" s="5">
        <v>1434</v>
      </c>
      <c r="M472" s="5">
        <v>0</v>
      </c>
      <c r="N472" s="5">
        <v>1880</v>
      </c>
      <c r="O472" s="5" t="str">
        <f t="shared" ca="1" si="7"/>
        <v>Supplier 48</v>
      </c>
      <c r="P472" s="20" t="str">
        <f ca="1">IFERROR(VLOOKUP(O472,EMAILS!B:C,2,FALSE),"NOT FOUND IN EMAILS")</f>
        <v>supplier@gmail.com</v>
      </c>
      <c r="Q472" t="str">
        <f ca="1">""&amp;IFERROR(VLOOKUP(O472,EMAILS!B:D,3,FALSE),"NOT FOUND IN EMAILS")</f>
        <v/>
      </c>
      <c r="R472" t="str">
        <f ca="1">""&amp;IFERROR(VLOOKUP(O472,EMAILS!B:E,4,FALSE),"NO T FOUND IN EMAILS")</f>
        <v/>
      </c>
    </row>
    <row r="473" spans="2:18" x14ac:dyDescent="0.25">
      <c r="B473" s="5" t="s">
        <v>475</v>
      </c>
      <c r="C473" s="5" t="s">
        <v>4615</v>
      </c>
      <c r="D473" s="5">
        <v>1444</v>
      </c>
      <c r="E473" s="5">
        <v>1256</v>
      </c>
      <c r="F473" s="5">
        <v>1503</v>
      </c>
      <c r="G473" s="5">
        <v>1468</v>
      </c>
      <c r="H473" s="5">
        <v>1469</v>
      </c>
      <c r="I473" s="5">
        <v>1461</v>
      </c>
      <c r="J473" s="5">
        <v>1111</v>
      </c>
      <c r="K473" s="5">
        <v>1573</v>
      </c>
      <c r="L473" s="5">
        <v>1475</v>
      </c>
      <c r="M473" s="5">
        <v>0</v>
      </c>
      <c r="N473" s="5">
        <v>795</v>
      </c>
      <c r="O473" s="5" t="str">
        <f t="shared" ca="1" si="7"/>
        <v>Supplier 16</v>
      </c>
      <c r="P473" s="20" t="str">
        <f ca="1">IFERROR(VLOOKUP(O473,EMAILS!B:C,2,FALSE),"NOT FOUND IN EMAILS")</f>
        <v>supplier@gmail.com</v>
      </c>
      <c r="Q473" t="str">
        <f ca="1">""&amp;IFERROR(VLOOKUP(O473,EMAILS!B:D,3,FALSE),"NOT FOUND IN EMAILS")</f>
        <v>supplier_logistics@gmail.com</v>
      </c>
      <c r="R473" t="str">
        <f ca="1">""&amp;IFERROR(VLOOKUP(O473,EMAILS!B:E,4,FALSE),"NO T FOUND IN EMAILS")</f>
        <v/>
      </c>
    </row>
    <row r="474" spans="2:18" x14ac:dyDescent="0.25">
      <c r="B474" s="5" t="s">
        <v>476</v>
      </c>
      <c r="C474" s="5" t="s">
        <v>4616</v>
      </c>
      <c r="D474" s="5">
        <v>1404</v>
      </c>
      <c r="E474" s="5">
        <v>1188</v>
      </c>
      <c r="F474" s="5">
        <v>1804</v>
      </c>
      <c r="G474" s="5">
        <v>1404</v>
      </c>
      <c r="H474" s="5">
        <v>2204</v>
      </c>
      <c r="I474" s="5">
        <v>2204</v>
      </c>
      <c r="J474" s="5">
        <v>1080</v>
      </c>
      <c r="K474" s="5">
        <v>1512</v>
      </c>
      <c r="L474" s="5">
        <v>1404</v>
      </c>
      <c r="M474" s="5">
        <v>0</v>
      </c>
      <c r="N474" s="5">
        <v>2500</v>
      </c>
      <c r="O474" s="5" t="str">
        <f t="shared" ca="1" si="7"/>
        <v>Supplier 69</v>
      </c>
      <c r="P474" s="20" t="str">
        <f ca="1">IFERROR(VLOOKUP(O474,EMAILS!B:C,2,FALSE),"NOT FOUND IN EMAILS")</f>
        <v>supplier@gmail.com</v>
      </c>
      <c r="Q474" t="str">
        <f ca="1">""&amp;IFERROR(VLOOKUP(O474,EMAILS!B:D,3,FALSE),"NOT FOUND IN EMAILS")</f>
        <v/>
      </c>
      <c r="R474" t="str">
        <f ca="1">""&amp;IFERROR(VLOOKUP(O474,EMAILS!B:E,4,FALSE),"NO T FOUND IN EMAILS")</f>
        <v/>
      </c>
    </row>
    <row r="475" spans="2:18" x14ac:dyDescent="0.25">
      <c r="B475" s="5" t="s">
        <v>477</v>
      </c>
      <c r="C475" s="5" t="s">
        <v>4617</v>
      </c>
      <c r="D475" s="5">
        <v>1404</v>
      </c>
      <c r="E475" s="5">
        <v>1218</v>
      </c>
      <c r="F475" s="5">
        <v>1404</v>
      </c>
      <c r="G475" s="5">
        <v>1404</v>
      </c>
      <c r="H475" s="5">
        <v>1404</v>
      </c>
      <c r="I475" s="5">
        <v>1404</v>
      </c>
      <c r="J475" s="5">
        <v>1080</v>
      </c>
      <c r="K475" s="5">
        <v>1512</v>
      </c>
      <c r="L475" s="5">
        <v>1414</v>
      </c>
      <c r="M475" s="5">
        <v>0</v>
      </c>
      <c r="N475" s="5">
        <v>0</v>
      </c>
      <c r="O475" s="5" t="str">
        <f t="shared" ca="1" si="7"/>
        <v>Supplier 49</v>
      </c>
      <c r="P475" s="20" t="str">
        <f ca="1">IFERROR(VLOOKUP(O475,EMAILS!B:C,2,FALSE),"NOT FOUND IN EMAILS")</f>
        <v>supplier@gmail.com</v>
      </c>
      <c r="Q475" t="str">
        <f ca="1">""&amp;IFERROR(VLOOKUP(O475,EMAILS!B:D,3,FALSE),"NOT FOUND IN EMAILS")</f>
        <v/>
      </c>
      <c r="R475" t="str">
        <f ca="1">""&amp;IFERROR(VLOOKUP(O475,EMAILS!B:E,4,FALSE),"NO T FOUND IN EMAILS")</f>
        <v/>
      </c>
    </row>
    <row r="476" spans="2:18" x14ac:dyDescent="0.25">
      <c r="B476" s="5" t="s">
        <v>478</v>
      </c>
      <c r="C476" s="5" t="s">
        <v>4618</v>
      </c>
      <c r="D476" s="5">
        <v>0</v>
      </c>
      <c r="E476" s="5">
        <v>280</v>
      </c>
      <c r="F476" s="5">
        <v>0</v>
      </c>
      <c r="G476" s="5">
        <v>0</v>
      </c>
      <c r="H476" s="5">
        <v>358</v>
      </c>
      <c r="I476" s="5">
        <v>0</v>
      </c>
      <c r="J476" s="5">
        <v>0</v>
      </c>
      <c r="K476" s="5">
        <v>0</v>
      </c>
      <c r="L476" s="5">
        <v>328</v>
      </c>
      <c r="M476" s="5">
        <v>0</v>
      </c>
      <c r="N476" s="5">
        <v>336</v>
      </c>
      <c r="O476" s="5" t="str">
        <f t="shared" ca="1" si="7"/>
        <v>Supplier 35</v>
      </c>
      <c r="P476" s="20" t="str">
        <f ca="1">IFERROR(VLOOKUP(O476,EMAILS!B:C,2,FALSE),"NOT FOUND IN EMAILS")</f>
        <v>supplier@gmail.com</v>
      </c>
      <c r="Q476" t="str">
        <f ca="1">""&amp;IFERROR(VLOOKUP(O476,EMAILS!B:D,3,FALSE),"NOT FOUND IN EMAILS")</f>
        <v/>
      </c>
      <c r="R476" t="str">
        <f ca="1">""&amp;IFERROR(VLOOKUP(O476,EMAILS!B:E,4,FALSE),"NO T FOUND IN EMAILS")</f>
        <v/>
      </c>
    </row>
    <row r="477" spans="2:18" x14ac:dyDescent="0.25">
      <c r="B477" s="5" t="s">
        <v>479</v>
      </c>
      <c r="C477" s="5" t="s">
        <v>4619</v>
      </c>
      <c r="D477" s="5">
        <v>0</v>
      </c>
      <c r="E477" s="5">
        <v>0</v>
      </c>
      <c r="F477" s="5">
        <v>0</v>
      </c>
      <c r="G477" s="5">
        <v>0</v>
      </c>
      <c r="H477" s="5">
        <v>0</v>
      </c>
      <c r="I477" s="5">
        <v>0</v>
      </c>
      <c r="J477" s="5">
        <v>0</v>
      </c>
      <c r="K477" s="5">
        <v>0</v>
      </c>
      <c r="L477" s="5">
        <v>0</v>
      </c>
      <c r="M477" s="5">
        <v>0</v>
      </c>
      <c r="N477" s="5">
        <v>0</v>
      </c>
      <c r="O477" s="5" t="str">
        <f t="shared" ca="1" si="7"/>
        <v>Supplier 95</v>
      </c>
      <c r="P477" s="20" t="str">
        <f ca="1">IFERROR(VLOOKUP(O477,EMAILS!B:C,2,FALSE),"NOT FOUND IN EMAILS")</f>
        <v>supplier@gmail.com</v>
      </c>
      <c r="Q477" t="str">
        <f ca="1">""&amp;IFERROR(VLOOKUP(O477,EMAILS!B:D,3,FALSE),"NOT FOUND IN EMAILS")</f>
        <v/>
      </c>
      <c r="R477" t="str">
        <f ca="1">""&amp;IFERROR(VLOOKUP(O477,EMAILS!B:E,4,FALSE),"NO T FOUND IN EMAILS")</f>
        <v/>
      </c>
    </row>
    <row r="478" spans="2:18" x14ac:dyDescent="0.25">
      <c r="B478" s="5" t="s">
        <v>480</v>
      </c>
      <c r="C478" s="5" t="s">
        <v>4620</v>
      </c>
      <c r="D478" s="5">
        <v>328</v>
      </c>
      <c r="E478" s="5">
        <v>120</v>
      </c>
      <c r="F478" s="5">
        <v>656</v>
      </c>
      <c r="G478" s="5">
        <v>656</v>
      </c>
      <c r="H478" s="5">
        <v>686</v>
      </c>
      <c r="I478" s="5">
        <v>656</v>
      </c>
      <c r="J478" s="5">
        <v>164</v>
      </c>
      <c r="K478" s="5">
        <v>0</v>
      </c>
      <c r="L478" s="5">
        <v>0</v>
      </c>
      <c r="M478" s="5">
        <v>0</v>
      </c>
      <c r="N478" s="5">
        <v>120</v>
      </c>
      <c r="O478" s="5" t="str">
        <f t="shared" ca="1" si="7"/>
        <v>Supplier 154</v>
      </c>
      <c r="P478" s="20" t="str">
        <f ca="1">IFERROR(VLOOKUP(O478,EMAILS!B:C,2,FALSE),"NOT FOUND IN EMAILS")</f>
        <v>supplier@gmail.com</v>
      </c>
      <c r="Q478" t="str">
        <f ca="1">""&amp;IFERROR(VLOOKUP(O478,EMAILS!B:D,3,FALSE),"NOT FOUND IN EMAILS")</f>
        <v/>
      </c>
      <c r="R478" t="str">
        <f ca="1">""&amp;IFERROR(VLOOKUP(O478,EMAILS!B:E,4,FALSE),"NO T FOUND IN EMAILS")</f>
        <v/>
      </c>
    </row>
    <row r="479" spans="2:18" x14ac:dyDescent="0.25">
      <c r="B479" s="5" t="s">
        <v>481</v>
      </c>
      <c r="C479" s="5" t="s">
        <v>4621</v>
      </c>
      <c r="D479" s="5">
        <v>0</v>
      </c>
      <c r="E479" s="5">
        <v>0</v>
      </c>
      <c r="F479" s="5">
        <v>0</v>
      </c>
      <c r="G479" s="5">
        <v>0</v>
      </c>
      <c r="H479" s="5">
        <v>0</v>
      </c>
      <c r="I479" s="5">
        <v>0</v>
      </c>
      <c r="J479" s="5">
        <v>0</v>
      </c>
      <c r="K479" s="5">
        <v>0</v>
      </c>
      <c r="L479" s="5">
        <v>0</v>
      </c>
      <c r="M479" s="5">
        <v>0</v>
      </c>
      <c r="N479" s="5">
        <v>0</v>
      </c>
      <c r="O479" s="5" t="str">
        <f t="shared" ca="1" si="7"/>
        <v>Supplier 73</v>
      </c>
      <c r="P479" s="20" t="str">
        <f ca="1">IFERROR(VLOOKUP(O479,EMAILS!B:C,2,FALSE),"NOT FOUND IN EMAILS")</f>
        <v>supplier@gmail.com</v>
      </c>
      <c r="Q479" t="str">
        <f ca="1">""&amp;IFERROR(VLOOKUP(O479,EMAILS!B:D,3,FALSE),"NOT FOUND IN EMAILS")</f>
        <v/>
      </c>
      <c r="R479" t="str">
        <f ca="1">""&amp;IFERROR(VLOOKUP(O479,EMAILS!B:E,4,FALSE),"NO T FOUND IN EMAILS")</f>
        <v/>
      </c>
    </row>
    <row r="480" spans="2:18" x14ac:dyDescent="0.25">
      <c r="B480" s="5" t="s">
        <v>482</v>
      </c>
      <c r="C480" s="5" t="s">
        <v>4622</v>
      </c>
      <c r="D480" s="5">
        <v>0</v>
      </c>
      <c r="E480" s="5">
        <v>360</v>
      </c>
      <c r="F480" s="5">
        <v>0</v>
      </c>
      <c r="G480" s="5">
        <v>0</v>
      </c>
      <c r="H480" s="5">
        <v>240</v>
      </c>
      <c r="I480" s="5">
        <v>120</v>
      </c>
      <c r="J480" s="5">
        <v>60</v>
      </c>
      <c r="K480" s="5">
        <v>0</v>
      </c>
      <c r="L480" s="5">
        <v>240</v>
      </c>
      <c r="M480" s="5">
        <v>0</v>
      </c>
      <c r="N480" s="5">
        <v>310</v>
      </c>
      <c r="O480" s="5" t="str">
        <f t="shared" ca="1" si="7"/>
        <v>Supplier 170</v>
      </c>
      <c r="P480" s="20" t="str">
        <f ca="1">IFERROR(VLOOKUP(O480,EMAILS!B:C,2,FALSE),"NOT FOUND IN EMAILS")</f>
        <v>supplier@gmail.com</v>
      </c>
      <c r="Q480" t="str">
        <f ca="1">""&amp;IFERROR(VLOOKUP(O480,EMAILS!B:D,3,FALSE),"NOT FOUND IN EMAILS")</f>
        <v/>
      </c>
      <c r="R480" t="str">
        <f ca="1">""&amp;IFERROR(VLOOKUP(O480,EMAILS!B:E,4,FALSE),"NO T FOUND IN EMAILS")</f>
        <v/>
      </c>
    </row>
    <row r="481" spans="2:18" x14ac:dyDescent="0.25">
      <c r="B481" s="5" t="s">
        <v>483</v>
      </c>
      <c r="C481" s="5" t="s">
        <v>4623</v>
      </c>
      <c r="D481" s="5">
        <v>0</v>
      </c>
      <c r="E481" s="5">
        <v>200</v>
      </c>
      <c r="F481" s="5">
        <v>300</v>
      </c>
      <c r="G481" s="5">
        <v>0</v>
      </c>
      <c r="H481" s="5">
        <v>248</v>
      </c>
      <c r="I481" s="5">
        <v>384</v>
      </c>
      <c r="J481" s="5">
        <v>0</v>
      </c>
      <c r="K481" s="5">
        <v>0</v>
      </c>
      <c r="L481" s="5">
        <v>0</v>
      </c>
      <c r="M481" s="5">
        <v>0</v>
      </c>
      <c r="N481" s="5">
        <v>630</v>
      </c>
      <c r="O481" s="5" t="str">
        <f t="shared" ca="1" si="7"/>
        <v>Supplier 131</v>
      </c>
      <c r="P481" s="20" t="str">
        <f ca="1">IFERROR(VLOOKUP(O481,EMAILS!B:C,2,FALSE),"NOT FOUND IN EMAILS")</f>
        <v>supplier@gmail.com</v>
      </c>
      <c r="Q481" t="str">
        <f ca="1">""&amp;IFERROR(VLOOKUP(O481,EMAILS!B:D,3,FALSE),"NOT FOUND IN EMAILS")</f>
        <v/>
      </c>
      <c r="R481" t="str">
        <f ca="1">""&amp;IFERROR(VLOOKUP(O481,EMAILS!B:E,4,FALSE),"NO T FOUND IN EMAILS")</f>
        <v/>
      </c>
    </row>
    <row r="482" spans="2:18" x14ac:dyDescent="0.25">
      <c r="B482" s="5" t="s">
        <v>484</v>
      </c>
      <c r="C482" s="5" t="s">
        <v>4624</v>
      </c>
      <c r="D482" s="5">
        <v>280</v>
      </c>
      <c r="E482" s="5">
        <v>0</v>
      </c>
      <c r="F482" s="5">
        <v>700</v>
      </c>
      <c r="G482" s="5">
        <v>700</v>
      </c>
      <c r="H482" s="5">
        <v>1028</v>
      </c>
      <c r="I482" s="5">
        <v>700</v>
      </c>
      <c r="J482" s="5">
        <v>400</v>
      </c>
      <c r="K482" s="5">
        <v>0</v>
      </c>
      <c r="L482" s="5">
        <v>328</v>
      </c>
      <c r="M482" s="5">
        <v>0</v>
      </c>
      <c r="N482" s="5">
        <v>1500</v>
      </c>
      <c r="O482" s="5" t="str">
        <f t="shared" ca="1" si="7"/>
        <v>Supplier 41</v>
      </c>
      <c r="P482" s="20" t="str">
        <f ca="1">IFERROR(VLOOKUP(O482,EMAILS!B:C,2,FALSE),"NOT FOUND IN EMAILS")</f>
        <v>supplier@gmail.com</v>
      </c>
      <c r="Q482" t="str">
        <f ca="1">""&amp;IFERROR(VLOOKUP(O482,EMAILS!B:D,3,FALSE),"NOT FOUND IN EMAILS")</f>
        <v/>
      </c>
      <c r="R482" t="str">
        <f ca="1">""&amp;IFERROR(VLOOKUP(O482,EMAILS!B:E,4,FALSE),"NO T FOUND IN EMAILS")</f>
        <v/>
      </c>
    </row>
    <row r="483" spans="2:18" x14ac:dyDescent="0.25">
      <c r="B483" s="5" t="s">
        <v>485</v>
      </c>
      <c r="C483" s="5" t="s">
        <v>4625</v>
      </c>
      <c r="D483" s="5">
        <v>600</v>
      </c>
      <c r="E483" s="5">
        <v>200</v>
      </c>
      <c r="F483" s="5">
        <v>0</v>
      </c>
      <c r="G483" s="5">
        <v>200</v>
      </c>
      <c r="H483" s="5">
        <v>328</v>
      </c>
      <c r="I483" s="5">
        <v>612</v>
      </c>
      <c r="J483" s="5">
        <v>60</v>
      </c>
      <c r="K483" s="5">
        <v>0</v>
      </c>
      <c r="L483" s="5">
        <v>568</v>
      </c>
      <c r="M483" s="5">
        <v>0</v>
      </c>
      <c r="N483" s="5">
        <v>1025</v>
      </c>
      <c r="O483" s="5" t="str">
        <f t="shared" ca="1" si="7"/>
        <v>Supplier 25</v>
      </c>
      <c r="P483" s="20" t="str">
        <f ca="1">IFERROR(VLOOKUP(O483,EMAILS!B:C,2,FALSE),"NOT FOUND IN EMAILS")</f>
        <v>supplier@gmail.com</v>
      </c>
      <c r="Q483" t="str">
        <f ca="1">""&amp;IFERROR(VLOOKUP(O483,EMAILS!B:D,3,FALSE),"NOT FOUND IN EMAILS")</f>
        <v/>
      </c>
      <c r="R483" t="str">
        <f ca="1">""&amp;IFERROR(VLOOKUP(O483,EMAILS!B:E,4,FALSE),"NO T FOUND IN EMAILS")</f>
        <v/>
      </c>
    </row>
    <row r="484" spans="2:18" x14ac:dyDescent="0.25">
      <c r="B484" s="5" t="s">
        <v>486</v>
      </c>
      <c r="C484" s="5" t="s">
        <v>4626</v>
      </c>
      <c r="D484" s="5">
        <v>600</v>
      </c>
      <c r="E484" s="5">
        <v>400</v>
      </c>
      <c r="F484" s="5">
        <v>500</v>
      </c>
      <c r="G484" s="5">
        <v>800</v>
      </c>
      <c r="H484" s="5">
        <v>492</v>
      </c>
      <c r="I484" s="5">
        <v>343</v>
      </c>
      <c r="J484" s="5">
        <v>328</v>
      </c>
      <c r="K484" s="5">
        <v>656</v>
      </c>
      <c r="L484" s="5">
        <v>328</v>
      </c>
      <c r="M484" s="5">
        <v>0</v>
      </c>
      <c r="N484" s="5">
        <v>1140</v>
      </c>
      <c r="O484" s="5" t="str">
        <f t="shared" ca="1" si="7"/>
        <v>Supplier 6</v>
      </c>
      <c r="P484" s="20" t="str">
        <f ca="1">IFERROR(VLOOKUP(O484,EMAILS!B:C,2,FALSE),"NOT FOUND IN EMAILS")</f>
        <v>supplier@gmail.com</v>
      </c>
      <c r="Q484" t="str">
        <f ca="1">""&amp;IFERROR(VLOOKUP(O484,EMAILS!B:D,3,FALSE),"NOT FOUND IN EMAILS")</f>
        <v>supplier_logistics@gmail.com</v>
      </c>
      <c r="R484" t="str">
        <f ca="1">""&amp;IFERROR(VLOOKUP(O484,EMAILS!B:E,4,FALSE),"NO T FOUND IN EMAILS")</f>
        <v/>
      </c>
    </row>
    <row r="485" spans="2:18" x14ac:dyDescent="0.25">
      <c r="B485" s="5" t="s">
        <v>487</v>
      </c>
      <c r="C485" s="5" t="s">
        <v>4627</v>
      </c>
      <c r="D485" s="5">
        <v>700</v>
      </c>
      <c r="E485" s="5">
        <v>600</v>
      </c>
      <c r="F485" s="5">
        <v>600</v>
      </c>
      <c r="G485" s="5">
        <v>928</v>
      </c>
      <c r="H485" s="5">
        <v>492</v>
      </c>
      <c r="I485" s="5">
        <v>328</v>
      </c>
      <c r="J485" s="5">
        <v>164</v>
      </c>
      <c r="K485" s="5">
        <v>328</v>
      </c>
      <c r="L485" s="5">
        <v>164</v>
      </c>
      <c r="M485" s="5">
        <v>0</v>
      </c>
      <c r="N485" s="5">
        <v>204</v>
      </c>
      <c r="O485" s="5" t="str">
        <f t="shared" ca="1" si="7"/>
        <v>Supplier 34</v>
      </c>
      <c r="P485" s="20" t="str">
        <f ca="1">IFERROR(VLOOKUP(O485,EMAILS!B:C,2,FALSE),"NOT FOUND IN EMAILS")</f>
        <v>supplier@gmail.com</v>
      </c>
      <c r="Q485" t="str">
        <f ca="1">""&amp;IFERROR(VLOOKUP(O485,EMAILS!B:D,3,FALSE),"NOT FOUND IN EMAILS")</f>
        <v/>
      </c>
      <c r="R485" t="str">
        <f ca="1">""&amp;IFERROR(VLOOKUP(O485,EMAILS!B:E,4,FALSE),"NO T FOUND IN EMAILS")</f>
        <v/>
      </c>
    </row>
    <row r="486" spans="2:18" x14ac:dyDescent="0.25">
      <c r="B486" s="5" t="s">
        <v>488</v>
      </c>
      <c r="C486" s="5" t="s">
        <v>4628</v>
      </c>
      <c r="D486" s="5">
        <v>0</v>
      </c>
      <c r="E486" s="5">
        <v>0</v>
      </c>
      <c r="F486" s="5">
        <v>0</v>
      </c>
      <c r="G486" s="5">
        <v>10</v>
      </c>
      <c r="H486" s="5">
        <v>0</v>
      </c>
      <c r="I486" s="5">
        <v>2</v>
      </c>
      <c r="J486" s="5">
        <v>0</v>
      </c>
      <c r="K486" s="5">
        <v>0</v>
      </c>
      <c r="L486" s="5">
        <v>0</v>
      </c>
      <c r="M486" s="5">
        <v>0</v>
      </c>
      <c r="N486" s="5">
        <v>2704</v>
      </c>
      <c r="O486" s="5" t="str">
        <f t="shared" ca="1" si="7"/>
        <v>Supplier 196</v>
      </c>
      <c r="P486" s="20" t="str">
        <f ca="1">IFERROR(VLOOKUP(O486,EMAILS!B:C,2,FALSE),"NOT FOUND IN EMAILS")</f>
        <v>supplier@gmail.com</v>
      </c>
      <c r="Q486" t="str">
        <f ca="1">""&amp;IFERROR(VLOOKUP(O486,EMAILS!B:D,3,FALSE),"NOT FOUND IN EMAILS")</f>
        <v/>
      </c>
      <c r="R486" t="str">
        <f ca="1">""&amp;IFERROR(VLOOKUP(O486,EMAILS!B:E,4,FALSE),"NO T FOUND IN EMAILS")</f>
        <v/>
      </c>
    </row>
    <row r="487" spans="2:18" x14ac:dyDescent="0.25">
      <c r="B487" s="5" t="s">
        <v>489</v>
      </c>
      <c r="C487" s="5" t="s">
        <v>4629</v>
      </c>
      <c r="D487" s="5">
        <v>81</v>
      </c>
      <c r="E487" s="5">
        <v>25</v>
      </c>
      <c r="F487" s="5">
        <v>36</v>
      </c>
      <c r="G487" s="5">
        <v>241</v>
      </c>
      <c r="H487" s="5">
        <v>158</v>
      </c>
      <c r="I487" s="5">
        <v>265</v>
      </c>
      <c r="J487" s="5">
        <v>27</v>
      </c>
      <c r="K487" s="5">
        <v>60</v>
      </c>
      <c r="L487" s="5">
        <v>55</v>
      </c>
      <c r="M487" s="5">
        <v>0</v>
      </c>
      <c r="N487" s="5">
        <v>49</v>
      </c>
      <c r="O487" s="5" t="str">
        <f t="shared" ca="1" si="7"/>
        <v>Supplier 141</v>
      </c>
      <c r="P487" s="20" t="str">
        <f ca="1">IFERROR(VLOOKUP(O487,EMAILS!B:C,2,FALSE),"NOT FOUND IN EMAILS")</f>
        <v>supplier@gmail.com</v>
      </c>
      <c r="Q487" t="str">
        <f ca="1">""&amp;IFERROR(VLOOKUP(O487,EMAILS!B:D,3,FALSE),"NOT FOUND IN EMAILS")</f>
        <v/>
      </c>
      <c r="R487" t="str">
        <f ca="1">""&amp;IFERROR(VLOOKUP(O487,EMAILS!B:E,4,FALSE),"NO T FOUND IN EMAILS")</f>
        <v/>
      </c>
    </row>
    <row r="488" spans="2:18" x14ac:dyDescent="0.25">
      <c r="B488" s="5" t="s">
        <v>490</v>
      </c>
      <c r="C488" s="5" t="s">
        <v>4630</v>
      </c>
      <c r="D488" s="5">
        <v>2</v>
      </c>
      <c r="E488" s="5">
        <v>0</v>
      </c>
      <c r="F488" s="5">
        <v>0</v>
      </c>
      <c r="G488" s="5">
        <v>0</v>
      </c>
      <c r="H488" s="5">
        <v>0</v>
      </c>
      <c r="I488" s="5">
        <v>0</v>
      </c>
      <c r="J488" s="5">
        <v>0</v>
      </c>
      <c r="K488" s="5">
        <v>0</v>
      </c>
      <c r="L488" s="5">
        <v>0</v>
      </c>
      <c r="M488" s="5">
        <v>0</v>
      </c>
      <c r="N488" s="5">
        <v>35</v>
      </c>
      <c r="O488" s="5" t="str">
        <f t="shared" ca="1" si="7"/>
        <v>Supplier 109</v>
      </c>
      <c r="P488" s="20" t="str">
        <f ca="1">IFERROR(VLOOKUP(O488,EMAILS!B:C,2,FALSE),"NOT FOUND IN EMAILS")</f>
        <v>supplier@gmail.com</v>
      </c>
      <c r="Q488" t="str">
        <f ca="1">""&amp;IFERROR(VLOOKUP(O488,EMAILS!B:D,3,FALSE),"NOT FOUND IN EMAILS")</f>
        <v/>
      </c>
      <c r="R488" t="str">
        <f ca="1">""&amp;IFERROR(VLOOKUP(O488,EMAILS!B:E,4,FALSE),"NO T FOUND IN EMAILS")</f>
        <v/>
      </c>
    </row>
    <row r="489" spans="2:18" x14ac:dyDescent="0.25">
      <c r="B489" s="5" t="s">
        <v>491</v>
      </c>
      <c r="C489" s="5" t="s">
        <v>4631</v>
      </c>
      <c r="D489" s="5">
        <v>4</v>
      </c>
      <c r="E489" s="5">
        <v>3</v>
      </c>
      <c r="F489" s="5">
        <v>1</v>
      </c>
      <c r="G489" s="5">
        <v>6</v>
      </c>
      <c r="H489" s="5">
        <v>0</v>
      </c>
      <c r="I489" s="5">
        <v>1</v>
      </c>
      <c r="J489" s="5">
        <v>2</v>
      </c>
      <c r="K489" s="5">
        <v>8</v>
      </c>
      <c r="L489" s="5">
        <v>4</v>
      </c>
      <c r="M489" s="5">
        <v>0</v>
      </c>
      <c r="N489" s="5">
        <v>374</v>
      </c>
      <c r="O489" s="5" t="str">
        <f t="shared" ca="1" si="7"/>
        <v>Supplier 37</v>
      </c>
      <c r="P489" s="20" t="str">
        <f ca="1">IFERROR(VLOOKUP(O489,EMAILS!B:C,2,FALSE),"NOT FOUND IN EMAILS")</f>
        <v>supplier@gmail.com</v>
      </c>
      <c r="Q489" t="str">
        <f ca="1">""&amp;IFERROR(VLOOKUP(O489,EMAILS!B:D,3,FALSE),"NOT FOUND IN EMAILS")</f>
        <v/>
      </c>
      <c r="R489" t="str">
        <f ca="1">""&amp;IFERROR(VLOOKUP(O489,EMAILS!B:E,4,FALSE),"NO T FOUND IN EMAILS")</f>
        <v/>
      </c>
    </row>
    <row r="490" spans="2:18" x14ac:dyDescent="0.25">
      <c r="B490" s="5" t="s">
        <v>492</v>
      </c>
      <c r="C490" s="5" t="s">
        <v>4632</v>
      </c>
      <c r="D490" s="5">
        <v>0</v>
      </c>
      <c r="E490" s="5">
        <v>2</v>
      </c>
      <c r="F490" s="5">
        <v>2</v>
      </c>
      <c r="G490" s="5">
        <v>2</v>
      </c>
      <c r="H490" s="5">
        <v>2</v>
      </c>
      <c r="I490" s="5">
        <v>2</v>
      </c>
      <c r="J490" s="5">
        <v>3</v>
      </c>
      <c r="K490" s="5">
        <v>2</v>
      </c>
      <c r="L490" s="5">
        <v>2</v>
      </c>
      <c r="M490" s="5">
        <v>0</v>
      </c>
      <c r="N490" s="5">
        <v>0</v>
      </c>
      <c r="O490" s="5" t="str">
        <f t="shared" ca="1" si="7"/>
        <v>Supplier 107</v>
      </c>
      <c r="P490" s="20" t="str">
        <f ca="1">IFERROR(VLOOKUP(O490,EMAILS!B:C,2,FALSE),"NOT FOUND IN EMAILS")</f>
        <v>supplier@gmail.com</v>
      </c>
      <c r="Q490" t="str">
        <f ca="1">""&amp;IFERROR(VLOOKUP(O490,EMAILS!B:D,3,FALSE),"NOT FOUND IN EMAILS")</f>
        <v/>
      </c>
      <c r="R490" t="str">
        <f ca="1">""&amp;IFERROR(VLOOKUP(O490,EMAILS!B:E,4,FALSE),"NO T FOUND IN EMAILS")</f>
        <v/>
      </c>
    </row>
    <row r="491" spans="2:18" x14ac:dyDescent="0.25">
      <c r="B491" s="5" t="s">
        <v>493</v>
      </c>
      <c r="C491" s="5" t="s">
        <v>4633</v>
      </c>
      <c r="D491" s="5">
        <v>0</v>
      </c>
      <c r="E491" s="5">
        <v>0</v>
      </c>
      <c r="F491" s="5">
        <v>0</v>
      </c>
      <c r="G491" s="5">
        <v>0</v>
      </c>
      <c r="H491" s="5">
        <v>0</v>
      </c>
      <c r="I491" s="5">
        <v>0</v>
      </c>
      <c r="J491" s="5">
        <v>0</v>
      </c>
      <c r="K491" s="5">
        <v>0</v>
      </c>
      <c r="L491" s="5">
        <v>0</v>
      </c>
      <c r="M491" s="5">
        <v>0</v>
      </c>
      <c r="N491" s="5">
        <v>0</v>
      </c>
      <c r="O491" s="5" t="str">
        <f t="shared" ca="1" si="7"/>
        <v>Supplier 152</v>
      </c>
      <c r="P491" s="20" t="str">
        <f ca="1">IFERROR(VLOOKUP(O491,EMAILS!B:C,2,FALSE),"NOT FOUND IN EMAILS")</f>
        <v>supplier@gmail.com</v>
      </c>
      <c r="Q491" t="str">
        <f ca="1">""&amp;IFERROR(VLOOKUP(O491,EMAILS!B:D,3,FALSE),"NOT FOUND IN EMAILS")</f>
        <v/>
      </c>
      <c r="R491" t="str">
        <f ca="1">""&amp;IFERROR(VLOOKUP(O491,EMAILS!B:E,4,FALSE),"NO T FOUND IN EMAILS")</f>
        <v/>
      </c>
    </row>
    <row r="492" spans="2:18" x14ac:dyDescent="0.25">
      <c r="B492" s="5" t="s">
        <v>494</v>
      </c>
      <c r="C492" s="5" t="s">
        <v>4634</v>
      </c>
      <c r="D492" s="5">
        <v>0</v>
      </c>
      <c r="E492" s="5">
        <v>0</v>
      </c>
      <c r="F492" s="5">
        <v>0</v>
      </c>
      <c r="G492" s="5">
        <v>0</v>
      </c>
      <c r="H492" s="5">
        <v>0</v>
      </c>
      <c r="I492" s="5">
        <v>0</v>
      </c>
      <c r="J492" s="5">
        <v>0</v>
      </c>
      <c r="K492" s="5">
        <v>0</v>
      </c>
      <c r="L492" s="5">
        <v>0</v>
      </c>
      <c r="M492" s="5">
        <v>0</v>
      </c>
      <c r="N492" s="5">
        <v>12</v>
      </c>
      <c r="O492" s="5" t="str">
        <f t="shared" ca="1" si="7"/>
        <v>Supplier 111</v>
      </c>
      <c r="P492" s="20" t="str">
        <f ca="1">IFERROR(VLOOKUP(O492,EMAILS!B:C,2,FALSE),"NOT FOUND IN EMAILS")</f>
        <v>supplier@gmail.com</v>
      </c>
      <c r="Q492" t="str">
        <f ca="1">""&amp;IFERROR(VLOOKUP(O492,EMAILS!B:D,3,FALSE),"NOT FOUND IN EMAILS")</f>
        <v/>
      </c>
      <c r="R492" t="str">
        <f ca="1">""&amp;IFERROR(VLOOKUP(O492,EMAILS!B:E,4,FALSE),"NO T FOUND IN EMAILS")</f>
        <v/>
      </c>
    </row>
    <row r="493" spans="2:18" x14ac:dyDescent="0.25">
      <c r="B493" s="5" t="s">
        <v>495</v>
      </c>
      <c r="C493" s="5" t="s">
        <v>4635</v>
      </c>
      <c r="D493" s="5">
        <v>0</v>
      </c>
      <c r="E493" s="5">
        <v>0</v>
      </c>
      <c r="F493" s="5">
        <v>0</v>
      </c>
      <c r="G493" s="5">
        <v>0</v>
      </c>
      <c r="H493" s="5">
        <v>0</v>
      </c>
      <c r="I493" s="5">
        <v>0</v>
      </c>
      <c r="J493" s="5">
        <v>0</v>
      </c>
      <c r="K493" s="5">
        <v>0</v>
      </c>
      <c r="L493" s="5">
        <v>0</v>
      </c>
      <c r="M493" s="5">
        <v>0</v>
      </c>
      <c r="N493" s="5">
        <v>11</v>
      </c>
      <c r="O493" s="5" t="str">
        <f t="shared" ca="1" si="7"/>
        <v>Supplier 19</v>
      </c>
      <c r="P493" s="20" t="str">
        <f ca="1">IFERROR(VLOOKUP(O493,EMAILS!B:C,2,FALSE),"NOT FOUND IN EMAILS")</f>
        <v>supplier@gmail.com</v>
      </c>
      <c r="Q493" t="str">
        <f ca="1">""&amp;IFERROR(VLOOKUP(O493,EMAILS!B:D,3,FALSE),"NOT FOUND IN EMAILS")</f>
        <v>supplier_logistics@gmail.com</v>
      </c>
      <c r="R493" t="str">
        <f ca="1">""&amp;IFERROR(VLOOKUP(O493,EMAILS!B:E,4,FALSE),"NO T FOUND IN EMAILS")</f>
        <v/>
      </c>
    </row>
    <row r="494" spans="2:18" x14ac:dyDescent="0.25">
      <c r="B494" s="5" t="s">
        <v>496</v>
      </c>
      <c r="C494" s="5" t="s">
        <v>4636</v>
      </c>
      <c r="D494" s="5">
        <v>0</v>
      </c>
      <c r="E494" s="5">
        <v>0</v>
      </c>
      <c r="F494" s="5">
        <v>0</v>
      </c>
      <c r="G494" s="5">
        <v>0</v>
      </c>
      <c r="H494" s="5">
        <v>0</v>
      </c>
      <c r="I494" s="5">
        <v>0</v>
      </c>
      <c r="J494" s="5">
        <v>0</v>
      </c>
      <c r="K494" s="5">
        <v>0</v>
      </c>
      <c r="L494" s="5">
        <v>0</v>
      </c>
      <c r="M494" s="5">
        <v>0</v>
      </c>
      <c r="N494" s="5">
        <v>0</v>
      </c>
      <c r="O494" s="5" t="str">
        <f t="shared" ca="1" si="7"/>
        <v>Supplier 144</v>
      </c>
      <c r="P494" s="20" t="str">
        <f ca="1">IFERROR(VLOOKUP(O494,EMAILS!B:C,2,FALSE),"NOT FOUND IN EMAILS")</f>
        <v>supplier@gmail.com</v>
      </c>
      <c r="Q494" t="str">
        <f ca="1">""&amp;IFERROR(VLOOKUP(O494,EMAILS!B:D,3,FALSE),"NOT FOUND IN EMAILS")</f>
        <v/>
      </c>
      <c r="R494" t="str">
        <f ca="1">""&amp;IFERROR(VLOOKUP(O494,EMAILS!B:E,4,FALSE),"NO T FOUND IN EMAILS")</f>
        <v/>
      </c>
    </row>
    <row r="495" spans="2:18" x14ac:dyDescent="0.25">
      <c r="B495" s="5" t="s">
        <v>497</v>
      </c>
      <c r="C495" s="5" t="s">
        <v>4637</v>
      </c>
      <c r="D495" s="5">
        <v>0</v>
      </c>
      <c r="E495" s="5">
        <v>0</v>
      </c>
      <c r="F495" s="5">
        <v>0</v>
      </c>
      <c r="G495" s="5">
        <v>0</v>
      </c>
      <c r="H495" s="5">
        <v>0</v>
      </c>
      <c r="I495" s="5">
        <v>0</v>
      </c>
      <c r="J495" s="5">
        <v>0</v>
      </c>
      <c r="K495" s="5">
        <v>0</v>
      </c>
      <c r="L495" s="5">
        <v>0</v>
      </c>
      <c r="M495" s="5">
        <v>0</v>
      </c>
      <c r="N495" s="5">
        <v>0</v>
      </c>
      <c r="O495" s="5" t="str">
        <f t="shared" ca="1" si="7"/>
        <v>Supplier 102</v>
      </c>
      <c r="P495" s="20" t="str">
        <f ca="1">IFERROR(VLOOKUP(O495,EMAILS!B:C,2,FALSE),"NOT FOUND IN EMAILS")</f>
        <v>supplier@gmail.com</v>
      </c>
      <c r="Q495" t="str">
        <f ca="1">""&amp;IFERROR(VLOOKUP(O495,EMAILS!B:D,3,FALSE),"NOT FOUND IN EMAILS")</f>
        <v/>
      </c>
      <c r="R495" t="str">
        <f ca="1">""&amp;IFERROR(VLOOKUP(O495,EMAILS!B:E,4,FALSE),"NO T FOUND IN EMAILS")</f>
        <v/>
      </c>
    </row>
    <row r="496" spans="2:18" x14ac:dyDescent="0.25">
      <c r="B496" s="5" t="s">
        <v>498</v>
      </c>
      <c r="C496" s="5" t="s">
        <v>4638</v>
      </c>
      <c r="D496" s="5">
        <v>0</v>
      </c>
      <c r="E496" s="5">
        <v>0</v>
      </c>
      <c r="F496" s="5">
        <v>0</v>
      </c>
      <c r="G496" s="5">
        <v>0</v>
      </c>
      <c r="H496" s="5">
        <v>0</v>
      </c>
      <c r="I496" s="5">
        <v>0</v>
      </c>
      <c r="J496" s="5">
        <v>0</v>
      </c>
      <c r="K496" s="5">
        <v>0</v>
      </c>
      <c r="L496" s="5">
        <v>0</v>
      </c>
      <c r="M496" s="5">
        <v>0</v>
      </c>
      <c r="N496" s="5">
        <v>0</v>
      </c>
      <c r="O496" s="5" t="str">
        <f t="shared" ca="1" si="7"/>
        <v>Supplier 90</v>
      </c>
      <c r="P496" s="20" t="str">
        <f ca="1">IFERROR(VLOOKUP(O496,EMAILS!B:C,2,FALSE),"NOT FOUND IN EMAILS")</f>
        <v>supplier@gmail.com</v>
      </c>
      <c r="Q496" t="str">
        <f ca="1">""&amp;IFERROR(VLOOKUP(O496,EMAILS!B:D,3,FALSE),"NOT FOUND IN EMAILS")</f>
        <v/>
      </c>
      <c r="R496" t="str">
        <f ca="1">""&amp;IFERROR(VLOOKUP(O496,EMAILS!B:E,4,FALSE),"NO T FOUND IN EMAILS")</f>
        <v/>
      </c>
    </row>
    <row r="497" spans="2:18" x14ac:dyDescent="0.25">
      <c r="B497" s="5" t="s">
        <v>499</v>
      </c>
      <c r="C497" s="5" t="s">
        <v>4639</v>
      </c>
      <c r="D497" s="5">
        <v>0</v>
      </c>
      <c r="E497" s="5">
        <v>0</v>
      </c>
      <c r="F497" s="5">
        <v>0</v>
      </c>
      <c r="G497" s="5">
        <v>0</v>
      </c>
      <c r="H497" s="5">
        <v>0</v>
      </c>
      <c r="I497" s="5">
        <v>0</v>
      </c>
      <c r="J497" s="5">
        <v>0</v>
      </c>
      <c r="K497" s="5">
        <v>0</v>
      </c>
      <c r="L497" s="5">
        <v>0</v>
      </c>
      <c r="M497" s="5">
        <v>0</v>
      </c>
      <c r="N497" s="5">
        <v>0</v>
      </c>
      <c r="O497" s="5" t="str">
        <f t="shared" ca="1" si="7"/>
        <v>Supplier 95</v>
      </c>
      <c r="P497" s="20" t="str">
        <f ca="1">IFERROR(VLOOKUP(O497,EMAILS!B:C,2,FALSE),"NOT FOUND IN EMAILS")</f>
        <v>supplier@gmail.com</v>
      </c>
      <c r="Q497" t="str">
        <f ca="1">""&amp;IFERROR(VLOOKUP(O497,EMAILS!B:D,3,FALSE),"NOT FOUND IN EMAILS")</f>
        <v/>
      </c>
      <c r="R497" t="str">
        <f ca="1">""&amp;IFERROR(VLOOKUP(O497,EMAILS!B:E,4,FALSE),"NO T FOUND IN EMAILS")</f>
        <v/>
      </c>
    </row>
    <row r="498" spans="2:18" x14ac:dyDescent="0.25">
      <c r="B498" s="5" t="s">
        <v>500</v>
      </c>
      <c r="C498" s="5" t="s">
        <v>4640</v>
      </c>
      <c r="D498" s="5">
        <v>0</v>
      </c>
      <c r="E498" s="5">
        <v>0</v>
      </c>
      <c r="F498" s="5">
        <v>0</v>
      </c>
      <c r="G498" s="5">
        <v>0</v>
      </c>
      <c r="H498" s="5">
        <v>0</v>
      </c>
      <c r="I498" s="5">
        <v>0</v>
      </c>
      <c r="J498" s="5">
        <v>0</v>
      </c>
      <c r="K498" s="5">
        <v>0</v>
      </c>
      <c r="L498" s="5">
        <v>0</v>
      </c>
      <c r="M498" s="5">
        <v>0</v>
      </c>
      <c r="N498" s="5">
        <v>6</v>
      </c>
      <c r="O498" s="5" t="str">
        <f t="shared" ca="1" si="7"/>
        <v>Supplier 183</v>
      </c>
      <c r="P498" s="20" t="str">
        <f ca="1">IFERROR(VLOOKUP(O498,EMAILS!B:C,2,FALSE),"NOT FOUND IN EMAILS")</f>
        <v>supplier@gmail.com</v>
      </c>
      <c r="Q498" t="str">
        <f ca="1">""&amp;IFERROR(VLOOKUP(O498,EMAILS!B:D,3,FALSE),"NOT FOUND IN EMAILS")</f>
        <v/>
      </c>
      <c r="R498" t="str">
        <f ca="1">""&amp;IFERROR(VLOOKUP(O498,EMAILS!B:E,4,FALSE),"NO T FOUND IN EMAILS")</f>
        <v/>
      </c>
    </row>
    <row r="499" spans="2:18" x14ac:dyDescent="0.25">
      <c r="B499" s="5" t="s">
        <v>501</v>
      </c>
      <c r="C499" s="5" t="s">
        <v>4641</v>
      </c>
      <c r="D499" s="5">
        <v>0</v>
      </c>
      <c r="E499" s="5">
        <v>0</v>
      </c>
      <c r="F499" s="5">
        <v>0</v>
      </c>
      <c r="G499" s="5">
        <v>0</v>
      </c>
      <c r="H499" s="5">
        <v>0</v>
      </c>
      <c r="I499" s="5">
        <v>0</v>
      </c>
      <c r="J499" s="5">
        <v>0</v>
      </c>
      <c r="K499" s="5">
        <v>0</v>
      </c>
      <c r="L499" s="5">
        <v>0</v>
      </c>
      <c r="M499" s="5">
        <v>0</v>
      </c>
      <c r="N499" s="5">
        <v>2</v>
      </c>
      <c r="O499" s="5" t="str">
        <f t="shared" ca="1" si="7"/>
        <v>Supplier 178</v>
      </c>
      <c r="P499" s="20" t="str">
        <f ca="1">IFERROR(VLOOKUP(O499,EMAILS!B:C,2,FALSE),"NOT FOUND IN EMAILS")</f>
        <v>supplier@gmail.com</v>
      </c>
      <c r="Q499" t="str">
        <f ca="1">""&amp;IFERROR(VLOOKUP(O499,EMAILS!B:D,3,FALSE),"NOT FOUND IN EMAILS")</f>
        <v/>
      </c>
      <c r="R499" t="str">
        <f ca="1">""&amp;IFERROR(VLOOKUP(O499,EMAILS!B:E,4,FALSE),"NO T FOUND IN EMAILS")</f>
        <v/>
      </c>
    </row>
    <row r="500" spans="2:18" x14ac:dyDescent="0.25">
      <c r="B500" s="5" t="s">
        <v>502</v>
      </c>
      <c r="C500" s="5" t="s">
        <v>4642</v>
      </c>
      <c r="D500" s="5">
        <v>0</v>
      </c>
      <c r="E500" s="5">
        <v>0</v>
      </c>
      <c r="F500" s="5">
        <v>0</v>
      </c>
      <c r="G500" s="5">
        <v>0</v>
      </c>
      <c r="H500" s="5">
        <v>0</v>
      </c>
      <c r="I500" s="5">
        <v>0</v>
      </c>
      <c r="J500" s="5">
        <v>0</v>
      </c>
      <c r="K500" s="5">
        <v>0</v>
      </c>
      <c r="L500" s="5">
        <v>0</v>
      </c>
      <c r="M500" s="5">
        <v>0</v>
      </c>
      <c r="N500" s="5">
        <v>0</v>
      </c>
      <c r="O500" s="5" t="str">
        <f t="shared" ca="1" si="7"/>
        <v>Supplier 187</v>
      </c>
      <c r="P500" s="20" t="str">
        <f ca="1">IFERROR(VLOOKUP(O500,EMAILS!B:C,2,FALSE),"NOT FOUND IN EMAILS")</f>
        <v>supplier@gmail.com</v>
      </c>
      <c r="Q500" t="str">
        <f ca="1">""&amp;IFERROR(VLOOKUP(O500,EMAILS!B:D,3,FALSE),"NOT FOUND IN EMAILS")</f>
        <v/>
      </c>
      <c r="R500" t="str">
        <f ca="1">""&amp;IFERROR(VLOOKUP(O500,EMAILS!B:E,4,FALSE),"NO T FOUND IN EMAILS")</f>
        <v/>
      </c>
    </row>
    <row r="501" spans="2:18" x14ac:dyDescent="0.25">
      <c r="B501" s="5" t="s">
        <v>503</v>
      </c>
      <c r="C501" s="5" t="s">
        <v>4643</v>
      </c>
      <c r="D501" s="5">
        <v>0</v>
      </c>
      <c r="E501" s="5">
        <v>0</v>
      </c>
      <c r="F501" s="5">
        <v>0</v>
      </c>
      <c r="G501" s="5">
        <v>0</v>
      </c>
      <c r="H501" s="5">
        <v>0</v>
      </c>
      <c r="I501" s="5">
        <v>0</v>
      </c>
      <c r="J501" s="5">
        <v>0</v>
      </c>
      <c r="K501" s="5">
        <v>0</v>
      </c>
      <c r="L501" s="5">
        <v>0</v>
      </c>
      <c r="M501" s="5">
        <v>0</v>
      </c>
      <c r="N501" s="5">
        <v>5500</v>
      </c>
      <c r="O501" s="5" t="str">
        <f t="shared" ca="1" si="7"/>
        <v>Supplier 174</v>
      </c>
      <c r="P501" s="20" t="str">
        <f ca="1">IFERROR(VLOOKUP(O501,EMAILS!B:C,2,FALSE),"NOT FOUND IN EMAILS")</f>
        <v>supplier@gmail.com</v>
      </c>
      <c r="Q501" t="str">
        <f ca="1">""&amp;IFERROR(VLOOKUP(O501,EMAILS!B:D,3,FALSE),"NOT FOUND IN EMAILS")</f>
        <v/>
      </c>
      <c r="R501" t="str">
        <f ca="1">""&amp;IFERROR(VLOOKUP(O501,EMAILS!B:E,4,FALSE),"NO T FOUND IN EMAILS")</f>
        <v/>
      </c>
    </row>
    <row r="502" spans="2:18" x14ac:dyDescent="0.25">
      <c r="B502" s="5" t="s">
        <v>504</v>
      </c>
      <c r="C502" s="5" t="s">
        <v>4644</v>
      </c>
      <c r="D502" s="5">
        <v>0</v>
      </c>
      <c r="E502" s="5">
        <v>0</v>
      </c>
      <c r="F502" s="5">
        <v>0</v>
      </c>
      <c r="G502" s="5">
        <v>0</v>
      </c>
      <c r="H502" s="5">
        <v>0</v>
      </c>
      <c r="I502" s="5">
        <v>0</v>
      </c>
      <c r="J502" s="5">
        <v>0</v>
      </c>
      <c r="K502" s="5">
        <v>0</v>
      </c>
      <c r="L502" s="5">
        <v>0</v>
      </c>
      <c r="M502" s="5">
        <v>0</v>
      </c>
      <c r="N502" s="5">
        <v>700</v>
      </c>
      <c r="O502" s="5" t="str">
        <f t="shared" ca="1" si="7"/>
        <v>Supplier 82</v>
      </c>
      <c r="P502" s="20" t="str">
        <f ca="1">IFERROR(VLOOKUP(O502,EMAILS!B:C,2,FALSE),"NOT FOUND IN EMAILS")</f>
        <v>supplier@gmail.com</v>
      </c>
      <c r="Q502" t="str">
        <f ca="1">""&amp;IFERROR(VLOOKUP(O502,EMAILS!B:D,3,FALSE),"NOT FOUND IN EMAILS")</f>
        <v/>
      </c>
      <c r="R502" t="str">
        <f ca="1">""&amp;IFERROR(VLOOKUP(O502,EMAILS!B:E,4,FALSE),"NO T FOUND IN EMAILS")</f>
        <v/>
      </c>
    </row>
    <row r="503" spans="2:18" x14ac:dyDescent="0.25">
      <c r="B503" s="5" t="s">
        <v>505</v>
      </c>
      <c r="C503" s="5" t="s">
        <v>4645</v>
      </c>
      <c r="D503" s="5">
        <v>204</v>
      </c>
      <c r="E503" s="5">
        <v>140</v>
      </c>
      <c r="F503" s="5">
        <v>150</v>
      </c>
      <c r="G503" s="5">
        <v>140</v>
      </c>
      <c r="H503" s="5">
        <v>114</v>
      </c>
      <c r="I503" s="5">
        <v>110</v>
      </c>
      <c r="J503" s="5">
        <v>80</v>
      </c>
      <c r="K503" s="5">
        <v>54</v>
      </c>
      <c r="L503" s="5">
        <v>80</v>
      </c>
      <c r="M503" s="5">
        <v>0</v>
      </c>
      <c r="N503" s="5">
        <v>110</v>
      </c>
      <c r="O503" s="5" t="str">
        <f t="shared" ca="1" si="7"/>
        <v>Supplier 111</v>
      </c>
      <c r="P503" s="20" t="str">
        <f ca="1">IFERROR(VLOOKUP(O503,EMAILS!B:C,2,FALSE),"NOT FOUND IN EMAILS")</f>
        <v>supplier@gmail.com</v>
      </c>
      <c r="Q503" t="str">
        <f ca="1">""&amp;IFERROR(VLOOKUP(O503,EMAILS!B:D,3,FALSE),"NOT FOUND IN EMAILS")</f>
        <v/>
      </c>
      <c r="R503" t="str">
        <f ca="1">""&amp;IFERROR(VLOOKUP(O503,EMAILS!B:E,4,FALSE),"NO T FOUND IN EMAILS")</f>
        <v/>
      </c>
    </row>
    <row r="504" spans="2:18" x14ac:dyDescent="0.25">
      <c r="B504" s="5" t="s">
        <v>506</v>
      </c>
      <c r="C504" s="5" t="s">
        <v>4646</v>
      </c>
      <c r="D504" s="5">
        <v>0</v>
      </c>
      <c r="E504" s="5">
        <v>0</v>
      </c>
      <c r="F504" s="5">
        <v>0</v>
      </c>
      <c r="G504" s="5">
        <v>0</v>
      </c>
      <c r="H504" s="5">
        <v>0</v>
      </c>
      <c r="I504" s="5">
        <v>0</v>
      </c>
      <c r="J504" s="5">
        <v>0</v>
      </c>
      <c r="K504" s="5">
        <v>0</v>
      </c>
      <c r="L504" s="5">
        <v>0</v>
      </c>
      <c r="M504" s="5">
        <v>0</v>
      </c>
      <c r="N504" s="5">
        <v>0</v>
      </c>
      <c r="O504" s="5" t="str">
        <f t="shared" ca="1" si="7"/>
        <v>Supplier 49</v>
      </c>
      <c r="P504" s="20" t="str">
        <f ca="1">IFERROR(VLOOKUP(O504,EMAILS!B:C,2,FALSE),"NOT FOUND IN EMAILS")</f>
        <v>supplier@gmail.com</v>
      </c>
      <c r="Q504" t="str">
        <f ca="1">""&amp;IFERROR(VLOOKUP(O504,EMAILS!B:D,3,FALSE),"NOT FOUND IN EMAILS")</f>
        <v/>
      </c>
      <c r="R504" t="str">
        <f ca="1">""&amp;IFERROR(VLOOKUP(O504,EMAILS!B:E,4,FALSE),"NO T FOUND IN EMAILS")</f>
        <v/>
      </c>
    </row>
    <row r="505" spans="2:18" x14ac:dyDescent="0.25">
      <c r="B505" s="5" t="s">
        <v>507</v>
      </c>
      <c r="C505" s="5" t="s">
        <v>4647</v>
      </c>
      <c r="D505" s="5">
        <v>0</v>
      </c>
      <c r="E505" s="5">
        <v>0</v>
      </c>
      <c r="F505" s="5">
        <v>0</v>
      </c>
      <c r="G505" s="5">
        <v>0</v>
      </c>
      <c r="H505" s="5">
        <v>0</v>
      </c>
      <c r="I505" s="5">
        <v>0</v>
      </c>
      <c r="J505" s="5">
        <v>0</v>
      </c>
      <c r="K505" s="5">
        <v>0</v>
      </c>
      <c r="L505" s="5">
        <v>0</v>
      </c>
      <c r="M505" s="5">
        <v>0</v>
      </c>
      <c r="N505" s="5">
        <v>4349</v>
      </c>
      <c r="O505" s="5" t="str">
        <f t="shared" ca="1" si="7"/>
        <v>Supplier 115</v>
      </c>
      <c r="P505" s="20" t="str">
        <f ca="1">IFERROR(VLOOKUP(O505,EMAILS!B:C,2,FALSE),"NOT FOUND IN EMAILS")</f>
        <v>supplier@gmail.com</v>
      </c>
      <c r="Q505" t="str">
        <f ca="1">""&amp;IFERROR(VLOOKUP(O505,EMAILS!B:D,3,FALSE),"NOT FOUND IN EMAILS")</f>
        <v/>
      </c>
      <c r="R505" t="str">
        <f ca="1">""&amp;IFERROR(VLOOKUP(O505,EMAILS!B:E,4,FALSE),"NO T FOUND IN EMAILS")</f>
        <v/>
      </c>
    </row>
    <row r="506" spans="2:18" x14ac:dyDescent="0.25">
      <c r="B506" s="5" t="s">
        <v>508</v>
      </c>
      <c r="C506" s="5" t="s">
        <v>4648</v>
      </c>
      <c r="D506" s="5">
        <v>1</v>
      </c>
      <c r="E506" s="5">
        <v>0</v>
      </c>
      <c r="F506" s="5">
        <v>8</v>
      </c>
      <c r="G506" s="5">
        <v>4</v>
      </c>
      <c r="H506" s="5">
        <v>3</v>
      </c>
      <c r="I506" s="5">
        <v>0</v>
      </c>
      <c r="J506" s="5">
        <v>2</v>
      </c>
      <c r="K506" s="5">
        <v>5</v>
      </c>
      <c r="L506" s="5">
        <v>0</v>
      </c>
      <c r="M506" s="5">
        <v>0</v>
      </c>
      <c r="N506" s="5">
        <v>690</v>
      </c>
      <c r="O506" s="5" t="str">
        <f t="shared" ca="1" si="7"/>
        <v>Supplier 45</v>
      </c>
      <c r="P506" s="20" t="str">
        <f ca="1">IFERROR(VLOOKUP(O506,EMAILS!B:C,2,FALSE),"NOT FOUND IN EMAILS")</f>
        <v>supplier@gmail.com</v>
      </c>
      <c r="Q506" t="str">
        <f ca="1">""&amp;IFERROR(VLOOKUP(O506,EMAILS!B:D,3,FALSE),"NOT FOUND IN EMAILS")</f>
        <v/>
      </c>
      <c r="R506" t="str">
        <f ca="1">""&amp;IFERROR(VLOOKUP(O506,EMAILS!B:E,4,FALSE),"NO T FOUND IN EMAILS")</f>
        <v/>
      </c>
    </row>
    <row r="507" spans="2:18" x14ac:dyDescent="0.25">
      <c r="B507" s="5" t="s">
        <v>509</v>
      </c>
      <c r="C507" s="5" t="s">
        <v>4649</v>
      </c>
      <c r="D507" s="5">
        <v>1735</v>
      </c>
      <c r="E507" s="5">
        <v>1429</v>
      </c>
      <c r="F507" s="5">
        <v>1860</v>
      </c>
      <c r="G507" s="5">
        <v>1701</v>
      </c>
      <c r="H507" s="5">
        <v>1606</v>
      </c>
      <c r="I507" s="5">
        <v>1787</v>
      </c>
      <c r="J507" s="5">
        <v>1031</v>
      </c>
      <c r="K507" s="5">
        <v>976</v>
      </c>
      <c r="L507" s="5">
        <v>1221</v>
      </c>
      <c r="M507" s="5">
        <v>0</v>
      </c>
      <c r="N507" s="5">
        <v>5850</v>
      </c>
      <c r="O507" s="5" t="str">
        <f t="shared" ca="1" si="7"/>
        <v>Supplier 81</v>
      </c>
      <c r="P507" s="20" t="str">
        <f ca="1">IFERROR(VLOOKUP(O507,EMAILS!B:C,2,FALSE),"NOT FOUND IN EMAILS")</f>
        <v>supplier@gmail.com</v>
      </c>
      <c r="Q507" t="str">
        <f ca="1">""&amp;IFERROR(VLOOKUP(O507,EMAILS!B:D,3,FALSE),"NOT FOUND IN EMAILS")</f>
        <v/>
      </c>
      <c r="R507" t="str">
        <f ca="1">""&amp;IFERROR(VLOOKUP(O507,EMAILS!B:E,4,FALSE),"NO T FOUND IN EMAILS")</f>
        <v/>
      </c>
    </row>
    <row r="508" spans="2:18" x14ac:dyDescent="0.25">
      <c r="B508" s="5" t="s">
        <v>510</v>
      </c>
      <c r="C508" s="5" t="s">
        <v>4650</v>
      </c>
      <c r="D508" s="5">
        <v>26898</v>
      </c>
      <c r="E508" s="5">
        <v>20185</v>
      </c>
      <c r="F508" s="5">
        <v>25339</v>
      </c>
      <c r="G508" s="5">
        <v>25848</v>
      </c>
      <c r="H508" s="5">
        <v>22490</v>
      </c>
      <c r="I508" s="5">
        <v>26077</v>
      </c>
      <c r="J508" s="5">
        <v>18566</v>
      </c>
      <c r="K508" s="5">
        <v>17216</v>
      </c>
      <c r="L508" s="5">
        <v>19604</v>
      </c>
      <c r="M508" s="5">
        <v>0</v>
      </c>
      <c r="N508" s="5">
        <v>1138</v>
      </c>
      <c r="O508" s="5" t="str">
        <f t="shared" ca="1" si="7"/>
        <v>Supplier 172</v>
      </c>
      <c r="P508" s="20" t="str">
        <f ca="1">IFERROR(VLOOKUP(O508,EMAILS!B:C,2,FALSE),"NOT FOUND IN EMAILS")</f>
        <v>supplier@gmail.com</v>
      </c>
      <c r="Q508" t="str">
        <f ca="1">""&amp;IFERROR(VLOOKUP(O508,EMAILS!B:D,3,FALSE),"NOT FOUND IN EMAILS")</f>
        <v/>
      </c>
      <c r="R508" t="str">
        <f ca="1">""&amp;IFERROR(VLOOKUP(O508,EMAILS!B:E,4,FALSE),"NO T FOUND IN EMAILS")</f>
        <v/>
      </c>
    </row>
    <row r="509" spans="2:18" x14ac:dyDescent="0.25">
      <c r="B509" s="5" t="s">
        <v>511</v>
      </c>
      <c r="C509" s="5" t="s">
        <v>4651</v>
      </c>
      <c r="D509" s="5">
        <v>0</v>
      </c>
      <c r="E509" s="5">
        <v>0</v>
      </c>
      <c r="F509" s="5">
        <v>0</v>
      </c>
      <c r="G509" s="5">
        <v>0</v>
      </c>
      <c r="H509" s="5">
        <v>0</v>
      </c>
      <c r="I509" s="5">
        <v>0</v>
      </c>
      <c r="J509" s="5">
        <v>0</v>
      </c>
      <c r="K509" s="5">
        <v>0</v>
      </c>
      <c r="L509" s="5">
        <v>0</v>
      </c>
      <c r="M509" s="5">
        <v>0</v>
      </c>
      <c r="N509" s="5">
        <v>0</v>
      </c>
      <c r="O509" s="5" t="str">
        <f t="shared" ca="1" si="7"/>
        <v>Supplier 117</v>
      </c>
      <c r="P509" s="20" t="str">
        <f ca="1">IFERROR(VLOOKUP(O509,EMAILS!B:C,2,FALSE),"NOT FOUND IN EMAILS")</f>
        <v>supplier@gmail.com</v>
      </c>
      <c r="Q509" t="str">
        <f ca="1">""&amp;IFERROR(VLOOKUP(O509,EMAILS!B:D,3,FALSE),"NOT FOUND IN EMAILS")</f>
        <v/>
      </c>
      <c r="R509" t="str">
        <f ca="1">""&amp;IFERROR(VLOOKUP(O509,EMAILS!B:E,4,FALSE),"NO T FOUND IN EMAILS")</f>
        <v/>
      </c>
    </row>
    <row r="510" spans="2:18" x14ac:dyDescent="0.25">
      <c r="B510" s="5" t="s">
        <v>512</v>
      </c>
      <c r="C510" s="5" t="s">
        <v>4652</v>
      </c>
      <c r="D510" s="5">
        <v>4</v>
      </c>
      <c r="E510" s="5">
        <v>0</v>
      </c>
      <c r="F510" s="5">
        <v>0</v>
      </c>
      <c r="G510" s="5">
        <v>0</v>
      </c>
      <c r="H510" s="5">
        <v>0</v>
      </c>
      <c r="I510" s="5">
        <v>0</v>
      </c>
      <c r="J510" s="5">
        <v>0</v>
      </c>
      <c r="K510" s="5">
        <v>0</v>
      </c>
      <c r="L510" s="5">
        <v>0</v>
      </c>
      <c r="M510" s="5">
        <v>0</v>
      </c>
      <c r="N510" s="5">
        <v>631</v>
      </c>
      <c r="O510" s="5" t="str">
        <f t="shared" ca="1" si="7"/>
        <v>Supplier 15</v>
      </c>
      <c r="P510" s="20" t="str">
        <f ca="1">IFERROR(VLOOKUP(O510,EMAILS!B:C,2,FALSE),"NOT FOUND IN EMAILS")</f>
        <v>supplier@gmail.com</v>
      </c>
      <c r="Q510" t="str">
        <f ca="1">""&amp;IFERROR(VLOOKUP(O510,EMAILS!B:D,3,FALSE),"NOT FOUND IN EMAILS")</f>
        <v>supplier_logistics@gmail.com</v>
      </c>
      <c r="R510" t="str">
        <f ca="1">""&amp;IFERROR(VLOOKUP(O510,EMAILS!B:E,4,FALSE),"NO T FOUND IN EMAILS")</f>
        <v/>
      </c>
    </row>
    <row r="511" spans="2:18" x14ac:dyDescent="0.25">
      <c r="B511" s="5" t="s">
        <v>513</v>
      </c>
      <c r="C511" s="5" t="s">
        <v>4653</v>
      </c>
      <c r="D511" s="5">
        <v>12</v>
      </c>
      <c r="E511" s="5">
        <v>0</v>
      </c>
      <c r="F511" s="5">
        <v>10</v>
      </c>
      <c r="G511" s="5">
        <v>8</v>
      </c>
      <c r="H511" s="5">
        <v>10</v>
      </c>
      <c r="I511" s="5">
        <v>6</v>
      </c>
      <c r="J511" s="5">
        <v>8</v>
      </c>
      <c r="K511" s="5">
        <v>4</v>
      </c>
      <c r="L511" s="5">
        <v>4</v>
      </c>
      <c r="M511" s="5">
        <v>0</v>
      </c>
      <c r="N511" s="5">
        <v>450</v>
      </c>
      <c r="O511" s="5" t="str">
        <f t="shared" ca="1" si="7"/>
        <v>Supplier 61</v>
      </c>
      <c r="P511" s="20" t="str">
        <f ca="1">IFERROR(VLOOKUP(O511,EMAILS!B:C,2,FALSE),"NOT FOUND IN EMAILS")</f>
        <v>supplier@gmail.com</v>
      </c>
      <c r="Q511" t="str">
        <f ca="1">""&amp;IFERROR(VLOOKUP(O511,EMAILS!B:D,3,FALSE),"NOT FOUND IN EMAILS")</f>
        <v/>
      </c>
      <c r="R511" t="str">
        <f ca="1">""&amp;IFERROR(VLOOKUP(O511,EMAILS!B:E,4,FALSE),"NO T FOUND IN EMAILS")</f>
        <v/>
      </c>
    </row>
    <row r="512" spans="2:18" x14ac:dyDescent="0.25">
      <c r="B512" s="5" t="s">
        <v>514</v>
      </c>
      <c r="C512" s="5" t="s">
        <v>4654</v>
      </c>
      <c r="D512" s="5">
        <v>0</v>
      </c>
      <c r="E512" s="5">
        <v>0</v>
      </c>
      <c r="F512" s="5">
        <v>0</v>
      </c>
      <c r="G512" s="5">
        <v>0</v>
      </c>
      <c r="H512" s="5">
        <v>0</v>
      </c>
      <c r="I512" s="5">
        <v>0</v>
      </c>
      <c r="J512" s="5">
        <v>0</v>
      </c>
      <c r="K512" s="5">
        <v>0</v>
      </c>
      <c r="L512" s="5">
        <v>0</v>
      </c>
      <c r="M512" s="5">
        <v>0</v>
      </c>
      <c r="N512" s="5">
        <v>323</v>
      </c>
      <c r="O512" s="5" t="str">
        <f t="shared" ca="1" si="7"/>
        <v>Supplier 16</v>
      </c>
      <c r="P512" s="20" t="str">
        <f ca="1">IFERROR(VLOOKUP(O512,EMAILS!B:C,2,FALSE),"NOT FOUND IN EMAILS")</f>
        <v>supplier@gmail.com</v>
      </c>
      <c r="Q512" t="str">
        <f ca="1">""&amp;IFERROR(VLOOKUP(O512,EMAILS!B:D,3,FALSE),"NOT FOUND IN EMAILS")</f>
        <v>supplier_logistics@gmail.com</v>
      </c>
      <c r="R512" t="str">
        <f ca="1">""&amp;IFERROR(VLOOKUP(O512,EMAILS!B:E,4,FALSE),"NO T FOUND IN EMAILS")</f>
        <v/>
      </c>
    </row>
    <row r="513" spans="2:18" x14ac:dyDescent="0.25">
      <c r="B513" s="5" t="s">
        <v>515</v>
      </c>
      <c r="C513" s="5" t="s">
        <v>4655</v>
      </c>
      <c r="D513" s="5">
        <v>0</v>
      </c>
      <c r="E513" s="5">
        <v>0</v>
      </c>
      <c r="F513" s="5">
        <v>0</v>
      </c>
      <c r="G513" s="5">
        <v>8</v>
      </c>
      <c r="H513" s="5">
        <v>8</v>
      </c>
      <c r="I513" s="5">
        <v>8</v>
      </c>
      <c r="J513" s="5">
        <v>0</v>
      </c>
      <c r="K513" s="5">
        <v>8</v>
      </c>
      <c r="L513" s="5">
        <v>8</v>
      </c>
      <c r="M513" s="5">
        <v>0</v>
      </c>
      <c r="N513" s="5">
        <v>216</v>
      </c>
      <c r="O513" s="5" t="str">
        <f t="shared" ca="1" si="7"/>
        <v>Supplier 58</v>
      </c>
      <c r="P513" s="20" t="str">
        <f ca="1">IFERROR(VLOOKUP(O513,EMAILS!B:C,2,FALSE),"NOT FOUND IN EMAILS")</f>
        <v>supplier@gmail.com</v>
      </c>
      <c r="Q513" t="str">
        <f ca="1">""&amp;IFERROR(VLOOKUP(O513,EMAILS!B:D,3,FALSE),"NOT FOUND IN EMAILS")</f>
        <v/>
      </c>
      <c r="R513" t="str">
        <f ca="1">""&amp;IFERROR(VLOOKUP(O513,EMAILS!B:E,4,FALSE),"NO T FOUND IN EMAILS")</f>
        <v/>
      </c>
    </row>
    <row r="514" spans="2:18" x14ac:dyDescent="0.25">
      <c r="B514" s="5" t="s">
        <v>516</v>
      </c>
      <c r="C514" s="5" t="s">
        <v>4656</v>
      </c>
      <c r="D514" s="5">
        <v>0</v>
      </c>
      <c r="E514" s="5">
        <v>0</v>
      </c>
      <c r="F514" s="5">
        <v>0</v>
      </c>
      <c r="G514" s="5">
        <v>16</v>
      </c>
      <c r="H514" s="5">
        <v>16</v>
      </c>
      <c r="I514" s="5">
        <v>16</v>
      </c>
      <c r="J514" s="5">
        <v>8</v>
      </c>
      <c r="K514" s="5">
        <v>16</v>
      </c>
      <c r="L514" s="5">
        <v>12</v>
      </c>
      <c r="M514" s="5">
        <v>0</v>
      </c>
      <c r="N514" s="5">
        <v>19</v>
      </c>
      <c r="O514" s="5" t="str">
        <f t="shared" ca="1" si="7"/>
        <v>Supplier 112</v>
      </c>
      <c r="P514" s="20" t="str">
        <f ca="1">IFERROR(VLOOKUP(O514,EMAILS!B:C,2,FALSE),"NOT FOUND IN EMAILS")</f>
        <v>supplier@gmail.com</v>
      </c>
      <c r="Q514" t="str">
        <f ca="1">""&amp;IFERROR(VLOOKUP(O514,EMAILS!B:D,3,FALSE),"NOT FOUND IN EMAILS")</f>
        <v/>
      </c>
      <c r="R514" t="str">
        <f ca="1">""&amp;IFERROR(VLOOKUP(O514,EMAILS!B:E,4,FALSE),"NO T FOUND IN EMAILS")</f>
        <v/>
      </c>
    </row>
    <row r="515" spans="2:18" x14ac:dyDescent="0.25">
      <c r="B515" s="5" t="s">
        <v>517</v>
      </c>
      <c r="C515" s="5" t="s">
        <v>4657</v>
      </c>
      <c r="D515" s="5">
        <v>129</v>
      </c>
      <c r="E515" s="5">
        <v>0</v>
      </c>
      <c r="F515" s="5">
        <v>0</v>
      </c>
      <c r="G515" s="5">
        <v>8</v>
      </c>
      <c r="H515" s="5">
        <v>8</v>
      </c>
      <c r="I515" s="5">
        <v>8</v>
      </c>
      <c r="J515" s="5">
        <v>4</v>
      </c>
      <c r="K515" s="5">
        <v>8</v>
      </c>
      <c r="L515" s="5">
        <v>6</v>
      </c>
      <c r="M515" s="5">
        <v>0</v>
      </c>
      <c r="N515" s="5">
        <v>126</v>
      </c>
      <c r="O515" s="5" t="str">
        <f t="shared" ref="O515:O578" ca="1" si="8">"Supplier "&amp;RANDBETWEEN(1,200)</f>
        <v>Supplier 165</v>
      </c>
      <c r="P515" s="20" t="str">
        <f ca="1">IFERROR(VLOOKUP(O515,EMAILS!B:C,2,FALSE),"NOT FOUND IN EMAILS")</f>
        <v>supplier@gmail.com</v>
      </c>
      <c r="Q515" t="str">
        <f ca="1">""&amp;IFERROR(VLOOKUP(O515,EMAILS!B:D,3,FALSE),"NOT FOUND IN EMAILS")</f>
        <v/>
      </c>
      <c r="R515" t="str">
        <f ca="1">""&amp;IFERROR(VLOOKUP(O515,EMAILS!B:E,4,FALSE),"NO T FOUND IN EMAILS")</f>
        <v/>
      </c>
    </row>
    <row r="516" spans="2:18" x14ac:dyDescent="0.25">
      <c r="B516" s="5" t="s">
        <v>518</v>
      </c>
      <c r="C516" s="5" t="s">
        <v>4658</v>
      </c>
      <c r="D516" s="5">
        <v>0</v>
      </c>
      <c r="E516" s="5">
        <v>0</v>
      </c>
      <c r="F516" s="5">
        <v>0</v>
      </c>
      <c r="G516" s="5">
        <v>8</v>
      </c>
      <c r="H516" s="5">
        <v>8</v>
      </c>
      <c r="I516" s="5">
        <v>8</v>
      </c>
      <c r="J516" s="5">
        <v>4</v>
      </c>
      <c r="K516" s="5">
        <v>8</v>
      </c>
      <c r="L516" s="5">
        <v>6</v>
      </c>
      <c r="M516" s="5">
        <v>0</v>
      </c>
      <c r="N516" s="5">
        <v>0</v>
      </c>
      <c r="O516" s="5" t="str">
        <f t="shared" ca="1" si="8"/>
        <v>Supplier 86</v>
      </c>
      <c r="P516" s="20" t="str">
        <f ca="1">IFERROR(VLOOKUP(O516,EMAILS!B:C,2,FALSE),"NOT FOUND IN EMAILS")</f>
        <v>supplier@gmail.com</v>
      </c>
      <c r="Q516" t="str">
        <f ca="1">""&amp;IFERROR(VLOOKUP(O516,EMAILS!B:D,3,FALSE),"NOT FOUND IN EMAILS")</f>
        <v/>
      </c>
      <c r="R516" t="str">
        <f ca="1">""&amp;IFERROR(VLOOKUP(O516,EMAILS!B:E,4,FALSE),"NO T FOUND IN EMAILS")</f>
        <v/>
      </c>
    </row>
    <row r="517" spans="2:18" x14ac:dyDescent="0.25">
      <c r="B517" s="5" t="s">
        <v>519</v>
      </c>
      <c r="C517" s="5" t="s">
        <v>4659</v>
      </c>
      <c r="D517" s="5">
        <v>0.1</v>
      </c>
      <c r="E517" s="5">
        <v>0.15</v>
      </c>
      <c r="F517" s="5">
        <v>0.15</v>
      </c>
      <c r="G517" s="5">
        <v>0.1</v>
      </c>
      <c r="H517" s="5">
        <v>0.05</v>
      </c>
      <c r="I517" s="5">
        <v>0</v>
      </c>
      <c r="J517" s="5">
        <v>0.05</v>
      </c>
      <c r="K517" s="5">
        <v>0.1</v>
      </c>
      <c r="L517" s="5">
        <v>0.05</v>
      </c>
      <c r="M517" s="5">
        <v>0</v>
      </c>
      <c r="N517" s="5">
        <v>1786</v>
      </c>
      <c r="O517" s="5" t="str">
        <f t="shared" ca="1" si="8"/>
        <v>Supplier 119</v>
      </c>
      <c r="P517" s="20" t="str">
        <f ca="1">IFERROR(VLOOKUP(O517,EMAILS!B:C,2,FALSE),"NOT FOUND IN EMAILS")</f>
        <v>supplier@gmail.com</v>
      </c>
      <c r="Q517" t="str">
        <f ca="1">""&amp;IFERROR(VLOOKUP(O517,EMAILS!B:D,3,FALSE),"NOT FOUND IN EMAILS")</f>
        <v/>
      </c>
      <c r="R517" t="str">
        <f ca="1">""&amp;IFERROR(VLOOKUP(O517,EMAILS!B:E,4,FALSE),"NO T FOUND IN EMAILS")</f>
        <v/>
      </c>
    </row>
    <row r="518" spans="2:18" x14ac:dyDescent="0.25">
      <c r="B518" s="5" t="s">
        <v>520</v>
      </c>
      <c r="C518" s="5" t="s">
        <v>4660</v>
      </c>
      <c r="D518" s="5">
        <v>244</v>
      </c>
      <c r="E518" s="5">
        <v>46</v>
      </c>
      <c r="F518" s="5">
        <v>210</v>
      </c>
      <c r="G518" s="5">
        <v>70</v>
      </c>
      <c r="H518" s="5">
        <v>52</v>
      </c>
      <c r="I518" s="5">
        <v>32</v>
      </c>
      <c r="J518" s="5">
        <v>90</v>
      </c>
      <c r="K518" s="5">
        <v>74</v>
      </c>
      <c r="L518" s="5">
        <v>32</v>
      </c>
      <c r="M518" s="5">
        <v>0</v>
      </c>
      <c r="N518" s="5">
        <v>4525</v>
      </c>
      <c r="O518" s="5" t="str">
        <f t="shared" ca="1" si="8"/>
        <v>Supplier 48</v>
      </c>
      <c r="P518" s="20" t="str">
        <f ca="1">IFERROR(VLOOKUP(O518,EMAILS!B:C,2,FALSE),"NOT FOUND IN EMAILS")</f>
        <v>supplier@gmail.com</v>
      </c>
      <c r="Q518" t="str">
        <f ca="1">""&amp;IFERROR(VLOOKUP(O518,EMAILS!B:D,3,FALSE),"NOT FOUND IN EMAILS")</f>
        <v/>
      </c>
      <c r="R518" t="str">
        <f ca="1">""&amp;IFERROR(VLOOKUP(O518,EMAILS!B:E,4,FALSE),"NO T FOUND IN EMAILS")</f>
        <v/>
      </c>
    </row>
    <row r="519" spans="2:18" x14ac:dyDescent="0.25">
      <c r="B519" s="5" t="s">
        <v>521</v>
      </c>
      <c r="C519" s="5" t="s">
        <v>4661</v>
      </c>
      <c r="D519" s="5">
        <v>0</v>
      </c>
      <c r="E519" s="5">
        <v>0</v>
      </c>
      <c r="F519" s="5">
        <v>0</v>
      </c>
      <c r="G519" s="5">
        <v>0</v>
      </c>
      <c r="H519" s="5">
        <v>0</v>
      </c>
      <c r="I519" s="5">
        <v>0</v>
      </c>
      <c r="J519" s="5">
        <v>0</v>
      </c>
      <c r="K519" s="5">
        <v>0</v>
      </c>
      <c r="L519" s="5">
        <v>0</v>
      </c>
      <c r="M519" s="5">
        <v>0</v>
      </c>
      <c r="N519" s="5">
        <v>799</v>
      </c>
      <c r="O519" s="5" t="str">
        <f t="shared" ca="1" si="8"/>
        <v>Supplier 86</v>
      </c>
      <c r="P519" s="20" t="str">
        <f ca="1">IFERROR(VLOOKUP(O519,EMAILS!B:C,2,FALSE),"NOT FOUND IN EMAILS")</f>
        <v>supplier@gmail.com</v>
      </c>
      <c r="Q519" t="str">
        <f ca="1">""&amp;IFERROR(VLOOKUP(O519,EMAILS!B:D,3,FALSE),"NOT FOUND IN EMAILS")</f>
        <v/>
      </c>
      <c r="R519" t="str">
        <f ca="1">""&amp;IFERROR(VLOOKUP(O519,EMAILS!B:E,4,FALSE),"NO T FOUND IN EMAILS")</f>
        <v/>
      </c>
    </row>
    <row r="520" spans="2:18" x14ac:dyDescent="0.25">
      <c r="B520" s="5" t="s">
        <v>522</v>
      </c>
      <c r="C520" s="5" t="s">
        <v>4662</v>
      </c>
      <c r="D520" s="5">
        <v>200</v>
      </c>
      <c r="E520" s="5">
        <v>20</v>
      </c>
      <c r="F520" s="5">
        <v>120</v>
      </c>
      <c r="G520" s="5">
        <v>80</v>
      </c>
      <c r="H520" s="5">
        <v>160</v>
      </c>
      <c r="I520" s="5">
        <v>80</v>
      </c>
      <c r="J520" s="5">
        <v>40</v>
      </c>
      <c r="K520" s="5">
        <v>100</v>
      </c>
      <c r="L520" s="5">
        <v>440</v>
      </c>
      <c r="M520" s="5">
        <v>0</v>
      </c>
      <c r="N520" s="5">
        <v>1007</v>
      </c>
      <c r="O520" s="5" t="str">
        <f t="shared" ca="1" si="8"/>
        <v>Supplier 118</v>
      </c>
      <c r="P520" s="20" t="str">
        <f ca="1">IFERROR(VLOOKUP(O520,EMAILS!B:C,2,FALSE),"NOT FOUND IN EMAILS")</f>
        <v>supplier@gmail.com</v>
      </c>
      <c r="Q520" t="str">
        <f ca="1">""&amp;IFERROR(VLOOKUP(O520,EMAILS!B:D,3,FALSE),"NOT FOUND IN EMAILS")</f>
        <v/>
      </c>
      <c r="R520" t="str">
        <f ca="1">""&amp;IFERROR(VLOOKUP(O520,EMAILS!B:E,4,FALSE),"NO T FOUND IN EMAILS")</f>
        <v/>
      </c>
    </row>
    <row r="521" spans="2:18" x14ac:dyDescent="0.25">
      <c r="B521" s="5" t="s">
        <v>523</v>
      </c>
      <c r="C521" s="5" t="s">
        <v>4663</v>
      </c>
      <c r="D521" s="5">
        <v>811</v>
      </c>
      <c r="E521" s="5">
        <v>620</v>
      </c>
      <c r="F521" s="5">
        <v>810</v>
      </c>
      <c r="G521" s="5">
        <v>780</v>
      </c>
      <c r="H521" s="5">
        <v>830</v>
      </c>
      <c r="I521" s="5">
        <v>820</v>
      </c>
      <c r="J521" s="5">
        <v>510</v>
      </c>
      <c r="K521" s="5">
        <v>520</v>
      </c>
      <c r="L521" s="5">
        <v>620</v>
      </c>
      <c r="M521" s="5">
        <v>0</v>
      </c>
      <c r="N521" s="5">
        <v>880</v>
      </c>
      <c r="O521" s="5" t="str">
        <f t="shared" ca="1" si="8"/>
        <v>Supplier 167</v>
      </c>
      <c r="P521" s="20" t="str">
        <f ca="1">IFERROR(VLOOKUP(O521,EMAILS!B:C,2,FALSE),"NOT FOUND IN EMAILS")</f>
        <v>supplier@gmail.com</v>
      </c>
      <c r="Q521" t="str">
        <f ca="1">""&amp;IFERROR(VLOOKUP(O521,EMAILS!B:D,3,FALSE),"NOT FOUND IN EMAILS")</f>
        <v/>
      </c>
      <c r="R521" t="str">
        <f ca="1">""&amp;IFERROR(VLOOKUP(O521,EMAILS!B:E,4,FALSE),"NO T FOUND IN EMAILS")</f>
        <v/>
      </c>
    </row>
    <row r="522" spans="2:18" x14ac:dyDescent="0.25">
      <c r="B522" s="5" t="s">
        <v>524</v>
      </c>
      <c r="C522" s="5" t="s">
        <v>4664</v>
      </c>
      <c r="D522" s="5">
        <v>200</v>
      </c>
      <c r="E522" s="5">
        <v>20</v>
      </c>
      <c r="F522" s="5">
        <v>120</v>
      </c>
      <c r="G522" s="5">
        <v>80</v>
      </c>
      <c r="H522" s="5">
        <v>160</v>
      </c>
      <c r="I522" s="5">
        <v>80</v>
      </c>
      <c r="J522" s="5">
        <v>40</v>
      </c>
      <c r="K522" s="5">
        <v>100</v>
      </c>
      <c r="L522" s="5">
        <v>140</v>
      </c>
      <c r="M522" s="5">
        <v>0</v>
      </c>
      <c r="N522" s="5">
        <v>761</v>
      </c>
      <c r="O522" s="5" t="str">
        <f t="shared" ca="1" si="8"/>
        <v>Supplier 66</v>
      </c>
      <c r="P522" s="20" t="str">
        <f ca="1">IFERROR(VLOOKUP(O522,EMAILS!B:C,2,FALSE),"NOT FOUND IN EMAILS")</f>
        <v>supplier@gmail.com</v>
      </c>
      <c r="Q522" t="str">
        <f ca="1">""&amp;IFERROR(VLOOKUP(O522,EMAILS!B:D,3,FALSE),"NOT FOUND IN EMAILS")</f>
        <v/>
      </c>
      <c r="R522" t="str">
        <f ca="1">""&amp;IFERROR(VLOOKUP(O522,EMAILS!B:E,4,FALSE),"NO T FOUND IN EMAILS")</f>
        <v/>
      </c>
    </row>
    <row r="523" spans="2:18" x14ac:dyDescent="0.25">
      <c r="B523" s="5" t="s">
        <v>525</v>
      </c>
      <c r="C523" s="5" t="s">
        <v>4665</v>
      </c>
      <c r="D523" s="5">
        <v>0</v>
      </c>
      <c r="E523" s="5">
        <v>0</v>
      </c>
      <c r="F523" s="5">
        <v>3</v>
      </c>
      <c r="G523" s="5">
        <v>2</v>
      </c>
      <c r="H523" s="5">
        <v>0</v>
      </c>
      <c r="I523" s="5">
        <v>0</v>
      </c>
      <c r="J523" s="5">
        <v>0</v>
      </c>
      <c r="K523" s="5">
        <v>0</v>
      </c>
      <c r="L523" s="5">
        <v>0</v>
      </c>
      <c r="M523" s="5">
        <v>0</v>
      </c>
      <c r="N523" s="5">
        <v>16</v>
      </c>
      <c r="O523" s="5" t="str">
        <f t="shared" ca="1" si="8"/>
        <v>Supplier 30</v>
      </c>
      <c r="P523" s="20" t="str">
        <f ca="1">IFERROR(VLOOKUP(O523,EMAILS!B:C,2,FALSE),"NOT FOUND IN EMAILS")</f>
        <v>supplier@gmail.com</v>
      </c>
      <c r="Q523" t="str">
        <f ca="1">""&amp;IFERROR(VLOOKUP(O523,EMAILS!B:D,3,FALSE),"NOT FOUND IN EMAILS")</f>
        <v/>
      </c>
      <c r="R523" t="str">
        <f ca="1">""&amp;IFERROR(VLOOKUP(O523,EMAILS!B:E,4,FALSE),"NO T FOUND IN EMAILS")</f>
        <v/>
      </c>
    </row>
    <row r="524" spans="2:18" x14ac:dyDescent="0.25">
      <c r="B524" s="5" t="s">
        <v>526</v>
      </c>
      <c r="C524" s="5" t="s">
        <v>4666</v>
      </c>
      <c r="D524" s="5">
        <v>2</v>
      </c>
      <c r="E524" s="5">
        <v>0</v>
      </c>
      <c r="F524" s="5">
        <v>13</v>
      </c>
      <c r="G524" s="5">
        <v>6</v>
      </c>
      <c r="H524" s="5">
        <v>6</v>
      </c>
      <c r="I524" s="5">
        <v>0</v>
      </c>
      <c r="J524" s="5">
        <v>4</v>
      </c>
      <c r="K524" s="5">
        <v>10</v>
      </c>
      <c r="L524" s="5">
        <v>0</v>
      </c>
      <c r="M524" s="5">
        <v>0</v>
      </c>
      <c r="N524" s="5">
        <v>7774</v>
      </c>
      <c r="O524" s="5" t="str">
        <f t="shared" ca="1" si="8"/>
        <v>Supplier 90</v>
      </c>
      <c r="P524" s="20" t="str">
        <f ca="1">IFERROR(VLOOKUP(O524,EMAILS!B:C,2,FALSE),"NOT FOUND IN EMAILS")</f>
        <v>supplier@gmail.com</v>
      </c>
      <c r="Q524" t="str">
        <f ca="1">""&amp;IFERROR(VLOOKUP(O524,EMAILS!B:D,3,FALSE),"NOT FOUND IN EMAILS")</f>
        <v/>
      </c>
      <c r="R524" t="str">
        <f ca="1">""&amp;IFERROR(VLOOKUP(O524,EMAILS!B:E,4,FALSE),"NO T FOUND IN EMAILS")</f>
        <v/>
      </c>
    </row>
    <row r="525" spans="2:18" x14ac:dyDescent="0.25">
      <c r="B525" s="5" t="s">
        <v>527</v>
      </c>
      <c r="C525" s="5" t="s">
        <v>4667</v>
      </c>
      <c r="D525" s="5">
        <v>0</v>
      </c>
      <c r="E525" s="5">
        <v>0</v>
      </c>
      <c r="F525" s="5">
        <v>100</v>
      </c>
      <c r="G525" s="5">
        <v>0</v>
      </c>
      <c r="H525" s="5">
        <v>0</v>
      </c>
      <c r="I525" s="5">
        <v>0</v>
      </c>
      <c r="J525" s="5">
        <v>25</v>
      </c>
      <c r="K525" s="5">
        <v>0</v>
      </c>
      <c r="L525" s="5">
        <v>30</v>
      </c>
      <c r="M525" s="5">
        <v>0</v>
      </c>
      <c r="N525" s="5">
        <v>2100</v>
      </c>
      <c r="O525" s="5" t="str">
        <f t="shared" ca="1" si="8"/>
        <v>Supplier 194</v>
      </c>
      <c r="P525" s="20" t="str">
        <f ca="1">IFERROR(VLOOKUP(O525,EMAILS!B:C,2,FALSE),"NOT FOUND IN EMAILS")</f>
        <v>supplier@gmail.com</v>
      </c>
      <c r="Q525" t="str">
        <f ca="1">""&amp;IFERROR(VLOOKUP(O525,EMAILS!B:D,3,FALSE),"NOT FOUND IN EMAILS")</f>
        <v/>
      </c>
      <c r="R525" t="str">
        <f ca="1">""&amp;IFERROR(VLOOKUP(O525,EMAILS!B:E,4,FALSE),"NO T FOUND IN EMAILS")</f>
        <v/>
      </c>
    </row>
    <row r="526" spans="2:18" x14ac:dyDescent="0.25">
      <c r="B526" s="5" t="s">
        <v>528</v>
      </c>
      <c r="C526" s="5" t="s">
        <v>4668</v>
      </c>
      <c r="D526" s="5">
        <v>100</v>
      </c>
      <c r="E526" s="5">
        <v>10</v>
      </c>
      <c r="F526" s="5">
        <v>60</v>
      </c>
      <c r="G526" s="5">
        <v>40</v>
      </c>
      <c r="H526" s="5">
        <v>80</v>
      </c>
      <c r="I526" s="5">
        <v>40</v>
      </c>
      <c r="J526" s="5">
        <v>20</v>
      </c>
      <c r="K526" s="5">
        <v>50</v>
      </c>
      <c r="L526" s="5">
        <v>70</v>
      </c>
      <c r="M526" s="5">
        <v>0</v>
      </c>
      <c r="N526" s="5">
        <v>167</v>
      </c>
      <c r="O526" s="5" t="str">
        <f t="shared" ca="1" si="8"/>
        <v>Supplier 200</v>
      </c>
      <c r="P526" s="20" t="str">
        <f ca="1">IFERROR(VLOOKUP(O526,EMAILS!B:C,2,FALSE),"NOT FOUND IN EMAILS")</f>
        <v>supplier@gmail.com</v>
      </c>
      <c r="Q526" t="str">
        <f ca="1">""&amp;IFERROR(VLOOKUP(O526,EMAILS!B:D,3,FALSE),"NOT FOUND IN EMAILS")</f>
        <v/>
      </c>
      <c r="R526" t="str">
        <f ca="1">""&amp;IFERROR(VLOOKUP(O526,EMAILS!B:E,4,FALSE),"NO T FOUND IN EMAILS")</f>
        <v/>
      </c>
    </row>
    <row r="527" spans="2:18" x14ac:dyDescent="0.25">
      <c r="B527" s="5" t="s">
        <v>529</v>
      </c>
      <c r="C527" s="5" t="s">
        <v>4669</v>
      </c>
      <c r="D527" s="5">
        <v>4</v>
      </c>
      <c r="E527" s="5">
        <v>800</v>
      </c>
      <c r="F527" s="5">
        <v>44</v>
      </c>
      <c r="G527" s="5">
        <v>25</v>
      </c>
      <c r="H527" s="5">
        <v>12</v>
      </c>
      <c r="I527" s="5">
        <v>0</v>
      </c>
      <c r="J527" s="5">
        <v>8</v>
      </c>
      <c r="K527" s="5">
        <v>24</v>
      </c>
      <c r="L527" s="5">
        <v>0</v>
      </c>
      <c r="M527" s="5">
        <v>0</v>
      </c>
      <c r="N527" s="5">
        <v>0</v>
      </c>
      <c r="O527" s="5" t="str">
        <f t="shared" ca="1" si="8"/>
        <v>Supplier 62</v>
      </c>
      <c r="P527" s="20" t="str">
        <f ca="1">IFERROR(VLOOKUP(O527,EMAILS!B:C,2,FALSE),"NOT FOUND IN EMAILS")</f>
        <v>supplier@gmail.com</v>
      </c>
      <c r="Q527" t="str">
        <f ca="1">""&amp;IFERROR(VLOOKUP(O527,EMAILS!B:D,3,FALSE),"NOT FOUND IN EMAILS")</f>
        <v/>
      </c>
      <c r="R527" t="str">
        <f ca="1">""&amp;IFERROR(VLOOKUP(O527,EMAILS!B:E,4,FALSE),"NO T FOUND IN EMAILS")</f>
        <v/>
      </c>
    </row>
    <row r="528" spans="2:18" x14ac:dyDescent="0.25">
      <c r="B528" s="5" t="s">
        <v>530</v>
      </c>
      <c r="C528" s="5" t="s">
        <v>4670</v>
      </c>
      <c r="D528" s="5">
        <v>3</v>
      </c>
      <c r="E528" s="5">
        <v>0</v>
      </c>
      <c r="F528" s="5">
        <v>45</v>
      </c>
      <c r="G528" s="5">
        <v>36</v>
      </c>
      <c r="H528" s="5">
        <v>9</v>
      </c>
      <c r="I528" s="5">
        <v>0</v>
      </c>
      <c r="J528" s="5">
        <v>6</v>
      </c>
      <c r="K528" s="5">
        <v>57</v>
      </c>
      <c r="L528" s="5">
        <v>0</v>
      </c>
      <c r="M528" s="5">
        <v>0</v>
      </c>
      <c r="N528" s="5">
        <v>693</v>
      </c>
      <c r="O528" s="5" t="str">
        <f t="shared" ca="1" si="8"/>
        <v>Supplier 52</v>
      </c>
      <c r="P528" s="20" t="str">
        <f ca="1">IFERROR(VLOOKUP(O528,EMAILS!B:C,2,FALSE),"NOT FOUND IN EMAILS")</f>
        <v>supplier@gmail.com</v>
      </c>
      <c r="Q528" t="str">
        <f ca="1">""&amp;IFERROR(VLOOKUP(O528,EMAILS!B:D,3,FALSE),"NOT FOUND IN EMAILS")</f>
        <v/>
      </c>
      <c r="R528" t="str">
        <f ca="1">""&amp;IFERROR(VLOOKUP(O528,EMAILS!B:E,4,FALSE),"NO T FOUND IN EMAILS")</f>
        <v/>
      </c>
    </row>
    <row r="529" spans="2:18" x14ac:dyDescent="0.25">
      <c r="B529" s="5" t="s">
        <v>531</v>
      </c>
      <c r="C529" s="5" t="s">
        <v>4671</v>
      </c>
      <c r="D529" s="5">
        <v>7</v>
      </c>
      <c r="E529" s="5">
        <v>200</v>
      </c>
      <c r="F529" s="5">
        <v>56</v>
      </c>
      <c r="G529" s="5">
        <v>48</v>
      </c>
      <c r="H529" s="5">
        <v>421</v>
      </c>
      <c r="I529" s="5">
        <v>7</v>
      </c>
      <c r="J529" s="5">
        <v>14</v>
      </c>
      <c r="K529" s="5">
        <v>235</v>
      </c>
      <c r="L529" s="5">
        <v>0</v>
      </c>
      <c r="M529" s="5">
        <v>0</v>
      </c>
      <c r="N529" s="5">
        <v>3787</v>
      </c>
      <c r="O529" s="5" t="str">
        <f t="shared" ca="1" si="8"/>
        <v>Supplier 147</v>
      </c>
      <c r="P529" s="20" t="str">
        <f ca="1">IFERROR(VLOOKUP(O529,EMAILS!B:C,2,FALSE),"NOT FOUND IN EMAILS")</f>
        <v>supplier@gmail.com</v>
      </c>
      <c r="Q529" t="str">
        <f ca="1">""&amp;IFERROR(VLOOKUP(O529,EMAILS!B:D,3,FALSE),"NOT FOUND IN EMAILS")</f>
        <v/>
      </c>
      <c r="R529" t="str">
        <f ca="1">""&amp;IFERROR(VLOOKUP(O529,EMAILS!B:E,4,FALSE),"NO T FOUND IN EMAILS")</f>
        <v/>
      </c>
    </row>
    <row r="530" spans="2:18" x14ac:dyDescent="0.25">
      <c r="B530" s="5" t="s">
        <v>532</v>
      </c>
      <c r="C530" s="5" t="s">
        <v>4672</v>
      </c>
      <c r="D530" s="5">
        <v>2945</v>
      </c>
      <c r="E530" s="5">
        <v>2271</v>
      </c>
      <c r="F530" s="5">
        <v>2601</v>
      </c>
      <c r="G530" s="5">
        <v>3068</v>
      </c>
      <c r="H530" s="5">
        <v>2029</v>
      </c>
      <c r="I530" s="5">
        <v>1729</v>
      </c>
      <c r="J530" s="5">
        <v>2124</v>
      </c>
      <c r="K530" s="5">
        <v>1436</v>
      </c>
      <c r="L530" s="5">
        <v>1431</v>
      </c>
      <c r="M530" s="5">
        <v>0</v>
      </c>
      <c r="N530" s="5">
        <v>0</v>
      </c>
      <c r="O530" s="5" t="str">
        <f t="shared" ca="1" si="8"/>
        <v>Supplier 164</v>
      </c>
      <c r="P530" s="20" t="str">
        <f ca="1">IFERROR(VLOOKUP(O530,EMAILS!B:C,2,FALSE),"NOT FOUND IN EMAILS")</f>
        <v>supplier@gmail.com</v>
      </c>
      <c r="Q530" t="str">
        <f ca="1">""&amp;IFERROR(VLOOKUP(O530,EMAILS!B:D,3,FALSE),"NOT FOUND IN EMAILS")</f>
        <v/>
      </c>
      <c r="R530" t="str">
        <f ca="1">""&amp;IFERROR(VLOOKUP(O530,EMAILS!B:E,4,FALSE),"NO T FOUND IN EMAILS")</f>
        <v/>
      </c>
    </row>
    <row r="531" spans="2:18" x14ac:dyDescent="0.25">
      <c r="B531" s="5" t="s">
        <v>533</v>
      </c>
      <c r="C531" s="5" t="s">
        <v>4673</v>
      </c>
      <c r="D531" s="5">
        <v>0</v>
      </c>
      <c r="E531" s="5">
        <v>0</v>
      </c>
      <c r="F531" s="5">
        <v>0</v>
      </c>
      <c r="G531" s="5">
        <v>0</v>
      </c>
      <c r="H531" s="5">
        <v>0</v>
      </c>
      <c r="I531" s="5">
        <v>0</v>
      </c>
      <c r="J531" s="5">
        <v>0</v>
      </c>
      <c r="K531" s="5">
        <v>0</v>
      </c>
      <c r="L531" s="5">
        <v>0</v>
      </c>
      <c r="M531" s="5">
        <v>0</v>
      </c>
      <c r="N531" s="5">
        <v>110</v>
      </c>
      <c r="O531" s="5" t="str">
        <f t="shared" ca="1" si="8"/>
        <v>Supplier 183</v>
      </c>
      <c r="P531" s="20" t="str">
        <f ca="1">IFERROR(VLOOKUP(O531,EMAILS!B:C,2,FALSE),"NOT FOUND IN EMAILS")</f>
        <v>supplier@gmail.com</v>
      </c>
      <c r="Q531" t="str">
        <f ca="1">""&amp;IFERROR(VLOOKUP(O531,EMAILS!B:D,3,FALSE),"NOT FOUND IN EMAILS")</f>
        <v/>
      </c>
      <c r="R531" t="str">
        <f ca="1">""&amp;IFERROR(VLOOKUP(O531,EMAILS!B:E,4,FALSE),"NO T FOUND IN EMAILS")</f>
        <v/>
      </c>
    </row>
    <row r="532" spans="2:18" x14ac:dyDescent="0.25">
      <c r="B532" s="5" t="s">
        <v>534</v>
      </c>
      <c r="C532" s="5" t="s">
        <v>4674</v>
      </c>
      <c r="D532" s="5">
        <v>0</v>
      </c>
      <c r="E532" s="5">
        <v>0</v>
      </c>
      <c r="F532" s="5">
        <v>100</v>
      </c>
      <c r="G532" s="5">
        <v>0</v>
      </c>
      <c r="H532" s="5">
        <v>0</v>
      </c>
      <c r="I532" s="5">
        <v>0</v>
      </c>
      <c r="J532" s="5">
        <v>25</v>
      </c>
      <c r="K532" s="5">
        <v>0</v>
      </c>
      <c r="L532" s="5">
        <v>30</v>
      </c>
      <c r="M532" s="5">
        <v>0</v>
      </c>
      <c r="N532" s="5">
        <v>230</v>
      </c>
      <c r="O532" s="5" t="str">
        <f t="shared" ca="1" si="8"/>
        <v>Supplier 197</v>
      </c>
      <c r="P532" s="20" t="str">
        <f ca="1">IFERROR(VLOOKUP(O532,EMAILS!B:C,2,FALSE),"NOT FOUND IN EMAILS")</f>
        <v>supplier@gmail.com</v>
      </c>
      <c r="Q532" t="str">
        <f ca="1">""&amp;IFERROR(VLOOKUP(O532,EMAILS!B:D,3,FALSE),"NOT FOUND IN EMAILS")</f>
        <v/>
      </c>
      <c r="R532" t="str">
        <f ca="1">""&amp;IFERROR(VLOOKUP(O532,EMAILS!B:E,4,FALSE),"NO T FOUND IN EMAILS")</f>
        <v/>
      </c>
    </row>
    <row r="533" spans="2:18" x14ac:dyDescent="0.25">
      <c r="B533" s="5" t="s">
        <v>535</v>
      </c>
      <c r="C533" s="5" t="s">
        <v>4675</v>
      </c>
      <c r="D533" s="5">
        <v>200</v>
      </c>
      <c r="E533" s="5">
        <v>0</v>
      </c>
      <c r="F533" s="5">
        <v>140</v>
      </c>
      <c r="G533" s="5">
        <v>3</v>
      </c>
      <c r="H533" s="5">
        <v>0</v>
      </c>
      <c r="I533" s="5">
        <v>1</v>
      </c>
      <c r="J533" s="5">
        <v>25</v>
      </c>
      <c r="K533" s="5">
        <v>12</v>
      </c>
      <c r="L533" s="5">
        <v>30</v>
      </c>
      <c r="M533" s="5">
        <v>0</v>
      </c>
      <c r="N533" s="5">
        <v>964</v>
      </c>
      <c r="O533" s="5" t="str">
        <f t="shared" ca="1" si="8"/>
        <v>Supplier 93</v>
      </c>
      <c r="P533" s="20" t="str">
        <f ca="1">IFERROR(VLOOKUP(O533,EMAILS!B:C,2,FALSE),"NOT FOUND IN EMAILS")</f>
        <v>supplier@gmail.com</v>
      </c>
      <c r="Q533" t="str">
        <f ca="1">""&amp;IFERROR(VLOOKUP(O533,EMAILS!B:D,3,FALSE),"NOT FOUND IN EMAILS")</f>
        <v/>
      </c>
      <c r="R533" t="str">
        <f ca="1">""&amp;IFERROR(VLOOKUP(O533,EMAILS!B:E,4,FALSE),"NO T FOUND IN EMAILS")</f>
        <v/>
      </c>
    </row>
    <row r="534" spans="2:18" x14ac:dyDescent="0.25">
      <c r="B534" s="5" t="s">
        <v>536</v>
      </c>
      <c r="C534" s="5" t="s">
        <v>4676</v>
      </c>
      <c r="D534" s="5">
        <v>0</v>
      </c>
      <c r="E534" s="5">
        <v>0</v>
      </c>
      <c r="F534" s="5">
        <v>0</v>
      </c>
      <c r="G534" s="5">
        <v>0</v>
      </c>
      <c r="H534" s="5">
        <v>0</v>
      </c>
      <c r="I534" s="5">
        <v>0</v>
      </c>
      <c r="J534" s="5">
        <v>0</v>
      </c>
      <c r="K534" s="5">
        <v>40</v>
      </c>
      <c r="L534" s="5">
        <v>0</v>
      </c>
      <c r="M534" s="5">
        <v>0</v>
      </c>
      <c r="N534" s="5">
        <v>275</v>
      </c>
      <c r="O534" s="5" t="str">
        <f t="shared" ca="1" si="8"/>
        <v>Supplier 5</v>
      </c>
      <c r="P534" s="20" t="str">
        <f ca="1">IFERROR(VLOOKUP(O534,EMAILS!B:C,2,FALSE),"NOT FOUND IN EMAILS")</f>
        <v>supplier@gmail.com</v>
      </c>
      <c r="Q534" t="str">
        <f ca="1">""&amp;IFERROR(VLOOKUP(O534,EMAILS!B:D,3,FALSE),"NOT FOUND IN EMAILS")</f>
        <v>supplier_logistics@gmail.com</v>
      </c>
      <c r="R534" t="str">
        <f ca="1">""&amp;IFERROR(VLOOKUP(O534,EMAILS!B:E,4,FALSE),"NO T FOUND IN EMAILS")</f>
        <v/>
      </c>
    </row>
    <row r="535" spans="2:18" x14ac:dyDescent="0.25">
      <c r="B535" s="5" t="s">
        <v>537</v>
      </c>
      <c r="C535" s="5" t="s">
        <v>4677</v>
      </c>
      <c r="D535" s="5">
        <v>0</v>
      </c>
      <c r="E535" s="5">
        <v>76</v>
      </c>
      <c r="F535" s="5">
        <v>12</v>
      </c>
      <c r="G535" s="5">
        <v>80</v>
      </c>
      <c r="H535" s="5">
        <v>0</v>
      </c>
      <c r="I535" s="5">
        <v>2</v>
      </c>
      <c r="J535" s="5">
        <v>0</v>
      </c>
      <c r="K535" s="5">
        <v>0</v>
      </c>
      <c r="L535" s="5">
        <v>0</v>
      </c>
      <c r="M535" s="5">
        <v>0</v>
      </c>
      <c r="N535" s="5">
        <v>6387</v>
      </c>
      <c r="O535" s="5" t="str">
        <f t="shared" ca="1" si="8"/>
        <v>Supplier 37</v>
      </c>
      <c r="P535" s="20" t="str">
        <f ca="1">IFERROR(VLOOKUP(O535,EMAILS!B:C,2,FALSE),"NOT FOUND IN EMAILS")</f>
        <v>supplier@gmail.com</v>
      </c>
      <c r="Q535" t="str">
        <f ca="1">""&amp;IFERROR(VLOOKUP(O535,EMAILS!B:D,3,FALSE),"NOT FOUND IN EMAILS")</f>
        <v/>
      </c>
      <c r="R535" t="str">
        <f ca="1">""&amp;IFERROR(VLOOKUP(O535,EMAILS!B:E,4,FALSE),"NO T FOUND IN EMAILS")</f>
        <v/>
      </c>
    </row>
    <row r="536" spans="2:18" x14ac:dyDescent="0.25">
      <c r="B536" s="5" t="s">
        <v>538</v>
      </c>
      <c r="C536" s="5" t="s">
        <v>4678</v>
      </c>
      <c r="D536" s="5">
        <v>2</v>
      </c>
      <c r="E536" s="5">
        <v>0</v>
      </c>
      <c r="F536" s="5">
        <v>6</v>
      </c>
      <c r="G536" s="5">
        <v>4</v>
      </c>
      <c r="H536" s="5">
        <v>2</v>
      </c>
      <c r="I536" s="5">
        <v>0</v>
      </c>
      <c r="J536" s="5">
        <v>0</v>
      </c>
      <c r="K536" s="5">
        <v>0</v>
      </c>
      <c r="L536" s="5">
        <v>0</v>
      </c>
      <c r="M536" s="5">
        <v>0</v>
      </c>
      <c r="N536" s="5">
        <v>865</v>
      </c>
      <c r="O536" s="5" t="str">
        <f t="shared" ca="1" si="8"/>
        <v>Supplier 105</v>
      </c>
      <c r="P536" s="20" t="str">
        <f ca="1">IFERROR(VLOOKUP(O536,EMAILS!B:C,2,FALSE),"NOT FOUND IN EMAILS")</f>
        <v>supplier@gmail.com</v>
      </c>
      <c r="Q536" t="str">
        <f ca="1">""&amp;IFERROR(VLOOKUP(O536,EMAILS!B:D,3,FALSE),"NOT FOUND IN EMAILS")</f>
        <v/>
      </c>
      <c r="R536" t="str">
        <f ca="1">""&amp;IFERROR(VLOOKUP(O536,EMAILS!B:E,4,FALSE),"NO T FOUND IN EMAILS")</f>
        <v/>
      </c>
    </row>
    <row r="537" spans="2:18" x14ac:dyDescent="0.25">
      <c r="B537" s="5" t="s">
        <v>539</v>
      </c>
      <c r="C537" s="5" t="s">
        <v>4679</v>
      </c>
      <c r="D537" s="5">
        <v>0</v>
      </c>
      <c r="E537" s="5">
        <v>0</v>
      </c>
      <c r="F537" s="5">
        <v>20</v>
      </c>
      <c r="G537" s="5">
        <v>0</v>
      </c>
      <c r="H537" s="5">
        <v>0</v>
      </c>
      <c r="I537" s="5">
        <v>0</v>
      </c>
      <c r="J537" s="5">
        <v>0</v>
      </c>
      <c r="K537" s="5">
        <v>0</v>
      </c>
      <c r="L537" s="5">
        <v>0</v>
      </c>
      <c r="M537" s="5">
        <v>0</v>
      </c>
      <c r="N537" s="5">
        <v>1933</v>
      </c>
      <c r="O537" s="5" t="str">
        <f t="shared" ca="1" si="8"/>
        <v>Supplier 141</v>
      </c>
      <c r="P537" s="20" t="str">
        <f ca="1">IFERROR(VLOOKUP(O537,EMAILS!B:C,2,FALSE),"NOT FOUND IN EMAILS")</f>
        <v>supplier@gmail.com</v>
      </c>
      <c r="Q537" t="str">
        <f ca="1">""&amp;IFERROR(VLOOKUP(O537,EMAILS!B:D,3,FALSE),"NOT FOUND IN EMAILS")</f>
        <v/>
      </c>
      <c r="R537" t="str">
        <f ca="1">""&amp;IFERROR(VLOOKUP(O537,EMAILS!B:E,4,FALSE),"NO T FOUND IN EMAILS")</f>
        <v/>
      </c>
    </row>
    <row r="538" spans="2:18" x14ac:dyDescent="0.25">
      <c r="B538" s="5" t="s">
        <v>540</v>
      </c>
      <c r="C538" s="5" t="s">
        <v>4680</v>
      </c>
      <c r="D538" s="5">
        <v>283</v>
      </c>
      <c r="E538" s="5">
        <v>60</v>
      </c>
      <c r="F538" s="5">
        <v>154</v>
      </c>
      <c r="G538" s="5">
        <v>164</v>
      </c>
      <c r="H538" s="5">
        <v>197</v>
      </c>
      <c r="I538" s="5">
        <v>105</v>
      </c>
      <c r="J538" s="5">
        <v>146</v>
      </c>
      <c r="K538" s="5">
        <v>127</v>
      </c>
      <c r="L538" s="5">
        <v>454</v>
      </c>
      <c r="M538" s="5">
        <v>0</v>
      </c>
      <c r="N538" s="5">
        <v>3578</v>
      </c>
      <c r="O538" s="5" t="str">
        <f t="shared" ca="1" si="8"/>
        <v>Supplier 71</v>
      </c>
      <c r="P538" s="20" t="str">
        <f ca="1">IFERROR(VLOOKUP(O538,EMAILS!B:C,2,FALSE),"NOT FOUND IN EMAILS")</f>
        <v>supplier@gmail.com</v>
      </c>
      <c r="Q538" t="str">
        <f ca="1">""&amp;IFERROR(VLOOKUP(O538,EMAILS!B:D,3,FALSE),"NOT FOUND IN EMAILS")</f>
        <v/>
      </c>
      <c r="R538" t="str">
        <f ca="1">""&amp;IFERROR(VLOOKUP(O538,EMAILS!B:E,4,FALSE),"NO T FOUND IN EMAILS")</f>
        <v/>
      </c>
    </row>
    <row r="539" spans="2:18" x14ac:dyDescent="0.25">
      <c r="B539" s="5" t="s">
        <v>541</v>
      </c>
      <c r="C539" s="5" t="s">
        <v>4681</v>
      </c>
      <c r="D539" s="5">
        <v>310</v>
      </c>
      <c r="E539" s="5">
        <v>236</v>
      </c>
      <c r="F539" s="5">
        <v>410</v>
      </c>
      <c r="G539" s="5">
        <v>404</v>
      </c>
      <c r="H539" s="5">
        <v>340</v>
      </c>
      <c r="I539" s="5">
        <v>332</v>
      </c>
      <c r="J539" s="5">
        <v>392</v>
      </c>
      <c r="K539" s="5">
        <v>370</v>
      </c>
      <c r="L539" s="5">
        <v>362</v>
      </c>
      <c r="M539" s="5">
        <v>0</v>
      </c>
      <c r="N539" s="5">
        <v>3260</v>
      </c>
      <c r="O539" s="5" t="str">
        <f t="shared" ca="1" si="8"/>
        <v>Supplier 31</v>
      </c>
      <c r="P539" s="20" t="str">
        <f ca="1">IFERROR(VLOOKUP(O539,EMAILS!B:C,2,FALSE),"NOT FOUND IN EMAILS")</f>
        <v>supplier@gmail.com</v>
      </c>
      <c r="Q539" t="str">
        <f ca="1">""&amp;IFERROR(VLOOKUP(O539,EMAILS!B:D,3,FALSE),"NOT FOUND IN EMAILS")</f>
        <v/>
      </c>
      <c r="R539" t="str">
        <f ca="1">""&amp;IFERROR(VLOOKUP(O539,EMAILS!B:E,4,FALSE),"NO T FOUND IN EMAILS")</f>
        <v/>
      </c>
    </row>
    <row r="540" spans="2:18" x14ac:dyDescent="0.25">
      <c r="B540" s="5" t="s">
        <v>542</v>
      </c>
      <c r="C540" s="5" t="s">
        <v>4682</v>
      </c>
      <c r="D540" s="5">
        <v>24</v>
      </c>
      <c r="E540" s="5">
        <v>39</v>
      </c>
      <c r="F540" s="5">
        <v>25</v>
      </c>
      <c r="G540" s="5">
        <v>17</v>
      </c>
      <c r="H540" s="5">
        <v>13</v>
      </c>
      <c r="I540" s="5">
        <v>11</v>
      </c>
      <c r="J540" s="5">
        <v>6</v>
      </c>
      <c r="K540" s="5">
        <v>9</v>
      </c>
      <c r="L540" s="5">
        <v>35</v>
      </c>
      <c r="M540" s="5">
        <v>0</v>
      </c>
      <c r="N540" s="5">
        <v>126</v>
      </c>
      <c r="O540" s="5" t="str">
        <f t="shared" ca="1" si="8"/>
        <v>Supplier 104</v>
      </c>
      <c r="P540" s="20" t="str">
        <f ca="1">IFERROR(VLOOKUP(O540,EMAILS!B:C,2,FALSE),"NOT FOUND IN EMAILS")</f>
        <v>supplier@gmail.com</v>
      </c>
      <c r="Q540" t="str">
        <f ca="1">""&amp;IFERROR(VLOOKUP(O540,EMAILS!B:D,3,FALSE),"NOT FOUND IN EMAILS")</f>
        <v/>
      </c>
      <c r="R540" t="str">
        <f ca="1">""&amp;IFERROR(VLOOKUP(O540,EMAILS!B:E,4,FALSE),"NO T FOUND IN EMAILS")</f>
        <v/>
      </c>
    </row>
    <row r="541" spans="2:18" x14ac:dyDescent="0.25">
      <c r="B541" s="5" t="s">
        <v>543</v>
      </c>
      <c r="C541" s="5" t="s">
        <v>4683</v>
      </c>
      <c r="D541" s="5">
        <v>750</v>
      </c>
      <c r="E541" s="5">
        <v>1150</v>
      </c>
      <c r="F541" s="5">
        <v>750</v>
      </c>
      <c r="G541" s="5">
        <v>750</v>
      </c>
      <c r="H541" s="5">
        <v>2300</v>
      </c>
      <c r="I541" s="5">
        <v>1540</v>
      </c>
      <c r="J541" s="5">
        <v>850</v>
      </c>
      <c r="K541" s="5">
        <v>1500</v>
      </c>
      <c r="L541" s="5">
        <v>820</v>
      </c>
      <c r="M541" s="5">
        <v>0</v>
      </c>
      <c r="N541" s="5">
        <v>566</v>
      </c>
      <c r="O541" s="5" t="str">
        <f t="shared" ca="1" si="8"/>
        <v>Supplier 78</v>
      </c>
      <c r="P541" s="20" t="str">
        <f ca="1">IFERROR(VLOOKUP(O541,EMAILS!B:C,2,FALSE),"NOT FOUND IN EMAILS")</f>
        <v>supplier@gmail.com</v>
      </c>
      <c r="Q541" t="str">
        <f ca="1">""&amp;IFERROR(VLOOKUP(O541,EMAILS!B:D,3,FALSE),"NOT FOUND IN EMAILS")</f>
        <v/>
      </c>
      <c r="R541" t="str">
        <f ca="1">""&amp;IFERROR(VLOOKUP(O541,EMAILS!B:E,4,FALSE),"NO T FOUND IN EMAILS")</f>
        <v/>
      </c>
    </row>
    <row r="542" spans="2:18" x14ac:dyDescent="0.25">
      <c r="B542" s="5" t="s">
        <v>544</v>
      </c>
      <c r="C542" s="5" t="s">
        <v>4684</v>
      </c>
      <c r="D542" s="5">
        <v>2</v>
      </c>
      <c r="E542" s="5">
        <v>2</v>
      </c>
      <c r="F542" s="5">
        <v>2</v>
      </c>
      <c r="G542" s="5">
        <v>2</v>
      </c>
      <c r="H542" s="5">
        <v>2</v>
      </c>
      <c r="I542" s="5">
        <v>2</v>
      </c>
      <c r="J542" s="5">
        <v>2</v>
      </c>
      <c r="K542" s="5">
        <v>2</v>
      </c>
      <c r="L542" s="5">
        <v>2</v>
      </c>
      <c r="M542" s="5">
        <v>0</v>
      </c>
      <c r="N542" s="5">
        <v>5285</v>
      </c>
      <c r="O542" s="5" t="str">
        <f t="shared" ca="1" si="8"/>
        <v>Supplier 77</v>
      </c>
      <c r="P542" s="20" t="str">
        <f ca="1">IFERROR(VLOOKUP(O542,EMAILS!B:C,2,FALSE),"NOT FOUND IN EMAILS")</f>
        <v>supplier@gmail.com</v>
      </c>
      <c r="Q542" t="str">
        <f ca="1">""&amp;IFERROR(VLOOKUP(O542,EMAILS!B:D,3,FALSE),"NOT FOUND IN EMAILS")</f>
        <v/>
      </c>
      <c r="R542" t="str">
        <f ca="1">""&amp;IFERROR(VLOOKUP(O542,EMAILS!B:E,4,FALSE),"NO T FOUND IN EMAILS")</f>
        <v/>
      </c>
    </row>
    <row r="543" spans="2:18" x14ac:dyDescent="0.25">
      <c r="B543" s="5" t="s">
        <v>545</v>
      </c>
      <c r="C543" s="5" t="s">
        <v>4685</v>
      </c>
      <c r="D543" s="5">
        <v>326</v>
      </c>
      <c r="E543" s="5">
        <v>384</v>
      </c>
      <c r="F543" s="5">
        <v>426</v>
      </c>
      <c r="G543" s="5">
        <v>452</v>
      </c>
      <c r="H543" s="5">
        <v>262</v>
      </c>
      <c r="I543" s="5">
        <v>313</v>
      </c>
      <c r="J543" s="5">
        <v>320</v>
      </c>
      <c r="K543" s="5">
        <v>254</v>
      </c>
      <c r="L543" s="5">
        <v>190</v>
      </c>
      <c r="M543" s="5">
        <v>0</v>
      </c>
      <c r="N543" s="5">
        <v>2926</v>
      </c>
      <c r="O543" s="5" t="str">
        <f t="shared" ca="1" si="8"/>
        <v>Supplier 130</v>
      </c>
      <c r="P543" s="20" t="str">
        <f ca="1">IFERROR(VLOOKUP(O543,EMAILS!B:C,2,FALSE),"NOT FOUND IN EMAILS")</f>
        <v>supplier@gmail.com</v>
      </c>
      <c r="Q543" t="str">
        <f ca="1">""&amp;IFERROR(VLOOKUP(O543,EMAILS!B:D,3,FALSE),"NOT FOUND IN EMAILS")</f>
        <v/>
      </c>
      <c r="R543" t="str">
        <f ca="1">""&amp;IFERROR(VLOOKUP(O543,EMAILS!B:E,4,FALSE),"NO T FOUND IN EMAILS")</f>
        <v/>
      </c>
    </row>
    <row r="544" spans="2:18" x14ac:dyDescent="0.25">
      <c r="B544" s="5" t="s">
        <v>546</v>
      </c>
      <c r="C544" s="5" t="s">
        <v>4686</v>
      </c>
      <c r="D544" s="5">
        <v>130</v>
      </c>
      <c r="E544" s="5">
        <v>40</v>
      </c>
      <c r="F544" s="5">
        <v>100</v>
      </c>
      <c r="G544" s="5">
        <v>80</v>
      </c>
      <c r="H544" s="5">
        <v>110</v>
      </c>
      <c r="I544" s="5">
        <v>70</v>
      </c>
      <c r="J544" s="5">
        <v>60</v>
      </c>
      <c r="K544" s="5">
        <v>90</v>
      </c>
      <c r="L544" s="5">
        <v>80</v>
      </c>
      <c r="M544" s="5">
        <v>0</v>
      </c>
      <c r="N544" s="5">
        <v>0</v>
      </c>
      <c r="O544" s="5" t="str">
        <f t="shared" ca="1" si="8"/>
        <v>Supplier 78</v>
      </c>
      <c r="P544" s="20" t="str">
        <f ca="1">IFERROR(VLOOKUP(O544,EMAILS!B:C,2,FALSE),"NOT FOUND IN EMAILS")</f>
        <v>supplier@gmail.com</v>
      </c>
      <c r="Q544" t="str">
        <f ca="1">""&amp;IFERROR(VLOOKUP(O544,EMAILS!B:D,3,FALSE),"NOT FOUND IN EMAILS")</f>
        <v/>
      </c>
      <c r="R544" t="str">
        <f ca="1">""&amp;IFERROR(VLOOKUP(O544,EMAILS!B:E,4,FALSE),"NO T FOUND IN EMAILS")</f>
        <v/>
      </c>
    </row>
    <row r="545" spans="2:18" x14ac:dyDescent="0.25">
      <c r="B545" s="5" t="s">
        <v>547</v>
      </c>
      <c r="C545" s="5" t="s">
        <v>4687</v>
      </c>
      <c r="D545" s="5">
        <v>492</v>
      </c>
      <c r="E545" s="5">
        <v>328</v>
      </c>
      <c r="F545" s="5">
        <v>956</v>
      </c>
      <c r="G545" s="5">
        <v>956</v>
      </c>
      <c r="H545" s="5">
        <v>892</v>
      </c>
      <c r="I545" s="5">
        <v>343</v>
      </c>
      <c r="J545" s="5">
        <v>328</v>
      </c>
      <c r="K545" s="5">
        <v>1556</v>
      </c>
      <c r="L545" s="5">
        <v>328</v>
      </c>
      <c r="M545" s="5">
        <v>0</v>
      </c>
      <c r="N545" s="5">
        <v>0</v>
      </c>
      <c r="O545" s="5" t="str">
        <f t="shared" ca="1" si="8"/>
        <v>Supplier 91</v>
      </c>
      <c r="P545" s="20" t="str">
        <f ca="1">IFERROR(VLOOKUP(O545,EMAILS!B:C,2,FALSE),"NOT FOUND IN EMAILS")</f>
        <v>supplier@gmail.com</v>
      </c>
      <c r="Q545" t="str">
        <f ca="1">""&amp;IFERROR(VLOOKUP(O545,EMAILS!B:D,3,FALSE),"NOT FOUND IN EMAILS")</f>
        <v/>
      </c>
      <c r="R545" t="str">
        <f ca="1">""&amp;IFERROR(VLOOKUP(O545,EMAILS!B:E,4,FALSE),"NO T FOUND IN EMAILS")</f>
        <v/>
      </c>
    </row>
    <row r="546" spans="2:18" x14ac:dyDescent="0.25">
      <c r="B546" s="5" t="s">
        <v>548</v>
      </c>
      <c r="C546" s="5" t="s">
        <v>4688</v>
      </c>
      <c r="D546" s="5">
        <v>0</v>
      </c>
      <c r="E546" s="5">
        <v>0</v>
      </c>
      <c r="F546" s="5">
        <v>0</v>
      </c>
      <c r="G546" s="5">
        <v>400</v>
      </c>
      <c r="H546" s="5">
        <v>0</v>
      </c>
      <c r="I546" s="5">
        <v>0</v>
      </c>
      <c r="J546" s="5">
        <v>200</v>
      </c>
      <c r="K546" s="5">
        <v>1000</v>
      </c>
      <c r="L546" s="5">
        <v>100</v>
      </c>
      <c r="M546" s="5">
        <v>0</v>
      </c>
      <c r="N546" s="5">
        <v>3610</v>
      </c>
      <c r="O546" s="5" t="str">
        <f t="shared" ca="1" si="8"/>
        <v>Supplier 148</v>
      </c>
      <c r="P546" s="20" t="str">
        <f ca="1">IFERROR(VLOOKUP(O546,EMAILS!B:C,2,FALSE),"NOT FOUND IN EMAILS")</f>
        <v>supplier@gmail.com</v>
      </c>
      <c r="Q546" t="str">
        <f ca="1">""&amp;IFERROR(VLOOKUP(O546,EMAILS!B:D,3,FALSE),"NOT FOUND IN EMAILS")</f>
        <v/>
      </c>
      <c r="R546" t="str">
        <f ca="1">""&amp;IFERROR(VLOOKUP(O546,EMAILS!B:E,4,FALSE),"NO T FOUND IN EMAILS")</f>
        <v/>
      </c>
    </row>
    <row r="547" spans="2:18" x14ac:dyDescent="0.25">
      <c r="B547" s="5" t="s">
        <v>549</v>
      </c>
      <c r="C547" s="5" t="s">
        <v>4689</v>
      </c>
      <c r="D547" s="5">
        <v>1062</v>
      </c>
      <c r="E547" s="5">
        <v>30</v>
      </c>
      <c r="F547" s="5">
        <v>30</v>
      </c>
      <c r="G547" s="5">
        <v>30</v>
      </c>
      <c r="H547" s="5">
        <v>30</v>
      </c>
      <c r="I547" s="5">
        <v>15</v>
      </c>
      <c r="J547" s="5">
        <v>30</v>
      </c>
      <c r="K547" s="5">
        <v>15</v>
      </c>
      <c r="L547" s="5">
        <v>30</v>
      </c>
      <c r="M547" s="5">
        <v>0</v>
      </c>
      <c r="N547" s="5">
        <v>6165</v>
      </c>
      <c r="O547" s="5" t="str">
        <f t="shared" ca="1" si="8"/>
        <v>Supplier 73</v>
      </c>
      <c r="P547" s="20" t="str">
        <f ca="1">IFERROR(VLOOKUP(O547,EMAILS!B:C,2,FALSE),"NOT FOUND IN EMAILS")</f>
        <v>supplier@gmail.com</v>
      </c>
      <c r="Q547" t="str">
        <f ca="1">""&amp;IFERROR(VLOOKUP(O547,EMAILS!B:D,3,FALSE),"NOT FOUND IN EMAILS")</f>
        <v/>
      </c>
      <c r="R547" t="str">
        <f ca="1">""&amp;IFERROR(VLOOKUP(O547,EMAILS!B:E,4,FALSE),"NO T FOUND IN EMAILS")</f>
        <v/>
      </c>
    </row>
    <row r="548" spans="2:18" x14ac:dyDescent="0.25">
      <c r="B548" s="5" t="s">
        <v>550</v>
      </c>
      <c r="C548" s="5" t="s">
        <v>4690</v>
      </c>
      <c r="D548" s="5">
        <v>4816</v>
      </c>
      <c r="E548" s="5">
        <v>4802</v>
      </c>
      <c r="F548" s="5">
        <v>4902</v>
      </c>
      <c r="G548" s="5">
        <v>4814</v>
      </c>
      <c r="H548" s="5">
        <v>4870</v>
      </c>
      <c r="I548" s="5">
        <v>4874</v>
      </c>
      <c r="J548" s="5">
        <v>3437</v>
      </c>
      <c r="K548" s="5">
        <v>3379</v>
      </c>
      <c r="L548" s="5">
        <v>3412</v>
      </c>
      <c r="M548" s="5">
        <v>0</v>
      </c>
      <c r="N548" s="5">
        <v>796</v>
      </c>
      <c r="O548" s="5" t="str">
        <f t="shared" ca="1" si="8"/>
        <v>Supplier 33</v>
      </c>
      <c r="P548" s="20" t="str">
        <f ca="1">IFERROR(VLOOKUP(O548,EMAILS!B:C,2,FALSE),"NOT FOUND IN EMAILS")</f>
        <v>supplier@gmail.com</v>
      </c>
      <c r="Q548" t="str">
        <f ca="1">""&amp;IFERROR(VLOOKUP(O548,EMAILS!B:D,3,FALSE),"NOT FOUND IN EMAILS")</f>
        <v/>
      </c>
      <c r="R548" t="str">
        <f ca="1">""&amp;IFERROR(VLOOKUP(O548,EMAILS!B:E,4,FALSE),"NO T FOUND IN EMAILS")</f>
        <v/>
      </c>
    </row>
    <row r="549" spans="2:18" x14ac:dyDescent="0.25">
      <c r="B549" s="5" t="s">
        <v>551</v>
      </c>
      <c r="C549" s="5" t="s">
        <v>4691</v>
      </c>
      <c r="D549" s="5">
        <v>100</v>
      </c>
      <c r="E549" s="5">
        <v>50</v>
      </c>
      <c r="F549" s="5">
        <v>60</v>
      </c>
      <c r="G549" s="5">
        <v>55</v>
      </c>
      <c r="H549" s="5">
        <v>30</v>
      </c>
      <c r="I549" s="5">
        <v>44</v>
      </c>
      <c r="J549" s="5">
        <v>55</v>
      </c>
      <c r="K549" s="5">
        <v>0</v>
      </c>
      <c r="L549" s="5">
        <v>70</v>
      </c>
      <c r="M549" s="5">
        <v>0</v>
      </c>
      <c r="N549" s="5">
        <v>1463</v>
      </c>
      <c r="O549" s="5" t="str">
        <f t="shared" ca="1" si="8"/>
        <v>Supplier 45</v>
      </c>
      <c r="P549" s="20" t="str">
        <f ca="1">IFERROR(VLOOKUP(O549,EMAILS!B:C,2,FALSE),"NOT FOUND IN EMAILS")</f>
        <v>supplier@gmail.com</v>
      </c>
      <c r="Q549" t="str">
        <f ca="1">""&amp;IFERROR(VLOOKUP(O549,EMAILS!B:D,3,FALSE),"NOT FOUND IN EMAILS")</f>
        <v/>
      </c>
      <c r="R549" t="str">
        <f ca="1">""&amp;IFERROR(VLOOKUP(O549,EMAILS!B:E,4,FALSE),"NO T FOUND IN EMAILS")</f>
        <v/>
      </c>
    </row>
    <row r="550" spans="2:18" x14ac:dyDescent="0.25">
      <c r="B550" s="5" t="s">
        <v>552</v>
      </c>
      <c r="C550" s="5" t="s">
        <v>4692</v>
      </c>
      <c r="D550" s="5">
        <v>0</v>
      </c>
      <c r="E550" s="5">
        <v>40</v>
      </c>
      <c r="F550" s="5">
        <v>0</v>
      </c>
      <c r="G550" s="5">
        <v>0</v>
      </c>
      <c r="H550" s="5">
        <v>0</v>
      </c>
      <c r="I550" s="5">
        <v>0</v>
      </c>
      <c r="J550" s="5">
        <v>35</v>
      </c>
      <c r="K550" s="5">
        <v>0</v>
      </c>
      <c r="L550" s="5">
        <v>0</v>
      </c>
      <c r="M550" s="5">
        <v>0</v>
      </c>
      <c r="N550" s="5">
        <v>112</v>
      </c>
      <c r="O550" s="5" t="str">
        <f t="shared" ca="1" si="8"/>
        <v>Supplier 177</v>
      </c>
      <c r="P550" s="20" t="str">
        <f ca="1">IFERROR(VLOOKUP(O550,EMAILS!B:C,2,FALSE),"NOT FOUND IN EMAILS")</f>
        <v>supplier@gmail.com</v>
      </c>
      <c r="Q550" t="str">
        <f ca="1">""&amp;IFERROR(VLOOKUP(O550,EMAILS!B:D,3,FALSE),"NOT FOUND IN EMAILS")</f>
        <v/>
      </c>
      <c r="R550" t="str">
        <f ca="1">""&amp;IFERROR(VLOOKUP(O550,EMAILS!B:E,4,FALSE),"NO T FOUND IN EMAILS")</f>
        <v/>
      </c>
    </row>
    <row r="551" spans="2:18" x14ac:dyDescent="0.25">
      <c r="B551" s="5" t="s">
        <v>553</v>
      </c>
      <c r="C551" s="5" t="s">
        <v>4693</v>
      </c>
      <c r="D551" s="5">
        <v>0</v>
      </c>
      <c r="E551" s="5">
        <v>0</v>
      </c>
      <c r="F551" s="5">
        <v>0</v>
      </c>
      <c r="G551" s="5">
        <v>0</v>
      </c>
      <c r="H551" s="5">
        <v>0</v>
      </c>
      <c r="I551" s="5">
        <v>0</v>
      </c>
      <c r="J551" s="5">
        <v>0</v>
      </c>
      <c r="K551" s="5">
        <v>20</v>
      </c>
      <c r="L551" s="5">
        <v>0</v>
      </c>
      <c r="M551" s="5">
        <v>0</v>
      </c>
      <c r="N551" s="5">
        <v>0</v>
      </c>
      <c r="O551" s="5" t="str">
        <f t="shared" ca="1" si="8"/>
        <v>Supplier 97</v>
      </c>
      <c r="P551" s="20" t="str">
        <f ca="1">IFERROR(VLOOKUP(O551,EMAILS!B:C,2,FALSE),"NOT FOUND IN EMAILS")</f>
        <v>supplier@gmail.com</v>
      </c>
      <c r="Q551" t="str">
        <f ca="1">""&amp;IFERROR(VLOOKUP(O551,EMAILS!B:D,3,FALSE),"NOT FOUND IN EMAILS")</f>
        <v/>
      </c>
      <c r="R551" t="str">
        <f ca="1">""&amp;IFERROR(VLOOKUP(O551,EMAILS!B:E,4,FALSE),"NO T FOUND IN EMAILS")</f>
        <v/>
      </c>
    </row>
    <row r="552" spans="2:18" x14ac:dyDescent="0.25">
      <c r="B552" s="5" t="s">
        <v>554</v>
      </c>
      <c r="C552" s="5" t="s">
        <v>4694</v>
      </c>
      <c r="D552" s="5">
        <v>0</v>
      </c>
      <c r="E552" s="5">
        <v>0</v>
      </c>
      <c r="F552" s="5">
        <v>0</v>
      </c>
      <c r="G552" s="5">
        <v>0</v>
      </c>
      <c r="H552" s="5">
        <v>0</v>
      </c>
      <c r="I552" s="5">
        <v>0</v>
      </c>
      <c r="J552" s="5">
        <v>0</v>
      </c>
      <c r="K552" s="5">
        <v>20</v>
      </c>
      <c r="L552" s="5">
        <v>0</v>
      </c>
      <c r="M552" s="5">
        <v>0</v>
      </c>
      <c r="N552" s="5">
        <v>3702</v>
      </c>
      <c r="O552" s="5" t="str">
        <f t="shared" ca="1" si="8"/>
        <v>Supplier 25</v>
      </c>
      <c r="P552" s="20" t="str">
        <f ca="1">IFERROR(VLOOKUP(O552,EMAILS!B:C,2,FALSE),"NOT FOUND IN EMAILS")</f>
        <v>supplier@gmail.com</v>
      </c>
      <c r="Q552" t="str">
        <f ca="1">""&amp;IFERROR(VLOOKUP(O552,EMAILS!B:D,3,FALSE),"NOT FOUND IN EMAILS")</f>
        <v/>
      </c>
      <c r="R552" t="str">
        <f ca="1">""&amp;IFERROR(VLOOKUP(O552,EMAILS!B:E,4,FALSE),"NO T FOUND IN EMAILS")</f>
        <v/>
      </c>
    </row>
    <row r="553" spans="2:18" x14ac:dyDescent="0.25">
      <c r="B553" s="5" t="s">
        <v>555</v>
      </c>
      <c r="C553" s="5" t="s">
        <v>4695</v>
      </c>
      <c r="D553" s="5">
        <v>4</v>
      </c>
      <c r="E553" s="5">
        <v>6</v>
      </c>
      <c r="F553" s="5">
        <v>6</v>
      </c>
      <c r="G553" s="5">
        <v>8</v>
      </c>
      <c r="H553" s="5">
        <v>11</v>
      </c>
      <c r="I553" s="5">
        <v>8</v>
      </c>
      <c r="J553" s="5">
        <v>12</v>
      </c>
      <c r="K553" s="5">
        <v>6</v>
      </c>
      <c r="L553" s="5">
        <v>11</v>
      </c>
      <c r="M553" s="5">
        <v>0</v>
      </c>
      <c r="N553" s="5">
        <v>25</v>
      </c>
      <c r="O553" s="5" t="str">
        <f t="shared" ca="1" si="8"/>
        <v>Supplier 64</v>
      </c>
      <c r="P553" s="20" t="str">
        <f ca="1">IFERROR(VLOOKUP(O553,EMAILS!B:C,2,FALSE),"NOT FOUND IN EMAILS")</f>
        <v>supplier@gmail.com</v>
      </c>
      <c r="Q553" t="str">
        <f ca="1">""&amp;IFERROR(VLOOKUP(O553,EMAILS!B:D,3,FALSE),"NOT FOUND IN EMAILS")</f>
        <v/>
      </c>
      <c r="R553" t="str">
        <f ca="1">""&amp;IFERROR(VLOOKUP(O553,EMAILS!B:E,4,FALSE),"NO T FOUND IN EMAILS")</f>
        <v/>
      </c>
    </row>
    <row r="554" spans="2:18" x14ac:dyDescent="0.25">
      <c r="B554" s="5" t="s">
        <v>556</v>
      </c>
      <c r="C554" s="5" t="s">
        <v>4696</v>
      </c>
      <c r="D554" s="5">
        <v>0</v>
      </c>
      <c r="E554" s="5">
        <v>0</v>
      </c>
      <c r="F554" s="5">
        <v>0</v>
      </c>
      <c r="G554" s="5">
        <v>0</v>
      </c>
      <c r="H554" s="5">
        <v>0</v>
      </c>
      <c r="I554" s="5">
        <v>0</v>
      </c>
      <c r="J554" s="5">
        <v>0</v>
      </c>
      <c r="K554" s="5">
        <v>0</v>
      </c>
      <c r="L554" s="5">
        <v>0</v>
      </c>
      <c r="M554" s="5">
        <v>0</v>
      </c>
      <c r="N554" s="5">
        <v>1319</v>
      </c>
      <c r="O554" s="5" t="str">
        <f t="shared" ca="1" si="8"/>
        <v>Supplier 141</v>
      </c>
      <c r="P554" s="20" t="str">
        <f ca="1">IFERROR(VLOOKUP(O554,EMAILS!B:C,2,FALSE),"NOT FOUND IN EMAILS")</f>
        <v>supplier@gmail.com</v>
      </c>
      <c r="Q554" t="str">
        <f ca="1">""&amp;IFERROR(VLOOKUP(O554,EMAILS!B:D,3,FALSE),"NOT FOUND IN EMAILS")</f>
        <v/>
      </c>
      <c r="R554" t="str">
        <f ca="1">""&amp;IFERROR(VLOOKUP(O554,EMAILS!B:E,4,FALSE),"NO T FOUND IN EMAILS")</f>
        <v/>
      </c>
    </row>
    <row r="555" spans="2:18" x14ac:dyDescent="0.25">
      <c r="B555" s="5" t="s">
        <v>557</v>
      </c>
      <c r="C555" s="5" t="s">
        <v>4697</v>
      </c>
      <c r="D555" s="5">
        <v>12</v>
      </c>
      <c r="E555" s="5">
        <v>12</v>
      </c>
      <c r="F555" s="5">
        <v>12</v>
      </c>
      <c r="G555" s="5">
        <v>12</v>
      </c>
      <c r="H555" s="5">
        <v>12</v>
      </c>
      <c r="I555" s="5">
        <v>18</v>
      </c>
      <c r="J555" s="5">
        <v>12</v>
      </c>
      <c r="K555" s="5">
        <v>12</v>
      </c>
      <c r="L555" s="5">
        <v>12</v>
      </c>
      <c r="M555" s="5">
        <v>0</v>
      </c>
      <c r="N555" s="5">
        <v>0</v>
      </c>
      <c r="O555" s="5" t="str">
        <f t="shared" ca="1" si="8"/>
        <v>Supplier 139</v>
      </c>
      <c r="P555" s="20" t="str">
        <f ca="1">IFERROR(VLOOKUP(O555,EMAILS!B:C,2,FALSE),"NOT FOUND IN EMAILS")</f>
        <v>supplier@gmail.com</v>
      </c>
      <c r="Q555" t="str">
        <f ca="1">""&amp;IFERROR(VLOOKUP(O555,EMAILS!B:D,3,FALSE),"NOT FOUND IN EMAILS")</f>
        <v/>
      </c>
      <c r="R555" t="str">
        <f ca="1">""&amp;IFERROR(VLOOKUP(O555,EMAILS!B:E,4,FALSE),"NO T FOUND IN EMAILS")</f>
        <v/>
      </c>
    </row>
    <row r="556" spans="2:18" x14ac:dyDescent="0.25">
      <c r="B556" s="5" t="s">
        <v>558</v>
      </c>
      <c r="C556" s="5" t="s">
        <v>4698</v>
      </c>
      <c r="D556" s="5">
        <v>96</v>
      </c>
      <c r="E556" s="5">
        <v>104</v>
      </c>
      <c r="F556" s="5">
        <v>242</v>
      </c>
      <c r="G556" s="5">
        <v>104</v>
      </c>
      <c r="H556" s="5">
        <v>160</v>
      </c>
      <c r="I556" s="5">
        <v>72</v>
      </c>
      <c r="J556" s="5">
        <v>136</v>
      </c>
      <c r="K556" s="5">
        <v>154</v>
      </c>
      <c r="L556" s="5">
        <v>150</v>
      </c>
      <c r="M556" s="5">
        <v>0</v>
      </c>
      <c r="N556" s="5">
        <v>0</v>
      </c>
      <c r="O556" s="5" t="str">
        <f t="shared" ca="1" si="8"/>
        <v>Supplier 13</v>
      </c>
      <c r="P556" s="20" t="str">
        <f ca="1">IFERROR(VLOOKUP(O556,EMAILS!B:C,2,FALSE),"NOT FOUND IN EMAILS")</f>
        <v>supplier@gmail.com</v>
      </c>
      <c r="Q556" t="str">
        <f ca="1">""&amp;IFERROR(VLOOKUP(O556,EMAILS!B:D,3,FALSE),"NOT FOUND IN EMAILS")</f>
        <v>supplier_logistics@gmail.com</v>
      </c>
      <c r="R556" t="str">
        <f ca="1">""&amp;IFERROR(VLOOKUP(O556,EMAILS!B:E,4,FALSE),"NO T FOUND IN EMAILS")</f>
        <v/>
      </c>
    </row>
    <row r="557" spans="2:18" x14ac:dyDescent="0.25">
      <c r="B557" s="5" t="s">
        <v>559</v>
      </c>
      <c r="C557" s="5" t="s">
        <v>4699</v>
      </c>
      <c r="D557" s="5">
        <v>50</v>
      </c>
      <c r="E557" s="5">
        <v>25</v>
      </c>
      <c r="F557" s="5">
        <v>25</v>
      </c>
      <c r="G557" s="5">
        <v>25</v>
      </c>
      <c r="H557" s="5">
        <v>25</v>
      </c>
      <c r="I557" s="5">
        <v>25</v>
      </c>
      <c r="J557" s="5">
        <v>25</v>
      </c>
      <c r="K557" s="5">
        <v>25</v>
      </c>
      <c r="L557" s="5">
        <v>25</v>
      </c>
      <c r="M557" s="5">
        <v>0</v>
      </c>
      <c r="N557" s="5">
        <v>0</v>
      </c>
      <c r="O557" s="5" t="str">
        <f t="shared" ca="1" si="8"/>
        <v>Supplier 48</v>
      </c>
      <c r="P557" s="20" t="str">
        <f ca="1">IFERROR(VLOOKUP(O557,EMAILS!B:C,2,FALSE),"NOT FOUND IN EMAILS")</f>
        <v>supplier@gmail.com</v>
      </c>
      <c r="Q557" t="str">
        <f ca="1">""&amp;IFERROR(VLOOKUP(O557,EMAILS!B:D,3,FALSE),"NOT FOUND IN EMAILS")</f>
        <v/>
      </c>
      <c r="R557" t="str">
        <f ca="1">""&amp;IFERROR(VLOOKUP(O557,EMAILS!B:E,4,FALSE),"NO T FOUND IN EMAILS")</f>
        <v/>
      </c>
    </row>
    <row r="558" spans="2:18" x14ac:dyDescent="0.25">
      <c r="B558" s="5" t="s">
        <v>560</v>
      </c>
      <c r="C558" s="5" t="s">
        <v>4700</v>
      </c>
      <c r="D558" s="5">
        <v>179</v>
      </c>
      <c r="E558" s="5">
        <v>131</v>
      </c>
      <c r="F558" s="5">
        <v>139</v>
      </c>
      <c r="G558" s="5">
        <v>139</v>
      </c>
      <c r="H558" s="5">
        <v>0</v>
      </c>
      <c r="I558" s="5">
        <v>0</v>
      </c>
      <c r="J558" s="5">
        <v>0</v>
      </c>
      <c r="K558" s="5">
        <v>12</v>
      </c>
      <c r="L558" s="5">
        <v>0</v>
      </c>
      <c r="M558" s="5">
        <v>0</v>
      </c>
      <c r="N558" s="5">
        <v>395</v>
      </c>
      <c r="O558" s="5" t="str">
        <f t="shared" ca="1" si="8"/>
        <v>Supplier 16</v>
      </c>
      <c r="P558" s="20" t="str">
        <f ca="1">IFERROR(VLOOKUP(O558,EMAILS!B:C,2,FALSE),"NOT FOUND IN EMAILS")</f>
        <v>supplier@gmail.com</v>
      </c>
      <c r="Q558" t="str">
        <f ca="1">""&amp;IFERROR(VLOOKUP(O558,EMAILS!B:D,3,FALSE),"NOT FOUND IN EMAILS")</f>
        <v>supplier_logistics@gmail.com</v>
      </c>
      <c r="R558" t="str">
        <f ca="1">""&amp;IFERROR(VLOOKUP(O558,EMAILS!B:E,4,FALSE),"NO T FOUND IN EMAILS")</f>
        <v/>
      </c>
    </row>
    <row r="559" spans="2:18" x14ac:dyDescent="0.25">
      <c r="B559" s="5" t="s">
        <v>561</v>
      </c>
      <c r="C559" s="5" t="s">
        <v>4701</v>
      </c>
      <c r="D559" s="5">
        <v>0</v>
      </c>
      <c r="E559" s="5">
        <v>0</v>
      </c>
      <c r="F559" s="5">
        <v>0</v>
      </c>
      <c r="G559" s="5">
        <v>0</v>
      </c>
      <c r="H559" s="5">
        <v>0</v>
      </c>
      <c r="I559" s="5">
        <v>0</v>
      </c>
      <c r="J559" s="5">
        <v>0</v>
      </c>
      <c r="K559" s="5">
        <v>0</v>
      </c>
      <c r="L559" s="5">
        <v>0</v>
      </c>
      <c r="M559" s="5">
        <v>0</v>
      </c>
      <c r="N559" s="5">
        <v>1045</v>
      </c>
      <c r="O559" s="5" t="str">
        <f t="shared" ca="1" si="8"/>
        <v>Supplier 132</v>
      </c>
      <c r="P559" s="20" t="str">
        <f ca="1">IFERROR(VLOOKUP(O559,EMAILS!B:C,2,FALSE),"NOT FOUND IN EMAILS")</f>
        <v>supplier@gmail.com</v>
      </c>
      <c r="Q559" t="str">
        <f ca="1">""&amp;IFERROR(VLOOKUP(O559,EMAILS!B:D,3,FALSE),"NOT FOUND IN EMAILS")</f>
        <v/>
      </c>
      <c r="R559" t="str">
        <f ca="1">""&amp;IFERROR(VLOOKUP(O559,EMAILS!B:E,4,FALSE),"NO T FOUND IN EMAILS")</f>
        <v/>
      </c>
    </row>
    <row r="560" spans="2:18" x14ac:dyDescent="0.25">
      <c r="B560" s="5" t="s">
        <v>562</v>
      </c>
      <c r="C560" s="5" t="s">
        <v>4702</v>
      </c>
      <c r="D560" s="5">
        <v>0</v>
      </c>
      <c r="E560" s="5">
        <v>0</v>
      </c>
      <c r="F560" s="5">
        <v>0</v>
      </c>
      <c r="G560" s="5">
        <v>0</v>
      </c>
      <c r="H560" s="5">
        <v>0</v>
      </c>
      <c r="I560" s="5">
        <v>0</v>
      </c>
      <c r="J560" s="5">
        <v>0</v>
      </c>
      <c r="K560" s="5">
        <v>0</v>
      </c>
      <c r="L560" s="5">
        <v>0</v>
      </c>
      <c r="M560" s="5">
        <v>0</v>
      </c>
      <c r="N560" s="5">
        <v>1128</v>
      </c>
      <c r="O560" s="5" t="str">
        <f t="shared" ca="1" si="8"/>
        <v>Supplier 57</v>
      </c>
      <c r="P560" s="20" t="str">
        <f ca="1">IFERROR(VLOOKUP(O560,EMAILS!B:C,2,FALSE),"NOT FOUND IN EMAILS")</f>
        <v>supplier@gmail.com</v>
      </c>
      <c r="Q560" t="str">
        <f ca="1">""&amp;IFERROR(VLOOKUP(O560,EMAILS!B:D,3,FALSE),"NOT FOUND IN EMAILS")</f>
        <v/>
      </c>
      <c r="R560" t="str">
        <f ca="1">""&amp;IFERROR(VLOOKUP(O560,EMAILS!B:E,4,FALSE),"NO T FOUND IN EMAILS")</f>
        <v/>
      </c>
    </row>
    <row r="561" spans="2:18" x14ac:dyDescent="0.25">
      <c r="B561" s="5" t="s">
        <v>563</v>
      </c>
      <c r="C561" s="5" t="s">
        <v>4703</v>
      </c>
      <c r="D561" s="5">
        <v>0</v>
      </c>
      <c r="E561" s="5">
        <v>0</v>
      </c>
      <c r="F561" s="5">
        <v>0</v>
      </c>
      <c r="G561" s="5">
        <v>40</v>
      </c>
      <c r="H561" s="5">
        <v>0</v>
      </c>
      <c r="I561" s="5">
        <v>0</v>
      </c>
      <c r="J561" s="5">
        <v>0</v>
      </c>
      <c r="K561" s="5">
        <v>0</v>
      </c>
      <c r="L561" s="5">
        <v>0</v>
      </c>
      <c r="M561" s="5">
        <v>0</v>
      </c>
      <c r="N561" s="5">
        <v>776</v>
      </c>
      <c r="O561" s="5" t="str">
        <f t="shared" ca="1" si="8"/>
        <v>Supplier 5</v>
      </c>
      <c r="P561" s="20" t="str">
        <f ca="1">IFERROR(VLOOKUP(O561,EMAILS!B:C,2,FALSE),"NOT FOUND IN EMAILS")</f>
        <v>supplier@gmail.com</v>
      </c>
      <c r="Q561" t="str">
        <f ca="1">""&amp;IFERROR(VLOOKUP(O561,EMAILS!B:D,3,FALSE),"NOT FOUND IN EMAILS")</f>
        <v>supplier_logistics@gmail.com</v>
      </c>
      <c r="R561" t="str">
        <f ca="1">""&amp;IFERROR(VLOOKUP(O561,EMAILS!B:E,4,FALSE),"NO T FOUND IN EMAILS")</f>
        <v/>
      </c>
    </row>
    <row r="562" spans="2:18" x14ac:dyDescent="0.25">
      <c r="B562" s="5" t="s">
        <v>564</v>
      </c>
      <c r="C562" s="5" t="s">
        <v>4704</v>
      </c>
      <c r="D562" s="5">
        <v>0</v>
      </c>
      <c r="E562" s="5">
        <v>0</v>
      </c>
      <c r="F562" s="5">
        <v>0</v>
      </c>
      <c r="G562" s="5">
        <v>0</v>
      </c>
      <c r="H562" s="5">
        <v>0</v>
      </c>
      <c r="I562" s="5">
        <v>0</v>
      </c>
      <c r="J562" s="5">
        <v>0</v>
      </c>
      <c r="K562" s="5">
        <v>0</v>
      </c>
      <c r="L562" s="5">
        <v>0</v>
      </c>
      <c r="M562" s="5">
        <v>0</v>
      </c>
      <c r="N562" s="5">
        <v>0</v>
      </c>
      <c r="O562" s="5" t="str">
        <f t="shared" ca="1" si="8"/>
        <v>Supplier 117</v>
      </c>
      <c r="P562" s="20" t="str">
        <f ca="1">IFERROR(VLOOKUP(O562,EMAILS!B:C,2,FALSE),"NOT FOUND IN EMAILS")</f>
        <v>supplier@gmail.com</v>
      </c>
      <c r="Q562" t="str">
        <f ca="1">""&amp;IFERROR(VLOOKUP(O562,EMAILS!B:D,3,FALSE),"NOT FOUND IN EMAILS")</f>
        <v/>
      </c>
      <c r="R562" t="str">
        <f ca="1">""&amp;IFERROR(VLOOKUP(O562,EMAILS!B:E,4,FALSE),"NO T FOUND IN EMAILS")</f>
        <v/>
      </c>
    </row>
    <row r="563" spans="2:18" x14ac:dyDescent="0.25">
      <c r="B563" s="5" t="s">
        <v>565</v>
      </c>
      <c r="C563" s="5" t="s">
        <v>4705</v>
      </c>
      <c r="D563" s="5">
        <v>0</v>
      </c>
      <c r="E563" s="5">
        <v>0</v>
      </c>
      <c r="F563" s="5">
        <v>0</v>
      </c>
      <c r="G563" s="5">
        <v>0</v>
      </c>
      <c r="H563" s="5">
        <v>0</v>
      </c>
      <c r="I563" s="5">
        <v>0</v>
      </c>
      <c r="J563" s="5">
        <v>0</v>
      </c>
      <c r="K563" s="5">
        <v>0</v>
      </c>
      <c r="L563" s="5">
        <v>0</v>
      </c>
      <c r="M563" s="5">
        <v>0</v>
      </c>
      <c r="N563" s="5">
        <v>1834</v>
      </c>
      <c r="O563" s="5" t="str">
        <f t="shared" ca="1" si="8"/>
        <v>Supplier 74</v>
      </c>
      <c r="P563" s="20" t="str">
        <f ca="1">IFERROR(VLOOKUP(O563,EMAILS!B:C,2,FALSE),"NOT FOUND IN EMAILS")</f>
        <v>supplier@gmail.com</v>
      </c>
      <c r="Q563" t="str">
        <f ca="1">""&amp;IFERROR(VLOOKUP(O563,EMAILS!B:D,3,FALSE),"NOT FOUND IN EMAILS")</f>
        <v/>
      </c>
      <c r="R563" t="str">
        <f ca="1">""&amp;IFERROR(VLOOKUP(O563,EMAILS!B:E,4,FALSE),"NO T FOUND IN EMAILS")</f>
        <v/>
      </c>
    </row>
    <row r="564" spans="2:18" x14ac:dyDescent="0.25">
      <c r="B564" s="5" t="s">
        <v>566</v>
      </c>
      <c r="C564" s="5" t="s">
        <v>4706</v>
      </c>
      <c r="D564" s="5">
        <v>100</v>
      </c>
      <c r="E564" s="5">
        <v>10</v>
      </c>
      <c r="F564" s="5">
        <v>60</v>
      </c>
      <c r="G564" s="5">
        <v>40</v>
      </c>
      <c r="H564" s="5">
        <v>80</v>
      </c>
      <c r="I564" s="5">
        <v>40</v>
      </c>
      <c r="J564" s="5">
        <v>20</v>
      </c>
      <c r="K564" s="5">
        <v>50</v>
      </c>
      <c r="L564" s="5">
        <v>220</v>
      </c>
      <c r="M564" s="5">
        <v>0</v>
      </c>
      <c r="N564" s="5">
        <v>4032</v>
      </c>
      <c r="O564" s="5" t="str">
        <f t="shared" ca="1" si="8"/>
        <v>Supplier 183</v>
      </c>
      <c r="P564" s="20" t="str">
        <f ca="1">IFERROR(VLOOKUP(O564,EMAILS!B:C,2,FALSE),"NOT FOUND IN EMAILS")</f>
        <v>supplier@gmail.com</v>
      </c>
      <c r="Q564" t="str">
        <f ca="1">""&amp;IFERROR(VLOOKUP(O564,EMAILS!B:D,3,FALSE),"NOT FOUND IN EMAILS")</f>
        <v/>
      </c>
      <c r="R564" t="str">
        <f ca="1">""&amp;IFERROR(VLOOKUP(O564,EMAILS!B:E,4,FALSE),"NO T FOUND IN EMAILS")</f>
        <v/>
      </c>
    </row>
    <row r="565" spans="2:18" x14ac:dyDescent="0.25">
      <c r="B565" s="5" t="s">
        <v>567</v>
      </c>
      <c r="C565" s="5" t="s">
        <v>4707</v>
      </c>
      <c r="D565" s="5">
        <v>100</v>
      </c>
      <c r="E565" s="5">
        <v>30</v>
      </c>
      <c r="F565" s="5">
        <v>132</v>
      </c>
      <c r="G565" s="5">
        <v>112</v>
      </c>
      <c r="H565" s="5">
        <v>80</v>
      </c>
      <c r="I565" s="5">
        <v>118</v>
      </c>
      <c r="J565" s="5">
        <v>20</v>
      </c>
      <c r="K565" s="5">
        <v>50</v>
      </c>
      <c r="L565" s="5">
        <v>142</v>
      </c>
      <c r="M565" s="5">
        <v>0</v>
      </c>
      <c r="N565" s="5">
        <v>0</v>
      </c>
      <c r="O565" s="5" t="str">
        <f t="shared" ca="1" si="8"/>
        <v>Supplier 7</v>
      </c>
      <c r="P565" s="20" t="str">
        <f ca="1">IFERROR(VLOOKUP(O565,EMAILS!B:C,2,FALSE),"NOT FOUND IN EMAILS")</f>
        <v>supplier@gmail.com</v>
      </c>
      <c r="Q565" t="str">
        <f ca="1">""&amp;IFERROR(VLOOKUP(O565,EMAILS!B:D,3,FALSE),"NOT FOUND IN EMAILS")</f>
        <v>supplier_logistics@gmail.com</v>
      </c>
      <c r="R565" t="str">
        <f ca="1">""&amp;IFERROR(VLOOKUP(O565,EMAILS!B:E,4,FALSE),"NO T FOUND IN EMAILS")</f>
        <v/>
      </c>
    </row>
    <row r="566" spans="2:18" x14ac:dyDescent="0.25">
      <c r="B566" s="5" t="s">
        <v>568</v>
      </c>
      <c r="C566" s="5" t="s">
        <v>4708</v>
      </c>
      <c r="D566" s="5">
        <v>1496</v>
      </c>
      <c r="E566" s="5">
        <v>214</v>
      </c>
      <c r="F566" s="5">
        <v>550</v>
      </c>
      <c r="G566" s="5">
        <v>1062</v>
      </c>
      <c r="H566" s="5">
        <v>340</v>
      </c>
      <c r="I566" s="5">
        <v>336</v>
      </c>
      <c r="J566" s="5">
        <v>10</v>
      </c>
      <c r="K566" s="5">
        <v>784</v>
      </c>
      <c r="L566" s="5">
        <v>242</v>
      </c>
      <c r="M566" s="5">
        <v>0</v>
      </c>
      <c r="N566" s="5">
        <v>133</v>
      </c>
      <c r="O566" s="5" t="str">
        <f t="shared" ca="1" si="8"/>
        <v>Supplier 36</v>
      </c>
      <c r="P566" s="20" t="str">
        <f ca="1">IFERROR(VLOOKUP(O566,EMAILS!B:C,2,FALSE),"NOT FOUND IN EMAILS")</f>
        <v>supplier@gmail.com</v>
      </c>
      <c r="Q566" t="str">
        <f ca="1">""&amp;IFERROR(VLOOKUP(O566,EMAILS!B:D,3,FALSE),"NOT FOUND IN EMAILS")</f>
        <v/>
      </c>
      <c r="R566" t="str">
        <f ca="1">""&amp;IFERROR(VLOOKUP(O566,EMAILS!B:E,4,FALSE),"NO T FOUND IN EMAILS")</f>
        <v/>
      </c>
    </row>
    <row r="567" spans="2:18" x14ac:dyDescent="0.25">
      <c r="B567" s="5" t="s">
        <v>569</v>
      </c>
      <c r="C567" s="5" t="s">
        <v>4709</v>
      </c>
      <c r="D567" s="5">
        <v>10</v>
      </c>
      <c r="E567" s="5">
        <v>10</v>
      </c>
      <c r="F567" s="5">
        <v>15</v>
      </c>
      <c r="G567" s="5">
        <v>10</v>
      </c>
      <c r="H567" s="5">
        <v>10</v>
      </c>
      <c r="I567" s="5">
        <v>10</v>
      </c>
      <c r="J567" s="5">
        <v>10</v>
      </c>
      <c r="K567" s="5">
        <v>5</v>
      </c>
      <c r="L567" s="5">
        <v>10</v>
      </c>
      <c r="M567" s="5">
        <v>0</v>
      </c>
      <c r="N567" s="5">
        <v>1366</v>
      </c>
      <c r="O567" s="5" t="str">
        <f t="shared" ca="1" si="8"/>
        <v>Supplier 154</v>
      </c>
      <c r="P567" s="20" t="str">
        <f ca="1">IFERROR(VLOOKUP(O567,EMAILS!B:C,2,FALSE),"NOT FOUND IN EMAILS")</f>
        <v>supplier@gmail.com</v>
      </c>
      <c r="Q567" t="str">
        <f ca="1">""&amp;IFERROR(VLOOKUP(O567,EMAILS!B:D,3,FALSE),"NOT FOUND IN EMAILS")</f>
        <v/>
      </c>
      <c r="R567" t="str">
        <f ca="1">""&amp;IFERROR(VLOOKUP(O567,EMAILS!B:E,4,FALSE),"NO T FOUND IN EMAILS")</f>
        <v/>
      </c>
    </row>
    <row r="568" spans="2:18" x14ac:dyDescent="0.25">
      <c r="B568" s="5" t="s">
        <v>570</v>
      </c>
      <c r="C568" s="5" t="s">
        <v>4710</v>
      </c>
      <c r="D568" s="5">
        <v>52</v>
      </c>
      <c r="E568" s="5">
        <v>12</v>
      </c>
      <c r="F568" s="5">
        <v>44</v>
      </c>
      <c r="G568" s="5">
        <v>28</v>
      </c>
      <c r="H568" s="5">
        <v>36</v>
      </c>
      <c r="I568" s="5">
        <v>40</v>
      </c>
      <c r="J568" s="5">
        <v>4</v>
      </c>
      <c r="K568" s="5">
        <v>28</v>
      </c>
      <c r="L568" s="5">
        <v>64</v>
      </c>
      <c r="M568" s="5">
        <v>0</v>
      </c>
      <c r="N568" s="5">
        <v>0</v>
      </c>
      <c r="O568" s="5" t="str">
        <f t="shared" ca="1" si="8"/>
        <v>Supplier 70</v>
      </c>
      <c r="P568" s="20" t="str">
        <f ca="1">IFERROR(VLOOKUP(O568,EMAILS!B:C,2,FALSE),"NOT FOUND IN EMAILS")</f>
        <v>supplier@gmail.com</v>
      </c>
      <c r="Q568" t="str">
        <f ca="1">""&amp;IFERROR(VLOOKUP(O568,EMAILS!B:D,3,FALSE),"NOT FOUND IN EMAILS")</f>
        <v/>
      </c>
      <c r="R568" t="str">
        <f ca="1">""&amp;IFERROR(VLOOKUP(O568,EMAILS!B:E,4,FALSE),"NO T FOUND IN EMAILS")</f>
        <v/>
      </c>
    </row>
    <row r="569" spans="2:18" x14ac:dyDescent="0.25">
      <c r="B569" s="5" t="s">
        <v>571</v>
      </c>
      <c r="C569" s="5" t="s">
        <v>4711</v>
      </c>
      <c r="D569" s="5">
        <v>626</v>
      </c>
      <c r="E569" s="5">
        <v>624</v>
      </c>
      <c r="F569" s="5">
        <v>698</v>
      </c>
      <c r="G569" s="5">
        <v>546</v>
      </c>
      <c r="H569" s="5">
        <v>654</v>
      </c>
      <c r="I569" s="5">
        <v>576</v>
      </c>
      <c r="J569" s="5">
        <v>532</v>
      </c>
      <c r="K569" s="5">
        <v>538</v>
      </c>
      <c r="L569" s="5">
        <v>432</v>
      </c>
      <c r="M569" s="5">
        <v>0</v>
      </c>
      <c r="N569" s="5">
        <v>1200</v>
      </c>
      <c r="O569" s="5" t="str">
        <f t="shared" ca="1" si="8"/>
        <v>Supplier 181</v>
      </c>
      <c r="P569" s="20" t="str">
        <f ca="1">IFERROR(VLOOKUP(O569,EMAILS!B:C,2,FALSE),"NOT FOUND IN EMAILS")</f>
        <v>supplier@gmail.com</v>
      </c>
      <c r="Q569" t="str">
        <f ca="1">""&amp;IFERROR(VLOOKUP(O569,EMAILS!B:D,3,FALSE),"NOT FOUND IN EMAILS")</f>
        <v/>
      </c>
      <c r="R569" t="str">
        <f ca="1">""&amp;IFERROR(VLOOKUP(O569,EMAILS!B:E,4,FALSE),"NO T FOUND IN EMAILS")</f>
        <v/>
      </c>
    </row>
    <row r="570" spans="2:18" x14ac:dyDescent="0.25">
      <c r="B570" s="5" t="s">
        <v>572</v>
      </c>
      <c r="C570" s="5" t="s">
        <v>4712</v>
      </c>
      <c r="D570" s="5">
        <v>800</v>
      </c>
      <c r="E570" s="5">
        <v>800</v>
      </c>
      <c r="F570" s="5">
        <v>1200</v>
      </c>
      <c r="G570" s="5">
        <v>500</v>
      </c>
      <c r="H570" s="5">
        <v>400</v>
      </c>
      <c r="I570" s="5">
        <v>0</v>
      </c>
      <c r="J570" s="5">
        <v>1000</v>
      </c>
      <c r="K570" s="5">
        <v>900</v>
      </c>
      <c r="L570" s="5">
        <v>100</v>
      </c>
      <c r="M570" s="5">
        <v>0</v>
      </c>
      <c r="N570" s="5">
        <v>279</v>
      </c>
      <c r="O570" s="5" t="str">
        <f t="shared" ca="1" si="8"/>
        <v>Supplier 199</v>
      </c>
      <c r="P570" s="20" t="str">
        <f ca="1">IFERROR(VLOOKUP(O570,EMAILS!B:C,2,FALSE),"NOT FOUND IN EMAILS")</f>
        <v>supplier@gmail.com</v>
      </c>
      <c r="Q570" t="str">
        <f ca="1">""&amp;IFERROR(VLOOKUP(O570,EMAILS!B:D,3,FALSE),"NOT FOUND IN EMAILS")</f>
        <v/>
      </c>
      <c r="R570" t="str">
        <f ca="1">""&amp;IFERROR(VLOOKUP(O570,EMAILS!B:E,4,FALSE),"NO T FOUND IN EMAILS")</f>
        <v/>
      </c>
    </row>
    <row r="571" spans="2:18" x14ac:dyDescent="0.25">
      <c r="B571" s="5" t="s">
        <v>573</v>
      </c>
      <c r="C571" s="5" t="s">
        <v>4713</v>
      </c>
      <c r="D571" s="5">
        <v>0</v>
      </c>
      <c r="E571" s="5">
        <v>0</v>
      </c>
      <c r="F571" s="5">
        <v>25</v>
      </c>
      <c r="G571" s="5">
        <v>0</v>
      </c>
      <c r="H571" s="5">
        <v>25</v>
      </c>
      <c r="I571" s="5">
        <v>25</v>
      </c>
      <c r="J571" s="5">
        <v>0</v>
      </c>
      <c r="K571" s="5">
        <v>0</v>
      </c>
      <c r="L571" s="5">
        <v>0</v>
      </c>
      <c r="M571" s="5">
        <v>0</v>
      </c>
      <c r="N571" s="5">
        <v>635</v>
      </c>
      <c r="O571" s="5" t="str">
        <f t="shared" ca="1" si="8"/>
        <v>Supplier 56</v>
      </c>
      <c r="P571" s="20" t="str">
        <f ca="1">IFERROR(VLOOKUP(O571,EMAILS!B:C,2,FALSE),"NOT FOUND IN EMAILS")</f>
        <v>supplier@gmail.com</v>
      </c>
      <c r="Q571" t="str">
        <f ca="1">""&amp;IFERROR(VLOOKUP(O571,EMAILS!B:D,3,FALSE),"NOT FOUND IN EMAILS")</f>
        <v/>
      </c>
      <c r="R571" t="str">
        <f ca="1">""&amp;IFERROR(VLOOKUP(O571,EMAILS!B:E,4,FALSE),"NO T FOUND IN EMAILS")</f>
        <v/>
      </c>
    </row>
    <row r="572" spans="2:18" x14ac:dyDescent="0.25">
      <c r="B572" s="5" t="s">
        <v>574</v>
      </c>
      <c r="C572" s="5" t="s">
        <v>4714</v>
      </c>
      <c r="D572" s="5">
        <v>3892</v>
      </c>
      <c r="E572" s="5">
        <v>1640</v>
      </c>
      <c r="F572" s="5">
        <v>2234</v>
      </c>
      <c r="G572" s="5">
        <v>2487</v>
      </c>
      <c r="H572" s="5">
        <v>2024</v>
      </c>
      <c r="I572" s="5">
        <v>2015</v>
      </c>
      <c r="J572" s="5">
        <v>2831</v>
      </c>
      <c r="K572" s="5">
        <v>2071</v>
      </c>
      <c r="L572" s="5">
        <v>2375</v>
      </c>
      <c r="M572" s="5">
        <v>0</v>
      </c>
      <c r="N572" s="5">
        <v>460</v>
      </c>
      <c r="O572" s="5" t="str">
        <f t="shared" ca="1" si="8"/>
        <v>Supplier 112</v>
      </c>
      <c r="P572" s="20" t="str">
        <f ca="1">IFERROR(VLOOKUP(O572,EMAILS!B:C,2,FALSE),"NOT FOUND IN EMAILS")</f>
        <v>supplier@gmail.com</v>
      </c>
      <c r="Q572" t="str">
        <f ca="1">""&amp;IFERROR(VLOOKUP(O572,EMAILS!B:D,3,FALSE),"NOT FOUND IN EMAILS")</f>
        <v/>
      </c>
      <c r="R572" t="str">
        <f ca="1">""&amp;IFERROR(VLOOKUP(O572,EMAILS!B:E,4,FALSE),"NO T FOUND IN EMAILS")</f>
        <v/>
      </c>
    </row>
    <row r="573" spans="2:18" x14ac:dyDescent="0.25">
      <c r="B573" s="5" t="s">
        <v>575</v>
      </c>
      <c r="C573" s="5" t="s">
        <v>4715</v>
      </c>
      <c r="D573" s="5">
        <v>10</v>
      </c>
      <c r="E573" s="5">
        <v>0</v>
      </c>
      <c r="F573" s="5">
        <v>10</v>
      </c>
      <c r="G573" s="5">
        <v>10</v>
      </c>
      <c r="H573" s="5">
        <v>0</v>
      </c>
      <c r="I573" s="5">
        <v>0</v>
      </c>
      <c r="J573" s="5">
        <v>0</v>
      </c>
      <c r="K573" s="5">
        <v>0</v>
      </c>
      <c r="L573" s="5">
        <v>0</v>
      </c>
      <c r="M573" s="5">
        <v>0</v>
      </c>
      <c r="N573" s="5">
        <v>731</v>
      </c>
      <c r="O573" s="5" t="str">
        <f t="shared" ca="1" si="8"/>
        <v>Supplier 176</v>
      </c>
      <c r="P573" s="20" t="str">
        <f ca="1">IFERROR(VLOOKUP(O573,EMAILS!B:C,2,FALSE),"NOT FOUND IN EMAILS")</f>
        <v>supplier@gmail.com</v>
      </c>
      <c r="Q573" t="str">
        <f ca="1">""&amp;IFERROR(VLOOKUP(O573,EMAILS!B:D,3,FALSE),"NOT FOUND IN EMAILS")</f>
        <v/>
      </c>
      <c r="R573" t="str">
        <f ca="1">""&amp;IFERROR(VLOOKUP(O573,EMAILS!B:E,4,FALSE),"NO T FOUND IN EMAILS")</f>
        <v/>
      </c>
    </row>
    <row r="574" spans="2:18" x14ac:dyDescent="0.25">
      <c r="B574" s="5" t="s">
        <v>576</v>
      </c>
      <c r="C574" s="5" t="s">
        <v>4716</v>
      </c>
      <c r="D574" s="5">
        <v>0</v>
      </c>
      <c r="E574" s="5">
        <v>0</v>
      </c>
      <c r="F574" s="5">
        <v>0</v>
      </c>
      <c r="G574" s="5">
        <v>0</v>
      </c>
      <c r="H574" s="5">
        <v>0</v>
      </c>
      <c r="I574" s="5">
        <v>0</v>
      </c>
      <c r="J574" s="5">
        <v>0</v>
      </c>
      <c r="K574" s="5">
        <v>0</v>
      </c>
      <c r="L574" s="5">
        <v>0</v>
      </c>
      <c r="M574" s="5">
        <v>0</v>
      </c>
      <c r="N574" s="5">
        <v>792</v>
      </c>
      <c r="O574" s="5" t="str">
        <f t="shared" ca="1" si="8"/>
        <v>Supplier 38</v>
      </c>
      <c r="P574" s="20" t="str">
        <f ca="1">IFERROR(VLOOKUP(O574,EMAILS!B:C,2,FALSE),"NOT FOUND IN EMAILS")</f>
        <v>supplier@gmail.com</v>
      </c>
      <c r="Q574" t="str">
        <f ca="1">""&amp;IFERROR(VLOOKUP(O574,EMAILS!B:D,3,FALSE),"NOT FOUND IN EMAILS")</f>
        <v/>
      </c>
      <c r="R574" t="str">
        <f ca="1">""&amp;IFERROR(VLOOKUP(O574,EMAILS!B:E,4,FALSE),"NO T FOUND IN EMAILS")</f>
        <v/>
      </c>
    </row>
    <row r="575" spans="2:18" x14ac:dyDescent="0.25">
      <c r="B575" s="5" t="s">
        <v>577</v>
      </c>
      <c r="C575" s="5" t="s">
        <v>4717</v>
      </c>
      <c r="D575" s="5">
        <v>0</v>
      </c>
      <c r="E575" s="5">
        <v>0</v>
      </c>
      <c r="F575" s="5">
        <v>0</v>
      </c>
      <c r="G575" s="5">
        <v>15</v>
      </c>
      <c r="H575" s="5">
        <v>0</v>
      </c>
      <c r="I575" s="5">
        <v>0</v>
      </c>
      <c r="J575" s="5">
        <v>0</v>
      </c>
      <c r="K575" s="5">
        <v>0</v>
      </c>
      <c r="L575" s="5">
        <v>0</v>
      </c>
      <c r="M575" s="5">
        <v>0</v>
      </c>
      <c r="N575" s="5">
        <v>1358</v>
      </c>
      <c r="O575" s="5" t="str">
        <f t="shared" ca="1" si="8"/>
        <v>Supplier 65</v>
      </c>
      <c r="P575" s="20" t="str">
        <f ca="1">IFERROR(VLOOKUP(O575,EMAILS!B:C,2,FALSE),"NOT FOUND IN EMAILS")</f>
        <v>supplier@gmail.com</v>
      </c>
      <c r="Q575" t="str">
        <f ca="1">""&amp;IFERROR(VLOOKUP(O575,EMAILS!B:D,3,FALSE),"NOT FOUND IN EMAILS")</f>
        <v/>
      </c>
      <c r="R575" t="str">
        <f ca="1">""&amp;IFERROR(VLOOKUP(O575,EMAILS!B:E,4,FALSE),"NO T FOUND IN EMAILS")</f>
        <v/>
      </c>
    </row>
    <row r="576" spans="2:18" x14ac:dyDescent="0.25">
      <c r="B576" s="5" t="s">
        <v>578</v>
      </c>
      <c r="C576" s="5" t="s">
        <v>4718</v>
      </c>
      <c r="D576" s="5">
        <v>0</v>
      </c>
      <c r="E576" s="5">
        <v>0</v>
      </c>
      <c r="F576" s="5">
        <v>0</v>
      </c>
      <c r="G576" s="5">
        <v>0</v>
      </c>
      <c r="H576" s="5">
        <v>0</v>
      </c>
      <c r="I576" s="5">
        <v>0</v>
      </c>
      <c r="J576" s="5">
        <v>0</v>
      </c>
      <c r="K576" s="5">
        <v>0</v>
      </c>
      <c r="L576" s="5">
        <v>0</v>
      </c>
      <c r="M576" s="5">
        <v>0</v>
      </c>
      <c r="N576" s="5">
        <v>0</v>
      </c>
      <c r="O576" s="5" t="str">
        <f t="shared" ca="1" si="8"/>
        <v>Supplier 184</v>
      </c>
      <c r="P576" s="20" t="str">
        <f ca="1">IFERROR(VLOOKUP(O576,EMAILS!B:C,2,FALSE),"NOT FOUND IN EMAILS")</f>
        <v>supplier@gmail.com</v>
      </c>
      <c r="Q576" t="str">
        <f ca="1">""&amp;IFERROR(VLOOKUP(O576,EMAILS!B:D,3,FALSE),"NOT FOUND IN EMAILS")</f>
        <v/>
      </c>
      <c r="R576" t="str">
        <f ca="1">""&amp;IFERROR(VLOOKUP(O576,EMAILS!B:E,4,FALSE),"NO T FOUND IN EMAILS")</f>
        <v/>
      </c>
    </row>
    <row r="577" spans="2:18" x14ac:dyDescent="0.25">
      <c r="B577" s="5" t="s">
        <v>579</v>
      </c>
      <c r="C577" s="5" t="s">
        <v>4719</v>
      </c>
      <c r="D577" s="5">
        <v>129</v>
      </c>
      <c r="E577" s="5">
        <v>0</v>
      </c>
      <c r="F577" s="5">
        <v>0</v>
      </c>
      <c r="G577" s="5">
        <v>0</v>
      </c>
      <c r="H577" s="5">
        <v>0</v>
      </c>
      <c r="I577" s="5">
        <v>0</v>
      </c>
      <c r="J577" s="5">
        <v>0</v>
      </c>
      <c r="K577" s="5">
        <v>0</v>
      </c>
      <c r="L577" s="5">
        <v>0</v>
      </c>
      <c r="M577" s="5">
        <v>0</v>
      </c>
      <c r="N577" s="5">
        <v>0</v>
      </c>
      <c r="O577" s="5" t="str">
        <f t="shared" ca="1" si="8"/>
        <v>Supplier 95</v>
      </c>
      <c r="P577" s="20" t="str">
        <f ca="1">IFERROR(VLOOKUP(O577,EMAILS!B:C,2,FALSE),"NOT FOUND IN EMAILS")</f>
        <v>supplier@gmail.com</v>
      </c>
      <c r="Q577" t="str">
        <f ca="1">""&amp;IFERROR(VLOOKUP(O577,EMAILS!B:D,3,FALSE),"NOT FOUND IN EMAILS")</f>
        <v/>
      </c>
      <c r="R577" t="str">
        <f ca="1">""&amp;IFERROR(VLOOKUP(O577,EMAILS!B:E,4,FALSE),"NO T FOUND IN EMAILS")</f>
        <v/>
      </c>
    </row>
    <row r="578" spans="2:18" x14ac:dyDescent="0.25">
      <c r="B578" s="5" t="s">
        <v>580</v>
      </c>
      <c r="C578" s="5" t="s">
        <v>4720</v>
      </c>
      <c r="D578" s="5">
        <v>0</v>
      </c>
      <c r="E578" s="5">
        <v>0</v>
      </c>
      <c r="F578" s="5">
        <v>0</v>
      </c>
      <c r="G578" s="5">
        <v>4</v>
      </c>
      <c r="H578" s="5">
        <v>0</v>
      </c>
      <c r="I578" s="5">
        <v>0</v>
      </c>
      <c r="J578" s="5">
        <v>0</v>
      </c>
      <c r="K578" s="5">
        <v>16</v>
      </c>
      <c r="L578" s="5">
        <v>0</v>
      </c>
      <c r="M578" s="5">
        <v>0</v>
      </c>
      <c r="N578" s="5">
        <v>6</v>
      </c>
      <c r="O578" s="5" t="str">
        <f t="shared" ca="1" si="8"/>
        <v>Supplier 188</v>
      </c>
      <c r="P578" s="20" t="str">
        <f ca="1">IFERROR(VLOOKUP(O578,EMAILS!B:C,2,FALSE),"NOT FOUND IN EMAILS")</f>
        <v>supplier@gmail.com</v>
      </c>
      <c r="Q578" t="str">
        <f ca="1">""&amp;IFERROR(VLOOKUP(O578,EMAILS!B:D,3,FALSE),"NOT FOUND IN EMAILS")</f>
        <v/>
      </c>
      <c r="R578" t="str">
        <f ca="1">""&amp;IFERROR(VLOOKUP(O578,EMAILS!B:E,4,FALSE),"NO T FOUND IN EMAILS")</f>
        <v/>
      </c>
    </row>
    <row r="579" spans="2:18" x14ac:dyDescent="0.25">
      <c r="B579" s="5" t="s">
        <v>581</v>
      </c>
      <c r="C579" s="5" t="s">
        <v>4721</v>
      </c>
      <c r="D579" s="5">
        <v>176</v>
      </c>
      <c r="E579" s="5">
        <v>36</v>
      </c>
      <c r="F579" s="5">
        <v>1248</v>
      </c>
      <c r="G579" s="5">
        <v>98</v>
      </c>
      <c r="H579" s="5">
        <v>90</v>
      </c>
      <c r="I579" s="5">
        <v>134</v>
      </c>
      <c r="J579" s="5">
        <v>30</v>
      </c>
      <c r="K579" s="5">
        <v>34</v>
      </c>
      <c r="L579" s="5">
        <v>80</v>
      </c>
      <c r="M579" s="5">
        <v>0</v>
      </c>
      <c r="N579" s="5">
        <v>301</v>
      </c>
      <c r="O579" s="5" t="str">
        <f t="shared" ref="O579:O642" ca="1" si="9">"Supplier "&amp;RANDBETWEEN(1,200)</f>
        <v>Supplier 59</v>
      </c>
      <c r="P579" s="20" t="str">
        <f ca="1">IFERROR(VLOOKUP(O579,EMAILS!B:C,2,FALSE),"NOT FOUND IN EMAILS")</f>
        <v>supplier@gmail.com</v>
      </c>
      <c r="Q579" t="str">
        <f ca="1">""&amp;IFERROR(VLOOKUP(O579,EMAILS!B:D,3,FALSE),"NOT FOUND IN EMAILS")</f>
        <v/>
      </c>
      <c r="R579" t="str">
        <f ca="1">""&amp;IFERROR(VLOOKUP(O579,EMAILS!B:E,4,FALSE),"NO T FOUND IN EMAILS")</f>
        <v/>
      </c>
    </row>
    <row r="580" spans="2:18" x14ac:dyDescent="0.25">
      <c r="B580" s="5" t="s">
        <v>582</v>
      </c>
      <c r="C580" s="5" t="s">
        <v>4722</v>
      </c>
      <c r="D580" s="5">
        <v>11294</v>
      </c>
      <c r="E580" s="5">
        <v>10834</v>
      </c>
      <c r="F580" s="5">
        <v>11697</v>
      </c>
      <c r="G580" s="5">
        <v>11208</v>
      </c>
      <c r="H580" s="5">
        <v>11732</v>
      </c>
      <c r="I580" s="5">
        <v>12516</v>
      </c>
      <c r="J580" s="5">
        <v>9126</v>
      </c>
      <c r="K580" s="5">
        <v>11066</v>
      </c>
      <c r="L580" s="5">
        <v>12296</v>
      </c>
      <c r="M580" s="5">
        <v>0</v>
      </c>
      <c r="N580" s="5">
        <v>407</v>
      </c>
      <c r="O580" s="5" t="str">
        <f t="shared" ca="1" si="9"/>
        <v>Supplier 73</v>
      </c>
      <c r="P580" s="20" t="str">
        <f ca="1">IFERROR(VLOOKUP(O580,EMAILS!B:C,2,FALSE),"NOT FOUND IN EMAILS")</f>
        <v>supplier@gmail.com</v>
      </c>
      <c r="Q580" t="str">
        <f ca="1">""&amp;IFERROR(VLOOKUP(O580,EMAILS!B:D,3,FALSE),"NOT FOUND IN EMAILS")</f>
        <v/>
      </c>
      <c r="R580" t="str">
        <f ca="1">""&amp;IFERROR(VLOOKUP(O580,EMAILS!B:E,4,FALSE),"NO T FOUND IN EMAILS")</f>
        <v/>
      </c>
    </row>
    <row r="581" spans="2:18" x14ac:dyDescent="0.25">
      <c r="B581" s="5" t="s">
        <v>583</v>
      </c>
      <c r="C581" s="5" t="s">
        <v>4723</v>
      </c>
      <c r="D581" s="5">
        <v>0</v>
      </c>
      <c r="E581" s="5">
        <v>0</v>
      </c>
      <c r="F581" s="5">
        <v>0</v>
      </c>
      <c r="G581" s="5">
        <v>210</v>
      </c>
      <c r="H581" s="5">
        <v>100</v>
      </c>
      <c r="I581" s="5">
        <v>200</v>
      </c>
      <c r="J581" s="5">
        <v>0</v>
      </c>
      <c r="K581" s="5">
        <v>0</v>
      </c>
      <c r="L581" s="5">
        <v>10</v>
      </c>
      <c r="M581" s="5">
        <v>0</v>
      </c>
      <c r="N581" s="5">
        <v>0</v>
      </c>
      <c r="O581" s="5" t="str">
        <f t="shared" ca="1" si="9"/>
        <v>Supplier 83</v>
      </c>
      <c r="P581" s="20" t="str">
        <f ca="1">IFERROR(VLOOKUP(O581,EMAILS!B:C,2,FALSE),"NOT FOUND IN EMAILS")</f>
        <v>supplier@gmail.com</v>
      </c>
      <c r="Q581" t="str">
        <f ca="1">""&amp;IFERROR(VLOOKUP(O581,EMAILS!B:D,3,FALSE),"NOT FOUND IN EMAILS")</f>
        <v/>
      </c>
      <c r="R581" t="str">
        <f ca="1">""&amp;IFERROR(VLOOKUP(O581,EMAILS!B:E,4,FALSE),"NO T FOUND IN EMAILS")</f>
        <v/>
      </c>
    </row>
    <row r="582" spans="2:18" x14ac:dyDescent="0.25">
      <c r="B582" s="5" t="s">
        <v>584</v>
      </c>
      <c r="C582" s="5" t="s">
        <v>4724</v>
      </c>
      <c r="D582" s="5">
        <v>0</v>
      </c>
      <c r="E582" s="5">
        <v>0</v>
      </c>
      <c r="F582" s="5">
        <v>100</v>
      </c>
      <c r="G582" s="5">
        <v>10</v>
      </c>
      <c r="H582" s="5">
        <v>0</v>
      </c>
      <c r="I582" s="5">
        <v>0</v>
      </c>
      <c r="J582" s="5">
        <v>0</v>
      </c>
      <c r="K582" s="5">
        <v>110</v>
      </c>
      <c r="L582" s="5">
        <v>0</v>
      </c>
      <c r="M582" s="5">
        <v>0</v>
      </c>
      <c r="N582" s="5">
        <v>0</v>
      </c>
      <c r="O582" s="5" t="str">
        <f t="shared" ca="1" si="9"/>
        <v>Supplier 153</v>
      </c>
      <c r="P582" s="20" t="str">
        <f ca="1">IFERROR(VLOOKUP(O582,EMAILS!B:C,2,FALSE),"NOT FOUND IN EMAILS")</f>
        <v>supplier@gmail.com</v>
      </c>
      <c r="Q582" t="str">
        <f ca="1">""&amp;IFERROR(VLOOKUP(O582,EMAILS!B:D,3,FALSE),"NOT FOUND IN EMAILS")</f>
        <v/>
      </c>
      <c r="R582" t="str">
        <f ca="1">""&amp;IFERROR(VLOOKUP(O582,EMAILS!B:E,4,FALSE),"NO T FOUND IN EMAILS")</f>
        <v/>
      </c>
    </row>
    <row r="583" spans="2:18" x14ac:dyDescent="0.25">
      <c r="B583" s="5" t="s">
        <v>585</v>
      </c>
      <c r="C583" s="5" t="s">
        <v>4725</v>
      </c>
      <c r="D583" s="5">
        <v>0</v>
      </c>
      <c r="E583" s="5">
        <v>50</v>
      </c>
      <c r="F583" s="5">
        <v>0</v>
      </c>
      <c r="G583" s="5">
        <v>0</v>
      </c>
      <c r="H583" s="5">
        <v>50</v>
      </c>
      <c r="I583" s="5">
        <v>0</v>
      </c>
      <c r="J583" s="5">
        <v>0</v>
      </c>
      <c r="K583" s="5">
        <v>0</v>
      </c>
      <c r="L583" s="5">
        <v>0</v>
      </c>
      <c r="M583" s="5">
        <v>0</v>
      </c>
      <c r="N583" s="5">
        <v>0</v>
      </c>
      <c r="O583" s="5" t="str">
        <f t="shared" ca="1" si="9"/>
        <v>Supplier 52</v>
      </c>
      <c r="P583" s="20" t="str">
        <f ca="1">IFERROR(VLOOKUP(O583,EMAILS!B:C,2,FALSE),"NOT FOUND IN EMAILS")</f>
        <v>supplier@gmail.com</v>
      </c>
      <c r="Q583" t="str">
        <f ca="1">""&amp;IFERROR(VLOOKUP(O583,EMAILS!B:D,3,FALSE),"NOT FOUND IN EMAILS")</f>
        <v/>
      </c>
      <c r="R583" t="str">
        <f ca="1">""&amp;IFERROR(VLOOKUP(O583,EMAILS!B:E,4,FALSE),"NO T FOUND IN EMAILS")</f>
        <v/>
      </c>
    </row>
    <row r="584" spans="2:18" x14ac:dyDescent="0.25">
      <c r="B584" s="5" t="s">
        <v>586</v>
      </c>
      <c r="C584" s="5" t="s">
        <v>4726</v>
      </c>
      <c r="D584" s="5">
        <v>2356</v>
      </c>
      <c r="E584" s="5">
        <v>925</v>
      </c>
      <c r="F584" s="5">
        <v>733</v>
      </c>
      <c r="G584" s="5">
        <v>1530</v>
      </c>
      <c r="H584" s="5">
        <v>324</v>
      </c>
      <c r="I584" s="5">
        <v>159</v>
      </c>
      <c r="J584" s="5">
        <v>254</v>
      </c>
      <c r="K584" s="5">
        <v>660</v>
      </c>
      <c r="L584" s="5">
        <v>248</v>
      </c>
      <c r="M584" s="5">
        <v>0</v>
      </c>
      <c r="N584" s="5">
        <v>0</v>
      </c>
      <c r="O584" s="5" t="str">
        <f t="shared" ca="1" si="9"/>
        <v>Supplier 67</v>
      </c>
      <c r="P584" s="20" t="str">
        <f ca="1">IFERROR(VLOOKUP(O584,EMAILS!B:C,2,FALSE),"NOT FOUND IN EMAILS")</f>
        <v>supplier@gmail.com</v>
      </c>
      <c r="Q584" t="str">
        <f ca="1">""&amp;IFERROR(VLOOKUP(O584,EMAILS!B:D,3,FALSE),"NOT FOUND IN EMAILS")</f>
        <v/>
      </c>
      <c r="R584" t="str">
        <f ca="1">""&amp;IFERROR(VLOOKUP(O584,EMAILS!B:E,4,FALSE),"NO T FOUND IN EMAILS")</f>
        <v/>
      </c>
    </row>
    <row r="585" spans="2:18" x14ac:dyDescent="0.25">
      <c r="B585" s="5" t="s">
        <v>587</v>
      </c>
      <c r="C585" s="5" t="s">
        <v>4727</v>
      </c>
      <c r="D585" s="5">
        <v>840</v>
      </c>
      <c r="E585" s="5">
        <v>120</v>
      </c>
      <c r="F585" s="5">
        <v>20</v>
      </c>
      <c r="G585" s="5">
        <v>540</v>
      </c>
      <c r="H585" s="5">
        <v>60</v>
      </c>
      <c r="I585" s="5">
        <v>0</v>
      </c>
      <c r="J585" s="5">
        <v>400</v>
      </c>
      <c r="K585" s="5">
        <v>0</v>
      </c>
      <c r="L585" s="5">
        <v>0</v>
      </c>
      <c r="M585" s="5">
        <v>0</v>
      </c>
      <c r="N585" s="5">
        <v>0</v>
      </c>
      <c r="O585" s="5" t="str">
        <f t="shared" ca="1" si="9"/>
        <v>Supplier 100</v>
      </c>
      <c r="P585" s="20" t="str">
        <f ca="1">IFERROR(VLOOKUP(O585,EMAILS!B:C,2,FALSE),"NOT FOUND IN EMAILS")</f>
        <v>supplier@gmail.com</v>
      </c>
      <c r="Q585" t="str">
        <f ca="1">""&amp;IFERROR(VLOOKUP(O585,EMAILS!B:D,3,FALSE),"NOT FOUND IN EMAILS")</f>
        <v/>
      </c>
      <c r="R585" t="str">
        <f ca="1">""&amp;IFERROR(VLOOKUP(O585,EMAILS!B:E,4,FALSE),"NO T FOUND IN EMAILS")</f>
        <v/>
      </c>
    </row>
    <row r="586" spans="2:18" x14ac:dyDescent="0.25">
      <c r="B586" s="5" t="s">
        <v>588</v>
      </c>
      <c r="C586" s="5" t="s">
        <v>4728</v>
      </c>
      <c r="D586" s="5">
        <v>390</v>
      </c>
      <c r="E586" s="5">
        <v>90</v>
      </c>
      <c r="F586" s="5">
        <v>90</v>
      </c>
      <c r="G586" s="5">
        <v>90</v>
      </c>
      <c r="H586" s="5">
        <v>330</v>
      </c>
      <c r="I586" s="5">
        <v>45</v>
      </c>
      <c r="J586" s="5">
        <v>90</v>
      </c>
      <c r="K586" s="5">
        <v>285</v>
      </c>
      <c r="L586" s="5">
        <v>90</v>
      </c>
      <c r="M586" s="5">
        <v>0</v>
      </c>
      <c r="N586" s="5">
        <v>0</v>
      </c>
      <c r="O586" s="5" t="str">
        <f t="shared" ca="1" si="9"/>
        <v>Supplier 193</v>
      </c>
      <c r="P586" s="20" t="str">
        <f ca="1">IFERROR(VLOOKUP(O586,EMAILS!B:C,2,FALSE),"NOT FOUND IN EMAILS")</f>
        <v>supplier@gmail.com</v>
      </c>
      <c r="Q586" t="str">
        <f ca="1">""&amp;IFERROR(VLOOKUP(O586,EMAILS!B:D,3,FALSE),"NOT FOUND IN EMAILS")</f>
        <v/>
      </c>
      <c r="R586" t="str">
        <f ca="1">""&amp;IFERROR(VLOOKUP(O586,EMAILS!B:E,4,FALSE),"NO T FOUND IN EMAILS")</f>
        <v/>
      </c>
    </row>
    <row r="587" spans="2:18" x14ac:dyDescent="0.25">
      <c r="B587" s="5" t="s">
        <v>589</v>
      </c>
      <c r="C587" s="5" t="s">
        <v>4729</v>
      </c>
      <c r="D587" s="5">
        <v>30</v>
      </c>
      <c r="E587" s="5">
        <v>15</v>
      </c>
      <c r="F587" s="5">
        <v>175</v>
      </c>
      <c r="G587" s="5">
        <v>430</v>
      </c>
      <c r="H587" s="5">
        <v>30</v>
      </c>
      <c r="I587" s="5">
        <v>15</v>
      </c>
      <c r="J587" s="5">
        <v>30</v>
      </c>
      <c r="K587" s="5">
        <v>415</v>
      </c>
      <c r="L587" s="5">
        <v>30</v>
      </c>
      <c r="M587" s="5">
        <v>0</v>
      </c>
      <c r="N587" s="5">
        <v>0</v>
      </c>
      <c r="O587" s="5" t="str">
        <f t="shared" ca="1" si="9"/>
        <v>Supplier 28</v>
      </c>
      <c r="P587" s="20" t="str">
        <f ca="1">IFERROR(VLOOKUP(O587,EMAILS!B:C,2,FALSE),"NOT FOUND IN EMAILS")</f>
        <v>supplier@gmail.com</v>
      </c>
      <c r="Q587" t="str">
        <f ca="1">""&amp;IFERROR(VLOOKUP(O587,EMAILS!B:D,3,FALSE),"NOT FOUND IN EMAILS")</f>
        <v/>
      </c>
      <c r="R587" t="str">
        <f ca="1">""&amp;IFERROR(VLOOKUP(O587,EMAILS!B:E,4,FALSE),"NO T FOUND IN EMAILS")</f>
        <v/>
      </c>
    </row>
    <row r="588" spans="2:18" x14ac:dyDescent="0.25">
      <c r="B588" s="5" t="s">
        <v>590</v>
      </c>
      <c r="C588" s="5" t="s">
        <v>4730</v>
      </c>
      <c r="D588" s="5">
        <v>160</v>
      </c>
      <c r="E588" s="5">
        <v>160</v>
      </c>
      <c r="F588" s="5">
        <v>110</v>
      </c>
      <c r="G588" s="5">
        <v>160</v>
      </c>
      <c r="H588" s="5">
        <v>110</v>
      </c>
      <c r="I588" s="5">
        <v>130</v>
      </c>
      <c r="J588" s="5">
        <v>160</v>
      </c>
      <c r="K588" s="5">
        <v>80</v>
      </c>
      <c r="L588" s="5">
        <v>160</v>
      </c>
      <c r="M588" s="5">
        <v>0</v>
      </c>
      <c r="N588" s="5">
        <v>0</v>
      </c>
      <c r="O588" s="5" t="str">
        <f t="shared" ca="1" si="9"/>
        <v>Supplier 143</v>
      </c>
      <c r="P588" s="20" t="str">
        <f ca="1">IFERROR(VLOOKUP(O588,EMAILS!B:C,2,FALSE),"NOT FOUND IN EMAILS")</f>
        <v>supplier@gmail.com</v>
      </c>
      <c r="Q588" t="str">
        <f ca="1">""&amp;IFERROR(VLOOKUP(O588,EMAILS!B:D,3,FALSE),"NOT FOUND IN EMAILS")</f>
        <v/>
      </c>
      <c r="R588" t="str">
        <f ca="1">""&amp;IFERROR(VLOOKUP(O588,EMAILS!B:E,4,FALSE),"NO T FOUND IN EMAILS")</f>
        <v/>
      </c>
    </row>
    <row r="589" spans="2:18" x14ac:dyDescent="0.25">
      <c r="B589" s="5" t="s">
        <v>591</v>
      </c>
      <c r="C589" s="5" t="s">
        <v>4731</v>
      </c>
      <c r="D589" s="5">
        <v>300</v>
      </c>
      <c r="E589" s="5">
        <v>105</v>
      </c>
      <c r="F589" s="5">
        <v>425</v>
      </c>
      <c r="G589" s="5">
        <v>980</v>
      </c>
      <c r="H589" s="5">
        <v>270</v>
      </c>
      <c r="I589" s="5">
        <v>90</v>
      </c>
      <c r="J589" s="5">
        <v>180</v>
      </c>
      <c r="K589" s="5">
        <v>980</v>
      </c>
      <c r="L589" s="5">
        <v>180</v>
      </c>
      <c r="M589" s="5">
        <v>0</v>
      </c>
      <c r="N589" s="5">
        <v>0</v>
      </c>
      <c r="O589" s="5" t="str">
        <f t="shared" ca="1" si="9"/>
        <v>Supplier 78</v>
      </c>
      <c r="P589" s="20" t="str">
        <f ca="1">IFERROR(VLOOKUP(O589,EMAILS!B:C,2,FALSE),"NOT FOUND IN EMAILS")</f>
        <v>supplier@gmail.com</v>
      </c>
      <c r="Q589" t="str">
        <f ca="1">""&amp;IFERROR(VLOOKUP(O589,EMAILS!B:D,3,FALSE),"NOT FOUND IN EMAILS")</f>
        <v/>
      </c>
      <c r="R589" t="str">
        <f ca="1">""&amp;IFERROR(VLOOKUP(O589,EMAILS!B:E,4,FALSE),"NO T FOUND IN EMAILS")</f>
        <v/>
      </c>
    </row>
    <row r="590" spans="2:18" x14ac:dyDescent="0.25">
      <c r="B590" s="5" t="s">
        <v>592</v>
      </c>
      <c r="C590" s="5" t="s">
        <v>4732</v>
      </c>
      <c r="D590" s="5">
        <v>180</v>
      </c>
      <c r="E590" s="5">
        <v>60</v>
      </c>
      <c r="F590" s="5">
        <v>60</v>
      </c>
      <c r="G590" s="5">
        <v>60</v>
      </c>
      <c r="H590" s="5">
        <v>180</v>
      </c>
      <c r="I590" s="5">
        <v>30</v>
      </c>
      <c r="J590" s="5">
        <v>60</v>
      </c>
      <c r="K590" s="5">
        <v>150</v>
      </c>
      <c r="L590" s="5">
        <v>60</v>
      </c>
      <c r="M590" s="5">
        <v>0</v>
      </c>
      <c r="N590" s="5">
        <v>3277</v>
      </c>
      <c r="O590" s="5" t="str">
        <f t="shared" ca="1" si="9"/>
        <v>Supplier 38</v>
      </c>
      <c r="P590" s="20" t="str">
        <f ca="1">IFERROR(VLOOKUP(O590,EMAILS!B:C,2,FALSE),"NOT FOUND IN EMAILS")</f>
        <v>supplier@gmail.com</v>
      </c>
      <c r="Q590" t="str">
        <f ca="1">""&amp;IFERROR(VLOOKUP(O590,EMAILS!B:D,3,FALSE),"NOT FOUND IN EMAILS")</f>
        <v/>
      </c>
      <c r="R590" t="str">
        <f ca="1">""&amp;IFERROR(VLOOKUP(O590,EMAILS!B:E,4,FALSE),"NO T FOUND IN EMAILS")</f>
        <v/>
      </c>
    </row>
    <row r="591" spans="2:18" x14ac:dyDescent="0.25">
      <c r="B591" s="5" t="s">
        <v>593</v>
      </c>
      <c r="C591" s="5" t="s">
        <v>4733</v>
      </c>
      <c r="D591" s="5">
        <v>16</v>
      </c>
      <c r="E591" s="5">
        <v>16</v>
      </c>
      <c r="F591" s="5">
        <v>26</v>
      </c>
      <c r="G591" s="5">
        <v>26</v>
      </c>
      <c r="H591" s="5">
        <v>26</v>
      </c>
      <c r="I591" s="5">
        <v>34</v>
      </c>
      <c r="J591" s="5">
        <v>16</v>
      </c>
      <c r="K591" s="5">
        <v>26</v>
      </c>
      <c r="L591" s="5">
        <v>26</v>
      </c>
      <c r="M591" s="5">
        <v>0</v>
      </c>
      <c r="N591" s="5">
        <v>102</v>
      </c>
      <c r="O591" s="5" t="str">
        <f t="shared" ca="1" si="9"/>
        <v>Supplier 121</v>
      </c>
      <c r="P591" s="20" t="str">
        <f ca="1">IFERROR(VLOOKUP(O591,EMAILS!B:C,2,FALSE),"NOT FOUND IN EMAILS")</f>
        <v>supplier@gmail.com</v>
      </c>
      <c r="Q591" t="str">
        <f ca="1">""&amp;IFERROR(VLOOKUP(O591,EMAILS!B:D,3,FALSE),"NOT FOUND IN EMAILS")</f>
        <v/>
      </c>
      <c r="R591" t="str">
        <f ca="1">""&amp;IFERROR(VLOOKUP(O591,EMAILS!B:E,4,FALSE),"NO T FOUND IN EMAILS")</f>
        <v/>
      </c>
    </row>
    <row r="592" spans="2:18" x14ac:dyDescent="0.25">
      <c r="B592" s="5" t="s">
        <v>594</v>
      </c>
      <c r="C592" s="5" t="s">
        <v>4734</v>
      </c>
      <c r="D592" s="5">
        <v>1944</v>
      </c>
      <c r="E592" s="5">
        <v>1438</v>
      </c>
      <c r="F592" s="5">
        <v>1916</v>
      </c>
      <c r="G592" s="5">
        <v>1924</v>
      </c>
      <c r="H592" s="5">
        <v>1892</v>
      </c>
      <c r="I592" s="5">
        <v>1820</v>
      </c>
      <c r="J592" s="5">
        <v>1400</v>
      </c>
      <c r="K592" s="5">
        <v>1672</v>
      </c>
      <c r="L592" s="5">
        <v>1854</v>
      </c>
      <c r="M592" s="5">
        <v>0</v>
      </c>
      <c r="N592" s="5">
        <v>0</v>
      </c>
      <c r="O592" s="5" t="str">
        <f t="shared" ca="1" si="9"/>
        <v>Supplier 18</v>
      </c>
      <c r="P592" s="20" t="str">
        <f ca="1">IFERROR(VLOOKUP(O592,EMAILS!B:C,2,FALSE),"NOT FOUND IN EMAILS")</f>
        <v>supplier@gmail.com</v>
      </c>
      <c r="Q592" t="str">
        <f ca="1">""&amp;IFERROR(VLOOKUP(O592,EMAILS!B:D,3,FALSE),"NOT FOUND IN EMAILS")</f>
        <v>supplier_logistics@gmail.com</v>
      </c>
      <c r="R592" t="str">
        <f ca="1">""&amp;IFERROR(VLOOKUP(O592,EMAILS!B:E,4,FALSE),"NO T FOUND IN EMAILS")</f>
        <v/>
      </c>
    </row>
    <row r="593" spans="2:18" x14ac:dyDescent="0.25">
      <c r="B593" s="5" t="s">
        <v>595</v>
      </c>
      <c r="C593" s="5" t="s">
        <v>4735</v>
      </c>
      <c r="D593" s="5">
        <v>0</v>
      </c>
      <c r="E593" s="5">
        <v>0</v>
      </c>
      <c r="F593" s="5">
        <v>0</v>
      </c>
      <c r="G593" s="5">
        <v>500</v>
      </c>
      <c r="H593" s="5">
        <v>0</v>
      </c>
      <c r="I593" s="5">
        <v>0</v>
      </c>
      <c r="J593" s="5">
        <v>0</v>
      </c>
      <c r="K593" s="5">
        <v>0</v>
      </c>
      <c r="L593" s="5">
        <v>0</v>
      </c>
      <c r="M593" s="5">
        <v>0</v>
      </c>
      <c r="N593" s="5">
        <v>5602</v>
      </c>
      <c r="O593" s="5" t="str">
        <f t="shared" ca="1" si="9"/>
        <v>Supplier 41</v>
      </c>
      <c r="P593" s="20" t="str">
        <f ca="1">IFERROR(VLOOKUP(O593,EMAILS!B:C,2,FALSE),"NOT FOUND IN EMAILS")</f>
        <v>supplier@gmail.com</v>
      </c>
      <c r="Q593" t="str">
        <f ca="1">""&amp;IFERROR(VLOOKUP(O593,EMAILS!B:D,3,FALSE),"NOT FOUND IN EMAILS")</f>
        <v/>
      </c>
      <c r="R593" t="str">
        <f ca="1">""&amp;IFERROR(VLOOKUP(O593,EMAILS!B:E,4,FALSE),"NO T FOUND IN EMAILS")</f>
        <v/>
      </c>
    </row>
    <row r="594" spans="2:18" x14ac:dyDescent="0.25">
      <c r="B594" s="5" t="s">
        <v>596</v>
      </c>
      <c r="C594" s="5" t="s">
        <v>4736</v>
      </c>
      <c r="D594" s="5">
        <v>0</v>
      </c>
      <c r="E594" s="5">
        <v>0</v>
      </c>
      <c r="F594" s="5">
        <v>0</v>
      </c>
      <c r="G594" s="5">
        <v>0</v>
      </c>
      <c r="H594" s="5">
        <v>0</v>
      </c>
      <c r="I594" s="5">
        <v>0</v>
      </c>
      <c r="J594" s="5">
        <v>0</v>
      </c>
      <c r="K594" s="5">
        <v>0</v>
      </c>
      <c r="L594" s="5">
        <v>0</v>
      </c>
      <c r="M594" s="5">
        <v>0</v>
      </c>
      <c r="N594" s="5">
        <v>3188</v>
      </c>
      <c r="O594" s="5" t="str">
        <f t="shared" ca="1" si="9"/>
        <v>Supplier 69</v>
      </c>
      <c r="P594" s="20" t="str">
        <f ca="1">IFERROR(VLOOKUP(O594,EMAILS!B:C,2,FALSE),"NOT FOUND IN EMAILS")</f>
        <v>supplier@gmail.com</v>
      </c>
      <c r="Q594" t="str">
        <f ca="1">""&amp;IFERROR(VLOOKUP(O594,EMAILS!B:D,3,FALSE),"NOT FOUND IN EMAILS")</f>
        <v/>
      </c>
      <c r="R594" t="str">
        <f ca="1">""&amp;IFERROR(VLOOKUP(O594,EMAILS!B:E,4,FALSE),"NO T FOUND IN EMAILS")</f>
        <v/>
      </c>
    </row>
    <row r="595" spans="2:18" x14ac:dyDescent="0.25">
      <c r="B595" s="5" t="s">
        <v>597</v>
      </c>
      <c r="C595" s="5" t="s">
        <v>4737</v>
      </c>
      <c r="D595" s="5">
        <v>889</v>
      </c>
      <c r="E595" s="5">
        <v>1124</v>
      </c>
      <c r="F595" s="5">
        <v>1178</v>
      </c>
      <c r="G595" s="5">
        <v>1464</v>
      </c>
      <c r="H595" s="5">
        <v>1719</v>
      </c>
      <c r="I595" s="5">
        <v>1526</v>
      </c>
      <c r="J595" s="5">
        <v>1470</v>
      </c>
      <c r="K595" s="5">
        <v>987</v>
      </c>
      <c r="L595" s="5">
        <v>1348</v>
      </c>
      <c r="M595" s="5">
        <v>0</v>
      </c>
      <c r="N595" s="5">
        <v>198</v>
      </c>
      <c r="O595" s="5" t="str">
        <f t="shared" ca="1" si="9"/>
        <v>Supplier 189</v>
      </c>
      <c r="P595" s="20" t="str">
        <f ca="1">IFERROR(VLOOKUP(O595,EMAILS!B:C,2,FALSE),"NOT FOUND IN EMAILS")</f>
        <v>supplier@gmail.com</v>
      </c>
      <c r="Q595" t="str">
        <f ca="1">""&amp;IFERROR(VLOOKUP(O595,EMAILS!B:D,3,FALSE),"NOT FOUND IN EMAILS")</f>
        <v/>
      </c>
      <c r="R595" t="str">
        <f ca="1">""&amp;IFERROR(VLOOKUP(O595,EMAILS!B:E,4,FALSE),"NO T FOUND IN EMAILS")</f>
        <v/>
      </c>
    </row>
    <row r="596" spans="2:18" x14ac:dyDescent="0.25">
      <c r="B596" s="5" t="s">
        <v>598</v>
      </c>
      <c r="C596" s="5" t="s">
        <v>4738</v>
      </c>
      <c r="D596" s="5">
        <v>18</v>
      </c>
      <c r="E596" s="5">
        <v>17</v>
      </c>
      <c r="F596" s="5">
        <v>8</v>
      </c>
      <c r="G596" s="5">
        <v>34</v>
      </c>
      <c r="H596" s="5">
        <v>12</v>
      </c>
      <c r="I596" s="5">
        <v>11</v>
      </c>
      <c r="J596" s="5">
        <v>10</v>
      </c>
      <c r="K596" s="5">
        <v>14</v>
      </c>
      <c r="L596" s="5">
        <v>12</v>
      </c>
      <c r="M596" s="5">
        <v>0</v>
      </c>
      <c r="N596" s="5">
        <v>1416</v>
      </c>
      <c r="O596" s="5" t="str">
        <f t="shared" ca="1" si="9"/>
        <v>Supplier 19</v>
      </c>
      <c r="P596" s="20" t="str">
        <f ca="1">IFERROR(VLOOKUP(O596,EMAILS!B:C,2,FALSE),"NOT FOUND IN EMAILS")</f>
        <v>supplier@gmail.com</v>
      </c>
      <c r="Q596" t="str">
        <f ca="1">""&amp;IFERROR(VLOOKUP(O596,EMAILS!B:D,3,FALSE),"NOT FOUND IN EMAILS")</f>
        <v>supplier_logistics@gmail.com</v>
      </c>
      <c r="R596" t="str">
        <f ca="1">""&amp;IFERROR(VLOOKUP(O596,EMAILS!B:E,4,FALSE),"NO T FOUND IN EMAILS")</f>
        <v/>
      </c>
    </row>
    <row r="597" spans="2:18" x14ac:dyDescent="0.25">
      <c r="B597" s="5" t="s">
        <v>599</v>
      </c>
      <c r="C597" s="5" t="s">
        <v>4739</v>
      </c>
      <c r="D597" s="5">
        <v>797</v>
      </c>
      <c r="E597" s="5">
        <v>668</v>
      </c>
      <c r="F597" s="5">
        <v>862</v>
      </c>
      <c r="G597" s="5">
        <v>796</v>
      </c>
      <c r="H597" s="5">
        <v>914</v>
      </c>
      <c r="I597" s="5">
        <v>888</v>
      </c>
      <c r="J597" s="5">
        <v>546</v>
      </c>
      <c r="K597" s="5">
        <v>592</v>
      </c>
      <c r="L597" s="5">
        <v>696</v>
      </c>
      <c r="M597" s="5">
        <v>0</v>
      </c>
      <c r="N597" s="5">
        <v>0</v>
      </c>
      <c r="O597" s="5" t="str">
        <f t="shared" ca="1" si="9"/>
        <v>Supplier 12</v>
      </c>
      <c r="P597" s="20" t="str">
        <f ca="1">IFERROR(VLOOKUP(O597,EMAILS!B:C,2,FALSE),"NOT FOUND IN EMAILS")</f>
        <v>supplier@gmail.com</v>
      </c>
      <c r="Q597" t="str">
        <f ca="1">""&amp;IFERROR(VLOOKUP(O597,EMAILS!B:D,3,FALSE),"NOT FOUND IN EMAILS")</f>
        <v>supplier_logistics@gmail.com</v>
      </c>
      <c r="R597" t="str">
        <f ca="1">""&amp;IFERROR(VLOOKUP(O597,EMAILS!B:E,4,FALSE),"NO T FOUND IN EMAILS")</f>
        <v/>
      </c>
    </row>
    <row r="598" spans="2:18" x14ac:dyDescent="0.25">
      <c r="B598" s="5" t="s">
        <v>600</v>
      </c>
      <c r="C598" s="5" t="s">
        <v>4740</v>
      </c>
      <c r="D598" s="5">
        <v>30</v>
      </c>
      <c r="E598" s="5">
        <v>15</v>
      </c>
      <c r="F598" s="5">
        <v>15</v>
      </c>
      <c r="G598" s="5">
        <v>30</v>
      </c>
      <c r="H598" s="5">
        <v>30</v>
      </c>
      <c r="I598" s="5">
        <v>15</v>
      </c>
      <c r="J598" s="5">
        <v>30</v>
      </c>
      <c r="K598" s="5">
        <v>15</v>
      </c>
      <c r="L598" s="5">
        <v>30</v>
      </c>
      <c r="M598" s="5">
        <v>0</v>
      </c>
      <c r="N598" s="5">
        <v>0</v>
      </c>
      <c r="O598" s="5" t="str">
        <f t="shared" ca="1" si="9"/>
        <v>Supplier 85</v>
      </c>
      <c r="P598" s="20" t="str">
        <f ca="1">IFERROR(VLOOKUP(O598,EMAILS!B:C,2,FALSE),"NOT FOUND IN EMAILS")</f>
        <v>supplier@gmail.com</v>
      </c>
      <c r="Q598" t="str">
        <f ca="1">""&amp;IFERROR(VLOOKUP(O598,EMAILS!B:D,3,FALSE),"NOT FOUND IN EMAILS")</f>
        <v/>
      </c>
      <c r="R598" t="str">
        <f ca="1">""&amp;IFERROR(VLOOKUP(O598,EMAILS!B:E,4,FALSE),"NO T FOUND IN EMAILS")</f>
        <v/>
      </c>
    </row>
    <row r="599" spans="2:18" x14ac:dyDescent="0.25">
      <c r="B599" s="5" t="s">
        <v>601</v>
      </c>
      <c r="C599" s="5" t="s">
        <v>4741</v>
      </c>
      <c r="D599" s="5">
        <v>420</v>
      </c>
      <c r="E599" s="5">
        <v>120</v>
      </c>
      <c r="F599" s="5">
        <v>120</v>
      </c>
      <c r="G599" s="5">
        <v>120</v>
      </c>
      <c r="H599" s="5">
        <v>360</v>
      </c>
      <c r="I599" s="5">
        <v>60</v>
      </c>
      <c r="J599" s="5">
        <v>120</v>
      </c>
      <c r="K599" s="5">
        <v>300</v>
      </c>
      <c r="L599" s="5">
        <v>120</v>
      </c>
      <c r="M599" s="5">
        <v>0</v>
      </c>
      <c r="N599" s="5">
        <v>0</v>
      </c>
      <c r="O599" s="5" t="str">
        <f t="shared" ca="1" si="9"/>
        <v>Supplier 131</v>
      </c>
      <c r="P599" s="20" t="str">
        <f ca="1">IFERROR(VLOOKUP(O599,EMAILS!B:C,2,FALSE),"NOT FOUND IN EMAILS")</f>
        <v>supplier@gmail.com</v>
      </c>
      <c r="Q599" t="str">
        <f ca="1">""&amp;IFERROR(VLOOKUP(O599,EMAILS!B:D,3,FALSE),"NOT FOUND IN EMAILS")</f>
        <v/>
      </c>
      <c r="R599" t="str">
        <f ca="1">""&amp;IFERROR(VLOOKUP(O599,EMAILS!B:E,4,FALSE),"NO T FOUND IN EMAILS")</f>
        <v/>
      </c>
    </row>
    <row r="600" spans="2:18" x14ac:dyDescent="0.25">
      <c r="B600" s="5" t="s">
        <v>602</v>
      </c>
      <c r="C600" s="5" t="s">
        <v>4742</v>
      </c>
      <c r="D600" s="5">
        <v>230</v>
      </c>
      <c r="E600" s="5">
        <v>100</v>
      </c>
      <c r="F600" s="5">
        <v>100</v>
      </c>
      <c r="G600" s="5">
        <v>100</v>
      </c>
      <c r="H600" s="5">
        <v>130</v>
      </c>
      <c r="I600" s="5">
        <v>100</v>
      </c>
      <c r="J600" s="5">
        <v>100</v>
      </c>
      <c r="K600" s="5">
        <v>130</v>
      </c>
      <c r="L600" s="5">
        <v>100</v>
      </c>
      <c r="M600" s="5">
        <v>0</v>
      </c>
      <c r="N600" s="5">
        <v>662</v>
      </c>
      <c r="O600" s="5" t="str">
        <f t="shared" ca="1" si="9"/>
        <v>Supplier 16</v>
      </c>
      <c r="P600" s="20" t="str">
        <f ca="1">IFERROR(VLOOKUP(O600,EMAILS!B:C,2,FALSE),"NOT FOUND IN EMAILS")</f>
        <v>supplier@gmail.com</v>
      </c>
      <c r="Q600" t="str">
        <f ca="1">""&amp;IFERROR(VLOOKUP(O600,EMAILS!B:D,3,FALSE),"NOT FOUND IN EMAILS")</f>
        <v>supplier_logistics@gmail.com</v>
      </c>
      <c r="R600" t="str">
        <f ca="1">""&amp;IFERROR(VLOOKUP(O600,EMAILS!B:E,4,FALSE),"NO T FOUND IN EMAILS")</f>
        <v/>
      </c>
    </row>
    <row r="601" spans="2:18" x14ac:dyDescent="0.25">
      <c r="B601" s="5" t="s">
        <v>603</v>
      </c>
      <c r="C601" s="5" t="s">
        <v>4743</v>
      </c>
      <c r="D601" s="5">
        <v>0</v>
      </c>
      <c r="E601" s="5">
        <v>120</v>
      </c>
      <c r="F601" s="5">
        <v>0</v>
      </c>
      <c r="G601" s="5">
        <v>0</v>
      </c>
      <c r="H601" s="5">
        <v>0</v>
      </c>
      <c r="I601" s="5">
        <v>0</v>
      </c>
      <c r="J601" s="5">
        <v>120</v>
      </c>
      <c r="K601" s="5">
        <v>0</v>
      </c>
      <c r="L601" s="5">
        <v>0</v>
      </c>
      <c r="M601" s="5">
        <v>0</v>
      </c>
      <c r="N601" s="5">
        <v>0</v>
      </c>
      <c r="O601" s="5" t="str">
        <f t="shared" ca="1" si="9"/>
        <v>Supplier 18</v>
      </c>
      <c r="P601" s="20" t="str">
        <f ca="1">IFERROR(VLOOKUP(O601,EMAILS!B:C,2,FALSE),"NOT FOUND IN EMAILS")</f>
        <v>supplier@gmail.com</v>
      </c>
      <c r="Q601" t="str">
        <f ca="1">""&amp;IFERROR(VLOOKUP(O601,EMAILS!B:D,3,FALSE),"NOT FOUND IN EMAILS")</f>
        <v>supplier_logistics@gmail.com</v>
      </c>
      <c r="R601" t="str">
        <f ca="1">""&amp;IFERROR(VLOOKUP(O601,EMAILS!B:E,4,FALSE),"NO T FOUND IN EMAILS")</f>
        <v/>
      </c>
    </row>
    <row r="602" spans="2:18" x14ac:dyDescent="0.25">
      <c r="B602" s="5" t="s">
        <v>604</v>
      </c>
      <c r="C602" s="5" t="s">
        <v>4744</v>
      </c>
      <c r="D602" s="5">
        <v>120</v>
      </c>
      <c r="E602" s="5">
        <v>0</v>
      </c>
      <c r="F602" s="5">
        <v>0</v>
      </c>
      <c r="G602" s="5">
        <v>0</v>
      </c>
      <c r="H602" s="5">
        <v>120</v>
      </c>
      <c r="I602" s="5">
        <v>0</v>
      </c>
      <c r="J602" s="5">
        <v>0</v>
      </c>
      <c r="K602" s="5">
        <v>120</v>
      </c>
      <c r="L602" s="5">
        <v>0</v>
      </c>
      <c r="M602" s="5">
        <v>0</v>
      </c>
      <c r="N602" s="5">
        <v>0</v>
      </c>
      <c r="O602" s="5" t="str">
        <f t="shared" ca="1" si="9"/>
        <v>Supplier 179</v>
      </c>
      <c r="P602" s="20" t="str">
        <f ca="1">IFERROR(VLOOKUP(O602,EMAILS!B:C,2,FALSE),"NOT FOUND IN EMAILS")</f>
        <v>supplier@gmail.com</v>
      </c>
      <c r="Q602" t="str">
        <f ca="1">""&amp;IFERROR(VLOOKUP(O602,EMAILS!B:D,3,FALSE),"NOT FOUND IN EMAILS")</f>
        <v/>
      </c>
      <c r="R602" t="str">
        <f ca="1">""&amp;IFERROR(VLOOKUP(O602,EMAILS!B:E,4,FALSE),"NO T FOUND IN EMAILS")</f>
        <v/>
      </c>
    </row>
    <row r="603" spans="2:18" x14ac:dyDescent="0.25">
      <c r="B603" s="5" t="s">
        <v>605</v>
      </c>
      <c r="C603" s="5" t="s">
        <v>4745</v>
      </c>
      <c r="D603" s="5">
        <v>205</v>
      </c>
      <c r="E603" s="5">
        <v>72</v>
      </c>
      <c r="F603" s="5">
        <v>96</v>
      </c>
      <c r="G603" s="5">
        <v>96</v>
      </c>
      <c r="H603" s="5">
        <v>60</v>
      </c>
      <c r="I603" s="5">
        <v>68</v>
      </c>
      <c r="J603" s="5">
        <v>60</v>
      </c>
      <c r="K603" s="5">
        <v>68</v>
      </c>
      <c r="L603" s="5">
        <v>60</v>
      </c>
      <c r="M603" s="5">
        <v>0</v>
      </c>
      <c r="N603" s="5">
        <v>0</v>
      </c>
      <c r="O603" s="5" t="str">
        <f t="shared" ca="1" si="9"/>
        <v>Supplier 74</v>
      </c>
      <c r="P603" s="20" t="str">
        <f ca="1">IFERROR(VLOOKUP(O603,EMAILS!B:C,2,FALSE),"NOT FOUND IN EMAILS")</f>
        <v>supplier@gmail.com</v>
      </c>
      <c r="Q603" t="str">
        <f ca="1">""&amp;IFERROR(VLOOKUP(O603,EMAILS!B:D,3,FALSE),"NOT FOUND IN EMAILS")</f>
        <v/>
      </c>
      <c r="R603" t="str">
        <f ca="1">""&amp;IFERROR(VLOOKUP(O603,EMAILS!B:E,4,FALSE),"NO T FOUND IN EMAILS")</f>
        <v/>
      </c>
    </row>
    <row r="604" spans="2:18" x14ac:dyDescent="0.25">
      <c r="B604" s="5" t="s">
        <v>606</v>
      </c>
      <c r="C604" s="5" t="s">
        <v>4746</v>
      </c>
      <c r="D604" s="5">
        <v>0</v>
      </c>
      <c r="E604" s="5">
        <v>0</v>
      </c>
      <c r="F604" s="5">
        <v>0</v>
      </c>
      <c r="G604" s="5">
        <v>0</v>
      </c>
      <c r="H604" s="5">
        <v>600</v>
      </c>
      <c r="I604" s="5">
        <v>600</v>
      </c>
      <c r="J604" s="5">
        <v>0</v>
      </c>
      <c r="K604" s="5">
        <v>0</v>
      </c>
      <c r="L604" s="5">
        <v>0</v>
      </c>
      <c r="M604" s="5">
        <v>0</v>
      </c>
      <c r="N604" s="5">
        <v>0</v>
      </c>
      <c r="O604" s="5" t="str">
        <f t="shared" ca="1" si="9"/>
        <v>Supplier 3</v>
      </c>
      <c r="P604" s="20" t="str">
        <f ca="1">IFERROR(VLOOKUP(O604,EMAILS!B:C,2,FALSE),"NOT FOUND IN EMAILS")</f>
        <v>supplier@gmail.com</v>
      </c>
      <c r="Q604" t="str">
        <f ca="1">""&amp;IFERROR(VLOOKUP(O604,EMAILS!B:D,3,FALSE),"NOT FOUND IN EMAILS")</f>
        <v>supplier_logistics@gmail.com</v>
      </c>
      <c r="R604" t="str">
        <f ca="1">""&amp;IFERROR(VLOOKUP(O604,EMAILS!B:E,4,FALSE),"NO T FOUND IN EMAILS")</f>
        <v/>
      </c>
    </row>
    <row r="605" spans="2:18" x14ac:dyDescent="0.25">
      <c r="B605" s="5" t="s">
        <v>607</v>
      </c>
      <c r="C605" s="5" t="s">
        <v>4747</v>
      </c>
      <c r="D605" s="5">
        <v>60</v>
      </c>
      <c r="E605" s="5">
        <v>0</v>
      </c>
      <c r="F605" s="5">
        <v>0</v>
      </c>
      <c r="G605" s="5">
        <v>0</v>
      </c>
      <c r="H605" s="5">
        <v>60</v>
      </c>
      <c r="I605" s="5">
        <v>0</v>
      </c>
      <c r="J605" s="5">
        <v>0</v>
      </c>
      <c r="K605" s="5">
        <v>60</v>
      </c>
      <c r="L605" s="5">
        <v>0</v>
      </c>
      <c r="M605" s="5">
        <v>0</v>
      </c>
      <c r="N605" s="5">
        <v>0</v>
      </c>
      <c r="O605" s="5" t="str">
        <f t="shared" ca="1" si="9"/>
        <v>Supplier 128</v>
      </c>
      <c r="P605" s="20" t="str">
        <f ca="1">IFERROR(VLOOKUP(O605,EMAILS!B:C,2,FALSE),"NOT FOUND IN EMAILS")</f>
        <v>supplier@gmail.com</v>
      </c>
      <c r="Q605" t="str">
        <f ca="1">""&amp;IFERROR(VLOOKUP(O605,EMAILS!B:D,3,FALSE),"NOT FOUND IN EMAILS")</f>
        <v/>
      </c>
      <c r="R605" t="str">
        <f ca="1">""&amp;IFERROR(VLOOKUP(O605,EMAILS!B:E,4,FALSE),"NO T FOUND IN EMAILS")</f>
        <v/>
      </c>
    </row>
    <row r="606" spans="2:18" x14ac:dyDescent="0.25">
      <c r="B606" s="5" t="s">
        <v>608</v>
      </c>
      <c r="C606" s="5" t="s">
        <v>4748</v>
      </c>
      <c r="D606" s="5">
        <v>32</v>
      </c>
      <c r="E606" s="5">
        <v>56</v>
      </c>
      <c r="F606" s="5">
        <v>32</v>
      </c>
      <c r="G606" s="5">
        <v>32</v>
      </c>
      <c r="H606" s="5">
        <v>0</v>
      </c>
      <c r="I606" s="5">
        <v>0</v>
      </c>
      <c r="J606" s="5">
        <v>0</v>
      </c>
      <c r="K606" s="5">
        <v>0</v>
      </c>
      <c r="L606" s="5">
        <v>0</v>
      </c>
      <c r="M606" s="5">
        <v>0</v>
      </c>
      <c r="N606" s="5">
        <v>0</v>
      </c>
      <c r="O606" s="5" t="str">
        <f t="shared" ca="1" si="9"/>
        <v>Supplier 182</v>
      </c>
      <c r="P606" s="20" t="str">
        <f ca="1">IFERROR(VLOOKUP(O606,EMAILS!B:C,2,FALSE),"NOT FOUND IN EMAILS")</f>
        <v>supplier@gmail.com</v>
      </c>
      <c r="Q606" t="str">
        <f ca="1">""&amp;IFERROR(VLOOKUP(O606,EMAILS!B:D,3,FALSE),"NOT FOUND IN EMAILS")</f>
        <v/>
      </c>
      <c r="R606" t="str">
        <f ca="1">""&amp;IFERROR(VLOOKUP(O606,EMAILS!B:E,4,FALSE),"NO T FOUND IN EMAILS")</f>
        <v/>
      </c>
    </row>
    <row r="607" spans="2:18" x14ac:dyDescent="0.25">
      <c r="B607" s="5" t="s">
        <v>609</v>
      </c>
      <c r="C607" s="5" t="s">
        <v>4749</v>
      </c>
      <c r="D607" s="5">
        <v>32</v>
      </c>
      <c r="E607" s="5">
        <v>40</v>
      </c>
      <c r="F607" s="5">
        <v>32</v>
      </c>
      <c r="G607" s="5">
        <v>32</v>
      </c>
      <c r="H607" s="5">
        <v>0</v>
      </c>
      <c r="I607" s="5">
        <v>0</v>
      </c>
      <c r="J607" s="5">
        <v>0</v>
      </c>
      <c r="K607" s="5">
        <v>0</v>
      </c>
      <c r="L607" s="5">
        <v>0</v>
      </c>
      <c r="M607" s="5">
        <v>0</v>
      </c>
      <c r="N607" s="5">
        <v>0</v>
      </c>
      <c r="O607" s="5" t="str">
        <f t="shared" ca="1" si="9"/>
        <v>Supplier 128</v>
      </c>
      <c r="P607" s="20" t="str">
        <f ca="1">IFERROR(VLOOKUP(O607,EMAILS!B:C,2,FALSE),"NOT FOUND IN EMAILS")</f>
        <v>supplier@gmail.com</v>
      </c>
      <c r="Q607" t="str">
        <f ca="1">""&amp;IFERROR(VLOOKUP(O607,EMAILS!B:D,3,FALSE),"NOT FOUND IN EMAILS")</f>
        <v/>
      </c>
      <c r="R607" t="str">
        <f ca="1">""&amp;IFERROR(VLOOKUP(O607,EMAILS!B:E,4,FALSE),"NO T FOUND IN EMAILS")</f>
        <v/>
      </c>
    </row>
    <row r="608" spans="2:18" x14ac:dyDescent="0.25">
      <c r="B608" s="5" t="s">
        <v>610</v>
      </c>
      <c r="C608" s="5" t="s">
        <v>4750</v>
      </c>
      <c r="D608" s="5">
        <v>32</v>
      </c>
      <c r="E608" s="5">
        <v>40</v>
      </c>
      <c r="F608" s="5">
        <v>32</v>
      </c>
      <c r="G608" s="5">
        <v>32</v>
      </c>
      <c r="H608" s="5">
        <v>0</v>
      </c>
      <c r="I608" s="5">
        <v>0</v>
      </c>
      <c r="J608" s="5">
        <v>0</v>
      </c>
      <c r="K608" s="5">
        <v>0</v>
      </c>
      <c r="L608" s="5">
        <v>0</v>
      </c>
      <c r="M608" s="5">
        <v>0</v>
      </c>
      <c r="N608" s="5">
        <v>26</v>
      </c>
      <c r="O608" s="5" t="str">
        <f t="shared" ca="1" si="9"/>
        <v>Supplier 41</v>
      </c>
      <c r="P608" s="20" t="str">
        <f ca="1">IFERROR(VLOOKUP(O608,EMAILS!B:C,2,FALSE),"NOT FOUND IN EMAILS")</f>
        <v>supplier@gmail.com</v>
      </c>
      <c r="Q608" t="str">
        <f ca="1">""&amp;IFERROR(VLOOKUP(O608,EMAILS!B:D,3,FALSE),"NOT FOUND IN EMAILS")</f>
        <v/>
      </c>
      <c r="R608" t="str">
        <f ca="1">""&amp;IFERROR(VLOOKUP(O608,EMAILS!B:E,4,FALSE),"NO T FOUND IN EMAILS")</f>
        <v/>
      </c>
    </row>
    <row r="609" spans="2:18" x14ac:dyDescent="0.25">
      <c r="B609" s="5" t="s">
        <v>611</v>
      </c>
      <c r="C609" s="5" t="s">
        <v>4751</v>
      </c>
      <c r="D609" s="5">
        <v>8</v>
      </c>
      <c r="E609" s="5">
        <v>0</v>
      </c>
      <c r="F609" s="5">
        <v>8</v>
      </c>
      <c r="G609" s="5">
        <v>4</v>
      </c>
      <c r="H609" s="5">
        <v>12</v>
      </c>
      <c r="I609" s="5">
        <v>0</v>
      </c>
      <c r="J609" s="5">
        <v>0</v>
      </c>
      <c r="K609" s="5">
        <v>0</v>
      </c>
      <c r="L609" s="5">
        <v>4</v>
      </c>
      <c r="M609" s="5">
        <v>0</v>
      </c>
      <c r="N609" s="5">
        <v>3370</v>
      </c>
      <c r="O609" s="5" t="str">
        <f t="shared" ca="1" si="9"/>
        <v>Supplier 169</v>
      </c>
      <c r="P609" s="20" t="str">
        <f ca="1">IFERROR(VLOOKUP(O609,EMAILS!B:C,2,FALSE),"NOT FOUND IN EMAILS")</f>
        <v>supplier@gmail.com</v>
      </c>
      <c r="Q609" t="str">
        <f ca="1">""&amp;IFERROR(VLOOKUP(O609,EMAILS!B:D,3,FALSE),"NOT FOUND IN EMAILS")</f>
        <v/>
      </c>
      <c r="R609" t="str">
        <f ca="1">""&amp;IFERROR(VLOOKUP(O609,EMAILS!B:E,4,FALSE),"NO T FOUND IN EMAILS")</f>
        <v/>
      </c>
    </row>
    <row r="610" spans="2:18" x14ac:dyDescent="0.25">
      <c r="B610" s="5" t="s">
        <v>612</v>
      </c>
      <c r="C610" s="5" t="s">
        <v>4752</v>
      </c>
      <c r="D610" s="5">
        <v>108</v>
      </c>
      <c r="E610" s="5">
        <v>108</v>
      </c>
      <c r="F610" s="5">
        <v>136</v>
      </c>
      <c r="G610" s="5">
        <v>136</v>
      </c>
      <c r="H610" s="5">
        <v>108</v>
      </c>
      <c r="I610" s="5">
        <v>136</v>
      </c>
      <c r="J610" s="5">
        <v>80</v>
      </c>
      <c r="K610" s="5">
        <v>80</v>
      </c>
      <c r="L610" s="5">
        <v>80</v>
      </c>
      <c r="M610" s="5">
        <v>0</v>
      </c>
      <c r="N610" s="5">
        <v>0</v>
      </c>
      <c r="O610" s="5" t="str">
        <f t="shared" ca="1" si="9"/>
        <v>Supplier 122</v>
      </c>
      <c r="P610" s="20" t="str">
        <f ca="1">IFERROR(VLOOKUP(O610,EMAILS!B:C,2,FALSE),"NOT FOUND IN EMAILS")</f>
        <v>supplier@gmail.com</v>
      </c>
      <c r="Q610" t="str">
        <f ca="1">""&amp;IFERROR(VLOOKUP(O610,EMAILS!B:D,3,FALSE),"NOT FOUND IN EMAILS")</f>
        <v/>
      </c>
      <c r="R610" t="str">
        <f ca="1">""&amp;IFERROR(VLOOKUP(O610,EMAILS!B:E,4,FALSE),"NO T FOUND IN EMAILS")</f>
        <v/>
      </c>
    </row>
    <row r="611" spans="2:18" x14ac:dyDescent="0.25">
      <c r="B611" s="5" t="s">
        <v>613</v>
      </c>
      <c r="C611" s="5" t="s">
        <v>4753</v>
      </c>
      <c r="D611" s="5">
        <v>76</v>
      </c>
      <c r="E611" s="5">
        <v>62</v>
      </c>
      <c r="F611" s="5">
        <v>86</v>
      </c>
      <c r="G611" s="5">
        <v>86</v>
      </c>
      <c r="H611" s="5">
        <v>30</v>
      </c>
      <c r="I611" s="5">
        <v>44</v>
      </c>
      <c r="J611" s="5">
        <v>40</v>
      </c>
      <c r="K611" s="5">
        <v>42</v>
      </c>
      <c r="L611" s="5">
        <v>32</v>
      </c>
      <c r="M611" s="5">
        <v>0</v>
      </c>
      <c r="N611" s="5">
        <v>0</v>
      </c>
      <c r="O611" s="5" t="str">
        <f t="shared" ca="1" si="9"/>
        <v>Supplier 47</v>
      </c>
      <c r="P611" s="20" t="str">
        <f ca="1">IFERROR(VLOOKUP(O611,EMAILS!B:C,2,FALSE),"NOT FOUND IN EMAILS")</f>
        <v>supplier@gmail.com</v>
      </c>
      <c r="Q611" t="str">
        <f ca="1">""&amp;IFERROR(VLOOKUP(O611,EMAILS!B:D,3,FALSE),"NOT FOUND IN EMAILS")</f>
        <v/>
      </c>
      <c r="R611" t="str">
        <f ca="1">""&amp;IFERROR(VLOOKUP(O611,EMAILS!B:E,4,FALSE),"NO T FOUND IN EMAILS")</f>
        <v/>
      </c>
    </row>
    <row r="612" spans="2:18" x14ac:dyDescent="0.25">
      <c r="B612" s="5" t="s">
        <v>614</v>
      </c>
      <c r="C612" s="5" t="s">
        <v>4754</v>
      </c>
      <c r="D612" s="5">
        <v>228</v>
      </c>
      <c r="E612" s="5">
        <v>186</v>
      </c>
      <c r="F612" s="5">
        <v>258</v>
      </c>
      <c r="G612" s="5">
        <v>258</v>
      </c>
      <c r="H612" s="5">
        <v>90</v>
      </c>
      <c r="I612" s="5">
        <v>132</v>
      </c>
      <c r="J612" s="5">
        <v>120</v>
      </c>
      <c r="K612" s="5">
        <v>126</v>
      </c>
      <c r="L612" s="5">
        <v>96</v>
      </c>
      <c r="M612" s="5">
        <v>0</v>
      </c>
      <c r="N612" s="5">
        <v>4777</v>
      </c>
      <c r="O612" s="5" t="str">
        <f t="shared" ca="1" si="9"/>
        <v>Supplier 125</v>
      </c>
      <c r="P612" s="20" t="str">
        <f ca="1">IFERROR(VLOOKUP(O612,EMAILS!B:C,2,FALSE),"NOT FOUND IN EMAILS")</f>
        <v>supplier@gmail.com</v>
      </c>
      <c r="Q612" t="str">
        <f ca="1">""&amp;IFERROR(VLOOKUP(O612,EMAILS!B:D,3,FALSE),"NOT FOUND IN EMAILS")</f>
        <v/>
      </c>
      <c r="R612" t="str">
        <f ca="1">""&amp;IFERROR(VLOOKUP(O612,EMAILS!B:E,4,FALSE),"NO T FOUND IN EMAILS")</f>
        <v/>
      </c>
    </row>
    <row r="613" spans="2:18" x14ac:dyDescent="0.25">
      <c r="B613" s="5" t="s">
        <v>615</v>
      </c>
      <c r="C613" s="5" t="s">
        <v>4755</v>
      </c>
      <c r="D613" s="5">
        <v>132</v>
      </c>
      <c r="E613" s="5">
        <v>72</v>
      </c>
      <c r="F613" s="5">
        <v>90</v>
      </c>
      <c r="G613" s="5">
        <v>90</v>
      </c>
      <c r="H613" s="5">
        <v>132</v>
      </c>
      <c r="I613" s="5">
        <v>90</v>
      </c>
      <c r="J613" s="5">
        <v>54</v>
      </c>
      <c r="K613" s="5">
        <v>54</v>
      </c>
      <c r="L613" s="5">
        <v>54</v>
      </c>
      <c r="M613" s="5">
        <v>0</v>
      </c>
      <c r="N613" s="5">
        <v>0</v>
      </c>
      <c r="O613" s="5" t="str">
        <f t="shared" ca="1" si="9"/>
        <v>Supplier 78</v>
      </c>
      <c r="P613" s="20" t="str">
        <f ca="1">IFERROR(VLOOKUP(O613,EMAILS!B:C,2,FALSE),"NOT FOUND IN EMAILS")</f>
        <v>supplier@gmail.com</v>
      </c>
      <c r="Q613" t="str">
        <f ca="1">""&amp;IFERROR(VLOOKUP(O613,EMAILS!B:D,3,FALSE),"NOT FOUND IN EMAILS")</f>
        <v/>
      </c>
      <c r="R613" t="str">
        <f ca="1">""&amp;IFERROR(VLOOKUP(O613,EMAILS!B:E,4,FALSE),"NO T FOUND IN EMAILS")</f>
        <v/>
      </c>
    </row>
    <row r="614" spans="2:18" x14ac:dyDescent="0.25">
      <c r="B614" s="5" t="s">
        <v>616</v>
      </c>
      <c r="C614" s="5" t="s">
        <v>4756</v>
      </c>
      <c r="D614" s="5">
        <v>40</v>
      </c>
      <c r="E614" s="5">
        <v>40</v>
      </c>
      <c r="F614" s="5">
        <v>50</v>
      </c>
      <c r="G614" s="5">
        <v>50</v>
      </c>
      <c r="H614" s="5">
        <v>40</v>
      </c>
      <c r="I614" s="5">
        <v>50</v>
      </c>
      <c r="J614" s="5">
        <v>30</v>
      </c>
      <c r="K614" s="5">
        <v>30</v>
      </c>
      <c r="L614" s="5">
        <v>30</v>
      </c>
      <c r="M614" s="5">
        <v>0</v>
      </c>
      <c r="N614" s="5">
        <v>1570</v>
      </c>
      <c r="O614" s="5" t="str">
        <f t="shared" ca="1" si="9"/>
        <v>Supplier 38</v>
      </c>
      <c r="P614" s="20" t="str">
        <f ca="1">IFERROR(VLOOKUP(O614,EMAILS!B:C,2,FALSE),"NOT FOUND IN EMAILS")</f>
        <v>supplier@gmail.com</v>
      </c>
      <c r="Q614" t="str">
        <f ca="1">""&amp;IFERROR(VLOOKUP(O614,EMAILS!B:D,3,FALSE),"NOT FOUND IN EMAILS")</f>
        <v/>
      </c>
      <c r="R614" t="str">
        <f ca="1">""&amp;IFERROR(VLOOKUP(O614,EMAILS!B:E,4,FALSE),"NO T FOUND IN EMAILS")</f>
        <v/>
      </c>
    </row>
    <row r="615" spans="2:18" x14ac:dyDescent="0.25">
      <c r="B615" s="5" t="s">
        <v>617</v>
      </c>
      <c r="C615" s="5" t="s">
        <v>4757</v>
      </c>
      <c r="D615" s="5">
        <v>2872</v>
      </c>
      <c r="E615" s="5">
        <v>572</v>
      </c>
      <c r="F615" s="5">
        <v>1268</v>
      </c>
      <c r="G615" s="5">
        <v>2372</v>
      </c>
      <c r="H615" s="5">
        <v>620</v>
      </c>
      <c r="I615" s="5">
        <v>600</v>
      </c>
      <c r="J615" s="5">
        <v>0</v>
      </c>
      <c r="K615" s="5">
        <v>1440</v>
      </c>
      <c r="L615" s="5">
        <v>600</v>
      </c>
      <c r="M615" s="5">
        <v>0</v>
      </c>
      <c r="N615" s="5">
        <v>2156</v>
      </c>
      <c r="O615" s="5" t="str">
        <f t="shared" ca="1" si="9"/>
        <v>Supplier 59</v>
      </c>
      <c r="P615" s="20" t="str">
        <f ca="1">IFERROR(VLOOKUP(O615,EMAILS!B:C,2,FALSE),"NOT FOUND IN EMAILS")</f>
        <v>supplier@gmail.com</v>
      </c>
      <c r="Q615" t="str">
        <f ca="1">""&amp;IFERROR(VLOOKUP(O615,EMAILS!B:D,3,FALSE),"NOT FOUND IN EMAILS")</f>
        <v/>
      </c>
      <c r="R615" t="str">
        <f ca="1">""&amp;IFERROR(VLOOKUP(O615,EMAILS!B:E,4,FALSE),"NO T FOUND IN EMAILS")</f>
        <v/>
      </c>
    </row>
    <row r="616" spans="2:18" x14ac:dyDescent="0.25">
      <c r="B616" s="5" t="s">
        <v>618</v>
      </c>
      <c r="C616" s="5" t="s">
        <v>4758</v>
      </c>
      <c r="D616" s="5">
        <v>60</v>
      </c>
      <c r="E616" s="5">
        <v>60</v>
      </c>
      <c r="F616" s="5">
        <v>76</v>
      </c>
      <c r="G616" s="5">
        <v>76</v>
      </c>
      <c r="H616" s="5">
        <v>60</v>
      </c>
      <c r="I616" s="5">
        <v>76</v>
      </c>
      <c r="J616" s="5">
        <v>44</v>
      </c>
      <c r="K616" s="5">
        <v>44</v>
      </c>
      <c r="L616" s="5">
        <v>44</v>
      </c>
      <c r="M616" s="5">
        <v>0</v>
      </c>
      <c r="N616" s="5">
        <v>71</v>
      </c>
      <c r="O616" s="5" t="str">
        <f t="shared" ca="1" si="9"/>
        <v>Supplier 185</v>
      </c>
      <c r="P616" s="20" t="str">
        <f ca="1">IFERROR(VLOOKUP(O616,EMAILS!B:C,2,FALSE),"NOT FOUND IN EMAILS")</f>
        <v>supplier@gmail.com</v>
      </c>
      <c r="Q616" t="str">
        <f ca="1">""&amp;IFERROR(VLOOKUP(O616,EMAILS!B:D,3,FALSE),"NOT FOUND IN EMAILS")</f>
        <v/>
      </c>
      <c r="R616" t="str">
        <f ca="1">""&amp;IFERROR(VLOOKUP(O616,EMAILS!B:E,4,FALSE),"NO T FOUND IN EMAILS")</f>
        <v/>
      </c>
    </row>
    <row r="617" spans="2:18" x14ac:dyDescent="0.25">
      <c r="B617" s="5" t="s">
        <v>619</v>
      </c>
      <c r="C617" s="5" t="s">
        <v>4759</v>
      </c>
      <c r="D617" s="5">
        <v>60</v>
      </c>
      <c r="E617" s="5">
        <v>60</v>
      </c>
      <c r="F617" s="5">
        <v>76</v>
      </c>
      <c r="G617" s="5">
        <v>76</v>
      </c>
      <c r="H617" s="5">
        <v>60</v>
      </c>
      <c r="I617" s="5">
        <v>76</v>
      </c>
      <c r="J617" s="5">
        <v>44</v>
      </c>
      <c r="K617" s="5">
        <v>44</v>
      </c>
      <c r="L617" s="5">
        <v>44</v>
      </c>
      <c r="M617" s="5">
        <v>0</v>
      </c>
      <c r="N617" s="5">
        <v>2237</v>
      </c>
      <c r="O617" s="5" t="str">
        <f t="shared" ca="1" si="9"/>
        <v>Supplier 144</v>
      </c>
      <c r="P617" s="20" t="str">
        <f ca="1">IFERROR(VLOOKUP(O617,EMAILS!B:C,2,FALSE),"NOT FOUND IN EMAILS")</f>
        <v>supplier@gmail.com</v>
      </c>
      <c r="Q617" t="str">
        <f ca="1">""&amp;IFERROR(VLOOKUP(O617,EMAILS!B:D,3,FALSE),"NOT FOUND IN EMAILS")</f>
        <v/>
      </c>
      <c r="R617" t="str">
        <f ca="1">""&amp;IFERROR(VLOOKUP(O617,EMAILS!B:E,4,FALSE),"NO T FOUND IN EMAILS")</f>
        <v/>
      </c>
    </row>
    <row r="618" spans="2:18" x14ac:dyDescent="0.25">
      <c r="B618" s="5" t="s">
        <v>620</v>
      </c>
      <c r="C618" s="5" t="s">
        <v>4760</v>
      </c>
      <c r="D618" s="5">
        <v>132</v>
      </c>
      <c r="E618" s="5">
        <v>72</v>
      </c>
      <c r="F618" s="5">
        <v>90</v>
      </c>
      <c r="G618" s="5">
        <v>90</v>
      </c>
      <c r="H618" s="5">
        <v>132</v>
      </c>
      <c r="I618" s="5">
        <v>90</v>
      </c>
      <c r="J618" s="5">
        <v>54</v>
      </c>
      <c r="K618" s="5">
        <v>54</v>
      </c>
      <c r="L618" s="5">
        <v>54</v>
      </c>
      <c r="M618" s="5">
        <v>0</v>
      </c>
      <c r="N618" s="5">
        <v>867</v>
      </c>
      <c r="O618" s="5" t="str">
        <f t="shared" ca="1" si="9"/>
        <v>Supplier 28</v>
      </c>
      <c r="P618" s="20" t="str">
        <f ca="1">IFERROR(VLOOKUP(O618,EMAILS!B:C,2,FALSE),"NOT FOUND IN EMAILS")</f>
        <v>supplier@gmail.com</v>
      </c>
      <c r="Q618" t="str">
        <f ca="1">""&amp;IFERROR(VLOOKUP(O618,EMAILS!B:D,3,FALSE),"NOT FOUND IN EMAILS")</f>
        <v/>
      </c>
      <c r="R618" t="str">
        <f ca="1">""&amp;IFERROR(VLOOKUP(O618,EMAILS!B:E,4,FALSE),"NO T FOUND IN EMAILS")</f>
        <v/>
      </c>
    </row>
    <row r="619" spans="2:18" x14ac:dyDescent="0.25">
      <c r="B619" s="5" t="s">
        <v>621</v>
      </c>
      <c r="C619" s="5" t="s">
        <v>4761</v>
      </c>
      <c r="D619" s="5">
        <v>40</v>
      </c>
      <c r="E619" s="5">
        <v>40</v>
      </c>
      <c r="F619" s="5">
        <v>50</v>
      </c>
      <c r="G619" s="5">
        <v>50</v>
      </c>
      <c r="H619" s="5">
        <v>40</v>
      </c>
      <c r="I619" s="5">
        <v>50</v>
      </c>
      <c r="J619" s="5">
        <v>30</v>
      </c>
      <c r="K619" s="5">
        <v>30</v>
      </c>
      <c r="L619" s="5">
        <v>30</v>
      </c>
      <c r="M619" s="5">
        <v>0</v>
      </c>
      <c r="N619" s="5">
        <v>1481</v>
      </c>
      <c r="O619" s="5" t="str">
        <f t="shared" ca="1" si="9"/>
        <v>Supplier 126</v>
      </c>
      <c r="P619" s="20" t="str">
        <f ca="1">IFERROR(VLOOKUP(O619,EMAILS!B:C,2,FALSE),"NOT FOUND IN EMAILS")</f>
        <v>supplier@gmail.com</v>
      </c>
      <c r="Q619" t="str">
        <f ca="1">""&amp;IFERROR(VLOOKUP(O619,EMAILS!B:D,3,FALSE),"NOT FOUND IN EMAILS")</f>
        <v/>
      </c>
      <c r="R619" t="str">
        <f ca="1">""&amp;IFERROR(VLOOKUP(O619,EMAILS!B:E,4,FALSE),"NO T FOUND IN EMAILS")</f>
        <v/>
      </c>
    </row>
    <row r="620" spans="2:18" x14ac:dyDescent="0.25">
      <c r="B620" s="5" t="s">
        <v>622</v>
      </c>
      <c r="C620" s="5" t="s">
        <v>4762</v>
      </c>
      <c r="D620" s="5">
        <v>108</v>
      </c>
      <c r="E620" s="5">
        <v>108</v>
      </c>
      <c r="F620" s="5">
        <v>136</v>
      </c>
      <c r="G620" s="5">
        <v>136</v>
      </c>
      <c r="H620" s="5">
        <v>108</v>
      </c>
      <c r="I620" s="5">
        <v>136</v>
      </c>
      <c r="J620" s="5">
        <v>80</v>
      </c>
      <c r="K620" s="5">
        <v>80</v>
      </c>
      <c r="L620" s="5">
        <v>80</v>
      </c>
      <c r="M620" s="5">
        <v>0</v>
      </c>
      <c r="N620" s="5">
        <v>988</v>
      </c>
      <c r="O620" s="5" t="str">
        <f t="shared" ca="1" si="9"/>
        <v>Supplier 46</v>
      </c>
      <c r="P620" s="20" t="str">
        <f ca="1">IFERROR(VLOOKUP(O620,EMAILS!B:C,2,FALSE),"NOT FOUND IN EMAILS")</f>
        <v>supplier@gmail.com</v>
      </c>
      <c r="Q620" t="str">
        <f ca="1">""&amp;IFERROR(VLOOKUP(O620,EMAILS!B:D,3,FALSE),"NOT FOUND IN EMAILS")</f>
        <v/>
      </c>
      <c r="R620" t="str">
        <f ca="1">""&amp;IFERROR(VLOOKUP(O620,EMAILS!B:E,4,FALSE),"NO T FOUND IN EMAILS")</f>
        <v/>
      </c>
    </row>
    <row r="621" spans="2:18" x14ac:dyDescent="0.25">
      <c r="B621" s="5" t="s">
        <v>623</v>
      </c>
      <c r="C621" s="5" t="s">
        <v>4763</v>
      </c>
      <c r="D621" s="5">
        <v>4</v>
      </c>
      <c r="E621" s="5">
        <v>0</v>
      </c>
      <c r="F621" s="5">
        <v>0</v>
      </c>
      <c r="G621" s="5">
        <v>0</v>
      </c>
      <c r="H621" s="5">
        <v>4</v>
      </c>
      <c r="I621" s="5">
        <v>0</v>
      </c>
      <c r="J621" s="5">
        <v>0</v>
      </c>
      <c r="K621" s="5">
        <v>0</v>
      </c>
      <c r="L621" s="5">
        <v>0</v>
      </c>
      <c r="M621" s="5">
        <v>0</v>
      </c>
      <c r="N621" s="5">
        <v>1171</v>
      </c>
      <c r="O621" s="5" t="str">
        <f t="shared" ca="1" si="9"/>
        <v>Supplier 93</v>
      </c>
      <c r="P621" s="20" t="str">
        <f ca="1">IFERROR(VLOOKUP(O621,EMAILS!B:C,2,FALSE),"NOT FOUND IN EMAILS")</f>
        <v>supplier@gmail.com</v>
      </c>
      <c r="Q621" t="str">
        <f ca="1">""&amp;IFERROR(VLOOKUP(O621,EMAILS!B:D,3,FALSE),"NOT FOUND IN EMAILS")</f>
        <v/>
      </c>
      <c r="R621" t="str">
        <f ca="1">""&amp;IFERROR(VLOOKUP(O621,EMAILS!B:E,4,FALSE),"NO T FOUND IN EMAILS")</f>
        <v/>
      </c>
    </row>
    <row r="622" spans="2:18" x14ac:dyDescent="0.25">
      <c r="B622" s="5" t="s">
        <v>624</v>
      </c>
      <c r="C622" s="5" t="s">
        <v>4764</v>
      </c>
      <c r="D622" s="5">
        <v>4</v>
      </c>
      <c r="E622" s="5">
        <v>0</v>
      </c>
      <c r="F622" s="5">
        <v>0</v>
      </c>
      <c r="G622" s="5">
        <v>0</v>
      </c>
      <c r="H622" s="5">
        <v>4</v>
      </c>
      <c r="I622" s="5">
        <v>0</v>
      </c>
      <c r="J622" s="5">
        <v>0</v>
      </c>
      <c r="K622" s="5">
        <v>0</v>
      </c>
      <c r="L622" s="5">
        <v>0</v>
      </c>
      <c r="M622" s="5">
        <v>0</v>
      </c>
      <c r="N622" s="5">
        <v>200</v>
      </c>
      <c r="O622" s="5" t="str">
        <f t="shared" ca="1" si="9"/>
        <v>Supplier 188</v>
      </c>
      <c r="P622" s="20" t="str">
        <f ca="1">IFERROR(VLOOKUP(O622,EMAILS!B:C,2,FALSE),"NOT FOUND IN EMAILS")</f>
        <v>supplier@gmail.com</v>
      </c>
      <c r="Q622" t="str">
        <f ca="1">""&amp;IFERROR(VLOOKUP(O622,EMAILS!B:D,3,FALSE),"NOT FOUND IN EMAILS")</f>
        <v/>
      </c>
      <c r="R622" t="str">
        <f ca="1">""&amp;IFERROR(VLOOKUP(O622,EMAILS!B:E,4,FALSE),"NO T FOUND IN EMAILS")</f>
        <v/>
      </c>
    </row>
    <row r="623" spans="2:18" x14ac:dyDescent="0.25">
      <c r="B623" s="5" t="s">
        <v>625</v>
      </c>
      <c r="C623" s="5" t="s">
        <v>4765</v>
      </c>
      <c r="D623" s="5">
        <v>0</v>
      </c>
      <c r="E623" s="5">
        <v>16</v>
      </c>
      <c r="F623" s="5">
        <v>0</v>
      </c>
      <c r="G623" s="5">
        <v>0</v>
      </c>
      <c r="H623" s="5">
        <v>0</v>
      </c>
      <c r="I623" s="5">
        <v>0</v>
      </c>
      <c r="J623" s="5">
        <v>0</v>
      </c>
      <c r="K623" s="5">
        <v>0</v>
      </c>
      <c r="L623" s="5">
        <v>0</v>
      </c>
      <c r="M623" s="5">
        <v>0</v>
      </c>
      <c r="N623" s="5">
        <v>0</v>
      </c>
      <c r="O623" s="5" t="str">
        <f t="shared" ca="1" si="9"/>
        <v>Supplier 11</v>
      </c>
      <c r="P623" s="20" t="str">
        <f ca="1">IFERROR(VLOOKUP(O623,EMAILS!B:C,2,FALSE),"NOT FOUND IN EMAILS")</f>
        <v>supplier@gmail.com</v>
      </c>
      <c r="Q623" t="str">
        <f ca="1">""&amp;IFERROR(VLOOKUP(O623,EMAILS!B:D,3,FALSE),"NOT FOUND IN EMAILS")</f>
        <v>supplier_logistics@gmail.com</v>
      </c>
      <c r="R623" t="str">
        <f ca="1">""&amp;IFERROR(VLOOKUP(O623,EMAILS!B:E,4,FALSE),"NO T FOUND IN EMAILS")</f>
        <v/>
      </c>
    </row>
    <row r="624" spans="2:18" x14ac:dyDescent="0.25">
      <c r="B624" s="5" t="s">
        <v>626</v>
      </c>
      <c r="C624" s="5" t="s">
        <v>4766</v>
      </c>
      <c r="D624" s="5">
        <v>16</v>
      </c>
      <c r="E624" s="5">
        <v>28</v>
      </c>
      <c r="F624" s="5">
        <v>16</v>
      </c>
      <c r="G624" s="5">
        <v>16</v>
      </c>
      <c r="H624" s="5">
        <v>0</v>
      </c>
      <c r="I624" s="5">
        <v>0</v>
      </c>
      <c r="J624" s="5">
        <v>0</v>
      </c>
      <c r="K624" s="5">
        <v>0</v>
      </c>
      <c r="L624" s="5">
        <v>0</v>
      </c>
      <c r="M624" s="5">
        <v>0</v>
      </c>
      <c r="N624" s="5">
        <v>0</v>
      </c>
      <c r="O624" s="5" t="str">
        <f t="shared" ca="1" si="9"/>
        <v>Supplier 40</v>
      </c>
      <c r="P624" s="20" t="str">
        <f ca="1">IFERROR(VLOOKUP(O624,EMAILS!B:C,2,FALSE),"NOT FOUND IN EMAILS")</f>
        <v>supplier@gmail.com</v>
      </c>
      <c r="Q624" t="str">
        <f ca="1">""&amp;IFERROR(VLOOKUP(O624,EMAILS!B:D,3,FALSE),"NOT FOUND IN EMAILS")</f>
        <v/>
      </c>
      <c r="R624" t="str">
        <f ca="1">""&amp;IFERROR(VLOOKUP(O624,EMAILS!B:E,4,FALSE),"NO T FOUND IN EMAILS")</f>
        <v/>
      </c>
    </row>
    <row r="625" spans="2:18" x14ac:dyDescent="0.25">
      <c r="B625" s="5" t="s">
        <v>627</v>
      </c>
      <c r="C625" s="5" t="s">
        <v>4767</v>
      </c>
      <c r="D625" s="5">
        <v>48</v>
      </c>
      <c r="E625" s="5">
        <v>84</v>
      </c>
      <c r="F625" s="5">
        <v>36</v>
      </c>
      <c r="G625" s="5">
        <v>36</v>
      </c>
      <c r="H625" s="5">
        <v>0</v>
      </c>
      <c r="I625" s="5">
        <v>0</v>
      </c>
      <c r="J625" s="5">
        <v>0</v>
      </c>
      <c r="K625" s="5">
        <v>0</v>
      </c>
      <c r="L625" s="5">
        <v>0</v>
      </c>
      <c r="M625" s="5">
        <v>0</v>
      </c>
      <c r="N625" s="5">
        <v>200</v>
      </c>
      <c r="O625" s="5" t="str">
        <f t="shared" ca="1" si="9"/>
        <v>Supplier 75</v>
      </c>
      <c r="P625" s="20" t="str">
        <f ca="1">IFERROR(VLOOKUP(O625,EMAILS!B:C,2,FALSE),"NOT FOUND IN EMAILS")</f>
        <v>supplier@gmail.com</v>
      </c>
      <c r="Q625" t="str">
        <f ca="1">""&amp;IFERROR(VLOOKUP(O625,EMAILS!B:D,3,FALSE),"NOT FOUND IN EMAILS")</f>
        <v/>
      </c>
      <c r="R625" t="str">
        <f ca="1">""&amp;IFERROR(VLOOKUP(O625,EMAILS!B:E,4,FALSE),"NO T FOUND IN EMAILS")</f>
        <v/>
      </c>
    </row>
    <row r="626" spans="2:18" x14ac:dyDescent="0.25">
      <c r="B626" s="5" t="s">
        <v>628</v>
      </c>
      <c r="C626" s="5" t="s">
        <v>4768</v>
      </c>
      <c r="D626" s="5">
        <v>0</v>
      </c>
      <c r="E626" s="5">
        <v>16</v>
      </c>
      <c r="F626" s="5">
        <v>0</v>
      </c>
      <c r="G626" s="5">
        <v>0</v>
      </c>
      <c r="H626" s="5">
        <v>0</v>
      </c>
      <c r="I626" s="5">
        <v>0</v>
      </c>
      <c r="J626" s="5">
        <v>0</v>
      </c>
      <c r="K626" s="5">
        <v>0</v>
      </c>
      <c r="L626" s="5">
        <v>0</v>
      </c>
      <c r="M626" s="5">
        <v>0</v>
      </c>
      <c r="N626" s="5">
        <v>2231</v>
      </c>
      <c r="O626" s="5" t="str">
        <f t="shared" ca="1" si="9"/>
        <v>Supplier 30</v>
      </c>
      <c r="P626" s="20" t="str">
        <f ca="1">IFERROR(VLOOKUP(O626,EMAILS!B:C,2,FALSE),"NOT FOUND IN EMAILS")</f>
        <v>supplier@gmail.com</v>
      </c>
      <c r="Q626" t="str">
        <f ca="1">""&amp;IFERROR(VLOOKUP(O626,EMAILS!B:D,3,FALSE),"NOT FOUND IN EMAILS")</f>
        <v/>
      </c>
      <c r="R626" t="str">
        <f ca="1">""&amp;IFERROR(VLOOKUP(O626,EMAILS!B:E,4,FALSE),"NO T FOUND IN EMAILS")</f>
        <v/>
      </c>
    </row>
    <row r="627" spans="2:18" x14ac:dyDescent="0.25">
      <c r="B627" s="5" t="s">
        <v>629</v>
      </c>
      <c r="C627" s="5" t="s">
        <v>4769</v>
      </c>
      <c r="D627" s="5">
        <v>189</v>
      </c>
      <c r="E627" s="5">
        <v>225</v>
      </c>
      <c r="F627" s="5">
        <v>312</v>
      </c>
      <c r="G627" s="5">
        <v>266</v>
      </c>
      <c r="H627" s="5">
        <v>268</v>
      </c>
      <c r="I627" s="5">
        <v>239</v>
      </c>
      <c r="J627" s="5">
        <v>189</v>
      </c>
      <c r="K627" s="5">
        <v>108</v>
      </c>
      <c r="L627" s="5">
        <v>107</v>
      </c>
      <c r="M627" s="5">
        <v>0</v>
      </c>
      <c r="N627" s="5">
        <v>5457</v>
      </c>
      <c r="O627" s="5" t="str">
        <f t="shared" ca="1" si="9"/>
        <v>Supplier 58</v>
      </c>
      <c r="P627" s="20" t="str">
        <f ca="1">IFERROR(VLOOKUP(O627,EMAILS!B:C,2,FALSE),"NOT FOUND IN EMAILS")</f>
        <v>supplier@gmail.com</v>
      </c>
      <c r="Q627" t="str">
        <f ca="1">""&amp;IFERROR(VLOOKUP(O627,EMAILS!B:D,3,FALSE),"NOT FOUND IN EMAILS")</f>
        <v/>
      </c>
      <c r="R627" t="str">
        <f ca="1">""&amp;IFERROR(VLOOKUP(O627,EMAILS!B:E,4,FALSE),"NO T FOUND IN EMAILS")</f>
        <v/>
      </c>
    </row>
    <row r="628" spans="2:18" x14ac:dyDescent="0.25">
      <c r="B628" s="5" t="s">
        <v>630</v>
      </c>
      <c r="C628" s="5" t="s">
        <v>4770</v>
      </c>
      <c r="D628" s="5">
        <v>239</v>
      </c>
      <c r="E628" s="5">
        <v>162</v>
      </c>
      <c r="F628" s="5">
        <v>309</v>
      </c>
      <c r="G628" s="5">
        <v>451</v>
      </c>
      <c r="H628" s="5">
        <v>468</v>
      </c>
      <c r="I628" s="5">
        <v>414</v>
      </c>
      <c r="J628" s="5">
        <v>281</v>
      </c>
      <c r="K628" s="5">
        <v>308</v>
      </c>
      <c r="L628" s="5">
        <v>267</v>
      </c>
      <c r="M628" s="5">
        <v>0</v>
      </c>
      <c r="N628" s="5">
        <v>3776</v>
      </c>
      <c r="O628" s="5" t="str">
        <f t="shared" ca="1" si="9"/>
        <v>Supplier 52</v>
      </c>
      <c r="P628" s="20" t="str">
        <f ca="1">IFERROR(VLOOKUP(O628,EMAILS!B:C,2,FALSE),"NOT FOUND IN EMAILS")</f>
        <v>supplier@gmail.com</v>
      </c>
      <c r="Q628" t="str">
        <f ca="1">""&amp;IFERROR(VLOOKUP(O628,EMAILS!B:D,3,FALSE),"NOT FOUND IN EMAILS")</f>
        <v/>
      </c>
      <c r="R628" t="str">
        <f ca="1">""&amp;IFERROR(VLOOKUP(O628,EMAILS!B:E,4,FALSE),"NO T FOUND IN EMAILS")</f>
        <v/>
      </c>
    </row>
    <row r="629" spans="2:18" x14ac:dyDescent="0.25">
      <c r="B629" s="5" t="s">
        <v>631</v>
      </c>
      <c r="C629" s="5" t="s">
        <v>4771</v>
      </c>
      <c r="D629" s="5">
        <v>241</v>
      </c>
      <c r="E629" s="5">
        <v>279</v>
      </c>
      <c r="F629" s="5">
        <v>392</v>
      </c>
      <c r="G629" s="5">
        <v>366</v>
      </c>
      <c r="H629" s="5">
        <v>370</v>
      </c>
      <c r="I629" s="5">
        <v>331</v>
      </c>
      <c r="J629" s="5">
        <v>253</v>
      </c>
      <c r="K629" s="5">
        <v>172</v>
      </c>
      <c r="L629" s="5">
        <v>162</v>
      </c>
      <c r="M629" s="5">
        <v>0</v>
      </c>
      <c r="N629" s="5">
        <v>451</v>
      </c>
      <c r="O629" s="5" t="str">
        <f t="shared" ca="1" si="9"/>
        <v>Supplier 57</v>
      </c>
      <c r="P629" s="20" t="str">
        <f ca="1">IFERROR(VLOOKUP(O629,EMAILS!B:C,2,FALSE),"NOT FOUND IN EMAILS")</f>
        <v>supplier@gmail.com</v>
      </c>
      <c r="Q629" t="str">
        <f ca="1">""&amp;IFERROR(VLOOKUP(O629,EMAILS!B:D,3,FALSE),"NOT FOUND IN EMAILS")</f>
        <v/>
      </c>
      <c r="R629" t="str">
        <f ca="1">""&amp;IFERROR(VLOOKUP(O629,EMAILS!B:E,4,FALSE),"NO T FOUND IN EMAILS")</f>
        <v/>
      </c>
    </row>
    <row r="630" spans="2:18" x14ac:dyDescent="0.25">
      <c r="B630" s="5" t="s">
        <v>632</v>
      </c>
      <c r="C630" s="5" t="s">
        <v>4772</v>
      </c>
      <c r="D630" s="5">
        <v>64</v>
      </c>
      <c r="E630" s="5">
        <v>81</v>
      </c>
      <c r="F630" s="5">
        <v>109</v>
      </c>
      <c r="G630" s="5">
        <v>92</v>
      </c>
      <c r="H630" s="5">
        <v>92</v>
      </c>
      <c r="I630" s="5">
        <v>83</v>
      </c>
      <c r="J630" s="5">
        <v>65</v>
      </c>
      <c r="K630" s="5">
        <v>36</v>
      </c>
      <c r="L630" s="5">
        <v>36</v>
      </c>
      <c r="M630" s="5">
        <v>0</v>
      </c>
      <c r="N630" s="5">
        <v>1060</v>
      </c>
      <c r="O630" s="5" t="str">
        <f t="shared" ca="1" si="9"/>
        <v>Supplier 157</v>
      </c>
      <c r="P630" s="20" t="str">
        <f ca="1">IFERROR(VLOOKUP(O630,EMAILS!B:C,2,FALSE),"NOT FOUND IN EMAILS")</f>
        <v>supplier@gmail.com</v>
      </c>
      <c r="Q630" t="str">
        <f ca="1">""&amp;IFERROR(VLOOKUP(O630,EMAILS!B:D,3,FALSE),"NOT FOUND IN EMAILS")</f>
        <v/>
      </c>
      <c r="R630" t="str">
        <f ca="1">""&amp;IFERROR(VLOOKUP(O630,EMAILS!B:E,4,FALSE),"NO T FOUND IN EMAILS")</f>
        <v/>
      </c>
    </row>
    <row r="631" spans="2:18" x14ac:dyDescent="0.25">
      <c r="B631" s="5" t="s">
        <v>633</v>
      </c>
      <c r="C631" s="5" t="s">
        <v>4773</v>
      </c>
      <c r="D631" s="5">
        <v>106</v>
      </c>
      <c r="E631" s="5">
        <v>99</v>
      </c>
      <c r="F631" s="5">
        <v>155</v>
      </c>
      <c r="G631" s="5">
        <v>291</v>
      </c>
      <c r="H631" s="5">
        <v>294</v>
      </c>
      <c r="I631" s="5">
        <v>275</v>
      </c>
      <c r="J631" s="5">
        <v>176</v>
      </c>
      <c r="K631" s="5">
        <v>218</v>
      </c>
      <c r="L631" s="5">
        <v>177</v>
      </c>
      <c r="M631" s="5">
        <v>0</v>
      </c>
      <c r="N631" s="5">
        <v>1002</v>
      </c>
      <c r="O631" s="5" t="str">
        <f t="shared" ca="1" si="9"/>
        <v>Supplier 90</v>
      </c>
      <c r="P631" s="20" t="str">
        <f ca="1">IFERROR(VLOOKUP(O631,EMAILS!B:C,2,FALSE),"NOT FOUND IN EMAILS")</f>
        <v>supplier@gmail.com</v>
      </c>
      <c r="Q631" t="str">
        <f ca="1">""&amp;IFERROR(VLOOKUP(O631,EMAILS!B:D,3,FALSE),"NOT FOUND IN EMAILS")</f>
        <v/>
      </c>
      <c r="R631" t="str">
        <f ca="1">""&amp;IFERROR(VLOOKUP(O631,EMAILS!B:E,4,FALSE),"NO T FOUND IN EMAILS")</f>
        <v/>
      </c>
    </row>
    <row r="632" spans="2:18" x14ac:dyDescent="0.25">
      <c r="B632" s="5" t="s">
        <v>634</v>
      </c>
      <c r="C632" s="5" t="s">
        <v>4774</v>
      </c>
      <c r="D632" s="5">
        <v>42</v>
      </c>
      <c r="E632" s="5">
        <v>54</v>
      </c>
      <c r="F632" s="5">
        <v>72</v>
      </c>
      <c r="G632" s="5">
        <v>108</v>
      </c>
      <c r="H632" s="5">
        <v>108</v>
      </c>
      <c r="I632" s="5">
        <v>102</v>
      </c>
      <c r="J632" s="5">
        <v>66</v>
      </c>
      <c r="K632" s="5">
        <v>72</v>
      </c>
      <c r="L632" s="5">
        <v>60</v>
      </c>
      <c r="M632" s="5">
        <v>0</v>
      </c>
      <c r="N632" s="5">
        <v>1370</v>
      </c>
      <c r="O632" s="5" t="str">
        <f t="shared" ca="1" si="9"/>
        <v>Supplier 22</v>
      </c>
      <c r="P632" s="20" t="str">
        <f ca="1">IFERROR(VLOOKUP(O632,EMAILS!B:C,2,FALSE),"NOT FOUND IN EMAILS")</f>
        <v>supplier@gmail.com</v>
      </c>
      <c r="Q632" t="str">
        <f ca="1">""&amp;IFERROR(VLOOKUP(O632,EMAILS!B:D,3,FALSE),"NOT FOUND IN EMAILS")</f>
        <v/>
      </c>
      <c r="R632" t="str">
        <f ca="1">""&amp;IFERROR(VLOOKUP(O632,EMAILS!B:E,4,FALSE),"NO T FOUND IN EMAILS")</f>
        <v/>
      </c>
    </row>
    <row r="633" spans="2:18" x14ac:dyDescent="0.25">
      <c r="B633" s="5" t="s">
        <v>635</v>
      </c>
      <c r="C633" s="5" t="s">
        <v>4775</v>
      </c>
      <c r="D633" s="5">
        <v>42</v>
      </c>
      <c r="E633" s="5">
        <v>54</v>
      </c>
      <c r="F633" s="5">
        <v>72</v>
      </c>
      <c r="G633" s="5">
        <v>60</v>
      </c>
      <c r="H633" s="5">
        <v>60</v>
      </c>
      <c r="I633" s="5">
        <v>54</v>
      </c>
      <c r="J633" s="5">
        <v>42</v>
      </c>
      <c r="K633" s="5">
        <v>24</v>
      </c>
      <c r="L633" s="5">
        <v>24</v>
      </c>
      <c r="M633" s="5">
        <v>0</v>
      </c>
      <c r="N633" s="5">
        <v>511</v>
      </c>
      <c r="O633" s="5" t="str">
        <f t="shared" ca="1" si="9"/>
        <v>Supplier 125</v>
      </c>
      <c r="P633" s="20" t="str">
        <f ca="1">IFERROR(VLOOKUP(O633,EMAILS!B:C,2,FALSE),"NOT FOUND IN EMAILS")</f>
        <v>supplier@gmail.com</v>
      </c>
      <c r="Q633" t="str">
        <f ca="1">""&amp;IFERROR(VLOOKUP(O633,EMAILS!B:D,3,FALSE),"NOT FOUND IN EMAILS")</f>
        <v/>
      </c>
      <c r="R633" t="str">
        <f ca="1">""&amp;IFERROR(VLOOKUP(O633,EMAILS!B:E,4,FALSE),"NO T FOUND IN EMAILS")</f>
        <v/>
      </c>
    </row>
    <row r="634" spans="2:18" x14ac:dyDescent="0.25">
      <c r="B634" s="5" t="s">
        <v>636</v>
      </c>
      <c r="C634" s="5" t="s">
        <v>4776</v>
      </c>
      <c r="D634" s="5">
        <v>27</v>
      </c>
      <c r="E634" s="5">
        <v>18</v>
      </c>
      <c r="F634" s="5">
        <v>35</v>
      </c>
      <c r="G634" s="5">
        <v>46</v>
      </c>
      <c r="H634" s="5">
        <v>48</v>
      </c>
      <c r="I634" s="5">
        <v>42</v>
      </c>
      <c r="J634" s="5">
        <v>32</v>
      </c>
      <c r="K634" s="5">
        <v>28</v>
      </c>
      <c r="L634" s="5">
        <v>24</v>
      </c>
      <c r="M634" s="5">
        <v>0</v>
      </c>
      <c r="N634" s="5">
        <v>2321</v>
      </c>
      <c r="O634" s="5" t="str">
        <f t="shared" ca="1" si="9"/>
        <v>Supplier 90</v>
      </c>
      <c r="P634" s="20" t="str">
        <f ca="1">IFERROR(VLOOKUP(O634,EMAILS!B:C,2,FALSE),"NOT FOUND IN EMAILS")</f>
        <v>supplier@gmail.com</v>
      </c>
      <c r="Q634" t="str">
        <f ca="1">""&amp;IFERROR(VLOOKUP(O634,EMAILS!B:D,3,FALSE),"NOT FOUND IN EMAILS")</f>
        <v/>
      </c>
      <c r="R634" t="str">
        <f ca="1">""&amp;IFERROR(VLOOKUP(O634,EMAILS!B:E,4,FALSE),"NO T FOUND IN EMAILS")</f>
        <v/>
      </c>
    </row>
    <row r="635" spans="2:18" x14ac:dyDescent="0.25">
      <c r="B635" s="5" t="s">
        <v>637</v>
      </c>
      <c r="C635" s="5" t="s">
        <v>4777</v>
      </c>
      <c r="D635" s="5">
        <v>86</v>
      </c>
      <c r="E635" s="5">
        <v>18</v>
      </c>
      <c r="F635" s="5">
        <v>84</v>
      </c>
      <c r="G635" s="5">
        <v>80</v>
      </c>
      <c r="H635" s="5">
        <v>92</v>
      </c>
      <c r="I635" s="5">
        <v>66</v>
      </c>
      <c r="J635" s="5">
        <v>70</v>
      </c>
      <c r="K635" s="5">
        <v>44</v>
      </c>
      <c r="L635" s="5">
        <v>40</v>
      </c>
      <c r="M635" s="5">
        <v>0</v>
      </c>
      <c r="N635" s="5">
        <v>4035</v>
      </c>
      <c r="O635" s="5" t="str">
        <f t="shared" ca="1" si="9"/>
        <v>Supplier 72</v>
      </c>
      <c r="P635" s="20" t="str">
        <f ca="1">IFERROR(VLOOKUP(O635,EMAILS!B:C,2,FALSE),"NOT FOUND IN EMAILS")</f>
        <v>supplier@gmail.com</v>
      </c>
      <c r="Q635" t="str">
        <f ca="1">""&amp;IFERROR(VLOOKUP(O635,EMAILS!B:D,3,FALSE),"NOT FOUND IN EMAILS")</f>
        <v/>
      </c>
      <c r="R635" t="str">
        <f ca="1">""&amp;IFERROR(VLOOKUP(O635,EMAILS!B:E,4,FALSE),"NO T FOUND IN EMAILS")</f>
        <v/>
      </c>
    </row>
    <row r="636" spans="2:18" x14ac:dyDescent="0.25">
      <c r="B636" s="5" t="s">
        <v>638</v>
      </c>
      <c r="C636" s="5" t="s">
        <v>4778</v>
      </c>
      <c r="D636" s="5">
        <v>81</v>
      </c>
      <c r="E636" s="5">
        <v>54</v>
      </c>
      <c r="F636" s="5">
        <v>104</v>
      </c>
      <c r="G636" s="5">
        <v>154</v>
      </c>
      <c r="H636" s="5">
        <v>160</v>
      </c>
      <c r="I636" s="5">
        <v>141</v>
      </c>
      <c r="J636" s="5">
        <v>76</v>
      </c>
      <c r="K636" s="5">
        <v>110</v>
      </c>
      <c r="L636" s="5">
        <v>104</v>
      </c>
      <c r="M636" s="5">
        <v>0</v>
      </c>
      <c r="N636" s="5">
        <v>881</v>
      </c>
      <c r="O636" s="5" t="str">
        <f t="shared" ca="1" si="9"/>
        <v>Supplier 32</v>
      </c>
      <c r="P636" s="20" t="str">
        <f ca="1">IFERROR(VLOOKUP(O636,EMAILS!B:C,2,FALSE),"NOT FOUND IN EMAILS")</f>
        <v>supplier@gmail.com</v>
      </c>
      <c r="Q636" t="str">
        <f ca="1">""&amp;IFERROR(VLOOKUP(O636,EMAILS!B:D,3,FALSE),"NOT FOUND IN EMAILS")</f>
        <v/>
      </c>
      <c r="R636" t="str">
        <f ca="1">""&amp;IFERROR(VLOOKUP(O636,EMAILS!B:E,4,FALSE),"NO T FOUND IN EMAILS")</f>
        <v/>
      </c>
    </row>
    <row r="637" spans="2:18" x14ac:dyDescent="0.25">
      <c r="B637" s="5" t="s">
        <v>639</v>
      </c>
      <c r="C637" s="5" t="s">
        <v>4779</v>
      </c>
      <c r="D637" s="5">
        <v>12</v>
      </c>
      <c r="E637" s="5">
        <v>0</v>
      </c>
      <c r="F637" s="5">
        <v>10</v>
      </c>
      <c r="G637" s="5">
        <v>8</v>
      </c>
      <c r="H637" s="5">
        <v>10</v>
      </c>
      <c r="I637" s="5">
        <v>6</v>
      </c>
      <c r="J637" s="5">
        <v>8</v>
      </c>
      <c r="K637" s="5">
        <v>4</v>
      </c>
      <c r="L637" s="5">
        <v>4</v>
      </c>
      <c r="M637" s="5">
        <v>0</v>
      </c>
      <c r="N637" s="5">
        <v>660</v>
      </c>
      <c r="O637" s="5" t="str">
        <f t="shared" ca="1" si="9"/>
        <v>Supplier 62</v>
      </c>
      <c r="P637" s="20" t="str">
        <f ca="1">IFERROR(VLOOKUP(O637,EMAILS!B:C,2,FALSE),"NOT FOUND IN EMAILS")</f>
        <v>supplier@gmail.com</v>
      </c>
      <c r="Q637" t="str">
        <f ca="1">""&amp;IFERROR(VLOOKUP(O637,EMAILS!B:D,3,FALSE),"NOT FOUND IN EMAILS")</f>
        <v/>
      </c>
      <c r="R637" t="str">
        <f ca="1">""&amp;IFERROR(VLOOKUP(O637,EMAILS!B:E,4,FALSE),"NO T FOUND IN EMAILS")</f>
        <v/>
      </c>
    </row>
    <row r="638" spans="2:18" x14ac:dyDescent="0.25">
      <c r="B638" s="5" t="s">
        <v>640</v>
      </c>
      <c r="C638" s="5" t="s">
        <v>4780</v>
      </c>
      <c r="D638" s="5">
        <v>55</v>
      </c>
      <c r="E638" s="5">
        <v>9</v>
      </c>
      <c r="F638" s="5">
        <v>52</v>
      </c>
      <c r="G638" s="5">
        <v>42</v>
      </c>
      <c r="H638" s="5">
        <v>50</v>
      </c>
      <c r="I638" s="5">
        <v>33</v>
      </c>
      <c r="J638" s="5">
        <v>39</v>
      </c>
      <c r="K638" s="5">
        <v>20</v>
      </c>
      <c r="L638" s="5">
        <v>20</v>
      </c>
      <c r="M638" s="5">
        <v>0</v>
      </c>
      <c r="N638" s="5">
        <v>645</v>
      </c>
      <c r="O638" s="5" t="str">
        <f t="shared" ca="1" si="9"/>
        <v>Supplier 127</v>
      </c>
      <c r="P638" s="20" t="str">
        <f ca="1">IFERROR(VLOOKUP(O638,EMAILS!B:C,2,FALSE),"NOT FOUND IN EMAILS")</f>
        <v>supplier@gmail.com</v>
      </c>
      <c r="Q638" t="str">
        <f ca="1">""&amp;IFERROR(VLOOKUP(O638,EMAILS!B:D,3,FALSE),"NOT FOUND IN EMAILS")</f>
        <v/>
      </c>
      <c r="R638" t="str">
        <f ca="1">""&amp;IFERROR(VLOOKUP(O638,EMAILS!B:E,4,FALSE),"NO T FOUND IN EMAILS")</f>
        <v/>
      </c>
    </row>
    <row r="639" spans="2:18" x14ac:dyDescent="0.25">
      <c r="B639" s="5" t="s">
        <v>641</v>
      </c>
      <c r="C639" s="5" t="s">
        <v>4781</v>
      </c>
      <c r="D639" s="5">
        <v>104</v>
      </c>
      <c r="E639" s="5">
        <v>126</v>
      </c>
      <c r="F639" s="5">
        <v>172</v>
      </c>
      <c r="G639" s="5">
        <v>315</v>
      </c>
      <c r="H639" s="5">
        <v>313</v>
      </c>
      <c r="I639" s="5">
        <v>300</v>
      </c>
      <c r="J639" s="5">
        <v>187</v>
      </c>
      <c r="K639" s="5">
        <v>230</v>
      </c>
      <c r="L639" s="5">
        <v>187</v>
      </c>
      <c r="M639" s="5">
        <v>0</v>
      </c>
      <c r="N639" s="5">
        <v>608</v>
      </c>
      <c r="O639" s="5" t="str">
        <f t="shared" ca="1" si="9"/>
        <v>Supplier 65</v>
      </c>
      <c r="P639" s="20" t="str">
        <f ca="1">IFERROR(VLOOKUP(O639,EMAILS!B:C,2,FALSE),"NOT FOUND IN EMAILS")</f>
        <v>supplier@gmail.com</v>
      </c>
      <c r="Q639" t="str">
        <f ca="1">""&amp;IFERROR(VLOOKUP(O639,EMAILS!B:D,3,FALSE),"NOT FOUND IN EMAILS")</f>
        <v/>
      </c>
      <c r="R639" t="str">
        <f ca="1">""&amp;IFERROR(VLOOKUP(O639,EMAILS!B:E,4,FALSE),"NO T FOUND IN EMAILS")</f>
        <v/>
      </c>
    </row>
    <row r="640" spans="2:18" x14ac:dyDescent="0.25">
      <c r="B640" s="5" t="s">
        <v>642</v>
      </c>
      <c r="C640" s="5" t="s">
        <v>4782</v>
      </c>
      <c r="D640" s="5">
        <v>7</v>
      </c>
      <c r="E640" s="5">
        <v>9</v>
      </c>
      <c r="F640" s="5">
        <v>12</v>
      </c>
      <c r="G640" s="5">
        <v>10</v>
      </c>
      <c r="H640" s="5">
        <v>10</v>
      </c>
      <c r="I640" s="5">
        <v>9</v>
      </c>
      <c r="J640" s="5">
        <v>7</v>
      </c>
      <c r="K640" s="5">
        <v>4</v>
      </c>
      <c r="L640" s="5">
        <v>4</v>
      </c>
      <c r="M640" s="5">
        <v>0</v>
      </c>
      <c r="N640" s="5">
        <v>232</v>
      </c>
      <c r="O640" s="5" t="str">
        <f t="shared" ca="1" si="9"/>
        <v>Supplier 62</v>
      </c>
      <c r="P640" s="20" t="str">
        <f ca="1">IFERROR(VLOOKUP(O640,EMAILS!B:C,2,FALSE),"NOT FOUND IN EMAILS")</f>
        <v>supplier@gmail.com</v>
      </c>
      <c r="Q640" t="str">
        <f ca="1">""&amp;IFERROR(VLOOKUP(O640,EMAILS!B:D,3,FALSE),"NOT FOUND IN EMAILS")</f>
        <v/>
      </c>
      <c r="R640" t="str">
        <f ca="1">""&amp;IFERROR(VLOOKUP(O640,EMAILS!B:E,4,FALSE),"NO T FOUND IN EMAILS")</f>
        <v/>
      </c>
    </row>
    <row r="641" spans="2:18" x14ac:dyDescent="0.25">
      <c r="B641" s="5" t="s">
        <v>643</v>
      </c>
      <c r="C641" s="5" t="s">
        <v>4783</v>
      </c>
      <c r="D641" s="5">
        <v>6</v>
      </c>
      <c r="E641" s="5">
        <v>0</v>
      </c>
      <c r="F641" s="5">
        <v>5</v>
      </c>
      <c r="G641" s="5">
        <v>4</v>
      </c>
      <c r="H641" s="5">
        <v>4</v>
      </c>
      <c r="I641" s="5">
        <v>3</v>
      </c>
      <c r="J641" s="5">
        <v>4</v>
      </c>
      <c r="K641" s="5">
        <v>2</v>
      </c>
      <c r="L641" s="5">
        <v>2</v>
      </c>
      <c r="M641" s="5">
        <v>0</v>
      </c>
      <c r="N641" s="5">
        <v>177</v>
      </c>
      <c r="O641" s="5" t="str">
        <f t="shared" ca="1" si="9"/>
        <v>Supplier 24</v>
      </c>
      <c r="P641" s="20" t="str">
        <f ca="1">IFERROR(VLOOKUP(O641,EMAILS!B:C,2,FALSE),"NOT FOUND IN EMAILS")</f>
        <v>supplier@gmail.com</v>
      </c>
      <c r="Q641" t="str">
        <f ca="1">""&amp;IFERROR(VLOOKUP(O641,EMAILS!B:D,3,FALSE),"NOT FOUND IN EMAILS")</f>
        <v/>
      </c>
      <c r="R641" t="str">
        <f ca="1">""&amp;IFERROR(VLOOKUP(O641,EMAILS!B:E,4,FALSE),"NO T FOUND IN EMAILS")</f>
        <v/>
      </c>
    </row>
    <row r="642" spans="2:18" x14ac:dyDescent="0.25">
      <c r="B642" s="5" t="s">
        <v>644</v>
      </c>
      <c r="C642" s="5" t="s">
        <v>4784</v>
      </c>
      <c r="D642" s="5">
        <v>0</v>
      </c>
      <c r="E642" s="5">
        <v>0</v>
      </c>
      <c r="F642" s="5">
        <v>0</v>
      </c>
      <c r="G642" s="5">
        <v>0</v>
      </c>
      <c r="H642" s="5">
        <v>0</v>
      </c>
      <c r="I642" s="5">
        <v>0</v>
      </c>
      <c r="J642" s="5">
        <v>0</v>
      </c>
      <c r="K642" s="5">
        <v>0</v>
      </c>
      <c r="L642" s="5">
        <v>0</v>
      </c>
      <c r="M642" s="5">
        <v>0</v>
      </c>
      <c r="N642" s="5">
        <v>1342</v>
      </c>
      <c r="O642" s="5" t="str">
        <f t="shared" ca="1" si="9"/>
        <v>Supplier 68</v>
      </c>
      <c r="P642" s="20" t="str">
        <f ca="1">IFERROR(VLOOKUP(O642,EMAILS!B:C,2,FALSE),"NOT FOUND IN EMAILS")</f>
        <v>supplier@gmail.com</v>
      </c>
      <c r="Q642" t="str">
        <f ca="1">""&amp;IFERROR(VLOOKUP(O642,EMAILS!B:D,3,FALSE),"NOT FOUND IN EMAILS")</f>
        <v/>
      </c>
      <c r="R642" t="str">
        <f ca="1">""&amp;IFERROR(VLOOKUP(O642,EMAILS!B:E,4,FALSE),"NO T FOUND IN EMAILS")</f>
        <v/>
      </c>
    </row>
    <row r="643" spans="2:18" x14ac:dyDescent="0.25">
      <c r="B643" s="5" t="s">
        <v>645</v>
      </c>
      <c r="C643" s="5" t="s">
        <v>4785</v>
      </c>
      <c r="D643" s="5">
        <v>0</v>
      </c>
      <c r="E643" s="5">
        <v>0</v>
      </c>
      <c r="F643" s="5">
        <v>0</v>
      </c>
      <c r="G643" s="5">
        <v>36</v>
      </c>
      <c r="H643" s="5">
        <v>36</v>
      </c>
      <c r="I643" s="5">
        <v>36</v>
      </c>
      <c r="J643" s="5">
        <v>14</v>
      </c>
      <c r="K643" s="5">
        <v>36</v>
      </c>
      <c r="L643" s="5">
        <v>29</v>
      </c>
      <c r="M643" s="5">
        <v>0</v>
      </c>
      <c r="N643" s="5">
        <v>635</v>
      </c>
      <c r="O643" s="5" t="str">
        <f t="shared" ref="O643:O706" ca="1" si="10">"Supplier "&amp;RANDBETWEEN(1,200)</f>
        <v>Supplier 37</v>
      </c>
      <c r="P643" s="20" t="str">
        <f ca="1">IFERROR(VLOOKUP(O643,EMAILS!B:C,2,FALSE),"NOT FOUND IN EMAILS")</f>
        <v>supplier@gmail.com</v>
      </c>
      <c r="Q643" t="str">
        <f ca="1">""&amp;IFERROR(VLOOKUP(O643,EMAILS!B:D,3,FALSE),"NOT FOUND IN EMAILS")</f>
        <v/>
      </c>
      <c r="R643" t="str">
        <f ca="1">""&amp;IFERROR(VLOOKUP(O643,EMAILS!B:E,4,FALSE),"NO T FOUND IN EMAILS")</f>
        <v/>
      </c>
    </row>
    <row r="644" spans="2:18" x14ac:dyDescent="0.25">
      <c r="B644" s="5" t="s">
        <v>646</v>
      </c>
      <c r="C644" s="5" t="s">
        <v>4786</v>
      </c>
      <c r="D644" s="5">
        <v>0</v>
      </c>
      <c r="E644" s="5">
        <v>0</v>
      </c>
      <c r="F644" s="5">
        <v>0</v>
      </c>
      <c r="G644" s="5">
        <v>8</v>
      </c>
      <c r="H644" s="5">
        <v>8</v>
      </c>
      <c r="I644" s="5">
        <v>8</v>
      </c>
      <c r="J644" s="5">
        <v>4</v>
      </c>
      <c r="K644" s="5">
        <v>8</v>
      </c>
      <c r="L644" s="5">
        <v>6</v>
      </c>
      <c r="M644" s="5">
        <v>0</v>
      </c>
      <c r="N644" s="5">
        <v>0</v>
      </c>
      <c r="O644" s="5" t="str">
        <f t="shared" ca="1" si="10"/>
        <v>Supplier 65</v>
      </c>
      <c r="P644" s="20" t="str">
        <f ca="1">IFERROR(VLOOKUP(O644,EMAILS!B:C,2,FALSE),"NOT FOUND IN EMAILS")</f>
        <v>supplier@gmail.com</v>
      </c>
      <c r="Q644" t="str">
        <f ca="1">""&amp;IFERROR(VLOOKUP(O644,EMAILS!B:D,3,FALSE),"NOT FOUND IN EMAILS")</f>
        <v/>
      </c>
      <c r="R644" t="str">
        <f ca="1">""&amp;IFERROR(VLOOKUP(O644,EMAILS!B:E,4,FALSE),"NO T FOUND IN EMAILS")</f>
        <v/>
      </c>
    </row>
    <row r="645" spans="2:18" x14ac:dyDescent="0.25">
      <c r="B645" s="5" t="s">
        <v>647</v>
      </c>
      <c r="C645" s="5" t="s">
        <v>4787</v>
      </c>
      <c r="D645" s="5">
        <v>0</v>
      </c>
      <c r="E645" s="5">
        <v>0</v>
      </c>
      <c r="F645" s="5">
        <v>0</v>
      </c>
      <c r="G645" s="5">
        <v>0</v>
      </c>
      <c r="H645" s="5">
        <v>0</v>
      </c>
      <c r="I645" s="5">
        <v>0</v>
      </c>
      <c r="J645" s="5">
        <v>0</v>
      </c>
      <c r="K645" s="5">
        <v>0</v>
      </c>
      <c r="L645" s="5">
        <v>0</v>
      </c>
      <c r="M645" s="5">
        <v>0</v>
      </c>
      <c r="N645" s="5">
        <v>500</v>
      </c>
      <c r="O645" s="5" t="str">
        <f t="shared" ca="1" si="10"/>
        <v>Supplier 62</v>
      </c>
      <c r="P645" s="20" t="str">
        <f ca="1">IFERROR(VLOOKUP(O645,EMAILS!B:C,2,FALSE),"NOT FOUND IN EMAILS")</f>
        <v>supplier@gmail.com</v>
      </c>
      <c r="Q645" t="str">
        <f ca="1">""&amp;IFERROR(VLOOKUP(O645,EMAILS!B:D,3,FALSE),"NOT FOUND IN EMAILS")</f>
        <v/>
      </c>
      <c r="R645" t="str">
        <f ca="1">""&amp;IFERROR(VLOOKUP(O645,EMAILS!B:E,4,FALSE),"NO T FOUND IN EMAILS")</f>
        <v/>
      </c>
    </row>
    <row r="646" spans="2:18" x14ac:dyDescent="0.25">
      <c r="B646" s="5" t="s">
        <v>648</v>
      </c>
      <c r="C646" s="5" t="s">
        <v>4788</v>
      </c>
      <c r="D646" s="5">
        <v>312</v>
      </c>
      <c r="E646" s="5">
        <v>312</v>
      </c>
      <c r="F646" s="5">
        <v>336</v>
      </c>
      <c r="G646" s="5">
        <v>264</v>
      </c>
      <c r="H646" s="5">
        <v>324</v>
      </c>
      <c r="I646" s="5">
        <v>288</v>
      </c>
      <c r="J646" s="5">
        <v>264</v>
      </c>
      <c r="K646" s="5">
        <v>264</v>
      </c>
      <c r="L646" s="5">
        <v>216</v>
      </c>
      <c r="M646" s="5">
        <v>0</v>
      </c>
      <c r="N646" s="5">
        <v>199</v>
      </c>
      <c r="O646" s="5" t="str">
        <f t="shared" ca="1" si="10"/>
        <v>Supplier 116</v>
      </c>
      <c r="P646" s="20" t="str">
        <f ca="1">IFERROR(VLOOKUP(O646,EMAILS!B:C,2,FALSE),"NOT FOUND IN EMAILS")</f>
        <v>supplier@gmail.com</v>
      </c>
      <c r="Q646" t="str">
        <f ca="1">""&amp;IFERROR(VLOOKUP(O646,EMAILS!B:D,3,FALSE),"NOT FOUND IN EMAILS")</f>
        <v/>
      </c>
      <c r="R646" t="str">
        <f ca="1">""&amp;IFERROR(VLOOKUP(O646,EMAILS!B:E,4,FALSE),"NO T FOUND IN EMAILS")</f>
        <v/>
      </c>
    </row>
    <row r="647" spans="2:18" x14ac:dyDescent="0.25">
      <c r="B647" s="5" t="s">
        <v>649</v>
      </c>
      <c r="C647" s="5" t="s">
        <v>4789</v>
      </c>
      <c r="D647" s="5">
        <v>30</v>
      </c>
      <c r="E647" s="5">
        <v>30</v>
      </c>
      <c r="F647" s="5">
        <v>40</v>
      </c>
      <c r="G647" s="5">
        <v>40</v>
      </c>
      <c r="H647" s="5">
        <v>30</v>
      </c>
      <c r="I647" s="5">
        <v>30</v>
      </c>
      <c r="J647" s="5">
        <v>40</v>
      </c>
      <c r="K647" s="5">
        <v>40</v>
      </c>
      <c r="L647" s="5">
        <v>10</v>
      </c>
      <c r="M647" s="5">
        <v>0</v>
      </c>
      <c r="N647" s="5">
        <v>1328</v>
      </c>
      <c r="O647" s="5" t="str">
        <f t="shared" ca="1" si="10"/>
        <v>Supplier 187</v>
      </c>
      <c r="P647" s="20" t="str">
        <f ca="1">IFERROR(VLOOKUP(O647,EMAILS!B:C,2,FALSE),"NOT FOUND IN EMAILS")</f>
        <v>supplier@gmail.com</v>
      </c>
      <c r="Q647" t="str">
        <f ca="1">""&amp;IFERROR(VLOOKUP(O647,EMAILS!B:D,3,FALSE),"NOT FOUND IN EMAILS")</f>
        <v/>
      </c>
      <c r="R647" t="str">
        <f ca="1">""&amp;IFERROR(VLOOKUP(O647,EMAILS!B:E,4,FALSE),"NO T FOUND IN EMAILS")</f>
        <v/>
      </c>
    </row>
    <row r="648" spans="2:18" x14ac:dyDescent="0.25">
      <c r="B648" s="5" t="s">
        <v>650</v>
      </c>
      <c r="C648" s="5" t="s">
        <v>4790</v>
      </c>
      <c r="D648" s="5">
        <v>0</v>
      </c>
      <c r="E648" s="5">
        <v>0</v>
      </c>
      <c r="F648" s="5">
        <v>0</v>
      </c>
      <c r="G648" s="5">
        <v>14</v>
      </c>
      <c r="H648" s="5">
        <v>14</v>
      </c>
      <c r="I648" s="5">
        <v>14</v>
      </c>
      <c r="J648" s="5">
        <v>0</v>
      </c>
      <c r="K648" s="5">
        <v>14</v>
      </c>
      <c r="L648" s="5">
        <v>14</v>
      </c>
      <c r="M648" s="5">
        <v>0</v>
      </c>
      <c r="N648" s="5">
        <v>5038</v>
      </c>
      <c r="O648" s="5" t="str">
        <f t="shared" ca="1" si="10"/>
        <v>Supplier 177</v>
      </c>
      <c r="P648" s="20" t="str">
        <f ca="1">IFERROR(VLOOKUP(O648,EMAILS!B:C,2,FALSE),"NOT FOUND IN EMAILS")</f>
        <v>supplier@gmail.com</v>
      </c>
      <c r="Q648" t="str">
        <f ca="1">""&amp;IFERROR(VLOOKUP(O648,EMAILS!B:D,3,FALSE),"NOT FOUND IN EMAILS")</f>
        <v/>
      </c>
      <c r="R648" t="str">
        <f ca="1">""&amp;IFERROR(VLOOKUP(O648,EMAILS!B:E,4,FALSE),"NO T FOUND IN EMAILS")</f>
        <v/>
      </c>
    </row>
    <row r="649" spans="2:18" x14ac:dyDescent="0.25">
      <c r="B649" s="5" t="s">
        <v>651</v>
      </c>
      <c r="C649" s="5" t="s">
        <v>4791</v>
      </c>
      <c r="D649" s="5">
        <v>2</v>
      </c>
      <c r="E649" s="5">
        <v>2</v>
      </c>
      <c r="F649" s="5">
        <v>12</v>
      </c>
      <c r="G649" s="5">
        <v>16</v>
      </c>
      <c r="H649" s="5">
        <v>16</v>
      </c>
      <c r="I649" s="5">
        <v>18</v>
      </c>
      <c r="J649" s="5">
        <v>2</v>
      </c>
      <c r="K649" s="5">
        <v>16</v>
      </c>
      <c r="L649" s="5">
        <v>16</v>
      </c>
      <c r="M649" s="5">
        <v>0</v>
      </c>
      <c r="N649" s="5">
        <v>0</v>
      </c>
      <c r="O649" s="5" t="str">
        <f t="shared" ca="1" si="10"/>
        <v>Supplier 31</v>
      </c>
      <c r="P649" s="20" t="str">
        <f ca="1">IFERROR(VLOOKUP(O649,EMAILS!B:C,2,FALSE),"NOT FOUND IN EMAILS")</f>
        <v>supplier@gmail.com</v>
      </c>
      <c r="Q649" t="str">
        <f ca="1">""&amp;IFERROR(VLOOKUP(O649,EMAILS!B:D,3,FALSE),"NOT FOUND IN EMAILS")</f>
        <v/>
      </c>
      <c r="R649" t="str">
        <f ca="1">""&amp;IFERROR(VLOOKUP(O649,EMAILS!B:E,4,FALSE),"NO T FOUND IN EMAILS")</f>
        <v/>
      </c>
    </row>
    <row r="650" spans="2:18" x14ac:dyDescent="0.25">
      <c r="B650" s="5" t="s">
        <v>652</v>
      </c>
      <c r="C650" s="5" t="s">
        <v>4792</v>
      </c>
      <c r="D650" s="5">
        <v>114</v>
      </c>
      <c r="E650" s="5">
        <v>342</v>
      </c>
      <c r="F650" s="5">
        <v>57</v>
      </c>
      <c r="G650" s="5">
        <v>75</v>
      </c>
      <c r="H650" s="5">
        <v>126</v>
      </c>
      <c r="I650" s="5">
        <v>0</v>
      </c>
      <c r="J650" s="5">
        <v>0</v>
      </c>
      <c r="K650" s="5">
        <v>0</v>
      </c>
      <c r="L650" s="5">
        <v>0</v>
      </c>
      <c r="M650" s="5">
        <v>0</v>
      </c>
      <c r="N650" s="5">
        <v>3935</v>
      </c>
      <c r="O650" s="5" t="str">
        <f t="shared" ca="1" si="10"/>
        <v>Supplier 136</v>
      </c>
      <c r="P650" s="20" t="str">
        <f ca="1">IFERROR(VLOOKUP(O650,EMAILS!B:C,2,FALSE),"NOT FOUND IN EMAILS")</f>
        <v>supplier@gmail.com</v>
      </c>
      <c r="Q650" t="str">
        <f ca="1">""&amp;IFERROR(VLOOKUP(O650,EMAILS!B:D,3,FALSE),"NOT FOUND IN EMAILS")</f>
        <v/>
      </c>
      <c r="R650" t="str">
        <f ca="1">""&amp;IFERROR(VLOOKUP(O650,EMAILS!B:E,4,FALSE),"NO T FOUND IN EMAILS")</f>
        <v/>
      </c>
    </row>
    <row r="651" spans="2:18" x14ac:dyDescent="0.25">
      <c r="B651" s="5" t="s">
        <v>653</v>
      </c>
      <c r="C651" s="5" t="s">
        <v>4793</v>
      </c>
      <c r="D651" s="5">
        <v>26</v>
      </c>
      <c r="E651" s="5">
        <v>78</v>
      </c>
      <c r="F651" s="5">
        <v>13</v>
      </c>
      <c r="G651" s="5">
        <v>13</v>
      </c>
      <c r="H651" s="5">
        <v>26</v>
      </c>
      <c r="I651" s="5">
        <v>0</v>
      </c>
      <c r="J651" s="5">
        <v>0</v>
      </c>
      <c r="K651" s="5">
        <v>0</v>
      </c>
      <c r="L651" s="5">
        <v>0</v>
      </c>
      <c r="M651" s="5">
        <v>0</v>
      </c>
      <c r="N651" s="5">
        <v>1770</v>
      </c>
      <c r="O651" s="5" t="str">
        <f t="shared" ca="1" si="10"/>
        <v>Supplier 23</v>
      </c>
      <c r="P651" s="20" t="str">
        <f ca="1">IFERROR(VLOOKUP(O651,EMAILS!B:C,2,FALSE),"NOT FOUND IN EMAILS")</f>
        <v>supplier@gmail.com</v>
      </c>
      <c r="Q651" t="str">
        <f ca="1">""&amp;IFERROR(VLOOKUP(O651,EMAILS!B:D,3,FALSE),"NOT FOUND IN EMAILS")</f>
        <v/>
      </c>
      <c r="R651" t="str">
        <f ca="1">""&amp;IFERROR(VLOOKUP(O651,EMAILS!B:E,4,FALSE),"NO T FOUND IN EMAILS")</f>
        <v/>
      </c>
    </row>
    <row r="652" spans="2:18" x14ac:dyDescent="0.25">
      <c r="B652" s="5" t="s">
        <v>654</v>
      </c>
      <c r="C652" s="5" t="s">
        <v>4794</v>
      </c>
      <c r="D652" s="5">
        <v>12</v>
      </c>
      <c r="E652" s="5">
        <v>36</v>
      </c>
      <c r="F652" s="5">
        <v>6</v>
      </c>
      <c r="G652" s="5">
        <v>6</v>
      </c>
      <c r="H652" s="5">
        <v>12</v>
      </c>
      <c r="I652" s="5">
        <v>0</v>
      </c>
      <c r="J652" s="5">
        <v>0</v>
      </c>
      <c r="K652" s="5">
        <v>0</v>
      </c>
      <c r="L652" s="5">
        <v>0</v>
      </c>
      <c r="M652" s="5">
        <v>0</v>
      </c>
      <c r="N652" s="5">
        <v>2470</v>
      </c>
      <c r="O652" s="5" t="str">
        <f t="shared" ca="1" si="10"/>
        <v>Supplier 63</v>
      </c>
      <c r="P652" s="20" t="str">
        <f ca="1">IFERROR(VLOOKUP(O652,EMAILS!B:C,2,FALSE),"NOT FOUND IN EMAILS")</f>
        <v>supplier@gmail.com</v>
      </c>
      <c r="Q652" t="str">
        <f ca="1">""&amp;IFERROR(VLOOKUP(O652,EMAILS!B:D,3,FALSE),"NOT FOUND IN EMAILS")</f>
        <v/>
      </c>
      <c r="R652" t="str">
        <f ca="1">""&amp;IFERROR(VLOOKUP(O652,EMAILS!B:E,4,FALSE),"NO T FOUND IN EMAILS")</f>
        <v/>
      </c>
    </row>
    <row r="653" spans="2:18" x14ac:dyDescent="0.25">
      <c r="B653" s="5" t="s">
        <v>655</v>
      </c>
      <c r="C653" s="5" t="s">
        <v>4795</v>
      </c>
      <c r="D653" s="5">
        <v>12</v>
      </c>
      <c r="E653" s="5">
        <v>36</v>
      </c>
      <c r="F653" s="5">
        <v>6</v>
      </c>
      <c r="G653" s="5">
        <v>12</v>
      </c>
      <c r="H653" s="5">
        <v>12</v>
      </c>
      <c r="I653" s="5">
        <v>0</v>
      </c>
      <c r="J653" s="5">
        <v>0</v>
      </c>
      <c r="K653" s="5">
        <v>0</v>
      </c>
      <c r="L653" s="5">
        <v>0</v>
      </c>
      <c r="M653" s="5">
        <v>0</v>
      </c>
      <c r="N653" s="5">
        <v>585</v>
      </c>
      <c r="O653" s="5" t="str">
        <f t="shared" ca="1" si="10"/>
        <v>Supplier 64</v>
      </c>
      <c r="P653" s="20" t="str">
        <f ca="1">IFERROR(VLOOKUP(O653,EMAILS!B:C,2,FALSE),"NOT FOUND IN EMAILS")</f>
        <v>supplier@gmail.com</v>
      </c>
      <c r="Q653" t="str">
        <f ca="1">""&amp;IFERROR(VLOOKUP(O653,EMAILS!B:D,3,FALSE),"NOT FOUND IN EMAILS")</f>
        <v/>
      </c>
      <c r="R653" t="str">
        <f ca="1">""&amp;IFERROR(VLOOKUP(O653,EMAILS!B:E,4,FALSE),"NO T FOUND IN EMAILS")</f>
        <v/>
      </c>
    </row>
    <row r="654" spans="2:18" x14ac:dyDescent="0.25">
      <c r="B654" s="5" t="s">
        <v>656</v>
      </c>
      <c r="C654" s="5" t="s">
        <v>4796</v>
      </c>
      <c r="D654" s="5">
        <v>6</v>
      </c>
      <c r="E654" s="5">
        <v>18</v>
      </c>
      <c r="F654" s="5">
        <v>3</v>
      </c>
      <c r="G654" s="5">
        <v>6</v>
      </c>
      <c r="H654" s="5">
        <v>6</v>
      </c>
      <c r="I654" s="5">
        <v>0</v>
      </c>
      <c r="J654" s="5">
        <v>0</v>
      </c>
      <c r="K654" s="5">
        <v>0</v>
      </c>
      <c r="L654" s="5">
        <v>0</v>
      </c>
      <c r="M654" s="5">
        <v>0</v>
      </c>
      <c r="N654" s="5">
        <v>0</v>
      </c>
      <c r="O654" s="5" t="str">
        <f t="shared" ca="1" si="10"/>
        <v>Supplier 55</v>
      </c>
      <c r="P654" s="20" t="str">
        <f ca="1">IFERROR(VLOOKUP(O654,EMAILS!B:C,2,FALSE),"NOT FOUND IN EMAILS")</f>
        <v>supplier@gmail.com</v>
      </c>
      <c r="Q654" t="str">
        <f ca="1">""&amp;IFERROR(VLOOKUP(O654,EMAILS!B:D,3,FALSE),"NOT FOUND IN EMAILS")</f>
        <v/>
      </c>
      <c r="R654" t="str">
        <f ca="1">""&amp;IFERROR(VLOOKUP(O654,EMAILS!B:E,4,FALSE),"NO T FOUND IN EMAILS")</f>
        <v/>
      </c>
    </row>
    <row r="655" spans="2:18" x14ac:dyDescent="0.25">
      <c r="B655" s="5" t="s">
        <v>657</v>
      </c>
      <c r="C655" s="5" t="s">
        <v>4797</v>
      </c>
      <c r="D655" s="5">
        <v>16</v>
      </c>
      <c r="E655" s="5">
        <v>48</v>
      </c>
      <c r="F655" s="5">
        <v>8</v>
      </c>
      <c r="G655" s="5">
        <v>16</v>
      </c>
      <c r="H655" s="5">
        <v>16</v>
      </c>
      <c r="I655" s="5">
        <v>0</v>
      </c>
      <c r="J655" s="5">
        <v>0</v>
      </c>
      <c r="K655" s="5">
        <v>0</v>
      </c>
      <c r="L655" s="5">
        <v>0</v>
      </c>
      <c r="M655" s="5">
        <v>0</v>
      </c>
      <c r="N655" s="5">
        <v>0</v>
      </c>
      <c r="O655" s="5" t="str">
        <f t="shared" ca="1" si="10"/>
        <v>Supplier 144</v>
      </c>
      <c r="P655" s="20" t="str">
        <f ca="1">IFERROR(VLOOKUP(O655,EMAILS!B:C,2,FALSE),"NOT FOUND IN EMAILS")</f>
        <v>supplier@gmail.com</v>
      </c>
      <c r="Q655" t="str">
        <f ca="1">""&amp;IFERROR(VLOOKUP(O655,EMAILS!B:D,3,FALSE),"NOT FOUND IN EMAILS")</f>
        <v/>
      </c>
      <c r="R655" t="str">
        <f ca="1">""&amp;IFERROR(VLOOKUP(O655,EMAILS!B:E,4,FALSE),"NO T FOUND IN EMAILS")</f>
        <v/>
      </c>
    </row>
    <row r="656" spans="2:18" x14ac:dyDescent="0.25">
      <c r="B656" s="5" t="s">
        <v>658</v>
      </c>
      <c r="C656" s="5" t="s">
        <v>4798</v>
      </c>
      <c r="D656" s="5">
        <v>8</v>
      </c>
      <c r="E656" s="5">
        <v>24</v>
      </c>
      <c r="F656" s="5">
        <v>4</v>
      </c>
      <c r="G656" s="5">
        <v>8</v>
      </c>
      <c r="H656" s="5">
        <v>8</v>
      </c>
      <c r="I656" s="5">
        <v>0</v>
      </c>
      <c r="J656" s="5">
        <v>0</v>
      </c>
      <c r="K656" s="5">
        <v>0</v>
      </c>
      <c r="L656" s="5">
        <v>0</v>
      </c>
      <c r="M656" s="5">
        <v>0</v>
      </c>
      <c r="N656" s="5">
        <v>900</v>
      </c>
      <c r="O656" s="5" t="str">
        <f t="shared" ca="1" si="10"/>
        <v>Supplier 90</v>
      </c>
      <c r="P656" s="20" t="str">
        <f ca="1">IFERROR(VLOOKUP(O656,EMAILS!B:C,2,FALSE),"NOT FOUND IN EMAILS")</f>
        <v>supplier@gmail.com</v>
      </c>
      <c r="Q656" t="str">
        <f ca="1">""&amp;IFERROR(VLOOKUP(O656,EMAILS!B:D,3,FALSE),"NOT FOUND IN EMAILS")</f>
        <v/>
      </c>
      <c r="R656" t="str">
        <f ca="1">""&amp;IFERROR(VLOOKUP(O656,EMAILS!B:E,4,FALSE),"NO T FOUND IN EMAILS")</f>
        <v/>
      </c>
    </row>
    <row r="657" spans="2:18" x14ac:dyDescent="0.25">
      <c r="B657" s="5" t="s">
        <v>659</v>
      </c>
      <c r="C657" s="5" t="s">
        <v>4799</v>
      </c>
      <c r="D657" s="5">
        <v>1</v>
      </c>
      <c r="E657" s="5">
        <v>0</v>
      </c>
      <c r="F657" s="5">
        <v>0</v>
      </c>
      <c r="G657" s="5">
        <v>0</v>
      </c>
      <c r="H657" s="5">
        <v>0</v>
      </c>
      <c r="I657" s="5">
        <v>0</v>
      </c>
      <c r="J657" s="5">
        <v>0</v>
      </c>
      <c r="K657" s="5">
        <v>0</v>
      </c>
      <c r="L657" s="5">
        <v>0</v>
      </c>
      <c r="M657" s="5">
        <v>0</v>
      </c>
      <c r="N657" s="5">
        <v>250</v>
      </c>
      <c r="O657" s="5" t="str">
        <f t="shared" ca="1" si="10"/>
        <v>Supplier 102</v>
      </c>
      <c r="P657" s="20" t="str">
        <f ca="1">IFERROR(VLOOKUP(O657,EMAILS!B:C,2,FALSE),"NOT FOUND IN EMAILS")</f>
        <v>supplier@gmail.com</v>
      </c>
      <c r="Q657" t="str">
        <f ca="1">""&amp;IFERROR(VLOOKUP(O657,EMAILS!B:D,3,FALSE),"NOT FOUND IN EMAILS")</f>
        <v/>
      </c>
      <c r="R657" t="str">
        <f ca="1">""&amp;IFERROR(VLOOKUP(O657,EMAILS!B:E,4,FALSE),"NO T FOUND IN EMAILS")</f>
        <v/>
      </c>
    </row>
    <row r="658" spans="2:18" x14ac:dyDescent="0.25">
      <c r="B658" s="5" t="s">
        <v>660</v>
      </c>
      <c r="C658" s="5" t="s">
        <v>4800</v>
      </c>
      <c r="D658" s="5">
        <v>16</v>
      </c>
      <c r="E658" s="5">
        <v>0</v>
      </c>
      <c r="F658" s="5">
        <v>16</v>
      </c>
      <c r="G658" s="5">
        <v>16</v>
      </c>
      <c r="H658" s="5">
        <v>0</v>
      </c>
      <c r="I658" s="5">
        <v>0</v>
      </c>
      <c r="J658" s="5">
        <v>0</v>
      </c>
      <c r="K658" s="5">
        <v>0</v>
      </c>
      <c r="L658" s="5">
        <v>0</v>
      </c>
      <c r="M658" s="5">
        <v>0</v>
      </c>
      <c r="N658" s="5">
        <v>1125</v>
      </c>
      <c r="O658" s="5" t="str">
        <f t="shared" ca="1" si="10"/>
        <v>Supplier 80</v>
      </c>
      <c r="P658" s="20" t="str">
        <f ca="1">IFERROR(VLOOKUP(O658,EMAILS!B:C,2,FALSE),"NOT FOUND IN EMAILS")</f>
        <v>supplier@gmail.com</v>
      </c>
      <c r="Q658" t="str">
        <f ca="1">""&amp;IFERROR(VLOOKUP(O658,EMAILS!B:D,3,FALSE),"NOT FOUND IN EMAILS")</f>
        <v/>
      </c>
      <c r="R658" t="str">
        <f ca="1">""&amp;IFERROR(VLOOKUP(O658,EMAILS!B:E,4,FALSE),"NO T FOUND IN EMAILS")</f>
        <v/>
      </c>
    </row>
    <row r="659" spans="2:18" x14ac:dyDescent="0.25">
      <c r="B659" s="5" t="s">
        <v>661</v>
      </c>
      <c r="C659" s="5" t="s">
        <v>4801</v>
      </c>
      <c r="D659" s="5">
        <v>122</v>
      </c>
      <c r="E659" s="5">
        <v>0</v>
      </c>
      <c r="F659" s="5">
        <v>80</v>
      </c>
      <c r="G659" s="5">
        <v>90</v>
      </c>
      <c r="H659" s="5">
        <v>0</v>
      </c>
      <c r="I659" s="5">
        <v>0</v>
      </c>
      <c r="J659" s="5">
        <v>0</v>
      </c>
      <c r="K659" s="5">
        <v>0</v>
      </c>
      <c r="L659" s="5">
        <v>0</v>
      </c>
      <c r="M659" s="5">
        <v>0</v>
      </c>
      <c r="N659" s="5">
        <v>100</v>
      </c>
      <c r="O659" s="5" t="str">
        <f t="shared" ca="1" si="10"/>
        <v>Supplier 118</v>
      </c>
      <c r="P659" s="20" t="str">
        <f ca="1">IFERROR(VLOOKUP(O659,EMAILS!B:C,2,FALSE),"NOT FOUND IN EMAILS")</f>
        <v>supplier@gmail.com</v>
      </c>
      <c r="Q659" t="str">
        <f ca="1">""&amp;IFERROR(VLOOKUP(O659,EMAILS!B:D,3,FALSE),"NOT FOUND IN EMAILS")</f>
        <v/>
      </c>
      <c r="R659" t="str">
        <f ca="1">""&amp;IFERROR(VLOOKUP(O659,EMAILS!B:E,4,FALSE),"NO T FOUND IN EMAILS")</f>
        <v/>
      </c>
    </row>
    <row r="660" spans="2:18" x14ac:dyDescent="0.25">
      <c r="B660" s="5" t="s">
        <v>662</v>
      </c>
      <c r="C660" s="5" t="s">
        <v>4802</v>
      </c>
      <c r="D660" s="5">
        <v>4</v>
      </c>
      <c r="E660" s="5">
        <v>0</v>
      </c>
      <c r="F660" s="5">
        <v>0</v>
      </c>
      <c r="G660" s="5">
        <v>4</v>
      </c>
      <c r="H660" s="5">
        <v>0</v>
      </c>
      <c r="I660" s="5">
        <v>0</v>
      </c>
      <c r="J660" s="5">
        <v>0</v>
      </c>
      <c r="K660" s="5">
        <v>0</v>
      </c>
      <c r="L660" s="5">
        <v>0</v>
      </c>
      <c r="M660" s="5">
        <v>0</v>
      </c>
      <c r="N660" s="5">
        <v>2840</v>
      </c>
      <c r="O660" s="5" t="str">
        <f t="shared" ca="1" si="10"/>
        <v>Supplier 120</v>
      </c>
      <c r="P660" s="20" t="str">
        <f ca="1">IFERROR(VLOOKUP(O660,EMAILS!B:C,2,FALSE),"NOT FOUND IN EMAILS")</f>
        <v>supplier@gmail.com</v>
      </c>
      <c r="Q660" t="str">
        <f ca="1">""&amp;IFERROR(VLOOKUP(O660,EMAILS!B:D,3,FALSE),"NOT FOUND IN EMAILS")</f>
        <v/>
      </c>
      <c r="R660" t="str">
        <f ca="1">""&amp;IFERROR(VLOOKUP(O660,EMAILS!B:E,4,FALSE),"NO T FOUND IN EMAILS")</f>
        <v/>
      </c>
    </row>
    <row r="661" spans="2:18" x14ac:dyDescent="0.25">
      <c r="B661" s="5" t="s">
        <v>663</v>
      </c>
      <c r="C661" s="5" t="s">
        <v>4803</v>
      </c>
      <c r="D661" s="5">
        <v>214</v>
      </c>
      <c r="E661" s="5">
        <v>0</v>
      </c>
      <c r="F661" s="5">
        <v>118</v>
      </c>
      <c r="G661" s="5">
        <v>158</v>
      </c>
      <c r="H661" s="5">
        <v>0</v>
      </c>
      <c r="I661" s="5">
        <v>0</v>
      </c>
      <c r="J661" s="5">
        <v>0</v>
      </c>
      <c r="K661" s="5">
        <v>0</v>
      </c>
      <c r="L661" s="5">
        <v>0</v>
      </c>
      <c r="M661" s="5">
        <v>0</v>
      </c>
      <c r="N661" s="5">
        <v>1410</v>
      </c>
      <c r="O661" s="5" t="str">
        <f t="shared" ca="1" si="10"/>
        <v>Supplier 41</v>
      </c>
      <c r="P661" s="20" t="str">
        <f ca="1">IFERROR(VLOOKUP(O661,EMAILS!B:C,2,FALSE),"NOT FOUND IN EMAILS")</f>
        <v>supplier@gmail.com</v>
      </c>
      <c r="Q661" t="str">
        <f ca="1">""&amp;IFERROR(VLOOKUP(O661,EMAILS!B:D,3,FALSE),"NOT FOUND IN EMAILS")</f>
        <v/>
      </c>
      <c r="R661" t="str">
        <f ca="1">""&amp;IFERROR(VLOOKUP(O661,EMAILS!B:E,4,FALSE),"NO T FOUND IN EMAILS")</f>
        <v/>
      </c>
    </row>
    <row r="662" spans="2:18" x14ac:dyDescent="0.25">
      <c r="B662" s="5" t="s">
        <v>664</v>
      </c>
      <c r="C662" s="5" t="s">
        <v>4804</v>
      </c>
      <c r="D662" s="5">
        <v>130</v>
      </c>
      <c r="E662" s="5">
        <v>0</v>
      </c>
      <c r="F662" s="5">
        <v>96</v>
      </c>
      <c r="G662" s="5">
        <v>96</v>
      </c>
      <c r="H662" s="5">
        <v>0</v>
      </c>
      <c r="I662" s="5">
        <v>0</v>
      </c>
      <c r="J662" s="5">
        <v>0</v>
      </c>
      <c r="K662" s="5">
        <v>0</v>
      </c>
      <c r="L662" s="5">
        <v>0</v>
      </c>
      <c r="M662" s="5">
        <v>0</v>
      </c>
      <c r="N662" s="5">
        <v>125</v>
      </c>
      <c r="O662" s="5" t="str">
        <f t="shared" ca="1" si="10"/>
        <v>Supplier 145</v>
      </c>
      <c r="P662" s="20" t="str">
        <f ca="1">IFERROR(VLOOKUP(O662,EMAILS!B:C,2,FALSE),"NOT FOUND IN EMAILS")</f>
        <v>supplier@gmail.com</v>
      </c>
      <c r="Q662" t="str">
        <f ca="1">""&amp;IFERROR(VLOOKUP(O662,EMAILS!B:D,3,FALSE),"NOT FOUND IN EMAILS")</f>
        <v/>
      </c>
      <c r="R662" t="str">
        <f ca="1">""&amp;IFERROR(VLOOKUP(O662,EMAILS!B:E,4,FALSE),"NO T FOUND IN EMAILS")</f>
        <v/>
      </c>
    </row>
    <row r="663" spans="2:18" x14ac:dyDescent="0.25">
      <c r="B663" s="5" t="s">
        <v>665</v>
      </c>
      <c r="C663" s="5" t="s">
        <v>4805</v>
      </c>
      <c r="D663" s="5">
        <v>16</v>
      </c>
      <c r="E663" s="5">
        <v>0</v>
      </c>
      <c r="F663" s="5">
        <v>16</v>
      </c>
      <c r="G663" s="5">
        <v>16</v>
      </c>
      <c r="H663" s="5">
        <v>0</v>
      </c>
      <c r="I663" s="5">
        <v>0</v>
      </c>
      <c r="J663" s="5">
        <v>0</v>
      </c>
      <c r="K663" s="5">
        <v>0</v>
      </c>
      <c r="L663" s="5">
        <v>0</v>
      </c>
      <c r="M663" s="5">
        <v>0</v>
      </c>
      <c r="N663" s="5">
        <v>125</v>
      </c>
      <c r="O663" s="5" t="str">
        <f t="shared" ca="1" si="10"/>
        <v>Supplier 16</v>
      </c>
      <c r="P663" s="20" t="str">
        <f ca="1">IFERROR(VLOOKUP(O663,EMAILS!B:C,2,FALSE),"NOT FOUND IN EMAILS")</f>
        <v>supplier@gmail.com</v>
      </c>
      <c r="Q663" t="str">
        <f ca="1">""&amp;IFERROR(VLOOKUP(O663,EMAILS!B:D,3,FALSE),"NOT FOUND IN EMAILS")</f>
        <v>supplier_logistics@gmail.com</v>
      </c>
      <c r="R663" t="str">
        <f ca="1">""&amp;IFERROR(VLOOKUP(O663,EMAILS!B:E,4,FALSE),"NO T FOUND IN EMAILS")</f>
        <v/>
      </c>
    </row>
    <row r="664" spans="2:18" x14ac:dyDescent="0.25">
      <c r="B664" s="5" t="s">
        <v>666</v>
      </c>
      <c r="C664" s="5" t="s">
        <v>4806</v>
      </c>
      <c r="D664" s="5">
        <v>2</v>
      </c>
      <c r="E664" s="5">
        <v>0</v>
      </c>
      <c r="F664" s="5">
        <v>0</v>
      </c>
      <c r="G664" s="5">
        <v>2</v>
      </c>
      <c r="H664" s="5">
        <v>0</v>
      </c>
      <c r="I664" s="5">
        <v>0</v>
      </c>
      <c r="J664" s="5">
        <v>0</v>
      </c>
      <c r="K664" s="5">
        <v>0</v>
      </c>
      <c r="L664" s="5">
        <v>0</v>
      </c>
      <c r="M664" s="5">
        <v>0</v>
      </c>
      <c r="N664" s="5">
        <v>940</v>
      </c>
      <c r="O664" s="5" t="str">
        <f t="shared" ca="1" si="10"/>
        <v>Supplier 188</v>
      </c>
      <c r="P664" s="20" t="str">
        <f ca="1">IFERROR(VLOOKUP(O664,EMAILS!B:C,2,FALSE),"NOT FOUND IN EMAILS")</f>
        <v>supplier@gmail.com</v>
      </c>
      <c r="Q664" t="str">
        <f ca="1">""&amp;IFERROR(VLOOKUP(O664,EMAILS!B:D,3,FALSE),"NOT FOUND IN EMAILS")</f>
        <v/>
      </c>
      <c r="R664" t="str">
        <f ca="1">""&amp;IFERROR(VLOOKUP(O664,EMAILS!B:E,4,FALSE),"NO T FOUND IN EMAILS")</f>
        <v/>
      </c>
    </row>
    <row r="665" spans="2:18" x14ac:dyDescent="0.25">
      <c r="B665" s="5" t="s">
        <v>667</v>
      </c>
      <c r="C665" s="5" t="s">
        <v>4807</v>
      </c>
      <c r="D665" s="5">
        <v>118</v>
      </c>
      <c r="E665" s="5">
        <v>0</v>
      </c>
      <c r="F665" s="5">
        <v>80</v>
      </c>
      <c r="G665" s="5">
        <v>86</v>
      </c>
      <c r="H665" s="5">
        <v>0</v>
      </c>
      <c r="I665" s="5">
        <v>0</v>
      </c>
      <c r="J665" s="5">
        <v>0</v>
      </c>
      <c r="K665" s="5">
        <v>0</v>
      </c>
      <c r="L665" s="5">
        <v>0</v>
      </c>
      <c r="M665" s="5">
        <v>0</v>
      </c>
      <c r="N665" s="5">
        <v>1800</v>
      </c>
      <c r="O665" s="5" t="str">
        <f t="shared" ca="1" si="10"/>
        <v>Supplier 198</v>
      </c>
      <c r="P665" s="20" t="str">
        <f ca="1">IFERROR(VLOOKUP(O665,EMAILS!B:C,2,FALSE),"NOT FOUND IN EMAILS")</f>
        <v>supplier@gmail.com</v>
      </c>
      <c r="Q665" t="str">
        <f ca="1">""&amp;IFERROR(VLOOKUP(O665,EMAILS!B:D,3,FALSE),"NOT FOUND IN EMAILS")</f>
        <v/>
      </c>
      <c r="R665" t="str">
        <f ca="1">""&amp;IFERROR(VLOOKUP(O665,EMAILS!B:E,4,FALSE),"NO T FOUND IN EMAILS")</f>
        <v/>
      </c>
    </row>
    <row r="666" spans="2:18" x14ac:dyDescent="0.25">
      <c r="B666" s="5" t="s">
        <v>668</v>
      </c>
      <c r="C666" s="5" t="s">
        <v>4808</v>
      </c>
      <c r="D666" s="5">
        <v>214</v>
      </c>
      <c r="E666" s="5">
        <v>0</v>
      </c>
      <c r="F666" s="5">
        <v>118</v>
      </c>
      <c r="G666" s="5">
        <v>158</v>
      </c>
      <c r="H666" s="5">
        <v>0</v>
      </c>
      <c r="I666" s="5">
        <v>0</v>
      </c>
      <c r="J666" s="5">
        <v>0</v>
      </c>
      <c r="K666" s="5">
        <v>0</v>
      </c>
      <c r="L666" s="5">
        <v>0</v>
      </c>
      <c r="M666" s="5">
        <v>0</v>
      </c>
      <c r="N666" s="5">
        <v>800</v>
      </c>
      <c r="O666" s="5" t="str">
        <f t="shared" ca="1" si="10"/>
        <v>Supplier 121</v>
      </c>
      <c r="P666" s="20" t="str">
        <f ca="1">IFERROR(VLOOKUP(O666,EMAILS!B:C,2,FALSE),"NOT FOUND IN EMAILS")</f>
        <v>supplier@gmail.com</v>
      </c>
      <c r="Q666" t="str">
        <f ca="1">""&amp;IFERROR(VLOOKUP(O666,EMAILS!B:D,3,FALSE),"NOT FOUND IN EMAILS")</f>
        <v/>
      </c>
      <c r="R666" t="str">
        <f ca="1">""&amp;IFERROR(VLOOKUP(O666,EMAILS!B:E,4,FALSE),"NO T FOUND IN EMAILS")</f>
        <v/>
      </c>
    </row>
    <row r="667" spans="2:18" x14ac:dyDescent="0.25">
      <c r="B667" s="5" t="s">
        <v>669</v>
      </c>
      <c r="C667" s="5" t="s">
        <v>4809</v>
      </c>
      <c r="D667" s="5">
        <v>112</v>
      </c>
      <c r="E667" s="5">
        <v>0</v>
      </c>
      <c r="F667" s="5">
        <v>82</v>
      </c>
      <c r="G667" s="5">
        <v>82</v>
      </c>
      <c r="H667" s="5">
        <v>0</v>
      </c>
      <c r="I667" s="5">
        <v>0</v>
      </c>
      <c r="J667" s="5">
        <v>0</v>
      </c>
      <c r="K667" s="5">
        <v>0</v>
      </c>
      <c r="L667" s="5">
        <v>0</v>
      </c>
      <c r="M667" s="5">
        <v>0</v>
      </c>
      <c r="N667" s="5">
        <v>200</v>
      </c>
      <c r="O667" s="5" t="str">
        <f t="shared" ca="1" si="10"/>
        <v>Supplier 137</v>
      </c>
      <c r="P667" s="20" t="str">
        <f ca="1">IFERROR(VLOOKUP(O667,EMAILS!B:C,2,FALSE),"NOT FOUND IN EMAILS")</f>
        <v>supplier@gmail.com</v>
      </c>
      <c r="Q667" t="str">
        <f ca="1">""&amp;IFERROR(VLOOKUP(O667,EMAILS!B:D,3,FALSE),"NOT FOUND IN EMAILS")</f>
        <v/>
      </c>
      <c r="R667" t="str">
        <f ca="1">""&amp;IFERROR(VLOOKUP(O667,EMAILS!B:E,4,FALSE),"NO T FOUND IN EMAILS")</f>
        <v/>
      </c>
    </row>
    <row r="668" spans="2:18" x14ac:dyDescent="0.25">
      <c r="B668" s="5" t="s">
        <v>670</v>
      </c>
      <c r="C668" s="5" t="s">
        <v>4810</v>
      </c>
      <c r="D668" s="5">
        <v>4</v>
      </c>
      <c r="E668" s="5">
        <v>0</v>
      </c>
      <c r="F668" s="5">
        <v>0</v>
      </c>
      <c r="G668" s="5">
        <v>4</v>
      </c>
      <c r="H668" s="5">
        <v>0</v>
      </c>
      <c r="I668" s="5">
        <v>0</v>
      </c>
      <c r="J668" s="5">
        <v>0</v>
      </c>
      <c r="K668" s="5">
        <v>0</v>
      </c>
      <c r="L668" s="5">
        <v>0</v>
      </c>
      <c r="M668" s="5">
        <v>0</v>
      </c>
      <c r="N668" s="5">
        <v>1000</v>
      </c>
      <c r="O668" s="5" t="str">
        <f t="shared" ca="1" si="10"/>
        <v>Supplier 191</v>
      </c>
      <c r="P668" s="20" t="str">
        <f ca="1">IFERROR(VLOOKUP(O668,EMAILS!B:C,2,FALSE),"NOT FOUND IN EMAILS")</f>
        <v>supplier@gmail.com</v>
      </c>
      <c r="Q668" t="str">
        <f ca="1">""&amp;IFERROR(VLOOKUP(O668,EMAILS!B:D,3,FALSE),"NOT FOUND IN EMAILS")</f>
        <v/>
      </c>
      <c r="R668" t="str">
        <f ca="1">""&amp;IFERROR(VLOOKUP(O668,EMAILS!B:E,4,FALSE),"NO T FOUND IN EMAILS")</f>
        <v/>
      </c>
    </row>
    <row r="669" spans="2:18" x14ac:dyDescent="0.25">
      <c r="B669" s="5" t="s">
        <v>671</v>
      </c>
      <c r="C669" s="5" t="s">
        <v>4811</v>
      </c>
      <c r="D669" s="5">
        <v>96</v>
      </c>
      <c r="E669" s="5">
        <v>0</v>
      </c>
      <c r="F669" s="5">
        <v>96</v>
      </c>
      <c r="G669" s="5">
        <v>96</v>
      </c>
      <c r="H669" s="5">
        <v>0</v>
      </c>
      <c r="I669" s="5">
        <v>0</v>
      </c>
      <c r="J669" s="5">
        <v>0</v>
      </c>
      <c r="K669" s="5">
        <v>0</v>
      </c>
      <c r="L669" s="5">
        <v>0</v>
      </c>
      <c r="M669" s="5">
        <v>0</v>
      </c>
      <c r="N669" s="5">
        <v>500</v>
      </c>
      <c r="O669" s="5" t="str">
        <f t="shared" ca="1" si="10"/>
        <v>Supplier 7</v>
      </c>
      <c r="P669" s="20" t="str">
        <f ca="1">IFERROR(VLOOKUP(O669,EMAILS!B:C,2,FALSE),"NOT FOUND IN EMAILS")</f>
        <v>supplier@gmail.com</v>
      </c>
      <c r="Q669" t="str">
        <f ca="1">""&amp;IFERROR(VLOOKUP(O669,EMAILS!B:D,3,FALSE),"NOT FOUND IN EMAILS")</f>
        <v>supplier_logistics@gmail.com</v>
      </c>
      <c r="R669" t="str">
        <f ca="1">""&amp;IFERROR(VLOOKUP(O669,EMAILS!B:E,4,FALSE),"NO T FOUND IN EMAILS")</f>
        <v/>
      </c>
    </row>
    <row r="670" spans="2:18" x14ac:dyDescent="0.25">
      <c r="B670" s="5" t="s">
        <v>672</v>
      </c>
      <c r="C670" s="5" t="s">
        <v>4812</v>
      </c>
      <c r="D670" s="5">
        <v>344</v>
      </c>
      <c r="E670" s="5">
        <v>0</v>
      </c>
      <c r="F670" s="5">
        <v>0</v>
      </c>
      <c r="G670" s="5">
        <v>0</v>
      </c>
      <c r="H670" s="5">
        <v>0</v>
      </c>
      <c r="I670" s="5">
        <v>0</v>
      </c>
      <c r="J670" s="5">
        <v>0</v>
      </c>
      <c r="K670" s="5">
        <v>0</v>
      </c>
      <c r="L670" s="5">
        <v>0</v>
      </c>
      <c r="M670" s="5">
        <v>0</v>
      </c>
      <c r="N670" s="5">
        <v>3000</v>
      </c>
      <c r="O670" s="5" t="str">
        <f t="shared" ca="1" si="10"/>
        <v>Supplier 142</v>
      </c>
      <c r="P670" s="20" t="str">
        <f ca="1">IFERROR(VLOOKUP(O670,EMAILS!B:C,2,FALSE),"NOT FOUND IN EMAILS")</f>
        <v>supplier@gmail.com</v>
      </c>
      <c r="Q670" t="str">
        <f ca="1">""&amp;IFERROR(VLOOKUP(O670,EMAILS!B:D,3,FALSE),"NOT FOUND IN EMAILS")</f>
        <v/>
      </c>
      <c r="R670" t="str">
        <f ca="1">""&amp;IFERROR(VLOOKUP(O670,EMAILS!B:E,4,FALSE),"NO T FOUND IN EMAILS")</f>
        <v/>
      </c>
    </row>
    <row r="671" spans="2:18" x14ac:dyDescent="0.25">
      <c r="B671" s="5" t="s">
        <v>673</v>
      </c>
      <c r="C671" s="5" t="s">
        <v>4813</v>
      </c>
      <c r="D671" s="5">
        <v>86</v>
      </c>
      <c r="E671" s="5">
        <v>0</v>
      </c>
      <c r="F671" s="5">
        <v>0</v>
      </c>
      <c r="G671" s="5">
        <v>0</v>
      </c>
      <c r="H671" s="5">
        <v>0</v>
      </c>
      <c r="I671" s="5">
        <v>0</v>
      </c>
      <c r="J671" s="5">
        <v>0</v>
      </c>
      <c r="K671" s="5">
        <v>0</v>
      </c>
      <c r="L671" s="5">
        <v>0</v>
      </c>
      <c r="M671" s="5">
        <v>0</v>
      </c>
      <c r="N671" s="5">
        <v>326</v>
      </c>
      <c r="O671" s="5" t="str">
        <f t="shared" ca="1" si="10"/>
        <v>Supplier 119</v>
      </c>
      <c r="P671" s="20" t="str">
        <f ca="1">IFERROR(VLOOKUP(O671,EMAILS!B:C,2,FALSE),"NOT FOUND IN EMAILS")</f>
        <v>supplier@gmail.com</v>
      </c>
      <c r="Q671" t="str">
        <f ca="1">""&amp;IFERROR(VLOOKUP(O671,EMAILS!B:D,3,FALSE),"NOT FOUND IN EMAILS")</f>
        <v/>
      </c>
      <c r="R671" t="str">
        <f ca="1">""&amp;IFERROR(VLOOKUP(O671,EMAILS!B:E,4,FALSE),"NO T FOUND IN EMAILS")</f>
        <v/>
      </c>
    </row>
    <row r="672" spans="2:18" x14ac:dyDescent="0.25">
      <c r="B672" s="5" t="s">
        <v>674</v>
      </c>
      <c r="C672" s="5" t="s">
        <v>4814</v>
      </c>
      <c r="D672" s="5">
        <v>406</v>
      </c>
      <c r="E672" s="5">
        <v>0</v>
      </c>
      <c r="F672" s="5">
        <v>210</v>
      </c>
      <c r="G672" s="5">
        <v>28</v>
      </c>
      <c r="H672" s="5">
        <v>18</v>
      </c>
      <c r="I672" s="5">
        <v>200</v>
      </c>
      <c r="J672" s="5">
        <v>12</v>
      </c>
      <c r="K672" s="5">
        <v>30</v>
      </c>
      <c r="L672" s="5">
        <v>0</v>
      </c>
      <c r="M672" s="5">
        <v>0</v>
      </c>
      <c r="N672" s="5">
        <v>37</v>
      </c>
      <c r="O672" s="5" t="str">
        <f t="shared" ca="1" si="10"/>
        <v>Supplier 69</v>
      </c>
      <c r="P672" s="20" t="str">
        <f ca="1">IFERROR(VLOOKUP(O672,EMAILS!B:C,2,FALSE),"NOT FOUND IN EMAILS")</f>
        <v>supplier@gmail.com</v>
      </c>
      <c r="Q672" t="str">
        <f ca="1">""&amp;IFERROR(VLOOKUP(O672,EMAILS!B:D,3,FALSE),"NOT FOUND IN EMAILS")</f>
        <v/>
      </c>
      <c r="R672" t="str">
        <f ca="1">""&amp;IFERROR(VLOOKUP(O672,EMAILS!B:E,4,FALSE),"NO T FOUND IN EMAILS")</f>
        <v/>
      </c>
    </row>
    <row r="673" spans="2:18" x14ac:dyDescent="0.25">
      <c r="B673" s="5" t="s">
        <v>675</v>
      </c>
      <c r="C673" s="5" t="s">
        <v>4815</v>
      </c>
      <c r="D673" s="5">
        <v>0</v>
      </c>
      <c r="E673" s="5">
        <v>0</v>
      </c>
      <c r="F673" s="5">
        <v>0</v>
      </c>
      <c r="G673" s="5">
        <v>0</v>
      </c>
      <c r="H673" s="5">
        <v>0</v>
      </c>
      <c r="I673" s="5">
        <v>0</v>
      </c>
      <c r="J673" s="5">
        <v>0</v>
      </c>
      <c r="K673" s="5">
        <v>0</v>
      </c>
      <c r="L673" s="5">
        <v>0</v>
      </c>
      <c r="M673" s="5">
        <v>0</v>
      </c>
      <c r="N673" s="5">
        <v>0</v>
      </c>
      <c r="O673" s="5" t="str">
        <f t="shared" ca="1" si="10"/>
        <v>Supplier 160</v>
      </c>
      <c r="P673" s="20" t="str">
        <f ca="1">IFERROR(VLOOKUP(O673,EMAILS!B:C,2,FALSE),"NOT FOUND IN EMAILS")</f>
        <v>supplier@gmail.com</v>
      </c>
      <c r="Q673" t="str">
        <f ca="1">""&amp;IFERROR(VLOOKUP(O673,EMAILS!B:D,3,FALSE),"NOT FOUND IN EMAILS")</f>
        <v/>
      </c>
      <c r="R673" t="str">
        <f ca="1">""&amp;IFERROR(VLOOKUP(O673,EMAILS!B:E,4,FALSE),"NO T FOUND IN EMAILS")</f>
        <v/>
      </c>
    </row>
    <row r="674" spans="2:18" x14ac:dyDescent="0.25">
      <c r="B674" s="5" t="s">
        <v>676</v>
      </c>
      <c r="C674" s="5" t="s">
        <v>4816</v>
      </c>
      <c r="D674" s="5">
        <v>0</v>
      </c>
      <c r="E674" s="5">
        <v>0</v>
      </c>
      <c r="F674" s="5">
        <v>0</v>
      </c>
      <c r="G674" s="5">
        <v>0</v>
      </c>
      <c r="H674" s="5">
        <v>0</v>
      </c>
      <c r="I674" s="5">
        <v>0</v>
      </c>
      <c r="J674" s="5">
        <v>0</v>
      </c>
      <c r="K674" s="5">
        <v>0</v>
      </c>
      <c r="L674" s="5">
        <v>0</v>
      </c>
      <c r="M674" s="5">
        <v>0</v>
      </c>
      <c r="N674" s="5">
        <v>5</v>
      </c>
      <c r="O674" s="5" t="str">
        <f t="shared" ca="1" si="10"/>
        <v>Supplier 86</v>
      </c>
      <c r="P674" s="20" t="str">
        <f ca="1">IFERROR(VLOOKUP(O674,EMAILS!B:C,2,FALSE),"NOT FOUND IN EMAILS")</f>
        <v>supplier@gmail.com</v>
      </c>
      <c r="Q674" t="str">
        <f ca="1">""&amp;IFERROR(VLOOKUP(O674,EMAILS!B:D,3,FALSE),"NOT FOUND IN EMAILS")</f>
        <v/>
      </c>
      <c r="R674" t="str">
        <f ca="1">""&amp;IFERROR(VLOOKUP(O674,EMAILS!B:E,4,FALSE),"NO T FOUND IN EMAILS")</f>
        <v/>
      </c>
    </row>
    <row r="675" spans="2:18" x14ac:dyDescent="0.25">
      <c r="B675" s="5" t="s">
        <v>677</v>
      </c>
      <c r="C675" s="5" t="s">
        <v>4817</v>
      </c>
      <c r="D675" s="5">
        <v>0</v>
      </c>
      <c r="E675" s="5">
        <v>0</v>
      </c>
      <c r="F675" s="5">
        <v>4</v>
      </c>
      <c r="G675" s="5">
        <v>4</v>
      </c>
      <c r="H675" s="5">
        <v>0</v>
      </c>
      <c r="I675" s="5">
        <v>0</v>
      </c>
      <c r="J675" s="5">
        <v>0</v>
      </c>
      <c r="K675" s="5">
        <v>6</v>
      </c>
      <c r="L675" s="5">
        <v>0</v>
      </c>
      <c r="M675" s="5">
        <v>0</v>
      </c>
      <c r="N675" s="5">
        <v>1132</v>
      </c>
      <c r="O675" s="5" t="str">
        <f t="shared" ca="1" si="10"/>
        <v>Supplier 22</v>
      </c>
      <c r="P675" s="20" t="str">
        <f ca="1">IFERROR(VLOOKUP(O675,EMAILS!B:C,2,FALSE),"NOT FOUND IN EMAILS")</f>
        <v>supplier@gmail.com</v>
      </c>
      <c r="Q675" t="str">
        <f ca="1">""&amp;IFERROR(VLOOKUP(O675,EMAILS!B:D,3,FALSE),"NOT FOUND IN EMAILS")</f>
        <v/>
      </c>
      <c r="R675" t="str">
        <f ca="1">""&amp;IFERROR(VLOOKUP(O675,EMAILS!B:E,4,FALSE),"NO T FOUND IN EMAILS")</f>
        <v/>
      </c>
    </row>
    <row r="676" spans="2:18" x14ac:dyDescent="0.25">
      <c r="B676" s="5" t="s">
        <v>678</v>
      </c>
      <c r="C676" s="5" t="s">
        <v>4818</v>
      </c>
      <c r="D676" s="5">
        <v>0</v>
      </c>
      <c r="E676" s="5">
        <v>0</v>
      </c>
      <c r="F676" s="5">
        <v>0</v>
      </c>
      <c r="G676" s="5">
        <v>0</v>
      </c>
      <c r="H676" s="5">
        <v>0</v>
      </c>
      <c r="I676" s="5">
        <v>0</v>
      </c>
      <c r="J676" s="5">
        <v>0</v>
      </c>
      <c r="K676" s="5">
        <v>0</v>
      </c>
      <c r="L676" s="5">
        <v>0</v>
      </c>
      <c r="M676" s="5">
        <v>0</v>
      </c>
      <c r="N676" s="5">
        <v>40</v>
      </c>
      <c r="O676" s="5" t="str">
        <f t="shared" ca="1" si="10"/>
        <v>Supplier 97</v>
      </c>
      <c r="P676" s="20" t="str">
        <f ca="1">IFERROR(VLOOKUP(O676,EMAILS!B:C,2,FALSE),"NOT FOUND IN EMAILS")</f>
        <v>supplier@gmail.com</v>
      </c>
      <c r="Q676" t="str">
        <f ca="1">""&amp;IFERROR(VLOOKUP(O676,EMAILS!B:D,3,FALSE),"NOT FOUND IN EMAILS")</f>
        <v/>
      </c>
      <c r="R676" t="str">
        <f ca="1">""&amp;IFERROR(VLOOKUP(O676,EMAILS!B:E,4,FALSE),"NO T FOUND IN EMAILS")</f>
        <v/>
      </c>
    </row>
    <row r="677" spans="2:18" x14ac:dyDescent="0.25">
      <c r="B677" s="5" t="s">
        <v>679</v>
      </c>
      <c r="C677" s="5" t="s">
        <v>4819</v>
      </c>
      <c r="D677" s="5">
        <v>12</v>
      </c>
      <c r="E677" s="5">
        <v>6</v>
      </c>
      <c r="F677" s="5">
        <v>12</v>
      </c>
      <c r="G677" s="5">
        <v>12</v>
      </c>
      <c r="H677" s="5">
        <v>12</v>
      </c>
      <c r="I677" s="5">
        <v>12</v>
      </c>
      <c r="J677" s="5">
        <v>12</v>
      </c>
      <c r="K677" s="5">
        <v>0</v>
      </c>
      <c r="L677" s="5">
        <v>0</v>
      </c>
      <c r="M677" s="5">
        <v>0</v>
      </c>
      <c r="N677" s="5">
        <v>40</v>
      </c>
      <c r="O677" s="5" t="str">
        <f t="shared" ca="1" si="10"/>
        <v>Supplier 66</v>
      </c>
      <c r="P677" s="20" t="str">
        <f ca="1">IFERROR(VLOOKUP(O677,EMAILS!B:C,2,FALSE),"NOT FOUND IN EMAILS")</f>
        <v>supplier@gmail.com</v>
      </c>
      <c r="Q677" t="str">
        <f ca="1">""&amp;IFERROR(VLOOKUP(O677,EMAILS!B:D,3,FALSE),"NOT FOUND IN EMAILS")</f>
        <v/>
      </c>
      <c r="R677" t="str">
        <f ca="1">""&amp;IFERROR(VLOOKUP(O677,EMAILS!B:E,4,FALSE),"NO T FOUND IN EMAILS")</f>
        <v/>
      </c>
    </row>
    <row r="678" spans="2:18" x14ac:dyDescent="0.25">
      <c r="B678" s="5" t="s">
        <v>680</v>
      </c>
      <c r="C678" s="5" t="s">
        <v>4820</v>
      </c>
      <c r="D678" s="5">
        <v>48</v>
      </c>
      <c r="E678" s="5">
        <v>24</v>
      </c>
      <c r="F678" s="5">
        <v>48</v>
      </c>
      <c r="G678" s="5">
        <v>48</v>
      </c>
      <c r="H678" s="5">
        <v>48</v>
      </c>
      <c r="I678" s="5">
        <v>48</v>
      </c>
      <c r="J678" s="5">
        <v>48</v>
      </c>
      <c r="K678" s="5">
        <v>0</v>
      </c>
      <c r="L678" s="5">
        <v>0</v>
      </c>
      <c r="M678" s="5">
        <v>0</v>
      </c>
      <c r="N678" s="5">
        <v>1200</v>
      </c>
      <c r="O678" s="5" t="str">
        <f t="shared" ca="1" si="10"/>
        <v>Supplier 39</v>
      </c>
      <c r="P678" s="20" t="str">
        <f ca="1">IFERROR(VLOOKUP(O678,EMAILS!B:C,2,FALSE),"NOT FOUND IN EMAILS")</f>
        <v>supplier@gmail.com</v>
      </c>
      <c r="Q678" t="str">
        <f ca="1">""&amp;IFERROR(VLOOKUP(O678,EMAILS!B:D,3,FALSE),"NOT FOUND IN EMAILS")</f>
        <v/>
      </c>
      <c r="R678" t="str">
        <f ca="1">""&amp;IFERROR(VLOOKUP(O678,EMAILS!B:E,4,FALSE),"NO T FOUND IN EMAILS")</f>
        <v/>
      </c>
    </row>
    <row r="679" spans="2:18" x14ac:dyDescent="0.25">
      <c r="B679" s="5" t="s">
        <v>681</v>
      </c>
      <c r="C679" s="5" t="s">
        <v>4821</v>
      </c>
      <c r="D679" s="5">
        <v>214</v>
      </c>
      <c r="E679" s="5">
        <v>162</v>
      </c>
      <c r="F679" s="5">
        <v>162</v>
      </c>
      <c r="G679" s="5">
        <v>162</v>
      </c>
      <c r="H679" s="5">
        <v>0</v>
      </c>
      <c r="I679" s="5">
        <v>0</v>
      </c>
      <c r="J679" s="5">
        <v>0</v>
      </c>
      <c r="K679" s="5">
        <v>0</v>
      </c>
      <c r="L679" s="5">
        <v>0</v>
      </c>
      <c r="M679" s="5">
        <v>0</v>
      </c>
      <c r="N679" s="5">
        <v>1000</v>
      </c>
      <c r="O679" s="5" t="str">
        <f t="shared" ca="1" si="10"/>
        <v>Supplier 37</v>
      </c>
      <c r="P679" s="20" t="str">
        <f ca="1">IFERROR(VLOOKUP(O679,EMAILS!B:C,2,FALSE),"NOT FOUND IN EMAILS")</f>
        <v>supplier@gmail.com</v>
      </c>
      <c r="Q679" t="str">
        <f ca="1">""&amp;IFERROR(VLOOKUP(O679,EMAILS!B:D,3,FALSE),"NOT FOUND IN EMAILS")</f>
        <v/>
      </c>
      <c r="R679" t="str">
        <f ca="1">""&amp;IFERROR(VLOOKUP(O679,EMAILS!B:E,4,FALSE),"NO T FOUND IN EMAILS")</f>
        <v/>
      </c>
    </row>
    <row r="680" spans="2:18" x14ac:dyDescent="0.25">
      <c r="B680" s="5" t="s">
        <v>682</v>
      </c>
      <c r="C680" s="5" t="s">
        <v>4822</v>
      </c>
      <c r="D680" s="5">
        <v>372</v>
      </c>
      <c r="E680" s="5">
        <v>507</v>
      </c>
      <c r="F680" s="5">
        <v>493</v>
      </c>
      <c r="G680" s="5">
        <v>584</v>
      </c>
      <c r="H680" s="5">
        <v>359</v>
      </c>
      <c r="I680" s="5">
        <v>339</v>
      </c>
      <c r="J680" s="5">
        <v>349</v>
      </c>
      <c r="K680" s="5">
        <v>272</v>
      </c>
      <c r="L680" s="5">
        <v>145</v>
      </c>
      <c r="M680" s="5">
        <v>0</v>
      </c>
      <c r="N680" s="5">
        <v>0</v>
      </c>
      <c r="O680" s="5" t="str">
        <f t="shared" ca="1" si="10"/>
        <v>Supplier 50</v>
      </c>
      <c r="P680" s="20" t="str">
        <f ca="1">IFERROR(VLOOKUP(O680,EMAILS!B:C,2,FALSE),"NOT FOUND IN EMAILS")</f>
        <v>supplier@gmail.com</v>
      </c>
      <c r="Q680" t="str">
        <f ca="1">""&amp;IFERROR(VLOOKUP(O680,EMAILS!B:D,3,FALSE),"NOT FOUND IN EMAILS")</f>
        <v/>
      </c>
      <c r="R680" t="str">
        <f ca="1">""&amp;IFERROR(VLOOKUP(O680,EMAILS!B:E,4,FALSE),"NO T FOUND IN EMAILS")</f>
        <v/>
      </c>
    </row>
    <row r="681" spans="2:18" x14ac:dyDescent="0.25">
      <c r="B681" s="5" t="s">
        <v>683</v>
      </c>
      <c r="C681" s="5" t="s">
        <v>4823</v>
      </c>
      <c r="D681" s="5">
        <v>0</v>
      </c>
      <c r="E681" s="5">
        <v>0</v>
      </c>
      <c r="F681" s="5">
        <v>0</v>
      </c>
      <c r="G681" s="5">
        <v>0</v>
      </c>
      <c r="H681" s="5">
        <v>0</v>
      </c>
      <c r="I681" s="5">
        <v>0</v>
      </c>
      <c r="J681" s="5">
        <v>0</v>
      </c>
      <c r="K681" s="5">
        <v>0</v>
      </c>
      <c r="L681" s="5">
        <v>0</v>
      </c>
      <c r="M681" s="5">
        <v>0</v>
      </c>
      <c r="N681" s="5">
        <v>0</v>
      </c>
      <c r="O681" s="5" t="str">
        <f t="shared" ca="1" si="10"/>
        <v>Supplier 33</v>
      </c>
      <c r="P681" s="20" t="str">
        <f ca="1">IFERROR(VLOOKUP(O681,EMAILS!B:C,2,FALSE),"NOT FOUND IN EMAILS")</f>
        <v>supplier@gmail.com</v>
      </c>
      <c r="Q681" t="str">
        <f ca="1">""&amp;IFERROR(VLOOKUP(O681,EMAILS!B:D,3,FALSE),"NOT FOUND IN EMAILS")</f>
        <v/>
      </c>
      <c r="R681" t="str">
        <f ca="1">""&amp;IFERROR(VLOOKUP(O681,EMAILS!B:E,4,FALSE),"NO T FOUND IN EMAILS")</f>
        <v/>
      </c>
    </row>
    <row r="682" spans="2:18" x14ac:dyDescent="0.25">
      <c r="B682" s="5" t="s">
        <v>684</v>
      </c>
      <c r="C682" s="5" t="s">
        <v>4824</v>
      </c>
      <c r="D682" s="5">
        <v>8</v>
      </c>
      <c r="E682" s="5">
        <v>14</v>
      </c>
      <c r="F682" s="5">
        <v>8</v>
      </c>
      <c r="G682" s="5">
        <v>8</v>
      </c>
      <c r="H682" s="5">
        <v>0</v>
      </c>
      <c r="I682" s="5">
        <v>0</v>
      </c>
      <c r="J682" s="5">
        <v>0</v>
      </c>
      <c r="K682" s="5">
        <v>0</v>
      </c>
      <c r="L682" s="5">
        <v>0</v>
      </c>
      <c r="M682" s="5">
        <v>0</v>
      </c>
      <c r="N682" s="5">
        <v>0</v>
      </c>
      <c r="O682" s="5" t="str">
        <f t="shared" ca="1" si="10"/>
        <v>Supplier 160</v>
      </c>
      <c r="P682" s="20" t="str">
        <f ca="1">IFERROR(VLOOKUP(O682,EMAILS!B:C,2,FALSE),"NOT FOUND IN EMAILS")</f>
        <v>supplier@gmail.com</v>
      </c>
      <c r="Q682" t="str">
        <f ca="1">""&amp;IFERROR(VLOOKUP(O682,EMAILS!B:D,3,FALSE),"NOT FOUND IN EMAILS")</f>
        <v/>
      </c>
      <c r="R682" t="str">
        <f ca="1">""&amp;IFERROR(VLOOKUP(O682,EMAILS!B:E,4,FALSE),"NO T FOUND IN EMAILS")</f>
        <v/>
      </c>
    </row>
    <row r="683" spans="2:18" x14ac:dyDescent="0.25">
      <c r="B683" s="5" t="s">
        <v>685</v>
      </c>
      <c r="C683" s="5" t="s">
        <v>4825</v>
      </c>
      <c r="D683" s="5">
        <v>0</v>
      </c>
      <c r="E683" s="5">
        <v>0</v>
      </c>
      <c r="F683" s="5">
        <v>0</v>
      </c>
      <c r="G683" s="5">
        <v>0</v>
      </c>
      <c r="H683" s="5">
        <v>0</v>
      </c>
      <c r="I683" s="5">
        <v>0</v>
      </c>
      <c r="J683" s="5">
        <v>0</v>
      </c>
      <c r="K683" s="5">
        <v>0</v>
      </c>
      <c r="L683" s="5">
        <v>0</v>
      </c>
      <c r="M683" s="5">
        <v>0</v>
      </c>
      <c r="N683" s="5">
        <v>0</v>
      </c>
      <c r="O683" s="5" t="str">
        <f t="shared" ca="1" si="10"/>
        <v>Supplier 95</v>
      </c>
      <c r="P683" s="20" t="str">
        <f ca="1">IFERROR(VLOOKUP(O683,EMAILS!B:C,2,FALSE),"NOT FOUND IN EMAILS")</f>
        <v>supplier@gmail.com</v>
      </c>
      <c r="Q683" t="str">
        <f ca="1">""&amp;IFERROR(VLOOKUP(O683,EMAILS!B:D,3,FALSE),"NOT FOUND IN EMAILS")</f>
        <v/>
      </c>
      <c r="R683" t="str">
        <f ca="1">""&amp;IFERROR(VLOOKUP(O683,EMAILS!B:E,4,FALSE),"NO T FOUND IN EMAILS")</f>
        <v/>
      </c>
    </row>
    <row r="684" spans="2:18" x14ac:dyDescent="0.25">
      <c r="B684" s="5" t="s">
        <v>686</v>
      </c>
      <c r="C684" s="5" t="s">
        <v>4826</v>
      </c>
      <c r="D684" s="5">
        <v>6</v>
      </c>
      <c r="E684" s="5">
        <v>18</v>
      </c>
      <c r="F684" s="5">
        <v>3</v>
      </c>
      <c r="G684" s="5">
        <v>3</v>
      </c>
      <c r="H684" s="5">
        <v>6</v>
      </c>
      <c r="I684" s="5">
        <v>0</v>
      </c>
      <c r="J684" s="5">
        <v>0</v>
      </c>
      <c r="K684" s="5">
        <v>0</v>
      </c>
      <c r="L684" s="5">
        <v>0</v>
      </c>
      <c r="M684" s="5">
        <v>0</v>
      </c>
      <c r="N684" s="5">
        <v>0</v>
      </c>
      <c r="O684" s="5" t="str">
        <f t="shared" ca="1" si="10"/>
        <v>Supplier 154</v>
      </c>
      <c r="P684" s="20" t="str">
        <f ca="1">IFERROR(VLOOKUP(O684,EMAILS!B:C,2,FALSE),"NOT FOUND IN EMAILS")</f>
        <v>supplier@gmail.com</v>
      </c>
      <c r="Q684" t="str">
        <f ca="1">""&amp;IFERROR(VLOOKUP(O684,EMAILS!B:D,3,FALSE),"NOT FOUND IN EMAILS")</f>
        <v/>
      </c>
      <c r="R684" t="str">
        <f ca="1">""&amp;IFERROR(VLOOKUP(O684,EMAILS!B:E,4,FALSE),"NO T FOUND IN EMAILS")</f>
        <v/>
      </c>
    </row>
    <row r="685" spans="2:18" x14ac:dyDescent="0.25">
      <c r="B685" s="5" t="s">
        <v>687</v>
      </c>
      <c r="C685" s="5" t="s">
        <v>4827</v>
      </c>
      <c r="D685" s="5">
        <v>2</v>
      </c>
      <c r="E685" s="5">
        <v>6</v>
      </c>
      <c r="F685" s="5">
        <v>1</v>
      </c>
      <c r="G685" s="5">
        <v>1</v>
      </c>
      <c r="H685" s="5">
        <v>2</v>
      </c>
      <c r="I685" s="5">
        <v>0</v>
      </c>
      <c r="J685" s="5">
        <v>0</v>
      </c>
      <c r="K685" s="5">
        <v>0</v>
      </c>
      <c r="L685" s="5">
        <v>0</v>
      </c>
      <c r="M685" s="5">
        <v>0</v>
      </c>
      <c r="N685" s="5">
        <v>0</v>
      </c>
      <c r="O685" s="5" t="str">
        <f t="shared" ca="1" si="10"/>
        <v>Supplier 8</v>
      </c>
      <c r="P685" s="20" t="str">
        <f ca="1">IFERROR(VLOOKUP(O685,EMAILS!B:C,2,FALSE),"NOT FOUND IN EMAILS")</f>
        <v>supplier@gmail.com</v>
      </c>
      <c r="Q685" t="str">
        <f ca="1">""&amp;IFERROR(VLOOKUP(O685,EMAILS!B:D,3,FALSE),"NOT FOUND IN EMAILS")</f>
        <v>supplier_logistics@gmail.com</v>
      </c>
      <c r="R685" t="str">
        <f ca="1">""&amp;IFERROR(VLOOKUP(O685,EMAILS!B:E,4,FALSE),"NO T FOUND IN EMAILS")</f>
        <v/>
      </c>
    </row>
    <row r="686" spans="2:18" x14ac:dyDescent="0.25">
      <c r="B686" s="5" t="s">
        <v>688</v>
      </c>
      <c r="C686" s="5" t="s">
        <v>4828</v>
      </c>
      <c r="D686" s="5">
        <v>4</v>
      </c>
      <c r="E686" s="5">
        <v>12</v>
      </c>
      <c r="F686" s="5">
        <v>2</v>
      </c>
      <c r="G686" s="5">
        <v>2</v>
      </c>
      <c r="H686" s="5">
        <v>4</v>
      </c>
      <c r="I686" s="5">
        <v>0</v>
      </c>
      <c r="J686" s="5">
        <v>0</v>
      </c>
      <c r="K686" s="5">
        <v>0</v>
      </c>
      <c r="L686" s="5">
        <v>0</v>
      </c>
      <c r="M686" s="5">
        <v>0</v>
      </c>
      <c r="N686" s="5">
        <v>0</v>
      </c>
      <c r="O686" s="5" t="str">
        <f t="shared" ca="1" si="10"/>
        <v>Supplier 91</v>
      </c>
      <c r="P686" s="20" t="str">
        <f ca="1">IFERROR(VLOOKUP(O686,EMAILS!B:C,2,FALSE),"NOT FOUND IN EMAILS")</f>
        <v>supplier@gmail.com</v>
      </c>
      <c r="Q686" t="str">
        <f ca="1">""&amp;IFERROR(VLOOKUP(O686,EMAILS!B:D,3,FALSE),"NOT FOUND IN EMAILS")</f>
        <v/>
      </c>
      <c r="R686" t="str">
        <f ca="1">""&amp;IFERROR(VLOOKUP(O686,EMAILS!B:E,4,FALSE),"NO T FOUND IN EMAILS")</f>
        <v/>
      </c>
    </row>
    <row r="687" spans="2:18" x14ac:dyDescent="0.25">
      <c r="B687" s="5" t="s">
        <v>689</v>
      </c>
      <c r="C687" s="5" t="s">
        <v>4829</v>
      </c>
      <c r="D687" s="5">
        <v>4</v>
      </c>
      <c r="E687" s="5">
        <v>12</v>
      </c>
      <c r="F687" s="5">
        <v>2</v>
      </c>
      <c r="G687" s="5">
        <v>2</v>
      </c>
      <c r="H687" s="5">
        <v>4</v>
      </c>
      <c r="I687" s="5">
        <v>0</v>
      </c>
      <c r="J687" s="5">
        <v>0</v>
      </c>
      <c r="K687" s="5">
        <v>0</v>
      </c>
      <c r="L687" s="5">
        <v>0</v>
      </c>
      <c r="M687" s="5">
        <v>0</v>
      </c>
      <c r="N687" s="5">
        <v>200</v>
      </c>
      <c r="O687" s="5" t="str">
        <f t="shared" ca="1" si="10"/>
        <v>Supplier 115</v>
      </c>
      <c r="P687" s="20" t="str">
        <f ca="1">IFERROR(VLOOKUP(O687,EMAILS!B:C,2,FALSE),"NOT FOUND IN EMAILS")</f>
        <v>supplier@gmail.com</v>
      </c>
      <c r="Q687" t="str">
        <f ca="1">""&amp;IFERROR(VLOOKUP(O687,EMAILS!B:D,3,FALSE),"NOT FOUND IN EMAILS")</f>
        <v/>
      </c>
      <c r="R687" t="str">
        <f ca="1">""&amp;IFERROR(VLOOKUP(O687,EMAILS!B:E,4,FALSE),"NO T FOUND IN EMAILS")</f>
        <v/>
      </c>
    </row>
    <row r="688" spans="2:18" x14ac:dyDescent="0.25">
      <c r="B688" s="5" t="s">
        <v>690</v>
      </c>
      <c r="C688" s="5" t="s">
        <v>4830</v>
      </c>
      <c r="D688" s="5">
        <v>0</v>
      </c>
      <c r="E688" s="5">
        <v>0</v>
      </c>
      <c r="F688" s="5">
        <v>0</v>
      </c>
      <c r="G688" s="5">
        <v>0</v>
      </c>
      <c r="H688" s="5">
        <v>0</v>
      </c>
      <c r="I688" s="5">
        <v>0</v>
      </c>
      <c r="J688" s="5">
        <v>0</v>
      </c>
      <c r="K688" s="5">
        <v>0</v>
      </c>
      <c r="L688" s="5">
        <v>0</v>
      </c>
      <c r="M688" s="5">
        <v>0</v>
      </c>
      <c r="N688" s="5">
        <v>200</v>
      </c>
      <c r="O688" s="5" t="str">
        <f t="shared" ca="1" si="10"/>
        <v>Supplier 189</v>
      </c>
      <c r="P688" s="20" t="str">
        <f ca="1">IFERROR(VLOOKUP(O688,EMAILS!B:C,2,FALSE),"NOT FOUND IN EMAILS")</f>
        <v>supplier@gmail.com</v>
      </c>
      <c r="Q688" t="str">
        <f ca="1">""&amp;IFERROR(VLOOKUP(O688,EMAILS!B:D,3,FALSE),"NOT FOUND IN EMAILS")</f>
        <v/>
      </c>
      <c r="R688" t="str">
        <f ca="1">""&amp;IFERROR(VLOOKUP(O688,EMAILS!B:E,4,FALSE),"NO T FOUND IN EMAILS")</f>
        <v/>
      </c>
    </row>
    <row r="689" spans="2:18" x14ac:dyDescent="0.25">
      <c r="B689" s="5" t="s">
        <v>691</v>
      </c>
      <c r="C689" s="5" t="s">
        <v>4831</v>
      </c>
      <c r="D689" s="5">
        <v>6</v>
      </c>
      <c r="E689" s="5">
        <v>18</v>
      </c>
      <c r="F689" s="5">
        <v>3</v>
      </c>
      <c r="G689" s="5">
        <v>6</v>
      </c>
      <c r="H689" s="5">
        <v>6</v>
      </c>
      <c r="I689" s="5">
        <v>0</v>
      </c>
      <c r="J689" s="5">
        <v>0</v>
      </c>
      <c r="K689" s="5">
        <v>0</v>
      </c>
      <c r="L689" s="5">
        <v>0</v>
      </c>
      <c r="M689" s="5">
        <v>0</v>
      </c>
      <c r="N689" s="5">
        <v>19</v>
      </c>
      <c r="O689" s="5" t="str">
        <f t="shared" ca="1" si="10"/>
        <v>Supplier 151</v>
      </c>
      <c r="P689" s="20" t="str">
        <f ca="1">IFERROR(VLOOKUP(O689,EMAILS!B:C,2,FALSE),"NOT FOUND IN EMAILS")</f>
        <v>supplier@gmail.com</v>
      </c>
      <c r="Q689" t="str">
        <f ca="1">""&amp;IFERROR(VLOOKUP(O689,EMAILS!B:D,3,FALSE),"NOT FOUND IN EMAILS")</f>
        <v/>
      </c>
      <c r="R689" t="str">
        <f ca="1">""&amp;IFERROR(VLOOKUP(O689,EMAILS!B:E,4,FALSE),"NO T FOUND IN EMAILS")</f>
        <v/>
      </c>
    </row>
    <row r="690" spans="2:18" x14ac:dyDescent="0.25">
      <c r="B690" s="5" t="s">
        <v>692</v>
      </c>
      <c r="C690" s="5" t="s">
        <v>4832</v>
      </c>
      <c r="D690" s="5">
        <v>2</v>
      </c>
      <c r="E690" s="5">
        <v>6</v>
      </c>
      <c r="F690" s="5">
        <v>1</v>
      </c>
      <c r="G690" s="5">
        <v>2</v>
      </c>
      <c r="H690" s="5">
        <v>2</v>
      </c>
      <c r="I690" s="5">
        <v>0</v>
      </c>
      <c r="J690" s="5">
        <v>0</v>
      </c>
      <c r="K690" s="5">
        <v>0</v>
      </c>
      <c r="L690" s="5">
        <v>0</v>
      </c>
      <c r="M690" s="5">
        <v>0</v>
      </c>
      <c r="N690" s="5">
        <v>0</v>
      </c>
      <c r="O690" s="5" t="str">
        <f t="shared" ca="1" si="10"/>
        <v>Supplier 90</v>
      </c>
      <c r="P690" s="20" t="str">
        <f ca="1">IFERROR(VLOOKUP(O690,EMAILS!B:C,2,FALSE),"NOT FOUND IN EMAILS")</f>
        <v>supplier@gmail.com</v>
      </c>
      <c r="Q690" t="str">
        <f ca="1">""&amp;IFERROR(VLOOKUP(O690,EMAILS!B:D,3,FALSE),"NOT FOUND IN EMAILS")</f>
        <v/>
      </c>
      <c r="R690" t="str">
        <f ca="1">""&amp;IFERROR(VLOOKUP(O690,EMAILS!B:E,4,FALSE),"NO T FOUND IN EMAILS")</f>
        <v/>
      </c>
    </row>
    <row r="691" spans="2:18" x14ac:dyDescent="0.25">
      <c r="B691" s="5" t="s">
        <v>693</v>
      </c>
      <c r="C691" s="5" t="s">
        <v>4833</v>
      </c>
      <c r="D691" s="5">
        <v>2</v>
      </c>
      <c r="E691" s="5">
        <v>6</v>
      </c>
      <c r="F691" s="5">
        <v>1</v>
      </c>
      <c r="G691" s="5">
        <v>1</v>
      </c>
      <c r="H691" s="5">
        <v>2</v>
      </c>
      <c r="I691" s="5">
        <v>0</v>
      </c>
      <c r="J691" s="5">
        <v>0</v>
      </c>
      <c r="K691" s="5">
        <v>0</v>
      </c>
      <c r="L691" s="5">
        <v>0</v>
      </c>
      <c r="M691" s="5">
        <v>0</v>
      </c>
      <c r="N691" s="5">
        <v>0</v>
      </c>
      <c r="O691" s="5" t="str">
        <f t="shared" ca="1" si="10"/>
        <v>Supplier 45</v>
      </c>
      <c r="P691" s="20" t="str">
        <f ca="1">IFERROR(VLOOKUP(O691,EMAILS!B:C,2,FALSE),"NOT FOUND IN EMAILS")</f>
        <v>supplier@gmail.com</v>
      </c>
      <c r="Q691" t="str">
        <f ca="1">""&amp;IFERROR(VLOOKUP(O691,EMAILS!B:D,3,FALSE),"NOT FOUND IN EMAILS")</f>
        <v/>
      </c>
      <c r="R691" t="str">
        <f ca="1">""&amp;IFERROR(VLOOKUP(O691,EMAILS!B:E,4,FALSE),"NO T FOUND IN EMAILS")</f>
        <v/>
      </c>
    </row>
    <row r="692" spans="2:18" x14ac:dyDescent="0.25">
      <c r="B692" s="5" t="s">
        <v>694</v>
      </c>
      <c r="C692" s="5" t="s">
        <v>4834</v>
      </c>
      <c r="D692" s="5">
        <v>2</v>
      </c>
      <c r="E692" s="5">
        <v>6</v>
      </c>
      <c r="F692" s="5">
        <v>1</v>
      </c>
      <c r="G692" s="5">
        <v>1</v>
      </c>
      <c r="H692" s="5">
        <v>2</v>
      </c>
      <c r="I692" s="5">
        <v>0</v>
      </c>
      <c r="J692" s="5">
        <v>0</v>
      </c>
      <c r="K692" s="5">
        <v>0</v>
      </c>
      <c r="L692" s="5">
        <v>0</v>
      </c>
      <c r="M692" s="5">
        <v>0</v>
      </c>
      <c r="N692" s="5">
        <v>0</v>
      </c>
      <c r="O692" s="5" t="str">
        <f t="shared" ca="1" si="10"/>
        <v>Supplier 75</v>
      </c>
      <c r="P692" s="20" t="str">
        <f ca="1">IFERROR(VLOOKUP(O692,EMAILS!B:C,2,FALSE),"NOT FOUND IN EMAILS")</f>
        <v>supplier@gmail.com</v>
      </c>
      <c r="Q692" t="str">
        <f ca="1">""&amp;IFERROR(VLOOKUP(O692,EMAILS!B:D,3,FALSE),"NOT FOUND IN EMAILS")</f>
        <v/>
      </c>
      <c r="R692" t="str">
        <f ca="1">""&amp;IFERROR(VLOOKUP(O692,EMAILS!B:E,4,FALSE),"NO T FOUND IN EMAILS")</f>
        <v/>
      </c>
    </row>
    <row r="693" spans="2:18" x14ac:dyDescent="0.25">
      <c r="B693" s="5" t="s">
        <v>695</v>
      </c>
      <c r="C693" s="5" t="s">
        <v>4835</v>
      </c>
      <c r="D693" s="5">
        <v>2</v>
      </c>
      <c r="E693" s="5">
        <v>6</v>
      </c>
      <c r="F693" s="5">
        <v>1</v>
      </c>
      <c r="G693" s="5">
        <v>2</v>
      </c>
      <c r="H693" s="5">
        <v>0</v>
      </c>
      <c r="I693" s="5">
        <v>0</v>
      </c>
      <c r="J693" s="5">
        <v>0</v>
      </c>
      <c r="K693" s="5">
        <v>0</v>
      </c>
      <c r="L693" s="5">
        <v>0</v>
      </c>
      <c r="M693" s="5">
        <v>0</v>
      </c>
      <c r="N693" s="5">
        <v>0</v>
      </c>
      <c r="O693" s="5" t="str">
        <f t="shared" ca="1" si="10"/>
        <v>Supplier 172</v>
      </c>
      <c r="P693" s="20" t="str">
        <f ca="1">IFERROR(VLOOKUP(O693,EMAILS!B:C,2,FALSE),"NOT FOUND IN EMAILS")</f>
        <v>supplier@gmail.com</v>
      </c>
      <c r="Q693" t="str">
        <f ca="1">""&amp;IFERROR(VLOOKUP(O693,EMAILS!B:D,3,FALSE),"NOT FOUND IN EMAILS")</f>
        <v/>
      </c>
      <c r="R693" t="str">
        <f ca="1">""&amp;IFERROR(VLOOKUP(O693,EMAILS!B:E,4,FALSE),"NO T FOUND IN EMAILS")</f>
        <v/>
      </c>
    </row>
    <row r="694" spans="2:18" x14ac:dyDescent="0.25">
      <c r="B694" s="5" t="s">
        <v>696</v>
      </c>
      <c r="C694" s="5" t="s">
        <v>4836</v>
      </c>
      <c r="D694" s="5">
        <v>2</v>
      </c>
      <c r="E694" s="5">
        <v>6</v>
      </c>
      <c r="F694" s="5">
        <v>1</v>
      </c>
      <c r="G694" s="5">
        <v>2</v>
      </c>
      <c r="H694" s="5">
        <v>0</v>
      </c>
      <c r="I694" s="5">
        <v>0</v>
      </c>
      <c r="J694" s="5">
        <v>0</v>
      </c>
      <c r="K694" s="5">
        <v>0</v>
      </c>
      <c r="L694" s="5">
        <v>0</v>
      </c>
      <c r="M694" s="5">
        <v>0</v>
      </c>
      <c r="N694" s="5">
        <v>0</v>
      </c>
      <c r="O694" s="5" t="str">
        <f t="shared" ca="1" si="10"/>
        <v>Supplier 84</v>
      </c>
      <c r="P694" s="20" t="str">
        <f ca="1">IFERROR(VLOOKUP(O694,EMAILS!B:C,2,FALSE),"NOT FOUND IN EMAILS")</f>
        <v>supplier@gmail.com</v>
      </c>
      <c r="Q694" t="str">
        <f ca="1">""&amp;IFERROR(VLOOKUP(O694,EMAILS!B:D,3,FALSE),"NOT FOUND IN EMAILS")</f>
        <v/>
      </c>
      <c r="R694" t="str">
        <f ca="1">""&amp;IFERROR(VLOOKUP(O694,EMAILS!B:E,4,FALSE),"NO T FOUND IN EMAILS")</f>
        <v/>
      </c>
    </row>
    <row r="695" spans="2:18" x14ac:dyDescent="0.25">
      <c r="B695" s="5" t="s">
        <v>697</v>
      </c>
      <c r="C695" s="5" t="s">
        <v>4837</v>
      </c>
      <c r="D695" s="5">
        <v>2</v>
      </c>
      <c r="E695" s="5">
        <v>6</v>
      </c>
      <c r="F695" s="5">
        <v>1</v>
      </c>
      <c r="G695" s="5">
        <v>2</v>
      </c>
      <c r="H695" s="5">
        <v>0</v>
      </c>
      <c r="I695" s="5">
        <v>0</v>
      </c>
      <c r="J695" s="5">
        <v>0</v>
      </c>
      <c r="K695" s="5">
        <v>0</v>
      </c>
      <c r="L695" s="5">
        <v>0</v>
      </c>
      <c r="M695" s="5">
        <v>0</v>
      </c>
      <c r="N695" s="5">
        <v>0</v>
      </c>
      <c r="O695" s="5" t="str">
        <f t="shared" ca="1" si="10"/>
        <v>Supplier 115</v>
      </c>
      <c r="P695" s="20" t="str">
        <f ca="1">IFERROR(VLOOKUP(O695,EMAILS!B:C,2,FALSE),"NOT FOUND IN EMAILS")</f>
        <v>supplier@gmail.com</v>
      </c>
      <c r="Q695" t="str">
        <f ca="1">""&amp;IFERROR(VLOOKUP(O695,EMAILS!B:D,3,FALSE),"NOT FOUND IN EMAILS")</f>
        <v/>
      </c>
      <c r="R695" t="str">
        <f ca="1">""&amp;IFERROR(VLOOKUP(O695,EMAILS!B:E,4,FALSE),"NO T FOUND IN EMAILS")</f>
        <v/>
      </c>
    </row>
    <row r="696" spans="2:18" x14ac:dyDescent="0.25">
      <c r="B696" s="5" t="s">
        <v>698</v>
      </c>
      <c r="C696" s="5" t="s">
        <v>4838</v>
      </c>
      <c r="D696" s="5">
        <v>2</v>
      </c>
      <c r="E696" s="5">
        <v>6</v>
      </c>
      <c r="F696" s="5">
        <v>1</v>
      </c>
      <c r="G696" s="5">
        <v>2</v>
      </c>
      <c r="H696" s="5">
        <v>0</v>
      </c>
      <c r="I696" s="5">
        <v>0</v>
      </c>
      <c r="J696" s="5">
        <v>0</v>
      </c>
      <c r="K696" s="5">
        <v>0</v>
      </c>
      <c r="L696" s="5">
        <v>0</v>
      </c>
      <c r="M696" s="5">
        <v>0</v>
      </c>
      <c r="N696" s="5">
        <v>0</v>
      </c>
      <c r="O696" s="5" t="str">
        <f t="shared" ca="1" si="10"/>
        <v>Supplier 22</v>
      </c>
      <c r="P696" s="20" t="str">
        <f ca="1">IFERROR(VLOOKUP(O696,EMAILS!B:C,2,FALSE),"NOT FOUND IN EMAILS")</f>
        <v>supplier@gmail.com</v>
      </c>
      <c r="Q696" t="str">
        <f ca="1">""&amp;IFERROR(VLOOKUP(O696,EMAILS!B:D,3,FALSE),"NOT FOUND IN EMAILS")</f>
        <v/>
      </c>
      <c r="R696" t="str">
        <f ca="1">""&amp;IFERROR(VLOOKUP(O696,EMAILS!B:E,4,FALSE),"NO T FOUND IN EMAILS")</f>
        <v/>
      </c>
    </row>
    <row r="697" spans="2:18" x14ac:dyDescent="0.25">
      <c r="B697" s="5" t="s">
        <v>699</v>
      </c>
      <c r="C697" s="5" t="s">
        <v>4839</v>
      </c>
      <c r="D697" s="5">
        <v>2</v>
      </c>
      <c r="E697" s="5">
        <v>6</v>
      </c>
      <c r="F697" s="5">
        <v>1</v>
      </c>
      <c r="G697" s="5">
        <v>2</v>
      </c>
      <c r="H697" s="5">
        <v>0</v>
      </c>
      <c r="I697" s="5">
        <v>0</v>
      </c>
      <c r="J697" s="5">
        <v>0</v>
      </c>
      <c r="K697" s="5">
        <v>0</v>
      </c>
      <c r="L697" s="5">
        <v>0</v>
      </c>
      <c r="M697" s="5">
        <v>0</v>
      </c>
      <c r="N697" s="5">
        <v>4</v>
      </c>
      <c r="O697" s="5" t="str">
        <f t="shared" ca="1" si="10"/>
        <v>Supplier 63</v>
      </c>
      <c r="P697" s="20" t="str">
        <f ca="1">IFERROR(VLOOKUP(O697,EMAILS!B:C,2,FALSE),"NOT FOUND IN EMAILS")</f>
        <v>supplier@gmail.com</v>
      </c>
      <c r="Q697" t="str">
        <f ca="1">""&amp;IFERROR(VLOOKUP(O697,EMAILS!B:D,3,FALSE),"NOT FOUND IN EMAILS")</f>
        <v/>
      </c>
      <c r="R697" t="str">
        <f ca="1">""&amp;IFERROR(VLOOKUP(O697,EMAILS!B:E,4,FALSE),"NO T FOUND IN EMAILS")</f>
        <v/>
      </c>
    </row>
    <row r="698" spans="2:18" x14ac:dyDescent="0.25">
      <c r="B698" s="5" t="s">
        <v>700</v>
      </c>
      <c r="C698" s="5" t="s">
        <v>4840</v>
      </c>
      <c r="D698" s="5">
        <v>2</v>
      </c>
      <c r="E698" s="5">
        <v>6</v>
      </c>
      <c r="F698" s="5">
        <v>1</v>
      </c>
      <c r="G698" s="5">
        <v>2</v>
      </c>
      <c r="H698" s="5">
        <v>2</v>
      </c>
      <c r="I698" s="5">
        <v>0</v>
      </c>
      <c r="J698" s="5">
        <v>0</v>
      </c>
      <c r="K698" s="5">
        <v>0</v>
      </c>
      <c r="L698" s="5">
        <v>0</v>
      </c>
      <c r="M698" s="5">
        <v>0</v>
      </c>
      <c r="N698" s="5">
        <v>0</v>
      </c>
      <c r="O698" s="5" t="str">
        <f t="shared" ca="1" si="10"/>
        <v>Supplier 183</v>
      </c>
      <c r="P698" s="20" t="str">
        <f ca="1">IFERROR(VLOOKUP(O698,EMAILS!B:C,2,FALSE),"NOT FOUND IN EMAILS")</f>
        <v>supplier@gmail.com</v>
      </c>
      <c r="Q698" t="str">
        <f ca="1">""&amp;IFERROR(VLOOKUP(O698,EMAILS!B:D,3,FALSE),"NOT FOUND IN EMAILS")</f>
        <v/>
      </c>
      <c r="R698" t="str">
        <f ca="1">""&amp;IFERROR(VLOOKUP(O698,EMAILS!B:E,4,FALSE),"NO T FOUND IN EMAILS")</f>
        <v/>
      </c>
    </row>
    <row r="699" spans="2:18" x14ac:dyDescent="0.25">
      <c r="B699" s="5" t="s">
        <v>701</v>
      </c>
      <c r="C699" s="5" t="s">
        <v>4841</v>
      </c>
      <c r="D699" s="5">
        <v>0</v>
      </c>
      <c r="E699" s="5">
        <v>0</v>
      </c>
      <c r="F699" s="5">
        <v>0</v>
      </c>
      <c r="G699" s="5">
        <v>0</v>
      </c>
      <c r="H699" s="5">
        <v>0</v>
      </c>
      <c r="I699" s="5">
        <v>0</v>
      </c>
      <c r="J699" s="5">
        <v>0</v>
      </c>
      <c r="K699" s="5">
        <v>0</v>
      </c>
      <c r="L699" s="5">
        <v>0</v>
      </c>
      <c r="M699" s="5">
        <v>0</v>
      </c>
      <c r="N699" s="5">
        <v>0</v>
      </c>
      <c r="O699" s="5" t="str">
        <f t="shared" ca="1" si="10"/>
        <v>Supplier 62</v>
      </c>
      <c r="P699" s="20" t="str">
        <f ca="1">IFERROR(VLOOKUP(O699,EMAILS!B:C,2,FALSE),"NOT FOUND IN EMAILS")</f>
        <v>supplier@gmail.com</v>
      </c>
      <c r="Q699" t="str">
        <f ca="1">""&amp;IFERROR(VLOOKUP(O699,EMAILS!B:D,3,FALSE),"NOT FOUND IN EMAILS")</f>
        <v/>
      </c>
      <c r="R699" t="str">
        <f ca="1">""&amp;IFERROR(VLOOKUP(O699,EMAILS!B:E,4,FALSE),"NO T FOUND IN EMAILS")</f>
        <v/>
      </c>
    </row>
    <row r="700" spans="2:18" x14ac:dyDescent="0.25">
      <c r="B700" s="5" t="s">
        <v>702</v>
      </c>
      <c r="C700" s="5" t="s">
        <v>4842</v>
      </c>
      <c r="D700" s="5">
        <v>0</v>
      </c>
      <c r="E700" s="5">
        <v>0</v>
      </c>
      <c r="F700" s="5">
        <v>0</v>
      </c>
      <c r="G700" s="5">
        <v>0</v>
      </c>
      <c r="H700" s="5">
        <v>0</v>
      </c>
      <c r="I700" s="5">
        <v>0</v>
      </c>
      <c r="J700" s="5">
        <v>0</v>
      </c>
      <c r="K700" s="5">
        <v>0</v>
      </c>
      <c r="L700" s="5">
        <v>0</v>
      </c>
      <c r="M700" s="5">
        <v>0</v>
      </c>
      <c r="N700" s="5">
        <v>369</v>
      </c>
      <c r="O700" s="5" t="str">
        <f t="shared" ca="1" si="10"/>
        <v>Supplier 186</v>
      </c>
      <c r="P700" s="20" t="str">
        <f ca="1">IFERROR(VLOOKUP(O700,EMAILS!B:C,2,FALSE),"NOT FOUND IN EMAILS")</f>
        <v>supplier@gmail.com</v>
      </c>
      <c r="Q700" t="str">
        <f ca="1">""&amp;IFERROR(VLOOKUP(O700,EMAILS!B:D,3,FALSE),"NOT FOUND IN EMAILS")</f>
        <v/>
      </c>
      <c r="R700" t="str">
        <f ca="1">""&amp;IFERROR(VLOOKUP(O700,EMAILS!B:E,4,FALSE),"NO T FOUND IN EMAILS")</f>
        <v/>
      </c>
    </row>
    <row r="701" spans="2:18" x14ac:dyDescent="0.25">
      <c r="B701" s="5" t="s">
        <v>703</v>
      </c>
      <c r="C701" s="5" t="s">
        <v>4843</v>
      </c>
      <c r="D701" s="5">
        <v>2</v>
      </c>
      <c r="E701" s="5">
        <v>4</v>
      </c>
      <c r="F701" s="5">
        <v>6</v>
      </c>
      <c r="G701" s="5">
        <v>10</v>
      </c>
      <c r="H701" s="5">
        <v>4</v>
      </c>
      <c r="I701" s="5">
        <v>8</v>
      </c>
      <c r="J701" s="5">
        <v>16</v>
      </c>
      <c r="K701" s="5">
        <v>10</v>
      </c>
      <c r="L701" s="5">
        <v>0</v>
      </c>
      <c r="M701" s="5">
        <v>0</v>
      </c>
      <c r="N701" s="5">
        <v>155</v>
      </c>
      <c r="O701" s="5" t="str">
        <f t="shared" ca="1" si="10"/>
        <v>Supplier 176</v>
      </c>
      <c r="P701" s="20" t="str">
        <f ca="1">IFERROR(VLOOKUP(O701,EMAILS!B:C,2,FALSE),"NOT FOUND IN EMAILS")</f>
        <v>supplier@gmail.com</v>
      </c>
      <c r="Q701" t="str">
        <f ca="1">""&amp;IFERROR(VLOOKUP(O701,EMAILS!B:D,3,FALSE),"NOT FOUND IN EMAILS")</f>
        <v/>
      </c>
      <c r="R701" t="str">
        <f ca="1">""&amp;IFERROR(VLOOKUP(O701,EMAILS!B:E,4,FALSE),"NO T FOUND IN EMAILS")</f>
        <v/>
      </c>
    </row>
    <row r="702" spans="2:18" x14ac:dyDescent="0.25">
      <c r="B702" s="5" t="s">
        <v>704</v>
      </c>
      <c r="C702" s="5" t="s">
        <v>4844</v>
      </c>
      <c r="D702" s="5">
        <v>2</v>
      </c>
      <c r="E702" s="5">
        <v>4</v>
      </c>
      <c r="F702" s="5">
        <v>6</v>
      </c>
      <c r="G702" s="5">
        <v>8</v>
      </c>
      <c r="H702" s="5">
        <v>4</v>
      </c>
      <c r="I702" s="5">
        <v>8</v>
      </c>
      <c r="J702" s="5">
        <v>16</v>
      </c>
      <c r="K702" s="5">
        <v>10</v>
      </c>
      <c r="L702" s="5">
        <v>0</v>
      </c>
      <c r="M702" s="5">
        <v>0</v>
      </c>
      <c r="N702" s="5">
        <v>193</v>
      </c>
      <c r="O702" s="5" t="str">
        <f t="shared" ca="1" si="10"/>
        <v>Supplier 197</v>
      </c>
      <c r="P702" s="20" t="str">
        <f ca="1">IFERROR(VLOOKUP(O702,EMAILS!B:C,2,FALSE),"NOT FOUND IN EMAILS")</f>
        <v>supplier@gmail.com</v>
      </c>
      <c r="Q702" t="str">
        <f ca="1">""&amp;IFERROR(VLOOKUP(O702,EMAILS!B:D,3,FALSE),"NOT FOUND IN EMAILS")</f>
        <v/>
      </c>
      <c r="R702" t="str">
        <f ca="1">""&amp;IFERROR(VLOOKUP(O702,EMAILS!B:E,4,FALSE),"NO T FOUND IN EMAILS")</f>
        <v/>
      </c>
    </row>
    <row r="703" spans="2:18" x14ac:dyDescent="0.25">
      <c r="B703" s="5" t="s">
        <v>705</v>
      </c>
      <c r="C703" s="5" t="s">
        <v>4845</v>
      </c>
      <c r="D703" s="5">
        <v>2</v>
      </c>
      <c r="E703" s="5">
        <v>4</v>
      </c>
      <c r="F703" s="5">
        <v>6</v>
      </c>
      <c r="G703" s="5">
        <v>8</v>
      </c>
      <c r="H703" s="5">
        <v>4</v>
      </c>
      <c r="I703" s="5">
        <v>8</v>
      </c>
      <c r="J703" s="5">
        <v>16</v>
      </c>
      <c r="K703" s="5">
        <v>10</v>
      </c>
      <c r="L703" s="5">
        <v>0</v>
      </c>
      <c r="M703" s="5">
        <v>0</v>
      </c>
      <c r="N703" s="5">
        <v>156</v>
      </c>
      <c r="O703" s="5" t="str">
        <f t="shared" ca="1" si="10"/>
        <v>Supplier 108</v>
      </c>
      <c r="P703" s="20" t="str">
        <f ca="1">IFERROR(VLOOKUP(O703,EMAILS!B:C,2,FALSE),"NOT FOUND IN EMAILS")</f>
        <v>supplier@gmail.com</v>
      </c>
      <c r="Q703" t="str">
        <f ca="1">""&amp;IFERROR(VLOOKUP(O703,EMAILS!B:D,3,FALSE),"NOT FOUND IN EMAILS")</f>
        <v/>
      </c>
      <c r="R703" t="str">
        <f ca="1">""&amp;IFERROR(VLOOKUP(O703,EMAILS!B:E,4,FALSE),"NO T FOUND IN EMAILS")</f>
        <v/>
      </c>
    </row>
    <row r="704" spans="2:18" x14ac:dyDescent="0.25">
      <c r="B704" s="5" t="s">
        <v>706</v>
      </c>
      <c r="C704" s="5" t="s">
        <v>4846</v>
      </c>
      <c r="D704" s="5">
        <v>2</v>
      </c>
      <c r="E704" s="5">
        <v>4</v>
      </c>
      <c r="F704" s="5">
        <v>6</v>
      </c>
      <c r="G704" s="5">
        <v>6</v>
      </c>
      <c r="H704" s="5">
        <v>4</v>
      </c>
      <c r="I704" s="5">
        <v>8</v>
      </c>
      <c r="J704" s="5">
        <v>16</v>
      </c>
      <c r="K704" s="5">
        <v>10</v>
      </c>
      <c r="L704" s="5">
        <v>0</v>
      </c>
      <c r="M704" s="5">
        <v>0</v>
      </c>
      <c r="N704" s="5">
        <v>23</v>
      </c>
      <c r="O704" s="5" t="str">
        <f t="shared" ca="1" si="10"/>
        <v>Supplier 162</v>
      </c>
      <c r="P704" s="20" t="str">
        <f ca="1">IFERROR(VLOOKUP(O704,EMAILS!B:C,2,FALSE),"NOT FOUND IN EMAILS")</f>
        <v>supplier@gmail.com</v>
      </c>
      <c r="Q704" t="str">
        <f ca="1">""&amp;IFERROR(VLOOKUP(O704,EMAILS!B:D,3,FALSE),"NOT FOUND IN EMAILS")</f>
        <v/>
      </c>
      <c r="R704" t="str">
        <f ca="1">""&amp;IFERROR(VLOOKUP(O704,EMAILS!B:E,4,FALSE),"NO T FOUND IN EMAILS")</f>
        <v/>
      </c>
    </row>
    <row r="705" spans="2:18" x14ac:dyDescent="0.25">
      <c r="B705" s="5" t="s">
        <v>707</v>
      </c>
      <c r="C705" s="5" t="s">
        <v>4847</v>
      </c>
      <c r="D705" s="5">
        <v>10</v>
      </c>
      <c r="E705" s="5">
        <v>20</v>
      </c>
      <c r="F705" s="5">
        <v>30</v>
      </c>
      <c r="G705" s="5">
        <v>0</v>
      </c>
      <c r="H705" s="5">
        <v>0</v>
      </c>
      <c r="I705" s="5">
        <v>0</v>
      </c>
      <c r="J705" s="5">
        <v>0</v>
      </c>
      <c r="K705" s="5">
        <v>0</v>
      </c>
      <c r="L705" s="5">
        <v>50</v>
      </c>
      <c r="M705" s="5">
        <v>0</v>
      </c>
      <c r="N705" s="5">
        <v>480</v>
      </c>
      <c r="O705" s="5" t="str">
        <f t="shared" ca="1" si="10"/>
        <v>Supplier 52</v>
      </c>
      <c r="P705" s="20" t="str">
        <f ca="1">IFERROR(VLOOKUP(O705,EMAILS!B:C,2,FALSE),"NOT FOUND IN EMAILS")</f>
        <v>supplier@gmail.com</v>
      </c>
      <c r="Q705" t="str">
        <f ca="1">""&amp;IFERROR(VLOOKUP(O705,EMAILS!B:D,3,FALSE),"NOT FOUND IN EMAILS")</f>
        <v/>
      </c>
      <c r="R705" t="str">
        <f ca="1">""&amp;IFERROR(VLOOKUP(O705,EMAILS!B:E,4,FALSE),"NO T FOUND IN EMAILS")</f>
        <v/>
      </c>
    </row>
    <row r="706" spans="2:18" x14ac:dyDescent="0.25">
      <c r="B706" s="5" t="s">
        <v>708</v>
      </c>
      <c r="C706" s="5" t="s">
        <v>4848</v>
      </c>
      <c r="D706" s="5">
        <v>10</v>
      </c>
      <c r="E706" s="5">
        <v>20</v>
      </c>
      <c r="F706" s="5">
        <v>30</v>
      </c>
      <c r="G706" s="5">
        <v>0</v>
      </c>
      <c r="H706" s="5">
        <v>0</v>
      </c>
      <c r="I706" s="5">
        <v>0</v>
      </c>
      <c r="J706" s="5">
        <v>0</v>
      </c>
      <c r="K706" s="5">
        <v>0</v>
      </c>
      <c r="L706" s="5">
        <v>50</v>
      </c>
      <c r="M706" s="5">
        <v>0</v>
      </c>
      <c r="N706" s="5">
        <v>18000</v>
      </c>
      <c r="O706" s="5" t="str">
        <f t="shared" ca="1" si="10"/>
        <v>Supplier 141</v>
      </c>
      <c r="P706" s="20" t="str">
        <f ca="1">IFERROR(VLOOKUP(O706,EMAILS!B:C,2,FALSE),"NOT FOUND IN EMAILS")</f>
        <v>supplier@gmail.com</v>
      </c>
      <c r="Q706" t="str">
        <f ca="1">""&amp;IFERROR(VLOOKUP(O706,EMAILS!B:D,3,FALSE),"NOT FOUND IN EMAILS")</f>
        <v/>
      </c>
      <c r="R706" t="str">
        <f ca="1">""&amp;IFERROR(VLOOKUP(O706,EMAILS!B:E,4,FALSE),"NO T FOUND IN EMAILS")</f>
        <v/>
      </c>
    </row>
    <row r="707" spans="2:18" x14ac:dyDescent="0.25">
      <c r="B707" s="5" t="s">
        <v>709</v>
      </c>
      <c r="C707" s="5" t="s">
        <v>4849</v>
      </c>
      <c r="D707" s="5">
        <v>0</v>
      </c>
      <c r="E707" s="5">
        <v>0</v>
      </c>
      <c r="F707" s="5">
        <v>0</v>
      </c>
      <c r="G707" s="5">
        <v>0</v>
      </c>
      <c r="H707" s="5">
        <v>0</v>
      </c>
      <c r="I707" s="5">
        <v>0</v>
      </c>
      <c r="J707" s="5">
        <v>0</v>
      </c>
      <c r="K707" s="5">
        <v>0</v>
      </c>
      <c r="L707" s="5">
        <v>0</v>
      </c>
      <c r="M707" s="5">
        <v>0</v>
      </c>
      <c r="N707" s="5">
        <v>1046</v>
      </c>
      <c r="O707" s="5" t="str">
        <f t="shared" ref="O707:O770" ca="1" si="11">"Supplier "&amp;RANDBETWEEN(1,200)</f>
        <v>Supplier 121</v>
      </c>
      <c r="P707" s="20" t="str">
        <f ca="1">IFERROR(VLOOKUP(O707,EMAILS!B:C,2,FALSE),"NOT FOUND IN EMAILS")</f>
        <v>supplier@gmail.com</v>
      </c>
      <c r="Q707" t="str">
        <f ca="1">""&amp;IFERROR(VLOOKUP(O707,EMAILS!B:D,3,FALSE),"NOT FOUND IN EMAILS")</f>
        <v/>
      </c>
      <c r="R707" t="str">
        <f ca="1">""&amp;IFERROR(VLOOKUP(O707,EMAILS!B:E,4,FALSE),"NO T FOUND IN EMAILS")</f>
        <v/>
      </c>
    </row>
    <row r="708" spans="2:18" x14ac:dyDescent="0.25">
      <c r="B708" s="5" t="s">
        <v>710</v>
      </c>
      <c r="C708" s="5" t="s">
        <v>4850</v>
      </c>
      <c r="D708" s="5">
        <v>0</v>
      </c>
      <c r="E708" s="5">
        <v>0</v>
      </c>
      <c r="F708" s="5">
        <v>0</v>
      </c>
      <c r="G708" s="5">
        <v>0</v>
      </c>
      <c r="H708" s="5">
        <v>0</v>
      </c>
      <c r="I708" s="5">
        <v>40</v>
      </c>
      <c r="J708" s="5">
        <v>0</v>
      </c>
      <c r="K708" s="5">
        <v>0</v>
      </c>
      <c r="L708" s="5">
        <v>20</v>
      </c>
      <c r="M708" s="5">
        <v>0</v>
      </c>
      <c r="N708" s="5">
        <v>3</v>
      </c>
      <c r="O708" s="5" t="str">
        <f t="shared" ca="1" si="11"/>
        <v>Supplier 170</v>
      </c>
      <c r="P708" s="20" t="str">
        <f ca="1">IFERROR(VLOOKUP(O708,EMAILS!B:C,2,FALSE),"NOT FOUND IN EMAILS")</f>
        <v>supplier@gmail.com</v>
      </c>
      <c r="Q708" t="str">
        <f ca="1">""&amp;IFERROR(VLOOKUP(O708,EMAILS!B:D,3,FALSE),"NOT FOUND IN EMAILS")</f>
        <v/>
      </c>
      <c r="R708" t="str">
        <f ca="1">""&amp;IFERROR(VLOOKUP(O708,EMAILS!B:E,4,FALSE),"NO T FOUND IN EMAILS")</f>
        <v/>
      </c>
    </row>
    <row r="709" spans="2:18" x14ac:dyDescent="0.25">
      <c r="B709" s="5" t="s">
        <v>711</v>
      </c>
      <c r="C709" s="5" t="s">
        <v>4851</v>
      </c>
      <c r="D709" s="5">
        <v>453</v>
      </c>
      <c r="E709" s="5">
        <v>0</v>
      </c>
      <c r="F709" s="5">
        <v>0</v>
      </c>
      <c r="G709" s="5">
        <v>0</v>
      </c>
      <c r="H709" s="5">
        <v>0</v>
      </c>
      <c r="I709" s="5">
        <v>0</v>
      </c>
      <c r="J709" s="5">
        <v>0</v>
      </c>
      <c r="K709" s="5">
        <v>0</v>
      </c>
      <c r="L709" s="5">
        <v>0</v>
      </c>
      <c r="M709" s="5">
        <v>0</v>
      </c>
      <c r="N709" s="5">
        <v>0</v>
      </c>
      <c r="O709" s="5" t="str">
        <f t="shared" ca="1" si="11"/>
        <v>Supplier 41</v>
      </c>
      <c r="P709" s="20" t="str">
        <f ca="1">IFERROR(VLOOKUP(O709,EMAILS!B:C,2,FALSE),"NOT FOUND IN EMAILS")</f>
        <v>supplier@gmail.com</v>
      </c>
      <c r="Q709" t="str">
        <f ca="1">""&amp;IFERROR(VLOOKUP(O709,EMAILS!B:D,3,FALSE),"NOT FOUND IN EMAILS")</f>
        <v/>
      </c>
      <c r="R709" t="str">
        <f ca="1">""&amp;IFERROR(VLOOKUP(O709,EMAILS!B:E,4,FALSE),"NO T FOUND IN EMAILS")</f>
        <v/>
      </c>
    </row>
    <row r="710" spans="2:18" x14ac:dyDescent="0.25">
      <c r="B710" s="5" t="s">
        <v>712</v>
      </c>
      <c r="C710" s="5" t="s">
        <v>4852</v>
      </c>
      <c r="D710" s="5">
        <v>1</v>
      </c>
      <c r="E710" s="5">
        <v>0</v>
      </c>
      <c r="F710" s="5">
        <v>0</v>
      </c>
      <c r="G710" s="5">
        <v>0</v>
      </c>
      <c r="H710" s="5">
        <v>1</v>
      </c>
      <c r="I710" s="5">
        <v>0</v>
      </c>
      <c r="J710" s="5">
        <v>0</v>
      </c>
      <c r="K710" s="5">
        <v>1</v>
      </c>
      <c r="L710" s="5">
        <v>0</v>
      </c>
      <c r="M710" s="5">
        <v>0</v>
      </c>
      <c r="N710" s="5">
        <v>179</v>
      </c>
      <c r="O710" s="5" t="str">
        <f t="shared" ca="1" si="11"/>
        <v>Supplier 175</v>
      </c>
      <c r="P710" s="20" t="str">
        <f ca="1">IFERROR(VLOOKUP(O710,EMAILS!B:C,2,FALSE),"NOT FOUND IN EMAILS")</f>
        <v>supplier@gmail.com</v>
      </c>
      <c r="Q710" t="str">
        <f ca="1">""&amp;IFERROR(VLOOKUP(O710,EMAILS!B:D,3,FALSE),"NOT FOUND IN EMAILS")</f>
        <v/>
      </c>
      <c r="R710" t="str">
        <f ca="1">""&amp;IFERROR(VLOOKUP(O710,EMAILS!B:E,4,FALSE),"NO T FOUND IN EMAILS")</f>
        <v/>
      </c>
    </row>
    <row r="711" spans="2:18" x14ac:dyDescent="0.25">
      <c r="B711" s="5" t="s">
        <v>713</v>
      </c>
      <c r="C711" s="5" t="s">
        <v>4853</v>
      </c>
      <c r="D711" s="5">
        <v>0</v>
      </c>
      <c r="E711" s="5">
        <v>0</v>
      </c>
      <c r="F711" s="5">
        <v>0</v>
      </c>
      <c r="G711" s="5">
        <v>0</v>
      </c>
      <c r="H711" s="5">
        <v>0</v>
      </c>
      <c r="I711" s="5">
        <v>0</v>
      </c>
      <c r="J711" s="5">
        <v>0</v>
      </c>
      <c r="K711" s="5">
        <v>0</v>
      </c>
      <c r="L711" s="5">
        <v>0</v>
      </c>
      <c r="M711" s="5">
        <v>0</v>
      </c>
      <c r="N711" s="5">
        <v>140</v>
      </c>
      <c r="O711" s="5" t="str">
        <f t="shared" ca="1" si="11"/>
        <v>Supplier 83</v>
      </c>
      <c r="P711" s="20" t="str">
        <f ca="1">IFERROR(VLOOKUP(O711,EMAILS!B:C,2,FALSE),"NOT FOUND IN EMAILS")</f>
        <v>supplier@gmail.com</v>
      </c>
      <c r="Q711" t="str">
        <f ca="1">""&amp;IFERROR(VLOOKUP(O711,EMAILS!B:D,3,FALSE),"NOT FOUND IN EMAILS")</f>
        <v/>
      </c>
      <c r="R711" t="str">
        <f ca="1">""&amp;IFERROR(VLOOKUP(O711,EMAILS!B:E,4,FALSE),"NO T FOUND IN EMAILS")</f>
        <v/>
      </c>
    </row>
    <row r="712" spans="2:18" x14ac:dyDescent="0.25">
      <c r="B712" s="5" t="s">
        <v>714</v>
      </c>
      <c r="C712" s="5" t="s">
        <v>4854</v>
      </c>
      <c r="D712" s="5">
        <v>0</v>
      </c>
      <c r="E712" s="5">
        <v>0</v>
      </c>
      <c r="F712" s="5">
        <v>0</v>
      </c>
      <c r="G712" s="5">
        <v>0</v>
      </c>
      <c r="H712" s="5">
        <v>0</v>
      </c>
      <c r="I712" s="5">
        <v>0</v>
      </c>
      <c r="J712" s="5">
        <v>0</v>
      </c>
      <c r="K712" s="5">
        <v>0</v>
      </c>
      <c r="L712" s="5">
        <v>0</v>
      </c>
      <c r="M712" s="5">
        <v>0</v>
      </c>
      <c r="N712" s="5">
        <v>0</v>
      </c>
      <c r="O712" s="5" t="str">
        <f t="shared" ca="1" si="11"/>
        <v>Supplier 126</v>
      </c>
      <c r="P712" s="20" t="str">
        <f ca="1">IFERROR(VLOOKUP(O712,EMAILS!B:C,2,FALSE),"NOT FOUND IN EMAILS")</f>
        <v>supplier@gmail.com</v>
      </c>
      <c r="Q712" t="str">
        <f ca="1">""&amp;IFERROR(VLOOKUP(O712,EMAILS!B:D,3,FALSE),"NOT FOUND IN EMAILS")</f>
        <v/>
      </c>
      <c r="R712" t="str">
        <f ca="1">""&amp;IFERROR(VLOOKUP(O712,EMAILS!B:E,4,FALSE),"NO T FOUND IN EMAILS")</f>
        <v/>
      </c>
    </row>
    <row r="713" spans="2:18" x14ac:dyDescent="0.25">
      <c r="B713" s="5" t="s">
        <v>715</v>
      </c>
      <c r="C713" s="5" t="s">
        <v>4855</v>
      </c>
      <c r="D713" s="5">
        <v>0</v>
      </c>
      <c r="E713" s="5">
        <v>0</v>
      </c>
      <c r="F713" s="5">
        <v>0</v>
      </c>
      <c r="G713" s="5">
        <v>0</v>
      </c>
      <c r="H713" s="5">
        <v>0</v>
      </c>
      <c r="I713" s="5">
        <v>0</v>
      </c>
      <c r="J713" s="5">
        <v>0</v>
      </c>
      <c r="K713" s="5">
        <v>0</v>
      </c>
      <c r="L713" s="5">
        <v>0</v>
      </c>
      <c r="M713" s="5">
        <v>0</v>
      </c>
      <c r="N713" s="5">
        <v>0</v>
      </c>
      <c r="O713" s="5" t="str">
        <f t="shared" ca="1" si="11"/>
        <v>Supplier 166</v>
      </c>
      <c r="P713" s="20" t="str">
        <f ca="1">IFERROR(VLOOKUP(O713,EMAILS!B:C,2,FALSE),"NOT FOUND IN EMAILS")</f>
        <v>supplier@gmail.com</v>
      </c>
      <c r="Q713" t="str">
        <f ca="1">""&amp;IFERROR(VLOOKUP(O713,EMAILS!B:D,3,FALSE),"NOT FOUND IN EMAILS")</f>
        <v/>
      </c>
      <c r="R713" t="str">
        <f ca="1">""&amp;IFERROR(VLOOKUP(O713,EMAILS!B:E,4,FALSE),"NO T FOUND IN EMAILS")</f>
        <v/>
      </c>
    </row>
    <row r="714" spans="2:18" x14ac:dyDescent="0.25">
      <c r="B714" s="5" t="s">
        <v>716</v>
      </c>
      <c r="C714" s="5" t="s">
        <v>4856</v>
      </c>
      <c r="D714" s="5">
        <v>150</v>
      </c>
      <c r="E714" s="5">
        <v>300</v>
      </c>
      <c r="F714" s="5">
        <v>360</v>
      </c>
      <c r="G714" s="5">
        <v>360</v>
      </c>
      <c r="H714" s="5">
        <v>660</v>
      </c>
      <c r="I714" s="5">
        <v>660</v>
      </c>
      <c r="J714" s="5">
        <v>660</v>
      </c>
      <c r="K714" s="5">
        <v>360</v>
      </c>
      <c r="L714" s="5">
        <v>660</v>
      </c>
      <c r="M714" s="5">
        <v>0</v>
      </c>
      <c r="N714" s="5">
        <v>1000</v>
      </c>
      <c r="O714" s="5" t="str">
        <f t="shared" ca="1" si="11"/>
        <v>Supplier 47</v>
      </c>
      <c r="P714" s="20" t="str">
        <f ca="1">IFERROR(VLOOKUP(O714,EMAILS!B:C,2,FALSE),"NOT FOUND IN EMAILS")</f>
        <v>supplier@gmail.com</v>
      </c>
      <c r="Q714" t="str">
        <f ca="1">""&amp;IFERROR(VLOOKUP(O714,EMAILS!B:D,3,FALSE),"NOT FOUND IN EMAILS")</f>
        <v/>
      </c>
      <c r="R714" t="str">
        <f ca="1">""&amp;IFERROR(VLOOKUP(O714,EMAILS!B:E,4,FALSE),"NO T FOUND IN EMAILS")</f>
        <v/>
      </c>
    </row>
    <row r="715" spans="2:18" x14ac:dyDescent="0.25">
      <c r="B715" s="5" t="s">
        <v>717</v>
      </c>
      <c r="C715" s="5" t="s">
        <v>4857</v>
      </c>
      <c r="D715" s="5">
        <v>4</v>
      </c>
      <c r="E715" s="5">
        <v>0</v>
      </c>
      <c r="F715" s="5">
        <v>0</v>
      </c>
      <c r="G715" s="5">
        <v>0</v>
      </c>
      <c r="H715" s="5">
        <v>0</v>
      </c>
      <c r="I715" s="5">
        <v>0</v>
      </c>
      <c r="J715" s="5">
        <v>0</v>
      </c>
      <c r="K715" s="5">
        <v>0</v>
      </c>
      <c r="L715" s="5">
        <v>0</v>
      </c>
      <c r="M715" s="5">
        <v>0</v>
      </c>
      <c r="N715" s="5">
        <v>18068</v>
      </c>
      <c r="O715" s="5" t="str">
        <f t="shared" ca="1" si="11"/>
        <v>Supplier 28</v>
      </c>
      <c r="P715" s="20" t="str">
        <f ca="1">IFERROR(VLOOKUP(O715,EMAILS!B:C,2,FALSE),"NOT FOUND IN EMAILS")</f>
        <v>supplier@gmail.com</v>
      </c>
      <c r="Q715" t="str">
        <f ca="1">""&amp;IFERROR(VLOOKUP(O715,EMAILS!B:D,3,FALSE),"NOT FOUND IN EMAILS")</f>
        <v/>
      </c>
      <c r="R715" t="str">
        <f ca="1">""&amp;IFERROR(VLOOKUP(O715,EMAILS!B:E,4,FALSE),"NO T FOUND IN EMAILS")</f>
        <v/>
      </c>
    </row>
    <row r="716" spans="2:18" x14ac:dyDescent="0.25">
      <c r="B716" s="5" t="s">
        <v>718</v>
      </c>
      <c r="C716" s="5" t="s">
        <v>4858</v>
      </c>
      <c r="D716" s="5">
        <v>462</v>
      </c>
      <c r="E716" s="5">
        <v>402.4</v>
      </c>
      <c r="F716" s="5">
        <v>476.8</v>
      </c>
      <c r="G716" s="5">
        <v>493.4</v>
      </c>
      <c r="H716" s="5">
        <v>315</v>
      </c>
      <c r="I716" s="5">
        <v>293.5</v>
      </c>
      <c r="J716" s="5">
        <v>352.6</v>
      </c>
      <c r="K716" s="5">
        <v>273.39999999999998</v>
      </c>
      <c r="L716" s="5">
        <v>302.8</v>
      </c>
      <c r="M716" s="5">
        <v>0</v>
      </c>
      <c r="N716" s="5">
        <v>14977</v>
      </c>
      <c r="O716" s="5" t="str">
        <f t="shared" ca="1" si="11"/>
        <v>Supplier 39</v>
      </c>
      <c r="P716" s="20" t="str">
        <f ca="1">IFERROR(VLOOKUP(O716,EMAILS!B:C,2,FALSE),"NOT FOUND IN EMAILS")</f>
        <v>supplier@gmail.com</v>
      </c>
      <c r="Q716" t="str">
        <f ca="1">""&amp;IFERROR(VLOOKUP(O716,EMAILS!B:D,3,FALSE),"NOT FOUND IN EMAILS")</f>
        <v/>
      </c>
      <c r="R716" t="str">
        <f ca="1">""&amp;IFERROR(VLOOKUP(O716,EMAILS!B:E,4,FALSE),"NO T FOUND IN EMAILS")</f>
        <v/>
      </c>
    </row>
    <row r="717" spans="2:18" x14ac:dyDescent="0.25">
      <c r="B717" s="5" t="s">
        <v>719</v>
      </c>
      <c r="C717" s="5" t="s">
        <v>4859</v>
      </c>
      <c r="D717" s="5">
        <v>330.4</v>
      </c>
      <c r="E717" s="5">
        <v>241</v>
      </c>
      <c r="F717" s="5">
        <v>1076.8</v>
      </c>
      <c r="G717" s="5">
        <v>305.60000000000002</v>
      </c>
      <c r="H717" s="5">
        <v>644.4</v>
      </c>
      <c r="I717" s="5">
        <v>579.70000000000005</v>
      </c>
      <c r="J717" s="5">
        <v>185.8</v>
      </c>
      <c r="K717" s="5">
        <v>242.4</v>
      </c>
      <c r="L717" s="5">
        <v>292.8</v>
      </c>
      <c r="M717" s="5">
        <v>0</v>
      </c>
      <c r="N717" s="5">
        <v>1000</v>
      </c>
      <c r="O717" s="5" t="str">
        <f t="shared" ca="1" si="11"/>
        <v>Supplier 192</v>
      </c>
      <c r="P717" s="20" t="str">
        <f ca="1">IFERROR(VLOOKUP(O717,EMAILS!B:C,2,FALSE),"NOT FOUND IN EMAILS")</f>
        <v>supplier@gmail.com</v>
      </c>
      <c r="Q717" t="str">
        <f ca="1">""&amp;IFERROR(VLOOKUP(O717,EMAILS!B:D,3,FALSE),"NOT FOUND IN EMAILS")</f>
        <v/>
      </c>
      <c r="R717" t="str">
        <f ca="1">""&amp;IFERROR(VLOOKUP(O717,EMAILS!B:E,4,FALSE),"NO T FOUND IN EMAILS")</f>
        <v/>
      </c>
    </row>
    <row r="718" spans="2:18" x14ac:dyDescent="0.25">
      <c r="B718" s="5" t="s">
        <v>720</v>
      </c>
      <c r="C718" s="5" t="s">
        <v>4860</v>
      </c>
      <c r="D718" s="5">
        <v>1192</v>
      </c>
      <c r="E718" s="5">
        <v>1228</v>
      </c>
      <c r="F718" s="5">
        <v>1256</v>
      </c>
      <c r="G718" s="5">
        <v>1556</v>
      </c>
      <c r="H718" s="5">
        <v>1492</v>
      </c>
      <c r="I718" s="5">
        <v>943</v>
      </c>
      <c r="J718" s="5">
        <v>628</v>
      </c>
      <c r="K718" s="5">
        <v>1556</v>
      </c>
      <c r="L718" s="5">
        <v>628</v>
      </c>
      <c r="M718" s="5">
        <v>0</v>
      </c>
      <c r="N718" s="5">
        <v>1200</v>
      </c>
      <c r="O718" s="5" t="str">
        <f t="shared" ca="1" si="11"/>
        <v>Supplier 157</v>
      </c>
      <c r="P718" s="20" t="str">
        <f ca="1">IFERROR(VLOOKUP(O718,EMAILS!B:C,2,FALSE),"NOT FOUND IN EMAILS")</f>
        <v>supplier@gmail.com</v>
      </c>
      <c r="Q718" t="str">
        <f ca="1">""&amp;IFERROR(VLOOKUP(O718,EMAILS!B:D,3,FALSE),"NOT FOUND IN EMAILS")</f>
        <v/>
      </c>
      <c r="R718" t="str">
        <f ca="1">""&amp;IFERROR(VLOOKUP(O718,EMAILS!B:E,4,FALSE),"NO T FOUND IN EMAILS")</f>
        <v/>
      </c>
    </row>
    <row r="719" spans="2:18" x14ac:dyDescent="0.25">
      <c r="B719" s="5" t="s">
        <v>721</v>
      </c>
      <c r="C719" s="5" t="s">
        <v>4861</v>
      </c>
      <c r="D719" s="5">
        <v>3312</v>
      </c>
      <c r="E719" s="5">
        <v>1862</v>
      </c>
      <c r="F719" s="5">
        <v>3052</v>
      </c>
      <c r="G719" s="5">
        <v>3124</v>
      </c>
      <c r="H719" s="5">
        <v>3271</v>
      </c>
      <c r="I719" s="5">
        <v>2527</v>
      </c>
      <c r="J719" s="5">
        <v>1046</v>
      </c>
      <c r="K719" s="5">
        <v>1648</v>
      </c>
      <c r="L719" s="5">
        <v>2180</v>
      </c>
      <c r="M719" s="5">
        <v>0</v>
      </c>
      <c r="N719" s="5">
        <v>1714</v>
      </c>
      <c r="O719" s="5" t="str">
        <f t="shared" ca="1" si="11"/>
        <v>Supplier 35</v>
      </c>
      <c r="P719" s="20" t="str">
        <f ca="1">IFERROR(VLOOKUP(O719,EMAILS!B:C,2,FALSE),"NOT FOUND IN EMAILS")</f>
        <v>supplier@gmail.com</v>
      </c>
      <c r="Q719" t="str">
        <f ca="1">""&amp;IFERROR(VLOOKUP(O719,EMAILS!B:D,3,FALSE),"NOT FOUND IN EMAILS")</f>
        <v/>
      </c>
      <c r="R719" t="str">
        <f ca="1">""&amp;IFERROR(VLOOKUP(O719,EMAILS!B:E,4,FALSE),"NO T FOUND IN EMAILS")</f>
        <v/>
      </c>
    </row>
    <row r="720" spans="2:18" x14ac:dyDescent="0.25">
      <c r="B720" s="5" t="s">
        <v>722</v>
      </c>
      <c r="C720" s="5" t="s">
        <v>4862</v>
      </c>
      <c r="D720" s="5">
        <v>779</v>
      </c>
      <c r="E720" s="5">
        <v>876</v>
      </c>
      <c r="F720" s="5">
        <v>910</v>
      </c>
      <c r="G720" s="5">
        <v>837</v>
      </c>
      <c r="H720" s="5">
        <v>935</v>
      </c>
      <c r="I720" s="5">
        <v>886</v>
      </c>
      <c r="J720" s="5">
        <v>626</v>
      </c>
      <c r="K720" s="5">
        <v>684</v>
      </c>
      <c r="L720" s="5">
        <v>626</v>
      </c>
      <c r="M720" s="5">
        <v>0</v>
      </c>
      <c r="N720" s="5">
        <v>30</v>
      </c>
      <c r="O720" s="5" t="str">
        <f t="shared" ca="1" si="11"/>
        <v>Supplier 125</v>
      </c>
      <c r="P720" s="20" t="str">
        <f ca="1">IFERROR(VLOOKUP(O720,EMAILS!B:C,2,FALSE),"NOT FOUND IN EMAILS")</f>
        <v>supplier@gmail.com</v>
      </c>
      <c r="Q720" t="str">
        <f ca="1">""&amp;IFERROR(VLOOKUP(O720,EMAILS!B:D,3,FALSE),"NOT FOUND IN EMAILS")</f>
        <v/>
      </c>
      <c r="R720" t="str">
        <f ca="1">""&amp;IFERROR(VLOOKUP(O720,EMAILS!B:E,4,FALSE),"NO T FOUND IN EMAILS")</f>
        <v/>
      </c>
    </row>
    <row r="721" spans="2:18" x14ac:dyDescent="0.25">
      <c r="B721" s="5" t="s">
        <v>723</v>
      </c>
      <c r="C721" s="5" t="s">
        <v>4863</v>
      </c>
      <c r="D721" s="5">
        <v>2</v>
      </c>
      <c r="E721" s="5">
        <v>0</v>
      </c>
      <c r="F721" s="5">
        <v>24</v>
      </c>
      <c r="G721" s="5">
        <v>16</v>
      </c>
      <c r="H721" s="5">
        <v>6</v>
      </c>
      <c r="I721" s="5">
        <v>0</v>
      </c>
      <c r="J721" s="5">
        <v>4</v>
      </c>
      <c r="K721" s="5">
        <v>22</v>
      </c>
      <c r="L721" s="5">
        <v>0</v>
      </c>
      <c r="M721" s="5">
        <v>0</v>
      </c>
      <c r="N721" s="5">
        <v>1600</v>
      </c>
      <c r="O721" s="5" t="str">
        <f t="shared" ca="1" si="11"/>
        <v>Supplier 29</v>
      </c>
      <c r="P721" s="20" t="str">
        <f ca="1">IFERROR(VLOOKUP(O721,EMAILS!B:C,2,FALSE),"NOT FOUND IN EMAILS")</f>
        <v>supplier@gmail.com</v>
      </c>
      <c r="Q721" t="str">
        <f ca="1">""&amp;IFERROR(VLOOKUP(O721,EMAILS!B:D,3,FALSE),"NOT FOUND IN EMAILS")</f>
        <v/>
      </c>
      <c r="R721" t="str">
        <f ca="1">""&amp;IFERROR(VLOOKUP(O721,EMAILS!B:E,4,FALSE),"NO T FOUND IN EMAILS")</f>
        <v/>
      </c>
    </row>
    <row r="722" spans="2:18" x14ac:dyDescent="0.25">
      <c r="B722" s="5" t="s">
        <v>724</v>
      </c>
      <c r="C722" s="5" t="s">
        <v>4864</v>
      </c>
      <c r="D722" s="5">
        <v>2</v>
      </c>
      <c r="E722" s="5">
        <v>9</v>
      </c>
      <c r="F722" s="5">
        <v>12</v>
      </c>
      <c r="G722" s="5">
        <v>12</v>
      </c>
      <c r="H722" s="5">
        <v>12</v>
      </c>
      <c r="I722" s="5">
        <v>12</v>
      </c>
      <c r="J722" s="5">
        <v>12</v>
      </c>
      <c r="K722" s="5">
        <v>12</v>
      </c>
      <c r="L722" s="5">
        <v>12</v>
      </c>
      <c r="M722" s="5">
        <v>0</v>
      </c>
      <c r="N722" s="5">
        <v>110</v>
      </c>
      <c r="O722" s="5" t="str">
        <f t="shared" ca="1" si="11"/>
        <v>Supplier 52</v>
      </c>
      <c r="P722" s="20" t="str">
        <f ca="1">IFERROR(VLOOKUP(O722,EMAILS!B:C,2,FALSE),"NOT FOUND IN EMAILS")</f>
        <v>supplier@gmail.com</v>
      </c>
      <c r="Q722" t="str">
        <f ca="1">""&amp;IFERROR(VLOOKUP(O722,EMAILS!B:D,3,FALSE),"NOT FOUND IN EMAILS")</f>
        <v/>
      </c>
      <c r="R722" t="str">
        <f ca="1">""&amp;IFERROR(VLOOKUP(O722,EMAILS!B:E,4,FALSE),"NO T FOUND IN EMAILS")</f>
        <v/>
      </c>
    </row>
    <row r="723" spans="2:18" x14ac:dyDescent="0.25">
      <c r="B723" s="5" t="s">
        <v>725</v>
      </c>
      <c r="C723" s="5" t="s">
        <v>4865</v>
      </c>
      <c r="D723" s="5">
        <v>38</v>
      </c>
      <c r="E723" s="5">
        <v>34</v>
      </c>
      <c r="F723" s="5">
        <v>46</v>
      </c>
      <c r="G723" s="5">
        <v>46</v>
      </c>
      <c r="H723" s="5">
        <v>20</v>
      </c>
      <c r="I723" s="5">
        <v>26</v>
      </c>
      <c r="J723" s="5">
        <v>20</v>
      </c>
      <c r="K723" s="5">
        <v>26</v>
      </c>
      <c r="L723" s="5">
        <v>17</v>
      </c>
      <c r="M723" s="5">
        <v>0</v>
      </c>
      <c r="N723" s="5">
        <v>1450</v>
      </c>
      <c r="O723" s="5" t="str">
        <f t="shared" ca="1" si="11"/>
        <v>Supplier 44</v>
      </c>
      <c r="P723" s="20" t="str">
        <f ca="1">IFERROR(VLOOKUP(O723,EMAILS!B:C,2,FALSE),"NOT FOUND IN EMAILS")</f>
        <v>supplier@gmail.com</v>
      </c>
      <c r="Q723" t="str">
        <f ca="1">""&amp;IFERROR(VLOOKUP(O723,EMAILS!B:D,3,FALSE),"NOT FOUND IN EMAILS")</f>
        <v/>
      </c>
      <c r="R723" t="str">
        <f ca="1">""&amp;IFERROR(VLOOKUP(O723,EMAILS!B:E,4,FALSE),"NO T FOUND IN EMAILS")</f>
        <v/>
      </c>
    </row>
    <row r="724" spans="2:18" x14ac:dyDescent="0.25">
      <c r="B724" s="5" t="s">
        <v>726</v>
      </c>
      <c r="C724" s="5" t="s">
        <v>4866</v>
      </c>
      <c r="D724" s="5">
        <v>0</v>
      </c>
      <c r="E724" s="5">
        <v>0</v>
      </c>
      <c r="F724" s="5">
        <v>0</v>
      </c>
      <c r="G724" s="5">
        <v>0</v>
      </c>
      <c r="H724" s="5">
        <v>0</v>
      </c>
      <c r="I724" s="5">
        <v>100</v>
      </c>
      <c r="J724" s="5">
        <v>0</v>
      </c>
      <c r="K724" s="5">
        <v>0</v>
      </c>
      <c r="L724" s="5">
        <v>0</v>
      </c>
      <c r="M724" s="5">
        <v>0</v>
      </c>
      <c r="N724" s="5">
        <v>200</v>
      </c>
      <c r="O724" s="5" t="str">
        <f t="shared" ca="1" si="11"/>
        <v>Supplier 47</v>
      </c>
      <c r="P724" s="20" t="str">
        <f ca="1">IFERROR(VLOOKUP(O724,EMAILS!B:C,2,FALSE),"NOT FOUND IN EMAILS")</f>
        <v>supplier@gmail.com</v>
      </c>
      <c r="Q724" t="str">
        <f ca="1">""&amp;IFERROR(VLOOKUP(O724,EMAILS!B:D,3,FALSE),"NOT FOUND IN EMAILS")</f>
        <v/>
      </c>
      <c r="R724" t="str">
        <f ca="1">""&amp;IFERROR(VLOOKUP(O724,EMAILS!B:E,4,FALSE),"NO T FOUND IN EMAILS")</f>
        <v/>
      </c>
    </row>
    <row r="725" spans="2:18" x14ac:dyDescent="0.25">
      <c r="B725" s="5" t="s">
        <v>727</v>
      </c>
      <c r="C725" s="5" t="s">
        <v>4867</v>
      </c>
      <c r="D725" s="5">
        <v>12</v>
      </c>
      <c r="E725" s="5">
        <v>26</v>
      </c>
      <c r="F725" s="5">
        <v>10</v>
      </c>
      <c r="G725" s="5">
        <v>11</v>
      </c>
      <c r="H725" s="5">
        <v>2</v>
      </c>
      <c r="I725" s="5">
        <v>0</v>
      </c>
      <c r="J725" s="5">
        <v>0</v>
      </c>
      <c r="K725" s="5">
        <v>0</v>
      </c>
      <c r="L725" s="5">
        <v>0</v>
      </c>
      <c r="M725" s="5">
        <v>0</v>
      </c>
      <c r="N725" s="5">
        <v>1000</v>
      </c>
      <c r="O725" s="5" t="str">
        <f t="shared" ca="1" si="11"/>
        <v>Supplier 191</v>
      </c>
      <c r="P725" s="20" t="str">
        <f ca="1">IFERROR(VLOOKUP(O725,EMAILS!B:C,2,FALSE),"NOT FOUND IN EMAILS")</f>
        <v>supplier@gmail.com</v>
      </c>
      <c r="Q725" t="str">
        <f ca="1">""&amp;IFERROR(VLOOKUP(O725,EMAILS!B:D,3,FALSE),"NOT FOUND IN EMAILS")</f>
        <v/>
      </c>
      <c r="R725" t="str">
        <f ca="1">""&amp;IFERROR(VLOOKUP(O725,EMAILS!B:E,4,FALSE),"NO T FOUND IN EMAILS")</f>
        <v/>
      </c>
    </row>
    <row r="726" spans="2:18" x14ac:dyDescent="0.25">
      <c r="B726" s="5" t="s">
        <v>728</v>
      </c>
      <c r="C726" s="5" t="s">
        <v>4868</v>
      </c>
      <c r="D726" s="5">
        <v>108</v>
      </c>
      <c r="E726" s="5">
        <v>0</v>
      </c>
      <c r="F726" s="5">
        <v>4</v>
      </c>
      <c r="G726" s="5">
        <v>0.4</v>
      </c>
      <c r="H726" s="5">
        <v>58</v>
      </c>
      <c r="I726" s="5">
        <v>46</v>
      </c>
      <c r="J726" s="5">
        <v>20</v>
      </c>
      <c r="K726" s="5">
        <v>50</v>
      </c>
      <c r="L726" s="5">
        <v>36</v>
      </c>
      <c r="M726" s="5">
        <v>0</v>
      </c>
      <c r="N726" s="5">
        <v>0</v>
      </c>
      <c r="O726" s="5" t="str">
        <f t="shared" ca="1" si="11"/>
        <v>Supplier 3</v>
      </c>
      <c r="P726" s="20" t="str">
        <f ca="1">IFERROR(VLOOKUP(O726,EMAILS!B:C,2,FALSE),"NOT FOUND IN EMAILS")</f>
        <v>supplier@gmail.com</v>
      </c>
      <c r="Q726" t="str">
        <f ca="1">""&amp;IFERROR(VLOOKUP(O726,EMAILS!B:D,3,FALSE),"NOT FOUND IN EMAILS")</f>
        <v>supplier_logistics@gmail.com</v>
      </c>
      <c r="R726" t="str">
        <f ca="1">""&amp;IFERROR(VLOOKUP(O726,EMAILS!B:E,4,FALSE),"NO T FOUND IN EMAILS")</f>
        <v/>
      </c>
    </row>
    <row r="727" spans="2:18" x14ac:dyDescent="0.25">
      <c r="B727" s="5" t="s">
        <v>729</v>
      </c>
      <c r="C727" s="5" t="s">
        <v>4869</v>
      </c>
      <c r="D727" s="5">
        <v>2808</v>
      </c>
      <c r="E727" s="5">
        <v>2426.1</v>
      </c>
      <c r="F727" s="5">
        <v>2808</v>
      </c>
      <c r="G727" s="5">
        <v>2808</v>
      </c>
      <c r="H727" s="5">
        <v>2809.9</v>
      </c>
      <c r="I727" s="5">
        <v>2808</v>
      </c>
      <c r="J727" s="5">
        <v>2160</v>
      </c>
      <c r="K727" s="5">
        <v>3024</v>
      </c>
      <c r="L727" s="5">
        <v>2818</v>
      </c>
      <c r="M727" s="5">
        <v>0</v>
      </c>
      <c r="N727" s="5">
        <v>0</v>
      </c>
      <c r="O727" s="5" t="str">
        <f t="shared" ca="1" si="11"/>
        <v>Supplier 101</v>
      </c>
      <c r="P727" s="20" t="str">
        <f ca="1">IFERROR(VLOOKUP(O727,EMAILS!B:C,2,FALSE),"NOT FOUND IN EMAILS")</f>
        <v>supplier@gmail.com</v>
      </c>
      <c r="Q727" t="str">
        <f ca="1">""&amp;IFERROR(VLOOKUP(O727,EMAILS!B:D,3,FALSE),"NOT FOUND IN EMAILS")</f>
        <v/>
      </c>
      <c r="R727" t="str">
        <f ca="1">""&amp;IFERROR(VLOOKUP(O727,EMAILS!B:E,4,FALSE),"NO T FOUND IN EMAILS")</f>
        <v/>
      </c>
    </row>
    <row r="728" spans="2:18" x14ac:dyDescent="0.25">
      <c r="B728" s="5" t="s">
        <v>730</v>
      </c>
      <c r="C728" s="5" t="s">
        <v>4870</v>
      </c>
      <c r="D728" s="5">
        <v>0</v>
      </c>
      <c r="E728" s="5">
        <v>0</v>
      </c>
      <c r="F728" s="5">
        <v>0</v>
      </c>
      <c r="G728" s="5">
        <v>0</v>
      </c>
      <c r="H728" s="5">
        <v>0</v>
      </c>
      <c r="I728" s="5">
        <v>0</v>
      </c>
      <c r="J728" s="5">
        <v>0</v>
      </c>
      <c r="K728" s="5">
        <v>0</v>
      </c>
      <c r="L728" s="5">
        <v>0</v>
      </c>
      <c r="M728" s="5">
        <v>0</v>
      </c>
      <c r="N728" s="5">
        <v>199</v>
      </c>
      <c r="O728" s="5" t="str">
        <f t="shared" ca="1" si="11"/>
        <v>Supplier 112</v>
      </c>
      <c r="P728" s="20" t="str">
        <f ca="1">IFERROR(VLOOKUP(O728,EMAILS!B:C,2,FALSE),"NOT FOUND IN EMAILS")</f>
        <v>supplier@gmail.com</v>
      </c>
      <c r="Q728" t="str">
        <f ca="1">""&amp;IFERROR(VLOOKUP(O728,EMAILS!B:D,3,FALSE),"NOT FOUND IN EMAILS")</f>
        <v/>
      </c>
      <c r="R728" t="str">
        <f ca="1">""&amp;IFERROR(VLOOKUP(O728,EMAILS!B:E,4,FALSE),"NO T FOUND IN EMAILS")</f>
        <v/>
      </c>
    </row>
    <row r="729" spans="2:18" x14ac:dyDescent="0.25">
      <c r="B729" s="5" t="s">
        <v>731</v>
      </c>
      <c r="C729" s="5" t="s">
        <v>4871</v>
      </c>
      <c r="D729" s="5">
        <v>400</v>
      </c>
      <c r="E729" s="5">
        <v>0</v>
      </c>
      <c r="F729" s="5">
        <v>0</v>
      </c>
      <c r="G729" s="5">
        <v>150</v>
      </c>
      <c r="H729" s="5">
        <v>0</v>
      </c>
      <c r="I729" s="5">
        <v>0</v>
      </c>
      <c r="J729" s="5">
        <v>300</v>
      </c>
      <c r="K729" s="5">
        <v>0</v>
      </c>
      <c r="L729" s="5">
        <v>0</v>
      </c>
      <c r="M729" s="5">
        <v>0</v>
      </c>
      <c r="N729" s="5">
        <v>100</v>
      </c>
      <c r="O729" s="5" t="str">
        <f t="shared" ca="1" si="11"/>
        <v>Supplier 46</v>
      </c>
      <c r="P729" s="20" t="str">
        <f ca="1">IFERROR(VLOOKUP(O729,EMAILS!B:C,2,FALSE),"NOT FOUND IN EMAILS")</f>
        <v>supplier@gmail.com</v>
      </c>
      <c r="Q729" t="str">
        <f ca="1">""&amp;IFERROR(VLOOKUP(O729,EMAILS!B:D,3,FALSE),"NOT FOUND IN EMAILS")</f>
        <v/>
      </c>
      <c r="R729" t="str">
        <f ca="1">""&amp;IFERROR(VLOOKUP(O729,EMAILS!B:E,4,FALSE),"NO T FOUND IN EMAILS")</f>
        <v/>
      </c>
    </row>
    <row r="730" spans="2:18" x14ac:dyDescent="0.25">
      <c r="B730" s="5" t="s">
        <v>732</v>
      </c>
      <c r="C730" s="5" t="s">
        <v>4872</v>
      </c>
      <c r="D730" s="5">
        <v>0</v>
      </c>
      <c r="E730" s="5">
        <v>0</v>
      </c>
      <c r="F730" s="5">
        <v>150</v>
      </c>
      <c r="G730" s="5">
        <v>0</v>
      </c>
      <c r="H730" s="5">
        <v>0</v>
      </c>
      <c r="I730" s="5">
        <v>150</v>
      </c>
      <c r="J730" s="5">
        <v>0</v>
      </c>
      <c r="K730" s="5">
        <v>0</v>
      </c>
      <c r="L730" s="5">
        <v>0</v>
      </c>
      <c r="M730" s="5">
        <v>0</v>
      </c>
      <c r="N730" s="5">
        <v>4</v>
      </c>
      <c r="O730" s="5" t="str">
        <f t="shared" ca="1" si="11"/>
        <v>Supplier 35</v>
      </c>
      <c r="P730" s="20" t="str">
        <f ca="1">IFERROR(VLOOKUP(O730,EMAILS!B:C,2,FALSE),"NOT FOUND IN EMAILS")</f>
        <v>supplier@gmail.com</v>
      </c>
      <c r="Q730" t="str">
        <f ca="1">""&amp;IFERROR(VLOOKUP(O730,EMAILS!B:D,3,FALSE),"NOT FOUND IN EMAILS")</f>
        <v/>
      </c>
      <c r="R730" t="str">
        <f ca="1">""&amp;IFERROR(VLOOKUP(O730,EMAILS!B:E,4,FALSE),"NO T FOUND IN EMAILS")</f>
        <v/>
      </c>
    </row>
    <row r="731" spans="2:18" x14ac:dyDescent="0.25">
      <c r="B731" s="5" t="s">
        <v>733</v>
      </c>
      <c r="C731" s="5" t="s">
        <v>4873</v>
      </c>
      <c r="D731" s="5">
        <v>0</v>
      </c>
      <c r="E731" s="5">
        <v>0</v>
      </c>
      <c r="F731" s="5">
        <v>50</v>
      </c>
      <c r="G731" s="5">
        <v>0</v>
      </c>
      <c r="H731" s="5">
        <v>0</v>
      </c>
      <c r="I731" s="5">
        <v>0</v>
      </c>
      <c r="J731" s="5">
        <v>0</v>
      </c>
      <c r="K731" s="5">
        <v>50</v>
      </c>
      <c r="L731" s="5">
        <v>0</v>
      </c>
      <c r="M731" s="5">
        <v>0</v>
      </c>
      <c r="N731" s="5">
        <v>169</v>
      </c>
      <c r="O731" s="5" t="str">
        <f t="shared" ca="1" si="11"/>
        <v>Supplier 148</v>
      </c>
      <c r="P731" s="20" t="str">
        <f ca="1">IFERROR(VLOOKUP(O731,EMAILS!B:C,2,FALSE),"NOT FOUND IN EMAILS")</f>
        <v>supplier@gmail.com</v>
      </c>
      <c r="Q731" t="str">
        <f ca="1">""&amp;IFERROR(VLOOKUP(O731,EMAILS!B:D,3,FALSE),"NOT FOUND IN EMAILS")</f>
        <v/>
      </c>
      <c r="R731" t="str">
        <f ca="1">""&amp;IFERROR(VLOOKUP(O731,EMAILS!B:E,4,FALSE),"NO T FOUND IN EMAILS")</f>
        <v/>
      </c>
    </row>
    <row r="732" spans="2:18" x14ac:dyDescent="0.25">
      <c r="B732" s="5" t="s">
        <v>734</v>
      </c>
      <c r="C732" s="5" t="s">
        <v>4874</v>
      </c>
      <c r="D732" s="5">
        <v>92</v>
      </c>
      <c r="E732" s="5">
        <v>35</v>
      </c>
      <c r="F732" s="5">
        <v>79</v>
      </c>
      <c r="G732" s="5">
        <v>79</v>
      </c>
      <c r="H732" s="5">
        <v>79</v>
      </c>
      <c r="I732" s="5">
        <v>79</v>
      </c>
      <c r="J732" s="5">
        <v>79</v>
      </c>
      <c r="K732" s="5">
        <v>79</v>
      </c>
      <c r="L732" s="5">
        <v>79</v>
      </c>
      <c r="M732" s="5">
        <v>0</v>
      </c>
      <c r="N732" s="5">
        <v>0</v>
      </c>
      <c r="O732" s="5" t="str">
        <f t="shared" ca="1" si="11"/>
        <v>Supplier 87</v>
      </c>
      <c r="P732" s="20" t="str">
        <f ca="1">IFERROR(VLOOKUP(O732,EMAILS!B:C,2,FALSE),"NOT FOUND IN EMAILS")</f>
        <v>supplier@gmail.com</v>
      </c>
      <c r="Q732" t="str">
        <f ca="1">""&amp;IFERROR(VLOOKUP(O732,EMAILS!B:D,3,FALSE),"NOT FOUND IN EMAILS")</f>
        <v/>
      </c>
      <c r="R732" t="str">
        <f ca="1">""&amp;IFERROR(VLOOKUP(O732,EMAILS!B:E,4,FALSE),"NO T FOUND IN EMAILS")</f>
        <v/>
      </c>
    </row>
    <row r="733" spans="2:18" x14ac:dyDescent="0.25">
      <c r="B733" s="5" t="s">
        <v>735</v>
      </c>
      <c r="C733" s="5" t="s">
        <v>4875</v>
      </c>
      <c r="D733" s="5">
        <v>10</v>
      </c>
      <c r="E733" s="5">
        <v>0</v>
      </c>
      <c r="F733" s="5">
        <v>0</v>
      </c>
      <c r="G733" s="5">
        <v>10</v>
      </c>
      <c r="H733" s="5">
        <v>10</v>
      </c>
      <c r="I733" s="5">
        <v>0</v>
      </c>
      <c r="J733" s="5">
        <v>0</v>
      </c>
      <c r="K733" s="5">
        <v>0</v>
      </c>
      <c r="L733" s="5">
        <v>0</v>
      </c>
      <c r="M733" s="5">
        <v>0</v>
      </c>
      <c r="N733" s="5">
        <v>0</v>
      </c>
      <c r="O733" s="5" t="str">
        <f t="shared" ca="1" si="11"/>
        <v>Supplier 200</v>
      </c>
      <c r="P733" s="20" t="str">
        <f ca="1">IFERROR(VLOOKUP(O733,EMAILS!B:C,2,FALSE),"NOT FOUND IN EMAILS")</f>
        <v>supplier@gmail.com</v>
      </c>
      <c r="Q733" t="str">
        <f ca="1">""&amp;IFERROR(VLOOKUP(O733,EMAILS!B:D,3,FALSE),"NOT FOUND IN EMAILS")</f>
        <v/>
      </c>
      <c r="R733" t="str">
        <f ca="1">""&amp;IFERROR(VLOOKUP(O733,EMAILS!B:E,4,FALSE),"NO T FOUND IN EMAILS")</f>
        <v/>
      </c>
    </row>
    <row r="734" spans="2:18" x14ac:dyDescent="0.25">
      <c r="B734" s="5" t="s">
        <v>736</v>
      </c>
      <c r="C734" s="5" t="s">
        <v>4876</v>
      </c>
      <c r="D734" s="5">
        <v>0</v>
      </c>
      <c r="E734" s="5">
        <v>0</v>
      </c>
      <c r="F734" s="5">
        <v>0</v>
      </c>
      <c r="G734" s="5">
        <v>0</v>
      </c>
      <c r="H734" s="5">
        <v>0</v>
      </c>
      <c r="I734" s="5">
        <v>0</v>
      </c>
      <c r="J734" s="5">
        <v>0</v>
      </c>
      <c r="K734" s="5">
        <v>0</v>
      </c>
      <c r="L734" s="5">
        <v>0</v>
      </c>
      <c r="M734" s="5">
        <v>0</v>
      </c>
      <c r="N734" s="5">
        <v>8748</v>
      </c>
      <c r="O734" s="5" t="str">
        <f t="shared" ca="1" si="11"/>
        <v>Supplier 57</v>
      </c>
      <c r="P734" s="20" t="str">
        <f ca="1">IFERROR(VLOOKUP(O734,EMAILS!B:C,2,FALSE),"NOT FOUND IN EMAILS")</f>
        <v>supplier@gmail.com</v>
      </c>
      <c r="Q734" t="str">
        <f ca="1">""&amp;IFERROR(VLOOKUP(O734,EMAILS!B:D,3,FALSE),"NOT FOUND IN EMAILS")</f>
        <v/>
      </c>
      <c r="R734" t="str">
        <f ca="1">""&amp;IFERROR(VLOOKUP(O734,EMAILS!B:E,4,FALSE),"NO T FOUND IN EMAILS")</f>
        <v/>
      </c>
    </row>
    <row r="735" spans="2:18" x14ac:dyDescent="0.25">
      <c r="B735" s="5" t="s">
        <v>737</v>
      </c>
      <c r="C735" s="5" t="s">
        <v>4877</v>
      </c>
      <c r="D735" s="5">
        <v>200</v>
      </c>
      <c r="E735" s="5">
        <v>0</v>
      </c>
      <c r="F735" s="5">
        <v>140</v>
      </c>
      <c r="G735" s="5">
        <v>3</v>
      </c>
      <c r="H735" s="5">
        <v>0</v>
      </c>
      <c r="I735" s="5">
        <v>1</v>
      </c>
      <c r="J735" s="5">
        <v>25</v>
      </c>
      <c r="K735" s="5">
        <v>12</v>
      </c>
      <c r="L735" s="5">
        <v>30</v>
      </c>
      <c r="M735" s="5">
        <v>0</v>
      </c>
      <c r="N735" s="5">
        <v>0</v>
      </c>
      <c r="O735" s="5" t="str">
        <f t="shared" ca="1" si="11"/>
        <v>Supplier 96</v>
      </c>
      <c r="P735" s="20" t="str">
        <f ca="1">IFERROR(VLOOKUP(O735,EMAILS!B:C,2,FALSE),"NOT FOUND IN EMAILS")</f>
        <v>supplier@gmail.com</v>
      </c>
      <c r="Q735" t="str">
        <f ca="1">""&amp;IFERROR(VLOOKUP(O735,EMAILS!B:D,3,FALSE),"NOT FOUND IN EMAILS")</f>
        <v/>
      </c>
      <c r="R735" t="str">
        <f ca="1">""&amp;IFERROR(VLOOKUP(O735,EMAILS!B:E,4,FALSE),"NO T FOUND IN EMAILS")</f>
        <v/>
      </c>
    </row>
    <row r="736" spans="2:18" x14ac:dyDescent="0.25">
      <c r="B736" s="5" t="s">
        <v>738</v>
      </c>
      <c r="C736" s="5" t="s">
        <v>4878</v>
      </c>
      <c r="D736" s="5">
        <v>0</v>
      </c>
      <c r="E736" s="5">
        <v>0</v>
      </c>
      <c r="F736" s="5">
        <v>0</v>
      </c>
      <c r="G736" s="5">
        <v>0</v>
      </c>
      <c r="H736" s="5">
        <v>0</v>
      </c>
      <c r="I736" s="5">
        <v>0</v>
      </c>
      <c r="J736" s="5">
        <v>0</v>
      </c>
      <c r="K736" s="5">
        <v>0</v>
      </c>
      <c r="L736" s="5">
        <v>0</v>
      </c>
      <c r="M736" s="5">
        <v>0</v>
      </c>
      <c r="N736" s="5">
        <v>1108</v>
      </c>
      <c r="O736" s="5" t="str">
        <f t="shared" ca="1" si="11"/>
        <v>Supplier 136</v>
      </c>
      <c r="P736" s="20" t="str">
        <f ca="1">IFERROR(VLOOKUP(O736,EMAILS!B:C,2,FALSE),"NOT FOUND IN EMAILS")</f>
        <v>supplier@gmail.com</v>
      </c>
      <c r="Q736" t="str">
        <f ca="1">""&amp;IFERROR(VLOOKUP(O736,EMAILS!B:D,3,FALSE),"NOT FOUND IN EMAILS")</f>
        <v/>
      </c>
      <c r="R736" t="str">
        <f ca="1">""&amp;IFERROR(VLOOKUP(O736,EMAILS!B:E,4,FALSE),"NO T FOUND IN EMAILS")</f>
        <v/>
      </c>
    </row>
    <row r="737" spans="2:18" x14ac:dyDescent="0.25">
      <c r="B737" s="5" t="s">
        <v>739</v>
      </c>
      <c r="C737" s="5" t="s">
        <v>4879</v>
      </c>
      <c r="D737" s="5">
        <v>3028</v>
      </c>
      <c r="E737" s="5">
        <v>1888</v>
      </c>
      <c r="F737" s="5">
        <v>3167</v>
      </c>
      <c r="G737" s="5">
        <v>3059</v>
      </c>
      <c r="H737" s="5">
        <v>3191</v>
      </c>
      <c r="I737" s="5">
        <v>3176</v>
      </c>
      <c r="J737" s="5">
        <v>1778</v>
      </c>
      <c r="K737" s="5">
        <v>2805</v>
      </c>
      <c r="L737" s="5">
        <v>715</v>
      </c>
      <c r="M737" s="5">
        <v>0</v>
      </c>
      <c r="N737" s="5">
        <v>4872</v>
      </c>
      <c r="O737" s="5" t="str">
        <f t="shared" ca="1" si="11"/>
        <v>Supplier 103</v>
      </c>
      <c r="P737" s="20" t="str">
        <f ca="1">IFERROR(VLOOKUP(O737,EMAILS!B:C,2,FALSE),"NOT FOUND IN EMAILS")</f>
        <v>supplier@gmail.com</v>
      </c>
      <c r="Q737" t="str">
        <f ca="1">""&amp;IFERROR(VLOOKUP(O737,EMAILS!B:D,3,FALSE),"NOT FOUND IN EMAILS")</f>
        <v/>
      </c>
      <c r="R737" t="str">
        <f ca="1">""&amp;IFERROR(VLOOKUP(O737,EMAILS!B:E,4,FALSE),"NO T FOUND IN EMAILS")</f>
        <v/>
      </c>
    </row>
    <row r="738" spans="2:18" x14ac:dyDescent="0.25">
      <c r="B738" s="5" t="s">
        <v>740</v>
      </c>
      <c r="C738" s="5" t="s">
        <v>4880</v>
      </c>
      <c r="D738" s="5">
        <v>321</v>
      </c>
      <c r="E738" s="5">
        <v>113</v>
      </c>
      <c r="F738" s="5">
        <v>585</v>
      </c>
      <c r="G738" s="5">
        <v>207</v>
      </c>
      <c r="H738" s="5">
        <v>215</v>
      </c>
      <c r="I738" s="5">
        <v>108</v>
      </c>
      <c r="J738" s="5">
        <v>187</v>
      </c>
      <c r="K738" s="5">
        <v>116</v>
      </c>
      <c r="L738" s="5">
        <v>191</v>
      </c>
      <c r="M738" s="5">
        <v>0</v>
      </c>
      <c r="N738" s="5">
        <v>950</v>
      </c>
      <c r="O738" s="5" t="str">
        <f t="shared" ca="1" si="11"/>
        <v>Supplier 84</v>
      </c>
      <c r="P738" s="20" t="str">
        <f ca="1">IFERROR(VLOOKUP(O738,EMAILS!B:C,2,FALSE),"NOT FOUND IN EMAILS")</f>
        <v>supplier@gmail.com</v>
      </c>
      <c r="Q738" t="str">
        <f ca="1">""&amp;IFERROR(VLOOKUP(O738,EMAILS!B:D,3,FALSE),"NOT FOUND IN EMAILS")</f>
        <v/>
      </c>
      <c r="R738" t="str">
        <f ca="1">""&amp;IFERROR(VLOOKUP(O738,EMAILS!B:E,4,FALSE),"NO T FOUND IN EMAILS")</f>
        <v/>
      </c>
    </row>
    <row r="739" spans="2:18" x14ac:dyDescent="0.25">
      <c r="B739" s="5" t="s">
        <v>741</v>
      </c>
      <c r="C739" s="5" t="s">
        <v>4881</v>
      </c>
      <c r="D739" s="5">
        <v>0</v>
      </c>
      <c r="E739" s="5">
        <v>0</v>
      </c>
      <c r="F739" s="5">
        <v>0</v>
      </c>
      <c r="G739" s="5">
        <v>0</v>
      </c>
      <c r="H739" s="5">
        <v>0</v>
      </c>
      <c r="I739" s="5">
        <v>0</v>
      </c>
      <c r="J739" s="5">
        <v>0</v>
      </c>
      <c r="K739" s="5">
        <v>0</v>
      </c>
      <c r="L739" s="5">
        <v>0</v>
      </c>
      <c r="M739" s="5">
        <v>0</v>
      </c>
      <c r="N739" s="5">
        <v>136</v>
      </c>
      <c r="O739" s="5" t="str">
        <f t="shared" ca="1" si="11"/>
        <v>Supplier 191</v>
      </c>
      <c r="P739" s="20" t="str">
        <f ca="1">IFERROR(VLOOKUP(O739,EMAILS!B:C,2,FALSE),"NOT FOUND IN EMAILS")</f>
        <v>supplier@gmail.com</v>
      </c>
      <c r="Q739" t="str">
        <f ca="1">""&amp;IFERROR(VLOOKUP(O739,EMAILS!B:D,3,FALSE),"NOT FOUND IN EMAILS")</f>
        <v/>
      </c>
      <c r="R739" t="str">
        <f ca="1">""&amp;IFERROR(VLOOKUP(O739,EMAILS!B:E,4,FALSE),"NO T FOUND IN EMAILS")</f>
        <v/>
      </c>
    </row>
    <row r="740" spans="2:18" x14ac:dyDescent="0.25">
      <c r="B740" s="5" t="s">
        <v>742</v>
      </c>
      <c r="C740" s="5" t="s">
        <v>4882</v>
      </c>
      <c r="D740" s="5">
        <v>4</v>
      </c>
      <c r="E740" s="5">
        <v>4</v>
      </c>
      <c r="F740" s="5">
        <v>4</v>
      </c>
      <c r="G740" s="5">
        <v>4</v>
      </c>
      <c r="H740" s="5">
        <v>4</v>
      </c>
      <c r="I740" s="5">
        <v>6</v>
      </c>
      <c r="J740" s="5">
        <v>4</v>
      </c>
      <c r="K740" s="5">
        <v>4</v>
      </c>
      <c r="L740" s="5">
        <v>4</v>
      </c>
      <c r="M740" s="5">
        <v>0</v>
      </c>
      <c r="N740" s="5">
        <v>350</v>
      </c>
      <c r="O740" s="5" t="str">
        <f t="shared" ca="1" si="11"/>
        <v>Supplier 86</v>
      </c>
      <c r="P740" s="20" t="str">
        <f ca="1">IFERROR(VLOOKUP(O740,EMAILS!B:C,2,FALSE),"NOT FOUND IN EMAILS")</f>
        <v>supplier@gmail.com</v>
      </c>
      <c r="Q740" t="str">
        <f ca="1">""&amp;IFERROR(VLOOKUP(O740,EMAILS!B:D,3,FALSE),"NOT FOUND IN EMAILS")</f>
        <v/>
      </c>
      <c r="R740" t="str">
        <f ca="1">""&amp;IFERROR(VLOOKUP(O740,EMAILS!B:E,4,FALSE),"NO T FOUND IN EMAILS")</f>
        <v/>
      </c>
    </row>
    <row r="741" spans="2:18" x14ac:dyDescent="0.25">
      <c r="B741" s="5" t="s">
        <v>743</v>
      </c>
      <c r="C741" s="5" t="s">
        <v>4883</v>
      </c>
      <c r="D741" s="5">
        <v>0</v>
      </c>
      <c r="E741" s="5">
        <v>0</v>
      </c>
      <c r="F741" s="5">
        <v>0</v>
      </c>
      <c r="G741" s="5">
        <v>0</v>
      </c>
      <c r="H741" s="5">
        <v>0</v>
      </c>
      <c r="I741" s="5">
        <v>0</v>
      </c>
      <c r="J741" s="5">
        <v>0</v>
      </c>
      <c r="K741" s="5">
        <v>0</v>
      </c>
      <c r="L741" s="5">
        <v>0</v>
      </c>
      <c r="M741" s="5">
        <v>0</v>
      </c>
      <c r="N741" s="5">
        <v>64</v>
      </c>
      <c r="O741" s="5" t="str">
        <f t="shared" ca="1" si="11"/>
        <v>Supplier 119</v>
      </c>
      <c r="P741" s="20" t="str">
        <f ca="1">IFERROR(VLOOKUP(O741,EMAILS!B:C,2,FALSE),"NOT FOUND IN EMAILS")</f>
        <v>supplier@gmail.com</v>
      </c>
      <c r="Q741" t="str">
        <f ca="1">""&amp;IFERROR(VLOOKUP(O741,EMAILS!B:D,3,FALSE),"NOT FOUND IN EMAILS")</f>
        <v/>
      </c>
      <c r="R741" t="str">
        <f ca="1">""&amp;IFERROR(VLOOKUP(O741,EMAILS!B:E,4,FALSE),"NO T FOUND IN EMAILS")</f>
        <v/>
      </c>
    </row>
    <row r="742" spans="2:18" x14ac:dyDescent="0.25">
      <c r="B742" s="5" t="s">
        <v>744</v>
      </c>
      <c r="C742" s="5" t="s">
        <v>4884</v>
      </c>
      <c r="D742" s="5">
        <v>0</v>
      </c>
      <c r="E742" s="5">
        <v>0</v>
      </c>
      <c r="F742" s="5">
        <v>0</v>
      </c>
      <c r="G742" s="5">
        <v>0</v>
      </c>
      <c r="H742" s="5">
        <v>16</v>
      </c>
      <c r="I742" s="5">
        <v>0</v>
      </c>
      <c r="J742" s="5">
        <v>0</v>
      </c>
      <c r="K742" s="5">
        <v>0</v>
      </c>
      <c r="L742" s="5">
        <v>0</v>
      </c>
      <c r="M742" s="5">
        <v>0</v>
      </c>
      <c r="N742" s="5">
        <v>59</v>
      </c>
      <c r="O742" s="5" t="str">
        <f t="shared" ca="1" si="11"/>
        <v>Supplier 138</v>
      </c>
      <c r="P742" s="20" t="str">
        <f ca="1">IFERROR(VLOOKUP(O742,EMAILS!B:C,2,FALSE),"NOT FOUND IN EMAILS")</f>
        <v>supplier@gmail.com</v>
      </c>
      <c r="Q742" t="str">
        <f ca="1">""&amp;IFERROR(VLOOKUP(O742,EMAILS!B:D,3,FALSE),"NOT FOUND IN EMAILS")</f>
        <v/>
      </c>
      <c r="R742" t="str">
        <f ca="1">""&amp;IFERROR(VLOOKUP(O742,EMAILS!B:E,4,FALSE),"NO T FOUND IN EMAILS")</f>
        <v/>
      </c>
    </row>
    <row r="743" spans="2:18" x14ac:dyDescent="0.25">
      <c r="B743" s="5" t="s">
        <v>745</v>
      </c>
      <c r="C743" s="5" t="s">
        <v>4885</v>
      </c>
      <c r="D743" s="5">
        <v>2</v>
      </c>
      <c r="E743" s="5">
        <v>4</v>
      </c>
      <c r="F743" s="5">
        <v>6</v>
      </c>
      <c r="G743" s="5">
        <v>8</v>
      </c>
      <c r="H743" s="5">
        <v>4</v>
      </c>
      <c r="I743" s="5">
        <v>8</v>
      </c>
      <c r="J743" s="5">
        <v>16</v>
      </c>
      <c r="K743" s="5">
        <v>10</v>
      </c>
      <c r="L743" s="5">
        <v>0</v>
      </c>
      <c r="M743" s="5">
        <v>0</v>
      </c>
      <c r="N743" s="5">
        <v>0</v>
      </c>
      <c r="O743" s="5" t="str">
        <f t="shared" ca="1" si="11"/>
        <v>Supplier 199</v>
      </c>
      <c r="P743" s="20" t="str">
        <f ca="1">IFERROR(VLOOKUP(O743,EMAILS!B:C,2,FALSE),"NOT FOUND IN EMAILS")</f>
        <v>supplier@gmail.com</v>
      </c>
      <c r="Q743" t="str">
        <f ca="1">""&amp;IFERROR(VLOOKUP(O743,EMAILS!B:D,3,FALSE),"NOT FOUND IN EMAILS")</f>
        <v/>
      </c>
      <c r="R743" t="str">
        <f ca="1">""&amp;IFERROR(VLOOKUP(O743,EMAILS!B:E,4,FALSE),"NO T FOUND IN EMAILS")</f>
        <v/>
      </c>
    </row>
    <row r="744" spans="2:18" x14ac:dyDescent="0.25">
      <c r="B744" s="5" t="s">
        <v>746</v>
      </c>
      <c r="C744" s="5" t="s">
        <v>4886</v>
      </c>
      <c r="D744" s="5">
        <v>120</v>
      </c>
      <c r="E744" s="5">
        <v>80</v>
      </c>
      <c r="F744" s="5">
        <v>72</v>
      </c>
      <c r="G744" s="5">
        <v>72</v>
      </c>
      <c r="H744" s="5">
        <v>2</v>
      </c>
      <c r="I744" s="5">
        <v>2</v>
      </c>
      <c r="J744" s="5">
        <v>2</v>
      </c>
      <c r="K744" s="5">
        <v>2</v>
      </c>
      <c r="L744" s="5">
        <v>2</v>
      </c>
      <c r="M744" s="5">
        <v>0</v>
      </c>
      <c r="N744" s="5">
        <v>0</v>
      </c>
      <c r="O744" s="5" t="str">
        <f t="shared" ca="1" si="11"/>
        <v>Supplier 58</v>
      </c>
      <c r="P744" s="20" t="str">
        <f ca="1">IFERROR(VLOOKUP(O744,EMAILS!B:C,2,FALSE),"NOT FOUND IN EMAILS")</f>
        <v>supplier@gmail.com</v>
      </c>
      <c r="Q744" t="str">
        <f ca="1">""&amp;IFERROR(VLOOKUP(O744,EMAILS!B:D,3,FALSE),"NOT FOUND IN EMAILS")</f>
        <v/>
      </c>
      <c r="R744" t="str">
        <f ca="1">""&amp;IFERROR(VLOOKUP(O744,EMAILS!B:E,4,FALSE),"NO T FOUND IN EMAILS")</f>
        <v/>
      </c>
    </row>
    <row r="745" spans="2:18" x14ac:dyDescent="0.25">
      <c r="B745" s="5" t="s">
        <v>747</v>
      </c>
      <c r="C745" s="5" t="s">
        <v>4887</v>
      </c>
      <c r="D745" s="5">
        <v>108</v>
      </c>
      <c r="E745" s="5">
        <v>108</v>
      </c>
      <c r="F745" s="5">
        <v>124</v>
      </c>
      <c r="G745" s="5">
        <v>116</v>
      </c>
      <c r="H745" s="5">
        <v>2</v>
      </c>
      <c r="I745" s="5">
        <v>2</v>
      </c>
      <c r="J745" s="5">
        <v>2</v>
      </c>
      <c r="K745" s="5">
        <v>2</v>
      </c>
      <c r="L745" s="5">
        <v>18</v>
      </c>
      <c r="M745" s="5">
        <v>0</v>
      </c>
      <c r="N745" s="5">
        <v>0</v>
      </c>
      <c r="O745" s="5" t="str">
        <f t="shared" ca="1" si="11"/>
        <v>Supplier 200</v>
      </c>
      <c r="P745" s="20" t="str">
        <f ca="1">IFERROR(VLOOKUP(O745,EMAILS!B:C,2,FALSE),"NOT FOUND IN EMAILS")</f>
        <v>supplier@gmail.com</v>
      </c>
      <c r="Q745" t="str">
        <f ca="1">""&amp;IFERROR(VLOOKUP(O745,EMAILS!B:D,3,FALSE),"NOT FOUND IN EMAILS")</f>
        <v/>
      </c>
      <c r="R745" t="str">
        <f ca="1">""&amp;IFERROR(VLOOKUP(O745,EMAILS!B:E,4,FALSE),"NO T FOUND IN EMAILS")</f>
        <v/>
      </c>
    </row>
    <row r="746" spans="2:18" x14ac:dyDescent="0.25">
      <c r="B746" s="5" t="s">
        <v>748</v>
      </c>
      <c r="C746" s="5" t="s">
        <v>4888</v>
      </c>
      <c r="D746" s="5">
        <v>232</v>
      </c>
      <c r="E746" s="5">
        <v>184</v>
      </c>
      <c r="F746" s="5">
        <v>192</v>
      </c>
      <c r="G746" s="5">
        <v>168</v>
      </c>
      <c r="H746" s="5">
        <v>36</v>
      </c>
      <c r="I746" s="5">
        <v>4</v>
      </c>
      <c r="J746" s="5">
        <v>4</v>
      </c>
      <c r="K746" s="5">
        <v>4</v>
      </c>
      <c r="L746" s="5">
        <v>4</v>
      </c>
      <c r="M746" s="5">
        <v>0</v>
      </c>
      <c r="N746" s="5">
        <v>351</v>
      </c>
      <c r="O746" s="5" t="str">
        <f t="shared" ca="1" si="11"/>
        <v>Supplier 94</v>
      </c>
      <c r="P746" s="20" t="str">
        <f ca="1">IFERROR(VLOOKUP(O746,EMAILS!B:C,2,FALSE),"NOT FOUND IN EMAILS")</f>
        <v>supplier@gmail.com</v>
      </c>
      <c r="Q746" t="str">
        <f ca="1">""&amp;IFERROR(VLOOKUP(O746,EMAILS!B:D,3,FALSE),"NOT FOUND IN EMAILS")</f>
        <v/>
      </c>
      <c r="R746" t="str">
        <f ca="1">""&amp;IFERROR(VLOOKUP(O746,EMAILS!B:E,4,FALSE),"NO T FOUND IN EMAILS")</f>
        <v/>
      </c>
    </row>
    <row r="747" spans="2:18" x14ac:dyDescent="0.25">
      <c r="B747" s="5" t="s">
        <v>749</v>
      </c>
      <c r="C747" s="5" t="s">
        <v>4889</v>
      </c>
      <c r="D747" s="5">
        <v>28</v>
      </c>
      <c r="E747" s="5">
        <v>90</v>
      </c>
      <c r="F747" s="5">
        <v>48</v>
      </c>
      <c r="G747" s="5">
        <v>98</v>
      </c>
      <c r="H747" s="5">
        <v>98</v>
      </c>
      <c r="I747" s="5">
        <v>94</v>
      </c>
      <c r="J747" s="5">
        <v>36</v>
      </c>
      <c r="K747" s="5">
        <v>56</v>
      </c>
      <c r="L747" s="5">
        <v>52</v>
      </c>
      <c r="M747" s="5">
        <v>0</v>
      </c>
      <c r="N747" s="5">
        <v>1100</v>
      </c>
      <c r="O747" s="5" t="str">
        <f t="shared" ca="1" si="11"/>
        <v>Supplier 30</v>
      </c>
      <c r="P747" s="20" t="str">
        <f ca="1">IFERROR(VLOOKUP(O747,EMAILS!B:C,2,FALSE),"NOT FOUND IN EMAILS")</f>
        <v>supplier@gmail.com</v>
      </c>
      <c r="Q747" t="str">
        <f ca="1">""&amp;IFERROR(VLOOKUP(O747,EMAILS!B:D,3,FALSE),"NOT FOUND IN EMAILS")</f>
        <v/>
      </c>
      <c r="R747" t="str">
        <f ca="1">""&amp;IFERROR(VLOOKUP(O747,EMAILS!B:E,4,FALSE),"NO T FOUND IN EMAILS")</f>
        <v/>
      </c>
    </row>
    <row r="748" spans="2:18" x14ac:dyDescent="0.25">
      <c r="B748" s="5" t="s">
        <v>750</v>
      </c>
      <c r="C748" s="5" t="s">
        <v>4890</v>
      </c>
      <c r="D748" s="5">
        <v>333</v>
      </c>
      <c r="E748" s="5">
        <v>339</v>
      </c>
      <c r="F748" s="5">
        <v>372</v>
      </c>
      <c r="G748" s="5">
        <v>306</v>
      </c>
      <c r="H748" s="5">
        <v>366</v>
      </c>
      <c r="I748" s="5">
        <v>327</v>
      </c>
      <c r="J748" s="5">
        <v>291</v>
      </c>
      <c r="K748" s="5">
        <v>288</v>
      </c>
      <c r="L748" s="5">
        <v>237</v>
      </c>
      <c r="M748" s="5">
        <v>0</v>
      </c>
      <c r="N748" s="5">
        <v>2</v>
      </c>
      <c r="O748" s="5" t="str">
        <f t="shared" ca="1" si="11"/>
        <v>Supplier 153</v>
      </c>
      <c r="P748" s="20" t="str">
        <f ca="1">IFERROR(VLOOKUP(O748,EMAILS!B:C,2,FALSE),"NOT FOUND IN EMAILS")</f>
        <v>supplier@gmail.com</v>
      </c>
      <c r="Q748" t="str">
        <f ca="1">""&amp;IFERROR(VLOOKUP(O748,EMAILS!B:D,3,FALSE),"NOT FOUND IN EMAILS")</f>
        <v/>
      </c>
      <c r="R748" t="str">
        <f ca="1">""&amp;IFERROR(VLOOKUP(O748,EMAILS!B:E,4,FALSE),"NO T FOUND IN EMAILS")</f>
        <v/>
      </c>
    </row>
    <row r="749" spans="2:18" x14ac:dyDescent="0.25">
      <c r="B749" s="5" t="s">
        <v>751</v>
      </c>
      <c r="C749" s="5" t="s">
        <v>4891</v>
      </c>
      <c r="D749" s="5">
        <v>2</v>
      </c>
      <c r="E749" s="5">
        <v>1</v>
      </c>
      <c r="F749" s="5">
        <v>3</v>
      </c>
      <c r="G749" s="5">
        <v>0</v>
      </c>
      <c r="H749" s="5">
        <v>1</v>
      </c>
      <c r="I749" s="5">
        <v>0</v>
      </c>
      <c r="J749" s="5">
        <v>0</v>
      </c>
      <c r="K749" s="5">
        <v>1</v>
      </c>
      <c r="L749" s="5">
        <v>0</v>
      </c>
      <c r="M749" s="5">
        <v>0</v>
      </c>
      <c r="N749" s="5">
        <v>14</v>
      </c>
      <c r="O749" s="5" t="str">
        <f t="shared" ca="1" si="11"/>
        <v>Supplier 178</v>
      </c>
      <c r="P749" s="20" t="str">
        <f ca="1">IFERROR(VLOOKUP(O749,EMAILS!B:C,2,FALSE),"NOT FOUND IN EMAILS")</f>
        <v>supplier@gmail.com</v>
      </c>
      <c r="Q749" t="str">
        <f ca="1">""&amp;IFERROR(VLOOKUP(O749,EMAILS!B:D,3,FALSE),"NOT FOUND IN EMAILS")</f>
        <v/>
      </c>
      <c r="R749" t="str">
        <f ca="1">""&amp;IFERROR(VLOOKUP(O749,EMAILS!B:E,4,FALSE),"NO T FOUND IN EMAILS")</f>
        <v/>
      </c>
    </row>
    <row r="750" spans="2:18" x14ac:dyDescent="0.25">
      <c r="B750" s="5" t="s">
        <v>752</v>
      </c>
      <c r="C750" s="5" t="s">
        <v>4892</v>
      </c>
      <c r="D750" s="5">
        <v>0</v>
      </c>
      <c r="E750" s="5">
        <v>0</v>
      </c>
      <c r="F750" s="5">
        <v>0</v>
      </c>
      <c r="G750" s="5">
        <v>0</v>
      </c>
      <c r="H750" s="5">
        <v>0</v>
      </c>
      <c r="I750" s="5">
        <v>0</v>
      </c>
      <c r="J750" s="5">
        <v>0</v>
      </c>
      <c r="K750" s="5">
        <v>0</v>
      </c>
      <c r="L750" s="5">
        <v>0</v>
      </c>
      <c r="M750" s="5">
        <v>0</v>
      </c>
      <c r="N750" s="5">
        <v>4</v>
      </c>
      <c r="O750" s="5" t="str">
        <f t="shared" ca="1" si="11"/>
        <v>Supplier 71</v>
      </c>
      <c r="P750" s="20" t="str">
        <f ca="1">IFERROR(VLOOKUP(O750,EMAILS!B:C,2,FALSE),"NOT FOUND IN EMAILS")</f>
        <v>supplier@gmail.com</v>
      </c>
      <c r="Q750" t="str">
        <f ca="1">""&amp;IFERROR(VLOOKUP(O750,EMAILS!B:D,3,FALSE),"NOT FOUND IN EMAILS")</f>
        <v/>
      </c>
      <c r="R750" t="str">
        <f ca="1">""&amp;IFERROR(VLOOKUP(O750,EMAILS!B:E,4,FALSE),"NO T FOUND IN EMAILS")</f>
        <v/>
      </c>
    </row>
    <row r="751" spans="2:18" x14ac:dyDescent="0.25">
      <c r="B751" s="5" t="s">
        <v>753</v>
      </c>
      <c r="C751" s="5" t="s">
        <v>4893</v>
      </c>
      <c r="D751" s="5">
        <v>1</v>
      </c>
      <c r="E751" s="5">
        <v>1</v>
      </c>
      <c r="F751" s="5">
        <v>0</v>
      </c>
      <c r="G751" s="5">
        <v>1</v>
      </c>
      <c r="H751" s="5">
        <v>0</v>
      </c>
      <c r="I751" s="5">
        <v>1</v>
      </c>
      <c r="J751" s="5">
        <v>0</v>
      </c>
      <c r="K751" s="5">
        <v>1</v>
      </c>
      <c r="L751" s="5">
        <v>0</v>
      </c>
      <c r="M751" s="5">
        <v>0</v>
      </c>
      <c r="N751" s="5">
        <v>0</v>
      </c>
      <c r="O751" s="5" t="str">
        <f t="shared" ca="1" si="11"/>
        <v>Supplier 32</v>
      </c>
      <c r="P751" s="20" t="str">
        <f ca="1">IFERROR(VLOOKUP(O751,EMAILS!B:C,2,FALSE),"NOT FOUND IN EMAILS")</f>
        <v>supplier@gmail.com</v>
      </c>
      <c r="Q751" t="str">
        <f ca="1">""&amp;IFERROR(VLOOKUP(O751,EMAILS!B:D,3,FALSE),"NOT FOUND IN EMAILS")</f>
        <v/>
      </c>
      <c r="R751" t="str">
        <f ca="1">""&amp;IFERROR(VLOOKUP(O751,EMAILS!B:E,4,FALSE),"NO T FOUND IN EMAILS")</f>
        <v/>
      </c>
    </row>
    <row r="752" spans="2:18" x14ac:dyDescent="0.25">
      <c r="B752" s="5" t="s">
        <v>754</v>
      </c>
      <c r="C752" s="5" t="s">
        <v>4894</v>
      </c>
      <c r="D752" s="5">
        <v>0</v>
      </c>
      <c r="E752" s="5">
        <v>0</v>
      </c>
      <c r="F752" s="5">
        <v>0</v>
      </c>
      <c r="G752" s="5">
        <v>0</v>
      </c>
      <c r="H752" s="5">
        <v>0</v>
      </c>
      <c r="I752" s="5">
        <v>0</v>
      </c>
      <c r="J752" s="5">
        <v>0</v>
      </c>
      <c r="K752" s="5">
        <v>0</v>
      </c>
      <c r="L752" s="5">
        <v>0</v>
      </c>
      <c r="M752" s="5">
        <v>0</v>
      </c>
      <c r="N752" s="5">
        <v>2</v>
      </c>
      <c r="O752" s="5" t="str">
        <f t="shared" ca="1" si="11"/>
        <v>Supplier 70</v>
      </c>
      <c r="P752" s="20" t="str">
        <f ca="1">IFERROR(VLOOKUP(O752,EMAILS!B:C,2,FALSE),"NOT FOUND IN EMAILS")</f>
        <v>supplier@gmail.com</v>
      </c>
      <c r="Q752" t="str">
        <f ca="1">""&amp;IFERROR(VLOOKUP(O752,EMAILS!B:D,3,FALSE),"NOT FOUND IN EMAILS")</f>
        <v/>
      </c>
      <c r="R752" t="str">
        <f ca="1">""&amp;IFERROR(VLOOKUP(O752,EMAILS!B:E,4,FALSE),"NO T FOUND IN EMAILS")</f>
        <v/>
      </c>
    </row>
    <row r="753" spans="2:18" x14ac:dyDescent="0.25">
      <c r="B753" s="5" t="s">
        <v>755</v>
      </c>
      <c r="C753" s="5" t="s">
        <v>4895</v>
      </c>
      <c r="D753" s="5">
        <v>0</v>
      </c>
      <c r="E753" s="5">
        <v>0</v>
      </c>
      <c r="F753" s="5">
        <v>0</v>
      </c>
      <c r="G753" s="5">
        <v>0</v>
      </c>
      <c r="H753" s="5">
        <v>0</v>
      </c>
      <c r="I753" s="5">
        <v>0</v>
      </c>
      <c r="J753" s="5">
        <v>0</v>
      </c>
      <c r="K753" s="5">
        <v>0</v>
      </c>
      <c r="L753" s="5">
        <v>0</v>
      </c>
      <c r="M753" s="5">
        <v>0</v>
      </c>
      <c r="N753" s="5">
        <v>7</v>
      </c>
      <c r="O753" s="5" t="str">
        <f t="shared" ca="1" si="11"/>
        <v>Supplier 152</v>
      </c>
      <c r="P753" s="20" t="str">
        <f ca="1">IFERROR(VLOOKUP(O753,EMAILS!B:C,2,FALSE),"NOT FOUND IN EMAILS")</f>
        <v>supplier@gmail.com</v>
      </c>
      <c r="Q753" t="str">
        <f ca="1">""&amp;IFERROR(VLOOKUP(O753,EMAILS!B:D,3,FALSE),"NOT FOUND IN EMAILS")</f>
        <v/>
      </c>
      <c r="R753" t="str">
        <f ca="1">""&amp;IFERROR(VLOOKUP(O753,EMAILS!B:E,4,FALSE),"NO T FOUND IN EMAILS")</f>
        <v/>
      </c>
    </row>
    <row r="754" spans="2:18" x14ac:dyDescent="0.25">
      <c r="B754" s="5" t="s">
        <v>756</v>
      </c>
      <c r="C754" s="5" t="s">
        <v>4896</v>
      </c>
      <c r="D754" s="5">
        <v>0</v>
      </c>
      <c r="E754" s="5">
        <v>0</v>
      </c>
      <c r="F754" s="5">
        <v>0</v>
      </c>
      <c r="G754" s="5">
        <v>0</v>
      </c>
      <c r="H754" s="5">
        <v>0</v>
      </c>
      <c r="I754" s="5">
        <v>0</v>
      </c>
      <c r="J754" s="5">
        <v>0</v>
      </c>
      <c r="K754" s="5">
        <v>0</v>
      </c>
      <c r="L754" s="5">
        <v>0</v>
      </c>
      <c r="M754" s="5">
        <v>0</v>
      </c>
      <c r="N754" s="5">
        <v>0</v>
      </c>
      <c r="O754" s="5" t="str">
        <f t="shared" ca="1" si="11"/>
        <v>Supplier 35</v>
      </c>
      <c r="P754" s="20" t="str">
        <f ca="1">IFERROR(VLOOKUP(O754,EMAILS!B:C,2,FALSE),"NOT FOUND IN EMAILS")</f>
        <v>supplier@gmail.com</v>
      </c>
      <c r="Q754" t="str">
        <f ca="1">""&amp;IFERROR(VLOOKUP(O754,EMAILS!B:D,3,FALSE),"NOT FOUND IN EMAILS")</f>
        <v/>
      </c>
      <c r="R754" t="str">
        <f ca="1">""&amp;IFERROR(VLOOKUP(O754,EMAILS!B:E,4,FALSE),"NO T FOUND IN EMAILS")</f>
        <v/>
      </c>
    </row>
    <row r="755" spans="2:18" x14ac:dyDescent="0.25">
      <c r="B755" s="5" t="s">
        <v>757</v>
      </c>
      <c r="C755" s="5" t="s">
        <v>4897</v>
      </c>
      <c r="D755" s="5">
        <v>0</v>
      </c>
      <c r="E755" s="5">
        <v>0</v>
      </c>
      <c r="F755" s="5">
        <v>0</v>
      </c>
      <c r="G755" s="5">
        <v>0</v>
      </c>
      <c r="H755" s="5">
        <v>0</v>
      </c>
      <c r="I755" s="5">
        <v>0</v>
      </c>
      <c r="J755" s="5">
        <v>0</v>
      </c>
      <c r="K755" s="5">
        <v>0</v>
      </c>
      <c r="L755" s="5">
        <v>0</v>
      </c>
      <c r="M755" s="5">
        <v>0</v>
      </c>
      <c r="N755" s="5">
        <v>2</v>
      </c>
      <c r="O755" s="5" t="str">
        <f t="shared" ca="1" si="11"/>
        <v>Supplier 13</v>
      </c>
      <c r="P755" s="20" t="str">
        <f ca="1">IFERROR(VLOOKUP(O755,EMAILS!B:C,2,FALSE),"NOT FOUND IN EMAILS")</f>
        <v>supplier@gmail.com</v>
      </c>
      <c r="Q755" t="str">
        <f ca="1">""&amp;IFERROR(VLOOKUP(O755,EMAILS!B:D,3,FALSE),"NOT FOUND IN EMAILS")</f>
        <v>supplier_logistics@gmail.com</v>
      </c>
      <c r="R755" t="str">
        <f ca="1">""&amp;IFERROR(VLOOKUP(O755,EMAILS!B:E,4,FALSE),"NO T FOUND IN EMAILS")</f>
        <v/>
      </c>
    </row>
    <row r="756" spans="2:18" x14ac:dyDescent="0.25">
      <c r="B756" s="5" t="s">
        <v>758</v>
      </c>
      <c r="C756" s="5" t="s">
        <v>4898</v>
      </c>
      <c r="D756" s="5">
        <v>0</v>
      </c>
      <c r="E756" s="5">
        <v>0</v>
      </c>
      <c r="F756" s="5">
        <v>0</v>
      </c>
      <c r="G756" s="5">
        <v>0</v>
      </c>
      <c r="H756" s="5">
        <v>0</v>
      </c>
      <c r="I756" s="5">
        <v>0</v>
      </c>
      <c r="J756" s="5">
        <v>0</v>
      </c>
      <c r="K756" s="5">
        <v>0</v>
      </c>
      <c r="L756" s="5">
        <v>0</v>
      </c>
      <c r="M756" s="5">
        <v>0</v>
      </c>
      <c r="N756" s="5">
        <v>8</v>
      </c>
      <c r="O756" s="5" t="str">
        <f t="shared" ca="1" si="11"/>
        <v>Supplier 1</v>
      </c>
      <c r="P756" s="20" t="str">
        <f ca="1">IFERROR(VLOOKUP(O756,EMAILS!B:C,2,FALSE),"NOT FOUND IN EMAILS")</f>
        <v>supplier@gmail.com</v>
      </c>
      <c r="Q756" t="str">
        <f ca="1">""&amp;IFERROR(VLOOKUP(O756,EMAILS!B:D,3,FALSE),"NOT FOUND IN EMAILS")</f>
        <v>supplier_logistics@gmail.com</v>
      </c>
      <c r="R756" t="str">
        <f ca="1">""&amp;IFERROR(VLOOKUP(O756,EMAILS!B:E,4,FALSE),"NO T FOUND IN EMAILS")</f>
        <v/>
      </c>
    </row>
    <row r="757" spans="2:18" x14ac:dyDescent="0.25">
      <c r="B757" s="5" t="s">
        <v>759</v>
      </c>
      <c r="C757" s="5" t="s">
        <v>4899</v>
      </c>
      <c r="D757" s="5">
        <v>0</v>
      </c>
      <c r="E757" s="5">
        <v>0</v>
      </c>
      <c r="F757" s="5">
        <v>0</v>
      </c>
      <c r="G757" s="5">
        <v>0</v>
      </c>
      <c r="H757" s="5">
        <v>0</v>
      </c>
      <c r="I757" s="5">
        <v>0</v>
      </c>
      <c r="J757" s="5">
        <v>0</v>
      </c>
      <c r="K757" s="5">
        <v>0</v>
      </c>
      <c r="L757" s="5">
        <v>0</v>
      </c>
      <c r="M757" s="5">
        <v>0</v>
      </c>
      <c r="N757" s="5">
        <v>10</v>
      </c>
      <c r="O757" s="5" t="str">
        <f t="shared" ca="1" si="11"/>
        <v>Supplier 148</v>
      </c>
      <c r="P757" s="20" t="str">
        <f ca="1">IFERROR(VLOOKUP(O757,EMAILS!B:C,2,FALSE),"NOT FOUND IN EMAILS")</f>
        <v>supplier@gmail.com</v>
      </c>
      <c r="Q757" t="str">
        <f ca="1">""&amp;IFERROR(VLOOKUP(O757,EMAILS!B:D,3,FALSE),"NOT FOUND IN EMAILS")</f>
        <v/>
      </c>
      <c r="R757" t="str">
        <f ca="1">""&amp;IFERROR(VLOOKUP(O757,EMAILS!B:E,4,FALSE),"NO T FOUND IN EMAILS")</f>
        <v/>
      </c>
    </row>
    <row r="758" spans="2:18" x14ac:dyDescent="0.25">
      <c r="B758" s="5" t="s">
        <v>760</v>
      </c>
      <c r="C758" s="5" t="s">
        <v>4900</v>
      </c>
      <c r="D758" s="5">
        <v>0</v>
      </c>
      <c r="E758" s="5">
        <v>0</v>
      </c>
      <c r="F758" s="5">
        <v>0</v>
      </c>
      <c r="G758" s="5">
        <v>0</v>
      </c>
      <c r="H758" s="5">
        <v>0</v>
      </c>
      <c r="I758" s="5">
        <v>0</v>
      </c>
      <c r="J758" s="5">
        <v>0</v>
      </c>
      <c r="K758" s="5">
        <v>0</v>
      </c>
      <c r="L758" s="5">
        <v>0</v>
      </c>
      <c r="M758" s="5">
        <v>0</v>
      </c>
      <c r="N758" s="5">
        <v>329</v>
      </c>
      <c r="O758" s="5" t="str">
        <f t="shared" ca="1" si="11"/>
        <v>Supplier 151</v>
      </c>
      <c r="P758" s="20" t="str">
        <f ca="1">IFERROR(VLOOKUP(O758,EMAILS!B:C,2,FALSE),"NOT FOUND IN EMAILS")</f>
        <v>supplier@gmail.com</v>
      </c>
      <c r="Q758" t="str">
        <f ca="1">""&amp;IFERROR(VLOOKUP(O758,EMAILS!B:D,3,FALSE),"NOT FOUND IN EMAILS")</f>
        <v/>
      </c>
      <c r="R758" t="str">
        <f ca="1">""&amp;IFERROR(VLOOKUP(O758,EMAILS!B:E,4,FALSE),"NO T FOUND IN EMAILS")</f>
        <v/>
      </c>
    </row>
    <row r="759" spans="2:18" x14ac:dyDescent="0.25">
      <c r="B759" s="5" t="s">
        <v>761</v>
      </c>
      <c r="C759" s="5" t="s">
        <v>4901</v>
      </c>
      <c r="D759" s="5">
        <v>111</v>
      </c>
      <c r="E759" s="5">
        <v>83</v>
      </c>
      <c r="F759" s="5">
        <v>83</v>
      </c>
      <c r="G759" s="5">
        <v>83</v>
      </c>
      <c r="H759" s="5">
        <v>0</v>
      </c>
      <c r="I759" s="5">
        <v>0</v>
      </c>
      <c r="J759" s="5">
        <v>0</v>
      </c>
      <c r="K759" s="5">
        <v>0</v>
      </c>
      <c r="L759" s="5">
        <v>0</v>
      </c>
      <c r="M759" s="5">
        <v>0</v>
      </c>
      <c r="N759" s="5">
        <v>192</v>
      </c>
      <c r="O759" s="5" t="str">
        <f t="shared" ca="1" si="11"/>
        <v>Supplier 16</v>
      </c>
      <c r="P759" s="20" t="str">
        <f ca="1">IFERROR(VLOOKUP(O759,EMAILS!B:C,2,FALSE),"NOT FOUND IN EMAILS")</f>
        <v>supplier@gmail.com</v>
      </c>
      <c r="Q759" t="str">
        <f ca="1">""&amp;IFERROR(VLOOKUP(O759,EMAILS!B:D,3,FALSE),"NOT FOUND IN EMAILS")</f>
        <v>supplier_logistics@gmail.com</v>
      </c>
      <c r="R759" t="str">
        <f ca="1">""&amp;IFERROR(VLOOKUP(O759,EMAILS!B:E,4,FALSE),"NO T FOUND IN EMAILS")</f>
        <v/>
      </c>
    </row>
    <row r="760" spans="2:18" x14ac:dyDescent="0.25">
      <c r="B760" s="5" t="s">
        <v>762</v>
      </c>
      <c r="C760" s="5" t="s">
        <v>4902</v>
      </c>
      <c r="D760" s="5">
        <v>61</v>
      </c>
      <c r="E760" s="5">
        <v>41</v>
      </c>
      <c r="F760" s="5">
        <v>41</v>
      </c>
      <c r="G760" s="5">
        <v>41</v>
      </c>
      <c r="H760" s="5">
        <v>0</v>
      </c>
      <c r="I760" s="5">
        <v>0</v>
      </c>
      <c r="J760" s="5">
        <v>0</v>
      </c>
      <c r="K760" s="5">
        <v>0</v>
      </c>
      <c r="L760" s="5">
        <v>0</v>
      </c>
      <c r="M760" s="5">
        <v>0</v>
      </c>
      <c r="N760" s="5">
        <v>34</v>
      </c>
      <c r="O760" s="5" t="str">
        <f t="shared" ca="1" si="11"/>
        <v>Supplier 133</v>
      </c>
      <c r="P760" s="20" t="str">
        <f ca="1">IFERROR(VLOOKUP(O760,EMAILS!B:C,2,FALSE),"NOT FOUND IN EMAILS")</f>
        <v>supplier@gmail.com</v>
      </c>
      <c r="Q760" t="str">
        <f ca="1">""&amp;IFERROR(VLOOKUP(O760,EMAILS!B:D,3,FALSE),"NOT FOUND IN EMAILS")</f>
        <v/>
      </c>
      <c r="R760" t="str">
        <f ca="1">""&amp;IFERROR(VLOOKUP(O760,EMAILS!B:E,4,FALSE),"NO T FOUND IN EMAILS")</f>
        <v/>
      </c>
    </row>
    <row r="761" spans="2:18" x14ac:dyDescent="0.25">
      <c r="B761" s="5" t="s">
        <v>763</v>
      </c>
      <c r="C761" s="5" t="s">
        <v>4903</v>
      </c>
      <c r="D761" s="5">
        <v>7</v>
      </c>
      <c r="E761" s="5">
        <v>7</v>
      </c>
      <c r="F761" s="5">
        <v>7</v>
      </c>
      <c r="G761" s="5">
        <v>7</v>
      </c>
      <c r="H761" s="5">
        <v>0</v>
      </c>
      <c r="I761" s="5">
        <v>0</v>
      </c>
      <c r="J761" s="5">
        <v>0</v>
      </c>
      <c r="K761" s="5">
        <v>0</v>
      </c>
      <c r="L761" s="5">
        <v>0</v>
      </c>
      <c r="M761" s="5">
        <v>0</v>
      </c>
      <c r="N761" s="5">
        <v>0</v>
      </c>
      <c r="O761" s="5" t="str">
        <f t="shared" ca="1" si="11"/>
        <v>Supplier 138</v>
      </c>
      <c r="P761" s="20" t="str">
        <f ca="1">IFERROR(VLOOKUP(O761,EMAILS!B:C,2,FALSE),"NOT FOUND IN EMAILS")</f>
        <v>supplier@gmail.com</v>
      </c>
      <c r="Q761" t="str">
        <f ca="1">""&amp;IFERROR(VLOOKUP(O761,EMAILS!B:D,3,FALSE),"NOT FOUND IN EMAILS")</f>
        <v/>
      </c>
      <c r="R761" t="str">
        <f ca="1">""&amp;IFERROR(VLOOKUP(O761,EMAILS!B:E,4,FALSE),"NO T FOUND IN EMAILS")</f>
        <v/>
      </c>
    </row>
    <row r="762" spans="2:18" x14ac:dyDescent="0.25">
      <c r="B762" s="5" t="s">
        <v>764</v>
      </c>
      <c r="C762" s="5" t="s">
        <v>4904</v>
      </c>
      <c r="D762" s="5">
        <v>0</v>
      </c>
      <c r="E762" s="5">
        <v>0</v>
      </c>
      <c r="F762" s="5">
        <v>0</v>
      </c>
      <c r="G762" s="5">
        <v>0</v>
      </c>
      <c r="H762" s="5">
        <v>0</v>
      </c>
      <c r="I762" s="5">
        <v>0</v>
      </c>
      <c r="J762" s="5">
        <v>0</v>
      </c>
      <c r="K762" s="5">
        <v>0</v>
      </c>
      <c r="L762" s="5">
        <v>0</v>
      </c>
      <c r="M762" s="5">
        <v>0</v>
      </c>
      <c r="N762" s="5">
        <v>36</v>
      </c>
      <c r="O762" s="5" t="str">
        <f t="shared" ca="1" si="11"/>
        <v>Supplier 71</v>
      </c>
      <c r="P762" s="20" t="str">
        <f ca="1">IFERROR(VLOOKUP(O762,EMAILS!B:C,2,FALSE),"NOT FOUND IN EMAILS")</f>
        <v>supplier@gmail.com</v>
      </c>
      <c r="Q762" t="str">
        <f ca="1">""&amp;IFERROR(VLOOKUP(O762,EMAILS!B:D,3,FALSE),"NOT FOUND IN EMAILS")</f>
        <v/>
      </c>
      <c r="R762" t="str">
        <f ca="1">""&amp;IFERROR(VLOOKUP(O762,EMAILS!B:E,4,FALSE),"NO T FOUND IN EMAILS")</f>
        <v/>
      </c>
    </row>
    <row r="763" spans="2:18" x14ac:dyDescent="0.25">
      <c r="B763" s="5" t="s">
        <v>765</v>
      </c>
      <c r="C763" s="5" t="s">
        <v>4905</v>
      </c>
      <c r="D763" s="5">
        <v>0</v>
      </c>
      <c r="E763" s="5">
        <v>0</v>
      </c>
      <c r="F763" s="5">
        <v>0</v>
      </c>
      <c r="G763" s="5">
        <v>0</v>
      </c>
      <c r="H763" s="5">
        <v>0</v>
      </c>
      <c r="I763" s="5">
        <v>0</v>
      </c>
      <c r="J763" s="5">
        <v>0</v>
      </c>
      <c r="K763" s="5">
        <v>0</v>
      </c>
      <c r="L763" s="5">
        <v>0</v>
      </c>
      <c r="M763" s="5">
        <v>0</v>
      </c>
      <c r="N763" s="5">
        <v>72</v>
      </c>
      <c r="O763" s="5" t="str">
        <f t="shared" ca="1" si="11"/>
        <v>Supplier 50</v>
      </c>
      <c r="P763" s="20" t="str">
        <f ca="1">IFERROR(VLOOKUP(O763,EMAILS!B:C,2,FALSE),"NOT FOUND IN EMAILS")</f>
        <v>supplier@gmail.com</v>
      </c>
      <c r="Q763" t="str">
        <f ca="1">""&amp;IFERROR(VLOOKUP(O763,EMAILS!B:D,3,FALSE),"NOT FOUND IN EMAILS")</f>
        <v/>
      </c>
      <c r="R763" t="str">
        <f ca="1">""&amp;IFERROR(VLOOKUP(O763,EMAILS!B:E,4,FALSE),"NO T FOUND IN EMAILS")</f>
        <v/>
      </c>
    </row>
    <row r="764" spans="2:18" x14ac:dyDescent="0.25">
      <c r="B764" s="5" t="s">
        <v>766</v>
      </c>
      <c r="C764" s="5" t="s">
        <v>4906</v>
      </c>
      <c r="D764" s="5">
        <v>53</v>
      </c>
      <c r="E764" s="5">
        <v>0</v>
      </c>
      <c r="F764" s="5">
        <v>0</v>
      </c>
      <c r="G764" s="5">
        <v>0</v>
      </c>
      <c r="H764" s="5">
        <v>0</v>
      </c>
      <c r="I764" s="5">
        <v>0</v>
      </c>
      <c r="J764" s="5">
        <v>0</v>
      </c>
      <c r="K764" s="5">
        <v>0</v>
      </c>
      <c r="L764" s="5">
        <v>0</v>
      </c>
      <c r="M764" s="5">
        <v>0</v>
      </c>
      <c r="N764" s="5">
        <v>64</v>
      </c>
      <c r="O764" s="5" t="str">
        <f t="shared" ca="1" si="11"/>
        <v>Supplier 122</v>
      </c>
      <c r="P764" s="20" t="str">
        <f ca="1">IFERROR(VLOOKUP(O764,EMAILS!B:C,2,FALSE),"NOT FOUND IN EMAILS")</f>
        <v>supplier@gmail.com</v>
      </c>
      <c r="Q764" t="str">
        <f ca="1">""&amp;IFERROR(VLOOKUP(O764,EMAILS!B:D,3,FALSE),"NOT FOUND IN EMAILS")</f>
        <v/>
      </c>
      <c r="R764" t="str">
        <f ca="1">""&amp;IFERROR(VLOOKUP(O764,EMAILS!B:E,4,FALSE),"NO T FOUND IN EMAILS")</f>
        <v/>
      </c>
    </row>
    <row r="765" spans="2:18" x14ac:dyDescent="0.25">
      <c r="B765" s="5" t="s">
        <v>767</v>
      </c>
      <c r="C765" s="5" t="s">
        <v>4907</v>
      </c>
      <c r="D765" s="5">
        <v>0</v>
      </c>
      <c r="E765" s="5">
        <v>20</v>
      </c>
      <c r="F765" s="5">
        <v>0</v>
      </c>
      <c r="G765" s="5">
        <v>0</v>
      </c>
      <c r="H765" s="5">
        <v>0</v>
      </c>
      <c r="I765" s="5">
        <v>0</v>
      </c>
      <c r="J765" s="5">
        <v>0</v>
      </c>
      <c r="K765" s="5">
        <v>0</v>
      </c>
      <c r="L765" s="5">
        <v>0</v>
      </c>
      <c r="M765" s="5">
        <v>0</v>
      </c>
      <c r="N765" s="5">
        <v>35</v>
      </c>
      <c r="O765" s="5" t="str">
        <f t="shared" ca="1" si="11"/>
        <v>Supplier 126</v>
      </c>
      <c r="P765" s="20" t="str">
        <f ca="1">IFERROR(VLOOKUP(O765,EMAILS!B:C,2,FALSE),"NOT FOUND IN EMAILS")</f>
        <v>supplier@gmail.com</v>
      </c>
      <c r="Q765" t="str">
        <f ca="1">""&amp;IFERROR(VLOOKUP(O765,EMAILS!B:D,3,FALSE),"NOT FOUND IN EMAILS")</f>
        <v/>
      </c>
      <c r="R765" t="str">
        <f ca="1">""&amp;IFERROR(VLOOKUP(O765,EMAILS!B:E,4,FALSE),"NO T FOUND IN EMAILS")</f>
        <v/>
      </c>
    </row>
    <row r="766" spans="2:18" x14ac:dyDescent="0.25">
      <c r="B766" s="5" t="s">
        <v>768</v>
      </c>
      <c r="C766" s="5" t="s">
        <v>4908</v>
      </c>
      <c r="D766" s="5">
        <v>0</v>
      </c>
      <c r="E766" s="5">
        <v>20</v>
      </c>
      <c r="F766" s="5">
        <v>0</v>
      </c>
      <c r="G766" s="5">
        <v>0</v>
      </c>
      <c r="H766" s="5">
        <v>0</v>
      </c>
      <c r="I766" s="5">
        <v>0</v>
      </c>
      <c r="J766" s="5">
        <v>0</v>
      </c>
      <c r="K766" s="5">
        <v>0</v>
      </c>
      <c r="L766" s="5">
        <v>0</v>
      </c>
      <c r="M766" s="5">
        <v>0</v>
      </c>
      <c r="N766" s="5">
        <v>14777</v>
      </c>
      <c r="O766" s="5" t="str">
        <f t="shared" ca="1" si="11"/>
        <v>Supplier 197</v>
      </c>
      <c r="P766" s="20" t="str">
        <f ca="1">IFERROR(VLOOKUP(O766,EMAILS!B:C,2,FALSE),"NOT FOUND IN EMAILS")</f>
        <v>supplier@gmail.com</v>
      </c>
      <c r="Q766" t="str">
        <f ca="1">""&amp;IFERROR(VLOOKUP(O766,EMAILS!B:D,3,FALSE),"NOT FOUND IN EMAILS")</f>
        <v/>
      </c>
      <c r="R766" t="str">
        <f ca="1">""&amp;IFERROR(VLOOKUP(O766,EMAILS!B:E,4,FALSE),"NO T FOUND IN EMAILS")</f>
        <v/>
      </c>
    </row>
    <row r="767" spans="2:18" x14ac:dyDescent="0.25">
      <c r="B767" s="5" t="s">
        <v>769</v>
      </c>
      <c r="C767" s="5" t="s">
        <v>4909</v>
      </c>
      <c r="D767" s="5">
        <v>750</v>
      </c>
      <c r="E767" s="5">
        <v>0</v>
      </c>
      <c r="F767" s="5">
        <v>1200</v>
      </c>
      <c r="G767" s="5">
        <v>1200</v>
      </c>
      <c r="H767" s="5">
        <v>1200</v>
      </c>
      <c r="I767" s="5">
        <v>1200</v>
      </c>
      <c r="J767" s="5">
        <v>0</v>
      </c>
      <c r="K767" s="5">
        <v>2000</v>
      </c>
      <c r="L767" s="5">
        <v>2000</v>
      </c>
      <c r="M767" s="5">
        <v>0</v>
      </c>
      <c r="N767" s="5">
        <v>0</v>
      </c>
      <c r="O767" s="5" t="str">
        <f t="shared" ca="1" si="11"/>
        <v>Supplier 137</v>
      </c>
      <c r="P767" s="20" t="str">
        <f ca="1">IFERROR(VLOOKUP(O767,EMAILS!B:C,2,FALSE),"NOT FOUND IN EMAILS")</f>
        <v>supplier@gmail.com</v>
      </c>
      <c r="Q767" t="str">
        <f ca="1">""&amp;IFERROR(VLOOKUP(O767,EMAILS!B:D,3,FALSE),"NOT FOUND IN EMAILS")</f>
        <v/>
      </c>
      <c r="R767" t="str">
        <f ca="1">""&amp;IFERROR(VLOOKUP(O767,EMAILS!B:E,4,FALSE),"NO T FOUND IN EMAILS")</f>
        <v/>
      </c>
    </row>
    <row r="768" spans="2:18" x14ac:dyDescent="0.25">
      <c r="B768" s="5" t="s">
        <v>770</v>
      </c>
      <c r="C768" s="5" t="s">
        <v>4910</v>
      </c>
      <c r="D768" s="5">
        <v>0</v>
      </c>
      <c r="E768" s="5">
        <v>0.9</v>
      </c>
      <c r="F768" s="5">
        <v>0</v>
      </c>
      <c r="G768" s="5">
        <v>0</v>
      </c>
      <c r="H768" s="5">
        <v>0</v>
      </c>
      <c r="I768" s="5">
        <v>0</v>
      </c>
      <c r="J768" s="5">
        <v>0</v>
      </c>
      <c r="K768" s="5">
        <v>0</v>
      </c>
      <c r="L768" s="5">
        <v>0</v>
      </c>
      <c r="M768" s="5">
        <v>0</v>
      </c>
      <c r="N768" s="5">
        <v>71.23</v>
      </c>
      <c r="O768" s="5" t="str">
        <f t="shared" ca="1" si="11"/>
        <v>Supplier 166</v>
      </c>
      <c r="P768" s="20" t="str">
        <f ca="1">IFERROR(VLOOKUP(O768,EMAILS!B:C,2,FALSE),"NOT FOUND IN EMAILS")</f>
        <v>supplier@gmail.com</v>
      </c>
      <c r="Q768" t="str">
        <f ca="1">""&amp;IFERROR(VLOOKUP(O768,EMAILS!B:D,3,FALSE),"NOT FOUND IN EMAILS")</f>
        <v/>
      </c>
      <c r="R768" t="str">
        <f ca="1">""&amp;IFERROR(VLOOKUP(O768,EMAILS!B:E,4,FALSE),"NO T FOUND IN EMAILS")</f>
        <v/>
      </c>
    </row>
    <row r="769" spans="2:18" x14ac:dyDescent="0.25">
      <c r="B769" s="5" t="s">
        <v>771</v>
      </c>
      <c r="C769" s="5" t="s">
        <v>4911</v>
      </c>
      <c r="D769" s="5">
        <v>14.44</v>
      </c>
      <c r="E769" s="5">
        <v>13.81</v>
      </c>
      <c r="F769" s="5">
        <v>6.55</v>
      </c>
      <c r="G769" s="5">
        <v>27.187999999999999</v>
      </c>
      <c r="H769" s="5">
        <v>9.927999999999999</v>
      </c>
      <c r="I769" s="5">
        <v>9.3979999999999979</v>
      </c>
      <c r="J769" s="5">
        <v>8.4600000000000009</v>
      </c>
      <c r="K769" s="5">
        <v>10.887999999999998</v>
      </c>
      <c r="L769" s="5">
        <v>9.4879999999999995</v>
      </c>
      <c r="M769" s="5">
        <v>0</v>
      </c>
      <c r="N769" s="5">
        <v>150</v>
      </c>
      <c r="O769" s="5" t="str">
        <f t="shared" ca="1" si="11"/>
        <v>Supplier 153</v>
      </c>
      <c r="P769" s="20" t="str">
        <f ca="1">IFERROR(VLOOKUP(O769,EMAILS!B:C,2,FALSE),"NOT FOUND IN EMAILS")</f>
        <v>supplier@gmail.com</v>
      </c>
      <c r="Q769" t="str">
        <f ca="1">""&amp;IFERROR(VLOOKUP(O769,EMAILS!B:D,3,FALSE),"NOT FOUND IN EMAILS")</f>
        <v/>
      </c>
      <c r="R769" t="str">
        <f ca="1">""&amp;IFERROR(VLOOKUP(O769,EMAILS!B:E,4,FALSE),"NO T FOUND IN EMAILS")</f>
        <v/>
      </c>
    </row>
    <row r="770" spans="2:18" x14ac:dyDescent="0.25">
      <c r="B770" s="5" t="s">
        <v>772</v>
      </c>
      <c r="C770" s="5" t="s">
        <v>4912</v>
      </c>
      <c r="D770" s="5">
        <v>450</v>
      </c>
      <c r="E770" s="5">
        <v>175</v>
      </c>
      <c r="F770" s="5">
        <v>395</v>
      </c>
      <c r="G770" s="5">
        <v>395</v>
      </c>
      <c r="H770" s="5">
        <v>395</v>
      </c>
      <c r="I770" s="5">
        <v>395</v>
      </c>
      <c r="J770" s="5">
        <v>395</v>
      </c>
      <c r="K770" s="5">
        <v>395</v>
      </c>
      <c r="L770" s="5">
        <v>395</v>
      </c>
      <c r="M770" s="5">
        <v>0</v>
      </c>
      <c r="N770" s="5">
        <v>221</v>
      </c>
      <c r="O770" s="5" t="str">
        <f t="shared" ca="1" si="11"/>
        <v>Supplier 101</v>
      </c>
      <c r="P770" s="20" t="str">
        <f ca="1">IFERROR(VLOOKUP(O770,EMAILS!B:C,2,FALSE),"NOT FOUND IN EMAILS")</f>
        <v>supplier@gmail.com</v>
      </c>
      <c r="Q770" t="str">
        <f ca="1">""&amp;IFERROR(VLOOKUP(O770,EMAILS!B:D,3,FALSE),"NOT FOUND IN EMAILS")</f>
        <v/>
      </c>
      <c r="R770" t="str">
        <f ca="1">""&amp;IFERROR(VLOOKUP(O770,EMAILS!B:E,4,FALSE),"NO T FOUND IN EMAILS")</f>
        <v/>
      </c>
    </row>
    <row r="771" spans="2:18" x14ac:dyDescent="0.25">
      <c r="B771" s="5" t="s">
        <v>773</v>
      </c>
      <c r="C771" s="5" t="s">
        <v>4913</v>
      </c>
      <c r="D771" s="5">
        <v>5</v>
      </c>
      <c r="E771" s="5">
        <v>0</v>
      </c>
      <c r="F771" s="5">
        <v>0</v>
      </c>
      <c r="G771" s="5">
        <v>0</v>
      </c>
      <c r="H771" s="5">
        <v>0</v>
      </c>
      <c r="I771" s="5">
        <v>0</v>
      </c>
      <c r="J771" s="5">
        <v>0</v>
      </c>
      <c r="K771" s="5">
        <v>0</v>
      </c>
      <c r="L771" s="5">
        <v>0</v>
      </c>
      <c r="M771" s="5">
        <v>0</v>
      </c>
      <c r="N771" s="5">
        <v>1500</v>
      </c>
      <c r="O771" s="5" t="str">
        <f t="shared" ref="O771:O834" ca="1" si="12">"Supplier "&amp;RANDBETWEEN(1,200)</f>
        <v>Supplier 156</v>
      </c>
      <c r="P771" s="20" t="str">
        <f ca="1">IFERROR(VLOOKUP(O771,EMAILS!B:C,2,FALSE),"NOT FOUND IN EMAILS")</f>
        <v>supplier@gmail.com</v>
      </c>
      <c r="Q771" t="str">
        <f ca="1">""&amp;IFERROR(VLOOKUP(O771,EMAILS!B:D,3,FALSE),"NOT FOUND IN EMAILS")</f>
        <v/>
      </c>
      <c r="R771" t="str">
        <f ca="1">""&amp;IFERROR(VLOOKUP(O771,EMAILS!B:E,4,FALSE),"NO T FOUND IN EMAILS")</f>
        <v/>
      </c>
    </row>
    <row r="772" spans="2:18" x14ac:dyDescent="0.25">
      <c r="B772" s="5" t="s">
        <v>774</v>
      </c>
      <c r="C772" s="5" t="s">
        <v>4914</v>
      </c>
      <c r="D772" s="5">
        <v>0</v>
      </c>
      <c r="E772" s="5">
        <v>0</v>
      </c>
      <c r="F772" s="5">
        <v>0</v>
      </c>
      <c r="G772" s="5">
        <v>0</v>
      </c>
      <c r="H772" s="5">
        <v>0</v>
      </c>
      <c r="I772" s="5">
        <v>0</v>
      </c>
      <c r="J772" s="5">
        <v>0</v>
      </c>
      <c r="K772" s="5">
        <v>0</v>
      </c>
      <c r="L772" s="5">
        <v>0</v>
      </c>
      <c r="M772" s="5">
        <v>0</v>
      </c>
      <c r="N772" s="5">
        <v>0</v>
      </c>
      <c r="O772" s="5" t="str">
        <f t="shared" ca="1" si="12"/>
        <v>Supplier 32</v>
      </c>
      <c r="P772" s="20" t="str">
        <f ca="1">IFERROR(VLOOKUP(O772,EMAILS!B:C,2,FALSE),"NOT FOUND IN EMAILS")</f>
        <v>supplier@gmail.com</v>
      </c>
      <c r="Q772" t="str">
        <f ca="1">""&amp;IFERROR(VLOOKUP(O772,EMAILS!B:D,3,FALSE),"NOT FOUND IN EMAILS")</f>
        <v/>
      </c>
      <c r="R772" t="str">
        <f ca="1">""&amp;IFERROR(VLOOKUP(O772,EMAILS!B:E,4,FALSE),"NO T FOUND IN EMAILS")</f>
        <v/>
      </c>
    </row>
    <row r="773" spans="2:18" x14ac:dyDescent="0.25">
      <c r="B773" s="5" t="s">
        <v>775</v>
      </c>
      <c r="C773" s="5" t="s">
        <v>4915</v>
      </c>
      <c r="D773" s="5">
        <v>5</v>
      </c>
      <c r="E773" s="5">
        <v>0</v>
      </c>
      <c r="F773" s="5">
        <v>0</v>
      </c>
      <c r="G773" s="5">
        <v>0</v>
      </c>
      <c r="H773" s="5">
        <v>0</v>
      </c>
      <c r="I773" s="5">
        <v>0</v>
      </c>
      <c r="J773" s="5">
        <v>0</v>
      </c>
      <c r="K773" s="5">
        <v>0</v>
      </c>
      <c r="L773" s="5">
        <v>0</v>
      </c>
      <c r="M773" s="5">
        <v>0</v>
      </c>
      <c r="N773" s="5">
        <v>0</v>
      </c>
      <c r="O773" s="5" t="str">
        <f t="shared" ca="1" si="12"/>
        <v>Supplier 86</v>
      </c>
      <c r="P773" s="20" t="str">
        <f ca="1">IFERROR(VLOOKUP(O773,EMAILS!B:C,2,FALSE),"NOT FOUND IN EMAILS")</f>
        <v>supplier@gmail.com</v>
      </c>
      <c r="Q773" t="str">
        <f ca="1">""&amp;IFERROR(VLOOKUP(O773,EMAILS!B:D,3,FALSE),"NOT FOUND IN EMAILS")</f>
        <v/>
      </c>
      <c r="R773" t="str">
        <f ca="1">""&amp;IFERROR(VLOOKUP(O773,EMAILS!B:E,4,FALSE),"NO T FOUND IN EMAILS")</f>
        <v/>
      </c>
    </row>
    <row r="774" spans="2:18" x14ac:dyDescent="0.25">
      <c r="B774" s="5" t="s">
        <v>776</v>
      </c>
      <c r="C774" s="5" t="s">
        <v>4916</v>
      </c>
      <c r="D774" s="5">
        <v>0</v>
      </c>
      <c r="E774" s="5">
        <v>0</v>
      </c>
      <c r="F774" s="5">
        <v>0</v>
      </c>
      <c r="G774" s="5">
        <v>0</v>
      </c>
      <c r="H774" s="5">
        <v>0</v>
      </c>
      <c r="I774" s="5">
        <v>0</v>
      </c>
      <c r="J774" s="5">
        <v>0</v>
      </c>
      <c r="K774" s="5">
        <v>0</v>
      </c>
      <c r="L774" s="5">
        <v>0</v>
      </c>
      <c r="M774" s="5">
        <v>0</v>
      </c>
      <c r="N774" s="5">
        <v>399.6</v>
      </c>
      <c r="O774" s="5" t="str">
        <f t="shared" ca="1" si="12"/>
        <v>Supplier 196</v>
      </c>
      <c r="P774" s="20" t="str">
        <f ca="1">IFERROR(VLOOKUP(O774,EMAILS!B:C,2,FALSE),"NOT FOUND IN EMAILS")</f>
        <v>supplier@gmail.com</v>
      </c>
      <c r="Q774" t="str">
        <f ca="1">""&amp;IFERROR(VLOOKUP(O774,EMAILS!B:D,3,FALSE),"NOT FOUND IN EMAILS")</f>
        <v/>
      </c>
      <c r="R774" t="str">
        <f ca="1">""&amp;IFERROR(VLOOKUP(O774,EMAILS!B:E,4,FALSE),"NO T FOUND IN EMAILS")</f>
        <v/>
      </c>
    </row>
    <row r="775" spans="2:18" x14ac:dyDescent="0.25">
      <c r="B775" s="5" t="s">
        <v>777</v>
      </c>
      <c r="C775" s="5" t="s">
        <v>4917</v>
      </c>
      <c r="D775" s="5">
        <v>1.44</v>
      </c>
      <c r="E775" s="5">
        <v>0</v>
      </c>
      <c r="F775" s="5">
        <v>30.05</v>
      </c>
      <c r="G775" s="5">
        <v>6.28</v>
      </c>
      <c r="H775" s="5">
        <v>4.54</v>
      </c>
      <c r="I775" s="5">
        <v>0</v>
      </c>
      <c r="J775" s="5">
        <v>3.1</v>
      </c>
      <c r="K775" s="5">
        <v>17.350000000000001</v>
      </c>
      <c r="L775" s="5">
        <v>0</v>
      </c>
      <c r="M775" s="5">
        <v>0</v>
      </c>
      <c r="N775" s="5">
        <v>600</v>
      </c>
      <c r="O775" s="5" t="str">
        <f t="shared" ca="1" si="12"/>
        <v>Supplier 31</v>
      </c>
      <c r="P775" s="20" t="str">
        <f ca="1">IFERROR(VLOOKUP(O775,EMAILS!B:C,2,FALSE),"NOT FOUND IN EMAILS")</f>
        <v>supplier@gmail.com</v>
      </c>
      <c r="Q775" t="str">
        <f ca="1">""&amp;IFERROR(VLOOKUP(O775,EMAILS!B:D,3,FALSE),"NOT FOUND IN EMAILS")</f>
        <v/>
      </c>
      <c r="R775" t="str">
        <f ca="1">""&amp;IFERROR(VLOOKUP(O775,EMAILS!B:E,4,FALSE),"NO T FOUND IN EMAILS")</f>
        <v/>
      </c>
    </row>
    <row r="776" spans="2:18" x14ac:dyDescent="0.25">
      <c r="B776" s="5" t="s">
        <v>778</v>
      </c>
      <c r="C776" s="5" t="s">
        <v>4918</v>
      </c>
      <c r="D776" s="5">
        <v>0.245</v>
      </c>
      <c r="E776" s="5">
        <v>0</v>
      </c>
      <c r="F776" s="5">
        <v>4.9850000000000003</v>
      </c>
      <c r="G776" s="5">
        <v>1.17</v>
      </c>
      <c r="H776" s="5">
        <v>0.745</v>
      </c>
      <c r="I776" s="5">
        <v>0</v>
      </c>
      <c r="J776" s="5">
        <v>0.5</v>
      </c>
      <c r="K776" s="5">
        <v>1.25</v>
      </c>
      <c r="L776" s="5">
        <v>0</v>
      </c>
      <c r="M776" s="5">
        <v>0</v>
      </c>
      <c r="N776" s="5">
        <v>226.4</v>
      </c>
      <c r="O776" s="5" t="str">
        <f t="shared" ca="1" si="12"/>
        <v>Supplier 141</v>
      </c>
      <c r="P776" s="20" t="str">
        <f ca="1">IFERROR(VLOOKUP(O776,EMAILS!B:C,2,FALSE),"NOT FOUND IN EMAILS")</f>
        <v>supplier@gmail.com</v>
      </c>
      <c r="Q776" t="str">
        <f ca="1">""&amp;IFERROR(VLOOKUP(O776,EMAILS!B:D,3,FALSE),"NOT FOUND IN EMAILS")</f>
        <v/>
      </c>
      <c r="R776" t="str">
        <f ca="1">""&amp;IFERROR(VLOOKUP(O776,EMAILS!B:E,4,FALSE),"NO T FOUND IN EMAILS")</f>
        <v/>
      </c>
    </row>
    <row r="777" spans="2:18" x14ac:dyDescent="0.25">
      <c r="B777" s="5" t="s">
        <v>779</v>
      </c>
      <c r="C777" s="5" t="s">
        <v>4919</v>
      </c>
      <c r="D777" s="5">
        <v>0</v>
      </c>
      <c r="E777" s="5">
        <v>0</v>
      </c>
      <c r="F777" s="5">
        <v>0</v>
      </c>
      <c r="G777" s="5">
        <v>0.628</v>
      </c>
      <c r="H777" s="5">
        <v>0</v>
      </c>
      <c r="I777" s="5">
        <v>0</v>
      </c>
      <c r="J777" s="5">
        <v>0</v>
      </c>
      <c r="K777" s="5">
        <v>0.6</v>
      </c>
      <c r="L777" s="5">
        <v>0</v>
      </c>
      <c r="M777" s="5">
        <v>0</v>
      </c>
      <c r="N777" s="5">
        <v>26</v>
      </c>
      <c r="O777" s="5" t="str">
        <f t="shared" ca="1" si="12"/>
        <v>Supplier 110</v>
      </c>
      <c r="P777" s="20" t="str">
        <f ca="1">IFERROR(VLOOKUP(O777,EMAILS!B:C,2,FALSE),"NOT FOUND IN EMAILS")</f>
        <v>supplier@gmail.com</v>
      </c>
      <c r="Q777" t="str">
        <f ca="1">""&amp;IFERROR(VLOOKUP(O777,EMAILS!B:D,3,FALSE),"NOT FOUND IN EMAILS")</f>
        <v/>
      </c>
      <c r="R777" t="str">
        <f ca="1">""&amp;IFERROR(VLOOKUP(O777,EMAILS!B:E,4,FALSE),"NO T FOUND IN EMAILS")</f>
        <v/>
      </c>
    </row>
    <row r="778" spans="2:18" x14ac:dyDescent="0.25">
      <c r="B778" s="5" t="s">
        <v>780</v>
      </c>
      <c r="C778" s="5" t="s">
        <v>4920</v>
      </c>
      <c r="D778" s="5">
        <v>0</v>
      </c>
      <c r="E778" s="5">
        <v>0</v>
      </c>
      <c r="F778" s="5">
        <v>0.4</v>
      </c>
      <c r="G778" s="5">
        <v>0.57999999999999996</v>
      </c>
      <c r="H778" s="5">
        <v>0</v>
      </c>
      <c r="I778" s="5">
        <v>0</v>
      </c>
      <c r="J778" s="5">
        <v>0</v>
      </c>
      <c r="K778" s="5">
        <v>0.6</v>
      </c>
      <c r="L778" s="5">
        <v>0</v>
      </c>
      <c r="M778" s="5">
        <v>0</v>
      </c>
      <c r="N778" s="5">
        <v>142</v>
      </c>
      <c r="O778" s="5" t="str">
        <f t="shared" ca="1" si="12"/>
        <v>Supplier 150</v>
      </c>
      <c r="P778" s="20" t="str">
        <f ca="1">IFERROR(VLOOKUP(O778,EMAILS!B:C,2,FALSE),"NOT FOUND IN EMAILS")</f>
        <v>supplier@gmail.com</v>
      </c>
      <c r="Q778" t="str">
        <f ca="1">""&amp;IFERROR(VLOOKUP(O778,EMAILS!B:D,3,FALSE),"NOT FOUND IN EMAILS")</f>
        <v/>
      </c>
      <c r="R778" t="str">
        <f ca="1">""&amp;IFERROR(VLOOKUP(O778,EMAILS!B:E,4,FALSE),"NO T FOUND IN EMAILS")</f>
        <v/>
      </c>
    </row>
    <row r="779" spans="2:18" x14ac:dyDescent="0.25">
      <c r="B779" s="5" t="s">
        <v>781</v>
      </c>
      <c r="C779" s="5" t="s">
        <v>4921</v>
      </c>
      <c r="D779" s="5">
        <v>0</v>
      </c>
      <c r="E779" s="5">
        <v>0</v>
      </c>
      <c r="F779" s="5">
        <v>0.4</v>
      </c>
      <c r="G779" s="5">
        <v>0.57999999999999996</v>
      </c>
      <c r="H779" s="5">
        <v>0</v>
      </c>
      <c r="I779" s="5">
        <v>0</v>
      </c>
      <c r="J779" s="5">
        <v>0</v>
      </c>
      <c r="K779" s="5">
        <v>0.6</v>
      </c>
      <c r="L779" s="5">
        <v>0</v>
      </c>
      <c r="M779" s="5">
        <v>0</v>
      </c>
      <c r="N779" s="5">
        <v>0</v>
      </c>
      <c r="O779" s="5" t="str">
        <f t="shared" ca="1" si="12"/>
        <v>Supplier 141</v>
      </c>
      <c r="P779" s="20" t="str">
        <f ca="1">IFERROR(VLOOKUP(O779,EMAILS!B:C,2,FALSE),"NOT FOUND IN EMAILS")</f>
        <v>supplier@gmail.com</v>
      </c>
      <c r="Q779" t="str">
        <f ca="1">""&amp;IFERROR(VLOOKUP(O779,EMAILS!B:D,3,FALSE),"NOT FOUND IN EMAILS")</f>
        <v/>
      </c>
      <c r="R779" t="str">
        <f ca="1">""&amp;IFERROR(VLOOKUP(O779,EMAILS!B:E,4,FALSE),"NO T FOUND IN EMAILS")</f>
        <v/>
      </c>
    </row>
    <row r="780" spans="2:18" x14ac:dyDescent="0.25">
      <c r="B780" s="5" t="s">
        <v>782</v>
      </c>
      <c r="C780" s="5" t="s">
        <v>4922</v>
      </c>
      <c r="D780" s="5">
        <v>0</v>
      </c>
      <c r="E780" s="5">
        <v>0</v>
      </c>
      <c r="F780" s="5">
        <v>0</v>
      </c>
      <c r="G780" s="5">
        <v>0.4</v>
      </c>
      <c r="H780" s="5">
        <v>0</v>
      </c>
      <c r="I780" s="5">
        <v>0</v>
      </c>
      <c r="J780" s="5">
        <v>0</v>
      </c>
      <c r="K780" s="5">
        <v>0</v>
      </c>
      <c r="L780" s="5">
        <v>0</v>
      </c>
      <c r="M780" s="5">
        <v>0</v>
      </c>
      <c r="N780" s="5">
        <v>320</v>
      </c>
      <c r="O780" s="5" t="str">
        <f t="shared" ca="1" si="12"/>
        <v>Supplier 156</v>
      </c>
      <c r="P780" s="20" t="str">
        <f ca="1">IFERROR(VLOOKUP(O780,EMAILS!B:C,2,FALSE),"NOT FOUND IN EMAILS")</f>
        <v>supplier@gmail.com</v>
      </c>
      <c r="Q780" t="str">
        <f ca="1">""&amp;IFERROR(VLOOKUP(O780,EMAILS!B:D,3,FALSE),"NOT FOUND IN EMAILS")</f>
        <v/>
      </c>
      <c r="R780" t="str">
        <f ca="1">""&amp;IFERROR(VLOOKUP(O780,EMAILS!B:E,4,FALSE),"NO T FOUND IN EMAILS")</f>
        <v/>
      </c>
    </row>
    <row r="781" spans="2:18" x14ac:dyDescent="0.25">
      <c r="B781" s="5" t="s">
        <v>783</v>
      </c>
      <c r="C781" s="5" t="s">
        <v>4923</v>
      </c>
      <c r="D781" s="5">
        <v>0</v>
      </c>
      <c r="E781" s="5">
        <v>0</v>
      </c>
      <c r="F781" s="5">
        <v>0</v>
      </c>
      <c r="G781" s="5">
        <v>0</v>
      </c>
      <c r="H781" s="5">
        <v>0</v>
      </c>
      <c r="I781" s="5">
        <v>0</v>
      </c>
      <c r="J781" s="5">
        <v>0</v>
      </c>
      <c r="K781" s="5">
        <v>0</v>
      </c>
      <c r="L781" s="5">
        <v>0</v>
      </c>
      <c r="M781" s="5">
        <v>0</v>
      </c>
      <c r="N781" s="5">
        <v>0</v>
      </c>
      <c r="O781" s="5" t="str">
        <f t="shared" ca="1" si="12"/>
        <v>Supplier 147</v>
      </c>
      <c r="P781" s="20" t="str">
        <f ca="1">IFERROR(VLOOKUP(O781,EMAILS!B:C,2,FALSE),"NOT FOUND IN EMAILS")</f>
        <v>supplier@gmail.com</v>
      </c>
      <c r="Q781" t="str">
        <f ca="1">""&amp;IFERROR(VLOOKUP(O781,EMAILS!B:D,3,FALSE),"NOT FOUND IN EMAILS")</f>
        <v/>
      </c>
      <c r="R781" t="str">
        <f ca="1">""&amp;IFERROR(VLOOKUP(O781,EMAILS!B:E,4,FALSE),"NO T FOUND IN EMAILS")</f>
        <v/>
      </c>
    </row>
    <row r="782" spans="2:18" x14ac:dyDescent="0.25">
      <c r="B782" s="5" t="s">
        <v>784</v>
      </c>
      <c r="C782" s="5" t="s">
        <v>4924</v>
      </c>
      <c r="D782" s="5">
        <v>9161.7150000000001</v>
      </c>
      <c r="E782" s="5">
        <v>4819.9549999999999</v>
      </c>
      <c r="F782" s="5">
        <v>9063.7199999999993</v>
      </c>
      <c r="G782" s="5">
        <v>8915.42</v>
      </c>
      <c r="H782" s="5">
        <v>7764.5150000000003</v>
      </c>
      <c r="I782" s="5">
        <v>8913.3149999999987</v>
      </c>
      <c r="J782" s="5">
        <v>5712.42</v>
      </c>
      <c r="K782" s="5">
        <v>8510.32</v>
      </c>
      <c r="L782" s="5">
        <v>3741.1049999999996</v>
      </c>
      <c r="M782" s="5">
        <v>0</v>
      </c>
      <c r="N782" s="5">
        <v>22375</v>
      </c>
      <c r="O782" s="5" t="str">
        <f t="shared" ca="1" si="12"/>
        <v>Supplier 126</v>
      </c>
      <c r="P782" s="20" t="str">
        <f ca="1">IFERROR(VLOOKUP(O782,EMAILS!B:C,2,FALSE),"NOT FOUND IN EMAILS")</f>
        <v>supplier@gmail.com</v>
      </c>
      <c r="Q782" t="str">
        <f ca="1">""&amp;IFERROR(VLOOKUP(O782,EMAILS!B:D,3,FALSE),"NOT FOUND IN EMAILS")</f>
        <v/>
      </c>
      <c r="R782" t="str">
        <f ca="1">""&amp;IFERROR(VLOOKUP(O782,EMAILS!B:E,4,FALSE),"NO T FOUND IN EMAILS")</f>
        <v/>
      </c>
    </row>
    <row r="783" spans="2:18" x14ac:dyDescent="0.25">
      <c r="B783" s="5" t="s">
        <v>785</v>
      </c>
      <c r="C783" s="5" t="s">
        <v>4925</v>
      </c>
      <c r="D783" s="5">
        <v>0</v>
      </c>
      <c r="E783" s="5">
        <v>0</v>
      </c>
      <c r="F783" s="5">
        <v>0</v>
      </c>
      <c r="G783" s="5">
        <v>0</v>
      </c>
      <c r="H783" s="5">
        <v>0</v>
      </c>
      <c r="I783" s="5">
        <v>0</v>
      </c>
      <c r="J783" s="5">
        <v>0</v>
      </c>
      <c r="K783" s="5">
        <v>0</v>
      </c>
      <c r="L783" s="5">
        <v>0</v>
      </c>
      <c r="M783" s="5">
        <v>0</v>
      </c>
      <c r="N783" s="5">
        <v>0</v>
      </c>
      <c r="O783" s="5" t="str">
        <f t="shared" ca="1" si="12"/>
        <v>Supplier 142</v>
      </c>
      <c r="P783" s="20" t="str">
        <f ca="1">IFERROR(VLOOKUP(O783,EMAILS!B:C,2,FALSE),"NOT FOUND IN EMAILS")</f>
        <v>supplier@gmail.com</v>
      </c>
      <c r="Q783" t="str">
        <f ca="1">""&amp;IFERROR(VLOOKUP(O783,EMAILS!B:D,3,FALSE),"NOT FOUND IN EMAILS")</f>
        <v/>
      </c>
      <c r="R783" t="str">
        <f ca="1">""&amp;IFERROR(VLOOKUP(O783,EMAILS!B:E,4,FALSE),"NO T FOUND IN EMAILS")</f>
        <v/>
      </c>
    </row>
    <row r="784" spans="2:18" x14ac:dyDescent="0.25">
      <c r="B784" s="5" t="s">
        <v>786</v>
      </c>
      <c r="C784" s="5" t="s">
        <v>4926</v>
      </c>
      <c r="D784" s="5">
        <v>185.45</v>
      </c>
      <c r="E784" s="5">
        <v>103.4</v>
      </c>
      <c r="F784" s="5">
        <v>342.11</v>
      </c>
      <c r="G784" s="5">
        <v>192.34</v>
      </c>
      <c r="H784" s="5">
        <v>167.5</v>
      </c>
      <c r="I784" s="5">
        <v>288</v>
      </c>
      <c r="J784" s="5">
        <v>125.25</v>
      </c>
      <c r="K784" s="5">
        <v>141.35</v>
      </c>
      <c r="L784" s="5">
        <v>237.95</v>
      </c>
      <c r="M784" s="5">
        <v>0</v>
      </c>
      <c r="N784" s="5">
        <v>23</v>
      </c>
      <c r="O784" s="5" t="str">
        <f t="shared" ca="1" si="12"/>
        <v>Supplier 190</v>
      </c>
      <c r="P784" s="20" t="str">
        <f ca="1">IFERROR(VLOOKUP(O784,EMAILS!B:C,2,FALSE),"NOT FOUND IN EMAILS")</f>
        <v>supplier@gmail.com</v>
      </c>
      <c r="Q784" t="str">
        <f ca="1">""&amp;IFERROR(VLOOKUP(O784,EMAILS!B:D,3,FALSE),"NOT FOUND IN EMAILS")</f>
        <v/>
      </c>
      <c r="R784" t="str">
        <f ca="1">""&amp;IFERROR(VLOOKUP(O784,EMAILS!B:E,4,FALSE),"NO T FOUND IN EMAILS")</f>
        <v/>
      </c>
    </row>
    <row r="785" spans="2:18" x14ac:dyDescent="0.25">
      <c r="B785" s="5" t="s">
        <v>787</v>
      </c>
      <c r="C785" s="5" t="s">
        <v>4927</v>
      </c>
      <c r="D785" s="5">
        <v>23</v>
      </c>
      <c r="E785" s="5">
        <v>22</v>
      </c>
      <c r="F785" s="5">
        <v>15</v>
      </c>
      <c r="G785" s="5">
        <v>36</v>
      </c>
      <c r="H785" s="5">
        <v>22</v>
      </c>
      <c r="I785" s="5">
        <v>19</v>
      </c>
      <c r="J785" s="5">
        <v>17</v>
      </c>
      <c r="K785" s="5">
        <v>15</v>
      </c>
      <c r="L785" s="5">
        <v>16</v>
      </c>
      <c r="M785" s="5">
        <v>0</v>
      </c>
      <c r="N785" s="5">
        <v>589</v>
      </c>
      <c r="O785" s="5" t="str">
        <f t="shared" ca="1" si="12"/>
        <v>Supplier 180</v>
      </c>
      <c r="P785" s="20" t="str">
        <f ca="1">IFERROR(VLOOKUP(O785,EMAILS!B:C,2,FALSE),"NOT FOUND IN EMAILS")</f>
        <v>supplier@gmail.com</v>
      </c>
      <c r="Q785" t="str">
        <f ca="1">""&amp;IFERROR(VLOOKUP(O785,EMAILS!B:D,3,FALSE),"NOT FOUND IN EMAILS")</f>
        <v/>
      </c>
      <c r="R785" t="str">
        <f ca="1">""&amp;IFERROR(VLOOKUP(O785,EMAILS!B:E,4,FALSE),"NO T FOUND IN EMAILS")</f>
        <v/>
      </c>
    </row>
    <row r="786" spans="2:18" x14ac:dyDescent="0.25">
      <c r="B786" s="5" t="s">
        <v>788</v>
      </c>
      <c r="C786" s="5" t="s">
        <v>4928</v>
      </c>
      <c r="D786" s="5">
        <v>0</v>
      </c>
      <c r="E786" s="5">
        <v>0</v>
      </c>
      <c r="F786" s="5">
        <v>0</v>
      </c>
      <c r="G786" s="5">
        <v>0</v>
      </c>
      <c r="H786" s="5">
        <v>0</v>
      </c>
      <c r="I786" s="5">
        <v>0</v>
      </c>
      <c r="J786" s="5">
        <v>0</v>
      </c>
      <c r="K786" s="5">
        <v>0</v>
      </c>
      <c r="L786" s="5">
        <v>0</v>
      </c>
      <c r="M786" s="5">
        <v>0</v>
      </c>
      <c r="N786" s="5">
        <v>159</v>
      </c>
      <c r="O786" s="5" t="str">
        <f t="shared" ca="1" si="12"/>
        <v>Supplier 103</v>
      </c>
      <c r="P786" s="20" t="str">
        <f ca="1">IFERROR(VLOOKUP(O786,EMAILS!B:C,2,FALSE),"NOT FOUND IN EMAILS")</f>
        <v>supplier@gmail.com</v>
      </c>
      <c r="Q786" t="str">
        <f ca="1">""&amp;IFERROR(VLOOKUP(O786,EMAILS!B:D,3,FALSE),"NOT FOUND IN EMAILS")</f>
        <v/>
      </c>
      <c r="R786" t="str">
        <f ca="1">""&amp;IFERROR(VLOOKUP(O786,EMAILS!B:E,4,FALSE),"NO T FOUND IN EMAILS")</f>
        <v/>
      </c>
    </row>
    <row r="787" spans="2:18" x14ac:dyDescent="0.25">
      <c r="B787" s="5" t="s">
        <v>789</v>
      </c>
      <c r="C787" s="5" t="s">
        <v>4929</v>
      </c>
      <c r="D787" s="5">
        <v>5</v>
      </c>
      <c r="E787" s="5">
        <v>1</v>
      </c>
      <c r="F787" s="5">
        <v>12</v>
      </c>
      <c r="G787" s="5">
        <v>12</v>
      </c>
      <c r="H787" s="5">
        <v>12</v>
      </c>
      <c r="I787" s="5">
        <v>12</v>
      </c>
      <c r="J787" s="5">
        <v>12</v>
      </c>
      <c r="K787" s="5">
        <v>12</v>
      </c>
      <c r="L787" s="5">
        <v>12</v>
      </c>
      <c r="M787" s="5">
        <v>0</v>
      </c>
      <c r="N787" s="5">
        <v>668</v>
      </c>
      <c r="O787" s="5" t="str">
        <f t="shared" ca="1" si="12"/>
        <v>Supplier 131</v>
      </c>
      <c r="P787" s="20" t="str">
        <f ca="1">IFERROR(VLOOKUP(O787,EMAILS!B:C,2,FALSE),"NOT FOUND IN EMAILS")</f>
        <v>supplier@gmail.com</v>
      </c>
      <c r="Q787" t="str">
        <f ca="1">""&amp;IFERROR(VLOOKUP(O787,EMAILS!B:D,3,FALSE),"NOT FOUND IN EMAILS")</f>
        <v/>
      </c>
      <c r="R787" t="str">
        <f ca="1">""&amp;IFERROR(VLOOKUP(O787,EMAILS!B:E,4,FALSE),"NO T FOUND IN EMAILS")</f>
        <v/>
      </c>
    </row>
    <row r="788" spans="2:18" x14ac:dyDescent="0.25">
      <c r="B788" s="5" t="s">
        <v>790</v>
      </c>
      <c r="C788" s="5" t="s">
        <v>4930</v>
      </c>
      <c r="D788" s="5">
        <v>3.9</v>
      </c>
      <c r="E788" s="5">
        <v>0.85</v>
      </c>
      <c r="F788" s="5">
        <v>2.2000000000000002</v>
      </c>
      <c r="G788" s="5">
        <v>2.2000000000000002</v>
      </c>
      <c r="H788" s="5">
        <v>2.25</v>
      </c>
      <c r="I788" s="5">
        <v>2.2000000000000002</v>
      </c>
      <c r="J788" s="5">
        <v>2.2000000000000002</v>
      </c>
      <c r="K788" s="5">
        <v>2.2000000000000002</v>
      </c>
      <c r="L788" s="5">
        <v>2.2000000000000002</v>
      </c>
      <c r="M788" s="5">
        <v>0</v>
      </c>
      <c r="N788" s="5">
        <v>115</v>
      </c>
      <c r="O788" s="5" t="str">
        <f t="shared" ca="1" si="12"/>
        <v>Supplier 55</v>
      </c>
      <c r="P788" s="20" t="str">
        <f ca="1">IFERROR(VLOOKUP(O788,EMAILS!B:C,2,FALSE),"NOT FOUND IN EMAILS")</f>
        <v>supplier@gmail.com</v>
      </c>
      <c r="Q788" t="str">
        <f ca="1">""&amp;IFERROR(VLOOKUP(O788,EMAILS!B:D,3,FALSE),"NOT FOUND IN EMAILS")</f>
        <v/>
      </c>
      <c r="R788" t="str">
        <f ca="1">""&amp;IFERROR(VLOOKUP(O788,EMAILS!B:E,4,FALSE),"NO T FOUND IN EMAILS")</f>
        <v/>
      </c>
    </row>
    <row r="789" spans="2:18" x14ac:dyDescent="0.25">
      <c r="B789" s="5" t="s">
        <v>791</v>
      </c>
      <c r="C789" s="5" t="s">
        <v>4931</v>
      </c>
      <c r="D789" s="5">
        <v>0</v>
      </c>
      <c r="E789" s="5">
        <v>0</v>
      </c>
      <c r="F789" s="5">
        <v>0</v>
      </c>
      <c r="G789" s="5">
        <v>0</v>
      </c>
      <c r="H789" s="5">
        <v>0</v>
      </c>
      <c r="I789" s="5">
        <v>0</v>
      </c>
      <c r="J789" s="5">
        <v>0</v>
      </c>
      <c r="K789" s="5">
        <v>0</v>
      </c>
      <c r="L789" s="5">
        <v>0</v>
      </c>
      <c r="M789" s="5">
        <v>0</v>
      </c>
      <c r="N789" s="5">
        <v>465</v>
      </c>
      <c r="O789" s="5" t="str">
        <f t="shared" ca="1" si="12"/>
        <v>Supplier 117</v>
      </c>
      <c r="P789" s="20" t="str">
        <f ca="1">IFERROR(VLOOKUP(O789,EMAILS!B:C,2,FALSE),"NOT FOUND IN EMAILS")</f>
        <v>supplier@gmail.com</v>
      </c>
      <c r="Q789" t="str">
        <f ca="1">""&amp;IFERROR(VLOOKUP(O789,EMAILS!B:D,3,FALSE),"NOT FOUND IN EMAILS")</f>
        <v/>
      </c>
      <c r="R789" t="str">
        <f ca="1">""&amp;IFERROR(VLOOKUP(O789,EMAILS!B:E,4,FALSE),"NO T FOUND IN EMAILS")</f>
        <v/>
      </c>
    </row>
    <row r="790" spans="2:18" x14ac:dyDescent="0.25">
      <c r="B790" s="5" t="s">
        <v>792</v>
      </c>
      <c r="C790" s="5" t="s">
        <v>4932</v>
      </c>
      <c r="D790" s="5">
        <v>78</v>
      </c>
      <c r="E790" s="5">
        <v>17</v>
      </c>
      <c r="F790" s="5">
        <v>90</v>
      </c>
      <c r="G790" s="5">
        <v>90</v>
      </c>
      <c r="H790" s="5">
        <v>91</v>
      </c>
      <c r="I790" s="5">
        <v>90</v>
      </c>
      <c r="J790" s="5">
        <v>90</v>
      </c>
      <c r="K790" s="5">
        <v>90</v>
      </c>
      <c r="L790" s="5">
        <v>90</v>
      </c>
      <c r="M790" s="5">
        <v>0</v>
      </c>
      <c r="N790" s="5">
        <v>450</v>
      </c>
      <c r="O790" s="5" t="str">
        <f t="shared" ca="1" si="12"/>
        <v>Supplier 21</v>
      </c>
      <c r="P790" s="20" t="str">
        <f ca="1">IFERROR(VLOOKUP(O790,EMAILS!B:C,2,FALSE),"NOT FOUND IN EMAILS")</f>
        <v>supplier@gmail.com</v>
      </c>
      <c r="Q790" t="str">
        <f ca="1">""&amp;IFERROR(VLOOKUP(O790,EMAILS!B:D,3,FALSE),"NOT FOUND IN EMAILS")</f>
        <v/>
      </c>
      <c r="R790" t="str">
        <f ca="1">""&amp;IFERROR(VLOOKUP(O790,EMAILS!B:E,4,FALSE),"NO T FOUND IN EMAILS")</f>
        <v/>
      </c>
    </row>
    <row r="791" spans="2:18" x14ac:dyDescent="0.25">
      <c r="B791" s="5" t="s">
        <v>793</v>
      </c>
      <c r="C791" s="5" t="s">
        <v>4933</v>
      </c>
      <c r="D791" s="5">
        <v>0</v>
      </c>
      <c r="E791" s="5">
        <v>0</v>
      </c>
      <c r="F791" s="5">
        <v>0</v>
      </c>
      <c r="G791" s="5">
        <v>0</v>
      </c>
      <c r="H791" s="5">
        <v>0</v>
      </c>
      <c r="I791" s="5">
        <v>0</v>
      </c>
      <c r="J791" s="5">
        <v>0</v>
      </c>
      <c r="K791" s="5">
        <v>0</v>
      </c>
      <c r="L791" s="5">
        <v>0</v>
      </c>
      <c r="M791" s="5">
        <v>0</v>
      </c>
      <c r="N791" s="5">
        <v>375</v>
      </c>
      <c r="O791" s="5" t="str">
        <f t="shared" ca="1" si="12"/>
        <v>Supplier 82</v>
      </c>
      <c r="P791" s="20" t="str">
        <f ca="1">IFERROR(VLOOKUP(O791,EMAILS!B:C,2,FALSE),"NOT FOUND IN EMAILS")</f>
        <v>supplier@gmail.com</v>
      </c>
      <c r="Q791" t="str">
        <f ca="1">""&amp;IFERROR(VLOOKUP(O791,EMAILS!B:D,3,FALSE),"NOT FOUND IN EMAILS")</f>
        <v/>
      </c>
      <c r="R791" t="str">
        <f ca="1">""&amp;IFERROR(VLOOKUP(O791,EMAILS!B:E,4,FALSE),"NO T FOUND IN EMAILS")</f>
        <v/>
      </c>
    </row>
    <row r="792" spans="2:18" x14ac:dyDescent="0.25">
      <c r="B792" s="5" t="s">
        <v>794</v>
      </c>
      <c r="C792" s="5" t="s">
        <v>4934</v>
      </c>
      <c r="D792" s="5">
        <v>0</v>
      </c>
      <c r="E792" s="5">
        <v>0</v>
      </c>
      <c r="F792" s="5">
        <v>0</v>
      </c>
      <c r="G792" s="5">
        <v>0</v>
      </c>
      <c r="H792" s="5">
        <v>0</v>
      </c>
      <c r="I792" s="5">
        <v>0</v>
      </c>
      <c r="J792" s="5">
        <v>0</v>
      </c>
      <c r="K792" s="5">
        <v>0</v>
      </c>
      <c r="L792" s="5">
        <v>0</v>
      </c>
      <c r="M792" s="5">
        <v>0</v>
      </c>
      <c r="N792" s="5">
        <v>250</v>
      </c>
      <c r="O792" s="5" t="str">
        <f t="shared" ca="1" si="12"/>
        <v>Supplier 82</v>
      </c>
      <c r="P792" s="20" t="str">
        <f ca="1">IFERROR(VLOOKUP(O792,EMAILS!B:C,2,FALSE),"NOT FOUND IN EMAILS")</f>
        <v>supplier@gmail.com</v>
      </c>
      <c r="Q792" t="str">
        <f ca="1">""&amp;IFERROR(VLOOKUP(O792,EMAILS!B:D,3,FALSE),"NOT FOUND IN EMAILS")</f>
        <v/>
      </c>
      <c r="R792" t="str">
        <f ca="1">""&amp;IFERROR(VLOOKUP(O792,EMAILS!B:E,4,FALSE),"NO T FOUND IN EMAILS")</f>
        <v/>
      </c>
    </row>
    <row r="793" spans="2:18" x14ac:dyDescent="0.25">
      <c r="B793" s="5" t="s">
        <v>795</v>
      </c>
      <c r="C793" s="5" t="s">
        <v>4935</v>
      </c>
      <c r="D793" s="5">
        <v>10</v>
      </c>
      <c r="E793" s="5">
        <v>2</v>
      </c>
      <c r="F793" s="5">
        <v>12</v>
      </c>
      <c r="G793" s="5">
        <v>12</v>
      </c>
      <c r="H793" s="5">
        <v>12</v>
      </c>
      <c r="I793" s="5">
        <v>12</v>
      </c>
      <c r="J793" s="5">
        <v>12</v>
      </c>
      <c r="K793" s="5">
        <v>12</v>
      </c>
      <c r="L793" s="5">
        <v>12</v>
      </c>
      <c r="M793" s="5">
        <v>0</v>
      </c>
      <c r="N793" s="5">
        <v>250</v>
      </c>
      <c r="O793" s="5" t="str">
        <f t="shared" ca="1" si="12"/>
        <v>Supplier 33</v>
      </c>
      <c r="P793" s="20" t="str">
        <f ca="1">IFERROR(VLOOKUP(O793,EMAILS!B:C,2,FALSE),"NOT FOUND IN EMAILS")</f>
        <v>supplier@gmail.com</v>
      </c>
      <c r="Q793" t="str">
        <f ca="1">""&amp;IFERROR(VLOOKUP(O793,EMAILS!B:D,3,FALSE),"NOT FOUND IN EMAILS")</f>
        <v/>
      </c>
      <c r="R793" t="str">
        <f ca="1">""&amp;IFERROR(VLOOKUP(O793,EMAILS!B:E,4,FALSE),"NO T FOUND IN EMAILS")</f>
        <v/>
      </c>
    </row>
    <row r="794" spans="2:18" x14ac:dyDescent="0.25">
      <c r="B794" s="5" t="s">
        <v>796</v>
      </c>
      <c r="C794" s="5" t="s">
        <v>4936</v>
      </c>
      <c r="D794" s="5">
        <v>10</v>
      </c>
      <c r="E794" s="5">
        <v>2</v>
      </c>
      <c r="F794" s="5">
        <v>12</v>
      </c>
      <c r="G794" s="5">
        <v>12</v>
      </c>
      <c r="H794" s="5">
        <v>12</v>
      </c>
      <c r="I794" s="5">
        <v>12</v>
      </c>
      <c r="J794" s="5">
        <v>12</v>
      </c>
      <c r="K794" s="5">
        <v>12</v>
      </c>
      <c r="L794" s="5">
        <v>12</v>
      </c>
      <c r="M794" s="5">
        <v>0</v>
      </c>
      <c r="N794" s="5">
        <v>250</v>
      </c>
      <c r="O794" s="5" t="str">
        <f t="shared" ca="1" si="12"/>
        <v>Supplier 91</v>
      </c>
      <c r="P794" s="20" t="str">
        <f ca="1">IFERROR(VLOOKUP(O794,EMAILS!B:C,2,FALSE),"NOT FOUND IN EMAILS")</f>
        <v>supplier@gmail.com</v>
      </c>
      <c r="Q794" t="str">
        <f ca="1">""&amp;IFERROR(VLOOKUP(O794,EMAILS!B:D,3,FALSE),"NOT FOUND IN EMAILS")</f>
        <v/>
      </c>
      <c r="R794" t="str">
        <f ca="1">""&amp;IFERROR(VLOOKUP(O794,EMAILS!B:E,4,FALSE),"NO T FOUND IN EMAILS")</f>
        <v/>
      </c>
    </row>
    <row r="795" spans="2:18" x14ac:dyDescent="0.25">
      <c r="B795" s="5" t="s">
        <v>797</v>
      </c>
      <c r="C795" s="5" t="s">
        <v>4937</v>
      </c>
      <c r="D795" s="5">
        <v>0</v>
      </c>
      <c r="E795" s="5">
        <v>4</v>
      </c>
      <c r="F795" s="5">
        <v>12</v>
      </c>
      <c r="G795" s="5">
        <v>12</v>
      </c>
      <c r="H795" s="5">
        <v>12</v>
      </c>
      <c r="I795" s="5">
        <v>12</v>
      </c>
      <c r="J795" s="5">
        <v>12</v>
      </c>
      <c r="K795" s="5">
        <v>12</v>
      </c>
      <c r="L795" s="5">
        <v>12</v>
      </c>
      <c r="M795" s="5">
        <v>0</v>
      </c>
      <c r="N795" s="5">
        <v>200</v>
      </c>
      <c r="O795" s="5" t="str">
        <f t="shared" ca="1" si="12"/>
        <v>Supplier 31</v>
      </c>
      <c r="P795" s="20" t="str">
        <f ca="1">IFERROR(VLOOKUP(O795,EMAILS!B:C,2,FALSE),"NOT FOUND IN EMAILS")</f>
        <v>supplier@gmail.com</v>
      </c>
      <c r="Q795" t="str">
        <f ca="1">""&amp;IFERROR(VLOOKUP(O795,EMAILS!B:D,3,FALSE),"NOT FOUND IN EMAILS")</f>
        <v/>
      </c>
      <c r="R795" t="str">
        <f ca="1">""&amp;IFERROR(VLOOKUP(O795,EMAILS!B:E,4,FALSE),"NO T FOUND IN EMAILS")</f>
        <v/>
      </c>
    </row>
    <row r="796" spans="2:18" x14ac:dyDescent="0.25">
      <c r="B796" s="5" t="s">
        <v>798</v>
      </c>
      <c r="C796" s="5" t="s">
        <v>4938</v>
      </c>
      <c r="D796" s="5">
        <v>10</v>
      </c>
      <c r="E796" s="5">
        <v>6</v>
      </c>
      <c r="F796" s="5">
        <v>24</v>
      </c>
      <c r="G796" s="5">
        <v>24</v>
      </c>
      <c r="H796" s="5">
        <v>24</v>
      </c>
      <c r="I796" s="5">
        <v>24</v>
      </c>
      <c r="J796" s="5">
        <v>24</v>
      </c>
      <c r="K796" s="5">
        <v>24</v>
      </c>
      <c r="L796" s="5">
        <v>24</v>
      </c>
      <c r="M796" s="5">
        <v>0</v>
      </c>
      <c r="N796" s="5">
        <v>1</v>
      </c>
      <c r="O796" s="5" t="str">
        <f t="shared" ca="1" si="12"/>
        <v>Supplier 76</v>
      </c>
      <c r="P796" s="20" t="str">
        <f ca="1">IFERROR(VLOOKUP(O796,EMAILS!B:C,2,FALSE),"NOT FOUND IN EMAILS")</f>
        <v>supplier@gmail.com</v>
      </c>
      <c r="Q796" t="str">
        <f ca="1">""&amp;IFERROR(VLOOKUP(O796,EMAILS!B:D,3,FALSE),"NOT FOUND IN EMAILS")</f>
        <v/>
      </c>
      <c r="R796" t="str">
        <f ca="1">""&amp;IFERROR(VLOOKUP(O796,EMAILS!B:E,4,FALSE),"NO T FOUND IN EMAILS")</f>
        <v/>
      </c>
    </row>
    <row r="797" spans="2:18" x14ac:dyDescent="0.25">
      <c r="B797" s="5" t="s">
        <v>799</v>
      </c>
      <c r="C797" s="5" t="s">
        <v>4939</v>
      </c>
      <c r="D797" s="5">
        <v>0</v>
      </c>
      <c r="E797" s="5">
        <v>0</v>
      </c>
      <c r="F797" s="5">
        <v>0</v>
      </c>
      <c r="G797" s="5">
        <v>0</v>
      </c>
      <c r="H797" s="5">
        <v>0</v>
      </c>
      <c r="I797" s="5">
        <v>0</v>
      </c>
      <c r="J797" s="5">
        <v>0</v>
      </c>
      <c r="K797" s="5">
        <v>0</v>
      </c>
      <c r="L797" s="5">
        <v>0</v>
      </c>
      <c r="M797" s="5">
        <v>0</v>
      </c>
      <c r="N797" s="5">
        <v>1</v>
      </c>
      <c r="O797" s="5" t="str">
        <f t="shared" ca="1" si="12"/>
        <v>Supplier 49</v>
      </c>
      <c r="P797" s="20" t="str">
        <f ca="1">IFERROR(VLOOKUP(O797,EMAILS!B:C,2,FALSE),"NOT FOUND IN EMAILS")</f>
        <v>supplier@gmail.com</v>
      </c>
      <c r="Q797" t="str">
        <f ca="1">""&amp;IFERROR(VLOOKUP(O797,EMAILS!B:D,3,FALSE),"NOT FOUND IN EMAILS")</f>
        <v/>
      </c>
      <c r="R797" t="str">
        <f ca="1">""&amp;IFERROR(VLOOKUP(O797,EMAILS!B:E,4,FALSE),"NO T FOUND IN EMAILS")</f>
        <v/>
      </c>
    </row>
    <row r="798" spans="2:18" x14ac:dyDescent="0.25">
      <c r="B798" s="5" t="s">
        <v>800</v>
      </c>
      <c r="C798" s="5" t="s">
        <v>4940</v>
      </c>
      <c r="D798" s="5">
        <v>0</v>
      </c>
      <c r="E798" s="5">
        <v>0</v>
      </c>
      <c r="F798" s="5">
        <v>0</v>
      </c>
      <c r="G798" s="5">
        <v>0</v>
      </c>
      <c r="H798" s="5">
        <v>0</v>
      </c>
      <c r="I798" s="5">
        <v>0</v>
      </c>
      <c r="J798" s="5">
        <v>0</v>
      </c>
      <c r="K798" s="5">
        <v>0</v>
      </c>
      <c r="L798" s="5">
        <v>0</v>
      </c>
      <c r="M798" s="5">
        <v>0</v>
      </c>
      <c r="N798" s="5">
        <v>100</v>
      </c>
      <c r="O798" s="5" t="str">
        <f t="shared" ca="1" si="12"/>
        <v>Supplier 193</v>
      </c>
      <c r="P798" s="20" t="str">
        <f ca="1">IFERROR(VLOOKUP(O798,EMAILS!B:C,2,FALSE),"NOT FOUND IN EMAILS")</f>
        <v>supplier@gmail.com</v>
      </c>
      <c r="Q798" t="str">
        <f ca="1">""&amp;IFERROR(VLOOKUP(O798,EMAILS!B:D,3,FALSE),"NOT FOUND IN EMAILS")</f>
        <v/>
      </c>
      <c r="R798" t="str">
        <f ca="1">""&amp;IFERROR(VLOOKUP(O798,EMAILS!B:E,4,FALSE),"NO T FOUND IN EMAILS")</f>
        <v/>
      </c>
    </row>
    <row r="799" spans="2:18" x14ac:dyDescent="0.25">
      <c r="B799" s="5" t="s">
        <v>801</v>
      </c>
      <c r="C799" s="5" t="s">
        <v>4941</v>
      </c>
      <c r="D799" s="5">
        <v>0</v>
      </c>
      <c r="E799" s="5">
        <v>0</v>
      </c>
      <c r="F799" s="5">
        <v>26</v>
      </c>
      <c r="G799" s="5">
        <v>26</v>
      </c>
      <c r="H799" s="5">
        <v>26</v>
      </c>
      <c r="I799" s="5">
        <v>26</v>
      </c>
      <c r="J799" s="5">
        <v>26</v>
      </c>
      <c r="K799" s="5">
        <v>26</v>
      </c>
      <c r="L799" s="5">
        <v>26</v>
      </c>
      <c r="M799" s="5">
        <v>0</v>
      </c>
      <c r="N799" s="5">
        <v>20</v>
      </c>
      <c r="O799" s="5" t="str">
        <f t="shared" ca="1" si="12"/>
        <v>Supplier 137</v>
      </c>
      <c r="P799" s="20" t="str">
        <f ca="1">IFERROR(VLOOKUP(O799,EMAILS!B:C,2,FALSE),"NOT FOUND IN EMAILS")</f>
        <v>supplier@gmail.com</v>
      </c>
      <c r="Q799" t="str">
        <f ca="1">""&amp;IFERROR(VLOOKUP(O799,EMAILS!B:D,3,FALSE),"NOT FOUND IN EMAILS")</f>
        <v/>
      </c>
      <c r="R799" t="str">
        <f ca="1">""&amp;IFERROR(VLOOKUP(O799,EMAILS!B:E,4,FALSE),"NO T FOUND IN EMAILS")</f>
        <v/>
      </c>
    </row>
    <row r="800" spans="2:18" x14ac:dyDescent="0.25">
      <c r="B800" s="5" t="s">
        <v>802</v>
      </c>
      <c r="C800" s="5" t="s">
        <v>4942</v>
      </c>
      <c r="D800" s="5">
        <v>0</v>
      </c>
      <c r="E800" s="5">
        <v>0</v>
      </c>
      <c r="F800" s="5">
        <v>15</v>
      </c>
      <c r="G800" s="5">
        <v>15</v>
      </c>
      <c r="H800" s="5">
        <v>15</v>
      </c>
      <c r="I800" s="5">
        <v>15</v>
      </c>
      <c r="J800" s="5">
        <v>15</v>
      </c>
      <c r="K800" s="5">
        <v>15</v>
      </c>
      <c r="L800" s="5">
        <v>15</v>
      </c>
      <c r="M800" s="5">
        <v>0</v>
      </c>
      <c r="N800" s="5">
        <v>0</v>
      </c>
      <c r="O800" s="5" t="str">
        <f t="shared" ca="1" si="12"/>
        <v>Supplier 178</v>
      </c>
      <c r="P800" s="20" t="str">
        <f ca="1">IFERROR(VLOOKUP(O800,EMAILS!B:C,2,FALSE),"NOT FOUND IN EMAILS")</f>
        <v>supplier@gmail.com</v>
      </c>
      <c r="Q800" t="str">
        <f ca="1">""&amp;IFERROR(VLOOKUP(O800,EMAILS!B:D,3,FALSE),"NOT FOUND IN EMAILS")</f>
        <v/>
      </c>
      <c r="R800" t="str">
        <f ca="1">""&amp;IFERROR(VLOOKUP(O800,EMAILS!B:E,4,FALSE),"NO T FOUND IN EMAILS")</f>
        <v/>
      </c>
    </row>
    <row r="801" spans="2:18" x14ac:dyDescent="0.25">
      <c r="B801" s="5" t="s">
        <v>803</v>
      </c>
      <c r="C801" s="5" t="s">
        <v>4943</v>
      </c>
      <c r="D801" s="5">
        <v>0</v>
      </c>
      <c r="E801" s="5">
        <v>0</v>
      </c>
      <c r="F801" s="5">
        <v>0</v>
      </c>
      <c r="G801" s="5">
        <v>0</v>
      </c>
      <c r="H801" s="5">
        <v>0</v>
      </c>
      <c r="I801" s="5">
        <v>0</v>
      </c>
      <c r="J801" s="5">
        <v>0</v>
      </c>
      <c r="K801" s="5">
        <v>0</v>
      </c>
      <c r="L801" s="5">
        <v>0</v>
      </c>
      <c r="M801" s="5">
        <v>0</v>
      </c>
      <c r="N801" s="5">
        <v>4</v>
      </c>
      <c r="O801" s="5" t="str">
        <f t="shared" ca="1" si="12"/>
        <v>Supplier 18</v>
      </c>
      <c r="P801" s="20" t="str">
        <f ca="1">IFERROR(VLOOKUP(O801,EMAILS!B:C,2,FALSE),"NOT FOUND IN EMAILS")</f>
        <v>supplier@gmail.com</v>
      </c>
      <c r="Q801" t="str">
        <f ca="1">""&amp;IFERROR(VLOOKUP(O801,EMAILS!B:D,3,FALSE),"NOT FOUND IN EMAILS")</f>
        <v>supplier_logistics@gmail.com</v>
      </c>
      <c r="R801" t="str">
        <f ca="1">""&amp;IFERROR(VLOOKUP(O801,EMAILS!B:E,4,FALSE),"NO T FOUND IN EMAILS")</f>
        <v/>
      </c>
    </row>
    <row r="802" spans="2:18" x14ac:dyDescent="0.25">
      <c r="B802" s="5" t="s">
        <v>804</v>
      </c>
      <c r="C802" s="5" t="s">
        <v>4944</v>
      </c>
      <c r="D802" s="5">
        <v>0</v>
      </c>
      <c r="E802" s="5">
        <v>0</v>
      </c>
      <c r="F802" s="5">
        <v>0</v>
      </c>
      <c r="G802" s="5">
        <v>0</v>
      </c>
      <c r="H802" s="5">
        <v>0</v>
      </c>
      <c r="I802" s="5">
        <v>0</v>
      </c>
      <c r="J802" s="5">
        <v>0</v>
      </c>
      <c r="K802" s="5">
        <v>0</v>
      </c>
      <c r="L802" s="5">
        <v>0</v>
      </c>
      <c r="M802" s="5">
        <v>0</v>
      </c>
      <c r="N802" s="5">
        <v>1</v>
      </c>
      <c r="O802" s="5" t="str">
        <f t="shared" ca="1" si="12"/>
        <v>Supplier 133</v>
      </c>
      <c r="P802" s="20" t="str">
        <f ca="1">IFERROR(VLOOKUP(O802,EMAILS!B:C,2,FALSE),"NOT FOUND IN EMAILS")</f>
        <v>supplier@gmail.com</v>
      </c>
      <c r="Q802" t="str">
        <f ca="1">""&amp;IFERROR(VLOOKUP(O802,EMAILS!B:D,3,FALSE),"NOT FOUND IN EMAILS")</f>
        <v/>
      </c>
      <c r="R802" t="str">
        <f ca="1">""&amp;IFERROR(VLOOKUP(O802,EMAILS!B:E,4,FALSE),"NO T FOUND IN EMAILS")</f>
        <v/>
      </c>
    </row>
    <row r="803" spans="2:18" x14ac:dyDescent="0.25">
      <c r="B803" s="5" t="s">
        <v>805</v>
      </c>
      <c r="C803" s="5" t="s">
        <v>4945</v>
      </c>
      <c r="D803" s="5">
        <v>0</v>
      </c>
      <c r="E803" s="5">
        <v>0</v>
      </c>
      <c r="F803" s="5">
        <v>0</v>
      </c>
      <c r="G803" s="5">
        <v>0</v>
      </c>
      <c r="H803" s="5">
        <v>0</v>
      </c>
      <c r="I803" s="5">
        <v>0</v>
      </c>
      <c r="J803" s="5">
        <v>0</v>
      </c>
      <c r="K803" s="5">
        <v>0</v>
      </c>
      <c r="L803" s="5">
        <v>0</v>
      </c>
      <c r="M803" s="5">
        <v>0</v>
      </c>
      <c r="N803" s="5">
        <v>0</v>
      </c>
      <c r="O803" s="5" t="str">
        <f t="shared" ca="1" si="12"/>
        <v>Supplier 141</v>
      </c>
      <c r="P803" s="20" t="str">
        <f ca="1">IFERROR(VLOOKUP(O803,EMAILS!B:C,2,FALSE),"NOT FOUND IN EMAILS")</f>
        <v>supplier@gmail.com</v>
      </c>
      <c r="Q803" t="str">
        <f ca="1">""&amp;IFERROR(VLOOKUP(O803,EMAILS!B:D,3,FALSE),"NOT FOUND IN EMAILS")</f>
        <v/>
      </c>
      <c r="R803" t="str">
        <f ca="1">""&amp;IFERROR(VLOOKUP(O803,EMAILS!B:E,4,FALSE),"NO T FOUND IN EMAILS")</f>
        <v/>
      </c>
    </row>
    <row r="804" spans="2:18" x14ac:dyDescent="0.25">
      <c r="B804" s="5" t="s">
        <v>806</v>
      </c>
      <c r="C804" s="5" t="s">
        <v>4946</v>
      </c>
      <c r="D804" s="5">
        <v>0</v>
      </c>
      <c r="E804" s="5">
        <v>0</v>
      </c>
      <c r="F804" s="5">
        <v>0</v>
      </c>
      <c r="G804" s="5">
        <v>0</v>
      </c>
      <c r="H804" s="5">
        <v>0</v>
      </c>
      <c r="I804" s="5">
        <v>0</v>
      </c>
      <c r="J804" s="5">
        <v>0</v>
      </c>
      <c r="K804" s="5">
        <v>0</v>
      </c>
      <c r="L804" s="5">
        <v>0</v>
      </c>
      <c r="M804" s="5">
        <v>0</v>
      </c>
      <c r="N804" s="5">
        <v>250</v>
      </c>
      <c r="O804" s="5" t="str">
        <f t="shared" ca="1" si="12"/>
        <v>Supplier 123</v>
      </c>
      <c r="P804" s="20" t="str">
        <f ca="1">IFERROR(VLOOKUP(O804,EMAILS!B:C,2,FALSE),"NOT FOUND IN EMAILS")</f>
        <v>supplier@gmail.com</v>
      </c>
      <c r="Q804" t="str">
        <f ca="1">""&amp;IFERROR(VLOOKUP(O804,EMAILS!B:D,3,FALSE),"NOT FOUND IN EMAILS")</f>
        <v/>
      </c>
      <c r="R804" t="str">
        <f ca="1">""&amp;IFERROR(VLOOKUP(O804,EMAILS!B:E,4,FALSE),"NO T FOUND IN EMAILS")</f>
        <v/>
      </c>
    </row>
    <row r="805" spans="2:18" x14ac:dyDescent="0.25">
      <c r="B805" s="5" t="s">
        <v>807</v>
      </c>
      <c r="C805" s="5" t="s">
        <v>4947</v>
      </c>
      <c r="D805" s="5">
        <v>0</v>
      </c>
      <c r="E805" s="5">
        <v>4</v>
      </c>
      <c r="F805" s="5">
        <v>12</v>
      </c>
      <c r="G805" s="5">
        <v>12</v>
      </c>
      <c r="H805" s="5">
        <v>12</v>
      </c>
      <c r="I805" s="5">
        <v>12</v>
      </c>
      <c r="J805" s="5">
        <v>12</v>
      </c>
      <c r="K805" s="5">
        <v>12</v>
      </c>
      <c r="L805" s="5">
        <v>12</v>
      </c>
      <c r="M805" s="5">
        <v>0</v>
      </c>
      <c r="N805" s="5">
        <v>0</v>
      </c>
      <c r="O805" s="5" t="str">
        <f t="shared" ca="1" si="12"/>
        <v>Supplier 37</v>
      </c>
      <c r="P805" s="20" t="str">
        <f ca="1">IFERROR(VLOOKUP(O805,EMAILS!B:C,2,FALSE),"NOT FOUND IN EMAILS")</f>
        <v>supplier@gmail.com</v>
      </c>
      <c r="Q805" t="str">
        <f ca="1">""&amp;IFERROR(VLOOKUP(O805,EMAILS!B:D,3,FALSE),"NOT FOUND IN EMAILS")</f>
        <v/>
      </c>
      <c r="R805" t="str">
        <f ca="1">""&amp;IFERROR(VLOOKUP(O805,EMAILS!B:E,4,FALSE),"NO T FOUND IN EMAILS")</f>
        <v/>
      </c>
    </row>
    <row r="806" spans="2:18" x14ac:dyDescent="0.25">
      <c r="B806" s="5" t="s">
        <v>808</v>
      </c>
      <c r="C806" s="5" t="s">
        <v>4948</v>
      </c>
      <c r="D806" s="5">
        <v>0</v>
      </c>
      <c r="E806" s="5">
        <v>0</v>
      </c>
      <c r="F806" s="5">
        <v>0</v>
      </c>
      <c r="G806" s="5">
        <v>0</v>
      </c>
      <c r="H806" s="5">
        <v>0</v>
      </c>
      <c r="I806" s="5">
        <v>0</v>
      </c>
      <c r="J806" s="5">
        <v>0</v>
      </c>
      <c r="K806" s="5">
        <v>0</v>
      </c>
      <c r="L806" s="5">
        <v>0</v>
      </c>
      <c r="M806" s="5">
        <v>0</v>
      </c>
      <c r="N806" s="5">
        <v>0</v>
      </c>
      <c r="O806" s="5" t="str">
        <f t="shared" ca="1" si="12"/>
        <v>Supplier 148</v>
      </c>
      <c r="P806" s="20" t="str">
        <f ca="1">IFERROR(VLOOKUP(O806,EMAILS!B:C,2,FALSE),"NOT FOUND IN EMAILS")</f>
        <v>supplier@gmail.com</v>
      </c>
      <c r="Q806" t="str">
        <f ca="1">""&amp;IFERROR(VLOOKUP(O806,EMAILS!B:D,3,FALSE),"NOT FOUND IN EMAILS")</f>
        <v/>
      </c>
      <c r="R806" t="str">
        <f ca="1">""&amp;IFERROR(VLOOKUP(O806,EMAILS!B:E,4,FALSE),"NO T FOUND IN EMAILS")</f>
        <v/>
      </c>
    </row>
    <row r="807" spans="2:18" x14ac:dyDescent="0.25">
      <c r="B807" s="5" t="s">
        <v>809</v>
      </c>
      <c r="C807" s="5" t="s">
        <v>4949</v>
      </c>
      <c r="D807" s="5">
        <v>0</v>
      </c>
      <c r="E807" s="5">
        <v>0</v>
      </c>
      <c r="F807" s="5">
        <v>0</v>
      </c>
      <c r="G807" s="5">
        <v>0</v>
      </c>
      <c r="H807" s="5">
        <v>0</v>
      </c>
      <c r="I807" s="5">
        <v>0</v>
      </c>
      <c r="J807" s="5">
        <v>0</v>
      </c>
      <c r="K807" s="5">
        <v>0</v>
      </c>
      <c r="L807" s="5">
        <v>0</v>
      </c>
      <c r="M807" s="5">
        <v>0</v>
      </c>
      <c r="N807" s="5">
        <v>300</v>
      </c>
      <c r="O807" s="5" t="str">
        <f t="shared" ca="1" si="12"/>
        <v>Supplier 42</v>
      </c>
      <c r="P807" s="20" t="str">
        <f ca="1">IFERROR(VLOOKUP(O807,EMAILS!B:C,2,FALSE),"NOT FOUND IN EMAILS")</f>
        <v>supplier@gmail.com</v>
      </c>
      <c r="Q807" t="str">
        <f ca="1">""&amp;IFERROR(VLOOKUP(O807,EMAILS!B:D,3,FALSE),"NOT FOUND IN EMAILS")</f>
        <v/>
      </c>
      <c r="R807" t="str">
        <f ca="1">""&amp;IFERROR(VLOOKUP(O807,EMAILS!B:E,4,FALSE),"NO T FOUND IN EMAILS")</f>
        <v/>
      </c>
    </row>
    <row r="808" spans="2:18" x14ac:dyDescent="0.25">
      <c r="B808" s="5" t="s">
        <v>810</v>
      </c>
      <c r="C808" s="5" t="s">
        <v>4950</v>
      </c>
      <c r="D808" s="5">
        <v>0</v>
      </c>
      <c r="E808" s="5">
        <v>0</v>
      </c>
      <c r="F808" s="5">
        <v>0</v>
      </c>
      <c r="G808" s="5">
        <v>0</v>
      </c>
      <c r="H808" s="5">
        <v>0</v>
      </c>
      <c r="I808" s="5">
        <v>0</v>
      </c>
      <c r="J808" s="5">
        <v>0</v>
      </c>
      <c r="K808" s="5">
        <v>0</v>
      </c>
      <c r="L808" s="5">
        <v>0</v>
      </c>
      <c r="M808" s="5">
        <v>0</v>
      </c>
      <c r="N808" s="5">
        <v>2</v>
      </c>
      <c r="O808" s="5" t="str">
        <f t="shared" ca="1" si="12"/>
        <v>Supplier 162</v>
      </c>
      <c r="P808" s="20" t="str">
        <f ca="1">IFERROR(VLOOKUP(O808,EMAILS!B:C,2,FALSE),"NOT FOUND IN EMAILS")</f>
        <v>supplier@gmail.com</v>
      </c>
      <c r="Q808" t="str">
        <f ca="1">""&amp;IFERROR(VLOOKUP(O808,EMAILS!B:D,3,FALSE),"NOT FOUND IN EMAILS")</f>
        <v/>
      </c>
      <c r="R808" t="str">
        <f ca="1">""&amp;IFERROR(VLOOKUP(O808,EMAILS!B:E,4,FALSE),"NO T FOUND IN EMAILS")</f>
        <v/>
      </c>
    </row>
    <row r="809" spans="2:18" x14ac:dyDescent="0.25">
      <c r="B809" s="5" t="s">
        <v>811</v>
      </c>
      <c r="C809" s="5" t="s">
        <v>4951</v>
      </c>
      <c r="D809" s="5">
        <v>0</v>
      </c>
      <c r="E809" s="5">
        <v>0</v>
      </c>
      <c r="F809" s="5">
        <v>0</v>
      </c>
      <c r="G809" s="5">
        <v>0</v>
      </c>
      <c r="H809" s="5">
        <v>0</v>
      </c>
      <c r="I809" s="5">
        <v>0</v>
      </c>
      <c r="J809" s="5">
        <v>0</v>
      </c>
      <c r="K809" s="5">
        <v>0</v>
      </c>
      <c r="L809" s="5">
        <v>0</v>
      </c>
      <c r="M809" s="5">
        <v>0</v>
      </c>
      <c r="N809" s="5">
        <v>12</v>
      </c>
      <c r="O809" s="5" t="str">
        <f t="shared" ca="1" si="12"/>
        <v>Supplier 81</v>
      </c>
      <c r="P809" s="20" t="str">
        <f ca="1">IFERROR(VLOOKUP(O809,EMAILS!B:C,2,FALSE),"NOT FOUND IN EMAILS")</f>
        <v>supplier@gmail.com</v>
      </c>
      <c r="Q809" t="str">
        <f ca="1">""&amp;IFERROR(VLOOKUP(O809,EMAILS!B:D,3,FALSE),"NOT FOUND IN EMAILS")</f>
        <v/>
      </c>
      <c r="R809" t="str">
        <f ca="1">""&amp;IFERROR(VLOOKUP(O809,EMAILS!B:E,4,FALSE),"NO T FOUND IN EMAILS")</f>
        <v/>
      </c>
    </row>
    <row r="810" spans="2:18" x14ac:dyDescent="0.25">
      <c r="B810" s="5" t="s">
        <v>812</v>
      </c>
      <c r="C810" s="5" t="s">
        <v>4952</v>
      </c>
      <c r="D810" s="5">
        <v>0</v>
      </c>
      <c r="E810" s="5">
        <v>0</v>
      </c>
      <c r="F810" s="5">
        <v>0</v>
      </c>
      <c r="G810" s="5">
        <v>0</v>
      </c>
      <c r="H810" s="5">
        <v>0</v>
      </c>
      <c r="I810" s="5">
        <v>0</v>
      </c>
      <c r="J810" s="5">
        <v>0</v>
      </c>
      <c r="K810" s="5">
        <v>0</v>
      </c>
      <c r="L810" s="5">
        <v>0</v>
      </c>
      <c r="M810" s="5">
        <v>0</v>
      </c>
      <c r="N810" s="5">
        <v>4</v>
      </c>
      <c r="O810" s="5" t="str">
        <f t="shared" ca="1" si="12"/>
        <v>Supplier 47</v>
      </c>
      <c r="P810" s="20" t="str">
        <f ca="1">IFERROR(VLOOKUP(O810,EMAILS!B:C,2,FALSE),"NOT FOUND IN EMAILS")</f>
        <v>supplier@gmail.com</v>
      </c>
      <c r="Q810" t="str">
        <f ca="1">""&amp;IFERROR(VLOOKUP(O810,EMAILS!B:D,3,FALSE),"NOT FOUND IN EMAILS")</f>
        <v/>
      </c>
      <c r="R810" t="str">
        <f ca="1">""&amp;IFERROR(VLOOKUP(O810,EMAILS!B:E,4,FALSE),"NO T FOUND IN EMAILS")</f>
        <v/>
      </c>
    </row>
    <row r="811" spans="2:18" x14ac:dyDescent="0.25">
      <c r="B811" s="5" t="s">
        <v>813</v>
      </c>
      <c r="C811" s="5" t="s">
        <v>4953</v>
      </c>
      <c r="D811" s="5">
        <v>0</v>
      </c>
      <c r="E811" s="5">
        <v>0</v>
      </c>
      <c r="F811" s="5">
        <v>0</v>
      </c>
      <c r="G811" s="5">
        <v>0</v>
      </c>
      <c r="H811" s="5">
        <v>0</v>
      </c>
      <c r="I811" s="5">
        <v>0</v>
      </c>
      <c r="J811" s="5">
        <v>0</v>
      </c>
      <c r="K811" s="5">
        <v>0</v>
      </c>
      <c r="L811" s="5">
        <v>0</v>
      </c>
      <c r="M811" s="5">
        <v>0</v>
      </c>
      <c r="N811" s="5">
        <v>0</v>
      </c>
      <c r="O811" s="5" t="str">
        <f t="shared" ca="1" si="12"/>
        <v>Supplier 4</v>
      </c>
      <c r="P811" s="20" t="str">
        <f ca="1">IFERROR(VLOOKUP(O811,EMAILS!B:C,2,FALSE),"NOT FOUND IN EMAILS")</f>
        <v>supplier@gmail.com</v>
      </c>
      <c r="Q811" t="str">
        <f ca="1">""&amp;IFERROR(VLOOKUP(O811,EMAILS!B:D,3,FALSE),"NOT FOUND IN EMAILS")</f>
        <v>supplier_logistics@gmail.com</v>
      </c>
      <c r="R811" t="str">
        <f ca="1">""&amp;IFERROR(VLOOKUP(O811,EMAILS!B:E,4,FALSE),"NO T FOUND IN EMAILS")</f>
        <v/>
      </c>
    </row>
    <row r="812" spans="2:18" x14ac:dyDescent="0.25">
      <c r="B812" s="5" t="s">
        <v>814</v>
      </c>
      <c r="C812" s="5" t="s">
        <v>4954</v>
      </c>
      <c r="D812" s="5">
        <v>0</v>
      </c>
      <c r="E812" s="5">
        <v>0</v>
      </c>
      <c r="F812" s="5">
        <v>0</v>
      </c>
      <c r="G812" s="5">
        <v>0</v>
      </c>
      <c r="H812" s="5">
        <v>0</v>
      </c>
      <c r="I812" s="5">
        <v>0</v>
      </c>
      <c r="J812" s="5">
        <v>0</v>
      </c>
      <c r="K812" s="5">
        <v>0</v>
      </c>
      <c r="L812" s="5">
        <v>0</v>
      </c>
      <c r="M812" s="5">
        <v>0</v>
      </c>
      <c r="N812" s="5">
        <v>16116</v>
      </c>
      <c r="O812" s="5" t="str">
        <f t="shared" ca="1" si="12"/>
        <v>Supplier 133</v>
      </c>
      <c r="P812" s="20" t="str">
        <f ca="1">IFERROR(VLOOKUP(O812,EMAILS!B:C,2,FALSE),"NOT FOUND IN EMAILS")</f>
        <v>supplier@gmail.com</v>
      </c>
      <c r="Q812" t="str">
        <f ca="1">""&amp;IFERROR(VLOOKUP(O812,EMAILS!B:D,3,FALSE),"NOT FOUND IN EMAILS")</f>
        <v/>
      </c>
      <c r="R812" t="str">
        <f ca="1">""&amp;IFERROR(VLOOKUP(O812,EMAILS!B:E,4,FALSE),"NO T FOUND IN EMAILS")</f>
        <v/>
      </c>
    </row>
    <row r="813" spans="2:18" x14ac:dyDescent="0.25">
      <c r="B813" s="5" t="s">
        <v>815</v>
      </c>
      <c r="C813" s="5" t="s">
        <v>4955</v>
      </c>
      <c r="D813" s="5">
        <v>160</v>
      </c>
      <c r="E813" s="5">
        <v>37</v>
      </c>
      <c r="F813" s="5">
        <v>216</v>
      </c>
      <c r="G813" s="5">
        <v>216</v>
      </c>
      <c r="H813" s="5">
        <v>217</v>
      </c>
      <c r="I813" s="5">
        <v>216</v>
      </c>
      <c r="J813" s="5">
        <v>216</v>
      </c>
      <c r="K813" s="5">
        <v>216</v>
      </c>
      <c r="L813" s="5">
        <v>216</v>
      </c>
      <c r="M813" s="5">
        <v>0</v>
      </c>
      <c r="N813" s="5">
        <v>3547</v>
      </c>
      <c r="O813" s="5" t="str">
        <f t="shared" ca="1" si="12"/>
        <v>Supplier 159</v>
      </c>
      <c r="P813" s="20" t="str">
        <f ca="1">IFERROR(VLOOKUP(O813,EMAILS!B:C,2,FALSE),"NOT FOUND IN EMAILS")</f>
        <v>supplier@gmail.com</v>
      </c>
      <c r="Q813" t="str">
        <f ca="1">""&amp;IFERROR(VLOOKUP(O813,EMAILS!B:D,3,FALSE),"NOT FOUND IN EMAILS")</f>
        <v/>
      </c>
      <c r="R813" t="str">
        <f ca="1">""&amp;IFERROR(VLOOKUP(O813,EMAILS!B:E,4,FALSE),"NO T FOUND IN EMAILS")</f>
        <v/>
      </c>
    </row>
    <row r="814" spans="2:18" x14ac:dyDescent="0.25">
      <c r="B814" s="5" t="s">
        <v>816</v>
      </c>
      <c r="C814" s="5" t="s">
        <v>4956</v>
      </c>
      <c r="D814" s="5">
        <v>0</v>
      </c>
      <c r="E814" s="5">
        <v>0</v>
      </c>
      <c r="F814" s="5">
        <v>0</v>
      </c>
      <c r="G814" s="5">
        <v>0</v>
      </c>
      <c r="H814" s="5">
        <v>0</v>
      </c>
      <c r="I814" s="5">
        <v>0</v>
      </c>
      <c r="J814" s="5">
        <v>0</v>
      </c>
      <c r="K814" s="5">
        <v>0</v>
      </c>
      <c r="L814" s="5">
        <v>0</v>
      </c>
      <c r="M814" s="5">
        <v>0</v>
      </c>
      <c r="N814" s="5">
        <v>3570</v>
      </c>
      <c r="O814" s="5" t="str">
        <f t="shared" ca="1" si="12"/>
        <v>Supplier 196</v>
      </c>
      <c r="P814" s="20" t="str">
        <f ca="1">IFERROR(VLOOKUP(O814,EMAILS!B:C,2,FALSE),"NOT FOUND IN EMAILS")</f>
        <v>supplier@gmail.com</v>
      </c>
      <c r="Q814" t="str">
        <f ca="1">""&amp;IFERROR(VLOOKUP(O814,EMAILS!B:D,3,FALSE),"NOT FOUND IN EMAILS")</f>
        <v/>
      </c>
      <c r="R814" t="str">
        <f ca="1">""&amp;IFERROR(VLOOKUP(O814,EMAILS!B:E,4,FALSE),"NO T FOUND IN EMAILS")</f>
        <v/>
      </c>
    </row>
    <row r="815" spans="2:18" x14ac:dyDescent="0.25">
      <c r="B815" s="5" t="s">
        <v>817</v>
      </c>
      <c r="C815" s="5" t="s">
        <v>4957</v>
      </c>
      <c r="D815" s="5">
        <v>5</v>
      </c>
      <c r="E815" s="5">
        <v>1</v>
      </c>
      <c r="F815" s="5">
        <v>58</v>
      </c>
      <c r="G815" s="5">
        <v>58</v>
      </c>
      <c r="H815" s="5">
        <v>58</v>
      </c>
      <c r="I815" s="5">
        <v>58</v>
      </c>
      <c r="J815" s="5">
        <v>58</v>
      </c>
      <c r="K815" s="5">
        <v>58</v>
      </c>
      <c r="L815" s="5">
        <v>58</v>
      </c>
      <c r="M815" s="5">
        <v>0</v>
      </c>
      <c r="N815" s="5">
        <v>1148</v>
      </c>
      <c r="O815" s="5" t="str">
        <f t="shared" ca="1" si="12"/>
        <v>Supplier 29</v>
      </c>
      <c r="P815" s="20" t="str">
        <f ca="1">IFERROR(VLOOKUP(O815,EMAILS!B:C,2,FALSE),"NOT FOUND IN EMAILS")</f>
        <v>supplier@gmail.com</v>
      </c>
      <c r="Q815" t="str">
        <f ca="1">""&amp;IFERROR(VLOOKUP(O815,EMAILS!B:D,3,FALSE),"NOT FOUND IN EMAILS")</f>
        <v/>
      </c>
      <c r="R815" t="str">
        <f ca="1">""&amp;IFERROR(VLOOKUP(O815,EMAILS!B:E,4,FALSE),"NO T FOUND IN EMAILS")</f>
        <v/>
      </c>
    </row>
    <row r="816" spans="2:18" x14ac:dyDescent="0.25">
      <c r="B816" s="5" t="s">
        <v>818</v>
      </c>
      <c r="C816" s="5" t="s">
        <v>4958</v>
      </c>
      <c r="D816" s="5">
        <v>0</v>
      </c>
      <c r="E816" s="5">
        <v>0</v>
      </c>
      <c r="F816" s="5">
        <v>0</v>
      </c>
      <c r="G816" s="5">
        <v>0</v>
      </c>
      <c r="H816" s="5">
        <v>0</v>
      </c>
      <c r="I816" s="5">
        <v>0</v>
      </c>
      <c r="J816" s="5">
        <v>0</v>
      </c>
      <c r="K816" s="5">
        <v>0</v>
      </c>
      <c r="L816" s="5">
        <v>0</v>
      </c>
      <c r="M816" s="5">
        <v>0</v>
      </c>
      <c r="N816" s="5">
        <v>1500</v>
      </c>
      <c r="O816" s="5" t="str">
        <f t="shared" ca="1" si="12"/>
        <v>Supplier 63</v>
      </c>
      <c r="P816" s="20" t="str">
        <f ca="1">IFERROR(VLOOKUP(O816,EMAILS!B:C,2,FALSE),"NOT FOUND IN EMAILS")</f>
        <v>supplier@gmail.com</v>
      </c>
      <c r="Q816" t="str">
        <f ca="1">""&amp;IFERROR(VLOOKUP(O816,EMAILS!B:D,3,FALSE),"NOT FOUND IN EMAILS")</f>
        <v/>
      </c>
      <c r="R816" t="str">
        <f ca="1">""&amp;IFERROR(VLOOKUP(O816,EMAILS!B:E,4,FALSE),"NO T FOUND IN EMAILS")</f>
        <v/>
      </c>
    </row>
    <row r="817" spans="2:18" x14ac:dyDescent="0.25">
      <c r="B817" s="5" t="s">
        <v>819</v>
      </c>
      <c r="C817" s="5" t="s">
        <v>4959</v>
      </c>
      <c r="D817" s="5">
        <v>5</v>
      </c>
      <c r="E817" s="5">
        <v>1</v>
      </c>
      <c r="F817" s="5">
        <v>58</v>
      </c>
      <c r="G817" s="5">
        <v>58</v>
      </c>
      <c r="H817" s="5">
        <v>58</v>
      </c>
      <c r="I817" s="5">
        <v>58</v>
      </c>
      <c r="J817" s="5">
        <v>58</v>
      </c>
      <c r="K817" s="5">
        <v>58</v>
      </c>
      <c r="L817" s="5">
        <v>58</v>
      </c>
      <c r="M817" s="5">
        <v>0</v>
      </c>
      <c r="N817" s="5">
        <v>1000</v>
      </c>
      <c r="O817" s="5" t="str">
        <f t="shared" ca="1" si="12"/>
        <v>Supplier 141</v>
      </c>
      <c r="P817" s="20" t="str">
        <f ca="1">IFERROR(VLOOKUP(O817,EMAILS!B:C,2,FALSE),"NOT FOUND IN EMAILS")</f>
        <v>supplier@gmail.com</v>
      </c>
      <c r="Q817" t="str">
        <f ca="1">""&amp;IFERROR(VLOOKUP(O817,EMAILS!B:D,3,FALSE),"NOT FOUND IN EMAILS")</f>
        <v/>
      </c>
      <c r="R817" t="str">
        <f ca="1">""&amp;IFERROR(VLOOKUP(O817,EMAILS!B:E,4,FALSE),"NO T FOUND IN EMAILS")</f>
        <v/>
      </c>
    </row>
    <row r="818" spans="2:18" x14ac:dyDescent="0.25">
      <c r="B818" s="5" t="s">
        <v>820</v>
      </c>
      <c r="C818" s="5" t="s">
        <v>4960</v>
      </c>
      <c r="D818" s="5">
        <v>78</v>
      </c>
      <c r="E818" s="5">
        <v>17</v>
      </c>
      <c r="F818" s="5">
        <v>90</v>
      </c>
      <c r="G818" s="5">
        <v>90</v>
      </c>
      <c r="H818" s="5">
        <v>91</v>
      </c>
      <c r="I818" s="5">
        <v>90</v>
      </c>
      <c r="J818" s="5">
        <v>90</v>
      </c>
      <c r="K818" s="5">
        <v>90</v>
      </c>
      <c r="L818" s="5">
        <v>90</v>
      </c>
      <c r="M818" s="5">
        <v>0</v>
      </c>
      <c r="N818" s="5">
        <v>787</v>
      </c>
      <c r="O818" s="5" t="str">
        <f t="shared" ca="1" si="12"/>
        <v>Supplier 27</v>
      </c>
      <c r="P818" s="20" t="str">
        <f ca="1">IFERROR(VLOOKUP(O818,EMAILS!B:C,2,FALSE),"NOT FOUND IN EMAILS")</f>
        <v>supplier@gmail.com</v>
      </c>
      <c r="Q818" t="str">
        <f ca="1">""&amp;IFERROR(VLOOKUP(O818,EMAILS!B:D,3,FALSE),"NOT FOUND IN EMAILS")</f>
        <v/>
      </c>
      <c r="R818" t="str">
        <f ca="1">""&amp;IFERROR(VLOOKUP(O818,EMAILS!B:E,4,FALSE),"NO T FOUND IN EMAILS")</f>
        <v/>
      </c>
    </row>
    <row r="819" spans="2:18" x14ac:dyDescent="0.25">
      <c r="B819" s="5" t="s">
        <v>821</v>
      </c>
      <c r="C819" s="5" t="s">
        <v>4961</v>
      </c>
      <c r="D819" s="5">
        <v>10</v>
      </c>
      <c r="E819" s="5">
        <v>2</v>
      </c>
      <c r="F819" s="5">
        <v>24</v>
      </c>
      <c r="G819" s="5">
        <v>24</v>
      </c>
      <c r="H819" s="5">
        <v>24</v>
      </c>
      <c r="I819" s="5">
        <v>24</v>
      </c>
      <c r="J819" s="5">
        <v>24</v>
      </c>
      <c r="K819" s="5">
        <v>24</v>
      </c>
      <c r="L819" s="5">
        <v>24</v>
      </c>
      <c r="M819" s="5">
        <v>0</v>
      </c>
      <c r="N819" s="5">
        <v>7436</v>
      </c>
      <c r="O819" s="5" t="str">
        <f t="shared" ca="1" si="12"/>
        <v>Supplier 174</v>
      </c>
      <c r="P819" s="20" t="str">
        <f ca="1">IFERROR(VLOOKUP(O819,EMAILS!B:C,2,FALSE),"NOT FOUND IN EMAILS")</f>
        <v>supplier@gmail.com</v>
      </c>
      <c r="Q819" t="str">
        <f ca="1">""&amp;IFERROR(VLOOKUP(O819,EMAILS!B:D,3,FALSE),"NOT FOUND IN EMAILS")</f>
        <v/>
      </c>
      <c r="R819" t="str">
        <f ca="1">""&amp;IFERROR(VLOOKUP(O819,EMAILS!B:E,4,FALSE),"NO T FOUND IN EMAILS")</f>
        <v/>
      </c>
    </row>
    <row r="820" spans="2:18" x14ac:dyDescent="0.25">
      <c r="B820" s="5" t="s">
        <v>822</v>
      </c>
      <c r="C820" s="5" t="s">
        <v>4962</v>
      </c>
      <c r="D820" s="5">
        <v>398</v>
      </c>
      <c r="E820" s="5">
        <v>102</v>
      </c>
      <c r="F820" s="5">
        <v>448</v>
      </c>
      <c r="G820" s="5">
        <v>448</v>
      </c>
      <c r="H820" s="5">
        <v>448</v>
      </c>
      <c r="I820" s="5">
        <v>448</v>
      </c>
      <c r="J820" s="5">
        <v>448</v>
      </c>
      <c r="K820" s="5">
        <v>448</v>
      </c>
      <c r="L820" s="5">
        <v>448</v>
      </c>
      <c r="M820" s="5">
        <v>0</v>
      </c>
      <c r="N820" s="5">
        <v>1003</v>
      </c>
      <c r="O820" s="5" t="str">
        <f t="shared" ca="1" si="12"/>
        <v>Supplier 57</v>
      </c>
      <c r="P820" s="20" t="str">
        <f ca="1">IFERROR(VLOOKUP(O820,EMAILS!B:C,2,FALSE),"NOT FOUND IN EMAILS")</f>
        <v>supplier@gmail.com</v>
      </c>
      <c r="Q820" t="str">
        <f ca="1">""&amp;IFERROR(VLOOKUP(O820,EMAILS!B:D,3,FALSE),"NOT FOUND IN EMAILS")</f>
        <v/>
      </c>
      <c r="R820" t="str">
        <f ca="1">""&amp;IFERROR(VLOOKUP(O820,EMAILS!B:E,4,FALSE),"NO T FOUND IN EMAILS")</f>
        <v/>
      </c>
    </row>
    <row r="821" spans="2:18" x14ac:dyDescent="0.25">
      <c r="B821" s="5" t="s">
        <v>823</v>
      </c>
      <c r="C821" s="5" t="s">
        <v>4963</v>
      </c>
      <c r="D821" s="5">
        <v>358</v>
      </c>
      <c r="E821" s="5">
        <v>83</v>
      </c>
      <c r="F821" s="5">
        <v>334</v>
      </c>
      <c r="G821" s="5">
        <v>334</v>
      </c>
      <c r="H821" s="5">
        <v>337</v>
      </c>
      <c r="I821" s="5">
        <v>334</v>
      </c>
      <c r="J821" s="5">
        <v>334</v>
      </c>
      <c r="K821" s="5">
        <v>334</v>
      </c>
      <c r="L821" s="5">
        <v>334</v>
      </c>
      <c r="M821" s="5">
        <v>0</v>
      </c>
      <c r="N821" s="5">
        <v>800</v>
      </c>
      <c r="O821" s="5" t="str">
        <f t="shared" ca="1" si="12"/>
        <v>Supplier 92</v>
      </c>
      <c r="P821" s="20" t="str">
        <f ca="1">IFERROR(VLOOKUP(O821,EMAILS!B:C,2,FALSE),"NOT FOUND IN EMAILS")</f>
        <v>supplier@gmail.com</v>
      </c>
      <c r="Q821" t="str">
        <f ca="1">""&amp;IFERROR(VLOOKUP(O821,EMAILS!B:D,3,FALSE),"NOT FOUND IN EMAILS")</f>
        <v/>
      </c>
      <c r="R821" t="str">
        <f ca="1">""&amp;IFERROR(VLOOKUP(O821,EMAILS!B:E,4,FALSE),"NO T FOUND IN EMAILS")</f>
        <v/>
      </c>
    </row>
    <row r="822" spans="2:18" x14ac:dyDescent="0.25">
      <c r="B822" s="5" t="s">
        <v>824</v>
      </c>
      <c r="C822" s="5" t="s">
        <v>4964</v>
      </c>
      <c r="D822" s="5">
        <v>398</v>
      </c>
      <c r="E822" s="5">
        <v>102</v>
      </c>
      <c r="F822" s="5">
        <v>448</v>
      </c>
      <c r="G822" s="5">
        <v>448</v>
      </c>
      <c r="H822" s="5">
        <v>448</v>
      </c>
      <c r="I822" s="5">
        <v>448</v>
      </c>
      <c r="J822" s="5">
        <v>448</v>
      </c>
      <c r="K822" s="5">
        <v>448</v>
      </c>
      <c r="L822" s="5">
        <v>448</v>
      </c>
      <c r="M822" s="5">
        <v>0</v>
      </c>
      <c r="N822" s="5">
        <v>3</v>
      </c>
      <c r="O822" s="5" t="str">
        <f t="shared" ca="1" si="12"/>
        <v>Supplier 117</v>
      </c>
      <c r="P822" s="20" t="str">
        <f ca="1">IFERROR(VLOOKUP(O822,EMAILS!B:C,2,FALSE),"NOT FOUND IN EMAILS")</f>
        <v>supplier@gmail.com</v>
      </c>
      <c r="Q822" t="str">
        <f ca="1">""&amp;IFERROR(VLOOKUP(O822,EMAILS!B:D,3,FALSE),"NOT FOUND IN EMAILS")</f>
        <v/>
      </c>
      <c r="R822" t="str">
        <f ca="1">""&amp;IFERROR(VLOOKUP(O822,EMAILS!B:E,4,FALSE),"NO T FOUND IN EMAILS")</f>
        <v/>
      </c>
    </row>
    <row r="823" spans="2:18" x14ac:dyDescent="0.25">
      <c r="B823" s="5" t="s">
        <v>825</v>
      </c>
      <c r="C823" s="5" t="s">
        <v>4965</v>
      </c>
      <c r="D823" s="5">
        <v>0</v>
      </c>
      <c r="E823" s="5">
        <v>0</v>
      </c>
      <c r="F823" s="5">
        <v>0</v>
      </c>
      <c r="G823" s="5">
        <v>0</v>
      </c>
      <c r="H823" s="5">
        <v>0</v>
      </c>
      <c r="I823" s="5">
        <v>0</v>
      </c>
      <c r="J823" s="5">
        <v>0</v>
      </c>
      <c r="K823" s="5">
        <v>0</v>
      </c>
      <c r="L823" s="5">
        <v>0</v>
      </c>
      <c r="M823" s="5">
        <v>0</v>
      </c>
      <c r="N823" s="5">
        <v>0</v>
      </c>
      <c r="O823" s="5" t="str">
        <f t="shared" ca="1" si="12"/>
        <v>Supplier 20</v>
      </c>
      <c r="P823" s="20" t="str">
        <f ca="1">IFERROR(VLOOKUP(O823,EMAILS!B:C,2,FALSE),"NOT FOUND IN EMAILS")</f>
        <v>supplier@gmail.com</v>
      </c>
      <c r="Q823" t="str">
        <f ca="1">""&amp;IFERROR(VLOOKUP(O823,EMAILS!B:D,3,FALSE),"NOT FOUND IN EMAILS")</f>
        <v/>
      </c>
      <c r="R823" t="str">
        <f ca="1">""&amp;IFERROR(VLOOKUP(O823,EMAILS!B:E,4,FALSE),"NO T FOUND IN EMAILS")</f>
        <v/>
      </c>
    </row>
    <row r="824" spans="2:18" x14ac:dyDescent="0.25">
      <c r="B824" s="5" t="s">
        <v>826</v>
      </c>
      <c r="C824" s="5" t="s">
        <v>4966</v>
      </c>
      <c r="D824" s="5">
        <v>0</v>
      </c>
      <c r="E824" s="5">
        <v>0</v>
      </c>
      <c r="F824" s="5">
        <v>0</v>
      </c>
      <c r="G824" s="5">
        <v>0</v>
      </c>
      <c r="H824" s="5">
        <v>0</v>
      </c>
      <c r="I824" s="5">
        <v>0</v>
      </c>
      <c r="J824" s="5">
        <v>0</v>
      </c>
      <c r="K824" s="5">
        <v>0</v>
      </c>
      <c r="L824" s="5">
        <v>0</v>
      </c>
      <c r="M824" s="5">
        <v>0</v>
      </c>
      <c r="N824" s="5">
        <v>160</v>
      </c>
      <c r="O824" s="5" t="str">
        <f t="shared" ca="1" si="12"/>
        <v>Supplier 145</v>
      </c>
      <c r="P824" s="20" t="str">
        <f ca="1">IFERROR(VLOOKUP(O824,EMAILS!B:C,2,FALSE),"NOT FOUND IN EMAILS")</f>
        <v>supplier@gmail.com</v>
      </c>
      <c r="Q824" t="str">
        <f ca="1">""&amp;IFERROR(VLOOKUP(O824,EMAILS!B:D,3,FALSE),"NOT FOUND IN EMAILS")</f>
        <v/>
      </c>
      <c r="R824" t="str">
        <f ca="1">""&amp;IFERROR(VLOOKUP(O824,EMAILS!B:E,4,FALSE),"NO T FOUND IN EMAILS")</f>
        <v/>
      </c>
    </row>
    <row r="825" spans="2:18" x14ac:dyDescent="0.25">
      <c r="B825" s="5" t="s">
        <v>827</v>
      </c>
      <c r="C825" s="5" t="s">
        <v>4967</v>
      </c>
      <c r="D825" s="5">
        <v>62</v>
      </c>
      <c r="E825" s="5">
        <v>12</v>
      </c>
      <c r="F825" s="5">
        <v>32</v>
      </c>
      <c r="G825" s="5">
        <v>32</v>
      </c>
      <c r="H825" s="5">
        <v>32</v>
      </c>
      <c r="I825" s="5">
        <v>32</v>
      </c>
      <c r="J825" s="5">
        <v>32</v>
      </c>
      <c r="K825" s="5">
        <v>32</v>
      </c>
      <c r="L825" s="5">
        <v>32</v>
      </c>
      <c r="M825" s="5">
        <v>0</v>
      </c>
      <c r="N825" s="5">
        <v>100</v>
      </c>
      <c r="O825" s="5" t="str">
        <f t="shared" ca="1" si="12"/>
        <v>Supplier 91</v>
      </c>
      <c r="P825" s="20" t="str">
        <f ca="1">IFERROR(VLOOKUP(O825,EMAILS!B:C,2,FALSE),"NOT FOUND IN EMAILS")</f>
        <v>supplier@gmail.com</v>
      </c>
      <c r="Q825" t="str">
        <f ca="1">""&amp;IFERROR(VLOOKUP(O825,EMAILS!B:D,3,FALSE),"NOT FOUND IN EMAILS")</f>
        <v/>
      </c>
      <c r="R825" t="str">
        <f ca="1">""&amp;IFERROR(VLOOKUP(O825,EMAILS!B:E,4,FALSE),"NO T FOUND IN EMAILS")</f>
        <v/>
      </c>
    </row>
    <row r="826" spans="2:18" x14ac:dyDescent="0.25">
      <c r="B826" s="5" t="s">
        <v>828</v>
      </c>
      <c r="C826" s="5" t="s">
        <v>4968</v>
      </c>
      <c r="D826" s="5">
        <v>11</v>
      </c>
      <c r="E826" s="5">
        <v>0</v>
      </c>
      <c r="F826" s="5">
        <v>46</v>
      </c>
      <c r="G826" s="5">
        <v>46</v>
      </c>
      <c r="H826" s="5">
        <v>47</v>
      </c>
      <c r="I826" s="5">
        <v>46</v>
      </c>
      <c r="J826" s="5">
        <v>46</v>
      </c>
      <c r="K826" s="5">
        <v>46</v>
      </c>
      <c r="L826" s="5">
        <v>46</v>
      </c>
      <c r="M826" s="5">
        <v>0</v>
      </c>
      <c r="N826" s="5">
        <v>200</v>
      </c>
      <c r="O826" s="5" t="str">
        <f t="shared" ca="1" si="12"/>
        <v>Supplier 57</v>
      </c>
      <c r="P826" s="20" t="str">
        <f ca="1">IFERROR(VLOOKUP(O826,EMAILS!B:C,2,FALSE),"NOT FOUND IN EMAILS")</f>
        <v>supplier@gmail.com</v>
      </c>
      <c r="Q826" t="str">
        <f ca="1">""&amp;IFERROR(VLOOKUP(O826,EMAILS!B:D,3,FALSE),"NOT FOUND IN EMAILS")</f>
        <v/>
      </c>
      <c r="R826" t="str">
        <f ca="1">""&amp;IFERROR(VLOOKUP(O826,EMAILS!B:E,4,FALSE),"NO T FOUND IN EMAILS")</f>
        <v/>
      </c>
    </row>
    <row r="827" spans="2:18" x14ac:dyDescent="0.25">
      <c r="B827" s="5" t="s">
        <v>829</v>
      </c>
      <c r="C827" s="5" t="s">
        <v>4969</v>
      </c>
      <c r="D827" s="5">
        <v>5</v>
      </c>
      <c r="E827" s="5">
        <v>1</v>
      </c>
      <c r="F827" s="5">
        <v>58</v>
      </c>
      <c r="G827" s="5">
        <v>58</v>
      </c>
      <c r="H827" s="5">
        <v>58</v>
      </c>
      <c r="I827" s="5">
        <v>58</v>
      </c>
      <c r="J827" s="5">
        <v>58</v>
      </c>
      <c r="K827" s="5">
        <v>58</v>
      </c>
      <c r="L827" s="5">
        <v>58</v>
      </c>
      <c r="M827" s="5">
        <v>0</v>
      </c>
      <c r="N827" s="5">
        <v>65</v>
      </c>
      <c r="O827" s="5" t="str">
        <f t="shared" ca="1" si="12"/>
        <v>Supplier 64</v>
      </c>
      <c r="P827" s="20" t="str">
        <f ca="1">IFERROR(VLOOKUP(O827,EMAILS!B:C,2,FALSE),"NOT FOUND IN EMAILS")</f>
        <v>supplier@gmail.com</v>
      </c>
      <c r="Q827" t="str">
        <f ca="1">""&amp;IFERROR(VLOOKUP(O827,EMAILS!B:D,3,FALSE),"NOT FOUND IN EMAILS")</f>
        <v/>
      </c>
      <c r="R827" t="str">
        <f ca="1">""&amp;IFERROR(VLOOKUP(O827,EMAILS!B:E,4,FALSE),"NO T FOUND IN EMAILS")</f>
        <v/>
      </c>
    </row>
    <row r="828" spans="2:18" x14ac:dyDescent="0.25">
      <c r="B828" s="5" t="s">
        <v>830</v>
      </c>
      <c r="C828" s="5" t="s">
        <v>4970</v>
      </c>
      <c r="D828" s="5">
        <v>4</v>
      </c>
      <c r="E828" s="5">
        <v>1</v>
      </c>
      <c r="F828" s="5">
        <v>12</v>
      </c>
      <c r="G828" s="5">
        <v>12</v>
      </c>
      <c r="H828" s="5">
        <v>12</v>
      </c>
      <c r="I828" s="5">
        <v>12</v>
      </c>
      <c r="J828" s="5">
        <v>12</v>
      </c>
      <c r="K828" s="5">
        <v>12</v>
      </c>
      <c r="L828" s="5">
        <v>12</v>
      </c>
      <c r="M828" s="5">
        <v>0</v>
      </c>
      <c r="N828" s="5">
        <v>25</v>
      </c>
      <c r="O828" s="5" t="str">
        <f t="shared" ca="1" si="12"/>
        <v>Supplier 122</v>
      </c>
      <c r="P828" s="20" t="str">
        <f ca="1">IFERROR(VLOOKUP(O828,EMAILS!B:C,2,FALSE),"NOT FOUND IN EMAILS")</f>
        <v>supplier@gmail.com</v>
      </c>
      <c r="Q828" t="str">
        <f ca="1">""&amp;IFERROR(VLOOKUP(O828,EMAILS!B:D,3,FALSE),"NOT FOUND IN EMAILS")</f>
        <v/>
      </c>
      <c r="R828" t="str">
        <f ca="1">""&amp;IFERROR(VLOOKUP(O828,EMAILS!B:E,4,FALSE),"NO T FOUND IN EMAILS")</f>
        <v/>
      </c>
    </row>
    <row r="829" spans="2:18" x14ac:dyDescent="0.25">
      <c r="B829" s="5" t="s">
        <v>831</v>
      </c>
      <c r="C829" s="5" t="s">
        <v>4971</v>
      </c>
      <c r="D829" s="5">
        <v>0</v>
      </c>
      <c r="E829" s="5">
        <v>0</v>
      </c>
      <c r="F829" s="5">
        <v>46</v>
      </c>
      <c r="G829" s="5">
        <v>46</v>
      </c>
      <c r="H829" s="5">
        <v>46</v>
      </c>
      <c r="I829" s="5">
        <v>46</v>
      </c>
      <c r="J829" s="5">
        <v>46</v>
      </c>
      <c r="K829" s="5">
        <v>46</v>
      </c>
      <c r="L829" s="5">
        <v>46</v>
      </c>
      <c r="M829" s="5">
        <v>0</v>
      </c>
      <c r="N829" s="5">
        <v>0</v>
      </c>
      <c r="O829" s="5" t="str">
        <f t="shared" ca="1" si="12"/>
        <v>Supplier 195</v>
      </c>
      <c r="P829" s="20" t="str">
        <f ca="1">IFERROR(VLOOKUP(O829,EMAILS!B:C,2,FALSE),"NOT FOUND IN EMAILS")</f>
        <v>supplier@gmail.com</v>
      </c>
      <c r="Q829" t="str">
        <f ca="1">""&amp;IFERROR(VLOOKUP(O829,EMAILS!B:D,3,FALSE),"NOT FOUND IN EMAILS")</f>
        <v/>
      </c>
      <c r="R829" t="str">
        <f ca="1">""&amp;IFERROR(VLOOKUP(O829,EMAILS!B:E,4,FALSE),"NO T FOUND IN EMAILS")</f>
        <v/>
      </c>
    </row>
    <row r="830" spans="2:18" x14ac:dyDescent="0.25">
      <c r="B830" s="5" t="s">
        <v>832</v>
      </c>
      <c r="C830" s="5" t="s">
        <v>4972</v>
      </c>
      <c r="D830" s="5">
        <v>0</v>
      </c>
      <c r="E830" s="5">
        <v>0</v>
      </c>
      <c r="F830" s="5">
        <v>0</v>
      </c>
      <c r="G830" s="5">
        <v>0</v>
      </c>
      <c r="H830" s="5">
        <v>0</v>
      </c>
      <c r="I830" s="5">
        <v>0</v>
      </c>
      <c r="J830" s="5">
        <v>0</v>
      </c>
      <c r="K830" s="5">
        <v>0</v>
      </c>
      <c r="L830" s="5">
        <v>0</v>
      </c>
      <c r="M830" s="5">
        <v>0</v>
      </c>
      <c r="N830" s="5">
        <v>0</v>
      </c>
      <c r="O830" s="5" t="str">
        <f t="shared" ca="1" si="12"/>
        <v>Supplier 63</v>
      </c>
      <c r="P830" s="20" t="str">
        <f ca="1">IFERROR(VLOOKUP(O830,EMAILS!B:C,2,FALSE),"NOT FOUND IN EMAILS")</f>
        <v>supplier@gmail.com</v>
      </c>
      <c r="Q830" t="str">
        <f ca="1">""&amp;IFERROR(VLOOKUP(O830,EMAILS!B:D,3,FALSE),"NOT FOUND IN EMAILS")</f>
        <v/>
      </c>
      <c r="R830" t="str">
        <f ca="1">""&amp;IFERROR(VLOOKUP(O830,EMAILS!B:E,4,FALSE),"NO T FOUND IN EMAILS")</f>
        <v/>
      </c>
    </row>
    <row r="831" spans="2:18" x14ac:dyDescent="0.25">
      <c r="B831" s="5" t="s">
        <v>833</v>
      </c>
      <c r="C831" s="5" t="s">
        <v>4973</v>
      </c>
      <c r="D831" s="5">
        <v>0</v>
      </c>
      <c r="E831" s="5">
        <v>0</v>
      </c>
      <c r="F831" s="5">
        <v>0</v>
      </c>
      <c r="G831" s="5">
        <v>0</v>
      </c>
      <c r="H831" s="5">
        <v>0</v>
      </c>
      <c r="I831" s="5">
        <v>0</v>
      </c>
      <c r="J831" s="5">
        <v>0</v>
      </c>
      <c r="K831" s="5">
        <v>0</v>
      </c>
      <c r="L831" s="5">
        <v>0</v>
      </c>
      <c r="M831" s="5">
        <v>0</v>
      </c>
      <c r="N831" s="5">
        <v>30</v>
      </c>
      <c r="O831" s="5" t="str">
        <f t="shared" ca="1" si="12"/>
        <v>Supplier 108</v>
      </c>
      <c r="P831" s="20" t="str">
        <f ca="1">IFERROR(VLOOKUP(O831,EMAILS!B:C,2,FALSE),"NOT FOUND IN EMAILS")</f>
        <v>supplier@gmail.com</v>
      </c>
      <c r="Q831" t="str">
        <f ca="1">""&amp;IFERROR(VLOOKUP(O831,EMAILS!B:D,3,FALSE),"NOT FOUND IN EMAILS")</f>
        <v/>
      </c>
      <c r="R831" t="str">
        <f ca="1">""&amp;IFERROR(VLOOKUP(O831,EMAILS!B:E,4,FALSE),"NO T FOUND IN EMAILS")</f>
        <v/>
      </c>
    </row>
    <row r="832" spans="2:18" x14ac:dyDescent="0.25">
      <c r="B832" s="5" t="s">
        <v>834</v>
      </c>
      <c r="C832" s="5" t="s">
        <v>4974</v>
      </c>
      <c r="D832" s="5">
        <v>0</v>
      </c>
      <c r="E832" s="5">
        <v>0</v>
      </c>
      <c r="F832" s="5">
        <v>0</v>
      </c>
      <c r="G832" s="5">
        <v>0</v>
      </c>
      <c r="H832" s="5">
        <v>0</v>
      </c>
      <c r="I832" s="5">
        <v>0</v>
      </c>
      <c r="J832" s="5">
        <v>0</v>
      </c>
      <c r="K832" s="5">
        <v>0</v>
      </c>
      <c r="L832" s="5">
        <v>0</v>
      </c>
      <c r="M832" s="5">
        <v>0</v>
      </c>
      <c r="N832" s="5">
        <v>5</v>
      </c>
      <c r="O832" s="5" t="str">
        <f t="shared" ca="1" si="12"/>
        <v>Supplier 107</v>
      </c>
      <c r="P832" s="20" t="str">
        <f ca="1">IFERROR(VLOOKUP(O832,EMAILS!B:C,2,FALSE),"NOT FOUND IN EMAILS")</f>
        <v>supplier@gmail.com</v>
      </c>
      <c r="Q832" t="str">
        <f ca="1">""&amp;IFERROR(VLOOKUP(O832,EMAILS!B:D,3,FALSE),"NOT FOUND IN EMAILS")</f>
        <v/>
      </c>
      <c r="R832" t="str">
        <f ca="1">""&amp;IFERROR(VLOOKUP(O832,EMAILS!B:E,4,FALSE),"NO T FOUND IN EMAILS")</f>
        <v/>
      </c>
    </row>
    <row r="833" spans="2:18" x14ac:dyDescent="0.25">
      <c r="B833" s="5" t="s">
        <v>835</v>
      </c>
      <c r="C833" s="5" t="s">
        <v>4975</v>
      </c>
      <c r="D833" s="5">
        <v>0</v>
      </c>
      <c r="E833" s="5">
        <v>0</v>
      </c>
      <c r="F833" s="5">
        <v>0</v>
      </c>
      <c r="G833" s="5">
        <v>0</v>
      </c>
      <c r="H833" s="5">
        <v>0</v>
      </c>
      <c r="I833" s="5">
        <v>0</v>
      </c>
      <c r="J833" s="5">
        <v>0</v>
      </c>
      <c r="K833" s="5">
        <v>0</v>
      </c>
      <c r="L833" s="5">
        <v>0</v>
      </c>
      <c r="M833" s="5">
        <v>0</v>
      </c>
      <c r="N833" s="5">
        <v>0</v>
      </c>
      <c r="O833" s="5" t="str">
        <f t="shared" ca="1" si="12"/>
        <v>Supplier 100</v>
      </c>
      <c r="P833" s="20" t="str">
        <f ca="1">IFERROR(VLOOKUP(O833,EMAILS!B:C,2,FALSE),"NOT FOUND IN EMAILS")</f>
        <v>supplier@gmail.com</v>
      </c>
      <c r="Q833" t="str">
        <f ca="1">""&amp;IFERROR(VLOOKUP(O833,EMAILS!B:D,3,FALSE),"NOT FOUND IN EMAILS")</f>
        <v/>
      </c>
      <c r="R833" t="str">
        <f ca="1">""&amp;IFERROR(VLOOKUP(O833,EMAILS!B:E,4,FALSE),"NO T FOUND IN EMAILS")</f>
        <v/>
      </c>
    </row>
    <row r="834" spans="2:18" x14ac:dyDescent="0.25">
      <c r="B834" s="5" t="s">
        <v>836</v>
      </c>
      <c r="C834" s="5" t="s">
        <v>4976</v>
      </c>
      <c r="D834" s="5">
        <v>682</v>
      </c>
      <c r="E834" s="5">
        <v>170</v>
      </c>
      <c r="F834" s="5">
        <v>440</v>
      </c>
      <c r="G834" s="5">
        <v>440</v>
      </c>
      <c r="H834" s="5">
        <v>440</v>
      </c>
      <c r="I834" s="5">
        <v>440</v>
      </c>
      <c r="J834" s="5">
        <v>440</v>
      </c>
      <c r="K834" s="5">
        <v>440</v>
      </c>
      <c r="L834" s="5">
        <v>440</v>
      </c>
      <c r="M834" s="5">
        <v>0</v>
      </c>
      <c r="N834" s="5">
        <v>396</v>
      </c>
      <c r="O834" s="5" t="str">
        <f t="shared" ca="1" si="12"/>
        <v>Supplier 101</v>
      </c>
      <c r="P834" s="20" t="str">
        <f ca="1">IFERROR(VLOOKUP(O834,EMAILS!B:C,2,FALSE),"NOT FOUND IN EMAILS")</f>
        <v>supplier@gmail.com</v>
      </c>
      <c r="Q834" t="str">
        <f ca="1">""&amp;IFERROR(VLOOKUP(O834,EMAILS!B:D,3,FALSE),"NOT FOUND IN EMAILS")</f>
        <v/>
      </c>
      <c r="R834" t="str">
        <f ca="1">""&amp;IFERROR(VLOOKUP(O834,EMAILS!B:E,4,FALSE),"NO T FOUND IN EMAILS")</f>
        <v/>
      </c>
    </row>
    <row r="835" spans="2:18" x14ac:dyDescent="0.25">
      <c r="B835" s="5" t="s">
        <v>837</v>
      </c>
      <c r="C835" s="5" t="s">
        <v>4977</v>
      </c>
      <c r="D835" s="5">
        <v>11</v>
      </c>
      <c r="E835" s="5">
        <v>0</v>
      </c>
      <c r="F835" s="5">
        <v>0</v>
      </c>
      <c r="G835" s="5">
        <v>0</v>
      </c>
      <c r="H835" s="5">
        <v>1</v>
      </c>
      <c r="I835" s="5">
        <v>0</v>
      </c>
      <c r="J835" s="5">
        <v>0</v>
      </c>
      <c r="K835" s="5">
        <v>0</v>
      </c>
      <c r="L835" s="5">
        <v>0</v>
      </c>
      <c r="M835" s="5">
        <v>0</v>
      </c>
      <c r="N835" s="5">
        <v>150</v>
      </c>
      <c r="O835" s="5" t="str">
        <f t="shared" ref="O835:O898" ca="1" si="13">"Supplier "&amp;RANDBETWEEN(1,200)</f>
        <v>Supplier 196</v>
      </c>
      <c r="P835" s="20" t="str">
        <f ca="1">IFERROR(VLOOKUP(O835,EMAILS!B:C,2,FALSE),"NOT FOUND IN EMAILS")</f>
        <v>supplier@gmail.com</v>
      </c>
      <c r="Q835" t="str">
        <f ca="1">""&amp;IFERROR(VLOOKUP(O835,EMAILS!B:D,3,FALSE),"NOT FOUND IN EMAILS")</f>
        <v/>
      </c>
      <c r="R835" t="str">
        <f ca="1">""&amp;IFERROR(VLOOKUP(O835,EMAILS!B:E,4,FALSE),"NO T FOUND IN EMAILS")</f>
        <v/>
      </c>
    </row>
    <row r="836" spans="2:18" x14ac:dyDescent="0.25">
      <c r="B836" s="5" t="s">
        <v>838</v>
      </c>
      <c r="C836" s="5" t="s">
        <v>4978</v>
      </c>
      <c r="D836" s="5">
        <v>62</v>
      </c>
      <c r="E836" s="5">
        <v>12</v>
      </c>
      <c r="F836" s="5">
        <v>32</v>
      </c>
      <c r="G836" s="5">
        <v>32</v>
      </c>
      <c r="H836" s="5">
        <v>32</v>
      </c>
      <c r="I836" s="5">
        <v>32</v>
      </c>
      <c r="J836" s="5">
        <v>32</v>
      </c>
      <c r="K836" s="5">
        <v>32</v>
      </c>
      <c r="L836" s="5">
        <v>32</v>
      </c>
      <c r="M836" s="5">
        <v>0</v>
      </c>
      <c r="N836" s="5">
        <v>72</v>
      </c>
      <c r="O836" s="5" t="str">
        <f t="shared" ca="1" si="13"/>
        <v>Supplier 4</v>
      </c>
      <c r="P836" s="20" t="str">
        <f ca="1">IFERROR(VLOOKUP(O836,EMAILS!B:C,2,FALSE),"NOT FOUND IN EMAILS")</f>
        <v>supplier@gmail.com</v>
      </c>
      <c r="Q836" t="str">
        <f ca="1">""&amp;IFERROR(VLOOKUP(O836,EMAILS!B:D,3,FALSE),"NOT FOUND IN EMAILS")</f>
        <v>supplier_logistics@gmail.com</v>
      </c>
      <c r="R836" t="str">
        <f ca="1">""&amp;IFERROR(VLOOKUP(O836,EMAILS!B:E,4,FALSE),"NO T FOUND IN EMAILS")</f>
        <v/>
      </c>
    </row>
    <row r="837" spans="2:18" x14ac:dyDescent="0.25">
      <c r="B837" s="5" t="s">
        <v>839</v>
      </c>
      <c r="C837" s="5" t="s">
        <v>4979</v>
      </c>
      <c r="D837" s="5">
        <v>1</v>
      </c>
      <c r="E837" s="5">
        <v>0</v>
      </c>
      <c r="F837" s="5">
        <v>0</v>
      </c>
      <c r="G837" s="5">
        <v>0</v>
      </c>
      <c r="H837" s="5">
        <v>0</v>
      </c>
      <c r="I837" s="5">
        <v>0</v>
      </c>
      <c r="J837" s="5">
        <v>0</v>
      </c>
      <c r="K837" s="5">
        <v>0</v>
      </c>
      <c r="L837" s="5">
        <v>0</v>
      </c>
      <c r="M837" s="5">
        <v>0</v>
      </c>
      <c r="N837" s="5">
        <v>12</v>
      </c>
      <c r="O837" s="5" t="str">
        <f t="shared" ca="1" si="13"/>
        <v>Supplier 67</v>
      </c>
      <c r="P837" s="20" t="str">
        <f ca="1">IFERROR(VLOOKUP(O837,EMAILS!B:C,2,FALSE),"NOT FOUND IN EMAILS")</f>
        <v>supplier@gmail.com</v>
      </c>
      <c r="Q837" t="str">
        <f ca="1">""&amp;IFERROR(VLOOKUP(O837,EMAILS!B:D,3,FALSE),"NOT FOUND IN EMAILS")</f>
        <v/>
      </c>
      <c r="R837" t="str">
        <f ca="1">""&amp;IFERROR(VLOOKUP(O837,EMAILS!B:E,4,FALSE),"NO T FOUND IN EMAILS")</f>
        <v/>
      </c>
    </row>
    <row r="838" spans="2:18" x14ac:dyDescent="0.25">
      <c r="B838" s="5" t="s">
        <v>840</v>
      </c>
      <c r="C838" s="5" t="s">
        <v>4980</v>
      </c>
      <c r="D838" s="5">
        <v>1</v>
      </c>
      <c r="E838" s="5">
        <v>0</v>
      </c>
      <c r="F838" s="5">
        <v>0</v>
      </c>
      <c r="G838" s="5">
        <v>0</v>
      </c>
      <c r="H838" s="5">
        <v>0</v>
      </c>
      <c r="I838" s="5">
        <v>0</v>
      </c>
      <c r="J838" s="5">
        <v>0</v>
      </c>
      <c r="K838" s="5">
        <v>0</v>
      </c>
      <c r="L838" s="5">
        <v>0</v>
      </c>
      <c r="M838" s="5">
        <v>0</v>
      </c>
      <c r="N838" s="5">
        <v>12</v>
      </c>
      <c r="O838" s="5" t="str">
        <f t="shared" ca="1" si="13"/>
        <v>Supplier 43</v>
      </c>
      <c r="P838" s="20" t="str">
        <f ca="1">IFERROR(VLOOKUP(O838,EMAILS!B:C,2,FALSE),"NOT FOUND IN EMAILS")</f>
        <v>supplier@gmail.com</v>
      </c>
      <c r="Q838" t="str">
        <f ca="1">""&amp;IFERROR(VLOOKUP(O838,EMAILS!B:D,3,FALSE),"NOT FOUND IN EMAILS")</f>
        <v/>
      </c>
      <c r="R838" t="str">
        <f ca="1">""&amp;IFERROR(VLOOKUP(O838,EMAILS!B:E,4,FALSE),"NO T FOUND IN EMAILS")</f>
        <v/>
      </c>
    </row>
    <row r="839" spans="2:18" x14ac:dyDescent="0.25">
      <c r="B839" s="5" t="s">
        <v>841</v>
      </c>
      <c r="C839" s="5" t="s">
        <v>4981</v>
      </c>
      <c r="D839" s="5">
        <v>2</v>
      </c>
      <c r="E839" s="5">
        <v>9</v>
      </c>
      <c r="F839" s="5">
        <v>12</v>
      </c>
      <c r="G839" s="5">
        <v>12</v>
      </c>
      <c r="H839" s="5">
        <v>12</v>
      </c>
      <c r="I839" s="5">
        <v>12</v>
      </c>
      <c r="J839" s="5">
        <v>12</v>
      </c>
      <c r="K839" s="5">
        <v>12</v>
      </c>
      <c r="L839" s="5">
        <v>12</v>
      </c>
      <c r="M839" s="5">
        <v>0</v>
      </c>
      <c r="N839" s="5">
        <v>72</v>
      </c>
      <c r="O839" s="5" t="str">
        <f t="shared" ca="1" si="13"/>
        <v>Supplier 3</v>
      </c>
      <c r="P839" s="20" t="str">
        <f ca="1">IFERROR(VLOOKUP(O839,EMAILS!B:C,2,FALSE),"NOT FOUND IN EMAILS")</f>
        <v>supplier@gmail.com</v>
      </c>
      <c r="Q839" t="str">
        <f ca="1">""&amp;IFERROR(VLOOKUP(O839,EMAILS!B:D,3,FALSE),"NOT FOUND IN EMAILS")</f>
        <v>supplier_logistics@gmail.com</v>
      </c>
      <c r="R839" t="str">
        <f ca="1">""&amp;IFERROR(VLOOKUP(O839,EMAILS!B:E,4,FALSE),"NO T FOUND IN EMAILS")</f>
        <v/>
      </c>
    </row>
    <row r="840" spans="2:18" x14ac:dyDescent="0.25">
      <c r="B840" s="5" t="s">
        <v>842</v>
      </c>
      <c r="C840" s="5" t="s">
        <v>4982</v>
      </c>
      <c r="D840" s="5">
        <v>0</v>
      </c>
      <c r="E840" s="5">
        <v>0</v>
      </c>
      <c r="F840" s="5">
        <v>0</v>
      </c>
      <c r="G840" s="5">
        <v>0</v>
      </c>
      <c r="H840" s="5">
        <v>0</v>
      </c>
      <c r="I840" s="5">
        <v>0</v>
      </c>
      <c r="J840" s="5">
        <v>0</v>
      </c>
      <c r="K840" s="5">
        <v>0</v>
      </c>
      <c r="L840" s="5">
        <v>0</v>
      </c>
      <c r="M840" s="5">
        <v>0</v>
      </c>
      <c r="N840" s="5">
        <v>0</v>
      </c>
      <c r="O840" s="5" t="str">
        <f t="shared" ca="1" si="13"/>
        <v>Supplier 159</v>
      </c>
      <c r="P840" s="20" t="str">
        <f ca="1">IFERROR(VLOOKUP(O840,EMAILS!B:C,2,FALSE),"NOT FOUND IN EMAILS")</f>
        <v>supplier@gmail.com</v>
      </c>
      <c r="Q840" t="str">
        <f ca="1">""&amp;IFERROR(VLOOKUP(O840,EMAILS!B:D,3,FALSE),"NOT FOUND IN EMAILS")</f>
        <v/>
      </c>
      <c r="R840" t="str">
        <f ca="1">""&amp;IFERROR(VLOOKUP(O840,EMAILS!B:E,4,FALSE),"NO T FOUND IN EMAILS")</f>
        <v/>
      </c>
    </row>
    <row r="841" spans="2:18" x14ac:dyDescent="0.25">
      <c r="B841" s="5" t="s">
        <v>843</v>
      </c>
      <c r="C841" s="5" t="s">
        <v>4983</v>
      </c>
      <c r="D841" s="5">
        <v>2</v>
      </c>
      <c r="E841" s="5">
        <v>9</v>
      </c>
      <c r="F841" s="5">
        <v>9</v>
      </c>
      <c r="G841" s="5">
        <v>9</v>
      </c>
      <c r="H841" s="5">
        <v>9</v>
      </c>
      <c r="I841" s="5">
        <v>9</v>
      </c>
      <c r="J841" s="5">
        <v>9</v>
      </c>
      <c r="K841" s="5">
        <v>9</v>
      </c>
      <c r="L841" s="5">
        <v>9</v>
      </c>
      <c r="M841" s="5">
        <v>0</v>
      </c>
      <c r="N841" s="5">
        <v>129</v>
      </c>
      <c r="O841" s="5" t="str">
        <f t="shared" ca="1" si="13"/>
        <v>Supplier 188</v>
      </c>
      <c r="P841" s="20" t="str">
        <f ca="1">IFERROR(VLOOKUP(O841,EMAILS!B:C,2,FALSE),"NOT FOUND IN EMAILS")</f>
        <v>supplier@gmail.com</v>
      </c>
      <c r="Q841" t="str">
        <f ca="1">""&amp;IFERROR(VLOOKUP(O841,EMAILS!B:D,3,FALSE),"NOT FOUND IN EMAILS")</f>
        <v/>
      </c>
      <c r="R841" t="str">
        <f ca="1">""&amp;IFERROR(VLOOKUP(O841,EMAILS!B:E,4,FALSE),"NO T FOUND IN EMAILS")</f>
        <v/>
      </c>
    </row>
    <row r="842" spans="2:18" x14ac:dyDescent="0.25">
      <c r="B842" s="5" t="s">
        <v>844</v>
      </c>
      <c r="C842" s="5" t="s">
        <v>4984</v>
      </c>
      <c r="D842" s="5">
        <v>0</v>
      </c>
      <c r="E842" s="5">
        <v>0</v>
      </c>
      <c r="F842" s="5">
        <v>0</v>
      </c>
      <c r="G842" s="5">
        <v>0</v>
      </c>
      <c r="H842" s="5">
        <v>0</v>
      </c>
      <c r="I842" s="5">
        <v>0</v>
      </c>
      <c r="J842" s="5">
        <v>0</v>
      </c>
      <c r="K842" s="5">
        <v>0</v>
      </c>
      <c r="L842" s="5">
        <v>0</v>
      </c>
      <c r="M842" s="5">
        <v>0</v>
      </c>
      <c r="N842" s="5">
        <v>0</v>
      </c>
      <c r="O842" s="5" t="str">
        <f t="shared" ca="1" si="13"/>
        <v>Supplier 167</v>
      </c>
      <c r="P842" s="20" t="str">
        <f ca="1">IFERROR(VLOOKUP(O842,EMAILS!B:C,2,FALSE),"NOT FOUND IN EMAILS")</f>
        <v>supplier@gmail.com</v>
      </c>
      <c r="Q842" t="str">
        <f ca="1">""&amp;IFERROR(VLOOKUP(O842,EMAILS!B:D,3,FALSE),"NOT FOUND IN EMAILS")</f>
        <v/>
      </c>
      <c r="R842" t="str">
        <f ca="1">""&amp;IFERROR(VLOOKUP(O842,EMAILS!B:E,4,FALSE),"NO T FOUND IN EMAILS")</f>
        <v/>
      </c>
    </row>
    <row r="843" spans="2:18" x14ac:dyDescent="0.25">
      <c r="B843" s="5" t="s">
        <v>845</v>
      </c>
      <c r="C843" s="5" t="s">
        <v>4985</v>
      </c>
      <c r="D843" s="5">
        <v>0</v>
      </c>
      <c r="E843" s="5">
        <v>0</v>
      </c>
      <c r="F843" s="5">
        <v>3</v>
      </c>
      <c r="G843" s="5">
        <v>3</v>
      </c>
      <c r="H843" s="5">
        <v>3</v>
      </c>
      <c r="I843" s="5">
        <v>3</v>
      </c>
      <c r="J843" s="5">
        <v>3</v>
      </c>
      <c r="K843" s="5">
        <v>3</v>
      </c>
      <c r="L843" s="5">
        <v>3</v>
      </c>
      <c r="M843" s="5">
        <v>0</v>
      </c>
      <c r="N843" s="5">
        <v>14</v>
      </c>
      <c r="O843" s="5" t="str">
        <f t="shared" ca="1" si="13"/>
        <v>Supplier 90</v>
      </c>
      <c r="P843" s="20" t="str">
        <f ca="1">IFERROR(VLOOKUP(O843,EMAILS!B:C,2,FALSE),"NOT FOUND IN EMAILS")</f>
        <v>supplier@gmail.com</v>
      </c>
      <c r="Q843" t="str">
        <f ca="1">""&amp;IFERROR(VLOOKUP(O843,EMAILS!B:D,3,FALSE),"NOT FOUND IN EMAILS")</f>
        <v/>
      </c>
      <c r="R843" t="str">
        <f ca="1">""&amp;IFERROR(VLOOKUP(O843,EMAILS!B:E,4,FALSE),"NO T FOUND IN EMAILS")</f>
        <v/>
      </c>
    </row>
    <row r="844" spans="2:18" x14ac:dyDescent="0.25">
      <c r="B844" s="5" t="s">
        <v>846</v>
      </c>
      <c r="C844" s="5" t="s">
        <v>4986</v>
      </c>
      <c r="D844" s="5">
        <v>0</v>
      </c>
      <c r="E844" s="5">
        <v>0</v>
      </c>
      <c r="F844" s="5">
        <v>3</v>
      </c>
      <c r="G844" s="5">
        <v>3</v>
      </c>
      <c r="H844" s="5">
        <v>3</v>
      </c>
      <c r="I844" s="5">
        <v>3</v>
      </c>
      <c r="J844" s="5">
        <v>3</v>
      </c>
      <c r="K844" s="5">
        <v>3</v>
      </c>
      <c r="L844" s="5">
        <v>3</v>
      </c>
      <c r="M844" s="5">
        <v>0</v>
      </c>
      <c r="N844" s="5">
        <v>0</v>
      </c>
      <c r="O844" s="5" t="str">
        <f t="shared" ca="1" si="13"/>
        <v>Supplier 16</v>
      </c>
      <c r="P844" s="20" t="str">
        <f ca="1">IFERROR(VLOOKUP(O844,EMAILS!B:C,2,FALSE),"NOT FOUND IN EMAILS")</f>
        <v>supplier@gmail.com</v>
      </c>
      <c r="Q844" t="str">
        <f ca="1">""&amp;IFERROR(VLOOKUP(O844,EMAILS!B:D,3,FALSE),"NOT FOUND IN EMAILS")</f>
        <v>supplier_logistics@gmail.com</v>
      </c>
      <c r="R844" t="str">
        <f ca="1">""&amp;IFERROR(VLOOKUP(O844,EMAILS!B:E,4,FALSE),"NO T FOUND IN EMAILS")</f>
        <v/>
      </c>
    </row>
    <row r="845" spans="2:18" x14ac:dyDescent="0.25">
      <c r="B845" s="5" t="s">
        <v>847</v>
      </c>
      <c r="C845" s="5" t="s">
        <v>4987</v>
      </c>
      <c r="D845" s="5">
        <v>0</v>
      </c>
      <c r="E845" s="5">
        <v>5</v>
      </c>
      <c r="F845" s="5">
        <v>5</v>
      </c>
      <c r="G845" s="5">
        <v>5</v>
      </c>
      <c r="H845" s="5">
        <v>5</v>
      </c>
      <c r="I845" s="5">
        <v>5</v>
      </c>
      <c r="J845" s="5">
        <v>5</v>
      </c>
      <c r="K845" s="5">
        <v>5</v>
      </c>
      <c r="L845" s="5">
        <v>5</v>
      </c>
      <c r="M845" s="5">
        <v>0</v>
      </c>
      <c r="N845" s="5">
        <v>1</v>
      </c>
      <c r="O845" s="5" t="str">
        <f t="shared" ca="1" si="13"/>
        <v>Supplier 137</v>
      </c>
      <c r="P845" s="20" t="str">
        <f ca="1">IFERROR(VLOOKUP(O845,EMAILS!B:C,2,FALSE),"NOT FOUND IN EMAILS")</f>
        <v>supplier@gmail.com</v>
      </c>
      <c r="Q845" t="str">
        <f ca="1">""&amp;IFERROR(VLOOKUP(O845,EMAILS!B:D,3,FALSE),"NOT FOUND IN EMAILS")</f>
        <v/>
      </c>
      <c r="R845" t="str">
        <f ca="1">""&amp;IFERROR(VLOOKUP(O845,EMAILS!B:E,4,FALSE),"NO T FOUND IN EMAILS")</f>
        <v/>
      </c>
    </row>
    <row r="846" spans="2:18" x14ac:dyDescent="0.25">
      <c r="B846" s="5" t="s">
        <v>848</v>
      </c>
      <c r="C846" s="5" t="s">
        <v>4988</v>
      </c>
      <c r="D846" s="5">
        <v>0</v>
      </c>
      <c r="E846" s="5">
        <v>0</v>
      </c>
      <c r="F846" s="5">
        <v>0</v>
      </c>
      <c r="G846" s="5">
        <v>0</v>
      </c>
      <c r="H846" s="5">
        <v>0</v>
      </c>
      <c r="I846" s="5">
        <v>0</v>
      </c>
      <c r="J846" s="5">
        <v>0</v>
      </c>
      <c r="K846" s="5">
        <v>0</v>
      </c>
      <c r="L846" s="5">
        <v>0</v>
      </c>
      <c r="M846" s="5">
        <v>0</v>
      </c>
      <c r="N846" s="5">
        <v>25</v>
      </c>
      <c r="O846" s="5" t="str">
        <f t="shared" ca="1" si="13"/>
        <v>Supplier 170</v>
      </c>
      <c r="P846" s="20" t="str">
        <f ca="1">IFERROR(VLOOKUP(O846,EMAILS!B:C,2,FALSE),"NOT FOUND IN EMAILS")</f>
        <v>supplier@gmail.com</v>
      </c>
      <c r="Q846" t="str">
        <f ca="1">""&amp;IFERROR(VLOOKUP(O846,EMAILS!B:D,3,FALSE),"NOT FOUND IN EMAILS")</f>
        <v/>
      </c>
      <c r="R846" t="str">
        <f ca="1">""&amp;IFERROR(VLOOKUP(O846,EMAILS!B:E,4,FALSE),"NO T FOUND IN EMAILS")</f>
        <v/>
      </c>
    </row>
    <row r="847" spans="2:18" x14ac:dyDescent="0.25">
      <c r="B847" s="5" t="s">
        <v>849</v>
      </c>
      <c r="C847" s="5" t="s">
        <v>4989</v>
      </c>
      <c r="D847" s="5">
        <v>2</v>
      </c>
      <c r="E847" s="5">
        <v>9</v>
      </c>
      <c r="F847" s="5">
        <v>9</v>
      </c>
      <c r="G847" s="5">
        <v>9</v>
      </c>
      <c r="H847" s="5">
        <v>9</v>
      </c>
      <c r="I847" s="5">
        <v>9</v>
      </c>
      <c r="J847" s="5">
        <v>9</v>
      </c>
      <c r="K847" s="5">
        <v>9</v>
      </c>
      <c r="L847" s="5">
        <v>9</v>
      </c>
      <c r="M847" s="5">
        <v>0</v>
      </c>
      <c r="N847" s="5">
        <v>12</v>
      </c>
      <c r="O847" s="5" t="str">
        <f t="shared" ca="1" si="13"/>
        <v>Supplier 74</v>
      </c>
      <c r="P847" s="20" t="str">
        <f ca="1">IFERROR(VLOOKUP(O847,EMAILS!B:C,2,FALSE),"NOT FOUND IN EMAILS")</f>
        <v>supplier@gmail.com</v>
      </c>
      <c r="Q847" t="str">
        <f ca="1">""&amp;IFERROR(VLOOKUP(O847,EMAILS!B:D,3,FALSE),"NOT FOUND IN EMAILS")</f>
        <v/>
      </c>
      <c r="R847" t="str">
        <f ca="1">""&amp;IFERROR(VLOOKUP(O847,EMAILS!B:E,4,FALSE),"NO T FOUND IN EMAILS")</f>
        <v/>
      </c>
    </row>
    <row r="848" spans="2:18" x14ac:dyDescent="0.25">
      <c r="B848" s="5" t="s">
        <v>850</v>
      </c>
      <c r="C848" s="5" t="s">
        <v>4990</v>
      </c>
      <c r="D848" s="5">
        <v>0</v>
      </c>
      <c r="E848" s="5">
        <v>0</v>
      </c>
      <c r="F848" s="5">
        <v>0</v>
      </c>
      <c r="G848" s="5">
        <v>0</v>
      </c>
      <c r="H848" s="5">
        <v>0</v>
      </c>
      <c r="I848" s="5">
        <v>0</v>
      </c>
      <c r="J848" s="5">
        <v>0</v>
      </c>
      <c r="K848" s="5">
        <v>0</v>
      </c>
      <c r="L848" s="5">
        <v>0</v>
      </c>
      <c r="M848" s="5">
        <v>0</v>
      </c>
      <c r="N848" s="5">
        <v>5</v>
      </c>
      <c r="O848" s="5" t="str">
        <f t="shared" ca="1" si="13"/>
        <v>Supplier 43</v>
      </c>
      <c r="P848" s="20" t="str">
        <f ca="1">IFERROR(VLOOKUP(O848,EMAILS!B:C,2,FALSE),"NOT FOUND IN EMAILS")</f>
        <v>supplier@gmail.com</v>
      </c>
      <c r="Q848" t="str">
        <f ca="1">""&amp;IFERROR(VLOOKUP(O848,EMAILS!B:D,3,FALSE),"NOT FOUND IN EMAILS")</f>
        <v/>
      </c>
      <c r="R848" t="str">
        <f ca="1">""&amp;IFERROR(VLOOKUP(O848,EMAILS!B:E,4,FALSE),"NO T FOUND IN EMAILS")</f>
        <v/>
      </c>
    </row>
    <row r="849" spans="2:18" x14ac:dyDescent="0.25">
      <c r="B849" s="5" t="s">
        <v>851</v>
      </c>
      <c r="C849" s="5" t="s">
        <v>4991</v>
      </c>
      <c r="D849" s="5">
        <v>0</v>
      </c>
      <c r="E849" s="5">
        <v>0</v>
      </c>
      <c r="F849" s="5">
        <v>3</v>
      </c>
      <c r="G849" s="5">
        <v>3</v>
      </c>
      <c r="H849" s="5">
        <v>3</v>
      </c>
      <c r="I849" s="5">
        <v>3</v>
      </c>
      <c r="J849" s="5">
        <v>3</v>
      </c>
      <c r="K849" s="5">
        <v>3</v>
      </c>
      <c r="L849" s="5">
        <v>3</v>
      </c>
      <c r="M849" s="5">
        <v>0</v>
      </c>
      <c r="N849" s="5">
        <v>61</v>
      </c>
      <c r="O849" s="5" t="str">
        <f t="shared" ca="1" si="13"/>
        <v>Supplier 42</v>
      </c>
      <c r="P849" s="20" t="str">
        <f ca="1">IFERROR(VLOOKUP(O849,EMAILS!B:C,2,FALSE),"NOT FOUND IN EMAILS")</f>
        <v>supplier@gmail.com</v>
      </c>
      <c r="Q849" t="str">
        <f ca="1">""&amp;IFERROR(VLOOKUP(O849,EMAILS!B:D,3,FALSE),"NOT FOUND IN EMAILS")</f>
        <v/>
      </c>
      <c r="R849" t="str">
        <f ca="1">""&amp;IFERROR(VLOOKUP(O849,EMAILS!B:E,4,FALSE),"NO T FOUND IN EMAILS")</f>
        <v/>
      </c>
    </row>
    <row r="850" spans="2:18" x14ac:dyDescent="0.25">
      <c r="B850" s="5" t="s">
        <v>852</v>
      </c>
      <c r="C850" s="5" t="s">
        <v>4992</v>
      </c>
      <c r="D850" s="5">
        <v>1</v>
      </c>
      <c r="E850" s="5">
        <v>4</v>
      </c>
      <c r="F850" s="5">
        <v>4</v>
      </c>
      <c r="G850" s="5">
        <v>4</v>
      </c>
      <c r="H850" s="5">
        <v>4</v>
      </c>
      <c r="I850" s="5">
        <v>4</v>
      </c>
      <c r="J850" s="5">
        <v>4</v>
      </c>
      <c r="K850" s="5">
        <v>4</v>
      </c>
      <c r="L850" s="5">
        <v>4</v>
      </c>
      <c r="M850" s="5">
        <v>0</v>
      </c>
      <c r="N850" s="5">
        <v>284</v>
      </c>
      <c r="O850" s="5" t="str">
        <f t="shared" ca="1" si="13"/>
        <v>Supplier 45</v>
      </c>
      <c r="P850" s="20" t="str">
        <f ca="1">IFERROR(VLOOKUP(O850,EMAILS!B:C,2,FALSE),"NOT FOUND IN EMAILS")</f>
        <v>supplier@gmail.com</v>
      </c>
      <c r="Q850" t="str">
        <f ca="1">""&amp;IFERROR(VLOOKUP(O850,EMAILS!B:D,3,FALSE),"NOT FOUND IN EMAILS")</f>
        <v/>
      </c>
      <c r="R850" t="str">
        <f ca="1">""&amp;IFERROR(VLOOKUP(O850,EMAILS!B:E,4,FALSE),"NO T FOUND IN EMAILS")</f>
        <v/>
      </c>
    </row>
    <row r="851" spans="2:18" x14ac:dyDescent="0.25">
      <c r="B851" s="5" t="s">
        <v>853</v>
      </c>
      <c r="C851" s="5" t="s">
        <v>4993</v>
      </c>
      <c r="D851" s="5">
        <v>0</v>
      </c>
      <c r="E851" s="5">
        <v>0</v>
      </c>
      <c r="F851" s="5">
        <v>0</v>
      </c>
      <c r="G851" s="5">
        <v>0</v>
      </c>
      <c r="H851" s="5">
        <v>0</v>
      </c>
      <c r="I851" s="5">
        <v>0</v>
      </c>
      <c r="J851" s="5">
        <v>0</v>
      </c>
      <c r="K851" s="5">
        <v>0</v>
      </c>
      <c r="L851" s="5">
        <v>0</v>
      </c>
      <c r="M851" s="5">
        <v>0</v>
      </c>
      <c r="N851" s="5">
        <v>37</v>
      </c>
      <c r="O851" s="5" t="str">
        <f t="shared" ca="1" si="13"/>
        <v>Supplier 20</v>
      </c>
      <c r="P851" s="20" t="str">
        <f ca="1">IFERROR(VLOOKUP(O851,EMAILS!B:C,2,FALSE),"NOT FOUND IN EMAILS")</f>
        <v>supplier@gmail.com</v>
      </c>
      <c r="Q851" t="str">
        <f ca="1">""&amp;IFERROR(VLOOKUP(O851,EMAILS!B:D,3,FALSE),"NOT FOUND IN EMAILS")</f>
        <v/>
      </c>
      <c r="R851" t="str">
        <f ca="1">""&amp;IFERROR(VLOOKUP(O851,EMAILS!B:E,4,FALSE),"NO T FOUND IN EMAILS")</f>
        <v/>
      </c>
    </row>
    <row r="852" spans="2:18" x14ac:dyDescent="0.25">
      <c r="B852" s="5" t="s">
        <v>854</v>
      </c>
      <c r="C852" s="5" t="s">
        <v>4994</v>
      </c>
      <c r="D852" s="5">
        <v>0</v>
      </c>
      <c r="E852" s="5">
        <v>12</v>
      </c>
      <c r="F852" s="5">
        <v>1</v>
      </c>
      <c r="G852" s="5">
        <v>0</v>
      </c>
      <c r="H852" s="5">
        <v>0</v>
      </c>
      <c r="I852" s="5">
        <v>0</v>
      </c>
      <c r="J852" s="5">
        <v>0</v>
      </c>
      <c r="K852" s="5">
        <v>0</v>
      </c>
      <c r="L852" s="5">
        <v>0</v>
      </c>
      <c r="M852" s="5">
        <v>0</v>
      </c>
      <c r="N852" s="5">
        <v>0</v>
      </c>
      <c r="O852" s="5" t="str">
        <f t="shared" ca="1" si="13"/>
        <v>Supplier 16</v>
      </c>
      <c r="P852" s="20" t="str">
        <f ca="1">IFERROR(VLOOKUP(O852,EMAILS!B:C,2,FALSE),"NOT FOUND IN EMAILS")</f>
        <v>supplier@gmail.com</v>
      </c>
      <c r="Q852" t="str">
        <f ca="1">""&amp;IFERROR(VLOOKUP(O852,EMAILS!B:D,3,FALSE),"NOT FOUND IN EMAILS")</f>
        <v>supplier_logistics@gmail.com</v>
      </c>
      <c r="R852" t="str">
        <f ca="1">""&amp;IFERROR(VLOOKUP(O852,EMAILS!B:E,4,FALSE),"NO T FOUND IN EMAILS")</f>
        <v/>
      </c>
    </row>
    <row r="853" spans="2:18" x14ac:dyDescent="0.25">
      <c r="B853" s="5" t="s">
        <v>855</v>
      </c>
      <c r="C853" s="5" t="s">
        <v>4995</v>
      </c>
      <c r="D853" s="5">
        <v>0</v>
      </c>
      <c r="E853" s="5">
        <v>0</v>
      </c>
      <c r="F853" s="5">
        <v>0</v>
      </c>
      <c r="G853" s="5">
        <v>0</v>
      </c>
      <c r="H853" s="5">
        <v>0</v>
      </c>
      <c r="I853" s="5">
        <v>0</v>
      </c>
      <c r="J853" s="5">
        <v>0</v>
      </c>
      <c r="K853" s="5">
        <v>0</v>
      </c>
      <c r="L853" s="5">
        <v>0</v>
      </c>
      <c r="M853" s="5">
        <v>0</v>
      </c>
      <c r="N853" s="5">
        <v>4</v>
      </c>
      <c r="O853" s="5" t="str">
        <f t="shared" ca="1" si="13"/>
        <v>Supplier 157</v>
      </c>
      <c r="P853" s="20" t="str">
        <f ca="1">IFERROR(VLOOKUP(O853,EMAILS!B:C,2,FALSE),"NOT FOUND IN EMAILS")</f>
        <v>supplier@gmail.com</v>
      </c>
      <c r="Q853" t="str">
        <f ca="1">""&amp;IFERROR(VLOOKUP(O853,EMAILS!B:D,3,FALSE),"NOT FOUND IN EMAILS")</f>
        <v/>
      </c>
      <c r="R853" t="str">
        <f ca="1">""&amp;IFERROR(VLOOKUP(O853,EMAILS!B:E,4,FALSE),"NO T FOUND IN EMAILS")</f>
        <v/>
      </c>
    </row>
    <row r="854" spans="2:18" x14ac:dyDescent="0.25">
      <c r="B854" s="5" t="s">
        <v>856</v>
      </c>
      <c r="C854" s="5" t="s">
        <v>4996</v>
      </c>
      <c r="D854" s="5">
        <v>1</v>
      </c>
      <c r="E854" s="5">
        <v>5</v>
      </c>
      <c r="F854" s="5">
        <v>5</v>
      </c>
      <c r="G854" s="5">
        <v>5</v>
      </c>
      <c r="H854" s="5">
        <v>5</v>
      </c>
      <c r="I854" s="5">
        <v>5</v>
      </c>
      <c r="J854" s="5">
        <v>5</v>
      </c>
      <c r="K854" s="5">
        <v>5</v>
      </c>
      <c r="L854" s="5">
        <v>5</v>
      </c>
      <c r="M854" s="5">
        <v>0</v>
      </c>
      <c r="N854" s="5">
        <v>0</v>
      </c>
      <c r="O854" s="5" t="str">
        <f t="shared" ca="1" si="13"/>
        <v>Supplier 62</v>
      </c>
      <c r="P854" s="20" t="str">
        <f ca="1">IFERROR(VLOOKUP(O854,EMAILS!B:C,2,FALSE),"NOT FOUND IN EMAILS")</f>
        <v>supplier@gmail.com</v>
      </c>
      <c r="Q854" t="str">
        <f ca="1">""&amp;IFERROR(VLOOKUP(O854,EMAILS!B:D,3,FALSE),"NOT FOUND IN EMAILS")</f>
        <v/>
      </c>
      <c r="R854" t="str">
        <f ca="1">""&amp;IFERROR(VLOOKUP(O854,EMAILS!B:E,4,FALSE),"NO T FOUND IN EMAILS")</f>
        <v/>
      </c>
    </row>
    <row r="855" spans="2:18" x14ac:dyDescent="0.25">
      <c r="B855" s="5" t="s">
        <v>857</v>
      </c>
      <c r="C855" s="5" t="s">
        <v>4997</v>
      </c>
      <c r="D855" s="5">
        <v>0</v>
      </c>
      <c r="E855" s="5">
        <v>0</v>
      </c>
      <c r="F855" s="5">
        <v>0</v>
      </c>
      <c r="G855" s="5">
        <v>0</v>
      </c>
      <c r="H855" s="5">
        <v>0</v>
      </c>
      <c r="I855" s="5">
        <v>0</v>
      </c>
      <c r="J855" s="5">
        <v>0</v>
      </c>
      <c r="K855" s="5">
        <v>0</v>
      </c>
      <c r="L855" s="5">
        <v>0</v>
      </c>
      <c r="M855" s="5">
        <v>0</v>
      </c>
      <c r="N855" s="5">
        <v>16</v>
      </c>
      <c r="O855" s="5" t="str">
        <f t="shared" ca="1" si="13"/>
        <v>Supplier 189</v>
      </c>
      <c r="P855" s="20" t="str">
        <f ca="1">IFERROR(VLOOKUP(O855,EMAILS!B:C,2,FALSE),"NOT FOUND IN EMAILS")</f>
        <v>supplier@gmail.com</v>
      </c>
      <c r="Q855" t="str">
        <f ca="1">""&amp;IFERROR(VLOOKUP(O855,EMAILS!B:D,3,FALSE),"NOT FOUND IN EMAILS")</f>
        <v/>
      </c>
      <c r="R855" t="str">
        <f ca="1">""&amp;IFERROR(VLOOKUP(O855,EMAILS!B:E,4,FALSE),"NO T FOUND IN EMAILS")</f>
        <v/>
      </c>
    </row>
    <row r="856" spans="2:18" x14ac:dyDescent="0.25">
      <c r="B856" s="5" t="s">
        <v>858</v>
      </c>
      <c r="C856" s="5" t="s">
        <v>4998</v>
      </c>
      <c r="D856" s="5">
        <v>5</v>
      </c>
      <c r="E856" s="5">
        <v>0</v>
      </c>
      <c r="F856" s="5">
        <v>7</v>
      </c>
      <c r="G856" s="5">
        <v>7</v>
      </c>
      <c r="H856" s="5">
        <v>7</v>
      </c>
      <c r="I856" s="5">
        <v>7</v>
      </c>
      <c r="J856" s="5">
        <v>7</v>
      </c>
      <c r="K856" s="5">
        <v>7</v>
      </c>
      <c r="L856" s="5">
        <v>7</v>
      </c>
      <c r="M856" s="5">
        <v>0</v>
      </c>
      <c r="N856" s="5">
        <v>2</v>
      </c>
      <c r="O856" s="5" t="str">
        <f t="shared" ca="1" si="13"/>
        <v>Supplier 69</v>
      </c>
      <c r="P856" s="20" t="str">
        <f ca="1">IFERROR(VLOOKUP(O856,EMAILS!B:C,2,FALSE),"NOT FOUND IN EMAILS")</f>
        <v>supplier@gmail.com</v>
      </c>
      <c r="Q856" t="str">
        <f ca="1">""&amp;IFERROR(VLOOKUP(O856,EMAILS!B:D,3,FALSE),"NOT FOUND IN EMAILS")</f>
        <v/>
      </c>
      <c r="R856" t="str">
        <f ca="1">""&amp;IFERROR(VLOOKUP(O856,EMAILS!B:E,4,FALSE),"NO T FOUND IN EMAILS")</f>
        <v/>
      </c>
    </row>
    <row r="857" spans="2:18" x14ac:dyDescent="0.25">
      <c r="B857" s="5" t="s">
        <v>859</v>
      </c>
      <c r="C857" s="5" t="s">
        <v>4999</v>
      </c>
      <c r="D857" s="5">
        <v>0</v>
      </c>
      <c r="E857" s="5">
        <v>0</v>
      </c>
      <c r="F857" s="5">
        <v>0</v>
      </c>
      <c r="G857" s="5">
        <v>0</v>
      </c>
      <c r="H857" s="5">
        <v>0</v>
      </c>
      <c r="I857" s="5">
        <v>0</v>
      </c>
      <c r="J857" s="5">
        <v>0</v>
      </c>
      <c r="K857" s="5">
        <v>0</v>
      </c>
      <c r="L857" s="5">
        <v>0</v>
      </c>
      <c r="M857" s="5">
        <v>0</v>
      </c>
      <c r="N857" s="5">
        <v>0</v>
      </c>
      <c r="O857" s="5" t="str">
        <f t="shared" ca="1" si="13"/>
        <v>Supplier 89</v>
      </c>
      <c r="P857" s="20" t="str">
        <f ca="1">IFERROR(VLOOKUP(O857,EMAILS!B:C,2,FALSE),"NOT FOUND IN EMAILS")</f>
        <v>supplier@gmail.com</v>
      </c>
      <c r="Q857" t="str">
        <f ca="1">""&amp;IFERROR(VLOOKUP(O857,EMAILS!B:D,3,FALSE),"NOT FOUND IN EMAILS")</f>
        <v/>
      </c>
      <c r="R857" t="str">
        <f ca="1">""&amp;IFERROR(VLOOKUP(O857,EMAILS!B:E,4,FALSE),"NO T FOUND IN EMAILS")</f>
        <v/>
      </c>
    </row>
    <row r="858" spans="2:18" x14ac:dyDescent="0.25">
      <c r="B858" s="5" t="s">
        <v>860</v>
      </c>
      <c r="C858" s="5" t="s">
        <v>5000</v>
      </c>
      <c r="D858" s="5">
        <v>0</v>
      </c>
      <c r="E858" s="5">
        <v>0</v>
      </c>
      <c r="F858" s="5">
        <v>0</v>
      </c>
      <c r="G858" s="5">
        <v>0</v>
      </c>
      <c r="H858" s="5">
        <v>0</v>
      </c>
      <c r="I858" s="5">
        <v>0</v>
      </c>
      <c r="J858" s="5">
        <v>0</v>
      </c>
      <c r="K858" s="5">
        <v>0</v>
      </c>
      <c r="L858" s="5">
        <v>0</v>
      </c>
      <c r="M858" s="5">
        <v>0</v>
      </c>
      <c r="N858" s="5">
        <v>0</v>
      </c>
      <c r="O858" s="5" t="str">
        <f t="shared" ca="1" si="13"/>
        <v>Supplier 63</v>
      </c>
      <c r="P858" s="20" t="str">
        <f ca="1">IFERROR(VLOOKUP(O858,EMAILS!B:C,2,FALSE),"NOT FOUND IN EMAILS")</f>
        <v>supplier@gmail.com</v>
      </c>
      <c r="Q858" t="str">
        <f ca="1">""&amp;IFERROR(VLOOKUP(O858,EMAILS!B:D,3,FALSE),"NOT FOUND IN EMAILS")</f>
        <v/>
      </c>
      <c r="R858" t="str">
        <f ca="1">""&amp;IFERROR(VLOOKUP(O858,EMAILS!B:E,4,FALSE),"NO T FOUND IN EMAILS")</f>
        <v/>
      </c>
    </row>
    <row r="859" spans="2:18" x14ac:dyDescent="0.25">
      <c r="B859" s="5" t="s">
        <v>861</v>
      </c>
      <c r="C859" s="5" t="s">
        <v>5001</v>
      </c>
      <c r="D859" s="5">
        <v>0</v>
      </c>
      <c r="E859" s="5">
        <v>0</v>
      </c>
      <c r="F859" s="5">
        <v>0</v>
      </c>
      <c r="G859" s="5">
        <v>0</v>
      </c>
      <c r="H859" s="5">
        <v>0</v>
      </c>
      <c r="I859" s="5">
        <v>0</v>
      </c>
      <c r="J859" s="5">
        <v>0</v>
      </c>
      <c r="K859" s="5">
        <v>0</v>
      </c>
      <c r="L859" s="5">
        <v>0</v>
      </c>
      <c r="M859" s="5">
        <v>0</v>
      </c>
      <c r="N859" s="5">
        <v>0</v>
      </c>
      <c r="O859" s="5" t="str">
        <f t="shared" ca="1" si="13"/>
        <v>Supplier 20</v>
      </c>
      <c r="P859" s="20" t="str">
        <f ca="1">IFERROR(VLOOKUP(O859,EMAILS!B:C,2,FALSE),"NOT FOUND IN EMAILS")</f>
        <v>supplier@gmail.com</v>
      </c>
      <c r="Q859" t="str">
        <f ca="1">""&amp;IFERROR(VLOOKUP(O859,EMAILS!B:D,3,FALSE),"NOT FOUND IN EMAILS")</f>
        <v/>
      </c>
      <c r="R859" t="str">
        <f ca="1">""&amp;IFERROR(VLOOKUP(O859,EMAILS!B:E,4,FALSE),"NO T FOUND IN EMAILS")</f>
        <v/>
      </c>
    </row>
    <row r="860" spans="2:18" x14ac:dyDescent="0.25">
      <c r="B860" s="5" t="s">
        <v>862</v>
      </c>
      <c r="C860" s="5" t="s">
        <v>5002</v>
      </c>
      <c r="D860" s="5">
        <v>0</v>
      </c>
      <c r="E860" s="5">
        <v>2</v>
      </c>
      <c r="F860" s="5">
        <v>2</v>
      </c>
      <c r="G860" s="5">
        <v>2</v>
      </c>
      <c r="H860" s="5">
        <v>2</v>
      </c>
      <c r="I860" s="5">
        <v>2</v>
      </c>
      <c r="J860" s="5">
        <v>2</v>
      </c>
      <c r="K860" s="5">
        <v>2</v>
      </c>
      <c r="L860" s="5">
        <v>2</v>
      </c>
      <c r="M860" s="5">
        <v>0</v>
      </c>
      <c r="N860" s="5">
        <v>0</v>
      </c>
      <c r="O860" s="5" t="str">
        <f t="shared" ca="1" si="13"/>
        <v>Supplier 143</v>
      </c>
      <c r="P860" s="20" t="str">
        <f ca="1">IFERROR(VLOOKUP(O860,EMAILS!B:C,2,FALSE),"NOT FOUND IN EMAILS")</f>
        <v>supplier@gmail.com</v>
      </c>
      <c r="Q860" t="str">
        <f ca="1">""&amp;IFERROR(VLOOKUP(O860,EMAILS!B:D,3,FALSE),"NOT FOUND IN EMAILS")</f>
        <v/>
      </c>
      <c r="R860" t="str">
        <f ca="1">""&amp;IFERROR(VLOOKUP(O860,EMAILS!B:E,4,FALSE),"NO T FOUND IN EMAILS")</f>
        <v/>
      </c>
    </row>
    <row r="861" spans="2:18" x14ac:dyDescent="0.25">
      <c r="B861" s="5" t="s">
        <v>863</v>
      </c>
      <c r="C861" s="5" t="s">
        <v>5003</v>
      </c>
      <c r="D861" s="5">
        <v>0</v>
      </c>
      <c r="E861" s="5">
        <v>0</v>
      </c>
      <c r="F861" s="5">
        <v>0</v>
      </c>
      <c r="G861" s="5">
        <v>0</v>
      </c>
      <c r="H861" s="5">
        <v>0</v>
      </c>
      <c r="I861" s="5">
        <v>0</v>
      </c>
      <c r="J861" s="5">
        <v>0</v>
      </c>
      <c r="K861" s="5">
        <v>0</v>
      </c>
      <c r="L861" s="5">
        <v>0</v>
      </c>
      <c r="M861" s="5">
        <v>0</v>
      </c>
      <c r="N861" s="5">
        <v>0</v>
      </c>
      <c r="O861" s="5" t="str">
        <f t="shared" ca="1" si="13"/>
        <v>Supplier 177</v>
      </c>
      <c r="P861" s="20" t="str">
        <f ca="1">IFERROR(VLOOKUP(O861,EMAILS!B:C,2,FALSE),"NOT FOUND IN EMAILS")</f>
        <v>supplier@gmail.com</v>
      </c>
      <c r="Q861" t="str">
        <f ca="1">""&amp;IFERROR(VLOOKUP(O861,EMAILS!B:D,3,FALSE),"NOT FOUND IN EMAILS")</f>
        <v/>
      </c>
      <c r="R861" t="str">
        <f ca="1">""&amp;IFERROR(VLOOKUP(O861,EMAILS!B:E,4,FALSE),"NO T FOUND IN EMAILS")</f>
        <v/>
      </c>
    </row>
    <row r="862" spans="2:18" x14ac:dyDescent="0.25">
      <c r="B862" s="5" t="s">
        <v>864</v>
      </c>
      <c r="C862" s="5" t="s">
        <v>5004</v>
      </c>
      <c r="D862" s="5">
        <v>0</v>
      </c>
      <c r="E862" s="5">
        <v>0</v>
      </c>
      <c r="F862" s="5">
        <v>0</v>
      </c>
      <c r="G862" s="5">
        <v>0</v>
      </c>
      <c r="H862" s="5">
        <v>0</v>
      </c>
      <c r="I862" s="5">
        <v>0</v>
      </c>
      <c r="J862" s="5">
        <v>0</v>
      </c>
      <c r="K862" s="5">
        <v>0</v>
      </c>
      <c r="L862" s="5">
        <v>0</v>
      </c>
      <c r="M862" s="5">
        <v>0</v>
      </c>
      <c r="N862" s="5">
        <v>0</v>
      </c>
      <c r="O862" s="5" t="str">
        <f t="shared" ca="1" si="13"/>
        <v>Supplier 119</v>
      </c>
      <c r="P862" s="20" t="str">
        <f ca="1">IFERROR(VLOOKUP(O862,EMAILS!B:C,2,FALSE),"NOT FOUND IN EMAILS")</f>
        <v>supplier@gmail.com</v>
      </c>
      <c r="Q862" t="str">
        <f ca="1">""&amp;IFERROR(VLOOKUP(O862,EMAILS!B:D,3,FALSE),"NOT FOUND IN EMAILS")</f>
        <v/>
      </c>
      <c r="R862" t="str">
        <f ca="1">""&amp;IFERROR(VLOOKUP(O862,EMAILS!B:E,4,FALSE),"NO T FOUND IN EMAILS")</f>
        <v/>
      </c>
    </row>
    <row r="863" spans="2:18" x14ac:dyDescent="0.25">
      <c r="B863" s="5" t="s">
        <v>865</v>
      </c>
      <c r="C863" s="5" t="s">
        <v>5005</v>
      </c>
      <c r="D863" s="5">
        <v>0</v>
      </c>
      <c r="E863" s="5">
        <v>0</v>
      </c>
      <c r="F863" s="5">
        <v>0</v>
      </c>
      <c r="G863" s="5">
        <v>0</v>
      </c>
      <c r="H863" s="5">
        <v>0</v>
      </c>
      <c r="I863" s="5">
        <v>0</v>
      </c>
      <c r="J863" s="5">
        <v>0</v>
      </c>
      <c r="K863" s="5">
        <v>0</v>
      </c>
      <c r="L863" s="5">
        <v>0</v>
      </c>
      <c r="M863" s="5">
        <v>0</v>
      </c>
      <c r="N863" s="5">
        <v>3</v>
      </c>
      <c r="O863" s="5" t="str">
        <f t="shared" ca="1" si="13"/>
        <v>Supplier 69</v>
      </c>
      <c r="P863" s="20" t="str">
        <f ca="1">IFERROR(VLOOKUP(O863,EMAILS!B:C,2,FALSE),"NOT FOUND IN EMAILS")</f>
        <v>supplier@gmail.com</v>
      </c>
      <c r="Q863" t="str">
        <f ca="1">""&amp;IFERROR(VLOOKUP(O863,EMAILS!B:D,3,FALSE),"NOT FOUND IN EMAILS")</f>
        <v/>
      </c>
      <c r="R863" t="str">
        <f ca="1">""&amp;IFERROR(VLOOKUP(O863,EMAILS!B:E,4,FALSE),"NO T FOUND IN EMAILS")</f>
        <v/>
      </c>
    </row>
    <row r="864" spans="2:18" x14ac:dyDescent="0.25">
      <c r="B864" s="5" t="s">
        <v>866</v>
      </c>
      <c r="C864" s="5" t="s">
        <v>5006</v>
      </c>
      <c r="D864" s="5">
        <v>0</v>
      </c>
      <c r="E864" s="5">
        <v>0</v>
      </c>
      <c r="F864" s="5">
        <v>0</v>
      </c>
      <c r="G864" s="5">
        <v>0</v>
      </c>
      <c r="H864" s="5">
        <v>0</v>
      </c>
      <c r="I864" s="5">
        <v>0</v>
      </c>
      <c r="J864" s="5">
        <v>0</v>
      </c>
      <c r="K864" s="5">
        <v>0</v>
      </c>
      <c r="L864" s="5">
        <v>0</v>
      </c>
      <c r="M864" s="5">
        <v>0</v>
      </c>
      <c r="N864" s="5">
        <v>5</v>
      </c>
      <c r="O864" s="5" t="str">
        <f t="shared" ca="1" si="13"/>
        <v>Supplier 127</v>
      </c>
      <c r="P864" s="20" t="str">
        <f ca="1">IFERROR(VLOOKUP(O864,EMAILS!B:C,2,FALSE),"NOT FOUND IN EMAILS")</f>
        <v>supplier@gmail.com</v>
      </c>
      <c r="Q864" t="str">
        <f ca="1">""&amp;IFERROR(VLOOKUP(O864,EMAILS!B:D,3,FALSE),"NOT FOUND IN EMAILS")</f>
        <v/>
      </c>
      <c r="R864" t="str">
        <f ca="1">""&amp;IFERROR(VLOOKUP(O864,EMAILS!B:E,4,FALSE),"NO T FOUND IN EMAILS")</f>
        <v/>
      </c>
    </row>
    <row r="865" spans="2:18" x14ac:dyDescent="0.25">
      <c r="B865" s="5" t="s">
        <v>867</v>
      </c>
      <c r="C865" s="5" t="s">
        <v>5007</v>
      </c>
      <c r="D865" s="5">
        <v>0</v>
      </c>
      <c r="E865" s="5">
        <v>0</v>
      </c>
      <c r="F865" s="5">
        <v>0</v>
      </c>
      <c r="G865" s="5">
        <v>0</v>
      </c>
      <c r="H865" s="5">
        <v>0</v>
      </c>
      <c r="I865" s="5">
        <v>0</v>
      </c>
      <c r="J865" s="5">
        <v>0</v>
      </c>
      <c r="K865" s="5">
        <v>0</v>
      </c>
      <c r="L865" s="5">
        <v>0</v>
      </c>
      <c r="M865" s="5">
        <v>0</v>
      </c>
      <c r="N865" s="5">
        <v>1</v>
      </c>
      <c r="O865" s="5" t="str">
        <f t="shared" ca="1" si="13"/>
        <v>Supplier 61</v>
      </c>
      <c r="P865" s="20" t="str">
        <f ca="1">IFERROR(VLOOKUP(O865,EMAILS!B:C,2,FALSE),"NOT FOUND IN EMAILS")</f>
        <v>supplier@gmail.com</v>
      </c>
      <c r="Q865" t="str">
        <f ca="1">""&amp;IFERROR(VLOOKUP(O865,EMAILS!B:D,3,FALSE),"NOT FOUND IN EMAILS")</f>
        <v/>
      </c>
      <c r="R865" t="str">
        <f ca="1">""&amp;IFERROR(VLOOKUP(O865,EMAILS!B:E,4,FALSE),"NO T FOUND IN EMAILS")</f>
        <v/>
      </c>
    </row>
    <row r="866" spans="2:18" x14ac:dyDescent="0.25">
      <c r="B866" s="5" t="s">
        <v>868</v>
      </c>
      <c r="C866" s="5" t="s">
        <v>5008</v>
      </c>
      <c r="D866" s="5">
        <v>0</v>
      </c>
      <c r="E866" s="5">
        <v>1</v>
      </c>
      <c r="F866" s="5">
        <v>0</v>
      </c>
      <c r="G866" s="5">
        <v>0</v>
      </c>
      <c r="H866" s="5">
        <v>0</v>
      </c>
      <c r="I866" s="5">
        <v>0</v>
      </c>
      <c r="J866" s="5">
        <v>0</v>
      </c>
      <c r="K866" s="5">
        <v>0</v>
      </c>
      <c r="L866" s="5">
        <v>0</v>
      </c>
      <c r="M866" s="5">
        <v>0</v>
      </c>
      <c r="N866" s="5">
        <v>4</v>
      </c>
      <c r="O866" s="5" t="str">
        <f t="shared" ca="1" si="13"/>
        <v>Supplier 153</v>
      </c>
      <c r="P866" s="20" t="str">
        <f ca="1">IFERROR(VLOOKUP(O866,EMAILS!B:C,2,FALSE),"NOT FOUND IN EMAILS")</f>
        <v>supplier@gmail.com</v>
      </c>
      <c r="Q866" t="str">
        <f ca="1">""&amp;IFERROR(VLOOKUP(O866,EMAILS!B:D,3,FALSE),"NOT FOUND IN EMAILS")</f>
        <v/>
      </c>
      <c r="R866" t="str">
        <f ca="1">""&amp;IFERROR(VLOOKUP(O866,EMAILS!B:E,4,FALSE),"NO T FOUND IN EMAILS")</f>
        <v/>
      </c>
    </row>
    <row r="867" spans="2:18" x14ac:dyDescent="0.25">
      <c r="B867" s="5" t="s">
        <v>869</v>
      </c>
      <c r="C867" s="5" t="s">
        <v>5009</v>
      </c>
      <c r="D867" s="5">
        <v>0</v>
      </c>
      <c r="E867" s="5">
        <v>0</v>
      </c>
      <c r="F867" s="5">
        <v>0</v>
      </c>
      <c r="G867" s="5">
        <v>0</v>
      </c>
      <c r="H867" s="5">
        <v>0</v>
      </c>
      <c r="I867" s="5">
        <v>0</v>
      </c>
      <c r="J867" s="5">
        <v>0</v>
      </c>
      <c r="K867" s="5">
        <v>0</v>
      </c>
      <c r="L867" s="5">
        <v>0</v>
      </c>
      <c r="M867" s="5">
        <v>0</v>
      </c>
      <c r="N867" s="5">
        <v>0</v>
      </c>
      <c r="O867" s="5" t="str">
        <f t="shared" ca="1" si="13"/>
        <v>Supplier 69</v>
      </c>
      <c r="P867" s="20" t="str">
        <f ca="1">IFERROR(VLOOKUP(O867,EMAILS!B:C,2,FALSE),"NOT FOUND IN EMAILS")</f>
        <v>supplier@gmail.com</v>
      </c>
      <c r="Q867" t="str">
        <f ca="1">""&amp;IFERROR(VLOOKUP(O867,EMAILS!B:D,3,FALSE),"NOT FOUND IN EMAILS")</f>
        <v/>
      </c>
      <c r="R867" t="str">
        <f ca="1">""&amp;IFERROR(VLOOKUP(O867,EMAILS!B:E,4,FALSE),"NO T FOUND IN EMAILS")</f>
        <v/>
      </c>
    </row>
    <row r="868" spans="2:18" x14ac:dyDescent="0.25">
      <c r="B868" s="5" t="s">
        <v>870</v>
      </c>
      <c r="C868" s="5" t="s">
        <v>5010</v>
      </c>
      <c r="D868" s="5">
        <v>0</v>
      </c>
      <c r="E868" s="5">
        <v>0</v>
      </c>
      <c r="F868" s="5">
        <v>0</v>
      </c>
      <c r="G868" s="5">
        <v>0</v>
      </c>
      <c r="H868" s="5">
        <v>0</v>
      </c>
      <c r="I868" s="5">
        <v>0</v>
      </c>
      <c r="J868" s="5">
        <v>0</v>
      </c>
      <c r="K868" s="5">
        <v>0</v>
      </c>
      <c r="L868" s="5">
        <v>0</v>
      </c>
      <c r="M868" s="5">
        <v>0</v>
      </c>
      <c r="N868" s="5">
        <v>2</v>
      </c>
      <c r="O868" s="5" t="str">
        <f t="shared" ca="1" si="13"/>
        <v>Supplier 162</v>
      </c>
      <c r="P868" s="20" t="str">
        <f ca="1">IFERROR(VLOOKUP(O868,EMAILS!B:C,2,FALSE),"NOT FOUND IN EMAILS")</f>
        <v>supplier@gmail.com</v>
      </c>
      <c r="Q868" t="str">
        <f ca="1">""&amp;IFERROR(VLOOKUP(O868,EMAILS!B:D,3,FALSE),"NOT FOUND IN EMAILS")</f>
        <v/>
      </c>
      <c r="R868" t="str">
        <f ca="1">""&amp;IFERROR(VLOOKUP(O868,EMAILS!B:E,4,FALSE),"NO T FOUND IN EMAILS")</f>
        <v/>
      </c>
    </row>
    <row r="869" spans="2:18" x14ac:dyDescent="0.25">
      <c r="B869" s="5" t="s">
        <v>871</v>
      </c>
      <c r="C869" s="5" t="s">
        <v>5011</v>
      </c>
      <c r="D869" s="5">
        <v>11</v>
      </c>
      <c r="E869" s="5">
        <v>0</v>
      </c>
      <c r="F869" s="5">
        <v>0</v>
      </c>
      <c r="G869" s="5">
        <v>0</v>
      </c>
      <c r="H869" s="5">
        <v>1</v>
      </c>
      <c r="I869" s="5">
        <v>0</v>
      </c>
      <c r="J869" s="5">
        <v>0</v>
      </c>
      <c r="K869" s="5">
        <v>0</v>
      </c>
      <c r="L869" s="5">
        <v>0</v>
      </c>
      <c r="M869" s="5">
        <v>0</v>
      </c>
      <c r="N869" s="5">
        <v>6</v>
      </c>
      <c r="O869" s="5" t="str">
        <f t="shared" ca="1" si="13"/>
        <v>Supplier 32</v>
      </c>
      <c r="P869" s="20" t="str">
        <f ca="1">IFERROR(VLOOKUP(O869,EMAILS!B:C,2,FALSE),"NOT FOUND IN EMAILS")</f>
        <v>supplier@gmail.com</v>
      </c>
      <c r="Q869" t="str">
        <f ca="1">""&amp;IFERROR(VLOOKUP(O869,EMAILS!B:D,3,FALSE),"NOT FOUND IN EMAILS")</f>
        <v/>
      </c>
      <c r="R869" t="str">
        <f ca="1">""&amp;IFERROR(VLOOKUP(O869,EMAILS!B:E,4,FALSE),"NO T FOUND IN EMAILS")</f>
        <v/>
      </c>
    </row>
    <row r="870" spans="2:18" x14ac:dyDescent="0.25">
      <c r="B870" s="5" t="s">
        <v>872</v>
      </c>
      <c r="C870" s="5" t="s">
        <v>5012</v>
      </c>
      <c r="D870" s="5">
        <v>0</v>
      </c>
      <c r="E870" s="5">
        <v>0</v>
      </c>
      <c r="F870" s="5">
        <v>0</v>
      </c>
      <c r="G870" s="5">
        <v>0</v>
      </c>
      <c r="H870" s="5">
        <v>0</v>
      </c>
      <c r="I870" s="5">
        <v>0</v>
      </c>
      <c r="J870" s="5">
        <v>0</v>
      </c>
      <c r="K870" s="5">
        <v>0</v>
      </c>
      <c r="L870" s="5">
        <v>0</v>
      </c>
      <c r="M870" s="5">
        <v>0</v>
      </c>
      <c r="N870" s="5">
        <v>0</v>
      </c>
      <c r="O870" s="5" t="str">
        <f t="shared" ca="1" si="13"/>
        <v>Supplier 151</v>
      </c>
      <c r="P870" s="20" t="str">
        <f ca="1">IFERROR(VLOOKUP(O870,EMAILS!B:C,2,FALSE),"NOT FOUND IN EMAILS")</f>
        <v>supplier@gmail.com</v>
      </c>
      <c r="Q870" t="str">
        <f ca="1">""&amp;IFERROR(VLOOKUP(O870,EMAILS!B:D,3,FALSE),"NOT FOUND IN EMAILS")</f>
        <v/>
      </c>
      <c r="R870" t="str">
        <f ca="1">""&amp;IFERROR(VLOOKUP(O870,EMAILS!B:E,4,FALSE),"NO T FOUND IN EMAILS")</f>
        <v/>
      </c>
    </row>
    <row r="871" spans="2:18" x14ac:dyDescent="0.25">
      <c r="B871" s="5" t="s">
        <v>873</v>
      </c>
      <c r="C871" s="5" t="s">
        <v>5013</v>
      </c>
      <c r="D871" s="5">
        <v>0</v>
      </c>
      <c r="E871" s="5">
        <v>0</v>
      </c>
      <c r="F871" s="5">
        <v>0</v>
      </c>
      <c r="G871" s="5">
        <v>0</v>
      </c>
      <c r="H871" s="5">
        <v>0</v>
      </c>
      <c r="I871" s="5">
        <v>0</v>
      </c>
      <c r="J871" s="5">
        <v>0</v>
      </c>
      <c r="K871" s="5">
        <v>0</v>
      </c>
      <c r="L871" s="5">
        <v>0</v>
      </c>
      <c r="M871" s="5">
        <v>0</v>
      </c>
      <c r="N871" s="5">
        <v>0</v>
      </c>
      <c r="O871" s="5" t="str">
        <f t="shared" ca="1" si="13"/>
        <v>Supplier 172</v>
      </c>
      <c r="P871" s="20" t="str">
        <f ca="1">IFERROR(VLOOKUP(O871,EMAILS!B:C,2,FALSE),"NOT FOUND IN EMAILS")</f>
        <v>supplier@gmail.com</v>
      </c>
      <c r="Q871" t="str">
        <f ca="1">""&amp;IFERROR(VLOOKUP(O871,EMAILS!B:D,3,FALSE),"NOT FOUND IN EMAILS")</f>
        <v/>
      </c>
      <c r="R871" t="str">
        <f ca="1">""&amp;IFERROR(VLOOKUP(O871,EMAILS!B:E,4,FALSE),"NO T FOUND IN EMAILS")</f>
        <v/>
      </c>
    </row>
    <row r="872" spans="2:18" x14ac:dyDescent="0.25">
      <c r="B872" s="5" t="s">
        <v>874</v>
      </c>
      <c r="C872" s="5" t="s">
        <v>5014</v>
      </c>
      <c r="D872" s="5">
        <v>0</v>
      </c>
      <c r="E872" s="5">
        <v>0</v>
      </c>
      <c r="F872" s="5">
        <v>0</v>
      </c>
      <c r="G872" s="5">
        <v>0</v>
      </c>
      <c r="H872" s="5">
        <v>0</v>
      </c>
      <c r="I872" s="5">
        <v>0</v>
      </c>
      <c r="J872" s="5">
        <v>0</v>
      </c>
      <c r="K872" s="5">
        <v>0</v>
      </c>
      <c r="L872" s="5">
        <v>0</v>
      </c>
      <c r="M872" s="5">
        <v>0</v>
      </c>
      <c r="N872" s="5">
        <v>4</v>
      </c>
      <c r="O872" s="5" t="str">
        <f t="shared" ca="1" si="13"/>
        <v>Supplier 118</v>
      </c>
      <c r="P872" s="20" t="str">
        <f ca="1">IFERROR(VLOOKUP(O872,EMAILS!B:C,2,FALSE),"NOT FOUND IN EMAILS")</f>
        <v>supplier@gmail.com</v>
      </c>
      <c r="Q872" t="str">
        <f ca="1">""&amp;IFERROR(VLOOKUP(O872,EMAILS!B:D,3,FALSE),"NOT FOUND IN EMAILS")</f>
        <v/>
      </c>
      <c r="R872" t="str">
        <f ca="1">""&amp;IFERROR(VLOOKUP(O872,EMAILS!B:E,4,FALSE),"NO T FOUND IN EMAILS")</f>
        <v/>
      </c>
    </row>
    <row r="873" spans="2:18" x14ac:dyDescent="0.25">
      <c r="B873" s="5" t="s">
        <v>875</v>
      </c>
      <c r="C873" s="5" t="s">
        <v>5015</v>
      </c>
      <c r="D873" s="5">
        <v>0</v>
      </c>
      <c r="E873" s="5">
        <v>0</v>
      </c>
      <c r="F873" s="5">
        <v>0</v>
      </c>
      <c r="G873" s="5">
        <v>0</v>
      </c>
      <c r="H873" s="5">
        <v>0</v>
      </c>
      <c r="I873" s="5">
        <v>0</v>
      </c>
      <c r="J873" s="5">
        <v>0</v>
      </c>
      <c r="K873" s="5">
        <v>0</v>
      </c>
      <c r="L873" s="5">
        <v>0</v>
      </c>
      <c r="M873" s="5">
        <v>0</v>
      </c>
      <c r="N873" s="5">
        <v>10</v>
      </c>
      <c r="O873" s="5" t="str">
        <f t="shared" ca="1" si="13"/>
        <v>Supplier 104</v>
      </c>
      <c r="P873" s="20" t="str">
        <f ca="1">IFERROR(VLOOKUP(O873,EMAILS!B:C,2,FALSE),"NOT FOUND IN EMAILS")</f>
        <v>supplier@gmail.com</v>
      </c>
      <c r="Q873" t="str">
        <f ca="1">""&amp;IFERROR(VLOOKUP(O873,EMAILS!B:D,3,FALSE),"NOT FOUND IN EMAILS")</f>
        <v/>
      </c>
      <c r="R873" t="str">
        <f ca="1">""&amp;IFERROR(VLOOKUP(O873,EMAILS!B:E,4,FALSE),"NO T FOUND IN EMAILS")</f>
        <v/>
      </c>
    </row>
    <row r="874" spans="2:18" x14ac:dyDescent="0.25">
      <c r="B874" s="5" t="s">
        <v>876</v>
      </c>
      <c r="C874" s="5" t="s">
        <v>5016</v>
      </c>
      <c r="D874" s="5">
        <v>1</v>
      </c>
      <c r="E874" s="5">
        <v>0</v>
      </c>
      <c r="F874" s="5">
        <v>0</v>
      </c>
      <c r="G874" s="5">
        <v>0</v>
      </c>
      <c r="H874" s="5">
        <v>0</v>
      </c>
      <c r="I874" s="5">
        <v>0</v>
      </c>
      <c r="J874" s="5">
        <v>0</v>
      </c>
      <c r="K874" s="5">
        <v>0</v>
      </c>
      <c r="L874" s="5">
        <v>0</v>
      </c>
      <c r="M874" s="5">
        <v>0</v>
      </c>
      <c r="N874" s="5">
        <v>0</v>
      </c>
      <c r="O874" s="5" t="str">
        <f t="shared" ca="1" si="13"/>
        <v>Supplier 138</v>
      </c>
      <c r="P874" s="20" t="str">
        <f ca="1">IFERROR(VLOOKUP(O874,EMAILS!B:C,2,FALSE),"NOT FOUND IN EMAILS")</f>
        <v>supplier@gmail.com</v>
      </c>
      <c r="Q874" t="str">
        <f ca="1">""&amp;IFERROR(VLOOKUP(O874,EMAILS!B:D,3,FALSE),"NOT FOUND IN EMAILS")</f>
        <v/>
      </c>
      <c r="R874" t="str">
        <f ca="1">""&amp;IFERROR(VLOOKUP(O874,EMAILS!B:E,4,FALSE),"NO T FOUND IN EMAILS")</f>
        <v/>
      </c>
    </row>
    <row r="875" spans="2:18" x14ac:dyDescent="0.25">
      <c r="B875" s="5" t="s">
        <v>877</v>
      </c>
      <c r="C875" s="5" t="s">
        <v>5017</v>
      </c>
      <c r="D875" s="5">
        <v>0</v>
      </c>
      <c r="E875" s="5">
        <v>0</v>
      </c>
      <c r="F875" s="5">
        <v>0</v>
      </c>
      <c r="G875" s="5">
        <v>0</v>
      </c>
      <c r="H875" s="5">
        <v>0</v>
      </c>
      <c r="I875" s="5">
        <v>0</v>
      </c>
      <c r="J875" s="5">
        <v>0</v>
      </c>
      <c r="K875" s="5">
        <v>0</v>
      </c>
      <c r="L875" s="5">
        <v>0</v>
      </c>
      <c r="M875" s="5">
        <v>0</v>
      </c>
      <c r="N875" s="5">
        <v>2</v>
      </c>
      <c r="O875" s="5" t="str">
        <f t="shared" ca="1" si="13"/>
        <v>Supplier 126</v>
      </c>
      <c r="P875" s="20" t="str">
        <f ca="1">IFERROR(VLOOKUP(O875,EMAILS!B:C,2,FALSE),"NOT FOUND IN EMAILS")</f>
        <v>supplier@gmail.com</v>
      </c>
      <c r="Q875" t="str">
        <f ca="1">""&amp;IFERROR(VLOOKUP(O875,EMAILS!B:D,3,FALSE),"NOT FOUND IN EMAILS")</f>
        <v/>
      </c>
      <c r="R875" t="str">
        <f ca="1">""&amp;IFERROR(VLOOKUP(O875,EMAILS!B:E,4,FALSE),"NO T FOUND IN EMAILS")</f>
        <v/>
      </c>
    </row>
    <row r="876" spans="2:18" x14ac:dyDescent="0.25">
      <c r="B876" s="5" t="s">
        <v>878</v>
      </c>
      <c r="C876" s="5" t="s">
        <v>5018</v>
      </c>
      <c r="D876" s="5">
        <v>0</v>
      </c>
      <c r="E876" s="5">
        <v>0</v>
      </c>
      <c r="F876" s="5">
        <v>0</v>
      </c>
      <c r="G876" s="5">
        <v>0</v>
      </c>
      <c r="H876" s="5">
        <v>0</v>
      </c>
      <c r="I876" s="5">
        <v>0</v>
      </c>
      <c r="J876" s="5">
        <v>0</v>
      </c>
      <c r="K876" s="5">
        <v>0</v>
      </c>
      <c r="L876" s="5">
        <v>0</v>
      </c>
      <c r="M876" s="5">
        <v>0</v>
      </c>
      <c r="N876" s="5">
        <v>3</v>
      </c>
      <c r="O876" s="5" t="str">
        <f t="shared" ca="1" si="13"/>
        <v>Supplier 116</v>
      </c>
      <c r="P876" s="20" t="str">
        <f ca="1">IFERROR(VLOOKUP(O876,EMAILS!B:C,2,FALSE),"NOT FOUND IN EMAILS")</f>
        <v>supplier@gmail.com</v>
      </c>
      <c r="Q876" t="str">
        <f ca="1">""&amp;IFERROR(VLOOKUP(O876,EMAILS!B:D,3,FALSE),"NOT FOUND IN EMAILS")</f>
        <v/>
      </c>
      <c r="R876" t="str">
        <f ca="1">""&amp;IFERROR(VLOOKUP(O876,EMAILS!B:E,4,FALSE),"NO T FOUND IN EMAILS")</f>
        <v/>
      </c>
    </row>
    <row r="877" spans="2:18" x14ac:dyDescent="0.25">
      <c r="B877" s="5" t="s">
        <v>879</v>
      </c>
      <c r="C877" s="5" t="s">
        <v>5019</v>
      </c>
      <c r="D877" s="5">
        <v>1</v>
      </c>
      <c r="E877" s="5">
        <v>0</v>
      </c>
      <c r="F877" s="5">
        <v>0</v>
      </c>
      <c r="G877" s="5">
        <v>0</v>
      </c>
      <c r="H877" s="5">
        <v>0</v>
      </c>
      <c r="I877" s="5">
        <v>0</v>
      </c>
      <c r="J877" s="5">
        <v>0</v>
      </c>
      <c r="K877" s="5">
        <v>0</v>
      </c>
      <c r="L877" s="5">
        <v>0</v>
      </c>
      <c r="M877" s="5">
        <v>0</v>
      </c>
      <c r="N877" s="5">
        <v>49</v>
      </c>
      <c r="O877" s="5" t="str">
        <f t="shared" ca="1" si="13"/>
        <v>Supplier 175</v>
      </c>
      <c r="P877" s="20" t="str">
        <f ca="1">IFERROR(VLOOKUP(O877,EMAILS!B:C,2,FALSE),"NOT FOUND IN EMAILS")</f>
        <v>supplier@gmail.com</v>
      </c>
      <c r="Q877" t="str">
        <f ca="1">""&amp;IFERROR(VLOOKUP(O877,EMAILS!B:D,3,FALSE),"NOT FOUND IN EMAILS")</f>
        <v/>
      </c>
      <c r="R877" t="str">
        <f ca="1">""&amp;IFERROR(VLOOKUP(O877,EMAILS!B:E,4,FALSE),"NO T FOUND IN EMAILS")</f>
        <v/>
      </c>
    </row>
    <row r="878" spans="2:18" x14ac:dyDescent="0.25">
      <c r="B878" s="5" t="s">
        <v>880</v>
      </c>
      <c r="C878" s="5" t="s">
        <v>5020</v>
      </c>
      <c r="D878" s="5">
        <v>0</v>
      </c>
      <c r="E878" s="5">
        <v>0</v>
      </c>
      <c r="F878" s="5">
        <v>0</v>
      </c>
      <c r="G878" s="5">
        <v>0</v>
      </c>
      <c r="H878" s="5">
        <v>0</v>
      </c>
      <c r="I878" s="5">
        <v>0</v>
      </c>
      <c r="J878" s="5">
        <v>0</v>
      </c>
      <c r="K878" s="5">
        <v>0</v>
      </c>
      <c r="L878" s="5">
        <v>0</v>
      </c>
      <c r="M878" s="5">
        <v>0</v>
      </c>
      <c r="N878" s="5">
        <v>49</v>
      </c>
      <c r="O878" s="5" t="str">
        <f t="shared" ca="1" si="13"/>
        <v>Supplier 169</v>
      </c>
      <c r="P878" s="20" t="str">
        <f ca="1">IFERROR(VLOOKUP(O878,EMAILS!B:C,2,FALSE),"NOT FOUND IN EMAILS")</f>
        <v>supplier@gmail.com</v>
      </c>
      <c r="Q878" t="str">
        <f ca="1">""&amp;IFERROR(VLOOKUP(O878,EMAILS!B:D,3,FALSE),"NOT FOUND IN EMAILS")</f>
        <v/>
      </c>
      <c r="R878" t="str">
        <f ca="1">""&amp;IFERROR(VLOOKUP(O878,EMAILS!B:E,4,FALSE),"NO T FOUND IN EMAILS")</f>
        <v/>
      </c>
    </row>
    <row r="879" spans="2:18" x14ac:dyDescent="0.25">
      <c r="B879" s="5" t="s">
        <v>881</v>
      </c>
      <c r="C879" s="5" t="s">
        <v>5021</v>
      </c>
      <c r="D879" s="5">
        <v>0</v>
      </c>
      <c r="E879" s="5">
        <v>0</v>
      </c>
      <c r="F879" s="5">
        <v>0</v>
      </c>
      <c r="G879" s="5">
        <v>0</v>
      </c>
      <c r="H879" s="5">
        <v>0</v>
      </c>
      <c r="I879" s="5">
        <v>0</v>
      </c>
      <c r="J879" s="5">
        <v>0</v>
      </c>
      <c r="K879" s="5">
        <v>0</v>
      </c>
      <c r="L879" s="5">
        <v>0</v>
      </c>
      <c r="M879" s="5">
        <v>0</v>
      </c>
      <c r="N879" s="5">
        <v>3</v>
      </c>
      <c r="O879" s="5" t="str">
        <f t="shared" ca="1" si="13"/>
        <v>Supplier 37</v>
      </c>
      <c r="P879" s="20" t="str">
        <f ca="1">IFERROR(VLOOKUP(O879,EMAILS!B:C,2,FALSE),"NOT FOUND IN EMAILS")</f>
        <v>supplier@gmail.com</v>
      </c>
      <c r="Q879" t="str">
        <f ca="1">""&amp;IFERROR(VLOOKUP(O879,EMAILS!B:D,3,FALSE),"NOT FOUND IN EMAILS")</f>
        <v/>
      </c>
      <c r="R879" t="str">
        <f ca="1">""&amp;IFERROR(VLOOKUP(O879,EMAILS!B:E,4,FALSE),"NO T FOUND IN EMAILS")</f>
        <v/>
      </c>
    </row>
    <row r="880" spans="2:18" x14ac:dyDescent="0.25">
      <c r="B880" s="5" t="s">
        <v>882</v>
      </c>
      <c r="C880" s="5" t="s">
        <v>5022</v>
      </c>
      <c r="D880" s="5">
        <v>0</v>
      </c>
      <c r="E880" s="5">
        <v>0</v>
      </c>
      <c r="F880" s="5">
        <v>0</v>
      </c>
      <c r="G880" s="5">
        <v>0</v>
      </c>
      <c r="H880" s="5">
        <v>0</v>
      </c>
      <c r="I880" s="5">
        <v>0</v>
      </c>
      <c r="J880" s="5">
        <v>0</v>
      </c>
      <c r="K880" s="5">
        <v>0</v>
      </c>
      <c r="L880" s="5">
        <v>0</v>
      </c>
      <c r="M880" s="5">
        <v>0</v>
      </c>
      <c r="N880" s="5">
        <v>492</v>
      </c>
      <c r="O880" s="5" t="str">
        <f t="shared" ca="1" si="13"/>
        <v>Supplier 155</v>
      </c>
      <c r="P880" s="20" t="str">
        <f ca="1">IFERROR(VLOOKUP(O880,EMAILS!B:C,2,FALSE),"NOT FOUND IN EMAILS")</f>
        <v>supplier@gmail.com</v>
      </c>
      <c r="Q880" t="str">
        <f ca="1">""&amp;IFERROR(VLOOKUP(O880,EMAILS!B:D,3,FALSE),"NOT FOUND IN EMAILS")</f>
        <v/>
      </c>
      <c r="R880" t="str">
        <f ca="1">""&amp;IFERROR(VLOOKUP(O880,EMAILS!B:E,4,FALSE),"NO T FOUND IN EMAILS")</f>
        <v/>
      </c>
    </row>
    <row r="881" spans="2:18" x14ac:dyDescent="0.25">
      <c r="B881" s="5" t="s">
        <v>883</v>
      </c>
      <c r="C881" s="5" t="s">
        <v>5023</v>
      </c>
      <c r="D881" s="5">
        <v>132</v>
      </c>
      <c r="E881" s="5">
        <v>34</v>
      </c>
      <c r="F881" s="5">
        <v>180</v>
      </c>
      <c r="G881" s="5">
        <v>180</v>
      </c>
      <c r="H881" s="5">
        <v>180</v>
      </c>
      <c r="I881" s="5">
        <v>180</v>
      </c>
      <c r="J881" s="5">
        <v>180</v>
      </c>
      <c r="K881" s="5">
        <v>180</v>
      </c>
      <c r="L881" s="5">
        <v>180</v>
      </c>
      <c r="M881" s="5">
        <v>0</v>
      </c>
      <c r="N881" s="5">
        <v>21</v>
      </c>
      <c r="O881" s="5" t="str">
        <f t="shared" ca="1" si="13"/>
        <v>Supplier 61</v>
      </c>
      <c r="P881" s="20" t="str">
        <f ca="1">IFERROR(VLOOKUP(O881,EMAILS!B:C,2,FALSE),"NOT FOUND IN EMAILS")</f>
        <v>supplier@gmail.com</v>
      </c>
      <c r="Q881" t="str">
        <f ca="1">""&amp;IFERROR(VLOOKUP(O881,EMAILS!B:D,3,FALSE),"NOT FOUND IN EMAILS")</f>
        <v/>
      </c>
      <c r="R881" t="str">
        <f ca="1">""&amp;IFERROR(VLOOKUP(O881,EMAILS!B:E,4,FALSE),"NO T FOUND IN EMAILS")</f>
        <v/>
      </c>
    </row>
    <row r="882" spans="2:18" x14ac:dyDescent="0.25">
      <c r="B882" s="5" t="s">
        <v>884</v>
      </c>
      <c r="C882" s="5" t="s">
        <v>5024</v>
      </c>
      <c r="D882" s="5">
        <v>2</v>
      </c>
      <c r="E882" s="5">
        <v>0</v>
      </c>
      <c r="F882" s="5">
        <v>0</v>
      </c>
      <c r="G882" s="5">
        <v>0</v>
      </c>
      <c r="H882" s="5">
        <v>1</v>
      </c>
      <c r="I882" s="5">
        <v>0</v>
      </c>
      <c r="J882" s="5">
        <v>0</v>
      </c>
      <c r="K882" s="5">
        <v>0</v>
      </c>
      <c r="L882" s="5">
        <v>0</v>
      </c>
      <c r="M882" s="5">
        <v>0</v>
      </c>
      <c r="N882" s="5">
        <v>1</v>
      </c>
      <c r="O882" s="5" t="str">
        <f t="shared" ca="1" si="13"/>
        <v>Supplier 69</v>
      </c>
      <c r="P882" s="20" t="str">
        <f ca="1">IFERROR(VLOOKUP(O882,EMAILS!B:C,2,FALSE),"NOT FOUND IN EMAILS")</f>
        <v>supplier@gmail.com</v>
      </c>
      <c r="Q882" t="str">
        <f ca="1">""&amp;IFERROR(VLOOKUP(O882,EMAILS!B:D,3,FALSE),"NOT FOUND IN EMAILS")</f>
        <v/>
      </c>
      <c r="R882" t="str">
        <f ca="1">""&amp;IFERROR(VLOOKUP(O882,EMAILS!B:E,4,FALSE),"NO T FOUND IN EMAILS")</f>
        <v/>
      </c>
    </row>
    <row r="883" spans="2:18" x14ac:dyDescent="0.25">
      <c r="B883" s="5" t="s">
        <v>885</v>
      </c>
      <c r="C883" s="5" t="s">
        <v>5025</v>
      </c>
      <c r="D883" s="5">
        <v>0</v>
      </c>
      <c r="E883" s="5">
        <v>0</v>
      </c>
      <c r="F883" s="5">
        <v>0</v>
      </c>
      <c r="G883" s="5">
        <v>0</v>
      </c>
      <c r="H883" s="5">
        <v>0</v>
      </c>
      <c r="I883" s="5">
        <v>0</v>
      </c>
      <c r="J883" s="5">
        <v>0</v>
      </c>
      <c r="K883" s="5">
        <v>0</v>
      </c>
      <c r="L883" s="5">
        <v>0</v>
      </c>
      <c r="M883" s="5">
        <v>0</v>
      </c>
      <c r="N883" s="5">
        <v>27</v>
      </c>
      <c r="O883" s="5" t="str">
        <f t="shared" ca="1" si="13"/>
        <v>Supplier 163</v>
      </c>
      <c r="P883" s="20" t="str">
        <f ca="1">IFERROR(VLOOKUP(O883,EMAILS!B:C,2,FALSE),"NOT FOUND IN EMAILS")</f>
        <v>supplier@gmail.com</v>
      </c>
      <c r="Q883" t="str">
        <f ca="1">""&amp;IFERROR(VLOOKUP(O883,EMAILS!B:D,3,FALSE),"NOT FOUND IN EMAILS")</f>
        <v/>
      </c>
      <c r="R883" t="str">
        <f ca="1">""&amp;IFERROR(VLOOKUP(O883,EMAILS!B:E,4,FALSE),"NO T FOUND IN EMAILS")</f>
        <v/>
      </c>
    </row>
    <row r="884" spans="2:18" x14ac:dyDescent="0.25">
      <c r="B884" s="5" t="s">
        <v>886</v>
      </c>
      <c r="C884" s="5" t="s">
        <v>5026</v>
      </c>
      <c r="D884" s="5">
        <v>233</v>
      </c>
      <c r="E884" s="5">
        <v>237</v>
      </c>
      <c r="F884" s="5">
        <v>249</v>
      </c>
      <c r="G884" s="5">
        <v>284</v>
      </c>
      <c r="H884" s="5">
        <v>207</v>
      </c>
      <c r="I884" s="5">
        <v>159</v>
      </c>
      <c r="J884" s="5">
        <v>169</v>
      </c>
      <c r="K884" s="5">
        <v>119</v>
      </c>
      <c r="L884" s="5">
        <v>85</v>
      </c>
      <c r="M884" s="5">
        <v>0</v>
      </c>
      <c r="N884" s="5">
        <v>0</v>
      </c>
      <c r="O884" s="5" t="str">
        <f t="shared" ca="1" si="13"/>
        <v>Supplier 10</v>
      </c>
      <c r="P884" s="20" t="str">
        <f ca="1">IFERROR(VLOOKUP(O884,EMAILS!B:C,2,FALSE),"NOT FOUND IN EMAILS")</f>
        <v>supplier@gmail.com</v>
      </c>
      <c r="Q884" t="str">
        <f ca="1">""&amp;IFERROR(VLOOKUP(O884,EMAILS!B:D,3,FALSE),"NOT FOUND IN EMAILS")</f>
        <v>supplier_logistics@gmail.com</v>
      </c>
      <c r="R884" t="str">
        <f ca="1">""&amp;IFERROR(VLOOKUP(O884,EMAILS!B:E,4,FALSE),"NO T FOUND IN EMAILS")</f>
        <v/>
      </c>
    </row>
    <row r="885" spans="2:18" x14ac:dyDescent="0.25">
      <c r="B885" s="5" t="s">
        <v>887</v>
      </c>
      <c r="C885" s="5" t="s">
        <v>5027</v>
      </c>
      <c r="D885" s="5">
        <v>135</v>
      </c>
      <c r="E885" s="5">
        <v>95</v>
      </c>
      <c r="F885" s="5">
        <v>165</v>
      </c>
      <c r="G885" s="5">
        <v>180</v>
      </c>
      <c r="H885" s="5">
        <v>150</v>
      </c>
      <c r="I885" s="5">
        <v>150</v>
      </c>
      <c r="J885" s="5">
        <v>180</v>
      </c>
      <c r="K885" s="5">
        <v>170</v>
      </c>
      <c r="L885" s="5">
        <v>165</v>
      </c>
      <c r="M885" s="5">
        <v>0</v>
      </c>
      <c r="N885" s="5">
        <v>4</v>
      </c>
      <c r="O885" s="5" t="str">
        <f t="shared" ca="1" si="13"/>
        <v>Supplier 116</v>
      </c>
      <c r="P885" s="20" t="str">
        <f ca="1">IFERROR(VLOOKUP(O885,EMAILS!B:C,2,FALSE),"NOT FOUND IN EMAILS")</f>
        <v>supplier@gmail.com</v>
      </c>
      <c r="Q885" t="str">
        <f ca="1">""&amp;IFERROR(VLOOKUP(O885,EMAILS!B:D,3,FALSE),"NOT FOUND IN EMAILS")</f>
        <v/>
      </c>
      <c r="R885" t="str">
        <f ca="1">""&amp;IFERROR(VLOOKUP(O885,EMAILS!B:E,4,FALSE),"NO T FOUND IN EMAILS")</f>
        <v/>
      </c>
    </row>
    <row r="886" spans="2:18" x14ac:dyDescent="0.25">
      <c r="B886" s="5" t="s">
        <v>888</v>
      </c>
      <c r="C886" s="5" t="s">
        <v>5028</v>
      </c>
      <c r="D886" s="5">
        <v>8</v>
      </c>
      <c r="E886" s="5">
        <v>6</v>
      </c>
      <c r="F886" s="5">
        <v>4</v>
      </c>
      <c r="G886" s="5">
        <v>0</v>
      </c>
      <c r="H886" s="5">
        <v>0</v>
      </c>
      <c r="I886" s="5">
        <v>0</v>
      </c>
      <c r="J886" s="5">
        <v>6</v>
      </c>
      <c r="K886" s="5">
        <v>0</v>
      </c>
      <c r="L886" s="5">
        <v>4</v>
      </c>
      <c r="M886" s="5">
        <v>0</v>
      </c>
      <c r="N886" s="5">
        <v>0</v>
      </c>
      <c r="O886" s="5" t="str">
        <f t="shared" ca="1" si="13"/>
        <v>Supplier 188</v>
      </c>
      <c r="P886" s="20" t="str">
        <f ca="1">IFERROR(VLOOKUP(O886,EMAILS!B:C,2,FALSE),"NOT FOUND IN EMAILS")</f>
        <v>supplier@gmail.com</v>
      </c>
      <c r="Q886" t="str">
        <f ca="1">""&amp;IFERROR(VLOOKUP(O886,EMAILS!B:D,3,FALSE),"NOT FOUND IN EMAILS")</f>
        <v/>
      </c>
      <c r="R886" t="str">
        <f ca="1">""&amp;IFERROR(VLOOKUP(O886,EMAILS!B:E,4,FALSE),"NO T FOUND IN EMAILS")</f>
        <v/>
      </c>
    </row>
    <row r="887" spans="2:18" x14ac:dyDescent="0.25">
      <c r="B887" s="5" t="s">
        <v>889</v>
      </c>
      <c r="C887" s="5" t="s">
        <v>5029</v>
      </c>
      <c r="D887" s="5">
        <v>32</v>
      </c>
      <c r="E887" s="5">
        <v>24</v>
      </c>
      <c r="F887" s="5">
        <v>16</v>
      </c>
      <c r="G887" s="5">
        <v>0</v>
      </c>
      <c r="H887" s="5">
        <v>0</v>
      </c>
      <c r="I887" s="5">
        <v>0</v>
      </c>
      <c r="J887" s="5">
        <v>24</v>
      </c>
      <c r="K887" s="5">
        <v>0</v>
      </c>
      <c r="L887" s="5">
        <v>16</v>
      </c>
      <c r="M887" s="5">
        <v>0</v>
      </c>
      <c r="N887" s="5">
        <v>18</v>
      </c>
      <c r="O887" s="5" t="str">
        <f t="shared" ca="1" si="13"/>
        <v>Supplier 128</v>
      </c>
      <c r="P887" s="20" t="str">
        <f ca="1">IFERROR(VLOOKUP(O887,EMAILS!B:C,2,FALSE),"NOT FOUND IN EMAILS")</f>
        <v>supplier@gmail.com</v>
      </c>
      <c r="Q887" t="str">
        <f ca="1">""&amp;IFERROR(VLOOKUP(O887,EMAILS!B:D,3,FALSE),"NOT FOUND IN EMAILS")</f>
        <v/>
      </c>
      <c r="R887" t="str">
        <f ca="1">""&amp;IFERROR(VLOOKUP(O887,EMAILS!B:E,4,FALSE),"NO T FOUND IN EMAILS")</f>
        <v/>
      </c>
    </row>
    <row r="888" spans="2:18" x14ac:dyDescent="0.25">
      <c r="B888" s="5" t="s">
        <v>890</v>
      </c>
      <c r="C888" s="5" t="s">
        <v>5030</v>
      </c>
      <c r="D888" s="5">
        <v>12</v>
      </c>
      <c r="E888" s="5">
        <v>6</v>
      </c>
      <c r="F888" s="5">
        <v>6</v>
      </c>
      <c r="G888" s="5">
        <v>0</v>
      </c>
      <c r="H888" s="5">
        <v>0</v>
      </c>
      <c r="I888" s="5">
        <v>0</v>
      </c>
      <c r="J888" s="5">
        <v>6</v>
      </c>
      <c r="K888" s="5">
        <v>0</v>
      </c>
      <c r="L888" s="5">
        <v>6</v>
      </c>
      <c r="M888" s="5">
        <v>0</v>
      </c>
      <c r="N888" s="5">
        <v>125</v>
      </c>
      <c r="O888" s="5" t="str">
        <f t="shared" ca="1" si="13"/>
        <v>Supplier 44</v>
      </c>
      <c r="P888" s="20" t="str">
        <f ca="1">IFERROR(VLOOKUP(O888,EMAILS!B:C,2,FALSE),"NOT FOUND IN EMAILS")</f>
        <v>supplier@gmail.com</v>
      </c>
      <c r="Q888" t="str">
        <f ca="1">""&amp;IFERROR(VLOOKUP(O888,EMAILS!B:D,3,FALSE),"NOT FOUND IN EMAILS")</f>
        <v/>
      </c>
      <c r="R888" t="str">
        <f ca="1">""&amp;IFERROR(VLOOKUP(O888,EMAILS!B:E,4,FALSE),"NO T FOUND IN EMAILS")</f>
        <v/>
      </c>
    </row>
    <row r="889" spans="2:18" x14ac:dyDescent="0.25">
      <c r="B889" s="5" t="s">
        <v>891</v>
      </c>
      <c r="C889" s="5" t="s">
        <v>5031</v>
      </c>
      <c r="D889" s="5">
        <v>0</v>
      </c>
      <c r="E889" s="5">
        <v>0</v>
      </c>
      <c r="F889" s="5">
        <v>0</v>
      </c>
      <c r="G889" s="5">
        <v>0</v>
      </c>
      <c r="H889" s="5">
        <v>0</v>
      </c>
      <c r="I889" s="5">
        <v>0</v>
      </c>
      <c r="J889" s="5">
        <v>0</v>
      </c>
      <c r="K889" s="5">
        <v>0</v>
      </c>
      <c r="L889" s="5">
        <v>0</v>
      </c>
      <c r="M889" s="5">
        <v>0</v>
      </c>
      <c r="N889" s="5">
        <v>10</v>
      </c>
      <c r="O889" s="5" t="str">
        <f t="shared" ca="1" si="13"/>
        <v>Supplier 127</v>
      </c>
      <c r="P889" s="20" t="str">
        <f ca="1">IFERROR(VLOOKUP(O889,EMAILS!B:C,2,FALSE),"NOT FOUND IN EMAILS")</f>
        <v>supplier@gmail.com</v>
      </c>
      <c r="Q889" t="str">
        <f ca="1">""&amp;IFERROR(VLOOKUP(O889,EMAILS!B:D,3,FALSE),"NOT FOUND IN EMAILS")</f>
        <v/>
      </c>
      <c r="R889" t="str">
        <f ca="1">""&amp;IFERROR(VLOOKUP(O889,EMAILS!B:E,4,FALSE),"NO T FOUND IN EMAILS")</f>
        <v/>
      </c>
    </row>
    <row r="890" spans="2:18" x14ac:dyDescent="0.25">
      <c r="B890" s="5" t="s">
        <v>892</v>
      </c>
      <c r="C890" s="5" t="s">
        <v>5032</v>
      </c>
      <c r="D890" s="5">
        <v>0</v>
      </c>
      <c r="E890" s="5">
        <v>0</v>
      </c>
      <c r="F890" s="5">
        <v>0</v>
      </c>
      <c r="G890" s="5">
        <v>0</v>
      </c>
      <c r="H890" s="5">
        <v>0</v>
      </c>
      <c r="I890" s="5">
        <v>0</v>
      </c>
      <c r="J890" s="5">
        <v>0</v>
      </c>
      <c r="K890" s="5">
        <v>0</v>
      </c>
      <c r="L890" s="5">
        <v>0</v>
      </c>
      <c r="M890" s="5">
        <v>0</v>
      </c>
      <c r="N890" s="5">
        <v>40</v>
      </c>
      <c r="O890" s="5" t="str">
        <f t="shared" ca="1" si="13"/>
        <v>Supplier 145</v>
      </c>
      <c r="P890" s="20" t="str">
        <f ca="1">IFERROR(VLOOKUP(O890,EMAILS!B:C,2,FALSE),"NOT FOUND IN EMAILS")</f>
        <v>supplier@gmail.com</v>
      </c>
      <c r="Q890" t="str">
        <f ca="1">""&amp;IFERROR(VLOOKUP(O890,EMAILS!B:D,3,FALSE),"NOT FOUND IN EMAILS")</f>
        <v/>
      </c>
      <c r="R890" t="str">
        <f ca="1">""&amp;IFERROR(VLOOKUP(O890,EMAILS!B:E,4,FALSE),"NO T FOUND IN EMAILS")</f>
        <v/>
      </c>
    </row>
    <row r="891" spans="2:18" x14ac:dyDescent="0.25">
      <c r="B891" s="5" t="s">
        <v>893</v>
      </c>
      <c r="C891" s="5" t="s">
        <v>5033</v>
      </c>
      <c r="D891" s="5">
        <v>0</v>
      </c>
      <c r="E891" s="5">
        <v>0</v>
      </c>
      <c r="F891" s="5">
        <v>0</v>
      </c>
      <c r="G891" s="5">
        <v>0</v>
      </c>
      <c r="H891" s="5">
        <v>0</v>
      </c>
      <c r="I891" s="5">
        <v>0</v>
      </c>
      <c r="J891" s="5">
        <v>0</v>
      </c>
      <c r="K891" s="5">
        <v>0</v>
      </c>
      <c r="L891" s="5">
        <v>0</v>
      </c>
      <c r="M891" s="5">
        <v>0</v>
      </c>
      <c r="N891" s="5">
        <v>1</v>
      </c>
      <c r="O891" s="5" t="str">
        <f t="shared" ca="1" si="13"/>
        <v>Supplier 89</v>
      </c>
      <c r="P891" s="20" t="str">
        <f ca="1">IFERROR(VLOOKUP(O891,EMAILS!B:C,2,FALSE),"NOT FOUND IN EMAILS")</f>
        <v>supplier@gmail.com</v>
      </c>
      <c r="Q891" t="str">
        <f ca="1">""&amp;IFERROR(VLOOKUP(O891,EMAILS!B:D,3,FALSE),"NOT FOUND IN EMAILS")</f>
        <v/>
      </c>
      <c r="R891" t="str">
        <f ca="1">""&amp;IFERROR(VLOOKUP(O891,EMAILS!B:E,4,FALSE),"NO T FOUND IN EMAILS")</f>
        <v/>
      </c>
    </row>
    <row r="892" spans="2:18" x14ac:dyDescent="0.25">
      <c r="B892" s="5" t="s">
        <v>894</v>
      </c>
      <c r="C892" s="5" t="s">
        <v>5034</v>
      </c>
      <c r="D892" s="5">
        <v>0</v>
      </c>
      <c r="E892" s="5">
        <v>0</v>
      </c>
      <c r="F892" s="5">
        <v>0</v>
      </c>
      <c r="G892" s="5">
        <v>0</v>
      </c>
      <c r="H892" s="5">
        <v>0</v>
      </c>
      <c r="I892" s="5">
        <v>0</v>
      </c>
      <c r="J892" s="5">
        <v>0</v>
      </c>
      <c r="K892" s="5">
        <v>0</v>
      </c>
      <c r="L892" s="5">
        <v>0</v>
      </c>
      <c r="M892" s="5">
        <v>0</v>
      </c>
      <c r="N892" s="5">
        <v>213.2</v>
      </c>
      <c r="O892" s="5" t="str">
        <f t="shared" ca="1" si="13"/>
        <v>Supplier 23</v>
      </c>
      <c r="P892" s="20" t="str">
        <f ca="1">IFERROR(VLOOKUP(O892,EMAILS!B:C,2,FALSE),"NOT FOUND IN EMAILS")</f>
        <v>supplier@gmail.com</v>
      </c>
      <c r="Q892" t="str">
        <f ca="1">""&amp;IFERROR(VLOOKUP(O892,EMAILS!B:D,3,FALSE),"NOT FOUND IN EMAILS")</f>
        <v/>
      </c>
      <c r="R892" t="str">
        <f ca="1">""&amp;IFERROR(VLOOKUP(O892,EMAILS!B:E,4,FALSE),"NO T FOUND IN EMAILS")</f>
        <v/>
      </c>
    </row>
    <row r="893" spans="2:18" x14ac:dyDescent="0.25">
      <c r="B893" s="5" t="s">
        <v>895</v>
      </c>
      <c r="C893" s="5" t="s">
        <v>5035</v>
      </c>
      <c r="D893" s="5">
        <v>82.21</v>
      </c>
      <c r="E893" s="5">
        <v>111.5</v>
      </c>
      <c r="F893" s="5">
        <v>120.23</v>
      </c>
      <c r="G893" s="5">
        <v>98.68</v>
      </c>
      <c r="H893" s="5">
        <v>64.75</v>
      </c>
      <c r="I893" s="5">
        <v>59.9</v>
      </c>
      <c r="J893" s="5">
        <v>56.14</v>
      </c>
      <c r="K893" s="5">
        <v>73.47</v>
      </c>
      <c r="L893" s="5">
        <v>56.14</v>
      </c>
      <c r="M893" s="5">
        <v>0</v>
      </c>
      <c r="N893" s="5">
        <v>36</v>
      </c>
      <c r="O893" s="5" t="str">
        <f t="shared" ca="1" si="13"/>
        <v>Supplier 12</v>
      </c>
      <c r="P893" s="20" t="str">
        <f ca="1">IFERROR(VLOOKUP(O893,EMAILS!B:C,2,FALSE),"NOT FOUND IN EMAILS")</f>
        <v>supplier@gmail.com</v>
      </c>
      <c r="Q893" t="str">
        <f ca="1">""&amp;IFERROR(VLOOKUP(O893,EMAILS!B:D,3,FALSE),"NOT FOUND IN EMAILS")</f>
        <v>supplier_logistics@gmail.com</v>
      </c>
      <c r="R893" t="str">
        <f ca="1">""&amp;IFERROR(VLOOKUP(O893,EMAILS!B:E,4,FALSE),"NO T FOUND IN EMAILS")</f>
        <v/>
      </c>
    </row>
    <row r="894" spans="2:18" x14ac:dyDescent="0.25">
      <c r="B894" s="5" t="s">
        <v>896</v>
      </c>
      <c r="C894" s="5" t="s">
        <v>5036</v>
      </c>
      <c r="D894" s="5">
        <v>0</v>
      </c>
      <c r="E894" s="5">
        <v>6.54</v>
      </c>
      <c r="F894" s="5">
        <v>4.3600000000000003</v>
      </c>
      <c r="G894" s="5">
        <v>2.1800000000000002</v>
      </c>
      <c r="H894" s="5">
        <v>0</v>
      </c>
      <c r="I894" s="5">
        <v>0</v>
      </c>
      <c r="J894" s="5">
        <v>2.1800000000000002</v>
      </c>
      <c r="K894" s="5">
        <v>2.1800000000000002</v>
      </c>
      <c r="L894" s="5">
        <v>2.1800000000000002</v>
      </c>
      <c r="M894" s="5">
        <v>0</v>
      </c>
      <c r="N894" s="5">
        <v>13</v>
      </c>
      <c r="O894" s="5" t="str">
        <f t="shared" ca="1" si="13"/>
        <v>Supplier 162</v>
      </c>
      <c r="P894" s="20" t="str">
        <f ca="1">IFERROR(VLOOKUP(O894,EMAILS!B:C,2,FALSE),"NOT FOUND IN EMAILS")</f>
        <v>supplier@gmail.com</v>
      </c>
      <c r="Q894" t="str">
        <f ca="1">""&amp;IFERROR(VLOOKUP(O894,EMAILS!B:D,3,FALSE),"NOT FOUND IN EMAILS")</f>
        <v/>
      </c>
      <c r="R894" t="str">
        <f ca="1">""&amp;IFERROR(VLOOKUP(O894,EMAILS!B:E,4,FALSE),"NO T FOUND IN EMAILS")</f>
        <v/>
      </c>
    </row>
    <row r="895" spans="2:18" x14ac:dyDescent="0.25">
      <c r="B895" s="5" t="s">
        <v>897</v>
      </c>
      <c r="C895" s="5" t="s">
        <v>5037</v>
      </c>
      <c r="D895" s="5">
        <v>4.8639999999999999</v>
      </c>
      <c r="E895" s="5">
        <v>4.4640000000000004</v>
      </c>
      <c r="F895" s="5">
        <v>4.6639999999999997</v>
      </c>
      <c r="G895" s="5">
        <v>4.6639999999999997</v>
      </c>
      <c r="H895" s="5">
        <v>2.4319999999999999</v>
      </c>
      <c r="I895" s="5">
        <v>0</v>
      </c>
      <c r="J895" s="5">
        <v>1.1160000000000001</v>
      </c>
      <c r="K895" s="5">
        <v>4.6639999999999997</v>
      </c>
      <c r="L895" s="5">
        <v>1.1160000000000001</v>
      </c>
      <c r="M895" s="5">
        <v>0</v>
      </c>
      <c r="N895" s="5">
        <v>1</v>
      </c>
      <c r="O895" s="5" t="str">
        <f t="shared" ca="1" si="13"/>
        <v>Supplier 156</v>
      </c>
      <c r="P895" s="20" t="str">
        <f ca="1">IFERROR(VLOOKUP(O895,EMAILS!B:C,2,FALSE),"NOT FOUND IN EMAILS")</f>
        <v>supplier@gmail.com</v>
      </c>
      <c r="Q895" t="str">
        <f ca="1">""&amp;IFERROR(VLOOKUP(O895,EMAILS!B:D,3,FALSE),"NOT FOUND IN EMAILS")</f>
        <v/>
      </c>
      <c r="R895" t="str">
        <f ca="1">""&amp;IFERROR(VLOOKUP(O895,EMAILS!B:E,4,FALSE),"NO T FOUND IN EMAILS")</f>
        <v/>
      </c>
    </row>
    <row r="896" spans="2:18" x14ac:dyDescent="0.25">
      <c r="B896" s="5" t="s">
        <v>898</v>
      </c>
      <c r="C896" s="5" t="s">
        <v>5038</v>
      </c>
      <c r="D896" s="5">
        <v>11.7</v>
      </c>
      <c r="E896" s="5">
        <v>14.28</v>
      </c>
      <c r="F896" s="5">
        <v>16.329999999999998</v>
      </c>
      <c r="G896" s="5">
        <v>9.65</v>
      </c>
      <c r="H896" s="5">
        <v>5.85</v>
      </c>
      <c r="I896" s="5">
        <v>0</v>
      </c>
      <c r="J896" s="5">
        <v>5.24</v>
      </c>
      <c r="K896" s="5">
        <v>9.65</v>
      </c>
      <c r="L896" s="5">
        <v>5.24</v>
      </c>
      <c r="M896" s="5">
        <v>0</v>
      </c>
      <c r="N896" s="5">
        <v>53</v>
      </c>
      <c r="O896" s="5" t="str">
        <f t="shared" ca="1" si="13"/>
        <v>Supplier 155</v>
      </c>
      <c r="P896" s="20" t="str">
        <f ca="1">IFERROR(VLOOKUP(O896,EMAILS!B:C,2,FALSE),"NOT FOUND IN EMAILS")</f>
        <v>supplier@gmail.com</v>
      </c>
      <c r="Q896" t="str">
        <f ca="1">""&amp;IFERROR(VLOOKUP(O896,EMAILS!B:D,3,FALSE),"NOT FOUND IN EMAILS")</f>
        <v/>
      </c>
      <c r="R896" t="str">
        <f ca="1">""&amp;IFERROR(VLOOKUP(O896,EMAILS!B:E,4,FALSE),"NO T FOUND IN EMAILS")</f>
        <v/>
      </c>
    </row>
    <row r="897" spans="2:18" x14ac:dyDescent="0.25">
      <c r="B897" s="5" t="s">
        <v>899</v>
      </c>
      <c r="C897" s="5" t="s">
        <v>5039</v>
      </c>
      <c r="D897" s="5">
        <v>22.35</v>
      </c>
      <c r="E897" s="5">
        <v>3.8</v>
      </c>
      <c r="F897" s="5">
        <v>13.55</v>
      </c>
      <c r="G897" s="5">
        <v>12.6</v>
      </c>
      <c r="H897" s="5">
        <v>9.75</v>
      </c>
      <c r="I897" s="5">
        <v>0</v>
      </c>
      <c r="J897" s="5">
        <v>1.9</v>
      </c>
      <c r="K897" s="5">
        <v>9.75</v>
      </c>
      <c r="L897" s="5">
        <v>1.9</v>
      </c>
      <c r="M897" s="5">
        <v>0</v>
      </c>
      <c r="N897" s="5">
        <v>90</v>
      </c>
      <c r="O897" s="5" t="str">
        <f t="shared" ca="1" si="13"/>
        <v>Supplier 172</v>
      </c>
      <c r="P897" s="20" t="str">
        <f ca="1">IFERROR(VLOOKUP(O897,EMAILS!B:C,2,FALSE),"NOT FOUND IN EMAILS")</f>
        <v>supplier@gmail.com</v>
      </c>
      <c r="Q897" t="str">
        <f ca="1">""&amp;IFERROR(VLOOKUP(O897,EMAILS!B:D,3,FALSE),"NOT FOUND IN EMAILS")</f>
        <v/>
      </c>
      <c r="R897" t="str">
        <f ca="1">""&amp;IFERROR(VLOOKUP(O897,EMAILS!B:E,4,FALSE),"NO T FOUND IN EMAILS")</f>
        <v/>
      </c>
    </row>
    <row r="898" spans="2:18" x14ac:dyDescent="0.25">
      <c r="B898" s="5" t="s">
        <v>900</v>
      </c>
      <c r="C898" s="5" t="s">
        <v>5040</v>
      </c>
      <c r="D898" s="5">
        <v>36.647500000000001</v>
      </c>
      <c r="E898" s="5">
        <v>64.192999999999998</v>
      </c>
      <c r="F898" s="5">
        <v>60.36</v>
      </c>
      <c r="G898" s="5">
        <v>40.480499999999999</v>
      </c>
      <c r="H898" s="5">
        <v>17.382000000000001</v>
      </c>
      <c r="I898" s="5">
        <v>0</v>
      </c>
      <c r="J898" s="5">
        <v>21.489000000000001</v>
      </c>
      <c r="K898" s="5">
        <v>38.597000000000001</v>
      </c>
      <c r="L898" s="5">
        <v>21.489000000000001</v>
      </c>
      <c r="M898" s="5">
        <v>0</v>
      </c>
      <c r="N898" s="5">
        <v>256</v>
      </c>
      <c r="O898" s="5" t="str">
        <f t="shared" ca="1" si="13"/>
        <v>Supplier 62</v>
      </c>
      <c r="P898" s="20" t="str">
        <f ca="1">IFERROR(VLOOKUP(O898,EMAILS!B:C,2,FALSE),"NOT FOUND IN EMAILS")</f>
        <v>supplier@gmail.com</v>
      </c>
      <c r="Q898" t="str">
        <f ca="1">""&amp;IFERROR(VLOOKUP(O898,EMAILS!B:D,3,FALSE),"NOT FOUND IN EMAILS")</f>
        <v/>
      </c>
      <c r="R898" t="str">
        <f ca="1">""&amp;IFERROR(VLOOKUP(O898,EMAILS!B:E,4,FALSE),"NO T FOUND IN EMAILS")</f>
        <v/>
      </c>
    </row>
    <row r="899" spans="2:18" x14ac:dyDescent="0.25">
      <c r="B899" s="5" t="s">
        <v>901</v>
      </c>
      <c r="C899" s="5" t="s">
        <v>5041</v>
      </c>
      <c r="D899" s="5">
        <v>106</v>
      </c>
      <c r="E899" s="5">
        <v>87</v>
      </c>
      <c r="F899" s="5">
        <v>111</v>
      </c>
      <c r="G899" s="5">
        <v>82</v>
      </c>
      <c r="H899" s="5">
        <v>53</v>
      </c>
      <c r="I899" s="5">
        <v>0</v>
      </c>
      <c r="J899" s="5">
        <v>29</v>
      </c>
      <c r="K899" s="5">
        <v>82</v>
      </c>
      <c r="L899" s="5">
        <v>29</v>
      </c>
      <c r="M899" s="5">
        <v>0</v>
      </c>
      <c r="N899" s="5">
        <v>9</v>
      </c>
      <c r="O899" s="5" t="str">
        <f t="shared" ref="O899:O962" ca="1" si="14">"Supplier "&amp;RANDBETWEEN(1,200)</f>
        <v>Supplier 191</v>
      </c>
      <c r="P899" s="20" t="str">
        <f ca="1">IFERROR(VLOOKUP(O899,EMAILS!B:C,2,FALSE),"NOT FOUND IN EMAILS")</f>
        <v>supplier@gmail.com</v>
      </c>
      <c r="Q899" t="str">
        <f ca="1">""&amp;IFERROR(VLOOKUP(O899,EMAILS!B:D,3,FALSE),"NOT FOUND IN EMAILS")</f>
        <v/>
      </c>
      <c r="R899" t="str">
        <f ca="1">""&amp;IFERROR(VLOOKUP(O899,EMAILS!B:E,4,FALSE),"NO T FOUND IN EMAILS")</f>
        <v/>
      </c>
    </row>
    <row r="900" spans="2:18" x14ac:dyDescent="0.25">
      <c r="B900" s="5" t="s">
        <v>902</v>
      </c>
      <c r="C900" s="5" t="s">
        <v>5042</v>
      </c>
      <c r="D900" s="5">
        <v>0.16</v>
      </c>
      <c r="E900" s="5">
        <v>0.16</v>
      </c>
      <c r="F900" s="5">
        <v>0.16</v>
      </c>
      <c r="G900" s="5">
        <v>0.16</v>
      </c>
      <c r="H900" s="5">
        <v>0.08</v>
      </c>
      <c r="I900" s="5">
        <v>0</v>
      </c>
      <c r="J900" s="5">
        <v>0.04</v>
      </c>
      <c r="K900" s="5">
        <v>0.16</v>
      </c>
      <c r="L900" s="5">
        <v>0.04</v>
      </c>
      <c r="M900" s="5">
        <v>0</v>
      </c>
      <c r="N900" s="5">
        <v>0</v>
      </c>
      <c r="O900" s="5" t="str">
        <f t="shared" ca="1" si="14"/>
        <v>Supplier 164</v>
      </c>
      <c r="P900" s="20" t="str">
        <f ca="1">IFERROR(VLOOKUP(O900,EMAILS!B:C,2,FALSE),"NOT FOUND IN EMAILS")</f>
        <v>supplier@gmail.com</v>
      </c>
      <c r="Q900" t="str">
        <f ca="1">""&amp;IFERROR(VLOOKUP(O900,EMAILS!B:D,3,FALSE),"NOT FOUND IN EMAILS")</f>
        <v/>
      </c>
      <c r="R900" t="str">
        <f ca="1">""&amp;IFERROR(VLOOKUP(O900,EMAILS!B:E,4,FALSE),"NO T FOUND IN EMAILS")</f>
        <v/>
      </c>
    </row>
    <row r="901" spans="2:18" x14ac:dyDescent="0.25">
      <c r="B901" s="5" t="s">
        <v>903</v>
      </c>
      <c r="C901" s="5" t="s">
        <v>5043</v>
      </c>
      <c r="D901" s="5">
        <v>0</v>
      </c>
      <c r="E901" s="5">
        <v>0</v>
      </c>
      <c r="F901" s="5">
        <v>0</v>
      </c>
      <c r="G901" s="5">
        <v>0</v>
      </c>
      <c r="H901" s="5">
        <v>300</v>
      </c>
      <c r="I901" s="5">
        <v>0</v>
      </c>
      <c r="J901" s="5">
        <v>0</v>
      </c>
      <c r="K901" s="5">
        <v>0</v>
      </c>
      <c r="L901" s="5">
        <v>0</v>
      </c>
      <c r="M901" s="5">
        <v>0</v>
      </c>
      <c r="N901" s="5">
        <v>200</v>
      </c>
      <c r="O901" s="5" t="str">
        <f t="shared" ca="1" si="14"/>
        <v>Supplier 42</v>
      </c>
      <c r="P901" s="20" t="str">
        <f ca="1">IFERROR(VLOOKUP(O901,EMAILS!B:C,2,FALSE),"NOT FOUND IN EMAILS")</f>
        <v>supplier@gmail.com</v>
      </c>
      <c r="Q901" t="str">
        <f ca="1">""&amp;IFERROR(VLOOKUP(O901,EMAILS!B:D,3,FALSE),"NOT FOUND IN EMAILS")</f>
        <v/>
      </c>
      <c r="R901" t="str">
        <f ca="1">""&amp;IFERROR(VLOOKUP(O901,EMAILS!B:E,4,FALSE),"NO T FOUND IN EMAILS")</f>
        <v/>
      </c>
    </row>
    <row r="902" spans="2:18" x14ac:dyDescent="0.25">
      <c r="B902" s="5" t="s">
        <v>904</v>
      </c>
      <c r="C902" s="5" t="s">
        <v>5044</v>
      </c>
      <c r="D902" s="5">
        <v>0</v>
      </c>
      <c r="E902" s="5">
        <v>0</v>
      </c>
      <c r="F902" s="5">
        <v>0</v>
      </c>
      <c r="G902" s="5">
        <v>0</v>
      </c>
      <c r="H902" s="5">
        <v>300</v>
      </c>
      <c r="I902" s="5">
        <v>0</v>
      </c>
      <c r="J902" s="5">
        <v>0</v>
      </c>
      <c r="K902" s="5">
        <v>0</v>
      </c>
      <c r="L902" s="5">
        <v>0</v>
      </c>
      <c r="M902" s="5">
        <v>0</v>
      </c>
      <c r="N902" s="5">
        <v>566</v>
      </c>
      <c r="O902" s="5" t="str">
        <f t="shared" ca="1" si="14"/>
        <v>Supplier 103</v>
      </c>
      <c r="P902" s="20" t="str">
        <f ca="1">IFERROR(VLOOKUP(O902,EMAILS!B:C,2,FALSE),"NOT FOUND IN EMAILS")</f>
        <v>supplier@gmail.com</v>
      </c>
      <c r="Q902" t="str">
        <f ca="1">""&amp;IFERROR(VLOOKUP(O902,EMAILS!B:D,3,FALSE),"NOT FOUND IN EMAILS")</f>
        <v/>
      </c>
      <c r="R902" t="str">
        <f ca="1">""&amp;IFERROR(VLOOKUP(O902,EMAILS!B:E,4,FALSE),"NO T FOUND IN EMAILS")</f>
        <v/>
      </c>
    </row>
    <row r="903" spans="2:18" x14ac:dyDescent="0.25">
      <c r="B903" s="5" t="s">
        <v>905</v>
      </c>
      <c r="C903" s="5" t="s">
        <v>5045</v>
      </c>
      <c r="D903" s="5">
        <v>400</v>
      </c>
      <c r="E903" s="5">
        <v>0</v>
      </c>
      <c r="F903" s="5">
        <v>50</v>
      </c>
      <c r="G903" s="5">
        <v>150</v>
      </c>
      <c r="H903" s="5">
        <v>0</v>
      </c>
      <c r="I903" s="5">
        <v>0</v>
      </c>
      <c r="J903" s="5">
        <v>300</v>
      </c>
      <c r="K903" s="5">
        <v>50</v>
      </c>
      <c r="L903" s="5">
        <v>0</v>
      </c>
      <c r="M903" s="5">
        <v>0</v>
      </c>
      <c r="N903" s="5">
        <v>625</v>
      </c>
      <c r="O903" s="5" t="str">
        <f t="shared" ca="1" si="14"/>
        <v>Supplier 7</v>
      </c>
      <c r="P903" s="20" t="str">
        <f ca="1">IFERROR(VLOOKUP(O903,EMAILS!B:C,2,FALSE),"NOT FOUND IN EMAILS")</f>
        <v>supplier@gmail.com</v>
      </c>
      <c r="Q903" t="str">
        <f ca="1">""&amp;IFERROR(VLOOKUP(O903,EMAILS!B:D,3,FALSE),"NOT FOUND IN EMAILS")</f>
        <v>supplier_logistics@gmail.com</v>
      </c>
      <c r="R903" t="str">
        <f ca="1">""&amp;IFERROR(VLOOKUP(O903,EMAILS!B:E,4,FALSE),"NO T FOUND IN EMAILS")</f>
        <v/>
      </c>
    </row>
    <row r="904" spans="2:18" x14ac:dyDescent="0.25">
      <c r="B904" s="5" t="s">
        <v>906</v>
      </c>
      <c r="C904" s="5" t="s">
        <v>5046</v>
      </c>
      <c r="D904" s="5">
        <v>400</v>
      </c>
      <c r="E904" s="5">
        <v>0</v>
      </c>
      <c r="F904" s="5">
        <v>50</v>
      </c>
      <c r="G904" s="5">
        <v>150</v>
      </c>
      <c r="H904" s="5">
        <v>0</v>
      </c>
      <c r="I904" s="5">
        <v>0</v>
      </c>
      <c r="J904" s="5">
        <v>300</v>
      </c>
      <c r="K904" s="5">
        <v>50</v>
      </c>
      <c r="L904" s="5">
        <v>0</v>
      </c>
      <c r="M904" s="5">
        <v>0</v>
      </c>
      <c r="N904" s="5">
        <v>98</v>
      </c>
      <c r="O904" s="5" t="str">
        <f t="shared" ca="1" si="14"/>
        <v>Supplier 162</v>
      </c>
      <c r="P904" s="20" t="str">
        <f ca="1">IFERROR(VLOOKUP(O904,EMAILS!B:C,2,FALSE),"NOT FOUND IN EMAILS")</f>
        <v>supplier@gmail.com</v>
      </c>
      <c r="Q904" t="str">
        <f ca="1">""&amp;IFERROR(VLOOKUP(O904,EMAILS!B:D,3,FALSE),"NOT FOUND IN EMAILS")</f>
        <v/>
      </c>
      <c r="R904" t="str">
        <f ca="1">""&amp;IFERROR(VLOOKUP(O904,EMAILS!B:E,4,FALSE),"NO T FOUND IN EMAILS")</f>
        <v/>
      </c>
    </row>
    <row r="905" spans="2:18" x14ac:dyDescent="0.25">
      <c r="B905" s="5" t="s">
        <v>907</v>
      </c>
      <c r="C905" s="5" t="s">
        <v>5047</v>
      </c>
      <c r="D905" s="5">
        <v>0</v>
      </c>
      <c r="E905" s="5">
        <v>0</v>
      </c>
      <c r="F905" s="5">
        <v>0</v>
      </c>
      <c r="G905" s="5">
        <v>5</v>
      </c>
      <c r="H905" s="5">
        <v>0</v>
      </c>
      <c r="I905" s="5">
        <v>1</v>
      </c>
      <c r="J905" s="5">
        <v>0</v>
      </c>
      <c r="K905" s="5">
        <v>0</v>
      </c>
      <c r="L905" s="5">
        <v>0</v>
      </c>
      <c r="M905" s="5">
        <v>0</v>
      </c>
      <c r="N905" s="5">
        <v>317.22000000000003</v>
      </c>
      <c r="O905" s="5" t="str">
        <f t="shared" ca="1" si="14"/>
        <v>Supplier 152</v>
      </c>
      <c r="P905" s="20" t="str">
        <f ca="1">IFERROR(VLOOKUP(O905,EMAILS!B:C,2,FALSE),"NOT FOUND IN EMAILS")</f>
        <v>supplier@gmail.com</v>
      </c>
      <c r="Q905" t="str">
        <f ca="1">""&amp;IFERROR(VLOOKUP(O905,EMAILS!B:D,3,FALSE),"NOT FOUND IN EMAILS")</f>
        <v/>
      </c>
      <c r="R905" t="str">
        <f ca="1">""&amp;IFERROR(VLOOKUP(O905,EMAILS!B:E,4,FALSE),"NO T FOUND IN EMAILS")</f>
        <v/>
      </c>
    </row>
    <row r="906" spans="2:18" x14ac:dyDescent="0.25">
      <c r="B906" s="5" t="s">
        <v>908</v>
      </c>
      <c r="C906" s="5" t="s">
        <v>5048</v>
      </c>
      <c r="D906" s="5">
        <v>5.2</v>
      </c>
      <c r="E906" s="5">
        <v>32.5</v>
      </c>
      <c r="F906" s="5">
        <v>1.65</v>
      </c>
      <c r="G906" s="5">
        <v>1.95</v>
      </c>
      <c r="H906" s="5">
        <v>4</v>
      </c>
      <c r="I906" s="5">
        <v>2</v>
      </c>
      <c r="J906" s="5">
        <v>3.9</v>
      </c>
      <c r="K906" s="5">
        <v>3.15</v>
      </c>
      <c r="L906" s="5">
        <v>0</v>
      </c>
      <c r="M906" s="5">
        <v>0</v>
      </c>
      <c r="N906" s="5">
        <v>205</v>
      </c>
      <c r="O906" s="5" t="str">
        <f t="shared" ca="1" si="14"/>
        <v>Supplier 57</v>
      </c>
      <c r="P906" s="20" t="str">
        <f ca="1">IFERROR(VLOOKUP(O906,EMAILS!B:C,2,FALSE),"NOT FOUND IN EMAILS")</f>
        <v>supplier@gmail.com</v>
      </c>
      <c r="Q906" t="str">
        <f ca="1">""&amp;IFERROR(VLOOKUP(O906,EMAILS!B:D,3,FALSE),"NOT FOUND IN EMAILS")</f>
        <v/>
      </c>
      <c r="R906" t="str">
        <f ca="1">""&amp;IFERROR(VLOOKUP(O906,EMAILS!B:E,4,FALSE),"NO T FOUND IN EMAILS")</f>
        <v/>
      </c>
    </row>
    <row r="907" spans="2:18" x14ac:dyDescent="0.25">
      <c r="B907" s="5" t="s">
        <v>909</v>
      </c>
      <c r="C907" s="5" t="s">
        <v>5049</v>
      </c>
      <c r="D907" s="5">
        <v>10</v>
      </c>
      <c r="E907" s="5">
        <v>20</v>
      </c>
      <c r="F907" s="5">
        <v>30</v>
      </c>
      <c r="G907" s="5">
        <v>0</v>
      </c>
      <c r="H907" s="5">
        <v>0</v>
      </c>
      <c r="I907" s="5">
        <v>0</v>
      </c>
      <c r="J907" s="5">
        <v>0</v>
      </c>
      <c r="K907" s="5">
        <v>0</v>
      </c>
      <c r="L907" s="5">
        <v>50</v>
      </c>
      <c r="M907" s="5">
        <v>0</v>
      </c>
      <c r="N907" s="5">
        <v>220</v>
      </c>
      <c r="O907" s="5" t="str">
        <f t="shared" ca="1" si="14"/>
        <v>Supplier 21</v>
      </c>
      <c r="P907" s="20" t="str">
        <f ca="1">IFERROR(VLOOKUP(O907,EMAILS!B:C,2,FALSE),"NOT FOUND IN EMAILS")</f>
        <v>supplier@gmail.com</v>
      </c>
      <c r="Q907" t="str">
        <f ca="1">""&amp;IFERROR(VLOOKUP(O907,EMAILS!B:D,3,FALSE),"NOT FOUND IN EMAILS")</f>
        <v/>
      </c>
      <c r="R907" t="str">
        <f ca="1">""&amp;IFERROR(VLOOKUP(O907,EMAILS!B:E,4,FALSE),"NO T FOUND IN EMAILS")</f>
        <v/>
      </c>
    </row>
    <row r="908" spans="2:18" x14ac:dyDescent="0.25">
      <c r="B908" s="5" t="s">
        <v>910</v>
      </c>
      <c r="C908" s="5" t="s">
        <v>5050</v>
      </c>
      <c r="D908" s="5">
        <v>10</v>
      </c>
      <c r="E908" s="5">
        <v>1</v>
      </c>
      <c r="F908" s="5">
        <v>6</v>
      </c>
      <c r="G908" s="5">
        <v>4</v>
      </c>
      <c r="H908" s="5">
        <v>8</v>
      </c>
      <c r="I908" s="5">
        <v>4</v>
      </c>
      <c r="J908" s="5">
        <v>2</v>
      </c>
      <c r="K908" s="5">
        <v>5</v>
      </c>
      <c r="L908" s="5">
        <v>7</v>
      </c>
      <c r="M908" s="5">
        <v>0</v>
      </c>
      <c r="N908" s="5">
        <v>58.055999999999997</v>
      </c>
      <c r="O908" s="5" t="str">
        <f t="shared" ca="1" si="14"/>
        <v>Supplier 69</v>
      </c>
      <c r="P908" s="20" t="str">
        <f ca="1">IFERROR(VLOOKUP(O908,EMAILS!B:C,2,FALSE),"NOT FOUND IN EMAILS")</f>
        <v>supplier@gmail.com</v>
      </c>
      <c r="Q908" t="str">
        <f ca="1">""&amp;IFERROR(VLOOKUP(O908,EMAILS!B:D,3,FALSE),"NOT FOUND IN EMAILS")</f>
        <v/>
      </c>
      <c r="R908" t="str">
        <f ca="1">""&amp;IFERROR(VLOOKUP(O908,EMAILS!B:E,4,FALSE),"NO T FOUND IN EMAILS")</f>
        <v/>
      </c>
    </row>
    <row r="909" spans="2:18" x14ac:dyDescent="0.25">
      <c r="B909" s="5" t="s">
        <v>911</v>
      </c>
      <c r="C909" s="5" t="s">
        <v>5051</v>
      </c>
      <c r="D909" s="5">
        <v>0</v>
      </c>
      <c r="E909" s="5">
        <v>0</v>
      </c>
      <c r="F909" s="5">
        <v>0</v>
      </c>
      <c r="G909" s="5">
        <v>0</v>
      </c>
      <c r="H909" s="5">
        <v>0</v>
      </c>
      <c r="I909" s="5">
        <v>0</v>
      </c>
      <c r="J909" s="5">
        <v>0</v>
      </c>
      <c r="K909" s="5">
        <v>0</v>
      </c>
      <c r="L909" s="5">
        <v>2</v>
      </c>
      <c r="M909" s="5">
        <v>0</v>
      </c>
      <c r="N909" s="5">
        <v>920</v>
      </c>
      <c r="O909" s="5" t="str">
        <f t="shared" ca="1" si="14"/>
        <v>Supplier 7</v>
      </c>
      <c r="P909" s="20" t="str">
        <f ca="1">IFERROR(VLOOKUP(O909,EMAILS!B:C,2,FALSE),"NOT FOUND IN EMAILS")</f>
        <v>supplier@gmail.com</v>
      </c>
      <c r="Q909" t="str">
        <f ca="1">""&amp;IFERROR(VLOOKUP(O909,EMAILS!B:D,3,FALSE),"NOT FOUND IN EMAILS")</f>
        <v>supplier_logistics@gmail.com</v>
      </c>
      <c r="R909" t="str">
        <f ca="1">""&amp;IFERROR(VLOOKUP(O909,EMAILS!B:E,4,FALSE),"NO T FOUND IN EMAILS")</f>
        <v/>
      </c>
    </row>
    <row r="910" spans="2:18" x14ac:dyDescent="0.25">
      <c r="B910" s="5" t="s">
        <v>912</v>
      </c>
      <c r="C910" s="5" t="s">
        <v>5052</v>
      </c>
      <c r="D910" s="5">
        <v>4</v>
      </c>
      <c r="E910" s="5">
        <v>5.66</v>
      </c>
      <c r="F910" s="5">
        <v>25.5</v>
      </c>
      <c r="G910" s="5">
        <v>6</v>
      </c>
      <c r="H910" s="5">
        <v>5</v>
      </c>
      <c r="I910" s="5">
        <v>3</v>
      </c>
      <c r="J910" s="5">
        <v>6</v>
      </c>
      <c r="K910" s="5">
        <v>2</v>
      </c>
      <c r="L910" s="5">
        <v>6</v>
      </c>
      <c r="M910" s="5">
        <v>0</v>
      </c>
      <c r="N910" s="5">
        <v>233</v>
      </c>
      <c r="O910" s="5" t="str">
        <f t="shared" ca="1" si="14"/>
        <v>Supplier 82</v>
      </c>
      <c r="P910" s="20" t="str">
        <f ca="1">IFERROR(VLOOKUP(O910,EMAILS!B:C,2,FALSE),"NOT FOUND IN EMAILS")</f>
        <v>supplier@gmail.com</v>
      </c>
      <c r="Q910" t="str">
        <f ca="1">""&amp;IFERROR(VLOOKUP(O910,EMAILS!B:D,3,FALSE),"NOT FOUND IN EMAILS")</f>
        <v/>
      </c>
      <c r="R910" t="str">
        <f ca="1">""&amp;IFERROR(VLOOKUP(O910,EMAILS!B:E,4,FALSE),"NO T FOUND IN EMAILS")</f>
        <v/>
      </c>
    </row>
    <row r="911" spans="2:18" x14ac:dyDescent="0.25">
      <c r="B911" s="5" t="s">
        <v>913</v>
      </c>
      <c r="C911" s="5" t="s">
        <v>5053</v>
      </c>
      <c r="D911" s="5">
        <v>0</v>
      </c>
      <c r="E911" s="5">
        <v>0</v>
      </c>
      <c r="F911" s="5">
        <v>0</v>
      </c>
      <c r="G911" s="5">
        <v>0</v>
      </c>
      <c r="H911" s="5">
        <v>0</v>
      </c>
      <c r="I911" s="5">
        <v>0</v>
      </c>
      <c r="J911" s="5">
        <v>0</v>
      </c>
      <c r="K911" s="5">
        <v>0</v>
      </c>
      <c r="L911" s="5">
        <v>0</v>
      </c>
      <c r="M911" s="5">
        <v>0</v>
      </c>
      <c r="N911" s="5">
        <v>336</v>
      </c>
      <c r="O911" s="5" t="str">
        <f t="shared" ca="1" si="14"/>
        <v>Supplier 53</v>
      </c>
      <c r="P911" s="20" t="str">
        <f ca="1">IFERROR(VLOOKUP(O911,EMAILS!B:C,2,FALSE),"NOT FOUND IN EMAILS")</f>
        <v>supplier@gmail.com</v>
      </c>
      <c r="Q911" t="str">
        <f ca="1">""&amp;IFERROR(VLOOKUP(O911,EMAILS!B:D,3,FALSE),"NOT FOUND IN EMAILS")</f>
        <v/>
      </c>
      <c r="R911" t="str">
        <f ca="1">""&amp;IFERROR(VLOOKUP(O911,EMAILS!B:E,4,FALSE),"NO T FOUND IN EMAILS")</f>
        <v/>
      </c>
    </row>
    <row r="912" spans="2:18" x14ac:dyDescent="0.25">
      <c r="B912" s="5" t="s">
        <v>914</v>
      </c>
      <c r="C912" s="5" t="s">
        <v>5054</v>
      </c>
      <c r="D912" s="5">
        <v>138</v>
      </c>
      <c r="E912" s="5">
        <v>0</v>
      </c>
      <c r="F912" s="5">
        <v>0</v>
      </c>
      <c r="G912" s="5">
        <v>30.4</v>
      </c>
      <c r="H912" s="5">
        <v>50</v>
      </c>
      <c r="I912" s="5">
        <v>100</v>
      </c>
      <c r="J912" s="5">
        <v>45</v>
      </c>
      <c r="K912" s="5">
        <v>70</v>
      </c>
      <c r="L912" s="5">
        <v>36</v>
      </c>
      <c r="M912" s="5">
        <v>0</v>
      </c>
      <c r="N912" s="5">
        <v>1016.35</v>
      </c>
      <c r="O912" s="5" t="str">
        <f t="shared" ca="1" si="14"/>
        <v>Supplier 61</v>
      </c>
      <c r="P912" s="20" t="str">
        <f ca="1">IFERROR(VLOOKUP(O912,EMAILS!B:C,2,FALSE),"NOT FOUND IN EMAILS")</f>
        <v>supplier@gmail.com</v>
      </c>
      <c r="Q912" t="str">
        <f ca="1">""&amp;IFERROR(VLOOKUP(O912,EMAILS!B:D,3,FALSE),"NOT FOUND IN EMAILS")</f>
        <v/>
      </c>
      <c r="R912" t="str">
        <f ca="1">""&amp;IFERROR(VLOOKUP(O912,EMAILS!B:E,4,FALSE),"NO T FOUND IN EMAILS")</f>
        <v/>
      </c>
    </row>
    <row r="913" spans="2:18" x14ac:dyDescent="0.25">
      <c r="B913" s="5" t="s">
        <v>915</v>
      </c>
      <c r="C913" s="5" t="s">
        <v>5055</v>
      </c>
      <c r="D913" s="5">
        <v>13.4938</v>
      </c>
      <c r="E913" s="5">
        <v>6.3967999999999998</v>
      </c>
      <c r="F913" s="5">
        <v>14.0968</v>
      </c>
      <c r="G913" s="5">
        <v>12.825799999999999</v>
      </c>
      <c r="H913" s="5">
        <v>12.495799999999999</v>
      </c>
      <c r="I913" s="5">
        <v>9.3978999999999999</v>
      </c>
      <c r="J913" s="5">
        <v>8.4957999999999991</v>
      </c>
      <c r="K913" s="5">
        <v>13.747900000000001</v>
      </c>
      <c r="L913" s="5">
        <v>11.495799999999999</v>
      </c>
      <c r="M913" s="5">
        <v>0</v>
      </c>
      <c r="N913" s="5">
        <v>118</v>
      </c>
      <c r="O913" s="5" t="str">
        <f t="shared" ca="1" si="14"/>
        <v>Supplier 42</v>
      </c>
      <c r="P913" s="20" t="str">
        <f ca="1">IFERROR(VLOOKUP(O913,EMAILS!B:C,2,FALSE),"NOT FOUND IN EMAILS")</f>
        <v>supplier@gmail.com</v>
      </c>
      <c r="Q913" t="str">
        <f ca="1">""&amp;IFERROR(VLOOKUP(O913,EMAILS!B:D,3,FALSE),"NOT FOUND IN EMAILS")</f>
        <v/>
      </c>
      <c r="R913" t="str">
        <f ca="1">""&amp;IFERROR(VLOOKUP(O913,EMAILS!B:E,4,FALSE),"NO T FOUND IN EMAILS")</f>
        <v/>
      </c>
    </row>
    <row r="914" spans="2:18" x14ac:dyDescent="0.25">
      <c r="B914" s="5" t="s">
        <v>916</v>
      </c>
      <c r="C914" s="5" t="s">
        <v>5056</v>
      </c>
      <c r="D914" s="5">
        <v>71.767420000000001</v>
      </c>
      <c r="E914" s="5">
        <v>6</v>
      </c>
      <c r="F914" s="5">
        <v>47.668599999999998</v>
      </c>
      <c r="G914" s="5">
        <v>39.868600000000001</v>
      </c>
      <c r="H914" s="5">
        <v>19.618600000000001</v>
      </c>
      <c r="I914" s="5">
        <v>21.668599999999998</v>
      </c>
      <c r="J914" s="5">
        <v>27.6572</v>
      </c>
      <c r="K914" s="5">
        <v>22.668599999999998</v>
      </c>
      <c r="L914" s="5">
        <v>59.0672</v>
      </c>
      <c r="M914" s="5">
        <v>0</v>
      </c>
      <c r="N914" s="5">
        <v>300</v>
      </c>
      <c r="O914" s="5" t="str">
        <f t="shared" ca="1" si="14"/>
        <v>Supplier 155</v>
      </c>
      <c r="P914" s="20" t="str">
        <f ca="1">IFERROR(VLOOKUP(O914,EMAILS!B:C,2,FALSE),"NOT FOUND IN EMAILS")</f>
        <v>supplier@gmail.com</v>
      </c>
      <c r="Q914" t="str">
        <f ca="1">""&amp;IFERROR(VLOOKUP(O914,EMAILS!B:D,3,FALSE),"NOT FOUND IN EMAILS")</f>
        <v/>
      </c>
      <c r="R914" t="str">
        <f ca="1">""&amp;IFERROR(VLOOKUP(O914,EMAILS!B:E,4,FALSE),"NO T FOUND IN EMAILS")</f>
        <v/>
      </c>
    </row>
    <row r="915" spans="2:18" x14ac:dyDescent="0.25">
      <c r="B915" s="5" t="s">
        <v>917</v>
      </c>
      <c r="C915" s="5" t="s">
        <v>5057</v>
      </c>
      <c r="D915" s="5">
        <v>0</v>
      </c>
      <c r="E915" s="5">
        <v>0</v>
      </c>
      <c r="F915" s="5">
        <v>32</v>
      </c>
      <c r="G915" s="5">
        <v>0</v>
      </c>
      <c r="H915" s="5">
        <v>32</v>
      </c>
      <c r="I915" s="5">
        <v>0</v>
      </c>
      <c r="J915" s="5">
        <v>0</v>
      </c>
      <c r="K915" s="5">
        <v>32</v>
      </c>
      <c r="L915" s="5">
        <v>0</v>
      </c>
      <c r="M915" s="5">
        <v>0</v>
      </c>
      <c r="N915" s="5">
        <v>31.79</v>
      </c>
      <c r="O915" s="5" t="str">
        <f t="shared" ca="1" si="14"/>
        <v>Supplier 196</v>
      </c>
      <c r="P915" s="20" t="str">
        <f ca="1">IFERROR(VLOOKUP(O915,EMAILS!B:C,2,FALSE),"NOT FOUND IN EMAILS")</f>
        <v>supplier@gmail.com</v>
      </c>
      <c r="Q915" t="str">
        <f ca="1">""&amp;IFERROR(VLOOKUP(O915,EMAILS!B:D,3,FALSE),"NOT FOUND IN EMAILS")</f>
        <v/>
      </c>
      <c r="R915" t="str">
        <f ca="1">""&amp;IFERROR(VLOOKUP(O915,EMAILS!B:E,4,FALSE),"NO T FOUND IN EMAILS")</f>
        <v/>
      </c>
    </row>
    <row r="916" spans="2:18" x14ac:dyDescent="0.25">
      <c r="B916" s="5" t="s">
        <v>918</v>
      </c>
      <c r="C916" s="5" t="s">
        <v>5058</v>
      </c>
      <c r="D916" s="5">
        <v>7.4289999999999994</v>
      </c>
      <c r="E916" s="5">
        <v>3.698</v>
      </c>
      <c r="F916" s="5">
        <v>54.329500000000003</v>
      </c>
      <c r="G916" s="5">
        <v>10.998000000000001</v>
      </c>
      <c r="H916" s="5">
        <v>59.84</v>
      </c>
      <c r="I916" s="5">
        <v>35.999000000000002</v>
      </c>
      <c r="J916" s="5">
        <v>41.999000000000002</v>
      </c>
      <c r="K916" s="5">
        <v>4.9989999999999997</v>
      </c>
      <c r="L916" s="5">
        <v>19.497999999999998</v>
      </c>
      <c r="M916" s="5">
        <v>0</v>
      </c>
      <c r="N916" s="5">
        <v>0</v>
      </c>
      <c r="O916" s="5" t="str">
        <f t="shared" ca="1" si="14"/>
        <v>Supplier 88</v>
      </c>
      <c r="P916" s="20" t="str">
        <f ca="1">IFERROR(VLOOKUP(O916,EMAILS!B:C,2,FALSE),"NOT FOUND IN EMAILS")</f>
        <v>supplier@gmail.com</v>
      </c>
      <c r="Q916" t="str">
        <f ca="1">""&amp;IFERROR(VLOOKUP(O916,EMAILS!B:D,3,FALSE),"NOT FOUND IN EMAILS")</f>
        <v/>
      </c>
      <c r="R916" t="str">
        <f ca="1">""&amp;IFERROR(VLOOKUP(O916,EMAILS!B:E,4,FALSE),"NO T FOUND IN EMAILS")</f>
        <v/>
      </c>
    </row>
    <row r="917" spans="2:18" x14ac:dyDescent="0.25">
      <c r="B917" s="5" t="s">
        <v>919</v>
      </c>
      <c r="C917" s="5" t="s">
        <v>5059</v>
      </c>
      <c r="D917" s="5">
        <v>0</v>
      </c>
      <c r="E917" s="5">
        <v>0</v>
      </c>
      <c r="F917" s="5">
        <v>0</v>
      </c>
      <c r="G917" s="5">
        <v>0</v>
      </c>
      <c r="H917" s="5">
        <v>0</v>
      </c>
      <c r="I917" s="5">
        <v>0</v>
      </c>
      <c r="J917" s="5">
        <v>0</v>
      </c>
      <c r="K917" s="5">
        <v>0</v>
      </c>
      <c r="L917" s="5">
        <v>0</v>
      </c>
      <c r="M917" s="5">
        <v>0</v>
      </c>
      <c r="N917" s="5">
        <v>37</v>
      </c>
      <c r="O917" s="5" t="str">
        <f t="shared" ca="1" si="14"/>
        <v>Supplier 96</v>
      </c>
      <c r="P917" s="20" t="str">
        <f ca="1">IFERROR(VLOOKUP(O917,EMAILS!B:C,2,FALSE),"NOT FOUND IN EMAILS")</f>
        <v>supplier@gmail.com</v>
      </c>
      <c r="Q917" t="str">
        <f ca="1">""&amp;IFERROR(VLOOKUP(O917,EMAILS!B:D,3,FALSE),"NOT FOUND IN EMAILS")</f>
        <v/>
      </c>
      <c r="R917" t="str">
        <f ca="1">""&amp;IFERROR(VLOOKUP(O917,EMAILS!B:E,4,FALSE),"NO T FOUND IN EMAILS")</f>
        <v/>
      </c>
    </row>
    <row r="918" spans="2:18" x14ac:dyDescent="0.25">
      <c r="B918" s="5" t="s">
        <v>920</v>
      </c>
      <c r="C918" s="5" t="s">
        <v>5060</v>
      </c>
      <c r="D918" s="5">
        <v>44.36</v>
      </c>
      <c r="E918" s="5">
        <v>31.103900000000003</v>
      </c>
      <c r="F918" s="5">
        <v>39.133000000000003</v>
      </c>
      <c r="G918" s="5">
        <v>47.02</v>
      </c>
      <c r="H918" s="5">
        <v>43.225899999999996</v>
      </c>
      <c r="I918" s="5">
        <v>35.847800000000007</v>
      </c>
      <c r="J918" s="5">
        <v>18.633999999999997</v>
      </c>
      <c r="K918" s="5">
        <v>33.869</v>
      </c>
      <c r="L918" s="5">
        <v>17.795999999999999</v>
      </c>
      <c r="M918" s="5">
        <v>0</v>
      </c>
      <c r="N918" s="5">
        <v>440</v>
      </c>
      <c r="O918" s="5" t="str">
        <f t="shared" ca="1" si="14"/>
        <v>Supplier 23</v>
      </c>
      <c r="P918" s="20" t="str">
        <f ca="1">IFERROR(VLOOKUP(O918,EMAILS!B:C,2,FALSE),"NOT FOUND IN EMAILS")</f>
        <v>supplier@gmail.com</v>
      </c>
      <c r="Q918" t="str">
        <f ca="1">""&amp;IFERROR(VLOOKUP(O918,EMAILS!B:D,3,FALSE),"NOT FOUND IN EMAILS")</f>
        <v/>
      </c>
      <c r="R918" t="str">
        <f ca="1">""&amp;IFERROR(VLOOKUP(O918,EMAILS!B:E,4,FALSE),"NO T FOUND IN EMAILS")</f>
        <v/>
      </c>
    </row>
    <row r="919" spans="2:18" x14ac:dyDescent="0.25">
      <c r="B919" s="5" t="s">
        <v>921</v>
      </c>
      <c r="C919" s="5" t="s">
        <v>5061</v>
      </c>
      <c r="D919" s="5">
        <v>0</v>
      </c>
      <c r="E919" s="5">
        <v>1</v>
      </c>
      <c r="F919" s="5">
        <v>0</v>
      </c>
      <c r="G919" s="5">
        <v>0</v>
      </c>
      <c r="H919" s="5">
        <v>0</v>
      </c>
      <c r="I919" s="5">
        <v>0</v>
      </c>
      <c r="J919" s="5">
        <v>0</v>
      </c>
      <c r="K919" s="5">
        <v>0</v>
      </c>
      <c r="L919" s="5">
        <v>0</v>
      </c>
      <c r="M919" s="5">
        <v>0</v>
      </c>
      <c r="N919" s="5">
        <v>220</v>
      </c>
      <c r="O919" s="5" t="str">
        <f t="shared" ca="1" si="14"/>
        <v>Supplier 180</v>
      </c>
      <c r="P919" s="20" t="str">
        <f ca="1">IFERROR(VLOOKUP(O919,EMAILS!B:C,2,FALSE),"NOT FOUND IN EMAILS")</f>
        <v>supplier@gmail.com</v>
      </c>
      <c r="Q919" t="str">
        <f ca="1">""&amp;IFERROR(VLOOKUP(O919,EMAILS!B:D,3,FALSE),"NOT FOUND IN EMAILS")</f>
        <v/>
      </c>
      <c r="R919" t="str">
        <f ca="1">""&amp;IFERROR(VLOOKUP(O919,EMAILS!B:E,4,FALSE),"NO T FOUND IN EMAILS")</f>
        <v/>
      </c>
    </row>
    <row r="920" spans="2:18" x14ac:dyDescent="0.25">
      <c r="B920" s="5" t="s">
        <v>922</v>
      </c>
      <c r="C920" s="5" t="s">
        <v>5062</v>
      </c>
      <c r="D920" s="5">
        <v>0</v>
      </c>
      <c r="E920" s="5">
        <v>0</v>
      </c>
      <c r="F920" s="5">
        <v>0</v>
      </c>
      <c r="G920" s="5">
        <v>0</v>
      </c>
      <c r="H920" s="5">
        <v>0</v>
      </c>
      <c r="I920" s="5">
        <v>0</v>
      </c>
      <c r="J920" s="5">
        <v>0</v>
      </c>
      <c r="K920" s="5">
        <v>0</v>
      </c>
      <c r="L920" s="5">
        <v>0</v>
      </c>
      <c r="M920" s="5">
        <v>0</v>
      </c>
      <c r="N920" s="5">
        <v>20</v>
      </c>
      <c r="O920" s="5" t="str">
        <f t="shared" ca="1" si="14"/>
        <v>Supplier 195</v>
      </c>
      <c r="P920" s="20" t="str">
        <f ca="1">IFERROR(VLOOKUP(O920,EMAILS!B:C,2,FALSE),"NOT FOUND IN EMAILS")</f>
        <v>supplier@gmail.com</v>
      </c>
      <c r="Q920" t="str">
        <f ca="1">""&amp;IFERROR(VLOOKUP(O920,EMAILS!B:D,3,FALSE),"NOT FOUND IN EMAILS")</f>
        <v/>
      </c>
      <c r="R920" t="str">
        <f ca="1">""&amp;IFERROR(VLOOKUP(O920,EMAILS!B:E,4,FALSE),"NO T FOUND IN EMAILS")</f>
        <v/>
      </c>
    </row>
    <row r="921" spans="2:18" x14ac:dyDescent="0.25">
      <c r="B921" s="5" t="s">
        <v>923</v>
      </c>
      <c r="C921" s="5" t="s">
        <v>5063</v>
      </c>
      <c r="D921" s="5">
        <v>28.014800000000001</v>
      </c>
      <c r="E921" s="5">
        <v>18.007919999999999</v>
      </c>
      <c r="F921" s="5">
        <v>27.813359999999999</v>
      </c>
      <c r="G921" s="5">
        <v>25.014239999999997</v>
      </c>
      <c r="H921" s="5">
        <v>24.01304</v>
      </c>
      <c r="I921" s="5">
        <v>26.877280000000003</v>
      </c>
      <c r="J921" s="5">
        <v>20.04092</v>
      </c>
      <c r="K921" s="5">
        <v>25.50572</v>
      </c>
      <c r="L921" s="5">
        <v>21.496839999999999</v>
      </c>
      <c r="M921" s="5">
        <v>0</v>
      </c>
      <c r="N921" s="5">
        <v>302</v>
      </c>
      <c r="O921" s="5" t="str">
        <f t="shared" ca="1" si="14"/>
        <v>Supplier 71</v>
      </c>
      <c r="P921" s="20" t="str">
        <f ca="1">IFERROR(VLOOKUP(O921,EMAILS!B:C,2,FALSE),"NOT FOUND IN EMAILS")</f>
        <v>supplier@gmail.com</v>
      </c>
      <c r="Q921" t="str">
        <f ca="1">""&amp;IFERROR(VLOOKUP(O921,EMAILS!B:D,3,FALSE),"NOT FOUND IN EMAILS")</f>
        <v/>
      </c>
      <c r="R921" t="str">
        <f ca="1">""&amp;IFERROR(VLOOKUP(O921,EMAILS!B:E,4,FALSE),"NO T FOUND IN EMAILS")</f>
        <v/>
      </c>
    </row>
    <row r="922" spans="2:18" x14ac:dyDescent="0.25">
      <c r="B922" s="5" t="s">
        <v>924</v>
      </c>
      <c r="C922" s="5" t="s">
        <v>5064</v>
      </c>
      <c r="D922" s="5">
        <v>0</v>
      </c>
      <c r="E922" s="5">
        <v>0</v>
      </c>
      <c r="F922" s="5">
        <v>0</v>
      </c>
      <c r="G922" s="5">
        <v>0</v>
      </c>
      <c r="H922" s="5">
        <v>0</v>
      </c>
      <c r="I922" s="5">
        <v>0</v>
      </c>
      <c r="J922" s="5">
        <v>0</v>
      </c>
      <c r="K922" s="5">
        <v>0</v>
      </c>
      <c r="L922" s="5">
        <v>0</v>
      </c>
      <c r="M922" s="5">
        <v>0</v>
      </c>
      <c r="N922" s="5">
        <v>0</v>
      </c>
      <c r="O922" s="5" t="str">
        <f t="shared" ca="1" si="14"/>
        <v>Supplier 97</v>
      </c>
      <c r="P922" s="20" t="str">
        <f ca="1">IFERROR(VLOOKUP(O922,EMAILS!B:C,2,FALSE),"NOT FOUND IN EMAILS")</f>
        <v>supplier@gmail.com</v>
      </c>
      <c r="Q922" t="str">
        <f ca="1">""&amp;IFERROR(VLOOKUP(O922,EMAILS!B:D,3,FALSE),"NOT FOUND IN EMAILS")</f>
        <v/>
      </c>
      <c r="R922" t="str">
        <f ca="1">""&amp;IFERROR(VLOOKUP(O922,EMAILS!B:E,4,FALSE),"NO T FOUND IN EMAILS")</f>
        <v/>
      </c>
    </row>
    <row r="923" spans="2:18" x14ac:dyDescent="0.25">
      <c r="B923" s="5" t="s">
        <v>925</v>
      </c>
      <c r="C923" s="5" t="s">
        <v>5065</v>
      </c>
      <c r="D923" s="5">
        <v>5</v>
      </c>
      <c r="E923" s="5">
        <v>1</v>
      </c>
      <c r="F923" s="5">
        <v>1</v>
      </c>
      <c r="G923" s="5">
        <v>0</v>
      </c>
      <c r="H923" s="5">
        <v>2</v>
      </c>
      <c r="I923" s="5">
        <v>1</v>
      </c>
      <c r="J923" s="5">
        <v>3</v>
      </c>
      <c r="K923" s="5">
        <v>0</v>
      </c>
      <c r="L923" s="5">
        <v>0</v>
      </c>
      <c r="M923" s="5">
        <v>0</v>
      </c>
      <c r="N923" s="5">
        <v>217.75</v>
      </c>
      <c r="O923" s="5" t="str">
        <f t="shared" ca="1" si="14"/>
        <v>Supplier 71</v>
      </c>
      <c r="P923" s="20" t="str">
        <f ca="1">IFERROR(VLOOKUP(O923,EMAILS!B:C,2,FALSE),"NOT FOUND IN EMAILS")</f>
        <v>supplier@gmail.com</v>
      </c>
      <c r="Q923" t="str">
        <f ca="1">""&amp;IFERROR(VLOOKUP(O923,EMAILS!B:D,3,FALSE),"NOT FOUND IN EMAILS")</f>
        <v/>
      </c>
      <c r="R923" t="str">
        <f ca="1">""&amp;IFERROR(VLOOKUP(O923,EMAILS!B:E,4,FALSE),"NO T FOUND IN EMAILS")</f>
        <v/>
      </c>
    </row>
    <row r="924" spans="2:18" x14ac:dyDescent="0.25">
      <c r="B924" s="5" t="s">
        <v>926</v>
      </c>
      <c r="C924" s="5" t="s">
        <v>5066</v>
      </c>
      <c r="D924" s="5">
        <v>0</v>
      </c>
      <c r="E924" s="5">
        <v>0</v>
      </c>
      <c r="F924" s="5">
        <v>0</v>
      </c>
      <c r="G924" s="5">
        <v>0</v>
      </c>
      <c r="H924" s="5">
        <v>0</v>
      </c>
      <c r="I924" s="5">
        <v>8</v>
      </c>
      <c r="J924" s="5">
        <v>4</v>
      </c>
      <c r="K924" s="5">
        <v>0</v>
      </c>
      <c r="L924" s="5">
        <v>0</v>
      </c>
      <c r="M924" s="5">
        <v>0</v>
      </c>
      <c r="N924" s="5">
        <v>453.5</v>
      </c>
      <c r="O924" s="5" t="str">
        <f t="shared" ca="1" si="14"/>
        <v>Supplier 194</v>
      </c>
      <c r="P924" s="20" t="str">
        <f ca="1">IFERROR(VLOOKUP(O924,EMAILS!B:C,2,FALSE),"NOT FOUND IN EMAILS")</f>
        <v>supplier@gmail.com</v>
      </c>
      <c r="Q924" t="str">
        <f ca="1">""&amp;IFERROR(VLOOKUP(O924,EMAILS!B:D,3,FALSE),"NOT FOUND IN EMAILS")</f>
        <v/>
      </c>
      <c r="R924" t="str">
        <f ca="1">""&amp;IFERROR(VLOOKUP(O924,EMAILS!B:E,4,FALSE),"NO T FOUND IN EMAILS")</f>
        <v/>
      </c>
    </row>
    <row r="925" spans="2:18" x14ac:dyDescent="0.25">
      <c r="B925" s="5" t="s">
        <v>927</v>
      </c>
      <c r="C925" s="5" t="s">
        <v>5067</v>
      </c>
      <c r="D925" s="5">
        <v>0</v>
      </c>
      <c r="E925" s="5">
        <v>0</v>
      </c>
      <c r="F925" s="5">
        <v>0</v>
      </c>
      <c r="G925" s="5">
        <v>0</v>
      </c>
      <c r="H925" s="5">
        <v>0</v>
      </c>
      <c r="I925" s="5">
        <v>0</v>
      </c>
      <c r="J925" s="5">
        <v>0</v>
      </c>
      <c r="K925" s="5">
        <v>0</v>
      </c>
      <c r="L925" s="5">
        <v>0</v>
      </c>
      <c r="M925" s="5">
        <v>0</v>
      </c>
      <c r="N925" s="5">
        <v>11</v>
      </c>
      <c r="O925" s="5" t="str">
        <f t="shared" ca="1" si="14"/>
        <v>Supplier 125</v>
      </c>
      <c r="P925" s="20" t="str">
        <f ca="1">IFERROR(VLOOKUP(O925,EMAILS!B:C,2,FALSE),"NOT FOUND IN EMAILS")</f>
        <v>supplier@gmail.com</v>
      </c>
      <c r="Q925" t="str">
        <f ca="1">""&amp;IFERROR(VLOOKUP(O925,EMAILS!B:D,3,FALSE),"NOT FOUND IN EMAILS")</f>
        <v/>
      </c>
      <c r="R925" t="str">
        <f ca="1">""&amp;IFERROR(VLOOKUP(O925,EMAILS!B:E,4,FALSE),"NO T FOUND IN EMAILS")</f>
        <v/>
      </c>
    </row>
    <row r="926" spans="2:18" x14ac:dyDescent="0.25">
      <c r="B926" s="5" t="s">
        <v>928</v>
      </c>
      <c r="C926" s="5" t="s">
        <v>5068</v>
      </c>
      <c r="D926" s="5">
        <v>2.988</v>
      </c>
      <c r="E926" s="5">
        <v>1.992</v>
      </c>
      <c r="F926" s="5">
        <v>4.9847999999999999</v>
      </c>
      <c r="G926" s="5">
        <v>4.9872000000000005</v>
      </c>
      <c r="H926" s="5">
        <v>5.7911999999999999</v>
      </c>
      <c r="I926" s="5">
        <v>3.3420000000000001</v>
      </c>
      <c r="J926" s="5">
        <v>0</v>
      </c>
      <c r="K926" s="5">
        <v>0</v>
      </c>
      <c r="L926" s="5">
        <v>0</v>
      </c>
      <c r="M926" s="5">
        <v>0</v>
      </c>
      <c r="N926" s="5">
        <v>0</v>
      </c>
      <c r="O926" s="5" t="str">
        <f t="shared" ca="1" si="14"/>
        <v>Supplier 108</v>
      </c>
      <c r="P926" s="20" t="str">
        <f ca="1">IFERROR(VLOOKUP(O926,EMAILS!B:C,2,FALSE),"NOT FOUND IN EMAILS")</f>
        <v>supplier@gmail.com</v>
      </c>
      <c r="Q926" t="str">
        <f ca="1">""&amp;IFERROR(VLOOKUP(O926,EMAILS!B:D,3,FALSE),"NOT FOUND IN EMAILS")</f>
        <v/>
      </c>
      <c r="R926" t="str">
        <f ca="1">""&amp;IFERROR(VLOOKUP(O926,EMAILS!B:E,4,FALSE),"NO T FOUND IN EMAILS")</f>
        <v/>
      </c>
    </row>
    <row r="927" spans="2:18" x14ac:dyDescent="0.25">
      <c r="B927" s="5" t="s">
        <v>929</v>
      </c>
      <c r="C927" s="5" t="s">
        <v>5069</v>
      </c>
      <c r="D927" s="5">
        <v>0</v>
      </c>
      <c r="E927" s="5">
        <v>0</v>
      </c>
      <c r="F927" s="5">
        <v>0</v>
      </c>
      <c r="G927" s="5">
        <v>0</v>
      </c>
      <c r="H927" s="5">
        <v>0</v>
      </c>
      <c r="I927" s="5">
        <v>0</v>
      </c>
      <c r="J927" s="5">
        <v>0</v>
      </c>
      <c r="K927" s="5">
        <v>0</v>
      </c>
      <c r="L927" s="5">
        <v>0</v>
      </c>
      <c r="M927" s="5">
        <v>0</v>
      </c>
      <c r="N927" s="5">
        <v>162</v>
      </c>
      <c r="O927" s="5" t="str">
        <f t="shared" ca="1" si="14"/>
        <v>Supplier 160</v>
      </c>
      <c r="P927" s="20" t="str">
        <f ca="1">IFERROR(VLOOKUP(O927,EMAILS!B:C,2,FALSE),"NOT FOUND IN EMAILS")</f>
        <v>supplier@gmail.com</v>
      </c>
      <c r="Q927" t="str">
        <f ca="1">""&amp;IFERROR(VLOOKUP(O927,EMAILS!B:D,3,FALSE),"NOT FOUND IN EMAILS")</f>
        <v/>
      </c>
      <c r="R927" t="str">
        <f ca="1">""&amp;IFERROR(VLOOKUP(O927,EMAILS!B:E,4,FALSE),"NO T FOUND IN EMAILS")</f>
        <v/>
      </c>
    </row>
    <row r="928" spans="2:18" x14ac:dyDescent="0.25">
      <c r="B928" s="5" t="s">
        <v>930</v>
      </c>
      <c r="C928" s="5" t="s">
        <v>5070</v>
      </c>
      <c r="D928" s="5">
        <v>50</v>
      </c>
      <c r="E928" s="5">
        <v>65</v>
      </c>
      <c r="F928" s="5">
        <v>50</v>
      </c>
      <c r="G928" s="5">
        <v>50</v>
      </c>
      <c r="H928" s="5">
        <v>50</v>
      </c>
      <c r="I928" s="5">
        <v>50</v>
      </c>
      <c r="J928" s="5">
        <v>60</v>
      </c>
      <c r="K928" s="5">
        <v>50</v>
      </c>
      <c r="L928" s="5">
        <v>50</v>
      </c>
      <c r="M928" s="5">
        <v>0</v>
      </c>
      <c r="N928" s="5">
        <v>152</v>
      </c>
      <c r="O928" s="5" t="str">
        <f t="shared" ca="1" si="14"/>
        <v>Supplier 49</v>
      </c>
      <c r="P928" s="20" t="str">
        <f ca="1">IFERROR(VLOOKUP(O928,EMAILS!B:C,2,FALSE),"NOT FOUND IN EMAILS")</f>
        <v>supplier@gmail.com</v>
      </c>
      <c r="Q928" t="str">
        <f ca="1">""&amp;IFERROR(VLOOKUP(O928,EMAILS!B:D,3,FALSE),"NOT FOUND IN EMAILS")</f>
        <v/>
      </c>
      <c r="R928" t="str">
        <f ca="1">""&amp;IFERROR(VLOOKUP(O928,EMAILS!B:E,4,FALSE),"NO T FOUND IN EMAILS")</f>
        <v/>
      </c>
    </row>
    <row r="929" spans="2:18" x14ac:dyDescent="0.25">
      <c r="B929" s="5" t="s">
        <v>931</v>
      </c>
      <c r="C929" s="5" t="s">
        <v>5071</v>
      </c>
      <c r="D929" s="5">
        <v>0</v>
      </c>
      <c r="E929" s="5">
        <v>0</v>
      </c>
      <c r="F929" s="5">
        <v>0</v>
      </c>
      <c r="G929" s="5">
        <v>0</v>
      </c>
      <c r="H929" s="5">
        <v>0</v>
      </c>
      <c r="I929" s="5">
        <v>0</v>
      </c>
      <c r="J929" s="5">
        <v>0</v>
      </c>
      <c r="K929" s="5">
        <v>0</v>
      </c>
      <c r="L929" s="5">
        <v>0</v>
      </c>
      <c r="M929" s="5">
        <v>0</v>
      </c>
      <c r="N929" s="5">
        <v>121</v>
      </c>
      <c r="O929" s="5" t="str">
        <f t="shared" ca="1" si="14"/>
        <v>Supplier 81</v>
      </c>
      <c r="P929" s="20" t="str">
        <f ca="1">IFERROR(VLOOKUP(O929,EMAILS!B:C,2,FALSE),"NOT FOUND IN EMAILS")</f>
        <v>supplier@gmail.com</v>
      </c>
      <c r="Q929" t="str">
        <f ca="1">""&amp;IFERROR(VLOOKUP(O929,EMAILS!B:D,3,FALSE),"NOT FOUND IN EMAILS")</f>
        <v/>
      </c>
      <c r="R929" t="str">
        <f ca="1">""&amp;IFERROR(VLOOKUP(O929,EMAILS!B:E,4,FALSE),"NO T FOUND IN EMAILS")</f>
        <v/>
      </c>
    </row>
    <row r="930" spans="2:18" x14ac:dyDescent="0.25">
      <c r="B930" s="5" t="s">
        <v>932</v>
      </c>
      <c r="C930" s="5" t="s">
        <v>5072</v>
      </c>
      <c r="D930" s="5">
        <v>17</v>
      </c>
      <c r="E930" s="5">
        <v>11</v>
      </c>
      <c r="F930" s="5">
        <v>5</v>
      </c>
      <c r="G930" s="5">
        <v>16</v>
      </c>
      <c r="H930" s="5">
        <v>14</v>
      </c>
      <c r="I930" s="5">
        <v>12</v>
      </c>
      <c r="J930" s="5">
        <v>10</v>
      </c>
      <c r="K930" s="5">
        <v>9</v>
      </c>
      <c r="L930" s="5">
        <v>10</v>
      </c>
      <c r="M930" s="5">
        <v>0</v>
      </c>
      <c r="N930" s="5">
        <v>19</v>
      </c>
      <c r="O930" s="5" t="str">
        <f t="shared" ca="1" si="14"/>
        <v>Supplier 157</v>
      </c>
      <c r="P930" s="20" t="str">
        <f ca="1">IFERROR(VLOOKUP(O930,EMAILS!B:C,2,FALSE),"NOT FOUND IN EMAILS")</f>
        <v>supplier@gmail.com</v>
      </c>
      <c r="Q930" t="str">
        <f ca="1">""&amp;IFERROR(VLOOKUP(O930,EMAILS!B:D,3,FALSE),"NOT FOUND IN EMAILS")</f>
        <v/>
      </c>
      <c r="R930" t="str">
        <f ca="1">""&amp;IFERROR(VLOOKUP(O930,EMAILS!B:E,4,FALSE),"NO T FOUND IN EMAILS")</f>
        <v/>
      </c>
    </row>
    <row r="931" spans="2:18" x14ac:dyDescent="0.25">
      <c r="B931" s="5" t="s">
        <v>933</v>
      </c>
      <c r="C931" s="5" t="s">
        <v>5073</v>
      </c>
      <c r="D931" s="5">
        <v>0</v>
      </c>
      <c r="E931" s="5">
        <v>8</v>
      </c>
      <c r="F931" s="5">
        <v>2</v>
      </c>
      <c r="G931" s="5">
        <v>11</v>
      </c>
      <c r="H931" s="5">
        <v>1</v>
      </c>
      <c r="I931" s="5">
        <v>3</v>
      </c>
      <c r="J931" s="5">
        <v>3</v>
      </c>
      <c r="K931" s="5">
        <v>0</v>
      </c>
      <c r="L931" s="5">
        <v>3</v>
      </c>
      <c r="M931" s="5">
        <v>0</v>
      </c>
      <c r="N931" s="5">
        <v>159</v>
      </c>
      <c r="O931" s="5" t="str">
        <f t="shared" ca="1" si="14"/>
        <v>Supplier 129</v>
      </c>
      <c r="P931" s="20" t="str">
        <f ca="1">IFERROR(VLOOKUP(O931,EMAILS!B:C,2,FALSE),"NOT FOUND IN EMAILS")</f>
        <v>supplier@gmail.com</v>
      </c>
      <c r="Q931" t="str">
        <f ca="1">""&amp;IFERROR(VLOOKUP(O931,EMAILS!B:D,3,FALSE),"NOT FOUND IN EMAILS")</f>
        <v/>
      </c>
      <c r="R931" t="str">
        <f ca="1">""&amp;IFERROR(VLOOKUP(O931,EMAILS!B:E,4,FALSE),"NO T FOUND IN EMAILS")</f>
        <v/>
      </c>
    </row>
    <row r="932" spans="2:18" x14ac:dyDescent="0.25">
      <c r="B932" s="5" t="s">
        <v>934</v>
      </c>
      <c r="C932" s="5" t="s">
        <v>5074</v>
      </c>
      <c r="D932" s="5">
        <v>2</v>
      </c>
      <c r="E932" s="5">
        <v>3</v>
      </c>
      <c r="F932" s="5">
        <v>87</v>
      </c>
      <c r="G932" s="5">
        <v>8</v>
      </c>
      <c r="H932" s="5">
        <v>11.9</v>
      </c>
      <c r="I932" s="5">
        <v>12</v>
      </c>
      <c r="J932" s="5">
        <v>5.88</v>
      </c>
      <c r="K932" s="5">
        <v>4</v>
      </c>
      <c r="L932" s="5">
        <v>2</v>
      </c>
      <c r="M932" s="5">
        <v>0</v>
      </c>
      <c r="N932" s="5">
        <v>56</v>
      </c>
      <c r="O932" s="5" t="str">
        <f t="shared" ca="1" si="14"/>
        <v>Supplier 86</v>
      </c>
      <c r="P932" s="20" t="str">
        <f ca="1">IFERROR(VLOOKUP(O932,EMAILS!B:C,2,FALSE),"NOT FOUND IN EMAILS")</f>
        <v>supplier@gmail.com</v>
      </c>
      <c r="Q932" t="str">
        <f ca="1">""&amp;IFERROR(VLOOKUP(O932,EMAILS!B:D,3,FALSE),"NOT FOUND IN EMAILS")</f>
        <v/>
      </c>
      <c r="R932" t="str">
        <f ca="1">""&amp;IFERROR(VLOOKUP(O932,EMAILS!B:E,4,FALSE),"NO T FOUND IN EMAILS")</f>
        <v/>
      </c>
    </row>
    <row r="933" spans="2:18" x14ac:dyDescent="0.25">
      <c r="B933" s="5" t="s">
        <v>935</v>
      </c>
      <c r="C933" s="5" t="s">
        <v>5075</v>
      </c>
      <c r="D933" s="5">
        <v>10</v>
      </c>
      <c r="E933" s="5">
        <v>0</v>
      </c>
      <c r="F933" s="5">
        <v>0</v>
      </c>
      <c r="G933" s="5">
        <v>10</v>
      </c>
      <c r="H933" s="5">
        <v>10</v>
      </c>
      <c r="I933" s="5">
        <v>0</v>
      </c>
      <c r="J933" s="5">
        <v>0</v>
      </c>
      <c r="K933" s="5">
        <v>0</v>
      </c>
      <c r="L933" s="5">
        <v>0</v>
      </c>
      <c r="M933" s="5">
        <v>0</v>
      </c>
      <c r="N933" s="5">
        <v>450</v>
      </c>
      <c r="O933" s="5" t="str">
        <f t="shared" ca="1" si="14"/>
        <v>Supplier 88</v>
      </c>
      <c r="P933" s="20" t="str">
        <f ca="1">IFERROR(VLOOKUP(O933,EMAILS!B:C,2,FALSE),"NOT FOUND IN EMAILS")</f>
        <v>supplier@gmail.com</v>
      </c>
      <c r="Q933" t="str">
        <f ca="1">""&amp;IFERROR(VLOOKUP(O933,EMAILS!B:D,3,FALSE),"NOT FOUND IN EMAILS")</f>
        <v/>
      </c>
      <c r="R933" t="str">
        <f ca="1">""&amp;IFERROR(VLOOKUP(O933,EMAILS!B:E,4,FALSE),"NO T FOUND IN EMAILS")</f>
        <v/>
      </c>
    </row>
    <row r="934" spans="2:18" x14ac:dyDescent="0.25">
      <c r="B934" s="5" t="s">
        <v>936</v>
      </c>
      <c r="C934" s="5" t="s">
        <v>5076</v>
      </c>
      <c r="D934" s="5">
        <v>88</v>
      </c>
      <c r="E934" s="5">
        <v>30</v>
      </c>
      <c r="F934" s="5">
        <v>30</v>
      </c>
      <c r="G934" s="5">
        <v>0</v>
      </c>
      <c r="H934" s="5">
        <v>118</v>
      </c>
      <c r="I934" s="5">
        <v>224</v>
      </c>
      <c r="J934" s="5">
        <v>0</v>
      </c>
      <c r="K934" s="5">
        <v>0</v>
      </c>
      <c r="L934" s="5">
        <v>0</v>
      </c>
      <c r="M934" s="5">
        <v>0</v>
      </c>
      <c r="N934" s="5">
        <v>2136</v>
      </c>
      <c r="O934" s="5" t="str">
        <f t="shared" ca="1" si="14"/>
        <v>Supplier 61</v>
      </c>
      <c r="P934" s="20" t="str">
        <f ca="1">IFERROR(VLOOKUP(O934,EMAILS!B:C,2,FALSE),"NOT FOUND IN EMAILS")</f>
        <v>supplier@gmail.com</v>
      </c>
      <c r="Q934" t="str">
        <f ca="1">""&amp;IFERROR(VLOOKUP(O934,EMAILS!B:D,3,FALSE),"NOT FOUND IN EMAILS")</f>
        <v/>
      </c>
      <c r="R934" t="str">
        <f ca="1">""&amp;IFERROR(VLOOKUP(O934,EMAILS!B:E,4,FALSE),"NO T FOUND IN EMAILS")</f>
        <v/>
      </c>
    </row>
    <row r="935" spans="2:18" x14ac:dyDescent="0.25">
      <c r="B935" s="5" t="s">
        <v>937</v>
      </c>
      <c r="C935" s="5" t="s">
        <v>5077</v>
      </c>
      <c r="D935" s="5">
        <v>0</v>
      </c>
      <c r="E935" s="5">
        <v>0</v>
      </c>
      <c r="F935" s="5">
        <v>0</v>
      </c>
      <c r="G935" s="5">
        <v>0</v>
      </c>
      <c r="H935" s="5">
        <v>0</v>
      </c>
      <c r="I935" s="5">
        <v>0</v>
      </c>
      <c r="J935" s="5">
        <v>0</v>
      </c>
      <c r="K935" s="5">
        <v>0</v>
      </c>
      <c r="L935" s="5">
        <v>0</v>
      </c>
      <c r="M935" s="5">
        <v>0</v>
      </c>
      <c r="N935" s="5">
        <v>590</v>
      </c>
      <c r="O935" s="5" t="str">
        <f t="shared" ca="1" si="14"/>
        <v>Supplier 135</v>
      </c>
      <c r="P935" s="20" t="str">
        <f ca="1">IFERROR(VLOOKUP(O935,EMAILS!B:C,2,FALSE),"NOT FOUND IN EMAILS")</f>
        <v>supplier@gmail.com</v>
      </c>
      <c r="Q935" t="str">
        <f ca="1">""&amp;IFERROR(VLOOKUP(O935,EMAILS!B:D,3,FALSE),"NOT FOUND IN EMAILS")</f>
        <v/>
      </c>
      <c r="R935" t="str">
        <f ca="1">""&amp;IFERROR(VLOOKUP(O935,EMAILS!B:E,4,FALSE),"NO T FOUND IN EMAILS")</f>
        <v/>
      </c>
    </row>
    <row r="936" spans="2:18" x14ac:dyDescent="0.25">
      <c r="B936" s="5" t="s">
        <v>938</v>
      </c>
      <c r="C936" s="5" t="s">
        <v>5078</v>
      </c>
      <c r="D936" s="5">
        <v>0</v>
      </c>
      <c r="E936" s="5">
        <v>0</v>
      </c>
      <c r="F936" s="5">
        <v>0</v>
      </c>
      <c r="G936" s="5">
        <v>0</v>
      </c>
      <c r="H936" s="5">
        <v>0</v>
      </c>
      <c r="I936" s="5">
        <v>0</v>
      </c>
      <c r="J936" s="5">
        <v>0</v>
      </c>
      <c r="K936" s="5">
        <v>0</v>
      </c>
      <c r="L936" s="5">
        <v>0</v>
      </c>
      <c r="M936" s="5">
        <v>0</v>
      </c>
      <c r="N936" s="5">
        <v>26</v>
      </c>
      <c r="O936" s="5" t="str">
        <f t="shared" ca="1" si="14"/>
        <v>Supplier 161</v>
      </c>
      <c r="P936" s="20" t="str">
        <f ca="1">IFERROR(VLOOKUP(O936,EMAILS!B:C,2,FALSE),"NOT FOUND IN EMAILS")</f>
        <v>supplier@gmail.com</v>
      </c>
      <c r="Q936" t="str">
        <f ca="1">""&amp;IFERROR(VLOOKUP(O936,EMAILS!B:D,3,FALSE),"NOT FOUND IN EMAILS")</f>
        <v/>
      </c>
      <c r="R936" t="str">
        <f ca="1">""&amp;IFERROR(VLOOKUP(O936,EMAILS!B:E,4,FALSE),"NO T FOUND IN EMAILS")</f>
        <v/>
      </c>
    </row>
    <row r="937" spans="2:18" x14ac:dyDescent="0.25">
      <c r="B937" s="5" t="s">
        <v>939</v>
      </c>
      <c r="C937" s="5" t="s">
        <v>5079</v>
      </c>
      <c r="D937" s="5">
        <v>4</v>
      </c>
      <c r="E937" s="5">
        <v>3</v>
      </c>
      <c r="F937" s="5">
        <v>1</v>
      </c>
      <c r="G937" s="5">
        <v>6</v>
      </c>
      <c r="H937" s="5">
        <v>0</v>
      </c>
      <c r="I937" s="5">
        <v>1</v>
      </c>
      <c r="J937" s="5">
        <v>2</v>
      </c>
      <c r="K937" s="5">
        <v>8</v>
      </c>
      <c r="L937" s="5">
        <v>4</v>
      </c>
      <c r="M937" s="5">
        <v>0</v>
      </c>
      <c r="N937" s="5">
        <v>744</v>
      </c>
      <c r="O937" s="5" t="str">
        <f t="shared" ca="1" si="14"/>
        <v>Supplier 118</v>
      </c>
      <c r="P937" s="20" t="str">
        <f ca="1">IFERROR(VLOOKUP(O937,EMAILS!B:C,2,FALSE),"NOT FOUND IN EMAILS")</f>
        <v>supplier@gmail.com</v>
      </c>
      <c r="Q937" t="str">
        <f ca="1">""&amp;IFERROR(VLOOKUP(O937,EMAILS!B:D,3,FALSE),"NOT FOUND IN EMAILS")</f>
        <v/>
      </c>
      <c r="R937" t="str">
        <f ca="1">""&amp;IFERROR(VLOOKUP(O937,EMAILS!B:E,4,FALSE),"NO T FOUND IN EMAILS")</f>
        <v/>
      </c>
    </row>
    <row r="938" spans="2:18" x14ac:dyDescent="0.25">
      <c r="B938" s="5" t="s">
        <v>940</v>
      </c>
      <c r="C938" s="5" t="s">
        <v>5080</v>
      </c>
      <c r="D938" s="5">
        <v>0</v>
      </c>
      <c r="E938" s="5">
        <v>0</v>
      </c>
      <c r="F938" s="5">
        <v>0</v>
      </c>
      <c r="G938" s="5">
        <v>6</v>
      </c>
      <c r="H938" s="5">
        <v>0</v>
      </c>
      <c r="I938" s="5">
        <v>0</v>
      </c>
      <c r="J938" s="5">
        <v>0</v>
      </c>
      <c r="K938" s="5">
        <v>0</v>
      </c>
      <c r="L938" s="5">
        <v>0</v>
      </c>
      <c r="M938" s="5">
        <v>0</v>
      </c>
      <c r="N938" s="5">
        <v>8</v>
      </c>
      <c r="O938" s="5" t="str">
        <f t="shared" ca="1" si="14"/>
        <v>Supplier 174</v>
      </c>
      <c r="P938" s="20" t="str">
        <f ca="1">IFERROR(VLOOKUP(O938,EMAILS!B:C,2,FALSE),"NOT FOUND IN EMAILS")</f>
        <v>supplier@gmail.com</v>
      </c>
      <c r="Q938" t="str">
        <f ca="1">""&amp;IFERROR(VLOOKUP(O938,EMAILS!B:D,3,FALSE),"NOT FOUND IN EMAILS")</f>
        <v/>
      </c>
      <c r="R938" t="str">
        <f ca="1">""&amp;IFERROR(VLOOKUP(O938,EMAILS!B:E,4,FALSE),"NO T FOUND IN EMAILS")</f>
        <v/>
      </c>
    </row>
    <row r="939" spans="2:18" x14ac:dyDescent="0.25">
      <c r="B939" s="5" t="s">
        <v>941</v>
      </c>
      <c r="C939" s="5" t="s">
        <v>5081</v>
      </c>
      <c r="D939" s="5">
        <v>3</v>
      </c>
      <c r="E939" s="5">
        <v>1</v>
      </c>
      <c r="F939" s="5">
        <v>3</v>
      </c>
      <c r="G939" s="5">
        <v>3</v>
      </c>
      <c r="H939" s="5">
        <v>3</v>
      </c>
      <c r="I939" s="5">
        <v>1</v>
      </c>
      <c r="J939" s="5">
        <v>2</v>
      </c>
      <c r="K939" s="5">
        <v>4</v>
      </c>
      <c r="L939" s="5">
        <v>1</v>
      </c>
      <c r="M939" s="5">
        <v>0</v>
      </c>
      <c r="N939" s="5">
        <v>24</v>
      </c>
      <c r="O939" s="5" t="str">
        <f t="shared" ca="1" si="14"/>
        <v>Supplier 9</v>
      </c>
      <c r="P939" s="20" t="str">
        <f ca="1">IFERROR(VLOOKUP(O939,EMAILS!B:C,2,FALSE),"NOT FOUND IN EMAILS")</f>
        <v>supplier@gmail.com</v>
      </c>
      <c r="Q939" t="str">
        <f ca="1">""&amp;IFERROR(VLOOKUP(O939,EMAILS!B:D,3,FALSE),"NOT FOUND IN EMAILS")</f>
        <v>supplier_logistics@gmail.com</v>
      </c>
      <c r="R939" t="str">
        <f ca="1">""&amp;IFERROR(VLOOKUP(O939,EMAILS!B:E,4,FALSE),"NO T FOUND IN EMAILS")</f>
        <v/>
      </c>
    </row>
    <row r="940" spans="2:18" x14ac:dyDescent="0.25">
      <c r="B940" s="5" t="s">
        <v>942</v>
      </c>
      <c r="C940" s="5" t="s">
        <v>5082</v>
      </c>
      <c r="D940" s="5">
        <v>0</v>
      </c>
      <c r="E940" s="5">
        <v>1</v>
      </c>
      <c r="F940" s="5">
        <v>2</v>
      </c>
      <c r="G940" s="5">
        <v>2</v>
      </c>
      <c r="H940" s="5">
        <v>2</v>
      </c>
      <c r="I940" s="5">
        <v>3</v>
      </c>
      <c r="J940" s="5">
        <v>6</v>
      </c>
      <c r="K940" s="5">
        <v>1</v>
      </c>
      <c r="L940" s="5">
        <v>0</v>
      </c>
      <c r="M940" s="5">
        <v>0</v>
      </c>
      <c r="N940" s="5">
        <v>344</v>
      </c>
      <c r="O940" s="5" t="str">
        <f t="shared" ca="1" si="14"/>
        <v>Supplier 121</v>
      </c>
      <c r="P940" s="20" t="str">
        <f ca="1">IFERROR(VLOOKUP(O940,EMAILS!B:C,2,FALSE),"NOT FOUND IN EMAILS")</f>
        <v>supplier@gmail.com</v>
      </c>
      <c r="Q940" t="str">
        <f ca="1">""&amp;IFERROR(VLOOKUP(O940,EMAILS!B:D,3,FALSE),"NOT FOUND IN EMAILS")</f>
        <v/>
      </c>
      <c r="R940" t="str">
        <f ca="1">""&amp;IFERROR(VLOOKUP(O940,EMAILS!B:E,4,FALSE),"NO T FOUND IN EMAILS")</f>
        <v/>
      </c>
    </row>
    <row r="941" spans="2:18" x14ac:dyDescent="0.25">
      <c r="B941" s="5" t="s">
        <v>943</v>
      </c>
      <c r="C941" s="5" t="s">
        <v>5083</v>
      </c>
      <c r="D941" s="5">
        <v>15</v>
      </c>
      <c r="E941" s="5">
        <v>17</v>
      </c>
      <c r="F941" s="5">
        <v>22</v>
      </c>
      <c r="G941" s="5">
        <v>22</v>
      </c>
      <c r="H941" s="5">
        <v>17</v>
      </c>
      <c r="I941" s="5">
        <v>17</v>
      </c>
      <c r="J941" s="5">
        <v>23</v>
      </c>
      <c r="K941" s="5">
        <v>22</v>
      </c>
      <c r="L941" s="5">
        <v>7</v>
      </c>
      <c r="M941" s="5">
        <v>0</v>
      </c>
      <c r="N941" s="5">
        <v>72</v>
      </c>
      <c r="O941" s="5" t="str">
        <f t="shared" ca="1" si="14"/>
        <v>Supplier 125</v>
      </c>
      <c r="P941" s="20" t="str">
        <f ca="1">IFERROR(VLOOKUP(O941,EMAILS!B:C,2,FALSE),"NOT FOUND IN EMAILS")</f>
        <v>supplier@gmail.com</v>
      </c>
      <c r="Q941" t="str">
        <f ca="1">""&amp;IFERROR(VLOOKUP(O941,EMAILS!B:D,3,FALSE),"NOT FOUND IN EMAILS")</f>
        <v/>
      </c>
      <c r="R941" t="str">
        <f ca="1">""&amp;IFERROR(VLOOKUP(O941,EMAILS!B:E,4,FALSE),"NO T FOUND IN EMAILS")</f>
        <v/>
      </c>
    </row>
    <row r="942" spans="2:18" x14ac:dyDescent="0.25">
      <c r="B942" s="5" t="s">
        <v>944</v>
      </c>
      <c r="C942" s="5" t="s">
        <v>5084</v>
      </c>
      <c r="D942" s="5">
        <v>59</v>
      </c>
      <c r="E942" s="5">
        <v>10</v>
      </c>
      <c r="F942" s="5">
        <v>43</v>
      </c>
      <c r="G942" s="5">
        <v>33</v>
      </c>
      <c r="H942" s="5">
        <v>35</v>
      </c>
      <c r="I942" s="5">
        <v>35</v>
      </c>
      <c r="J942" s="5">
        <v>25</v>
      </c>
      <c r="K942" s="5">
        <v>32</v>
      </c>
      <c r="L942" s="5">
        <v>39</v>
      </c>
      <c r="M942" s="5">
        <v>0</v>
      </c>
      <c r="N942" s="5">
        <v>390</v>
      </c>
      <c r="O942" s="5" t="str">
        <f t="shared" ca="1" si="14"/>
        <v>Supplier 91</v>
      </c>
      <c r="P942" s="20" t="str">
        <f ca="1">IFERROR(VLOOKUP(O942,EMAILS!B:C,2,FALSE),"NOT FOUND IN EMAILS")</f>
        <v>supplier@gmail.com</v>
      </c>
      <c r="Q942" t="str">
        <f ca="1">""&amp;IFERROR(VLOOKUP(O942,EMAILS!B:D,3,FALSE),"NOT FOUND IN EMAILS")</f>
        <v/>
      </c>
      <c r="R942" t="str">
        <f ca="1">""&amp;IFERROR(VLOOKUP(O942,EMAILS!B:E,4,FALSE),"NO T FOUND IN EMAILS")</f>
        <v/>
      </c>
    </row>
    <row r="943" spans="2:18" x14ac:dyDescent="0.25">
      <c r="B943" s="5" t="s">
        <v>945</v>
      </c>
      <c r="C943" s="5" t="s">
        <v>5085</v>
      </c>
      <c r="D943" s="5">
        <v>135</v>
      </c>
      <c r="E943" s="5">
        <v>95</v>
      </c>
      <c r="F943" s="5">
        <v>165</v>
      </c>
      <c r="G943" s="5">
        <v>180</v>
      </c>
      <c r="H943" s="5">
        <v>150</v>
      </c>
      <c r="I943" s="5">
        <v>150</v>
      </c>
      <c r="J943" s="5">
        <v>180</v>
      </c>
      <c r="K943" s="5">
        <v>170</v>
      </c>
      <c r="L943" s="5">
        <v>165</v>
      </c>
      <c r="M943" s="5">
        <v>0</v>
      </c>
      <c r="N943" s="5">
        <v>130</v>
      </c>
      <c r="O943" s="5" t="str">
        <f t="shared" ca="1" si="14"/>
        <v>Supplier 82</v>
      </c>
      <c r="P943" s="20" t="str">
        <f ca="1">IFERROR(VLOOKUP(O943,EMAILS!B:C,2,FALSE),"NOT FOUND IN EMAILS")</f>
        <v>supplier@gmail.com</v>
      </c>
      <c r="Q943" t="str">
        <f ca="1">""&amp;IFERROR(VLOOKUP(O943,EMAILS!B:D,3,FALSE),"NOT FOUND IN EMAILS")</f>
        <v/>
      </c>
      <c r="R943" t="str">
        <f ca="1">""&amp;IFERROR(VLOOKUP(O943,EMAILS!B:E,4,FALSE),"NO T FOUND IN EMAILS")</f>
        <v/>
      </c>
    </row>
    <row r="944" spans="2:18" x14ac:dyDescent="0.25">
      <c r="B944" s="5" t="s">
        <v>946</v>
      </c>
      <c r="C944" s="5" t="s">
        <v>5086</v>
      </c>
      <c r="D944" s="5">
        <v>135</v>
      </c>
      <c r="E944" s="5">
        <v>95</v>
      </c>
      <c r="F944" s="5">
        <v>165</v>
      </c>
      <c r="G944" s="5">
        <v>180</v>
      </c>
      <c r="H944" s="5">
        <v>150</v>
      </c>
      <c r="I944" s="5">
        <v>150</v>
      </c>
      <c r="J944" s="5">
        <v>180</v>
      </c>
      <c r="K944" s="5">
        <v>170</v>
      </c>
      <c r="L944" s="5">
        <v>165</v>
      </c>
      <c r="M944" s="5">
        <v>0</v>
      </c>
      <c r="N944" s="5">
        <v>741.5</v>
      </c>
      <c r="O944" s="5" t="str">
        <f t="shared" ca="1" si="14"/>
        <v>Supplier 176</v>
      </c>
      <c r="P944" s="20" t="str">
        <f ca="1">IFERROR(VLOOKUP(O944,EMAILS!B:C,2,FALSE),"NOT FOUND IN EMAILS")</f>
        <v>supplier@gmail.com</v>
      </c>
      <c r="Q944" t="str">
        <f ca="1">""&amp;IFERROR(VLOOKUP(O944,EMAILS!B:D,3,FALSE),"NOT FOUND IN EMAILS")</f>
        <v/>
      </c>
      <c r="R944" t="str">
        <f ca="1">""&amp;IFERROR(VLOOKUP(O944,EMAILS!B:E,4,FALSE),"NO T FOUND IN EMAILS")</f>
        <v/>
      </c>
    </row>
    <row r="945" spans="2:18" x14ac:dyDescent="0.25">
      <c r="B945" s="5" t="s">
        <v>947</v>
      </c>
      <c r="C945" s="5" t="s">
        <v>5087</v>
      </c>
      <c r="D945" s="5">
        <v>0</v>
      </c>
      <c r="E945" s="5">
        <v>0</v>
      </c>
      <c r="F945" s="5">
        <v>0</v>
      </c>
      <c r="G945" s="5">
        <v>0</v>
      </c>
      <c r="H945" s="5">
        <v>0</v>
      </c>
      <c r="I945" s="5">
        <v>0</v>
      </c>
      <c r="J945" s="5">
        <v>10</v>
      </c>
      <c r="K945" s="5">
        <v>0</v>
      </c>
      <c r="L945" s="5">
        <v>0</v>
      </c>
      <c r="M945" s="5">
        <v>0</v>
      </c>
      <c r="N945" s="5">
        <v>38</v>
      </c>
      <c r="O945" s="5" t="str">
        <f t="shared" ca="1" si="14"/>
        <v>Supplier 160</v>
      </c>
      <c r="P945" s="20" t="str">
        <f ca="1">IFERROR(VLOOKUP(O945,EMAILS!B:C,2,FALSE),"NOT FOUND IN EMAILS")</f>
        <v>supplier@gmail.com</v>
      </c>
      <c r="Q945" t="str">
        <f ca="1">""&amp;IFERROR(VLOOKUP(O945,EMAILS!B:D,3,FALSE),"NOT FOUND IN EMAILS")</f>
        <v/>
      </c>
      <c r="R945" t="str">
        <f ca="1">""&amp;IFERROR(VLOOKUP(O945,EMAILS!B:E,4,FALSE),"NO T FOUND IN EMAILS")</f>
        <v/>
      </c>
    </row>
    <row r="946" spans="2:18" x14ac:dyDescent="0.25">
      <c r="B946" s="5" t="s">
        <v>948</v>
      </c>
      <c r="C946" s="5" t="s">
        <v>5088</v>
      </c>
      <c r="D946" s="5">
        <v>1</v>
      </c>
      <c r="E946" s="5">
        <v>0</v>
      </c>
      <c r="F946" s="5">
        <v>0</v>
      </c>
      <c r="G946" s="5">
        <v>0</v>
      </c>
      <c r="H946" s="5">
        <v>0</v>
      </c>
      <c r="I946" s="5">
        <v>0</v>
      </c>
      <c r="J946" s="5">
        <v>0</v>
      </c>
      <c r="K946" s="5">
        <v>0</v>
      </c>
      <c r="L946" s="5">
        <v>0</v>
      </c>
      <c r="M946" s="5">
        <v>0</v>
      </c>
      <c r="N946" s="5">
        <v>0</v>
      </c>
      <c r="O946" s="5" t="str">
        <f t="shared" ca="1" si="14"/>
        <v>Supplier 80</v>
      </c>
      <c r="P946" s="20" t="str">
        <f ca="1">IFERROR(VLOOKUP(O946,EMAILS!B:C,2,FALSE),"NOT FOUND IN EMAILS")</f>
        <v>supplier@gmail.com</v>
      </c>
      <c r="Q946" t="str">
        <f ca="1">""&amp;IFERROR(VLOOKUP(O946,EMAILS!B:D,3,FALSE),"NOT FOUND IN EMAILS")</f>
        <v/>
      </c>
      <c r="R946" t="str">
        <f ca="1">""&amp;IFERROR(VLOOKUP(O946,EMAILS!B:E,4,FALSE),"NO T FOUND IN EMAILS")</f>
        <v/>
      </c>
    </row>
    <row r="947" spans="2:18" x14ac:dyDescent="0.25">
      <c r="B947" s="5" t="s">
        <v>949</v>
      </c>
      <c r="C947" s="5" t="s">
        <v>5089</v>
      </c>
      <c r="D947" s="5">
        <v>5</v>
      </c>
      <c r="E947" s="5">
        <v>0</v>
      </c>
      <c r="F947" s="5">
        <v>0</v>
      </c>
      <c r="G947" s="5">
        <v>2</v>
      </c>
      <c r="H947" s="5">
        <v>0</v>
      </c>
      <c r="I947" s="5">
        <v>0</v>
      </c>
      <c r="J947" s="5">
        <v>1</v>
      </c>
      <c r="K947" s="5">
        <v>1</v>
      </c>
      <c r="L947" s="5">
        <v>0</v>
      </c>
      <c r="M947" s="5">
        <v>0</v>
      </c>
      <c r="N947" s="5">
        <v>0</v>
      </c>
      <c r="O947" s="5" t="str">
        <f t="shared" ca="1" si="14"/>
        <v>Supplier 147</v>
      </c>
      <c r="P947" s="20" t="str">
        <f ca="1">IFERROR(VLOOKUP(O947,EMAILS!B:C,2,FALSE),"NOT FOUND IN EMAILS")</f>
        <v>supplier@gmail.com</v>
      </c>
      <c r="Q947" t="str">
        <f ca="1">""&amp;IFERROR(VLOOKUP(O947,EMAILS!B:D,3,FALSE),"NOT FOUND IN EMAILS")</f>
        <v/>
      </c>
      <c r="R947" t="str">
        <f ca="1">""&amp;IFERROR(VLOOKUP(O947,EMAILS!B:E,4,FALSE),"NO T FOUND IN EMAILS")</f>
        <v/>
      </c>
    </row>
    <row r="948" spans="2:18" x14ac:dyDescent="0.25">
      <c r="B948" s="5" t="s">
        <v>950</v>
      </c>
      <c r="C948" s="5" t="s">
        <v>5090</v>
      </c>
      <c r="D948" s="5">
        <v>0</v>
      </c>
      <c r="E948" s="5">
        <v>0</v>
      </c>
      <c r="F948" s="5">
        <v>1</v>
      </c>
      <c r="G948" s="5">
        <v>0</v>
      </c>
      <c r="H948" s="5">
        <v>1</v>
      </c>
      <c r="I948" s="5">
        <v>0</v>
      </c>
      <c r="J948" s="5">
        <v>0</v>
      </c>
      <c r="K948" s="5">
        <v>0</v>
      </c>
      <c r="L948" s="5">
        <v>0</v>
      </c>
      <c r="M948" s="5">
        <v>0</v>
      </c>
      <c r="N948" s="5">
        <v>0</v>
      </c>
      <c r="O948" s="5" t="str">
        <f t="shared" ca="1" si="14"/>
        <v>Supplier 128</v>
      </c>
      <c r="P948" s="20" t="str">
        <f ca="1">IFERROR(VLOOKUP(O948,EMAILS!B:C,2,FALSE),"NOT FOUND IN EMAILS")</f>
        <v>supplier@gmail.com</v>
      </c>
      <c r="Q948" t="str">
        <f ca="1">""&amp;IFERROR(VLOOKUP(O948,EMAILS!B:D,3,FALSE),"NOT FOUND IN EMAILS")</f>
        <v/>
      </c>
      <c r="R948" t="str">
        <f ca="1">""&amp;IFERROR(VLOOKUP(O948,EMAILS!B:E,4,FALSE),"NO T FOUND IN EMAILS")</f>
        <v/>
      </c>
    </row>
    <row r="949" spans="2:18" x14ac:dyDescent="0.25">
      <c r="B949" s="5" t="s">
        <v>951</v>
      </c>
      <c r="C949" s="5" t="s">
        <v>5091</v>
      </c>
      <c r="D949" s="5">
        <v>0</v>
      </c>
      <c r="E949" s="5">
        <v>0</v>
      </c>
      <c r="F949" s="5">
        <v>0</v>
      </c>
      <c r="G949" s="5">
        <v>0</v>
      </c>
      <c r="H949" s="5">
        <v>0</v>
      </c>
      <c r="I949" s="5">
        <v>0</v>
      </c>
      <c r="J949" s="5">
        <v>0</v>
      </c>
      <c r="K949" s="5">
        <v>0</v>
      </c>
      <c r="L949" s="5">
        <v>0</v>
      </c>
      <c r="M949" s="5">
        <v>0</v>
      </c>
      <c r="N949" s="5">
        <v>4</v>
      </c>
      <c r="O949" s="5" t="str">
        <f t="shared" ca="1" si="14"/>
        <v>Supplier 62</v>
      </c>
      <c r="P949" s="20" t="str">
        <f ca="1">IFERROR(VLOOKUP(O949,EMAILS!B:C,2,FALSE),"NOT FOUND IN EMAILS")</f>
        <v>supplier@gmail.com</v>
      </c>
      <c r="Q949" t="str">
        <f ca="1">""&amp;IFERROR(VLOOKUP(O949,EMAILS!B:D,3,FALSE),"NOT FOUND IN EMAILS")</f>
        <v/>
      </c>
      <c r="R949" t="str">
        <f ca="1">""&amp;IFERROR(VLOOKUP(O949,EMAILS!B:E,4,FALSE),"NO T FOUND IN EMAILS")</f>
        <v/>
      </c>
    </row>
    <row r="950" spans="2:18" x14ac:dyDescent="0.25">
      <c r="B950" s="5" t="s">
        <v>952</v>
      </c>
      <c r="C950" s="5" t="s">
        <v>5092</v>
      </c>
      <c r="D950" s="5">
        <v>0</v>
      </c>
      <c r="E950" s="5">
        <v>0</v>
      </c>
      <c r="F950" s="5">
        <v>0</v>
      </c>
      <c r="G950" s="5">
        <v>0</v>
      </c>
      <c r="H950" s="5">
        <v>0</v>
      </c>
      <c r="I950" s="5">
        <v>0</v>
      </c>
      <c r="J950" s="5">
        <v>0</v>
      </c>
      <c r="K950" s="5">
        <v>0</v>
      </c>
      <c r="L950" s="5">
        <v>0</v>
      </c>
      <c r="M950" s="5">
        <v>0</v>
      </c>
      <c r="N950" s="5">
        <v>130</v>
      </c>
      <c r="O950" s="5" t="str">
        <f t="shared" ca="1" si="14"/>
        <v>Supplier 4</v>
      </c>
      <c r="P950" s="20" t="str">
        <f ca="1">IFERROR(VLOOKUP(O950,EMAILS!B:C,2,FALSE),"NOT FOUND IN EMAILS")</f>
        <v>supplier@gmail.com</v>
      </c>
      <c r="Q950" t="str">
        <f ca="1">""&amp;IFERROR(VLOOKUP(O950,EMAILS!B:D,3,FALSE),"NOT FOUND IN EMAILS")</f>
        <v>supplier_logistics@gmail.com</v>
      </c>
      <c r="R950" t="str">
        <f ca="1">""&amp;IFERROR(VLOOKUP(O950,EMAILS!B:E,4,FALSE),"NO T FOUND IN EMAILS")</f>
        <v/>
      </c>
    </row>
    <row r="951" spans="2:18" x14ac:dyDescent="0.25">
      <c r="B951" s="5" t="s">
        <v>953</v>
      </c>
      <c r="C951" s="5" t="s">
        <v>5093</v>
      </c>
      <c r="D951" s="5">
        <v>38</v>
      </c>
      <c r="E951" s="5">
        <v>34</v>
      </c>
      <c r="F951" s="5">
        <v>46</v>
      </c>
      <c r="G951" s="5">
        <v>46</v>
      </c>
      <c r="H951" s="5">
        <v>20</v>
      </c>
      <c r="I951" s="5">
        <v>26</v>
      </c>
      <c r="J951" s="5">
        <v>20</v>
      </c>
      <c r="K951" s="5">
        <v>26</v>
      </c>
      <c r="L951" s="5">
        <v>17</v>
      </c>
      <c r="M951" s="5">
        <v>0</v>
      </c>
      <c r="N951" s="5">
        <v>358</v>
      </c>
      <c r="O951" s="5" t="str">
        <f t="shared" ca="1" si="14"/>
        <v>Supplier 174</v>
      </c>
      <c r="P951" s="20" t="str">
        <f ca="1">IFERROR(VLOOKUP(O951,EMAILS!B:C,2,FALSE),"NOT FOUND IN EMAILS")</f>
        <v>supplier@gmail.com</v>
      </c>
      <c r="Q951" t="str">
        <f ca="1">""&amp;IFERROR(VLOOKUP(O951,EMAILS!B:D,3,FALSE),"NOT FOUND IN EMAILS")</f>
        <v/>
      </c>
      <c r="R951" t="str">
        <f ca="1">""&amp;IFERROR(VLOOKUP(O951,EMAILS!B:E,4,FALSE),"NO T FOUND IN EMAILS")</f>
        <v/>
      </c>
    </row>
    <row r="952" spans="2:18" x14ac:dyDescent="0.25">
      <c r="B952" s="5" t="s">
        <v>954</v>
      </c>
      <c r="C952" s="5" t="s">
        <v>5094</v>
      </c>
      <c r="D952" s="5">
        <v>38</v>
      </c>
      <c r="E952" s="5">
        <v>34</v>
      </c>
      <c r="F952" s="5">
        <v>46</v>
      </c>
      <c r="G952" s="5">
        <v>46</v>
      </c>
      <c r="H952" s="5">
        <v>20</v>
      </c>
      <c r="I952" s="5">
        <v>26</v>
      </c>
      <c r="J952" s="5">
        <v>20</v>
      </c>
      <c r="K952" s="5">
        <v>26</v>
      </c>
      <c r="L952" s="5">
        <v>17</v>
      </c>
      <c r="M952" s="5">
        <v>0</v>
      </c>
      <c r="N952" s="5">
        <v>298</v>
      </c>
      <c r="O952" s="5" t="str">
        <f t="shared" ca="1" si="14"/>
        <v>Supplier 127</v>
      </c>
      <c r="P952" s="20" t="str">
        <f ca="1">IFERROR(VLOOKUP(O952,EMAILS!B:C,2,FALSE),"NOT FOUND IN EMAILS")</f>
        <v>supplier@gmail.com</v>
      </c>
      <c r="Q952" t="str">
        <f ca="1">""&amp;IFERROR(VLOOKUP(O952,EMAILS!B:D,3,FALSE),"NOT FOUND IN EMAILS")</f>
        <v/>
      </c>
      <c r="R952" t="str">
        <f ca="1">""&amp;IFERROR(VLOOKUP(O952,EMAILS!B:E,4,FALSE),"NO T FOUND IN EMAILS")</f>
        <v/>
      </c>
    </row>
    <row r="953" spans="2:18" x14ac:dyDescent="0.25">
      <c r="B953" s="5" t="s">
        <v>955</v>
      </c>
      <c r="C953" s="5" t="s">
        <v>5095</v>
      </c>
      <c r="D953" s="5">
        <v>38</v>
      </c>
      <c r="E953" s="5">
        <v>34</v>
      </c>
      <c r="F953" s="5">
        <v>46</v>
      </c>
      <c r="G953" s="5">
        <v>46</v>
      </c>
      <c r="H953" s="5">
        <v>20</v>
      </c>
      <c r="I953" s="5">
        <v>26</v>
      </c>
      <c r="J953" s="5">
        <v>20</v>
      </c>
      <c r="K953" s="5">
        <v>26</v>
      </c>
      <c r="L953" s="5">
        <v>17</v>
      </c>
      <c r="M953" s="5">
        <v>0</v>
      </c>
      <c r="N953" s="5">
        <v>731</v>
      </c>
      <c r="O953" s="5" t="str">
        <f t="shared" ca="1" si="14"/>
        <v>Supplier 37</v>
      </c>
      <c r="P953" s="20" t="str">
        <f ca="1">IFERROR(VLOOKUP(O953,EMAILS!B:C,2,FALSE),"NOT FOUND IN EMAILS")</f>
        <v>supplier@gmail.com</v>
      </c>
      <c r="Q953" t="str">
        <f ca="1">""&amp;IFERROR(VLOOKUP(O953,EMAILS!B:D,3,FALSE),"NOT FOUND IN EMAILS")</f>
        <v/>
      </c>
      <c r="R953" t="str">
        <f ca="1">""&amp;IFERROR(VLOOKUP(O953,EMAILS!B:E,4,FALSE),"NO T FOUND IN EMAILS")</f>
        <v/>
      </c>
    </row>
    <row r="954" spans="2:18" x14ac:dyDescent="0.25">
      <c r="B954" s="5" t="s">
        <v>956</v>
      </c>
      <c r="C954" s="5" t="s">
        <v>5096</v>
      </c>
      <c r="D954" s="5">
        <v>503.90639999999996</v>
      </c>
      <c r="E954" s="5">
        <v>251.95320000000001</v>
      </c>
      <c r="F954" s="5">
        <v>456.6816</v>
      </c>
      <c r="G954" s="5">
        <v>577.06200000000001</v>
      </c>
      <c r="H954" s="5">
        <v>505.06559999999996</v>
      </c>
      <c r="I954" s="5">
        <v>441.91</v>
      </c>
      <c r="J954" s="5">
        <v>361.09059999999999</v>
      </c>
      <c r="K954" s="5">
        <v>377.62699999999995</v>
      </c>
      <c r="L954" s="5">
        <v>305.69899999999996</v>
      </c>
      <c r="M954" s="5">
        <v>0</v>
      </c>
      <c r="N954" s="5">
        <v>132</v>
      </c>
      <c r="O954" s="5" t="str">
        <f t="shared" ca="1" si="14"/>
        <v>Supplier 82</v>
      </c>
      <c r="P954" s="20" t="str">
        <f ca="1">IFERROR(VLOOKUP(O954,EMAILS!B:C,2,FALSE),"NOT FOUND IN EMAILS")</f>
        <v>supplier@gmail.com</v>
      </c>
      <c r="Q954" t="str">
        <f ca="1">""&amp;IFERROR(VLOOKUP(O954,EMAILS!B:D,3,FALSE),"NOT FOUND IN EMAILS")</f>
        <v/>
      </c>
      <c r="R954" t="str">
        <f ca="1">""&amp;IFERROR(VLOOKUP(O954,EMAILS!B:E,4,FALSE),"NO T FOUND IN EMAILS")</f>
        <v/>
      </c>
    </row>
    <row r="955" spans="2:18" x14ac:dyDescent="0.25">
      <c r="B955" s="5" t="s">
        <v>957</v>
      </c>
      <c r="C955" s="5" t="s">
        <v>5097</v>
      </c>
      <c r="D955" s="5">
        <v>1</v>
      </c>
      <c r="E955" s="5">
        <v>0</v>
      </c>
      <c r="F955" s="5">
        <v>0</v>
      </c>
      <c r="G955" s="5">
        <v>0</v>
      </c>
      <c r="H955" s="5">
        <v>0</v>
      </c>
      <c r="I955" s="5">
        <v>0</v>
      </c>
      <c r="J955" s="5">
        <v>0</v>
      </c>
      <c r="K955" s="5">
        <v>0</v>
      </c>
      <c r="L955" s="5">
        <v>0</v>
      </c>
      <c r="M955" s="5">
        <v>0</v>
      </c>
      <c r="N955" s="5">
        <v>152</v>
      </c>
      <c r="O955" s="5" t="str">
        <f t="shared" ca="1" si="14"/>
        <v>Supplier 190</v>
      </c>
      <c r="P955" s="20" t="str">
        <f ca="1">IFERROR(VLOOKUP(O955,EMAILS!B:C,2,FALSE),"NOT FOUND IN EMAILS")</f>
        <v>supplier@gmail.com</v>
      </c>
      <c r="Q955" t="str">
        <f ca="1">""&amp;IFERROR(VLOOKUP(O955,EMAILS!B:D,3,FALSE),"NOT FOUND IN EMAILS")</f>
        <v/>
      </c>
      <c r="R955" t="str">
        <f ca="1">""&amp;IFERROR(VLOOKUP(O955,EMAILS!B:E,4,FALSE),"NO T FOUND IN EMAILS")</f>
        <v/>
      </c>
    </row>
    <row r="956" spans="2:18" x14ac:dyDescent="0.25">
      <c r="B956" s="5" t="s">
        <v>958</v>
      </c>
      <c r="C956" s="5" t="s">
        <v>5098</v>
      </c>
      <c r="D956" s="5">
        <v>1</v>
      </c>
      <c r="E956" s="5">
        <v>0</v>
      </c>
      <c r="F956" s="5">
        <v>0</v>
      </c>
      <c r="G956" s="5">
        <v>0</v>
      </c>
      <c r="H956" s="5">
        <v>0</v>
      </c>
      <c r="I956" s="5">
        <v>0</v>
      </c>
      <c r="J956" s="5">
        <v>0</v>
      </c>
      <c r="K956" s="5">
        <v>0</v>
      </c>
      <c r="L956" s="5">
        <v>0</v>
      </c>
      <c r="M956" s="5">
        <v>0</v>
      </c>
      <c r="N956" s="5">
        <v>23</v>
      </c>
      <c r="O956" s="5" t="str">
        <f t="shared" ca="1" si="14"/>
        <v>Supplier 79</v>
      </c>
      <c r="P956" s="20" t="str">
        <f ca="1">IFERROR(VLOOKUP(O956,EMAILS!B:C,2,FALSE),"NOT FOUND IN EMAILS")</f>
        <v>supplier@gmail.com</v>
      </c>
      <c r="Q956" t="str">
        <f ca="1">""&amp;IFERROR(VLOOKUP(O956,EMAILS!B:D,3,FALSE),"NOT FOUND IN EMAILS")</f>
        <v/>
      </c>
      <c r="R956" t="str">
        <f ca="1">""&amp;IFERROR(VLOOKUP(O956,EMAILS!B:E,4,FALSE),"NO T FOUND IN EMAILS")</f>
        <v/>
      </c>
    </row>
    <row r="957" spans="2:18" x14ac:dyDescent="0.25">
      <c r="B957" s="5" t="s">
        <v>959</v>
      </c>
      <c r="C957" s="5" t="s">
        <v>5099</v>
      </c>
      <c r="D957" s="5">
        <v>0</v>
      </c>
      <c r="E957" s="5">
        <v>1</v>
      </c>
      <c r="F957" s="5">
        <v>1</v>
      </c>
      <c r="G957" s="5">
        <v>1</v>
      </c>
      <c r="H957" s="5">
        <v>1</v>
      </c>
      <c r="I957" s="5">
        <v>5</v>
      </c>
      <c r="J957" s="5">
        <v>1</v>
      </c>
      <c r="K957" s="5">
        <v>1</v>
      </c>
      <c r="L957" s="5">
        <v>1</v>
      </c>
      <c r="M957" s="5">
        <v>0</v>
      </c>
      <c r="N957" s="5">
        <v>10</v>
      </c>
      <c r="O957" s="5" t="str">
        <f t="shared" ca="1" si="14"/>
        <v>Supplier 166</v>
      </c>
      <c r="P957" s="20" t="str">
        <f ca="1">IFERROR(VLOOKUP(O957,EMAILS!B:C,2,FALSE),"NOT FOUND IN EMAILS")</f>
        <v>supplier@gmail.com</v>
      </c>
      <c r="Q957" t="str">
        <f ca="1">""&amp;IFERROR(VLOOKUP(O957,EMAILS!B:D,3,FALSE),"NOT FOUND IN EMAILS")</f>
        <v/>
      </c>
      <c r="R957" t="str">
        <f ca="1">""&amp;IFERROR(VLOOKUP(O957,EMAILS!B:E,4,FALSE),"NO T FOUND IN EMAILS")</f>
        <v/>
      </c>
    </row>
    <row r="958" spans="2:18" x14ac:dyDescent="0.25">
      <c r="B958" s="5" t="s">
        <v>960</v>
      </c>
      <c r="C958" s="5" t="s">
        <v>5100</v>
      </c>
      <c r="D958" s="5">
        <v>0</v>
      </c>
      <c r="E958" s="5">
        <v>1</v>
      </c>
      <c r="F958" s="5">
        <v>1</v>
      </c>
      <c r="G958" s="5">
        <v>1</v>
      </c>
      <c r="H958" s="5">
        <v>1</v>
      </c>
      <c r="I958" s="5">
        <v>1</v>
      </c>
      <c r="J958" s="5">
        <v>9</v>
      </c>
      <c r="K958" s="5">
        <v>1</v>
      </c>
      <c r="L958" s="5">
        <v>1</v>
      </c>
      <c r="M958" s="5">
        <v>0</v>
      </c>
      <c r="N958" s="5">
        <v>41</v>
      </c>
      <c r="O958" s="5" t="str">
        <f t="shared" ca="1" si="14"/>
        <v>Supplier 115</v>
      </c>
      <c r="P958" s="20" t="str">
        <f ca="1">IFERROR(VLOOKUP(O958,EMAILS!B:C,2,FALSE),"NOT FOUND IN EMAILS")</f>
        <v>supplier@gmail.com</v>
      </c>
      <c r="Q958" t="str">
        <f ca="1">""&amp;IFERROR(VLOOKUP(O958,EMAILS!B:D,3,FALSE),"NOT FOUND IN EMAILS")</f>
        <v/>
      </c>
      <c r="R958" t="str">
        <f ca="1">""&amp;IFERROR(VLOOKUP(O958,EMAILS!B:E,4,FALSE),"NO T FOUND IN EMAILS")</f>
        <v/>
      </c>
    </row>
    <row r="959" spans="2:18" x14ac:dyDescent="0.25">
      <c r="B959" s="5" t="s">
        <v>961</v>
      </c>
      <c r="C959" s="5" t="s">
        <v>5101</v>
      </c>
      <c r="D959" s="5">
        <v>0</v>
      </c>
      <c r="E959" s="5">
        <v>42</v>
      </c>
      <c r="F959" s="5">
        <v>63</v>
      </c>
      <c r="G959" s="5">
        <v>63</v>
      </c>
      <c r="H959" s="5">
        <v>63</v>
      </c>
      <c r="I959" s="5">
        <v>63</v>
      </c>
      <c r="J959" s="5">
        <v>63</v>
      </c>
      <c r="K959" s="5">
        <v>63</v>
      </c>
      <c r="L959" s="5">
        <v>66</v>
      </c>
      <c r="M959" s="5">
        <v>0</v>
      </c>
      <c r="N959" s="5">
        <v>72</v>
      </c>
      <c r="O959" s="5" t="str">
        <f t="shared" ca="1" si="14"/>
        <v>Supplier 75</v>
      </c>
      <c r="P959" s="20" t="str">
        <f ca="1">IFERROR(VLOOKUP(O959,EMAILS!B:C,2,FALSE),"NOT FOUND IN EMAILS")</f>
        <v>supplier@gmail.com</v>
      </c>
      <c r="Q959" t="str">
        <f ca="1">""&amp;IFERROR(VLOOKUP(O959,EMAILS!B:D,3,FALSE),"NOT FOUND IN EMAILS")</f>
        <v/>
      </c>
      <c r="R959" t="str">
        <f ca="1">""&amp;IFERROR(VLOOKUP(O959,EMAILS!B:E,4,FALSE),"NO T FOUND IN EMAILS")</f>
        <v/>
      </c>
    </row>
    <row r="960" spans="2:18" x14ac:dyDescent="0.25">
      <c r="B960" s="5" t="s">
        <v>962</v>
      </c>
      <c r="C960" s="5" t="s">
        <v>5102</v>
      </c>
      <c r="D960" s="5">
        <v>0</v>
      </c>
      <c r="E960" s="5">
        <v>1</v>
      </c>
      <c r="F960" s="5">
        <v>1</v>
      </c>
      <c r="G960" s="5">
        <v>1</v>
      </c>
      <c r="H960" s="5">
        <v>1</v>
      </c>
      <c r="I960" s="5">
        <v>1</v>
      </c>
      <c r="J960" s="5">
        <v>1</v>
      </c>
      <c r="K960" s="5">
        <v>1</v>
      </c>
      <c r="L960" s="5">
        <v>1</v>
      </c>
      <c r="M960" s="5">
        <v>0</v>
      </c>
      <c r="N960" s="5">
        <v>170</v>
      </c>
      <c r="O960" s="5" t="str">
        <f t="shared" ca="1" si="14"/>
        <v>Supplier 98</v>
      </c>
      <c r="P960" s="20" t="str">
        <f ca="1">IFERROR(VLOOKUP(O960,EMAILS!B:C,2,FALSE),"NOT FOUND IN EMAILS")</f>
        <v>supplier@gmail.com</v>
      </c>
      <c r="Q960" t="str">
        <f ca="1">""&amp;IFERROR(VLOOKUP(O960,EMAILS!B:D,3,FALSE),"NOT FOUND IN EMAILS")</f>
        <v/>
      </c>
      <c r="R960" t="str">
        <f ca="1">""&amp;IFERROR(VLOOKUP(O960,EMAILS!B:E,4,FALSE),"NO T FOUND IN EMAILS")</f>
        <v/>
      </c>
    </row>
    <row r="961" spans="2:18" x14ac:dyDescent="0.25">
      <c r="B961" s="5" t="s">
        <v>963</v>
      </c>
      <c r="C961" s="5" t="s">
        <v>5103</v>
      </c>
      <c r="D961" s="5">
        <v>135</v>
      </c>
      <c r="E961" s="5">
        <v>150</v>
      </c>
      <c r="F961" s="5">
        <v>195</v>
      </c>
      <c r="G961" s="5">
        <v>180</v>
      </c>
      <c r="H961" s="5">
        <v>90</v>
      </c>
      <c r="I961" s="5">
        <v>120</v>
      </c>
      <c r="J961" s="5">
        <v>120</v>
      </c>
      <c r="K961" s="5">
        <v>91</v>
      </c>
      <c r="L961" s="5">
        <v>60</v>
      </c>
      <c r="M961" s="5">
        <v>0</v>
      </c>
      <c r="N961" s="5">
        <v>249</v>
      </c>
      <c r="O961" s="5" t="str">
        <f t="shared" ca="1" si="14"/>
        <v>Supplier 142</v>
      </c>
      <c r="P961" s="20" t="str">
        <f ca="1">IFERROR(VLOOKUP(O961,EMAILS!B:C,2,FALSE),"NOT FOUND IN EMAILS")</f>
        <v>supplier@gmail.com</v>
      </c>
      <c r="Q961" t="str">
        <f ca="1">""&amp;IFERROR(VLOOKUP(O961,EMAILS!B:D,3,FALSE),"NOT FOUND IN EMAILS")</f>
        <v/>
      </c>
      <c r="R961" t="str">
        <f ca="1">""&amp;IFERROR(VLOOKUP(O961,EMAILS!B:E,4,FALSE),"NO T FOUND IN EMAILS")</f>
        <v/>
      </c>
    </row>
    <row r="962" spans="2:18" x14ac:dyDescent="0.25">
      <c r="B962" s="5" t="s">
        <v>964</v>
      </c>
      <c r="C962" s="5" t="s">
        <v>5104</v>
      </c>
      <c r="D962" s="5">
        <v>7</v>
      </c>
      <c r="E962" s="5">
        <v>0</v>
      </c>
      <c r="F962" s="5">
        <v>5</v>
      </c>
      <c r="G962" s="5">
        <v>10</v>
      </c>
      <c r="H962" s="5">
        <v>5</v>
      </c>
      <c r="I962" s="5">
        <v>5</v>
      </c>
      <c r="J962" s="5">
        <v>5</v>
      </c>
      <c r="K962" s="5">
        <v>6</v>
      </c>
      <c r="L962" s="5">
        <v>5</v>
      </c>
      <c r="M962" s="5">
        <v>0</v>
      </c>
      <c r="N962" s="5">
        <v>19</v>
      </c>
      <c r="O962" s="5" t="str">
        <f t="shared" ca="1" si="14"/>
        <v>Supplier 41</v>
      </c>
      <c r="P962" s="20" t="str">
        <f ca="1">IFERROR(VLOOKUP(O962,EMAILS!B:C,2,FALSE),"NOT FOUND IN EMAILS")</f>
        <v>supplier@gmail.com</v>
      </c>
      <c r="Q962" t="str">
        <f ca="1">""&amp;IFERROR(VLOOKUP(O962,EMAILS!B:D,3,FALSE),"NOT FOUND IN EMAILS")</f>
        <v/>
      </c>
      <c r="R962" t="str">
        <f ca="1">""&amp;IFERROR(VLOOKUP(O962,EMAILS!B:E,4,FALSE),"NO T FOUND IN EMAILS")</f>
        <v/>
      </c>
    </row>
    <row r="963" spans="2:18" x14ac:dyDescent="0.25">
      <c r="B963" s="5" t="s">
        <v>965</v>
      </c>
      <c r="C963" s="5" t="s">
        <v>5105</v>
      </c>
      <c r="D963" s="5">
        <v>0</v>
      </c>
      <c r="E963" s="5">
        <v>0</v>
      </c>
      <c r="F963" s="5">
        <v>0</v>
      </c>
      <c r="G963" s="5">
        <v>0</v>
      </c>
      <c r="H963" s="5">
        <v>0</v>
      </c>
      <c r="I963" s="5">
        <v>0</v>
      </c>
      <c r="J963" s="5">
        <v>0</v>
      </c>
      <c r="K963" s="5">
        <v>0</v>
      </c>
      <c r="L963" s="5">
        <v>0</v>
      </c>
      <c r="M963" s="5">
        <v>0</v>
      </c>
      <c r="N963" s="5">
        <v>9</v>
      </c>
      <c r="O963" s="5" t="str">
        <f t="shared" ref="O963:O1026" ca="1" si="15">"Supplier "&amp;RANDBETWEEN(1,200)</f>
        <v>Supplier 58</v>
      </c>
      <c r="P963" s="20" t="str">
        <f ca="1">IFERROR(VLOOKUP(O963,EMAILS!B:C,2,FALSE),"NOT FOUND IN EMAILS")</f>
        <v>supplier@gmail.com</v>
      </c>
      <c r="Q963" t="str">
        <f ca="1">""&amp;IFERROR(VLOOKUP(O963,EMAILS!B:D,3,FALSE),"NOT FOUND IN EMAILS")</f>
        <v/>
      </c>
      <c r="R963" t="str">
        <f ca="1">""&amp;IFERROR(VLOOKUP(O963,EMAILS!B:E,4,FALSE),"NO T FOUND IN EMAILS")</f>
        <v/>
      </c>
    </row>
    <row r="964" spans="2:18" x14ac:dyDescent="0.25">
      <c r="B964" s="5" t="s">
        <v>966</v>
      </c>
      <c r="C964" s="5" t="s">
        <v>5106</v>
      </c>
      <c r="D964" s="5">
        <v>0</v>
      </c>
      <c r="E964" s="5">
        <v>0</v>
      </c>
      <c r="F964" s="5">
        <v>0</v>
      </c>
      <c r="G964" s="5">
        <v>0</v>
      </c>
      <c r="H964" s="5">
        <v>0</v>
      </c>
      <c r="I964" s="5">
        <v>0</v>
      </c>
      <c r="J964" s="5">
        <v>0</v>
      </c>
      <c r="K964" s="5">
        <v>0</v>
      </c>
      <c r="L964" s="5">
        <v>0</v>
      </c>
      <c r="M964" s="5">
        <v>0</v>
      </c>
      <c r="N964" s="5">
        <v>13</v>
      </c>
      <c r="O964" s="5" t="str">
        <f t="shared" ca="1" si="15"/>
        <v>Supplier 46</v>
      </c>
      <c r="P964" s="20" t="str">
        <f ca="1">IFERROR(VLOOKUP(O964,EMAILS!B:C,2,FALSE),"NOT FOUND IN EMAILS")</f>
        <v>supplier@gmail.com</v>
      </c>
      <c r="Q964" t="str">
        <f ca="1">""&amp;IFERROR(VLOOKUP(O964,EMAILS!B:D,3,FALSE),"NOT FOUND IN EMAILS")</f>
        <v/>
      </c>
      <c r="R964" t="str">
        <f ca="1">""&amp;IFERROR(VLOOKUP(O964,EMAILS!B:E,4,FALSE),"NO T FOUND IN EMAILS")</f>
        <v/>
      </c>
    </row>
    <row r="965" spans="2:18" x14ac:dyDescent="0.25">
      <c r="B965" s="5" t="s">
        <v>967</v>
      </c>
      <c r="C965" s="5" t="s">
        <v>5107</v>
      </c>
      <c r="D965" s="5">
        <v>0</v>
      </c>
      <c r="E965" s="5">
        <v>2</v>
      </c>
      <c r="F965" s="5">
        <v>0</v>
      </c>
      <c r="G965" s="5">
        <v>6</v>
      </c>
      <c r="H965" s="5">
        <v>1</v>
      </c>
      <c r="I965" s="5">
        <v>2</v>
      </c>
      <c r="J965" s="5">
        <v>1</v>
      </c>
      <c r="K965" s="5">
        <v>1</v>
      </c>
      <c r="L965" s="5">
        <v>3</v>
      </c>
      <c r="M965" s="5">
        <v>0</v>
      </c>
      <c r="N965" s="5">
        <v>1</v>
      </c>
      <c r="O965" s="5" t="str">
        <f t="shared" ca="1" si="15"/>
        <v>Supplier 185</v>
      </c>
      <c r="P965" s="20" t="str">
        <f ca="1">IFERROR(VLOOKUP(O965,EMAILS!B:C,2,FALSE),"NOT FOUND IN EMAILS")</f>
        <v>supplier@gmail.com</v>
      </c>
      <c r="Q965" t="str">
        <f ca="1">""&amp;IFERROR(VLOOKUP(O965,EMAILS!B:D,3,FALSE),"NOT FOUND IN EMAILS")</f>
        <v/>
      </c>
      <c r="R965" t="str">
        <f ca="1">""&amp;IFERROR(VLOOKUP(O965,EMAILS!B:E,4,FALSE),"NO T FOUND IN EMAILS")</f>
        <v/>
      </c>
    </row>
    <row r="966" spans="2:18" x14ac:dyDescent="0.25">
      <c r="B966" s="5" t="s">
        <v>968</v>
      </c>
      <c r="C966" s="5" t="s">
        <v>5108</v>
      </c>
      <c r="D966" s="5">
        <v>0</v>
      </c>
      <c r="E966" s="5">
        <v>0</v>
      </c>
      <c r="F966" s="5">
        <v>0</v>
      </c>
      <c r="G966" s="5">
        <v>0</v>
      </c>
      <c r="H966" s="5">
        <v>0</v>
      </c>
      <c r="I966" s="5">
        <v>0</v>
      </c>
      <c r="J966" s="5">
        <v>0</v>
      </c>
      <c r="K966" s="5">
        <v>0</v>
      </c>
      <c r="L966" s="5">
        <v>0</v>
      </c>
      <c r="M966" s="5">
        <v>0</v>
      </c>
      <c r="N966" s="5">
        <v>0</v>
      </c>
      <c r="O966" s="5" t="str">
        <f t="shared" ca="1" si="15"/>
        <v>Supplier 62</v>
      </c>
      <c r="P966" s="20" t="str">
        <f ca="1">IFERROR(VLOOKUP(O966,EMAILS!B:C,2,FALSE),"NOT FOUND IN EMAILS")</f>
        <v>supplier@gmail.com</v>
      </c>
      <c r="Q966" t="str">
        <f ca="1">""&amp;IFERROR(VLOOKUP(O966,EMAILS!B:D,3,FALSE),"NOT FOUND IN EMAILS")</f>
        <v/>
      </c>
      <c r="R966" t="str">
        <f ca="1">""&amp;IFERROR(VLOOKUP(O966,EMAILS!B:E,4,FALSE),"NO T FOUND IN EMAILS")</f>
        <v/>
      </c>
    </row>
    <row r="967" spans="2:18" x14ac:dyDescent="0.25">
      <c r="B967" s="5" t="s">
        <v>969</v>
      </c>
      <c r="C967" s="5" t="s">
        <v>5109</v>
      </c>
      <c r="D967" s="5">
        <v>0</v>
      </c>
      <c r="E967" s="5">
        <v>0</v>
      </c>
      <c r="F967" s="5">
        <v>0</v>
      </c>
      <c r="G967" s="5">
        <v>0</v>
      </c>
      <c r="H967" s="5">
        <v>0</v>
      </c>
      <c r="I967" s="5">
        <v>0</v>
      </c>
      <c r="J967" s="5">
        <v>0</v>
      </c>
      <c r="K967" s="5">
        <v>0</v>
      </c>
      <c r="L967" s="5">
        <v>0</v>
      </c>
      <c r="M967" s="5">
        <v>0</v>
      </c>
      <c r="N967" s="5">
        <v>12</v>
      </c>
      <c r="O967" s="5" t="str">
        <f t="shared" ca="1" si="15"/>
        <v>Supplier 85</v>
      </c>
      <c r="P967" s="20" t="str">
        <f ca="1">IFERROR(VLOOKUP(O967,EMAILS!B:C,2,FALSE),"NOT FOUND IN EMAILS")</f>
        <v>supplier@gmail.com</v>
      </c>
      <c r="Q967" t="str">
        <f ca="1">""&amp;IFERROR(VLOOKUP(O967,EMAILS!B:D,3,FALSE),"NOT FOUND IN EMAILS")</f>
        <v/>
      </c>
      <c r="R967" t="str">
        <f ca="1">""&amp;IFERROR(VLOOKUP(O967,EMAILS!B:E,4,FALSE),"NO T FOUND IN EMAILS")</f>
        <v/>
      </c>
    </row>
    <row r="968" spans="2:18" x14ac:dyDescent="0.25">
      <c r="B968" s="5" t="s">
        <v>970</v>
      </c>
      <c r="C968" s="5" t="s">
        <v>5110</v>
      </c>
      <c r="D968" s="5">
        <v>0</v>
      </c>
      <c r="E968" s="5">
        <v>0</v>
      </c>
      <c r="F968" s="5">
        <v>0</v>
      </c>
      <c r="G968" s="5">
        <v>0</v>
      </c>
      <c r="H968" s="5">
        <v>0</v>
      </c>
      <c r="I968" s="5">
        <v>0</v>
      </c>
      <c r="J968" s="5">
        <v>0</v>
      </c>
      <c r="K968" s="5">
        <v>0</v>
      </c>
      <c r="L968" s="5">
        <v>0</v>
      </c>
      <c r="M968" s="5">
        <v>0</v>
      </c>
      <c r="N968" s="5">
        <v>250</v>
      </c>
      <c r="O968" s="5" t="str">
        <f t="shared" ca="1" si="15"/>
        <v>Supplier 101</v>
      </c>
      <c r="P968" s="20" t="str">
        <f ca="1">IFERROR(VLOOKUP(O968,EMAILS!B:C,2,FALSE),"NOT FOUND IN EMAILS")</f>
        <v>supplier@gmail.com</v>
      </c>
      <c r="Q968" t="str">
        <f ca="1">""&amp;IFERROR(VLOOKUP(O968,EMAILS!B:D,3,FALSE),"NOT FOUND IN EMAILS")</f>
        <v/>
      </c>
      <c r="R968" t="str">
        <f ca="1">""&amp;IFERROR(VLOOKUP(O968,EMAILS!B:E,4,FALSE),"NO T FOUND IN EMAILS")</f>
        <v/>
      </c>
    </row>
    <row r="969" spans="2:18" x14ac:dyDescent="0.25">
      <c r="B969" s="5" t="s">
        <v>971</v>
      </c>
      <c r="C969" s="5" t="s">
        <v>5111</v>
      </c>
      <c r="D969" s="5">
        <v>100</v>
      </c>
      <c r="E969" s="5">
        <v>87</v>
      </c>
      <c r="F969" s="5">
        <v>91</v>
      </c>
      <c r="G969" s="5">
        <v>104</v>
      </c>
      <c r="H969" s="5">
        <v>118</v>
      </c>
      <c r="I969" s="5">
        <v>39</v>
      </c>
      <c r="J969" s="5">
        <v>49</v>
      </c>
      <c r="K969" s="5">
        <v>29</v>
      </c>
      <c r="L969" s="5">
        <v>25</v>
      </c>
      <c r="M969" s="5">
        <v>0</v>
      </c>
      <c r="N969" s="5">
        <v>1086</v>
      </c>
      <c r="O969" s="5" t="str">
        <f t="shared" ca="1" si="15"/>
        <v>Supplier 96</v>
      </c>
      <c r="P969" s="20" t="str">
        <f ca="1">IFERROR(VLOOKUP(O969,EMAILS!B:C,2,FALSE),"NOT FOUND IN EMAILS")</f>
        <v>supplier@gmail.com</v>
      </c>
      <c r="Q969" t="str">
        <f ca="1">""&amp;IFERROR(VLOOKUP(O969,EMAILS!B:D,3,FALSE),"NOT FOUND IN EMAILS")</f>
        <v/>
      </c>
      <c r="R969" t="str">
        <f ca="1">""&amp;IFERROR(VLOOKUP(O969,EMAILS!B:E,4,FALSE),"NO T FOUND IN EMAILS")</f>
        <v/>
      </c>
    </row>
    <row r="970" spans="2:18" x14ac:dyDescent="0.25">
      <c r="B970" s="5" t="s">
        <v>972</v>
      </c>
      <c r="C970" s="5" t="s">
        <v>5112</v>
      </c>
      <c r="D970" s="5">
        <v>600</v>
      </c>
      <c r="E970" s="5">
        <v>600</v>
      </c>
      <c r="F970" s="5">
        <v>600</v>
      </c>
      <c r="G970" s="5">
        <v>600</v>
      </c>
      <c r="H970" s="5">
        <v>600</v>
      </c>
      <c r="I970" s="5">
        <v>600</v>
      </c>
      <c r="J970" s="5">
        <v>420</v>
      </c>
      <c r="K970" s="5">
        <v>420</v>
      </c>
      <c r="L970" s="5">
        <v>420</v>
      </c>
      <c r="M970" s="5">
        <v>0</v>
      </c>
      <c r="N970" s="5">
        <v>5</v>
      </c>
      <c r="O970" s="5" t="str">
        <f t="shared" ca="1" si="15"/>
        <v>Supplier 119</v>
      </c>
      <c r="P970" s="20" t="str">
        <f ca="1">IFERROR(VLOOKUP(O970,EMAILS!B:C,2,FALSE),"NOT FOUND IN EMAILS")</f>
        <v>supplier@gmail.com</v>
      </c>
      <c r="Q970" t="str">
        <f ca="1">""&amp;IFERROR(VLOOKUP(O970,EMAILS!B:D,3,FALSE),"NOT FOUND IN EMAILS")</f>
        <v/>
      </c>
      <c r="R970" t="str">
        <f ca="1">""&amp;IFERROR(VLOOKUP(O970,EMAILS!B:E,4,FALSE),"NO T FOUND IN EMAILS")</f>
        <v/>
      </c>
    </row>
    <row r="971" spans="2:18" x14ac:dyDescent="0.25">
      <c r="B971" s="5" t="s">
        <v>973</v>
      </c>
      <c r="C971" s="5" t="s">
        <v>5113</v>
      </c>
      <c r="D971" s="5">
        <v>30</v>
      </c>
      <c r="E971" s="5">
        <v>0</v>
      </c>
      <c r="F971" s="5">
        <v>70</v>
      </c>
      <c r="G971" s="5">
        <v>0</v>
      </c>
      <c r="H971" s="5">
        <v>0</v>
      </c>
      <c r="I971" s="5">
        <v>0</v>
      </c>
      <c r="J971" s="5">
        <v>0</v>
      </c>
      <c r="K971" s="5">
        <v>0</v>
      </c>
      <c r="L971" s="5">
        <v>0</v>
      </c>
      <c r="M971" s="5">
        <v>0</v>
      </c>
      <c r="N971" s="5">
        <v>201</v>
      </c>
      <c r="O971" s="5" t="str">
        <f t="shared" ca="1" si="15"/>
        <v>Supplier 137</v>
      </c>
      <c r="P971" s="20" t="str">
        <f ca="1">IFERROR(VLOOKUP(O971,EMAILS!B:C,2,FALSE),"NOT FOUND IN EMAILS")</f>
        <v>supplier@gmail.com</v>
      </c>
      <c r="Q971" t="str">
        <f ca="1">""&amp;IFERROR(VLOOKUP(O971,EMAILS!B:D,3,FALSE),"NOT FOUND IN EMAILS")</f>
        <v/>
      </c>
      <c r="R971" t="str">
        <f ca="1">""&amp;IFERROR(VLOOKUP(O971,EMAILS!B:E,4,FALSE),"NO T FOUND IN EMAILS")</f>
        <v/>
      </c>
    </row>
    <row r="972" spans="2:18" x14ac:dyDescent="0.25">
      <c r="B972" s="5" t="s">
        <v>974</v>
      </c>
      <c r="C972" s="5" t="s">
        <v>5114</v>
      </c>
      <c r="D972" s="5">
        <v>90</v>
      </c>
      <c r="E972" s="5">
        <v>60</v>
      </c>
      <c r="F972" s="5">
        <v>90</v>
      </c>
      <c r="G972" s="5">
        <v>60</v>
      </c>
      <c r="H972" s="5">
        <v>30</v>
      </c>
      <c r="I972" s="5">
        <v>60</v>
      </c>
      <c r="J972" s="5">
        <v>0</v>
      </c>
      <c r="K972" s="5">
        <v>0</v>
      </c>
      <c r="L972" s="5">
        <v>0</v>
      </c>
      <c r="M972" s="5">
        <v>0</v>
      </c>
      <c r="N972" s="5">
        <v>0</v>
      </c>
      <c r="O972" s="5" t="str">
        <f t="shared" ca="1" si="15"/>
        <v>Supplier 174</v>
      </c>
      <c r="P972" s="20" t="str">
        <f ca="1">IFERROR(VLOOKUP(O972,EMAILS!B:C,2,FALSE),"NOT FOUND IN EMAILS")</f>
        <v>supplier@gmail.com</v>
      </c>
      <c r="Q972" t="str">
        <f ca="1">""&amp;IFERROR(VLOOKUP(O972,EMAILS!B:D,3,FALSE),"NOT FOUND IN EMAILS")</f>
        <v/>
      </c>
      <c r="R972" t="str">
        <f ca="1">""&amp;IFERROR(VLOOKUP(O972,EMAILS!B:E,4,FALSE),"NO T FOUND IN EMAILS")</f>
        <v/>
      </c>
    </row>
    <row r="973" spans="2:18" x14ac:dyDescent="0.25">
      <c r="B973" s="5" t="s">
        <v>975</v>
      </c>
      <c r="C973" s="5" t="s">
        <v>5115</v>
      </c>
      <c r="D973" s="5">
        <v>0</v>
      </c>
      <c r="E973" s="5">
        <v>0</v>
      </c>
      <c r="F973" s="5">
        <v>0</v>
      </c>
      <c r="G973" s="5">
        <v>2</v>
      </c>
      <c r="H973" s="5">
        <v>0</v>
      </c>
      <c r="I973" s="5">
        <v>0</v>
      </c>
      <c r="J973" s="5">
        <v>0</v>
      </c>
      <c r="K973" s="5">
        <v>0</v>
      </c>
      <c r="L973" s="5">
        <v>2</v>
      </c>
      <c r="M973" s="5">
        <v>0</v>
      </c>
      <c r="N973" s="5">
        <v>413</v>
      </c>
      <c r="O973" s="5" t="str">
        <f t="shared" ca="1" si="15"/>
        <v>Supplier 156</v>
      </c>
      <c r="P973" s="20" t="str">
        <f ca="1">IFERROR(VLOOKUP(O973,EMAILS!B:C,2,FALSE),"NOT FOUND IN EMAILS")</f>
        <v>supplier@gmail.com</v>
      </c>
      <c r="Q973" t="str">
        <f ca="1">""&amp;IFERROR(VLOOKUP(O973,EMAILS!B:D,3,FALSE),"NOT FOUND IN EMAILS")</f>
        <v/>
      </c>
      <c r="R973" t="str">
        <f ca="1">""&amp;IFERROR(VLOOKUP(O973,EMAILS!B:E,4,FALSE),"NO T FOUND IN EMAILS")</f>
        <v/>
      </c>
    </row>
    <row r="974" spans="2:18" x14ac:dyDescent="0.25">
      <c r="B974" s="5" t="s">
        <v>976</v>
      </c>
      <c r="C974" s="5" t="s">
        <v>5116</v>
      </c>
      <c r="D974" s="5">
        <v>2</v>
      </c>
      <c r="E974" s="5">
        <v>0</v>
      </c>
      <c r="F974" s="5">
        <v>2.5</v>
      </c>
      <c r="G974" s="5">
        <v>0</v>
      </c>
      <c r="H974" s="5">
        <v>2.5</v>
      </c>
      <c r="I974" s="5">
        <v>2.5</v>
      </c>
      <c r="J974" s="5">
        <v>0</v>
      </c>
      <c r="K974" s="5">
        <v>0</v>
      </c>
      <c r="L974" s="5">
        <v>0</v>
      </c>
      <c r="M974" s="5">
        <v>0</v>
      </c>
      <c r="N974" s="5">
        <v>17</v>
      </c>
      <c r="O974" s="5" t="str">
        <f t="shared" ca="1" si="15"/>
        <v>Supplier 52</v>
      </c>
      <c r="P974" s="20" t="str">
        <f ca="1">IFERROR(VLOOKUP(O974,EMAILS!B:C,2,FALSE),"NOT FOUND IN EMAILS")</f>
        <v>supplier@gmail.com</v>
      </c>
      <c r="Q974" t="str">
        <f ca="1">""&amp;IFERROR(VLOOKUP(O974,EMAILS!B:D,3,FALSE),"NOT FOUND IN EMAILS")</f>
        <v/>
      </c>
      <c r="R974" t="str">
        <f ca="1">""&amp;IFERROR(VLOOKUP(O974,EMAILS!B:E,4,FALSE),"NO T FOUND IN EMAILS")</f>
        <v/>
      </c>
    </row>
    <row r="975" spans="2:18" x14ac:dyDescent="0.25">
      <c r="B975" s="5" t="s">
        <v>977</v>
      </c>
      <c r="C975" s="5" t="s">
        <v>5117</v>
      </c>
      <c r="D975" s="5">
        <v>5</v>
      </c>
      <c r="E975" s="5">
        <v>0</v>
      </c>
      <c r="F975" s="5">
        <v>0</v>
      </c>
      <c r="G975" s="5">
        <v>0</v>
      </c>
      <c r="H975" s="5">
        <v>5</v>
      </c>
      <c r="I975" s="5">
        <v>0</v>
      </c>
      <c r="J975" s="5">
        <v>0</v>
      </c>
      <c r="K975" s="5">
        <v>0</v>
      </c>
      <c r="L975" s="5">
        <v>0</v>
      </c>
      <c r="M975" s="5">
        <v>0</v>
      </c>
      <c r="N975" s="5">
        <v>1000</v>
      </c>
      <c r="O975" s="5" t="str">
        <f t="shared" ca="1" si="15"/>
        <v>Supplier 73</v>
      </c>
      <c r="P975" s="20" t="str">
        <f ca="1">IFERROR(VLOOKUP(O975,EMAILS!B:C,2,FALSE),"NOT FOUND IN EMAILS")</f>
        <v>supplier@gmail.com</v>
      </c>
      <c r="Q975" t="str">
        <f ca="1">""&amp;IFERROR(VLOOKUP(O975,EMAILS!B:D,3,FALSE),"NOT FOUND IN EMAILS")</f>
        <v/>
      </c>
      <c r="R975" t="str">
        <f ca="1">""&amp;IFERROR(VLOOKUP(O975,EMAILS!B:E,4,FALSE),"NO T FOUND IN EMAILS")</f>
        <v/>
      </c>
    </row>
    <row r="976" spans="2:18" x14ac:dyDescent="0.25">
      <c r="B976" s="5" t="s">
        <v>978</v>
      </c>
      <c r="C976" s="5" t="s">
        <v>5118</v>
      </c>
      <c r="D976" s="5">
        <v>620</v>
      </c>
      <c r="E976" s="5">
        <v>620</v>
      </c>
      <c r="F976" s="5">
        <v>620</v>
      </c>
      <c r="G976" s="5">
        <v>620</v>
      </c>
      <c r="H976" s="5">
        <v>620</v>
      </c>
      <c r="I976" s="5">
        <v>620</v>
      </c>
      <c r="J976" s="5">
        <v>620</v>
      </c>
      <c r="K976" s="5">
        <v>620</v>
      </c>
      <c r="L976" s="5">
        <v>620</v>
      </c>
      <c r="M976" s="5">
        <v>0</v>
      </c>
      <c r="N976" s="5">
        <v>0</v>
      </c>
      <c r="O976" s="5" t="str">
        <f t="shared" ca="1" si="15"/>
        <v>Supplier 194</v>
      </c>
      <c r="P976" s="20" t="str">
        <f ca="1">IFERROR(VLOOKUP(O976,EMAILS!B:C,2,FALSE),"NOT FOUND IN EMAILS")</f>
        <v>supplier@gmail.com</v>
      </c>
      <c r="Q976" t="str">
        <f ca="1">""&amp;IFERROR(VLOOKUP(O976,EMAILS!B:D,3,FALSE),"NOT FOUND IN EMAILS")</f>
        <v/>
      </c>
      <c r="R976" t="str">
        <f ca="1">""&amp;IFERROR(VLOOKUP(O976,EMAILS!B:E,4,FALSE),"NO T FOUND IN EMAILS")</f>
        <v/>
      </c>
    </row>
    <row r="977" spans="2:18" x14ac:dyDescent="0.25">
      <c r="B977" s="5" t="s">
        <v>979</v>
      </c>
      <c r="C977" s="5" t="s">
        <v>5119</v>
      </c>
      <c r="D977" s="5">
        <v>0</v>
      </c>
      <c r="E977" s="5">
        <v>0</v>
      </c>
      <c r="F977" s="5">
        <v>0</v>
      </c>
      <c r="G977" s="5">
        <v>0</v>
      </c>
      <c r="H977" s="5">
        <v>0</v>
      </c>
      <c r="I977" s="5">
        <v>0</v>
      </c>
      <c r="J977" s="5">
        <v>0</v>
      </c>
      <c r="K977" s="5">
        <v>0</v>
      </c>
      <c r="L977" s="5">
        <v>0</v>
      </c>
      <c r="M977" s="5">
        <v>0</v>
      </c>
      <c r="N977" s="5">
        <v>1075</v>
      </c>
      <c r="O977" s="5" t="str">
        <f t="shared" ca="1" si="15"/>
        <v>Supplier 101</v>
      </c>
      <c r="P977" s="20" t="str">
        <f ca="1">IFERROR(VLOOKUP(O977,EMAILS!B:C,2,FALSE),"NOT FOUND IN EMAILS")</f>
        <v>supplier@gmail.com</v>
      </c>
      <c r="Q977" t="str">
        <f ca="1">""&amp;IFERROR(VLOOKUP(O977,EMAILS!B:D,3,FALSE),"NOT FOUND IN EMAILS")</f>
        <v/>
      </c>
      <c r="R977" t="str">
        <f ca="1">""&amp;IFERROR(VLOOKUP(O977,EMAILS!B:E,4,FALSE),"NO T FOUND IN EMAILS")</f>
        <v/>
      </c>
    </row>
    <row r="978" spans="2:18" x14ac:dyDescent="0.25">
      <c r="B978" s="5" t="s">
        <v>980</v>
      </c>
      <c r="C978" s="5" t="s">
        <v>5120</v>
      </c>
      <c r="D978" s="5">
        <v>400</v>
      </c>
      <c r="E978" s="5">
        <v>0</v>
      </c>
      <c r="F978" s="5">
        <v>280</v>
      </c>
      <c r="G978" s="5">
        <v>6</v>
      </c>
      <c r="H978" s="5">
        <v>0</v>
      </c>
      <c r="I978" s="5">
        <v>2</v>
      </c>
      <c r="J978" s="5">
        <v>50</v>
      </c>
      <c r="K978" s="5">
        <v>24</v>
      </c>
      <c r="L978" s="5">
        <v>60</v>
      </c>
      <c r="M978" s="5">
        <v>0</v>
      </c>
      <c r="N978" s="5">
        <v>1585</v>
      </c>
      <c r="O978" s="5" t="str">
        <f t="shared" ca="1" si="15"/>
        <v>Supplier 17</v>
      </c>
      <c r="P978" s="20" t="str">
        <f ca="1">IFERROR(VLOOKUP(O978,EMAILS!B:C,2,FALSE),"NOT FOUND IN EMAILS")</f>
        <v>supplier@gmail.com</v>
      </c>
      <c r="Q978" t="str">
        <f ca="1">""&amp;IFERROR(VLOOKUP(O978,EMAILS!B:D,3,FALSE),"NOT FOUND IN EMAILS")</f>
        <v>supplier_logistics@gmail.com</v>
      </c>
      <c r="R978" t="str">
        <f ca="1">""&amp;IFERROR(VLOOKUP(O978,EMAILS!B:E,4,FALSE),"NO T FOUND IN EMAILS")</f>
        <v/>
      </c>
    </row>
    <row r="979" spans="2:18" x14ac:dyDescent="0.25">
      <c r="B979" s="5" t="s">
        <v>981</v>
      </c>
      <c r="C979" s="5" t="s">
        <v>5121</v>
      </c>
      <c r="D979" s="5">
        <v>0</v>
      </c>
      <c r="E979" s="5">
        <v>0</v>
      </c>
      <c r="F979" s="5">
        <v>0</v>
      </c>
      <c r="G979" s="5">
        <v>6</v>
      </c>
      <c r="H979" s="5">
        <v>0</v>
      </c>
      <c r="I979" s="5">
        <v>0</v>
      </c>
      <c r="J979" s="5">
        <v>25</v>
      </c>
      <c r="K979" s="5">
        <v>24</v>
      </c>
      <c r="L979" s="5">
        <v>0</v>
      </c>
      <c r="M979" s="5">
        <v>0</v>
      </c>
      <c r="N979" s="5">
        <v>333</v>
      </c>
      <c r="O979" s="5" t="str">
        <f t="shared" ca="1" si="15"/>
        <v>Supplier 87</v>
      </c>
      <c r="P979" s="20" t="str">
        <f ca="1">IFERROR(VLOOKUP(O979,EMAILS!B:C,2,FALSE),"NOT FOUND IN EMAILS")</f>
        <v>supplier@gmail.com</v>
      </c>
      <c r="Q979" t="str">
        <f ca="1">""&amp;IFERROR(VLOOKUP(O979,EMAILS!B:D,3,FALSE),"NOT FOUND IN EMAILS")</f>
        <v/>
      </c>
      <c r="R979" t="str">
        <f ca="1">""&amp;IFERROR(VLOOKUP(O979,EMAILS!B:E,4,FALSE),"NO T FOUND IN EMAILS")</f>
        <v/>
      </c>
    </row>
    <row r="980" spans="2:18" x14ac:dyDescent="0.25">
      <c r="B980" s="5" t="s">
        <v>982</v>
      </c>
      <c r="C980" s="5" t="s">
        <v>5122</v>
      </c>
      <c r="D980" s="5">
        <v>0</v>
      </c>
      <c r="E980" s="5">
        <v>0</v>
      </c>
      <c r="F980" s="5">
        <v>50</v>
      </c>
      <c r="G980" s="5">
        <v>0</v>
      </c>
      <c r="H980" s="5">
        <v>0</v>
      </c>
      <c r="I980" s="5">
        <v>0</v>
      </c>
      <c r="J980" s="5">
        <v>0</v>
      </c>
      <c r="K980" s="5">
        <v>50</v>
      </c>
      <c r="L980" s="5">
        <v>0</v>
      </c>
      <c r="M980" s="5">
        <v>0</v>
      </c>
      <c r="N980" s="5">
        <v>525</v>
      </c>
      <c r="O980" s="5" t="str">
        <f t="shared" ca="1" si="15"/>
        <v>Supplier 18</v>
      </c>
      <c r="P980" s="20" t="str">
        <f ca="1">IFERROR(VLOOKUP(O980,EMAILS!B:C,2,FALSE),"NOT FOUND IN EMAILS")</f>
        <v>supplier@gmail.com</v>
      </c>
      <c r="Q980" t="str">
        <f ca="1">""&amp;IFERROR(VLOOKUP(O980,EMAILS!B:D,3,FALSE),"NOT FOUND IN EMAILS")</f>
        <v>supplier_logistics@gmail.com</v>
      </c>
      <c r="R980" t="str">
        <f ca="1">""&amp;IFERROR(VLOOKUP(O980,EMAILS!B:E,4,FALSE),"NO T FOUND IN EMAILS")</f>
        <v/>
      </c>
    </row>
    <row r="981" spans="2:18" x14ac:dyDescent="0.25">
      <c r="B981" s="5" t="s">
        <v>983</v>
      </c>
      <c r="C981" s="5" t="s">
        <v>5123</v>
      </c>
      <c r="D981" s="5">
        <v>0</v>
      </c>
      <c r="E981" s="5">
        <v>0</v>
      </c>
      <c r="F981" s="5">
        <v>0</v>
      </c>
      <c r="G981" s="5">
        <v>0</v>
      </c>
      <c r="H981" s="5">
        <v>0</v>
      </c>
      <c r="I981" s="5">
        <v>0</v>
      </c>
      <c r="J981" s="5">
        <v>0</v>
      </c>
      <c r="K981" s="5">
        <v>0</v>
      </c>
      <c r="L981" s="5">
        <v>0</v>
      </c>
      <c r="M981" s="5">
        <v>0</v>
      </c>
      <c r="N981" s="5">
        <v>0</v>
      </c>
      <c r="O981" s="5" t="str">
        <f t="shared" ca="1" si="15"/>
        <v>Supplier 86</v>
      </c>
      <c r="P981" s="20" t="str">
        <f ca="1">IFERROR(VLOOKUP(O981,EMAILS!B:C,2,FALSE),"NOT FOUND IN EMAILS")</f>
        <v>supplier@gmail.com</v>
      </c>
      <c r="Q981" t="str">
        <f ca="1">""&amp;IFERROR(VLOOKUP(O981,EMAILS!B:D,3,FALSE),"NOT FOUND IN EMAILS")</f>
        <v/>
      </c>
      <c r="R981" t="str">
        <f ca="1">""&amp;IFERROR(VLOOKUP(O981,EMAILS!B:E,4,FALSE),"NO T FOUND IN EMAILS")</f>
        <v/>
      </c>
    </row>
    <row r="982" spans="2:18" x14ac:dyDescent="0.25">
      <c r="B982" s="5" t="s">
        <v>984</v>
      </c>
      <c r="C982" s="5" t="s">
        <v>5124</v>
      </c>
      <c r="D982" s="5">
        <v>200</v>
      </c>
      <c r="E982" s="5">
        <v>0</v>
      </c>
      <c r="F982" s="5">
        <v>80</v>
      </c>
      <c r="G982" s="5">
        <v>0</v>
      </c>
      <c r="H982" s="5">
        <v>0</v>
      </c>
      <c r="I982" s="5">
        <v>2</v>
      </c>
      <c r="J982" s="5">
        <v>0</v>
      </c>
      <c r="K982" s="5">
        <v>0</v>
      </c>
      <c r="L982" s="5">
        <v>0</v>
      </c>
      <c r="M982" s="5">
        <v>0</v>
      </c>
      <c r="N982" s="5">
        <v>301</v>
      </c>
      <c r="O982" s="5" t="str">
        <f t="shared" ca="1" si="15"/>
        <v>Supplier 165</v>
      </c>
      <c r="P982" s="20" t="str">
        <f ca="1">IFERROR(VLOOKUP(O982,EMAILS!B:C,2,FALSE),"NOT FOUND IN EMAILS")</f>
        <v>supplier@gmail.com</v>
      </c>
      <c r="Q982" t="str">
        <f ca="1">""&amp;IFERROR(VLOOKUP(O982,EMAILS!B:D,3,FALSE),"NOT FOUND IN EMAILS")</f>
        <v/>
      </c>
      <c r="R982" t="str">
        <f ca="1">""&amp;IFERROR(VLOOKUP(O982,EMAILS!B:E,4,FALSE),"NO T FOUND IN EMAILS")</f>
        <v/>
      </c>
    </row>
    <row r="983" spans="2:18" x14ac:dyDescent="0.25">
      <c r="B983" s="5" t="s">
        <v>985</v>
      </c>
      <c r="C983" s="5" t="s">
        <v>5125</v>
      </c>
      <c r="D983" s="5">
        <v>0</v>
      </c>
      <c r="E983" s="5">
        <v>0</v>
      </c>
      <c r="F983" s="5">
        <v>0</v>
      </c>
      <c r="G983" s="5">
        <v>0</v>
      </c>
      <c r="H983" s="5">
        <v>0</v>
      </c>
      <c r="I983" s="5">
        <v>0</v>
      </c>
      <c r="J983" s="5">
        <v>0</v>
      </c>
      <c r="K983" s="5">
        <v>0</v>
      </c>
      <c r="L983" s="5">
        <v>0</v>
      </c>
      <c r="M983" s="5">
        <v>0</v>
      </c>
      <c r="N983" s="5">
        <v>540</v>
      </c>
      <c r="O983" s="5" t="str">
        <f t="shared" ca="1" si="15"/>
        <v>Supplier 185</v>
      </c>
      <c r="P983" s="20" t="str">
        <f ca="1">IFERROR(VLOOKUP(O983,EMAILS!B:C,2,FALSE),"NOT FOUND IN EMAILS")</f>
        <v>supplier@gmail.com</v>
      </c>
      <c r="Q983" t="str">
        <f ca="1">""&amp;IFERROR(VLOOKUP(O983,EMAILS!B:D,3,FALSE),"NOT FOUND IN EMAILS")</f>
        <v/>
      </c>
      <c r="R983" t="str">
        <f ca="1">""&amp;IFERROR(VLOOKUP(O983,EMAILS!B:E,4,FALSE),"NO T FOUND IN EMAILS")</f>
        <v/>
      </c>
    </row>
    <row r="984" spans="2:18" x14ac:dyDescent="0.25">
      <c r="B984" s="5" t="s">
        <v>986</v>
      </c>
      <c r="C984" s="5" t="s">
        <v>5126</v>
      </c>
      <c r="D984" s="5">
        <v>0</v>
      </c>
      <c r="E984" s="5">
        <v>0</v>
      </c>
      <c r="F984" s="5">
        <v>0</v>
      </c>
      <c r="G984" s="5">
        <v>0</v>
      </c>
      <c r="H984" s="5">
        <v>0</v>
      </c>
      <c r="I984" s="5">
        <v>0</v>
      </c>
      <c r="J984" s="5">
        <v>0</v>
      </c>
      <c r="K984" s="5">
        <v>0</v>
      </c>
      <c r="L984" s="5">
        <v>0</v>
      </c>
      <c r="M984" s="5">
        <v>0</v>
      </c>
      <c r="N984" s="5">
        <v>20</v>
      </c>
      <c r="O984" s="5" t="str">
        <f t="shared" ca="1" si="15"/>
        <v>Supplier 108</v>
      </c>
      <c r="P984" s="20" t="str">
        <f ca="1">IFERROR(VLOOKUP(O984,EMAILS!B:C,2,FALSE),"NOT FOUND IN EMAILS")</f>
        <v>supplier@gmail.com</v>
      </c>
      <c r="Q984" t="str">
        <f ca="1">""&amp;IFERROR(VLOOKUP(O984,EMAILS!B:D,3,FALSE),"NOT FOUND IN EMAILS")</f>
        <v/>
      </c>
      <c r="R984" t="str">
        <f ca="1">""&amp;IFERROR(VLOOKUP(O984,EMAILS!B:E,4,FALSE),"NO T FOUND IN EMAILS")</f>
        <v/>
      </c>
    </row>
    <row r="985" spans="2:18" x14ac:dyDescent="0.25">
      <c r="B985" s="5" t="s">
        <v>987</v>
      </c>
      <c r="C985" s="5" t="s">
        <v>5127</v>
      </c>
      <c r="D985" s="5">
        <v>0</v>
      </c>
      <c r="E985" s="5">
        <v>0</v>
      </c>
      <c r="F985" s="5">
        <v>0</v>
      </c>
      <c r="G985" s="5">
        <v>0</v>
      </c>
      <c r="H985" s="5">
        <v>0</v>
      </c>
      <c r="I985" s="5">
        <v>0</v>
      </c>
      <c r="J985" s="5">
        <v>0</v>
      </c>
      <c r="K985" s="5">
        <v>0</v>
      </c>
      <c r="L985" s="5">
        <v>0</v>
      </c>
      <c r="M985" s="5">
        <v>0</v>
      </c>
      <c r="N985" s="5">
        <v>250</v>
      </c>
      <c r="O985" s="5" t="str">
        <f t="shared" ca="1" si="15"/>
        <v>Supplier 141</v>
      </c>
      <c r="P985" s="20" t="str">
        <f ca="1">IFERROR(VLOOKUP(O985,EMAILS!B:C,2,FALSE),"NOT FOUND IN EMAILS")</f>
        <v>supplier@gmail.com</v>
      </c>
      <c r="Q985" t="str">
        <f ca="1">""&amp;IFERROR(VLOOKUP(O985,EMAILS!B:D,3,FALSE),"NOT FOUND IN EMAILS")</f>
        <v/>
      </c>
      <c r="R985" t="str">
        <f ca="1">""&amp;IFERROR(VLOOKUP(O985,EMAILS!B:E,4,FALSE),"NO T FOUND IN EMAILS")</f>
        <v/>
      </c>
    </row>
    <row r="986" spans="2:18" x14ac:dyDescent="0.25">
      <c r="B986" s="5" t="s">
        <v>988</v>
      </c>
      <c r="C986" s="5" t="s">
        <v>5128</v>
      </c>
      <c r="D986" s="5">
        <v>0</v>
      </c>
      <c r="E986" s="5">
        <v>0</v>
      </c>
      <c r="F986" s="5">
        <v>50</v>
      </c>
      <c r="G986" s="5">
        <v>0</v>
      </c>
      <c r="H986" s="5">
        <v>0</v>
      </c>
      <c r="I986" s="5">
        <v>0</v>
      </c>
      <c r="J986" s="5">
        <v>0</v>
      </c>
      <c r="K986" s="5">
        <v>50</v>
      </c>
      <c r="L986" s="5">
        <v>0</v>
      </c>
      <c r="M986" s="5">
        <v>0</v>
      </c>
      <c r="N986" s="5">
        <v>0</v>
      </c>
      <c r="O986" s="5" t="str">
        <f t="shared" ca="1" si="15"/>
        <v>Supplier 80</v>
      </c>
      <c r="P986" s="20" t="str">
        <f ca="1">IFERROR(VLOOKUP(O986,EMAILS!B:C,2,FALSE),"NOT FOUND IN EMAILS")</f>
        <v>supplier@gmail.com</v>
      </c>
      <c r="Q986" t="str">
        <f ca="1">""&amp;IFERROR(VLOOKUP(O986,EMAILS!B:D,3,FALSE),"NOT FOUND IN EMAILS")</f>
        <v/>
      </c>
      <c r="R986" t="str">
        <f ca="1">""&amp;IFERROR(VLOOKUP(O986,EMAILS!B:E,4,FALSE),"NO T FOUND IN EMAILS")</f>
        <v/>
      </c>
    </row>
    <row r="987" spans="2:18" x14ac:dyDescent="0.25">
      <c r="B987" s="5" t="s">
        <v>989</v>
      </c>
      <c r="C987" s="5" t="s">
        <v>5129</v>
      </c>
      <c r="D987" s="5">
        <v>5.0000000000000001E-3</v>
      </c>
      <c r="E987" s="5">
        <v>0</v>
      </c>
      <c r="F987" s="5">
        <v>1.4999999999999999E-2</v>
      </c>
      <c r="G987" s="5">
        <v>0.01</v>
      </c>
      <c r="H987" s="5">
        <v>5.0000000000000001E-3</v>
      </c>
      <c r="I987" s="5">
        <v>0</v>
      </c>
      <c r="J987" s="5">
        <v>0</v>
      </c>
      <c r="K987" s="5">
        <v>0</v>
      </c>
      <c r="L987" s="5">
        <v>0</v>
      </c>
      <c r="M987" s="5">
        <v>0</v>
      </c>
      <c r="N987" s="5">
        <v>1</v>
      </c>
      <c r="O987" s="5" t="str">
        <f t="shared" ca="1" si="15"/>
        <v>Supplier 119</v>
      </c>
      <c r="P987" s="20" t="str">
        <f ca="1">IFERROR(VLOOKUP(O987,EMAILS!B:C,2,FALSE),"NOT FOUND IN EMAILS")</f>
        <v>supplier@gmail.com</v>
      </c>
      <c r="Q987" t="str">
        <f ca="1">""&amp;IFERROR(VLOOKUP(O987,EMAILS!B:D,3,FALSE),"NOT FOUND IN EMAILS")</f>
        <v/>
      </c>
      <c r="R987" t="str">
        <f ca="1">""&amp;IFERROR(VLOOKUP(O987,EMAILS!B:E,4,FALSE),"NO T FOUND IN EMAILS")</f>
        <v/>
      </c>
    </row>
    <row r="988" spans="2:18" x14ac:dyDescent="0.25">
      <c r="B988" s="5" t="s">
        <v>990</v>
      </c>
      <c r="C988" s="5" t="s">
        <v>5130</v>
      </c>
      <c r="D988" s="5">
        <v>0.2</v>
      </c>
      <c r="E988" s="5">
        <v>0</v>
      </c>
      <c r="F988" s="5">
        <v>0.14000000000000001</v>
      </c>
      <c r="G988" s="5">
        <v>3.0000000000000001E-3</v>
      </c>
      <c r="H988" s="5">
        <v>0</v>
      </c>
      <c r="I988" s="5">
        <v>1E-3</v>
      </c>
      <c r="J988" s="5">
        <v>2.5000000000000001E-2</v>
      </c>
      <c r="K988" s="5">
        <v>1.2E-2</v>
      </c>
      <c r="L988" s="5">
        <v>0.03</v>
      </c>
      <c r="M988" s="5">
        <v>0</v>
      </c>
      <c r="N988" s="5">
        <v>0</v>
      </c>
      <c r="O988" s="5" t="str">
        <f t="shared" ca="1" si="15"/>
        <v>Supplier 122</v>
      </c>
      <c r="P988" s="20" t="str">
        <f ca="1">IFERROR(VLOOKUP(O988,EMAILS!B:C,2,FALSE),"NOT FOUND IN EMAILS")</f>
        <v>supplier@gmail.com</v>
      </c>
      <c r="Q988" t="str">
        <f ca="1">""&amp;IFERROR(VLOOKUP(O988,EMAILS!B:D,3,FALSE),"NOT FOUND IN EMAILS")</f>
        <v/>
      </c>
      <c r="R988" t="str">
        <f ca="1">""&amp;IFERROR(VLOOKUP(O988,EMAILS!B:E,4,FALSE),"NO T FOUND IN EMAILS")</f>
        <v/>
      </c>
    </row>
    <row r="989" spans="2:18" x14ac:dyDescent="0.25">
      <c r="B989" s="5" t="s">
        <v>991</v>
      </c>
      <c r="C989" s="5" t="s">
        <v>5131</v>
      </c>
      <c r="D989" s="5">
        <v>0</v>
      </c>
      <c r="E989" s="5">
        <v>0</v>
      </c>
      <c r="F989" s="5">
        <v>5.0999999999999997E-2</v>
      </c>
      <c r="G989" s="5">
        <v>6.0000000000000001E-3</v>
      </c>
      <c r="H989" s="5">
        <v>6.0000000000000001E-3</v>
      </c>
      <c r="I989" s="5">
        <v>0</v>
      </c>
      <c r="J989" s="5">
        <v>6.0000000000000001E-3</v>
      </c>
      <c r="K989" s="5">
        <v>1.4999999999999999E-2</v>
      </c>
      <c r="L989" s="5">
        <v>0</v>
      </c>
      <c r="M989" s="5">
        <v>0</v>
      </c>
      <c r="N989" s="5">
        <v>0</v>
      </c>
      <c r="O989" s="5" t="str">
        <f t="shared" ca="1" si="15"/>
        <v>Supplier 60</v>
      </c>
      <c r="P989" s="20" t="str">
        <f ca="1">IFERROR(VLOOKUP(O989,EMAILS!B:C,2,FALSE),"NOT FOUND IN EMAILS")</f>
        <v>supplier@gmail.com</v>
      </c>
      <c r="Q989" t="str">
        <f ca="1">""&amp;IFERROR(VLOOKUP(O989,EMAILS!B:D,3,FALSE),"NOT FOUND IN EMAILS")</f>
        <v/>
      </c>
      <c r="R989" t="str">
        <f ca="1">""&amp;IFERROR(VLOOKUP(O989,EMAILS!B:E,4,FALSE),"NO T FOUND IN EMAILS")</f>
        <v/>
      </c>
    </row>
    <row r="990" spans="2:18" x14ac:dyDescent="0.25">
      <c r="B990" s="5" t="s">
        <v>992</v>
      </c>
      <c r="C990" s="5" t="s">
        <v>5132</v>
      </c>
      <c r="D990" s="5">
        <v>0</v>
      </c>
      <c r="E990" s="5">
        <v>0</v>
      </c>
      <c r="F990" s="5">
        <v>0</v>
      </c>
      <c r="G990" s="5">
        <v>0</v>
      </c>
      <c r="H990" s="5">
        <v>0</v>
      </c>
      <c r="I990" s="5">
        <v>0</v>
      </c>
      <c r="J990" s="5">
        <v>0</v>
      </c>
      <c r="K990" s="5">
        <v>0</v>
      </c>
      <c r="L990" s="5">
        <v>0</v>
      </c>
      <c r="M990" s="5">
        <v>0</v>
      </c>
      <c r="N990" s="5">
        <v>4320</v>
      </c>
      <c r="O990" s="5" t="str">
        <f t="shared" ca="1" si="15"/>
        <v>Supplier 112</v>
      </c>
      <c r="P990" s="20" t="str">
        <f ca="1">IFERROR(VLOOKUP(O990,EMAILS!B:C,2,FALSE),"NOT FOUND IN EMAILS")</f>
        <v>supplier@gmail.com</v>
      </c>
      <c r="Q990" t="str">
        <f ca="1">""&amp;IFERROR(VLOOKUP(O990,EMAILS!B:D,3,FALSE),"NOT FOUND IN EMAILS")</f>
        <v/>
      </c>
      <c r="R990" t="str">
        <f ca="1">""&amp;IFERROR(VLOOKUP(O990,EMAILS!B:E,4,FALSE),"NO T FOUND IN EMAILS")</f>
        <v/>
      </c>
    </row>
    <row r="991" spans="2:18" x14ac:dyDescent="0.25">
      <c r="B991" s="5" t="s">
        <v>993</v>
      </c>
      <c r="C991" s="5" t="s">
        <v>5133</v>
      </c>
      <c r="D991" s="5">
        <v>9850</v>
      </c>
      <c r="E991" s="5">
        <v>7100</v>
      </c>
      <c r="F991" s="5">
        <v>11250</v>
      </c>
      <c r="G991" s="5">
        <v>11164</v>
      </c>
      <c r="H991" s="5">
        <v>7450</v>
      </c>
      <c r="I991" s="5">
        <v>7470</v>
      </c>
      <c r="J991" s="5">
        <v>3064</v>
      </c>
      <c r="K991" s="5">
        <v>6850</v>
      </c>
      <c r="L991" s="5">
        <v>1700</v>
      </c>
      <c r="M991" s="5">
        <v>0</v>
      </c>
      <c r="N991" s="5">
        <v>0</v>
      </c>
      <c r="O991" s="5" t="str">
        <f t="shared" ca="1" si="15"/>
        <v>Supplier 12</v>
      </c>
      <c r="P991" s="20" t="str">
        <f ca="1">IFERROR(VLOOKUP(O991,EMAILS!B:C,2,FALSE),"NOT FOUND IN EMAILS")</f>
        <v>supplier@gmail.com</v>
      </c>
      <c r="Q991" t="str">
        <f ca="1">""&amp;IFERROR(VLOOKUP(O991,EMAILS!B:D,3,FALSE),"NOT FOUND IN EMAILS")</f>
        <v>supplier_logistics@gmail.com</v>
      </c>
      <c r="R991" t="str">
        <f ca="1">""&amp;IFERROR(VLOOKUP(O991,EMAILS!B:E,4,FALSE),"NO T FOUND IN EMAILS")</f>
        <v/>
      </c>
    </row>
    <row r="992" spans="2:18" x14ac:dyDescent="0.25">
      <c r="B992" s="5" t="s">
        <v>994</v>
      </c>
      <c r="C992" s="5" t="s">
        <v>5134</v>
      </c>
      <c r="D992" s="5">
        <v>300</v>
      </c>
      <c r="E992" s="5">
        <v>1900</v>
      </c>
      <c r="F992" s="5">
        <v>600</v>
      </c>
      <c r="G992" s="5">
        <v>1750</v>
      </c>
      <c r="H992" s="5">
        <v>1060</v>
      </c>
      <c r="I992" s="5">
        <v>700</v>
      </c>
      <c r="J992" s="5">
        <v>350</v>
      </c>
      <c r="K992" s="5">
        <v>1800</v>
      </c>
      <c r="L992" s="5">
        <v>350</v>
      </c>
      <c r="M992" s="5">
        <v>0</v>
      </c>
      <c r="N992" s="5">
        <v>560</v>
      </c>
      <c r="O992" s="5" t="str">
        <f t="shared" ca="1" si="15"/>
        <v>Supplier 184</v>
      </c>
      <c r="P992" s="20" t="str">
        <f ca="1">IFERROR(VLOOKUP(O992,EMAILS!B:C,2,FALSE),"NOT FOUND IN EMAILS")</f>
        <v>supplier@gmail.com</v>
      </c>
      <c r="Q992" t="str">
        <f ca="1">""&amp;IFERROR(VLOOKUP(O992,EMAILS!B:D,3,FALSE),"NOT FOUND IN EMAILS")</f>
        <v/>
      </c>
      <c r="R992" t="str">
        <f ca="1">""&amp;IFERROR(VLOOKUP(O992,EMAILS!B:E,4,FALSE),"NO T FOUND IN EMAILS")</f>
        <v/>
      </c>
    </row>
    <row r="993" spans="2:18" x14ac:dyDescent="0.25">
      <c r="B993" s="5" t="s">
        <v>995</v>
      </c>
      <c r="C993" s="5" t="s">
        <v>5135</v>
      </c>
      <c r="D993" s="5">
        <v>52</v>
      </c>
      <c r="E993" s="5">
        <v>0</v>
      </c>
      <c r="F993" s="5">
        <v>100</v>
      </c>
      <c r="G993" s="5">
        <v>300</v>
      </c>
      <c r="H993" s="5">
        <v>300</v>
      </c>
      <c r="I993" s="5">
        <v>100</v>
      </c>
      <c r="J993" s="5">
        <v>0</v>
      </c>
      <c r="K993" s="5">
        <v>410</v>
      </c>
      <c r="L993" s="5">
        <v>0</v>
      </c>
      <c r="M993" s="5">
        <v>0</v>
      </c>
      <c r="N993" s="5">
        <v>615</v>
      </c>
      <c r="O993" s="5" t="str">
        <f t="shared" ca="1" si="15"/>
        <v>Supplier 27</v>
      </c>
      <c r="P993" s="20" t="str">
        <f ca="1">IFERROR(VLOOKUP(O993,EMAILS!B:C,2,FALSE),"NOT FOUND IN EMAILS")</f>
        <v>supplier@gmail.com</v>
      </c>
      <c r="Q993" t="str">
        <f ca="1">""&amp;IFERROR(VLOOKUP(O993,EMAILS!B:D,3,FALSE),"NOT FOUND IN EMAILS")</f>
        <v/>
      </c>
      <c r="R993" t="str">
        <f ca="1">""&amp;IFERROR(VLOOKUP(O993,EMAILS!B:E,4,FALSE),"NO T FOUND IN EMAILS")</f>
        <v/>
      </c>
    </row>
    <row r="994" spans="2:18" x14ac:dyDescent="0.25">
      <c r="B994" s="5" t="s">
        <v>996</v>
      </c>
      <c r="C994" s="5" t="s">
        <v>5136</v>
      </c>
      <c r="D994" s="5">
        <v>0</v>
      </c>
      <c r="E994" s="5">
        <v>50</v>
      </c>
      <c r="F994" s="5">
        <v>0</v>
      </c>
      <c r="G994" s="5">
        <v>0</v>
      </c>
      <c r="H994" s="5">
        <v>150</v>
      </c>
      <c r="I994" s="5">
        <v>0</v>
      </c>
      <c r="J994" s="5">
        <v>0</v>
      </c>
      <c r="K994" s="5">
        <v>0</v>
      </c>
      <c r="L994" s="5">
        <v>0</v>
      </c>
      <c r="M994" s="5">
        <v>0</v>
      </c>
      <c r="N994" s="5">
        <v>124</v>
      </c>
      <c r="O994" s="5" t="str">
        <f t="shared" ca="1" si="15"/>
        <v>Supplier 195</v>
      </c>
      <c r="P994" s="20" t="str">
        <f ca="1">IFERROR(VLOOKUP(O994,EMAILS!B:C,2,FALSE),"NOT FOUND IN EMAILS")</f>
        <v>supplier@gmail.com</v>
      </c>
      <c r="Q994" t="str">
        <f ca="1">""&amp;IFERROR(VLOOKUP(O994,EMAILS!B:D,3,FALSE),"NOT FOUND IN EMAILS")</f>
        <v/>
      </c>
      <c r="R994" t="str">
        <f ca="1">""&amp;IFERROR(VLOOKUP(O994,EMAILS!B:E,4,FALSE),"NO T FOUND IN EMAILS")</f>
        <v/>
      </c>
    </row>
    <row r="995" spans="2:18" x14ac:dyDescent="0.25">
      <c r="B995" s="5" t="s">
        <v>997</v>
      </c>
      <c r="C995" s="5" t="s">
        <v>5137</v>
      </c>
      <c r="D995" s="5">
        <v>300</v>
      </c>
      <c r="E995" s="5">
        <v>0</v>
      </c>
      <c r="F995" s="5">
        <v>0</v>
      </c>
      <c r="G995" s="5">
        <v>0</v>
      </c>
      <c r="H995" s="5">
        <v>0</v>
      </c>
      <c r="I995" s="5">
        <v>0</v>
      </c>
      <c r="J995" s="5">
        <v>0</v>
      </c>
      <c r="K995" s="5">
        <v>0</v>
      </c>
      <c r="L995" s="5">
        <v>200</v>
      </c>
      <c r="M995" s="5">
        <v>0</v>
      </c>
      <c r="N995" s="5">
        <v>0</v>
      </c>
      <c r="O995" s="5" t="str">
        <f t="shared" ca="1" si="15"/>
        <v>Supplier 102</v>
      </c>
      <c r="P995" s="20" t="str">
        <f ca="1">IFERROR(VLOOKUP(O995,EMAILS!B:C,2,FALSE),"NOT FOUND IN EMAILS")</f>
        <v>supplier@gmail.com</v>
      </c>
      <c r="Q995" t="str">
        <f ca="1">""&amp;IFERROR(VLOOKUP(O995,EMAILS!B:D,3,FALSE),"NOT FOUND IN EMAILS")</f>
        <v/>
      </c>
      <c r="R995" t="str">
        <f ca="1">""&amp;IFERROR(VLOOKUP(O995,EMAILS!B:E,4,FALSE),"NO T FOUND IN EMAILS")</f>
        <v/>
      </c>
    </row>
    <row r="996" spans="2:18" x14ac:dyDescent="0.25">
      <c r="B996" s="5" t="s">
        <v>998</v>
      </c>
      <c r="C996" s="5" t="s">
        <v>5138</v>
      </c>
      <c r="D996" s="5">
        <v>0</v>
      </c>
      <c r="E996" s="5">
        <v>0</v>
      </c>
      <c r="F996" s="5">
        <v>0</v>
      </c>
      <c r="G996" s="5">
        <v>0</v>
      </c>
      <c r="H996" s="5">
        <v>0</v>
      </c>
      <c r="I996" s="5">
        <v>0</v>
      </c>
      <c r="J996" s="5">
        <v>50</v>
      </c>
      <c r="K996" s="5">
        <v>0</v>
      </c>
      <c r="L996" s="5">
        <v>0</v>
      </c>
      <c r="M996" s="5">
        <v>0</v>
      </c>
      <c r="N996" s="5">
        <v>0</v>
      </c>
      <c r="O996" s="5" t="str">
        <f t="shared" ca="1" si="15"/>
        <v>Supplier 105</v>
      </c>
      <c r="P996" s="20" t="str">
        <f ca="1">IFERROR(VLOOKUP(O996,EMAILS!B:C,2,FALSE),"NOT FOUND IN EMAILS")</f>
        <v>supplier@gmail.com</v>
      </c>
      <c r="Q996" t="str">
        <f ca="1">""&amp;IFERROR(VLOOKUP(O996,EMAILS!B:D,3,FALSE),"NOT FOUND IN EMAILS")</f>
        <v/>
      </c>
      <c r="R996" t="str">
        <f ca="1">""&amp;IFERROR(VLOOKUP(O996,EMAILS!B:E,4,FALSE),"NO T FOUND IN EMAILS")</f>
        <v/>
      </c>
    </row>
    <row r="997" spans="2:18" x14ac:dyDescent="0.25">
      <c r="B997" s="5" t="s">
        <v>999</v>
      </c>
      <c r="C997" s="5" t="s">
        <v>5139</v>
      </c>
      <c r="D997" s="5">
        <v>0</v>
      </c>
      <c r="E997" s="5">
        <v>0</v>
      </c>
      <c r="F997" s="5">
        <v>0</v>
      </c>
      <c r="G997" s="5">
        <v>0</v>
      </c>
      <c r="H997" s="5">
        <v>0</v>
      </c>
      <c r="I997" s="5">
        <v>0</v>
      </c>
      <c r="J997" s="5">
        <v>50</v>
      </c>
      <c r="K997" s="5">
        <v>0</v>
      </c>
      <c r="L997" s="5">
        <v>0</v>
      </c>
      <c r="M997" s="5">
        <v>0</v>
      </c>
      <c r="N997" s="5">
        <v>600</v>
      </c>
      <c r="O997" s="5" t="str">
        <f t="shared" ca="1" si="15"/>
        <v>Supplier 2</v>
      </c>
      <c r="P997" s="20" t="str">
        <f ca="1">IFERROR(VLOOKUP(O997,EMAILS!B:C,2,FALSE),"NOT FOUND IN EMAILS")</f>
        <v>supplier@gmail.com</v>
      </c>
      <c r="Q997" t="str">
        <f ca="1">""&amp;IFERROR(VLOOKUP(O997,EMAILS!B:D,3,FALSE),"NOT FOUND IN EMAILS")</f>
        <v>supplier_logistics@gmail.com</v>
      </c>
      <c r="R997" t="str">
        <f ca="1">""&amp;IFERROR(VLOOKUP(O997,EMAILS!B:E,4,FALSE),"NO T FOUND IN EMAILS")</f>
        <v/>
      </c>
    </row>
    <row r="998" spans="2:18" x14ac:dyDescent="0.25">
      <c r="B998" s="5" t="s">
        <v>1000</v>
      </c>
      <c r="C998" s="5" t="s">
        <v>5140</v>
      </c>
      <c r="D998" s="5">
        <v>300</v>
      </c>
      <c r="E998" s="5">
        <v>800</v>
      </c>
      <c r="F998" s="5">
        <v>800</v>
      </c>
      <c r="G998" s="5">
        <v>900</v>
      </c>
      <c r="H998" s="5">
        <v>900</v>
      </c>
      <c r="I998" s="5">
        <v>500</v>
      </c>
      <c r="J998" s="5">
        <v>500</v>
      </c>
      <c r="K998" s="5">
        <v>800</v>
      </c>
      <c r="L998" s="5">
        <v>500</v>
      </c>
      <c r="M998" s="5">
        <v>0</v>
      </c>
      <c r="N998" s="5">
        <v>0</v>
      </c>
      <c r="O998" s="5" t="str">
        <f t="shared" ca="1" si="15"/>
        <v>Supplier 87</v>
      </c>
      <c r="P998" s="20" t="str">
        <f ca="1">IFERROR(VLOOKUP(O998,EMAILS!B:C,2,FALSE),"NOT FOUND IN EMAILS")</f>
        <v>supplier@gmail.com</v>
      </c>
      <c r="Q998" t="str">
        <f ca="1">""&amp;IFERROR(VLOOKUP(O998,EMAILS!B:D,3,FALSE),"NOT FOUND IN EMAILS")</f>
        <v/>
      </c>
      <c r="R998" t="str">
        <f ca="1">""&amp;IFERROR(VLOOKUP(O998,EMAILS!B:E,4,FALSE),"NO T FOUND IN EMAILS")</f>
        <v/>
      </c>
    </row>
    <row r="999" spans="2:18" x14ac:dyDescent="0.25">
      <c r="B999" s="5" t="s">
        <v>1001</v>
      </c>
      <c r="C999" s="5" t="s">
        <v>5141</v>
      </c>
      <c r="D999" s="5">
        <v>0</v>
      </c>
      <c r="E999" s="5">
        <v>0</v>
      </c>
      <c r="F999" s="5">
        <v>0</v>
      </c>
      <c r="G999" s="5">
        <v>0</v>
      </c>
      <c r="H999" s="5">
        <v>0</v>
      </c>
      <c r="I999" s="5">
        <v>0</v>
      </c>
      <c r="J999" s="5">
        <v>0</v>
      </c>
      <c r="K999" s="5">
        <v>0</v>
      </c>
      <c r="L999" s="5">
        <v>0</v>
      </c>
      <c r="M999" s="5">
        <v>0</v>
      </c>
      <c r="N999" s="5">
        <v>1600</v>
      </c>
      <c r="O999" s="5" t="str">
        <f t="shared" ca="1" si="15"/>
        <v>Supplier 20</v>
      </c>
      <c r="P999" s="20" t="str">
        <f ca="1">IFERROR(VLOOKUP(O999,EMAILS!B:C,2,FALSE),"NOT FOUND IN EMAILS")</f>
        <v>supplier@gmail.com</v>
      </c>
      <c r="Q999" t="str">
        <f ca="1">""&amp;IFERROR(VLOOKUP(O999,EMAILS!B:D,3,FALSE),"NOT FOUND IN EMAILS")</f>
        <v/>
      </c>
      <c r="R999" t="str">
        <f ca="1">""&amp;IFERROR(VLOOKUP(O999,EMAILS!B:E,4,FALSE),"NO T FOUND IN EMAILS")</f>
        <v/>
      </c>
    </row>
    <row r="1000" spans="2:18" x14ac:dyDescent="0.25">
      <c r="B1000" s="5" t="s">
        <v>1002</v>
      </c>
      <c r="C1000" s="5" t="s">
        <v>5142</v>
      </c>
      <c r="D1000" s="5">
        <v>5700</v>
      </c>
      <c r="E1000" s="5">
        <v>2750</v>
      </c>
      <c r="F1000" s="5">
        <v>4500</v>
      </c>
      <c r="G1000" s="5">
        <v>4620</v>
      </c>
      <c r="H1000" s="5">
        <v>5590</v>
      </c>
      <c r="I1000" s="5">
        <v>4790</v>
      </c>
      <c r="J1000" s="5">
        <v>3538</v>
      </c>
      <c r="K1000" s="5">
        <v>4560</v>
      </c>
      <c r="L1000" s="5">
        <v>4190</v>
      </c>
      <c r="M1000" s="5">
        <v>0</v>
      </c>
      <c r="N1000" s="5">
        <v>1000</v>
      </c>
      <c r="O1000" s="5" t="str">
        <f t="shared" ca="1" si="15"/>
        <v>Supplier 1</v>
      </c>
      <c r="P1000" s="20" t="str">
        <f ca="1">IFERROR(VLOOKUP(O1000,EMAILS!B:C,2,FALSE),"NOT FOUND IN EMAILS")</f>
        <v>supplier@gmail.com</v>
      </c>
      <c r="Q1000" t="str">
        <f ca="1">""&amp;IFERROR(VLOOKUP(O1000,EMAILS!B:D,3,FALSE),"NOT FOUND IN EMAILS")</f>
        <v>supplier_logistics@gmail.com</v>
      </c>
      <c r="R1000" t="str">
        <f ca="1">""&amp;IFERROR(VLOOKUP(O1000,EMAILS!B:E,4,FALSE),"NO T FOUND IN EMAILS")</f>
        <v/>
      </c>
    </row>
    <row r="1001" spans="2:18" x14ac:dyDescent="0.25">
      <c r="B1001" s="5" t="s">
        <v>1003</v>
      </c>
      <c r="C1001" s="5" t="s">
        <v>5143</v>
      </c>
      <c r="D1001" s="5">
        <v>1200</v>
      </c>
      <c r="E1001" s="5">
        <v>0</v>
      </c>
      <c r="F1001" s="5">
        <v>0</v>
      </c>
      <c r="G1001" s="5">
        <v>0</v>
      </c>
      <c r="H1001" s="5">
        <v>0</v>
      </c>
      <c r="I1001" s="5">
        <v>0</v>
      </c>
      <c r="J1001" s="5">
        <v>1000</v>
      </c>
      <c r="K1001" s="5">
        <v>0</v>
      </c>
      <c r="L1001" s="5">
        <v>0</v>
      </c>
      <c r="M1001" s="5">
        <v>0</v>
      </c>
      <c r="N1001" s="5">
        <v>342</v>
      </c>
      <c r="O1001" s="5" t="str">
        <f t="shared" ca="1" si="15"/>
        <v>Supplier 112</v>
      </c>
      <c r="P1001" s="20" t="str">
        <f ca="1">IFERROR(VLOOKUP(O1001,EMAILS!B:C,2,FALSE),"NOT FOUND IN EMAILS")</f>
        <v>supplier@gmail.com</v>
      </c>
      <c r="Q1001" t="str">
        <f ca="1">""&amp;IFERROR(VLOOKUP(O1001,EMAILS!B:D,3,FALSE),"NOT FOUND IN EMAILS")</f>
        <v/>
      </c>
      <c r="R1001" t="str">
        <f ca="1">""&amp;IFERROR(VLOOKUP(O1001,EMAILS!B:E,4,FALSE),"NO T FOUND IN EMAILS")</f>
        <v/>
      </c>
    </row>
    <row r="1002" spans="2:18" x14ac:dyDescent="0.25">
      <c r="B1002" s="5" t="s">
        <v>1004</v>
      </c>
      <c r="C1002" s="5" t="s">
        <v>5144</v>
      </c>
      <c r="D1002" s="5">
        <v>243.10020000000003</v>
      </c>
      <c r="E1002" s="5">
        <v>179.19299999999998</v>
      </c>
      <c r="F1002" s="5">
        <v>238.27159999999995</v>
      </c>
      <c r="G1002" s="5">
        <v>235.07959999999994</v>
      </c>
      <c r="H1002" s="5">
        <v>227.88399999999993</v>
      </c>
      <c r="I1002" s="5">
        <v>224.03599999999997</v>
      </c>
      <c r="J1002" s="5">
        <v>197.42399999999998</v>
      </c>
      <c r="K1002" s="5">
        <v>109.19200000000001</v>
      </c>
      <c r="L1002" s="5">
        <v>98.532000000000011</v>
      </c>
      <c r="M1002" s="5">
        <v>0</v>
      </c>
      <c r="N1002" s="5">
        <v>0</v>
      </c>
      <c r="O1002" s="5" t="str">
        <f t="shared" ca="1" si="15"/>
        <v>Supplier 32</v>
      </c>
      <c r="P1002" s="20" t="str">
        <f ca="1">IFERROR(VLOOKUP(O1002,EMAILS!B:C,2,FALSE),"NOT FOUND IN EMAILS")</f>
        <v>supplier@gmail.com</v>
      </c>
      <c r="Q1002" t="str">
        <f ca="1">""&amp;IFERROR(VLOOKUP(O1002,EMAILS!B:D,3,FALSE),"NOT FOUND IN EMAILS")</f>
        <v/>
      </c>
      <c r="R1002" t="str">
        <f ca="1">""&amp;IFERROR(VLOOKUP(O1002,EMAILS!B:E,4,FALSE),"NO T FOUND IN EMAILS")</f>
        <v/>
      </c>
    </row>
    <row r="1003" spans="2:18" x14ac:dyDescent="0.25">
      <c r="B1003" s="5" t="s">
        <v>1005</v>
      </c>
      <c r="C1003" s="5" t="s">
        <v>5145</v>
      </c>
      <c r="D1003" s="5">
        <v>0</v>
      </c>
      <c r="E1003" s="5">
        <v>0</v>
      </c>
      <c r="F1003" s="5">
        <v>0</v>
      </c>
      <c r="G1003" s="5">
        <v>0</v>
      </c>
      <c r="H1003" s="5">
        <v>0</v>
      </c>
      <c r="I1003" s="5">
        <v>0</v>
      </c>
      <c r="J1003" s="5">
        <v>0</v>
      </c>
      <c r="K1003" s="5">
        <v>0</v>
      </c>
      <c r="L1003" s="5">
        <v>0</v>
      </c>
      <c r="M1003" s="5">
        <v>0</v>
      </c>
      <c r="N1003" s="5">
        <v>200</v>
      </c>
      <c r="O1003" s="5" t="str">
        <f t="shared" ca="1" si="15"/>
        <v>Supplier 115</v>
      </c>
      <c r="P1003" s="20" t="str">
        <f ca="1">IFERROR(VLOOKUP(O1003,EMAILS!B:C,2,FALSE),"NOT FOUND IN EMAILS")</f>
        <v>supplier@gmail.com</v>
      </c>
      <c r="Q1003" t="str">
        <f ca="1">""&amp;IFERROR(VLOOKUP(O1003,EMAILS!B:D,3,FALSE),"NOT FOUND IN EMAILS")</f>
        <v/>
      </c>
      <c r="R1003" t="str">
        <f ca="1">""&amp;IFERROR(VLOOKUP(O1003,EMAILS!B:E,4,FALSE),"NO T FOUND IN EMAILS")</f>
        <v/>
      </c>
    </row>
    <row r="1004" spans="2:18" x14ac:dyDescent="0.25">
      <c r="B1004" s="5" t="s">
        <v>1006</v>
      </c>
      <c r="C1004" s="5" t="s">
        <v>5146</v>
      </c>
      <c r="D1004" s="5">
        <v>27</v>
      </c>
      <c r="E1004" s="5">
        <v>30</v>
      </c>
      <c r="F1004" s="5">
        <v>32</v>
      </c>
      <c r="G1004" s="5">
        <v>36</v>
      </c>
      <c r="H1004" s="5">
        <v>18</v>
      </c>
      <c r="I1004" s="5">
        <v>24</v>
      </c>
      <c r="J1004" s="5">
        <v>24</v>
      </c>
      <c r="K1004" s="5">
        <v>18.2</v>
      </c>
      <c r="L1004" s="5">
        <v>12</v>
      </c>
      <c r="M1004" s="5">
        <v>0</v>
      </c>
      <c r="N1004" s="5">
        <v>544</v>
      </c>
      <c r="O1004" s="5" t="str">
        <f t="shared" ca="1" si="15"/>
        <v>Supplier 11</v>
      </c>
      <c r="P1004" s="20" t="str">
        <f ca="1">IFERROR(VLOOKUP(O1004,EMAILS!B:C,2,FALSE),"NOT FOUND IN EMAILS")</f>
        <v>supplier@gmail.com</v>
      </c>
      <c r="Q1004" t="str">
        <f ca="1">""&amp;IFERROR(VLOOKUP(O1004,EMAILS!B:D,3,FALSE),"NOT FOUND IN EMAILS")</f>
        <v>supplier_logistics@gmail.com</v>
      </c>
      <c r="R1004" t="str">
        <f ca="1">""&amp;IFERROR(VLOOKUP(O1004,EMAILS!B:E,4,FALSE),"NO T FOUND IN EMAILS")</f>
        <v/>
      </c>
    </row>
    <row r="1005" spans="2:18" x14ac:dyDescent="0.25">
      <c r="B1005" s="5" t="s">
        <v>1007</v>
      </c>
      <c r="C1005" s="5" t="s">
        <v>5147</v>
      </c>
      <c r="D1005" s="5">
        <v>100</v>
      </c>
      <c r="E1005" s="5">
        <v>10</v>
      </c>
      <c r="F1005" s="5">
        <v>60</v>
      </c>
      <c r="G1005" s="5">
        <v>40</v>
      </c>
      <c r="H1005" s="5">
        <v>30</v>
      </c>
      <c r="I1005" s="5">
        <v>40</v>
      </c>
      <c r="J1005" s="5">
        <v>20</v>
      </c>
      <c r="K1005" s="5">
        <v>0</v>
      </c>
      <c r="L1005" s="5">
        <v>70</v>
      </c>
      <c r="M1005" s="5">
        <v>0</v>
      </c>
      <c r="N1005" s="5">
        <v>629</v>
      </c>
      <c r="O1005" s="5" t="str">
        <f t="shared" ca="1" si="15"/>
        <v>Supplier 82</v>
      </c>
      <c r="P1005" s="20" t="str">
        <f ca="1">IFERROR(VLOOKUP(O1005,EMAILS!B:C,2,FALSE),"NOT FOUND IN EMAILS")</f>
        <v>supplier@gmail.com</v>
      </c>
      <c r="Q1005" t="str">
        <f ca="1">""&amp;IFERROR(VLOOKUP(O1005,EMAILS!B:D,3,FALSE),"NOT FOUND IN EMAILS")</f>
        <v/>
      </c>
      <c r="R1005" t="str">
        <f ca="1">""&amp;IFERROR(VLOOKUP(O1005,EMAILS!B:E,4,FALSE),"NO T FOUND IN EMAILS")</f>
        <v/>
      </c>
    </row>
    <row r="1006" spans="2:18" x14ac:dyDescent="0.25">
      <c r="B1006" s="5" t="s">
        <v>1008</v>
      </c>
      <c r="C1006" s="5" t="s">
        <v>5148</v>
      </c>
      <c r="D1006" s="5">
        <v>100</v>
      </c>
      <c r="E1006" s="5">
        <v>10</v>
      </c>
      <c r="F1006" s="5">
        <v>60</v>
      </c>
      <c r="G1006" s="5">
        <v>40</v>
      </c>
      <c r="H1006" s="5">
        <v>80</v>
      </c>
      <c r="I1006" s="5">
        <v>40</v>
      </c>
      <c r="J1006" s="5">
        <v>20</v>
      </c>
      <c r="K1006" s="5">
        <v>50</v>
      </c>
      <c r="L1006" s="5">
        <v>220</v>
      </c>
      <c r="M1006" s="5">
        <v>0</v>
      </c>
      <c r="N1006" s="5">
        <v>482</v>
      </c>
      <c r="O1006" s="5" t="str">
        <f t="shared" ca="1" si="15"/>
        <v>Supplier 179</v>
      </c>
      <c r="P1006" s="20" t="str">
        <f ca="1">IFERROR(VLOOKUP(O1006,EMAILS!B:C,2,FALSE),"NOT FOUND IN EMAILS")</f>
        <v>supplier@gmail.com</v>
      </c>
      <c r="Q1006" t="str">
        <f ca="1">""&amp;IFERROR(VLOOKUP(O1006,EMAILS!B:D,3,FALSE),"NOT FOUND IN EMAILS")</f>
        <v/>
      </c>
      <c r="R1006" t="str">
        <f ca="1">""&amp;IFERROR(VLOOKUP(O1006,EMAILS!B:E,4,FALSE),"NO T FOUND IN EMAILS")</f>
        <v/>
      </c>
    </row>
    <row r="1007" spans="2:18" x14ac:dyDescent="0.25">
      <c r="B1007" s="5" t="s">
        <v>1009</v>
      </c>
      <c r="C1007" s="5" t="s">
        <v>5149</v>
      </c>
      <c r="D1007" s="5">
        <v>8</v>
      </c>
      <c r="E1007" s="5">
        <v>0</v>
      </c>
      <c r="F1007" s="5">
        <v>64</v>
      </c>
      <c r="G1007" s="5">
        <v>32</v>
      </c>
      <c r="H1007" s="5">
        <v>24</v>
      </c>
      <c r="I1007" s="5">
        <v>0</v>
      </c>
      <c r="J1007" s="5">
        <v>16</v>
      </c>
      <c r="K1007" s="5">
        <v>40</v>
      </c>
      <c r="L1007" s="5">
        <v>0</v>
      </c>
      <c r="M1007" s="5">
        <v>0</v>
      </c>
      <c r="N1007" s="5">
        <v>3743</v>
      </c>
      <c r="O1007" s="5" t="str">
        <f t="shared" ca="1" si="15"/>
        <v>Supplier 64</v>
      </c>
      <c r="P1007" s="20" t="str">
        <f ca="1">IFERROR(VLOOKUP(O1007,EMAILS!B:C,2,FALSE),"NOT FOUND IN EMAILS")</f>
        <v>supplier@gmail.com</v>
      </c>
      <c r="Q1007" t="str">
        <f ca="1">""&amp;IFERROR(VLOOKUP(O1007,EMAILS!B:D,3,FALSE),"NOT FOUND IN EMAILS")</f>
        <v/>
      </c>
      <c r="R1007" t="str">
        <f ca="1">""&amp;IFERROR(VLOOKUP(O1007,EMAILS!B:E,4,FALSE),"NO T FOUND IN EMAILS")</f>
        <v/>
      </c>
    </row>
    <row r="1008" spans="2:18" x14ac:dyDescent="0.25">
      <c r="B1008" s="5" t="s">
        <v>1010</v>
      </c>
      <c r="C1008" s="5" t="s">
        <v>5150</v>
      </c>
      <c r="D1008" s="5">
        <v>0</v>
      </c>
      <c r="E1008" s="5">
        <v>0</v>
      </c>
      <c r="F1008" s="5">
        <v>0</v>
      </c>
      <c r="G1008" s="5">
        <v>10</v>
      </c>
      <c r="H1008" s="5">
        <v>0</v>
      </c>
      <c r="I1008" s="5">
        <v>1</v>
      </c>
      <c r="J1008" s="5">
        <v>0</v>
      </c>
      <c r="K1008" s="5">
        <v>0</v>
      </c>
      <c r="L1008" s="5">
        <v>0</v>
      </c>
      <c r="M1008" s="5">
        <v>0</v>
      </c>
      <c r="N1008" s="5">
        <v>30</v>
      </c>
      <c r="O1008" s="5" t="str">
        <f t="shared" ca="1" si="15"/>
        <v>Supplier 176</v>
      </c>
      <c r="P1008" s="20" t="str">
        <f ca="1">IFERROR(VLOOKUP(O1008,EMAILS!B:C,2,FALSE),"NOT FOUND IN EMAILS")</f>
        <v>supplier@gmail.com</v>
      </c>
      <c r="Q1008" t="str">
        <f ca="1">""&amp;IFERROR(VLOOKUP(O1008,EMAILS!B:D,3,FALSE),"NOT FOUND IN EMAILS")</f>
        <v/>
      </c>
      <c r="R1008" t="str">
        <f ca="1">""&amp;IFERROR(VLOOKUP(O1008,EMAILS!B:E,4,FALSE),"NO T FOUND IN EMAILS")</f>
        <v/>
      </c>
    </row>
    <row r="1009" spans="2:18" x14ac:dyDescent="0.25">
      <c r="B1009" s="5" t="s">
        <v>1011</v>
      </c>
      <c r="C1009" s="5" t="s">
        <v>5151</v>
      </c>
      <c r="D1009" s="5">
        <v>0</v>
      </c>
      <c r="E1009" s="5">
        <v>0</v>
      </c>
      <c r="F1009" s="5">
        <v>30</v>
      </c>
      <c r="G1009" s="5">
        <v>0</v>
      </c>
      <c r="H1009" s="5">
        <v>0</v>
      </c>
      <c r="I1009" s="5">
        <v>0</v>
      </c>
      <c r="J1009" s="5">
        <v>0</v>
      </c>
      <c r="K1009" s="5">
        <v>0</v>
      </c>
      <c r="L1009" s="5">
        <v>30</v>
      </c>
      <c r="M1009" s="5">
        <v>0</v>
      </c>
      <c r="N1009" s="5">
        <v>21</v>
      </c>
      <c r="O1009" s="5" t="str">
        <f t="shared" ca="1" si="15"/>
        <v>Supplier 156</v>
      </c>
      <c r="P1009" s="20" t="str">
        <f ca="1">IFERROR(VLOOKUP(O1009,EMAILS!B:C,2,FALSE),"NOT FOUND IN EMAILS")</f>
        <v>supplier@gmail.com</v>
      </c>
      <c r="Q1009" t="str">
        <f ca="1">""&amp;IFERROR(VLOOKUP(O1009,EMAILS!B:D,3,FALSE),"NOT FOUND IN EMAILS")</f>
        <v/>
      </c>
      <c r="R1009" t="str">
        <f ca="1">""&amp;IFERROR(VLOOKUP(O1009,EMAILS!B:E,4,FALSE),"NO T FOUND IN EMAILS")</f>
        <v/>
      </c>
    </row>
    <row r="1010" spans="2:18" x14ac:dyDescent="0.25">
      <c r="B1010" s="5" t="s">
        <v>1012</v>
      </c>
      <c r="C1010" s="5" t="s">
        <v>5152</v>
      </c>
      <c r="D1010" s="5">
        <v>0</v>
      </c>
      <c r="E1010" s="5">
        <v>0</v>
      </c>
      <c r="F1010" s="5">
        <v>0</v>
      </c>
      <c r="G1010" s="5">
        <v>210</v>
      </c>
      <c r="H1010" s="5">
        <v>100</v>
      </c>
      <c r="I1010" s="5">
        <v>200</v>
      </c>
      <c r="J1010" s="5">
        <v>0</v>
      </c>
      <c r="K1010" s="5">
        <v>0</v>
      </c>
      <c r="L1010" s="5">
        <v>10</v>
      </c>
      <c r="M1010" s="5">
        <v>0</v>
      </c>
      <c r="N1010" s="5">
        <v>14180</v>
      </c>
      <c r="O1010" s="5" t="str">
        <f t="shared" ca="1" si="15"/>
        <v>Supplier 68</v>
      </c>
      <c r="P1010" s="20" t="str">
        <f ca="1">IFERROR(VLOOKUP(O1010,EMAILS!B:C,2,FALSE),"NOT FOUND IN EMAILS")</f>
        <v>supplier@gmail.com</v>
      </c>
      <c r="Q1010" t="str">
        <f ca="1">""&amp;IFERROR(VLOOKUP(O1010,EMAILS!B:D,3,FALSE),"NOT FOUND IN EMAILS")</f>
        <v/>
      </c>
      <c r="R1010" t="str">
        <f ca="1">""&amp;IFERROR(VLOOKUP(O1010,EMAILS!B:E,4,FALSE),"NO T FOUND IN EMAILS")</f>
        <v/>
      </c>
    </row>
    <row r="1011" spans="2:18" x14ac:dyDescent="0.25">
      <c r="B1011" s="5" t="s">
        <v>1013</v>
      </c>
      <c r="C1011" s="5" t="s">
        <v>5153</v>
      </c>
      <c r="D1011" s="5">
        <v>0</v>
      </c>
      <c r="E1011" s="5">
        <v>0</v>
      </c>
      <c r="F1011" s="5">
        <v>0</v>
      </c>
      <c r="G1011" s="5">
        <v>0</v>
      </c>
      <c r="H1011" s="5">
        <v>0</v>
      </c>
      <c r="I1011" s="5">
        <v>0</v>
      </c>
      <c r="J1011" s="5">
        <v>0</v>
      </c>
      <c r="K1011" s="5">
        <v>0</v>
      </c>
      <c r="L1011" s="5">
        <v>30</v>
      </c>
      <c r="M1011" s="5">
        <v>0</v>
      </c>
      <c r="N1011" s="5">
        <v>200</v>
      </c>
      <c r="O1011" s="5" t="str">
        <f t="shared" ca="1" si="15"/>
        <v>Supplier 34</v>
      </c>
      <c r="P1011" s="20" t="str">
        <f ca="1">IFERROR(VLOOKUP(O1011,EMAILS!B:C,2,FALSE),"NOT FOUND IN EMAILS")</f>
        <v>supplier@gmail.com</v>
      </c>
      <c r="Q1011" t="str">
        <f ca="1">""&amp;IFERROR(VLOOKUP(O1011,EMAILS!B:D,3,FALSE),"NOT FOUND IN EMAILS")</f>
        <v/>
      </c>
      <c r="R1011" t="str">
        <f ca="1">""&amp;IFERROR(VLOOKUP(O1011,EMAILS!B:E,4,FALSE),"NO T FOUND IN EMAILS")</f>
        <v/>
      </c>
    </row>
    <row r="1012" spans="2:18" x14ac:dyDescent="0.25">
      <c r="B1012" s="5" t="s">
        <v>1014</v>
      </c>
      <c r="C1012" s="5" t="s">
        <v>5154</v>
      </c>
      <c r="D1012" s="5">
        <v>800</v>
      </c>
      <c r="E1012" s="5">
        <v>800</v>
      </c>
      <c r="F1012" s="5">
        <v>0</v>
      </c>
      <c r="G1012" s="5">
        <v>300</v>
      </c>
      <c r="H1012" s="5">
        <v>400</v>
      </c>
      <c r="I1012" s="5">
        <v>0</v>
      </c>
      <c r="J1012" s="5">
        <v>100</v>
      </c>
      <c r="K1012" s="5">
        <v>400</v>
      </c>
      <c r="L1012" s="5">
        <v>50</v>
      </c>
      <c r="M1012" s="5">
        <v>0</v>
      </c>
      <c r="N1012" s="5">
        <v>448</v>
      </c>
      <c r="O1012" s="5" t="str">
        <f t="shared" ca="1" si="15"/>
        <v>Supplier 150</v>
      </c>
      <c r="P1012" s="20" t="str">
        <f ca="1">IFERROR(VLOOKUP(O1012,EMAILS!B:C,2,FALSE),"NOT FOUND IN EMAILS")</f>
        <v>supplier@gmail.com</v>
      </c>
      <c r="Q1012" t="str">
        <f ca="1">""&amp;IFERROR(VLOOKUP(O1012,EMAILS!B:D,3,FALSE),"NOT FOUND IN EMAILS")</f>
        <v/>
      </c>
      <c r="R1012" t="str">
        <f ca="1">""&amp;IFERROR(VLOOKUP(O1012,EMAILS!B:E,4,FALSE),"NO T FOUND IN EMAILS")</f>
        <v/>
      </c>
    </row>
    <row r="1013" spans="2:18" x14ac:dyDescent="0.25">
      <c r="B1013" s="5" t="s">
        <v>1015</v>
      </c>
      <c r="C1013" s="5" t="s">
        <v>5155</v>
      </c>
      <c r="D1013" s="5">
        <v>0</v>
      </c>
      <c r="E1013" s="5">
        <v>0</v>
      </c>
      <c r="F1013" s="5">
        <v>0</v>
      </c>
      <c r="G1013" s="5">
        <v>0</v>
      </c>
      <c r="H1013" s="5">
        <v>0</v>
      </c>
      <c r="I1013" s="5">
        <v>0</v>
      </c>
      <c r="J1013" s="5">
        <v>0</v>
      </c>
      <c r="K1013" s="5">
        <v>10</v>
      </c>
      <c r="L1013" s="5">
        <v>0</v>
      </c>
      <c r="M1013" s="5">
        <v>0</v>
      </c>
      <c r="N1013" s="5">
        <v>6041</v>
      </c>
      <c r="O1013" s="5" t="str">
        <f t="shared" ca="1" si="15"/>
        <v>Supplier 64</v>
      </c>
      <c r="P1013" s="20" t="str">
        <f ca="1">IFERROR(VLOOKUP(O1013,EMAILS!B:C,2,FALSE),"NOT FOUND IN EMAILS")</f>
        <v>supplier@gmail.com</v>
      </c>
      <c r="Q1013" t="str">
        <f ca="1">""&amp;IFERROR(VLOOKUP(O1013,EMAILS!B:D,3,FALSE),"NOT FOUND IN EMAILS")</f>
        <v/>
      </c>
      <c r="R1013" t="str">
        <f ca="1">""&amp;IFERROR(VLOOKUP(O1013,EMAILS!B:E,4,FALSE),"NO T FOUND IN EMAILS")</f>
        <v/>
      </c>
    </row>
    <row r="1014" spans="2:18" x14ac:dyDescent="0.25">
      <c r="B1014" s="5" t="s">
        <v>1016</v>
      </c>
      <c r="C1014" s="5" t="s">
        <v>5156</v>
      </c>
      <c r="D1014" s="5">
        <v>540</v>
      </c>
      <c r="E1014" s="5">
        <v>220</v>
      </c>
      <c r="F1014" s="5">
        <v>1280</v>
      </c>
      <c r="G1014" s="5">
        <v>1672</v>
      </c>
      <c r="H1014" s="5">
        <v>1640</v>
      </c>
      <c r="I1014" s="5">
        <v>416</v>
      </c>
      <c r="J1014" s="5">
        <v>320</v>
      </c>
      <c r="K1014" s="5">
        <v>170</v>
      </c>
      <c r="L1014" s="5">
        <v>440</v>
      </c>
      <c r="M1014" s="5">
        <v>0</v>
      </c>
      <c r="N1014" s="5">
        <v>108</v>
      </c>
      <c r="O1014" s="5" t="str">
        <f t="shared" ca="1" si="15"/>
        <v>Supplier 27</v>
      </c>
      <c r="P1014" s="20" t="str">
        <f ca="1">IFERROR(VLOOKUP(O1014,EMAILS!B:C,2,FALSE),"NOT FOUND IN EMAILS")</f>
        <v>supplier@gmail.com</v>
      </c>
      <c r="Q1014" t="str">
        <f ca="1">""&amp;IFERROR(VLOOKUP(O1014,EMAILS!B:D,3,FALSE),"NOT FOUND IN EMAILS")</f>
        <v/>
      </c>
      <c r="R1014" t="str">
        <f ca="1">""&amp;IFERROR(VLOOKUP(O1014,EMAILS!B:E,4,FALSE),"NO T FOUND IN EMAILS")</f>
        <v/>
      </c>
    </row>
    <row r="1015" spans="2:18" x14ac:dyDescent="0.25">
      <c r="B1015" s="5" t="s">
        <v>1017</v>
      </c>
      <c r="C1015" s="5" t="s">
        <v>5157</v>
      </c>
      <c r="D1015" s="5">
        <v>0</v>
      </c>
      <c r="E1015" s="5">
        <v>20</v>
      </c>
      <c r="F1015" s="5">
        <v>0</v>
      </c>
      <c r="G1015" s="5">
        <v>0</v>
      </c>
      <c r="H1015" s="5">
        <v>0</v>
      </c>
      <c r="I1015" s="5">
        <v>0</v>
      </c>
      <c r="J1015" s="5">
        <v>0</v>
      </c>
      <c r="K1015" s="5">
        <v>0</v>
      </c>
      <c r="L1015" s="5">
        <v>0</v>
      </c>
      <c r="M1015" s="5">
        <v>0</v>
      </c>
      <c r="N1015" s="5">
        <v>600</v>
      </c>
      <c r="O1015" s="5" t="str">
        <f t="shared" ca="1" si="15"/>
        <v>Supplier 143</v>
      </c>
      <c r="P1015" s="20" t="str">
        <f ca="1">IFERROR(VLOOKUP(O1015,EMAILS!B:C,2,FALSE),"NOT FOUND IN EMAILS")</f>
        <v>supplier@gmail.com</v>
      </c>
      <c r="Q1015" t="str">
        <f ca="1">""&amp;IFERROR(VLOOKUP(O1015,EMAILS!B:D,3,FALSE),"NOT FOUND IN EMAILS")</f>
        <v/>
      </c>
      <c r="R1015" t="str">
        <f ca="1">""&amp;IFERROR(VLOOKUP(O1015,EMAILS!B:E,4,FALSE),"NO T FOUND IN EMAILS")</f>
        <v/>
      </c>
    </row>
    <row r="1016" spans="2:18" x14ac:dyDescent="0.25">
      <c r="B1016" s="5" t="s">
        <v>1018</v>
      </c>
      <c r="C1016" s="5" t="s">
        <v>5158</v>
      </c>
      <c r="D1016" s="5">
        <v>0</v>
      </c>
      <c r="E1016" s="5">
        <v>0</v>
      </c>
      <c r="F1016" s="5">
        <v>0</v>
      </c>
      <c r="G1016" s="5">
        <v>0</v>
      </c>
      <c r="H1016" s="5">
        <v>0</v>
      </c>
      <c r="I1016" s="5">
        <v>0</v>
      </c>
      <c r="J1016" s="5">
        <v>0</v>
      </c>
      <c r="K1016" s="5">
        <v>0</v>
      </c>
      <c r="L1016" s="5">
        <v>0</v>
      </c>
      <c r="M1016" s="5">
        <v>0</v>
      </c>
      <c r="N1016" s="5">
        <v>91</v>
      </c>
      <c r="O1016" s="5" t="str">
        <f t="shared" ca="1" si="15"/>
        <v>Supplier 175</v>
      </c>
      <c r="P1016" s="20" t="str">
        <f ca="1">IFERROR(VLOOKUP(O1016,EMAILS!B:C,2,FALSE),"NOT FOUND IN EMAILS")</f>
        <v>supplier@gmail.com</v>
      </c>
      <c r="Q1016" t="str">
        <f ca="1">""&amp;IFERROR(VLOOKUP(O1016,EMAILS!B:D,3,FALSE),"NOT FOUND IN EMAILS")</f>
        <v/>
      </c>
      <c r="R1016" t="str">
        <f ca="1">""&amp;IFERROR(VLOOKUP(O1016,EMAILS!B:E,4,FALSE),"NO T FOUND IN EMAILS")</f>
        <v/>
      </c>
    </row>
    <row r="1017" spans="2:18" x14ac:dyDescent="0.25">
      <c r="B1017" s="5" t="s">
        <v>1019</v>
      </c>
      <c r="C1017" s="5" t="s">
        <v>5159</v>
      </c>
      <c r="D1017" s="5">
        <v>0</v>
      </c>
      <c r="E1017" s="5">
        <v>0</v>
      </c>
      <c r="F1017" s="5">
        <v>0</v>
      </c>
      <c r="G1017" s="5">
        <v>0</v>
      </c>
      <c r="H1017" s="5">
        <v>0</v>
      </c>
      <c r="I1017" s="5">
        <v>0</v>
      </c>
      <c r="J1017" s="5">
        <v>0</v>
      </c>
      <c r="K1017" s="5">
        <v>0</v>
      </c>
      <c r="L1017" s="5">
        <v>0</v>
      </c>
      <c r="M1017" s="5">
        <v>0</v>
      </c>
      <c r="N1017" s="5">
        <v>351</v>
      </c>
      <c r="O1017" s="5" t="str">
        <f t="shared" ca="1" si="15"/>
        <v>Supplier 54</v>
      </c>
      <c r="P1017" s="20" t="str">
        <f ca="1">IFERROR(VLOOKUP(O1017,EMAILS!B:C,2,FALSE),"NOT FOUND IN EMAILS")</f>
        <v>supplier@gmail.com</v>
      </c>
      <c r="Q1017" t="str">
        <f ca="1">""&amp;IFERROR(VLOOKUP(O1017,EMAILS!B:D,3,FALSE),"NOT FOUND IN EMAILS")</f>
        <v/>
      </c>
      <c r="R1017" t="str">
        <f ca="1">""&amp;IFERROR(VLOOKUP(O1017,EMAILS!B:E,4,FALSE),"NO T FOUND IN EMAILS")</f>
        <v/>
      </c>
    </row>
    <row r="1018" spans="2:18" x14ac:dyDescent="0.25">
      <c r="B1018" s="5" t="s">
        <v>1020</v>
      </c>
      <c r="C1018" s="5" t="s">
        <v>5160</v>
      </c>
      <c r="D1018" s="5">
        <v>0</v>
      </c>
      <c r="E1018" s="5">
        <v>0</v>
      </c>
      <c r="F1018" s="5">
        <v>30</v>
      </c>
      <c r="G1018" s="5">
        <v>30</v>
      </c>
      <c r="H1018" s="5">
        <v>30</v>
      </c>
      <c r="I1018" s="5">
        <v>40</v>
      </c>
      <c r="J1018" s="5">
        <v>10</v>
      </c>
      <c r="K1018" s="5">
        <v>0</v>
      </c>
      <c r="L1018" s="5">
        <v>30</v>
      </c>
      <c r="M1018" s="5">
        <v>0</v>
      </c>
      <c r="N1018" s="5">
        <v>57</v>
      </c>
      <c r="O1018" s="5" t="str">
        <f t="shared" ca="1" si="15"/>
        <v>Supplier 141</v>
      </c>
      <c r="P1018" s="20" t="str">
        <f ca="1">IFERROR(VLOOKUP(O1018,EMAILS!B:C,2,FALSE),"NOT FOUND IN EMAILS")</f>
        <v>supplier@gmail.com</v>
      </c>
      <c r="Q1018" t="str">
        <f ca="1">""&amp;IFERROR(VLOOKUP(O1018,EMAILS!B:D,3,FALSE),"NOT FOUND IN EMAILS")</f>
        <v/>
      </c>
      <c r="R1018" t="str">
        <f ca="1">""&amp;IFERROR(VLOOKUP(O1018,EMAILS!B:E,4,FALSE),"NO T FOUND IN EMAILS")</f>
        <v/>
      </c>
    </row>
    <row r="1019" spans="2:18" x14ac:dyDescent="0.25">
      <c r="B1019" s="5" t="s">
        <v>1021</v>
      </c>
      <c r="C1019" s="5" t="s">
        <v>5161</v>
      </c>
      <c r="D1019" s="5">
        <v>0</v>
      </c>
      <c r="E1019" s="5">
        <v>0</v>
      </c>
      <c r="F1019" s="5">
        <v>25</v>
      </c>
      <c r="G1019" s="5">
        <v>0</v>
      </c>
      <c r="H1019" s="5">
        <v>25</v>
      </c>
      <c r="I1019" s="5">
        <v>25</v>
      </c>
      <c r="J1019" s="5">
        <v>0</v>
      </c>
      <c r="K1019" s="5">
        <v>0</v>
      </c>
      <c r="L1019" s="5">
        <v>0</v>
      </c>
      <c r="M1019" s="5">
        <v>0</v>
      </c>
      <c r="N1019" s="5">
        <v>234</v>
      </c>
      <c r="O1019" s="5" t="str">
        <f t="shared" ca="1" si="15"/>
        <v>Supplier 37</v>
      </c>
      <c r="P1019" s="20" t="str">
        <f ca="1">IFERROR(VLOOKUP(O1019,EMAILS!B:C,2,FALSE),"NOT FOUND IN EMAILS")</f>
        <v>supplier@gmail.com</v>
      </c>
      <c r="Q1019" t="str">
        <f ca="1">""&amp;IFERROR(VLOOKUP(O1019,EMAILS!B:D,3,FALSE),"NOT FOUND IN EMAILS")</f>
        <v/>
      </c>
      <c r="R1019" t="str">
        <f ca="1">""&amp;IFERROR(VLOOKUP(O1019,EMAILS!B:E,4,FALSE),"NO T FOUND IN EMAILS")</f>
        <v/>
      </c>
    </row>
    <row r="1020" spans="2:18" x14ac:dyDescent="0.25">
      <c r="B1020" s="5" t="s">
        <v>1022</v>
      </c>
      <c r="C1020" s="5" t="s">
        <v>5162</v>
      </c>
      <c r="D1020" s="5">
        <v>6</v>
      </c>
      <c r="E1020" s="5">
        <v>0</v>
      </c>
      <c r="F1020" s="5">
        <v>1</v>
      </c>
      <c r="G1020" s="5">
        <v>2</v>
      </c>
      <c r="H1020" s="5">
        <v>1</v>
      </c>
      <c r="I1020" s="5">
        <v>0</v>
      </c>
      <c r="J1020" s="5">
        <v>1</v>
      </c>
      <c r="K1020" s="5">
        <v>1</v>
      </c>
      <c r="L1020" s="5">
        <v>0</v>
      </c>
      <c r="M1020" s="5">
        <v>0</v>
      </c>
      <c r="N1020" s="5">
        <v>130</v>
      </c>
      <c r="O1020" s="5" t="str">
        <f t="shared" ca="1" si="15"/>
        <v>Supplier 19</v>
      </c>
      <c r="P1020" s="20" t="str">
        <f ca="1">IFERROR(VLOOKUP(O1020,EMAILS!B:C,2,FALSE),"NOT FOUND IN EMAILS")</f>
        <v>supplier@gmail.com</v>
      </c>
      <c r="Q1020" t="str">
        <f ca="1">""&amp;IFERROR(VLOOKUP(O1020,EMAILS!B:D,3,FALSE),"NOT FOUND IN EMAILS")</f>
        <v>supplier_logistics@gmail.com</v>
      </c>
      <c r="R1020" t="str">
        <f ca="1">""&amp;IFERROR(VLOOKUP(O1020,EMAILS!B:E,4,FALSE),"NO T FOUND IN EMAILS")</f>
        <v/>
      </c>
    </row>
    <row r="1021" spans="2:18" x14ac:dyDescent="0.25">
      <c r="B1021" s="5" t="s">
        <v>1023</v>
      </c>
      <c r="C1021" s="5" t="s">
        <v>5163</v>
      </c>
      <c r="D1021" s="5">
        <v>0</v>
      </c>
      <c r="E1021" s="5">
        <v>0</v>
      </c>
      <c r="F1021" s="5">
        <v>0</v>
      </c>
      <c r="G1021" s="5">
        <v>0</v>
      </c>
      <c r="H1021" s="5">
        <v>0</v>
      </c>
      <c r="I1021" s="5">
        <v>0</v>
      </c>
      <c r="J1021" s="5">
        <v>0</v>
      </c>
      <c r="K1021" s="5">
        <v>0</v>
      </c>
      <c r="L1021" s="5">
        <v>0</v>
      </c>
      <c r="M1021" s="5">
        <v>0</v>
      </c>
      <c r="N1021" s="5">
        <v>218</v>
      </c>
      <c r="O1021" s="5" t="str">
        <f t="shared" ca="1" si="15"/>
        <v>Supplier 65</v>
      </c>
      <c r="P1021" s="20" t="str">
        <f ca="1">IFERROR(VLOOKUP(O1021,EMAILS!B:C,2,FALSE),"NOT FOUND IN EMAILS")</f>
        <v>supplier@gmail.com</v>
      </c>
      <c r="Q1021" t="str">
        <f ca="1">""&amp;IFERROR(VLOOKUP(O1021,EMAILS!B:D,3,FALSE),"NOT FOUND IN EMAILS")</f>
        <v/>
      </c>
      <c r="R1021" t="str">
        <f ca="1">""&amp;IFERROR(VLOOKUP(O1021,EMAILS!B:E,4,FALSE),"NO T FOUND IN EMAILS")</f>
        <v/>
      </c>
    </row>
    <row r="1022" spans="2:18" x14ac:dyDescent="0.25">
      <c r="B1022" s="5" t="s">
        <v>1024</v>
      </c>
      <c r="C1022" s="5" t="s">
        <v>5164</v>
      </c>
      <c r="D1022" s="5">
        <v>180</v>
      </c>
      <c r="E1022" s="5">
        <v>180</v>
      </c>
      <c r="F1022" s="5">
        <v>240</v>
      </c>
      <c r="G1022" s="5">
        <v>240</v>
      </c>
      <c r="H1022" s="5">
        <v>180</v>
      </c>
      <c r="I1022" s="5">
        <v>180</v>
      </c>
      <c r="J1022" s="5">
        <v>240</v>
      </c>
      <c r="K1022" s="5">
        <v>240</v>
      </c>
      <c r="L1022" s="5">
        <v>60</v>
      </c>
      <c r="M1022" s="5">
        <v>0</v>
      </c>
      <c r="N1022" s="5">
        <v>0</v>
      </c>
      <c r="O1022" s="5" t="str">
        <f t="shared" ca="1" si="15"/>
        <v>Supplier 9</v>
      </c>
      <c r="P1022" s="20" t="str">
        <f ca="1">IFERROR(VLOOKUP(O1022,EMAILS!B:C,2,FALSE),"NOT FOUND IN EMAILS")</f>
        <v>supplier@gmail.com</v>
      </c>
      <c r="Q1022" t="str">
        <f ca="1">""&amp;IFERROR(VLOOKUP(O1022,EMAILS!B:D,3,FALSE),"NOT FOUND IN EMAILS")</f>
        <v>supplier_logistics@gmail.com</v>
      </c>
      <c r="R1022" t="str">
        <f ca="1">""&amp;IFERROR(VLOOKUP(O1022,EMAILS!B:E,4,FALSE),"NO T FOUND IN EMAILS")</f>
        <v/>
      </c>
    </row>
    <row r="1023" spans="2:18" x14ac:dyDescent="0.25">
      <c r="B1023" s="5" t="s">
        <v>1025</v>
      </c>
      <c r="C1023" s="5" t="s">
        <v>5165</v>
      </c>
      <c r="D1023" s="5">
        <v>0</v>
      </c>
      <c r="E1023" s="5">
        <v>0</v>
      </c>
      <c r="F1023" s="5">
        <v>2400</v>
      </c>
      <c r="G1023" s="5">
        <v>600</v>
      </c>
      <c r="H1023" s="5">
        <v>800</v>
      </c>
      <c r="I1023" s="5">
        <v>0</v>
      </c>
      <c r="J1023" s="5">
        <v>0</v>
      </c>
      <c r="K1023" s="5">
        <v>1800</v>
      </c>
      <c r="L1023" s="5">
        <v>0</v>
      </c>
      <c r="M1023" s="5">
        <v>0</v>
      </c>
      <c r="N1023" s="5">
        <v>270</v>
      </c>
      <c r="O1023" s="5" t="str">
        <f t="shared" ca="1" si="15"/>
        <v>Supplier 197</v>
      </c>
      <c r="P1023" s="20" t="str">
        <f ca="1">IFERROR(VLOOKUP(O1023,EMAILS!B:C,2,FALSE),"NOT FOUND IN EMAILS")</f>
        <v>supplier@gmail.com</v>
      </c>
      <c r="Q1023" t="str">
        <f ca="1">""&amp;IFERROR(VLOOKUP(O1023,EMAILS!B:D,3,FALSE),"NOT FOUND IN EMAILS")</f>
        <v/>
      </c>
      <c r="R1023" t="str">
        <f ca="1">""&amp;IFERROR(VLOOKUP(O1023,EMAILS!B:E,4,FALSE),"NO T FOUND IN EMAILS")</f>
        <v/>
      </c>
    </row>
    <row r="1024" spans="2:18" x14ac:dyDescent="0.25">
      <c r="B1024" s="5" t="s">
        <v>1026</v>
      </c>
      <c r="C1024" s="5" t="s">
        <v>5166</v>
      </c>
      <c r="D1024" s="5">
        <v>1600</v>
      </c>
      <c r="E1024" s="5">
        <v>1600</v>
      </c>
      <c r="F1024" s="5">
        <v>0</v>
      </c>
      <c r="G1024" s="5">
        <v>400</v>
      </c>
      <c r="H1024" s="5">
        <v>0</v>
      </c>
      <c r="I1024" s="5">
        <v>0</v>
      </c>
      <c r="J1024" s="5">
        <v>1200</v>
      </c>
      <c r="K1024" s="5">
        <v>0</v>
      </c>
      <c r="L1024" s="5">
        <v>200</v>
      </c>
      <c r="M1024" s="5">
        <v>0</v>
      </c>
      <c r="N1024" s="5">
        <v>0</v>
      </c>
      <c r="O1024" s="5" t="str">
        <f t="shared" ca="1" si="15"/>
        <v>Supplier 154</v>
      </c>
      <c r="P1024" s="20" t="str">
        <f ca="1">IFERROR(VLOOKUP(O1024,EMAILS!B:C,2,FALSE),"NOT FOUND IN EMAILS")</f>
        <v>supplier@gmail.com</v>
      </c>
      <c r="Q1024" t="str">
        <f ca="1">""&amp;IFERROR(VLOOKUP(O1024,EMAILS!B:D,3,FALSE),"NOT FOUND IN EMAILS")</f>
        <v/>
      </c>
      <c r="R1024" t="str">
        <f ca="1">""&amp;IFERROR(VLOOKUP(O1024,EMAILS!B:E,4,FALSE),"NO T FOUND IN EMAILS")</f>
        <v/>
      </c>
    </row>
    <row r="1025" spans="2:18" x14ac:dyDescent="0.25">
      <c r="B1025" s="5" t="s">
        <v>1027</v>
      </c>
      <c r="C1025" s="5" t="s">
        <v>5167</v>
      </c>
      <c r="D1025" s="5">
        <v>0.05</v>
      </c>
      <c r="E1025" s="5">
        <v>0.54200000000000004</v>
      </c>
      <c r="F1025" s="5">
        <v>0.16500000000000001</v>
      </c>
      <c r="G1025" s="5">
        <v>0.16500000000000001</v>
      </c>
      <c r="H1025" s="5">
        <v>0.16500000000000001</v>
      </c>
      <c r="I1025" s="5">
        <v>0.16500000000000001</v>
      </c>
      <c r="J1025" s="5">
        <v>0.16500000000000001</v>
      </c>
      <c r="K1025" s="5">
        <v>9.4E-2</v>
      </c>
      <c r="L1025" s="5">
        <v>0.16500000000000001</v>
      </c>
      <c r="M1025" s="5">
        <v>0</v>
      </c>
      <c r="N1025" s="5">
        <v>50</v>
      </c>
      <c r="O1025" s="5" t="str">
        <f t="shared" ca="1" si="15"/>
        <v>Supplier 45</v>
      </c>
      <c r="P1025" s="20" t="str">
        <f ca="1">IFERROR(VLOOKUP(O1025,EMAILS!B:C,2,FALSE),"NOT FOUND IN EMAILS")</f>
        <v>supplier@gmail.com</v>
      </c>
      <c r="Q1025" t="str">
        <f ca="1">""&amp;IFERROR(VLOOKUP(O1025,EMAILS!B:D,3,FALSE),"NOT FOUND IN EMAILS")</f>
        <v/>
      </c>
      <c r="R1025" t="str">
        <f ca="1">""&amp;IFERROR(VLOOKUP(O1025,EMAILS!B:E,4,FALSE),"NO T FOUND IN EMAILS")</f>
        <v/>
      </c>
    </row>
    <row r="1026" spans="2:18" x14ac:dyDescent="0.25">
      <c r="B1026" s="5" t="s">
        <v>1028</v>
      </c>
      <c r="C1026" s="5" t="s">
        <v>5168</v>
      </c>
      <c r="D1026" s="5">
        <v>156</v>
      </c>
      <c r="E1026" s="5">
        <v>156</v>
      </c>
      <c r="F1026" s="5">
        <v>168</v>
      </c>
      <c r="G1026" s="5">
        <v>132</v>
      </c>
      <c r="H1026" s="5">
        <v>162</v>
      </c>
      <c r="I1026" s="5">
        <v>144</v>
      </c>
      <c r="J1026" s="5">
        <v>132</v>
      </c>
      <c r="K1026" s="5">
        <v>132</v>
      </c>
      <c r="L1026" s="5">
        <v>108</v>
      </c>
      <c r="M1026" s="5">
        <v>0</v>
      </c>
      <c r="N1026" s="5">
        <v>250</v>
      </c>
      <c r="O1026" s="5" t="str">
        <f t="shared" ca="1" si="15"/>
        <v>Supplier 158</v>
      </c>
      <c r="P1026" s="20" t="str">
        <f ca="1">IFERROR(VLOOKUP(O1026,EMAILS!B:C,2,FALSE),"NOT FOUND IN EMAILS")</f>
        <v>supplier@gmail.com</v>
      </c>
      <c r="Q1026" t="str">
        <f ca="1">""&amp;IFERROR(VLOOKUP(O1026,EMAILS!B:D,3,FALSE),"NOT FOUND IN EMAILS")</f>
        <v/>
      </c>
      <c r="R1026" t="str">
        <f ca="1">""&amp;IFERROR(VLOOKUP(O1026,EMAILS!B:E,4,FALSE),"NO T FOUND IN EMAILS")</f>
        <v/>
      </c>
    </row>
    <row r="1027" spans="2:18" x14ac:dyDescent="0.25">
      <c r="B1027" s="5" t="s">
        <v>1029</v>
      </c>
      <c r="C1027" s="5" t="s">
        <v>5169</v>
      </c>
      <c r="D1027" s="5">
        <v>0</v>
      </c>
      <c r="E1027" s="5">
        <v>0</v>
      </c>
      <c r="F1027" s="5">
        <v>0</v>
      </c>
      <c r="G1027" s="5">
        <v>0</v>
      </c>
      <c r="H1027" s="5">
        <v>0</v>
      </c>
      <c r="I1027" s="5">
        <v>0</v>
      </c>
      <c r="J1027" s="5">
        <v>0</v>
      </c>
      <c r="K1027" s="5">
        <v>0</v>
      </c>
      <c r="L1027" s="5">
        <v>0</v>
      </c>
      <c r="M1027" s="5">
        <v>0</v>
      </c>
      <c r="N1027" s="5">
        <v>41</v>
      </c>
      <c r="O1027" s="5" t="str">
        <f t="shared" ref="O1027:O1090" ca="1" si="16">"Supplier "&amp;RANDBETWEEN(1,200)</f>
        <v>Supplier 14</v>
      </c>
      <c r="P1027" s="20" t="str">
        <f ca="1">IFERROR(VLOOKUP(O1027,EMAILS!B:C,2,FALSE),"NOT FOUND IN EMAILS")</f>
        <v>supplier@gmail.com</v>
      </c>
      <c r="Q1027" t="str">
        <f ca="1">""&amp;IFERROR(VLOOKUP(O1027,EMAILS!B:D,3,FALSE),"NOT FOUND IN EMAILS")</f>
        <v>supplier_logistics@gmail.com</v>
      </c>
      <c r="R1027" t="str">
        <f ca="1">""&amp;IFERROR(VLOOKUP(O1027,EMAILS!B:E,4,FALSE),"NO T FOUND IN EMAILS")</f>
        <v/>
      </c>
    </row>
    <row r="1028" spans="2:18" x14ac:dyDescent="0.25">
      <c r="B1028" s="5" t="s">
        <v>1030</v>
      </c>
      <c r="C1028" s="5" t="s">
        <v>5170</v>
      </c>
      <c r="D1028" s="5">
        <v>0</v>
      </c>
      <c r="E1028" s="5">
        <v>0</v>
      </c>
      <c r="F1028" s="5">
        <v>0</v>
      </c>
      <c r="G1028" s="5">
        <v>0</v>
      </c>
      <c r="H1028" s="5">
        <v>0</v>
      </c>
      <c r="I1028" s="5">
        <v>0</v>
      </c>
      <c r="J1028" s="5">
        <v>0</v>
      </c>
      <c r="K1028" s="5">
        <v>0</v>
      </c>
      <c r="L1028" s="5">
        <v>0</v>
      </c>
      <c r="M1028" s="5">
        <v>0</v>
      </c>
      <c r="N1028" s="5">
        <v>14</v>
      </c>
      <c r="O1028" s="5" t="str">
        <f t="shared" ca="1" si="16"/>
        <v>Supplier 135</v>
      </c>
      <c r="P1028" s="20" t="str">
        <f ca="1">IFERROR(VLOOKUP(O1028,EMAILS!B:C,2,FALSE),"NOT FOUND IN EMAILS")</f>
        <v>supplier@gmail.com</v>
      </c>
      <c r="Q1028" t="str">
        <f ca="1">""&amp;IFERROR(VLOOKUP(O1028,EMAILS!B:D,3,FALSE),"NOT FOUND IN EMAILS")</f>
        <v/>
      </c>
      <c r="R1028" t="str">
        <f ca="1">""&amp;IFERROR(VLOOKUP(O1028,EMAILS!B:E,4,FALSE),"NO T FOUND IN EMAILS")</f>
        <v/>
      </c>
    </row>
    <row r="1029" spans="2:18" x14ac:dyDescent="0.25">
      <c r="B1029" s="5" t="s">
        <v>1031</v>
      </c>
      <c r="C1029" s="5" t="s">
        <v>5171</v>
      </c>
      <c r="D1029" s="5">
        <v>0</v>
      </c>
      <c r="E1029" s="5">
        <v>0</v>
      </c>
      <c r="F1029" s="5">
        <v>0</v>
      </c>
      <c r="G1029" s="5">
        <v>0</v>
      </c>
      <c r="H1029" s="5">
        <v>0</v>
      </c>
      <c r="I1029" s="5">
        <v>0</v>
      </c>
      <c r="J1029" s="5">
        <v>0</v>
      </c>
      <c r="K1029" s="5">
        <v>0</v>
      </c>
      <c r="L1029" s="5">
        <v>0</v>
      </c>
      <c r="M1029" s="5">
        <v>0</v>
      </c>
      <c r="N1029" s="5">
        <v>849</v>
      </c>
      <c r="O1029" s="5" t="str">
        <f t="shared" ca="1" si="16"/>
        <v>Supplier 102</v>
      </c>
      <c r="P1029" s="20" t="str">
        <f ca="1">IFERROR(VLOOKUP(O1029,EMAILS!B:C,2,FALSE),"NOT FOUND IN EMAILS")</f>
        <v>supplier@gmail.com</v>
      </c>
      <c r="Q1029" t="str">
        <f ca="1">""&amp;IFERROR(VLOOKUP(O1029,EMAILS!B:D,3,FALSE),"NOT FOUND IN EMAILS")</f>
        <v/>
      </c>
      <c r="R1029" t="str">
        <f ca="1">""&amp;IFERROR(VLOOKUP(O1029,EMAILS!B:E,4,FALSE),"NO T FOUND IN EMAILS")</f>
        <v/>
      </c>
    </row>
    <row r="1030" spans="2:18" x14ac:dyDescent="0.25">
      <c r="B1030" s="5" t="s">
        <v>1032</v>
      </c>
      <c r="C1030" s="5" t="s">
        <v>5172</v>
      </c>
      <c r="D1030" s="5">
        <v>0</v>
      </c>
      <c r="E1030" s="5">
        <v>0</v>
      </c>
      <c r="F1030" s="5">
        <v>0</v>
      </c>
      <c r="G1030" s="5">
        <v>0</v>
      </c>
      <c r="H1030" s="5">
        <v>0</v>
      </c>
      <c r="I1030" s="5">
        <v>0</v>
      </c>
      <c r="J1030" s="5">
        <v>0</v>
      </c>
      <c r="K1030" s="5">
        <v>0</v>
      </c>
      <c r="L1030" s="5">
        <v>0</v>
      </c>
      <c r="M1030" s="5">
        <v>0</v>
      </c>
      <c r="N1030" s="5">
        <v>270</v>
      </c>
      <c r="O1030" s="5" t="str">
        <f t="shared" ca="1" si="16"/>
        <v>Supplier 171</v>
      </c>
      <c r="P1030" s="20" t="str">
        <f ca="1">IFERROR(VLOOKUP(O1030,EMAILS!B:C,2,FALSE),"NOT FOUND IN EMAILS")</f>
        <v>supplier@gmail.com</v>
      </c>
      <c r="Q1030" t="str">
        <f ca="1">""&amp;IFERROR(VLOOKUP(O1030,EMAILS!B:D,3,FALSE),"NOT FOUND IN EMAILS")</f>
        <v/>
      </c>
      <c r="R1030" t="str">
        <f ca="1">""&amp;IFERROR(VLOOKUP(O1030,EMAILS!B:E,4,FALSE),"NO T FOUND IN EMAILS")</f>
        <v/>
      </c>
    </row>
    <row r="1031" spans="2:18" x14ac:dyDescent="0.25">
      <c r="B1031" s="5" t="s">
        <v>1033</v>
      </c>
      <c r="C1031" s="5" t="s">
        <v>5173</v>
      </c>
      <c r="D1031" s="5">
        <v>0</v>
      </c>
      <c r="E1031" s="5">
        <v>0</v>
      </c>
      <c r="F1031" s="5">
        <v>0</v>
      </c>
      <c r="G1031" s="5">
        <v>0</v>
      </c>
      <c r="H1031" s="5">
        <v>0</v>
      </c>
      <c r="I1031" s="5">
        <v>0</v>
      </c>
      <c r="J1031" s="5">
        <v>0</v>
      </c>
      <c r="K1031" s="5">
        <v>0</v>
      </c>
      <c r="L1031" s="5">
        <v>0</v>
      </c>
      <c r="M1031" s="5">
        <v>0</v>
      </c>
      <c r="N1031" s="5">
        <v>50</v>
      </c>
      <c r="O1031" s="5" t="str">
        <f t="shared" ca="1" si="16"/>
        <v>Supplier 56</v>
      </c>
      <c r="P1031" s="20" t="str">
        <f ca="1">IFERROR(VLOOKUP(O1031,EMAILS!B:C,2,FALSE),"NOT FOUND IN EMAILS")</f>
        <v>supplier@gmail.com</v>
      </c>
      <c r="Q1031" t="str">
        <f ca="1">""&amp;IFERROR(VLOOKUP(O1031,EMAILS!B:D,3,FALSE),"NOT FOUND IN EMAILS")</f>
        <v/>
      </c>
      <c r="R1031" t="str">
        <f ca="1">""&amp;IFERROR(VLOOKUP(O1031,EMAILS!B:E,4,FALSE),"NO T FOUND IN EMAILS")</f>
        <v/>
      </c>
    </row>
    <row r="1032" spans="2:18" x14ac:dyDescent="0.25">
      <c r="B1032" s="5" t="s">
        <v>1034</v>
      </c>
      <c r="C1032" s="5" t="s">
        <v>5174</v>
      </c>
      <c r="D1032" s="5">
        <v>156</v>
      </c>
      <c r="E1032" s="5">
        <v>156</v>
      </c>
      <c r="F1032" s="5">
        <v>168</v>
      </c>
      <c r="G1032" s="5">
        <v>132</v>
      </c>
      <c r="H1032" s="5">
        <v>162</v>
      </c>
      <c r="I1032" s="5">
        <v>144</v>
      </c>
      <c r="J1032" s="5">
        <v>132</v>
      </c>
      <c r="K1032" s="5">
        <v>132</v>
      </c>
      <c r="L1032" s="5">
        <v>108</v>
      </c>
      <c r="M1032" s="5">
        <v>0</v>
      </c>
      <c r="N1032" s="5">
        <v>150</v>
      </c>
      <c r="O1032" s="5" t="str">
        <f t="shared" ca="1" si="16"/>
        <v>Supplier 32</v>
      </c>
      <c r="P1032" s="20" t="str">
        <f ca="1">IFERROR(VLOOKUP(O1032,EMAILS!B:C,2,FALSE),"NOT FOUND IN EMAILS")</f>
        <v>supplier@gmail.com</v>
      </c>
      <c r="Q1032" t="str">
        <f ca="1">""&amp;IFERROR(VLOOKUP(O1032,EMAILS!B:D,3,FALSE),"NOT FOUND IN EMAILS")</f>
        <v/>
      </c>
      <c r="R1032" t="str">
        <f ca="1">""&amp;IFERROR(VLOOKUP(O1032,EMAILS!B:E,4,FALSE),"NO T FOUND IN EMAILS")</f>
        <v/>
      </c>
    </row>
    <row r="1033" spans="2:18" x14ac:dyDescent="0.25">
      <c r="B1033" s="5" t="s">
        <v>1035</v>
      </c>
      <c r="C1033" s="5" t="s">
        <v>5175</v>
      </c>
      <c r="D1033" s="5">
        <v>156</v>
      </c>
      <c r="E1033" s="5">
        <v>156</v>
      </c>
      <c r="F1033" s="5">
        <v>168</v>
      </c>
      <c r="G1033" s="5">
        <v>132</v>
      </c>
      <c r="H1033" s="5">
        <v>162</v>
      </c>
      <c r="I1033" s="5">
        <v>144</v>
      </c>
      <c r="J1033" s="5">
        <v>132</v>
      </c>
      <c r="K1033" s="5">
        <v>132</v>
      </c>
      <c r="L1033" s="5">
        <v>108</v>
      </c>
      <c r="M1033" s="5">
        <v>0</v>
      </c>
      <c r="N1033" s="5">
        <v>32</v>
      </c>
      <c r="O1033" s="5" t="str">
        <f t="shared" ca="1" si="16"/>
        <v>Supplier 21</v>
      </c>
      <c r="P1033" s="20" t="str">
        <f ca="1">IFERROR(VLOOKUP(O1033,EMAILS!B:C,2,FALSE),"NOT FOUND IN EMAILS")</f>
        <v>supplier@gmail.com</v>
      </c>
      <c r="Q1033" t="str">
        <f ca="1">""&amp;IFERROR(VLOOKUP(O1033,EMAILS!B:D,3,FALSE),"NOT FOUND IN EMAILS")</f>
        <v/>
      </c>
      <c r="R1033" t="str">
        <f ca="1">""&amp;IFERROR(VLOOKUP(O1033,EMAILS!B:E,4,FALSE),"NO T FOUND IN EMAILS")</f>
        <v/>
      </c>
    </row>
    <row r="1034" spans="2:18" x14ac:dyDescent="0.25">
      <c r="B1034" s="5" t="s">
        <v>1036</v>
      </c>
      <c r="C1034" s="5" t="s">
        <v>5176</v>
      </c>
      <c r="D1034" s="5">
        <v>0</v>
      </c>
      <c r="E1034" s="5">
        <v>0</v>
      </c>
      <c r="F1034" s="5">
        <v>30</v>
      </c>
      <c r="G1034" s="5">
        <v>30</v>
      </c>
      <c r="H1034" s="5">
        <v>30</v>
      </c>
      <c r="I1034" s="5">
        <v>30</v>
      </c>
      <c r="J1034" s="5">
        <v>30</v>
      </c>
      <c r="K1034" s="5">
        <v>30</v>
      </c>
      <c r="L1034" s="5">
        <v>30</v>
      </c>
      <c r="M1034" s="5">
        <v>0</v>
      </c>
      <c r="N1034" s="5">
        <v>100</v>
      </c>
      <c r="O1034" s="5" t="str">
        <f t="shared" ca="1" si="16"/>
        <v>Supplier 198</v>
      </c>
      <c r="P1034" s="20" t="str">
        <f ca="1">IFERROR(VLOOKUP(O1034,EMAILS!B:C,2,FALSE),"NOT FOUND IN EMAILS")</f>
        <v>supplier@gmail.com</v>
      </c>
      <c r="Q1034" t="str">
        <f ca="1">""&amp;IFERROR(VLOOKUP(O1034,EMAILS!B:D,3,FALSE),"NOT FOUND IN EMAILS")</f>
        <v/>
      </c>
      <c r="R1034" t="str">
        <f ca="1">""&amp;IFERROR(VLOOKUP(O1034,EMAILS!B:E,4,FALSE),"NO T FOUND IN EMAILS")</f>
        <v/>
      </c>
    </row>
    <row r="1035" spans="2:18" x14ac:dyDescent="0.25">
      <c r="B1035" s="5" t="s">
        <v>1037</v>
      </c>
      <c r="C1035" s="5" t="s">
        <v>5177</v>
      </c>
      <c r="D1035" s="5">
        <v>0</v>
      </c>
      <c r="E1035" s="5">
        <v>0</v>
      </c>
      <c r="F1035" s="5">
        <v>30</v>
      </c>
      <c r="G1035" s="5">
        <v>30</v>
      </c>
      <c r="H1035" s="5">
        <v>30</v>
      </c>
      <c r="I1035" s="5">
        <v>30</v>
      </c>
      <c r="J1035" s="5">
        <v>30</v>
      </c>
      <c r="K1035" s="5">
        <v>30</v>
      </c>
      <c r="L1035" s="5">
        <v>30</v>
      </c>
      <c r="M1035" s="5">
        <v>0</v>
      </c>
      <c r="N1035" s="5">
        <v>180</v>
      </c>
      <c r="O1035" s="5" t="str">
        <f t="shared" ca="1" si="16"/>
        <v>Supplier 36</v>
      </c>
      <c r="P1035" s="20" t="str">
        <f ca="1">IFERROR(VLOOKUP(O1035,EMAILS!B:C,2,FALSE),"NOT FOUND IN EMAILS")</f>
        <v>supplier@gmail.com</v>
      </c>
      <c r="Q1035" t="str">
        <f ca="1">""&amp;IFERROR(VLOOKUP(O1035,EMAILS!B:D,3,FALSE),"NOT FOUND IN EMAILS")</f>
        <v/>
      </c>
      <c r="R1035" t="str">
        <f ca="1">""&amp;IFERROR(VLOOKUP(O1035,EMAILS!B:E,4,FALSE),"NO T FOUND IN EMAILS")</f>
        <v/>
      </c>
    </row>
    <row r="1036" spans="2:18" x14ac:dyDescent="0.25">
      <c r="B1036" s="5" t="s">
        <v>1038</v>
      </c>
      <c r="C1036" s="5" t="s">
        <v>5178</v>
      </c>
      <c r="D1036" s="5">
        <v>2</v>
      </c>
      <c r="E1036" s="5">
        <v>0</v>
      </c>
      <c r="F1036" s="5">
        <v>60</v>
      </c>
      <c r="G1036" s="5">
        <v>60</v>
      </c>
      <c r="H1036" s="5">
        <v>60</v>
      </c>
      <c r="I1036" s="5">
        <v>60</v>
      </c>
      <c r="J1036" s="5">
        <v>60</v>
      </c>
      <c r="K1036" s="5">
        <v>60</v>
      </c>
      <c r="L1036" s="5">
        <v>60</v>
      </c>
      <c r="M1036" s="5">
        <v>0</v>
      </c>
      <c r="N1036" s="5">
        <v>50</v>
      </c>
      <c r="O1036" s="5" t="str">
        <f t="shared" ca="1" si="16"/>
        <v>Supplier 193</v>
      </c>
      <c r="P1036" s="20" t="str">
        <f ca="1">IFERROR(VLOOKUP(O1036,EMAILS!B:C,2,FALSE),"NOT FOUND IN EMAILS")</f>
        <v>supplier@gmail.com</v>
      </c>
      <c r="Q1036" t="str">
        <f ca="1">""&amp;IFERROR(VLOOKUP(O1036,EMAILS!B:D,3,FALSE),"NOT FOUND IN EMAILS")</f>
        <v/>
      </c>
      <c r="R1036" t="str">
        <f ca="1">""&amp;IFERROR(VLOOKUP(O1036,EMAILS!B:E,4,FALSE),"NO T FOUND IN EMAILS")</f>
        <v/>
      </c>
    </row>
    <row r="1037" spans="2:18" x14ac:dyDescent="0.25">
      <c r="B1037" s="5" t="s">
        <v>1039</v>
      </c>
      <c r="C1037" s="5" t="s">
        <v>5179</v>
      </c>
      <c r="D1037" s="5">
        <v>1</v>
      </c>
      <c r="E1037" s="5">
        <v>0</v>
      </c>
      <c r="F1037" s="5">
        <v>35</v>
      </c>
      <c r="G1037" s="5">
        <v>35</v>
      </c>
      <c r="H1037" s="5">
        <v>35</v>
      </c>
      <c r="I1037" s="5">
        <v>35</v>
      </c>
      <c r="J1037" s="5">
        <v>35</v>
      </c>
      <c r="K1037" s="5">
        <v>35</v>
      </c>
      <c r="L1037" s="5">
        <v>35</v>
      </c>
      <c r="M1037" s="5">
        <v>0</v>
      </c>
      <c r="N1037" s="5">
        <v>200</v>
      </c>
      <c r="O1037" s="5" t="str">
        <f t="shared" ca="1" si="16"/>
        <v>Supplier 100</v>
      </c>
      <c r="P1037" s="20" t="str">
        <f ca="1">IFERROR(VLOOKUP(O1037,EMAILS!B:C,2,FALSE),"NOT FOUND IN EMAILS")</f>
        <v>supplier@gmail.com</v>
      </c>
      <c r="Q1037" t="str">
        <f ca="1">""&amp;IFERROR(VLOOKUP(O1037,EMAILS!B:D,3,FALSE),"NOT FOUND IN EMAILS")</f>
        <v/>
      </c>
      <c r="R1037" t="str">
        <f ca="1">""&amp;IFERROR(VLOOKUP(O1037,EMAILS!B:E,4,FALSE),"NO T FOUND IN EMAILS")</f>
        <v/>
      </c>
    </row>
    <row r="1038" spans="2:18" x14ac:dyDescent="0.25">
      <c r="B1038" s="5" t="s">
        <v>1040</v>
      </c>
      <c r="C1038" s="5" t="s">
        <v>5180</v>
      </c>
      <c r="D1038" s="5">
        <v>91</v>
      </c>
      <c r="E1038" s="5">
        <v>35</v>
      </c>
      <c r="F1038" s="5">
        <v>33</v>
      </c>
      <c r="G1038" s="5">
        <v>33</v>
      </c>
      <c r="H1038" s="5">
        <v>33</v>
      </c>
      <c r="I1038" s="5">
        <v>33</v>
      </c>
      <c r="J1038" s="5">
        <v>33</v>
      </c>
      <c r="K1038" s="5">
        <v>33</v>
      </c>
      <c r="L1038" s="5">
        <v>33</v>
      </c>
      <c r="M1038" s="5">
        <v>0</v>
      </c>
      <c r="N1038" s="5">
        <v>250</v>
      </c>
      <c r="O1038" s="5" t="str">
        <f t="shared" ca="1" si="16"/>
        <v>Supplier 109</v>
      </c>
      <c r="P1038" s="20" t="str">
        <f ca="1">IFERROR(VLOOKUP(O1038,EMAILS!B:C,2,FALSE),"NOT FOUND IN EMAILS")</f>
        <v>supplier@gmail.com</v>
      </c>
      <c r="Q1038" t="str">
        <f ca="1">""&amp;IFERROR(VLOOKUP(O1038,EMAILS!B:D,3,FALSE),"NOT FOUND IN EMAILS")</f>
        <v/>
      </c>
      <c r="R1038" t="str">
        <f ca="1">""&amp;IFERROR(VLOOKUP(O1038,EMAILS!B:E,4,FALSE),"NO T FOUND IN EMAILS")</f>
        <v/>
      </c>
    </row>
    <row r="1039" spans="2:18" x14ac:dyDescent="0.25">
      <c r="B1039" s="5" t="s">
        <v>1041</v>
      </c>
      <c r="C1039" s="5" t="s">
        <v>5181</v>
      </c>
      <c r="D1039" s="5">
        <v>91</v>
      </c>
      <c r="E1039" s="5">
        <v>35</v>
      </c>
      <c r="F1039" s="5">
        <v>33</v>
      </c>
      <c r="G1039" s="5">
        <v>33</v>
      </c>
      <c r="H1039" s="5">
        <v>33</v>
      </c>
      <c r="I1039" s="5">
        <v>33</v>
      </c>
      <c r="J1039" s="5">
        <v>33</v>
      </c>
      <c r="K1039" s="5">
        <v>33</v>
      </c>
      <c r="L1039" s="5">
        <v>33</v>
      </c>
      <c r="M1039" s="5">
        <v>0</v>
      </c>
      <c r="N1039" s="5">
        <v>44</v>
      </c>
      <c r="O1039" s="5" t="str">
        <f t="shared" ca="1" si="16"/>
        <v>Supplier 92</v>
      </c>
      <c r="P1039" s="20" t="str">
        <f ca="1">IFERROR(VLOOKUP(O1039,EMAILS!B:C,2,FALSE),"NOT FOUND IN EMAILS")</f>
        <v>supplier@gmail.com</v>
      </c>
      <c r="Q1039" t="str">
        <f ca="1">""&amp;IFERROR(VLOOKUP(O1039,EMAILS!B:D,3,FALSE),"NOT FOUND IN EMAILS")</f>
        <v/>
      </c>
      <c r="R1039" t="str">
        <f ca="1">""&amp;IFERROR(VLOOKUP(O1039,EMAILS!B:E,4,FALSE),"NO T FOUND IN EMAILS")</f>
        <v/>
      </c>
    </row>
    <row r="1040" spans="2:18" x14ac:dyDescent="0.25">
      <c r="B1040" s="5" t="s">
        <v>1042</v>
      </c>
      <c r="C1040" s="5" t="s">
        <v>5182</v>
      </c>
      <c r="D1040" s="5">
        <v>1</v>
      </c>
      <c r="E1040" s="5">
        <v>0</v>
      </c>
      <c r="F1040" s="5">
        <v>15</v>
      </c>
      <c r="G1040" s="5">
        <v>15</v>
      </c>
      <c r="H1040" s="5">
        <v>15</v>
      </c>
      <c r="I1040" s="5">
        <v>15</v>
      </c>
      <c r="J1040" s="5">
        <v>15</v>
      </c>
      <c r="K1040" s="5">
        <v>15</v>
      </c>
      <c r="L1040" s="5">
        <v>15</v>
      </c>
      <c r="M1040" s="5">
        <v>0</v>
      </c>
      <c r="N1040" s="5">
        <v>190</v>
      </c>
      <c r="O1040" s="5" t="str">
        <f t="shared" ca="1" si="16"/>
        <v>Supplier 141</v>
      </c>
      <c r="P1040" s="20" t="str">
        <f ca="1">IFERROR(VLOOKUP(O1040,EMAILS!B:C,2,FALSE),"NOT FOUND IN EMAILS")</f>
        <v>supplier@gmail.com</v>
      </c>
      <c r="Q1040" t="str">
        <f ca="1">""&amp;IFERROR(VLOOKUP(O1040,EMAILS!B:D,3,FALSE),"NOT FOUND IN EMAILS")</f>
        <v/>
      </c>
      <c r="R1040" t="str">
        <f ca="1">""&amp;IFERROR(VLOOKUP(O1040,EMAILS!B:E,4,FALSE),"NO T FOUND IN EMAILS")</f>
        <v/>
      </c>
    </row>
    <row r="1041" spans="2:18" x14ac:dyDescent="0.25">
      <c r="B1041" s="5" t="s">
        <v>1043</v>
      </c>
      <c r="C1041" s="5" t="s">
        <v>5183</v>
      </c>
      <c r="D1041" s="5">
        <v>2</v>
      </c>
      <c r="E1041" s="5">
        <v>0</v>
      </c>
      <c r="F1041" s="5">
        <v>30</v>
      </c>
      <c r="G1041" s="5">
        <v>30</v>
      </c>
      <c r="H1041" s="5">
        <v>30</v>
      </c>
      <c r="I1041" s="5">
        <v>30</v>
      </c>
      <c r="J1041" s="5">
        <v>30</v>
      </c>
      <c r="K1041" s="5">
        <v>30</v>
      </c>
      <c r="L1041" s="5">
        <v>30</v>
      </c>
      <c r="M1041" s="5">
        <v>0</v>
      </c>
      <c r="N1041" s="5">
        <v>50</v>
      </c>
      <c r="O1041" s="5" t="str">
        <f t="shared" ca="1" si="16"/>
        <v>Supplier 54</v>
      </c>
      <c r="P1041" s="20" t="str">
        <f ca="1">IFERROR(VLOOKUP(O1041,EMAILS!B:C,2,FALSE),"NOT FOUND IN EMAILS")</f>
        <v>supplier@gmail.com</v>
      </c>
      <c r="Q1041" t="str">
        <f ca="1">""&amp;IFERROR(VLOOKUP(O1041,EMAILS!B:D,3,FALSE),"NOT FOUND IN EMAILS")</f>
        <v/>
      </c>
      <c r="R1041" t="str">
        <f ca="1">""&amp;IFERROR(VLOOKUP(O1041,EMAILS!B:E,4,FALSE),"NO T FOUND IN EMAILS")</f>
        <v/>
      </c>
    </row>
    <row r="1042" spans="2:18" x14ac:dyDescent="0.25">
      <c r="B1042" s="5" t="s">
        <v>1044</v>
      </c>
      <c r="C1042" s="5" t="s">
        <v>5184</v>
      </c>
      <c r="D1042" s="5">
        <v>1</v>
      </c>
      <c r="E1042" s="5">
        <v>0</v>
      </c>
      <c r="F1042" s="5">
        <v>5</v>
      </c>
      <c r="G1042" s="5">
        <v>5</v>
      </c>
      <c r="H1042" s="5">
        <v>5</v>
      </c>
      <c r="I1042" s="5">
        <v>5</v>
      </c>
      <c r="J1042" s="5">
        <v>5</v>
      </c>
      <c r="K1042" s="5">
        <v>5</v>
      </c>
      <c r="L1042" s="5">
        <v>5</v>
      </c>
      <c r="M1042" s="5">
        <v>0</v>
      </c>
      <c r="N1042" s="5">
        <v>140</v>
      </c>
      <c r="O1042" s="5" t="str">
        <f t="shared" ca="1" si="16"/>
        <v>Supplier 17</v>
      </c>
      <c r="P1042" s="20" t="str">
        <f ca="1">IFERROR(VLOOKUP(O1042,EMAILS!B:C,2,FALSE),"NOT FOUND IN EMAILS")</f>
        <v>supplier@gmail.com</v>
      </c>
      <c r="Q1042" t="str">
        <f ca="1">""&amp;IFERROR(VLOOKUP(O1042,EMAILS!B:D,3,FALSE),"NOT FOUND IN EMAILS")</f>
        <v>supplier_logistics@gmail.com</v>
      </c>
      <c r="R1042" t="str">
        <f ca="1">""&amp;IFERROR(VLOOKUP(O1042,EMAILS!B:E,4,FALSE),"NO T FOUND IN EMAILS")</f>
        <v/>
      </c>
    </row>
    <row r="1043" spans="2:18" x14ac:dyDescent="0.25">
      <c r="B1043" s="5" t="s">
        <v>1045</v>
      </c>
      <c r="C1043" s="5" t="s">
        <v>5185</v>
      </c>
      <c r="D1043" s="5">
        <v>92</v>
      </c>
      <c r="E1043" s="5">
        <v>35</v>
      </c>
      <c r="F1043" s="5">
        <v>68</v>
      </c>
      <c r="G1043" s="5">
        <v>68</v>
      </c>
      <c r="H1043" s="5">
        <v>68</v>
      </c>
      <c r="I1043" s="5">
        <v>68</v>
      </c>
      <c r="J1043" s="5">
        <v>68</v>
      </c>
      <c r="K1043" s="5">
        <v>68</v>
      </c>
      <c r="L1043" s="5">
        <v>68</v>
      </c>
      <c r="M1043" s="5">
        <v>0</v>
      </c>
      <c r="N1043" s="5">
        <v>0</v>
      </c>
      <c r="O1043" s="5" t="str">
        <f t="shared" ca="1" si="16"/>
        <v>Supplier 56</v>
      </c>
      <c r="P1043" s="20" t="str">
        <f ca="1">IFERROR(VLOOKUP(O1043,EMAILS!B:C,2,FALSE),"NOT FOUND IN EMAILS")</f>
        <v>supplier@gmail.com</v>
      </c>
      <c r="Q1043" t="str">
        <f ca="1">""&amp;IFERROR(VLOOKUP(O1043,EMAILS!B:D,3,FALSE),"NOT FOUND IN EMAILS")</f>
        <v/>
      </c>
      <c r="R1043" t="str">
        <f ca="1">""&amp;IFERROR(VLOOKUP(O1043,EMAILS!B:E,4,FALSE),"NO T FOUND IN EMAILS")</f>
        <v/>
      </c>
    </row>
    <row r="1044" spans="2:18" x14ac:dyDescent="0.25">
      <c r="B1044" s="5" t="s">
        <v>1046</v>
      </c>
      <c r="C1044" s="5" t="s">
        <v>5186</v>
      </c>
      <c r="D1044" s="5">
        <v>2</v>
      </c>
      <c r="E1044" s="5">
        <v>0</v>
      </c>
      <c r="F1044" s="5">
        <v>70</v>
      </c>
      <c r="G1044" s="5">
        <v>70</v>
      </c>
      <c r="H1044" s="5">
        <v>70</v>
      </c>
      <c r="I1044" s="5">
        <v>70</v>
      </c>
      <c r="J1044" s="5">
        <v>70</v>
      </c>
      <c r="K1044" s="5">
        <v>70</v>
      </c>
      <c r="L1044" s="5">
        <v>70</v>
      </c>
      <c r="M1044" s="5">
        <v>0</v>
      </c>
      <c r="N1044" s="5">
        <v>0</v>
      </c>
      <c r="O1044" s="5" t="str">
        <f t="shared" ca="1" si="16"/>
        <v>Supplier 172</v>
      </c>
      <c r="P1044" s="20" t="str">
        <f ca="1">IFERROR(VLOOKUP(O1044,EMAILS!B:C,2,FALSE),"NOT FOUND IN EMAILS")</f>
        <v>supplier@gmail.com</v>
      </c>
      <c r="Q1044" t="str">
        <f ca="1">""&amp;IFERROR(VLOOKUP(O1044,EMAILS!B:D,3,FALSE),"NOT FOUND IN EMAILS")</f>
        <v/>
      </c>
      <c r="R1044" t="str">
        <f ca="1">""&amp;IFERROR(VLOOKUP(O1044,EMAILS!B:E,4,FALSE),"NO T FOUND IN EMAILS")</f>
        <v/>
      </c>
    </row>
    <row r="1045" spans="2:18" x14ac:dyDescent="0.25">
      <c r="B1045" s="5" t="s">
        <v>1047</v>
      </c>
      <c r="C1045" s="5" t="s">
        <v>5187</v>
      </c>
      <c r="D1045" s="5">
        <v>0</v>
      </c>
      <c r="E1045" s="5">
        <v>0</v>
      </c>
      <c r="F1045" s="5">
        <v>0</v>
      </c>
      <c r="G1045" s="5">
        <v>0</v>
      </c>
      <c r="H1045" s="5">
        <v>0</v>
      </c>
      <c r="I1045" s="5">
        <v>0</v>
      </c>
      <c r="J1045" s="5">
        <v>0</v>
      </c>
      <c r="K1045" s="5">
        <v>0</v>
      </c>
      <c r="L1045" s="5">
        <v>0</v>
      </c>
      <c r="M1045" s="5">
        <v>0</v>
      </c>
      <c r="N1045" s="5">
        <v>78.5</v>
      </c>
      <c r="O1045" s="5" t="str">
        <f t="shared" ca="1" si="16"/>
        <v>Supplier 143</v>
      </c>
      <c r="P1045" s="20" t="str">
        <f ca="1">IFERROR(VLOOKUP(O1045,EMAILS!B:C,2,FALSE),"NOT FOUND IN EMAILS")</f>
        <v>supplier@gmail.com</v>
      </c>
      <c r="Q1045" t="str">
        <f ca="1">""&amp;IFERROR(VLOOKUP(O1045,EMAILS!B:D,3,FALSE),"NOT FOUND IN EMAILS")</f>
        <v/>
      </c>
      <c r="R1045" t="str">
        <f ca="1">""&amp;IFERROR(VLOOKUP(O1045,EMAILS!B:E,4,FALSE),"NO T FOUND IN EMAILS")</f>
        <v/>
      </c>
    </row>
    <row r="1046" spans="2:18" x14ac:dyDescent="0.25">
      <c r="B1046" s="5" t="s">
        <v>1048</v>
      </c>
      <c r="C1046" s="5" t="s">
        <v>5188</v>
      </c>
      <c r="D1046" s="5">
        <v>0</v>
      </c>
      <c r="E1046" s="5">
        <v>9.5</v>
      </c>
      <c r="F1046" s="5">
        <v>0</v>
      </c>
      <c r="G1046" s="5">
        <v>9.5</v>
      </c>
      <c r="H1046" s="5">
        <v>4.75</v>
      </c>
      <c r="I1046" s="5">
        <v>9.5</v>
      </c>
      <c r="J1046" s="5">
        <v>0</v>
      </c>
      <c r="K1046" s="5">
        <v>4.75</v>
      </c>
      <c r="L1046" s="5">
        <v>0</v>
      </c>
      <c r="M1046" s="5">
        <v>0</v>
      </c>
      <c r="N1046" s="5">
        <v>0</v>
      </c>
      <c r="O1046" s="5" t="str">
        <f t="shared" ca="1" si="16"/>
        <v>Supplier 159</v>
      </c>
      <c r="P1046" s="20" t="str">
        <f ca="1">IFERROR(VLOOKUP(O1046,EMAILS!B:C,2,FALSE),"NOT FOUND IN EMAILS")</f>
        <v>supplier@gmail.com</v>
      </c>
      <c r="Q1046" t="str">
        <f ca="1">""&amp;IFERROR(VLOOKUP(O1046,EMAILS!B:D,3,FALSE),"NOT FOUND IN EMAILS")</f>
        <v/>
      </c>
      <c r="R1046" t="str">
        <f ca="1">""&amp;IFERROR(VLOOKUP(O1046,EMAILS!B:E,4,FALSE),"NO T FOUND IN EMAILS")</f>
        <v/>
      </c>
    </row>
    <row r="1047" spans="2:18" x14ac:dyDescent="0.25">
      <c r="B1047" s="5" t="s">
        <v>1049</v>
      </c>
      <c r="C1047" s="5" t="s">
        <v>5189</v>
      </c>
      <c r="D1047" s="5">
        <v>0</v>
      </c>
      <c r="E1047" s="5">
        <v>0</v>
      </c>
      <c r="F1047" s="5">
        <v>0</v>
      </c>
      <c r="G1047" s="5">
        <v>0</v>
      </c>
      <c r="H1047" s="5">
        <v>0</v>
      </c>
      <c r="I1047" s="5">
        <v>0</v>
      </c>
      <c r="J1047" s="5">
        <v>0</v>
      </c>
      <c r="K1047" s="5">
        <v>0</v>
      </c>
      <c r="L1047" s="5">
        <v>0</v>
      </c>
      <c r="M1047" s="5">
        <v>0</v>
      </c>
      <c r="N1047" s="5">
        <v>0</v>
      </c>
      <c r="O1047" s="5" t="str">
        <f t="shared" ca="1" si="16"/>
        <v>Supplier 102</v>
      </c>
      <c r="P1047" s="20" t="str">
        <f ca="1">IFERROR(VLOOKUP(O1047,EMAILS!B:C,2,FALSE),"NOT FOUND IN EMAILS")</f>
        <v>supplier@gmail.com</v>
      </c>
      <c r="Q1047" t="str">
        <f ca="1">""&amp;IFERROR(VLOOKUP(O1047,EMAILS!B:D,3,FALSE),"NOT FOUND IN EMAILS")</f>
        <v/>
      </c>
      <c r="R1047" t="str">
        <f ca="1">""&amp;IFERROR(VLOOKUP(O1047,EMAILS!B:E,4,FALSE),"NO T FOUND IN EMAILS")</f>
        <v/>
      </c>
    </row>
    <row r="1048" spans="2:18" x14ac:dyDescent="0.25">
      <c r="B1048" s="5" t="s">
        <v>1050</v>
      </c>
      <c r="C1048" s="5" t="s">
        <v>5190</v>
      </c>
      <c r="D1048" s="5">
        <v>0</v>
      </c>
      <c r="E1048" s="5">
        <v>0</v>
      </c>
      <c r="F1048" s="5">
        <v>0</v>
      </c>
      <c r="G1048" s="5">
        <v>0</v>
      </c>
      <c r="H1048" s="5">
        <v>0</v>
      </c>
      <c r="I1048" s="5">
        <v>0</v>
      </c>
      <c r="J1048" s="5">
        <v>0</v>
      </c>
      <c r="K1048" s="5">
        <v>6.2</v>
      </c>
      <c r="L1048" s="5">
        <v>0</v>
      </c>
      <c r="M1048" s="5">
        <v>0</v>
      </c>
      <c r="N1048" s="5">
        <v>0</v>
      </c>
      <c r="O1048" s="5" t="str">
        <f t="shared" ca="1" si="16"/>
        <v>Supplier 183</v>
      </c>
      <c r="P1048" s="20" t="str">
        <f ca="1">IFERROR(VLOOKUP(O1048,EMAILS!B:C,2,FALSE),"NOT FOUND IN EMAILS")</f>
        <v>supplier@gmail.com</v>
      </c>
      <c r="Q1048" t="str">
        <f ca="1">""&amp;IFERROR(VLOOKUP(O1048,EMAILS!B:D,3,FALSE),"NOT FOUND IN EMAILS")</f>
        <v/>
      </c>
      <c r="R1048" t="str">
        <f ca="1">""&amp;IFERROR(VLOOKUP(O1048,EMAILS!B:E,4,FALSE),"NO T FOUND IN EMAILS")</f>
        <v/>
      </c>
    </row>
    <row r="1049" spans="2:18" x14ac:dyDescent="0.25">
      <c r="B1049" s="5" t="s">
        <v>1051</v>
      </c>
      <c r="C1049" s="5" t="s">
        <v>5191</v>
      </c>
      <c r="D1049" s="5">
        <v>0</v>
      </c>
      <c r="E1049" s="5">
        <v>0</v>
      </c>
      <c r="F1049" s="5">
        <v>0</v>
      </c>
      <c r="G1049" s="5">
        <v>0</v>
      </c>
      <c r="H1049" s="5">
        <v>0</v>
      </c>
      <c r="I1049" s="5">
        <v>0</v>
      </c>
      <c r="J1049" s="5">
        <v>0</v>
      </c>
      <c r="K1049" s="5">
        <v>0</v>
      </c>
      <c r="L1049" s="5">
        <v>0</v>
      </c>
      <c r="M1049" s="5">
        <v>0</v>
      </c>
      <c r="N1049" s="5">
        <v>0</v>
      </c>
      <c r="O1049" s="5" t="str">
        <f t="shared" ca="1" si="16"/>
        <v>Supplier 87</v>
      </c>
      <c r="P1049" s="20" t="str">
        <f ca="1">IFERROR(VLOOKUP(O1049,EMAILS!B:C,2,FALSE),"NOT FOUND IN EMAILS")</f>
        <v>supplier@gmail.com</v>
      </c>
      <c r="Q1049" t="str">
        <f ca="1">""&amp;IFERROR(VLOOKUP(O1049,EMAILS!B:D,3,FALSE),"NOT FOUND IN EMAILS")</f>
        <v/>
      </c>
      <c r="R1049" t="str">
        <f ca="1">""&amp;IFERROR(VLOOKUP(O1049,EMAILS!B:E,4,FALSE),"NO T FOUND IN EMAILS")</f>
        <v/>
      </c>
    </row>
    <row r="1050" spans="2:18" x14ac:dyDescent="0.25">
      <c r="B1050" s="5" t="s">
        <v>1052</v>
      </c>
      <c r="C1050" s="5" t="s">
        <v>5192</v>
      </c>
      <c r="D1050" s="5">
        <v>8.0520000000000001E-3</v>
      </c>
      <c r="E1050" s="5">
        <v>0</v>
      </c>
      <c r="F1050" s="5">
        <v>0.16104000000000002</v>
      </c>
      <c r="G1050" s="5">
        <v>3.2208000000000001E-2</v>
      </c>
      <c r="H1050" s="5">
        <v>2.4156E-2</v>
      </c>
      <c r="I1050" s="5">
        <v>0</v>
      </c>
      <c r="J1050" s="5">
        <v>1.6104E-2</v>
      </c>
      <c r="K1050" s="5">
        <v>4.0259999999999997E-2</v>
      </c>
      <c r="L1050" s="5">
        <v>0</v>
      </c>
      <c r="M1050" s="5">
        <v>0</v>
      </c>
      <c r="N1050" s="5">
        <v>0</v>
      </c>
      <c r="O1050" s="5" t="str">
        <f t="shared" ca="1" si="16"/>
        <v>Supplier 19</v>
      </c>
      <c r="P1050" s="20" t="str">
        <f ca="1">IFERROR(VLOOKUP(O1050,EMAILS!B:C,2,FALSE),"NOT FOUND IN EMAILS")</f>
        <v>supplier@gmail.com</v>
      </c>
      <c r="Q1050" t="str">
        <f ca="1">""&amp;IFERROR(VLOOKUP(O1050,EMAILS!B:D,3,FALSE),"NOT FOUND IN EMAILS")</f>
        <v>supplier_logistics@gmail.com</v>
      </c>
      <c r="R1050" t="str">
        <f ca="1">""&amp;IFERROR(VLOOKUP(O1050,EMAILS!B:E,4,FALSE),"NO T FOUND IN EMAILS")</f>
        <v/>
      </c>
    </row>
    <row r="1051" spans="2:18" x14ac:dyDescent="0.25">
      <c r="B1051" s="5" t="s">
        <v>1053</v>
      </c>
      <c r="C1051" s="5" t="s">
        <v>5193</v>
      </c>
      <c r="D1051" s="5">
        <v>0</v>
      </c>
      <c r="E1051" s="5">
        <v>0</v>
      </c>
      <c r="F1051" s="5">
        <v>0</v>
      </c>
      <c r="G1051" s="5">
        <v>0</v>
      </c>
      <c r="H1051" s="5">
        <v>0</v>
      </c>
      <c r="I1051" s="5">
        <v>0</v>
      </c>
      <c r="J1051" s="5">
        <v>0</v>
      </c>
      <c r="K1051" s="5">
        <v>0.02</v>
      </c>
      <c r="L1051" s="5">
        <v>0</v>
      </c>
      <c r="M1051" s="5">
        <v>0</v>
      </c>
      <c r="N1051" s="5">
        <v>0</v>
      </c>
      <c r="O1051" s="5" t="str">
        <f t="shared" ca="1" si="16"/>
        <v>Supplier 110</v>
      </c>
      <c r="P1051" s="20" t="str">
        <f ca="1">IFERROR(VLOOKUP(O1051,EMAILS!B:C,2,FALSE),"NOT FOUND IN EMAILS")</f>
        <v>supplier@gmail.com</v>
      </c>
      <c r="Q1051" t="str">
        <f ca="1">""&amp;IFERROR(VLOOKUP(O1051,EMAILS!B:D,3,FALSE),"NOT FOUND IN EMAILS")</f>
        <v/>
      </c>
      <c r="R1051" t="str">
        <f ca="1">""&amp;IFERROR(VLOOKUP(O1051,EMAILS!B:E,4,FALSE),"NO T FOUND IN EMAILS")</f>
        <v/>
      </c>
    </row>
    <row r="1052" spans="2:18" x14ac:dyDescent="0.25">
      <c r="B1052" s="5" t="s">
        <v>1054</v>
      </c>
      <c r="C1052" s="5" t="s">
        <v>5194</v>
      </c>
      <c r="D1052" s="5">
        <v>0</v>
      </c>
      <c r="E1052" s="5">
        <v>0</v>
      </c>
      <c r="F1052" s="5">
        <v>0</v>
      </c>
      <c r="G1052" s="5">
        <v>7.5</v>
      </c>
      <c r="H1052" s="5">
        <v>0</v>
      </c>
      <c r="I1052" s="5">
        <v>2.5000000000000001E-2</v>
      </c>
      <c r="J1052" s="5">
        <v>0</v>
      </c>
      <c r="K1052" s="5">
        <v>0</v>
      </c>
      <c r="L1052" s="5">
        <v>0</v>
      </c>
      <c r="M1052" s="5">
        <v>0</v>
      </c>
      <c r="N1052" s="5">
        <v>5.6</v>
      </c>
      <c r="O1052" s="5" t="str">
        <f t="shared" ca="1" si="16"/>
        <v>Supplier 57</v>
      </c>
      <c r="P1052" s="20" t="str">
        <f ca="1">IFERROR(VLOOKUP(O1052,EMAILS!B:C,2,FALSE),"NOT FOUND IN EMAILS")</f>
        <v>supplier@gmail.com</v>
      </c>
      <c r="Q1052" t="str">
        <f ca="1">""&amp;IFERROR(VLOOKUP(O1052,EMAILS!B:D,3,FALSE),"NOT FOUND IN EMAILS")</f>
        <v/>
      </c>
      <c r="R1052" t="str">
        <f ca="1">""&amp;IFERROR(VLOOKUP(O1052,EMAILS!B:E,4,FALSE),"NO T FOUND IN EMAILS")</f>
        <v/>
      </c>
    </row>
    <row r="1053" spans="2:18" x14ac:dyDescent="0.25">
      <c r="B1053" s="5" t="s">
        <v>1055</v>
      </c>
      <c r="C1053" s="5" t="s">
        <v>5195</v>
      </c>
      <c r="D1053" s="5">
        <v>0</v>
      </c>
      <c r="E1053" s="5">
        <v>0</v>
      </c>
      <c r="F1053" s="5">
        <v>0</v>
      </c>
      <c r="G1053" s="5">
        <v>0</v>
      </c>
      <c r="H1053" s="5">
        <v>0</v>
      </c>
      <c r="I1053" s="5">
        <v>0</v>
      </c>
      <c r="J1053" s="5">
        <v>0</v>
      </c>
      <c r="K1053" s="5">
        <v>0</v>
      </c>
      <c r="L1053" s="5">
        <v>0</v>
      </c>
      <c r="M1053" s="5">
        <v>0</v>
      </c>
      <c r="N1053" s="5">
        <v>0</v>
      </c>
      <c r="O1053" s="5" t="str">
        <f t="shared" ca="1" si="16"/>
        <v>Supplier 134</v>
      </c>
      <c r="P1053" s="20" t="str">
        <f ca="1">IFERROR(VLOOKUP(O1053,EMAILS!B:C,2,FALSE),"NOT FOUND IN EMAILS")</f>
        <v>supplier@gmail.com</v>
      </c>
      <c r="Q1053" t="str">
        <f ca="1">""&amp;IFERROR(VLOOKUP(O1053,EMAILS!B:D,3,FALSE),"NOT FOUND IN EMAILS")</f>
        <v/>
      </c>
      <c r="R1053" t="str">
        <f ca="1">""&amp;IFERROR(VLOOKUP(O1053,EMAILS!B:E,4,FALSE),"NO T FOUND IN EMAILS")</f>
        <v/>
      </c>
    </row>
    <row r="1054" spans="2:18" x14ac:dyDescent="0.25">
      <c r="B1054" s="5" t="s">
        <v>1056</v>
      </c>
      <c r="C1054" s="5" t="s">
        <v>5196</v>
      </c>
      <c r="D1054" s="5">
        <v>0</v>
      </c>
      <c r="E1054" s="5">
        <v>0</v>
      </c>
      <c r="F1054" s="5">
        <v>0</v>
      </c>
      <c r="G1054" s="5">
        <v>0</v>
      </c>
      <c r="H1054" s="5">
        <v>0</v>
      </c>
      <c r="I1054" s="5">
        <v>0</v>
      </c>
      <c r="J1054" s="5">
        <v>0</v>
      </c>
      <c r="K1054" s="5">
        <v>0.7</v>
      </c>
      <c r="L1054" s="5">
        <v>0</v>
      </c>
      <c r="M1054" s="5">
        <v>0</v>
      </c>
      <c r="N1054" s="5">
        <v>96</v>
      </c>
      <c r="O1054" s="5" t="str">
        <f t="shared" ca="1" si="16"/>
        <v>Supplier 159</v>
      </c>
      <c r="P1054" s="20" t="str">
        <f ca="1">IFERROR(VLOOKUP(O1054,EMAILS!B:C,2,FALSE),"NOT FOUND IN EMAILS")</f>
        <v>supplier@gmail.com</v>
      </c>
      <c r="Q1054" t="str">
        <f ca="1">""&amp;IFERROR(VLOOKUP(O1054,EMAILS!B:D,3,FALSE),"NOT FOUND IN EMAILS")</f>
        <v/>
      </c>
      <c r="R1054" t="str">
        <f ca="1">""&amp;IFERROR(VLOOKUP(O1054,EMAILS!B:E,4,FALSE),"NO T FOUND IN EMAILS")</f>
        <v/>
      </c>
    </row>
    <row r="1055" spans="2:18" x14ac:dyDescent="0.25">
      <c r="B1055" s="5" t="s">
        <v>1057</v>
      </c>
      <c r="C1055" s="5" t="s">
        <v>5197</v>
      </c>
      <c r="D1055" s="5">
        <v>0</v>
      </c>
      <c r="E1055" s="5">
        <v>0</v>
      </c>
      <c r="F1055" s="5">
        <v>0</v>
      </c>
      <c r="G1055" s="5">
        <v>0</v>
      </c>
      <c r="H1055" s="5">
        <v>0</v>
      </c>
      <c r="I1055" s="5">
        <v>0</v>
      </c>
      <c r="J1055" s="5">
        <v>0</v>
      </c>
      <c r="K1055" s="5">
        <v>0</v>
      </c>
      <c r="L1055" s="5">
        <v>0</v>
      </c>
      <c r="M1055" s="5">
        <v>0</v>
      </c>
      <c r="N1055" s="5">
        <v>0</v>
      </c>
      <c r="O1055" s="5" t="str">
        <f t="shared" ca="1" si="16"/>
        <v>Supplier 160</v>
      </c>
      <c r="P1055" s="20" t="str">
        <f ca="1">IFERROR(VLOOKUP(O1055,EMAILS!B:C,2,FALSE),"NOT FOUND IN EMAILS")</f>
        <v>supplier@gmail.com</v>
      </c>
      <c r="Q1055" t="str">
        <f ca="1">""&amp;IFERROR(VLOOKUP(O1055,EMAILS!B:D,3,FALSE),"NOT FOUND IN EMAILS")</f>
        <v/>
      </c>
      <c r="R1055" t="str">
        <f ca="1">""&amp;IFERROR(VLOOKUP(O1055,EMAILS!B:E,4,FALSE),"NO T FOUND IN EMAILS")</f>
        <v/>
      </c>
    </row>
    <row r="1056" spans="2:18" x14ac:dyDescent="0.25">
      <c r="B1056" s="5" t="s">
        <v>1058</v>
      </c>
      <c r="C1056" s="5" t="s">
        <v>5198</v>
      </c>
      <c r="D1056" s="5">
        <v>0</v>
      </c>
      <c r="E1056" s="5">
        <v>0</v>
      </c>
      <c r="F1056" s="5">
        <v>1.95</v>
      </c>
      <c r="G1056" s="5">
        <v>0</v>
      </c>
      <c r="H1056" s="5">
        <v>0</v>
      </c>
      <c r="I1056" s="5">
        <v>0</v>
      </c>
      <c r="J1056" s="5">
        <v>0</v>
      </c>
      <c r="K1056" s="5">
        <v>0</v>
      </c>
      <c r="L1056" s="5">
        <v>0</v>
      </c>
      <c r="M1056" s="5">
        <v>0</v>
      </c>
      <c r="N1056" s="5">
        <v>0</v>
      </c>
      <c r="O1056" s="5" t="str">
        <f t="shared" ca="1" si="16"/>
        <v>Supplier 128</v>
      </c>
      <c r="P1056" s="20" t="str">
        <f ca="1">IFERROR(VLOOKUP(O1056,EMAILS!B:C,2,FALSE),"NOT FOUND IN EMAILS")</f>
        <v>supplier@gmail.com</v>
      </c>
      <c r="Q1056" t="str">
        <f ca="1">""&amp;IFERROR(VLOOKUP(O1056,EMAILS!B:D,3,FALSE),"NOT FOUND IN EMAILS")</f>
        <v/>
      </c>
      <c r="R1056" t="str">
        <f ca="1">""&amp;IFERROR(VLOOKUP(O1056,EMAILS!B:E,4,FALSE),"NO T FOUND IN EMAILS")</f>
        <v/>
      </c>
    </row>
    <row r="1057" spans="2:18" x14ac:dyDescent="0.25">
      <c r="B1057" s="5" t="s">
        <v>1059</v>
      </c>
      <c r="C1057" s="5" t="s">
        <v>5199</v>
      </c>
      <c r="D1057" s="5">
        <v>0</v>
      </c>
      <c r="E1057" s="5">
        <v>0</v>
      </c>
      <c r="F1057" s="5">
        <v>0</v>
      </c>
      <c r="G1057" s="5">
        <v>0</v>
      </c>
      <c r="H1057" s="5">
        <v>0</v>
      </c>
      <c r="I1057" s="5">
        <v>0</v>
      </c>
      <c r="J1057" s="5">
        <v>0</v>
      </c>
      <c r="K1057" s="5">
        <v>0</v>
      </c>
      <c r="L1057" s="5">
        <v>0</v>
      </c>
      <c r="M1057" s="5">
        <v>0</v>
      </c>
      <c r="N1057" s="5">
        <v>0</v>
      </c>
      <c r="O1057" s="5" t="str">
        <f t="shared" ca="1" si="16"/>
        <v>Supplier 167</v>
      </c>
      <c r="P1057" s="20" t="str">
        <f ca="1">IFERROR(VLOOKUP(O1057,EMAILS!B:C,2,FALSE),"NOT FOUND IN EMAILS")</f>
        <v>supplier@gmail.com</v>
      </c>
      <c r="Q1057" t="str">
        <f ca="1">""&amp;IFERROR(VLOOKUP(O1057,EMAILS!B:D,3,FALSE),"NOT FOUND IN EMAILS")</f>
        <v/>
      </c>
      <c r="R1057" t="str">
        <f ca="1">""&amp;IFERROR(VLOOKUP(O1057,EMAILS!B:E,4,FALSE),"NO T FOUND IN EMAILS")</f>
        <v/>
      </c>
    </row>
    <row r="1058" spans="2:18" x14ac:dyDescent="0.25">
      <c r="B1058" s="5" t="s">
        <v>1060</v>
      </c>
      <c r="C1058" s="5" t="s">
        <v>5200</v>
      </c>
      <c r="D1058" s="5">
        <v>0</v>
      </c>
      <c r="E1058" s="5">
        <v>0</v>
      </c>
      <c r="F1058" s="5">
        <v>0</v>
      </c>
      <c r="G1058" s="5">
        <v>0</v>
      </c>
      <c r="H1058" s="5">
        <v>0</v>
      </c>
      <c r="I1058" s="5">
        <v>0</v>
      </c>
      <c r="J1058" s="5">
        <v>0</v>
      </c>
      <c r="K1058" s="5">
        <v>0</v>
      </c>
      <c r="L1058" s="5">
        <v>0</v>
      </c>
      <c r="M1058" s="5">
        <v>0</v>
      </c>
      <c r="N1058" s="5">
        <v>2240</v>
      </c>
      <c r="O1058" s="5" t="str">
        <f t="shared" ca="1" si="16"/>
        <v>Supplier 93</v>
      </c>
      <c r="P1058" s="20" t="str">
        <f ca="1">IFERROR(VLOOKUP(O1058,EMAILS!B:C,2,FALSE),"NOT FOUND IN EMAILS")</f>
        <v>supplier@gmail.com</v>
      </c>
      <c r="Q1058" t="str">
        <f ca="1">""&amp;IFERROR(VLOOKUP(O1058,EMAILS!B:D,3,FALSE),"NOT FOUND IN EMAILS")</f>
        <v/>
      </c>
      <c r="R1058" t="str">
        <f ca="1">""&amp;IFERROR(VLOOKUP(O1058,EMAILS!B:E,4,FALSE),"NO T FOUND IN EMAILS")</f>
        <v/>
      </c>
    </row>
    <row r="1059" spans="2:18" x14ac:dyDescent="0.25">
      <c r="B1059" s="5" t="s">
        <v>1061</v>
      </c>
      <c r="C1059" s="5" t="s">
        <v>5201</v>
      </c>
      <c r="D1059" s="5">
        <v>331.15</v>
      </c>
      <c r="E1059" s="5">
        <v>255.76</v>
      </c>
      <c r="F1059" s="5">
        <v>433.16</v>
      </c>
      <c r="G1059" s="5">
        <v>400.74</v>
      </c>
      <c r="H1059" s="5">
        <v>346.14</v>
      </c>
      <c r="I1059" s="5">
        <v>416.64400000000001</v>
      </c>
      <c r="J1059" s="5">
        <v>217.48</v>
      </c>
      <c r="K1059" s="5">
        <v>224.88</v>
      </c>
      <c r="L1059" s="5">
        <v>332.54</v>
      </c>
      <c r="M1059" s="5">
        <v>0</v>
      </c>
      <c r="N1059" s="5">
        <v>0</v>
      </c>
      <c r="O1059" s="5" t="str">
        <f t="shared" ca="1" si="16"/>
        <v>Supplier 36</v>
      </c>
      <c r="P1059" s="20" t="str">
        <f ca="1">IFERROR(VLOOKUP(O1059,EMAILS!B:C,2,FALSE),"NOT FOUND IN EMAILS")</f>
        <v>supplier@gmail.com</v>
      </c>
      <c r="Q1059" t="str">
        <f ca="1">""&amp;IFERROR(VLOOKUP(O1059,EMAILS!B:D,3,FALSE),"NOT FOUND IN EMAILS")</f>
        <v/>
      </c>
      <c r="R1059" t="str">
        <f ca="1">""&amp;IFERROR(VLOOKUP(O1059,EMAILS!B:E,4,FALSE),"NO T FOUND IN EMAILS")</f>
        <v/>
      </c>
    </row>
    <row r="1060" spans="2:18" x14ac:dyDescent="0.25">
      <c r="B1060" s="5" t="s">
        <v>1062</v>
      </c>
      <c r="C1060" s="5" t="s">
        <v>5202</v>
      </c>
      <c r="D1060" s="5">
        <v>0</v>
      </c>
      <c r="E1060" s="5">
        <v>0</v>
      </c>
      <c r="F1060" s="5">
        <v>0</v>
      </c>
      <c r="G1060" s="5">
        <v>0</v>
      </c>
      <c r="H1060" s="5">
        <v>0</v>
      </c>
      <c r="I1060" s="5">
        <v>0</v>
      </c>
      <c r="J1060" s="5">
        <v>0</v>
      </c>
      <c r="K1060" s="5">
        <v>0</v>
      </c>
      <c r="L1060" s="5">
        <v>0</v>
      </c>
      <c r="M1060" s="5">
        <v>0</v>
      </c>
      <c r="N1060" s="5">
        <v>3360</v>
      </c>
      <c r="O1060" s="5" t="str">
        <f t="shared" ca="1" si="16"/>
        <v>Supplier 118</v>
      </c>
      <c r="P1060" s="20" t="str">
        <f ca="1">IFERROR(VLOOKUP(O1060,EMAILS!B:C,2,FALSE),"NOT FOUND IN EMAILS")</f>
        <v>supplier@gmail.com</v>
      </c>
      <c r="Q1060" t="str">
        <f ca="1">""&amp;IFERROR(VLOOKUP(O1060,EMAILS!B:D,3,FALSE),"NOT FOUND IN EMAILS")</f>
        <v/>
      </c>
      <c r="R1060" t="str">
        <f ca="1">""&amp;IFERROR(VLOOKUP(O1060,EMAILS!B:E,4,FALSE),"NO T FOUND IN EMAILS")</f>
        <v/>
      </c>
    </row>
    <row r="1061" spans="2:18" x14ac:dyDescent="0.25">
      <c r="B1061" s="5" t="s">
        <v>1063</v>
      </c>
      <c r="C1061" s="5" t="s">
        <v>5203</v>
      </c>
      <c r="D1061" s="5">
        <v>0</v>
      </c>
      <c r="E1061" s="5">
        <v>0</v>
      </c>
      <c r="F1061" s="5">
        <v>0</v>
      </c>
      <c r="G1061" s="5">
        <v>0</v>
      </c>
      <c r="H1061" s="5">
        <v>0</v>
      </c>
      <c r="I1061" s="5">
        <v>0</v>
      </c>
      <c r="J1061" s="5">
        <v>0</v>
      </c>
      <c r="K1061" s="5">
        <v>0</v>
      </c>
      <c r="L1061" s="5">
        <v>0</v>
      </c>
      <c r="M1061" s="5">
        <v>0</v>
      </c>
      <c r="N1061" s="5">
        <v>0</v>
      </c>
      <c r="O1061" s="5" t="str">
        <f t="shared" ca="1" si="16"/>
        <v>Supplier 126</v>
      </c>
      <c r="P1061" s="20" t="str">
        <f ca="1">IFERROR(VLOOKUP(O1061,EMAILS!B:C,2,FALSE),"NOT FOUND IN EMAILS")</f>
        <v>supplier@gmail.com</v>
      </c>
      <c r="Q1061" t="str">
        <f ca="1">""&amp;IFERROR(VLOOKUP(O1061,EMAILS!B:D,3,FALSE),"NOT FOUND IN EMAILS")</f>
        <v/>
      </c>
      <c r="R1061" t="str">
        <f ca="1">""&amp;IFERROR(VLOOKUP(O1061,EMAILS!B:E,4,FALSE),"NO T FOUND IN EMAILS")</f>
        <v/>
      </c>
    </row>
    <row r="1062" spans="2:18" x14ac:dyDescent="0.25">
      <c r="B1062" s="5" t="s">
        <v>1064</v>
      </c>
      <c r="C1062" s="5" t="s">
        <v>5204</v>
      </c>
      <c r="D1062" s="5">
        <v>4.2</v>
      </c>
      <c r="E1062" s="5">
        <v>1</v>
      </c>
      <c r="F1062" s="5">
        <v>1</v>
      </c>
      <c r="G1062" s="5">
        <v>1</v>
      </c>
      <c r="H1062" s="5">
        <v>1</v>
      </c>
      <c r="I1062" s="5">
        <v>1</v>
      </c>
      <c r="J1062" s="5">
        <v>1</v>
      </c>
      <c r="K1062" s="5">
        <v>1</v>
      </c>
      <c r="L1062" s="5">
        <v>1</v>
      </c>
      <c r="M1062" s="5">
        <v>0</v>
      </c>
      <c r="N1062" s="5">
        <v>28</v>
      </c>
      <c r="O1062" s="5" t="str">
        <f t="shared" ca="1" si="16"/>
        <v>Supplier 44</v>
      </c>
      <c r="P1062" s="20" t="str">
        <f ca="1">IFERROR(VLOOKUP(O1062,EMAILS!B:C,2,FALSE),"NOT FOUND IN EMAILS")</f>
        <v>supplier@gmail.com</v>
      </c>
      <c r="Q1062" t="str">
        <f ca="1">""&amp;IFERROR(VLOOKUP(O1062,EMAILS!B:D,3,FALSE),"NOT FOUND IN EMAILS")</f>
        <v/>
      </c>
      <c r="R1062" t="str">
        <f ca="1">""&amp;IFERROR(VLOOKUP(O1062,EMAILS!B:E,4,FALSE),"NO T FOUND IN EMAILS")</f>
        <v/>
      </c>
    </row>
    <row r="1063" spans="2:18" x14ac:dyDescent="0.25">
      <c r="B1063" s="5" t="s">
        <v>1065</v>
      </c>
      <c r="C1063" s="5" t="s">
        <v>5205</v>
      </c>
      <c r="D1063" s="5">
        <v>0</v>
      </c>
      <c r="E1063" s="5">
        <v>0</v>
      </c>
      <c r="F1063" s="5">
        <v>0</v>
      </c>
      <c r="G1063" s="5">
        <v>0</v>
      </c>
      <c r="H1063" s="5">
        <v>0</v>
      </c>
      <c r="I1063" s="5">
        <v>0</v>
      </c>
      <c r="J1063" s="5">
        <v>0</v>
      </c>
      <c r="K1063" s="5">
        <v>0</v>
      </c>
      <c r="L1063" s="5">
        <v>0</v>
      </c>
      <c r="M1063" s="5">
        <v>0</v>
      </c>
      <c r="N1063" s="5">
        <v>63</v>
      </c>
      <c r="O1063" s="5" t="str">
        <f t="shared" ca="1" si="16"/>
        <v>Supplier 100</v>
      </c>
      <c r="P1063" s="20" t="str">
        <f ca="1">IFERROR(VLOOKUP(O1063,EMAILS!B:C,2,FALSE),"NOT FOUND IN EMAILS")</f>
        <v>supplier@gmail.com</v>
      </c>
      <c r="Q1063" t="str">
        <f ca="1">""&amp;IFERROR(VLOOKUP(O1063,EMAILS!B:D,3,FALSE),"NOT FOUND IN EMAILS")</f>
        <v/>
      </c>
      <c r="R1063" t="str">
        <f ca="1">""&amp;IFERROR(VLOOKUP(O1063,EMAILS!B:E,4,FALSE),"NO T FOUND IN EMAILS")</f>
        <v/>
      </c>
    </row>
    <row r="1064" spans="2:18" x14ac:dyDescent="0.25">
      <c r="B1064" s="5" t="s">
        <v>1066</v>
      </c>
      <c r="C1064" s="5" t="s">
        <v>5206</v>
      </c>
      <c r="D1064" s="5">
        <v>0</v>
      </c>
      <c r="E1064" s="5">
        <v>0</v>
      </c>
      <c r="F1064" s="5">
        <v>0</v>
      </c>
      <c r="G1064" s="5">
        <v>0</v>
      </c>
      <c r="H1064" s="5">
        <v>0</v>
      </c>
      <c r="I1064" s="5">
        <v>0</v>
      </c>
      <c r="J1064" s="5">
        <v>0</v>
      </c>
      <c r="K1064" s="5">
        <v>0</v>
      </c>
      <c r="L1064" s="5">
        <v>0</v>
      </c>
      <c r="M1064" s="5">
        <v>0</v>
      </c>
      <c r="N1064" s="5">
        <v>0</v>
      </c>
      <c r="O1064" s="5" t="str">
        <f t="shared" ca="1" si="16"/>
        <v>Supplier 22</v>
      </c>
      <c r="P1064" s="20" t="str">
        <f ca="1">IFERROR(VLOOKUP(O1064,EMAILS!B:C,2,FALSE),"NOT FOUND IN EMAILS")</f>
        <v>supplier@gmail.com</v>
      </c>
      <c r="Q1064" t="str">
        <f ca="1">""&amp;IFERROR(VLOOKUP(O1064,EMAILS!B:D,3,FALSE),"NOT FOUND IN EMAILS")</f>
        <v/>
      </c>
      <c r="R1064" t="str">
        <f ca="1">""&amp;IFERROR(VLOOKUP(O1064,EMAILS!B:E,4,FALSE),"NO T FOUND IN EMAILS")</f>
        <v/>
      </c>
    </row>
    <row r="1065" spans="2:18" x14ac:dyDescent="0.25">
      <c r="B1065" s="5" t="s">
        <v>1067</v>
      </c>
      <c r="C1065" s="5" t="s">
        <v>5207</v>
      </c>
      <c r="D1065" s="5">
        <v>0</v>
      </c>
      <c r="E1065" s="5">
        <v>0</v>
      </c>
      <c r="F1065" s="5">
        <v>0</v>
      </c>
      <c r="G1065" s="5">
        <v>0</v>
      </c>
      <c r="H1065" s="5">
        <v>0</v>
      </c>
      <c r="I1065" s="5">
        <v>0</v>
      </c>
      <c r="J1065" s="5">
        <v>0</v>
      </c>
      <c r="K1065" s="5">
        <v>0</v>
      </c>
      <c r="L1065" s="5">
        <v>0</v>
      </c>
      <c r="M1065" s="5">
        <v>0</v>
      </c>
      <c r="N1065" s="5">
        <v>1900</v>
      </c>
      <c r="O1065" s="5" t="str">
        <f t="shared" ca="1" si="16"/>
        <v>Supplier 26</v>
      </c>
      <c r="P1065" s="20" t="str">
        <f ca="1">IFERROR(VLOOKUP(O1065,EMAILS!B:C,2,FALSE),"NOT FOUND IN EMAILS")</f>
        <v>supplier@gmail.com</v>
      </c>
      <c r="Q1065" t="str">
        <f ca="1">""&amp;IFERROR(VLOOKUP(O1065,EMAILS!B:D,3,FALSE),"NOT FOUND IN EMAILS")</f>
        <v/>
      </c>
      <c r="R1065" t="str">
        <f ca="1">""&amp;IFERROR(VLOOKUP(O1065,EMAILS!B:E,4,FALSE),"NO T FOUND IN EMAILS")</f>
        <v/>
      </c>
    </row>
    <row r="1066" spans="2:18" x14ac:dyDescent="0.25">
      <c r="B1066" s="5" t="s">
        <v>1068</v>
      </c>
      <c r="C1066" s="5" t="s">
        <v>5208</v>
      </c>
      <c r="D1066" s="5">
        <v>168.43</v>
      </c>
      <c r="E1066" s="5">
        <v>90.2</v>
      </c>
      <c r="F1066" s="5">
        <v>122.4</v>
      </c>
      <c r="G1066" s="5">
        <v>179.95</v>
      </c>
      <c r="H1066" s="5">
        <v>164.51</v>
      </c>
      <c r="I1066" s="5">
        <v>93.51</v>
      </c>
      <c r="J1066" s="5">
        <v>107.11</v>
      </c>
      <c r="K1066" s="5">
        <v>95.14</v>
      </c>
      <c r="L1066" s="5">
        <v>94.2</v>
      </c>
      <c r="M1066" s="5">
        <v>0</v>
      </c>
      <c r="N1066" s="5">
        <v>1706.085</v>
      </c>
      <c r="O1066" s="5" t="str">
        <f t="shared" ca="1" si="16"/>
        <v>Supplier 167</v>
      </c>
      <c r="P1066" s="20" t="str">
        <f ca="1">IFERROR(VLOOKUP(O1066,EMAILS!B:C,2,FALSE),"NOT FOUND IN EMAILS")</f>
        <v>supplier@gmail.com</v>
      </c>
      <c r="Q1066" t="str">
        <f ca="1">""&amp;IFERROR(VLOOKUP(O1066,EMAILS!B:D,3,FALSE),"NOT FOUND IN EMAILS")</f>
        <v/>
      </c>
      <c r="R1066" t="str">
        <f ca="1">""&amp;IFERROR(VLOOKUP(O1066,EMAILS!B:E,4,FALSE),"NO T FOUND IN EMAILS")</f>
        <v/>
      </c>
    </row>
    <row r="1067" spans="2:18" x14ac:dyDescent="0.25">
      <c r="B1067" s="5" t="s">
        <v>1069</v>
      </c>
      <c r="C1067" s="5" t="s">
        <v>5209</v>
      </c>
      <c r="D1067" s="5">
        <v>430.57810000000001</v>
      </c>
      <c r="E1067" s="5">
        <v>337.29510000000005</v>
      </c>
      <c r="F1067" s="5">
        <v>288.73255000000006</v>
      </c>
      <c r="G1067" s="5">
        <v>621.51819999999987</v>
      </c>
      <c r="H1067" s="5">
        <v>317.21379999999999</v>
      </c>
      <c r="I1067" s="5">
        <v>295.60149999999999</v>
      </c>
      <c r="J1067" s="5">
        <v>240.35419999999999</v>
      </c>
      <c r="K1067" s="5">
        <v>282.28589999999997</v>
      </c>
      <c r="L1067" s="5">
        <v>271.41719999999998</v>
      </c>
      <c r="M1067" s="5">
        <v>0</v>
      </c>
      <c r="N1067" s="5">
        <v>315.3</v>
      </c>
      <c r="O1067" s="5" t="str">
        <f t="shared" ca="1" si="16"/>
        <v>Supplier 183</v>
      </c>
      <c r="P1067" s="20" t="str">
        <f ca="1">IFERROR(VLOOKUP(O1067,EMAILS!B:C,2,FALSE),"NOT FOUND IN EMAILS")</f>
        <v>supplier@gmail.com</v>
      </c>
      <c r="Q1067" t="str">
        <f ca="1">""&amp;IFERROR(VLOOKUP(O1067,EMAILS!B:D,3,FALSE),"NOT FOUND IN EMAILS")</f>
        <v/>
      </c>
      <c r="R1067" t="str">
        <f ca="1">""&amp;IFERROR(VLOOKUP(O1067,EMAILS!B:E,4,FALSE),"NO T FOUND IN EMAILS")</f>
        <v/>
      </c>
    </row>
    <row r="1068" spans="2:18" x14ac:dyDescent="0.25">
      <c r="B1068" s="5" t="s">
        <v>1070</v>
      </c>
      <c r="C1068" s="5" t="s">
        <v>5210</v>
      </c>
      <c r="D1068" s="5">
        <v>0</v>
      </c>
      <c r="E1068" s="5">
        <v>0</v>
      </c>
      <c r="F1068" s="5">
        <v>0</v>
      </c>
      <c r="G1068" s="5">
        <v>0</v>
      </c>
      <c r="H1068" s="5">
        <v>0</v>
      </c>
      <c r="I1068" s="5">
        <v>0</v>
      </c>
      <c r="J1068" s="5">
        <v>0</v>
      </c>
      <c r="K1068" s="5">
        <v>0</v>
      </c>
      <c r="L1068" s="5">
        <v>0</v>
      </c>
      <c r="M1068" s="5">
        <v>0</v>
      </c>
      <c r="N1068" s="5">
        <v>4490</v>
      </c>
      <c r="O1068" s="5" t="str">
        <f t="shared" ca="1" si="16"/>
        <v>Supplier 87</v>
      </c>
      <c r="P1068" s="20" t="str">
        <f ca="1">IFERROR(VLOOKUP(O1068,EMAILS!B:C,2,FALSE),"NOT FOUND IN EMAILS")</f>
        <v>supplier@gmail.com</v>
      </c>
      <c r="Q1068" t="str">
        <f ca="1">""&amp;IFERROR(VLOOKUP(O1068,EMAILS!B:D,3,FALSE),"NOT FOUND IN EMAILS")</f>
        <v/>
      </c>
      <c r="R1068" t="str">
        <f ca="1">""&amp;IFERROR(VLOOKUP(O1068,EMAILS!B:E,4,FALSE),"NO T FOUND IN EMAILS")</f>
        <v/>
      </c>
    </row>
    <row r="1069" spans="2:18" x14ac:dyDescent="0.25">
      <c r="B1069" s="5" t="s">
        <v>1071</v>
      </c>
      <c r="C1069" s="5" t="s">
        <v>5211</v>
      </c>
      <c r="D1069" s="5">
        <v>1238.1113800000001</v>
      </c>
      <c r="E1069" s="5">
        <v>686.46189999999979</v>
      </c>
      <c r="F1069" s="5">
        <v>1102.2808800000003</v>
      </c>
      <c r="G1069" s="5">
        <v>1073.4534000000001</v>
      </c>
      <c r="H1069" s="5">
        <v>963.07761999999957</v>
      </c>
      <c r="I1069" s="5">
        <v>793.54542999999967</v>
      </c>
      <c r="J1069" s="5">
        <v>861.50389999999982</v>
      </c>
      <c r="K1069" s="5">
        <v>742.50944999999979</v>
      </c>
      <c r="L1069" s="5">
        <v>662.39890000000025</v>
      </c>
      <c r="M1069" s="5">
        <v>0</v>
      </c>
      <c r="N1069" s="5">
        <v>0</v>
      </c>
      <c r="O1069" s="5" t="str">
        <f t="shared" ca="1" si="16"/>
        <v>Supplier 91</v>
      </c>
      <c r="P1069" s="20" t="str">
        <f ca="1">IFERROR(VLOOKUP(O1069,EMAILS!B:C,2,FALSE),"NOT FOUND IN EMAILS")</f>
        <v>supplier@gmail.com</v>
      </c>
      <c r="Q1069" t="str">
        <f ca="1">""&amp;IFERROR(VLOOKUP(O1069,EMAILS!B:D,3,FALSE),"NOT FOUND IN EMAILS")</f>
        <v/>
      </c>
      <c r="R1069" t="str">
        <f ca="1">""&amp;IFERROR(VLOOKUP(O1069,EMAILS!B:E,4,FALSE),"NO T FOUND IN EMAILS")</f>
        <v/>
      </c>
    </row>
    <row r="1070" spans="2:18" x14ac:dyDescent="0.25">
      <c r="B1070" s="5" t="s">
        <v>1072</v>
      </c>
      <c r="C1070" s="5" t="s">
        <v>5212</v>
      </c>
      <c r="D1070" s="5">
        <v>0</v>
      </c>
      <c r="E1070" s="5">
        <v>0</v>
      </c>
      <c r="F1070" s="5">
        <v>0</v>
      </c>
      <c r="G1070" s="5">
        <v>0</v>
      </c>
      <c r="H1070" s="5">
        <v>0</v>
      </c>
      <c r="I1070" s="5">
        <v>0</v>
      </c>
      <c r="J1070" s="5">
        <v>0</v>
      </c>
      <c r="K1070" s="5">
        <v>0</v>
      </c>
      <c r="L1070" s="5">
        <v>0</v>
      </c>
      <c r="M1070" s="5">
        <v>0</v>
      </c>
      <c r="N1070" s="5">
        <v>5710</v>
      </c>
      <c r="O1070" s="5" t="str">
        <f t="shared" ca="1" si="16"/>
        <v>Supplier 141</v>
      </c>
      <c r="P1070" s="20" t="str">
        <f ca="1">IFERROR(VLOOKUP(O1070,EMAILS!B:C,2,FALSE),"NOT FOUND IN EMAILS")</f>
        <v>supplier@gmail.com</v>
      </c>
      <c r="Q1070" t="str">
        <f ca="1">""&amp;IFERROR(VLOOKUP(O1070,EMAILS!B:D,3,FALSE),"NOT FOUND IN EMAILS")</f>
        <v/>
      </c>
      <c r="R1070" t="str">
        <f ca="1">""&amp;IFERROR(VLOOKUP(O1070,EMAILS!B:E,4,FALSE),"NO T FOUND IN EMAILS")</f>
        <v/>
      </c>
    </row>
    <row r="1071" spans="2:18" x14ac:dyDescent="0.25">
      <c r="B1071" s="5" t="s">
        <v>1073</v>
      </c>
      <c r="C1071" s="5" t="s">
        <v>5213</v>
      </c>
      <c r="D1071" s="5">
        <v>1947.8073800000002</v>
      </c>
      <c r="E1071" s="5">
        <v>1789.9111799999998</v>
      </c>
      <c r="F1071" s="5">
        <v>2086.8603399999993</v>
      </c>
      <c r="G1071" s="5">
        <v>2159.8789599999996</v>
      </c>
      <c r="H1071" s="5">
        <v>2022.6325400000001</v>
      </c>
      <c r="I1071" s="5">
        <v>1941.5057999999997</v>
      </c>
      <c r="J1071" s="5">
        <v>1589.349560000001</v>
      </c>
      <c r="K1071" s="5">
        <v>1578.3994199999995</v>
      </c>
      <c r="L1071" s="5">
        <v>1510.8871600000002</v>
      </c>
      <c r="M1071" s="5">
        <v>0</v>
      </c>
      <c r="N1071" s="5">
        <v>750</v>
      </c>
      <c r="O1071" s="5" t="str">
        <f t="shared" ca="1" si="16"/>
        <v>Supplier 170</v>
      </c>
      <c r="P1071" s="20" t="str">
        <f ca="1">IFERROR(VLOOKUP(O1071,EMAILS!B:C,2,FALSE),"NOT FOUND IN EMAILS")</f>
        <v>supplier@gmail.com</v>
      </c>
      <c r="Q1071" t="str">
        <f ca="1">""&amp;IFERROR(VLOOKUP(O1071,EMAILS!B:D,3,FALSE),"NOT FOUND IN EMAILS")</f>
        <v/>
      </c>
      <c r="R1071" t="str">
        <f ca="1">""&amp;IFERROR(VLOOKUP(O1071,EMAILS!B:E,4,FALSE),"NO T FOUND IN EMAILS")</f>
        <v/>
      </c>
    </row>
    <row r="1072" spans="2:18" x14ac:dyDescent="0.25">
      <c r="B1072" s="5" t="s">
        <v>1074</v>
      </c>
      <c r="C1072" s="5" t="s">
        <v>5214</v>
      </c>
      <c r="D1072" s="5">
        <v>0</v>
      </c>
      <c r="E1072" s="5">
        <v>0</v>
      </c>
      <c r="F1072" s="5">
        <v>0</v>
      </c>
      <c r="G1072" s="5">
        <v>0</v>
      </c>
      <c r="H1072" s="5">
        <v>254.8</v>
      </c>
      <c r="I1072" s="5">
        <v>0</v>
      </c>
      <c r="J1072" s="5">
        <v>16.8</v>
      </c>
      <c r="K1072" s="5">
        <v>0</v>
      </c>
      <c r="L1072" s="5">
        <v>16.8</v>
      </c>
      <c r="M1072" s="5">
        <v>0</v>
      </c>
      <c r="N1072" s="5">
        <v>1415.6</v>
      </c>
      <c r="O1072" s="5" t="str">
        <f t="shared" ca="1" si="16"/>
        <v>Supplier 19</v>
      </c>
      <c r="P1072" s="20" t="str">
        <f ca="1">IFERROR(VLOOKUP(O1072,EMAILS!B:C,2,FALSE),"NOT FOUND IN EMAILS")</f>
        <v>supplier@gmail.com</v>
      </c>
      <c r="Q1072" t="str">
        <f ca="1">""&amp;IFERROR(VLOOKUP(O1072,EMAILS!B:D,3,FALSE),"NOT FOUND IN EMAILS")</f>
        <v>supplier_logistics@gmail.com</v>
      </c>
      <c r="R1072" t="str">
        <f ca="1">""&amp;IFERROR(VLOOKUP(O1072,EMAILS!B:E,4,FALSE),"NO T FOUND IN EMAILS")</f>
        <v/>
      </c>
    </row>
    <row r="1073" spans="2:18" x14ac:dyDescent="0.25">
      <c r="B1073" s="5" t="s">
        <v>1075</v>
      </c>
      <c r="C1073" s="5" t="s">
        <v>5215</v>
      </c>
      <c r="D1073" s="5">
        <v>147.79</v>
      </c>
      <c r="E1073" s="5">
        <v>52.38</v>
      </c>
      <c r="F1073" s="5">
        <v>140.05000000000001</v>
      </c>
      <c r="G1073" s="5">
        <v>126.85</v>
      </c>
      <c r="H1073" s="5">
        <v>97.39</v>
      </c>
      <c r="I1073" s="5">
        <v>78.849999999999994</v>
      </c>
      <c r="J1073" s="5">
        <v>25.91</v>
      </c>
      <c r="K1073" s="5">
        <v>93.11</v>
      </c>
      <c r="L1073" s="5">
        <v>25.91</v>
      </c>
      <c r="M1073" s="5">
        <v>0</v>
      </c>
      <c r="N1073" s="5">
        <v>469</v>
      </c>
      <c r="O1073" s="5" t="str">
        <f t="shared" ca="1" si="16"/>
        <v>Supplier 118</v>
      </c>
      <c r="P1073" s="20" t="str">
        <f ca="1">IFERROR(VLOOKUP(O1073,EMAILS!B:C,2,FALSE),"NOT FOUND IN EMAILS")</f>
        <v>supplier@gmail.com</v>
      </c>
      <c r="Q1073" t="str">
        <f ca="1">""&amp;IFERROR(VLOOKUP(O1073,EMAILS!B:D,3,FALSE),"NOT FOUND IN EMAILS")</f>
        <v/>
      </c>
      <c r="R1073" t="str">
        <f ca="1">""&amp;IFERROR(VLOOKUP(O1073,EMAILS!B:E,4,FALSE),"NO T FOUND IN EMAILS")</f>
        <v/>
      </c>
    </row>
    <row r="1074" spans="2:18" x14ac:dyDescent="0.25">
      <c r="B1074" s="5" t="s">
        <v>1076</v>
      </c>
      <c r="C1074" s="5" t="s">
        <v>5216</v>
      </c>
      <c r="D1074" s="5">
        <v>0.53459999999999996</v>
      </c>
      <c r="E1074" s="5">
        <v>0</v>
      </c>
      <c r="F1074" s="5">
        <v>6.8599999999999994E-2</v>
      </c>
      <c r="G1074" s="5">
        <v>4.8599999999999997E-2</v>
      </c>
      <c r="H1074" s="5">
        <v>0.48599999999999999</v>
      </c>
      <c r="I1074" s="5">
        <v>0</v>
      </c>
      <c r="J1074" s="5">
        <v>0</v>
      </c>
      <c r="K1074" s="5">
        <v>0</v>
      </c>
      <c r="L1074" s="5">
        <v>0</v>
      </c>
      <c r="M1074" s="5">
        <v>0</v>
      </c>
      <c r="N1074" s="5">
        <v>0</v>
      </c>
      <c r="O1074" s="5" t="str">
        <f t="shared" ca="1" si="16"/>
        <v>Supplier 43</v>
      </c>
      <c r="P1074" s="20" t="str">
        <f ca="1">IFERROR(VLOOKUP(O1074,EMAILS!B:C,2,FALSE),"NOT FOUND IN EMAILS")</f>
        <v>supplier@gmail.com</v>
      </c>
      <c r="Q1074" t="str">
        <f ca="1">""&amp;IFERROR(VLOOKUP(O1074,EMAILS!B:D,3,FALSE),"NOT FOUND IN EMAILS")</f>
        <v/>
      </c>
      <c r="R1074" t="str">
        <f ca="1">""&amp;IFERROR(VLOOKUP(O1074,EMAILS!B:E,4,FALSE),"NO T FOUND IN EMAILS")</f>
        <v/>
      </c>
    </row>
    <row r="1075" spans="2:18" x14ac:dyDescent="0.25">
      <c r="B1075" s="5" t="s">
        <v>1077</v>
      </c>
      <c r="C1075" s="5" t="s">
        <v>5217</v>
      </c>
      <c r="D1075" s="5">
        <v>6.0000000000000001E-3</v>
      </c>
      <c r="E1075" s="5">
        <v>0</v>
      </c>
      <c r="F1075" s="5">
        <v>7.8E-2</v>
      </c>
      <c r="G1075" s="5">
        <v>2.4E-2</v>
      </c>
      <c r="H1075" s="5">
        <v>1.7999999999999999E-2</v>
      </c>
      <c r="I1075" s="5">
        <v>0</v>
      </c>
      <c r="J1075" s="5">
        <v>1.2E-2</v>
      </c>
      <c r="K1075" s="5">
        <v>0.03</v>
      </c>
      <c r="L1075" s="5">
        <v>0</v>
      </c>
      <c r="M1075" s="5">
        <v>0</v>
      </c>
      <c r="N1075" s="5">
        <v>2964</v>
      </c>
      <c r="O1075" s="5" t="str">
        <f t="shared" ca="1" si="16"/>
        <v>Supplier 1</v>
      </c>
      <c r="P1075" s="20" t="str">
        <f ca="1">IFERROR(VLOOKUP(O1075,EMAILS!B:C,2,FALSE),"NOT FOUND IN EMAILS")</f>
        <v>supplier@gmail.com</v>
      </c>
      <c r="Q1075" t="str">
        <f ca="1">""&amp;IFERROR(VLOOKUP(O1075,EMAILS!B:D,3,FALSE),"NOT FOUND IN EMAILS")</f>
        <v>supplier_logistics@gmail.com</v>
      </c>
      <c r="R1075" t="str">
        <f ca="1">""&amp;IFERROR(VLOOKUP(O1075,EMAILS!B:E,4,FALSE),"NO T FOUND IN EMAILS")</f>
        <v/>
      </c>
    </row>
    <row r="1076" spans="2:18" x14ac:dyDescent="0.25">
      <c r="B1076" s="5" t="s">
        <v>1078</v>
      </c>
      <c r="C1076" s="5" t="s">
        <v>5218</v>
      </c>
      <c r="D1076" s="5">
        <v>0</v>
      </c>
      <c r="E1076" s="5">
        <v>0</v>
      </c>
      <c r="F1076" s="5">
        <v>0</v>
      </c>
      <c r="G1076" s="5">
        <v>0</v>
      </c>
      <c r="H1076" s="5">
        <v>0</v>
      </c>
      <c r="I1076" s="5">
        <v>0</v>
      </c>
      <c r="J1076" s="5">
        <v>0</v>
      </c>
      <c r="K1076" s="5">
        <v>0</v>
      </c>
      <c r="L1076" s="5">
        <v>0</v>
      </c>
      <c r="M1076" s="5">
        <v>0</v>
      </c>
      <c r="N1076" s="5">
        <v>3406</v>
      </c>
      <c r="O1076" s="5" t="str">
        <f t="shared" ca="1" si="16"/>
        <v>Supplier 87</v>
      </c>
      <c r="P1076" s="20" t="str">
        <f ca="1">IFERROR(VLOOKUP(O1076,EMAILS!B:C,2,FALSE),"NOT FOUND IN EMAILS")</f>
        <v>supplier@gmail.com</v>
      </c>
      <c r="Q1076" t="str">
        <f ca="1">""&amp;IFERROR(VLOOKUP(O1076,EMAILS!B:D,3,FALSE),"NOT FOUND IN EMAILS")</f>
        <v/>
      </c>
      <c r="R1076" t="str">
        <f ca="1">""&amp;IFERROR(VLOOKUP(O1076,EMAILS!B:E,4,FALSE),"NO T FOUND IN EMAILS")</f>
        <v/>
      </c>
    </row>
    <row r="1077" spans="2:18" x14ac:dyDescent="0.25">
      <c r="B1077" s="5" t="s">
        <v>1079</v>
      </c>
      <c r="C1077" s="5" t="s">
        <v>5219</v>
      </c>
      <c r="D1077" s="5">
        <v>53.656799999999997</v>
      </c>
      <c r="E1077" s="5">
        <v>26.828399999999998</v>
      </c>
      <c r="F1077" s="5">
        <v>53.656799999999997</v>
      </c>
      <c r="G1077" s="5">
        <v>53.656799999999997</v>
      </c>
      <c r="H1077" s="5">
        <v>53.656799999999997</v>
      </c>
      <c r="I1077" s="5">
        <v>53.656799999999997</v>
      </c>
      <c r="J1077" s="5">
        <v>53.656799999999997</v>
      </c>
      <c r="K1077" s="5">
        <v>0</v>
      </c>
      <c r="L1077" s="5">
        <v>0</v>
      </c>
      <c r="M1077" s="5">
        <v>0</v>
      </c>
      <c r="N1077" s="5">
        <v>0</v>
      </c>
      <c r="O1077" s="5" t="str">
        <f t="shared" ca="1" si="16"/>
        <v>Supplier 158</v>
      </c>
      <c r="P1077" s="20" t="str">
        <f ca="1">IFERROR(VLOOKUP(O1077,EMAILS!B:C,2,FALSE),"NOT FOUND IN EMAILS")</f>
        <v>supplier@gmail.com</v>
      </c>
      <c r="Q1077" t="str">
        <f ca="1">""&amp;IFERROR(VLOOKUP(O1077,EMAILS!B:D,3,FALSE),"NOT FOUND IN EMAILS")</f>
        <v/>
      </c>
      <c r="R1077" t="str">
        <f ca="1">""&amp;IFERROR(VLOOKUP(O1077,EMAILS!B:E,4,FALSE),"NO T FOUND IN EMAILS")</f>
        <v/>
      </c>
    </row>
    <row r="1078" spans="2:18" x14ac:dyDescent="0.25">
      <c r="B1078" s="5" t="s">
        <v>1080</v>
      </c>
      <c r="C1078" s="5" t="s">
        <v>5220</v>
      </c>
      <c r="D1078" s="5">
        <v>20.632000000000001</v>
      </c>
      <c r="E1078" s="5">
        <v>0</v>
      </c>
      <c r="F1078" s="5">
        <v>4.8</v>
      </c>
      <c r="G1078" s="5">
        <v>2.5499999999999998</v>
      </c>
      <c r="H1078" s="5">
        <v>1.8</v>
      </c>
      <c r="I1078" s="5">
        <v>0</v>
      </c>
      <c r="J1078" s="5">
        <v>1.2</v>
      </c>
      <c r="K1078" s="5">
        <v>4.5999999999999996</v>
      </c>
      <c r="L1078" s="5">
        <v>0</v>
      </c>
      <c r="M1078" s="5">
        <v>0</v>
      </c>
      <c r="N1078" s="5">
        <v>100</v>
      </c>
      <c r="O1078" s="5" t="str">
        <f t="shared" ca="1" si="16"/>
        <v>Supplier 40</v>
      </c>
      <c r="P1078" s="20" t="str">
        <f ca="1">IFERROR(VLOOKUP(O1078,EMAILS!B:C,2,FALSE),"NOT FOUND IN EMAILS")</f>
        <v>supplier@gmail.com</v>
      </c>
      <c r="Q1078" t="str">
        <f ca="1">""&amp;IFERROR(VLOOKUP(O1078,EMAILS!B:D,3,FALSE),"NOT FOUND IN EMAILS")</f>
        <v/>
      </c>
      <c r="R1078" t="str">
        <f ca="1">""&amp;IFERROR(VLOOKUP(O1078,EMAILS!B:E,4,FALSE),"NO T FOUND IN EMAILS")</f>
        <v/>
      </c>
    </row>
    <row r="1079" spans="2:18" x14ac:dyDescent="0.25">
      <c r="B1079" s="5" t="s">
        <v>1081</v>
      </c>
      <c r="C1079" s="5" t="s">
        <v>5221</v>
      </c>
      <c r="D1079" s="5">
        <v>0</v>
      </c>
      <c r="E1079" s="5">
        <v>0</v>
      </c>
      <c r="F1079" s="5">
        <v>0</v>
      </c>
      <c r="G1079" s="5">
        <v>0</v>
      </c>
      <c r="H1079" s="5">
        <v>0</v>
      </c>
      <c r="I1079" s="5">
        <v>0</v>
      </c>
      <c r="J1079" s="5">
        <v>0</v>
      </c>
      <c r="K1079" s="5">
        <v>0</v>
      </c>
      <c r="L1079" s="5">
        <v>0</v>
      </c>
      <c r="M1079" s="5">
        <v>0</v>
      </c>
      <c r="N1079" s="5">
        <v>0</v>
      </c>
      <c r="O1079" s="5" t="str">
        <f t="shared" ca="1" si="16"/>
        <v>Supplier 74</v>
      </c>
      <c r="P1079" s="20" t="str">
        <f ca="1">IFERROR(VLOOKUP(O1079,EMAILS!B:C,2,FALSE),"NOT FOUND IN EMAILS")</f>
        <v>supplier@gmail.com</v>
      </c>
      <c r="Q1079" t="str">
        <f ca="1">""&amp;IFERROR(VLOOKUP(O1079,EMAILS!B:D,3,FALSE),"NOT FOUND IN EMAILS")</f>
        <v/>
      </c>
      <c r="R1079" t="str">
        <f ca="1">""&amp;IFERROR(VLOOKUP(O1079,EMAILS!B:E,4,FALSE),"NO T FOUND IN EMAILS")</f>
        <v/>
      </c>
    </row>
    <row r="1080" spans="2:18" x14ac:dyDescent="0.25">
      <c r="B1080" s="5" t="s">
        <v>1082</v>
      </c>
      <c r="C1080" s="5" t="s">
        <v>5222</v>
      </c>
      <c r="D1080" s="5">
        <v>2.4</v>
      </c>
      <c r="E1080" s="5">
        <v>0</v>
      </c>
      <c r="F1080" s="5">
        <v>49.2</v>
      </c>
      <c r="G1080" s="5">
        <v>49.2</v>
      </c>
      <c r="H1080" s="5">
        <v>49.2</v>
      </c>
      <c r="I1080" s="5">
        <v>49.2</v>
      </c>
      <c r="J1080" s="5">
        <v>49.2</v>
      </c>
      <c r="K1080" s="5">
        <v>49.2</v>
      </c>
      <c r="L1080" s="5">
        <v>49.2</v>
      </c>
      <c r="M1080" s="5">
        <v>0</v>
      </c>
      <c r="N1080" s="5">
        <v>64.347999999999999</v>
      </c>
      <c r="O1080" s="5" t="str">
        <f t="shared" ca="1" si="16"/>
        <v>Supplier 38</v>
      </c>
      <c r="P1080" s="20" t="str">
        <f ca="1">IFERROR(VLOOKUP(O1080,EMAILS!B:C,2,FALSE),"NOT FOUND IN EMAILS")</f>
        <v>supplier@gmail.com</v>
      </c>
      <c r="Q1080" t="str">
        <f ca="1">""&amp;IFERROR(VLOOKUP(O1080,EMAILS!B:D,3,FALSE),"NOT FOUND IN EMAILS")</f>
        <v/>
      </c>
      <c r="R1080" t="str">
        <f ca="1">""&amp;IFERROR(VLOOKUP(O1080,EMAILS!B:E,4,FALSE),"NO T FOUND IN EMAILS")</f>
        <v/>
      </c>
    </row>
    <row r="1081" spans="2:18" x14ac:dyDescent="0.25">
      <c r="B1081" s="5" t="s">
        <v>1083</v>
      </c>
      <c r="C1081" s="5" t="s">
        <v>5223</v>
      </c>
      <c r="D1081" s="5">
        <v>89.721999999999994</v>
      </c>
      <c r="E1081" s="5">
        <v>0</v>
      </c>
      <c r="F1081" s="5">
        <v>230.26</v>
      </c>
      <c r="G1081" s="5">
        <v>230.26</v>
      </c>
      <c r="H1081" s="5">
        <v>230.26</v>
      </c>
      <c r="I1081" s="5">
        <v>230.26</v>
      </c>
      <c r="J1081" s="5">
        <v>63.52</v>
      </c>
      <c r="K1081" s="5">
        <v>230.26</v>
      </c>
      <c r="L1081" s="5">
        <v>63.52</v>
      </c>
      <c r="M1081" s="5">
        <v>0</v>
      </c>
      <c r="N1081" s="5">
        <v>1760</v>
      </c>
      <c r="O1081" s="5" t="str">
        <f t="shared" ca="1" si="16"/>
        <v>Supplier 134</v>
      </c>
      <c r="P1081" s="20" t="str">
        <f ca="1">IFERROR(VLOOKUP(O1081,EMAILS!B:C,2,FALSE),"NOT FOUND IN EMAILS")</f>
        <v>supplier@gmail.com</v>
      </c>
      <c r="Q1081" t="str">
        <f ca="1">""&amp;IFERROR(VLOOKUP(O1081,EMAILS!B:D,3,FALSE),"NOT FOUND IN EMAILS")</f>
        <v/>
      </c>
      <c r="R1081" t="str">
        <f ca="1">""&amp;IFERROR(VLOOKUP(O1081,EMAILS!B:E,4,FALSE),"NO T FOUND IN EMAILS")</f>
        <v/>
      </c>
    </row>
    <row r="1082" spans="2:18" x14ac:dyDescent="0.25">
      <c r="B1082" s="5" t="s">
        <v>1084</v>
      </c>
      <c r="C1082" s="5" t="s">
        <v>5224</v>
      </c>
      <c r="D1082" s="5">
        <v>4.5599999999999996</v>
      </c>
      <c r="E1082" s="5">
        <v>8.68</v>
      </c>
      <c r="F1082" s="5">
        <v>15.54</v>
      </c>
      <c r="G1082" s="5">
        <v>28.52</v>
      </c>
      <c r="H1082" s="5">
        <v>40.85</v>
      </c>
      <c r="I1082" s="5">
        <v>32.369999999999997</v>
      </c>
      <c r="J1082" s="5">
        <v>34.6</v>
      </c>
      <c r="K1082" s="5">
        <v>27.02</v>
      </c>
      <c r="L1082" s="5">
        <v>51.49</v>
      </c>
      <c r="M1082" s="5">
        <v>0</v>
      </c>
      <c r="N1082" s="5">
        <v>1640</v>
      </c>
      <c r="O1082" s="5" t="str">
        <f t="shared" ca="1" si="16"/>
        <v>Supplier 71</v>
      </c>
      <c r="P1082" s="20" t="str">
        <f ca="1">IFERROR(VLOOKUP(O1082,EMAILS!B:C,2,FALSE),"NOT FOUND IN EMAILS")</f>
        <v>supplier@gmail.com</v>
      </c>
      <c r="Q1082" t="str">
        <f ca="1">""&amp;IFERROR(VLOOKUP(O1082,EMAILS!B:D,3,FALSE),"NOT FOUND IN EMAILS")</f>
        <v/>
      </c>
      <c r="R1082" t="str">
        <f ca="1">""&amp;IFERROR(VLOOKUP(O1082,EMAILS!B:E,4,FALSE),"NO T FOUND IN EMAILS")</f>
        <v/>
      </c>
    </row>
    <row r="1083" spans="2:18" x14ac:dyDescent="0.25">
      <c r="B1083" s="5" t="s">
        <v>1085</v>
      </c>
      <c r="C1083" s="5" t="s">
        <v>5225</v>
      </c>
      <c r="D1083" s="5">
        <v>0</v>
      </c>
      <c r="E1083" s="5">
        <v>0</v>
      </c>
      <c r="F1083" s="5">
        <v>0</v>
      </c>
      <c r="G1083" s="5">
        <v>0</v>
      </c>
      <c r="H1083" s="5">
        <v>0</v>
      </c>
      <c r="I1083" s="5">
        <v>0</v>
      </c>
      <c r="J1083" s="5">
        <v>0</v>
      </c>
      <c r="K1083" s="5">
        <v>0</v>
      </c>
      <c r="L1083" s="5">
        <v>0</v>
      </c>
      <c r="M1083" s="5">
        <v>0</v>
      </c>
      <c r="N1083" s="5">
        <v>869</v>
      </c>
      <c r="O1083" s="5" t="str">
        <f t="shared" ca="1" si="16"/>
        <v>Supplier 199</v>
      </c>
      <c r="P1083" s="20" t="str">
        <f ca="1">IFERROR(VLOOKUP(O1083,EMAILS!B:C,2,FALSE),"NOT FOUND IN EMAILS")</f>
        <v>supplier@gmail.com</v>
      </c>
      <c r="Q1083" t="str">
        <f ca="1">""&amp;IFERROR(VLOOKUP(O1083,EMAILS!B:D,3,FALSE),"NOT FOUND IN EMAILS")</f>
        <v/>
      </c>
      <c r="R1083" t="str">
        <f ca="1">""&amp;IFERROR(VLOOKUP(O1083,EMAILS!B:E,4,FALSE),"NO T FOUND IN EMAILS")</f>
        <v/>
      </c>
    </row>
    <row r="1084" spans="2:18" x14ac:dyDescent="0.25">
      <c r="B1084" s="5" t="s">
        <v>1086</v>
      </c>
      <c r="C1084" s="5" t="s">
        <v>5226</v>
      </c>
      <c r="D1084" s="5">
        <v>49.6</v>
      </c>
      <c r="E1084" s="5">
        <v>0</v>
      </c>
      <c r="F1084" s="5">
        <v>0</v>
      </c>
      <c r="G1084" s="5">
        <v>49.6</v>
      </c>
      <c r="H1084" s="5">
        <v>49.6</v>
      </c>
      <c r="I1084" s="5">
        <v>0</v>
      </c>
      <c r="J1084" s="5">
        <v>0</v>
      </c>
      <c r="K1084" s="5">
        <v>0</v>
      </c>
      <c r="L1084" s="5">
        <v>0</v>
      </c>
      <c r="M1084" s="5">
        <v>0</v>
      </c>
      <c r="N1084" s="5">
        <v>1391.2</v>
      </c>
      <c r="O1084" s="5" t="str">
        <f t="shared" ca="1" si="16"/>
        <v>Supplier 110</v>
      </c>
      <c r="P1084" s="20" t="str">
        <f ca="1">IFERROR(VLOOKUP(O1084,EMAILS!B:C,2,FALSE),"NOT FOUND IN EMAILS")</f>
        <v>supplier@gmail.com</v>
      </c>
      <c r="Q1084" t="str">
        <f ca="1">""&amp;IFERROR(VLOOKUP(O1084,EMAILS!B:D,3,FALSE),"NOT FOUND IN EMAILS")</f>
        <v/>
      </c>
      <c r="R1084" t="str">
        <f ca="1">""&amp;IFERROR(VLOOKUP(O1084,EMAILS!B:E,4,FALSE),"NO T FOUND IN EMAILS")</f>
        <v/>
      </c>
    </row>
    <row r="1085" spans="2:18" x14ac:dyDescent="0.25">
      <c r="B1085" s="5" t="s">
        <v>1087</v>
      </c>
      <c r="C1085" s="5" t="s">
        <v>5227</v>
      </c>
      <c r="D1085" s="5">
        <v>297.4676</v>
      </c>
      <c r="E1085" s="5">
        <v>237.6636</v>
      </c>
      <c r="F1085" s="5">
        <v>388.18900000000008</v>
      </c>
      <c r="G1085" s="5">
        <v>414.85300000000012</v>
      </c>
      <c r="H1085" s="5">
        <v>281.55559999999997</v>
      </c>
      <c r="I1085" s="5">
        <v>310.21100000000007</v>
      </c>
      <c r="J1085" s="5">
        <v>172.29620000000008</v>
      </c>
      <c r="K1085" s="5">
        <v>188.53620000000012</v>
      </c>
      <c r="L1085" s="5">
        <v>171.97620000000006</v>
      </c>
      <c r="M1085" s="5">
        <v>0</v>
      </c>
      <c r="N1085" s="5">
        <v>1394.3</v>
      </c>
      <c r="O1085" s="5" t="str">
        <f t="shared" ca="1" si="16"/>
        <v>Supplier 116</v>
      </c>
      <c r="P1085" s="20" t="str">
        <f ca="1">IFERROR(VLOOKUP(O1085,EMAILS!B:C,2,FALSE),"NOT FOUND IN EMAILS")</f>
        <v>supplier@gmail.com</v>
      </c>
      <c r="Q1085" t="str">
        <f ca="1">""&amp;IFERROR(VLOOKUP(O1085,EMAILS!B:D,3,FALSE),"NOT FOUND IN EMAILS")</f>
        <v/>
      </c>
      <c r="R1085" t="str">
        <f ca="1">""&amp;IFERROR(VLOOKUP(O1085,EMAILS!B:E,4,FALSE),"NO T FOUND IN EMAILS")</f>
        <v/>
      </c>
    </row>
    <row r="1086" spans="2:18" x14ac:dyDescent="0.25">
      <c r="B1086" s="5" t="s">
        <v>1088</v>
      </c>
      <c r="C1086" s="5" t="s">
        <v>5228</v>
      </c>
      <c r="D1086" s="5">
        <v>207.28</v>
      </c>
      <c r="E1086" s="5">
        <v>264.56</v>
      </c>
      <c r="F1086" s="5">
        <v>232.72</v>
      </c>
      <c r="G1086" s="5">
        <v>108.92</v>
      </c>
      <c r="H1086" s="5">
        <v>49.64</v>
      </c>
      <c r="I1086" s="5">
        <v>0</v>
      </c>
      <c r="J1086" s="5">
        <v>140.74</v>
      </c>
      <c r="K1086" s="5">
        <v>108.92</v>
      </c>
      <c r="L1086" s="5">
        <v>118.54</v>
      </c>
      <c r="M1086" s="5">
        <v>0</v>
      </c>
      <c r="N1086" s="5">
        <v>3544</v>
      </c>
      <c r="O1086" s="5" t="str">
        <f t="shared" ca="1" si="16"/>
        <v>Supplier 155</v>
      </c>
      <c r="P1086" s="20" t="str">
        <f ca="1">IFERROR(VLOOKUP(O1086,EMAILS!B:C,2,FALSE),"NOT FOUND IN EMAILS")</f>
        <v>supplier@gmail.com</v>
      </c>
      <c r="Q1086" t="str">
        <f ca="1">""&amp;IFERROR(VLOOKUP(O1086,EMAILS!B:D,3,FALSE),"NOT FOUND IN EMAILS")</f>
        <v/>
      </c>
      <c r="R1086" t="str">
        <f ca="1">""&amp;IFERROR(VLOOKUP(O1086,EMAILS!B:E,4,FALSE),"NO T FOUND IN EMAILS")</f>
        <v/>
      </c>
    </row>
    <row r="1087" spans="2:18" x14ac:dyDescent="0.25">
      <c r="B1087" s="5" t="s">
        <v>1089</v>
      </c>
      <c r="C1087" s="5" t="s">
        <v>5229</v>
      </c>
      <c r="D1087" s="5">
        <v>1010.3951999999999</v>
      </c>
      <c r="E1087" s="5">
        <v>1574.3976</v>
      </c>
      <c r="F1087" s="5">
        <v>1340.3951999999999</v>
      </c>
      <c r="G1087" s="5">
        <v>754.55520000000001</v>
      </c>
      <c r="H1087" s="5">
        <v>1052.0352</v>
      </c>
      <c r="I1087" s="5">
        <v>714.71519999999998</v>
      </c>
      <c r="J1087" s="5">
        <v>714.71519999999998</v>
      </c>
      <c r="K1087" s="5">
        <v>591.36</v>
      </c>
      <c r="L1087" s="5">
        <v>0</v>
      </c>
      <c r="M1087" s="5">
        <v>0</v>
      </c>
      <c r="N1087" s="5">
        <v>8466</v>
      </c>
      <c r="O1087" s="5" t="str">
        <f t="shared" ca="1" si="16"/>
        <v>Supplier 190</v>
      </c>
      <c r="P1087" s="20" t="str">
        <f ca="1">IFERROR(VLOOKUP(O1087,EMAILS!B:C,2,FALSE),"NOT FOUND IN EMAILS")</f>
        <v>supplier@gmail.com</v>
      </c>
      <c r="Q1087" t="str">
        <f ca="1">""&amp;IFERROR(VLOOKUP(O1087,EMAILS!B:D,3,FALSE),"NOT FOUND IN EMAILS")</f>
        <v/>
      </c>
      <c r="R1087" t="str">
        <f ca="1">""&amp;IFERROR(VLOOKUP(O1087,EMAILS!B:E,4,FALSE),"NO T FOUND IN EMAILS")</f>
        <v/>
      </c>
    </row>
    <row r="1088" spans="2:18" x14ac:dyDescent="0.25">
      <c r="B1088" s="5" t="s">
        <v>1090</v>
      </c>
      <c r="C1088" s="5" t="s">
        <v>5230</v>
      </c>
      <c r="D1088" s="5">
        <v>2695.68</v>
      </c>
      <c r="E1088" s="5">
        <v>2396.16</v>
      </c>
      <c r="F1088" s="5">
        <v>3110.7119999999995</v>
      </c>
      <c r="G1088" s="5">
        <v>2735.4</v>
      </c>
      <c r="H1088" s="5">
        <v>3127.8719999999994</v>
      </c>
      <c r="I1088" s="5">
        <v>3029.52</v>
      </c>
      <c r="J1088" s="5">
        <v>2776.8719999999998</v>
      </c>
      <c r="K1088" s="5">
        <v>2735.4</v>
      </c>
      <c r="L1088" s="5">
        <v>2695.68</v>
      </c>
      <c r="M1088" s="5">
        <v>0</v>
      </c>
      <c r="N1088" s="5">
        <v>0</v>
      </c>
      <c r="O1088" s="5" t="str">
        <f t="shared" ca="1" si="16"/>
        <v>Supplier 160</v>
      </c>
      <c r="P1088" s="20" t="str">
        <f ca="1">IFERROR(VLOOKUP(O1088,EMAILS!B:C,2,FALSE),"NOT FOUND IN EMAILS")</f>
        <v>supplier@gmail.com</v>
      </c>
      <c r="Q1088" t="str">
        <f ca="1">""&amp;IFERROR(VLOOKUP(O1088,EMAILS!B:D,3,FALSE),"NOT FOUND IN EMAILS")</f>
        <v/>
      </c>
      <c r="R1088" t="str">
        <f ca="1">""&amp;IFERROR(VLOOKUP(O1088,EMAILS!B:E,4,FALSE),"NO T FOUND IN EMAILS")</f>
        <v/>
      </c>
    </row>
    <row r="1089" spans="2:18" x14ac:dyDescent="0.25">
      <c r="B1089" s="5" t="s">
        <v>1091</v>
      </c>
      <c r="C1089" s="5" t="s">
        <v>5231</v>
      </c>
      <c r="D1089" s="5">
        <v>0.55008000000000001</v>
      </c>
      <c r="E1089" s="5">
        <v>0.91679999999999995</v>
      </c>
      <c r="F1089" s="5">
        <v>0.73343999999999998</v>
      </c>
      <c r="G1089" s="5">
        <v>0.36671999999999999</v>
      </c>
      <c r="H1089" s="5">
        <v>0.55008000000000001</v>
      </c>
      <c r="I1089" s="5">
        <v>0.36671999999999999</v>
      </c>
      <c r="J1089" s="5">
        <v>0.36671999999999999</v>
      </c>
      <c r="K1089" s="5">
        <v>0.36671999999999999</v>
      </c>
      <c r="L1089" s="5">
        <v>0</v>
      </c>
      <c r="M1089" s="5">
        <v>0</v>
      </c>
      <c r="N1089" s="5">
        <v>1000</v>
      </c>
      <c r="O1089" s="5" t="str">
        <f t="shared" ca="1" si="16"/>
        <v>Supplier 161</v>
      </c>
      <c r="P1089" s="20" t="str">
        <f ca="1">IFERROR(VLOOKUP(O1089,EMAILS!B:C,2,FALSE),"NOT FOUND IN EMAILS")</f>
        <v>supplier@gmail.com</v>
      </c>
      <c r="Q1089" t="str">
        <f ca="1">""&amp;IFERROR(VLOOKUP(O1089,EMAILS!B:D,3,FALSE),"NOT FOUND IN EMAILS")</f>
        <v/>
      </c>
      <c r="R1089" t="str">
        <f ca="1">""&amp;IFERROR(VLOOKUP(O1089,EMAILS!B:E,4,FALSE),"NO T FOUND IN EMAILS")</f>
        <v/>
      </c>
    </row>
    <row r="1090" spans="2:18" x14ac:dyDescent="0.25">
      <c r="B1090" s="5" t="s">
        <v>1092</v>
      </c>
      <c r="C1090" s="5" t="s">
        <v>5232</v>
      </c>
      <c r="D1090" s="5">
        <v>514.5</v>
      </c>
      <c r="E1090" s="5">
        <v>0</v>
      </c>
      <c r="F1090" s="5">
        <v>1029</v>
      </c>
      <c r="G1090" s="5">
        <v>1029</v>
      </c>
      <c r="H1090" s="5">
        <v>514.5</v>
      </c>
      <c r="I1090" s="5">
        <v>514.5</v>
      </c>
      <c r="J1090" s="5">
        <v>1029</v>
      </c>
      <c r="K1090" s="5">
        <v>0</v>
      </c>
      <c r="L1090" s="5">
        <v>514.5</v>
      </c>
      <c r="M1090" s="5">
        <v>0</v>
      </c>
      <c r="N1090" s="5">
        <v>186</v>
      </c>
      <c r="O1090" s="5" t="str">
        <f t="shared" ca="1" si="16"/>
        <v>Supplier 135</v>
      </c>
      <c r="P1090" s="20" t="str">
        <f ca="1">IFERROR(VLOOKUP(O1090,EMAILS!B:C,2,FALSE),"NOT FOUND IN EMAILS")</f>
        <v>supplier@gmail.com</v>
      </c>
      <c r="Q1090" t="str">
        <f ca="1">""&amp;IFERROR(VLOOKUP(O1090,EMAILS!B:D,3,FALSE),"NOT FOUND IN EMAILS")</f>
        <v/>
      </c>
      <c r="R1090" t="str">
        <f ca="1">""&amp;IFERROR(VLOOKUP(O1090,EMAILS!B:E,4,FALSE),"NO T FOUND IN EMAILS")</f>
        <v/>
      </c>
    </row>
    <row r="1091" spans="2:18" x14ac:dyDescent="0.25">
      <c r="B1091" s="5" t="s">
        <v>1093</v>
      </c>
      <c r="C1091" s="5" t="s">
        <v>5233</v>
      </c>
      <c r="D1091" s="5">
        <v>0</v>
      </c>
      <c r="E1091" s="5">
        <v>0</v>
      </c>
      <c r="F1091" s="5">
        <v>37.223999999999997</v>
      </c>
      <c r="G1091" s="5">
        <v>37.223999999999997</v>
      </c>
      <c r="H1091" s="5">
        <v>0</v>
      </c>
      <c r="I1091" s="5">
        <v>40.326000000000001</v>
      </c>
      <c r="J1091" s="5">
        <v>0</v>
      </c>
      <c r="K1091" s="5">
        <v>0</v>
      </c>
      <c r="L1091" s="5">
        <v>37.223999999999997</v>
      </c>
      <c r="M1091" s="5">
        <v>0</v>
      </c>
      <c r="N1091" s="5">
        <v>0</v>
      </c>
      <c r="O1091" s="5" t="str">
        <f t="shared" ref="O1091:O1154" ca="1" si="17">"Supplier "&amp;RANDBETWEEN(1,200)</f>
        <v>Supplier 118</v>
      </c>
      <c r="P1091" s="20" t="str">
        <f ca="1">IFERROR(VLOOKUP(O1091,EMAILS!B:C,2,FALSE),"NOT FOUND IN EMAILS")</f>
        <v>supplier@gmail.com</v>
      </c>
      <c r="Q1091" t="str">
        <f ca="1">""&amp;IFERROR(VLOOKUP(O1091,EMAILS!B:D,3,FALSE),"NOT FOUND IN EMAILS")</f>
        <v/>
      </c>
      <c r="R1091" t="str">
        <f ca="1">""&amp;IFERROR(VLOOKUP(O1091,EMAILS!B:E,4,FALSE),"NO T FOUND IN EMAILS")</f>
        <v/>
      </c>
    </row>
    <row r="1092" spans="2:18" x14ac:dyDescent="0.25">
      <c r="B1092" s="5" t="s">
        <v>1094</v>
      </c>
      <c r="C1092" s="5" t="s">
        <v>5234</v>
      </c>
      <c r="D1092" s="5">
        <v>0</v>
      </c>
      <c r="E1092" s="5">
        <v>0</v>
      </c>
      <c r="F1092" s="5">
        <v>0</v>
      </c>
      <c r="G1092" s="5">
        <v>0</v>
      </c>
      <c r="H1092" s="5">
        <v>0</v>
      </c>
      <c r="I1092" s="5">
        <v>0</v>
      </c>
      <c r="J1092" s="5">
        <v>0</v>
      </c>
      <c r="K1092" s="5">
        <v>0</v>
      </c>
      <c r="L1092" s="5">
        <v>0</v>
      </c>
      <c r="M1092" s="5">
        <v>0</v>
      </c>
      <c r="N1092" s="5">
        <v>2058</v>
      </c>
      <c r="O1092" s="5" t="str">
        <f t="shared" ca="1" si="17"/>
        <v>Supplier 183</v>
      </c>
      <c r="P1092" s="20" t="str">
        <f ca="1">IFERROR(VLOOKUP(O1092,EMAILS!B:C,2,FALSE),"NOT FOUND IN EMAILS")</f>
        <v>supplier@gmail.com</v>
      </c>
      <c r="Q1092" t="str">
        <f ca="1">""&amp;IFERROR(VLOOKUP(O1092,EMAILS!B:D,3,FALSE),"NOT FOUND IN EMAILS")</f>
        <v/>
      </c>
      <c r="R1092" t="str">
        <f ca="1">""&amp;IFERROR(VLOOKUP(O1092,EMAILS!B:E,4,FALSE),"NO T FOUND IN EMAILS")</f>
        <v/>
      </c>
    </row>
    <row r="1093" spans="2:18" x14ac:dyDescent="0.25">
      <c r="B1093" s="5" t="s">
        <v>1095</v>
      </c>
      <c r="C1093" s="5" t="s">
        <v>5235</v>
      </c>
      <c r="D1093" s="5">
        <v>259.49906000000004</v>
      </c>
      <c r="E1093" s="5">
        <v>159.10665999999998</v>
      </c>
      <c r="F1093" s="5">
        <v>260.77792000000017</v>
      </c>
      <c r="G1093" s="5">
        <v>277.86892</v>
      </c>
      <c r="H1093" s="5">
        <v>187.53065999999998</v>
      </c>
      <c r="I1093" s="5">
        <v>200.10952000000003</v>
      </c>
      <c r="J1093" s="5">
        <v>118.10380000000001</v>
      </c>
      <c r="K1093" s="5">
        <v>118.10380000000001</v>
      </c>
      <c r="L1093" s="5">
        <v>118.10380000000001</v>
      </c>
      <c r="M1093" s="5">
        <v>0</v>
      </c>
      <c r="N1093" s="5">
        <v>0</v>
      </c>
      <c r="O1093" s="5" t="str">
        <f t="shared" ca="1" si="17"/>
        <v>Supplier 45</v>
      </c>
      <c r="P1093" s="20" t="str">
        <f ca="1">IFERROR(VLOOKUP(O1093,EMAILS!B:C,2,FALSE),"NOT FOUND IN EMAILS")</f>
        <v>supplier@gmail.com</v>
      </c>
      <c r="Q1093" t="str">
        <f ca="1">""&amp;IFERROR(VLOOKUP(O1093,EMAILS!B:D,3,FALSE),"NOT FOUND IN EMAILS")</f>
        <v/>
      </c>
      <c r="R1093" t="str">
        <f ca="1">""&amp;IFERROR(VLOOKUP(O1093,EMAILS!B:E,4,FALSE),"NO T FOUND IN EMAILS")</f>
        <v/>
      </c>
    </row>
    <row r="1094" spans="2:18" x14ac:dyDescent="0.25">
      <c r="B1094" s="5" t="s">
        <v>1096</v>
      </c>
      <c r="C1094" s="5" t="s">
        <v>5236</v>
      </c>
      <c r="D1094" s="5">
        <v>0</v>
      </c>
      <c r="E1094" s="5">
        <v>0</v>
      </c>
      <c r="F1094" s="5">
        <v>0</v>
      </c>
      <c r="G1094" s="5">
        <v>0</v>
      </c>
      <c r="H1094" s="5">
        <v>0</v>
      </c>
      <c r="I1094" s="5">
        <v>0</v>
      </c>
      <c r="J1094" s="5">
        <v>0</v>
      </c>
      <c r="K1094" s="5">
        <v>0</v>
      </c>
      <c r="L1094" s="5">
        <v>0</v>
      </c>
      <c r="M1094" s="5">
        <v>0</v>
      </c>
      <c r="N1094" s="5">
        <v>200</v>
      </c>
      <c r="O1094" s="5" t="str">
        <f t="shared" ca="1" si="17"/>
        <v>Supplier 63</v>
      </c>
      <c r="P1094" s="20" t="str">
        <f ca="1">IFERROR(VLOOKUP(O1094,EMAILS!B:C,2,FALSE),"NOT FOUND IN EMAILS")</f>
        <v>supplier@gmail.com</v>
      </c>
      <c r="Q1094" t="str">
        <f ca="1">""&amp;IFERROR(VLOOKUP(O1094,EMAILS!B:D,3,FALSE),"NOT FOUND IN EMAILS")</f>
        <v/>
      </c>
      <c r="R1094" t="str">
        <f ca="1">""&amp;IFERROR(VLOOKUP(O1094,EMAILS!B:E,4,FALSE),"NO T FOUND IN EMAILS")</f>
        <v/>
      </c>
    </row>
    <row r="1095" spans="2:18" x14ac:dyDescent="0.25">
      <c r="B1095" s="5" t="s">
        <v>1097</v>
      </c>
      <c r="C1095" s="5" t="s">
        <v>5237</v>
      </c>
      <c r="D1095" s="5">
        <v>21.38</v>
      </c>
      <c r="E1095" s="5">
        <v>4.4000000000000004</v>
      </c>
      <c r="F1095" s="5">
        <v>20.5</v>
      </c>
      <c r="G1095" s="5">
        <v>20.908000000000001</v>
      </c>
      <c r="H1095" s="5">
        <v>1.76</v>
      </c>
      <c r="I1095" s="5">
        <v>0</v>
      </c>
      <c r="J1095" s="5">
        <v>1.8479999999999999</v>
      </c>
      <c r="K1095" s="5">
        <v>2.1680000000000001</v>
      </c>
      <c r="L1095" s="5">
        <v>0.96</v>
      </c>
      <c r="M1095" s="5">
        <v>0</v>
      </c>
      <c r="N1095" s="5">
        <v>60</v>
      </c>
      <c r="O1095" s="5" t="str">
        <f t="shared" ca="1" si="17"/>
        <v>Supplier 103</v>
      </c>
      <c r="P1095" s="20" t="str">
        <f ca="1">IFERROR(VLOOKUP(O1095,EMAILS!B:C,2,FALSE),"NOT FOUND IN EMAILS")</f>
        <v>supplier@gmail.com</v>
      </c>
      <c r="Q1095" t="str">
        <f ca="1">""&amp;IFERROR(VLOOKUP(O1095,EMAILS!B:D,3,FALSE),"NOT FOUND IN EMAILS")</f>
        <v/>
      </c>
      <c r="R1095" t="str">
        <f ca="1">""&amp;IFERROR(VLOOKUP(O1095,EMAILS!B:E,4,FALSE),"NO T FOUND IN EMAILS")</f>
        <v/>
      </c>
    </row>
    <row r="1096" spans="2:18" x14ac:dyDescent="0.25">
      <c r="B1096" s="5" t="s">
        <v>1098</v>
      </c>
      <c r="C1096" s="5" t="s">
        <v>5238</v>
      </c>
      <c r="D1096" s="5">
        <v>0</v>
      </c>
      <c r="E1096" s="5">
        <v>0</v>
      </c>
      <c r="F1096" s="5">
        <v>0</v>
      </c>
      <c r="G1096" s="5">
        <v>0</v>
      </c>
      <c r="H1096" s="5">
        <v>0</v>
      </c>
      <c r="I1096" s="5">
        <v>0</v>
      </c>
      <c r="J1096" s="5">
        <v>0</v>
      </c>
      <c r="K1096" s="5">
        <v>0</v>
      </c>
      <c r="L1096" s="5">
        <v>0</v>
      </c>
      <c r="M1096" s="5">
        <v>0</v>
      </c>
      <c r="N1096" s="5">
        <v>0</v>
      </c>
      <c r="O1096" s="5" t="str">
        <f t="shared" ca="1" si="17"/>
        <v>Supplier 133</v>
      </c>
      <c r="P1096" s="20" t="str">
        <f ca="1">IFERROR(VLOOKUP(O1096,EMAILS!B:C,2,FALSE),"NOT FOUND IN EMAILS")</f>
        <v>supplier@gmail.com</v>
      </c>
      <c r="Q1096" t="str">
        <f ca="1">""&amp;IFERROR(VLOOKUP(O1096,EMAILS!B:D,3,FALSE),"NOT FOUND IN EMAILS")</f>
        <v/>
      </c>
      <c r="R1096" t="str">
        <f ca="1">""&amp;IFERROR(VLOOKUP(O1096,EMAILS!B:E,4,FALSE),"NO T FOUND IN EMAILS")</f>
        <v/>
      </c>
    </row>
    <row r="1097" spans="2:18" x14ac:dyDescent="0.25">
      <c r="B1097" s="5" t="s">
        <v>1099</v>
      </c>
      <c r="C1097" s="5" t="s">
        <v>5239</v>
      </c>
      <c r="D1097" s="5">
        <v>0</v>
      </c>
      <c r="E1097" s="5">
        <v>0</v>
      </c>
      <c r="F1097" s="5">
        <v>0</v>
      </c>
      <c r="G1097" s="5">
        <v>0</v>
      </c>
      <c r="H1097" s="5">
        <v>0</v>
      </c>
      <c r="I1097" s="5">
        <v>0</v>
      </c>
      <c r="J1097" s="5">
        <v>0</v>
      </c>
      <c r="K1097" s="5">
        <v>0</v>
      </c>
      <c r="L1097" s="5">
        <v>0</v>
      </c>
      <c r="M1097" s="5">
        <v>0</v>
      </c>
      <c r="N1097" s="5">
        <v>25</v>
      </c>
      <c r="O1097" s="5" t="str">
        <f t="shared" ca="1" si="17"/>
        <v>Supplier 179</v>
      </c>
      <c r="P1097" s="20" t="str">
        <f ca="1">IFERROR(VLOOKUP(O1097,EMAILS!B:C,2,FALSE),"NOT FOUND IN EMAILS")</f>
        <v>supplier@gmail.com</v>
      </c>
      <c r="Q1097" t="str">
        <f ca="1">""&amp;IFERROR(VLOOKUP(O1097,EMAILS!B:D,3,FALSE),"NOT FOUND IN EMAILS")</f>
        <v/>
      </c>
      <c r="R1097" t="str">
        <f ca="1">""&amp;IFERROR(VLOOKUP(O1097,EMAILS!B:E,4,FALSE),"NO T FOUND IN EMAILS")</f>
        <v/>
      </c>
    </row>
    <row r="1098" spans="2:18" x14ac:dyDescent="0.25">
      <c r="B1098" s="5" t="s">
        <v>1100</v>
      </c>
      <c r="C1098" s="5" t="s">
        <v>5240</v>
      </c>
      <c r="D1098" s="5">
        <v>0</v>
      </c>
      <c r="E1098" s="5">
        <v>0</v>
      </c>
      <c r="F1098" s="5">
        <v>0</v>
      </c>
      <c r="G1098" s="5">
        <v>0</v>
      </c>
      <c r="H1098" s="5">
        <v>0</v>
      </c>
      <c r="I1098" s="5">
        <v>1</v>
      </c>
      <c r="J1098" s="5">
        <v>0</v>
      </c>
      <c r="K1098" s="5">
        <v>0</v>
      </c>
      <c r="L1098" s="5">
        <v>0</v>
      </c>
      <c r="M1098" s="5">
        <v>0</v>
      </c>
      <c r="N1098" s="5">
        <v>70</v>
      </c>
      <c r="O1098" s="5" t="str">
        <f t="shared" ca="1" si="17"/>
        <v>Supplier 167</v>
      </c>
      <c r="P1098" s="20" t="str">
        <f ca="1">IFERROR(VLOOKUP(O1098,EMAILS!B:C,2,FALSE),"NOT FOUND IN EMAILS")</f>
        <v>supplier@gmail.com</v>
      </c>
      <c r="Q1098" t="str">
        <f ca="1">""&amp;IFERROR(VLOOKUP(O1098,EMAILS!B:D,3,FALSE),"NOT FOUND IN EMAILS")</f>
        <v/>
      </c>
      <c r="R1098" t="str">
        <f ca="1">""&amp;IFERROR(VLOOKUP(O1098,EMAILS!B:E,4,FALSE),"NO T FOUND IN EMAILS")</f>
        <v/>
      </c>
    </row>
    <row r="1099" spans="2:18" x14ac:dyDescent="0.25">
      <c r="B1099" s="5" t="s">
        <v>1101</v>
      </c>
      <c r="C1099" s="5" t="s">
        <v>5241</v>
      </c>
      <c r="D1099" s="5">
        <v>0</v>
      </c>
      <c r="E1099" s="5">
        <v>0</v>
      </c>
      <c r="F1099" s="5">
        <v>0</v>
      </c>
      <c r="G1099" s="5">
        <v>0</v>
      </c>
      <c r="H1099" s="5">
        <v>0</v>
      </c>
      <c r="I1099" s="5">
        <v>0</v>
      </c>
      <c r="J1099" s="5">
        <v>0</v>
      </c>
      <c r="K1099" s="5">
        <v>0</v>
      </c>
      <c r="L1099" s="5">
        <v>0</v>
      </c>
      <c r="M1099" s="5">
        <v>0</v>
      </c>
      <c r="N1099" s="5">
        <v>4863</v>
      </c>
      <c r="O1099" s="5" t="str">
        <f t="shared" ca="1" si="17"/>
        <v>Supplier 20</v>
      </c>
      <c r="P1099" s="20" t="str">
        <f ca="1">IFERROR(VLOOKUP(O1099,EMAILS!B:C,2,FALSE),"NOT FOUND IN EMAILS")</f>
        <v>supplier@gmail.com</v>
      </c>
      <c r="Q1099" t="str">
        <f ca="1">""&amp;IFERROR(VLOOKUP(O1099,EMAILS!B:D,3,FALSE),"NOT FOUND IN EMAILS")</f>
        <v/>
      </c>
      <c r="R1099" t="str">
        <f ca="1">""&amp;IFERROR(VLOOKUP(O1099,EMAILS!B:E,4,FALSE),"NO T FOUND IN EMAILS")</f>
        <v/>
      </c>
    </row>
    <row r="1100" spans="2:18" x14ac:dyDescent="0.25">
      <c r="B1100" s="5" t="s">
        <v>1102</v>
      </c>
      <c r="C1100" s="5" t="s">
        <v>5242</v>
      </c>
      <c r="D1100" s="5">
        <v>786.18200000000002</v>
      </c>
      <c r="E1100" s="5">
        <v>1219.1619999999998</v>
      </c>
      <c r="F1100" s="5">
        <v>1343.242</v>
      </c>
      <c r="G1100" s="5">
        <v>1301.7819999999999</v>
      </c>
      <c r="H1100" s="5">
        <v>1460.8</v>
      </c>
      <c r="I1100" s="5">
        <v>1157.5659999999998</v>
      </c>
      <c r="J1100" s="5">
        <v>1012.03</v>
      </c>
      <c r="K1100" s="5">
        <v>1088.69</v>
      </c>
      <c r="L1100" s="5">
        <v>884.46600000000001</v>
      </c>
      <c r="M1100" s="5">
        <v>0</v>
      </c>
      <c r="N1100" s="5">
        <v>118</v>
      </c>
      <c r="O1100" s="5" t="str">
        <f t="shared" ca="1" si="17"/>
        <v>Supplier 13</v>
      </c>
      <c r="P1100" s="20" t="str">
        <f ca="1">IFERROR(VLOOKUP(O1100,EMAILS!B:C,2,FALSE),"NOT FOUND IN EMAILS")</f>
        <v>supplier@gmail.com</v>
      </c>
      <c r="Q1100" t="str">
        <f ca="1">""&amp;IFERROR(VLOOKUP(O1100,EMAILS!B:D,3,FALSE),"NOT FOUND IN EMAILS")</f>
        <v>supplier_logistics@gmail.com</v>
      </c>
      <c r="R1100" t="str">
        <f ca="1">""&amp;IFERROR(VLOOKUP(O1100,EMAILS!B:E,4,FALSE),"NO T FOUND IN EMAILS")</f>
        <v/>
      </c>
    </row>
    <row r="1101" spans="2:18" x14ac:dyDescent="0.25">
      <c r="B1101" s="5" t="s">
        <v>1103</v>
      </c>
      <c r="C1101" s="5" t="s">
        <v>5243</v>
      </c>
      <c r="D1101" s="5">
        <v>130.81</v>
      </c>
      <c r="E1101" s="5">
        <v>138.554</v>
      </c>
      <c r="F1101" s="5">
        <v>182.38</v>
      </c>
      <c r="G1101" s="5">
        <v>163.26</v>
      </c>
      <c r="H1101" s="5">
        <v>129.69999999999999</v>
      </c>
      <c r="I1101" s="5">
        <v>121.25</v>
      </c>
      <c r="J1101" s="5">
        <v>148.59800000000001</v>
      </c>
      <c r="K1101" s="5">
        <v>146.53</v>
      </c>
      <c r="L1101" s="5">
        <v>65.91</v>
      </c>
      <c r="M1101" s="5">
        <v>0</v>
      </c>
      <c r="N1101" s="5">
        <v>6010</v>
      </c>
      <c r="O1101" s="5" t="str">
        <f t="shared" ca="1" si="17"/>
        <v>Supplier 56</v>
      </c>
      <c r="P1101" s="20" t="str">
        <f ca="1">IFERROR(VLOOKUP(O1101,EMAILS!B:C,2,FALSE),"NOT FOUND IN EMAILS")</f>
        <v>supplier@gmail.com</v>
      </c>
      <c r="Q1101" t="str">
        <f ca="1">""&amp;IFERROR(VLOOKUP(O1101,EMAILS!B:D,3,FALSE),"NOT FOUND IN EMAILS")</f>
        <v/>
      </c>
      <c r="R1101" t="str">
        <f ca="1">""&amp;IFERROR(VLOOKUP(O1101,EMAILS!B:E,4,FALSE),"NO T FOUND IN EMAILS")</f>
        <v/>
      </c>
    </row>
    <row r="1102" spans="2:18" x14ac:dyDescent="0.25">
      <c r="B1102" s="5" t="s">
        <v>1104</v>
      </c>
      <c r="C1102" s="5" t="s">
        <v>5244</v>
      </c>
      <c r="D1102" s="5">
        <v>1190.9348</v>
      </c>
      <c r="E1102" s="5">
        <v>935.71039999999994</v>
      </c>
      <c r="F1102" s="5">
        <v>1046.5868</v>
      </c>
      <c r="G1102" s="5">
        <v>1232.4027999999998</v>
      </c>
      <c r="H1102" s="5">
        <v>755.92679999999996</v>
      </c>
      <c r="I1102" s="5">
        <v>677.6028</v>
      </c>
      <c r="J1102" s="5">
        <v>859.65080000000012</v>
      </c>
      <c r="K1102" s="5">
        <v>446.77600000000001</v>
      </c>
      <c r="L1102" s="5">
        <v>472.72199999999998</v>
      </c>
      <c r="M1102" s="5">
        <v>0</v>
      </c>
      <c r="N1102" s="5">
        <v>6181</v>
      </c>
      <c r="O1102" s="5" t="str">
        <f t="shared" ca="1" si="17"/>
        <v>Supplier 75</v>
      </c>
      <c r="P1102" s="20" t="str">
        <f ca="1">IFERROR(VLOOKUP(O1102,EMAILS!B:C,2,FALSE),"NOT FOUND IN EMAILS")</f>
        <v>supplier@gmail.com</v>
      </c>
      <c r="Q1102" t="str">
        <f ca="1">""&amp;IFERROR(VLOOKUP(O1102,EMAILS!B:D,3,FALSE),"NOT FOUND IN EMAILS")</f>
        <v/>
      </c>
      <c r="R1102" t="str">
        <f ca="1">""&amp;IFERROR(VLOOKUP(O1102,EMAILS!B:E,4,FALSE),"NO T FOUND IN EMAILS")</f>
        <v/>
      </c>
    </row>
    <row r="1103" spans="2:18" x14ac:dyDescent="0.25">
      <c r="B1103" s="5" t="s">
        <v>1105</v>
      </c>
      <c r="C1103" s="5" t="s">
        <v>5245</v>
      </c>
      <c r="D1103" s="5">
        <v>707.74</v>
      </c>
      <c r="E1103" s="5">
        <v>1057.3599999999999</v>
      </c>
      <c r="F1103" s="5">
        <v>920.46</v>
      </c>
      <c r="G1103" s="5">
        <v>444</v>
      </c>
      <c r="H1103" s="5">
        <v>877</v>
      </c>
      <c r="I1103" s="5">
        <v>222</v>
      </c>
      <c r="J1103" s="5">
        <v>814.54</v>
      </c>
      <c r="K1103" s="5">
        <v>237.96</v>
      </c>
      <c r="L1103" s="5">
        <v>585.6</v>
      </c>
      <c r="M1103" s="5">
        <v>0</v>
      </c>
      <c r="N1103" s="5">
        <v>1985</v>
      </c>
      <c r="O1103" s="5" t="str">
        <f t="shared" ca="1" si="17"/>
        <v>Supplier 10</v>
      </c>
      <c r="P1103" s="20" t="str">
        <f ca="1">IFERROR(VLOOKUP(O1103,EMAILS!B:C,2,FALSE),"NOT FOUND IN EMAILS")</f>
        <v>supplier@gmail.com</v>
      </c>
      <c r="Q1103" t="str">
        <f ca="1">""&amp;IFERROR(VLOOKUP(O1103,EMAILS!B:D,3,FALSE),"NOT FOUND IN EMAILS")</f>
        <v>supplier_logistics@gmail.com</v>
      </c>
      <c r="R1103" t="str">
        <f ca="1">""&amp;IFERROR(VLOOKUP(O1103,EMAILS!B:E,4,FALSE),"NO T FOUND IN EMAILS")</f>
        <v/>
      </c>
    </row>
    <row r="1104" spans="2:18" x14ac:dyDescent="0.25">
      <c r="B1104" s="5" t="s">
        <v>1106</v>
      </c>
      <c r="C1104" s="5" t="s">
        <v>5246</v>
      </c>
      <c r="D1104" s="5">
        <v>124.04504</v>
      </c>
      <c r="E1104" s="5">
        <v>1.31952</v>
      </c>
      <c r="F1104" s="5">
        <v>259.30951999999996</v>
      </c>
      <c r="G1104" s="5">
        <v>0.29504000000000002</v>
      </c>
      <c r="H1104" s="5">
        <v>0.29504000000000002</v>
      </c>
      <c r="I1104" s="5">
        <v>0</v>
      </c>
      <c r="J1104" s="5">
        <v>0</v>
      </c>
      <c r="K1104" s="5">
        <v>0</v>
      </c>
      <c r="L1104" s="5">
        <v>0</v>
      </c>
      <c r="M1104" s="5">
        <v>0</v>
      </c>
      <c r="N1104" s="5">
        <v>1710</v>
      </c>
      <c r="O1104" s="5" t="str">
        <f t="shared" ca="1" si="17"/>
        <v>Supplier 143</v>
      </c>
      <c r="P1104" s="20" t="str">
        <f ca="1">IFERROR(VLOOKUP(O1104,EMAILS!B:C,2,FALSE),"NOT FOUND IN EMAILS")</f>
        <v>supplier@gmail.com</v>
      </c>
      <c r="Q1104" t="str">
        <f ca="1">""&amp;IFERROR(VLOOKUP(O1104,EMAILS!B:D,3,FALSE),"NOT FOUND IN EMAILS")</f>
        <v/>
      </c>
      <c r="R1104" t="str">
        <f ca="1">""&amp;IFERROR(VLOOKUP(O1104,EMAILS!B:E,4,FALSE),"NO T FOUND IN EMAILS")</f>
        <v/>
      </c>
    </row>
    <row r="1105" spans="2:18" x14ac:dyDescent="0.25">
      <c r="B1105" s="5" t="s">
        <v>1107</v>
      </c>
      <c r="C1105" s="5" t="s">
        <v>5247</v>
      </c>
      <c r="D1105" s="5">
        <v>807.52</v>
      </c>
      <c r="E1105" s="5">
        <v>699.02</v>
      </c>
      <c r="F1105" s="5">
        <v>1039.3399999999999</v>
      </c>
      <c r="G1105" s="5">
        <v>1015.22</v>
      </c>
      <c r="H1105" s="5">
        <v>755.72</v>
      </c>
      <c r="I1105" s="5">
        <v>1039.3399999999999</v>
      </c>
      <c r="J1105" s="5">
        <v>259.5</v>
      </c>
      <c r="K1105" s="5">
        <v>439.52</v>
      </c>
      <c r="L1105" s="5">
        <v>807.52</v>
      </c>
      <c r="M1105" s="5">
        <v>0</v>
      </c>
      <c r="N1105" s="5">
        <v>215</v>
      </c>
      <c r="O1105" s="5" t="str">
        <f t="shared" ca="1" si="17"/>
        <v>Supplier 135</v>
      </c>
      <c r="P1105" s="20" t="str">
        <f ca="1">IFERROR(VLOOKUP(O1105,EMAILS!B:C,2,FALSE),"NOT FOUND IN EMAILS")</f>
        <v>supplier@gmail.com</v>
      </c>
      <c r="Q1105" t="str">
        <f ca="1">""&amp;IFERROR(VLOOKUP(O1105,EMAILS!B:D,3,FALSE),"NOT FOUND IN EMAILS")</f>
        <v/>
      </c>
      <c r="R1105" t="str">
        <f ca="1">""&amp;IFERROR(VLOOKUP(O1105,EMAILS!B:E,4,FALSE),"NO T FOUND IN EMAILS")</f>
        <v/>
      </c>
    </row>
    <row r="1106" spans="2:18" x14ac:dyDescent="0.25">
      <c r="B1106" s="5" t="s">
        <v>1108</v>
      </c>
      <c r="C1106" s="5" t="s">
        <v>5248</v>
      </c>
      <c r="D1106" s="5">
        <v>0</v>
      </c>
      <c r="E1106" s="5">
        <v>0</v>
      </c>
      <c r="F1106" s="5">
        <v>0</v>
      </c>
      <c r="G1106" s="5">
        <v>0</v>
      </c>
      <c r="H1106" s="5">
        <v>0</v>
      </c>
      <c r="I1106" s="5">
        <v>0</v>
      </c>
      <c r="J1106" s="5">
        <v>0</v>
      </c>
      <c r="K1106" s="5">
        <v>0</v>
      </c>
      <c r="L1106" s="5">
        <v>0</v>
      </c>
      <c r="M1106" s="5">
        <v>0</v>
      </c>
      <c r="N1106" s="5">
        <v>1147</v>
      </c>
      <c r="O1106" s="5" t="str">
        <f t="shared" ca="1" si="17"/>
        <v>Supplier 73</v>
      </c>
      <c r="P1106" s="20" t="str">
        <f ca="1">IFERROR(VLOOKUP(O1106,EMAILS!B:C,2,FALSE),"NOT FOUND IN EMAILS")</f>
        <v>supplier@gmail.com</v>
      </c>
      <c r="Q1106" t="str">
        <f ca="1">""&amp;IFERROR(VLOOKUP(O1106,EMAILS!B:D,3,FALSE),"NOT FOUND IN EMAILS")</f>
        <v/>
      </c>
      <c r="R1106" t="str">
        <f ca="1">""&amp;IFERROR(VLOOKUP(O1106,EMAILS!B:E,4,FALSE),"NO T FOUND IN EMAILS")</f>
        <v/>
      </c>
    </row>
    <row r="1107" spans="2:18" x14ac:dyDescent="0.25">
      <c r="B1107" s="5" t="s">
        <v>1109</v>
      </c>
      <c r="C1107" s="5" t="s">
        <v>5249</v>
      </c>
      <c r="D1107" s="5">
        <v>0</v>
      </c>
      <c r="E1107" s="5">
        <v>0</v>
      </c>
      <c r="F1107" s="5">
        <v>504.8</v>
      </c>
      <c r="G1107" s="5">
        <v>0</v>
      </c>
      <c r="H1107" s="5">
        <v>0</v>
      </c>
      <c r="I1107" s="5">
        <v>753</v>
      </c>
      <c r="J1107" s="5">
        <v>0</v>
      </c>
      <c r="K1107" s="5">
        <v>0</v>
      </c>
      <c r="L1107" s="5">
        <v>0</v>
      </c>
      <c r="M1107" s="5">
        <v>0</v>
      </c>
      <c r="N1107" s="5">
        <v>7940</v>
      </c>
      <c r="O1107" s="5" t="str">
        <f t="shared" ca="1" si="17"/>
        <v>Supplier 148</v>
      </c>
      <c r="P1107" s="20" t="str">
        <f ca="1">IFERROR(VLOOKUP(O1107,EMAILS!B:C,2,FALSE),"NOT FOUND IN EMAILS")</f>
        <v>supplier@gmail.com</v>
      </c>
      <c r="Q1107" t="str">
        <f ca="1">""&amp;IFERROR(VLOOKUP(O1107,EMAILS!B:D,3,FALSE),"NOT FOUND IN EMAILS")</f>
        <v/>
      </c>
      <c r="R1107" t="str">
        <f ca="1">""&amp;IFERROR(VLOOKUP(O1107,EMAILS!B:E,4,FALSE),"NO T FOUND IN EMAILS")</f>
        <v/>
      </c>
    </row>
    <row r="1108" spans="2:18" x14ac:dyDescent="0.25">
      <c r="B1108" s="5" t="s">
        <v>1110</v>
      </c>
      <c r="C1108" s="5" t="s">
        <v>5250</v>
      </c>
      <c r="D1108" s="5">
        <v>1689.8</v>
      </c>
      <c r="E1108" s="5">
        <v>1559.4</v>
      </c>
      <c r="F1108" s="5">
        <v>1749.5150000000001</v>
      </c>
      <c r="G1108" s="5">
        <v>3323.2</v>
      </c>
      <c r="H1108" s="5">
        <v>1550.2</v>
      </c>
      <c r="I1108" s="5">
        <v>2922.8320000000003</v>
      </c>
      <c r="J1108" s="5">
        <v>1550.2</v>
      </c>
      <c r="K1108" s="5">
        <v>2060.6</v>
      </c>
      <c r="L1108" s="5">
        <v>2501.2160000000003</v>
      </c>
      <c r="M1108" s="5">
        <v>0</v>
      </c>
      <c r="N1108" s="5">
        <v>508</v>
      </c>
      <c r="O1108" s="5" t="str">
        <f t="shared" ca="1" si="17"/>
        <v>Supplier 199</v>
      </c>
      <c r="P1108" s="20" t="str">
        <f ca="1">IFERROR(VLOOKUP(O1108,EMAILS!B:C,2,FALSE),"NOT FOUND IN EMAILS")</f>
        <v>supplier@gmail.com</v>
      </c>
      <c r="Q1108" t="str">
        <f ca="1">""&amp;IFERROR(VLOOKUP(O1108,EMAILS!B:D,3,FALSE),"NOT FOUND IN EMAILS")</f>
        <v/>
      </c>
      <c r="R1108" t="str">
        <f ca="1">""&amp;IFERROR(VLOOKUP(O1108,EMAILS!B:E,4,FALSE),"NO T FOUND IN EMAILS")</f>
        <v/>
      </c>
    </row>
    <row r="1109" spans="2:18" x14ac:dyDescent="0.25">
      <c r="B1109" s="5" t="s">
        <v>1111</v>
      </c>
      <c r="C1109" s="5" t="s">
        <v>5251</v>
      </c>
      <c r="D1109" s="5">
        <v>39.36</v>
      </c>
      <c r="E1109" s="5">
        <v>0</v>
      </c>
      <c r="F1109" s="5">
        <v>0</v>
      </c>
      <c r="G1109" s="5">
        <v>0</v>
      </c>
      <c r="H1109" s="5">
        <v>0</v>
      </c>
      <c r="I1109" s="5">
        <v>0</v>
      </c>
      <c r="J1109" s="5">
        <v>0</v>
      </c>
      <c r="K1109" s="5">
        <v>78.72</v>
      </c>
      <c r="L1109" s="5">
        <v>0</v>
      </c>
      <c r="M1109" s="5">
        <v>0</v>
      </c>
      <c r="N1109" s="5">
        <v>0</v>
      </c>
      <c r="O1109" s="5" t="str">
        <f t="shared" ca="1" si="17"/>
        <v>Supplier 195</v>
      </c>
      <c r="P1109" s="20" t="str">
        <f ca="1">IFERROR(VLOOKUP(O1109,EMAILS!B:C,2,FALSE),"NOT FOUND IN EMAILS")</f>
        <v>supplier@gmail.com</v>
      </c>
      <c r="Q1109" t="str">
        <f ca="1">""&amp;IFERROR(VLOOKUP(O1109,EMAILS!B:D,3,FALSE),"NOT FOUND IN EMAILS")</f>
        <v/>
      </c>
      <c r="R1109" t="str">
        <f ca="1">""&amp;IFERROR(VLOOKUP(O1109,EMAILS!B:E,4,FALSE),"NO T FOUND IN EMAILS")</f>
        <v/>
      </c>
    </row>
    <row r="1110" spans="2:18" x14ac:dyDescent="0.25">
      <c r="B1110" s="5" t="s">
        <v>1112</v>
      </c>
      <c r="C1110" s="5" t="s">
        <v>5252</v>
      </c>
      <c r="D1110" s="5">
        <v>14.4</v>
      </c>
      <c r="E1110" s="5">
        <v>0</v>
      </c>
      <c r="F1110" s="5">
        <v>4.8</v>
      </c>
      <c r="G1110" s="5">
        <v>0</v>
      </c>
      <c r="H1110" s="5">
        <v>0</v>
      </c>
      <c r="I1110" s="5">
        <v>0</v>
      </c>
      <c r="J1110" s="5">
        <v>0</v>
      </c>
      <c r="K1110" s="5">
        <v>0</v>
      </c>
      <c r="L1110" s="5">
        <v>0</v>
      </c>
      <c r="M1110" s="5">
        <v>0</v>
      </c>
      <c r="N1110" s="5">
        <v>1413</v>
      </c>
      <c r="O1110" s="5" t="str">
        <f t="shared" ca="1" si="17"/>
        <v>Supplier 49</v>
      </c>
      <c r="P1110" s="20" t="str">
        <f ca="1">IFERROR(VLOOKUP(O1110,EMAILS!B:C,2,FALSE),"NOT FOUND IN EMAILS")</f>
        <v>supplier@gmail.com</v>
      </c>
      <c r="Q1110" t="str">
        <f ca="1">""&amp;IFERROR(VLOOKUP(O1110,EMAILS!B:D,3,FALSE),"NOT FOUND IN EMAILS")</f>
        <v/>
      </c>
      <c r="R1110" t="str">
        <f ca="1">""&amp;IFERROR(VLOOKUP(O1110,EMAILS!B:E,4,FALSE),"NO T FOUND IN EMAILS")</f>
        <v/>
      </c>
    </row>
    <row r="1111" spans="2:18" x14ac:dyDescent="0.25">
      <c r="B1111" s="5" t="s">
        <v>1113</v>
      </c>
      <c r="C1111" s="5" t="s">
        <v>5253</v>
      </c>
      <c r="D1111" s="5">
        <v>50.3</v>
      </c>
      <c r="E1111" s="5">
        <v>87.65</v>
      </c>
      <c r="F1111" s="5">
        <v>12.05</v>
      </c>
      <c r="G1111" s="5">
        <v>14.69</v>
      </c>
      <c r="H1111" s="5">
        <v>2.64</v>
      </c>
      <c r="I1111" s="5">
        <v>2.64</v>
      </c>
      <c r="J1111" s="5">
        <v>1.32</v>
      </c>
      <c r="K1111" s="5">
        <v>2.64</v>
      </c>
      <c r="L1111" s="5">
        <v>1.98</v>
      </c>
      <c r="M1111" s="5">
        <v>0</v>
      </c>
      <c r="N1111" s="5">
        <v>512</v>
      </c>
      <c r="O1111" s="5" t="str">
        <f t="shared" ca="1" si="17"/>
        <v>Supplier 132</v>
      </c>
      <c r="P1111" s="20" t="str">
        <f ca="1">IFERROR(VLOOKUP(O1111,EMAILS!B:C,2,FALSE),"NOT FOUND IN EMAILS")</f>
        <v>supplier@gmail.com</v>
      </c>
      <c r="Q1111" t="str">
        <f ca="1">""&amp;IFERROR(VLOOKUP(O1111,EMAILS!B:D,3,FALSE),"NOT FOUND IN EMAILS")</f>
        <v/>
      </c>
      <c r="R1111" t="str">
        <f ca="1">""&amp;IFERROR(VLOOKUP(O1111,EMAILS!B:E,4,FALSE),"NO T FOUND IN EMAILS")</f>
        <v/>
      </c>
    </row>
    <row r="1112" spans="2:18" x14ac:dyDescent="0.25">
      <c r="B1112" s="5" t="s">
        <v>1114</v>
      </c>
      <c r="C1112" s="5" t="s">
        <v>5254</v>
      </c>
      <c r="D1112" s="5">
        <v>91.296000000000021</v>
      </c>
      <c r="E1112" s="5">
        <v>96.224000000000004</v>
      </c>
      <c r="F1112" s="5">
        <v>131.04299999999998</v>
      </c>
      <c r="G1112" s="5">
        <v>16.62</v>
      </c>
      <c r="H1112" s="5">
        <v>88.44</v>
      </c>
      <c r="I1112" s="5">
        <v>15.458000000000004</v>
      </c>
      <c r="J1112" s="5">
        <v>7.72</v>
      </c>
      <c r="K1112" s="5">
        <v>26.38</v>
      </c>
      <c r="L1112" s="5">
        <v>35.14</v>
      </c>
      <c r="M1112" s="5">
        <v>0</v>
      </c>
      <c r="N1112" s="5">
        <v>2280</v>
      </c>
      <c r="O1112" s="5" t="str">
        <f t="shared" ca="1" si="17"/>
        <v>Supplier 181</v>
      </c>
      <c r="P1112" s="20" t="str">
        <f ca="1">IFERROR(VLOOKUP(O1112,EMAILS!B:C,2,FALSE),"NOT FOUND IN EMAILS")</f>
        <v>supplier@gmail.com</v>
      </c>
      <c r="Q1112" t="str">
        <f ca="1">""&amp;IFERROR(VLOOKUP(O1112,EMAILS!B:D,3,FALSE),"NOT FOUND IN EMAILS")</f>
        <v/>
      </c>
      <c r="R1112" t="str">
        <f ca="1">""&amp;IFERROR(VLOOKUP(O1112,EMAILS!B:E,4,FALSE),"NO T FOUND IN EMAILS")</f>
        <v/>
      </c>
    </row>
    <row r="1113" spans="2:18" x14ac:dyDescent="0.25">
      <c r="B1113" s="5" t="s">
        <v>1115</v>
      </c>
      <c r="C1113" s="5" t="s">
        <v>5255</v>
      </c>
      <c r="D1113" s="5">
        <v>827.72599999999989</v>
      </c>
      <c r="E1113" s="5">
        <v>537.47399999999993</v>
      </c>
      <c r="F1113" s="5">
        <v>823.20600000000013</v>
      </c>
      <c r="G1113" s="5">
        <v>43.314</v>
      </c>
      <c r="H1113" s="5">
        <v>257.72800000000001</v>
      </c>
      <c r="I1113" s="5">
        <v>38.474000000000004</v>
      </c>
      <c r="J1113" s="5">
        <v>24.873999999999999</v>
      </c>
      <c r="K1113" s="5">
        <v>36.845999999999997</v>
      </c>
      <c r="L1113" s="5">
        <v>73.994</v>
      </c>
      <c r="M1113" s="5">
        <v>0</v>
      </c>
      <c r="N1113" s="5">
        <v>101</v>
      </c>
      <c r="O1113" s="5" t="str">
        <f t="shared" ca="1" si="17"/>
        <v>Supplier 52</v>
      </c>
      <c r="P1113" s="20" t="str">
        <f ca="1">IFERROR(VLOOKUP(O1113,EMAILS!B:C,2,FALSE),"NOT FOUND IN EMAILS")</f>
        <v>supplier@gmail.com</v>
      </c>
      <c r="Q1113" t="str">
        <f ca="1">""&amp;IFERROR(VLOOKUP(O1113,EMAILS!B:D,3,FALSE),"NOT FOUND IN EMAILS")</f>
        <v/>
      </c>
      <c r="R1113" t="str">
        <f ca="1">""&amp;IFERROR(VLOOKUP(O1113,EMAILS!B:E,4,FALSE),"NO T FOUND IN EMAILS")</f>
        <v/>
      </c>
    </row>
    <row r="1114" spans="2:18" x14ac:dyDescent="0.25">
      <c r="B1114" s="5" t="s">
        <v>1116</v>
      </c>
      <c r="C1114" s="5" t="s">
        <v>5256</v>
      </c>
      <c r="D1114" s="5">
        <v>0</v>
      </c>
      <c r="E1114" s="5">
        <v>0</v>
      </c>
      <c r="F1114" s="5">
        <v>0</v>
      </c>
      <c r="G1114" s="5">
        <v>0</v>
      </c>
      <c r="H1114" s="5">
        <v>0</v>
      </c>
      <c r="I1114" s="5">
        <v>0</v>
      </c>
      <c r="J1114" s="5">
        <v>0</v>
      </c>
      <c r="K1114" s="5">
        <v>0</v>
      </c>
      <c r="L1114" s="5">
        <v>0</v>
      </c>
      <c r="M1114" s="5">
        <v>0</v>
      </c>
      <c r="N1114" s="5">
        <v>87</v>
      </c>
      <c r="O1114" s="5" t="str">
        <f t="shared" ca="1" si="17"/>
        <v>Supplier 118</v>
      </c>
      <c r="P1114" s="20" t="str">
        <f ca="1">IFERROR(VLOOKUP(O1114,EMAILS!B:C,2,FALSE),"NOT FOUND IN EMAILS")</f>
        <v>supplier@gmail.com</v>
      </c>
      <c r="Q1114" t="str">
        <f ca="1">""&amp;IFERROR(VLOOKUP(O1114,EMAILS!B:D,3,FALSE),"NOT FOUND IN EMAILS")</f>
        <v/>
      </c>
      <c r="R1114" t="str">
        <f ca="1">""&amp;IFERROR(VLOOKUP(O1114,EMAILS!B:E,4,FALSE),"NO T FOUND IN EMAILS")</f>
        <v/>
      </c>
    </row>
    <row r="1115" spans="2:18" x14ac:dyDescent="0.25">
      <c r="B1115" s="5" t="s">
        <v>1117</v>
      </c>
      <c r="C1115" s="5" t="s">
        <v>5257</v>
      </c>
      <c r="D1115" s="5">
        <v>0</v>
      </c>
      <c r="E1115" s="5">
        <v>0</v>
      </c>
      <c r="F1115" s="5">
        <v>0</v>
      </c>
      <c r="G1115" s="5">
        <v>0</v>
      </c>
      <c r="H1115" s="5">
        <v>0</v>
      </c>
      <c r="I1115" s="5">
        <v>0</v>
      </c>
      <c r="J1115" s="5">
        <v>0</v>
      </c>
      <c r="K1115" s="5">
        <v>0</v>
      </c>
      <c r="L1115" s="5">
        <v>0</v>
      </c>
      <c r="M1115" s="5">
        <v>0</v>
      </c>
      <c r="N1115" s="5">
        <v>966.9</v>
      </c>
      <c r="O1115" s="5" t="str">
        <f t="shared" ca="1" si="17"/>
        <v>Supplier 31</v>
      </c>
      <c r="P1115" s="20" t="str">
        <f ca="1">IFERROR(VLOOKUP(O1115,EMAILS!B:C,2,FALSE),"NOT FOUND IN EMAILS")</f>
        <v>supplier@gmail.com</v>
      </c>
      <c r="Q1115" t="str">
        <f ca="1">""&amp;IFERROR(VLOOKUP(O1115,EMAILS!B:D,3,FALSE),"NOT FOUND IN EMAILS")</f>
        <v/>
      </c>
      <c r="R1115" t="str">
        <f ca="1">""&amp;IFERROR(VLOOKUP(O1115,EMAILS!B:E,4,FALSE),"NO T FOUND IN EMAILS")</f>
        <v/>
      </c>
    </row>
    <row r="1116" spans="2:18" x14ac:dyDescent="0.25">
      <c r="B1116" s="5" t="s">
        <v>1118</v>
      </c>
      <c r="C1116" s="5" t="s">
        <v>5258</v>
      </c>
      <c r="D1116" s="5">
        <v>94.38</v>
      </c>
      <c r="E1116" s="5">
        <v>94.38</v>
      </c>
      <c r="F1116" s="5">
        <v>119.83</v>
      </c>
      <c r="G1116" s="5">
        <v>119.83</v>
      </c>
      <c r="H1116" s="5">
        <v>94.38</v>
      </c>
      <c r="I1116" s="5">
        <v>119.83</v>
      </c>
      <c r="J1116" s="5">
        <v>68.930000000000007</v>
      </c>
      <c r="K1116" s="5">
        <v>68.930000000000007</v>
      </c>
      <c r="L1116" s="5">
        <v>68.930000000000007</v>
      </c>
      <c r="M1116" s="5">
        <v>0</v>
      </c>
      <c r="N1116" s="5">
        <v>60</v>
      </c>
      <c r="O1116" s="5" t="str">
        <f t="shared" ca="1" si="17"/>
        <v>Supplier 63</v>
      </c>
      <c r="P1116" s="20" t="str">
        <f ca="1">IFERROR(VLOOKUP(O1116,EMAILS!B:C,2,FALSE),"NOT FOUND IN EMAILS")</f>
        <v>supplier@gmail.com</v>
      </c>
      <c r="Q1116" t="str">
        <f ca="1">""&amp;IFERROR(VLOOKUP(O1116,EMAILS!B:D,3,FALSE),"NOT FOUND IN EMAILS")</f>
        <v/>
      </c>
      <c r="R1116" t="str">
        <f ca="1">""&amp;IFERROR(VLOOKUP(O1116,EMAILS!B:E,4,FALSE),"NO T FOUND IN EMAILS")</f>
        <v/>
      </c>
    </row>
    <row r="1117" spans="2:18" x14ac:dyDescent="0.25">
      <c r="B1117" s="5" t="s">
        <v>1119</v>
      </c>
      <c r="C1117" s="5" t="s">
        <v>5259</v>
      </c>
      <c r="D1117" s="5">
        <v>0</v>
      </c>
      <c r="E1117" s="5">
        <v>0</v>
      </c>
      <c r="F1117" s="5">
        <v>0</v>
      </c>
      <c r="G1117" s="5">
        <v>0</v>
      </c>
      <c r="H1117" s="5">
        <v>0</v>
      </c>
      <c r="I1117" s="5">
        <v>0</v>
      </c>
      <c r="J1117" s="5">
        <v>0</v>
      </c>
      <c r="K1117" s="5">
        <v>0</v>
      </c>
      <c r="L1117" s="5">
        <v>0</v>
      </c>
      <c r="M1117" s="5">
        <v>0</v>
      </c>
      <c r="N1117" s="5">
        <v>125</v>
      </c>
      <c r="O1117" s="5" t="str">
        <f t="shared" ca="1" si="17"/>
        <v>Supplier 102</v>
      </c>
      <c r="P1117" s="20" t="str">
        <f ca="1">IFERROR(VLOOKUP(O1117,EMAILS!B:C,2,FALSE),"NOT FOUND IN EMAILS")</f>
        <v>supplier@gmail.com</v>
      </c>
      <c r="Q1117" t="str">
        <f ca="1">""&amp;IFERROR(VLOOKUP(O1117,EMAILS!B:D,3,FALSE),"NOT FOUND IN EMAILS")</f>
        <v/>
      </c>
      <c r="R1117" t="str">
        <f ca="1">""&amp;IFERROR(VLOOKUP(O1117,EMAILS!B:E,4,FALSE),"NO T FOUND IN EMAILS")</f>
        <v/>
      </c>
    </row>
    <row r="1118" spans="2:18" x14ac:dyDescent="0.25">
      <c r="B1118" s="5" t="s">
        <v>1120</v>
      </c>
      <c r="C1118" s="5" t="s">
        <v>5260</v>
      </c>
      <c r="D1118" s="5">
        <v>1.8335999999999999</v>
      </c>
      <c r="E1118" s="5">
        <v>1.46688</v>
      </c>
      <c r="F1118" s="5">
        <v>1.8335999999999999</v>
      </c>
      <c r="G1118" s="5">
        <v>1.6502399999999999</v>
      </c>
      <c r="H1118" s="5">
        <v>1.9252799999999999</v>
      </c>
      <c r="I1118" s="5">
        <v>1.8335999999999999</v>
      </c>
      <c r="J1118" s="5">
        <v>1.6502399999999999</v>
      </c>
      <c r="K1118" s="5">
        <v>1.6502399999999999</v>
      </c>
      <c r="L1118" s="5">
        <v>1.6502399999999999</v>
      </c>
      <c r="M1118" s="5">
        <v>0</v>
      </c>
      <c r="N1118" s="5">
        <v>0</v>
      </c>
      <c r="O1118" s="5" t="str">
        <f t="shared" ca="1" si="17"/>
        <v>Supplier 138</v>
      </c>
      <c r="P1118" s="20" t="str">
        <f ca="1">IFERROR(VLOOKUP(O1118,EMAILS!B:C,2,FALSE),"NOT FOUND IN EMAILS")</f>
        <v>supplier@gmail.com</v>
      </c>
      <c r="Q1118" t="str">
        <f ca="1">""&amp;IFERROR(VLOOKUP(O1118,EMAILS!B:D,3,FALSE),"NOT FOUND IN EMAILS")</f>
        <v/>
      </c>
      <c r="R1118" t="str">
        <f ca="1">""&amp;IFERROR(VLOOKUP(O1118,EMAILS!B:E,4,FALSE),"NO T FOUND IN EMAILS")</f>
        <v/>
      </c>
    </row>
    <row r="1119" spans="2:18" x14ac:dyDescent="0.25">
      <c r="B1119" s="5" t="s">
        <v>1121</v>
      </c>
      <c r="C1119" s="5" t="s">
        <v>5261</v>
      </c>
      <c r="D1119" s="5">
        <v>0</v>
      </c>
      <c r="E1119" s="5">
        <v>0</v>
      </c>
      <c r="F1119" s="5">
        <v>0</v>
      </c>
      <c r="G1119" s="5">
        <v>13.55</v>
      </c>
      <c r="H1119" s="5">
        <v>0</v>
      </c>
      <c r="I1119" s="5">
        <v>0</v>
      </c>
      <c r="J1119" s="5">
        <v>0</v>
      </c>
      <c r="K1119" s="5">
        <v>0</v>
      </c>
      <c r="L1119" s="5">
        <v>0</v>
      </c>
      <c r="M1119" s="5">
        <v>0</v>
      </c>
      <c r="N1119" s="5">
        <v>5520</v>
      </c>
      <c r="O1119" s="5" t="str">
        <f t="shared" ca="1" si="17"/>
        <v>Supplier 18</v>
      </c>
      <c r="P1119" s="20" t="str">
        <f ca="1">IFERROR(VLOOKUP(O1119,EMAILS!B:C,2,FALSE),"NOT FOUND IN EMAILS")</f>
        <v>supplier@gmail.com</v>
      </c>
      <c r="Q1119" t="str">
        <f ca="1">""&amp;IFERROR(VLOOKUP(O1119,EMAILS!B:D,3,FALSE),"NOT FOUND IN EMAILS")</f>
        <v>supplier_logistics@gmail.com</v>
      </c>
      <c r="R1119" t="str">
        <f ca="1">""&amp;IFERROR(VLOOKUP(O1119,EMAILS!B:E,4,FALSE),"NO T FOUND IN EMAILS")</f>
        <v/>
      </c>
    </row>
    <row r="1120" spans="2:18" x14ac:dyDescent="0.25">
      <c r="B1120" s="5" t="s">
        <v>1122</v>
      </c>
      <c r="C1120" s="5" t="s">
        <v>5262</v>
      </c>
      <c r="D1120" s="5">
        <v>3062.7551999999996</v>
      </c>
      <c r="E1120" s="5">
        <v>3906.7625999999996</v>
      </c>
      <c r="F1120" s="5">
        <v>3862.0741000000007</v>
      </c>
      <c r="G1120" s="5">
        <v>3155.2692000000002</v>
      </c>
      <c r="H1120" s="5">
        <v>2599.2240000000002</v>
      </c>
      <c r="I1120" s="5">
        <v>2286.1559999999999</v>
      </c>
      <c r="J1120" s="5">
        <v>2423.12</v>
      </c>
      <c r="K1120" s="5">
        <v>2451.192</v>
      </c>
      <c r="L1120" s="5">
        <v>2242.3820000000001</v>
      </c>
      <c r="M1120" s="5">
        <v>0</v>
      </c>
      <c r="N1120" s="5">
        <v>4801</v>
      </c>
      <c r="O1120" s="5" t="str">
        <f t="shared" ca="1" si="17"/>
        <v>Supplier 65</v>
      </c>
      <c r="P1120" s="20" t="str">
        <f ca="1">IFERROR(VLOOKUP(O1120,EMAILS!B:C,2,FALSE),"NOT FOUND IN EMAILS")</f>
        <v>supplier@gmail.com</v>
      </c>
      <c r="Q1120" t="str">
        <f ca="1">""&amp;IFERROR(VLOOKUP(O1120,EMAILS!B:D,3,FALSE),"NOT FOUND IN EMAILS")</f>
        <v/>
      </c>
      <c r="R1120" t="str">
        <f ca="1">""&amp;IFERROR(VLOOKUP(O1120,EMAILS!B:E,4,FALSE),"NO T FOUND IN EMAILS")</f>
        <v/>
      </c>
    </row>
    <row r="1121" spans="2:18" x14ac:dyDescent="0.25">
      <c r="B1121" s="5" t="s">
        <v>1123</v>
      </c>
      <c r="C1121" s="5" t="s">
        <v>5263</v>
      </c>
      <c r="D1121" s="5">
        <v>276.07499999999999</v>
      </c>
      <c r="E1121" s="5">
        <v>139.84</v>
      </c>
      <c r="F1121" s="5">
        <v>147.19999999999999</v>
      </c>
      <c r="G1121" s="5">
        <v>136.47999999999999</v>
      </c>
      <c r="H1121" s="5">
        <v>25.9</v>
      </c>
      <c r="I1121" s="5">
        <v>26.32</v>
      </c>
      <c r="J1121" s="5">
        <v>21.18</v>
      </c>
      <c r="K1121" s="5">
        <v>20.100000000000001</v>
      </c>
      <c r="L1121" s="5">
        <v>21.44</v>
      </c>
      <c r="M1121" s="5">
        <v>0</v>
      </c>
      <c r="N1121" s="5">
        <v>1962</v>
      </c>
      <c r="O1121" s="5" t="str">
        <f t="shared" ca="1" si="17"/>
        <v>Supplier 171</v>
      </c>
      <c r="P1121" s="20" t="str">
        <f ca="1">IFERROR(VLOOKUP(O1121,EMAILS!B:C,2,FALSE),"NOT FOUND IN EMAILS")</f>
        <v>supplier@gmail.com</v>
      </c>
      <c r="Q1121" t="str">
        <f ca="1">""&amp;IFERROR(VLOOKUP(O1121,EMAILS!B:D,3,FALSE),"NOT FOUND IN EMAILS")</f>
        <v/>
      </c>
      <c r="R1121" t="str">
        <f ca="1">""&amp;IFERROR(VLOOKUP(O1121,EMAILS!B:E,4,FALSE),"NO T FOUND IN EMAILS")</f>
        <v/>
      </c>
    </row>
    <row r="1122" spans="2:18" x14ac:dyDescent="0.25">
      <c r="B1122" s="5" t="s">
        <v>1124</v>
      </c>
      <c r="C1122" s="5" t="s">
        <v>5264</v>
      </c>
      <c r="D1122" s="5">
        <v>1751.3004599999999</v>
      </c>
      <c r="E1122" s="5">
        <v>1048.8865799999999</v>
      </c>
      <c r="F1122" s="5">
        <v>1581.29738</v>
      </c>
      <c r="G1122" s="5">
        <v>1319.3841599999998</v>
      </c>
      <c r="H1122" s="5">
        <v>284.53899999999999</v>
      </c>
      <c r="I1122" s="5">
        <v>758.73109999999997</v>
      </c>
      <c r="J1122" s="5">
        <v>987.91529999999989</v>
      </c>
      <c r="K1122" s="5">
        <v>85.651600000000002</v>
      </c>
      <c r="L1122" s="5">
        <v>805.58159999999998</v>
      </c>
      <c r="M1122" s="5">
        <v>0</v>
      </c>
      <c r="N1122" s="5">
        <v>1692</v>
      </c>
      <c r="O1122" s="5" t="str">
        <f t="shared" ca="1" si="17"/>
        <v>Supplier 190</v>
      </c>
      <c r="P1122" s="20" t="str">
        <f ca="1">IFERROR(VLOOKUP(O1122,EMAILS!B:C,2,FALSE),"NOT FOUND IN EMAILS")</f>
        <v>supplier@gmail.com</v>
      </c>
      <c r="Q1122" t="str">
        <f ca="1">""&amp;IFERROR(VLOOKUP(O1122,EMAILS!B:D,3,FALSE),"NOT FOUND IN EMAILS")</f>
        <v/>
      </c>
      <c r="R1122" t="str">
        <f ca="1">""&amp;IFERROR(VLOOKUP(O1122,EMAILS!B:E,4,FALSE),"NO T FOUND IN EMAILS")</f>
        <v/>
      </c>
    </row>
    <row r="1123" spans="2:18" x14ac:dyDescent="0.25">
      <c r="B1123" s="5" t="s">
        <v>1125</v>
      </c>
      <c r="C1123" s="5" t="s">
        <v>5265</v>
      </c>
      <c r="D1123" s="5">
        <v>0</v>
      </c>
      <c r="E1123" s="5">
        <v>495.30245000000002</v>
      </c>
      <c r="F1123" s="5">
        <v>0</v>
      </c>
      <c r="G1123" s="5">
        <v>0</v>
      </c>
      <c r="H1123" s="5">
        <v>0</v>
      </c>
      <c r="I1123" s="5">
        <v>0</v>
      </c>
      <c r="J1123" s="5">
        <v>0</v>
      </c>
      <c r="K1123" s="5">
        <v>0</v>
      </c>
      <c r="L1123" s="5">
        <v>0</v>
      </c>
      <c r="M1123" s="5">
        <v>0</v>
      </c>
      <c r="N1123" s="5">
        <v>430</v>
      </c>
      <c r="O1123" s="5" t="str">
        <f t="shared" ca="1" si="17"/>
        <v>Supplier 132</v>
      </c>
      <c r="P1123" s="20" t="str">
        <f ca="1">IFERROR(VLOOKUP(O1123,EMAILS!B:C,2,FALSE),"NOT FOUND IN EMAILS")</f>
        <v>supplier@gmail.com</v>
      </c>
      <c r="Q1123" t="str">
        <f ca="1">""&amp;IFERROR(VLOOKUP(O1123,EMAILS!B:D,3,FALSE),"NOT FOUND IN EMAILS")</f>
        <v/>
      </c>
      <c r="R1123" t="str">
        <f ca="1">""&amp;IFERROR(VLOOKUP(O1123,EMAILS!B:E,4,FALSE),"NO T FOUND IN EMAILS")</f>
        <v/>
      </c>
    </row>
    <row r="1124" spans="2:18" x14ac:dyDescent="0.25">
      <c r="B1124" s="5" t="s">
        <v>1126</v>
      </c>
      <c r="C1124" s="5" t="s">
        <v>5266</v>
      </c>
      <c r="D1124" s="5">
        <v>172.23</v>
      </c>
      <c r="E1124" s="5">
        <v>280.77999999999997</v>
      </c>
      <c r="F1124" s="5">
        <v>43.68</v>
      </c>
      <c r="G1124" s="5">
        <v>50.48</v>
      </c>
      <c r="H1124" s="5">
        <v>6.8</v>
      </c>
      <c r="I1124" s="5">
        <v>6.8</v>
      </c>
      <c r="J1124" s="5">
        <v>3.4</v>
      </c>
      <c r="K1124" s="5">
        <v>6.8</v>
      </c>
      <c r="L1124" s="5">
        <v>5.0999999999999996</v>
      </c>
      <c r="M1124" s="5">
        <v>0</v>
      </c>
      <c r="N1124" s="5">
        <v>1460.4</v>
      </c>
      <c r="O1124" s="5" t="str">
        <f t="shared" ca="1" si="17"/>
        <v>Supplier 128</v>
      </c>
      <c r="P1124" s="20" t="str">
        <f ca="1">IFERROR(VLOOKUP(O1124,EMAILS!B:C,2,FALSE),"NOT FOUND IN EMAILS")</f>
        <v>supplier@gmail.com</v>
      </c>
      <c r="Q1124" t="str">
        <f ca="1">""&amp;IFERROR(VLOOKUP(O1124,EMAILS!B:D,3,FALSE),"NOT FOUND IN EMAILS")</f>
        <v/>
      </c>
      <c r="R1124" t="str">
        <f ca="1">""&amp;IFERROR(VLOOKUP(O1124,EMAILS!B:E,4,FALSE),"NO T FOUND IN EMAILS")</f>
        <v/>
      </c>
    </row>
    <row r="1125" spans="2:18" x14ac:dyDescent="0.25">
      <c r="B1125" s="5" t="s">
        <v>1127</v>
      </c>
      <c r="C1125" s="5" t="s">
        <v>5267</v>
      </c>
      <c r="D1125" s="5">
        <v>1033.5731000000001</v>
      </c>
      <c r="E1125" s="5">
        <v>440.94569999999999</v>
      </c>
      <c r="F1125" s="5">
        <v>844.14159999999993</v>
      </c>
      <c r="G1125" s="5">
        <v>686.15300000000002</v>
      </c>
      <c r="H1125" s="5">
        <v>70.579000000000008</v>
      </c>
      <c r="I1125" s="5">
        <v>436.06369999999998</v>
      </c>
      <c r="J1125" s="5">
        <v>561.58510000000001</v>
      </c>
      <c r="K1125" s="5">
        <v>50.377200000000002</v>
      </c>
      <c r="L1125" s="5">
        <v>412.47719999999998</v>
      </c>
      <c r="M1125" s="5">
        <v>0</v>
      </c>
      <c r="N1125" s="5">
        <v>2196</v>
      </c>
      <c r="O1125" s="5" t="str">
        <f t="shared" ca="1" si="17"/>
        <v>Supplier 147</v>
      </c>
      <c r="P1125" s="20" t="str">
        <f ca="1">IFERROR(VLOOKUP(O1125,EMAILS!B:C,2,FALSE),"NOT FOUND IN EMAILS")</f>
        <v>supplier@gmail.com</v>
      </c>
      <c r="Q1125" t="str">
        <f ca="1">""&amp;IFERROR(VLOOKUP(O1125,EMAILS!B:D,3,FALSE),"NOT FOUND IN EMAILS")</f>
        <v/>
      </c>
      <c r="R1125" t="str">
        <f ca="1">""&amp;IFERROR(VLOOKUP(O1125,EMAILS!B:E,4,FALSE),"NO T FOUND IN EMAILS")</f>
        <v/>
      </c>
    </row>
    <row r="1126" spans="2:18" x14ac:dyDescent="0.25">
      <c r="B1126" s="5" t="s">
        <v>1128</v>
      </c>
      <c r="C1126" s="5" t="s">
        <v>5268</v>
      </c>
      <c r="D1126" s="5">
        <v>177.6</v>
      </c>
      <c r="E1126" s="5">
        <v>167.91</v>
      </c>
      <c r="F1126" s="5">
        <v>195.8</v>
      </c>
      <c r="G1126" s="5">
        <v>106.6</v>
      </c>
      <c r="H1126" s="5">
        <v>118.4</v>
      </c>
      <c r="I1126" s="5">
        <v>17.84</v>
      </c>
      <c r="J1126" s="5">
        <v>8.84</v>
      </c>
      <c r="K1126" s="5">
        <v>101.76</v>
      </c>
      <c r="L1126" s="5">
        <v>33.64</v>
      </c>
      <c r="M1126" s="5">
        <v>0</v>
      </c>
      <c r="N1126" s="5">
        <v>1587</v>
      </c>
      <c r="O1126" s="5" t="str">
        <f t="shared" ca="1" si="17"/>
        <v>Supplier 6</v>
      </c>
      <c r="P1126" s="20" t="str">
        <f ca="1">IFERROR(VLOOKUP(O1126,EMAILS!B:C,2,FALSE),"NOT FOUND IN EMAILS")</f>
        <v>supplier@gmail.com</v>
      </c>
      <c r="Q1126" t="str">
        <f ca="1">""&amp;IFERROR(VLOOKUP(O1126,EMAILS!B:D,3,FALSE),"NOT FOUND IN EMAILS")</f>
        <v>supplier_logistics@gmail.com</v>
      </c>
      <c r="R1126" t="str">
        <f ca="1">""&amp;IFERROR(VLOOKUP(O1126,EMAILS!B:E,4,FALSE),"NO T FOUND IN EMAILS")</f>
        <v/>
      </c>
    </row>
    <row r="1127" spans="2:18" x14ac:dyDescent="0.25">
      <c r="B1127" s="5" t="s">
        <v>1129</v>
      </c>
      <c r="C1127" s="5" t="s">
        <v>5269</v>
      </c>
      <c r="D1127" s="5">
        <v>262.5154</v>
      </c>
      <c r="E1127" s="5">
        <v>869.51219999999967</v>
      </c>
      <c r="F1127" s="5">
        <v>131.33844999999999</v>
      </c>
      <c r="G1127" s="5">
        <v>421.7495199999999</v>
      </c>
      <c r="H1127" s="5">
        <v>308.16887999999994</v>
      </c>
      <c r="I1127" s="5">
        <v>138.02550000000002</v>
      </c>
      <c r="J1127" s="5">
        <v>319.26650000000001</v>
      </c>
      <c r="K1127" s="5">
        <v>1.1780000000000002</v>
      </c>
      <c r="L1127" s="5">
        <v>192.69800000000004</v>
      </c>
      <c r="M1127" s="5">
        <v>0</v>
      </c>
      <c r="N1127" s="5">
        <v>0</v>
      </c>
      <c r="O1127" s="5" t="str">
        <f t="shared" ca="1" si="17"/>
        <v>Supplier 140</v>
      </c>
      <c r="P1127" s="20" t="str">
        <f ca="1">IFERROR(VLOOKUP(O1127,EMAILS!B:C,2,FALSE),"NOT FOUND IN EMAILS")</f>
        <v>supplier@gmail.com</v>
      </c>
      <c r="Q1127" t="str">
        <f ca="1">""&amp;IFERROR(VLOOKUP(O1127,EMAILS!B:D,3,FALSE),"NOT FOUND IN EMAILS")</f>
        <v/>
      </c>
      <c r="R1127" t="str">
        <f ca="1">""&amp;IFERROR(VLOOKUP(O1127,EMAILS!B:E,4,FALSE),"NO T FOUND IN EMAILS")</f>
        <v/>
      </c>
    </row>
    <row r="1128" spans="2:18" x14ac:dyDescent="0.25">
      <c r="B1128" s="5" t="s">
        <v>1130</v>
      </c>
      <c r="C1128" s="5" t="s">
        <v>5270</v>
      </c>
      <c r="D1128" s="5">
        <v>1689.0770600000003</v>
      </c>
      <c r="E1128" s="5">
        <v>555.39218000000005</v>
      </c>
      <c r="F1128" s="5">
        <v>796.57203000000027</v>
      </c>
      <c r="G1128" s="5">
        <v>1393.9281600000004</v>
      </c>
      <c r="H1128" s="5">
        <v>440.62405999999999</v>
      </c>
      <c r="I1128" s="5">
        <v>376.2</v>
      </c>
      <c r="J1128" s="5">
        <v>0</v>
      </c>
      <c r="K1128" s="5">
        <v>739.36</v>
      </c>
      <c r="L1128" s="5">
        <v>376.2</v>
      </c>
      <c r="M1128" s="5">
        <v>0</v>
      </c>
      <c r="N1128" s="5">
        <v>3483</v>
      </c>
      <c r="O1128" s="5" t="str">
        <f t="shared" ca="1" si="17"/>
        <v>Supplier 40</v>
      </c>
      <c r="P1128" s="20" t="str">
        <f ca="1">IFERROR(VLOOKUP(O1128,EMAILS!B:C,2,FALSE),"NOT FOUND IN EMAILS")</f>
        <v>supplier@gmail.com</v>
      </c>
      <c r="Q1128" t="str">
        <f ca="1">""&amp;IFERROR(VLOOKUP(O1128,EMAILS!B:D,3,FALSE),"NOT FOUND IN EMAILS")</f>
        <v/>
      </c>
      <c r="R1128" t="str">
        <f ca="1">""&amp;IFERROR(VLOOKUP(O1128,EMAILS!B:E,4,FALSE),"NO T FOUND IN EMAILS")</f>
        <v/>
      </c>
    </row>
    <row r="1129" spans="2:18" x14ac:dyDescent="0.25">
      <c r="B1129" s="5" t="s">
        <v>1131</v>
      </c>
      <c r="C1129" s="5" t="s">
        <v>5271</v>
      </c>
      <c r="D1129" s="5">
        <v>1658.2657199999996</v>
      </c>
      <c r="E1129" s="5">
        <v>1204.7971599999998</v>
      </c>
      <c r="F1129" s="5">
        <v>1322.1328599999997</v>
      </c>
      <c r="G1129" s="5">
        <v>1146.3439499999997</v>
      </c>
      <c r="H1129" s="5">
        <v>171.07772000000003</v>
      </c>
      <c r="I1129" s="5">
        <v>558.24</v>
      </c>
      <c r="J1129" s="5">
        <v>777.36</v>
      </c>
      <c r="K1129" s="5">
        <v>1.44</v>
      </c>
      <c r="L1129" s="5">
        <v>639.36</v>
      </c>
      <c r="M1129" s="5">
        <v>0</v>
      </c>
      <c r="N1129" s="5">
        <v>6900</v>
      </c>
      <c r="O1129" s="5" t="str">
        <f t="shared" ca="1" si="17"/>
        <v>Supplier 31</v>
      </c>
      <c r="P1129" s="20" t="str">
        <f ca="1">IFERROR(VLOOKUP(O1129,EMAILS!B:C,2,FALSE),"NOT FOUND IN EMAILS")</f>
        <v>supplier@gmail.com</v>
      </c>
      <c r="Q1129" t="str">
        <f ca="1">""&amp;IFERROR(VLOOKUP(O1129,EMAILS!B:D,3,FALSE),"NOT FOUND IN EMAILS")</f>
        <v/>
      </c>
      <c r="R1129" t="str">
        <f ca="1">""&amp;IFERROR(VLOOKUP(O1129,EMAILS!B:E,4,FALSE),"NO T FOUND IN EMAILS")</f>
        <v/>
      </c>
    </row>
    <row r="1130" spans="2:18" x14ac:dyDescent="0.25">
      <c r="B1130" s="5" t="s">
        <v>1132</v>
      </c>
      <c r="C1130" s="5" t="s">
        <v>5272</v>
      </c>
      <c r="D1130" s="5">
        <v>323.79000000000002</v>
      </c>
      <c r="E1130" s="5">
        <v>290.39099999999996</v>
      </c>
      <c r="F1130" s="5">
        <v>115.93</v>
      </c>
      <c r="G1130" s="5">
        <v>281.23</v>
      </c>
      <c r="H1130" s="5">
        <v>0</v>
      </c>
      <c r="I1130" s="5">
        <v>10.56</v>
      </c>
      <c r="J1130" s="5">
        <v>33.200000000000003</v>
      </c>
      <c r="K1130" s="5">
        <v>154.28</v>
      </c>
      <c r="L1130" s="5">
        <v>0</v>
      </c>
      <c r="M1130" s="5">
        <v>0</v>
      </c>
      <c r="N1130" s="5">
        <v>1965</v>
      </c>
      <c r="O1130" s="5" t="str">
        <f t="shared" ca="1" si="17"/>
        <v>Supplier 165</v>
      </c>
      <c r="P1130" s="20" t="str">
        <f ca="1">IFERROR(VLOOKUP(O1130,EMAILS!B:C,2,FALSE),"NOT FOUND IN EMAILS")</f>
        <v>supplier@gmail.com</v>
      </c>
      <c r="Q1130" t="str">
        <f ca="1">""&amp;IFERROR(VLOOKUP(O1130,EMAILS!B:D,3,FALSE),"NOT FOUND IN EMAILS")</f>
        <v/>
      </c>
      <c r="R1130" t="str">
        <f ca="1">""&amp;IFERROR(VLOOKUP(O1130,EMAILS!B:E,4,FALSE),"NO T FOUND IN EMAILS")</f>
        <v/>
      </c>
    </row>
    <row r="1131" spans="2:18" x14ac:dyDescent="0.25">
      <c r="B1131" s="5" t="s">
        <v>1133</v>
      </c>
      <c r="C1131" s="5" t="s">
        <v>5273</v>
      </c>
      <c r="D1131" s="5">
        <v>1407.1411000000003</v>
      </c>
      <c r="E1131" s="5">
        <v>486.98330000000004</v>
      </c>
      <c r="F1131" s="5">
        <v>671.55055000000004</v>
      </c>
      <c r="G1131" s="5">
        <v>1110.8297100000002</v>
      </c>
      <c r="H1131" s="5">
        <v>26.661099999999998</v>
      </c>
      <c r="I1131" s="5">
        <v>2.56</v>
      </c>
      <c r="J1131" s="5">
        <v>1.28</v>
      </c>
      <c r="K1131" s="5">
        <v>570.96</v>
      </c>
      <c r="L1131" s="5">
        <v>1.92</v>
      </c>
      <c r="M1131" s="5">
        <v>0</v>
      </c>
      <c r="N1131" s="5">
        <v>0</v>
      </c>
      <c r="O1131" s="5" t="str">
        <f t="shared" ca="1" si="17"/>
        <v>Supplier 171</v>
      </c>
      <c r="P1131" s="20" t="str">
        <f ca="1">IFERROR(VLOOKUP(O1131,EMAILS!B:C,2,FALSE),"NOT FOUND IN EMAILS")</f>
        <v>supplier@gmail.com</v>
      </c>
      <c r="Q1131" t="str">
        <f ca="1">""&amp;IFERROR(VLOOKUP(O1131,EMAILS!B:D,3,FALSE),"NOT FOUND IN EMAILS")</f>
        <v/>
      </c>
      <c r="R1131" t="str">
        <f ca="1">""&amp;IFERROR(VLOOKUP(O1131,EMAILS!B:E,4,FALSE),"NO T FOUND IN EMAILS")</f>
        <v/>
      </c>
    </row>
    <row r="1132" spans="2:18" x14ac:dyDescent="0.25">
      <c r="B1132" s="5" t="s">
        <v>1134</v>
      </c>
      <c r="C1132" s="5" t="s">
        <v>5274</v>
      </c>
      <c r="D1132" s="5">
        <v>0</v>
      </c>
      <c r="E1132" s="5">
        <v>0</v>
      </c>
      <c r="F1132" s="5">
        <v>0</v>
      </c>
      <c r="G1132" s="5">
        <v>0</v>
      </c>
      <c r="H1132" s="5">
        <v>0</v>
      </c>
      <c r="I1132" s="5">
        <v>40</v>
      </c>
      <c r="J1132" s="5">
        <v>0</v>
      </c>
      <c r="K1132" s="5">
        <v>0</v>
      </c>
      <c r="L1132" s="5">
        <v>0</v>
      </c>
      <c r="M1132" s="5">
        <v>0</v>
      </c>
      <c r="N1132" s="5">
        <v>3400</v>
      </c>
      <c r="O1132" s="5" t="str">
        <f t="shared" ca="1" si="17"/>
        <v>Supplier 105</v>
      </c>
      <c r="P1132" s="20" t="str">
        <f ca="1">IFERROR(VLOOKUP(O1132,EMAILS!B:C,2,FALSE),"NOT FOUND IN EMAILS")</f>
        <v>supplier@gmail.com</v>
      </c>
      <c r="Q1132" t="str">
        <f ca="1">""&amp;IFERROR(VLOOKUP(O1132,EMAILS!B:D,3,FALSE),"NOT FOUND IN EMAILS")</f>
        <v/>
      </c>
      <c r="R1132" t="str">
        <f ca="1">""&amp;IFERROR(VLOOKUP(O1132,EMAILS!B:E,4,FALSE),"NO T FOUND IN EMAILS")</f>
        <v/>
      </c>
    </row>
    <row r="1133" spans="2:18" x14ac:dyDescent="0.25">
      <c r="B1133" s="5" t="s">
        <v>1135</v>
      </c>
      <c r="C1133" s="5" t="s">
        <v>5275</v>
      </c>
      <c r="D1133" s="5">
        <v>186.75</v>
      </c>
      <c r="E1133" s="5">
        <v>33.22</v>
      </c>
      <c r="F1133" s="5">
        <v>89.155000000000001</v>
      </c>
      <c r="G1133" s="5">
        <v>195.05500000000001</v>
      </c>
      <c r="H1133" s="5">
        <v>100.17700000000001</v>
      </c>
      <c r="I1133" s="5">
        <v>100.17700000000001</v>
      </c>
      <c r="J1133" s="5">
        <v>100.17700000000001</v>
      </c>
      <c r="K1133" s="5">
        <v>98.021000000000001</v>
      </c>
      <c r="L1133" s="5">
        <v>100.17700000000001</v>
      </c>
      <c r="M1133" s="5">
        <v>0</v>
      </c>
      <c r="N1133" s="5">
        <v>4580</v>
      </c>
      <c r="O1133" s="5" t="str">
        <f t="shared" ca="1" si="17"/>
        <v>Supplier 44</v>
      </c>
      <c r="P1133" s="20" t="str">
        <f ca="1">IFERROR(VLOOKUP(O1133,EMAILS!B:C,2,FALSE),"NOT FOUND IN EMAILS")</f>
        <v>supplier@gmail.com</v>
      </c>
      <c r="Q1133" t="str">
        <f ca="1">""&amp;IFERROR(VLOOKUP(O1133,EMAILS!B:D,3,FALSE),"NOT FOUND IN EMAILS")</f>
        <v/>
      </c>
      <c r="R1133" t="str">
        <f ca="1">""&amp;IFERROR(VLOOKUP(O1133,EMAILS!B:E,4,FALSE),"NO T FOUND IN EMAILS")</f>
        <v/>
      </c>
    </row>
    <row r="1134" spans="2:18" x14ac:dyDescent="0.25">
      <c r="B1134" s="5" t="s">
        <v>1136</v>
      </c>
      <c r="C1134" s="5" t="s">
        <v>5276</v>
      </c>
      <c r="D1134" s="5">
        <v>2371.9090000000001</v>
      </c>
      <c r="E1134" s="5">
        <v>3111.97</v>
      </c>
      <c r="F1134" s="5">
        <v>3302.36</v>
      </c>
      <c r="G1134" s="5">
        <v>2437.29</v>
      </c>
      <c r="H1134" s="5">
        <v>2557.61</v>
      </c>
      <c r="I1134" s="5">
        <v>3027.85</v>
      </c>
      <c r="J1134" s="5">
        <v>1963.39</v>
      </c>
      <c r="K1134" s="5">
        <v>1781.34</v>
      </c>
      <c r="L1134" s="5">
        <v>1963.39</v>
      </c>
      <c r="M1134" s="5">
        <v>0</v>
      </c>
      <c r="N1134" s="5">
        <v>1626</v>
      </c>
      <c r="O1134" s="5" t="str">
        <f t="shared" ca="1" si="17"/>
        <v>Supplier 49</v>
      </c>
      <c r="P1134" s="20" t="str">
        <f ca="1">IFERROR(VLOOKUP(O1134,EMAILS!B:C,2,FALSE),"NOT FOUND IN EMAILS")</f>
        <v>supplier@gmail.com</v>
      </c>
      <c r="Q1134" t="str">
        <f ca="1">""&amp;IFERROR(VLOOKUP(O1134,EMAILS!B:D,3,FALSE),"NOT FOUND IN EMAILS")</f>
        <v/>
      </c>
      <c r="R1134" t="str">
        <f ca="1">""&amp;IFERROR(VLOOKUP(O1134,EMAILS!B:E,4,FALSE),"NO T FOUND IN EMAILS")</f>
        <v/>
      </c>
    </row>
    <row r="1135" spans="2:18" x14ac:dyDescent="0.25">
      <c r="B1135" s="5" t="s">
        <v>1137</v>
      </c>
      <c r="C1135" s="5" t="s">
        <v>5277</v>
      </c>
      <c r="D1135" s="5">
        <v>0.48099999999999998</v>
      </c>
      <c r="E1135" s="5">
        <v>0</v>
      </c>
      <c r="F1135" s="5">
        <v>0.44399999999999995</v>
      </c>
      <c r="G1135" s="5">
        <v>0.48099999999999998</v>
      </c>
      <c r="H1135" s="5">
        <v>0</v>
      </c>
      <c r="I1135" s="5">
        <v>0</v>
      </c>
      <c r="J1135" s="5">
        <v>0</v>
      </c>
      <c r="K1135" s="5">
        <v>0</v>
      </c>
      <c r="L1135" s="5">
        <v>0</v>
      </c>
      <c r="M1135" s="5">
        <v>0</v>
      </c>
      <c r="N1135" s="5">
        <v>63</v>
      </c>
      <c r="O1135" s="5" t="str">
        <f t="shared" ca="1" si="17"/>
        <v>Supplier 81</v>
      </c>
      <c r="P1135" s="20" t="str">
        <f ca="1">IFERROR(VLOOKUP(O1135,EMAILS!B:C,2,FALSE),"NOT FOUND IN EMAILS")</f>
        <v>supplier@gmail.com</v>
      </c>
      <c r="Q1135" t="str">
        <f ca="1">""&amp;IFERROR(VLOOKUP(O1135,EMAILS!B:D,3,FALSE),"NOT FOUND IN EMAILS")</f>
        <v/>
      </c>
      <c r="R1135" t="str">
        <f ca="1">""&amp;IFERROR(VLOOKUP(O1135,EMAILS!B:E,4,FALSE),"NO T FOUND IN EMAILS")</f>
        <v/>
      </c>
    </row>
    <row r="1136" spans="2:18" x14ac:dyDescent="0.25">
      <c r="B1136" s="5" t="s">
        <v>1138</v>
      </c>
      <c r="C1136" s="5" t="s">
        <v>5278</v>
      </c>
      <c r="D1136" s="5">
        <v>0.28000000000000003</v>
      </c>
      <c r="E1136" s="5">
        <v>0.36</v>
      </c>
      <c r="F1136" s="5">
        <v>0.48</v>
      </c>
      <c r="G1136" s="5">
        <v>0.4</v>
      </c>
      <c r="H1136" s="5">
        <v>0.4</v>
      </c>
      <c r="I1136" s="5">
        <v>0.36</v>
      </c>
      <c r="J1136" s="5">
        <v>0.28000000000000003</v>
      </c>
      <c r="K1136" s="5">
        <v>0.16</v>
      </c>
      <c r="L1136" s="5">
        <v>0.16</v>
      </c>
      <c r="M1136" s="5">
        <v>0</v>
      </c>
      <c r="N1136" s="5">
        <v>550</v>
      </c>
      <c r="O1136" s="5" t="str">
        <f t="shared" ca="1" si="17"/>
        <v>Supplier 118</v>
      </c>
      <c r="P1136" s="20" t="str">
        <f ca="1">IFERROR(VLOOKUP(O1136,EMAILS!B:C,2,FALSE),"NOT FOUND IN EMAILS")</f>
        <v>supplier@gmail.com</v>
      </c>
      <c r="Q1136" t="str">
        <f ca="1">""&amp;IFERROR(VLOOKUP(O1136,EMAILS!B:D,3,FALSE),"NOT FOUND IN EMAILS")</f>
        <v/>
      </c>
      <c r="R1136" t="str">
        <f ca="1">""&amp;IFERROR(VLOOKUP(O1136,EMAILS!B:E,4,FALSE),"NO T FOUND IN EMAILS")</f>
        <v/>
      </c>
    </row>
    <row r="1137" spans="2:18" x14ac:dyDescent="0.25">
      <c r="B1137" s="5" t="s">
        <v>1139</v>
      </c>
      <c r="C1137" s="5" t="s">
        <v>5279</v>
      </c>
      <c r="D1137" s="5">
        <v>2.109</v>
      </c>
      <c r="E1137" s="5">
        <v>0.11700000000000001</v>
      </c>
      <c r="F1137" s="5">
        <v>0.73599999999999999</v>
      </c>
      <c r="G1137" s="5">
        <v>0.91800000000000015</v>
      </c>
      <c r="H1137" s="5">
        <v>1.07</v>
      </c>
      <c r="I1137" s="5">
        <v>0.11700000000000001</v>
      </c>
      <c r="J1137" s="5">
        <v>9.0999999999999998E-2</v>
      </c>
      <c r="K1137" s="5">
        <v>5.1999999999999998E-2</v>
      </c>
      <c r="L1137" s="5">
        <v>5.1999999999999998E-2</v>
      </c>
      <c r="M1137" s="5">
        <v>0</v>
      </c>
      <c r="N1137" s="5">
        <v>1998</v>
      </c>
      <c r="O1137" s="5" t="str">
        <f t="shared" ca="1" si="17"/>
        <v>Supplier 154</v>
      </c>
      <c r="P1137" s="20" t="str">
        <f ca="1">IFERROR(VLOOKUP(O1137,EMAILS!B:C,2,FALSE),"NOT FOUND IN EMAILS")</f>
        <v>supplier@gmail.com</v>
      </c>
      <c r="Q1137" t="str">
        <f ca="1">""&amp;IFERROR(VLOOKUP(O1137,EMAILS!B:D,3,FALSE),"NOT FOUND IN EMAILS")</f>
        <v/>
      </c>
      <c r="R1137" t="str">
        <f ca="1">""&amp;IFERROR(VLOOKUP(O1137,EMAILS!B:E,4,FALSE),"NO T FOUND IN EMAILS")</f>
        <v/>
      </c>
    </row>
    <row r="1138" spans="2:18" x14ac:dyDescent="0.25">
      <c r="B1138" s="5" t="s">
        <v>1140</v>
      </c>
      <c r="C1138" s="5" t="s">
        <v>5280</v>
      </c>
      <c r="D1138" s="5">
        <v>45.72029999999998</v>
      </c>
      <c r="E1138" s="5">
        <v>43.487099999999991</v>
      </c>
      <c r="F1138" s="5">
        <v>62.085799999999985</v>
      </c>
      <c r="G1138" s="5">
        <v>77.204999999999998</v>
      </c>
      <c r="H1138" s="5">
        <v>61.691999999999993</v>
      </c>
      <c r="I1138" s="5">
        <v>57.223100000000002</v>
      </c>
      <c r="J1138" s="5">
        <v>37.821300000000001</v>
      </c>
      <c r="K1138" s="5">
        <v>34.311600000000006</v>
      </c>
      <c r="L1138" s="5">
        <v>30.2516</v>
      </c>
      <c r="M1138" s="5">
        <v>0</v>
      </c>
      <c r="N1138" s="5">
        <v>0</v>
      </c>
      <c r="O1138" s="5" t="str">
        <f t="shared" ca="1" si="17"/>
        <v>Supplier 135</v>
      </c>
      <c r="P1138" s="20" t="str">
        <f ca="1">IFERROR(VLOOKUP(O1138,EMAILS!B:C,2,FALSE),"NOT FOUND IN EMAILS")</f>
        <v>supplier@gmail.com</v>
      </c>
      <c r="Q1138" t="str">
        <f ca="1">""&amp;IFERROR(VLOOKUP(O1138,EMAILS!B:D,3,FALSE),"NOT FOUND IN EMAILS")</f>
        <v/>
      </c>
      <c r="R1138" t="str">
        <f ca="1">""&amp;IFERROR(VLOOKUP(O1138,EMAILS!B:E,4,FALSE),"NO T FOUND IN EMAILS")</f>
        <v/>
      </c>
    </row>
    <row r="1139" spans="2:18" x14ac:dyDescent="0.25">
      <c r="B1139" s="5" t="s">
        <v>1141</v>
      </c>
      <c r="C1139" s="5" t="s">
        <v>5281</v>
      </c>
      <c r="D1139" s="5">
        <v>0</v>
      </c>
      <c r="E1139" s="5">
        <v>0</v>
      </c>
      <c r="F1139" s="5">
        <v>0</v>
      </c>
      <c r="G1139" s="5">
        <v>4.04</v>
      </c>
      <c r="H1139" s="5">
        <v>4.04</v>
      </c>
      <c r="I1139" s="5">
        <v>4.04</v>
      </c>
      <c r="J1139" s="5">
        <v>2.02</v>
      </c>
      <c r="K1139" s="5">
        <v>4.04</v>
      </c>
      <c r="L1139" s="5">
        <v>3.03</v>
      </c>
      <c r="M1139" s="5">
        <v>0</v>
      </c>
      <c r="N1139" s="5">
        <v>841</v>
      </c>
      <c r="O1139" s="5" t="str">
        <f t="shared" ca="1" si="17"/>
        <v>Supplier 49</v>
      </c>
      <c r="P1139" s="20" t="str">
        <f ca="1">IFERROR(VLOOKUP(O1139,EMAILS!B:C,2,FALSE),"NOT FOUND IN EMAILS")</f>
        <v>supplier@gmail.com</v>
      </c>
      <c r="Q1139" t="str">
        <f ca="1">""&amp;IFERROR(VLOOKUP(O1139,EMAILS!B:D,3,FALSE),"NOT FOUND IN EMAILS")</f>
        <v/>
      </c>
      <c r="R1139" t="str">
        <f ca="1">""&amp;IFERROR(VLOOKUP(O1139,EMAILS!B:E,4,FALSE),"NO T FOUND IN EMAILS")</f>
        <v/>
      </c>
    </row>
    <row r="1140" spans="2:18" x14ac:dyDescent="0.25">
      <c r="B1140" s="5" t="s">
        <v>1142</v>
      </c>
      <c r="C1140" s="5" t="s">
        <v>5282</v>
      </c>
      <c r="D1140" s="5">
        <v>31.564399999999999</v>
      </c>
      <c r="E1140" s="5">
        <v>40.582799999999999</v>
      </c>
      <c r="F1140" s="5">
        <v>54.110399999999998</v>
      </c>
      <c r="G1140" s="5">
        <v>45.091999999999999</v>
      </c>
      <c r="H1140" s="5">
        <v>45.091999999999999</v>
      </c>
      <c r="I1140" s="5">
        <v>40.582799999999999</v>
      </c>
      <c r="J1140" s="5">
        <v>31.564399999999999</v>
      </c>
      <c r="K1140" s="5">
        <v>18.036799999999999</v>
      </c>
      <c r="L1140" s="5">
        <v>18.036799999999999</v>
      </c>
      <c r="M1140" s="5">
        <v>0</v>
      </c>
      <c r="N1140" s="5">
        <v>146</v>
      </c>
      <c r="O1140" s="5" t="str">
        <f t="shared" ca="1" si="17"/>
        <v>Supplier 91</v>
      </c>
      <c r="P1140" s="20" t="str">
        <f ca="1">IFERROR(VLOOKUP(O1140,EMAILS!B:C,2,FALSE),"NOT FOUND IN EMAILS")</f>
        <v>supplier@gmail.com</v>
      </c>
      <c r="Q1140" t="str">
        <f ca="1">""&amp;IFERROR(VLOOKUP(O1140,EMAILS!B:D,3,FALSE),"NOT FOUND IN EMAILS")</f>
        <v/>
      </c>
      <c r="R1140" t="str">
        <f ca="1">""&amp;IFERROR(VLOOKUP(O1140,EMAILS!B:E,4,FALSE),"NO T FOUND IN EMAILS")</f>
        <v/>
      </c>
    </row>
    <row r="1141" spans="2:18" x14ac:dyDescent="0.25">
      <c r="B1141" s="5" t="s">
        <v>1143</v>
      </c>
      <c r="C1141" s="5" t="s">
        <v>5283</v>
      </c>
      <c r="D1141" s="5">
        <v>0</v>
      </c>
      <c r="E1141" s="5">
        <v>0</v>
      </c>
      <c r="F1141" s="5">
        <v>0</v>
      </c>
      <c r="G1141" s="5">
        <v>0</v>
      </c>
      <c r="H1141" s="5">
        <v>0</v>
      </c>
      <c r="I1141" s="5">
        <v>0</v>
      </c>
      <c r="J1141" s="5">
        <v>0</v>
      </c>
      <c r="K1141" s="5">
        <v>0</v>
      </c>
      <c r="L1141" s="5">
        <v>0</v>
      </c>
      <c r="M1141" s="5">
        <v>0</v>
      </c>
      <c r="N1141" s="5">
        <v>118</v>
      </c>
      <c r="O1141" s="5" t="str">
        <f t="shared" ca="1" si="17"/>
        <v>Supplier 160</v>
      </c>
      <c r="P1141" s="20" t="str">
        <f ca="1">IFERROR(VLOOKUP(O1141,EMAILS!B:C,2,FALSE),"NOT FOUND IN EMAILS")</f>
        <v>supplier@gmail.com</v>
      </c>
      <c r="Q1141" t="str">
        <f ca="1">""&amp;IFERROR(VLOOKUP(O1141,EMAILS!B:D,3,FALSE),"NOT FOUND IN EMAILS")</f>
        <v/>
      </c>
      <c r="R1141" t="str">
        <f ca="1">""&amp;IFERROR(VLOOKUP(O1141,EMAILS!B:E,4,FALSE),"NO T FOUND IN EMAILS")</f>
        <v/>
      </c>
    </row>
    <row r="1142" spans="2:18" x14ac:dyDescent="0.25">
      <c r="B1142" s="5" t="s">
        <v>1144</v>
      </c>
      <c r="C1142" s="5" t="s">
        <v>5284</v>
      </c>
      <c r="D1142" s="5">
        <v>0</v>
      </c>
      <c r="E1142" s="5">
        <v>0</v>
      </c>
      <c r="F1142" s="5">
        <v>0</v>
      </c>
      <c r="G1142" s="5">
        <v>0</v>
      </c>
      <c r="H1142" s="5">
        <v>0</v>
      </c>
      <c r="I1142" s="5">
        <v>0</v>
      </c>
      <c r="J1142" s="5">
        <v>0</v>
      </c>
      <c r="K1142" s="5">
        <v>0</v>
      </c>
      <c r="L1142" s="5">
        <v>0</v>
      </c>
      <c r="M1142" s="5">
        <v>0</v>
      </c>
      <c r="N1142" s="5">
        <v>500</v>
      </c>
      <c r="O1142" s="5" t="str">
        <f t="shared" ca="1" si="17"/>
        <v>Supplier 129</v>
      </c>
      <c r="P1142" s="20" t="str">
        <f ca="1">IFERROR(VLOOKUP(O1142,EMAILS!B:C,2,FALSE),"NOT FOUND IN EMAILS")</f>
        <v>supplier@gmail.com</v>
      </c>
      <c r="Q1142" t="str">
        <f ca="1">""&amp;IFERROR(VLOOKUP(O1142,EMAILS!B:D,3,FALSE),"NOT FOUND IN EMAILS")</f>
        <v/>
      </c>
      <c r="R1142" t="str">
        <f ca="1">""&amp;IFERROR(VLOOKUP(O1142,EMAILS!B:E,4,FALSE),"NO T FOUND IN EMAILS")</f>
        <v/>
      </c>
    </row>
    <row r="1143" spans="2:18" x14ac:dyDescent="0.25">
      <c r="B1143" s="5" t="s">
        <v>1145</v>
      </c>
      <c r="C1143" s="5" t="s">
        <v>5285</v>
      </c>
      <c r="D1143" s="5">
        <v>13.32</v>
      </c>
      <c r="E1143" s="5">
        <v>23.31</v>
      </c>
      <c r="F1143" s="5">
        <v>13.32</v>
      </c>
      <c r="G1143" s="5">
        <v>15.12</v>
      </c>
      <c r="H1143" s="5">
        <v>1.8</v>
      </c>
      <c r="I1143" s="5">
        <v>1.8</v>
      </c>
      <c r="J1143" s="5">
        <v>0.9</v>
      </c>
      <c r="K1143" s="5">
        <v>1.8</v>
      </c>
      <c r="L1143" s="5">
        <v>1.35</v>
      </c>
      <c r="M1143" s="5">
        <v>0</v>
      </c>
      <c r="N1143" s="5">
        <v>2000</v>
      </c>
      <c r="O1143" s="5" t="str">
        <f t="shared" ca="1" si="17"/>
        <v>Supplier 168</v>
      </c>
      <c r="P1143" s="20" t="str">
        <f ca="1">IFERROR(VLOOKUP(O1143,EMAILS!B:C,2,FALSE),"NOT FOUND IN EMAILS")</f>
        <v>supplier@gmail.com</v>
      </c>
      <c r="Q1143" t="str">
        <f ca="1">""&amp;IFERROR(VLOOKUP(O1143,EMAILS!B:D,3,FALSE),"NOT FOUND IN EMAILS")</f>
        <v/>
      </c>
      <c r="R1143" t="str">
        <f ca="1">""&amp;IFERROR(VLOOKUP(O1143,EMAILS!B:E,4,FALSE),"NO T FOUND IN EMAILS")</f>
        <v/>
      </c>
    </row>
    <row r="1144" spans="2:18" x14ac:dyDescent="0.25">
      <c r="B1144" s="5" t="s">
        <v>1146</v>
      </c>
      <c r="C1144" s="5" t="s">
        <v>5286</v>
      </c>
      <c r="D1144" s="5">
        <v>408.07499999999999</v>
      </c>
      <c r="E1144" s="5">
        <v>381.226</v>
      </c>
      <c r="F1144" s="5">
        <v>390.8</v>
      </c>
      <c r="G1144" s="5">
        <v>387.53199999999998</v>
      </c>
      <c r="H1144" s="5">
        <v>384.83</v>
      </c>
      <c r="I1144" s="5">
        <v>381.226</v>
      </c>
      <c r="J1144" s="5">
        <v>278.77600000000001</v>
      </c>
      <c r="K1144" s="5">
        <v>279.06400000000002</v>
      </c>
      <c r="L1144" s="5">
        <v>262.52600000000001</v>
      </c>
      <c r="M1144" s="5">
        <v>0</v>
      </c>
      <c r="N1144" s="5">
        <v>122</v>
      </c>
      <c r="O1144" s="5" t="str">
        <f t="shared" ca="1" si="17"/>
        <v>Supplier 93</v>
      </c>
      <c r="P1144" s="20" t="str">
        <f ca="1">IFERROR(VLOOKUP(O1144,EMAILS!B:C,2,FALSE),"NOT FOUND IN EMAILS")</f>
        <v>supplier@gmail.com</v>
      </c>
      <c r="Q1144" t="str">
        <f ca="1">""&amp;IFERROR(VLOOKUP(O1144,EMAILS!B:D,3,FALSE),"NOT FOUND IN EMAILS")</f>
        <v/>
      </c>
      <c r="R1144" t="str">
        <f ca="1">""&amp;IFERROR(VLOOKUP(O1144,EMAILS!B:E,4,FALSE),"NO T FOUND IN EMAILS")</f>
        <v/>
      </c>
    </row>
    <row r="1145" spans="2:18" x14ac:dyDescent="0.25">
      <c r="B1145" s="5" t="s">
        <v>1147</v>
      </c>
      <c r="C1145" s="5" t="s">
        <v>5287</v>
      </c>
      <c r="D1145" s="5">
        <v>12.84</v>
      </c>
      <c r="E1145" s="5">
        <v>4.9950000000000001</v>
      </c>
      <c r="F1145" s="5">
        <v>11.255000000000001</v>
      </c>
      <c r="G1145" s="5">
        <v>10.78</v>
      </c>
      <c r="H1145" s="5">
        <v>15.06</v>
      </c>
      <c r="I1145" s="5">
        <v>8.0850000000000009</v>
      </c>
      <c r="J1145" s="5">
        <v>9.1150000000000002</v>
      </c>
      <c r="K1145" s="5">
        <v>4.28</v>
      </c>
      <c r="L1145" s="5">
        <v>4.28</v>
      </c>
      <c r="M1145" s="5">
        <v>0</v>
      </c>
      <c r="N1145" s="5">
        <v>354</v>
      </c>
      <c r="O1145" s="5" t="str">
        <f t="shared" ca="1" si="17"/>
        <v>Supplier 159</v>
      </c>
      <c r="P1145" s="20" t="str">
        <f ca="1">IFERROR(VLOOKUP(O1145,EMAILS!B:C,2,FALSE),"NOT FOUND IN EMAILS")</f>
        <v>supplier@gmail.com</v>
      </c>
      <c r="Q1145" t="str">
        <f ca="1">""&amp;IFERROR(VLOOKUP(O1145,EMAILS!B:D,3,FALSE),"NOT FOUND IN EMAILS")</f>
        <v/>
      </c>
      <c r="R1145" t="str">
        <f ca="1">""&amp;IFERROR(VLOOKUP(O1145,EMAILS!B:E,4,FALSE),"NO T FOUND IN EMAILS")</f>
        <v/>
      </c>
    </row>
    <row r="1146" spans="2:18" x14ac:dyDescent="0.25">
      <c r="B1146" s="5" t="s">
        <v>1148</v>
      </c>
      <c r="C1146" s="5" t="s">
        <v>5288</v>
      </c>
      <c r="D1146" s="5">
        <v>90.98</v>
      </c>
      <c r="E1146" s="5">
        <v>0</v>
      </c>
      <c r="F1146" s="5">
        <v>50.65</v>
      </c>
      <c r="G1146" s="5">
        <v>60.59</v>
      </c>
      <c r="H1146" s="5">
        <v>0</v>
      </c>
      <c r="I1146" s="5">
        <v>0</v>
      </c>
      <c r="J1146" s="5">
        <v>0</v>
      </c>
      <c r="K1146" s="5">
        <v>0</v>
      </c>
      <c r="L1146" s="5">
        <v>0</v>
      </c>
      <c r="M1146" s="5">
        <v>0</v>
      </c>
      <c r="N1146" s="5">
        <v>580</v>
      </c>
      <c r="O1146" s="5" t="str">
        <f t="shared" ca="1" si="17"/>
        <v>Supplier 73</v>
      </c>
      <c r="P1146" s="20" t="str">
        <f ca="1">IFERROR(VLOOKUP(O1146,EMAILS!B:C,2,FALSE),"NOT FOUND IN EMAILS")</f>
        <v>supplier@gmail.com</v>
      </c>
      <c r="Q1146" t="str">
        <f ca="1">""&amp;IFERROR(VLOOKUP(O1146,EMAILS!B:D,3,FALSE),"NOT FOUND IN EMAILS")</f>
        <v/>
      </c>
      <c r="R1146" t="str">
        <f ca="1">""&amp;IFERROR(VLOOKUP(O1146,EMAILS!B:E,4,FALSE),"NO T FOUND IN EMAILS")</f>
        <v/>
      </c>
    </row>
    <row r="1147" spans="2:18" x14ac:dyDescent="0.25">
      <c r="B1147" s="5" t="s">
        <v>1149</v>
      </c>
      <c r="C1147" s="5" t="s">
        <v>5289</v>
      </c>
      <c r="D1147" s="5">
        <v>0</v>
      </c>
      <c r="E1147" s="5">
        <v>0</v>
      </c>
      <c r="F1147" s="5">
        <v>0</v>
      </c>
      <c r="G1147" s="5">
        <v>0</v>
      </c>
      <c r="H1147" s="5">
        <v>0</v>
      </c>
      <c r="I1147" s="5">
        <v>0</v>
      </c>
      <c r="J1147" s="5">
        <v>0</v>
      </c>
      <c r="K1147" s="5">
        <v>0</v>
      </c>
      <c r="L1147" s="5">
        <v>0</v>
      </c>
      <c r="M1147" s="5">
        <v>0</v>
      </c>
      <c r="N1147" s="5">
        <v>283.8</v>
      </c>
      <c r="O1147" s="5" t="str">
        <f t="shared" ca="1" si="17"/>
        <v>Supplier 198</v>
      </c>
      <c r="P1147" s="20" t="str">
        <f ca="1">IFERROR(VLOOKUP(O1147,EMAILS!B:C,2,FALSE),"NOT FOUND IN EMAILS")</f>
        <v>supplier@gmail.com</v>
      </c>
      <c r="Q1147" t="str">
        <f ca="1">""&amp;IFERROR(VLOOKUP(O1147,EMAILS!B:D,3,FALSE),"NOT FOUND IN EMAILS")</f>
        <v/>
      </c>
      <c r="R1147" t="str">
        <f ca="1">""&amp;IFERROR(VLOOKUP(O1147,EMAILS!B:E,4,FALSE),"NO T FOUND IN EMAILS")</f>
        <v/>
      </c>
    </row>
    <row r="1148" spans="2:18" x14ac:dyDescent="0.25">
      <c r="B1148" s="5" t="s">
        <v>1150</v>
      </c>
      <c r="C1148" s="5" t="s">
        <v>5290</v>
      </c>
      <c r="D1148" s="5">
        <v>26.604000000000003</v>
      </c>
      <c r="E1148" s="5">
        <v>19.14</v>
      </c>
      <c r="F1148" s="5">
        <v>25.52</v>
      </c>
      <c r="G1148" s="5">
        <v>25.52</v>
      </c>
      <c r="H1148" s="5">
        <v>26.604000000000003</v>
      </c>
      <c r="I1148" s="5">
        <v>25.52</v>
      </c>
      <c r="J1148" s="5">
        <v>12.76</v>
      </c>
      <c r="K1148" s="5">
        <v>12.76</v>
      </c>
      <c r="L1148" s="5">
        <v>12.76</v>
      </c>
      <c r="M1148" s="5">
        <v>0</v>
      </c>
      <c r="N1148" s="5">
        <v>117</v>
      </c>
      <c r="O1148" s="5" t="str">
        <f t="shared" ca="1" si="17"/>
        <v>Supplier 63</v>
      </c>
      <c r="P1148" s="20" t="str">
        <f ca="1">IFERROR(VLOOKUP(O1148,EMAILS!B:C,2,FALSE),"NOT FOUND IN EMAILS")</f>
        <v>supplier@gmail.com</v>
      </c>
      <c r="Q1148" t="str">
        <f ca="1">""&amp;IFERROR(VLOOKUP(O1148,EMAILS!B:D,3,FALSE),"NOT FOUND IN EMAILS")</f>
        <v/>
      </c>
      <c r="R1148" t="str">
        <f ca="1">""&amp;IFERROR(VLOOKUP(O1148,EMAILS!B:E,4,FALSE),"NO T FOUND IN EMAILS")</f>
        <v/>
      </c>
    </row>
    <row r="1149" spans="2:18" x14ac:dyDescent="0.25">
      <c r="B1149" s="5" t="s">
        <v>1151</v>
      </c>
      <c r="C1149" s="5" t="s">
        <v>5291</v>
      </c>
      <c r="D1149" s="5">
        <v>0.748</v>
      </c>
      <c r="E1149" s="5">
        <v>0</v>
      </c>
      <c r="F1149" s="5">
        <v>0</v>
      </c>
      <c r="G1149" s="5">
        <v>0</v>
      </c>
      <c r="H1149" s="5">
        <v>0.748</v>
      </c>
      <c r="I1149" s="5">
        <v>0</v>
      </c>
      <c r="J1149" s="5">
        <v>0</v>
      </c>
      <c r="K1149" s="5">
        <v>0</v>
      </c>
      <c r="L1149" s="5">
        <v>0</v>
      </c>
      <c r="M1149" s="5">
        <v>0</v>
      </c>
      <c r="N1149" s="5">
        <v>312</v>
      </c>
      <c r="O1149" s="5" t="str">
        <f t="shared" ca="1" si="17"/>
        <v>Supplier 199</v>
      </c>
      <c r="P1149" s="20" t="str">
        <f ca="1">IFERROR(VLOOKUP(O1149,EMAILS!B:C,2,FALSE),"NOT FOUND IN EMAILS")</f>
        <v>supplier@gmail.com</v>
      </c>
      <c r="Q1149" t="str">
        <f ca="1">""&amp;IFERROR(VLOOKUP(O1149,EMAILS!B:D,3,FALSE),"NOT FOUND IN EMAILS")</f>
        <v/>
      </c>
      <c r="R1149" t="str">
        <f ca="1">""&amp;IFERROR(VLOOKUP(O1149,EMAILS!B:E,4,FALSE),"NO T FOUND IN EMAILS")</f>
        <v/>
      </c>
    </row>
    <row r="1150" spans="2:18" x14ac:dyDescent="0.25">
      <c r="B1150" s="5" t="s">
        <v>1152</v>
      </c>
      <c r="C1150" s="5" t="s">
        <v>5292</v>
      </c>
      <c r="D1150" s="5">
        <v>299.52</v>
      </c>
      <c r="E1150" s="5">
        <v>0</v>
      </c>
      <c r="F1150" s="5">
        <v>0</v>
      </c>
      <c r="G1150" s="5">
        <v>0</v>
      </c>
      <c r="H1150" s="5">
        <v>0</v>
      </c>
      <c r="I1150" s="5">
        <v>0</v>
      </c>
      <c r="J1150" s="5">
        <v>0</v>
      </c>
      <c r="K1150" s="5">
        <v>0</v>
      </c>
      <c r="L1150" s="5">
        <v>0</v>
      </c>
      <c r="M1150" s="5">
        <v>0</v>
      </c>
      <c r="N1150" s="5">
        <v>186</v>
      </c>
      <c r="O1150" s="5" t="str">
        <f t="shared" ca="1" si="17"/>
        <v>Supplier 91</v>
      </c>
      <c r="P1150" s="20" t="str">
        <f ca="1">IFERROR(VLOOKUP(O1150,EMAILS!B:C,2,FALSE),"NOT FOUND IN EMAILS")</f>
        <v>supplier@gmail.com</v>
      </c>
      <c r="Q1150" t="str">
        <f ca="1">""&amp;IFERROR(VLOOKUP(O1150,EMAILS!B:D,3,FALSE),"NOT FOUND IN EMAILS")</f>
        <v/>
      </c>
      <c r="R1150" t="str">
        <f ca="1">""&amp;IFERROR(VLOOKUP(O1150,EMAILS!B:E,4,FALSE),"NO T FOUND IN EMAILS")</f>
        <v/>
      </c>
    </row>
    <row r="1151" spans="2:18" x14ac:dyDescent="0.25">
      <c r="B1151" s="5" t="s">
        <v>1153</v>
      </c>
      <c r="C1151" s="5" t="s">
        <v>5293</v>
      </c>
      <c r="D1151" s="5">
        <v>0</v>
      </c>
      <c r="E1151" s="5">
        <v>0</v>
      </c>
      <c r="F1151" s="5">
        <v>0</v>
      </c>
      <c r="G1151" s="5">
        <v>0</v>
      </c>
      <c r="H1151" s="5">
        <v>149.76</v>
      </c>
      <c r="I1151" s="5">
        <v>0</v>
      </c>
      <c r="J1151" s="5">
        <v>0</v>
      </c>
      <c r="K1151" s="5">
        <v>0</v>
      </c>
      <c r="L1151" s="5">
        <v>0</v>
      </c>
      <c r="M1151" s="5">
        <v>0</v>
      </c>
      <c r="N1151" s="5">
        <v>1413</v>
      </c>
      <c r="O1151" s="5" t="str">
        <f t="shared" ca="1" si="17"/>
        <v>Supplier 144</v>
      </c>
      <c r="P1151" s="20" t="str">
        <f ca="1">IFERROR(VLOOKUP(O1151,EMAILS!B:C,2,FALSE),"NOT FOUND IN EMAILS")</f>
        <v>supplier@gmail.com</v>
      </c>
      <c r="Q1151" t="str">
        <f ca="1">""&amp;IFERROR(VLOOKUP(O1151,EMAILS!B:D,3,FALSE),"NOT FOUND IN EMAILS")</f>
        <v/>
      </c>
      <c r="R1151" t="str">
        <f ca="1">""&amp;IFERROR(VLOOKUP(O1151,EMAILS!B:E,4,FALSE),"NO T FOUND IN EMAILS")</f>
        <v/>
      </c>
    </row>
    <row r="1152" spans="2:18" x14ac:dyDescent="0.25">
      <c r="B1152" s="5" t="s">
        <v>1154</v>
      </c>
      <c r="C1152" s="5" t="s">
        <v>5294</v>
      </c>
      <c r="D1152" s="5">
        <v>136.44440000000003</v>
      </c>
      <c r="E1152" s="5">
        <v>409.33320000000003</v>
      </c>
      <c r="F1152" s="5">
        <v>68.222200000000001</v>
      </c>
      <c r="G1152" s="5">
        <v>75.480220000000003</v>
      </c>
      <c r="H1152" s="5">
        <v>136.4444</v>
      </c>
      <c r="I1152" s="5">
        <v>0</v>
      </c>
      <c r="J1152" s="5">
        <v>0</v>
      </c>
      <c r="K1152" s="5">
        <v>0</v>
      </c>
      <c r="L1152" s="5">
        <v>0</v>
      </c>
      <c r="M1152" s="5">
        <v>0</v>
      </c>
      <c r="N1152" s="5">
        <v>312</v>
      </c>
      <c r="O1152" s="5" t="str">
        <f t="shared" ca="1" si="17"/>
        <v>Supplier 167</v>
      </c>
      <c r="P1152" s="20" t="str">
        <f ca="1">IFERROR(VLOOKUP(O1152,EMAILS!B:C,2,FALSE),"NOT FOUND IN EMAILS")</f>
        <v>supplier@gmail.com</v>
      </c>
      <c r="Q1152" t="str">
        <f ca="1">""&amp;IFERROR(VLOOKUP(O1152,EMAILS!B:D,3,FALSE),"NOT FOUND IN EMAILS")</f>
        <v/>
      </c>
      <c r="R1152" t="str">
        <f ca="1">""&amp;IFERROR(VLOOKUP(O1152,EMAILS!B:E,4,FALSE),"NO T FOUND IN EMAILS")</f>
        <v/>
      </c>
    </row>
    <row r="1153" spans="2:18" x14ac:dyDescent="0.25">
      <c r="B1153" s="5" t="s">
        <v>1155</v>
      </c>
      <c r="C1153" s="5" t="s">
        <v>5295</v>
      </c>
      <c r="D1153" s="5">
        <v>0</v>
      </c>
      <c r="E1153" s="5">
        <v>0</v>
      </c>
      <c r="F1153" s="5">
        <v>0</v>
      </c>
      <c r="G1153" s="5">
        <v>0</v>
      </c>
      <c r="H1153" s="5">
        <v>0</v>
      </c>
      <c r="I1153" s="5">
        <v>0</v>
      </c>
      <c r="J1153" s="5">
        <v>0</v>
      </c>
      <c r="K1153" s="5">
        <v>0</v>
      </c>
      <c r="L1153" s="5">
        <v>0</v>
      </c>
      <c r="M1153" s="5">
        <v>0</v>
      </c>
      <c r="N1153" s="5">
        <v>0</v>
      </c>
      <c r="O1153" s="5" t="str">
        <f t="shared" ca="1" si="17"/>
        <v>Supplier 28</v>
      </c>
      <c r="P1153" s="20" t="str">
        <f ca="1">IFERROR(VLOOKUP(O1153,EMAILS!B:C,2,FALSE),"NOT FOUND IN EMAILS")</f>
        <v>supplier@gmail.com</v>
      </c>
      <c r="Q1153" t="str">
        <f ca="1">""&amp;IFERROR(VLOOKUP(O1153,EMAILS!B:D,3,FALSE),"NOT FOUND IN EMAILS")</f>
        <v/>
      </c>
      <c r="R1153" t="str">
        <f ca="1">""&amp;IFERROR(VLOOKUP(O1153,EMAILS!B:E,4,FALSE),"NO T FOUND IN EMAILS")</f>
        <v/>
      </c>
    </row>
    <row r="1154" spans="2:18" x14ac:dyDescent="0.25">
      <c r="B1154" s="5" t="s">
        <v>1156</v>
      </c>
      <c r="C1154" s="5" t="s">
        <v>5296</v>
      </c>
      <c r="D1154" s="5">
        <v>0</v>
      </c>
      <c r="E1154" s="5">
        <v>0</v>
      </c>
      <c r="F1154" s="5">
        <v>0</v>
      </c>
      <c r="G1154" s="5">
        <v>0</v>
      </c>
      <c r="H1154" s="5">
        <v>0</v>
      </c>
      <c r="I1154" s="5">
        <v>0</v>
      </c>
      <c r="J1154" s="5">
        <v>0</v>
      </c>
      <c r="K1154" s="5">
        <v>0</v>
      </c>
      <c r="L1154" s="5">
        <v>0</v>
      </c>
      <c r="M1154" s="5">
        <v>0</v>
      </c>
      <c r="N1154" s="5">
        <v>538</v>
      </c>
      <c r="O1154" s="5" t="str">
        <f t="shared" ca="1" si="17"/>
        <v>Supplier 11</v>
      </c>
      <c r="P1154" s="20" t="str">
        <f ca="1">IFERROR(VLOOKUP(O1154,EMAILS!B:C,2,FALSE),"NOT FOUND IN EMAILS")</f>
        <v>supplier@gmail.com</v>
      </c>
      <c r="Q1154" t="str">
        <f ca="1">""&amp;IFERROR(VLOOKUP(O1154,EMAILS!B:D,3,FALSE),"NOT FOUND IN EMAILS")</f>
        <v>supplier_logistics@gmail.com</v>
      </c>
      <c r="R1154" t="str">
        <f ca="1">""&amp;IFERROR(VLOOKUP(O1154,EMAILS!B:E,4,FALSE),"NO T FOUND IN EMAILS")</f>
        <v/>
      </c>
    </row>
    <row r="1155" spans="2:18" x14ac:dyDescent="0.25">
      <c r="B1155" s="5" t="s">
        <v>1157</v>
      </c>
      <c r="C1155" s="5" t="s">
        <v>5297</v>
      </c>
      <c r="D1155" s="5">
        <v>0</v>
      </c>
      <c r="E1155" s="5">
        <v>0</v>
      </c>
      <c r="F1155" s="5">
        <v>0</v>
      </c>
      <c r="G1155" s="5">
        <v>0</v>
      </c>
      <c r="H1155" s="5">
        <v>0</v>
      </c>
      <c r="I1155" s="5">
        <v>0</v>
      </c>
      <c r="J1155" s="5">
        <v>0</v>
      </c>
      <c r="K1155" s="5">
        <v>0</v>
      </c>
      <c r="L1155" s="5">
        <v>0</v>
      </c>
      <c r="M1155" s="5">
        <v>0</v>
      </c>
      <c r="N1155" s="5">
        <v>0</v>
      </c>
      <c r="O1155" s="5" t="str">
        <f t="shared" ref="O1155:O1218" ca="1" si="18">"Supplier "&amp;RANDBETWEEN(1,200)</f>
        <v>Supplier 125</v>
      </c>
      <c r="P1155" s="20" t="str">
        <f ca="1">IFERROR(VLOOKUP(O1155,EMAILS!B:C,2,FALSE),"NOT FOUND IN EMAILS")</f>
        <v>supplier@gmail.com</v>
      </c>
      <c r="Q1155" t="str">
        <f ca="1">""&amp;IFERROR(VLOOKUP(O1155,EMAILS!B:D,3,FALSE),"NOT FOUND IN EMAILS")</f>
        <v/>
      </c>
      <c r="R1155" t="str">
        <f ca="1">""&amp;IFERROR(VLOOKUP(O1155,EMAILS!B:E,4,FALSE),"NO T FOUND IN EMAILS")</f>
        <v/>
      </c>
    </row>
    <row r="1156" spans="2:18" x14ac:dyDescent="0.25">
      <c r="B1156" s="5" t="s">
        <v>1158</v>
      </c>
      <c r="C1156" s="5" t="s">
        <v>5298</v>
      </c>
      <c r="D1156" s="5">
        <v>0</v>
      </c>
      <c r="E1156" s="5">
        <v>0</v>
      </c>
      <c r="F1156" s="5">
        <v>0</v>
      </c>
      <c r="G1156" s="5">
        <v>0</v>
      </c>
      <c r="H1156" s="5">
        <v>0</v>
      </c>
      <c r="I1156" s="5">
        <v>0</v>
      </c>
      <c r="J1156" s="5">
        <v>0</v>
      </c>
      <c r="K1156" s="5">
        <v>0</v>
      </c>
      <c r="L1156" s="5">
        <v>0</v>
      </c>
      <c r="M1156" s="5">
        <v>0</v>
      </c>
      <c r="N1156" s="5">
        <v>471</v>
      </c>
      <c r="O1156" s="5" t="str">
        <f t="shared" ca="1" si="18"/>
        <v>Supplier 49</v>
      </c>
      <c r="P1156" s="20" t="str">
        <f ca="1">IFERROR(VLOOKUP(O1156,EMAILS!B:C,2,FALSE),"NOT FOUND IN EMAILS")</f>
        <v>supplier@gmail.com</v>
      </c>
      <c r="Q1156" t="str">
        <f ca="1">""&amp;IFERROR(VLOOKUP(O1156,EMAILS!B:D,3,FALSE),"NOT FOUND IN EMAILS")</f>
        <v/>
      </c>
      <c r="R1156" t="str">
        <f ca="1">""&amp;IFERROR(VLOOKUP(O1156,EMAILS!B:E,4,FALSE),"NO T FOUND IN EMAILS")</f>
        <v/>
      </c>
    </row>
    <row r="1157" spans="2:18" x14ac:dyDescent="0.25">
      <c r="B1157" s="5" t="s">
        <v>1159</v>
      </c>
      <c r="C1157" s="5" t="s">
        <v>5299</v>
      </c>
      <c r="D1157" s="5">
        <v>0</v>
      </c>
      <c r="E1157" s="5">
        <v>0</v>
      </c>
      <c r="F1157" s="5">
        <v>0</v>
      </c>
      <c r="G1157" s="5">
        <v>0</v>
      </c>
      <c r="H1157" s="5">
        <v>0</v>
      </c>
      <c r="I1157" s="5">
        <v>0</v>
      </c>
      <c r="J1157" s="5">
        <v>0</v>
      </c>
      <c r="K1157" s="5">
        <v>0</v>
      </c>
      <c r="L1157" s="5">
        <v>0</v>
      </c>
      <c r="M1157" s="5">
        <v>0</v>
      </c>
      <c r="N1157" s="5">
        <v>30</v>
      </c>
      <c r="O1157" s="5" t="str">
        <f t="shared" ca="1" si="18"/>
        <v>Supplier 38</v>
      </c>
      <c r="P1157" s="20" t="str">
        <f ca="1">IFERROR(VLOOKUP(O1157,EMAILS!B:C,2,FALSE),"NOT FOUND IN EMAILS")</f>
        <v>supplier@gmail.com</v>
      </c>
      <c r="Q1157" t="str">
        <f ca="1">""&amp;IFERROR(VLOOKUP(O1157,EMAILS!B:D,3,FALSE),"NOT FOUND IN EMAILS")</f>
        <v/>
      </c>
      <c r="R1157" t="str">
        <f ca="1">""&amp;IFERROR(VLOOKUP(O1157,EMAILS!B:E,4,FALSE),"NO T FOUND IN EMAILS")</f>
        <v/>
      </c>
    </row>
    <row r="1158" spans="2:18" x14ac:dyDescent="0.25">
      <c r="B1158" s="5" t="s">
        <v>1160</v>
      </c>
      <c r="C1158" s="5" t="s">
        <v>5300</v>
      </c>
      <c r="D1158" s="5">
        <v>0</v>
      </c>
      <c r="E1158" s="5">
        <v>0</v>
      </c>
      <c r="F1158" s="5">
        <v>0</v>
      </c>
      <c r="G1158" s="5">
        <v>0</v>
      </c>
      <c r="H1158" s="5">
        <v>0</v>
      </c>
      <c r="I1158" s="5">
        <v>0</v>
      </c>
      <c r="J1158" s="5">
        <v>0</v>
      </c>
      <c r="K1158" s="5">
        <v>0</v>
      </c>
      <c r="L1158" s="5">
        <v>0</v>
      </c>
      <c r="M1158" s="5">
        <v>0</v>
      </c>
      <c r="N1158" s="5">
        <v>30</v>
      </c>
      <c r="O1158" s="5" t="str">
        <f t="shared" ca="1" si="18"/>
        <v>Supplier 18</v>
      </c>
      <c r="P1158" s="20" t="str">
        <f ca="1">IFERROR(VLOOKUP(O1158,EMAILS!B:C,2,FALSE),"NOT FOUND IN EMAILS")</f>
        <v>supplier@gmail.com</v>
      </c>
      <c r="Q1158" t="str">
        <f ca="1">""&amp;IFERROR(VLOOKUP(O1158,EMAILS!B:D,3,FALSE),"NOT FOUND IN EMAILS")</f>
        <v>supplier_logistics@gmail.com</v>
      </c>
      <c r="R1158" t="str">
        <f ca="1">""&amp;IFERROR(VLOOKUP(O1158,EMAILS!B:E,4,FALSE),"NO T FOUND IN EMAILS")</f>
        <v/>
      </c>
    </row>
    <row r="1159" spans="2:18" x14ac:dyDescent="0.25">
      <c r="B1159" s="5" t="s">
        <v>1161</v>
      </c>
      <c r="C1159" s="5" t="s">
        <v>5301</v>
      </c>
      <c r="D1159" s="5">
        <v>0</v>
      </c>
      <c r="E1159" s="5">
        <v>0</v>
      </c>
      <c r="F1159" s="5">
        <v>0</v>
      </c>
      <c r="G1159" s="5">
        <v>0</v>
      </c>
      <c r="H1159" s="5">
        <v>0</v>
      </c>
      <c r="I1159" s="5">
        <v>0</v>
      </c>
      <c r="J1159" s="5">
        <v>0</v>
      </c>
      <c r="K1159" s="5">
        <v>0</v>
      </c>
      <c r="L1159" s="5">
        <v>0</v>
      </c>
      <c r="M1159" s="5">
        <v>0</v>
      </c>
      <c r="N1159" s="5">
        <v>0</v>
      </c>
      <c r="O1159" s="5" t="str">
        <f t="shared" ca="1" si="18"/>
        <v>Supplier 82</v>
      </c>
      <c r="P1159" s="20" t="str">
        <f ca="1">IFERROR(VLOOKUP(O1159,EMAILS!B:C,2,FALSE),"NOT FOUND IN EMAILS")</f>
        <v>supplier@gmail.com</v>
      </c>
      <c r="Q1159" t="str">
        <f ca="1">""&amp;IFERROR(VLOOKUP(O1159,EMAILS!B:D,3,FALSE),"NOT FOUND IN EMAILS")</f>
        <v/>
      </c>
      <c r="R1159" t="str">
        <f ca="1">""&amp;IFERROR(VLOOKUP(O1159,EMAILS!B:E,4,FALSE),"NO T FOUND IN EMAILS")</f>
        <v/>
      </c>
    </row>
    <row r="1160" spans="2:18" x14ac:dyDescent="0.25">
      <c r="B1160" s="5" t="s">
        <v>1162</v>
      </c>
      <c r="C1160" s="5" t="s">
        <v>5302</v>
      </c>
      <c r="D1160" s="5">
        <v>17.899999999999999</v>
      </c>
      <c r="E1160" s="5">
        <v>0</v>
      </c>
      <c r="F1160" s="5">
        <v>49.6</v>
      </c>
      <c r="G1160" s="5">
        <v>2.2999999999999998</v>
      </c>
      <c r="H1160" s="5">
        <v>65.099999999999994</v>
      </c>
      <c r="I1160" s="5">
        <v>35</v>
      </c>
      <c r="J1160" s="5">
        <v>0</v>
      </c>
      <c r="K1160" s="5">
        <v>0</v>
      </c>
      <c r="L1160" s="5">
        <v>2.2999999999999998</v>
      </c>
      <c r="M1160" s="5">
        <v>0</v>
      </c>
      <c r="N1160" s="5">
        <v>1760</v>
      </c>
      <c r="O1160" s="5" t="str">
        <f t="shared" ca="1" si="18"/>
        <v>Supplier 193</v>
      </c>
      <c r="P1160" s="20" t="str">
        <f ca="1">IFERROR(VLOOKUP(O1160,EMAILS!B:C,2,FALSE),"NOT FOUND IN EMAILS")</f>
        <v>supplier@gmail.com</v>
      </c>
      <c r="Q1160" t="str">
        <f ca="1">""&amp;IFERROR(VLOOKUP(O1160,EMAILS!B:D,3,FALSE),"NOT FOUND IN EMAILS")</f>
        <v/>
      </c>
      <c r="R1160" t="str">
        <f ca="1">""&amp;IFERROR(VLOOKUP(O1160,EMAILS!B:E,4,FALSE),"NO T FOUND IN EMAILS")</f>
        <v/>
      </c>
    </row>
    <row r="1161" spans="2:18" x14ac:dyDescent="0.25">
      <c r="B1161" s="5" t="s">
        <v>1163</v>
      </c>
      <c r="C1161" s="5" t="s">
        <v>5303</v>
      </c>
      <c r="D1161" s="5">
        <v>1719.9390000000003</v>
      </c>
      <c r="E1161" s="5">
        <v>0</v>
      </c>
      <c r="F1161" s="5">
        <v>0</v>
      </c>
      <c r="G1161" s="5">
        <v>0</v>
      </c>
      <c r="H1161" s="5">
        <v>0</v>
      </c>
      <c r="I1161" s="5">
        <v>0</v>
      </c>
      <c r="J1161" s="5">
        <v>0</v>
      </c>
      <c r="K1161" s="5">
        <v>0</v>
      </c>
      <c r="L1161" s="5">
        <v>0</v>
      </c>
      <c r="M1161" s="5">
        <v>0</v>
      </c>
      <c r="N1161" s="5">
        <v>1140</v>
      </c>
      <c r="O1161" s="5" t="str">
        <f t="shared" ca="1" si="18"/>
        <v>Supplier 189</v>
      </c>
      <c r="P1161" s="20" t="str">
        <f ca="1">IFERROR(VLOOKUP(O1161,EMAILS!B:C,2,FALSE),"NOT FOUND IN EMAILS")</f>
        <v>supplier@gmail.com</v>
      </c>
      <c r="Q1161" t="str">
        <f ca="1">""&amp;IFERROR(VLOOKUP(O1161,EMAILS!B:D,3,FALSE),"NOT FOUND IN EMAILS")</f>
        <v/>
      </c>
      <c r="R1161" t="str">
        <f ca="1">""&amp;IFERROR(VLOOKUP(O1161,EMAILS!B:E,4,FALSE),"NO T FOUND IN EMAILS")</f>
        <v/>
      </c>
    </row>
    <row r="1162" spans="2:18" x14ac:dyDescent="0.25">
      <c r="B1162" s="5" t="s">
        <v>1164</v>
      </c>
      <c r="C1162" s="5" t="s">
        <v>5304</v>
      </c>
      <c r="D1162" s="5">
        <v>0</v>
      </c>
      <c r="E1162" s="5">
        <v>0</v>
      </c>
      <c r="F1162" s="5">
        <v>0</v>
      </c>
      <c r="G1162" s="5">
        <v>0</v>
      </c>
      <c r="H1162" s="5">
        <v>0</v>
      </c>
      <c r="I1162" s="5">
        <v>0</v>
      </c>
      <c r="J1162" s="5">
        <v>0</v>
      </c>
      <c r="K1162" s="5">
        <v>0</v>
      </c>
      <c r="L1162" s="5">
        <v>0</v>
      </c>
      <c r="M1162" s="5">
        <v>0</v>
      </c>
      <c r="N1162" s="5">
        <v>1284</v>
      </c>
      <c r="O1162" s="5" t="str">
        <f t="shared" ca="1" si="18"/>
        <v>Supplier 36</v>
      </c>
      <c r="P1162" s="20" t="str">
        <f ca="1">IFERROR(VLOOKUP(O1162,EMAILS!B:C,2,FALSE),"NOT FOUND IN EMAILS")</f>
        <v>supplier@gmail.com</v>
      </c>
      <c r="Q1162" t="str">
        <f ca="1">""&amp;IFERROR(VLOOKUP(O1162,EMAILS!B:D,3,FALSE),"NOT FOUND IN EMAILS")</f>
        <v/>
      </c>
      <c r="R1162" t="str">
        <f ca="1">""&amp;IFERROR(VLOOKUP(O1162,EMAILS!B:E,4,FALSE),"NO T FOUND IN EMAILS")</f>
        <v/>
      </c>
    </row>
    <row r="1163" spans="2:18" x14ac:dyDescent="0.25">
      <c r="B1163" s="5" t="s">
        <v>1165</v>
      </c>
      <c r="C1163" s="5" t="s">
        <v>5305</v>
      </c>
      <c r="D1163" s="5">
        <v>16.3</v>
      </c>
      <c r="E1163" s="5">
        <v>0</v>
      </c>
      <c r="F1163" s="5">
        <v>0</v>
      </c>
      <c r="G1163" s="5">
        <v>0</v>
      </c>
      <c r="H1163" s="5">
        <v>0</v>
      </c>
      <c r="I1163" s="5">
        <v>0</v>
      </c>
      <c r="J1163" s="5">
        <v>0</v>
      </c>
      <c r="K1163" s="5">
        <v>0</v>
      </c>
      <c r="L1163" s="5">
        <v>0</v>
      </c>
      <c r="M1163" s="5">
        <v>0</v>
      </c>
      <c r="N1163" s="5">
        <v>94</v>
      </c>
      <c r="O1163" s="5" t="str">
        <f t="shared" ca="1" si="18"/>
        <v>Supplier 141</v>
      </c>
      <c r="P1163" s="20" t="str">
        <f ca="1">IFERROR(VLOOKUP(O1163,EMAILS!B:C,2,FALSE),"NOT FOUND IN EMAILS")</f>
        <v>supplier@gmail.com</v>
      </c>
      <c r="Q1163" t="str">
        <f ca="1">""&amp;IFERROR(VLOOKUP(O1163,EMAILS!B:D,3,FALSE),"NOT FOUND IN EMAILS")</f>
        <v/>
      </c>
      <c r="R1163" t="str">
        <f ca="1">""&amp;IFERROR(VLOOKUP(O1163,EMAILS!B:E,4,FALSE),"NO T FOUND IN EMAILS")</f>
        <v/>
      </c>
    </row>
    <row r="1164" spans="2:18" x14ac:dyDescent="0.25">
      <c r="B1164" s="5" t="s">
        <v>1166</v>
      </c>
      <c r="C1164" s="5" t="s">
        <v>5306</v>
      </c>
      <c r="D1164" s="5">
        <v>39.970999999999997</v>
      </c>
      <c r="E1164" s="5">
        <v>0</v>
      </c>
      <c r="F1164" s="5">
        <v>24.495999999999999</v>
      </c>
      <c r="G1164" s="5">
        <v>39.970999999999997</v>
      </c>
      <c r="H1164" s="5">
        <v>0</v>
      </c>
      <c r="I1164" s="5">
        <v>0</v>
      </c>
      <c r="J1164" s="5">
        <v>0</v>
      </c>
      <c r="K1164" s="5">
        <v>0</v>
      </c>
      <c r="L1164" s="5">
        <v>0</v>
      </c>
      <c r="M1164" s="5">
        <v>0</v>
      </c>
      <c r="N1164" s="5">
        <v>229</v>
      </c>
      <c r="O1164" s="5" t="str">
        <f t="shared" ca="1" si="18"/>
        <v>Supplier 190</v>
      </c>
      <c r="P1164" s="20" t="str">
        <f ca="1">IFERROR(VLOOKUP(O1164,EMAILS!B:C,2,FALSE),"NOT FOUND IN EMAILS")</f>
        <v>supplier@gmail.com</v>
      </c>
      <c r="Q1164" t="str">
        <f ca="1">""&amp;IFERROR(VLOOKUP(O1164,EMAILS!B:D,3,FALSE),"NOT FOUND IN EMAILS")</f>
        <v/>
      </c>
      <c r="R1164" t="str">
        <f ca="1">""&amp;IFERROR(VLOOKUP(O1164,EMAILS!B:E,4,FALSE),"NO T FOUND IN EMAILS")</f>
        <v/>
      </c>
    </row>
    <row r="1165" spans="2:18" x14ac:dyDescent="0.25">
      <c r="B1165" s="5" t="s">
        <v>1167</v>
      </c>
      <c r="C1165" s="5" t="s">
        <v>5307</v>
      </c>
      <c r="D1165" s="5">
        <v>9.4</v>
      </c>
      <c r="E1165" s="5">
        <v>0</v>
      </c>
      <c r="F1165" s="5">
        <v>5.8</v>
      </c>
      <c r="G1165" s="5">
        <v>9.4</v>
      </c>
      <c r="H1165" s="5">
        <v>0</v>
      </c>
      <c r="I1165" s="5">
        <v>0</v>
      </c>
      <c r="J1165" s="5">
        <v>0</v>
      </c>
      <c r="K1165" s="5">
        <v>0</v>
      </c>
      <c r="L1165" s="5">
        <v>0</v>
      </c>
      <c r="M1165" s="5">
        <v>0</v>
      </c>
      <c r="N1165" s="5">
        <v>490</v>
      </c>
      <c r="O1165" s="5" t="str">
        <f t="shared" ca="1" si="18"/>
        <v>Supplier 109</v>
      </c>
      <c r="P1165" s="20" t="str">
        <f ca="1">IFERROR(VLOOKUP(O1165,EMAILS!B:C,2,FALSE),"NOT FOUND IN EMAILS")</f>
        <v>supplier@gmail.com</v>
      </c>
      <c r="Q1165" t="str">
        <f ca="1">""&amp;IFERROR(VLOOKUP(O1165,EMAILS!B:D,3,FALSE),"NOT FOUND IN EMAILS")</f>
        <v/>
      </c>
      <c r="R1165" t="str">
        <f ca="1">""&amp;IFERROR(VLOOKUP(O1165,EMAILS!B:E,4,FALSE),"NO T FOUND IN EMAILS")</f>
        <v/>
      </c>
    </row>
    <row r="1166" spans="2:18" x14ac:dyDescent="0.25">
      <c r="B1166" s="5" t="s">
        <v>1168</v>
      </c>
      <c r="C1166" s="5" t="s">
        <v>5308</v>
      </c>
      <c r="D1166" s="5">
        <v>0</v>
      </c>
      <c r="E1166" s="5">
        <v>0</v>
      </c>
      <c r="F1166" s="5">
        <v>0</v>
      </c>
      <c r="G1166" s="5">
        <v>0</v>
      </c>
      <c r="H1166" s="5">
        <v>0</v>
      </c>
      <c r="I1166" s="5">
        <v>0</v>
      </c>
      <c r="J1166" s="5">
        <v>0</v>
      </c>
      <c r="K1166" s="5">
        <v>0</v>
      </c>
      <c r="L1166" s="5">
        <v>0</v>
      </c>
      <c r="M1166" s="5">
        <v>0</v>
      </c>
      <c r="N1166" s="5">
        <v>36</v>
      </c>
      <c r="O1166" s="5" t="str">
        <f t="shared" ca="1" si="18"/>
        <v>Supplier 80</v>
      </c>
      <c r="P1166" s="20" t="str">
        <f ca="1">IFERROR(VLOOKUP(O1166,EMAILS!B:C,2,FALSE),"NOT FOUND IN EMAILS")</f>
        <v>supplier@gmail.com</v>
      </c>
      <c r="Q1166" t="str">
        <f ca="1">""&amp;IFERROR(VLOOKUP(O1166,EMAILS!B:D,3,FALSE),"NOT FOUND IN EMAILS")</f>
        <v/>
      </c>
      <c r="R1166" t="str">
        <f ca="1">""&amp;IFERROR(VLOOKUP(O1166,EMAILS!B:E,4,FALSE),"NO T FOUND IN EMAILS")</f>
        <v/>
      </c>
    </row>
    <row r="1167" spans="2:18" x14ac:dyDescent="0.25">
      <c r="B1167" s="5" t="s">
        <v>1169</v>
      </c>
      <c r="C1167" s="5" t="s">
        <v>5309</v>
      </c>
      <c r="D1167" s="5">
        <v>0</v>
      </c>
      <c r="E1167" s="5">
        <v>0</v>
      </c>
      <c r="F1167" s="5">
        <v>0</v>
      </c>
      <c r="G1167" s="5">
        <v>0</v>
      </c>
      <c r="H1167" s="5">
        <v>0</v>
      </c>
      <c r="I1167" s="5">
        <v>0</v>
      </c>
      <c r="J1167" s="5">
        <v>0</v>
      </c>
      <c r="K1167" s="5">
        <v>10</v>
      </c>
      <c r="L1167" s="5">
        <v>0</v>
      </c>
      <c r="M1167" s="5">
        <v>0</v>
      </c>
      <c r="N1167" s="5">
        <v>75</v>
      </c>
      <c r="O1167" s="5" t="str">
        <f t="shared" ca="1" si="18"/>
        <v>Supplier 199</v>
      </c>
      <c r="P1167" s="20" t="str">
        <f ca="1">IFERROR(VLOOKUP(O1167,EMAILS!B:C,2,FALSE),"NOT FOUND IN EMAILS")</f>
        <v>supplier@gmail.com</v>
      </c>
      <c r="Q1167" t="str">
        <f ca="1">""&amp;IFERROR(VLOOKUP(O1167,EMAILS!B:D,3,FALSE),"NOT FOUND IN EMAILS")</f>
        <v/>
      </c>
      <c r="R1167" t="str">
        <f ca="1">""&amp;IFERROR(VLOOKUP(O1167,EMAILS!B:E,4,FALSE),"NO T FOUND IN EMAILS")</f>
        <v/>
      </c>
    </row>
    <row r="1168" spans="2:18" x14ac:dyDescent="0.25">
      <c r="B1168" s="5" t="s">
        <v>1170</v>
      </c>
      <c r="C1168" s="5" t="s">
        <v>5310</v>
      </c>
      <c r="D1168" s="5">
        <v>0</v>
      </c>
      <c r="E1168" s="5">
        <v>0.8</v>
      </c>
      <c r="F1168" s="5">
        <v>0.8</v>
      </c>
      <c r="G1168" s="5">
        <v>0.8</v>
      </c>
      <c r="H1168" s="5">
        <v>0.8</v>
      </c>
      <c r="I1168" s="5">
        <v>0.8</v>
      </c>
      <c r="J1168" s="5">
        <v>1.2</v>
      </c>
      <c r="K1168" s="5">
        <v>0.8</v>
      </c>
      <c r="L1168" s="5">
        <v>0.8</v>
      </c>
      <c r="M1168" s="5">
        <v>0</v>
      </c>
      <c r="N1168" s="5">
        <v>8.8800000000000008</v>
      </c>
      <c r="O1168" s="5" t="str">
        <f t="shared" ca="1" si="18"/>
        <v>Supplier 173</v>
      </c>
      <c r="P1168" s="20" t="str">
        <f ca="1">IFERROR(VLOOKUP(O1168,EMAILS!B:C,2,FALSE),"NOT FOUND IN EMAILS")</f>
        <v>supplier@gmail.com</v>
      </c>
      <c r="Q1168" t="str">
        <f ca="1">""&amp;IFERROR(VLOOKUP(O1168,EMAILS!B:D,3,FALSE),"NOT FOUND IN EMAILS")</f>
        <v/>
      </c>
      <c r="R1168" t="str">
        <f ca="1">""&amp;IFERROR(VLOOKUP(O1168,EMAILS!B:E,4,FALSE),"NO T FOUND IN EMAILS")</f>
        <v/>
      </c>
    </row>
    <row r="1169" spans="2:18" x14ac:dyDescent="0.25">
      <c r="B1169" s="5" t="s">
        <v>1171</v>
      </c>
      <c r="C1169" s="5" t="s">
        <v>5311</v>
      </c>
      <c r="D1169" s="5">
        <v>2.4</v>
      </c>
      <c r="E1169" s="5">
        <v>1.26</v>
      </c>
      <c r="F1169" s="5">
        <v>2.4</v>
      </c>
      <c r="G1169" s="5">
        <v>1.62</v>
      </c>
      <c r="H1169" s="5">
        <v>3.6</v>
      </c>
      <c r="I1169" s="5">
        <v>1.26</v>
      </c>
      <c r="J1169" s="5">
        <v>0.36</v>
      </c>
      <c r="K1169" s="5">
        <v>0.9</v>
      </c>
      <c r="L1169" s="5">
        <v>0.06</v>
      </c>
      <c r="M1169" s="5">
        <v>0</v>
      </c>
      <c r="N1169" s="5">
        <v>2</v>
      </c>
      <c r="O1169" s="5" t="str">
        <f t="shared" ca="1" si="18"/>
        <v>Supplier 118</v>
      </c>
      <c r="P1169" s="20" t="str">
        <f ca="1">IFERROR(VLOOKUP(O1169,EMAILS!B:C,2,FALSE),"NOT FOUND IN EMAILS")</f>
        <v>supplier@gmail.com</v>
      </c>
      <c r="Q1169" t="str">
        <f ca="1">""&amp;IFERROR(VLOOKUP(O1169,EMAILS!B:D,3,FALSE),"NOT FOUND IN EMAILS")</f>
        <v/>
      </c>
      <c r="R1169" t="str">
        <f ca="1">""&amp;IFERROR(VLOOKUP(O1169,EMAILS!B:E,4,FALSE),"NO T FOUND IN EMAILS")</f>
        <v/>
      </c>
    </row>
    <row r="1170" spans="2:18" x14ac:dyDescent="0.25">
      <c r="B1170" s="5" t="s">
        <v>1172</v>
      </c>
      <c r="C1170" s="5" t="s">
        <v>5312</v>
      </c>
      <c r="D1170" s="5">
        <v>2E-3</v>
      </c>
      <c r="E1170" s="5">
        <v>3.0000000000000001E-3</v>
      </c>
      <c r="F1170" s="5">
        <v>3.0000000000000001E-3</v>
      </c>
      <c r="G1170" s="5">
        <v>2E-3</v>
      </c>
      <c r="H1170" s="5">
        <v>1E-3</v>
      </c>
      <c r="I1170" s="5">
        <v>0</v>
      </c>
      <c r="J1170" s="5">
        <v>1E-3</v>
      </c>
      <c r="K1170" s="5">
        <v>2E-3</v>
      </c>
      <c r="L1170" s="5">
        <v>1E-3</v>
      </c>
      <c r="M1170" s="5">
        <v>0</v>
      </c>
      <c r="N1170" s="5">
        <v>5.92</v>
      </c>
      <c r="O1170" s="5" t="str">
        <f t="shared" ca="1" si="18"/>
        <v>Supplier 115</v>
      </c>
      <c r="P1170" s="20" t="str">
        <f ca="1">IFERROR(VLOOKUP(O1170,EMAILS!B:C,2,FALSE),"NOT FOUND IN EMAILS")</f>
        <v>supplier@gmail.com</v>
      </c>
      <c r="Q1170" t="str">
        <f ca="1">""&amp;IFERROR(VLOOKUP(O1170,EMAILS!B:D,3,FALSE),"NOT FOUND IN EMAILS")</f>
        <v/>
      </c>
      <c r="R1170" t="str">
        <f ca="1">""&amp;IFERROR(VLOOKUP(O1170,EMAILS!B:E,4,FALSE),"NO T FOUND IN EMAILS")</f>
        <v/>
      </c>
    </row>
    <row r="1171" spans="2:18" x14ac:dyDescent="0.25">
      <c r="B1171" s="5" t="s">
        <v>1173</v>
      </c>
      <c r="C1171" s="5" t="s">
        <v>5313</v>
      </c>
      <c r="D1171" s="5">
        <v>1.67</v>
      </c>
      <c r="E1171" s="5">
        <v>1.56</v>
      </c>
      <c r="F1171" s="5">
        <v>1.73</v>
      </c>
      <c r="G1171" s="5">
        <v>1.36</v>
      </c>
      <c r="H1171" s="5">
        <v>1.67</v>
      </c>
      <c r="I1171" s="5">
        <v>1.47</v>
      </c>
      <c r="J1171" s="5">
        <v>1.36</v>
      </c>
      <c r="K1171" s="5">
        <v>1.34</v>
      </c>
      <c r="L1171" s="5">
        <v>1.1000000000000001</v>
      </c>
      <c r="M1171" s="5">
        <v>0</v>
      </c>
      <c r="N1171" s="5">
        <v>325</v>
      </c>
      <c r="O1171" s="5" t="str">
        <f t="shared" ca="1" si="18"/>
        <v>Supplier 71</v>
      </c>
      <c r="P1171" s="20" t="str">
        <f ca="1">IFERROR(VLOOKUP(O1171,EMAILS!B:C,2,FALSE),"NOT FOUND IN EMAILS")</f>
        <v>supplier@gmail.com</v>
      </c>
      <c r="Q1171" t="str">
        <f ca="1">""&amp;IFERROR(VLOOKUP(O1171,EMAILS!B:D,3,FALSE),"NOT FOUND IN EMAILS")</f>
        <v/>
      </c>
      <c r="R1171" t="str">
        <f ca="1">""&amp;IFERROR(VLOOKUP(O1171,EMAILS!B:E,4,FALSE),"NO T FOUND IN EMAILS")</f>
        <v/>
      </c>
    </row>
    <row r="1172" spans="2:18" x14ac:dyDescent="0.25">
      <c r="B1172" s="5" t="s">
        <v>1174</v>
      </c>
      <c r="C1172" s="5" t="s">
        <v>5314</v>
      </c>
      <c r="D1172" s="5">
        <v>64</v>
      </c>
      <c r="E1172" s="5">
        <v>64</v>
      </c>
      <c r="F1172" s="5">
        <v>96</v>
      </c>
      <c r="G1172" s="5">
        <v>69</v>
      </c>
      <c r="H1172" s="5">
        <v>64</v>
      </c>
      <c r="I1172" s="5">
        <v>64</v>
      </c>
      <c r="J1172" s="5">
        <v>169</v>
      </c>
      <c r="K1172" s="5">
        <v>32</v>
      </c>
      <c r="L1172" s="5">
        <v>64</v>
      </c>
      <c r="M1172" s="5">
        <v>0</v>
      </c>
      <c r="N1172" s="5">
        <v>450</v>
      </c>
      <c r="O1172" s="5" t="str">
        <f t="shared" ca="1" si="18"/>
        <v>Supplier 2</v>
      </c>
      <c r="P1172" s="20" t="str">
        <f ca="1">IFERROR(VLOOKUP(O1172,EMAILS!B:C,2,FALSE),"NOT FOUND IN EMAILS")</f>
        <v>supplier@gmail.com</v>
      </c>
      <c r="Q1172" t="str">
        <f ca="1">""&amp;IFERROR(VLOOKUP(O1172,EMAILS!B:D,3,FALSE),"NOT FOUND IN EMAILS")</f>
        <v>supplier_logistics@gmail.com</v>
      </c>
      <c r="R1172" t="str">
        <f ca="1">""&amp;IFERROR(VLOOKUP(O1172,EMAILS!B:E,4,FALSE),"NO T FOUND IN EMAILS")</f>
        <v/>
      </c>
    </row>
    <row r="1173" spans="2:18" x14ac:dyDescent="0.25">
      <c r="B1173" s="5" t="s">
        <v>1175</v>
      </c>
      <c r="C1173" s="5" t="s">
        <v>5315</v>
      </c>
      <c r="D1173" s="5">
        <v>46</v>
      </c>
      <c r="E1173" s="5">
        <v>0</v>
      </c>
      <c r="F1173" s="5">
        <v>32</v>
      </c>
      <c r="G1173" s="5">
        <v>34</v>
      </c>
      <c r="H1173" s="5">
        <v>0</v>
      </c>
      <c r="I1173" s="5">
        <v>0</v>
      </c>
      <c r="J1173" s="5">
        <v>0</v>
      </c>
      <c r="K1173" s="5">
        <v>0</v>
      </c>
      <c r="L1173" s="5">
        <v>0</v>
      </c>
      <c r="M1173" s="5">
        <v>0</v>
      </c>
      <c r="N1173" s="5">
        <v>25</v>
      </c>
      <c r="O1173" s="5" t="str">
        <f t="shared" ca="1" si="18"/>
        <v>Supplier 39</v>
      </c>
      <c r="P1173" s="20" t="str">
        <f ca="1">IFERROR(VLOOKUP(O1173,EMAILS!B:C,2,FALSE),"NOT FOUND IN EMAILS")</f>
        <v>supplier@gmail.com</v>
      </c>
      <c r="Q1173" t="str">
        <f ca="1">""&amp;IFERROR(VLOOKUP(O1173,EMAILS!B:D,3,FALSE),"NOT FOUND IN EMAILS")</f>
        <v/>
      </c>
      <c r="R1173" t="str">
        <f ca="1">""&amp;IFERROR(VLOOKUP(O1173,EMAILS!B:E,4,FALSE),"NO T FOUND IN EMAILS")</f>
        <v/>
      </c>
    </row>
    <row r="1174" spans="2:18" x14ac:dyDescent="0.25">
      <c r="B1174" s="5" t="s">
        <v>1176</v>
      </c>
      <c r="C1174" s="5" t="s">
        <v>5316</v>
      </c>
      <c r="D1174" s="5">
        <v>8</v>
      </c>
      <c r="E1174" s="5">
        <v>6</v>
      </c>
      <c r="F1174" s="5">
        <v>4</v>
      </c>
      <c r="G1174" s="5">
        <v>0</v>
      </c>
      <c r="H1174" s="5">
        <v>0</v>
      </c>
      <c r="I1174" s="5">
        <v>0</v>
      </c>
      <c r="J1174" s="5">
        <v>6</v>
      </c>
      <c r="K1174" s="5">
        <v>0</v>
      </c>
      <c r="L1174" s="5">
        <v>4</v>
      </c>
      <c r="M1174" s="5">
        <v>0</v>
      </c>
      <c r="N1174" s="5">
        <v>13</v>
      </c>
      <c r="O1174" s="5" t="str">
        <f t="shared" ca="1" si="18"/>
        <v>Supplier 9</v>
      </c>
      <c r="P1174" s="20" t="str">
        <f ca="1">IFERROR(VLOOKUP(O1174,EMAILS!B:C,2,FALSE),"NOT FOUND IN EMAILS")</f>
        <v>supplier@gmail.com</v>
      </c>
      <c r="Q1174" t="str">
        <f ca="1">""&amp;IFERROR(VLOOKUP(O1174,EMAILS!B:D,3,FALSE),"NOT FOUND IN EMAILS")</f>
        <v>supplier_logistics@gmail.com</v>
      </c>
      <c r="R1174" t="str">
        <f ca="1">""&amp;IFERROR(VLOOKUP(O1174,EMAILS!B:E,4,FALSE),"NO T FOUND IN EMAILS")</f>
        <v/>
      </c>
    </row>
    <row r="1175" spans="2:18" x14ac:dyDescent="0.25">
      <c r="B1175" s="5" t="s">
        <v>1177</v>
      </c>
      <c r="C1175" s="5" t="s">
        <v>5317</v>
      </c>
      <c r="D1175" s="5">
        <v>5</v>
      </c>
      <c r="E1175" s="5">
        <v>0</v>
      </c>
      <c r="F1175" s="5">
        <v>3</v>
      </c>
      <c r="G1175" s="5">
        <v>5</v>
      </c>
      <c r="H1175" s="5">
        <v>0</v>
      </c>
      <c r="I1175" s="5">
        <v>0</v>
      </c>
      <c r="J1175" s="5">
        <v>0</v>
      </c>
      <c r="K1175" s="5">
        <v>0</v>
      </c>
      <c r="L1175" s="5">
        <v>0</v>
      </c>
      <c r="M1175" s="5">
        <v>0</v>
      </c>
      <c r="N1175" s="5">
        <v>8</v>
      </c>
      <c r="O1175" s="5" t="str">
        <f t="shared" ca="1" si="18"/>
        <v>Supplier 123</v>
      </c>
      <c r="P1175" s="20" t="str">
        <f ca="1">IFERROR(VLOOKUP(O1175,EMAILS!B:C,2,FALSE),"NOT FOUND IN EMAILS")</f>
        <v>supplier@gmail.com</v>
      </c>
      <c r="Q1175" t="str">
        <f ca="1">""&amp;IFERROR(VLOOKUP(O1175,EMAILS!B:D,3,FALSE),"NOT FOUND IN EMAILS")</f>
        <v/>
      </c>
      <c r="R1175" t="str">
        <f ca="1">""&amp;IFERROR(VLOOKUP(O1175,EMAILS!B:E,4,FALSE),"NO T FOUND IN EMAILS")</f>
        <v/>
      </c>
    </row>
    <row r="1176" spans="2:18" x14ac:dyDescent="0.25">
      <c r="B1176" s="5" t="s">
        <v>1178</v>
      </c>
      <c r="C1176" s="5" t="s">
        <v>5318</v>
      </c>
      <c r="D1176" s="5">
        <v>2</v>
      </c>
      <c r="E1176" s="5">
        <v>0</v>
      </c>
      <c r="F1176" s="5">
        <v>0</v>
      </c>
      <c r="G1176" s="5">
        <v>2</v>
      </c>
      <c r="H1176" s="5">
        <v>0</v>
      </c>
      <c r="I1176" s="5">
        <v>0</v>
      </c>
      <c r="J1176" s="5">
        <v>0</v>
      </c>
      <c r="K1176" s="5">
        <v>0</v>
      </c>
      <c r="L1176" s="5">
        <v>0</v>
      </c>
      <c r="M1176" s="5">
        <v>0</v>
      </c>
      <c r="N1176" s="5">
        <v>155</v>
      </c>
      <c r="O1176" s="5" t="str">
        <f t="shared" ca="1" si="18"/>
        <v>Supplier 107</v>
      </c>
      <c r="P1176" s="20" t="str">
        <f ca="1">IFERROR(VLOOKUP(O1176,EMAILS!B:C,2,FALSE),"NOT FOUND IN EMAILS")</f>
        <v>supplier@gmail.com</v>
      </c>
      <c r="Q1176" t="str">
        <f ca="1">""&amp;IFERROR(VLOOKUP(O1176,EMAILS!B:D,3,FALSE),"NOT FOUND IN EMAILS")</f>
        <v/>
      </c>
      <c r="R1176" t="str">
        <f ca="1">""&amp;IFERROR(VLOOKUP(O1176,EMAILS!B:E,4,FALSE),"NO T FOUND IN EMAILS")</f>
        <v/>
      </c>
    </row>
    <row r="1177" spans="2:18" x14ac:dyDescent="0.25">
      <c r="B1177" s="5" t="s">
        <v>1179</v>
      </c>
      <c r="C1177" s="5" t="s">
        <v>5319</v>
      </c>
      <c r="D1177" s="5">
        <v>62</v>
      </c>
      <c r="E1177" s="5">
        <v>0</v>
      </c>
      <c r="F1177" s="5">
        <v>42</v>
      </c>
      <c r="G1177" s="5">
        <v>45</v>
      </c>
      <c r="H1177" s="5">
        <v>0</v>
      </c>
      <c r="I1177" s="5">
        <v>0</v>
      </c>
      <c r="J1177" s="5">
        <v>0</v>
      </c>
      <c r="K1177" s="5">
        <v>0</v>
      </c>
      <c r="L1177" s="5">
        <v>0</v>
      </c>
      <c r="M1177" s="5">
        <v>0</v>
      </c>
      <c r="N1177" s="5">
        <v>4</v>
      </c>
      <c r="O1177" s="5" t="str">
        <f t="shared" ca="1" si="18"/>
        <v>Supplier 62</v>
      </c>
      <c r="P1177" s="20" t="str">
        <f ca="1">IFERROR(VLOOKUP(O1177,EMAILS!B:C,2,FALSE),"NOT FOUND IN EMAILS")</f>
        <v>supplier@gmail.com</v>
      </c>
      <c r="Q1177" t="str">
        <f ca="1">""&amp;IFERROR(VLOOKUP(O1177,EMAILS!B:D,3,FALSE),"NOT FOUND IN EMAILS")</f>
        <v/>
      </c>
      <c r="R1177" t="str">
        <f ca="1">""&amp;IFERROR(VLOOKUP(O1177,EMAILS!B:E,4,FALSE),"NO T FOUND IN EMAILS")</f>
        <v/>
      </c>
    </row>
    <row r="1178" spans="2:18" x14ac:dyDescent="0.25">
      <c r="B1178" s="5" t="s">
        <v>1180</v>
      </c>
      <c r="C1178" s="5" t="s">
        <v>5320</v>
      </c>
      <c r="D1178" s="5">
        <v>6</v>
      </c>
      <c r="E1178" s="5">
        <v>0</v>
      </c>
      <c r="F1178" s="5">
        <v>4</v>
      </c>
      <c r="G1178" s="5">
        <v>4</v>
      </c>
      <c r="H1178" s="5">
        <v>0</v>
      </c>
      <c r="I1178" s="5">
        <v>0</v>
      </c>
      <c r="J1178" s="5">
        <v>0</v>
      </c>
      <c r="K1178" s="5">
        <v>0</v>
      </c>
      <c r="L1178" s="5">
        <v>0</v>
      </c>
      <c r="M1178" s="5">
        <v>0</v>
      </c>
      <c r="N1178" s="5">
        <v>1</v>
      </c>
      <c r="O1178" s="5" t="str">
        <f t="shared" ca="1" si="18"/>
        <v>Supplier 13</v>
      </c>
      <c r="P1178" s="20" t="str">
        <f ca="1">IFERROR(VLOOKUP(O1178,EMAILS!B:C,2,FALSE),"NOT FOUND IN EMAILS")</f>
        <v>supplier@gmail.com</v>
      </c>
      <c r="Q1178" t="str">
        <f ca="1">""&amp;IFERROR(VLOOKUP(O1178,EMAILS!B:D,3,FALSE),"NOT FOUND IN EMAILS")</f>
        <v>supplier_logistics@gmail.com</v>
      </c>
      <c r="R1178" t="str">
        <f ca="1">""&amp;IFERROR(VLOOKUP(O1178,EMAILS!B:E,4,FALSE),"NO T FOUND IN EMAILS")</f>
        <v/>
      </c>
    </row>
    <row r="1179" spans="2:18" x14ac:dyDescent="0.25">
      <c r="B1179" s="5" t="s">
        <v>1181</v>
      </c>
      <c r="C1179" s="5" t="s">
        <v>5321</v>
      </c>
      <c r="D1179" s="5">
        <v>1</v>
      </c>
      <c r="E1179" s="5">
        <v>0</v>
      </c>
      <c r="F1179" s="5">
        <v>0</v>
      </c>
      <c r="G1179" s="5">
        <v>1</v>
      </c>
      <c r="H1179" s="5">
        <v>0</v>
      </c>
      <c r="I1179" s="5">
        <v>0</v>
      </c>
      <c r="J1179" s="5">
        <v>0</v>
      </c>
      <c r="K1179" s="5">
        <v>0</v>
      </c>
      <c r="L1179" s="5">
        <v>0</v>
      </c>
      <c r="M1179" s="5">
        <v>0</v>
      </c>
      <c r="N1179" s="5">
        <v>72</v>
      </c>
      <c r="O1179" s="5" t="str">
        <f t="shared" ca="1" si="18"/>
        <v>Supplier 111</v>
      </c>
      <c r="P1179" s="20" t="str">
        <f ca="1">IFERROR(VLOOKUP(O1179,EMAILS!B:C,2,FALSE),"NOT FOUND IN EMAILS")</f>
        <v>supplier@gmail.com</v>
      </c>
      <c r="Q1179" t="str">
        <f ca="1">""&amp;IFERROR(VLOOKUP(O1179,EMAILS!B:D,3,FALSE),"NOT FOUND IN EMAILS")</f>
        <v/>
      </c>
      <c r="R1179" t="str">
        <f ca="1">""&amp;IFERROR(VLOOKUP(O1179,EMAILS!B:E,4,FALSE),"NO T FOUND IN EMAILS")</f>
        <v/>
      </c>
    </row>
    <row r="1180" spans="2:18" x14ac:dyDescent="0.25">
      <c r="B1180" s="5" t="s">
        <v>1182</v>
      </c>
      <c r="C1180" s="5" t="s">
        <v>5322</v>
      </c>
      <c r="D1180" s="5">
        <v>28</v>
      </c>
      <c r="E1180" s="5">
        <v>0</v>
      </c>
      <c r="F1180" s="5">
        <v>20</v>
      </c>
      <c r="G1180" s="5">
        <v>20</v>
      </c>
      <c r="H1180" s="5">
        <v>0</v>
      </c>
      <c r="I1180" s="5">
        <v>0</v>
      </c>
      <c r="J1180" s="5">
        <v>0</v>
      </c>
      <c r="K1180" s="5">
        <v>0</v>
      </c>
      <c r="L1180" s="5">
        <v>0</v>
      </c>
      <c r="M1180" s="5">
        <v>0</v>
      </c>
      <c r="N1180" s="5">
        <v>1</v>
      </c>
      <c r="O1180" s="5" t="str">
        <f t="shared" ca="1" si="18"/>
        <v>Supplier 174</v>
      </c>
      <c r="P1180" s="20" t="str">
        <f ca="1">IFERROR(VLOOKUP(O1180,EMAILS!B:C,2,FALSE),"NOT FOUND IN EMAILS")</f>
        <v>supplier@gmail.com</v>
      </c>
      <c r="Q1180" t="str">
        <f ca="1">""&amp;IFERROR(VLOOKUP(O1180,EMAILS!B:D,3,FALSE),"NOT FOUND IN EMAILS")</f>
        <v/>
      </c>
      <c r="R1180" t="str">
        <f ca="1">""&amp;IFERROR(VLOOKUP(O1180,EMAILS!B:E,4,FALSE),"NO T FOUND IN EMAILS")</f>
        <v/>
      </c>
    </row>
    <row r="1181" spans="2:18" x14ac:dyDescent="0.25">
      <c r="B1181" s="5" t="s">
        <v>1183</v>
      </c>
      <c r="C1181" s="5" t="s">
        <v>5323</v>
      </c>
      <c r="D1181" s="5">
        <v>1</v>
      </c>
      <c r="E1181" s="5">
        <v>0</v>
      </c>
      <c r="F1181" s="5">
        <v>0</v>
      </c>
      <c r="G1181" s="5">
        <v>1</v>
      </c>
      <c r="H1181" s="5">
        <v>0</v>
      </c>
      <c r="I1181" s="5">
        <v>0</v>
      </c>
      <c r="J1181" s="5">
        <v>0</v>
      </c>
      <c r="K1181" s="5">
        <v>0</v>
      </c>
      <c r="L1181" s="5">
        <v>0</v>
      </c>
      <c r="M1181" s="5">
        <v>0</v>
      </c>
      <c r="N1181" s="5">
        <v>0</v>
      </c>
      <c r="O1181" s="5" t="str">
        <f t="shared" ca="1" si="18"/>
        <v>Supplier 69</v>
      </c>
      <c r="P1181" s="20" t="str">
        <f ca="1">IFERROR(VLOOKUP(O1181,EMAILS!B:C,2,FALSE),"NOT FOUND IN EMAILS")</f>
        <v>supplier@gmail.com</v>
      </c>
      <c r="Q1181" t="str">
        <f ca="1">""&amp;IFERROR(VLOOKUP(O1181,EMAILS!B:D,3,FALSE),"NOT FOUND IN EMAILS")</f>
        <v/>
      </c>
      <c r="R1181" t="str">
        <f ca="1">""&amp;IFERROR(VLOOKUP(O1181,EMAILS!B:E,4,FALSE),"NO T FOUND IN EMAILS")</f>
        <v/>
      </c>
    </row>
    <row r="1182" spans="2:18" x14ac:dyDescent="0.25">
      <c r="B1182" s="5" t="s">
        <v>1184</v>
      </c>
      <c r="C1182" s="5" t="s">
        <v>5324</v>
      </c>
      <c r="D1182" s="5">
        <v>0</v>
      </c>
      <c r="E1182" s="5">
        <v>0</v>
      </c>
      <c r="F1182" s="5">
        <v>1</v>
      </c>
      <c r="G1182" s="5">
        <v>0</v>
      </c>
      <c r="H1182" s="5">
        <v>0</v>
      </c>
      <c r="I1182" s="5">
        <v>0</v>
      </c>
      <c r="J1182" s="5">
        <v>0</v>
      </c>
      <c r="K1182" s="5">
        <v>0</v>
      </c>
      <c r="L1182" s="5">
        <v>0</v>
      </c>
      <c r="M1182" s="5">
        <v>0</v>
      </c>
      <c r="N1182" s="5">
        <v>1</v>
      </c>
      <c r="O1182" s="5" t="str">
        <f t="shared" ca="1" si="18"/>
        <v>Supplier 129</v>
      </c>
      <c r="P1182" s="20" t="str">
        <f ca="1">IFERROR(VLOOKUP(O1182,EMAILS!B:C,2,FALSE),"NOT FOUND IN EMAILS")</f>
        <v>supplier@gmail.com</v>
      </c>
      <c r="Q1182" t="str">
        <f ca="1">""&amp;IFERROR(VLOOKUP(O1182,EMAILS!B:D,3,FALSE),"NOT FOUND IN EMAILS")</f>
        <v/>
      </c>
      <c r="R1182" t="str">
        <f ca="1">""&amp;IFERROR(VLOOKUP(O1182,EMAILS!B:E,4,FALSE),"NO T FOUND IN EMAILS")</f>
        <v/>
      </c>
    </row>
    <row r="1183" spans="2:18" x14ac:dyDescent="0.25">
      <c r="B1183" s="5" t="s">
        <v>1185</v>
      </c>
      <c r="C1183" s="5" t="s">
        <v>5325</v>
      </c>
      <c r="D1183" s="5">
        <v>1</v>
      </c>
      <c r="E1183" s="5">
        <v>0</v>
      </c>
      <c r="F1183" s="5">
        <v>0</v>
      </c>
      <c r="G1183" s="5">
        <v>1</v>
      </c>
      <c r="H1183" s="5">
        <v>0</v>
      </c>
      <c r="I1183" s="5">
        <v>0</v>
      </c>
      <c r="J1183" s="5">
        <v>0</v>
      </c>
      <c r="K1183" s="5">
        <v>0</v>
      </c>
      <c r="L1183" s="5">
        <v>0</v>
      </c>
      <c r="M1183" s="5">
        <v>0</v>
      </c>
      <c r="N1183" s="5">
        <v>5</v>
      </c>
      <c r="O1183" s="5" t="str">
        <f t="shared" ca="1" si="18"/>
        <v>Supplier 51</v>
      </c>
      <c r="P1183" s="20" t="str">
        <f ca="1">IFERROR(VLOOKUP(O1183,EMAILS!B:C,2,FALSE),"NOT FOUND IN EMAILS")</f>
        <v>supplier@gmail.com</v>
      </c>
      <c r="Q1183" t="str">
        <f ca="1">""&amp;IFERROR(VLOOKUP(O1183,EMAILS!B:D,3,FALSE),"NOT FOUND IN EMAILS")</f>
        <v/>
      </c>
      <c r="R1183" t="str">
        <f ca="1">""&amp;IFERROR(VLOOKUP(O1183,EMAILS!B:E,4,FALSE),"NO T FOUND IN EMAILS")</f>
        <v/>
      </c>
    </row>
    <row r="1184" spans="2:18" x14ac:dyDescent="0.25">
      <c r="B1184" s="5" t="s">
        <v>1186</v>
      </c>
      <c r="C1184" s="5" t="s">
        <v>5326</v>
      </c>
      <c r="D1184" s="5">
        <v>1</v>
      </c>
      <c r="E1184" s="5">
        <v>0</v>
      </c>
      <c r="F1184" s="5">
        <v>0</v>
      </c>
      <c r="G1184" s="5">
        <v>1</v>
      </c>
      <c r="H1184" s="5">
        <v>0</v>
      </c>
      <c r="I1184" s="5">
        <v>0</v>
      </c>
      <c r="J1184" s="5">
        <v>0</v>
      </c>
      <c r="K1184" s="5">
        <v>0</v>
      </c>
      <c r="L1184" s="5">
        <v>0</v>
      </c>
      <c r="M1184" s="5">
        <v>0</v>
      </c>
      <c r="N1184" s="5">
        <v>20</v>
      </c>
      <c r="O1184" s="5" t="str">
        <f t="shared" ca="1" si="18"/>
        <v>Supplier 169</v>
      </c>
      <c r="P1184" s="20" t="str">
        <f ca="1">IFERROR(VLOOKUP(O1184,EMAILS!B:C,2,FALSE),"NOT FOUND IN EMAILS")</f>
        <v>supplier@gmail.com</v>
      </c>
      <c r="Q1184" t="str">
        <f ca="1">""&amp;IFERROR(VLOOKUP(O1184,EMAILS!B:D,3,FALSE),"NOT FOUND IN EMAILS")</f>
        <v/>
      </c>
      <c r="R1184" t="str">
        <f ca="1">""&amp;IFERROR(VLOOKUP(O1184,EMAILS!B:E,4,FALSE),"NO T FOUND IN EMAILS")</f>
        <v/>
      </c>
    </row>
    <row r="1185" spans="2:18" x14ac:dyDescent="0.25">
      <c r="B1185" s="5" t="s">
        <v>1187</v>
      </c>
      <c r="C1185" s="5" t="s">
        <v>5327</v>
      </c>
      <c r="D1185" s="5">
        <v>4</v>
      </c>
      <c r="E1185" s="5">
        <v>0</v>
      </c>
      <c r="F1185" s="5">
        <v>4</v>
      </c>
      <c r="G1185" s="5">
        <v>4</v>
      </c>
      <c r="H1185" s="5">
        <v>0</v>
      </c>
      <c r="I1185" s="5">
        <v>0</v>
      </c>
      <c r="J1185" s="5">
        <v>0</v>
      </c>
      <c r="K1185" s="5">
        <v>0</v>
      </c>
      <c r="L1185" s="5">
        <v>0</v>
      </c>
      <c r="M1185" s="5">
        <v>0</v>
      </c>
      <c r="N1185" s="5">
        <v>18</v>
      </c>
      <c r="O1185" s="5" t="str">
        <f t="shared" ca="1" si="18"/>
        <v>Supplier 78</v>
      </c>
      <c r="P1185" s="20" t="str">
        <f ca="1">IFERROR(VLOOKUP(O1185,EMAILS!B:C,2,FALSE),"NOT FOUND IN EMAILS")</f>
        <v>supplier@gmail.com</v>
      </c>
      <c r="Q1185" t="str">
        <f ca="1">""&amp;IFERROR(VLOOKUP(O1185,EMAILS!B:D,3,FALSE),"NOT FOUND IN EMAILS")</f>
        <v/>
      </c>
      <c r="R1185" t="str">
        <f ca="1">""&amp;IFERROR(VLOOKUP(O1185,EMAILS!B:E,4,FALSE),"NO T FOUND IN EMAILS")</f>
        <v/>
      </c>
    </row>
    <row r="1186" spans="2:18" x14ac:dyDescent="0.25">
      <c r="B1186" s="5" t="s">
        <v>1188</v>
      </c>
      <c r="C1186" s="5" t="s">
        <v>5328</v>
      </c>
      <c r="D1186" s="5">
        <v>4</v>
      </c>
      <c r="E1186" s="5">
        <v>0</v>
      </c>
      <c r="F1186" s="5">
        <v>4</v>
      </c>
      <c r="G1186" s="5">
        <v>4</v>
      </c>
      <c r="H1186" s="5">
        <v>0</v>
      </c>
      <c r="I1186" s="5">
        <v>0</v>
      </c>
      <c r="J1186" s="5">
        <v>0</v>
      </c>
      <c r="K1186" s="5">
        <v>0</v>
      </c>
      <c r="L1186" s="5">
        <v>0</v>
      </c>
      <c r="M1186" s="5">
        <v>0</v>
      </c>
      <c r="N1186" s="5">
        <v>0</v>
      </c>
      <c r="O1186" s="5" t="str">
        <f t="shared" ca="1" si="18"/>
        <v>Supplier 60</v>
      </c>
      <c r="P1186" s="20" t="str">
        <f ca="1">IFERROR(VLOOKUP(O1186,EMAILS!B:C,2,FALSE),"NOT FOUND IN EMAILS")</f>
        <v>supplier@gmail.com</v>
      </c>
      <c r="Q1186" t="str">
        <f ca="1">""&amp;IFERROR(VLOOKUP(O1186,EMAILS!B:D,3,FALSE),"NOT FOUND IN EMAILS")</f>
        <v/>
      </c>
      <c r="R1186" t="str">
        <f ca="1">""&amp;IFERROR(VLOOKUP(O1186,EMAILS!B:E,4,FALSE),"NO T FOUND IN EMAILS")</f>
        <v/>
      </c>
    </row>
    <row r="1187" spans="2:18" x14ac:dyDescent="0.25">
      <c r="B1187" s="5" t="s">
        <v>1189</v>
      </c>
      <c r="C1187" s="5" t="s">
        <v>5329</v>
      </c>
      <c r="D1187" s="5">
        <v>6</v>
      </c>
      <c r="E1187" s="5">
        <v>0</v>
      </c>
      <c r="F1187" s="5">
        <v>4</v>
      </c>
      <c r="G1187" s="5">
        <v>4</v>
      </c>
      <c r="H1187" s="5">
        <v>0</v>
      </c>
      <c r="I1187" s="5">
        <v>0</v>
      </c>
      <c r="J1187" s="5">
        <v>0</v>
      </c>
      <c r="K1187" s="5">
        <v>0</v>
      </c>
      <c r="L1187" s="5">
        <v>0</v>
      </c>
      <c r="M1187" s="5">
        <v>0</v>
      </c>
      <c r="N1187" s="5">
        <v>7</v>
      </c>
      <c r="O1187" s="5" t="str">
        <f t="shared" ca="1" si="18"/>
        <v>Supplier 102</v>
      </c>
      <c r="P1187" s="20" t="str">
        <f ca="1">IFERROR(VLOOKUP(O1187,EMAILS!B:C,2,FALSE),"NOT FOUND IN EMAILS")</f>
        <v>supplier@gmail.com</v>
      </c>
      <c r="Q1187" t="str">
        <f ca="1">""&amp;IFERROR(VLOOKUP(O1187,EMAILS!B:D,3,FALSE),"NOT FOUND IN EMAILS")</f>
        <v/>
      </c>
      <c r="R1187" t="str">
        <f ca="1">""&amp;IFERROR(VLOOKUP(O1187,EMAILS!B:E,4,FALSE),"NO T FOUND IN EMAILS")</f>
        <v/>
      </c>
    </row>
    <row r="1188" spans="2:18" x14ac:dyDescent="0.25">
      <c r="B1188" s="5" t="s">
        <v>1190</v>
      </c>
      <c r="C1188" s="5" t="s">
        <v>5330</v>
      </c>
      <c r="D1188" s="5">
        <v>2</v>
      </c>
      <c r="E1188" s="5">
        <v>0</v>
      </c>
      <c r="F1188" s="5">
        <v>2</v>
      </c>
      <c r="G1188" s="5">
        <v>2</v>
      </c>
      <c r="H1188" s="5">
        <v>0</v>
      </c>
      <c r="I1188" s="5">
        <v>0</v>
      </c>
      <c r="J1188" s="5">
        <v>0</v>
      </c>
      <c r="K1188" s="5">
        <v>0</v>
      </c>
      <c r="L1188" s="5">
        <v>0</v>
      </c>
      <c r="M1188" s="5">
        <v>0</v>
      </c>
      <c r="N1188" s="5">
        <v>2</v>
      </c>
      <c r="O1188" s="5" t="str">
        <f t="shared" ca="1" si="18"/>
        <v>Supplier 104</v>
      </c>
      <c r="P1188" s="20" t="str">
        <f ca="1">IFERROR(VLOOKUP(O1188,EMAILS!B:C,2,FALSE),"NOT FOUND IN EMAILS")</f>
        <v>supplier@gmail.com</v>
      </c>
      <c r="Q1188" t="str">
        <f ca="1">""&amp;IFERROR(VLOOKUP(O1188,EMAILS!B:D,3,FALSE),"NOT FOUND IN EMAILS")</f>
        <v/>
      </c>
      <c r="R1188" t="str">
        <f ca="1">""&amp;IFERROR(VLOOKUP(O1188,EMAILS!B:E,4,FALSE),"NO T FOUND IN EMAILS")</f>
        <v/>
      </c>
    </row>
    <row r="1189" spans="2:18" x14ac:dyDescent="0.25">
      <c r="B1189" s="5" t="s">
        <v>1191</v>
      </c>
      <c r="C1189" s="5" t="s">
        <v>5331</v>
      </c>
      <c r="D1189" s="5">
        <v>1</v>
      </c>
      <c r="E1189" s="5">
        <v>0</v>
      </c>
      <c r="F1189" s="5">
        <v>0</v>
      </c>
      <c r="G1189" s="5">
        <v>1</v>
      </c>
      <c r="H1189" s="5">
        <v>0</v>
      </c>
      <c r="I1189" s="5">
        <v>0</v>
      </c>
      <c r="J1189" s="5">
        <v>0</v>
      </c>
      <c r="K1189" s="5">
        <v>0</v>
      </c>
      <c r="L1189" s="5">
        <v>0</v>
      </c>
      <c r="M1189" s="5">
        <v>0</v>
      </c>
      <c r="N1189" s="5">
        <v>16</v>
      </c>
      <c r="O1189" s="5" t="str">
        <f t="shared" ca="1" si="18"/>
        <v>Supplier 47</v>
      </c>
      <c r="P1189" s="20" t="str">
        <f ca="1">IFERROR(VLOOKUP(O1189,EMAILS!B:C,2,FALSE),"NOT FOUND IN EMAILS")</f>
        <v>supplier@gmail.com</v>
      </c>
      <c r="Q1189" t="str">
        <f ca="1">""&amp;IFERROR(VLOOKUP(O1189,EMAILS!B:D,3,FALSE),"NOT FOUND IN EMAILS")</f>
        <v/>
      </c>
      <c r="R1189" t="str">
        <f ca="1">""&amp;IFERROR(VLOOKUP(O1189,EMAILS!B:E,4,FALSE),"NO T FOUND IN EMAILS")</f>
        <v/>
      </c>
    </row>
    <row r="1190" spans="2:18" x14ac:dyDescent="0.25">
      <c r="B1190" s="5" t="s">
        <v>1192</v>
      </c>
      <c r="C1190" s="5" t="s">
        <v>5332</v>
      </c>
      <c r="D1190" s="5">
        <v>4</v>
      </c>
      <c r="E1190" s="5">
        <v>0</v>
      </c>
      <c r="F1190" s="5">
        <v>4</v>
      </c>
      <c r="G1190" s="5">
        <v>4</v>
      </c>
      <c r="H1190" s="5">
        <v>0</v>
      </c>
      <c r="I1190" s="5">
        <v>0</v>
      </c>
      <c r="J1190" s="5">
        <v>0</v>
      </c>
      <c r="K1190" s="5">
        <v>0</v>
      </c>
      <c r="L1190" s="5">
        <v>0</v>
      </c>
      <c r="M1190" s="5">
        <v>0</v>
      </c>
      <c r="N1190" s="5">
        <v>16</v>
      </c>
      <c r="O1190" s="5" t="str">
        <f t="shared" ca="1" si="18"/>
        <v>Supplier 104</v>
      </c>
      <c r="P1190" s="20" t="str">
        <f ca="1">IFERROR(VLOOKUP(O1190,EMAILS!B:C,2,FALSE),"NOT FOUND IN EMAILS")</f>
        <v>supplier@gmail.com</v>
      </c>
      <c r="Q1190" t="str">
        <f ca="1">""&amp;IFERROR(VLOOKUP(O1190,EMAILS!B:D,3,FALSE),"NOT FOUND IN EMAILS")</f>
        <v/>
      </c>
      <c r="R1190" t="str">
        <f ca="1">""&amp;IFERROR(VLOOKUP(O1190,EMAILS!B:E,4,FALSE),"NO T FOUND IN EMAILS")</f>
        <v/>
      </c>
    </row>
    <row r="1191" spans="2:18" x14ac:dyDescent="0.25">
      <c r="B1191" s="5" t="s">
        <v>1193</v>
      </c>
      <c r="C1191" s="5" t="s">
        <v>5333</v>
      </c>
      <c r="D1191" s="5">
        <v>4</v>
      </c>
      <c r="E1191" s="5">
        <v>0</v>
      </c>
      <c r="F1191" s="5">
        <v>4</v>
      </c>
      <c r="G1191" s="5">
        <v>4</v>
      </c>
      <c r="H1191" s="5">
        <v>0</v>
      </c>
      <c r="I1191" s="5">
        <v>0</v>
      </c>
      <c r="J1191" s="5">
        <v>0</v>
      </c>
      <c r="K1191" s="5">
        <v>0</v>
      </c>
      <c r="L1191" s="5">
        <v>0</v>
      </c>
      <c r="M1191" s="5">
        <v>0</v>
      </c>
      <c r="N1191" s="5">
        <v>24</v>
      </c>
      <c r="O1191" s="5" t="str">
        <f t="shared" ca="1" si="18"/>
        <v>Supplier 162</v>
      </c>
      <c r="P1191" s="20" t="str">
        <f ca="1">IFERROR(VLOOKUP(O1191,EMAILS!B:C,2,FALSE),"NOT FOUND IN EMAILS")</f>
        <v>supplier@gmail.com</v>
      </c>
      <c r="Q1191" t="str">
        <f ca="1">""&amp;IFERROR(VLOOKUP(O1191,EMAILS!B:D,3,FALSE),"NOT FOUND IN EMAILS")</f>
        <v/>
      </c>
      <c r="R1191" t="str">
        <f ca="1">""&amp;IFERROR(VLOOKUP(O1191,EMAILS!B:E,4,FALSE),"NO T FOUND IN EMAILS")</f>
        <v/>
      </c>
    </row>
    <row r="1192" spans="2:18" x14ac:dyDescent="0.25">
      <c r="B1192" s="5" t="s">
        <v>1194</v>
      </c>
      <c r="C1192" s="5" t="s">
        <v>5334</v>
      </c>
      <c r="D1192" s="5">
        <v>4</v>
      </c>
      <c r="E1192" s="5">
        <v>4</v>
      </c>
      <c r="F1192" s="5">
        <v>5</v>
      </c>
      <c r="G1192" s="5">
        <v>5</v>
      </c>
      <c r="H1192" s="5">
        <v>4</v>
      </c>
      <c r="I1192" s="5">
        <v>5</v>
      </c>
      <c r="J1192" s="5">
        <v>3</v>
      </c>
      <c r="K1192" s="5">
        <v>3</v>
      </c>
      <c r="L1192" s="5">
        <v>3</v>
      </c>
      <c r="M1192" s="5">
        <v>0</v>
      </c>
      <c r="N1192" s="5">
        <v>20</v>
      </c>
      <c r="O1192" s="5" t="str">
        <f t="shared" ca="1" si="18"/>
        <v>Supplier 114</v>
      </c>
      <c r="P1192" s="20" t="str">
        <f ca="1">IFERROR(VLOOKUP(O1192,EMAILS!B:C,2,FALSE),"NOT FOUND IN EMAILS")</f>
        <v>supplier@gmail.com</v>
      </c>
      <c r="Q1192" t="str">
        <f ca="1">""&amp;IFERROR(VLOOKUP(O1192,EMAILS!B:D,3,FALSE),"NOT FOUND IN EMAILS")</f>
        <v/>
      </c>
      <c r="R1192" t="str">
        <f ca="1">""&amp;IFERROR(VLOOKUP(O1192,EMAILS!B:E,4,FALSE),"NO T FOUND IN EMAILS")</f>
        <v/>
      </c>
    </row>
    <row r="1193" spans="2:18" x14ac:dyDescent="0.25">
      <c r="B1193" s="5" t="s">
        <v>1195</v>
      </c>
      <c r="C1193" s="5" t="s">
        <v>5335</v>
      </c>
      <c r="D1193" s="5">
        <v>4</v>
      </c>
      <c r="E1193" s="5">
        <v>4</v>
      </c>
      <c r="F1193" s="5">
        <v>5</v>
      </c>
      <c r="G1193" s="5">
        <v>5</v>
      </c>
      <c r="H1193" s="5">
        <v>4</v>
      </c>
      <c r="I1193" s="5">
        <v>5</v>
      </c>
      <c r="J1193" s="5">
        <v>3</v>
      </c>
      <c r="K1193" s="5">
        <v>3</v>
      </c>
      <c r="L1193" s="5">
        <v>3</v>
      </c>
      <c r="M1193" s="5">
        <v>0</v>
      </c>
      <c r="N1193" s="5">
        <v>21</v>
      </c>
      <c r="O1193" s="5" t="str">
        <f t="shared" ca="1" si="18"/>
        <v>Supplier 57</v>
      </c>
      <c r="P1193" s="20" t="str">
        <f ca="1">IFERROR(VLOOKUP(O1193,EMAILS!B:C,2,FALSE),"NOT FOUND IN EMAILS")</f>
        <v>supplier@gmail.com</v>
      </c>
      <c r="Q1193" t="str">
        <f ca="1">""&amp;IFERROR(VLOOKUP(O1193,EMAILS!B:D,3,FALSE),"NOT FOUND IN EMAILS")</f>
        <v/>
      </c>
      <c r="R1193" t="str">
        <f ca="1">""&amp;IFERROR(VLOOKUP(O1193,EMAILS!B:E,4,FALSE),"NO T FOUND IN EMAILS")</f>
        <v/>
      </c>
    </row>
    <row r="1194" spans="2:18" x14ac:dyDescent="0.25">
      <c r="B1194" s="5" t="s">
        <v>1196</v>
      </c>
      <c r="C1194" s="5" t="s">
        <v>5336</v>
      </c>
      <c r="D1194" s="5">
        <v>4</v>
      </c>
      <c r="E1194" s="5">
        <v>4</v>
      </c>
      <c r="F1194" s="5">
        <v>5</v>
      </c>
      <c r="G1194" s="5">
        <v>5</v>
      </c>
      <c r="H1194" s="5">
        <v>4</v>
      </c>
      <c r="I1194" s="5">
        <v>5</v>
      </c>
      <c r="J1194" s="5">
        <v>3</v>
      </c>
      <c r="K1194" s="5">
        <v>3</v>
      </c>
      <c r="L1194" s="5">
        <v>3</v>
      </c>
      <c r="M1194" s="5">
        <v>0</v>
      </c>
      <c r="N1194" s="5">
        <v>23</v>
      </c>
      <c r="O1194" s="5" t="str">
        <f t="shared" ca="1" si="18"/>
        <v>Supplier 128</v>
      </c>
      <c r="P1194" s="20" t="str">
        <f ca="1">IFERROR(VLOOKUP(O1194,EMAILS!B:C,2,FALSE),"NOT FOUND IN EMAILS")</f>
        <v>supplier@gmail.com</v>
      </c>
      <c r="Q1194" t="str">
        <f ca="1">""&amp;IFERROR(VLOOKUP(O1194,EMAILS!B:D,3,FALSE),"NOT FOUND IN EMAILS")</f>
        <v/>
      </c>
      <c r="R1194" t="str">
        <f ca="1">""&amp;IFERROR(VLOOKUP(O1194,EMAILS!B:E,4,FALSE),"NO T FOUND IN EMAILS")</f>
        <v/>
      </c>
    </row>
    <row r="1195" spans="2:18" x14ac:dyDescent="0.25">
      <c r="B1195" s="5" t="s">
        <v>1197</v>
      </c>
      <c r="C1195" s="5" t="s">
        <v>5337</v>
      </c>
      <c r="D1195" s="5">
        <v>4</v>
      </c>
      <c r="E1195" s="5">
        <v>4</v>
      </c>
      <c r="F1195" s="5">
        <v>5</v>
      </c>
      <c r="G1195" s="5">
        <v>5</v>
      </c>
      <c r="H1195" s="5">
        <v>4</v>
      </c>
      <c r="I1195" s="5">
        <v>5</v>
      </c>
      <c r="J1195" s="5">
        <v>3</v>
      </c>
      <c r="K1195" s="5">
        <v>3</v>
      </c>
      <c r="L1195" s="5">
        <v>3</v>
      </c>
      <c r="M1195" s="5">
        <v>0</v>
      </c>
      <c r="N1195" s="5">
        <v>23</v>
      </c>
      <c r="O1195" s="5" t="str">
        <f t="shared" ca="1" si="18"/>
        <v>Supplier 43</v>
      </c>
      <c r="P1195" s="20" t="str">
        <f ca="1">IFERROR(VLOOKUP(O1195,EMAILS!B:C,2,FALSE),"NOT FOUND IN EMAILS")</f>
        <v>supplier@gmail.com</v>
      </c>
      <c r="Q1195" t="str">
        <f ca="1">""&amp;IFERROR(VLOOKUP(O1195,EMAILS!B:D,3,FALSE),"NOT FOUND IN EMAILS")</f>
        <v/>
      </c>
      <c r="R1195" t="str">
        <f ca="1">""&amp;IFERROR(VLOOKUP(O1195,EMAILS!B:E,4,FALSE),"NO T FOUND IN EMAILS")</f>
        <v/>
      </c>
    </row>
    <row r="1196" spans="2:18" x14ac:dyDescent="0.25">
      <c r="B1196" s="5" t="s">
        <v>1198</v>
      </c>
      <c r="C1196" s="5" t="s">
        <v>5338</v>
      </c>
      <c r="D1196" s="5">
        <v>4</v>
      </c>
      <c r="E1196" s="5">
        <v>4</v>
      </c>
      <c r="F1196" s="5">
        <v>5</v>
      </c>
      <c r="G1196" s="5">
        <v>5</v>
      </c>
      <c r="H1196" s="5">
        <v>4</v>
      </c>
      <c r="I1196" s="5">
        <v>5</v>
      </c>
      <c r="J1196" s="5">
        <v>3</v>
      </c>
      <c r="K1196" s="5">
        <v>3</v>
      </c>
      <c r="L1196" s="5">
        <v>3</v>
      </c>
      <c r="M1196" s="5">
        <v>0</v>
      </c>
      <c r="N1196" s="5">
        <v>22</v>
      </c>
      <c r="O1196" s="5" t="str">
        <f t="shared" ca="1" si="18"/>
        <v>Supplier 62</v>
      </c>
      <c r="P1196" s="20" t="str">
        <f ca="1">IFERROR(VLOOKUP(O1196,EMAILS!B:C,2,FALSE),"NOT FOUND IN EMAILS")</f>
        <v>supplier@gmail.com</v>
      </c>
      <c r="Q1196" t="str">
        <f ca="1">""&amp;IFERROR(VLOOKUP(O1196,EMAILS!B:D,3,FALSE),"NOT FOUND IN EMAILS")</f>
        <v/>
      </c>
      <c r="R1196" t="str">
        <f ca="1">""&amp;IFERROR(VLOOKUP(O1196,EMAILS!B:E,4,FALSE),"NO T FOUND IN EMAILS")</f>
        <v/>
      </c>
    </row>
    <row r="1197" spans="2:18" x14ac:dyDescent="0.25">
      <c r="B1197" s="5" t="s">
        <v>1199</v>
      </c>
      <c r="C1197" s="5" t="s">
        <v>5339</v>
      </c>
      <c r="D1197" s="5">
        <v>4</v>
      </c>
      <c r="E1197" s="5">
        <v>4</v>
      </c>
      <c r="F1197" s="5">
        <v>5</v>
      </c>
      <c r="G1197" s="5">
        <v>5</v>
      </c>
      <c r="H1197" s="5">
        <v>4</v>
      </c>
      <c r="I1197" s="5">
        <v>5</v>
      </c>
      <c r="J1197" s="5">
        <v>3</v>
      </c>
      <c r="K1197" s="5">
        <v>3</v>
      </c>
      <c r="L1197" s="5">
        <v>3</v>
      </c>
      <c r="M1197" s="5">
        <v>0</v>
      </c>
      <c r="N1197" s="5">
        <v>23</v>
      </c>
      <c r="O1197" s="5" t="str">
        <f t="shared" ca="1" si="18"/>
        <v>Supplier 120</v>
      </c>
      <c r="P1197" s="20" t="str">
        <f ca="1">IFERROR(VLOOKUP(O1197,EMAILS!B:C,2,FALSE),"NOT FOUND IN EMAILS")</f>
        <v>supplier@gmail.com</v>
      </c>
      <c r="Q1197" t="str">
        <f ca="1">""&amp;IFERROR(VLOOKUP(O1197,EMAILS!B:D,3,FALSE),"NOT FOUND IN EMAILS")</f>
        <v/>
      </c>
      <c r="R1197" t="str">
        <f ca="1">""&amp;IFERROR(VLOOKUP(O1197,EMAILS!B:E,4,FALSE),"NO T FOUND IN EMAILS")</f>
        <v/>
      </c>
    </row>
    <row r="1198" spans="2:18" x14ac:dyDescent="0.25">
      <c r="B1198" s="5" t="s">
        <v>1200</v>
      </c>
      <c r="C1198" s="5" t="s">
        <v>5340</v>
      </c>
      <c r="D1198" s="5">
        <v>4</v>
      </c>
      <c r="E1198" s="5">
        <v>4</v>
      </c>
      <c r="F1198" s="5">
        <v>5</v>
      </c>
      <c r="G1198" s="5">
        <v>5</v>
      </c>
      <c r="H1198" s="5">
        <v>4</v>
      </c>
      <c r="I1198" s="5">
        <v>5</v>
      </c>
      <c r="J1198" s="5">
        <v>3</v>
      </c>
      <c r="K1198" s="5">
        <v>3</v>
      </c>
      <c r="L1198" s="5">
        <v>3</v>
      </c>
      <c r="M1198" s="5">
        <v>0</v>
      </c>
      <c r="N1198" s="5">
        <v>23</v>
      </c>
      <c r="O1198" s="5" t="str">
        <f t="shared" ca="1" si="18"/>
        <v>Supplier 3</v>
      </c>
      <c r="P1198" s="20" t="str">
        <f ca="1">IFERROR(VLOOKUP(O1198,EMAILS!B:C,2,FALSE),"NOT FOUND IN EMAILS")</f>
        <v>supplier@gmail.com</v>
      </c>
      <c r="Q1198" t="str">
        <f ca="1">""&amp;IFERROR(VLOOKUP(O1198,EMAILS!B:D,3,FALSE),"NOT FOUND IN EMAILS")</f>
        <v>supplier_logistics@gmail.com</v>
      </c>
      <c r="R1198" t="str">
        <f ca="1">""&amp;IFERROR(VLOOKUP(O1198,EMAILS!B:E,4,FALSE),"NO T FOUND IN EMAILS")</f>
        <v/>
      </c>
    </row>
    <row r="1199" spans="2:18" x14ac:dyDescent="0.25">
      <c r="B1199" s="5" t="s">
        <v>1201</v>
      </c>
      <c r="C1199" s="5" t="s">
        <v>5341</v>
      </c>
      <c r="D1199" s="5">
        <v>4</v>
      </c>
      <c r="E1199" s="5">
        <v>4</v>
      </c>
      <c r="F1199" s="5">
        <v>5</v>
      </c>
      <c r="G1199" s="5">
        <v>5</v>
      </c>
      <c r="H1199" s="5">
        <v>4</v>
      </c>
      <c r="I1199" s="5">
        <v>5</v>
      </c>
      <c r="J1199" s="5">
        <v>3</v>
      </c>
      <c r="K1199" s="5">
        <v>3</v>
      </c>
      <c r="L1199" s="5">
        <v>3</v>
      </c>
      <c r="M1199" s="5">
        <v>0</v>
      </c>
      <c r="N1199" s="5">
        <v>23</v>
      </c>
      <c r="O1199" s="5" t="str">
        <f t="shared" ca="1" si="18"/>
        <v>Supplier 83</v>
      </c>
      <c r="P1199" s="20" t="str">
        <f ca="1">IFERROR(VLOOKUP(O1199,EMAILS!B:C,2,FALSE),"NOT FOUND IN EMAILS")</f>
        <v>supplier@gmail.com</v>
      </c>
      <c r="Q1199" t="str">
        <f ca="1">""&amp;IFERROR(VLOOKUP(O1199,EMAILS!B:D,3,FALSE),"NOT FOUND IN EMAILS")</f>
        <v/>
      </c>
      <c r="R1199" t="str">
        <f ca="1">""&amp;IFERROR(VLOOKUP(O1199,EMAILS!B:E,4,FALSE),"NO T FOUND IN EMAILS")</f>
        <v/>
      </c>
    </row>
    <row r="1200" spans="2:18" x14ac:dyDescent="0.25">
      <c r="B1200" s="5" t="s">
        <v>1202</v>
      </c>
      <c r="C1200" s="5" t="s">
        <v>5342</v>
      </c>
      <c r="D1200" s="5">
        <v>4</v>
      </c>
      <c r="E1200" s="5">
        <v>4</v>
      </c>
      <c r="F1200" s="5">
        <v>5</v>
      </c>
      <c r="G1200" s="5">
        <v>5</v>
      </c>
      <c r="H1200" s="5">
        <v>4</v>
      </c>
      <c r="I1200" s="5">
        <v>5</v>
      </c>
      <c r="J1200" s="5">
        <v>3</v>
      </c>
      <c r="K1200" s="5">
        <v>3</v>
      </c>
      <c r="L1200" s="5">
        <v>3</v>
      </c>
      <c r="M1200" s="5">
        <v>0</v>
      </c>
      <c r="N1200" s="5">
        <v>84</v>
      </c>
      <c r="O1200" s="5" t="str">
        <f t="shared" ca="1" si="18"/>
        <v>Supplier 24</v>
      </c>
      <c r="P1200" s="20" t="str">
        <f ca="1">IFERROR(VLOOKUP(O1200,EMAILS!B:C,2,FALSE),"NOT FOUND IN EMAILS")</f>
        <v>supplier@gmail.com</v>
      </c>
      <c r="Q1200" t="str">
        <f ca="1">""&amp;IFERROR(VLOOKUP(O1200,EMAILS!B:D,3,FALSE),"NOT FOUND IN EMAILS")</f>
        <v/>
      </c>
      <c r="R1200" t="str">
        <f ca="1">""&amp;IFERROR(VLOOKUP(O1200,EMAILS!B:E,4,FALSE),"NO T FOUND IN EMAILS")</f>
        <v/>
      </c>
    </row>
    <row r="1201" spans="2:18" x14ac:dyDescent="0.25">
      <c r="B1201" s="5" t="s">
        <v>1203</v>
      </c>
      <c r="C1201" s="5" t="s">
        <v>5343</v>
      </c>
      <c r="D1201" s="5">
        <v>4</v>
      </c>
      <c r="E1201" s="5">
        <v>4</v>
      </c>
      <c r="F1201" s="5">
        <v>5</v>
      </c>
      <c r="G1201" s="5">
        <v>5</v>
      </c>
      <c r="H1201" s="5">
        <v>4</v>
      </c>
      <c r="I1201" s="5">
        <v>5</v>
      </c>
      <c r="J1201" s="5">
        <v>3</v>
      </c>
      <c r="K1201" s="5">
        <v>3</v>
      </c>
      <c r="L1201" s="5">
        <v>3</v>
      </c>
      <c r="M1201" s="5">
        <v>0</v>
      </c>
      <c r="N1201" s="5">
        <v>23</v>
      </c>
      <c r="O1201" s="5" t="str">
        <f t="shared" ca="1" si="18"/>
        <v>Supplier 179</v>
      </c>
      <c r="P1201" s="20" t="str">
        <f ca="1">IFERROR(VLOOKUP(O1201,EMAILS!B:C,2,FALSE),"NOT FOUND IN EMAILS")</f>
        <v>supplier@gmail.com</v>
      </c>
      <c r="Q1201" t="str">
        <f ca="1">""&amp;IFERROR(VLOOKUP(O1201,EMAILS!B:D,3,FALSE),"NOT FOUND IN EMAILS")</f>
        <v/>
      </c>
      <c r="R1201" t="str">
        <f ca="1">""&amp;IFERROR(VLOOKUP(O1201,EMAILS!B:E,4,FALSE),"NO T FOUND IN EMAILS")</f>
        <v/>
      </c>
    </row>
    <row r="1202" spans="2:18" x14ac:dyDescent="0.25">
      <c r="B1202" s="5" t="s">
        <v>1204</v>
      </c>
      <c r="C1202" s="5" t="s">
        <v>5344</v>
      </c>
      <c r="D1202" s="5">
        <v>4</v>
      </c>
      <c r="E1202" s="5">
        <v>4</v>
      </c>
      <c r="F1202" s="5">
        <v>5</v>
      </c>
      <c r="G1202" s="5">
        <v>5</v>
      </c>
      <c r="H1202" s="5">
        <v>4</v>
      </c>
      <c r="I1202" s="5">
        <v>5</v>
      </c>
      <c r="J1202" s="5">
        <v>3</v>
      </c>
      <c r="K1202" s="5">
        <v>3</v>
      </c>
      <c r="L1202" s="5">
        <v>3</v>
      </c>
      <c r="M1202" s="5">
        <v>0</v>
      </c>
      <c r="N1202" s="5">
        <v>23</v>
      </c>
      <c r="O1202" s="5" t="str">
        <f t="shared" ca="1" si="18"/>
        <v>Supplier 34</v>
      </c>
      <c r="P1202" s="20" t="str">
        <f ca="1">IFERROR(VLOOKUP(O1202,EMAILS!B:C,2,FALSE),"NOT FOUND IN EMAILS")</f>
        <v>supplier@gmail.com</v>
      </c>
      <c r="Q1202" t="str">
        <f ca="1">""&amp;IFERROR(VLOOKUP(O1202,EMAILS!B:D,3,FALSE),"NOT FOUND IN EMAILS")</f>
        <v/>
      </c>
      <c r="R1202" t="str">
        <f ca="1">""&amp;IFERROR(VLOOKUP(O1202,EMAILS!B:E,4,FALSE),"NO T FOUND IN EMAILS")</f>
        <v/>
      </c>
    </row>
    <row r="1203" spans="2:18" x14ac:dyDescent="0.25">
      <c r="B1203" s="5" t="s">
        <v>1205</v>
      </c>
      <c r="C1203" s="5" t="s">
        <v>5345</v>
      </c>
      <c r="D1203" s="5">
        <v>4</v>
      </c>
      <c r="E1203" s="5">
        <v>4</v>
      </c>
      <c r="F1203" s="5">
        <v>5</v>
      </c>
      <c r="G1203" s="5">
        <v>5</v>
      </c>
      <c r="H1203" s="5">
        <v>4</v>
      </c>
      <c r="I1203" s="5">
        <v>5</v>
      </c>
      <c r="J1203" s="5">
        <v>3</v>
      </c>
      <c r="K1203" s="5">
        <v>3</v>
      </c>
      <c r="L1203" s="5">
        <v>3</v>
      </c>
      <c r="M1203" s="5">
        <v>0</v>
      </c>
      <c r="N1203" s="5">
        <v>35</v>
      </c>
      <c r="O1203" s="5" t="str">
        <f t="shared" ca="1" si="18"/>
        <v>Supplier 103</v>
      </c>
      <c r="P1203" s="20" t="str">
        <f ca="1">IFERROR(VLOOKUP(O1203,EMAILS!B:C,2,FALSE),"NOT FOUND IN EMAILS")</f>
        <v>supplier@gmail.com</v>
      </c>
      <c r="Q1203" t="str">
        <f ca="1">""&amp;IFERROR(VLOOKUP(O1203,EMAILS!B:D,3,FALSE),"NOT FOUND IN EMAILS")</f>
        <v/>
      </c>
      <c r="R1203" t="str">
        <f ca="1">""&amp;IFERROR(VLOOKUP(O1203,EMAILS!B:E,4,FALSE),"NO T FOUND IN EMAILS")</f>
        <v/>
      </c>
    </row>
    <row r="1204" spans="2:18" x14ac:dyDescent="0.25">
      <c r="B1204" s="5" t="s">
        <v>1206</v>
      </c>
      <c r="C1204" s="5" t="s">
        <v>5346</v>
      </c>
      <c r="D1204" s="5">
        <v>8</v>
      </c>
      <c r="E1204" s="5">
        <v>8</v>
      </c>
      <c r="F1204" s="5">
        <v>10</v>
      </c>
      <c r="G1204" s="5">
        <v>10</v>
      </c>
      <c r="H1204" s="5">
        <v>8</v>
      </c>
      <c r="I1204" s="5">
        <v>10</v>
      </c>
      <c r="J1204" s="5">
        <v>6</v>
      </c>
      <c r="K1204" s="5">
        <v>6</v>
      </c>
      <c r="L1204" s="5">
        <v>6</v>
      </c>
      <c r="M1204" s="5">
        <v>0</v>
      </c>
      <c r="N1204" s="5">
        <v>18</v>
      </c>
      <c r="O1204" s="5" t="str">
        <f t="shared" ca="1" si="18"/>
        <v>Supplier 173</v>
      </c>
      <c r="P1204" s="20" t="str">
        <f ca="1">IFERROR(VLOOKUP(O1204,EMAILS!B:C,2,FALSE),"NOT FOUND IN EMAILS")</f>
        <v>supplier@gmail.com</v>
      </c>
      <c r="Q1204" t="str">
        <f ca="1">""&amp;IFERROR(VLOOKUP(O1204,EMAILS!B:D,3,FALSE),"NOT FOUND IN EMAILS")</f>
        <v/>
      </c>
      <c r="R1204" t="str">
        <f ca="1">""&amp;IFERROR(VLOOKUP(O1204,EMAILS!B:E,4,FALSE),"NO T FOUND IN EMAILS")</f>
        <v/>
      </c>
    </row>
    <row r="1205" spans="2:18" x14ac:dyDescent="0.25">
      <c r="B1205" s="5" t="s">
        <v>1207</v>
      </c>
      <c r="C1205" s="5" t="s">
        <v>5347</v>
      </c>
      <c r="D1205" s="5">
        <v>4</v>
      </c>
      <c r="E1205" s="5">
        <v>4</v>
      </c>
      <c r="F1205" s="5">
        <v>5</v>
      </c>
      <c r="G1205" s="5">
        <v>5</v>
      </c>
      <c r="H1205" s="5">
        <v>4</v>
      </c>
      <c r="I1205" s="5">
        <v>5</v>
      </c>
      <c r="J1205" s="5">
        <v>3</v>
      </c>
      <c r="K1205" s="5">
        <v>3</v>
      </c>
      <c r="L1205" s="5">
        <v>3</v>
      </c>
      <c r="M1205" s="5">
        <v>0</v>
      </c>
      <c r="N1205" s="5">
        <v>24</v>
      </c>
      <c r="O1205" s="5" t="str">
        <f t="shared" ca="1" si="18"/>
        <v>Supplier 193</v>
      </c>
      <c r="P1205" s="20" t="str">
        <f ca="1">IFERROR(VLOOKUP(O1205,EMAILS!B:C,2,FALSE),"NOT FOUND IN EMAILS")</f>
        <v>supplier@gmail.com</v>
      </c>
      <c r="Q1205" t="str">
        <f ca="1">""&amp;IFERROR(VLOOKUP(O1205,EMAILS!B:D,3,FALSE),"NOT FOUND IN EMAILS")</f>
        <v/>
      </c>
      <c r="R1205" t="str">
        <f ca="1">""&amp;IFERROR(VLOOKUP(O1205,EMAILS!B:E,4,FALSE),"NO T FOUND IN EMAILS")</f>
        <v/>
      </c>
    </row>
    <row r="1206" spans="2:18" x14ac:dyDescent="0.25">
      <c r="B1206" s="5" t="s">
        <v>1208</v>
      </c>
      <c r="C1206" s="5" t="s">
        <v>5348</v>
      </c>
      <c r="D1206" s="5">
        <v>4</v>
      </c>
      <c r="E1206" s="5">
        <v>4</v>
      </c>
      <c r="F1206" s="5">
        <v>5</v>
      </c>
      <c r="G1206" s="5">
        <v>5</v>
      </c>
      <c r="H1206" s="5">
        <v>4</v>
      </c>
      <c r="I1206" s="5">
        <v>5</v>
      </c>
      <c r="J1206" s="5">
        <v>3</v>
      </c>
      <c r="K1206" s="5">
        <v>3</v>
      </c>
      <c r="L1206" s="5">
        <v>3</v>
      </c>
      <c r="M1206" s="5">
        <v>0</v>
      </c>
      <c r="N1206" s="5">
        <v>18</v>
      </c>
      <c r="O1206" s="5" t="str">
        <f t="shared" ca="1" si="18"/>
        <v>Supplier 118</v>
      </c>
      <c r="P1206" s="20" t="str">
        <f ca="1">IFERROR(VLOOKUP(O1206,EMAILS!B:C,2,FALSE),"NOT FOUND IN EMAILS")</f>
        <v>supplier@gmail.com</v>
      </c>
      <c r="Q1206" t="str">
        <f ca="1">""&amp;IFERROR(VLOOKUP(O1206,EMAILS!B:D,3,FALSE),"NOT FOUND IN EMAILS")</f>
        <v/>
      </c>
      <c r="R1206" t="str">
        <f ca="1">""&amp;IFERROR(VLOOKUP(O1206,EMAILS!B:E,4,FALSE),"NO T FOUND IN EMAILS")</f>
        <v/>
      </c>
    </row>
    <row r="1207" spans="2:18" x14ac:dyDescent="0.25">
      <c r="B1207" s="5" t="s">
        <v>1209</v>
      </c>
      <c r="C1207" s="5" t="s">
        <v>5349</v>
      </c>
      <c r="D1207" s="5">
        <v>4</v>
      </c>
      <c r="E1207" s="5">
        <v>4</v>
      </c>
      <c r="F1207" s="5">
        <v>5</v>
      </c>
      <c r="G1207" s="5">
        <v>5</v>
      </c>
      <c r="H1207" s="5">
        <v>4</v>
      </c>
      <c r="I1207" s="5">
        <v>5</v>
      </c>
      <c r="J1207" s="5">
        <v>3</v>
      </c>
      <c r="K1207" s="5">
        <v>3</v>
      </c>
      <c r="L1207" s="5">
        <v>3</v>
      </c>
      <c r="M1207" s="5">
        <v>0</v>
      </c>
      <c r="N1207" s="5">
        <v>17</v>
      </c>
      <c r="O1207" s="5" t="str">
        <f t="shared" ca="1" si="18"/>
        <v>Supplier 147</v>
      </c>
      <c r="P1207" s="20" t="str">
        <f ca="1">IFERROR(VLOOKUP(O1207,EMAILS!B:C,2,FALSE),"NOT FOUND IN EMAILS")</f>
        <v>supplier@gmail.com</v>
      </c>
      <c r="Q1207" t="str">
        <f ca="1">""&amp;IFERROR(VLOOKUP(O1207,EMAILS!B:D,3,FALSE),"NOT FOUND IN EMAILS")</f>
        <v/>
      </c>
      <c r="R1207" t="str">
        <f ca="1">""&amp;IFERROR(VLOOKUP(O1207,EMAILS!B:E,4,FALSE),"NO T FOUND IN EMAILS")</f>
        <v/>
      </c>
    </row>
    <row r="1208" spans="2:18" x14ac:dyDescent="0.25">
      <c r="B1208" s="5" t="s">
        <v>1210</v>
      </c>
      <c r="C1208" s="5" t="s">
        <v>5350</v>
      </c>
      <c r="D1208" s="5">
        <v>4</v>
      </c>
      <c r="E1208" s="5">
        <v>4</v>
      </c>
      <c r="F1208" s="5">
        <v>5</v>
      </c>
      <c r="G1208" s="5">
        <v>5</v>
      </c>
      <c r="H1208" s="5">
        <v>4</v>
      </c>
      <c r="I1208" s="5">
        <v>5</v>
      </c>
      <c r="J1208" s="5">
        <v>3</v>
      </c>
      <c r="K1208" s="5">
        <v>3</v>
      </c>
      <c r="L1208" s="5">
        <v>3</v>
      </c>
      <c r="M1208" s="5">
        <v>0</v>
      </c>
      <c r="N1208" s="5">
        <v>18</v>
      </c>
      <c r="O1208" s="5" t="str">
        <f t="shared" ca="1" si="18"/>
        <v>Supplier 91</v>
      </c>
      <c r="P1208" s="20" t="str">
        <f ca="1">IFERROR(VLOOKUP(O1208,EMAILS!B:C,2,FALSE),"NOT FOUND IN EMAILS")</f>
        <v>supplier@gmail.com</v>
      </c>
      <c r="Q1208" t="str">
        <f ca="1">""&amp;IFERROR(VLOOKUP(O1208,EMAILS!B:D,3,FALSE),"NOT FOUND IN EMAILS")</f>
        <v/>
      </c>
      <c r="R1208" t="str">
        <f ca="1">""&amp;IFERROR(VLOOKUP(O1208,EMAILS!B:E,4,FALSE),"NO T FOUND IN EMAILS")</f>
        <v/>
      </c>
    </row>
    <row r="1209" spans="2:18" x14ac:dyDescent="0.25">
      <c r="B1209" s="5" t="s">
        <v>1211</v>
      </c>
      <c r="C1209" s="5" t="s">
        <v>5351</v>
      </c>
      <c r="D1209" s="5">
        <v>4</v>
      </c>
      <c r="E1209" s="5">
        <v>4</v>
      </c>
      <c r="F1209" s="5">
        <v>5</v>
      </c>
      <c r="G1209" s="5">
        <v>5</v>
      </c>
      <c r="H1209" s="5">
        <v>4</v>
      </c>
      <c r="I1209" s="5">
        <v>5</v>
      </c>
      <c r="J1209" s="5">
        <v>3</v>
      </c>
      <c r="K1209" s="5">
        <v>3</v>
      </c>
      <c r="L1209" s="5">
        <v>3</v>
      </c>
      <c r="M1209" s="5">
        <v>0</v>
      </c>
      <c r="N1209" s="5">
        <v>18</v>
      </c>
      <c r="O1209" s="5" t="str">
        <f t="shared" ca="1" si="18"/>
        <v>Supplier 176</v>
      </c>
      <c r="P1209" s="20" t="str">
        <f ca="1">IFERROR(VLOOKUP(O1209,EMAILS!B:C,2,FALSE),"NOT FOUND IN EMAILS")</f>
        <v>supplier@gmail.com</v>
      </c>
      <c r="Q1209" t="str">
        <f ca="1">""&amp;IFERROR(VLOOKUP(O1209,EMAILS!B:D,3,FALSE),"NOT FOUND IN EMAILS")</f>
        <v/>
      </c>
      <c r="R1209" t="str">
        <f ca="1">""&amp;IFERROR(VLOOKUP(O1209,EMAILS!B:E,4,FALSE),"NO T FOUND IN EMAILS")</f>
        <v/>
      </c>
    </row>
    <row r="1210" spans="2:18" x14ac:dyDescent="0.25">
      <c r="B1210" s="5" t="s">
        <v>1212</v>
      </c>
      <c r="C1210" s="5" t="s">
        <v>5352</v>
      </c>
      <c r="D1210" s="5">
        <v>4</v>
      </c>
      <c r="E1210" s="5">
        <v>4</v>
      </c>
      <c r="F1210" s="5">
        <v>5</v>
      </c>
      <c r="G1210" s="5">
        <v>5</v>
      </c>
      <c r="H1210" s="5">
        <v>4</v>
      </c>
      <c r="I1210" s="5">
        <v>5</v>
      </c>
      <c r="J1210" s="5">
        <v>3</v>
      </c>
      <c r="K1210" s="5">
        <v>3</v>
      </c>
      <c r="L1210" s="5">
        <v>3</v>
      </c>
      <c r="M1210" s="5">
        <v>0</v>
      </c>
      <c r="N1210" s="5">
        <v>19</v>
      </c>
      <c r="O1210" s="5" t="str">
        <f t="shared" ca="1" si="18"/>
        <v>Supplier 166</v>
      </c>
      <c r="P1210" s="20" t="str">
        <f ca="1">IFERROR(VLOOKUP(O1210,EMAILS!B:C,2,FALSE),"NOT FOUND IN EMAILS")</f>
        <v>supplier@gmail.com</v>
      </c>
      <c r="Q1210" t="str">
        <f ca="1">""&amp;IFERROR(VLOOKUP(O1210,EMAILS!B:D,3,FALSE),"NOT FOUND IN EMAILS")</f>
        <v/>
      </c>
      <c r="R1210" t="str">
        <f ca="1">""&amp;IFERROR(VLOOKUP(O1210,EMAILS!B:E,4,FALSE),"NO T FOUND IN EMAILS")</f>
        <v/>
      </c>
    </row>
    <row r="1211" spans="2:18" x14ac:dyDescent="0.25">
      <c r="B1211" s="5" t="s">
        <v>1213</v>
      </c>
      <c r="C1211" s="5" t="s">
        <v>5353</v>
      </c>
      <c r="D1211" s="5">
        <v>4</v>
      </c>
      <c r="E1211" s="5">
        <v>4</v>
      </c>
      <c r="F1211" s="5">
        <v>5</v>
      </c>
      <c r="G1211" s="5">
        <v>5</v>
      </c>
      <c r="H1211" s="5">
        <v>4</v>
      </c>
      <c r="I1211" s="5">
        <v>5</v>
      </c>
      <c r="J1211" s="5">
        <v>3</v>
      </c>
      <c r="K1211" s="5">
        <v>3</v>
      </c>
      <c r="L1211" s="5">
        <v>3</v>
      </c>
      <c r="M1211" s="5">
        <v>0</v>
      </c>
      <c r="N1211" s="5">
        <v>18</v>
      </c>
      <c r="O1211" s="5" t="str">
        <f t="shared" ca="1" si="18"/>
        <v>Supplier 50</v>
      </c>
      <c r="P1211" s="20" t="str">
        <f ca="1">IFERROR(VLOOKUP(O1211,EMAILS!B:C,2,FALSE),"NOT FOUND IN EMAILS")</f>
        <v>supplier@gmail.com</v>
      </c>
      <c r="Q1211" t="str">
        <f ca="1">""&amp;IFERROR(VLOOKUP(O1211,EMAILS!B:D,3,FALSE),"NOT FOUND IN EMAILS")</f>
        <v/>
      </c>
      <c r="R1211" t="str">
        <f ca="1">""&amp;IFERROR(VLOOKUP(O1211,EMAILS!B:E,4,FALSE),"NO T FOUND IN EMAILS")</f>
        <v/>
      </c>
    </row>
    <row r="1212" spans="2:18" x14ac:dyDescent="0.25">
      <c r="B1212" s="5" t="s">
        <v>1214</v>
      </c>
      <c r="C1212" s="5" t="s">
        <v>5354</v>
      </c>
      <c r="D1212" s="5">
        <v>4</v>
      </c>
      <c r="E1212" s="5">
        <v>4</v>
      </c>
      <c r="F1212" s="5">
        <v>5</v>
      </c>
      <c r="G1212" s="5">
        <v>5</v>
      </c>
      <c r="H1212" s="5">
        <v>4</v>
      </c>
      <c r="I1212" s="5">
        <v>5</v>
      </c>
      <c r="J1212" s="5">
        <v>3</v>
      </c>
      <c r="K1212" s="5">
        <v>3</v>
      </c>
      <c r="L1212" s="5">
        <v>3</v>
      </c>
      <c r="M1212" s="5">
        <v>0</v>
      </c>
      <c r="N1212" s="5">
        <v>6</v>
      </c>
      <c r="O1212" s="5" t="str">
        <f t="shared" ca="1" si="18"/>
        <v>Supplier 89</v>
      </c>
      <c r="P1212" s="20" t="str">
        <f ca="1">IFERROR(VLOOKUP(O1212,EMAILS!B:C,2,FALSE),"NOT FOUND IN EMAILS")</f>
        <v>supplier@gmail.com</v>
      </c>
      <c r="Q1212" t="str">
        <f ca="1">""&amp;IFERROR(VLOOKUP(O1212,EMAILS!B:D,3,FALSE),"NOT FOUND IN EMAILS")</f>
        <v/>
      </c>
      <c r="R1212" t="str">
        <f ca="1">""&amp;IFERROR(VLOOKUP(O1212,EMAILS!B:E,4,FALSE),"NO T FOUND IN EMAILS")</f>
        <v/>
      </c>
    </row>
    <row r="1213" spans="2:18" x14ac:dyDescent="0.25">
      <c r="B1213" s="5" t="s">
        <v>1215</v>
      </c>
      <c r="C1213" s="5" t="s">
        <v>5355</v>
      </c>
      <c r="D1213" s="5">
        <v>24</v>
      </c>
      <c r="E1213" s="5">
        <v>24</v>
      </c>
      <c r="F1213" s="5">
        <v>30</v>
      </c>
      <c r="G1213" s="5">
        <v>30</v>
      </c>
      <c r="H1213" s="5">
        <v>24</v>
      </c>
      <c r="I1213" s="5">
        <v>30</v>
      </c>
      <c r="J1213" s="5">
        <v>18</v>
      </c>
      <c r="K1213" s="5">
        <v>18</v>
      </c>
      <c r="L1213" s="5">
        <v>18</v>
      </c>
      <c r="M1213" s="5">
        <v>0</v>
      </c>
      <c r="N1213" s="5">
        <v>11</v>
      </c>
      <c r="O1213" s="5" t="str">
        <f t="shared" ca="1" si="18"/>
        <v>Supplier 136</v>
      </c>
      <c r="P1213" s="20" t="str">
        <f ca="1">IFERROR(VLOOKUP(O1213,EMAILS!B:C,2,FALSE),"NOT FOUND IN EMAILS")</f>
        <v>supplier@gmail.com</v>
      </c>
      <c r="Q1213" t="str">
        <f ca="1">""&amp;IFERROR(VLOOKUP(O1213,EMAILS!B:D,3,FALSE),"NOT FOUND IN EMAILS")</f>
        <v/>
      </c>
      <c r="R1213" t="str">
        <f ca="1">""&amp;IFERROR(VLOOKUP(O1213,EMAILS!B:E,4,FALSE),"NO T FOUND IN EMAILS")</f>
        <v/>
      </c>
    </row>
    <row r="1214" spans="2:18" x14ac:dyDescent="0.25">
      <c r="B1214" s="5" t="s">
        <v>1216</v>
      </c>
      <c r="C1214" s="5" t="s">
        <v>5356</v>
      </c>
      <c r="D1214" s="5">
        <v>4</v>
      </c>
      <c r="E1214" s="5">
        <v>4</v>
      </c>
      <c r="F1214" s="5">
        <v>5</v>
      </c>
      <c r="G1214" s="5">
        <v>5</v>
      </c>
      <c r="H1214" s="5">
        <v>4</v>
      </c>
      <c r="I1214" s="5">
        <v>5</v>
      </c>
      <c r="J1214" s="5">
        <v>3</v>
      </c>
      <c r="K1214" s="5">
        <v>3</v>
      </c>
      <c r="L1214" s="5">
        <v>3</v>
      </c>
      <c r="M1214" s="5">
        <v>0</v>
      </c>
      <c r="N1214" s="5">
        <v>7</v>
      </c>
      <c r="O1214" s="5" t="str">
        <f t="shared" ca="1" si="18"/>
        <v>Supplier 5</v>
      </c>
      <c r="P1214" s="20" t="str">
        <f ca="1">IFERROR(VLOOKUP(O1214,EMAILS!B:C,2,FALSE),"NOT FOUND IN EMAILS")</f>
        <v>supplier@gmail.com</v>
      </c>
      <c r="Q1214" t="str">
        <f ca="1">""&amp;IFERROR(VLOOKUP(O1214,EMAILS!B:D,3,FALSE),"NOT FOUND IN EMAILS")</f>
        <v>supplier_logistics@gmail.com</v>
      </c>
      <c r="R1214" t="str">
        <f ca="1">""&amp;IFERROR(VLOOKUP(O1214,EMAILS!B:E,4,FALSE),"NO T FOUND IN EMAILS")</f>
        <v/>
      </c>
    </row>
    <row r="1215" spans="2:18" x14ac:dyDescent="0.25">
      <c r="B1215" s="5" t="s">
        <v>1217</v>
      </c>
      <c r="C1215" s="5" t="s">
        <v>5357</v>
      </c>
      <c r="D1215" s="5">
        <v>12</v>
      </c>
      <c r="E1215" s="5">
        <v>12</v>
      </c>
      <c r="F1215" s="5">
        <v>16</v>
      </c>
      <c r="G1215" s="5">
        <v>16</v>
      </c>
      <c r="H1215" s="5">
        <v>12</v>
      </c>
      <c r="I1215" s="5">
        <v>16</v>
      </c>
      <c r="J1215" s="5">
        <v>8</v>
      </c>
      <c r="K1215" s="5">
        <v>8</v>
      </c>
      <c r="L1215" s="5">
        <v>8</v>
      </c>
      <c r="M1215" s="5">
        <v>0</v>
      </c>
      <c r="N1215" s="5">
        <v>34</v>
      </c>
      <c r="O1215" s="5" t="str">
        <f t="shared" ca="1" si="18"/>
        <v>Supplier 73</v>
      </c>
      <c r="P1215" s="20" t="str">
        <f ca="1">IFERROR(VLOOKUP(O1215,EMAILS!B:C,2,FALSE),"NOT FOUND IN EMAILS")</f>
        <v>supplier@gmail.com</v>
      </c>
      <c r="Q1215" t="str">
        <f ca="1">""&amp;IFERROR(VLOOKUP(O1215,EMAILS!B:D,3,FALSE),"NOT FOUND IN EMAILS")</f>
        <v/>
      </c>
      <c r="R1215" t="str">
        <f ca="1">""&amp;IFERROR(VLOOKUP(O1215,EMAILS!B:E,4,FALSE),"NO T FOUND IN EMAILS")</f>
        <v/>
      </c>
    </row>
    <row r="1216" spans="2:18" x14ac:dyDescent="0.25">
      <c r="B1216" s="5" t="s">
        <v>1218</v>
      </c>
      <c r="C1216" s="5" t="s">
        <v>5358</v>
      </c>
      <c r="D1216" s="5">
        <v>26</v>
      </c>
      <c r="E1216" s="5">
        <v>26</v>
      </c>
      <c r="F1216" s="5">
        <v>32</v>
      </c>
      <c r="G1216" s="5">
        <v>32</v>
      </c>
      <c r="H1216" s="5">
        <v>26</v>
      </c>
      <c r="I1216" s="5">
        <v>32</v>
      </c>
      <c r="J1216" s="5">
        <v>20</v>
      </c>
      <c r="K1216" s="5">
        <v>20</v>
      </c>
      <c r="L1216" s="5">
        <v>20</v>
      </c>
      <c r="M1216" s="5">
        <v>0</v>
      </c>
      <c r="N1216" s="5">
        <v>6</v>
      </c>
      <c r="O1216" s="5" t="str">
        <f t="shared" ca="1" si="18"/>
        <v>Supplier 36</v>
      </c>
      <c r="P1216" s="20" t="str">
        <f ca="1">IFERROR(VLOOKUP(O1216,EMAILS!B:C,2,FALSE),"NOT FOUND IN EMAILS")</f>
        <v>supplier@gmail.com</v>
      </c>
      <c r="Q1216" t="str">
        <f ca="1">""&amp;IFERROR(VLOOKUP(O1216,EMAILS!B:D,3,FALSE),"NOT FOUND IN EMAILS")</f>
        <v/>
      </c>
      <c r="R1216" t="str">
        <f ca="1">""&amp;IFERROR(VLOOKUP(O1216,EMAILS!B:E,4,FALSE),"NO T FOUND IN EMAILS")</f>
        <v/>
      </c>
    </row>
    <row r="1217" spans="2:18" x14ac:dyDescent="0.25">
      <c r="B1217" s="5" t="s">
        <v>1219</v>
      </c>
      <c r="C1217" s="5" t="s">
        <v>5359</v>
      </c>
      <c r="D1217" s="5">
        <v>6</v>
      </c>
      <c r="E1217" s="5">
        <v>6</v>
      </c>
      <c r="F1217" s="5">
        <v>8</v>
      </c>
      <c r="G1217" s="5">
        <v>8</v>
      </c>
      <c r="H1217" s="5">
        <v>6</v>
      </c>
      <c r="I1217" s="5">
        <v>8</v>
      </c>
      <c r="J1217" s="5">
        <v>4</v>
      </c>
      <c r="K1217" s="5">
        <v>4</v>
      </c>
      <c r="L1217" s="5">
        <v>4</v>
      </c>
      <c r="M1217" s="5">
        <v>0</v>
      </c>
      <c r="N1217" s="5">
        <v>5</v>
      </c>
      <c r="O1217" s="5" t="str">
        <f t="shared" ca="1" si="18"/>
        <v>Supplier 159</v>
      </c>
      <c r="P1217" s="20" t="str">
        <f ca="1">IFERROR(VLOOKUP(O1217,EMAILS!B:C,2,FALSE),"NOT FOUND IN EMAILS")</f>
        <v>supplier@gmail.com</v>
      </c>
      <c r="Q1217" t="str">
        <f ca="1">""&amp;IFERROR(VLOOKUP(O1217,EMAILS!B:D,3,FALSE),"NOT FOUND IN EMAILS")</f>
        <v/>
      </c>
      <c r="R1217" t="str">
        <f ca="1">""&amp;IFERROR(VLOOKUP(O1217,EMAILS!B:E,4,FALSE),"NO T FOUND IN EMAILS")</f>
        <v/>
      </c>
    </row>
    <row r="1218" spans="2:18" x14ac:dyDescent="0.25">
      <c r="B1218" s="5" t="s">
        <v>1220</v>
      </c>
      <c r="C1218" s="5" t="s">
        <v>5360</v>
      </c>
      <c r="D1218" s="5">
        <v>6</v>
      </c>
      <c r="E1218" s="5">
        <v>6</v>
      </c>
      <c r="F1218" s="5">
        <v>8</v>
      </c>
      <c r="G1218" s="5">
        <v>8</v>
      </c>
      <c r="H1218" s="5">
        <v>6</v>
      </c>
      <c r="I1218" s="5">
        <v>8</v>
      </c>
      <c r="J1218" s="5">
        <v>4</v>
      </c>
      <c r="K1218" s="5">
        <v>4</v>
      </c>
      <c r="L1218" s="5">
        <v>4</v>
      </c>
      <c r="M1218" s="5">
        <v>0</v>
      </c>
      <c r="N1218" s="5">
        <v>31</v>
      </c>
      <c r="O1218" s="5" t="str">
        <f t="shared" ca="1" si="18"/>
        <v>Supplier 85</v>
      </c>
      <c r="P1218" s="20" t="str">
        <f ca="1">IFERROR(VLOOKUP(O1218,EMAILS!B:C,2,FALSE),"NOT FOUND IN EMAILS")</f>
        <v>supplier@gmail.com</v>
      </c>
      <c r="Q1218" t="str">
        <f ca="1">""&amp;IFERROR(VLOOKUP(O1218,EMAILS!B:D,3,FALSE),"NOT FOUND IN EMAILS")</f>
        <v/>
      </c>
      <c r="R1218" t="str">
        <f ca="1">""&amp;IFERROR(VLOOKUP(O1218,EMAILS!B:E,4,FALSE),"NO T FOUND IN EMAILS")</f>
        <v/>
      </c>
    </row>
    <row r="1219" spans="2:18" x14ac:dyDescent="0.25">
      <c r="B1219" s="5" t="s">
        <v>1221</v>
      </c>
      <c r="C1219" s="5" t="s">
        <v>5361</v>
      </c>
      <c r="D1219" s="5">
        <v>10</v>
      </c>
      <c r="E1219" s="5">
        <v>10</v>
      </c>
      <c r="F1219" s="5">
        <v>12</v>
      </c>
      <c r="G1219" s="5">
        <v>12</v>
      </c>
      <c r="H1219" s="5">
        <v>10</v>
      </c>
      <c r="I1219" s="5">
        <v>12</v>
      </c>
      <c r="J1219" s="5">
        <v>8</v>
      </c>
      <c r="K1219" s="5">
        <v>8</v>
      </c>
      <c r="L1219" s="5">
        <v>8</v>
      </c>
      <c r="M1219" s="5">
        <v>0</v>
      </c>
      <c r="N1219" s="5">
        <v>6</v>
      </c>
      <c r="O1219" s="5" t="str">
        <f t="shared" ref="O1219:O1282" ca="1" si="19">"Supplier "&amp;RANDBETWEEN(1,200)</f>
        <v>Supplier 47</v>
      </c>
      <c r="P1219" s="20" t="str">
        <f ca="1">IFERROR(VLOOKUP(O1219,EMAILS!B:C,2,FALSE),"NOT FOUND IN EMAILS")</f>
        <v>supplier@gmail.com</v>
      </c>
      <c r="Q1219" t="str">
        <f ca="1">""&amp;IFERROR(VLOOKUP(O1219,EMAILS!B:D,3,FALSE),"NOT FOUND IN EMAILS")</f>
        <v/>
      </c>
      <c r="R1219" t="str">
        <f ca="1">""&amp;IFERROR(VLOOKUP(O1219,EMAILS!B:E,4,FALSE),"NO T FOUND IN EMAILS")</f>
        <v/>
      </c>
    </row>
    <row r="1220" spans="2:18" x14ac:dyDescent="0.25">
      <c r="B1220" s="5" t="s">
        <v>1222</v>
      </c>
      <c r="C1220" s="5" t="s">
        <v>5362</v>
      </c>
      <c r="D1220" s="5">
        <v>6</v>
      </c>
      <c r="E1220" s="5">
        <v>6</v>
      </c>
      <c r="F1220" s="5">
        <v>8</v>
      </c>
      <c r="G1220" s="5">
        <v>8</v>
      </c>
      <c r="H1220" s="5">
        <v>6</v>
      </c>
      <c r="I1220" s="5">
        <v>8</v>
      </c>
      <c r="J1220" s="5">
        <v>4</v>
      </c>
      <c r="K1220" s="5">
        <v>4</v>
      </c>
      <c r="L1220" s="5">
        <v>4</v>
      </c>
      <c r="M1220" s="5">
        <v>0</v>
      </c>
      <c r="N1220" s="5">
        <v>4</v>
      </c>
      <c r="O1220" s="5" t="str">
        <f t="shared" ca="1" si="19"/>
        <v>Supplier 65</v>
      </c>
      <c r="P1220" s="20" t="str">
        <f ca="1">IFERROR(VLOOKUP(O1220,EMAILS!B:C,2,FALSE),"NOT FOUND IN EMAILS")</f>
        <v>supplier@gmail.com</v>
      </c>
      <c r="Q1220" t="str">
        <f ca="1">""&amp;IFERROR(VLOOKUP(O1220,EMAILS!B:D,3,FALSE),"NOT FOUND IN EMAILS")</f>
        <v/>
      </c>
      <c r="R1220" t="str">
        <f ca="1">""&amp;IFERROR(VLOOKUP(O1220,EMAILS!B:E,4,FALSE),"NO T FOUND IN EMAILS")</f>
        <v/>
      </c>
    </row>
    <row r="1221" spans="2:18" x14ac:dyDescent="0.25">
      <c r="B1221" s="5" t="s">
        <v>1223</v>
      </c>
      <c r="C1221" s="5" t="s">
        <v>5363</v>
      </c>
      <c r="D1221" s="5">
        <v>3</v>
      </c>
      <c r="E1221" s="5">
        <v>3</v>
      </c>
      <c r="F1221" s="5">
        <v>4</v>
      </c>
      <c r="G1221" s="5">
        <v>4</v>
      </c>
      <c r="H1221" s="5">
        <v>3</v>
      </c>
      <c r="I1221" s="5">
        <v>4</v>
      </c>
      <c r="J1221" s="5">
        <v>2</v>
      </c>
      <c r="K1221" s="5">
        <v>2</v>
      </c>
      <c r="L1221" s="5">
        <v>2</v>
      </c>
      <c r="M1221" s="5">
        <v>0</v>
      </c>
      <c r="N1221" s="5">
        <v>36</v>
      </c>
      <c r="O1221" s="5" t="str">
        <f t="shared" ca="1" si="19"/>
        <v>Supplier 115</v>
      </c>
      <c r="P1221" s="20" t="str">
        <f ca="1">IFERROR(VLOOKUP(O1221,EMAILS!B:C,2,FALSE),"NOT FOUND IN EMAILS")</f>
        <v>supplier@gmail.com</v>
      </c>
      <c r="Q1221" t="str">
        <f ca="1">""&amp;IFERROR(VLOOKUP(O1221,EMAILS!B:D,3,FALSE),"NOT FOUND IN EMAILS")</f>
        <v/>
      </c>
      <c r="R1221" t="str">
        <f ca="1">""&amp;IFERROR(VLOOKUP(O1221,EMAILS!B:E,4,FALSE),"NO T FOUND IN EMAILS")</f>
        <v/>
      </c>
    </row>
    <row r="1222" spans="2:18" x14ac:dyDescent="0.25">
      <c r="B1222" s="5" t="s">
        <v>1224</v>
      </c>
      <c r="C1222" s="5" t="s">
        <v>5364</v>
      </c>
      <c r="D1222" s="5">
        <v>4</v>
      </c>
      <c r="E1222" s="5">
        <v>4</v>
      </c>
      <c r="F1222" s="5">
        <v>4</v>
      </c>
      <c r="G1222" s="5">
        <v>4</v>
      </c>
      <c r="H1222" s="5">
        <v>4</v>
      </c>
      <c r="I1222" s="5">
        <v>4</v>
      </c>
      <c r="J1222" s="5">
        <v>4</v>
      </c>
      <c r="K1222" s="5">
        <v>4</v>
      </c>
      <c r="L1222" s="5">
        <v>4</v>
      </c>
      <c r="M1222" s="5">
        <v>0</v>
      </c>
      <c r="N1222" s="5">
        <v>6</v>
      </c>
      <c r="O1222" s="5" t="str">
        <f t="shared" ca="1" si="19"/>
        <v>Supplier 130</v>
      </c>
      <c r="P1222" s="20" t="str">
        <f ca="1">IFERROR(VLOOKUP(O1222,EMAILS!B:C,2,FALSE),"NOT FOUND IN EMAILS")</f>
        <v>supplier@gmail.com</v>
      </c>
      <c r="Q1222" t="str">
        <f ca="1">""&amp;IFERROR(VLOOKUP(O1222,EMAILS!B:D,3,FALSE),"NOT FOUND IN EMAILS")</f>
        <v/>
      </c>
      <c r="R1222" t="str">
        <f ca="1">""&amp;IFERROR(VLOOKUP(O1222,EMAILS!B:E,4,FALSE),"NO T FOUND IN EMAILS")</f>
        <v/>
      </c>
    </row>
    <row r="1223" spans="2:18" x14ac:dyDescent="0.25">
      <c r="B1223" s="5" t="s">
        <v>1225</v>
      </c>
      <c r="C1223" s="5" t="s">
        <v>5365</v>
      </c>
      <c r="D1223" s="5">
        <v>6</v>
      </c>
      <c r="E1223" s="5">
        <v>0</v>
      </c>
      <c r="F1223" s="5">
        <v>0</v>
      </c>
      <c r="G1223" s="5">
        <v>0</v>
      </c>
      <c r="H1223" s="5">
        <v>6</v>
      </c>
      <c r="I1223" s="5">
        <v>0</v>
      </c>
      <c r="J1223" s="5">
        <v>0</v>
      </c>
      <c r="K1223" s="5">
        <v>0</v>
      </c>
      <c r="L1223" s="5">
        <v>0</v>
      </c>
      <c r="M1223" s="5">
        <v>0</v>
      </c>
      <c r="N1223" s="5">
        <v>17</v>
      </c>
      <c r="O1223" s="5" t="str">
        <f t="shared" ca="1" si="19"/>
        <v>Supplier 195</v>
      </c>
      <c r="P1223" s="20" t="str">
        <f ca="1">IFERROR(VLOOKUP(O1223,EMAILS!B:C,2,FALSE),"NOT FOUND IN EMAILS")</f>
        <v>supplier@gmail.com</v>
      </c>
      <c r="Q1223" t="str">
        <f ca="1">""&amp;IFERROR(VLOOKUP(O1223,EMAILS!B:D,3,FALSE),"NOT FOUND IN EMAILS")</f>
        <v/>
      </c>
      <c r="R1223" t="str">
        <f ca="1">""&amp;IFERROR(VLOOKUP(O1223,EMAILS!B:E,4,FALSE),"NO T FOUND IN EMAILS")</f>
        <v/>
      </c>
    </row>
    <row r="1224" spans="2:18" x14ac:dyDescent="0.25">
      <c r="B1224" s="5" t="s">
        <v>1226</v>
      </c>
      <c r="C1224" s="5" t="s">
        <v>5366</v>
      </c>
      <c r="D1224" s="5">
        <v>4</v>
      </c>
      <c r="E1224" s="5">
        <v>0</v>
      </c>
      <c r="F1224" s="5">
        <v>0</v>
      </c>
      <c r="G1224" s="5">
        <v>0</v>
      </c>
      <c r="H1224" s="5">
        <v>4</v>
      </c>
      <c r="I1224" s="5">
        <v>0</v>
      </c>
      <c r="J1224" s="5">
        <v>0</v>
      </c>
      <c r="K1224" s="5">
        <v>0</v>
      </c>
      <c r="L1224" s="5">
        <v>0</v>
      </c>
      <c r="M1224" s="5">
        <v>0</v>
      </c>
      <c r="N1224" s="5">
        <v>4</v>
      </c>
      <c r="O1224" s="5" t="str">
        <f t="shared" ca="1" si="19"/>
        <v>Supplier 27</v>
      </c>
      <c r="P1224" s="20" t="str">
        <f ca="1">IFERROR(VLOOKUP(O1224,EMAILS!B:C,2,FALSE),"NOT FOUND IN EMAILS")</f>
        <v>supplier@gmail.com</v>
      </c>
      <c r="Q1224" t="str">
        <f ca="1">""&amp;IFERROR(VLOOKUP(O1224,EMAILS!B:D,3,FALSE),"NOT FOUND IN EMAILS")</f>
        <v/>
      </c>
      <c r="R1224" t="str">
        <f ca="1">""&amp;IFERROR(VLOOKUP(O1224,EMAILS!B:E,4,FALSE),"NO T FOUND IN EMAILS")</f>
        <v/>
      </c>
    </row>
    <row r="1225" spans="2:18" x14ac:dyDescent="0.25">
      <c r="B1225" s="5" t="s">
        <v>1227</v>
      </c>
      <c r="C1225" s="5" t="s">
        <v>5367</v>
      </c>
      <c r="D1225" s="5">
        <v>4</v>
      </c>
      <c r="E1225" s="5">
        <v>0</v>
      </c>
      <c r="F1225" s="5">
        <v>0</v>
      </c>
      <c r="G1225" s="5">
        <v>0</v>
      </c>
      <c r="H1225" s="5">
        <v>4</v>
      </c>
      <c r="I1225" s="5">
        <v>0</v>
      </c>
      <c r="J1225" s="5">
        <v>0</v>
      </c>
      <c r="K1225" s="5">
        <v>0</v>
      </c>
      <c r="L1225" s="5">
        <v>0</v>
      </c>
      <c r="M1225" s="5">
        <v>0</v>
      </c>
      <c r="N1225" s="5">
        <v>11</v>
      </c>
      <c r="O1225" s="5" t="str">
        <f t="shared" ca="1" si="19"/>
        <v>Supplier 73</v>
      </c>
      <c r="P1225" s="20" t="str">
        <f ca="1">IFERROR(VLOOKUP(O1225,EMAILS!B:C,2,FALSE),"NOT FOUND IN EMAILS")</f>
        <v>supplier@gmail.com</v>
      </c>
      <c r="Q1225" t="str">
        <f ca="1">""&amp;IFERROR(VLOOKUP(O1225,EMAILS!B:D,3,FALSE),"NOT FOUND IN EMAILS")</f>
        <v/>
      </c>
      <c r="R1225" t="str">
        <f ca="1">""&amp;IFERROR(VLOOKUP(O1225,EMAILS!B:E,4,FALSE),"NO T FOUND IN EMAILS")</f>
        <v/>
      </c>
    </row>
    <row r="1226" spans="2:18" x14ac:dyDescent="0.25">
      <c r="B1226" s="5" t="s">
        <v>1228</v>
      </c>
      <c r="C1226" s="5" t="s">
        <v>5368</v>
      </c>
      <c r="D1226" s="5">
        <v>8</v>
      </c>
      <c r="E1226" s="5">
        <v>0</v>
      </c>
      <c r="F1226" s="5">
        <v>0</v>
      </c>
      <c r="G1226" s="5">
        <v>0</v>
      </c>
      <c r="H1226" s="5">
        <v>8</v>
      </c>
      <c r="I1226" s="5">
        <v>0</v>
      </c>
      <c r="J1226" s="5">
        <v>0</v>
      </c>
      <c r="K1226" s="5">
        <v>0</v>
      </c>
      <c r="L1226" s="5">
        <v>0</v>
      </c>
      <c r="M1226" s="5">
        <v>0</v>
      </c>
      <c r="N1226" s="5">
        <v>0</v>
      </c>
      <c r="O1226" s="5" t="str">
        <f t="shared" ca="1" si="19"/>
        <v>Supplier 148</v>
      </c>
      <c r="P1226" s="20" t="str">
        <f ca="1">IFERROR(VLOOKUP(O1226,EMAILS!B:C,2,FALSE),"NOT FOUND IN EMAILS")</f>
        <v>supplier@gmail.com</v>
      </c>
      <c r="Q1226" t="str">
        <f ca="1">""&amp;IFERROR(VLOOKUP(O1226,EMAILS!B:D,3,FALSE),"NOT FOUND IN EMAILS")</f>
        <v/>
      </c>
      <c r="R1226" t="str">
        <f ca="1">""&amp;IFERROR(VLOOKUP(O1226,EMAILS!B:E,4,FALSE),"NO T FOUND IN EMAILS")</f>
        <v/>
      </c>
    </row>
    <row r="1227" spans="2:18" x14ac:dyDescent="0.25">
      <c r="B1227" s="5" t="s">
        <v>1229</v>
      </c>
      <c r="C1227" s="5" t="s">
        <v>5369</v>
      </c>
      <c r="D1227" s="5">
        <v>2</v>
      </c>
      <c r="E1227" s="5">
        <v>0</v>
      </c>
      <c r="F1227" s="5">
        <v>0</v>
      </c>
      <c r="G1227" s="5">
        <v>0</v>
      </c>
      <c r="H1227" s="5">
        <v>2</v>
      </c>
      <c r="I1227" s="5">
        <v>0</v>
      </c>
      <c r="J1227" s="5">
        <v>0</v>
      </c>
      <c r="K1227" s="5">
        <v>0</v>
      </c>
      <c r="L1227" s="5">
        <v>0</v>
      </c>
      <c r="M1227" s="5">
        <v>0</v>
      </c>
      <c r="N1227" s="5">
        <v>2</v>
      </c>
      <c r="O1227" s="5" t="str">
        <f t="shared" ca="1" si="19"/>
        <v>Supplier 178</v>
      </c>
      <c r="P1227" s="20" t="str">
        <f ca="1">IFERROR(VLOOKUP(O1227,EMAILS!B:C,2,FALSE),"NOT FOUND IN EMAILS")</f>
        <v>supplier@gmail.com</v>
      </c>
      <c r="Q1227" t="str">
        <f ca="1">""&amp;IFERROR(VLOOKUP(O1227,EMAILS!B:D,3,FALSE),"NOT FOUND IN EMAILS")</f>
        <v/>
      </c>
      <c r="R1227" t="str">
        <f ca="1">""&amp;IFERROR(VLOOKUP(O1227,EMAILS!B:E,4,FALSE),"NO T FOUND IN EMAILS")</f>
        <v/>
      </c>
    </row>
    <row r="1228" spans="2:18" x14ac:dyDescent="0.25">
      <c r="B1228" s="5" t="s">
        <v>1230</v>
      </c>
      <c r="C1228" s="5" t="s">
        <v>5370</v>
      </c>
      <c r="D1228" s="5">
        <v>2</v>
      </c>
      <c r="E1228" s="5">
        <v>0</v>
      </c>
      <c r="F1228" s="5">
        <v>0</v>
      </c>
      <c r="G1228" s="5">
        <v>0</v>
      </c>
      <c r="H1228" s="5">
        <v>2</v>
      </c>
      <c r="I1228" s="5">
        <v>0</v>
      </c>
      <c r="J1228" s="5">
        <v>0</v>
      </c>
      <c r="K1228" s="5">
        <v>0</v>
      </c>
      <c r="L1228" s="5">
        <v>0</v>
      </c>
      <c r="M1228" s="5">
        <v>0</v>
      </c>
      <c r="N1228" s="5">
        <v>3</v>
      </c>
      <c r="O1228" s="5" t="str">
        <f t="shared" ca="1" si="19"/>
        <v>Supplier 113</v>
      </c>
      <c r="P1228" s="20" t="str">
        <f ca="1">IFERROR(VLOOKUP(O1228,EMAILS!B:C,2,FALSE),"NOT FOUND IN EMAILS")</f>
        <v>supplier@gmail.com</v>
      </c>
      <c r="Q1228" t="str">
        <f ca="1">""&amp;IFERROR(VLOOKUP(O1228,EMAILS!B:D,3,FALSE),"NOT FOUND IN EMAILS")</f>
        <v/>
      </c>
      <c r="R1228" t="str">
        <f ca="1">""&amp;IFERROR(VLOOKUP(O1228,EMAILS!B:E,4,FALSE),"NO T FOUND IN EMAILS")</f>
        <v/>
      </c>
    </row>
    <row r="1229" spans="2:18" x14ac:dyDescent="0.25">
      <c r="B1229" s="5" t="s">
        <v>1231</v>
      </c>
      <c r="C1229" s="5" t="s">
        <v>5371</v>
      </c>
      <c r="D1229" s="5">
        <v>2</v>
      </c>
      <c r="E1229" s="5">
        <v>0</v>
      </c>
      <c r="F1229" s="5">
        <v>0</v>
      </c>
      <c r="G1229" s="5">
        <v>0</v>
      </c>
      <c r="H1229" s="5">
        <v>2</v>
      </c>
      <c r="I1229" s="5">
        <v>0</v>
      </c>
      <c r="J1229" s="5">
        <v>0</v>
      </c>
      <c r="K1229" s="5">
        <v>0</v>
      </c>
      <c r="L1229" s="5">
        <v>0</v>
      </c>
      <c r="M1229" s="5">
        <v>0</v>
      </c>
      <c r="N1229" s="5">
        <v>0</v>
      </c>
      <c r="O1229" s="5" t="str">
        <f t="shared" ca="1" si="19"/>
        <v>Supplier 172</v>
      </c>
      <c r="P1229" s="20" t="str">
        <f ca="1">IFERROR(VLOOKUP(O1229,EMAILS!B:C,2,FALSE),"NOT FOUND IN EMAILS")</f>
        <v>supplier@gmail.com</v>
      </c>
      <c r="Q1229" t="str">
        <f ca="1">""&amp;IFERROR(VLOOKUP(O1229,EMAILS!B:D,3,FALSE),"NOT FOUND IN EMAILS")</f>
        <v/>
      </c>
      <c r="R1229" t="str">
        <f ca="1">""&amp;IFERROR(VLOOKUP(O1229,EMAILS!B:E,4,FALSE),"NO T FOUND IN EMAILS")</f>
        <v/>
      </c>
    </row>
    <row r="1230" spans="2:18" x14ac:dyDescent="0.25">
      <c r="B1230" s="5" t="s">
        <v>1232</v>
      </c>
      <c r="C1230" s="5" t="s">
        <v>5372</v>
      </c>
      <c r="D1230" s="5">
        <v>2</v>
      </c>
      <c r="E1230" s="5">
        <v>0</v>
      </c>
      <c r="F1230" s="5">
        <v>0</v>
      </c>
      <c r="G1230" s="5">
        <v>0</v>
      </c>
      <c r="H1230" s="5">
        <v>2</v>
      </c>
      <c r="I1230" s="5">
        <v>0</v>
      </c>
      <c r="J1230" s="5">
        <v>0</v>
      </c>
      <c r="K1230" s="5">
        <v>0</v>
      </c>
      <c r="L1230" s="5">
        <v>0</v>
      </c>
      <c r="M1230" s="5">
        <v>0</v>
      </c>
      <c r="N1230" s="5">
        <v>2</v>
      </c>
      <c r="O1230" s="5" t="str">
        <f t="shared" ca="1" si="19"/>
        <v>Supplier 134</v>
      </c>
      <c r="P1230" s="20" t="str">
        <f ca="1">IFERROR(VLOOKUP(O1230,EMAILS!B:C,2,FALSE),"NOT FOUND IN EMAILS")</f>
        <v>supplier@gmail.com</v>
      </c>
      <c r="Q1230" t="str">
        <f ca="1">""&amp;IFERROR(VLOOKUP(O1230,EMAILS!B:D,3,FALSE),"NOT FOUND IN EMAILS")</f>
        <v/>
      </c>
      <c r="R1230" t="str">
        <f ca="1">""&amp;IFERROR(VLOOKUP(O1230,EMAILS!B:E,4,FALSE),"NO T FOUND IN EMAILS")</f>
        <v/>
      </c>
    </row>
    <row r="1231" spans="2:18" x14ac:dyDescent="0.25">
      <c r="B1231" s="5" t="s">
        <v>1233</v>
      </c>
      <c r="C1231" s="5" t="s">
        <v>5373</v>
      </c>
      <c r="D1231" s="5">
        <v>2</v>
      </c>
      <c r="E1231" s="5">
        <v>0</v>
      </c>
      <c r="F1231" s="5">
        <v>0</v>
      </c>
      <c r="G1231" s="5">
        <v>0</v>
      </c>
      <c r="H1231" s="5">
        <v>2</v>
      </c>
      <c r="I1231" s="5">
        <v>0</v>
      </c>
      <c r="J1231" s="5">
        <v>0</v>
      </c>
      <c r="K1231" s="5">
        <v>0</v>
      </c>
      <c r="L1231" s="5">
        <v>0</v>
      </c>
      <c r="M1231" s="5">
        <v>0</v>
      </c>
      <c r="N1231" s="5">
        <v>17</v>
      </c>
      <c r="O1231" s="5" t="str">
        <f t="shared" ca="1" si="19"/>
        <v>Supplier 104</v>
      </c>
      <c r="P1231" s="20" t="str">
        <f ca="1">IFERROR(VLOOKUP(O1231,EMAILS!B:C,2,FALSE),"NOT FOUND IN EMAILS")</f>
        <v>supplier@gmail.com</v>
      </c>
      <c r="Q1231" t="str">
        <f ca="1">""&amp;IFERROR(VLOOKUP(O1231,EMAILS!B:D,3,FALSE),"NOT FOUND IN EMAILS")</f>
        <v/>
      </c>
      <c r="R1231" t="str">
        <f ca="1">""&amp;IFERROR(VLOOKUP(O1231,EMAILS!B:E,4,FALSE),"NO T FOUND IN EMAILS")</f>
        <v/>
      </c>
    </row>
    <row r="1232" spans="2:18" x14ac:dyDescent="0.25">
      <c r="B1232" s="5" t="s">
        <v>1234</v>
      </c>
      <c r="C1232" s="5" t="s">
        <v>5374</v>
      </c>
      <c r="D1232" s="5">
        <v>8</v>
      </c>
      <c r="E1232" s="5">
        <v>0</v>
      </c>
      <c r="F1232" s="5">
        <v>0</v>
      </c>
      <c r="G1232" s="5">
        <v>0</v>
      </c>
      <c r="H1232" s="5">
        <v>8</v>
      </c>
      <c r="I1232" s="5">
        <v>0</v>
      </c>
      <c r="J1232" s="5">
        <v>0</v>
      </c>
      <c r="K1232" s="5">
        <v>0</v>
      </c>
      <c r="L1232" s="5">
        <v>0</v>
      </c>
      <c r="M1232" s="5">
        <v>0</v>
      </c>
      <c r="N1232" s="5">
        <v>4</v>
      </c>
      <c r="O1232" s="5" t="str">
        <f t="shared" ca="1" si="19"/>
        <v>Supplier 18</v>
      </c>
      <c r="P1232" s="20" t="str">
        <f ca="1">IFERROR(VLOOKUP(O1232,EMAILS!B:C,2,FALSE),"NOT FOUND IN EMAILS")</f>
        <v>supplier@gmail.com</v>
      </c>
      <c r="Q1232" t="str">
        <f ca="1">""&amp;IFERROR(VLOOKUP(O1232,EMAILS!B:D,3,FALSE),"NOT FOUND IN EMAILS")</f>
        <v>supplier_logistics@gmail.com</v>
      </c>
      <c r="R1232" t="str">
        <f ca="1">""&amp;IFERROR(VLOOKUP(O1232,EMAILS!B:E,4,FALSE),"NO T FOUND IN EMAILS")</f>
        <v/>
      </c>
    </row>
    <row r="1233" spans="2:18" x14ac:dyDescent="0.25">
      <c r="B1233" s="5" t="s">
        <v>1235</v>
      </c>
      <c r="C1233" s="5" t="s">
        <v>5375</v>
      </c>
      <c r="D1233" s="5">
        <v>4</v>
      </c>
      <c r="E1233" s="5">
        <v>0</v>
      </c>
      <c r="F1233" s="5">
        <v>0</v>
      </c>
      <c r="G1233" s="5">
        <v>0</v>
      </c>
      <c r="H1233" s="5">
        <v>4</v>
      </c>
      <c r="I1233" s="5">
        <v>0</v>
      </c>
      <c r="J1233" s="5">
        <v>0</v>
      </c>
      <c r="K1233" s="5">
        <v>0</v>
      </c>
      <c r="L1233" s="5">
        <v>0</v>
      </c>
      <c r="M1233" s="5">
        <v>0</v>
      </c>
      <c r="N1233" s="5">
        <v>8</v>
      </c>
      <c r="O1233" s="5" t="str">
        <f t="shared" ca="1" si="19"/>
        <v>Supplier 35</v>
      </c>
      <c r="P1233" s="20" t="str">
        <f ca="1">IFERROR(VLOOKUP(O1233,EMAILS!B:C,2,FALSE),"NOT FOUND IN EMAILS")</f>
        <v>supplier@gmail.com</v>
      </c>
      <c r="Q1233" t="str">
        <f ca="1">""&amp;IFERROR(VLOOKUP(O1233,EMAILS!B:D,3,FALSE),"NOT FOUND IN EMAILS")</f>
        <v/>
      </c>
      <c r="R1233" t="str">
        <f ca="1">""&amp;IFERROR(VLOOKUP(O1233,EMAILS!B:E,4,FALSE),"NO T FOUND IN EMAILS")</f>
        <v/>
      </c>
    </row>
    <row r="1234" spans="2:18" x14ac:dyDescent="0.25">
      <c r="B1234" s="5" t="s">
        <v>1236</v>
      </c>
      <c r="C1234" s="5" t="s">
        <v>5376</v>
      </c>
      <c r="D1234" s="5">
        <v>8</v>
      </c>
      <c r="E1234" s="5">
        <v>0</v>
      </c>
      <c r="F1234" s="5">
        <v>0</v>
      </c>
      <c r="G1234" s="5">
        <v>0</v>
      </c>
      <c r="H1234" s="5">
        <v>8</v>
      </c>
      <c r="I1234" s="5">
        <v>0</v>
      </c>
      <c r="J1234" s="5">
        <v>0</v>
      </c>
      <c r="K1234" s="5">
        <v>0</v>
      </c>
      <c r="L1234" s="5">
        <v>0</v>
      </c>
      <c r="M1234" s="5">
        <v>0</v>
      </c>
      <c r="N1234" s="5">
        <v>7</v>
      </c>
      <c r="O1234" s="5" t="str">
        <f t="shared" ca="1" si="19"/>
        <v>Supplier 154</v>
      </c>
      <c r="P1234" s="20" t="str">
        <f ca="1">IFERROR(VLOOKUP(O1234,EMAILS!B:C,2,FALSE),"NOT FOUND IN EMAILS")</f>
        <v>supplier@gmail.com</v>
      </c>
      <c r="Q1234" t="str">
        <f ca="1">""&amp;IFERROR(VLOOKUP(O1234,EMAILS!B:D,3,FALSE),"NOT FOUND IN EMAILS")</f>
        <v/>
      </c>
      <c r="R1234" t="str">
        <f ca="1">""&amp;IFERROR(VLOOKUP(O1234,EMAILS!B:E,4,FALSE),"NO T FOUND IN EMAILS")</f>
        <v/>
      </c>
    </row>
    <row r="1235" spans="2:18" x14ac:dyDescent="0.25">
      <c r="B1235" s="5" t="s">
        <v>1237</v>
      </c>
      <c r="C1235" s="5" t="s">
        <v>5377</v>
      </c>
      <c r="D1235" s="5">
        <v>2</v>
      </c>
      <c r="E1235" s="5">
        <v>0</v>
      </c>
      <c r="F1235" s="5">
        <v>0</v>
      </c>
      <c r="G1235" s="5">
        <v>0</v>
      </c>
      <c r="H1235" s="5">
        <v>2</v>
      </c>
      <c r="I1235" s="5">
        <v>0</v>
      </c>
      <c r="J1235" s="5">
        <v>0</v>
      </c>
      <c r="K1235" s="5">
        <v>0</v>
      </c>
      <c r="L1235" s="5">
        <v>0</v>
      </c>
      <c r="M1235" s="5">
        <v>0</v>
      </c>
      <c r="N1235" s="5">
        <v>39</v>
      </c>
      <c r="O1235" s="5" t="str">
        <f t="shared" ca="1" si="19"/>
        <v>Supplier 127</v>
      </c>
      <c r="P1235" s="20" t="str">
        <f ca="1">IFERROR(VLOOKUP(O1235,EMAILS!B:C,2,FALSE),"NOT FOUND IN EMAILS")</f>
        <v>supplier@gmail.com</v>
      </c>
      <c r="Q1235" t="str">
        <f ca="1">""&amp;IFERROR(VLOOKUP(O1235,EMAILS!B:D,3,FALSE),"NOT FOUND IN EMAILS")</f>
        <v/>
      </c>
      <c r="R1235" t="str">
        <f ca="1">""&amp;IFERROR(VLOOKUP(O1235,EMAILS!B:E,4,FALSE),"NO T FOUND IN EMAILS")</f>
        <v/>
      </c>
    </row>
    <row r="1236" spans="2:18" x14ac:dyDescent="0.25">
      <c r="B1236" s="5" t="s">
        <v>1238</v>
      </c>
      <c r="C1236" s="5" t="s">
        <v>5378</v>
      </c>
      <c r="D1236" s="5">
        <v>6</v>
      </c>
      <c r="E1236" s="5">
        <v>0</v>
      </c>
      <c r="F1236" s="5">
        <v>0</v>
      </c>
      <c r="G1236" s="5">
        <v>0</v>
      </c>
      <c r="H1236" s="5">
        <v>6</v>
      </c>
      <c r="I1236" s="5">
        <v>0</v>
      </c>
      <c r="J1236" s="5">
        <v>0</v>
      </c>
      <c r="K1236" s="5">
        <v>0</v>
      </c>
      <c r="L1236" s="5">
        <v>0</v>
      </c>
      <c r="M1236" s="5">
        <v>0</v>
      </c>
      <c r="N1236" s="5">
        <v>45</v>
      </c>
      <c r="O1236" s="5" t="str">
        <f t="shared" ca="1" si="19"/>
        <v>Supplier 60</v>
      </c>
      <c r="P1236" s="20" t="str">
        <f ca="1">IFERROR(VLOOKUP(O1236,EMAILS!B:C,2,FALSE),"NOT FOUND IN EMAILS")</f>
        <v>supplier@gmail.com</v>
      </c>
      <c r="Q1236" t="str">
        <f ca="1">""&amp;IFERROR(VLOOKUP(O1236,EMAILS!B:D,3,FALSE),"NOT FOUND IN EMAILS")</f>
        <v/>
      </c>
      <c r="R1236" t="str">
        <f ca="1">""&amp;IFERROR(VLOOKUP(O1236,EMAILS!B:E,4,FALSE),"NO T FOUND IN EMAILS")</f>
        <v/>
      </c>
    </row>
    <row r="1237" spans="2:18" x14ac:dyDescent="0.25">
      <c r="B1237" s="5" t="s">
        <v>1239</v>
      </c>
      <c r="C1237" s="5" t="s">
        <v>5379</v>
      </c>
      <c r="D1237" s="5">
        <v>8</v>
      </c>
      <c r="E1237" s="5">
        <v>0</v>
      </c>
      <c r="F1237" s="5">
        <v>0</v>
      </c>
      <c r="G1237" s="5">
        <v>0</v>
      </c>
      <c r="H1237" s="5">
        <v>8</v>
      </c>
      <c r="I1237" s="5">
        <v>0</v>
      </c>
      <c r="J1237" s="5">
        <v>0</v>
      </c>
      <c r="K1237" s="5">
        <v>0</v>
      </c>
      <c r="L1237" s="5">
        <v>0</v>
      </c>
      <c r="M1237" s="5">
        <v>0</v>
      </c>
      <c r="N1237" s="5">
        <v>25</v>
      </c>
      <c r="O1237" s="5" t="str">
        <f t="shared" ca="1" si="19"/>
        <v>Supplier 200</v>
      </c>
      <c r="P1237" s="20" t="str">
        <f ca="1">IFERROR(VLOOKUP(O1237,EMAILS!B:C,2,FALSE),"NOT FOUND IN EMAILS")</f>
        <v>supplier@gmail.com</v>
      </c>
      <c r="Q1237" t="str">
        <f ca="1">""&amp;IFERROR(VLOOKUP(O1237,EMAILS!B:D,3,FALSE),"NOT FOUND IN EMAILS")</f>
        <v/>
      </c>
      <c r="R1237" t="str">
        <f ca="1">""&amp;IFERROR(VLOOKUP(O1237,EMAILS!B:E,4,FALSE),"NO T FOUND IN EMAILS")</f>
        <v/>
      </c>
    </row>
    <row r="1238" spans="2:18" x14ac:dyDescent="0.25">
      <c r="B1238" s="5" t="s">
        <v>1240</v>
      </c>
      <c r="C1238" s="5" t="s">
        <v>5380</v>
      </c>
      <c r="D1238" s="5">
        <v>7</v>
      </c>
      <c r="E1238" s="5">
        <v>7</v>
      </c>
      <c r="F1238" s="5">
        <v>9</v>
      </c>
      <c r="G1238" s="5">
        <v>9</v>
      </c>
      <c r="H1238" s="5">
        <v>7</v>
      </c>
      <c r="I1238" s="5">
        <v>9</v>
      </c>
      <c r="J1238" s="5">
        <v>5</v>
      </c>
      <c r="K1238" s="5">
        <v>5</v>
      </c>
      <c r="L1238" s="5">
        <v>5</v>
      </c>
      <c r="M1238" s="5">
        <v>0</v>
      </c>
      <c r="N1238" s="5">
        <v>0</v>
      </c>
      <c r="O1238" s="5" t="str">
        <f t="shared" ca="1" si="19"/>
        <v>Supplier 7</v>
      </c>
      <c r="P1238" s="20" t="str">
        <f ca="1">IFERROR(VLOOKUP(O1238,EMAILS!B:C,2,FALSE),"NOT FOUND IN EMAILS")</f>
        <v>supplier@gmail.com</v>
      </c>
      <c r="Q1238" t="str">
        <f ca="1">""&amp;IFERROR(VLOOKUP(O1238,EMAILS!B:D,3,FALSE),"NOT FOUND IN EMAILS")</f>
        <v>supplier_logistics@gmail.com</v>
      </c>
      <c r="R1238" t="str">
        <f ca="1">""&amp;IFERROR(VLOOKUP(O1238,EMAILS!B:E,4,FALSE),"NO T FOUND IN EMAILS")</f>
        <v/>
      </c>
    </row>
    <row r="1239" spans="2:18" x14ac:dyDescent="0.25">
      <c r="B1239" s="5" t="s">
        <v>1241</v>
      </c>
      <c r="C1239" s="5" t="s">
        <v>5381</v>
      </c>
      <c r="D1239" s="5">
        <v>3</v>
      </c>
      <c r="E1239" s="5">
        <v>3</v>
      </c>
      <c r="F1239" s="5">
        <v>4</v>
      </c>
      <c r="G1239" s="5">
        <v>4</v>
      </c>
      <c r="H1239" s="5">
        <v>3</v>
      </c>
      <c r="I1239" s="5">
        <v>4</v>
      </c>
      <c r="J1239" s="5">
        <v>2</v>
      </c>
      <c r="K1239" s="5">
        <v>2</v>
      </c>
      <c r="L1239" s="5">
        <v>2</v>
      </c>
      <c r="M1239" s="5">
        <v>0</v>
      </c>
      <c r="N1239" s="5">
        <v>0</v>
      </c>
      <c r="O1239" s="5" t="str">
        <f t="shared" ca="1" si="19"/>
        <v>Supplier 16</v>
      </c>
      <c r="P1239" s="20" t="str">
        <f ca="1">IFERROR(VLOOKUP(O1239,EMAILS!B:C,2,FALSE),"NOT FOUND IN EMAILS")</f>
        <v>supplier@gmail.com</v>
      </c>
      <c r="Q1239" t="str">
        <f ca="1">""&amp;IFERROR(VLOOKUP(O1239,EMAILS!B:D,3,FALSE),"NOT FOUND IN EMAILS")</f>
        <v>supplier_logistics@gmail.com</v>
      </c>
      <c r="R1239" t="str">
        <f ca="1">""&amp;IFERROR(VLOOKUP(O1239,EMAILS!B:E,4,FALSE),"NO T FOUND IN EMAILS")</f>
        <v/>
      </c>
    </row>
    <row r="1240" spans="2:18" x14ac:dyDescent="0.25">
      <c r="B1240" s="5" t="s">
        <v>1242</v>
      </c>
      <c r="C1240" s="5" t="s">
        <v>5382</v>
      </c>
      <c r="D1240" s="5">
        <v>3</v>
      </c>
      <c r="E1240" s="5">
        <v>3</v>
      </c>
      <c r="F1240" s="5">
        <v>4</v>
      </c>
      <c r="G1240" s="5">
        <v>4</v>
      </c>
      <c r="H1240" s="5">
        <v>3</v>
      </c>
      <c r="I1240" s="5">
        <v>4</v>
      </c>
      <c r="J1240" s="5">
        <v>2</v>
      </c>
      <c r="K1240" s="5">
        <v>2</v>
      </c>
      <c r="L1240" s="5">
        <v>2</v>
      </c>
      <c r="M1240" s="5">
        <v>0</v>
      </c>
      <c r="N1240" s="5">
        <v>7</v>
      </c>
      <c r="O1240" s="5" t="str">
        <f t="shared" ca="1" si="19"/>
        <v>Supplier 114</v>
      </c>
      <c r="P1240" s="20" t="str">
        <f ca="1">IFERROR(VLOOKUP(O1240,EMAILS!B:C,2,FALSE),"NOT FOUND IN EMAILS")</f>
        <v>supplier@gmail.com</v>
      </c>
      <c r="Q1240" t="str">
        <f ca="1">""&amp;IFERROR(VLOOKUP(O1240,EMAILS!B:D,3,FALSE),"NOT FOUND IN EMAILS")</f>
        <v/>
      </c>
      <c r="R1240" t="str">
        <f ca="1">""&amp;IFERROR(VLOOKUP(O1240,EMAILS!B:E,4,FALSE),"NO T FOUND IN EMAILS")</f>
        <v/>
      </c>
    </row>
    <row r="1241" spans="2:18" x14ac:dyDescent="0.25">
      <c r="B1241" s="5" t="s">
        <v>1243</v>
      </c>
      <c r="C1241" s="5" t="s">
        <v>5383</v>
      </c>
      <c r="D1241" s="5">
        <v>4</v>
      </c>
      <c r="E1241" s="5">
        <v>4</v>
      </c>
      <c r="F1241" s="5">
        <v>5</v>
      </c>
      <c r="G1241" s="5">
        <v>5</v>
      </c>
      <c r="H1241" s="5">
        <v>4</v>
      </c>
      <c r="I1241" s="5">
        <v>5</v>
      </c>
      <c r="J1241" s="5">
        <v>3</v>
      </c>
      <c r="K1241" s="5">
        <v>3</v>
      </c>
      <c r="L1241" s="5">
        <v>3</v>
      </c>
      <c r="M1241" s="5">
        <v>0</v>
      </c>
      <c r="N1241" s="5">
        <v>0</v>
      </c>
      <c r="O1241" s="5" t="str">
        <f t="shared" ca="1" si="19"/>
        <v>Supplier 22</v>
      </c>
      <c r="P1241" s="20" t="str">
        <f ca="1">IFERROR(VLOOKUP(O1241,EMAILS!B:C,2,FALSE),"NOT FOUND IN EMAILS")</f>
        <v>supplier@gmail.com</v>
      </c>
      <c r="Q1241" t="str">
        <f ca="1">""&amp;IFERROR(VLOOKUP(O1241,EMAILS!B:D,3,FALSE),"NOT FOUND IN EMAILS")</f>
        <v/>
      </c>
      <c r="R1241" t="str">
        <f ca="1">""&amp;IFERROR(VLOOKUP(O1241,EMAILS!B:E,4,FALSE),"NO T FOUND IN EMAILS")</f>
        <v/>
      </c>
    </row>
    <row r="1242" spans="2:18" x14ac:dyDescent="0.25">
      <c r="B1242" s="5" t="s">
        <v>1244</v>
      </c>
      <c r="C1242" s="5" t="s">
        <v>5384</v>
      </c>
      <c r="D1242" s="5">
        <v>3</v>
      </c>
      <c r="E1242" s="5">
        <v>3</v>
      </c>
      <c r="F1242" s="5">
        <v>4</v>
      </c>
      <c r="G1242" s="5">
        <v>4</v>
      </c>
      <c r="H1242" s="5">
        <v>3</v>
      </c>
      <c r="I1242" s="5">
        <v>4</v>
      </c>
      <c r="J1242" s="5">
        <v>2</v>
      </c>
      <c r="K1242" s="5">
        <v>2</v>
      </c>
      <c r="L1242" s="5">
        <v>2</v>
      </c>
      <c r="M1242" s="5">
        <v>0</v>
      </c>
      <c r="N1242" s="5">
        <v>32</v>
      </c>
      <c r="O1242" s="5" t="str">
        <f t="shared" ca="1" si="19"/>
        <v>Supplier 38</v>
      </c>
      <c r="P1242" s="20" t="str">
        <f ca="1">IFERROR(VLOOKUP(O1242,EMAILS!B:C,2,FALSE),"NOT FOUND IN EMAILS")</f>
        <v>supplier@gmail.com</v>
      </c>
      <c r="Q1242" t="str">
        <f ca="1">""&amp;IFERROR(VLOOKUP(O1242,EMAILS!B:D,3,FALSE),"NOT FOUND IN EMAILS")</f>
        <v/>
      </c>
      <c r="R1242" t="str">
        <f ca="1">""&amp;IFERROR(VLOOKUP(O1242,EMAILS!B:E,4,FALSE),"NO T FOUND IN EMAILS")</f>
        <v/>
      </c>
    </row>
    <row r="1243" spans="2:18" x14ac:dyDescent="0.25">
      <c r="B1243" s="5" t="s">
        <v>1245</v>
      </c>
      <c r="C1243" s="5" t="s">
        <v>5385</v>
      </c>
      <c r="D1243" s="5">
        <v>4</v>
      </c>
      <c r="E1243" s="5">
        <v>4</v>
      </c>
      <c r="F1243" s="5">
        <v>5</v>
      </c>
      <c r="G1243" s="5">
        <v>5</v>
      </c>
      <c r="H1243" s="5">
        <v>4</v>
      </c>
      <c r="I1243" s="5">
        <v>5</v>
      </c>
      <c r="J1243" s="5">
        <v>3</v>
      </c>
      <c r="K1243" s="5">
        <v>3</v>
      </c>
      <c r="L1243" s="5">
        <v>3</v>
      </c>
      <c r="M1243" s="5">
        <v>0</v>
      </c>
      <c r="N1243" s="5">
        <v>51</v>
      </c>
      <c r="O1243" s="5" t="str">
        <f t="shared" ca="1" si="19"/>
        <v>Supplier 191</v>
      </c>
      <c r="P1243" s="20" t="str">
        <f ca="1">IFERROR(VLOOKUP(O1243,EMAILS!B:C,2,FALSE),"NOT FOUND IN EMAILS")</f>
        <v>supplier@gmail.com</v>
      </c>
      <c r="Q1243" t="str">
        <f ca="1">""&amp;IFERROR(VLOOKUP(O1243,EMAILS!B:D,3,FALSE),"NOT FOUND IN EMAILS")</f>
        <v/>
      </c>
      <c r="R1243" t="str">
        <f ca="1">""&amp;IFERROR(VLOOKUP(O1243,EMAILS!B:E,4,FALSE),"NO T FOUND IN EMAILS")</f>
        <v/>
      </c>
    </row>
    <row r="1244" spans="2:18" x14ac:dyDescent="0.25">
      <c r="B1244" s="5" t="s">
        <v>1246</v>
      </c>
      <c r="C1244" s="5" t="s">
        <v>5386</v>
      </c>
      <c r="D1244" s="5">
        <v>3</v>
      </c>
      <c r="E1244" s="5">
        <v>3</v>
      </c>
      <c r="F1244" s="5">
        <v>4</v>
      </c>
      <c r="G1244" s="5">
        <v>4</v>
      </c>
      <c r="H1244" s="5">
        <v>3</v>
      </c>
      <c r="I1244" s="5">
        <v>4</v>
      </c>
      <c r="J1244" s="5">
        <v>2</v>
      </c>
      <c r="K1244" s="5">
        <v>2</v>
      </c>
      <c r="L1244" s="5">
        <v>2</v>
      </c>
      <c r="M1244" s="5">
        <v>0</v>
      </c>
      <c r="N1244" s="5">
        <v>17</v>
      </c>
      <c r="O1244" s="5" t="str">
        <f t="shared" ca="1" si="19"/>
        <v>Supplier 47</v>
      </c>
      <c r="P1244" s="20" t="str">
        <f ca="1">IFERROR(VLOOKUP(O1244,EMAILS!B:C,2,FALSE),"NOT FOUND IN EMAILS")</f>
        <v>supplier@gmail.com</v>
      </c>
      <c r="Q1244" t="str">
        <f ca="1">""&amp;IFERROR(VLOOKUP(O1244,EMAILS!B:D,3,FALSE),"NOT FOUND IN EMAILS")</f>
        <v/>
      </c>
      <c r="R1244" t="str">
        <f ca="1">""&amp;IFERROR(VLOOKUP(O1244,EMAILS!B:E,4,FALSE),"NO T FOUND IN EMAILS")</f>
        <v/>
      </c>
    </row>
    <row r="1245" spans="2:18" x14ac:dyDescent="0.25">
      <c r="B1245" s="5" t="s">
        <v>1247</v>
      </c>
      <c r="C1245" s="5" t="s">
        <v>5387</v>
      </c>
      <c r="D1245" s="5">
        <v>6</v>
      </c>
      <c r="E1245" s="5">
        <v>6</v>
      </c>
      <c r="F1245" s="5">
        <v>8</v>
      </c>
      <c r="G1245" s="5">
        <v>8</v>
      </c>
      <c r="H1245" s="5">
        <v>6</v>
      </c>
      <c r="I1245" s="5">
        <v>8</v>
      </c>
      <c r="J1245" s="5">
        <v>4</v>
      </c>
      <c r="K1245" s="5">
        <v>4</v>
      </c>
      <c r="L1245" s="5">
        <v>4</v>
      </c>
      <c r="M1245" s="5">
        <v>0</v>
      </c>
      <c r="N1245" s="5">
        <v>2</v>
      </c>
      <c r="O1245" s="5" t="str">
        <f t="shared" ca="1" si="19"/>
        <v>Supplier 33</v>
      </c>
      <c r="P1245" s="20" t="str">
        <f ca="1">IFERROR(VLOOKUP(O1245,EMAILS!B:C,2,FALSE),"NOT FOUND IN EMAILS")</f>
        <v>supplier@gmail.com</v>
      </c>
      <c r="Q1245" t="str">
        <f ca="1">""&amp;IFERROR(VLOOKUP(O1245,EMAILS!B:D,3,FALSE),"NOT FOUND IN EMAILS")</f>
        <v/>
      </c>
      <c r="R1245" t="str">
        <f ca="1">""&amp;IFERROR(VLOOKUP(O1245,EMAILS!B:E,4,FALSE),"NO T FOUND IN EMAILS")</f>
        <v/>
      </c>
    </row>
    <row r="1246" spans="2:18" x14ac:dyDescent="0.25">
      <c r="B1246" s="5" t="s">
        <v>1248</v>
      </c>
      <c r="C1246" s="5" t="s">
        <v>5388</v>
      </c>
      <c r="D1246" s="5">
        <v>4</v>
      </c>
      <c r="E1246" s="5">
        <v>4</v>
      </c>
      <c r="F1246" s="5">
        <v>5</v>
      </c>
      <c r="G1246" s="5">
        <v>5</v>
      </c>
      <c r="H1246" s="5">
        <v>4</v>
      </c>
      <c r="I1246" s="5">
        <v>5</v>
      </c>
      <c r="J1246" s="5">
        <v>3</v>
      </c>
      <c r="K1246" s="5">
        <v>3</v>
      </c>
      <c r="L1246" s="5">
        <v>3</v>
      </c>
      <c r="M1246" s="5">
        <v>0</v>
      </c>
      <c r="N1246" s="5">
        <v>86</v>
      </c>
      <c r="O1246" s="5" t="str">
        <f t="shared" ca="1" si="19"/>
        <v>Supplier 8</v>
      </c>
      <c r="P1246" s="20" t="str">
        <f ca="1">IFERROR(VLOOKUP(O1246,EMAILS!B:C,2,FALSE),"NOT FOUND IN EMAILS")</f>
        <v>supplier@gmail.com</v>
      </c>
      <c r="Q1246" t="str">
        <f ca="1">""&amp;IFERROR(VLOOKUP(O1246,EMAILS!B:D,3,FALSE),"NOT FOUND IN EMAILS")</f>
        <v>supplier_logistics@gmail.com</v>
      </c>
      <c r="R1246" t="str">
        <f ca="1">""&amp;IFERROR(VLOOKUP(O1246,EMAILS!B:E,4,FALSE),"NO T FOUND IN EMAILS")</f>
        <v/>
      </c>
    </row>
    <row r="1247" spans="2:18" x14ac:dyDescent="0.25">
      <c r="B1247" s="5" t="s">
        <v>1249</v>
      </c>
      <c r="C1247" s="5" t="s">
        <v>5389</v>
      </c>
      <c r="D1247" s="5">
        <v>16</v>
      </c>
      <c r="E1247" s="5">
        <v>16</v>
      </c>
      <c r="F1247" s="5">
        <v>20</v>
      </c>
      <c r="G1247" s="5">
        <v>20</v>
      </c>
      <c r="H1247" s="5">
        <v>16</v>
      </c>
      <c r="I1247" s="5">
        <v>20</v>
      </c>
      <c r="J1247" s="5">
        <v>12</v>
      </c>
      <c r="K1247" s="5">
        <v>12</v>
      </c>
      <c r="L1247" s="5">
        <v>12</v>
      </c>
      <c r="M1247" s="5">
        <v>0</v>
      </c>
      <c r="N1247" s="5">
        <v>33</v>
      </c>
      <c r="O1247" s="5" t="str">
        <f t="shared" ca="1" si="19"/>
        <v>Supplier 74</v>
      </c>
      <c r="P1247" s="20" t="str">
        <f ca="1">IFERROR(VLOOKUP(O1247,EMAILS!B:C,2,FALSE),"NOT FOUND IN EMAILS")</f>
        <v>supplier@gmail.com</v>
      </c>
      <c r="Q1247" t="str">
        <f ca="1">""&amp;IFERROR(VLOOKUP(O1247,EMAILS!B:D,3,FALSE),"NOT FOUND IN EMAILS")</f>
        <v/>
      </c>
      <c r="R1247" t="str">
        <f ca="1">""&amp;IFERROR(VLOOKUP(O1247,EMAILS!B:E,4,FALSE),"NO T FOUND IN EMAILS")</f>
        <v/>
      </c>
    </row>
    <row r="1248" spans="2:18" x14ac:dyDescent="0.25">
      <c r="B1248" s="5" t="s">
        <v>1250</v>
      </c>
      <c r="C1248" s="5" t="s">
        <v>5390</v>
      </c>
      <c r="D1248" s="5">
        <v>4</v>
      </c>
      <c r="E1248" s="5">
        <v>4</v>
      </c>
      <c r="F1248" s="5">
        <v>5</v>
      </c>
      <c r="G1248" s="5">
        <v>5</v>
      </c>
      <c r="H1248" s="5">
        <v>4</v>
      </c>
      <c r="I1248" s="5">
        <v>5</v>
      </c>
      <c r="J1248" s="5">
        <v>3</v>
      </c>
      <c r="K1248" s="5">
        <v>3</v>
      </c>
      <c r="L1248" s="5">
        <v>3</v>
      </c>
      <c r="M1248" s="5">
        <v>0</v>
      </c>
      <c r="N1248" s="5">
        <v>4</v>
      </c>
      <c r="O1248" s="5" t="str">
        <f t="shared" ca="1" si="19"/>
        <v>Supplier 187</v>
      </c>
      <c r="P1248" s="20" t="str">
        <f ca="1">IFERROR(VLOOKUP(O1248,EMAILS!B:C,2,FALSE),"NOT FOUND IN EMAILS")</f>
        <v>supplier@gmail.com</v>
      </c>
      <c r="Q1248" t="str">
        <f ca="1">""&amp;IFERROR(VLOOKUP(O1248,EMAILS!B:D,3,FALSE),"NOT FOUND IN EMAILS")</f>
        <v/>
      </c>
      <c r="R1248" t="str">
        <f ca="1">""&amp;IFERROR(VLOOKUP(O1248,EMAILS!B:E,4,FALSE),"NO T FOUND IN EMAILS")</f>
        <v/>
      </c>
    </row>
    <row r="1249" spans="2:18" x14ac:dyDescent="0.25">
      <c r="B1249" s="5" t="s">
        <v>1251</v>
      </c>
      <c r="C1249" s="5" t="s">
        <v>5391</v>
      </c>
      <c r="D1249" s="5">
        <v>3</v>
      </c>
      <c r="E1249" s="5">
        <v>3</v>
      </c>
      <c r="F1249" s="5">
        <v>4</v>
      </c>
      <c r="G1249" s="5">
        <v>4</v>
      </c>
      <c r="H1249" s="5">
        <v>3</v>
      </c>
      <c r="I1249" s="5">
        <v>4</v>
      </c>
      <c r="J1249" s="5">
        <v>2</v>
      </c>
      <c r="K1249" s="5">
        <v>2</v>
      </c>
      <c r="L1249" s="5">
        <v>2</v>
      </c>
      <c r="M1249" s="5">
        <v>0</v>
      </c>
      <c r="N1249" s="5">
        <v>50</v>
      </c>
      <c r="O1249" s="5" t="str">
        <f t="shared" ca="1" si="19"/>
        <v>Supplier 152</v>
      </c>
      <c r="P1249" s="20" t="str">
        <f ca="1">IFERROR(VLOOKUP(O1249,EMAILS!B:C,2,FALSE),"NOT FOUND IN EMAILS")</f>
        <v>supplier@gmail.com</v>
      </c>
      <c r="Q1249" t="str">
        <f ca="1">""&amp;IFERROR(VLOOKUP(O1249,EMAILS!B:D,3,FALSE),"NOT FOUND IN EMAILS")</f>
        <v/>
      </c>
      <c r="R1249" t="str">
        <f ca="1">""&amp;IFERROR(VLOOKUP(O1249,EMAILS!B:E,4,FALSE),"NO T FOUND IN EMAILS")</f>
        <v/>
      </c>
    </row>
    <row r="1250" spans="2:18" x14ac:dyDescent="0.25">
      <c r="B1250" s="5" t="s">
        <v>1252</v>
      </c>
      <c r="C1250" s="5" t="s">
        <v>5392</v>
      </c>
      <c r="D1250" s="5">
        <v>3</v>
      </c>
      <c r="E1250" s="5">
        <v>3</v>
      </c>
      <c r="F1250" s="5">
        <v>4</v>
      </c>
      <c r="G1250" s="5">
        <v>4</v>
      </c>
      <c r="H1250" s="5">
        <v>3</v>
      </c>
      <c r="I1250" s="5">
        <v>4</v>
      </c>
      <c r="J1250" s="5">
        <v>2</v>
      </c>
      <c r="K1250" s="5">
        <v>2</v>
      </c>
      <c r="L1250" s="5">
        <v>2</v>
      </c>
      <c r="M1250" s="5">
        <v>0</v>
      </c>
      <c r="N1250" s="5">
        <v>32</v>
      </c>
      <c r="O1250" s="5" t="str">
        <f t="shared" ca="1" si="19"/>
        <v>Supplier 191</v>
      </c>
      <c r="P1250" s="20" t="str">
        <f ca="1">IFERROR(VLOOKUP(O1250,EMAILS!B:C,2,FALSE),"NOT FOUND IN EMAILS")</f>
        <v>supplier@gmail.com</v>
      </c>
      <c r="Q1250" t="str">
        <f ca="1">""&amp;IFERROR(VLOOKUP(O1250,EMAILS!B:D,3,FALSE),"NOT FOUND IN EMAILS")</f>
        <v/>
      </c>
      <c r="R1250" t="str">
        <f ca="1">""&amp;IFERROR(VLOOKUP(O1250,EMAILS!B:E,4,FALSE),"NO T FOUND IN EMAILS")</f>
        <v/>
      </c>
    </row>
    <row r="1251" spans="2:18" x14ac:dyDescent="0.25">
      <c r="B1251" s="5" t="s">
        <v>1253</v>
      </c>
      <c r="C1251" s="5" t="s">
        <v>5393</v>
      </c>
      <c r="D1251" s="5">
        <v>1</v>
      </c>
      <c r="E1251" s="5">
        <v>1</v>
      </c>
      <c r="F1251" s="5">
        <v>1</v>
      </c>
      <c r="G1251" s="5">
        <v>1</v>
      </c>
      <c r="H1251" s="5">
        <v>1</v>
      </c>
      <c r="I1251" s="5">
        <v>1</v>
      </c>
      <c r="J1251" s="5">
        <v>1</v>
      </c>
      <c r="K1251" s="5">
        <v>1</v>
      </c>
      <c r="L1251" s="5">
        <v>1</v>
      </c>
      <c r="M1251" s="5">
        <v>0</v>
      </c>
      <c r="N1251" s="5">
        <v>31</v>
      </c>
      <c r="O1251" s="5" t="str">
        <f t="shared" ca="1" si="19"/>
        <v>Supplier 27</v>
      </c>
      <c r="P1251" s="20" t="str">
        <f ca="1">IFERROR(VLOOKUP(O1251,EMAILS!B:C,2,FALSE),"NOT FOUND IN EMAILS")</f>
        <v>supplier@gmail.com</v>
      </c>
      <c r="Q1251" t="str">
        <f ca="1">""&amp;IFERROR(VLOOKUP(O1251,EMAILS!B:D,3,FALSE),"NOT FOUND IN EMAILS")</f>
        <v/>
      </c>
      <c r="R1251" t="str">
        <f ca="1">""&amp;IFERROR(VLOOKUP(O1251,EMAILS!B:E,4,FALSE),"NO T FOUND IN EMAILS")</f>
        <v/>
      </c>
    </row>
    <row r="1252" spans="2:18" x14ac:dyDescent="0.25">
      <c r="B1252" s="5" t="s">
        <v>1254</v>
      </c>
      <c r="C1252" s="5" t="s">
        <v>5394</v>
      </c>
      <c r="D1252" s="5">
        <v>1</v>
      </c>
      <c r="E1252" s="5">
        <v>1</v>
      </c>
      <c r="F1252" s="5">
        <v>1</v>
      </c>
      <c r="G1252" s="5">
        <v>1</v>
      </c>
      <c r="H1252" s="5">
        <v>1</v>
      </c>
      <c r="I1252" s="5">
        <v>1</v>
      </c>
      <c r="J1252" s="5">
        <v>1</v>
      </c>
      <c r="K1252" s="5">
        <v>1</v>
      </c>
      <c r="L1252" s="5">
        <v>1</v>
      </c>
      <c r="M1252" s="5">
        <v>0</v>
      </c>
      <c r="N1252" s="5">
        <v>56</v>
      </c>
      <c r="O1252" s="5" t="str">
        <f t="shared" ca="1" si="19"/>
        <v>Supplier 13</v>
      </c>
      <c r="P1252" s="20" t="str">
        <f ca="1">IFERROR(VLOOKUP(O1252,EMAILS!B:C,2,FALSE),"NOT FOUND IN EMAILS")</f>
        <v>supplier@gmail.com</v>
      </c>
      <c r="Q1252" t="str">
        <f ca="1">""&amp;IFERROR(VLOOKUP(O1252,EMAILS!B:D,3,FALSE),"NOT FOUND IN EMAILS")</f>
        <v>supplier_logistics@gmail.com</v>
      </c>
      <c r="R1252" t="str">
        <f ca="1">""&amp;IFERROR(VLOOKUP(O1252,EMAILS!B:E,4,FALSE),"NO T FOUND IN EMAILS")</f>
        <v/>
      </c>
    </row>
    <row r="1253" spans="2:18" x14ac:dyDescent="0.25">
      <c r="B1253" s="5" t="s">
        <v>1255</v>
      </c>
      <c r="C1253" s="5" t="s">
        <v>5395</v>
      </c>
      <c r="D1253" s="5">
        <v>4</v>
      </c>
      <c r="E1253" s="5">
        <v>0</v>
      </c>
      <c r="F1253" s="5">
        <v>8</v>
      </c>
      <c r="G1253" s="5">
        <v>8</v>
      </c>
      <c r="H1253" s="5">
        <v>4</v>
      </c>
      <c r="I1253" s="5">
        <v>0</v>
      </c>
      <c r="J1253" s="5">
        <v>0</v>
      </c>
      <c r="K1253" s="5">
        <v>0</v>
      </c>
      <c r="L1253" s="5">
        <v>0</v>
      </c>
      <c r="M1253" s="5">
        <v>0</v>
      </c>
      <c r="N1253" s="5">
        <v>80</v>
      </c>
      <c r="O1253" s="5" t="str">
        <f t="shared" ca="1" si="19"/>
        <v>Supplier 5</v>
      </c>
      <c r="P1253" s="20" t="str">
        <f ca="1">IFERROR(VLOOKUP(O1253,EMAILS!B:C,2,FALSE),"NOT FOUND IN EMAILS")</f>
        <v>supplier@gmail.com</v>
      </c>
      <c r="Q1253" t="str">
        <f ca="1">""&amp;IFERROR(VLOOKUP(O1253,EMAILS!B:D,3,FALSE),"NOT FOUND IN EMAILS")</f>
        <v>supplier_logistics@gmail.com</v>
      </c>
      <c r="R1253" t="str">
        <f ca="1">""&amp;IFERROR(VLOOKUP(O1253,EMAILS!B:E,4,FALSE),"NO T FOUND IN EMAILS")</f>
        <v/>
      </c>
    </row>
    <row r="1254" spans="2:18" x14ac:dyDescent="0.25">
      <c r="B1254" s="5" t="s">
        <v>1256</v>
      </c>
      <c r="C1254" s="5" t="s">
        <v>5396</v>
      </c>
      <c r="D1254" s="5">
        <v>0</v>
      </c>
      <c r="E1254" s="5">
        <v>0</v>
      </c>
      <c r="F1254" s="5">
        <v>1</v>
      </c>
      <c r="G1254" s="5">
        <v>4</v>
      </c>
      <c r="H1254" s="5">
        <v>0</v>
      </c>
      <c r="I1254" s="5">
        <v>0</v>
      </c>
      <c r="J1254" s="5">
        <v>0</v>
      </c>
      <c r="K1254" s="5">
        <v>0</v>
      </c>
      <c r="L1254" s="5">
        <v>0</v>
      </c>
      <c r="M1254" s="5">
        <v>0</v>
      </c>
      <c r="N1254" s="5">
        <v>62</v>
      </c>
      <c r="O1254" s="5" t="str">
        <f t="shared" ca="1" si="19"/>
        <v>Supplier 130</v>
      </c>
      <c r="P1254" s="20" t="str">
        <f ca="1">IFERROR(VLOOKUP(O1254,EMAILS!B:C,2,FALSE),"NOT FOUND IN EMAILS")</f>
        <v>supplier@gmail.com</v>
      </c>
      <c r="Q1254" t="str">
        <f ca="1">""&amp;IFERROR(VLOOKUP(O1254,EMAILS!B:D,3,FALSE),"NOT FOUND IN EMAILS")</f>
        <v/>
      </c>
      <c r="R1254" t="str">
        <f ca="1">""&amp;IFERROR(VLOOKUP(O1254,EMAILS!B:E,4,FALSE),"NO T FOUND IN EMAILS")</f>
        <v/>
      </c>
    </row>
    <row r="1255" spans="2:18" x14ac:dyDescent="0.25">
      <c r="B1255" s="5" t="s">
        <v>1257</v>
      </c>
      <c r="C1255" s="5" t="s">
        <v>5397</v>
      </c>
      <c r="D1255" s="5">
        <v>16</v>
      </c>
      <c r="E1255" s="5">
        <v>4</v>
      </c>
      <c r="F1255" s="5">
        <v>13</v>
      </c>
      <c r="G1255" s="5">
        <v>8</v>
      </c>
      <c r="H1255" s="5">
        <v>8</v>
      </c>
      <c r="I1255" s="5">
        <v>8</v>
      </c>
      <c r="J1255" s="5">
        <v>0</v>
      </c>
      <c r="K1255" s="5">
        <v>12</v>
      </c>
      <c r="L1255" s="5">
        <v>0</v>
      </c>
      <c r="M1255" s="5">
        <v>0</v>
      </c>
      <c r="N1255" s="5">
        <v>59</v>
      </c>
      <c r="O1255" s="5" t="str">
        <f t="shared" ca="1" si="19"/>
        <v>Supplier 97</v>
      </c>
      <c r="P1255" s="20" t="str">
        <f ca="1">IFERROR(VLOOKUP(O1255,EMAILS!B:C,2,FALSE),"NOT FOUND IN EMAILS")</f>
        <v>supplier@gmail.com</v>
      </c>
      <c r="Q1255" t="str">
        <f ca="1">""&amp;IFERROR(VLOOKUP(O1255,EMAILS!B:D,3,FALSE),"NOT FOUND IN EMAILS")</f>
        <v/>
      </c>
      <c r="R1255" t="str">
        <f ca="1">""&amp;IFERROR(VLOOKUP(O1255,EMAILS!B:E,4,FALSE),"NO T FOUND IN EMAILS")</f>
        <v/>
      </c>
    </row>
    <row r="1256" spans="2:18" x14ac:dyDescent="0.25">
      <c r="B1256" s="5" t="s">
        <v>1258</v>
      </c>
      <c r="C1256" s="5" t="s">
        <v>5398</v>
      </c>
      <c r="D1256" s="5">
        <v>16</v>
      </c>
      <c r="E1256" s="5">
        <v>4</v>
      </c>
      <c r="F1256" s="5">
        <v>13</v>
      </c>
      <c r="G1256" s="5">
        <v>8</v>
      </c>
      <c r="H1256" s="5">
        <v>8</v>
      </c>
      <c r="I1256" s="5">
        <v>8</v>
      </c>
      <c r="J1256" s="5">
        <v>0</v>
      </c>
      <c r="K1256" s="5">
        <v>12</v>
      </c>
      <c r="L1256" s="5">
        <v>0</v>
      </c>
      <c r="M1256" s="5">
        <v>0</v>
      </c>
      <c r="N1256" s="5">
        <v>34</v>
      </c>
      <c r="O1256" s="5" t="str">
        <f t="shared" ca="1" si="19"/>
        <v>Supplier 175</v>
      </c>
      <c r="P1256" s="20" t="str">
        <f ca="1">IFERROR(VLOOKUP(O1256,EMAILS!B:C,2,FALSE),"NOT FOUND IN EMAILS")</f>
        <v>supplier@gmail.com</v>
      </c>
      <c r="Q1256" t="str">
        <f ca="1">""&amp;IFERROR(VLOOKUP(O1256,EMAILS!B:D,3,FALSE),"NOT FOUND IN EMAILS")</f>
        <v/>
      </c>
      <c r="R1256" t="str">
        <f ca="1">""&amp;IFERROR(VLOOKUP(O1256,EMAILS!B:E,4,FALSE),"NO T FOUND IN EMAILS")</f>
        <v/>
      </c>
    </row>
    <row r="1257" spans="2:18" x14ac:dyDescent="0.25">
      <c r="B1257" s="5" t="s">
        <v>1259</v>
      </c>
      <c r="C1257" s="5" t="s">
        <v>5399</v>
      </c>
      <c r="D1257" s="5">
        <v>48</v>
      </c>
      <c r="E1257" s="5">
        <v>12</v>
      </c>
      <c r="F1257" s="5">
        <v>39</v>
      </c>
      <c r="G1257" s="5">
        <v>24</v>
      </c>
      <c r="H1257" s="5">
        <v>24</v>
      </c>
      <c r="I1257" s="5">
        <v>24</v>
      </c>
      <c r="J1257" s="5">
        <v>0</v>
      </c>
      <c r="K1257" s="5">
        <v>36</v>
      </c>
      <c r="L1257" s="5">
        <v>0</v>
      </c>
      <c r="M1257" s="5">
        <v>0</v>
      </c>
      <c r="N1257" s="5">
        <v>14</v>
      </c>
      <c r="O1257" s="5" t="str">
        <f t="shared" ca="1" si="19"/>
        <v>Supplier 39</v>
      </c>
      <c r="P1257" s="20" t="str">
        <f ca="1">IFERROR(VLOOKUP(O1257,EMAILS!B:C,2,FALSE),"NOT FOUND IN EMAILS")</f>
        <v>supplier@gmail.com</v>
      </c>
      <c r="Q1257" t="str">
        <f ca="1">""&amp;IFERROR(VLOOKUP(O1257,EMAILS!B:D,3,FALSE),"NOT FOUND IN EMAILS")</f>
        <v/>
      </c>
      <c r="R1257" t="str">
        <f ca="1">""&amp;IFERROR(VLOOKUP(O1257,EMAILS!B:E,4,FALSE),"NO T FOUND IN EMAILS")</f>
        <v/>
      </c>
    </row>
    <row r="1258" spans="2:18" x14ac:dyDescent="0.25">
      <c r="B1258" s="5" t="s">
        <v>1260</v>
      </c>
      <c r="C1258" s="5" t="s">
        <v>5400</v>
      </c>
      <c r="D1258" s="5">
        <v>10</v>
      </c>
      <c r="E1258" s="5">
        <v>2</v>
      </c>
      <c r="F1258" s="5">
        <v>7</v>
      </c>
      <c r="G1258" s="5">
        <v>4</v>
      </c>
      <c r="H1258" s="5">
        <v>4</v>
      </c>
      <c r="I1258" s="5">
        <v>4</v>
      </c>
      <c r="J1258" s="5">
        <v>0</v>
      </c>
      <c r="K1258" s="5">
        <v>8</v>
      </c>
      <c r="L1258" s="5">
        <v>0</v>
      </c>
      <c r="M1258" s="5">
        <v>0</v>
      </c>
      <c r="N1258" s="5">
        <v>13</v>
      </c>
      <c r="O1258" s="5" t="str">
        <f t="shared" ca="1" si="19"/>
        <v>Supplier 115</v>
      </c>
      <c r="P1258" s="20" t="str">
        <f ca="1">IFERROR(VLOOKUP(O1258,EMAILS!B:C,2,FALSE),"NOT FOUND IN EMAILS")</f>
        <v>supplier@gmail.com</v>
      </c>
      <c r="Q1258" t="str">
        <f ca="1">""&amp;IFERROR(VLOOKUP(O1258,EMAILS!B:D,3,FALSE),"NOT FOUND IN EMAILS")</f>
        <v/>
      </c>
      <c r="R1258" t="str">
        <f ca="1">""&amp;IFERROR(VLOOKUP(O1258,EMAILS!B:E,4,FALSE),"NO T FOUND IN EMAILS")</f>
        <v/>
      </c>
    </row>
    <row r="1259" spans="2:18" x14ac:dyDescent="0.25">
      <c r="B1259" s="5" t="s">
        <v>1261</v>
      </c>
      <c r="C1259" s="5" t="s">
        <v>5401</v>
      </c>
      <c r="D1259" s="5">
        <v>10</v>
      </c>
      <c r="E1259" s="5">
        <v>2</v>
      </c>
      <c r="F1259" s="5">
        <v>7</v>
      </c>
      <c r="G1259" s="5">
        <v>4</v>
      </c>
      <c r="H1259" s="5">
        <v>4</v>
      </c>
      <c r="I1259" s="5">
        <v>4</v>
      </c>
      <c r="J1259" s="5">
        <v>0</v>
      </c>
      <c r="K1259" s="5">
        <v>8</v>
      </c>
      <c r="L1259" s="5">
        <v>0</v>
      </c>
      <c r="M1259" s="5">
        <v>0</v>
      </c>
      <c r="N1259" s="5">
        <v>242</v>
      </c>
      <c r="O1259" s="5" t="str">
        <f t="shared" ca="1" si="19"/>
        <v>Supplier 199</v>
      </c>
      <c r="P1259" s="20" t="str">
        <f ca="1">IFERROR(VLOOKUP(O1259,EMAILS!B:C,2,FALSE),"NOT FOUND IN EMAILS")</f>
        <v>supplier@gmail.com</v>
      </c>
      <c r="Q1259" t="str">
        <f ca="1">""&amp;IFERROR(VLOOKUP(O1259,EMAILS!B:D,3,FALSE),"NOT FOUND IN EMAILS")</f>
        <v/>
      </c>
      <c r="R1259" t="str">
        <f ca="1">""&amp;IFERROR(VLOOKUP(O1259,EMAILS!B:E,4,FALSE),"NO T FOUND IN EMAILS")</f>
        <v/>
      </c>
    </row>
    <row r="1260" spans="2:18" x14ac:dyDescent="0.25">
      <c r="B1260" s="5" t="s">
        <v>1262</v>
      </c>
      <c r="C1260" s="5" t="s">
        <v>5402</v>
      </c>
      <c r="D1260" s="5">
        <v>40</v>
      </c>
      <c r="E1260" s="5">
        <v>22</v>
      </c>
      <c r="F1260" s="5">
        <v>36</v>
      </c>
      <c r="G1260" s="5">
        <v>0</v>
      </c>
      <c r="H1260" s="5">
        <v>3</v>
      </c>
      <c r="I1260" s="5">
        <v>0</v>
      </c>
      <c r="J1260" s="5">
        <v>0</v>
      </c>
      <c r="K1260" s="5">
        <v>0</v>
      </c>
      <c r="L1260" s="5">
        <v>0</v>
      </c>
      <c r="M1260" s="5">
        <v>0</v>
      </c>
      <c r="N1260" s="5">
        <v>258</v>
      </c>
      <c r="O1260" s="5" t="str">
        <f t="shared" ca="1" si="19"/>
        <v>Supplier 192</v>
      </c>
      <c r="P1260" s="20" t="str">
        <f ca="1">IFERROR(VLOOKUP(O1260,EMAILS!B:C,2,FALSE),"NOT FOUND IN EMAILS")</f>
        <v>supplier@gmail.com</v>
      </c>
      <c r="Q1260" t="str">
        <f ca="1">""&amp;IFERROR(VLOOKUP(O1260,EMAILS!B:D,3,FALSE),"NOT FOUND IN EMAILS")</f>
        <v/>
      </c>
      <c r="R1260" t="str">
        <f ca="1">""&amp;IFERROR(VLOOKUP(O1260,EMAILS!B:E,4,FALSE),"NO T FOUND IN EMAILS")</f>
        <v/>
      </c>
    </row>
    <row r="1261" spans="2:18" x14ac:dyDescent="0.25">
      <c r="B1261" s="5" t="s">
        <v>1263</v>
      </c>
      <c r="C1261" s="5" t="s">
        <v>5403</v>
      </c>
      <c r="D1261" s="5">
        <v>40</v>
      </c>
      <c r="E1261" s="5">
        <v>22</v>
      </c>
      <c r="F1261" s="5">
        <v>36</v>
      </c>
      <c r="G1261" s="5">
        <v>0</v>
      </c>
      <c r="H1261" s="5">
        <v>3</v>
      </c>
      <c r="I1261" s="5">
        <v>0</v>
      </c>
      <c r="J1261" s="5">
        <v>0</v>
      </c>
      <c r="K1261" s="5">
        <v>0</v>
      </c>
      <c r="L1261" s="5">
        <v>0</v>
      </c>
      <c r="M1261" s="5">
        <v>0</v>
      </c>
      <c r="N1261" s="5">
        <v>0</v>
      </c>
      <c r="O1261" s="5" t="str">
        <f t="shared" ca="1" si="19"/>
        <v>Supplier 150</v>
      </c>
      <c r="P1261" s="20" t="str">
        <f ca="1">IFERROR(VLOOKUP(O1261,EMAILS!B:C,2,FALSE),"NOT FOUND IN EMAILS")</f>
        <v>supplier@gmail.com</v>
      </c>
      <c r="Q1261" t="str">
        <f ca="1">""&amp;IFERROR(VLOOKUP(O1261,EMAILS!B:D,3,FALSE),"NOT FOUND IN EMAILS")</f>
        <v/>
      </c>
      <c r="R1261" t="str">
        <f ca="1">""&amp;IFERROR(VLOOKUP(O1261,EMAILS!B:E,4,FALSE),"NO T FOUND IN EMAILS")</f>
        <v/>
      </c>
    </row>
    <row r="1262" spans="2:18" x14ac:dyDescent="0.25">
      <c r="B1262" s="5" t="s">
        <v>1264</v>
      </c>
      <c r="C1262" s="5" t="s">
        <v>5404</v>
      </c>
      <c r="D1262" s="5">
        <v>2</v>
      </c>
      <c r="E1262" s="5">
        <v>20</v>
      </c>
      <c r="F1262" s="5">
        <v>23</v>
      </c>
      <c r="G1262" s="5">
        <v>0</v>
      </c>
      <c r="H1262" s="5">
        <v>0</v>
      </c>
      <c r="I1262" s="5">
        <v>20</v>
      </c>
      <c r="J1262" s="5">
        <v>0</v>
      </c>
      <c r="K1262" s="5">
        <v>0</v>
      </c>
      <c r="L1262" s="5">
        <v>0</v>
      </c>
      <c r="M1262" s="5">
        <v>0</v>
      </c>
      <c r="N1262" s="5">
        <v>40</v>
      </c>
      <c r="O1262" s="5" t="str">
        <f t="shared" ca="1" si="19"/>
        <v>Supplier 166</v>
      </c>
      <c r="P1262" s="20" t="str">
        <f ca="1">IFERROR(VLOOKUP(O1262,EMAILS!B:C,2,FALSE),"NOT FOUND IN EMAILS")</f>
        <v>supplier@gmail.com</v>
      </c>
      <c r="Q1262" t="str">
        <f ca="1">""&amp;IFERROR(VLOOKUP(O1262,EMAILS!B:D,3,FALSE),"NOT FOUND IN EMAILS")</f>
        <v/>
      </c>
      <c r="R1262" t="str">
        <f ca="1">""&amp;IFERROR(VLOOKUP(O1262,EMAILS!B:E,4,FALSE),"NO T FOUND IN EMAILS")</f>
        <v/>
      </c>
    </row>
    <row r="1263" spans="2:18" x14ac:dyDescent="0.25">
      <c r="B1263" s="5" t="s">
        <v>1265</v>
      </c>
      <c r="C1263" s="5" t="s">
        <v>5405</v>
      </c>
      <c r="D1263" s="5">
        <v>20</v>
      </c>
      <c r="E1263" s="5">
        <v>2</v>
      </c>
      <c r="F1263" s="5">
        <v>0</v>
      </c>
      <c r="G1263" s="5">
        <v>0</v>
      </c>
      <c r="H1263" s="5">
        <v>0</v>
      </c>
      <c r="I1263" s="5">
        <v>0</v>
      </c>
      <c r="J1263" s="5">
        <v>0</v>
      </c>
      <c r="K1263" s="5">
        <v>25</v>
      </c>
      <c r="L1263" s="5">
        <v>0</v>
      </c>
      <c r="M1263" s="5">
        <v>0</v>
      </c>
      <c r="N1263" s="5">
        <v>100</v>
      </c>
      <c r="O1263" s="5" t="str">
        <f t="shared" ca="1" si="19"/>
        <v>Supplier 150</v>
      </c>
      <c r="P1263" s="20" t="str">
        <f ca="1">IFERROR(VLOOKUP(O1263,EMAILS!B:C,2,FALSE),"NOT FOUND IN EMAILS")</f>
        <v>supplier@gmail.com</v>
      </c>
      <c r="Q1263" t="str">
        <f ca="1">""&amp;IFERROR(VLOOKUP(O1263,EMAILS!B:D,3,FALSE),"NOT FOUND IN EMAILS")</f>
        <v/>
      </c>
      <c r="R1263" t="str">
        <f ca="1">""&amp;IFERROR(VLOOKUP(O1263,EMAILS!B:E,4,FALSE),"NO T FOUND IN EMAILS")</f>
        <v/>
      </c>
    </row>
    <row r="1264" spans="2:18" x14ac:dyDescent="0.25">
      <c r="B1264" s="5" t="s">
        <v>1266</v>
      </c>
      <c r="C1264" s="5" t="s">
        <v>5406</v>
      </c>
      <c r="D1264" s="5">
        <v>44</v>
      </c>
      <c r="E1264" s="5">
        <v>0</v>
      </c>
      <c r="F1264" s="5">
        <v>0</v>
      </c>
      <c r="G1264" s="5">
        <v>40</v>
      </c>
      <c r="H1264" s="5">
        <v>40</v>
      </c>
      <c r="I1264" s="5">
        <v>40</v>
      </c>
      <c r="J1264" s="5">
        <v>0</v>
      </c>
      <c r="K1264" s="5">
        <v>50</v>
      </c>
      <c r="L1264" s="5">
        <v>40</v>
      </c>
      <c r="M1264" s="5">
        <v>0</v>
      </c>
      <c r="N1264" s="5">
        <v>66</v>
      </c>
      <c r="O1264" s="5" t="str">
        <f t="shared" ca="1" si="19"/>
        <v>Supplier 114</v>
      </c>
      <c r="P1264" s="20" t="str">
        <f ca="1">IFERROR(VLOOKUP(O1264,EMAILS!B:C,2,FALSE),"NOT FOUND IN EMAILS")</f>
        <v>supplier@gmail.com</v>
      </c>
      <c r="Q1264" t="str">
        <f ca="1">""&amp;IFERROR(VLOOKUP(O1264,EMAILS!B:D,3,FALSE),"NOT FOUND IN EMAILS")</f>
        <v/>
      </c>
      <c r="R1264" t="str">
        <f ca="1">""&amp;IFERROR(VLOOKUP(O1264,EMAILS!B:E,4,FALSE),"NO T FOUND IN EMAILS")</f>
        <v/>
      </c>
    </row>
    <row r="1265" spans="2:18" x14ac:dyDescent="0.25">
      <c r="B1265" s="5" t="s">
        <v>1267</v>
      </c>
      <c r="C1265" s="5" t="s">
        <v>5407</v>
      </c>
      <c r="D1265" s="5">
        <v>40</v>
      </c>
      <c r="E1265" s="5">
        <v>40</v>
      </c>
      <c r="F1265" s="5">
        <v>0</v>
      </c>
      <c r="G1265" s="5">
        <v>40</v>
      </c>
      <c r="H1265" s="5">
        <v>54</v>
      </c>
      <c r="I1265" s="5">
        <v>0</v>
      </c>
      <c r="J1265" s="5">
        <v>0</v>
      </c>
      <c r="K1265" s="5">
        <v>0</v>
      </c>
      <c r="L1265" s="5">
        <v>40</v>
      </c>
      <c r="M1265" s="5">
        <v>0</v>
      </c>
      <c r="N1265" s="5">
        <v>0</v>
      </c>
      <c r="O1265" s="5" t="str">
        <f t="shared" ca="1" si="19"/>
        <v>Supplier 68</v>
      </c>
      <c r="P1265" s="20" t="str">
        <f ca="1">IFERROR(VLOOKUP(O1265,EMAILS!B:C,2,FALSE),"NOT FOUND IN EMAILS")</f>
        <v>supplier@gmail.com</v>
      </c>
      <c r="Q1265" t="str">
        <f ca="1">""&amp;IFERROR(VLOOKUP(O1265,EMAILS!B:D,3,FALSE),"NOT FOUND IN EMAILS")</f>
        <v/>
      </c>
      <c r="R1265" t="str">
        <f ca="1">""&amp;IFERROR(VLOOKUP(O1265,EMAILS!B:E,4,FALSE),"NO T FOUND IN EMAILS")</f>
        <v/>
      </c>
    </row>
    <row r="1266" spans="2:18" x14ac:dyDescent="0.25">
      <c r="B1266" s="5" t="s">
        <v>1268</v>
      </c>
      <c r="C1266" s="5" t="s">
        <v>5408</v>
      </c>
      <c r="D1266" s="5">
        <v>12</v>
      </c>
      <c r="E1266" s="5">
        <v>0</v>
      </c>
      <c r="F1266" s="5">
        <v>12</v>
      </c>
      <c r="G1266" s="5">
        <v>0</v>
      </c>
      <c r="H1266" s="5">
        <v>0</v>
      </c>
      <c r="I1266" s="5">
        <v>12</v>
      </c>
      <c r="J1266" s="5">
        <v>0</v>
      </c>
      <c r="K1266" s="5">
        <v>12</v>
      </c>
      <c r="L1266" s="5">
        <v>0</v>
      </c>
      <c r="M1266" s="5">
        <v>0</v>
      </c>
      <c r="N1266" s="5">
        <v>8</v>
      </c>
      <c r="O1266" s="5" t="str">
        <f t="shared" ca="1" si="19"/>
        <v>Supplier 190</v>
      </c>
      <c r="P1266" s="20" t="str">
        <f ca="1">IFERROR(VLOOKUP(O1266,EMAILS!B:C,2,FALSE),"NOT FOUND IN EMAILS")</f>
        <v>supplier@gmail.com</v>
      </c>
      <c r="Q1266" t="str">
        <f ca="1">""&amp;IFERROR(VLOOKUP(O1266,EMAILS!B:D,3,FALSE),"NOT FOUND IN EMAILS")</f>
        <v/>
      </c>
      <c r="R1266" t="str">
        <f ca="1">""&amp;IFERROR(VLOOKUP(O1266,EMAILS!B:E,4,FALSE),"NO T FOUND IN EMAILS")</f>
        <v/>
      </c>
    </row>
    <row r="1267" spans="2:18" x14ac:dyDescent="0.25">
      <c r="B1267" s="5" t="s">
        <v>1269</v>
      </c>
      <c r="C1267" s="5" t="s">
        <v>5409</v>
      </c>
      <c r="D1267" s="5">
        <v>4</v>
      </c>
      <c r="E1267" s="5">
        <v>0</v>
      </c>
      <c r="F1267" s="5">
        <v>9</v>
      </c>
      <c r="G1267" s="5">
        <v>12</v>
      </c>
      <c r="H1267" s="5">
        <v>4</v>
      </c>
      <c r="I1267" s="5">
        <v>0</v>
      </c>
      <c r="J1267" s="5">
        <v>0</v>
      </c>
      <c r="K1267" s="5">
        <v>0</v>
      </c>
      <c r="L1267" s="5">
        <v>0</v>
      </c>
      <c r="M1267" s="5">
        <v>0</v>
      </c>
      <c r="N1267" s="5">
        <v>10</v>
      </c>
      <c r="O1267" s="5" t="str">
        <f t="shared" ca="1" si="19"/>
        <v>Supplier 47</v>
      </c>
      <c r="P1267" s="20" t="str">
        <f ca="1">IFERROR(VLOOKUP(O1267,EMAILS!B:C,2,FALSE),"NOT FOUND IN EMAILS")</f>
        <v>supplier@gmail.com</v>
      </c>
      <c r="Q1267" t="str">
        <f ca="1">""&amp;IFERROR(VLOOKUP(O1267,EMAILS!B:D,3,FALSE),"NOT FOUND IN EMAILS")</f>
        <v/>
      </c>
      <c r="R1267" t="str">
        <f ca="1">""&amp;IFERROR(VLOOKUP(O1267,EMAILS!B:E,4,FALSE),"NO T FOUND IN EMAILS")</f>
        <v/>
      </c>
    </row>
    <row r="1268" spans="2:18" x14ac:dyDescent="0.25">
      <c r="B1268" s="5" t="s">
        <v>1270</v>
      </c>
      <c r="C1268" s="5" t="s">
        <v>5410</v>
      </c>
      <c r="D1268" s="5">
        <v>0</v>
      </c>
      <c r="E1268" s="5">
        <v>9</v>
      </c>
      <c r="F1268" s="5">
        <v>0</v>
      </c>
      <c r="G1268" s="5">
        <v>0</v>
      </c>
      <c r="H1268" s="5">
        <v>0</v>
      </c>
      <c r="I1268" s="5">
        <v>0</v>
      </c>
      <c r="J1268" s="5">
        <v>0</v>
      </c>
      <c r="K1268" s="5">
        <v>0</v>
      </c>
      <c r="L1268" s="5">
        <v>0</v>
      </c>
      <c r="M1268" s="5">
        <v>0</v>
      </c>
      <c r="N1268" s="5">
        <v>0</v>
      </c>
      <c r="O1268" s="5" t="str">
        <f t="shared" ca="1" si="19"/>
        <v>Supplier 30</v>
      </c>
      <c r="P1268" s="20" t="str">
        <f ca="1">IFERROR(VLOOKUP(O1268,EMAILS!B:C,2,FALSE),"NOT FOUND IN EMAILS")</f>
        <v>supplier@gmail.com</v>
      </c>
      <c r="Q1268" t="str">
        <f ca="1">""&amp;IFERROR(VLOOKUP(O1268,EMAILS!B:D,3,FALSE),"NOT FOUND IN EMAILS")</f>
        <v/>
      </c>
      <c r="R1268" t="str">
        <f ca="1">""&amp;IFERROR(VLOOKUP(O1268,EMAILS!B:E,4,FALSE),"NO T FOUND IN EMAILS")</f>
        <v/>
      </c>
    </row>
    <row r="1269" spans="2:18" x14ac:dyDescent="0.25">
      <c r="B1269" s="5" t="s">
        <v>1271</v>
      </c>
      <c r="C1269" s="5" t="s">
        <v>5411</v>
      </c>
      <c r="D1269" s="5">
        <v>0</v>
      </c>
      <c r="E1269" s="5">
        <v>0</v>
      </c>
      <c r="F1269" s="5">
        <v>0</v>
      </c>
      <c r="G1269" s="5">
        <v>0</v>
      </c>
      <c r="H1269" s="5">
        <v>0</v>
      </c>
      <c r="I1269" s="5">
        <v>0</v>
      </c>
      <c r="J1269" s="5">
        <v>0</v>
      </c>
      <c r="K1269" s="5">
        <v>0</v>
      </c>
      <c r="L1269" s="5">
        <v>0</v>
      </c>
      <c r="M1269" s="5">
        <v>0</v>
      </c>
      <c r="N1269" s="5">
        <v>11</v>
      </c>
      <c r="O1269" s="5" t="str">
        <f t="shared" ca="1" si="19"/>
        <v>Supplier 4</v>
      </c>
      <c r="P1269" s="20" t="str">
        <f ca="1">IFERROR(VLOOKUP(O1269,EMAILS!B:C,2,FALSE),"NOT FOUND IN EMAILS")</f>
        <v>supplier@gmail.com</v>
      </c>
      <c r="Q1269" t="str">
        <f ca="1">""&amp;IFERROR(VLOOKUP(O1269,EMAILS!B:D,3,FALSE),"NOT FOUND IN EMAILS")</f>
        <v>supplier_logistics@gmail.com</v>
      </c>
      <c r="R1269" t="str">
        <f ca="1">""&amp;IFERROR(VLOOKUP(O1269,EMAILS!B:E,4,FALSE),"NO T FOUND IN EMAILS")</f>
        <v/>
      </c>
    </row>
    <row r="1270" spans="2:18" x14ac:dyDescent="0.25">
      <c r="B1270" s="5" t="s">
        <v>1272</v>
      </c>
      <c r="C1270" s="5" t="s">
        <v>5412</v>
      </c>
      <c r="D1270" s="5">
        <v>3</v>
      </c>
      <c r="E1270" s="5">
        <v>3</v>
      </c>
      <c r="F1270" s="5">
        <v>4</v>
      </c>
      <c r="G1270" s="5">
        <v>4</v>
      </c>
      <c r="H1270" s="5">
        <v>3</v>
      </c>
      <c r="I1270" s="5">
        <v>4</v>
      </c>
      <c r="J1270" s="5">
        <v>2</v>
      </c>
      <c r="K1270" s="5">
        <v>2</v>
      </c>
      <c r="L1270" s="5">
        <v>2</v>
      </c>
      <c r="M1270" s="5">
        <v>0</v>
      </c>
      <c r="N1270" s="5">
        <v>11</v>
      </c>
      <c r="O1270" s="5" t="str">
        <f t="shared" ca="1" si="19"/>
        <v>Supplier 128</v>
      </c>
      <c r="P1270" s="20" t="str">
        <f ca="1">IFERROR(VLOOKUP(O1270,EMAILS!B:C,2,FALSE),"NOT FOUND IN EMAILS")</f>
        <v>supplier@gmail.com</v>
      </c>
      <c r="Q1270" t="str">
        <f ca="1">""&amp;IFERROR(VLOOKUP(O1270,EMAILS!B:D,3,FALSE),"NOT FOUND IN EMAILS")</f>
        <v/>
      </c>
      <c r="R1270" t="str">
        <f ca="1">""&amp;IFERROR(VLOOKUP(O1270,EMAILS!B:E,4,FALSE),"NO T FOUND IN EMAILS")</f>
        <v/>
      </c>
    </row>
    <row r="1271" spans="2:18" x14ac:dyDescent="0.25">
      <c r="B1271" s="5" t="s">
        <v>1273</v>
      </c>
      <c r="C1271" s="5" t="s">
        <v>5413</v>
      </c>
      <c r="D1271" s="5">
        <v>3</v>
      </c>
      <c r="E1271" s="5">
        <v>3</v>
      </c>
      <c r="F1271" s="5">
        <v>4</v>
      </c>
      <c r="G1271" s="5">
        <v>4</v>
      </c>
      <c r="H1271" s="5">
        <v>3</v>
      </c>
      <c r="I1271" s="5">
        <v>4</v>
      </c>
      <c r="J1271" s="5">
        <v>2</v>
      </c>
      <c r="K1271" s="5">
        <v>2</v>
      </c>
      <c r="L1271" s="5">
        <v>2</v>
      </c>
      <c r="M1271" s="5">
        <v>0</v>
      </c>
      <c r="N1271" s="5">
        <v>11</v>
      </c>
      <c r="O1271" s="5" t="str">
        <f t="shared" ca="1" si="19"/>
        <v>Supplier 158</v>
      </c>
      <c r="P1271" s="20" t="str">
        <f ca="1">IFERROR(VLOOKUP(O1271,EMAILS!B:C,2,FALSE),"NOT FOUND IN EMAILS")</f>
        <v>supplier@gmail.com</v>
      </c>
      <c r="Q1271" t="str">
        <f ca="1">""&amp;IFERROR(VLOOKUP(O1271,EMAILS!B:D,3,FALSE),"NOT FOUND IN EMAILS")</f>
        <v/>
      </c>
      <c r="R1271" t="str">
        <f ca="1">""&amp;IFERROR(VLOOKUP(O1271,EMAILS!B:E,4,FALSE),"NO T FOUND IN EMAILS")</f>
        <v/>
      </c>
    </row>
    <row r="1272" spans="2:18" x14ac:dyDescent="0.25">
      <c r="B1272" s="5" t="s">
        <v>1274</v>
      </c>
      <c r="C1272" s="5" t="s">
        <v>5414</v>
      </c>
      <c r="D1272" s="5">
        <v>3</v>
      </c>
      <c r="E1272" s="5">
        <v>3</v>
      </c>
      <c r="F1272" s="5">
        <v>4</v>
      </c>
      <c r="G1272" s="5">
        <v>4</v>
      </c>
      <c r="H1272" s="5">
        <v>3</v>
      </c>
      <c r="I1272" s="5">
        <v>4</v>
      </c>
      <c r="J1272" s="5">
        <v>2</v>
      </c>
      <c r="K1272" s="5">
        <v>2</v>
      </c>
      <c r="L1272" s="5">
        <v>2</v>
      </c>
      <c r="M1272" s="5">
        <v>0</v>
      </c>
      <c r="N1272" s="5">
        <v>10</v>
      </c>
      <c r="O1272" s="5" t="str">
        <f t="shared" ca="1" si="19"/>
        <v>Supplier 194</v>
      </c>
      <c r="P1272" s="20" t="str">
        <f ca="1">IFERROR(VLOOKUP(O1272,EMAILS!B:C,2,FALSE),"NOT FOUND IN EMAILS")</f>
        <v>supplier@gmail.com</v>
      </c>
      <c r="Q1272" t="str">
        <f ca="1">""&amp;IFERROR(VLOOKUP(O1272,EMAILS!B:D,3,FALSE),"NOT FOUND IN EMAILS")</f>
        <v/>
      </c>
      <c r="R1272" t="str">
        <f ca="1">""&amp;IFERROR(VLOOKUP(O1272,EMAILS!B:E,4,FALSE),"NO T FOUND IN EMAILS")</f>
        <v/>
      </c>
    </row>
    <row r="1273" spans="2:18" x14ac:dyDescent="0.25">
      <c r="B1273" s="5" t="s">
        <v>1275</v>
      </c>
      <c r="C1273" s="5" t="s">
        <v>5415</v>
      </c>
      <c r="D1273" s="5">
        <v>3</v>
      </c>
      <c r="E1273" s="5">
        <v>3</v>
      </c>
      <c r="F1273" s="5">
        <v>4</v>
      </c>
      <c r="G1273" s="5">
        <v>4</v>
      </c>
      <c r="H1273" s="5">
        <v>3</v>
      </c>
      <c r="I1273" s="5">
        <v>4</v>
      </c>
      <c r="J1273" s="5">
        <v>2</v>
      </c>
      <c r="K1273" s="5">
        <v>2</v>
      </c>
      <c r="L1273" s="5">
        <v>2</v>
      </c>
      <c r="M1273" s="5">
        <v>0</v>
      </c>
      <c r="N1273" s="5">
        <v>14</v>
      </c>
      <c r="O1273" s="5" t="str">
        <f t="shared" ca="1" si="19"/>
        <v>Supplier 133</v>
      </c>
      <c r="P1273" s="20" t="str">
        <f ca="1">IFERROR(VLOOKUP(O1273,EMAILS!B:C,2,FALSE),"NOT FOUND IN EMAILS")</f>
        <v>supplier@gmail.com</v>
      </c>
      <c r="Q1273" t="str">
        <f ca="1">""&amp;IFERROR(VLOOKUP(O1273,EMAILS!B:D,3,FALSE),"NOT FOUND IN EMAILS")</f>
        <v/>
      </c>
      <c r="R1273" t="str">
        <f ca="1">""&amp;IFERROR(VLOOKUP(O1273,EMAILS!B:E,4,FALSE),"NO T FOUND IN EMAILS")</f>
        <v/>
      </c>
    </row>
    <row r="1274" spans="2:18" x14ac:dyDescent="0.25">
      <c r="B1274" s="5" t="s">
        <v>1276</v>
      </c>
      <c r="C1274" s="5" t="s">
        <v>5416</v>
      </c>
      <c r="D1274" s="5">
        <v>6</v>
      </c>
      <c r="E1274" s="5">
        <v>6</v>
      </c>
      <c r="F1274" s="5">
        <v>8</v>
      </c>
      <c r="G1274" s="5">
        <v>8</v>
      </c>
      <c r="H1274" s="5">
        <v>6</v>
      </c>
      <c r="I1274" s="5">
        <v>8</v>
      </c>
      <c r="J1274" s="5">
        <v>4</v>
      </c>
      <c r="K1274" s="5">
        <v>4</v>
      </c>
      <c r="L1274" s="5">
        <v>4</v>
      </c>
      <c r="M1274" s="5">
        <v>0</v>
      </c>
      <c r="N1274" s="5">
        <v>7</v>
      </c>
      <c r="O1274" s="5" t="str">
        <f t="shared" ca="1" si="19"/>
        <v>Supplier 152</v>
      </c>
      <c r="P1274" s="20" t="str">
        <f ca="1">IFERROR(VLOOKUP(O1274,EMAILS!B:C,2,FALSE),"NOT FOUND IN EMAILS")</f>
        <v>supplier@gmail.com</v>
      </c>
      <c r="Q1274" t="str">
        <f ca="1">""&amp;IFERROR(VLOOKUP(O1274,EMAILS!B:D,3,FALSE),"NOT FOUND IN EMAILS")</f>
        <v/>
      </c>
      <c r="R1274" t="str">
        <f ca="1">""&amp;IFERROR(VLOOKUP(O1274,EMAILS!B:E,4,FALSE),"NO T FOUND IN EMAILS")</f>
        <v/>
      </c>
    </row>
    <row r="1275" spans="2:18" x14ac:dyDescent="0.25">
      <c r="B1275" s="5" t="s">
        <v>1277</v>
      </c>
      <c r="C1275" s="5" t="s">
        <v>5417</v>
      </c>
      <c r="D1275" s="5">
        <v>3</v>
      </c>
      <c r="E1275" s="5">
        <v>3</v>
      </c>
      <c r="F1275" s="5">
        <v>4</v>
      </c>
      <c r="G1275" s="5">
        <v>4</v>
      </c>
      <c r="H1275" s="5">
        <v>3</v>
      </c>
      <c r="I1275" s="5">
        <v>4</v>
      </c>
      <c r="J1275" s="5">
        <v>2</v>
      </c>
      <c r="K1275" s="5">
        <v>2</v>
      </c>
      <c r="L1275" s="5">
        <v>2</v>
      </c>
      <c r="M1275" s="5">
        <v>0</v>
      </c>
      <c r="N1275" s="5">
        <v>14</v>
      </c>
      <c r="O1275" s="5" t="str">
        <f t="shared" ca="1" si="19"/>
        <v>Supplier 59</v>
      </c>
      <c r="P1275" s="20" t="str">
        <f ca="1">IFERROR(VLOOKUP(O1275,EMAILS!B:C,2,FALSE),"NOT FOUND IN EMAILS")</f>
        <v>supplier@gmail.com</v>
      </c>
      <c r="Q1275" t="str">
        <f ca="1">""&amp;IFERROR(VLOOKUP(O1275,EMAILS!B:D,3,FALSE),"NOT FOUND IN EMAILS")</f>
        <v/>
      </c>
      <c r="R1275" t="str">
        <f ca="1">""&amp;IFERROR(VLOOKUP(O1275,EMAILS!B:E,4,FALSE),"NO T FOUND IN EMAILS")</f>
        <v/>
      </c>
    </row>
    <row r="1276" spans="2:18" x14ac:dyDescent="0.25">
      <c r="B1276" s="5" t="s">
        <v>1278</v>
      </c>
      <c r="C1276" s="5" t="s">
        <v>5418</v>
      </c>
      <c r="D1276" s="5">
        <v>3</v>
      </c>
      <c r="E1276" s="5">
        <v>3</v>
      </c>
      <c r="F1276" s="5">
        <v>4</v>
      </c>
      <c r="G1276" s="5">
        <v>4</v>
      </c>
      <c r="H1276" s="5">
        <v>3</v>
      </c>
      <c r="I1276" s="5">
        <v>4</v>
      </c>
      <c r="J1276" s="5">
        <v>2</v>
      </c>
      <c r="K1276" s="5">
        <v>2</v>
      </c>
      <c r="L1276" s="5">
        <v>2</v>
      </c>
      <c r="M1276" s="5">
        <v>0</v>
      </c>
      <c r="N1276" s="5">
        <v>31</v>
      </c>
      <c r="O1276" s="5" t="str">
        <f t="shared" ca="1" si="19"/>
        <v>Supplier 71</v>
      </c>
      <c r="P1276" s="20" t="str">
        <f ca="1">IFERROR(VLOOKUP(O1276,EMAILS!B:C,2,FALSE),"NOT FOUND IN EMAILS")</f>
        <v>supplier@gmail.com</v>
      </c>
      <c r="Q1276" t="str">
        <f ca="1">""&amp;IFERROR(VLOOKUP(O1276,EMAILS!B:D,3,FALSE),"NOT FOUND IN EMAILS")</f>
        <v/>
      </c>
      <c r="R1276" t="str">
        <f ca="1">""&amp;IFERROR(VLOOKUP(O1276,EMAILS!B:E,4,FALSE),"NO T FOUND IN EMAILS")</f>
        <v/>
      </c>
    </row>
    <row r="1277" spans="2:18" x14ac:dyDescent="0.25">
      <c r="B1277" s="5" t="s">
        <v>1279</v>
      </c>
      <c r="C1277" s="5" t="s">
        <v>5419</v>
      </c>
      <c r="D1277" s="5">
        <v>3</v>
      </c>
      <c r="E1277" s="5">
        <v>3</v>
      </c>
      <c r="F1277" s="5">
        <v>4</v>
      </c>
      <c r="G1277" s="5">
        <v>4</v>
      </c>
      <c r="H1277" s="5">
        <v>3</v>
      </c>
      <c r="I1277" s="5">
        <v>4</v>
      </c>
      <c r="J1277" s="5">
        <v>2</v>
      </c>
      <c r="K1277" s="5">
        <v>2</v>
      </c>
      <c r="L1277" s="5">
        <v>2</v>
      </c>
      <c r="M1277" s="5">
        <v>0</v>
      </c>
      <c r="N1277" s="5">
        <v>10</v>
      </c>
      <c r="O1277" s="5" t="str">
        <f t="shared" ca="1" si="19"/>
        <v>Supplier 122</v>
      </c>
      <c r="P1277" s="20" t="str">
        <f ca="1">IFERROR(VLOOKUP(O1277,EMAILS!B:C,2,FALSE),"NOT FOUND IN EMAILS")</f>
        <v>supplier@gmail.com</v>
      </c>
      <c r="Q1277" t="str">
        <f ca="1">""&amp;IFERROR(VLOOKUP(O1277,EMAILS!B:D,3,FALSE),"NOT FOUND IN EMAILS")</f>
        <v/>
      </c>
      <c r="R1277" t="str">
        <f ca="1">""&amp;IFERROR(VLOOKUP(O1277,EMAILS!B:E,4,FALSE),"NO T FOUND IN EMAILS")</f>
        <v/>
      </c>
    </row>
    <row r="1278" spans="2:18" x14ac:dyDescent="0.25">
      <c r="B1278" s="5" t="s">
        <v>1280</v>
      </c>
      <c r="C1278" s="5" t="s">
        <v>5420</v>
      </c>
      <c r="D1278" s="5">
        <v>3</v>
      </c>
      <c r="E1278" s="5">
        <v>3</v>
      </c>
      <c r="F1278" s="5">
        <v>4</v>
      </c>
      <c r="G1278" s="5">
        <v>4</v>
      </c>
      <c r="H1278" s="5">
        <v>3</v>
      </c>
      <c r="I1278" s="5">
        <v>4</v>
      </c>
      <c r="J1278" s="5">
        <v>2</v>
      </c>
      <c r="K1278" s="5">
        <v>2</v>
      </c>
      <c r="L1278" s="5">
        <v>2</v>
      </c>
      <c r="M1278" s="5">
        <v>0</v>
      </c>
      <c r="N1278" s="5">
        <v>11</v>
      </c>
      <c r="O1278" s="5" t="str">
        <f t="shared" ca="1" si="19"/>
        <v>Supplier 145</v>
      </c>
      <c r="P1278" s="20" t="str">
        <f ca="1">IFERROR(VLOOKUP(O1278,EMAILS!B:C,2,FALSE),"NOT FOUND IN EMAILS")</f>
        <v>supplier@gmail.com</v>
      </c>
      <c r="Q1278" t="str">
        <f ca="1">""&amp;IFERROR(VLOOKUP(O1278,EMAILS!B:D,3,FALSE),"NOT FOUND IN EMAILS")</f>
        <v/>
      </c>
      <c r="R1278" t="str">
        <f ca="1">""&amp;IFERROR(VLOOKUP(O1278,EMAILS!B:E,4,FALSE),"NO T FOUND IN EMAILS")</f>
        <v/>
      </c>
    </row>
    <row r="1279" spans="2:18" x14ac:dyDescent="0.25">
      <c r="B1279" s="5" t="s">
        <v>1281</v>
      </c>
      <c r="C1279" s="5" t="s">
        <v>5421</v>
      </c>
      <c r="D1279" s="5">
        <v>3</v>
      </c>
      <c r="E1279" s="5">
        <v>3</v>
      </c>
      <c r="F1279" s="5">
        <v>4</v>
      </c>
      <c r="G1279" s="5">
        <v>4</v>
      </c>
      <c r="H1279" s="5">
        <v>3</v>
      </c>
      <c r="I1279" s="5">
        <v>4</v>
      </c>
      <c r="J1279" s="5">
        <v>2</v>
      </c>
      <c r="K1279" s="5">
        <v>2</v>
      </c>
      <c r="L1279" s="5">
        <v>2</v>
      </c>
      <c r="M1279" s="5">
        <v>0</v>
      </c>
      <c r="N1279" s="5">
        <v>11</v>
      </c>
      <c r="O1279" s="5" t="str">
        <f t="shared" ca="1" si="19"/>
        <v>Supplier 178</v>
      </c>
      <c r="P1279" s="20" t="str">
        <f ca="1">IFERROR(VLOOKUP(O1279,EMAILS!B:C,2,FALSE),"NOT FOUND IN EMAILS")</f>
        <v>supplier@gmail.com</v>
      </c>
      <c r="Q1279" t="str">
        <f ca="1">""&amp;IFERROR(VLOOKUP(O1279,EMAILS!B:D,3,FALSE),"NOT FOUND IN EMAILS")</f>
        <v/>
      </c>
      <c r="R1279" t="str">
        <f ca="1">""&amp;IFERROR(VLOOKUP(O1279,EMAILS!B:E,4,FALSE),"NO T FOUND IN EMAILS")</f>
        <v/>
      </c>
    </row>
    <row r="1280" spans="2:18" x14ac:dyDescent="0.25">
      <c r="B1280" s="5" t="s">
        <v>1282</v>
      </c>
      <c r="C1280" s="5" t="s">
        <v>5422</v>
      </c>
      <c r="D1280" s="5">
        <v>3</v>
      </c>
      <c r="E1280" s="5">
        <v>3</v>
      </c>
      <c r="F1280" s="5">
        <v>4</v>
      </c>
      <c r="G1280" s="5">
        <v>4</v>
      </c>
      <c r="H1280" s="5">
        <v>3</v>
      </c>
      <c r="I1280" s="5">
        <v>4</v>
      </c>
      <c r="J1280" s="5">
        <v>2</v>
      </c>
      <c r="K1280" s="5">
        <v>2</v>
      </c>
      <c r="L1280" s="5">
        <v>2</v>
      </c>
      <c r="M1280" s="5">
        <v>0</v>
      </c>
      <c r="N1280" s="5">
        <v>11</v>
      </c>
      <c r="O1280" s="5" t="str">
        <f t="shared" ca="1" si="19"/>
        <v>Supplier 173</v>
      </c>
      <c r="P1280" s="20" t="str">
        <f ca="1">IFERROR(VLOOKUP(O1280,EMAILS!B:C,2,FALSE),"NOT FOUND IN EMAILS")</f>
        <v>supplier@gmail.com</v>
      </c>
      <c r="Q1280" t="str">
        <f ca="1">""&amp;IFERROR(VLOOKUP(O1280,EMAILS!B:D,3,FALSE),"NOT FOUND IN EMAILS")</f>
        <v/>
      </c>
      <c r="R1280" t="str">
        <f ca="1">""&amp;IFERROR(VLOOKUP(O1280,EMAILS!B:E,4,FALSE),"NO T FOUND IN EMAILS")</f>
        <v/>
      </c>
    </row>
    <row r="1281" spans="2:18" x14ac:dyDescent="0.25">
      <c r="B1281" s="5" t="s">
        <v>1283</v>
      </c>
      <c r="C1281" s="5" t="s">
        <v>5423</v>
      </c>
      <c r="D1281" s="5">
        <v>3</v>
      </c>
      <c r="E1281" s="5">
        <v>3</v>
      </c>
      <c r="F1281" s="5">
        <v>4</v>
      </c>
      <c r="G1281" s="5">
        <v>4</v>
      </c>
      <c r="H1281" s="5">
        <v>3</v>
      </c>
      <c r="I1281" s="5">
        <v>4</v>
      </c>
      <c r="J1281" s="5">
        <v>2</v>
      </c>
      <c r="K1281" s="5">
        <v>2</v>
      </c>
      <c r="L1281" s="5">
        <v>2</v>
      </c>
      <c r="M1281" s="5">
        <v>0</v>
      </c>
      <c r="N1281" s="5">
        <v>11</v>
      </c>
      <c r="O1281" s="5" t="str">
        <f t="shared" ca="1" si="19"/>
        <v>Supplier 52</v>
      </c>
      <c r="P1281" s="20" t="str">
        <f ca="1">IFERROR(VLOOKUP(O1281,EMAILS!B:C,2,FALSE),"NOT FOUND IN EMAILS")</f>
        <v>supplier@gmail.com</v>
      </c>
      <c r="Q1281" t="str">
        <f ca="1">""&amp;IFERROR(VLOOKUP(O1281,EMAILS!B:D,3,FALSE),"NOT FOUND IN EMAILS")</f>
        <v/>
      </c>
      <c r="R1281" t="str">
        <f ca="1">""&amp;IFERROR(VLOOKUP(O1281,EMAILS!B:E,4,FALSE),"NO T FOUND IN EMAILS")</f>
        <v/>
      </c>
    </row>
    <row r="1282" spans="2:18" x14ac:dyDescent="0.25">
      <c r="B1282" s="5" t="s">
        <v>1284</v>
      </c>
      <c r="C1282" s="5" t="s">
        <v>5424</v>
      </c>
      <c r="D1282" s="5">
        <v>3</v>
      </c>
      <c r="E1282" s="5">
        <v>3</v>
      </c>
      <c r="F1282" s="5">
        <v>4</v>
      </c>
      <c r="G1282" s="5">
        <v>4</v>
      </c>
      <c r="H1282" s="5">
        <v>3</v>
      </c>
      <c r="I1282" s="5">
        <v>4</v>
      </c>
      <c r="J1282" s="5">
        <v>2</v>
      </c>
      <c r="K1282" s="5">
        <v>2</v>
      </c>
      <c r="L1282" s="5">
        <v>2</v>
      </c>
      <c r="M1282" s="5">
        <v>0</v>
      </c>
      <c r="N1282" s="5">
        <v>10</v>
      </c>
      <c r="O1282" s="5" t="str">
        <f t="shared" ca="1" si="19"/>
        <v>Supplier 153</v>
      </c>
      <c r="P1282" s="20" t="str">
        <f ca="1">IFERROR(VLOOKUP(O1282,EMAILS!B:C,2,FALSE),"NOT FOUND IN EMAILS")</f>
        <v>supplier@gmail.com</v>
      </c>
      <c r="Q1282" t="str">
        <f ca="1">""&amp;IFERROR(VLOOKUP(O1282,EMAILS!B:D,3,FALSE),"NOT FOUND IN EMAILS")</f>
        <v/>
      </c>
      <c r="R1282" t="str">
        <f ca="1">""&amp;IFERROR(VLOOKUP(O1282,EMAILS!B:E,4,FALSE),"NO T FOUND IN EMAILS")</f>
        <v/>
      </c>
    </row>
    <row r="1283" spans="2:18" x14ac:dyDescent="0.25">
      <c r="B1283" s="5" t="s">
        <v>1285</v>
      </c>
      <c r="C1283" s="5" t="s">
        <v>5425</v>
      </c>
      <c r="D1283" s="5">
        <v>3</v>
      </c>
      <c r="E1283" s="5">
        <v>3</v>
      </c>
      <c r="F1283" s="5">
        <v>4</v>
      </c>
      <c r="G1283" s="5">
        <v>4</v>
      </c>
      <c r="H1283" s="5">
        <v>3</v>
      </c>
      <c r="I1283" s="5">
        <v>4</v>
      </c>
      <c r="J1283" s="5">
        <v>2</v>
      </c>
      <c r="K1283" s="5">
        <v>2</v>
      </c>
      <c r="L1283" s="5">
        <v>2</v>
      </c>
      <c r="M1283" s="5">
        <v>0</v>
      </c>
      <c r="N1283" s="5">
        <v>11</v>
      </c>
      <c r="O1283" s="5" t="str">
        <f t="shared" ref="O1283:O1346" ca="1" si="20">"Supplier "&amp;RANDBETWEEN(1,200)</f>
        <v>Supplier 110</v>
      </c>
      <c r="P1283" s="20" t="str">
        <f ca="1">IFERROR(VLOOKUP(O1283,EMAILS!B:C,2,FALSE),"NOT FOUND IN EMAILS")</f>
        <v>supplier@gmail.com</v>
      </c>
      <c r="Q1283" t="str">
        <f ca="1">""&amp;IFERROR(VLOOKUP(O1283,EMAILS!B:D,3,FALSE),"NOT FOUND IN EMAILS")</f>
        <v/>
      </c>
      <c r="R1283" t="str">
        <f ca="1">""&amp;IFERROR(VLOOKUP(O1283,EMAILS!B:E,4,FALSE),"NO T FOUND IN EMAILS")</f>
        <v/>
      </c>
    </row>
    <row r="1284" spans="2:18" x14ac:dyDescent="0.25">
      <c r="B1284" s="5" t="s">
        <v>1286</v>
      </c>
      <c r="C1284" s="5" t="s">
        <v>5426</v>
      </c>
      <c r="D1284" s="5">
        <v>3</v>
      </c>
      <c r="E1284" s="5">
        <v>3</v>
      </c>
      <c r="F1284" s="5">
        <v>4</v>
      </c>
      <c r="G1284" s="5">
        <v>4</v>
      </c>
      <c r="H1284" s="5">
        <v>3</v>
      </c>
      <c r="I1284" s="5">
        <v>4</v>
      </c>
      <c r="J1284" s="5">
        <v>2</v>
      </c>
      <c r="K1284" s="5">
        <v>2</v>
      </c>
      <c r="L1284" s="5">
        <v>2</v>
      </c>
      <c r="M1284" s="5">
        <v>0</v>
      </c>
      <c r="N1284" s="5">
        <v>11</v>
      </c>
      <c r="O1284" s="5" t="str">
        <f t="shared" ca="1" si="20"/>
        <v>Supplier 137</v>
      </c>
      <c r="P1284" s="20" t="str">
        <f ca="1">IFERROR(VLOOKUP(O1284,EMAILS!B:C,2,FALSE),"NOT FOUND IN EMAILS")</f>
        <v>supplier@gmail.com</v>
      </c>
      <c r="Q1284" t="str">
        <f ca="1">""&amp;IFERROR(VLOOKUP(O1284,EMAILS!B:D,3,FALSE),"NOT FOUND IN EMAILS")</f>
        <v/>
      </c>
      <c r="R1284" t="str">
        <f ca="1">""&amp;IFERROR(VLOOKUP(O1284,EMAILS!B:E,4,FALSE),"NO T FOUND IN EMAILS")</f>
        <v/>
      </c>
    </row>
    <row r="1285" spans="2:18" x14ac:dyDescent="0.25">
      <c r="B1285" s="5" t="s">
        <v>1287</v>
      </c>
      <c r="C1285" s="5" t="s">
        <v>5427</v>
      </c>
      <c r="D1285" s="5">
        <v>3</v>
      </c>
      <c r="E1285" s="5">
        <v>3</v>
      </c>
      <c r="F1285" s="5">
        <v>4</v>
      </c>
      <c r="G1285" s="5">
        <v>4</v>
      </c>
      <c r="H1285" s="5">
        <v>3</v>
      </c>
      <c r="I1285" s="5">
        <v>4</v>
      </c>
      <c r="J1285" s="5">
        <v>2</v>
      </c>
      <c r="K1285" s="5">
        <v>2</v>
      </c>
      <c r="L1285" s="5">
        <v>2</v>
      </c>
      <c r="M1285" s="5">
        <v>0</v>
      </c>
      <c r="N1285" s="5">
        <v>11</v>
      </c>
      <c r="O1285" s="5" t="str">
        <f t="shared" ca="1" si="20"/>
        <v>Supplier 135</v>
      </c>
      <c r="P1285" s="20" t="str">
        <f ca="1">IFERROR(VLOOKUP(O1285,EMAILS!B:C,2,FALSE),"NOT FOUND IN EMAILS")</f>
        <v>supplier@gmail.com</v>
      </c>
      <c r="Q1285" t="str">
        <f ca="1">""&amp;IFERROR(VLOOKUP(O1285,EMAILS!B:D,3,FALSE),"NOT FOUND IN EMAILS")</f>
        <v/>
      </c>
      <c r="R1285" t="str">
        <f ca="1">""&amp;IFERROR(VLOOKUP(O1285,EMAILS!B:E,4,FALSE),"NO T FOUND IN EMAILS")</f>
        <v/>
      </c>
    </row>
    <row r="1286" spans="2:18" x14ac:dyDescent="0.25">
      <c r="B1286" s="5" t="s">
        <v>1288</v>
      </c>
      <c r="C1286" s="5" t="s">
        <v>5428</v>
      </c>
      <c r="D1286" s="5">
        <v>3</v>
      </c>
      <c r="E1286" s="5">
        <v>3</v>
      </c>
      <c r="F1286" s="5">
        <v>4</v>
      </c>
      <c r="G1286" s="5">
        <v>4</v>
      </c>
      <c r="H1286" s="5">
        <v>3</v>
      </c>
      <c r="I1286" s="5">
        <v>4</v>
      </c>
      <c r="J1286" s="5">
        <v>2</v>
      </c>
      <c r="K1286" s="5">
        <v>2</v>
      </c>
      <c r="L1286" s="5">
        <v>2</v>
      </c>
      <c r="M1286" s="5">
        <v>0</v>
      </c>
      <c r="N1286" s="5">
        <v>11</v>
      </c>
      <c r="O1286" s="5" t="str">
        <f t="shared" ca="1" si="20"/>
        <v>Supplier 136</v>
      </c>
      <c r="P1286" s="20" t="str">
        <f ca="1">IFERROR(VLOOKUP(O1286,EMAILS!B:C,2,FALSE),"NOT FOUND IN EMAILS")</f>
        <v>supplier@gmail.com</v>
      </c>
      <c r="Q1286" t="str">
        <f ca="1">""&amp;IFERROR(VLOOKUP(O1286,EMAILS!B:D,3,FALSE),"NOT FOUND IN EMAILS")</f>
        <v/>
      </c>
      <c r="R1286" t="str">
        <f ca="1">""&amp;IFERROR(VLOOKUP(O1286,EMAILS!B:E,4,FALSE),"NO T FOUND IN EMAILS")</f>
        <v/>
      </c>
    </row>
    <row r="1287" spans="2:18" x14ac:dyDescent="0.25">
      <c r="B1287" s="5" t="s">
        <v>1289</v>
      </c>
      <c r="C1287" s="5" t="s">
        <v>5429</v>
      </c>
      <c r="D1287" s="5">
        <v>3</v>
      </c>
      <c r="E1287" s="5">
        <v>3</v>
      </c>
      <c r="F1287" s="5">
        <v>4</v>
      </c>
      <c r="G1287" s="5">
        <v>4</v>
      </c>
      <c r="H1287" s="5">
        <v>3</v>
      </c>
      <c r="I1287" s="5">
        <v>4</v>
      </c>
      <c r="J1287" s="5">
        <v>2</v>
      </c>
      <c r="K1287" s="5">
        <v>2</v>
      </c>
      <c r="L1287" s="5">
        <v>2</v>
      </c>
      <c r="M1287" s="5">
        <v>0</v>
      </c>
      <c r="N1287" s="5">
        <v>10</v>
      </c>
      <c r="O1287" s="5" t="str">
        <f t="shared" ca="1" si="20"/>
        <v>Supplier 177</v>
      </c>
      <c r="P1287" s="20" t="str">
        <f ca="1">IFERROR(VLOOKUP(O1287,EMAILS!B:C,2,FALSE),"NOT FOUND IN EMAILS")</f>
        <v>supplier@gmail.com</v>
      </c>
      <c r="Q1287" t="str">
        <f ca="1">""&amp;IFERROR(VLOOKUP(O1287,EMAILS!B:D,3,FALSE),"NOT FOUND IN EMAILS")</f>
        <v/>
      </c>
      <c r="R1287" t="str">
        <f ca="1">""&amp;IFERROR(VLOOKUP(O1287,EMAILS!B:E,4,FALSE),"NO T FOUND IN EMAILS")</f>
        <v/>
      </c>
    </row>
    <row r="1288" spans="2:18" x14ac:dyDescent="0.25">
      <c r="B1288" s="5" t="s">
        <v>1290</v>
      </c>
      <c r="C1288" s="5" t="s">
        <v>5430</v>
      </c>
      <c r="D1288" s="5">
        <v>3</v>
      </c>
      <c r="E1288" s="5">
        <v>3</v>
      </c>
      <c r="F1288" s="5">
        <v>4</v>
      </c>
      <c r="G1288" s="5">
        <v>4</v>
      </c>
      <c r="H1288" s="5">
        <v>3</v>
      </c>
      <c r="I1288" s="5">
        <v>4</v>
      </c>
      <c r="J1288" s="5">
        <v>2</v>
      </c>
      <c r="K1288" s="5">
        <v>2</v>
      </c>
      <c r="L1288" s="5">
        <v>2</v>
      </c>
      <c r="M1288" s="5">
        <v>0</v>
      </c>
      <c r="N1288" s="5">
        <v>11</v>
      </c>
      <c r="O1288" s="5" t="str">
        <f t="shared" ca="1" si="20"/>
        <v>Supplier 149</v>
      </c>
      <c r="P1288" s="20" t="str">
        <f ca="1">IFERROR(VLOOKUP(O1288,EMAILS!B:C,2,FALSE),"NOT FOUND IN EMAILS")</f>
        <v>supplier@gmail.com</v>
      </c>
      <c r="Q1288" t="str">
        <f ca="1">""&amp;IFERROR(VLOOKUP(O1288,EMAILS!B:D,3,FALSE),"NOT FOUND IN EMAILS")</f>
        <v/>
      </c>
      <c r="R1288" t="str">
        <f ca="1">""&amp;IFERROR(VLOOKUP(O1288,EMAILS!B:E,4,FALSE),"NO T FOUND IN EMAILS")</f>
        <v/>
      </c>
    </row>
    <row r="1289" spans="2:18" x14ac:dyDescent="0.25">
      <c r="B1289" s="5" t="s">
        <v>1291</v>
      </c>
      <c r="C1289" s="5" t="s">
        <v>5431</v>
      </c>
      <c r="D1289" s="5">
        <v>3</v>
      </c>
      <c r="E1289" s="5">
        <v>3</v>
      </c>
      <c r="F1289" s="5">
        <v>4</v>
      </c>
      <c r="G1289" s="5">
        <v>4</v>
      </c>
      <c r="H1289" s="5">
        <v>3</v>
      </c>
      <c r="I1289" s="5">
        <v>4</v>
      </c>
      <c r="J1289" s="5">
        <v>2</v>
      </c>
      <c r="K1289" s="5">
        <v>2</v>
      </c>
      <c r="L1289" s="5">
        <v>2</v>
      </c>
      <c r="M1289" s="5">
        <v>0</v>
      </c>
      <c r="N1289" s="5">
        <v>11</v>
      </c>
      <c r="O1289" s="5" t="str">
        <f t="shared" ca="1" si="20"/>
        <v>Supplier 56</v>
      </c>
      <c r="P1289" s="20" t="str">
        <f ca="1">IFERROR(VLOOKUP(O1289,EMAILS!B:C,2,FALSE),"NOT FOUND IN EMAILS")</f>
        <v>supplier@gmail.com</v>
      </c>
      <c r="Q1289" t="str">
        <f ca="1">""&amp;IFERROR(VLOOKUP(O1289,EMAILS!B:D,3,FALSE),"NOT FOUND IN EMAILS")</f>
        <v/>
      </c>
      <c r="R1289" t="str">
        <f ca="1">""&amp;IFERROR(VLOOKUP(O1289,EMAILS!B:E,4,FALSE),"NO T FOUND IN EMAILS")</f>
        <v/>
      </c>
    </row>
    <row r="1290" spans="2:18" x14ac:dyDescent="0.25">
      <c r="B1290" s="5" t="s">
        <v>1292</v>
      </c>
      <c r="C1290" s="5" t="s">
        <v>5432</v>
      </c>
      <c r="D1290" s="5">
        <v>3</v>
      </c>
      <c r="E1290" s="5">
        <v>3</v>
      </c>
      <c r="F1290" s="5">
        <v>4</v>
      </c>
      <c r="G1290" s="5">
        <v>4</v>
      </c>
      <c r="H1290" s="5">
        <v>3</v>
      </c>
      <c r="I1290" s="5">
        <v>4</v>
      </c>
      <c r="J1290" s="5">
        <v>2</v>
      </c>
      <c r="K1290" s="5">
        <v>2</v>
      </c>
      <c r="L1290" s="5">
        <v>2</v>
      </c>
      <c r="M1290" s="5">
        <v>0</v>
      </c>
      <c r="N1290" s="5">
        <v>10</v>
      </c>
      <c r="O1290" s="5" t="str">
        <f t="shared" ca="1" si="20"/>
        <v>Supplier 161</v>
      </c>
      <c r="P1290" s="20" t="str">
        <f ca="1">IFERROR(VLOOKUP(O1290,EMAILS!B:C,2,FALSE),"NOT FOUND IN EMAILS")</f>
        <v>supplier@gmail.com</v>
      </c>
      <c r="Q1290" t="str">
        <f ca="1">""&amp;IFERROR(VLOOKUP(O1290,EMAILS!B:D,3,FALSE),"NOT FOUND IN EMAILS")</f>
        <v/>
      </c>
      <c r="R1290" t="str">
        <f ca="1">""&amp;IFERROR(VLOOKUP(O1290,EMAILS!B:E,4,FALSE),"NO T FOUND IN EMAILS")</f>
        <v/>
      </c>
    </row>
    <row r="1291" spans="2:18" x14ac:dyDescent="0.25">
      <c r="B1291" s="5" t="s">
        <v>1293</v>
      </c>
      <c r="C1291" s="5" t="s">
        <v>5433</v>
      </c>
      <c r="D1291" s="5">
        <v>3</v>
      </c>
      <c r="E1291" s="5">
        <v>3</v>
      </c>
      <c r="F1291" s="5">
        <v>4</v>
      </c>
      <c r="G1291" s="5">
        <v>4</v>
      </c>
      <c r="H1291" s="5">
        <v>3</v>
      </c>
      <c r="I1291" s="5">
        <v>4</v>
      </c>
      <c r="J1291" s="5">
        <v>2</v>
      </c>
      <c r="K1291" s="5">
        <v>2</v>
      </c>
      <c r="L1291" s="5">
        <v>2</v>
      </c>
      <c r="M1291" s="5">
        <v>0</v>
      </c>
      <c r="N1291" s="5">
        <v>13</v>
      </c>
      <c r="O1291" s="5" t="str">
        <f t="shared" ca="1" si="20"/>
        <v>Supplier 59</v>
      </c>
      <c r="P1291" s="20" t="str">
        <f ca="1">IFERROR(VLOOKUP(O1291,EMAILS!B:C,2,FALSE),"NOT FOUND IN EMAILS")</f>
        <v>supplier@gmail.com</v>
      </c>
      <c r="Q1291" t="str">
        <f ca="1">""&amp;IFERROR(VLOOKUP(O1291,EMAILS!B:D,3,FALSE),"NOT FOUND IN EMAILS")</f>
        <v/>
      </c>
      <c r="R1291" t="str">
        <f ca="1">""&amp;IFERROR(VLOOKUP(O1291,EMAILS!B:E,4,FALSE),"NO T FOUND IN EMAILS")</f>
        <v/>
      </c>
    </row>
    <row r="1292" spans="2:18" x14ac:dyDescent="0.25">
      <c r="B1292" s="5" t="s">
        <v>1294</v>
      </c>
      <c r="C1292" s="5" t="s">
        <v>5434</v>
      </c>
      <c r="D1292" s="5">
        <v>3</v>
      </c>
      <c r="E1292" s="5">
        <v>3</v>
      </c>
      <c r="F1292" s="5">
        <v>4</v>
      </c>
      <c r="G1292" s="5">
        <v>4</v>
      </c>
      <c r="H1292" s="5">
        <v>3</v>
      </c>
      <c r="I1292" s="5">
        <v>4</v>
      </c>
      <c r="J1292" s="5">
        <v>2</v>
      </c>
      <c r="K1292" s="5">
        <v>2</v>
      </c>
      <c r="L1292" s="5">
        <v>2</v>
      </c>
      <c r="M1292" s="5">
        <v>0</v>
      </c>
      <c r="N1292" s="5">
        <v>13</v>
      </c>
      <c r="O1292" s="5" t="str">
        <f t="shared" ca="1" si="20"/>
        <v>Supplier 37</v>
      </c>
      <c r="P1292" s="20" t="str">
        <f ca="1">IFERROR(VLOOKUP(O1292,EMAILS!B:C,2,FALSE),"NOT FOUND IN EMAILS")</f>
        <v>supplier@gmail.com</v>
      </c>
      <c r="Q1292" t="str">
        <f ca="1">""&amp;IFERROR(VLOOKUP(O1292,EMAILS!B:D,3,FALSE),"NOT FOUND IN EMAILS")</f>
        <v/>
      </c>
      <c r="R1292" t="str">
        <f ca="1">""&amp;IFERROR(VLOOKUP(O1292,EMAILS!B:E,4,FALSE),"NO T FOUND IN EMAILS")</f>
        <v/>
      </c>
    </row>
    <row r="1293" spans="2:18" x14ac:dyDescent="0.25">
      <c r="B1293" s="5" t="s">
        <v>1295</v>
      </c>
      <c r="C1293" s="5" t="s">
        <v>5435</v>
      </c>
      <c r="D1293" s="5">
        <v>1</v>
      </c>
      <c r="E1293" s="5">
        <v>1</v>
      </c>
      <c r="F1293" s="5">
        <v>1</v>
      </c>
      <c r="G1293" s="5">
        <v>1</v>
      </c>
      <c r="H1293" s="5">
        <v>1</v>
      </c>
      <c r="I1293" s="5">
        <v>1</v>
      </c>
      <c r="J1293" s="5">
        <v>1</v>
      </c>
      <c r="K1293" s="5">
        <v>1</v>
      </c>
      <c r="L1293" s="5">
        <v>1</v>
      </c>
      <c r="M1293" s="5">
        <v>0</v>
      </c>
      <c r="N1293" s="5">
        <v>26</v>
      </c>
      <c r="O1293" s="5" t="str">
        <f t="shared" ca="1" si="20"/>
        <v>Supplier 146</v>
      </c>
      <c r="P1293" s="20" t="str">
        <f ca="1">IFERROR(VLOOKUP(O1293,EMAILS!B:C,2,FALSE),"NOT FOUND IN EMAILS")</f>
        <v>supplier@gmail.com</v>
      </c>
      <c r="Q1293" t="str">
        <f ca="1">""&amp;IFERROR(VLOOKUP(O1293,EMAILS!B:D,3,FALSE),"NOT FOUND IN EMAILS")</f>
        <v/>
      </c>
      <c r="R1293" t="str">
        <f ca="1">""&amp;IFERROR(VLOOKUP(O1293,EMAILS!B:E,4,FALSE),"NO T FOUND IN EMAILS")</f>
        <v/>
      </c>
    </row>
    <row r="1294" spans="2:18" x14ac:dyDescent="0.25">
      <c r="B1294" s="5" t="s">
        <v>1296</v>
      </c>
      <c r="C1294" s="5" t="s">
        <v>5436</v>
      </c>
      <c r="D1294" s="5">
        <v>1</v>
      </c>
      <c r="E1294" s="5">
        <v>1</v>
      </c>
      <c r="F1294" s="5">
        <v>1</v>
      </c>
      <c r="G1294" s="5">
        <v>1</v>
      </c>
      <c r="H1294" s="5">
        <v>1</v>
      </c>
      <c r="I1294" s="5">
        <v>1</v>
      </c>
      <c r="J1294" s="5">
        <v>1</v>
      </c>
      <c r="K1294" s="5">
        <v>1</v>
      </c>
      <c r="L1294" s="5">
        <v>1</v>
      </c>
      <c r="M1294" s="5">
        <v>0</v>
      </c>
      <c r="N1294" s="5">
        <v>23</v>
      </c>
      <c r="O1294" s="5" t="str">
        <f t="shared" ca="1" si="20"/>
        <v>Supplier 124</v>
      </c>
      <c r="P1294" s="20" t="str">
        <f ca="1">IFERROR(VLOOKUP(O1294,EMAILS!B:C,2,FALSE),"NOT FOUND IN EMAILS")</f>
        <v>supplier@gmail.com</v>
      </c>
      <c r="Q1294" t="str">
        <f ca="1">""&amp;IFERROR(VLOOKUP(O1294,EMAILS!B:D,3,FALSE),"NOT FOUND IN EMAILS")</f>
        <v/>
      </c>
      <c r="R1294" t="str">
        <f ca="1">""&amp;IFERROR(VLOOKUP(O1294,EMAILS!B:E,4,FALSE),"NO T FOUND IN EMAILS")</f>
        <v/>
      </c>
    </row>
    <row r="1295" spans="2:18" x14ac:dyDescent="0.25">
      <c r="B1295" s="5" t="s">
        <v>1297</v>
      </c>
      <c r="C1295" s="5" t="s">
        <v>5437</v>
      </c>
      <c r="D1295" s="5">
        <v>1</v>
      </c>
      <c r="E1295" s="5">
        <v>1</v>
      </c>
      <c r="F1295" s="5">
        <v>1</v>
      </c>
      <c r="G1295" s="5">
        <v>1</v>
      </c>
      <c r="H1295" s="5">
        <v>1</v>
      </c>
      <c r="I1295" s="5">
        <v>1</v>
      </c>
      <c r="J1295" s="5">
        <v>1</v>
      </c>
      <c r="K1295" s="5">
        <v>1</v>
      </c>
      <c r="L1295" s="5">
        <v>1</v>
      </c>
      <c r="M1295" s="5">
        <v>0</v>
      </c>
      <c r="N1295" s="5">
        <v>20</v>
      </c>
      <c r="O1295" s="5" t="str">
        <f t="shared" ca="1" si="20"/>
        <v>Supplier 191</v>
      </c>
      <c r="P1295" s="20" t="str">
        <f ca="1">IFERROR(VLOOKUP(O1295,EMAILS!B:C,2,FALSE),"NOT FOUND IN EMAILS")</f>
        <v>supplier@gmail.com</v>
      </c>
      <c r="Q1295" t="str">
        <f ca="1">""&amp;IFERROR(VLOOKUP(O1295,EMAILS!B:D,3,FALSE),"NOT FOUND IN EMAILS")</f>
        <v/>
      </c>
      <c r="R1295" t="str">
        <f ca="1">""&amp;IFERROR(VLOOKUP(O1295,EMAILS!B:E,4,FALSE),"NO T FOUND IN EMAILS")</f>
        <v/>
      </c>
    </row>
    <row r="1296" spans="2:18" x14ac:dyDescent="0.25">
      <c r="B1296" s="5" t="s">
        <v>1298</v>
      </c>
      <c r="C1296" s="5" t="s">
        <v>5438</v>
      </c>
      <c r="D1296" s="5">
        <v>1</v>
      </c>
      <c r="E1296" s="5">
        <v>1</v>
      </c>
      <c r="F1296" s="5">
        <v>1</v>
      </c>
      <c r="G1296" s="5">
        <v>1</v>
      </c>
      <c r="H1296" s="5">
        <v>1</v>
      </c>
      <c r="I1296" s="5">
        <v>1</v>
      </c>
      <c r="J1296" s="5">
        <v>1</v>
      </c>
      <c r="K1296" s="5">
        <v>1</v>
      </c>
      <c r="L1296" s="5">
        <v>1</v>
      </c>
      <c r="M1296" s="5">
        <v>0</v>
      </c>
      <c r="N1296" s="5">
        <v>13</v>
      </c>
      <c r="O1296" s="5" t="str">
        <f t="shared" ca="1" si="20"/>
        <v>Supplier 14</v>
      </c>
      <c r="P1296" s="20" t="str">
        <f ca="1">IFERROR(VLOOKUP(O1296,EMAILS!B:C,2,FALSE),"NOT FOUND IN EMAILS")</f>
        <v>supplier@gmail.com</v>
      </c>
      <c r="Q1296" t="str">
        <f ca="1">""&amp;IFERROR(VLOOKUP(O1296,EMAILS!B:D,3,FALSE),"NOT FOUND IN EMAILS")</f>
        <v>supplier_logistics@gmail.com</v>
      </c>
      <c r="R1296" t="str">
        <f ca="1">""&amp;IFERROR(VLOOKUP(O1296,EMAILS!B:E,4,FALSE),"NO T FOUND IN EMAILS")</f>
        <v/>
      </c>
    </row>
    <row r="1297" spans="2:18" x14ac:dyDescent="0.25">
      <c r="B1297" s="5" t="s">
        <v>1299</v>
      </c>
      <c r="C1297" s="5" t="s">
        <v>5439</v>
      </c>
      <c r="D1297" s="5">
        <v>1</v>
      </c>
      <c r="E1297" s="5">
        <v>1</v>
      </c>
      <c r="F1297" s="5">
        <v>1</v>
      </c>
      <c r="G1297" s="5">
        <v>1</v>
      </c>
      <c r="H1297" s="5">
        <v>1</v>
      </c>
      <c r="I1297" s="5">
        <v>1</v>
      </c>
      <c r="J1297" s="5">
        <v>1</v>
      </c>
      <c r="K1297" s="5">
        <v>1</v>
      </c>
      <c r="L1297" s="5">
        <v>1</v>
      </c>
      <c r="M1297" s="5">
        <v>0</v>
      </c>
      <c r="N1297" s="5">
        <v>42</v>
      </c>
      <c r="O1297" s="5" t="str">
        <f t="shared" ca="1" si="20"/>
        <v>Supplier 179</v>
      </c>
      <c r="P1297" s="20" t="str">
        <f ca="1">IFERROR(VLOOKUP(O1297,EMAILS!B:C,2,FALSE),"NOT FOUND IN EMAILS")</f>
        <v>supplier@gmail.com</v>
      </c>
      <c r="Q1297" t="str">
        <f ca="1">""&amp;IFERROR(VLOOKUP(O1297,EMAILS!B:D,3,FALSE),"NOT FOUND IN EMAILS")</f>
        <v/>
      </c>
      <c r="R1297" t="str">
        <f ca="1">""&amp;IFERROR(VLOOKUP(O1297,EMAILS!B:E,4,FALSE),"NO T FOUND IN EMAILS")</f>
        <v/>
      </c>
    </row>
    <row r="1298" spans="2:18" x14ac:dyDescent="0.25">
      <c r="B1298" s="5" t="s">
        <v>1300</v>
      </c>
      <c r="C1298" s="5" t="s">
        <v>5440</v>
      </c>
      <c r="D1298" s="5">
        <v>1</v>
      </c>
      <c r="E1298" s="5">
        <v>1</v>
      </c>
      <c r="F1298" s="5">
        <v>1</v>
      </c>
      <c r="G1298" s="5">
        <v>1</v>
      </c>
      <c r="H1298" s="5">
        <v>1</v>
      </c>
      <c r="I1298" s="5">
        <v>1</v>
      </c>
      <c r="J1298" s="5">
        <v>1</v>
      </c>
      <c r="K1298" s="5">
        <v>1</v>
      </c>
      <c r="L1298" s="5">
        <v>1</v>
      </c>
      <c r="M1298" s="5">
        <v>0</v>
      </c>
      <c r="N1298" s="5">
        <v>21</v>
      </c>
      <c r="O1298" s="5" t="str">
        <f t="shared" ca="1" si="20"/>
        <v>Supplier 89</v>
      </c>
      <c r="P1298" s="20" t="str">
        <f ca="1">IFERROR(VLOOKUP(O1298,EMAILS!B:C,2,FALSE),"NOT FOUND IN EMAILS")</f>
        <v>supplier@gmail.com</v>
      </c>
      <c r="Q1298" t="str">
        <f ca="1">""&amp;IFERROR(VLOOKUP(O1298,EMAILS!B:D,3,FALSE),"NOT FOUND IN EMAILS")</f>
        <v/>
      </c>
      <c r="R1298" t="str">
        <f ca="1">""&amp;IFERROR(VLOOKUP(O1298,EMAILS!B:E,4,FALSE),"NO T FOUND IN EMAILS")</f>
        <v/>
      </c>
    </row>
    <row r="1299" spans="2:18" x14ac:dyDescent="0.25">
      <c r="B1299" s="5" t="s">
        <v>1301</v>
      </c>
      <c r="C1299" s="5" t="s">
        <v>5441</v>
      </c>
      <c r="D1299" s="5">
        <v>1</v>
      </c>
      <c r="E1299" s="5">
        <v>1</v>
      </c>
      <c r="F1299" s="5">
        <v>1</v>
      </c>
      <c r="G1299" s="5">
        <v>1</v>
      </c>
      <c r="H1299" s="5">
        <v>1</v>
      </c>
      <c r="I1299" s="5">
        <v>1</v>
      </c>
      <c r="J1299" s="5">
        <v>1</v>
      </c>
      <c r="K1299" s="5">
        <v>1</v>
      </c>
      <c r="L1299" s="5">
        <v>1</v>
      </c>
      <c r="M1299" s="5">
        <v>0</v>
      </c>
      <c r="N1299" s="5">
        <v>13</v>
      </c>
      <c r="O1299" s="5" t="str">
        <f t="shared" ca="1" si="20"/>
        <v>Supplier 132</v>
      </c>
      <c r="P1299" s="20" t="str">
        <f ca="1">IFERROR(VLOOKUP(O1299,EMAILS!B:C,2,FALSE),"NOT FOUND IN EMAILS")</f>
        <v>supplier@gmail.com</v>
      </c>
      <c r="Q1299" t="str">
        <f ca="1">""&amp;IFERROR(VLOOKUP(O1299,EMAILS!B:D,3,FALSE),"NOT FOUND IN EMAILS")</f>
        <v/>
      </c>
      <c r="R1299" t="str">
        <f ca="1">""&amp;IFERROR(VLOOKUP(O1299,EMAILS!B:E,4,FALSE),"NO T FOUND IN EMAILS")</f>
        <v/>
      </c>
    </row>
    <row r="1300" spans="2:18" x14ac:dyDescent="0.25">
      <c r="B1300" s="5" t="s">
        <v>1302</v>
      </c>
      <c r="C1300" s="5" t="s">
        <v>5442</v>
      </c>
      <c r="D1300" s="5">
        <v>1</v>
      </c>
      <c r="E1300" s="5">
        <v>1</v>
      </c>
      <c r="F1300" s="5">
        <v>1</v>
      </c>
      <c r="G1300" s="5">
        <v>1</v>
      </c>
      <c r="H1300" s="5">
        <v>1</v>
      </c>
      <c r="I1300" s="5">
        <v>1</v>
      </c>
      <c r="J1300" s="5">
        <v>1</v>
      </c>
      <c r="K1300" s="5">
        <v>1</v>
      </c>
      <c r="L1300" s="5">
        <v>1</v>
      </c>
      <c r="M1300" s="5">
        <v>0</v>
      </c>
      <c r="N1300" s="5">
        <v>26</v>
      </c>
      <c r="O1300" s="5" t="str">
        <f t="shared" ca="1" si="20"/>
        <v>Supplier 77</v>
      </c>
      <c r="P1300" s="20" t="str">
        <f ca="1">IFERROR(VLOOKUP(O1300,EMAILS!B:C,2,FALSE),"NOT FOUND IN EMAILS")</f>
        <v>supplier@gmail.com</v>
      </c>
      <c r="Q1300" t="str">
        <f ca="1">""&amp;IFERROR(VLOOKUP(O1300,EMAILS!B:D,3,FALSE),"NOT FOUND IN EMAILS")</f>
        <v/>
      </c>
      <c r="R1300" t="str">
        <f ca="1">""&amp;IFERROR(VLOOKUP(O1300,EMAILS!B:E,4,FALSE),"NO T FOUND IN EMAILS")</f>
        <v/>
      </c>
    </row>
    <row r="1301" spans="2:18" x14ac:dyDescent="0.25">
      <c r="B1301" s="5" t="s">
        <v>1303</v>
      </c>
      <c r="C1301" s="5" t="s">
        <v>5443</v>
      </c>
      <c r="D1301" s="5">
        <v>1</v>
      </c>
      <c r="E1301" s="5">
        <v>1</v>
      </c>
      <c r="F1301" s="5">
        <v>1</v>
      </c>
      <c r="G1301" s="5">
        <v>1</v>
      </c>
      <c r="H1301" s="5">
        <v>1</v>
      </c>
      <c r="I1301" s="5">
        <v>1</v>
      </c>
      <c r="J1301" s="5">
        <v>1</v>
      </c>
      <c r="K1301" s="5">
        <v>1</v>
      </c>
      <c r="L1301" s="5">
        <v>1</v>
      </c>
      <c r="M1301" s="5">
        <v>0</v>
      </c>
      <c r="N1301" s="5">
        <v>13</v>
      </c>
      <c r="O1301" s="5" t="str">
        <f t="shared" ca="1" si="20"/>
        <v>Supplier 74</v>
      </c>
      <c r="P1301" s="20" t="str">
        <f ca="1">IFERROR(VLOOKUP(O1301,EMAILS!B:C,2,FALSE),"NOT FOUND IN EMAILS")</f>
        <v>supplier@gmail.com</v>
      </c>
      <c r="Q1301" t="str">
        <f ca="1">""&amp;IFERROR(VLOOKUP(O1301,EMAILS!B:D,3,FALSE),"NOT FOUND IN EMAILS")</f>
        <v/>
      </c>
      <c r="R1301" t="str">
        <f ca="1">""&amp;IFERROR(VLOOKUP(O1301,EMAILS!B:E,4,FALSE),"NO T FOUND IN EMAILS")</f>
        <v/>
      </c>
    </row>
    <row r="1302" spans="2:18" x14ac:dyDescent="0.25">
      <c r="B1302" s="5" t="s">
        <v>1304</v>
      </c>
      <c r="C1302" s="5" t="s">
        <v>5444</v>
      </c>
      <c r="D1302" s="5">
        <v>1</v>
      </c>
      <c r="E1302" s="5">
        <v>1</v>
      </c>
      <c r="F1302" s="5">
        <v>1</v>
      </c>
      <c r="G1302" s="5">
        <v>1</v>
      </c>
      <c r="H1302" s="5">
        <v>1</v>
      </c>
      <c r="I1302" s="5">
        <v>1</v>
      </c>
      <c r="J1302" s="5">
        <v>1</v>
      </c>
      <c r="K1302" s="5">
        <v>1</v>
      </c>
      <c r="L1302" s="5">
        <v>1</v>
      </c>
      <c r="M1302" s="5">
        <v>0</v>
      </c>
      <c r="N1302" s="5">
        <v>13</v>
      </c>
      <c r="O1302" s="5" t="str">
        <f t="shared" ca="1" si="20"/>
        <v>Supplier 166</v>
      </c>
      <c r="P1302" s="20" t="str">
        <f ca="1">IFERROR(VLOOKUP(O1302,EMAILS!B:C,2,FALSE),"NOT FOUND IN EMAILS")</f>
        <v>supplier@gmail.com</v>
      </c>
      <c r="Q1302" t="str">
        <f ca="1">""&amp;IFERROR(VLOOKUP(O1302,EMAILS!B:D,3,FALSE),"NOT FOUND IN EMAILS")</f>
        <v/>
      </c>
      <c r="R1302" t="str">
        <f ca="1">""&amp;IFERROR(VLOOKUP(O1302,EMAILS!B:E,4,FALSE),"NO T FOUND IN EMAILS")</f>
        <v/>
      </c>
    </row>
    <row r="1303" spans="2:18" x14ac:dyDescent="0.25">
      <c r="B1303" s="5" t="s">
        <v>1305</v>
      </c>
      <c r="C1303" s="5" t="s">
        <v>5445</v>
      </c>
      <c r="D1303" s="5">
        <v>1</v>
      </c>
      <c r="E1303" s="5">
        <v>1</v>
      </c>
      <c r="F1303" s="5">
        <v>1</v>
      </c>
      <c r="G1303" s="5">
        <v>1</v>
      </c>
      <c r="H1303" s="5">
        <v>1</v>
      </c>
      <c r="I1303" s="5">
        <v>1</v>
      </c>
      <c r="J1303" s="5">
        <v>1</v>
      </c>
      <c r="K1303" s="5">
        <v>1</v>
      </c>
      <c r="L1303" s="5">
        <v>1</v>
      </c>
      <c r="M1303" s="5">
        <v>0</v>
      </c>
      <c r="N1303" s="5">
        <v>283</v>
      </c>
      <c r="O1303" s="5" t="str">
        <f t="shared" ca="1" si="20"/>
        <v>Supplier 134</v>
      </c>
      <c r="P1303" s="20" t="str">
        <f ca="1">IFERROR(VLOOKUP(O1303,EMAILS!B:C,2,FALSE),"NOT FOUND IN EMAILS")</f>
        <v>supplier@gmail.com</v>
      </c>
      <c r="Q1303" t="str">
        <f ca="1">""&amp;IFERROR(VLOOKUP(O1303,EMAILS!B:D,3,FALSE),"NOT FOUND IN EMAILS")</f>
        <v/>
      </c>
      <c r="R1303" t="str">
        <f ca="1">""&amp;IFERROR(VLOOKUP(O1303,EMAILS!B:E,4,FALSE),"NO T FOUND IN EMAILS")</f>
        <v/>
      </c>
    </row>
    <row r="1304" spans="2:18" x14ac:dyDescent="0.25">
      <c r="B1304" s="5" t="s">
        <v>1306</v>
      </c>
      <c r="C1304" s="5" t="s">
        <v>5446</v>
      </c>
      <c r="D1304" s="5">
        <v>0</v>
      </c>
      <c r="E1304" s="5">
        <v>0</v>
      </c>
      <c r="F1304" s="5">
        <v>0</v>
      </c>
      <c r="G1304" s="5">
        <v>0</v>
      </c>
      <c r="H1304" s="5">
        <v>0</v>
      </c>
      <c r="I1304" s="5">
        <v>0</v>
      </c>
      <c r="J1304" s="5">
        <v>0</v>
      </c>
      <c r="K1304" s="5">
        <v>0</v>
      </c>
      <c r="L1304" s="5">
        <v>0</v>
      </c>
      <c r="M1304" s="5">
        <v>0</v>
      </c>
      <c r="N1304" s="5">
        <v>5834</v>
      </c>
      <c r="O1304" s="5" t="str">
        <f t="shared" ca="1" si="20"/>
        <v>Supplier 55</v>
      </c>
      <c r="P1304" s="20" t="str">
        <f ca="1">IFERROR(VLOOKUP(O1304,EMAILS!B:C,2,FALSE),"NOT FOUND IN EMAILS")</f>
        <v>supplier@gmail.com</v>
      </c>
      <c r="Q1304" t="str">
        <f ca="1">""&amp;IFERROR(VLOOKUP(O1304,EMAILS!B:D,3,FALSE),"NOT FOUND IN EMAILS")</f>
        <v/>
      </c>
      <c r="R1304" t="str">
        <f ca="1">""&amp;IFERROR(VLOOKUP(O1304,EMAILS!B:E,4,FALSE),"NO T FOUND IN EMAILS")</f>
        <v/>
      </c>
    </row>
    <row r="1305" spans="2:18" x14ac:dyDescent="0.25">
      <c r="B1305" s="5" t="s">
        <v>1307</v>
      </c>
      <c r="C1305" s="5" t="s">
        <v>5447</v>
      </c>
      <c r="D1305" s="5">
        <v>0</v>
      </c>
      <c r="E1305" s="5">
        <v>0</v>
      </c>
      <c r="F1305" s="5">
        <v>0</v>
      </c>
      <c r="G1305" s="5">
        <v>0</v>
      </c>
      <c r="H1305" s="5">
        <v>0</v>
      </c>
      <c r="I1305" s="5">
        <v>0</v>
      </c>
      <c r="J1305" s="5">
        <v>0</v>
      </c>
      <c r="K1305" s="5">
        <v>0</v>
      </c>
      <c r="L1305" s="5">
        <v>0</v>
      </c>
      <c r="M1305" s="5">
        <v>0</v>
      </c>
      <c r="N1305" s="5">
        <v>100</v>
      </c>
      <c r="O1305" s="5" t="str">
        <f t="shared" ca="1" si="20"/>
        <v>Supplier 121</v>
      </c>
      <c r="P1305" s="20" t="str">
        <f ca="1">IFERROR(VLOOKUP(O1305,EMAILS!B:C,2,FALSE),"NOT FOUND IN EMAILS")</f>
        <v>supplier@gmail.com</v>
      </c>
      <c r="Q1305" t="str">
        <f ca="1">""&amp;IFERROR(VLOOKUP(O1305,EMAILS!B:D,3,FALSE),"NOT FOUND IN EMAILS")</f>
        <v/>
      </c>
      <c r="R1305" t="str">
        <f ca="1">""&amp;IFERROR(VLOOKUP(O1305,EMAILS!B:E,4,FALSE),"NO T FOUND IN EMAILS")</f>
        <v/>
      </c>
    </row>
    <row r="1306" spans="2:18" x14ac:dyDescent="0.25">
      <c r="B1306" s="5" t="s">
        <v>1308</v>
      </c>
      <c r="C1306" s="5" t="s">
        <v>5448</v>
      </c>
      <c r="D1306" s="5">
        <v>0</v>
      </c>
      <c r="E1306" s="5">
        <v>0</v>
      </c>
      <c r="F1306" s="5">
        <v>0</v>
      </c>
      <c r="G1306" s="5">
        <v>0</v>
      </c>
      <c r="H1306" s="5">
        <v>0</v>
      </c>
      <c r="I1306" s="5">
        <v>0</v>
      </c>
      <c r="J1306" s="5">
        <v>0</v>
      </c>
      <c r="K1306" s="5">
        <v>0</v>
      </c>
      <c r="L1306" s="5">
        <v>0</v>
      </c>
      <c r="M1306" s="5">
        <v>0</v>
      </c>
      <c r="N1306" s="5">
        <v>934</v>
      </c>
      <c r="O1306" s="5" t="str">
        <f t="shared" ca="1" si="20"/>
        <v>Supplier 122</v>
      </c>
      <c r="P1306" s="20" t="str">
        <f ca="1">IFERROR(VLOOKUP(O1306,EMAILS!B:C,2,FALSE),"NOT FOUND IN EMAILS")</f>
        <v>supplier@gmail.com</v>
      </c>
      <c r="Q1306" t="str">
        <f ca="1">""&amp;IFERROR(VLOOKUP(O1306,EMAILS!B:D,3,FALSE),"NOT FOUND IN EMAILS")</f>
        <v/>
      </c>
      <c r="R1306" t="str">
        <f ca="1">""&amp;IFERROR(VLOOKUP(O1306,EMAILS!B:E,4,FALSE),"NO T FOUND IN EMAILS")</f>
        <v/>
      </c>
    </row>
    <row r="1307" spans="2:18" x14ac:dyDescent="0.25">
      <c r="B1307" s="5" t="s">
        <v>1309</v>
      </c>
      <c r="C1307" s="5" t="s">
        <v>5449</v>
      </c>
      <c r="D1307" s="5">
        <v>0</v>
      </c>
      <c r="E1307" s="5">
        <v>0</v>
      </c>
      <c r="F1307" s="5">
        <v>0</v>
      </c>
      <c r="G1307" s="5">
        <v>0</v>
      </c>
      <c r="H1307" s="5">
        <v>0</v>
      </c>
      <c r="I1307" s="5">
        <v>0</v>
      </c>
      <c r="J1307" s="5">
        <v>70</v>
      </c>
      <c r="K1307" s="5">
        <v>0</v>
      </c>
      <c r="L1307" s="5">
        <v>0</v>
      </c>
      <c r="M1307" s="5">
        <v>0</v>
      </c>
      <c r="N1307" s="5">
        <v>143</v>
      </c>
      <c r="O1307" s="5" t="str">
        <f t="shared" ca="1" si="20"/>
        <v>Supplier 149</v>
      </c>
      <c r="P1307" s="20" t="str">
        <f ca="1">IFERROR(VLOOKUP(O1307,EMAILS!B:C,2,FALSE),"NOT FOUND IN EMAILS")</f>
        <v>supplier@gmail.com</v>
      </c>
      <c r="Q1307" t="str">
        <f ca="1">""&amp;IFERROR(VLOOKUP(O1307,EMAILS!B:D,3,FALSE),"NOT FOUND IN EMAILS")</f>
        <v/>
      </c>
      <c r="R1307" t="str">
        <f ca="1">""&amp;IFERROR(VLOOKUP(O1307,EMAILS!B:E,4,FALSE),"NO T FOUND IN EMAILS")</f>
        <v/>
      </c>
    </row>
    <row r="1308" spans="2:18" x14ac:dyDescent="0.25">
      <c r="B1308" s="5" t="s">
        <v>1310</v>
      </c>
      <c r="C1308" s="5" t="s">
        <v>5450</v>
      </c>
      <c r="D1308" s="5">
        <v>0</v>
      </c>
      <c r="E1308" s="5">
        <v>0</v>
      </c>
      <c r="F1308" s="5">
        <v>0</v>
      </c>
      <c r="G1308" s="5">
        <v>0</v>
      </c>
      <c r="H1308" s="5">
        <v>0</v>
      </c>
      <c r="I1308" s="5">
        <v>0</v>
      </c>
      <c r="J1308" s="5">
        <v>0</v>
      </c>
      <c r="K1308" s="5">
        <v>0</v>
      </c>
      <c r="L1308" s="5">
        <v>0</v>
      </c>
      <c r="M1308" s="5">
        <v>0</v>
      </c>
      <c r="N1308" s="5">
        <v>266</v>
      </c>
      <c r="O1308" s="5" t="str">
        <f t="shared" ca="1" si="20"/>
        <v>Supplier 116</v>
      </c>
      <c r="P1308" s="20" t="str">
        <f ca="1">IFERROR(VLOOKUP(O1308,EMAILS!B:C,2,FALSE),"NOT FOUND IN EMAILS")</f>
        <v>supplier@gmail.com</v>
      </c>
      <c r="Q1308" t="str">
        <f ca="1">""&amp;IFERROR(VLOOKUP(O1308,EMAILS!B:D,3,FALSE),"NOT FOUND IN EMAILS")</f>
        <v/>
      </c>
      <c r="R1308" t="str">
        <f ca="1">""&amp;IFERROR(VLOOKUP(O1308,EMAILS!B:E,4,FALSE),"NO T FOUND IN EMAILS")</f>
        <v/>
      </c>
    </row>
    <row r="1309" spans="2:18" x14ac:dyDescent="0.25">
      <c r="B1309" s="5" t="s">
        <v>1311</v>
      </c>
      <c r="C1309" s="5" t="s">
        <v>5451</v>
      </c>
      <c r="D1309" s="5">
        <v>30</v>
      </c>
      <c r="E1309" s="5">
        <v>60</v>
      </c>
      <c r="F1309" s="5">
        <v>60</v>
      </c>
      <c r="G1309" s="5">
        <v>60</v>
      </c>
      <c r="H1309" s="5">
        <v>60</v>
      </c>
      <c r="I1309" s="5">
        <v>30</v>
      </c>
      <c r="J1309" s="5">
        <v>30</v>
      </c>
      <c r="K1309" s="5">
        <v>30</v>
      </c>
      <c r="L1309" s="5">
        <v>60</v>
      </c>
      <c r="M1309" s="5">
        <v>0</v>
      </c>
      <c r="N1309" s="5">
        <v>363</v>
      </c>
      <c r="O1309" s="5" t="str">
        <f t="shared" ca="1" si="20"/>
        <v>Supplier 191</v>
      </c>
      <c r="P1309" s="20" t="str">
        <f ca="1">IFERROR(VLOOKUP(O1309,EMAILS!B:C,2,FALSE),"NOT FOUND IN EMAILS")</f>
        <v>supplier@gmail.com</v>
      </c>
      <c r="Q1309" t="str">
        <f ca="1">""&amp;IFERROR(VLOOKUP(O1309,EMAILS!B:D,3,FALSE),"NOT FOUND IN EMAILS")</f>
        <v/>
      </c>
      <c r="R1309" t="str">
        <f ca="1">""&amp;IFERROR(VLOOKUP(O1309,EMAILS!B:E,4,FALSE),"NO T FOUND IN EMAILS")</f>
        <v/>
      </c>
    </row>
    <row r="1310" spans="2:18" x14ac:dyDescent="0.25">
      <c r="B1310" s="5" t="s">
        <v>1312</v>
      </c>
      <c r="C1310" s="5" t="s">
        <v>5452</v>
      </c>
      <c r="D1310" s="5">
        <v>120</v>
      </c>
      <c r="E1310" s="5">
        <v>148</v>
      </c>
      <c r="F1310" s="5">
        <v>56</v>
      </c>
      <c r="G1310" s="5">
        <v>120</v>
      </c>
      <c r="H1310" s="5">
        <v>148</v>
      </c>
      <c r="I1310" s="5">
        <v>108</v>
      </c>
      <c r="J1310" s="5">
        <v>132</v>
      </c>
      <c r="K1310" s="5">
        <v>88</v>
      </c>
      <c r="L1310" s="5">
        <v>76</v>
      </c>
      <c r="M1310" s="5">
        <v>0</v>
      </c>
      <c r="N1310" s="5">
        <v>600</v>
      </c>
      <c r="O1310" s="5" t="str">
        <f t="shared" ca="1" si="20"/>
        <v>Supplier 89</v>
      </c>
      <c r="P1310" s="20" t="str">
        <f ca="1">IFERROR(VLOOKUP(O1310,EMAILS!B:C,2,FALSE),"NOT FOUND IN EMAILS")</f>
        <v>supplier@gmail.com</v>
      </c>
      <c r="Q1310" t="str">
        <f ca="1">""&amp;IFERROR(VLOOKUP(O1310,EMAILS!B:D,3,FALSE),"NOT FOUND IN EMAILS")</f>
        <v/>
      </c>
      <c r="R1310" t="str">
        <f ca="1">""&amp;IFERROR(VLOOKUP(O1310,EMAILS!B:E,4,FALSE),"NO T FOUND IN EMAILS")</f>
        <v/>
      </c>
    </row>
    <row r="1311" spans="2:18" x14ac:dyDescent="0.25">
      <c r="B1311" s="5" t="s">
        <v>1313</v>
      </c>
      <c r="C1311" s="5" t="s">
        <v>5453</v>
      </c>
      <c r="D1311" s="5">
        <v>344</v>
      </c>
      <c r="E1311" s="5">
        <v>0</v>
      </c>
      <c r="F1311" s="5">
        <v>0</v>
      </c>
      <c r="G1311" s="5">
        <v>0</v>
      </c>
      <c r="H1311" s="5">
        <v>0</v>
      </c>
      <c r="I1311" s="5">
        <v>0</v>
      </c>
      <c r="J1311" s="5">
        <v>0</v>
      </c>
      <c r="K1311" s="5">
        <v>0</v>
      </c>
      <c r="L1311" s="5">
        <v>0</v>
      </c>
      <c r="M1311" s="5">
        <v>0</v>
      </c>
      <c r="N1311" s="5">
        <v>11</v>
      </c>
      <c r="O1311" s="5" t="str">
        <f t="shared" ca="1" si="20"/>
        <v>Supplier 165</v>
      </c>
      <c r="P1311" s="20" t="str">
        <f ca="1">IFERROR(VLOOKUP(O1311,EMAILS!B:C,2,FALSE),"NOT FOUND IN EMAILS")</f>
        <v>supplier@gmail.com</v>
      </c>
      <c r="Q1311" t="str">
        <f ca="1">""&amp;IFERROR(VLOOKUP(O1311,EMAILS!B:D,3,FALSE),"NOT FOUND IN EMAILS")</f>
        <v/>
      </c>
      <c r="R1311" t="str">
        <f ca="1">""&amp;IFERROR(VLOOKUP(O1311,EMAILS!B:E,4,FALSE),"NO T FOUND IN EMAILS")</f>
        <v/>
      </c>
    </row>
    <row r="1312" spans="2:18" x14ac:dyDescent="0.25">
      <c r="B1312" s="5" t="s">
        <v>1314</v>
      </c>
      <c r="C1312" s="5" t="s">
        <v>5454</v>
      </c>
      <c r="D1312" s="5">
        <v>0.96</v>
      </c>
      <c r="E1312" s="5">
        <v>0.83499999999999996</v>
      </c>
      <c r="F1312" s="5">
        <v>1.17</v>
      </c>
      <c r="G1312" s="5">
        <v>1.1299999999999999</v>
      </c>
      <c r="H1312" s="5">
        <v>0.505</v>
      </c>
      <c r="I1312" s="5">
        <v>0.755</v>
      </c>
      <c r="J1312" s="5">
        <v>0.61</v>
      </c>
      <c r="K1312" s="5">
        <v>0.59</v>
      </c>
      <c r="L1312" s="5">
        <v>0.54</v>
      </c>
      <c r="M1312" s="5">
        <v>0</v>
      </c>
      <c r="N1312" s="5">
        <v>0</v>
      </c>
      <c r="O1312" s="5" t="str">
        <f t="shared" ca="1" si="20"/>
        <v>Supplier 145</v>
      </c>
      <c r="P1312" s="20" t="str">
        <f ca="1">IFERROR(VLOOKUP(O1312,EMAILS!B:C,2,FALSE),"NOT FOUND IN EMAILS")</f>
        <v>supplier@gmail.com</v>
      </c>
      <c r="Q1312" t="str">
        <f ca="1">""&amp;IFERROR(VLOOKUP(O1312,EMAILS!B:D,3,FALSE),"NOT FOUND IN EMAILS")</f>
        <v/>
      </c>
      <c r="R1312" t="str">
        <f ca="1">""&amp;IFERROR(VLOOKUP(O1312,EMAILS!B:E,4,FALSE),"NO T FOUND IN EMAILS")</f>
        <v/>
      </c>
    </row>
    <row r="1313" spans="2:18" x14ac:dyDescent="0.25">
      <c r="B1313" s="5" t="s">
        <v>1315</v>
      </c>
      <c r="C1313" s="5" t="s">
        <v>5455</v>
      </c>
      <c r="D1313" s="5">
        <v>0</v>
      </c>
      <c r="E1313" s="5">
        <v>0</v>
      </c>
      <c r="F1313" s="5">
        <v>0</v>
      </c>
      <c r="G1313" s="5">
        <v>3</v>
      </c>
      <c r="H1313" s="5">
        <v>0</v>
      </c>
      <c r="I1313" s="5">
        <v>0</v>
      </c>
      <c r="J1313" s="5">
        <v>0</v>
      </c>
      <c r="K1313" s="5">
        <v>4</v>
      </c>
      <c r="L1313" s="5">
        <v>0</v>
      </c>
      <c r="M1313" s="5">
        <v>0</v>
      </c>
      <c r="N1313" s="5">
        <v>118</v>
      </c>
      <c r="O1313" s="5" t="str">
        <f t="shared" ca="1" si="20"/>
        <v>Supplier 3</v>
      </c>
      <c r="P1313" s="20" t="str">
        <f ca="1">IFERROR(VLOOKUP(O1313,EMAILS!B:C,2,FALSE),"NOT FOUND IN EMAILS")</f>
        <v>supplier@gmail.com</v>
      </c>
      <c r="Q1313" t="str">
        <f ca="1">""&amp;IFERROR(VLOOKUP(O1313,EMAILS!B:D,3,FALSE),"NOT FOUND IN EMAILS")</f>
        <v>supplier_logistics@gmail.com</v>
      </c>
      <c r="R1313" t="str">
        <f ca="1">""&amp;IFERROR(VLOOKUP(O1313,EMAILS!B:E,4,FALSE),"NO T FOUND IN EMAILS")</f>
        <v/>
      </c>
    </row>
    <row r="1314" spans="2:18" x14ac:dyDescent="0.25">
      <c r="B1314" s="5" t="s">
        <v>1316</v>
      </c>
      <c r="C1314" s="5" t="s">
        <v>5456</v>
      </c>
      <c r="D1314" s="5">
        <v>0</v>
      </c>
      <c r="E1314" s="5">
        <v>0</v>
      </c>
      <c r="F1314" s="5">
        <v>0</v>
      </c>
      <c r="G1314" s="5">
        <v>3</v>
      </c>
      <c r="H1314" s="5">
        <v>0</v>
      </c>
      <c r="I1314" s="5">
        <v>0</v>
      </c>
      <c r="J1314" s="5">
        <v>0</v>
      </c>
      <c r="K1314" s="5">
        <v>4</v>
      </c>
      <c r="L1314" s="5">
        <v>0</v>
      </c>
      <c r="M1314" s="5">
        <v>0</v>
      </c>
      <c r="N1314" s="5">
        <v>255</v>
      </c>
      <c r="O1314" s="5" t="str">
        <f t="shared" ca="1" si="20"/>
        <v>Supplier 129</v>
      </c>
      <c r="P1314" s="20" t="str">
        <f ca="1">IFERROR(VLOOKUP(O1314,EMAILS!B:C,2,FALSE),"NOT FOUND IN EMAILS")</f>
        <v>supplier@gmail.com</v>
      </c>
      <c r="Q1314" t="str">
        <f ca="1">""&amp;IFERROR(VLOOKUP(O1314,EMAILS!B:D,3,FALSE),"NOT FOUND IN EMAILS")</f>
        <v/>
      </c>
      <c r="R1314" t="str">
        <f ca="1">""&amp;IFERROR(VLOOKUP(O1314,EMAILS!B:E,4,FALSE),"NO T FOUND IN EMAILS")</f>
        <v/>
      </c>
    </row>
    <row r="1315" spans="2:18" x14ac:dyDescent="0.25">
      <c r="B1315" s="5" t="s">
        <v>1317</v>
      </c>
      <c r="C1315" s="5" t="s">
        <v>5457</v>
      </c>
      <c r="D1315" s="5">
        <v>0</v>
      </c>
      <c r="E1315" s="5">
        <v>0</v>
      </c>
      <c r="F1315" s="5">
        <v>0</v>
      </c>
      <c r="G1315" s="5">
        <v>3</v>
      </c>
      <c r="H1315" s="5">
        <v>0</v>
      </c>
      <c r="I1315" s="5">
        <v>0</v>
      </c>
      <c r="J1315" s="5">
        <v>0</v>
      </c>
      <c r="K1315" s="5">
        <v>4</v>
      </c>
      <c r="L1315" s="5">
        <v>0</v>
      </c>
      <c r="M1315" s="5">
        <v>0</v>
      </c>
      <c r="N1315" s="5">
        <v>52</v>
      </c>
      <c r="O1315" s="5" t="str">
        <f t="shared" ca="1" si="20"/>
        <v>Supplier 163</v>
      </c>
      <c r="P1315" s="20" t="str">
        <f ca="1">IFERROR(VLOOKUP(O1315,EMAILS!B:C,2,FALSE),"NOT FOUND IN EMAILS")</f>
        <v>supplier@gmail.com</v>
      </c>
      <c r="Q1315" t="str">
        <f ca="1">""&amp;IFERROR(VLOOKUP(O1315,EMAILS!B:D,3,FALSE),"NOT FOUND IN EMAILS")</f>
        <v/>
      </c>
      <c r="R1315" t="str">
        <f ca="1">""&amp;IFERROR(VLOOKUP(O1315,EMAILS!B:E,4,FALSE),"NO T FOUND IN EMAILS")</f>
        <v/>
      </c>
    </row>
    <row r="1316" spans="2:18" x14ac:dyDescent="0.25">
      <c r="B1316" s="5" t="s">
        <v>1318</v>
      </c>
      <c r="C1316" s="5" t="s">
        <v>5458</v>
      </c>
      <c r="D1316" s="5">
        <v>4</v>
      </c>
      <c r="E1316" s="5">
        <v>0</v>
      </c>
      <c r="F1316" s="5">
        <v>12</v>
      </c>
      <c r="G1316" s="5">
        <v>12</v>
      </c>
      <c r="H1316" s="5">
        <v>4</v>
      </c>
      <c r="I1316" s="5">
        <v>0</v>
      </c>
      <c r="J1316" s="5">
        <v>0</v>
      </c>
      <c r="K1316" s="5">
        <v>0</v>
      </c>
      <c r="L1316" s="5">
        <v>0</v>
      </c>
      <c r="M1316" s="5">
        <v>0</v>
      </c>
      <c r="N1316" s="5">
        <v>176</v>
      </c>
      <c r="O1316" s="5" t="str">
        <f t="shared" ca="1" si="20"/>
        <v>Supplier 60</v>
      </c>
      <c r="P1316" s="20" t="str">
        <f ca="1">IFERROR(VLOOKUP(O1316,EMAILS!B:C,2,FALSE),"NOT FOUND IN EMAILS")</f>
        <v>supplier@gmail.com</v>
      </c>
      <c r="Q1316" t="str">
        <f ca="1">""&amp;IFERROR(VLOOKUP(O1316,EMAILS!B:D,3,FALSE),"NOT FOUND IN EMAILS")</f>
        <v/>
      </c>
      <c r="R1316" t="str">
        <f ca="1">""&amp;IFERROR(VLOOKUP(O1316,EMAILS!B:E,4,FALSE),"NO T FOUND IN EMAILS")</f>
        <v/>
      </c>
    </row>
    <row r="1317" spans="2:18" x14ac:dyDescent="0.25">
      <c r="B1317" s="5" t="s">
        <v>1319</v>
      </c>
      <c r="C1317" s="5" t="s">
        <v>5459</v>
      </c>
      <c r="D1317" s="5">
        <v>0</v>
      </c>
      <c r="E1317" s="5">
        <v>0</v>
      </c>
      <c r="F1317" s="5">
        <v>0</v>
      </c>
      <c r="G1317" s="5">
        <v>2</v>
      </c>
      <c r="H1317" s="5">
        <v>0</v>
      </c>
      <c r="I1317" s="5">
        <v>0</v>
      </c>
      <c r="J1317" s="5">
        <v>0</v>
      </c>
      <c r="K1317" s="5">
        <v>4</v>
      </c>
      <c r="L1317" s="5">
        <v>0</v>
      </c>
      <c r="M1317" s="5">
        <v>0</v>
      </c>
      <c r="N1317" s="5">
        <v>95</v>
      </c>
      <c r="O1317" s="5" t="str">
        <f t="shared" ca="1" si="20"/>
        <v>Supplier 157</v>
      </c>
      <c r="P1317" s="20" t="str">
        <f ca="1">IFERROR(VLOOKUP(O1317,EMAILS!B:C,2,FALSE),"NOT FOUND IN EMAILS")</f>
        <v>supplier@gmail.com</v>
      </c>
      <c r="Q1317" t="str">
        <f ca="1">""&amp;IFERROR(VLOOKUP(O1317,EMAILS!B:D,3,FALSE),"NOT FOUND IN EMAILS")</f>
        <v/>
      </c>
      <c r="R1317" t="str">
        <f ca="1">""&amp;IFERROR(VLOOKUP(O1317,EMAILS!B:E,4,FALSE),"NO T FOUND IN EMAILS")</f>
        <v/>
      </c>
    </row>
    <row r="1318" spans="2:18" x14ac:dyDescent="0.25">
      <c r="B1318" s="5" t="s">
        <v>1320</v>
      </c>
      <c r="C1318" s="5" t="s">
        <v>5460</v>
      </c>
      <c r="D1318" s="5">
        <v>1</v>
      </c>
      <c r="E1318" s="5">
        <v>0</v>
      </c>
      <c r="F1318" s="5">
        <v>20</v>
      </c>
      <c r="G1318" s="5">
        <v>2</v>
      </c>
      <c r="H1318" s="5">
        <v>3</v>
      </c>
      <c r="I1318" s="5">
        <v>0</v>
      </c>
      <c r="J1318" s="5">
        <v>2</v>
      </c>
      <c r="K1318" s="5">
        <v>5</v>
      </c>
      <c r="L1318" s="5">
        <v>0</v>
      </c>
      <c r="M1318" s="5">
        <v>0</v>
      </c>
      <c r="N1318" s="5">
        <v>16</v>
      </c>
      <c r="O1318" s="5" t="str">
        <f t="shared" ca="1" si="20"/>
        <v>Supplier 63</v>
      </c>
      <c r="P1318" s="20" t="str">
        <f ca="1">IFERROR(VLOOKUP(O1318,EMAILS!B:C,2,FALSE),"NOT FOUND IN EMAILS")</f>
        <v>supplier@gmail.com</v>
      </c>
      <c r="Q1318" t="str">
        <f ca="1">""&amp;IFERROR(VLOOKUP(O1318,EMAILS!B:D,3,FALSE),"NOT FOUND IN EMAILS")</f>
        <v/>
      </c>
      <c r="R1318" t="str">
        <f ca="1">""&amp;IFERROR(VLOOKUP(O1318,EMAILS!B:E,4,FALSE),"NO T FOUND IN EMAILS")</f>
        <v/>
      </c>
    </row>
    <row r="1319" spans="2:18" x14ac:dyDescent="0.25">
      <c r="B1319" s="5" t="s">
        <v>1321</v>
      </c>
      <c r="C1319" s="5" t="s">
        <v>5461</v>
      </c>
      <c r="D1319" s="5">
        <v>1</v>
      </c>
      <c r="E1319" s="5">
        <v>0</v>
      </c>
      <c r="F1319" s="5">
        <v>20</v>
      </c>
      <c r="G1319" s="5">
        <v>2</v>
      </c>
      <c r="H1319" s="5">
        <v>3</v>
      </c>
      <c r="I1319" s="5">
        <v>0</v>
      </c>
      <c r="J1319" s="5">
        <v>2</v>
      </c>
      <c r="K1319" s="5">
        <v>5</v>
      </c>
      <c r="L1319" s="5">
        <v>0</v>
      </c>
      <c r="M1319" s="5">
        <v>0</v>
      </c>
      <c r="N1319" s="5">
        <v>188</v>
      </c>
      <c r="O1319" s="5" t="str">
        <f t="shared" ca="1" si="20"/>
        <v>Supplier 1</v>
      </c>
      <c r="P1319" s="20" t="str">
        <f ca="1">IFERROR(VLOOKUP(O1319,EMAILS!B:C,2,FALSE),"NOT FOUND IN EMAILS")</f>
        <v>supplier@gmail.com</v>
      </c>
      <c r="Q1319" t="str">
        <f ca="1">""&amp;IFERROR(VLOOKUP(O1319,EMAILS!B:D,3,FALSE),"NOT FOUND IN EMAILS")</f>
        <v>supplier_logistics@gmail.com</v>
      </c>
      <c r="R1319" t="str">
        <f ca="1">""&amp;IFERROR(VLOOKUP(O1319,EMAILS!B:E,4,FALSE),"NO T FOUND IN EMAILS")</f>
        <v/>
      </c>
    </row>
    <row r="1320" spans="2:18" x14ac:dyDescent="0.25">
      <c r="B1320" s="5" t="s">
        <v>1322</v>
      </c>
      <c r="C1320" s="5" t="s">
        <v>5462</v>
      </c>
      <c r="D1320" s="5">
        <v>0</v>
      </c>
      <c r="E1320" s="5">
        <v>0</v>
      </c>
      <c r="F1320" s="5">
        <v>0</v>
      </c>
      <c r="G1320" s="5">
        <v>0</v>
      </c>
      <c r="H1320" s="5">
        <v>0</v>
      </c>
      <c r="I1320" s="5">
        <v>0</v>
      </c>
      <c r="J1320" s="5">
        <v>0</v>
      </c>
      <c r="K1320" s="5">
        <v>0</v>
      </c>
      <c r="L1320" s="5">
        <v>0</v>
      </c>
      <c r="M1320" s="5">
        <v>0</v>
      </c>
      <c r="N1320" s="5">
        <v>11</v>
      </c>
      <c r="O1320" s="5" t="str">
        <f t="shared" ca="1" si="20"/>
        <v>Supplier 172</v>
      </c>
      <c r="P1320" s="20" t="str">
        <f ca="1">IFERROR(VLOOKUP(O1320,EMAILS!B:C,2,FALSE),"NOT FOUND IN EMAILS")</f>
        <v>supplier@gmail.com</v>
      </c>
      <c r="Q1320" t="str">
        <f ca="1">""&amp;IFERROR(VLOOKUP(O1320,EMAILS!B:D,3,FALSE),"NOT FOUND IN EMAILS")</f>
        <v/>
      </c>
      <c r="R1320" t="str">
        <f ca="1">""&amp;IFERROR(VLOOKUP(O1320,EMAILS!B:E,4,FALSE),"NO T FOUND IN EMAILS")</f>
        <v/>
      </c>
    </row>
    <row r="1321" spans="2:18" x14ac:dyDescent="0.25">
      <c r="B1321" s="5" t="s">
        <v>1323</v>
      </c>
      <c r="C1321" s="5" t="s">
        <v>5463</v>
      </c>
      <c r="D1321" s="5">
        <v>0</v>
      </c>
      <c r="E1321" s="5">
        <v>0</v>
      </c>
      <c r="F1321" s="5">
        <v>0</v>
      </c>
      <c r="G1321" s="5">
        <v>0</v>
      </c>
      <c r="H1321" s="5">
        <v>0</v>
      </c>
      <c r="I1321" s="5">
        <v>0</v>
      </c>
      <c r="J1321" s="5">
        <v>0</v>
      </c>
      <c r="K1321" s="5">
        <v>0</v>
      </c>
      <c r="L1321" s="5">
        <v>0</v>
      </c>
      <c r="M1321" s="5">
        <v>0</v>
      </c>
      <c r="N1321" s="5">
        <v>51</v>
      </c>
      <c r="O1321" s="5" t="str">
        <f t="shared" ca="1" si="20"/>
        <v>Supplier 182</v>
      </c>
      <c r="P1321" s="20" t="str">
        <f ca="1">IFERROR(VLOOKUP(O1321,EMAILS!B:C,2,FALSE),"NOT FOUND IN EMAILS")</f>
        <v>supplier@gmail.com</v>
      </c>
      <c r="Q1321" t="str">
        <f ca="1">""&amp;IFERROR(VLOOKUP(O1321,EMAILS!B:D,3,FALSE),"NOT FOUND IN EMAILS")</f>
        <v/>
      </c>
      <c r="R1321" t="str">
        <f ca="1">""&amp;IFERROR(VLOOKUP(O1321,EMAILS!B:E,4,FALSE),"NO T FOUND IN EMAILS")</f>
        <v/>
      </c>
    </row>
    <row r="1322" spans="2:18" x14ac:dyDescent="0.25">
      <c r="B1322" s="5" t="s">
        <v>1324</v>
      </c>
      <c r="C1322" s="5" t="s">
        <v>5464</v>
      </c>
      <c r="D1322" s="5">
        <v>0</v>
      </c>
      <c r="E1322" s="5">
        <v>0</v>
      </c>
      <c r="F1322" s="5">
        <v>0</v>
      </c>
      <c r="G1322" s="5">
        <v>0</v>
      </c>
      <c r="H1322" s="5">
        <v>0</v>
      </c>
      <c r="I1322" s="5">
        <v>0</v>
      </c>
      <c r="J1322" s="5">
        <v>0</v>
      </c>
      <c r="K1322" s="5">
        <v>0</v>
      </c>
      <c r="L1322" s="5">
        <v>0</v>
      </c>
      <c r="M1322" s="5">
        <v>0</v>
      </c>
      <c r="N1322" s="5">
        <v>6</v>
      </c>
      <c r="O1322" s="5" t="str">
        <f t="shared" ca="1" si="20"/>
        <v>Supplier 131</v>
      </c>
      <c r="P1322" s="20" t="str">
        <f ca="1">IFERROR(VLOOKUP(O1322,EMAILS!B:C,2,FALSE),"NOT FOUND IN EMAILS")</f>
        <v>supplier@gmail.com</v>
      </c>
      <c r="Q1322" t="str">
        <f ca="1">""&amp;IFERROR(VLOOKUP(O1322,EMAILS!B:D,3,FALSE),"NOT FOUND IN EMAILS")</f>
        <v/>
      </c>
      <c r="R1322" t="str">
        <f ca="1">""&amp;IFERROR(VLOOKUP(O1322,EMAILS!B:E,4,FALSE),"NO T FOUND IN EMAILS")</f>
        <v/>
      </c>
    </row>
    <row r="1323" spans="2:18" x14ac:dyDescent="0.25">
      <c r="B1323" s="5" t="s">
        <v>1325</v>
      </c>
      <c r="C1323" s="5" t="s">
        <v>5465</v>
      </c>
      <c r="D1323" s="5">
        <v>0</v>
      </c>
      <c r="E1323" s="5">
        <v>0</v>
      </c>
      <c r="F1323" s="5">
        <v>0</v>
      </c>
      <c r="G1323" s="5">
        <v>0</v>
      </c>
      <c r="H1323" s="5">
        <v>0</v>
      </c>
      <c r="I1323" s="5">
        <v>0</v>
      </c>
      <c r="J1323" s="5">
        <v>0</v>
      </c>
      <c r="K1323" s="5">
        <v>0</v>
      </c>
      <c r="L1323" s="5">
        <v>0</v>
      </c>
      <c r="M1323" s="5">
        <v>0</v>
      </c>
      <c r="N1323" s="5">
        <v>278</v>
      </c>
      <c r="O1323" s="5" t="str">
        <f t="shared" ca="1" si="20"/>
        <v>Supplier 61</v>
      </c>
      <c r="P1323" s="20" t="str">
        <f ca="1">IFERROR(VLOOKUP(O1323,EMAILS!B:C,2,FALSE),"NOT FOUND IN EMAILS")</f>
        <v>supplier@gmail.com</v>
      </c>
      <c r="Q1323" t="str">
        <f ca="1">""&amp;IFERROR(VLOOKUP(O1323,EMAILS!B:D,3,FALSE),"NOT FOUND IN EMAILS")</f>
        <v/>
      </c>
      <c r="R1323" t="str">
        <f ca="1">""&amp;IFERROR(VLOOKUP(O1323,EMAILS!B:E,4,FALSE),"NO T FOUND IN EMAILS")</f>
        <v/>
      </c>
    </row>
    <row r="1324" spans="2:18" x14ac:dyDescent="0.25">
      <c r="B1324" s="5" t="s">
        <v>1326</v>
      </c>
      <c r="C1324" s="5" t="s">
        <v>5466</v>
      </c>
      <c r="D1324" s="5">
        <v>0</v>
      </c>
      <c r="E1324" s="5">
        <v>0</v>
      </c>
      <c r="F1324" s="5">
        <v>0</v>
      </c>
      <c r="G1324" s="5">
        <v>0</v>
      </c>
      <c r="H1324" s="5">
        <v>70</v>
      </c>
      <c r="I1324" s="5">
        <v>62</v>
      </c>
      <c r="J1324" s="5">
        <v>0</v>
      </c>
      <c r="K1324" s="5">
        <v>40</v>
      </c>
      <c r="L1324" s="5">
        <v>0</v>
      </c>
      <c r="M1324" s="5">
        <v>0</v>
      </c>
      <c r="N1324" s="5">
        <v>32</v>
      </c>
      <c r="O1324" s="5" t="str">
        <f t="shared" ca="1" si="20"/>
        <v>Supplier 125</v>
      </c>
      <c r="P1324" s="20" t="str">
        <f ca="1">IFERROR(VLOOKUP(O1324,EMAILS!B:C,2,FALSE),"NOT FOUND IN EMAILS")</f>
        <v>supplier@gmail.com</v>
      </c>
      <c r="Q1324" t="str">
        <f ca="1">""&amp;IFERROR(VLOOKUP(O1324,EMAILS!B:D,3,FALSE),"NOT FOUND IN EMAILS")</f>
        <v/>
      </c>
      <c r="R1324" t="str">
        <f ca="1">""&amp;IFERROR(VLOOKUP(O1324,EMAILS!B:E,4,FALSE),"NO T FOUND IN EMAILS")</f>
        <v/>
      </c>
    </row>
    <row r="1325" spans="2:18" x14ac:dyDescent="0.25">
      <c r="B1325" s="5" t="s">
        <v>1327</v>
      </c>
      <c r="C1325" s="5" t="s">
        <v>5467</v>
      </c>
      <c r="D1325" s="5">
        <v>6</v>
      </c>
      <c r="E1325" s="5">
        <v>6</v>
      </c>
      <c r="F1325" s="5">
        <v>6</v>
      </c>
      <c r="G1325" s="5">
        <v>6</v>
      </c>
      <c r="H1325" s="5">
        <v>6</v>
      </c>
      <c r="I1325" s="5">
        <v>6</v>
      </c>
      <c r="J1325" s="5">
        <v>6</v>
      </c>
      <c r="K1325" s="5">
        <v>6</v>
      </c>
      <c r="L1325" s="5">
        <v>6</v>
      </c>
      <c r="M1325" s="5">
        <v>0</v>
      </c>
      <c r="N1325" s="5">
        <v>19</v>
      </c>
      <c r="O1325" s="5" t="str">
        <f t="shared" ca="1" si="20"/>
        <v>Supplier 164</v>
      </c>
      <c r="P1325" s="20" t="str">
        <f ca="1">IFERROR(VLOOKUP(O1325,EMAILS!B:C,2,FALSE),"NOT FOUND IN EMAILS")</f>
        <v>supplier@gmail.com</v>
      </c>
      <c r="Q1325" t="str">
        <f ca="1">""&amp;IFERROR(VLOOKUP(O1325,EMAILS!B:D,3,FALSE),"NOT FOUND IN EMAILS")</f>
        <v/>
      </c>
      <c r="R1325" t="str">
        <f ca="1">""&amp;IFERROR(VLOOKUP(O1325,EMAILS!B:E,4,FALSE),"NO T FOUND IN EMAILS")</f>
        <v/>
      </c>
    </row>
    <row r="1326" spans="2:18" x14ac:dyDescent="0.25">
      <c r="B1326" s="5" t="s">
        <v>1328</v>
      </c>
      <c r="C1326" s="5" t="s">
        <v>5468</v>
      </c>
      <c r="D1326" s="5">
        <v>4</v>
      </c>
      <c r="E1326" s="5">
        <v>4</v>
      </c>
      <c r="F1326" s="5">
        <v>4</v>
      </c>
      <c r="G1326" s="5">
        <v>4</v>
      </c>
      <c r="H1326" s="5">
        <v>4</v>
      </c>
      <c r="I1326" s="5">
        <v>4</v>
      </c>
      <c r="J1326" s="5">
        <v>4</v>
      </c>
      <c r="K1326" s="5">
        <v>4</v>
      </c>
      <c r="L1326" s="5">
        <v>4</v>
      </c>
      <c r="M1326" s="5">
        <v>0</v>
      </c>
      <c r="N1326" s="5">
        <v>39</v>
      </c>
      <c r="O1326" s="5" t="str">
        <f t="shared" ca="1" si="20"/>
        <v>Supplier 91</v>
      </c>
      <c r="P1326" s="20" t="str">
        <f ca="1">IFERROR(VLOOKUP(O1326,EMAILS!B:C,2,FALSE),"NOT FOUND IN EMAILS")</f>
        <v>supplier@gmail.com</v>
      </c>
      <c r="Q1326" t="str">
        <f ca="1">""&amp;IFERROR(VLOOKUP(O1326,EMAILS!B:D,3,FALSE),"NOT FOUND IN EMAILS")</f>
        <v/>
      </c>
      <c r="R1326" t="str">
        <f ca="1">""&amp;IFERROR(VLOOKUP(O1326,EMAILS!B:E,4,FALSE),"NO T FOUND IN EMAILS")</f>
        <v/>
      </c>
    </row>
    <row r="1327" spans="2:18" x14ac:dyDescent="0.25">
      <c r="B1327" s="5" t="s">
        <v>1329</v>
      </c>
      <c r="C1327" s="5" t="s">
        <v>5469</v>
      </c>
      <c r="D1327" s="5">
        <v>0</v>
      </c>
      <c r="E1327" s="5">
        <v>0</v>
      </c>
      <c r="F1327" s="5">
        <v>0</v>
      </c>
      <c r="G1327" s="5">
        <v>0</v>
      </c>
      <c r="H1327" s="5">
        <v>0</v>
      </c>
      <c r="I1327" s="5">
        <v>0</v>
      </c>
      <c r="J1327" s="5">
        <v>0</v>
      </c>
      <c r="K1327" s="5">
        <v>0</v>
      </c>
      <c r="L1327" s="5">
        <v>0</v>
      </c>
      <c r="M1327" s="5">
        <v>0</v>
      </c>
      <c r="N1327" s="5">
        <v>43</v>
      </c>
      <c r="O1327" s="5" t="str">
        <f t="shared" ca="1" si="20"/>
        <v>Supplier 151</v>
      </c>
      <c r="P1327" s="20" t="str">
        <f ca="1">IFERROR(VLOOKUP(O1327,EMAILS!B:C,2,FALSE),"NOT FOUND IN EMAILS")</f>
        <v>supplier@gmail.com</v>
      </c>
      <c r="Q1327" t="str">
        <f ca="1">""&amp;IFERROR(VLOOKUP(O1327,EMAILS!B:D,3,FALSE),"NOT FOUND IN EMAILS")</f>
        <v/>
      </c>
      <c r="R1327" t="str">
        <f ca="1">""&amp;IFERROR(VLOOKUP(O1327,EMAILS!B:E,4,FALSE),"NO T FOUND IN EMAILS")</f>
        <v/>
      </c>
    </row>
    <row r="1328" spans="2:18" x14ac:dyDescent="0.25">
      <c r="B1328" s="5" t="s">
        <v>1330</v>
      </c>
      <c r="C1328" s="5" t="s">
        <v>5470</v>
      </c>
      <c r="D1328" s="5">
        <v>0</v>
      </c>
      <c r="E1328" s="5">
        <v>0</v>
      </c>
      <c r="F1328" s="5">
        <v>0</v>
      </c>
      <c r="G1328" s="5">
        <v>0</v>
      </c>
      <c r="H1328" s="5">
        <v>2</v>
      </c>
      <c r="I1328" s="5">
        <v>2</v>
      </c>
      <c r="J1328" s="5">
        <v>2</v>
      </c>
      <c r="K1328" s="5">
        <v>0</v>
      </c>
      <c r="L1328" s="5">
        <v>0</v>
      </c>
      <c r="M1328" s="5">
        <v>0</v>
      </c>
      <c r="N1328" s="5">
        <v>11</v>
      </c>
      <c r="O1328" s="5" t="str">
        <f t="shared" ca="1" si="20"/>
        <v>Supplier 77</v>
      </c>
      <c r="P1328" s="20" t="str">
        <f ca="1">IFERROR(VLOOKUP(O1328,EMAILS!B:C,2,FALSE),"NOT FOUND IN EMAILS")</f>
        <v>supplier@gmail.com</v>
      </c>
      <c r="Q1328" t="str">
        <f ca="1">""&amp;IFERROR(VLOOKUP(O1328,EMAILS!B:D,3,FALSE),"NOT FOUND IN EMAILS")</f>
        <v/>
      </c>
      <c r="R1328" t="str">
        <f ca="1">""&amp;IFERROR(VLOOKUP(O1328,EMAILS!B:E,4,FALSE),"NO T FOUND IN EMAILS")</f>
        <v/>
      </c>
    </row>
    <row r="1329" spans="2:18" x14ac:dyDescent="0.25">
      <c r="B1329" s="5" t="s">
        <v>1331</v>
      </c>
      <c r="C1329" s="5" t="s">
        <v>5471</v>
      </c>
      <c r="D1329" s="5">
        <v>0</v>
      </c>
      <c r="E1329" s="5">
        <v>0</v>
      </c>
      <c r="F1329" s="5">
        <v>0</v>
      </c>
      <c r="G1329" s="5">
        <v>0</v>
      </c>
      <c r="H1329" s="5">
        <v>0</v>
      </c>
      <c r="I1329" s="5">
        <v>0</v>
      </c>
      <c r="J1329" s="5">
        <v>0</v>
      </c>
      <c r="K1329" s="5">
        <v>0</v>
      </c>
      <c r="L1329" s="5">
        <v>0</v>
      </c>
      <c r="M1329" s="5">
        <v>0</v>
      </c>
      <c r="N1329" s="5">
        <v>80</v>
      </c>
      <c r="O1329" s="5" t="str">
        <f t="shared" ca="1" si="20"/>
        <v>Supplier 74</v>
      </c>
      <c r="P1329" s="20" t="str">
        <f ca="1">IFERROR(VLOOKUP(O1329,EMAILS!B:C,2,FALSE),"NOT FOUND IN EMAILS")</f>
        <v>supplier@gmail.com</v>
      </c>
      <c r="Q1329" t="str">
        <f ca="1">""&amp;IFERROR(VLOOKUP(O1329,EMAILS!B:D,3,FALSE),"NOT FOUND IN EMAILS")</f>
        <v/>
      </c>
      <c r="R1329" t="str">
        <f ca="1">""&amp;IFERROR(VLOOKUP(O1329,EMAILS!B:E,4,FALSE),"NO T FOUND IN EMAILS")</f>
        <v/>
      </c>
    </row>
    <row r="1330" spans="2:18" x14ac:dyDescent="0.25">
      <c r="B1330" s="5" t="s">
        <v>1332</v>
      </c>
      <c r="C1330" s="5" t="s">
        <v>5472</v>
      </c>
      <c r="D1330" s="5">
        <v>4</v>
      </c>
      <c r="E1330" s="5">
        <v>4</v>
      </c>
      <c r="F1330" s="5">
        <v>2</v>
      </c>
      <c r="G1330" s="5">
        <v>4</v>
      </c>
      <c r="H1330" s="5">
        <v>2</v>
      </c>
      <c r="I1330" s="5">
        <v>6</v>
      </c>
      <c r="J1330" s="5">
        <v>4</v>
      </c>
      <c r="K1330" s="5">
        <v>2</v>
      </c>
      <c r="L1330" s="5">
        <v>4</v>
      </c>
      <c r="M1330" s="5">
        <v>0</v>
      </c>
      <c r="N1330" s="5">
        <v>13</v>
      </c>
      <c r="O1330" s="5" t="str">
        <f t="shared" ca="1" si="20"/>
        <v>Supplier 143</v>
      </c>
      <c r="P1330" s="20" t="str">
        <f ca="1">IFERROR(VLOOKUP(O1330,EMAILS!B:C,2,FALSE),"NOT FOUND IN EMAILS")</f>
        <v>supplier@gmail.com</v>
      </c>
      <c r="Q1330" t="str">
        <f ca="1">""&amp;IFERROR(VLOOKUP(O1330,EMAILS!B:D,3,FALSE),"NOT FOUND IN EMAILS")</f>
        <v/>
      </c>
      <c r="R1330" t="str">
        <f ca="1">""&amp;IFERROR(VLOOKUP(O1330,EMAILS!B:E,4,FALSE),"NO T FOUND IN EMAILS")</f>
        <v/>
      </c>
    </row>
    <row r="1331" spans="2:18" x14ac:dyDescent="0.25">
      <c r="B1331" s="5" t="s">
        <v>1333</v>
      </c>
      <c r="C1331" s="5" t="s">
        <v>5473</v>
      </c>
      <c r="D1331" s="5">
        <v>24</v>
      </c>
      <c r="E1331" s="5">
        <v>24</v>
      </c>
      <c r="F1331" s="5">
        <v>24</v>
      </c>
      <c r="G1331" s="5">
        <v>24</v>
      </c>
      <c r="H1331" s="5">
        <v>24</v>
      </c>
      <c r="I1331" s="5">
        <v>24</v>
      </c>
      <c r="J1331" s="5">
        <v>24</v>
      </c>
      <c r="K1331" s="5">
        <v>24</v>
      </c>
      <c r="L1331" s="5">
        <v>24</v>
      </c>
      <c r="M1331" s="5">
        <v>0</v>
      </c>
      <c r="N1331" s="5">
        <v>7</v>
      </c>
      <c r="O1331" s="5" t="str">
        <f t="shared" ca="1" si="20"/>
        <v>Supplier 25</v>
      </c>
      <c r="P1331" s="20" t="str">
        <f ca="1">IFERROR(VLOOKUP(O1331,EMAILS!B:C,2,FALSE),"NOT FOUND IN EMAILS")</f>
        <v>supplier@gmail.com</v>
      </c>
      <c r="Q1331" t="str">
        <f ca="1">""&amp;IFERROR(VLOOKUP(O1331,EMAILS!B:D,3,FALSE),"NOT FOUND IN EMAILS")</f>
        <v/>
      </c>
      <c r="R1331" t="str">
        <f ca="1">""&amp;IFERROR(VLOOKUP(O1331,EMAILS!B:E,4,FALSE),"NO T FOUND IN EMAILS")</f>
        <v/>
      </c>
    </row>
    <row r="1332" spans="2:18" x14ac:dyDescent="0.25">
      <c r="B1332" s="5" t="s">
        <v>1334</v>
      </c>
      <c r="C1332" s="5" t="s">
        <v>5474</v>
      </c>
      <c r="D1332" s="5">
        <v>10</v>
      </c>
      <c r="E1332" s="5">
        <v>2</v>
      </c>
      <c r="F1332" s="5">
        <v>2</v>
      </c>
      <c r="G1332" s="5">
        <v>0</v>
      </c>
      <c r="H1332" s="5">
        <v>2</v>
      </c>
      <c r="I1332" s="5">
        <v>0</v>
      </c>
      <c r="J1332" s="5">
        <v>4</v>
      </c>
      <c r="K1332" s="5">
        <v>0</v>
      </c>
      <c r="L1332" s="5">
        <v>0</v>
      </c>
      <c r="M1332" s="5">
        <v>0</v>
      </c>
      <c r="N1332" s="5">
        <v>96</v>
      </c>
      <c r="O1332" s="5" t="str">
        <f t="shared" ca="1" si="20"/>
        <v>Supplier 25</v>
      </c>
      <c r="P1332" s="20" t="str">
        <f ca="1">IFERROR(VLOOKUP(O1332,EMAILS!B:C,2,FALSE),"NOT FOUND IN EMAILS")</f>
        <v>supplier@gmail.com</v>
      </c>
      <c r="Q1332" t="str">
        <f ca="1">""&amp;IFERROR(VLOOKUP(O1332,EMAILS!B:D,3,FALSE),"NOT FOUND IN EMAILS")</f>
        <v/>
      </c>
      <c r="R1332" t="str">
        <f ca="1">""&amp;IFERROR(VLOOKUP(O1332,EMAILS!B:E,4,FALSE),"NO T FOUND IN EMAILS")</f>
        <v/>
      </c>
    </row>
    <row r="1333" spans="2:18" x14ac:dyDescent="0.25">
      <c r="B1333" s="5" t="s">
        <v>1335</v>
      </c>
      <c r="C1333" s="5" t="s">
        <v>5475</v>
      </c>
      <c r="D1333" s="5">
        <v>0</v>
      </c>
      <c r="E1333" s="5">
        <v>0</v>
      </c>
      <c r="F1333" s="5">
        <v>2</v>
      </c>
      <c r="G1333" s="5">
        <v>0</v>
      </c>
      <c r="H1333" s="5">
        <v>0</v>
      </c>
      <c r="I1333" s="5">
        <v>0</v>
      </c>
      <c r="J1333" s="5">
        <v>2</v>
      </c>
      <c r="K1333" s="5">
        <v>0</v>
      </c>
      <c r="L1333" s="5">
        <v>0</v>
      </c>
      <c r="M1333" s="5">
        <v>0</v>
      </c>
      <c r="N1333" s="5">
        <v>0</v>
      </c>
      <c r="O1333" s="5" t="str">
        <f t="shared" ca="1" si="20"/>
        <v>Supplier 195</v>
      </c>
      <c r="P1333" s="20" t="str">
        <f ca="1">IFERROR(VLOOKUP(O1333,EMAILS!B:C,2,FALSE),"NOT FOUND IN EMAILS")</f>
        <v>supplier@gmail.com</v>
      </c>
      <c r="Q1333" t="str">
        <f ca="1">""&amp;IFERROR(VLOOKUP(O1333,EMAILS!B:D,3,FALSE),"NOT FOUND IN EMAILS")</f>
        <v/>
      </c>
      <c r="R1333" t="str">
        <f ca="1">""&amp;IFERROR(VLOOKUP(O1333,EMAILS!B:E,4,FALSE),"NO T FOUND IN EMAILS")</f>
        <v/>
      </c>
    </row>
    <row r="1334" spans="2:18" x14ac:dyDescent="0.25">
      <c r="B1334" s="5" t="s">
        <v>1336</v>
      </c>
      <c r="C1334" s="5" t="s">
        <v>5476</v>
      </c>
      <c r="D1334" s="5">
        <v>0</v>
      </c>
      <c r="E1334" s="5">
        <v>0</v>
      </c>
      <c r="F1334" s="5">
        <v>0</v>
      </c>
      <c r="G1334" s="5">
        <v>0</v>
      </c>
      <c r="H1334" s="5">
        <v>0</v>
      </c>
      <c r="I1334" s="5">
        <v>0</v>
      </c>
      <c r="J1334" s="5">
        <v>0</v>
      </c>
      <c r="K1334" s="5">
        <v>0</v>
      </c>
      <c r="L1334" s="5">
        <v>0</v>
      </c>
      <c r="M1334" s="5">
        <v>0</v>
      </c>
      <c r="N1334" s="5">
        <v>0</v>
      </c>
      <c r="O1334" s="5" t="str">
        <f t="shared" ca="1" si="20"/>
        <v>Supplier 1</v>
      </c>
      <c r="P1334" s="20" t="str">
        <f ca="1">IFERROR(VLOOKUP(O1334,EMAILS!B:C,2,FALSE),"NOT FOUND IN EMAILS")</f>
        <v>supplier@gmail.com</v>
      </c>
      <c r="Q1334" t="str">
        <f ca="1">""&amp;IFERROR(VLOOKUP(O1334,EMAILS!B:D,3,FALSE),"NOT FOUND IN EMAILS")</f>
        <v>supplier_logistics@gmail.com</v>
      </c>
      <c r="R1334" t="str">
        <f ca="1">""&amp;IFERROR(VLOOKUP(O1334,EMAILS!B:E,4,FALSE),"NO T FOUND IN EMAILS")</f>
        <v/>
      </c>
    </row>
    <row r="1335" spans="2:18" x14ac:dyDescent="0.25">
      <c r="B1335" s="5" t="s">
        <v>1337</v>
      </c>
      <c r="C1335" s="5" t="s">
        <v>5477</v>
      </c>
      <c r="D1335" s="5">
        <v>0</v>
      </c>
      <c r="E1335" s="5">
        <v>0</v>
      </c>
      <c r="F1335" s="5">
        <v>0</v>
      </c>
      <c r="G1335" s="5">
        <v>0</v>
      </c>
      <c r="H1335" s="5">
        <v>0</v>
      </c>
      <c r="I1335" s="5">
        <v>0</v>
      </c>
      <c r="J1335" s="5">
        <v>0</v>
      </c>
      <c r="K1335" s="5">
        <v>0</v>
      </c>
      <c r="L1335" s="5">
        <v>0</v>
      </c>
      <c r="M1335" s="5">
        <v>0</v>
      </c>
      <c r="N1335" s="5">
        <v>0</v>
      </c>
      <c r="O1335" s="5" t="str">
        <f t="shared" ca="1" si="20"/>
        <v>Supplier 58</v>
      </c>
      <c r="P1335" s="20" t="str">
        <f ca="1">IFERROR(VLOOKUP(O1335,EMAILS!B:C,2,FALSE),"NOT FOUND IN EMAILS")</f>
        <v>supplier@gmail.com</v>
      </c>
      <c r="Q1335" t="str">
        <f ca="1">""&amp;IFERROR(VLOOKUP(O1335,EMAILS!B:D,3,FALSE),"NOT FOUND IN EMAILS")</f>
        <v/>
      </c>
      <c r="R1335" t="str">
        <f ca="1">""&amp;IFERROR(VLOOKUP(O1335,EMAILS!B:E,4,FALSE),"NO T FOUND IN EMAILS")</f>
        <v/>
      </c>
    </row>
    <row r="1336" spans="2:18" x14ac:dyDescent="0.25">
      <c r="B1336" s="5" t="s">
        <v>1338</v>
      </c>
      <c r="C1336" s="5" t="s">
        <v>5478</v>
      </c>
      <c r="D1336" s="5">
        <v>70</v>
      </c>
      <c r="E1336" s="5">
        <v>0</v>
      </c>
      <c r="F1336" s="5">
        <v>15</v>
      </c>
      <c r="G1336" s="5">
        <v>1</v>
      </c>
      <c r="H1336" s="5">
        <v>5</v>
      </c>
      <c r="I1336" s="5">
        <v>0</v>
      </c>
      <c r="J1336" s="5">
        <v>4</v>
      </c>
      <c r="K1336" s="5">
        <v>1</v>
      </c>
      <c r="L1336" s="5">
        <v>1</v>
      </c>
      <c r="M1336" s="5">
        <v>0</v>
      </c>
      <c r="N1336" s="5">
        <v>0</v>
      </c>
      <c r="O1336" s="5" t="str">
        <f t="shared" ca="1" si="20"/>
        <v>Supplier 86</v>
      </c>
      <c r="P1336" s="20" t="str">
        <f ca="1">IFERROR(VLOOKUP(O1336,EMAILS!B:C,2,FALSE),"NOT FOUND IN EMAILS")</f>
        <v>supplier@gmail.com</v>
      </c>
      <c r="Q1336" t="str">
        <f ca="1">""&amp;IFERROR(VLOOKUP(O1336,EMAILS!B:D,3,FALSE),"NOT FOUND IN EMAILS")</f>
        <v/>
      </c>
      <c r="R1336" t="str">
        <f ca="1">""&amp;IFERROR(VLOOKUP(O1336,EMAILS!B:E,4,FALSE),"NO T FOUND IN EMAILS")</f>
        <v/>
      </c>
    </row>
    <row r="1337" spans="2:18" x14ac:dyDescent="0.25">
      <c r="B1337" s="5" t="s">
        <v>1339</v>
      </c>
      <c r="C1337" s="5" t="s">
        <v>5479</v>
      </c>
      <c r="D1337" s="5">
        <v>70</v>
      </c>
      <c r="E1337" s="5">
        <v>0</v>
      </c>
      <c r="F1337" s="5">
        <v>15</v>
      </c>
      <c r="G1337" s="5">
        <v>1</v>
      </c>
      <c r="H1337" s="5">
        <v>5</v>
      </c>
      <c r="I1337" s="5">
        <v>0</v>
      </c>
      <c r="J1337" s="5">
        <v>4</v>
      </c>
      <c r="K1337" s="5">
        <v>1</v>
      </c>
      <c r="L1337" s="5">
        <v>1</v>
      </c>
      <c r="M1337" s="5">
        <v>0</v>
      </c>
      <c r="N1337" s="5">
        <v>60</v>
      </c>
      <c r="O1337" s="5" t="str">
        <f t="shared" ca="1" si="20"/>
        <v>Supplier 148</v>
      </c>
      <c r="P1337" s="20" t="str">
        <f ca="1">IFERROR(VLOOKUP(O1337,EMAILS!B:C,2,FALSE),"NOT FOUND IN EMAILS")</f>
        <v>supplier@gmail.com</v>
      </c>
      <c r="Q1337" t="str">
        <f ca="1">""&amp;IFERROR(VLOOKUP(O1337,EMAILS!B:D,3,FALSE),"NOT FOUND IN EMAILS")</f>
        <v/>
      </c>
      <c r="R1337" t="str">
        <f ca="1">""&amp;IFERROR(VLOOKUP(O1337,EMAILS!B:E,4,FALSE),"NO T FOUND IN EMAILS")</f>
        <v/>
      </c>
    </row>
    <row r="1338" spans="2:18" x14ac:dyDescent="0.25">
      <c r="B1338" s="5" t="s">
        <v>1340</v>
      </c>
      <c r="C1338" s="5" t="s">
        <v>5480</v>
      </c>
      <c r="D1338" s="5">
        <v>18</v>
      </c>
      <c r="E1338" s="5">
        <v>10</v>
      </c>
      <c r="F1338" s="5">
        <v>10</v>
      </c>
      <c r="G1338" s="5">
        <v>10</v>
      </c>
      <c r="H1338" s="5">
        <v>0</v>
      </c>
      <c r="I1338" s="5">
        <v>0</v>
      </c>
      <c r="J1338" s="5">
        <v>0</v>
      </c>
      <c r="K1338" s="5">
        <v>0</v>
      </c>
      <c r="L1338" s="5">
        <v>0</v>
      </c>
      <c r="M1338" s="5">
        <v>0</v>
      </c>
      <c r="N1338" s="5">
        <v>60</v>
      </c>
      <c r="O1338" s="5" t="str">
        <f t="shared" ca="1" si="20"/>
        <v>Supplier 138</v>
      </c>
      <c r="P1338" s="20" t="str">
        <f ca="1">IFERROR(VLOOKUP(O1338,EMAILS!B:C,2,FALSE),"NOT FOUND IN EMAILS")</f>
        <v>supplier@gmail.com</v>
      </c>
      <c r="Q1338" t="str">
        <f ca="1">""&amp;IFERROR(VLOOKUP(O1338,EMAILS!B:D,3,FALSE),"NOT FOUND IN EMAILS")</f>
        <v/>
      </c>
      <c r="R1338" t="str">
        <f ca="1">""&amp;IFERROR(VLOOKUP(O1338,EMAILS!B:E,4,FALSE),"NO T FOUND IN EMAILS")</f>
        <v/>
      </c>
    </row>
    <row r="1339" spans="2:18" x14ac:dyDescent="0.25">
      <c r="B1339" s="5" t="s">
        <v>1341</v>
      </c>
      <c r="C1339" s="5" t="s">
        <v>5481</v>
      </c>
      <c r="D1339" s="5">
        <v>18</v>
      </c>
      <c r="E1339" s="5">
        <v>10</v>
      </c>
      <c r="F1339" s="5">
        <v>10</v>
      </c>
      <c r="G1339" s="5">
        <v>10</v>
      </c>
      <c r="H1339" s="5">
        <v>0</v>
      </c>
      <c r="I1339" s="5">
        <v>0</v>
      </c>
      <c r="J1339" s="5">
        <v>0</v>
      </c>
      <c r="K1339" s="5">
        <v>0</v>
      </c>
      <c r="L1339" s="5">
        <v>0</v>
      </c>
      <c r="M1339" s="5">
        <v>0</v>
      </c>
      <c r="N1339" s="5">
        <v>750</v>
      </c>
      <c r="O1339" s="5" t="str">
        <f t="shared" ca="1" si="20"/>
        <v>Supplier 5</v>
      </c>
      <c r="P1339" s="20" t="str">
        <f ca="1">IFERROR(VLOOKUP(O1339,EMAILS!B:C,2,FALSE),"NOT FOUND IN EMAILS")</f>
        <v>supplier@gmail.com</v>
      </c>
      <c r="Q1339" t="str">
        <f ca="1">""&amp;IFERROR(VLOOKUP(O1339,EMAILS!B:D,3,FALSE),"NOT FOUND IN EMAILS")</f>
        <v>supplier_logistics@gmail.com</v>
      </c>
      <c r="R1339" t="str">
        <f ca="1">""&amp;IFERROR(VLOOKUP(O1339,EMAILS!B:E,4,FALSE),"NO T FOUND IN EMAILS")</f>
        <v/>
      </c>
    </row>
    <row r="1340" spans="2:18" x14ac:dyDescent="0.25">
      <c r="B1340" s="5" t="s">
        <v>1342</v>
      </c>
      <c r="C1340" s="5" t="s">
        <v>5482</v>
      </c>
      <c r="D1340" s="5">
        <v>600</v>
      </c>
      <c r="E1340" s="5">
        <v>600</v>
      </c>
      <c r="F1340" s="5">
        <v>600</v>
      </c>
      <c r="G1340" s="5">
        <v>600</v>
      </c>
      <c r="H1340" s="5">
        <v>600</v>
      </c>
      <c r="I1340" s="5">
        <v>600</v>
      </c>
      <c r="J1340" s="5">
        <v>420</v>
      </c>
      <c r="K1340" s="5">
        <v>420</v>
      </c>
      <c r="L1340" s="5">
        <v>420</v>
      </c>
      <c r="M1340" s="5">
        <v>0</v>
      </c>
      <c r="N1340" s="5">
        <v>0</v>
      </c>
      <c r="O1340" s="5" t="str">
        <f t="shared" ca="1" si="20"/>
        <v>Supplier 70</v>
      </c>
      <c r="P1340" s="20" t="str">
        <f ca="1">IFERROR(VLOOKUP(O1340,EMAILS!B:C,2,FALSE),"NOT FOUND IN EMAILS")</f>
        <v>supplier@gmail.com</v>
      </c>
      <c r="Q1340" t="str">
        <f ca="1">""&amp;IFERROR(VLOOKUP(O1340,EMAILS!B:D,3,FALSE),"NOT FOUND IN EMAILS")</f>
        <v/>
      </c>
      <c r="R1340" t="str">
        <f ca="1">""&amp;IFERROR(VLOOKUP(O1340,EMAILS!B:E,4,FALSE),"NO T FOUND IN EMAILS")</f>
        <v/>
      </c>
    </row>
    <row r="1341" spans="2:18" x14ac:dyDescent="0.25">
      <c r="B1341" s="5" t="s">
        <v>1343</v>
      </c>
      <c r="C1341" s="5" t="s">
        <v>5483</v>
      </c>
      <c r="D1341" s="5">
        <v>0</v>
      </c>
      <c r="E1341" s="5">
        <v>15</v>
      </c>
      <c r="F1341" s="5">
        <v>10</v>
      </c>
      <c r="G1341" s="5">
        <v>0</v>
      </c>
      <c r="H1341" s="5">
        <v>0</v>
      </c>
      <c r="I1341" s="5">
        <v>0</v>
      </c>
      <c r="J1341" s="5">
        <v>0</v>
      </c>
      <c r="K1341" s="5">
        <v>0</v>
      </c>
      <c r="L1341" s="5">
        <v>0</v>
      </c>
      <c r="M1341" s="5">
        <v>0</v>
      </c>
      <c r="N1341" s="5">
        <v>295</v>
      </c>
      <c r="O1341" s="5" t="str">
        <f t="shared" ca="1" si="20"/>
        <v>Supplier 110</v>
      </c>
      <c r="P1341" s="20" t="str">
        <f ca="1">IFERROR(VLOOKUP(O1341,EMAILS!B:C,2,FALSE),"NOT FOUND IN EMAILS")</f>
        <v>supplier@gmail.com</v>
      </c>
      <c r="Q1341" t="str">
        <f ca="1">""&amp;IFERROR(VLOOKUP(O1341,EMAILS!B:D,3,FALSE),"NOT FOUND IN EMAILS")</f>
        <v/>
      </c>
      <c r="R1341" t="str">
        <f ca="1">""&amp;IFERROR(VLOOKUP(O1341,EMAILS!B:E,4,FALSE),"NO T FOUND IN EMAILS")</f>
        <v/>
      </c>
    </row>
    <row r="1342" spans="2:18" x14ac:dyDescent="0.25">
      <c r="B1342" s="5" t="s">
        <v>1344</v>
      </c>
      <c r="C1342" s="5" t="s">
        <v>5484</v>
      </c>
      <c r="D1342" s="5">
        <v>135</v>
      </c>
      <c r="E1342" s="5">
        <v>135</v>
      </c>
      <c r="F1342" s="5">
        <v>255</v>
      </c>
      <c r="G1342" s="5">
        <v>180</v>
      </c>
      <c r="H1342" s="5">
        <v>90</v>
      </c>
      <c r="I1342" s="5">
        <v>120</v>
      </c>
      <c r="J1342" s="5">
        <v>120</v>
      </c>
      <c r="K1342" s="5">
        <v>91</v>
      </c>
      <c r="L1342" s="5">
        <v>60</v>
      </c>
      <c r="M1342" s="5">
        <v>0</v>
      </c>
      <c r="N1342" s="5">
        <v>0</v>
      </c>
      <c r="O1342" s="5" t="str">
        <f t="shared" ca="1" si="20"/>
        <v>Supplier 83</v>
      </c>
      <c r="P1342" s="20" t="str">
        <f ca="1">IFERROR(VLOOKUP(O1342,EMAILS!B:C,2,FALSE),"NOT FOUND IN EMAILS")</f>
        <v>supplier@gmail.com</v>
      </c>
      <c r="Q1342" t="str">
        <f ca="1">""&amp;IFERROR(VLOOKUP(O1342,EMAILS!B:D,3,FALSE),"NOT FOUND IN EMAILS")</f>
        <v/>
      </c>
      <c r="R1342" t="str">
        <f ca="1">""&amp;IFERROR(VLOOKUP(O1342,EMAILS!B:E,4,FALSE),"NO T FOUND IN EMAILS")</f>
        <v/>
      </c>
    </row>
    <row r="1343" spans="2:18" x14ac:dyDescent="0.25">
      <c r="B1343" s="5" t="s">
        <v>1345</v>
      </c>
      <c r="C1343" s="5" t="s">
        <v>5485</v>
      </c>
      <c r="D1343" s="5">
        <v>0</v>
      </c>
      <c r="E1343" s="5">
        <v>0</v>
      </c>
      <c r="F1343" s="5">
        <v>0</v>
      </c>
      <c r="G1343" s="5">
        <v>0</v>
      </c>
      <c r="H1343" s="5">
        <v>0</v>
      </c>
      <c r="I1343" s="5">
        <v>0</v>
      </c>
      <c r="J1343" s="5">
        <v>0</v>
      </c>
      <c r="K1343" s="5">
        <v>0</v>
      </c>
      <c r="L1343" s="5">
        <v>0</v>
      </c>
      <c r="M1343" s="5">
        <v>0</v>
      </c>
      <c r="N1343" s="5">
        <v>67</v>
      </c>
      <c r="O1343" s="5" t="str">
        <f t="shared" ca="1" si="20"/>
        <v>Supplier 17</v>
      </c>
      <c r="P1343" s="20" t="str">
        <f ca="1">IFERROR(VLOOKUP(O1343,EMAILS!B:C,2,FALSE),"NOT FOUND IN EMAILS")</f>
        <v>supplier@gmail.com</v>
      </c>
      <c r="Q1343" t="str">
        <f ca="1">""&amp;IFERROR(VLOOKUP(O1343,EMAILS!B:D,3,FALSE),"NOT FOUND IN EMAILS")</f>
        <v>supplier_logistics@gmail.com</v>
      </c>
      <c r="R1343" t="str">
        <f ca="1">""&amp;IFERROR(VLOOKUP(O1343,EMAILS!B:E,4,FALSE),"NO T FOUND IN EMAILS")</f>
        <v/>
      </c>
    </row>
    <row r="1344" spans="2:18" x14ac:dyDescent="0.25">
      <c r="B1344" s="5" t="s">
        <v>1346</v>
      </c>
      <c r="C1344" s="5" t="s">
        <v>5486</v>
      </c>
      <c r="D1344" s="5">
        <v>2</v>
      </c>
      <c r="E1344" s="5">
        <v>2</v>
      </c>
      <c r="F1344" s="5">
        <v>7</v>
      </c>
      <c r="G1344" s="5">
        <v>7</v>
      </c>
      <c r="H1344" s="5">
        <v>7</v>
      </c>
      <c r="I1344" s="5">
        <v>8</v>
      </c>
      <c r="J1344" s="5">
        <v>2</v>
      </c>
      <c r="K1344" s="5">
        <v>7</v>
      </c>
      <c r="L1344" s="5">
        <v>7</v>
      </c>
      <c r="M1344" s="5">
        <v>0</v>
      </c>
      <c r="N1344" s="5">
        <v>100</v>
      </c>
      <c r="O1344" s="5" t="str">
        <f t="shared" ca="1" si="20"/>
        <v>Supplier 147</v>
      </c>
      <c r="P1344" s="20" t="str">
        <f ca="1">IFERROR(VLOOKUP(O1344,EMAILS!B:C,2,FALSE),"NOT FOUND IN EMAILS")</f>
        <v>supplier@gmail.com</v>
      </c>
      <c r="Q1344" t="str">
        <f ca="1">""&amp;IFERROR(VLOOKUP(O1344,EMAILS!B:D,3,FALSE),"NOT FOUND IN EMAILS")</f>
        <v/>
      </c>
      <c r="R1344" t="str">
        <f ca="1">""&amp;IFERROR(VLOOKUP(O1344,EMAILS!B:E,4,FALSE),"NO T FOUND IN EMAILS")</f>
        <v/>
      </c>
    </row>
    <row r="1345" spans="2:18" x14ac:dyDescent="0.25">
      <c r="B1345" s="5" t="s">
        <v>1347</v>
      </c>
      <c r="C1345" s="5" t="s">
        <v>5487</v>
      </c>
      <c r="D1345" s="5">
        <v>30</v>
      </c>
      <c r="E1345" s="5">
        <v>0</v>
      </c>
      <c r="F1345" s="5">
        <v>0</v>
      </c>
      <c r="G1345" s="5">
        <v>0</v>
      </c>
      <c r="H1345" s="5">
        <v>0</v>
      </c>
      <c r="I1345" s="5">
        <v>0</v>
      </c>
      <c r="J1345" s="5">
        <v>0</v>
      </c>
      <c r="K1345" s="5">
        <v>0</v>
      </c>
      <c r="L1345" s="5">
        <v>0</v>
      </c>
      <c r="M1345" s="5">
        <v>0</v>
      </c>
      <c r="N1345" s="5">
        <v>169</v>
      </c>
      <c r="O1345" s="5" t="str">
        <f t="shared" ca="1" si="20"/>
        <v>Supplier 11</v>
      </c>
      <c r="P1345" s="20" t="str">
        <f ca="1">IFERROR(VLOOKUP(O1345,EMAILS!B:C,2,FALSE),"NOT FOUND IN EMAILS")</f>
        <v>supplier@gmail.com</v>
      </c>
      <c r="Q1345" t="str">
        <f ca="1">""&amp;IFERROR(VLOOKUP(O1345,EMAILS!B:D,3,FALSE),"NOT FOUND IN EMAILS")</f>
        <v>supplier_logistics@gmail.com</v>
      </c>
      <c r="R1345" t="str">
        <f ca="1">""&amp;IFERROR(VLOOKUP(O1345,EMAILS!B:E,4,FALSE),"NO T FOUND IN EMAILS")</f>
        <v/>
      </c>
    </row>
    <row r="1346" spans="2:18" x14ac:dyDescent="0.25">
      <c r="B1346" s="5" t="s">
        <v>1348</v>
      </c>
      <c r="C1346" s="5" t="s">
        <v>5488</v>
      </c>
      <c r="D1346" s="5">
        <v>108</v>
      </c>
      <c r="E1346" s="5">
        <v>0</v>
      </c>
      <c r="F1346" s="5">
        <v>0</v>
      </c>
      <c r="G1346" s="5">
        <v>0</v>
      </c>
      <c r="H1346" s="5">
        <v>50</v>
      </c>
      <c r="I1346" s="5">
        <v>38</v>
      </c>
      <c r="J1346" s="5">
        <v>20</v>
      </c>
      <c r="K1346" s="5">
        <v>50</v>
      </c>
      <c r="L1346" s="5">
        <v>36</v>
      </c>
      <c r="M1346" s="5">
        <v>0</v>
      </c>
      <c r="N1346" s="5">
        <v>1028</v>
      </c>
      <c r="O1346" s="5" t="str">
        <f t="shared" ca="1" si="20"/>
        <v>Supplier 69</v>
      </c>
      <c r="P1346" s="20" t="str">
        <f ca="1">IFERROR(VLOOKUP(O1346,EMAILS!B:C,2,FALSE),"NOT FOUND IN EMAILS")</f>
        <v>supplier@gmail.com</v>
      </c>
      <c r="Q1346" t="str">
        <f ca="1">""&amp;IFERROR(VLOOKUP(O1346,EMAILS!B:D,3,FALSE),"NOT FOUND IN EMAILS")</f>
        <v/>
      </c>
      <c r="R1346" t="str">
        <f ca="1">""&amp;IFERROR(VLOOKUP(O1346,EMAILS!B:E,4,FALSE),"NO T FOUND IN EMAILS")</f>
        <v/>
      </c>
    </row>
    <row r="1347" spans="2:18" x14ac:dyDescent="0.25">
      <c r="B1347" s="5" t="s">
        <v>1349</v>
      </c>
      <c r="C1347" s="5" t="s">
        <v>5489</v>
      </c>
      <c r="D1347" s="5">
        <v>400</v>
      </c>
      <c r="E1347" s="5">
        <v>0</v>
      </c>
      <c r="F1347" s="5">
        <v>280</v>
      </c>
      <c r="G1347" s="5">
        <v>6</v>
      </c>
      <c r="H1347" s="5">
        <v>0</v>
      </c>
      <c r="I1347" s="5">
        <v>2</v>
      </c>
      <c r="J1347" s="5">
        <v>50</v>
      </c>
      <c r="K1347" s="5">
        <v>24</v>
      </c>
      <c r="L1347" s="5">
        <v>60</v>
      </c>
      <c r="M1347" s="5">
        <v>0</v>
      </c>
      <c r="N1347" s="5">
        <v>4000</v>
      </c>
      <c r="O1347" s="5" t="str">
        <f t="shared" ref="O1347:O1410" ca="1" si="21">"Supplier "&amp;RANDBETWEEN(1,200)</f>
        <v>Supplier 111</v>
      </c>
      <c r="P1347" s="20" t="str">
        <f ca="1">IFERROR(VLOOKUP(O1347,EMAILS!B:C,2,FALSE),"NOT FOUND IN EMAILS")</f>
        <v>supplier@gmail.com</v>
      </c>
      <c r="Q1347" t="str">
        <f ca="1">""&amp;IFERROR(VLOOKUP(O1347,EMAILS!B:D,3,FALSE),"NOT FOUND IN EMAILS")</f>
        <v/>
      </c>
      <c r="R1347" t="str">
        <f ca="1">""&amp;IFERROR(VLOOKUP(O1347,EMAILS!B:E,4,FALSE),"NO T FOUND IN EMAILS")</f>
        <v/>
      </c>
    </row>
    <row r="1348" spans="2:18" x14ac:dyDescent="0.25">
      <c r="B1348" s="5" t="s">
        <v>1350</v>
      </c>
      <c r="C1348" s="5" t="s">
        <v>5490</v>
      </c>
      <c r="D1348" s="5">
        <v>0</v>
      </c>
      <c r="E1348" s="5">
        <v>0</v>
      </c>
      <c r="F1348" s="5">
        <v>0</v>
      </c>
      <c r="G1348" s="5">
        <v>0</v>
      </c>
      <c r="H1348" s="5">
        <v>0</v>
      </c>
      <c r="I1348" s="5">
        <v>0</v>
      </c>
      <c r="J1348" s="5">
        <v>0</v>
      </c>
      <c r="K1348" s="5">
        <v>0</v>
      </c>
      <c r="L1348" s="5">
        <v>500</v>
      </c>
      <c r="M1348" s="5">
        <v>0</v>
      </c>
      <c r="N1348" s="5">
        <v>1496</v>
      </c>
      <c r="O1348" s="5" t="str">
        <f t="shared" ca="1" si="21"/>
        <v>Supplier 64</v>
      </c>
      <c r="P1348" s="20" t="str">
        <f ca="1">IFERROR(VLOOKUP(O1348,EMAILS!B:C,2,FALSE),"NOT FOUND IN EMAILS")</f>
        <v>supplier@gmail.com</v>
      </c>
      <c r="Q1348" t="str">
        <f ca="1">""&amp;IFERROR(VLOOKUP(O1348,EMAILS!B:D,3,FALSE),"NOT FOUND IN EMAILS")</f>
        <v/>
      </c>
      <c r="R1348" t="str">
        <f ca="1">""&amp;IFERROR(VLOOKUP(O1348,EMAILS!B:E,4,FALSE),"NO T FOUND IN EMAILS")</f>
        <v/>
      </c>
    </row>
    <row r="1349" spans="2:18" x14ac:dyDescent="0.25">
      <c r="B1349" s="5" t="s">
        <v>1351</v>
      </c>
      <c r="C1349" s="5" t="s">
        <v>5491</v>
      </c>
      <c r="D1349" s="5">
        <v>80</v>
      </c>
      <c r="E1349" s="5">
        <v>80</v>
      </c>
      <c r="F1349" s="5">
        <v>120</v>
      </c>
      <c r="G1349" s="5">
        <v>0</v>
      </c>
      <c r="H1349" s="5">
        <v>0</v>
      </c>
      <c r="I1349" s="5">
        <v>0</v>
      </c>
      <c r="J1349" s="5">
        <v>0</v>
      </c>
      <c r="K1349" s="5">
        <v>0</v>
      </c>
      <c r="L1349" s="5">
        <v>280</v>
      </c>
      <c r="M1349" s="5">
        <v>0</v>
      </c>
      <c r="N1349" s="5">
        <v>2000</v>
      </c>
      <c r="O1349" s="5" t="str">
        <f t="shared" ca="1" si="21"/>
        <v>Supplier 43</v>
      </c>
      <c r="P1349" s="20" t="str">
        <f ca="1">IFERROR(VLOOKUP(O1349,EMAILS!B:C,2,FALSE),"NOT FOUND IN EMAILS")</f>
        <v>supplier@gmail.com</v>
      </c>
      <c r="Q1349" t="str">
        <f ca="1">""&amp;IFERROR(VLOOKUP(O1349,EMAILS!B:D,3,FALSE),"NOT FOUND IN EMAILS")</f>
        <v/>
      </c>
      <c r="R1349" t="str">
        <f ca="1">""&amp;IFERROR(VLOOKUP(O1349,EMAILS!B:E,4,FALSE),"NO T FOUND IN EMAILS")</f>
        <v/>
      </c>
    </row>
    <row r="1350" spans="2:18" x14ac:dyDescent="0.25">
      <c r="B1350" s="5" t="s">
        <v>1352</v>
      </c>
      <c r="C1350" s="5" t="s">
        <v>5492</v>
      </c>
      <c r="D1350" s="5">
        <v>0</v>
      </c>
      <c r="E1350" s="5">
        <v>0</v>
      </c>
      <c r="F1350" s="5">
        <v>0</v>
      </c>
      <c r="G1350" s="5">
        <v>0</v>
      </c>
      <c r="H1350" s="5">
        <v>0</v>
      </c>
      <c r="I1350" s="5">
        <v>0</v>
      </c>
      <c r="J1350" s="5">
        <v>0</v>
      </c>
      <c r="K1350" s="5">
        <v>0</v>
      </c>
      <c r="L1350" s="5">
        <v>0</v>
      </c>
      <c r="M1350" s="5">
        <v>0</v>
      </c>
      <c r="N1350" s="5">
        <v>1000</v>
      </c>
      <c r="O1350" s="5" t="str">
        <f t="shared" ca="1" si="21"/>
        <v>Supplier 144</v>
      </c>
      <c r="P1350" s="20" t="str">
        <f ca="1">IFERROR(VLOOKUP(O1350,EMAILS!B:C,2,FALSE),"NOT FOUND IN EMAILS")</f>
        <v>supplier@gmail.com</v>
      </c>
      <c r="Q1350" t="str">
        <f ca="1">""&amp;IFERROR(VLOOKUP(O1350,EMAILS!B:D,3,FALSE),"NOT FOUND IN EMAILS")</f>
        <v/>
      </c>
      <c r="R1350" t="str">
        <f ca="1">""&amp;IFERROR(VLOOKUP(O1350,EMAILS!B:E,4,FALSE),"NO T FOUND IN EMAILS")</f>
        <v/>
      </c>
    </row>
    <row r="1351" spans="2:18" x14ac:dyDescent="0.25">
      <c r="B1351" s="5" t="s">
        <v>1353</v>
      </c>
      <c r="C1351" s="5" t="s">
        <v>5493</v>
      </c>
      <c r="D1351" s="5">
        <v>0</v>
      </c>
      <c r="E1351" s="5">
        <v>0</v>
      </c>
      <c r="F1351" s="5">
        <v>0</v>
      </c>
      <c r="G1351" s="5">
        <v>0</v>
      </c>
      <c r="H1351" s="5">
        <v>0</v>
      </c>
      <c r="I1351" s="5">
        <v>0</v>
      </c>
      <c r="J1351" s="5">
        <v>0</v>
      </c>
      <c r="K1351" s="5">
        <v>0</v>
      </c>
      <c r="L1351" s="5">
        <v>0</v>
      </c>
      <c r="M1351" s="5">
        <v>0</v>
      </c>
      <c r="N1351" s="5">
        <v>0</v>
      </c>
      <c r="O1351" s="5" t="str">
        <f t="shared" ca="1" si="21"/>
        <v>Supplier 33</v>
      </c>
      <c r="P1351" s="20" t="str">
        <f ca="1">IFERROR(VLOOKUP(O1351,EMAILS!B:C,2,FALSE),"NOT FOUND IN EMAILS")</f>
        <v>supplier@gmail.com</v>
      </c>
      <c r="Q1351" t="str">
        <f ca="1">""&amp;IFERROR(VLOOKUP(O1351,EMAILS!B:D,3,FALSE),"NOT FOUND IN EMAILS")</f>
        <v/>
      </c>
      <c r="R1351" t="str">
        <f ca="1">""&amp;IFERROR(VLOOKUP(O1351,EMAILS!B:E,4,FALSE),"NO T FOUND IN EMAILS")</f>
        <v/>
      </c>
    </row>
    <row r="1352" spans="2:18" x14ac:dyDescent="0.25">
      <c r="B1352" s="5" t="s">
        <v>1354</v>
      </c>
      <c r="C1352" s="5" t="s">
        <v>5494</v>
      </c>
      <c r="D1352" s="5">
        <v>0</v>
      </c>
      <c r="E1352" s="5">
        <v>0</v>
      </c>
      <c r="F1352" s="5">
        <v>0</v>
      </c>
      <c r="G1352" s="5">
        <v>0</v>
      </c>
      <c r="H1352" s="5">
        <v>0</v>
      </c>
      <c r="I1352" s="5">
        <v>0</v>
      </c>
      <c r="J1352" s="5">
        <v>0</v>
      </c>
      <c r="K1352" s="5">
        <v>0</v>
      </c>
      <c r="L1352" s="5">
        <v>0</v>
      </c>
      <c r="M1352" s="5">
        <v>0</v>
      </c>
      <c r="N1352" s="5">
        <v>40</v>
      </c>
      <c r="O1352" s="5" t="str">
        <f t="shared" ca="1" si="21"/>
        <v>Supplier 49</v>
      </c>
      <c r="P1352" s="20" t="str">
        <f ca="1">IFERROR(VLOOKUP(O1352,EMAILS!B:C,2,FALSE),"NOT FOUND IN EMAILS")</f>
        <v>supplier@gmail.com</v>
      </c>
      <c r="Q1352" t="str">
        <f ca="1">""&amp;IFERROR(VLOOKUP(O1352,EMAILS!B:D,3,FALSE),"NOT FOUND IN EMAILS")</f>
        <v/>
      </c>
      <c r="R1352" t="str">
        <f ca="1">""&amp;IFERROR(VLOOKUP(O1352,EMAILS!B:E,4,FALSE),"NO T FOUND IN EMAILS")</f>
        <v/>
      </c>
    </row>
    <row r="1353" spans="2:18" x14ac:dyDescent="0.25">
      <c r="B1353" s="5" t="s">
        <v>1355</v>
      </c>
      <c r="C1353" s="5" t="s">
        <v>5495</v>
      </c>
      <c r="D1353" s="5">
        <v>24</v>
      </c>
      <c r="E1353" s="5">
        <v>17</v>
      </c>
      <c r="F1353" s="5">
        <v>9</v>
      </c>
      <c r="G1353" s="5">
        <v>36</v>
      </c>
      <c r="H1353" s="5">
        <v>13</v>
      </c>
      <c r="I1353" s="5">
        <v>11</v>
      </c>
      <c r="J1353" s="5">
        <v>11</v>
      </c>
      <c r="K1353" s="5">
        <v>15</v>
      </c>
      <c r="L1353" s="5">
        <v>12</v>
      </c>
      <c r="M1353" s="5">
        <v>0</v>
      </c>
      <c r="N1353" s="5">
        <v>60</v>
      </c>
      <c r="O1353" s="5" t="str">
        <f t="shared" ca="1" si="21"/>
        <v>Supplier 49</v>
      </c>
      <c r="P1353" s="20" t="str">
        <f ca="1">IFERROR(VLOOKUP(O1353,EMAILS!B:C,2,FALSE),"NOT FOUND IN EMAILS")</f>
        <v>supplier@gmail.com</v>
      </c>
      <c r="Q1353" t="str">
        <f ca="1">""&amp;IFERROR(VLOOKUP(O1353,EMAILS!B:D,3,FALSE),"NOT FOUND IN EMAILS")</f>
        <v/>
      </c>
      <c r="R1353" t="str">
        <f ca="1">""&amp;IFERROR(VLOOKUP(O1353,EMAILS!B:E,4,FALSE),"NO T FOUND IN EMAILS")</f>
        <v/>
      </c>
    </row>
    <row r="1354" spans="2:18" x14ac:dyDescent="0.25">
      <c r="B1354" s="5" t="s">
        <v>1356</v>
      </c>
      <c r="C1354" s="5" t="s">
        <v>5496</v>
      </c>
      <c r="D1354" s="5">
        <v>43</v>
      </c>
      <c r="E1354" s="5">
        <v>0</v>
      </c>
      <c r="F1354" s="5">
        <v>0</v>
      </c>
      <c r="G1354" s="5">
        <v>0</v>
      </c>
      <c r="H1354" s="5">
        <v>0</v>
      </c>
      <c r="I1354" s="5">
        <v>0</v>
      </c>
      <c r="J1354" s="5">
        <v>0</v>
      </c>
      <c r="K1354" s="5">
        <v>0</v>
      </c>
      <c r="L1354" s="5">
        <v>0</v>
      </c>
      <c r="M1354" s="5">
        <v>0</v>
      </c>
      <c r="N1354" s="5">
        <v>2092</v>
      </c>
      <c r="O1354" s="5" t="str">
        <f t="shared" ca="1" si="21"/>
        <v>Supplier 181</v>
      </c>
      <c r="P1354" s="20" t="str">
        <f ca="1">IFERROR(VLOOKUP(O1354,EMAILS!B:C,2,FALSE),"NOT FOUND IN EMAILS")</f>
        <v>supplier@gmail.com</v>
      </c>
      <c r="Q1354" t="str">
        <f ca="1">""&amp;IFERROR(VLOOKUP(O1354,EMAILS!B:D,3,FALSE),"NOT FOUND IN EMAILS")</f>
        <v/>
      </c>
      <c r="R1354" t="str">
        <f ca="1">""&amp;IFERROR(VLOOKUP(O1354,EMAILS!B:E,4,FALSE),"NO T FOUND IN EMAILS")</f>
        <v/>
      </c>
    </row>
    <row r="1355" spans="2:18" x14ac:dyDescent="0.25">
      <c r="B1355" s="5" t="s">
        <v>1357</v>
      </c>
      <c r="C1355" s="5" t="s">
        <v>5497</v>
      </c>
      <c r="D1355" s="5">
        <v>34</v>
      </c>
      <c r="E1355" s="5">
        <v>38</v>
      </c>
      <c r="F1355" s="5">
        <v>48</v>
      </c>
      <c r="G1355" s="5">
        <v>48</v>
      </c>
      <c r="H1355" s="5">
        <v>38</v>
      </c>
      <c r="I1355" s="5">
        <v>40</v>
      </c>
      <c r="J1355" s="5">
        <v>50</v>
      </c>
      <c r="K1355" s="5">
        <v>48</v>
      </c>
      <c r="L1355" s="5">
        <v>18</v>
      </c>
      <c r="M1355" s="5">
        <v>0</v>
      </c>
      <c r="N1355" s="5">
        <v>54</v>
      </c>
      <c r="O1355" s="5" t="str">
        <f t="shared" ca="1" si="21"/>
        <v>Supplier 119</v>
      </c>
      <c r="P1355" s="20" t="str">
        <f ca="1">IFERROR(VLOOKUP(O1355,EMAILS!B:C,2,FALSE),"NOT FOUND IN EMAILS")</f>
        <v>supplier@gmail.com</v>
      </c>
      <c r="Q1355" t="str">
        <f ca="1">""&amp;IFERROR(VLOOKUP(O1355,EMAILS!B:D,3,FALSE),"NOT FOUND IN EMAILS")</f>
        <v/>
      </c>
      <c r="R1355" t="str">
        <f ca="1">""&amp;IFERROR(VLOOKUP(O1355,EMAILS!B:E,4,FALSE),"NO T FOUND IN EMAILS")</f>
        <v/>
      </c>
    </row>
    <row r="1356" spans="2:18" x14ac:dyDescent="0.25">
      <c r="B1356" s="5" t="s">
        <v>1358</v>
      </c>
      <c r="C1356" s="5" t="s">
        <v>5498</v>
      </c>
      <c r="D1356" s="5">
        <v>2</v>
      </c>
      <c r="E1356" s="5">
        <v>0</v>
      </c>
      <c r="F1356" s="5">
        <v>2</v>
      </c>
      <c r="G1356" s="5">
        <v>0</v>
      </c>
      <c r="H1356" s="5">
        <v>1</v>
      </c>
      <c r="I1356" s="5">
        <v>0</v>
      </c>
      <c r="J1356" s="5">
        <v>0</v>
      </c>
      <c r="K1356" s="5">
        <v>1</v>
      </c>
      <c r="L1356" s="5">
        <v>0</v>
      </c>
      <c r="M1356" s="5">
        <v>0</v>
      </c>
      <c r="N1356" s="5">
        <v>0</v>
      </c>
      <c r="O1356" s="5" t="str">
        <f t="shared" ca="1" si="21"/>
        <v>Supplier 189</v>
      </c>
      <c r="P1356" s="20" t="str">
        <f ca="1">IFERROR(VLOOKUP(O1356,EMAILS!B:C,2,FALSE),"NOT FOUND IN EMAILS")</f>
        <v>supplier@gmail.com</v>
      </c>
      <c r="Q1356" t="str">
        <f ca="1">""&amp;IFERROR(VLOOKUP(O1356,EMAILS!B:D,3,FALSE),"NOT FOUND IN EMAILS")</f>
        <v/>
      </c>
      <c r="R1356" t="str">
        <f ca="1">""&amp;IFERROR(VLOOKUP(O1356,EMAILS!B:E,4,FALSE),"NO T FOUND IN EMAILS")</f>
        <v/>
      </c>
    </row>
    <row r="1357" spans="2:18" x14ac:dyDescent="0.25">
      <c r="B1357" s="5" t="s">
        <v>1359</v>
      </c>
      <c r="C1357" s="5" t="s">
        <v>5499</v>
      </c>
      <c r="D1357" s="5">
        <v>0</v>
      </c>
      <c r="E1357" s="5">
        <v>0</v>
      </c>
      <c r="F1357" s="5">
        <v>0</v>
      </c>
      <c r="G1357" s="5">
        <v>0</v>
      </c>
      <c r="H1357" s="5">
        <v>0</v>
      </c>
      <c r="I1357" s="5">
        <v>0</v>
      </c>
      <c r="J1357" s="5">
        <v>0</v>
      </c>
      <c r="K1357" s="5">
        <v>0</v>
      </c>
      <c r="L1357" s="5">
        <v>0</v>
      </c>
      <c r="M1357" s="5">
        <v>0</v>
      </c>
      <c r="N1357" s="5">
        <v>300</v>
      </c>
      <c r="O1357" s="5" t="str">
        <f t="shared" ca="1" si="21"/>
        <v>Supplier 157</v>
      </c>
      <c r="P1357" s="20" t="str">
        <f ca="1">IFERROR(VLOOKUP(O1357,EMAILS!B:C,2,FALSE),"NOT FOUND IN EMAILS")</f>
        <v>supplier@gmail.com</v>
      </c>
      <c r="Q1357" t="str">
        <f ca="1">""&amp;IFERROR(VLOOKUP(O1357,EMAILS!B:D,3,FALSE),"NOT FOUND IN EMAILS")</f>
        <v/>
      </c>
      <c r="R1357" t="str">
        <f ca="1">""&amp;IFERROR(VLOOKUP(O1357,EMAILS!B:E,4,FALSE),"NO T FOUND IN EMAILS")</f>
        <v/>
      </c>
    </row>
    <row r="1358" spans="2:18" x14ac:dyDescent="0.25">
      <c r="B1358" s="5" t="s">
        <v>1360</v>
      </c>
      <c r="C1358" s="5" t="s">
        <v>5500</v>
      </c>
      <c r="D1358" s="5">
        <v>1</v>
      </c>
      <c r="E1358" s="5">
        <v>0</v>
      </c>
      <c r="F1358" s="5">
        <v>8</v>
      </c>
      <c r="G1358" s="5">
        <v>4</v>
      </c>
      <c r="H1358" s="5">
        <v>3</v>
      </c>
      <c r="I1358" s="5">
        <v>0</v>
      </c>
      <c r="J1358" s="5">
        <v>2</v>
      </c>
      <c r="K1358" s="5">
        <v>5</v>
      </c>
      <c r="L1358" s="5">
        <v>0</v>
      </c>
      <c r="M1358" s="5">
        <v>0</v>
      </c>
      <c r="N1358" s="5">
        <v>10</v>
      </c>
      <c r="O1358" s="5" t="str">
        <f t="shared" ca="1" si="21"/>
        <v>Supplier 149</v>
      </c>
      <c r="P1358" s="20" t="str">
        <f ca="1">IFERROR(VLOOKUP(O1358,EMAILS!B:C,2,FALSE),"NOT FOUND IN EMAILS")</f>
        <v>supplier@gmail.com</v>
      </c>
      <c r="Q1358" t="str">
        <f ca="1">""&amp;IFERROR(VLOOKUP(O1358,EMAILS!B:D,3,FALSE),"NOT FOUND IN EMAILS")</f>
        <v/>
      </c>
      <c r="R1358" t="str">
        <f ca="1">""&amp;IFERROR(VLOOKUP(O1358,EMAILS!B:E,4,FALSE),"NO T FOUND IN EMAILS")</f>
        <v/>
      </c>
    </row>
    <row r="1359" spans="2:18" x14ac:dyDescent="0.25">
      <c r="B1359" s="5" t="s">
        <v>1361</v>
      </c>
      <c r="C1359" s="5" t="s">
        <v>5501</v>
      </c>
      <c r="D1359" s="5">
        <v>0</v>
      </c>
      <c r="E1359" s="5">
        <v>0</v>
      </c>
      <c r="F1359" s="5">
        <v>0</v>
      </c>
      <c r="G1359" s="5">
        <v>0</v>
      </c>
      <c r="H1359" s="5">
        <v>0</v>
      </c>
      <c r="I1359" s="5">
        <v>0</v>
      </c>
      <c r="J1359" s="5">
        <v>0</v>
      </c>
      <c r="K1359" s="5">
        <v>0</v>
      </c>
      <c r="L1359" s="5">
        <v>0</v>
      </c>
      <c r="M1359" s="5">
        <v>0</v>
      </c>
      <c r="N1359" s="5">
        <v>50</v>
      </c>
      <c r="O1359" s="5" t="str">
        <f t="shared" ca="1" si="21"/>
        <v>Supplier 136</v>
      </c>
      <c r="P1359" s="20" t="str">
        <f ca="1">IFERROR(VLOOKUP(O1359,EMAILS!B:C,2,FALSE),"NOT FOUND IN EMAILS")</f>
        <v>supplier@gmail.com</v>
      </c>
      <c r="Q1359" t="str">
        <f ca="1">""&amp;IFERROR(VLOOKUP(O1359,EMAILS!B:D,3,FALSE),"NOT FOUND IN EMAILS")</f>
        <v/>
      </c>
      <c r="R1359" t="str">
        <f ca="1">""&amp;IFERROR(VLOOKUP(O1359,EMAILS!B:E,4,FALSE),"NO T FOUND IN EMAILS")</f>
        <v/>
      </c>
    </row>
    <row r="1360" spans="2:18" x14ac:dyDescent="0.25">
      <c r="B1360" s="5" t="s">
        <v>1362</v>
      </c>
      <c r="C1360" s="5" t="s">
        <v>5502</v>
      </c>
      <c r="D1360" s="5">
        <v>0</v>
      </c>
      <c r="E1360" s="5">
        <v>0</v>
      </c>
      <c r="F1360" s="5">
        <v>0</v>
      </c>
      <c r="G1360" s="5">
        <v>0</v>
      </c>
      <c r="H1360" s="5">
        <v>0</v>
      </c>
      <c r="I1360" s="5">
        <v>0</v>
      </c>
      <c r="J1360" s="5">
        <v>0</v>
      </c>
      <c r="K1360" s="5">
        <v>0</v>
      </c>
      <c r="L1360" s="5">
        <v>0</v>
      </c>
      <c r="M1360" s="5">
        <v>0</v>
      </c>
      <c r="N1360" s="5">
        <v>1</v>
      </c>
      <c r="O1360" s="5" t="str">
        <f t="shared" ca="1" si="21"/>
        <v>Supplier 84</v>
      </c>
      <c r="P1360" s="20" t="str">
        <f ca="1">IFERROR(VLOOKUP(O1360,EMAILS!B:C,2,FALSE),"NOT FOUND IN EMAILS")</f>
        <v>supplier@gmail.com</v>
      </c>
      <c r="Q1360" t="str">
        <f ca="1">""&amp;IFERROR(VLOOKUP(O1360,EMAILS!B:D,3,FALSE),"NOT FOUND IN EMAILS")</f>
        <v/>
      </c>
      <c r="R1360" t="str">
        <f ca="1">""&amp;IFERROR(VLOOKUP(O1360,EMAILS!B:E,4,FALSE),"NO T FOUND IN EMAILS")</f>
        <v/>
      </c>
    </row>
    <row r="1361" spans="2:18" x14ac:dyDescent="0.25">
      <c r="B1361" s="5" t="s">
        <v>1363</v>
      </c>
      <c r="C1361" s="5" t="s">
        <v>5503</v>
      </c>
      <c r="D1361" s="5">
        <v>0</v>
      </c>
      <c r="E1361" s="5">
        <v>0</v>
      </c>
      <c r="F1361" s="5">
        <v>0</v>
      </c>
      <c r="G1361" s="5">
        <v>0</v>
      </c>
      <c r="H1361" s="5">
        <v>0</v>
      </c>
      <c r="I1361" s="5">
        <v>0</v>
      </c>
      <c r="J1361" s="5">
        <v>0</v>
      </c>
      <c r="K1361" s="5">
        <v>0</v>
      </c>
      <c r="L1361" s="5">
        <v>0</v>
      </c>
      <c r="M1361" s="5">
        <v>0</v>
      </c>
      <c r="N1361" s="5">
        <v>100</v>
      </c>
      <c r="O1361" s="5" t="str">
        <f t="shared" ca="1" si="21"/>
        <v>Supplier 171</v>
      </c>
      <c r="P1361" s="20" t="str">
        <f ca="1">IFERROR(VLOOKUP(O1361,EMAILS!B:C,2,FALSE),"NOT FOUND IN EMAILS")</f>
        <v>supplier@gmail.com</v>
      </c>
      <c r="Q1361" t="str">
        <f ca="1">""&amp;IFERROR(VLOOKUP(O1361,EMAILS!B:D,3,FALSE),"NOT FOUND IN EMAILS")</f>
        <v/>
      </c>
      <c r="R1361" t="str">
        <f ca="1">""&amp;IFERROR(VLOOKUP(O1361,EMAILS!B:E,4,FALSE),"NO T FOUND IN EMAILS")</f>
        <v/>
      </c>
    </row>
    <row r="1362" spans="2:18" x14ac:dyDescent="0.25">
      <c r="B1362" s="5" t="s">
        <v>1364</v>
      </c>
      <c r="C1362" s="5" t="s">
        <v>5504</v>
      </c>
      <c r="D1362" s="5">
        <v>0</v>
      </c>
      <c r="E1362" s="5">
        <v>0</v>
      </c>
      <c r="F1362" s="5">
        <v>0</v>
      </c>
      <c r="G1362" s="5">
        <v>0</v>
      </c>
      <c r="H1362" s="5">
        <v>0</v>
      </c>
      <c r="I1362" s="5">
        <v>0</v>
      </c>
      <c r="J1362" s="5">
        <v>0</v>
      </c>
      <c r="K1362" s="5">
        <v>0</v>
      </c>
      <c r="L1362" s="5">
        <v>0</v>
      </c>
      <c r="M1362" s="5">
        <v>0</v>
      </c>
      <c r="N1362" s="5">
        <v>628</v>
      </c>
      <c r="O1362" s="5" t="str">
        <f t="shared" ca="1" si="21"/>
        <v>Supplier 91</v>
      </c>
      <c r="P1362" s="20" t="str">
        <f ca="1">IFERROR(VLOOKUP(O1362,EMAILS!B:C,2,FALSE),"NOT FOUND IN EMAILS")</f>
        <v>supplier@gmail.com</v>
      </c>
      <c r="Q1362" t="str">
        <f ca="1">""&amp;IFERROR(VLOOKUP(O1362,EMAILS!B:D,3,FALSE),"NOT FOUND IN EMAILS")</f>
        <v/>
      </c>
      <c r="R1362" t="str">
        <f ca="1">""&amp;IFERROR(VLOOKUP(O1362,EMAILS!B:E,4,FALSE),"NO T FOUND IN EMAILS")</f>
        <v/>
      </c>
    </row>
    <row r="1363" spans="2:18" x14ac:dyDescent="0.25">
      <c r="B1363" s="5" t="s">
        <v>1365</v>
      </c>
      <c r="C1363" s="5" t="s">
        <v>5505</v>
      </c>
      <c r="D1363" s="5">
        <v>400</v>
      </c>
      <c r="E1363" s="5">
        <v>40</v>
      </c>
      <c r="F1363" s="5">
        <v>240</v>
      </c>
      <c r="G1363" s="5">
        <v>160</v>
      </c>
      <c r="H1363" s="5">
        <v>720</v>
      </c>
      <c r="I1363" s="5">
        <v>160</v>
      </c>
      <c r="J1363" s="5">
        <v>80</v>
      </c>
      <c r="K1363" s="5">
        <v>200</v>
      </c>
      <c r="L1363" s="5">
        <v>280</v>
      </c>
      <c r="M1363" s="5">
        <v>0</v>
      </c>
      <c r="N1363" s="5">
        <v>979</v>
      </c>
      <c r="O1363" s="5" t="str">
        <f t="shared" ca="1" si="21"/>
        <v>Supplier 45</v>
      </c>
      <c r="P1363" s="20" t="str">
        <f ca="1">IFERROR(VLOOKUP(O1363,EMAILS!B:C,2,FALSE),"NOT FOUND IN EMAILS")</f>
        <v>supplier@gmail.com</v>
      </c>
      <c r="Q1363" t="str">
        <f ca="1">""&amp;IFERROR(VLOOKUP(O1363,EMAILS!B:D,3,FALSE),"NOT FOUND IN EMAILS")</f>
        <v/>
      </c>
      <c r="R1363" t="str">
        <f ca="1">""&amp;IFERROR(VLOOKUP(O1363,EMAILS!B:E,4,FALSE),"NO T FOUND IN EMAILS")</f>
        <v/>
      </c>
    </row>
    <row r="1364" spans="2:18" x14ac:dyDescent="0.25">
      <c r="B1364" s="5" t="s">
        <v>1366</v>
      </c>
      <c r="C1364" s="5" t="s">
        <v>5506</v>
      </c>
      <c r="D1364" s="5">
        <v>400</v>
      </c>
      <c r="E1364" s="5">
        <v>0</v>
      </c>
      <c r="F1364" s="5">
        <v>280</v>
      </c>
      <c r="G1364" s="5">
        <v>6</v>
      </c>
      <c r="H1364" s="5">
        <v>0</v>
      </c>
      <c r="I1364" s="5">
        <v>2</v>
      </c>
      <c r="J1364" s="5">
        <v>50</v>
      </c>
      <c r="K1364" s="5">
        <v>24</v>
      </c>
      <c r="L1364" s="5">
        <v>60</v>
      </c>
      <c r="M1364" s="5">
        <v>0</v>
      </c>
      <c r="N1364" s="5">
        <v>300</v>
      </c>
      <c r="O1364" s="5" t="str">
        <f t="shared" ca="1" si="21"/>
        <v>Supplier 167</v>
      </c>
      <c r="P1364" s="20" t="str">
        <f ca="1">IFERROR(VLOOKUP(O1364,EMAILS!B:C,2,FALSE),"NOT FOUND IN EMAILS")</f>
        <v>supplier@gmail.com</v>
      </c>
      <c r="Q1364" t="str">
        <f ca="1">""&amp;IFERROR(VLOOKUP(O1364,EMAILS!B:D,3,FALSE),"NOT FOUND IN EMAILS")</f>
        <v/>
      </c>
      <c r="R1364" t="str">
        <f ca="1">""&amp;IFERROR(VLOOKUP(O1364,EMAILS!B:E,4,FALSE),"NO T FOUND IN EMAILS")</f>
        <v/>
      </c>
    </row>
    <row r="1365" spans="2:18" x14ac:dyDescent="0.25">
      <c r="B1365" s="5" t="s">
        <v>1367</v>
      </c>
      <c r="C1365" s="5" t="s">
        <v>5507</v>
      </c>
      <c r="D1365" s="5">
        <v>0</v>
      </c>
      <c r="E1365" s="5">
        <v>0</v>
      </c>
      <c r="F1365" s="5">
        <v>0</v>
      </c>
      <c r="G1365" s="5">
        <v>0</v>
      </c>
      <c r="H1365" s="5">
        <v>0</v>
      </c>
      <c r="I1365" s="5">
        <v>0</v>
      </c>
      <c r="J1365" s="5">
        <v>0</v>
      </c>
      <c r="K1365" s="5">
        <v>0</v>
      </c>
      <c r="L1365" s="5">
        <v>0</v>
      </c>
      <c r="M1365" s="5">
        <v>0</v>
      </c>
      <c r="N1365" s="5">
        <v>450</v>
      </c>
      <c r="O1365" s="5" t="str">
        <f t="shared" ca="1" si="21"/>
        <v>Supplier 103</v>
      </c>
      <c r="P1365" s="20" t="str">
        <f ca="1">IFERROR(VLOOKUP(O1365,EMAILS!B:C,2,FALSE),"NOT FOUND IN EMAILS")</f>
        <v>supplier@gmail.com</v>
      </c>
      <c r="Q1365" t="str">
        <f ca="1">""&amp;IFERROR(VLOOKUP(O1365,EMAILS!B:D,3,FALSE),"NOT FOUND IN EMAILS")</f>
        <v/>
      </c>
      <c r="R1365" t="str">
        <f ca="1">""&amp;IFERROR(VLOOKUP(O1365,EMAILS!B:E,4,FALSE),"NO T FOUND IN EMAILS")</f>
        <v/>
      </c>
    </row>
    <row r="1366" spans="2:18" x14ac:dyDescent="0.25">
      <c r="B1366" s="5" t="s">
        <v>1368</v>
      </c>
      <c r="C1366" s="5" t="s">
        <v>5508</v>
      </c>
      <c r="D1366" s="5">
        <v>0</v>
      </c>
      <c r="E1366" s="5">
        <v>0</v>
      </c>
      <c r="F1366" s="5">
        <v>1500</v>
      </c>
      <c r="G1366" s="5">
        <v>800</v>
      </c>
      <c r="H1366" s="5">
        <v>400</v>
      </c>
      <c r="I1366" s="5">
        <v>0</v>
      </c>
      <c r="J1366" s="5">
        <v>0</v>
      </c>
      <c r="K1366" s="5">
        <v>900</v>
      </c>
      <c r="L1366" s="5">
        <v>0</v>
      </c>
      <c r="M1366" s="5">
        <v>0</v>
      </c>
      <c r="N1366" s="5">
        <v>17444</v>
      </c>
      <c r="O1366" s="5" t="str">
        <f t="shared" ca="1" si="21"/>
        <v>Supplier 14</v>
      </c>
      <c r="P1366" s="20" t="str">
        <f ca="1">IFERROR(VLOOKUP(O1366,EMAILS!B:C,2,FALSE),"NOT FOUND IN EMAILS")</f>
        <v>supplier@gmail.com</v>
      </c>
      <c r="Q1366" t="str">
        <f ca="1">""&amp;IFERROR(VLOOKUP(O1366,EMAILS!B:D,3,FALSE),"NOT FOUND IN EMAILS")</f>
        <v>supplier_logistics@gmail.com</v>
      </c>
      <c r="R1366" t="str">
        <f ca="1">""&amp;IFERROR(VLOOKUP(O1366,EMAILS!B:E,4,FALSE),"NO T FOUND IN EMAILS")</f>
        <v/>
      </c>
    </row>
    <row r="1367" spans="2:18" x14ac:dyDescent="0.25">
      <c r="B1367" s="5" t="s">
        <v>1369</v>
      </c>
      <c r="C1367" s="5" t="s">
        <v>5509</v>
      </c>
      <c r="D1367" s="5">
        <v>14200</v>
      </c>
      <c r="E1367" s="5">
        <v>7600</v>
      </c>
      <c r="F1367" s="5">
        <v>12850</v>
      </c>
      <c r="G1367" s="5">
        <v>13014</v>
      </c>
      <c r="H1367" s="5">
        <v>9010</v>
      </c>
      <c r="I1367" s="5">
        <v>8670</v>
      </c>
      <c r="J1367" s="5">
        <v>3964</v>
      </c>
      <c r="K1367" s="5">
        <v>8550</v>
      </c>
      <c r="L1367" s="5">
        <v>2750</v>
      </c>
      <c r="M1367" s="5">
        <v>0</v>
      </c>
      <c r="N1367" s="5">
        <v>1050</v>
      </c>
      <c r="O1367" s="5" t="str">
        <f t="shared" ca="1" si="21"/>
        <v>Supplier 144</v>
      </c>
      <c r="P1367" s="20" t="str">
        <f ca="1">IFERROR(VLOOKUP(O1367,EMAILS!B:C,2,FALSE),"NOT FOUND IN EMAILS")</f>
        <v>supplier@gmail.com</v>
      </c>
      <c r="Q1367" t="str">
        <f ca="1">""&amp;IFERROR(VLOOKUP(O1367,EMAILS!B:D,3,FALSE),"NOT FOUND IN EMAILS")</f>
        <v/>
      </c>
      <c r="R1367" t="str">
        <f ca="1">""&amp;IFERROR(VLOOKUP(O1367,EMAILS!B:E,4,FALSE),"NO T FOUND IN EMAILS")</f>
        <v/>
      </c>
    </row>
    <row r="1368" spans="2:18" x14ac:dyDescent="0.25">
      <c r="B1368" s="5" t="s">
        <v>1370</v>
      </c>
      <c r="C1368" s="5" t="s">
        <v>5510</v>
      </c>
      <c r="D1368" s="5">
        <v>100</v>
      </c>
      <c r="E1368" s="5">
        <v>350</v>
      </c>
      <c r="F1368" s="5">
        <v>100</v>
      </c>
      <c r="G1368" s="5">
        <v>310</v>
      </c>
      <c r="H1368" s="5">
        <v>450</v>
      </c>
      <c r="I1368" s="5">
        <v>100</v>
      </c>
      <c r="J1368" s="5">
        <v>0</v>
      </c>
      <c r="K1368" s="5">
        <v>410</v>
      </c>
      <c r="L1368" s="5">
        <v>0</v>
      </c>
      <c r="M1368" s="5">
        <v>0</v>
      </c>
      <c r="N1368" s="5">
        <v>21</v>
      </c>
      <c r="O1368" s="5" t="str">
        <f t="shared" ca="1" si="21"/>
        <v>Supplier 72</v>
      </c>
      <c r="P1368" s="20" t="str">
        <f ca="1">IFERROR(VLOOKUP(O1368,EMAILS!B:C,2,FALSE),"NOT FOUND IN EMAILS")</f>
        <v>supplier@gmail.com</v>
      </c>
      <c r="Q1368" t="str">
        <f ca="1">""&amp;IFERROR(VLOOKUP(O1368,EMAILS!B:D,3,FALSE),"NOT FOUND IN EMAILS")</f>
        <v/>
      </c>
      <c r="R1368" t="str">
        <f ca="1">""&amp;IFERROR(VLOOKUP(O1368,EMAILS!B:E,4,FALSE),"NO T FOUND IN EMAILS")</f>
        <v/>
      </c>
    </row>
    <row r="1369" spans="2:18" x14ac:dyDescent="0.25">
      <c r="B1369" s="5" t="s">
        <v>1371</v>
      </c>
      <c r="C1369" s="5" t="s">
        <v>5511</v>
      </c>
      <c r="D1369" s="5">
        <v>0</v>
      </c>
      <c r="E1369" s="5">
        <v>0</v>
      </c>
      <c r="F1369" s="5">
        <v>0</v>
      </c>
      <c r="G1369" s="5">
        <v>0</v>
      </c>
      <c r="H1369" s="5">
        <v>0</v>
      </c>
      <c r="I1369" s="5">
        <v>0</v>
      </c>
      <c r="J1369" s="5">
        <v>0</v>
      </c>
      <c r="K1369" s="5">
        <v>0</v>
      </c>
      <c r="L1369" s="5">
        <v>0</v>
      </c>
      <c r="M1369" s="5">
        <v>0</v>
      </c>
      <c r="N1369" s="5">
        <v>11326</v>
      </c>
      <c r="O1369" s="5" t="str">
        <f t="shared" ca="1" si="21"/>
        <v>Supplier 116</v>
      </c>
      <c r="P1369" s="20" t="str">
        <f ca="1">IFERROR(VLOOKUP(O1369,EMAILS!B:C,2,FALSE),"NOT FOUND IN EMAILS")</f>
        <v>supplier@gmail.com</v>
      </c>
      <c r="Q1369" t="str">
        <f ca="1">""&amp;IFERROR(VLOOKUP(O1369,EMAILS!B:D,3,FALSE),"NOT FOUND IN EMAILS")</f>
        <v/>
      </c>
      <c r="R1369" t="str">
        <f ca="1">""&amp;IFERROR(VLOOKUP(O1369,EMAILS!B:E,4,FALSE),"NO T FOUND IN EMAILS")</f>
        <v/>
      </c>
    </row>
    <row r="1370" spans="2:18" x14ac:dyDescent="0.25">
      <c r="B1370" s="5" t="s">
        <v>1372</v>
      </c>
      <c r="C1370" s="5" t="s">
        <v>5512</v>
      </c>
      <c r="D1370" s="5">
        <v>4520</v>
      </c>
      <c r="E1370" s="5">
        <v>5100</v>
      </c>
      <c r="F1370" s="5">
        <v>3940</v>
      </c>
      <c r="G1370" s="5">
        <v>4620</v>
      </c>
      <c r="H1370" s="5">
        <v>5590</v>
      </c>
      <c r="I1370" s="5">
        <v>4790</v>
      </c>
      <c r="J1370" s="5">
        <v>3520</v>
      </c>
      <c r="K1370" s="5">
        <v>4560</v>
      </c>
      <c r="L1370" s="5">
        <v>4190</v>
      </c>
      <c r="M1370" s="5">
        <v>0</v>
      </c>
      <c r="N1370" s="5">
        <v>0</v>
      </c>
      <c r="O1370" s="5" t="str">
        <f t="shared" ca="1" si="21"/>
        <v>Supplier 116</v>
      </c>
      <c r="P1370" s="20" t="str">
        <f ca="1">IFERROR(VLOOKUP(O1370,EMAILS!B:C,2,FALSE),"NOT FOUND IN EMAILS")</f>
        <v>supplier@gmail.com</v>
      </c>
      <c r="Q1370" t="str">
        <f ca="1">""&amp;IFERROR(VLOOKUP(O1370,EMAILS!B:D,3,FALSE),"NOT FOUND IN EMAILS")</f>
        <v/>
      </c>
      <c r="R1370" t="str">
        <f ca="1">""&amp;IFERROR(VLOOKUP(O1370,EMAILS!B:E,4,FALSE),"NO T FOUND IN EMAILS")</f>
        <v/>
      </c>
    </row>
    <row r="1371" spans="2:18" x14ac:dyDescent="0.25">
      <c r="B1371" s="5" t="s">
        <v>1373</v>
      </c>
      <c r="C1371" s="5" t="s">
        <v>5513</v>
      </c>
      <c r="D1371" s="5">
        <v>560</v>
      </c>
      <c r="E1371" s="5">
        <v>0</v>
      </c>
      <c r="F1371" s="5">
        <v>20</v>
      </c>
      <c r="G1371" s="5">
        <v>0</v>
      </c>
      <c r="H1371" s="5">
        <v>0</v>
      </c>
      <c r="I1371" s="5">
        <v>0</v>
      </c>
      <c r="J1371" s="5">
        <v>500</v>
      </c>
      <c r="K1371" s="5">
        <v>0</v>
      </c>
      <c r="L1371" s="5">
        <v>0</v>
      </c>
      <c r="M1371" s="5">
        <v>0</v>
      </c>
      <c r="N1371" s="5">
        <v>247</v>
      </c>
      <c r="O1371" s="5" t="str">
        <f t="shared" ca="1" si="21"/>
        <v>Supplier 74</v>
      </c>
      <c r="P1371" s="20" t="str">
        <f ca="1">IFERROR(VLOOKUP(O1371,EMAILS!B:C,2,FALSE),"NOT FOUND IN EMAILS")</f>
        <v>supplier@gmail.com</v>
      </c>
      <c r="Q1371" t="str">
        <f ca="1">""&amp;IFERROR(VLOOKUP(O1371,EMAILS!B:D,3,FALSE),"NOT FOUND IN EMAILS")</f>
        <v/>
      </c>
      <c r="R1371" t="str">
        <f ca="1">""&amp;IFERROR(VLOOKUP(O1371,EMAILS!B:E,4,FALSE),"NO T FOUND IN EMAILS")</f>
        <v/>
      </c>
    </row>
    <row r="1372" spans="2:18" x14ac:dyDescent="0.25">
      <c r="B1372" s="5" t="s">
        <v>1374</v>
      </c>
      <c r="C1372" s="5" t="s">
        <v>5514</v>
      </c>
      <c r="D1372" s="5">
        <v>1600</v>
      </c>
      <c r="E1372" s="5">
        <v>0</v>
      </c>
      <c r="F1372" s="5">
        <v>0</v>
      </c>
      <c r="G1372" s="5">
        <v>0</v>
      </c>
      <c r="H1372" s="5">
        <v>0</v>
      </c>
      <c r="I1372" s="5">
        <v>0</v>
      </c>
      <c r="J1372" s="5">
        <v>18</v>
      </c>
      <c r="K1372" s="5">
        <v>0</v>
      </c>
      <c r="L1372" s="5">
        <v>0</v>
      </c>
      <c r="M1372" s="5">
        <v>0</v>
      </c>
      <c r="N1372" s="5">
        <v>0</v>
      </c>
      <c r="O1372" s="5" t="str">
        <f t="shared" ca="1" si="21"/>
        <v>Supplier 156</v>
      </c>
      <c r="P1372" s="20" t="str">
        <f ca="1">IFERROR(VLOOKUP(O1372,EMAILS!B:C,2,FALSE),"NOT FOUND IN EMAILS")</f>
        <v>supplier@gmail.com</v>
      </c>
      <c r="Q1372" t="str">
        <f ca="1">""&amp;IFERROR(VLOOKUP(O1372,EMAILS!B:D,3,FALSE),"NOT FOUND IN EMAILS")</f>
        <v/>
      </c>
      <c r="R1372" t="str">
        <f ca="1">""&amp;IFERROR(VLOOKUP(O1372,EMAILS!B:E,4,FALSE),"NO T FOUND IN EMAILS")</f>
        <v/>
      </c>
    </row>
    <row r="1373" spans="2:18" x14ac:dyDescent="0.25">
      <c r="B1373" s="5" t="s">
        <v>1375</v>
      </c>
      <c r="C1373" s="5" t="s">
        <v>5515</v>
      </c>
      <c r="D1373" s="5">
        <v>0</v>
      </c>
      <c r="E1373" s="5">
        <v>0</v>
      </c>
      <c r="F1373" s="5">
        <v>0</v>
      </c>
      <c r="G1373" s="5">
        <v>0</v>
      </c>
      <c r="H1373" s="5">
        <v>0</v>
      </c>
      <c r="I1373" s="5">
        <v>0</v>
      </c>
      <c r="J1373" s="5">
        <v>0</v>
      </c>
      <c r="K1373" s="5">
        <v>0</v>
      </c>
      <c r="L1373" s="5">
        <v>0</v>
      </c>
      <c r="M1373" s="5">
        <v>0</v>
      </c>
      <c r="N1373" s="5">
        <v>0</v>
      </c>
      <c r="O1373" s="5" t="str">
        <f t="shared" ca="1" si="21"/>
        <v>Supplier 94</v>
      </c>
      <c r="P1373" s="20" t="str">
        <f ca="1">IFERROR(VLOOKUP(O1373,EMAILS!B:C,2,FALSE),"NOT FOUND IN EMAILS")</f>
        <v>supplier@gmail.com</v>
      </c>
      <c r="Q1373" t="str">
        <f ca="1">""&amp;IFERROR(VLOOKUP(O1373,EMAILS!B:D,3,FALSE),"NOT FOUND IN EMAILS")</f>
        <v/>
      </c>
      <c r="R1373" t="str">
        <f ca="1">""&amp;IFERROR(VLOOKUP(O1373,EMAILS!B:E,4,FALSE),"NO T FOUND IN EMAILS")</f>
        <v/>
      </c>
    </row>
    <row r="1374" spans="2:18" x14ac:dyDescent="0.25">
      <c r="B1374" s="5" t="s">
        <v>1376</v>
      </c>
      <c r="C1374" s="5" t="s">
        <v>5516</v>
      </c>
      <c r="D1374" s="5">
        <v>0</v>
      </c>
      <c r="E1374" s="5">
        <v>0</v>
      </c>
      <c r="F1374" s="5">
        <v>0</v>
      </c>
      <c r="G1374" s="5">
        <v>0</v>
      </c>
      <c r="H1374" s="5">
        <v>0</v>
      </c>
      <c r="I1374" s="5">
        <v>0</v>
      </c>
      <c r="J1374" s="5">
        <v>0</v>
      </c>
      <c r="K1374" s="5">
        <v>0</v>
      </c>
      <c r="L1374" s="5">
        <v>0</v>
      </c>
      <c r="M1374" s="5">
        <v>0</v>
      </c>
      <c r="N1374" s="5">
        <v>0</v>
      </c>
      <c r="O1374" s="5" t="str">
        <f t="shared" ca="1" si="21"/>
        <v>Supplier 137</v>
      </c>
      <c r="P1374" s="20" t="str">
        <f ca="1">IFERROR(VLOOKUP(O1374,EMAILS!B:C,2,FALSE),"NOT FOUND IN EMAILS")</f>
        <v>supplier@gmail.com</v>
      </c>
      <c r="Q1374" t="str">
        <f ca="1">""&amp;IFERROR(VLOOKUP(O1374,EMAILS!B:D,3,FALSE),"NOT FOUND IN EMAILS")</f>
        <v/>
      </c>
      <c r="R1374" t="str">
        <f ca="1">""&amp;IFERROR(VLOOKUP(O1374,EMAILS!B:E,4,FALSE),"NO T FOUND IN EMAILS")</f>
        <v/>
      </c>
    </row>
    <row r="1375" spans="2:18" x14ac:dyDescent="0.25">
      <c r="B1375" s="5" t="s">
        <v>1377</v>
      </c>
      <c r="C1375" s="5" t="s">
        <v>5517</v>
      </c>
      <c r="D1375" s="5">
        <v>0</v>
      </c>
      <c r="E1375" s="5">
        <v>0</v>
      </c>
      <c r="F1375" s="5">
        <v>0</v>
      </c>
      <c r="G1375" s="5">
        <v>0</v>
      </c>
      <c r="H1375" s="5">
        <v>0</v>
      </c>
      <c r="I1375" s="5">
        <v>0</v>
      </c>
      <c r="J1375" s="5">
        <v>0</v>
      </c>
      <c r="K1375" s="5">
        <v>0</v>
      </c>
      <c r="L1375" s="5">
        <v>0</v>
      </c>
      <c r="M1375" s="5">
        <v>0</v>
      </c>
      <c r="N1375" s="5">
        <v>0</v>
      </c>
      <c r="O1375" s="5" t="str">
        <f t="shared" ca="1" si="21"/>
        <v>Supplier 165</v>
      </c>
      <c r="P1375" s="20" t="str">
        <f ca="1">IFERROR(VLOOKUP(O1375,EMAILS!B:C,2,FALSE),"NOT FOUND IN EMAILS")</f>
        <v>supplier@gmail.com</v>
      </c>
      <c r="Q1375" t="str">
        <f ca="1">""&amp;IFERROR(VLOOKUP(O1375,EMAILS!B:D,3,FALSE),"NOT FOUND IN EMAILS")</f>
        <v/>
      </c>
      <c r="R1375" t="str">
        <f ca="1">""&amp;IFERROR(VLOOKUP(O1375,EMAILS!B:E,4,FALSE),"NO T FOUND IN EMAILS")</f>
        <v/>
      </c>
    </row>
    <row r="1376" spans="2:18" x14ac:dyDescent="0.25">
      <c r="B1376" s="5" t="s">
        <v>1378</v>
      </c>
      <c r="C1376" s="5" t="s">
        <v>5518</v>
      </c>
      <c r="D1376" s="5">
        <v>0</v>
      </c>
      <c r="E1376" s="5">
        <v>0</v>
      </c>
      <c r="F1376" s="5">
        <v>0</v>
      </c>
      <c r="G1376" s="5">
        <v>0</v>
      </c>
      <c r="H1376" s="5">
        <v>0</v>
      </c>
      <c r="I1376" s="5">
        <v>0</v>
      </c>
      <c r="J1376" s="5">
        <v>0</v>
      </c>
      <c r="K1376" s="5">
        <v>0</v>
      </c>
      <c r="L1376" s="5">
        <v>0</v>
      </c>
      <c r="M1376" s="5">
        <v>0</v>
      </c>
      <c r="N1376" s="5">
        <v>0</v>
      </c>
      <c r="O1376" s="5" t="str">
        <f t="shared" ca="1" si="21"/>
        <v>Supplier 156</v>
      </c>
      <c r="P1376" s="20" t="str">
        <f ca="1">IFERROR(VLOOKUP(O1376,EMAILS!B:C,2,FALSE),"NOT FOUND IN EMAILS")</f>
        <v>supplier@gmail.com</v>
      </c>
      <c r="Q1376" t="str">
        <f ca="1">""&amp;IFERROR(VLOOKUP(O1376,EMAILS!B:D,3,FALSE),"NOT FOUND IN EMAILS")</f>
        <v/>
      </c>
      <c r="R1376" t="str">
        <f ca="1">""&amp;IFERROR(VLOOKUP(O1376,EMAILS!B:E,4,FALSE),"NO T FOUND IN EMAILS")</f>
        <v/>
      </c>
    </row>
    <row r="1377" spans="2:18" x14ac:dyDescent="0.25">
      <c r="B1377" s="5" t="s">
        <v>1379</v>
      </c>
      <c r="C1377" s="5" t="s">
        <v>5519</v>
      </c>
      <c r="D1377" s="5">
        <v>0</v>
      </c>
      <c r="E1377" s="5">
        <v>0</v>
      </c>
      <c r="F1377" s="5">
        <v>0</v>
      </c>
      <c r="G1377" s="5">
        <v>0</v>
      </c>
      <c r="H1377" s="5">
        <v>0</v>
      </c>
      <c r="I1377" s="5">
        <v>0</v>
      </c>
      <c r="J1377" s="5">
        <v>0</v>
      </c>
      <c r="K1377" s="5">
        <v>0</v>
      </c>
      <c r="L1377" s="5">
        <v>0</v>
      </c>
      <c r="M1377" s="5">
        <v>0</v>
      </c>
      <c r="N1377" s="5">
        <v>0</v>
      </c>
      <c r="O1377" s="5" t="str">
        <f t="shared" ca="1" si="21"/>
        <v>Supplier 139</v>
      </c>
      <c r="P1377" s="20" t="str">
        <f ca="1">IFERROR(VLOOKUP(O1377,EMAILS!B:C,2,FALSE),"NOT FOUND IN EMAILS")</f>
        <v>supplier@gmail.com</v>
      </c>
      <c r="Q1377" t="str">
        <f ca="1">""&amp;IFERROR(VLOOKUP(O1377,EMAILS!B:D,3,FALSE),"NOT FOUND IN EMAILS")</f>
        <v/>
      </c>
      <c r="R1377" t="str">
        <f ca="1">""&amp;IFERROR(VLOOKUP(O1377,EMAILS!B:E,4,FALSE),"NO T FOUND IN EMAILS")</f>
        <v/>
      </c>
    </row>
    <row r="1378" spans="2:18" x14ac:dyDescent="0.25">
      <c r="B1378" s="5" t="s">
        <v>1380</v>
      </c>
      <c r="C1378" s="5" t="s">
        <v>5520</v>
      </c>
      <c r="D1378" s="5">
        <v>0</v>
      </c>
      <c r="E1378" s="5">
        <v>0</v>
      </c>
      <c r="F1378" s="5">
        <v>0</v>
      </c>
      <c r="G1378" s="5">
        <v>0</v>
      </c>
      <c r="H1378" s="5">
        <v>0</v>
      </c>
      <c r="I1378" s="5">
        <v>0</v>
      </c>
      <c r="J1378" s="5">
        <v>0</v>
      </c>
      <c r="K1378" s="5">
        <v>0</v>
      </c>
      <c r="L1378" s="5">
        <v>0</v>
      </c>
      <c r="M1378" s="5">
        <v>0</v>
      </c>
      <c r="N1378" s="5">
        <v>0</v>
      </c>
      <c r="O1378" s="5" t="str">
        <f t="shared" ca="1" si="21"/>
        <v>Supplier 98</v>
      </c>
      <c r="P1378" s="20" t="str">
        <f ca="1">IFERROR(VLOOKUP(O1378,EMAILS!B:C,2,FALSE),"NOT FOUND IN EMAILS")</f>
        <v>supplier@gmail.com</v>
      </c>
      <c r="Q1378" t="str">
        <f ca="1">""&amp;IFERROR(VLOOKUP(O1378,EMAILS!B:D,3,FALSE),"NOT FOUND IN EMAILS")</f>
        <v/>
      </c>
      <c r="R1378" t="str">
        <f ca="1">""&amp;IFERROR(VLOOKUP(O1378,EMAILS!B:E,4,FALSE),"NO T FOUND IN EMAILS")</f>
        <v/>
      </c>
    </row>
    <row r="1379" spans="2:18" x14ac:dyDescent="0.25">
      <c r="B1379" s="5" t="s">
        <v>1381</v>
      </c>
      <c r="C1379" s="5" t="s">
        <v>5521</v>
      </c>
      <c r="D1379" s="5">
        <v>0</v>
      </c>
      <c r="E1379" s="5">
        <v>0</v>
      </c>
      <c r="F1379" s="5">
        <v>0</v>
      </c>
      <c r="G1379" s="5">
        <v>0</v>
      </c>
      <c r="H1379" s="5">
        <v>0</v>
      </c>
      <c r="I1379" s="5">
        <v>0</v>
      </c>
      <c r="J1379" s="5">
        <v>0</v>
      </c>
      <c r="K1379" s="5">
        <v>0</v>
      </c>
      <c r="L1379" s="5">
        <v>0</v>
      </c>
      <c r="M1379" s="5">
        <v>0</v>
      </c>
      <c r="N1379" s="5">
        <v>0</v>
      </c>
      <c r="O1379" s="5" t="str">
        <f t="shared" ca="1" si="21"/>
        <v>Supplier 41</v>
      </c>
      <c r="P1379" s="20" t="str">
        <f ca="1">IFERROR(VLOOKUP(O1379,EMAILS!B:C,2,FALSE),"NOT FOUND IN EMAILS")</f>
        <v>supplier@gmail.com</v>
      </c>
      <c r="Q1379" t="str">
        <f ca="1">""&amp;IFERROR(VLOOKUP(O1379,EMAILS!B:D,3,FALSE),"NOT FOUND IN EMAILS")</f>
        <v/>
      </c>
      <c r="R1379" t="str">
        <f ca="1">""&amp;IFERROR(VLOOKUP(O1379,EMAILS!B:E,4,FALSE),"NO T FOUND IN EMAILS")</f>
        <v/>
      </c>
    </row>
    <row r="1380" spans="2:18" x14ac:dyDescent="0.25">
      <c r="B1380" s="5" t="s">
        <v>1382</v>
      </c>
      <c r="C1380" s="5" t="s">
        <v>5522</v>
      </c>
      <c r="D1380" s="5">
        <v>0</v>
      </c>
      <c r="E1380" s="5">
        <v>0</v>
      </c>
      <c r="F1380" s="5">
        <v>0</v>
      </c>
      <c r="G1380" s="5">
        <v>0</v>
      </c>
      <c r="H1380" s="5">
        <v>50</v>
      </c>
      <c r="I1380" s="5">
        <v>100</v>
      </c>
      <c r="J1380" s="5">
        <v>20</v>
      </c>
      <c r="K1380" s="5">
        <v>70</v>
      </c>
      <c r="L1380" s="5">
        <v>36</v>
      </c>
      <c r="M1380" s="5">
        <v>0</v>
      </c>
      <c r="N1380" s="5">
        <v>0</v>
      </c>
      <c r="O1380" s="5" t="str">
        <f t="shared" ca="1" si="21"/>
        <v>Supplier 125</v>
      </c>
      <c r="P1380" s="20" t="str">
        <f ca="1">IFERROR(VLOOKUP(O1380,EMAILS!B:C,2,FALSE),"NOT FOUND IN EMAILS")</f>
        <v>supplier@gmail.com</v>
      </c>
      <c r="Q1380" t="str">
        <f ca="1">""&amp;IFERROR(VLOOKUP(O1380,EMAILS!B:D,3,FALSE),"NOT FOUND IN EMAILS")</f>
        <v/>
      </c>
      <c r="R1380" t="str">
        <f ca="1">""&amp;IFERROR(VLOOKUP(O1380,EMAILS!B:E,4,FALSE),"NO T FOUND IN EMAILS")</f>
        <v/>
      </c>
    </row>
    <row r="1381" spans="2:18" x14ac:dyDescent="0.25">
      <c r="B1381" s="5" t="s">
        <v>1383</v>
      </c>
      <c r="C1381" s="5" t="s">
        <v>5523</v>
      </c>
      <c r="D1381" s="5">
        <v>0</v>
      </c>
      <c r="E1381" s="5">
        <v>0</v>
      </c>
      <c r="F1381" s="5">
        <v>0</v>
      </c>
      <c r="G1381" s="5">
        <v>0</v>
      </c>
      <c r="H1381" s="5">
        <v>0</v>
      </c>
      <c r="I1381" s="5">
        <v>0</v>
      </c>
      <c r="J1381" s="5">
        <v>0</v>
      </c>
      <c r="K1381" s="5">
        <v>0</v>
      </c>
      <c r="L1381" s="5">
        <v>0</v>
      </c>
      <c r="M1381" s="5">
        <v>0</v>
      </c>
      <c r="N1381" s="5">
        <v>2144</v>
      </c>
      <c r="O1381" s="5" t="str">
        <f t="shared" ca="1" si="21"/>
        <v>Supplier 109</v>
      </c>
      <c r="P1381" s="20" t="str">
        <f ca="1">IFERROR(VLOOKUP(O1381,EMAILS!B:C,2,FALSE),"NOT FOUND IN EMAILS")</f>
        <v>supplier@gmail.com</v>
      </c>
      <c r="Q1381" t="str">
        <f ca="1">""&amp;IFERROR(VLOOKUP(O1381,EMAILS!B:D,3,FALSE),"NOT FOUND IN EMAILS")</f>
        <v/>
      </c>
      <c r="R1381" t="str">
        <f ca="1">""&amp;IFERROR(VLOOKUP(O1381,EMAILS!B:E,4,FALSE),"NO T FOUND IN EMAILS")</f>
        <v/>
      </c>
    </row>
    <row r="1382" spans="2:18" x14ac:dyDescent="0.25">
      <c r="B1382" s="5" t="s">
        <v>1384</v>
      </c>
      <c r="C1382" s="5" t="s">
        <v>5524</v>
      </c>
      <c r="D1382" s="5">
        <v>100</v>
      </c>
      <c r="E1382" s="5">
        <v>10</v>
      </c>
      <c r="F1382" s="5">
        <v>60</v>
      </c>
      <c r="G1382" s="5">
        <v>40</v>
      </c>
      <c r="H1382" s="5">
        <v>80</v>
      </c>
      <c r="I1382" s="5">
        <v>40</v>
      </c>
      <c r="J1382" s="5">
        <v>20</v>
      </c>
      <c r="K1382" s="5">
        <v>50</v>
      </c>
      <c r="L1382" s="5">
        <v>70</v>
      </c>
      <c r="M1382" s="5">
        <v>0</v>
      </c>
      <c r="N1382" s="5">
        <v>537</v>
      </c>
      <c r="O1382" s="5" t="str">
        <f t="shared" ca="1" si="21"/>
        <v>Supplier 13</v>
      </c>
      <c r="P1382" s="20" t="str">
        <f ca="1">IFERROR(VLOOKUP(O1382,EMAILS!B:C,2,FALSE),"NOT FOUND IN EMAILS")</f>
        <v>supplier@gmail.com</v>
      </c>
      <c r="Q1382" t="str">
        <f ca="1">""&amp;IFERROR(VLOOKUP(O1382,EMAILS!B:D,3,FALSE),"NOT FOUND IN EMAILS")</f>
        <v>supplier_logistics@gmail.com</v>
      </c>
      <c r="R1382" t="str">
        <f ca="1">""&amp;IFERROR(VLOOKUP(O1382,EMAILS!B:E,4,FALSE),"NO T FOUND IN EMAILS")</f>
        <v/>
      </c>
    </row>
    <row r="1383" spans="2:18" x14ac:dyDescent="0.25">
      <c r="B1383" s="5" t="s">
        <v>1385</v>
      </c>
      <c r="C1383" s="5" t="s">
        <v>5525</v>
      </c>
      <c r="D1383" s="5">
        <v>0</v>
      </c>
      <c r="E1383" s="5">
        <v>0</v>
      </c>
      <c r="F1383" s="5">
        <v>0</v>
      </c>
      <c r="G1383" s="5">
        <v>0</v>
      </c>
      <c r="H1383" s="5">
        <v>0</v>
      </c>
      <c r="I1383" s="5">
        <v>0</v>
      </c>
      <c r="J1383" s="5">
        <v>0</v>
      </c>
      <c r="K1383" s="5">
        <v>0</v>
      </c>
      <c r="L1383" s="5">
        <v>0</v>
      </c>
      <c r="M1383" s="5">
        <v>0</v>
      </c>
      <c r="N1383" s="5">
        <v>0</v>
      </c>
      <c r="O1383" s="5" t="str">
        <f t="shared" ca="1" si="21"/>
        <v>Supplier 138</v>
      </c>
      <c r="P1383" s="20" t="str">
        <f ca="1">IFERROR(VLOOKUP(O1383,EMAILS!B:C,2,FALSE),"NOT FOUND IN EMAILS")</f>
        <v>supplier@gmail.com</v>
      </c>
      <c r="Q1383" t="str">
        <f ca="1">""&amp;IFERROR(VLOOKUP(O1383,EMAILS!B:D,3,FALSE),"NOT FOUND IN EMAILS")</f>
        <v/>
      </c>
      <c r="R1383" t="str">
        <f ca="1">""&amp;IFERROR(VLOOKUP(O1383,EMAILS!B:E,4,FALSE),"NO T FOUND IN EMAILS")</f>
        <v/>
      </c>
    </row>
    <row r="1384" spans="2:18" x14ac:dyDescent="0.25">
      <c r="B1384" s="5" t="s">
        <v>1386</v>
      </c>
      <c r="C1384" s="5" t="s">
        <v>5526</v>
      </c>
      <c r="D1384" s="5">
        <v>0</v>
      </c>
      <c r="E1384" s="5">
        <v>0</v>
      </c>
      <c r="F1384" s="5">
        <v>0</v>
      </c>
      <c r="G1384" s="5">
        <v>0</v>
      </c>
      <c r="H1384" s="5">
        <v>0</v>
      </c>
      <c r="I1384" s="5">
        <v>0</v>
      </c>
      <c r="J1384" s="5">
        <v>0</v>
      </c>
      <c r="K1384" s="5">
        <v>0</v>
      </c>
      <c r="L1384" s="5">
        <v>32</v>
      </c>
      <c r="M1384" s="5">
        <v>0</v>
      </c>
      <c r="N1384" s="5">
        <v>134</v>
      </c>
      <c r="O1384" s="5" t="str">
        <f t="shared" ca="1" si="21"/>
        <v>Supplier 149</v>
      </c>
      <c r="P1384" s="20" t="str">
        <f ca="1">IFERROR(VLOOKUP(O1384,EMAILS!B:C,2,FALSE),"NOT FOUND IN EMAILS")</f>
        <v>supplier@gmail.com</v>
      </c>
      <c r="Q1384" t="str">
        <f ca="1">""&amp;IFERROR(VLOOKUP(O1384,EMAILS!B:D,3,FALSE),"NOT FOUND IN EMAILS")</f>
        <v/>
      </c>
      <c r="R1384" t="str">
        <f ca="1">""&amp;IFERROR(VLOOKUP(O1384,EMAILS!B:E,4,FALSE),"NO T FOUND IN EMAILS")</f>
        <v/>
      </c>
    </row>
    <row r="1385" spans="2:18" x14ac:dyDescent="0.25">
      <c r="B1385" s="5" t="s">
        <v>1387</v>
      </c>
      <c r="C1385" s="5" t="s">
        <v>5527</v>
      </c>
      <c r="D1385" s="5">
        <v>38</v>
      </c>
      <c r="E1385" s="5">
        <v>19</v>
      </c>
      <c r="F1385" s="5">
        <v>25</v>
      </c>
      <c r="G1385" s="5">
        <v>25</v>
      </c>
      <c r="H1385" s="5">
        <v>18</v>
      </c>
      <c r="I1385" s="5">
        <v>20</v>
      </c>
      <c r="J1385" s="5">
        <v>15</v>
      </c>
      <c r="K1385" s="5">
        <v>20</v>
      </c>
      <c r="L1385" s="5">
        <v>16</v>
      </c>
      <c r="M1385" s="5">
        <v>0</v>
      </c>
      <c r="N1385" s="5">
        <v>126</v>
      </c>
      <c r="O1385" s="5" t="str">
        <f t="shared" ca="1" si="21"/>
        <v>Supplier 72</v>
      </c>
      <c r="P1385" s="20" t="str">
        <f ca="1">IFERROR(VLOOKUP(O1385,EMAILS!B:C,2,FALSE),"NOT FOUND IN EMAILS")</f>
        <v>supplier@gmail.com</v>
      </c>
      <c r="Q1385" t="str">
        <f ca="1">""&amp;IFERROR(VLOOKUP(O1385,EMAILS!B:D,3,FALSE),"NOT FOUND IN EMAILS")</f>
        <v/>
      </c>
      <c r="R1385" t="str">
        <f ca="1">""&amp;IFERROR(VLOOKUP(O1385,EMAILS!B:E,4,FALSE),"NO T FOUND IN EMAILS")</f>
        <v/>
      </c>
    </row>
    <row r="1386" spans="2:18" x14ac:dyDescent="0.25">
      <c r="B1386" s="5" t="s">
        <v>1388</v>
      </c>
      <c r="C1386" s="5" t="s">
        <v>5528</v>
      </c>
      <c r="D1386" s="5">
        <v>38</v>
      </c>
      <c r="E1386" s="5">
        <v>19</v>
      </c>
      <c r="F1386" s="5">
        <v>25</v>
      </c>
      <c r="G1386" s="5">
        <v>25</v>
      </c>
      <c r="H1386" s="5">
        <v>18</v>
      </c>
      <c r="I1386" s="5">
        <v>20</v>
      </c>
      <c r="J1386" s="5">
        <v>15</v>
      </c>
      <c r="K1386" s="5">
        <v>20</v>
      </c>
      <c r="L1386" s="5">
        <v>16</v>
      </c>
      <c r="M1386" s="5">
        <v>0</v>
      </c>
      <c r="N1386" s="5">
        <v>497</v>
      </c>
      <c r="O1386" s="5" t="str">
        <f t="shared" ca="1" si="21"/>
        <v>Supplier 45</v>
      </c>
      <c r="P1386" s="20" t="str">
        <f ca="1">IFERROR(VLOOKUP(O1386,EMAILS!B:C,2,FALSE),"NOT FOUND IN EMAILS")</f>
        <v>supplier@gmail.com</v>
      </c>
      <c r="Q1386" t="str">
        <f ca="1">""&amp;IFERROR(VLOOKUP(O1386,EMAILS!B:D,3,FALSE),"NOT FOUND IN EMAILS")</f>
        <v/>
      </c>
      <c r="R1386" t="str">
        <f ca="1">""&amp;IFERROR(VLOOKUP(O1386,EMAILS!B:E,4,FALSE),"NO T FOUND IN EMAILS")</f>
        <v/>
      </c>
    </row>
    <row r="1387" spans="2:18" x14ac:dyDescent="0.25">
      <c r="B1387" s="5" t="s">
        <v>1389</v>
      </c>
      <c r="C1387" s="5" t="s">
        <v>5529</v>
      </c>
      <c r="D1387" s="5">
        <v>76</v>
      </c>
      <c r="E1387" s="5">
        <v>42</v>
      </c>
      <c r="F1387" s="5">
        <v>54</v>
      </c>
      <c r="G1387" s="5">
        <v>54</v>
      </c>
      <c r="H1387" s="5">
        <v>36</v>
      </c>
      <c r="I1387" s="5">
        <v>42</v>
      </c>
      <c r="J1387" s="5">
        <v>30</v>
      </c>
      <c r="K1387" s="5">
        <v>42</v>
      </c>
      <c r="L1387" s="5">
        <v>32</v>
      </c>
      <c r="M1387" s="5">
        <v>0</v>
      </c>
      <c r="N1387" s="5">
        <v>403</v>
      </c>
      <c r="O1387" s="5" t="str">
        <f t="shared" ca="1" si="21"/>
        <v>Supplier 52</v>
      </c>
      <c r="P1387" s="20" t="str">
        <f ca="1">IFERROR(VLOOKUP(O1387,EMAILS!B:C,2,FALSE),"NOT FOUND IN EMAILS")</f>
        <v>supplier@gmail.com</v>
      </c>
      <c r="Q1387" t="str">
        <f ca="1">""&amp;IFERROR(VLOOKUP(O1387,EMAILS!B:D,3,FALSE),"NOT FOUND IN EMAILS")</f>
        <v/>
      </c>
      <c r="R1387" t="str">
        <f ca="1">""&amp;IFERROR(VLOOKUP(O1387,EMAILS!B:E,4,FALSE),"NO T FOUND IN EMAILS")</f>
        <v/>
      </c>
    </row>
    <row r="1388" spans="2:18" x14ac:dyDescent="0.25">
      <c r="B1388" s="5" t="s">
        <v>1390</v>
      </c>
      <c r="C1388" s="5" t="s">
        <v>5530</v>
      </c>
      <c r="D1388" s="5">
        <v>76</v>
      </c>
      <c r="E1388" s="5">
        <v>42</v>
      </c>
      <c r="F1388" s="5">
        <v>54</v>
      </c>
      <c r="G1388" s="5">
        <v>54</v>
      </c>
      <c r="H1388" s="5">
        <v>36</v>
      </c>
      <c r="I1388" s="5">
        <v>42</v>
      </c>
      <c r="J1388" s="5">
        <v>30</v>
      </c>
      <c r="K1388" s="5">
        <v>42</v>
      </c>
      <c r="L1388" s="5">
        <v>32</v>
      </c>
      <c r="M1388" s="5">
        <v>0</v>
      </c>
      <c r="N1388" s="5">
        <v>335</v>
      </c>
      <c r="O1388" s="5" t="str">
        <f t="shared" ca="1" si="21"/>
        <v>Supplier 159</v>
      </c>
      <c r="P1388" s="20" t="str">
        <f ca="1">IFERROR(VLOOKUP(O1388,EMAILS!B:C,2,FALSE),"NOT FOUND IN EMAILS")</f>
        <v>supplier@gmail.com</v>
      </c>
      <c r="Q1388" t="str">
        <f ca="1">""&amp;IFERROR(VLOOKUP(O1388,EMAILS!B:D,3,FALSE),"NOT FOUND IN EMAILS")</f>
        <v/>
      </c>
      <c r="R1388" t="str">
        <f ca="1">""&amp;IFERROR(VLOOKUP(O1388,EMAILS!B:E,4,FALSE),"NO T FOUND IN EMAILS")</f>
        <v/>
      </c>
    </row>
    <row r="1389" spans="2:18" x14ac:dyDescent="0.25">
      <c r="B1389" s="5" t="s">
        <v>1391</v>
      </c>
      <c r="C1389" s="5" t="s">
        <v>5531</v>
      </c>
      <c r="D1389" s="5">
        <v>0</v>
      </c>
      <c r="E1389" s="5">
        <v>26</v>
      </c>
      <c r="F1389" s="5">
        <v>38</v>
      </c>
      <c r="G1389" s="5">
        <v>38</v>
      </c>
      <c r="H1389" s="5">
        <v>4</v>
      </c>
      <c r="I1389" s="5">
        <v>10</v>
      </c>
      <c r="J1389" s="5">
        <v>10</v>
      </c>
      <c r="K1389" s="5">
        <v>10</v>
      </c>
      <c r="L1389" s="5">
        <v>2</v>
      </c>
      <c r="M1389" s="5">
        <v>0</v>
      </c>
      <c r="N1389" s="5">
        <v>305</v>
      </c>
      <c r="O1389" s="5" t="str">
        <f t="shared" ca="1" si="21"/>
        <v>Supplier 94</v>
      </c>
      <c r="P1389" s="20" t="str">
        <f ca="1">IFERROR(VLOOKUP(O1389,EMAILS!B:C,2,FALSE),"NOT FOUND IN EMAILS")</f>
        <v>supplier@gmail.com</v>
      </c>
      <c r="Q1389" t="str">
        <f ca="1">""&amp;IFERROR(VLOOKUP(O1389,EMAILS!B:D,3,FALSE),"NOT FOUND IN EMAILS")</f>
        <v/>
      </c>
      <c r="R1389" t="str">
        <f ca="1">""&amp;IFERROR(VLOOKUP(O1389,EMAILS!B:E,4,FALSE),"NO T FOUND IN EMAILS")</f>
        <v/>
      </c>
    </row>
    <row r="1390" spans="2:18" x14ac:dyDescent="0.25">
      <c r="B1390" s="5" t="s">
        <v>1392</v>
      </c>
      <c r="C1390" s="5" t="s">
        <v>5532</v>
      </c>
      <c r="D1390" s="5">
        <v>38</v>
      </c>
      <c r="E1390" s="5">
        <v>31</v>
      </c>
      <c r="F1390" s="5">
        <v>43</v>
      </c>
      <c r="G1390" s="5">
        <v>43</v>
      </c>
      <c r="H1390" s="5">
        <v>15</v>
      </c>
      <c r="I1390" s="5">
        <v>22</v>
      </c>
      <c r="J1390" s="5">
        <v>20</v>
      </c>
      <c r="K1390" s="5">
        <v>21</v>
      </c>
      <c r="L1390" s="5">
        <v>16</v>
      </c>
      <c r="M1390" s="5">
        <v>0</v>
      </c>
      <c r="N1390" s="5">
        <v>327</v>
      </c>
      <c r="O1390" s="5" t="str">
        <f t="shared" ca="1" si="21"/>
        <v>Supplier 143</v>
      </c>
      <c r="P1390" s="20" t="str">
        <f ca="1">IFERROR(VLOOKUP(O1390,EMAILS!B:C,2,FALSE),"NOT FOUND IN EMAILS")</f>
        <v>supplier@gmail.com</v>
      </c>
      <c r="Q1390" t="str">
        <f ca="1">""&amp;IFERROR(VLOOKUP(O1390,EMAILS!B:D,3,FALSE),"NOT FOUND IN EMAILS")</f>
        <v/>
      </c>
      <c r="R1390" t="str">
        <f ca="1">""&amp;IFERROR(VLOOKUP(O1390,EMAILS!B:E,4,FALSE),"NO T FOUND IN EMAILS")</f>
        <v/>
      </c>
    </row>
    <row r="1391" spans="2:18" x14ac:dyDescent="0.25">
      <c r="B1391" s="5" t="s">
        <v>1393</v>
      </c>
      <c r="C1391" s="5" t="s">
        <v>5533</v>
      </c>
      <c r="D1391" s="5">
        <v>38</v>
      </c>
      <c r="E1391" s="5">
        <v>31</v>
      </c>
      <c r="F1391" s="5">
        <v>43</v>
      </c>
      <c r="G1391" s="5">
        <v>43</v>
      </c>
      <c r="H1391" s="5">
        <v>15</v>
      </c>
      <c r="I1391" s="5">
        <v>22</v>
      </c>
      <c r="J1391" s="5">
        <v>20</v>
      </c>
      <c r="K1391" s="5">
        <v>21</v>
      </c>
      <c r="L1391" s="5">
        <v>16</v>
      </c>
      <c r="M1391" s="5">
        <v>0</v>
      </c>
      <c r="N1391" s="5">
        <v>234</v>
      </c>
      <c r="O1391" s="5" t="str">
        <f t="shared" ca="1" si="21"/>
        <v>Supplier 66</v>
      </c>
      <c r="P1391" s="20" t="str">
        <f ca="1">IFERROR(VLOOKUP(O1391,EMAILS!B:C,2,FALSE),"NOT FOUND IN EMAILS")</f>
        <v>supplier@gmail.com</v>
      </c>
      <c r="Q1391" t="str">
        <f ca="1">""&amp;IFERROR(VLOOKUP(O1391,EMAILS!B:D,3,FALSE),"NOT FOUND IN EMAILS")</f>
        <v/>
      </c>
      <c r="R1391" t="str">
        <f ca="1">""&amp;IFERROR(VLOOKUP(O1391,EMAILS!B:E,4,FALSE),"NO T FOUND IN EMAILS")</f>
        <v/>
      </c>
    </row>
    <row r="1392" spans="2:18" x14ac:dyDescent="0.25">
      <c r="B1392" s="5" t="s">
        <v>1394</v>
      </c>
      <c r="C1392" s="5" t="s">
        <v>5534</v>
      </c>
      <c r="D1392" s="5">
        <v>0</v>
      </c>
      <c r="E1392" s="5">
        <v>0</v>
      </c>
      <c r="F1392" s="5">
        <v>0</v>
      </c>
      <c r="G1392" s="5">
        <v>0</v>
      </c>
      <c r="H1392" s="5">
        <v>0</v>
      </c>
      <c r="I1392" s="5">
        <v>0</v>
      </c>
      <c r="J1392" s="5">
        <v>0</v>
      </c>
      <c r="K1392" s="5">
        <v>0</v>
      </c>
      <c r="L1392" s="5">
        <v>0</v>
      </c>
      <c r="M1392" s="5">
        <v>0</v>
      </c>
      <c r="N1392" s="5">
        <v>186</v>
      </c>
      <c r="O1392" s="5" t="str">
        <f t="shared" ca="1" si="21"/>
        <v>Supplier 82</v>
      </c>
      <c r="P1392" s="20" t="str">
        <f ca="1">IFERROR(VLOOKUP(O1392,EMAILS!B:C,2,FALSE),"NOT FOUND IN EMAILS")</f>
        <v>supplier@gmail.com</v>
      </c>
      <c r="Q1392" t="str">
        <f ca="1">""&amp;IFERROR(VLOOKUP(O1392,EMAILS!B:D,3,FALSE),"NOT FOUND IN EMAILS")</f>
        <v/>
      </c>
      <c r="R1392" t="str">
        <f ca="1">""&amp;IFERROR(VLOOKUP(O1392,EMAILS!B:E,4,FALSE),"NO T FOUND IN EMAILS")</f>
        <v/>
      </c>
    </row>
    <row r="1393" spans="2:18" x14ac:dyDescent="0.25">
      <c r="B1393" s="5" t="s">
        <v>1395</v>
      </c>
      <c r="C1393" s="5" t="s">
        <v>5535</v>
      </c>
      <c r="D1393" s="5">
        <v>6</v>
      </c>
      <c r="E1393" s="5">
        <v>4</v>
      </c>
      <c r="F1393" s="5">
        <v>12</v>
      </c>
      <c r="G1393" s="5">
        <v>12</v>
      </c>
      <c r="H1393" s="5">
        <v>2</v>
      </c>
      <c r="I1393" s="5">
        <v>4</v>
      </c>
      <c r="J1393" s="5">
        <v>2</v>
      </c>
      <c r="K1393" s="5">
        <v>4</v>
      </c>
      <c r="L1393" s="5">
        <v>2</v>
      </c>
      <c r="M1393" s="5">
        <v>0</v>
      </c>
      <c r="N1393" s="5">
        <v>0</v>
      </c>
      <c r="O1393" s="5" t="str">
        <f t="shared" ca="1" si="21"/>
        <v>Supplier 79</v>
      </c>
      <c r="P1393" s="20" t="str">
        <f ca="1">IFERROR(VLOOKUP(O1393,EMAILS!B:C,2,FALSE),"NOT FOUND IN EMAILS")</f>
        <v>supplier@gmail.com</v>
      </c>
      <c r="Q1393" t="str">
        <f ca="1">""&amp;IFERROR(VLOOKUP(O1393,EMAILS!B:D,3,FALSE),"NOT FOUND IN EMAILS")</f>
        <v/>
      </c>
      <c r="R1393" t="str">
        <f ca="1">""&amp;IFERROR(VLOOKUP(O1393,EMAILS!B:E,4,FALSE),"NO T FOUND IN EMAILS")</f>
        <v/>
      </c>
    </row>
    <row r="1394" spans="2:18" x14ac:dyDescent="0.25">
      <c r="B1394" s="5" t="s">
        <v>1396</v>
      </c>
      <c r="C1394" s="5" t="s">
        <v>5536</v>
      </c>
      <c r="D1394" s="5">
        <v>0</v>
      </c>
      <c r="E1394" s="5">
        <v>0</v>
      </c>
      <c r="F1394" s="5">
        <v>0</v>
      </c>
      <c r="G1394" s="5">
        <v>0</v>
      </c>
      <c r="H1394" s="5">
        <v>2</v>
      </c>
      <c r="I1394" s="5">
        <v>1</v>
      </c>
      <c r="J1394" s="5">
        <v>0</v>
      </c>
      <c r="K1394" s="5">
        <v>1</v>
      </c>
      <c r="L1394" s="5">
        <v>0</v>
      </c>
      <c r="M1394" s="5">
        <v>0</v>
      </c>
      <c r="N1394" s="5">
        <v>139</v>
      </c>
      <c r="O1394" s="5" t="str">
        <f t="shared" ca="1" si="21"/>
        <v>Supplier 94</v>
      </c>
      <c r="P1394" s="20" t="str">
        <f ca="1">IFERROR(VLOOKUP(O1394,EMAILS!B:C,2,FALSE),"NOT FOUND IN EMAILS")</f>
        <v>supplier@gmail.com</v>
      </c>
      <c r="Q1394" t="str">
        <f ca="1">""&amp;IFERROR(VLOOKUP(O1394,EMAILS!B:D,3,FALSE),"NOT FOUND IN EMAILS")</f>
        <v/>
      </c>
      <c r="R1394" t="str">
        <f ca="1">""&amp;IFERROR(VLOOKUP(O1394,EMAILS!B:E,4,FALSE),"NO T FOUND IN EMAILS")</f>
        <v/>
      </c>
    </row>
    <row r="1395" spans="2:18" x14ac:dyDescent="0.25">
      <c r="B1395" s="5" t="s">
        <v>1397</v>
      </c>
      <c r="C1395" s="5" t="s">
        <v>5537</v>
      </c>
      <c r="D1395" s="5">
        <v>20</v>
      </c>
      <c r="E1395" s="5">
        <v>16</v>
      </c>
      <c r="F1395" s="5">
        <v>18</v>
      </c>
      <c r="G1395" s="5">
        <v>18</v>
      </c>
      <c r="H1395" s="5">
        <v>8</v>
      </c>
      <c r="I1395" s="5">
        <v>10</v>
      </c>
      <c r="J1395" s="5">
        <v>10</v>
      </c>
      <c r="K1395" s="5">
        <v>8</v>
      </c>
      <c r="L1395" s="5">
        <v>8</v>
      </c>
      <c r="M1395" s="5">
        <v>0</v>
      </c>
      <c r="N1395" s="5">
        <v>0</v>
      </c>
      <c r="O1395" s="5" t="str">
        <f t="shared" ca="1" si="21"/>
        <v>Supplier 21</v>
      </c>
      <c r="P1395" s="20" t="str">
        <f ca="1">IFERROR(VLOOKUP(O1395,EMAILS!B:C,2,FALSE),"NOT FOUND IN EMAILS")</f>
        <v>supplier@gmail.com</v>
      </c>
      <c r="Q1395" t="str">
        <f ca="1">""&amp;IFERROR(VLOOKUP(O1395,EMAILS!B:D,3,FALSE),"NOT FOUND IN EMAILS")</f>
        <v/>
      </c>
      <c r="R1395" t="str">
        <f ca="1">""&amp;IFERROR(VLOOKUP(O1395,EMAILS!B:E,4,FALSE),"NO T FOUND IN EMAILS")</f>
        <v/>
      </c>
    </row>
    <row r="1396" spans="2:18" x14ac:dyDescent="0.25">
      <c r="B1396" s="5" t="s">
        <v>1398</v>
      </c>
      <c r="C1396" s="5" t="s">
        <v>5538</v>
      </c>
      <c r="D1396" s="5">
        <v>0</v>
      </c>
      <c r="E1396" s="5">
        <v>1</v>
      </c>
      <c r="F1396" s="5">
        <v>1</v>
      </c>
      <c r="G1396" s="5">
        <v>1</v>
      </c>
      <c r="H1396" s="5">
        <v>2</v>
      </c>
      <c r="I1396" s="5">
        <v>1</v>
      </c>
      <c r="J1396" s="5">
        <v>0</v>
      </c>
      <c r="K1396" s="5">
        <v>2</v>
      </c>
      <c r="L1396" s="5">
        <v>1</v>
      </c>
      <c r="M1396" s="5">
        <v>0</v>
      </c>
      <c r="N1396" s="5">
        <v>0</v>
      </c>
      <c r="O1396" s="5" t="str">
        <f t="shared" ca="1" si="21"/>
        <v>Supplier 190</v>
      </c>
      <c r="P1396" s="20" t="str">
        <f ca="1">IFERROR(VLOOKUP(O1396,EMAILS!B:C,2,FALSE),"NOT FOUND IN EMAILS")</f>
        <v>supplier@gmail.com</v>
      </c>
      <c r="Q1396" t="str">
        <f ca="1">""&amp;IFERROR(VLOOKUP(O1396,EMAILS!B:D,3,FALSE),"NOT FOUND IN EMAILS")</f>
        <v/>
      </c>
      <c r="R1396" t="str">
        <f ca="1">""&amp;IFERROR(VLOOKUP(O1396,EMAILS!B:E,4,FALSE),"NO T FOUND IN EMAILS")</f>
        <v/>
      </c>
    </row>
    <row r="1397" spans="2:18" x14ac:dyDescent="0.25">
      <c r="B1397" s="5" t="s">
        <v>1399</v>
      </c>
      <c r="C1397" s="5" t="s">
        <v>5539</v>
      </c>
      <c r="D1397" s="5">
        <v>0</v>
      </c>
      <c r="E1397" s="5">
        <v>1</v>
      </c>
      <c r="F1397" s="5">
        <v>1</v>
      </c>
      <c r="G1397" s="5">
        <v>1</v>
      </c>
      <c r="H1397" s="5">
        <v>0</v>
      </c>
      <c r="I1397" s="5">
        <v>1</v>
      </c>
      <c r="J1397" s="5">
        <v>0</v>
      </c>
      <c r="K1397" s="5">
        <v>1</v>
      </c>
      <c r="L1397" s="5">
        <v>0</v>
      </c>
      <c r="M1397" s="5">
        <v>0</v>
      </c>
      <c r="N1397" s="5">
        <v>226</v>
      </c>
      <c r="O1397" s="5" t="str">
        <f t="shared" ca="1" si="21"/>
        <v>Supplier 101</v>
      </c>
      <c r="P1397" s="20" t="str">
        <f ca="1">IFERROR(VLOOKUP(O1397,EMAILS!B:C,2,FALSE),"NOT FOUND IN EMAILS")</f>
        <v>supplier@gmail.com</v>
      </c>
      <c r="Q1397" t="str">
        <f ca="1">""&amp;IFERROR(VLOOKUP(O1397,EMAILS!B:D,3,FALSE),"NOT FOUND IN EMAILS")</f>
        <v/>
      </c>
      <c r="R1397" t="str">
        <f ca="1">""&amp;IFERROR(VLOOKUP(O1397,EMAILS!B:E,4,FALSE),"NO T FOUND IN EMAILS")</f>
        <v/>
      </c>
    </row>
    <row r="1398" spans="2:18" x14ac:dyDescent="0.25">
      <c r="B1398" s="5" t="s">
        <v>1400</v>
      </c>
      <c r="C1398" s="5" t="s">
        <v>5540</v>
      </c>
      <c r="D1398" s="5">
        <v>12</v>
      </c>
      <c r="E1398" s="5">
        <v>8</v>
      </c>
      <c r="F1398" s="5">
        <v>10</v>
      </c>
      <c r="G1398" s="5">
        <v>10</v>
      </c>
      <c r="H1398" s="5">
        <v>4</v>
      </c>
      <c r="I1398" s="5">
        <v>5</v>
      </c>
      <c r="J1398" s="5">
        <v>6</v>
      </c>
      <c r="K1398" s="5">
        <v>6</v>
      </c>
      <c r="L1398" s="5">
        <v>5</v>
      </c>
      <c r="M1398" s="5">
        <v>0</v>
      </c>
      <c r="N1398" s="5">
        <v>0</v>
      </c>
      <c r="O1398" s="5" t="str">
        <f t="shared" ca="1" si="21"/>
        <v>Supplier 195</v>
      </c>
      <c r="P1398" s="20" t="str">
        <f ca="1">IFERROR(VLOOKUP(O1398,EMAILS!B:C,2,FALSE),"NOT FOUND IN EMAILS")</f>
        <v>supplier@gmail.com</v>
      </c>
      <c r="Q1398" t="str">
        <f ca="1">""&amp;IFERROR(VLOOKUP(O1398,EMAILS!B:D,3,FALSE),"NOT FOUND IN EMAILS")</f>
        <v/>
      </c>
      <c r="R1398" t="str">
        <f ca="1">""&amp;IFERROR(VLOOKUP(O1398,EMAILS!B:E,4,FALSE),"NO T FOUND IN EMAILS")</f>
        <v/>
      </c>
    </row>
    <row r="1399" spans="2:18" x14ac:dyDescent="0.25">
      <c r="B1399" s="5" t="s">
        <v>1401</v>
      </c>
      <c r="C1399" s="5" t="s">
        <v>5541</v>
      </c>
      <c r="D1399" s="5">
        <v>0</v>
      </c>
      <c r="E1399" s="5">
        <v>0</v>
      </c>
      <c r="F1399" s="5">
        <v>0</v>
      </c>
      <c r="G1399" s="5">
        <v>0</v>
      </c>
      <c r="H1399" s="5">
        <v>1</v>
      </c>
      <c r="I1399" s="5">
        <v>1</v>
      </c>
      <c r="J1399" s="5">
        <v>0</v>
      </c>
      <c r="K1399" s="5">
        <v>1</v>
      </c>
      <c r="L1399" s="5">
        <v>0</v>
      </c>
      <c r="M1399" s="5">
        <v>0</v>
      </c>
      <c r="N1399" s="5">
        <v>639</v>
      </c>
      <c r="O1399" s="5" t="str">
        <f t="shared" ca="1" si="21"/>
        <v>Supplier 26</v>
      </c>
      <c r="P1399" s="20" t="str">
        <f ca="1">IFERROR(VLOOKUP(O1399,EMAILS!B:C,2,FALSE),"NOT FOUND IN EMAILS")</f>
        <v>supplier@gmail.com</v>
      </c>
      <c r="Q1399" t="str">
        <f ca="1">""&amp;IFERROR(VLOOKUP(O1399,EMAILS!B:D,3,FALSE),"NOT FOUND IN EMAILS")</f>
        <v/>
      </c>
      <c r="R1399" t="str">
        <f ca="1">""&amp;IFERROR(VLOOKUP(O1399,EMAILS!B:E,4,FALSE),"NO T FOUND IN EMAILS")</f>
        <v/>
      </c>
    </row>
    <row r="1400" spans="2:18" x14ac:dyDescent="0.25">
      <c r="B1400" s="5" t="s">
        <v>1402</v>
      </c>
      <c r="C1400" s="5" t="s">
        <v>5542</v>
      </c>
      <c r="D1400" s="5">
        <v>0</v>
      </c>
      <c r="E1400" s="5">
        <v>3</v>
      </c>
      <c r="F1400" s="5">
        <v>3</v>
      </c>
      <c r="G1400" s="5">
        <v>3</v>
      </c>
      <c r="H1400" s="5">
        <v>1</v>
      </c>
      <c r="I1400" s="5">
        <v>1</v>
      </c>
      <c r="J1400" s="5">
        <v>2</v>
      </c>
      <c r="K1400" s="5">
        <v>1</v>
      </c>
      <c r="L1400" s="5">
        <v>1</v>
      </c>
      <c r="M1400" s="5">
        <v>0</v>
      </c>
      <c r="N1400" s="5">
        <v>0</v>
      </c>
      <c r="O1400" s="5" t="str">
        <f t="shared" ca="1" si="21"/>
        <v>Supplier 132</v>
      </c>
      <c r="P1400" s="20" t="str">
        <f ca="1">IFERROR(VLOOKUP(O1400,EMAILS!B:C,2,FALSE),"NOT FOUND IN EMAILS")</f>
        <v>supplier@gmail.com</v>
      </c>
      <c r="Q1400" t="str">
        <f ca="1">""&amp;IFERROR(VLOOKUP(O1400,EMAILS!B:D,3,FALSE),"NOT FOUND IN EMAILS")</f>
        <v/>
      </c>
      <c r="R1400" t="str">
        <f ca="1">""&amp;IFERROR(VLOOKUP(O1400,EMAILS!B:E,4,FALSE),"NO T FOUND IN EMAILS")</f>
        <v/>
      </c>
    </row>
    <row r="1401" spans="2:18" x14ac:dyDescent="0.25">
      <c r="B1401" s="5" t="s">
        <v>1403</v>
      </c>
      <c r="C1401" s="5" t="s">
        <v>5543</v>
      </c>
      <c r="D1401" s="5">
        <v>0</v>
      </c>
      <c r="E1401" s="5">
        <v>0</v>
      </c>
      <c r="F1401" s="5">
        <v>0</v>
      </c>
      <c r="G1401" s="5">
        <v>0</v>
      </c>
      <c r="H1401" s="5">
        <v>0</v>
      </c>
      <c r="I1401" s="5">
        <v>0</v>
      </c>
      <c r="J1401" s="5">
        <v>0</v>
      </c>
      <c r="K1401" s="5">
        <v>0</v>
      </c>
      <c r="L1401" s="5">
        <v>0</v>
      </c>
      <c r="M1401" s="5">
        <v>0</v>
      </c>
      <c r="N1401" s="5">
        <v>0</v>
      </c>
      <c r="O1401" s="5" t="str">
        <f t="shared" ca="1" si="21"/>
        <v>Supplier 121</v>
      </c>
      <c r="P1401" s="20" t="str">
        <f ca="1">IFERROR(VLOOKUP(O1401,EMAILS!B:C,2,FALSE),"NOT FOUND IN EMAILS")</f>
        <v>supplier@gmail.com</v>
      </c>
      <c r="Q1401" t="str">
        <f ca="1">""&amp;IFERROR(VLOOKUP(O1401,EMAILS!B:D,3,FALSE),"NOT FOUND IN EMAILS")</f>
        <v/>
      </c>
      <c r="R1401" t="str">
        <f ca="1">""&amp;IFERROR(VLOOKUP(O1401,EMAILS!B:E,4,FALSE),"NO T FOUND IN EMAILS")</f>
        <v/>
      </c>
    </row>
    <row r="1402" spans="2:18" x14ac:dyDescent="0.25">
      <c r="B1402" s="5" t="s">
        <v>1404</v>
      </c>
      <c r="C1402" s="5" t="s">
        <v>5544</v>
      </c>
      <c r="D1402" s="5">
        <v>0</v>
      </c>
      <c r="E1402" s="5">
        <v>0</v>
      </c>
      <c r="F1402" s="5">
        <v>0</v>
      </c>
      <c r="G1402" s="5">
        <v>0</v>
      </c>
      <c r="H1402" s="5">
        <v>0</v>
      </c>
      <c r="I1402" s="5">
        <v>1</v>
      </c>
      <c r="J1402" s="5">
        <v>0</v>
      </c>
      <c r="K1402" s="5">
        <v>1</v>
      </c>
      <c r="L1402" s="5">
        <v>0</v>
      </c>
      <c r="M1402" s="5">
        <v>0</v>
      </c>
      <c r="N1402" s="5">
        <v>0</v>
      </c>
      <c r="O1402" s="5" t="str">
        <f t="shared" ca="1" si="21"/>
        <v>Supplier 40</v>
      </c>
      <c r="P1402" s="20" t="str">
        <f ca="1">IFERROR(VLOOKUP(O1402,EMAILS!B:C,2,FALSE),"NOT FOUND IN EMAILS")</f>
        <v>supplier@gmail.com</v>
      </c>
      <c r="Q1402" t="str">
        <f ca="1">""&amp;IFERROR(VLOOKUP(O1402,EMAILS!B:D,3,FALSE),"NOT FOUND IN EMAILS")</f>
        <v/>
      </c>
      <c r="R1402" t="str">
        <f ca="1">""&amp;IFERROR(VLOOKUP(O1402,EMAILS!B:E,4,FALSE),"NO T FOUND IN EMAILS")</f>
        <v/>
      </c>
    </row>
    <row r="1403" spans="2:18" x14ac:dyDescent="0.25">
      <c r="B1403" s="5" t="s">
        <v>1405</v>
      </c>
      <c r="C1403" s="5" t="s">
        <v>5545</v>
      </c>
      <c r="D1403" s="5">
        <v>0</v>
      </c>
      <c r="E1403" s="5">
        <v>0</v>
      </c>
      <c r="F1403" s="5">
        <v>0</v>
      </c>
      <c r="G1403" s="5">
        <v>0</v>
      </c>
      <c r="H1403" s="5">
        <v>0</v>
      </c>
      <c r="I1403" s="5">
        <v>1</v>
      </c>
      <c r="J1403" s="5">
        <v>0</v>
      </c>
      <c r="K1403" s="5">
        <v>1</v>
      </c>
      <c r="L1403" s="5">
        <v>0</v>
      </c>
      <c r="M1403" s="5">
        <v>0</v>
      </c>
      <c r="N1403" s="5">
        <v>240</v>
      </c>
      <c r="O1403" s="5" t="str">
        <f t="shared" ca="1" si="21"/>
        <v>Supplier 143</v>
      </c>
      <c r="P1403" s="20" t="str">
        <f ca="1">IFERROR(VLOOKUP(O1403,EMAILS!B:C,2,FALSE),"NOT FOUND IN EMAILS")</f>
        <v>supplier@gmail.com</v>
      </c>
      <c r="Q1403" t="str">
        <f ca="1">""&amp;IFERROR(VLOOKUP(O1403,EMAILS!B:D,3,FALSE),"NOT FOUND IN EMAILS")</f>
        <v/>
      </c>
      <c r="R1403" t="str">
        <f ca="1">""&amp;IFERROR(VLOOKUP(O1403,EMAILS!B:E,4,FALSE),"NO T FOUND IN EMAILS")</f>
        <v/>
      </c>
    </row>
    <row r="1404" spans="2:18" x14ac:dyDescent="0.25">
      <c r="B1404" s="5" t="s">
        <v>1406</v>
      </c>
      <c r="C1404" s="5" t="s">
        <v>5546</v>
      </c>
      <c r="D1404" s="5">
        <v>0</v>
      </c>
      <c r="E1404" s="5">
        <v>0</v>
      </c>
      <c r="F1404" s="5">
        <v>0</v>
      </c>
      <c r="G1404" s="5">
        <v>0</v>
      </c>
      <c r="H1404" s="5">
        <v>0</v>
      </c>
      <c r="I1404" s="5">
        <v>0</v>
      </c>
      <c r="J1404" s="5">
        <v>0</v>
      </c>
      <c r="K1404" s="5">
        <v>0</v>
      </c>
      <c r="L1404" s="5">
        <v>0</v>
      </c>
      <c r="M1404" s="5">
        <v>0</v>
      </c>
      <c r="N1404" s="5">
        <v>177</v>
      </c>
      <c r="O1404" s="5" t="str">
        <f t="shared" ca="1" si="21"/>
        <v>Supplier 129</v>
      </c>
      <c r="P1404" s="20" t="str">
        <f ca="1">IFERROR(VLOOKUP(O1404,EMAILS!B:C,2,FALSE),"NOT FOUND IN EMAILS")</f>
        <v>supplier@gmail.com</v>
      </c>
      <c r="Q1404" t="str">
        <f ca="1">""&amp;IFERROR(VLOOKUP(O1404,EMAILS!B:D,3,FALSE),"NOT FOUND IN EMAILS")</f>
        <v/>
      </c>
      <c r="R1404" t="str">
        <f ca="1">""&amp;IFERROR(VLOOKUP(O1404,EMAILS!B:E,4,FALSE),"NO T FOUND IN EMAILS")</f>
        <v/>
      </c>
    </row>
    <row r="1405" spans="2:18" x14ac:dyDescent="0.25">
      <c r="B1405" s="5" t="s">
        <v>1407</v>
      </c>
      <c r="C1405" s="5" t="s">
        <v>5547</v>
      </c>
      <c r="D1405" s="5">
        <v>6</v>
      </c>
      <c r="E1405" s="5">
        <v>4</v>
      </c>
      <c r="F1405" s="5">
        <v>12</v>
      </c>
      <c r="G1405" s="5">
        <v>12</v>
      </c>
      <c r="H1405" s="5">
        <v>2</v>
      </c>
      <c r="I1405" s="5">
        <v>4</v>
      </c>
      <c r="J1405" s="5">
        <v>2</v>
      </c>
      <c r="K1405" s="5">
        <v>4</v>
      </c>
      <c r="L1405" s="5">
        <v>2</v>
      </c>
      <c r="M1405" s="5">
        <v>0</v>
      </c>
      <c r="N1405" s="5">
        <v>0</v>
      </c>
      <c r="O1405" s="5" t="str">
        <f t="shared" ca="1" si="21"/>
        <v>Supplier 47</v>
      </c>
      <c r="P1405" s="20" t="str">
        <f ca="1">IFERROR(VLOOKUP(O1405,EMAILS!B:C,2,FALSE),"NOT FOUND IN EMAILS")</f>
        <v>supplier@gmail.com</v>
      </c>
      <c r="Q1405" t="str">
        <f ca="1">""&amp;IFERROR(VLOOKUP(O1405,EMAILS!B:D,3,FALSE),"NOT FOUND IN EMAILS")</f>
        <v/>
      </c>
      <c r="R1405" t="str">
        <f ca="1">""&amp;IFERROR(VLOOKUP(O1405,EMAILS!B:E,4,FALSE),"NO T FOUND IN EMAILS")</f>
        <v/>
      </c>
    </row>
    <row r="1406" spans="2:18" x14ac:dyDescent="0.25">
      <c r="B1406" s="5" t="s">
        <v>1408</v>
      </c>
      <c r="C1406" s="5" t="s">
        <v>5548</v>
      </c>
      <c r="D1406" s="5">
        <v>0</v>
      </c>
      <c r="E1406" s="5">
        <v>0</v>
      </c>
      <c r="F1406" s="5">
        <v>0</v>
      </c>
      <c r="G1406" s="5">
        <v>0</v>
      </c>
      <c r="H1406" s="5">
        <v>2</v>
      </c>
      <c r="I1406" s="5">
        <v>1</v>
      </c>
      <c r="J1406" s="5">
        <v>0</v>
      </c>
      <c r="K1406" s="5">
        <v>1</v>
      </c>
      <c r="L1406" s="5">
        <v>0</v>
      </c>
      <c r="M1406" s="5">
        <v>0</v>
      </c>
      <c r="N1406" s="5">
        <v>131</v>
      </c>
      <c r="O1406" s="5" t="str">
        <f t="shared" ca="1" si="21"/>
        <v>Supplier 72</v>
      </c>
      <c r="P1406" s="20" t="str">
        <f ca="1">IFERROR(VLOOKUP(O1406,EMAILS!B:C,2,FALSE),"NOT FOUND IN EMAILS")</f>
        <v>supplier@gmail.com</v>
      </c>
      <c r="Q1406" t="str">
        <f ca="1">""&amp;IFERROR(VLOOKUP(O1406,EMAILS!B:D,3,FALSE),"NOT FOUND IN EMAILS")</f>
        <v/>
      </c>
      <c r="R1406" t="str">
        <f ca="1">""&amp;IFERROR(VLOOKUP(O1406,EMAILS!B:E,4,FALSE),"NO T FOUND IN EMAILS")</f>
        <v/>
      </c>
    </row>
    <row r="1407" spans="2:18" x14ac:dyDescent="0.25">
      <c r="B1407" s="5" t="s">
        <v>1409</v>
      </c>
      <c r="C1407" s="5" t="s">
        <v>5549</v>
      </c>
      <c r="D1407" s="5">
        <v>20</v>
      </c>
      <c r="E1407" s="5">
        <v>16</v>
      </c>
      <c r="F1407" s="5">
        <v>18</v>
      </c>
      <c r="G1407" s="5">
        <v>18</v>
      </c>
      <c r="H1407" s="5">
        <v>8</v>
      </c>
      <c r="I1407" s="5">
        <v>10</v>
      </c>
      <c r="J1407" s="5">
        <v>10</v>
      </c>
      <c r="K1407" s="5">
        <v>8</v>
      </c>
      <c r="L1407" s="5">
        <v>8</v>
      </c>
      <c r="M1407" s="5">
        <v>0</v>
      </c>
      <c r="N1407" s="5">
        <v>0</v>
      </c>
      <c r="O1407" s="5" t="str">
        <f t="shared" ca="1" si="21"/>
        <v>Supplier 86</v>
      </c>
      <c r="P1407" s="20" t="str">
        <f ca="1">IFERROR(VLOOKUP(O1407,EMAILS!B:C,2,FALSE),"NOT FOUND IN EMAILS")</f>
        <v>supplier@gmail.com</v>
      </c>
      <c r="Q1407" t="str">
        <f ca="1">""&amp;IFERROR(VLOOKUP(O1407,EMAILS!B:D,3,FALSE),"NOT FOUND IN EMAILS")</f>
        <v/>
      </c>
      <c r="R1407" t="str">
        <f ca="1">""&amp;IFERROR(VLOOKUP(O1407,EMAILS!B:E,4,FALSE),"NO T FOUND IN EMAILS")</f>
        <v/>
      </c>
    </row>
    <row r="1408" spans="2:18" x14ac:dyDescent="0.25">
      <c r="B1408" s="5" t="s">
        <v>1410</v>
      </c>
      <c r="C1408" s="5" t="s">
        <v>5550</v>
      </c>
      <c r="D1408" s="5">
        <v>0</v>
      </c>
      <c r="E1408" s="5">
        <v>1</v>
      </c>
      <c r="F1408" s="5">
        <v>1</v>
      </c>
      <c r="G1408" s="5">
        <v>1</v>
      </c>
      <c r="H1408" s="5">
        <v>2</v>
      </c>
      <c r="I1408" s="5">
        <v>1</v>
      </c>
      <c r="J1408" s="5">
        <v>0</v>
      </c>
      <c r="K1408" s="5">
        <v>2</v>
      </c>
      <c r="L1408" s="5">
        <v>1</v>
      </c>
      <c r="M1408" s="5">
        <v>0</v>
      </c>
      <c r="N1408" s="5">
        <v>0</v>
      </c>
      <c r="O1408" s="5" t="str">
        <f t="shared" ca="1" si="21"/>
        <v>Supplier 102</v>
      </c>
      <c r="P1408" s="20" t="str">
        <f ca="1">IFERROR(VLOOKUP(O1408,EMAILS!B:C,2,FALSE),"NOT FOUND IN EMAILS")</f>
        <v>supplier@gmail.com</v>
      </c>
      <c r="Q1408" t="str">
        <f ca="1">""&amp;IFERROR(VLOOKUP(O1408,EMAILS!B:D,3,FALSE),"NOT FOUND IN EMAILS")</f>
        <v/>
      </c>
      <c r="R1408" t="str">
        <f ca="1">""&amp;IFERROR(VLOOKUP(O1408,EMAILS!B:E,4,FALSE),"NO T FOUND IN EMAILS")</f>
        <v/>
      </c>
    </row>
    <row r="1409" spans="2:18" x14ac:dyDescent="0.25">
      <c r="B1409" s="5" t="s">
        <v>1411</v>
      </c>
      <c r="C1409" s="5" t="s">
        <v>5551</v>
      </c>
      <c r="D1409" s="5">
        <v>0</v>
      </c>
      <c r="E1409" s="5">
        <v>1</v>
      </c>
      <c r="F1409" s="5">
        <v>1</v>
      </c>
      <c r="G1409" s="5">
        <v>1</v>
      </c>
      <c r="H1409" s="5">
        <v>0</v>
      </c>
      <c r="I1409" s="5">
        <v>1</v>
      </c>
      <c r="J1409" s="5">
        <v>0</v>
      </c>
      <c r="K1409" s="5">
        <v>1</v>
      </c>
      <c r="L1409" s="5">
        <v>0</v>
      </c>
      <c r="M1409" s="5">
        <v>0</v>
      </c>
      <c r="N1409" s="5">
        <v>232</v>
      </c>
      <c r="O1409" s="5" t="str">
        <f t="shared" ca="1" si="21"/>
        <v>Supplier 26</v>
      </c>
      <c r="P1409" s="20" t="str">
        <f ca="1">IFERROR(VLOOKUP(O1409,EMAILS!B:C,2,FALSE),"NOT FOUND IN EMAILS")</f>
        <v>supplier@gmail.com</v>
      </c>
      <c r="Q1409" t="str">
        <f ca="1">""&amp;IFERROR(VLOOKUP(O1409,EMAILS!B:D,3,FALSE),"NOT FOUND IN EMAILS")</f>
        <v/>
      </c>
      <c r="R1409" t="str">
        <f ca="1">""&amp;IFERROR(VLOOKUP(O1409,EMAILS!B:E,4,FALSE),"NO T FOUND IN EMAILS")</f>
        <v/>
      </c>
    </row>
    <row r="1410" spans="2:18" x14ac:dyDescent="0.25">
      <c r="B1410" s="5" t="s">
        <v>1412</v>
      </c>
      <c r="C1410" s="5" t="s">
        <v>5552</v>
      </c>
      <c r="D1410" s="5">
        <v>12</v>
      </c>
      <c r="E1410" s="5">
        <v>8</v>
      </c>
      <c r="F1410" s="5">
        <v>10</v>
      </c>
      <c r="G1410" s="5">
        <v>10</v>
      </c>
      <c r="H1410" s="5">
        <v>4</v>
      </c>
      <c r="I1410" s="5">
        <v>5</v>
      </c>
      <c r="J1410" s="5">
        <v>6</v>
      </c>
      <c r="K1410" s="5">
        <v>6</v>
      </c>
      <c r="L1410" s="5">
        <v>5</v>
      </c>
      <c r="M1410" s="5">
        <v>0</v>
      </c>
      <c r="N1410" s="5">
        <v>0</v>
      </c>
      <c r="O1410" s="5" t="str">
        <f t="shared" ca="1" si="21"/>
        <v>Supplier 99</v>
      </c>
      <c r="P1410" s="20" t="str">
        <f ca="1">IFERROR(VLOOKUP(O1410,EMAILS!B:C,2,FALSE),"NOT FOUND IN EMAILS")</f>
        <v>supplier@gmail.com</v>
      </c>
      <c r="Q1410" t="str">
        <f ca="1">""&amp;IFERROR(VLOOKUP(O1410,EMAILS!B:D,3,FALSE),"NOT FOUND IN EMAILS")</f>
        <v/>
      </c>
      <c r="R1410" t="str">
        <f ca="1">""&amp;IFERROR(VLOOKUP(O1410,EMAILS!B:E,4,FALSE),"NO T FOUND IN EMAILS")</f>
        <v/>
      </c>
    </row>
    <row r="1411" spans="2:18" x14ac:dyDescent="0.25">
      <c r="B1411" s="5" t="s">
        <v>1413</v>
      </c>
      <c r="C1411" s="5" t="s">
        <v>5553</v>
      </c>
      <c r="D1411" s="5">
        <v>0</v>
      </c>
      <c r="E1411" s="5">
        <v>0</v>
      </c>
      <c r="F1411" s="5">
        <v>0</v>
      </c>
      <c r="G1411" s="5">
        <v>0</v>
      </c>
      <c r="H1411" s="5">
        <v>1</v>
      </c>
      <c r="I1411" s="5">
        <v>1</v>
      </c>
      <c r="J1411" s="5">
        <v>0</v>
      </c>
      <c r="K1411" s="5">
        <v>1</v>
      </c>
      <c r="L1411" s="5">
        <v>0</v>
      </c>
      <c r="M1411" s="5">
        <v>0</v>
      </c>
      <c r="N1411" s="5">
        <v>646</v>
      </c>
      <c r="O1411" s="5" t="str">
        <f t="shared" ref="O1411:O1474" ca="1" si="22">"Supplier "&amp;RANDBETWEEN(1,200)</f>
        <v>Supplier 73</v>
      </c>
      <c r="P1411" s="20" t="str">
        <f ca="1">IFERROR(VLOOKUP(O1411,EMAILS!B:C,2,FALSE),"NOT FOUND IN EMAILS")</f>
        <v>supplier@gmail.com</v>
      </c>
      <c r="Q1411" t="str">
        <f ca="1">""&amp;IFERROR(VLOOKUP(O1411,EMAILS!B:D,3,FALSE),"NOT FOUND IN EMAILS")</f>
        <v/>
      </c>
      <c r="R1411" t="str">
        <f ca="1">""&amp;IFERROR(VLOOKUP(O1411,EMAILS!B:E,4,FALSE),"NO T FOUND IN EMAILS")</f>
        <v/>
      </c>
    </row>
    <row r="1412" spans="2:18" x14ac:dyDescent="0.25">
      <c r="B1412" s="5" t="s">
        <v>1414</v>
      </c>
      <c r="C1412" s="5" t="s">
        <v>5554</v>
      </c>
      <c r="D1412" s="5">
        <v>0</v>
      </c>
      <c r="E1412" s="5">
        <v>3</v>
      </c>
      <c r="F1412" s="5">
        <v>3</v>
      </c>
      <c r="G1412" s="5">
        <v>3</v>
      </c>
      <c r="H1412" s="5">
        <v>1</v>
      </c>
      <c r="I1412" s="5">
        <v>1</v>
      </c>
      <c r="J1412" s="5">
        <v>2</v>
      </c>
      <c r="K1412" s="5">
        <v>1</v>
      </c>
      <c r="L1412" s="5">
        <v>1</v>
      </c>
      <c r="M1412" s="5">
        <v>0</v>
      </c>
      <c r="N1412" s="5">
        <v>0</v>
      </c>
      <c r="O1412" s="5" t="str">
        <f t="shared" ca="1" si="22"/>
        <v>Supplier 175</v>
      </c>
      <c r="P1412" s="20" t="str">
        <f ca="1">IFERROR(VLOOKUP(O1412,EMAILS!B:C,2,FALSE),"NOT FOUND IN EMAILS")</f>
        <v>supplier@gmail.com</v>
      </c>
      <c r="Q1412" t="str">
        <f ca="1">""&amp;IFERROR(VLOOKUP(O1412,EMAILS!B:D,3,FALSE),"NOT FOUND IN EMAILS")</f>
        <v/>
      </c>
      <c r="R1412" t="str">
        <f ca="1">""&amp;IFERROR(VLOOKUP(O1412,EMAILS!B:E,4,FALSE),"NO T FOUND IN EMAILS")</f>
        <v/>
      </c>
    </row>
    <row r="1413" spans="2:18" x14ac:dyDescent="0.25">
      <c r="B1413" s="5" t="s">
        <v>1415</v>
      </c>
      <c r="C1413" s="5" t="s">
        <v>5555</v>
      </c>
      <c r="D1413" s="5">
        <v>0</v>
      </c>
      <c r="E1413" s="5">
        <v>0</v>
      </c>
      <c r="F1413" s="5">
        <v>0</v>
      </c>
      <c r="G1413" s="5">
        <v>0</v>
      </c>
      <c r="H1413" s="5">
        <v>0</v>
      </c>
      <c r="I1413" s="5">
        <v>0</v>
      </c>
      <c r="J1413" s="5">
        <v>0</v>
      </c>
      <c r="K1413" s="5">
        <v>0</v>
      </c>
      <c r="L1413" s="5">
        <v>0</v>
      </c>
      <c r="M1413" s="5">
        <v>0</v>
      </c>
      <c r="N1413" s="5">
        <v>0</v>
      </c>
      <c r="O1413" s="5" t="str">
        <f t="shared" ca="1" si="22"/>
        <v>Supplier 130</v>
      </c>
      <c r="P1413" s="20" t="str">
        <f ca="1">IFERROR(VLOOKUP(O1413,EMAILS!B:C,2,FALSE),"NOT FOUND IN EMAILS")</f>
        <v>supplier@gmail.com</v>
      </c>
      <c r="Q1413" t="str">
        <f ca="1">""&amp;IFERROR(VLOOKUP(O1413,EMAILS!B:D,3,FALSE),"NOT FOUND IN EMAILS")</f>
        <v/>
      </c>
      <c r="R1413" t="str">
        <f ca="1">""&amp;IFERROR(VLOOKUP(O1413,EMAILS!B:E,4,FALSE),"NO T FOUND IN EMAILS")</f>
        <v/>
      </c>
    </row>
    <row r="1414" spans="2:18" x14ac:dyDescent="0.25">
      <c r="B1414" s="5" t="s">
        <v>1416</v>
      </c>
      <c r="C1414" s="5" t="s">
        <v>5556</v>
      </c>
      <c r="D1414" s="5">
        <v>0</v>
      </c>
      <c r="E1414" s="5">
        <v>0</v>
      </c>
      <c r="F1414" s="5">
        <v>0</v>
      </c>
      <c r="G1414" s="5">
        <v>0</v>
      </c>
      <c r="H1414" s="5">
        <v>0</v>
      </c>
      <c r="I1414" s="5">
        <v>1</v>
      </c>
      <c r="J1414" s="5">
        <v>0</v>
      </c>
      <c r="K1414" s="5">
        <v>1</v>
      </c>
      <c r="L1414" s="5">
        <v>0</v>
      </c>
      <c r="M1414" s="5">
        <v>0</v>
      </c>
      <c r="N1414" s="5">
        <v>0</v>
      </c>
      <c r="O1414" s="5" t="str">
        <f t="shared" ca="1" si="22"/>
        <v>Supplier 138</v>
      </c>
      <c r="P1414" s="20" t="str">
        <f ca="1">IFERROR(VLOOKUP(O1414,EMAILS!B:C,2,FALSE),"NOT FOUND IN EMAILS")</f>
        <v>supplier@gmail.com</v>
      </c>
      <c r="Q1414" t="str">
        <f ca="1">""&amp;IFERROR(VLOOKUP(O1414,EMAILS!B:D,3,FALSE),"NOT FOUND IN EMAILS")</f>
        <v/>
      </c>
      <c r="R1414" t="str">
        <f ca="1">""&amp;IFERROR(VLOOKUP(O1414,EMAILS!B:E,4,FALSE),"NO T FOUND IN EMAILS")</f>
        <v/>
      </c>
    </row>
    <row r="1415" spans="2:18" x14ac:dyDescent="0.25">
      <c r="B1415" s="5" t="s">
        <v>1417</v>
      </c>
      <c r="C1415" s="5" t="s">
        <v>5557</v>
      </c>
      <c r="D1415" s="5">
        <v>0</v>
      </c>
      <c r="E1415" s="5">
        <v>0</v>
      </c>
      <c r="F1415" s="5">
        <v>0</v>
      </c>
      <c r="G1415" s="5">
        <v>0</v>
      </c>
      <c r="H1415" s="5">
        <v>0</v>
      </c>
      <c r="I1415" s="5">
        <v>1</v>
      </c>
      <c r="J1415" s="5">
        <v>0</v>
      </c>
      <c r="K1415" s="5">
        <v>1</v>
      </c>
      <c r="L1415" s="5">
        <v>0</v>
      </c>
      <c r="M1415" s="5">
        <v>0</v>
      </c>
      <c r="N1415" s="5">
        <v>245</v>
      </c>
      <c r="O1415" s="5" t="str">
        <f t="shared" ca="1" si="22"/>
        <v>Supplier 52</v>
      </c>
      <c r="P1415" s="20" t="str">
        <f ca="1">IFERROR(VLOOKUP(O1415,EMAILS!B:C,2,FALSE),"NOT FOUND IN EMAILS")</f>
        <v>supplier@gmail.com</v>
      </c>
      <c r="Q1415" t="str">
        <f ca="1">""&amp;IFERROR(VLOOKUP(O1415,EMAILS!B:D,3,FALSE),"NOT FOUND IN EMAILS")</f>
        <v/>
      </c>
      <c r="R1415" t="str">
        <f ca="1">""&amp;IFERROR(VLOOKUP(O1415,EMAILS!B:E,4,FALSE),"NO T FOUND IN EMAILS")</f>
        <v/>
      </c>
    </row>
    <row r="1416" spans="2:18" x14ac:dyDescent="0.25">
      <c r="B1416" s="5" t="s">
        <v>1418</v>
      </c>
      <c r="C1416" s="5" t="s">
        <v>5558</v>
      </c>
      <c r="D1416" s="5">
        <v>0</v>
      </c>
      <c r="E1416" s="5">
        <v>13</v>
      </c>
      <c r="F1416" s="5">
        <v>19</v>
      </c>
      <c r="G1416" s="5">
        <v>19</v>
      </c>
      <c r="H1416" s="5">
        <v>2</v>
      </c>
      <c r="I1416" s="5">
        <v>5</v>
      </c>
      <c r="J1416" s="5">
        <v>5</v>
      </c>
      <c r="K1416" s="5">
        <v>5</v>
      </c>
      <c r="L1416" s="5">
        <v>1</v>
      </c>
      <c r="M1416" s="5">
        <v>0</v>
      </c>
      <c r="N1416" s="5">
        <v>245</v>
      </c>
      <c r="O1416" s="5" t="str">
        <f t="shared" ca="1" si="22"/>
        <v>Supplier 157</v>
      </c>
      <c r="P1416" s="20" t="str">
        <f ca="1">IFERROR(VLOOKUP(O1416,EMAILS!B:C,2,FALSE),"NOT FOUND IN EMAILS")</f>
        <v>supplier@gmail.com</v>
      </c>
      <c r="Q1416" t="str">
        <f ca="1">""&amp;IFERROR(VLOOKUP(O1416,EMAILS!B:D,3,FALSE),"NOT FOUND IN EMAILS")</f>
        <v/>
      </c>
      <c r="R1416" t="str">
        <f ca="1">""&amp;IFERROR(VLOOKUP(O1416,EMAILS!B:E,4,FALSE),"NO T FOUND IN EMAILS")</f>
        <v/>
      </c>
    </row>
    <row r="1417" spans="2:18" x14ac:dyDescent="0.25">
      <c r="B1417" s="5" t="s">
        <v>1419</v>
      </c>
      <c r="C1417" s="5" t="s">
        <v>5559</v>
      </c>
      <c r="D1417" s="5">
        <v>0</v>
      </c>
      <c r="E1417" s="5">
        <v>13</v>
      </c>
      <c r="F1417" s="5">
        <v>19</v>
      </c>
      <c r="G1417" s="5">
        <v>19</v>
      </c>
      <c r="H1417" s="5">
        <v>2</v>
      </c>
      <c r="I1417" s="5">
        <v>5</v>
      </c>
      <c r="J1417" s="5">
        <v>5</v>
      </c>
      <c r="K1417" s="5">
        <v>5</v>
      </c>
      <c r="L1417" s="5">
        <v>1</v>
      </c>
      <c r="M1417" s="5">
        <v>0</v>
      </c>
      <c r="N1417" s="5">
        <v>112</v>
      </c>
      <c r="O1417" s="5" t="str">
        <f t="shared" ca="1" si="22"/>
        <v>Supplier 9</v>
      </c>
      <c r="P1417" s="20" t="str">
        <f ca="1">IFERROR(VLOOKUP(O1417,EMAILS!B:C,2,FALSE),"NOT FOUND IN EMAILS")</f>
        <v>supplier@gmail.com</v>
      </c>
      <c r="Q1417" t="str">
        <f ca="1">""&amp;IFERROR(VLOOKUP(O1417,EMAILS!B:D,3,FALSE),"NOT FOUND IN EMAILS")</f>
        <v>supplier_logistics@gmail.com</v>
      </c>
      <c r="R1417" t="str">
        <f ca="1">""&amp;IFERROR(VLOOKUP(O1417,EMAILS!B:E,4,FALSE),"NO T FOUND IN EMAILS")</f>
        <v/>
      </c>
    </row>
    <row r="1418" spans="2:18" x14ac:dyDescent="0.25">
      <c r="B1418" s="5" t="s">
        <v>1420</v>
      </c>
      <c r="C1418" s="5" t="s">
        <v>5560</v>
      </c>
      <c r="D1418" s="5">
        <v>0</v>
      </c>
      <c r="E1418" s="5">
        <v>4</v>
      </c>
      <c r="F1418" s="5">
        <v>4</v>
      </c>
      <c r="G1418" s="5">
        <v>4</v>
      </c>
      <c r="H1418" s="5">
        <v>0</v>
      </c>
      <c r="I1418" s="5">
        <v>2</v>
      </c>
      <c r="J1418" s="5">
        <v>0</v>
      </c>
      <c r="K1418" s="5">
        <v>2</v>
      </c>
      <c r="L1418" s="5">
        <v>0</v>
      </c>
      <c r="M1418" s="5">
        <v>0</v>
      </c>
      <c r="N1418" s="5">
        <v>0</v>
      </c>
      <c r="O1418" s="5" t="str">
        <f t="shared" ca="1" si="22"/>
        <v>Supplier 117</v>
      </c>
      <c r="P1418" s="20" t="str">
        <f ca="1">IFERROR(VLOOKUP(O1418,EMAILS!B:C,2,FALSE),"NOT FOUND IN EMAILS")</f>
        <v>supplier@gmail.com</v>
      </c>
      <c r="Q1418" t="str">
        <f ca="1">""&amp;IFERROR(VLOOKUP(O1418,EMAILS!B:D,3,FALSE),"NOT FOUND IN EMAILS")</f>
        <v/>
      </c>
      <c r="R1418" t="str">
        <f ca="1">""&amp;IFERROR(VLOOKUP(O1418,EMAILS!B:E,4,FALSE),"NO T FOUND IN EMAILS")</f>
        <v/>
      </c>
    </row>
    <row r="1419" spans="2:18" x14ac:dyDescent="0.25">
      <c r="B1419" s="5" t="s">
        <v>1421</v>
      </c>
      <c r="C1419" s="5" t="s">
        <v>5561</v>
      </c>
      <c r="D1419" s="5">
        <v>0</v>
      </c>
      <c r="E1419" s="5">
        <v>0</v>
      </c>
      <c r="F1419" s="5">
        <v>0</v>
      </c>
      <c r="G1419" s="5">
        <v>0</v>
      </c>
      <c r="H1419" s="5">
        <v>0</v>
      </c>
      <c r="I1419" s="5">
        <v>0</v>
      </c>
      <c r="J1419" s="5">
        <v>0</v>
      </c>
      <c r="K1419" s="5">
        <v>0</v>
      </c>
      <c r="L1419" s="5">
        <v>0</v>
      </c>
      <c r="M1419" s="5">
        <v>0</v>
      </c>
      <c r="N1419" s="5">
        <v>250</v>
      </c>
      <c r="O1419" s="5" t="str">
        <f t="shared" ca="1" si="22"/>
        <v>Supplier 13</v>
      </c>
      <c r="P1419" s="20" t="str">
        <f ca="1">IFERROR(VLOOKUP(O1419,EMAILS!B:C,2,FALSE),"NOT FOUND IN EMAILS")</f>
        <v>supplier@gmail.com</v>
      </c>
      <c r="Q1419" t="str">
        <f ca="1">""&amp;IFERROR(VLOOKUP(O1419,EMAILS!B:D,3,FALSE),"NOT FOUND IN EMAILS")</f>
        <v>supplier_logistics@gmail.com</v>
      </c>
      <c r="R1419" t="str">
        <f ca="1">""&amp;IFERROR(VLOOKUP(O1419,EMAILS!B:E,4,FALSE),"NO T FOUND IN EMAILS")</f>
        <v/>
      </c>
    </row>
    <row r="1420" spans="2:18" x14ac:dyDescent="0.25">
      <c r="B1420" s="5" t="s">
        <v>1422</v>
      </c>
      <c r="C1420" s="5" t="s">
        <v>5562</v>
      </c>
      <c r="D1420" s="5">
        <v>0</v>
      </c>
      <c r="E1420" s="5">
        <v>2</v>
      </c>
      <c r="F1420" s="5">
        <v>2</v>
      </c>
      <c r="G1420" s="5">
        <v>2</v>
      </c>
      <c r="H1420" s="5">
        <v>6</v>
      </c>
      <c r="I1420" s="5">
        <v>6</v>
      </c>
      <c r="J1420" s="5">
        <v>0</v>
      </c>
      <c r="K1420" s="5">
        <v>6</v>
      </c>
      <c r="L1420" s="5">
        <v>2</v>
      </c>
      <c r="M1420" s="5">
        <v>0</v>
      </c>
      <c r="N1420" s="5">
        <v>700</v>
      </c>
      <c r="O1420" s="5" t="str">
        <f t="shared" ca="1" si="22"/>
        <v>Supplier 20</v>
      </c>
      <c r="P1420" s="20" t="str">
        <f ca="1">IFERROR(VLOOKUP(O1420,EMAILS!B:C,2,FALSE),"NOT FOUND IN EMAILS")</f>
        <v>supplier@gmail.com</v>
      </c>
      <c r="Q1420" t="str">
        <f ca="1">""&amp;IFERROR(VLOOKUP(O1420,EMAILS!B:D,3,FALSE),"NOT FOUND IN EMAILS")</f>
        <v/>
      </c>
      <c r="R1420" t="str">
        <f ca="1">""&amp;IFERROR(VLOOKUP(O1420,EMAILS!B:E,4,FALSE),"NO T FOUND IN EMAILS")</f>
        <v/>
      </c>
    </row>
    <row r="1421" spans="2:18" x14ac:dyDescent="0.25">
      <c r="B1421" s="5" t="s">
        <v>1423</v>
      </c>
      <c r="C1421" s="5" t="s">
        <v>5563</v>
      </c>
      <c r="D1421" s="5">
        <v>0</v>
      </c>
      <c r="E1421" s="5">
        <v>4</v>
      </c>
      <c r="F1421" s="5">
        <v>4</v>
      </c>
      <c r="G1421" s="5">
        <v>4</v>
      </c>
      <c r="H1421" s="5">
        <v>0</v>
      </c>
      <c r="I1421" s="5">
        <v>2</v>
      </c>
      <c r="J1421" s="5">
        <v>0</v>
      </c>
      <c r="K1421" s="5">
        <v>2</v>
      </c>
      <c r="L1421" s="5">
        <v>0</v>
      </c>
      <c r="M1421" s="5">
        <v>0</v>
      </c>
      <c r="N1421" s="5">
        <v>112</v>
      </c>
      <c r="O1421" s="5" t="str">
        <f t="shared" ca="1" si="22"/>
        <v>Supplier 59</v>
      </c>
      <c r="P1421" s="20" t="str">
        <f ca="1">IFERROR(VLOOKUP(O1421,EMAILS!B:C,2,FALSE),"NOT FOUND IN EMAILS")</f>
        <v>supplier@gmail.com</v>
      </c>
      <c r="Q1421" t="str">
        <f ca="1">""&amp;IFERROR(VLOOKUP(O1421,EMAILS!B:D,3,FALSE),"NOT FOUND IN EMAILS")</f>
        <v/>
      </c>
      <c r="R1421" t="str">
        <f ca="1">""&amp;IFERROR(VLOOKUP(O1421,EMAILS!B:E,4,FALSE),"NO T FOUND IN EMAILS")</f>
        <v/>
      </c>
    </row>
    <row r="1422" spans="2:18" x14ac:dyDescent="0.25">
      <c r="B1422" s="5" t="s">
        <v>1424</v>
      </c>
      <c r="C1422" s="5" t="s">
        <v>5564</v>
      </c>
      <c r="D1422" s="5">
        <v>0</v>
      </c>
      <c r="E1422" s="5">
        <v>0</v>
      </c>
      <c r="F1422" s="5">
        <v>0</v>
      </c>
      <c r="G1422" s="5">
        <v>0</v>
      </c>
      <c r="H1422" s="5">
        <v>0</v>
      </c>
      <c r="I1422" s="5">
        <v>0</v>
      </c>
      <c r="J1422" s="5">
        <v>0</v>
      </c>
      <c r="K1422" s="5">
        <v>0</v>
      </c>
      <c r="L1422" s="5">
        <v>0</v>
      </c>
      <c r="M1422" s="5">
        <v>0</v>
      </c>
      <c r="N1422" s="5">
        <v>250</v>
      </c>
      <c r="O1422" s="5" t="str">
        <f t="shared" ca="1" si="22"/>
        <v>Supplier 14</v>
      </c>
      <c r="P1422" s="20" t="str">
        <f ca="1">IFERROR(VLOOKUP(O1422,EMAILS!B:C,2,FALSE),"NOT FOUND IN EMAILS")</f>
        <v>supplier@gmail.com</v>
      </c>
      <c r="Q1422" t="str">
        <f ca="1">""&amp;IFERROR(VLOOKUP(O1422,EMAILS!B:D,3,FALSE),"NOT FOUND IN EMAILS")</f>
        <v>supplier_logistics@gmail.com</v>
      </c>
      <c r="R1422" t="str">
        <f ca="1">""&amp;IFERROR(VLOOKUP(O1422,EMAILS!B:E,4,FALSE),"NO T FOUND IN EMAILS")</f>
        <v/>
      </c>
    </row>
    <row r="1423" spans="2:18" x14ac:dyDescent="0.25">
      <c r="B1423" s="5" t="s">
        <v>1425</v>
      </c>
      <c r="C1423" s="5" t="s">
        <v>5565</v>
      </c>
      <c r="D1423" s="5">
        <v>0</v>
      </c>
      <c r="E1423" s="5">
        <v>2</v>
      </c>
      <c r="F1423" s="5">
        <v>2</v>
      </c>
      <c r="G1423" s="5">
        <v>2</v>
      </c>
      <c r="H1423" s="5">
        <v>6</v>
      </c>
      <c r="I1423" s="5">
        <v>6</v>
      </c>
      <c r="J1423" s="5">
        <v>0</v>
      </c>
      <c r="K1423" s="5">
        <v>6</v>
      </c>
      <c r="L1423" s="5">
        <v>2</v>
      </c>
      <c r="M1423" s="5">
        <v>0</v>
      </c>
      <c r="N1423" s="5">
        <v>605</v>
      </c>
      <c r="O1423" s="5" t="str">
        <f t="shared" ca="1" si="22"/>
        <v>Supplier 193</v>
      </c>
      <c r="P1423" s="20" t="str">
        <f ca="1">IFERROR(VLOOKUP(O1423,EMAILS!B:C,2,FALSE),"NOT FOUND IN EMAILS")</f>
        <v>supplier@gmail.com</v>
      </c>
      <c r="Q1423" t="str">
        <f ca="1">""&amp;IFERROR(VLOOKUP(O1423,EMAILS!B:D,3,FALSE),"NOT FOUND IN EMAILS")</f>
        <v/>
      </c>
      <c r="R1423" t="str">
        <f ca="1">""&amp;IFERROR(VLOOKUP(O1423,EMAILS!B:E,4,FALSE),"NO T FOUND IN EMAILS")</f>
        <v/>
      </c>
    </row>
    <row r="1424" spans="2:18" x14ac:dyDescent="0.25">
      <c r="B1424" s="5" t="s">
        <v>1426</v>
      </c>
      <c r="C1424" s="5" t="s">
        <v>5566</v>
      </c>
      <c r="D1424" s="5">
        <v>0</v>
      </c>
      <c r="E1424" s="5">
        <v>26</v>
      </c>
      <c r="F1424" s="5">
        <v>38</v>
      </c>
      <c r="G1424" s="5">
        <v>38</v>
      </c>
      <c r="H1424" s="5">
        <v>0</v>
      </c>
      <c r="I1424" s="5">
        <v>10</v>
      </c>
      <c r="J1424" s="5">
        <v>10</v>
      </c>
      <c r="K1424" s="5">
        <v>8</v>
      </c>
      <c r="L1424" s="5">
        <v>2</v>
      </c>
      <c r="M1424" s="5">
        <v>0</v>
      </c>
      <c r="N1424" s="5">
        <v>1183</v>
      </c>
      <c r="O1424" s="5" t="str">
        <f t="shared" ca="1" si="22"/>
        <v>Supplier 35</v>
      </c>
      <c r="P1424" s="20" t="str">
        <f ca="1">IFERROR(VLOOKUP(O1424,EMAILS!B:C,2,FALSE),"NOT FOUND IN EMAILS")</f>
        <v>supplier@gmail.com</v>
      </c>
      <c r="Q1424" t="str">
        <f ca="1">""&amp;IFERROR(VLOOKUP(O1424,EMAILS!B:D,3,FALSE),"NOT FOUND IN EMAILS")</f>
        <v/>
      </c>
      <c r="R1424" t="str">
        <f ca="1">""&amp;IFERROR(VLOOKUP(O1424,EMAILS!B:E,4,FALSE),"NO T FOUND IN EMAILS")</f>
        <v/>
      </c>
    </row>
    <row r="1425" spans="2:18" x14ac:dyDescent="0.25">
      <c r="B1425" s="5" t="s">
        <v>1427</v>
      </c>
      <c r="C1425" s="5" t="s">
        <v>5567</v>
      </c>
      <c r="D1425" s="5">
        <v>76</v>
      </c>
      <c r="E1425" s="5">
        <v>62</v>
      </c>
      <c r="F1425" s="5">
        <v>86</v>
      </c>
      <c r="G1425" s="5">
        <v>86</v>
      </c>
      <c r="H1425" s="5">
        <v>30</v>
      </c>
      <c r="I1425" s="5">
        <v>44</v>
      </c>
      <c r="J1425" s="5">
        <v>40</v>
      </c>
      <c r="K1425" s="5">
        <v>42</v>
      </c>
      <c r="L1425" s="5">
        <v>32</v>
      </c>
      <c r="M1425" s="5">
        <v>0</v>
      </c>
      <c r="N1425" s="5">
        <v>680</v>
      </c>
      <c r="O1425" s="5" t="str">
        <f t="shared" ca="1" si="22"/>
        <v>Supplier 183</v>
      </c>
      <c r="P1425" s="20" t="str">
        <f ca="1">IFERROR(VLOOKUP(O1425,EMAILS!B:C,2,FALSE),"NOT FOUND IN EMAILS")</f>
        <v>supplier@gmail.com</v>
      </c>
      <c r="Q1425" t="str">
        <f ca="1">""&amp;IFERROR(VLOOKUP(O1425,EMAILS!B:D,3,FALSE),"NOT FOUND IN EMAILS")</f>
        <v/>
      </c>
      <c r="R1425" t="str">
        <f ca="1">""&amp;IFERROR(VLOOKUP(O1425,EMAILS!B:E,4,FALSE),"NO T FOUND IN EMAILS")</f>
        <v/>
      </c>
    </row>
    <row r="1426" spans="2:18" x14ac:dyDescent="0.25">
      <c r="B1426" s="5" t="s">
        <v>1428</v>
      </c>
      <c r="C1426" s="5" t="s">
        <v>5568</v>
      </c>
      <c r="D1426" s="5">
        <v>152</v>
      </c>
      <c r="E1426" s="5">
        <v>124</v>
      </c>
      <c r="F1426" s="5">
        <v>172</v>
      </c>
      <c r="G1426" s="5">
        <v>172</v>
      </c>
      <c r="H1426" s="5">
        <v>60</v>
      </c>
      <c r="I1426" s="5">
        <v>88</v>
      </c>
      <c r="J1426" s="5">
        <v>80</v>
      </c>
      <c r="K1426" s="5">
        <v>84</v>
      </c>
      <c r="L1426" s="5">
        <v>64</v>
      </c>
      <c r="M1426" s="5">
        <v>0</v>
      </c>
      <c r="N1426" s="5">
        <v>47</v>
      </c>
      <c r="O1426" s="5" t="str">
        <f t="shared" ca="1" si="22"/>
        <v>Supplier 4</v>
      </c>
      <c r="P1426" s="20" t="str">
        <f ca="1">IFERROR(VLOOKUP(O1426,EMAILS!B:C,2,FALSE),"NOT FOUND IN EMAILS")</f>
        <v>supplier@gmail.com</v>
      </c>
      <c r="Q1426" t="str">
        <f ca="1">""&amp;IFERROR(VLOOKUP(O1426,EMAILS!B:D,3,FALSE),"NOT FOUND IN EMAILS")</f>
        <v>supplier_logistics@gmail.com</v>
      </c>
      <c r="R1426" t="str">
        <f ca="1">""&amp;IFERROR(VLOOKUP(O1426,EMAILS!B:E,4,FALSE),"NO T FOUND IN EMAILS")</f>
        <v/>
      </c>
    </row>
    <row r="1427" spans="2:18" x14ac:dyDescent="0.25">
      <c r="B1427" s="5" t="s">
        <v>1429</v>
      </c>
      <c r="C1427" s="5" t="s">
        <v>5569</v>
      </c>
      <c r="D1427" s="5">
        <v>152</v>
      </c>
      <c r="E1427" s="5">
        <v>124</v>
      </c>
      <c r="F1427" s="5">
        <v>172</v>
      </c>
      <c r="G1427" s="5">
        <v>172</v>
      </c>
      <c r="H1427" s="5">
        <v>60</v>
      </c>
      <c r="I1427" s="5">
        <v>88</v>
      </c>
      <c r="J1427" s="5">
        <v>80</v>
      </c>
      <c r="K1427" s="5">
        <v>84</v>
      </c>
      <c r="L1427" s="5">
        <v>64</v>
      </c>
      <c r="M1427" s="5">
        <v>0</v>
      </c>
      <c r="N1427" s="5">
        <v>377</v>
      </c>
      <c r="O1427" s="5" t="str">
        <f t="shared" ca="1" si="22"/>
        <v>Supplier 188</v>
      </c>
      <c r="P1427" s="20" t="str">
        <f ca="1">IFERROR(VLOOKUP(O1427,EMAILS!B:C,2,FALSE),"NOT FOUND IN EMAILS")</f>
        <v>supplier@gmail.com</v>
      </c>
      <c r="Q1427" t="str">
        <f ca="1">""&amp;IFERROR(VLOOKUP(O1427,EMAILS!B:D,3,FALSE),"NOT FOUND IN EMAILS")</f>
        <v/>
      </c>
      <c r="R1427" t="str">
        <f ca="1">""&amp;IFERROR(VLOOKUP(O1427,EMAILS!B:E,4,FALSE),"NO T FOUND IN EMAILS")</f>
        <v/>
      </c>
    </row>
    <row r="1428" spans="2:18" x14ac:dyDescent="0.25">
      <c r="B1428" s="5" t="s">
        <v>1430</v>
      </c>
      <c r="C1428" s="5" t="s">
        <v>5570</v>
      </c>
      <c r="D1428" s="5">
        <v>76</v>
      </c>
      <c r="E1428" s="5">
        <v>64</v>
      </c>
      <c r="F1428" s="5">
        <v>88</v>
      </c>
      <c r="G1428" s="5">
        <v>88</v>
      </c>
      <c r="H1428" s="5">
        <v>40</v>
      </c>
      <c r="I1428" s="5">
        <v>50</v>
      </c>
      <c r="J1428" s="5">
        <v>40</v>
      </c>
      <c r="K1428" s="5">
        <v>50</v>
      </c>
      <c r="L1428" s="5">
        <v>34</v>
      </c>
      <c r="M1428" s="5">
        <v>0</v>
      </c>
      <c r="N1428" s="5">
        <v>265</v>
      </c>
      <c r="O1428" s="5" t="str">
        <f t="shared" ca="1" si="22"/>
        <v>Supplier 82</v>
      </c>
      <c r="P1428" s="20" t="str">
        <f ca="1">IFERROR(VLOOKUP(O1428,EMAILS!B:C,2,FALSE),"NOT FOUND IN EMAILS")</f>
        <v>supplier@gmail.com</v>
      </c>
      <c r="Q1428" t="str">
        <f ca="1">""&amp;IFERROR(VLOOKUP(O1428,EMAILS!B:D,3,FALSE),"NOT FOUND IN EMAILS")</f>
        <v/>
      </c>
      <c r="R1428" t="str">
        <f ca="1">""&amp;IFERROR(VLOOKUP(O1428,EMAILS!B:E,4,FALSE),"NO T FOUND IN EMAILS")</f>
        <v/>
      </c>
    </row>
    <row r="1429" spans="2:18" x14ac:dyDescent="0.25">
      <c r="B1429" s="5" t="s">
        <v>1431</v>
      </c>
      <c r="C1429" s="5" t="s">
        <v>5571</v>
      </c>
      <c r="D1429" s="5">
        <v>38</v>
      </c>
      <c r="E1429" s="5">
        <v>32</v>
      </c>
      <c r="F1429" s="5">
        <v>44</v>
      </c>
      <c r="G1429" s="5">
        <v>44</v>
      </c>
      <c r="H1429" s="5">
        <v>20</v>
      </c>
      <c r="I1429" s="5">
        <v>25</v>
      </c>
      <c r="J1429" s="5">
        <v>20</v>
      </c>
      <c r="K1429" s="5">
        <v>25</v>
      </c>
      <c r="L1429" s="5">
        <v>17</v>
      </c>
      <c r="M1429" s="5">
        <v>0</v>
      </c>
      <c r="N1429" s="5">
        <v>129</v>
      </c>
      <c r="O1429" s="5" t="str">
        <f t="shared" ca="1" si="22"/>
        <v>Supplier 2</v>
      </c>
      <c r="P1429" s="20" t="str">
        <f ca="1">IFERROR(VLOOKUP(O1429,EMAILS!B:C,2,FALSE),"NOT FOUND IN EMAILS")</f>
        <v>supplier@gmail.com</v>
      </c>
      <c r="Q1429" t="str">
        <f ca="1">""&amp;IFERROR(VLOOKUP(O1429,EMAILS!B:D,3,FALSE),"NOT FOUND IN EMAILS")</f>
        <v>supplier_logistics@gmail.com</v>
      </c>
      <c r="R1429" t="str">
        <f ca="1">""&amp;IFERROR(VLOOKUP(O1429,EMAILS!B:E,4,FALSE),"NO T FOUND IN EMAILS")</f>
        <v/>
      </c>
    </row>
    <row r="1430" spans="2:18" x14ac:dyDescent="0.25">
      <c r="B1430" s="5" t="s">
        <v>1432</v>
      </c>
      <c r="C1430" s="5" t="s">
        <v>5572</v>
      </c>
      <c r="D1430" s="5">
        <v>0</v>
      </c>
      <c r="E1430" s="5">
        <v>0</v>
      </c>
      <c r="F1430" s="5">
        <v>0</v>
      </c>
      <c r="G1430" s="5">
        <v>0</v>
      </c>
      <c r="H1430" s="5">
        <v>0</v>
      </c>
      <c r="I1430" s="5">
        <v>0</v>
      </c>
      <c r="J1430" s="5">
        <v>0</v>
      </c>
      <c r="K1430" s="5">
        <v>0</v>
      </c>
      <c r="L1430" s="5">
        <v>0</v>
      </c>
      <c r="M1430" s="5">
        <v>0</v>
      </c>
      <c r="N1430" s="5">
        <v>292</v>
      </c>
      <c r="O1430" s="5" t="str">
        <f t="shared" ca="1" si="22"/>
        <v>Supplier 172</v>
      </c>
      <c r="P1430" s="20" t="str">
        <f ca="1">IFERROR(VLOOKUP(O1430,EMAILS!B:C,2,FALSE),"NOT FOUND IN EMAILS")</f>
        <v>supplier@gmail.com</v>
      </c>
      <c r="Q1430" t="str">
        <f ca="1">""&amp;IFERROR(VLOOKUP(O1430,EMAILS!B:D,3,FALSE),"NOT FOUND IN EMAILS")</f>
        <v/>
      </c>
      <c r="R1430" t="str">
        <f ca="1">""&amp;IFERROR(VLOOKUP(O1430,EMAILS!B:E,4,FALSE),"NO T FOUND IN EMAILS")</f>
        <v/>
      </c>
    </row>
    <row r="1431" spans="2:18" x14ac:dyDescent="0.25">
      <c r="B1431" s="5" t="s">
        <v>1433</v>
      </c>
      <c r="C1431" s="5" t="s">
        <v>5573</v>
      </c>
      <c r="D1431" s="5">
        <v>38</v>
      </c>
      <c r="E1431" s="5">
        <v>34</v>
      </c>
      <c r="F1431" s="5">
        <v>46</v>
      </c>
      <c r="G1431" s="5">
        <v>46</v>
      </c>
      <c r="H1431" s="5">
        <v>20</v>
      </c>
      <c r="I1431" s="5">
        <v>26</v>
      </c>
      <c r="J1431" s="5">
        <v>20</v>
      </c>
      <c r="K1431" s="5">
        <v>26</v>
      </c>
      <c r="L1431" s="5">
        <v>17</v>
      </c>
      <c r="M1431" s="5">
        <v>0</v>
      </c>
      <c r="N1431" s="5">
        <v>0</v>
      </c>
      <c r="O1431" s="5" t="str">
        <f t="shared" ca="1" si="22"/>
        <v>Supplier 196</v>
      </c>
      <c r="P1431" s="20" t="str">
        <f ca="1">IFERROR(VLOOKUP(O1431,EMAILS!B:C,2,FALSE),"NOT FOUND IN EMAILS")</f>
        <v>supplier@gmail.com</v>
      </c>
      <c r="Q1431" t="str">
        <f ca="1">""&amp;IFERROR(VLOOKUP(O1431,EMAILS!B:D,3,FALSE),"NOT FOUND IN EMAILS")</f>
        <v/>
      </c>
      <c r="R1431" t="str">
        <f ca="1">""&amp;IFERROR(VLOOKUP(O1431,EMAILS!B:E,4,FALSE),"NO T FOUND IN EMAILS")</f>
        <v/>
      </c>
    </row>
    <row r="1432" spans="2:18" x14ac:dyDescent="0.25">
      <c r="B1432" s="5" t="s">
        <v>1434</v>
      </c>
      <c r="C1432" s="5" t="s">
        <v>5574</v>
      </c>
      <c r="D1432" s="5">
        <v>0</v>
      </c>
      <c r="E1432" s="5">
        <v>0</v>
      </c>
      <c r="F1432" s="5">
        <v>0</v>
      </c>
      <c r="G1432" s="5">
        <v>0</v>
      </c>
      <c r="H1432" s="5">
        <v>0</v>
      </c>
      <c r="I1432" s="5">
        <v>0</v>
      </c>
      <c r="J1432" s="5">
        <v>0</v>
      </c>
      <c r="K1432" s="5">
        <v>0</v>
      </c>
      <c r="L1432" s="5">
        <v>0</v>
      </c>
      <c r="M1432" s="5">
        <v>0</v>
      </c>
      <c r="N1432" s="5">
        <v>86</v>
      </c>
      <c r="O1432" s="5" t="str">
        <f t="shared" ca="1" si="22"/>
        <v>Supplier 51</v>
      </c>
      <c r="P1432" s="20" t="str">
        <f ca="1">IFERROR(VLOOKUP(O1432,EMAILS!B:C,2,FALSE),"NOT FOUND IN EMAILS")</f>
        <v>supplier@gmail.com</v>
      </c>
      <c r="Q1432" t="str">
        <f ca="1">""&amp;IFERROR(VLOOKUP(O1432,EMAILS!B:D,3,FALSE),"NOT FOUND IN EMAILS")</f>
        <v/>
      </c>
      <c r="R1432" t="str">
        <f ca="1">""&amp;IFERROR(VLOOKUP(O1432,EMAILS!B:E,4,FALSE),"NO T FOUND IN EMAILS")</f>
        <v/>
      </c>
    </row>
    <row r="1433" spans="2:18" x14ac:dyDescent="0.25">
      <c r="B1433" s="5" t="s">
        <v>1435</v>
      </c>
      <c r="C1433" s="5" t="s">
        <v>5575</v>
      </c>
      <c r="D1433" s="5">
        <v>38</v>
      </c>
      <c r="E1433" s="5">
        <v>34</v>
      </c>
      <c r="F1433" s="5">
        <v>46</v>
      </c>
      <c r="G1433" s="5">
        <v>46</v>
      </c>
      <c r="H1433" s="5">
        <v>20</v>
      </c>
      <c r="I1433" s="5">
        <v>26</v>
      </c>
      <c r="J1433" s="5">
        <v>20</v>
      </c>
      <c r="K1433" s="5">
        <v>26</v>
      </c>
      <c r="L1433" s="5">
        <v>17</v>
      </c>
      <c r="M1433" s="5">
        <v>0</v>
      </c>
      <c r="N1433" s="5">
        <v>0</v>
      </c>
      <c r="O1433" s="5" t="str">
        <f t="shared" ca="1" si="22"/>
        <v>Supplier 198</v>
      </c>
      <c r="P1433" s="20" t="str">
        <f ca="1">IFERROR(VLOOKUP(O1433,EMAILS!B:C,2,FALSE),"NOT FOUND IN EMAILS")</f>
        <v>supplier@gmail.com</v>
      </c>
      <c r="Q1433" t="str">
        <f ca="1">""&amp;IFERROR(VLOOKUP(O1433,EMAILS!B:D,3,FALSE),"NOT FOUND IN EMAILS")</f>
        <v/>
      </c>
      <c r="R1433" t="str">
        <f ca="1">""&amp;IFERROR(VLOOKUP(O1433,EMAILS!B:E,4,FALSE),"NO T FOUND IN EMAILS")</f>
        <v/>
      </c>
    </row>
    <row r="1434" spans="2:18" x14ac:dyDescent="0.25">
      <c r="B1434" s="5" t="s">
        <v>1436</v>
      </c>
      <c r="C1434" s="5" t="s">
        <v>5576</v>
      </c>
      <c r="D1434" s="5">
        <v>0</v>
      </c>
      <c r="E1434" s="5">
        <v>0</v>
      </c>
      <c r="F1434" s="5">
        <v>0</v>
      </c>
      <c r="G1434" s="5">
        <v>0</v>
      </c>
      <c r="H1434" s="5">
        <v>0</v>
      </c>
      <c r="I1434" s="5">
        <v>0</v>
      </c>
      <c r="J1434" s="5">
        <v>0</v>
      </c>
      <c r="K1434" s="5">
        <v>0</v>
      </c>
      <c r="L1434" s="5">
        <v>0</v>
      </c>
      <c r="M1434" s="5">
        <v>0</v>
      </c>
      <c r="N1434" s="5">
        <v>1011</v>
      </c>
      <c r="O1434" s="5" t="str">
        <f t="shared" ca="1" si="22"/>
        <v>Supplier 112</v>
      </c>
      <c r="P1434" s="20" t="str">
        <f ca="1">IFERROR(VLOOKUP(O1434,EMAILS!B:C,2,FALSE),"NOT FOUND IN EMAILS")</f>
        <v>supplier@gmail.com</v>
      </c>
      <c r="Q1434" t="str">
        <f ca="1">""&amp;IFERROR(VLOOKUP(O1434,EMAILS!B:D,3,FALSE),"NOT FOUND IN EMAILS")</f>
        <v/>
      </c>
      <c r="R1434" t="str">
        <f ca="1">""&amp;IFERROR(VLOOKUP(O1434,EMAILS!B:E,4,FALSE),"NO T FOUND IN EMAILS")</f>
        <v/>
      </c>
    </row>
    <row r="1435" spans="2:18" x14ac:dyDescent="0.25">
      <c r="B1435" s="5" t="s">
        <v>1437</v>
      </c>
      <c r="C1435" s="5" t="s">
        <v>5577</v>
      </c>
      <c r="D1435" s="5">
        <v>76</v>
      </c>
      <c r="E1435" s="5">
        <v>68</v>
      </c>
      <c r="F1435" s="5">
        <v>92</v>
      </c>
      <c r="G1435" s="5">
        <v>92</v>
      </c>
      <c r="H1435" s="5">
        <v>40</v>
      </c>
      <c r="I1435" s="5">
        <v>52</v>
      </c>
      <c r="J1435" s="5">
        <v>40</v>
      </c>
      <c r="K1435" s="5">
        <v>52</v>
      </c>
      <c r="L1435" s="5">
        <v>34</v>
      </c>
      <c r="M1435" s="5">
        <v>0</v>
      </c>
      <c r="N1435" s="5">
        <v>0</v>
      </c>
      <c r="O1435" s="5" t="str">
        <f t="shared" ca="1" si="22"/>
        <v>Supplier 149</v>
      </c>
      <c r="P1435" s="20" t="str">
        <f ca="1">IFERROR(VLOOKUP(O1435,EMAILS!B:C,2,FALSE),"NOT FOUND IN EMAILS")</f>
        <v>supplier@gmail.com</v>
      </c>
      <c r="Q1435" t="str">
        <f ca="1">""&amp;IFERROR(VLOOKUP(O1435,EMAILS!B:D,3,FALSE),"NOT FOUND IN EMAILS")</f>
        <v/>
      </c>
      <c r="R1435" t="str">
        <f ca="1">""&amp;IFERROR(VLOOKUP(O1435,EMAILS!B:E,4,FALSE),"NO T FOUND IN EMAILS")</f>
        <v/>
      </c>
    </row>
    <row r="1436" spans="2:18" x14ac:dyDescent="0.25">
      <c r="B1436" s="5" t="s">
        <v>1438</v>
      </c>
      <c r="C1436" s="5" t="s">
        <v>5578</v>
      </c>
      <c r="D1436" s="5">
        <v>0</v>
      </c>
      <c r="E1436" s="5">
        <v>0</v>
      </c>
      <c r="F1436" s="5">
        <v>0</v>
      </c>
      <c r="G1436" s="5">
        <v>0</v>
      </c>
      <c r="H1436" s="5">
        <v>0</v>
      </c>
      <c r="I1436" s="5">
        <v>0</v>
      </c>
      <c r="J1436" s="5">
        <v>0</v>
      </c>
      <c r="K1436" s="5">
        <v>0</v>
      </c>
      <c r="L1436" s="5">
        <v>0</v>
      </c>
      <c r="M1436" s="5">
        <v>0</v>
      </c>
      <c r="N1436" s="5">
        <v>906</v>
      </c>
      <c r="O1436" s="5" t="str">
        <f t="shared" ca="1" si="22"/>
        <v>Supplier 96</v>
      </c>
      <c r="P1436" s="20" t="str">
        <f ca="1">IFERROR(VLOOKUP(O1436,EMAILS!B:C,2,FALSE),"NOT FOUND IN EMAILS")</f>
        <v>supplier@gmail.com</v>
      </c>
      <c r="Q1436" t="str">
        <f ca="1">""&amp;IFERROR(VLOOKUP(O1436,EMAILS!B:D,3,FALSE),"NOT FOUND IN EMAILS")</f>
        <v/>
      </c>
      <c r="R1436" t="str">
        <f ca="1">""&amp;IFERROR(VLOOKUP(O1436,EMAILS!B:E,4,FALSE),"NO T FOUND IN EMAILS")</f>
        <v/>
      </c>
    </row>
    <row r="1437" spans="2:18" x14ac:dyDescent="0.25">
      <c r="B1437" s="5" t="s">
        <v>1439</v>
      </c>
      <c r="C1437" s="5" t="s">
        <v>5579</v>
      </c>
      <c r="D1437" s="5">
        <v>76</v>
      </c>
      <c r="E1437" s="5">
        <v>68</v>
      </c>
      <c r="F1437" s="5">
        <v>92</v>
      </c>
      <c r="G1437" s="5">
        <v>92</v>
      </c>
      <c r="H1437" s="5">
        <v>40</v>
      </c>
      <c r="I1437" s="5">
        <v>52</v>
      </c>
      <c r="J1437" s="5">
        <v>40</v>
      </c>
      <c r="K1437" s="5">
        <v>52</v>
      </c>
      <c r="L1437" s="5">
        <v>34</v>
      </c>
      <c r="M1437" s="5">
        <v>0</v>
      </c>
      <c r="N1437" s="5">
        <v>0</v>
      </c>
      <c r="O1437" s="5" t="str">
        <f t="shared" ca="1" si="22"/>
        <v>Supplier 106</v>
      </c>
      <c r="P1437" s="20" t="str">
        <f ca="1">IFERROR(VLOOKUP(O1437,EMAILS!B:C,2,FALSE),"NOT FOUND IN EMAILS")</f>
        <v>supplier@gmail.com</v>
      </c>
      <c r="Q1437" t="str">
        <f ca="1">""&amp;IFERROR(VLOOKUP(O1437,EMAILS!B:D,3,FALSE),"NOT FOUND IN EMAILS")</f>
        <v/>
      </c>
      <c r="R1437" t="str">
        <f ca="1">""&amp;IFERROR(VLOOKUP(O1437,EMAILS!B:E,4,FALSE),"NO T FOUND IN EMAILS")</f>
        <v/>
      </c>
    </row>
    <row r="1438" spans="2:18" x14ac:dyDescent="0.25">
      <c r="B1438" s="5" t="s">
        <v>1440</v>
      </c>
      <c r="C1438" s="5" t="s">
        <v>5580</v>
      </c>
      <c r="D1438" s="5">
        <v>0</v>
      </c>
      <c r="E1438" s="5">
        <v>0</v>
      </c>
      <c r="F1438" s="5">
        <v>0</v>
      </c>
      <c r="G1438" s="5">
        <v>0</v>
      </c>
      <c r="H1438" s="5">
        <v>0</v>
      </c>
      <c r="I1438" s="5">
        <v>0</v>
      </c>
      <c r="J1438" s="5">
        <v>0</v>
      </c>
      <c r="K1438" s="5">
        <v>0</v>
      </c>
      <c r="L1438" s="5">
        <v>0</v>
      </c>
      <c r="M1438" s="5">
        <v>0</v>
      </c>
      <c r="N1438" s="5">
        <v>429</v>
      </c>
      <c r="O1438" s="5" t="str">
        <f t="shared" ca="1" si="22"/>
        <v>Supplier 118</v>
      </c>
      <c r="P1438" s="20" t="str">
        <f ca="1">IFERROR(VLOOKUP(O1438,EMAILS!B:C,2,FALSE),"NOT FOUND IN EMAILS")</f>
        <v>supplier@gmail.com</v>
      </c>
      <c r="Q1438" t="str">
        <f ca="1">""&amp;IFERROR(VLOOKUP(O1438,EMAILS!B:D,3,FALSE),"NOT FOUND IN EMAILS")</f>
        <v/>
      </c>
      <c r="R1438" t="str">
        <f ca="1">""&amp;IFERROR(VLOOKUP(O1438,EMAILS!B:E,4,FALSE),"NO T FOUND IN EMAILS")</f>
        <v/>
      </c>
    </row>
    <row r="1439" spans="2:18" x14ac:dyDescent="0.25">
      <c r="B1439" s="5" t="s">
        <v>1441</v>
      </c>
      <c r="C1439" s="5" t="s">
        <v>5581</v>
      </c>
      <c r="D1439" s="5">
        <v>76</v>
      </c>
      <c r="E1439" s="5">
        <v>62</v>
      </c>
      <c r="F1439" s="5">
        <v>86</v>
      </c>
      <c r="G1439" s="5">
        <v>86</v>
      </c>
      <c r="H1439" s="5">
        <v>30</v>
      </c>
      <c r="I1439" s="5">
        <v>44</v>
      </c>
      <c r="J1439" s="5">
        <v>40</v>
      </c>
      <c r="K1439" s="5">
        <v>42</v>
      </c>
      <c r="L1439" s="5">
        <v>32</v>
      </c>
      <c r="M1439" s="5">
        <v>0</v>
      </c>
      <c r="N1439" s="5">
        <v>240</v>
      </c>
      <c r="O1439" s="5" t="str">
        <f t="shared" ca="1" si="22"/>
        <v>Supplier 14</v>
      </c>
      <c r="P1439" s="20" t="str">
        <f ca="1">IFERROR(VLOOKUP(O1439,EMAILS!B:C,2,FALSE),"NOT FOUND IN EMAILS")</f>
        <v>supplier@gmail.com</v>
      </c>
      <c r="Q1439" t="str">
        <f ca="1">""&amp;IFERROR(VLOOKUP(O1439,EMAILS!B:D,3,FALSE),"NOT FOUND IN EMAILS")</f>
        <v>supplier_logistics@gmail.com</v>
      </c>
      <c r="R1439" t="str">
        <f ca="1">""&amp;IFERROR(VLOOKUP(O1439,EMAILS!B:E,4,FALSE),"NO T FOUND IN EMAILS")</f>
        <v/>
      </c>
    </row>
    <row r="1440" spans="2:18" x14ac:dyDescent="0.25">
      <c r="B1440" s="5" t="s">
        <v>1442</v>
      </c>
      <c r="C1440" s="5" t="s">
        <v>5582</v>
      </c>
      <c r="D1440" s="5">
        <v>76</v>
      </c>
      <c r="E1440" s="5">
        <v>36</v>
      </c>
      <c r="F1440" s="5">
        <v>48</v>
      </c>
      <c r="G1440" s="5">
        <v>48</v>
      </c>
      <c r="H1440" s="5">
        <v>30</v>
      </c>
      <c r="I1440" s="5">
        <v>34</v>
      </c>
      <c r="J1440" s="5">
        <v>30</v>
      </c>
      <c r="K1440" s="5">
        <v>34</v>
      </c>
      <c r="L1440" s="5">
        <v>30</v>
      </c>
      <c r="M1440" s="5">
        <v>0</v>
      </c>
      <c r="N1440" s="5">
        <v>492</v>
      </c>
      <c r="O1440" s="5" t="str">
        <f t="shared" ca="1" si="22"/>
        <v>Supplier 129</v>
      </c>
      <c r="P1440" s="20" t="str">
        <f ca="1">IFERROR(VLOOKUP(O1440,EMAILS!B:C,2,FALSE),"NOT FOUND IN EMAILS")</f>
        <v>supplier@gmail.com</v>
      </c>
      <c r="Q1440" t="str">
        <f ca="1">""&amp;IFERROR(VLOOKUP(O1440,EMAILS!B:D,3,FALSE),"NOT FOUND IN EMAILS")</f>
        <v/>
      </c>
      <c r="R1440" t="str">
        <f ca="1">""&amp;IFERROR(VLOOKUP(O1440,EMAILS!B:E,4,FALSE),"NO T FOUND IN EMAILS")</f>
        <v/>
      </c>
    </row>
    <row r="1441" spans="2:18" x14ac:dyDescent="0.25">
      <c r="B1441" s="5" t="s">
        <v>1443</v>
      </c>
      <c r="C1441" s="5" t="s">
        <v>5583</v>
      </c>
      <c r="D1441" s="5">
        <v>76</v>
      </c>
      <c r="E1441" s="5">
        <v>62</v>
      </c>
      <c r="F1441" s="5">
        <v>86</v>
      </c>
      <c r="G1441" s="5">
        <v>86</v>
      </c>
      <c r="H1441" s="5">
        <v>30</v>
      </c>
      <c r="I1441" s="5">
        <v>44</v>
      </c>
      <c r="J1441" s="5">
        <v>40</v>
      </c>
      <c r="K1441" s="5">
        <v>42</v>
      </c>
      <c r="L1441" s="5">
        <v>32</v>
      </c>
      <c r="M1441" s="5">
        <v>0</v>
      </c>
      <c r="N1441" s="5">
        <v>231</v>
      </c>
      <c r="O1441" s="5" t="str">
        <f t="shared" ca="1" si="22"/>
        <v>Supplier 3</v>
      </c>
      <c r="P1441" s="20" t="str">
        <f ca="1">IFERROR(VLOOKUP(O1441,EMAILS!B:C,2,FALSE),"NOT FOUND IN EMAILS")</f>
        <v>supplier@gmail.com</v>
      </c>
      <c r="Q1441" t="str">
        <f ca="1">""&amp;IFERROR(VLOOKUP(O1441,EMAILS!B:D,3,FALSE),"NOT FOUND IN EMAILS")</f>
        <v>supplier_logistics@gmail.com</v>
      </c>
      <c r="R1441" t="str">
        <f ca="1">""&amp;IFERROR(VLOOKUP(O1441,EMAILS!B:E,4,FALSE),"NO T FOUND IN EMAILS")</f>
        <v/>
      </c>
    </row>
    <row r="1442" spans="2:18" x14ac:dyDescent="0.25">
      <c r="B1442" s="5" t="s">
        <v>1444</v>
      </c>
      <c r="C1442" s="5" t="s">
        <v>5584</v>
      </c>
      <c r="D1442" s="5">
        <v>38</v>
      </c>
      <c r="E1442" s="5">
        <v>34</v>
      </c>
      <c r="F1442" s="5">
        <v>46</v>
      </c>
      <c r="G1442" s="5">
        <v>46</v>
      </c>
      <c r="H1442" s="5">
        <v>20</v>
      </c>
      <c r="I1442" s="5">
        <v>26</v>
      </c>
      <c r="J1442" s="5">
        <v>20</v>
      </c>
      <c r="K1442" s="5">
        <v>26</v>
      </c>
      <c r="L1442" s="5">
        <v>17</v>
      </c>
      <c r="M1442" s="5">
        <v>0</v>
      </c>
      <c r="N1442" s="5">
        <v>218</v>
      </c>
      <c r="O1442" s="5" t="str">
        <f t="shared" ca="1" si="22"/>
        <v>Supplier 95</v>
      </c>
      <c r="P1442" s="20" t="str">
        <f ca="1">IFERROR(VLOOKUP(O1442,EMAILS!B:C,2,FALSE),"NOT FOUND IN EMAILS")</f>
        <v>supplier@gmail.com</v>
      </c>
      <c r="Q1442" t="str">
        <f ca="1">""&amp;IFERROR(VLOOKUP(O1442,EMAILS!B:D,3,FALSE),"NOT FOUND IN EMAILS")</f>
        <v/>
      </c>
      <c r="R1442" t="str">
        <f ca="1">""&amp;IFERROR(VLOOKUP(O1442,EMAILS!B:E,4,FALSE),"NO T FOUND IN EMAILS")</f>
        <v/>
      </c>
    </row>
    <row r="1443" spans="2:18" x14ac:dyDescent="0.25">
      <c r="B1443" s="5" t="s">
        <v>1445</v>
      </c>
      <c r="C1443" s="5" t="s">
        <v>5585</v>
      </c>
      <c r="D1443" s="5">
        <v>38</v>
      </c>
      <c r="E1443" s="5">
        <v>34</v>
      </c>
      <c r="F1443" s="5">
        <v>46</v>
      </c>
      <c r="G1443" s="5">
        <v>46</v>
      </c>
      <c r="H1443" s="5">
        <v>20</v>
      </c>
      <c r="I1443" s="5">
        <v>26</v>
      </c>
      <c r="J1443" s="5">
        <v>20</v>
      </c>
      <c r="K1443" s="5">
        <v>26</v>
      </c>
      <c r="L1443" s="5">
        <v>17</v>
      </c>
      <c r="M1443" s="5">
        <v>0</v>
      </c>
      <c r="N1443" s="5">
        <v>154</v>
      </c>
      <c r="O1443" s="5" t="str">
        <f t="shared" ca="1" si="22"/>
        <v>Supplier 166</v>
      </c>
      <c r="P1443" s="20" t="str">
        <f ca="1">IFERROR(VLOOKUP(O1443,EMAILS!B:C,2,FALSE),"NOT FOUND IN EMAILS")</f>
        <v>supplier@gmail.com</v>
      </c>
      <c r="Q1443" t="str">
        <f ca="1">""&amp;IFERROR(VLOOKUP(O1443,EMAILS!B:D,3,FALSE),"NOT FOUND IN EMAILS")</f>
        <v/>
      </c>
      <c r="R1443" t="str">
        <f ca="1">""&amp;IFERROR(VLOOKUP(O1443,EMAILS!B:E,4,FALSE),"NO T FOUND IN EMAILS")</f>
        <v/>
      </c>
    </row>
    <row r="1444" spans="2:18" x14ac:dyDescent="0.25">
      <c r="B1444" s="5" t="s">
        <v>1446</v>
      </c>
      <c r="C1444" s="5" t="s">
        <v>5586</v>
      </c>
      <c r="D1444" s="5">
        <v>76</v>
      </c>
      <c r="E1444" s="5">
        <v>68</v>
      </c>
      <c r="F1444" s="5">
        <v>92</v>
      </c>
      <c r="G1444" s="5">
        <v>92</v>
      </c>
      <c r="H1444" s="5">
        <v>40</v>
      </c>
      <c r="I1444" s="5">
        <v>52</v>
      </c>
      <c r="J1444" s="5">
        <v>40</v>
      </c>
      <c r="K1444" s="5">
        <v>52</v>
      </c>
      <c r="L1444" s="5">
        <v>34</v>
      </c>
      <c r="M1444" s="5">
        <v>0</v>
      </c>
      <c r="N1444" s="5">
        <v>0</v>
      </c>
      <c r="O1444" s="5" t="str">
        <f t="shared" ca="1" si="22"/>
        <v>Supplier 172</v>
      </c>
      <c r="P1444" s="20" t="str">
        <f ca="1">IFERROR(VLOOKUP(O1444,EMAILS!B:C,2,FALSE),"NOT FOUND IN EMAILS")</f>
        <v>supplier@gmail.com</v>
      </c>
      <c r="Q1444" t="str">
        <f ca="1">""&amp;IFERROR(VLOOKUP(O1444,EMAILS!B:D,3,FALSE),"NOT FOUND IN EMAILS")</f>
        <v/>
      </c>
      <c r="R1444" t="str">
        <f ca="1">""&amp;IFERROR(VLOOKUP(O1444,EMAILS!B:E,4,FALSE),"NO T FOUND IN EMAILS")</f>
        <v/>
      </c>
    </row>
    <row r="1445" spans="2:18" x14ac:dyDescent="0.25">
      <c r="B1445" s="5" t="s">
        <v>1447</v>
      </c>
      <c r="C1445" s="5" t="s">
        <v>5587</v>
      </c>
      <c r="D1445" s="5">
        <v>0</v>
      </c>
      <c r="E1445" s="5">
        <v>0</v>
      </c>
      <c r="F1445" s="5">
        <v>0</v>
      </c>
      <c r="G1445" s="5">
        <v>0</v>
      </c>
      <c r="H1445" s="5">
        <v>0</v>
      </c>
      <c r="I1445" s="5">
        <v>0</v>
      </c>
      <c r="J1445" s="5">
        <v>0</v>
      </c>
      <c r="K1445" s="5">
        <v>0</v>
      </c>
      <c r="L1445" s="5">
        <v>0</v>
      </c>
      <c r="M1445" s="5">
        <v>0</v>
      </c>
      <c r="N1445" s="5">
        <v>537</v>
      </c>
      <c r="O1445" s="5" t="str">
        <f t="shared" ca="1" si="22"/>
        <v>Supplier 62</v>
      </c>
      <c r="P1445" s="20" t="str">
        <f ca="1">IFERROR(VLOOKUP(O1445,EMAILS!B:C,2,FALSE),"NOT FOUND IN EMAILS")</f>
        <v>supplier@gmail.com</v>
      </c>
      <c r="Q1445" t="str">
        <f ca="1">""&amp;IFERROR(VLOOKUP(O1445,EMAILS!B:D,3,FALSE),"NOT FOUND IN EMAILS")</f>
        <v/>
      </c>
      <c r="R1445" t="str">
        <f ca="1">""&amp;IFERROR(VLOOKUP(O1445,EMAILS!B:E,4,FALSE),"NO T FOUND IN EMAILS")</f>
        <v/>
      </c>
    </row>
    <row r="1446" spans="2:18" x14ac:dyDescent="0.25">
      <c r="B1446" s="5" t="s">
        <v>1448</v>
      </c>
      <c r="C1446" s="5" t="s">
        <v>5588</v>
      </c>
      <c r="D1446" s="5">
        <v>76</v>
      </c>
      <c r="E1446" s="5">
        <v>84</v>
      </c>
      <c r="F1446" s="5">
        <v>108</v>
      </c>
      <c r="G1446" s="5">
        <v>108</v>
      </c>
      <c r="H1446" s="5">
        <v>42</v>
      </c>
      <c r="I1446" s="5">
        <v>58</v>
      </c>
      <c r="J1446" s="5">
        <v>46</v>
      </c>
      <c r="K1446" s="5">
        <v>60</v>
      </c>
      <c r="L1446" s="5">
        <v>38</v>
      </c>
      <c r="M1446" s="5">
        <v>0</v>
      </c>
      <c r="N1446" s="5">
        <v>0</v>
      </c>
      <c r="O1446" s="5" t="str">
        <f t="shared" ca="1" si="22"/>
        <v>Supplier 133</v>
      </c>
      <c r="P1446" s="20" t="str">
        <f ca="1">IFERROR(VLOOKUP(O1446,EMAILS!B:C,2,FALSE),"NOT FOUND IN EMAILS")</f>
        <v>supplier@gmail.com</v>
      </c>
      <c r="Q1446" t="str">
        <f ca="1">""&amp;IFERROR(VLOOKUP(O1446,EMAILS!B:D,3,FALSE),"NOT FOUND IN EMAILS")</f>
        <v/>
      </c>
      <c r="R1446" t="str">
        <f ca="1">""&amp;IFERROR(VLOOKUP(O1446,EMAILS!B:E,4,FALSE),"NO T FOUND IN EMAILS")</f>
        <v/>
      </c>
    </row>
    <row r="1447" spans="2:18" x14ac:dyDescent="0.25">
      <c r="B1447" s="5" t="s">
        <v>1449</v>
      </c>
      <c r="C1447" s="5" t="s">
        <v>5589</v>
      </c>
      <c r="D1447" s="5">
        <v>0</v>
      </c>
      <c r="E1447" s="5">
        <v>0</v>
      </c>
      <c r="F1447" s="5">
        <v>0</v>
      </c>
      <c r="G1447" s="5">
        <v>0</v>
      </c>
      <c r="H1447" s="5">
        <v>0</v>
      </c>
      <c r="I1447" s="5">
        <v>0</v>
      </c>
      <c r="J1447" s="5">
        <v>0</v>
      </c>
      <c r="K1447" s="5">
        <v>0</v>
      </c>
      <c r="L1447" s="5">
        <v>0</v>
      </c>
      <c r="M1447" s="5">
        <v>0</v>
      </c>
      <c r="N1447" s="5">
        <v>142</v>
      </c>
      <c r="O1447" s="5" t="str">
        <f t="shared" ca="1" si="22"/>
        <v>Supplier 193</v>
      </c>
      <c r="P1447" s="20" t="str">
        <f ca="1">IFERROR(VLOOKUP(O1447,EMAILS!B:C,2,FALSE),"NOT FOUND IN EMAILS")</f>
        <v>supplier@gmail.com</v>
      </c>
      <c r="Q1447" t="str">
        <f ca="1">""&amp;IFERROR(VLOOKUP(O1447,EMAILS!B:D,3,FALSE),"NOT FOUND IN EMAILS")</f>
        <v/>
      </c>
      <c r="R1447" t="str">
        <f ca="1">""&amp;IFERROR(VLOOKUP(O1447,EMAILS!B:E,4,FALSE),"NO T FOUND IN EMAILS")</f>
        <v/>
      </c>
    </row>
    <row r="1448" spans="2:18" x14ac:dyDescent="0.25">
      <c r="B1448" s="5" t="s">
        <v>1450</v>
      </c>
      <c r="C1448" s="5" t="s">
        <v>5590</v>
      </c>
      <c r="D1448" s="5">
        <v>76</v>
      </c>
      <c r="E1448" s="5">
        <v>68</v>
      </c>
      <c r="F1448" s="5">
        <v>92</v>
      </c>
      <c r="G1448" s="5">
        <v>92</v>
      </c>
      <c r="H1448" s="5">
        <v>40</v>
      </c>
      <c r="I1448" s="5">
        <v>52</v>
      </c>
      <c r="J1448" s="5">
        <v>40</v>
      </c>
      <c r="K1448" s="5">
        <v>52</v>
      </c>
      <c r="L1448" s="5">
        <v>34</v>
      </c>
      <c r="M1448" s="5">
        <v>0</v>
      </c>
      <c r="N1448" s="5">
        <v>0</v>
      </c>
      <c r="O1448" s="5" t="str">
        <f t="shared" ca="1" si="22"/>
        <v>Supplier 100</v>
      </c>
      <c r="P1448" s="20" t="str">
        <f ca="1">IFERROR(VLOOKUP(O1448,EMAILS!B:C,2,FALSE),"NOT FOUND IN EMAILS")</f>
        <v>supplier@gmail.com</v>
      </c>
      <c r="Q1448" t="str">
        <f ca="1">""&amp;IFERROR(VLOOKUP(O1448,EMAILS!B:D,3,FALSE),"NOT FOUND IN EMAILS")</f>
        <v/>
      </c>
      <c r="R1448" t="str">
        <f ca="1">""&amp;IFERROR(VLOOKUP(O1448,EMAILS!B:E,4,FALSE),"NO T FOUND IN EMAILS")</f>
        <v/>
      </c>
    </row>
    <row r="1449" spans="2:18" x14ac:dyDescent="0.25">
      <c r="B1449" s="5" t="s">
        <v>1451</v>
      </c>
      <c r="C1449" s="5" t="s">
        <v>5591</v>
      </c>
      <c r="D1449" s="5">
        <v>0</v>
      </c>
      <c r="E1449" s="5">
        <v>0</v>
      </c>
      <c r="F1449" s="5">
        <v>0</v>
      </c>
      <c r="G1449" s="5">
        <v>0</v>
      </c>
      <c r="H1449" s="5">
        <v>0</v>
      </c>
      <c r="I1449" s="5">
        <v>0</v>
      </c>
      <c r="J1449" s="5">
        <v>0</v>
      </c>
      <c r="K1449" s="5">
        <v>0</v>
      </c>
      <c r="L1449" s="5">
        <v>0</v>
      </c>
      <c r="M1449" s="5">
        <v>0</v>
      </c>
      <c r="N1449" s="5">
        <v>89</v>
      </c>
      <c r="O1449" s="5" t="str">
        <f t="shared" ca="1" si="22"/>
        <v>Supplier 138</v>
      </c>
      <c r="P1449" s="20" t="str">
        <f ca="1">IFERROR(VLOOKUP(O1449,EMAILS!B:C,2,FALSE),"NOT FOUND IN EMAILS")</f>
        <v>supplier@gmail.com</v>
      </c>
      <c r="Q1449" t="str">
        <f ca="1">""&amp;IFERROR(VLOOKUP(O1449,EMAILS!B:D,3,FALSE),"NOT FOUND IN EMAILS")</f>
        <v/>
      </c>
      <c r="R1449" t="str">
        <f ca="1">""&amp;IFERROR(VLOOKUP(O1449,EMAILS!B:E,4,FALSE),"NO T FOUND IN EMAILS")</f>
        <v/>
      </c>
    </row>
    <row r="1450" spans="2:18" x14ac:dyDescent="0.25">
      <c r="B1450" s="5" t="s">
        <v>1452</v>
      </c>
      <c r="C1450" s="5" t="s">
        <v>5592</v>
      </c>
      <c r="D1450" s="5">
        <v>76</v>
      </c>
      <c r="E1450" s="5">
        <v>40</v>
      </c>
      <c r="F1450" s="5">
        <v>52</v>
      </c>
      <c r="G1450" s="5">
        <v>52</v>
      </c>
      <c r="H1450" s="5">
        <v>30</v>
      </c>
      <c r="I1450" s="5">
        <v>36</v>
      </c>
      <c r="J1450" s="5">
        <v>30</v>
      </c>
      <c r="K1450" s="5">
        <v>36</v>
      </c>
      <c r="L1450" s="5">
        <v>30</v>
      </c>
      <c r="M1450" s="5">
        <v>0</v>
      </c>
      <c r="N1450" s="5">
        <v>0</v>
      </c>
      <c r="O1450" s="5" t="str">
        <f t="shared" ca="1" si="22"/>
        <v>Supplier 19</v>
      </c>
      <c r="P1450" s="20" t="str">
        <f ca="1">IFERROR(VLOOKUP(O1450,EMAILS!B:C,2,FALSE),"NOT FOUND IN EMAILS")</f>
        <v>supplier@gmail.com</v>
      </c>
      <c r="Q1450" t="str">
        <f ca="1">""&amp;IFERROR(VLOOKUP(O1450,EMAILS!B:D,3,FALSE),"NOT FOUND IN EMAILS")</f>
        <v>supplier_logistics@gmail.com</v>
      </c>
      <c r="R1450" t="str">
        <f ca="1">""&amp;IFERROR(VLOOKUP(O1450,EMAILS!B:E,4,FALSE),"NO T FOUND IN EMAILS")</f>
        <v/>
      </c>
    </row>
    <row r="1451" spans="2:18" x14ac:dyDescent="0.25">
      <c r="B1451" s="5" t="s">
        <v>1453</v>
      </c>
      <c r="C1451" s="5" t="s">
        <v>5593</v>
      </c>
      <c r="D1451" s="5">
        <v>0</v>
      </c>
      <c r="E1451" s="5">
        <v>0</v>
      </c>
      <c r="F1451" s="5">
        <v>0</v>
      </c>
      <c r="G1451" s="5">
        <v>0</v>
      </c>
      <c r="H1451" s="5">
        <v>0</v>
      </c>
      <c r="I1451" s="5">
        <v>0</v>
      </c>
      <c r="J1451" s="5">
        <v>0</v>
      </c>
      <c r="K1451" s="5">
        <v>0</v>
      </c>
      <c r="L1451" s="5">
        <v>0</v>
      </c>
      <c r="M1451" s="5">
        <v>0</v>
      </c>
      <c r="N1451" s="5">
        <v>0</v>
      </c>
      <c r="O1451" s="5" t="str">
        <f t="shared" ca="1" si="22"/>
        <v>Supplier 4</v>
      </c>
      <c r="P1451" s="20" t="str">
        <f ca="1">IFERROR(VLOOKUP(O1451,EMAILS!B:C,2,FALSE),"NOT FOUND IN EMAILS")</f>
        <v>supplier@gmail.com</v>
      </c>
      <c r="Q1451" t="str">
        <f ca="1">""&amp;IFERROR(VLOOKUP(O1451,EMAILS!B:D,3,FALSE),"NOT FOUND IN EMAILS")</f>
        <v>supplier_logistics@gmail.com</v>
      </c>
      <c r="R1451" t="str">
        <f ca="1">""&amp;IFERROR(VLOOKUP(O1451,EMAILS!B:E,4,FALSE),"NO T FOUND IN EMAILS")</f>
        <v/>
      </c>
    </row>
    <row r="1452" spans="2:18" x14ac:dyDescent="0.25">
      <c r="B1452" s="5" t="s">
        <v>1454</v>
      </c>
      <c r="C1452" s="5" t="s">
        <v>5594</v>
      </c>
      <c r="D1452" s="5">
        <v>0</v>
      </c>
      <c r="E1452" s="5">
        <v>0</v>
      </c>
      <c r="F1452" s="5">
        <v>0</v>
      </c>
      <c r="G1452" s="5">
        <v>0</v>
      </c>
      <c r="H1452" s="5">
        <v>0</v>
      </c>
      <c r="I1452" s="5">
        <v>0</v>
      </c>
      <c r="J1452" s="5">
        <v>0</v>
      </c>
      <c r="K1452" s="5">
        <v>0</v>
      </c>
      <c r="L1452" s="5">
        <v>0</v>
      </c>
      <c r="M1452" s="5">
        <v>0</v>
      </c>
      <c r="N1452" s="5">
        <v>4</v>
      </c>
      <c r="O1452" s="5" t="str">
        <f t="shared" ca="1" si="22"/>
        <v>Supplier 83</v>
      </c>
      <c r="P1452" s="20" t="str">
        <f ca="1">IFERROR(VLOOKUP(O1452,EMAILS!B:C,2,FALSE),"NOT FOUND IN EMAILS")</f>
        <v>supplier@gmail.com</v>
      </c>
      <c r="Q1452" t="str">
        <f ca="1">""&amp;IFERROR(VLOOKUP(O1452,EMAILS!B:D,3,FALSE),"NOT FOUND IN EMAILS")</f>
        <v/>
      </c>
      <c r="R1452" t="str">
        <f ca="1">""&amp;IFERROR(VLOOKUP(O1452,EMAILS!B:E,4,FALSE),"NO T FOUND IN EMAILS")</f>
        <v/>
      </c>
    </row>
    <row r="1453" spans="2:18" x14ac:dyDescent="0.25">
      <c r="B1453" s="5" t="s">
        <v>1455</v>
      </c>
      <c r="C1453" s="5" t="s">
        <v>5595</v>
      </c>
      <c r="D1453" s="5">
        <v>0</v>
      </c>
      <c r="E1453" s="5">
        <v>0</v>
      </c>
      <c r="F1453" s="5">
        <v>0</v>
      </c>
      <c r="G1453" s="5">
        <v>0</v>
      </c>
      <c r="H1453" s="5">
        <v>0</v>
      </c>
      <c r="I1453" s="5">
        <v>2</v>
      </c>
      <c r="J1453" s="5">
        <v>0</v>
      </c>
      <c r="K1453" s="5">
        <v>2</v>
      </c>
      <c r="L1453" s="5">
        <v>0</v>
      </c>
      <c r="M1453" s="5">
        <v>0</v>
      </c>
      <c r="N1453" s="5">
        <v>60</v>
      </c>
      <c r="O1453" s="5" t="str">
        <f t="shared" ca="1" si="22"/>
        <v>Supplier 179</v>
      </c>
      <c r="P1453" s="20" t="str">
        <f ca="1">IFERROR(VLOOKUP(O1453,EMAILS!B:C,2,FALSE),"NOT FOUND IN EMAILS")</f>
        <v>supplier@gmail.com</v>
      </c>
      <c r="Q1453" t="str">
        <f ca="1">""&amp;IFERROR(VLOOKUP(O1453,EMAILS!B:D,3,FALSE),"NOT FOUND IN EMAILS")</f>
        <v/>
      </c>
      <c r="R1453" t="str">
        <f ca="1">""&amp;IFERROR(VLOOKUP(O1453,EMAILS!B:E,4,FALSE),"NO T FOUND IN EMAILS")</f>
        <v/>
      </c>
    </row>
    <row r="1454" spans="2:18" x14ac:dyDescent="0.25">
      <c r="B1454" s="5" t="s">
        <v>1456</v>
      </c>
      <c r="C1454" s="5" t="s">
        <v>5596</v>
      </c>
      <c r="D1454" s="5">
        <v>0</v>
      </c>
      <c r="E1454" s="5">
        <v>26</v>
      </c>
      <c r="F1454" s="5">
        <v>38</v>
      </c>
      <c r="G1454" s="5">
        <v>38</v>
      </c>
      <c r="H1454" s="5">
        <v>0</v>
      </c>
      <c r="I1454" s="5">
        <v>10</v>
      </c>
      <c r="J1454" s="5">
        <v>10</v>
      </c>
      <c r="K1454" s="5">
        <v>8</v>
      </c>
      <c r="L1454" s="5">
        <v>2</v>
      </c>
      <c r="M1454" s="5">
        <v>0</v>
      </c>
      <c r="N1454" s="5">
        <v>268</v>
      </c>
      <c r="O1454" s="5" t="str">
        <f t="shared" ca="1" si="22"/>
        <v>Supplier 8</v>
      </c>
      <c r="P1454" s="20" t="str">
        <f ca="1">IFERROR(VLOOKUP(O1454,EMAILS!B:C,2,FALSE),"NOT FOUND IN EMAILS")</f>
        <v>supplier@gmail.com</v>
      </c>
      <c r="Q1454" t="str">
        <f ca="1">""&amp;IFERROR(VLOOKUP(O1454,EMAILS!B:D,3,FALSE),"NOT FOUND IN EMAILS")</f>
        <v>supplier_logistics@gmail.com</v>
      </c>
      <c r="R1454" t="str">
        <f ca="1">""&amp;IFERROR(VLOOKUP(O1454,EMAILS!B:E,4,FALSE),"NO T FOUND IN EMAILS")</f>
        <v/>
      </c>
    </row>
    <row r="1455" spans="2:18" x14ac:dyDescent="0.25">
      <c r="B1455" s="5" t="s">
        <v>1457</v>
      </c>
      <c r="C1455" s="5" t="s">
        <v>5597</v>
      </c>
      <c r="D1455" s="5">
        <v>76</v>
      </c>
      <c r="E1455" s="5">
        <v>36</v>
      </c>
      <c r="F1455" s="5">
        <v>48</v>
      </c>
      <c r="G1455" s="5">
        <v>48</v>
      </c>
      <c r="H1455" s="5">
        <v>30</v>
      </c>
      <c r="I1455" s="5">
        <v>34</v>
      </c>
      <c r="J1455" s="5">
        <v>30</v>
      </c>
      <c r="K1455" s="5">
        <v>34</v>
      </c>
      <c r="L1455" s="5">
        <v>30</v>
      </c>
      <c r="M1455" s="5">
        <v>0</v>
      </c>
      <c r="N1455" s="5">
        <v>70</v>
      </c>
      <c r="O1455" s="5" t="str">
        <f t="shared" ca="1" si="22"/>
        <v>Supplier 148</v>
      </c>
      <c r="P1455" s="20" t="str">
        <f ca="1">IFERROR(VLOOKUP(O1455,EMAILS!B:C,2,FALSE),"NOT FOUND IN EMAILS")</f>
        <v>supplier@gmail.com</v>
      </c>
      <c r="Q1455" t="str">
        <f ca="1">""&amp;IFERROR(VLOOKUP(O1455,EMAILS!B:D,3,FALSE),"NOT FOUND IN EMAILS")</f>
        <v/>
      </c>
      <c r="R1455" t="str">
        <f ca="1">""&amp;IFERROR(VLOOKUP(O1455,EMAILS!B:E,4,FALSE),"NO T FOUND IN EMAILS")</f>
        <v/>
      </c>
    </row>
    <row r="1456" spans="2:18" x14ac:dyDescent="0.25">
      <c r="B1456" s="5" t="s">
        <v>1458</v>
      </c>
      <c r="C1456" s="5" t="s">
        <v>5598</v>
      </c>
      <c r="D1456" s="5">
        <v>76</v>
      </c>
      <c r="E1456" s="5">
        <v>58</v>
      </c>
      <c r="F1456" s="5">
        <v>82</v>
      </c>
      <c r="G1456" s="5">
        <v>82</v>
      </c>
      <c r="H1456" s="5">
        <v>28</v>
      </c>
      <c r="I1456" s="5">
        <v>42</v>
      </c>
      <c r="J1456" s="5">
        <v>38</v>
      </c>
      <c r="K1456" s="5">
        <v>40</v>
      </c>
      <c r="L1456" s="5">
        <v>30</v>
      </c>
      <c r="M1456" s="5">
        <v>0</v>
      </c>
      <c r="N1456" s="5">
        <v>0</v>
      </c>
      <c r="O1456" s="5" t="str">
        <f t="shared" ca="1" si="22"/>
        <v>Supplier 171</v>
      </c>
      <c r="P1456" s="20" t="str">
        <f ca="1">IFERROR(VLOOKUP(O1456,EMAILS!B:C,2,FALSE),"NOT FOUND IN EMAILS")</f>
        <v>supplier@gmail.com</v>
      </c>
      <c r="Q1456" t="str">
        <f ca="1">""&amp;IFERROR(VLOOKUP(O1456,EMAILS!B:D,3,FALSE),"NOT FOUND IN EMAILS")</f>
        <v/>
      </c>
      <c r="R1456" t="str">
        <f ca="1">""&amp;IFERROR(VLOOKUP(O1456,EMAILS!B:E,4,FALSE),"NO T FOUND IN EMAILS")</f>
        <v/>
      </c>
    </row>
    <row r="1457" spans="2:18" x14ac:dyDescent="0.25">
      <c r="B1457" s="5" t="s">
        <v>1459</v>
      </c>
      <c r="C1457" s="5" t="s">
        <v>5599</v>
      </c>
      <c r="D1457" s="5">
        <v>0</v>
      </c>
      <c r="E1457" s="5">
        <v>0</v>
      </c>
      <c r="F1457" s="5">
        <v>0</v>
      </c>
      <c r="G1457" s="5">
        <v>0</v>
      </c>
      <c r="H1457" s="5">
        <v>4</v>
      </c>
      <c r="I1457" s="5">
        <v>0</v>
      </c>
      <c r="J1457" s="5">
        <v>0</v>
      </c>
      <c r="K1457" s="5">
        <v>2</v>
      </c>
      <c r="L1457" s="5">
        <v>0</v>
      </c>
      <c r="M1457" s="5">
        <v>0</v>
      </c>
      <c r="N1457" s="5">
        <v>0</v>
      </c>
      <c r="O1457" s="5" t="str">
        <f t="shared" ca="1" si="22"/>
        <v>Supplier 172</v>
      </c>
      <c r="P1457" s="20" t="str">
        <f ca="1">IFERROR(VLOOKUP(O1457,EMAILS!B:C,2,FALSE),"NOT FOUND IN EMAILS")</f>
        <v>supplier@gmail.com</v>
      </c>
      <c r="Q1457" t="str">
        <f ca="1">""&amp;IFERROR(VLOOKUP(O1457,EMAILS!B:D,3,FALSE),"NOT FOUND IN EMAILS")</f>
        <v/>
      </c>
      <c r="R1457" t="str">
        <f ca="1">""&amp;IFERROR(VLOOKUP(O1457,EMAILS!B:E,4,FALSE),"NO T FOUND IN EMAILS")</f>
        <v/>
      </c>
    </row>
    <row r="1458" spans="2:18" x14ac:dyDescent="0.25">
      <c r="B1458" s="5" t="s">
        <v>1460</v>
      </c>
      <c r="C1458" s="5" t="s">
        <v>5600</v>
      </c>
      <c r="D1458" s="5">
        <v>0</v>
      </c>
      <c r="E1458" s="5">
        <v>0</v>
      </c>
      <c r="F1458" s="5">
        <v>0</v>
      </c>
      <c r="G1458" s="5">
        <v>0</v>
      </c>
      <c r="H1458" s="5">
        <v>4</v>
      </c>
      <c r="I1458" s="5">
        <v>0</v>
      </c>
      <c r="J1458" s="5">
        <v>0</v>
      </c>
      <c r="K1458" s="5">
        <v>2</v>
      </c>
      <c r="L1458" s="5">
        <v>0</v>
      </c>
      <c r="M1458" s="5">
        <v>0</v>
      </c>
      <c r="N1458" s="5">
        <v>19</v>
      </c>
      <c r="O1458" s="5" t="str">
        <f t="shared" ca="1" si="22"/>
        <v>Supplier 9</v>
      </c>
      <c r="P1458" s="20" t="str">
        <f ca="1">IFERROR(VLOOKUP(O1458,EMAILS!B:C,2,FALSE),"NOT FOUND IN EMAILS")</f>
        <v>supplier@gmail.com</v>
      </c>
      <c r="Q1458" t="str">
        <f ca="1">""&amp;IFERROR(VLOOKUP(O1458,EMAILS!B:D,3,FALSE),"NOT FOUND IN EMAILS")</f>
        <v>supplier_logistics@gmail.com</v>
      </c>
      <c r="R1458" t="str">
        <f ca="1">""&amp;IFERROR(VLOOKUP(O1458,EMAILS!B:E,4,FALSE),"NO T FOUND IN EMAILS")</f>
        <v/>
      </c>
    </row>
    <row r="1459" spans="2:18" x14ac:dyDescent="0.25">
      <c r="B1459" s="5" t="s">
        <v>1461</v>
      </c>
      <c r="C1459" s="5" t="s">
        <v>5601</v>
      </c>
      <c r="D1459" s="5">
        <v>0</v>
      </c>
      <c r="E1459" s="5">
        <v>1</v>
      </c>
      <c r="F1459" s="5">
        <v>1</v>
      </c>
      <c r="G1459" s="5">
        <v>1</v>
      </c>
      <c r="H1459" s="5">
        <v>5</v>
      </c>
      <c r="I1459" s="5">
        <v>3</v>
      </c>
      <c r="J1459" s="5">
        <v>0</v>
      </c>
      <c r="K1459" s="5">
        <v>4</v>
      </c>
      <c r="L1459" s="5">
        <v>1</v>
      </c>
      <c r="M1459" s="5">
        <v>0</v>
      </c>
      <c r="N1459" s="5">
        <v>19</v>
      </c>
      <c r="O1459" s="5" t="str">
        <f t="shared" ca="1" si="22"/>
        <v>Supplier 30</v>
      </c>
      <c r="P1459" s="20" t="str">
        <f ca="1">IFERROR(VLOOKUP(O1459,EMAILS!B:C,2,FALSE),"NOT FOUND IN EMAILS")</f>
        <v>supplier@gmail.com</v>
      </c>
      <c r="Q1459" t="str">
        <f ca="1">""&amp;IFERROR(VLOOKUP(O1459,EMAILS!B:D,3,FALSE),"NOT FOUND IN EMAILS")</f>
        <v/>
      </c>
      <c r="R1459" t="str">
        <f ca="1">""&amp;IFERROR(VLOOKUP(O1459,EMAILS!B:E,4,FALSE),"NO T FOUND IN EMAILS")</f>
        <v/>
      </c>
    </row>
    <row r="1460" spans="2:18" x14ac:dyDescent="0.25">
      <c r="B1460" s="5" t="s">
        <v>1462</v>
      </c>
      <c r="C1460" s="5" t="s">
        <v>5602</v>
      </c>
      <c r="D1460" s="5">
        <v>0</v>
      </c>
      <c r="E1460" s="5">
        <v>1</v>
      </c>
      <c r="F1460" s="5">
        <v>1</v>
      </c>
      <c r="G1460" s="5">
        <v>1</v>
      </c>
      <c r="H1460" s="5">
        <v>5</v>
      </c>
      <c r="I1460" s="5">
        <v>3</v>
      </c>
      <c r="J1460" s="5">
        <v>0</v>
      </c>
      <c r="K1460" s="5">
        <v>4</v>
      </c>
      <c r="L1460" s="5">
        <v>1</v>
      </c>
      <c r="M1460" s="5">
        <v>0</v>
      </c>
      <c r="N1460" s="5">
        <v>11</v>
      </c>
      <c r="O1460" s="5" t="str">
        <f t="shared" ca="1" si="22"/>
        <v>Supplier 159</v>
      </c>
      <c r="P1460" s="20" t="str">
        <f ca="1">IFERROR(VLOOKUP(O1460,EMAILS!B:C,2,FALSE),"NOT FOUND IN EMAILS")</f>
        <v>supplier@gmail.com</v>
      </c>
      <c r="Q1460" t="str">
        <f ca="1">""&amp;IFERROR(VLOOKUP(O1460,EMAILS!B:D,3,FALSE),"NOT FOUND IN EMAILS")</f>
        <v/>
      </c>
      <c r="R1460" t="str">
        <f ca="1">""&amp;IFERROR(VLOOKUP(O1460,EMAILS!B:E,4,FALSE),"NO T FOUND IN EMAILS")</f>
        <v/>
      </c>
    </row>
    <row r="1461" spans="2:18" x14ac:dyDescent="0.25">
      <c r="B1461" s="5" t="s">
        <v>1463</v>
      </c>
      <c r="C1461" s="5" t="s">
        <v>5603</v>
      </c>
      <c r="D1461" s="5">
        <v>0</v>
      </c>
      <c r="E1461" s="5">
        <v>1</v>
      </c>
      <c r="F1461" s="5">
        <v>1</v>
      </c>
      <c r="G1461" s="5">
        <v>1</v>
      </c>
      <c r="H1461" s="5">
        <v>5</v>
      </c>
      <c r="I1461" s="5">
        <v>3</v>
      </c>
      <c r="J1461" s="5">
        <v>0</v>
      </c>
      <c r="K1461" s="5">
        <v>4</v>
      </c>
      <c r="L1461" s="5">
        <v>1</v>
      </c>
      <c r="M1461" s="5">
        <v>0</v>
      </c>
      <c r="N1461" s="5">
        <v>11</v>
      </c>
      <c r="O1461" s="5" t="str">
        <f t="shared" ca="1" si="22"/>
        <v>Supplier 45</v>
      </c>
      <c r="P1461" s="20" t="str">
        <f ca="1">IFERROR(VLOOKUP(O1461,EMAILS!B:C,2,FALSE),"NOT FOUND IN EMAILS")</f>
        <v>supplier@gmail.com</v>
      </c>
      <c r="Q1461" t="str">
        <f ca="1">""&amp;IFERROR(VLOOKUP(O1461,EMAILS!B:D,3,FALSE),"NOT FOUND IN EMAILS")</f>
        <v/>
      </c>
      <c r="R1461" t="str">
        <f ca="1">""&amp;IFERROR(VLOOKUP(O1461,EMAILS!B:E,4,FALSE),"NO T FOUND IN EMAILS")</f>
        <v/>
      </c>
    </row>
    <row r="1462" spans="2:18" x14ac:dyDescent="0.25">
      <c r="B1462" s="5" t="s">
        <v>1464</v>
      </c>
      <c r="C1462" s="5" t="s">
        <v>5604</v>
      </c>
      <c r="D1462" s="5">
        <v>0</v>
      </c>
      <c r="E1462" s="5">
        <v>1</v>
      </c>
      <c r="F1462" s="5">
        <v>1</v>
      </c>
      <c r="G1462" s="5">
        <v>1</v>
      </c>
      <c r="H1462" s="5">
        <v>5</v>
      </c>
      <c r="I1462" s="5">
        <v>3</v>
      </c>
      <c r="J1462" s="5">
        <v>0</v>
      </c>
      <c r="K1462" s="5">
        <v>4</v>
      </c>
      <c r="L1462" s="5">
        <v>1</v>
      </c>
      <c r="M1462" s="5">
        <v>0</v>
      </c>
      <c r="N1462" s="5">
        <v>0</v>
      </c>
      <c r="O1462" s="5" t="str">
        <f t="shared" ca="1" si="22"/>
        <v>Supplier 124</v>
      </c>
      <c r="P1462" s="20" t="str">
        <f ca="1">IFERROR(VLOOKUP(O1462,EMAILS!B:C,2,FALSE),"NOT FOUND IN EMAILS")</f>
        <v>supplier@gmail.com</v>
      </c>
      <c r="Q1462" t="str">
        <f ca="1">""&amp;IFERROR(VLOOKUP(O1462,EMAILS!B:D,3,FALSE),"NOT FOUND IN EMAILS")</f>
        <v/>
      </c>
      <c r="R1462" t="str">
        <f ca="1">""&amp;IFERROR(VLOOKUP(O1462,EMAILS!B:E,4,FALSE),"NO T FOUND IN EMAILS")</f>
        <v/>
      </c>
    </row>
    <row r="1463" spans="2:18" x14ac:dyDescent="0.25">
      <c r="B1463" s="5" t="s">
        <v>1465</v>
      </c>
      <c r="C1463" s="5" t="s">
        <v>5605</v>
      </c>
      <c r="D1463" s="5">
        <v>0</v>
      </c>
      <c r="E1463" s="5">
        <v>2</v>
      </c>
      <c r="F1463" s="5">
        <v>2</v>
      </c>
      <c r="G1463" s="5">
        <v>2</v>
      </c>
      <c r="H1463" s="5">
        <v>0</v>
      </c>
      <c r="I1463" s="5">
        <v>1</v>
      </c>
      <c r="J1463" s="5">
        <v>0</v>
      </c>
      <c r="K1463" s="5">
        <v>1</v>
      </c>
      <c r="L1463" s="5">
        <v>0</v>
      </c>
      <c r="M1463" s="5">
        <v>0</v>
      </c>
      <c r="N1463" s="5">
        <v>1</v>
      </c>
      <c r="O1463" s="5" t="str">
        <f t="shared" ca="1" si="22"/>
        <v>Supplier 109</v>
      </c>
      <c r="P1463" s="20" t="str">
        <f ca="1">IFERROR(VLOOKUP(O1463,EMAILS!B:C,2,FALSE),"NOT FOUND IN EMAILS")</f>
        <v>supplier@gmail.com</v>
      </c>
      <c r="Q1463" t="str">
        <f ca="1">""&amp;IFERROR(VLOOKUP(O1463,EMAILS!B:D,3,FALSE),"NOT FOUND IN EMAILS")</f>
        <v/>
      </c>
      <c r="R1463" t="str">
        <f ca="1">""&amp;IFERROR(VLOOKUP(O1463,EMAILS!B:E,4,FALSE),"NO T FOUND IN EMAILS")</f>
        <v/>
      </c>
    </row>
    <row r="1464" spans="2:18" x14ac:dyDescent="0.25">
      <c r="B1464" s="5" t="s">
        <v>1466</v>
      </c>
      <c r="C1464" s="5" t="s">
        <v>5606</v>
      </c>
      <c r="D1464" s="5">
        <v>0</v>
      </c>
      <c r="E1464" s="5">
        <v>2</v>
      </c>
      <c r="F1464" s="5">
        <v>2</v>
      </c>
      <c r="G1464" s="5">
        <v>2</v>
      </c>
      <c r="H1464" s="5">
        <v>0</v>
      </c>
      <c r="I1464" s="5">
        <v>1</v>
      </c>
      <c r="J1464" s="5">
        <v>0</v>
      </c>
      <c r="K1464" s="5">
        <v>1</v>
      </c>
      <c r="L1464" s="5">
        <v>0</v>
      </c>
      <c r="M1464" s="5">
        <v>0</v>
      </c>
      <c r="N1464" s="5">
        <v>25</v>
      </c>
      <c r="O1464" s="5" t="str">
        <f t="shared" ca="1" si="22"/>
        <v>Supplier 32</v>
      </c>
      <c r="P1464" s="20" t="str">
        <f ca="1">IFERROR(VLOOKUP(O1464,EMAILS!B:C,2,FALSE),"NOT FOUND IN EMAILS")</f>
        <v>supplier@gmail.com</v>
      </c>
      <c r="Q1464" t="str">
        <f ca="1">""&amp;IFERROR(VLOOKUP(O1464,EMAILS!B:D,3,FALSE),"NOT FOUND IN EMAILS")</f>
        <v/>
      </c>
      <c r="R1464" t="str">
        <f ca="1">""&amp;IFERROR(VLOOKUP(O1464,EMAILS!B:E,4,FALSE),"NO T FOUND IN EMAILS")</f>
        <v/>
      </c>
    </row>
    <row r="1465" spans="2:18" x14ac:dyDescent="0.25">
      <c r="B1465" s="5" t="s">
        <v>1467</v>
      </c>
      <c r="C1465" s="5" t="s">
        <v>5607</v>
      </c>
      <c r="D1465" s="5">
        <v>0</v>
      </c>
      <c r="E1465" s="5">
        <v>2</v>
      </c>
      <c r="F1465" s="5">
        <v>2</v>
      </c>
      <c r="G1465" s="5">
        <v>2</v>
      </c>
      <c r="H1465" s="5">
        <v>0</v>
      </c>
      <c r="I1465" s="5">
        <v>1</v>
      </c>
      <c r="J1465" s="5">
        <v>0</v>
      </c>
      <c r="K1465" s="5">
        <v>1</v>
      </c>
      <c r="L1465" s="5">
        <v>0</v>
      </c>
      <c r="M1465" s="5">
        <v>0</v>
      </c>
      <c r="N1465" s="5">
        <v>25</v>
      </c>
      <c r="O1465" s="5" t="str">
        <f t="shared" ca="1" si="22"/>
        <v>Supplier 170</v>
      </c>
      <c r="P1465" s="20" t="str">
        <f ca="1">IFERROR(VLOOKUP(O1465,EMAILS!B:C,2,FALSE),"NOT FOUND IN EMAILS")</f>
        <v>supplier@gmail.com</v>
      </c>
      <c r="Q1465" t="str">
        <f ca="1">""&amp;IFERROR(VLOOKUP(O1465,EMAILS!B:D,3,FALSE),"NOT FOUND IN EMAILS")</f>
        <v/>
      </c>
      <c r="R1465" t="str">
        <f ca="1">""&amp;IFERROR(VLOOKUP(O1465,EMAILS!B:E,4,FALSE),"NO T FOUND IN EMAILS")</f>
        <v/>
      </c>
    </row>
    <row r="1466" spans="2:18" x14ac:dyDescent="0.25">
      <c r="B1466" s="5" t="s">
        <v>1468</v>
      </c>
      <c r="C1466" s="5" t="s">
        <v>5608</v>
      </c>
      <c r="D1466" s="5">
        <v>0</v>
      </c>
      <c r="E1466" s="5">
        <v>2</v>
      </c>
      <c r="F1466" s="5">
        <v>2</v>
      </c>
      <c r="G1466" s="5">
        <v>2</v>
      </c>
      <c r="H1466" s="5">
        <v>0</v>
      </c>
      <c r="I1466" s="5">
        <v>1</v>
      </c>
      <c r="J1466" s="5">
        <v>0</v>
      </c>
      <c r="K1466" s="5">
        <v>1</v>
      </c>
      <c r="L1466" s="5">
        <v>0</v>
      </c>
      <c r="M1466" s="5">
        <v>0</v>
      </c>
      <c r="N1466" s="5">
        <v>0</v>
      </c>
      <c r="O1466" s="5" t="str">
        <f t="shared" ca="1" si="22"/>
        <v>Supplier 144</v>
      </c>
      <c r="P1466" s="20" t="str">
        <f ca="1">IFERROR(VLOOKUP(O1466,EMAILS!B:C,2,FALSE),"NOT FOUND IN EMAILS")</f>
        <v>supplier@gmail.com</v>
      </c>
      <c r="Q1466" t="str">
        <f ca="1">""&amp;IFERROR(VLOOKUP(O1466,EMAILS!B:D,3,FALSE),"NOT FOUND IN EMAILS")</f>
        <v/>
      </c>
      <c r="R1466" t="str">
        <f ca="1">""&amp;IFERROR(VLOOKUP(O1466,EMAILS!B:E,4,FALSE),"NO T FOUND IN EMAILS")</f>
        <v/>
      </c>
    </row>
    <row r="1467" spans="2:18" x14ac:dyDescent="0.25">
      <c r="B1467" s="5" t="s">
        <v>1469</v>
      </c>
      <c r="C1467" s="5" t="s">
        <v>5609</v>
      </c>
      <c r="D1467" s="5">
        <v>0</v>
      </c>
      <c r="E1467" s="5">
        <v>0</v>
      </c>
      <c r="F1467" s="5">
        <v>0</v>
      </c>
      <c r="G1467" s="5">
        <v>0</v>
      </c>
      <c r="H1467" s="5">
        <v>0</v>
      </c>
      <c r="I1467" s="5">
        <v>0</v>
      </c>
      <c r="J1467" s="5">
        <v>0</v>
      </c>
      <c r="K1467" s="5">
        <v>0</v>
      </c>
      <c r="L1467" s="5">
        <v>0</v>
      </c>
      <c r="M1467" s="5">
        <v>0</v>
      </c>
      <c r="N1467" s="5">
        <v>0</v>
      </c>
      <c r="O1467" s="5" t="str">
        <f t="shared" ca="1" si="22"/>
        <v>Supplier 121</v>
      </c>
      <c r="P1467" s="20" t="str">
        <f ca="1">IFERROR(VLOOKUP(O1467,EMAILS!B:C,2,FALSE),"NOT FOUND IN EMAILS")</f>
        <v>supplier@gmail.com</v>
      </c>
      <c r="Q1467" t="str">
        <f ca="1">""&amp;IFERROR(VLOOKUP(O1467,EMAILS!B:D,3,FALSE),"NOT FOUND IN EMAILS")</f>
        <v/>
      </c>
      <c r="R1467" t="str">
        <f ca="1">""&amp;IFERROR(VLOOKUP(O1467,EMAILS!B:E,4,FALSE),"NO T FOUND IN EMAILS")</f>
        <v/>
      </c>
    </row>
    <row r="1468" spans="2:18" x14ac:dyDescent="0.25">
      <c r="B1468" s="5" t="s">
        <v>1470</v>
      </c>
      <c r="C1468" s="5" t="s">
        <v>5610</v>
      </c>
      <c r="D1468" s="5">
        <v>0</v>
      </c>
      <c r="E1468" s="5">
        <v>2</v>
      </c>
      <c r="F1468" s="5">
        <v>2</v>
      </c>
      <c r="G1468" s="5">
        <v>2</v>
      </c>
      <c r="H1468" s="5">
        <v>0</v>
      </c>
      <c r="I1468" s="5">
        <v>1</v>
      </c>
      <c r="J1468" s="5">
        <v>0</v>
      </c>
      <c r="K1468" s="5">
        <v>1</v>
      </c>
      <c r="L1468" s="5">
        <v>0</v>
      </c>
      <c r="M1468" s="5">
        <v>0</v>
      </c>
      <c r="N1468" s="5">
        <v>0</v>
      </c>
      <c r="O1468" s="5" t="str">
        <f t="shared" ca="1" si="22"/>
        <v>Supplier 162</v>
      </c>
      <c r="P1468" s="20" t="str">
        <f ca="1">IFERROR(VLOOKUP(O1468,EMAILS!B:C,2,FALSE),"NOT FOUND IN EMAILS")</f>
        <v>supplier@gmail.com</v>
      </c>
      <c r="Q1468" t="str">
        <f ca="1">""&amp;IFERROR(VLOOKUP(O1468,EMAILS!B:D,3,FALSE),"NOT FOUND IN EMAILS")</f>
        <v/>
      </c>
      <c r="R1468" t="str">
        <f ca="1">""&amp;IFERROR(VLOOKUP(O1468,EMAILS!B:E,4,FALSE),"NO T FOUND IN EMAILS")</f>
        <v/>
      </c>
    </row>
    <row r="1469" spans="2:18" x14ac:dyDescent="0.25">
      <c r="B1469" s="5" t="s">
        <v>1471</v>
      </c>
      <c r="C1469" s="5" t="s">
        <v>5611</v>
      </c>
      <c r="D1469" s="5">
        <v>0</v>
      </c>
      <c r="E1469" s="5">
        <v>2</v>
      </c>
      <c r="F1469" s="5">
        <v>2</v>
      </c>
      <c r="G1469" s="5">
        <v>2</v>
      </c>
      <c r="H1469" s="5">
        <v>0</v>
      </c>
      <c r="I1469" s="5">
        <v>1</v>
      </c>
      <c r="J1469" s="5">
        <v>0</v>
      </c>
      <c r="K1469" s="5">
        <v>1</v>
      </c>
      <c r="L1469" s="5">
        <v>0</v>
      </c>
      <c r="M1469" s="5">
        <v>0</v>
      </c>
      <c r="N1469" s="5">
        <v>0</v>
      </c>
      <c r="O1469" s="5" t="str">
        <f t="shared" ca="1" si="22"/>
        <v>Supplier 155</v>
      </c>
      <c r="P1469" s="20" t="str">
        <f ca="1">IFERROR(VLOOKUP(O1469,EMAILS!B:C,2,FALSE),"NOT FOUND IN EMAILS")</f>
        <v>supplier@gmail.com</v>
      </c>
      <c r="Q1469" t="str">
        <f ca="1">""&amp;IFERROR(VLOOKUP(O1469,EMAILS!B:D,3,FALSE),"NOT FOUND IN EMAILS")</f>
        <v/>
      </c>
      <c r="R1469" t="str">
        <f ca="1">""&amp;IFERROR(VLOOKUP(O1469,EMAILS!B:E,4,FALSE),"NO T FOUND IN EMAILS")</f>
        <v/>
      </c>
    </row>
    <row r="1470" spans="2:18" x14ac:dyDescent="0.25">
      <c r="B1470" s="5" t="s">
        <v>1472</v>
      </c>
      <c r="C1470" s="5" t="s">
        <v>5612</v>
      </c>
      <c r="D1470" s="5">
        <v>0</v>
      </c>
      <c r="E1470" s="5">
        <v>2</v>
      </c>
      <c r="F1470" s="5">
        <v>2</v>
      </c>
      <c r="G1470" s="5">
        <v>2</v>
      </c>
      <c r="H1470" s="5">
        <v>0</v>
      </c>
      <c r="I1470" s="5">
        <v>1</v>
      </c>
      <c r="J1470" s="5">
        <v>0</v>
      </c>
      <c r="K1470" s="5">
        <v>1</v>
      </c>
      <c r="L1470" s="5">
        <v>0</v>
      </c>
      <c r="M1470" s="5">
        <v>0</v>
      </c>
      <c r="N1470" s="5">
        <v>0</v>
      </c>
      <c r="O1470" s="5" t="str">
        <f t="shared" ca="1" si="22"/>
        <v>Supplier 46</v>
      </c>
      <c r="P1470" s="20" t="str">
        <f ca="1">IFERROR(VLOOKUP(O1470,EMAILS!B:C,2,FALSE),"NOT FOUND IN EMAILS")</f>
        <v>supplier@gmail.com</v>
      </c>
      <c r="Q1470" t="str">
        <f ca="1">""&amp;IFERROR(VLOOKUP(O1470,EMAILS!B:D,3,FALSE),"NOT FOUND IN EMAILS")</f>
        <v/>
      </c>
      <c r="R1470" t="str">
        <f ca="1">""&amp;IFERROR(VLOOKUP(O1470,EMAILS!B:E,4,FALSE),"NO T FOUND IN EMAILS")</f>
        <v/>
      </c>
    </row>
    <row r="1471" spans="2:18" x14ac:dyDescent="0.25">
      <c r="B1471" s="5" t="s">
        <v>1473</v>
      </c>
      <c r="C1471" s="5" t="s">
        <v>5613</v>
      </c>
      <c r="D1471" s="5">
        <v>0</v>
      </c>
      <c r="E1471" s="5">
        <v>2</v>
      </c>
      <c r="F1471" s="5">
        <v>2</v>
      </c>
      <c r="G1471" s="5">
        <v>2</v>
      </c>
      <c r="H1471" s="5">
        <v>0</v>
      </c>
      <c r="I1471" s="5">
        <v>1</v>
      </c>
      <c r="J1471" s="5">
        <v>0</v>
      </c>
      <c r="K1471" s="5">
        <v>1</v>
      </c>
      <c r="L1471" s="5">
        <v>0</v>
      </c>
      <c r="M1471" s="5">
        <v>0</v>
      </c>
      <c r="N1471" s="5">
        <v>0</v>
      </c>
      <c r="O1471" s="5" t="str">
        <f t="shared" ca="1" si="22"/>
        <v>Supplier 106</v>
      </c>
      <c r="P1471" s="20" t="str">
        <f ca="1">IFERROR(VLOOKUP(O1471,EMAILS!B:C,2,FALSE),"NOT FOUND IN EMAILS")</f>
        <v>supplier@gmail.com</v>
      </c>
      <c r="Q1471" t="str">
        <f ca="1">""&amp;IFERROR(VLOOKUP(O1471,EMAILS!B:D,3,FALSE),"NOT FOUND IN EMAILS")</f>
        <v/>
      </c>
      <c r="R1471" t="str">
        <f ca="1">""&amp;IFERROR(VLOOKUP(O1471,EMAILS!B:E,4,FALSE),"NO T FOUND IN EMAILS")</f>
        <v/>
      </c>
    </row>
    <row r="1472" spans="2:18" x14ac:dyDescent="0.25">
      <c r="B1472" s="5" t="s">
        <v>1474</v>
      </c>
      <c r="C1472" s="5" t="s">
        <v>5614</v>
      </c>
      <c r="D1472" s="5">
        <v>0</v>
      </c>
      <c r="E1472" s="5">
        <v>1</v>
      </c>
      <c r="F1472" s="5">
        <v>1</v>
      </c>
      <c r="G1472" s="5">
        <v>1</v>
      </c>
      <c r="H1472" s="5">
        <v>0</v>
      </c>
      <c r="I1472" s="5">
        <v>0</v>
      </c>
      <c r="J1472" s="5">
        <v>0</v>
      </c>
      <c r="K1472" s="5">
        <v>0</v>
      </c>
      <c r="L1472" s="5">
        <v>0</v>
      </c>
      <c r="M1472" s="5">
        <v>0</v>
      </c>
      <c r="N1472" s="5">
        <v>0</v>
      </c>
      <c r="O1472" s="5" t="str">
        <f t="shared" ca="1" si="22"/>
        <v>Supplier 49</v>
      </c>
      <c r="P1472" s="20" t="str">
        <f ca="1">IFERROR(VLOOKUP(O1472,EMAILS!B:C,2,FALSE),"NOT FOUND IN EMAILS")</f>
        <v>supplier@gmail.com</v>
      </c>
      <c r="Q1472" t="str">
        <f ca="1">""&amp;IFERROR(VLOOKUP(O1472,EMAILS!B:D,3,FALSE),"NOT FOUND IN EMAILS")</f>
        <v/>
      </c>
      <c r="R1472" t="str">
        <f ca="1">""&amp;IFERROR(VLOOKUP(O1472,EMAILS!B:E,4,FALSE),"NO T FOUND IN EMAILS")</f>
        <v/>
      </c>
    </row>
    <row r="1473" spans="2:18" x14ac:dyDescent="0.25">
      <c r="B1473" s="5" t="s">
        <v>1475</v>
      </c>
      <c r="C1473" s="5" t="s">
        <v>5615</v>
      </c>
      <c r="D1473" s="5">
        <v>0</v>
      </c>
      <c r="E1473" s="5">
        <v>1</v>
      </c>
      <c r="F1473" s="5">
        <v>1</v>
      </c>
      <c r="G1473" s="5">
        <v>1</v>
      </c>
      <c r="H1473" s="5">
        <v>0</v>
      </c>
      <c r="I1473" s="5">
        <v>1</v>
      </c>
      <c r="J1473" s="5">
        <v>0</v>
      </c>
      <c r="K1473" s="5">
        <v>1</v>
      </c>
      <c r="L1473" s="5">
        <v>0</v>
      </c>
      <c r="M1473" s="5">
        <v>0</v>
      </c>
      <c r="N1473" s="5">
        <v>0</v>
      </c>
      <c r="O1473" s="5" t="str">
        <f t="shared" ca="1" si="22"/>
        <v>Supplier 166</v>
      </c>
      <c r="P1473" s="20" t="str">
        <f ca="1">IFERROR(VLOOKUP(O1473,EMAILS!B:C,2,FALSE),"NOT FOUND IN EMAILS")</f>
        <v>supplier@gmail.com</v>
      </c>
      <c r="Q1473" t="str">
        <f ca="1">""&amp;IFERROR(VLOOKUP(O1473,EMAILS!B:D,3,FALSE),"NOT FOUND IN EMAILS")</f>
        <v/>
      </c>
      <c r="R1473" t="str">
        <f ca="1">""&amp;IFERROR(VLOOKUP(O1473,EMAILS!B:E,4,FALSE),"NO T FOUND IN EMAILS")</f>
        <v/>
      </c>
    </row>
    <row r="1474" spans="2:18" x14ac:dyDescent="0.25">
      <c r="B1474" s="5" t="s">
        <v>1476</v>
      </c>
      <c r="C1474" s="5" t="s">
        <v>5616</v>
      </c>
      <c r="D1474" s="5">
        <v>0</v>
      </c>
      <c r="E1474" s="5">
        <v>4</v>
      </c>
      <c r="F1474" s="5">
        <v>4</v>
      </c>
      <c r="G1474" s="5">
        <v>4</v>
      </c>
      <c r="H1474" s="5">
        <v>0</v>
      </c>
      <c r="I1474" s="5">
        <v>2</v>
      </c>
      <c r="J1474" s="5">
        <v>0</v>
      </c>
      <c r="K1474" s="5">
        <v>2</v>
      </c>
      <c r="L1474" s="5">
        <v>0</v>
      </c>
      <c r="M1474" s="5">
        <v>0</v>
      </c>
      <c r="N1474" s="5">
        <v>249</v>
      </c>
      <c r="O1474" s="5" t="str">
        <f t="shared" ca="1" si="22"/>
        <v>Supplier 99</v>
      </c>
      <c r="P1474" s="20" t="str">
        <f ca="1">IFERROR(VLOOKUP(O1474,EMAILS!B:C,2,FALSE),"NOT FOUND IN EMAILS")</f>
        <v>supplier@gmail.com</v>
      </c>
      <c r="Q1474" t="str">
        <f ca="1">""&amp;IFERROR(VLOOKUP(O1474,EMAILS!B:D,3,FALSE),"NOT FOUND IN EMAILS")</f>
        <v/>
      </c>
      <c r="R1474" t="str">
        <f ca="1">""&amp;IFERROR(VLOOKUP(O1474,EMAILS!B:E,4,FALSE),"NO T FOUND IN EMAILS")</f>
        <v/>
      </c>
    </row>
    <row r="1475" spans="2:18" x14ac:dyDescent="0.25">
      <c r="B1475" s="5" t="s">
        <v>1477</v>
      </c>
      <c r="C1475" s="5" t="s">
        <v>5617</v>
      </c>
      <c r="D1475" s="5">
        <v>0</v>
      </c>
      <c r="E1475" s="5">
        <v>0</v>
      </c>
      <c r="F1475" s="5">
        <v>0</v>
      </c>
      <c r="G1475" s="5">
        <v>0</v>
      </c>
      <c r="H1475" s="5">
        <v>0</v>
      </c>
      <c r="I1475" s="5">
        <v>0</v>
      </c>
      <c r="J1475" s="5">
        <v>0</v>
      </c>
      <c r="K1475" s="5">
        <v>0</v>
      </c>
      <c r="L1475" s="5">
        <v>0</v>
      </c>
      <c r="M1475" s="5">
        <v>0</v>
      </c>
      <c r="N1475" s="5">
        <v>160</v>
      </c>
      <c r="O1475" s="5" t="str">
        <f t="shared" ref="O1475:O1538" ca="1" si="23">"Supplier "&amp;RANDBETWEEN(1,200)</f>
        <v>Supplier 45</v>
      </c>
      <c r="P1475" s="20" t="str">
        <f ca="1">IFERROR(VLOOKUP(O1475,EMAILS!B:C,2,FALSE),"NOT FOUND IN EMAILS")</f>
        <v>supplier@gmail.com</v>
      </c>
      <c r="Q1475" t="str">
        <f ca="1">""&amp;IFERROR(VLOOKUP(O1475,EMAILS!B:D,3,FALSE),"NOT FOUND IN EMAILS")</f>
        <v/>
      </c>
      <c r="R1475" t="str">
        <f ca="1">""&amp;IFERROR(VLOOKUP(O1475,EMAILS!B:E,4,FALSE),"NO T FOUND IN EMAILS")</f>
        <v/>
      </c>
    </row>
    <row r="1476" spans="2:18" x14ac:dyDescent="0.25">
      <c r="B1476" s="5" t="s">
        <v>1478</v>
      </c>
      <c r="C1476" s="5" t="s">
        <v>5618</v>
      </c>
      <c r="D1476" s="5">
        <v>76</v>
      </c>
      <c r="E1476" s="5">
        <v>68</v>
      </c>
      <c r="F1476" s="5">
        <v>92</v>
      </c>
      <c r="G1476" s="5">
        <v>92</v>
      </c>
      <c r="H1476" s="5">
        <v>40</v>
      </c>
      <c r="I1476" s="5">
        <v>48</v>
      </c>
      <c r="J1476" s="5">
        <v>40</v>
      </c>
      <c r="K1476" s="5">
        <v>48</v>
      </c>
      <c r="L1476" s="5">
        <v>34</v>
      </c>
      <c r="M1476" s="5">
        <v>0</v>
      </c>
      <c r="N1476" s="5">
        <v>0</v>
      </c>
      <c r="O1476" s="5" t="str">
        <f t="shared" ca="1" si="23"/>
        <v>Supplier 164</v>
      </c>
      <c r="P1476" s="20" t="str">
        <f ca="1">IFERROR(VLOOKUP(O1476,EMAILS!B:C,2,FALSE),"NOT FOUND IN EMAILS")</f>
        <v>supplier@gmail.com</v>
      </c>
      <c r="Q1476" t="str">
        <f ca="1">""&amp;IFERROR(VLOOKUP(O1476,EMAILS!B:D,3,FALSE),"NOT FOUND IN EMAILS")</f>
        <v/>
      </c>
      <c r="R1476" t="str">
        <f ca="1">""&amp;IFERROR(VLOOKUP(O1476,EMAILS!B:E,4,FALSE),"NO T FOUND IN EMAILS")</f>
        <v/>
      </c>
    </row>
    <row r="1477" spans="2:18" x14ac:dyDescent="0.25">
      <c r="B1477" s="5" t="s">
        <v>1479</v>
      </c>
      <c r="C1477" s="5" t="s">
        <v>5619</v>
      </c>
      <c r="D1477" s="5">
        <v>0</v>
      </c>
      <c r="E1477" s="5">
        <v>0</v>
      </c>
      <c r="F1477" s="5">
        <v>0</v>
      </c>
      <c r="G1477" s="5">
        <v>0</v>
      </c>
      <c r="H1477" s="5">
        <v>0</v>
      </c>
      <c r="I1477" s="5">
        <v>0</v>
      </c>
      <c r="J1477" s="5">
        <v>0</v>
      </c>
      <c r="K1477" s="5">
        <v>0</v>
      </c>
      <c r="L1477" s="5">
        <v>0</v>
      </c>
      <c r="M1477" s="5">
        <v>0</v>
      </c>
      <c r="N1477" s="5">
        <v>183</v>
      </c>
      <c r="O1477" s="5" t="str">
        <f t="shared" ca="1" si="23"/>
        <v>Supplier 163</v>
      </c>
      <c r="P1477" s="20" t="str">
        <f ca="1">IFERROR(VLOOKUP(O1477,EMAILS!B:C,2,FALSE),"NOT FOUND IN EMAILS")</f>
        <v>supplier@gmail.com</v>
      </c>
      <c r="Q1477" t="str">
        <f ca="1">""&amp;IFERROR(VLOOKUP(O1477,EMAILS!B:D,3,FALSE),"NOT FOUND IN EMAILS")</f>
        <v/>
      </c>
      <c r="R1477" t="str">
        <f ca="1">""&amp;IFERROR(VLOOKUP(O1477,EMAILS!B:E,4,FALSE),"NO T FOUND IN EMAILS")</f>
        <v/>
      </c>
    </row>
    <row r="1478" spans="2:18" x14ac:dyDescent="0.25">
      <c r="B1478" s="5" t="s">
        <v>1480</v>
      </c>
      <c r="C1478" s="5" t="s">
        <v>5620</v>
      </c>
      <c r="D1478" s="5">
        <v>0</v>
      </c>
      <c r="E1478" s="5">
        <v>0</v>
      </c>
      <c r="F1478" s="5">
        <v>0</v>
      </c>
      <c r="G1478" s="5">
        <v>0</v>
      </c>
      <c r="H1478" s="5">
        <v>0</v>
      </c>
      <c r="I1478" s="5">
        <v>4</v>
      </c>
      <c r="J1478" s="5">
        <v>0</v>
      </c>
      <c r="K1478" s="5">
        <v>4</v>
      </c>
      <c r="L1478" s="5">
        <v>0</v>
      </c>
      <c r="M1478" s="5">
        <v>0</v>
      </c>
      <c r="N1478" s="5">
        <v>24</v>
      </c>
      <c r="O1478" s="5" t="str">
        <f t="shared" ca="1" si="23"/>
        <v>Supplier 191</v>
      </c>
      <c r="P1478" s="20" t="str">
        <f ca="1">IFERROR(VLOOKUP(O1478,EMAILS!B:C,2,FALSE),"NOT FOUND IN EMAILS")</f>
        <v>supplier@gmail.com</v>
      </c>
      <c r="Q1478" t="str">
        <f ca="1">""&amp;IFERROR(VLOOKUP(O1478,EMAILS!B:D,3,FALSE),"NOT FOUND IN EMAILS")</f>
        <v/>
      </c>
      <c r="R1478" t="str">
        <f ca="1">""&amp;IFERROR(VLOOKUP(O1478,EMAILS!B:E,4,FALSE),"NO T FOUND IN EMAILS")</f>
        <v/>
      </c>
    </row>
    <row r="1479" spans="2:18" x14ac:dyDescent="0.25">
      <c r="B1479" s="5" t="s">
        <v>1481</v>
      </c>
      <c r="C1479" s="5" t="s">
        <v>5621</v>
      </c>
      <c r="D1479" s="5">
        <v>0</v>
      </c>
      <c r="E1479" s="5">
        <v>0</v>
      </c>
      <c r="F1479" s="5">
        <v>0</v>
      </c>
      <c r="G1479" s="5">
        <v>0</v>
      </c>
      <c r="H1479" s="5">
        <v>0</v>
      </c>
      <c r="I1479" s="5">
        <v>0</v>
      </c>
      <c r="J1479" s="5">
        <v>0</v>
      </c>
      <c r="K1479" s="5">
        <v>0</v>
      </c>
      <c r="L1479" s="5">
        <v>0</v>
      </c>
      <c r="M1479" s="5">
        <v>0</v>
      </c>
      <c r="N1479" s="5">
        <v>56</v>
      </c>
      <c r="O1479" s="5" t="str">
        <f t="shared" ca="1" si="23"/>
        <v>Supplier 143</v>
      </c>
      <c r="P1479" s="20" t="str">
        <f ca="1">IFERROR(VLOOKUP(O1479,EMAILS!B:C,2,FALSE),"NOT FOUND IN EMAILS")</f>
        <v>supplier@gmail.com</v>
      </c>
      <c r="Q1479" t="str">
        <f ca="1">""&amp;IFERROR(VLOOKUP(O1479,EMAILS!B:D,3,FALSE),"NOT FOUND IN EMAILS")</f>
        <v/>
      </c>
      <c r="R1479" t="str">
        <f ca="1">""&amp;IFERROR(VLOOKUP(O1479,EMAILS!B:E,4,FALSE),"NO T FOUND IN EMAILS")</f>
        <v/>
      </c>
    </row>
    <row r="1480" spans="2:18" x14ac:dyDescent="0.25">
      <c r="B1480" s="5" t="s">
        <v>1482</v>
      </c>
      <c r="C1480" s="5" t="s">
        <v>5622</v>
      </c>
      <c r="D1480" s="5">
        <v>12</v>
      </c>
      <c r="E1480" s="5">
        <v>8</v>
      </c>
      <c r="F1480" s="5">
        <v>24</v>
      </c>
      <c r="G1480" s="5">
        <v>24</v>
      </c>
      <c r="H1480" s="5">
        <v>4</v>
      </c>
      <c r="I1480" s="5">
        <v>8</v>
      </c>
      <c r="J1480" s="5">
        <v>4</v>
      </c>
      <c r="K1480" s="5">
        <v>8</v>
      </c>
      <c r="L1480" s="5">
        <v>4</v>
      </c>
      <c r="M1480" s="5">
        <v>0</v>
      </c>
      <c r="N1480" s="5">
        <v>134</v>
      </c>
      <c r="O1480" s="5" t="str">
        <f t="shared" ca="1" si="23"/>
        <v>Supplier 139</v>
      </c>
      <c r="P1480" s="20" t="str">
        <f ca="1">IFERROR(VLOOKUP(O1480,EMAILS!B:C,2,FALSE),"NOT FOUND IN EMAILS")</f>
        <v>supplier@gmail.com</v>
      </c>
      <c r="Q1480" t="str">
        <f ca="1">""&amp;IFERROR(VLOOKUP(O1480,EMAILS!B:D,3,FALSE),"NOT FOUND IN EMAILS")</f>
        <v/>
      </c>
      <c r="R1480" t="str">
        <f ca="1">""&amp;IFERROR(VLOOKUP(O1480,EMAILS!B:E,4,FALSE),"NO T FOUND IN EMAILS")</f>
        <v/>
      </c>
    </row>
    <row r="1481" spans="2:18" x14ac:dyDescent="0.25">
      <c r="B1481" s="5" t="s">
        <v>1483</v>
      </c>
      <c r="C1481" s="5" t="s">
        <v>5623</v>
      </c>
      <c r="D1481" s="5">
        <v>40</v>
      </c>
      <c r="E1481" s="5">
        <v>34</v>
      </c>
      <c r="F1481" s="5">
        <v>38</v>
      </c>
      <c r="G1481" s="5">
        <v>38</v>
      </c>
      <c r="H1481" s="5">
        <v>16</v>
      </c>
      <c r="I1481" s="5">
        <v>22</v>
      </c>
      <c r="J1481" s="5">
        <v>20</v>
      </c>
      <c r="K1481" s="5">
        <v>18</v>
      </c>
      <c r="L1481" s="5">
        <v>16</v>
      </c>
      <c r="M1481" s="5">
        <v>0</v>
      </c>
      <c r="N1481" s="5">
        <v>200</v>
      </c>
      <c r="O1481" s="5" t="str">
        <f t="shared" ca="1" si="23"/>
        <v>Supplier 58</v>
      </c>
      <c r="P1481" s="20" t="str">
        <f ca="1">IFERROR(VLOOKUP(O1481,EMAILS!B:C,2,FALSE),"NOT FOUND IN EMAILS")</f>
        <v>supplier@gmail.com</v>
      </c>
      <c r="Q1481" t="str">
        <f ca="1">""&amp;IFERROR(VLOOKUP(O1481,EMAILS!B:D,3,FALSE),"NOT FOUND IN EMAILS")</f>
        <v/>
      </c>
      <c r="R1481" t="str">
        <f ca="1">""&amp;IFERROR(VLOOKUP(O1481,EMAILS!B:E,4,FALSE),"NO T FOUND IN EMAILS")</f>
        <v/>
      </c>
    </row>
    <row r="1482" spans="2:18" x14ac:dyDescent="0.25">
      <c r="B1482" s="5" t="s">
        <v>1484</v>
      </c>
      <c r="C1482" s="5" t="s">
        <v>5624</v>
      </c>
      <c r="D1482" s="5">
        <v>24</v>
      </c>
      <c r="E1482" s="5">
        <v>18</v>
      </c>
      <c r="F1482" s="5">
        <v>22</v>
      </c>
      <c r="G1482" s="5">
        <v>22</v>
      </c>
      <c r="H1482" s="5">
        <v>8</v>
      </c>
      <c r="I1482" s="5">
        <v>10</v>
      </c>
      <c r="J1482" s="5">
        <v>12</v>
      </c>
      <c r="K1482" s="5">
        <v>12</v>
      </c>
      <c r="L1482" s="5">
        <v>10</v>
      </c>
      <c r="M1482" s="5">
        <v>0</v>
      </c>
      <c r="N1482" s="5">
        <v>0</v>
      </c>
      <c r="O1482" s="5" t="str">
        <f t="shared" ca="1" si="23"/>
        <v>Supplier 118</v>
      </c>
      <c r="P1482" s="20" t="str">
        <f ca="1">IFERROR(VLOOKUP(O1482,EMAILS!B:C,2,FALSE),"NOT FOUND IN EMAILS")</f>
        <v>supplier@gmail.com</v>
      </c>
      <c r="Q1482" t="str">
        <f ca="1">""&amp;IFERROR(VLOOKUP(O1482,EMAILS!B:D,3,FALSE),"NOT FOUND IN EMAILS")</f>
        <v/>
      </c>
      <c r="R1482" t="str">
        <f ca="1">""&amp;IFERROR(VLOOKUP(O1482,EMAILS!B:E,4,FALSE),"NO T FOUND IN EMAILS")</f>
        <v/>
      </c>
    </row>
    <row r="1483" spans="2:18" x14ac:dyDescent="0.25">
      <c r="B1483" s="5" t="s">
        <v>1485</v>
      </c>
      <c r="C1483" s="5" t="s">
        <v>5625</v>
      </c>
      <c r="D1483" s="5">
        <v>0</v>
      </c>
      <c r="E1483" s="5">
        <v>6</v>
      </c>
      <c r="F1483" s="5">
        <v>6</v>
      </c>
      <c r="G1483" s="5">
        <v>6</v>
      </c>
      <c r="H1483" s="5">
        <v>2</v>
      </c>
      <c r="I1483" s="5">
        <v>2</v>
      </c>
      <c r="J1483" s="5">
        <v>4</v>
      </c>
      <c r="K1483" s="5">
        <v>2</v>
      </c>
      <c r="L1483" s="5">
        <v>2</v>
      </c>
      <c r="M1483" s="5">
        <v>0</v>
      </c>
      <c r="N1483" s="5">
        <v>0</v>
      </c>
      <c r="O1483" s="5" t="str">
        <f t="shared" ca="1" si="23"/>
        <v>Supplier 111</v>
      </c>
      <c r="P1483" s="20" t="str">
        <f ca="1">IFERROR(VLOOKUP(O1483,EMAILS!B:C,2,FALSE),"NOT FOUND IN EMAILS")</f>
        <v>supplier@gmail.com</v>
      </c>
      <c r="Q1483" t="str">
        <f ca="1">""&amp;IFERROR(VLOOKUP(O1483,EMAILS!B:D,3,FALSE),"NOT FOUND IN EMAILS")</f>
        <v/>
      </c>
      <c r="R1483" t="str">
        <f ca="1">""&amp;IFERROR(VLOOKUP(O1483,EMAILS!B:E,4,FALSE),"NO T FOUND IN EMAILS")</f>
        <v/>
      </c>
    </row>
    <row r="1484" spans="2:18" x14ac:dyDescent="0.25">
      <c r="B1484" s="5" t="s">
        <v>1486</v>
      </c>
      <c r="C1484" s="5" t="s">
        <v>5626</v>
      </c>
      <c r="D1484" s="5">
        <v>0</v>
      </c>
      <c r="E1484" s="5">
        <v>0</v>
      </c>
      <c r="F1484" s="5">
        <v>0</v>
      </c>
      <c r="G1484" s="5">
        <v>0</v>
      </c>
      <c r="H1484" s="5">
        <v>0</v>
      </c>
      <c r="I1484" s="5">
        <v>4</v>
      </c>
      <c r="J1484" s="5">
        <v>0</v>
      </c>
      <c r="K1484" s="5">
        <v>4</v>
      </c>
      <c r="L1484" s="5">
        <v>0</v>
      </c>
      <c r="M1484" s="5">
        <v>0</v>
      </c>
      <c r="N1484" s="5">
        <v>0</v>
      </c>
      <c r="O1484" s="5" t="str">
        <f t="shared" ca="1" si="23"/>
        <v>Supplier 8</v>
      </c>
      <c r="P1484" s="20" t="str">
        <f ca="1">IFERROR(VLOOKUP(O1484,EMAILS!B:C,2,FALSE),"NOT FOUND IN EMAILS")</f>
        <v>supplier@gmail.com</v>
      </c>
      <c r="Q1484" t="str">
        <f ca="1">""&amp;IFERROR(VLOOKUP(O1484,EMAILS!B:D,3,FALSE),"NOT FOUND IN EMAILS")</f>
        <v>supplier_logistics@gmail.com</v>
      </c>
      <c r="R1484" t="str">
        <f ca="1">""&amp;IFERROR(VLOOKUP(O1484,EMAILS!B:E,4,FALSE),"NO T FOUND IN EMAILS")</f>
        <v/>
      </c>
    </row>
    <row r="1485" spans="2:18" x14ac:dyDescent="0.25">
      <c r="B1485" s="5" t="s">
        <v>1487</v>
      </c>
      <c r="C1485" s="5" t="s">
        <v>5627</v>
      </c>
      <c r="D1485" s="5">
        <v>0</v>
      </c>
      <c r="E1485" s="5">
        <v>0</v>
      </c>
      <c r="F1485" s="5">
        <v>0</v>
      </c>
      <c r="G1485" s="5">
        <v>0</v>
      </c>
      <c r="H1485" s="5">
        <v>0</v>
      </c>
      <c r="I1485" s="5">
        <v>4</v>
      </c>
      <c r="J1485" s="5">
        <v>0</v>
      </c>
      <c r="K1485" s="5">
        <v>4</v>
      </c>
      <c r="L1485" s="5">
        <v>0</v>
      </c>
      <c r="M1485" s="5">
        <v>0</v>
      </c>
      <c r="N1485" s="5">
        <v>27</v>
      </c>
      <c r="O1485" s="5" t="str">
        <f t="shared" ca="1" si="23"/>
        <v>Supplier 72</v>
      </c>
      <c r="P1485" s="20" t="str">
        <f ca="1">IFERROR(VLOOKUP(O1485,EMAILS!B:C,2,FALSE),"NOT FOUND IN EMAILS")</f>
        <v>supplier@gmail.com</v>
      </c>
      <c r="Q1485" t="str">
        <f ca="1">""&amp;IFERROR(VLOOKUP(O1485,EMAILS!B:D,3,FALSE),"NOT FOUND IN EMAILS")</f>
        <v/>
      </c>
      <c r="R1485" t="str">
        <f ca="1">""&amp;IFERROR(VLOOKUP(O1485,EMAILS!B:E,4,FALSE),"NO T FOUND IN EMAILS")</f>
        <v/>
      </c>
    </row>
    <row r="1486" spans="2:18" x14ac:dyDescent="0.25">
      <c r="B1486" s="5" t="s">
        <v>1488</v>
      </c>
      <c r="C1486" s="5" t="s">
        <v>5628</v>
      </c>
      <c r="D1486" s="5">
        <v>76</v>
      </c>
      <c r="E1486" s="5">
        <v>66</v>
      </c>
      <c r="F1486" s="5">
        <v>90</v>
      </c>
      <c r="G1486" s="5">
        <v>90</v>
      </c>
      <c r="H1486" s="5">
        <v>30</v>
      </c>
      <c r="I1486" s="5">
        <v>46</v>
      </c>
      <c r="J1486" s="5">
        <v>40</v>
      </c>
      <c r="K1486" s="5">
        <v>44</v>
      </c>
      <c r="L1486" s="5">
        <v>32</v>
      </c>
      <c r="M1486" s="5">
        <v>0</v>
      </c>
      <c r="N1486" s="5">
        <v>0</v>
      </c>
      <c r="O1486" s="5" t="str">
        <f t="shared" ca="1" si="23"/>
        <v>Supplier 128</v>
      </c>
      <c r="P1486" s="20" t="str">
        <f ca="1">IFERROR(VLOOKUP(O1486,EMAILS!B:C,2,FALSE),"NOT FOUND IN EMAILS")</f>
        <v>supplier@gmail.com</v>
      </c>
      <c r="Q1486" t="str">
        <f ca="1">""&amp;IFERROR(VLOOKUP(O1486,EMAILS!B:D,3,FALSE),"NOT FOUND IN EMAILS")</f>
        <v/>
      </c>
      <c r="R1486" t="str">
        <f ca="1">""&amp;IFERROR(VLOOKUP(O1486,EMAILS!B:E,4,FALSE),"NO T FOUND IN EMAILS")</f>
        <v/>
      </c>
    </row>
    <row r="1487" spans="2:18" x14ac:dyDescent="0.25">
      <c r="B1487" s="5" t="s">
        <v>1489</v>
      </c>
      <c r="C1487" s="5" t="s">
        <v>5629</v>
      </c>
      <c r="D1487" s="5">
        <v>0</v>
      </c>
      <c r="E1487" s="5">
        <v>0</v>
      </c>
      <c r="F1487" s="5">
        <v>0</v>
      </c>
      <c r="G1487" s="5">
        <v>0</v>
      </c>
      <c r="H1487" s="5">
        <v>4</v>
      </c>
      <c r="I1487" s="5">
        <v>2</v>
      </c>
      <c r="J1487" s="5">
        <v>0</v>
      </c>
      <c r="K1487" s="5">
        <v>2</v>
      </c>
      <c r="L1487" s="5">
        <v>0</v>
      </c>
      <c r="M1487" s="5">
        <v>0</v>
      </c>
      <c r="N1487" s="5">
        <v>0</v>
      </c>
      <c r="O1487" s="5" t="str">
        <f t="shared" ca="1" si="23"/>
        <v>Supplier 77</v>
      </c>
      <c r="P1487" s="20" t="str">
        <f ca="1">IFERROR(VLOOKUP(O1487,EMAILS!B:C,2,FALSE),"NOT FOUND IN EMAILS")</f>
        <v>supplier@gmail.com</v>
      </c>
      <c r="Q1487" t="str">
        <f ca="1">""&amp;IFERROR(VLOOKUP(O1487,EMAILS!B:D,3,FALSE),"NOT FOUND IN EMAILS")</f>
        <v/>
      </c>
      <c r="R1487" t="str">
        <f ca="1">""&amp;IFERROR(VLOOKUP(O1487,EMAILS!B:E,4,FALSE),"NO T FOUND IN EMAILS")</f>
        <v/>
      </c>
    </row>
    <row r="1488" spans="2:18" x14ac:dyDescent="0.25">
      <c r="B1488" s="5" t="s">
        <v>1490</v>
      </c>
      <c r="C1488" s="5" t="s">
        <v>5630</v>
      </c>
      <c r="D1488" s="5">
        <v>0</v>
      </c>
      <c r="E1488" s="5">
        <v>2</v>
      </c>
      <c r="F1488" s="5">
        <v>2</v>
      </c>
      <c r="G1488" s="5">
        <v>2</v>
      </c>
      <c r="H1488" s="5">
        <v>4</v>
      </c>
      <c r="I1488" s="5">
        <v>2</v>
      </c>
      <c r="J1488" s="5">
        <v>0</v>
      </c>
      <c r="K1488" s="5">
        <v>4</v>
      </c>
      <c r="L1488" s="5">
        <v>2</v>
      </c>
      <c r="M1488" s="5">
        <v>0</v>
      </c>
      <c r="N1488" s="5">
        <v>0</v>
      </c>
      <c r="O1488" s="5" t="str">
        <f t="shared" ca="1" si="23"/>
        <v>Supplier 108</v>
      </c>
      <c r="P1488" s="20" t="str">
        <f ca="1">IFERROR(VLOOKUP(O1488,EMAILS!B:C,2,FALSE),"NOT FOUND IN EMAILS")</f>
        <v>supplier@gmail.com</v>
      </c>
      <c r="Q1488" t="str">
        <f ca="1">""&amp;IFERROR(VLOOKUP(O1488,EMAILS!B:D,3,FALSE),"NOT FOUND IN EMAILS")</f>
        <v/>
      </c>
      <c r="R1488" t="str">
        <f ca="1">""&amp;IFERROR(VLOOKUP(O1488,EMAILS!B:E,4,FALSE),"NO T FOUND IN EMAILS")</f>
        <v/>
      </c>
    </row>
    <row r="1489" spans="2:18" x14ac:dyDescent="0.25">
      <c r="B1489" s="5" t="s">
        <v>1491</v>
      </c>
      <c r="C1489" s="5" t="s">
        <v>5631</v>
      </c>
      <c r="D1489" s="5">
        <v>0</v>
      </c>
      <c r="E1489" s="5">
        <v>0</v>
      </c>
      <c r="F1489" s="5">
        <v>0</v>
      </c>
      <c r="G1489" s="5">
        <v>0</v>
      </c>
      <c r="H1489" s="5">
        <v>2</v>
      </c>
      <c r="I1489" s="5">
        <v>2</v>
      </c>
      <c r="J1489" s="5">
        <v>0</v>
      </c>
      <c r="K1489" s="5">
        <v>2</v>
      </c>
      <c r="L1489" s="5">
        <v>0</v>
      </c>
      <c r="M1489" s="5">
        <v>0</v>
      </c>
      <c r="N1489" s="5">
        <v>0</v>
      </c>
      <c r="O1489" s="5" t="str">
        <f t="shared" ca="1" si="23"/>
        <v>Supplier 119</v>
      </c>
      <c r="P1489" s="20" t="str">
        <f ca="1">IFERROR(VLOOKUP(O1489,EMAILS!B:C,2,FALSE),"NOT FOUND IN EMAILS")</f>
        <v>supplier@gmail.com</v>
      </c>
      <c r="Q1489" t="str">
        <f ca="1">""&amp;IFERROR(VLOOKUP(O1489,EMAILS!B:D,3,FALSE),"NOT FOUND IN EMAILS")</f>
        <v/>
      </c>
      <c r="R1489" t="str">
        <f ca="1">""&amp;IFERROR(VLOOKUP(O1489,EMAILS!B:E,4,FALSE),"NO T FOUND IN EMAILS")</f>
        <v/>
      </c>
    </row>
    <row r="1490" spans="2:18" x14ac:dyDescent="0.25">
      <c r="B1490" s="5" t="s">
        <v>1492</v>
      </c>
      <c r="C1490" s="5" t="s">
        <v>5632</v>
      </c>
      <c r="D1490" s="5">
        <v>0</v>
      </c>
      <c r="E1490" s="5">
        <v>2</v>
      </c>
      <c r="F1490" s="5">
        <v>2</v>
      </c>
      <c r="G1490" s="5">
        <v>2</v>
      </c>
      <c r="H1490" s="5">
        <v>10</v>
      </c>
      <c r="I1490" s="5">
        <v>6</v>
      </c>
      <c r="J1490" s="5">
        <v>0</v>
      </c>
      <c r="K1490" s="5">
        <v>8</v>
      </c>
      <c r="L1490" s="5">
        <v>2</v>
      </c>
      <c r="M1490" s="5">
        <v>0</v>
      </c>
      <c r="N1490" s="5">
        <v>341</v>
      </c>
      <c r="O1490" s="5" t="str">
        <f t="shared" ca="1" si="23"/>
        <v>Supplier 62</v>
      </c>
      <c r="P1490" s="20" t="str">
        <f ca="1">IFERROR(VLOOKUP(O1490,EMAILS!B:C,2,FALSE),"NOT FOUND IN EMAILS")</f>
        <v>supplier@gmail.com</v>
      </c>
      <c r="Q1490" t="str">
        <f ca="1">""&amp;IFERROR(VLOOKUP(O1490,EMAILS!B:D,3,FALSE),"NOT FOUND IN EMAILS")</f>
        <v/>
      </c>
      <c r="R1490" t="str">
        <f ca="1">""&amp;IFERROR(VLOOKUP(O1490,EMAILS!B:E,4,FALSE),"NO T FOUND IN EMAILS")</f>
        <v/>
      </c>
    </row>
    <row r="1491" spans="2:18" x14ac:dyDescent="0.25">
      <c r="B1491" s="5" t="s">
        <v>1493</v>
      </c>
      <c r="C1491" s="5" t="s">
        <v>5633</v>
      </c>
      <c r="D1491" s="5">
        <v>76</v>
      </c>
      <c r="E1491" s="5">
        <v>62</v>
      </c>
      <c r="F1491" s="5">
        <v>86</v>
      </c>
      <c r="G1491" s="5">
        <v>86</v>
      </c>
      <c r="H1491" s="5">
        <v>30</v>
      </c>
      <c r="I1491" s="5">
        <v>44</v>
      </c>
      <c r="J1491" s="5">
        <v>40</v>
      </c>
      <c r="K1491" s="5">
        <v>42</v>
      </c>
      <c r="L1491" s="5">
        <v>32</v>
      </c>
      <c r="M1491" s="5">
        <v>0</v>
      </c>
      <c r="N1491" s="5">
        <v>740</v>
      </c>
      <c r="O1491" s="5" t="str">
        <f t="shared" ca="1" si="23"/>
        <v>Supplier 89</v>
      </c>
      <c r="P1491" s="20" t="str">
        <f ca="1">IFERROR(VLOOKUP(O1491,EMAILS!B:C,2,FALSE),"NOT FOUND IN EMAILS")</f>
        <v>supplier@gmail.com</v>
      </c>
      <c r="Q1491" t="str">
        <f ca="1">""&amp;IFERROR(VLOOKUP(O1491,EMAILS!B:D,3,FALSE),"NOT FOUND IN EMAILS")</f>
        <v/>
      </c>
      <c r="R1491" t="str">
        <f ca="1">""&amp;IFERROR(VLOOKUP(O1491,EMAILS!B:E,4,FALSE),"NO T FOUND IN EMAILS")</f>
        <v/>
      </c>
    </row>
    <row r="1492" spans="2:18" x14ac:dyDescent="0.25">
      <c r="B1492" s="5" t="s">
        <v>1494</v>
      </c>
      <c r="C1492" s="5" t="s">
        <v>5634</v>
      </c>
      <c r="D1492" s="5">
        <v>76</v>
      </c>
      <c r="E1492" s="5">
        <v>68</v>
      </c>
      <c r="F1492" s="5">
        <v>92</v>
      </c>
      <c r="G1492" s="5">
        <v>92</v>
      </c>
      <c r="H1492" s="5">
        <v>40</v>
      </c>
      <c r="I1492" s="5">
        <v>52</v>
      </c>
      <c r="J1492" s="5">
        <v>40</v>
      </c>
      <c r="K1492" s="5">
        <v>52</v>
      </c>
      <c r="L1492" s="5">
        <v>34</v>
      </c>
      <c r="M1492" s="5">
        <v>0</v>
      </c>
      <c r="N1492" s="5">
        <v>88</v>
      </c>
      <c r="O1492" s="5" t="str">
        <f t="shared" ca="1" si="23"/>
        <v>Supplier 79</v>
      </c>
      <c r="P1492" s="20" t="str">
        <f ca="1">IFERROR(VLOOKUP(O1492,EMAILS!B:C,2,FALSE),"NOT FOUND IN EMAILS")</f>
        <v>supplier@gmail.com</v>
      </c>
      <c r="Q1492" t="str">
        <f ca="1">""&amp;IFERROR(VLOOKUP(O1492,EMAILS!B:D,3,FALSE),"NOT FOUND IN EMAILS")</f>
        <v/>
      </c>
      <c r="R1492" t="str">
        <f ca="1">""&amp;IFERROR(VLOOKUP(O1492,EMAILS!B:E,4,FALSE),"NO T FOUND IN EMAILS")</f>
        <v/>
      </c>
    </row>
    <row r="1493" spans="2:18" x14ac:dyDescent="0.25">
      <c r="B1493" s="5" t="s">
        <v>1495</v>
      </c>
      <c r="C1493" s="5" t="s">
        <v>5635</v>
      </c>
      <c r="D1493" s="5">
        <v>76</v>
      </c>
      <c r="E1493" s="5">
        <v>62</v>
      </c>
      <c r="F1493" s="5">
        <v>86</v>
      </c>
      <c r="G1493" s="5">
        <v>86</v>
      </c>
      <c r="H1493" s="5">
        <v>30</v>
      </c>
      <c r="I1493" s="5">
        <v>44</v>
      </c>
      <c r="J1493" s="5">
        <v>40</v>
      </c>
      <c r="K1493" s="5">
        <v>42</v>
      </c>
      <c r="L1493" s="5">
        <v>32</v>
      </c>
      <c r="M1493" s="5">
        <v>0</v>
      </c>
      <c r="N1493" s="5">
        <v>217</v>
      </c>
      <c r="O1493" s="5" t="str">
        <f t="shared" ca="1" si="23"/>
        <v>Supplier 14</v>
      </c>
      <c r="P1493" s="20" t="str">
        <f ca="1">IFERROR(VLOOKUP(O1493,EMAILS!B:C,2,FALSE),"NOT FOUND IN EMAILS")</f>
        <v>supplier@gmail.com</v>
      </c>
      <c r="Q1493" t="str">
        <f ca="1">""&amp;IFERROR(VLOOKUP(O1493,EMAILS!B:D,3,FALSE),"NOT FOUND IN EMAILS")</f>
        <v>supplier_logistics@gmail.com</v>
      </c>
      <c r="R1493" t="str">
        <f ca="1">""&amp;IFERROR(VLOOKUP(O1493,EMAILS!B:E,4,FALSE),"NO T FOUND IN EMAILS")</f>
        <v/>
      </c>
    </row>
    <row r="1494" spans="2:18" x14ac:dyDescent="0.25">
      <c r="B1494" s="5" t="s">
        <v>1496</v>
      </c>
      <c r="C1494" s="5" t="s">
        <v>5636</v>
      </c>
      <c r="D1494" s="5">
        <v>76</v>
      </c>
      <c r="E1494" s="5">
        <v>62</v>
      </c>
      <c r="F1494" s="5">
        <v>86</v>
      </c>
      <c r="G1494" s="5">
        <v>86</v>
      </c>
      <c r="H1494" s="5">
        <v>30</v>
      </c>
      <c r="I1494" s="5">
        <v>44</v>
      </c>
      <c r="J1494" s="5">
        <v>40</v>
      </c>
      <c r="K1494" s="5">
        <v>42</v>
      </c>
      <c r="L1494" s="5">
        <v>32</v>
      </c>
      <c r="M1494" s="5">
        <v>0</v>
      </c>
      <c r="N1494" s="5">
        <v>168</v>
      </c>
      <c r="O1494" s="5" t="str">
        <f t="shared" ca="1" si="23"/>
        <v>Supplier 167</v>
      </c>
      <c r="P1494" s="20" t="str">
        <f ca="1">IFERROR(VLOOKUP(O1494,EMAILS!B:C,2,FALSE),"NOT FOUND IN EMAILS")</f>
        <v>supplier@gmail.com</v>
      </c>
      <c r="Q1494" t="str">
        <f ca="1">""&amp;IFERROR(VLOOKUP(O1494,EMAILS!B:D,3,FALSE),"NOT FOUND IN EMAILS")</f>
        <v/>
      </c>
      <c r="R1494" t="str">
        <f ca="1">""&amp;IFERROR(VLOOKUP(O1494,EMAILS!B:E,4,FALSE),"NO T FOUND IN EMAILS")</f>
        <v/>
      </c>
    </row>
    <row r="1495" spans="2:18" x14ac:dyDescent="0.25">
      <c r="B1495" s="5" t="s">
        <v>1497</v>
      </c>
      <c r="C1495" s="5" t="s">
        <v>5637</v>
      </c>
      <c r="D1495" s="5">
        <v>76</v>
      </c>
      <c r="E1495" s="5">
        <v>62</v>
      </c>
      <c r="F1495" s="5">
        <v>86</v>
      </c>
      <c r="G1495" s="5">
        <v>86</v>
      </c>
      <c r="H1495" s="5">
        <v>30</v>
      </c>
      <c r="I1495" s="5">
        <v>44</v>
      </c>
      <c r="J1495" s="5">
        <v>40</v>
      </c>
      <c r="K1495" s="5">
        <v>42</v>
      </c>
      <c r="L1495" s="5">
        <v>32</v>
      </c>
      <c r="M1495" s="5">
        <v>0</v>
      </c>
      <c r="N1495" s="5">
        <v>301</v>
      </c>
      <c r="O1495" s="5" t="str">
        <f t="shared" ca="1" si="23"/>
        <v>Supplier 176</v>
      </c>
      <c r="P1495" s="20" t="str">
        <f ca="1">IFERROR(VLOOKUP(O1495,EMAILS!B:C,2,FALSE),"NOT FOUND IN EMAILS")</f>
        <v>supplier@gmail.com</v>
      </c>
      <c r="Q1495" t="str">
        <f ca="1">""&amp;IFERROR(VLOOKUP(O1495,EMAILS!B:D,3,FALSE),"NOT FOUND IN EMAILS")</f>
        <v/>
      </c>
      <c r="R1495" t="str">
        <f ca="1">""&amp;IFERROR(VLOOKUP(O1495,EMAILS!B:E,4,FALSE),"NO T FOUND IN EMAILS")</f>
        <v/>
      </c>
    </row>
    <row r="1496" spans="2:18" x14ac:dyDescent="0.25">
      <c r="B1496" s="5" t="s">
        <v>1498</v>
      </c>
      <c r="C1496" s="5" t="s">
        <v>5638</v>
      </c>
      <c r="D1496" s="5">
        <v>76</v>
      </c>
      <c r="E1496" s="5">
        <v>62</v>
      </c>
      <c r="F1496" s="5">
        <v>86</v>
      </c>
      <c r="G1496" s="5">
        <v>86</v>
      </c>
      <c r="H1496" s="5">
        <v>30</v>
      </c>
      <c r="I1496" s="5">
        <v>44</v>
      </c>
      <c r="J1496" s="5">
        <v>40</v>
      </c>
      <c r="K1496" s="5">
        <v>42</v>
      </c>
      <c r="L1496" s="5">
        <v>32</v>
      </c>
      <c r="M1496" s="5">
        <v>0</v>
      </c>
      <c r="N1496" s="5">
        <v>30</v>
      </c>
      <c r="O1496" s="5" t="str">
        <f t="shared" ca="1" si="23"/>
        <v>Supplier 99</v>
      </c>
      <c r="P1496" s="20" t="str">
        <f ca="1">IFERROR(VLOOKUP(O1496,EMAILS!B:C,2,FALSE),"NOT FOUND IN EMAILS")</f>
        <v>supplier@gmail.com</v>
      </c>
      <c r="Q1496" t="str">
        <f ca="1">""&amp;IFERROR(VLOOKUP(O1496,EMAILS!B:D,3,FALSE),"NOT FOUND IN EMAILS")</f>
        <v/>
      </c>
      <c r="R1496" t="str">
        <f ca="1">""&amp;IFERROR(VLOOKUP(O1496,EMAILS!B:E,4,FALSE),"NO T FOUND IN EMAILS")</f>
        <v/>
      </c>
    </row>
    <row r="1497" spans="2:18" x14ac:dyDescent="0.25">
      <c r="B1497" s="5" t="s">
        <v>1499</v>
      </c>
      <c r="C1497" s="5" t="s">
        <v>5639</v>
      </c>
      <c r="D1497" s="5">
        <v>0</v>
      </c>
      <c r="E1497" s="5">
        <v>2</v>
      </c>
      <c r="F1497" s="5">
        <v>2</v>
      </c>
      <c r="G1497" s="5">
        <v>2</v>
      </c>
      <c r="H1497" s="5">
        <v>10</v>
      </c>
      <c r="I1497" s="5">
        <v>6</v>
      </c>
      <c r="J1497" s="5">
        <v>0</v>
      </c>
      <c r="K1497" s="5">
        <v>8</v>
      </c>
      <c r="L1497" s="5">
        <v>2</v>
      </c>
      <c r="M1497" s="5">
        <v>0</v>
      </c>
      <c r="N1497" s="5">
        <v>0</v>
      </c>
      <c r="O1497" s="5" t="str">
        <f t="shared" ca="1" si="23"/>
        <v>Supplier 76</v>
      </c>
      <c r="P1497" s="20" t="str">
        <f ca="1">IFERROR(VLOOKUP(O1497,EMAILS!B:C,2,FALSE),"NOT FOUND IN EMAILS")</f>
        <v>supplier@gmail.com</v>
      </c>
      <c r="Q1497" t="str">
        <f ca="1">""&amp;IFERROR(VLOOKUP(O1497,EMAILS!B:D,3,FALSE),"NOT FOUND IN EMAILS")</f>
        <v/>
      </c>
      <c r="R1497" t="str">
        <f ca="1">""&amp;IFERROR(VLOOKUP(O1497,EMAILS!B:E,4,FALSE),"NO T FOUND IN EMAILS")</f>
        <v/>
      </c>
    </row>
    <row r="1498" spans="2:18" x14ac:dyDescent="0.25">
      <c r="B1498" s="5" t="s">
        <v>1500</v>
      </c>
      <c r="C1498" s="5" t="s">
        <v>5640</v>
      </c>
      <c r="D1498" s="5">
        <v>0</v>
      </c>
      <c r="E1498" s="5">
        <v>2</v>
      </c>
      <c r="F1498" s="5">
        <v>2</v>
      </c>
      <c r="G1498" s="5">
        <v>2</v>
      </c>
      <c r="H1498" s="5">
        <v>10</v>
      </c>
      <c r="I1498" s="5">
        <v>6</v>
      </c>
      <c r="J1498" s="5">
        <v>0</v>
      </c>
      <c r="K1498" s="5">
        <v>8</v>
      </c>
      <c r="L1498" s="5">
        <v>2</v>
      </c>
      <c r="M1498" s="5">
        <v>0</v>
      </c>
      <c r="N1498" s="5">
        <v>0</v>
      </c>
      <c r="O1498" s="5" t="str">
        <f t="shared" ca="1" si="23"/>
        <v>Supplier 65</v>
      </c>
      <c r="P1498" s="20" t="str">
        <f ca="1">IFERROR(VLOOKUP(O1498,EMAILS!B:C,2,FALSE),"NOT FOUND IN EMAILS")</f>
        <v>supplier@gmail.com</v>
      </c>
      <c r="Q1498" t="str">
        <f ca="1">""&amp;IFERROR(VLOOKUP(O1498,EMAILS!B:D,3,FALSE),"NOT FOUND IN EMAILS")</f>
        <v/>
      </c>
      <c r="R1498" t="str">
        <f ca="1">""&amp;IFERROR(VLOOKUP(O1498,EMAILS!B:E,4,FALSE),"NO T FOUND IN EMAILS")</f>
        <v/>
      </c>
    </row>
    <row r="1499" spans="2:18" x14ac:dyDescent="0.25">
      <c r="B1499" s="5" t="s">
        <v>1501</v>
      </c>
      <c r="C1499" s="5" t="s">
        <v>5641</v>
      </c>
      <c r="D1499" s="5">
        <v>0</v>
      </c>
      <c r="E1499" s="5">
        <v>2</v>
      </c>
      <c r="F1499" s="5">
        <v>2</v>
      </c>
      <c r="G1499" s="5">
        <v>2</v>
      </c>
      <c r="H1499" s="5">
        <v>10</v>
      </c>
      <c r="I1499" s="5">
        <v>6</v>
      </c>
      <c r="J1499" s="5">
        <v>0</v>
      </c>
      <c r="K1499" s="5">
        <v>8</v>
      </c>
      <c r="L1499" s="5">
        <v>2</v>
      </c>
      <c r="M1499" s="5">
        <v>0</v>
      </c>
      <c r="N1499" s="5">
        <v>0</v>
      </c>
      <c r="O1499" s="5" t="str">
        <f t="shared" ca="1" si="23"/>
        <v>Supplier 37</v>
      </c>
      <c r="P1499" s="20" t="str">
        <f ca="1">IFERROR(VLOOKUP(O1499,EMAILS!B:C,2,FALSE),"NOT FOUND IN EMAILS")</f>
        <v>supplier@gmail.com</v>
      </c>
      <c r="Q1499" t="str">
        <f ca="1">""&amp;IFERROR(VLOOKUP(O1499,EMAILS!B:D,3,FALSE),"NOT FOUND IN EMAILS")</f>
        <v/>
      </c>
      <c r="R1499" t="str">
        <f ca="1">""&amp;IFERROR(VLOOKUP(O1499,EMAILS!B:E,4,FALSE),"NO T FOUND IN EMAILS")</f>
        <v/>
      </c>
    </row>
    <row r="1500" spans="2:18" x14ac:dyDescent="0.25">
      <c r="B1500" s="5" t="s">
        <v>1502</v>
      </c>
      <c r="C1500" s="5" t="s">
        <v>5642</v>
      </c>
      <c r="D1500" s="5">
        <v>0</v>
      </c>
      <c r="E1500" s="5">
        <v>2</v>
      </c>
      <c r="F1500" s="5">
        <v>2</v>
      </c>
      <c r="G1500" s="5">
        <v>2</v>
      </c>
      <c r="H1500" s="5">
        <v>10</v>
      </c>
      <c r="I1500" s="5">
        <v>6</v>
      </c>
      <c r="J1500" s="5">
        <v>0</v>
      </c>
      <c r="K1500" s="5">
        <v>8</v>
      </c>
      <c r="L1500" s="5">
        <v>2</v>
      </c>
      <c r="M1500" s="5">
        <v>0</v>
      </c>
      <c r="N1500" s="5">
        <v>0</v>
      </c>
      <c r="O1500" s="5" t="str">
        <f t="shared" ca="1" si="23"/>
        <v>Supplier 15</v>
      </c>
      <c r="P1500" s="20" t="str">
        <f ca="1">IFERROR(VLOOKUP(O1500,EMAILS!B:C,2,FALSE),"NOT FOUND IN EMAILS")</f>
        <v>supplier@gmail.com</v>
      </c>
      <c r="Q1500" t="str">
        <f ca="1">""&amp;IFERROR(VLOOKUP(O1500,EMAILS!B:D,3,FALSE),"NOT FOUND IN EMAILS")</f>
        <v>supplier_logistics@gmail.com</v>
      </c>
      <c r="R1500" t="str">
        <f ca="1">""&amp;IFERROR(VLOOKUP(O1500,EMAILS!B:E,4,FALSE),"NO T FOUND IN EMAILS")</f>
        <v/>
      </c>
    </row>
    <row r="1501" spans="2:18" x14ac:dyDescent="0.25">
      <c r="B1501" s="5" t="s">
        <v>1503</v>
      </c>
      <c r="C1501" s="5" t="s">
        <v>5643</v>
      </c>
      <c r="D1501" s="5">
        <v>0</v>
      </c>
      <c r="E1501" s="5">
        <v>2</v>
      </c>
      <c r="F1501" s="5">
        <v>2</v>
      </c>
      <c r="G1501" s="5">
        <v>2</v>
      </c>
      <c r="H1501" s="5">
        <v>10</v>
      </c>
      <c r="I1501" s="5">
        <v>6</v>
      </c>
      <c r="J1501" s="5">
        <v>0</v>
      </c>
      <c r="K1501" s="5">
        <v>8</v>
      </c>
      <c r="L1501" s="5">
        <v>2</v>
      </c>
      <c r="M1501" s="5">
        <v>0</v>
      </c>
      <c r="N1501" s="5">
        <v>0</v>
      </c>
      <c r="O1501" s="5" t="str">
        <f t="shared" ca="1" si="23"/>
        <v>Supplier 73</v>
      </c>
      <c r="P1501" s="20" t="str">
        <f ca="1">IFERROR(VLOOKUP(O1501,EMAILS!B:C,2,FALSE),"NOT FOUND IN EMAILS")</f>
        <v>supplier@gmail.com</v>
      </c>
      <c r="Q1501" t="str">
        <f ca="1">""&amp;IFERROR(VLOOKUP(O1501,EMAILS!B:D,3,FALSE),"NOT FOUND IN EMAILS")</f>
        <v/>
      </c>
      <c r="R1501" t="str">
        <f ca="1">""&amp;IFERROR(VLOOKUP(O1501,EMAILS!B:E,4,FALSE),"NO T FOUND IN EMAILS")</f>
        <v/>
      </c>
    </row>
    <row r="1502" spans="2:18" x14ac:dyDescent="0.25">
      <c r="B1502" s="5" t="s">
        <v>1504</v>
      </c>
      <c r="C1502" s="5" t="s">
        <v>5644</v>
      </c>
      <c r="D1502" s="5">
        <v>0</v>
      </c>
      <c r="E1502" s="5">
        <v>2</v>
      </c>
      <c r="F1502" s="5">
        <v>2</v>
      </c>
      <c r="G1502" s="5">
        <v>2</v>
      </c>
      <c r="H1502" s="5">
        <v>10</v>
      </c>
      <c r="I1502" s="5">
        <v>6</v>
      </c>
      <c r="J1502" s="5">
        <v>0</v>
      </c>
      <c r="K1502" s="5">
        <v>8</v>
      </c>
      <c r="L1502" s="5">
        <v>2</v>
      </c>
      <c r="M1502" s="5">
        <v>0</v>
      </c>
      <c r="N1502" s="5">
        <v>0</v>
      </c>
      <c r="O1502" s="5" t="str">
        <f t="shared" ca="1" si="23"/>
        <v>Supplier 186</v>
      </c>
      <c r="P1502" s="20" t="str">
        <f ca="1">IFERROR(VLOOKUP(O1502,EMAILS!B:C,2,FALSE),"NOT FOUND IN EMAILS")</f>
        <v>supplier@gmail.com</v>
      </c>
      <c r="Q1502" t="str">
        <f ca="1">""&amp;IFERROR(VLOOKUP(O1502,EMAILS!B:D,3,FALSE),"NOT FOUND IN EMAILS")</f>
        <v/>
      </c>
      <c r="R1502" t="str">
        <f ca="1">""&amp;IFERROR(VLOOKUP(O1502,EMAILS!B:E,4,FALSE),"NO T FOUND IN EMAILS")</f>
        <v/>
      </c>
    </row>
    <row r="1503" spans="2:18" x14ac:dyDescent="0.25">
      <c r="B1503" s="5" t="s">
        <v>1505</v>
      </c>
      <c r="C1503" s="5" t="s">
        <v>5645</v>
      </c>
      <c r="D1503" s="5">
        <v>0</v>
      </c>
      <c r="E1503" s="5">
        <v>2</v>
      </c>
      <c r="F1503" s="5">
        <v>2</v>
      </c>
      <c r="G1503" s="5">
        <v>2</v>
      </c>
      <c r="H1503" s="5">
        <v>10</v>
      </c>
      <c r="I1503" s="5">
        <v>6</v>
      </c>
      <c r="J1503" s="5">
        <v>0</v>
      </c>
      <c r="K1503" s="5">
        <v>8</v>
      </c>
      <c r="L1503" s="5">
        <v>2</v>
      </c>
      <c r="M1503" s="5">
        <v>0</v>
      </c>
      <c r="N1503" s="5">
        <v>78</v>
      </c>
      <c r="O1503" s="5" t="str">
        <f t="shared" ca="1" si="23"/>
        <v>Supplier 86</v>
      </c>
      <c r="P1503" s="20" t="str">
        <f ca="1">IFERROR(VLOOKUP(O1503,EMAILS!B:C,2,FALSE),"NOT FOUND IN EMAILS")</f>
        <v>supplier@gmail.com</v>
      </c>
      <c r="Q1503" t="str">
        <f ca="1">""&amp;IFERROR(VLOOKUP(O1503,EMAILS!B:D,3,FALSE),"NOT FOUND IN EMAILS")</f>
        <v/>
      </c>
      <c r="R1503" t="str">
        <f ca="1">""&amp;IFERROR(VLOOKUP(O1503,EMAILS!B:E,4,FALSE),"NO T FOUND IN EMAILS")</f>
        <v/>
      </c>
    </row>
    <row r="1504" spans="2:18" x14ac:dyDescent="0.25">
      <c r="B1504" s="5" t="s">
        <v>1506</v>
      </c>
      <c r="C1504" s="5" t="s">
        <v>5646</v>
      </c>
      <c r="D1504" s="5">
        <v>0</v>
      </c>
      <c r="E1504" s="5">
        <v>4</v>
      </c>
      <c r="F1504" s="5">
        <v>4</v>
      </c>
      <c r="G1504" s="5">
        <v>4</v>
      </c>
      <c r="H1504" s="5">
        <v>0</v>
      </c>
      <c r="I1504" s="5">
        <v>2</v>
      </c>
      <c r="J1504" s="5">
        <v>0</v>
      </c>
      <c r="K1504" s="5">
        <v>2</v>
      </c>
      <c r="L1504" s="5">
        <v>0</v>
      </c>
      <c r="M1504" s="5">
        <v>0</v>
      </c>
      <c r="N1504" s="5">
        <v>60</v>
      </c>
      <c r="O1504" s="5" t="str">
        <f t="shared" ca="1" si="23"/>
        <v>Supplier 35</v>
      </c>
      <c r="P1504" s="20" t="str">
        <f ca="1">IFERROR(VLOOKUP(O1504,EMAILS!B:C,2,FALSE),"NOT FOUND IN EMAILS")</f>
        <v>supplier@gmail.com</v>
      </c>
      <c r="Q1504" t="str">
        <f ca="1">""&amp;IFERROR(VLOOKUP(O1504,EMAILS!B:D,3,FALSE),"NOT FOUND IN EMAILS")</f>
        <v/>
      </c>
      <c r="R1504" t="str">
        <f ca="1">""&amp;IFERROR(VLOOKUP(O1504,EMAILS!B:E,4,FALSE),"NO T FOUND IN EMAILS")</f>
        <v/>
      </c>
    </row>
    <row r="1505" spans="2:18" x14ac:dyDescent="0.25">
      <c r="B1505" s="5" t="s">
        <v>1507</v>
      </c>
      <c r="C1505" s="5" t="s">
        <v>5647</v>
      </c>
      <c r="D1505" s="5">
        <v>0</v>
      </c>
      <c r="E1505" s="5">
        <v>4</v>
      </c>
      <c r="F1505" s="5">
        <v>4</v>
      </c>
      <c r="G1505" s="5">
        <v>4</v>
      </c>
      <c r="H1505" s="5">
        <v>0</v>
      </c>
      <c r="I1505" s="5">
        <v>2</v>
      </c>
      <c r="J1505" s="5">
        <v>0</v>
      </c>
      <c r="K1505" s="5">
        <v>2</v>
      </c>
      <c r="L1505" s="5">
        <v>0</v>
      </c>
      <c r="M1505" s="5">
        <v>0</v>
      </c>
      <c r="N1505" s="5">
        <v>45</v>
      </c>
      <c r="O1505" s="5" t="str">
        <f t="shared" ca="1" si="23"/>
        <v>Supplier 94</v>
      </c>
      <c r="P1505" s="20" t="str">
        <f ca="1">IFERROR(VLOOKUP(O1505,EMAILS!B:C,2,FALSE),"NOT FOUND IN EMAILS")</f>
        <v>supplier@gmail.com</v>
      </c>
      <c r="Q1505" t="str">
        <f ca="1">""&amp;IFERROR(VLOOKUP(O1505,EMAILS!B:D,3,FALSE),"NOT FOUND IN EMAILS")</f>
        <v/>
      </c>
      <c r="R1505" t="str">
        <f ca="1">""&amp;IFERROR(VLOOKUP(O1505,EMAILS!B:E,4,FALSE),"NO T FOUND IN EMAILS")</f>
        <v/>
      </c>
    </row>
    <row r="1506" spans="2:18" x14ac:dyDescent="0.25">
      <c r="B1506" s="5" t="s">
        <v>1508</v>
      </c>
      <c r="C1506" s="5" t="s">
        <v>5648</v>
      </c>
      <c r="D1506" s="5">
        <v>0</v>
      </c>
      <c r="E1506" s="5">
        <v>2</v>
      </c>
      <c r="F1506" s="5">
        <v>2</v>
      </c>
      <c r="G1506" s="5">
        <v>2</v>
      </c>
      <c r="H1506" s="5">
        <v>0</v>
      </c>
      <c r="I1506" s="5">
        <v>1</v>
      </c>
      <c r="J1506" s="5">
        <v>0</v>
      </c>
      <c r="K1506" s="5">
        <v>1</v>
      </c>
      <c r="L1506" s="5">
        <v>0</v>
      </c>
      <c r="M1506" s="5">
        <v>0</v>
      </c>
      <c r="N1506" s="5">
        <v>45</v>
      </c>
      <c r="O1506" s="5" t="str">
        <f t="shared" ca="1" si="23"/>
        <v>Supplier 101</v>
      </c>
      <c r="P1506" s="20" t="str">
        <f ca="1">IFERROR(VLOOKUP(O1506,EMAILS!B:C,2,FALSE),"NOT FOUND IN EMAILS")</f>
        <v>supplier@gmail.com</v>
      </c>
      <c r="Q1506" t="str">
        <f ca="1">""&amp;IFERROR(VLOOKUP(O1506,EMAILS!B:D,3,FALSE),"NOT FOUND IN EMAILS")</f>
        <v/>
      </c>
      <c r="R1506" t="str">
        <f ca="1">""&amp;IFERROR(VLOOKUP(O1506,EMAILS!B:E,4,FALSE),"NO T FOUND IN EMAILS")</f>
        <v/>
      </c>
    </row>
    <row r="1507" spans="2:18" x14ac:dyDescent="0.25">
      <c r="B1507" s="5" t="s">
        <v>1509</v>
      </c>
      <c r="C1507" s="5" t="s">
        <v>5649</v>
      </c>
      <c r="D1507" s="5">
        <v>0</v>
      </c>
      <c r="E1507" s="5">
        <v>2</v>
      </c>
      <c r="F1507" s="5">
        <v>2</v>
      </c>
      <c r="G1507" s="5">
        <v>2</v>
      </c>
      <c r="H1507" s="5">
        <v>0</v>
      </c>
      <c r="I1507" s="5">
        <v>1</v>
      </c>
      <c r="J1507" s="5">
        <v>0</v>
      </c>
      <c r="K1507" s="5">
        <v>1</v>
      </c>
      <c r="L1507" s="5">
        <v>0</v>
      </c>
      <c r="M1507" s="5">
        <v>0</v>
      </c>
      <c r="N1507" s="5">
        <v>495</v>
      </c>
      <c r="O1507" s="5" t="str">
        <f t="shared" ca="1" si="23"/>
        <v>Supplier 200</v>
      </c>
      <c r="P1507" s="20" t="str">
        <f ca="1">IFERROR(VLOOKUP(O1507,EMAILS!B:C,2,FALSE),"NOT FOUND IN EMAILS")</f>
        <v>supplier@gmail.com</v>
      </c>
      <c r="Q1507" t="str">
        <f ca="1">""&amp;IFERROR(VLOOKUP(O1507,EMAILS!B:D,3,FALSE),"NOT FOUND IN EMAILS")</f>
        <v/>
      </c>
      <c r="R1507" t="str">
        <f ca="1">""&amp;IFERROR(VLOOKUP(O1507,EMAILS!B:E,4,FALSE),"NO T FOUND IN EMAILS")</f>
        <v/>
      </c>
    </row>
    <row r="1508" spans="2:18" x14ac:dyDescent="0.25">
      <c r="B1508" s="5" t="s">
        <v>1510</v>
      </c>
      <c r="C1508" s="5" t="s">
        <v>5650</v>
      </c>
      <c r="D1508" s="5">
        <v>76</v>
      </c>
      <c r="E1508" s="5">
        <v>62</v>
      </c>
      <c r="F1508" s="5">
        <v>86</v>
      </c>
      <c r="G1508" s="5">
        <v>86</v>
      </c>
      <c r="H1508" s="5">
        <v>38</v>
      </c>
      <c r="I1508" s="5">
        <v>46</v>
      </c>
      <c r="J1508" s="5">
        <v>36</v>
      </c>
      <c r="K1508" s="5">
        <v>46</v>
      </c>
      <c r="L1508" s="5">
        <v>32</v>
      </c>
      <c r="M1508" s="5">
        <v>0</v>
      </c>
      <c r="N1508" s="5">
        <v>0</v>
      </c>
      <c r="O1508" s="5" t="str">
        <f t="shared" ca="1" si="23"/>
        <v>Supplier 25</v>
      </c>
      <c r="P1508" s="20" t="str">
        <f ca="1">IFERROR(VLOOKUP(O1508,EMAILS!B:C,2,FALSE),"NOT FOUND IN EMAILS")</f>
        <v>supplier@gmail.com</v>
      </c>
      <c r="Q1508" t="str">
        <f ca="1">""&amp;IFERROR(VLOOKUP(O1508,EMAILS!B:D,3,FALSE),"NOT FOUND IN EMAILS")</f>
        <v/>
      </c>
      <c r="R1508" t="str">
        <f ca="1">""&amp;IFERROR(VLOOKUP(O1508,EMAILS!B:E,4,FALSE),"NO T FOUND IN EMAILS")</f>
        <v/>
      </c>
    </row>
    <row r="1509" spans="2:18" x14ac:dyDescent="0.25">
      <c r="B1509" s="5" t="s">
        <v>1511</v>
      </c>
      <c r="C1509" s="5" t="s">
        <v>5651</v>
      </c>
      <c r="D1509" s="5">
        <v>0</v>
      </c>
      <c r="E1509" s="5">
        <v>0</v>
      </c>
      <c r="F1509" s="5">
        <v>0</v>
      </c>
      <c r="G1509" s="5">
        <v>0</v>
      </c>
      <c r="H1509" s="5">
        <v>0</v>
      </c>
      <c r="I1509" s="5">
        <v>0</v>
      </c>
      <c r="J1509" s="5">
        <v>0</v>
      </c>
      <c r="K1509" s="5">
        <v>0</v>
      </c>
      <c r="L1509" s="5">
        <v>0</v>
      </c>
      <c r="M1509" s="5">
        <v>0</v>
      </c>
      <c r="N1509" s="5">
        <v>152</v>
      </c>
      <c r="O1509" s="5" t="str">
        <f t="shared" ca="1" si="23"/>
        <v>Supplier 148</v>
      </c>
      <c r="P1509" s="20" t="str">
        <f ca="1">IFERROR(VLOOKUP(O1509,EMAILS!B:C,2,FALSE),"NOT FOUND IN EMAILS")</f>
        <v>supplier@gmail.com</v>
      </c>
      <c r="Q1509" t="str">
        <f ca="1">""&amp;IFERROR(VLOOKUP(O1509,EMAILS!B:D,3,FALSE),"NOT FOUND IN EMAILS")</f>
        <v/>
      </c>
      <c r="R1509" t="str">
        <f ca="1">""&amp;IFERROR(VLOOKUP(O1509,EMAILS!B:E,4,FALSE),"NO T FOUND IN EMAILS")</f>
        <v/>
      </c>
    </row>
    <row r="1510" spans="2:18" x14ac:dyDescent="0.25">
      <c r="B1510" s="5" t="s">
        <v>1512</v>
      </c>
      <c r="C1510" s="5" t="s">
        <v>5652</v>
      </c>
      <c r="D1510" s="5">
        <v>0</v>
      </c>
      <c r="E1510" s="5">
        <v>6</v>
      </c>
      <c r="F1510" s="5">
        <v>6</v>
      </c>
      <c r="G1510" s="5">
        <v>6</v>
      </c>
      <c r="H1510" s="5">
        <v>2</v>
      </c>
      <c r="I1510" s="5">
        <v>6</v>
      </c>
      <c r="J1510" s="5">
        <v>4</v>
      </c>
      <c r="K1510" s="5">
        <v>6</v>
      </c>
      <c r="L1510" s="5">
        <v>2</v>
      </c>
      <c r="M1510" s="5">
        <v>0</v>
      </c>
      <c r="N1510" s="5">
        <v>1026</v>
      </c>
      <c r="O1510" s="5" t="str">
        <f t="shared" ca="1" si="23"/>
        <v>Supplier 148</v>
      </c>
      <c r="P1510" s="20" t="str">
        <f ca="1">IFERROR(VLOOKUP(O1510,EMAILS!B:C,2,FALSE),"NOT FOUND IN EMAILS")</f>
        <v>supplier@gmail.com</v>
      </c>
      <c r="Q1510" t="str">
        <f ca="1">""&amp;IFERROR(VLOOKUP(O1510,EMAILS!B:D,3,FALSE),"NOT FOUND IN EMAILS")</f>
        <v/>
      </c>
      <c r="R1510" t="str">
        <f ca="1">""&amp;IFERROR(VLOOKUP(O1510,EMAILS!B:E,4,FALSE),"NO T FOUND IN EMAILS")</f>
        <v/>
      </c>
    </row>
    <row r="1511" spans="2:18" x14ac:dyDescent="0.25">
      <c r="B1511" s="5" t="s">
        <v>1513</v>
      </c>
      <c r="C1511" s="5" t="s">
        <v>5653</v>
      </c>
      <c r="D1511" s="5">
        <v>76</v>
      </c>
      <c r="E1511" s="5">
        <v>68</v>
      </c>
      <c r="F1511" s="5">
        <v>92</v>
      </c>
      <c r="G1511" s="5">
        <v>92</v>
      </c>
      <c r="H1511" s="5">
        <v>40</v>
      </c>
      <c r="I1511" s="5">
        <v>52</v>
      </c>
      <c r="J1511" s="5">
        <v>40</v>
      </c>
      <c r="K1511" s="5">
        <v>52</v>
      </c>
      <c r="L1511" s="5">
        <v>34</v>
      </c>
      <c r="M1511" s="5">
        <v>0</v>
      </c>
      <c r="N1511" s="5">
        <v>504</v>
      </c>
      <c r="O1511" s="5" t="str">
        <f t="shared" ca="1" si="23"/>
        <v>Supplier 90</v>
      </c>
      <c r="P1511" s="20" t="str">
        <f ca="1">IFERROR(VLOOKUP(O1511,EMAILS!B:C,2,FALSE),"NOT FOUND IN EMAILS")</f>
        <v>supplier@gmail.com</v>
      </c>
      <c r="Q1511" t="str">
        <f ca="1">""&amp;IFERROR(VLOOKUP(O1511,EMAILS!B:D,3,FALSE),"NOT FOUND IN EMAILS")</f>
        <v/>
      </c>
      <c r="R1511" t="str">
        <f ca="1">""&amp;IFERROR(VLOOKUP(O1511,EMAILS!B:E,4,FALSE),"NO T FOUND IN EMAILS")</f>
        <v/>
      </c>
    </row>
    <row r="1512" spans="2:18" x14ac:dyDescent="0.25">
      <c r="B1512" s="5" t="s">
        <v>1514</v>
      </c>
      <c r="C1512" s="5" t="s">
        <v>5654</v>
      </c>
      <c r="D1512" s="5">
        <v>0</v>
      </c>
      <c r="E1512" s="5">
        <v>0</v>
      </c>
      <c r="F1512" s="5">
        <v>0</v>
      </c>
      <c r="G1512" s="5">
        <v>0</v>
      </c>
      <c r="H1512" s="5">
        <v>0</v>
      </c>
      <c r="I1512" s="5">
        <v>0</v>
      </c>
      <c r="J1512" s="5">
        <v>0</v>
      </c>
      <c r="K1512" s="5">
        <v>0</v>
      </c>
      <c r="L1512" s="5">
        <v>0</v>
      </c>
      <c r="M1512" s="5">
        <v>0</v>
      </c>
      <c r="N1512" s="5">
        <v>728</v>
      </c>
      <c r="O1512" s="5" t="str">
        <f t="shared" ca="1" si="23"/>
        <v>Supplier 99</v>
      </c>
      <c r="P1512" s="20" t="str">
        <f ca="1">IFERROR(VLOOKUP(O1512,EMAILS!B:C,2,FALSE),"NOT FOUND IN EMAILS")</f>
        <v>supplier@gmail.com</v>
      </c>
      <c r="Q1512" t="str">
        <f ca="1">""&amp;IFERROR(VLOOKUP(O1512,EMAILS!B:D,3,FALSE),"NOT FOUND IN EMAILS")</f>
        <v/>
      </c>
      <c r="R1512" t="str">
        <f ca="1">""&amp;IFERROR(VLOOKUP(O1512,EMAILS!B:E,4,FALSE),"NO T FOUND IN EMAILS")</f>
        <v/>
      </c>
    </row>
    <row r="1513" spans="2:18" x14ac:dyDescent="0.25">
      <c r="B1513" s="5" t="s">
        <v>1515</v>
      </c>
      <c r="C1513" s="5" t="s">
        <v>5655</v>
      </c>
      <c r="D1513" s="5">
        <v>76</v>
      </c>
      <c r="E1513" s="5">
        <v>68</v>
      </c>
      <c r="F1513" s="5">
        <v>92</v>
      </c>
      <c r="G1513" s="5">
        <v>92</v>
      </c>
      <c r="H1513" s="5">
        <v>40</v>
      </c>
      <c r="I1513" s="5">
        <v>48</v>
      </c>
      <c r="J1513" s="5">
        <v>40</v>
      </c>
      <c r="K1513" s="5">
        <v>48</v>
      </c>
      <c r="L1513" s="5">
        <v>34</v>
      </c>
      <c r="M1513" s="5">
        <v>0</v>
      </c>
      <c r="N1513" s="5">
        <v>0</v>
      </c>
      <c r="O1513" s="5" t="str">
        <f t="shared" ca="1" si="23"/>
        <v>Supplier 14</v>
      </c>
      <c r="P1513" s="20" t="str">
        <f ca="1">IFERROR(VLOOKUP(O1513,EMAILS!B:C,2,FALSE),"NOT FOUND IN EMAILS")</f>
        <v>supplier@gmail.com</v>
      </c>
      <c r="Q1513" t="str">
        <f ca="1">""&amp;IFERROR(VLOOKUP(O1513,EMAILS!B:D,3,FALSE),"NOT FOUND IN EMAILS")</f>
        <v>supplier_logistics@gmail.com</v>
      </c>
      <c r="R1513" t="str">
        <f ca="1">""&amp;IFERROR(VLOOKUP(O1513,EMAILS!B:E,4,FALSE),"NO T FOUND IN EMAILS")</f>
        <v/>
      </c>
    </row>
    <row r="1514" spans="2:18" x14ac:dyDescent="0.25">
      <c r="B1514" s="5" t="s">
        <v>1516</v>
      </c>
      <c r="C1514" s="5" t="s">
        <v>5656</v>
      </c>
      <c r="D1514" s="5">
        <v>0</v>
      </c>
      <c r="E1514" s="5">
        <v>0</v>
      </c>
      <c r="F1514" s="5">
        <v>0</v>
      </c>
      <c r="G1514" s="5">
        <v>0</v>
      </c>
      <c r="H1514" s="5">
        <v>0</v>
      </c>
      <c r="I1514" s="5">
        <v>0</v>
      </c>
      <c r="J1514" s="5">
        <v>0</v>
      </c>
      <c r="K1514" s="5">
        <v>0</v>
      </c>
      <c r="L1514" s="5">
        <v>0</v>
      </c>
      <c r="M1514" s="5">
        <v>0</v>
      </c>
      <c r="N1514" s="5">
        <v>9</v>
      </c>
      <c r="O1514" s="5" t="str">
        <f t="shared" ca="1" si="23"/>
        <v>Supplier 123</v>
      </c>
      <c r="P1514" s="20" t="str">
        <f ca="1">IFERROR(VLOOKUP(O1514,EMAILS!B:C,2,FALSE),"NOT FOUND IN EMAILS")</f>
        <v>supplier@gmail.com</v>
      </c>
      <c r="Q1514" t="str">
        <f ca="1">""&amp;IFERROR(VLOOKUP(O1514,EMAILS!B:D,3,FALSE),"NOT FOUND IN EMAILS")</f>
        <v/>
      </c>
      <c r="R1514" t="str">
        <f ca="1">""&amp;IFERROR(VLOOKUP(O1514,EMAILS!B:E,4,FALSE),"NO T FOUND IN EMAILS")</f>
        <v/>
      </c>
    </row>
    <row r="1515" spans="2:18" x14ac:dyDescent="0.25">
      <c r="B1515" s="5" t="s">
        <v>1517</v>
      </c>
      <c r="C1515" s="5" t="s">
        <v>5657</v>
      </c>
      <c r="D1515" s="5">
        <v>0</v>
      </c>
      <c r="E1515" s="5">
        <v>0</v>
      </c>
      <c r="F1515" s="5">
        <v>0</v>
      </c>
      <c r="G1515" s="5">
        <v>0</v>
      </c>
      <c r="H1515" s="5">
        <v>0</v>
      </c>
      <c r="I1515" s="5">
        <v>4</v>
      </c>
      <c r="J1515" s="5">
        <v>0</v>
      </c>
      <c r="K1515" s="5">
        <v>4</v>
      </c>
      <c r="L1515" s="5">
        <v>0</v>
      </c>
      <c r="M1515" s="5">
        <v>0</v>
      </c>
      <c r="N1515" s="5">
        <v>3349</v>
      </c>
      <c r="O1515" s="5" t="str">
        <f t="shared" ca="1" si="23"/>
        <v>Supplier 155</v>
      </c>
      <c r="P1515" s="20" t="str">
        <f ca="1">IFERROR(VLOOKUP(O1515,EMAILS!B:C,2,FALSE),"NOT FOUND IN EMAILS")</f>
        <v>supplier@gmail.com</v>
      </c>
      <c r="Q1515" t="str">
        <f ca="1">""&amp;IFERROR(VLOOKUP(O1515,EMAILS!B:D,3,FALSE),"NOT FOUND IN EMAILS")</f>
        <v/>
      </c>
      <c r="R1515" t="str">
        <f ca="1">""&amp;IFERROR(VLOOKUP(O1515,EMAILS!B:E,4,FALSE),"NO T FOUND IN EMAILS")</f>
        <v/>
      </c>
    </row>
    <row r="1516" spans="2:18" x14ac:dyDescent="0.25">
      <c r="B1516" s="5" t="s">
        <v>1518</v>
      </c>
      <c r="C1516" s="5" t="s">
        <v>5658</v>
      </c>
      <c r="D1516" s="5">
        <v>152</v>
      </c>
      <c r="E1516" s="5">
        <v>136</v>
      </c>
      <c r="F1516" s="5">
        <v>184</v>
      </c>
      <c r="G1516" s="5">
        <v>184</v>
      </c>
      <c r="H1516" s="5">
        <v>80</v>
      </c>
      <c r="I1516" s="5">
        <v>104</v>
      </c>
      <c r="J1516" s="5">
        <v>80</v>
      </c>
      <c r="K1516" s="5">
        <v>104</v>
      </c>
      <c r="L1516" s="5">
        <v>68</v>
      </c>
      <c r="M1516" s="5">
        <v>0</v>
      </c>
      <c r="N1516" s="5">
        <v>0</v>
      </c>
      <c r="O1516" s="5" t="str">
        <f t="shared" ca="1" si="23"/>
        <v>Supplier 46</v>
      </c>
      <c r="P1516" s="20" t="str">
        <f ca="1">IFERROR(VLOOKUP(O1516,EMAILS!B:C,2,FALSE),"NOT FOUND IN EMAILS")</f>
        <v>supplier@gmail.com</v>
      </c>
      <c r="Q1516" t="str">
        <f ca="1">""&amp;IFERROR(VLOOKUP(O1516,EMAILS!B:D,3,FALSE),"NOT FOUND IN EMAILS")</f>
        <v/>
      </c>
      <c r="R1516" t="str">
        <f ca="1">""&amp;IFERROR(VLOOKUP(O1516,EMAILS!B:E,4,FALSE),"NO T FOUND IN EMAILS")</f>
        <v/>
      </c>
    </row>
    <row r="1517" spans="2:18" x14ac:dyDescent="0.25">
      <c r="B1517" s="5" t="s">
        <v>1519</v>
      </c>
      <c r="C1517" s="5" t="s">
        <v>5659</v>
      </c>
      <c r="D1517" s="5">
        <v>0</v>
      </c>
      <c r="E1517" s="5">
        <v>0</v>
      </c>
      <c r="F1517" s="5">
        <v>0</v>
      </c>
      <c r="G1517" s="5">
        <v>0</v>
      </c>
      <c r="H1517" s="5">
        <v>0</v>
      </c>
      <c r="I1517" s="5">
        <v>0</v>
      </c>
      <c r="J1517" s="5">
        <v>0</v>
      </c>
      <c r="K1517" s="5">
        <v>0</v>
      </c>
      <c r="L1517" s="5">
        <v>0</v>
      </c>
      <c r="M1517" s="5">
        <v>0</v>
      </c>
      <c r="N1517" s="5">
        <v>1587</v>
      </c>
      <c r="O1517" s="5" t="str">
        <f t="shared" ca="1" si="23"/>
        <v>Supplier 90</v>
      </c>
      <c r="P1517" s="20" t="str">
        <f ca="1">IFERROR(VLOOKUP(O1517,EMAILS!B:C,2,FALSE),"NOT FOUND IN EMAILS")</f>
        <v>supplier@gmail.com</v>
      </c>
      <c r="Q1517" t="str">
        <f ca="1">""&amp;IFERROR(VLOOKUP(O1517,EMAILS!B:D,3,FALSE),"NOT FOUND IN EMAILS")</f>
        <v/>
      </c>
      <c r="R1517" t="str">
        <f ca="1">""&amp;IFERROR(VLOOKUP(O1517,EMAILS!B:E,4,FALSE),"NO T FOUND IN EMAILS")</f>
        <v/>
      </c>
    </row>
    <row r="1518" spans="2:18" x14ac:dyDescent="0.25">
      <c r="B1518" s="5" t="s">
        <v>1520</v>
      </c>
      <c r="C1518" s="5" t="s">
        <v>5660</v>
      </c>
      <c r="D1518" s="5">
        <v>152</v>
      </c>
      <c r="E1518" s="5">
        <v>136</v>
      </c>
      <c r="F1518" s="5">
        <v>184</v>
      </c>
      <c r="G1518" s="5">
        <v>184</v>
      </c>
      <c r="H1518" s="5">
        <v>80</v>
      </c>
      <c r="I1518" s="5">
        <v>112</v>
      </c>
      <c r="J1518" s="5">
        <v>80</v>
      </c>
      <c r="K1518" s="5">
        <v>112</v>
      </c>
      <c r="L1518" s="5">
        <v>68</v>
      </c>
      <c r="M1518" s="5">
        <v>0</v>
      </c>
      <c r="N1518" s="5">
        <v>7239</v>
      </c>
      <c r="O1518" s="5" t="str">
        <f t="shared" ca="1" si="23"/>
        <v>Supplier 33</v>
      </c>
      <c r="P1518" s="20" t="str">
        <f ca="1">IFERROR(VLOOKUP(O1518,EMAILS!B:C,2,FALSE),"NOT FOUND IN EMAILS")</f>
        <v>supplier@gmail.com</v>
      </c>
      <c r="Q1518" t="str">
        <f ca="1">""&amp;IFERROR(VLOOKUP(O1518,EMAILS!B:D,3,FALSE),"NOT FOUND IN EMAILS")</f>
        <v/>
      </c>
      <c r="R1518" t="str">
        <f ca="1">""&amp;IFERROR(VLOOKUP(O1518,EMAILS!B:E,4,FALSE),"NO T FOUND IN EMAILS")</f>
        <v/>
      </c>
    </row>
    <row r="1519" spans="2:18" x14ac:dyDescent="0.25">
      <c r="B1519" s="5" t="s">
        <v>1521</v>
      </c>
      <c r="C1519" s="5" t="s">
        <v>5661</v>
      </c>
      <c r="D1519" s="5">
        <v>304</v>
      </c>
      <c r="E1519" s="5">
        <v>272</v>
      </c>
      <c r="F1519" s="5">
        <v>368</v>
      </c>
      <c r="G1519" s="5">
        <v>368</v>
      </c>
      <c r="H1519" s="5">
        <v>160</v>
      </c>
      <c r="I1519" s="5">
        <v>208</v>
      </c>
      <c r="J1519" s="5">
        <v>160</v>
      </c>
      <c r="K1519" s="5">
        <v>208</v>
      </c>
      <c r="L1519" s="5">
        <v>136</v>
      </c>
      <c r="M1519" s="5">
        <v>0</v>
      </c>
      <c r="N1519" s="5">
        <v>0</v>
      </c>
      <c r="O1519" s="5" t="str">
        <f t="shared" ca="1" si="23"/>
        <v>Supplier 1</v>
      </c>
      <c r="P1519" s="20" t="str">
        <f ca="1">IFERROR(VLOOKUP(O1519,EMAILS!B:C,2,FALSE),"NOT FOUND IN EMAILS")</f>
        <v>supplier@gmail.com</v>
      </c>
      <c r="Q1519" t="str">
        <f ca="1">""&amp;IFERROR(VLOOKUP(O1519,EMAILS!B:D,3,FALSE),"NOT FOUND IN EMAILS")</f>
        <v>supplier_logistics@gmail.com</v>
      </c>
      <c r="R1519" t="str">
        <f ca="1">""&amp;IFERROR(VLOOKUP(O1519,EMAILS!B:E,4,FALSE),"NO T FOUND IN EMAILS")</f>
        <v/>
      </c>
    </row>
    <row r="1520" spans="2:18" x14ac:dyDescent="0.25">
      <c r="B1520" s="5" t="s">
        <v>1522</v>
      </c>
      <c r="C1520" s="5" t="s">
        <v>5662</v>
      </c>
      <c r="D1520" s="5">
        <v>0</v>
      </c>
      <c r="E1520" s="5">
        <v>0</v>
      </c>
      <c r="F1520" s="5">
        <v>0</v>
      </c>
      <c r="G1520" s="5">
        <v>0</v>
      </c>
      <c r="H1520" s="5">
        <v>0</v>
      </c>
      <c r="I1520" s="5">
        <v>0</v>
      </c>
      <c r="J1520" s="5">
        <v>0</v>
      </c>
      <c r="K1520" s="5">
        <v>0</v>
      </c>
      <c r="L1520" s="5">
        <v>0</v>
      </c>
      <c r="M1520" s="5">
        <v>0</v>
      </c>
      <c r="N1520" s="5">
        <v>4043</v>
      </c>
      <c r="O1520" s="5" t="str">
        <f t="shared" ca="1" si="23"/>
        <v>Supplier 184</v>
      </c>
      <c r="P1520" s="20" t="str">
        <f ca="1">IFERROR(VLOOKUP(O1520,EMAILS!B:C,2,FALSE),"NOT FOUND IN EMAILS")</f>
        <v>supplier@gmail.com</v>
      </c>
      <c r="Q1520" t="str">
        <f ca="1">""&amp;IFERROR(VLOOKUP(O1520,EMAILS!B:D,3,FALSE),"NOT FOUND IN EMAILS")</f>
        <v/>
      </c>
      <c r="R1520" t="str">
        <f ca="1">""&amp;IFERROR(VLOOKUP(O1520,EMAILS!B:E,4,FALSE),"NO T FOUND IN EMAILS")</f>
        <v/>
      </c>
    </row>
    <row r="1521" spans="2:18" x14ac:dyDescent="0.25">
      <c r="B1521" s="5" t="s">
        <v>1523</v>
      </c>
      <c r="C1521" s="5" t="s">
        <v>5663</v>
      </c>
      <c r="D1521" s="5">
        <v>0</v>
      </c>
      <c r="E1521" s="5">
        <v>0</v>
      </c>
      <c r="F1521" s="5">
        <v>0</v>
      </c>
      <c r="G1521" s="5">
        <v>0</v>
      </c>
      <c r="H1521" s="5">
        <v>0</v>
      </c>
      <c r="I1521" s="5">
        <v>2</v>
      </c>
      <c r="J1521" s="5">
        <v>0</v>
      </c>
      <c r="K1521" s="5">
        <v>2</v>
      </c>
      <c r="L1521" s="5">
        <v>0</v>
      </c>
      <c r="M1521" s="5">
        <v>0</v>
      </c>
      <c r="N1521" s="5">
        <v>537</v>
      </c>
      <c r="O1521" s="5" t="str">
        <f t="shared" ca="1" si="23"/>
        <v>Supplier 95</v>
      </c>
      <c r="P1521" s="20" t="str">
        <f ca="1">IFERROR(VLOOKUP(O1521,EMAILS!B:C,2,FALSE),"NOT FOUND IN EMAILS")</f>
        <v>supplier@gmail.com</v>
      </c>
      <c r="Q1521" t="str">
        <f ca="1">""&amp;IFERROR(VLOOKUP(O1521,EMAILS!B:D,3,FALSE),"NOT FOUND IN EMAILS")</f>
        <v/>
      </c>
      <c r="R1521" t="str">
        <f ca="1">""&amp;IFERROR(VLOOKUP(O1521,EMAILS!B:E,4,FALSE),"NO T FOUND IN EMAILS")</f>
        <v/>
      </c>
    </row>
    <row r="1522" spans="2:18" x14ac:dyDescent="0.25">
      <c r="B1522" s="5" t="s">
        <v>1524</v>
      </c>
      <c r="C1522" s="5" t="s">
        <v>5664</v>
      </c>
      <c r="D1522" s="5">
        <v>76</v>
      </c>
      <c r="E1522" s="5">
        <v>64</v>
      </c>
      <c r="F1522" s="5">
        <v>88</v>
      </c>
      <c r="G1522" s="5">
        <v>88</v>
      </c>
      <c r="H1522" s="5">
        <v>40</v>
      </c>
      <c r="I1522" s="5">
        <v>50</v>
      </c>
      <c r="J1522" s="5">
        <v>40</v>
      </c>
      <c r="K1522" s="5">
        <v>50</v>
      </c>
      <c r="L1522" s="5">
        <v>34</v>
      </c>
      <c r="M1522" s="5">
        <v>0</v>
      </c>
      <c r="N1522" s="5">
        <v>989</v>
      </c>
      <c r="O1522" s="5" t="str">
        <f t="shared" ca="1" si="23"/>
        <v>Supplier 124</v>
      </c>
      <c r="P1522" s="20" t="str">
        <f ca="1">IFERROR(VLOOKUP(O1522,EMAILS!B:C,2,FALSE),"NOT FOUND IN EMAILS")</f>
        <v>supplier@gmail.com</v>
      </c>
      <c r="Q1522" t="str">
        <f ca="1">""&amp;IFERROR(VLOOKUP(O1522,EMAILS!B:D,3,FALSE),"NOT FOUND IN EMAILS")</f>
        <v/>
      </c>
      <c r="R1522" t="str">
        <f ca="1">""&amp;IFERROR(VLOOKUP(O1522,EMAILS!B:E,4,FALSE),"NO T FOUND IN EMAILS")</f>
        <v/>
      </c>
    </row>
    <row r="1523" spans="2:18" x14ac:dyDescent="0.25">
      <c r="B1523" s="5" t="s">
        <v>1525</v>
      </c>
      <c r="C1523" s="5" t="s">
        <v>5665</v>
      </c>
      <c r="D1523" s="5">
        <v>76</v>
      </c>
      <c r="E1523" s="5">
        <v>62</v>
      </c>
      <c r="F1523" s="5">
        <v>86</v>
      </c>
      <c r="G1523" s="5">
        <v>86</v>
      </c>
      <c r="H1523" s="5">
        <v>30</v>
      </c>
      <c r="I1523" s="5">
        <v>44</v>
      </c>
      <c r="J1523" s="5">
        <v>40</v>
      </c>
      <c r="K1523" s="5">
        <v>42</v>
      </c>
      <c r="L1523" s="5">
        <v>32</v>
      </c>
      <c r="M1523" s="5">
        <v>0</v>
      </c>
      <c r="N1523" s="5">
        <v>745</v>
      </c>
      <c r="O1523" s="5" t="str">
        <f t="shared" ca="1" si="23"/>
        <v>Supplier 4</v>
      </c>
      <c r="P1523" s="20" t="str">
        <f ca="1">IFERROR(VLOOKUP(O1523,EMAILS!B:C,2,FALSE),"NOT FOUND IN EMAILS")</f>
        <v>supplier@gmail.com</v>
      </c>
      <c r="Q1523" t="str">
        <f ca="1">""&amp;IFERROR(VLOOKUP(O1523,EMAILS!B:D,3,FALSE),"NOT FOUND IN EMAILS")</f>
        <v>supplier_logistics@gmail.com</v>
      </c>
      <c r="R1523" t="str">
        <f ca="1">""&amp;IFERROR(VLOOKUP(O1523,EMAILS!B:E,4,FALSE),"NO T FOUND IN EMAILS")</f>
        <v/>
      </c>
    </row>
    <row r="1524" spans="2:18" x14ac:dyDescent="0.25">
      <c r="B1524" s="5" t="s">
        <v>1526</v>
      </c>
      <c r="C1524" s="5" t="s">
        <v>5666</v>
      </c>
      <c r="D1524" s="5">
        <v>76</v>
      </c>
      <c r="E1524" s="5">
        <v>68</v>
      </c>
      <c r="F1524" s="5">
        <v>92</v>
      </c>
      <c r="G1524" s="5">
        <v>92</v>
      </c>
      <c r="H1524" s="5">
        <v>40</v>
      </c>
      <c r="I1524" s="5">
        <v>52</v>
      </c>
      <c r="J1524" s="5">
        <v>40</v>
      </c>
      <c r="K1524" s="5">
        <v>52</v>
      </c>
      <c r="L1524" s="5">
        <v>34</v>
      </c>
      <c r="M1524" s="5">
        <v>0</v>
      </c>
      <c r="N1524" s="5">
        <v>303</v>
      </c>
      <c r="O1524" s="5" t="str">
        <f t="shared" ca="1" si="23"/>
        <v>Supplier 131</v>
      </c>
      <c r="P1524" s="20" t="str">
        <f ca="1">IFERROR(VLOOKUP(O1524,EMAILS!B:C,2,FALSE),"NOT FOUND IN EMAILS")</f>
        <v>supplier@gmail.com</v>
      </c>
      <c r="Q1524" t="str">
        <f ca="1">""&amp;IFERROR(VLOOKUP(O1524,EMAILS!B:D,3,FALSE),"NOT FOUND IN EMAILS")</f>
        <v/>
      </c>
      <c r="R1524" t="str">
        <f ca="1">""&amp;IFERROR(VLOOKUP(O1524,EMAILS!B:E,4,FALSE),"NO T FOUND IN EMAILS")</f>
        <v/>
      </c>
    </row>
    <row r="1525" spans="2:18" x14ac:dyDescent="0.25">
      <c r="B1525" s="5" t="s">
        <v>1527</v>
      </c>
      <c r="C1525" s="5" t="s">
        <v>5667</v>
      </c>
      <c r="D1525" s="5">
        <v>76</v>
      </c>
      <c r="E1525" s="5">
        <v>70</v>
      </c>
      <c r="F1525" s="5">
        <v>94</v>
      </c>
      <c r="G1525" s="5">
        <v>94</v>
      </c>
      <c r="H1525" s="5">
        <v>50</v>
      </c>
      <c r="I1525" s="5">
        <v>58</v>
      </c>
      <c r="J1525" s="5">
        <v>40</v>
      </c>
      <c r="K1525" s="5">
        <v>60</v>
      </c>
      <c r="L1525" s="5">
        <v>36</v>
      </c>
      <c r="M1525" s="5">
        <v>0</v>
      </c>
      <c r="N1525" s="5">
        <v>0</v>
      </c>
      <c r="O1525" s="5" t="str">
        <f t="shared" ca="1" si="23"/>
        <v>Supplier 191</v>
      </c>
      <c r="P1525" s="20" t="str">
        <f ca="1">IFERROR(VLOOKUP(O1525,EMAILS!B:C,2,FALSE),"NOT FOUND IN EMAILS")</f>
        <v>supplier@gmail.com</v>
      </c>
      <c r="Q1525" t="str">
        <f ca="1">""&amp;IFERROR(VLOOKUP(O1525,EMAILS!B:D,3,FALSE),"NOT FOUND IN EMAILS")</f>
        <v/>
      </c>
      <c r="R1525" t="str">
        <f ca="1">""&amp;IFERROR(VLOOKUP(O1525,EMAILS!B:E,4,FALSE),"NO T FOUND IN EMAILS")</f>
        <v/>
      </c>
    </row>
    <row r="1526" spans="2:18" x14ac:dyDescent="0.25">
      <c r="B1526" s="5" t="s">
        <v>1528</v>
      </c>
      <c r="C1526" s="5" t="s">
        <v>5668</v>
      </c>
      <c r="D1526" s="5">
        <v>0</v>
      </c>
      <c r="E1526" s="5">
        <v>0</v>
      </c>
      <c r="F1526" s="5">
        <v>0</v>
      </c>
      <c r="G1526" s="5">
        <v>0</v>
      </c>
      <c r="H1526" s="5">
        <v>0</v>
      </c>
      <c r="I1526" s="5">
        <v>0</v>
      </c>
      <c r="J1526" s="5">
        <v>0</v>
      </c>
      <c r="K1526" s="5">
        <v>0</v>
      </c>
      <c r="L1526" s="5">
        <v>0</v>
      </c>
      <c r="M1526" s="5">
        <v>0</v>
      </c>
      <c r="N1526" s="5">
        <v>658</v>
      </c>
      <c r="O1526" s="5" t="str">
        <f t="shared" ca="1" si="23"/>
        <v>Supplier 177</v>
      </c>
      <c r="P1526" s="20" t="str">
        <f ca="1">IFERROR(VLOOKUP(O1526,EMAILS!B:C,2,FALSE),"NOT FOUND IN EMAILS")</f>
        <v>supplier@gmail.com</v>
      </c>
      <c r="Q1526" t="str">
        <f ca="1">""&amp;IFERROR(VLOOKUP(O1526,EMAILS!B:D,3,FALSE),"NOT FOUND IN EMAILS")</f>
        <v/>
      </c>
      <c r="R1526" t="str">
        <f ca="1">""&amp;IFERROR(VLOOKUP(O1526,EMAILS!B:E,4,FALSE),"NO T FOUND IN EMAILS")</f>
        <v/>
      </c>
    </row>
    <row r="1527" spans="2:18" x14ac:dyDescent="0.25">
      <c r="B1527" s="5" t="s">
        <v>1529</v>
      </c>
      <c r="C1527" s="5" t="s">
        <v>5669</v>
      </c>
      <c r="D1527" s="5">
        <v>76</v>
      </c>
      <c r="E1527" s="5">
        <v>68</v>
      </c>
      <c r="F1527" s="5">
        <v>92</v>
      </c>
      <c r="G1527" s="5">
        <v>92</v>
      </c>
      <c r="H1527" s="5">
        <v>40</v>
      </c>
      <c r="I1527" s="5">
        <v>52</v>
      </c>
      <c r="J1527" s="5">
        <v>40</v>
      </c>
      <c r="K1527" s="5">
        <v>52</v>
      </c>
      <c r="L1527" s="5">
        <v>34</v>
      </c>
      <c r="M1527" s="5">
        <v>0</v>
      </c>
      <c r="N1527" s="5">
        <v>0</v>
      </c>
      <c r="O1527" s="5" t="str">
        <f t="shared" ca="1" si="23"/>
        <v>Supplier 11</v>
      </c>
      <c r="P1527" s="20" t="str">
        <f ca="1">IFERROR(VLOOKUP(O1527,EMAILS!B:C,2,FALSE),"NOT FOUND IN EMAILS")</f>
        <v>supplier@gmail.com</v>
      </c>
      <c r="Q1527" t="str">
        <f ca="1">""&amp;IFERROR(VLOOKUP(O1527,EMAILS!B:D,3,FALSE),"NOT FOUND IN EMAILS")</f>
        <v>supplier_logistics@gmail.com</v>
      </c>
      <c r="R1527" t="str">
        <f ca="1">""&amp;IFERROR(VLOOKUP(O1527,EMAILS!B:E,4,FALSE),"NO T FOUND IN EMAILS")</f>
        <v/>
      </c>
    </row>
    <row r="1528" spans="2:18" x14ac:dyDescent="0.25">
      <c r="B1528" s="5" t="s">
        <v>1530</v>
      </c>
      <c r="C1528" s="5" t="s">
        <v>5670</v>
      </c>
      <c r="D1528" s="5">
        <v>0</v>
      </c>
      <c r="E1528" s="5">
        <v>0</v>
      </c>
      <c r="F1528" s="5">
        <v>0</v>
      </c>
      <c r="G1528" s="5">
        <v>0</v>
      </c>
      <c r="H1528" s="5">
        <v>0</v>
      </c>
      <c r="I1528" s="5">
        <v>0</v>
      </c>
      <c r="J1528" s="5">
        <v>0</v>
      </c>
      <c r="K1528" s="5">
        <v>0</v>
      </c>
      <c r="L1528" s="5">
        <v>0</v>
      </c>
      <c r="M1528" s="5">
        <v>0</v>
      </c>
      <c r="N1528" s="5">
        <v>1398</v>
      </c>
      <c r="O1528" s="5" t="str">
        <f t="shared" ca="1" si="23"/>
        <v>Supplier 122</v>
      </c>
      <c r="P1528" s="20" t="str">
        <f ca="1">IFERROR(VLOOKUP(O1528,EMAILS!B:C,2,FALSE),"NOT FOUND IN EMAILS")</f>
        <v>supplier@gmail.com</v>
      </c>
      <c r="Q1528" t="str">
        <f ca="1">""&amp;IFERROR(VLOOKUP(O1528,EMAILS!B:D,3,FALSE),"NOT FOUND IN EMAILS")</f>
        <v/>
      </c>
      <c r="R1528" t="str">
        <f ca="1">""&amp;IFERROR(VLOOKUP(O1528,EMAILS!B:E,4,FALSE),"NO T FOUND IN EMAILS")</f>
        <v/>
      </c>
    </row>
    <row r="1529" spans="2:18" x14ac:dyDescent="0.25">
      <c r="B1529" s="5" t="s">
        <v>1531</v>
      </c>
      <c r="C1529" s="5" t="s">
        <v>5671</v>
      </c>
      <c r="D1529" s="5">
        <v>152</v>
      </c>
      <c r="E1529" s="5">
        <v>136</v>
      </c>
      <c r="F1529" s="5">
        <v>184</v>
      </c>
      <c r="G1529" s="5">
        <v>184</v>
      </c>
      <c r="H1529" s="5">
        <v>80</v>
      </c>
      <c r="I1529" s="5">
        <v>104</v>
      </c>
      <c r="J1529" s="5">
        <v>80</v>
      </c>
      <c r="K1529" s="5">
        <v>104</v>
      </c>
      <c r="L1529" s="5">
        <v>68</v>
      </c>
      <c r="M1529" s="5">
        <v>0</v>
      </c>
      <c r="N1529" s="5">
        <v>0</v>
      </c>
      <c r="O1529" s="5" t="str">
        <f t="shared" ca="1" si="23"/>
        <v>Supplier 44</v>
      </c>
      <c r="P1529" s="20" t="str">
        <f ca="1">IFERROR(VLOOKUP(O1529,EMAILS!B:C,2,FALSE),"NOT FOUND IN EMAILS")</f>
        <v>supplier@gmail.com</v>
      </c>
      <c r="Q1529" t="str">
        <f ca="1">""&amp;IFERROR(VLOOKUP(O1529,EMAILS!B:D,3,FALSE),"NOT FOUND IN EMAILS")</f>
        <v/>
      </c>
      <c r="R1529" t="str">
        <f ca="1">""&amp;IFERROR(VLOOKUP(O1529,EMAILS!B:E,4,FALSE),"NO T FOUND IN EMAILS")</f>
        <v/>
      </c>
    </row>
    <row r="1530" spans="2:18" x14ac:dyDescent="0.25">
      <c r="B1530" s="5" t="s">
        <v>1532</v>
      </c>
      <c r="C1530" s="5" t="s">
        <v>5672</v>
      </c>
      <c r="D1530" s="5">
        <v>0</v>
      </c>
      <c r="E1530" s="5">
        <v>0</v>
      </c>
      <c r="F1530" s="5">
        <v>0</v>
      </c>
      <c r="G1530" s="5">
        <v>0</v>
      </c>
      <c r="H1530" s="5">
        <v>0</v>
      </c>
      <c r="I1530" s="5">
        <v>0</v>
      </c>
      <c r="J1530" s="5">
        <v>0</v>
      </c>
      <c r="K1530" s="5">
        <v>0</v>
      </c>
      <c r="L1530" s="5">
        <v>0</v>
      </c>
      <c r="M1530" s="5">
        <v>0</v>
      </c>
      <c r="N1530" s="5">
        <v>542</v>
      </c>
      <c r="O1530" s="5" t="str">
        <f t="shared" ca="1" si="23"/>
        <v>Supplier 1</v>
      </c>
      <c r="P1530" s="20" t="str">
        <f ca="1">IFERROR(VLOOKUP(O1530,EMAILS!B:C,2,FALSE),"NOT FOUND IN EMAILS")</f>
        <v>supplier@gmail.com</v>
      </c>
      <c r="Q1530" t="str">
        <f ca="1">""&amp;IFERROR(VLOOKUP(O1530,EMAILS!B:D,3,FALSE),"NOT FOUND IN EMAILS")</f>
        <v>supplier_logistics@gmail.com</v>
      </c>
      <c r="R1530" t="str">
        <f ca="1">""&amp;IFERROR(VLOOKUP(O1530,EMAILS!B:E,4,FALSE),"NO T FOUND IN EMAILS")</f>
        <v/>
      </c>
    </row>
    <row r="1531" spans="2:18" x14ac:dyDescent="0.25">
      <c r="B1531" s="5" t="s">
        <v>1533</v>
      </c>
      <c r="C1531" s="5" t="s">
        <v>5673</v>
      </c>
      <c r="D1531" s="5">
        <v>76</v>
      </c>
      <c r="E1531" s="5">
        <v>68</v>
      </c>
      <c r="F1531" s="5">
        <v>92</v>
      </c>
      <c r="G1531" s="5">
        <v>92</v>
      </c>
      <c r="H1531" s="5">
        <v>40</v>
      </c>
      <c r="I1531" s="5">
        <v>52</v>
      </c>
      <c r="J1531" s="5">
        <v>40</v>
      </c>
      <c r="K1531" s="5">
        <v>52</v>
      </c>
      <c r="L1531" s="5">
        <v>34</v>
      </c>
      <c r="M1531" s="5">
        <v>0</v>
      </c>
      <c r="N1531" s="5">
        <v>364</v>
      </c>
      <c r="O1531" s="5" t="str">
        <f t="shared" ca="1" si="23"/>
        <v>Supplier 9</v>
      </c>
      <c r="P1531" s="20" t="str">
        <f ca="1">IFERROR(VLOOKUP(O1531,EMAILS!B:C,2,FALSE),"NOT FOUND IN EMAILS")</f>
        <v>supplier@gmail.com</v>
      </c>
      <c r="Q1531" t="str">
        <f ca="1">""&amp;IFERROR(VLOOKUP(O1531,EMAILS!B:D,3,FALSE),"NOT FOUND IN EMAILS")</f>
        <v>supplier_logistics@gmail.com</v>
      </c>
      <c r="R1531" t="str">
        <f ca="1">""&amp;IFERROR(VLOOKUP(O1531,EMAILS!B:E,4,FALSE),"NO T FOUND IN EMAILS")</f>
        <v/>
      </c>
    </row>
    <row r="1532" spans="2:18" x14ac:dyDescent="0.25">
      <c r="B1532" s="5" t="s">
        <v>1534</v>
      </c>
      <c r="C1532" s="5" t="s">
        <v>5674</v>
      </c>
      <c r="D1532" s="5">
        <v>0</v>
      </c>
      <c r="E1532" s="5">
        <v>0</v>
      </c>
      <c r="F1532" s="5">
        <v>0</v>
      </c>
      <c r="G1532" s="5">
        <v>0</v>
      </c>
      <c r="H1532" s="5">
        <v>0</v>
      </c>
      <c r="I1532" s="5">
        <v>0</v>
      </c>
      <c r="J1532" s="5">
        <v>0</v>
      </c>
      <c r="K1532" s="5">
        <v>0</v>
      </c>
      <c r="L1532" s="5">
        <v>0</v>
      </c>
      <c r="M1532" s="5">
        <v>0</v>
      </c>
      <c r="N1532" s="5">
        <v>2711</v>
      </c>
      <c r="O1532" s="5" t="str">
        <f t="shared" ca="1" si="23"/>
        <v>Supplier 179</v>
      </c>
      <c r="P1532" s="20" t="str">
        <f ca="1">IFERROR(VLOOKUP(O1532,EMAILS!B:C,2,FALSE),"NOT FOUND IN EMAILS")</f>
        <v>supplier@gmail.com</v>
      </c>
      <c r="Q1532" t="str">
        <f ca="1">""&amp;IFERROR(VLOOKUP(O1532,EMAILS!B:D,3,FALSE),"NOT FOUND IN EMAILS")</f>
        <v/>
      </c>
      <c r="R1532" t="str">
        <f ca="1">""&amp;IFERROR(VLOOKUP(O1532,EMAILS!B:E,4,FALSE),"NO T FOUND IN EMAILS")</f>
        <v/>
      </c>
    </row>
    <row r="1533" spans="2:18" x14ac:dyDescent="0.25">
      <c r="B1533" s="5" t="s">
        <v>1535</v>
      </c>
      <c r="C1533" s="5" t="s">
        <v>5675</v>
      </c>
      <c r="D1533" s="5">
        <v>76</v>
      </c>
      <c r="E1533" s="5">
        <v>68</v>
      </c>
      <c r="F1533" s="5">
        <v>92</v>
      </c>
      <c r="G1533" s="5">
        <v>92</v>
      </c>
      <c r="H1533" s="5">
        <v>40</v>
      </c>
      <c r="I1533" s="5">
        <v>52</v>
      </c>
      <c r="J1533" s="5">
        <v>40</v>
      </c>
      <c r="K1533" s="5">
        <v>52</v>
      </c>
      <c r="L1533" s="5">
        <v>34</v>
      </c>
      <c r="M1533" s="5">
        <v>0</v>
      </c>
      <c r="N1533" s="5">
        <v>0</v>
      </c>
      <c r="O1533" s="5" t="str">
        <f t="shared" ca="1" si="23"/>
        <v>Supplier 48</v>
      </c>
      <c r="P1533" s="20" t="str">
        <f ca="1">IFERROR(VLOOKUP(O1533,EMAILS!B:C,2,FALSE),"NOT FOUND IN EMAILS")</f>
        <v>supplier@gmail.com</v>
      </c>
      <c r="Q1533" t="str">
        <f ca="1">""&amp;IFERROR(VLOOKUP(O1533,EMAILS!B:D,3,FALSE),"NOT FOUND IN EMAILS")</f>
        <v/>
      </c>
      <c r="R1533" t="str">
        <f ca="1">""&amp;IFERROR(VLOOKUP(O1533,EMAILS!B:E,4,FALSE),"NO T FOUND IN EMAILS")</f>
        <v/>
      </c>
    </row>
    <row r="1534" spans="2:18" x14ac:dyDescent="0.25">
      <c r="B1534" s="5" t="s">
        <v>1536</v>
      </c>
      <c r="C1534" s="5" t="s">
        <v>5676</v>
      </c>
      <c r="D1534" s="5">
        <v>0</v>
      </c>
      <c r="E1534" s="5">
        <v>0</v>
      </c>
      <c r="F1534" s="5">
        <v>0</v>
      </c>
      <c r="G1534" s="5">
        <v>0</v>
      </c>
      <c r="H1534" s="5">
        <v>0</v>
      </c>
      <c r="I1534" s="5">
        <v>0</v>
      </c>
      <c r="J1534" s="5">
        <v>0</v>
      </c>
      <c r="K1534" s="5">
        <v>0</v>
      </c>
      <c r="L1534" s="5">
        <v>0</v>
      </c>
      <c r="M1534" s="5">
        <v>0</v>
      </c>
      <c r="N1534" s="5">
        <v>592</v>
      </c>
      <c r="O1534" s="5" t="str">
        <f t="shared" ca="1" si="23"/>
        <v>Supplier 168</v>
      </c>
      <c r="P1534" s="20" t="str">
        <f ca="1">IFERROR(VLOOKUP(O1534,EMAILS!B:C,2,FALSE),"NOT FOUND IN EMAILS")</f>
        <v>supplier@gmail.com</v>
      </c>
      <c r="Q1534" t="str">
        <f ca="1">""&amp;IFERROR(VLOOKUP(O1534,EMAILS!B:D,3,FALSE),"NOT FOUND IN EMAILS")</f>
        <v/>
      </c>
      <c r="R1534" t="str">
        <f ca="1">""&amp;IFERROR(VLOOKUP(O1534,EMAILS!B:E,4,FALSE),"NO T FOUND IN EMAILS")</f>
        <v/>
      </c>
    </row>
    <row r="1535" spans="2:18" x14ac:dyDescent="0.25">
      <c r="B1535" s="5" t="s">
        <v>1537</v>
      </c>
      <c r="C1535" s="5" t="s">
        <v>5677</v>
      </c>
      <c r="D1535" s="5">
        <v>76</v>
      </c>
      <c r="E1535" s="5">
        <v>64</v>
      </c>
      <c r="F1535" s="5">
        <v>88</v>
      </c>
      <c r="G1535" s="5">
        <v>88</v>
      </c>
      <c r="H1535" s="5">
        <v>40</v>
      </c>
      <c r="I1535" s="5">
        <v>50</v>
      </c>
      <c r="J1535" s="5">
        <v>40</v>
      </c>
      <c r="K1535" s="5">
        <v>50</v>
      </c>
      <c r="L1535" s="5">
        <v>34</v>
      </c>
      <c r="M1535" s="5">
        <v>0</v>
      </c>
      <c r="N1535" s="5">
        <v>2510</v>
      </c>
      <c r="O1535" s="5" t="str">
        <f t="shared" ca="1" si="23"/>
        <v>Supplier 126</v>
      </c>
      <c r="P1535" s="20" t="str">
        <f ca="1">IFERROR(VLOOKUP(O1535,EMAILS!B:C,2,FALSE),"NOT FOUND IN EMAILS")</f>
        <v>supplier@gmail.com</v>
      </c>
      <c r="Q1535" t="str">
        <f ca="1">""&amp;IFERROR(VLOOKUP(O1535,EMAILS!B:D,3,FALSE),"NOT FOUND IN EMAILS")</f>
        <v/>
      </c>
      <c r="R1535" t="str">
        <f ca="1">""&amp;IFERROR(VLOOKUP(O1535,EMAILS!B:E,4,FALSE),"NO T FOUND IN EMAILS")</f>
        <v/>
      </c>
    </row>
    <row r="1536" spans="2:18" x14ac:dyDescent="0.25">
      <c r="B1536" s="5" t="s">
        <v>1538</v>
      </c>
      <c r="C1536" s="5" t="s">
        <v>5678</v>
      </c>
      <c r="D1536" s="5">
        <v>76</v>
      </c>
      <c r="E1536" s="5">
        <v>68</v>
      </c>
      <c r="F1536" s="5">
        <v>92</v>
      </c>
      <c r="G1536" s="5">
        <v>92</v>
      </c>
      <c r="H1536" s="5">
        <v>40</v>
      </c>
      <c r="I1536" s="5">
        <v>52</v>
      </c>
      <c r="J1536" s="5">
        <v>40</v>
      </c>
      <c r="K1536" s="5">
        <v>52</v>
      </c>
      <c r="L1536" s="5">
        <v>34</v>
      </c>
      <c r="M1536" s="5">
        <v>0</v>
      </c>
      <c r="N1536" s="5">
        <v>0</v>
      </c>
      <c r="O1536" s="5" t="str">
        <f t="shared" ca="1" si="23"/>
        <v>Supplier 144</v>
      </c>
      <c r="P1536" s="20" t="str">
        <f ca="1">IFERROR(VLOOKUP(O1536,EMAILS!B:C,2,FALSE),"NOT FOUND IN EMAILS")</f>
        <v>supplier@gmail.com</v>
      </c>
      <c r="Q1536" t="str">
        <f ca="1">""&amp;IFERROR(VLOOKUP(O1536,EMAILS!B:D,3,FALSE),"NOT FOUND IN EMAILS")</f>
        <v/>
      </c>
      <c r="R1536" t="str">
        <f ca="1">""&amp;IFERROR(VLOOKUP(O1536,EMAILS!B:E,4,FALSE),"NO T FOUND IN EMAILS")</f>
        <v/>
      </c>
    </row>
    <row r="1537" spans="2:18" x14ac:dyDescent="0.25">
      <c r="B1537" s="5" t="s">
        <v>1539</v>
      </c>
      <c r="C1537" s="5" t="s">
        <v>5679</v>
      </c>
      <c r="D1537" s="5">
        <v>0</v>
      </c>
      <c r="E1537" s="5">
        <v>0</v>
      </c>
      <c r="F1537" s="5">
        <v>0</v>
      </c>
      <c r="G1537" s="5">
        <v>0</v>
      </c>
      <c r="H1537" s="5">
        <v>0</v>
      </c>
      <c r="I1537" s="5">
        <v>0</v>
      </c>
      <c r="J1537" s="5">
        <v>0</v>
      </c>
      <c r="K1537" s="5">
        <v>0</v>
      </c>
      <c r="L1537" s="5">
        <v>0</v>
      </c>
      <c r="M1537" s="5">
        <v>0</v>
      </c>
      <c r="N1537" s="5">
        <v>2145</v>
      </c>
      <c r="O1537" s="5" t="str">
        <f t="shared" ca="1" si="23"/>
        <v>Supplier 60</v>
      </c>
      <c r="P1537" s="20" t="str">
        <f ca="1">IFERROR(VLOOKUP(O1537,EMAILS!B:C,2,FALSE),"NOT FOUND IN EMAILS")</f>
        <v>supplier@gmail.com</v>
      </c>
      <c r="Q1537" t="str">
        <f ca="1">""&amp;IFERROR(VLOOKUP(O1537,EMAILS!B:D,3,FALSE),"NOT FOUND IN EMAILS")</f>
        <v/>
      </c>
      <c r="R1537" t="str">
        <f ca="1">""&amp;IFERROR(VLOOKUP(O1537,EMAILS!B:E,4,FALSE),"NO T FOUND IN EMAILS")</f>
        <v/>
      </c>
    </row>
    <row r="1538" spans="2:18" x14ac:dyDescent="0.25">
      <c r="B1538" s="5" t="s">
        <v>1540</v>
      </c>
      <c r="C1538" s="5" t="s">
        <v>5680</v>
      </c>
      <c r="D1538" s="5">
        <v>38</v>
      </c>
      <c r="E1538" s="5">
        <v>34</v>
      </c>
      <c r="F1538" s="5">
        <v>46</v>
      </c>
      <c r="G1538" s="5">
        <v>46</v>
      </c>
      <c r="H1538" s="5">
        <v>20</v>
      </c>
      <c r="I1538" s="5">
        <v>26</v>
      </c>
      <c r="J1538" s="5">
        <v>20</v>
      </c>
      <c r="K1538" s="5">
        <v>26</v>
      </c>
      <c r="L1538" s="5">
        <v>17</v>
      </c>
      <c r="M1538" s="5">
        <v>0</v>
      </c>
      <c r="N1538" s="5">
        <v>0</v>
      </c>
      <c r="O1538" s="5" t="str">
        <f t="shared" ca="1" si="23"/>
        <v>Supplier 72</v>
      </c>
      <c r="P1538" s="20" t="str">
        <f ca="1">IFERROR(VLOOKUP(O1538,EMAILS!B:C,2,FALSE),"NOT FOUND IN EMAILS")</f>
        <v>supplier@gmail.com</v>
      </c>
      <c r="Q1538" t="str">
        <f ca="1">""&amp;IFERROR(VLOOKUP(O1538,EMAILS!B:D,3,FALSE),"NOT FOUND IN EMAILS")</f>
        <v/>
      </c>
      <c r="R1538" t="str">
        <f ca="1">""&amp;IFERROR(VLOOKUP(O1538,EMAILS!B:E,4,FALSE),"NO T FOUND IN EMAILS")</f>
        <v/>
      </c>
    </row>
    <row r="1539" spans="2:18" x14ac:dyDescent="0.25">
      <c r="B1539" s="5" t="s">
        <v>1541</v>
      </c>
      <c r="C1539" s="5" t="s">
        <v>5681</v>
      </c>
      <c r="D1539" s="5">
        <v>0</v>
      </c>
      <c r="E1539" s="5">
        <v>0</v>
      </c>
      <c r="F1539" s="5">
        <v>0</v>
      </c>
      <c r="G1539" s="5">
        <v>0</v>
      </c>
      <c r="H1539" s="5">
        <v>0</v>
      </c>
      <c r="I1539" s="5">
        <v>0</v>
      </c>
      <c r="J1539" s="5">
        <v>0</v>
      </c>
      <c r="K1539" s="5">
        <v>0</v>
      </c>
      <c r="L1539" s="5">
        <v>0</v>
      </c>
      <c r="M1539" s="5">
        <v>0</v>
      </c>
      <c r="N1539" s="5">
        <v>2145</v>
      </c>
      <c r="O1539" s="5" t="str">
        <f t="shared" ref="O1539:O1602" ca="1" si="24">"Supplier "&amp;RANDBETWEEN(1,200)</f>
        <v>Supplier 54</v>
      </c>
      <c r="P1539" s="20" t="str">
        <f ca="1">IFERROR(VLOOKUP(O1539,EMAILS!B:C,2,FALSE),"NOT FOUND IN EMAILS")</f>
        <v>supplier@gmail.com</v>
      </c>
      <c r="Q1539" t="str">
        <f ca="1">""&amp;IFERROR(VLOOKUP(O1539,EMAILS!B:D,3,FALSE),"NOT FOUND IN EMAILS")</f>
        <v/>
      </c>
      <c r="R1539" t="str">
        <f ca="1">""&amp;IFERROR(VLOOKUP(O1539,EMAILS!B:E,4,FALSE),"NO T FOUND IN EMAILS")</f>
        <v/>
      </c>
    </row>
    <row r="1540" spans="2:18" x14ac:dyDescent="0.25">
      <c r="B1540" s="5" t="s">
        <v>1542</v>
      </c>
      <c r="C1540" s="5" t="s">
        <v>5682</v>
      </c>
      <c r="D1540" s="5">
        <v>38</v>
      </c>
      <c r="E1540" s="5">
        <v>34</v>
      </c>
      <c r="F1540" s="5">
        <v>46</v>
      </c>
      <c r="G1540" s="5">
        <v>46</v>
      </c>
      <c r="H1540" s="5">
        <v>20</v>
      </c>
      <c r="I1540" s="5">
        <v>26</v>
      </c>
      <c r="J1540" s="5">
        <v>20</v>
      </c>
      <c r="K1540" s="5">
        <v>26</v>
      </c>
      <c r="L1540" s="5">
        <v>17</v>
      </c>
      <c r="M1540" s="5">
        <v>0</v>
      </c>
      <c r="N1540" s="5">
        <v>0</v>
      </c>
      <c r="O1540" s="5" t="str">
        <f t="shared" ca="1" si="24"/>
        <v>Supplier 37</v>
      </c>
      <c r="P1540" s="20" t="str">
        <f ca="1">IFERROR(VLOOKUP(O1540,EMAILS!B:C,2,FALSE),"NOT FOUND IN EMAILS")</f>
        <v>supplier@gmail.com</v>
      </c>
      <c r="Q1540" t="str">
        <f ca="1">""&amp;IFERROR(VLOOKUP(O1540,EMAILS!B:D,3,FALSE),"NOT FOUND IN EMAILS")</f>
        <v/>
      </c>
      <c r="R1540" t="str">
        <f ca="1">""&amp;IFERROR(VLOOKUP(O1540,EMAILS!B:E,4,FALSE),"NO T FOUND IN EMAILS")</f>
        <v/>
      </c>
    </row>
    <row r="1541" spans="2:18" x14ac:dyDescent="0.25">
      <c r="B1541" s="5" t="s">
        <v>1543</v>
      </c>
      <c r="C1541" s="5" t="s">
        <v>5683</v>
      </c>
      <c r="D1541" s="5">
        <v>0</v>
      </c>
      <c r="E1541" s="5">
        <v>0</v>
      </c>
      <c r="F1541" s="5">
        <v>0</v>
      </c>
      <c r="G1541" s="5">
        <v>0</v>
      </c>
      <c r="H1541" s="5">
        <v>0</v>
      </c>
      <c r="I1541" s="5">
        <v>0</v>
      </c>
      <c r="J1541" s="5">
        <v>0</v>
      </c>
      <c r="K1541" s="5">
        <v>0</v>
      </c>
      <c r="L1541" s="5">
        <v>0</v>
      </c>
      <c r="M1541" s="5">
        <v>0</v>
      </c>
      <c r="N1541" s="5">
        <v>859</v>
      </c>
      <c r="O1541" s="5" t="str">
        <f t="shared" ca="1" si="24"/>
        <v>Supplier 96</v>
      </c>
      <c r="P1541" s="20" t="str">
        <f ca="1">IFERROR(VLOOKUP(O1541,EMAILS!B:C,2,FALSE),"NOT FOUND IN EMAILS")</f>
        <v>supplier@gmail.com</v>
      </c>
      <c r="Q1541" t="str">
        <f ca="1">""&amp;IFERROR(VLOOKUP(O1541,EMAILS!B:D,3,FALSE),"NOT FOUND IN EMAILS")</f>
        <v/>
      </c>
      <c r="R1541" t="str">
        <f ca="1">""&amp;IFERROR(VLOOKUP(O1541,EMAILS!B:E,4,FALSE),"NO T FOUND IN EMAILS")</f>
        <v/>
      </c>
    </row>
    <row r="1542" spans="2:18" x14ac:dyDescent="0.25">
      <c r="B1542" s="5" t="s">
        <v>1544</v>
      </c>
      <c r="C1542" s="5" t="s">
        <v>5684</v>
      </c>
      <c r="D1542" s="5">
        <v>152</v>
      </c>
      <c r="E1542" s="5">
        <v>128</v>
      </c>
      <c r="F1542" s="5">
        <v>176</v>
      </c>
      <c r="G1542" s="5">
        <v>176</v>
      </c>
      <c r="H1542" s="5">
        <v>80</v>
      </c>
      <c r="I1542" s="5">
        <v>100</v>
      </c>
      <c r="J1542" s="5">
        <v>80</v>
      </c>
      <c r="K1542" s="5">
        <v>100</v>
      </c>
      <c r="L1542" s="5">
        <v>68</v>
      </c>
      <c r="M1542" s="5">
        <v>0</v>
      </c>
      <c r="N1542" s="5">
        <v>612</v>
      </c>
      <c r="O1542" s="5" t="str">
        <f t="shared" ca="1" si="24"/>
        <v>Supplier 131</v>
      </c>
      <c r="P1542" s="20" t="str">
        <f ca="1">IFERROR(VLOOKUP(O1542,EMAILS!B:C,2,FALSE),"NOT FOUND IN EMAILS")</f>
        <v>supplier@gmail.com</v>
      </c>
      <c r="Q1542" t="str">
        <f ca="1">""&amp;IFERROR(VLOOKUP(O1542,EMAILS!B:D,3,FALSE),"NOT FOUND IN EMAILS")</f>
        <v/>
      </c>
      <c r="R1542" t="str">
        <f ca="1">""&amp;IFERROR(VLOOKUP(O1542,EMAILS!B:E,4,FALSE),"NO T FOUND IN EMAILS")</f>
        <v/>
      </c>
    </row>
    <row r="1543" spans="2:18" x14ac:dyDescent="0.25">
      <c r="B1543" s="5" t="s">
        <v>1545</v>
      </c>
      <c r="C1543" s="5" t="s">
        <v>5685</v>
      </c>
      <c r="D1543" s="5">
        <v>76</v>
      </c>
      <c r="E1543" s="5">
        <v>66</v>
      </c>
      <c r="F1543" s="5">
        <v>90</v>
      </c>
      <c r="G1543" s="5">
        <v>90</v>
      </c>
      <c r="H1543" s="5">
        <v>30</v>
      </c>
      <c r="I1543" s="5">
        <v>46</v>
      </c>
      <c r="J1543" s="5">
        <v>40</v>
      </c>
      <c r="K1543" s="5">
        <v>44</v>
      </c>
      <c r="L1543" s="5">
        <v>32</v>
      </c>
      <c r="M1543" s="5">
        <v>0</v>
      </c>
      <c r="N1543" s="5">
        <v>0</v>
      </c>
      <c r="O1543" s="5" t="str">
        <f t="shared" ca="1" si="24"/>
        <v>Supplier 135</v>
      </c>
      <c r="P1543" s="20" t="str">
        <f ca="1">IFERROR(VLOOKUP(O1543,EMAILS!B:C,2,FALSE),"NOT FOUND IN EMAILS")</f>
        <v>supplier@gmail.com</v>
      </c>
      <c r="Q1543" t="str">
        <f ca="1">""&amp;IFERROR(VLOOKUP(O1543,EMAILS!B:D,3,FALSE),"NOT FOUND IN EMAILS")</f>
        <v/>
      </c>
      <c r="R1543" t="str">
        <f ca="1">""&amp;IFERROR(VLOOKUP(O1543,EMAILS!B:E,4,FALSE),"NO T FOUND IN EMAILS")</f>
        <v/>
      </c>
    </row>
    <row r="1544" spans="2:18" x14ac:dyDescent="0.25">
      <c r="B1544" s="5" t="s">
        <v>1546</v>
      </c>
      <c r="C1544" s="5" t="s">
        <v>5686</v>
      </c>
      <c r="D1544" s="5">
        <v>0</v>
      </c>
      <c r="E1544" s="5">
        <v>0</v>
      </c>
      <c r="F1544" s="5">
        <v>0</v>
      </c>
      <c r="G1544" s="5">
        <v>0</v>
      </c>
      <c r="H1544" s="5">
        <v>0</v>
      </c>
      <c r="I1544" s="5">
        <v>0</v>
      </c>
      <c r="J1544" s="5">
        <v>0</v>
      </c>
      <c r="K1544" s="5">
        <v>0</v>
      </c>
      <c r="L1544" s="5">
        <v>0</v>
      </c>
      <c r="M1544" s="5">
        <v>0</v>
      </c>
      <c r="N1544" s="5">
        <v>596</v>
      </c>
      <c r="O1544" s="5" t="str">
        <f t="shared" ca="1" si="24"/>
        <v>Supplier 17</v>
      </c>
      <c r="P1544" s="20" t="str">
        <f ca="1">IFERROR(VLOOKUP(O1544,EMAILS!B:C,2,FALSE),"NOT FOUND IN EMAILS")</f>
        <v>supplier@gmail.com</v>
      </c>
      <c r="Q1544" t="str">
        <f ca="1">""&amp;IFERROR(VLOOKUP(O1544,EMAILS!B:D,3,FALSE),"NOT FOUND IN EMAILS")</f>
        <v>supplier_logistics@gmail.com</v>
      </c>
      <c r="R1544" t="str">
        <f ca="1">""&amp;IFERROR(VLOOKUP(O1544,EMAILS!B:E,4,FALSE),"NO T FOUND IN EMAILS")</f>
        <v/>
      </c>
    </row>
    <row r="1545" spans="2:18" x14ac:dyDescent="0.25">
      <c r="B1545" s="5" t="s">
        <v>1547</v>
      </c>
      <c r="C1545" s="5" t="s">
        <v>5687</v>
      </c>
      <c r="D1545" s="5">
        <v>76</v>
      </c>
      <c r="E1545" s="5">
        <v>68</v>
      </c>
      <c r="F1545" s="5">
        <v>92</v>
      </c>
      <c r="G1545" s="5">
        <v>92</v>
      </c>
      <c r="H1545" s="5">
        <v>40</v>
      </c>
      <c r="I1545" s="5">
        <v>52</v>
      </c>
      <c r="J1545" s="5">
        <v>40</v>
      </c>
      <c r="K1545" s="5">
        <v>52</v>
      </c>
      <c r="L1545" s="5">
        <v>34</v>
      </c>
      <c r="M1545" s="5">
        <v>0</v>
      </c>
      <c r="N1545" s="5">
        <v>0</v>
      </c>
      <c r="O1545" s="5" t="str">
        <f t="shared" ca="1" si="24"/>
        <v>Supplier 19</v>
      </c>
      <c r="P1545" s="20" t="str">
        <f ca="1">IFERROR(VLOOKUP(O1545,EMAILS!B:C,2,FALSE),"NOT FOUND IN EMAILS")</f>
        <v>supplier@gmail.com</v>
      </c>
      <c r="Q1545" t="str">
        <f ca="1">""&amp;IFERROR(VLOOKUP(O1545,EMAILS!B:D,3,FALSE),"NOT FOUND IN EMAILS")</f>
        <v>supplier_logistics@gmail.com</v>
      </c>
      <c r="R1545" t="str">
        <f ca="1">""&amp;IFERROR(VLOOKUP(O1545,EMAILS!B:E,4,FALSE),"NO T FOUND IN EMAILS")</f>
        <v/>
      </c>
    </row>
    <row r="1546" spans="2:18" x14ac:dyDescent="0.25">
      <c r="B1546" s="5" t="s">
        <v>1548</v>
      </c>
      <c r="C1546" s="5" t="s">
        <v>5688</v>
      </c>
      <c r="D1546" s="5">
        <v>0</v>
      </c>
      <c r="E1546" s="5">
        <v>0</v>
      </c>
      <c r="F1546" s="5">
        <v>0</v>
      </c>
      <c r="G1546" s="5">
        <v>0</v>
      </c>
      <c r="H1546" s="5">
        <v>0</v>
      </c>
      <c r="I1546" s="5">
        <v>0</v>
      </c>
      <c r="J1546" s="5">
        <v>0</v>
      </c>
      <c r="K1546" s="5">
        <v>0</v>
      </c>
      <c r="L1546" s="5">
        <v>0</v>
      </c>
      <c r="M1546" s="5">
        <v>0</v>
      </c>
      <c r="N1546" s="5">
        <v>521</v>
      </c>
      <c r="O1546" s="5" t="str">
        <f t="shared" ca="1" si="24"/>
        <v>Supplier 76</v>
      </c>
      <c r="P1546" s="20" t="str">
        <f ca="1">IFERROR(VLOOKUP(O1546,EMAILS!B:C,2,FALSE),"NOT FOUND IN EMAILS")</f>
        <v>supplier@gmail.com</v>
      </c>
      <c r="Q1546" t="str">
        <f ca="1">""&amp;IFERROR(VLOOKUP(O1546,EMAILS!B:D,3,FALSE),"NOT FOUND IN EMAILS")</f>
        <v/>
      </c>
      <c r="R1546" t="str">
        <f ca="1">""&amp;IFERROR(VLOOKUP(O1546,EMAILS!B:E,4,FALSE),"NO T FOUND IN EMAILS")</f>
        <v/>
      </c>
    </row>
    <row r="1547" spans="2:18" x14ac:dyDescent="0.25">
      <c r="B1547" s="5" t="s">
        <v>1549</v>
      </c>
      <c r="C1547" s="5" t="s">
        <v>5689</v>
      </c>
      <c r="D1547" s="5">
        <v>38</v>
      </c>
      <c r="E1547" s="5">
        <v>34</v>
      </c>
      <c r="F1547" s="5">
        <v>46</v>
      </c>
      <c r="G1547" s="5">
        <v>46</v>
      </c>
      <c r="H1547" s="5">
        <v>20</v>
      </c>
      <c r="I1547" s="5">
        <v>26</v>
      </c>
      <c r="J1547" s="5">
        <v>20</v>
      </c>
      <c r="K1547" s="5">
        <v>26</v>
      </c>
      <c r="L1547" s="5">
        <v>17</v>
      </c>
      <c r="M1547" s="5">
        <v>0</v>
      </c>
      <c r="N1547" s="5">
        <v>0</v>
      </c>
      <c r="O1547" s="5" t="str">
        <f t="shared" ca="1" si="24"/>
        <v>Supplier 198</v>
      </c>
      <c r="P1547" s="20" t="str">
        <f ca="1">IFERROR(VLOOKUP(O1547,EMAILS!B:C,2,FALSE),"NOT FOUND IN EMAILS")</f>
        <v>supplier@gmail.com</v>
      </c>
      <c r="Q1547" t="str">
        <f ca="1">""&amp;IFERROR(VLOOKUP(O1547,EMAILS!B:D,3,FALSE),"NOT FOUND IN EMAILS")</f>
        <v/>
      </c>
      <c r="R1547" t="str">
        <f ca="1">""&amp;IFERROR(VLOOKUP(O1547,EMAILS!B:E,4,FALSE),"NO T FOUND IN EMAILS")</f>
        <v/>
      </c>
    </row>
    <row r="1548" spans="2:18" x14ac:dyDescent="0.25">
      <c r="B1548" s="5" t="s">
        <v>1550</v>
      </c>
      <c r="C1548" s="5" t="s">
        <v>5690</v>
      </c>
      <c r="D1548" s="5">
        <v>0</v>
      </c>
      <c r="E1548" s="5">
        <v>0</v>
      </c>
      <c r="F1548" s="5">
        <v>0</v>
      </c>
      <c r="G1548" s="5">
        <v>0</v>
      </c>
      <c r="H1548" s="5">
        <v>0</v>
      </c>
      <c r="I1548" s="5">
        <v>0</v>
      </c>
      <c r="J1548" s="5">
        <v>0</v>
      </c>
      <c r="K1548" s="5">
        <v>0</v>
      </c>
      <c r="L1548" s="5">
        <v>0</v>
      </c>
      <c r="M1548" s="5">
        <v>0</v>
      </c>
      <c r="N1548" s="5">
        <v>513</v>
      </c>
      <c r="O1548" s="5" t="str">
        <f t="shared" ca="1" si="24"/>
        <v>Supplier 198</v>
      </c>
      <c r="P1548" s="20" t="str">
        <f ca="1">IFERROR(VLOOKUP(O1548,EMAILS!B:C,2,FALSE),"NOT FOUND IN EMAILS")</f>
        <v>supplier@gmail.com</v>
      </c>
      <c r="Q1548" t="str">
        <f ca="1">""&amp;IFERROR(VLOOKUP(O1548,EMAILS!B:D,3,FALSE),"NOT FOUND IN EMAILS")</f>
        <v/>
      </c>
      <c r="R1548" t="str">
        <f ca="1">""&amp;IFERROR(VLOOKUP(O1548,EMAILS!B:E,4,FALSE),"NO T FOUND IN EMAILS")</f>
        <v/>
      </c>
    </row>
    <row r="1549" spans="2:18" x14ac:dyDescent="0.25">
      <c r="B1549" s="5" t="s">
        <v>1551</v>
      </c>
      <c r="C1549" s="5" t="s">
        <v>5691</v>
      </c>
      <c r="D1549" s="5">
        <v>38</v>
      </c>
      <c r="E1549" s="5">
        <v>34</v>
      </c>
      <c r="F1549" s="5">
        <v>46</v>
      </c>
      <c r="G1549" s="5">
        <v>46</v>
      </c>
      <c r="H1549" s="5">
        <v>20</v>
      </c>
      <c r="I1549" s="5">
        <v>26</v>
      </c>
      <c r="J1549" s="5">
        <v>20</v>
      </c>
      <c r="K1549" s="5">
        <v>26</v>
      </c>
      <c r="L1549" s="5">
        <v>17</v>
      </c>
      <c r="M1549" s="5">
        <v>0</v>
      </c>
      <c r="N1549" s="5">
        <v>0</v>
      </c>
      <c r="O1549" s="5" t="str">
        <f t="shared" ca="1" si="24"/>
        <v>Supplier 73</v>
      </c>
      <c r="P1549" s="20" t="str">
        <f ca="1">IFERROR(VLOOKUP(O1549,EMAILS!B:C,2,FALSE),"NOT FOUND IN EMAILS")</f>
        <v>supplier@gmail.com</v>
      </c>
      <c r="Q1549" t="str">
        <f ca="1">""&amp;IFERROR(VLOOKUP(O1549,EMAILS!B:D,3,FALSE),"NOT FOUND IN EMAILS")</f>
        <v/>
      </c>
      <c r="R1549" t="str">
        <f ca="1">""&amp;IFERROR(VLOOKUP(O1549,EMAILS!B:E,4,FALSE),"NO T FOUND IN EMAILS")</f>
        <v/>
      </c>
    </row>
    <row r="1550" spans="2:18" x14ac:dyDescent="0.25">
      <c r="B1550" s="5" t="s">
        <v>1552</v>
      </c>
      <c r="C1550" s="5" t="s">
        <v>5692</v>
      </c>
      <c r="D1550" s="5">
        <v>0</v>
      </c>
      <c r="E1550" s="5">
        <v>0</v>
      </c>
      <c r="F1550" s="5">
        <v>0</v>
      </c>
      <c r="G1550" s="5">
        <v>0</v>
      </c>
      <c r="H1550" s="5">
        <v>0</v>
      </c>
      <c r="I1550" s="5">
        <v>0</v>
      </c>
      <c r="J1550" s="5">
        <v>0</v>
      </c>
      <c r="K1550" s="5">
        <v>0</v>
      </c>
      <c r="L1550" s="5">
        <v>0</v>
      </c>
      <c r="M1550" s="5">
        <v>0</v>
      </c>
      <c r="N1550" s="5">
        <v>1741</v>
      </c>
      <c r="O1550" s="5" t="str">
        <f t="shared" ca="1" si="24"/>
        <v>Supplier 153</v>
      </c>
      <c r="P1550" s="20" t="str">
        <f ca="1">IFERROR(VLOOKUP(O1550,EMAILS!B:C,2,FALSE),"NOT FOUND IN EMAILS")</f>
        <v>supplier@gmail.com</v>
      </c>
      <c r="Q1550" t="str">
        <f ca="1">""&amp;IFERROR(VLOOKUP(O1550,EMAILS!B:D,3,FALSE),"NOT FOUND IN EMAILS")</f>
        <v/>
      </c>
      <c r="R1550" t="str">
        <f ca="1">""&amp;IFERROR(VLOOKUP(O1550,EMAILS!B:E,4,FALSE),"NO T FOUND IN EMAILS")</f>
        <v/>
      </c>
    </row>
    <row r="1551" spans="2:18" x14ac:dyDescent="0.25">
      <c r="B1551" s="5" t="s">
        <v>1553</v>
      </c>
      <c r="C1551" s="5" t="s">
        <v>5693</v>
      </c>
      <c r="D1551" s="5">
        <v>76</v>
      </c>
      <c r="E1551" s="5">
        <v>68</v>
      </c>
      <c r="F1551" s="5">
        <v>92</v>
      </c>
      <c r="G1551" s="5">
        <v>92</v>
      </c>
      <c r="H1551" s="5">
        <v>40</v>
      </c>
      <c r="I1551" s="5">
        <v>52</v>
      </c>
      <c r="J1551" s="5">
        <v>40</v>
      </c>
      <c r="K1551" s="5">
        <v>52</v>
      </c>
      <c r="L1551" s="5">
        <v>34</v>
      </c>
      <c r="M1551" s="5">
        <v>0</v>
      </c>
      <c r="N1551" s="5">
        <v>0</v>
      </c>
      <c r="O1551" s="5" t="str">
        <f t="shared" ca="1" si="24"/>
        <v>Supplier 11</v>
      </c>
      <c r="P1551" s="20" t="str">
        <f ca="1">IFERROR(VLOOKUP(O1551,EMAILS!B:C,2,FALSE),"NOT FOUND IN EMAILS")</f>
        <v>supplier@gmail.com</v>
      </c>
      <c r="Q1551" t="str">
        <f ca="1">""&amp;IFERROR(VLOOKUP(O1551,EMAILS!B:D,3,FALSE),"NOT FOUND IN EMAILS")</f>
        <v>supplier_logistics@gmail.com</v>
      </c>
      <c r="R1551" t="str">
        <f ca="1">""&amp;IFERROR(VLOOKUP(O1551,EMAILS!B:E,4,FALSE),"NO T FOUND IN EMAILS")</f>
        <v/>
      </c>
    </row>
    <row r="1552" spans="2:18" x14ac:dyDescent="0.25">
      <c r="B1552" s="5" t="s">
        <v>1554</v>
      </c>
      <c r="C1552" s="5" t="s">
        <v>5694</v>
      </c>
      <c r="D1552" s="5">
        <v>0</v>
      </c>
      <c r="E1552" s="5">
        <v>0</v>
      </c>
      <c r="F1552" s="5">
        <v>0</v>
      </c>
      <c r="G1552" s="5">
        <v>0</v>
      </c>
      <c r="H1552" s="5">
        <v>0</v>
      </c>
      <c r="I1552" s="5">
        <v>0</v>
      </c>
      <c r="J1552" s="5">
        <v>0</v>
      </c>
      <c r="K1552" s="5">
        <v>0</v>
      </c>
      <c r="L1552" s="5">
        <v>0</v>
      </c>
      <c r="M1552" s="5">
        <v>0</v>
      </c>
      <c r="N1552" s="5">
        <v>1403</v>
      </c>
      <c r="O1552" s="5" t="str">
        <f t="shared" ca="1" si="24"/>
        <v>Supplier 149</v>
      </c>
      <c r="P1552" s="20" t="str">
        <f ca="1">IFERROR(VLOOKUP(O1552,EMAILS!B:C,2,FALSE),"NOT FOUND IN EMAILS")</f>
        <v>supplier@gmail.com</v>
      </c>
      <c r="Q1552" t="str">
        <f ca="1">""&amp;IFERROR(VLOOKUP(O1552,EMAILS!B:D,3,FALSE),"NOT FOUND IN EMAILS")</f>
        <v/>
      </c>
      <c r="R1552" t="str">
        <f ca="1">""&amp;IFERROR(VLOOKUP(O1552,EMAILS!B:E,4,FALSE),"NO T FOUND IN EMAILS")</f>
        <v/>
      </c>
    </row>
    <row r="1553" spans="2:18" x14ac:dyDescent="0.25">
      <c r="B1553" s="5" t="s">
        <v>1555</v>
      </c>
      <c r="C1553" s="5" t="s">
        <v>5695</v>
      </c>
      <c r="D1553" s="5">
        <v>76</v>
      </c>
      <c r="E1553" s="5">
        <v>68</v>
      </c>
      <c r="F1553" s="5">
        <v>92</v>
      </c>
      <c r="G1553" s="5">
        <v>92</v>
      </c>
      <c r="H1553" s="5">
        <v>40</v>
      </c>
      <c r="I1553" s="5">
        <v>52</v>
      </c>
      <c r="J1553" s="5">
        <v>40</v>
      </c>
      <c r="K1553" s="5">
        <v>52</v>
      </c>
      <c r="L1553" s="5">
        <v>34</v>
      </c>
      <c r="M1553" s="5">
        <v>0</v>
      </c>
      <c r="N1553" s="5">
        <v>0</v>
      </c>
      <c r="O1553" s="5" t="str">
        <f t="shared" ca="1" si="24"/>
        <v>Supplier 78</v>
      </c>
      <c r="P1553" s="20" t="str">
        <f ca="1">IFERROR(VLOOKUP(O1553,EMAILS!B:C,2,FALSE),"NOT FOUND IN EMAILS")</f>
        <v>supplier@gmail.com</v>
      </c>
      <c r="Q1553" t="str">
        <f ca="1">""&amp;IFERROR(VLOOKUP(O1553,EMAILS!B:D,3,FALSE),"NOT FOUND IN EMAILS")</f>
        <v/>
      </c>
      <c r="R1553" t="str">
        <f ca="1">""&amp;IFERROR(VLOOKUP(O1553,EMAILS!B:E,4,FALSE),"NO T FOUND IN EMAILS")</f>
        <v/>
      </c>
    </row>
    <row r="1554" spans="2:18" x14ac:dyDescent="0.25">
      <c r="B1554" s="5" t="s">
        <v>1556</v>
      </c>
      <c r="C1554" s="5" t="s">
        <v>5696</v>
      </c>
      <c r="D1554" s="5">
        <v>0</v>
      </c>
      <c r="E1554" s="5">
        <v>0</v>
      </c>
      <c r="F1554" s="5">
        <v>0</v>
      </c>
      <c r="G1554" s="5">
        <v>0</v>
      </c>
      <c r="H1554" s="5">
        <v>0</v>
      </c>
      <c r="I1554" s="5">
        <v>0</v>
      </c>
      <c r="J1554" s="5">
        <v>0</v>
      </c>
      <c r="K1554" s="5">
        <v>0</v>
      </c>
      <c r="L1554" s="5">
        <v>0</v>
      </c>
      <c r="M1554" s="5">
        <v>0</v>
      </c>
      <c r="N1554" s="5">
        <v>1233</v>
      </c>
      <c r="O1554" s="5" t="str">
        <f t="shared" ca="1" si="24"/>
        <v>Supplier 78</v>
      </c>
      <c r="P1554" s="20" t="str">
        <f ca="1">IFERROR(VLOOKUP(O1554,EMAILS!B:C,2,FALSE),"NOT FOUND IN EMAILS")</f>
        <v>supplier@gmail.com</v>
      </c>
      <c r="Q1554" t="str">
        <f ca="1">""&amp;IFERROR(VLOOKUP(O1554,EMAILS!B:D,3,FALSE),"NOT FOUND IN EMAILS")</f>
        <v/>
      </c>
      <c r="R1554" t="str">
        <f ca="1">""&amp;IFERROR(VLOOKUP(O1554,EMAILS!B:E,4,FALSE),"NO T FOUND IN EMAILS")</f>
        <v/>
      </c>
    </row>
    <row r="1555" spans="2:18" x14ac:dyDescent="0.25">
      <c r="B1555" s="5" t="s">
        <v>1557</v>
      </c>
      <c r="C1555" s="5" t="s">
        <v>5697</v>
      </c>
      <c r="D1555" s="5">
        <v>76</v>
      </c>
      <c r="E1555" s="5">
        <v>68</v>
      </c>
      <c r="F1555" s="5">
        <v>92</v>
      </c>
      <c r="G1555" s="5">
        <v>92</v>
      </c>
      <c r="H1555" s="5">
        <v>40</v>
      </c>
      <c r="I1555" s="5">
        <v>52</v>
      </c>
      <c r="J1555" s="5">
        <v>40</v>
      </c>
      <c r="K1555" s="5">
        <v>52</v>
      </c>
      <c r="L1555" s="5">
        <v>34</v>
      </c>
      <c r="M1555" s="5">
        <v>0</v>
      </c>
      <c r="N1555" s="5">
        <v>0</v>
      </c>
      <c r="O1555" s="5" t="str">
        <f t="shared" ca="1" si="24"/>
        <v>Supplier 45</v>
      </c>
      <c r="P1555" s="20" t="str">
        <f ca="1">IFERROR(VLOOKUP(O1555,EMAILS!B:C,2,FALSE),"NOT FOUND IN EMAILS")</f>
        <v>supplier@gmail.com</v>
      </c>
      <c r="Q1555" t="str">
        <f ca="1">""&amp;IFERROR(VLOOKUP(O1555,EMAILS!B:D,3,FALSE),"NOT FOUND IN EMAILS")</f>
        <v/>
      </c>
      <c r="R1555" t="str">
        <f ca="1">""&amp;IFERROR(VLOOKUP(O1555,EMAILS!B:E,4,FALSE),"NO T FOUND IN EMAILS")</f>
        <v/>
      </c>
    </row>
    <row r="1556" spans="2:18" x14ac:dyDescent="0.25">
      <c r="B1556" s="5" t="s">
        <v>1558</v>
      </c>
      <c r="C1556" s="5" t="s">
        <v>5698</v>
      </c>
      <c r="D1556" s="5">
        <v>0</v>
      </c>
      <c r="E1556" s="5">
        <v>0</v>
      </c>
      <c r="F1556" s="5">
        <v>0</v>
      </c>
      <c r="G1556" s="5">
        <v>0</v>
      </c>
      <c r="H1556" s="5">
        <v>0</v>
      </c>
      <c r="I1556" s="5">
        <v>0</v>
      </c>
      <c r="J1556" s="5">
        <v>0</v>
      </c>
      <c r="K1556" s="5">
        <v>0</v>
      </c>
      <c r="L1556" s="5">
        <v>0</v>
      </c>
      <c r="M1556" s="5">
        <v>0</v>
      </c>
      <c r="N1556" s="5">
        <v>2250</v>
      </c>
      <c r="O1556" s="5" t="str">
        <f t="shared" ca="1" si="24"/>
        <v>Supplier 191</v>
      </c>
      <c r="P1556" s="20" t="str">
        <f ca="1">IFERROR(VLOOKUP(O1556,EMAILS!B:C,2,FALSE),"NOT FOUND IN EMAILS")</f>
        <v>supplier@gmail.com</v>
      </c>
      <c r="Q1556" t="str">
        <f ca="1">""&amp;IFERROR(VLOOKUP(O1556,EMAILS!B:D,3,FALSE),"NOT FOUND IN EMAILS")</f>
        <v/>
      </c>
      <c r="R1556" t="str">
        <f ca="1">""&amp;IFERROR(VLOOKUP(O1556,EMAILS!B:E,4,FALSE),"NO T FOUND IN EMAILS")</f>
        <v/>
      </c>
    </row>
    <row r="1557" spans="2:18" x14ac:dyDescent="0.25">
      <c r="B1557" s="5" t="s">
        <v>1559</v>
      </c>
      <c r="C1557" s="5" t="s">
        <v>5699</v>
      </c>
      <c r="D1557" s="5">
        <v>76</v>
      </c>
      <c r="E1557" s="5">
        <v>68</v>
      </c>
      <c r="F1557" s="5">
        <v>92</v>
      </c>
      <c r="G1557" s="5">
        <v>92</v>
      </c>
      <c r="H1557" s="5">
        <v>40</v>
      </c>
      <c r="I1557" s="5">
        <v>52</v>
      </c>
      <c r="J1557" s="5">
        <v>40</v>
      </c>
      <c r="K1557" s="5">
        <v>52</v>
      </c>
      <c r="L1557" s="5">
        <v>34</v>
      </c>
      <c r="M1557" s="5">
        <v>0</v>
      </c>
      <c r="N1557" s="5">
        <v>0</v>
      </c>
      <c r="O1557" s="5" t="str">
        <f t="shared" ca="1" si="24"/>
        <v>Supplier 190</v>
      </c>
      <c r="P1557" s="20" t="str">
        <f ca="1">IFERROR(VLOOKUP(O1557,EMAILS!B:C,2,FALSE),"NOT FOUND IN EMAILS")</f>
        <v>supplier@gmail.com</v>
      </c>
      <c r="Q1557" t="str">
        <f ca="1">""&amp;IFERROR(VLOOKUP(O1557,EMAILS!B:D,3,FALSE),"NOT FOUND IN EMAILS")</f>
        <v/>
      </c>
      <c r="R1557" t="str">
        <f ca="1">""&amp;IFERROR(VLOOKUP(O1557,EMAILS!B:E,4,FALSE),"NO T FOUND IN EMAILS")</f>
        <v/>
      </c>
    </row>
    <row r="1558" spans="2:18" x14ac:dyDescent="0.25">
      <c r="B1558" s="5" t="s">
        <v>1560</v>
      </c>
      <c r="C1558" s="5" t="s">
        <v>5700</v>
      </c>
      <c r="D1558" s="5">
        <v>0</v>
      </c>
      <c r="E1558" s="5">
        <v>0</v>
      </c>
      <c r="F1558" s="5">
        <v>0</v>
      </c>
      <c r="G1558" s="5">
        <v>0</v>
      </c>
      <c r="H1558" s="5">
        <v>0</v>
      </c>
      <c r="I1558" s="5">
        <v>0</v>
      </c>
      <c r="J1558" s="5">
        <v>0</v>
      </c>
      <c r="K1558" s="5">
        <v>0</v>
      </c>
      <c r="L1558" s="5">
        <v>0</v>
      </c>
      <c r="M1558" s="5">
        <v>0</v>
      </c>
      <c r="N1558" s="5">
        <v>26</v>
      </c>
      <c r="O1558" s="5" t="str">
        <f t="shared" ca="1" si="24"/>
        <v>Supplier 117</v>
      </c>
      <c r="P1558" s="20" t="str">
        <f ca="1">IFERROR(VLOOKUP(O1558,EMAILS!B:C,2,FALSE),"NOT FOUND IN EMAILS")</f>
        <v>supplier@gmail.com</v>
      </c>
      <c r="Q1558" t="str">
        <f ca="1">""&amp;IFERROR(VLOOKUP(O1558,EMAILS!B:D,3,FALSE),"NOT FOUND IN EMAILS")</f>
        <v/>
      </c>
      <c r="R1558" t="str">
        <f ca="1">""&amp;IFERROR(VLOOKUP(O1558,EMAILS!B:E,4,FALSE),"NO T FOUND IN EMAILS")</f>
        <v/>
      </c>
    </row>
    <row r="1559" spans="2:18" x14ac:dyDescent="0.25">
      <c r="B1559" s="5" t="s">
        <v>1561</v>
      </c>
      <c r="C1559" s="5" t="s">
        <v>5701</v>
      </c>
      <c r="D1559" s="5">
        <v>0</v>
      </c>
      <c r="E1559" s="5">
        <v>0</v>
      </c>
      <c r="F1559" s="5">
        <v>0</v>
      </c>
      <c r="G1559" s="5">
        <v>0</v>
      </c>
      <c r="H1559" s="5">
        <v>0</v>
      </c>
      <c r="I1559" s="5">
        <v>0</v>
      </c>
      <c r="J1559" s="5">
        <v>0</v>
      </c>
      <c r="K1559" s="5">
        <v>0</v>
      </c>
      <c r="L1559" s="5">
        <v>0</v>
      </c>
      <c r="M1559" s="5">
        <v>0</v>
      </c>
      <c r="N1559" s="5">
        <v>250</v>
      </c>
      <c r="O1559" s="5" t="str">
        <f t="shared" ca="1" si="24"/>
        <v>Supplier 137</v>
      </c>
      <c r="P1559" s="20" t="str">
        <f ca="1">IFERROR(VLOOKUP(O1559,EMAILS!B:C,2,FALSE),"NOT FOUND IN EMAILS")</f>
        <v>supplier@gmail.com</v>
      </c>
      <c r="Q1559" t="str">
        <f ca="1">""&amp;IFERROR(VLOOKUP(O1559,EMAILS!B:D,3,FALSE),"NOT FOUND IN EMAILS")</f>
        <v/>
      </c>
      <c r="R1559" t="str">
        <f ca="1">""&amp;IFERROR(VLOOKUP(O1559,EMAILS!B:E,4,FALSE),"NO T FOUND IN EMAILS")</f>
        <v/>
      </c>
    </row>
    <row r="1560" spans="2:18" x14ac:dyDescent="0.25">
      <c r="B1560" s="5" t="s">
        <v>1562</v>
      </c>
      <c r="C1560" s="5" t="s">
        <v>5702</v>
      </c>
      <c r="D1560" s="5">
        <v>0</v>
      </c>
      <c r="E1560" s="5">
        <v>2</v>
      </c>
      <c r="F1560" s="5">
        <v>2</v>
      </c>
      <c r="G1560" s="5">
        <v>2</v>
      </c>
      <c r="H1560" s="5">
        <v>10</v>
      </c>
      <c r="I1560" s="5">
        <v>6</v>
      </c>
      <c r="J1560" s="5">
        <v>0</v>
      </c>
      <c r="K1560" s="5">
        <v>8</v>
      </c>
      <c r="L1560" s="5">
        <v>2</v>
      </c>
      <c r="M1560" s="5">
        <v>0</v>
      </c>
      <c r="N1560" s="5">
        <v>0</v>
      </c>
      <c r="O1560" s="5" t="str">
        <f t="shared" ca="1" si="24"/>
        <v>Supplier 70</v>
      </c>
      <c r="P1560" s="20" t="str">
        <f ca="1">IFERROR(VLOOKUP(O1560,EMAILS!B:C,2,FALSE),"NOT FOUND IN EMAILS")</f>
        <v>supplier@gmail.com</v>
      </c>
      <c r="Q1560" t="str">
        <f ca="1">""&amp;IFERROR(VLOOKUP(O1560,EMAILS!B:D,3,FALSE),"NOT FOUND IN EMAILS")</f>
        <v/>
      </c>
      <c r="R1560" t="str">
        <f ca="1">""&amp;IFERROR(VLOOKUP(O1560,EMAILS!B:E,4,FALSE),"NO T FOUND IN EMAILS")</f>
        <v/>
      </c>
    </row>
    <row r="1561" spans="2:18" x14ac:dyDescent="0.25">
      <c r="B1561" s="5" t="s">
        <v>1563</v>
      </c>
      <c r="C1561" s="5" t="s">
        <v>5703</v>
      </c>
      <c r="D1561" s="5">
        <v>0</v>
      </c>
      <c r="E1561" s="5">
        <v>2</v>
      </c>
      <c r="F1561" s="5">
        <v>2</v>
      </c>
      <c r="G1561" s="5">
        <v>2</v>
      </c>
      <c r="H1561" s="5">
        <v>10</v>
      </c>
      <c r="I1561" s="5">
        <v>6</v>
      </c>
      <c r="J1561" s="5">
        <v>0</v>
      </c>
      <c r="K1561" s="5">
        <v>8</v>
      </c>
      <c r="L1561" s="5">
        <v>2</v>
      </c>
      <c r="M1561" s="5">
        <v>0</v>
      </c>
      <c r="N1561" s="5">
        <v>0</v>
      </c>
      <c r="O1561" s="5" t="str">
        <f t="shared" ca="1" si="24"/>
        <v>Supplier 9</v>
      </c>
      <c r="P1561" s="20" t="str">
        <f ca="1">IFERROR(VLOOKUP(O1561,EMAILS!B:C,2,FALSE),"NOT FOUND IN EMAILS")</f>
        <v>supplier@gmail.com</v>
      </c>
      <c r="Q1561" t="str">
        <f ca="1">""&amp;IFERROR(VLOOKUP(O1561,EMAILS!B:D,3,FALSE),"NOT FOUND IN EMAILS")</f>
        <v>supplier_logistics@gmail.com</v>
      </c>
      <c r="R1561" t="str">
        <f ca="1">""&amp;IFERROR(VLOOKUP(O1561,EMAILS!B:E,4,FALSE),"NO T FOUND IN EMAILS")</f>
        <v/>
      </c>
    </row>
    <row r="1562" spans="2:18" x14ac:dyDescent="0.25">
      <c r="B1562" s="5" t="s">
        <v>1564</v>
      </c>
      <c r="C1562" s="5" t="s">
        <v>5704</v>
      </c>
      <c r="D1562" s="5">
        <v>0</v>
      </c>
      <c r="E1562" s="5">
        <v>4</v>
      </c>
      <c r="F1562" s="5">
        <v>4</v>
      </c>
      <c r="G1562" s="5">
        <v>4</v>
      </c>
      <c r="H1562" s="5">
        <v>0</v>
      </c>
      <c r="I1562" s="5">
        <v>2</v>
      </c>
      <c r="J1562" s="5">
        <v>0</v>
      </c>
      <c r="K1562" s="5">
        <v>2</v>
      </c>
      <c r="L1562" s="5">
        <v>0</v>
      </c>
      <c r="M1562" s="5">
        <v>0</v>
      </c>
      <c r="N1562" s="5">
        <v>80</v>
      </c>
      <c r="O1562" s="5" t="str">
        <f t="shared" ca="1" si="24"/>
        <v>Supplier 91</v>
      </c>
      <c r="P1562" s="20" t="str">
        <f ca="1">IFERROR(VLOOKUP(O1562,EMAILS!B:C,2,FALSE),"NOT FOUND IN EMAILS")</f>
        <v>supplier@gmail.com</v>
      </c>
      <c r="Q1562" t="str">
        <f ca="1">""&amp;IFERROR(VLOOKUP(O1562,EMAILS!B:D,3,FALSE),"NOT FOUND IN EMAILS")</f>
        <v/>
      </c>
      <c r="R1562" t="str">
        <f ca="1">""&amp;IFERROR(VLOOKUP(O1562,EMAILS!B:E,4,FALSE),"NO T FOUND IN EMAILS")</f>
        <v/>
      </c>
    </row>
    <row r="1563" spans="2:18" x14ac:dyDescent="0.25">
      <c r="B1563" s="5" t="s">
        <v>1565</v>
      </c>
      <c r="C1563" s="5" t="s">
        <v>5705</v>
      </c>
      <c r="D1563" s="5">
        <v>0</v>
      </c>
      <c r="E1563" s="5">
        <v>4</v>
      </c>
      <c r="F1563" s="5">
        <v>4</v>
      </c>
      <c r="G1563" s="5">
        <v>4</v>
      </c>
      <c r="H1563" s="5">
        <v>0</v>
      </c>
      <c r="I1563" s="5">
        <v>2</v>
      </c>
      <c r="J1563" s="5">
        <v>0</v>
      </c>
      <c r="K1563" s="5">
        <v>2</v>
      </c>
      <c r="L1563" s="5">
        <v>0</v>
      </c>
      <c r="M1563" s="5">
        <v>0</v>
      </c>
      <c r="N1563" s="5">
        <v>0</v>
      </c>
      <c r="O1563" s="5" t="str">
        <f t="shared" ca="1" si="24"/>
        <v>Supplier 69</v>
      </c>
      <c r="P1563" s="20" t="str">
        <f ca="1">IFERROR(VLOOKUP(O1563,EMAILS!B:C,2,FALSE),"NOT FOUND IN EMAILS")</f>
        <v>supplier@gmail.com</v>
      </c>
      <c r="Q1563" t="str">
        <f ca="1">""&amp;IFERROR(VLOOKUP(O1563,EMAILS!B:D,3,FALSE),"NOT FOUND IN EMAILS")</f>
        <v/>
      </c>
      <c r="R1563" t="str">
        <f ca="1">""&amp;IFERROR(VLOOKUP(O1563,EMAILS!B:E,4,FALSE),"NO T FOUND IN EMAILS")</f>
        <v/>
      </c>
    </row>
    <row r="1564" spans="2:18" x14ac:dyDescent="0.25">
      <c r="B1564" s="5" t="s">
        <v>1566</v>
      </c>
      <c r="C1564" s="5" t="s">
        <v>5706</v>
      </c>
      <c r="D1564" s="5">
        <v>0</v>
      </c>
      <c r="E1564" s="5">
        <v>2</v>
      </c>
      <c r="F1564" s="5">
        <v>2</v>
      </c>
      <c r="G1564" s="5">
        <v>2</v>
      </c>
      <c r="H1564" s="5">
        <v>0</v>
      </c>
      <c r="I1564" s="5">
        <v>2</v>
      </c>
      <c r="J1564" s="5">
        <v>0</v>
      </c>
      <c r="K1564" s="5">
        <v>2</v>
      </c>
      <c r="L1564" s="5">
        <v>0</v>
      </c>
      <c r="M1564" s="5">
        <v>0</v>
      </c>
      <c r="N1564" s="5">
        <v>30</v>
      </c>
      <c r="O1564" s="5" t="str">
        <f t="shared" ca="1" si="24"/>
        <v>Supplier 164</v>
      </c>
      <c r="P1564" s="20" t="str">
        <f ca="1">IFERROR(VLOOKUP(O1564,EMAILS!B:C,2,FALSE),"NOT FOUND IN EMAILS")</f>
        <v>supplier@gmail.com</v>
      </c>
      <c r="Q1564" t="str">
        <f ca="1">""&amp;IFERROR(VLOOKUP(O1564,EMAILS!B:D,3,FALSE),"NOT FOUND IN EMAILS")</f>
        <v/>
      </c>
      <c r="R1564" t="str">
        <f ca="1">""&amp;IFERROR(VLOOKUP(O1564,EMAILS!B:E,4,FALSE),"NO T FOUND IN EMAILS")</f>
        <v/>
      </c>
    </row>
    <row r="1565" spans="2:18" x14ac:dyDescent="0.25">
      <c r="B1565" s="5" t="s">
        <v>1567</v>
      </c>
      <c r="C1565" s="5" t="s">
        <v>5707</v>
      </c>
      <c r="D1565" s="5">
        <v>0</v>
      </c>
      <c r="E1565" s="5">
        <v>2</v>
      </c>
      <c r="F1565" s="5">
        <v>2</v>
      </c>
      <c r="G1565" s="5">
        <v>2</v>
      </c>
      <c r="H1565" s="5">
        <v>0</v>
      </c>
      <c r="I1565" s="5">
        <v>0</v>
      </c>
      <c r="J1565" s="5">
        <v>0</v>
      </c>
      <c r="K1565" s="5">
        <v>0</v>
      </c>
      <c r="L1565" s="5">
        <v>0</v>
      </c>
      <c r="M1565" s="5">
        <v>0</v>
      </c>
      <c r="N1565" s="5">
        <v>0</v>
      </c>
      <c r="O1565" s="5" t="str">
        <f t="shared" ca="1" si="24"/>
        <v>Supplier 117</v>
      </c>
      <c r="P1565" s="20" t="str">
        <f ca="1">IFERROR(VLOOKUP(O1565,EMAILS!B:C,2,FALSE),"NOT FOUND IN EMAILS")</f>
        <v>supplier@gmail.com</v>
      </c>
      <c r="Q1565" t="str">
        <f ca="1">""&amp;IFERROR(VLOOKUP(O1565,EMAILS!B:D,3,FALSE),"NOT FOUND IN EMAILS")</f>
        <v/>
      </c>
      <c r="R1565" t="str">
        <f ca="1">""&amp;IFERROR(VLOOKUP(O1565,EMAILS!B:E,4,FALSE),"NO T FOUND IN EMAILS")</f>
        <v/>
      </c>
    </row>
    <row r="1566" spans="2:18" x14ac:dyDescent="0.25">
      <c r="B1566" s="5" t="s">
        <v>1568</v>
      </c>
      <c r="C1566" s="5" t="s">
        <v>5708</v>
      </c>
      <c r="D1566" s="5">
        <v>0</v>
      </c>
      <c r="E1566" s="5">
        <v>4</v>
      </c>
      <c r="F1566" s="5">
        <v>4</v>
      </c>
      <c r="G1566" s="5">
        <v>4</v>
      </c>
      <c r="H1566" s="5">
        <v>0</v>
      </c>
      <c r="I1566" s="5">
        <v>2</v>
      </c>
      <c r="J1566" s="5">
        <v>0</v>
      </c>
      <c r="K1566" s="5">
        <v>2</v>
      </c>
      <c r="L1566" s="5">
        <v>0</v>
      </c>
      <c r="M1566" s="5">
        <v>0</v>
      </c>
      <c r="N1566" s="5">
        <v>0</v>
      </c>
      <c r="O1566" s="5" t="str">
        <f t="shared" ca="1" si="24"/>
        <v>Supplier 174</v>
      </c>
      <c r="P1566" s="20" t="str">
        <f ca="1">IFERROR(VLOOKUP(O1566,EMAILS!B:C,2,FALSE),"NOT FOUND IN EMAILS")</f>
        <v>supplier@gmail.com</v>
      </c>
      <c r="Q1566" t="str">
        <f ca="1">""&amp;IFERROR(VLOOKUP(O1566,EMAILS!B:D,3,FALSE),"NOT FOUND IN EMAILS")</f>
        <v/>
      </c>
      <c r="R1566" t="str">
        <f ca="1">""&amp;IFERROR(VLOOKUP(O1566,EMAILS!B:E,4,FALSE),"NO T FOUND IN EMAILS")</f>
        <v/>
      </c>
    </row>
    <row r="1567" spans="2:18" x14ac:dyDescent="0.25">
      <c r="B1567" s="5" t="s">
        <v>1569</v>
      </c>
      <c r="C1567" s="5" t="s">
        <v>5709</v>
      </c>
      <c r="D1567" s="5">
        <v>0</v>
      </c>
      <c r="E1567" s="5">
        <v>4</v>
      </c>
      <c r="F1567" s="5">
        <v>4</v>
      </c>
      <c r="G1567" s="5">
        <v>4</v>
      </c>
      <c r="H1567" s="5">
        <v>0</v>
      </c>
      <c r="I1567" s="5">
        <v>2</v>
      </c>
      <c r="J1567" s="5">
        <v>0</v>
      </c>
      <c r="K1567" s="5">
        <v>2</v>
      </c>
      <c r="L1567" s="5">
        <v>0</v>
      </c>
      <c r="M1567" s="5">
        <v>0</v>
      </c>
      <c r="N1567" s="5">
        <v>541</v>
      </c>
      <c r="O1567" s="5" t="str">
        <f t="shared" ca="1" si="24"/>
        <v>Supplier 15</v>
      </c>
      <c r="P1567" s="20" t="str">
        <f ca="1">IFERROR(VLOOKUP(O1567,EMAILS!B:C,2,FALSE),"NOT FOUND IN EMAILS")</f>
        <v>supplier@gmail.com</v>
      </c>
      <c r="Q1567" t="str">
        <f ca="1">""&amp;IFERROR(VLOOKUP(O1567,EMAILS!B:D,3,FALSE),"NOT FOUND IN EMAILS")</f>
        <v>supplier_logistics@gmail.com</v>
      </c>
      <c r="R1567" t="str">
        <f ca="1">""&amp;IFERROR(VLOOKUP(O1567,EMAILS!B:E,4,FALSE),"NO T FOUND IN EMAILS")</f>
        <v/>
      </c>
    </row>
    <row r="1568" spans="2:18" x14ac:dyDescent="0.25">
      <c r="B1568" s="5" t="s">
        <v>1570</v>
      </c>
      <c r="C1568" s="5" t="s">
        <v>5710</v>
      </c>
      <c r="D1568" s="5">
        <v>0</v>
      </c>
      <c r="E1568" s="5">
        <v>0</v>
      </c>
      <c r="F1568" s="5">
        <v>0</v>
      </c>
      <c r="G1568" s="5">
        <v>0</v>
      </c>
      <c r="H1568" s="5">
        <v>0</v>
      </c>
      <c r="I1568" s="5">
        <v>0</v>
      </c>
      <c r="J1568" s="5">
        <v>0</v>
      </c>
      <c r="K1568" s="5">
        <v>0</v>
      </c>
      <c r="L1568" s="5">
        <v>0</v>
      </c>
      <c r="M1568" s="5">
        <v>0</v>
      </c>
      <c r="N1568" s="5">
        <v>276</v>
      </c>
      <c r="O1568" s="5" t="str">
        <f t="shared" ca="1" si="24"/>
        <v>Supplier 27</v>
      </c>
      <c r="P1568" s="20" t="str">
        <f ca="1">IFERROR(VLOOKUP(O1568,EMAILS!B:C,2,FALSE),"NOT FOUND IN EMAILS")</f>
        <v>supplier@gmail.com</v>
      </c>
      <c r="Q1568" t="str">
        <f ca="1">""&amp;IFERROR(VLOOKUP(O1568,EMAILS!B:D,3,FALSE),"NOT FOUND IN EMAILS")</f>
        <v/>
      </c>
      <c r="R1568" t="str">
        <f ca="1">""&amp;IFERROR(VLOOKUP(O1568,EMAILS!B:E,4,FALSE),"NO T FOUND IN EMAILS")</f>
        <v/>
      </c>
    </row>
    <row r="1569" spans="2:18" x14ac:dyDescent="0.25">
      <c r="B1569" s="5" t="s">
        <v>1571</v>
      </c>
      <c r="C1569" s="5" t="s">
        <v>5711</v>
      </c>
      <c r="D1569" s="5">
        <v>16</v>
      </c>
      <c r="E1569" s="5">
        <v>28</v>
      </c>
      <c r="F1569" s="5">
        <v>16</v>
      </c>
      <c r="G1569" s="5">
        <v>16</v>
      </c>
      <c r="H1569" s="5">
        <v>0</v>
      </c>
      <c r="I1569" s="5">
        <v>0</v>
      </c>
      <c r="J1569" s="5">
        <v>0</v>
      </c>
      <c r="K1569" s="5">
        <v>0</v>
      </c>
      <c r="L1569" s="5">
        <v>0</v>
      </c>
      <c r="M1569" s="5">
        <v>0</v>
      </c>
      <c r="N1569" s="5">
        <v>0</v>
      </c>
      <c r="O1569" s="5" t="str">
        <f t="shared" ca="1" si="24"/>
        <v>Supplier 146</v>
      </c>
      <c r="P1569" s="20" t="str">
        <f ca="1">IFERROR(VLOOKUP(O1569,EMAILS!B:C,2,FALSE),"NOT FOUND IN EMAILS")</f>
        <v>supplier@gmail.com</v>
      </c>
      <c r="Q1569" t="str">
        <f ca="1">""&amp;IFERROR(VLOOKUP(O1569,EMAILS!B:D,3,FALSE),"NOT FOUND IN EMAILS")</f>
        <v/>
      </c>
      <c r="R1569" t="str">
        <f ca="1">""&amp;IFERROR(VLOOKUP(O1569,EMAILS!B:E,4,FALSE),"NO T FOUND IN EMAILS")</f>
        <v/>
      </c>
    </row>
    <row r="1570" spans="2:18" x14ac:dyDescent="0.25">
      <c r="B1570" s="5" t="s">
        <v>1572</v>
      </c>
      <c r="C1570" s="5" t="s">
        <v>5712</v>
      </c>
      <c r="D1570" s="5">
        <v>0</v>
      </c>
      <c r="E1570" s="5">
        <v>0</v>
      </c>
      <c r="F1570" s="5">
        <v>0</v>
      </c>
      <c r="G1570" s="5">
        <v>0</v>
      </c>
      <c r="H1570" s="5">
        <v>0</v>
      </c>
      <c r="I1570" s="5">
        <v>0</v>
      </c>
      <c r="J1570" s="5">
        <v>0</v>
      </c>
      <c r="K1570" s="5">
        <v>0</v>
      </c>
      <c r="L1570" s="5">
        <v>0</v>
      </c>
      <c r="M1570" s="5">
        <v>0</v>
      </c>
      <c r="N1570" s="5">
        <v>0</v>
      </c>
      <c r="O1570" s="5" t="str">
        <f t="shared" ca="1" si="24"/>
        <v>Supplier 45</v>
      </c>
      <c r="P1570" s="20" t="str">
        <f ca="1">IFERROR(VLOOKUP(O1570,EMAILS!B:C,2,FALSE),"NOT FOUND IN EMAILS")</f>
        <v>supplier@gmail.com</v>
      </c>
      <c r="Q1570" t="str">
        <f ca="1">""&amp;IFERROR(VLOOKUP(O1570,EMAILS!B:D,3,FALSE),"NOT FOUND IN EMAILS")</f>
        <v/>
      </c>
      <c r="R1570" t="str">
        <f ca="1">""&amp;IFERROR(VLOOKUP(O1570,EMAILS!B:E,4,FALSE),"NO T FOUND IN EMAILS")</f>
        <v/>
      </c>
    </row>
    <row r="1571" spans="2:18" x14ac:dyDescent="0.25">
      <c r="B1571" s="5" t="s">
        <v>1573</v>
      </c>
      <c r="C1571" s="5" t="s">
        <v>5713</v>
      </c>
      <c r="D1571" s="5">
        <v>0</v>
      </c>
      <c r="E1571" s="5">
        <v>0</v>
      </c>
      <c r="F1571" s="5">
        <v>0</v>
      </c>
      <c r="G1571" s="5">
        <v>0</v>
      </c>
      <c r="H1571" s="5">
        <v>0</v>
      </c>
      <c r="I1571" s="5">
        <v>0</v>
      </c>
      <c r="J1571" s="5">
        <v>0</v>
      </c>
      <c r="K1571" s="5">
        <v>0</v>
      </c>
      <c r="L1571" s="5">
        <v>0</v>
      </c>
      <c r="M1571" s="5">
        <v>0</v>
      </c>
      <c r="N1571" s="5">
        <v>0</v>
      </c>
      <c r="O1571" s="5" t="str">
        <f t="shared" ca="1" si="24"/>
        <v>Supplier 97</v>
      </c>
      <c r="P1571" s="20" t="str">
        <f ca="1">IFERROR(VLOOKUP(O1571,EMAILS!B:C,2,FALSE),"NOT FOUND IN EMAILS")</f>
        <v>supplier@gmail.com</v>
      </c>
      <c r="Q1571" t="str">
        <f ca="1">""&amp;IFERROR(VLOOKUP(O1571,EMAILS!B:D,3,FALSE),"NOT FOUND IN EMAILS")</f>
        <v/>
      </c>
      <c r="R1571" t="str">
        <f ca="1">""&amp;IFERROR(VLOOKUP(O1571,EMAILS!B:E,4,FALSE),"NO T FOUND IN EMAILS")</f>
        <v/>
      </c>
    </row>
    <row r="1572" spans="2:18" x14ac:dyDescent="0.25">
      <c r="B1572" s="5" t="s">
        <v>1574</v>
      </c>
      <c r="C1572" s="5" t="s">
        <v>5714</v>
      </c>
      <c r="D1572" s="5">
        <v>0</v>
      </c>
      <c r="E1572" s="5">
        <v>0</v>
      </c>
      <c r="F1572" s="5">
        <v>0</v>
      </c>
      <c r="G1572" s="5">
        <v>0</v>
      </c>
      <c r="H1572" s="5">
        <v>0</v>
      </c>
      <c r="I1572" s="5">
        <v>0</v>
      </c>
      <c r="J1572" s="5">
        <v>0</v>
      </c>
      <c r="K1572" s="5">
        <v>0</v>
      </c>
      <c r="L1572" s="5">
        <v>0</v>
      </c>
      <c r="M1572" s="5">
        <v>0</v>
      </c>
      <c r="N1572" s="5">
        <v>0</v>
      </c>
      <c r="O1572" s="5" t="str">
        <f t="shared" ca="1" si="24"/>
        <v>Supplier 110</v>
      </c>
      <c r="P1572" s="20" t="str">
        <f ca="1">IFERROR(VLOOKUP(O1572,EMAILS!B:C,2,FALSE),"NOT FOUND IN EMAILS")</f>
        <v>supplier@gmail.com</v>
      </c>
      <c r="Q1572" t="str">
        <f ca="1">""&amp;IFERROR(VLOOKUP(O1572,EMAILS!B:D,3,FALSE),"NOT FOUND IN EMAILS")</f>
        <v/>
      </c>
      <c r="R1572" t="str">
        <f ca="1">""&amp;IFERROR(VLOOKUP(O1572,EMAILS!B:E,4,FALSE),"NO T FOUND IN EMAILS")</f>
        <v/>
      </c>
    </row>
    <row r="1573" spans="2:18" x14ac:dyDescent="0.25">
      <c r="B1573" s="5" t="s">
        <v>1575</v>
      </c>
      <c r="C1573" s="5" t="s">
        <v>5715</v>
      </c>
      <c r="D1573" s="5">
        <v>0</v>
      </c>
      <c r="E1573" s="5">
        <v>0</v>
      </c>
      <c r="F1573" s="5">
        <v>0</v>
      </c>
      <c r="G1573" s="5">
        <v>0</v>
      </c>
      <c r="H1573" s="5">
        <v>0</v>
      </c>
      <c r="I1573" s="5">
        <v>0</v>
      </c>
      <c r="J1573" s="5">
        <v>0</v>
      </c>
      <c r="K1573" s="5">
        <v>0</v>
      </c>
      <c r="L1573" s="5">
        <v>0</v>
      </c>
      <c r="M1573" s="5">
        <v>0</v>
      </c>
      <c r="N1573" s="5">
        <v>9</v>
      </c>
      <c r="O1573" s="5" t="str">
        <f t="shared" ca="1" si="24"/>
        <v>Supplier 73</v>
      </c>
      <c r="P1573" s="20" t="str">
        <f ca="1">IFERROR(VLOOKUP(O1573,EMAILS!B:C,2,FALSE),"NOT FOUND IN EMAILS")</f>
        <v>supplier@gmail.com</v>
      </c>
      <c r="Q1573" t="str">
        <f ca="1">""&amp;IFERROR(VLOOKUP(O1573,EMAILS!B:D,3,FALSE),"NOT FOUND IN EMAILS")</f>
        <v/>
      </c>
      <c r="R1573" t="str">
        <f ca="1">""&amp;IFERROR(VLOOKUP(O1573,EMAILS!B:E,4,FALSE),"NO T FOUND IN EMAILS")</f>
        <v/>
      </c>
    </row>
    <row r="1574" spans="2:18" x14ac:dyDescent="0.25">
      <c r="B1574" s="5" t="s">
        <v>1576</v>
      </c>
      <c r="C1574" s="5" t="s">
        <v>5716</v>
      </c>
      <c r="D1574" s="5">
        <v>0</v>
      </c>
      <c r="E1574" s="5">
        <v>0</v>
      </c>
      <c r="F1574" s="5">
        <v>0</v>
      </c>
      <c r="G1574" s="5">
        <v>0</v>
      </c>
      <c r="H1574" s="5">
        <v>0</v>
      </c>
      <c r="I1574" s="5">
        <v>0</v>
      </c>
      <c r="J1574" s="5">
        <v>0</v>
      </c>
      <c r="K1574" s="5">
        <v>0</v>
      </c>
      <c r="L1574" s="5">
        <v>0</v>
      </c>
      <c r="M1574" s="5">
        <v>0</v>
      </c>
      <c r="N1574" s="5">
        <v>19</v>
      </c>
      <c r="O1574" s="5" t="str">
        <f t="shared" ca="1" si="24"/>
        <v>Supplier 23</v>
      </c>
      <c r="P1574" s="20" t="str">
        <f ca="1">IFERROR(VLOOKUP(O1574,EMAILS!B:C,2,FALSE),"NOT FOUND IN EMAILS")</f>
        <v>supplier@gmail.com</v>
      </c>
      <c r="Q1574" t="str">
        <f ca="1">""&amp;IFERROR(VLOOKUP(O1574,EMAILS!B:D,3,FALSE),"NOT FOUND IN EMAILS")</f>
        <v/>
      </c>
      <c r="R1574" t="str">
        <f ca="1">""&amp;IFERROR(VLOOKUP(O1574,EMAILS!B:E,4,FALSE),"NO T FOUND IN EMAILS")</f>
        <v/>
      </c>
    </row>
    <row r="1575" spans="2:18" x14ac:dyDescent="0.25">
      <c r="B1575" s="5" t="s">
        <v>1577</v>
      </c>
      <c r="C1575" s="5" t="s">
        <v>5717</v>
      </c>
      <c r="D1575" s="5">
        <v>0</v>
      </c>
      <c r="E1575" s="5">
        <v>0</v>
      </c>
      <c r="F1575" s="5">
        <v>0</v>
      </c>
      <c r="G1575" s="5">
        <v>0</v>
      </c>
      <c r="H1575" s="5">
        <v>200</v>
      </c>
      <c r="I1575" s="5">
        <v>0</v>
      </c>
      <c r="J1575" s="5">
        <v>0</v>
      </c>
      <c r="K1575" s="5">
        <v>0</v>
      </c>
      <c r="L1575" s="5">
        <v>0</v>
      </c>
      <c r="M1575" s="5">
        <v>0</v>
      </c>
      <c r="N1575" s="5">
        <v>200</v>
      </c>
      <c r="O1575" s="5" t="str">
        <f t="shared" ca="1" si="24"/>
        <v>Supplier 49</v>
      </c>
      <c r="P1575" s="20" t="str">
        <f ca="1">IFERROR(VLOOKUP(O1575,EMAILS!B:C,2,FALSE),"NOT FOUND IN EMAILS")</f>
        <v>supplier@gmail.com</v>
      </c>
      <c r="Q1575" t="str">
        <f ca="1">""&amp;IFERROR(VLOOKUP(O1575,EMAILS!B:D,3,FALSE),"NOT FOUND IN EMAILS")</f>
        <v/>
      </c>
      <c r="R1575" t="str">
        <f ca="1">""&amp;IFERROR(VLOOKUP(O1575,EMAILS!B:E,4,FALSE),"NO T FOUND IN EMAILS")</f>
        <v/>
      </c>
    </row>
    <row r="1576" spans="2:18" x14ac:dyDescent="0.25">
      <c r="B1576" s="5" t="s">
        <v>1578</v>
      </c>
      <c r="C1576" s="5" t="s">
        <v>5718</v>
      </c>
      <c r="D1576" s="5">
        <v>0</v>
      </c>
      <c r="E1576" s="5">
        <v>100</v>
      </c>
      <c r="F1576" s="5">
        <v>0</v>
      </c>
      <c r="G1576" s="5">
        <v>100</v>
      </c>
      <c r="H1576" s="5">
        <v>0</v>
      </c>
      <c r="I1576" s="5">
        <v>100</v>
      </c>
      <c r="J1576" s="5">
        <v>0</v>
      </c>
      <c r="K1576" s="5">
        <v>0</v>
      </c>
      <c r="L1576" s="5">
        <v>0</v>
      </c>
      <c r="M1576" s="5">
        <v>0</v>
      </c>
      <c r="N1576" s="5">
        <v>60</v>
      </c>
      <c r="O1576" s="5" t="str">
        <f t="shared" ca="1" si="24"/>
        <v>Supplier 25</v>
      </c>
      <c r="P1576" s="20" t="str">
        <f ca="1">IFERROR(VLOOKUP(O1576,EMAILS!B:C,2,FALSE),"NOT FOUND IN EMAILS")</f>
        <v>supplier@gmail.com</v>
      </c>
      <c r="Q1576" t="str">
        <f ca="1">""&amp;IFERROR(VLOOKUP(O1576,EMAILS!B:D,3,FALSE),"NOT FOUND IN EMAILS")</f>
        <v/>
      </c>
      <c r="R1576" t="str">
        <f ca="1">""&amp;IFERROR(VLOOKUP(O1576,EMAILS!B:E,4,FALSE),"NO T FOUND IN EMAILS")</f>
        <v/>
      </c>
    </row>
    <row r="1577" spans="2:18" x14ac:dyDescent="0.25">
      <c r="B1577" s="5" t="s">
        <v>1579</v>
      </c>
      <c r="C1577" s="5" t="s">
        <v>5719</v>
      </c>
      <c r="D1577" s="5">
        <v>10</v>
      </c>
      <c r="E1577" s="5">
        <v>10</v>
      </c>
      <c r="F1577" s="5">
        <v>30</v>
      </c>
      <c r="G1577" s="5">
        <v>10</v>
      </c>
      <c r="H1577" s="5">
        <v>50</v>
      </c>
      <c r="I1577" s="5">
        <v>0</v>
      </c>
      <c r="J1577" s="5">
        <v>10</v>
      </c>
      <c r="K1577" s="5">
        <v>50</v>
      </c>
      <c r="L1577" s="5">
        <v>190</v>
      </c>
      <c r="M1577" s="5">
        <v>0</v>
      </c>
      <c r="N1577" s="5">
        <v>0</v>
      </c>
      <c r="O1577" s="5" t="str">
        <f t="shared" ca="1" si="24"/>
        <v>Supplier 3</v>
      </c>
      <c r="P1577" s="20" t="str">
        <f ca="1">IFERROR(VLOOKUP(O1577,EMAILS!B:C,2,FALSE),"NOT FOUND IN EMAILS")</f>
        <v>supplier@gmail.com</v>
      </c>
      <c r="Q1577" t="str">
        <f ca="1">""&amp;IFERROR(VLOOKUP(O1577,EMAILS!B:D,3,FALSE),"NOT FOUND IN EMAILS")</f>
        <v>supplier_logistics@gmail.com</v>
      </c>
      <c r="R1577" t="str">
        <f ca="1">""&amp;IFERROR(VLOOKUP(O1577,EMAILS!B:E,4,FALSE),"NO T FOUND IN EMAILS")</f>
        <v/>
      </c>
    </row>
    <row r="1578" spans="2:18" x14ac:dyDescent="0.25">
      <c r="B1578" s="5" t="s">
        <v>1580</v>
      </c>
      <c r="C1578" s="5" t="s">
        <v>5720</v>
      </c>
      <c r="D1578" s="5">
        <v>0</v>
      </c>
      <c r="E1578" s="5">
        <v>0</v>
      </c>
      <c r="F1578" s="5">
        <v>0</v>
      </c>
      <c r="G1578" s="5">
        <v>0</v>
      </c>
      <c r="H1578" s="5">
        <v>0</v>
      </c>
      <c r="I1578" s="5">
        <v>0</v>
      </c>
      <c r="J1578" s="5">
        <v>0</v>
      </c>
      <c r="K1578" s="5">
        <v>0</v>
      </c>
      <c r="L1578" s="5">
        <v>0</v>
      </c>
      <c r="M1578" s="5">
        <v>0</v>
      </c>
      <c r="N1578" s="5">
        <v>197</v>
      </c>
      <c r="O1578" s="5" t="str">
        <f t="shared" ca="1" si="24"/>
        <v>Supplier 108</v>
      </c>
      <c r="P1578" s="20" t="str">
        <f ca="1">IFERROR(VLOOKUP(O1578,EMAILS!B:C,2,FALSE),"NOT FOUND IN EMAILS")</f>
        <v>supplier@gmail.com</v>
      </c>
      <c r="Q1578" t="str">
        <f ca="1">""&amp;IFERROR(VLOOKUP(O1578,EMAILS!B:D,3,FALSE),"NOT FOUND IN EMAILS")</f>
        <v/>
      </c>
      <c r="R1578" t="str">
        <f ca="1">""&amp;IFERROR(VLOOKUP(O1578,EMAILS!B:E,4,FALSE),"NO T FOUND IN EMAILS")</f>
        <v/>
      </c>
    </row>
    <row r="1579" spans="2:18" x14ac:dyDescent="0.25">
      <c r="B1579" s="5" t="s">
        <v>1581</v>
      </c>
      <c r="C1579" s="5" t="s">
        <v>5721</v>
      </c>
      <c r="D1579" s="5">
        <v>200</v>
      </c>
      <c r="E1579" s="5">
        <v>0</v>
      </c>
      <c r="F1579" s="5">
        <v>140</v>
      </c>
      <c r="G1579" s="5">
        <v>3</v>
      </c>
      <c r="H1579" s="5">
        <v>0</v>
      </c>
      <c r="I1579" s="5">
        <v>1</v>
      </c>
      <c r="J1579" s="5">
        <v>25</v>
      </c>
      <c r="K1579" s="5">
        <v>12</v>
      </c>
      <c r="L1579" s="5">
        <v>30</v>
      </c>
      <c r="M1579" s="5">
        <v>0</v>
      </c>
      <c r="N1579" s="5">
        <v>1602</v>
      </c>
      <c r="O1579" s="5" t="str">
        <f t="shared" ca="1" si="24"/>
        <v>Supplier 72</v>
      </c>
      <c r="P1579" s="20" t="str">
        <f ca="1">IFERROR(VLOOKUP(O1579,EMAILS!B:C,2,FALSE),"NOT FOUND IN EMAILS")</f>
        <v>supplier@gmail.com</v>
      </c>
      <c r="Q1579" t="str">
        <f ca="1">""&amp;IFERROR(VLOOKUP(O1579,EMAILS!B:D,3,FALSE),"NOT FOUND IN EMAILS")</f>
        <v/>
      </c>
      <c r="R1579" t="str">
        <f ca="1">""&amp;IFERROR(VLOOKUP(O1579,EMAILS!B:E,4,FALSE),"NO T FOUND IN EMAILS")</f>
        <v/>
      </c>
    </row>
    <row r="1580" spans="2:18" x14ac:dyDescent="0.25">
      <c r="B1580" s="5" t="s">
        <v>1582</v>
      </c>
      <c r="C1580" s="5" t="s">
        <v>5722</v>
      </c>
      <c r="D1580" s="5">
        <v>0</v>
      </c>
      <c r="E1580" s="5">
        <v>0</v>
      </c>
      <c r="F1580" s="5">
        <v>0</v>
      </c>
      <c r="G1580" s="5">
        <v>0</v>
      </c>
      <c r="H1580" s="5">
        <v>0</v>
      </c>
      <c r="I1580" s="5">
        <v>2</v>
      </c>
      <c r="J1580" s="5">
        <v>0</v>
      </c>
      <c r="K1580" s="5">
        <v>0</v>
      </c>
      <c r="L1580" s="5">
        <v>0</v>
      </c>
      <c r="M1580" s="5">
        <v>0</v>
      </c>
      <c r="N1580" s="5">
        <v>976</v>
      </c>
      <c r="O1580" s="5" t="str">
        <f t="shared" ca="1" si="24"/>
        <v>Supplier 18</v>
      </c>
      <c r="P1580" s="20" t="str">
        <f ca="1">IFERROR(VLOOKUP(O1580,EMAILS!B:C,2,FALSE),"NOT FOUND IN EMAILS")</f>
        <v>supplier@gmail.com</v>
      </c>
      <c r="Q1580" t="str">
        <f ca="1">""&amp;IFERROR(VLOOKUP(O1580,EMAILS!B:D,3,FALSE),"NOT FOUND IN EMAILS")</f>
        <v>supplier_logistics@gmail.com</v>
      </c>
      <c r="R1580" t="str">
        <f ca="1">""&amp;IFERROR(VLOOKUP(O1580,EMAILS!B:E,4,FALSE),"NO T FOUND IN EMAILS")</f>
        <v/>
      </c>
    </row>
    <row r="1581" spans="2:18" x14ac:dyDescent="0.25">
      <c r="B1581" s="5" t="s">
        <v>1583</v>
      </c>
      <c r="C1581" s="5" t="s">
        <v>5723</v>
      </c>
      <c r="D1581" s="5">
        <v>0</v>
      </c>
      <c r="E1581" s="5">
        <v>0</v>
      </c>
      <c r="F1581" s="5">
        <v>0</v>
      </c>
      <c r="G1581" s="5">
        <v>5</v>
      </c>
      <c r="H1581" s="5">
        <v>0</v>
      </c>
      <c r="I1581" s="5">
        <v>1</v>
      </c>
      <c r="J1581" s="5">
        <v>0</v>
      </c>
      <c r="K1581" s="5">
        <v>0</v>
      </c>
      <c r="L1581" s="5">
        <v>0</v>
      </c>
      <c r="M1581" s="5">
        <v>0</v>
      </c>
      <c r="N1581" s="5">
        <v>32</v>
      </c>
      <c r="O1581" s="5" t="str">
        <f t="shared" ca="1" si="24"/>
        <v>Supplier 5</v>
      </c>
      <c r="P1581" s="20" t="str">
        <f ca="1">IFERROR(VLOOKUP(O1581,EMAILS!B:C,2,FALSE),"NOT FOUND IN EMAILS")</f>
        <v>supplier@gmail.com</v>
      </c>
      <c r="Q1581" t="str">
        <f ca="1">""&amp;IFERROR(VLOOKUP(O1581,EMAILS!B:D,3,FALSE),"NOT FOUND IN EMAILS")</f>
        <v>supplier_logistics@gmail.com</v>
      </c>
      <c r="R1581" t="str">
        <f ca="1">""&amp;IFERROR(VLOOKUP(O1581,EMAILS!B:E,4,FALSE),"NO T FOUND IN EMAILS")</f>
        <v/>
      </c>
    </row>
    <row r="1582" spans="2:18" x14ac:dyDescent="0.25">
      <c r="B1582" s="5" t="s">
        <v>1584</v>
      </c>
      <c r="C1582" s="5" t="s">
        <v>5724</v>
      </c>
      <c r="D1582" s="5">
        <v>1</v>
      </c>
      <c r="E1582" s="5">
        <v>0</v>
      </c>
      <c r="F1582" s="5">
        <v>8</v>
      </c>
      <c r="G1582" s="5">
        <v>4</v>
      </c>
      <c r="H1582" s="5">
        <v>3</v>
      </c>
      <c r="I1582" s="5">
        <v>0</v>
      </c>
      <c r="J1582" s="5">
        <v>2</v>
      </c>
      <c r="K1582" s="5">
        <v>5</v>
      </c>
      <c r="L1582" s="5">
        <v>0</v>
      </c>
      <c r="M1582" s="5">
        <v>0</v>
      </c>
      <c r="N1582" s="5">
        <v>20</v>
      </c>
      <c r="O1582" s="5" t="str">
        <f t="shared" ca="1" si="24"/>
        <v>Supplier 41</v>
      </c>
      <c r="P1582" s="20" t="str">
        <f ca="1">IFERROR(VLOOKUP(O1582,EMAILS!B:C,2,FALSE),"NOT FOUND IN EMAILS")</f>
        <v>supplier@gmail.com</v>
      </c>
      <c r="Q1582" t="str">
        <f ca="1">""&amp;IFERROR(VLOOKUP(O1582,EMAILS!B:D,3,FALSE),"NOT FOUND IN EMAILS")</f>
        <v/>
      </c>
      <c r="R1582" t="str">
        <f ca="1">""&amp;IFERROR(VLOOKUP(O1582,EMAILS!B:E,4,FALSE),"NO T FOUND IN EMAILS")</f>
        <v/>
      </c>
    </row>
    <row r="1583" spans="2:18" x14ac:dyDescent="0.25">
      <c r="B1583" s="5" t="s">
        <v>1585</v>
      </c>
      <c r="C1583" s="5" t="s">
        <v>5725</v>
      </c>
      <c r="D1583" s="5">
        <v>0</v>
      </c>
      <c r="E1583" s="5">
        <v>0</v>
      </c>
      <c r="F1583" s="5">
        <v>10</v>
      </c>
      <c r="G1583" s="5">
        <v>0</v>
      </c>
      <c r="H1583" s="5">
        <v>0</v>
      </c>
      <c r="I1583" s="5">
        <v>0</v>
      </c>
      <c r="J1583" s="5">
        <v>0</v>
      </c>
      <c r="K1583" s="5">
        <v>0</v>
      </c>
      <c r="L1583" s="5">
        <v>0</v>
      </c>
      <c r="M1583" s="5">
        <v>0</v>
      </c>
      <c r="N1583" s="5">
        <v>103</v>
      </c>
      <c r="O1583" s="5" t="str">
        <f t="shared" ca="1" si="24"/>
        <v>Supplier 109</v>
      </c>
      <c r="P1583" s="20" t="str">
        <f ca="1">IFERROR(VLOOKUP(O1583,EMAILS!B:C,2,FALSE),"NOT FOUND IN EMAILS")</f>
        <v>supplier@gmail.com</v>
      </c>
      <c r="Q1583" t="str">
        <f ca="1">""&amp;IFERROR(VLOOKUP(O1583,EMAILS!B:D,3,FALSE),"NOT FOUND IN EMAILS")</f>
        <v/>
      </c>
      <c r="R1583" t="str">
        <f ca="1">""&amp;IFERROR(VLOOKUP(O1583,EMAILS!B:E,4,FALSE),"NO T FOUND IN EMAILS")</f>
        <v/>
      </c>
    </row>
    <row r="1584" spans="2:18" x14ac:dyDescent="0.25">
      <c r="B1584" s="5" t="s">
        <v>1586</v>
      </c>
      <c r="C1584" s="5" t="s">
        <v>5726</v>
      </c>
      <c r="D1584" s="5">
        <v>0</v>
      </c>
      <c r="E1584" s="5">
        <v>0</v>
      </c>
      <c r="F1584" s="5">
        <v>0</v>
      </c>
      <c r="G1584" s="5">
        <v>0</v>
      </c>
      <c r="H1584" s="5">
        <v>0</v>
      </c>
      <c r="I1584" s="5">
        <v>0</v>
      </c>
      <c r="J1584" s="5">
        <v>0</v>
      </c>
      <c r="K1584" s="5">
        <v>0</v>
      </c>
      <c r="L1584" s="5">
        <v>0</v>
      </c>
      <c r="M1584" s="5">
        <v>0</v>
      </c>
      <c r="N1584" s="5">
        <v>11</v>
      </c>
      <c r="O1584" s="5" t="str">
        <f t="shared" ca="1" si="24"/>
        <v>Supplier 160</v>
      </c>
      <c r="P1584" s="20" t="str">
        <f ca="1">IFERROR(VLOOKUP(O1584,EMAILS!B:C,2,FALSE),"NOT FOUND IN EMAILS")</f>
        <v>supplier@gmail.com</v>
      </c>
      <c r="Q1584" t="str">
        <f ca="1">""&amp;IFERROR(VLOOKUP(O1584,EMAILS!B:D,3,FALSE),"NOT FOUND IN EMAILS")</f>
        <v/>
      </c>
      <c r="R1584" t="str">
        <f ca="1">""&amp;IFERROR(VLOOKUP(O1584,EMAILS!B:E,4,FALSE),"NO T FOUND IN EMAILS")</f>
        <v/>
      </c>
    </row>
    <row r="1585" spans="2:18" x14ac:dyDescent="0.25">
      <c r="B1585" s="5" t="s">
        <v>1587</v>
      </c>
      <c r="C1585" s="5" t="s">
        <v>5727</v>
      </c>
      <c r="D1585" s="5">
        <v>0</v>
      </c>
      <c r="E1585" s="5">
        <v>0</v>
      </c>
      <c r="F1585" s="5">
        <v>0</v>
      </c>
      <c r="G1585" s="5">
        <v>0</v>
      </c>
      <c r="H1585" s="5">
        <v>0</v>
      </c>
      <c r="I1585" s="5">
        <v>0</v>
      </c>
      <c r="J1585" s="5">
        <v>0</v>
      </c>
      <c r="K1585" s="5">
        <v>0</v>
      </c>
      <c r="L1585" s="5">
        <v>0</v>
      </c>
      <c r="M1585" s="5">
        <v>0</v>
      </c>
      <c r="N1585" s="5">
        <v>65</v>
      </c>
      <c r="O1585" s="5" t="str">
        <f t="shared" ca="1" si="24"/>
        <v>Supplier 142</v>
      </c>
      <c r="P1585" s="20" t="str">
        <f ca="1">IFERROR(VLOOKUP(O1585,EMAILS!B:C,2,FALSE),"NOT FOUND IN EMAILS")</f>
        <v>supplier@gmail.com</v>
      </c>
      <c r="Q1585" t="str">
        <f ca="1">""&amp;IFERROR(VLOOKUP(O1585,EMAILS!B:D,3,FALSE),"NOT FOUND IN EMAILS")</f>
        <v/>
      </c>
      <c r="R1585" t="str">
        <f ca="1">""&amp;IFERROR(VLOOKUP(O1585,EMAILS!B:E,4,FALSE),"NO T FOUND IN EMAILS")</f>
        <v/>
      </c>
    </row>
    <row r="1586" spans="2:18" x14ac:dyDescent="0.25">
      <c r="B1586" s="5" t="s">
        <v>1588</v>
      </c>
      <c r="C1586" s="5" t="s">
        <v>5728</v>
      </c>
      <c r="D1586" s="5">
        <v>0</v>
      </c>
      <c r="E1586" s="5">
        <v>0</v>
      </c>
      <c r="F1586" s="5">
        <v>0</v>
      </c>
      <c r="G1586" s="5">
        <v>0</v>
      </c>
      <c r="H1586" s="5">
        <v>0</v>
      </c>
      <c r="I1586" s="5">
        <v>40</v>
      </c>
      <c r="J1586" s="5">
        <v>0</v>
      </c>
      <c r="K1586" s="5">
        <v>0</v>
      </c>
      <c r="L1586" s="5">
        <v>20</v>
      </c>
      <c r="M1586" s="5">
        <v>0</v>
      </c>
      <c r="N1586" s="5">
        <v>278</v>
      </c>
      <c r="O1586" s="5" t="str">
        <f t="shared" ca="1" si="24"/>
        <v>Supplier 35</v>
      </c>
      <c r="P1586" s="20" t="str">
        <f ca="1">IFERROR(VLOOKUP(O1586,EMAILS!B:C,2,FALSE),"NOT FOUND IN EMAILS")</f>
        <v>supplier@gmail.com</v>
      </c>
      <c r="Q1586" t="str">
        <f ca="1">""&amp;IFERROR(VLOOKUP(O1586,EMAILS!B:D,3,FALSE),"NOT FOUND IN EMAILS")</f>
        <v/>
      </c>
      <c r="R1586" t="str">
        <f ca="1">""&amp;IFERROR(VLOOKUP(O1586,EMAILS!B:E,4,FALSE),"NO T FOUND IN EMAILS")</f>
        <v/>
      </c>
    </row>
    <row r="1587" spans="2:18" x14ac:dyDescent="0.25">
      <c r="B1587" s="5" t="s">
        <v>1589</v>
      </c>
      <c r="C1587" s="5" t="s">
        <v>5729</v>
      </c>
      <c r="D1587" s="5">
        <v>0</v>
      </c>
      <c r="E1587" s="5">
        <v>0</v>
      </c>
      <c r="F1587" s="5">
        <v>0</v>
      </c>
      <c r="G1587" s="5">
        <v>0</v>
      </c>
      <c r="H1587" s="5">
        <v>0</v>
      </c>
      <c r="I1587" s="5">
        <v>0</v>
      </c>
      <c r="J1587" s="5">
        <v>0</v>
      </c>
      <c r="K1587" s="5">
        <v>0</v>
      </c>
      <c r="L1587" s="5">
        <v>0</v>
      </c>
      <c r="M1587" s="5">
        <v>0</v>
      </c>
      <c r="N1587" s="5">
        <v>269</v>
      </c>
      <c r="O1587" s="5" t="str">
        <f t="shared" ca="1" si="24"/>
        <v>Supplier 85</v>
      </c>
      <c r="P1587" s="20" t="str">
        <f ca="1">IFERROR(VLOOKUP(O1587,EMAILS!B:C,2,FALSE),"NOT FOUND IN EMAILS")</f>
        <v>supplier@gmail.com</v>
      </c>
      <c r="Q1587" t="str">
        <f ca="1">""&amp;IFERROR(VLOOKUP(O1587,EMAILS!B:D,3,FALSE),"NOT FOUND IN EMAILS")</f>
        <v/>
      </c>
      <c r="R1587" t="str">
        <f ca="1">""&amp;IFERROR(VLOOKUP(O1587,EMAILS!B:E,4,FALSE),"NO T FOUND IN EMAILS")</f>
        <v/>
      </c>
    </row>
    <row r="1588" spans="2:18" x14ac:dyDescent="0.25">
      <c r="B1588" s="5" t="s">
        <v>1590</v>
      </c>
      <c r="C1588" s="5" t="s">
        <v>5730</v>
      </c>
      <c r="D1588" s="5">
        <v>0</v>
      </c>
      <c r="E1588" s="5">
        <v>0</v>
      </c>
      <c r="F1588" s="5">
        <v>0</v>
      </c>
      <c r="G1588" s="5">
        <v>0</v>
      </c>
      <c r="H1588" s="5">
        <v>0</v>
      </c>
      <c r="I1588" s="5">
        <v>0</v>
      </c>
      <c r="J1588" s="5">
        <v>0</v>
      </c>
      <c r="K1588" s="5">
        <v>0</v>
      </c>
      <c r="L1588" s="5">
        <v>0</v>
      </c>
      <c r="M1588" s="5">
        <v>0</v>
      </c>
      <c r="N1588" s="5">
        <v>181</v>
      </c>
      <c r="O1588" s="5" t="str">
        <f t="shared" ca="1" si="24"/>
        <v>Supplier 192</v>
      </c>
      <c r="P1588" s="20" t="str">
        <f ca="1">IFERROR(VLOOKUP(O1588,EMAILS!B:C,2,FALSE),"NOT FOUND IN EMAILS")</f>
        <v>supplier@gmail.com</v>
      </c>
      <c r="Q1588" t="str">
        <f ca="1">""&amp;IFERROR(VLOOKUP(O1588,EMAILS!B:D,3,FALSE),"NOT FOUND IN EMAILS")</f>
        <v/>
      </c>
      <c r="R1588" t="str">
        <f ca="1">""&amp;IFERROR(VLOOKUP(O1588,EMAILS!B:E,4,FALSE),"NO T FOUND IN EMAILS")</f>
        <v/>
      </c>
    </row>
    <row r="1589" spans="2:18" x14ac:dyDescent="0.25">
      <c r="B1589" s="5" t="s">
        <v>1591</v>
      </c>
      <c r="C1589" s="5" t="s">
        <v>5731</v>
      </c>
      <c r="D1589" s="5">
        <v>0</v>
      </c>
      <c r="E1589" s="5">
        <v>0</v>
      </c>
      <c r="F1589" s="5">
        <v>0</v>
      </c>
      <c r="G1589" s="5">
        <v>0</v>
      </c>
      <c r="H1589" s="5">
        <v>0</v>
      </c>
      <c r="I1589" s="5">
        <v>0</v>
      </c>
      <c r="J1589" s="5">
        <v>0</v>
      </c>
      <c r="K1589" s="5">
        <v>0</v>
      </c>
      <c r="L1589" s="5">
        <v>0</v>
      </c>
      <c r="M1589" s="5">
        <v>0</v>
      </c>
      <c r="N1589" s="5">
        <v>25</v>
      </c>
      <c r="O1589" s="5" t="str">
        <f t="shared" ca="1" si="24"/>
        <v>Supplier 47</v>
      </c>
      <c r="P1589" s="20" t="str">
        <f ca="1">IFERROR(VLOOKUP(O1589,EMAILS!B:C,2,FALSE),"NOT FOUND IN EMAILS")</f>
        <v>supplier@gmail.com</v>
      </c>
      <c r="Q1589" t="str">
        <f ca="1">""&amp;IFERROR(VLOOKUP(O1589,EMAILS!B:D,3,FALSE),"NOT FOUND IN EMAILS")</f>
        <v/>
      </c>
      <c r="R1589" t="str">
        <f ca="1">""&amp;IFERROR(VLOOKUP(O1589,EMAILS!B:E,4,FALSE),"NO T FOUND IN EMAILS")</f>
        <v/>
      </c>
    </row>
    <row r="1590" spans="2:18" x14ac:dyDescent="0.25">
      <c r="B1590" s="5" t="s">
        <v>1592</v>
      </c>
      <c r="C1590" s="5" t="s">
        <v>5732</v>
      </c>
      <c r="D1590" s="5">
        <v>0</v>
      </c>
      <c r="E1590" s="5">
        <v>0</v>
      </c>
      <c r="F1590" s="5">
        <v>0</v>
      </c>
      <c r="G1590" s="5">
        <v>0</v>
      </c>
      <c r="H1590" s="5">
        <v>0</v>
      </c>
      <c r="I1590" s="5">
        <v>0</v>
      </c>
      <c r="J1590" s="5">
        <v>0</v>
      </c>
      <c r="K1590" s="5">
        <v>10</v>
      </c>
      <c r="L1590" s="5">
        <v>0</v>
      </c>
      <c r="M1590" s="5">
        <v>0</v>
      </c>
      <c r="N1590" s="5">
        <v>14</v>
      </c>
      <c r="O1590" s="5" t="str">
        <f t="shared" ca="1" si="24"/>
        <v>Supplier 5</v>
      </c>
      <c r="P1590" s="20" t="str">
        <f ca="1">IFERROR(VLOOKUP(O1590,EMAILS!B:C,2,FALSE),"NOT FOUND IN EMAILS")</f>
        <v>supplier@gmail.com</v>
      </c>
      <c r="Q1590" t="str">
        <f ca="1">""&amp;IFERROR(VLOOKUP(O1590,EMAILS!B:D,3,FALSE),"NOT FOUND IN EMAILS")</f>
        <v>supplier_logistics@gmail.com</v>
      </c>
      <c r="R1590" t="str">
        <f ca="1">""&amp;IFERROR(VLOOKUP(O1590,EMAILS!B:E,4,FALSE),"NO T FOUND IN EMAILS")</f>
        <v/>
      </c>
    </row>
    <row r="1591" spans="2:18" x14ac:dyDescent="0.25">
      <c r="B1591" s="5" t="s">
        <v>1593</v>
      </c>
      <c r="C1591" s="5" t="s">
        <v>5733</v>
      </c>
      <c r="D1591" s="5">
        <v>0</v>
      </c>
      <c r="E1591" s="5">
        <v>0</v>
      </c>
      <c r="F1591" s="5">
        <v>0</v>
      </c>
      <c r="G1591" s="5">
        <v>0</v>
      </c>
      <c r="H1591" s="5">
        <v>0</v>
      </c>
      <c r="I1591" s="5">
        <v>0</v>
      </c>
      <c r="J1591" s="5">
        <v>0</v>
      </c>
      <c r="K1591" s="5">
        <v>10</v>
      </c>
      <c r="L1591" s="5">
        <v>0</v>
      </c>
      <c r="M1591" s="5">
        <v>0</v>
      </c>
      <c r="N1591" s="5">
        <v>100</v>
      </c>
      <c r="O1591" s="5" t="str">
        <f t="shared" ca="1" si="24"/>
        <v>Supplier 188</v>
      </c>
      <c r="P1591" s="20" t="str">
        <f ca="1">IFERROR(VLOOKUP(O1591,EMAILS!B:C,2,FALSE),"NOT FOUND IN EMAILS")</f>
        <v>supplier@gmail.com</v>
      </c>
      <c r="Q1591" t="str">
        <f ca="1">""&amp;IFERROR(VLOOKUP(O1591,EMAILS!B:D,3,FALSE),"NOT FOUND IN EMAILS")</f>
        <v/>
      </c>
      <c r="R1591" t="str">
        <f ca="1">""&amp;IFERROR(VLOOKUP(O1591,EMAILS!B:E,4,FALSE),"NO T FOUND IN EMAILS")</f>
        <v/>
      </c>
    </row>
    <row r="1592" spans="2:18" x14ac:dyDescent="0.25">
      <c r="B1592" s="5" t="s">
        <v>1594</v>
      </c>
      <c r="C1592" s="5" t="s">
        <v>5734</v>
      </c>
      <c r="D1592" s="5">
        <v>0</v>
      </c>
      <c r="E1592" s="5">
        <v>0</v>
      </c>
      <c r="F1592" s="5">
        <v>0</v>
      </c>
      <c r="G1592" s="5">
        <v>0</v>
      </c>
      <c r="H1592" s="5">
        <v>0</v>
      </c>
      <c r="I1592" s="5">
        <v>0</v>
      </c>
      <c r="J1592" s="5">
        <v>0</v>
      </c>
      <c r="K1592" s="5">
        <v>0</v>
      </c>
      <c r="L1592" s="5">
        <v>0</v>
      </c>
      <c r="M1592" s="5">
        <v>0</v>
      </c>
      <c r="N1592" s="5">
        <v>2497</v>
      </c>
      <c r="O1592" s="5" t="str">
        <f t="shared" ca="1" si="24"/>
        <v>Supplier 25</v>
      </c>
      <c r="P1592" s="20" t="str">
        <f ca="1">IFERROR(VLOOKUP(O1592,EMAILS!B:C,2,FALSE),"NOT FOUND IN EMAILS")</f>
        <v>supplier@gmail.com</v>
      </c>
      <c r="Q1592" t="str">
        <f ca="1">""&amp;IFERROR(VLOOKUP(O1592,EMAILS!B:D,3,FALSE),"NOT FOUND IN EMAILS")</f>
        <v/>
      </c>
      <c r="R1592" t="str">
        <f ca="1">""&amp;IFERROR(VLOOKUP(O1592,EMAILS!B:E,4,FALSE),"NO T FOUND IN EMAILS")</f>
        <v/>
      </c>
    </row>
    <row r="1593" spans="2:18" x14ac:dyDescent="0.25">
      <c r="B1593" s="5" t="s">
        <v>1595</v>
      </c>
      <c r="C1593" s="5" t="s">
        <v>5735</v>
      </c>
      <c r="D1593" s="5">
        <v>0</v>
      </c>
      <c r="E1593" s="5">
        <v>0</v>
      </c>
      <c r="F1593" s="5">
        <v>0</v>
      </c>
      <c r="G1593" s="5">
        <v>0</v>
      </c>
      <c r="H1593" s="5">
        <v>0</v>
      </c>
      <c r="I1593" s="5">
        <v>0</v>
      </c>
      <c r="J1593" s="5">
        <v>0</v>
      </c>
      <c r="K1593" s="5">
        <v>0</v>
      </c>
      <c r="L1593" s="5">
        <v>0</v>
      </c>
      <c r="M1593" s="5">
        <v>0</v>
      </c>
      <c r="N1593" s="5">
        <v>152</v>
      </c>
      <c r="O1593" s="5" t="str">
        <f t="shared" ca="1" si="24"/>
        <v>Supplier 56</v>
      </c>
      <c r="P1593" s="20" t="str">
        <f ca="1">IFERROR(VLOOKUP(O1593,EMAILS!B:C,2,FALSE),"NOT FOUND IN EMAILS")</f>
        <v>supplier@gmail.com</v>
      </c>
      <c r="Q1593" t="str">
        <f ca="1">""&amp;IFERROR(VLOOKUP(O1593,EMAILS!B:D,3,FALSE),"NOT FOUND IN EMAILS")</f>
        <v/>
      </c>
      <c r="R1593" t="str">
        <f ca="1">""&amp;IFERROR(VLOOKUP(O1593,EMAILS!B:E,4,FALSE),"NO T FOUND IN EMAILS")</f>
        <v/>
      </c>
    </row>
    <row r="1594" spans="2:18" x14ac:dyDescent="0.25">
      <c r="B1594" s="5" t="s">
        <v>1596</v>
      </c>
      <c r="C1594" s="5" t="s">
        <v>5736</v>
      </c>
      <c r="D1594" s="5">
        <v>0</v>
      </c>
      <c r="E1594" s="5">
        <v>0</v>
      </c>
      <c r="F1594" s="5">
        <v>0</v>
      </c>
      <c r="G1594" s="5">
        <v>0</v>
      </c>
      <c r="H1594" s="5">
        <v>0</v>
      </c>
      <c r="I1594" s="5">
        <v>0</v>
      </c>
      <c r="J1594" s="5">
        <v>0</v>
      </c>
      <c r="K1594" s="5">
        <v>0</v>
      </c>
      <c r="L1594" s="5">
        <v>0</v>
      </c>
      <c r="M1594" s="5">
        <v>0</v>
      </c>
      <c r="N1594" s="5">
        <v>98</v>
      </c>
      <c r="O1594" s="5" t="str">
        <f t="shared" ca="1" si="24"/>
        <v>Supplier 30</v>
      </c>
      <c r="P1594" s="20" t="str">
        <f ca="1">IFERROR(VLOOKUP(O1594,EMAILS!B:C,2,FALSE),"NOT FOUND IN EMAILS")</f>
        <v>supplier@gmail.com</v>
      </c>
      <c r="Q1594" t="str">
        <f ca="1">""&amp;IFERROR(VLOOKUP(O1594,EMAILS!B:D,3,FALSE),"NOT FOUND IN EMAILS")</f>
        <v/>
      </c>
      <c r="R1594" t="str">
        <f ca="1">""&amp;IFERROR(VLOOKUP(O1594,EMAILS!B:E,4,FALSE),"NO T FOUND IN EMAILS")</f>
        <v/>
      </c>
    </row>
    <row r="1595" spans="2:18" x14ac:dyDescent="0.25">
      <c r="B1595" s="5" t="s">
        <v>1597</v>
      </c>
      <c r="C1595" s="5" t="s">
        <v>5737</v>
      </c>
      <c r="D1595" s="5">
        <v>0</v>
      </c>
      <c r="E1595" s="5">
        <v>0</v>
      </c>
      <c r="F1595" s="5">
        <v>4</v>
      </c>
      <c r="G1595" s="5">
        <v>4</v>
      </c>
      <c r="H1595" s="5">
        <v>0</v>
      </c>
      <c r="I1595" s="5">
        <v>0</v>
      </c>
      <c r="J1595" s="5">
        <v>0</v>
      </c>
      <c r="K1595" s="5">
        <v>6</v>
      </c>
      <c r="L1595" s="5">
        <v>0</v>
      </c>
      <c r="M1595" s="5">
        <v>0</v>
      </c>
      <c r="N1595" s="5">
        <v>840</v>
      </c>
      <c r="O1595" s="5" t="str">
        <f t="shared" ca="1" si="24"/>
        <v>Supplier 100</v>
      </c>
      <c r="P1595" s="20" t="str">
        <f ca="1">IFERROR(VLOOKUP(O1595,EMAILS!B:C,2,FALSE),"NOT FOUND IN EMAILS")</f>
        <v>supplier@gmail.com</v>
      </c>
      <c r="Q1595" t="str">
        <f ca="1">""&amp;IFERROR(VLOOKUP(O1595,EMAILS!B:D,3,FALSE),"NOT FOUND IN EMAILS")</f>
        <v/>
      </c>
      <c r="R1595" t="str">
        <f ca="1">""&amp;IFERROR(VLOOKUP(O1595,EMAILS!B:E,4,FALSE),"NO T FOUND IN EMAILS")</f>
        <v/>
      </c>
    </row>
    <row r="1596" spans="2:18" x14ac:dyDescent="0.25">
      <c r="B1596" s="5" t="s">
        <v>1598</v>
      </c>
      <c r="C1596" s="5" t="s">
        <v>5738</v>
      </c>
      <c r="D1596" s="5">
        <v>100</v>
      </c>
      <c r="E1596" s="5">
        <v>10</v>
      </c>
      <c r="F1596" s="5">
        <v>60</v>
      </c>
      <c r="G1596" s="5">
        <v>40</v>
      </c>
      <c r="H1596" s="5">
        <v>80</v>
      </c>
      <c r="I1596" s="5">
        <v>40</v>
      </c>
      <c r="J1596" s="5">
        <v>20</v>
      </c>
      <c r="K1596" s="5">
        <v>50</v>
      </c>
      <c r="L1596" s="5">
        <v>70</v>
      </c>
      <c r="M1596" s="5">
        <v>0</v>
      </c>
      <c r="N1596" s="5">
        <v>646</v>
      </c>
      <c r="O1596" s="5" t="str">
        <f t="shared" ca="1" si="24"/>
        <v>Supplier 36</v>
      </c>
      <c r="P1596" s="20" t="str">
        <f ca="1">IFERROR(VLOOKUP(O1596,EMAILS!B:C,2,FALSE),"NOT FOUND IN EMAILS")</f>
        <v>supplier@gmail.com</v>
      </c>
      <c r="Q1596" t="str">
        <f ca="1">""&amp;IFERROR(VLOOKUP(O1596,EMAILS!B:D,3,FALSE),"NOT FOUND IN EMAILS")</f>
        <v/>
      </c>
      <c r="R1596" t="str">
        <f ca="1">""&amp;IFERROR(VLOOKUP(O1596,EMAILS!B:E,4,FALSE),"NO T FOUND IN EMAILS")</f>
        <v/>
      </c>
    </row>
    <row r="1597" spans="2:18" x14ac:dyDescent="0.25">
      <c r="B1597" s="5" t="s">
        <v>1599</v>
      </c>
      <c r="C1597" s="5" t="s">
        <v>5739</v>
      </c>
      <c r="D1597" s="5">
        <v>0</v>
      </c>
      <c r="E1597" s="5">
        <v>0</v>
      </c>
      <c r="F1597" s="5">
        <v>0</v>
      </c>
      <c r="G1597" s="5">
        <v>105</v>
      </c>
      <c r="H1597" s="5">
        <v>50</v>
      </c>
      <c r="I1597" s="5">
        <v>120</v>
      </c>
      <c r="J1597" s="5">
        <v>0</v>
      </c>
      <c r="K1597" s="5">
        <v>0</v>
      </c>
      <c r="L1597" s="5">
        <v>15</v>
      </c>
      <c r="M1597" s="5">
        <v>0</v>
      </c>
      <c r="N1597" s="5">
        <v>112</v>
      </c>
      <c r="O1597" s="5" t="str">
        <f t="shared" ca="1" si="24"/>
        <v>Supplier 16</v>
      </c>
      <c r="P1597" s="20" t="str">
        <f ca="1">IFERROR(VLOOKUP(O1597,EMAILS!B:C,2,FALSE),"NOT FOUND IN EMAILS")</f>
        <v>supplier@gmail.com</v>
      </c>
      <c r="Q1597" t="str">
        <f ca="1">""&amp;IFERROR(VLOOKUP(O1597,EMAILS!B:D,3,FALSE),"NOT FOUND IN EMAILS")</f>
        <v>supplier_logistics@gmail.com</v>
      </c>
      <c r="R1597" t="str">
        <f ca="1">""&amp;IFERROR(VLOOKUP(O1597,EMAILS!B:E,4,FALSE),"NO T FOUND IN EMAILS")</f>
        <v/>
      </c>
    </row>
    <row r="1598" spans="2:18" x14ac:dyDescent="0.25">
      <c r="B1598" s="5" t="s">
        <v>1600</v>
      </c>
      <c r="C1598" s="5" t="s">
        <v>5740</v>
      </c>
      <c r="D1598" s="5">
        <v>0</v>
      </c>
      <c r="E1598" s="5">
        <v>20</v>
      </c>
      <c r="F1598" s="5">
        <v>0</v>
      </c>
      <c r="G1598" s="5">
        <v>0</v>
      </c>
      <c r="H1598" s="5">
        <v>0</v>
      </c>
      <c r="I1598" s="5">
        <v>0</v>
      </c>
      <c r="J1598" s="5">
        <v>0</v>
      </c>
      <c r="K1598" s="5">
        <v>0</v>
      </c>
      <c r="L1598" s="5">
        <v>0</v>
      </c>
      <c r="M1598" s="5">
        <v>0</v>
      </c>
      <c r="N1598" s="5">
        <v>158</v>
      </c>
      <c r="O1598" s="5" t="str">
        <f t="shared" ca="1" si="24"/>
        <v>Supplier 170</v>
      </c>
      <c r="P1598" s="20" t="str">
        <f ca="1">IFERROR(VLOOKUP(O1598,EMAILS!B:C,2,FALSE),"NOT FOUND IN EMAILS")</f>
        <v>supplier@gmail.com</v>
      </c>
      <c r="Q1598" t="str">
        <f ca="1">""&amp;IFERROR(VLOOKUP(O1598,EMAILS!B:D,3,FALSE),"NOT FOUND IN EMAILS")</f>
        <v/>
      </c>
      <c r="R1598" t="str">
        <f ca="1">""&amp;IFERROR(VLOOKUP(O1598,EMAILS!B:E,4,FALSE),"NO T FOUND IN EMAILS")</f>
        <v/>
      </c>
    </row>
    <row r="1599" spans="2:18" x14ac:dyDescent="0.25">
      <c r="B1599" s="5" t="s">
        <v>1601</v>
      </c>
      <c r="C1599" s="5" t="s">
        <v>5741</v>
      </c>
      <c r="D1599" s="5">
        <v>0</v>
      </c>
      <c r="E1599" s="5">
        <v>0</v>
      </c>
      <c r="F1599" s="5">
        <v>0</v>
      </c>
      <c r="G1599" s="5">
        <v>0</v>
      </c>
      <c r="H1599" s="5">
        <v>0</v>
      </c>
      <c r="I1599" s="5">
        <v>0</v>
      </c>
      <c r="J1599" s="5">
        <v>0</v>
      </c>
      <c r="K1599" s="5">
        <v>0</v>
      </c>
      <c r="L1599" s="5">
        <v>0</v>
      </c>
      <c r="M1599" s="5">
        <v>0</v>
      </c>
      <c r="N1599" s="5">
        <v>118</v>
      </c>
      <c r="O1599" s="5" t="str">
        <f t="shared" ca="1" si="24"/>
        <v>Supplier 195</v>
      </c>
      <c r="P1599" s="20" t="str">
        <f ca="1">IFERROR(VLOOKUP(O1599,EMAILS!B:C,2,FALSE),"NOT FOUND IN EMAILS")</f>
        <v>supplier@gmail.com</v>
      </c>
      <c r="Q1599" t="str">
        <f ca="1">""&amp;IFERROR(VLOOKUP(O1599,EMAILS!B:D,3,FALSE),"NOT FOUND IN EMAILS")</f>
        <v/>
      </c>
      <c r="R1599" t="str">
        <f ca="1">""&amp;IFERROR(VLOOKUP(O1599,EMAILS!B:E,4,FALSE),"NO T FOUND IN EMAILS")</f>
        <v/>
      </c>
    </row>
    <row r="1600" spans="2:18" x14ac:dyDescent="0.25">
      <c r="B1600" s="5" t="s">
        <v>1602</v>
      </c>
      <c r="C1600" s="5" t="s">
        <v>5742</v>
      </c>
      <c r="D1600" s="5">
        <v>90</v>
      </c>
      <c r="E1600" s="5">
        <v>0</v>
      </c>
      <c r="F1600" s="5">
        <v>30</v>
      </c>
      <c r="G1600" s="5">
        <v>30</v>
      </c>
      <c r="H1600" s="5">
        <v>30</v>
      </c>
      <c r="I1600" s="5">
        <v>40</v>
      </c>
      <c r="J1600" s="5">
        <v>10</v>
      </c>
      <c r="K1600" s="5">
        <v>0</v>
      </c>
      <c r="L1600" s="5">
        <v>30</v>
      </c>
      <c r="M1600" s="5">
        <v>0</v>
      </c>
      <c r="N1600" s="5">
        <v>544</v>
      </c>
      <c r="O1600" s="5" t="str">
        <f t="shared" ca="1" si="24"/>
        <v>Supplier 42</v>
      </c>
      <c r="P1600" s="20" t="str">
        <f ca="1">IFERROR(VLOOKUP(O1600,EMAILS!B:C,2,FALSE),"NOT FOUND IN EMAILS")</f>
        <v>supplier@gmail.com</v>
      </c>
      <c r="Q1600" t="str">
        <f ca="1">""&amp;IFERROR(VLOOKUP(O1600,EMAILS!B:D,3,FALSE),"NOT FOUND IN EMAILS")</f>
        <v/>
      </c>
      <c r="R1600" t="str">
        <f ca="1">""&amp;IFERROR(VLOOKUP(O1600,EMAILS!B:E,4,FALSE),"NO T FOUND IN EMAILS")</f>
        <v/>
      </c>
    </row>
    <row r="1601" spans="2:18" x14ac:dyDescent="0.25">
      <c r="B1601" s="5" t="s">
        <v>1603</v>
      </c>
      <c r="C1601" s="5" t="s">
        <v>5743</v>
      </c>
      <c r="D1601" s="5">
        <v>0</v>
      </c>
      <c r="E1601" s="5">
        <v>0</v>
      </c>
      <c r="F1601" s="5">
        <v>0</v>
      </c>
      <c r="G1601" s="5">
        <v>105</v>
      </c>
      <c r="H1601" s="5">
        <v>50</v>
      </c>
      <c r="I1601" s="5">
        <v>120</v>
      </c>
      <c r="J1601" s="5">
        <v>0</v>
      </c>
      <c r="K1601" s="5">
        <v>0</v>
      </c>
      <c r="L1601" s="5">
        <v>15</v>
      </c>
      <c r="M1601" s="5">
        <v>0</v>
      </c>
      <c r="N1601" s="5">
        <v>0</v>
      </c>
      <c r="O1601" s="5" t="str">
        <f t="shared" ca="1" si="24"/>
        <v>Supplier 84</v>
      </c>
      <c r="P1601" s="20" t="str">
        <f ca="1">IFERROR(VLOOKUP(O1601,EMAILS!B:C,2,FALSE),"NOT FOUND IN EMAILS")</f>
        <v>supplier@gmail.com</v>
      </c>
      <c r="Q1601" t="str">
        <f ca="1">""&amp;IFERROR(VLOOKUP(O1601,EMAILS!B:D,3,FALSE),"NOT FOUND IN EMAILS")</f>
        <v/>
      </c>
      <c r="R1601" t="str">
        <f ca="1">""&amp;IFERROR(VLOOKUP(O1601,EMAILS!B:E,4,FALSE),"NO T FOUND IN EMAILS")</f>
        <v/>
      </c>
    </row>
    <row r="1602" spans="2:18" x14ac:dyDescent="0.25">
      <c r="B1602" s="5" t="s">
        <v>1604</v>
      </c>
      <c r="C1602" s="5" t="s">
        <v>5744</v>
      </c>
      <c r="D1602" s="5">
        <v>0</v>
      </c>
      <c r="E1602" s="5">
        <v>0</v>
      </c>
      <c r="F1602" s="5">
        <v>0</v>
      </c>
      <c r="G1602" s="5">
        <v>0</v>
      </c>
      <c r="H1602" s="5">
        <v>200</v>
      </c>
      <c r="I1602" s="5">
        <v>0</v>
      </c>
      <c r="J1602" s="5">
        <v>0</v>
      </c>
      <c r="K1602" s="5">
        <v>0</v>
      </c>
      <c r="L1602" s="5">
        <v>0</v>
      </c>
      <c r="M1602" s="5">
        <v>0</v>
      </c>
      <c r="N1602" s="5">
        <v>51</v>
      </c>
      <c r="O1602" s="5" t="str">
        <f t="shared" ca="1" si="24"/>
        <v>Supplier 16</v>
      </c>
      <c r="P1602" s="20" t="str">
        <f ca="1">IFERROR(VLOOKUP(O1602,EMAILS!B:C,2,FALSE),"NOT FOUND IN EMAILS")</f>
        <v>supplier@gmail.com</v>
      </c>
      <c r="Q1602" t="str">
        <f ca="1">""&amp;IFERROR(VLOOKUP(O1602,EMAILS!B:D,3,FALSE),"NOT FOUND IN EMAILS")</f>
        <v>supplier_logistics@gmail.com</v>
      </c>
      <c r="R1602" t="str">
        <f ca="1">""&amp;IFERROR(VLOOKUP(O1602,EMAILS!B:E,4,FALSE),"NO T FOUND IN EMAILS")</f>
        <v/>
      </c>
    </row>
    <row r="1603" spans="2:18" x14ac:dyDescent="0.25">
      <c r="B1603" s="5" t="s">
        <v>1605</v>
      </c>
      <c r="C1603" s="5" t="s">
        <v>5745</v>
      </c>
      <c r="D1603" s="5">
        <v>0</v>
      </c>
      <c r="E1603" s="5">
        <v>0</v>
      </c>
      <c r="F1603" s="5">
        <v>25</v>
      </c>
      <c r="G1603" s="5">
        <v>0</v>
      </c>
      <c r="H1603" s="5">
        <v>25</v>
      </c>
      <c r="I1603" s="5">
        <v>25</v>
      </c>
      <c r="J1603" s="5">
        <v>0</v>
      </c>
      <c r="K1603" s="5">
        <v>0</v>
      </c>
      <c r="L1603" s="5">
        <v>0</v>
      </c>
      <c r="M1603" s="5">
        <v>0</v>
      </c>
      <c r="N1603" s="5">
        <v>541</v>
      </c>
      <c r="O1603" s="5" t="str">
        <f t="shared" ref="O1603:O1666" ca="1" si="25">"Supplier "&amp;RANDBETWEEN(1,200)</f>
        <v>Supplier 32</v>
      </c>
      <c r="P1603" s="20" t="str">
        <f ca="1">IFERROR(VLOOKUP(O1603,EMAILS!B:C,2,FALSE),"NOT FOUND IN EMAILS")</f>
        <v>supplier@gmail.com</v>
      </c>
      <c r="Q1603" t="str">
        <f ca="1">""&amp;IFERROR(VLOOKUP(O1603,EMAILS!B:D,3,FALSE),"NOT FOUND IN EMAILS")</f>
        <v/>
      </c>
      <c r="R1603" t="str">
        <f ca="1">""&amp;IFERROR(VLOOKUP(O1603,EMAILS!B:E,4,FALSE),"NO T FOUND IN EMAILS")</f>
        <v/>
      </c>
    </row>
    <row r="1604" spans="2:18" x14ac:dyDescent="0.25">
      <c r="B1604" s="5" t="s">
        <v>1606</v>
      </c>
      <c r="C1604" s="5" t="s">
        <v>5746</v>
      </c>
      <c r="D1604" s="5">
        <v>0</v>
      </c>
      <c r="E1604" s="5">
        <v>0</v>
      </c>
      <c r="F1604" s="5">
        <v>0</v>
      </c>
      <c r="G1604" s="5">
        <v>0</v>
      </c>
      <c r="H1604" s="5">
        <v>0</v>
      </c>
      <c r="I1604" s="5">
        <v>0</v>
      </c>
      <c r="J1604" s="5">
        <v>0</v>
      </c>
      <c r="K1604" s="5">
        <v>0</v>
      </c>
      <c r="L1604" s="5">
        <v>0</v>
      </c>
      <c r="M1604" s="5">
        <v>0</v>
      </c>
      <c r="N1604" s="5">
        <v>39</v>
      </c>
      <c r="O1604" s="5" t="str">
        <f t="shared" ca="1" si="25"/>
        <v>Supplier 48</v>
      </c>
      <c r="P1604" s="20" t="str">
        <f ca="1">IFERROR(VLOOKUP(O1604,EMAILS!B:C,2,FALSE),"NOT FOUND IN EMAILS")</f>
        <v>supplier@gmail.com</v>
      </c>
      <c r="Q1604" t="str">
        <f ca="1">""&amp;IFERROR(VLOOKUP(O1604,EMAILS!B:D,3,FALSE),"NOT FOUND IN EMAILS")</f>
        <v/>
      </c>
      <c r="R1604" t="str">
        <f ca="1">""&amp;IFERROR(VLOOKUP(O1604,EMAILS!B:E,4,FALSE),"NO T FOUND IN EMAILS")</f>
        <v/>
      </c>
    </row>
    <row r="1605" spans="2:18" x14ac:dyDescent="0.25">
      <c r="B1605" s="5" t="s">
        <v>1607</v>
      </c>
      <c r="C1605" s="5" t="s">
        <v>5747</v>
      </c>
      <c r="D1605" s="5">
        <v>0</v>
      </c>
      <c r="E1605" s="5">
        <v>0</v>
      </c>
      <c r="F1605" s="5">
        <v>0</v>
      </c>
      <c r="G1605" s="5">
        <v>0</v>
      </c>
      <c r="H1605" s="5">
        <v>0</v>
      </c>
      <c r="I1605" s="5">
        <v>0</v>
      </c>
      <c r="J1605" s="5">
        <v>0</v>
      </c>
      <c r="K1605" s="5">
        <v>0</v>
      </c>
      <c r="L1605" s="5">
        <v>0</v>
      </c>
      <c r="M1605" s="5">
        <v>0</v>
      </c>
      <c r="N1605" s="5">
        <v>206</v>
      </c>
      <c r="O1605" s="5" t="str">
        <f t="shared" ca="1" si="25"/>
        <v>Supplier 120</v>
      </c>
      <c r="P1605" s="20" t="str">
        <f ca="1">IFERROR(VLOOKUP(O1605,EMAILS!B:C,2,FALSE),"NOT FOUND IN EMAILS")</f>
        <v>supplier@gmail.com</v>
      </c>
      <c r="Q1605" t="str">
        <f ca="1">""&amp;IFERROR(VLOOKUP(O1605,EMAILS!B:D,3,FALSE),"NOT FOUND IN EMAILS")</f>
        <v/>
      </c>
      <c r="R1605" t="str">
        <f ca="1">""&amp;IFERROR(VLOOKUP(O1605,EMAILS!B:E,4,FALSE),"NO T FOUND IN EMAILS")</f>
        <v/>
      </c>
    </row>
    <row r="1606" spans="2:18" x14ac:dyDescent="0.25">
      <c r="B1606" s="5" t="s">
        <v>1608</v>
      </c>
      <c r="C1606" s="5" t="s">
        <v>5748</v>
      </c>
      <c r="D1606" s="5">
        <v>0</v>
      </c>
      <c r="E1606" s="5">
        <v>100</v>
      </c>
      <c r="F1606" s="5">
        <v>0</v>
      </c>
      <c r="G1606" s="5">
        <v>100</v>
      </c>
      <c r="H1606" s="5">
        <v>50</v>
      </c>
      <c r="I1606" s="5">
        <v>100</v>
      </c>
      <c r="J1606" s="5">
        <v>0</v>
      </c>
      <c r="K1606" s="5">
        <v>50</v>
      </c>
      <c r="L1606" s="5">
        <v>0</v>
      </c>
      <c r="M1606" s="5">
        <v>0</v>
      </c>
      <c r="N1606" s="5">
        <v>500</v>
      </c>
      <c r="O1606" s="5" t="str">
        <f t="shared" ca="1" si="25"/>
        <v>Supplier 88</v>
      </c>
      <c r="P1606" s="20" t="str">
        <f ca="1">IFERROR(VLOOKUP(O1606,EMAILS!B:C,2,FALSE),"NOT FOUND IN EMAILS")</f>
        <v>supplier@gmail.com</v>
      </c>
      <c r="Q1606" t="str">
        <f ca="1">""&amp;IFERROR(VLOOKUP(O1606,EMAILS!B:D,3,FALSE),"NOT FOUND IN EMAILS")</f>
        <v/>
      </c>
      <c r="R1606" t="str">
        <f ca="1">""&amp;IFERROR(VLOOKUP(O1606,EMAILS!B:E,4,FALSE),"NO T FOUND IN EMAILS")</f>
        <v/>
      </c>
    </row>
    <row r="1607" spans="2:18" x14ac:dyDescent="0.25">
      <c r="B1607" s="5" t="s">
        <v>1609</v>
      </c>
      <c r="C1607" s="5" t="s">
        <v>5749</v>
      </c>
      <c r="D1607" s="5">
        <v>500</v>
      </c>
      <c r="E1607" s="5">
        <v>0</v>
      </c>
      <c r="F1607" s="5">
        <v>0</v>
      </c>
      <c r="G1607" s="5">
        <v>0</v>
      </c>
      <c r="H1607" s="5">
        <v>0</v>
      </c>
      <c r="I1607" s="5">
        <v>0</v>
      </c>
      <c r="J1607" s="5">
        <v>500</v>
      </c>
      <c r="K1607" s="5">
        <v>0</v>
      </c>
      <c r="L1607" s="5">
        <v>0</v>
      </c>
      <c r="M1607" s="5">
        <v>0</v>
      </c>
      <c r="N1607" s="5">
        <v>242</v>
      </c>
      <c r="O1607" s="5" t="str">
        <f t="shared" ca="1" si="25"/>
        <v>Supplier 82</v>
      </c>
      <c r="P1607" s="20" t="str">
        <f ca="1">IFERROR(VLOOKUP(O1607,EMAILS!B:C,2,FALSE),"NOT FOUND IN EMAILS")</f>
        <v>supplier@gmail.com</v>
      </c>
      <c r="Q1607" t="str">
        <f ca="1">""&amp;IFERROR(VLOOKUP(O1607,EMAILS!B:D,3,FALSE),"NOT FOUND IN EMAILS")</f>
        <v/>
      </c>
      <c r="R1607" t="str">
        <f ca="1">""&amp;IFERROR(VLOOKUP(O1607,EMAILS!B:E,4,FALSE),"NO T FOUND IN EMAILS")</f>
        <v/>
      </c>
    </row>
    <row r="1608" spans="2:18" x14ac:dyDescent="0.25">
      <c r="B1608" s="5" t="s">
        <v>1610</v>
      </c>
      <c r="C1608" s="5" t="s">
        <v>5750</v>
      </c>
      <c r="D1608" s="5">
        <v>4</v>
      </c>
      <c r="E1608" s="5">
        <v>0</v>
      </c>
      <c r="F1608" s="5">
        <v>4</v>
      </c>
      <c r="G1608" s="5">
        <v>0</v>
      </c>
      <c r="H1608" s="5">
        <v>2</v>
      </c>
      <c r="I1608" s="5">
        <v>0</v>
      </c>
      <c r="J1608" s="5">
        <v>0</v>
      </c>
      <c r="K1608" s="5">
        <v>2</v>
      </c>
      <c r="L1608" s="5">
        <v>0</v>
      </c>
      <c r="M1608" s="5">
        <v>0</v>
      </c>
      <c r="N1608" s="5">
        <v>210</v>
      </c>
      <c r="O1608" s="5" t="str">
        <f t="shared" ca="1" si="25"/>
        <v>Supplier 158</v>
      </c>
      <c r="P1608" s="20" t="str">
        <f ca="1">IFERROR(VLOOKUP(O1608,EMAILS!B:C,2,FALSE),"NOT FOUND IN EMAILS")</f>
        <v>supplier@gmail.com</v>
      </c>
      <c r="Q1608" t="str">
        <f ca="1">""&amp;IFERROR(VLOOKUP(O1608,EMAILS!B:D,3,FALSE),"NOT FOUND IN EMAILS")</f>
        <v/>
      </c>
      <c r="R1608" t="str">
        <f ca="1">""&amp;IFERROR(VLOOKUP(O1608,EMAILS!B:E,4,FALSE),"NO T FOUND IN EMAILS")</f>
        <v/>
      </c>
    </row>
    <row r="1609" spans="2:18" x14ac:dyDescent="0.25">
      <c r="B1609" s="5" t="s">
        <v>1611</v>
      </c>
      <c r="C1609" s="5" t="s">
        <v>5751</v>
      </c>
      <c r="D1609" s="5">
        <v>129</v>
      </c>
      <c r="E1609" s="5">
        <v>0</v>
      </c>
      <c r="F1609" s="5">
        <v>0</v>
      </c>
      <c r="G1609" s="5">
        <v>0</v>
      </c>
      <c r="H1609" s="5">
        <v>0</v>
      </c>
      <c r="I1609" s="5">
        <v>0</v>
      </c>
      <c r="J1609" s="5">
        <v>0</v>
      </c>
      <c r="K1609" s="5">
        <v>0</v>
      </c>
      <c r="L1609" s="5">
        <v>0</v>
      </c>
      <c r="M1609" s="5">
        <v>0</v>
      </c>
      <c r="N1609" s="5">
        <v>136</v>
      </c>
      <c r="O1609" s="5" t="str">
        <f t="shared" ca="1" si="25"/>
        <v>Supplier 73</v>
      </c>
      <c r="P1609" s="20" t="str">
        <f ca="1">IFERROR(VLOOKUP(O1609,EMAILS!B:C,2,FALSE),"NOT FOUND IN EMAILS")</f>
        <v>supplier@gmail.com</v>
      </c>
      <c r="Q1609" t="str">
        <f ca="1">""&amp;IFERROR(VLOOKUP(O1609,EMAILS!B:D,3,FALSE),"NOT FOUND IN EMAILS")</f>
        <v/>
      </c>
      <c r="R1609" t="str">
        <f ca="1">""&amp;IFERROR(VLOOKUP(O1609,EMAILS!B:E,4,FALSE),"NO T FOUND IN EMAILS")</f>
        <v/>
      </c>
    </row>
    <row r="1610" spans="2:18" x14ac:dyDescent="0.25">
      <c r="B1610" s="5" t="s">
        <v>1612</v>
      </c>
      <c r="C1610" s="5" t="s">
        <v>5752</v>
      </c>
      <c r="D1610" s="5">
        <v>10</v>
      </c>
      <c r="E1610" s="5">
        <v>0</v>
      </c>
      <c r="F1610" s="5">
        <v>30</v>
      </c>
      <c r="G1610" s="5">
        <v>0</v>
      </c>
      <c r="H1610" s="5">
        <v>0</v>
      </c>
      <c r="I1610" s="5">
        <v>0</v>
      </c>
      <c r="J1610" s="5">
        <v>0</v>
      </c>
      <c r="K1610" s="5">
        <v>0</v>
      </c>
      <c r="L1610" s="5">
        <v>50</v>
      </c>
      <c r="M1610" s="5">
        <v>0</v>
      </c>
      <c r="N1610" s="5">
        <v>391</v>
      </c>
      <c r="O1610" s="5" t="str">
        <f t="shared" ca="1" si="25"/>
        <v>Supplier 126</v>
      </c>
      <c r="P1610" s="20" t="str">
        <f ca="1">IFERROR(VLOOKUP(O1610,EMAILS!B:C,2,FALSE),"NOT FOUND IN EMAILS")</f>
        <v>supplier@gmail.com</v>
      </c>
      <c r="Q1610" t="str">
        <f ca="1">""&amp;IFERROR(VLOOKUP(O1610,EMAILS!B:D,3,FALSE),"NOT FOUND IN EMAILS")</f>
        <v/>
      </c>
      <c r="R1610" t="str">
        <f ca="1">""&amp;IFERROR(VLOOKUP(O1610,EMAILS!B:E,4,FALSE),"NO T FOUND IN EMAILS")</f>
        <v/>
      </c>
    </row>
    <row r="1611" spans="2:18" x14ac:dyDescent="0.25">
      <c r="B1611" s="5" t="s">
        <v>1613</v>
      </c>
      <c r="C1611" s="5" t="s">
        <v>5753</v>
      </c>
      <c r="D1611" s="5">
        <v>0</v>
      </c>
      <c r="E1611" s="5">
        <v>0</v>
      </c>
      <c r="F1611" s="5">
        <v>0</v>
      </c>
      <c r="G1611" s="5">
        <v>0</v>
      </c>
      <c r="H1611" s="5">
        <v>50</v>
      </c>
      <c r="I1611" s="5">
        <v>0</v>
      </c>
      <c r="J1611" s="5">
        <v>0</v>
      </c>
      <c r="K1611" s="5">
        <v>50</v>
      </c>
      <c r="L1611" s="5">
        <v>0</v>
      </c>
      <c r="M1611" s="5">
        <v>0</v>
      </c>
      <c r="N1611" s="5">
        <v>345</v>
      </c>
      <c r="O1611" s="5" t="str">
        <f t="shared" ca="1" si="25"/>
        <v>Supplier 139</v>
      </c>
      <c r="P1611" s="20" t="str">
        <f ca="1">IFERROR(VLOOKUP(O1611,EMAILS!B:C,2,FALSE),"NOT FOUND IN EMAILS")</f>
        <v>supplier@gmail.com</v>
      </c>
      <c r="Q1611" t="str">
        <f ca="1">""&amp;IFERROR(VLOOKUP(O1611,EMAILS!B:D,3,FALSE),"NOT FOUND IN EMAILS")</f>
        <v/>
      </c>
      <c r="R1611" t="str">
        <f ca="1">""&amp;IFERROR(VLOOKUP(O1611,EMAILS!B:E,4,FALSE),"NO T FOUND IN EMAILS")</f>
        <v/>
      </c>
    </row>
    <row r="1612" spans="2:18" x14ac:dyDescent="0.25">
      <c r="B1612" s="5" t="s">
        <v>1614</v>
      </c>
      <c r="C1612" s="5" t="s">
        <v>5754</v>
      </c>
      <c r="D1612" s="5">
        <v>1</v>
      </c>
      <c r="E1612" s="5">
        <v>0</v>
      </c>
      <c r="F1612" s="5">
        <v>1</v>
      </c>
      <c r="G1612" s="5">
        <v>2</v>
      </c>
      <c r="H1612" s="5">
        <v>1</v>
      </c>
      <c r="I1612" s="5">
        <v>0</v>
      </c>
      <c r="J1612" s="5">
        <v>0</v>
      </c>
      <c r="K1612" s="5">
        <v>1</v>
      </c>
      <c r="L1612" s="5">
        <v>0</v>
      </c>
      <c r="M1612" s="5">
        <v>0</v>
      </c>
      <c r="N1612" s="5">
        <v>3</v>
      </c>
      <c r="O1612" s="5" t="str">
        <f t="shared" ca="1" si="25"/>
        <v>Supplier 168</v>
      </c>
      <c r="P1612" s="20" t="str">
        <f ca="1">IFERROR(VLOOKUP(O1612,EMAILS!B:C,2,FALSE),"NOT FOUND IN EMAILS")</f>
        <v>supplier@gmail.com</v>
      </c>
      <c r="Q1612" t="str">
        <f ca="1">""&amp;IFERROR(VLOOKUP(O1612,EMAILS!B:D,3,FALSE),"NOT FOUND IN EMAILS")</f>
        <v/>
      </c>
      <c r="R1612" t="str">
        <f ca="1">""&amp;IFERROR(VLOOKUP(O1612,EMAILS!B:E,4,FALSE),"NO T FOUND IN EMAILS")</f>
        <v/>
      </c>
    </row>
    <row r="1613" spans="2:18" x14ac:dyDescent="0.25">
      <c r="B1613" s="5" t="s">
        <v>1615</v>
      </c>
      <c r="C1613" s="5" t="s">
        <v>5755</v>
      </c>
      <c r="D1613" s="5">
        <v>0</v>
      </c>
      <c r="E1613" s="5">
        <v>0</v>
      </c>
      <c r="F1613" s="5">
        <v>0</v>
      </c>
      <c r="G1613" s="5">
        <v>0</v>
      </c>
      <c r="H1613" s="5">
        <v>0</v>
      </c>
      <c r="I1613" s="5">
        <v>0</v>
      </c>
      <c r="J1613" s="5">
        <v>0</v>
      </c>
      <c r="K1613" s="5">
        <v>0</v>
      </c>
      <c r="L1613" s="5">
        <v>0</v>
      </c>
      <c r="M1613" s="5">
        <v>0</v>
      </c>
      <c r="N1613" s="5">
        <v>1430</v>
      </c>
      <c r="O1613" s="5" t="str">
        <f t="shared" ca="1" si="25"/>
        <v>Supplier 157</v>
      </c>
      <c r="P1613" s="20" t="str">
        <f ca="1">IFERROR(VLOOKUP(O1613,EMAILS!B:C,2,FALSE),"NOT FOUND IN EMAILS")</f>
        <v>supplier@gmail.com</v>
      </c>
      <c r="Q1613" t="str">
        <f ca="1">""&amp;IFERROR(VLOOKUP(O1613,EMAILS!B:D,3,FALSE),"NOT FOUND IN EMAILS")</f>
        <v/>
      </c>
      <c r="R1613" t="str">
        <f ca="1">""&amp;IFERROR(VLOOKUP(O1613,EMAILS!B:E,4,FALSE),"NO T FOUND IN EMAILS")</f>
        <v/>
      </c>
    </row>
    <row r="1614" spans="2:18" x14ac:dyDescent="0.25">
      <c r="B1614" s="5" t="s">
        <v>1616</v>
      </c>
      <c r="C1614" s="5" t="s">
        <v>5756</v>
      </c>
      <c r="D1614" s="5">
        <v>0</v>
      </c>
      <c r="E1614" s="5">
        <v>0</v>
      </c>
      <c r="F1614" s="5">
        <v>0</v>
      </c>
      <c r="G1614" s="5">
        <v>1</v>
      </c>
      <c r="H1614" s="5">
        <v>0</v>
      </c>
      <c r="I1614" s="5">
        <v>0</v>
      </c>
      <c r="J1614" s="5">
        <v>0</v>
      </c>
      <c r="K1614" s="5">
        <v>4</v>
      </c>
      <c r="L1614" s="5">
        <v>0</v>
      </c>
      <c r="M1614" s="5">
        <v>0</v>
      </c>
      <c r="N1614" s="5">
        <v>1530</v>
      </c>
      <c r="O1614" s="5" t="str">
        <f t="shared" ca="1" si="25"/>
        <v>Supplier 186</v>
      </c>
      <c r="P1614" s="20" t="str">
        <f ca="1">IFERROR(VLOOKUP(O1614,EMAILS!B:C,2,FALSE),"NOT FOUND IN EMAILS")</f>
        <v>supplier@gmail.com</v>
      </c>
      <c r="Q1614" t="str">
        <f ca="1">""&amp;IFERROR(VLOOKUP(O1614,EMAILS!B:D,3,FALSE),"NOT FOUND IN EMAILS")</f>
        <v/>
      </c>
      <c r="R1614" t="str">
        <f ca="1">""&amp;IFERROR(VLOOKUP(O1614,EMAILS!B:E,4,FALSE),"NO T FOUND IN EMAILS")</f>
        <v/>
      </c>
    </row>
    <row r="1615" spans="2:18" x14ac:dyDescent="0.25">
      <c r="B1615" s="5" t="s">
        <v>1617</v>
      </c>
      <c r="C1615" s="5" t="s">
        <v>5757</v>
      </c>
      <c r="D1615" s="5">
        <v>0</v>
      </c>
      <c r="E1615" s="5">
        <v>0</v>
      </c>
      <c r="F1615" s="5">
        <v>0</v>
      </c>
      <c r="G1615" s="5">
        <v>400</v>
      </c>
      <c r="H1615" s="5">
        <v>0</v>
      </c>
      <c r="I1615" s="5">
        <v>0</v>
      </c>
      <c r="J1615" s="5">
        <v>400</v>
      </c>
      <c r="K1615" s="5">
        <v>0</v>
      </c>
      <c r="L1615" s="5">
        <v>0</v>
      </c>
      <c r="M1615" s="5">
        <v>0</v>
      </c>
      <c r="N1615" s="5">
        <v>75</v>
      </c>
      <c r="O1615" s="5" t="str">
        <f t="shared" ca="1" si="25"/>
        <v>Supplier 7</v>
      </c>
      <c r="P1615" s="20" t="str">
        <f ca="1">IFERROR(VLOOKUP(O1615,EMAILS!B:C,2,FALSE),"NOT FOUND IN EMAILS")</f>
        <v>supplier@gmail.com</v>
      </c>
      <c r="Q1615" t="str">
        <f ca="1">""&amp;IFERROR(VLOOKUP(O1615,EMAILS!B:D,3,FALSE),"NOT FOUND IN EMAILS")</f>
        <v>supplier_logistics@gmail.com</v>
      </c>
      <c r="R1615" t="str">
        <f ca="1">""&amp;IFERROR(VLOOKUP(O1615,EMAILS!B:E,4,FALSE),"NO T FOUND IN EMAILS")</f>
        <v/>
      </c>
    </row>
    <row r="1616" spans="2:18" x14ac:dyDescent="0.25">
      <c r="B1616" s="5" t="s">
        <v>1618</v>
      </c>
      <c r="C1616" s="5" t="s">
        <v>5758</v>
      </c>
      <c r="D1616" s="5">
        <v>28</v>
      </c>
      <c r="E1616" s="5">
        <v>53</v>
      </c>
      <c r="F1616" s="5">
        <v>74</v>
      </c>
      <c r="G1616" s="5">
        <v>78</v>
      </c>
      <c r="H1616" s="5">
        <v>112</v>
      </c>
      <c r="I1616" s="5">
        <v>39</v>
      </c>
      <c r="J1616" s="5">
        <v>20</v>
      </c>
      <c r="K1616" s="5">
        <v>27</v>
      </c>
      <c r="L1616" s="5">
        <v>24</v>
      </c>
      <c r="M1616" s="5">
        <v>0</v>
      </c>
      <c r="N1616" s="5">
        <v>700</v>
      </c>
      <c r="O1616" s="5" t="str">
        <f t="shared" ca="1" si="25"/>
        <v>Supplier 151</v>
      </c>
      <c r="P1616" s="20" t="str">
        <f ca="1">IFERROR(VLOOKUP(O1616,EMAILS!B:C,2,FALSE),"NOT FOUND IN EMAILS")</f>
        <v>supplier@gmail.com</v>
      </c>
      <c r="Q1616" t="str">
        <f ca="1">""&amp;IFERROR(VLOOKUP(O1616,EMAILS!B:D,3,FALSE),"NOT FOUND IN EMAILS")</f>
        <v/>
      </c>
      <c r="R1616" t="str">
        <f ca="1">""&amp;IFERROR(VLOOKUP(O1616,EMAILS!B:E,4,FALSE),"NO T FOUND IN EMAILS")</f>
        <v/>
      </c>
    </row>
    <row r="1617" spans="2:18" x14ac:dyDescent="0.25">
      <c r="B1617" s="5" t="s">
        <v>1619</v>
      </c>
      <c r="C1617" s="5" t="s">
        <v>5759</v>
      </c>
      <c r="D1617" s="5">
        <v>135</v>
      </c>
      <c r="E1617" s="5">
        <v>150</v>
      </c>
      <c r="F1617" s="5">
        <v>160</v>
      </c>
      <c r="G1617" s="5">
        <v>180</v>
      </c>
      <c r="H1617" s="5">
        <v>90</v>
      </c>
      <c r="I1617" s="5">
        <v>120</v>
      </c>
      <c r="J1617" s="5">
        <v>120</v>
      </c>
      <c r="K1617" s="5">
        <v>91</v>
      </c>
      <c r="L1617" s="5">
        <v>60</v>
      </c>
      <c r="M1617" s="5">
        <v>0</v>
      </c>
      <c r="N1617" s="5">
        <v>700</v>
      </c>
      <c r="O1617" s="5" t="str">
        <f t="shared" ca="1" si="25"/>
        <v>Supplier 85</v>
      </c>
      <c r="P1617" s="20" t="str">
        <f ca="1">IFERROR(VLOOKUP(O1617,EMAILS!B:C,2,FALSE),"NOT FOUND IN EMAILS")</f>
        <v>supplier@gmail.com</v>
      </c>
      <c r="Q1617" t="str">
        <f ca="1">""&amp;IFERROR(VLOOKUP(O1617,EMAILS!B:D,3,FALSE),"NOT FOUND IN EMAILS")</f>
        <v/>
      </c>
      <c r="R1617" t="str">
        <f ca="1">""&amp;IFERROR(VLOOKUP(O1617,EMAILS!B:E,4,FALSE),"NO T FOUND IN EMAILS")</f>
        <v/>
      </c>
    </row>
    <row r="1618" spans="2:18" x14ac:dyDescent="0.25">
      <c r="B1618" s="5" t="s">
        <v>1620</v>
      </c>
      <c r="C1618" s="5" t="s">
        <v>5760</v>
      </c>
      <c r="D1618" s="5">
        <v>135</v>
      </c>
      <c r="E1618" s="5">
        <v>150</v>
      </c>
      <c r="F1618" s="5">
        <v>160</v>
      </c>
      <c r="G1618" s="5">
        <v>180</v>
      </c>
      <c r="H1618" s="5">
        <v>90</v>
      </c>
      <c r="I1618" s="5">
        <v>120</v>
      </c>
      <c r="J1618" s="5">
        <v>120</v>
      </c>
      <c r="K1618" s="5">
        <v>91</v>
      </c>
      <c r="L1618" s="5">
        <v>60</v>
      </c>
      <c r="M1618" s="5">
        <v>0</v>
      </c>
      <c r="N1618" s="5">
        <v>80</v>
      </c>
      <c r="O1618" s="5" t="str">
        <f t="shared" ca="1" si="25"/>
        <v>Supplier 37</v>
      </c>
      <c r="P1618" s="20" t="str">
        <f ca="1">IFERROR(VLOOKUP(O1618,EMAILS!B:C,2,FALSE),"NOT FOUND IN EMAILS")</f>
        <v>supplier@gmail.com</v>
      </c>
      <c r="Q1618" t="str">
        <f ca="1">""&amp;IFERROR(VLOOKUP(O1618,EMAILS!B:D,3,FALSE),"NOT FOUND IN EMAILS")</f>
        <v/>
      </c>
      <c r="R1618" t="str">
        <f ca="1">""&amp;IFERROR(VLOOKUP(O1618,EMAILS!B:E,4,FALSE),"NO T FOUND IN EMAILS")</f>
        <v/>
      </c>
    </row>
    <row r="1619" spans="2:18" x14ac:dyDescent="0.25">
      <c r="B1619" s="5" t="s">
        <v>1621</v>
      </c>
      <c r="C1619" s="5" t="s">
        <v>5761</v>
      </c>
      <c r="D1619" s="5">
        <v>0</v>
      </c>
      <c r="E1619" s="5">
        <v>0</v>
      </c>
      <c r="F1619" s="5">
        <v>0</v>
      </c>
      <c r="G1619" s="5">
        <v>0</v>
      </c>
      <c r="H1619" s="5">
        <v>0</v>
      </c>
      <c r="I1619" s="5">
        <v>0</v>
      </c>
      <c r="J1619" s="5">
        <v>0</v>
      </c>
      <c r="K1619" s="5">
        <v>0</v>
      </c>
      <c r="L1619" s="5">
        <v>0</v>
      </c>
      <c r="M1619" s="5">
        <v>0</v>
      </c>
      <c r="N1619" s="5">
        <v>0</v>
      </c>
      <c r="O1619" s="5" t="str">
        <f t="shared" ca="1" si="25"/>
        <v>Supplier 54</v>
      </c>
      <c r="P1619" s="20" t="str">
        <f ca="1">IFERROR(VLOOKUP(O1619,EMAILS!B:C,2,FALSE),"NOT FOUND IN EMAILS")</f>
        <v>supplier@gmail.com</v>
      </c>
      <c r="Q1619" t="str">
        <f ca="1">""&amp;IFERROR(VLOOKUP(O1619,EMAILS!B:D,3,FALSE),"NOT FOUND IN EMAILS")</f>
        <v/>
      </c>
      <c r="R1619" t="str">
        <f ca="1">""&amp;IFERROR(VLOOKUP(O1619,EMAILS!B:E,4,FALSE),"NO T FOUND IN EMAILS")</f>
        <v/>
      </c>
    </row>
    <row r="1620" spans="2:18" x14ac:dyDescent="0.25">
      <c r="B1620" s="5" t="s">
        <v>1622</v>
      </c>
      <c r="C1620" s="5" t="s">
        <v>5762</v>
      </c>
      <c r="D1620" s="5">
        <v>135</v>
      </c>
      <c r="E1620" s="5">
        <v>95</v>
      </c>
      <c r="F1620" s="5">
        <v>165</v>
      </c>
      <c r="G1620" s="5">
        <v>180</v>
      </c>
      <c r="H1620" s="5">
        <v>150</v>
      </c>
      <c r="I1620" s="5">
        <v>150</v>
      </c>
      <c r="J1620" s="5">
        <v>180</v>
      </c>
      <c r="K1620" s="5">
        <v>170</v>
      </c>
      <c r="L1620" s="5">
        <v>165</v>
      </c>
      <c r="M1620" s="5">
        <v>0</v>
      </c>
      <c r="N1620" s="5">
        <v>300</v>
      </c>
      <c r="O1620" s="5" t="str">
        <f t="shared" ca="1" si="25"/>
        <v>Supplier 96</v>
      </c>
      <c r="P1620" s="20" t="str">
        <f ca="1">IFERROR(VLOOKUP(O1620,EMAILS!B:C,2,FALSE),"NOT FOUND IN EMAILS")</f>
        <v>supplier@gmail.com</v>
      </c>
      <c r="Q1620" t="str">
        <f ca="1">""&amp;IFERROR(VLOOKUP(O1620,EMAILS!B:D,3,FALSE),"NOT FOUND IN EMAILS")</f>
        <v/>
      </c>
      <c r="R1620" t="str">
        <f ca="1">""&amp;IFERROR(VLOOKUP(O1620,EMAILS!B:E,4,FALSE),"NO T FOUND IN EMAILS")</f>
        <v/>
      </c>
    </row>
    <row r="1621" spans="2:18" x14ac:dyDescent="0.25">
      <c r="B1621" s="5" t="s">
        <v>1623</v>
      </c>
      <c r="C1621" s="5" t="s">
        <v>5763</v>
      </c>
      <c r="D1621" s="5">
        <v>0</v>
      </c>
      <c r="E1621" s="5">
        <v>0</v>
      </c>
      <c r="F1621" s="5">
        <v>0</v>
      </c>
      <c r="G1621" s="5">
        <v>0</v>
      </c>
      <c r="H1621" s="5">
        <v>0</v>
      </c>
      <c r="I1621" s="5">
        <v>0</v>
      </c>
      <c r="J1621" s="5">
        <v>0</v>
      </c>
      <c r="K1621" s="5">
        <v>0</v>
      </c>
      <c r="L1621" s="5">
        <v>0</v>
      </c>
      <c r="M1621" s="5">
        <v>0</v>
      </c>
      <c r="N1621" s="5">
        <v>70</v>
      </c>
      <c r="O1621" s="5" t="str">
        <f t="shared" ca="1" si="25"/>
        <v>Supplier 196</v>
      </c>
      <c r="P1621" s="20" t="str">
        <f ca="1">IFERROR(VLOOKUP(O1621,EMAILS!B:C,2,FALSE),"NOT FOUND IN EMAILS")</f>
        <v>supplier@gmail.com</v>
      </c>
      <c r="Q1621" t="str">
        <f ca="1">""&amp;IFERROR(VLOOKUP(O1621,EMAILS!B:D,3,FALSE),"NOT FOUND IN EMAILS")</f>
        <v/>
      </c>
      <c r="R1621" t="str">
        <f ca="1">""&amp;IFERROR(VLOOKUP(O1621,EMAILS!B:E,4,FALSE),"NO T FOUND IN EMAILS")</f>
        <v/>
      </c>
    </row>
    <row r="1622" spans="2:18" x14ac:dyDescent="0.25">
      <c r="B1622" s="5" t="s">
        <v>1624</v>
      </c>
      <c r="C1622" s="5" t="s">
        <v>5764</v>
      </c>
      <c r="D1622" s="5">
        <v>0</v>
      </c>
      <c r="E1622" s="5">
        <v>0</v>
      </c>
      <c r="F1622" s="5">
        <v>0</v>
      </c>
      <c r="G1622" s="5">
        <v>0</v>
      </c>
      <c r="H1622" s="5">
        <v>0</v>
      </c>
      <c r="I1622" s="5">
        <v>0</v>
      </c>
      <c r="J1622" s="5">
        <v>0</v>
      </c>
      <c r="K1622" s="5">
        <v>0</v>
      </c>
      <c r="L1622" s="5">
        <v>0</v>
      </c>
      <c r="M1622" s="5">
        <v>0</v>
      </c>
      <c r="N1622" s="5">
        <v>70</v>
      </c>
      <c r="O1622" s="5" t="str">
        <f t="shared" ca="1" si="25"/>
        <v>Supplier 18</v>
      </c>
      <c r="P1622" s="20" t="str">
        <f ca="1">IFERROR(VLOOKUP(O1622,EMAILS!B:C,2,FALSE),"NOT FOUND IN EMAILS")</f>
        <v>supplier@gmail.com</v>
      </c>
      <c r="Q1622" t="str">
        <f ca="1">""&amp;IFERROR(VLOOKUP(O1622,EMAILS!B:D,3,FALSE),"NOT FOUND IN EMAILS")</f>
        <v>supplier_logistics@gmail.com</v>
      </c>
      <c r="R1622" t="str">
        <f ca="1">""&amp;IFERROR(VLOOKUP(O1622,EMAILS!B:E,4,FALSE),"NO T FOUND IN EMAILS")</f>
        <v/>
      </c>
    </row>
    <row r="1623" spans="2:18" x14ac:dyDescent="0.25">
      <c r="B1623" s="5" t="s">
        <v>1625</v>
      </c>
      <c r="C1623" s="5" t="s">
        <v>5765</v>
      </c>
      <c r="D1623" s="5">
        <v>0</v>
      </c>
      <c r="E1623" s="5">
        <v>0</v>
      </c>
      <c r="F1623" s="5">
        <v>0</v>
      </c>
      <c r="G1623" s="5">
        <v>0</v>
      </c>
      <c r="H1623" s="5">
        <v>0</v>
      </c>
      <c r="I1623" s="5">
        <v>0</v>
      </c>
      <c r="J1623" s="5">
        <v>0</v>
      </c>
      <c r="K1623" s="5">
        <v>0</v>
      </c>
      <c r="L1623" s="5">
        <v>0</v>
      </c>
      <c r="M1623" s="5">
        <v>0</v>
      </c>
      <c r="N1623" s="5">
        <v>250</v>
      </c>
      <c r="O1623" s="5" t="str">
        <f t="shared" ca="1" si="25"/>
        <v>Supplier 169</v>
      </c>
      <c r="P1623" s="20" t="str">
        <f ca="1">IFERROR(VLOOKUP(O1623,EMAILS!B:C,2,FALSE),"NOT FOUND IN EMAILS")</f>
        <v>supplier@gmail.com</v>
      </c>
      <c r="Q1623" t="str">
        <f ca="1">""&amp;IFERROR(VLOOKUP(O1623,EMAILS!B:D,3,FALSE),"NOT FOUND IN EMAILS")</f>
        <v/>
      </c>
      <c r="R1623" t="str">
        <f ca="1">""&amp;IFERROR(VLOOKUP(O1623,EMAILS!B:E,4,FALSE),"NO T FOUND IN EMAILS")</f>
        <v/>
      </c>
    </row>
    <row r="1624" spans="2:18" x14ac:dyDescent="0.25">
      <c r="B1624" s="5" t="s">
        <v>1626</v>
      </c>
      <c r="C1624" s="5" t="s">
        <v>5766</v>
      </c>
      <c r="D1624" s="5">
        <v>503</v>
      </c>
      <c r="E1624" s="5">
        <v>372</v>
      </c>
      <c r="F1624" s="5">
        <v>584</v>
      </c>
      <c r="G1624" s="5">
        <v>644</v>
      </c>
      <c r="H1624" s="5">
        <v>567</v>
      </c>
      <c r="I1624" s="5">
        <v>489</v>
      </c>
      <c r="J1624" s="5">
        <v>589</v>
      </c>
      <c r="K1624" s="5">
        <v>538</v>
      </c>
      <c r="L1624" s="5">
        <v>520</v>
      </c>
      <c r="M1624" s="5">
        <v>0</v>
      </c>
      <c r="N1624" s="5">
        <v>0</v>
      </c>
      <c r="O1624" s="5" t="str">
        <f t="shared" ca="1" si="25"/>
        <v>Supplier 163</v>
      </c>
      <c r="P1624" s="20" t="str">
        <f ca="1">IFERROR(VLOOKUP(O1624,EMAILS!B:C,2,FALSE),"NOT FOUND IN EMAILS")</f>
        <v>supplier@gmail.com</v>
      </c>
      <c r="Q1624" t="str">
        <f ca="1">""&amp;IFERROR(VLOOKUP(O1624,EMAILS!B:D,3,FALSE),"NOT FOUND IN EMAILS")</f>
        <v/>
      </c>
      <c r="R1624" t="str">
        <f ca="1">""&amp;IFERROR(VLOOKUP(O1624,EMAILS!B:E,4,FALSE),"NO T FOUND IN EMAILS")</f>
        <v/>
      </c>
    </row>
    <row r="1625" spans="2:18" x14ac:dyDescent="0.25">
      <c r="B1625" s="5" t="s">
        <v>1627</v>
      </c>
      <c r="C1625" s="5" t="s">
        <v>5767</v>
      </c>
      <c r="D1625" s="5">
        <v>180</v>
      </c>
      <c r="E1625" s="5">
        <v>130</v>
      </c>
      <c r="F1625" s="5">
        <v>270</v>
      </c>
      <c r="G1625" s="5">
        <v>270</v>
      </c>
      <c r="H1625" s="5">
        <v>300</v>
      </c>
      <c r="I1625" s="5">
        <v>240</v>
      </c>
      <c r="J1625" s="5">
        <v>330</v>
      </c>
      <c r="K1625" s="5">
        <v>270</v>
      </c>
      <c r="L1625" s="5">
        <v>300</v>
      </c>
      <c r="M1625" s="5">
        <v>0</v>
      </c>
      <c r="N1625" s="5">
        <v>0</v>
      </c>
      <c r="O1625" s="5" t="str">
        <f t="shared" ca="1" si="25"/>
        <v>Supplier 4</v>
      </c>
      <c r="P1625" s="20" t="str">
        <f ca="1">IFERROR(VLOOKUP(O1625,EMAILS!B:C,2,FALSE),"NOT FOUND IN EMAILS")</f>
        <v>supplier@gmail.com</v>
      </c>
      <c r="Q1625" t="str">
        <f ca="1">""&amp;IFERROR(VLOOKUP(O1625,EMAILS!B:D,3,FALSE),"NOT FOUND IN EMAILS")</f>
        <v>supplier_logistics@gmail.com</v>
      </c>
      <c r="R1625" t="str">
        <f ca="1">""&amp;IFERROR(VLOOKUP(O1625,EMAILS!B:E,4,FALSE),"NO T FOUND IN EMAILS")</f>
        <v/>
      </c>
    </row>
    <row r="1626" spans="2:18" x14ac:dyDescent="0.25">
      <c r="B1626" s="5" t="s">
        <v>1628</v>
      </c>
      <c r="C1626" s="5" t="s">
        <v>5768</v>
      </c>
      <c r="D1626" s="5">
        <v>90</v>
      </c>
      <c r="E1626" s="5">
        <v>60</v>
      </c>
      <c r="F1626" s="5">
        <v>60</v>
      </c>
      <c r="G1626" s="5">
        <v>90</v>
      </c>
      <c r="H1626" s="5">
        <v>0</v>
      </c>
      <c r="I1626" s="5">
        <v>60</v>
      </c>
      <c r="J1626" s="5">
        <v>30</v>
      </c>
      <c r="K1626" s="5">
        <v>70</v>
      </c>
      <c r="L1626" s="5">
        <v>30</v>
      </c>
      <c r="M1626" s="5">
        <v>0</v>
      </c>
      <c r="N1626" s="5">
        <v>36</v>
      </c>
      <c r="O1626" s="5" t="str">
        <f t="shared" ca="1" si="25"/>
        <v>Supplier 110</v>
      </c>
      <c r="P1626" s="20" t="str">
        <f ca="1">IFERROR(VLOOKUP(O1626,EMAILS!B:C,2,FALSE),"NOT FOUND IN EMAILS")</f>
        <v>supplier@gmail.com</v>
      </c>
      <c r="Q1626" t="str">
        <f ca="1">""&amp;IFERROR(VLOOKUP(O1626,EMAILS!B:D,3,FALSE),"NOT FOUND IN EMAILS")</f>
        <v/>
      </c>
      <c r="R1626" t="str">
        <f ca="1">""&amp;IFERROR(VLOOKUP(O1626,EMAILS!B:E,4,FALSE),"NO T FOUND IN EMAILS")</f>
        <v/>
      </c>
    </row>
    <row r="1627" spans="2:18" x14ac:dyDescent="0.25">
      <c r="B1627" s="5" t="s">
        <v>1629</v>
      </c>
      <c r="C1627" s="5" t="s">
        <v>5769</v>
      </c>
      <c r="D1627" s="5">
        <v>0</v>
      </c>
      <c r="E1627" s="5">
        <v>0</v>
      </c>
      <c r="F1627" s="5">
        <v>0</v>
      </c>
      <c r="G1627" s="5">
        <v>0</v>
      </c>
      <c r="H1627" s="5">
        <v>0</v>
      </c>
      <c r="I1627" s="5">
        <v>0</v>
      </c>
      <c r="J1627" s="5">
        <v>0</v>
      </c>
      <c r="K1627" s="5">
        <v>0</v>
      </c>
      <c r="L1627" s="5">
        <v>0</v>
      </c>
      <c r="M1627" s="5">
        <v>0</v>
      </c>
      <c r="N1627" s="5">
        <v>1400</v>
      </c>
      <c r="O1627" s="5" t="str">
        <f t="shared" ca="1" si="25"/>
        <v>Supplier 196</v>
      </c>
      <c r="P1627" s="20" t="str">
        <f ca="1">IFERROR(VLOOKUP(O1627,EMAILS!B:C,2,FALSE),"NOT FOUND IN EMAILS")</f>
        <v>supplier@gmail.com</v>
      </c>
      <c r="Q1627" t="str">
        <f ca="1">""&amp;IFERROR(VLOOKUP(O1627,EMAILS!B:D,3,FALSE),"NOT FOUND IN EMAILS")</f>
        <v/>
      </c>
      <c r="R1627" t="str">
        <f ca="1">""&amp;IFERROR(VLOOKUP(O1627,EMAILS!B:E,4,FALSE),"NO T FOUND IN EMAILS")</f>
        <v/>
      </c>
    </row>
    <row r="1628" spans="2:18" x14ac:dyDescent="0.25">
      <c r="B1628" s="5" t="s">
        <v>1630</v>
      </c>
      <c r="C1628" s="5" t="s">
        <v>5770</v>
      </c>
      <c r="D1628" s="5">
        <v>270</v>
      </c>
      <c r="E1628" s="5">
        <v>190</v>
      </c>
      <c r="F1628" s="5">
        <v>330</v>
      </c>
      <c r="G1628" s="5">
        <v>360</v>
      </c>
      <c r="H1628" s="5">
        <v>300</v>
      </c>
      <c r="I1628" s="5">
        <v>300</v>
      </c>
      <c r="J1628" s="5">
        <v>360</v>
      </c>
      <c r="K1628" s="5">
        <v>340</v>
      </c>
      <c r="L1628" s="5">
        <v>330</v>
      </c>
      <c r="M1628" s="5">
        <v>0</v>
      </c>
      <c r="N1628" s="5">
        <v>1368</v>
      </c>
      <c r="O1628" s="5" t="str">
        <f t="shared" ca="1" si="25"/>
        <v>Supplier 48</v>
      </c>
      <c r="P1628" s="20" t="str">
        <f ca="1">IFERROR(VLOOKUP(O1628,EMAILS!B:C,2,FALSE),"NOT FOUND IN EMAILS")</f>
        <v>supplier@gmail.com</v>
      </c>
      <c r="Q1628" t="str">
        <f ca="1">""&amp;IFERROR(VLOOKUP(O1628,EMAILS!B:D,3,FALSE),"NOT FOUND IN EMAILS")</f>
        <v/>
      </c>
      <c r="R1628" t="str">
        <f ca="1">""&amp;IFERROR(VLOOKUP(O1628,EMAILS!B:E,4,FALSE),"NO T FOUND IN EMAILS")</f>
        <v/>
      </c>
    </row>
    <row r="1629" spans="2:18" x14ac:dyDescent="0.25">
      <c r="B1629" s="5" t="s">
        <v>1631</v>
      </c>
      <c r="C1629" s="5" t="s">
        <v>5771</v>
      </c>
      <c r="D1629" s="5">
        <v>135</v>
      </c>
      <c r="E1629" s="5">
        <v>95</v>
      </c>
      <c r="F1629" s="5">
        <v>165</v>
      </c>
      <c r="G1629" s="5">
        <v>180</v>
      </c>
      <c r="H1629" s="5">
        <v>150</v>
      </c>
      <c r="I1629" s="5">
        <v>150</v>
      </c>
      <c r="J1629" s="5">
        <v>180</v>
      </c>
      <c r="K1629" s="5">
        <v>170</v>
      </c>
      <c r="L1629" s="5">
        <v>165</v>
      </c>
      <c r="M1629" s="5">
        <v>0</v>
      </c>
      <c r="N1629" s="5">
        <v>1533</v>
      </c>
      <c r="O1629" s="5" t="str">
        <f t="shared" ca="1" si="25"/>
        <v>Supplier 26</v>
      </c>
      <c r="P1629" s="20" t="str">
        <f ca="1">IFERROR(VLOOKUP(O1629,EMAILS!B:C,2,FALSE),"NOT FOUND IN EMAILS")</f>
        <v>supplier@gmail.com</v>
      </c>
      <c r="Q1629" t="str">
        <f ca="1">""&amp;IFERROR(VLOOKUP(O1629,EMAILS!B:D,3,FALSE),"NOT FOUND IN EMAILS")</f>
        <v/>
      </c>
      <c r="R1629" t="str">
        <f ca="1">""&amp;IFERROR(VLOOKUP(O1629,EMAILS!B:E,4,FALSE),"NO T FOUND IN EMAILS")</f>
        <v/>
      </c>
    </row>
    <row r="1630" spans="2:18" x14ac:dyDescent="0.25">
      <c r="B1630" s="5" t="s">
        <v>1632</v>
      </c>
      <c r="C1630" s="5" t="s">
        <v>5772</v>
      </c>
      <c r="D1630" s="5">
        <v>135</v>
      </c>
      <c r="E1630" s="5">
        <v>95</v>
      </c>
      <c r="F1630" s="5">
        <v>165</v>
      </c>
      <c r="G1630" s="5">
        <v>180</v>
      </c>
      <c r="H1630" s="5">
        <v>150</v>
      </c>
      <c r="I1630" s="5">
        <v>150</v>
      </c>
      <c r="J1630" s="5">
        <v>180</v>
      </c>
      <c r="K1630" s="5">
        <v>170</v>
      </c>
      <c r="L1630" s="5">
        <v>165</v>
      </c>
      <c r="M1630" s="5">
        <v>0</v>
      </c>
      <c r="N1630" s="5">
        <v>100</v>
      </c>
      <c r="O1630" s="5" t="str">
        <f t="shared" ca="1" si="25"/>
        <v>Supplier 190</v>
      </c>
      <c r="P1630" s="20" t="str">
        <f ca="1">IFERROR(VLOOKUP(O1630,EMAILS!B:C,2,FALSE),"NOT FOUND IN EMAILS")</f>
        <v>supplier@gmail.com</v>
      </c>
      <c r="Q1630" t="str">
        <f ca="1">""&amp;IFERROR(VLOOKUP(O1630,EMAILS!B:D,3,FALSE),"NOT FOUND IN EMAILS")</f>
        <v/>
      </c>
      <c r="R1630" t="str">
        <f ca="1">""&amp;IFERROR(VLOOKUP(O1630,EMAILS!B:E,4,FALSE),"NO T FOUND IN EMAILS")</f>
        <v/>
      </c>
    </row>
    <row r="1631" spans="2:18" x14ac:dyDescent="0.25">
      <c r="B1631" s="5" t="s">
        <v>1633</v>
      </c>
      <c r="C1631" s="5" t="s">
        <v>5773</v>
      </c>
      <c r="D1631" s="5">
        <v>466</v>
      </c>
      <c r="E1631" s="5">
        <v>364</v>
      </c>
      <c r="F1631" s="5">
        <v>508</v>
      </c>
      <c r="G1631" s="5">
        <v>568</v>
      </c>
      <c r="H1631" s="5">
        <v>534</v>
      </c>
      <c r="I1631" s="5">
        <v>378</v>
      </c>
      <c r="J1631" s="5">
        <v>458</v>
      </c>
      <c r="K1631" s="5">
        <v>396</v>
      </c>
      <c r="L1631" s="5">
        <v>380</v>
      </c>
      <c r="M1631" s="5">
        <v>0</v>
      </c>
      <c r="N1631" s="5">
        <v>2900</v>
      </c>
      <c r="O1631" s="5" t="str">
        <f t="shared" ca="1" si="25"/>
        <v>Supplier 41</v>
      </c>
      <c r="P1631" s="20" t="str">
        <f ca="1">IFERROR(VLOOKUP(O1631,EMAILS!B:C,2,FALSE),"NOT FOUND IN EMAILS")</f>
        <v>supplier@gmail.com</v>
      </c>
      <c r="Q1631" t="str">
        <f ca="1">""&amp;IFERROR(VLOOKUP(O1631,EMAILS!B:D,3,FALSE),"NOT FOUND IN EMAILS")</f>
        <v/>
      </c>
      <c r="R1631" t="str">
        <f ca="1">""&amp;IFERROR(VLOOKUP(O1631,EMAILS!B:E,4,FALSE),"NO T FOUND IN EMAILS")</f>
        <v/>
      </c>
    </row>
    <row r="1632" spans="2:18" x14ac:dyDescent="0.25">
      <c r="B1632" s="5" t="s">
        <v>1634</v>
      </c>
      <c r="C1632" s="5" t="s">
        <v>5774</v>
      </c>
      <c r="D1632" s="5">
        <v>211</v>
      </c>
      <c r="E1632" s="5">
        <v>137</v>
      </c>
      <c r="F1632" s="5">
        <v>245</v>
      </c>
      <c r="G1632" s="5">
        <v>234</v>
      </c>
      <c r="H1632" s="5">
        <v>270</v>
      </c>
      <c r="I1632" s="5">
        <v>192</v>
      </c>
      <c r="J1632" s="5">
        <v>192</v>
      </c>
      <c r="K1632" s="5">
        <v>198</v>
      </c>
      <c r="L1632" s="5">
        <v>167</v>
      </c>
      <c r="M1632" s="5">
        <v>0</v>
      </c>
      <c r="N1632" s="5">
        <v>0</v>
      </c>
      <c r="O1632" s="5" t="str">
        <f t="shared" ca="1" si="25"/>
        <v>Supplier 80</v>
      </c>
      <c r="P1632" s="20" t="str">
        <f ca="1">IFERROR(VLOOKUP(O1632,EMAILS!B:C,2,FALSE),"NOT FOUND IN EMAILS")</f>
        <v>supplier@gmail.com</v>
      </c>
      <c r="Q1632" t="str">
        <f ca="1">""&amp;IFERROR(VLOOKUP(O1632,EMAILS!B:D,3,FALSE),"NOT FOUND IN EMAILS")</f>
        <v/>
      </c>
      <c r="R1632" t="str">
        <f ca="1">""&amp;IFERROR(VLOOKUP(O1632,EMAILS!B:E,4,FALSE),"NO T FOUND IN EMAILS")</f>
        <v/>
      </c>
    </row>
    <row r="1633" spans="2:18" x14ac:dyDescent="0.25">
      <c r="B1633" s="5" t="s">
        <v>1635</v>
      </c>
      <c r="C1633" s="5" t="s">
        <v>5775</v>
      </c>
      <c r="D1633" s="5">
        <v>600</v>
      </c>
      <c r="E1633" s="5">
        <v>600</v>
      </c>
      <c r="F1633" s="5">
        <v>600</v>
      </c>
      <c r="G1633" s="5">
        <v>600</v>
      </c>
      <c r="H1633" s="5">
        <v>600</v>
      </c>
      <c r="I1633" s="5">
        <v>600</v>
      </c>
      <c r="J1633" s="5">
        <v>420</v>
      </c>
      <c r="K1633" s="5">
        <v>420</v>
      </c>
      <c r="L1633" s="5">
        <v>420</v>
      </c>
      <c r="M1633" s="5">
        <v>0</v>
      </c>
      <c r="N1633" s="5">
        <v>50</v>
      </c>
      <c r="O1633" s="5" t="str">
        <f t="shared" ca="1" si="25"/>
        <v>Supplier 104</v>
      </c>
      <c r="P1633" s="20" t="str">
        <f ca="1">IFERROR(VLOOKUP(O1633,EMAILS!B:C,2,FALSE),"NOT FOUND IN EMAILS")</f>
        <v>supplier@gmail.com</v>
      </c>
      <c r="Q1633" t="str">
        <f ca="1">""&amp;IFERROR(VLOOKUP(O1633,EMAILS!B:D,3,FALSE),"NOT FOUND IN EMAILS")</f>
        <v/>
      </c>
      <c r="R1633" t="str">
        <f ca="1">""&amp;IFERROR(VLOOKUP(O1633,EMAILS!B:E,4,FALSE),"NO T FOUND IN EMAILS")</f>
        <v/>
      </c>
    </row>
    <row r="1634" spans="2:18" x14ac:dyDescent="0.25">
      <c r="B1634" s="5" t="s">
        <v>1636</v>
      </c>
      <c r="C1634" s="5" t="s">
        <v>5776</v>
      </c>
      <c r="D1634" s="5">
        <v>0</v>
      </c>
      <c r="E1634" s="5">
        <v>34</v>
      </c>
      <c r="F1634" s="5">
        <v>0</v>
      </c>
      <c r="G1634" s="5">
        <v>40</v>
      </c>
      <c r="H1634" s="5">
        <v>40</v>
      </c>
      <c r="I1634" s="5">
        <v>0</v>
      </c>
      <c r="J1634" s="5">
        <v>40</v>
      </c>
      <c r="K1634" s="5">
        <v>0</v>
      </c>
      <c r="L1634" s="5">
        <v>30</v>
      </c>
      <c r="M1634" s="5">
        <v>0</v>
      </c>
      <c r="N1634" s="5">
        <v>920</v>
      </c>
      <c r="O1634" s="5" t="str">
        <f t="shared" ca="1" si="25"/>
        <v>Supplier 188</v>
      </c>
      <c r="P1634" s="20" t="str">
        <f ca="1">IFERROR(VLOOKUP(O1634,EMAILS!B:C,2,FALSE),"NOT FOUND IN EMAILS")</f>
        <v>supplier@gmail.com</v>
      </c>
      <c r="Q1634" t="str">
        <f ca="1">""&amp;IFERROR(VLOOKUP(O1634,EMAILS!B:D,3,FALSE),"NOT FOUND IN EMAILS")</f>
        <v/>
      </c>
      <c r="R1634" t="str">
        <f ca="1">""&amp;IFERROR(VLOOKUP(O1634,EMAILS!B:E,4,FALSE),"NO T FOUND IN EMAILS")</f>
        <v/>
      </c>
    </row>
    <row r="1635" spans="2:18" x14ac:dyDescent="0.25">
      <c r="B1635" s="5" t="s">
        <v>1637</v>
      </c>
      <c r="C1635" s="5" t="s">
        <v>5777</v>
      </c>
      <c r="D1635" s="5">
        <v>130</v>
      </c>
      <c r="E1635" s="5">
        <v>0</v>
      </c>
      <c r="F1635" s="5">
        <v>419</v>
      </c>
      <c r="G1635" s="5">
        <v>0</v>
      </c>
      <c r="H1635" s="5">
        <v>3</v>
      </c>
      <c r="I1635" s="5">
        <v>0</v>
      </c>
      <c r="J1635" s="5">
        <v>0</v>
      </c>
      <c r="K1635" s="5">
        <v>5</v>
      </c>
      <c r="L1635" s="5">
        <v>0</v>
      </c>
      <c r="M1635" s="5">
        <v>0</v>
      </c>
      <c r="N1635" s="5">
        <v>88</v>
      </c>
      <c r="O1635" s="5" t="str">
        <f t="shared" ca="1" si="25"/>
        <v>Supplier 153</v>
      </c>
      <c r="P1635" s="20" t="str">
        <f ca="1">IFERROR(VLOOKUP(O1635,EMAILS!B:C,2,FALSE),"NOT FOUND IN EMAILS")</f>
        <v>supplier@gmail.com</v>
      </c>
      <c r="Q1635" t="str">
        <f ca="1">""&amp;IFERROR(VLOOKUP(O1635,EMAILS!B:D,3,FALSE),"NOT FOUND IN EMAILS")</f>
        <v/>
      </c>
      <c r="R1635" t="str">
        <f ca="1">""&amp;IFERROR(VLOOKUP(O1635,EMAILS!B:E,4,FALSE),"NO T FOUND IN EMAILS")</f>
        <v/>
      </c>
    </row>
    <row r="1636" spans="2:18" x14ac:dyDescent="0.25">
      <c r="B1636" s="5" t="s">
        <v>1638</v>
      </c>
      <c r="C1636" s="5" t="s">
        <v>5778</v>
      </c>
      <c r="D1636" s="5">
        <v>30</v>
      </c>
      <c r="E1636" s="5">
        <v>0</v>
      </c>
      <c r="F1636" s="5">
        <v>105</v>
      </c>
      <c r="G1636" s="5">
        <v>0</v>
      </c>
      <c r="H1636" s="5">
        <v>0</v>
      </c>
      <c r="I1636" s="5">
        <v>0</v>
      </c>
      <c r="J1636" s="5">
        <v>0</v>
      </c>
      <c r="K1636" s="5">
        <v>0</v>
      </c>
      <c r="L1636" s="5">
        <v>0</v>
      </c>
      <c r="M1636" s="5">
        <v>0</v>
      </c>
      <c r="N1636" s="5">
        <v>154</v>
      </c>
      <c r="O1636" s="5" t="str">
        <f t="shared" ca="1" si="25"/>
        <v>Supplier 69</v>
      </c>
      <c r="P1636" s="20" t="str">
        <f ca="1">IFERROR(VLOOKUP(O1636,EMAILS!B:C,2,FALSE),"NOT FOUND IN EMAILS")</f>
        <v>supplier@gmail.com</v>
      </c>
      <c r="Q1636" t="str">
        <f ca="1">""&amp;IFERROR(VLOOKUP(O1636,EMAILS!B:D,3,FALSE),"NOT FOUND IN EMAILS")</f>
        <v/>
      </c>
      <c r="R1636" t="str">
        <f ca="1">""&amp;IFERROR(VLOOKUP(O1636,EMAILS!B:E,4,FALSE),"NO T FOUND IN EMAILS")</f>
        <v/>
      </c>
    </row>
    <row r="1637" spans="2:18" x14ac:dyDescent="0.25">
      <c r="B1637" s="5" t="s">
        <v>1639</v>
      </c>
      <c r="C1637" s="5" t="s">
        <v>5779</v>
      </c>
      <c r="D1637" s="5">
        <v>70</v>
      </c>
      <c r="E1637" s="5">
        <v>38</v>
      </c>
      <c r="F1637" s="5">
        <v>66</v>
      </c>
      <c r="G1637" s="5">
        <v>72</v>
      </c>
      <c r="H1637" s="5">
        <v>68</v>
      </c>
      <c r="I1637" s="5">
        <v>74</v>
      </c>
      <c r="J1637" s="5">
        <v>62</v>
      </c>
      <c r="K1637" s="5">
        <v>76</v>
      </c>
      <c r="L1637" s="5">
        <v>66</v>
      </c>
      <c r="M1637" s="5">
        <v>0</v>
      </c>
      <c r="N1637" s="5">
        <v>94</v>
      </c>
      <c r="O1637" s="5" t="str">
        <f t="shared" ca="1" si="25"/>
        <v>Supplier 152</v>
      </c>
      <c r="P1637" s="20" t="str">
        <f ca="1">IFERROR(VLOOKUP(O1637,EMAILS!B:C,2,FALSE),"NOT FOUND IN EMAILS")</f>
        <v>supplier@gmail.com</v>
      </c>
      <c r="Q1637" t="str">
        <f ca="1">""&amp;IFERROR(VLOOKUP(O1637,EMAILS!B:D,3,FALSE),"NOT FOUND IN EMAILS")</f>
        <v/>
      </c>
      <c r="R1637" t="str">
        <f ca="1">""&amp;IFERROR(VLOOKUP(O1637,EMAILS!B:E,4,FALSE),"NO T FOUND IN EMAILS")</f>
        <v/>
      </c>
    </row>
    <row r="1638" spans="2:18" x14ac:dyDescent="0.25">
      <c r="B1638" s="5" t="s">
        <v>1640</v>
      </c>
      <c r="C1638" s="5" t="s">
        <v>5780</v>
      </c>
      <c r="D1638" s="5">
        <v>64</v>
      </c>
      <c r="E1638" s="5">
        <v>38</v>
      </c>
      <c r="F1638" s="5">
        <v>60</v>
      </c>
      <c r="G1638" s="5">
        <v>68</v>
      </c>
      <c r="H1638" s="5">
        <v>66</v>
      </c>
      <c r="I1638" s="5">
        <v>70</v>
      </c>
      <c r="J1638" s="5">
        <v>50</v>
      </c>
      <c r="K1638" s="5">
        <v>68</v>
      </c>
      <c r="L1638" s="5">
        <v>70</v>
      </c>
      <c r="M1638" s="5">
        <v>0</v>
      </c>
      <c r="N1638" s="5">
        <v>1</v>
      </c>
      <c r="O1638" s="5" t="str">
        <f t="shared" ca="1" si="25"/>
        <v>Supplier 78</v>
      </c>
      <c r="P1638" s="20" t="str">
        <f ca="1">IFERROR(VLOOKUP(O1638,EMAILS!B:C,2,FALSE),"NOT FOUND IN EMAILS")</f>
        <v>supplier@gmail.com</v>
      </c>
      <c r="Q1638" t="str">
        <f ca="1">""&amp;IFERROR(VLOOKUP(O1638,EMAILS!B:D,3,FALSE),"NOT FOUND IN EMAILS")</f>
        <v/>
      </c>
      <c r="R1638" t="str">
        <f ca="1">""&amp;IFERROR(VLOOKUP(O1638,EMAILS!B:E,4,FALSE),"NO T FOUND IN EMAILS")</f>
        <v/>
      </c>
    </row>
    <row r="1639" spans="2:18" x14ac:dyDescent="0.25">
      <c r="B1639" s="5" t="s">
        <v>1641</v>
      </c>
      <c r="C1639" s="5" t="s">
        <v>5781</v>
      </c>
      <c r="D1639" s="5">
        <v>4</v>
      </c>
      <c r="E1639" s="5">
        <v>14</v>
      </c>
      <c r="F1639" s="5">
        <v>0</v>
      </c>
      <c r="G1639" s="5">
        <v>20</v>
      </c>
      <c r="H1639" s="5">
        <v>10</v>
      </c>
      <c r="I1639" s="5">
        <v>6</v>
      </c>
      <c r="J1639" s="5">
        <v>6</v>
      </c>
      <c r="K1639" s="5">
        <v>12</v>
      </c>
      <c r="L1639" s="5">
        <v>2</v>
      </c>
      <c r="M1639" s="5">
        <v>0</v>
      </c>
      <c r="N1639" s="5">
        <v>1223</v>
      </c>
      <c r="O1639" s="5" t="str">
        <f t="shared" ca="1" si="25"/>
        <v>Supplier 9</v>
      </c>
      <c r="P1639" s="20" t="str">
        <f ca="1">IFERROR(VLOOKUP(O1639,EMAILS!B:C,2,FALSE),"NOT FOUND IN EMAILS")</f>
        <v>supplier@gmail.com</v>
      </c>
      <c r="Q1639" t="str">
        <f ca="1">""&amp;IFERROR(VLOOKUP(O1639,EMAILS!B:D,3,FALSE),"NOT FOUND IN EMAILS")</f>
        <v>supplier_logistics@gmail.com</v>
      </c>
      <c r="R1639" t="str">
        <f ca="1">""&amp;IFERROR(VLOOKUP(O1639,EMAILS!B:E,4,FALSE),"NO T FOUND IN EMAILS")</f>
        <v/>
      </c>
    </row>
    <row r="1640" spans="2:18" x14ac:dyDescent="0.25">
      <c r="B1640" s="5" t="s">
        <v>1642</v>
      </c>
      <c r="C1640" s="5" t="s">
        <v>5782</v>
      </c>
      <c r="D1640" s="5">
        <v>21</v>
      </c>
      <c r="E1640" s="5">
        <v>31</v>
      </c>
      <c r="F1640" s="5">
        <v>11</v>
      </c>
      <c r="G1640" s="5">
        <v>47</v>
      </c>
      <c r="H1640" s="5">
        <v>30</v>
      </c>
      <c r="I1640" s="5">
        <v>23</v>
      </c>
      <c r="J1640" s="5">
        <v>14</v>
      </c>
      <c r="K1640" s="5">
        <v>31</v>
      </c>
      <c r="L1640" s="5">
        <v>20</v>
      </c>
      <c r="M1640" s="5">
        <v>0</v>
      </c>
      <c r="N1640" s="5">
        <v>1256</v>
      </c>
      <c r="O1640" s="5" t="str">
        <f t="shared" ca="1" si="25"/>
        <v>Supplier 41</v>
      </c>
      <c r="P1640" s="20" t="str">
        <f ca="1">IFERROR(VLOOKUP(O1640,EMAILS!B:C,2,FALSE),"NOT FOUND IN EMAILS")</f>
        <v>supplier@gmail.com</v>
      </c>
      <c r="Q1640" t="str">
        <f ca="1">""&amp;IFERROR(VLOOKUP(O1640,EMAILS!B:D,3,FALSE),"NOT FOUND IN EMAILS")</f>
        <v/>
      </c>
      <c r="R1640" t="str">
        <f ca="1">""&amp;IFERROR(VLOOKUP(O1640,EMAILS!B:E,4,FALSE),"NO T FOUND IN EMAILS")</f>
        <v/>
      </c>
    </row>
    <row r="1641" spans="2:18" x14ac:dyDescent="0.25">
      <c r="B1641" s="5" t="s">
        <v>1643</v>
      </c>
      <c r="C1641" s="5" t="s">
        <v>5783</v>
      </c>
      <c r="D1641" s="5">
        <v>4</v>
      </c>
      <c r="E1641" s="5">
        <v>14</v>
      </c>
      <c r="F1641" s="5">
        <v>0</v>
      </c>
      <c r="G1641" s="5">
        <v>20</v>
      </c>
      <c r="H1641" s="5">
        <v>10</v>
      </c>
      <c r="I1641" s="5">
        <v>6</v>
      </c>
      <c r="J1641" s="5">
        <v>6</v>
      </c>
      <c r="K1641" s="5">
        <v>12</v>
      </c>
      <c r="L1641" s="5">
        <v>2</v>
      </c>
      <c r="M1641" s="5">
        <v>0</v>
      </c>
      <c r="N1641" s="5">
        <v>0</v>
      </c>
      <c r="O1641" s="5" t="str">
        <f t="shared" ca="1" si="25"/>
        <v>Supplier 41</v>
      </c>
      <c r="P1641" s="20" t="str">
        <f ca="1">IFERROR(VLOOKUP(O1641,EMAILS!B:C,2,FALSE),"NOT FOUND IN EMAILS")</f>
        <v>supplier@gmail.com</v>
      </c>
      <c r="Q1641" t="str">
        <f ca="1">""&amp;IFERROR(VLOOKUP(O1641,EMAILS!B:D,3,FALSE),"NOT FOUND IN EMAILS")</f>
        <v/>
      </c>
      <c r="R1641" t="str">
        <f ca="1">""&amp;IFERROR(VLOOKUP(O1641,EMAILS!B:E,4,FALSE),"NO T FOUND IN EMAILS")</f>
        <v/>
      </c>
    </row>
    <row r="1642" spans="2:18" x14ac:dyDescent="0.25">
      <c r="B1642" s="5" t="s">
        <v>1644</v>
      </c>
      <c r="C1642" s="5" t="s">
        <v>5784</v>
      </c>
      <c r="D1642" s="5">
        <v>0</v>
      </c>
      <c r="E1642" s="5">
        <v>0</v>
      </c>
      <c r="F1642" s="5">
        <v>0</v>
      </c>
      <c r="G1642" s="5">
        <v>0</v>
      </c>
      <c r="H1642" s="5">
        <v>0</v>
      </c>
      <c r="I1642" s="5">
        <v>0</v>
      </c>
      <c r="J1642" s="5">
        <v>0</v>
      </c>
      <c r="K1642" s="5">
        <v>0</v>
      </c>
      <c r="L1642" s="5">
        <v>0</v>
      </c>
      <c r="M1642" s="5">
        <v>0</v>
      </c>
      <c r="N1642" s="5">
        <v>96</v>
      </c>
      <c r="O1642" s="5" t="str">
        <f t="shared" ca="1" si="25"/>
        <v>Supplier 90</v>
      </c>
      <c r="P1642" s="20" t="str">
        <f ca="1">IFERROR(VLOOKUP(O1642,EMAILS!B:C,2,FALSE),"NOT FOUND IN EMAILS")</f>
        <v>supplier@gmail.com</v>
      </c>
      <c r="Q1642" t="str">
        <f ca="1">""&amp;IFERROR(VLOOKUP(O1642,EMAILS!B:D,3,FALSE),"NOT FOUND IN EMAILS")</f>
        <v/>
      </c>
      <c r="R1642" t="str">
        <f ca="1">""&amp;IFERROR(VLOOKUP(O1642,EMAILS!B:E,4,FALSE),"NO T FOUND IN EMAILS")</f>
        <v/>
      </c>
    </row>
    <row r="1643" spans="2:18" x14ac:dyDescent="0.25">
      <c r="B1643" s="5" t="s">
        <v>1645</v>
      </c>
      <c r="C1643" s="5" t="s">
        <v>5785</v>
      </c>
      <c r="D1643" s="5">
        <v>40</v>
      </c>
      <c r="E1643" s="5">
        <v>46</v>
      </c>
      <c r="F1643" s="5">
        <v>60</v>
      </c>
      <c r="G1643" s="5">
        <v>44</v>
      </c>
      <c r="H1643" s="5">
        <v>40</v>
      </c>
      <c r="I1643" s="5">
        <v>32</v>
      </c>
      <c r="J1643" s="5">
        <v>32</v>
      </c>
      <c r="K1643" s="5">
        <v>30</v>
      </c>
      <c r="L1643" s="5">
        <v>32</v>
      </c>
      <c r="M1643" s="5">
        <v>0</v>
      </c>
      <c r="N1643" s="5">
        <v>140</v>
      </c>
      <c r="O1643" s="5" t="str">
        <f t="shared" ca="1" si="25"/>
        <v>Supplier 35</v>
      </c>
      <c r="P1643" s="20" t="str">
        <f ca="1">IFERROR(VLOOKUP(O1643,EMAILS!B:C,2,FALSE),"NOT FOUND IN EMAILS")</f>
        <v>supplier@gmail.com</v>
      </c>
      <c r="Q1643" t="str">
        <f ca="1">""&amp;IFERROR(VLOOKUP(O1643,EMAILS!B:D,3,FALSE),"NOT FOUND IN EMAILS")</f>
        <v/>
      </c>
      <c r="R1643" t="str">
        <f ca="1">""&amp;IFERROR(VLOOKUP(O1643,EMAILS!B:E,4,FALSE),"NO T FOUND IN EMAILS")</f>
        <v/>
      </c>
    </row>
    <row r="1644" spans="2:18" x14ac:dyDescent="0.25">
      <c r="B1644" s="5" t="s">
        <v>1646</v>
      </c>
      <c r="C1644" s="5" t="s">
        <v>5786</v>
      </c>
      <c r="D1644" s="5">
        <v>20</v>
      </c>
      <c r="E1644" s="5">
        <v>4</v>
      </c>
      <c r="F1644" s="5">
        <v>4</v>
      </c>
      <c r="G1644" s="5">
        <v>0</v>
      </c>
      <c r="H1644" s="5">
        <v>4</v>
      </c>
      <c r="I1644" s="5">
        <v>0</v>
      </c>
      <c r="J1644" s="5">
        <v>8</v>
      </c>
      <c r="K1644" s="5">
        <v>0</v>
      </c>
      <c r="L1644" s="5">
        <v>0</v>
      </c>
      <c r="M1644" s="5">
        <v>0</v>
      </c>
      <c r="N1644" s="5">
        <v>4100</v>
      </c>
      <c r="O1644" s="5" t="str">
        <f t="shared" ca="1" si="25"/>
        <v>Supplier 114</v>
      </c>
      <c r="P1644" s="20" t="str">
        <f ca="1">IFERROR(VLOOKUP(O1644,EMAILS!B:C,2,FALSE),"NOT FOUND IN EMAILS")</f>
        <v>supplier@gmail.com</v>
      </c>
      <c r="Q1644" t="str">
        <f ca="1">""&amp;IFERROR(VLOOKUP(O1644,EMAILS!B:D,3,FALSE),"NOT FOUND IN EMAILS")</f>
        <v/>
      </c>
      <c r="R1644" t="str">
        <f ca="1">""&amp;IFERROR(VLOOKUP(O1644,EMAILS!B:E,4,FALSE),"NO T FOUND IN EMAILS")</f>
        <v/>
      </c>
    </row>
    <row r="1645" spans="2:18" x14ac:dyDescent="0.25">
      <c r="B1645" s="5" t="s">
        <v>1647</v>
      </c>
      <c r="C1645" s="5" t="s">
        <v>5787</v>
      </c>
      <c r="D1645" s="5">
        <v>540</v>
      </c>
      <c r="E1645" s="5">
        <v>220</v>
      </c>
      <c r="F1645" s="5">
        <v>512</v>
      </c>
      <c r="G1645" s="5">
        <v>520</v>
      </c>
      <c r="H1645" s="5">
        <v>6488</v>
      </c>
      <c r="I1645" s="5">
        <v>4916</v>
      </c>
      <c r="J1645" s="5">
        <v>320</v>
      </c>
      <c r="K1645" s="5">
        <v>160</v>
      </c>
      <c r="L1645" s="5">
        <v>440</v>
      </c>
      <c r="M1645" s="5">
        <v>0</v>
      </c>
      <c r="N1645" s="5">
        <v>0</v>
      </c>
      <c r="O1645" s="5" t="str">
        <f t="shared" ca="1" si="25"/>
        <v>Supplier 154</v>
      </c>
      <c r="P1645" s="20" t="str">
        <f ca="1">IFERROR(VLOOKUP(O1645,EMAILS!B:C,2,FALSE),"NOT FOUND IN EMAILS")</f>
        <v>supplier@gmail.com</v>
      </c>
      <c r="Q1645" t="str">
        <f ca="1">""&amp;IFERROR(VLOOKUP(O1645,EMAILS!B:D,3,FALSE),"NOT FOUND IN EMAILS")</f>
        <v/>
      </c>
      <c r="R1645" t="str">
        <f ca="1">""&amp;IFERROR(VLOOKUP(O1645,EMAILS!B:E,4,FALSE),"NO T FOUND IN EMAILS")</f>
        <v/>
      </c>
    </row>
    <row r="1646" spans="2:18" x14ac:dyDescent="0.25">
      <c r="B1646" s="5" t="s">
        <v>1648</v>
      </c>
      <c r="C1646" s="5" t="s">
        <v>5788</v>
      </c>
      <c r="D1646" s="5">
        <v>5</v>
      </c>
      <c r="E1646" s="5">
        <v>0</v>
      </c>
      <c r="F1646" s="5">
        <v>0</v>
      </c>
      <c r="G1646" s="5">
        <v>6</v>
      </c>
      <c r="H1646" s="5">
        <v>0</v>
      </c>
      <c r="I1646" s="5">
        <v>0</v>
      </c>
      <c r="J1646" s="5">
        <v>0</v>
      </c>
      <c r="K1646" s="5">
        <v>0</v>
      </c>
      <c r="L1646" s="5">
        <v>0</v>
      </c>
      <c r="M1646" s="5">
        <v>0</v>
      </c>
      <c r="N1646" s="5">
        <v>4</v>
      </c>
      <c r="O1646" s="5" t="str">
        <f t="shared" ca="1" si="25"/>
        <v>Supplier 123</v>
      </c>
      <c r="P1646" s="20" t="str">
        <f ca="1">IFERROR(VLOOKUP(O1646,EMAILS!B:C,2,FALSE),"NOT FOUND IN EMAILS")</f>
        <v>supplier@gmail.com</v>
      </c>
      <c r="Q1646" t="str">
        <f ca="1">""&amp;IFERROR(VLOOKUP(O1646,EMAILS!B:D,3,FALSE),"NOT FOUND IN EMAILS")</f>
        <v/>
      </c>
      <c r="R1646" t="str">
        <f ca="1">""&amp;IFERROR(VLOOKUP(O1646,EMAILS!B:E,4,FALSE),"NO T FOUND IN EMAILS")</f>
        <v/>
      </c>
    </row>
    <row r="1647" spans="2:18" x14ac:dyDescent="0.25">
      <c r="B1647" s="5" t="s">
        <v>1649</v>
      </c>
      <c r="C1647" s="5" t="s">
        <v>5789</v>
      </c>
      <c r="D1647" s="5">
        <v>0</v>
      </c>
      <c r="E1647" s="5">
        <v>0</v>
      </c>
      <c r="F1647" s="5">
        <v>0</v>
      </c>
      <c r="G1647" s="5">
        <v>0</v>
      </c>
      <c r="H1647" s="5">
        <v>0</v>
      </c>
      <c r="I1647" s="5">
        <v>0</v>
      </c>
      <c r="J1647" s="5">
        <v>0</v>
      </c>
      <c r="K1647" s="5">
        <v>0</v>
      </c>
      <c r="L1647" s="5">
        <v>2</v>
      </c>
      <c r="M1647" s="5">
        <v>0</v>
      </c>
      <c r="N1647" s="5">
        <v>2</v>
      </c>
      <c r="O1647" s="5" t="str">
        <f t="shared" ca="1" si="25"/>
        <v>Supplier 28</v>
      </c>
      <c r="P1647" s="20" t="str">
        <f ca="1">IFERROR(VLOOKUP(O1647,EMAILS!B:C,2,FALSE),"NOT FOUND IN EMAILS")</f>
        <v>supplier@gmail.com</v>
      </c>
      <c r="Q1647" t="str">
        <f ca="1">""&amp;IFERROR(VLOOKUP(O1647,EMAILS!B:D,3,FALSE),"NOT FOUND IN EMAILS")</f>
        <v/>
      </c>
      <c r="R1647" t="str">
        <f ca="1">""&amp;IFERROR(VLOOKUP(O1647,EMAILS!B:E,4,FALSE),"NO T FOUND IN EMAILS")</f>
        <v/>
      </c>
    </row>
    <row r="1648" spans="2:18" x14ac:dyDescent="0.25">
      <c r="B1648" s="5" t="s">
        <v>1650</v>
      </c>
      <c r="C1648" s="5" t="s">
        <v>5790</v>
      </c>
      <c r="D1648" s="5">
        <v>0</v>
      </c>
      <c r="E1648" s="5">
        <v>0</v>
      </c>
      <c r="F1648" s="5">
        <v>0</v>
      </c>
      <c r="G1648" s="5">
        <v>0</v>
      </c>
      <c r="H1648" s="5">
        <v>0</v>
      </c>
      <c r="I1648" s="5">
        <v>0</v>
      </c>
      <c r="J1648" s="5">
        <v>0</v>
      </c>
      <c r="K1648" s="5">
        <v>0</v>
      </c>
      <c r="L1648" s="5">
        <v>0</v>
      </c>
      <c r="M1648" s="5">
        <v>0</v>
      </c>
      <c r="N1648" s="5">
        <v>0</v>
      </c>
      <c r="O1648" s="5" t="str">
        <f t="shared" ca="1" si="25"/>
        <v>Supplier 121</v>
      </c>
      <c r="P1648" s="20" t="str">
        <f ca="1">IFERROR(VLOOKUP(O1648,EMAILS!B:C,2,FALSE),"NOT FOUND IN EMAILS")</f>
        <v>supplier@gmail.com</v>
      </c>
      <c r="Q1648" t="str">
        <f ca="1">""&amp;IFERROR(VLOOKUP(O1648,EMAILS!B:D,3,FALSE),"NOT FOUND IN EMAILS")</f>
        <v/>
      </c>
      <c r="R1648" t="str">
        <f ca="1">""&amp;IFERROR(VLOOKUP(O1648,EMAILS!B:E,4,FALSE),"NO T FOUND IN EMAILS")</f>
        <v/>
      </c>
    </row>
    <row r="1649" spans="2:18" x14ac:dyDescent="0.25">
      <c r="B1649" s="5" t="s">
        <v>1651</v>
      </c>
      <c r="C1649" s="5" t="s">
        <v>5791</v>
      </c>
      <c r="D1649" s="5">
        <v>0</v>
      </c>
      <c r="E1649" s="5">
        <v>0</v>
      </c>
      <c r="F1649" s="5">
        <v>0</v>
      </c>
      <c r="G1649" s="5">
        <v>0</v>
      </c>
      <c r="H1649" s="5">
        <v>0</v>
      </c>
      <c r="I1649" s="5">
        <v>0</v>
      </c>
      <c r="J1649" s="5">
        <v>0</v>
      </c>
      <c r="K1649" s="5">
        <v>0</v>
      </c>
      <c r="L1649" s="5">
        <v>0</v>
      </c>
      <c r="M1649" s="5">
        <v>0</v>
      </c>
      <c r="N1649" s="5">
        <v>5</v>
      </c>
      <c r="O1649" s="5" t="str">
        <f t="shared" ca="1" si="25"/>
        <v>Supplier 158</v>
      </c>
      <c r="P1649" s="20" t="str">
        <f ca="1">IFERROR(VLOOKUP(O1649,EMAILS!B:C,2,FALSE),"NOT FOUND IN EMAILS")</f>
        <v>supplier@gmail.com</v>
      </c>
      <c r="Q1649" t="str">
        <f ca="1">""&amp;IFERROR(VLOOKUP(O1649,EMAILS!B:D,3,FALSE),"NOT FOUND IN EMAILS")</f>
        <v/>
      </c>
      <c r="R1649" t="str">
        <f ca="1">""&amp;IFERROR(VLOOKUP(O1649,EMAILS!B:E,4,FALSE),"NO T FOUND IN EMAILS")</f>
        <v/>
      </c>
    </row>
    <row r="1650" spans="2:18" x14ac:dyDescent="0.25">
      <c r="B1650" s="5" t="s">
        <v>1652</v>
      </c>
      <c r="C1650" s="5" t="s">
        <v>5792</v>
      </c>
      <c r="D1650" s="5">
        <v>0</v>
      </c>
      <c r="E1650" s="5">
        <v>0</v>
      </c>
      <c r="F1650" s="5">
        <v>0</v>
      </c>
      <c r="G1650" s="5">
        <v>0</v>
      </c>
      <c r="H1650" s="5">
        <v>0</v>
      </c>
      <c r="I1650" s="5">
        <v>0</v>
      </c>
      <c r="J1650" s="5">
        <v>0</v>
      </c>
      <c r="K1650" s="5">
        <v>0</v>
      </c>
      <c r="L1650" s="5">
        <v>0</v>
      </c>
      <c r="M1650" s="5">
        <v>0</v>
      </c>
      <c r="N1650" s="5">
        <v>614</v>
      </c>
      <c r="O1650" s="5" t="str">
        <f t="shared" ca="1" si="25"/>
        <v>Supplier 175</v>
      </c>
      <c r="P1650" s="20" t="str">
        <f ca="1">IFERROR(VLOOKUP(O1650,EMAILS!B:C,2,FALSE),"NOT FOUND IN EMAILS")</f>
        <v>supplier@gmail.com</v>
      </c>
      <c r="Q1650" t="str">
        <f ca="1">""&amp;IFERROR(VLOOKUP(O1650,EMAILS!B:D,3,FALSE),"NOT FOUND IN EMAILS")</f>
        <v/>
      </c>
      <c r="R1650" t="str">
        <f ca="1">""&amp;IFERROR(VLOOKUP(O1650,EMAILS!B:E,4,FALSE),"NO T FOUND IN EMAILS")</f>
        <v/>
      </c>
    </row>
    <row r="1651" spans="2:18" x14ac:dyDescent="0.25">
      <c r="B1651" s="5" t="s">
        <v>1653</v>
      </c>
      <c r="C1651" s="5" t="s">
        <v>5793</v>
      </c>
      <c r="D1651" s="5">
        <v>90</v>
      </c>
      <c r="E1651" s="5">
        <v>10</v>
      </c>
      <c r="F1651" s="5">
        <v>60</v>
      </c>
      <c r="G1651" s="5">
        <v>30</v>
      </c>
      <c r="H1651" s="5">
        <v>30</v>
      </c>
      <c r="I1651" s="5">
        <v>40</v>
      </c>
      <c r="J1651" s="5">
        <v>10</v>
      </c>
      <c r="K1651" s="5">
        <v>0</v>
      </c>
      <c r="L1651" s="5">
        <v>50</v>
      </c>
      <c r="M1651" s="5">
        <v>0</v>
      </c>
      <c r="N1651" s="5">
        <v>60</v>
      </c>
      <c r="O1651" s="5" t="str">
        <f t="shared" ca="1" si="25"/>
        <v>Supplier 77</v>
      </c>
      <c r="P1651" s="20" t="str">
        <f ca="1">IFERROR(VLOOKUP(O1651,EMAILS!B:C,2,FALSE),"NOT FOUND IN EMAILS")</f>
        <v>supplier@gmail.com</v>
      </c>
      <c r="Q1651" t="str">
        <f ca="1">""&amp;IFERROR(VLOOKUP(O1651,EMAILS!B:D,3,FALSE),"NOT FOUND IN EMAILS")</f>
        <v/>
      </c>
      <c r="R1651" t="str">
        <f ca="1">""&amp;IFERROR(VLOOKUP(O1651,EMAILS!B:E,4,FALSE),"NO T FOUND IN EMAILS")</f>
        <v/>
      </c>
    </row>
    <row r="1652" spans="2:18" x14ac:dyDescent="0.25">
      <c r="B1652" s="5" t="s">
        <v>1654</v>
      </c>
      <c r="C1652" s="5" t="s">
        <v>5794</v>
      </c>
      <c r="D1652" s="5">
        <v>0</v>
      </c>
      <c r="E1652" s="5">
        <v>0</v>
      </c>
      <c r="F1652" s="5">
        <v>0</v>
      </c>
      <c r="G1652" s="5">
        <v>0</v>
      </c>
      <c r="H1652" s="5">
        <v>50</v>
      </c>
      <c r="I1652" s="5">
        <v>0</v>
      </c>
      <c r="J1652" s="5">
        <v>0</v>
      </c>
      <c r="K1652" s="5">
        <v>50</v>
      </c>
      <c r="L1652" s="5">
        <v>0</v>
      </c>
      <c r="M1652" s="5">
        <v>0</v>
      </c>
      <c r="N1652" s="5">
        <v>600</v>
      </c>
      <c r="O1652" s="5" t="str">
        <f t="shared" ca="1" si="25"/>
        <v>Supplier 98</v>
      </c>
      <c r="P1652" s="20" t="str">
        <f ca="1">IFERROR(VLOOKUP(O1652,EMAILS!B:C,2,FALSE),"NOT FOUND IN EMAILS")</f>
        <v>supplier@gmail.com</v>
      </c>
      <c r="Q1652" t="str">
        <f ca="1">""&amp;IFERROR(VLOOKUP(O1652,EMAILS!B:D,3,FALSE),"NOT FOUND IN EMAILS")</f>
        <v/>
      </c>
      <c r="R1652" t="str">
        <f ca="1">""&amp;IFERROR(VLOOKUP(O1652,EMAILS!B:E,4,FALSE),"NO T FOUND IN EMAILS")</f>
        <v/>
      </c>
    </row>
    <row r="1653" spans="2:18" x14ac:dyDescent="0.25">
      <c r="B1653" s="5" t="s">
        <v>1655</v>
      </c>
      <c r="C1653" s="5" t="s">
        <v>5795</v>
      </c>
      <c r="D1653" s="5">
        <v>182</v>
      </c>
      <c r="E1653" s="5">
        <v>41</v>
      </c>
      <c r="F1653" s="5">
        <v>24</v>
      </c>
      <c r="G1653" s="5">
        <v>118</v>
      </c>
      <c r="H1653" s="5">
        <v>84</v>
      </c>
      <c r="I1653" s="5">
        <v>67</v>
      </c>
      <c r="J1653" s="5">
        <v>80</v>
      </c>
      <c r="K1653" s="5">
        <v>97</v>
      </c>
      <c r="L1653" s="5">
        <v>61</v>
      </c>
      <c r="M1653" s="5">
        <v>0</v>
      </c>
      <c r="N1653" s="5">
        <v>250</v>
      </c>
      <c r="O1653" s="5" t="str">
        <f t="shared" ca="1" si="25"/>
        <v>Supplier 130</v>
      </c>
      <c r="P1653" s="20" t="str">
        <f ca="1">IFERROR(VLOOKUP(O1653,EMAILS!B:C,2,FALSE),"NOT FOUND IN EMAILS")</f>
        <v>supplier@gmail.com</v>
      </c>
      <c r="Q1653" t="str">
        <f ca="1">""&amp;IFERROR(VLOOKUP(O1653,EMAILS!B:D,3,FALSE),"NOT FOUND IN EMAILS")</f>
        <v/>
      </c>
      <c r="R1653" t="str">
        <f ca="1">""&amp;IFERROR(VLOOKUP(O1653,EMAILS!B:E,4,FALSE),"NO T FOUND IN EMAILS")</f>
        <v/>
      </c>
    </row>
    <row r="1654" spans="2:18" x14ac:dyDescent="0.25">
      <c r="B1654" s="5" t="s">
        <v>1656</v>
      </c>
      <c r="C1654" s="5" t="s">
        <v>5796</v>
      </c>
      <c r="D1654" s="5">
        <v>0</v>
      </c>
      <c r="E1654" s="5">
        <v>0</v>
      </c>
      <c r="F1654" s="5">
        <v>0</v>
      </c>
      <c r="G1654" s="5">
        <v>0</v>
      </c>
      <c r="H1654" s="5">
        <v>0</v>
      </c>
      <c r="I1654" s="5">
        <v>1</v>
      </c>
      <c r="J1654" s="5">
        <v>0</v>
      </c>
      <c r="K1654" s="5">
        <v>0</v>
      </c>
      <c r="L1654" s="5">
        <v>0</v>
      </c>
      <c r="M1654" s="5">
        <v>0</v>
      </c>
      <c r="N1654" s="5">
        <v>66</v>
      </c>
      <c r="O1654" s="5" t="str">
        <f t="shared" ca="1" si="25"/>
        <v>Supplier 137</v>
      </c>
      <c r="P1654" s="20" t="str">
        <f ca="1">IFERROR(VLOOKUP(O1654,EMAILS!B:C,2,FALSE),"NOT FOUND IN EMAILS")</f>
        <v>supplier@gmail.com</v>
      </c>
      <c r="Q1654" t="str">
        <f ca="1">""&amp;IFERROR(VLOOKUP(O1654,EMAILS!B:D,3,FALSE),"NOT FOUND IN EMAILS")</f>
        <v/>
      </c>
      <c r="R1654" t="str">
        <f ca="1">""&amp;IFERROR(VLOOKUP(O1654,EMAILS!B:E,4,FALSE),"NO T FOUND IN EMAILS")</f>
        <v/>
      </c>
    </row>
    <row r="1655" spans="2:18" x14ac:dyDescent="0.25">
      <c r="B1655" s="5" t="s">
        <v>1657</v>
      </c>
      <c r="C1655" s="5" t="s">
        <v>5797</v>
      </c>
      <c r="D1655" s="5">
        <v>1</v>
      </c>
      <c r="E1655" s="5">
        <v>0</v>
      </c>
      <c r="F1655" s="5">
        <v>20</v>
      </c>
      <c r="G1655" s="5">
        <v>2</v>
      </c>
      <c r="H1655" s="5">
        <v>3</v>
      </c>
      <c r="I1655" s="5">
        <v>0</v>
      </c>
      <c r="J1655" s="5">
        <v>2</v>
      </c>
      <c r="K1655" s="5">
        <v>5</v>
      </c>
      <c r="L1655" s="5">
        <v>0</v>
      </c>
      <c r="M1655" s="5">
        <v>0</v>
      </c>
      <c r="N1655" s="5">
        <v>281</v>
      </c>
      <c r="O1655" s="5" t="str">
        <f t="shared" ca="1" si="25"/>
        <v>Supplier 1</v>
      </c>
      <c r="P1655" s="20" t="str">
        <f ca="1">IFERROR(VLOOKUP(O1655,EMAILS!B:C,2,FALSE),"NOT FOUND IN EMAILS")</f>
        <v>supplier@gmail.com</v>
      </c>
      <c r="Q1655" t="str">
        <f ca="1">""&amp;IFERROR(VLOOKUP(O1655,EMAILS!B:D,3,FALSE),"NOT FOUND IN EMAILS")</f>
        <v>supplier_logistics@gmail.com</v>
      </c>
      <c r="R1655" t="str">
        <f ca="1">""&amp;IFERROR(VLOOKUP(O1655,EMAILS!B:E,4,FALSE),"NO T FOUND IN EMAILS")</f>
        <v/>
      </c>
    </row>
    <row r="1656" spans="2:18" x14ac:dyDescent="0.25">
      <c r="B1656" s="5" t="s">
        <v>1658</v>
      </c>
      <c r="C1656" s="5" t="s">
        <v>5798</v>
      </c>
      <c r="D1656" s="5">
        <v>1</v>
      </c>
      <c r="E1656" s="5">
        <v>0</v>
      </c>
      <c r="F1656" s="5">
        <v>20</v>
      </c>
      <c r="G1656" s="5">
        <v>2</v>
      </c>
      <c r="H1656" s="5">
        <v>3</v>
      </c>
      <c r="I1656" s="5">
        <v>0</v>
      </c>
      <c r="J1656" s="5">
        <v>2</v>
      </c>
      <c r="K1656" s="5">
        <v>5</v>
      </c>
      <c r="L1656" s="5">
        <v>0</v>
      </c>
      <c r="M1656" s="5">
        <v>0</v>
      </c>
      <c r="N1656" s="5">
        <v>0</v>
      </c>
      <c r="O1656" s="5" t="str">
        <f t="shared" ca="1" si="25"/>
        <v>Supplier 179</v>
      </c>
      <c r="P1656" s="20" t="str">
        <f ca="1">IFERROR(VLOOKUP(O1656,EMAILS!B:C,2,FALSE),"NOT FOUND IN EMAILS")</f>
        <v>supplier@gmail.com</v>
      </c>
      <c r="Q1656" t="str">
        <f ca="1">""&amp;IFERROR(VLOOKUP(O1656,EMAILS!B:D,3,FALSE),"NOT FOUND IN EMAILS")</f>
        <v/>
      </c>
      <c r="R1656" t="str">
        <f ca="1">""&amp;IFERROR(VLOOKUP(O1656,EMAILS!B:E,4,FALSE),"NO T FOUND IN EMAILS")</f>
        <v/>
      </c>
    </row>
    <row r="1657" spans="2:18" x14ac:dyDescent="0.25">
      <c r="B1657" s="5" t="s">
        <v>1659</v>
      </c>
      <c r="C1657" s="5" t="s">
        <v>5799</v>
      </c>
      <c r="D1657" s="5">
        <v>62</v>
      </c>
      <c r="E1657" s="5">
        <v>62</v>
      </c>
      <c r="F1657" s="5">
        <v>62</v>
      </c>
      <c r="G1657" s="5">
        <v>62</v>
      </c>
      <c r="H1657" s="5">
        <v>62</v>
      </c>
      <c r="I1657" s="5">
        <v>62</v>
      </c>
      <c r="J1657" s="5">
        <v>62</v>
      </c>
      <c r="K1657" s="5">
        <v>62</v>
      </c>
      <c r="L1657" s="5">
        <v>62</v>
      </c>
      <c r="M1657" s="5">
        <v>0</v>
      </c>
      <c r="N1657" s="5">
        <v>2160</v>
      </c>
      <c r="O1657" s="5" t="str">
        <f t="shared" ca="1" si="25"/>
        <v>Supplier 91</v>
      </c>
      <c r="P1657" s="20" t="str">
        <f ca="1">IFERROR(VLOOKUP(O1657,EMAILS!B:C,2,FALSE),"NOT FOUND IN EMAILS")</f>
        <v>supplier@gmail.com</v>
      </c>
      <c r="Q1657" t="str">
        <f ca="1">""&amp;IFERROR(VLOOKUP(O1657,EMAILS!B:D,3,FALSE),"NOT FOUND IN EMAILS")</f>
        <v/>
      </c>
      <c r="R1657" t="str">
        <f ca="1">""&amp;IFERROR(VLOOKUP(O1657,EMAILS!B:E,4,FALSE),"NO T FOUND IN EMAILS")</f>
        <v/>
      </c>
    </row>
    <row r="1658" spans="2:18" x14ac:dyDescent="0.25">
      <c r="B1658" s="5" t="s">
        <v>1660</v>
      </c>
      <c r="C1658" s="5" t="s">
        <v>5800</v>
      </c>
      <c r="D1658" s="5">
        <v>10</v>
      </c>
      <c r="E1658" s="5">
        <v>0</v>
      </c>
      <c r="F1658" s="5">
        <v>0</v>
      </c>
      <c r="G1658" s="5">
        <v>10</v>
      </c>
      <c r="H1658" s="5">
        <v>0</v>
      </c>
      <c r="I1658" s="5">
        <v>0</v>
      </c>
      <c r="J1658" s="5">
        <v>10</v>
      </c>
      <c r="K1658" s="5">
        <v>0</v>
      </c>
      <c r="L1658" s="5">
        <v>20</v>
      </c>
      <c r="M1658" s="5">
        <v>0</v>
      </c>
      <c r="N1658" s="5">
        <v>0</v>
      </c>
      <c r="O1658" s="5" t="str">
        <f t="shared" ca="1" si="25"/>
        <v>Supplier 79</v>
      </c>
      <c r="P1658" s="20" t="str">
        <f ca="1">IFERROR(VLOOKUP(O1658,EMAILS!B:C,2,FALSE),"NOT FOUND IN EMAILS")</f>
        <v>supplier@gmail.com</v>
      </c>
      <c r="Q1658" t="str">
        <f ca="1">""&amp;IFERROR(VLOOKUP(O1658,EMAILS!B:D,3,FALSE),"NOT FOUND IN EMAILS")</f>
        <v/>
      </c>
      <c r="R1658" t="str">
        <f ca="1">""&amp;IFERROR(VLOOKUP(O1658,EMAILS!B:E,4,FALSE),"NO T FOUND IN EMAILS")</f>
        <v/>
      </c>
    </row>
    <row r="1659" spans="2:18" x14ac:dyDescent="0.25">
      <c r="B1659" s="5" t="s">
        <v>1661</v>
      </c>
      <c r="C1659" s="5" t="s">
        <v>5801</v>
      </c>
      <c r="D1659" s="5">
        <v>0</v>
      </c>
      <c r="E1659" s="5">
        <v>0</v>
      </c>
      <c r="F1659" s="5">
        <v>0</v>
      </c>
      <c r="G1659" s="5">
        <v>0</v>
      </c>
      <c r="H1659" s="5">
        <v>0</v>
      </c>
      <c r="I1659" s="5">
        <v>0</v>
      </c>
      <c r="J1659" s="5">
        <v>0</v>
      </c>
      <c r="K1659" s="5">
        <v>0</v>
      </c>
      <c r="L1659" s="5">
        <v>0</v>
      </c>
      <c r="M1659" s="5">
        <v>0</v>
      </c>
      <c r="N1659" s="5">
        <v>9000</v>
      </c>
      <c r="O1659" s="5" t="str">
        <f t="shared" ca="1" si="25"/>
        <v>Supplier 91</v>
      </c>
      <c r="P1659" s="20" t="str">
        <f ca="1">IFERROR(VLOOKUP(O1659,EMAILS!B:C,2,FALSE),"NOT FOUND IN EMAILS")</f>
        <v>supplier@gmail.com</v>
      </c>
      <c r="Q1659" t="str">
        <f ca="1">""&amp;IFERROR(VLOOKUP(O1659,EMAILS!B:D,3,FALSE),"NOT FOUND IN EMAILS")</f>
        <v/>
      </c>
      <c r="R1659" t="str">
        <f ca="1">""&amp;IFERROR(VLOOKUP(O1659,EMAILS!B:E,4,FALSE),"NO T FOUND IN EMAILS")</f>
        <v/>
      </c>
    </row>
    <row r="1660" spans="2:18" x14ac:dyDescent="0.25">
      <c r="B1660" s="5" t="s">
        <v>1662</v>
      </c>
      <c r="C1660" s="5" t="s">
        <v>5802</v>
      </c>
      <c r="D1660" s="5">
        <v>3086</v>
      </c>
      <c r="E1660" s="5">
        <v>2133</v>
      </c>
      <c r="F1660" s="5">
        <v>3493</v>
      </c>
      <c r="G1660" s="5">
        <v>3862</v>
      </c>
      <c r="H1660" s="5">
        <v>3570</v>
      </c>
      <c r="I1660" s="5">
        <v>2690</v>
      </c>
      <c r="J1660" s="5">
        <v>2502</v>
      </c>
      <c r="K1660" s="5">
        <v>2308</v>
      </c>
      <c r="L1660" s="5">
        <v>2428</v>
      </c>
      <c r="M1660" s="5">
        <v>0</v>
      </c>
      <c r="N1660" s="5">
        <v>6000</v>
      </c>
      <c r="O1660" s="5" t="str">
        <f t="shared" ca="1" si="25"/>
        <v>Supplier 198</v>
      </c>
      <c r="P1660" s="20" t="str">
        <f ca="1">IFERROR(VLOOKUP(O1660,EMAILS!B:C,2,FALSE),"NOT FOUND IN EMAILS")</f>
        <v>supplier@gmail.com</v>
      </c>
      <c r="Q1660" t="str">
        <f ca="1">""&amp;IFERROR(VLOOKUP(O1660,EMAILS!B:D,3,FALSE),"NOT FOUND IN EMAILS")</f>
        <v/>
      </c>
      <c r="R1660" t="str">
        <f ca="1">""&amp;IFERROR(VLOOKUP(O1660,EMAILS!B:E,4,FALSE),"NO T FOUND IN EMAILS")</f>
        <v/>
      </c>
    </row>
    <row r="1661" spans="2:18" x14ac:dyDescent="0.25">
      <c r="B1661" s="5" t="s">
        <v>1663</v>
      </c>
      <c r="C1661" s="5" t="s">
        <v>5803</v>
      </c>
      <c r="D1661" s="5">
        <v>60</v>
      </c>
      <c r="E1661" s="5">
        <v>69</v>
      </c>
      <c r="F1661" s="5">
        <v>90</v>
      </c>
      <c r="G1661" s="5">
        <v>66</v>
      </c>
      <c r="H1661" s="5">
        <v>60</v>
      </c>
      <c r="I1661" s="5">
        <v>48</v>
      </c>
      <c r="J1661" s="5">
        <v>48</v>
      </c>
      <c r="K1661" s="5">
        <v>45</v>
      </c>
      <c r="L1661" s="5">
        <v>48</v>
      </c>
      <c r="M1661" s="5">
        <v>0</v>
      </c>
      <c r="N1661" s="5">
        <v>1302</v>
      </c>
      <c r="O1661" s="5" t="str">
        <f t="shared" ca="1" si="25"/>
        <v>Supplier 109</v>
      </c>
      <c r="P1661" s="20" t="str">
        <f ca="1">IFERROR(VLOOKUP(O1661,EMAILS!B:C,2,FALSE),"NOT FOUND IN EMAILS")</f>
        <v>supplier@gmail.com</v>
      </c>
      <c r="Q1661" t="str">
        <f ca="1">""&amp;IFERROR(VLOOKUP(O1661,EMAILS!B:D,3,FALSE),"NOT FOUND IN EMAILS")</f>
        <v/>
      </c>
      <c r="R1661" t="str">
        <f ca="1">""&amp;IFERROR(VLOOKUP(O1661,EMAILS!B:E,4,FALSE),"NO T FOUND IN EMAILS")</f>
        <v/>
      </c>
    </row>
    <row r="1662" spans="2:18" x14ac:dyDescent="0.25">
      <c r="B1662" s="5" t="s">
        <v>1664</v>
      </c>
      <c r="C1662" s="5" t="s">
        <v>5804</v>
      </c>
      <c r="D1662" s="5">
        <v>0</v>
      </c>
      <c r="E1662" s="5">
        <v>0</v>
      </c>
      <c r="F1662" s="5">
        <v>0</v>
      </c>
      <c r="G1662" s="5">
        <v>0</v>
      </c>
      <c r="H1662" s="5">
        <v>0</v>
      </c>
      <c r="I1662" s="5">
        <v>0</v>
      </c>
      <c r="J1662" s="5">
        <v>1</v>
      </c>
      <c r="K1662" s="5">
        <v>0</v>
      </c>
      <c r="L1662" s="5">
        <v>2</v>
      </c>
      <c r="M1662" s="5">
        <v>0</v>
      </c>
      <c r="N1662" s="5">
        <v>1759</v>
      </c>
      <c r="O1662" s="5" t="str">
        <f t="shared" ca="1" si="25"/>
        <v>Supplier 154</v>
      </c>
      <c r="P1662" s="20" t="str">
        <f ca="1">IFERROR(VLOOKUP(O1662,EMAILS!B:C,2,FALSE),"NOT FOUND IN EMAILS")</f>
        <v>supplier@gmail.com</v>
      </c>
      <c r="Q1662" t="str">
        <f ca="1">""&amp;IFERROR(VLOOKUP(O1662,EMAILS!B:D,3,FALSE),"NOT FOUND IN EMAILS")</f>
        <v/>
      </c>
      <c r="R1662" t="str">
        <f ca="1">""&amp;IFERROR(VLOOKUP(O1662,EMAILS!B:E,4,FALSE),"NO T FOUND IN EMAILS")</f>
        <v/>
      </c>
    </row>
    <row r="1663" spans="2:18" x14ac:dyDescent="0.25">
      <c r="B1663" s="5" t="s">
        <v>1665</v>
      </c>
      <c r="C1663" s="5" t="s">
        <v>5805</v>
      </c>
      <c r="D1663" s="5">
        <v>1</v>
      </c>
      <c r="E1663" s="5">
        <v>0</v>
      </c>
      <c r="F1663" s="5">
        <v>0</v>
      </c>
      <c r="G1663" s="5">
        <v>1</v>
      </c>
      <c r="H1663" s="5">
        <v>0</v>
      </c>
      <c r="I1663" s="5">
        <v>0</v>
      </c>
      <c r="J1663" s="5">
        <v>0</v>
      </c>
      <c r="K1663" s="5">
        <v>0</v>
      </c>
      <c r="L1663" s="5">
        <v>0</v>
      </c>
      <c r="M1663" s="5">
        <v>0</v>
      </c>
      <c r="N1663" s="5">
        <v>795</v>
      </c>
      <c r="O1663" s="5" t="str">
        <f t="shared" ca="1" si="25"/>
        <v>Supplier 4</v>
      </c>
      <c r="P1663" s="20" t="str">
        <f ca="1">IFERROR(VLOOKUP(O1663,EMAILS!B:C,2,FALSE),"NOT FOUND IN EMAILS")</f>
        <v>supplier@gmail.com</v>
      </c>
      <c r="Q1663" t="str">
        <f ca="1">""&amp;IFERROR(VLOOKUP(O1663,EMAILS!B:D,3,FALSE),"NOT FOUND IN EMAILS")</f>
        <v>supplier_logistics@gmail.com</v>
      </c>
      <c r="R1663" t="str">
        <f ca="1">""&amp;IFERROR(VLOOKUP(O1663,EMAILS!B:E,4,FALSE),"NO T FOUND IN EMAILS")</f>
        <v/>
      </c>
    </row>
    <row r="1664" spans="2:18" x14ac:dyDescent="0.25">
      <c r="B1664" s="5" t="s">
        <v>1666</v>
      </c>
      <c r="C1664" s="5" t="s">
        <v>5806</v>
      </c>
      <c r="D1664" s="5">
        <v>0</v>
      </c>
      <c r="E1664" s="5">
        <v>0</v>
      </c>
      <c r="F1664" s="5">
        <v>0</v>
      </c>
      <c r="G1664" s="5">
        <v>0</v>
      </c>
      <c r="H1664" s="5">
        <v>0</v>
      </c>
      <c r="I1664" s="5">
        <v>0</v>
      </c>
      <c r="J1664" s="5">
        <v>0</v>
      </c>
      <c r="K1664" s="5">
        <v>5</v>
      </c>
      <c r="L1664" s="5">
        <v>0</v>
      </c>
      <c r="M1664" s="5">
        <v>0</v>
      </c>
      <c r="N1664" s="5">
        <v>840</v>
      </c>
      <c r="O1664" s="5" t="str">
        <f t="shared" ca="1" si="25"/>
        <v>Supplier 156</v>
      </c>
      <c r="P1664" s="20" t="str">
        <f ca="1">IFERROR(VLOOKUP(O1664,EMAILS!B:C,2,FALSE),"NOT FOUND IN EMAILS")</f>
        <v>supplier@gmail.com</v>
      </c>
      <c r="Q1664" t="str">
        <f ca="1">""&amp;IFERROR(VLOOKUP(O1664,EMAILS!B:D,3,FALSE),"NOT FOUND IN EMAILS")</f>
        <v/>
      </c>
      <c r="R1664" t="str">
        <f ca="1">""&amp;IFERROR(VLOOKUP(O1664,EMAILS!B:E,4,FALSE),"NO T FOUND IN EMAILS")</f>
        <v/>
      </c>
    </row>
    <row r="1665" spans="2:18" x14ac:dyDescent="0.25">
      <c r="B1665" s="5" t="s">
        <v>1667</v>
      </c>
      <c r="C1665" s="5" t="s">
        <v>5807</v>
      </c>
      <c r="D1665" s="5">
        <v>0</v>
      </c>
      <c r="E1665" s="5">
        <v>0</v>
      </c>
      <c r="F1665" s="5">
        <v>0</v>
      </c>
      <c r="G1665" s="5">
        <v>0</v>
      </c>
      <c r="H1665" s="5">
        <v>5</v>
      </c>
      <c r="I1665" s="5">
        <v>0</v>
      </c>
      <c r="J1665" s="5">
        <v>0</v>
      </c>
      <c r="K1665" s="5">
        <v>0</v>
      </c>
      <c r="L1665" s="5">
        <v>0</v>
      </c>
      <c r="M1665" s="5">
        <v>0</v>
      </c>
      <c r="N1665" s="5">
        <v>267</v>
      </c>
      <c r="O1665" s="5" t="str">
        <f t="shared" ca="1" si="25"/>
        <v>Supplier 70</v>
      </c>
      <c r="P1665" s="20" t="str">
        <f ca="1">IFERROR(VLOOKUP(O1665,EMAILS!B:C,2,FALSE),"NOT FOUND IN EMAILS")</f>
        <v>supplier@gmail.com</v>
      </c>
      <c r="Q1665" t="str">
        <f ca="1">""&amp;IFERROR(VLOOKUP(O1665,EMAILS!B:D,3,FALSE),"NOT FOUND IN EMAILS")</f>
        <v/>
      </c>
      <c r="R1665" t="str">
        <f ca="1">""&amp;IFERROR(VLOOKUP(O1665,EMAILS!B:E,4,FALSE),"NO T FOUND IN EMAILS")</f>
        <v/>
      </c>
    </row>
    <row r="1666" spans="2:18" x14ac:dyDescent="0.25">
      <c r="B1666" s="5" t="s">
        <v>1668</v>
      </c>
      <c r="C1666" s="5" t="s">
        <v>5808</v>
      </c>
      <c r="D1666" s="5">
        <v>0</v>
      </c>
      <c r="E1666" s="5">
        <v>1</v>
      </c>
      <c r="F1666" s="5">
        <v>3</v>
      </c>
      <c r="G1666" s="5">
        <v>3</v>
      </c>
      <c r="H1666" s="5">
        <v>0</v>
      </c>
      <c r="I1666" s="5">
        <v>4</v>
      </c>
      <c r="J1666" s="5">
        <v>0</v>
      </c>
      <c r="K1666" s="5">
        <v>0</v>
      </c>
      <c r="L1666" s="5">
        <v>5</v>
      </c>
      <c r="M1666" s="5">
        <v>0</v>
      </c>
      <c r="N1666" s="5">
        <v>0</v>
      </c>
      <c r="O1666" s="5" t="str">
        <f t="shared" ca="1" si="25"/>
        <v>Supplier 108</v>
      </c>
      <c r="P1666" s="20" t="str">
        <f ca="1">IFERROR(VLOOKUP(O1666,EMAILS!B:C,2,FALSE),"NOT FOUND IN EMAILS")</f>
        <v>supplier@gmail.com</v>
      </c>
      <c r="Q1666" t="str">
        <f ca="1">""&amp;IFERROR(VLOOKUP(O1666,EMAILS!B:D,3,FALSE),"NOT FOUND IN EMAILS")</f>
        <v/>
      </c>
      <c r="R1666" t="str">
        <f ca="1">""&amp;IFERROR(VLOOKUP(O1666,EMAILS!B:E,4,FALSE),"NO T FOUND IN EMAILS")</f>
        <v/>
      </c>
    </row>
    <row r="1667" spans="2:18" x14ac:dyDescent="0.25">
      <c r="B1667" s="5" t="s">
        <v>1669</v>
      </c>
      <c r="C1667" s="5" t="s">
        <v>5809</v>
      </c>
      <c r="D1667" s="5">
        <v>9</v>
      </c>
      <c r="E1667" s="5">
        <v>0</v>
      </c>
      <c r="F1667" s="5">
        <v>3</v>
      </c>
      <c r="G1667" s="5">
        <v>0</v>
      </c>
      <c r="H1667" s="5">
        <v>3</v>
      </c>
      <c r="I1667" s="5">
        <v>0</v>
      </c>
      <c r="J1667" s="5">
        <v>1</v>
      </c>
      <c r="K1667" s="5">
        <v>0</v>
      </c>
      <c r="L1667" s="5">
        <v>0</v>
      </c>
      <c r="M1667" s="5">
        <v>0</v>
      </c>
      <c r="N1667" s="5">
        <v>19922</v>
      </c>
      <c r="O1667" s="5" t="str">
        <f t="shared" ref="O1667:O1730" ca="1" si="26">"Supplier "&amp;RANDBETWEEN(1,200)</f>
        <v>Supplier 163</v>
      </c>
      <c r="P1667" s="20" t="str">
        <f ca="1">IFERROR(VLOOKUP(O1667,EMAILS!B:C,2,FALSE),"NOT FOUND IN EMAILS")</f>
        <v>supplier@gmail.com</v>
      </c>
      <c r="Q1667" t="str">
        <f ca="1">""&amp;IFERROR(VLOOKUP(O1667,EMAILS!B:D,3,FALSE),"NOT FOUND IN EMAILS")</f>
        <v/>
      </c>
      <c r="R1667" t="str">
        <f ca="1">""&amp;IFERROR(VLOOKUP(O1667,EMAILS!B:E,4,FALSE),"NO T FOUND IN EMAILS")</f>
        <v/>
      </c>
    </row>
    <row r="1668" spans="2:18" x14ac:dyDescent="0.25">
      <c r="B1668" s="5" t="s">
        <v>1670</v>
      </c>
      <c r="C1668" s="5" t="s">
        <v>5810</v>
      </c>
      <c r="D1668" s="5">
        <v>11276.495199999999</v>
      </c>
      <c r="E1668" s="5">
        <v>6873.6016</v>
      </c>
      <c r="F1668" s="5">
        <v>9915.5367999999999</v>
      </c>
      <c r="G1668" s="5">
        <v>9197.5400000000009</v>
      </c>
      <c r="H1668" s="5">
        <v>8080.2128000000002</v>
      </c>
      <c r="I1668" s="5">
        <v>8972.5079999999998</v>
      </c>
      <c r="J1668" s="5">
        <v>6392.7568000000001</v>
      </c>
      <c r="K1668" s="5">
        <v>7174.1080000000002</v>
      </c>
      <c r="L1668" s="5">
        <v>7744.5119999999997</v>
      </c>
      <c r="M1668" s="5">
        <v>0</v>
      </c>
      <c r="N1668" s="5">
        <v>0</v>
      </c>
      <c r="O1668" s="5" t="str">
        <f t="shared" ca="1" si="26"/>
        <v>Supplier 62</v>
      </c>
      <c r="P1668" s="20" t="str">
        <f ca="1">IFERROR(VLOOKUP(O1668,EMAILS!B:C,2,FALSE),"NOT FOUND IN EMAILS")</f>
        <v>supplier@gmail.com</v>
      </c>
      <c r="Q1668" t="str">
        <f ca="1">""&amp;IFERROR(VLOOKUP(O1668,EMAILS!B:D,3,FALSE),"NOT FOUND IN EMAILS")</f>
        <v/>
      </c>
      <c r="R1668" t="str">
        <f ca="1">""&amp;IFERROR(VLOOKUP(O1668,EMAILS!B:E,4,FALSE),"NO T FOUND IN EMAILS")</f>
        <v/>
      </c>
    </row>
    <row r="1669" spans="2:18" x14ac:dyDescent="0.25">
      <c r="B1669" s="5" t="s">
        <v>1671</v>
      </c>
      <c r="C1669" s="5" t="s">
        <v>5811</v>
      </c>
      <c r="D1669" s="5">
        <v>0</v>
      </c>
      <c r="E1669" s="5">
        <v>0</v>
      </c>
      <c r="F1669" s="5">
        <v>5</v>
      </c>
      <c r="G1669" s="5">
        <v>20</v>
      </c>
      <c r="H1669" s="5">
        <v>0</v>
      </c>
      <c r="I1669" s="5">
        <v>0</v>
      </c>
      <c r="J1669" s="5">
        <v>0</v>
      </c>
      <c r="K1669" s="5">
        <v>0</v>
      </c>
      <c r="L1669" s="5">
        <v>30</v>
      </c>
      <c r="M1669" s="5">
        <v>0</v>
      </c>
      <c r="N1669" s="5">
        <v>0</v>
      </c>
      <c r="O1669" s="5" t="str">
        <f t="shared" ca="1" si="26"/>
        <v>Supplier 73</v>
      </c>
      <c r="P1669" s="20" t="str">
        <f ca="1">IFERROR(VLOOKUP(O1669,EMAILS!B:C,2,FALSE),"NOT FOUND IN EMAILS")</f>
        <v>supplier@gmail.com</v>
      </c>
      <c r="Q1669" t="str">
        <f ca="1">""&amp;IFERROR(VLOOKUP(O1669,EMAILS!B:D,3,FALSE),"NOT FOUND IN EMAILS")</f>
        <v/>
      </c>
      <c r="R1669" t="str">
        <f ca="1">""&amp;IFERROR(VLOOKUP(O1669,EMAILS!B:E,4,FALSE),"NO T FOUND IN EMAILS")</f>
        <v/>
      </c>
    </row>
    <row r="1670" spans="2:18" x14ac:dyDescent="0.25">
      <c r="B1670" s="5" t="s">
        <v>1672</v>
      </c>
      <c r="C1670" s="5" t="s">
        <v>5812</v>
      </c>
      <c r="D1670" s="5">
        <v>0</v>
      </c>
      <c r="E1670" s="5">
        <v>0</v>
      </c>
      <c r="F1670" s="5">
        <v>0</v>
      </c>
      <c r="G1670" s="5">
        <v>0</v>
      </c>
      <c r="H1670" s="5">
        <v>0</v>
      </c>
      <c r="I1670" s="5">
        <v>0</v>
      </c>
      <c r="J1670" s="5">
        <v>0</v>
      </c>
      <c r="K1670" s="5">
        <v>0</v>
      </c>
      <c r="L1670" s="5">
        <v>0</v>
      </c>
      <c r="M1670" s="5">
        <v>0</v>
      </c>
      <c r="N1670" s="5">
        <v>0</v>
      </c>
      <c r="O1670" s="5" t="str">
        <f t="shared" ca="1" si="26"/>
        <v>Supplier 67</v>
      </c>
      <c r="P1670" s="20" t="str">
        <f ca="1">IFERROR(VLOOKUP(O1670,EMAILS!B:C,2,FALSE),"NOT FOUND IN EMAILS")</f>
        <v>supplier@gmail.com</v>
      </c>
      <c r="Q1670" t="str">
        <f ca="1">""&amp;IFERROR(VLOOKUP(O1670,EMAILS!B:D,3,FALSE),"NOT FOUND IN EMAILS")</f>
        <v/>
      </c>
      <c r="R1670" t="str">
        <f ca="1">""&amp;IFERROR(VLOOKUP(O1670,EMAILS!B:E,4,FALSE),"NO T FOUND IN EMAILS")</f>
        <v/>
      </c>
    </row>
    <row r="1671" spans="2:18" x14ac:dyDescent="0.25">
      <c r="B1671" s="5" t="s">
        <v>1673</v>
      </c>
      <c r="C1671" s="5" t="s">
        <v>5813</v>
      </c>
      <c r="D1671" s="5">
        <v>0</v>
      </c>
      <c r="E1671" s="5">
        <v>0</v>
      </c>
      <c r="F1671" s="5">
        <v>0</v>
      </c>
      <c r="G1671" s="5">
        <v>0</v>
      </c>
      <c r="H1671" s="5">
        <v>0</v>
      </c>
      <c r="I1671" s="5">
        <v>0</v>
      </c>
      <c r="J1671" s="5">
        <v>0</v>
      </c>
      <c r="K1671" s="5">
        <v>0</v>
      </c>
      <c r="L1671" s="5">
        <v>0</v>
      </c>
      <c r="M1671" s="5">
        <v>0</v>
      </c>
      <c r="N1671" s="5">
        <v>0</v>
      </c>
      <c r="O1671" s="5" t="str">
        <f t="shared" ca="1" si="26"/>
        <v>Supplier 178</v>
      </c>
      <c r="P1671" s="20" t="str">
        <f ca="1">IFERROR(VLOOKUP(O1671,EMAILS!B:C,2,FALSE),"NOT FOUND IN EMAILS")</f>
        <v>supplier@gmail.com</v>
      </c>
      <c r="Q1671" t="str">
        <f ca="1">""&amp;IFERROR(VLOOKUP(O1671,EMAILS!B:D,3,FALSE),"NOT FOUND IN EMAILS")</f>
        <v/>
      </c>
      <c r="R1671" t="str">
        <f ca="1">""&amp;IFERROR(VLOOKUP(O1671,EMAILS!B:E,4,FALSE),"NO T FOUND IN EMAILS")</f>
        <v/>
      </c>
    </row>
    <row r="1672" spans="2:18" x14ac:dyDescent="0.25">
      <c r="B1672" s="5" t="s">
        <v>1674</v>
      </c>
      <c r="C1672" s="5" t="s">
        <v>5814</v>
      </c>
      <c r="D1672" s="5">
        <v>0</v>
      </c>
      <c r="E1672" s="5">
        <v>0</v>
      </c>
      <c r="F1672" s="5">
        <v>0</v>
      </c>
      <c r="G1672" s="5">
        <v>5</v>
      </c>
      <c r="H1672" s="5">
        <v>0</v>
      </c>
      <c r="I1672" s="5">
        <v>0</v>
      </c>
      <c r="J1672" s="5">
        <v>0</v>
      </c>
      <c r="K1672" s="5">
        <v>0</v>
      </c>
      <c r="L1672" s="5">
        <v>0</v>
      </c>
      <c r="M1672" s="5">
        <v>0</v>
      </c>
      <c r="N1672" s="5">
        <v>250</v>
      </c>
      <c r="O1672" s="5" t="str">
        <f t="shared" ca="1" si="26"/>
        <v>Supplier 61</v>
      </c>
      <c r="P1672" s="20" t="str">
        <f ca="1">IFERROR(VLOOKUP(O1672,EMAILS!B:C,2,FALSE),"NOT FOUND IN EMAILS")</f>
        <v>supplier@gmail.com</v>
      </c>
      <c r="Q1672" t="str">
        <f ca="1">""&amp;IFERROR(VLOOKUP(O1672,EMAILS!B:D,3,FALSE),"NOT FOUND IN EMAILS")</f>
        <v/>
      </c>
      <c r="R1672" t="str">
        <f ca="1">""&amp;IFERROR(VLOOKUP(O1672,EMAILS!B:E,4,FALSE),"NO T FOUND IN EMAILS")</f>
        <v/>
      </c>
    </row>
    <row r="1673" spans="2:18" x14ac:dyDescent="0.25">
      <c r="B1673" s="5" t="s">
        <v>1675</v>
      </c>
      <c r="C1673" s="5" t="s">
        <v>5815</v>
      </c>
      <c r="D1673" s="5">
        <v>0</v>
      </c>
      <c r="E1673" s="5">
        <v>0</v>
      </c>
      <c r="F1673" s="5">
        <v>0</v>
      </c>
      <c r="G1673" s="5">
        <v>0</v>
      </c>
      <c r="H1673" s="5">
        <v>0</v>
      </c>
      <c r="I1673" s="5">
        <v>0</v>
      </c>
      <c r="J1673" s="5">
        <v>0</v>
      </c>
      <c r="K1673" s="5">
        <v>0</v>
      </c>
      <c r="L1673" s="5">
        <v>0</v>
      </c>
      <c r="M1673" s="5">
        <v>0</v>
      </c>
      <c r="N1673" s="5">
        <v>0</v>
      </c>
      <c r="O1673" s="5" t="str">
        <f t="shared" ca="1" si="26"/>
        <v>Supplier 112</v>
      </c>
      <c r="P1673" s="20" t="str">
        <f ca="1">IFERROR(VLOOKUP(O1673,EMAILS!B:C,2,FALSE),"NOT FOUND IN EMAILS")</f>
        <v>supplier@gmail.com</v>
      </c>
      <c r="Q1673" t="str">
        <f ca="1">""&amp;IFERROR(VLOOKUP(O1673,EMAILS!B:D,3,FALSE),"NOT FOUND IN EMAILS")</f>
        <v/>
      </c>
      <c r="R1673" t="str">
        <f ca="1">""&amp;IFERROR(VLOOKUP(O1673,EMAILS!B:E,4,FALSE),"NO T FOUND IN EMAILS")</f>
        <v/>
      </c>
    </row>
    <row r="1674" spans="2:18" x14ac:dyDescent="0.25">
      <c r="B1674" s="5" t="s">
        <v>1676</v>
      </c>
      <c r="C1674" s="5" t="s">
        <v>5816</v>
      </c>
      <c r="D1674" s="5">
        <v>1</v>
      </c>
      <c r="E1674" s="5">
        <v>0</v>
      </c>
      <c r="F1674" s="5">
        <v>5</v>
      </c>
      <c r="G1674" s="5">
        <v>2</v>
      </c>
      <c r="H1674" s="5">
        <v>3</v>
      </c>
      <c r="I1674" s="5">
        <v>0</v>
      </c>
      <c r="J1674" s="5">
        <v>2</v>
      </c>
      <c r="K1674" s="5">
        <v>5</v>
      </c>
      <c r="L1674" s="5">
        <v>0</v>
      </c>
      <c r="M1674" s="5">
        <v>0</v>
      </c>
      <c r="N1674" s="5">
        <v>0</v>
      </c>
      <c r="O1674" s="5" t="str">
        <f t="shared" ca="1" si="26"/>
        <v>Supplier 163</v>
      </c>
      <c r="P1674" s="20" t="str">
        <f ca="1">IFERROR(VLOOKUP(O1674,EMAILS!B:C,2,FALSE),"NOT FOUND IN EMAILS")</f>
        <v>supplier@gmail.com</v>
      </c>
      <c r="Q1674" t="str">
        <f ca="1">""&amp;IFERROR(VLOOKUP(O1674,EMAILS!B:D,3,FALSE),"NOT FOUND IN EMAILS")</f>
        <v/>
      </c>
      <c r="R1674" t="str">
        <f ca="1">""&amp;IFERROR(VLOOKUP(O1674,EMAILS!B:E,4,FALSE),"NO T FOUND IN EMAILS")</f>
        <v/>
      </c>
    </row>
    <row r="1675" spans="2:18" x14ac:dyDescent="0.25">
      <c r="B1675" s="5" t="s">
        <v>1677</v>
      </c>
      <c r="C1675" s="5" t="s">
        <v>5817</v>
      </c>
      <c r="D1675" s="5">
        <v>8.9640000000000004</v>
      </c>
      <c r="E1675" s="5">
        <v>0</v>
      </c>
      <c r="F1675" s="5">
        <v>0</v>
      </c>
      <c r="G1675" s="5">
        <v>0</v>
      </c>
      <c r="H1675" s="5">
        <v>4.1500000000000004</v>
      </c>
      <c r="I1675" s="5">
        <v>3.1539999999999999</v>
      </c>
      <c r="J1675" s="5">
        <v>1.66</v>
      </c>
      <c r="K1675" s="5">
        <v>4.1500000000000004</v>
      </c>
      <c r="L1675" s="5">
        <v>2.988</v>
      </c>
      <c r="M1675" s="5">
        <v>0</v>
      </c>
      <c r="N1675" s="5">
        <v>0</v>
      </c>
      <c r="O1675" s="5" t="str">
        <f t="shared" ca="1" si="26"/>
        <v>Supplier 32</v>
      </c>
      <c r="P1675" s="20" t="str">
        <f ca="1">IFERROR(VLOOKUP(O1675,EMAILS!B:C,2,FALSE),"NOT FOUND IN EMAILS")</f>
        <v>supplier@gmail.com</v>
      </c>
      <c r="Q1675" t="str">
        <f ca="1">""&amp;IFERROR(VLOOKUP(O1675,EMAILS!B:D,3,FALSE),"NOT FOUND IN EMAILS")</f>
        <v/>
      </c>
      <c r="R1675" t="str">
        <f ca="1">""&amp;IFERROR(VLOOKUP(O1675,EMAILS!B:E,4,FALSE),"NO T FOUND IN EMAILS")</f>
        <v/>
      </c>
    </row>
    <row r="1676" spans="2:18" x14ac:dyDescent="0.25">
      <c r="B1676" s="5" t="s">
        <v>1678</v>
      </c>
      <c r="C1676" s="5" t="s">
        <v>5818</v>
      </c>
      <c r="D1676" s="5">
        <v>300</v>
      </c>
      <c r="E1676" s="5">
        <v>300</v>
      </c>
      <c r="F1676" s="5">
        <v>64</v>
      </c>
      <c r="G1676" s="5">
        <v>150</v>
      </c>
      <c r="H1676" s="5">
        <v>214</v>
      </c>
      <c r="I1676" s="5">
        <v>150</v>
      </c>
      <c r="J1676" s="5">
        <v>0</v>
      </c>
      <c r="K1676" s="5">
        <v>64</v>
      </c>
      <c r="L1676" s="5">
        <v>0</v>
      </c>
      <c r="M1676" s="5">
        <v>0</v>
      </c>
      <c r="N1676" s="5">
        <v>3000</v>
      </c>
      <c r="O1676" s="5" t="str">
        <f t="shared" ca="1" si="26"/>
        <v>Supplier 47</v>
      </c>
      <c r="P1676" s="20" t="str">
        <f ca="1">IFERROR(VLOOKUP(O1676,EMAILS!B:C,2,FALSE),"NOT FOUND IN EMAILS")</f>
        <v>supplier@gmail.com</v>
      </c>
      <c r="Q1676" t="str">
        <f ca="1">""&amp;IFERROR(VLOOKUP(O1676,EMAILS!B:D,3,FALSE),"NOT FOUND IN EMAILS")</f>
        <v/>
      </c>
      <c r="R1676" t="str">
        <f ca="1">""&amp;IFERROR(VLOOKUP(O1676,EMAILS!B:E,4,FALSE),"NO T FOUND IN EMAILS")</f>
        <v/>
      </c>
    </row>
    <row r="1677" spans="2:18" x14ac:dyDescent="0.25">
      <c r="B1677" s="5" t="s">
        <v>1679</v>
      </c>
      <c r="C1677" s="5" t="s">
        <v>5819</v>
      </c>
      <c r="D1677" s="5">
        <v>150</v>
      </c>
      <c r="E1677" s="5">
        <v>0</v>
      </c>
      <c r="F1677" s="5">
        <v>0</v>
      </c>
      <c r="G1677" s="5">
        <v>0</v>
      </c>
      <c r="H1677" s="5">
        <v>0</v>
      </c>
      <c r="I1677" s="5">
        <v>150</v>
      </c>
      <c r="J1677" s="5">
        <v>0</v>
      </c>
      <c r="K1677" s="5">
        <v>0</v>
      </c>
      <c r="L1677" s="5">
        <v>0</v>
      </c>
      <c r="M1677" s="5">
        <v>0</v>
      </c>
      <c r="N1677" s="5">
        <v>1000</v>
      </c>
      <c r="O1677" s="5" t="str">
        <f t="shared" ca="1" si="26"/>
        <v>Supplier 112</v>
      </c>
      <c r="P1677" s="20" t="str">
        <f ca="1">IFERROR(VLOOKUP(O1677,EMAILS!B:C,2,FALSE),"NOT FOUND IN EMAILS")</f>
        <v>supplier@gmail.com</v>
      </c>
      <c r="Q1677" t="str">
        <f ca="1">""&amp;IFERROR(VLOOKUP(O1677,EMAILS!B:D,3,FALSE),"NOT FOUND IN EMAILS")</f>
        <v/>
      </c>
      <c r="R1677" t="str">
        <f ca="1">""&amp;IFERROR(VLOOKUP(O1677,EMAILS!B:E,4,FALSE),"NO T FOUND IN EMAILS")</f>
        <v/>
      </c>
    </row>
    <row r="1678" spans="2:18" x14ac:dyDescent="0.25">
      <c r="B1678" s="5" t="s">
        <v>1680</v>
      </c>
      <c r="C1678" s="5" t="s">
        <v>5820</v>
      </c>
      <c r="D1678" s="5">
        <v>32</v>
      </c>
      <c r="E1678" s="5">
        <v>48</v>
      </c>
      <c r="F1678" s="5">
        <v>32</v>
      </c>
      <c r="G1678" s="5">
        <v>48</v>
      </c>
      <c r="H1678" s="5">
        <v>32</v>
      </c>
      <c r="I1678" s="5">
        <v>48</v>
      </c>
      <c r="J1678" s="5">
        <v>48</v>
      </c>
      <c r="K1678" s="5">
        <v>32</v>
      </c>
      <c r="L1678" s="5">
        <v>32</v>
      </c>
      <c r="M1678" s="5">
        <v>0</v>
      </c>
      <c r="N1678" s="5">
        <v>1000</v>
      </c>
      <c r="O1678" s="5" t="str">
        <f t="shared" ca="1" si="26"/>
        <v>Supplier 56</v>
      </c>
      <c r="P1678" s="20" t="str">
        <f ca="1">IFERROR(VLOOKUP(O1678,EMAILS!B:C,2,FALSE),"NOT FOUND IN EMAILS")</f>
        <v>supplier@gmail.com</v>
      </c>
      <c r="Q1678" t="str">
        <f ca="1">""&amp;IFERROR(VLOOKUP(O1678,EMAILS!B:D,3,FALSE),"NOT FOUND IN EMAILS")</f>
        <v/>
      </c>
      <c r="R1678" t="str">
        <f ca="1">""&amp;IFERROR(VLOOKUP(O1678,EMAILS!B:E,4,FALSE),"NO T FOUND IN EMAILS")</f>
        <v/>
      </c>
    </row>
    <row r="1679" spans="2:18" x14ac:dyDescent="0.25">
      <c r="B1679" s="5" t="s">
        <v>1681</v>
      </c>
      <c r="C1679" s="5" t="s">
        <v>5821</v>
      </c>
      <c r="D1679" s="5">
        <v>16</v>
      </c>
      <c r="E1679" s="5">
        <v>16</v>
      </c>
      <c r="F1679" s="5">
        <v>36</v>
      </c>
      <c r="G1679" s="5">
        <v>16</v>
      </c>
      <c r="H1679" s="5">
        <v>36</v>
      </c>
      <c r="I1679" s="5">
        <v>8</v>
      </c>
      <c r="J1679" s="5">
        <v>16</v>
      </c>
      <c r="K1679" s="5">
        <v>28</v>
      </c>
      <c r="L1679" s="5">
        <v>16</v>
      </c>
      <c r="M1679" s="5">
        <v>0</v>
      </c>
      <c r="N1679" s="5">
        <v>0</v>
      </c>
      <c r="O1679" s="5" t="str">
        <f t="shared" ca="1" si="26"/>
        <v>Supplier 153</v>
      </c>
      <c r="P1679" s="20" t="str">
        <f ca="1">IFERROR(VLOOKUP(O1679,EMAILS!B:C,2,FALSE),"NOT FOUND IN EMAILS")</f>
        <v>supplier@gmail.com</v>
      </c>
      <c r="Q1679" t="str">
        <f ca="1">""&amp;IFERROR(VLOOKUP(O1679,EMAILS!B:D,3,FALSE),"NOT FOUND IN EMAILS")</f>
        <v/>
      </c>
      <c r="R1679" t="str">
        <f ca="1">""&amp;IFERROR(VLOOKUP(O1679,EMAILS!B:E,4,FALSE),"NO T FOUND IN EMAILS")</f>
        <v/>
      </c>
    </row>
    <row r="1680" spans="2:18" x14ac:dyDescent="0.25">
      <c r="B1680" s="5" t="s">
        <v>1682</v>
      </c>
      <c r="C1680" s="5" t="s">
        <v>5822</v>
      </c>
      <c r="D1680" s="5">
        <v>0</v>
      </c>
      <c r="E1680" s="5">
        <v>0</v>
      </c>
      <c r="F1680" s="5">
        <v>0</v>
      </c>
      <c r="G1680" s="5">
        <v>0</v>
      </c>
      <c r="H1680" s="5">
        <v>0</v>
      </c>
      <c r="I1680" s="5">
        <v>0</v>
      </c>
      <c r="J1680" s="5">
        <v>0</v>
      </c>
      <c r="K1680" s="5">
        <v>0</v>
      </c>
      <c r="L1680" s="5">
        <v>0</v>
      </c>
      <c r="M1680" s="5">
        <v>0</v>
      </c>
      <c r="N1680" s="5">
        <v>0</v>
      </c>
      <c r="O1680" s="5" t="str">
        <f t="shared" ca="1" si="26"/>
        <v>Supplier 95</v>
      </c>
      <c r="P1680" s="20" t="str">
        <f ca="1">IFERROR(VLOOKUP(O1680,EMAILS!B:C,2,FALSE),"NOT FOUND IN EMAILS")</f>
        <v>supplier@gmail.com</v>
      </c>
      <c r="Q1680" t="str">
        <f ca="1">""&amp;IFERROR(VLOOKUP(O1680,EMAILS!B:D,3,FALSE),"NOT FOUND IN EMAILS")</f>
        <v/>
      </c>
      <c r="R1680" t="str">
        <f ca="1">""&amp;IFERROR(VLOOKUP(O1680,EMAILS!B:E,4,FALSE),"NO T FOUND IN EMAILS")</f>
        <v/>
      </c>
    </row>
    <row r="1681" spans="2:18" x14ac:dyDescent="0.25">
      <c r="B1681" s="5" t="s">
        <v>1683</v>
      </c>
      <c r="C1681" s="5" t="s">
        <v>5823</v>
      </c>
      <c r="D1681" s="5">
        <v>0</v>
      </c>
      <c r="E1681" s="5">
        <v>0</v>
      </c>
      <c r="F1681" s="5">
        <v>0</v>
      </c>
      <c r="G1681" s="5">
        <v>0</v>
      </c>
      <c r="H1681" s="5">
        <v>0</v>
      </c>
      <c r="I1681" s="5">
        <v>0</v>
      </c>
      <c r="J1681" s="5">
        <v>0</v>
      </c>
      <c r="K1681" s="5">
        <v>0</v>
      </c>
      <c r="L1681" s="5">
        <v>0</v>
      </c>
      <c r="M1681" s="5">
        <v>0</v>
      </c>
      <c r="N1681" s="5">
        <v>1000</v>
      </c>
      <c r="O1681" s="5" t="str">
        <f t="shared" ca="1" si="26"/>
        <v>Supplier 179</v>
      </c>
      <c r="P1681" s="20" t="str">
        <f ca="1">IFERROR(VLOOKUP(O1681,EMAILS!B:C,2,FALSE),"NOT FOUND IN EMAILS")</f>
        <v>supplier@gmail.com</v>
      </c>
      <c r="Q1681" t="str">
        <f ca="1">""&amp;IFERROR(VLOOKUP(O1681,EMAILS!B:D,3,FALSE),"NOT FOUND IN EMAILS")</f>
        <v/>
      </c>
      <c r="R1681" t="str">
        <f ca="1">""&amp;IFERROR(VLOOKUP(O1681,EMAILS!B:E,4,FALSE),"NO T FOUND IN EMAILS")</f>
        <v/>
      </c>
    </row>
    <row r="1682" spans="2:18" x14ac:dyDescent="0.25">
      <c r="B1682" s="5" t="s">
        <v>1684</v>
      </c>
      <c r="C1682" s="5" t="s">
        <v>5824</v>
      </c>
      <c r="D1682" s="5">
        <v>0</v>
      </c>
      <c r="E1682" s="5">
        <v>0</v>
      </c>
      <c r="F1682" s="5">
        <v>25</v>
      </c>
      <c r="G1682" s="5">
        <v>0</v>
      </c>
      <c r="H1682" s="5">
        <v>25</v>
      </c>
      <c r="I1682" s="5">
        <v>25</v>
      </c>
      <c r="J1682" s="5">
        <v>35</v>
      </c>
      <c r="K1682" s="5">
        <v>0</v>
      </c>
      <c r="L1682" s="5">
        <v>0</v>
      </c>
      <c r="M1682" s="5">
        <v>0</v>
      </c>
      <c r="N1682" s="5">
        <v>7500</v>
      </c>
      <c r="O1682" s="5" t="str">
        <f t="shared" ca="1" si="26"/>
        <v>Supplier 16</v>
      </c>
      <c r="P1682" s="20" t="str">
        <f ca="1">IFERROR(VLOOKUP(O1682,EMAILS!B:C,2,FALSE),"NOT FOUND IN EMAILS")</f>
        <v>supplier@gmail.com</v>
      </c>
      <c r="Q1682" t="str">
        <f ca="1">""&amp;IFERROR(VLOOKUP(O1682,EMAILS!B:D,3,FALSE),"NOT FOUND IN EMAILS")</f>
        <v>supplier_logistics@gmail.com</v>
      </c>
      <c r="R1682" t="str">
        <f ca="1">""&amp;IFERROR(VLOOKUP(O1682,EMAILS!B:E,4,FALSE),"NO T FOUND IN EMAILS")</f>
        <v/>
      </c>
    </row>
    <row r="1683" spans="2:18" x14ac:dyDescent="0.25">
      <c r="B1683" s="5" t="s">
        <v>1685</v>
      </c>
      <c r="C1683" s="5" t="s">
        <v>5825</v>
      </c>
      <c r="D1683" s="5">
        <v>0</v>
      </c>
      <c r="E1683" s="5">
        <v>0</v>
      </c>
      <c r="F1683" s="5">
        <v>0</v>
      </c>
      <c r="G1683" s="5">
        <v>0</v>
      </c>
      <c r="H1683" s="5">
        <v>70</v>
      </c>
      <c r="I1683" s="5">
        <v>62</v>
      </c>
      <c r="J1683" s="5">
        <v>0</v>
      </c>
      <c r="K1683" s="5">
        <v>40</v>
      </c>
      <c r="L1683" s="5">
        <v>0</v>
      </c>
      <c r="M1683" s="5">
        <v>0</v>
      </c>
      <c r="N1683" s="5">
        <v>0</v>
      </c>
      <c r="O1683" s="5" t="str">
        <f t="shared" ca="1" si="26"/>
        <v>Supplier 6</v>
      </c>
      <c r="P1683" s="20" t="str">
        <f ca="1">IFERROR(VLOOKUP(O1683,EMAILS!B:C,2,FALSE),"NOT FOUND IN EMAILS")</f>
        <v>supplier@gmail.com</v>
      </c>
      <c r="Q1683" t="str">
        <f ca="1">""&amp;IFERROR(VLOOKUP(O1683,EMAILS!B:D,3,FALSE),"NOT FOUND IN EMAILS")</f>
        <v>supplier_logistics@gmail.com</v>
      </c>
      <c r="R1683" t="str">
        <f ca="1">""&amp;IFERROR(VLOOKUP(O1683,EMAILS!B:E,4,FALSE),"NO T FOUND IN EMAILS")</f>
        <v/>
      </c>
    </row>
    <row r="1684" spans="2:18" x14ac:dyDescent="0.25">
      <c r="B1684" s="5" t="s">
        <v>1686</v>
      </c>
      <c r="C1684" s="5" t="s">
        <v>5826</v>
      </c>
      <c r="D1684" s="5">
        <v>0</v>
      </c>
      <c r="E1684" s="5">
        <v>0</v>
      </c>
      <c r="F1684" s="5">
        <v>120</v>
      </c>
      <c r="G1684" s="5">
        <v>0</v>
      </c>
      <c r="H1684" s="5">
        <v>0</v>
      </c>
      <c r="I1684" s="5">
        <v>120</v>
      </c>
      <c r="J1684" s="5">
        <v>0</v>
      </c>
      <c r="K1684" s="5">
        <v>0</v>
      </c>
      <c r="L1684" s="5">
        <v>100</v>
      </c>
      <c r="M1684" s="5">
        <v>0</v>
      </c>
      <c r="N1684" s="5">
        <v>5500</v>
      </c>
      <c r="O1684" s="5" t="str">
        <f t="shared" ca="1" si="26"/>
        <v>Supplier 181</v>
      </c>
      <c r="P1684" s="20" t="str">
        <f ca="1">IFERROR(VLOOKUP(O1684,EMAILS!B:C,2,FALSE),"NOT FOUND IN EMAILS")</f>
        <v>supplier@gmail.com</v>
      </c>
      <c r="Q1684" t="str">
        <f ca="1">""&amp;IFERROR(VLOOKUP(O1684,EMAILS!B:D,3,FALSE),"NOT FOUND IN EMAILS")</f>
        <v/>
      </c>
      <c r="R1684" t="str">
        <f ca="1">""&amp;IFERROR(VLOOKUP(O1684,EMAILS!B:E,4,FALSE),"NO T FOUND IN EMAILS")</f>
        <v/>
      </c>
    </row>
    <row r="1685" spans="2:18" x14ac:dyDescent="0.25">
      <c r="B1685" s="5" t="s">
        <v>1687</v>
      </c>
      <c r="C1685" s="5" t="s">
        <v>5827</v>
      </c>
      <c r="D1685" s="5">
        <v>0</v>
      </c>
      <c r="E1685" s="5">
        <v>0</v>
      </c>
      <c r="F1685" s="5">
        <v>0</v>
      </c>
      <c r="G1685" s="5">
        <v>0</v>
      </c>
      <c r="H1685" s="5">
        <v>0</v>
      </c>
      <c r="I1685" s="5">
        <v>0</v>
      </c>
      <c r="J1685" s="5">
        <v>0</v>
      </c>
      <c r="K1685" s="5">
        <v>0</v>
      </c>
      <c r="L1685" s="5">
        <v>0</v>
      </c>
      <c r="M1685" s="5">
        <v>0</v>
      </c>
      <c r="N1685" s="5">
        <v>5000</v>
      </c>
      <c r="O1685" s="5" t="str">
        <f t="shared" ca="1" si="26"/>
        <v>Supplier 14</v>
      </c>
      <c r="P1685" s="20" t="str">
        <f ca="1">IFERROR(VLOOKUP(O1685,EMAILS!B:C,2,FALSE),"NOT FOUND IN EMAILS")</f>
        <v>supplier@gmail.com</v>
      </c>
      <c r="Q1685" t="str">
        <f ca="1">""&amp;IFERROR(VLOOKUP(O1685,EMAILS!B:D,3,FALSE),"NOT FOUND IN EMAILS")</f>
        <v>supplier_logistics@gmail.com</v>
      </c>
      <c r="R1685" t="str">
        <f ca="1">""&amp;IFERROR(VLOOKUP(O1685,EMAILS!B:E,4,FALSE),"NO T FOUND IN EMAILS")</f>
        <v/>
      </c>
    </row>
    <row r="1686" spans="2:18" x14ac:dyDescent="0.25">
      <c r="B1686" s="5" t="s">
        <v>1688</v>
      </c>
      <c r="C1686" s="5" t="s">
        <v>5828</v>
      </c>
      <c r="D1686" s="5">
        <v>0</v>
      </c>
      <c r="E1686" s="5">
        <v>0</v>
      </c>
      <c r="F1686" s="5">
        <v>0</v>
      </c>
      <c r="G1686" s="5">
        <v>0</v>
      </c>
      <c r="H1686" s="5">
        <v>0</v>
      </c>
      <c r="I1686" s="5">
        <v>0</v>
      </c>
      <c r="J1686" s="5">
        <v>0</v>
      </c>
      <c r="K1686" s="5">
        <v>0</v>
      </c>
      <c r="L1686" s="5">
        <v>0</v>
      </c>
      <c r="M1686" s="5">
        <v>0</v>
      </c>
      <c r="N1686" s="5">
        <v>2786</v>
      </c>
      <c r="O1686" s="5" t="str">
        <f t="shared" ca="1" si="26"/>
        <v>Supplier 58</v>
      </c>
      <c r="P1686" s="20" t="str">
        <f ca="1">IFERROR(VLOOKUP(O1686,EMAILS!B:C,2,FALSE),"NOT FOUND IN EMAILS")</f>
        <v>supplier@gmail.com</v>
      </c>
      <c r="Q1686" t="str">
        <f ca="1">""&amp;IFERROR(VLOOKUP(O1686,EMAILS!B:D,3,FALSE),"NOT FOUND IN EMAILS")</f>
        <v/>
      </c>
      <c r="R1686" t="str">
        <f ca="1">""&amp;IFERROR(VLOOKUP(O1686,EMAILS!B:E,4,FALSE),"NO T FOUND IN EMAILS")</f>
        <v/>
      </c>
    </row>
    <row r="1687" spans="2:18" x14ac:dyDescent="0.25">
      <c r="B1687" s="5" t="s">
        <v>1689</v>
      </c>
      <c r="C1687" s="5" t="s">
        <v>5829</v>
      </c>
      <c r="D1687" s="5">
        <v>20</v>
      </c>
      <c r="E1687" s="5">
        <v>0</v>
      </c>
      <c r="F1687" s="5">
        <v>0</v>
      </c>
      <c r="G1687" s="5">
        <v>20</v>
      </c>
      <c r="H1687" s="5">
        <v>20</v>
      </c>
      <c r="I1687" s="5">
        <v>0</v>
      </c>
      <c r="J1687" s="5">
        <v>0</v>
      </c>
      <c r="K1687" s="5">
        <v>0</v>
      </c>
      <c r="L1687" s="5">
        <v>0</v>
      </c>
      <c r="M1687" s="5">
        <v>0</v>
      </c>
      <c r="N1687" s="5">
        <v>9735</v>
      </c>
      <c r="O1687" s="5" t="str">
        <f t="shared" ca="1" si="26"/>
        <v>Supplier 140</v>
      </c>
      <c r="P1687" s="20" t="str">
        <f ca="1">IFERROR(VLOOKUP(O1687,EMAILS!B:C,2,FALSE),"NOT FOUND IN EMAILS")</f>
        <v>supplier@gmail.com</v>
      </c>
      <c r="Q1687" t="str">
        <f ca="1">""&amp;IFERROR(VLOOKUP(O1687,EMAILS!B:D,3,FALSE),"NOT FOUND IN EMAILS")</f>
        <v/>
      </c>
      <c r="R1687" t="str">
        <f ca="1">""&amp;IFERROR(VLOOKUP(O1687,EMAILS!B:E,4,FALSE),"NO T FOUND IN EMAILS")</f>
        <v/>
      </c>
    </row>
    <row r="1688" spans="2:18" x14ac:dyDescent="0.25">
      <c r="B1688" s="5" t="s">
        <v>1690</v>
      </c>
      <c r="C1688" s="5" t="s">
        <v>5830</v>
      </c>
      <c r="D1688" s="5">
        <v>134</v>
      </c>
      <c r="E1688" s="5">
        <v>114</v>
      </c>
      <c r="F1688" s="5">
        <v>113</v>
      </c>
      <c r="G1688" s="5">
        <v>153</v>
      </c>
      <c r="H1688" s="5">
        <v>146</v>
      </c>
      <c r="I1688" s="5">
        <v>66</v>
      </c>
      <c r="J1688" s="5">
        <v>71</v>
      </c>
      <c r="K1688" s="5">
        <v>52</v>
      </c>
      <c r="L1688" s="5">
        <v>50</v>
      </c>
      <c r="M1688" s="5">
        <v>0</v>
      </c>
      <c r="N1688" s="5">
        <v>0</v>
      </c>
      <c r="O1688" s="5" t="str">
        <f t="shared" ca="1" si="26"/>
        <v>Supplier 130</v>
      </c>
      <c r="P1688" s="20" t="str">
        <f ca="1">IFERROR(VLOOKUP(O1688,EMAILS!B:C,2,FALSE),"NOT FOUND IN EMAILS")</f>
        <v>supplier@gmail.com</v>
      </c>
      <c r="Q1688" t="str">
        <f ca="1">""&amp;IFERROR(VLOOKUP(O1688,EMAILS!B:D,3,FALSE),"NOT FOUND IN EMAILS")</f>
        <v/>
      </c>
      <c r="R1688" t="str">
        <f ca="1">""&amp;IFERROR(VLOOKUP(O1688,EMAILS!B:E,4,FALSE),"NO T FOUND IN EMAILS")</f>
        <v/>
      </c>
    </row>
    <row r="1689" spans="2:18" x14ac:dyDescent="0.25">
      <c r="B1689" s="5" t="s">
        <v>1691</v>
      </c>
      <c r="C1689" s="5" t="s">
        <v>5831</v>
      </c>
      <c r="D1689" s="5">
        <v>0</v>
      </c>
      <c r="E1689" s="5">
        <v>0</v>
      </c>
      <c r="F1689" s="5">
        <v>25</v>
      </c>
      <c r="G1689" s="5">
        <v>0</v>
      </c>
      <c r="H1689" s="5">
        <v>0</v>
      </c>
      <c r="I1689" s="5">
        <v>25</v>
      </c>
      <c r="J1689" s="5">
        <v>0</v>
      </c>
      <c r="K1689" s="5">
        <v>0</v>
      </c>
      <c r="L1689" s="5">
        <v>0</v>
      </c>
      <c r="M1689" s="5">
        <v>0</v>
      </c>
      <c r="N1689" s="5">
        <v>0</v>
      </c>
      <c r="O1689" s="5" t="str">
        <f t="shared" ca="1" si="26"/>
        <v>Supplier 147</v>
      </c>
      <c r="P1689" s="20" t="str">
        <f ca="1">IFERROR(VLOOKUP(O1689,EMAILS!B:C,2,FALSE),"NOT FOUND IN EMAILS")</f>
        <v>supplier@gmail.com</v>
      </c>
      <c r="Q1689" t="str">
        <f ca="1">""&amp;IFERROR(VLOOKUP(O1689,EMAILS!B:D,3,FALSE),"NOT FOUND IN EMAILS")</f>
        <v/>
      </c>
      <c r="R1689" t="str">
        <f ca="1">""&amp;IFERROR(VLOOKUP(O1689,EMAILS!B:E,4,FALSE),"NO T FOUND IN EMAILS")</f>
        <v/>
      </c>
    </row>
    <row r="1690" spans="2:18" x14ac:dyDescent="0.25">
      <c r="B1690" s="5" t="s">
        <v>1692</v>
      </c>
      <c r="C1690" s="5" t="s">
        <v>5832</v>
      </c>
      <c r="D1690" s="5">
        <v>0</v>
      </c>
      <c r="E1690" s="5">
        <v>0</v>
      </c>
      <c r="F1690" s="5">
        <v>25</v>
      </c>
      <c r="G1690" s="5">
        <v>0</v>
      </c>
      <c r="H1690" s="5">
        <v>25</v>
      </c>
      <c r="I1690" s="5">
        <v>25</v>
      </c>
      <c r="J1690" s="5">
        <v>35</v>
      </c>
      <c r="K1690" s="5">
        <v>0</v>
      </c>
      <c r="L1690" s="5">
        <v>0</v>
      </c>
      <c r="M1690" s="5">
        <v>0</v>
      </c>
      <c r="N1690" s="5">
        <v>0</v>
      </c>
      <c r="O1690" s="5" t="str">
        <f t="shared" ca="1" si="26"/>
        <v>Supplier 98</v>
      </c>
      <c r="P1690" s="20" t="str">
        <f ca="1">IFERROR(VLOOKUP(O1690,EMAILS!B:C,2,FALSE),"NOT FOUND IN EMAILS")</f>
        <v>supplier@gmail.com</v>
      </c>
      <c r="Q1690" t="str">
        <f ca="1">""&amp;IFERROR(VLOOKUP(O1690,EMAILS!B:D,3,FALSE),"NOT FOUND IN EMAILS")</f>
        <v/>
      </c>
      <c r="R1690" t="str">
        <f ca="1">""&amp;IFERROR(VLOOKUP(O1690,EMAILS!B:E,4,FALSE),"NO T FOUND IN EMAILS")</f>
        <v/>
      </c>
    </row>
    <row r="1691" spans="2:18" x14ac:dyDescent="0.25">
      <c r="B1691" s="5" t="s">
        <v>1693</v>
      </c>
      <c r="C1691" s="5" t="s">
        <v>5833</v>
      </c>
      <c r="D1691" s="5">
        <v>0</v>
      </c>
      <c r="E1691" s="5">
        <v>0</v>
      </c>
      <c r="F1691" s="5">
        <v>0</v>
      </c>
      <c r="G1691" s="5">
        <v>0</v>
      </c>
      <c r="H1691" s="5">
        <v>25</v>
      </c>
      <c r="I1691" s="5">
        <v>0</v>
      </c>
      <c r="J1691" s="5">
        <v>0</v>
      </c>
      <c r="K1691" s="5">
        <v>0</v>
      </c>
      <c r="L1691" s="5">
        <v>0</v>
      </c>
      <c r="M1691" s="5">
        <v>0</v>
      </c>
      <c r="N1691" s="5">
        <v>0</v>
      </c>
      <c r="O1691" s="5" t="str">
        <f t="shared" ca="1" si="26"/>
        <v>Supplier 181</v>
      </c>
      <c r="P1691" s="20" t="str">
        <f ca="1">IFERROR(VLOOKUP(O1691,EMAILS!B:C,2,FALSE),"NOT FOUND IN EMAILS")</f>
        <v>supplier@gmail.com</v>
      </c>
      <c r="Q1691" t="str">
        <f ca="1">""&amp;IFERROR(VLOOKUP(O1691,EMAILS!B:D,3,FALSE),"NOT FOUND IN EMAILS")</f>
        <v/>
      </c>
      <c r="R1691" t="str">
        <f ca="1">""&amp;IFERROR(VLOOKUP(O1691,EMAILS!B:E,4,FALSE),"NO T FOUND IN EMAILS")</f>
        <v/>
      </c>
    </row>
    <row r="1692" spans="2:18" x14ac:dyDescent="0.25">
      <c r="B1692" s="5" t="s">
        <v>1694</v>
      </c>
      <c r="C1692" s="5" t="s">
        <v>5834</v>
      </c>
      <c r="D1692" s="5">
        <v>0</v>
      </c>
      <c r="E1692" s="5">
        <v>0</v>
      </c>
      <c r="F1692" s="5">
        <v>0</v>
      </c>
      <c r="G1692" s="5">
        <v>0</v>
      </c>
      <c r="H1692" s="5">
        <v>0</v>
      </c>
      <c r="I1692" s="5">
        <v>0</v>
      </c>
      <c r="J1692" s="5">
        <v>35</v>
      </c>
      <c r="K1692" s="5">
        <v>0</v>
      </c>
      <c r="L1692" s="5">
        <v>0</v>
      </c>
      <c r="M1692" s="5">
        <v>0</v>
      </c>
      <c r="N1692" s="5">
        <v>0</v>
      </c>
      <c r="O1692" s="5" t="str">
        <f t="shared" ca="1" si="26"/>
        <v>Supplier 98</v>
      </c>
      <c r="P1692" s="20" t="str">
        <f ca="1">IFERROR(VLOOKUP(O1692,EMAILS!B:C,2,FALSE),"NOT FOUND IN EMAILS")</f>
        <v>supplier@gmail.com</v>
      </c>
      <c r="Q1692" t="str">
        <f ca="1">""&amp;IFERROR(VLOOKUP(O1692,EMAILS!B:D,3,FALSE),"NOT FOUND IN EMAILS")</f>
        <v/>
      </c>
      <c r="R1692" t="str">
        <f ca="1">""&amp;IFERROR(VLOOKUP(O1692,EMAILS!B:E,4,FALSE),"NO T FOUND IN EMAILS")</f>
        <v/>
      </c>
    </row>
    <row r="1693" spans="2:18" x14ac:dyDescent="0.25">
      <c r="B1693" s="5" t="s">
        <v>1695</v>
      </c>
      <c r="C1693" s="5" t="s">
        <v>5835</v>
      </c>
      <c r="D1693" s="5">
        <v>0</v>
      </c>
      <c r="E1693" s="5">
        <v>0</v>
      </c>
      <c r="F1693" s="5">
        <v>0</v>
      </c>
      <c r="G1693" s="5">
        <v>0</v>
      </c>
      <c r="H1693" s="5">
        <v>0</v>
      </c>
      <c r="I1693" s="5">
        <v>0</v>
      </c>
      <c r="J1693" s="5">
        <v>0</v>
      </c>
      <c r="K1693" s="5">
        <v>0</v>
      </c>
      <c r="L1693" s="5">
        <v>0</v>
      </c>
      <c r="M1693" s="5">
        <v>0</v>
      </c>
      <c r="N1693" s="5">
        <v>3400</v>
      </c>
      <c r="O1693" s="5" t="str">
        <f t="shared" ca="1" si="26"/>
        <v>Supplier 92</v>
      </c>
      <c r="P1693" s="20" t="str">
        <f ca="1">IFERROR(VLOOKUP(O1693,EMAILS!B:C,2,FALSE),"NOT FOUND IN EMAILS")</f>
        <v>supplier@gmail.com</v>
      </c>
      <c r="Q1693" t="str">
        <f ca="1">""&amp;IFERROR(VLOOKUP(O1693,EMAILS!B:D,3,FALSE),"NOT FOUND IN EMAILS")</f>
        <v/>
      </c>
      <c r="R1693" t="str">
        <f ca="1">""&amp;IFERROR(VLOOKUP(O1693,EMAILS!B:E,4,FALSE),"NO T FOUND IN EMAILS")</f>
        <v/>
      </c>
    </row>
    <row r="1694" spans="2:18" x14ac:dyDescent="0.25">
      <c r="B1694" s="5" t="s">
        <v>1696</v>
      </c>
      <c r="C1694" s="5" t="s">
        <v>5836</v>
      </c>
      <c r="D1694" s="5">
        <v>2180</v>
      </c>
      <c r="E1694" s="5">
        <v>1645</v>
      </c>
      <c r="F1694" s="5">
        <v>3548</v>
      </c>
      <c r="G1694" s="5">
        <v>2460</v>
      </c>
      <c r="H1694" s="5">
        <v>2544</v>
      </c>
      <c r="I1694" s="5">
        <v>2323</v>
      </c>
      <c r="J1694" s="5">
        <v>716</v>
      </c>
      <c r="K1694" s="5">
        <v>984</v>
      </c>
      <c r="L1694" s="5">
        <v>1388</v>
      </c>
      <c r="M1694" s="5">
        <v>0</v>
      </c>
      <c r="N1694" s="5">
        <v>0</v>
      </c>
      <c r="O1694" s="5" t="str">
        <f t="shared" ca="1" si="26"/>
        <v>Supplier 182</v>
      </c>
      <c r="P1694" s="20" t="str">
        <f ca="1">IFERROR(VLOOKUP(O1694,EMAILS!B:C,2,FALSE),"NOT FOUND IN EMAILS")</f>
        <v>supplier@gmail.com</v>
      </c>
      <c r="Q1694" t="str">
        <f ca="1">""&amp;IFERROR(VLOOKUP(O1694,EMAILS!B:D,3,FALSE),"NOT FOUND IN EMAILS")</f>
        <v/>
      </c>
      <c r="R1694" t="str">
        <f ca="1">""&amp;IFERROR(VLOOKUP(O1694,EMAILS!B:E,4,FALSE),"NO T FOUND IN EMAILS")</f>
        <v/>
      </c>
    </row>
    <row r="1695" spans="2:18" x14ac:dyDescent="0.25">
      <c r="B1695" s="5" t="s">
        <v>1697</v>
      </c>
      <c r="C1695" s="5" t="s">
        <v>5837</v>
      </c>
      <c r="D1695" s="5">
        <v>0</v>
      </c>
      <c r="E1695" s="5">
        <v>0</v>
      </c>
      <c r="F1695" s="5">
        <v>0</v>
      </c>
      <c r="G1695" s="5">
        <v>0</v>
      </c>
      <c r="H1695" s="5">
        <v>0</v>
      </c>
      <c r="I1695" s="5">
        <v>0</v>
      </c>
      <c r="J1695" s="5">
        <v>0</v>
      </c>
      <c r="K1695" s="5">
        <v>0</v>
      </c>
      <c r="L1695" s="5">
        <v>0</v>
      </c>
      <c r="M1695" s="5">
        <v>0</v>
      </c>
      <c r="N1695" s="5">
        <v>1769</v>
      </c>
      <c r="O1695" s="5" t="str">
        <f t="shared" ca="1" si="26"/>
        <v>Supplier 106</v>
      </c>
      <c r="P1695" s="20" t="str">
        <f ca="1">IFERROR(VLOOKUP(O1695,EMAILS!B:C,2,FALSE),"NOT FOUND IN EMAILS")</f>
        <v>supplier@gmail.com</v>
      </c>
      <c r="Q1695" t="str">
        <f ca="1">""&amp;IFERROR(VLOOKUP(O1695,EMAILS!B:D,3,FALSE),"NOT FOUND IN EMAILS")</f>
        <v/>
      </c>
      <c r="R1695" t="str">
        <f ca="1">""&amp;IFERROR(VLOOKUP(O1695,EMAILS!B:E,4,FALSE),"NO T FOUND IN EMAILS")</f>
        <v/>
      </c>
    </row>
    <row r="1696" spans="2:18" x14ac:dyDescent="0.25">
      <c r="B1696" s="5" t="s">
        <v>1698</v>
      </c>
      <c r="C1696" s="5" t="s">
        <v>5838</v>
      </c>
      <c r="D1696" s="5">
        <v>755.12</v>
      </c>
      <c r="E1696" s="5">
        <v>811</v>
      </c>
      <c r="F1696" s="5">
        <v>918</v>
      </c>
      <c r="G1696" s="5">
        <v>986</v>
      </c>
      <c r="H1696" s="5">
        <v>689</v>
      </c>
      <c r="I1696" s="5">
        <v>662</v>
      </c>
      <c r="J1696" s="5">
        <v>652</v>
      </c>
      <c r="K1696" s="5">
        <v>543</v>
      </c>
      <c r="L1696" s="5">
        <v>244</v>
      </c>
      <c r="M1696" s="5">
        <v>0</v>
      </c>
      <c r="N1696" s="5">
        <v>198.5</v>
      </c>
      <c r="O1696" s="5" t="str">
        <f t="shared" ca="1" si="26"/>
        <v>Supplier 152</v>
      </c>
      <c r="P1696" s="20" t="str">
        <f ca="1">IFERROR(VLOOKUP(O1696,EMAILS!B:C,2,FALSE),"NOT FOUND IN EMAILS")</f>
        <v>supplier@gmail.com</v>
      </c>
      <c r="Q1696" t="str">
        <f ca="1">""&amp;IFERROR(VLOOKUP(O1696,EMAILS!B:D,3,FALSE),"NOT FOUND IN EMAILS")</f>
        <v/>
      </c>
      <c r="R1696" t="str">
        <f ca="1">""&amp;IFERROR(VLOOKUP(O1696,EMAILS!B:E,4,FALSE),"NO T FOUND IN EMAILS")</f>
        <v/>
      </c>
    </row>
    <row r="1697" spans="2:18" x14ac:dyDescent="0.25">
      <c r="B1697" s="5" t="s">
        <v>1699</v>
      </c>
      <c r="C1697" s="5" t="s">
        <v>5839</v>
      </c>
      <c r="D1697" s="5">
        <v>2.5</v>
      </c>
      <c r="E1697" s="5">
        <v>0.5</v>
      </c>
      <c r="F1697" s="5">
        <v>0.5</v>
      </c>
      <c r="G1697" s="5">
        <v>0</v>
      </c>
      <c r="H1697" s="5">
        <v>0.5</v>
      </c>
      <c r="I1697" s="5">
        <v>0</v>
      </c>
      <c r="J1697" s="5">
        <v>1</v>
      </c>
      <c r="K1697" s="5">
        <v>0</v>
      </c>
      <c r="L1697" s="5">
        <v>0</v>
      </c>
      <c r="M1697" s="5">
        <v>0</v>
      </c>
      <c r="N1697" s="5">
        <v>4000</v>
      </c>
      <c r="O1697" s="5" t="str">
        <f t="shared" ca="1" si="26"/>
        <v>Supplier 24</v>
      </c>
      <c r="P1697" s="20" t="str">
        <f ca="1">IFERROR(VLOOKUP(O1697,EMAILS!B:C,2,FALSE),"NOT FOUND IN EMAILS")</f>
        <v>supplier@gmail.com</v>
      </c>
      <c r="Q1697" t="str">
        <f ca="1">""&amp;IFERROR(VLOOKUP(O1697,EMAILS!B:D,3,FALSE),"NOT FOUND IN EMAILS")</f>
        <v/>
      </c>
      <c r="R1697" t="str">
        <f ca="1">""&amp;IFERROR(VLOOKUP(O1697,EMAILS!B:E,4,FALSE),"NO T FOUND IN EMAILS")</f>
        <v/>
      </c>
    </row>
    <row r="1698" spans="2:18" x14ac:dyDescent="0.25">
      <c r="B1698" s="5" t="s">
        <v>1700</v>
      </c>
      <c r="C1698" s="5" t="s">
        <v>5840</v>
      </c>
      <c r="D1698" s="5">
        <v>540</v>
      </c>
      <c r="E1698" s="5">
        <v>220</v>
      </c>
      <c r="F1698" s="5">
        <v>1580.8</v>
      </c>
      <c r="G1698" s="5">
        <v>2011.2</v>
      </c>
      <c r="H1698" s="5">
        <v>1835.2</v>
      </c>
      <c r="I1698" s="5">
        <v>732</v>
      </c>
      <c r="J1698" s="5">
        <v>320</v>
      </c>
      <c r="K1698" s="5">
        <v>160</v>
      </c>
      <c r="L1698" s="5">
        <v>744</v>
      </c>
      <c r="M1698" s="5">
        <v>0</v>
      </c>
      <c r="N1698" s="5">
        <v>0</v>
      </c>
      <c r="O1698" s="5" t="str">
        <f t="shared" ca="1" si="26"/>
        <v>Supplier 1</v>
      </c>
      <c r="P1698" s="20" t="str">
        <f ca="1">IFERROR(VLOOKUP(O1698,EMAILS!B:C,2,FALSE),"NOT FOUND IN EMAILS")</f>
        <v>supplier@gmail.com</v>
      </c>
      <c r="Q1698" t="str">
        <f ca="1">""&amp;IFERROR(VLOOKUP(O1698,EMAILS!B:D,3,FALSE),"NOT FOUND IN EMAILS")</f>
        <v>supplier_logistics@gmail.com</v>
      </c>
      <c r="R1698" t="str">
        <f ca="1">""&amp;IFERROR(VLOOKUP(O1698,EMAILS!B:E,4,FALSE),"NO T FOUND IN EMAILS")</f>
        <v/>
      </c>
    </row>
    <row r="1699" spans="2:18" x14ac:dyDescent="0.25">
      <c r="B1699" s="5" t="s">
        <v>1701</v>
      </c>
      <c r="C1699" s="5" t="s">
        <v>5841</v>
      </c>
      <c r="D1699" s="5">
        <v>135</v>
      </c>
      <c r="E1699" s="5">
        <v>95</v>
      </c>
      <c r="F1699" s="5">
        <v>165</v>
      </c>
      <c r="G1699" s="5">
        <v>180</v>
      </c>
      <c r="H1699" s="5">
        <v>150</v>
      </c>
      <c r="I1699" s="5">
        <v>150</v>
      </c>
      <c r="J1699" s="5">
        <v>180</v>
      </c>
      <c r="K1699" s="5">
        <v>170</v>
      </c>
      <c r="L1699" s="5">
        <v>165</v>
      </c>
      <c r="M1699" s="5">
        <v>0</v>
      </c>
      <c r="N1699" s="5">
        <v>3000</v>
      </c>
      <c r="O1699" s="5" t="str">
        <f t="shared" ca="1" si="26"/>
        <v>Supplier 160</v>
      </c>
      <c r="P1699" s="20" t="str">
        <f ca="1">IFERROR(VLOOKUP(O1699,EMAILS!B:C,2,FALSE),"NOT FOUND IN EMAILS")</f>
        <v>supplier@gmail.com</v>
      </c>
      <c r="Q1699" t="str">
        <f ca="1">""&amp;IFERROR(VLOOKUP(O1699,EMAILS!B:D,3,FALSE),"NOT FOUND IN EMAILS")</f>
        <v/>
      </c>
      <c r="R1699" t="str">
        <f ca="1">""&amp;IFERROR(VLOOKUP(O1699,EMAILS!B:E,4,FALSE),"NO T FOUND IN EMAILS")</f>
        <v/>
      </c>
    </row>
    <row r="1700" spans="2:18" x14ac:dyDescent="0.25">
      <c r="B1700" s="5" t="s">
        <v>1702</v>
      </c>
      <c r="C1700" s="5" t="s">
        <v>5842</v>
      </c>
      <c r="D1700" s="5">
        <v>135</v>
      </c>
      <c r="E1700" s="5">
        <v>95</v>
      </c>
      <c r="F1700" s="5">
        <v>165</v>
      </c>
      <c r="G1700" s="5">
        <v>180</v>
      </c>
      <c r="H1700" s="5">
        <v>150</v>
      </c>
      <c r="I1700" s="5">
        <v>150</v>
      </c>
      <c r="J1700" s="5">
        <v>180</v>
      </c>
      <c r="K1700" s="5">
        <v>170</v>
      </c>
      <c r="L1700" s="5">
        <v>165</v>
      </c>
      <c r="M1700" s="5">
        <v>0</v>
      </c>
      <c r="N1700" s="5">
        <v>2000</v>
      </c>
      <c r="O1700" s="5" t="str">
        <f t="shared" ca="1" si="26"/>
        <v>Supplier 162</v>
      </c>
      <c r="P1700" s="20" t="str">
        <f ca="1">IFERROR(VLOOKUP(O1700,EMAILS!B:C,2,FALSE),"NOT FOUND IN EMAILS")</f>
        <v>supplier@gmail.com</v>
      </c>
      <c r="Q1700" t="str">
        <f ca="1">""&amp;IFERROR(VLOOKUP(O1700,EMAILS!B:D,3,FALSE),"NOT FOUND IN EMAILS")</f>
        <v/>
      </c>
      <c r="R1700" t="str">
        <f ca="1">""&amp;IFERROR(VLOOKUP(O1700,EMAILS!B:E,4,FALSE),"NO T FOUND IN EMAILS")</f>
        <v/>
      </c>
    </row>
    <row r="1701" spans="2:18" x14ac:dyDescent="0.25">
      <c r="B1701" s="5" t="s">
        <v>1703</v>
      </c>
      <c r="C1701" s="5" t="s">
        <v>5843</v>
      </c>
      <c r="D1701" s="5">
        <v>135</v>
      </c>
      <c r="E1701" s="5">
        <v>95</v>
      </c>
      <c r="F1701" s="5">
        <v>165</v>
      </c>
      <c r="G1701" s="5">
        <v>180</v>
      </c>
      <c r="H1701" s="5">
        <v>150</v>
      </c>
      <c r="I1701" s="5">
        <v>150</v>
      </c>
      <c r="J1701" s="5">
        <v>180</v>
      </c>
      <c r="K1701" s="5">
        <v>170</v>
      </c>
      <c r="L1701" s="5">
        <v>165</v>
      </c>
      <c r="M1701" s="5">
        <v>0</v>
      </c>
      <c r="N1701" s="5">
        <v>259</v>
      </c>
      <c r="O1701" s="5" t="str">
        <f t="shared" ca="1" si="26"/>
        <v>Supplier 81</v>
      </c>
      <c r="P1701" s="20" t="str">
        <f ca="1">IFERROR(VLOOKUP(O1701,EMAILS!B:C,2,FALSE),"NOT FOUND IN EMAILS")</f>
        <v>supplier@gmail.com</v>
      </c>
      <c r="Q1701" t="str">
        <f ca="1">""&amp;IFERROR(VLOOKUP(O1701,EMAILS!B:D,3,FALSE),"NOT FOUND IN EMAILS")</f>
        <v/>
      </c>
      <c r="R1701" t="str">
        <f ca="1">""&amp;IFERROR(VLOOKUP(O1701,EMAILS!B:E,4,FALSE),"NO T FOUND IN EMAILS")</f>
        <v/>
      </c>
    </row>
    <row r="1702" spans="2:18" x14ac:dyDescent="0.25">
      <c r="B1702" s="5" t="s">
        <v>1704</v>
      </c>
      <c r="C1702" s="5" t="s">
        <v>5844</v>
      </c>
      <c r="D1702" s="5">
        <v>4</v>
      </c>
      <c r="E1702" s="5">
        <v>0</v>
      </c>
      <c r="F1702" s="5">
        <v>4</v>
      </c>
      <c r="G1702" s="5">
        <v>0</v>
      </c>
      <c r="H1702" s="5">
        <v>2</v>
      </c>
      <c r="I1702" s="5">
        <v>0</v>
      </c>
      <c r="J1702" s="5">
        <v>0</v>
      </c>
      <c r="K1702" s="5">
        <v>2</v>
      </c>
      <c r="L1702" s="5">
        <v>0</v>
      </c>
      <c r="M1702" s="5">
        <v>0</v>
      </c>
      <c r="N1702" s="5">
        <v>192</v>
      </c>
      <c r="O1702" s="5" t="str">
        <f t="shared" ca="1" si="26"/>
        <v>Supplier 134</v>
      </c>
      <c r="P1702" s="20" t="str">
        <f ca="1">IFERROR(VLOOKUP(O1702,EMAILS!B:C,2,FALSE),"NOT FOUND IN EMAILS")</f>
        <v>supplier@gmail.com</v>
      </c>
      <c r="Q1702" t="str">
        <f ca="1">""&amp;IFERROR(VLOOKUP(O1702,EMAILS!B:D,3,FALSE),"NOT FOUND IN EMAILS")</f>
        <v/>
      </c>
      <c r="R1702" t="str">
        <f ca="1">""&amp;IFERROR(VLOOKUP(O1702,EMAILS!B:E,4,FALSE),"NO T FOUND IN EMAILS")</f>
        <v/>
      </c>
    </row>
    <row r="1703" spans="2:18" x14ac:dyDescent="0.25">
      <c r="B1703" s="5" t="s">
        <v>1705</v>
      </c>
      <c r="C1703" s="5" t="s">
        <v>5845</v>
      </c>
      <c r="D1703" s="5">
        <v>10</v>
      </c>
      <c r="E1703" s="5">
        <v>3</v>
      </c>
      <c r="F1703" s="5">
        <v>2</v>
      </c>
      <c r="G1703" s="5">
        <v>8</v>
      </c>
      <c r="H1703" s="5">
        <v>1</v>
      </c>
      <c r="I1703" s="5">
        <v>1</v>
      </c>
      <c r="J1703" s="5">
        <v>3</v>
      </c>
      <c r="K1703" s="5">
        <v>9</v>
      </c>
      <c r="L1703" s="5">
        <v>4</v>
      </c>
      <c r="M1703" s="5">
        <v>0</v>
      </c>
      <c r="N1703" s="5">
        <v>192</v>
      </c>
      <c r="O1703" s="5" t="str">
        <f t="shared" ca="1" si="26"/>
        <v>Supplier 167</v>
      </c>
      <c r="P1703" s="20" t="str">
        <f ca="1">IFERROR(VLOOKUP(O1703,EMAILS!B:C,2,FALSE),"NOT FOUND IN EMAILS")</f>
        <v>supplier@gmail.com</v>
      </c>
      <c r="Q1703" t="str">
        <f ca="1">""&amp;IFERROR(VLOOKUP(O1703,EMAILS!B:D,3,FALSE),"NOT FOUND IN EMAILS")</f>
        <v/>
      </c>
      <c r="R1703" t="str">
        <f ca="1">""&amp;IFERROR(VLOOKUP(O1703,EMAILS!B:E,4,FALSE),"NO T FOUND IN EMAILS")</f>
        <v/>
      </c>
    </row>
    <row r="1704" spans="2:18" x14ac:dyDescent="0.25">
      <c r="B1704" s="5" t="s">
        <v>1706</v>
      </c>
      <c r="C1704" s="5" t="s">
        <v>5846</v>
      </c>
      <c r="D1704" s="5">
        <v>10</v>
      </c>
      <c r="E1704" s="5">
        <v>3</v>
      </c>
      <c r="F1704" s="5">
        <v>2</v>
      </c>
      <c r="G1704" s="5">
        <v>8</v>
      </c>
      <c r="H1704" s="5">
        <v>1</v>
      </c>
      <c r="I1704" s="5">
        <v>1</v>
      </c>
      <c r="J1704" s="5">
        <v>3</v>
      </c>
      <c r="K1704" s="5">
        <v>9</v>
      </c>
      <c r="L1704" s="5">
        <v>4</v>
      </c>
      <c r="M1704" s="5">
        <v>0</v>
      </c>
      <c r="N1704" s="5">
        <v>18</v>
      </c>
      <c r="O1704" s="5" t="str">
        <f t="shared" ca="1" si="26"/>
        <v>Supplier 65</v>
      </c>
      <c r="P1704" s="20" t="str">
        <f ca="1">IFERROR(VLOOKUP(O1704,EMAILS!B:C,2,FALSE),"NOT FOUND IN EMAILS")</f>
        <v>supplier@gmail.com</v>
      </c>
      <c r="Q1704" t="str">
        <f ca="1">""&amp;IFERROR(VLOOKUP(O1704,EMAILS!B:D,3,FALSE),"NOT FOUND IN EMAILS")</f>
        <v/>
      </c>
      <c r="R1704" t="str">
        <f ca="1">""&amp;IFERROR(VLOOKUP(O1704,EMAILS!B:E,4,FALSE),"NO T FOUND IN EMAILS")</f>
        <v/>
      </c>
    </row>
    <row r="1705" spans="2:18" x14ac:dyDescent="0.25">
      <c r="B1705" s="5" t="s">
        <v>1707</v>
      </c>
      <c r="C1705" s="5" t="s">
        <v>5847</v>
      </c>
      <c r="D1705" s="5">
        <v>0</v>
      </c>
      <c r="E1705" s="5">
        <v>0</v>
      </c>
      <c r="F1705" s="5">
        <v>0</v>
      </c>
      <c r="G1705" s="5">
        <v>0</v>
      </c>
      <c r="H1705" s="5">
        <v>0</v>
      </c>
      <c r="I1705" s="5">
        <v>0</v>
      </c>
      <c r="J1705" s="5">
        <v>0</v>
      </c>
      <c r="K1705" s="5">
        <v>0</v>
      </c>
      <c r="L1705" s="5">
        <v>0</v>
      </c>
      <c r="M1705" s="5">
        <v>0</v>
      </c>
      <c r="N1705" s="5">
        <v>390</v>
      </c>
      <c r="O1705" s="5" t="str">
        <f t="shared" ca="1" si="26"/>
        <v>Supplier 133</v>
      </c>
      <c r="P1705" s="20" t="str">
        <f ca="1">IFERROR(VLOOKUP(O1705,EMAILS!B:C,2,FALSE),"NOT FOUND IN EMAILS")</f>
        <v>supplier@gmail.com</v>
      </c>
      <c r="Q1705" t="str">
        <f ca="1">""&amp;IFERROR(VLOOKUP(O1705,EMAILS!B:D,3,FALSE),"NOT FOUND IN EMAILS")</f>
        <v/>
      </c>
      <c r="R1705" t="str">
        <f ca="1">""&amp;IFERROR(VLOOKUP(O1705,EMAILS!B:E,4,FALSE),"NO T FOUND IN EMAILS")</f>
        <v/>
      </c>
    </row>
    <row r="1706" spans="2:18" x14ac:dyDescent="0.25">
      <c r="B1706" s="5" t="s">
        <v>1708</v>
      </c>
      <c r="C1706" s="5" t="s">
        <v>5848</v>
      </c>
      <c r="D1706" s="5">
        <v>76</v>
      </c>
      <c r="E1706" s="5">
        <v>68</v>
      </c>
      <c r="F1706" s="5">
        <v>92</v>
      </c>
      <c r="G1706" s="5">
        <v>92</v>
      </c>
      <c r="H1706" s="5">
        <v>40</v>
      </c>
      <c r="I1706" s="5">
        <v>52</v>
      </c>
      <c r="J1706" s="5">
        <v>40</v>
      </c>
      <c r="K1706" s="5">
        <v>52</v>
      </c>
      <c r="L1706" s="5">
        <v>34</v>
      </c>
      <c r="M1706" s="5">
        <v>0</v>
      </c>
      <c r="N1706" s="5">
        <v>4</v>
      </c>
      <c r="O1706" s="5" t="str">
        <f t="shared" ca="1" si="26"/>
        <v>Supplier 151</v>
      </c>
      <c r="P1706" s="20" t="str">
        <f ca="1">IFERROR(VLOOKUP(O1706,EMAILS!B:C,2,FALSE),"NOT FOUND IN EMAILS")</f>
        <v>supplier@gmail.com</v>
      </c>
      <c r="Q1706" t="str">
        <f ca="1">""&amp;IFERROR(VLOOKUP(O1706,EMAILS!B:D,3,FALSE),"NOT FOUND IN EMAILS")</f>
        <v/>
      </c>
      <c r="R1706" t="str">
        <f ca="1">""&amp;IFERROR(VLOOKUP(O1706,EMAILS!B:E,4,FALSE),"NO T FOUND IN EMAILS")</f>
        <v/>
      </c>
    </row>
    <row r="1707" spans="2:18" x14ac:dyDescent="0.25">
      <c r="B1707" s="5" t="s">
        <v>1709</v>
      </c>
      <c r="C1707" s="5" t="s">
        <v>5849</v>
      </c>
      <c r="D1707" s="5">
        <v>0.108</v>
      </c>
      <c r="E1707" s="5">
        <v>9.6000000000000002E-2</v>
      </c>
      <c r="F1707" s="5">
        <v>0.22799999999999998</v>
      </c>
      <c r="G1707" s="5">
        <v>0.108</v>
      </c>
      <c r="H1707" s="5">
        <v>0.22799999999999998</v>
      </c>
      <c r="I1707" s="5">
        <v>0.22799999999999998</v>
      </c>
      <c r="J1707" s="5">
        <v>0.108</v>
      </c>
      <c r="K1707" s="5">
        <v>0.108</v>
      </c>
      <c r="L1707" s="5">
        <v>0.108</v>
      </c>
      <c r="M1707" s="5">
        <v>0</v>
      </c>
      <c r="N1707" s="5">
        <v>5</v>
      </c>
      <c r="O1707" s="5" t="str">
        <f t="shared" ca="1" si="26"/>
        <v>Supplier 173</v>
      </c>
      <c r="P1707" s="20" t="str">
        <f ca="1">IFERROR(VLOOKUP(O1707,EMAILS!B:C,2,FALSE),"NOT FOUND IN EMAILS")</f>
        <v>supplier@gmail.com</v>
      </c>
      <c r="Q1707" t="str">
        <f ca="1">""&amp;IFERROR(VLOOKUP(O1707,EMAILS!B:D,3,FALSE),"NOT FOUND IN EMAILS")</f>
        <v/>
      </c>
      <c r="R1707" t="str">
        <f ca="1">""&amp;IFERROR(VLOOKUP(O1707,EMAILS!B:E,4,FALSE),"NO T FOUND IN EMAILS")</f>
        <v/>
      </c>
    </row>
    <row r="1708" spans="2:18" x14ac:dyDescent="0.25">
      <c r="B1708" s="5" t="s">
        <v>1710</v>
      </c>
      <c r="C1708" s="5" t="s">
        <v>5850</v>
      </c>
      <c r="D1708" s="5">
        <v>0</v>
      </c>
      <c r="E1708" s="5">
        <v>0</v>
      </c>
      <c r="F1708" s="5">
        <v>0</v>
      </c>
      <c r="G1708" s="5">
        <v>0</v>
      </c>
      <c r="H1708" s="5">
        <v>0.06</v>
      </c>
      <c r="I1708" s="5">
        <v>0</v>
      </c>
      <c r="J1708" s="5">
        <v>0</v>
      </c>
      <c r="K1708" s="5">
        <v>0</v>
      </c>
      <c r="L1708" s="5">
        <v>0</v>
      </c>
      <c r="M1708" s="5">
        <v>0</v>
      </c>
      <c r="N1708" s="5">
        <v>244</v>
      </c>
      <c r="O1708" s="5" t="str">
        <f t="shared" ca="1" si="26"/>
        <v>Supplier 89</v>
      </c>
      <c r="P1708" s="20" t="str">
        <f ca="1">IFERROR(VLOOKUP(O1708,EMAILS!B:C,2,FALSE),"NOT FOUND IN EMAILS")</f>
        <v>supplier@gmail.com</v>
      </c>
      <c r="Q1708" t="str">
        <f ca="1">""&amp;IFERROR(VLOOKUP(O1708,EMAILS!B:D,3,FALSE),"NOT FOUND IN EMAILS")</f>
        <v/>
      </c>
      <c r="R1708" t="str">
        <f ca="1">""&amp;IFERROR(VLOOKUP(O1708,EMAILS!B:E,4,FALSE),"NO T FOUND IN EMAILS")</f>
        <v/>
      </c>
    </row>
    <row r="1709" spans="2:18" x14ac:dyDescent="0.25">
      <c r="B1709" s="5" t="s">
        <v>1711</v>
      </c>
      <c r="C1709" s="5" t="s">
        <v>5851</v>
      </c>
      <c r="D1709" s="5">
        <v>152</v>
      </c>
      <c r="E1709" s="5">
        <v>136</v>
      </c>
      <c r="F1709" s="5">
        <v>184</v>
      </c>
      <c r="G1709" s="5">
        <v>184</v>
      </c>
      <c r="H1709" s="5">
        <v>80</v>
      </c>
      <c r="I1709" s="5">
        <v>104</v>
      </c>
      <c r="J1709" s="5">
        <v>80</v>
      </c>
      <c r="K1709" s="5">
        <v>104</v>
      </c>
      <c r="L1709" s="5">
        <v>68</v>
      </c>
      <c r="M1709" s="5">
        <v>0</v>
      </c>
      <c r="N1709" s="5">
        <v>1800</v>
      </c>
      <c r="O1709" s="5" t="str">
        <f t="shared" ca="1" si="26"/>
        <v>Supplier 145</v>
      </c>
      <c r="P1709" s="20" t="str">
        <f ca="1">IFERROR(VLOOKUP(O1709,EMAILS!B:C,2,FALSE),"NOT FOUND IN EMAILS")</f>
        <v>supplier@gmail.com</v>
      </c>
      <c r="Q1709" t="str">
        <f ca="1">""&amp;IFERROR(VLOOKUP(O1709,EMAILS!B:D,3,FALSE),"NOT FOUND IN EMAILS")</f>
        <v/>
      </c>
      <c r="R1709" t="str">
        <f ca="1">""&amp;IFERROR(VLOOKUP(O1709,EMAILS!B:E,4,FALSE),"NO T FOUND IN EMAILS")</f>
        <v/>
      </c>
    </row>
    <row r="1710" spans="2:18" x14ac:dyDescent="0.25">
      <c r="B1710" s="5" t="s">
        <v>1712</v>
      </c>
      <c r="C1710" s="5" t="s">
        <v>5852</v>
      </c>
      <c r="D1710" s="5">
        <v>152</v>
      </c>
      <c r="E1710" s="5">
        <v>136</v>
      </c>
      <c r="F1710" s="5">
        <v>184</v>
      </c>
      <c r="G1710" s="5">
        <v>184</v>
      </c>
      <c r="H1710" s="5">
        <v>80</v>
      </c>
      <c r="I1710" s="5">
        <v>104</v>
      </c>
      <c r="J1710" s="5">
        <v>80</v>
      </c>
      <c r="K1710" s="5">
        <v>104</v>
      </c>
      <c r="L1710" s="5">
        <v>68</v>
      </c>
      <c r="M1710" s="5">
        <v>0</v>
      </c>
      <c r="N1710" s="5">
        <v>109</v>
      </c>
      <c r="O1710" s="5" t="str">
        <f t="shared" ca="1" si="26"/>
        <v>Supplier 193</v>
      </c>
      <c r="P1710" s="20" t="str">
        <f ca="1">IFERROR(VLOOKUP(O1710,EMAILS!B:C,2,FALSE),"NOT FOUND IN EMAILS")</f>
        <v>supplier@gmail.com</v>
      </c>
      <c r="Q1710" t="str">
        <f ca="1">""&amp;IFERROR(VLOOKUP(O1710,EMAILS!B:D,3,FALSE),"NOT FOUND IN EMAILS")</f>
        <v/>
      </c>
      <c r="R1710" t="str">
        <f ca="1">""&amp;IFERROR(VLOOKUP(O1710,EMAILS!B:E,4,FALSE),"NO T FOUND IN EMAILS")</f>
        <v/>
      </c>
    </row>
    <row r="1711" spans="2:18" x14ac:dyDescent="0.25">
      <c r="B1711" s="5" t="s">
        <v>1713</v>
      </c>
      <c r="C1711" s="5" t="s">
        <v>5853</v>
      </c>
      <c r="D1711" s="5">
        <v>14</v>
      </c>
      <c r="E1711" s="5">
        <v>14</v>
      </c>
      <c r="F1711" s="5">
        <v>7</v>
      </c>
      <c r="G1711" s="5">
        <v>28</v>
      </c>
      <c r="H1711" s="5">
        <v>12</v>
      </c>
      <c r="I1711" s="5">
        <v>10</v>
      </c>
      <c r="J1711" s="5">
        <v>8</v>
      </c>
      <c r="K1711" s="5">
        <v>6</v>
      </c>
      <c r="L1711" s="5">
        <v>8</v>
      </c>
      <c r="M1711" s="5">
        <v>0</v>
      </c>
      <c r="N1711" s="5">
        <v>314</v>
      </c>
      <c r="O1711" s="5" t="str">
        <f t="shared" ca="1" si="26"/>
        <v>Supplier 142</v>
      </c>
      <c r="P1711" s="20" t="str">
        <f ca="1">IFERROR(VLOOKUP(O1711,EMAILS!B:C,2,FALSE),"NOT FOUND IN EMAILS")</f>
        <v>supplier@gmail.com</v>
      </c>
      <c r="Q1711" t="str">
        <f ca="1">""&amp;IFERROR(VLOOKUP(O1711,EMAILS!B:D,3,FALSE),"NOT FOUND IN EMAILS")</f>
        <v/>
      </c>
      <c r="R1711" t="str">
        <f ca="1">""&amp;IFERROR(VLOOKUP(O1711,EMAILS!B:E,4,FALSE),"NO T FOUND IN EMAILS")</f>
        <v/>
      </c>
    </row>
    <row r="1712" spans="2:18" x14ac:dyDescent="0.25">
      <c r="B1712" s="5" t="s">
        <v>1714</v>
      </c>
      <c r="C1712" s="5" t="s">
        <v>5854</v>
      </c>
      <c r="D1712" s="5">
        <v>0.5</v>
      </c>
      <c r="E1712" s="5">
        <v>1</v>
      </c>
      <c r="F1712" s="5">
        <v>1.5</v>
      </c>
      <c r="G1712" s="5">
        <v>2</v>
      </c>
      <c r="H1712" s="5">
        <v>1</v>
      </c>
      <c r="I1712" s="5">
        <v>2</v>
      </c>
      <c r="J1712" s="5">
        <v>4</v>
      </c>
      <c r="K1712" s="5">
        <v>2.5</v>
      </c>
      <c r="L1712" s="5">
        <v>0</v>
      </c>
      <c r="M1712" s="5">
        <v>0</v>
      </c>
      <c r="N1712" s="5">
        <v>3000</v>
      </c>
      <c r="O1712" s="5" t="str">
        <f t="shared" ca="1" si="26"/>
        <v>Supplier 200</v>
      </c>
      <c r="P1712" s="20" t="str">
        <f ca="1">IFERROR(VLOOKUP(O1712,EMAILS!B:C,2,FALSE),"NOT FOUND IN EMAILS")</f>
        <v>supplier@gmail.com</v>
      </c>
      <c r="Q1712" t="str">
        <f ca="1">""&amp;IFERROR(VLOOKUP(O1712,EMAILS!B:D,3,FALSE),"NOT FOUND IN EMAILS")</f>
        <v/>
      </c>
      <c r="R1712" t="str">
        <f ca="1">""&amp;IFERROR(VLOOKUP(O1712,EMAILS!B:E,4,FALSE),"NO T FOUND IN EMAILS")</f>
        <v/>
      </c>
    </row>
    <row r="1713" spans="2:18" x14ac:dyDescent="0.25">
      <c r="B1713" s="5" t="s">
        <v>1715</v>
      </c>
      <c r="C1713" s="5" t="s">
        <v>5855</v>
      </c>
      <c r="D1713" s="5">
        <v>950</v>
      </c>
      <c r="E1713" s="5">
        <v>650</v>
      </c>
      <c r="F1713" s="5">
        <v>820</v>
      </c>
      <c r="G1713" s="5">
        <v>720</v>
      </c>
      <c r="H1713" s="5">
        <v>720</v>
      </c>
      <c r="I1713" s="5">
        <v>720</v>
      </c>
      <c r="J1713" s="5">
        <v>820</v>
      </c>
      <c r="K1713" s="5">
        <v>720</v>
      </c>
      <c r="L1713" s="5">
        <v>720</v>
      </c>
      <c r="M1713" s="5">
        <v>0</v>
      </c>
      <c r="N1713" s="5">
        <v>0</v>
      </c>
      <c r="O1713" s="5" t="str">
        <f t="shared" ca="1" si="26"/>
        <v>Supplier 110</v>
      </c>
      <c r="P1713" s="20" t="str">
        <f ca="1">IFERROR(VLOOKUP(O1713,EMAILS!B:C,2,FALSE),"NOT FOUND IN EMAILS")</f>
        <v>supplier@gmail.com</v>
      </c>
      <c r="Q1713" t="str">
        <f ca="1">""&amp;IFERROR(VLOOKUP(O1713,EMAILS!B:D,3,FALSE),"NOT FOUND IN EMAILS")</f>
        <v/>
      </c>
      <c r="R1713" t="str">
        <f ca="1">""&amp;IFERROR(VLOOKUP(O1713,EMAILS!B:E,4,FALSE),"NO T FOUND IN EMAILS")</f>
        <v/>
      </c>
    </row>
    <row r="1714" spans="2:18" x14ac:dyDescent="0.25">
      <c r="B1714" s="5" t="s">
        <v>1716</v>
      </c>
      <c r="C1714" s="5" t="s">
        <v>5856</v>
      </c>
      <c r="D1714" s="5">
        <v>1920</v>
      </c>
      <c r="E1714" s="5">
        <v>1600</v>
      </c>
      <c r="F1714" s="5">
        <v>2240</v>
      </c>
      <c r="G1714" s="5">
        <v>2240</v>
      </c>
      <c r="H1714" s="5">
        <v>2240</v>
      </c>
      <c r="I1714" s="5">
        <v>2240</v>
      </c>
      <c r="J1714" s="5">
        <v>1920</v>
      </c>
      <c r="K1714" s="5">
        <v>2240</v>
      </c>
      <c r="L1714" s="5">
        <v>2240</v>
      </c>
      <c r="M1714" s="5">
        <v>0</v>
      </c>
      <c r="N1714" s="5">
        <v>0</v>
      </c>
      <c r="O1714" s="5" t="str">
        <f t="shared" ca="1" si="26"/>
        <v>Supplier 14</v>
      </c>
      <c r="P1714" s="20" t="str">
        <f ca="1">IFERROR(VLOOKUP(O1714,EMAILS!B:C,2,FALSE),"NOT FOUND IN EMAILS")</f>
        <v>supplier@gmail.com</v>
      </c>
      <c r="Q1714" t="str">
        <f ca="1">""&amp;IFERROR(VLOOKUP(O1714,EMAILS!B:D,3,FALSE),"NOT FOUND IN EMAILS")</f>
        <v>supplier_logistics@gmail.com</v>
      </c>
      <c r="R1714" t="str">
        <f ca="1">""&amp;IFERROR(VLOOKUP(O1714,EMAILS!B:E,4,FALSE),"NO T FOUND IN EMAILS")</f>
        <v/>
      </c>
    </row>
    <row r="1715" spans="2:18" x14ac:dyDescent="0.25">
      <c r="B1715" s="5" t="s">
        <v>1717</v>
      </c>
      <c r="C1715" s="5" t="s">
        <v>5857</v>
      </c>
      <c r="D1715" s="5">
        <v>0</v>
      </c>
      <c r="E1715" s="5">
        <v>8.72E-2</v>
      </c>
      <c r="F1715" s="5">
        <v>0</v>
      </c>
      <c r="G1715" s="5">
        <v>0</v>
      </c>
      <c r="H1715" s="5">
        <v>0</v>
      </c>
      <c r="I1715" s="5">
        <v>0</v>
      </c>
      <c r="J1715" s="5">
        <v>0</v>
      </c>
      <c r="K1715" s="5">
        <v>0</v>
      </c>
      <c r="L1715" s="5">
        <v>0</v>
      </c>
      <c r="M1715" s="5">
        <v>0</v>
      </c>
      <c r="N1715" s="5">
        <v>0</v>
      </c>
      <c r="O1715" s="5" t="str">
        <f t="shared" ca="1" si="26"/>
        <v>Supplier 50</v>
      </c>
      <c r="P1715" s="20" t="str">
        <f ca="1">IFERROR(VLOOKUP(O1715,EMAILS!B:C,2,FALSE),"NOT FOUND IN EMAILS")</f>
        <v>supplier@gmail.com</v>
      </c>
      <c r="Q1715" t="str">
        <f ca="1">""&amp;IFERROR(VLOOKUP(O1715,EMAILS!B:D,3,FALSE),"NOT FOUND IN EMAILS")</f>
        <v/>
      </c>
      <c r="R1715" t="str">
        <f ca="1">""&amp;IFERROR(VLOOKUP(O1715,EMAILS!B:E,4,FALSE),"NO T FOUND IN EMAILS")</f>
        <v/>
      </c>
    </row>
    <row r="1716" spans="2:18" x14ac:dyDescent="0.25">
      <c r="B1716" s="5" t="s">
        <v>1718</v>
      </c>
      <c r="C1716" s="5" t="s">
        <v>5858</v>
      </c>
      <c r="D1716" s="5">
        <v>0</v>
      </c>
      <c r="E1716" s="5">
        <v>0</v>
      </c>
      <c r="F1716" s="5">
        <v>0</v>
      </c>
      <c r="G1716" s="5">
        <v>0</v>
      </c>
      <c r="H1716" s="5">
        <v>0</v>
      </c>
      <c r="I1716" s="5">
        <v>0</v>
      </c>
      <c r="J1716" s="5">
        <v>0</v>
      </c>
      <c r="K1716" s="5">
        <v>0</v>
      </c>
      <c r="L1716" s="5">
        <v>0</v>
      </c>
      <c r="M1716" s="5">
        <v>0</v>
      </c>
      <c r="N1716" s="5">
        <v>0</v>
      </c>
      <c r="O1716" s="5" t="str">
        <f t="shared" ca="1" si="26"/>
        <v>Supplier 101</v>
      </c>
      <c r="P1716" s="20" t="str">
        <f ca="1">IFERROR(VLOOKUP(O1716,EMAILS!B:C,2,FALSE),"NOT FOUND IN EMAILS")</f>
        <v>supplier@gmail.com</v>
      </c>
      <c r="Q1716" t="str">
        <f ca="1">""&amp;IFERROR(VLOOKUP(O1716,EMAILS!B:D,3,FALSE),"NOT FOUND IN EMAILS")</f>
        <v/>
      </c>
      <c r="R1716" t="str">
        <f ca="1">""&amp;IFERROR(VLOOKUP(O1716,EMAILS!B:E,4,FALSE),"NO T FOUND IN EMAILS")</f>
        <v/>
      </c>
    </row>
    <row r="1717" spans="2:18" x14ac:dyDescent="0.25">
      <c r="B1717" s="5" t="s">
        <v>1719</v>
      </c>
      <c r="C1717" s="5" t="s">
        <v>5859</v>
      </c>
      <c r="D1717" s="5">
        <v>0</v>
      </c>
      <c r="E1717" s="5">
        <v>0</v>
      </c>
      <c r="F1717" s="5">
        <v>0</v>
      </c>
      <c r="G1717" s="5">
        <v>0</v>
      </c>
      <c r="H1717" s="5">
        <v>0</v>
      </c>
      <c r="I1717" s="5">
        <v>0</v>
      </c>
      <c r="J1717" s="5">
        <v>0</v>
      </c>
      <c r="K1717" s="5">
        <v>0</v>
      </c>
      <c r="L1717" s="5">
        <v>0</v>
      </c>
      <c r="M1717" s="5">
        <v>0</v>
      </c>
      <c r="N1717" s="5">
        <v>0</v>
      </c>
      <c r="O1717" s="5" t="str">
        <f t="shared" ca="1" si="26"/>
        <v>Supplier 24</v>
      </c>
      <c r="P1717" s="20" t="str">
        <f ca="1">IFERROR(VLOOKUP(O1717,EMAILS!B:C,2,FALSE),"NOT FOUND IN EMAILS")</f>
        <v>supplier@gmail.com</v>
      </c>
      <c r="Q1717" t="str">
        <f ca="1">""&amp;IFERROR(VLOOKUP(O1717,EMAILS!B:D,3,FALSE),"NOT FOUND IN EMAILS")</f>
        <v/>
      </c>
      <c r="R1717" t="str">
        <f ca="1">""&amp;IFERROR(VLOOKUP(O1717,EMAILS!B:E,4,FALSE),"NO T FOUND IN EMAILS")</f>
        <v/>
      </c>
    </row>
    <row r="1718" spans="2:18" x14ac:dyDescent="0.25">
      <c r="B1718" s="5" t="s">
        <v>1720</v>
      </c>
      <c r="C1718" s="5" t="s">
        <v>5860</v>
      </c>
      <c r="D1718" s="5">
        <v>0</v>
      </c>
      <c r="E1718" s="5">
        <v>0</v>
      </c>
      <c r="F1718" s="5">
        <v>0</v>
      </c>
      <c r="G1718" s="5">
        <v>0</v>
      </c>
      <c r="H1718" s="5">
        <v>0</v>
      </c>
      <c r="I1718" s="5">
        <v>0</v>
      </c>
      <c r="J1718" s="5">
        <v>0</v>
      </c>
      <c r="K1718" s="5">
        <v>0</v>
      </c>
      <c r="L1718" s="5">
        <v>0</v>
      </c>
      <c r="M1718" s="5">
        <v>0</v>
      </c>
      <c r="N1718" s="5">
        <v>60</v>
      </c>
      <c r="O1718" s="5" t="str">
        <f t="shared" ca="1" si="26"/>
        <v>Supplier 48</v>
      </c>
      <c r="P1718" s="20" t="str">
        <f ca="1">IFERROR(VLOOKUP(O1718,EMAILS!B:C,2,FALSE),"NOT FOUND IN EMAILS")</f>
        <v>supplier@gmail.com</v>
      </c>
      <c r="Q1718" t="str">
        <f ca="1">""&amp;IFERROR(VLOOKUP(O1718,EMAILS!B:D,3,FALSE),"NOT FOUND IN EMAILS")</f>
        <v/>
      </c>
      <c r="R1718" t="str">
        <f ca="1">""&amp;IFERROR(VLOOKUP(O1718,EMAILS!B:E,4,FALSE),"NO T FOUND IN EMAILS")</f>
        <v/>
      </c>
    </row>
    <row r="1719" spans="2:18" x14ac:dyDescent="0.25">
      <c r="B1719" s="5" t="s">
        <v>1721</v>
      </c>
      <c r="C1719" s="5" t="s">
        <v>5861</v>
      </c>
      <c r="D1719" s="5">
        <v>43</v>
      </c>
      <c r="E1719" s="5">
        <v>0</v>
      </c>
      <c r="F1719" s="5">
        <v>0</v>
      </c>
      <c r="G1719" s="5">
        <v>0</v>
      </c>
      <c r="H1719" s="5">
        <v>0</v>
      </c>
      <c r="I1719" s="5">
        <v>0</v>
      </c>
      <c r="J1719" s="5">
        <v>0</v>
      </c>
      <c r="K1719" s="5">
        <v>0</v>
      </c>
      <c r="L1719" s="5">
        <v>0</v>
      </c>
      <c r="M1719" s="5">
        <v>0</v>
      </c>
      <c r="N1719" s="5">
        <v>0</v>
      </c>
      <c r="O1719" s="5" t="str">
        <f t="shared" ca="1" si="26"/>
        <v>Supplier 26</v>
      </c>
      <c r="P1719" s="20" t="str">
        <f ca="1">IFERROR(VLOOKUP(O1719,EMAILS!B:C,2,FALSE),"NOT FOUND IN EMAILS")</f>
        <v>supplier@gmail.com</v>
      </c>
      <c r="Q1719" t="str">
        <f ca="1">""&amp;IFERROR(VLOOKUP(O1719,EMAILS!B:D,3,FALSE),"NOT FOUND IN EMAILS")</f>
        <v/>
      </c>
      <c r="R1719" t="str">
        <f ca="1">""&amp;IFERROR(VLOOKUP(O1719,EMAILS!B:E,4,FALSE),"NO T FOUND IN EMAILS")</f>
        <v/>
      </c>
    </row>
    <row r="1720" spans="2:18" x14ac:dyDescent="0.25">
      <c r="B1720" s="5" t="s">
        <v>1722</v>
      </c>
      <c r="C1720" s="5" t="s">
        <v>5862</v>
      </c>
      <c r="D1720" s="5">
        <v>4.75</v>
      </c>
      <c r="E1720" s="5">
        <v>3.25</v>
      </c>
      <c r="F1720" s="5">
        <v>4.0999999999999996</v>
      </c>
      <c r="G1720" s="5">
        <v>3.6</v>
      </c>
      <c r="H1720" s="5">
        <v>3.6</v>
      </c>
      <c r="I1720" s="5">
        <v>3.6</v>
      </c>
      <c r="J1720" s="5">
        <v>4.0999999999999996</v>
      </c>
      <c r="K1720" s="5">
        <v>3.6</v>
      </c>
      <c r="L1720" s="5">
        <v>3.6</v>
      </c>
      <c r="M1720" s="5">
        <v>0</v>
      </c>
      <c r="N1720" s="5">
        <v>0</v>
      </c>
      <c r="O1720" s="5" t="str">
        <f t="shared" ca="1" si="26"/>
        <v>Supplier 154</v>
      </c>
      <c r="P1720" s="20" t="str">
        <f ca="1">IFERROR(VLOOKUP(O1720,EMAILS!B:C,2,FALSE),"NOT FOUND IN EMAILS")</f>
        <v>supplier@gmail.com</v>
      </c>
      <c r="Q1720" t="str">
        <f ca="1">""&amp;IFERROR(VLOOKUP(O1720,EMAILS!B:D,3,FALSE),"NOT FOUND IN EMAILS")</f>
        <v/>
      </c>
      <c r="R1720" t="str">
        <f ca="1">""&amp;IFERROR(VLOOKUP(O1720,EMAILS!B:E,4,FALSE),"NO T FOUND IN EMAILS")</f>
        <v/>
      </c>
    </row>
    <row r="1721" spans="2:18" x14ac:dyDescent="0.25">
      <c r="B1721" s="5" t="s">
        <v>1723</v>
      </c>
      <c r="C1721" s="5" t="s">
        <v>5863</v>
      </c>
      <c r="D1721" s="5">
        <v>0</v>
      </c>
      <c r="E1721" s="5">
        <v>0</v>
      </c>
      <c r="F1721" s="5">
        <v>0</v>
      </c>
      <c r="G1721" s="5">
        <v>0</v>
      </c>
      <c r="H1721" s="5">
        <v>0</v>
      </c>
      <c r="I1721" s="5">
        <v>0</v>
      </c>
      <c r="J1721" s="5">
        <v>0</v>
      </c>
      <c r="K1721" s="5">
        <v>0</v>
      </c>
      <c r="L1721" s="5">
        <v>0</v>
      </c>
      <c r="M1721" s="5">
        <v>0</v>
      </c>
      <c r="N1721" s="5">
        <v>2</v>
      </c>
      <c r="O1721" s="5" t="str">
        <f t="shared" ca="1" si="26"/>
        <v>Supplier 55</v>
      </c>
      <c r="P1721" s="20" t="str">
        <f ca="1">IFERROR(VLOOKUP(O1721,EMAILS!B:C,2,FALSE),"NOT FOUND IN EMAILS")</f>
        <v>supplier@gmail.com</v>
      </c>
      <c r="Q1721" t="str">
        <f ca="1">""&amp;IFERROR(VLOOKUP(O1721,EMAILS!B:D,3,FALSE),"NOT FOUND IN EMAILS")</f>
        <v/>
      </c>
      <c r="R1721" t="str">
        <f ca="1">""&amp;IFERROR(VLOOKUP(O1721,EMAILS!B:E,4,FALSE),"NO T FOUND IN EMAILS")</f>
        <v/>
      </c>
    </row>
    <row r="1722" spans="2:18" x14ac:dyDescent="0.25">
      <c r="B1722" s="5" t="s">
        <v>1724</v>
      </c>
      <c r="C1722" s="5" t="s">
        <v>5864</v>
      </c>
      <c r="D1722" s="5">
        <v>0</v>
      </c>
      <c r="E1722" s="5">
        <v>0</v>
      </c>
      <c r="F1722" s="5">
        <v>0</v>
      </c>
      <c r="G1722" s="5">
        <v>0</v>
      </c>
      <c r="H1722" s="5">
        <v>0</v>
      </c>
      <c r="I1722" s="5">
        <v>0</v>
      </c>
      <c r="J1722" s="5">
        <v>0</v>
      </c>
      <c r="K1722" s="5">
        <v>0</v>
      </c>
      <c r="L1722" s="5">
        <v>0</v>
      </c>
      <c r="M1722" s="5">
        <v>0</v>
      </c>
      <c r="N1722" s="5">
        <v>12</v>
      </c>
      <c r="O1722" s="5" t="str">
        <f t="shared" ca="1" si="26"/>
        <v>Supplier 109</v>
      </c>
      <c r="P1722" s="20" t="str">
        <f ca="1">IFERROR(VLOOKUP(O1722,EMAILS!B:C,2,FALSE),"NOT FOUND IN EMAILS")</f>
        <v>supplier@gmail.com</v>
      </c>
      <c r="Q1722" t="str">
        <f ca="1">""&amp;IFERROR(VLOOKUP(O1722,EMAILS!B:D,3,FALSE),"NOT FOUND IN EMAILS")</f>
        <v/>
      </c>
      <c r="R1722" t="str">
        <f ca="1">""&amp;IFERROR(VLOOKUP(O1722,EMAILS!B:E,4,FALSE),"NO T FOUND IN EMAILS")</f>
        <v/>
      </c>
    </row>
    <row r="1723" spans="2:18" x14ac:dyDescent="0.25">
      <c r="B1723" s="5" t="s">
        <v>1725</v>
      </c>
      <c r="C1723" s="5" t="s">
        <v>5865</v>
      </c>
      <c r="D1723" s="5">
        <v>0</v>
      </c>
      <c r="E1723" s="5">
        <v>0</v>
      </c>
      <c r="F1723" s="5">
        <v>0</v>
      </c>
      <c r="G1723" s="5">
        <v>0</v>
      </c>
      <c r="H1723" s="5">
        <v>0</v>
      </c>
      <c r="I1723" s="5">
        <v>0</v>
      </c>
      <c r="J1723" s="5">
        <v>0</v>
      </c>
      <c r="K1723" s="5">
        <v>0</v>
      </c>
      <c r="L1723" s="5">
        <v>0</v>
      </c>
      <c r="M1723" s="5">
        <v>0</v>
      </c>
      <c r="N1723" s="5">
        <v>225</v>
      </c>
      <c r="O1723" s="5" t="str">
        <f t="shared" ca="1" si="26"/>
        <v>Supplier 90</v>
      </c>
      <c r="P1723" s="20" t="str">
        <f ca="1">IFERROR(VLOOKUP(O1723,EMAILS!B:C,2,FALSE),"NOT FOUND IN EMAILS")</f>
        <v>supplier@gmail.com</v>
      </c>
      <c r="Q1723" t="str">
        <f ca="1">""&amp;IFERROR(VLOOKUP(O1723,EMAILS!B:D,3,FALSE),"NOT FOUND IN EMAILS")</f>
        <v/>
      </c>
      <c r="R1723" t="str">
        <f ca="1">""&amp;IFERROR(VLOOKUP(O1723,EMAILS!B:E,4,FALSE),"NO T FOUND IN EMAILS")</f>
        <v/>
      </c>
    </row>
    <row r="1724" spans="2:18" x14ac:dyDescent="0.25">
      <c r="B1724" s="5" t="s">
        <v>1726</v>
      </c>
      <c r="C1724" s="5" t="s">
        <v>5866</v>
      </c>
      <c r="D1724" s="5">
        <v>0</v>
      </c>
      <c r="E1724" s="5">
        <v>0</v>
      </c>
      <c r="F1724" s="5">
        <v>0</v>
      </c>
      <c r="G1724" s="5">
        <v>0</v>
      </c>
      <c r="H1724" s="5">
        <v>0</v>
      </c>
      <c r="I1724" s="5">
        <v>0</v>
      </c>
      <c r="J1724" s="5">
        <v>0</v>
      </c>
      <c r="K1724" s="5">
        <v>0</v>
      </c>
      <c r="L1724" s="5">
        <v>0</v>
      </c>
      <c r="M1724" s="5">
        <v>0</v>
      </c>
      <c r="N1724" s="5">
        <v>84</v>
      </c>
      <c r="O1724" s="5" t="str">
        <f t="shared" ca="1" si="26"/>
        <v>Supplier 143</v>
      </c>
      <c r="P1724" s="20" t="str">
        <f ca="1">IFERROR(VLOOKUP(O1724,EMAILS!B:C,2,FALSE),"NOT FOUND IN EMAILS")</f>
        <v>supplier@gmail.com</v>
      </c>
      <c r="Q1724" t="str">
        <f ca="1">""&amp;IFERROR(VLOOKUP(O1724,EMAILS!B:D,3,FALSE),"NOT FOUND IN EMAILS")</f>
        <v/>
      </c>
      <c r="R1724" t="str">
        <f ca="1">""&amp;IFERROR(VLOOKUP(O1724,EMAILS!B:E,4,FALSE),"NO T FOUND IN EMAILS")</f>
        <v/>
      </c>
    </row>
    <row r="1725" spans="2:18" x14ac:dyDescent="0.25">
      <c r="B1725" s="5" t="s">
        <v>1727</v>
      </c>
      <c r="C1725" s="5" t="s">
        <v>5867</v>
      </c>
      <c r="D1725" s="5">
        <v>0</v>
      </c>
      <c r="E1725" s="5">
        <v>0</v>
      </c>
      <c r="F1725" s="5">
        <v>0</v>
      </c>
      <c r="G1725" s="5">
        <v>0</v>
      </c>
      <c r="H1725" s="5">
        <v>0</v>
      </c>
      <c r="I1725" s="5">
        <v>0</v>
      </c>
      <c r="J1725" s="5">
        <v>0</v>
      </c>
      <c r="K1725" s="5">
        <v>0</v>
      </c>
      <c r="L1725" s="5">
        <v>0</v>
      </c>
      <c r="M1725" s="5">
        <v>0</v>
      </c>
      <c r="N1725" s="5">
        <v>25</v>
      </c>
      <c r="O1725" s="5" t="str">
        <f t="shared" ca="1" si="26"/>
        <v>Supplier 72</v>
      </c>
      <c r="P1725" s="20" t="str">
        <f ca="1">IFERROR(VLOOKUP(O1725,EMAILS!B:C,2,FALSE),"NOT FOUND IN EMAILS")</f>
        <v>supplier@gmail.com</v>
      </c>
      <c r="Q1725" t="str">
        <f ca="1">""&amp;IFERROR(VLOOKUP(O1725,EMAILS!B:D,3,FALSE),"NOT FOUND IN EMAILS")</f>
        <v/>
      </c>
      <c r="R1725" t="str">
        <f ca="1">""&amp;IFERROR(VLOOKUP(O1725,EMAILS!B:E,4,FALSE),"NO T FOUND IN EMAILS")</f>
        <v/>
      </c>
    </row>
    <row r="1726" spans="2:18" x14ac:dyDescent="0.25">
      <c r="B1726" s="5" t="s">
        <v>1728</v>
      </c>
      <c r="C1726" s="5" t="s">
        <v>5868</v>
      </c>
      <c r="D1726" s="5">
        <v>0</v>
      </c>
      <c r="E1726" s="5">
        <v>0</v>
      </c>
      <c r="F1726" s="5">
        <v>0</v>
      </c>
      <c r="G1726" s="5">
        <v>0</v>
      </c>
      <c r="H1726" s="5">
        <v>0</v>
      </c>
      <c r="I1726" s="5">
        <v>0</v>
      </c>
      <c r="J1726" s="5">
        <v>0</v>
      </c>
      <c r="K1726" s="5">
        <v>0</v>
      </c>
      <c r="L1726" s="5">
        <v>0</v>
      </c>
      <c r="M1726" s="5">
        <v>0</v>
      </c>
      <c r="N1726" s="5">
        <v>0</v>
      </c>
      <c r="O1726" s="5" t="str">
        <f t="shared" ca="1" si="26"/>
        <v>Supplier 144</v>
      </c>
      <c r="P1726" s="20" t="str">
        <f ca="1">IFERROR(VLOOKUP(O1726,EMAILS!B:C,2,FALSE),"NOT FOUND IN EMAILS")</f>
        <v>supplier@gmail.com</v>
      </c>
      <c r="Q1726" t="str">
        <f ca="1">""&amp;IFERROR(VLOOKUP(O1726,EMAILS!B:D,3,FALSE),"NOT FOUND IN EMAILS")</f>
        <v/>
      </c>
      <c r="R1726" t="str">
        <f ca="1">""&amp;IFERROR(VLOOKUP(O1726,EMAILS!B:E,4,FALSE),"NO T FOUND IN EMAILS")</f>
        <v/>
      </c>
    </row>
    <row r="1727" spans="2:18" x14ac:dyDescent="0.25">
      <c r="B1727" s="5" t="s">
        <v>1729</v>
      </c>
      <c r="C1727" s="5" t="s">
        <v>5869</v>
      </c>
      <c r="D1727" s="5">
        <v>0</v>
      </c>
      <c r="E1727" s="5">
        <v>0</v>
      </c>
      <c r="F1727" s="5">
        <v>0</v>
      </c>
      <c r="G1727" s="5">
        <v>50</v>
      </c>
      <c r="H1727" s="5">
        <v>0</v>
      </c>
      <c r="I1727" s="5">
        <v>0</v>
      </c>
      <c r="J1727" s="5">
        <v>0</v>
      </c>
      <c r="K1727" s="5">
        <v>0</v>
      </c>
      <c r="L1727" s="5">
        <v>0</v>
      </c>
      <c r="M1727" s="5">
        <v>0</v>
      </c>
      <c r="N1727" s="5">
        <v>12500</v>
      </c>
      <c r="O1727" s="5" t="str">
        <f t="shared" ca="1" si="26"/>
        <v>Supplier 115</v>
      </c>
      <c r="P1727" s="20" t="str">
        <f ca="1">IFERROR(VLOOKUP(O1727,EMAILS!B:C,2,FALSE),"NOT FOUND IN EMAILS")</f>
        <v>supplier@gmail.com</v>
      </c>
      <c r="Q1727" t="str">
        <f ca="1">""&amp;IFERROR(VLOOKUP(O1727,EMAILS!B:D,3,FALSE),"NOT FOUND IN EMAILS")</f>
        <v/>
      </c>
      <c r="R1727" t="str">
        <f ca="1">""&amp;IFERROR(VLOOKUP(O1727,EMAILS!B:E,4,FALSE),"NO T FOUND IN EMAILS")</f>
        <v/>
      </c>
    </row>
    <row r="1728" spans="2:18" x14ac:dyDescent="0.25">
      <c r="B1728" s="5" t="s">
        <v>1730</v>
      </c>
      <c r="C1728" s="5" t="s">
        <v>5870</v>
      </c>
      <c r="D1728" s="5">
        <v>0</v>
      </c>
      <c r="E1728" s="5">
        <v>0</v>
      </c>
      <c r="F1728" s="5">
        <v>0</v>
      </c>
      <c r="G1728" s="5">
        <v>0</v>
      </c>
      <c r="H1728" s="5">
        <v>0</v>
      </c>
      <c r="I1728" s="5">
        <v>0</v>
      </c>
      <c r="J1728" s="5">
        <v>0</v>
      </c>
      <c r="K1728" s="5">
        <v>0</v>
      </c>
      <c r="L1728" s="5">
        <v>0</v>
      </c>
      <c r="M1728" s="5">
        <v>0</v>
      </c>
      <c r="N1728" s="5">
        <v>2320</v>
      </c>
      <c r="O1728" s="5" t="str">
        <f t="shared" ca="1" si="26"/>
        <v>Supplier 71</v>
      </c>
      <c r="P1728" s="20" t="str">
        <f ca="1">IFERROR(VLOOKUP(O1728,EMAILS!B:C,2,FALSE),"NOT FOUND IN EMAILS")</f>
        <v>supplier@gmail.com</v>
      </c>
      <c r="Q1728" t="str">
        <f ca="1">""&amp;IFERROR(VLOOKUP(O1728,EMAILS!B:D,3,FALSE),"NOT FOUND IN EMAILS")</f>
        <v/>
      </c>
      <c r="R1728" t="str">
        <f ca="1">""&amp;IFERROR(VLOOKUP(O1728,EMAILS!B:E,4,FALSE),"NO T FOUND IN EMAILS")</f>
        <v/>
      </c>
    </row>
    <row r="1729" spans="2:18" x14ac:dyDescent="0.25">
      <c r="B1729" s="5" t="s">
        <v>1731</v>
      </c>
      <c r="C1729" s="5" t="s">
        <v>5871</v>
      </c>
      <c r="D1729" s="5">
        <v>0</v>
      </c>
      <c r="E1729" s="5">
        <v>0</v>
      </c>
      <c r="F1729" s="5">
        <v>0</v>
      </c>
      <c r="G1729" s="5">
        <v>0</v>
      </c>
      <c r="H1729" s="5">
        <v>0</v>
      </c>
      <c r="I1729" s="5">
        <v>0</v>
      </c>
      <c r="J1729" s="5">
        <v>0</v>
      </c>
      <c r="K1729" s="5">
        <v>0</v>
      </c>
      <c r="L1729" s="5">
        <v>0</v>
      </c>
      <c r="M1729" s="5">
        <v>0</v>
      </c>
      <c r="N1729" s="5">
        <v>5</v>
      </c>
      <c r="O1729" s="5" t="str">
        <f t="shared" ca="1" si="26"/>
        <v>Supplier 144</v>
      </c>
      <c r="P1729" s="20" t="str">
        <f ca="1">IFERROR(VLOOKUP(O1729,EMAILS!B:C,2,FALSE),"NOT FOUND IN EMAILS")</f>
        <v>supplier@gmail.com</v>
      </c>
      <c r="Q1729" t="str">
        <f ca="1">""&amp;IFERROR(VLOOKUP(O1729,EMAILS!B:D,3,FALSE),"NOT FOUND IN EMAILS")</f>
        <v/>
      </c>
      <c r="R1729" t="str">
        <f ca="1">""&amp;IFERROR(VLOOKUP(O1729,EMAILS!B:E,4,FALSE),"NO T FOUND IN EMAILS")</f>
        <v/>
      </c>
    </row>
    <row r="1730" spans="2:18" x14ac:dyDescent="0.25">
      <c r="B1730" s="5" t="s">
        <v>1732</v>
      </c>
      <c r="C1730" s="5" t="s">
        <v>5872</v>
      </c>
      <c r="D1730" s="5">
        <v>4</v>
      </c>
      <c r="E1730" s="5">
        <v>7</v>
      </c>
      <c r="F1730" s="5">
        <v>1</v>
      </c>
      <c r="G1730" s="5">
        <v>1</v>
      </c>
      <c r="H1730" s="5">
        <v>0</v>
      </c>
      <c r="I1730" s="5">
        <v>0</v>
      </c>
      <c r="J1730" s="5">
        <v>0</v>
      </c>
      <c r="K1730" s="5">
        <v>0</v>
      </c>
      <c r="L1730" s="5">
        <v>0</v>
      </c>
      <c r="M1730" s="5">
        <v>0</v>
      </c>
      <c r="N1730" s="5">
        <v>0</v>
      </c>
      <c r="O1730" s="5" t="str">
        <f t="shared" ca="1" si="26"/>
        <v>Supplier 172</v>
      </c>
      <c r="P1730" s="20" t="str">
        <f ca="1">IFERROR(VLOOKUP(O1730,EMAILS!B:C,2,FALSE),"NOT FOUND IN EMAILS")</f>
        <v>supplier@gmail.com</v>
      </c>
      <c r="Q1730" t="str">
        <f ca="1">""&amp;IFERROR(VLOOKUP(O1730,EMAILS!B:D,3,FALSE),"NOT FOUND IN EMAILS")</f>
        <v/>
      </c>
      <c r="R1730" t="str">
        <f ca="1">""&amp;IFERROR(VLOOKUP(O1730,EMAILS!B:E,4,FALSE),"NO T FOUND IN EMAILS")</f>
        <v/>
      </c>
    </row>
    <row r="1731" spans="2:18" x14ac:dyDescent="0.25">
      <c r="B1731" s="5" t="s">
        <v>1733</v>
      </c>
      <c r="C1731" s="5" t="s">
        <v>5873</v>
      </c>
      <c r="D1731" s="5">
        <v>50</v>
      </c>
      <c r="E1731" s="5">
        <v>55</v>
      </c>
      <c r="F1731" s="5">
        <v>70</v>
      </c>
      <c r="G1731" s="5">
        <v>70</v>
      </c>
      <c r="H1731" s="5">
        <v>50</v>
      </c>
      <c r="I1731" s="5">
        <v>85</v>
      </c>
      <c r="J1731" s="5">
        <v>60</v>
      </c>
      <c r="K1731" s="5">
        <v>50</v>
      </c>
      <c r="L1731" s="5">
        <v>50</v>
      </c>
      <c r="M1731" s="5">
        <v>0</v>
      </c>
      <c r="N1731" s="5">
        <v>1500</v>
      </c>
      <c r="O1731" s="5" t="str">
        <f t="shared" ref="O1731:O1794" ca="1" si="27">"Supplier "&amp;RANDBETWEEN(1,200)</f>
        <v>Supplier 179</v>
      </c>
      <c r="P1731" s="20" t="str">
        <f ca="1">IFERROR(VLOOKUP(O1731,EMAILS!B:C,2,FALSE),"NOT FOUND IN EMAILS")</f>
        <v>supplier@gmail.com</v>
      </c>
      <c r="Q1731" t="str">
        <f ca="1">""&amp;IFERROR(VLOOKUP(O1731,EMAILS!B:D,3,FALSE),"NOT FOUND IN EMAILS")</f>
        <v/>
      </c>
      <c r="R1731" t="str">
        <f ca="1">""&amp;IFERROR(VLOOKUP(O1731,EMAILS!B:E,4,FALSE),"NO T FOUND IN EMAILS")</f>
        <v/>
      </c>
    </row>
    <row r="1732" spans="2:18" x14ac:dyDescent="0.25">
      <c r="B1732" s="5" t="s">
        <v>1734</v>
      </c>
      <c r="C1732" s="5" t="s">
        <v>5874</v>
      </c>
      <c r="D1732" s="5">
        <v>50</v>
      </c>
      <c r="E1732" s="5">
        <v>55</v>
      </c>
      <c r="F1732" s="5">
        <v>70</v>
      </c>
      <c r="G1732" s="5">
        <v>70</v>
      </c>
      <c r="H1732" s="5">
        <v>50</v>
      </c>
      <c r="I1732" s="5">
        <v>85</v>
      </c>
      <c r="J1732" s="5">
        <v>60</v>
      </c>
      <c r="K1732" s="5">
        <v>50</v>
      </c>
      <c r="L1732" s="5">
        <v>50</v>
      </c>
      <c r="M1732" s="5">
        <v>0</v>
      </c>
      <c r="N1732" s="5">
        <v>0</v>
      </c>
      <c r="O1732" s="5" t="str">
        <f t="shared" ca="1" si="27"/>
        <v>Supplier 156</v>
      </c>
      <c r="P1732" s="20" t="str">
        <f ca="1">IFERROR(VLOOKUP(O1732,EMAILS!B:C,2,FALSE),"NOT FOUND IN EMAILS")</f>
        <v>supplier@gmail.com</v>
      </c>
      <c r="Q1732" t="str">
        <f ca="1">""&amp;IFERROR(VLOOKUP(O1732,EMAILS!B:D,3,FALSE),"NOT FOUND IN EMAILS")</f>
        <v/>
      </c>
      <c r="R1732" t="str">
        <f ca="1">""&amp;IFERROR(VLOOKUP(O1732,EMAILS!B:E,4,FALSE),"NO T FOUND IN EMAILS")</f>
        <v/>
      </c>
    </row>
    <row r="1733" spans="2:18" x14ac:dyDescent="0.25">
      <c r="B1733" s="5" t="s">
        <v>1735</v>
      </c>
      <c r="C1733" s="5" t="s">
        <v>5875</v>
      </c>
      <c r="D1733" s="5">
        <v>0</v>
      </c>
      <c r="E1733" s="5">
        <v>0</v>
      </c>
      <c r="F1733" s="5">
        <v>104</v>
      </c>
      <c r="G1733" s="5">
        <v>144</v>
      </c>
      <c r="H1733" s="5">
        <v>104</v>
      </c>
      <c r="I1733" s="5">
        <v>104</v>
      </c>
      <c r="J1733" s="5">
        <v>104</v>
      </c>
      <c r="K1733" s="5">
        <v>104</v>
      </c>
      <c r="L1733" s="5">
        <v>104</v>
      </c>
      <c r="M1733" s="5">
        <v>0</v>
      </c>
      <c r="N1733" s="5">
        <v>266</v>
      </c>
      <c r="O1733" s="5" t="str">
        <f t="shared" ca="1" si="27"/>
        <v>Supplier 8</v>
      </c>
      <c r="P1733" s="20" t="str">
        <f ca="1">IFERROR(VLOOKUP(O1733,EMAILS!B:C,2,FALSE),"NOT FOUND IN EMAILS")</f>
        <v>supplier@gmail.com</v>
      </c>
      <c r="Q1733" t="str">
        <f ca="1">""&amp;IFERROR(VLOOKUP(O1733,EMAILS!B:D,3,FALSE),"NOT FOUND IN EMAILS")</f>
        <v>supplier_logistics@gmail.com</v>
      </c>
      <c r="R1733" t="str">
        <f ca="1">""&amp;IFERROR(VLOOKUP(O1733,EMAILS!B:E,4,FALSE),"NO T FOUND IN EMAILS")</f>
        <v/>
      </c>
    </row>
    <row r="1734" spans="2:18" x14ac:dyDescent="0.25">
      <c r="B1734" s="5" t="s">
        <v>1736</v>
      </c>
      <c r="C1734" s="5" t="s">
        <v>5876</v>
      </c>
      <c r="D1734" s="5">
        <v>0</v>
      </c>
      <c r="E1734" s="5">
        <v>0</v>
      </c>
      <c r="F1734" s="5">
        <v>72</v>
      </c>
      <c r="G1734" s="5">
        <v>72</v>
      </c>
      <c r="H1734" s="5">
        <v>0</v>
      </c>
      <c r="I1734" s="5">
        <v>78</v>
      </c>
      <c r="J1734" s="5">
        <v>0</v>
      </c>
      <c r="K1734" s="5">
        <v>0</v>
      </c>
      <c r="L1734" s="5">
        <v>72</v>
      </c>
      <c r="M1734" s="5">
        <v>0</v>
      </c>
      <c r="N1734" s="5">
        <v>904</v>
      </c>
      <c r="O1734" s="5" t="str">
        <f t="shared" ca="1" si="27"/>
        <v>Supplier 181</v>
      </c>
      <c r="P1734" s="20" t="str">
        <f ca="1">IFERROR(VLOOKUP(O1734,EMAILS!B:C,2,FALSE),"NOT FOUND IN EMAILS")</f>
        <v>supplier@gmail.com</v>
      </c>
      <c r="Q1734" t="str">
        <f ca="1">""&amp;IFERROR(VLOOKUP(O1734,EMAILS!B:D,3,FALSE),"NOT FOUND IN EMAILS")</f>
        <v/>
      </c>
      <c r="R1734" t="str">
        <f ca="1">""&amp;IFERROR(VLOOKUP(O1734,EMAILS!B:E,4,FALSE),"NO T FOUND IN EMAILS")</f>
        <v/>
      </c>
    </row>
    <row r="1735" spans="2:18" x14ac:dyDescent="0.25">
      <c r="B1735" s="5" t="s">
        <v>1737</v>
      </c>
      <c r="C1735" s="5" t="s">
        <v>5877</v>
      </c>
      <c r="D1735" s="5">
        <v>825</v>
      </c>
      <c r="E1735" s="5">
        <v>738</v>
      </c>
      <c r="F1735" s="5">
        <v>950</v>
      </c>
      <c r="G1735" s="5">
        <v>880</v>
      </c>
      <c r="H1735" s="5">
        <v>930</v>
      </c>
      <c r="I1735" s="5">
        <v>990</v>
      </c>
      <c r="J1735" s="5">
        <v>630</v>
      </c>
      <c r="K1735" s="5">
        <v>620</v>
      </c>
      <c r="L1735" s="5">
        <v>720</v>
      </c>
      <c r="M1735" s="5">
        <v>0</v>
      </c>
      <c r="N1735" s="5">
        <v>0</v>
      </c>
      <c r="O1735" s="5" t="str">
        <f t="shared" ca="1" si="27"/>
        <v>Supplier 41</v>
      </c>
      <c r="P1735" s="20" t="str">
        <f ca="1">IFERROR(VLOOKUP(O1735,EMAILS!B:C,2,FALSE),"NOT FOUND IN EMAILS")</f>
        <v>supplier@gmail.com</v>
      </c>
      <c r="Q1735" t="str">
        <f ca="1">""&amp;IFERROR(VLOOKUP(O1735,EMAILS!B:D,3,FALSE),"NOT FOUND IN EMAILS")</f>
        <v/>
      </c>
      <c r="R1735" t="str">
        <f ca="1">""&amp;IFERROR(VLOOKUP(O1735,EMAILS!B:E,4,FALSE),"NO T FOUND IN EMAILS")</f>
        <v/>
      </c>
    </row>
    <row r="1736" spans="2:18" x14ac:dyDescent="0.25">
      <c r="B1736" s="5" t="s">
        <v>1738</v>
      </c>
      <c r="C1736" s="5" t="s">
        <v>5878</v>
      </c>
      <c r="D1736" s="5">
        <v>2687</v>
      </c>
      <c r="E1736" s="5">
        <v>2496</v>
      </c>
      <c r="F1736" s="5">
        <v>2964</v>
      </c>
      <c r="G1736" s="5">
        <v>3052</v>
      </c>
      <c r="H1736" s="5">
        <v>2946</v>
      </c>
      <c r="I1736" s="5">
        <v>3152</v>
      </c>
      <c r="J1736" s="5">
        <v>2018</v>
      </c>
      <c r="K1736" s="5">
        <v>1932</v>
      </c>
      <c r="L1736" s="5">
        <v>2416</v>
      </c>
      <c r="M1736" s="5">
        <v>0</v>
      </c>
      <c r="N1736" s="5">
        <v>0</v>
      </c>
      <c r="O1736" s="5" t="str">
        <f t="shared" ca="1" si="27"/>
        <v>Supplier 102</v>
      </c>
      <c r="P1736" s="20" t="str">
        <f ca="1">IFERROR(VLOOKUP(O1736,EMAILS!B:C,2,FALSE),"NOT FOUND IN EMAILS")</f>
        <v>supplier@gmail.com</v>
      </c>
      <c r="Q1736" t="str">
        <f ca="1">""&amp;IFERROR(VLOOKUP(O1736,EMAILS!B:D,3,FALSE),"NOT FOUND IN EMAILS")</f>
        <v/>
      </c>
      <c r="R1736" t="str">
        <f ca="1">""&amp;IFERROR(VLOOKUP(O1736,EMAILS!B:E,4,FALSE),"NO T FOUND IN EMAILS")</f>
        <v/>
      </c>
    </row>
    <row r="1737" spans="2:18" x14ac:dyDescent="0.25">
      <c r="B1737" s="5" t="s">
        <v>1739</v>
      </c>
      <c r="C1737" s="5" t="s">
        <v>5879</v>
      </c>
      <c r="D1737" s="5">
        <v>0</v>
      </c>
      <c r="E1737" s="5">
        <v>0</v>
      </c>
      <c r="F1737" s="5">
        <v>0</v>
      </c>
      <c r="G1737" s="5">
        <v>10</v>
      </c>
      <c r="H1737" s="5">
        <v>0</v>
      </c>
      <c r="I1737" s="5">
        <v>0</v>
      </c>
      <c r="J1737" s="5">
        <v>0</v>
      </c>
      <c r="K1737" s="5">
        <v>0</v>
      </c>
      <c r="L1737" s="5">
        <v>0</v>
      </c>
      <c r="M1737" s="5">
        <v>0</v>
      </c>
      <c r="N1737" s="5">
        <v>0</v>
      </c>
      <c r="O1737" s="5" t="str">
        <f t="shared" ca="1" si="27"/>
        <v>Supplier 142</v>
      </c>
      <c r="P1737" s="20" t="str">
        <f ca="1">IFERROR(VLOOKUP(O1737,EMAILS!B:C,2,FALSE),"NOT FOUND IN EMAILS")</f>
        <v>supplier@gmail.com</v>
      </c>
      <c r="Q1737" t="str">
        <f ca="1">""&amp;IFERROR(VLOOKUP(O1737,EMAILS!B:D,3,FALSE),"NOT FOUND IN EMAILS")</f>
        <v/>
      </c>
      <c r="R1737" t="str">
        <f ca="1">""&amp;IFERROR(VLOOKUP(O1737,EMAILS!B:E,4,FALSE),"NO T FOUND IN EMAILS")</f>
        <v/>
      </c>
    </row>
    <row r="1738" spans="2:18" x14ac:dyDescent="0.25">
      <c r="B1738" s="5" t="s">
        <v>1740</v>
      </c>
      <c r="C1738" s="5" t="s">
        <v>5880</v>
      </c>
      <c r="D1738" s="5">
        <v>0</v>
      </c>
      <c r="E1738" s="5">
        <v>0</v>
      </c>
      <c r="F1738" s="5">
        <v>0</v>
      </c>
      <c r="G1738" s="5">
        <v>30</v>
      </c>
      <c r="H1738" s="5">
        <v>0</v>
      </c>
      <c r="I1738" s="5">
        <v>0</v>
      </c>
      <c r="J1738" s="5">
        <v>0</v>
      </c>
      <c r="K1738" s="5">
        <v>0</v>
      </c>
      <c r="L1738" s="5">
        <v>0</v>
      </c>
      <c r="M1738" s="5">
        <v>0</v>
      </c>
      <c r="N1738" s="5">
        <v>43</v>
      </c>
      <c r="O1738" s="5" t="str">
        <f t="shared" ca="1" si="27"/>
        <v>Supplier 73</v>
      </c>
      <c r="P1738" s="20" t="str">
        <f ca="1">IFERROR(VLOOKUP(O1738,EMAILS!B:C,2,FALSE),"NOT FOUND IN EMAILS")</f>
        <v>supplier@gmail.com</v>
      </c>
      <c r="Q1738" t="str">
        <f ca="1">""&amp;IFERROR(VLOOKUP(O1738,EMAILS!B:D,3,FALSE),"NOT FOUND IN EMAILS")</f>
        <v/>
      </c>
      <c r="R1738" t="str">
        <f ca="1">""&amp;IFERROR(VLOOKUP(O1738,EMAILS!B:E,4,FALSE),"NO T FOUND IN EMAILS")</f>
        <v/>
      </c>
    </row>
    <row r="1739" spans="2:18" x14ac:dyDescent="0.25">
      <c r="B1739" s="5" t="s">
        <v>1741</v>
      </c>
      <c r="C1739" s="5" t="s">
        <v>5881</v>
      </c>
      <c r="D1739" s="5">
        <v>10</v>
      </c>
      <c r="E1739" s="5">
        <v>0</v>
      </c>
      <c r="F1739" s="5">
        <v>10</v>
      </c>
      <c r="G1739" s="5">
        <v>10</v>
      </c>
      <c r="H1739" s="5">
        <v>0</v>
      </c>
      <c r="I1739" s="5">
        <v>0</v>
      </c>
      <c r="J1739" s="5">
        <v>0</v>
      </c>
      <c r="K1739" s="5">
        <v>0</v>
      </c>
      <c r="L1739" s="5">
        <v>0</v>
      </c>
      <c r="M1739" s="5">
        <v>0</v>
      </c>
      <c r="N1739" s="5">
        <v>200</v>
      </c>
      <c r="O1739" s="5" t="str">
        <f t="shared" ca="1" si="27"/>
        <v>Supplier 115</v>
      </c>
      <c r="P1739" s="20" t="str">
        <f ca="1">IFERROR(VLOOKUP(O1739,EMAILS!B:C,2,FALSE),"NOT FOUND IN EMAILS")</f>
        <v>supplier@gmail.com</v>
      </c>
      <c r="Q1739" t="str">
        <f ca="1">""&amp;IFERROR(VLOOKUP(O1739,EMAILS!B:D,3,FALSE),"NOT FOUND IN EMAILS")</f>
        <v/>
      </c>
      <c r="R1739" t="str">
        <f ca="1">""&amp;IFERROR(VLOOKUP(O1739,EMAILS!B:E,4,FALSE),"NO T FOUND IN EMAILS")</f>
        <v/>
      </c>
    </row>
    <row r="1740" spans="2:18" x14ac:dyDescent="0.25">
      <c r="B1740" s="5" t="s">
        <v>1742</v>
      </c>
      <c r="C1740" s="5" t="s">
        <v>5882</v>
      </c>
      <c r="D1740" s="5">
        <v>1080</v>
      </c>
      <c r="E1740" s="5">
        <v>440</v>
      </c>
      <c r="F1740" s="5">
        <v>2560</v>
      </c>
      <c r="G1740" s="5">
        <v>3344</v>
      </c>
      <c r="H1740" s="5">
        <v>3280</v>
      </c>
      <c r="I1740" s="5">
        <v>832</v>
      </c>
      <c r="J1740" s="5">
        <v>640</v>
      </c>
      <c r="K1740" s="5">
        <v>340</v>
      </c>
      <c r="L1740" s="5">
        <v>880</v>
      </c>
      <c r="M1740" s="5">
        <v>0</v>
      </c>
      <c r="N1740" s="5">
        <v>200</v>
      </c>
      <c r="O1740" s="5" t="str">
        <f t="shared" ca="1" si="27"/>
        <v>Supplier 164</v>
      </c>
      <c r="P1740" s="20" t="str">
        <f ca="1">IFERROR(VLOOKUP(O1740,EMAILS!B:C,2,FALSE),"NOT FOUND IN EMAILS")</f>
        <v>supplier@gmail.com</v>
      </c>
      <c r="Q1740" t="str">
        <f ca="1">""&amp;IFERROR(VLOOKUP(O1740,EMAILS!B:D,3,FALSE),"NOT FOUND IN EMAILS")</f>
        <v/>
      </c>
      <c r="R1740" t="str">
        <f ca="1">""&amp;IFERROR(VLOOKUP(O1740,EMAILS!B:E,4,FALSE),"NO T FOUND IN EMAILS")</f>
        <v/>
      </c>
    </row>
    <row r="1741" spans="2:18" x14ac:dyDescent="0.25">
      <c r="B1741" s="5" t="s">
        <v>1743</v>
      </c>
      <c r="C1741" s="5" t="s">
        <v>5883</v>
      </c>
      <c r="D1741" s="5">
        <v>50</v>
      </c>
      <c r="E1741" s="5">
        <v>50</v>
      </c>
      <c r="F1741" s="5">
        <v>100</v>
      </c>
      <c r="G1741" s="5">
        <v>60</v>
      </c>
      <c r="H1741" s="5">
        <v>55</v>
      </c>
      <c r="I1741" s="5">
        <v>60</v>
      </c>
      <c r="J1741" s="5">
        <v>30</v>
      </c>
      <c r="K1741" s="5">
        <v>20</v>
      </c>
      <c r="L1741" s="5">
        <v>70</v>
      </c>
      <c r="M1741" s="5">
        <v>0</v>
      </c>
      <c r="N1741" s="5">
        <v>0</v>
      </c>
      <c r="O1741" s="5" t="str">
        <f t="shared" ca="1" si="27"/>
        <v>Supplier 163</v>
      </c>
      <c r="P1741" s="20" t="str">
        <f ca="1">IFERROR(VLOOKUP(O1741,EMAILS!B:C,2,FALSE),"NOT FOUND IN EMAILS")</f>
        <v>supplier@gmail.com</v>
      </c>
      <c r="Q1741" t="str">
        <f ca="1">""&amp;IFERROR(VLOOKUP(O1741,EMAILS!B:D,3,FALSE),"NOT FOUND IN EMAILS")</f>
        <v/>
      </c>
      <c r="R1741" t="str">
        <f ca="1">""&amp;IFERROR(VLOOKUP(O1741,EMAILS!B:E,4,FALSE),"NO T FOUND IN EMAILS")</f>
        <v/>
      </c>
    </row>
    <row r="1742" spans="2:18" x14ac:dyDescent="0.25">
      <c r="B1742" s="5" t="s">
        <v>1744</v>
      </c>
      <c r="C1742" s="5" t="s">
        <v>5884</v>
      </c>
      <c r="D1742" s="5">
        <v>10</v>
      </c>
      <c r="E1742" s="5">
        <v>20</v>
      </c>
      <c r="F1742" s="5">
        <v>35</v>
      </c>
      <c r="G1742" s="5">
        <v>20</v>
      </c>
      <c r="H1742" s="5">
        <v>25</v>
      </c>
      <c r="I1742" s="5">
        <v>20</v>
      </c>
      <c r="J1742" s="5">
        <v>0</v>
      </c>
      <c r="K1742" s="5">
        <v>10</v>
      </c>
      <c r="L1742" s="5">
        <v>20</v>
      </c>
      <c r="M1742" s="5">
        <v>0</v>
      </c>
      <c r="N1742" s="5">
        <v>0</v>
      </c>
      <c r="O1742" s="5" t="str">
        <f t="shared" ca="1" si="27"/>
        <v>Supplier 177</v>
      </c>
      <c r="P1742" s="20" t="str">
        <f ca="1">IFERROR(VLOOKUP(O1742,EMAILS!B:C,2,FALSE),"NOT FOUND IN EMAILS")</f>
        <v>supplier@gmail.com</v>
      </c>
      <c r="Q1742" t="str">
        <f ca="1">""&amp;IFERROR(VLOOKUP(O1742,EMAILS!B:D,3,FALSE),"NOT FOUND IN EMAILS")</f>
        <v/>
      </c>
      <c r="R1742" t="str">
        <f ca="1">""&amp;IFERROR(VLOOKUP(O1742,EMAILS!B:E,4,FALSE),"NO T FOUND IN EMAILS")</f>
        <v/>
      </c>
    </row>
    <row r="1743" spans="2:18" x14ac:dyDescent="0.25">
      <c r="B1743" s="5" t="s">
        <v>1745</v>
      </c>
      <c r="C1743" s="5" t="s">
        <v>5885</v>
      </c>
      <c r="D1743" s="5">
        <v>40</v>
      </c>
      <c r="E1743" s="5">
        <v>30</v>
      </c>
      <c r="F1743" s="5">
        <v>65</v>
      </c>
      <c r="G1743" s="5">
        <v>40</v>
      </c>
      <c r="H1743" s="5">
        <v>30</v>
      </c>
      <c r="I1743" s="5">
        <v>40</v>
      </c>
      <c r="J1743" s="5">
        <v>30</v>
      </c>
      <c r="K1743" s="5">
        <v>10</v>
      </c>
      <c r="L1743" s="5">
        <v>50</v>
      </c>
      <c r="M1743" s="5">
        <v>0</v>
      </c>
      <c r="N1743" s="5">
        <v>0</v>
      </c>
      <c r="O1743" s="5" t="str">
        <f t="shared" ca="1" si="27"/>
        <v>Supplier 114</v>
      </c>
      <c r="P1743" s="20" t="str">
        <f ca="1">IFERROR(VLOOKUP(O1743,EMAILS!B:C,2,FALSE),"NOT FOUND IN EMAILS")</f>
        <v>supplier@gmail.com</v>
      </c>
      <c r="Q1743" t="str">
        <f ca="1">""&amp;IFERROR(VLOOKUP(O1743,EMAILS!B:D,3,FALSE),"NOT FOUND IN EMAILS")</f>
        <v/>
      </c>
      <c r="R1743" t="str">
        <f ca="1">""&amp;IFERROR(VLOOKUP(O1743,EMAILS!B:E,4,FALSE),"NO T FOUND IN EMAILS")</f>
        <v/>
      </c>
    </row>
    <row r="1744" spans="2:18" x14ac:dyDescent="0.25">
      <c r="B1744" s="5" t="s">
        <v>1746</v>
      </c>
      <c r="C1744" s="5" t="s">
        <v>5886</v>
      </c>
      <c r="D1744" s="5">
        <v>5684</v>
      </c>
      <c r="E1744" s="5">
        <v>4160</v>
      </c>
      <c r="F1744" s="5">
        <v>5284</v>
      </c>
      <c r="G1744" s="5">
        <v>5320</v>
      </c>
      <c r="H1744" s="5">
        <v>5684</v>
      </c>
      <c r="I1744" s="5">
        <v>5492</v>
      </c>
      <c r="J1744" s="5">
        <v>4852</v>
      </c>
      <c r="K1744" s="5">
        <v>5092</v>
      </c>
      <c r="L1744" s="5">
        <v>4452</v>
      </c>
      <c r="M1744" s="5">
        <v>0</v>
      </c>
      <c r="N1744" s="5">
        <v>660</v>
      </c>
      <c r="O1744" s="5" t="str">
        <f t="shared" ca="1" si="27"/>
        <v>Supplier 124</v>
      </c>
      <c r="P1744" s="20" t="str">
        <f ca="1">IFERROR(VLOOKUP(O1744,EMAILS!B:C,2,FALSE),"NOT FOUND IN EMAILS")</f>
        <v>supplier@gmail.com</v>
      </c>
      <c r="Q1744" t="str">
        <f ca="1">""&amp;IFERROR(VLOOKUP(O1744,EMAILS!B:D,3,FALSE),"NOT FOUND IN EMAILS")</f>
        <v/>
      </c>
      <c r="R1744" t="str">
        <f ca="1">""&amp;IFERROR(VLOOKUP(O1744,EMAILS!B:E,4,FALSE),"NO T FOUND IN EMAILS")</f>
        <v/>
      </c>
    </row>
    <row r="1745" spans="2:18" x14ac:dyDescent="0.25">
      <c r="B1745" s="5" t="s">
        <v>1747</v>
      </c>
      <c r="C1745" s="5" t="s">
        <v>5887</v>
      </c>
      <c r="D1745" s="5">
        <v>0</v>
      </c>
      <c r="E1745" s="5">
        <v>360</v>
      </c>
      <c r="F1745" s="5">
        <v>0</v>
      </c>
      <c r="G1745" s="5">
        <v>0</v>
      </c>
      <c r="H1745" s="5">
        <v>240</v>
      </c>
      <c r="I1745" s="5">
        <v>120</v>
      </c>
      <c r="J1745" s="5">
        <v>60</v>
      </c>
      <c r="K1745" s="5">
        <v>0</v>
      </c>
      <c r="L1745" s="5">
        <v>240</v>
      </c>
      <c r="M1745" s="5">
        <v>0</v>
      </c>
      <c r="N1745" s="5">
        <v>18000</v>
      </c>
      <c r="O1745" s="5" t="str">
        <f t="shared" ca="1" si="27"/>
        <v>Supplier 173</v>
      </c>
      <c r="P1745" s="20" t="str">
        <f ca="1">IFERROR(VLOOKUP(O1745,EMAILS!B:C,2,FALSE),"NOT FOUND IN EMAILS")</f>
        <v>supplier@gmail.com</v>
      </c>
      <c r="Q1745" t="str">
        <f ca="1">""&amp;IFERROR(VLOOKUP(O1745,EMAILS!B:D,3,FALSE),"NOT FOUND IN EMAILS")</f>
        <v/>
      </c>
      <c r="R1745" t="str">
        <f ca="1">""&amp;IFERROR(VLOOKUP(O1745,EMAILS!B:E,4,FALSE),"NO T FOUND IN EMAILS")</f>
        <v/>
      </c>
    </row>
    <row r="1746" spans="2:18" x14ac:dyDescent="0.25">
      <c r="B1746" s="5" t="s">
        <v>1748</v>
      </c>
      <c r="C1746" s="5" t="s">
        <v>5888</v>
      </c>
      <c r="D1746" s="5">
        <v>0</v>
      </c>
      <c r="E1746" s="5">
        <v>0</v>
      </c>
      <c r="F1746" s="5">
        <v>0</v>
      </c>
      <c r="G1746" s="5">
        <v>0</v>
      </c>
      <c r="H1746" s="5">
        <v>0</v>
      </c>
      <c r="I1746" s="5">
        <v>0</v>
      </c>
      <c r="J1746" s="5">
        <v>0</v>
      </c>
      <c r="K1746" s="5">
        <v>0</v>
      </c>
      <c r="L1746" s="5">
        <v>0</v>
      </c>
      <c r="M1746" s="5">
        <v>0</v>
      </c>
      <c r="N1746" s="5">
        <v>139</v>
      </c>
      <c r="O1746" s="5" t="str">
        <f t="shared" ca="1" si="27"/>
        <v>Supplier 67</v>
      </c>
      <c r="P1746" s="20" t="str">
        <f ca="1">IFERROR(VLOOKUP(O1746,EMAILS!B:C,2,FALSE),"NOT FOUND IN EMAILS")</f>
        <v>supplier@gmail.com</v>
      </c>
      <c r="Q1746" t="str">
        <f ca="1">""&amp;IFERROR(VLOOKUP(O1746,EMAILS!B:D,3,FALSE),"NOT FOUND IN EMAILS")</f>
        <v/>
      </c>
      <c r="R1746" t="str">
        <f ca="1">""&amp;IFERROR(VLOOKUP(O1746,EMAILS!B:E,4,FALSE),"NO T FOUND IN EMAILS")</f>
        <v/>
      </c>
    </row>
    <row r="1747" spans="2:18" x14ac:dyDescent="0.25">
      <c r="B1747" s="5" t="s">
        <v>1749</v>
      </c>
      <c r="C1747" s="5" t="s">
        <v>5889</v>
      </c>
      <c r="D1747" s="5">
        <v>12088</v>
      </c>
      <c r="E1747" s="5">
        <v>8344</v>
      </c>
      <c r="F1747" s="5">
        <v>11920</v>
      </c>
      <c r="G1747" s="5">
        <v>13856</v>
      </c>
      <c r="H1747" s="5">
        <v>12660</v>
      </c>
      <c r="I1747" s="5">
        <v>11244</v>
      </c>
      <c r="J1747" s="5">
        <v>9400</v>
      </c>
      <c r="K1747" s="5">
        <v>8488</v>
      </c>
      <c r="L1747" s="5">
        <v>9512</v>
      </c>
      <c r="M1747" s="5">
        <v>0</v>
      </c>
      <c r="N1747" s="5">
        <v>44</v>
      </c>
      <c r="O1747" s="5" t="str">
        <f t="shared" ca="1" si="27"/>
        <v>Supplier 169</v>
      </c>
      <c r="P1747" s="20" t="str">
        <f ca="1">IFERROR(VLOOKUP(O1747,EMAILS!B:C,2,FALSE),"NOT FOUND IN EMAILS")</f>
        <v>supplier@gmail.com</v>
      </c>
      <c r="Q1747" t="str">
        <f ca="1">""&amp;IFERROR(VLOOKUP(O1747,EMAILS!B:D,3,FALSE),"NOT FOUND IN EMAILS")</f>
        <v/>
      </c>
      <c r="R1747" t="str">
        <f ca="1">""&amp;IFERROR(VLOOKUP(O1747,EMAILS!B:E,4,FALSE),"NO T FOUND IN EMAILS")</f>
        <v/>
      </c>
    </row>
    <row r="1748" spans="2:18" x14ac:dyDescent="0.25">
      <c r="B1748" s="5" t="s">
        <v>1750</v>
      </c>
      <c r="C1748" s="5" t="s">
        <v>5890</v>
      </c>
      <c r="D1748" s="5">
        <v>3888</v>
      </c>
      <c r="E1748" s="5">
        <v>2876</v>
      </c>
      <c r="F1748" s="5">
        <v>5368</v>
      </c>
      <c r="G1748" s="5">
        <v>6152</v>
      </c>
      <c r="H1748" s="5">
        <v>6088</v>
      </c>
      <c r="I1748" s="5">
        <v>3640</v>
      </c>
      <c r="J1748" s="5">
        <v>2800</v>
      </c>
      <c r="K1748" s="5">
        <v>3344</v>
      </c>
      <c r="L1748" s="5">
        <v>3708</v>
      </c>
      <c r="M1748" s="5">
        <v>0</v>
      </c>
      <c r="N1748" s="5">
        <v>0</v>
      </c>
      <c r="O1748" s="5" t="str">
        <f t="shared" ca="1" si="27"/>
        <v>Supplier 1</v>
      </c>
      <c r="P1748" s="20" t="str">
        <f ca="1">IFERROR(VLOOKUP(O1748,EMAILS!B:C,2,FALSE),"NOT FOUND IN EMAILS")</f>
        <v>supplier@gmail.com</v>
      </c>
      <c r="Q1748" t="str">
        <f ca="1">""&amp;IFERROR(VLOOKUP(O1748,EMAILS!B:D,3,FALSE),"NOT FOUND IN EMAILS")</f>
        <v>supplier_logistics@gmail.com</v>
      </c>
      <c r="R1748" t="str">
        <f ca="1">""&amp;IFERROR(VLOOKUP(O1748,EMAILS!B:E,4,FALSE),"NO T FOUND IN EMAILS")</f>
        <v/>
      </c>
    </row>
    <row r="1749" spans="2:18" x14ac:dyDescent="0.25">
      <c r="B1749" s="5" t="s">
        <v>1751</v>
      </c>
      <c r="C1749" s="5" t="s">
        <v>5891</v>
      </c>
      <c r="D1749" s="5">
        <v>0</v>
      </c>
      <c r="E1749" s="5">
        <v>0</v>
      </c>
      <c r="F1749" s="5">
        <v>0</v>
      </c>
      <c r="G1749" s="5">
        <v>0</v>
      </c>
      <c r="H1749" s="5">
        <v>0</v>
      </c>
      <c r="I1749" s="5">
        <v>0</v>
      </c>
      <c r="J1749" s="5">
        <v>0</v>
      </c>
      <c r="K1749" s="5">
        <v>0</v>
      </c>
      <c r="L1749" s="5">
        <v>0</v>
      </c>
      <c r="M1749" s="5">
        <v>0</v>
      </c>
      <c r="N1749" s="5">
        <v>0</v>
      </c>
      <c r="O1749" s="5" t="str">
        <f t="shared" ca="1" si="27"/>
        <v>Supplier 196</v>
      </c>
      <c r="P1749" s="20" t="str">
        <f ca="1">IFERROR(VLOOKUP(O1749,EMAILS!B:C,2,FALSE),"NOT FOUND IN EMAILS")</f>
        <v>supplier@gmail.com</v>
      </c>
      <c r="Q1749" t="str">
        <f ca="1">""&amp;IFERROR(VLOOKUP(O1749,EMAILS!B:D,3,FALSE),"NOT FOUND IN EMAILS")</f>
        <v/>
      </c>
      <c r="R1749" t="str">
        <f ca="1">""&amp;IFERROR(VLOOKUP(O1749,EMAILS!B:E,4,FALSE),"NO T FOUND IN EMAILS")</f>
        <v/>
      </c>
    </row>
    <row r="1750" spans="2:18" x14ac:dyDescent="0.25">
      <c r="B1750" s="5" t="s">
        <v>1752</v>
      </c>
      <c r="C1750" s="5" t="s">
        <v>5892</v>
      </c>
      <c r="D1750" s="5">
        <v>0</v>
      </c>
      <c r="E1750" s="5">
        <v>0</v>
      </c>
      <c r="F1750" s="5">
        <v>0</v>
      </c>
      <c r="G1750" s="5">
        <v>0</v>
      </c>
      <c r="H1750" s="5">
        <v>0</v>
      </c>
      <c r="I1750" s="5">
        <v>0</v>
      </c>
      <c r="J1750" s="5">
        <v>0</v>
      </c>
      <c r="K1750" s="5">
        <v>0</v>
      </c>
      <c r="L1750" s="5">
        <v>0</v>
      </c>
      <c r="M1750" s="5">
        <v>0</v>
      </c>
      <c r="N1750" s="5">
        <v>1000</v>
      </c>
      <c r="O1750" s="5" t="str">
        <f t="shared" ca="1" si="27"/>
        <v>Supplier 114</v>
      </c>
      <c r="P1750" s="20" t="str">
        <f ca="1">IFERROR(VLOOKUP(O1750,EMAILS!B:C,2,FALSE),"NOT FOUND IN EMAILS")</f>
        <v>supplier@gmail.com</v>
      </c>
      <c r="Q1750" t="str">
        <f ca="1">""&amp;IFERROR(VLOOKUP(O1750,EMAILS!B:D,3,FALSE),"NOT FOUND IN EMAILS")</f>
        <v/>
      </c>
      <c r="R1750" t="str">
        <f ca="1">""&amp;IFERROR(VLOOKUP(O1750,EMAILS!B:E,4,FALSE),"NO T FOUND IN EMAILS")</f>
        <v/>
      </c>
    </row>
    <row r="1751" spans="2:18" x14ac:dyDescent="0.25">
      <c r="B1751" s="5" t="s">
        <v>1753</v>
      </c>
      <c r="C1751" s="5" t="s">
        <v>5893</v>
      </c>
      <c r="D1751" s="5">
        <v>6229</v>
      </c>
      <c r="E1751" s="5">
        <v>4572</v>
      </c>
      <c r="F1751" s="5">
        <v>6290</v>
      </c>
      <c r="G1751" s="5">
        <v>7128</v>
      </c>
      <c r="H1751" s="5">
        <v>6672</v>
      </c>
      <c r="I1751" s="5">
        <v>6082</v>
      </c>
      <c r="J1751" s="5">
        <v>4890</v>
      </c>
      <c r="K1751" s="5">
        <v>4604</v>
      </c>
      <c r="L1751" s="5">
        <v>4936</v>
      </c>
      <c r="M1751" s="5">
        <v>0</v>
      </c>
      <c r="N1751" s="5">
        <v>47</v>
      </c>
      <c r="O1751" s="5" t="str">
        <f t="shared" ca="1" si="27"/>
        <v>Supplier 49</v>
      </c>
      <c r="P1751" s="20" t="str">
        <f ca="1">IFERROR(VLOOKUP(O1751,EMAILS!B:C,2,FALSE),"NOT FOUND IN EMAILS")</f>
        <v>supplier@gmail.com</v>
      </c>
      <c r="Q1751" t="str">
        <f ca="1">""&amp;IFERROR(VLOOKUP(O1751,EMAILS!B:D,3,FALSE),"NOT FOUND IN EMAILS")</f>
        <v/>
      </c>
      <c r="R1751" t="str">
        <f ca="1">""&amp;IFERROR(VLOOKUP(O1751,EMAILS!B:E,4,FALSE),"NO T FOUND IN EMAILS")</f>
        <v/>
      </c>
    </row>
    <row r="1752" spans="2:18" x14ac:dyDescent="0.25">
      <c r="B1752" s="5" t="s">
        <v>1754</v>
      </c>
      <c r="C1752" s="5" t="s">
        <v>5894</v>
      </c>
      <c r="D1752" s="5">
        <v>0</v>
      </c>
      <c r="E1752" s="5">
        <v>0</v>
      </c>
      <c r="F1752" s="5">
        <v>0</v>
      </c>
      <c r="G1752" s="5">
        <v>10</v>
      </c>
      <c r="H1752" s="5">
        <v>0</v>
      </c>
      <c r="I1752" s="5">
        <v>0</v>
      </c>
      <c r="J1752" s="5">
        <v>0</v>
      </c>
      <c r="K1752" s="5">
        <v>0</v>
      </c>
      <c r="L1752" s="5">
        <v>0</v>
      </c>
      <c r="M1752" s="5">
        <v>0</v>
      </c>
      <c r="N1752" s="5">
        <v>400</v>
      </c>
      <c r="O1752" s="5" t="str">
        <f t="shared" ca="1" si="27"/>
        <v>Supplier 59</v>
      </c>
      <c r="P1752" s="20" t="str">
        <f ca="1">IFERROR(VLOOKUP(O1752,EMAILS!B:C,2,FALSE),"NOT FOUND IN EMAILS")</f>
        <v>supplier@gmail.com</v>
      </c>
      <c r="Q1752" t="str">
        <f ca="1">""&amp;IFERROR(VLOOKUP(O1752,EMAILS!B:D,3,FALSE),"NOT FOUND IN EMAILS")</f>
        <v/>
      </c>
      <c r="R1752" t="str">
        <f ca="1">""&amp;IFERROR(VLOOKUP(O1752,EMAILS!B:E,4,FALSE),"NO T FOUND IN EMAILS")</f>
        <v/>
      </c>
    </row>
    <row r="1753" spans="2:18" x14ac:dyDescent="0.25">
      <c r="B1753" s="5" t="s">
        <v>1755</v>
      </c>
      <c r="C1753" s="5" t="s">
        <v>5895</v>
      </c>
      <c r="D1753" s="5">
        <v>50</v>
      </c>
      <c r="E1753" s="5">
        <v>50</v>
      </c>
      <c r="F1753" s="5">
        <v>100</v>
      </c>
      <c r="G1753" s="5">
        <v>50</v>
      </c>
      <c r="H1753" s="5">
        <v>55</v>
      </c>
      <c r="I1753" s="5">
        <v>60</v>
      </c>
      <c r="J1753" s="5">
        <v>30</v>
      </c>
      <c r="K1753" s="5">
        <v>20</v>
      </c>
      <c r="L1753" s="5">
        <v>70</v>
      </c>
      <c r="M1753" s="5">
        <v>0</v>
      </c>
      <c r="N1753" s="5">
        <v>800</v>
      </c>
      <c r="O1753" s="5" t="str">
        <f t="shared" ca="1" si="27"/>
        <v>Supplier 189</v>
      </c>
      <c r="P1753" s="20" t="str">
        <f ca="1">IFERROR(VLOOKUP(O1753,EMAILS!B:C,2,FALSE),"NOT FOUND IN EMAILS")</f>
        <v>supplier@gmail.com</v>
      </c>
      <c r="Q1753" t="str">
        <f ca="1">""&amp;IFERROR(VLOOKUP(O1753,EMAILS!B:D,3,FALSE),"NOT FOUND IN EMAILS")</f>
        <v/>
      </c>
      <c r="R1753" t="str">
        <f ca="1">""&amp;IFERROR(VLOOKUP(O1753,EMAILS!B:E,4,FALSE),"NO T FOUND IN EMAILS")</f>
        <v/>
      </c>
    </row>
    <row r="1754" spans="2:18" x14ac:dyDescent="0.25">
      <c r="B1754" s="5" t="s">
        <v>1756</v>
      </c>
      <c r="C1754" s="5" t="s">
        <v>5896</v>
      </c>
      <c r="D1754" s="5">
        <v>700</v>
      </c>
      <c r="E1754" s="5">
        <v>600</v>
      </c>
      <c r="F1754" s="5">
        <v>730</v>
      </c>
      <c r="G1754" s="5">
        <v>700</v>
      </c>
      <c r="H1754" s="5">
        <v>800</v>
      </c>
      <c r="I1754" s="5">
        <v>800</v>
      </c>
      <c r="J1754" s="5">
        <v>500</v>
      </c>
      <c r="K1754" s="5">
        <v>500</v>
      </c>
      <c r="L1754" s="5">
        <v>600</v>
      </c>
      <c r="M1754" s="5">
        <v>0</v>
      </c>
      <c r="N1754" s="5">
        <v>150</v>
      </c>
      <c r="O1754" s="5" t="str">
        <f t="shared" ca="1" si="27"/>
        <v>Supplier 159</v>
      </c>
      <c r="P1754" s="20" t="str">
        <f ca="1">IFERROR(VLOOKUP(O1754,EMAILS!B:C,2,FALSE),"NOT FOUND IN EMAILS")</f>
        <v>supplier@gmail.com</v>
      </c>
      <c r="Q1754" t="str">
        <f ca="1">""&amp;IFERROR(VLOOKUP(O1754,EMAILS!B:D,3,FALSE),"NOT FOUND IN EMAILS")</f>
        <v/>
      </c>
      <c r="R1754" t="str">
        <f ca="1">""&amp;IFERROR(VLOOKUP(O1754,EMAILS!B:E,4,FALSE),"NO T FOUND IN EMAILS")</f>
        <v/>
      </c>
    </row>
    <row r="1755" spans="2:18" x14ac:dyDescent="0.25">
      <c r="B1755" s="5" t="s">
        <v>1757</v>
      </c>
      <c r="C1755" s="5" t="s">
        <v>5897</v>
      </c>
      <c r="D1755" s="5">
        <v>25</v>
      </c>
      <c r="E1755" s="5">
        <v>20</v>
      </c>
      <c r="F1755" s="5">
        <v>80</v>
      </c>
      <c r="G1755" s="5">
        <v>20</v>
      </c>
      <c r="H1755" s="5">
        <v>30</v>
      </c>
      <c r="I1755" s="5">
        <v>20</v>
      </c>
      <c r="J1755" s="5">
        <v>10</v>
      </c>
      <c r="K1755" s="5">
        <v>20</v>
      </c>
      <c r="L1755" s="5">
        <v>20</v>
      </c>
      <c r="M1755" s="5">
        <v>0</v>
      </c>
      <c r="N1755" s="5">
        <v>4500</v>
      </c>
      <c r="O1755" s="5" t="str">
        <f t="shared" ca="1" si="27"/>
        <v>Supplier 180</v>
      </c>
      <c r="P1755" s="20" t="str">
        <f ca="1">IFERROR(VLOOKUP(O1755,EMAILS!B:C,2,FALSE),"NOT FOUND IN EMAILS")</f>
        <v>supplier@gmail.com</v>
      </c>
      <c r="Q1755" t="str">
        <f ca="1">""&amp;IFERROR(VLOOKUP(O1755,EMAILS!B:D,3,FALSE),"NOT FOUND IN EMAILS")</f>
        <v/>
      </c>
      <c r="R1755" t="str">
        <f ca="1">""&amp;IFERROR(VLOOKUP(O1755,EMAILS!B:E,4,FALSE),"NO T FOUND IN EMAILS")</f>
        <v/>
      </c>
    </row>
    <row r="1756" spans="2:18" x14ac:dyDescent="0.25">
      <c r="B1756" s="5" t="s">
        <v>1758</v>
      </c>
      <c r="C1756" s="5" t="s">
        <v>5898</v>
      </c>
      <c r="D1756" s="5">
        <v>0</v>
      </c>
      <c r="E1756" s="5">
        <v>0</v>
      </c>
      <c r="F1756" s="5">
        <v>0</v>
      </c>
      <c r="G1756" s="5">
        <v>0</v>
      </c>
      <c r="H1756" s="5">
        <v>0</v>
      </c>
      <c r="I1756" s="5">
        <v>0</v>
      </c>
      <c r="J1756" s="5">
        <v>0</v>
      </c>
      <c r="K1756" s="5">
        <v>0</v>
      </c>
      <c r="L1756" s="5">
        <v>0</v>
      </c>
      <c r="M1756" s="5">
        <v>0</v>
      </c>
      <c r="N1756" s="5">
        <v>100</v>
      </c>
      <c r="O1756" s="5" t="str">
        <f t="shared" ca="1" si="27"/>
        <v>Supplier 22</v>
      </c>
      <c r="P1756" s="20" t="str">
        <f ca="1">IFERROR(VLOOKUP(O1756,EMAILS!B:C,2,FALSE),"NOT FOUND IN EMAILS")</f>
        <v>supplier@gmail.com</v>
      </c>
      <c r="Q1756" t="str">
        <f ca="1">""&amp;IFERROR(VLOOKUP(O1756,EMAILS!B:D,3,FALSE),"NOT FOUND IN EMAILS")</f>
        <v/>
      </c>
      <c r="R1756" t="str">
        <f ca="1">""&amp;IFERROR(VLOOKUP(O1756,EMAILS!B:E,4,FALSE),"NO T FOUND IN EMAILS")</f>
        <v/>
      </c>
    </row>
    <row r="1757" spans="2:18" x14ac:dyDescent="0.25">
      <c r="B1757" s="5" t="s">
        <v>1759</v>
      </c>
      <c r="C1757" s="5" t="s">
        <v>5899</v>
      </c>
      <c r="D1757" s="5">
        <v>20</v>
      </c>
      <c r="E1757" s="5">
        <v>25</v>
      </c>
      <c r="F1757" s="5">
        <v>20</v>
      </c>
      <c r="G1757" s="5">
        <v>30</v>
      </c>
      <c r="H1757" s="5">
        <v>20</v>
      </c>
      <c r="I1757" s="5">
        <v>45</v>
      </c>
      <c r="J1757" s="5">
        <v>20</v>
      </c>
      <c r="K1757" s="5">
        <v>20</v>
      </c>
      <c r="L1757" s="5">
        <v>20</v>
      </c>
      <c r="M1757" s="5">
        <v>0</v>
      </c>
      <c r="N1757" s="5">
        <v>100</v>
      </c>
      <c r="O1757" s="5" t="str">
        <f t="shared" ca="1" si="27"/>
        <v>Supplier 30</v>
      </c>
      <c r="P1757" s="20" t="str">
        <f ca="1">IFERROR(VLOOKUP(O1757,EMAILS!B:C,2,FALSE),"NOT FOUND IN EMAILS")</f>
        <v>supplier@gmail.com</v>
      </c>
      <c r="Q1757" t="str">
        <f ca="1">""&amp;IFERROR(VLOOKUP(O1757,EMAILS!B:D,3,FALSE),"NOT FOUND IN EMAILS")</f>
        <v/>
      </c>
      <c r="R1757" t="str">
        <f ca="1">""&amp;IFERROR(VLOOKUP(O1757,EMAILS!B:E,4,FALSE),"NO T FOUND IN EMAILS")</f>
        <v/>
      </c>
    </row>
    <row r="1758" spans="2:18" x14ac:dyDescent="0.25">
      <c r="B1758" s="5" t="s">
        <v>1760</v>
      </c>
      <c r="C1758" s="5" t="s">
        <v>5900</v>
      </c>
      <c r="D1758" s="5">
        <v>30</v>
      </c>
      <c r="E1758" s="5">
        <v>30</v>
      </c>
      <c r="F1758" s="5">
        <v>50</v>
      </c>
      <c r="G1758" s="5">
        <v>40</v>
      </c>
      <c r="H1758" s="5">
        <v>30</v>
      </c>
      <c r="I1758" s="5">
        <v>40</v>
      </c>
      <c r="J1758" s="5">
        <v>40</v>
      </c>
      <c r="K1758" s="5">
        <v>30</v>
      </c>
      <c r="L1758" s="5">
        <v>30</v>
      </c>
      <c r="M1758" s="5">
        <v>0</v>
      </c>
      <c r="N1758" s="5">
        <v>458</v>
      </c>
      <c r="O1758" s="5" t="str">
        <f t="shared" ca="1" si="27"/>
        <v>Supplier 200</v>
      </c>
      <c r="P1758" s="20" t="str">
        <f ca="1">IFERROR(VLOOKUP(O1758,EMAILS!B:C,2,FALSE),"NOT FOUND IN EMAILS")</f>
        <v>supplier@gmail.com</v>
      </c>
      <c r="Q1758" t="str">
        <f ca="1">""&amp;IFERROR(VLOOKUP(O1758,EMAILS!B:D,3,FALSE),"NOT FOUND IN EMAILS")</f>
        <v/>
      </c>
      <c r="R1758" t="str">
        <f ca="1">""&amp;IFERROR(VLOOKUP(O1758,EMAILS!B:E,4,FALSE),"NO T FOUND IN EMAILS")</f>
        <v/>
      </c>
    </row>
    <row r="1759" spans="2:18" x14ac:dyDescent="0.25">
      <c r="B1759" s="5" t="s">
        <v>1761</v>
      </c>
      <c r="C1759" s="5" t="s">
        <v>5901</v>
      </c>
      <c r="D1759" s="5">
        <v>64</v>
      </c>
      <c r="E1759" s="5">
        <v>64</v>
      </c>
      <c r="F1759" s="5">
        <v>96</v>
      </c>
      <c r="G1759" s="5">
        <v>69</v>
      </c>
      <c r="H1759" s="5">
        <v>64</v>
      </c>
      <c r="I1759" s="5">
        <v>64</v>
      </c>
      <c r="J1759" s="5">
        <v>64</v>
      </c>
      <c r="K1759" s="5">
        <v>32</v>
      </c>
      <c r="L1759" s="5">
        <v>64</v>
      </c>
      <c r="M1759" s="5">
        <v>0</v>
      </c>
      <c r="N1759" s="5">
        <v>320</v>
      </c>
      <c r="O1759" s="5" t="str">
        <f t="shared" ca="1" si="27"/>
        <v>Supplier 7</v>
      </c>
      <c r="P1759" s="20" t="str">
        <f ca="1">IFERROR(VLOOKUP(O1759,EMAILS!B:C,2,FALSE),"NOT FOUND IN EMAILS")</f>
        <v>supplier@gmail.com</v>
      </c>
      <c r="Q1759" t="str">
        <f ca="1">""&amp;IFERROR(VLOOKUP(O1759,EMAILS!B:D,3,FALSE),"NOT FOUND IN EMAILS")</f>
        <v>supplier_logistics@gmail.com</v>
      </c>
      <c r="R1759" t="str">
        <f ca="1">""&amp;IFERROR(VLOOKUP(O1759,EMAILS!B:E,4,FALSE),"NO T FOUND IN EMAILS")</f>
        <v/>
      </c>
    </row>
    <row r="1760" spans="2:18" x14ac:dyDescent="0.25">
      <c r="B1760" s="5" t="s">
        <v>1762</v>
      </c>
      <c r="C1760" s="5" t="s">
        <v>5902</v>
      </c>
      <c r="D1760" s="5">
        <v>64</v>
      </c>
      <c r="E1760" s="5">
        <v>64</v>
      </c>
      <c r="F1760" s="5">
        <v>96</v>
      </c>
      <c r="G1760" s="5">
        <v>69</v>
      </c>
      <c r="H1760" s="5">
        <v>64</v>
      </c>
      <c r="I1760" s="5">
        <v>64</v>
      </c>
      <c r="J1760" s="5">
        <v>64</v>
      </c>
      <c r="K1760" s="5">
        <v>32</v>
      </c>
      <c r="L1760" s="5">
        <v>64</v>
      </c>
      <c r="M1760" s="5">
        <v>0</v>
      </c>
      <c r="N1760" s="5">
        <v>29</v>
      </c>
      <c r="O1760" s="5" t="str">
        <f t="shared" ca="1" si="27"/>
        <v>Supplier 177</v>
      </c>
      <c r="P1760" s="20" t="str">
        <f ca="1">IFERROR(VLOOKUP(O1760,EMAILS!B:C,2,FALSE),"NOT FOUND IN EMAILS")</f>
        <v>supplier@gmail.com</v>
      </c>
      <c r="Q1760" t="str">
        <f ca="1">""&amp;IFERROR(VLOOKUP(O1760,EMAILS!B:D,3,FALSE),"NOT FOUND IN EMAILS")</f>
        <v/>
      </c>
      <c r="R1760" t="str">
        <f ca="1">""&amp;IFERROR(VLOOKUP(O1760,EMAILS!B:E,4,FALSE),"NO T FOUND IN EMAILS")</f>
        <v/>
      </c>
    </row>
    <row r="1761" spans="2:18" x14ac:dyDescent="0.25">
      <c r="B1761" s="5" t="s">
        <v>1763</v>
      </c>
      <c r="C1761" s="5" t="s">
        <v>5903</v>
      </c>
      <c r="D1761" s="5">
        <v>0</v>
      </c>
      <c r="E1761" s="5">
        <v>0</v>
      </c>
      <c r="F1761" s="5">
        <v>0</v>
      </c>
      <c r="G1761" s="5">
        <v>0</v>
      </c>
      <c r="H1761" s="5">
        <v>0</v>
      </c>
      <c r="I1761" s="5">
        <v>0</v>
      </c>
      <c r="J1761" s="5">
        <v>0</v>
      </c>
      <c r="K1761" s="5">
        <v>0</v>
      </c>
      <c r="L1761" s="5">
        <v>0</v>
      </c>
      <c r="M1761" s="5">
        <v>0</v>
      </c>
      <c r="N1761" s="5">
        <v>29</v>
      </c>
      <c r="O1761" s="5" t="str">
        <f t="shared" ca="1" si="27"/>
        <v>Supplier 190</v>
      </c>
      <c r="P1761" s="20" t="str">
        <f ca="1">IFERROR(VLOOKUP(O1761,EMAILS!B:C,2,FALSE),"NOT FOUND IN EMAILS")</f>
        <v>supplier@gmail.com</v>
      </c>
      <c r="Q1761" t="str">
        <f ca="1">""&amp;IFERROR(VLOOKUP(O1761,EMAILS!B:D,3,FALSE),"NOT FOUND IN EMAILS")</f>
        <v/>
      </c>
      <c r="R1761" t="str">
        <f ca="1">""&amp;IFERROR(VLOOKUP(O1761,EMAILS!B:E,4,FALSE),"NO T FOUND IN EMAILS")</f>
        <v/>
      </c>
    </row>
    <row r="1762" spans="2:18" x14ac:dyDescent="0.25">
      <c r="B1762" s="5" t="s">
        <v>1764</v>
      </c>
      <c r="C1762" s="5" t="s">
        <v>5904</v>
      </c>
      <c r="D1762" s="5">
        <v>0</v>
      </c>
      <c r="E1762" s="5">
        <v>0</v>
      </c>
      <c r="F1762" s="5">
        <v>0</v>
      </c>
      <c r="G1762" s="5">
        <v>0</v>
      </c>
      <c r="H1762" s="5">
        <v>0</v>
      </c>
      <c r="I1762" s="5">
        <v>0</v>
      </c>
      <c r="J1762" s="5">
        <v>0</v>
      </c>
      <c r="K1762" s="5">
        <v>0</v>
      </c>
      <c r="L1762" s="5">
        <v>0</v>
      </c>
      <c r="M1762" s="5">
        <v>0</v>
      </c>
      <c r="N1762" s="5">
        <v>4250</v>
      </c>
      <c r="O1762" s="5" t="str">
        <f t="shared" ca="1" si="27"/>
        <v>Supplier 123</v>
      </c>
      <c r="P1762" s="20" t="str">
        <f ca="1">IFERROR(VLOOKUP(O1762,EMAILS!B:C,2,FALSE),"NOT FOUND IN EMAILS")</f>
        <v>supplier@gmail.com</v>
      </c>
      <c r="Q1762" t="str">
        <f ca="1">""&amp;IFERROR(VLOOKUP(O1762,EMAILS!B:D,3,FALSE),"NOT FOUND IN EMAILS")</f>
        <v/>
      </c>
      <c r="R1762" t="str">
        <f ca="1">""&amp;IFERROR(VLOOKUP(O1762,EMAILS!B:E,4,FALSE),"NO T FOUND IN EMAILS")</f>
        <v/>
      </c>
    </row>
    <row r="1763" spans="2:18" x14ac:dyDescent="0.25">
      <c r="B1763" s="5" t="s">
        <v>1765</v>
      </c>
      <c r="C1763" s="5" t="s">
        <v>5905</v>
      </c>
      <c r="D1763" s="5">
        <v>5684</v>
      </c>
      <c r="E1763" s="5">
        <v>4160</v>
      </c>
      <c r="F1763" s="5">
        <v>5284</v>
      </c>
      <c r="G1763" s="5">
        <v>5320</v>
      </c>
      <c r="H1763" s="5">
        <v>5684</v>
      </c>
      <c r="I1763" s="5">
        <v>5492</v>
      </c>
      <c r="J1763" s="5">
        <v>4852</v>
      </c>
      <c r="K1763" s="5">
        <v>5092</v>
      </c>
      <c r="L1763" s="5">
        <v>4452</v>
      </c>
      <c r="M1763" s="5">
        <v>0</v>
      </c>
      <c r="N1763" s="5">
        <v>1023</v>
      </c>
      <c r="O1763" s="5" t="str">
        <f t="shared" ca="1" si="27"/>
        <v>Supplier 200</v>
      </c>
      <c r="P1763" s="20" t="str">
        <f ca="1">IFERROR(VLOOKUP(O1763,EMAILS!B:C,2,FALSE),"NOT FOUND IN EMAILS")</f>
        <v>supplier@gmail.com</v>
      </c>
      <c r="Q1763" t="str">
        <f ca="1">""&amp;IFERROR(VLOOKUP(O1763,EMAILS!B:D,3,FALSE),"NOT FOUND IN EMAILS")</f>
        <v/>
      </c>
      <c r="R1763" t="str">
        <f ca="1">""&amp;IFERROR(VLOOKUP(O1763,EMAILS!B:E,4,FALSE),"NO T FOUND IN EMAILS")</f>
        <v/>
      </c>
    </row>
    <row r="1764" spans="2:18" x14ac:dyDescent="0.25">
      <c r="B1764" s="5" t="s">
        <v>1766</v>
      </c>
      <c r="C1764" s="5" t="s">
        <v>5906</v>
      </c>
      <c r="D1764" s="5">
        <v>290</v>
      </c>
      <c r="E1764" s="5">
        <v>384</v>
      </c>
      <c r="F1764" s="5">
        <v>458</v>
      </c>
      <c r="G1764" s="5">
        <v>440</v>
      </c>
      <c r="H1764" s="5">
        <v>240</v>
      </c>
      <c r="I1764" s="5">
        <v>516</v>
      </c>
      <c r="J1764" s="5">
        <v>342</v>
      </c>
      <c r="K1764" s="5">
        <v>264</v>
      </c>
      <c r="L1764" s="5">
        <v>414</v>
      </c>
      <c r="M1764" s="5">
        <v>0</v>
      </c>
      <c r="N1764" s="5">
        <v>3306</v>
      </c>
      <c r="O1764" s="5" t="str">
        <f t="shared" ca="1" si="27"/>
        <v>Supplier 40</v>
      </c>
      <c r="P1764" s="20" t="str">
        <f ca="1">IFERROR(VLOOKUP(O1764,EMAILS!B:C,2,FALSE),"NOT FOUND IN EMAILS")</f>
        <v>supplier@gmail.com</v>
      </c>
      <c r="Q1764" t="str">
        <f ca="1">""&amp;IFERROR(VLOOKUP(O1764,EMAILS!B:D,3,FALSE),"NOT FOUND IN EMAILS")</f>
        <v/>
      </c>
      <c r="R1764" t="str">
        <f ca="1">""&amp;IFERROR(VLOOKUP(O1764,EMAILS!B:E,4,FALSE),"NO T FOUND IN EMAILS")</f>
        <v/>
      </c>
    </row>
    <row r="1765" spans="2:18" x14ac:dyDescent="0.25">
      <c r="B1765" s="5" t="s">
        <v>1767</v>
      </c>
      <c r="C1765" s="5" t="s">
        <v>5907</v>
      </c>
      <c r="D1765" s="5">
        <v>80</v>
      </c>
      <c r="E1765" s="5">
        <v>128</v>
      </c>
      <c r="F1765" s="5">
        <v>136</v>
      </c>
      <c r="G1765" s="5">
        <v>130</v>
      </c>
      <c r="H1765" s="5">
        <v>80</v>
      </c>
      <c r="I1765" s="5">
        <v>172</v>
      </c>
      <c r="J1765" s="5">
        <v>114</v>
      </c>
      <c r="K1765" s="5">
        <v>88</v>
      </c>
      <c r="L1765" s="5">
        <v>138</v>
      </c>
      <c r="M1765" s="5">
        <v>0</v>
      </c>
      <c r="N1765" s="5">
        <v>313</v>
      </c>
      <c r="O1765" s="5" t="str">
        <f t="shared" ca="1" si="27"/>
        <v>Supplier 78</v>
      </c>
      <c r="P1765" s="20" t="str">
        <f ca="1">IFERROR(VLOOKUP(O1765,EMAILS!B:C,2,FALSE),"NOT FOUND IN EMAILS")</f>
        <v>supplier@gmail.com</v>
      </c>
      <c r="Q1765" t="str">
        <f ca="1">""&amp;IFERROR(VLOOKUP(O1765,EMAILS!B:D,3,FALSE),"NOT FOUND IN EMAILS")</f>
        <v/>
      </c>
      <c r="R1765" t="str">
        <f ca="1">""&amp;IFERROR(VLOOKUP(O1765,EMAILS!B:E,4,FALSE),"NO T FOUND IN EMAILS")</f>
        <v/>
      </c>
    </row>
    <row r="1766" spans="2:18" x14ac:dyDescent="0.25">
      <c r="B1766" s="5" t="s">
        <v>1768</v>
      </c>
      <c r="C1766" s="5" t="s">
        <v>5908</v>
      </c>
      <c r="D1766" s="5">
        <v>20</v>
      </c>
      <c r="E1766" s="5">
        <v>0</v>
      </c>
      <c r="F1766" s="5">
        <v>20</v>
      </c>
      <c r="G1766" s="5">
        <v>20</v>
      </c>
      <c r="H1766" s="5">
        <v>0</v>
      </c>
      <c r="I1766" s="5">
        <v>0</v>
      </c>
      <c r="J1766" s="5">
        <v>0</v>
      </c>
      <c r="K1766" s="5">
        <v>0</v>
      </c>
      <c r="L1766" s="5">
        <v>0</v>
      </c>
      <c r="M1766" s="5">
        <v>0</v>
      </c>
      <c r="N1766" s="5">
        <v>218</v>
      </c>
      <c r="O1766" s="5" t="str">
        <f t="shared" ca="1" si="27"/>
        <v>Supplier 36</v>
      </c>
      <c r="P1766" s="20" t="str">
        <f ca="1">IFERROR(VLOOKUP(O1766,EMAILS!B:C,2,FALSE),"NOT FOUND IN EMAILS")</f>
        <v>supplier@gmail.com</v>
      </c>
      <c r="Q1766" t="str">
        <f ca="1">""&amp;IFERROR(VLOOKUP(O1766,EMAILS!B:D,3,FALSE),"NOT FOUND IN EMAILS")</f>
        <v/>
      </c>
      <c r="R1766" t="str">
        <f ca="1">""&amp;IFERROR(VLOOKUP(O1766,EMAILS!B:E,4,FALSE),"NO T FOUND IN EMAILS")</f>
        <v/>
      </c>
    </row>
    <row r="1767" spans="2:18" x14ac:dyDescent="0.25">
      <c r="B1767" s="5" t="s">
        <v>1769</v>
      </c>
      <c r="C1767" s="5" t="s">
        <v>5909</v>
      </c>
      <c r="D1767" s="5">
        <v>0</v>
      </c>
      <c r="E1767" s="5">
        <v>0</v>
      </c>
      <c r="F1767" s="5">
        <v>0</v>
      </c>
      <c r="G1767" s="5">
        <v>0</v>
      </c>
      <c r="H1767" s="5">
        <v>0</v>
      </c>
      <c r="I1767" s="5">
        <v>0</v>
      </c>
      <c r="J1767" s="5">
        <v>0</v>
      </c>
      <c r="K1767" s="5">
        <v>0</v>
      </c>
      <c r="L1767" s="5">
        <v>0</v>
      </c>
      <c r="M1767" s="5">
        <v>0</v>
      </c>
      <c r="N1767" s="5">
        <v>390</v>
      </c>
      <c r="O1767" s="5" t="str">
        <f t="shared" ca="1" si="27"/>
        <v>Supplier 154</v>
      </c>
      <c r="P1767" s="20" t="str">
        <f ca="1">IFERROR(VLOOKUP(O1767,EMAILS!B:C,2,FALSE),"NOT FOUND IN EMAILS")</f>
        <v>supplier@gmail.com</v>
      </c>
      <c r="Q1767" t="str">
        <f ca="1">""&amp;IFERROR(VLOOKUP(O1767,EMAILS!B:D,3,FALSE),"NOT FOUND IN EMAILS")</f>
        <v/>
      </c>
      <c r="R1767" t="str">
        <f ca="1">""&amp;IFERROR(VLOOKUP(O1767,EMAILS!B:E,4,FALSE),"NO T FOUND IN EMAILS")</f>
        <v/>
      </c>
    </row>
    <row r="1768" spans="2:18" x14ac:dyDescent="0.25">
      <c r="B1768" s="5" t="s">
        <v>1770</v>
      </c>
      <c r="C1768" s="5" t="s">
        <v>5910</v>
      </c>
      <c r="D1768" s="5">
        <v>0</v>
      </c>
      <c r="E1768" s="5">
        <v>0</v>
      </c>
      <c r="F1768" s="5">
        <v>0</v>
      </c>
      <c r="G1768" s="5">
        <v>0</v>
      </c>
      <c r="H1768" s="5">
        <v>0</v>
      </c>
      <c r="I1768" s="5">
        <v>0</v>
      </c>
      <c r="J1768" s="5">
        <v>0</v>
      </c>
      <c r="K1768" s="5">
        <v>0</v>
      </c>
      <c r="L1768" s="5">
        <v>0</v>
      </c>
      <c r="M1768" s="5">
        <v>0</v>
      </c>
      <c r="N1768" s="5">
        <v>380</v>
      </c>
      <c r="O1768" s="5" t="str">
        <f t="shared" ca="1" si="27"/>
        <v>Supplier 163</v>
      </c>
      <c r="P1768" s="20" t="str">
        <f ca="1">IFERROR(VLOOKUP(O1768,EMAILS!B:C,2,FALSE),"NOT FOUND IN EMAILS")</f>
        <v>supplier@gmail.com</v>
      </c>
      <c r="Q1768" t="str">
        <f ca="1">""&amp;IFERROR(VLOOKUP(O1768,EMAILS!B:D,3,FALSE),"NOT FOUND IN EMAILS")</f>
        <v/>
      </c>
      <c r="R1768" t="str">
        <f ca="1">""&amp;IFERROR(VLOOKUP(O1768,EMAILS!B:E,4,FALSE),"NO T FOUND IN EMAILS")</f>
        <v/>
      </c>
    </row>
    <row r="1769" spans="2:18" x14ac:dyDescent="0.25">
      <c r="B1769" s="5" t="s">
        <v>1771</v>
      </c>
      <c r="C1769" s="5" t="s">
        <v>5911</v>
      </c>
      <c r="D1769" s="5">
        <v>0</v>
      </c>
      <c r="E1769" s="5">
        <v>0</v>
      </c>
      <c r="F1769" s="5">
        <v>0</v>
      </c>
      <c r="G1769" s="5">
        <v>0</v>
      </c>
      <c r="H1769" s="5">
        <v>0</v>
      </c>
      <c r="I1769" s="5">
        <v>0</v>
      </c>
      <c r="J1769" s="5">
        <v>0</v>
      </c>
      <c r="K1769" s="5">
        <v>0</v>
      </c>
      <c r="L1769" s="5">
        <v>0</v>
      </c>
      <c r="M1769" s="5">
        <v>0</v>
      </c>
      <c r="N1769" s="5">
        <v>38300</v>
      </c>
      <c r="O1769" s="5" t="str">
        <f t="shared" ca="1" si="27"/>
        <v>Supplier 151</v>
      </c>
      <c r="P1769" s="20" t="str">
        <f ca="1">IFERROR(VLOOKUP(O1769,EMAILS!B:C,2,FALSE),"NOT FOUND IN EMAILS")</f>
        <v>supplier@gmail.com</v>
      </c>
      <c r="Q1769" t="str">
        <f ca="1">""&amp;IFERROR(VLOOKUP(O1769,EMAILS!B:D,3,FALSE),"NOT FOUND IN EMAILS")</f>
        <v/>
      </c>
      <c r="R1769" t="str">
        <f ca="1">""&amp;IFERROR(VLOOKUP(O1769,EMAILS!B:E,4,FALSE),"NO T FOUND IN EMAILS")</f>
        <v/>
      </c>
    </row>
    <row r="1770" spans="2:18" x14ac:dyDescent="0.25">
      <c r="B1770" s="5" t="s">
        <v>1772</v>
      </c>
      <c r="C1770" s="5" t="s">
        <v>5912</v>
      </c>
      <c r="D1770" s="5">
        <v>5504</v>
      </c>
      <c r="E1770" s="5">
        <v>3952</v>
      </c>
      <c r="F1770" s="5">
        <v>4712</v>
      </c>
      <c r="G1770" s="5">
        <v>5256</v>
      </c>
      <c r="H1770" s="5">
        <v>4690</v>
      </c>
      <c r="I1770" s="5">
        <v>5262</v>
      </c>
      <c r="J1770" s="5">
        <v>4380</v>
      </c>
      <c r="K1770" s="5">
        <v>4084</v>
      </c>
      <c r="L1770" s="5">
        <v>4316</v>
      </c>
      <c r="M1770" s="5">
        <v>0</v>
      </c>
      <c r="N1770" s="5">
        <v>187</v>
      </c>
      <c r="O1770" s="5" t="str">
        <f t="shared" ca="1" si="27"/>
        <v>Supplier 28</v>
      </c>
      <c r="P1770" s="20" t="str">
        <f ca="1">IFERROR(VLOOKUP(O1770,EMAILS!B:C,2,FALSE),"NOT FOUND IN EMAILS")</f>
        <v>supplier@gmail.com</v>
      </c>
      <c r="Q1770" t="str">
        <f ca="1">""&amp;IFERROR(VLOOKUP(O1770,EMAILS!B:D,3,FALSE),"NOT FOUND IN EMAILS")</f>
        <v/>
      </c>
      <c r="R1770" t="str">
        <f ca="1">""&amp;IFERROR(VLOOKUP(O1770,EMAILS!B:E,4,FALSE),"NO T FOUND IN EMAILS")</f>
        <v/>
      </c>
    </row>
    <row r="1771" spans="2:18" x14ac:dyDescent="0.25">
      <c r="B1771" s="5" t="s">
        <v>1773</v>
      </c>
      <c r="C1771" s="5" t="s">
        <v>5913</v>
      </c>
      <c r="D1771" s="5">
        <v>20</v>
      </c>
      <c r="E1771" s="5">
        <v>0</v>
      </c>
      <c r="F1771" s="5">
        <v>20</v>
      </c>
      <c r="G1771" s="5">
        <v>20</v>
      </c>
      <c r="H1771" s="5">
        <v>0</v>
      </c>
      <c r="I1771" s="5">
        <v>0</v>
      </c>
      <c r="J1771" s="5">
        <v>0</v>
      </c>
      <c r="K1771" s="5">
        <v>0</v>
      </c>
      <c r="L1771" s="5">
        <v>0</v>
      </c>
      <c r="M1771" s="5">
        <v>0</v>
      </c>
      <c r="N1771" s="5">
        <v>1519</v>
      </c>
      <c r="O1771" s="5" t="str">
        <f t="shared" ca="1" si="27"/>
        <v>Supplier 79</v>
      </c>
      <c r="P1771" s="20" t="str">
        <f ca="1">IFERROR(VLOOKUP(O1771,EMAILS!B:C,2,FALSE),"NOT FOUND IN EMAILS")</f>
        <v>supplier@gmail.com</v>
      </c>
      <c r="Q1771" t="str">
        <f ca="1">""&amp;IFERROR(VLOOKUP(O1771,EMAILS!B:D,3,FALSE),"NOT FOUND IN EMAILS")</f>
        <v/>
      </c>
      <c r="R1771" t="str">
        <f ca="1">""&amp;IFERROR(VLOOKUP(O1771,EMAILS!B:E,4,FALSE),"NO T FOUND IN EMAILS")</f>
        <v/>
      </c>
    </row>
    <row r="1772" spans="2:18" x14ac:dyDescent="0.25">
      <c r="B1772" s="5" t="s">
        <v>1774</v>
      </c>
      <c r="C1772" s="5" t="s">
        <v>5914</v>
      </c>
      <c r="D1772" s="5">
        <v>52</v>
      </c>
      <c r="E1772" s="5">
        <v>7</v>
      </c>
      <c r="F1772" s="5">
        <v>200</v>
      </c>
      <c r="G1772" s="5">
        <v>110</v>
      </c>
      <c r="H1772" s="5">
        <v>105</v>
      </c>
      <c r="I1772" s="5">
        <v>103</v>
      </c>
      <c r="J1772" s="5">
        <v>53</v>
      </c>
      <c r="K1772" s="5">
        <v>6</v>
      </c>
      <c r="L1772" s="5">
        <v>101</v>
      </c>
      <c r="M1772" s="5">
        <v>0</v>
      </c>
      <c r="N1772" s="5">
        <v>3823</v>
      </c>
      <c r="O1772" s="5" t="str">
        <f t="shared" ca="1" si="27"/>
        <v>Supplier 2</v>
      </c>
      <c r="P1772" s="20" t="str">
        <f ca="1">IFERROR(VLOOKUP(O1772,EMAILS!B:C,2,FALSE),"NOT FOUND IN EMAILS")</f>
        <v>supplier@gmail.com</v>
      </c>
      <c r="Q1772" t="str">
        <f ca="1">""&amp;IFERROR(VLOOKUP(O1772,EMAILS!B:D,3,FALSE),"NOT FOUND IN EMAILS")</f>
        <v>supplier_logistics@gmail.com</v>
      </c>
      <c r="R1772" t="str">
        <f ca="1">""&amp;IFERROR(VLOOKUP(O1772,EMAILS!B:E,4,FALSE),"NO T FOUND IN EMAILS")</f>
        <v/>
      </c>
    </row>
    <row r="1773" spans="2:18" x14ac:dyDescent="0.25">
      <c r="B1773" s="5" t="s">
        <v>1775</v>
      </c>
      <c r="C1773" s="5" t="s">
        <v>5915</v>
      </c>
      <c r="D1773" s="5">
        <v>52</v>
      </c>
      <c r="E1773" s="5">
        <v>7</v>
      </c>
      <c r="F1773" s="5">
        <v>200</v>
      </c>
      <c r="G1773" s="5">
        <v>110</v>
      </c>
      <c r="H1773" s="5">
        <v>105</v>
      </c>
      <c r="I1773" s="5">
        <v>103</v>
      </c>
      <c r="J1773" s="5">
        <v>53</v>
      </c>
      <c r="K1773" s="5">
        <v>6</v>
      </c>
      <c r="L1773" s="5">
        <v>101</v>
      </c>
      <c r="M1773" s="5">
        <v>0</v>
      </c>
      <c r="N1773" s="5">
        <v>36700</v>
      </c>
      <c r="O1773" s="5" t="str">
        <f t="shared" ca="1" si="27"/>
        <v>Supplier 123</v>
      </c>
      <c r="P1773" s="20" t="str">
        <f ca="1">IFERROR(VLOOKUP(O1773,EMAILS!B:C,2,FALSE),"NOT FOUND IN EMAILS")</f>
        <v>supplier@gmail.com</v>
      </c>
      <c r="Q1773" t="str">
        <f ca="1">""&amp;IFERROR(VLOOKUP(O1773,EMAILS!B:D,3,FALSE),"NOT FOUND IN EMAILS")</f>
        <v/>
      </c>
      <c r="R1773" t="str">
        <f ca="1">""&amp;IFERROR(VLOOKUP(O1773,EMAILS!B:E,4,FALSE),"NO T FOUND IN EMAILS")</f>
        <v/>
      </c>
    </row>
    <row r="1774" spans="2:18" x14ac:dyDescent="0.25">
      <c r="B1774" s="5" t="s">
        <v>1776</v>
      </c>
      <c r="C1774" s="5" t="s">
        <v>5916</v>
      </c>
      <c r="D1774" s="5">
        <v>6224</v>
      </c>
      <c r="E1774" s="5">
        <v>3240</v>
      </c>
      <c r="F1774" s="5">
        <v>6024</v>
      </c>
      <c r="G1774" s="5">
        <v>5960</v>
      </c>
      <c r="H1774" s="5">
        <v>5144</v>
      </c>
      <c r="I1774" s="5">
        <v>6032</v>
      </c>
      <c r="J1774" s="5">
        <v>3632</v>
      </c>
      <c r="K1774" s="5">
        <v>5832</v>
      </c>
      <c r="L1774" s="5">
        <v>2352</v>
      </c>
      <c r="M1774" s="5">
        <v>0</v>
      </c>
      <c r="N1774" s="5">
        <v>310</v>
      </c>
      <c r="O1774" s="5" t="str">
        <f t="shared" ca="1" si="27"/>
        <v>Supplier 50</v>
      </c>
      <c r="P1774" s="20" t="str">
        <f ca="1">IFERROR(VLOOKUP(O1774,EMAILS!B:C,2,FALSE),"NOT FOUND IN EMAILS")</f>
        <v>supplier@gmail.com</v>
      </c>
      <c r="Q1774" t="str">
        <f ca="1">""&amp;IFERROR(VLOOKUP(O1774,EMAILS!B:D,3,FALSE),"NOT FOUND IN EMAILS")</f>
        <v/>
      </c>
      <c r="R1774" t="str">
        <f ca="1">""&amp;IFERROR(VLOOKUP(O1774,EMAILS!B:E,4,FALSE),"NO T FOUND IN EMAILS")</f>
        <v/>
      </c>
    </row>
    <row r="1775" spans="2:18" x14ac:dyDescent="0.25">
      <c r="B1775" s="5" t="s">
        <v>1777</v>
      </c>
      <c r="C1775" s="5" t="s">
        <v>5917</v>
      </c>
      <c r="D1775" s="5">
        <v>50</v>
      </c>
      <c r="E1775" s="5">
        <v>0</v>
      </c>
      <c r="F1775" s="5">
        <v>50</v>
      </c>
      <c r="G1775" s="5">
        <v>100</v>
      </c>
      <c r="H1775" s="5">
        <v>50</v>
      </c>
      <c r="I1775" s="5">
        <v>50</v>
      </c>
      <c r="J1775" s="5">
        <v>50</v>
      </c>
      <c r="K1775" s="5">
        <v>50</v>
      </c>
      <c r="L1775" s="5">
        <v>50</v>
      </c>
      <c r="M1775" s="5">
        <v>0</v>
      </c>
      <c r="N1775" s="5">
        <v>20800</v>
      </c>
      <c r="O1775" s="5" t="str">
        <f t="shared" ca="1" si="27"/>
        <v>Supplier 13</v>
      </c>
      <c r="P1775" s="20" t="str">
        <f ca="1">IFERROR(VLOOKUP(O1775,EMAILS!B:C,2,FALSE),"NOT FOUND IN EMAILS")</f>
        <v>supplier@gmail.com</v>
      </c>
      <c r="Q1775" t="str">
        <f ca="1">""&amp;IFERROR(VLOOKUP(O1775,EMAILS!B:D,3,FALSE),"NOT FOUND IN EMAILS")</f>
        <v>supplier_logistics@gmail.com</v>
      </c>
      <c r="R1775" t="str">
        <f ca="1">""&amp;IFERROR(VLOOKUP(O1775,EMAILS!B:E,4,FALSE),"NO T FOUND IN EMAILS")</f>
        <v/>
      </c>
    </row>
    <row r="1776" spans="2:18" x14ac:dyDescent="0.25">
      <c r="B1776" s="5" t="s">
        <v>1778</v>
      </c>
      <c r="C1776" s="5" t="s">
        <v>5918</v>
      </c>
      <c r="D1776" s="5">
        <v>6274</v>
      </c>
      <c r="E1776" s="5">
        <v>3240</v>
      </c>
      <c r="F1776" s="5">
        <v>6074</v>
      </c>
      <c r="G1776" s="5">
        <v>6060</v>
      </c>
      <c r="H1776" s="5">
        <v>5194</v>
      </c>
      <c r="I1776" s="5">
        <v>6082</v>
      </c>
      <c r="J1776" s="5">
        <v>3682</v>
      </c>
      <c r="K1776" s="5">
        <v>5882</v>
      </c>
      <c r="L1776" s="5">
        <v>2402</v>
      </c>
      <c r="M1776" s="5">
        <v>0</v>
      </c>
      <c r="N1776" s="5">
        <v>0</v>
      </c>
      <c r="O1776" s="5" t="str">
        <f t="shared" ca="1" si="27"/>
        <v>Supplier 99</v>
      </c>
      <c r="P1776" s="20" t="str">
        <f ca="1">IFERROR(VLOOKUP(O1776,EMAILS!B:C,2,FALSE),"NOT FOUND IN EMAILS")</f>
        <v>supplier@gmail.com</v>
      </c>
      <c r="Q1776" t="str">
        <f ca="1">""&amp;IFERROR(VLOOKUP(O1776,EMAILS!B:D,3,FALSE),"NOT FOUND IN EMAILS")</f>
        <v/>
      </c>
      <c r="R1776" t="str">
        <f ca="1">""&amp;IFERROR(VLOOKUP(O1776,EMAILS!B:E,4,FALSE),"NO T FOUND IN EMAILS")</f>
        <v/>
      </c>
    </row>
    <row r="1777" spans="2:18" x14ac:dyDescent="0.25">
      <c r="B1777" s="5" t="s">
        <v>1779</v>
      </c>
      <c r="C1777" s="5" t="s">
        <v>5919</v>
      </c>
      <c r="D1777" s="5">
        <v>0</v>
      </c>
      <c r="E1777" s="5">
        <v>0</v>
      </c>
      <c r="F1777" s="5">
        <v>0</v>
      </c>
      <c r="G1777" s="5">
        <v>0</v>
      </c>
      <c r="H1777" s="5">
        <v>2400</v>
      </c>
      <c r="I1777" s="5">
        <v>0</v>
      </c>
      <c r="J1777" s="5">
        <v>0</v>
      </c>
      <c r="K1777" s="5">
        <v>2400</v>
      </c>
      <c r="L1777" s="5">
        <v>2400</v>
      </c>
      <c r="M1777" s="5">
        <v>0</v>
      </c>
      <c r="N1777" s="5">
        <v>800</v>
      </c>
      <c r="O1777" s="5" t="str">
        <f t="shared" ca="1" si="27"/>
        <v>Supplier 138</v>
      </c>
      <c r="P1777" s="20" t="str">
        <f ca="1">IFERROR(VLOOKUP(O1777,EMAILS!B:C,2,FALSE),"NOT FOUND IN EMAILS")</f>
        <v>supplier@gmail.com</v>
      </c>
      <c r="Q1777" t="str">
        <f ca="1">""&amp;IFERROR(VLOOKUP(O1777,EMAILS!B:D,3,FALSE),"NOT FOUND IN EMAILS")</f>
        <v/>
      </c>
      <c r="R1777" t="str">
        <f ca="1">""&amp;IFERROR(VLOOKUP(O1777,EMAILS!B:E,4,FALSE),"NO T FOUND IN EMAILS")</f>
        <v/>
      </c>
    </row>
    <row r="1778" spans="2:18" x14ac:dyDescent="0.25">
      <c r="B1778" s="5" t="s">
        <v>1780</v>
      </c>
      <c r="C1778" s="5" t="s">
        <v>5920</v>
      </c>
      <c r="D1778" s="5">
        <v>0</v>
      </c>
      <c r="E1778" s="5">
        <v>0</v>
      </c>
      <c r="F1778" s="5">
        <v>0</v>
      </c>
      <c r="G1778" s="5">
        <v>0</v>
      </c>
      <c r="H1778" s="5">
        <v>1200</v>
      </c>
      <c r="I1778" s="5">
        <v>0</v>
      </c>
      <c r="J1778" s="5">
        <v>1200</v>
      </c>
      <c r="K1778" s="5">
        <v>0</v>
      </c>
      <c r="L1778" s="5">
        <v>0</v>
      </c>
      <c r="M1778" s="5">
        <v>0</v>
      </c>
      <c r="N1778" s="5">
        <v>0</v>
      </c>
      <c r="O1778" s="5" t="str">
        <f t="shared" ca="1" si="27"/>
        <v>Supplier 144</v>
      </c>
      <c r="P1778" s="20" t="str">
        <f ca="1">IFERROR(VLOOKUP(O1778,EMAILS!B:C,2,FALSE),"NOT FOUND IN EMAILS")</f>
        <v>supplier@gmail.com</v>
      </c>
      <c r="Q1778" t="str">
        <f ca="1">""&amp;IFERROR(VLOOKUP(O1778,EMAILS!B:D,3,FALSE),"NOT FOUND IN EMAILS")</f>
        <v/>
      </c>
      <c r="R1778" t="str">
        <f ca="1">""&amp;IFERROR(VLOOKUP(O1778,EMAILS!B:E,4,FALSE),"NO T FOUND IN EMAILS")</f>
        <v/>
      </c>
    </row>
    <row r="1779" spans="2:18" x14ac:dyDescent="0.25">
      <c r="B1779" s="5" t="s">
        <v>1781</v>
      </c>
      <c r="C1779" s="5" t="s">
        <v>5921</v>
      </c>
      <c r="D1779" s="5">
        <v>380</v>
      </c>
      <c r="E1779" s="5">
        <v>140</v>
      </c>
      <c r="F1779" s="5">
        <v>1128</v>
      </c>
      <c r="G1779" s="5">
        <v>1512</v>
      </c>
      <c r="H1779" s="5">
        <v>1472</v>
      </c>
      <c r="I1779" s="5">
        <v>360</v>
      </c>
      <c r="J1779" s="5">
        <v>240</v>
      </c>
      <c r="K1779" s="5">
        <v>160</v>
      </c>
      <c r="L1779" s="5">
        <v>280</v>
      </c>
      <c r="M1779" s="5">
        <v>0</v>
      </c>
      <c r="N1779" s="5">
        <v>0</v>
      </c>
      <c r="O1779" s="5" t="str">
        <f t="shared" ca="1" si="27"/>
        <v>Supplier 123</v>
      </c>
      <c r="P1779" s="20" t="str">
        <f ca="1">IFERROR(VLOOKUP(O1779,EMAILS!B:C,2,FALSE),"NOT FOUND IN EMAILS")</f>
        <v>supplier@gmail.com</v>
      </c>
      <c r="Q1779" t="str">
        <f ca="1">""&amp;IFERROR(VLOOKUP(O1779,EMAILS!B:D,3,FALSE),"NOT FOUND IN EMAILS")</f>
        <v/>
      </c>
      <c r="R1779" t="str">
        <f ca="1">""&amp;IFERROR(VLOOKUP(O1779,EMAILS!B:E,4,FALSE),"NO T FOUND IN EMAILS")</f>
        <v/>
      </c>
    </row>
    <row r="1780" spans="2:18" x14ac:dyDescent="0.25">
      <c r="B1780" s="5" t="s">
        <v>1782</v>
      </c>
      <c r="C1780" s="5" t="s">
        <v>5922</v>
      </c>
      <c r="D1780" s="5">
        <v>160</v>
      </c>
      <c r="E1780" s="5">
        <v>80</v>
      </c>
      <c r="F1780" s="5">
        <v>120</v>
      </c>
      <c r="G1780" s="5">
        <v>160</v>
      </c>
      <c r="H1780" s="5">
        <v>168</v>
      </c>
      <c r="I1780" s="5">
        <v>0</v>
      </c>
      <c r="J1780" s="5">
        <v>80</v>
      </c>
      <c r="K1780" s="5">
        <v>0</v>
      </c>
      <c r="L1780" s="5">
        <v>160</v>
      </c>
      <c r="M1780" s="5">
        <v>0</v>
      </c>
      <c r="N1780" s="5">
        <v>2000</v>
      </c>
      <c r="O1780" s="5" t="str">
        <f t="shared" ca="1" si="27"/>
        <v>Supplier 178</v>
      </c>
      <c r="P1780" s="20" t="str">
        <f ca="1">IFERROR(VLOOKUP(O1780,EMAILS!B:C,2,FALSE),"NOT FOUND IN EMAILS")</f>
        <v>supplier@gmail.com</v>
      </c>
      <c r="Q1780" t="str">
        <f ca="1">""&amp;IFERROR(VLOOKUP(O1780,EMAILS!B:D,3,FALSE),"NOT FOUND IN EMAILS")</f>
        <v/>
      </c>
      <c r="R1780" t="str">
        <f ca="1">""&amp;IFERROR(VLOOKUP(O1780,EMAILS!B:E,4,FALSE),"NO T FOUND IN EMAILS")</f>
        <v/>
      </c>
    </row>
    <row r="1781" spans="2:18" x14ac:dyDescent="0.25">
      <c r="B1781" s="5" t="s">
        <v>1783</v>
      </c>
      <c r="C1781" s="5" t="s">
        <v>5923</v>
      </c>
      <c r="D1781" s="5">
        <v>400</v>
      </c>
      <c r="E1781" s="5">
        <v>100</v>
      </c>
      <c r="F1781" s="5">
        <v>300</v>
      </c>
      <c r="G1781" s="5">
        <v>400</v>
      </c>
      <c r="H1781" s="5">
        <v>400</v>
      </c>
      <c r="I1781" s="5">
        <v>400</v>
      </c>
      <c r="J1781" s="5">
        <v>400</v>
      </c>
      <c r="K1781" s="5">
        <v>400</v>
      </c>
      <c r="L1781" s="5">
        <v>300</v>
      </c>
      <c r="M1781" s="5">
        <v>0</v>
      </c>
      <c r="N1781" s="5">
        <v>3000</v>
      </c>
      <c r="O1781" s="5" t="str">
        <f t="shared" ca="1" si="27"/>
        <v>Supplier 37</v>
      </c>
      <c r="P1781" s="20" t="str">
        <f ca="1">IFERROR(VLOOKUP(O1781,EMAILS!B:C,2,FALSE),"NOT FOUND IN EMAILS")</f>
        <v>supplier@gmail.com</v>
      </c>
      <c r="Q1781" t="str">
        <f ca="1">""&amp;IFERROR(VLOOKUP(O1781,EMAILS!B:D,3,FALSE),"NOT FOUND IN EMAILS")</f>
        <v/>
      </c>
      <c r="R1781" t="str">
        <f ca="1">""&amp;IFERROR(VLOOKUP(O1781,EMAILS!B:E,4,FALSE),"NO T FOUND IN EMAILS")</f>
        <v/>
      </c>
    </row>
    <row r="1782" spans="2:18" x14ac:dyDescent="0.25">
      <c r="B1782" s="5" t="s">
        <v>1784</v>
      </c>
      <c r="C1782" s="5" t="s">
        <v>5924</v>
      </c>
      <c r="D1782" s="5">
        <v>400</v>
      </c>
      <c r="E1782" s="5">
        <v>100</v>
      </c>
      <c r="F1782" s="5">
        <v>300</v>
      </c>
      <c r="G1782" s="5">
        <v>400</v>
      </c>
      <c r="H1782" s="5">
        <v>400</v>
      </c>
      <c r="I1782" s="5">
        <v>400</v>
      </c>
      <c r="J1782" s="5">
        <v>400</v>
      </c>
      <c r="K1782" s="5">
        <v>400</v>
      </c>
      <c r="L1782" s="5">
        <v>300</v>
      </c>
      <c r="M1782" s="5">
        <v>0</v>
      </c>
      <c r="N1782" s="5">
        <v>72</v>
      </c>
      <c r="O1782" s="5" t="str">
        <f t="shared" ca="1" si="27"/>
        <v>Supplier 77</v>
      </c>
      <c r="P1782" s="20" t="str">
        <f ca="1">IFERROR(VLOOKUP(O1782,EMAILS!B:C,2,FALSE),"NOT FOUND IN EMAILS")</f>
        <v>supplier@gmail.com</v>
      </c>
      <c r="Q1782" t="str">
        <f ca="1">""&amp;IFERROR(VLOOKUP(O1782,EMAILS!B:D,3,FALSE),"NOT FOUND IN EMAILS")</f>
        <v/>
      </c>
      <c r="R1782" t="str">
        <f ca="1">""&amp;IFERROR(VLOOKUP(O1782,EMAILS!B:E,4,FALSE),"NO T FOUND IN EMAILS")</f>
        <v/>
      </c>
    </row>
    <row r="1783" spans="2:18" x14ac:dyDescent="0.25">
      <c r="B1783" s="5" t="s">
        <v>1785</v>
      </c>
      <c r="C1783" s="5" t="s">
        <v>5925</v>
      </c>
      <c r="D1783" s="5">
        <v>0</v>
      </c>
      <c r="E1783" s="5">
        <v>0</v>
      </c>
      <c r="F1783" s="5">
        <v>0</v>
      </c>
      <c r="G1783" s="5">
        <v>80</v>
      </c>
      <c r="H1783" s="5">
        <v>0</v>
      </c>
      <c r="I1783" s="5">
        <v>80</v>
      </c>
      <c r="J1783" s="5">
        <v>0</v>
      </c>
      <c r="K1783" s="5">
        <v>0</v>
      </c>
      <c r="L1783" s="5">
        <v>80</v>
      </c>
      <c r="M1783" s="5">
        <v>0</v>
      </c>
      <c r="N1783" s="5">
        <v>0</v>
      </c>
      <c r="O1783" s="5" t="str">
        <f t="shared" ca="1" si="27"/>
        <v>Supplier 160</v>
      </c>
      <c r="P1783" s="20" t="str">
        <f ca="1">IFERROR(VLOOKUP(O1783,EMAILS!B:C,2,FALSE),"NOT FOUND IN EMAILS")</f>
        <v>supplier@gmail.com</v>
      </c>
      <c r="Q1783" t="str">
        <f ca="1">""&amp;IFERROR(VLOOKUP(O1783,EMAILS!B:D,3,FALSE),"NOT FOUND IN EMAILS")</f>
        <v/>
      </c>
      <c r="R1783" t="str">
        <f ca="1">""&amp;IFERROR(VLOOKUP(O1783,EMAILS!B:E,4,FALSE),"NO T FOUND IN EMAILS")</f>
        <v/>
      </c>
    </row>
    <row r="1784" spans="2:18" x14ac:dyDescent="0.25">
      <c r="B1784" s="5" t="s">
        <v>1786</v>
      </c>
      <c r="C1784" s="5" t="s">
        <v>5926</v>
      </c>
      <c r="D1784" s="5">
        <v>0</v>
      </c>
      <c r="E1784" s="5">
        <v>0</v>
      </c>
      <c r="F1784" s="5">
        <v>80</v>
      </c>
      <c r="G1784" s="5">
        <v>0</v>
      </c>
      <c r="H1784" s="5">
        <v>80</v>
      </c>
      <c r="I1784" s="5">
        <v>80</v>
      </c>
      <c r="J1784" s="5">
        <v>0</v>
      </c>
      <c r="K1784" s="5">
        <v>0</v>
      </c>
      <c r="L1784" s="5">
        <v>80</v>
      </c>
      <c r="M1784" s="5">
        <v>0</v>
      </c>
      <c r="N1784" s="5">
        <v>0</v>
      </c>
      <c r="O1784" s="5" t="str">
        <f t="shared" ca="1" si="27"/>
        <v>Supplier 73</v>
      </c>
      <c r="P1784" s="20" t="str">
        <f ca="1">IFERROR(VLOOKUP(O1784,EMAILS!B:C,2,FALSE),"NOT FOUND IN EMAILS")</f>
        <v>supplier@gmail.com</v>
      </c>
      <c r="Q1784" t="str">
        <f ca="1">""&amp;IFERROR(VLOOKUP(O1784,EMAILS!B:D,3,FALSE),"NOT FOUND IN EMAILS")</f>
        <v/>
      </c>
      <c r="R1784" t="str">
        <f ca="1">""&amp;IFERROR(VLOOKUP(O1784,EMAILS!B:E,4,FALSE),"NO T FOUND IN EMAILS")</f>
        <v/>
      </c>
    </row>
    <row r="1785" spans="2:18" x14ac:dyDescent="0.25">
      <c r="B1785" s="5" t="s">
        <v>1787</v>
      </c>
      <c r="C1785" s="5" t="s">
        <v>5927</v>
      </c>
      <c r="D1785" s="5">
        <v>2400</v>
      </c>
      <c r="E1785" s="5">
        <v>2400</v>
      </c>
      <c r="F1785" s="5">
        <v>3600</v>
      </c>
      <c r="G1785" s="5">
        <v>3600</v>
      </c>
      <c r="H1785" s="5">
        <v>3630</v>
      </c>
      <c r="I1785" s="5">
        <v>3630</v>
      </c>
      <c r="J1785" s="5">
        <v>3600</v>
      </c>
      <c r="K1785" s="5">
        <v>2400</v>
      </c>
      <c r="L1785" s="5">
        <v>2445</v>
      </c>
      <c r="M1785" s="5">
        <v>0</v>
      </c>
      <c r="N1785" s="5">
        <v>444</v>
      </c>
      <c r="O1785" s="5" t="str">
        <f t="shared" ca="1" si="27"/>
        <v>Supplier 55</v>
      </c>
      <c r="P1785" s="20" t="str">
        <f ca="1">IFERROR(VLOOKUP(O1785,EMAILS!B:C,2,FALSE),"NOT FOUND IN EMAILS")</f>
        <v>supplier@gmail.com</v>
      </c>
      <c r="Q1785" t="str">
        <f ca="1">""&amp;IFERROR(VLOOKUP(O1785,EMAILS!B:D,3,FALSE),"NOT FOUND IN EMAILS")</f>
        <v/>
      </c>
      <c r="R1785" t="str">
        <f ca="1">""&amp;IFERROR(VLOOKUP(O1785,EMAILS!B:E,4,FALSE),"NO T FOUND IN EMAILS")</f>
        <v/>
      </c>
    </row>
    <row r="1786" spans="2:18" x14ac:dyDescent="0.25">
      <c r="B1786" s="5" t="s">
        <v>1788</v>
      </c>
      <c r="C1786" s="5" t="s">
        <v>5928</v>
      </c>
      <c r="D1786" s="5">
        <v>0</v>
      </c>
      <c r="E1786" s="5">
        <v>0</v>
      </c>
      <c r="F1786" s="5">
        <v>72</v>
      </c>
      <c r="G1786" s="5">
        <v>72</v>
      </c>
      <c r="H1786" s="5">
        <v>0</v>
      </c>
      <c r="I1786" s="5">
        <v>78</v>
      </c>
      <c r="J1786" s="5">
        <v>0</v>
      </c>
      <c r="K1786" s="5">
        <v>0</v>
      </c>
      <c r="L1786" s="5">
        <v>72</v>
      </c>
      <c r="M1786" s="5">
        <v>0</v>
      </c>
      <c r="N1786" s="5">
        <v>359</v>
      </c>
      <c r="O1786" s="5" t="str">
        <f t="shared" ca="1" si="27"/>
        <v>Supplier 133</v>
      </c>
      <c r="P1786" s="20" t="str">
        <f ca="1">IFERROR(VLOOKUP(O1786,EMAILS!B:C,2,FALSE),"NOT FOUND IN EMAILS")</f>
        <v>supplier@gmail.com</v>
      </c>
      <c r="Q1786" t="str">
        <f ca="1">""&amp;IFERROR(VLOOKUP(O1786,EMAILS!B:D,3,FALSE),"NOT FOUND IN EMAILS")</f>
        <v/>
      </c>
      <c r="R1786" t="str">
        <f ca="1">""&amp;IFERROR(VLOOKUP(O1786,EMAILS!B:E,4,FALSE),"NO T FOUND IN EMAILS")</f>
        <v/>
      </c>
    </row>
    <row r="1787" spans="2:18" x14ac:dyDescent="0.25">
      <c r="B1787" s="5" t="s">
        <v>1789</v>
      </c>
      <c r="C1787" s="5" t="s">
        <v>5929</v>
      </c>
      <c r="D1787" s="5">
        <v>10</v>
      </c>
      <c r="E1787" s="5">
        <v>0</v>
      </c>
      <c r="F1787" s="5">
        <v>10</v>
      </c>
      <c r="G1787" s="5">
        <v>10</v>
      </c>
      <c r="H1787" s="5">
        <v>0</v>
      </c>
      <c r="I1787" s="5">
        <v>0</v>
      </c>
      <c r="J1787" s="5">
        <v>0</v>
      </c>
      <c r="K1787" s="5">
        <v>0</v>
      </c>
      <c r="L1787" s="5">
        <v>0</v>
      </c>
      <c r="M1787" s="5">
        <v>0</v>
      </c>
      <c r="N1787" s="5">
        <v>600</v>
      </c>
      <c r="O1787" s="5" t="str">
        <f t="shared" ca="1" si="27"/>
        <v>Supplier 139</v>
      </c>
      <c r="P1787" s="20" t="str">
        <f ca="1">IFERROR(VLOOKUP(O1787,EMAILS!B:C,2,FALSE),"NOT FOUND IN EMAILS")</f>
        <v>supplier@gmail.com</v>
      </c>
      <c r="Q1787" t="str">
        <f ca="1">""&amp;IFERROR(VLOOKUP(O1787,EMAILS!B:D,3,FALSE),"NOT FOUND IN EMAILS")</f>
        <v/>
      </c>
      <c r="R1787" t="str">
        <f ca="1">""&amp;IFERROR(VLOOKUP(O1787,EMAILS!B:E,4,FALSE),"NO T FOUND IN EMAILS")</f>
        <v/>
      </c>
    </row>
    <row r="1788" spans="2:18" x14ac:dyDescent="0.25">
      <c r="B1788" s="5" t="s">
        <v>1790</v>
      </c>
      <c r="C1788" s="5" t="s">
        <v>5930</v>
      </c>
      <c r="D1788" s="5">
        <v>1000</v>
      </c>
      <c r="E1788" s="5">
        <v>784</v>
      </c>
      <c r="F1788" s="5">
        <v>1040</v>
      </c>
      <c r="G1788" s="5">
        <v>946</v>
      </c>
      <c r="H1788" s="5">
        <v>776</v>
      </c>
      <c r="I1788" s="5">
        <v>942</v>
      </c>
      <c r="J1788" s="5">
        <v>496</v>
      </c>
      <c r="K1788" s="5">
        <v>456</v>
      </c>
      <c r="L1788" s="5">
        <v>576</v>
      </c>
      <c r="M1788" s="5">
        <v>0</v>
      </c>
      <c r="N1788" s="5">
        <v>480</v>
      </c>
      <c r="O1788" s="5" t="str">
        <f t="shared" ca="1" si="27"/>
        <v>Supplier 93</v>
      </c>
      <c r="P1788" s="20" t="str">
        <f ca="1">IFERROR(VLOOKUP(O1788,EMAILS!B:C,2,FALSE),"NOT FOUND IN EMAILS")</f>
        <v>supplier@gmail.com</v>
      </c>
      <c r="Q1788" t="str">
        <f ca="1">""&amp;IFERROR(VLOOKUP(O1788,EMAILS!B:D,3,FALSE),"NOT FOUND IN EMAILS")</f>
        <v/>
      </c>
      <c r="R1788" t="str">
        <f ca="1">""&amp;IFERROR(VLOOKUP(O1788,EMAILS!B:E,4,FALSE),"NO T FOUND IN EMAILS")</f>
        <v/>
      </c>
    </row>
    <row r="1789" spans="2:18" x14ac:dyDescent="0.25">
      <c r="B1789" s="5" t="s">
        <v>1791</v>
      </c>
      <c r="C1789" s="5" t="s">
        <v>5931</v>
      </c>
      <c r="D1789" s="5">
        <v>1000</v>
      </c>
      <c r="E1789" s="5">
        <v>784</v>
      </c>
      <c r="F1789" s="5">
        <v>968</v>
      </c>
      <c r="G1789" s="5">
        <v>874</v>
      </c>
      <c r="H1789" s="5">
        <v>776</v>
      </c>
      <c r="I1789" s="5">
        <v>864</v>
      </c>
      <c r="J1789" s="5">
        <v>496</v>
      </c>
      <c r="K1789" s="5">
        <v>456</v>
      </c>
      <c r="L1789" s="5">
        <v>504</v>
      </c>
      <c r="M1789" s="5">
        <v>0</v>
      </c>
      <c r="N1789" s="5">
        <v>24</v>
      </c>
      <c r="O1789" s="5" t="str">
        <f t="shared" ca="1" si="27"/>
        <v>Supplier 173</v>
      </c>
      <c r="P1789" s="20" t="str">
        <f ca="1">IFERROR(VLOOKUP(O1789,EMAILS!B:C,2,FALSE),"NOT FOUND IN EMAILS")</f>
        <v>supplier@gmail.com</v>
      </c>
      <c r="Q1789" t="str">
        <f ca="1">""&amp;IFERROR(VLOOKUP(O1789,EMAILS!B:D,3,FALSE),"NOT FOUND IN EMAILS")</f>
        <v/>
      </c>
      <c r="R1789" t="str">
        <f ca="1">""&amp;IFERROR(VLOOKUP(O1789,EMAILS!B:E,4,FALSE),"NO T FOUND IN EMAILS")</f>
        <v/>
      </c>
    </row>
    <row r="1790" spans="2:18" x14ac:dyDescent="0.25">
      <c r="B1790" s="5" t="s">
        <v>1792</v>
      </c>
      <c r="C1790" s="5" t="s">
        <v>5932</v>
      </c>
      <c r="D1790" s="5">
        <v>0</v>
      </c>
      <c r="E1790" s="5">
        <v>0</v>
      </c>
      <c r="F1790" s="5">
        <v>0</v>
      </c>
      <c r="G1790" s="5">
        <v>0</v>
      </c>
      <c r="H1790" s="5">
        <v>0</v>
      </c>
      <c r="I1790" s="5">
        <v>0</v>
      </c>
      <c r="J1790" s="5">
        <v>0</v>
      </c>
      <c r="K1790" s="5">
        <v>0</v>
      </c>
      <c r="L1790" s="5">
        <v>0</v>
      </c>
      <c r="M1790" s="5">
        <v>0</v>
      </c>
      <c r="N1790" s="5">
        <v>400</v>
      </c>
      <c r="O1790" s="5" t="str">
        <f t="shared" ca="1" si="27"/>
        <v>Supplier 175</v>
      </c>
      <c r="P1790" s="20" t="str">
        <f ca="1">IFERROR(VLOOKUP(O1790,EMAILS!B:C,2,FALSE),"NOT FOUND IN EMAILS")</f>
        <v>supplier@gmail.com</v>
      </c>
      <c r="Q1790" t="str">
        <f ca="1">""&amp;IFERROR(VLOOKUP(O1790,EMAILS!B:D,3,FALSE),"NOT FOUND IN EMAILS")</f>
        <v/>
      </c>
      <c r="R1790" t="str">
        <f ca="1">""&amp;IFERROR(VLOOKUP(O1790,EMAILS!B:E,4,FALSE),"NO T FOUND IN EMAILS")</f>
        <v/>
      </c>
    </row>
    <row r="1791" spans="2:18" x14ac:dyDescent="0.25">
      <c r="B1791" s="5" t="s">
        <v>1793</v>
      </c>
      <c r="C1791" s="5" t="s">
        <v>5933</v>
      </c>
      <c r="D1791" s="5">
        <v>2136</v>
      </c>
      <c r="E1791" s="5">
        <v>1737</v>
      </c>
      <c r="F1791" s="5">
        <v>2397</v>
      </c>
      <c r="G1791" s="5">
        <v>2141</v>
      </c>
      <c r="H1791" s="5">
        <v>1772</v>
      </c>
      <c r="I1791" s="5">
        <v>2001</v>
      </c>
      <c r="J1791" s="5">
        <v>1173</v>
      </c>
      <c r="K1791" s="5">
        <v>1096</v>
      </c>
      <c r="L1791" s="5">
        <v>1367</v>
      </c>
      <c r="M1791" s="5">
        <v>0</v>
      </c>
      <c r="N1791" s="5">
        <v>250</v>
      </c>
      <c r="O1791" s="5" t="str">
        <f t="shared" ca="1" si="27"/>
        <v>Supplier 6</v>
      </c>
      <c r="P1791" s="20" t="str">
        <f ca="1">IFERROR(VLOOKUP(O1791,EMAILS!B:C,2,FALSE),"NOT FOUND IN EMAILS")</f>
        <v>supplier@gmail.com</v>
      </c>
      <c r="Q1791" t="str">
        <f ca="1">""&amp;IFERROR(VLOOKUP(O1791,EMAILS!B:D,3,FALSE),"NOT FOUND IN EMAILS")</f>
        <v>supplier_logistics@gmail.com</v>
      </c>
      <c r="R1791" t="str">
        <f ca="1">""&amp;IFERROR(VLOOKUP(O1791,EMAILS!B:E,4,FALSE),"NO T FOUND IN EMAILS")</f>
        <v/>
      </c>
    </row>
    <row r="1792" spans="2:18" x14ac:dyDescent="0.25">
      <c r="B1792" s="5" t="s">
        <v>1794</v>
      </c>
      <c r="C1792" s="5" t="s">
        <v>5934</v>
      </c>
      <c r="D1792" s="5">
        <v>80</v>
      </c>
      <c r="E1792" s="5">
        <v>128</v>
      </c>
      <c r="F1792" s="5">
        <v>136</v>
      </c>
      <c r="G1792" s="5">
        <v>130</v>
      </c>
      <c r="H1792" s="5">
        <v>80</v>
      </c>
      <c r="I1792" s="5">
        <v>172</v>
      </c>
      <c r="J1792" s="5">
        <v>114</v>
      </c>
      <c r="K1792" s="5">
        <v>88</v>
      </c>
      <c r="L1792" s="5">
        <v>138</v>
      </c>
      <c r="M1792" s="5">
        <v>0</v>
      </c>
      <c r="N1792" s="5">
        <v>200</v>
      </c>
      <c r="O1792" s="5" t="str">
        <f t="shared" ca="1" si="27"/>
        <v>Supplier 42</v>
      </c>
      <c r="P1792" s="20" t="str">
        <f ca="1">IFERROR(VLOOKUP(O1792,EMAILS!B:C,2,FALSE),"NOT FOUND IN EMAILS")</f>
        <v>supplier@gmail.com</v>
      </c>
      <c r="Q1792" t="str">
        <f ca="1">""&amp;IFERROR(VLOOKUP(O1792,EMAILS!B:D,3,FALSE),"NOT FOUND IN EMAILS")</f>
        <v/>
      </c>
      <c r="R1792" t="str">
        <f ca="1">""&amp;IFERROR(VLOOKUP(O1792,EMAILS!B:E,4,FALSE),"NO T FOUND IN EMAILS")</f>
        <v/>
      </c>
    </row>
    <row r="1793" spans="2:18" x14ac:dyDescent="0.25">
      <c r="B1793" s="5" t="s">
        <v>1795</v>
      </c>
      <c r="C1793" s="5" t="s">
        <v>5935</v>
      </c>
      <c r="D1793" s="5">
        <v>40</v>
      </c>
      <c r="E1793" s="5">
        <v>64</v>
      </c>
      <c r="F1793" s="5">
        <v>68</v>
      </c>
      <c r="G1793" s="5">
        <v>65</v>
      </c>
      <c r="H1793" s="5">
        <v>40</v>
      </c>
      <c r="I1793" s="5">
        <v>86</v>
      </c>
      <c r="J1793" s="5">
        <v>57</v>
      </c>
      <c r="K1793" s="5">
        <v>44</v>
      </c>
      <c r="L1793" s="5">
        <v>69</v>
      </c>
      <c r="M1793" s="5">
        <v>0</v>
      </c>
      <c r="N1793" s="5">
        <v>120</v>
      </c>
      <c r="O1793" s="5" t="str">
        <f t="shared" ca="1" si="27"/>
        <v>Supplier 185</v>
      </c>
      <c r="P1793" s="20" t="str">
        <f ca="1">IFERROR(VLOOKUP(O1793,EMAILS!B:C,2,FALSE),"NOT FOUND IN EMAILS")</f>
        <v>supplier@gmail.com</v>
      </c>
      <c r="Q1793" t="str">
        <f ca="1">""&amp;IFERROR(VLOOKUP(O1793,EMAILS!B:D,3,FALSE),"NOT FOUND IN EMAILS")</f>
        <v/>
      </c>
      <c r="R1793" t="str">
        <f ca="1">""&amp;IFERROR(VLOOKUP(O1793,EMAILS!B:E,4,FALSE),"NO T FOUND IN EMAILS")</f>
        <v/>
      </c>
    </row>
    <row r="1794" spans="2:18" x14ac:dyDescent="0.25">
      <c r="B1794" s="5" t="s">
        <v>1796</v>
      </c>
      <c r="C1794" s="5" t="s">
        <v>5936</v>
      </c>
      <c r="D1794" s="5">
        <v>0</v>
      </c>
      <c r="E1794" s="5">
        <v>0</v>
      </c>
      <c r="F1794" s="5">
        <v>0</v>
      </c>
      <c r="G1794" s="5">
        <v>0</v>
      </c>
      <c r="H1794" s="5">
        <v>0</v>
      </c>
      <c r="I1794" s="5">
        <v>0</v>
      </c>
      <c r="J1794" s="5">
        <v>0</v>
      </c>
      <c r="K1794" s="5">
        <v>0</v>
      </c>
      <c r="L1794" s="5">
        <v>0</v>
      </c>
      <c r="M1794" s="5">
        <v>0</v>
      </c>
      <c r="N1794" s="5">
        <v>400</v>
      </c>
      <c r="O1794" s="5" t="str">
        <f t="shared" ca="1" si="27"/>
        <v>Supplier 199</v>
      </c>
      <c r="P1794" s="20" t="str">
        <f ca="1">IFERROR(VLOOKUP(O1794,EMAILS!B:C,2,FALSE),"NOT FOUND IN EMAILS")</f>
        <v>supplier@gmail.com</v>
      </c>
      <c r="Q1794" t="str">
        <f ca="1">""&amp;IFERROR(VLOOKUP(O1794,EMAILS!B:D,3,FALSE),"NOT FOUND IN EMAILS")</f>
        <v/>
      </c>
      <c r="R1794" t="str">
        <f ca="1">""&amp;IFERROR(VLOOKUP(O1794,EMAILS!B:E,4,FALSE),"NO T FOUND IN EMAILS")</f>
        <v/>
      </c>
    </row>
    <row r="1795" spans="2:18" x14ac:dyDescent="0.25">
      <c r="B1795" s="5" t="s">
        <v>1797</v>
      </c>
      <c r="C1795" s="5" t="s">
        <v>5937</v>
      </c>
      <c r="D1795" s="5">
        <v>240</v>
      </c>
      <c r="E1795" s="5">
        <v>160</v>
      </c>
      <c r="F1795" s="5">
        <v>160</v>
      </c>
      <c r="G1795" s="5">
        <v>240</v>
      </c>
      <c r="H1795" s="5">
        <v>160</v>
      </c>
      <c r="I1795" s="5">
        <v>160</v>
      </c>
      <c r="J1795" s="5">
        <v>240</v>
      </c>
      <c r="K1795" s="5">
        <v>80</v>
      </c>
      <c r="L1795" s="5">
        <v>240</v>
      </c>
      <c r="M1795" s="5">
        <v>0</v>
      </c>
      <c r="N1795" s="5">
        <v>0</v>
      </c>
      <c r="O1795" s="5" t="str">
        <f t="shared" ref="O1795:O1858" ca="1" si="28">"Supplier "&amp;RANDBETWEEN(1,200)</f>
        <v>Supplier 153</v>
      </c>
      <c r="P1795" s="20" t="str">
        <f ca="1">IFERROR(VLOOKUP(O1795,EMAILS!B:C,2,FALSE),"NOT FOUND IN EMAILS")</f>
        <v>supplier@gmail.com</v>
      </c>
      <c r="Q1795" t="str">
        <f ca="1">""&amp;IFERROR(VLOOKUP(O1795,EMAILS!B:D,3,FALSE),"NOT FOUND IN EMAILS")</f>
        <v/>
      </c>
      <c r="R1795" t="str">
        <f ca="1">""&amp;IFERROR(VLOOKUP(O1795,EMAILS!B:E,4,FALSE),"NO T FOUND IN EMAILS")</f>
        <v/>
      </c>
    </row>
    <row r="1796" spans="2:18" x14ac:dyDescent="0.25">
      <c r="B1796" s="5" t="s">
        <v>1798</v>
      </c>
      <c r="C1796" s="5" t="s">
        <v>5938</v>
      </c>
      <c r="D1796" s="5">
        <v>160</v>
      </c>
      <c r="E1796" s="5">
        <v>0</v>
      </c>
      <c r="F1796" s="5">
        <v>1008</v>
      </c>
      <c r="G1796" s="5">
        <v>1272</v>
      </c>
      <c r="H1796" s="5">
        <v>1272</v>
      </c>
      <c r="I1796" s="5">
        <v>120</v>
      </c>
      <c r="J1796" s="5">
        <v>0</v>
      </c>
      <c r="K1796" s="5">
        <v>0</v>
      </c>
      <c r="L1796" s="5">
        <v>120</v>
      </c>
      <c r="M1796" s="5">
        <v>0</v>
      </c>
      <c r="N1796" s="5">
        <v>0</v>
      </c>
      <c r="O1796" s="5" t="str">
        <f t="shared" ca="1" si="28"/>
        <v>Supplier 162</v>
      </c>
      <c r="P1796" s="20" t="str">
        <f ca="1">IFERROR(VLOOKUP(O1796,EMAILS!B:C,2,FALSE),"NOT FOUND IN EMAILS")</f>
        <v>supplier@gmail.com</v>
      </c>
      <c r="Q1796" t="str">
        <f ca="1">""&amp;IFERROR(VLOOKUP(O1796,EMAILS!B:D,3,FALSE),"NOT FOUND IN EMAILS")</f>
        <v/>
      </c>
      <c r="R1796" t="str">
        <f ca="1">""&amp;IFERROR(VLOOKUP(O1796,EMAILS!B:E,4,FALSE),"NO T FOUND IN EMAILS")</f>
        <v/>
      </c>
    </row>
    <row r="1797" spans="2:18" x14ac:dyDescent="0.25">
      <c r="B1797" s="5" t="s">
        <v>1799</v>
      </c>
      <c r="C1797" s="5" t="s">
        <v>5939</v>
      </c>
      <c r="D1797" s="5">
        <v>160</v>
      </c>
      <c r="E1797" s="5">
        <v>0</v>
      </c>
      <c r="F1797" s="5">
        <v>0</v>
      </c>
      <c r="G1797" s="5">
        <v>80</v>
      </c>
      <c r="H1797" s="5">
        <v>80</v>
      </c>
      <c r="I1797" s="5">
        <v>0</v>
      </c>
      <c r="J1797" s="5">
        <v>80</v>
      </c>
      <c r="K1797" s="5">
        <v>0</v>
      </c>
      <c r="L1797" s="5">
        <v>80</v>
      </c>
      <c r="M1797" s="5">
        <v>0</v>
      </c>
      <c r="N1797" s="5">
        <v>100</v>
      </c>
      <c r="O1797" s="5" t="str">
        <f t="shared" ca="1" si="28"/>
        <v>Supplier 63</v>
      </c>
      <c r="P1797" s="20" t="str">
        <f ca="1">IFERROR(VLOOKUP(O1797,EMAILS!B:C,2,FALSE),"NOT FOUND IN EMAILS")</f>
        <v>supplier@gmail.com</v>
      </c>
      <c r="Q1797" t="str">
        <f ca="1">""&amp;IFERROR(VLOOKUP(O1797,EMAILS!B:D,3,FALSE),"NOT FOUND IN EMAILS")</f>
        <v/>
      </c>
      <c r="R1797" t="str">
        <f ca="1">""&amp;IFERROR(VLOOKUP(O1797,EMAILS!B:E,4,FALSE),"NO T FOUND IN EMAILS")</f>
        <v/>
      </c>
    </row>
    <row r="1798" spans="2:18" x14ac:dyDescent="0.25">
      <c r="B1798" s="5" t="s">
        <v>1800</v>
      </c>
      <c r="C1798" s="5" t="s">
        <v>5940</v>
      </c>
      <c r="D1798" s="5">
        <v>0</v>
      </c>
      <c r="E1798" s="5">
        <v>0</v>
      </c>
      <c r="F1798" s="5">
        <v>0</v>
      </c>
      <c r="G1798" s="5">
        <v>0</v>
      </c>
      <c r="H1798" s="5">
        <v>0</v>
      </c>
      <c r="I1798" s="5">
        <v>0</v>
      </c>
      <c r="J1798" s="5">
        <v>0</v>
      </c>
      <c r="K1798" s="5">
        <v>0</v>
      </c>
      <c r="L1798" s="5">
        <v>0</v>
      </c>
      <c r="M1798" s="5">
        <v>0</v>
      </c>
      <c r="N1798" s="5">
        <v>35</v>
      </c>
      <c r="O1798" s="5" t="str">
        <f t="shared" ca="1" si="28"/>
        <v>Supplier 49</v>
      </c>
      <c r="P1798" s="20" t="str">
        <f ca="1">IFERROR(VLOOKUP(O1798,EMAILS!B:C,2,FALSE),"NOT FOUND IN EMAILS")</f>
        <v>supplier@gmail.com</v>
      </c>
      <c r="Q1798" t="str">
        <f ca="1">""&amp;IFERROR(VLOOKUP(O1798,EMAILS!B:D,3,FALSE),"NOT FOUND IN EMAILS")</f>
        <v/>
      </c>
      <c r="R1798" t="str">
        <f ca="1">""&amp;IFERROR(VLOOKUP(O1798,EMAILS!B:E,4,FALSE),"NO T FOUND IN EMAILS")</f>
        <v/>
      </c>
    </row>
    <row r="1799" spans="2:18" x14ac:dyDescent="0.25">
      <c r="B1799" s="5" t="s">
        <v>1801</v>
      </c>
      <c r="C1799" s="5" t="s">
        <v>5941</v>
      </c>
      <c r="D1799" s="5">
        <v>0</v>
      </c>
      <c r="E1799" s="5">
        <v>0</v>
      </c>
      <c r="F1799" s="5">
        <v>0</v>
      </c>
      <c r="G1799" s="5">
        <v>0</v>
      </c>
      <c r="H1799" s="5">
        <v>0</v>
      </c>
      <c r="I1799" s="5">
        <v>0</v>
      </c>
      <c r="J1799" s="5">
        <v>0</v>
      </c>
      <c r="K1799" s="5">
        <v>0</v>
      </c>
      <c r="L1799" s="5">
        <v>0</v>
      </c>
      <c r="M1799" s="5">
        <v>0</v>
      </c>
      <c r="N1799" s="5">
        <v>0</v>
      </c>
      <c r="O1799" s="5" t="str">
        <f t="shared" ca="1" si="28"/>
        <v>Supplier 75</v>
      </c>
      <c r="P1799" s="20" t="str">
        <f ca="1">IFERROR(VLOOKUP(O1799,EMAILS!B:C,2,FALSE),"NOT FOUND IN EMAILS")</f>
        <v>supplier@gmail.com</v>
      </c>
      <c r="Q1799" t="str">
        <f ca="1">""&amp;IFERROR(VLOOKUP(O1799,EMAILS!B:D,3,FALSE),"NOT FOUND IN EMAILS")</f>
        <v/>
      </c>
      <c r="R1799" t="str">
        <f ca="1">""&amp;IFERROR(VLOOKUP(O1799,EMAILS!B:E,4,FALSE),"NO T FOUND IN EMAILS")</f>
        <v/>
      </c>
    </row>
    <row r="1800" spans="2:18" x14ac:dyDescent="0.25">
      <c r="B1800" s="5" t="s">
        <v>1802</v>
      </c>
      <c r="C1800" s="5" t="s">
        <v>5942</v>
      </c>
      <c r="D1800" s="5">
        <v>0</v>
      </c>
      <c r="E1800" s="5">
        <v>0</v>
      </c>
      <c r="F1800" s="5">
        <v>0</v>
      </c>
      <c r="G1800" s="5">
        <v>0</v>
      </c>
      <c r="H1800" s="5">
        <v>0</v>
      </c>
      <c r="I1800" s="5">
        <v>0</v>
      </c>
      <c r="J1800" s="5">
        <v>0</v>
      </c>
      <c r="K1800" s="5">
        <v>0</v>
      </c>
      <c r="L1800" s="5">
        <v>0</v>
      </c>
      <c r="M1800" s="5">
        <v>0</v>
      </c>
      <c r="N1800" s="5">
        <v>72</v>
      </c>
      <c r="O1800" s="5" t="str">
        <f t="shared" ca="1" si="28"/>
        <v>Supplier 42</v>
      </c>
      <c r="P1800" s="20" t="str">
        <f ca="1">IFERROR(VLOOKUP(O1800,EMAILS!B:C,2,FALSE),"NOT FOUND IN EMAILS")</f>
        <v>supplier@gmail.com</v>
      </c>
      <c r="Q1800" t="str">
        <f ca="1">""&amp;IFERROR(VLOOKUP(O1800,EMAILS!B:D,3,FALSE),"NOT FOUND IN EMAILS")</f>
        <v/>
      </c>
      <c r="R1800" t="str">
        <f ca="1">""&amp;IFERROR(VLOOKUP(O1800,EMAILS!B:E,4,FALSE),"NO T FOUND IN EMAILS")</f>
        <v/>
      </c>
    </row>
    <row r="1801" spans="2:18" x14ac:dyDescent="0.25">
      <c r="B1801" s="5" t="s">
        <v>1803</v>
      </c>
      <c r="C1801" s="5" t="s">
        <v>5943</v>
      </c>
      <c r="D1801" s="5">
        <v>0</v>
      </c>
      <c r="E1801" s="5">
        <v>0</v>
      </c>
      <c r="F1801" s="5">
        <v>0</v>
      </c>
      <c r="G1801" s="5">
        <v>80</v>
      </c>
      <c r="H1801" s="5">
        <v>0</v>
      </c>
      <c r="I1801" s="5">
        <v>80</v>
      </c>
      <c r="J1801" s="5">
        <v>0</v>
      </c>
      <c r="K1801" s="5">
        <v>0</v>
      </c>
      <c r="L1801" s="5">
        <v>80</v>
      </c>
      <c r="M1801" s="5">
        <v>0</v>
      </c>
      <c r="N1801" s="5">
        <v>0</v>
      </c>
      <c r="O1801" s="5" t="str">
        <f t="shared" ca="1" si="28"/>
        <v>Supplier 50</v>
      </c>
      <c r="P1801" s="20" t="str">
        <f ca="1">IFERROR(VLOOKUP(O1801,EMAILS!B:C,2,FALSE),"NOT FOUND IN EMAILS")</f>
        <v>supplier@gmail.com</v>
      </c>
      <c r="Q1801" t="str">
        <f ca="1">""&amp;IFERROR(VLOOKUP(O1801,EMAILS!B:D,3,FALSE),"NOT FOUND IN EMAILS")</f>
        <v/>
      </c>
      <c r="R1801" t="str">
        <f ca="1">""&amp;IFERROR(VLOOKUP(O1801,EMAILS!B:E,4,FALSE),"NO T FOUND IN EMAILS")</f>
        <v/>
      </c>
    </row>
    <row r="1802" spans="2:18" x14ac:dyDescent="0.25">
      <c r="B1802" s="5" t="s">
        <v>1804</v>
      </c>
      <c r="C1802" s="5" t="s">
        <v>5944</v>
      </c>
      <c r="D1802" s="5">
        <v>0</v>
      </c>
      <c r="E1802" s="5">
        <v>0</v>
      </c>
      <c r="F1802" s="5">
        <v>80</v>
      </c>
      <c r="G1802" s="5">
        <v>0</v>
      </c>
      <c r="H1802" s="5">
        <v>80</v>
      </c>
      <c r="I1802" s="5">
        <v>80</v>
      </c>
      <c r="J1802" s="5">
        <v>0</v>
      </c>
      <c r="K1802" s="5">
        <v>0</v>
      </c>
      <c r="L1802" s="5">
        <v>80</v>
      </c>
      <c r="M1802" s="5">
        <v>0</v>
      </c>
      <c r="N1802" s="5">
        <v>120</v>
      </c>
      <c r="O1802" s="5" t="str">
        <f t="shared" ca="1" si="28"/>
        <v>Supplier 47</v>
      </c>
      <c r="P1802" s="20" t="str">
        <f ca="1">IFERROR(VLOOKUP(O1802,EMAILS!B:C,2,FALSE),"NOT FOUND IN EMAILS")</f>
        <v>supplier@gmail.com</v>
      </c>
      <c r="Q1802" t="str">
        <f ca="1">""&amp;IFERROR(VLOOKUP(O1802,EMAILS!B:D,3,FALSE),"NOT FOUND IN EMAILS")</f>
        <v/>
      </c>
      <c r="R1802" t="str">
        <f ca="1">""&amp;IFERROR(VLOOKUP(O1802,EMAILS!B:E,4,FALSE),"NO T FOUND IN EMAILS")</f>
        <v/>
      </c>
    </row>
    <row r="1803" spans="2:18" x14ac:dyDescent="0.25">
      <c r="B1803" s="5" t="s">
        <v>1805</v>
      </c>
      <c r="C1803" s="5" t="s">
        <v>5945</v>
      </c>
      <c r="D1803" s="5">
        <v>0</v>
      </c>
      <c r="E1803" s="5">
        <v>0</v>
      </c>
      <c r="F1803" s="5">
        <v>0</v>
      </c>
      <c r="G1803" s="5">
        <v>80</v>
      </c>
      <c r="H1803" s="5">
        <v>0</v>
      </c>
      <c r="I1803" s="5">
        <v>80</v>
      </c>
      <c r="J1803" s="5">
        <v>0</v>
      </c>
      <c r="K1803" s="5">
        <v>0</v>
      </c>
      <c r="L1803" s="5">
        <v>80</v>
      </c>
      <c r="M1803" s="5">
        <v>0</v>
      </c>
      <c r="N1803" s="5">
        <v>120</v>
      </c>
      <c r="O1803" s="5" t="str">
        <f t="shared" ca="1" si="28"/>
        <v>Supplier 57</v>
      </c>
      <c r="P1803" s="20" t="str">
        <f ca="1">IFERROR(VLOOKUP(O1803,EMAILS!B:C,2,FALSE),"NOT FOUND IN EMAILS")</f>
        <v>supplier@gmail.com</v>
      </c>
      <c r="Q1803" t="str">
        <f ca="1">""&amp;IFERROR(VLOOKUP(O1803,EMAILS!B:D,3,FALSE),"NOT FOUND IN EMAILS")</f>
        <v/>
      </c>
      <c r="R1803" t="str">
        <f ca="1">""&amp;IFERROR(VLOOKUP(O1803,EMAILS!B:E,4,FALSE),"NO T FOUND IN EMAILS")</f>
        <v/>
      </c>
    </row>
    <row r="1804" spans="2:18" x14ac:dyDescent="0.25">
      <c r="B1804" s="5" t="s">
        <v>1806</v>
      </c>
      <c r="C1804" s="5" t="s">
        <v>5946</v>
      </c>
      <c r="D1804" s="5">
        <v>0</v>
      </c>
      <c r="E1804" s="5">
        <v>0</v>
      </c>
      <c r="F1804" s="5">
        <v>80</v>
      </c>
      <c r="G1804" s="5">
        <v>0</v>
      </c>
      <c r="H1804" s="5">
        <v>80</v>
      </c>
      <c r="I1804" s="5">
        <v>80</v>
      </c>
      <c r="J1804" s="5">
        <v>0</v>
      </c>
      <c r="K1804" s="5">
        <v>0</v>
      </c>
      <c r="L1804" s="5">
        <v>80</v>
      </c>
      <c r="M1804" s="5">
        <v>0</v>
      </c>
      <c r="N1804" s="5">
        <v>14074</v>
      </c>
      <c r="O1804" s="5" t="str">
        <f t="shared" ca="1" si="28"/>
        <v>Supplier 69</v>
      </c>
      <c r="P1804" s="20" t="str">
        <f ca="1">IFERROR(VLOOKUP(O1804,EMAILS!B:C,2,FALSE),"NOT FOUND IN EMAILS")</f>
        <v>supplier@gmail.com</v>
      </c>
      <c r="Q1804" t="str">
        <f ca="1">""&amp;IFERROR(VLOOKUP(O1804,EMAILS!B:D,3,FALSE),"NOT FOUND IN EMAILS")</f>
        <v/>
      </c>
      <c r="R1804" t="str">
        <f ca="1">""&amp;IFERROR(VLOOKUP(O1804,EMAILS!B:E,4,FALSE),"NO T FOUND IN EMAILS")</f>
        <v/>
      </c>
    </row>
    <row r="1805" spans="2:18" x14ac:dyDescent="0.25">
      <c r="B1805" s="5" t="s">
        <v>1807</v>
      </c>
      <c r="C1805" s="5" t="s">
        <v>5947</v>
      </c>
      <c r="D1805" s="5">
        <v>3680</v>
      </c>
      <c r="E1805" s="5">
        <v>3080</v>
      </c>
      <c r="F1805" s="5">
        <v>3480</v>
      </c>
      <c r="G1805" s="5">
        <v>3480</v>
      </c>
      <c r="H1805" s="5">
        <v>4760</v>
      </c>
      <c r="I1805" s="5">
        <v>3680</v>
      </c>
      <c r="J1805" s="5">
        <v>3280</v>
      </c>
      <c r="K1805" s="5">
        <v>3480</v>
      </c>
      <c r="L1805" s="5">
        <v>2000</v>
      </c>
      <c r="M1805" s="5">
        <v>0</v>
      </c>
      <c r="N1805" s="5">
        <v>0</v>
      </c>
      <c r="O1805" s="5" t="str">
        <f t="shared" ca="1" si="28"/>
        <v>Supplier 91</v>
      </c>
      <c r="P1805" s="20" t="str">
        <f ca="1">IFERROR(VLOOKUP(O1805,EMAILS!B:C,2,FALSE),"NOT FOUND IN EMAILS")</f>
        <v>supplier@gmail.com</v>
      </c>
      <c r="Q1805" t="str">
        <f ca="1">""&amp;IFERROR(VLOOKUP(O1805,EMAILS!B:D,3,FALSE),"NOT FOUND IN EMAILS")</f>
        <v/>
      </c>
      <c r="R1805" t="str">
        <f ca="1">""&amp;IFERROR(VLOOKUP(O1805,EMAILS!B:E,4,FALSE),"NO T FOUND IN EMAILS")</f>
        <v/>
      </c>
    </row>
    <row r="1806" spans="2:18" x14ac:dyDescent="0.25">
      <c r="B1806" s="5" t="s">
        <v>1808</v>
      </c>
      <c r="C1806" s="5" t="s">
        <v>5948</v>
      </c>
      <c r="D1806" s="5">
        <v>2600</v>
      </c>
      <c r="E1806" s="5">
        <v>2000</v>
      </c>
      <c r="F1806" s="5">
        <v>2400</v>
      </c>
      <c r="G1806" s="5">
        <v>2400</v>
      </c>
      <c r="H1806" s="5">
        <v>2600</v>
      </c>
      <c r="I1806" s="5">
        <v>2600</v>
      </c>
      <c r="J1806" s="5">
        <v>2200</v>
      </c>
      <c r="K1806" s="5">
        <v>2400</v>
      </c>
      <c r="L1806" s="5">
        <v>2000</v>
      </c>
      <c r="M1806" s="5">
        <v>0</v>
      </c>
      <c r="N1806" s="5">
        <v>960</v>
      </c>
      <c r="O1806" s="5" t="str">
        <f t="shared" ca="1" si="28"/>
        <v>Supplier 199</v>
      </c>
      <c r="P1806" s="20" t="str">
        <f ca="1">IFERROR(VLOOKUP(O1806,EMAILS!B:C,2,FALSE),"NOT FOUND IN EMAILS")</f>
        <v>supplier@gmail.com</v>
      </c>
      <c r="Q1806" t="str">
        <f ca="1">""&amp;IFERROR(VLOOKUP(O1806,EMAILS!B:D,3,FALSE),"NOT FOUND IN EMAILS")</f>
        <v/>
      </c>
      <c r="R1806" t="str">
        <f ca="1">""&amp;IFERROR(VLOOKUP(O1806,EMAILS!B:E,4,FALSE),"NO T FOUND IN EMAILS")</f>
        <v/>
      </c>
    </row>
    <row r="1807" spans="2:18" x14ac:dyDescent="0.25">
      <c r="B1807" s="5" t="s">
        <v>1809</v>
      </c>
      <c r="C1807" s="5" t="s">
        <v>5949</v>
      </c>
      <c r="D1807" s="5">
        <v>5504</v>
      </c>
      <c r="E1807" s="5">
        <v>3952</v>
      </c>
      <c r="F1807" s="5">
        <v>4640</v>
      </c>
      <c r="G1807" s="5">
        <v>5184</v>
      </c>
      <c r="H1807" s="5">
        <v>4690</v>
      </c>
      <c r="I1807" s="5">
        <v>5184</v>
      </c>
      <c r="J1807" s="5">
        <v>4380</v>
      </c>
      <c r="K1807" s="5">
        <v>4084</v>
      </c>
      <c r="L1807" s="5">
        <v>4244</v>
      </c>
      <c r="M1807" s="5">
        <v>0</v>
      </c>
      <c r="N1807" s="5">
        <v>1400</v>
      </c>
      <c r="O1807" s="5" t="str">
        <f t="shared" ca="1" si="28"/>
        <v>Supplier 46</v>
      </c>
      <c r="P1807" s="20" t="str">
        <f ca="1">IFERROR(VLOOKUP(O1807,EMAILS!B:C,2,FALSE),"NOT FOUND IN EMAILS")</f>
        <v>supplier@gmail.com</v>
      </c>
      <c r="Q1807" t="str">
        <f ca="1">""&amp;IFERROR(VLOOKUP(O1807,EMAILS!B:D,3,FALSE),"NOT FOUND IN EMAILS")</f>
        <v/>
      </c>
      <c r="R1807" t="str">
        <f ca="1">""&amp;IFERROR(VLOOKUP(O1807,EMAILS!B:E,4,FALSE),"NO T FOUND IN EMAILS")</f>
        <v/>
      </c>
    </row>
    <row r="1808" spans="2:18" x14ac:dyDescent="0.25">
      <c r="B1808" s="5" t="s">
        <v>1810</v>
      </c>
      <c r="C1808" s="5" t="s">
        <v>5950</v>
      </c>
      <c r="D1808" s="5">
        <v>3456</v>
      </c>
      <c r="E1808" s="5">
        <v>2872</v>
      </c>
      <c r="F1808" s="5">
        <v>3016</v>
      </c>
      <c r="G1808" s="5">
        <v>4024</v>
      </c>
      <c r="H1808" s="5">
        <v>3026</v>
      </c>
      <c r="I1808" s="5">
        <v>3016</v>
      </c>
      <c r="J1808" s="5">
        <v>3460</v>
      </c>
      <c r="K1808" s="5">
        <v>2912</v>
      </c>
      <c r="L1808" s="5">
        <v>3244</v>
      </c>
      <c r="M1808" s="5">
        <v>0</v>
      </c>
      <c r="N1808" s="5">
        <v>1000</v>
      </c>
      <c r="O1808" s="5" t="str">
        <f t="shared" ca="1" si="28"/>
        <v>Supplier 149</v>
      </c>
      <c r="P1808" s="20" t="str">
        <f ca="1">IFERROR(VLOOKUP(O1808,EMAILS!B:C,2,FALSE),"NOT FOUND IN EMAILS")</f>
        <v>supplier@gmail.com</v>
      </c>
      <c r="Q1808" t="str">
        <f ca="1">""&amp;IFERROR(VLOOKUP(O1808,EMAILS!B:D,3,FALSE),"NOT FOUND IN EMAILS")</f>
        <v/>
      </c>
      <c r="R1808" t="str">
        <f ca="1">""&amp;IFERROR(VLOOKUP(O1808,EMAILS!B:E,4,FALSE),"NO T FOUND IN EMAILS")</f>
        <v/>
      </c>
    </row>
    <row r="1809" spans="2:18" x14ac:dyDescent="0.25">
      <c r="B1809" s="5" t="s">
        <v>1811</v>
      </c>
      <c r="C1809" s="5" t="s">
        <v>5951</v>
      </c>
      <c r="D1809" s="5">
        <v>2048</v>
      </c>
      <c r="E1809" s="5">
        <v>1080</v>
      </c>
      <c r="F1809" s="5">
        <v>1624</v>
      </c>
      <c r="G1809" s="5">
        <v>1160</v>
      </c>
      <c r="H1809" s="5">
        <v>1664</v>
      </c>
      <c r="I1809" s="5">
        <v>2168</v>
      </c>
      <c r="J1809" s="5">
        <v>920</v>
      </c>
      <c r="K1809" s="5">
        <v>1172</v>
      </c>
      <c r="L1809" s="5">
        <v>1000</v>
      </c>
      <c r="M1809" s="5">
        <v>0</v>
      </c>
      <c r="N1809" s="5">
        <v>0</v>
      </c>
      <c r="O1809" s="5" t="str">
        <f t="shared" ca="1" si="28"/>
        <v>Supplier 117</v>
      </c>
      <c r="P1809" s="20" t="str">
        <f ca="1">IFERROR(VLOOKUP(O1809,EMAILS!B:C,2,FALSE),"NOT FOUND IN EMAILS")</f>
        <v>supplier@gmail.com</v>
      </c>
      <c r="Q1809" t="str">
        <f ca="1">""&amp;IFERROR(VLOOKUP(O1809,EMAILS!B:D,3,FALSE),"NOT FOUND IN EMAILS")</f>
        <v/>
      </c>
      <c r="R1809" t="str">
        <f ca="1">""&amp;IFERROR(VLOOKUP(O1809,EMAILS!B:E,4,FALSE),"NO T FOUND IN EMAILS")</f>
        <v/>
      </c>
    </row>
    <row r="1810" spans="2:18" x14ac:dyDescent="0.25">
      <c r="B1810" s="5" t="s">
        <v>1812</v>
      </c>
      <c r="C1810" s="5" t="s">
        <v>5952</v>
      </c>
      <c r="D1810" s="5">
        <v>3.52</v>
      </c>
      <c r="E1810" s="5">
        <v>2.64</v>
      </c>
      <c r="F1810" s="5">
        <v>5.72</v>
      </c>
      <c r="G1810" s="5">
        <v>3.96</v>
      </c>
      <c r="H1810" s="5">
        <v>3.08</v>
      </c>
      <c r="I1810" s="5">
        <v>3.52</v>
      </c>
      <c r="J1810" s="5">
        <v>2.64</v>
      </c>
      <c r="K1810" s="5">
        <v>1.76</v>
      </c>
      <c r="L1810" s="5">
        <v>4.4000000000000004</v>
      </c>
      <c r="M1810" s="5">
        <v>0</v>
      </c>
      <c r="N1810" s="5">
        <v>0</v>
      </c>
      <c r="O1810" s="5" t="str">
        <f t="shared" ca="1" si="28"/>
        <v>Supplier 39</v>
      </c>
      <c r="P1810" s="20" t="str">
        <f ca="1">IFERROR(VLOOKUP(O1810,EMAILS!B:C,2,FALSE),"NOT FOUND IN EMAILS")</f>
        <v>supplier@gmail.com</v>
      </c>
      <c r="Q1810" t="str">
        <f ca="1">""&amp;IFERROR(VLOOKUP(O1810,EMAILS!B:D,3,FALSE),"NOT FOUND IN EMAILS")</f>
        <v/>
      </c>
      <c r="R1810" t="str">
        <f ca="1">""&amp;IFERROR(VLOOKUP(O1810,EMAILS!B:E,4,FALSE),"NO T FOUND IN EMAILS")</f>
        <v/>
      </c>
    </row>
    <row r="1811" spans="2:18" x14ac:dyDescent="0.25">
      <c r="B1811" s="5" t="s">
        <v>1813</v>
      </c>
      <c r="C1811" s="5" t="s">
        <v>5953</v>
      </c>
      <c r="D1811" s="5">
        <v>0.88</v>
      </c>
      <c r="E1811" s="5">
        <v>1.76</v>
      </c>
      <c r="F1811" s="5">
        <v>3.08</v>
      </c>
      <c r="G1811" s="5">
        <v>1.32</v>
      </c>
      <c r="H1811" s="5">
        <v>1.76</v>
      </c>
      <c r="I1811" s="5">
        <v>1.76</v>
      </c>
      <c r="J1811" s="5">
        <v>0</v>
      </c>
      <c r="K1811" s="5">
        <v>0</v>
      </c>
      <c r="L1811" s="5">
        <v>1.76</v>
      </c>
      <c r="M1811" s="5">
        <v>0</v>
      </c>
      <c r="N1811" s="5">
        <v>380</v>
      </c>
      <c r="O1811" s="5" t="str">
        <f t="shared" ca="1" si="28"/>
        <v>Supplier 122</v>
      </c>
      <c r="P1811" s="20" t="str">
        <f ca="1">IFERROR(VLOOKUP(O1811,EMAILS!B:C,2,FALSE),"NOT FOUND IN EMAILS")</f>
        <v>supplier@gmail.com</v>
      </c>
      <c r="Q1811" t="str">
        <f ca="1">""&amp;IFERROR(VLOOKUP(O1811,EMAILS!B:D,3,FALSE),"NOT FOUND IN EMAILS")</f>
        <v/>
      </c>
      <c r="R1811" t="str">
        <f ca="1">""&amp;IFERROR(VLOOKUP(O1811,EMAILS!B:E,4,FALSE),"NO T FOUND IN EMAILS")</f>
        <v/>
      </c>
    </row>
    <row r="1812" spans="2:18" x14ac:dyDescent="0.25">
      <c r="B1812" s="5" t="s">
        <v>1814</v>
      </c>
      <c r="C1812" s="5" t="s">
        <v>5954</v>
      </c>
      <c r="D1812" s="5">
        <v>1000</v>
      </c>
      <c r="E1812" s="5">
        <v>784</v>
      </c>
      <c r="F1812" s="5">
        <v>968</v>
      </c>
      <c r="G1812" s="5">
        <v>864</v>
      </c>
      <c r="H1812" s="5">
        <v>776</v>
      </c>
      <c r="I1812" s="5">
        <v>864</v>
      </c>
      <c r="J1812" s="5">
        <v>496</v>
      </c>
      <c r="K1812" s="5">
        <v>456</v>
      </c>
      <c r="L1812" s="5">
        <v>504</v>
      </c>
      <c r="M1812" s="5">
        <v>0</v>
      </c>
      <c r="N1812" s="5">
        <v>45</v>
      </c>
      <c r="O1812" s="5" t="str">
        <f t="shared" ca="1" si="28"/>
        <v>Supplier 189</v>
      </c>
      <c r="P1812" s="20" t="str">
        <f ca="1">IFERROR(VLOOKUP(O1812,EMAILS!B:C,2,FALSE),"NOT FOUND IN EMAILS")</f>
        <v>supplier@gmail.com</v>
      </c>
      <c r="Q1812" t="str">
        <f ca="1">""&amp;IFERROR(VLOOKUP(O1812,EMAILS!B:D,3,FALSE),"NOT FOUND IN EMAILS")</f>
        <v/>
      </c>
      <c r="R1812" t="str">
        <f ca="1">""&amp;IFERROR(VLOOKUP(O1812,EMAILS!B:E,4,FALSE),"NO T FOUND IN EMAILS")</f>
        <v/>
      </c>
    </row>
    <row r="1813" spans="2:18" x14ac:dyDescent="0.25">
      <c r="B1813" s="5" t="s">
        <v>1815</v>
      </c>
      <c r="C1813" s="5" t="s">
        <v>5955</v>
      </c>
      <c r="D1813" s="5">
        <v>0</v>
      </c>
      <c r="E1813" s="5">
        <v>0</v>
      </c>
      <c r="F1813" s="5">
        <v>36</v>
      </c>
      <c r="G1813" s="5">
        <v>36</v>
      </c>
      <c r="H1813" s="5">
        <v>0</v>
      </c>
      <c r="I1813" s="5">
        <v>42</v>
      </c>
      <c r="J1813" s="5">
        <v>0</v>
      </c>
      <c r="K1813" s="5">
        <v>0</v>
      </c>
      <c r="L1813" s="5">
        <v>36</v>
      </c>
      <c r="M1813" s="5">
        <v>0</v>
      </c>
      <c r="N1813" s="5">
        <v>0</v>
      </c>
      <c r="O1813" s="5" t="str">
        <f t="shared" ca="1" si="28"/>
        <v>Supplier 143</v>
      </c>
      <c r="P1813" s="20" t="str">
        <f ca="1">IFERROR(VLOOKUP(O1813,EMAILS!B:C,2,FALSE),"NOT FOUND IN EMAILS")</f>
        <v>supplier@gmail.com</v>
      </c>
      <c r="Q1813" t="str">
        <f ca="1">""&amp;IFERROR(VLOOKUP(O1813,EMAILS!B:D,3,FALSE),"NOT FOUND IN EMAILS")</f>
        <v/>
      </c>
      <c r="R1813" t="str">
        <f ca="1">""&amp;IFERROR(VLOOKUP(O1813,EMAILS!B:E,4,FALSE),"NO T FOUND IN EMAILS")</f>
        <v/>
      </c>
    </row>
    <row r="1814" spans="2:18" x14ac:dyDescent="0.25">
      <c r="B1814" s="5" t="s">
        <v>1816</v>
      </c>
      <c r="C1814" s="5" t="s">
        <v>5956</v>
      </c>
      <c r="D1814" s="5">
        <v>0</v>
      </c>
      <c r="E1814" s="5">
        <v>0</v>
      </c>
      <c r="F1814" s="5">
        <v>36</v>
      </c>
      <c r="G1814" s="5">
        <v>36</v>
      </c>
      <c r="H1814" s="5">
        <v>0</v>
      </c>
      <c r="I1814" s="5">
        <v>36</v>
      </c>
      <c r="J1814" s="5">
        <v>0</v>
      </c>
      <c r="K1814" s="5">
        <v>0</v>
      </c>
      <c r="L1814" s="5">
        <v>36</v>
      </c>
      <c r="M1814" s="5">
        <v>0</v>
      </c>
      <c r="N1814" s="5">
        <v>35</v>
      </c>
      <c r="O1814" s="5" t="str">
        <f t="shared" ca="1" si="28"/>
        <v>Supplier 5</v>
      </c>
      <c r="P1814" s="20" t="str">
        <f ca="1">IFERROR(VLOOKUP(O1814,EMAILS!B:C,2,FALSE),"NOT FOUND IN EMAILS")</f>
        <v>supplier@gmail.com</v>
      </c>
      <c r="Q1814" t="str">
        <f ca="1">""&amp;IFERROR(VLOOKUP(O1814,EMAILS!B:D,3,FALSE),"NOT FOUND IN EMAILS")</f>
        <v>supplier_logistics@gmail.com</v>
      </c>
      <c r="R1814" t="str">
        <f ca="1">""&amp;IFERROR(VLOOKUP(O1814,EMAILS!B:E,4,FALSE),"NO T FOUND IN EMAILS")</f>
        <v/>
      </c>
    </row>
    <row r="1815" spans="2:18" x14ac:dyDescent="0.25">
      <c r="B1815" s="5" t="s">
        <v>1817</v>
      </c>
      <c r="C1815" s="5" t="s">
        <v>5957</v>
      </c>
      <c r="D1815" s="5">
        <v>120</v>
      </c>
      <c r="E1815" s="5">
        <v>102</v>
      </c>
      <c r="F1815" s="5">
        <v>112</v>
      </c>
      <c r="G1815" s="5">
        <v>110</v>
      </c>
      <c r="H1815" s="5">
        <v>102</v>
      </c>
      <c r="I1815" s="5">
        <v>100</v>
      </c>
      <c r="J1815" s="5">
        <v>104</v>
      </c>
      <c r="K1815" s="5">
        <v>50</v>
      </c>
      <c r="L1815" s="5">
        <v>100</v>
      </c>
      <c r="M1815" s="5">
        <v>0</v>
      </c>
      <c r="N1815" s="5">
        <v>2800</v>
      </c>
      <c r="O1815" s="5" t="str">
        <f t="shared" ca="1" si="28"/>
        <v>Supplier 44</v>
      </c>
      <c r="P1815" s="20" t="str">
        <f ca="1">IFERROR(VLOOKUP(O1815,EMAILS!B:C,2,FALSE),"NOT FOUND IN EMAILS")</f>
        <v>supplier@gmail.com</v>
      </c>
      <c r="Q1815" t="str">
        <f ca="1">""&amp;IFERROR(VLOOKUP(O1815,EMAILS!B:D,3,FALSE),"NOT FOUND IN EMAILS")</f>
        <v/>
      </c>
      <c r="R1815" t="str">
        <f ca="1">""&amp;IFERROR(VLOOKUP(O1815,EMAILS!B:E,4,FALSE),"NO T FOUND IN EMAILS")</f>
        <v/>
      </c>
    </row>
    <row r="1816" spans="2:18" x14ac:dyDescent="0.25">
      <c r="B1816" s="5" t="s">
        <v>1818</v>
      </c>
      <c r="C1816" s="5" t="s">
        <v>5958</v>
      </c>
      <c r="D1816" s="5">
        <v>1040</v>
      </c>
      <c r="E1816" s="5">
        <v>848</v>
      </c>
      <c r="F1816" s="5">
        <v>1180</v>
      </c>
      <c r="G1816" s="5">
        <v>1083</v>
      </c>
      <c r="H1816" s="5">
        <v>816</v>
      </c>
      <c r="I1816" s="5">
        <v>1106</v>
      </c>
      <c r="J1816" s="5">
        <v>553</v>
      </c>
      <c r="K1816" s="5">
        <v>500</v>
      </c>
      <c r="L1816" s="5">
        <v>717</v>
      </c>
      <c r="M1816" s="5">
        <v>0</v>
      </c>
      <c r="N1816" s="5">
        <v>22390</v>
      </c>
      <c r="O1816" s="5" t="str">
        <f t="shared" ca="1" si="28"/>
        <v>Supplier 39</v>
      </c>
      <c r="P1816" s="20" t="str">
        <f ca="1">IFERROR(VLOOKUP(O1816,EMAILS!B:C,2,FALSE),"NOT FOUND IN EMAILS")</f>
        <v>supplier@gmail.com</v>
      </c>
      <c r="Q1816" t="str">
        <f ca="1">""&amp;IFERROR(VLOOKUP(O1816,EMAILS!B:D,3,FALSE),"NOT FOUND IN EMAILS")</f>
        <v/>
      </c>
      <c r="R1816" t="str">
        <f ca="1">""&amp;IFERROR(VLOOKUP(O1816,EMAILS!B:E,4,FALSE),"NO T FOUND IN EMAILS")</f>
        <v/>
      </c>
    </row>
    <row r="1817" spans="2:18" x14ac:dyDescent="0.25">
      <c r="B1817" s="5" t="s">
        <v>1819</v>
      </c>
      <c r="C1817" s="5" t="s">
        <v>5959</v>
      </c>
      <c r="D1817" s="5">
        <v>1104</v>
      </c>
      <c r="E1817" s="5">
        <v>449</v>
      </c>
      <c r="F1817" s="5">
        <v>2565</v>
      </c>
      <c r="G1817" s="5">
        <v>3366</v>
      </c>
      <c r="H1817" s="5">
        <v>3282</v>
      </c>
      <c r="I1817" s="5">
        <v>835</v>
      </c>
      <c r="J1817" s="5">
        <v>648</v>
      </c>
      <c r="K1817" s="5">
        <v>346</v>
      </c>
      <c r="L1817" s="5">
        <v>892</v>
      </c>
      <c r="M1817" s="5">
        <v>0</v>
      </c>
      <c r="N1817" s="5">
        <v>7820</v>
      </c>
      <c r="O1817" s="5" t="str">
        <f t="shared" ca="1" si="28"/>
        <v>Supplier 66</v>
      </c>
      <c r="P1817" s="20" t="str">
        <f ca="1">IFERROR(VLOOKUP(O1817,EMAILS!B:C,2,FALSE),"NOT FOUND IN EMAILS")</f>
        <v>supplier@gmail.com</v>
      </c>
      <c r="Q1817" t="str">
        <f ca="1">""&amp;IFERROR(VLOOKUP(O1817,EMAILS!B:D,3,FALSE),"NOT FOUND IN EMAILS")</f>
        <v/>
      </c>
      <c r="R1817" t="str">
        <f ca="1">""&amp;IFERROR(VLOOKUP(O1817,EMAILS!B:E,4,FALSE),"NO T FOUND IN EMAILS")</f>
        <v/>
      </c>
    </row>
    <row r="1818" spans="2:18" x14ac:dyDescent="0.25">
      <c r="B1818" s="5" t="s">
        <v>1820</v>
      </c>
      <c r="C1818" s="5" t="s">
        <v>5960</v>
      </c>
      <c r="D1818" s="5">
        <v>10</v>
      </c>
      <c r="E1818" s="5">
        <v>0</v>
      </c>
      <c r="F1818" s="5">
        <v>10</v>
      </c>
      <c r="G1818" s="5">
        <v>10</v>
      </c>
      <c r="H1818" s="5">
        <v>0</v>
      </c>
      <c r="I1818" s="5">
        <v>0</v>
      </c>
      <c r="J1818" s="5">
        <v>0</v>
      </c>
      <c r="K1818" s="5">
        <v>0</v>
      </c>
      <c r="L1818" s="5">
        <v>0</v>
      </c>
      <c r="M1818" s="5">
        <v>0</v>
      </c>
      <c r="N1818" s="5">
        <v>27000</v>
      </c>
      <c r="O1818" s="5" t="str">
        <f t="shared" ca="1" si="28"/>
        <v>Supplier 150</v>
      </c>
      <c r="P1818" s="20" t="str">
        <f ca="1">IFERROR(VLOOKUP(O1818,EMAILS!B:C,2,FALSE),"NOT FOUND IN EMAILS")</f>
        <v>supplier@gmail.com</v>
      </c>
      <c r="Q1818" t="str">
        <f ca="1">""&amp;IFERROR(VLOOKUP(O1818,EMAILS!B:D,3,FALSE),"NOT FOUND IN EMAILS")</f>
        <v/>
      </c>
      <c r="R1818" t="str">
        <f ca="1">""&amp;IFERROR(VLOOKUP(O1818,EMAILS!B:E,4,FALSE),"NO T FOUND IN EMAILS")</f>
        <v/>
      </c>
    </row>
    <row r="1819" spans="2:18" x14ac:dyDescent="0.25">
      <c r="B1819" s="5" t="s">
        <v>1821</v>
      </c>
      <c r="C1819" s="5" t="s">
        <v>5961</v>
      </c>
      <c r="D1819" s="5">
        <v>5504</v>
      </c>
      <c r="E1819" s="5">
        <v>3952</v>
      </c>
      <c r="F1819" s="5">
        <v>4792</v>
      </c>
      <c r="G1819" s="5">
        <v>5336</v>
      </c>
      <c r="H1819" s="5">
        <v>4770</v>
      </c>
      <c r="I1819" s="5">
        <v>5422</v>
      </c>
      <c r="J1819" s="5">
        <v>4380</v>
      </c>
      <c r="K1819" s="5">
        <v>4084</v>
      </c>
      <c r="L1819" s="5">
        <v>4476</v>
      </c>
      <c r="M1819" s="5">
        <v>0</v>
      </c>
      <c r="N1819" s="5">
        <v>680</v>
      </c>
      <c r="O1819" s="5" t="str">
        <f t="shared" ca="1" si="28"/>
        <v>Supplier 91</v>
      </c>
      <c r="P1819" s="20" t="str">
        <f ca="1">IFERROR(VLOOKUP(O1819,EMAILS!B:C,2,FALSE),"NOT FOUND IN EMAILS")</f>
        <v>supplier@gmail.com</v>
      </c>
      <c r="Q1819" t="str">
        <f ca="1">""&amp;IFERROR(VLOOKUP(O1819,EMAILS!B:D,3,FALSE),"NOT FOUND IN EMAILS")</f>
        <v/>
      </c>
      <c r="R1819" t="str">
        <f ca="1">""&amp;IFERROR(VLOOKUP(O1819,EMAILS!B:E,4,FALSE),"NO T FOUND IN EMAILS")</f>
        <v/>
      </c>
    </row>
    <row r="1820" spans="2:18" x14ac:dyDescent="0.25">
      <c r="B1820" s="5" t="s">
        <v>1822</v>
      </c>
      <c r="C1820" s="5" t="s">
        <v>5962</v>
      </c>
      <c r="D1820" s="5">
        <v>10</v>
      </c>
      <c r="E1820" s="5">
        <v>0</v>
      </c>
      <c r="F1820" s="5">
        <v>10</v>
      </c>
      <c r="G1820" s="5">
        <v>10</v>
      </c>
      <c r="H1820" s="5">
        <v>0</v>
      </c>
      <c r="I1820" s="5">
        <v>0</v>
      </c>
      <c r="J1820" s="5">
        <v>0</v>
      </c>
      <c r="K1820" s="5">
        <v>0</v>
      </c>
      <c r="L1820" s="5">
        <v>0</v>
      </c>
      <c r="M1820" s="5">
        <v>0</v>
      </c>
      <c r="N1820" s="5">
        <v>417</v>
      </c>
      <c r="O1820" s="5" t="str">
        <f t="shared" ca="1" si="28"/>
        <v>Supplier 10</v>
      </c>
      <c r="P1820" s="20" t="str">
        <f ca="1">IFERROR(VLOOKUP(O1820,EMAILS!B:C,2,FALSE),"NOT FOUND IN EMAILS")</f>
        <v>supplier@gmail.com</v>
      </c>
      <c r="Q1820" t="str">
        <f ca="1">""&amp;IFERROR(VLOOKUP(O1820,EMAILS!B:D,3,FALSE),"NOT FOUND IN EMAILS")</f>
        <v>supplier_logistics@gmail.com</v>
      </c>
      <c r="R1820" t="str">
        <f ca="1">""&amp;IFERROR(VLOOKUP(O1820,EMAILS!B:E,4,FALSE),"NO T FOUND IN EMAILS")</f>
        <v/>
      </c>
    </row>
    <row r="1821" spans="2:18" x14ac:dyDescent="0.25">
      <c r="B1821" s="5" t="s">
        <v>1823</v>
      </c>
      <c r="C1821" s="5" t="s">
        <v>5963</v>
      </c>
      <c r="D1821" s="5">
        <v>0</v>
      </c>
      <c r="E1821" s="5">
        <v>0</v>
      </c>
      <c r="F1821" s="5">
        <v>0</v>
      </c>
      <c r="G1821" s="5">
        <v>0</v>
      </c>
      <c r="H1821" s="5">
        <v>0</v>
      </c>
      <c r="I1821" s="5">
        <v>0</v>
      </c>
      <c r="J1821" s="5">
        <v>0</v>
      </c>
      <c r="K1821" s="5">
        <v>0</v>
      </c>
      <c r="L1821" s="5">
        <v>0</v>
      </c>
      <c r="M1821" s="5">
        <v>0</v>
      </c>
      <c r="N1821" s="5">
        <v>10</v>
      </c>
      <c r="O1821" s="5" t="str">
        <f t="shared" ca="1" si="28"/>
        <v>Supplier 191</v>
      </c>
      <c r="P1821" s="20" t="str">
        <f ca="1">IFERROR(VLOOKUP(O1821,EMAILS!B:C,2,FALSE),"NOT FOUND IN EMAILS")</f>
        <v>supplier@gmail.com</v>
      </c>
      <c r="Q1821" t="str">
        <f ca="1">""&amp;IFERROR(VLOOKUP(O1821,EMAILS!B:D,3,FALSE),"NOT FOUND IN EMAILS")</f>
        <v/>
      </c>
      <c r="R1821" t="str">
        <f ca="1">""&amp;IFERROR(VLOOKUP(O1821,EMAILS!B:E,4,FALSE),"NO T FOUND IN EMAILS")</f>
        <v/>
      </c>
    </row>
    <row r="1822" spans="2:18" x14ac:dyDescent="0.25">
      <c r="B1822" s="5" t="s">
        <v>1824</v>
      </c>
      <c r="C1822" s="5" t="s">
        <v>5964</v>
      </c>
      <c r="D1822" s="5">
        <v>4</v>
      </c>
      <c r="E1822" s="5">
        <v>7</v>
      </c>
      <c r="F1822" s="5">
        <v>4</v>
      </c>
      <c r="G1822" s="5">
        <v>4</v>
      </c>
      <c r="H1822" s="5">
        <v>0</v>
      </c>
      <c r="I1822" s="5">
        <v>0</v>
      </c>
      <c r="J1822" s="5">
        <v>0</v>
      </c>
      <c r="K1822" s="5">
        <v>0</v>
      </c>
      <c r="L1822" s="5">
        <v>0</v>
      </c>
      <c r="M1822" s="5">
        <v>0</v>
      </c>
      <c r="N1822" s="5">
        <v>1265</v>
      </c>
      <c r="O1822" s="5" t="str">
        <f t="shared" ca="1" si="28"/>
        <v>Supplier 20</v>
      </c>
      <c r="P1822" s="20" t="str">
        <f ca="1">IFERROR(VLOOKUP(O1822,EMAILS!B:C,2,FALSE),"NOT FOUND IN EMAILS")</f>
        <v>supplier@gmail.com</v>
      </c>
      <c r="Q1822" t="str">
        <f ca="1">""&amp;IFERROR(VLOOKUP(O1822,EMAILS!B:D,3,FALSE),"NOT FOUND IN EMAILS")</f>
        <v/>
      </c>
      <c r="R1822" t="str">
        <f ca="1">""&amp;IFERROR(VLOOKUP(O1822,EMAILS!B:E,4,FALSE),"NO T FOUND IN EMAILS")</f>
        <v/>
      </c>
    </row>
    <row r="1823" spans="2:18" x14ac:dyDescent="0.25">
      <c r="B1823" s="5" t="s">
        <v>1825</v>
      </c>
      <c r="C1823" s="5" t="s">
        <v>5965</v>
      </c>
      <c r="D1823" s="5">
        <v>0</v>
      </c>
      <c r="E1823" s="5">
        <v>0</v>
      </c>
      <c r="F1823" s="5">
        <v>0</v>
      </c>
      <c r="G1823" s="5">
        <v>0</v>
      </c>
      <c r="H1823" s="5">
        <v>0</v>
      </c>
      <c r="I1823" s="5">
        <v>0</v>
      </c>
      <c r="J1823" s="5">
        <v>0</v>
      </c>
      <c r="K1823" s="5">
        <v>0</v>
      </c>
      <c r="L1823" s="5">
        <v>0</v>
      </c>
      <c r="M1823" s="5">
        <v>0</v>
      </c>
      <c r="N1823" s="5">
        <v>2000</v>
      </c>
      <c r="O1823" s="5" t="str">
        <f t="shared" ca="1" si="28"/>
        <v>Supplier 57</v>
      </c>
      <c r="P1823" s="20" t="str">
        <f ca="1">IFERROR(VLOOKUP(O1823,EMAILS!B:C,2,FALSE),"NOT FOUND IN EMAILS")</f>
        <v>supplier@gmail.com</v>
      </c>
      <c r="Q1823" t="str">
        <f ca="1">""&amp;IFERROR(VLOOKUP(O1823,EMAILS!B:D,3,FALSE),"NOT FOUND IN EMAILS")</f>
        <v/>
      </c>
      <c r="R1823" t="str">
        <f ca="1">""&amp;IFERROR(VLOOKUP(O1823,EMAILS!B:E,4,FALSE),"NO T FOUND IN EMAILS")</f>
        <v/>
      </c>
    </row>
    <row r="1824" spans="2:18" x14ac:dyDescent="0.25">
      <c r="B1824" s="5" t="s">
        <v>1826</v>
      </c>
      <c r="C1824" s="5" t="s">
        <v>5966</v>
      </c>
      <c r="D1824" s="5">
        <v>1000</v>
      </c>
      <c r="E1824" s="5">
        <v>784</v>
      </c>
      <c r="F1824" s="5">
        <v>1040</v>
      </c>
      <c r="G1824" s="5">
        <v>936</v>
      </c>
      <c r="H1824" s="5">
        <v>776</v>
      </c>
      <c r="I1824" s="5">
        <v>942</v>
      </c>
      <c r="J1824" s="5">
        <v>496</v>
      </c>
      <c r="K1824" s="5">
        <v>456</v>
      </c>
      <c r="L1824" s="5">
        <v>576</v>
      </c>
      <c r="M1824" s="5">
        <v>0</v>
      </c>
      <c r="N1824" s="5">
        <v>0</v>
      </c>
      <c r="O1824" s="5" t="str">
        <f t="shared" ca="1" si="28"/>
        <v>Supplier 60</v>
      </c>
      <c r="P1824" s="20" t="str">
        <f ca="1">IFERROR(VLOOKUP(O1824,EMAILS!B:C,2,FALSE),"NOT FOUND IN EMAILS")</f>
        <v>supplier@gmail.com</v>
      </c>
      <c r="Q1824" t="str">
        <f ca="1">""&amp;IFERROR(VLOOKUP(O1824,EMAILS!B:D,3,FALSE),"NOT FOUND IN EMAILS")</f>
        <v/>
      </c>
      <c r="R1824" t="str">
        <f ca="1">""&amp;IFERROR(VLOOKUP(O1824,EMAILS!B:E,4,FALSE),"NO T FOUND IN EMAILS")</f>
        <v/>
      </c>
    </row>
    <row r="1825" spans="2:18" x14ac:dyDescent="0.25">
      <c r="B1825" s="5" t="s">
        <v>1827</v>
      </c>
      <c r="C1825" s="5" t="s">
        <v>5967</v>
      </c>
      <c r="D1825" s="5">
        <v>50</v>
      </c>
      <c r="E1825" s="5">
        <v>50</v>
      </c>
      <c r="F1825" s="5">
        <v>100</v>
      </c>
      <c r="G1825" s="5">
        <v>60</v>
      </c>
      <c r="H1825" s="5">
        <v>55</v>
      </c>
      <c r="I1825" s="5">
        <v>60</v>
      </c>
      <c r="J1825" s="5">
        <v>30</v>
      </c>
      <c r="K1825" s="5">
        <v>20</v>
      </c>
      <c r="L1825" s="5">
        <v>70</v>
      </c>
      <c r="M1825" s="5">
        <v>0</v>
      </c>
      <c r="N1825" s="5">
        <v>2400</v>
      </c>
      <c r="O1825" s="5" t="str">
        <f t="shared" ca="1" si="28"/>
        <v>Supplier 42</v>
      </c>
      <c r="P1825" s="20" t="str">
        <f ca="1">IFERROR(VLOOKUP(O1825,EMAILS!B:C,2,FALSE),"NOT FOUND IN EMAILS")</f>
        <v>supplier@gmail.com</v>
      </c>
      <c r="Q1825" t="str">
        <f ca="1">""&amp;IFERROR(VLOOKUP(O1825,EMAILS!B:D,3,FALSE),"NOT FOUND IN EMAILS")</f>
        <v/>
      </c>
      <c r="R1825" t="str">
        <f ca="1">""&amp;IFERROR(VLOOKUP(O1825,EMAILS!B:E,4,FALSE),"NO T FOUND IN EMAILS")</f>
        <v/>
      </c>
    </row>
    <row r="1826" spans="2:18" x14ac:dyDescent="0.25">
      <c r="B1826" s="5" t="s">
        <v>1828</v>
      </c>
      <c r="C1826" s="5" t="s">
        <v>5968</v>
      </c>
      <c r="D1826" s="5">
        <v>725</v>
      </c>
      <c r="E1826" s="5">
        <v>620</v>
      </c>
      <c r="F1826" s="5">
        <v>810</v>
      </c>
      <c r="G1826" s="5">
        <v>720</v>
      </c>
      <c r="H1826" s="5">
        <v>830</v>
      </c>
      <c r="I1826" s="5">
        <v>820</v>
      </c>
      <c r="J1826" s="5">
        <v>510</v>
      </c>
      <c r="K1826" s="5">
        <v>520</v>
      </c>
      <c r="L1826" s="5">
        <v>620</v>
      </c>
      <c r="M1826" s="5">
        <v>0</v>
      </c>
      <c r="N1826" s="5">
        <v>4049</v>
      </c>
      <c r="O1826" s="5" t="str">
        <f t="shared" ca="1" si="28"/>
        <v>Supplier 39</v>
      </c>
      <c r="P1826" s="20" t="str">
        <f ca="1">IFERROR(VLOOKUP(O1826,EMAILS!B:C,2,FALSE),"NOT FOUND IN EMAILS")</f>
        <v>supplier@gmail.com</v>
      </c>
      <c r="Q1826" t="str">
        <f ca="1">""&amp;IFERROR(VLOOKUP(O1826,EMAILS!B:D,3,FALSE),"NOT FOUND IN EMAILS")</f>
        <v/>
      </c>
      <c r="R1826" t="str">
        <f ca="1">""&amp;IFERROR(VLOOKUP(O1826,EMAILS!B:E,4,FALSE),"NO T FOUND IN EMAILS")</f>
        <v/>
      </c>
    </row>
    <row r="1827" spans="2:18" x14ac:dyDescent="0.25">
      <c r="B1827" s="5" t="s">
        <v>1829</v>
      </c>
      <c r="C1827" s="5" t="s">
        <v>5969</v>
      </c>
      <c r="D1827" s="5">
        <v>725</v>
      </c>
      <c r="E1827" s="5">
        <v>620</v>
      </c>
      <c r="F1827" s="5">
        <v>810</v>
      </c>
      <c r="G1827" s="5">
        <v>720</v>
      </c>
      <c r="H1827" s="5">
        <v>830</v>
      </c>
      <c r="I1827" s="5">
        <v>820</v>
      </c>
      <c r="J1827" s="5">
        <v>510</v>
      </c>
      <c r="K1827" s="5">
        <v>520</v>
      </c>
      <c r="L1827" s="5">
        <v>620</v>
      </c>
      <c r="M1827" s="5">
        <v>0</v>
      </c>
      <c r="N1827" s="5">
        <v>4</v>
      </c>
      <c r="O1827" s="5" t="str">
        <f t="shared" ca="1" si="28"/>
        <v>Supplier 144</v>
      </c>
      <c r="P1827" s="20" t="str">
        <f ca="1">IFERROR(VLOOKUP(O1827,EMAILS!B:C,2,FALSE),"NOT FOUND IN EMAILS")</f>
        <v>supplier@gmail.com</v>
      </c>
      <c r="Q1827" t="str">
        <f ca="1">""&amp;IFERROR(VLOOKUP(O1827,EMAILS!B:D,3,FALSE),"NOT FOUND IN EMAILS")</f>
        <v/>
      </c>
      <c r="R1827" t="str">
        <f ca="1">""&amp;IFERROR(VLOOKUP(O1827,EMAILS!B:E,4,FALSE),"NO T FOUND IN EMAILS")</f>
        <v/>
      </c>
    </row>
    <row r="1828" spans="2:18" x14ac:dyDescent="0.25">
      <c r="B1828" s="5" t="s">
        <v>1830</v>
      </c>
      <c r="C1828" s="5" t="s">
        <v>5970</v>
      </c>
      <c r="D1828" s="5">
        <v>100</v>
      </c>
      <c r="E1828" s="5">
        <v>0</v>
      </c>
      <c r="F1828" s="5">
        <v>100</v>
      </c>
      <c r="G1828" s="5">
        <v>80</v>
      </c>
      <c r="H1828" s="5">
        <v>80</v>
      </c>
      <c r="I1828" s="5">
        <v>80</v>
      </c>
      <c r="J1828" s="5">
        <v>80</v>
      </c>
      <c r="K1828" s="5">
        <v>80</v>
      </c>
      <c r="L1828" s="5">
        <v>80</v>
      </c>
      <c r="M1828" s="5">
        <v>0</v>
      </c>
      <c r="N1828" s="5">
        <v>0</v>
      </c>
      <c r="O1828" s="5" t="str">
        <f t="shared" ca="1" si="28"/>
        <v>Supplier 76</v>
      </c>
      <c r="P1828" s="20" t="str">
        <f ca="1">IFERROR(VLOOKUP(O1828,EMAILS!B:C,2,FALSE),"NOT FOUND IN EMAILS")</f>
        <v>supplier@gmail.com</v>
      </c>
      <c r="Q1828" t="str">
        <f ca="1">""&amp;IFERROR(VLOOKUP(O1828,EMAILS!B:D,3,FALSE),"NOT FOUND IN EMAILS")</f>
        <v/>
      </c>
      <c r="R1828" t="str">
        <f ca="1">""&amp;IFERROR(VLOOKUP(O1828,EMAILS!B:E,4,FALSE),"NO T FOUND IN EMAILS")</f>
        <v/>
      </c>
    </row>
    <row r="1829" spans="2:18" x14ac:dyDescent="0.25">
      <c r="B1829" s="5" t="s">
        <v>1831</v>
      </c>
      <c r="C1829" s="5" t="s">
        <v>5971</v>
      </c>
      <c r="D1829" s="5">
        <v>100</v>
      </c>
      <c r="E1829" s="5">
        <v>0</v>
      </c>
      <c r="F1829" s="5">
        <v>100</v>
      </c>
      <c r="G1829" s="5">
        <v>80</v>
      </c>
      <c r="H1829" s="5">
        <v>80</v>
      </c>
      <c r="I1829" s="5">
        <v>80</v>
      </c>
      <c r="J1829" s="5">
        <v>80</v>
      </c>
      <c r="K1829" s="5">
        <v>80</v>
      </c>
      <c r="L1829" s="5">
        <v>80</v>
      </c>
      <c r="M1829" s="5">
        <v>0</v>
      </c>
      <c r="N1829" s="5">
        <v>918</v>
      </c>
      <c r="O1829" s="5" t="str">
        <f t="shared" ca="1" si="28"/>
        <v>Supplier 115</v>
      </c>
      <c r="P1829" s="20" t="str">
        <f ca="1">IFERROR(VLOOKUP(O1829,EMAILS!B:C,2,FALSE),"NOT FOUND IN EMAILS")</f>
        <v>supplier@gmail.com</v>
      </c>
      <c r="Q1829" t="str">
        <f ca="1">""&amp;IFERROR(VLOOKUP(O1829,EMAILS!B:D,3,FALSE),"NOT FOUND IN EMAILS")</f>
        <v/>
      </c>
      <c r="R1829" t="str">
        <f ca="1">""&amp;IFERROR(VLOOKUP(O1829,EMAILS!B:E,4,FALSE),"NO T FOUND IN EMAILS")</f>
        <v/>
      </c>
    </row>
    <row r="1830" spans="2:18" x14ac:dyDescent="0.25">
      <c r="B1830" s="5" t="s">
        <v>1832</v>
      </c>
      <c r="C1830" s="5" t="s">
        <v>5972</v>
      </c>
      <c r="D1830" s="5">
        <v>50</v>
      </c>
      <c r="E1830" s="5">
        <v>55</v>
      </c>
      <c r="F1830" s="5">
        <v>70</v>
      </c>
      <c r="G1830" s="5">
        <v>70</v>
      </c>
      <c r="H1830" s="5">
        <v>50</v>
      </c>
      <c r="I1830" s="5">
        <v>85</v>
      </c>
      <c r="J1830" s="5">
        <v>60</v>
      </c>
      <c r="K1830" s="5">
        <v>50</v>
      </c>
      <c r="L1830" s="5">
        <v>50</v>
      </c>
      <c r="M1830" s="5">
        <v>0</v>
      </c>
      <c r="N1830" s="5">
        <v>125</v>
      </c>
      <c r="O1830" s="5" t="str">
        <f t="shared" ca="1" si="28"/>
        <v>Supplier 110</v>
      </c>
      <c r="P1830" s="20" t="str">
        <f ca="1">IFERROR(VLOOKUP(O1830,EMAILS!B:C,2,FALSE),"NOT FOUND IN EMAILS")</f>
        <v>supplier@gmail.com</v>
      </c>
      <c r="Q1830" t="str">
        <f ca="1">""&amp;IFERROR(VLOOKUP(O1830,EMAILS!B:D,3,FALSE),"NOT FOUND IN EMAILS")</f>
        <v/>
      </c>
      <c r="R1830" t="str">
        <f ca="1">""&amp;IFERROR(VLOOKUP(O1830,EMAILS!B:E,4,FALSE),"NO T FOUND IN EMAILS")</f>
        <v/>
      </c>
    </row>
    <row r="1831" spans="2:18" x14ac:dyDescent="0.25">
      <c r="B1831" s="5" t="s">
        <v>1833</v>
      </c>
      <c r="C1831" s="5" t="s">
        <v>5973</v>
      </c>
      <c r="D1831" s="5">
        <v>0</v>
      </c>
      <c r="E1831" s="5">
        <v>0</v>
      </c>
      <c r="F1831" s="5">
        <v>0</v>
      </c>
      <c r="G1831" s="5">
        <v>0</v>
      </c>
      <c r="H1831" s="5">
        <v>0</v>
      </c>
      <c r="I1831" s="5">
        <v>100</v>
      </c>
      <c r="J1831" s="5">
        <v>0</v>
      </c>
      <c r="K1831" s="5">
        <v>0</v>
      </c>
      <c r="L1831" s="5">
        <v>0</v>
      </c>
      <c r="M1831" s="5">
        <v>0</v>
      </c>
      <c r="N1831" s="5">
        <v>1150</v>
      </c>
      <c r="O1831" s="5" t="str">
        <f t="shared" ca="1" si="28"/>
        <v>Supplier 18</v>
      </c>
      <c r="P1831" s="20" t="str">
        <f ca="1">IFERROR(VLOOKUP(O1831,EMAILS!B:C,2,FALSE),"NOT FOUND IN EMAILS")</f>
        <v>supplier@gmail.com</v>
      </c>
      <c r="Q1831" t="str">
        <f ca="1">""&amp;IFERROR(VLOOKUP(O1831,EMAILS!B:D,3,FALSE),"NOT FOUND IN EMAILS")</f>
        <v>supplier_logistics@gmail.com</v>
      </c>
      <c r="R1831" t="str">
        <f ca="1">""&amp;IFERROR(VLOOKUP(O1831,EMAILS!B:E,4,FALSE),"NO T FOUND IN EMAILS")</f>
        <v/>
      </c>
    </row>
    <row r="1832" spans="2:18" x14ac:dyDescent="0.25">
      <c r="B1832" s="5" t="s">
        <v>1834</v>
      </c>
      <c r="C1832" s="5" t="s">
        <v>5974</v>
      </c>
      <c r="D1832" s="5">
        <v>1936</v>
      </c>
      <c r="E1832" s="5">
        <v>1568</v>
      </c>
      <c r="F1832" s="5">
        <v>1872</v>
      </c>
      <c r="G1832" s="5">
        <v>1696</v>
      </c>
      <c r="H1832" s="5">
        <v>1520</v>
      </c>
      <c r="I1832" s="5">
        <v>1696</v>
      </c>
      <c r="J1832" s="5">
        <v>960</v>
      </c>
      <c r="K1832" s="5">
        <v>880</v>
      </c>
      <c r="L1832" s="5">
        <v>976</v>
      </c>
      <c r="M1832" s="5">
        <v>0</v>
      </c>
      <c r="N1832" s="5">
        <v>92</v>
      </c>
      <c r="O1832" s="5" t="str">
        <f t="shared" ca="1" si="28"/>
        <v>Supplier 121</v>
      </c>
      <c r="P1832" s="20" t="str">
        <f ca="1">IFERROR(VLOOKUP(O1832,EMAILS!B:C,2,FALSE),"NOT FOUND IN EMAILS")</f>
        <v>supplier@gmail.com</v>
      </c>
      <c r="Q1832" t="str">
        <f ca="1">""&amp;IFERROR(VLOOKUP(O1832,EMAILS!B:D,3,FALSE),"NOT FOUND IN EMAILS")</f>
        <v/>
      </c>
      <c r="R1832" t="str">
        <f ca="1">""&amp;IFERROR(VLOOKUP(O1832,EMAILS!B:E,4,FALSE),"NO T FOUND IN EMAILS")</f>
        <v/>
      </c>
    </row>
    <row r="1833" spans="2:18" x14ac:dyDescent="0.25">
      <c r="B1833" s="5" t="s">
        <v>1835</v>
      </c>
      <c r="C1833" s="5" t="s">
        <v>5975</v>
      </c>
      <c r="D1833" s="5">
        <v>0</v>
      </c>
      <c r="E1833" s="5">
        <v>0</v>
      </c>
      <c r="F1833" s="5">
        <v>0</v>
      </c>
      <c r="G1833" s="5">
        <v>0</v>
      </c>
      <c r="H1833" s="5">
        <v>0</v>
      </c>
      <c r="I1833" s="5">
        <v>0</v>
      </c>
      <c r="J1833" s="5">
        <v>0</v>
      </c>
      <c r="K1833" s="5">
        <v>0</v>
      </c>
      <c r="L1833" s="5">
        <v>0</v>
      </c>
      <c r="M1833" s="5">
        <v>0</v>
      </c>
      <c r="N1833" s="5">
        <v>11</v>
      </c>
      <c r="O1833" s="5" t="str">
        <f t="shared" ca="1" si="28"/>
        <v>Supplier 99</v>
      </c>
      <c r="P1833" s="20" t="str">
        <f ca="1">IFERROR(VLOOKUP(O1833,EMAILS!B:C,2,FALSE),"NOT FOUND IN EMAILS")</f>
        <v>supplier@gmail.com</v>
      </c>
      <c r="Q1833" t="str">
        <f ca="1">""&amp;IFERROR(VLOOKUP(O1833,EMAILS!B:D,3,FALSE),"NOT FOUND IN EMAILS")</f>
        <v/>
      </c>
      <c r="R1833" t="str">
        <f ca="1">""&amp;IFERROR(VLOOKUP(O1833,EMAILS!B:E,4,FALSE),"NO T FOUND IN EMAILS")</f>
        <v/>
      </c>
    </row>
    <row r="1834" spans="2:18" x14ac:dyDescent="0.25">
      <c r="B1834" s="5" t="s">
        <v>1836</v>
      </c>
      <c r="C1834" s="5" t="s">
        <v>5976</v>
      </c>
      <c r="D1834" s="5">
        <v>0</v>
      </c>
      <c r="E1834" s="5">
        <v>0</v>
      </c>
      <c r="F1834" s="5">
        <v>0</v>
      </c>
      <c r="G1834" s="5">
        <v>0</v>
      </c>
      <c r="H1834" s="5">
        <v>0</v>
      </c>
      <c r="I1834" s="5">
        <v>0</v>
      </c>
      <c r="J1834" s="5">
        <v>0</v>
      </c>
      <c r="K1834" s="5">
        <v>0</v>
      </c>
      <c r="L1834" s="5">
        <v>0</v>
      </c>
      <c r="M1834" s="5">
        <v>0</v>
      </c>
      <c r="N1834" s="5">
        <v>320</v>
      </c>
      <c r="O1834" s="5" t="str">
        <f t="shared" ca="1" si="28"/>
        <v>Supplier 38</v>
      </c>
      <c r="P1834" s="20" t="str">
        <f ca="1">IFERROR(VLOOKUP(O1834,EMAILS!B:C,2,FALSE),"NOT FOUND IN EMAILS")</f>
        <v>supplier@gmail.com</v>
      </c>
      <c r="Q1834" t="str">
        <f ca="1">""&amp;IFERROR(VLOOKUP(O1834,EMAILS!B:D,3,FALSE),"NOT FOUND IN EMAILS")</f>
        <v/>
      </c>
      <c r="R1834" t="str">
        <f ca="1">""&amp;IFERROR(VLOOKUP(O1834,EMAILS!B:E,4,FALSE),"NO T FOUND IN EMAILS")</f>
        <v/>
      </c>
    </row>
    <row r="1835" spans="2:18" x14ac:dyDescent="0.25">
      <c r="B1835" s="5" t="s">
        <v>1837</v>
      </c>
      <c r="C1835" s="5" t="s">
        <v>5977</v>
      </c>
      <c r="D1835" s="5">
        <v>0</v>
      </c>
      <c r="E1835" s="5">
        <v>0</v>
      </c>
      <c r="F1835" s="5">
        <v>0</v>
      </c>
      <c r="G1835" s="5">
        <v>1</v>
      </c>
      <c r="H1835" s="5">
        <v>0</v>
      </c>
      <c r="I1835" s="5">
        <v>2</v>
      </c>
      <c r="J1835" s="5">
        <v>1</v>
      </c>
      <c r="K1835" s="5">
        <v>0</v>
      </c>
      <c r="L1835" s="5">
        <v>1</v>
      </c>
      <c r="M1835" s="5">
        <v>0</v>
      </c>
      <c r="N1835" s="5">
        <v>392</v>
      </c>
      <c r="O1835" s="5" t="str">
        <f t="shared" ca="1" si="28"/>
        <v>Supplier 199</v>
      </c>
      <c r="P1835" s="20" t="str">
        <f ca="1">IFERROR(VLOOKUP(O1835,EMAILS!B:C,2,FALSE),"NOT FOUND IN EMAILS")</f>
        <v>supplier@gmail.com</v>
      </c>
      <c r="Q1835" t="str">
        <f ca="1">""&amp;IFERROR(VLOOKUP(O1835,EMAILS!B:D,3,FALSE),"NOT FOUND IN EMAILS")</f>
        <v/>
      </c>
      <c r="R1835" t="str">
        <f ca="1">""&amp;IFERROR(VLOOKUP(O1835,EMAILS!B:E,4,FALSE),"NO T FOUND IN EMAILS")</f>
        <v/>
      </c>
    </row>
    <row r="1836" spans="2:18" x14ac:dyDescent="0.25">
      <c r="B1836" s="5" t="s">
        <v>1838</v>
      </c>
      <c r="C1836" s="5" t="s">
        <v>5978</v>
      </c>
      <c r="D1836" s="5">
        <v>0</v>
      </c>
      <c r="E1836" s="5">
        <v>0</v>
      </c>
      <c r="F1836" s="5">
        <v>0</v>
      </c>
      <c r="G1836" s="5">
        <v>0</v>
      </c>
      <c r="H1836" s="5">
        <v>0</v>
      </c>
      <c r="I1836" s="5">
        <v>0</v>
      </c>
      <c r="J1836" s="5">
        <v>0</v>
      </c>
      <c r="K1836" s="5">
        <v>0</v>
      </c>
      <c r="L1836" s="5">
        <v>0</v>
      </c>
      <c r="M1836" s="5">
        <v>0</v>
      </c>
      <c r="N1836" s="5">
        <v>93</v>
      </c>
      <c r="O1836" s="5" t="str">
        <f t="shared" ca="1" si="28"/>
        <v>Supplier 98</v>
      </c>
      <c r="P1836" s="20" t="str">
        <f ca="1">IFERROR(VLOOKUP(O1836,EMAILS!B:C,2,FALSE),"NOT FOUND IN EMAILS")</f>
        <v>supplier@gmail.com</v>
      </c>
      <c r="Q1836" t="str">
        <f ca="1">""&amp;IFERROR(VLOOKUP(O1836,EMAILS!B:D,3,FALSE),"NOT FOUND IN EMAILS")</f>
        <v/>
      </c>
      <c r="R1836" t="str">
        <f ca="1">""&amp;IFERROR(VLOOKUP(O1836,EMAILS!B:E,4,FALSE),"NO T FOUND IN EMAILS")</f>
        <v/>
      </c>
    </row>
    <row r="1837" spans="2:18" x14ac:dyDescent="0.25">
      <c r="B1837" s="5" t="s">
        <v>1839</v>
      </c>
      <c r="C1837" s="5" t="s">
        <v>5979</v>
      </c>
      <c r="D1837" s="5">
        <v>0</v>
      </c>
      <c r="E1837" s="5">
        <v>0</v>
      </c>
      <c r="F1837" s="5">
        <v>0</v>
      </c>
      <c r="G1837" s="5">
        <v>1</v>
      </c>
      <c r="H1837" s="5">
        <v>0</v>
      </c>
      <c r="I1837" s="5">
        <v>2</v>
      </c>
      <c r="J1837" s="5">
        <v>1</v>
      </c>
      <c r="K1837" s="5">
        <v>0</v>
      </c>
      <c r="L1837" s="5">
        <v>1</v>
      </c>
      <c r="M1837" s="5">
        <v>0</v>
      </c>
      <c r="N1837" s="5">
        <v>81</v>
      </c>
      <c r="O1837" s="5" t="str">
        <f t="shared" ca="1" si="28"/>
        <v>Supplier 82</v>
      </c>
      <c r="P1837" s="20" t="str">
        <f ca="1">IFERROR(VLOOKUP(O1837,EMAILS!B:C,2,FALSE),"NOT FOUND IN EMAILS")</f>
        <v>supplier@gmail.com</v>
      </c>
      <c r="Q1837" t="str">
        <f ca="1">""&amp;IFERROR(VLOOKUP(O1837,EMAILS!B:D,3,FALSE),"NOT FOUND IN EMAILS")</f>
        <v/>
      </c>
      <c r="R1837" t="str">
        <f ca="1">""&amp;IFERROR(VLOOKUP(O1837,EMAILS!B:E,4,FALSE),"NO T FOUND IN EMAILS")</f>
        <v/>
      </c>
    </row>
    <row r="1838" spans="2:18" x14ac:dyDescent="0.25">
      <c r="B1838" s="5" t="s">
        <v>1840</v>
      </c>
      <c r="C1838" s="5" t="s">
        <v>5980</v>
      </c>
      <c r="D1838" s="5">
        <v>0</v>
      </c>
      <c r="E1838" s="5">
        <v>0</v>
      </c>
      <c r="F1838" s="5">
        <v>0</v>
      </c>
      <c r="G1838" s="5">
        <v>0</v>
      </c>
      <c r="H1838" s="5">
        <v>0</v>
      </c>
      <c r="I1838" s="5">
        <v>0</v>
      </c>
      <c r="J1838" s="5">
        <v>0</v>
      </c>
      <c r="K1838" s="5">
        <v>0</v>
      </c>
      <c r="L1838" s="5">
        <v>0</v>
      </c>
      <c r="M1838" s="5">
        <v>0</v>
      </c>
      <c r="N1838" s="5">
        <v>51</v>
      </c>
      <c r="O1838" s="5" t="str">
        <f t="shared" ca="1" si="28"/>
        <v>Supplier 164</v>
      </c>
      <c r="P1838" s="20" t="str">
        <f ca="1">IFERROR(VLOOKUP(O1838,EMAILS!B:C,2,FALSE),"NOT FOUND IN EMAILS")</f>
        <v>supplier@gmail.com</v>
      </c>
      <c r="Q1838" t="str">
        <f ca="1">""&amp;IFERROR(VLOOKUP(O1838,EMAILS!B:D,3,FALSE),"NOT FOUND IN EMAILS")</f>
        <v/>
      </c>
      <c r="R1838" t="str">
        <f ca="1">""&amp;IFERROR(VLOOKUP(O1838,EMAILS!B:E,4,FALSE),"NO T FOUND IN EMAILS")</f>
        <v/>
      </c>
    </row>
    <row r="1839" spans="2:18" x14ac:dyDescent="0.25">
      <c r="B1839" s="5" t="s">
        <v>1841</v>
      </c>
      <c r="C1839" s="5" t="s">
        <v>5981</v>
      </c>
      <c r="D1839" s="5">
        <v>0</v>
      </c>
      <c r="E1839" s="5">
        <v>0</v>
      </c>
      <c r="F1839" s="5">
        <v>0</v>
      </c>
      <c r="G1839" s="5">
        <v>0</v>
      </c>
      <c r="H1839" s="5">
        <v>0</v>
      </c>
      <c r="I1839" s="5">
        <v>0</v>
      </c>
      <c r="J1839" s="5">
        <v>0</v>
      </c>
      <c r="K1839" s="5">
        <v>0</v>
      </c>
      <c r="L1839" s="5">
        <v>0</v>
      </c>
      <c r="M1839" s="5">
        <v>0</v>
      </c>
      <c r="N1839" s="5">
        <v>47</v>
      </c>
      <c r="O1839" s="5" t="str">
        <f t="shared" ca="1" si="28"/>
        <v>Supplier 170</v>
      </c>
      <c r="P1839" s="20" t="str">
        <f ca="1">IFERROR(VLOOKUP(O1839,EMAILS!B:C,2,FALSE),"NOT FOUND IN EMAILS")</f>
        <v>supplier@gmail.com</v>
      </c>
      <c r="Q1839" t="str">
        <f ca="1">""&amp;IFERROR(VLOOKUP(O1839,EMAILS!B:D,3,FALSE),"NOT FOUND IN EMAILS")</f>
        <v/>
      </c>
      <c r="R1839" t="str">
        <f ca="1">""&amp;IFERROR(VLOOKUP(O1839,EMAILS!B:E,4,FALSE),"NO T FOUND IN EMAILS")</f>
        <v/>
      </c>
    </row>
    <row r="1840" spans="2:18" x14ac:dyDescent="0.25">
      <c r="B1840" s="5" t="s">
        <v>1842</v>
      </c>
      <c r="C1840" s="5" t="s">
        <v>5982</v>
      </c>
      <c r="D1840" s="5">
        <v>0</v>
      </c>
      <c r="E1840" s="5">
        <v>0</v>
      </c>
      <c r="F1840" s="5">
        <v>0</v>
      </c>
      <c r="G1840" s="5">
        <v>0</v>
      </c>
      <c r="H1840" s="5">
        <v>0</v>
      </c>
      <c r="I1840" s="5">
        <v>0</v>
      </c>
      <c r="J1840" s="5">
        <v>0</v>
      </c>
      <c r="K1840" s="5">
        <v>0</v>
      </c>
      <c r="L1840" s="5">
        <v>0</v>
      </c>
      <c r="M1840" s="5">
        <v>0</v>
      </c>
      <c r="N1840" s="5">
        <v>75</v>
      </c>
      <c r="O1840" s="5" t="str">
        <f t="shared" ca="1" si="28"/>
        <v>Supplier 188</v>
      </c>
      <c r="P1840" s="20" t="str">
        <f ca="1">IFERROR(VLOOKUP(O1840,EMAILS!B:C,2,FALSE),"NOT FOUND IN EMAILS")</f>
        <v>supplier@gmail.com</v>
      </c>
      <c r="Q1840" t="str">
        <f ca="1">""&amp;IFERROR(VLOOKUP(O1840,EMAILS!B:D,3,FALSE),"NOT FOUND IN EMAILS")</f>
        <v/>
      </c>
      <c r="R1840" t="str">
        <f ca="1">""&amp;IFERROR(VLOOKUP(O1840,EMAILS!B:E,4,FALSE),"NO T FOUND IN EMAILS")</f>
        <v/>
      </c>
    </row>
    <row r="1841" spans="2:18" x14ac:dyDescent="0.25">
      <c r="B1841" s="5" t="s">
        <v>1843</v>
      </c>
      <c r="C1841" s="5" t="s">
        <v>5983</v>
      </c>
      <c r="D1841" s="5">
        <v>0</v>
      </c>
      <c r="E1841" s="5">
        <v>0</v>
      </c>
      <c r="F1841" s="5">
        <v>0</v>
      </c>
      <c r="G1841" s="5">
        <v>0</v>
      </c>
      <c r="H1841" s="5">
        <v>0</v>
      </c>
      <c r="I1841" s="5">
        <v>0</v>
      </c>
      <c r="J1841" s="5">
        <v>0</v>
      </c>
      <c r="K1841" s="5">
        <v>0</v>
      </c>
      <c r="L1841" s="5">
        <v>0</v>
      </c>
      <c r="M1841" s="5">
        <v>0</v>
      </c>
      <c r="N1841" s="5">
        <v>0</v>
      </c>
      <c r="O1841" s="5" t="str">
        <f t="shared" ca="1" si="28"/>
        <v>Supplier 116</v>
      </c>
      <c r="P1841" s="20" t="str">
        <f ca="1">IFERROR(VLOOKUP(O1841,EMAILS!B:C,2,FALSE),"NOT FOUND IN EMAILS")</f>
        <v>supplier@gmail.com</v>
      </c>
      <c r="Q1841" t="str">
        <f ca="1">""&amp;IFERROR(VLOOKUP(O1841,EMAILS!B:D,3,FALSE),"NOT FOUND IN EMAILS")</f>
        <v/>
      </c>
      <c r="R1841" t="str">
        <f ca="1">""&amp;IFERROR(VLOOKUP(O1841,EMAILS!B:E,4,FALSE),"NO T FOUND IN EMAILS")</f>
        <v/>
      </c>
    </row>
    <row r="1842" spans="2:18" x14ac:dyDescent="0.25">
      <c r="B1842" s="5" t="s">
        <v>1844</v>
      </c>
      <c r="C1842" s="5" t="s">
        <v>5984</v>
      </c>
      <c r="D1842" s="5">
        <v>560</v>
      </c>
      <c r="E1842" s="5">
        <v>560</v>
      </c>
      <c r="F1842" s="5">
        <v>528</v>
      </c>
      <c r="G1842" s="5">
        <v>440</v>
      </c>
      <c r="H1842" s="5">
        <v>440</v>
      </c>
      <c r="I1842" s="5">
        <v>440</v>
      </c>
      <c r="J1842" s="5">
        <v>288</v>
      </c>
      <c r="K1842" s="5">
        <v>216</v>
      </c>
      <c r="L1842" s="5">
        <v>280</v>
      </c>
      <c r="M1842" s="5">
        <v>0</v>
      </c>
      <c r="N1842" s="5">
        <v>375</v>
      </c>
      <c r="O1842" s="5" t="str">
        <f t="shared" ca="1" si="28"/>
        <v>Supplier 168</v>
      </c>
      <c r="P1842" s="20" t="str">
        <f ca="1">IFERROR(VLOOKUP(O1842,EMAILS!B:C,2,FALSE),"NOT FOUND IN EMAILS")</f>
        <v>supplier@gmail.com</v>
      </c>
      <c r="Q1842" t="str">
        <f ca="1">""&amp;IFERROR(VLOOKUP(O1842,EMAILS!B:D,3,FALSE),"NOT FOUND IN EMAILS")</f>
        <v/>
      </c>
      <c r="R1842" t="str">
        <f ca="1">""&amp;IFERROR(VLOOKUP(O1842,EMAILS!B:E,4,FALSE),"NO T FOUND IN EMAILS")</f>
        <v/>
      </c>
    </row>
    <row r="1843" spans="2:18" x14ac:dyDescent="0.25">
      <c r="B1843" s="5" t="s">
        <v>1845</v>
      </c>
      <c r="C1843" s="5" t="s">
        <v>5985</v>
      </c>
      <c r="D1843" s="5">
        <v>408</v>
      </c>
      <c r="E1843" s="5">
        <v>224</v>
      </c>
      <c r="F1843" s="5">
        <v>376</v>
      </c>
      <c r="G1843" s="5">
        <v>408</v>
      </c>
      <c r="H1843" s="5">
        <v>288</v>
      </c>
      <c r="I1843" s="5">
        <v>408</v>
      </c>
      <c r="J1843" s="5">
        <v>192</v>
      </c>
      <c r="K1843" s="5">
        <v>192</v>
      </c>
      <c r="L1843" s="5">
        <v>208</v>
      </c>
      <c r="M1843" s="5">
        <v>0</v>
      </c>
      <c r="N1843" s="5">
        <v>0</v>
      </c>
      <c r="O1843" s="5" t="str">
        <f t="shared" ca="1" si="28"/>
        <v>Supplier 120</v>
      </c>
      <c r="P1843" s="20" t="str">
        <f ca="1">IFERROR(VLOOKUP(O1843,EMAILS!B:C,2,FALSE),"NOT FOUND IN EMAILS")</f>
        <v>supplier@gmail.com</v>
      </c>
      <c r="Q1843" t="str">
        <f ca="1">""&amp;IFERROR(VLOOKUP(O1843,EMAILS!B:D,3,FALSE),"NOT FOUND IN EMAILS")</f>
        <v/>
      </c>
      <c r="R1843" t="str">
        <f ca="1">""&amp;IFERROR(VLOOKUP(O1843,EMAILS!B:E,4,FALSE),"NO T FOUND IN EMAILS")</f>
        <v/>
      </c>
    </row>
    <row r="1844" spans="2:18" x14ac:dyDescent="0.25">
      <c r="B1844" s="5" t="s">
        <v>1846</v>
      </c>
      <c r="C1844" s="5" t="s">
        <v>5986</v>
      </c>
      <c r="D1844" s="5">
        <v>16</v>
      </c>
      <c r="E1844" s="5">
        <v>0</v>
      </c>
      <c r="F1844" s="5">
        <v>16</v>
      </c>
      <c r="G1844" s="5">
        <v>8</v>
      </c>
      <c r="H1844" s="5">
        <v>8</v>
      </c>
      <c r="I1844" s="5">
        <v>8</v>
      </c>
      <c r="J1844" s="5">
        <v>8</v>
      </c>
      <c r="K1844" s="5">
        <v>8</v>
      </c>
      <c r="L1844" s="5">
        <v>8</v>
      </c>
      <c r="M1844" s="5">
        <v>0</v>
      </c>
      <c r="N1844" s="5">
        <v>0</v>
      </c>
      <c r="O1844" s="5" t="str">
        <f t="shared" ca="1" si="28"/>
        <v>Supplier 45</v>
      </c>
      <c r="P1844" s="20" t="str">
        <f ca="1">IFERROR(VLOOKUP(O1844,EMAILS!B:C,2,FALSE),"NOT FOUND IN EMAILS")</f>
        <v>supplier@gmail.com</v>
      </c>
      <c r="Q1844" t="str">
        <f ca="1">""&amp;IFERROR(VLOOKUP(O1844,EMAILS!B:D,3,FALSE),"NOT FOUND IN EMAILS")</f>
        <v/>
      </c>
      <c r="R1844" t="str">
        <f ca="1">""&amp;IFERROR(VLOOKUP(O1844,EMAILS!B:E,4,FALSE),"NO T FOUND IN EMAILS")</f>
        <v/>
      </c>
    </row>
    <row r="1845" spans="2:18" x14ac:dyDescent="0.25">
      <c r="B1845" s="5" t="s">
        <v>1847</v>
      </c>
      <c r="C1845" s="5" t="s">
        <v>5987</v>
      </c>
      <c r="D1845" s="5">
        <v>16</v>
      </c>
      <c r="E1845" s="5">
        <v>0</v>
      </c>
      <c r="F1845" s="5">
        <v>16</v>
      </c>
      <c r="G1845" s="5">
        <v>8</v>
      </c>
      <c r="H1845" s="5">
        <v>8</v>
      </c>
      <c r="I1845" s="5">
        <v>8</v>
      </c>
      <c r="J1845" s="5">
        <v>8</v>
      </c>
      <c r="K1845" s="5">
        <v>8</v>
      </c>
      <c r="L1845" s="5">
        <v>8</v>
      </c>
      <c r="M1845" s="5">
        <v>0</v>
      </c>
      <c r="N1845" s="5">
        <v>2000</v>
      </c>
      <c r="O1845" s="5" t="str">
        <f t="shared" ca="1" si="28"/>
        <v>Supplier 170</v>
      </c>
      <c r="P1845" s="20" t="str">
        <f ca="1">IFERROR(VLOOKUP(O1845,EMAILS!B:C,2,FALSE),"NOT FOUND IN EMAILS")</f>
        <v>supplier@gmail.com</v>
      </c>
      <c r="Q1845" t="str">
        <f ca="1">""&amp;IFERROR(VLOOKUP(O1845,EMAILS!B:D,3,FALSE),"NOT FOUND IN EMAILS")</f>
        <v/>
      </c>
      <c r="R1845" t="str">
        <f ca="1">""&amp;IFERROR(VLOOKUP(O1845,EMAILS!B:E,4,FALSE),"NO T FOUND IN EMAILS")</f>
        <v/>
      </c>
    </row>
    <row r="1846" spans="2:18" x14ac:dyDescent="0.25">
      <c r="B1846" s="5" t="s">
        <v>1848</v>
      </c>
      <c r="C1846" s="5" t="s">
        <v>5988</v>
      </c>
      <c r="D1846" s="5">
        <v>450</v>
      </c>
      <c r="E1846" s="5">
        <v>155</v>
      </c>
      <c r="F1846" s="5">
        <v>370</v>
      </c>
      <c r="G1846" s="5">
        <v>495</v>
      </c>
      <c r="H1846" s="5">
        <v>450</v>
      </c>
      <c r="I1846" s="5">
        <v>485</v>
      </c>
      <c r="J1846" s="5">
        <v>460</v>
      </c>
      <c r="K1846" s="5">
        <v>450</v>
      </c>
      <c r="L1846" s="5">
        <v>350</v>
      </c>
      <c r="M1846" s="5">
        <v>0</v>
      </c>
      <c r="N1846" s="5">
        <v>1170</v>
      </c>
      <c r="O1846" s="5" t="str">
        <f t="shared" ca="1" si="28"/>
        <v>Supplier 131</v>
      </c>
      <c r="P1846" s="20" t="str">
        <f ca="1">IFERROR(VLOOKUP(O1846,EMAILS!B:C,2,FALSE),"NOT FOUND IN EMAILS")</f>
        <v>supplier@gmail.com</v>
      </c>
      <c r="Q1846" t="str">
        <f ca="1">""&amp;IFERROR(VLOOKUP(O1846,EMAILS!B:D,3,FALSE),"NOT FOUND IN EMAILS")</f>
        <v/>
      </c>
      <c r="R1846" t="str">
        <f ca="1">""&amp;IFERROR(VLOOKUP(O1846,EMAILS!B:E,4,FALSE),"NO T FOUND IN EMAILS")</f>
        <v/>
      </c>
    </row>
    <row r="1847" spans="2:18" x14ac:dyDescent="0.25">
      <c r="B1847" s="5" t="s">
        <v>1849</v>
      </c>
      <c r="C1847" s="5" t="s">
        <v>5989</v>
      </c>
      <c r="D1847" s="5">
        <v>5504</v>
      </c>
      <c r="E1847" s="5">
        <v>3952</v>
      </c>
      <c r="F1847" s="5">
        <v>4640</v>
      </c>
      <c r="G1847" s="5">
        <v>5184</v>
      </c>
      <c r="H1847" s="5">
        <v>4690</v>
      </c>
      <c r="I1847" s="5">
        <v>5184</v>
      </c>
      <c r="J1847" s="5">
        <v>4380</v>
      </c>
      <c r="K1847" s="5">
        <v>4084</v>
      </c>
      <c r="L1847" s="5">
        <v>4244</v>
      </c>
      <c r="M1847" s="5">
        <v>0</v>
      </c>
      <c r="N1847" s="5">
        <v>0</v>
      </c>
      <c r="O1847" s="5" t="str">
        <f t="shared" ca="1" si="28"/>
        <v>Supplier 101</v>
      </c>
      <c r="P1847" s="20" t="str">
        <f ca="1">IFERROR(VLOOKUP(O1847,EMAILS!B:C,2,FALSE),"NOT FOUND IN EMAILS")</f>
        <v>supplier@gmail.com</v>
      </c>
      <c r="Q1847" t="str">
        <f ca="1">""&amp;IFERROR(VLOOKUP(O1847,EMAILS!B:D,3,FALSE),"NOT FOUND IN EMAILS")</f>
        <v/>
      </c>
      <c r="R1847" t="str">
        <f ca="1">""&amp;IFERROR(VLOOKUP(O1847,EMAILS!B:E,4,FALSE),"NO T FOUND IN EMAILS")</f>
        <v/>
      </c>
    </row>
    <row r="1848" spans="2:18" x14ac:dyDescent="0.25">
      <c r="B1848" s="5" t="s">
        <v>1850</v>
      </c>
      <c r="C1848" s="5" t="s">
        <v>5990</v>
      </c>
      <c r="D1848" s="5">
        <v>1010</v>
      </c>
      <c r="E1848" s="5">
        <v>784</v>
      </c>
      <c r="F1848" s="5">
        <v>1050</v>
      </c>
      <c r="G1848" s="5">
        <v>956</v>
      </c>
      <c r="H1848" s="5">
        <v>776</v>
      </c>
      <c r="I1848" s="5">
        <v>942</v>
      </c>
      <c r="J1848" s="5">
        <v>496</v>
      </c>
      <c r="K1848" s="5">
        <v>456</v>
      </c>
      <c r="L1848" s="5">
        <v>576</v>
      </c>
      <c r="M1848" s="5">
        <v>0</v>
      </c>
      <c r="N1848" s="5">
        <v>12</v>
      </c>
      <c r="O1848" s="5" t="str">
        <f t="shared" ca="1" si="28"/>
        <v>Supplier 177</v>
      </c>
      <c r="P1848" s="20" t="str">
        <f ca="1">IFERROR(VLOOKUP(O1848,EMAILS!B:C,2,FALSE),"NOT FOUND IN EMAILS")</f>
        <v>supplier@gmail.com</v>
      </c>
      <c r="Q1848" t="str">
        <f ca="1">""&amp;IFERROR(VLOOKUP(O1848,EMAILS!B:D,3,FALSE),"NOT FOUND IN EMAILS")</f>
        <v/>
      </c>
      <c r="R1848" t="str">
        <f ca="1">""&amp;IFERROR(VLOOKUP(O1848,EMAILS!B:E,4,FALSE),"NO T FOUND IN EMAILS")</f>
        <v/>
      </c>
    </row>
    <row r="1849" spans="2:18" x14ac:dyDescent="0.25">
      <c r="B1849" s="5" t="s">
        <v>1851</v>
      </c>
      <c r="C1849" s="5" t="s">
        <v>5991</v>
      </c>
      <c r="D1849" s="5">
        <v>1010</v>
      </c>
      <c r="E1849" s="5">
        <v>784</v>
      </c>
      <c r="F1849" s="5">
        <v>1050</v>
      </c>
      <c r="G1849" s="5">
        <v>956</v>
      </c>
      <c r="H1849" s="5">
        <v>776</v>
      </c>
      <c r="I1849" s="5">
        <v>942</v>
      </c>
      <c r="J1849" s="5">
        <v>496</v>
      </c>
      <c r="K1849" s="5">
        <v>456</v>
      </c>
      <c r="L1849" s="5">
        <v>576</v>
      </c>
      <c r="M1849" s="5">
        <v>0</v>
      </c>
      <c r="N1849" s="5">
        <v>724</v>
      </c>
      <c r="O1849" s="5" t="str">
        <f t="shared" ca="1" si="28"/>
        <v>Supplier 166</v>
      </c>
      <c r="P1849" s="20" t="str">
        <f ca="1">IFERROR(VLOOKUP(O1849,EMAILS!B:C,2,FALSE),"NOT FOUND IN EMAILS")</f>
        <v>supplier@gmail.com</v>
      </c>
      <c r="Q1849" t="str">
        <f ca="1">""&amp;IFERROR(VLOOKUP(O1849,EMAILS!B:D,3,FALSE),"NOT FOUND IN EMAILS")</f>
        <v/>
      </c>
      <c r="R1849" t="str">
        <f ca="1">""&amp;IFERROR(VLOOKUP(O1849,EMAILS!B:E,4,FALSE),"NO T FOUND IN EMAILS")</f>
        <v/>
      </c>
    </row>
    <row r="1850" spans="2:18" x14ac:dyDescent="0.25">
      <c r="B1850" s="5" t="s">
        <v>1852</v>
      </c>
      <c r="C1850" s="5" t="s">
        <v>5992</v>
      </c>
      <c r="D1850" s="5">
        <v>540</v>
      </c>
      <c r="E1850" s="5">
        <v>220</v>
      </c>
      <c r="F1850" s="5">
        <v>1280</v>
      </c>
      <c r="G1850" s="5">
        <v>1672</v>
      </c>
      <c r="H1850" s="5">
        <v>1640</v>
      </c>
      <c r="I1850" s="5">
        <v>416</v>
      </c>
      <c r="J1850" s="5">
        <v>320</v>
      </c>
      <c r="K1850" s="5">
        <v>160</v>
      </c>
      <c r="L1850" s="5">
        <v>440</v>
      </c>
      <c r="M1850" s="5">
        <v>0</v>
      </c>
      <c r="N1850" s="5">
        <v>308</v>
      </c>
      <c r="O1850" s="5" t="str">
        <f t="shared" ca="1" si="28"/>
        <v>Supplier 55</v>
      </c>
      <c r="P1850" s="20" t="str">
        <f ca="1">IFERROR(VLOOKUP(O1850,EMAILS!B:C,2,FALSE),"NOT FOUND IN EMAILS")</f>
        <v>supplier@gmail.com</v>
      </c>
      <c r="Q1850" t="str">
        <f ca="1">""&amp;IFERROR(VLOOKUP(O1850,EMAILS!B:D,3,FALSE),"NOT FOUND IN EMAILS")</f>
        <v/>
      </c>
      <c r="R1850" t="str">
        <f ca="1">""&amp;IFERROR(VLOOKUP(O1850,EMAILS!B:E,4,FALSE),"NO T FOUND IN EMAILS")</f>
        <v/>
      </c>
    </row>
    <row r="1851" spans="2:18" x14ac:dyDescent="0.25">
      <c r="B1851" s="5" t="s">
        <v>1853</v>
      </c>
      <c r="C1851" s="5" t="s">
        <v>5993</v>
      </c>
      <c r="D1851" s="5">
        <v>40</v>
      </c>
      <c r="E1851" s="5">
        <v>64</v>
      </c>
      <c r="F1851" s="5">
        <v>68</v>
      </c>
      <c r="G1851" s="5">
        <v>65</v>
      </c>
      <c r="H1851" s="5">
        <v>40</v>
      </c>
      <c r="I1851" s="5">
        <v>86</v>
      </c>
      <c r="J1851" s="5">
        <v>57</v>
      </c>
      <c r="K1851" s="5">
        <v>44</v>
      </c>
      <c r="L1851" s="5">
        <v>69</v>
      </c>
      <c r="M1851" s="5">
        <v>0</v>
      </c>
      <c r="N1851" s="5">
        <v>0</v>
      </c>
      <c r="O1851" s="5" t="str">
        <f t="shared" ca="1" si="28"/>
        <v>Supplier 116</v>
      </c>
      <c r="P1851" s="20" t="str">
        <f ca="1">IFERROR(VLOOKUP(O1851,EMAILS!B:C,2,FALSE),"NOT FOUND IN EMAILS")</f>
        <v>supplier@gmail.com</v>
      </c>
      <c r="Q1851" t="str">
        <f ca="1">""&amp;IFERROR(VLOOKUP(O1851,EMAILS!B:D,3,FALSE),"NOT FOUND IN EMAILS")</f>
        <v/>
      </c>
      <c r="R1851" t="str">
        <f ca="1">""&amp;IFERROR(VLOOKUP(O1851,EMAILS!B:E,4,FALSE),"NO T FOUND IN EMAILS")</f>
        <v/>
      </c>
    </row>
    <row r="1852" spans="2:18" x14ac:dyDescent="0.25">
      <c r="B1852" s="5" t="s">
        <v>1854</v>
      </c>
      <c r="C1852" s="5" t="s">
        <v>5994</v>
      </c>
      <c r="D1852" s="5">
        <v>0</v>
      </c>
      <c r="E1852" s="5">
        <v>0</v>
      </c>
      <c r="F1852" s="5">
        <v>0</v>
      </c>
      <c r="G1852" s="5">
        <v>0</v>
      </c>
      <c r="H1852" s="5">
        <v>0</v>
      </c>
      <c r="I1852" s="5">
        <v>0</v>
      </c>
      <c r="J1852" s="5">
        <v>0</v>
      </c>
      <c r="K1852" s="5">
        <v>0</v>
      </c>
      <c r="L1852" s="5">
        <v>0</v>
      </c>
      <c r="M1852" s="5">
        <v>0</v>
      </c>
      <c r="N1852" s="5">
        <v>0</v>
      </c>
      <c r="O1852" s="5" t="str">
        <f t="shared" ca="1" si="28"/>
        <v>Supplier 120</v>
      </c>
      <c r="P1852" s="20" t="str">
        <f ca="1">IFERROR(VLOOKUP(O1852,EMAILS!B:C,2,FALSE),"NOT FOUND IN EMAILS")</f>
        <v>supplier@gmail.com</v>
      </c>
      <c r="Q1852" t="str">
        <f ca="1">""&amp;IFERROR(VLOOKUP(O1852,EMAILS!B:D,3,FALSE),"NOT FOUND IN EMAILS")</f>
        <v/>
      </c>
      <c r="R1852" t="str">
        <f ca="1">""&amp;IFERROR(VLOOKUP(O1852,EMAILS!B:E,4,FALSE),"NO T FOUND IN EMAILS")</f>
        <v/>
      </c>
    </row>
    <row r="1853" spans="2:18" x14ac:dyDescent="0.25">
      <c r="B1853" s="5" t="s">
        <v>1855</v>
      </c>
      <c r="C1853" s="5" t="s">
        <v>5995</v>
      </c>
      <c r="D1853" s="5">
        <v>400</v>
      </c>
      <c r="E1853" s="5">
        <v>100</v>
      </c>
      <c r="F1853" s="5">
        <v>300</v>
      </c>
      <c r="G1853" s="5">
        <v>425</v>
      </c>
      <c r="H1853" s="5">
        <v>400</v>
      </c>
      <c r="I1853" s="5">
        <v>400</v>
      </c>
      <c r="J1853" s="5">
        <v>400</v>
      </c>
      <c r="K1853" s="5">
        <v>400</v>
      </c>
      <c r="L1853" s="5">
        <v>300</v>
      </c>
      <c r="M1853" s="5">
        <v>0</v>
      </c>
      <c r="N1853" s="5">
        <v>10800</v>
      </c>
      <c r="O1853" s="5" t="str">
        <f t="shared" ca="1" si="28"/>
        <v>Supplier 178</v>
      </c>
      <c r="P1853" s="20" t="str">
        <f ca="1">IFERROR(VLOOKUP(O1853,EMAILS!B:C,2,FALSE),"NOT FOUND IN EMAILS")</f>
        <v>supplier@gmail.com</v>
      </c>
      <c r="Q1853" t="str">
        <f ca="1">""&amp;IFERROR(VLOOKUP(O1853,EMAILS!B:D,3,FALSE),"NOT FOUND IN EMAILS")</f>
        <v/>
      </c>
      <c r="R1853" t="str">
        <f ca="1">""&amp;IFERROR(VLOOKUP(O1853,EMAILS!B:E,4,FALSE),"NO T FOUND IN EMAILS")</f>
        <v/>
      </c>
    </row>
    <row r="1854" spans="2:18" x14ac:dyDescent="0.25">
      <c r="B1854" s="5" t="s">
        <v>1856</v>
      </c>
      <c r="C1854" s="5" t="s">
        <v>5996</v>
      </c>
      <c r="D1854" s="5">
        <v>540</v>
      </c>
      <c r="E1854" s="5">
        <v>220</v>
      </c>
      <c r="F1854" s="5">
        <v>1280</v>
      </c>
      <c r="G1854" s="5">
        <v>1672</v>
      </c>
      <c r="H1854" s="5">
        <v>1640</v>
      </c>
      <c r="I1854" s="5">
        <v>416</v>
      </c>
      <c r="J1854" s="5">
        <v>320</v>
      </c>
      <c r="K1854" s="5">
        <v>160</v>
      </c>
      <c r="L1854" s="5">
        <v>440</v>
      </c>
      <c r="M1854" s="5">
        <v>0</v>
      </c>
      <c r="N1854" s="5">
        <v>1125</v>
      </c>
      <c r="O1854" s="5" t="str">
        <f t="shared" ca="1" si="28"/>
        <v>Supplier 152</v>
      </c>
      <c r="P1854" s="20" t="str">
        <f ca="1">IFERROR(VLOOKUP(O1854,EMAILS!B:C,2,FALSE),"NOT FOUND IN EMAILS")</f>
        <v>supplier@gmail.com</v>
      </c>
      <c r="Q1854" t="str">
        <f ca="1">""&amp;IFERROR(VLOOKUP(O1854,EMAILS!B:D,3,FALSE),"NOT FOUND IN EMAILS")</f>
        <v/>
      </c>
      <c r="R1854" t="str">
        <f ca="1">""&amp;IFERROR(VLOOKUP(O1854,EMAILS!B:E,4,FALSE),"NO T FOUND IN EMAILS")</f>
        <v/>
      </c>
    </row>
    <row r="1855" spans="2:18" x14ac:dyDescent="0.25">
      <c r="B1855" s="5" t="s">
        <v>1857</v>
      </c>
      <c r="C1855" s="5" t="s">
        <v>5997</v>
      </c>
      <c r="D1855" s="5">
        <v>384</v>
      </c>
      <c r="E1855" s="5">
        <v>160</v>
      </c>
      <c r="F1855" s="5">
        <v>384</v>
      </c>
      <c r="G1855" s="5">
        <v>320</v>
      </c>
      <c r="H1855" s="5">
        <v>384</v>
      </c>
      <c r="I1855" s="5">
        <v>192</v>
      </c>
      <c r="J1855" s="5">
        <v>352</v>
      </c>
      <c r="K1855" s="5">
        <v>192</v>
      </c>
      <c r="L1855" s="5">
        <v>352</v>
      </c>
      <c r="M1855" s="5">
        <v>0</v>
      </c>
      <c r="N1855" s="5">
        <v>1290</v>
      </c>
      <c r="O1855" s="5" t="str">
        <f t="shared" ca="1" si="28"/>
        <v>Supplier 153</v>
      </c>
      <c r="P1855" s="20" t="str">
        <f ca="1">IFERROR(VLOOKUP(O1855,EMAILS!B:C,2,FALSE),"NOT FOUND IN EMAILS")</f>
        <v>supplier@gmail.com</v>
      </c>
      <c r="Q1855" t="str">
        <f ca="1">""&amp;IFERROR(VLOOKUP(O1855,EMAILS!B:D,3,FALSE),"NOT FOUND IN EMAILS")</f>
        <v/>
      </c>
      <c r="R1855" t="str">
        <f ca="1">""&amp;IFERROR(VLOOKUP(O1855,EMAILS!B:E,4,FALSE),"NO T FOUND IN EMAILS")</f>
        <v/>
      </c>
    </row>
    <row r="1856" spans="2:18" x14ac:dyDescent="0.25">
      <c r="B1856" s="5" t="s">
        <v>1858</v>
      </c>
      <c r="C1856" s="5" t="s">
        <v>5998</v>
      </c>
      <c r="D1856" s="5">
        <v>576</v>
      </c>
      <c r="E1856" s="5">
        <v>240</v>
      </c>
      <c r="F1856" s="5">
        <v>576</v>
      </c>
      <c r="G1856" s="5">
        <v>480</v>
      </c>
      <c r="H1856" s="5">
        <v>576</v>
      </c>
      <c r="I1856" s="5">
        <v>288</v>
      </c>
      <c r="J1856" s="5">
        <v>528</v>
      </c>
      <c r="K1856" s="5">
        <v>288</v>
      </c>
      <c r="L1856" s="5">
        <v>528</v>
      </c>
      <c r="M1856" s="5">
        <v>0</v>
      </c>
      <c r="N1856" s="5">
        <v>0</v>
      </c>
      <c r="O1856" s="5" t="str">
        <f t="shared" ca="1" si="28"/>
        <v>Supplier 146</v>
      </c>
      <c r="P1856" s="20" t="str">
        <f ca="1">IFERROR(VLOOKUP(O1856,EMAILS!B:C,2,FALSE),"NOT FOUND IN EMAILS")</f>
        <v>supplier@gmail.com</v>
      </c>
      <c r="Q1856" t="str">
        <f ca="1">""&amp;IFERROR(VLOOKUP(O1856,EMAILS!B:D,3,FALSE),"NOT FOUND IN EMAILS")</f>
        <v/>
      </c>
      <c r="R1856" t="str">
        <f ca="1">""&amp;IFERROR(VLOOKUP(O1856,EMAILS!B:E,4,FALSE),"NO T FOUND IN EMAILS")</f>
        <v/>
      </c>
    </row>
    <row r="1857" spans="2:18" x14ac:dyDescent="0.25">
      <c r="B1857" s="5" t="s">
        <v>1859</v>
      </c>
      <c r="C1857" s="5" t="s">
        <v>5999</v>
      </c>
      <c r="D1857" s="5">
        <v>0</v>
      </c>
      <c r="E1857" s="5">
        <v>0</v>
      </c>
      <c r="F1857" s="5">
        <v>0</v>
      </c>
      <c r="G1857" s="5">
        <v>0</v>
      </c>
      <c r="H1857" s="5">
        <v>0</v>
      </c>
      <c r="I1857" s="5">
        <v>0</v>
      </c>
      <c r="J1857" s="5">
        <v>0</v>
      </c>
      <c r="K1857" s="5">
        <v>0</v>
      </c>
      <c r="L1857" s="5">
        <v>10</v>
      </c>
      <c r="M1857" s="5">
        <v>0</v>
      </c>
      <c r="N1857" s="5">
        <v>346</v>
      </c>
      <c r="O1857" s="5" t="str">
        <f t="shared" ca="1" si="28"/>
        <v>Supplier 192</v>
      </c>
      <c r="P1857" s="20" t="str">
        <f ca="1">IFERROR(VLOOKUP(O1857,EMAILS!B:C,2,FALSE),"NOT FOUND IN EMAILS")</f>
        <v>supplier@gmail.com</v>
      </c>
      <c r="Q1857" t="str">
        <f ca="1">""&amp;IFERROR(VLOOKUP(O1857,EMAILS!B:D,3,FALSE),"NOT FOUND IN EMAILS")</f>
        <v/>
      </c>
      <c r="R1857" t="str">
        <f ca="1">""&amp;IFERROR(VLOOKUP(O1857,EMAILS!B:E,4,FALSE),"NO T FOUND IN EMAILS")</f>
        <v/>
      </c>
    </row>
    <row r="1858" spans="2:18" x14ac:dyDescent="0.25">
      <c r="B1858" s="5" t="s">
        <v>1860</v>
      </c>
      <c r="C1858" s="5" t="s">
        <v>6000</v>
      </c>
      <c r="D1858" s="5">
        <v>0</v>
      </c>
      <c r="E1858" s="5">
        <v>100</v>
      </c>
      <c r="F1858" s="5">
        <v>0</v>
      </c>
      <c r="G1858" s="5">
        <v>100</v>
      </c>
      <c r="H1858" s="5">
        <v>0</v>
      </c>
      <c r="I1858" s="5">
        <v>0</v>
      </c>
      <c r="J1858" s="5">
        <v>100</v>
      </c>
      <c r="K1858" s="5">
        <v>0</v>
      </c>
      <c r="L1858" s="5">
        <v>0</v>
      </c>
      <c r="M1858" s="5">
        <v>0</v>
      </c>
      <c r="N1858" s="5">
        <v>117</v>
      </c>
      <c r="O1858" s="5" t="str">
        <f t="shared" ca="1" si="28"/>
        <v>Supplier 147</v>
      </c>
      <c r="P1858" s="20" t="str">
        <f ca="1">IFERROR(VLOOKUP(O1858,EMAILS!B:C,2,FALSE),"NOT FOUND IN EMAILS")</f>
        <v>supplier@gmail.com</v>
      </c>
      <c r="Q1858" t="str">
        <f ca="1">""&amp;IFERROR(VLOOKUP(O1858,EMAILS!B:D,3,FALSE),"NOT FOUND IN EMAILS")</f>
        <v/>
      </c>
      <c r="R1858" t="str">
        <f ca="1">""&amp;IFERROR(VLOOKUP(O1858,EMAILS!B:E,4,FALSE),"NO T FOUND IN EMAILS")</f>
        <v/>
      </c>
    </row>
    <row r="1859" spans="2:18" x14ac:dyDescent="0.25">
      <c r="B1859" s="5" t="s">
        <v>1861</v>
      </c>
      <c r="C1859" s="5" t="s">
        <v>6001</v>
      </c>
      <c r="D1859" s="5">
        <v>100</v>
      </c>
      <c r="E1859" s="5">
        <v>0</v>
      </c>
      <c r="F1859" s="5">
        <v>0</v>
      </c>
      <c r="G1859" s="5">
        <v>100</v>
      </c>
      <c r="H1859" s="5">
        <v>0</v>
      </c>
      <c r="I1859" s="5">
        <v>100</v>
      </c>
      <c r="J1859" s="5">
        <v>0</v>
      </c>
      <c r="K1859" s="5">
        <v>100</v>
      </c>
      <c r="L1859" s="5">
        <v>0</v>
      </c>
      <c r="M1859" s="5">
        <v>0</v>
      </c>
      <c r="N1859" s="5">
        <v>541</v>
      </c>
      <c r="O1859" s="5" t="str">
        <f t="shared" ref="O1859:O1922" ca="1" si="29">"Supplier "&amp;RANDBETWEEN(1,200)</f>
        <v>Supplier 138</v>
      </c>
      <c r="P1859" s="20" t="str">
        <f ca="1">IFERROR(VLOOKUP(O1859,EMAILS!B:C,2,FALSE),"NOT FOUND IN EMAILS")</f>
        <v>supplier@gmail.com</v>
      </c>
      <c r="Q1859" t="str">
        <f ca="1">""&amp;IFERROR(VLOOKUP(O1859,EMAILS!B:D,3,FALSE),"NOT FOUND IN EMAILS")</f>
        <v/>
      </c>
      <c r="R1859" t="str">
        <f ca="1">""&amp;IFERROR(VLOOKUP(O1859,EMAILS!B:E,4,FALSE),"NO T FOUND IN EMAILS")</f>
        <v/>
      </c>
    </row>
    <row r="1860" spans="2:18" x14ac:dyDescent="0.25">
      <c r="B1860" s="5" t="s">
        <v>1862</v>
      </c>
      <c r="C1860" s="5" t="s">
        <v>6002</v>
      </c>
      <c r="D1860" s="5">
        <v>0</v>
      </c>
      <c r="E1860" s="5">
        <v>0</v>
      </c>
      <c r="F1860" s="5">
        <v>0</v>
      </c>
      <c r="G1860" s="5">
        <v>10</v>
      </c>
      <c r="H1860" s="5">
        <v>0</v>
      </c>
      <c r="I1860" s="5">
        <v>10</v>
      </c>
      <c r="J1860" s="5">
        <v>0</v>
      </c>
      <c r="K1860" s="5">
        <v>10</v>
      </c>
      <c r="L1860" s="5">
        <v>0</v>
      </c>
      <c r="M1860" s="5">
        <v>0</v>
      </c>
      <c r="N1860" s="5">
        <v>104</v>
      </c>
      <c r="O1860" s="5" t="str">
        <f t="shared" ca="1" si="29"/>
        <v>Supplier 37</v>
      </c>
      <c r="P1860" s="20" t="str">
        <f ca="1">IFERROR(VLOOKUP(O1860,EMAILS!B:C,2,FALSE),"NOT FOUND IN EMAILS")</f>
        <v>supplier@gmail.com</v>
      </c>
      <c r="Q1860" t="str">
        <f ca="1">""&amp;IFERROR(VLOOKUP(O1860,EMAILS!B:D,3,FALSE),"NOT FOUND IN EMAILS")</f>
        <v/>
      </c>
      <c r="R1860" t="str">
        <f ca="1">""&amp;IFERROR(VLOOKUP(O1860,EMAILS!B:E,4,FALSE),"NO T FOUND IN EMAILS")</f>
        <v/>
      </c>
    </row>
    <row r="1861" spans="2:18" x14ac:dyDescent="0.25">
      <c r="B1861" s="5" t="s">
        <v>1863</v>
      </c>
      <c r="C1861" s="5" t="s">
        <v>6003</v>
      </c>
      <c r="D1861" s="5">
        <v>0</v>
      </c>
      <c r="E1861" s="5">
        <v>100</v>
      </c>
      <c r="F1861" s="5">
        <v>0</v>
      </c>
      <c r="G1861" s="5">
        <v>0</v>
      </c>
      <c r="H1861" s="5">
        <v>0</v>
      </c>
      <c r="I1861" s="5">
        <v>0</v>
      </c>
      <c r="J1861" s="5">
        <v>100</v>
      </c>
      <c r="K1861" s="5">
        <v>0</v>
      </c>
      <c r="L1861" s="5">
        <v>100</v>
      </c>
      <c r="M1861" s="5">
        <v>0</v>
      </c>
      <c r="N1861" s="5">
        <v>0</v>
      </c>
      <c r="O1861" s="5" t="str">
        <f t="shared" ca="1" si="29"/>
        <v>Supplier 17</v>
      </c>
      <c r="P1861" s="20" t="str">
        <f ca="1">IFERROR(VLOOKUP(O1861,EMAILS!B:C,2,FALSE),"NOT FOUND IN EMAILS")</f>
        <v>supplier@gmail.com</v>
      </c>
      <c r="Q1861" t="str">
        <f ca="1">""&amp;IFERROR(VLOOKUP(O1861,EMAILS!B:D,3,FALSE),"NOT FOUND IN EMAILS")</f>
        <v>supplier_logistics@gmail.com</v>
      </c>
      <c r="R1861" t="str">
        <f ca="1">""&amp;IFERROR(VLOOKUP(O1861,EMAILS!B:E,4,FALSE),"NO T FOUND IN EMAILS")</f>
        <v/>
      </c>
    </row>
    <row r="1862" spans="2:18" x14ac:dyDescent="0.25">
      <c r="B1862" s="5" t="s">
        <v>1864</v>
      </c>
      <c r="C1862" s="5" t="s">
        <v>6004</v>
      </c>
      <c r="D1862" s="5">
        <v>100</v>
      </c>
      <c r="E1862" s="5">
        <v>0</v>
      </c>
      <c r="F1862" s="5">
        <v>100</v>
      </c>
      <c r="G1862" s="5">
        <v>0</v>
      </c>
      <c r="H1862" s="5">
        <v>0</v>
      </c>
      <c r="I1862" s="5">
        <v>100</v>
      </c>
      <c r="J1862" s="5">
        <v>0</v>
      </c>
      <c r="K1862" s="5">
        <v>100</v>
      </c>
      <c r="L1862" s="5">
        <v>0</v>
      </c>
      <c r="M1862" s="5">
        <v>0</v>
      </c>
      <c r="N1862" s="5">
        <v>49</v>
      </c>
      <c r="O1862" s="5" t="str">
        <f t="shared" ca="1" si="29"/>
        <v>Supplier 31</v>
      </c>
      <c r="P1862" s="20" t="str">
        <f ca="1">IFERROR(VLOOKUP(O1862,EMAILS!B:C,2,FALSE),"NOT FOUND IN EMAILS")</f>
        <v>supplier@gmail.com</v>
      </c>
      <c r="Q1862" t="str">
        <f ca="1">""&amp;IFERROR(VLOOKUP(O1862,EMAILS!B:D,3,FALSE),"NOT FOUND IN EMAILS")</f>
        <v/>
      </c>
      <c r="R1862" t="str">
        <f ca="1">""&amp;IFERROR(VLOOKUP(O1862,EMAILS!B:E,4,FALSE),"NO T FOUND IN EMAILS")</f>
        <v/>
      </c>
    </row>
    <row r="1863" spans="2:18" x14ac:dyDescent="0.25">
      <c r="B1863" s="5" t="s">
        <v>1865</v>
      </c>
      <c r="C1863" s="5" t="s">
        <v>6005</v>
      </c>
      <c r="D1863" s="5">
        <v>0</v>
      </c>
      <c r="E1863" s="5">
        <v>0</v>
      </c>
      <c r="F1863" s="5">
        <v>0</v>
      </c>
      <c r="G1863" s="5">
        <v>0</v>
      </c>
      <c r="H1863" s="5">
        <v>0</v>
      </c>
      <c r="I1863" s="5">
        <v>0</v>
      </c>
      <c r="J1863" s="5">
        <v>0</v>
      </c>
      <c r="K1863" s="5">
        <v>0</v>
      </c>
      <c r="L1863" s="5">
        <v>5</v>
      </c>
      <c r="M1863" s="5">
        <v>0</v>
      </c>
      <c r="N1863" s="5">
        <v>0</v>
      </c>
      <c r="O1863" s="5" t="str">
        <f t="shared" ca="1" si="29"/>
        <v>Supplier 61</v>
      </c>
      <c r="P1863" s="20" t="str">
        <f ca="1">IFERROR(VLOOKUP(O1863,EMAILS!B:C,2,FALSE),"NOT FOUND IN EMAILS")</f>
        <v>supplier@gmail.com</v>
      </c>
      <c r="Q1863" t="str">
        <f ca="1">""&amp;IFERROR(VLOOKUP(O1863,EMAILS!B:D,3,FALSE),"NOT FOUND IN EMAILS")</f>
        <v/>
      </c>
      <c r="R1863" t="str">
        <f ca="1">""&amp;IFERROR(VLOOKUP(O1863,EMAILS!B:E,4,FALSE),"NO T FOUND IN EMAILS")</f>
        <v/>
      </c>
    </row>
    <row r="1864" spans="2:18" x14ac:dyDescent="0.25">
      <c r="B1864" s="5" t="s">
        <v>1866</v>
      </c>
      <c r="C1864" s="5" t="s">
        <v>6006</v>
      </c>
      <c r="D1864" s="5">
        <v>0</v>
      </c>
      <c r="E1864" s="5">
        <v>0</v>
      </c>
      <c r="F1864" s="5">
        <v>0</v>
      </c>
      <c r="G1864" s="5">
        <v>0</v>
      </c>
      <c r="H1864" s="5">
        <v>0</v>
      </c>
      <c r="I1864" s="5">
        <v>0</v>
      </c>
      <c r="J1864" s="5">
        <v>100</v>
      </c>
      <c r="K1864" s="5">
        <v>0</v>
      </c>
      <c r="L1864" s="5">
        <v>0</v>
      </c>
      <c r="M1864" s="5">
        <v>0</v>
      </c>
      <c r="N1864" s="5">
        <v>768</v>
      </c>
      <c r="O1864" s="5" t="str">
        <f t="shared" ca="1" si="29"/>
        <v>Supplier 170</v>
      </c>
      <c r="P1864" s="20" t="str">
        <f ca="1">IFERROR(VLOOKUP(O1864,EMAILS!B:C,2,FALSE),"NOT FOUND IN EMAILS")</f>
        <v>supplier@gmail.com</v>
      </c>
      <c r="Q1864" t="str">
        <f ca="1">""&amp;IFERROR(VLOOKUP(O1864,EMAILS!B:D,3,FALSE),"NOT FOUND IN EMAILS")</f>
        <v/>
      </c>
      <c r="R1864" t="str">
        <f ca="1">""&amp;IFERROR(VLOOKUP(O1864,EMAILS!B:E,4,FALSE),"NO T FOUND IN EMAILS")</f>
        <v/>
      </c>
    </row>
    <row r="1865" spans="2:18" x14ac:dyDescent="0.25">
      <c r="B1865" s="5" t="s">
        <v>1867</v>
      </c>
      <c r="C1865" s="5" t="s">
        <v>6007</v>
      </c>
      <c r="D1865" s="5">
        <v>4500</v>
      </c>
      <c r="E1865" s="5">
        <v>4125</v>
      </c>
      <c r="F1865" s="5">
        <v>4875</v>
      </c>
      <c r="G1865" s="5">
        <v>4875</v>
      </c>
      <c r="H1865" s="5">
        <v>4875</v>
      </c>
      <c r="I1865" s="5">
        <v>4875</v>
      </c>
      <c r="J1865" s="5">
        <v>3375</v>
      </c>
      <c r="K1865" s="5">
        <v>3750</v>
      </c>
      <c r="L1865" s="5">
        <v>4125</v>
      </c>
      <c r="M1865" s="5">
        <v>0</v>
      </c>
      <c r="N1865" s="5">
        <v>338</v>
      </c>
      <c r="O1865" s="5" t="str">
        <f t="shared" ca="1" si="29"/>
        <v>Supplier 167</v>
      </c>
      <c r="P1865" s="20" t="str">
        <f ca="1">IFERROR(VLOOKUP(O1865,EMAILS!B:C,2,FALSE),"NOT FOUND IN EMAILS")</f>
        <v>supplier@gmail.com</v>
      </c>
      <c r="Q1865" t="str">
        <f ca="1">""&amp;IFERROR(VLOOKUP(O1865,EMAILS!B:D,3,FALSE),"NOT FOUND IN EMAILS")</f>
        <v/>
      </c>
      <c r="R1865" t="str">
        <f ca="1">""&amp;IFERROR(VLOOKUP(O1865,EMAILS!B:E,4,FALSE),"NO T FOUND IN EMAILS")</f>
        <v/>
      </c>
    </row>
    <row r="1866" spans="2:18" x14ac:dyDescent="0.25">
      <c r="B1866" s="5" t="s">
        <v>1868</v>
      </c>
      <c r="C1866" s="5" t="s">
        <v>6008</v>
      </c>
      <c r="D1866" s="5">
        <v>268</v>
      </c>
      <c r="E1866" s="5">
        <v>0</v>
      </c>
      <c r="F1866" s="5">
        <v>268</v>
      </c>
      <c r="G1866" s="5">
        <v>268</v>
      </c>
      <c r="H1866" s="5">
        <v>268</v>
      </c>
      <c r="I1866" s="5">
        <v>268</v>
      </c>
      <c r="J1866" s="5">
        <v>134</v>
      </c>
      <c r="K1866" s="5">
        <v>134</v>
      </c>
      <c r="L1866" s="5">
        <v>268</v>
      </c>
      <c r="M1866" s="5">
        <v>0</v>
      </c>
      <c r="N1866" s="5">
        <v>288</v>
      </c>
      <c r="O1866" s="5" t="str">
        <f t="shared" ca="1" si="29"/>
        <v>Supplier 158</v>
      </c>
      <c r="P1866" s="20" t="str">
        <f ca="1">IFERROR(VLOOKUP(O1866,EMAILS!B:C,2,FALSE),"NOT FOUND IN EMAILS")</f>
        <v>supplier@gmail.com</v>
      </c>
      <c r="Q1866" t="str">
        <f ca="1">""&amp;IFERROR(VLOOKUP(O1866,EMAILS!B:D,3,FALSE),"NOT FOUND IN EMAILS")</f>
        <v/>
      </c>
      <c r="R1866" t="str">
        <f ca="1">""&amp;IFERROR(VLOOKUP(O1866,EMAILS!B:E,4,FALSE),"NO T FOUND IN EMAILS")</f>
        <v/>
      </c>
    </row>
    <row r="1867" spans="2:18" x14ac:dyDescent="0.25">
      <c r="B1867" s="5" t="s">
        <v>1869</v>
      </c>
      <c r="C1867" s="5" t="s">
        <v>6009</v>
      </c>
      <c r="D1867" s="5">
        <v>402</v>
      </c>
      <c r="E1867" s="5">
        <v>402</v>
      </c>
      <c r="F1867" s="5">
        <v>402</v>
      </c>
      <c r="G1867" s="5">
        <v>402</v>
      </c>
      <c r="H1867" s="5">
        <v>402</v>
      </c>
      <c r="I1867" s="5">
        <v>402</v>
      </c>
      <c r="J1867" s="5">
        <v>268</v>
      </c>
      <c r="K1867" s="5">
        <v>402</v>
      </c>
      <c r="L1867" s="5">
        <v>402</v>
      </c>
      <c r="M1867" s="5">
        <v>0</v>
      </c>
      <c r="N1867" s="5">
        <v>309</v>
      </c>
      <c r="O1867" s="5" t="str">
        <f t="shared" ca="1" si="29"/>
        <v>Supplier 184</v>
      </c>
      <c r="P1867" s="20" t="str">
        <f ca="1">IFERROR(VLOOKUP(O1867,EMAILS!B:C,2,FALSE),"NOT FOUND IN EMAILS")</f>
        <v>supplier@gmail.com</v>
      </c>
      <c r="Q1867" t="str">
        <f ca="1">""&amp;IFERROR(VLOOKUP(O1867,EMAILS!B:D,3,FALSE),"NOT FOUND IN EMAILS")</f>
        <v/>
      </c>
      <c r="R1867" t="str">
        <f ca="1">""&amp;IFERROR(VLOOKUP(O1867,EMAILS!B:E,4,FALSE),"NO T FOUND IN EMAILS")</f>
        <v/>
      </c>
    </row>
    <row r="1868" spans="2:18" x14ac:dyDescent="0.25">
      <c r="B1868" s="5" t="s">
        <v>1870</v>
      </c>
      <c r="C1868" s="5" t="s">
        <v>6010</v>
      </c>
      <c r="D1868" s="5">
        <v>160</v>
      </c>
      <c r="E1868" s="5">
        <v>320</v>
      </c>
      <c r="F1868" s="5">
        <v>320</v>
      </c>
      <c r="G1868" s="5">
        <v>320</v>
      </c>
      <c r="H1868" s="5">
        <v>320</v>
      </c>
      <c r="I1868" s="5">
        <v>320</v>
      </c>
      <c r="J1868" s="5">
        <v>160</v>
      </c>
      <c r="K1868" s="5">
        <v>320</v>
      </c>
      <c r="L1868" s="5">
        <v>320</v>
      </c>
      <c r="M1868" s="5">
        <v>0</v>
      </c>
      <c r="N1868" s="5">
        <v>984</v>
      </c>
      <c r="O1868" s="5" t="str">
        <f t="shared" ca="1" si="29"/>
        <v>Supplier 50</v>
      </c>
      <c r="P1868" s="20" t="str">
        <f ca="1">IFERROR(VLOOKUP(O1868,EMAILS!B:C,2,FALSE),"NOT FOUND IN EMAILS")</f>
        <v>supplier@gmail.com</v>
      </c>
      <c r="Q1868" t="str">
        <f ca="1">""&amp;IFERROR(VLOOKUP(O1868,EMAILS!B:D,3,FALSE),"NOT FOUND IN EMAILS")</f>
        <v/>
      </c>
      <c r="R1868" t="str">
        <f ca="1">""&amp;IFERROR(VLOOKUP(O1868,EMAILS!B:E,4,FALSE),"NO T FOUND IN EMAILS")</f>
        <v/>
      </c>
    </row>
    <row r="1869" spans="2:18" x14ac:dyDescent="0.25">
      <c r="B1869" s="5" t="s">
        <v>1871</v>
      </c>
      <c r="C1869" s="5" t="s">
        <v>6011</v>
      </c>
      <c r="D1869" s="5">
        <v>320</v>
      </c>
      <c r="E1869" s="5">
        <v>480</v>
      </c>
      <c r="F1869" s="5">
        <v>320</v>
      </c>
      <c r="G1869" s="5">
        <v>480</v>
      </c>
      <c r="H1869" s="5">
        <v>480</v>
      </c>
      <c r="I1869" s="5">
        <v>480</v>
      </c>
      <c r="J1869" s="5">
        <v>320</v>
      </c>
      <c r="K1869" s="5">
        <v>320</v>
      </c>
      <c r="L1869" s="5">
        <v>320</v>
      </c>
      <c r="M1869" s="5">
        <v>0</v>
      </c>
      <c r="N1869" s="5">
        <v>0</v>
      </c>
      <c r="O1869" s="5" t="str">
        <f t="shared" ca="1" si="29"/>
        <v>Supplier 149</v>
      </c>
      <c r="P1869" s="20" t="str">
        <f ca="1">IFERROR(VLOOKUP(O1869,EMAILS!B:C,2,FALSE),"NOT FOUND IN EMAILS")</f>
        <v>supplier@gmail.com</v>
      </c>
      <c r="Q1869" t="str">
        <f ca="1">""&amp;IFERROR(VLOOKUP(O1869,EMAILS!B:D,3,FALSE),"NOT FOUND IN EMAILS")</f>
        <v/>
      </c>
      <c r="R1869" t="str">
        <f ca="1">""&amp;IFERROR(VLOOKUP(O1869,EMAILS!B:E,4,FALSE),"NO T FOUND IN EMAILS")</f>
        <v/>
      </c>
    </row>
    <row r="1870" spans="2:18" x14ac:dyDescent="0.25">
      <c r="B1870" s="5" t="s">
        <v>1872</v>
      </c>
      <c r="C1870" s="5" t="s">
        <v>6012</v>
      </c>
      <c r="D1870" s="5">
        <v>0</v>
      </c>
      <c r="E1870" s="5">
        <v>0</v>
      </c>
      <c r="F1870" s="5">
        <v>0</v>
      </c>
      <c r="G1870" s="5">
        <v>0</v>
      </c>
      <c r="H1870" s="5">
        <v>0</v>
      </c>
      <c r="I1870" s="5">
        <v>0</v>
      </c>
      <c r="J1870" s="5">
        <v>0</v>
      </c>
      <c r="K1870" s="5">
        <v>0</v>
      </c>
      <c r="L1870" s="5">
        <v>0</v>
      </c>
      <c r="M1870" s="5">
        <v>0</v>
      </c>
      <c r="N1870" s="5">
        <v>0</v>
      </c>
      <c r="O1870" s="5" t="str">
        <f t="shared" ca="1" si="29"/>
        <v>Supplier 29</v>
      </c>
      <c r="P1870" s="20" t="str">
        <f ca="1">IFERROR(VLOOKUP(O1870,EMAILS!B:C,2,FALSE),"NOT FOUND IN EMAILS")</f>
        <v>supplier@gmail.com</v>
      </c>
      <c r="Q1870" t="str">
        <f ca="1">""&amp;IFERROR(VLOOKUP(O1870,EMAILS!B:D,3,FALSE),"NOT FOUND IN EMAILS")</f>
        <v/>
      </c>
      <c r="R1870" t="str">
        <f ca="1">""&amp;IFERROR(VLOOKUP(O1870,EMAILS!B:E,4,FALSE),"NO T FOUND IN EMAILS")</f>
        <v/>
      </c>
    </row>
    <row r="1871" spans="2:18" x14ac:dyDescent="0.25">
      <c r="B1871" s="5" t="s">
        <v>1873</v>
      </c>
      <c r="C1871" s="5" t="s">
        <v>6013</v>
      </c>
      <c r="D1871" s="5">
        <v>0</v>
      </c>
      <c r="E1871" s="5">
        <v>0</v>
      </c>
      <c r="F1871" s="5">
        <v>0</v>
      </c>
      <c r="G1871" s="5">
        <v>0</v>
      </c>
      <c r="H1871" s="5">
        <v>0</v>
      </c>
      <c r="I1871" s="5">
        <v>0</v>
      </c>
      <c r="J1871" s="5">
        <v>0</v>
      </c>
      <c r="K1871" s="5">
        <v>0</v>
      </c>
      <c r="L1871" s="5">
        <v>0</v>
      </c>
      <c r="M1871" s="5">
        <v>0</v>
      </c>
      <c r="N1871" s="5">
        <v>348</v>
      </c>
      <c r="O1871" s="5" t="str">
        <f t="shared" ca="1" si="29"/>
        <v>Supplier 118</v>
      </c>
      <c r="P1871" s="20" t="str">
        <f ca="1">IFERROR(VLOOKUP(O1871,EMAILS!B:C,2,FALSE),"NOT FOUND IN EMAILS")</f>
        <v>supplier@gmail.com</v>
      </c>
      <c r="Q1871" t="str">
        <f ca="1">""&amp;IFERROR(VLOOKUP(O1871,EMAILS!B:D,3,FALSE),"NOT FOUND IN EMAILS")</f>
        <v/>
      </c>
      <c r="R1871" t="str">
        <f ca="1">""&amp;IFERROR(VLOOKUP(O1871,EMAILS!B:E,4,FALSE),"NO T FOUND IN EMAILS")</f>
        <v/>
      </c>
    </row>
    <row r="1872" spans="2:18" x14ac:dyDescent="0.25">
      <c r="B1872" s="5" t="s">
        <v>1874</v>
      </c>
      <c r="C1872" s="5" t="s">
        <v>6014</v>
      </c>
      <c r="D1872" s="5">
        <v>0</v>
      </c>
      <c r="E1872" s="5">
        <v>0</v>
      </c>
      <c r="F1872" s="5">
        <v>0</v>
      </c>
      <c r="G1872" s="5">
        <v>0</v>
      </c>
      <c r="H1872" s="5">
        <v>0</v>
      </c>
      <c r="I1872" s="5">
        <v>0</v>
      </c>
      <c r="J1872" s="5">
        <v>0</v>
      </c>
      <c r="K1872" s="5">
        <v>0</v>
      </c>
      <c r="L1872" s="5">
        <v>0</v>
      </c>
      <c r="M1872" s="5">
        <v>0</v>
      </c>
      <c r="N1872" s="5">
        <v>0</v>
      </c>
      <c r="O1872" s="5" t="str">
        <f t="shared" ca="1" si="29"/>
        <v>Supplier 10</v>
      </c>
      <c r="P1872" s="20" t="str">
        <f ca="1">IFERROR(VLOOKUP(O1872,EMAILS!B:C,2,FALSE),"NOT FOUND IN EMAILS")</f>
        <v>supplier@gmail.com</v>
      </c>
      <c r="Q1872" t="str">
        <f ca="1">""&amp;IFERROR(VLOOKUP(O1872,EMAILS!B:D,3,FALSE),"NOT FOUND IN EMAILS")</f>
        <v>supplier_logistics@gmail.com</v>
      </c>
      <c r="R1872" t="str">
        <f ca="1">""&amp;IFERROR(VLOOKUP(O1872,EMAILS!B:E,4,FALSE),"NO T FOUND IN EMAILS")</f>
        <v/>
      </c>
    </row>
    <row r="1873" spans="2:18" x14ac:dyDescent="0.25">
      <c r="B1873" s="5" t="s">
        <v>1875</v>
      </c>
      <c r="C1873" s="5" t="s">
        <v>6015</v>
      </c>
      <c r="D1873" s="5">
        <v>0</v>
      </c>
      <c r="E1873" s="5">
        <v>0</v>
      </c>
      <c r="F1873" s="5">
        <v>0</v>
      </c>
      <c r="G1873" s="5">
        <v>0</v>
      </c>
      <c r="H1873" s="5">
        <v>0</v>
      </c>
      <c r="I1873" s="5">
        <v>0</v>
      </c>
      <c r="J1873" s="5">
        <v>0</v>
      </c>
      <c r="K1873" s="5">
        <v>0</v>
      </c>
      <c r="L1873" s="5">
        <v>0</v>
      </c>
      <c r="M1873" s="5">
        <v>0</v>
      </c>
      <c r="N1873" s="5">
        <v>4685</v>
      </c>
      <c r="O1873" s="5" t="str">
        <f t="shared" ca="1" si="29"/>
        <v>Supplier 194</v>
      </c>
      <c r="P1873" s="20" t="str">
        <f ca="1">IFERROR(VLOOKUP(O1873,EMAILS!B:C,2,FALSE),"NOT FOUND IN EMAILS")</f>
        <v>supplier@gmail.com</v>
      </c>
      <c r="Q1873" t="str">
        <f ca="1">""&amp;IFERROR(VLOOKUP(O1873,EMAILS!B:D,3,FALSE),"NOT FOUND IN EMAILS")</f>
        <v/>
      </c>
      <c r="R1873" t="str">
        <f ca="1">""&amp;IFERROR(VLOOKUP(O1873,EMAILS!B:E,4,FALSE),"NO T FOUND IN EMAILS")</f>
        <v/>
      </c>
    </row>
    <row r="1874" spans="2:18" x14ac:dyDescent="0.25">
      <c r="B1874" s="5" t="s">
        <v>1876</v>
      </c>
      <c r="C1874" s="5" t="s">
        <v>6016</v>
      </c>
      <c r="D1874" s="5">
        <v>2400</v>
      </c>
      <c r="E1874" s="5">
        <v>2400</v>
      </c>
      <c r="F1874" s="5">
        <v>3600</v>
      </c>
      <c r="G1874" s="5">
        <v>3600</v>
      </c>
      <c r="H1874" s="5">
        <v>3630</v>
      </c>
      <c r="I1874" s="5">
        <v>3630</v>
      </c>
      <c r="J1874" s="5">
        <v>3600</v>
      </c>
      <c r="K1874" s="5">
        <v>2400</v>
      </c>
      <c r="L1874" s="5">
        <v>2445</v>
      </c>
      <c r="M1874" s="5">
        <v>0</v>
      </c>
      <c r="N1874" s="5">
        <v>0</v>
      </c>
      <c r="O1874" s="5" t="str">
        <f t="shared" ca="1" si="29"/>
        <v>Supplier 12</v>
      </c>
      <c r="P1874" s="20" t="str">
        <f ca="1">IFERROR(VLOOKUP(O1874,EMAILS!B:C,2,FALSE),"NOT FOUND IN EMAILS")</f>
        <v>supplier@gmail.com</v>
      </c>
      <c r="Q1874" t="str">
        <f ca="1">""&amp;IFERROR(VLOOKUP(O1874,EMAILS!B:D,3,FALSE),"NOT FOUND IN EMAILS")</f>
        <v>supplier_logistics@gmail.com</v>
      </c>
      <c r="R1874" t="str">
        <f ca="1">""&amp;IFERROR(VLOOKUP(O1874,EMAILS!B:E,4,FALSE),"NO T FOUND IN EMAILS")</f>
        <v/>
      </c>
    </row>
    <row r="1875" spans="2:18" x14ac:dyDescent="0.25">
      <c r="B1875" s="5" t="s">
        <v>1877</v>
      </c>
      <c r="C1875" s="5" t="s">
        <v>6017</v>
      </c>
      <c r="D1875" s="5">
        <v>2400</v>
      </c>
      <c r="E1875" s="5">
        <v>2400</v>
      </c>
      <c r="F1875" s="5">
        <v>3600</v>
      </c>
      <c r="G1875" s="5">
        <v>3600</v>
      </c>
      <c r="H1875" s="5">
        <v>3630</v>
      </c>
      <c r="I1875" s="5">
        <v>3630</v>
      </c>
      <c r="J1875" s="5">
        <v>3600</v>
      </c>
      <c r="K1875" s="5">
        <v>2400</v>
      </c>
      <c r="L1875" s="5">
        <v>2445</v>
      </c>
      <c r="M1875" s="5">
        <v>0</v>
      </c>
      <c r="N1875" s="5">
        <v>2276</v>
      </c>
      <c r="O1875" s="5" t="str">
        <f t="shared" ca="1" si="29"/>
        <v>Supplier 194</v>
      </c>
      <c r="P1875" s="20" t="str">
        <f ca="1">IFERROR(VLOOKUP(O1875,EMAILS!B:C,2,FALSE),"NOT FOUND IN EMAILS")</f>
        <v>supplier@gmail.com</v>
      </c>
      <c r="Q1875" t="str">
        <f ca="1">""&amp;IFERROR(VLOOKUP(O1875,EMAILS!B:D,3,FALSE),"NOT FOUND IN EMAILS")</f>
        <v/>
      </c>
      <c r="R1875" t="str">
        <f ca="1">""&amp;IFERROR(VLOOKUP(O1875,EMAILS!B:E,4,FALSE),"NO T FOUND IN EMAILS")</f>
        <v/>
      </c>
    </row>
    <row r="1876" spans="2:18" x14ac:dyDescent="0.25">
      <c r="B1876" s="5" t="s">
        <v>1878</v>
      </c>
      <c r="C1876" s="5" t="s">
        <v>6018</v>
      </c>
      <c r="D1876" s="5">
        <v>1080</v>
      </c>
      <c r="E1876" s="5">
        <v>440</v>
      </c>
      <c r="F1876" s="5">
        <v>960</v>
      </c>
      <c r="G1876" s="5">
        <v>1040</v>
      </c>
      <c r="H1876" s="5">
        <v>12976</v>
      </c>
      <c r="I1876" s="5">
        <v>9720</v>
      </c>
      <c r="J1876" s="5">
        <v>640</v>
      </c>
      <c r="K1876" s="5">
        <v>320</v>
      </c>
      <c r="L1876" s="5">
        <v>880</v>
      </c>
      <c r="M1876" s="5">
        <v>0</v>
      </c>
      <c r="N1876" s="5">
        <v>1127</v>
      </c>
      <c r="O1876" s="5" t="str">
        <f t="shared" ca="1" si="29"/>
        <v>Supplier 60</v>
      </c>
      <c r="P1876" s="20" t="str">
        <f ca="1">IFERROR(VLOOKUP(O1876,EMAILS!B:C,2,FALSE),"NOT FOUND IN EMAILS")</f>
        <v>supplier@gmail.com</v>
      </c>
      <c r="Q1876" t="str">
        <f ca="1">""&amp;IFERROR(VLOOKUP(O1876,EMAILS!B:D,3,FALSE),"NOT FOUND IN EMAILS")</f>
        <v/>
      </c>
      <c r="R1876" t="str">
        <f ca="1">""&amp;IFERROR(VLOOKUP(O1876,EMAILS!B:E,4,FALSE),"NO T FOUND IN EMAILS")</f>
        <v/>
      </c>
    </row>
    <row r="1877" spans="2:18" x14ac:dyDescent="0.25">
      <c r="B1877" s="5" t="s">
        <v>1879</v>
      </c>
      <c r="C1877" s="5" t="s">
        <v>6019</v>
      </c>
      <c r="D1877" s="5">
        <v>1020</v>
      </c>
      <c r="E1877" s="5">
        <v>804</v>
      </c>
      <c r="F1877" s="5">
        <v>998</v>
      </c>
      <c r="G1877" s="5">
        <v>894</v>
      </c>
      <c r="H1877" s="5">
        <v>796</v>
      </c>
      <c r="I1877" s="5">
        <v>884</v>
      </c>
      <c r="J1877" s="5">
        <v>516</v>
      </c>
      <c r="K1877" s="5">
        <v>466</v>
      </c>
      <c r="L1877" s="5">
        <v>524</v>
      </c>
      <c r="M1877" s="5">
        <v>0</v>
      </c>
      <c r="N1877" s="5">
        <v>0</v>
      </c>
      <c r="O1877" s="5" t="str">
        <f t="shared" ca="1" si="29"/>
        <v>Supplier 21</v>
      </c>
      <c r="P1877" s="20" t="str">
        <f ca="1">IFERROR(VLOOKUP(O1877,EMAILS!B:C,2,FALSE),"NOT FOUND IN EMAILS")</f>
        <v>supplier@gmail.com</v>
      </c>
      <c r="Q1877" t="str">
        <f ca="1">""&amp;IFERROR(VLOOKUP(O1877,EMAILS!B:D,3,FALSE),"NOT FOUND IN EMAILS")</f>
        <v/>
      </c>
      <c r="R1877" t="str">
        <f ca="1">""&amp;IFERROR(VLOOKUP(O1877,EMAILS!B:E,4,FALSE),"NO T FOUND IN EMAILS")</f>
        <v/>
      </c>
    </row>
    <row r="1878" spans="2:18" x14ac:dyDescent="0.25">
      <c r="B1878" s="5" t="s">
        <v>1880</v>
      </c>
      <c r="C1878" s="5" t="s">
        <v>6020</v>
      </c>
      <c r="D1878" s="5">
        <v>48</v>
      </c>
      <c r="E1878" s="5">
        <v>52</v>
      </c>
      <c r="F1878" s="5">
        <v>96</v>
      </c>
      <c r="G1878" s="5">
        <v>52</v>
      </c>
      <c r="H1878" s="5">
        <v>80</v>
      </c>
      <c r="I1878" s="5">
        <v>36</v>
      </c>
      <c r="J1878" s="5">
        <v>68</v>
      </c>
      <c r="K1878" s="5">
        <v>52</v>
      </c>
      <c r="L1878" s="5">
        <v>75</v>
      </c>
      <c r="M1878" s="5">
        <v>0</v>
      </c>
      <c r="N1878" s="5">
        <v>1920</v>
      </c>
      <c r="O1878" s="5" t="str">
        <f t="shared" ca="1" si="29"/>
        <v>Supplier 57</v>
      </c>
      <c r="P1878" s="20" t="str">
        <f ca="1">IFERROR(VLOOKUP(O1878,EMAILS!B:C,2,FALSE),"NOT FOUND IN EMAILS")</f>
        <v>supplier@gmail.com</v>
      </c>
      <c r="Q1878" t="str">
        <f ca="1">""&amp;IFERROR(VLOOKUP(O1878,EMAILS!B:D,3,FALSE),"NOT FOUND IN EMAILS")</f>
        <v/>
      </c>
      <c r="R1878" t="str">
        <f ca="1">""&amp;IFERROR(VLOOKUP(O1878,EMAILS!B:E,4,FALSE),"NO T FOUND IN EMAILS")</f>
        <v/>
      </c>
    </row>
    <row r="1879" spans="2:18" x14ac:dyDescent="0.25">
      <c r="B1879" s="5" t="s">
        <v>1881</v>
      </c>
      <c r="C1879" s="5" t="s">
        <v>6021</v>
      </c>
      <c r="D1879" s="5">
        <v>11008</v>
      </c>
      <c r="E1879" s="5">
        <v>7904</v>
      </c>
      <c r="F1879" s="5">
        <v>9440</v>
      </c>
      <c r="G1879" s="5">
        <v>10528</v>
      </c>
      <c r="H1879" s="5">
        <v>9540</v>
      </c>
      <c r="I1879" s="5">
        <v>10688</v>
      </c>
      <c r="J1879" s="5">
        <v>8760</v>
      </c>
      <c r="K1879" s="5">
        <v>8168</v>
      </c>
      <c r="L1879" s="5">
        <v>8808</v>
      </c>
      <c r="M1879" s="5">
        <v>0</v>
      </c>
      <c r="N1879" s="5">
        <v>400</v>
      </c>
      <c r="O1879" s="5" t="str">
        <f t="shared" ca="1" si="29"/>
        <v>Supplier 50</v>
      </c>
      <c r="P1879" s="20" t="str">
        <f ca="1">IFERROR(VLOOKUP(O1879,EMAILS!B:C,2,FALSE),"NOT FOUND IN EMAILS")</f>
        <v>supplier@gmail.com</v>
      </c>
      <c r="Q1879" t="str">
        <f ca="1">""&amp;IFERROR(VLOOKUP(O1879,EMAILS!B:D,3,FALSE),"NOT FOUND IN EMAILS")</f>
        <v/>
      </c>
      <c r="R1879" t="str">
        <f ca="1">""&amp;IFERROR(VLOOKUP(O1879,EMAILS!B:E,4,FALSE),"NO T FOUND IN EMAILS")</f>
        <v/>
      </c>
    </row>
    <row r="1880" spans="2:18" x14ac:dyDescent="0.25">
      <c r="B1880" s="5" t="s">
        <v>1882</v>
      </c>
      <c r="C1880" s="5" t="s">
        <v>6022</v>
      </c>
      <c r="D1880" s="5">
        <v>20</v>
      </c>
      <c r="E1880" s="5">
        <v>45</v>
      </c>
      <c r="F1880" s="5">
        <v>45</v>
      </c>
      <c r="G1880" s="5">
        <v>25</v>
      </c>
      <c r="H1880" s="5">
        <v>40</v>
      </c>
      <c r="I1880" s="5">
        <v>25</v>
      </c>
      <c r="J1880" s="5">
        <v>25</v>
      </c>
      <c r="K1880" s="5">
        <v>20</v>
      </c>
      <c r="L1880" s="5">
        <v>45</v>
      </c>
      <c r="M1880" s="5">
        <v>0</v>
      </c>
      <c r="N1880" s="5">
        <v>400</v>
      </c>
      <c r="O1880" s="5" t="str">
        <f t="shared" ca="1" si="29"/>
        <v>Supplier 99</v>
      </c>
      <c r="P1880" s="20" t="str">
        <f ca="1">IFERROR(VLOOKUP(O1880,EMAILS!B:C,2,FALSE),"NOT FOUND IN EMAILS")</f>
        <v>supplier@gmail.com</v>
      </c>
      <c r="Q1880" t="str">
        <f ca="1">""&amp;IFERROR(VLOOKUP(O1880,EMAILS!B:D,3,FALSE),"NOT FOUND IN EMAILS")</f>
        <v/>
      </c>
      <c r="R1880" t="str">
        <f ca="1">""&amp;IFERROR(VLOOKUP(O1880,EMAILS!B:E,4,FALSE),"NO T FOUND IN EMAILS")</f>
        <v/>
      </c>
    </row>
    <row r="1881" spans="2:18" x14ac:dyDescent="0.25">
      <c r="B1881" s="5" t="s">
        <v>1883</v>
      </c>
      <c r="C1881" s="5" t="s">
        <v>6023</v>
      </c>
      <c r="D1881" s="5">
        <v>0</v>
      </c>
      <c r="E1881" s="5">
        <v>0</v>
      </c>
      <c r="F1881" s="5">
        <v>72</v>
      </c>
      <c r="G1881" s="5">
        <v>72</v>
      </c>
      <c r="H1881" s="5">
        <v>0</v>
      </c>
      <c r="I1881" s="5">
        <v>78</v>
      </c>
      <c r="J1881" s="5">
        <v>0</v>
      </c>
      <c r="K1881" s="5">
        <v>0</v>
      </c>
      <c r="L1881" s="5">
        <v>72</v>
      </c>
      <c r="M1881" s="5">
        <v>0</v>
      </c>
      <c r="N1881" s="5">
        <v>24</v>
      </c>
      <c r="O1881" s="5" t="str">
        <f t="shared" ca="1" si="29"/>
        <v>Supplier 31</v>
      </c>
      <c r="P1881" s="20" t="str">
        <f ca="1">IFERROR(VLOOKUP(O1881,EMAILS!B:C,2,FALSE),"NOT FOUND IN EMAILS")</f>
        <v>supplier@gmail.com</v>
      </c>
      <c r="Q1881" t="str">
        <f ca="1">""&amp;IFERROR(VLOOKUP(O1881,EMAILS!B:D,3,FALSE),"NOT FOUND IN EMAILS")</f>
        <v/>
      </c>
      <c r="R1881" t="str">
        <f ca="1">""&amp;IFERROR(VLOOKUP(O1881,EMAILS!B:E,4,FALSE),"NO T FOUND IN EMAILS")</f>
        <v/>
      </c>
    </row>
    <row r="1882" spans="2:18" x14ac:dyDescent="0.25">
      <c r="B1882" s="5" t="s">
        <v>1884</v>
      </c>
      <c r="C1882" s="5" t="s">
        <v>6024</v>
      </c>
      <c r="D1882" s="5">
        <v>0</v>
      </c>
      <c r="E1882" s="5">
        <v>0</v>
      </c>
      <c r="F1882" s="5">
        <v>0</v>
      </c>
      <c r="G1882" s="5">
        <v>0</v>
      </c>
      <c r="H1882" s="5">
        <v>0</v>
      </c>
      <c r="I1882" s="5">
        <v>0</v>
      </c>
      <c r="J1882" s="5">
        <v>0</v>
      </c>
      <c r="K1882" s="5">
        <v>0</v>
      </c>
      <c r="L1882" s="5">
        <v>0</v>
      </c>
      <c r="M1882" s="5">
        <v>0</v>
      </c>
      <c r="N1882" s="5">
        <v>1500</v>
      </c>
      <c r="O1882" s="5" t="str">
        <f t="shared" ca="1" si="29"/>
        <v>Supplier 180</v>
      </c>
      <c r="P1882" s="20" t="str">
        <f ca="1">IFERROR(VLOOKUP(O1882,EMAILS!B:C,2,FALSE),"NOT FOUND IN EMAILS")</f>
        <v>supplier@gmail.com</v>
      </c>
      <c r="Q1882" t="str">
        <f ca="1">""&amp;IFERROR(VLOOKUP(O1882,EMAILS!B:D,3,FALSE),"NOT FOUND IN EMAILS")</f>
        <v/>
      </c>
      <c r="R1882" t="str">
        <f ca="1">""&amp;IFERROR(VLOOKUP(O1882,EMAILS!B:E,4,FALSE),"NO T FOUND IN EMAILS")</f>
        <v/>
      </c>
    </row>
    <row r="1883" spans="2:18" x14ac:dyDescent="0.25">
      <c r="B1883" s="5" t="s">
        <v>1885</v>
      </c>
      <c r="C1883" s="5" t="s">
        <v>6025</v>
      </c>
      <c r="D1883" s="5">
        <v>0</v>
      </c>
      <c r="E1883" s="5">
        <v>0</v>
      </c>
      <c r="F1883" s="5">
        <v>104</v>
      </c>
      <c r="G1883" s="5">
        <v>104</v>
      </c>
      <c r="H1883" s="5">
        <v>104</v>
      </c>
      <c r="I1883" s="5">
        <v>104</v>
      </c>
      <c r="J1883" s="5">
        <v>104</v>
      </c>
      <c r="K1883" s="5">
        <v>104</v>
      </c>
      <c r="L1883" s="5">
        <v>104</v>
      </c>
      <c r="M1883" s="5">
        <v>0</v>
      </c>
      <c r="N1883" s="5">
        <v>78</v>
      </c>
      <c r="O1883" s="5" t="str">
        <f t="shared" ca="1" si="29"/>
        <v>Supplier 101</v>
      </c>
      <c r="P1883" s="20" t="str">
        <f ca="1">IFERROR(VLOOKUP(O1883,EMAILS!B:C,2,FALSE),"NOT FOUND IN EMAILS")</f>
        <v>supplier@gmail.com</v>
      </c>
      <c r="Q1883" t="str">
        <f ca="1">""&amp;IFERROR(VLOOKUP(O1883,EMAILS!B:D,3,FALSE),"NOT FOUND IN EMAILS")</f>
        <v/>
      </c>
      <c r="R1883" t="str">
        <f ca="1">""&amp;IFERROR(VLOOKUP(O1883,EMAILS!B:E,4,FALSE),"NO T FOUND IN EMAILS")</f>
        <v/>
      </c>
    </row>
    <row r="1884" spans="2:18" x14ac:dyDescent="0.25">
      <c r="B1884" s="5" t="s">
        <v>1886</v>
      </c>
      <c r="C1884" s="5" t="s">
        <v>6026</v>
      </c>
      <c r="D1884" s="5">
        <v>0</v>
      </c>
      <c r="E1884" s="5">
        <v>0</v>
      </c>
      <c r="F1884" s="5">
        <v>0</v>
      </c>
      <c r="G1884" s="5">
        <v>0</v>
      </c>
      <c r="H1884" s="5">
        <v>0</v>
      </c>
      <c r="I1884" s="5">
        <v>0</v>
      </c>
      <c r="J1884" s="5">
        <v>0</v>
      </c>
      <c r="K1884" s="5">
        <v>0</v>
      </c>
      <c r="L1884" s="5">
        <v>0</v>
      </c>
      <c r="M1884" s="5">
        <v>0</v>
      </c>
      <c r="N1884" s="5">
        <v>10130</v>
      </c>
      <c r="O1884" s="5" t="str">
        <f t="shared" ca="1" si="29"/>
        <v>Supplier 173</v>
      </c>
      <c r="P1884" s="20" t="str">
        <f ca="1">IFERROR(VLOOKUP(O1884,EMAILS!B:C,2,FALSE),"NOT FOUND IN EMAILS")</f>
        <v>supplier@gmail.com</v>
      </c>
      <c r="Q1884" t="str">
        <f ca="1">""&amp;IFERROR(VLOOKUP(O1884,EMAILS!B:D,3,FALSE),"NOT FOUND IN EMAILS")</f>
        <v/>
      </c>
      <c r="R1884" t="str">
        <f ca="1">""&amp;IFERROR(VLOOKUP(O1884,EMAILS!B:E,4,FALSE),"NO T FOUND IN EMAILS")</f>
        <v/>
      </c>
    </row>
    <row r="1885" spans="2:18" x14ac:dyDescent="0.25">
      <c r="B1885" s="5" t="s">
        <v>1887</v>
      </c>
      <c r="C1885" s="5" t="s">
        <v>6027</v>
      </c>
      <c r="D1885" s="5">
        <v>0</v>
      </c>
      <c r="E1885" s="5">
        <v>0</v>
      </c>
      <c r="F1885" s="5">
        <v>0</v>
      </c>
      <c r="G1885" s="5">
        <v>0</v>
      </c>
      <c r="H1885" s="5">
        <v>0</v>
      </c>
      <c r="I1885" s="5">
        <v>0</v>
      </c>
      <c r="J1885" s="5">
        <v>0</v>
      </c>
      <c r="K1885" s="5">
        <v>0</v>
      </c>
      <c r="L1885" s="5">
        <v>0</v>
      </c>
      <c r="M1885" s="5">
        <v>0</v>
      </c>
      <c r="N1885" s="5">
        <v>4000</v>
      </c>
      <c r="O1885" s="5" t="str">
        <f t="shared" ca="1" si="29"/>
        <v>Supplier 1</v>
      </c>
      <c r="P1885" s="20" t="str">
        <f ca="1">IFERROR(VLOOKUP(O1885,EMAILS!B:C,2,FALSE),"NOT FOUND IN EMAILS")</f>
        <v>supplier@gmail.com</v>
      </c>
      <c r="Q1885" t="str">
        <f ca="1">""&amp;IFERROR(VLOOKUP(O1885,EMAILS!B:D,3,FALSE),"NOT FOUND IN EMAILS")</f>
        <v>supplier_logistics@gmail.com</v>
      </c>
      <c r="R1885" t="str">
        <f ca="1">""&amp;IFERROR(VLOOKUP(O1885,EMAILS!B:E,4,FALSE),"NO T FOUND IN EMAILS")</f>
        <v/>
      </c>
    </row>
    <row r="1886" spans="2:18" x14ac:dyDescent="0.25">
      <c r="B1886" s="5" t="s">
        <v>1888</v>
      </c>
      <c r="C1886" s="5" t="s">
        <v>6028</v>
      </c>
      <c r="D1886" s="5">
        <v>1404</v>
      </c>
      <c r="E1886" s="5">
        <v>1218</v>
      </c>
      <c r="F1886" s="5">
        <v>1404</v>
      </c>
      <c r="G1886" s="5">
        <v>1404</v>
      </c>
      <c r="H1886" s="5">
        <v>1404</v>
      </c>
      <c r="I1886" s="5">
        <v>1404</v>
      </c>
      <c r="J1886" s="5">
        <v>1080</v>
      </c>
      <c r="K1886" s="5">
        <v>1512</v>
      </c>
      <c r="L1886" s="5">
        <v>1414</v>
      </c>
      <c r="M1886" s="5">
        <v>0</v>
      </c>
      <c r="N1886" s="5">
        <v>0</v>
      </c>
      <c r="O1886" s="5" t="str">
        <f t="shared" ca="1" si="29"/>
        <v>Supplier 176</v>
      </c>
      <c r="P1886" s="20" t="str">
        <f ca="1">IFERROR(VLOOKUP(O1886,EMAILS!B:C,2,FALSE),"NOT FOUND IN EMAILS")</f>
        <v>supplier@gmail.com</v>
      </c>
      <c r="Q1886" t="str">
        <f ca="1">""&amp;IFERROR(VLOOKUP(O1886,EMAILS!B:D,3,FALSE),"NOT FOUND IN EMAILS")</f>
        <v/>
      </c>
      <c r="R1886" t="str">
        <f ca="1">""&amp;IFERROR(VLOOKUP(O1886,EMAILS!B:E,4,FALSE),"NO T FOUND IN EMAILS")</f>
        <v/>
      </c>
    </row>
    <row r="1887" spans="2:18" x14ac:dyDescent="0.25">
      <c r="B1887" s="5" t="s">
        <v>1889</v>
      </c>
      <c r="C1887" s="5" t="s">
        <v>6029</v>
      </c>
      <c r="D1887" s="5">
        <v>0</v>
      </c>
      <c r="E1887" s="5">
        <v>0</v>
      </c>
      <c r="F1887" s="5">
        <v>0</v>
      </c>
      <c r="G1887" s="5">
        <v>0</v>
      </c>
      <c r="H1887" s="5">
        <v>0</v>
      </c>
      <c r="I1887" s="5">
        <v>0</v>
      </c>
      <c r="J1887" s="5">
        <v>0</v>
      </c>
      <c r="K1887" s="5">
        <v>0</v>
      </c>
      <c r="L1887" s="5">
        <v>0</v>
      </c>
      <c r="M1887" s="5">
        <v>0</v>
      </c>
      <c r="N1887" s="5">
        <v>8</v>
      </c>
      <c r="O1887" s="5" t="str">
        <f t="shared" ca="1" si="29"/>
        <v>Supplier 26</v>
      </c>
      <c r="P1887" s="20" t="str">
        <f ca="1">IFERROR(VLOOKUP(O1887,EMAILS!B:C,2,FALSE),"NOT FOUND IN EMAILS")</f>
        <v>supplier@gmail.com</v>
      </c>
      <c r="Q1887" t="str">
        <f ca="1">""&amp;IFERROR(VLOOKUP(O1887,EMAILS!B:D,3,FALSE),"NOT FOUND IN EMAILS")</f>
        <v/>
      </c>
      <c r="R1887" t="str">
        <f ca="1">""&amp;IFERROR(VLOOKUP(O1887,EMAILS!B:E,4,FALSE),"NO T FOUND IN EMAILS")</f>
        <v/>
      </c>
    </row>
    <row r="1888" spans="2:18" x14ac:dyDescent="0.25">
      <c r="B1888" s="5" t="s">
        <v>1890</v>
      </c>
      <c r="C1888" s="5" t="s">
        <v>6030</v>
      </c>
      <c r="D1888" s="5">
        <v>0</v>
      </c>
      <c r="E1888" s="5">
        <v>0</v>
      </c>
      <c r="F1888" s="5">
        <v>0</v>
      </c>
      <c r="G1888" s="5">
        <v>0</v>
      </c>
      <c r="H1888" s="5">
        <v>0</v>
      </c>
      <c r="I1888" s="5">
        <v>0</v>
      </c>
      <c r="J1888" s="5">
        <v>0</v>
      </c>
      <c r="K1888" s="5">
        <v>0</v>
      </c>
      <c r="L1888" s="5">
        <v>0</v>
      </c>
      <c r="M1888" s="5">
        <v>0</v>
      </c>
      <c r="N1888" s="5">
        <v>0</v>
      </c>
      <c r="O1888" s="5" t="str">
        <f t="shared" ca="1" si="29"/>
        <v>Supplier 175</v>
      </c>
      <c r="P1888" s="20" t="str">
        <f ca="1">IFERROR(VLOOKUP(O1888,EMAILS!B:C,2,FALSE),"NOT FOUND IN EMAILS")</f>
        <v>supplier@gmail.com</v>
      </c>
      <c r="Q1888" t="str">
        <f ca="1">""&amp;IFERROR(VLOOKUP(O1888,EMAILS!B:D,3,FALSE),"NOT FOUND IN EMAILS")</f>
        <v/>
      </c>
      <c r="R1888" t="str">
        <f ca="1">""&amp;IFERROR(VLOOKUP(O1888,EMAILS!B:E,4,FALSE),"NO T FOUND IN EMAILS")</f>
        <v/>
      </c>
    </row>
    <row r="1889" spans="2:18" x14ac:dyDescent="0.25">
      <c r="B1889" s="5" t="s">
        <v>1891</v>
      </c>
      <c r="C1889" s="5" t="s">
        <v>6031</v>
      </c>
      <c r="D1889" s="5">
        <v>0</v>
      </c>
      <c r="E1889" s="5">
        <v>0</v>
      </c>
      <c r="F1889" s="5">
        <v>0</v>
      </c>
      <c r="G1889" s="5">
        <v>0</v>
      </c>
      <c r="H1889" s="5">
        <v>0</v>
      </c>
      <c r="I1889" s="5">
        <v>0</v>
      </c>
      <c r="J1889" s="5">
        <v>0</v>
      </c>
      <c r="K1889" s="5">
        <v>0</v>
      </c>
      <c r="L1889" s="5">
        <v>0</v>
      </c>
      <c r="M1889" s="5">
        <v>0</v>
      </c>
      <c r="N1889" s="5">
        <v>14</v>
      </c>
      <c r="O1889" s="5" t="str">
        <f t="shared" ca="1" si="29"/>
        <v>Supplier 138</v>
      </c>
      <c r="P1889" s="20" t="str">
        <f ca="1">IFERROR(VLOOKUP(O1889,EMAILS!B:C,2,FALSE),"NOT FOUND IN EMAILS")</f>
        <v>supplier@gmail.com</v>
      </c>
      <c r="Q1889" t="str">
        <f ca="1">""&amp;IFERROR(VLOOKUP(O1889,EMAILS!B:D,3,FALSE),"NOT FOUND IN EMAILS")</f>
        <v/>
      </c>
      <c r="R1889" t="str">
        <f ca="1">""&amp;IFERROR(VLOOKUP(O1889,EMAILS!B:E,4,FALSE),"NO T FOUND IN EMAILS")</f>
        <v/>
      </c>
    </row>
    <row r="1890" spans="2:18" x14ac:dyDescent="0.25">
      <c r="B1890" s="5" t="s">
        <v>1892</v>
      </c>
      <c r="C1890" s="5" t="s">
        <v>6032</v>
      </c>
      <c r="D1890" s="5">
        <v>0</v>
      </c>
      <c r="E1890" s="5">
        <v>0</v>
      </c>
      <c r="F1890" s="5">
        <v>0</v>
      </c>
      <c r="G1890" s="5">
        <v>0</v>
      </c>
      <c r="H1890" s="5">
        <v>0</v>
      </c>
      <c r="I1890" s="5">
        <v>0</v>
      </c>
      <c r="J1890" s="5">
        <v>0</v>
      </c>
      <c r="K1890" s="5">
        <v>0</v>
      </c>
      <c r="L1890" s="5">
        <v>0</v>
      </c>
      <c r="M1890" s="5">
        <v>0</v>
      </c>
      <c r="N1890" s="5">
        <v>39</v>
      </c>
      <c r="O1890" s="5" t="str">
        <f t="shared" ca="1" si="29"/>
        <v>Supplier 68</v>
      </c>
      <c r="P1890" s="20" t="str">
        <f ca="1">IFERROR(VLOOKUP(O1890,EMAILS!B:C,2,FALSE),"NOT FOUND IN EMAILS")</f>
        <v>supplier@gmail.com</v>
      </c>
      <c r="Q1890" t="str">
        <f ca="1">""&amp;IFERROR(VLOOKUP(O1890,EMAILS!B:D,3,FALSE),"NOT FOUND IN EMAILS")</f>
        <v/>
      </c>
      <c r="R1890" t="str">
        <f ca="1">""&amp;IFERROR(VLOOKUP(O1890,EMAILS!B:E,4,FALSE),"NO T FOUND IN EMAILS")</f>
        <v/>
      </c>
    </row>
    <row r="1891" spans="2:18" x14ac:dyDescent="0.25">
      <c r="B1891" s="5" t="s">
        <v>1893</v>
      </c>
      <c r="C1891" s="5" t="s">
        <v>6033</v>
      </c>
      <c r="D1891" s="5">
        <v>0</v>
      </c>
      <c r="E1891" s="5">
        <v>0</v>
      </c>
      <c r="F1891" s="5">
        <v>0</v>
      </c>
      <c r="G1891" s="5">
        <v>0</v>
      </c>
      <c r="H1891" s="5">
        <v>0</v>
      </c>
      <c r="I1891" s="5">
        <v>0</v>
      </c>
      <c r="J1891" s="5">
        <v>0</v>
      </c>
      <c r="K1891" s="5">
        <v>0</v>
      </c>
      <c r="L1891" s="5">
        <v>0</v>
      </c>
      <c r="M1891" s="5">
        <v>0</v>
      </c>
      <c r="N1891" s="5">
        <v>2</v>
      </c>
      <c r="O1891" s="5" t="str">
        <f t="shared" ca="1" si="29"/>
        <v>Supplier 8</v>
      </c>
      <c r="P1891" s="20" t="str">
        <f ca="1">IFERROR(VLOOKUP(O1891,EMAILS!B:C,2,FALSE),"NOT FOUND IN EMAILS")</f>
        <v>supplier@gmail.com</v>
      </c>
      <c r="Q1891" t="str">
        <f ca="1">""&amp;IFERROR(VLOOKUP(O1891,EMAILS!B:D,3,FALSE),"NOT FOUND IN EMAILS")</f>
        <v>supplier_logistics@gmail.com</v>
      </c>
      <c r="R1891" t="str">
        <f ca="1">""&amp;IFERROR(VLOOKUP(O1891,EMAILS!B:E,4,FALSE),"NO T FOUND IN EMAILS")</f>
        <v/>
      </c>
    </row>
    <row r="1892" spans="2:18" x14ac:dyDescent="0.25">
      <c r="B1892" s="5" t="s">
        <v>1894</v>
      </c>
      <c r="C1892" s="5" t="s">
        <v>6034</v>
      </c>
      <c r="D1892" s="5">
        <v>0</v>
      </c>
      <c r="E1892" s="5">
        <v>0</v>
      </c>
      <c r="F1892" s="5">
        <v>0</v>
      </c>
      <c r="G1892" s="5">
        <v>0</v>
      </c>
      <c r="H1892" s="5">
        <v>0</v>
      </c>
      <c r="I1892" s="5">
        <v>0</v>
      </c>
      <c r="J1892" s="5">
        <v>0</v>
      </c>
      <c r="K1892" s="5">
        <v>0</v>
      </c>
      <c r="L1892" s="5">
        <v>0</v>
      </c>
      <c r="M1892" s="5">
        <v>0</v>
      </c>
      <c r="N1892" s="5">
        <v>177</v>
      </c>
      <c r="O1892" s="5" t="str">
        <f t="shared" ca="1" si="29"/>
        <v>Supplier 94</v>
      </c>
      <c r="P1892" s="20" t="str">
        <f ca="1">IFERROR(VLOOKUP(O1892,EMAILS!B:C,2,FALSE),"NOT FOUND IN EMAILS")</f>
        <v>supplier@gmail.com</v>
      </c>
      <c r="Q1892" t="str">
        <f ca="1">""&amp;IFERROR(VLOOKUP(O1892,EMAILS!B:D,3,FALSE),"NOT FOUND IN EMAILS")</f>
        <v/>
      </c>
      <c r="R1892" t="str">
        <f ca="1">""&amp;IFERROR(VLOOKUP(O1892,EMAILS!B:E,4,FALSE),"NO T FOUND IN EMAILS")</f>
        <v/>
      </c>
    </row>
    <row r="1893" spans="2:18" x14ac:dyDescent="0.25">
      <c r="B1893" s="5" t="s">
        <v>1895</v>
      </c>
      <c r="C1893" s="5" t="s">
        <v>6035</v>
      </c>
      <c r="D1893" s="5">
        <v>20</v>
      </c>
      <c r="E1893" s="5">
        <v>25</v>
      </c>
      <c r="F1893" s="5">
        <v>35</v>
      </c>
      <c r="G1893" s="5">
        <v>25</v>
      </c>
      <c r="H1893" s="5">
        <v>20</v>
      </c>
      <c r="I1893" s="5">
        <v>25</v>
      </c>
      <c r="J1893" s="5">
        <v>25</v>
      </c>
      <c r="K1893" s="5">
        <v>10</v>
      </c>
      <c r="L1893" s="5">
        <v>25</v>
      </c>
      <c r="M1893" s="5">
        <v>0</v>
      </c>
      <c r="N1893" s="5">
        <v>0</v>
      </c>
      <c r="O1893" s="5" t="str">
        <f t="shared" ca="1" si="29"/>
        <v>Supplier 164</v>
      </c>
      <c r="P1893" s="20" t="str">
        <f ca="1">IFERROR(VLOOKUP(O1893,EMAILS!B:C,2,FALSE),"NOT FOUND IN EMAILS")</f>
        <v>supplier@gmail.com</v>
      </c>
      <c r="Q1893" t="str">
        <f ca="1">""&amp;IFERROR(VLOOKUP(O1893,EMAILS!B:D,3,FALSE),"NOT FOUND IN EMAILS")</f>
        <v/>
      </c>
      <c r="R1893" t="str">
        <f ca="1">""&amp;IFERROR(VLOOKUP(O1893,EMAILS!B:E,4,FALSE),"NO T FOUND IN EMAILS")</f>
        <v/>
      </c>
    </row>
    <row r="1894" spans="2:18" x14ac:dyDescent="0.25">
      <c r="B1894" s="5" t="s">
        <v>1896</v>
      </c>
      <c r="C1894" s="5" t="s">
        <v>6036</v>
      </c>
      <c r="D1894" s="5">
        <v>136</v>
      </c>
      <c r="E1894" s="5">
        <v>184</v>
      </c>
      <c r="F1894" s="5">
        <v>322</v>
      </c>
      <c r="G1894" s="5">
        <v>144</v>
      </c>
      <c r="H1894" s="5">
        <v>240</v>
      </c>
      <c r="I1894" s="5">
        <v>112</v>
      </c>
      <c r="J1894" s="5">
        <v>176</v>
      </c>
      <c r="K1894" s="5">
        <v>194</v>
      </c>
      <c r="L1894" s="5">
        <v>230</v>
      </c>
      <c r="M1894" s="5">
        <v>0</v>
      </c>
      <c r="N1894" s="5">
        <v>112</v>
      </c>
      <c r="O1894" s="5" t="str">
        <f t="shared" ca="1" si="29"/>
        <v>Supplier 43</v>
      </c>
      <c r="P1894" s="20" t="str">
        <f ca="1">IFERROR(VLOOKUP(O1894,EMAILS!B:C,2,FALSE),"NOT FOUND IN EMAILS")</f>
        <v>supplier@gmail.com</v>
      </c>
      <c r="Q1894" t="str">
        <f ca="1">""&amp;IFERROR(VLOOKUP(O1894,EMAILS!B:D,3,FALSE),"NOT FOUND IN EMAILS")</f>
        <v/>
      </c>
      <c r="R1894" t="str">
        <f ca="1">""&amp;IFERROR(VLOOKUP(O1894,EMAILS!B:E,4,FALSE),"NO T FOUND IN EMAILS")</f>
        <v/>
      </c>
    </row>
    <row r="1895" spans="2:18" x14ac:dyDescent="0.25">
      <c r="B1895" s="5" t="s">
        <v>1897</v>
      </c>
      <c r="C1895" s="5" t="s">
        <v>6037</v>
      </c>
      <c r="D1895" s="5">
        <v>0</v>
      </c>
      <c r="E1895" s="5">
        <v>0</v>
      </c>
      <c r="F1895" s="5">
        <v>0</v>
      </c>
      <c r="G1895" s="5">
        <v>10</v>
      </c>
      <c r="H1895" s="5">
        <v>0</v>
      </c>
      <c r="I1895" s="5">
        <v>0</v>
      </c>
      <c r="J1895" s="5">
        <v>0</v>
      </c>
      <c r="K1895" s="5">
        <v>0</v>
      </c>
      <c r="L1895" s="5">
        <v>0</v>
      </c>
      <c r="M1895" s="5">
        <v>0</v>
      </c>
      <c r="N1895" s="5">
        <v>145</v>
      </c>
      <c r="O1895" s="5" t="str">
        <f t="shared" ca="1" si="29"/>
        <v>Supplier 88</v>
      </c>
      <c r="P1895" s="20" t="str">
        <f ca="1">IFERROR(VLOOKUP(O1895,EMAILS!B:C,2,FALSE),"NOT FOUND IN EMAILS")</f>
        <v>supplier@gmail.com</v>
      </c>
      <c r="Q1895" t="str">
        <f ca="1">""&amp;IFERROR(VLOOKUP(O1895,EMAILS!B:D,3,FALSE),"NOT FOUND IN EMAILS")</f>
        <v/>
      </c>
      <c r="R1895" t="str">
        <f ca="1">""&amp;IFERROR(VLOOKUP(O1895,EMAILS!B:E,4,FALSE),"NO T FOUND IN EMAILS")</f>
        <v/>
      </c>
    </row>
    <row r="1896" spans="2:18" x14ac:dyDescent="0.25">
      <c r="B1896" s="5" t="s">
        <v>1898</v>
      </c>
      <c r="C1896" s="5" t="s">
        <v>6038</v>
      </c>
      <c r="D1896" s="5">
        <v>0</v>
      </c>
      <c r="E1896" s="5">
        <v>0</v>
      </c>
      <c r="F1896" s="5">
        <v>0</v>
      </c>
      <c r="G1896" s="5">
        <v>0</v>
      </c>
      <c r="H1896" s="5">
        <v>0</v>
      </c>
      <c r="I1896" s="5">
        <v>0</v>
      </c>
      <c r="J1896" s="5">
        <v>0</v>
      </c>
      <c r="K1896" s="5">
        <v>0</v>
      </c>
      <c r="L1896" s="5">
        <v>0</v>
      </c>
      <c r="M1896" s="5">
        <v>0</v>
      </c>
      <c r="N1896" s="5">
        <v>139</v>
      </c>
      <c r="O1896" s="5" t="str">
        <f t="shared" ca="1" si="29"/>
        <v>Supplier 143</v>
      </c>
      <c r="P1896" s="20" t="str">
        <f ca="1">IFERROR(VLOOKUP(O1896,EMAILS!B:C,2,FALSE),"NOT FOUND IN EMAILS")</f>
        <v>supplier@gmail.com</v>
      </c>
      <c r="Q1896" t="str">
        <f ca="1">""&amp;IFERROR(VLOOKUP(O1896,EMAILS!B:D,3,FALSE),"NOT FOUND IN EMAILS")</f>
        <v/>
      </c>
      <c r="R1896" t="str">
        <f ca="1">""&amp;IFERROR(VLOOKUP(O1896,EMAILS!B:E,4,FALSE),"NO T FOUND IN EMAILS")</f>
        <v/>
      </c>
    </row>
    <row r="1897" spans="2:18" x14ac:dyDescent="0.25">
      <c r="B1897" s="5" t="s">
        <v>1899</v>
      </c>
      <c r="C1897" s="5" t="s">
        <v>6039</v>
      </c>
      <c r="D1897" s="5">
        <v>0</v>
      </c>
      <c r="E1897" s="5">
        <v>0</v>
      </c>
      <c r="F1897" s="5">
        <v>0</v>
      </c>
      <c r="G1897" s="5">
        <v>20</v>
      </c>
      <c r="H1897" s="5">
        <v>0</v>
      </c>
      <c r="I1897" s="5">
        <v>0</v>
      </c>
      <c r="J1897" s="5">
        <v>0</v>
      </c>
      <c r="K1897" s="5">
        <v>0</v>
      </c>
      <c r="L1897" s="5">
        <v>0</v>
      </c>
      <c r="M1897" s="5">
        <v>0</v>
      </c>
      <c r="N1897" s="5">
        <v>2010</v>
      </c>
      <c r="O1897" s="5" t="str">
        <f t="shared" ca="1" si="29"/>
        <v>Supplier 186</v>
      </c>
      <c r="P1897" s="20" t="str">
        <f ca="1">IFERROR(VLOOKUP(O1897,EMAILS!B:C,2,FALSE),"NOT FOUND IN EMAILS")</f>
        <v>supplier@gmail.com</v>
      </c>
      <c r="Q1897" t="str">
        <f ca="1">""&amp;IFERROR(VLOOKUP(O1897,EMAILS!B:D,3,FALSE),"NOT FOUND IN EMAILS")</f>
        <v/>
      </c>
      <c r="R1897" t="str">
        <f ca="1">""&amp;IFERROR(VLOOKUP(O1897,EMAILS!B:E,4,FALSE),"NO T FOUND IN EMAILS")</f>
        <v/>
      </c>
    </row>
    <row r="1898" spans="2:18" x14ac:dyDescent="0.25">
      <c r="B1898" s="5" t="s">
        <v>1900</v>
      </c>
      <c r="C1898" s="5" t="s">
        <v>6040</v>
      </c>
      <c r="D1898" s="5">
        <v>10</v>
      </c>
      <c r="E1898" s="5">
        <v>0</v>
      </c>
      <c r="F1898" s="5">
        <v>10</v>
      </c>
      <c r="G1898" s="5">
        <v>10</v>
      </c>
      <c r="H1898" s="5">
        <v>0</v>
      </c>
      <c r="I1898" s="5">
        <v>0</v>
      </c>
      <c r="J1898" s="5">
        <v>0</v>
      </c>
      <c r="K1898" s="5">
        <v>0</v>
      </c>
      <c r="L1898" s="5">
        <v>0</v>
      </c>
      <c r="M1898" s="5">
        <v>0</v>
      </c>
      <c r="N1898" s="5">
        <v>200</v>
      </c>
      <c r="O1898" s="5" t="str">
        <f t="shared" ca="1" si="29"/>
        <v>Supplier 157</v>
      </c>
      <c r="P1898" s="20" t="str">
        <f ca="1">IFERROR(VLOOKUP(O1898,EMAILS!B:C,2,FALSE),"NOT FOUND IN EMAILS")</f>
        <v>supplier@gmail.com</v>
      </c>
      <c r="Q1898" t="str">
        <f ca="1">""&amp;IFERROR(VLOOKUP(O1898,EMAILS!B:D,3,FALSE),"NOT FOUND IN EMAILS")</f>
        <v/>
      </c>
      <c r="R1898" t="str">
        <f ca="1">""&amp;IFERROR(VLOOKUP(O1898,EMAILS!B:E,4,FALSE),"NO T FOUND IN EMAILS")</f>
        <v/>
      </c>
    </row>
    <row r="1899" spans="2:18" x14ac:dyDescent="0.25">
      <c r="B1899" s="5" t="s">
        <v>1901</v>
      </c>
      <c r="C1899" s="5" t="s">
        <v>6041</v>
      </c>
      <c r="D1899" s="5">
        <v>50</v>
      </c>
      <c r="E1899" s="5">
        <v>0</v>
      </c>
      <c r="F1899" s="5">
        <v>50</v>
      </c>
      <c r="G1899" s="5">
        <v>50</v>
      </c>
      <c r="H1899" s="5">
        <v>0</v>
      </c>
      <c r="I1899" s="5">
        <v>0</v>
      </c>
      <c r="J1899" s="5">
        <v>0</v>
      </c>
      <c r="K1899" s="5">
        <v>0</v>
      </c>
      <c r="L1899" s="5">
        <v>0</v>
      </c>
      <c r="M1899" s="5">
        <v>0</v>
      </c>
      <c r="N1899" s="5">
        <v>96</v>
      </c>
      <c r="O1899" s="5" t="str">
        <f t="shared" ca="1" si="29"/>
        <v>Supplier 138</v>
      </c>
      <c r="P1899" s="20" t="str">
        <f ca="1">IFERROR(VLOOKUP(O1899,EMAILS!B:C,2,FALSE),"NOT FOUND IN EMAILS")</f>
        <v>supplier@gmail.com</v>
      </c>
      <c r="Q1899" t="str">
        <f ca="1">""&amp;IFERROR(VLOOKUP(O1899,EMAILS!B:D,3,FALSE),"NOT FOUND IN EMAILS")</f>
        <v/>
      </c>
      <c r="R1899" t="str">
        <f ca="1">""&amp;IFERROR(VLOOKUP(O1899,EMAILS!B:E,4,FALSE),"NO T FOUND IN EMAILS")</f>
        <v/>
      </c>
    </row>
    <row r="1900" spans="2:18" x14ac:dyDescent="0.25">
      <c r="B1900" s="5" t="s">
        <v>1902</v>
      </c>
      <c r="C1900" s="5" t="s">
        <v>6042</v>
      </c>
      <c r="D1900" s="5">
        <v>10</v>
      </c>
      <c r="E1900" s="5">
        <v>0</v>
      </c>
      <c r="F1900" s="5">
        <v>10</v>
      </c>
      <c r="G1900" s="5">
        <v>10</v>
      </c>
      <c r="H1900" s="5">
        <v>0</v>
      </c>
      <c r="I1900" s="5">
        <v>0</v>
      </c>
      <c r="J1900" s="5">
        <v>0</v>
      </c>
      <c r="K1900" s="5">
        <v>0</v>
      </c>
      <c r="L1900" s="5">
        <v>0</v>
      </c>
      <c r="M1900" s="5">
        <v>0</v>
      </c>
      <c r="N1900" s="5">
        <v>0</v>
      </c>
      <c r="O1900" s="5" t="str">
        <f t="shared" ca="1" si="29"/>
        <v>Supplier 28</v>
      </c>
      <c r="P1900" s="20" t="str">
        <f ca="1">IFERROR(VLOOKUP(O1900,EMAILS!B:C,2,FALSE),"NOT FOUND IN EMAILS")</f>
        <v>supplier@gmail.com</v>
      </c>
      <c r="Q1900" t="str">
        <f ca="1">""&amp;IFERROR(VLOOKUP(O1900,EMAILS!B:D,3,FALSE),"NOT FOUND IN EMAILS")</f>
        <v/>
      </c>
      <c r="R1900" t="str">
        <f ca="1">""&amp;IFERROR(VLOOKUP(O1900,EMAILS!B:E,4,FALSE),"NO T FOUND IN EMAILS")</f>
        <v/>
      </c>
    </row>
    <row r="1901" spans="2:18" x14ac:dyDescent="0.25">
      <c r="B1901" s="5" t="s">
        <v>1903</v>
      </c>
      <c r="C1901" s="5" t="s">
        <v>6043</v>
      </c>
      <c r="D1901" s="5">
        <v>0</v>
      </c>
      <c r="E1901" s="5">
        <v>0</v>
      </c>
      <c r="F1901" s="5">
        <v>0</v>
      </c>
      <c r="G1901" s="5">
        <v>0</v>
      </c>
      <c r="H1901" s="5">
        <v>0</v>
      </c>
      <c r="I1901" s="5">
        <v>0</v>
      </c>
      <c r="J1901" s="5">
        <v>0</v>
      </c>
      <c r="K1901" s="5">
        <v>0</v>
      </c>
      <c r="L1901" s="5">
        <v>0</v>
      </c>
      <c r="M1901" s="5">
        <v>0</v>
      </c>
      <c r="N1901" s="5">
        <v>0</v>
      </c>
      <c r="O1901" s="5" t="str">
        <f t="shared" ca="1" si="29"/>
        <v>Supplier 199</v>
      </c>
      <c r="P1901" s="20" t="str">
        <f ca="1">IFERROR(VLOOKUP(O1901,EMAILS!B:C,2,FALSE),"NOT FOUND IN EMAILS")</f>
        <v>supplier@gmail.com</v>
      </c>
      <c r="Q1901" t="str">
        <f ca="1">""&amp;IFERROR(VLOOKUP(O1901,EMAILS!B:D,3,FALSE),"NOT FOUND IN EMAILS")</f>
        <v/>
      </c>
      <c r="R1901" t="str">
        <f ca="1">""&amp;IFERROR(VLOOKUP(O1901,EMAILS!B:E,4,FALSE),"NO T FOUND IN EMAILS")</f>
        <v/>
      </c>
    </row>
    <row r="1902" spans="2:18" x14ac:dyDescent="0.25">
      <c r="B1902" s="5" t="s">
        <v>1904</v>
      </c>
      <c r="C1902" s="5" t="s">
        <v>6044</v>
      </c>
      <c r="D1902" s="5">
        <v>1000</v>
      </c>
      <c r="E1902" s="5">
        <v>784</v>
      </c>
      <c r="F1902" s="5">
        <v>1040</v>
      </c>
      <c r="G1902" s="5">
        <v>936</v>
      </c>
      <c r="H1902" s="5">
        <v>776</v>
      </c>
      <c r="I1902" s="5">
        <v>942</v>
      </c>
      <c r="J1902" s="5">
        <v>496</v>
      </c>
      <c r="K1902" s="5">
        <v>456</v>
      </c>
      <c r="L1902" s="5">
        <v>576</v>
      </c>
      <c r="M1902" s="5">
        <v>0</v>
      </c>
      <c r="N1902" s="5">
        <v>10500</v>
      </c>
      <c r="O1902" s="5" t="str">
        <f t="shared" ca="1" si="29"/>
        <v>Supplier 100</v>
      </c>
      <c r="P1902" s="20" t="str">
        <f ca="1">IFERROR(VLOOKUP(O1902,EMAILS!B:C,2,FALSE),"NOT FOUND IN EMAILS")</f>
        <v>supplier@gmail.com</v>
      </c>
      <c r="Q1902" t="str">
        <f ca="1">""&amp;IFERROR(VLOOKUP(O1902,EMAILS!B:D,3,FALSE),"NOT FOUND IN EMAILS")</f>
        <v/>
      </c>
      <c r="R1902" t="str">
        <f ca="1">""&amp;IFERROR(VLOOKUP(O1902,EMAILS!B:E,4,FALSE),"NO T FOUND IN EMAILS")</f>
        <v/>
      </c>
    </row>
    <row r="1903" spans="2:18" x14ac:dyDescent="0.25">
      <c r="B1903" s="5" t="s">
        <v>1905</v>
      </c>
      <c r="C1903" s="5" t="s">
        <v>6045</v>
      </c>
      <c r="D1903" s="5">
        <v>6020</v>
      </c>
      <c r="E1903" s="5">
        <v>4729</v>
      </c>
      <c r="F1903" s="5">
        <v>6275</v>
      </c>
      <c r="G1903" s="5">
        <v>5641</v>
      </c>
      <c r="H1903" s="5">
        <v>4676</v>
      </c>
      <c r="I1903" s="5">
        <v>5677</v>
      </c>
      <c r="J1903" s="5">
        <v>3001</v>
      </c>
      <c r="K1903" s="5">
        <v>2746</v>
      </c>
      <c r="L1903" s="5">
        <v>3481</v>
      </c>
      <c r="M1903" s="5">
        <v>0</v>
      </c>
      <c r="N1903" s="5">
        <v>18300</v>
      </c>
      <c r="O1903" s="5" t="str">
        <f t="shared" ca="1" si="29"/>
        <v>Supplier 120</v>
      </c>
      <c r="P1903" s="20" t="str">
        <f ca="1">IFERROR(VLOOKUP(O1903,EMAILS!B:C,2,FALSE),"NOT FOUND IN EMAILS")</f>
        <v>supplier@gmail.com</v>
      </c>
      <c r="Q1903" t="str">
        <f ca="1">""&amp;IFERROR(VLOOKUP(O1903,EMAILS!B:D,3,FALSE),"NOT FOUND IN EMAILS")</f>
        <v/>
      </c>
      <c r="R1903" t="str">
        <f ca="1">""&amp;IFERROR(VLOOKUP(O1903,EMAILS!B:E,4,FALSE),"NO T FOUND IN EMAILS")</f>
        <v/>
      </c>
    </row>
    <row r="1904" spans="2:18" x14ac:dyDescent="0.25">
      <c r="B1904" s="5" t="s">
        <v>1906</v>
      </c>
      <c r="C1904" s="5" t="s">
        <v>6046</v>
      </c>
      <c r="D1904" s="5">
        <v>6020</v>
      </c>
      <c r="E1904" s="5">
        <v>4729</v>
      </c>
      <c r="F1904" s="5">
        <v>6275</v>
      </c>
      <c r="G1904" s="5">
        <v>5641</v>
      </c>
      <c r="H1904" s="5">
        <v>4676</v>
      </c>
      <c r="I1904" s="5">
        <v>5677</v>
      </c>
      <c r="J1904" s="5">
        <v>3001</v>
      </c>
      <c r="K1904" s="5">
        <v>2746</v>
      </c>
      <c r="L1904" s="5">
        <v>3481</v>
      </c>
      <c r="M1904" s="5">
        <v>0</v>
      </c>
      <c r="N1904" s="5">
        <v>8300</v>
      </c>
      <c r="O1904" s="5" t="str">
        <f t="shared" ca="1" si="29"/>
        <v>Supplier 56</v>
      </c>
      <c r="P1904" s="20" t="str">
        <f ca="1">IFERROR(VLOOKUP(O1904,EMAILS!B:C,2,FALSE),"NOT FOUND IN EMAILS")</f>
        <v>supplier@gmail.com</v>
      </c>
      <c r="Q1904" t="str">
        <f ca="1">""&amp;IFERROR(VLOOKUP(O1904,EMAILS!B:D,3,FALSE),"NOT FOUND IN EMAILS")</f>
        <v/>
      </c>
      <c r="R1904" t="str">
        <f ca="1">""&amp;IFERROR(VLOOKUP(O1904,EMAILS!B:E,4,FALSE),"NO T FOUND IN EMAILS")</f>
        <v/>
      </c>
    </row>
    <row r="1905" spans="2:18" x14ac:dyDescent="0.25">
      <c r="B1905" s="5" t="s">
        <v>1907</v>
      </c>
      <c r="C1905" s="5" t="s">
        <v>6047</v>
      </c>
      <c r="D1905" s="5">
        <v>4316</v>
      </c>
      <c r="E1905" s="5">
        <v>3600</v>
      </c>
      <c r="F1905" s="5">
        <v>4854</v>
      </c>
      <c r="G1905" s="5">
        <v>4265</v>
      </c>
      <c r="H1905" s="5">
        <v>3504</v>
      </c>
      <c r="I1905" s="5">
        <v>4368</v>
      </c>
      <c r="J1905" s="5">
        <v>2425</v>
      </c>
      <c r="K1905" s="5">
        <v>2218</v>
      </c>
      <c r="L1905" s="5">
        <v>2911</v>
      </c>
      <c r="M1905" s="5">
        <v>0</v>
      </c>
      <c r="N1905" s="5">
        <v>800</v>
      </c>
      <c r="O1905" s="5" t="str">
        <f t="shared" ca="1" si="29"/>
        <v>Supplier 42</v>
      </c>
      <c r="P1905" s="20" t="str">
        <f ca="1">IFERROR(VLOOKUP(O1905,EMAILS!B:C,2,FALSE),"NOT FOUND IN EMAILS")</f>
        <v>supplier@gmail.com</v>
      </c>
      <c r="Q1905" t="str">
        <f ca="1">""&amp;IFERROR(VLOOKUP(O1905,EMAILS!B:D,3,FALSE),"NOT FOUND IN EMAILS")</f>
        <v/>
      </c>
      <c r="R1905" t="str">
        <f ca="1">""&amp;IFERROR(VLOOKUP(O1905,EMAILS!B:E,4,FALSE),"NO T FOUND IN EMAILS")</f>
        <v/>
      </c>
    </row>
    <row r="1906" spans="2:18" x14ac:dyDescent="0.25">
      <c r="B1906" s="5" t="s">
        <v>1908</v>
      </c>
      <c r="C1906" s="5" t="s">
        <v>6048</v>
      </c>
      <c r="D1906" s="5">
        <v>0</v>
      </c>
      <c r="E1906" s="5">
        <v>0</v>
      </c>
      <c r="F1906" s="5">
        <v>0</v>
      </c>
      <c r="G1906" s="5">
        <v>0</v>
      </c>
      <c r="H1906" s="5">
        <v>0</v>
      </c>
      <c r="I1906" s="5">
        <v>0</v>
      </c>
      <c r="J1906" s="5">
        <v>0</v>
      </c>
      <c r="K1906" s="5">
        <v>0</v>
      </c>
      <c r="L1906" s="5">
        <v>0</v>
      </c>
      <c r="M1906" s="5">
        <v>0</v>
      </c>
      <c r="N1906" s="5">
        <v>60</v>
      </c>
      <c r="O1906" s="5" t="str">
        <f t="shared" ca="1" si="29"/>
        <v>Supplier 50</v>
      </c>
      <c r="P1906" s="20" t="str">
        <f ca="1">IFERROR(VLOOKUP(O1906,EMAILS!B:C,2,FALSE),"NOT FOUND IN EMAILS")</f>
        <v>supplier@gmail.com</v>
      </c>
      <c r="Q1906" t="str">
        <f ca="1">""&amp;IFERROR(VLOOKUP(O1906,EMAILS!B:D,3,FALSE),"NOT FOUND IN EMAILS")</f>
        <v/>
      </c>
      <c r="R1906" t="str">
        <f ca="1">""&amp;IFERROR(VLOOKUP(O1906,EMAILS!B:E,4,FALSE),"NO T FOUND IN EMAILS")</f>
        <v/>
      </c>
    </row>
    <row r="1907" spans="2:18" x14ac:dyDescent="0.25">
      <c r="B1907" s="5" t="s">
        <v>1909</v>
      </c>
      <c r="C1907" s="5" t="s">
        <v>6049</v>
      </c>
      <c r="D1907" s="5">
        <v>0</v>
      </c>
      <c r="E1907" s="5">
        <v>0</v>
      </c>
      <c r="F1907" s="5">
        <v>0</v>
      </c>
      <c r="G1907" s="5">
        <v>0</v>
      </c>
      <c r="H1907" s="5">
        <v>0</v>
      </c>
      <c r="I1907" s="5">
        <v>0</v>
      </c>
      <c r="J1907" s="5">
        <v>0</v>
      </c>
      <c r="K1907" s="5">
        <v>0</v>
      </c>
      <c r="L1907" s="5">
        <v>0</v>
      </c>
      <c r="M1907" s="5">
        <v>0</v>
      </c>
      <c r="N1907" s="5">
        <v>99</v>
      </c>
      <c r="O1907" s="5" t="str">
        <f t="shared" ca="1" si="29"/>
        <v>Supplier 97</v>
      </c>
      <c r="P1907" s="20" t="str">
        <f ca="1">IFERROR(VLOOKUP(O1907,EMAILS!B:C,2,FALSE),"NOT FOUND IN EMAILS")</f>
        <v>supplier@gmail.com</v>
      </c>
      <c r="Q1907" t="str">
        <f ca="1">""&amp;IFERROR(VLOOKUP(O1907,EMAILS!B:D,3,FALSE),"NOT FOUND IN EMAILS")</f>
        <v/>
      </c>
      <c r="R1907" t="str">
        <f ca="1">""&amp;IFERROR(VLOOKUP(O1907,EMAILS!B:E,4,FALSE),"NO T FOUND IN EMAILS")</f>
        <v/>
      </c>
    </row>
    <row r="1908" spans="2:18" x14ac:dyDescent="0.25">
      <c r="B1908" s="5" t="s">
        <v>1910</v>
      </c>
      <c r="C1908" s="5" t="s">
        <v>6050</v>
      </c>
      <c r="D1908" s="5">
        <v>0</v>
      </c>
      <c r="E1908" s="5">
        <v>0</v>
      </c>
      <c r="F1908" s="5">
        <v>0</v>
      </c>
      <c r="G1908" s="5">
        <v>0</v>
      </c>
      <c r="H1908" s="5">
        <v>0</v>
      </c>
      <c r="I1908" s="5">
        <v>0</v>
      </c>
      <c r="J1908" s="5">
        <v>0</v>
      </c>
      <c r="K1908" s="5">
        <v>0</v>
      </c>
      <c r="L1908" s="5">
        <v>0</v>
      </c>
      <c r="M1908" s="5">
        <v>0</v>
      </c>
      <c r="N1908" s="5">
        <v>62</v>
      </c>
      <c r="O1908" s="5" t="str">
        <f t="shared" ca="1" si="29"/>
        <v>Supplier 138</v>
      </c>
      <c r="P1908" s="20" t="str">
        <f ca="1">IFERROR(VLOOKUP(O1908,EMAILS!B:C,2,FALSE),"NOT FOUND IN EMAILS")</f>
        <v>supplier@gmail.com</v>
      </c>
      <c r="Q1908" t="str">
        <f ca="1">""&amp;IFERROR(VLOOKUP(O1908,EMAILS!B:D,3,FALSE),"NOT FOUND IN EMAILS")</f>
        <v/>
      </c>
      <c r="R1908" t="str">
        <f ca="1">""&amp;IFERROR(VLOOKUP(O1908,EMAILS!B:E,4,FALSE),"NO T FOUND IN EMAILS")</f>
        <v/>
      </c>
    </row>
    <row r="1909" spans="2:18" x14ac:dyDescent="0.25">
      <c r="B1909" s="5" t="s">
        <v>1911</v>
      </c>
      <c r="C1909" s="5" t="s">
        <v>6051</v>
      </c>
      <c r="D1909" s="5">
        <v>0</v>
      </c>
      <c r="E1909" s="5">
        <v>0</v>
      </c>
      <c r="F1909" s="5">
        <v>0</v>
      </c>
      <c r="G1909" s="5">
        <v>0</v>
      </c>
      <c r="H1909" s="5">
        <v>0</v>
      </c>
      <c r="I1909" s="5">
        <v>0</v>
      </c>
      <c r="J1909" s="5">
        <v>0</v>
      </c>
      <c r="K1909" s="5">
        <v>0</v>
      </c>
      <c r="L1909" s="5">
        <v>0</v>
      </c>
      <c r="M1909" s="5">
        <v>0</v>
      </c>
      <c r="N1909" s="5">
        <v>38</v>
      </c>
      <c r="O1909" s="5" t="str">
        <f t="shared" ca="1" si="29"/>
        <v>Supplier 170</v>
      </c>
      <c r="P1909" s="20" t="str">
        <f ca="1">IFERROR(VLOOKUP(O1909,EMAILS!B:C,2,FALSE),"NOT FOUND IN EMAILS")</f>
        <v>supplier@gmail.com</v>
      </c>
      <c r="Q1909" t="str">
        <f ca="1">""&amp;IFERROR(VLOOKUP(O1909,EMAILS!B:D,3,FALSE),"NOT FOUND IN EMAILS")</f>
        <v/>
      </c>
      <c r="R1909" t="str">
        <f ca="1">""&amp;IFERROR(VLOOKUP(O1909,EMAILS!B:E,4,FALSE),"NO T FOUND IN EMAILS")</f>
        <v/>
      </c>
    </row>
    <row r="1910" spans="2:18" x14ac:dyDescent="0.25">
      <c r="B1910" s="5" t="s">
        <v>1912</v>
      </c>
      <c r="C1910" s="5" t="s">
        <v>6052</v>
      </c>
      <c r="D1910" s="5">
        <v>0</v>
      </c>
      <c r="E1910" s="5">
        <v>0</v>
      </c>
      <c r="F1910" s="5">
        <v>0</v>
      </c>
      <c r="G1910" s="5">
        <v>0</v>
      </c>
      <c r="H1910" s="5">
        <v>0</v>
      </c>
      <c r="I1910" s="5">
        <v>0</v>
      </c>
      <c r="J1910" s="5">
        <v>0</v>
      </c>
      <c r="K1910" s="5">
        <v>0</v>
      </c>
      <c r="L1910" s="5">
        <v>0</v>
      </c>
      <c r="M1910" s="5">
        <v>0</v>
      </c>
      <c r="N1910" s="5">
        <v>692</v>
      </c>
      <c r="O1910" s="5" t="str">
        <f t="shared" ca="1" si="29"/>
        <v>Supplier 6</v>
      </c>
      <c r="P1910" s="20" t="str">
        <f ca="1">IFERROR(VLOOKUP(O1910,EMAILS!B:C,2,FALSE),"NOT FOUND IN EMAILS")</f>
        <v>supplier@gmail.com</v>
      </c>
      <c r="Q1910" t="str">
        <f ca="1">""&amp;IFERROR(VLOOKUP(O1910,EMAILS!B:D,3,FALSE),"NOT FOUND IN EMAILS")</f>
        <v>supplier_logistics@gmail.com</v>
      </c>
      <c r="R1910" t="str">
        <f ca="1">""&amp;IFERROR(VLOOKUP(O1910,EMAILS!B:E,4,FALSE),"NO T FOUND IN EMAILS")</f>
        <v/>
      </c>
    </row>
    <row r="1911" spans="2:18" x14ac:dyDescent="0.25">
      <c r="B1911" s="5" t="s">
        <v>1913</v>
      </c>
      <c r="C1911" s="5" t="s">
        <v>6053</v>
      </c>
      <c r="D1911" s="5">
        <v>0</v>
      </c>
      <c r="E1911" s="5">
        <v>0</v>
      </c>
      <c r="F1911" s="5">
        <v>0</v>
      </c>
      <c r="G1911" s="5">
        <v>0</v>
      </c>
      <c r="H1911" s="5">
        <v>0</v>
      </c>
      <c r="I1911" s="5">
        <v>0</v>
      </c>
      <c r="J1911" s="5">
        <v>0</v>
      </c>
      <c r="K1911" s="5">
        <v>0</v>
      </c>
      <c r="L1911" s="5">
        <v>0</v>
      </c>
      <c r="M1911" s="5">
        <v>0</v>
      </c>
      <c r="N1911" s="5">
        <v>109</v>
      </c>
      <c r="O1911" s="5" t="str">
        <f t="shared" ca="1" si="29"/>
        <v>Supplier 41</v>
      </c>
      <c r="P1911" s="20" t="str">
        <f ca="1">IFERROR(VLOOKUP(O1911,EMAILS!B:C,2,FALSE),"NOT FOUND IN EMAILS")</f>
        <v>supplier@gmail.com</v>
      </c>
      <c r="Q1911" t="str">
        <f ca="1">""&amp;IFERROR(VLOOKUP(O1911,EMAILS!B:D,3,FALSE),"NOT FOUND IN EMAILS")</f>
        <v/>
      </c>
      <c r="R1911" t="str">
        <f ca="1">""&amp;IFERROR(VLOOKUP(O1911,EMAILS!B:E,4,FALSE),"NO T FOUND IN EMAILS")</f>
        <v/>
      </c>
    </row>
    <row r="1912" spans="2:18" x14ac:dyDescent="0.25">
      <c r="B1912" s="5" t="s">
        <v>1914</v>
      </c>
      <c r="C1912" s="5" t="s">
        <v>6054</v>
      </c>
      <c r="D1912" s="5">
        <v>10</v>
      </c>
      <c r="E1912" s="5">
        <v>0</v>
      </c>
      <c r="F1912" s="5">
        <v>10</v>
      </c>
      <c r="G1912" s="5">
        <v>10</v>
      </c>
      <c r="H1912" s="5">
        <v>0</v>
      </c>
      <c r="I1912" s="5">
        <v>0</v>
      </c>
      <c r="J1912" s="5">
        <v>0</v>
      </c>
      <c r="K1912" s="5">
        <v>0</v>
      </c>
      <c r="L1912" s="5">
        <v>0</v>
      </c>
      <c r="M1912" s="5">
        <v>0</v>
      </c>
      <c r="N1912" s="5">
        <v>624</v>
      </c>
      <c r="O1912" s="5" t="str">
        <f t="shared" ca="1" si="29"/>
        <v>Supplier 79</v>
      </c>
      <c r="P1912" s="20" t="str">
        <f ca="1">IFERROR(VLOOKUP(O1912,EMAILS!B:C,2,FALSE),"NOT FOUND IN EMAILS")</f>
        <v>supplier@gmail.com</v>
      </c>
      <c r="Q1912" t="str">
        <f ca="1">""&amp;IFERROR(VLOOKUP(O1912,EMAILS!B:D,3,FALSE),"NOT FOUND IN EMAILS")</f>
        <v/>
      </c>
      <c r="R1912" t="str">
        <f ca="1">""&amp;IFERROR(VLOOKUP(O1912,EMAILS!B:E,4,FALSE),"NO T FOUND IN EMAILS")</f>
        <v/>
      </c>
    </row>
    <row r="1913" spans="2:18" x14ac:dyDescent="0.25">
      <c r="B1913" s="5" t="s">
        <v>1915</v>
      </c>
      <c r="C1913" s="5" t="s">
        <v>6055</v>
      </c>
      <c r="D1913" s="5">
        <v>10</v>
      </c>
      <c r="E1913" s="5">
        <v>0</v>
      </c>
      <c r="F1913" s="5">
        <v>10</v>
      </c>
      <c r="G1913" s="5">
        <v>10</v>
      </c>
      <c r="H1913" s="5">
        <v>0</v>
      </c>
      <c r="I1913" s="5">
        <v>0</v>
      </c>
      <c r="J1913" s="5">
        <v>0</v>
      </c>
      <c r="K1913" s="5">
        <v>0</v>
      </c>
      <c r="L1913" s="5">
        <v>0</v>
      </c>
      <c r="M1913" s="5">
        <v>0</v>
      </c>
      <c r="N1913" s="5">
        <v>422</v>
      </c>
      <c r="O1913" s="5" t="str">
        <f t="shared" ca="1" si="29"/>
        <v>Supplier 90</v>
      </c>
      <c r="P1913" s="20" t="str">
        <f ca="1">IFERROR(VLOOKUP(O1913,EMAILS!B:C,2,FALSE),"NOT FOUND IN EMAILS")</f>
        <v>supplier@gmail.com</v>
      </c>
      <c r="Q1913" t="str">
        <f ca="1">""&amp;IFERROR(VLOOKUP(O1913,EMAILS!B:D,3,FALSE),"NOT FOUND IN EMAILS")</f>
        <v/>
      </c>
      <c r="R1913" t="str">
        <f ca="1">""&amp;IFERROR(VLOOKUP(O1913,EMAILS!B:E,4,FALSE),"NO T FOUND IN EMAILS")</f>
        <v/>
      </c>
    </row>
    <row r="1914" spans="2:18" x14ac:dyDescent="0.25">
      <c r="B1914" s="5" t="s">
        <v>1916</v>
      </c>
      <c r="C1914" s="5" t="s">
        <v>6056</v>
      </c>
      <c r="D1914" s="5">
        <v>0</v>
      </c>
      <c r="E1914" s="5">
        <v>0</v>
      </c>
      <c r="F1914" s="5">
        <v>0</v>
      </c>
      <c r="G1914" s="5">
        <v>0</v>
      </c>
      <c r="H1914" s="5">
        <v>0</v>
      </c>
      <c r="I1914" s="5">
        <v>0</v>
      </c>
      <c r="J1914" s="5">
        <v>0</v>
      </c>
      <c r="K1914" s="5">
        <v>0</v>
      </c>
      <c r="L1914" s="5">
        <v>0</v>
      </c>
      <c r="M1914" s="5">
        <v>0</v>
      </c>
      <c r="N1914" s="5">
        <v>0</v>
      </c>
      <c r="O1914" s="5" t="str">
        <f t="shared" ca="1" si="29"/>
        <v>Supplier 177</v>
      </c>
      <c r="P1914" s="20" t="str">
        <f ca="1">IFERROR(VLOOKUP(O1914,EMAILS!B:C,2,FALSE),"NOT FOUND IN EMAILS")</f>
        <v>supplier@gmail.com</v>
      </c>
      <c r="Q1914" t="str">
        <f ca="1">""&amp;IFERROR(VLOOKUP(O1914,EMAILS!B:D,3,FALSE),"NOT FOUND IN EMAILS")</f>
        <v/>
      </c>
      <c r="R1914" t="str">
        <f ca="1">""&amp;IFERROR(VLOOKUP(O1914,EMAILS!B:E,4,FALSE),"NO T FOUND IN EMAILS")</f>
        <v/>
      </c>
    </row>
    <row r="1915" spans="2:18" x14ac:dyDescent="0.25">
      <c r="B1915" s="5" t="s">
        <v>1917</v>
      </c>
      <c r="C1915" s="5" t="s">
        <v>6057</v>
      </c>
      <c r="D1915" s="5">
        <v>0</v>
      </c>
      <c r="E1915" s="5">
        <v>0</v>
      </c>
      <c r="F1915" s="5">
        <v>0</v>
      </c>
      <c r="G1915" s="5">
        <v>0</v>
      </c>
      <c r="H1915" s="5">
        <v>0</v>
      </c>
      <c r="I1915" s="5">
        <v>0</v>
      </c>
      <c r="J1915" s="5">
        <v>0</v>
      </c>
      <c r="K1915" s="5">
        <v>0</v>
      </c>
      <c r="L1915" s="5">
        <v>0</v>
      </c>
      <c r="M1915" s="5">
        <v>0</v>
      </c>
      <c r="N1915" s="5">
        <v>0</v>
      </c>
      <c r="O1915" s="5" t="str">
        <f t="shared" ca="1" si="29"/>
        <v>Supplier 109</v>
      </c>
      <c r="P1915" s="20" t="str">
        <f ca="1">IFERROR(VLOOKUP(O1915,EMAILS!B:C,2,FALSE),"NOT FOUND IN EMAILS")</f>
        <v>supplier@gmail.com</v>
      </c>
      <c r="Q1915" t="str">
        <f ca="1">""&amp;IFERROR(VLOOKUP(O1915,EMAILS!B:D,3,FALSE),"NOT FOUND IN EMAILS")</f>
        <v/>
      </c>
      <c r="R1915" t="str">
        <f ca="1">""&amp;IFERROR(VLOOKUP(O1915,EMAILS!B:E,4,FALSE),"NO T FOUND IN EMAILS")</f>
        <v/>
      </c>
    </row>
    <row r="1916" spans="2:18" x14ac:dyDescent="0.25">
      <c r="B1916" s="5" t="s">
        <v>1918</v>
      </c>
      <c r="C1916" s="5" t="s">
        <v>6058</v>
      </c>
      <c r="D1916" s="5">
        <v>40</v>
      </c>
      <c r="E1916" s="5">
        <v>64</v>
      </c>
      <c r="F1916" s="5">
        <v>108</v>
      </c>
      <c r="G1916" s="5">
        <v>65</v>
      </c>
      <c r="H1916" s="5">
        <v>80</v>
      </c>
      <c r="I1916" s="5">
        <v>86</v>
      </c>
      <c r="J1916" s="5">
        <v>57</v>
      </c>
      <c r="K1916" s="5">
        <v>44</v>
      </c>
      <c r="L1916" s="5">
        <v>69</v>
      </c>
      <c r="M1916" s="5">
        <v>0</v>
      </c>
      <c r="N1916" s="5">
        <v>226</v>
      </c>
      <c r="O1916" s="5" t="str">
        <f t="shared" ca="1" si="29"/>
        <v>Supplier 181</v>
      </c>
      <c r="P1916" s="20" t="str">
        <f ca="1">IFERROR(VLOOKUP(O1916,EMAILS!B:C,2,FALSE),"NOT FOUND IN EMAILS")</f>
        <v>supplier@gmail.com</v>
      </c>
      <c r="Q1916" t="str">
        <f ca="1">""&amp;IFERROR(VLOOKUP(O1916,EMAILS!B:D,3,FALSE),"NOT FOUND IN EMAILS")</f>
        <v/>
      </c>
      <c r="R1916" t="str">
        <f ca="1">""&amp;IFERROR(VLOOKUP(O1916,EMAILS!B:E,4,FALSE),"NO T FOUND IN EMAILS")</f>
        <v/>
      </c>
    </row>
    <row r="1917" spans="2:18" x14ac:dyDescent="0.25">
      <c r="B1917" s="5" t="s">
        <v>1919</v>
      </c>
      <c r="C1917" s="5" t="s">
        <v>6059</v>
      </c>
      <c r="D1917" s="5">
        <v>64</v>
      </c>
      <c r="E1917" s="5">
        <v>64</v>
      </c>
      <c r="F1917" s="5">
        <v>96</v>
      </c>
      <c r="G1917" s="5">
        <v>69</v>
      </c>
      <c r="H1917" s="5">
        <v>64</v>
      </c>
      <c r="I1917" s="5">
        <v>64</v>
      </c>
      <c r="J1917" s="5">
        <v>64</v>
      </c>
      <c r="K1917" s="5">
        <v>32</v>
      </c>
      <c r="L1917" s="5">
        <v>64</v>
      </c>
      <c r="M1917" s="5">
        <v>0</v>
      </c>
      <c r="N1917" s="5">
        <v>128</v>
      </c>
      <c r="O1917" s="5" t="str">
        <f t="shared" ca="1" si="29"/>
        <v>Supplier 26</v>
      </c>
      <c r="P1917" s="20" t="str">
        <f ca="1">IFERROR(VLOOKUP(O1917,EMAILS!B:C,2,FALSE),"NOT FOUND IN EMAILS")</f>
        <v>supplier@gmail.com</v>
      </c>
      <c r="Q1917" t="str">
        <f ca="1">""&amp;IFERROR(VLOOKUP(O1917,EMAILS!B:D,3,FALSE),"NOT FOUND IN EMAILS")</f>
        <v/>
      </c>
      <c r="R1917" t="str">
        <f ca="1">""&amp;IFERROR(VLOOKUP(O1917,EMAILS!B:E,4,FALSE),"NO T FOUND IN EMAILS")</f>
        <v/>
      </c>
    </row>
    <row r="1918" spans="2:18" x14ac:dyDescent="0.25">
      <c r="B1918" s="5" t="s">
        <v>1920</v>
      </c>
      <c r="C1918" s="5" t="s">
        <v>6060</v>
      </c>
      <c r="D1918" s="5">
        <v>0</v>
      </c>
      <c r="E1918" s="5">
        <v>0</v>
      </c>
      <c r="F1918" s="5">
        <v>0</v>
      </c>
      <c r="G1918" s="5">
        <v>0</v>
      </c>
      <c r="H1918" s="5">
        <v>0</v>
      </c>
      <c r="I1918" s="5">
        <v>0</v>
      </c>
      <c r="J1918" s="5">
        <v>0</v>
      </c>
      <c r="K1918" s="5">
        <v>0</v>
      </c>
      <c r="L1918" s="5">
        <v>0</v>
      </c>
      <c r="M1918" s="5">
        <v>0</v>
      </c>
      <c r="N1918" s="5">
        <v>85</v>
      </c>
      <c r="O1918" s="5" t="str">
        <f t="shared" ca="1" si="29"/>
        <v>Supplier 143</v>
      </c>
      <c r="P1918" s="20" t="str">
        <f ca="1">IFERROR(VLOOKUP(O1918,EMAILS!B:C,2,FALSE),"NOT FOUND IN EMAILS")</f>
        <v>supplier@gmail.com</v>
      </c>
      <c r="Q1918" t="str">
        <f ca="1">""&amp;IFERROR(VLOOKUP(O1918,EMAILS!B:D,3,FALSE),"NOT FOUND IN EMAILS")</f>
        <v/>
      </c>
      <c r="R1918" t="str">
        <f ca="1">""&amp;IFERROR(VLOOKUP(O1918,EMAILS!B:E,4,FALSE),"NO T FOUND IN EMAILS")</f>
        <v/>
      </c>
    </row>
    <row r="1919" spans="2:18" x14ac:dyDescent="0.25">
      <c r="B1919" s="5" t="s">
        <v>1921</v>
      </c>
      <c r="C1919" s="5" t="s">
        <v>6061</v>
      </c>
      <c r="D1919" s="5">
        <v>0</v>
      </c>
      <c r="E1919" s="5">
        <v>0</v>
      </c>
      <c r="F1919" s="5">
        <v>0</v>
      </c>
      <c r="G1919" s="5">
        <v>0</v>
      </c>
      <c r="H1919" s="5">
        <v>0</v>
      </c>
      <c r="I1919" s="5">
        <v>0</v>
      </c>
      <c r="J1919" s="5">
        <v>0</v>
      </c>
      <c r="K1919" s="5">
        <v>0</v>
      </c>
      <c r="L1919" s="5">
        <v>0</v>
      </c>
      <c r="M1919" s="5">
        <v>0</v>
      </c>
      <c r="N1919" s="5">
        <v>0</v>
      </c>
      <c r="O1919" s="5" t="str">
        <f t="shared" ca="1" si="29"/>
        <v>Supplier 198</v>
      </c>
      <c r="P1919" s="20" t="str">
        <f ca="1">IFERROR(VLOOKUP(O1919,EMAILS!B:C,2,FALSE),"NOT FOUND IN EMAILS")</f>
        <v>supplier@gmail.com</v>
      </c>
      <c r="Q1919" t="str">
        <f ca="1">""&amp;IFERROR(VLOOKUP(O1919,EMAILS!B:D,3,FALSE),"NOT FOUND IN EMAILS")</f>
        <v/>
      </c>
      <c r="R1919" t="str">
        <f ca="1">""&amp;IFERROR(VLOOKUP(O1919,EMAILS!B:E,4,FALSE),"NO T FOUND IN EMAILS")</f>
        <v/>
      </c>
    </row>
    <row r="1920" spans="2:18" x14ac:dyDescent="0.25">
      <c r="B1920" s="5" t="s">
        <v>1922</v>
      </c>
      <c r="C1920" s="5" t="s">
        <v>6062</v>
      </c>
      <c r="D1920" s="5">
        <v>20</v>
      </c>
      <c r="E1920" s="5">
        <v>25</v>
      </c>
      <c r="F1920" s="5">
        <v>35</v>
      </c>
      <c r="G1920" s="5">
        <v>25</v>
      </c>
      <c r="H1920" s="5">
        <v>20</v>
      </c>
      <c r="I1920" s="5">
        <v>25</v>
      </c>
      <c r="J1920" s="5">
        <v>25</v>
      </c>
      <c r="K1920" s="5">
        <v>10</v>
      </c>
      <c r="L1920" s="5">
        <v>25</v>
      </c>
      <c r="M1920" s="5">
        <v>0</v>
      </c>
      <c r="N1920" s="5">
        <v>2000</v>
      </c>
      <c r="O1920" s="5" t="str">
        <f t="shared" ca="1" si="29"/>
        <v>Supplier 3</v>
      </c>
      <c r="P1920" s="20" t="str">
        <f ca="1">IFERROR(VLOOKUP(O1920,EMAILS!B:C,2,FALSE),"NOT FOUND IN EMAILS")</f>
        <v>supplier@gmail.com</v>
      </c>
      <c r="Q1920" t="str">
        <f ca="1">""&amp;IFERROR(VLOOKUP(O1920,EMAILS!B:D,3,FALSE),"NOT FOUND IN EMAILS")</f>
        <v>supplier_logistics@gmail.com</v>
      </c>
      <c r="R1920" t="str">
        <f ca="1">""&amp;IFERROR(VLOOKUP(O1920,EMAILS!B:E,4,FALSE),"NO T FOUND IN EMAILS")</f>
        <v/>
      </c>
    </row>
    <row r="1921" spans="2:18" x14ac:dyDescent="0.25">
      <c r="B1921" s="5" t="s">
        <v>1923</v>
      </c>
      <c r="C1921" s="5" t="s">
        <v>6063</v>
      </c>
      <c r="D1921" s="5">
        <v>450</v>
      </c>
      <c r="E1921" s="5">
        <v>155</v>
      </c>
      <c r="F1921" s="5">
        <v>370</v>
      </c>
      <c r="G1921" s="5">
        <v>495</v>
      </c>
      <c r="H1921" s="5">
        <v>450</v>
      </c>
      <c r="I1921" s="5">
        <v>485</v>
      </c>
      <c r="J1921" s="5">
        <v>460</v>
      </c>
      <c r="K1921" s="5">
        <v>450</v>
      </c>
      <c r="L1921" s="5">
        <v>350</v>
      </c>
      <c r="M1921" s="5">
        <v>0</v>
      </c>
      <c r="N1921" s="5">
        <v>1099</v>
      </c>
      <c r="O1921" s="5" t="str">
        <f t="shared" ca="1" si="29"/>
        <v>Supplier 52</v>
      </c>
      <c r="P1921" s="20" t="str">
        <f ca="1">IFERROR(VLOOKUP(O1921,EMAILS!B:C,2,FALSE),"NOT FOUND IN EMAILS")</f>
        <v>supplier@gmail.com</v>
      </c>
      <c r="Q1921" t="str">
        <f ca="1">""&amp;IFERROR(VLOOKUP(O1921,EMAILS!B:D,3,FALSE),"NOT FOUND IN EMAILS")</f>
        <v/>
      </c>
      <c r="R1921" t="str">
        <f ca="1">""&amp;IFERROR(VLOOKUP(O1921,EMAILS!B:E,4,FALSE),"NO T FOUND IN EMAILS")</f>
        <v/>
      </c>
    </row>
    <row r="1922" spans="2:18" x14ac:dyDescent="0.25">
      <c r="B1922" s="5" t="s">
        <v>1924</v>
      </c>
      <c r="C1922" s="5" t="s">
        <v>6064</v>
      </c>
      <c r="D1922" s="5">
        <v>176</v>
      </c>
      <c r="E1922" s="5">
        <v>232</v>
      </c>
      <c r="F1922" s="5">
        <v>328</v>
      </c>
      <c r="G1922" s="5">
        <v>234</v>
      </c>
      <c r="H1922" s="5">
        <v>240</v>
      </c>
      <c r="I1922" s="5">
        <v>244</v>
      </c>
      <c r="J1922" s="5">
        <v>250</v>
      </c>
      <c r="K1922" s="5">
        <v>192</v>
      </c>
      <c r="L1922" s="5">
        <v>288</v>
      </c>
      <c r="M1922" s="5">
        <v>0</v>
      </c>
      <c r="N1922" s="5">
        <v>519</v>
      </c>
      <c r="O1922" s="5" t="str">
        <f t="shared" ca="1" si="29"/>
        <v>Supplier 53</v>
      </c>
      <c r="P1922" s="20" t="str">
        <f ca="1">IFERROR(VLOOKUP(O1922,EMAILS!B:C,2,FALSE),"NOT FOUND IN EMAILS")</f>
        <v>supplier@gmail.com</v>
      </c>
      <c r="Q1922" t="str">
        <f ca="1">""&amp;IFERROR(VLOOKUP(O1922,EMAILS!B:D,3,FALSE),"NOT FOUND IN EMAILS")</f>
        <v/>
      </c>
      <c r="R1922" t="str">
        <f ca="1">""&amp;IFERROR(VLOOKUP(O1922,EMAILS!B:E,4,FALSE),"NO T FOUND IN EMAILS")</f>
        <v/>
      </c>
    </row>
    <row r="1923" spans="2:18" x14ac:dyDescent="0.25">
      <c r="B1923" s="5" t="s">
        <v>1925</v>
      </c>
      <c r="C1923" s="5" t="s">
        <v>6065</v>
      </c>
      <c r="D1923" s="5">
        <v>40</v>
      </c>
      <c r="E1923" s="5">
        <v>64</v>
      </c>
      <c r="F1923" s="5">
        <v>68</v>
      </c>
      <c r="G1923" s="5">
        <v>65</v>
      </c>
      <c r="H1923" s="5">
        <v>40</v>
      </c>
      <c r="I1923" s="5">
        <v>86</v>
      </c>
      <c r="J1923" s="5">
        <v>57</v>
      </c>
      <c r="K1923" s="5">
        <v>44</v>
      </c>
      <c r="L1923" s="5">
        <v>69</v>
      </c>
      <c r="M1923" s="5">
        <v>0</v>
      </c>
      <c r="N1923" s="5">
        <v>74</v>
      </c>
      <c r="O1923" s="5" t="str">
        <f t="shared" ref="O1923:O1986" ca="1" si="30">"Supplier "&amp;RANDBETWEEN(1,200)</f>
        <v>Supplier 36</v>
      </c>
      <c r="P1923" s="20" t="str">
        <f ca="1">IFERROR(VLOOKUP(O1923,EMAILS!B:C,2,FALSE),"NOT FOUND IN EMAILS")</f>
        <v>supplier@gmail.com</v>
      </c>
      <c r="Q1923" t="str">
        <f ca="1">""&amp;IFERROR(VLOOKUP(O1923,EMAILS!B:D,3,FALSE),"NOT FOUND IN EMAILS")</f>
        <v/>
      </c>
      <c r="R1923" t="str">
        <f ca="1">""&amp;IFERROR(VLOOKUP(O1923,EMAILS!B:E,4,FALSE),"NO T FOUND IN EMAILS")</f>
        <v/>
      </c>
    </row>
    <row r="1924" spans="2:18" x14ac:dyDescent="0.25">
      <c r="B1924" s="5" t="s">
        <v>1926</v>
      </c>
      <c r="C1924" s="5" t="s">
        <v>6066</v>
      </c>
      <c r="D1924" s="5">
        <v>0</v>
      </c>
      <c r="E1924" s="5">
        <v>0</v>
      </c>
      <c r="F1924" s="5">
        <v>0</v>
      </c>
      <c r="G1924" s="5">
        <v>10</v>
      </c>
      <c r="H1924" s="5">
        <v>0</v>
      </c>
      <c r="I1924" s="5">
        <v>0</v>
      </c>
      <c r="J1924" s="5">
        <v>0</v>
      </c>
      <c r="K1924" s="5">
        <v>0</v>
      </c>
      <c r="L1924" s="5">
        <v>0</v>
      </c>
      <c r="M1924" s="5">
        <v>0</v>
      </c>
      <c r="N1924" s="5">
        <v>300</v>
      </c>
      <c r="O1924" s="5" t="str">
        <f t="shared" ca="1" si="30"/>
        <v>Supplier 34</v>
      </c>
      <c r="P1924" s="20" t="str">
        <f ca="1">IFERROR(VLOOKUP(O1924,EMAILS!B:C,2,FALSE),"NOT FOUND IN EMAILS")</f>
        <v>supplier@gmail.com</v>
      </c>
      <c r="Q1924" t="str">
        <f ca="1">""&amp;IFERROR(VLOOKUP(O1924,EMAILS!B:D,3,FALSE),"NOT FOUND IN EMAILS")</f>
        <v/>
      </c>
      <c r="R1924" t="str">
        <f ca="1">""&amp;IFERROR(VLOOKUP(O1924,EMAILS!B:E,4,FALSE),"NO T FOUND IN EMAILS")</f>
        <v/>
      </c>
    </row>
    <row r="1925" spans="2:18" x14ac:dyDescent="0.25">
      <c r="B1925" s="5" t="s">
        <v>1927</v>
      </c>
      <c r="C1925" s="5" t="s">
        <v>6067</v>
      </c>
      <c r="D1925" s="5">
        <v>0</v>
      </c>
      <c r="E1925" s="5">
        <v>0</v>
      </c>
      <c r="F1925" s="5">
        <v>0</v>
      </c>
      <c r="G1925" s="5">
        <v>60</v>
      </c>
      <c r="H1925" s="5">
        <v>0</v>
      </c>
      <c r="I1925" s="5">
        <v>0</v>
      </c>
      <c r="J1925" s="5">
        <v>0</v>
      </c>
      <c r="K1925" s="5">
        <v>0</v>
      </c>
      <c r="L1925" s="5">
        <v>0</v>
      </c>
      <c r="M1925" s="5">
        <v>0</v>
      </c>
      <c r="N1925" s="5">
        <v>208</v>
      </c>
      <c r="O1925" s="5" t="str">
        <f t="shared" ca="1" si="30"/>
        <v>Supplier 194</v>
      </c>
      <c r="P1925" s="20" t="str">
        <f ca="1">IFERROR(VLOOKUP(O1925,EMAILS!B:C,2,FALSE),"NOT FOUND IN EMAILS")</f>
        <v>supplier@gmail.com</v>
      </c>
      <c r="Q1925" t="str">
        <f ca="1">""&amp;IFERROR(VLOOKUP(O1925,EMAILS!B:D,3,FALSE),"NOT FOUND IN EMAILS")</f>
        <v/>
      </c>
      <c r="R1925" t="str">
        <f ca="1">""&amp;IFERROR(VLOOKUP(O1925,EMAILS!B:E,4,FALSE),"NO T FOUND IN EMAILS")</f>
        <v/>
      </c>
    </row>
    <row r="1926" spans="2:18" x14ac:dyDescent="0.25">
      <c r="B1926" s="5" t="s">
        <v>1928</v>
      </c>
      <c r="C1926" s="5" t="s">
        <v>6068</v>
      </c>
      <c r="D1926" s="5">
        <v>0</v>
      </c>
      <c r="E1926" s="5">
        <v>0</v>
      </c>
      <c r="F1926" s="5">
        <v>0</v>
      </c>
      <c r="G1926" s="5">
        <v>40</v>
      </c>
      <c r="H1926" s="5">
        <v>0</v>
      </c>
      <c r="I1926" s="5">
        <v>0</v>
      </c>
      <c r="J1926" s="5">
        <v>0</v>
      </c>
      <c r="K1926" s="5">
        <v>0</v>
      </c>
      <c r="L1926" s="5">
        <v>0</v>
      </c>
      <c r="M1926" s="5">
        <v>0</v>
      </c>
      <c r="N1926" s="5">
        <v>750</v>
      </c>
      <c r="O1926" s="5" t="str">
        <f t="shared" ca="1" si="30"/>
        <v>Supplier 156</v>
      </c>
      <c r="P1926" s="20" t="str">
        <f ca="1">IFERROR(VLOOKUP(O1926,EMAILS!B:C,2,FALSE),"NOT FOUND IN EMAILS")</f>
        <v>supplier@gmail.com</v>
      </c>
      <c r="Q1926" t="str">
        <f ca="1">""&amp;IFERROR(VLOOKUP(O1926,EMAILS!B:D,3,FALSE),"NOT FOUND IN EMAILS")</f>
        <v/>
      </c>
      <c r="R1926" t="str">
        <f ca="1">""&amp;IFERROR(VLOOKUP(O1926,EMAILS!B:E,4,FALSE),"NO T FOUND IN EMAILS")</f>
        <v/>
      </c>
    </row>
    <row r="1927" spans="2:18" x14ac:dyDescent="0.25">
      <c r="B1927" s="5" t="s">
        <v>1929</v>
      </c>
      <c r="C1927" s="5" t="s">
        <v>6069</v>
      </c>
      <c r="D1927" s="5">
        <v>0</v>
      </c>
      <c r="E1927" s="5">
        <v>0</v>
      </c>
      <c r="F1927" s="5">
        <v>80</v>
      </c>
      <c r="G1927" s="5">
        <v>80</v>
      </c>
      <c r="H1927" s="5">
        <v>80</v>
      </c>
      <c r="I1927" s="5">
        <v>160</v>
      </c>
      <c r="J1927" s="5">
        <v>0</v>
      </c>
      <c r="K1927" s="5">
        <v>0</v>
      </c>
      <c r="L1927" s="5">
        <v>160</v>
      </c>
      <c r="M1927" s="5">
        <v>0</v>
      </c>
      <c r="N1927" s="5">
        <v>200</v>
      </c>
      <c r="O1927" s="5" t="str">
        <f t="shared" ca="1" si="30"/>
        <v>Supplier 125</v>
      </c>
      <c r="P1927" s="20" t="str">
        <f ca="1">IFERROR(VLOOKUP(O1927,EMAILS!B:C,2,FALSE),"NOT FOUND IN EMAILS")</f>
        <v>supplier@gmail.com</v>
      </c>
      <c r="Q1927" t="str">
        <f ca="1">""&amp;IFERROR(VLOOKUP(O1927,EMAILS!B:D,3,FALSE),"NOT FOUND IN EMAILS")</f>
        <v/>
      </c>
      <c r="R1927" t="str">
        <f ca="1">""&amp;IFERROR(VLOOKUP(O1927,EMAILS!B:E,4,FALSE),"NO T FOUND IN EMAILS")</f>
        <v/>
      </c>
    </row>
    <row r="1928" spans="2:18" x14ac:dyDescent="0.25">
      <c r="B1928" s="5" t="s">
        <v>1930</v>
      </c>
      <c r="C1928" s="5" t="s">
        <v>6070</v>
      </c>
      <c r="D1928" s="5">
        <v>0</v>
      </c>
      <c r="E1928" s="5">
        <v>0</v>
      </c>
      <c r="F1928" s="5">
        <v>80</v>
      </c>
      <c r="G1928" s="5">
        <v>80</v>
      </c>
      <c r="H1928" s="5">
        <v>80</v>
      </c>
      <c r="I1928" s="5">
        <v>160</v>
      </c>
      <c r="J1928" s="5">
        <v>0</v>
      </c>
      <c r="K1928" s="5">
        <v>0</v>
      </c>
      <c r="L1928" s="5">
        <v>160</v>
      </c>
      <c r="M1928" s="5">
        <v>0</v>
      </c>
      <c r="N1928" s="5">
        <v>600</v>
      </c>
      <c r="O1928" s="5" t="str">
        <f t="shared" ca="1" si="30"/>
        <v>Supplier 193</v>
      </c>
      <c r="P1928" s="20" t="str">
        <f ca="1">IFERROR(VLOOKUP(O1928,EMAILS!B:C,2,FALSE),"NOT FOUND IN EMAILS")</f>
        <v>supplier@gmail.com</v>
      </c>
      <c r="Q1928" t="str">
        <f ca="1">""&amp;IFERROR(VLOOKUP(O1928,EMAILS!B:D,3,FALSE),"NOT FOUND IN EMAILS")</f>
        <v/>
      </c>
      <c r="R1928" t="str">
        <f ca="1">""&amp;IFERROR(VLOOKUP(O1928,EMAILS!B:E,4,FALSE),"NO T FOUND IN EMAILS")</f>
        <v/>
      </c>
    </row>
    <row r="1929" spans="2:18" x14ac:dyDescent="0.25">
      <c r="B1929" s="5" t="s">
        <v>1931</v>
      </c>
      <c r="C1929" s="5" t="s">
        <v>6071</v>
      </c>
      <c r="D1929" s="5">
        <v>0</v>
      </c>
      <c r="E1929" s="5">
        <v>0</v>
      </c>
      <c r="F1929" s="5">
        <v>80</v>
      </c>
      <c r="G1929" s="5">
        <v>80</v>
      </c>
      <c r="H1929" s="5">
        <v>80</v>
      </c>
      <c r="I1929" s="5">
        <v>160</v>
      </c>
      <c r="J1929" s="5">
        <v>0</v>
      </c>
      <c r="K1929" s="5">
        <v>0</v>
      </c>
      <c r="L1929" s="5">
        <v>160</v>
      </c>
      <c r="M1929" s="5">
        <v>0</v>
      </c>
      <c r="N1929" s="5">
        <v>500</v>
      </c>
      <c r="O1929" s="5" t="str">
        <f t="shared" ca="1" si="30"/>
        <v>Supplier 32</v>
      </c>
      <c r="P1929" s="20" t="str">
        <f ca="1">IFERROR(VLOOKUP(O1929,EMAILS!B:C,2,FALSE),"NOT FOUND IN EMAILS")</f>
        <v>supplier@gmail.com</v>
      </c>
      <c r="Q1929" t="str">
        <f ca="1">""&amp;IFERROR(VLOOKUP(O1929,EMAILS!B:D,3,FALSE),"NOT FOUND IN EMAILS")</f>
        <v/>
      </c>
      <c r="R1929" t="str">
        <f ca="1">""&amp;IFERROR(VLOOKUP(O1929,EMAILS!B:E,4,FALSE),"NO T FOUND IN EMAILS")</f>
        <v/>
      </c>
    </row>
    <row r="1930" spans="2:18" x14ac:dyDescent="0.25">
      <c r="B1930" s="5" t="s">
        <v>1932</v>
      </c>
      <c r="C1930" s="5" t="s">
        <v>6072</v>
      </c>
      <c r="D1930" s="5">
        <v>0</v>
      </c>
      <c r="E1930" s="5">
        <v>0</v>
      </c>
      <c r="F1930" s="5">
        <v>80</v>
      </c>
      <c r="G1930" s="5">
        <v>80</v>
      </c>
      <c r="H1930" s="5">
        <v>80</v>
      </c>
      <c r="I1930" s="5">
        <v>160</v>
      </c>
      <c r="J1930" s="5">
        <v>0</v>
      </c>
      <c r="K1930" s="5">
        <v>0</v>
      </c>
      <c r="L1930" s="5">
        <v>160</v>
      </c>
      <c r="M1930" s="5">
        <v>0</v>
      </c>
      <c r="N1930" s="5">
        <v>19800</v>
      </c>
      <c r="O1930" s="5" t="str">
        <f t="shared" ca="1" si="30"/>
        <v>Supplier 165</v>
      </c>
      <c r="P1930" s="20" t="str">
        <f ca="1">IFERROR(VLOOKUP(O1930,EMAILS!B:C,2,FALSE),"NOT FOUND IN EMAILS")</f>
        <v>supplier@gmail.com</v>
      </c>
      <c r="Q1930" t="str">
        <f ca="1">""&amp;IFERROR(VLOOKUP(O1930,EMAILS!B:D,3,FALSE),"NOT FOUND IN EMAILS")</f>
        <v/>
      </c>
      <c r="R1930" t="str">
        <f ca="1">""&amp;IFERROR(VLOOKUP(O1930,EMAILS!B:E,4,FALSE),"NO T FOUND IN EMAILS")</f>
        <v/>
      </c>
    </row>
    <row r="1931" spans="2:18" x14ac:dyDescent="0.25">
      <c r="B1931" s="5" t="s">
        <v>1933</v>
      </c>
      <c r="C1931" s="5" t="s">
        <v>6073</v>
      </c>
      <c r="D1931" s="5">
        <v>5504</v>
      </c>
      <c r="E1931" s="5">
        <v>3952</v>
      </c>
      <c r="F1931" s="5">
        <v>4640</v>
      </c>
      <c r="G1931" s="5">
        <v>5184</v>
      </c>
      <c r="H1931" s="5">
        <v>4690</v>
      </c>
      <c r="I1931" s="5">
        <v>5184</v>
      </c>
      <c r="J1931" s="5">
        <v>4380</v>
      </c>
      <c r="K1931" s="5">
        <v>4084</v>
      </c>
      <c r="L1931" s="5">
        <v>4244</v>
      </c>
      <c r="M1931" s="5">
        <v>0</v>
      </c>
      <c r="N1931" s="5">
        <v>650</v>
      </c>
      <c r="O1931" s="5" t="str">
        <f t="shared" ca="1" si="30"/>
        <v>Supplier 193</v>
      </c>
      <c r="P1931" s="20" t="str">
        <f ca="1">IFERROR(VLOOKUP(O1931,EMAILS!B:C,2,FALSE),"NOT FOUND IN EMAILS")</f>
        <v>supplier@gmail.com</v>
      </c>
      <c r="Q1931" t="str">
        <f ca="1">""&amp;IFERROR(VLOOKUP(O1931,EMAILS!B:D,3,FALSE),"NOT FOUND IN EMAILS")</f>
        <v/>
      </c>
      <c r="R1931" t="str">
        <f ca="1">""&amp;IFERROR(VLOOKUP(O1931,EMAILS!B:E,4,FALSE),"NO T FOUND IN EMAILS")</f>
        <v/>
      </c>
    </row>
    <row r="1932" spans="2:18" x14ac:dyDescent="0.25">
      <c r="B1932" s="5" t="s">
        <v>1934</v>
      </c>
      <c r="C1932" s="5" t="s">
        <v>6074</v>
      </c>
      <c r="D1932" s="5">
        <v>5504</v>
      </c>
      <c r="E1932" s="5">
        <v>3952</v>
      </c>
      <c r="F1932" s="5">
        <v>4640</v>
      </c>
      <c r="G1932" s="5">
        <v>5184</v>
      </c>
      <c r="H1932" s="5">
        <v>4690</v>
      </c>
      <c r="I1932" s="5">
        <v>5184</v>
      </c>
      <c r="J1932" s="5">
        <v>4380</v>
      </c>
      <c r="K1932" s="5">
        <v>4084</v>
      </c>
      <c r="L1932" s="5">
        <v>4244</v>
      </c>
      <c r="M1932" s="5">
        <v>0</v>
      </c>
      <c r="N1932" s="5">
        <v>9250</v>
      </c>
      <c r="O1932" s="5" t="str">
        <f t="shared" ca="1" si="30"/>
        <v>Supplier 11</v>
      </c>
      <c r="P1932" s="20" t="str">
        <f ca="1">IFERROR(VLOOKUP(O1932,EMAILS!B:C,2,FALSE),"NOT FOUND IN EMAILS")</f>
        <v>supplier@gmail.com</v>
      </c>
      <c r="Q1932" t="str">
        <f ca="1">""&amp;IFERROR(VLOOKUP(O1932,EMAILS!B:D,3,FALSE),"NOT FOUND IN EMAILS")</f>
        <v>supplier_logistics@gmail.com</v>
      </c>
      <c r="R1932" t="str">
        <f ca="1">""&amp;IFERROR(VLOOKUP(O1932,EMAILS!B:E,4,FALSE),"NO T FOUND IN EMAILS")</f>
        <v/>
      </c>
    </row>
    <row r="1933" spans="2:18" x14ac:dyDescent="0.25">
      <c r="B1933" s="5" t="s">
        <v>1935</v>
      </c>
      <c r="C1933" s="5" t="s">
        <v>6075</v>
      </c>
      <c r="D1933" s="5">
        <v>5504</v>
      </c>
      <c r="E1933" s="5">
        <v>3952</v>
      </c>
      <c r="F1933" s="5">
        <v>4640</v>
      </c>
      <c r="G1933" s="5">
        <v>5184</v>
      </c>
      <c r="H1933" s="5">
        <v>4690</v>
      </c>
      <c r="I1933" s="5">
        <v>5184</v>
      </c>
      <c r="J1933" s="5">
        <v>4380</v>
      </c>
      <c r="K1933" s="5">
        <v>4084</v>
      </c>
      <c r="L1933" s="5">
        <v>4244</v>
      </c>
      <c r="M1933" s="5">
        <v>0</v>
      </c>
      <c r="N1933" s="5">
        <v>21750</v>
      </c>
      <c r="O1933" s="5" t="str">
        <f t="shared" ca="1" si="30"/>
        <v>Supplier 1</v>
      </c>
      <c r="P1933" s="20" t="str">
        <f ca="1">IFERROR(VLOOKUP(O1933,EMAILS!B:C,2,FALSE),"NOT FOUND IN EMAILS")</f>
        <v>supplier@gmail.com</v>
      </c>
      <c r="Q1933" t="str">
        <f ca="1">""&amp;IFERROR(VLOOKUP(O1933,EMAILS!B:D,3,FALSE),"NOT FOUND IN EMAILS")</f>
        <v>supplier_logistics@gmail.com</v>
      </c>
      <c r="R1933" t="str">
        <f ca="1">""&amp;IFERROR(VLOOKUP(O1933,EMAILS!B:E,4,FALSE),"NO T FOUND IN EMAILS")</f>
        <v/>
      </c>
    </row>
    <row r="1934" spans="2:18" x14ac:dyDescent="0.25">
      <c r="B1934" s="5" t="s">
        <v>1936</v>
      </c>
      <c r="C1934" s="5" t="s">
        <v>6076</v>
      </c>
      <c r="D1934" s="5">
        <v>5504</v>
      </c>
      <c r="E1934" s="5">
        <v>3952</v>
      </c>
      <c r="F1934" s="5">
        <v>4640</v>
      </c>
      <c r="G1934" s="5">
        <v>5184</v>
      </c>
      <c r="H1934" s="5">
        <v>4690</v>
      </c>
      <c r="I1934" s="5">
        <v>5184</v>
      </c>
      <c r="J1934" s="5">
        <v>4380</v>
      </c>
      <c r="K1934" s="5">
        <v>4084</v>
      </c>
      <c r="L1934" s="5">
        <v>4244</v>
      </c>
      <c r="M1934" s="5">
        <v>0</v>
      </c>
      <c r="N1934" s="5">
        <v>500</v>
      </c>
      <c r="O1934" s="5" t="str">
        <f t="shared" ca="1" si="30"/>
        <v>Supplier 136</v>
      </c>
      <c r="P1934" s="20" t="str">
        <f ca="1">IFERROR(VLOOKUP(O1934,EMAILS!B:C,2,FALSE),"NOT FOUND IN EMAILS")</f>
        <v>supplier@gmail.com</v>
      </c>
      <c r="Q1934" t="str">
        <f ca="1">""&amp;IFERROR(VLOOKUP(O1934,EMAILS!B:D,3,FALSE),"NOT FOUND IN EMAILS")</f>
        <v/>
      </c>
      <c r="R1934" t="str">
        <f ca="1">""&amp;IFERROR(VLOOKUP(O1934,EMAILS!B:E,4,FALSE),"NO T FOUND IN EMAILS")</f>
        <v/>
      </c>
    </row>
    <row r="1935" spans="2:18" x14ac:dyDescent="0.25">
      <c r="B1935" s="5" t="s">
        <v>1937</v>
      </c>
      <c r="C1935" s="5" t="s">
        <v>6077</v>
      </c>
      <c r="D1935" s="5">
        <v>725</v>
      </c>
      <c r="E1935" s="5">
        <v>620</v>
      </c>
      <c r="F1935" s="5">
        <v>810</v>
      </c>
      <c r="G1935" s="5">
        <v>720</v>
      </c>
      <c r="H1935" s="5">
        <v>830</v>
      </c>
      <c r="I1935" s="5">
        <v>820</v>
      </c>
      <c r="J1935" s="5">
        <v>510</v>
      </c>
      <c r="K1935" s="5">
        <v>520</v>
      </c>
      <c r="L1935" s="5">
        <v>620</v>
      </c>
      <c r="M1935" s="5">
        <v>0</v>
      </c>
      <c r="N1935" s="5">
        <v>7500</v>
      </c>
      <c r="O1935" s="5" t="str">
        <f t="shared" ca="1" si="30"/>
        <v>Supplier 174</v>
      </c>
      <c r="P1935" s="20" t="str">
        <f ca="1">IFERROR(VLOOKUP(O1935,EMAILS!B:C,2,FALSE),"NOT FOUND IN EMAILS")</f>
        <v>supplier@gmail.com</v>
      </c>
      <c r="Q1935" t="str">
        <f ca="1">""&amp;IFERROR(VLOOKUP(O1935,EMAILS!B:D,3,FALSE),"NOT FOUND IN EMAILS")</f>
        <v/>
      </c>
      <c r="R1935" t="str">
        <f ca="1">""&amp;IFERROR(VLOOKUP(O1935,EMAILS!B:E,4,FALSE),"NO T FOUND IN EMAILS")</f>
        <v/>
      </c>
    </row>
    <row r="1936" spans="2:18" x14ac:dyDescent="0.25">
      <c r="B1936" s="5" t="s">
        <v>1938</v>
      </c>
      <c r="C1936" s="5" t="s">
        <v>6078</v>
      </c>
      <c r="D1936" s="5">
        <v>725</v>
      </c>
      <c r="E1936" s="5">
        <v>620</v>
      </c>
      <c r="F1936" s="5">
        <v>810</v>
      </c>
      <c r="G1936" s="5">
        <v>720</v>
      </c>
      <c r="H1936" s="5">
        <v>830</v>
      </c>
      <c r="I1936" s="5">
        <v>820</v>
      </c>
      <c r="J1936" s="5">
        <v>510</v>
      </c>
      <c r="K1936" s="5">
        <v>520</v>
      </c>
      <c r="L1936" s="5">
        <v>620</v>
      </c>
      <c r="M1936" s="5">
        <v>0</v>
      </c>
      <c r="N1936" s="5">
        <v>550</v>
      </c>
      <c r="O1936" s="5" t="str">
        <f t="shared" ca="1" si="30"/>
        <v>Supplier 93</v>
      </c>
      <c r="P1936" s="20" t="str">
        <f ca="1">IFERROR(VLOOKUP(O1936,EMAILS!B:C,2,FALSE),"NOT FOUND IN EMAILS")</f>
        <v>supplier@gmail.com</v>
      </c>
      <c r="Q1936" t="str">
        <f ca="1">""&amp;IFERROR(VLOOKUP(O1936,EMAILS!B:D,3,FALSE),"NOT FOUND IN EMAILS")</f>
        <v/>
      </c>
      <c r="R1936" t="str">
        <f ca="1">""&amp;IFERROR(VLOOKUP(O1936,EMAILS!B:E,4,FALSE),"NO T FOUND IN EMAILS")</f>
        <v/>
      </c>
    </row>
    <row r="1937" spans="2:18" x14ac:dyDescent="0.25">
      <c r="B1937" s="5" t="s">
        <v>1939</v>
      </c>
      <c r="C1937" s="5" t="s">
        <v>6079</v>
      </c>
      <c r="D1937" s="5">
        <v>0</v>
      </c>
      <c r="E1937" s="5">
        <v>0</v>
      </c>
      <c r="F1937" s="5">
        <v>72</v>
      </c>
      <c r="G1937" s="5">
        <v>72</v>
      </c>
      <c r="H1937" s="5">
        <v>0</v>
      </c>
      <c r="I1937" s="5">
        <v>78</v>
      </c>
      <c r="J1937" s="5">
        <v>0</v>
      </c>
      <c r="K1937" s="5">
        <v>0</v>
      </c>
      <c r="L1937" s="5">
        <v>72</v>
      </c>
      <c r="M1937" s="5">
        <v>0</v>
      </c>
      <c r="N1937" s="5">
        <v>1077</v>
      </c>
      <c r="O1937" s="5" t="str">
        <f t="shared" ca="1" si="30"/>
        <v>Supplier 24</v>
      </c>
      <c r="P1937" s="20" t="str">
        <f ca="1">IFERROR(VLOOKUP(O1937,EMAILS!B:C,2,FALSE),"NOT FOUND IN EMAILS")</f>
        <v>supplier@gmail.com</v>
      </c>
      <c r="Q1937" t="str">
        <f ca="1">""&amp;IFERROR(VLOOKUP(O1937,EMAILS!B:D,3,FALSE),"NOT FOUND IN EMAILS")</f>
        <v/>
      </c>
      <c r="R1937" t="str">
        <f ca="1">""&amp;IFERROR(VLOOKUP(O1937,EMAILS!B:E,4,FALSE),"NO T FOUND IN EMAILS")</f>
        <v/>
      </c>
    </row>
    <row r="1938" spans="2:18" x14ac:dyDescent="0.25">
      <c r="B1938" s="5" t="s">
        <v>1940</v>
      </c>
      <c r="C1938" s="5" t="s">
        <v>6080</v>
      </c>
      <c r="D1938" s="5">
        <v>48</v>
      </c>
      <c r="E1938" s="5">
        <v>52</v>
      </c>
      <c r="F1938" s="5">
        <v>96</v>
      </c>
      <c r="G1938" s="5">
        <v>62</v>
      </c>
      <c r="H1938" s="5">
        <v>80</v>
      </c>
      <c r="I1938" s="5">
        <v>36</v>
      </c>
      <c r="J1938" s="5">
        <v>68</v>
      </c>
      <c r="K1938" s="5">
        <v>52</v>
      </c>
      <c r="L1938" s="5">
        <v>75</v>
      </c>
      <c r="M1938" s="5">
        <v>0</v>
      </c>
      <c r="N1938" s="5">
        <v>14000</v>
      </c>
      <c r="O1938" s="5" t="str">
        <f t="shared" ca="1" si="30"/>
        <v>Supplier 161</v>
      </c>
      <c r="P1938" s="20" t="str">
        <f ca="1">IFERROR(VLOOKUP(O1938,EMAILS!B:C,2,FALSE),"NOT FOUND IN EMAILS")</f>
        <v>supplier@gmail.com</v>
      </c>
      <c r="Q1938" t="str">
        <f ca="1">""&amp;IFERROR(VLOOKUP(O1938,EMAILS!B:D,3,FALSE),"NOT FOUND IN EMAILS")</f>
        <v/>
      </c>
      <c r="R1938" t="str">
        <f ca="1">""&amp;IFERROR(VLOOKUP(O1938,EMAILS!B:E,4,FALSE),"NO T FOUND IN EMAILS")</f>
        <v/>
      </c>
    </row>
    <row r="1939" spans="2:18" x14ac:dyDescent="0.25">
      <c r="B1939" s="5" t="s">
        <v>1941</v>
      </c>
      <c r="C1939" s="5" t="s">
        <v>6081</v>
      </c>
      <c r="D1939" s="5">
        <v>5002</v>
      </c>
      <c r="E1939" s="5">
        <v>3160</v>
      </c>
      <c r="F1939" s="5">
        <v>4802</v>
      </c>
      <c r="G1939" s="5">
        <v>4820</v>
      </c>
      <c r="H1939" s="5">
        <v>5002</v>
      </c>
      <c r="I1939" s="5">
        <v>4906</v>
      </c>
      <c r="J1939" s="5">
        <v>3506</v>
      </c>
      <c r="K1939" s="5">
        <v>4706</v>
      </c>
      <c r="L1939" s="5">
        <v>2226</v>
      </c>
      <c r="M1939" s="5">
        <v>0</v>
      </c>
      <c r="N1939" s="5">
        <v>20000</v>
      </c>
      <c r="O1939" s="5" t="str">
        <f t="shared" ca="1" si="30"/>
        <v>Supplier 74</v>
      </c>
      <c r="P1939" s="20" t="str">
        <f ca="1">IFERROR(VLOOKUP(O1939,EMAILS!B:C,2,FALSE),"NOT FOUND IN EMAILS")</f>
        <v>supplier@gmail.com</v>
      </c>
      <c r="Q1939" t="str">
        <f ca="1">""&amp;IFERROR(VLOOKUP(O1939,EMAILS!B:D,3,FALSE),"NOT FOUND IN EMAILS")</f>
        <v/>
      </c>
      <c r="R1939" t="str">
        <f ca="1">""&amp;IFERROR(VLOOKUP(O1939,EMAILS!B:E,4,FALSE),"NO T FOUND IN EMAILS")</f>
        <v/>
      </c>
    </row>
    <row r="1940" spans="2:18" x14ac:dyDescent="0.25">
      <c r="B1940" s="5" t="s">
        <v>1942</v>
      </c>
      <c r="C1940" s="5" t="s">
        <v>6082</v>
      </c>
      <c r="D1940" s="5">
        <v>6274</v>
      </c>
      <c r="E1940" s="5">
        <v>3240</v>
      </c>
      <c r="F1940" s="5">
        <v>6074</v>
      </c>
      <c r="G1940" s="5">
        <v>6060</v>
      </c>
      <c r="H1940" s="5">
        <v>5194</v>
      </c>
      <c r="I1940" s="5">
        <v>6082</v>
      </c>
      <c r="J1940" s="5">
        <v>3682</v>
      </c>
      <c r="K1940" s="5">
        <v>5882</v>
      </c>
      <c r="L1940" s="5">
        <v>2402</v>
      </c>
      <c r="M1940" s="5">
        <v>0</v>
      </c>
      <c r="N1940" s="5">
        <v>11000</v>
      </c>
      <c r="O1940" s="5" t="str">
        <f t="shared" ca="1" si="30"/>
        <v>Supplier 79</v>
      </c>
      <c r="P1940" s="20" t="str">
        <f ca="1">IFERROR(VLOOKUP(O1940,EMAILS!B:C,2,FALSE),"NOT FOUND IN EMAILS")</f>
        <v>supplier@gmail.com</v>
      </c>
      <c r="Q1940" t="str">
        <f ca="1">""&amp;IFERROR(VLOOKUP(O1940,EMAILS!B:D,3,FALSE),"NOT FOUND IN EMAILS")</f>
        <v/>
      </c>
      <c r="R1940" t="str">
        <f ca="1">""&amp;IFERROR(VLOOKUP(O1940,EMAILS!B:E,4,FALSE),"NO T FOUND IN EMAILS")</f>
        <v/>
      </c>
    </row>
    <row r="1941" spans="2:18" x14ac:dyDescent="0.25">
      <c r="B1941" s="5" t="s">
        <v>1943</v>
      </c>
      <c r="C1941" s="5" t="s">
        <v>6083</v>
      </c>
      <c r="D1941" s="5">
        <v>3851</v>
      </c>
      <c r="E1941" s="5">
        <v>3175</v>
      </c>
      <c r="F1941" s="5">
        <v>3949</v>
      </c>
      <c r="G1941" s="5">
        <v>3799</v>
      </c>
      <c r="H1941" s="5">
        <v>5033</v>
      </c>
      <c r="I1941" s="5">
        <v>3951</v>
      </c>
      <c r="J1941" s="5">
        <v>3451</v>
      </c>
      <c r="K1941" s="5">
        <v>3551</v>
      </c>
      <c r="L1941" s="5">
        <v>2269</v>
      </c>
      <c r="M1941" s="5">
        <v>0</v>
      </c>
      <c r="N1941" s="5">
        <v>1597</v>
      </c>
      <c r="O1941" s="5" t="str">
        <f t="shared" ca="1" si="30"/>
        <v>Supplier 56</v>
      </c>
      <c r="P1941" s="20" t="str">
        <f ca="1">IFERROR(VLOOKUP(O1941,EMAILS!B:C,2,FALSE),"NOT FOUND IN EMAILS")</f>
        <v>supplier@gmail.com</v>
      </c>
      <c r="Q1941" t="str">
        <f ca="1">""&amp;IFERROR(VLOOKUP(O1941,EMAILS!B:D,3,FALSE),"NOT FOUND IN EMAILS")</f>
        <v/>
      </c>
      <c r="R1941" t="str">
        <f ca="1">""&amp;IFERROR(VLOOKUP(O1941,EMAILS!B:E,4,FALSE),"NO T FOUND IN EMAILS")</f>
        <v/>
      </c>
    </row>
    <row r="1942" spans="2:18" x14ac:dyDescent="0.25">
      <c r="B1942" s="5" t="s">
        <v>1944</v>
      </c>
      <c r="C1942" s="5" t="s">
        <v>6084</v>
      </c>
      <c r="D1942" s="5">
        <v>1272</v>
      </c>
      <c r="E1942" s="5">
        <v>80</v>
      </c>
      <c r="F1942" s="5">
        <v>1272</v>
      </c>
      <c r="G1942" s="5">
        <v>1240</v>
      </c>
      <c r="H1942" s="5">
        <v>192</v>
      </c>
      <c r="I1942" s="5">
        <v>1176</v>
      </c>
      <c r="J1942" s="5">
        <v>176</v>
      </c>
      <c r="K1942" s="5">
        <v>1176</v>
      </c>
      <c r="L1942" s="5">
        <v>176</v>
      </c>
      <c r="M1942" s="5">
        <v>0</v>
      </c>
      <c r="N1942" s="5">
        <v>1500</v>
      </c>
      <c r="O1942" s="5" t="str">
        <f t="shared" ca="1" si="30"/>
        <v>Supplier 111</v>
      </c>
      <c r="P1942" s="20" t="str">
        <f ca="1">IFERROR(VLOOKUP(O1942,EMAILS!B:C,2,FALSE),"NOT FOUND IN EMAILS")</f>
        <v>supplier@gmail.com</v>
      </c>
      <c r="Q1942" t="str">
        <f ca="1">""&amp;IFERROR(VLOOKUP(O1942,EMAILS!B:D,3,FALSE),"NOT FOUND IN EMAILS")</f>
        <v/>
      </c>
      <c r="R1942" t="str">
        <f ca="1">""&amp;IFERROR(VLOOKUP(O1942,EMAILS!B:E,4,FALSE),"NO T FOUND IN EMAILS")</f>
        <v/>
      </c>
    </row>
    <row r="1943" spans="2:18" x14ac:dyDescent="0.25">
      <c r="B1943" s="5" t="s">
        <v>1945</v>
      </c>
      <c r="C1943" s="5" t="s">
        <v>6085</v>
      </c>
      <c r="D1943" s="5">
        <v>400</v>
      </c>
      <c r="E1943" s="5">
        <v>100</v>
      </c>
      <c r="F1943" s="5">
        <v>300</v>
      </c>
      <c r="G1943" s="5">
        <v>425</v>
      </c>
      <c r="H1943" s="5">
        <v>400</v>
      </c>
      <c r="I1943" s="5">
        <v>400</v>
      </c>
      <c r="J1943" s="5">
        <v>400</v>
      </c>
      <c r="K1943" s="5">
        <v>400</v>
      </c>
      <c r="L1943" s="5">
        <v>300</v>
      </c>
      <c r="M1943" s="5">
        <v>0</v>
      </c>
      <c r="N1943" s="5">
        <v>0</v>
      </c>
      <c r="O1943" s="5" t="str">
        <f t="shared" ca="1" si="30"/>
        <v>Supplier 8</v>
      </c>
      <c r="P1943" s="20" t="str">
        <f ca="1">IFERROR(VLOOKUP(O1943,EMAILS!B:C,2,FALSE),"NOT FOUND IN EMAILS")</f>
        <v>supplier@gmail.com</v>
      </c>
      <c r="Q1943" t="str">
        <f ca="1">""&amp;IFERROR(VLOOKUP(O1943,EMAILS!B:D,3,FALSE),"NOT FOUND IN EMAILS")</f>
        <v>supplier_logistics@gmail.com</v>
      </c>
      <c r="R1943" t="str">
        <f ca="1">""&amp;IFERROR(VLOOKUP(O1943,EMAILS!B:E,4,FALSE),"NO T FOUND IN EMAILS")</f>
        <v/>
      </c>
    </row>
    <row r="1944" spans="2:18" x14ac:dyDescent="0.25">
      <c r="B1944" s="5" t="s">
        <v>1946</v>
      </c>
      <c r="C1944" s="5" t="s">
        <v>6086</v>
      </c>
      <c r="D1944" s="5">
        <v>6096</v>
      </c>
      <c r="E1944" s="5">
        <v>4842</v>
      </c>
      <c r="F1944" s="5">
        <v>5616</v>
      </c>
      <c r="G1944" s="5">
        <v>5886</v>
      </c>
      <c r="H1944" s="5">
        <v>5856</v>
      </c>
      <c r="I1944" s="5">
        <v>5616</v>
      </c>
      <c r="J1944" s="5">
        <v>4560</v>
      </c>
      <c r="K1944" s="5">
        <v>6048</v>
      </c>
      <c r="L1944" s="5">
        <v>5886</v>
      </c>
      <c r="M1944" s="5">
        <v>0</v>
      </c>
      <c r="N1944" s="5">
        <v>300</v>
      </c>
      <c r="O1944" s="5" t="str">
        <f t="shared" ca="1" si="30"/>
        <v>Supplier 75</v>
      </c>
      <c r="P1944" s="20" t="str">
        <f ca="1">IFERROR(VLOOKUP(O1944,EMAILS!B:C,2,FALSE),"NOT FOUND IN EMAILS")</f>
        <v>supplier@gmail.com</v>
      </c>
      <c r="Q1944" t="str">
        <f ca="1">""&amp;IFERROR(VLOOKUP(O1944,EMAILS!B:D,3,FALSE),"NOT FOUND IN EMAILS")</f>
        <v/>
      </c>
      <c r="R1944" t="str">
        <f ca="1">""&amp;IFERROR(VLOOKUP(O1944,EMAILS!B:E,4,FALSE),"NO T FOUND IN EMAILS")</f>
        <v/>
      </c>
    </row>
    <row r="1945" spans="2:18" x14ac:dyDescent="0.25">
      <c r="B1945" s="5" t="s">
        <v>1947</v>
      </c>
      <c r="C1945" s="5" t="s">
        <v>6087</v>
      </c>
      <c r="D1945" s="5">
        <v>10</v>
      </c>
      <c r="E1945" s="5">
        <v>10</v>
      </c>
      <c r="F1945" s="5">
        <v>15</v>
      </c>
      <c r="G1945" s="5">
        <v>10</v>
      </c>
      <c r="H1945" s="5">
        <v>10</v>
      </c>
      <c r="I1945" s="5">
        <v>10</v>
      </c>
      <c r="J1945" s="5">
        <v>10</v>
      </c>
      <c r="K1945" s="5">
        <v>5</v>
      </c>
      <c r="L1945" s="5">
        <v>10</v>
      </c>
      <c r="M1945" s="5">
        <v>0</v>
      </c>
      <c r="N1945" s="5">
        <v>471</v>
      </c>
      <c r="O1945" s="5" t="str">
        <f t="shared" ca="1" si="30"/>
        <v>Supplier 94</v>
      </c>
      <c r="P1945" s="20" t="str">
        <f ca="1">IFERROR(VLOOKUP(O1945,EMAILS!B:C,2,FALSE),"NOT FOUND IN EMAILS")</f>
        <v>supplier@gmail.com</v>
      </c>
      <c r="Q1945" t="str">
        <f ca="1">""&amp;IFERROR(VLOOKUP(O1945,EMAILS!B:D,3,FALSE),"NOT FOUND IN EMAILS")</f>
        <v/>
      </c>
      <c r="R1945" t="str">
        <f ca="1">""&amp;IFERROR(VLOOKUP(O1945,EMAILS!B:E,4,FALSE),"NO T FOUND IN EMAILS")</f>
        <v/>
      </c>
    </row>
    <row r="1946" spans="2:18" x14ac:dyDescent="0.25">
      <c r="B1946" s="5" t="s">
        <v>1948</v>
      </c>
      <c r="C1946" s="5" t="s">
        <v>6088</v>
      </c>
      <c r="D1946" s="5">
        <v>10</v>
      </c>
      <c r="E1946" s="5">
        <v>0</v>
      </c>
      <c r="F1946" s="5">
        <v>10</v>
      </c>
      <c r="G1946" s="5">
        <v>10</v>
      </c>
      <c r="H1946" s="5">
        <v>0</v>
      </c>
      <c r="I1946" s="5">
        <v>0</v>
      </c>
      <c r="J1946" s="5">
        <v>0</v>
      </c>
      <c r="K1946" s="5">
        <v>0</v>
      </c>
      <c r="L1946" s="5">
        <v>0</v>
      </c>
      <c r="M1946" s="5">
        <v>0</v>
      </c>
      <c r="N1946" s="5">
        <v>864</v>
      </c>
      <c r="O1946" s="5" t="str">
        <f t="shared" ca="1" si="30"/>
        <v>Supplier 77</v>
      </c>
      <c r="P1946" s="20" t="str">
        <f ca="1">IFERROR(VLOOKUP(O1946,EMAILS!B:C,2,FALSE),"NOT FOUND IN EMAILS")</f>
        <v>supplier@gmail.com</v>
      </c>
      <c r="Q1946" t="str">
        <f ca="1">""&amp;IFERROR(VLOOKUP(O1946,EMAILS!B:D,3,FALSE),"NOT FOUND IN EMAILS")</f>
        <v/>
      </c>
      <c r="R1946" t="str">
        <f ca="1">""&amp;IFERROR(VLOOKUP(O1946,EMAILS!B:E,4,FALSE),"NO T FOUND IN EMAILS")</f>
        <v/>
      </c>
    </row>
    <row r="1947" spans="2:18" x14ac:dyDescent="0.25">
      <c r="B1947" s="5" t="s">
        <v>1949</v>
      </c>
      <c r="C1947" s="5" t="s">
        <v>6089</v>
      </c>
      <c r="D1947" s="5">
        <v>152</v>
      </c>
      <c r="E1947" s="5">
        <v>226</v>
      </c>
      <c r="F1947" s="5">
        <v>240</v>
      </c>
      <c r="G1947" s="5">
        <v>136</v>
      </c>
      <c r="H1947" s="5">
        <v>218</v>
      </c>
      <c r="I1947" s="5">
        <v>116</v>
      </c>
      <c r="J1947" s="5">
        <v>144</v>
      </c>
      <c r="K1947" s="5">
        <v>110</v>
      </c>
      <c r="L1947" s="5">
        <v>200</v>
      </c>
      <c r="M1947" s="5">
        <v>0</v>
      </c>
      <c r="N1947" s="5">
        <v>1053</v>
      </c>
      <c r="O1947" s="5" t="str">
        <f t="shared" ca="1" si="30"/>
        <v>Supplier 147</v>
      </c>
      <c r="P1947" s="20" t="str">
        <f ca="1">IFERROR(VLOOKUP(O1947,EMAILS!B:C,2,FALSE),"NOT FOUND IN EMAILS")</f>
        <v>supplier@gmail.com</v>
      </c>
      <c r="Q1947" t="str">
        <f ca="1">""&amp;IFERROR(VLOOKUP(O1947,EMAILS!B:D,3,FALSE),"NOT FOUND IN EMAILS")</f>
        <v/>
      </c>
      <c r="R1947" t="str">
        <f ca="1">""&amp;IFERROR(VLOOKUP(O1947,EMAILS!B:E,4,FALSE),"NO T FOUND IN EMAILS")</f>
        <v/>
      </c>
    </row>
    <row r="1948" spans="2:18" x14ac:dyDescent="0.25">
      <c r="B1948" s="5" t="s">
        <v>1950</v>
      </c>
      <c r="C1948" s="5" t="s">
        <v>6090</v>
      </c>
      <c r="D1948" s="5">
        <v>0</v>
      </c>
      <c r="E1948" s="5">
        <v>0</v>
      </c>
      <c r="F1948" s="5">
        <v>0</v>
      </c>
      <c r="G1948" s="5">
        <v>0</v>
      </c>
      <c r="H1948" s="5">
        <v>0</v>
      </c>
      <c r="I1948" s="5">
        <v>0</v>
      </c>
      <c r="J1948" s="5">
        <v>0</v>
      </c>
      <c r="K1948" s="5">
        <v>0</v>
      </c>
      <c r="L1948" s="5">
        <v>0</v>
      </c>
      <c r="M1948" s="5">
        <v>0</v>
      </c>
      <c r="N1948" s="5">
        <v>0</v>
      </c>
      <c r="O1948" s="5" t="str">
        <f t="shared" ca="1" si="30"/>
        <v>Supplier 70</v>
      </c>
      <c r="P1948" s="20" t="str">
        <f ca="1">IFERROR(VLOOKUP(O1948,EMAILS!B:C,2,FALSE),"NOT FOUND IN EMAILS")</f>
        <v>supplier@gmail.com</v>
      </c>
      <c r="Q1948" t="str">
        <f ca="1">""&amp;IFERROR(VLOOKUP(O1948,EMAILS!B:D,3,FALSE),"NOT FOUND IN EMAILS")</f>
        <v/>
      </c>
      <c r="R1948" t="str">
        <f ca="1">""&amp;IFERROR(VLOOKUP(O1948,EMAILS!B:E,4,FALSE),"NO T FOUND IN EMAILS")</f>
        <v/>
      </c>
    </row>
    <row r="1949" spans="2:18" x14ac:dyDescent="0.25">
      <c r="B1949" s="5" t="s">
        <v>1951</v>
      </c>
      <c r="C1949" s="5" t="s">
        <v>6091</v>
      </c>
      <c r="D1949" s="5">
        <v>10296</v>
      </c>
      <c r="E1949" s="5">
        <v>8208</v>
      </c>
      <c r="F1949" s="5">
        <v>10980</v>
      </c>
      <c r="G1949" s="5">
        <v>9965</v>
      </c>
      <c r="H1949" s="5">
        <v>8056</v>
      </c>
      <c r="I1949" s="5">
        <v>10102</v>
      </c>
      <c r="J1949" s="5">
        <v>5341</v>
      </c>
      <c r="K1949" s="5">
        <v>4780</v>
      </c>
      <c r="L1949" s="5">
        <v>6249</v>
      </c>
      <c r="M1949" s="5">
        <v>0</v>
      </c>
      <c r="N1949" s="5">
        <v>21</v>
      </c>
      <c r="O1949" s="5" t="str">
        <f t="shared" ca="1" si="30"/>
        <v>Supplier 48</v>
      </c>
      <c r="P1949" s="20" t="str">
        <f ca="1">IFERROR(VLOOKUP(O1949,EMAILS!B:C,2,FALSE),"NOT FOUND IN EMAILS")</f>
        <v>supplier@gmail.com</v>
      </c>
      <c r="Q1949" t="str">
        <f ca="1">""&amp;IFERROR(VLOOKUP(O1949,EMAILS!B:D,3,FALSE),"NOT FOUND IN EMAILS")</f>
        <v/>
      </c>
      <c r="R1949" t="str">
        <f ca="1">""&amp;IFERROR(VLOOKUP(O1949,EMAILS!B:E,4,FALSE),"NO T FOUND IN EMAILS")</f>
        <v/>
      </c>
    </row>
    <row r="1950" spans="2:18" x14ac:dyDescent="0.25">
      <c r="B1950" s="5" t="s">
        <v>1952</v>
      </c>
      <c r="C1950" s="5" t="s">
        <v>6092</v>
      </c>
      <c r="D1950" s="5">
        <v>0</v>
      </c>
      <c r="E1950" s="5">
        <v>0</v>
      </c>
      <c r="F1950" s="5">
        <v>0</v>
      </c>
      <c r="G1950" s="5">
        <v>0</v>
      </c>
      <c r="H1950" s="5">
        <v>0</v>
      </c>
      <c r="I1950" s="5">
        <v>0</v>
      </c>
      <c r="J1950" s="5">
        <v>0</v>
      </c>
      <c r="K1950" s="5">
        <v>10</v>
      </c>
      <c r="L1950" s="5">
        <v>0</v>
      </c>
      <c r="M1950" s="5">
        <v>0</v>
      </c>
      <c r="N1950" s="5">
        <v>500</v>
      </c>
      <c r="O1950" s="5" t="str">
        <f t="shared" ca="1" si="30"/>
        <v>Supplier 28</v>
      </c>
      <c r="P1950" s="20" t="str">
        <f ca="1">IFERROR(VLOOKUP(O1950,EMAILS!B:C,2,FALSE),"NOT FOUND IN EMAILS")</f>
        <v>supplier@gmail.com</v>
      </c>
      <c r="Q1950" t="str">
        <f ca="1">""&amp;IFERROR(VLOOKUP(O1950,EMAILS!B:D,3,FALSE),"NOT FOUND IN EMAILS")</f>
        <v/>
      </c>
      <c r="R1950" t="str">
        <f ca="1">""&amp;IFERROR(VLOOKUP(O1950,EMAILS!B:E,4,FALSE),"NO T FOUND IN EMAILS")</f>
        <v/>
      </c>
    </row>
    <row r="1951" spans="2:18" x14ac:dyDescent="0.25">
      <c r="B1951" s="5" t="s">
        <v>1953</v>
      </c>
      <c r="C1951" s="5" t="s">
        <v>6093</v>
      </c>
      <c r="D1951" s="5">
        <v>560</v>
      </c>
      <c r="E1951" s="5">
        <v>160</v>
      </c>
      <c r="F1951" s="5">
        <v>1168</v>
      </c>
      <c r="G1951" s="5">
        <v>1592</v>
      </c>
      <c r="H1951" s="5">
        <v>1512</v>
      </c>
      <c r="I1951" s="5">
        <v>280</v>
      </c>
      <c r="J1951" s="5">
        <v>320</v>
      </c>
      <c r="K1951" s="5">
        <v>80</v>
      </c>
      <c r="L1951" s="5">
        <v>440</v>
      </c>
      <c r="M1951" s="5">
        <v>0</v>
      </c>
      <c r="N1951" s="5">
        <v>4500</v>
      </c>
      <c r="O1951" s="5" t="str">
        <f t="shared" ca="1" si="30"/>
        <v>Supplier 152</v>
      </c>
      <c r="P1951" s="20" t="str">
        <f ca="1">IFERROR(VLOOKUP(O1951,EMAILS!B:C,2,FALSE),"NOT FOUND IN EMAILS")</f>
        <v>supplier@gmail.com</v>
      </c>
      <c r="Q1951" t="str">
        <f ca="1">""&amp;IFERROR(VLOOKUP(O1951,EMAILS!B:D,3,FALSE),"NOT FOUND IN EMAILS")</f>
        <v/>
      </c>
      <c r="R1951" t="str">
        <f ca="1">""&amp;IFERROR(VLOOKUP(O1951,EMAILS!B:E,4,FALSE),"NO T FOUND IN EMAILS")</f>
        <v/>
      </c>
    </row>
    <row r="1952" spans="2:18" x14ac:dyDescent="0.25">
      <c r="B1952" s="5" t="s">
        <v>1954</v>
      </c>
      <c r="C1952" s="5" t="s">
        <v>6094</v>
      </c>
      <c r="D1952" s="5">
        <v>540</v>
      </c>
      <c r="E1952" s="5">
        <v>220</v>
      </c>
      <c r="F1952" s="5">
        <v>512</v>
      </c>
      <c r="G1952" s="5">
        <v>520</v>
      </c>
      <c r="H1952" s="5">
        <v>6488</v>
      </c>
      <c r="I1952" s="5">
        <v>4916</v>
      </c>
      <c r="J1952" s="5">
        <v>320</v>
      </c>
      <c r="K1952" s="5">
        <v>160</v>
      </c>
      <c r="L1952" s="5">
        <v>440</v>
      </c>
      <c r="M1952" s="5">
        <v>0</v>
      </c>
      <c r="N1952" s="5">
        <v>6000</v>
      </c>
      <c r="O1952" s="5" t="str">
        <f t="shared" ca="1" si="30"/>
        <v>Supplier 7</v>
      </c>
      <c r="P1952" s="20" t="str">
        <f ca="1">IFERROR(VLOOKUP(O1952,EMAILS!B:C,2,FALSE),"NOT FOUND IN EMAILS")</f>
        <v>supplier@gmail.com</v>
      </c>
      <c r="Q1952" t="str">
        <f ca="1">""&amp;IFERROR(VLOOKUP(O1952,EMAILS!B:D,3,FALSE),"NOT FOUND IN EMAILS")</f>
        <v>supplier_logistics@gmail.com</v>
      </c>
      <c r="R1952" t="str">
        <f ca="1">""&amp;IFERROR(VLOOKUP(O1952,EMAILS!B:E,4,FALSE),"NO T FOUND IN EMAILS")</f>
        <v/>
      </c>
    </row>
    <row r="1953" spans="2:18" x14ac:dyDescent="0.25">
      <c r="B1953" s="5" t="s">
        <v>1955</v>
      </c>
      <c r="C1953" s="5" t="s">
        <v>6095</v>
      </c>
      <c r="D1953" s="5">
        <v>540</v>
      </c>
      <c r="E1953" s="5">
        <v>220</v>
      </c>
      <c r="F1953" s="5">
        <v>512</v>
      </c>
      <c r="G1953" s="5">
        <v>520</v>
      </c>
      <c r="H1953" s="5">
        <v>6488</v>
      </c>
      <c r="I1953" s="5">
        <v>4916</v>
      </c>
      <c r="J1953" s="5">
        <v>320</v>
      </c>
      <c r="K1953" s="5">
        <v>160</v>
      </c>
      <c r="L1953" s="5">
        <v>440</v>
      </c>
      <c r="M1953" s="5">
        <v>0</v>
      </c>
      <c r="N1953" s="5">
        <v>5400</v>
      </c>
      <c r="O1953" s="5" t="str">
        <f t="shared" ca="1" si="30"/>
        <v>Supplier 78</v>
      </c>
      <c r="P1953" s="20" t="str">
        <f ca="1">IFERROR(VLOOKUP(O1953,EMAILS!B:C,2,FALSE),"NOT FOUND IN EMAILS")</f>
        <v>supplier@gmail.com</v>
      </c>
      <c r="Q1953" t="str">
        <f ca="1">""&amp;IFERROR(VLOOKUP(O1953,EMAILS!B:D,3,FALSE),"NOT FOUND IN EMAILS")</f>
        <v/>
      </c>
      <c r="R1953" t="str">
        <f ca="1">""&amp;IFERROR(VLOOKUP(O1953,EMAILS!B:E,4,FALSE),"NO T FOUND IN EMAILS")</f>
        <v/>
      </c>
    </row>
    <row r="1954" spans="2:18" x14ac:dyDescent="0.25">
      <c r="B1954" s="5" t="s">
        <v>1956</v>
      </c>
      <c r="C1954" s="5" t="s">
        <v>6096</v>
      </c>
      <c r="D1954" s="5">
        <v>540</v>
      </c>
      <c r="E1954" s="5">
        <v>220</v>
      </c>
      <c r="F1954" s="5">
        <v>512</v>
      </c>
      <c r="G1954" s="5">
        <v>520</v>
      </c>
      <c r="H1954" s="5">
        <v>6488</v>
      </c>
      <c r="I1954" s="5">
        <v>4916</v>
      </c>
      <c r="J1954" s="5">
        <v>320</v>
      </c>
      <c r="K1954" s="5">
        <v>160</v>
      </c>
      <c r="L1954" s="5">
        <v>440</v>
      </c>
      <c r="M1954" s="5">
        <v>0</v>
      </c>
      <c r="N1954" s="5">
        <v>0</v>
      </c>
      <c r="O1954" s="5" t="str">
        <f t="shared" ca="1" si="30"/>
        <v>Supplier 82</v>
      </c>
      <c r="P1954" s="20" t="str">
        <f ca="1">IFERROR(VLOOKUP(O1954,EMAILS!B:C,2,FALSE),"NOT FOUND IN EMAILS")</f>
        <v>supplier@gmail.com</v>
      </c>
      <c r="Q1954" t="str">
        <f ca="1">""&amp;IFERROR(VLOOKUP(O1954,EMAILS!B:D,3,FALSE),"NOT FOUND IN EMAILS")</f>
        <v/>
      </c>
      <c r="R1954" t="str">
        <f ca="1">""&amp;IFERROR(VLOOKUP(O1954,EMAILS!B:E,4,FALSE),"NO T FOUND IN EMAILS")</f>
        <v/>
      </c>
    </row>
    <row r="1955" spans="2:18" x14ac:dyDescent="0.25">
      <c r="B1955" s="5" t="s">
        <v>1957</v>
      </c>
      <c r="C1955" s="5" t="s">
        <v>6097</v>
      </c>
      <c r="D1955" s="5">
        <v>576</v>
      </c>
      <c r="E1955" s="5">
        <v>560</v>
      </c>
      <c r="F1955" s="5">
        <v>612</v>
      </c>
      <c r="G1955" s="5">
        <v>484</v>
      </c>
      <c r="H1955" s="5">
        <v>480</v>
      </c>
      <c r="I1955" s="5">
        <v>490</v>
      </c>
      <c r="J1955" s="5">
        <v>296</v>
      </c>
      <c r="K1955" s="5">
        <v>256</v>
      </c>
      <c r="L1955" s="5">
        <v>324</v>
      </c>
      <c r="M1955" s="5">
        <v>0</v>
      </c>
      <c r="N1955" s="5">
        <v>500</v>
      </c>
      <c r="O1955" s="5" t="str">
        <f t="shared" ca="1" si="30"/>
        <v>Supplier 46</v>
      </c>
      <c r="P1955" s="20" t="str">
        <f ca="1">IFERROR(VLOOKUP(O1955,EMAILS!B:C,2,FALSE),"NOT FOUND IN EMAILS")</f>
        <v>supplier@gmail.com</v>
      </c>
      <c r="Q1955" t="str">
        <f ca="1">""&amp;IFERROR(VLOOKUP(O1955,EMAILS!B:D,3,FALSE),"NOT FOUND IN EMAILS")</f>
        <v/>
      </c>
      <c r="R1955" t="str">
        <f ca="1">""&amp;IFERROR(VLOOKUP(O1955,EMAILS!B:E,4,FALSE),"NO T FOUND IN EMAILS")</f>
        <v/>
      </c>
    </row>
    <row r="1956" spans="2:18" x14ac:dyDescent="0.25">
      <c r="B1956" s="5" t="s">
        <v>1958</v>
      </c>
      <c r="C1956" s="5" t="s">
        <v>6098</v>
      </c>
      <c r="D1956" s="5">
        <v>424</v>
      </c>
      <c r="E1956" s="5">
        <v>224</v>
      </c>
      <c r="F1956" s="5">
        <v>428</v>
      </c>
      <c r="G1956" s="5">
        <v>462</v>
      </c>
      <c r="H1956" s="5">
        <v>296</v>
      </c>
      <c r="I1956" s="5">
        <v>452</v>
      </c>
      <c r="J1956" s="5">
        <v>200</v>
      </c>
      <c r="K1956" s="5">
        <v>200</v>
      </c>
      <c r="L1956" s="5">
        <v>252</v>
      </c>
      <c r="M1956" s="5">
        <v>0</v>
      </c>
      <c r="N1956" s="5">
        <v>0</v>
      </c>
      <c r="O1956" s="5" t="str">
        <f t="shared" ca="1" si="30"/>
        <v>Supplier 77</v>
      </c>
      <c r="P1956" s="20" t="str">
        <f ca="1">IFERROR(VLOOKUP(O1956,EMAILS!B:C,2,FALSE),"NOT FOUND IN EMAILS")</f>
        <v>supplier@gmail.com</v>
      </c>
      <c r="Q1956" t="str">
        <f ca="1">""&amp;IFERROR(VLOOKUP(O1956,EMAILS!B:D,3,FALSE),"NOT FOUND IN EMAILS")</f>
        <v/>
      </c>
      <c r="R1956" t="str">
        <f ca="1">""&amp;IFERROR(VLOOKUP(O1956,EMAILS!B:E,4,FALSE),"NO T FOUND IN EMAILS")</f>
        <v/>
      </c>
    </row>
    <row r="1957" spans="2:18" x14ac:dyDescent="0.25">
      <c r="B1957" s="5" t="s">
        <v>1959</v>
      </c>
      <c r="C1957" s="5" t="s">
        <v>6099</v>
      </c>
      <c r="D1957" s="5">
        <v>0</v>
      </c>
      <c r="E1957" s="5">
        <v>0</v>
      </c>
      <c r="F1957" s="5">
        <v>0</v>
      </c>
      <c r="G1957" s="5">
        <v>0</v>
      </c>
      <c r="H1957" s="5">
        <v>0</v>
      </c>
      <c r="I1957" s="5">
        <v>0</v>
      </c>
      <c r="J1957" s="5">
        <v>0</v>
      </c>
      <c r="K1957" s="5">
        <v>0</v>
      </c>
      <c r="L1957" s="5">
        <v>0</v>
      </c>
      <c r="M1957" s="5">
        <v>0</v>
      </c>
      <c r="N1957" s="5">
        <v>450</v>
      </c>
      <c r="O1957" s="5" t="str">
        <f t="shared" ca="1" si="30"/>
        <v>Supplier 28</v>
      </c>
      <c r="P1957" s="20" t="str">
        <f ca="1">IFERROR(VLOOKUP(O1957,EMAILS!B:C,2,FALSE),"NOT FOUND IN EMAILS")</f>
        <v>supplier@gmail.com</v>
      </c>
      <c r="Q1957" t="str">
        <f ca="1">""&amp;IFERROR(VLOOKUP(O1957,EMAILS!B:D,3,FALSE),"NOT FOUND IN EMAILS")</f>
        <v/>
      </c>
      <c r="R1957" t="str">
        <f ca="1">""&amp;IFERROR(VLOOKUP(O1957,EMAILS!B:E,4,FALSE),"NO T FOUND IN EMAILS")</f>
        <v/>
      </c>
    </row>
    <row r="1958" spans="2:18" x14ac:dyDescent="0.25">
      <c r="B1958" s="5" t="s">
        <v>1960</v>
      </c>
      <c r="C1958" s="5" t="s">
        <v>6100</v>
      </c>
      <c r="D1958" s="5">
        <v>8</v>
      </c>
      <c r="E1958" s="5">
        <v>16</v>
      </c>
      <c r="F1958" s="5">
        <v>16</v>
      </c>
      <c r="G1958" s="5">
        <v>16</v>
      </c>
      <c r="H1958" s="5">
        <v>8</v>
      </c>
      <c r="I1958" s="5">
        <v>16</v>
      </c>
      <c r="J1958" s="5">
        <v>8</v>
      </c>
      <c r="K1958" s="5">
        <v>12</v>
      </c>
      <c r="L1958" s="5">
        <v>16</v>
      </c>
      <c r="M1958" s="5">
        <v>0</v>
      </c>
      <c r="N1958" s="5">
        <v>0</v>
      </c>
      <c r="O1958" s="5" t="str">
        <f t="shared" ca="1" si="30"/>
        <v>Supplier 63</v>
      </c>
      <c r="P1958" s="20" t="str">
        <f ca="1">IFERROR(VLOOKUP(O1958,EMAILS!B:C,2,FALSE),"NOT FOUND IN EMAILS")</f>
        <v>supplier@gmail.com</v>
      </c>
      <c r="Q1958" t="str">
        <f ca="1">""&amp;IFERROR(VLOOKUP(O1958,EMAILS!B:D,3,FALSE),"NOT FOUND IN EMAILS")</f>
        <v/>
      </c>
      <c r="R1958" t="str">
        <f ca="1">""&amp;IFERROR(VLOOKUP(O1958,EMAILS!B:E,4,FALSE),"NO T FOUND IN EMAILS")</f>
        <v/>
      </c>
    </row>
    <row r="1959" spans="2:18" x14ac:dyDescent="0.25">
      <c r="B1959" s="5" t="s">
        <v>1961</v>
      </c>
      <c r="C1959" s="5" t="s">
        <v>6101</v>
      </c>
      <c r="D1959" s="5">
        <v>32</v>
      </c>
      <c r="E1959" s="5">
        <v>48</v>
      </c>
      <c r="F1959" s="5">
        <v>52</v>
      </c>
      <c r="G1959" s="5">
        <v>49</v>
      </c>
      <c r="H1959" s="5">
        <v>32</v>
      </c>
      <c r="I1959" s="5">
        <v>70</v>
      </c>
      <c r="J1959" s="5">
        <v>49</v>
      </c>
      <c r="K1959" s="5">
        <v>32</v>
      </c>
      <c r="L1959" s="5">
        <v>53</v>
      </c>
      <c r="M1959" s="5">
        <v>0</v>
      </c>
      <c r="N1959" s="5">
        <v>0</v>
      </c>
      <c r="O1959" s="5" t="str">
        <f t="shared" ca="1" si="30"/>
        <v>Supplier 199</v>
      </c>
      <c r="P1959" s="20" t="str">
        <f ca="1">IFERROR(VLOOKUP(O1959,EMAILS!B:C,2,FALSE),"NOT FOUND IN EMAILS")</f>
        <v>supplier@gmail.com</v>
      </c>
      <c r="Q1959" t="str">
        <f ca="1">""&amp;IFERROR(VLOOKUP(O1959,EMAILS!B:D,3,FALSE),"NOT FOUND IN EMAILS")</f>
        <v/>
      </c>
      <c r="R1959" t="str">
        <f ca="1">""&amp;IFERROR(VLOOKUP(O1959,EMAILS!B:E,4,FALSE),"NO T FOUND IN EMAILS")</f>
        <v/>
      </c>
    </row>
    <row r="1960" spans="2:18" x14ac:dyDescent="0.25">
      <c r="B1960" s="5" t="s">
        <v>1962</v>
      </c>
      <c r="C1960" s="5" t="s">
        <v>6102</v>
      </c>
      <c r="D1960" s="5">
        <v>20</v>
      </c>
      <c r="E1960" s="5">
        <v>40</v>
      </c>
      <c r="F1960" s="5">
        <v>40</v>
      </c>
      <c r="G1960" s="5">
        <v>20</v>
      </c>
      <c r="H1960" s="5">
        <v>40</v>
      </c>
      <c r="I1960" s="5">
        <v>20</v>
      </c>
      <c r="J1960" s="5">
        <v>20</v>
      </c>
      <c r="K1960" s="5">
        <v>20</v>
      </c>
      <c r="L1960" s="5">
        <v>40</v>
      </c>
      <c r="M1960" s="5">
        <v>0</v>
      </c>
      <c r="N1960" s="5">
        <v>100</v>
      </c>
      <c r="O1960" s="5" t="str">
        <f t="shared" ca="1" si="30"/>
        <v>Supplier 131</v>
      </c>
      <c r="P1960" s="20" t="str">
        <f ca="1">IFERROR(VLOOKUP(O1960,EMAILS!B:C,2,FALSE),"NOT FOUND IN EMAILS")</f>
        <v>supplier@gmail.com</v>
      </c>
      <c r="Q1960" t="str">
        <f ca="1">""&amp;IFERROR(VLOOKUP(O1960,EMAILS!B:D,3,FALSE),"NOT FOUND IN EMAILS")</f>
        <v/>
      </c>
      <c r="R1960" t="str">
        <f ca="1">""&amp;IFERROR(VLOOKUP(O1960,EMAILS!B:E,4,FALSE),"NO T FOUND IN EMAILS")</f>
        <v/>
      </c>
    </row>
    <row r="1961" spans="2:18" x14ac:dyDescent="0.25">
      <c r="B1961" s="5" t="s">
        <v>1963</v>
      </c>
      <c r="C1961" s="5" t="s">
        <v>6103</v>
      </c>
      <c r="D1961" s="5">
        <v>20</v>
      </c>
      <c r="E1961" s="5">
        <v>40</v>
      </c>
      <c r="F1961" s="5">
        <v>40</v>
      </c>
      <c r="G1961" s="5">
        <v>20</v>
      </c>
      <c r="H1961" s="5">
        <v>40</v>
      </c>
      <c r="I1961" s="5">
        <v>20</v>
      </c>
      <c r="J1961" s="5">
        <v>20</v>
      </c>
      <c r="K1961" s="5">
        <v>20</v>
      </c>
      <c r="L1961" s="5">
        <v>40</v>
      </c>
      <c r="M1961" s="5">
        <v>0</v>
      </c>
      <c r="N1961" s="5">
        <v>96</v>
      </c>
      <c r="O1961" s="5" t="str">
        <f t="shared" ca="1" si="30"/>
        <v>Supplier 110</v>
      </c>
      <c r="P1961" s="20" t="str">
        <f ca="1">IFERROR(VLOOKUP(O1961,EMAILS!B:C,2,FALSE),"NOT FOUND IN EMAILS")</f>
        <v>supplier@gmail.com</v>
      </c>
      <c r="Q1961" t="str">
        <f ca="1">""&amp;IFERROR(VLOOKUP(O1961,EMAILS!B:D,3,FALSE),"NOT FOUND IN EMAILS")</f>
        <v/>
      </c>
      <c r="R1961" t="str">
        <f ca="1">""&amp;IFERROR(VLOOKUP(O1961,EMAILS!B:E,4,FALSE),"NO T FOUND IN EMAILS")</f>
        <v/>
      </c>
    </row>
    <row r="1962" spans="2:18" x14ac:dyDescent="0.25">
      <c r="B1962" s="5" t="s">
        <v>1964</v>
      </c>
      <c r="C1962" s="5" t="s">
        <v>6104</v>
      </c>
      <c r="D1962" s="5">
        <v>0</v>
      </c>
      <c r="E1962" s="5">
        <v>0</v>
      </c>
      <c r="F1962" s="5">
        <v>0</v>
      </c>
      <c r="G1962" s="5">
        <v>0</v>
      </c>
      <c r="H1962" s="5">
        <v>0</v>
      </c>
      <c r="I1962" s="5">
        <v>0</v>
      </c>
      <c r="J1962" s="5">
        <v>0</v>
      </c>
      <c r="K1962" s="5">
        <v>0</v>
      </c>
      <c r="L1962" s="5">
        <v>0</v>
      </c>
      <c r="M1962" s="5">
        <v>0</v>
      </c>
      <c r="N1962" s="5">
        <v>940</v>
      </c>
      <c r="O1962" s="5" t="str">
        <f t="shared" ca="1" si="30"/>
        <v>Supplier 195</v>
      </c>
      <c r="P1962" s="20" t="str">
        <f ca="1">IFERROR(VLOOKUP(O1962,EMAILS!B:C,2,FALSE),"NOT FOUND IN EMAILS")</f>
        <v>supplier@gmail.com</v>
      </c>
      <c r="Q1962" t="str">
        <f ca="1">""&amp;IFERROR(VLOOKUP(O1962,EMAILS!B:D,3,FALSE),"NOT FOUND IN EMAILS")</f>
        <v/>
      </c>
      <c r="R1962" t="str">
        <f ca="1">""&amp;IFERROR(VLOOKUP(O1962,EMAILS!B:E,4,FALSE),"NO T FOUND IN EMAILS")</f>
        <v/>
      </c>
    </row>
    <row r="1963" spans="2:18" x14ac:dyDescent="0.25">
      <c r="B1963" s="5" t="s">
        <v>1965</v>
      </c>
      <c r="C1963" s="5" t="s">
        <v>6105</v>
      </c>
      <c r="D1963" s="5">
        <v>0</v>
      </c>
      <c r="E1963" s="5">
        <v>0</v>
      </c>
      <c r="F1963" s="5">
        <v>0</v>
      </c>
      <c r="G1963" s="5">
        <v>10</v>
      </c>
      <c r="H1963" s="5">
        <v>0</v>
      </c>
      <c r="I1963" s="5">
        <v>0</v>
      </c>
      <c r="J1963" s="5">
        <v>0</v>
      </c>
      <c r="K1963" s="5">
        <v>0</v>
      </c>
      <c r="L1963" s="5">
        <v>0</v>
      </c>
      <c r="M1963" s="5">
        <v>0</v>
      </c>
      <c r="N1963" s="5">
        <v>225</v>
      </c>
      <c r="O1963" s="5" t="str">
        <f t="shared" ca="1" si="30"/>
        <v>Supplier 117</v>
      </c>
      <c r="P1963" s="20" t="str">
        <f ca="1">IFERROR(VLOOKUP(O1963,EMAILS!B:C,2,FALSE),"NOT FOUND IN EMAILS")</f>
        <v>supplier@gmail.com</v>
      </c>
      <c r="Q1963" t="str">
        <f ca="1">""&amp;IFERROR(VLOOKUP(O1963,EMAILS!B:D,3,FALSE),"NOT FOUND IN EMAILS")</f>
        <v/>
      </c>
      <c r="R1963" t="str">
        <f ca="1">""&amp;IFERROR(VLOOKUP(O1963,EMAILS!B:E,4,FALSE),"NO T FOUND IN EMAILS")</f>
        <v/>
      </c>
    </row>
    <row r="1964" spans="2:18" x14ac:dyDescent="0.25">
      <c r="B1964" s="5" t="s">
        <v>1966</v>
      </c>
      <c r="C1964" s="5" t="s">
        <v>6106</v>
      </c>
      <c r="D1964" s="5">
        <v>0</v>
      </c>
      <c r="E1964" s="5">
        <v>0</v>
      </c>
      <c r="F1964" s="5">
        <v>72</v>
      </c>
      <c r="G1964" s="5">
        <v>72</v>
      </c>
      <c r="H1964" s="5">
        <v>0</v>
      </c>
      <c r="I1964" s="5">
        <v>78</v>
      </c>
      <c r="J1964" s="5">
        <v>0</v>
      </c>
      <c r="K1964" s="5">
        <v>0</v>
      </c>
      <c r="L1964" s="5">
        <v>72</v>
      </c>
      <c r="M1964" s="5">
        <v>0</v>
      </c>
      <c r="N1964" s="5">
        <v>0</v>
      </c>
      <c r="O1964" s="5" t="str">
        <f t="shared" ca="1" si="30"/>
        <v>Supplier 175</v>
      </c>
      <c r="P1964" s="20" t="str">
        <f ca="1">IFERROR(VLOOKUP(O1964,EMAILS!B:C,2,FALSE),"NOT FOUND IN EMAILS")</f>
        <v>supplier@gmail.com</v>
      </c>
      <c r="Q1964" t="str">
        <f ca="1">""&amp;IFERROR(VLOOKUP(O1964,EMAILS!B:D,3,FALSE),"NOT FOUND IN EMAILS")</f>
        <v/>
      </c>
      <c r="R1964" t="str">
        <f ca="1">""&amp;IFERROR(VLOOKUP(O1964,EMAILS!B:E,4,FALSE),"NO T FOUND IN EMAILS")</f>
        <v/>
      </c>
    </row>
    <row r="1965" spans="2:18" x14ac:dyDescent="0.25">
      <c r="B1965" s="5" t="s">
        <v>1967</v>
      </c>
      <c r="C1965" s="5" t="s">
        <v>6107</v>
      </c>
      <c r="D1965" s="5">
        <v>90</v>
      </c>
      <c r="E1965" s="5">
        <v>95</v>
      </c>
      <c r="F1965" s="5">
        <v>105</v>
      </c>
      <c r="G1965" s="5">
        <v>95</v>
      </c>
      <c r="H1965" s="5">
        <v>90</v>
      </c>
      <c r="I1965" s="5">
        <v>95</v>
      </c>
      <c r="J1965" s="5">
        <v>95</v>
      </c>
      <c r="K1965" s="5">
        <v>80</v>
      </c>
      <c r="L1965" s="5">
        <v>95</v>
      </c>
      <c r="M1965" s="5">
        <v>0</v>
      </c>
      <c r="N1965" s="5">
        <v>0</v>
      </c>
      <c r="O1965" s="5" t="str">
        <f t="shared" ca="1" si="30"/>
        <v>Supplier 185</v>
      </c>
      <c r="P1965" s="20" t="str">
        <f ca="1">IFERROR(VLOOKUP(O1965,EMAILS!B:C,2,FALSE),"NOT FOUND IN EMAILS")</f>
        <v>supplier@gmail.com</v>
      </c>
      <c r="Q1965" t="str">
        <f ca="1">""&amp;IFERROR(VLOOKUP(O1965,EMAILS!B:D,3,FALSE),"NOT FOUND IN EMAILS")</f>
        <v/>
      </c>
      <c r="R1965" t="str">
        <f ca="1">""&amp;IFERROR(VLOOKUP(O1965,EMAILS!B:E,4,FALSE),"NO T FOUND IN EMAILS")</f>
        <v/>
      </c>
    </row>
    <row r="1966" spans="2:18" x14ac:dyDescent="0.25">
      <c r="B1966" s="5" t="s">
        <v>1968</v>
      </c>
      <c r="C1966" s="5" t="s">
        <v>6108</v>
      </c>
      <c r="D1966" s="5">
        <v>1000</v>
      </c>
      <c r="E1966" s="5">
        <v>784</v>
      </c>
      <c r="F1966" s="5">
        <v>968</v>
      </c>
      <c r="G1966" s="5">
        <v>874</v>
      </c>
      <c r="H1966" s="5">
        <v>776</v>
      </c>
      <c r="I1966" s="5">
        <v>864</v>
      </c>
      <c r="J1966" s="5">
        <v>496</v>
      </c>
      <c r="K1966" s="5">
        <v>456</v>
      </c>
      <c r="L1966" s="5">
        <v>504</v>
      </c>
      <c r="M1966" s="5">
        <v>0</v>
      </c>
      <c r="N1966" s="5">
        <v>544</v>
      </c>
      <c r="O1966" s="5" t="str">
        <f t="shared" ca="1" si="30"/>
        <v>Supplier 200</v>
      </c>
      <c r="P1966" s="20" t="str">
        <f ca="1">IFERROR(VLOOKUP(O1966,EMAILS!B:C,2,FALSE),"NOT FOUND IN EMAILS")</f>
        <v>supplier@gmail.com</v>
      </c>
      <c r="Q1966" t="str">
        <f ca="1">""&amp;IFERROR(VLOOKUP(O1966,EMAILS!B:D,3,FALSE),"NOT FOUND IN EMAILS")</f>
        <v/>
      </c>
      <c r="R1966" t="str">
        <f ca="1">""&amp;IFERROR(VLOOKUP(O1966,EMAILS!B:E,4,FALSE),"NO T FOUND IN EMAILS")</f>
        <v/>
      </c>
    </row>
    <row r="1967" spans="2:18" x14ac:dyDescent="0.25">
      <c r="B1967" s="5" t="s">
        <v>1969</v>
      </c>
      <c r="C1967" s="5" t="s">
        <v>6109</v>
      </c>
      <c r="D1967" s="5">
        <v>42</v>
      </c>
      <c r="E1967" s="5">
        <v>37</v>
      </c>
      <c r="F1967" s="5">
        <v>60</v>
      </c>
      <c r="G1967" s="5">
        <v>60</v>
      </c>
      <c r="H1967" s="5">
        <v>35</v>
      </c>
      <c r="I1967" s="5">
        <v>43</v>
      </c>
      <c r="J1967" s="5">
        <v>43</v>
      </c>
      <c r="K1967" s="5">
        <v>36</v>
      </c>
      <c r="L1967" s="5">
        <v>31</v>
      </c>
      <c r="M1967" s="5">
        <v>0</v>
      </c>
      <c r="N1967" s="5">
        <v>44</v>
      </c>
      <c r="O1967" s="5" t="str">
        <f t="shared" ca="1" si="30"/>
        <v>Supplier 176</v>
      </c>
      <c r="P1967" s="20" t="str">
        <f ca="1">IFERROR(VLOOKUP(O1967,EMAILS!B:C,2,FALSE),"NOT FOUND IN EMAILS")</f>
        <v>supplier@gmail.com</v>
      </c>
      <c r="Q1967" t="str">
        <f ca="1">""&amp;IFERROR(VLOOKUP(O1967,EMAILS!B:D,3,FALSE),"NOT FOUND IN EMAILS")</f>
        <v/>
      </c>
      <c r="R1967" t="str">
        <f ca="1">""&amp;IFERROR(VLOOKUP(O1967,EMAILS!B:E,4,FALSE),"NO T FOUND IN EMAILS")</f>
        <v/>
      </c>
    </row>
    <row r="1968" spans="2:18" x14ac:dyDescent="0.25">
      <c r="B1968" s="5" t="s">
        <v>1970</v>
      </c>
      <c r="C1968" s="5" t="s">
        <v>6110</v>
      </c>
      <c r="D1968" s="5">
        <v>22</v>
      </c>
      <c r="E1968" s="5">
        <v>32</v>
      </c>
      <c r="F1968" s="5">
        <v>20</v>
      </c>
      <c r="G1968" s="5">
        <v>40</v>
      </c>
      <c r="H1968" s="5">
        <v>25</v>
      </c>
      <c r="I1968" s="5">
        <v>48</v>
      </c>
      <c r="J1968" s="5">
        <v>23</v>
      </c>
      <c r="K1968" s="5">
        <v>26</v>
      </c>
      <c r="L1968" s="5">
        <v>21</v>
      </c>
      <c r="M1968" s="5">
        <v>0</v>
      </c>
      <c r="N1968" s="5">
        <v>113</v>
      </c>
      <c r="O1968" s="5" t="str">
        <f t="shared" ca="1" si="30"/>
        <v>Supplier 198</v>
      </c>
      <c r="P1968" s="20" t="str">
        <f ca="1">IFERROR(VLOOKUP(O1968,EMAILS!B:C,2,FALSE),"NOT FOUND IN EMAILS")</f>
        <v>supplier@gmail.com</v>
      </c>
      <c r="Q1968" t="str">
        <f ca="1">""&amp;IFERROR(VLOOKUP(O1968,EMAILS!B:D,3,FALSE),"NOT FOUND IN EMAILS")</f>
        <v/>
      </c>
      <c r="R1968" t="str">
        <f ca="1">""&amp;IFERROR(VLOOKUP(O1968,EMAILS!B:E,4,FALSE),"NO T FOUND IN EMAILS")</f>
        <v/>
      </c>
    </row>
    <row r="1969" spans="2:18" x14ac:dyDescent="0.25">
      <c r="B1969" s="5" t="s">
        <v>1971</v>
      </c>
      <c r="C1969" s="5" t="s">
        <v>6111</v>
      </c>
      <c r="D1969" s="5">
        <v>10</v>
      </c>
      <c r="E1969" s="5">
        <v>0</v>
      </c>
      <c r="F1969" s="5">
        <v>10</v>
      </c>
      <c r="G1969" s="5">
        <v>10</v>
      </c>
      <c r="H1969" s="5">
        <v>0</v>
      </c>
      <c r="I1969" s="5">
        <v>0</v>
      </c>
      <c r="J1969" s="5">
        <v>0</v>
      </c>
      <c r="K1969" s="5">
        <v>0</v>
      </c>
      <c r="L1969" s="5">
        <v>0</v>
      </c>
      <c r="M1969" s="5">
        <v>0</v>
      </c>
      <c r="N1969" s="5">
        <v>0</v>
      </c>
      <c r="O1969" s="5" t="str">
        <f t="shared" ca="1" si="30"/>
        <v>Supplier 77</v>
      </c>
      <c r="P1969" s="20" t="str">
        <f ca="1">IFERROR(VLOOKUP(O1969,EMAILS!B:C,2,FALSE),"NOT FOUND IN EMAILS")</f>
        <v>supplier@gmail.com</v>
      </c>
      <c r="Q1969" t="str">
        <f ca="1">""&amp;IFERROR(VLOOKUP(O1969,EMAILS!B:D,3,FALSE),"NOT FOUND IN EMAILS")</f>
        <v/>
      </c>
      <c r="R1969" t="str">
        <f ca="1">""&amp;IFERROR(VLOOKUP(O1969,EMAILS!B:E,4,FALSE),"NO T FOUND IN EMAILS")</f>
        <v/>
      </c>
    </row>
    <row r="1970" spans="2:18" x14ac:dyDescent="0.25">
      <c r="B1970" s="5" t="s">
        <v>1972</v>
      </c>
      <c r="C1970" s="5" t="s">
        <v>6112</v>
      </c>
      <c r="D1970" s="5">
        <v>100</v>
      </c>
      <c r="E1970" s="5">
        <v>0</v>
      </c>
      <c r="F1970" s="5">
        <v>100</v>
      </c>
      <c r="G1970" s="5">
        <v>80</v>
      </c>
      <c r="H1970" s="5">
        <v>80</v>
      </c>
      <c r="I1970" s="5">
        <v>80</v>
      </c>
      <c r="J1970" s="5">
        <v>80</v>
      </c>
      <c r="K1970" s="5">
        <v>80</v>
      </c>
      <c r="L1970" s="5">
        <v>80</v>
      </c>
      <c r="M1970" s="5">
        <v>0</v>
      </c>
      <c r="N1970" s="5">
        <v>540</v>
      </c>
      <c r="O1970" s="5" t="str">
        <f t="shared" ca="1" si="30"/>
        <v>Supplier 15</v>
      </c>
      <c r="P1970" s="20" t="str">
        <f ca="1">IFERROR(VLOOKUP(O1970,EMAILS!B:C,2,FALSE),"NOT FOUND IN EMAILS")</f>
        <v>supplier@gmail.com</v>
      </c>
      <c r="Q1970" t="str">
        <f ca="1">""&amp;IFERROR(VLOOKUP(O1970,EMAILS!B:D,3,FALSE),"NOT FOUND IN EMAILS")</f>
        <v>supplier_logistics@gmail.com</v>
      </c>
      <c r="R1970" t="str">
        <f ca="1">""&amp;IFERROR(VLOOKUP(O1970,EMAILS!B:E,4,FALSE),"NO T FOUND IN EMAILS")</f>
        <v/>
      </c>
    </row>
    <row r="1971" spans="2:18" x14ac:dyDescent="0.25">
      <c r="B1971" s="5" t="s">
        <v>1973</v>
      </c>
      <c r="C1971" s="5" t="s">
        <v>6113</v>
      </c>
      <c r="D1971" s="5">
        <v>0</v>
      </c>
      <c r="E1971" s="5">
        <v>0</v>
      </c>
      <c r="F1971" s="5">
        <v>0</v>
      </c>
      <c r="G1971" s="5">
        <v>0</v>
      </c>
      <c r="H1971" s="5">
        <v>0</v>
      </c>
      <c r="I1971" s="5">
        <v>0</v>
      </c>
      <c r="J1971" s="5">
        <v>0</v>
      </c>
      <c r="K1971" s="5">
        <v>0</v>
      </c>
      <c r="L1971" s="5">
        <v>0</v>
      </c>
      <c r="M1971" s="5">
        <v>0</v>
      </c>
      <c r="N1971" s="5">
        <v>232</v>
      </c>
      <c r="O1971" s="5" t="str">
        <f t="shared" ca="1" si="30"/>
        <v>Supplier 93</v>
      </c>
      <c r="P1971" s="20" t="str">
        <f ca="1">IFERROR(VLOOKUP(O1971,EMAILS!B:C,2,FALSE),"NOT FOUND IN EMAILS")</f>
        <v>supplier@gmail.com</v>
      </c>
      <c r="Q1971" t="str">
        <f ca="1">""&amp;IFERROR(VLOOKUP(O1971,EMAILS!B:D,3,FALSE),"NOT FOUND IN EMAILS")</f>
        <v/>
      </c>
      <c r="R1971" t="str">
        <f ca="1">""&amp;IFERROR(VLOOKUP(O1971,EMAILS!B:E,4,FALSE),"NO T FOUND IN EMAILS")</f>
        <v/>
      </c>
    </row>
    <row r="1972" spans="2:18" x14ac:dyDescent="0.25">
      <c r="B1972" s="5" t="s">
        <v>1974</v>
      </c>
      <c r="C1972" s="5" t="s">
        <v>6114</v>
      </c>
      <c r="D1972" s="5">
        <v>0</v>
      </c>
      <c r="E1972" s="5">
        <v>0</v>
      </c>
      <c r="F1972" s="5">
        <v>0</v>
      </c>
      <c r="G1972" s="5">
        <v>0</v>
      </c>
      <c r="H1972" s="5">
        <v>0</v>
      </c>
      <c r="I1972" s="5">
        <v>0</v>
      </c>
      <c r="J1972" s="5">
        <v>0</v>
      </c>
      <c r="K1972" s="5">
        <v>0</v>
      </c>
      <c r="L1972" s="5">
        <v>0</v>
      </c>
      <c r="M1972" s="5">
        <v>0</v>
      </c>
      <c r="N1972" s="5">
        <v>0</v>
      </c>
      <c r="O1972" s="5" t="str">
        <f t="shared" ca="1" si="30"/>
        <v>Supplier 156</v>
      </c>
      <c r="P1972" s="20" t="str">
        <f ca="1">IFERROR(VLOOKUP(O1972,EMAILS!B:C,2,FALSE),"NOT FOUND IN EMAILS")</f>
        <v>supplier@gmail.com</v>
      </c>
      <c r="Q1972" t="str">
        <f ca="1">""&amp;IFERROR(VLOOKUP(O1972,EMAILS!B:D,3,FALSE),"NOT FOUND IN EMAILS")</f>
        <v/>
      </c>
      <c r="R1972" t="str">
        <f ca="1">""&amp;IFERROR(VLOOKUP(O1972,EMAILS!B:E,4,FALSE),"NO T FOUND IN EMAILS")</f>
        <v/>
      </c>
    </row>
    <row r="1973" spans="2:18" x14ac:dyDescent="0.25">
      <c r="B1973" s="5" t="s">
        <v>1975</v>
      </c>
      <c r="C1973" s="5" t="s">
        <v>6115</v>
      </c>
      <c r="D1973" s="5">
        <v>30</v>
      </c>
      <c r="E1973" s="5">
        <v>30</v>
      </c>
      <c r="F1973" s="5">
        <v>50</v>
      </c>
      <c r="G1973" s="5">
        <v>40</v>
      </c>
      <c r="H1973" s="5">
        <v>30</v>
      </c>
      <c r="I1973" s="5">
        <v>40</v>
      </c>
      <c r="J1973" s="5">
        <v>40</v>
      </c>
      <c r="K1973" s="5">
        <v>30</v>
      </c>
      <c r="L1973" s="5">
        <v>30</v>
      </c>
      <c r="M1973" s="5">
        <v>0</v>
      </c>
      <c r="N1973" s="5">
        <v>0</v>
      </c>
      <c r="O1973" s="5" t="str">
        <f t="shared" ca="1" si="30"/>
        <v>Supplier 108</v>
      </c>
      <c r="P1973" s="20" t="str">
        <f ca="1">IFERROR(VLOOKUP(O1973,EMAILS!B:C,2,FALSE),"NOT FOUND IN EMAILS")</f>
        <v>supplier@gmail.com</v>
      </c>
      <c r="Q1973" t="str">
        <f ca="1">""&amp;IFERROR(VLOOKUP(O1973,EMAILS!B:D,3,FALSE),"NOT FOUND IN EMAILS")</f>
        <v/>
      </c>
      <c r="R1973" t="str">
        <f ca="1">""&amp;IFERROR(VLOOKUP(O1973,EMAILS!B:E,4,FALSE),"NO T FOUND IN EMAILS")</f>
        <v/>
      </c>
    </row>
    <row r="1974" spans="2:18" x14ac:dyDescent="0.25">
      <c r="B1974" s="5" t="s">
        <v>1976</v>
      </c>
      <c r="C1974" s="5" t="s">
        <v>6116</v>
      </c>
      <c r="D1974" s="5">
        <v>20</v>
      </c>
      <c r="E1974" s="5">
        <v>25</v>
      </c>
      <c r="F1974" s="5">
        <v>20</v>
      </c>
      <c r="G1974" s="5">
        <v>30</v>
      </c>
      <c r="H1974" s="5">
        <v>20</v>
      </c>
      <c r="I1974" s="5">
        <v>45</v>
      </c>
      <c r="J1974" s="5">
        <v>20</v>
      </c>
      <c r="K1974" s="5">
        <v>20</v>
      </c>
      <c r="L1974" s="5">
        <v>20</v>
      </c>
      <c r="M1974" s="5">
        <v>0</v>
      </c>
      <c r="N1974" s="5">
        <v>1500</v>
      </c>
      <c r="O1974" s="5" t="str">
        <f t="shared" ca="1" si="30"/>
        <v>Supplier 128</v>
      </c>
      <c r="P1974" s="20" t="str">
        <f ca="1">IFERROR(VLOOKUP(O1974,EMAILS!B:C,2,FALSE),"NOT FOUND IN EMAILS")</f>
        <v>supplier@gmail.com</v>
      </c>
      <c r="Q1974" t="str">
        <f ca="1">""&amp;IFERROR(VLOOKUP(O1974,EMAILS!B:D,3,FALSE),"NOT FOUND IN EMAILS")</f>
        <v/>
      </c>
      <c r="R1974" t="str">
        <f ca="1">""&amp;IFERROR(VLOOKUP(O1974,EMAILS!B:E,4,FALSE),"NO T FOUND IN EMAILS")</f>
        <v/>
      </c>
    </row>
    <row r="1975" spans="2:18" x14ac:dyDescent="0.25">
      <c r="B1975" s="5" t="s">
        <v>1977</v>
      </c>
      <c r="C1975" s="5" t="s">
        <v>6117</v>
      </c>
      <c r="D1975" s="5">
        <v>2400</v>
      </c>
      <c r="E1975" s="5">
        <v>2400</v>
      </c>
      <c r="F1975" s="5">
        <v>3600</v>
      </c>
      <c r="G1975" s="5">
        <v>3600</v>
      </c>
      <c r="H1975" s="5">
        <v>3630</v>
      </c>
      <c r="I1975" s="5">
        <v>3630</v>
      </c>
      <c r="J1975" s="5">
        <v>3600</v>
      </c>
      <c r="K1975" s="5">
        <v>2400</v>
      </c>
      <c r="L1975" s="5">
        <v>2445</v>
      </c>
      <c r="M1975" s="5">
        <v>0</v>
      </c>
      <c r="N1975" s="5">
        <v>0</v>
      </c>
      <c r="O1975" s="5" t="str">
        <f t="shared" ca="1" si="30"/>
        <v>Supplier 115</v>
      </c>
      <c r="P1975" s="20" t="str">
        <f ca="1">IFERROR(VLOOKUP(O1975,EMAILS!B:C,2,FALSE),"NOT FOUND IN EMAILS")</f>
        <v>supplier@gmail.com</v>
      </c>
      <c r="Q1975" t="str">
        <f ca="1">""&amp;IFERROR(VLOOKUP(O1975,EMAILS!B:D,3,FALSE),"NOT FOUND IN EMAILS")</f>
        <v/>
      </c>
      <c r="R1975" t="str">
        <f ca="1">""&amp;IFERROR(VLOOKUP(O1975,EMAILS!B:E,4,FALSE),"NO T FOUND IN EMAILS")</f>
        <v/>
      </c>
    </row>
    <row r="1976" spans="2:18" x14ac:dyDescent="0.25">
      <c r="B1976" s="5" t="s">
        <v>1978</v>
      </c>
      <c r="C1976" s="5" t="s">
        <v>6118</v>
      </c>
      <c r="D1976" s="5">
        <v>50</v>
      </c>
      <c r="E1976" s="5">
        <v>50</v>
      </c>
      <c r="F1976" s="5">
        <v>100</v>
      </c>
      <c r="G1976" s="5">
        <v>60</v>
      </c>
      <c r="H1976" s="5">
        <v>55</v>
      </c>
      <c r="I1976" s="5">
        <v>60</v>
      </c>
      <c r="J1976" s="5">
        <v>30</v>
      </c>
      <c r="K1976" s="5">
        <v>20</v>
      </c>
      <c r="L1976" s="5">
        <v>70</v>
      </c>
      <c r="M1976" s="5">
        <v>0</v>
      </c>
      <c r="N1976" s="5">
        <v>0</v>
      </c>
      <c r="O1976" s="5" t="str">
        <f t="shared" ca="1" si="30"/>
        <v>Supplier 12</v>
      </c>
      <c r="P1976" s="20" t="str">
        <f ca="1">IFERROR(VLOOKUP(O1976,EMAILS!B:C,2,FALSE),"NOT FOUND IN EMAILS")</f>
        <v>supplier@gmail.com</v>
      </c>
      <c r="Q1976" t="str">
        <f ca="1">""&amp;IFERROR(VLOOKUP(O1976,EMAILS!B:D,3,FALSE),"NOT FOUND IN EMAILS")</f>
        <v>supplier_logistics@gmail.com</v>
      </c>
      <c r="R1976" t="str">
        <f ca="1">""&amp;IFERROR(VLOOKUP(O1976,EMAILS!B:E,4,FALSE),"NO T FOUND IN EMAILS")</f>
        <v/>
      </c>
    </row>
    <row r="1977" spans="2:18" x14ac:dyDescent="0.25">
      <c r="B1977" s="5" t="s">
        <v>1979</v>
      </c>
      <c r="C1977" s="5" t="s">
        <v>6119</v>
      </c>
      <c r="D1977" s="5">
        <v>50</v>
      </c>
      <c r="E1977" s="5">
        <v>50</v>
      </c>
      <c r="F1977" s="5">
        <v>100</v>
      </c>
      <c r="G1977" s="5">
        <v>60</v>
      </c>
      <c r="H1977" s="5">
        <v>55</v>
      </c>
      <c r="I1977" s="5">
        <v>60</v>
      </c>
      <c r="J1977" s="5">
        <v>30</v>
      </c>
      <c r="K1977" s="5">
        <v>20</v>
      </c>
      <c r="L1977" s="5">
        <v>70</v>
      </c>
      <c r="M1977" s="5">
        <v>0</v>
      </c>
      <c r="N1977" s="5">
        <v>500</v>
      </c>
      <c r="O1977" s="5" t="str">
        <f t="shared" ca="1" si="30"/>
        <v>Supplier 140</v>
      </c>
      <c r="P1977" s="20" t="str">
        <f ca="1">IFERROR(VLOOKUP(O1977,EMAILS!B:C,2,FALSE),"NOT FOUND IN EMAILS")</f>
        <v>supplier@gmail.com</v>
      </c>
      <c r="Q1977" t="str">
        <f ca="1">""&amp;IFERROR(VLOOKUP(O1977,EMAILS!B:D,3,FALSE),"NOT FOUND IN EMAILS")</f>
        <v/>
      </c>
      <c r="R1977" t="str">
        <f ca="1">""&amp;IFERROR(VLOOKUP(O1977,EMAILS!B:E,4,FALSE),"NO T FOUND IN EMAILS")</f>
        <v/>
      </c>
    </row>
    <row r="1978" spans="2:18" x14ac:dyDescent="0.25">
      <c r="B1978" s="5" t="s">
        <v>1980</v>
      </c>
      <c r="C1978" s="5" t="s">
        <v>6120</v>
      </c>
      <c r="D1978" s="5">
        <v>725</v>
      </c>
      <c r="E1978" s="5">
        <v>620</v>
      </c>
      <c r="F1978" s="5">
        <v>810</v>
      </c>
      <c r="G1978" s="5">
        <v>720</v>
      </c>
      <c r="H1978" s="5">
        <v>830</v>
      </c>
      <c r="I1978" s="5">
        <v>820</v>
      </c>
      <c r="J1978" s="5">
        <v>510</v>
      </c>
      <c r="K1978" s="5">
        <v>520</v>
      </c>
      <c r="L1978" s="5">
        <v>620</v>
      </c>
      <c r="M1978" s="5">
        <v>0</v>
      </c>
      <c r="N1978" s="5">
        <v>47</v>
      </c>
      <c r="O1978" s="5" t="str">
        <f t="shared" ca="1" si="30"/>
        <v>Supplier 28</v>
      </c>
      <c r="P1978" s="20" t="str">
        <f ca="1">IFERROR(VLOOKUP(O1978,EMAILS!B:C,2,FALSE),"NOT FOUND IN EMAILS")</f>
        <v>supplier@gmail.com</v>
      </c>
      <c r="Q1978" t="str">
        <f ca="1">""&amp;IFERROR(VLOOKUP(O1978,EMAILS!B:D,3,FALSE),"NOT FOUND IN EMAILS")</f>
        <v/>
      </c>
      <c r="R1978" t="str">
        <f ca="1">""&amp;IFERROR(VLOOKUP(O1978,EMAILS!B:E,4,FALSE),"NO T FOUND IN EMAILS")</f>
        <v/>
      </c>
    </row>
    <row r="1979" spans="2:18" x14ac:dyDescent="0.25">
      <c r="B1979" s="5" t="s">
        <v>1981</v>
      </c>
      <c r="C1979" s="5" t="s">
        <v>6121</v>
      </c>
      <c r="D1979" s="5">
        <v>18</v>
      </c>
      <c r="E1979" s="5">
        <v>17</v>
      </c>
      <c r="F1979" s="5">
        <v>8</v>
      </c>
      <c r="G1979" s="5">
        <v>34</v>
      </c>
      <c r="H1979" s="5">
        <v>12</v>
      </c>
      <c r="I1979" s="5">
        <v>11</v>
      </c>
      <c r="J1979" s="5">
        <v>10</v>
      </c>
      <c r="K1979" s="5">
        <v>14</v>
      </c>
      <c r="L1979" s="5">
        <v>12</v>
      </c>
      <c r="M1979" s="5">
        <v>0</v>
      </c>
      <c r="N1979" s="5">
        <v>151</v>
      </c>
      <c r="O1979" s="5" t="str">
        <f t="shared" ca="1" si="30"/>
        <v>Supplier 27</v>
      </c>
      <c r="P1979" s="20" t="str">
        <f ca="1">IFERROR(VLOOKUP(O1979,EMAILS!B:C,2,FALSE),"NOT FOUND IN EMAILS")</f>
        <v>supplier@gmail.com</v>
      </c>
      <c r="Q1979" t="str">
        <f ca="1">""&amp;IFERROR(VLOOKUP(O1979,EMAILS!B:D,3,FALSE),"NOT FOUND IN EMAILS")</f>
        <v/>
      </c>
      <c r="R1979" t="str">
        <f ca="1">""&amp;IFERROR(VLOOKUP(O1979,EMAILS!B:E,4,FALSE),"NO T FOUND IN EMAILS")</f>
        <v/>
      </c>
    </row>
    <row r="1980" spans="2:18" x14ac:dyDescent="0.25">
      <c r="B1980" s="5" t="s">
        <v>1982</v>
      </c>
      <c r="C1980" s="5" t="s">
        <v>6122</v>
      </c>
      <c r="D1980" s="5">
        <v>18</v>
      </c>
      <c r="E1980" s="5">
        <v>17</v>
      </c>
      <c r="F1980" s="5">
        <v>8</v>
      </c>
      <c r="G1980" s="5">
        <v>34</v>
      </c>
      <c r="H1980" s="5">
        <v>12</v>
      </c>
      <c r="I1980" s="5">
        <v>11</v>
      </c>
      <c r="J1980" s="5">
        <v>10</v>
      </c>
      <c r="K1980" s="5">
        <v>14</v>
      </c>
      <c r="L1980" s="5">
        <v>12</v>
      </c>
      <c r="M1980" s="5">
        <v>0</v>
      </c>
      <c r="N1980" s="5">
        <v>183</v>
      </c>
      <c r="O1980" s="5" t="str">
        <f t="shared" ca="1" si="30"/>
        <v>Supplier 135</v>
      </c>
      <c r="P1980" s="20" t="str">
        <f ca="1">IFERROR(VLOOKUP(O1980,EMAILS!B:C,2,FALSE),"NOT FOUND IN EMAILS")</f>
        <v>supplier@gmail.com</v>
      </c>
      <c r="Q1980" t="str">
        <f ca="1">""&amp;IFERROR(VLOOKUP(O1980,EMAILS!B:D,3,FALSE),"NOT FOUND IN EMAILS")</f>
        <v/>
      </c>
      <c r="R1980" t="str">
        <f ca="1">""&amp;IFERROR(VLOOKUP(O1980,EMAILS!B:E,4,FALSE),"NO T FOUND IN EMAILS")</f>
        <v/>
      </c>
    </row>
    <row r="1981" spans="2:18" x14ac:dyDescent="0.25">
      <c r="B1981" s="5" t="s">
        <v>1983</v>
      </c>
      <c r="C1981" s="5" t="s">
        <v>6123</v>
      </c>
      <c r="D1981" s="5">
        <v>18</v>
      </c>
      <c r="E1981" s="5">
        <v>17</v>
      </c>
      <c r="F1981" s="5">
        <v>8</v>
      </c>
      <c r="G1981" s="5">
        <v>34</v>
      </c>
      <c r="H1981" s="5">
        <v>12</v>
      </c>
      <c r="I1981" s="5">
        <v>11</v>
      </c>
      <c r="J1981" s="5">
        <v>10</v>
      </c>
      <c r="K1981" s="5">
        <v>14</v>
      </c>
      <c r="L1981" s="5">
        <v>12</v>
      </c>
      <c r="M1981" s="5">
        <v>0</v>
      </c>
      <c r="N1981" s="5">
        <v>137</v>
      </c>
      <c r="O1981" s="5" t="str">
        <f t="shared" ca="1" si="30"/>
        <v>Supplier 46</v>
      </c>
      <c r="P1981" s="20" t="str">
        <f ca="1">IFERROR(VLOOKUP(O1981,EMAILS!B:C,2,FALSE),"NOT FOUND IN EMAILS")</f>
        <v>supplier@gmail.com</v>
      </c>
      <c r="Q1981" t="str">
        <f ca="1">""&amp;IFERROR(VLOOKUP(O1981,EMAILS!B:D,3,FALSE),"NOT FOUND IN EMAILS")</f>
        <v/>
      </c>
      <c r="R1981" t="str">
        <f ca="1">""&amp;IFERROR(VLOOKUP(O1981,EMAILS!B:E,4,FALSE),"NO T FOUND IN EMAILS")</f>
        <v/>
      </c>
    </row>
    <row r="1982" spans="2:18" x14ac:dyDescent="0.25">
      <c r="B1982" s="5" t="s">
        <v>1984</v>
      </c>
      <c r="C1982" s="5" t="s">
        <v>6124</v>
      </c>
      <c r="D1982" s="5">
        <v>18</v>
      </c>
      <c r="E1982" s="5">
        <v>17</v>
      </c>
      <c r="F1982" s="5">
        <v>8</v>
      </c>
      <c r="G1982" s="5">
        <v>34</v>
      </c>
      <c r="H1982" s="5">
        <v>12</v>
      </c>
      <c r="I1982" s="5">
        <v>11</v>
      </c>
      <c r="J1982" s="5">
        <v>10</v>
      </c>
      <c r="K1982" s="5">
        <v>14</v>
      </c>
      <c r="L1982" s="5">
        <v>12</v>
      </c>
      <c r="M1982" s="5">
        <v>0</v>
      </c>
      <c r="N1982" s="5">
        <v>28</v>
      </c>
      <c r="O1982" s="5" t="str">
        <f t="shared" ca="1" si="30"/>
        <v>Supplier 14</v>
      </c>
      <c r="P1982" s="20" t="str">
        <f ca="1">IFERROR(VLOOKUP(O1982,EMAILS!B:C,2,FALSE),"NOT FOUND IN EMAILS")</f>
        <v>supplier@gmail.com</v>
      </c>
      <c r="Q1982" t="str">
        <f ca="1">""&amp;IFERROR(VLOOKUP(O1982,EMAILS!B:D,3,FALSE),"NOT FOUND IN EMAILS")</f>
        <v>supplier_logistics@gmail.com</v>
      </c>
      <c r="R1982" t="str">
        <f ca="1">""&amp;IFERROR(VLOOKUP(O1982,EMAILS!B:E,4,FALSE),"NO T FOUND IN EMAILS")</f>
        <v/>
      </c>
    </row>
    <row r="1983" spans="2:18" x14ac:dyDescent="0.25">
      <c r="B1983" s="5" t="s">
        <v>1985</v>
      </c>
      <c r="C1983" s="5" t="s">
        <v>6125</v>
      </c>
      <c r="D1983" s="5">
        <v>0</v>
      </c>
      <c r="E1983" s="5">
        <v>0</v>
      </c>
      <c r="F1983" s="5">
        <v>0</v>
      </c>
      <c r="G1983" s="5">
        <v>0</v>
      </c>
      <c r="H1983" s="5">
        <v>0</v>
      </c>
      <c r="I1983" s="5">
        <v>0</v>
      </c>
      <c r="J1983" s="5">
        <v>0</v>
      </c>
      <c r="K1983" s="5">
        <v>0</v>
      </c>
      <c r="L1983" s="5">
        <v>0</v>
      </c>
      <c r="M1983" s="5">
        <v>0</v>
      </c>
      <c r="N1983" s="5">
        <v>96</v>
      </c>
      <c r="O1983" s="5" t="str">
        <f t="shared" ca="1" si="30"/>
        <v>Supplier 26</v>
      </c>
      <c r="P1983" s="20" t="str">
        <f ca="1">IFERROR(VLOOKUP(O1983,EMAILS!B:C,2,FALSE),"NOT FOUND IN EMAILS")</f>
        <v>supplier@gmail.com</v>
      </c>
      <c r="Q1983" t="str">
        <f ca="1">""&amp;IFERROR(VLOOKUP(O1983,EMAILS!B:D,3,FALSE),"NOT FOUND IN EMAILS")</f>
        <v/>
      </c>
      <c r="R1983" t="str">
        <f ca="1">""&amp;IFERROR(VLOOKUP(O1983,EMAILS!B:E,4,FALSE),"NO T FOUND IN EMAILS")</f>
        <v/>
      </c>
    </row>
    <row r="1984" spans="2:18" x14ac:dyDescent="0.25">
      <c r="B1984" s="5" t="s">
        <v>1986</v>
      </c>
      <c r="C1984" s="5" t="s">
        <v>6126</v>
      </c>
      <c r="D1984" s="5">
        <v>5</v>
      </c>
      <c r="E1984" s="5">
        <v>0</v>
      </c>
      <c r="F1984" s="5">
        <v>0</v>
      </c>
      <c r="G1984" s="5">
        <v>0</v>
      </c>
      <c r="H1984" s="5">
        <v>0</v>
      </c>
      <c r="I1984" s="5">
        <v>0</v>
      </c>
      <c r="J1984" s="5">
        <v>1</v>
      </c>
      <c r="K1984" s="5">
        <v>0</v>
      </c>
      <c r="L1984" s="5">
        <v>0</v>
      </c>
      <c r="M1984" s="5">
        <v>0</v>
      </c>
      <c r="N1984" s="5">
        <v>0</v>
      </c>
      <c r="O1984" s="5" t="str">
        <f t="shared" ca="1" si="30"/>
        <v>Supplier 189</v>
      </c>
      <c r="P1984" s="20" t="str">
        <f ca="1">IFERROR(VLOOKUP(O1984,EMAILS!B:C,2,FALSE),"NOT FOUND IN EMAILS")</f>
        <v>supplier@gmail.com</v>
      </c>
      <c r="Q1984" t="str">
        <f ca="1">""&amp;IFERROR(VLOOKUP(O1984,EMAILS!B:D,3,FALSE),"NOT FOUND IN EMAILS")</f>
        <v/>
      </c>
      <c r="R1984" t="str">
        <f ca="1">""&amp;IFERROR(VLOOKUP(O1984,EMAILS!B:E,4,FALSE),"NO T FOUND IN EMAILS")</f>
        <v/>
      </c>
    </row>
    <row r="1985" spans="2:18" x14ac:dyDescent="0.25">
      <c r="B1985" s="5" t="s">
        <v>1987</v>
      </c>
      <c r="C1985" s="5" t="s">
        <v>6127</v>
      </c>
      <c r="D1985" s="5">
        <v>0</v>
      </c>
      <c r="E1985" s="5">
        <v>0</v>
      </c>
      <c r="F1985" s="5">
        <v>0</v>
      </c>
      <c r="G1985" s="5">
        <v>0</v>
      </c>
      <c r="H1985" s="5">
        <v>0</v>
      </c>
      <c r="I1985" s="5">
        <v>0</v>
      </c>
      <c r="J1985" s="5">
        <v>0</v>
      </c>
      <c r="K1985" s="5">
        <v>0</v>
      </c>
      <c r="L1985" s="5">
        <v>0</v>
      </c>
      <c r="M1985" s="5">
        <v>0</v>
      </c>
      <c r="N1985" s="5">
        <v>0</v>
      </c>
      <c r="O1985" s="5" t="str">
        <f t="shared" ca="1" si="30"/>
        <v>Supplier 46</v>
      </c>
      <c r="P1985" s="20" t="str">
        <f ca="1">IFERROR(VLOOKUP(O1985,EMAILS!B:C,2,FALSE),"NOT FOUND IN EMAILS")</f>
        <v>supplier@gmail.com</v>
      </c>
      <c r="Q1985" t="str">
        <f ca="1">""&amp;IFERROR(VLOOKUP(O1985,EMAILS!B:D,3,FALSE),"NOT FOUND IN EMAILS")</f>
        <v/>
      </c>
      <c r="R1985" t="str">
        <f ca="1">""&amp;IFERROR(VLOOKUP(O1985,EMAILS!B:E,4,FALSE),"NO T FOUND IN EMAILS")</f>
        <v/>
      </c>
    </row>
    <row r="1986" spans="2:18" x14ac:dyDescent="0.25">
      <c r="B1986" s="5" t="s">
        <v>1988</v>
      </c>
      <c r="C1986" s="5" t="s">
        <v>6128</v>
      </c>
      <c r="D1986" s="5">
        <v>0</v>
      </c>
      <c r="E1986" s="5">
        <v>0</v>
      </c>
      <c r="F1986" s="5">
        <v>0</v>
      </c>
      <c r="G1986" s="5">
        <v>0</v>
      </c>
      <c r="H1986" s="5">
        <v>0</v>
      </c>
      <c r="I1986" s="5">
        <v>0</v>
      </c>
      <c r="J1986" s="5">
        <v>0</v>
      </c>
      <c r="K1986" s="5">
        <v>0</v>
      </c>
      <c r="L1986" s="5">
        <v>0</v>
      </c>
      <c r="M1986" s="5">
        <v>0</v>
      </c>
      <c r="N1986" s="5">
        <v>2652</v>
      </c>
      <c r="O1986" s="5" t="str">
        <f t="shared" ca="1" si="30"/>
        <v>Supplier 61</v>
      </c>
      <c r="P1986" s="20" t="str">
        <f ca="1">IFERROR(VLOOKUP(O1986,EMAILS!B:C,2,FALSE),"NOT FOUND IN EMAILS")</f>
        <v>supplier@gmail.com</v>
      </c>
      <c r="Q1986" t="str">
        <f ca="1">""&amp;IFERROR(VLOOKUP(O1986,EMAILS!B:D,3,FALSE),"NOT FOUND IN EMAILS")</f>
        <v/>
      </c>
      <c r="R1986" t="str">
        <f ca="1">""&amp;IFERROR(VLOOKUP(O1986,EMAILS!B:E,4,FALSE),"NO T FOUND IN EMAILS")</f>
        <v/>
      </c>
    </row>
    <row r="1987" spans="2:18" x14ac:dyDescent="0.25">
      <c r="B1987" s="5" t="s">
        <v>1989</v>
      </c>
      <c r="C1987" s="5" t="s">
        <v>6129</v>
      </c>
      <c r="D1987" s="5">
        <v>0</v>
      </c>
      <c r="E1987" s="5">
        <v>0</v>
      </c>
      <c r="F1987" s="5">
        <v>300</v>
      </c>
      <c r="G1987" s="5">
        <v>300</v>
      </c>
      <c r="H1987" s="5">
        <v>300</v>
      </c>
      <c r="I1987" s="5">
        <v>300</v>
      </c>
      <c r="J1987" s="5">
        <v>0</v>
      </c>
      <c r="K1987" s="5">
        <v>500</v>
      </c>
      <c r="L1987" s="5">
        <v>500</v>
      </c>
      <c r="M1987" s="5">
        <v>0</v>
      </c>
      <c r="N1987" s="5">
        <v>1152</v>
      </c>
      <c r="O1987" s="5" t="str">
        <f t="shared" ref="O1987:O2050" ca="1" si="31">"Supplier "&amp;RANDBETWEEN(1,200)</f>
        <v>Supplier 34</v>
      </c>
      <c r="P1987" s="20" t="str">
        <f ca="1">IFERROR(VLOOKUP(O1987,EMAILS!B:C,2,FALSE),"NOT FOUND IN EMAILS")</f>
        <v>supplier@gmail.com</v>
      </c>
      <c r="Q1987" t="str">
        <f ca="1">""&amp;IFERROR(VLOOKUP(O1987,EMAILS!B:D,3,FALSE),"NOT FOUND IN EMAILS")</f>
        <v/>
      </c>
      <c r="R1987" t="str">
        <f ca="1">""&amp;IFERROR(VLOOKUP(O1987,EMAILS!B:E,4,FALSE),"NO T FOUND IN EMAILS")</f>
        <v/>
      </c>
    </row>
    <row r="1988" spans="2:18" x14ac:dyDescent="0.25">
      <c r="B1988" s="5" t="s">
        <v>1990</v>
      </c>
      <c r="C1988" s="5" t="s">
        <v>6130</v>
      </c>
      <c r="D1988" s="5">
        <v>375</v>
      </c>
      <c r="E1988" s="5">
        <v>0</v>
      </c>
      <c r="F1988" s="5">
        <v>300</v>
      </c>
      <c r="G1988" s="5">
        <v>300</v>
      </c>
      <c r="H1988" s="5">
        <v>300</v>
      </c>
      <c r="I1988" s="5">
        <v>300</v>
      </c>
      <c r="J1988" s="5">
        <v>0</v>
      </c>
      <c r="K1988" s="5">
        <v>500</v>
      </c>
      <c r="L1988" s="5">
        <v>500</v>
      </c>
      <c r="M1988" s="5">
        <v>0</v>
      </c>
      <c r="N1988" s="5">
        <v>0</v>
      </c>
      <c r="O1988" s="5" t="str">
        <f t="shared" ca="1" si="31"/>
        <v>Supplier 101</v>
      </c>
      <c r="P1988" s="20" t="str">
        <f ca="1">IFERROR(VLOOKUP(O1988,EMAILS!B:C,2,FALSE),"NOT FOUND IN EMAILS")</f>
        <v>supplier@gmail.com</v>
      </c>
      <c r="Q1988" t="str">
        <f ca="1">""&amp;IFERROR(VLOOKUP(O1988,EMAILS!B:D,3,FALSE),"NOT FOUND IN EMAILS")</f>
        <v/>
      </c>
      <c r="R1988" t="str">
        <f ca="1">""&amp;IFERROR(VLOOKUP(O1988,EMAILS!B:E,4,FALSE),"NO T FOUND IN EMAILS")</f>
        <v/>
      </c>
    </row>
    <row r="1989" spans="2:18" x14ac:dyDescent="0.25">
      <c r="B1989" s="5" t="s">
        <v>1991</v>
      </c>
      <c r="C1989" s="5" t="s">
        <v>6131</v>
      </c>
      <c r="D1989" s="5">
        <v>1008</v>
      </c>
      <c r="E1989" s="5">
        <v>300</v>
      </c>
      <c r="F1989" s="5">
        <v>780</v>
      </c>
      <c r="G1989" s="5">
        <v>1260</v>
      </c>
      <c r="H1989" s="5">
        <v>780</v>
      </c>
      <c r="I1989" s="5">
        <v>780</v>
      </c>
      <c r="J1989" s="5">
        <v>780</v>
      </c>
      <c r="K1989" s="5">
        <v>876</v>
      </c>
      <c r="L1989" s="5">
        <v>1260</v>
      </c>
      <c r="M1989" s="5">
        <v>0</v>
      </c>
      <c r="N1989" s="5">
        <v>4800</v>
      </c>
      <c r="O1989" s="5" t="str">
        <f t="shared" ca="1" si="31"/>
        <v>Supplier 50</v>
      </c>
      <c r="P1989" s="20" t="str">
        <f ca="1">IFERROR(VLOOKUP(O1989,EMAILS!B:C,2,FALSE),"NOT FOUND IN EMAILS")</f>
        <v>supplier@gmail.com</v>
      </c>
      <c r="Q1989" t="str">
        <f ca="1">""&amp;IFERROR(VLOOKUP(O1989,EMAILS!B:D,3,FALSE),"NOT FOUND IN EMAILS")</f>
        <v/>
      </c>
      <c r="R1989" t="str">
        <f ca="1">""&amp;IFERROR(VLOOKUP(O1989,EMAILS!B:E,4,FALSE),"NO T FOUND IN EMAILS")</f>
        <v/>
      </c>
    </row>
    <row r="1990" spans="2:18" x14ac:dyDescent="0.25">
      <c r="B1990" s="5" t="s">
        <v>1992</v>
      </c>
      <c r="C1990" s="5" t="s">
        <v>6132</v>
      </c>
      <c r="D1990" s="5">
        <v>100</v>
      </c>
      <c r="E1990" s="5">
        <v>0</v>
      </c>
      <c r="F1990" s="5">
        <v>400</v>
      </c>
      <c r="G1990" s="5">
        <v>200</v>
      </c>
      <c r="H1990" s="5">
        <v>200</v>
      </c>
      <c r="I1990" s="5">
        <v>200</v>
      </c>
      <c r="J1990" s="5">
        <v>100</v>
      </c>
      <c r="K1990" s="5">
        <v>0</v>
      </c>
      <c r="L1990" s="5">
        <v>200</v>
      </c>
      <c r="M1990" s="5">
        <v>0</v>
      </c>
      <c r="N1990" s="5">
        <v>0</v>
      </c>
      <c r="O1990" s="5" t="str">
        <f t="shared" ca="1" si="31"/>
        <v>Supplier 6</v>
      </c>
      <c r="P1990" s="20" t="str">
        <f ca="1">IFERROR(VLOOKUP(O1990,EMAILS!B:C,2,FALSE),"NOT FOUND IN EMAILS")</f>
        <v>supplier@gmail.com</v>
      </c>
      <c r="Q1990" t="str">
        <f ca="1">""&amp;IFERROR(VLOOKUP(O1990,EMAILS!B:D,3,FALSE),"NOT FOUND IN EMAILS")</f>
        <v>supplier_logistics@gmail.com</v>
      </c>
      <c r="R1990" t="str">
        <f ca="1">""&amp;IFERROR(VLOOKUP(O1990,EMAILS!B:E,4,FALSE),"NO T FOUND IN EMAILS")</f>
        <v/>
      </c>
    </row>
    <row r="1991" spans="2:18" x14ac:dyDescent="0.25">
      <c r="B1991" s="5" t="s">
        <v>1993</v>
      </c>
      <c r="C1991" s="5" t="s">
        <v>6133</v>
      </c>
      <c r="D1991" s="5">
        <v>0</v>
      </c>
      <c r="E1991" s="5">
        <v>0</v>
      </c>
      <c r="F1991" s="5">
        <v>0</v>
      </c>
      <c r="G1991" s="5">
        <v>0</v>
      </c>
      <c r="H1991" s="5">
        <v>0</v>
      </c>
      <c r="I1991" s="5">
        <v>0</v>
      </c>
      <c r="J1991" s="5">
        <v>0</v>
      </c>
      <c r="K1991" s="5">
        <v>0</v>
      </c>
      <c r="L1991" s="5">
        <v>0</v>
      </c>
      <c r="M1991" s="5">
        <v>0</v>
      </c>
      <c r="N1991" s="5">
        <v>324</v>
      </c>
      <c r="O1991" s="5" t="str">
        <f t="shared" ca="1" si="31"/>
        <v>Supplier 24</v>
      </c>
      <c r="P1991" s="20" t="str">
        <f ca="1">IFERROR(VLOOKUP(O1991,EMAILS!B:C,2,FALSE),"NOT FOUND IN EMAILS")</f>
        <v>supplier@gmail.com</v>
      </c>
      <c r="Q1991" t="str">
        <f ca="1">""&amp;IFERROR(VLOOKUP(O1991,EMAILS!B:D,3,FALSE),"NOT FOUND IN EMAILS")</f>
        <v/>
      </c>
      <c r="R1991" t="str">
        <f ca="1">""&amp;IFERROR(VLOOKUP(O1991,EMAILS!B:E,4,FALSE),"NO T FOUND IN EMAILS")</f>
        <v/>
      </c>
    </row>
    <row r="1992" spans="2:18" x14ac:dyDescent="0.25">
      <c r="B1992" s="5" t="s">
        <v>1994</v>
      </c>
      <c r="C1992" s="5" t="s">
        <v>6134</v>
      </c>
      <c r="D1992" s="5">
        <v>108</v>
      </c>
      <c r="E1992" s="5">
        <v>0</v>
      </c>
      <c r="F1992" s="5">
        <v>0</v>
      </c>
      <c r="G1992" s="5">
        <v>0</v>
      </c>
      <c r="H1992" s="5">
        <v>0</v>
      </c>
      <c r="I1992" s="5">
        <v>0</v>
      </c>
      <c r="J1992" s="5">
        <v>0</v>
      </c>
      <c r="K1992" s="5">
        <v>0</v>
      </c>
      <c r="L1992" s="5">
        <v>0</v>
      </c>
      <c r="M1992" s="5">
        <v>0</v>
      </c>
      <c r="N1992" s="5">
        <v>1356</v>
      </c>
      <c r="O1992" s="5" t="str">
        <f t="shared" ca="1" si="31"/>
        <v>Supplier 175</v>
      </c>
      <c r="P1992" s="20" t="str">
        <f ca="1">IFERROR(VLOOKUP(O1992,EMAILS!B:C,2,FALSE),"NOT FOUND IN EMAILS")</f>
        <v>supplier@gmail.com</v>
      </c>
      <c r="Q1992" t="str">
        <f ca="1">""&amp;IFERROR(VLOOKUP(O1992,EMAILS!B:D,3,FALSE),"NOT FOUND IN EMAILS")</f>
        <v/>
      </c>
      <c r="R1992" t="str">
        <f ca="1">""&amp;IFERROR(VLOOKUP(O1992,EMAILS!B:E,4,FALSE),"NO T FOUND IN EMAILS")</f>
        <v/>
      </c>
    </row>
    <row r="1993" spans="2:18" x14ac:dyDescent="0.25">
      <c r="B1993" s="5" t="s">
        <v>1995</v>
      </c>
      <c r="C1993" s="5" t="s">
        <v>6135</v>
      </c>
      <c r="D1993" s="5">
        <v>0</v>
      </c>
      <c r="E1993" s="5">
        <v>0</v>
      </c>
      <c r="F1993" s="5">
        <v>0</v>
      </c>
      <c r="G1993" s="5">
        <v>0</v>
      </c>
      <c r="H1993" s="5">
        <v>0</v>
      </c>
      <c r="I1993" s="5">
        <v>0</v>
      </c>
      <c r="J1993" s="5">
        <v>0</v>
      </c>
      <c r="K1993" s="5">
        <v>0</v>
      </c>
      <c r="L1993" s="5">
        <v>0</v>
      </c>
      <c r="M1993" s="5">
        <v>0</v>
      </c>
      <c r="N1993" s="5">
        <v>50</v>
      </c>
      <c r="O1993" s="5" t="str">
        <f t="shared" ca="1" si="31"/>
        <v>Supplier 90</v>
      </c>
      <c r="P1993" s="20" t="str">
        <f ca="1">IFERROR(VLOOKUP(O1993,EMAILS!B:C,2,FALSE),"NOT FOUND IN EMAILS")</f>
        <v>supplier@gmail.com</v>
      </c>
      <c r="Q1993" t="str">
        <f ca="1">""&amp;IFERROR(VLOOKUP(O1993,EMAILS!B:D,3,FALSE),"NOT FOUND IN EMAILS")</f>
        <v/>
      </c>
      <c r="R1993" t="str">
        <f ca="1">""&amp;IFERROR(VLOOKUP(O1993,EMAILS!B:E,4,FALSE),"NO T FOUND IN EMAILS")</f>
        <v/>
      </c>
    </row>
    <row r="1994" spans="2:18" x14ac:dyDescent="0.25">
      <c r="B1994" s="5" t="s">
        <v>1996</v>
      </c>
      <c r="C1994" s="5" t="s">
        <v>6136</v>
      </c>
      <c r="D1994" s="5">
        <v>10</v>
      </c>
      <c r="E1994" s="5">
        <v>0</v>
      </c>
      <c r="F1994" s="5">
        <v>10</v>
      </c>
      <c r="G1994" s="5">
        <v>10</v>
      </c>
      <c r="H1994" s="5">
        <v>0</v>
      </c>
      <c r="I1994" s="5">
        <v>0</v>
      </c>
      <c r="J1994" s="5">
        <v>0</v>
      </c>
      <c r="K1994" s="5">
        <v>0</v>
      </c>
      <c r="L1994" s="5">
        <v>0</v>
      </c>
      <c r="M1994" s="5">
        <v>0</v>
      </c>
      <c r="N1994" s="5">
        <v>0</v>
      </c>
      <c r="O1994" s="5" t="str">
        <f t="shared" ca="1" si="31"/>
        <v>Supplier 23</v>
      </c>
      <c r="P1994" s="20" t="str">
        <f ca="1">IFERROR(VLOOKUP(O1994,EMAILS!B:C,2,FALSE),"NOT FOUND IN EMAILS")</f>
        <v>supplier@gmail.com</v>
      </c>
      <c r="Q1994" t="str">
        <f ca="1">""&amp;IFERROR(VLOOKUP(O1994,EMAILS!B:D,3,FALSE),"NOT FOUND IN EMAILS")</f>
        <v/>
      </c>
      <c r="R1994" t="str">
        <f ca="1">""&amp;IFERROR(VLOOKUP(O1994,EMAILS!B:E,4,FALSE),"NO T FOUND IN EMAILS")</f>
        <v/>
      </c>
    </row>
    <row r="1995" spans="2:18" x14ac:dyDescent="0.25">
      <c r="B1995" s="5" t="s">
        <v>1997</v>
      </c>
      <c r="C1995" s="5" t="s">
        <v>6137</v>
      </c>
      <c r="D1995" s="5">
        <v>0</v>
      </c>
      <c r="E1995" s="5">
        <v>0</v>
      </c>
      <c r="F1995" s="5">
        <v>0</v>
      </c>
      <c r="G1995" s="5">
        <v>0</v>
      </c>
      <c r="H1995" s="5">
        <v>0</v>
      </c>
      <c r="I1995" s="5">
        <v>0</v>
      </c>
      <c r="J1995" s="5">
        <v>0</v>
      </c>
      <c r="K1995" s="5">
        <v>0</v>
      </c>
      <c r="L1995" s="5">
        <v>0</v>
      </c>
      <c r="M1995" s="5">
        <v>0</v>
      </c>
      <c r="N1995" s="5">
        <v>780</v>
      </c>
      <c r="O1995" s="5" t="str">
        <f t="shared" ca="1" si="31"/>
        <v>Supplier 198</v>
      </c>
      <c r="P1995" s="20" t="str">
        <f ca="1">IFERROR(VLOOKUP(O1995,EMAILS!B:C,2,FALSE),"NOT FOUND IN EMAILS")</f>
        <v>supplier@gmail.com</v>
      </c>
      <c r="Q1995" t="str">
        <f ca="1">""&amp;IFERROR(VLOOKUP(O1995,EMAILS!B:D,3,FALSE),"NOT FOUND IN EMAILS")</f>
        <v/>
      </c>
      <c r="R1995" t="str">
        <f ca="1">""&amp;IFERROR(VLOOKUP(O1995,EMAILS!B:E,4,FALSE),"NO T FOUND IN EMAILS")</f>
        <v/>
      </c>
    </row>
    <row r="1996" spans="2:18" x14ac:dyDescent="0.25">
      <c r="B1996" s="5" t="s">
        <v>1998</v>
      </c>
      <c r="C1996" s="5" t="s">
        <v>6138</v>
      </c>
      <c r="D1996" s="5">
        <v>0</v>
      </c>
      <c r="E1996" s="5">
        <v>0</v>
      </c>
      <c r="F1996" s="5">
        <v>0</v>
      </c>
      <c r="G1996" s="5">
        <v>0</v>
      </c>
      <c r="H1996" s="5">
        <v>0</v>
      </c>
      <c r="I1996" s="5">
        <v>0</v>
      </c>
      <c r="J1996" s="5">
        <v>0</v>
      </c>
      <c r="K1996" s="5">
        <v>0</v>
      </c>
      <c r="L1996" s="5">
        <v>0</v>
      </c>
      <c r="M1996" s="5">
        <v>0</v>
      </c>
      <c r="N1996" s="5">
        <v>0</v>
      </c>
      <c r="O1996" s="5" t="str">
        <f t="shared" ca="1" si="31"/>
        <v>Supplier 37</v>
      </c>
      <c r="P1996" s="20" t="str">
        <f ca="1">IFERROR(VLOOKUP(O1996,EMAILS!B:C,2,FALSE),"NOT FOUND IN EMAILS")</f>
        <v>supplier@gmail.com</v>
      </c>
      <c r="Q1996" t="str">
        <f ca="1">""&amp;IFERROR(VLOOKUP(O1996,EMAILS!B:D,3,FALSE),"NOT FOUND IN EMAILS")</f>
        <v/>
      </c>
      <c r="R1996" t="str">
        <f ca="1">""&amp;IFERROR(VLOOKUP(O1996,EMAILS!B:E,4,FALSE),"NO T FOUND IN EMAILS")</f>
        <v/>
      </c>
    </row>
    <row r="1997" spans="2:18" x14ac:dyDescent="0.25">
      <c r="B1997" s="5" t="s">
        <v>1999</v>
      </c>
      <c r="C1997" s="5" t="s">
        <v>6139</v>
      </c>
      <c r="D1997" s="5">
        <v>40</v>
      </c>
      <c r="E1997" s="5">
        <v>30</v>
      </c>
      <c r="F1997" s="5">
        <v>65</v>
      </c>
      <c r="G1997" s="5">
        <v>45</v>
      </c>
      <c r="H1997" s="5">
        <v>35</v>
      </c>
      <c r="I1997" s="5">
        <v>40</v>
      </c>
      <c r="J1997" s="5">
        <v>30</v>
      </c>
      <c r="K1997" s="5">
        <v>20</v>
      </c>
      <c r="L1997" s="5">
        <v>50</v>
      </c>
      <c r="M1997" s="5">
        <v>0</v>
      </c>
      <c r="N1997" s="5">
        <v>600</v>
      </c>
      <c r="O1997" s="5" t="str">
        <f t="shared" ca="1" si="31"/>
        <v>Supplier 107</v>
      </c>
      <c r="P1997" s="20" t="str">
        <f ca="1">IFERROR(VLOOKUP(O1997,EMAILS!B:C,2,FALSE),"NOT FOUND IN EMAILS")</f>
        <v>supplier@gmail.com</v>
      </c>
      <c r="Q1997" t="str">
        <f ca="1">""&amp;IFERROR(VLOOKUP(O1997,EMAILS!B:D,3,FALSE),"NOT FOUND IN EMAILS")</f>
        <v/>
      </c>
      <c r="R1997" t="str">
        <f ca="1">""&amp;IFERROR(VLOOKUP(O1997,EMAILS!B:E,4,FALSE),"NO T FOUND IN EMAILS")</f>
        <v/>
      </c>
    </row>
    <row r="1998" spans="2:18" x14ac:dyDescent="0.25">
      <c r="B1998" s="5" t="s">
        <v>2000</v>
      </c>
      <c r="C1998" s="5" t="s">
        <v>6140</v>
      </c>
      <c r="D1998" s="5">
        <v>10</v>
      </c>
      <c r="E1998" s="5">
        <v>20</v>
      </c>
      <c r="F1998" s="5">
        <v>35</v>
      </c>
      <c r="G1998" s="5">
        <v>15</v>
      </c>
      <c r="H1998" s="5">
        <v>20</v>
      </c>
      <c r="I1998" s="5">
        <v>20</v>
      </c>
      <c r="J1998" s="5">
        <v>0</v>
      </c>
      <c r="K1998" s="5">
        <v>0</v>
      </c>
      <c r="L1998" s="5">
        <v>20</v>
      </c>
      <c r="M1998" s="5">
        <v>0</v>
      </c>
      <c r="N1998" s="5">
        <v>1200</v>
      </c>
      <c r="O1998" s="5" t="str">
        <f t="shared" ca="1" si="31"/>
        <v>Supplier 2</v>
      </c>
      <c r="P1998" s="20" t="str">
        <f ca="1">IFERROR(VLOOKUP(O1998,EMAILS!B:C,2,FALSE),"NOT FOUND IN EMAILS")</f>
        <v>supplier@gmail.com</v>
      </c>
      <c r="Q1998" t="str">
        <f ca="1">""&amp;IFERROR(VLOOKUP(O1998,EMAILS!B:D,3,FALSE),"NOT FOUND IN EMAILS")</f>
        <v>supplier_logistics@gmail.com</v>
      </c>
      <c r="R1998" t="str">
        <f ca="1">""&amp;IFERROR(VLOOKUP(O1998,EMAILS!B:E,4,FALSE),"NO T FOUND IN EMAILS")</f>
        <v/>
      </c>
    </row>
    <row r="1999" spans="2:18" x14ac:dyDescent="0.25">
      <c r="B1999" s="5" t="s">
        <v>2001</v>
      </c>
      <c r="C1999" s="5" t="s">
        <v>6141</v>
      </c>
      <c r="D1999" s="5">
        <v>50</v>
      </c>
      <c r="E1999" s="5">
        <v>50</v>
      </c>
      <c r="F1999" s="5">
        <v>100</v>
      </c>
      <c r="G1999" s="5">
        <v>60</v>
      </c>
      <c r="H1999" s="5">
        <v>55</v>
      </c>
      <c r="I1999" s="5">
        <v>60</v>
      </c>
      <c r="J1999" s="5">
        <v>30</v>
      </c>
      <c r="K1999" s="5">
        <v>20</v>
      </c>
      <c r="L1999" s="5">
        <v>70</v>
      </c>
      <c r="M1999" s="5">
        <v>0</v>
      </c>
      <c r="N1999" s="5">
        <v>0</v>
      </c>
      <c r="O1999" s="5" t="str">
        <f t="shared" ca="1" si="31"/>
        <v>Supplier 161</v>
      </c>
      <c r="P1999" s="20" t="str">
        <f ca="1">IFERROR(VLOOKUP(O1999,EMAILS!B:C,2,FALSE),"NOT FOUND IN EMAILS")</f>
        <v>supplier@gmail.com</v>
      </c>
      <c r="Q1999" t="str">
        <f ca="1">""&amp;IFERROR(VLOOKUP(O1999,EMAILS!B:D,3,FALSE),"NOT FOUND IN EMAILS")</f>
        <v/>
      </c>
      <c r="R1999" t="str">
        <f ca="1">""&amp;IFERROR(VLOOKUP(O1999,EMAILS!B:E,4,FALSE),"NO T FOUND IN EMAILS")</f>
        <v/>
      </c>
    </row>
    <row r="2000" spans="2:18" x14ac:dyDescent="0.25">
      <c r="B2000" s="5" t="s">
        <v>2002</v>
      </c>
      <c r="C2000" s="5" t="s">
        <v>6142</v>
      </c>
      <c r="D2000" s="5">
        <v>0</v>
      </c>
      <c r="E2000" s="5">
        <v>0</v>
      </c>
      <c r="F2000" s="5">
        <v>32</v>
      </c>
      <c r="G2000" s="5">
        <v>0</v>
      </c>
      <c r="H2000" s="5">
        <v>32</v>
      </c>
      <c r="I2000" s="5">
        <v>0</v>
      </c>
      <c r="J2000" s="5">
        <v>0</v>
      </c>
      <c r="K2000" s="5">
        <v>32</v>
      </c>
      <c r="L2000" s="5">
        <v>0</v>
      </c>
      <c r="M2000" s="5">
        <v>0</v>
      </c>
      <c r="N2000" s="5">
        <v>78</v>
      </c>
      <c r="O2000" s="5" t="str">
        <f t="shared" ca="1" si="31"/>
        <v>Supplier 105</v>
      </c>
      <c r="P2000" s="20" t="str">
        <f ca="1">IFERROR(VLOOKUP(O2000,EMAILS!B:C,2,FALSE),"NOT FOUND IN EMAILS")</f>
        <v>supplier@gmail.com</v>
      </c>
      <c r="Q2000" t="str">
        <f ca="1">""&amp;IFERROR(VLOOKUP(O2000,EMAILS!B:D,3,FALSE),"NOT FOUND IN EMAILS")</f>
        <v/>
      </c>
      <c r="R2000" t="str">
        <f ca="1">""&amp;IFERROR(VLOOKUP(O2000,EMAILS!B:E,4,FALSE),"NO T FOUND IN EMAILS")</f>
        <v/>
      </c>
    </row>
    <row r="2001" spans="2:18" x14ac:dyDescent="0.25">
      <c r="B2001" s="5" t="s">
        <v>2003</v>
      </c>
      <c r="C2001" s="5" t="s">
        <v>6143</v>
      </c>
      <c r="D2001" s="5">
        <v>0</v>
      </c>
      <c r="E2001" s="5">
        <v>0</v>
      </c>
      <c r="F2001" s="5">
        <v>0</v>
      </c>
      <c r="G2001" s="5">
        <v>0</v>
      </c>
      <c r="H2001" s="5">
        <v>0</v>
      </c>
      <c r="I2001" s="5">
        <v>0</v>
      </c>
      <c r="J2001" s="5">
        <v>0</v>
      </c>
      <c r="K2001" s="5">
        <v>0</v>
      </c>
      <c r="L2001" s="5">
        <v>0</v>
      </c>
      <c r="M2001" s="5">
        <v>0</v>
      </c>
      <c r="N2001" s="5">
        <v>600</v>
      </c>
      <c r="O2001" s="5" t="str">
        <f t="shared" ca="1" si="31"/>
        <v>Supplier 193</v>
      </c>
      <c r="P2001" s="20" t="str">
        <f ca="1">IFERROR(VLOOKUP(O2001,EMAILS!B:C,2,FALSE),"NOT FOUND IN EMAILS")</f>
        <v>supplier@gmail.com</v>
      </c>
      <c r="Q2001" t="str">
        <f ca="1">""&amp;IFERROR(VLOOKUP(O2001,EMAILS!B:D,3,FALSE),"NOT FOUND IN EMAILS")</f>
        <v/>
      </c>
      <c r="R2001" t="str">
        <f ca="1">""&amp;IFERROR(VLOOKUP(O2001,EMAILS!B:E,4,FALSE),"NO T FOUND IN EMAILS")</f>
        <v/>
      </c>
    </row>
    <row r="2002" spans="2:18" x14ac:dyDescent="0.25">
      <c r="B2002" s="5" t="s">
        <v>2004</v>
      </c>
      <c r="C2002" s="5" t="s">
        <v>6144</v>
      </c>
      <c r="D2002" s="5">
        <v>2352</v>
      </c>
      <c r="E2002" s="5">
        <v>2058</v>
      </c>
      <c r="F2002" s="5">
        <v>2058</v>
      </c>
      <c r="G2002" s="5">
        <v>2058</v>
      </c>
      <c r="H2002" s="5">
        <v>2058</v>
      </c>
      <c r="I2002" s="5">
        <v>2058</v>
      </c>
      <c r="J2002" s="5">
        <v>1568</v>
      </c>
      <c r="K2002" s="5">
        <v>1470</v>
      </c>
      <c r="L2002" s="5">
        <v>1862</v>
      </c>
      <c r="M2002" s="5">
        <v>0</v>
      </c>
      <c r="N2002" s="5">
        <v>258</v>
      </c>
      <c r="O2002" s="5" t="str">
        <f t="shared" ca="1" si="31"/>
        <v>Supplier 36</v>
      </c>
      <c r="P2002" s="20" t="str">
        <f ca="1">IFERROR(VLOOKUP(O2002,EMAILS!B:C,2,FALSE),"NOT FOUND IN EMAILS")</f>
        <v>supplier@gmail.com</v>
      </c>
      <c r="Q2002" t="str">
        <f ca="1">""&amp;IFERROR(VLOOKUP(O2002,EMAILS!B:D,3,FALSE),"NOT FOUND IN EMAILS")</f>
        <v/>
      </c>
      <c r="R2002" t="str">
        <f ca="1">""&amp;IFERROR(VLOOKUP(O2002,EMAILS!B:E,4,FALSE),"NO T FOUND IN EMAILS")</f>
        <v/>
      </c>
    </row>
    <row r="2003" spans="2:18" x14ac:dyDescent="0.25">
      <c r="B2003" s="5" t="s">
        <v>2005</v>
      </c>
      <c r="C2003" s="5" t="s">
        <v>6145</v>
      </c>
      <c r="D2003" s="5">
        <v>294</v>
      </c>
      <c r="E2003" s="5">
        <v>196</v>
      </c>
      <c r="F2003" s="5">
        <v>196</v>
      </c>
      <c r="G2003" s="5">
        <v>196</v>
      </c>
      <c r="H2003" s="5">
        <v>196</v>
      </c>
      <c r="I2003" s="5">
        <v>196</v>
      </c>
      <c r="J2003" s="5">
        <v>196</v>
      </c>
      <c r="K2003" s="5">
        <v>196</v>
      </c>
      <c r="L2003" s="5">
        <v>98</v>
      </c>
      <c r="M2003" s="5">
        <v>0</v>
      </c>
      <c r="N2003" s="5">
        <v>278</v>
      </c>
      <c r="O2003" s="5" t="str">
        <f t="shared" ca="1" si="31"/>
        <v>Supplier 174</v>
      </c>
      <c r="P2003" s="20" t="str">
        <f ca="1">IFERROR(VLOOKUP(O2003,EMAILS!B:C,2,FALSE),"NOT FOUND IN EMAILS")</f>
        <v>supplier@gmail.com</v>
      </c>
      <c r="Q2003" t="str">
        <f ca="1">""&amp;IFERROR(VLOOKUP(O2003,EMAILS!B:D,3,FALSE),"NOT FOUND IN EMAILS")</f>
        <v/>
      </c>
      <c r="R2003" t="str">
        <f ca="1">""&amp;IFERROR(VLOOKUP(O2003,EMAILS!B:E,4,FALSE),"NO T FOUND IN EMAILS")</f>
        <v/>
      </c>
    </row>
    <row r="2004" spans="2:18" x14ac:dyDescent="0.25">
      <c r="B2004" s="5" t="s">
        <v>2006</v>
      </c>
      <c r="C2004" s="5" t="s">
        <v>6146</v>
      </c>
      <c r="D2004" s="5">
        <v>196</v>
      </c>
      <c r="E2004" s="5">
        <v>196</v>
      </c>
      <c r="F2004" s="5">
        <v>196</v>
      </c>
      <c r="G2004" s="5">
        <v>196</v>
      </c>
      <c r="H2004" s="5">
        <v>196</v>
      </c>
      <c r="I2004" s="5">
        <v>196</v>
      </c>
      <c r="J2004" s="5">
        <v>98</v>
      </c>
      <c r="K2004" s="5">
        <v>98</v>
      </c>
      <c r="L2004" s="5">
        <v>98</v>
      </c>
      <c r="M2004" s="5">
        <v>0</v>
      </c>
      <c r="N2004" s="5">
        <v>250</v>
      </c>
      <c r="O2004" s="5" t="str">
        <f t="shared" ca="1" si="31"/>
        <v>Supplier 172</v>
      </c>
      <c r="P2004" s="20" t="str">
        <f ca="1">IFERROR(VLOOKUP(O2004,EMAILS!B:C,2,FALSE),"NOT FOUND IN EMAILS")</f>
        <v>supplier@gmail.com</v>
      </c>
      <c r="Q2004" t="str">
        <f ca="1">""&amp;IFERROR(VLOOKUP(O2004,EMAILS!B:D,3,FALSE),"NOT FOUND IN EMAILS")</f>
        <v/>
      </c>
      <c r="R2004" t="str">
        <f ca="1">""&amp;IFERROR(VLOOKUP(O2004,EMAILS!B:E,4,FALSE),"NO T FOUND IN EMAILS")</f>
        <v/>
      </c>
    </row>
    <row r="2005" spans="2:18" x14ac:dyDescent="0.25">
      <c r="B2005" s="5" t="s">
        <v>2007</v>
      </c>
      <c r="C2005" s="5" t="s">
        <v>6147</v>
      </c>
      <c r="D2005" s="5">
        <v>725</v>
      </c>
      <c r="E2005" s="5">
        <v>620</v>
      </c>
      <c r="F2005" s="5">
        <v>810</v>
      </c>
      <c r="G2005" s="5">
        <v>720</v>
      </c>
      <c r="H2005" s="5">
        <v>830</v>
      </c>
      <c r="I2005" s="5">
        <v>820</v>
      </c>
      <c r="J2005" s="5">
        <v>510</v>
      </c>
      <c r="K2005" s="5">
        <v>520</v>
      </c>
      <c r="L2005" s="5">
        <v>620</v>
      </c>
      <c r="M2005" s="5">
        <v>0</v>
      </c>
      <c r="N2005" s="5">
        <v>0</v>
      </c>
      <c r="O2005" s="5" t="str">
        <f t="shared" ca="1" si="31"/>
        <v>Supplier 39</v>
      </c>
      <c r="P2005" s="20" t="str">
        <f ca="1">IFERROR(VLOOKUP(O2005,EMAILS!B:C,2,FALSE),"NOT FOUND IN EMAILS")</f>
        <v>supplier@gmail.com</v>
      </c>
      <c r="Q2005" t="str">
        <f ca="1">""&amp;IFERROR(VLOOKUP(O2005,EMAILS!B:D,3,FALSE),"NOT FOUND IN EMAILS")</f>
        <v/>
      </c>
      <c r="R2005" t="str">
        <f ca="1">""&amp;IFERROR(VLOOKUP(O2005,EMAILS!B:E,4,FALSE),"NO T FOUND IN EMAILS")</f>
        <v/>
      </c>
    </row>
    <row r="2006" spans="2:18" x14ac:dyDescent="0.25">
      <c r="B2006" s="5" t="s">
        <v>2008</v>
      </c>
      <c r="C2006" s="5" t="s">
        <v>6148</v>
      </c>
      <c r="D2006" s="5">
        <v>40</v>
      </c>
      <c r="E2006" s="5">
        <v>45</v>
      </c>
      <c r="F2006" s="5">
        <v>50</v>
      </c>
      <c r="G2006" s="5">
        <v>60</v>
      </c>
      <c r="H2006" s="5">
        <v>40</v>
      </c>
      <c r="I2006" s="5">
        <v>75</v>
      </c>
      <c r="J2006" s="5">
        <v>50</v>
      </c>
      <c r="K2006" s="5">
        <v>40</v>
      </c>
      <c r="L2006" s="5">
        <v>40</v>
      </c>
      <c r="M2006" s="5">
        <v>0</v>
      </c>
      <c r="N2006" s="5">
        <v>0</v>
      </c>
      <c r="O2006" s="5" t="str">
        <f t="shared" ca="1" si="31"/>
        <v>Supplier 42</v>
      </c>
      <c r="P2006" s="20" t="str">
        <f ca="1">IFERROR(VLOOKUP(O2006,EMAILS!B:C,2,FALSE),"NOT FOUND IN EMAILS")</f>
        <v>supplier@gmail.com</v>
      </c>
      <c r="Q2006" t="str">
        <f ca="1">""&amp;IFERROR(VLOOKUP(O2006,EMAILS!B:D,3,FALSE),"NOT FOUND IN EMAILS")</f>
        <v/>
      </c>
      <c r="R2006" t="str">
        <f ca="1">""&amp;IFERROR(VLOOKUP(O2006,EMAILS!B:E,4,FALSE),"NO T FOUND IN EMAILS")</f>
        <v/>
      </c>
    </row>
    <row r="2007" spans="2:18" x14ac:dyDescent="0.25">
      <c r="B2007" s="5" t="s">
        <v>2009</v>
      </c>
      <c r="C2007" s="5" t="s">
        <v>6149</v>
      </c>
      <c r="D2007" s="5">
        <v>10</v>
      </c>
      <c r="E2007" s="5">
        <v>10</v>
      </c>
      <c r="F2007" s="5">
        <v>20</v>
      </c>
      <c r="G2007" s="5">
        <v>10</v>
      </c>
      <c r="H2007" s="5">
        <v>10</v>
      </c>
      <c r="I2007" s="5">
        <v>10</v>
      </c>
      <c r="J2007" s="5">
        <v>10</v>
      </c>
      <c r="K2007" s="5">
        <v>10</v>
      </c>
      <c r="L2007" s="5">
        <v>10</v>
      </c>
      <c r="M2007" s="5">
        <v>0</v>
      </c>
      <c r="N2007" s="5">
        <v>260</v>
      </c>
      <c r="O2007" s="5" t="str">
        <f t="shared" ca="1" si="31"/>
        <v>Supplier 91</v>
      </c>
      <c r="P2007" s="20" t="str">
        <f ca="1">IFERROR(VLOOKUP(O2007,EMAILS!B:C,2,FALSE),"NOT FOUND IN EMAILS")</f>
        <v>supplier@gmail.com</v>
      </c>
      <c r="Q2007" t="str">
        <f ca="1">""&amp;IFERROR(VLOOKUP(O2007,EMAILS!B:D,3,FALSE),"NOT FOUND IN EMAILS")</f>
        <v/>
      </c>
      <c r="R2007" t="str">
        <f ca="1">""&amp;IFERROR(VLOOKUP(O2007,EMAILS!B:E,4,FALSE),"NO T FOUND IN EMAILS")</f>
        <v/>
      </c>
    </row>
    <row r="2008" spans="2:18" x14ac:dyDescent="0.25">
      <c r="B2008" s="5" t="s">
        <v>2010</v>
      </c>
      <c r="C2008" s="5" t="s">
        <v>6150</v>
      </c>
      <c r="D2008" s="5">
        <v>0</v>
      </c>
      <c r="E2008" s="5">
        <v>0</v>
      </c>
      <c r="F2008" s="5">
        <v>0</v>
      </c>
      <c r="G2008" s="5">
        <v>0</v>
      </c>
      <c r="H2008" s="5">
        <v>50</v>
      </c>
      <c r="I2008" s="5">
        <v>38</v>
      </c>
      <c r="J2008" s="5">
        <v>20</v>
      </c>
      <c r="K2008" s="5">
        <v>50</v>
      </c>
      <c r="L2008" s="5">
        <v>36</v>
      </c>
      <c r="M2008" s="5">
        <v>0</v>
      </c>
      <c r="N2008" s="5">
        <v>0</v>
      </c>
      <c r="O2008" s="5" t="str">
        <f t="shared" ca="1" si="31"/>
        <v>Supplier 185</v>
      </c>
      <c r="P2008" s="20" t="str">
        <f ca="1">IFERROR(VLOOKUP(O2008,EMAILS!B:C,2,FALSE),"NOT FOUND IN EMAILS")</f>
        <v>supplier@gmail.com</v>
      </c>
      <c r="Q2008" t="str">
        <f ca="1">""&amp;IFERROR(VLOOKUP(O2008,EMAILS!B:D,3,FALSE),"NOT FOUND IN EMAILS")</f>
        <v/>
      </c>
      <c r="R2008" t="str">
        <f ca="1">""&amp;IFERROR(VLOOKUP(O2008,EMAILS!B:E,4,FALSE),"NO T FOUND IN EMAILS")</f>
        <v/>
      </c>
    </row>
    <row r="2009" spans="2:18" x14ac:dyDescent="0.25">
      <c r="B2009" s="5" t="s">
        <v>2011</v>
      </c>
      <c r="C2009" s="5" t="s">
        <v>6151</v>
      </c>
      <c r="D2009" s="5">
        <v>3.024</v>
      </c>
      <c r="E2009" s="5">
        <v>0</v>
      </c>
      <c r="F2009" s="5">
        <v>0</v>
      </c>
      <c r="G2009" s="5">
        <v>0</v>
      </c>
      <c r="H2009" s="5">
        <v>1.35</v>
      </c>
      <c r="I2009" s="5">
        <v>1.026</v>
      </c>
      <c r="J2009" s="5">
        <v>0.54</v>
      </c>
      <c r="K2009" s="5">
        <v>1.35</v>
      </c>
      <c r="L2009" s="5">
        <v>0.97199999999999998</v>
      </c>
      <c r="M2009" s="5">
        <v>0</v>
      </c>
      <c r="N2009" s="5">
        <v>701</v>
      </c>
      <c r="O2009" s="5" t="str">
        <f t="shared" ca="1" si="31"/>
        <v>Supplier 120</v>
      </c>
      <c r="P2009" s="20" t="str">
        <f ca="1">IFERROR(VLOOKUP(O2009,EMAILS!B:C,2,FALSE),"NOT FOUND IN EMAILS")</f>
        <v>supplier@gmail.com</v>
      </c>
      <c r="Q2009" t="str">
        <f ca="1">""&amp;IFERROR(VLOOKUP(O2009,EMAILS!B:D,3,FALSE),"NOT FOUND IN EMAILS")</f>
        <v/>
      </c>
      <c r="R2009" t="str">
        <f ca="1">""&amp;IFERROR(VLOOKUP(O2009,EMAILS!B:E,4,FALSE),"NO T FOUND IN EMAILS")</f>
        <v/>
      </c>
    </row>
    <row r="2010" spans="2:18" x14ac:dyDescent="0.25">
      <c r="B2010" s="5" t="s">
        <v>2012</v>
      </c>
      <c r="C2010" s="5" t="s">
        <v>6152</v>
      </c>
      <c r="D2010" s="5">
        <v>50</v>
      </c>
      <c r="E2010" s="5">
        <v>55</v>
      </c>
      <c r="F2010" s="5">
        <v>70</v>
      </c>
      <c r="G2010" s="5">
        <v>70</v>
      </c>
      <c r="H2010" s="5">
        <v>50</v>
      </c>
      <c r="I2010" s="5">
        <v>85</v>
      </c>
      <c r="J2010" s="5">
        <v>60</v>
      </c>
      <c r="K2010" s="5">
        <v>50</v>
      </c>
      <c r="L2010" s="5">
        <v>50</v>
      </c>
      <c r="M2010" s="5">
        <v>0</v>
      </c>
      <c r="N2010" s="5">
        <v>2074</v>
      </c>
      <c r="O2010" s="5" t="str">
        <f t="shared" ca="1" si="31"/>
        <v>Supplier 132</v>
      </c>
      <c r="P2010" s="20" t="str">
        <f ca="1">IFERROR(VLOOKUP(O2010,EMAILS!B:C,2,FALSE),"NOT FOUND IN EMAILS")</f>
        <v>supplier@gmail.com</v>
      </c>
      <c r="Q2010" t="str">
        <f ca="1">""&amp;IFERROR(VLOOKUP(O2010,EMAILS!B:D,3,FALSE),"NOT FOUND IN EMAILS")</f>
        <v/>
      </c>
      <c r="R2010" t="str">
        <f ca="1">""&amp;IFERROR(VLOOKUP(O2010,EMAILS!B:E,4,FALSE),"NO T FOUND IN EMAILS")</f>
        <v/>
      </c>
    </row>
    <row r="2011" spans="2:18" x14ac:dyDescent="0.25">
      <c r="B2011" s="5" t="s">
        <v>2013</v>
      </c>
      <c r="C2011" s="5" t="s">
        <v>6153</v>
      </c>
      <c r="D2011" s="5">
        <v>0</v>
      </c>
      <c r="E2011" s="5">
        <v>0</v>
      </c>
      <c r="F2011" s="5">
        <v>0</v>
      </c>
      <c r="G2011" s="5">
        <v>0</v>
      </c>
      <c r="H2011" s="5">
        <v>200</v>
      </c>
      <c r="I2011" s="5">
        <v>0</v>
      </c>
      <c r="J2011" s="5">
        <v>0</v>
      </c>
      <c r="K2011" s="5">
        <v>0</v>
      </c>
      <c r="L2011" s="5">
        <v>0</v>
      </c>
      <c r="M2011" s="5">
        <v>0</v>
      </c>
      <c r="N2011" s="5">
        <v>4</v>
      </c>
      <c r="O2011" s="5" t="str">
        <f t="shared" ca="1" si="31"/>
        <v>Supplier 165</v>
      </c>
      <c r="P2011" s="20" t="str">
        <f ca="1">IFERROR(VLOOKUP(O2011,EMAILS!B:C,2,FALSE),"NOT FOUND IN EMAILS")</f>
        <v>supplier@gmail.com</v>
      </c>
      <c r="Q2011" t="str">
        <f ca="1">""&amp;IFERROR(VLOOKUP(O2011,EMAILS!B:D,3,FALSE),"NOT FOUND IN EMAILS")</f>
        <v/>
      </c>
      <c r="R2011" t="str">
        <f ca="1">""&amp;IFERROR(VLOOKUP(O2011,EMAILS!B:E,4,FALSE),"NO T FOUND IN EMAILS")</f>
        <v/>
      </c>
    </row>
    <row r="2012" spans="2:18" x14ac:dyDescent="0.25">
      <c r="B2012" s="5" t="s">
        <v>2014</v>
      </c>
      <c r="C2012" s="5" t="s">
        <v>6154</v>
      </c>
      <c r="D2012" s="5">
        <v>0</v>
      </c>
      <c r="E2012" s="5">
        <v>0</v>
      </c>
      <c r="F2012" s="5">
        <v>11</v>
      </c>
      <c r="G2012" s="5">
        <v>11</v>
      </c>
      <c r="H2012" s="5">
        <v>11</v>
      </c>
      <c r="I2012" s="5">
        <v>11</v>
      </c>
      <c r="J2012" s="5">
        <v>11</v>
      </c>
      <c r="K2012" s="5">
        <v>11</v>
      </c>
      <c r="L2012" s="5">
        <v>11</v>
      </c>
      <c r="M2012" s="5">
        <v>0</v>
      </c>
      <c r="N2012" s="5">
        <v>0</v>
      </c>
      <c r="O2012" s="5" t="str">
        <f t="shared" ca="1" si="31"/>
        <v>Supplier 196</v>
      </c>
      <c r="P2012" s="20" t="str">
        <f ca="1">IFERROR(VLOOKUP(O2012,EMAILS!B:C,2,FALSE),"NOT FOUND IN EMAILS")</f>
        <v>supplier@gmail.com</v>
      </c>
      <c r="Q2012" t="str">
        <f ca="1">""&amp;IFERROR(VLOOKUP(O2012,EMAILS!B:D,3,FALSE),"NOT FOUND IN EMAILS")</f>
        <v/>
      </c>
      <c r="R2012" t="str">
        <f ca="1">""&amp;IFERROR(VLOOKUP(O2012,EMAILS!B:E,4,FALSE),"NO T FOUND IN EMAILS")</f>
        <v/>
      </c>
    </row>
    <row r="2013" spans="2:18" x14ac:dyDescent="0.25">
      <c r="B2013" s="5" t="s">
        <v>2015</v>
      </c>
      <c r="C2013" s="5" t="s">
        <v>6155</v>
      </c>
      <c r="D2013" s="5">
        <v>0</v>
      </c>
      <c r="E2013" s="5">
        <v>0</v>
      </c>
      <c r="F2013" s="5">
        <v>0</v>
      </c>
      <c r="G2013" s="5">
        <v>0</v>
      </c>
      <c r="H2013" s="5">
        <v>0</v>
      </c>
      <c r="I2013" s="5">
        <v>0</v>
      </c>
      <c r="J2013" s="5">
        <v>0</v>
      </c>
      <c r="K2013" s="5">
        <v>0</v>
      </c>
      <c r="L2013" s="5">
        <v>0</v>
      </c>
      <c r="M2013" s="5">
        <v>0</v>
      </c>
      <c r="N2013" s="5">
        <v>6</v>
      </c>
      <c r="O2013" s="5" t="str">
        <f t="shared" ca="1" si="31"/>
        <v>Supplier 75</v>
      </c>
      <c r="P2013" s="20" t="str">
        <f ca="1">IFERROR(VLOOKUP(O2013,EMAILS!B:C,2,FALSE),"NOT FOUND IN EMAILS")</f>
        <v>supplier@gmail.com</v>
      </c>
      <c r="Q2013" t="str">
        <f ca="1">""&amp;IFERROR(VLOOKUP(O2013,EMAILS!B:D,3,FALSE),"NOT FOUND IN EMAILS")</f>
        <v/>
      </c>
      <c r="R2013" t="str">
        <f ca="1">""&amp;IFERROR(VLOOKUP(O2013,EMAILS!B:E,4,FALSE),"NO T FOUND IN EMAILS")</f>
        <v/>
      </c>
    </row>
    <row r="2014" spans="2:18" x14ac:dyDescent="0.25">
      <c r="B2014" s="5" t="s">
        <v>2016</v>
      </c>
      <c r="C2014" s="5" t="s">
        <v>6156</v>
      </c>
      <c r="D2014" s="5">
        <v>10</v>
      </c>
      <c r="E2014" s="5">
        <v>0</v>
      </c>
      <c r="F2014" s="5">
        <v>0</v>
      </c>
      <c r="G2014" s="5">
        <v>10</v>
      </c>
      <c r="H2014" s="5">
        <v>10</v>
      </c>
      <c r="I2014" s="5">
        <v>0</v>
      </c>
      <c r="J2014" s="5">
        <v>0</v>
      </c>
      <c r="K2014" s="5">
        <v>0</v>
      </c>
      <c r="L2014" s="5">
        <v>0</v>
      </c>
      <c r="M2014" s="5">
        <v>0</v>
      </c>
      <c r="N2014" s="5">
        <v>0</v>
      </c>
      <c r="O2014" s="5" t="str">
        <f t="shared" ca="1" si="31"/>
        <v>Supplier 58</v>
      </c>
      <c r="P2014" s="20" t="str">
        <f ca="1">IFERROR(VLOOKUP(O2014,EMAILS!B:C,2,FALSE),"NOT FOUND IN EMAILS")</f>
        <v>supplier@gmail.com</v>
      </c>
      <c r="Q2014" t="str">
        <f ca="1">""&amp;IFERROR(VLOOKUP(O2014,EMAILS!B:D,3,FALSE),"NOT FOUND IN EMAILS")</f>
        <v/>
      </c>
      <c r="R2014" t="str">
        <f ca="1">""&amp;IFERROR(VLOOKUP(O2014,EMAILS!B:E,4,FALSE),"NO T FOUND IN EMAILS")</f>
        <v/>
      </c>
    </row>
    <row r="2015" spans="2:18" x14ac:dyDescent="0.25">
      <c r="B2015" s="5" t="s">
        <v>2017</v>
      </c>
      <c r="C2015" s="5" t="s">
        <v>6157</v>
      </c>
      <c r="D2015" s="5">
        <v>0</v>
      </c>
      <c r="E2015" s="5">
        <v>0</v>
      </c>
      <c r="F2015" s="5">
        <v>0</v>
      </c>
      <c r="G2015" s="5">
        <v>0</v>
      </c>
      <c r="H2015" s="5">
        <v>0</v>
      </c>
      <c r="I2015" s="5">
        <v>0</v>
      </c>
      <c r="J2015" s="5">
        <v>0</v>
      </c>
      <c r="K2015" s="5">
        <v>0</v>
      </c>
      <c r="L2015" s="5">
        <v>0</v>
      </c>
      <c r="M2015" s="5">
        <v>0</v>
      </c>
      <c r="N2015" s="5">
        <v>30</v>
      </c>
      <c r="O2015" s="5" t="str">
        <f t="shared" ca="1" si="31"/>
        <v>Supplier 16</v>
      </c>
      <c r="P2015" s="20" t="str">
        <f ca="1">IFERROR(VLOOKUP(O2015,EMAILS!B:C,2,FALSE),"NOT FOUND IN EMAILS")</f>
        <v>supplier@gmail.com</v>
      </c>
      <c r="Q2015" t="str">
        <f ca="1">""&amp;IFERROR(VLOOKUP(O2015,EMAILS!B:D,3,FALSE),"NOT FOUND IN EMAILS")</f>
        <v>supplier_logistics@gmail.com</v>
      </c>
      <c r="R2015" t="str">
        <f ca="1">""&amp;IFERROR(VLOOKUP(O2015,EMAILS!B:E,4,FALSE),"NO T FOUND IN EMAILS")</f>
        <v/>
      </c>
    </row>
    <row r="2016" spans="2:18" x14ac:dyDescent="0.25">
      <c r="B2016" s="5" t="s">
        <v>2018</v>
      </c>
      <c r="C2016" s="5" t="s">
        <v>6158</v>
      </c>
      <c r="D2016" s="5">
        <v>0</v>
      </c>
      <c r="E2016" s="5">
        <v>0</v>
      </c>
      <c r="F2016" s="5">
        <v>0</v>
      </c>
      <c r="G2016" s="5">
        <v>0</v>
      </c>
      <c r="H2016" s="5">
        <v>0</v>
      </c>
      <c r="I2016" s="5">
        <v>0</v>
      </c>
      <c r="J2016" s="5">
        <v>0</v>
      </c>
      <c r="K2016" s="5">
        <v>0</v>
      </c>
      <c r="L2016" s="5">
        <v>0</v>
      </c>
      <c r="M2016" s="5">
        <v>0</v>
      </c>
      <c r="N2016" s="5">
        <v>1583</v>
      </c>
      <c r="O2016" s="5" t="str">
        <f t="shared" ca="1" si="31"/>
        <v>Supplier 167</v>
      </c>
      <c r="P2016" s="20" t="str">
        <f ca="1">IFERROR(VLOOKUP(O2016,EMAILS!B:C,2,FALSE),"NOT FOUND IN EMAILS")</f>
        <v>supplier@gmail.com</v>
      </c>
      <c r="Q2016" t="str">
        <f ca="1">""&amp;IFERROR(VLOOKUP(O2016,EMAILS!B:D,3,FALSE),"NOT FOUND IN EMAILS")</f>
        <v/>
      </c>
      <c r="R2016" t="str">
        <f ca="1">""&amp;IFERROR(VLOOKUP(O2016,EMAILS!B:E,4,FALSE),"NO T FOUND IN EMAILS")</f>
        <v/>
      </c>
    </row>
    <row r="2017" spans="2:18" x14ac:dyDescent="0.25">
      <c r="B2017" s="5" t="s">
        <v>2019</v>
      </c>
      <c r="C2017" s="5" t="s">
        <v>6159</v>
      </c>
      <c r="D2017" s="5">
        <v>420</v>
      </c>
      <c r="E2017" s="5">
        <v>420</v>
      </c>
      <c r="F2017" s="5">
        <v>420</v>
      </c>
      <c r="G2017" s="5">
        <v>420</v>
      </c>
      <c r="H2017" s="5">
        <v>420</v>
      </c>
      <c r="I2017" s="5">
        <v>600</v>
      </c>
      <c r="J2017" s="5">
        <v>0</v>
      </c>
      <c r="K2017" s="5">
        <v>420</v>
      </c>
      <c r="L2017" s="5">
        <v>420</v>
      </c>
      <c r="M2017" s="5">
        <v>0</v>
      </c>
      <c r="N2017" s="5">
        <v>2572</v>
      </c>
      <c r="O2017" s="5" t="str">
        <f t="shared" ca="1" si="31"/>
        <v>Supplier 113</v>
      </c>
      <c r="P2017" s="20" t="str">
        <f ca="1">IFERROR(VLOOKUP(O2017,EMAILS!B:C,2,FALSE),"NOT FOUND IN EMAILS")</f>
        <v>supplier@gmail.com</v>
      </c>
      <c r="Q2017" t="str">
        <f ca="1">""&amp;IFERROR(VLOOKUP(O2017,EMAILS!B:D,3,FALSE),"NOT FOUND IN EMAILS")</f>
        <v/>
      </c>
      <c r="R2017" t="str">
        <f ca="1">""&amp;IFERROR(VLOOKUP(O2017,EMAILS!B:E,4,FALSE),"NO T FOUND IN EMAILS")</f>
        <v/>
      </c>
    </row>
    <row r="2018" spans="2:18" x14ac:dyDescent="0.25">
      <c r="B2018" s="5" t="s">
        <v>2020</v>
      </c>
      <c r="C2018" s="5" t="s">
        <v>6160</v>
      </c>
      <c r="D2018" s="5">
        <v>0</v>
      </c>
      <c r="E2018" s="5">
        <v>0</v>
      </c>
      <c r="F2018" s="5">
        <v>720</v>
      </c>
      <c r="G2018" s="5">
        <v>0</v>
      </c>
      <c r="H2018" s="5">
        <v>360</v>
      </c>
      <c r="I2018" s="5">
        <v>360</v>
      </c>
      <c r="J2018" s="5">
        <v>0</v>
      </c>
      <c r="K2018" s="5">
        <v>360</v>
      </c>
      <c r="L2018" s="5">
        <v>600</v>
      </c>
      <c r="M2018" s="5">
        <v>0</v>
      </c>
      <c r="N2018" s="5">
        <v>8046</v>
      </c>
      <c r="O2018" s="5" t="str">
        <f t="shared" ca="1" si="31"/>
        <v>Supplier 45</v>
      </c>
      <c r="P2018" s="20" t="str">
        <f ca="1">IFERROR(VLOOKUP(O2018,EMAILS!B:C,2,FALSE),"NOT FOUND IN EMAILS")</f>
        <v>supplier@gmail.com</v>
      </c>
      <c r="Q2018" t="str">
        <f ca="1">""&amp;IFERROR(VLOOKUP(O2018,EMAILS!B:D,3,FALSE),"NOT FOUND IN EMAILS")</f>
        <v/>
      </c>
      <c r="R2018" t="str">
        <f ca="1">""&amp;IFERROR(VLOOKUP(O2018,EMAILS!B:E,4,FALSE),"NO T FOUND IN EMAILS")</f>
        <v/>
      </c>
    </row>
    <row r="2019" spans="2:18" x14ac:dyDescent="0.25">
      <c r="B2019" s="5" t="s">
        <v>2021</v>
      </c>
      <c r="C2019" s="5" t="s">
        <v>6161</v>
      </c>
      <c r="D2019" s="5">
        <v>1200</v>
      </c>
      <c r="E2019" s="5">
        <v>0</v>
      </c>
      <c r="F2019" s="5">
        <v>600</v>
      </c>
      <c r="G2019" s="5">
        <v>0</v>
      </c>
      <c r="H2019" s="5">
        <v>0</v>
      </c>
      <c r="I2019" s="5">
        <v>0</v>
      </c>
      <c r="J2019" s="5">
        <v>0</v>
      </c>
      <c r="K2019" s="5">
        <v>0</v>
      </c>
      <c r="L2019" s="5">
        <v>0</v>
      </c>
      <c r="M2019" s="5">
        <v>0</v>
      </c>
      <c r="N2019" s="5">
        <v>1782</v>
      </c>
      <c r="O2019" s="5" t="str">
        <f t="shared" ca="1" si="31"/>
        <v>Supplier 100</v>
      </c>
      <c r="P2019" s="20" t="str">
        <f ca="1">IFERROR(VLOOKUP(O2019,EMAILS!B:C,2,FALSE),"NOT FOUND IN EMAILS")</f>
        <v>supplier@gmail.com</v>
      </c>
      <c r="Q2019" t="str">
        <f ca="1">""&amp;IFERROR(VLOOKUP(O2019,EMAILS!B:D,3,FALSE),"NOT FOUND IN EMAILS")</f>
        <v/>
      </c>
      <c r="R2019" t="str">
        <f ca="1">""&amp;IFERROR(VLOOKUP(O2019,EMAILS!B:E,4,FALSE),"NO T FOUND IN EMAILS")</f>
        <v/>
      </c>
    </row>
    <row r="2020" spans="2:18" x14ac:dyDescent="0.25">
      <c r="B2020" s="5" t="s">
        <v>2022</v>
      </c>
      <c r="C2020" s="5" t="s">
        <v>6162</v>
      </c>
      <c r="D2020" s="5">
        <v>300</v>
      </c>
      <c r="E2020" s="5">
        <v>300</v>
      </c>
      <c r="F2020" s="5">
        <v>300</v>
      </c>
      <c r="G2020" s="5">
        <v>400</v>
      </c>
      <c r="H2020" s="5">
        <v>0</v>
      </c>
      <c r="I2020" s="5">
        <v>300</v>
      </c>
      <c r="J2020" s="5">
        <v>0</v>
      </c>
      <c r="K2020" s="5">
        <v>0</v>
      </c>
      <c r="L2020" s="5">
        <v>300</v>
      </c>
      <c r="M2020" s="5">
        <v>0</v>
      </c>
      <c r="N2020" s="5">
        <v>624</v>
      </c>
      <c r="O2020" s="5" t="str">
        <f t="shared" ca="1" si="31"/>
        <v>Supplier 198</v>
      </c>
      <c r="P2020" s="20" t="str">
        <f ca="1">IFERROR(VLOOKUP(O2020,EMAILS!B:C,2,FALSE),"NOT FOUND IN EMAILS")</f>
        <v>supplier@gmail.com</v>
      </c>
      <c r="Q2020" t="str">
        <f ca="1">""&amp;IFERROR(VLOOKUP(O2020,EMAILS!B:D,3,FALSE),"NOT FOUND IN EMAILS")</f>
        <v/>
      </c>
      <c r="R2020" t="str">
        <f ca="1">""&amp;IFERROR(VLOOKUP(O2020,EMAILS!B:E,4,FALSE),"NO T FOUND IN EMAILS")</f>
        <v/>
      </c>
    </row>
    <row r="2021" spans="2:18" x14ac:dyDescent="0.25">
      <c r="B2021" s="5" t="s">
        <v>2023</v>
      </c>
      <c r="C2021" s="5" t="s">
        <v>6163</v>
      </c>
      <c r="D2021" s="5">
        <v>200</v>
      </c>
      <c r="E2021" s="5">
        <v>0</v>
      </c>
      <c r="F2021" s="5">
        <v>200</v>
      </c>
      <c r="G2021" s="5">
        <v>200</v>
      </c>
      <c r="H2021" s="5">
        <v>300</v>
      </c>
      <c r="I2021" s="5">
        <v>200</v>
      </c>
      <c r="J2021" s="5">
        <v>200</v>
      </c>
      <c r="K2021" s="5">
        <v>200</v>
      </c>
      <c r="L2021" s="5">
        <v>200</v>
      </c>
      <c r="M2021" s="5">
        <v>0</v>
      </c>
      <c r="N2021" s="5">
        <v>35</v>
      </c>
      <c r="O2021" s="5" t="str">
        <f t="shared" ca="1" si="31"/>
        <v>Supplier 106</v>
      </c>
      <c r="P2021" s="20" t="str">
        <f ca="1">IFERROR(VLOOKUP(O2021,EMAILS!B:C,2,FALSE),"NOT FOUND IN EMAILS")</f>
        <v>supplier@gmail.com</v>
      </c>
      <c r="Q2021" t="str">
        <f ca="1">""&amp;IFERROR(VLOOKUP(O2021,EMAILS!B:D,3,FALSE),"NOT FOUND IN EMAILS")</f>
        <v/>
      </c>
      <c r="R2021" t="str">
        <f ca="1">""&amp;IFERROR(VLOOKUP(O2021,EMAILS!B:E,4,FALSE),"NO T FOUND IN EMAILS")</f>
        <v/>
      </c>
    </row>
    <row r="2022" spans="2:18" x14ac:dyDescent="0.25">
      <c r="B2022" s="5" t="s">
        <v>2024</v>
      </c>
      <c r="C2022" s="5" t="s">
        <v>6164</v>
      </c>
      <c r="D2022" s="5">
        <v>1</v>
      </c>
      <c r="E2022" s="5">
        <v>0</v>
      </c>
      <c r="F2022" s="5">
        <v>2</v>
      </c>
      <c r="G2022" s="5">
        <v>2</v>
      </c>
      <c r="H2022" s="5">
        <v>1</v>
      </c>
      <c r="I2022" s="5">
        <v>0</v>
      </c>
      <c r="J2022" s="5">
        <v>0</v>
      </c>
      <c r="K2022" s="5">
        <v>0</v>
      </c>
      <c r="L2022" s="5">
        <v>0</v>
      </c>
      <c r="M2022" s="5">
        <v>0</v>
      </c>
      <c r="N2022" s="5">
        <v>81</v>
      </c>
      <c r="O2022" s="5" t="str">
        <f t="shared" ca="1" si="31"/>
        <v>Supplier 127</v>
      </c>
      <c r="P2022" s="20" t="str">
        <f ca="1">IFERROR(VLOOKUP(O2022,EMAILS!B:C,2,FALSE),"NOT FOUND IN EMAILS")</f>
        <v>supplier@gmail.com</v>
      </c>
      <c r="Q2022" t="str">
        <f ca="1">""&amp;IFERROR(VLOOKUP(O2022,EMAILS!B:D,3,FALSE),"NOT FOUND IN EMAILS")</f>
        <v/>
      </c>
      <c r="R2022" t="str">
        <f ca="1">""&amp;IFERROR(VLOOKUP(O2022,EMAILS!B:E,4,FALSE),"NO T FOUND IN EMAILS")</f>
        <v/>
      </c>
    </row>
    <row r="2023" spans="2:18" x14ac:dyDescent="0.25">
      <c r="B2023" s="5" t="s">
        <v>2025</v>
      </c>
      <c r="C2023" s="5" t="s">
        <v>6165</v>
      </c>
      <c r="D2023" s="5">
        <v>0</v>
      </c>
      <c r="E2023" s="5">
        <v>0</v>
      </c>
      <c r="F2023" s="5">
        <v>0</v>
      </c>
      <c r="G2023" s="5">
        <v>0</v>
      </c>
      <c r="H2023" s="5">
        <v>0</v>
      </c>
      <c r="I2023" s="5">
        <v>0</v>
      </c>
      <c r="J2023" s="5">
        <v>0</v>
      </c>
      <c r="K2023" s="5">
        <v>0</v>
      </c>
      <c r="L2023" s="5">
        <v>0</v>
      </c>
      <c r="M2023" s="5">
        <v>0</v>
      </c>
      <c r="N2023" s="5">
        <v>2</v>
      </c>
      <c r="O2023" s="5" t="str">
        <f t="shared" ca="1" si="31"/>
        <v>Supplier 200</v>
      </c>
      <c r="P2023" s="20" t="str">
        <f ca="1">IFERROR(VLOOKUP(O2023,EMAILS!B:C,2,FALSE),"NOT FOUND IN EMAILS")</f>
        <v>supplier@gmail.com</v>
      </c>
      <c r="Q2023" t="str">
        <f ca="1">""&amp;IFERROR(VLOOKUP(O2023,EMAILS!B:D,3,FALSE),"NOT FOUND IN EMAILS")</f>
        <v/>
      </c>
      <c r="R2023" t="str">
        <f ca="1">""&amp;IFERROR(VLOOKUP(O2023,EMAILS!B:E,4,FALSE),"NO T FOUND IN EMAILS")</f>
        <v/>
      </c>
    </row>
    <row r="2024" spans="2:18" x14ac:dyDescent="0.25">
      <c r="B2024" s="5" t="s">
        <v>2026</v>
      </c>
      <c r="C2024" s="5" t="s">
        <v>6166</v>
      </c>
      <c r="D2024" s="5">
        <v>0</v>
      </c>
      <c r="E2024" s="5">
        <v>0</v>
      </c>
      <c r="F2024" s="5">
        <v>1</v>
      </c>
      <c r="G2024" s="5">
        <v>0</v>
      </c>
      <c r="H2024" s="5">
        <v>0</v>
      </c>
      <c r="I2024" s="5">
        <v>0</v>
      </c>
      <c r="J2024" s="5">
        <v>0</v>
      </c>
      <c r="K2024" s="5">
        <v>0</v>
      </c>
      <c r="L2024" s="5">
        <v>0</v>
      </c>
      <c r="M2024" s="5">
        <v>0</v>
      </c>
      <c r="N2024" s="5">
        <v>38</v>
      </c>
      <c r="O2024" s="5" t="str">
        <f t="shared" ca="1" si="31"/>
        <v>Supplier 197</v>
      </c>
      <c r="P2024" s="20" t="str">
        <f ca="1">IFERROR(VLOOKUP(O2024,EMAILS!B:C,2,FALSE),"NOT FOUND IN EMAILS")</f>
        <v>supplier@gmail.com</v>
      </c>
      <c r="Q2024" t="str">
        <f ca="1">""&amp;IFERROR(VLOOKUP(O2024,EMAILS!B:D,3,FALSE),"NOT FOUND IN EMAILS")</f>
        <v/>
      </c>
      <c r="R2024" t="str">
        <f ca="1">""&amp;IFERROR(VLOOKUP(O2024,EMAILS!B:E,4,FALSE),"NO T FOUND IN EMAILS")</f>
        <v/>
      </c>
    </row>
    <row r="2025" spans="2:18" x14ac:dyDescent="0.25">
      <c r="B2025" s="5" t="s">
        <v>2027</v>
      </c>
      <c r="C2025" s="5" t="s">
        <v>6167</v>
      </c>
      <c r="D2025" s="5">
        <v>0</v>
      </c>
      <c r="E2025" s="5">
        <v>0</v>
      </c>
      <c r="F2025" s="5">
        <v>0</v>
      </c>
      <c r="G2025" s="5">
        <v>0</v>
      </c>
      <c r="H2025" s="5">
        <v>0</v>
      </c>
      <c r="I2025" s="5">
        <v>0</v>
      </c>
      <c r="J2025" s="5">
        <v>0</v>
      </c>
      <c r="K2025" s="5">
        <v>0</v>
      </c>
      <c r="L2025" s="5">
        <v>0</v>
      </c>
      <c r="M2025" s="5">
        <v>0</v>
      </c>
      <c r="N2025" s="5">
        <v>443.995</v>
      </c>
      <c r="O2025" s="5" t="str">
        <f t="shared" ca="1" si="31"/>
        <v>Supplier 193</v>
      </c>
      <c r="P2025" s="20" t="str">
        <f ca="1">IFERROR(VLOOKUP(O2025,EMAILS!B:C,2,FALSE),"NOT FOUND IN EMAILS")</f>
        <v>supplier@gmail.com</v>
      </c>
      <c r="Q2025" t="str">
        <f ca="1">""&amp;IFERROR(VLOOKUP(O2025,EMAILS!B:D,3,FALSE),"NOT FOUND IN EMAILS")</f>
        <v/>
      </c>
      <c r="R2025" t="str">
        <f ca="1">""&amp;IFERROR(VLOOKUP(O2025,EMAILS!B:E,4,FALSE),"NO T FOUND IN EMAILS")</f>
        <v/>
      </c>
    </row>
    <row r="2026" spans="2:18" x14ac:dyDescent="0.25">
      <c r="B2026" s="5" t="s">
        <v>2028</v>
      </c>
      <c r="C2026" s="5" t="s">
        <v>6168</v>
      </c>
      <c r="D2026" s="5">
        <v>0</v>
      </c>
      <c r="E2026" s="5">
        <v>0</v>
      </c>
      <c r="F2026" s="5">
        <v>0</v>
      </c>
      <c r="G2026" s="5">
        <v>0</v>
      </c>
      <c r="H2026" s="5">
        <v>0</v>
      </c>
      <c r="I2026" s="5">
        <v>0</v>
      </c>
      <c r="J2026" s="5">
        <v>0</v>
      </c>
      <c r="K2026" s="5">
        <v>0</v>
      </c>
      <c r="L2026" s="5">
        <v>0</v>
      </c>
      <c r="M2026" s="5">
        <v>0</v>
      </c>
      <c r="N2026" s="5">
        <v>198.8</v>
      </c>
      <c r="O2026" s="5" t="str">
        <f t="shared" ca="1" si="31"/>
        <v>Supplier 187</v>
      </c>
      <c r="P2026" s="20" t="str">
        <f ca="1">IFERROR(VLOOKUP(O2026,EMAILS!B:C,2,FALSE),"NOT FOUND IN EMAILS")</f>
        <v>supplier@gmail.com</v>
      </c>
      <c r="Q2026" t="str">
        <f ca="1">""&amp;IFERROR(VLOOKUP(O2026,EMAILS!B:D,3,FALSE),"NOT FOUND IN EMAILS")</f>
        <v/>
      </c>
      <c r="R2026" t="str">
        <f ca="1">""&amp;IFERROR(VLOOKUP(O2026,EMAILS!B:E,4,FALSE),"NO T FOUND IN EMAILS")</f>
        <v/>
      </c>
    </row>
    <row r="2027" spans="2:18" x14ac:dyDescent="0.25">
      <c r="B2027" s="5" t="s">
        <v>2029</v>
      </c>
      <c r="C2027" s="5" t="s">
        <v>6169</v>
      </c>
      <c r="D2027" s="5">
        <v>0</v>
      </c>
      <c r="E2027" s="5">
        <v>0</v>
      </c>
      <c r="F2027" s="5">
        <v>0</v>
      </c>
      <c r="G2027" s="5">
        <v>407.47500000000002</v>
      </c>
      <c r="H2027" s="5">
        <v>0</v>
      </c>
      <c r="I2027" s="5">
        <v>0</v>
      </c>
      <c r="J2027" s="5">
        <v>0</v>
      </c>
      <c r="K2027" s="5">
        <v>0</v>
      </c>
      <c r="L2027" s="5">
        <v>0</v>
      </c>
      <c r="M2027" s="5">
        <v>0</v>
      </c>
      <c r="N2027" s="5">
        <v>544</v>
      </c>
      <c r="O2027" s="5" t="str">
        <f t="shared" ca="1" si="31"/>
        <v>Supplier 69</v>
      </c>
      <c r="P2027" s="20" t="str">
        <f ca="1">IFERROR(VLOOKUP(O2027,EMAILS!B:C,2,FALSE),"NOT FOUND IN EMAILS")</f>
        <v>supplier@gmail.com</v>
      </c>
      <c r="Q2027" t="str">
        <f ca="1">""&amp;IFERROR(VLOOKUP(O2027,EMAILS!B:D,3,FALSE),"NOT FOUND IN EMAILS")</f>
        <v/>
      </c>
      <c r="R2027" t="str">
        <f ca="1">""&amp;IFERROR(VLOOKUP(O2027,EMAILS!B:E,4,FALSE),"NO T FOUND IN EMAILS")</f>
        <v/>
      </c>
    </row>
    <row r="2028" spans="2:18" x14ac:dyDescent="0.25">
      <c r="B2028" s="5" t="s">
        <v>2030</v>
      </c>
      <c r="C2028" s="5" t="s">
        <v>6170</v>
      </c>
      <c r="D2028" s="5">
        <v>0</v>
      </c>
      <c r="E2028" s="5">
        <v>0</v>
      </c>
      <c r="F2028" s="5">
        <v>0</v>
      </c>
      <c r="G2028" s="5">
        <v>0</v>
      </c>
      <c r="H2028" s="5">
        <v>0</v>
      </c>
      <c r="I2028" s="5">
        <v>0</v>
      </c>
      <c r="J2028" s="5">
        <v>0</v>
      </c>
      <c r="K2028" s="5">
        <v>0</v>
      </c>
      <c r="L2028" s="5">
        <v>0</v>
      </c>
      <c r="M2028" s="5">
        <v>0</v>
      </c>
      <c r="N2028" s="5">
        <v>162</v>
      </c>
      <c r="O2028" s="5" t="str">
        <f t="shared" ca="1" si="31"/>
        <v>Supplier 42</v>
      </c>
      <c r="P2028" s="20" t="str">
        <f ca="1">IFERROR(VLOOKUP(O2028,EMAILS!B:C,2,FALSE),"NOT FOUND IN EMAILS")</f>
        <v>supplier@gmail.com</v>
      </c>
      <c r="Q2028" t="str">
        <f ca="1">""&amp;IFERROR(VLOOKUP(O2028,EMAILS!B:D,3,FALSE),"NOT FOUND IN EMAILS")</f>
        <v/>
      </c>
      <c r="R2028" t="str">
        <f ca="1">""&amp;IFERROR(VLOOKUP(O2028,EMAILS!B:E,4,FALSE),"NO T FOUND IN EMAILS")</f>
        <v/>
      </c>
    </row>
    <row r="2029" spans="2:18" x14ac:dyDescent="0.25">
      <c r="B2029" s="5" t="s">
        <v>2031</v>
      </c>
      <c r="C2029" s="5" t="s">
        <v>6171</v>
      </c>
      <c r="D2029" s="5">
        <v>0</v>
      </c>
      <c r="E2029" s="5">
        <v>0</v>
      </c>
      <c r="F2029" s="5">
        <v>3.45</v>
      </c>
      <c r="G2029" s="5">
        <v>0</v>
      </c>
      <c r="H2029" s="5">
        <v>0</v>
      </c>
      <c r="I2029" s="5">
        <v>0</v>
      </c>
      <c r="J2029" s="5">
        <v>0</v>
      </c>
      <c r="K2029" s="5">
        <v>0</v>
      </c>
      <c r="L2029" s="5">
        <v>3.45</v>
      </c>
      <c r="M2029" s="5">
        <v>0</v>
      </c>
      <c r="N2029" s="5">
        <v>170</v>
      </c>
      <c r="O2029" s="5" t="str">
        <f t="shared" ca="1" si="31"/>
        <v>Supplier 117</v>
      </c>
      <c r="P2029" s="20" t="str">
        <f ca="1">IFERROR(VLOOKUP(O2029,EMAILS!B:C,2,FALSE),"NOT FOUND IN EMAILS")</f>
        <v>supplier@gmail.com</v>
      </c>
      <c r="Q2029" t="str">
        <f ca="1">""&amp;IFERROR(VLOOKUP(O2029,EMAILS!B:D,3,FALSE),"NOT FOUND IN EMAILS")</f>
        <v/>
      </c>
      <c r="R2029" t="str">
        <f ca="1">""&amp;IFERROR(VLOOKUP(O2029,EMAILS!B:E,4,FALSE),"NO T FOUND IN EMAILS")</f>
        <v/>
      </c>
    </row>
    <row r="2030" spans="2:18" x14ac:dyDescent="0.25">
      <c r="B2030" s="5" t="s">
        <v>2032</v>
      </c>
      <c r="C2030" s="5" t="s">
        <v>6172</v>
      </c>
      <c r="D2030" s="5">
        <v>0</v>
      </c>
      <c r="E2030" s="5">
        <v>0</v>
      </c>
      <c r="F2030" s="5">
        <v>0</v>
      </c>
      <c r="G2030" s="5">
        <v>0</v>
      </c>
      <c r="H2030" s="5">
        <v>15</v>
      </c>
      <c r="I2030" s="5">
        <v>0</v>
      </c>
      <c r="J2030" s="5">
        <v>0</v>
      </c>
      <c r="K2030" s="5">
        <v>0</v>
      </c>
      <c r="L2030" s="5">
        <v>0</v>
      </c>
      <c r="M2030" s="5">
        <v>0</v>
      </c>
      <c r="N2030" s="5">
        <v>1164</v>
      </c>
      <c r="O2030" s="5" t="str">
        <f t="shared" ca="1" si="31"/>
        <v>Supplier 189</v>
      </c>
      <c r="P2030" s="20" t="str">
        <f ca="1">IFERROR(VLOOKUP(O2030,EMAILS!B:C,2,FALSE),"NOT FOUND IN EMAILS")</f>
        <v>supplier@gmail.com</v>
      </c>
      <c r="Q2030" t="str">
        <f ca="1">""&amp;IFERROR(VLOOKUP(O2030,EMAILS!B:D,3,FALSE),"NOT FOUND IN EMAILS")</f>
        <v/>
      </c>
      <c r="R2030" t="str">
        <f ca="1">""&amp;IFERROR(VLOOKUP(O2030,EMAILS!B:E,4,FALSE),"NO T FOUND IN EMAILS")</f>
        <v/>
      </c>
    </row>
    <row r="2031" spans="2:18" x14ac:dyDescent="0.25">
      <c r="B2031" s="5" t="s">
        <v>2033</v>
      </c>
      <c r="C2031" s="5" t="s">
        <v>6173</v>
      </c>
      <c r="D2031" s="5">
        <v>0</v>
      </c>
      <c r="E2031" s="5">
        <v>0</v>
      </c>
      <c r="F2031" s="5">
        <v>0</v>
      </c>
      <c r="G2031" s="5">
        <v>0</v>
      </c>
      <c r="H2031" s="5">
        <v>0</v>
      </c>
      <c r="I2031" s="5">
        <v>0</v>
      </c>
      <c r="J2031" s="5">
        <v>0</v>
      </c>
      <c r="K2031" s="5">
        <v>0</v>
      </c>
      <c r="L2031" s="5">
        <v>0</v>
      </c>
      <c r="M2031" s="5">
        <v>0</v>
      </c>
      <c r="N2031" s="5">
        <v>0</v>
      </c>
      <c r="O2031" s="5" t="str">
        <f t="shared" ca="1" si="31"/>
        <v>Supplier 40</v>
      </c>
      <c r="P2031" s="20" t="str">
        <f ca="1">IFERROR(VLOOKUP(O2031,EMAILS!B:C,2,FALSE),"NOT FOUND IN EMAILS")</f>
        <v>supplier@gmail.com</v>
      </c>
      <c r="Q2031" t="str">
        <f ca="1">""&amp;IFERROR(VLOOKUP(O2031,EMAILS!B:D,3,FALSE),"NOT FOUND IN EMAILS")</f>
        <v/>
      </c>
      <c r="R2031" t="str">
        <f ca="1">""&amp;IFERROR(VLOOKUP(O2031,EMAILS!B:E,4,FALSE),"NO T FOUND IN EMAILS")</f>
        <v/>
      </c>
    </row>
    <row r="2032" spans="2:18" x14ac:dyDescent="0.25">
      <c r="B2032" s="5" t="s">
        <v>2034</v>
      </c>
      <c r="C2032" s="5" t="s">
        <v>6174</v>
      </c>
      <c r="D2032" s="5">
        <v>0</v>
      </c>
      <c r="E2032" s="5">
        <v>0</v>
      </c>
      <c r="F2032" s="5">
        <v>0</v>
      </c>
      <c r="G2032" s="5">
        <v>0</v>
      </c>
      <c r="H2032" s="5">
        <v>0</v>
      </c>
      <c r="I2032" s="5">
        <v>0</v>
      </c>
      <c r="J2032" s="5">
        <v>0</v>
      </c>
      <c r="K2032" s="5">
        <v>0</v>
      </c>
      <c r="L2032" s="5">
        <v>0</v>
      </c>
      <c r="M2032" s="5">
        <v>0</v>
      </c>
      <c r="N2032" s="5">
        <v>130</v>
      </c>
      <c r="O2032" s="5" t="str">
        <f t="shared" ca="1" si="31"/>
        <v>Supplier 70</v>
      </c>
      <c r="P2032" s="20" t="str">
        <f ca="1">IFERROR(VLOOKUP(O2032,EMAILS!B:C,2,FALSE),"NOT FOUND IN EMAILS")</f>
        <v>supplier@gmail.com</v>
      </c>
      <c r="Q2032" t="str">
        <f ca="1">""&amp;IFERROR(VLOOKUP(O2032,EMAILS!B:D,3,FALSE),"NOT FOUND IN EMAILS")</f>
        <v/>
      </c>
      <c r="R2032" t="str">
        <f ca="1">""&amp;IFERROR(VLOOKUP(O2032,EMAILS!B:E,4,FALSE),"NO T FOUND IN EMAILS")</f>
        <v/>
      </c>
    </row>
    <row r="2033" spans="2:18" x14ac:dyDescent="0.25">
      <c r="B2033" s="5" t="s">
        <v>2035</v>
      </c>
      <c r="C2033" s="5" t="s">
        <v>6175</v>
      </c>
      <c r="D2033" s="5">
        <v>0</v>
      </c>
      <c r="E2033" s="5">
        <v>0</v>
      </c>
      <c r="F2033" s="5">
        <v>0</v>
      </c>
      <c r="G2033" s="5">
        <v>0</v>
      </c>
      <c r="H2033" s="5">
        <v>0</v>
      </c>
      <c r="I2033" s="5">
        <v>0</v>
      </c>
      <c r="J2033" s="5">
        <v>0</v>
      </c>
      <c r="K2033" s="5">
        <v>0</v>
      </c>
      <c r="L2033" s="5">
        <v>0</v>
      </c>
      <c r="M2033" s="5">
        <v>0</v>
      </c>
      <c r="N2033" s="5">
        <v>0</v>
      </c>
      <c r="O2033" s="5" t="str">
        <f t="shared" ca="1" si="31"/>
        <v>Supplier 11</v>
      </c>
      <c r="P2033" s="20" t="str">
        <f ca="1">IFERROR(VLOOKUP(O2033,EMAILS!B:C,2,FALSE),"NOT FOUND IN EMAILS")</f>
        <v>supplier@gmail.com</v>
      </c>
      <c r="Q2033" t="str">
        <f ca="1">""&amp;IFERROR(VLOOKUP(O2033,EMAILS!B:D,3,FALSE),"NOT FOUND IN EMAILS")</f>
        <v>supplier_logistics@gmail.com</v>
      </c>
      <c r="R2033" t="str">
        <f ca="1">""&amp;IFERROR(VLOOKUP(O2033,EMAILS!B:E,4,FALSE),"NO T FOUND IN EMAILS")</f>
        <v/>
      </c>
    </row>
    <row r="2034" spans="2:18" x14ac:dyDescent="0.25">
      <c r="B2034" s="5" t="s">
        <v>2036</v>
      </c>
      <c r="C2034" s="5" t="s">
        <v>6176</v>
      </c>
      <c r="D2034" s="5">
        <v>0</v>
      </c>
      <c r="E2034" s="5">
        <v>0</v>
      </c>
      <c r="F2034" s="5">
        <v>0</v>
      </c>
      <c r="G2034" s="5">
        <v>0</v>
      </c>
      <c r="H2034" s="5">
        <v>0</v>
      </c>
      <c r="I2034" s="5">
        <v>0</v>
      </c>
      <c r="J2034" s="5">
        <v>0</v>
      </c>
      <c r="K2034" s="5">
        <v>0</v>
      </c>
      <c r="L2034" s="5">
        <v>0</v>
      </c>
      <c r="M2034" s="5">
        <v>0</v>
      </c>
      <c r="N2034" s="5">
        <v>0</v>
      </c>
      <c r="O2034" s="5" t="str">
        <f t="shared" ca="1" si="31"/>
        <v>Supplier 64</v>
      </c>
      <c r="P2034" s="20" t="str">
        <f ca="1">IFERROR(VLOOKUP(O2034,EMAILS!B:C,2,FALSE),"NOT FOUND IN EMAILS")</f>
        <v>supplier@gmail.com</v>
      </c>
      <c r="Q2034" t="str">
        <f ca="1">""&amp;IFERROR(VLOOKUP(O2034,EMAILS!B:D,3,FALSE),"NOT FOUND IN EMAILS")</f>
        <v/>
      </c>
      <c r="R2034" t="str">
        <f ca="1">""&amp;IFERROR(VLOOKUP(O2034,EMAILS!B:E,4,FALSE),"NO T FOUND IN EMAILS")</f>
        <v/>
      </c>
    </row>
    <row r="2035" spans="2:18" x14ac:dyDescent="0.25">
      <c r="B2035" s="5" t="s">
        <v>2037</v>
      </c>
      <c r="C2035" s="5" t="s">
        <v>6177</v>
      </c>
      <c r="D2035" s="5">
        <v>0</v>
      </c>
      <c r="E2035" s="5">
        <v>0</v>
      </c>
      <c r="F2035" s="5">
        <v>0</v>
      </c>
      <c r="G2035" s="5">
        <v>0</v>
      </c>
      <c r="H2035" s="5">
        <v>0</v>
      </c>
      <c r="I2035" s="5">
        <v>0</v>
      </c>
      <c r="J2035" s="5">
        <v>0</v>
      </c>
      <c r="K2035" s="5">
        <v>0</v>
      </c>
      <c r="L2035" s="5">
        <v>0</v>
      </c>
      <c r="M2035" s="5">
        <v>0</v>
      </c>
      <c r="N2035" s="5">
        <v>872.4</v>
      </c>
      <c r="O2035" s="5" t="str">
        <f t="shared" ca="1" si="31"/>
        <v>Supplier 18</v>
      </c>
      <c r="P2035" s="20" t="str">
        <f ca="1">IFERROR(VLOOKUP(O2035,EMAILS!B:C,2,FALSE),"NOT FOUND IN EMAILS")</f>
        <v>supplier@gmail.com</v>
      </c>
      <c r="Q2035" t="str">
        <f ca="1">""&amp;IFERROR(VLOOKUP(O2035,EMAILS!B:D,3,FALSE),"NOT FOUND IN EMAILS")</f>
        <v>supplier_logistics@gmail.com</v>
      </c>
      <c r="R2035" t="str">
        <f ca="1">""&amp;IFERROR(VLOOKUP(O2035,EMAILS!B:E,4,FALSE),"NO T FOUND IN EMAILS")</f>
        <v/>
      </c>
    </row>
    <row r="2036" spans="2:18" x14ac:dyDescent="0.25">
      <c r="B2036" s="5" t="s">
        <v>2038</v>
      </c>
      <c r="C2036" s="5" t="s">
        <v>6178</v>
      </c>
      <c r="D2036" s="5">
        <v>0</v>
      </c>
      <c r="E2036" s="5">
        <v>0</v>
      </c>
      <c r="F2036" s="5">
        <v>0</v>
      </c>
      <c r="G2036" s="5">
        <v>0</v>
      </c>
      <c r="H2036" s="5">
        <v>0</v>
      </c>
      <c r="I2036" s="5">
        <v>0</v>
      </c>
      <c r="J2036" s="5">
        <v>0</v>
      </c>
      <c r="K2036" s="5">
        <v>0</v>
      </c>
      <c r="L2036" s="5">
        <v>0</v>
      </c>
      <c r="M2036" s="5">
        <v>0</v>
      </c>
      <c r="N2036" s="5">
        <v>253</v>
      </c>
      <c r="O2036" s="5" t="str">
        <f t="shared" ca="1" si="31"/>
        <v>Supplier 142</v>
      </c>
      <c r="P2036" s="20" t="str">
        <f ca="1">IFERROR(VLOOKUP(O2036,EMAILS!B:C,2,FALSE),"NOT FOUND IN EMAILS")</f>
        <v>supplier@gmail.com</v>
      </c>
      <c r="Q2036" t="str">
        <f ca="1">""&amp;IFERROR(VLOOKUP(O2036,EMAILS!B:D,3,FALSE),"NOT FOUND IN EMAILS")</f>
        <v/>
      </c>
      <c r="R2036" t="str">
        <f ca="1">""&amp;IFERROR(VLOOKUP(O2036,EMAILS!B:E,4,FALSE),"NO T FOUND IN EMAILS")</f>
        <v/>
      </c>
    </row>
    <row r="2037" spans="2:18" x14ac:dyDescent="0.25">
      <c r="B2037" s="5" t="s">
        <v>2039</v>
      </c>
      <c r="C2037" s="5" t="s">
        <v>6179</v>
      </c>
      <c r="D2037" s="5">
        <v>0</v>
      </c>
      <c r="E2037" s="5">
        <v>0</v>
      </c>
      <c r="F2037" s="5">
        <v>0</v>
      </c>
      <c r="G2037" s="5">
        <v>0</v>
      </c>
      <c r="H2037" s="5">
        <v>0</v>
      </c>
      <c r="I2037" s="5">
        <v>0</v>
      </c>
      <c r="J2037" s="5">
        <v>0</v>
      </c>
      <c r="K2037" s="5">
        <v>0</v>
      </c>
      <c r="L2037" s="5">
        <v>0</v>
      </c>
      <c r="M2037" s="5">
        <v>0</v>
      </c>
      <c r="N2037" s="5">
        <v>0</v>
      </c>
      <c r="O2037" s="5" t="str">
        <f t="shared" ca="1" si="31"/>
        <v>Supplier 60</v>
      </c>
      <c r="P2037" s="20" t="str">
        <f ca="1">IFERROR(VLOOKUP(O2037,EMAILS!B:C,2,FALSE),"NOT FOUND IN EMAILS")</f>
        <v>supplier@gmail.com</v>
      </c>
      <c r="Q2037" t="str">
        <f ca="1">""&amp;IFERROR(VLOOKUP(O2037,EMAILS!B:D,3,FALSE),"NOT FOUND IN EMAILS")</f>
        <v/>
      </c>
      <c r="R2037" t="str">
        <f ca="1">""&amp;IFERROR(VLOOKUP(O2037,EMAILS!B:E,4,FALSE),"NO T FOUND IN EMAILS")</f>
        <v/>
      </c>
    </row>
    <row r="2038" spans="2:18" x14ac:dyDescent="0.25">
      <c r="B2038" s="5" t="s">
        <v>2040</v>
      </c>
      <c r="C2038" s="5" t="s">
        <v>6180</v>
      </c>
      <c r="D2038" s="5">
        <v>0</v>
      </c>
      <c r="E2038" s="5">
        <v>0</v>
      </c>
      <c r="F2038" s="5">
        <v>0</v>
      </c>
      <c r="G2038" s="5">
        <v>0</v>
      </c>
      <c r="H2038" s="5">
        <v>0</v>
      </c>
      <c r="I2038" s="5">
        <v>0</v>
      </c>
      <c r="J2038" s="5">
        <v>0</v>
      </c>
      <c r="K2038" s="5">
        <v>0</v>
      </c>
      <c r="L2038" s="5">
        <v>5.0999999999999996</v>
      </c>
      <c r="M2038" s="5">
        <v>0</v>
      </c>
      <c r="N2038" s="5">
        <v>0</v>
      </c>
      <c r="O2038" s="5" t="str">
        <f t="shared" ca="1" si="31"/>
        <v>Supplier 58</v>
      </c>
      <c r="P2038" s="20" t="str">
        <f ca="1">IFERROR(VLOOKUP(O2038,EMAILS!B:C,2,FALSE),"NOT FOUND IN EMAILS")</f>
        <v>supplier@gmail.com</v>
      </c>
      <c r="Q2038" t="str">
        <f ca="1">""&amp;IFERROR(VLOOKUP(O2038,EMAILS!B:D,3,FALSE),"NOT FOUND IN EMAILS")</f>
        <v/>
      </c>
      <c r="R2038" t="str">
        <f ca="1">""&amp;IFERROR(VLOOKUP(O2038,EMAILS!B:E,4,FALSE),"NO T FOUND IN EMAILS")</f>
        <v/>
      </c>
    </row>
    <row r="2039" spans="2:18" x14ac:dyDescent="0.25">
      <c r="B2039" s="5" t="s">
        <v>2041</v>
      </c>
      <c r="C2039" s="5" t="s">
        <v>6181</v>
      </c>
      <c r="D2039" s="5">
        <v>0</v>
      </c>
      <c r="E2039" s="5">
        <v>0</v>
      </c>
      <c r="F2039" s="5">
        <v>0</v>
      </c>
      <c r="G2039" s="5">
        <v>0</v>
      </c>
      <c r="H2039" s="5">
        <v>0</v>
      </c>
      <c r="I2039" s="5">
        <v>0</v>
      </c>
      <c r="J2039" s="5">
        <v>0</v>
      </c>
      <c r="K2039" s="5">
        <v>0</v>
      </c>
      <c r="L2039" s="5">
        <v>0</v>
      </c>
      <c r="M2039" s="5">
        <v>0</v>
      </c>
      <c r="N2039" s="5">
        <v>429</v>
      </c>
      <c r="O2039" s="5" t="str">
        <f t="shared" ca="1" si="31"/>
        <v>Supplier 29</v>
      </c>
      <c r="P2039" s="20" t="str">
        <f ca="1">IFERROR(VLOOKUP(O2039,EMAILS!B:C,2,FALSE),"NOT FOUND IN EMAILS")</f>
        <v>supplier@gmail.com</v>
      </c>
      <c r="Q2039" t="str">
        <f ca="1">""&amp;IFERROR(VLOOKUP(O2039,EMAILS!B:D,3,FALSE),"NOT FOUND IN EMAILS")</f>
        <v/>
      </c>
      <c r="R2039" t="str">
        <f ca="1">""&amp;IFERROR(VLOOKUP(O2039,EMAILS!B:E,4,FALSE),"NO T FOUND IN EMAILS")</f>
        <v/>
      </c>
    </row>
    <row r="2040" spans="2:18" x14ac:dyDescent="0.25">
      <c r="B2040" s="5" t="s">
        <v>2042</v>
      </c>
      <c r="C2040" s="5" t="s">
        <v>6182</v>
      </c>
      <c r="D2040" s="5">
        <v>0</v>
      </c>
      <c r="E2040" s="5">
        <v>0</v>
      </c>
      <c r="F2040" s="5">
        <v>0</v>
      </c>
      <c r="G2040" s="5">
        <v>3.95</v>
      </c>
      <c r="H2040" s="5">
        <v>39.5</v>
      </c>
      <c r="I2040" s="5">
        <v>0</v>
      </c>
      <c r="J2040" s="5">
        <v>0</v>
      </c>
      <c r="K2040" s="5">
        <v>0</v>
      </c>
      <c r="L2040" s="5">
        <v>3.95</v>
      </c>
      <c r="M2040" s="5">
        <v>0</v>
      </c>
      <c r="N2040" s="5">
        <v>2934.4</v>
      </c>
      <c r="O2040" s="5" t="str">
        <f t="shared" ca="1" si="31"/>
        <v>Supplier 116</v>
      </c>
      <c r="P2040" s="20" t="str">
        <f ca="1">IFERROR(VLOOKUP(O2040,EMAILS!B:C,2,FALSE),"NOT FOUND IN EMAILS")</f>
        <v>supplier@gmail.com</v>
      </c>
      <c r="Q2040" t="str">
        <f ca="1">""&amp;IFERROR(VLOOKUP(O2040,EMAILS!B:D,3,FALSE),"NOT FOUND IN EMAILS")</f>
        <v/>
      </c>
      <c r="R2040" t="str">
        <f ca="1">""&amp;IFERROR(VLOOKUP(O2040,EMAILS!B:E,4,FALSE),"NO T FOUND IN EMAILS")</f>
        <v/>
      </c>
    </row>
    <row r="2041" spans="2:18" x14ac:dyDescent="0.25">
      <c r="B2041" s="5" t="s">
        <v>2043</v>
      </c>
      <c r="C2041" s="5" t="s">
        <v>6183</v>
      </c>
      <c r="D2041" s="5">
        <v>1036.8</v>
      </c>
      <c r="E2041" s="5">
        <v>0</v>
      </c>
      <c r="F2041" s="5">
        <v>1036.8</v>
      </c>
      <c r="G2041" s="5">
        <v>363</v>
      </c>
      <c r="H2041" s="5">
        <v>1036.8</v>
      </c>
      <c r="I2041" s="5">
        <v>1399.8</v>
      </c>
      <c r="J2041" s="5">
        <v>1036.8</v>
      </c>
      <c r="K2041" s="5">
        <v>363</v>
      </c>
      <c r="L2041" s="5">
        <v>0</v>
      </c>
      <c r="M2041" s="5">
        <v>0</v>
      </c>
      <c r="N2041" s="5">
        <v>0</v>
      </c>
      <c r="O2041" s="5" t="str">
        <f t="shared" ca="1" si="31"/>
        <v>Supplier 95</v>
      </c>
      <c r="P2041" s="20" t="str">
        <f ca="1">IFERROR(VLOOKUP(O2041,EMAILS!B:C,2,FALSE),"NOT FOUND IN EMAILS")</f>
        <v>supplier@gmail.com</v>
      </c>
      <c r="Q2041" t="str">
        <f ca="1">""&amp;IFERROR(VLOOKUP(O2041,EMAILS!B:D,3,FALSE),"NOT FOUND IN EMAILS")</f>
        <v/>
      </c>
      <c r="R2041" t="str">
        <f ca="1">""&amp;IFERROR(VLOOKUP(O2041,EMAILS!B:E,4,FALSE),"NO T FOUND IN EMAILS")</f>
        <v/>
      </c>
    </row>
    <row r="2042" spans="2:18" x14ac:dyDescent="0.25">
      <c r="B2042" s="5" t="s">
        <v>2044</v>
      </c>
      <c r="C2042" s="5" t="s">
        <v>6184</v>
      </c>
      <c r="D2042" s="5">
        <v>0.27</v>
      </c>
      <c r="E2042" s="5">
        <v>0</v>
      </c>
      <c r="F2042" s="5">
        <v>5.4</v>
      </c>
      <c r="G2042" s="5">
        <v>0.54</v>
      </c>
      <c r="H2042" s="5">
        <v>0.81</v>
      </c>
      <c r="I2042" s="5">
        <v>0</v>
      </c>
      <c r="J2042" s="5">
        <v>0.54</v>
      </c>
      <c r="K2042" s="5">
        <v>1.35</v>
      </c>
      <c r="L2042" s="5">
        <v>0</v>
      </c>
      <c r="M2042" s="5">
        <v>0</v>
      </c>
      <c r="N2042" s="5">
        <v>0</v>
      </c>
      <c r="O2042" s="5" t="str">
        <f t="shared" ca="1" si="31"/>
        <v>Supplier 83</v>
      </c>
      <c r="P2042" s="20" t="str">
        <f ca="1">IFERROR(VLOOKUP(O2042,EMAILS!B:C,2,FALSE),"NOT FOUND IN EMAILS")</f>
        <v>supplier@gmail.com</v>
      </c>
      <c r="Q2042" t="str">
        <f ca="1">""&amp;IFERROR(VLOOKUP(O2042,EMAILS!B:D,3,FALSE),"NOT FOUND IN EMAILS")</f>
        <v/>
      </c>
      <c r="R2042" t="str">
        <f ca="1">""&amp;IFERROR(VLOOKUP(O2042,EMAILS!B:E,4,FALSE),"NO T FOUND IN EMAILS")</f>
        <v/>
      </c>
    </row>
    <row r="2043" spans="2:18" x14ac:dyDescent="0.25">
      <c r="B2043" s="5" t="s">
        <v>2045</v>
      </c>
      <c r="C2043" s="5" t="s">
        <v>6185</v>
      </c>
      <c r="D2043" s="5">
        <v>0</v>
      </c>
      <c r="E2043" s="5">
        <v>0</v>
      </c>
      <c r="F2043" s="5">
        <v>0</v>
      </c>
      <c r="G2043" s="5">
        <v>0</v>
      </c>
      <c r="H2043" s="5">
        <v>0</v>
      </c>
      <c r="I2043" s="5">
        <v>0</v>
      </c>
      <c r="J2043" s="5">
        <v>0</v>
      </c>
      <c r="K2043" s="5">
        <v>0</v>
      </c>
      <c r="L2043" s="5">
        <v>0</v>
      </c>
      <c r="M2043" s="5">
        <v>0</v>
      </c>
      <c r="N2043" s="5">
        <v>214</v>
      </c>
      <c r="O2043" s="5" t="str">
        <f t="shared" ca="1" si="31"/>
        <v>Supplier 64</v>
      </c>
      <c r="P2043" s="20" t="str">
        <f ca="1">IFERROR(VLOOKUP(O2043,EMAILS!B:C,2,FALSE),"NOT FOUND IN EMAILS")</f>
        <v>supplier@gmail.com</v>
      </c>
      <c r="Q2043" t="str">
        <f ca="1">""&amp;IFERROR(VLOOKUP(O2043,EMAILS!B:D,3,FALSE),"NOT FOUND IN EMAILS")</f>
        <v/>
      </c>
      <c r="R2043" t="str">
        <f ca="1">""&amp;IFERROR(VLOOKUP(O2043,EMAILS!B:E,4,FALSE),"NO T FOUND IN EMAILS")</f>
        <v/>
      </c>
    </row>
    <row r="2044" spans="2:18" x14ac:dyDescent="0.25">
      <c r="B2044" s="5" t="s">
        <v>2046</v>
      </c>
      <c r="C2044" s="5" t="s">
        <v>6186</v>
      </c>
      <c r="D2044" s="5">
        <v>0</v>
      </c>
      <c r="E2044" s="5">
        <v>0</v>
      </c>
      <c r="F2044" s="5">
        <v>0</v>
      </c>
      <c r="G2044" s="5">
        <v>0</v>
      </c>
      <c r="H2044" s="5">
        <v>0</v>
      </c>
      <c r="I2044" s="5">
        <v>0</v>
      </c>
      <c r="J2044" s="5">
        <v>0</v>
      </c>
      <c r="K2044" s="5">
        <v>52</v>
      </c>
      <c r="L2044" s="5">
        <v>0</v>
      </c>
      <c r="M2044" s="5">
        <v>0</v>
      </c>
      <c r="N2044" s="5">
        <v>0</v>
      </c>
      <c r="O2044" s="5" t="str">
        <f t="shared" ca="1" si="31"/>
        <v>Supplier 13</v>
      </c>
      <c r="P2044" s="20" t="str">
        <f ca="1">IFERROR(VLOOKUP(O2044,EMAILS!B:C,2,FALSE),"NOT FOUND IN EMAILS")</f>
        <v>supplier@gmail.com</v>
      </c>
      <c r="Q2044" t="str">
        <f ca="1">""&amp;IFERROR(VLOOKUP(O2044,EMAILS!B:D,3,FALSE),"NOT FOUND IN EMAILS")</f>
        <v>supplier_logistics@gmail.com</v>
      </c>
      <c r="R2044" t="str">
        <f ca="1">""&amp;IFERROR(VLOOKUP(O2044,EMAILS!B:E,4,FALSE),"NO T FOUND IN EMAILS")</f>
        <v/>
      </c>
    </row>
    <row r="2045" spans="2:18" x14ac:dyDescent="0.25">
      <c r="B2045" s="5" t="s">
        <v>2047</v>
      </c>
      <c r="C2045" s="5" t="s">
        <v>6187</v>
      </c>
      <c r="D2045" s="5">
        <v>0</v>
      </c>
      <c r="E2045" s="5">
        <v>0</v>
      </c>
      <c r="F2045" s="5">
        <v>0</v>
      </c>
      <c r="G2045" s="5">
        <v>0</v>
      </c>
      <c r="H2045" s="5">
        <v>0</v>
      </c>
      <c r="I2045" s="5">
        <v>0</v>
      </c>
      <c r="J2045" s="5">
        <v>0</v>
      </c>
      <c r="K2045" s="5">
        <v>0</v>
      </c>
      <c r="L2045" s="5">
        <v>0</v>
      </c>
      <c r="M2045" s="5">
        <v>0</v>
      </c>
      <c r="N2045" s="5">
        <v>0</v>
      </c>
      <c r="O2045" s="5" t="str">
        <f t="shared" ca="1" si="31"/>
        <v>Supplier 80</v>
      </c>
      <c r="P2045" s="20" t="str">
        <f ca="1">IFERROR(VLOOKUP(O2045,EMAILS!B:C,2,FALSE),"NOT FOUND IN EMAILS")</f>
        <v>supplier@gmail.com</v>
      </c>
      <c r="Q2045" t="str">
        <f ca="1">""&amp;IFERROR(VLOOKUP(O2045,EMAILS!B:D,3,FALSE),"NOT FOUND IN EMAILS")</f>
        <v/>
      </c>
      <c r="R2045" t="str">
        <f ca="1">""&amp;IFERROR(VLOOKUP(O2045,EMAILS!B:E,4,FALSE),"NO T FOUND IN EMAILS")</f>
        <v/>
      </c>
    </row>
    <row r="2046" spans="2:18" x14ac:dyDescent="0.25">
      <c r="B2046" s="5" t="s">
        <v>2048</v>
      </c>
      <c r="C2046" s="5" t="s">
        <v>6188</v>
      </c>
      <c r="D2046" s="5">
        <v>0</v>
      </c>
      <c r="E2046" s="5">
        <v>0</v>
      </c>
      <c r="F2046" s="5">
        <v>0</v>
      </c>
      <c r="G2046" s="5">
        <v>0</v>
      </c>
      <c r="H2046" s="5">
        <v>0</v>
      </c>
      <c r="I2046" s="5">
        <v>0</v>
      </c>
      <c r="J2046" s="5">
        <v>0</v>
      </c>
      <c r="K2046" s="5">
        <v>0</v>
      </c>
      <c r="L2046" s="5">
        <v>24.8</v>
      </c>
      <c r="M2046" s="5">
        <v>0</v>
      </c>
      <c r="N2046" s="5">
        <v>938</v>
      </c>
      <c r="O2046" s="5" t="str">
        <f t="shared" ca="1" si="31"/>
        <v>Supplier 147</v>
      </c>
      <c r="P2046" s="20" t="str">
        <f ca="1">IFERROR(VLOOKUP(O2046,EMAILS!B:C,2,FALSE),"NOT FOUND IN EMAILS")</f>
        <v>supplier@gmail.com</v>
      </c>
      <c r="Q2046" t="str">
        <f ca="1">""&amp;IFERROR(VLOOKUP(O2046,EMAILS!B:D,3,FALSE),"NOT FOUND IN EMAILS")</f>
        <v/>
      </c>
      <c r="R2046" t="str">
        <f ca="1">""&amp;IFERROR(VLOOKUP(O2046,EMAILS!B:E,4,FALSE),"NO T FOUND IN EMAILS")</f>
        <v/>
      </c>
    </row>
    <row r="2047" spans="2:18" x14ac:dyDescent="0.25">
      <c r="B2047" s="5" t="s">
        <v>2049</v>
      </c>
      <c r="C2047" s="5" t="s">
        <v>6189</v>
      </c>
      <c r="D2047" s="5">
        <v>0</v>
      </c>
      <c r="E2047" s="5">
        <v>0</v>
      </c>
      <c r="F2047" s="5">
        <v>0</v>
      </c>
      <c r="G2047" s="5">
        <v>0</v>
      </c>
      <c r="H2047" s="5">
        <v>0</v>
      </c>
      <c r="I2047" s="5">
        <v>0</v>
      </c>
      <c r="J2047" s="5">
        <v>0</v>
      </c>
      <c r="K2047" s="5">
        <v>0</v>
      </c>
      <c r="L2047" s="5">
        <v>0</v>
      </c>
      <c r="M2047" s="5">
        <v>0</v>
      </c>
      <c r="N2047" s="5">
        <v>0</v>
      </c>
      <c r="O2047" s="5" t="str">
        <f t="shared" ca="1" si="31"/>
        <v>Supplier 133</v>
      </c>
      <c r="P2047" s="20" t="str">
        <f ca="1">IFERROR(VLOOKUP(O2047,EMAILS!B:C,2,FALSE),"NOT FOUND IN EMAILS")</f>
        <v>supplier@gmail.com</v>
      </c>
      <c r="Q2047" t="str">
        <f ca="1">""&amp;IFERROR(VLOOKUP(O2047,EMAILS!B:D,3,FALSE),"NOT FOUND IN EMAILS")</f>
        <v/>
      </c>
      <c r="R2047" t="str">
        <f ca="1">""&amp;IFERROR(VLOOKUP(O2047,EMAILS!B:E,4,FALSE),"NO T FOUND IN EMAILS")</f>
        <v/>
      </c>
    </row>
    <row r="2048" spans="2:18" x14ac:dyDescent="0.25">
      <c r="B2048" s="5" t="s">
        <v>2050</v>
      </c>
      <c r="C2048" s="5" t="s">
        <v>6190</v>
      </c>
      <c r="D2048" s="5">
        <v>0.3</v>
      </c>
      <c r="E2048" s="5">
        <v>0</v>
      </c>
      <c r="F2048" s="5">
        <v>6</v>
      </c>
      <c r="G2048" s="5">
        <v>0.6</v>
      </c>
      <c r="H2048" s="5">
        <v>0.9</v>
      </c>
      <c r="I2048" s="5">
        <v>0</v>
      </c>
      <c r="J2048" s="5">
        <v>0.6</v>
      </c>
      <c r="K2048" s="5">
        <v>1.5</v>
      </c>
      <c r="L2048" s="5">
        <v>0</v>
      </c>
      <c r="M2048" s="5">
        <v>0</v>
      </c>
      <c r="N2048" s="5">
        <v>1136</v>
      </c>
      <c r="O2048" s="5" t="str">
        <f t="shared" ca="1" si="31"/>
        <v>Supplier 106</v>
      </c>
      <c r="P2048" s="20" t="str">
        <f ca="1">IFERROR(VLOOKUP(O2048,EMAILS!B:C,2,FALSE),"NOT FOUND IN EMAILS")</f>
        <v>supplier@gmail.com</v>
      </c>
      <c r="Q2048" t="str">
        <f ca="1">""&amp;IFERROR(VLOOKUP(O2048,EMAILS!B:D,3,FALSE),"NOT FOUND IN EMAILS")</f>
        <v/>
      </c>
      <c r="R2048" t="str">
        <f ca="1">""&amp;IFERROR(VLOOKUP(O2048,EMAILS!B:E,4,FALSE),"NO T FOUND IN EMAILS")</f>
        <v/>
      </c>
    </row>
    <row r="2049" spans="2:18" x14ac:dyDescent="0.25">
      <c r="B2049" s="5" t="s">
        <v>2051</v>
      </c>
      <c r="C2049" s="5" t="s">
        <v>6191</v>
      </c>
      <c r="D2049" s="5">
        <v>6.9000000000000006E-2</v>
      </c>
      <c r="E2049" s="5">
        <v>0</v>
      </c>
      <c r="F2049" s="5">
        <v>0</v>
      </c>
      <c r="G2049" s="5">
        <v>0</v>
      </c>
      <c r="H2049" s="5">
        <v>0</v>
      </c>
      <c r="I2049" s="5">
        <v>0</v>
      </c>
      <c r="J2049" s="5">
        <v>0</v>
      </c>
      <c r="K2049" s="5">
        <v>0</v>
      </c>
      <c r="L2049" s="5">
        <v>0</v>
      </c>
      <c r="M2049" s="5">
        <v>0</v>
      </c>
      <c r="N2049" s="5">
        <v>280</v>
      </c>
      <c r="O2049" s="5" t="str">
        <f t="shared" ca="1" si="31"/>
        <v>Supplier 167</v>
      </c>
      <c r="P2049" s="20" t="str">
        <f ca="1">IFERROR(VLOOKUP(O2049,EMAILS!B:C,2,FALSE),"NOT FOUND IN EMAILS")</f>
        <v>supplier@gmail.com</v>
      </c>
      <c r="Q2049" t="str">
        <f ca="1">""&amp;IFERROR(VLOOKUP(O2049,EMAILS!B:D,3,FALSE),"NOT FOUND IN EMAILS")</f>
        <v/>
      </c>
      <c r="R2049" t="str">
        <f ca="1">""&amp;IFERROR(VLOOKUP(O2049,EMAILS!B:E,4,FALSE),"NO T FOUND IN EMAILS")</f>
        <v/>
      </c>
    </row>
    <row r="2050" spans="2:18" x14ac:dyDescent="0.25">
      <c r="B2050" s="5" t="s">
        <v>2052</v>
      </c>
      <c r="C2050" s="5" t="s">
        <v>6192</v>
      </c>
      <c r="D2050" s="5">
        <v>0</v>
      </c>
      <c r="E2050" s="5">
        <v>0</v>
      </c>
      <c r="F2050" s="5">
        <v>0</v>
      </c>
      <c r="G2050" s="5">
        <v>0</v>
      </c>
      <c r="H2050" s="5">
        <v>0</v>
      </c>
      <c r="I2050" s="5">
        <v>0</v>
      </c>
      <c r="J2050" s="5">
        <v>0</v>
      </c>
      <c r="K2050" s="5">
        <v>0</v>
      </c>
      <c r="L2050" s="5">
        <v>0</v>
      </c>
      <c r="M2050" s="5">
        <v>0</v>
      </c>
      <c r="N2050" s="5">
        <v>286</v>
      </c>
      <c r="O2050" s="5" t="str">
        <f t="shared" ca="1" si="31"/>
        <v>Supplier 69</v>
      </c>
      <c r="P2050" s="20" t="str">
        <f ca="1">IFERROR(VLOOKUP(O2050,EMAILS!B:C,2,FALSE),"NOT FOUND IN EMAILS")</f>
        <v>supplier@gmail.com</v>
      </c>
      <c r="Q2050" t="str">
        <f ca="1">""&amp;IFERROR(VLOOKUP(O2050,EMAILS!B:D,3,FALSE),"NOT FOUND IN EMAILS")</f>
        <v/>
      </c>
      <c r="R2050" t="str">
        <f ca="1">""&amp;IFERROR(VLOOKUP(O2050,EMAILS!B:E,4,FALSE),"NO T FOUND IN EMAILS")</f>
        <v/>
      </c>
    </row>
    <row r="2051" spans="2:18" x14ac:dyDescent="0.25">
      <c r="B2051" s="5" t="s">
        <v>2053</v>
      </c>
      <c r="C2051" s="5" t="s">
        <v>6193</v>
      </c>
      <c r="D2051" s="5">
        <v>0</v>
      </c>
      <c r="E2051" s="5">
        <v>0</v>
      </c>
      <c r="F2051" s="5">
        <v>0</v>
      </c>
      <c r="G2051" s="5">
        <v>0</v>
      </c>
      <c r="H2051" s="5">
        <v>0</v>
      </c>
      <c r="I2051" s="5">
        <v>0</v>
      </c>
      <c r="J2051" s="5">
        <v>0</v>
      </c>
      <c r="K2051" s="5">
        <v>0</v>
      </c>
      <c r="L2051" s="5">
        <v>0</v>
      </c>
      <c r="M2051" s="5">
        <v>0</v>
      </c>
      <c r="N2051" s="5">
        <v>764</v>
      </c>
      <c r="O2051" s="5" t="str">
        <f t="shared" ref="O2051:O2114" ca="1" si="32">"Supplier "&amp;RANDBETWEEN(1,200)</f>
        <v>Supplier 134</v>
      </c>
      <c r="P2051" s="20" t="str">
        <f ca="1">IFERROR(VLOOKUP(O2051,EMAILS!B:C,2,FALSE),"NOT FOUND IN EMAILS")</f>
        <v>supplier@gmail.com</v>
      </c>
      <c r="Q2051" t="str">
        <f ca="1">""&amp;IFERROR(VLOOKUP(O2051,EMAILS!B:D,3,FALSE),"NOT FOUND IN EMAILS")</f>
        <v/>
      </c>
      <c r="R2051" t="str">
        <f ca="1">""&amp;IFERROR(VLOOKUP(O2051,EMAILS!B:E,4,FALSE),"NO T FOUND IN EMAILS")</f>
        <v/>
      </c>
    </row>
    <row r="2052" spans="2:18" x14ac:dyDescent="0.25">
      <c r="B2052" s="5" t="s">
        <v>2054</v>
      </c>
      <c r="C2052" s="5" t="s">
        <v>6194</v>
      </c>
      <c r="D2052" s="5">
        <v>0</v>
      </c>
      <c r="E2052" s="5">
        <v>0</v>
      </c>
      <c r="F2052" s="5">
        <v>24.6</v>
      </c>
      <c r="G2052" s="5">
        <v>0</v>
      </c>
      <c r="H2052" s="5">
        <v>0</v>
      </c>
      <c r="I2052" s="5">
        <v>0</v>
      </c>
      <c r="J2052" s="5">
        <v>65.599999999999994</v>
      </c>
      <c r="K2052" s="5">
        <v>0</v>
      </c>
      <c r="L2052" s="5">
        <v>0</v>
      </c>
      <c r="M2052" s="5">
        <v>0</v>
      </c>
      <c r="N2052" s="5">
        <v>0</v>
      </c>
      <c r="O2052" s="5" t="str">
        <f t="shared" ca="1" si="32"/>
        <v>Supplier 6</v>
      </c>
      <c r="P2052" s="20" t="str">
        <f ca="1">IFERROR(VLOOKUP(O2052,EMAILS!B:C,2,FALSE),"NOT FOUND IN EMAILS")</f>
        <v>supplier@gmail.com</v>
      </c>
      <c r="Q2052" t="str">
        <f ca="1">""&amp;IFERROR(VLOOKUP(O2052,EMAILS!B:D,3,FALSE),"NOT FOUND IN EMAILS")</f>
        <v>supplier_logistics@gmail.com</v>
      </c>
      <c r="R2052" t="str">
        <f ca="1">""&amp;IFERROR(VLOOKUP(O2052,EMAILS!B:E,4,FALSE),"NO T FOUND IN EMAILS")</f>
        <v/>
      </c>
    </row>
    <row r="2053" spans="2:18" x14ac:dyDescent="0.25">
      <c r="B2053" s="5" t="s">
        <v>2055</v>
      </c>
      <c r="C2053" s="5" t="s">
        <v>6195</v>
      </c>
      <c r="D2053" s="5">
        <v>0</v>
      </c>
      <c r="E2053" s="5">
        <v>0</v>
      </c>
      <c r="F2053" s="5">
        <v>0</v>
      </c>
      <c r="G2053" s="5">
        <v>0</v>
      </c>
      <c r="H2053" s="5">
        <v>0</v>
      </c>
      <c r="I2053" s="5">
        <v>0</v>
      </c>
      <c r="J2053" s="5">
        <v>0</v>
      </c>
      <c r="K2053" s="5">
        <v>0</v>
      </c>
      <c r="L2053" s="5">
        <v>0</v>
      </c>
      <c r="M2053" s="5">
        <v>0</v>
      </c>
      <c r="N2053" s="5">
        <v>253</v>
      </c>
      <c r="O2053" s="5" t="str">
        <f t="shared" ca="1" si="32"/>
        <v>Supplier 34</v>
      </c>
      <c r="P2053" s="20" t="str">
        <f ca="1">IFERROR(VLOOKUP(O2053,EMAILS!B:C,2,FALSE),"NOT FOUND IN EMAILS")</f>
        <v>supplier@gmail.com</v>
      </c>
      <c r="Q2053" t="str">
        <f ca="1">""&amp;IFERROR(VLOOKUP(O2053,EMAILS!B:D,3,FALSE),"NOT FOUND IN EMAILS")</f>
        <v/>
      </c>
      <c r="R2053" t="str">
        <f ca="1">""&amp;IFERROR(VLOOKUP(O2053,EMAILS!B:E,4,FALSE),"NO T FOUND IN EMAILS")</f>
        <v/>
      </c>
    </row>
    <row r="2054" spans="2:18" x14ac:dyDescent="0.25">
      <c r="B2054" s="5" t="s">
        <v>2056</v>
      </c>
      <c r="C2054" s="5" t="s">
        <v>6196</v>
      </c>
      <c r="D2054" s="5">
        <v>0</v>
      </c>
      <c r="E2054" s="5">
        <v>0</v>
      </c>
      <c r="F2054" s="5">
        <v>0</v>
      </c>
      <c r="G2054" s="5">
        <v>0</v>
      </c>
      <c r="H2054" s="5">
        <v>0</v>
      </c>
      <c r="I2054" s="5">
        <v>0</v>
      </c>
      <c r="J2054" s="5">
        <v>10.220000000000001</v>
      </c>
      <c r="K2054" s="5">
        <v>0</v>
      </c>
      <c r="L2054" s="5">
        <v>0</v>
      </c>
      <c r="M2054" s="5">
        <v>0</v>
      </c>
      <c r="N2054" s="5">
        <v>0</v>
      </c>
      <c r="O2054" s="5" t="str">
        <f t="shared" ca="1" si="32"/>
        <v>Supplier 137</v>
      </c>
      <c r="P2054" s="20" t="str">
        <f ca="1">IFERROR(VLOOKUP(O2054,EMAILS!B:C,2,FALSE),"NOT FOUND IN EMAILS")</f>
        <v>supplier@gmail.com</v>
      </c>
      <c r="Q2054" t="str">
        <f ca="1">""&amp;IFERROR(VLOOKUP(O2054,EMAILS!B:D,3,FALSE),"NOT FOUND IN EMAILS")</f>
        <v/>
      </c>
      <c r="R2054" t="str">
        <f ca="1">""&amp;IFERROR(VLOOKUP(O2054,EMAILS!B:E,4,FALSE),"NO T FOUND IN EMAILS")</f>
        <v/>
      </c>
    </row>
    <row r="2055" spans="2:18" x14ac:dyDescent="0.25">
      <c r="B2055" s="5" t="s">
        <v>2057</v>
      </c>
      <c r="C2055" s="5" t="s">
        <v>6197</v>
      </c>
      <c r="D2055" s="5">
        <v>0</v>
      </c>
      <c r="E2055" s="5">
        <v>0</v>
      </c>
      <c r="F2055" s="5">
        <v>0</v>
      </c>
      <c r="G2055" s="5">
        <v>0</v>
      </c>
      <c r="H2055" s="5">
        <v>0</v>
      </c>
      <c r="I2055" s="5">
        <v>0</v>
      </c>
      <c r="J2055" s="5">
        <v>23.835000000000001</v>
      </c>
      <c r="K2055" s="5">
        <v>0</v>
      </c>
      <c r="L2055" s="5">
        <v>0</v>
      </c>
      <c r="M2055" s="5">
        <v>0</v>
      </c>
      <c r="N2055" s="5">
        <v>0</v>
      </c>
      <c r="O2055" s="5" t="str">
        <f t="shared" ca="1" si="32"/>
        <v>Supplier 191</v>
      </c>
      <c r="P2055" s="20" t="str">
        <f ca="1">IFERROR(VLOOKUP(O2055,EMAILS!B:C,2,FALSE),"NOT FOUND IN EMAILS")</f>
        <v>supplier@gmail.com</v>
      </c>
      <c r="Q2055" t="str">
        <f ca="1">""&amp;IFERROR(VLOOKUP(O2055,EMAILS!B:D,3,FALSE),"NOT FOUND IN EMAILS")</f>
        <v/>
      </c>
      <c r="R2055" t="str">
        <f ca="1">""&amp;IFERROR(VLOOKUP(O2055,EMAILS!B:E,4,FALSE),"NO T FOUND IN EMAILS")</f>
        <v/>
      </c>
    </row>
    <row r="2056" spans="2:18" x14ac:dyDescent="0.25">
      <c r="B2056" s="5" t="s">
        <v>2058</v>
      </c>
      <c r="C2056" s="5" t="s">
        <v>6198</v>
      </c>
      <c r="D2056" s="5">
        <v>0</v>
      </c>
      <c r="E2056" s="5">
        <v>0</v>
      </c>
      <c r="F2056" s="5">
        <v>0</v>
      </c>
      <c r="G2056" s="5">
        <v>0</v>
      </c>
      <c r="H2056" s="5">
        <v>0</v>
      </c>
      <c r="I2056" s="5">
        <v>0</v>
      </c>
      <c r="J2056" s="5">
        <v>22.364999999999998</v>
      </c>
      <c r="K2056" s="5">
        <v>0</v>
      </c>
      <c r="L2056" s="5">
        <v>0</v>
      </c>
      <c r="M2056" s="5">
        <v>0</v>
      </c>
      <c r="N2056" s="5">
        <v>0</v>
      </c>
      <c r="O2056" s="5" t="str">
        <f t="shared" ca="1" si="32"/>
        <v>Supplier 104</v>
      </c>
      <c r="P2056" s="20" t="str">
        <f ca="1">IFERROR(VLOOKUP(O2056,EMAILS!B:C,2,FALSE),"NOT FOUND IN EMAILS")</f>
        <v>supplier@gmail.com</v>
      </c>
      <c r="Q2056" t="str">
        <f ca="1">""&amp;IFERROR(VLOOKUP(O2056,EMAILS!B:D,3,FALSE),"NOT FOUND IN EMAILS")</f>
        <v/>
      </c>
      <c r="R2056" t="str">
        <f ca="1">""&amp;IFERROR(VLOOKUP(O2056,EMAILS!B:E,4,FALSE),"NO T FOUND IN EMAILS")</f>
        <v/>
      </c>
    </row>
    <row r="2057" spans="2:18" x14ac:dyDescent="0.25">
      <c r="B2057" s="5" t="s">
        <v>2059</v>
      </c>
      <c r="C2057" s="5" t="s">
        <v>6199</v>
      </c>
      <c r="D2057" s="5">
        <v>0</v>
      </c>
      <c r="E2057" s="5">
        <v>0</v>
      </c>
      <c r="F2057" s="5">
        <v>0</v>
      </c>
      <c r="G2057" s="5">
        <v>0</v>
      </c>
      <c r="H2057" s="5">
        <v>0</v>
      </c>
      <c r="I2057" s="5">
        <v>0</v>
      </c>
      <c r="J2057" s="5">
        <v>0</v>
      </c>
      <c r="K2057" s="5">
        <v>0</v>
      </c>
      <c r="L2057" s="5">
        <v>0</v>
      </c>
      <c r="M2057" s="5">
        <v>0</v>
      </c>
      <c r="N2057" s="5">
        <v>29</v>
      </c>
      <c r="O2057" s="5" t="str">
        <f t="shared" ca="1" si="32"/>
        <v>Supplier 4</v>
      </c>
      <c r="P2057" s="20" t="str">
        <f ca="1">IFERROR(VLOOKUP(O2057,EMAILS!B:C,2,FALSE),"NOT FOUND IN EMAILS")</f>
        <v>supplier@gmail.com</v>
      </c>
      <c r="Q2057" t="str">
        <f ca="1">""&amp;IFERROR(VLOOKUP(O2057,EMAILS!B:D,3,FALSE),"NOT FOUND IN EMAILS")</f>
        <v>supplier_logistics@gmail.com</v>
      </c>
      <c r="R2057" t="str">
        <f ca="1">""&amp;IFERROR(VLOOKUP(O2057,EMAILS!B:E,4,FALSE),"NO T FOUND IN EMAILS")</f>
        <v/>
      </c>
    </row>
    <row r="2058" spans="2:18" x14ac:dyDescent="0.25">
      <c r="B2058" s="5" t="s">
        <v>2060</v>
      </c>
      <c r="C2058" s="5" t="s">
        <v>6200</v>
      </c>
      <c r="D2058" s="5">
        <v>0</v>
      </c>
      <c r="E2058" s="5">
        <v>0</v>
      </c>
      <c r="F2058" s="5">
        <v>0</v>
      </c>
      <c r="G2058" s="5">
        <v>0</v>
      </c>
      <c r="H2058" s="5">
        <v>0</v>
      </c>
      <c r="I2058" s="5">
        <v>0</v>
      </c>
      <c r="J2058" s="5">
        <v>0</v>
      </c>
      <c r="K2058" s="5">
        <v>0</v>
      </c>
      <c r="L2058" s="5">
        <v>0</v>
      </c>
      <c r="M2058" s="5">
        <v>0</v>
      </c>
      <c r="N2058" s="5">
        <v>0</v>
      </c>
      <c r="O2058" s="5" t="str">
        <f t="shared" ca="1" si="32"/>
        <v>Supplier 7</v>
      </c>
      <c r="P2058" s="20" t="str">
        <f ca="1">IFERROR(VLOOKUP(O2058,EMAILS!B:C,2,FALSE),"NOT FOUND IN EMAILS")</f>
        <v>supplier@gmail.com</v>
      </c>
      <c r="Q2058" t="str">
        <f ca="1">""&amp;IFERROR(VLOOKUP(O2058,EMAILS!B:D,3,FALSE),"NOT FOUND IN EMAILS")</f>
        <v>supplier_logistics@gmail.com</v>
      </c>
      <c r="R2058" t="str">
        <f ca="1">""&amp;IFERROR(VLOOKUP(O2058,EMAILS!B:E,4,FALSE),"NO T FOUND IN EMAILS")</f>
        <v/>
      </c>
    </row>
    <row r="2059" spans="2:18" x14ac:dyDescent="0.25">
      <c r="B2059" s="5" t="s">
        <v>2061</v>
      </c>
      <c r="C2059" s="5" t="s">
        <v>6201</v>
      </c>
      <c r="D2059" s="5">
        <v>0</v>
      </c>
      <c r="E2059" s="5">
        <v>0</v>
      </c>
      <c r="F2059" s="5">
        <v>0</v>
      </c>
      <c r="G2059" s="5">
        <v>0</v>
      </c>
      <c r="H2059" s="5">
        <v>0</v>
      </c>
      <c r="I2059" s="5">
        <v>0</v>
      </c>
      <c r="J2059" s="5">
        <v>0</v>
      </c>
      <c r="K2059" s="5">
        <v>0</v>
      </c>
      <c r="L2059" s="5">
        <v>0</v>
      </c>
      <c r="M2059" s="5">
        <v>0</v>
      </c>
      <c r="N2059" s="5">
        <v>77</v>
      </c>
      <c r="O2059" s="5" t="str">
        <f t="shared" ca="1" si="32"/>
        <v>Supplier 196</v>
      </c>
      <c r="P2059" s="20" t="str">
        <f ca="1">IFERROR(VLOOKUP(O2059,EMAILS!B:C,2,FALSE),"NOT FOUND IN EMAILS")</f>
        <v>supplier@gmail.com</v>
      </c>
      <c r="Q2059" t="str">
        <f ca="1">""&amp;IFERROR(VLOOKUP(O2059,EMAILS!B:D,3,FALSE),"NOT FOUND IN EMAILS")</f>
        <v/>
      </c>
      <c r="R2059" t="str">
        <f ca="1">""&amp;IFERROR(VLOOKUP(O2059,EMAILS!B:E,4,FALSE),"NO T FOUND IN EMAILS")</f>
        <v/>
      </c>
    </row>
    <row r="2060" spans="2:18" x14ac:dyDescent="0.25">
      <c r="B2060" s="5" t="s">
        <v>2062</v>
      </c>
      <c r="C2060" s="5" t="s">
        <v>6202</v>
      </c>
      <c r="D2060" s="5">
        <v>0</v>
      </c>
      <c r="E2060" s="5">
        <v>0</v>
      </c>
      <c r="F2060" s="5">
        <v>0</v>
      </c>
      <c r="G2060" s="5">
        <v>0</v>
      </c>
      <c r="H2060" s="5">
        <v>0</v>
      </c>
      <c r="I2060" s="5">
        <v>0</v>
      </c>
      <c r="J2060" s="5">
        <v>0</v>
      </c>
      <c r="K2060" s="5">
        <v>0</v>
      </c>
      <c r="L2060" s="5">
        <v>0</v>
      </c>
      <c r="M2060" s="5">
        <v>0</v>
      </c>
      <c r="N2060" s="5">
        <v>80</v>
      </c>
      <c r="O2060" s="5" t="str">
        <f t="shared" ca="1" si="32"/>
        <v>Supplier 101</v>
      </c>
      <c r="P2060" s="20" t="str">
        <f ca="1">IFERROR(VLOOKUP(O2060,EMAILS!B:C,2,FALSE),"NOT FOUND IN EMAILS")</f>
        <v>supplier@gmail.com</v>
      </c>
      <c r="Q2060" t="str">
        <f ca="1">""&amp;IFERROR(VLOOKUP(O2060,EMAILS!B:D,3,FALSE),"NOT FOUND IN EMAILS")</f>
        <v/>
      </c>
      <c r="R2060" t="str">
        <f ca="1">""&amp;IFERROR(VLOOKUP(O2060,EMAILS!B:E,4,FALSE),"NO T FOUND IN EMAILS")</f>
        <v/>
      </c>
    </row>
    <row r="2061" spans="2:18" x14ac:dyDescent="0.25">
      <c r="B2061" s="5" t="s">
        <v>2063</v>
      </c>
      <c r="C2061" s="5" t="s">
        <v>6203</v>
      </c>
      <c r="D2061" s="5">
        <v>0</v>
      </c>
      <c r="E2061" s="5">
        <v>0</v>
      </c>
      <c r="F2061" s="5">
        <v>0</v>
      </c>
      <c r="G2061" s="5">
        <v>0</v>
      </c>
      <c r="H2061" s="5">
        <v>0</v>
      </c>
      <c r="I2061" s="5">
        <v>0</v>
      </c>
      <c r="J2061" s="5">
        <v>0</v>
      </c>
      <c r="K2061" s="5">
        <v>0</v>
      </c>
      <c r="L2061" s="5">
        <v>0</v>
      </c>
      <c r="M2061" s="5">
        <v>0</v>
      </c>
      <c r="N2061" s="5">
        <v>3412</v>
      </c>
      <c r="O2061" s="5" t="str">
        <f t="shared" ca="1" si="32"/>
        <v>Supplier 110</v>
      </c>
      <c r="P2061" s="20" t="str">
        <f ca="1">IFERROR(VLOOKUP(O2061,EMAILS!B:C,2,FALSE),"NOT FOUND IN EMAILS")</f>
        <v>supplier@gmail.com</v>
      </c>
      <c r="Q2061" t="str">
        <f ca="1">""&amp;IFERROR(VLOOKUP(O2061,EMAILS!B:D,3,FALSE),"NOT FOUND IN EMAILS")</f>
        <v/>
      </c>
      <c r="R2061" t="str">
        <f ca="1">""&amp;IFERROR(VLOOKUP(O2061,EMAILS!B:E,4,FALSE),"NO T FOUND IN EMAILS")</f>
        <v/>
      </c>
    </row>
    <row r="2062" spans="2:18" x14ac:dyDescent="0.25">
      <c r="B2062" s="5" t="s">
        <v>2064</v>
      </c>
      <c r="C2062" s="5" t="s">
        <v>6204</v>
      </c>
      <c r="D2062" s="5">
        <v>1972</v>
      </c>
      <c r="E2062" s="5">
        <v>0</v>
      </c>
      <c r="F2062" s="5">
        <v>0</v>
      </c>
      <c r="G2062" s="5">
        <v>2477.5</v>
      </c>
      <c r="H2062" s="5">
        <v>30</v>
      </c>
      <c r="I2062" s="5">
        <v>0</v>
      </c>
      <c r="J2062" s="5">
        <v>0</v>
      </c>
      <c r="K2062" s="5">
        <v>0</v>
      </c>
      <c r="L2062" s="5">
        <v>0</v>
      </c>
      <c r="M2062" s="5">
        <v>0</v>
      </c>
      <c r="N2062" s="5">
        <v>1051</v>
      </c>
      <c r="O2062" s="5" t="str">
        <f t="shared" ca="1" si="32"/>
        <v>Supplier 144</v>
      </c>
      <c r="P2062" s="20" t="str">
        <f ca="1">IFERROR(VLOOKUP(O2062,EMAILS!B:C,2,FALSE),"NOT FOUND IN EMAILS")</f>
        <v>supplier@gmail.com</v>
      </c>
      <c r="Q2062" t="str">
        <f ca="1">""&amp;IFERROR(VLOOKUP(O2062,EMAILS!B:D,3,FALSE),"NOT FOUND IN EMAILS")</f>
        <v/>
      </c>
      <c r="R2062" t="str">
        <f ca="1">""&amp;IFERROR(VLOOKUP(O2062,EMAILS!B:E,4,FALSE),"NO T FOUND IN EMAILS")</f>
        <v/>
      </c>
    </row>
    <row r="2063" spans="2:18" x14ac:dyDescent="0.25">
      <c r="B2063" s="5" t="s">
        <v>2065</v>
      </c>
      <c r="C2063" s="5" t="s">
        <v>6205</v>
      </c>
      <c r="D2063" s="5">
        <v>0</v>
      </c>
      <c r="E2063" s="5">
        <v>0</v>
      </c>
      <c r="F2063" s="5">
        <v>0</v>
      </c>
      <c r="G2063" s="5">
        <v>0</v>
      </c>
      <c r="H2063" s="5">
        <v>0</v>
      </c>
      <c r="I2063" s="5">
        <v>0</v>
      </c>
      <c r="J2063" s="5">
        <v>892</v>
      </c>
      <c r="K2063" s="5">
        <v>0</v>
      </c>
      <c r="L2063" s="5">
        <v>0</v>
      </c>
      <c r="M2063" s="5">
        <v>0</v>
      </c>
      <c r="N2063" s="5">
        <v>964</v>
      </c>
      <c r="O2063" s="5" t="str">
        <f t="shared" ca="1" si="32"/>
        <v>Supplier 96</v>
      </c>
      <c r="P2063" s="20" t="str">
        <f ca="1">IFERROR(VLOOKUP(O2063,EMAILS!B:C,2,FALSE),"NOT FOUND IN EMAILS")</f>
        <v>supplier@gmail.com</v>
      </c>
      <c r="Q2063" t="str">
        <f ca="1">""&amp;IFERROR(VLOOKUP(O2063,EMAILS!B:D,3,FALSE),"NOT FOUND IN EMAILS")</f>
        <v/>
      </c>
      <c r="R2063" t="str">
        <f ca="1">""&amp;IFERROR(VLOOKUP(O2063,EMAILS!B:E,4,FALSE),"NO T FOUND IN EMAILS")</f>
        <v/>
      </c>
    </row>
    <row r="2064" spans="2:18" x14ac:dyDescent="0.25">
      <c r="B2064" s="5" t="s">
        <v>2066</v>
      </c>
      <c r="C2064" s="5" t="s">
        <v>6206</v>
      </c>
      <c r="D2064" s="5">
        <v>0</v>
      </c>
      <c r="E2064" s="5">
        <v>0</v>
      </c>
      <c r="F2064" s="5">
        <v>0</v>
      </c>
      <c r="G2064" s="5">
        <v>1894</v>
      </c>
      <c r="H2064" s="5">
        <v>0</v>
      </c>
      <c r="I2064" s="5">
        <v>0</v>
      </c>
      <c r="J2064" s="5">
        <v>0</v>
      </c>
      <c r="K2064" s="5">
        <v>0</v>
      </c>
      <c r="L2064" s="5">
        <v>0</v>
      </c>
      <c r="M2064" s="5">
        <v>0</v>
      </c>
      <c r="N2064" s="5">
        <v>80</v>
      </c>
      <c r="O2064" s="5" t="str">
        <f t="shared" ca="1" si="32"/>
        <v>Supplier 131</v>
      </c>
      <c r="P2064" s="20" t="str">
        <f ca="1">IFERROR(VLOOKUP(O2064,EMAILS!B:C,2,FALSE),"NOT FOUND IN EMAILS")</f>
        <v>supplier@gmail.com</v>
      </c>
      <c r="Q2064" t="str">
        <f ca="1">""&amp;IFERROR(VLOOKUP(O2064,EMAILS!B:D,3,FALSE),"NOT FOUND IN EMAILS")</f>
        <v/>
      </c>
      <c r="R2064" t="str">
        <f ca="1">""&amp;IFERROR(VLOOKUP(O2064,EMAILS!B:E,4,FALSE),"NO T FOUND IN EMAILS")</f>
        <v/>
      </c>
    </row>
    <row r="2065" spans="2:18" x14ac:dyDescent="0.25">
      <c r="B2065" s="5" t="s">
        <v>2067</v>
      </c>
      <c r="C2065" s="5" t="s">
        <v>6207</v>
      </c>
      <c r="D2065" s="5">
        <v>0</v>
      </c>
      <c r="E2065" s="5">
        <v>0</v>
      </c>
      <c r="F2065" s="5">
        <v>0</v>
      </c>
      <c r="G2065" s="5">
        <v>0</v>
      </c>
      <c r="H2065" s="5">
        <v>0</v>
      </c>
      <c r="I2065" s="5">
        <v>0</v>
      </c>
      <c r="J2065" s="5">
        <v>0</v>
      </c>
      <c r="K2065" s="5">
        <v>0</v>
      </c>
      <c r="L2065" s="5">
        <v>0</v>
      </c>
      <c r="M2065" s="5">
        <v>0</v>
      </c>
      <c r="N2065" s="5">
        <v>3</v>
      </c>
      <c r="O2065" s="5" t="str">
        <f t="shared" ca="1" si="32"/>
        <v>Supplier 76</v>
      </c>
      <c r="P2065" s="20" t="str">
        <f ca="1">IFERROR(VLOOKUP(O2065,EMAILS!B:C,2,FALSE),"NOT FOUND IN EMAILS")</f>
        <v>supplier@gmail.com</v>
      </c>
      <c r="Q2065" t="str">
        <f ca="1">""&amp;IFERROR(VLOOKUP(O2065,EMAILS!B:D,3,FALSE),"NOT FOUND IN EMAILS")</f>
        <v/>
      </c>
      <c r="R2065" t="str">
        <f ca="1">""&amp;IFERROR(VLOOKUP(O2065,EMAILS!B:E,4,FALSE),"NO T FOUND IN EMAILS")</f>
        <v/>
      </c>
    </row>
    <row r="2066" spans="2:18" x14ac:dyDescent="0.25">
      <c r="B2066" s="5" t="s">
        <v>2068</v>
      </c>
      <c r="C2066" s="5" t="s">
        <v>6208</v>
      </c>
      <c r="D2066" s="5">
        <v>0</v>
      </c>
      <c r="E2066" s="5">
        <v>0</v>
      </c>
      <c r="F2066" s="5">
        <v>0</v>
      </c>
      <c r="G2066" s="5">
        <v>0</v>
      </c>
      <c r="H2066" s="5">
        <v>0</v>
      </c>
      <c r="I2066" s="5">
        <v>0</v>
      </c>
      <c r="J2066" s="5">
        <v>0</v>
      </c>
      <c r="K2066" s="5">
        <v>0</v>
      </c>
      <c r="L2066" s="5">
        <v>0</v>
      </c>
      <c r="M2066" s="5">
        <v>0</v>
      </c>
      <c r="N2066" s="5">
        <v>103</v>
      </c>
      <c r="O2066" s="5" t="str">
        <f t="shared" ca="1" si="32"/>
        <v>Supplier 19</v>
      </c>
      <c r="P2066" s="20" t="str">
        <f ca="1">IFERROR(VLOOKUP(O2066,EMAILS!B:C,2,FALSE),"NOT FOUND IN EMAILS")</f>
        <v>supplier@gmail.com</v>
      </c>
      <c r="Q2066" t="str">
        <f ca="1">""&amp;IFERROR(VLOOKUP(O2066,EMAILS!B:D,3,FALSE),"NOT FOUND IN EMAILS")</f>
        <v>supplier_logistics@gmail.com</v>
      </c>
      <c r="R2066" t="str">
        <f ca="1">""&amp;IFERROR(VLOOKUP(O2066,EMAILS!B:E,4,FALSE),"NO T FOUND IN EMAILS")</f>
        <v/>
      </c>
    </row>
    <row r="2067" spans="2:18" x14ac:dyDescent="0.25">
      <c r="B2067" s="5" t="s">
        <v>2069</v>
      </c>
      <c r="C2067" s="5" t="s">
        <v>6209</v>
      </c>
      <c r="D2067" s="5">
        <v>0</v>
      </c>
      <c r="E2067" s="5">
        <v>0</v>
      </c>
      <c r="F2067" s="5">
        <v>0</v>
      </c>
      <c r="G2067" s="5">
        <v>0</v>
      </c>
      <c r="H2067" s="5">
        <v>0</v>
      </c>
      <c r="I2067" s="5">
        <v>0</v>
      </c>
      <c r="J2067" s="5">
        <v>0</v>
      </c>
      <c r="K2067" s="5">
        <v>0</v>
      </c>
      <c r="L2067" s="5">
        <v>0</v>
      </c>
      <c r="M2067" s="5">
        <v>0</v>
      </c>
      <c r="N2067" s="5">
        <v>7687</v>
      </c>
      <c r="O2067" s="5" t="str">
        <f t="shared" ca="1" si="32"/>
        <v>Supplier 106</v>
      </c>
      <c r="P2067" s="20" t="str">
        <f ca="1">IFERROR(VLOOKUP(O2067,EMAILS!B:C,2,FALSE),"NOT FOUND IN EMAILS")</f>
        <v>supplier@gmail.com</v>
      </c>
      <c r="Q2067" t="str">
        <f ca="1">""&amp;IFERROR(VLOOKUP(O2067,EMAILS!B:D,3,FALSE),"NOT FOUND IN EMAILS")</f>
        <v/>
      </c>
      <c r="R2067" t="str">
        <f ca="1">""&amp;IFERROR(VLOOKUP(O2067,EMAILS!B:E,4,FALSE),"NO T FOUND IN EMAILS")</f>
        <v/>
      </c>
    </row>
    <row r="2068" spans="2:18" x14ac:dyDescent="0.25">
      <c r="B2068" s="5" t="s">
        <v>2070</v>
      </c>
      <c r="C2068" s="5" t="s">
        <v>6210</v>
      </c>
      <c r="D2068" s="5">
        <v>0</v>
      </c>
      <c r="E2068" s="5">
        <v>0</v>
      </c>
      <c r="F2068" s="5">
        <v>0</v>
      </c>
      <c r="G2068" s="5">
        <v>0</v>
      </c>
      <c r="H2068" s="5">
        <v>0</v>
      </c>
      <c r="I2068" s="5">
        <v>0</v>
      </c>
      <c r="J2068" s="5">
        <v>0</v>
      </c>
      <c r="K2068" s="5">
        <v>0</v>
      </c>
      <c r="L2068" s="5">
        <v>0</v>
      </c>
      <c r="M2068" s="5">
        <v>0</v>
      </c>
      <c r="N2068" s="5">
        <v>2970</v>
      </c>
      <c r="O2068" s="5" t="str">
        <f t="shared" ca="1" si="32"/>
        <v>Supplier 135</v>
      </c>
      <c r="P2068" s="20" t="str">
        <f ca="1">IFERROR(VLOOKUP(O2068,EMAILS!B:C,2,FALSE),"NOT FOUND IN EMAILS")</f>
        <v>supplier@gmail.com</v>
      </c>
      <c r="Q2068" t="str">
        <f ca="1">""&amp;IFERROR(VLOOKUP(O2068,EMAILS!B:D,3,FALSE),"NOT FOUND IN EMAILS")</f>
        <v/>
      </c>
      <c r="R2068" t="str">
        <f ca="1">""&amp;IFERROR(VLOOKUP(O2068,EMAILS!B:E,4,FALSE),"NO T FOUND IN EMAILS")</f>
        <v/>
      </c>
    </row>
    <row r="2069" spans="2:18" x14ac:dyDescent="0.25">
      <c r="B2069" s="5" t="s">
        <v>2071</v>
      </c>
      <c r="C2069" s="5" t="s">
        <v>6211</v>
      </c>
      <c r="D2069" s="5">
        <v>0</v>
      </c>
      <c r="E2069" s="5">
        <v>0</v>
      </c>
      <c r="F2069" s="5">
        <v>0</v>
      </c>
      <c r="G2069" s="5">
        <v>0</v>
      </c>
      <c r="H2069" s="5">
        <v>0</v>
      </c>
      <c r="I2069" s="5">
        <v>0</v>
      </c>
      <c r="J2069" s="5">
        <v>0</v>
      </c>
      <c r="K2069" s="5">
        <v>30</v>
      </c>
      <c r="L2069" s="5">
        <v>0</v>
      </c>
      <c r="M2069" s="5">
        <v>0</v>
      </c>
      <c r="N2069" s="5">
        <v>101</v>
      </c>
      <c r="O2069" s="5" t="str">
        <f t="shared" ca="1" si="32"/>
        <v>Supplier 41</v>
      </c>
      <c r="P2069" s="20" t="str">
        <f ca="1">IFERROR(VLOOKUP(O2069,EMAILS!B:C,2,FALSE),"NOT FOUND IN EMAILS")</f>
        <v>supplier@gmail.com</v>
      </c>
      <c r="Q2069" t="str">
        <f ca="1">""&amp;IFERROR(VLOOKUP(O2069,EMAILS!B:D,3,FALSE),"NOT FOUND IN EMAILS")</f>
        <v/>
      </c>
      <c r="R2069" t="str">
        <f ca="1">""&amp;IFERROR(VLOOKUP(O2069,EMAILS!B:E,4,FALSE),"NO T FOUND IN EMAILS")</f>
        <v/>
      </c>
    </row>
    <row r="2070" spans="2:18" x14ac:dyDescent="0.25">
      <c r="B2070" s="5" t="s">
        <v>2072</v>
      </c>
      <c r="C2070" s="5" t="s">
        <v>6212</v>
      </c>
      <c r="D2070" s="5">
        <v>0</v>
      </c>
      <c r="E2070" s="5">
        <v>0</v>
      </c>
      <c r="F2070" s="5">
        <v>4</v>
      </c>
      <c r="G2070" s="5">
        <v>4</v>
      </c>
      <c r="H2070" s="5">
        <v>0</v>
      </c>
      <c r="I2070" s="5">
        <v>0</v>
      </c>
      <c r="J2070" s="5">
        <v>0</v>
      </c>
      <c r="K2070" s="5">
        <v>6</v>
      </c>
      <c r="L2070" s="5">
        <v>0</v>
      </c>
      <c r="M2070" s="5">
        <v>0</v>
      </c>
      <c r="N2070" s="5">
        <v>0</v>
      </c>
      <c r="O2070" s="5" t="str">
        <f t="shared" ca="1" si="32"/>
        <v>Supplier 32</v>
      </c>
      <c r="P2070" s="20" t="str">
        <f ca="1">IFERROR(VLOOKUP(O2070,EMAILS!B:C,2,FALSE),"NOT FOUND IN EMAILS")</f>
        <v>supplier@gmail.com</v>
      </c>
      <c r="Q2070" t="str">
        <f ca="1">""&amp;IFERROR(VLOOKUP(O2070,EMAILS!B:D,3,FALSE),"NOT FOUND IN EMAILS")</f>
        <v/>
      </c>
      <c r="R2070" t="str">
        <f ca="1">""&amp;IFERROR(VLOOKUP(O2070,EMAILS!B:E,4,FALSE),"NO T FOUND IN EMAILS")</f>
        <v/>
      </c>
    </row>
    <row r="2071" spans="2:18" x14ac:dyDescent="0.25">
      <c r="B2071" s="5" t="s">
        <v>2073</v>
      </c>
      <c r="C2071" s="5" t="s">
        <v>6213</v>
      </c>
      <c r="D2071" s="5">
        <v>0</v>
      </c>
      <c r="E2071" s="5">
        <v>0</v>
      </c>
      <c r="F2071" s="5">
        <v>0</v>
      </c>
      <c r="G2071" s="5">
        <v>0</v>
      </c>
      <c r="H2071" s="5">
        <v>0</v>
      </c>
      <c r="I2071" s="5">
        <v>0</v>
      </c>
      <c r="J2071" s="5">
        <v>0</v>
      </c>
      <c r="K2071" s="5">
        <v>0</v>
      </c>
      <c r="L2071" s="5">
        <v>0</v>
      </c>
      <c r="M2071" s="5">
        <v>0</v>
      </c>
      <c r="N2071" s="5">
        <v>440</v>
      </c>
      <c r="O2071" s="5" t="str">
        <f t="shared" ca="1" si="32"/>
        <v>Supplier 44</v>
      </c>
      <c r="P2071" s="20" t="str">
        <f ca="1">IFERROR(VLOOKUP(O2071,EMAILS!B:C,2,FALSE),"NOT FOUND IN EMAILS")</f>
        <v>supplier@gmail.com</v>
      </c>
      <c r="Q2071" t="str">
        <f ca="1">""&amp;IFERROR(VLOOKUP(O2071,EMAILS!B:D,3,FALSE),"NOT FOUND IN EMAILS")</f>
        <v/>
      </c>
      <c r="R2071" t="str">
        <f ca="1">""&amp;IFERROR(VLOOKUP(O2071,EMAILS!B:E,4,FALSE),"NO T FOUND IN EMAILS")</f>
        <v/>
      </c>
    </row>
    <row r="2072" spans="2:18" x14ac:dyDescent="0.25">
      <c r="B2072" s="5" t="s">
        <v>2074</v>
      </c>
      <c r="C2072" s="5" t="s">
        <v>6214</v>
      </c>
      <c r="D2072" s="5">
        <v>0</v>
      </c>
      <c r="E2072" s="5">
        <v>0</v>
      </c>
      <c r="F2072" s="5">
        <v>0</v>
      </c>
      <c r="G2072" s="5">
        <v>0</v>
      </c>
      <c r="H2072" s="5">
        <v>0</v>
      </c>
      <c r="I2072" s="5">
        <v>0</v>
      </c>
      <c r="J2072" s="5">
        <v>0</v>
      </c>
      <c r="K2072" s="5">
        <v>20</v>
      </c>
      <c r="L2072" s="5">
        <v>0</v>
      </c>
      <c r="M2072" s="5">
        <v>0</v>
      </c>
      <c r="N2072" s="5">
        <v>1500</v>
      </c>
      <c r="O2072" s="5" t="str">
        <f t="shared" ca="1" si="32"/>
        <v>Supplier 89</v>
      </c>
      <c r="P2072" s="20" t="str">
        <f ca="1">IFERROR(VLOOKUP(O2072,EMAILS!B:C,2,FALSE),"NOT FOUND IN EMAILS")</f>
        <v>supplier@gmail.com</v>
      </c>
      <c r="Q2072" t="str">
        <f ca="1">""&amp;IFERROR(VLOOKUP(O2072,EMAILS!B:D,3,FALSE),"NOT FOUND IN EMAILS")</f>
        <v/>
      </c>
      <c r="R2072" t="str">
        <f ca="1">""&amp;IFERROR(VLOOKUP(O2072,EMAILS!B:E,4,FALSE),"NO T FOUND IN EMAILS")</f>
        <v/>
      </c>
    </row>
    <row r="2073" spans="2:18" x14ac:dyDescent="0.25">
      <c r="B2073" s="5" t="s">
        <v>2075</v>
      </c>
      <c r="C2073" s="5" t="s">
        <v>6215</v>
      </c>
      <c r="D2073" s="5">
        <v>50</v>
      </c>
      <c r="E2073" s="5">
        <v>50</v>
      </c>
      <c r="F2073" s="5">
        <v>180</v>
      </c>
      <c r="G2073" s="5">
        <v>140</v>
      </c>
      <c r="H2073" s="5">
        <v>135</v>
      </c>
      <c r="I2073" s="5">
        <v>220</v>
      </c>
      <c r="J2073" s="5">
        <v>30</v>
      </c>
      <c r="K2073" s="5">
        <v>20</v>
      </c>
      <c r="L2073" s="5">
        <v>230</v>
      </c>
      <c r="M2073" s="5">
        <v>0</v>
      </c>
      <c r="N2073" s="5">
        <v>0</v>
      </c>
      <c r="O2073" s="5" t="str">
        <f t="shared" ca="1" si="32"/>
        <v>Supplier 1</v>
      </c>
      <c r="P2073" s="20" t="str">
        <f ca="1">IFERROR(VLOOKUP(O2073,EMAILS!B:C,2,FALSE),"NOT FOUND IN EMAILS")</f>
        <v>supplier@gmail.com</v>
      </c>
      <c r="Q2073" t="str">
        <f ca="1">""&amp;IFERROR(VLOOKUP(O2073,EMAILS!B:D,3,FALSE),"NOT FOUND IN EMAILS")</f>
        <v>supplier_logistics@gmail.com</v>
      </c>
      <c r="R2073" t="str">
        <f ca="1">""&amp;IFERROR(VLOOKUP(O2073,EMAILS!B:E,4,FALSE),"NO T FOUND IN EMAILS")</f>
        <v/>
      </c>
    </row>
    <row r="2074" spans="2:18" x14ac:dyDescent="0.25">
      <c r="B2074" s="5" t="s">
        <v>2076</v>
      </c>
      <c r="C2074" s="5" t="s">
        <v>6216</v>
      </c>
      <c r="D2074" s="5">
        <v>156</v>
      </c>
      <c r="E2074" s="5">
        <v>156</v>
      </c>
      <c r="F2074" s="5">
        <v>168</v>
      </c>
      <c r="G2074" s="5">
        <v>132</v>
      </c>
      <c r="H2074" s="5">
        <v>162</v>
      </c>
      <c r="I2074" s="5">
        <v>144</v>
      </c>
      <c r="J2074" s="5">
        <v>132</v>
      </c>
      <c r="K2074" s="5">
        <v>132</v>
      </c>
      <c r="L2074" s="5">
        <v>108</v>
      </c>
      <c r="M2074" s="5">
        <v>0</v>
      </c>
      <c r="N2074" s="5">
        <v>0</v>
      </c>
      <c r="O2074" s="5" t="str">
        <f t="shared" ca="1" si="32"/>
        <v>Supplier 57</v>
      </c>
      <c r="P2074" s="20" t="str">
        <f ca="1">IFERROR(VLOOKUP(O2074,EMAILS!B:C,2,FALSE),"NOT FOUND IN EMAILS")</f>
        <v>supplier@gmail.com</v>
      </c>
      <c r="Q2074" t="str">
        <f ca="1">""&amp;IFERROR(VLOOKUP(O2074,EMAILS!B:D,3,FALSE),"NOT FOUND IN EMAILS")</f>
        <v/>
      </c>
      <c r="R2074" t="str">
        <f ca="1">""&amp;IFERROR(VLOOKUP(O2074,EMAILS!B:E,4,FALSE),"NO T FOUND IN EMAILS")</f>
        <v/>
      </c>
    </row>
    <row r="2075" spans="2:18" x14ac:dyDescent="0.25">
      <c r="B2075" s="5" t="s">
        <v>2077</v>
      </c>
      <c r="C2075" s="5" t="s">
        <v>6217</v>
      </c>
      <c r="D2075" s="5">
        <v>0</v>
      </c>
      <c r="E2075" s="5">
        <v>0</v>
      </c>
      <c r="F2075" s="5">
        <v>0</v>
      </c>
      <c r="G2075" s="5">
        <v>0</v>
      </c>
      <c r="H2075" s="5">
        <v>0</v>
      </c>
      <c r="I2075" s="5">
        <v>0</v>
      </c>
      <c r="J2075" s="5">
        <v>0</v>
      </c>
      <c r="K2075" s="5">
        <v>0</v>
      </c>
      <c r="L2075" s="5">
        <v>0</v>
      </c>
      <c r="M2075" s="5">
        <v>0</v>
      </c>
      <c r="N2075" s="5">
        <v>0</v>
      </c>
      <c r="O2075" s="5" t="str">
        <f t="shared" ca="1" si="32"/>
        <v>Supplier 118</v>
      </c>
      <c r="P2075" s="20" t="str">
        <f ca="1">IFERROR(VLOOKUP(O2075,EMAILS!B:C,2,FALSE),"NOT FOUND IN EMAILS")</f>
        <v>supplier@gmail.com</v>
      </c>
      <c r="Q2075" t="str">
        <f ca="1">""&amp;IFERROR(VLOOKUP(O2075,EMAILS!B:D,3,FALSE),"NOT FOUND IN EMAILS")</f>
        <v/>
      </c>
      <c r="R2075" t="str">
        <f ca="1">""&amp;IFERROR(VLOOKUP(O2075,EMAILS!B:E,4,FALSE),"NO T FOUND IN EMAILS")</f>
        <v/>
      </c>
    </row>
    <row r="2076" spans="2:18" x14ac:dyDescent="0.25">
      <c r="B2076" s="5" t="s">
        <v>2078</v>
      </c>
      <c r="C2076" s="5" t="s">
        <v>6218</v>
      </c>
      <c r="D2076" s="5">
        <v>0</v>
      </c>
      <c r="E2076" s="5">
        <v>0</v>
      </c>
      <c r="F2076" s="5">
        <v>150</v>
      </c>
      <c r="G2076" s="5">
        <v>0</v>
      </c>
      <c r="H2076" s="5">
        <v>0</v>
      </c>
      <c r="I2076" s="5">
        <v>150</v>
      </c>
      <c r="J2076" s="5">
        <v>0</v>
      </c>
      <c r="K2076" s="5">
        <v>0</v>
      </c>
      <c r="L2076" s="5">
        <v>0</v>
      </c>
      <c r="M2076" s="5">
        <v>0</v>
      </c>
      <c r="N2076" s="5">
        <v>79</v>
      </c>
      <c r="O2076" s="5" t="str">
        <f t="shared" ca="1" si="32"/>
        <v>Supplier 115</v>
      </c>
      <c r="P2076" s="20" t="str">
        <f ca="1">IFERROR(VLOOKUP(O2076,EMAILS!B:C,2,FALSE),"NOT FOUND IN EMAILS")</f>
        <v>supplier@gmail.com</v>
      </c>
      <c r="Q2076" t="str">
        <f ca="1">""&amp;IFERROR(VLOOKUP(O2076,EMAILS!B:D,3,FALSE),"NOT FOUND IN EMAILS")</f>
        <v/>
      </c>
      <c r="R2076" t="str">
        <f ca="1">""&amp;IFERROR(VLOOKUP(O2076,EMAILS!B:E,4,FALSE),"NO T FOUND IN EMAILS")</f>
        <v/>
      </c>
    </row>
    <row r="2077" spans="2:18" x14ac:dyDescent="0.25">
      <c r="B2077" s="5" t="s">
        <v>2079</v>
      </c>
      <c r="C2077" s="5" t="s">
        <v>6219</v>
      </c>
      <c r="D2077" s="5">
        <v>0</v>
      </c>
      <c r="E2077" s="5">
        <v>0</v>
      </c>
      <c r="F2077" s="5">
        <v>0</v>
      </c>
      <c r="G2077" s="5">
        <v>2</v>
      </c>
      <c r="H2077" s="5">
        <v>0</v>
      </c>
      <c r="I2077" s="5">
        <v>0</v>
      </c>
      <c r="J2077" s="5">
        <v>0</v>
      </c>
      <c r="K2077" s="5">
        <v>8</v>
      </c>
      <c r="L2077" s="5">
        <v>0</v>
      </c>
      <c r="M2077" s="5">
        <v>0</v>
      </c>
      <c r="N2077" s="5">
        <v>52</v>
      </c>
      <c r="O2077" s="5" t="str">
        <f t="shared" ca="1" si="32"/>
        <v>Supplier 175</v>
      </c>
      <c r="P2077" s="20" t="str">
        <f ca="1">IFERROR(VLOOKUP(O2077,EMAILS!B:C,2,FALSE),"NOT FOUND IN EMAILS")</f>
        <v>supplier@gmail.com</v>
      </c>
      <c r="Q2077" t="str">
        <f ca="1">""&amp;IFERROR(VLOOKUP(O2077,EMAILS!B:D,3,FALSE),"NOT FOUND IN EMAILS")</f>
        <v/>
      </c>
      <c r="R2077" t="str">
        <f ca="1">""&amp;IFERROR(VLOOKUP(O2077,EMAILS!B:E,4,FALSE),"NO T FOUND IN EMAILS")</f>
        <v/>
      </c>
    </row>
    <row r="2078" spans="2:18" x14ac:dyDescent="0.25">
      <c r="B2078" s="5" t="s">
        <v>2080</v>
      </c>
      <c r="C2078" s="5" t="s">
        <v>6220</v>
      </c>
      <c r="D2078" s="5">
        <v>0</v>
      </c>
      <c r="E2078" s="5">
        <v>0</v>
      </c>
      <c r="F2078" s="5">
        <v>0</v>
      </c>
      <c r="G2078" s="5">
        <v>3</v>
      </c>
      <c r="H2078" s="5">
        <v>0</v>
      </c>
      <c r="I2078" s="5">
        <v>0</v>
      </c>
      <c r="J2078" s="5">
        <v>25</v>
      </c>
      <c r="K2078" s="5">
        <v>12</v>
      </c>
      <c r="L2078" s="5">
        <v>0</v>
      </c>
      <c r="M2078" s="5">
        <v>0</v>
      </c>
      <c r="N2078" s="5">
        <v>28</v>
      </c>
      <c r="O2078" s="5" t="str">
        <f t="shared" ca="1" si="32"/>
        <v>Supplier 132</v>
      </c>
      <c r="P2078" s="20" t="str">
        <f ca="1">IFERROR(VLOOKUP(O2078,EMAILS!B:C,2,FALSE),"NOT FOUND IN EMAILS")</f>
        <v>supplier@gmail.com</v>
      </c>
      <c r="Q2078" t="str">
        <f ca="1">""&amp;IFERROR(VLOOKUP(O2078,EMAILS!B:D,3,FALSE),"NOT FOUND IN EMAILS")</f>
        <v/>
      </c>
      <c r="R2078" t="str">
        <f ca="1">""&amp;IFERROR(VLOOKUP(O2078,EMAILS!B:E,4,FALSE),"NO T FOUND IN EMAILS")</f>
        <v/>
      </c>
    </row>
    <row r="2079" spans="2:18" x14ac:dyDescent="0.25">
      <c r="B2079" s="5" t="s">
        <v>2081</v>
      </c>
      <c r="C2079" s="5" t="s">
        <v>6221</v>
      </c>
      <c r="D2079" s="5">
        <v>0</v>
      </c>
      <c r="E2079" s="5">
        <v>0</v>
      </c>
      <c r="F2079" s="5">
        <v>0</v>
      </c>
      <c r="G2079" s="5">
        <v>0</v>
      </c>
      <c r="H2079" s="5">
        <v>0</v>
      </c>
      <c r="I2079" s="5">
        <v>0</v>
      </c>
      <c r="J2079" s="5">
        <v>0</v>
      </c>
      <c r="K2079" s="5">
        <v>0</v>
      </c>
      <c r="L2079" s="5">
        <v>0</v>
      </c>
      <c r="M2079" s="5">
        <v>0</v>
      </c>
      <c r="N2079" s="5">
        <v>173</v>
      </c>
      <c r="O2079" s="5" t="str">
        <f t="shared" ca="1" si="32"/>
        <v>Supplier 27</v>
      </c>
      <c r="P2079" s="20" t="str">
        <f ca="1">IFERROR(VLOOKUP(O2079,EMAILS!B:C,2,FALSE),"NOT FOUND IN EMAILS")</f>
        <v>supplier@gmail.com</v>
      </c>
      <c r="Q2079" t="str">
        <f ca="1">""&amp;IFERROR(VLOOKUP(O2079,EMAILS!B:D,3,FALSE),"NOT FOUND IN EMAILS")</f>
        <v/>
      </c>
      <c r="R2079" t="str">
        <f ca="1">""&amp;IFERROR(VLOOKUP(O2079,EMAILS!B:E,4,FALSE),"NO T FOUND IN EMAILS")</f>
        <v/>
      </c>
    </row>
    <row r="2080" spans="2:18" x14ac:dyDescent="0.25">
      <c r="B2080" s="5" t="s">
        <v>2082</v>
      </c>
      <c r="C2080" s="5" t="s">
        <v>6222</v>
      </c>
      <c r="D2080" s="5">
        <v>0</v>
      </c>
      <c r="E2080" s="5">
        <v>0</v>
      </c>
      <c r="F2080" s="5">
        <v>0</v>
      </c>
      <c r="G2080" s="5">
        <v>0</v>
      </c>
      <c r="H2080" s="5">
        <v>0</v>
      </c>
      <c r="I2080" s="5">
        <v>0</v>
      </c>
      <c r="J2080" s="5">
        <v>0</v>
      </c>
      <c r="K2080" s="5">
        <v>0</v>
      </c>
      <c r="L2080" s="5">
        <v>0</v>
      </c>
      <c r="M2080" s="5">
        <v>0</v>
      </c>
      <c r="N2080" s="5">
        <v>0</v>
      </c>
      <c r="O2080" s="5" t="str">
        <f t="shared" ca="1" si="32"/>
        <v>Supplier 86</v>
      </c>
      <c r="P2080" s="20" t="str">
        <f ca="1">IFERROR(VLOOKUP(O2080,EMAILS!B:C,2,FALSE),"NOT FOUND IN EMAILS")</f>
        <v>supplier@gmail.com</v>
      </c>
      <c r="Q2080" t="str">
        <f ca="1">""&amp;IFERROR(VLOOKUP(O2080,EMAILS!B:D,3,FALSE),"NOT FOUND IN EMAILS")</f>
        <v/>
      </c>
      <c r="R2080" t="str">
        <f ca="1">""&amp;IFERROR(VLOOKUP(O2080,EMAILS!B:E,4,FALSE),"NO T FOUND IN EMAILS")</f>
        <v/>
      </c>
    </row>
    <row r="2081" spans="2:18" x14ac:dyDescent="0.25">
      <c r="B2081" s="5" t="s">
        <v>2083</v>
      </c>
      <c r="C2081" s="5" t="s">
        <v>6223</v>
      </c>
      <c r="D2081" s="5">
        <v>0</v>
      </c>
      <c r="E2081" s="5">
        <v>0</v>
      </c>
      <c r="F2081" s="5">
        <v>0</v>
      </c>
      <c r="G2081" s="5">
        <v>0</v>
      </c>
      <c r="H2081" s="5">
        <v>0</v>
      </c>
      <c r="I2081" s="5">
        <v>0</v>
      </c>
      <c r="J2081" s="5">
        <v>0</v>
      </c>
      <c r="K2081" s="5">
        <v>0</v>
      </c>
      <c r="L2081" s="5">
        <v>0</v>
      </c>
      <c r="M2081" s="5">
        <v>0</v>
      </c>
      <c r="N2081" s="5">
        <v>190</v>
      </c>
      <c r="O2081" s="5" t="str">
        <f t="shared" ca="1" si="32"/>
        <v>Supplier 137</v>
      </c>
      <c r="P2081" s="20" t="str">
        <f ca="1">IFERROR(VLOOKUP(O2081,EMAILS!B:C,2,FALSE),"NOT FOUND IN EMAILS")</f>
        <v>supplier@gmail.com</v>
      </c>
      <c r="Q2081" t="str">
        <f ca="1">""&amp;IFERROR(VLOOKUP(O2081,EMAILS!B:D,3,FALSE),"NOT FOUND IN EMAILS")</f>
        <v/>
      </c>
      <c r="R2081" t="str">
        <f ca="1">""&amp;IFERROR(VLOOKUP(O2081,EMAILS!B:E,4,FALSE),"NO T FOUND IN EMAILS")</f>
        <v/>
      </c>
    </row>
    <row r="2082" spans="2:18" x14ac:dyDescent="0.25">
      <c r="B2082" s="5" t="s">
        <v>2084</v>
      </c>
      <c r="C2082" s="5" t="s">
        <v>6224</v>
      </c>
      <c r="D2082" s="5">
        <v>0</v>
      </c>
      <c r="E2082" s="5">
        <v>0</v>
      </c>
      <c r="F2082" s="5">
        <v>0</v>
      </c>
      <c r="G2082" s="5">
        <v>1</v>
      </c>
      <c r="H2082" s="5">
        <v>0</v>
      </c>
      <c r="I2082" s="5">
        <v>0</v>
      </c>
      <c r="J2082" s="5">
        <v>0</v>
      </c>
      <c r="K2082" s="5">
        <v>4</v>
      </c>
      <c r="L2082" s="5">
        <v>0</v>
      </c>
      <c r="M2082" s="5">
        <v>0</v>
      </c>
      <c r="N2082" s="5">
        <v>0</v>
      </c>
      <c r="O2082" s="5" t="str">
        <f t="shared" ca="1" si="32"/>
        <v>Supplier 27</v>
      </c>
      <c r="P2082" s="20" t="str">
        <f ca="1">IFERROR(VLOOKUP(O2082,EMAILS!B:C,2,FALSE),"NOT FOUND IN EMAILS")</f>
        <v>supplier@gmail.com</v>
      </c>
      <c r="Q2082" t="str">
        <f ca="1">""&amp;IFERROR(VLOOKUP(O2082,EMAILS!B:D,3,FALSE),"NOT FOUND IN EMAILS")</f>
        <v/>
      </c>
      <c r="R2082" t="str">
        <f ca="1">""&amp;IFERROR(VLOOKUP(O2082,EMAILS!B:E,4,FALSE),"NO T FOUND IN EMAILS")</f>
        <v/>
      </c>
    </row>
    <row r="2083" spans="2:18" x14ac:dyDescent="0.25">
      <c r="B2083" s="5" t="s">
        <v>2085</v>
      </c>
      <c r="C2083" s="5" t="s">
        <v>6225</v>
      </c>
      <c r="D2083" s="5">
        <v>0</v>
      </c>
      <c r="E2083" s="5">
        <v>0</v>
      </c>
      <c r="F2083" s="5">
        <v>0</v>
      </c>
      <c r="G2083" s="5">
        <v>0</v>
      </c>
      <c r="H2083" s="5">
        <v>0</v>
      </c>
      <c r="I2083" s="5">
        <v>0</v>
      </c>
      <c r="J2083" s="5">
        <v>0</v>
      </c>
      <c r="K2083" s="5">
        <v>0</v>
      </c>
      <c r="L2083" s="5">
        <v>0</v>
      </c>
      <c r="M2083" s="5">
        <v>0</v>
      </c>
      <c r="N2083" s="5">
        <v>52</v>
      </c>
      <c r="O2083" s="5" t="str">
        <f t="shared" ca="1" si="32"/>
        <v>Supplier 68</v>
      </c>
      <c r="P2083" s="20" t="str">
        <f ca="1">IFERROR(VLOOKUP(O2083,EMAILS!B:C,2,FALSE),"NOT FOUND IN EMAILS")</f>
        <v>supplier@gmail.com</v>
      </c>
      <c r="Q2083" t="str">
        <f ca="1">""&amp;IFERROR(VLOOKUP(O2083,EMAILS!B:D,3,FALSE),"NOT FOUND IN EMAILS")</f>
        <v/>
      </c>
      <c r="R2083" t="str">
        <f ca="1">""&amp;IFERROR(VLOOKUP(O2083,EMAILS!B:E,4,FALSE),"NO T FOUND IN EMAILS")</f>
        <v/>
      </c>
    </row>
    <row r="2084" spans="2:18" x14ac:dyDescent="0.25">
      <c r="B2084" s="5" t="s">
        <v>2086</v>
      </c>
      <c r="C2084" s="5" t="s">
        <v>6226</v>
      </c>
      <c r="D2084" s="5">
        <v>0</v>
      </c>
      <c r="E2084" s="5">
        <v>0</v>
      </c>
      <c r="F2084" s="5">
        <v>0</v>
      </c>
      <c r="G2084" s="5">
        <v>0</v>
      </c>
      <c r="H2084" s="5">
        <v>0</v>
      </c>
      <c r="I2084" s="5">
        <v>0</v>
      </c>
      <c r="J2084" s="5">
        <v>0</v>
      </c>
      <c r="K2084" s="5">
        <v>0</v>
      </c>
      <c r="L2084" s="5">
        <v>0</v>
      </c>
      <c r="M2084" s="5">
        <v>0</v>
      </c>
      <c r="N2084" s="5">
        <v>54</v>
      </c>
      <c r="O2084" s="5" t="str">
        <f t="shared" ca="1" si="32"/>
        <v>Supplier 135</v>
      </c>
      <c r="P2084" s="20" t="str">
        <f ca="1">IFERROR(VLOOKUP(O2084,EMAILS!B:C,2,FALSE),"NOT FOUND IN EMAILS")</f>
        <v>supplier@gmail.com</v>
      </c>
      <c r="Q2084" t="str">
        <f ca="1">""&amp;IFERROR(VLOOKUP(O2084,EMAILS!B:D,3,FALSE),"NOT FOUND IN EMAILS")</f>
        <v/>
      </c>
      <c r="R2084" t="str">
        <f ca="1">""&amp;IFERROR(VLOOKUP(O2084,EMAILS!B:E,4,FALSE),"NO T FOUND IN EMAILS")</f>
        <v/>
      </c>
    </row>
    <row r="2085" spans="2:18" x14ac:dyDescent="0.25">
      <c r="B2085" s="5" t="s">
        <v>2087</v>
      </c>
      <c r="C2085" s="5" t="s">
        <v>6227</v>
      </c>
      <c r="D2085" s="5">
        <v>0</v>
      </c>
      <c r="E2085" s="5">
        <v>0</v>
      </c>
      <c r="F2085" s="5">
        <v>0</v>
      </c>
      <c r="G2085" s="5">
        <v>0</v>
      </c>
      <c r="H2085" s="5">
        <v>0</v>
      </c>
      <c r="I2085" s="5">
        <v>0</v>
      </c>
      <c r="J2085" s="5">
        <v>0</v>
      </c>
      <c r="K2085" s="5">
        <v>0</v>
      </c>
      <c r="L2085" s="5">
        <v>0</v>
      </c>
      <c r="M2085" s="5">
        <v>0</v>
      </c>
      <c r="N2085" s="5">
        <v>1510</v>
      </c>
      <c r="O2085" s="5" t="str">
        <f t="shared" ca="1" si="32"/>
        <v>Supplier 8</v>
      </c>
      <c r="P2085" s="20" t="str">
        <f ca="1">IFERROR(VLOOKUP(O2085,EMAILS!B:C,2,FALSE),"NOT FOUND IN EMAILS")</f>
        <v>supplier@gmail.com</v>
      </c>
      <c r="Q2085" t="str">
        <f ca="1">""&amp;IFERROR(VLOOKUP(O2085,EMAILS!B:D,3,FALSE),"NOT FOUND IN EMAILS")</f>
        <v>supplier_logistics@gmail.com</v>
      </c>
      <c r="R2085" t="str">
        <f ca="1">""&amp;IFERROR(VLOOKUP(O2085,EMAILS!B:E,4,FALSE),"NO T FOUND IN EMAILS")</f>
        <v/>
      </c>
    </row>
    <row r="2086" spans="2:18" x14ac:dyDescent="0.25">
      <c r="B2086" s="5" t="s">
        <v>2088</v>
      </c>
      <c r="C2086" s="5" t="s">
        <v>6228</v>
      </c>
      <c r="D2086" s="5">
        <v>7666</v>
      </c>
      <c r="E2086" s="5">
        <v>5663</v>
      </c>
      <c r="F2086" s="5">
        <v>7260</v>
      </c>
      <c r="G2086" s="5">
        <v>7382</v>
      </c>
      <c r="H2086" s="5">
        <v>6605</v>
      </c>
      <c r="I2086" s="5">
        <v>7425</v>
      </c>
      <c r="J2086" s="5">
        <v>5961</v>
      </c>
      <c r="K2086" s="5">
        <v>5447</v>
      </c>
      <c r="L2086" s="5">
        <v>5947</v>
      </c>
      <c r="M2086" s="5">
        <v>0</v>
      </c>
      <c r="N2086" s="5">
        <v>1093</v>
      </c>
      <c r="O2086" s="5" t="str">
        <f t="shared" ca="1" si="32"/>
        <v>Supplier 11</v>
      </c>
      <c r="P2086" s="20" t="str">
        <f ca="1">IFERROR(VLOOKUP(O2086,EMAILS!B:C,2,FALSE),"NOT FOUND IN EMAILS")</f>
        <v>supplier@gmail.com</v>
      </c>
      <c r="Q2086" t="str">
        <f ca="1">""&amp;IFERROR(VLOOKUP(O2086,EMAILS!B:D,3,FALSE),"NOT FOUND IN EMAILS")</f>
        <v>supplier_logistics@gmail.com</v>
      </c>
      <c r="R2086" t="str">
        <f ca="1">""&amp;IFERROR(VLOOKUP(O2086,EMAILS!B:E,4,FALSE),"NO T FOUND IN EMAILS")</f>
        <v/>
      </c>
    </row>
    <row r="2087" spans="2:18" x14ac:dyDescent="0.25">
      <c r="B2087" s="5" t="s">
        <v>2089</v>
      </c>
      <c r="C2087" s="5" t="s">
        <v>6229</v>
      </c>
      <c r="D2087" s="5">
        <v>17482</v>
      </c>
      <c r="E2087" s="5">
        <v>12312</v>
      </c>
      <c r="F2087" s="5">
        <v>15204</v>
      </c>
      <c r="G2087" s="5">
        <v>15420</v>
      </c>
      <c r="H2087" s="5">
        <v>15906</v>
      </c>
      <c r="I2087" s="5">
        <v>15762</v>
      </c>
      <c r="J2087" s="5">
        <v>13008</v>
      </c>
      <c r="K2087" s="5">
        <v>14776</v>
      </c>
      <c r="L2087" s="5">
        <v>13392</v>
      </c>
      <c r="M2087" s="5">
        <v>0</v>
      </c>
      <c r="N2087" s="5">
        <v>0</v>
      </c>
      <c r="O2087" s="5" t="str">
        <f t="shared" ca="1" si="32"/>
        <v>Supplier 3</v>
      </c>
      <c r="P2087" s="20" t="str">
        <f ca="1">IFERROR(VLOOKUP(O2087,EMAILS!B:C,2,FALSE),"NOT FOUND IN EMAILS")</f>
        <v>supplier@gmail.com</v>
      </c>
      <c r="Q2087" t="str">
        <f ca="1">""&amp;IFERROR(VLOOKUP(O2087,EMAILS!B:D,3,FALSE),"NOT FOUND IN EMAILS")</f>
        <v>supplier_logistics@gmail.com</v>
      </c>
      <c r="R2087" t="str">
        <f ca="1">""&amp;IFERROR(VLOOKUP(O2087,EMAILS!B:E,4,FALSE),"NO T FOUND IN EMAILS")</f>
        <v/>
      </c>
    </row>
    <row r="2088" spans="2:18" x14ac:dyDescent="0.25">
      <c r="B2088" s="5" t="s">
        <v>2090</v>
      </c>
      <c r="C2088" s="5" t="s">
        <v>6230</v>
      </c>
      <c r="D2088" s="5">
        <v>100</v>
      </c>
      <c r="E2088" s="5">
        <v>110</v>
      </c>
      <c r="F2088" s="5">
        <v>140</v>
      </c>
      <c r="G2088" s="5">
        <v>140</v>
      </c>
      <c r="H2088" s="5">
        <v>100</v>
      </c>
      <c r="I2088" s="5">
        <v>170</v>
      </c>
      <c r="J2088" s="5">
        <v>120</v>
      </c>
      <c r="K2088" s="5">
        <v>100</v>
      </c>
      <c r="L2088" s="5">
        <v>100</v>
      </c>
      <c r="M2088" s="5">
        <v>0</v>
      </c>
      <c r="N2088" s="5">
        <v>0</v>
      </c>
      <c r="O2088" s="5" t="str">
        <f t="shared" ca="1" si="32"/>
        <v>Supplier 132</v>
      </c>
      <c r="P2088" s="20" t="str">
        <f ca="1">IFERROR(VLOOKUP(O2088,EMAILS!B:C,2,FALSE),"NOT FOUND IN EMAILS")</f>
        <v>supplier@gmail.com</v>
      </c>
      <c r="Q2088" t="str">
        <f ca="1">""&amp;IFERROR(VLOOKUP(O2088,EMAILS!B:D,3,FALSE),"NOT FOUND IN EMAILS")</f>
        <v/>
      </c>
      <c r="R2088" t="str">
        <f ca="1">""&amp;IFERROR(VLOOKUP(O2088,EMAILS!B:E,4,FALSE),"NO T FOUND IN EMAILS")</f>
        <v/>
      </c>
    </row>
    <row r="2089" spans="2:18" x14ac:dyDescent="0.25">
      <c r="B2089" s="5" t="s">
        <v>2091</v>
      </c>
      <c r="C2089" s="5" t="s">
        <v>6231</v>
      </c>
      <c r="D2089" s="5">
        <v>1080</v>
      </c>
      <c r="E2089" s="5">
        <v>860</v>
      </c>
      <c r="F2089" s="5">
        <v>1218</v>
      </c>
      <c r="G2089" s="5">
        <v>1020</v>
      </c>
      <c r="H2089" s="5">
        <v>908</v>
      </c>
      <c r="I2089" s="5">
        <v>994</v>
      </c>
      <c r="J2089" s="5">
        <v>604</v>
      </c>
      <c r="K2089" s="5">
        <v>594</v>
      </c>
      <c r="L2089" s="5">
        <v>683</v>
      </c>
      <c r="M2089" s="5">
        <v>0</v>
      </c>
      <c r="N2089" s="5">
        <v>15</v>
      </c>
      <c r="O2089" s="5" t="str">
        <f t="shared" ca="1" si="32"/>
        <v>Supplier 57</v>
      </c>
      <c r="P2089" s="20" t="str">
        <f ca="1">IFERROR(VLOOKUP(O2089,EMAILS!B:C,2,FALSE),"NOT FOUND IN EMAILS")</f>
        <v>supplier@gmail.com</v>
      </c>
      <c r="Q2089" t="str">
        <f ca="1">""&amp;IFERROR(VLOOKUP(O2089,EMAILS!B:D,3,FALSE),"NOT FOUND IN EMAILS")</f>
        <v/>
      </c>
      <c r="R2089" t="str">
        <f ca="1">""&amp;IFERROR(VLOOKUP(O2089,EMAILS!B:E,4,FALSE),"NO T FOUND IN EMAILS")</f>
        <v/>
      </c>
    </row>
    <row r="2090" spans="2:18" x14ac:dyDescent="0.25">
      <c r="B2090" s="5" t="s">
        <v>2092</v>
      </c>
      <c r="C2090" s="5" t="s">
        <v>6232</v>
      </c>
      <c r="D2090" s="5">
        <v>0</v>
      </c>
      <c r="E2090" s="5">
        <v>0</v>
      </c>
      <c r="F2090" s="5">
        <v>4</v>
      </c>
      <c r="G2090" s="5">
        <v>4</v>
      </c>
      <c r="H2090" s="5">
        <v>0</v>
      </c>
      <c r="I2090" s="5">
        <v>0</v>
      </c>
      <c r="J2090" s="5">
        <v>0</v>
      </c>
      <c r="K2090" s="5">
        <v>6</v>
      </c>
      <c r="L2090" s="5">
        <v>0</v>
      </c>
      <c r="M2090" s="5">
        <v>0</v>
      </c>
      <c r="N2090" s="5">
        <v>9132</v>
      </c>
      <c r="O2090" s="5" t="str">
        <f t="shared" ca="1" si="32"/>
        <v>Supplier 131</v>
      </c>
      <c r="P2090" s="20" t="str">
        <f ca="1">IFERROR(VLOOKUP(O2090,EMAILS!B:C,2,FALSE),"NOT FOUND IN EMAILS")</f>
        <v>supplier@gmail.com</v>
      </c>
      <c r="Q2090" t="str">
        <f ca="1">""&amp;IFERROR(VLOOKUP(O2090,EMAILS!B:D,3,FALSE),"NOT FOUND IN EMAILS")</f>
        <v/>
      </c>
      <c r="R2090" t="str">
        <f ca="1">""&amp;IFERROR(VLOOKUP(O2090,EMAILS!B:E,4,FALSE),"NO T FOUND IN EMAILS")</f>
        <v/>
      </c>
    </row>
    <row r="2091" spans="2:18" x14ac:dyDescent="0.25">
      <c r="B2091" s="5" t="s">
        <v>2093</v>
      </c>
      <c r="C2091" s="5" t="s">
        <v>6233</v>
      </c>
      <c r="D2091" s="5">
        <v>6</v>
      </c>
      <c r="E2091" s="5">
        <v>0</v>
      </c>
      <c r="F2091" s="5">
        <v>1</v>
      </c>
      <c r="G2091" s="5">
        <v>2</v>
      </c>
      <c r="H2091" s="5">
        <v>1</v>
      </c>
      <c r="I2091" s="5">
        <v>0</v>
      </c>
      <c r="J2091" s="5">
        <v>1</v>
      </c>
      <c r="K2091" s="5">
        <v>1</v>
      </c>
      <c r="L2091" s="5">
        <v>0</v>
      </c>
      <c r="M2091" s="5">
        <v>0</v>
      </c>
      <c r="N2091" s="5">
        <v>19</v>
      </c>
      <c r="O2091" s="5" t="str">
        <f t="shared" ca="1" si="32"/>
        <v>Supplier 4</v>
      </c>
      <c r="P2091" s="20" t="str">
        <f ca="1">IFERROR(VLOOKUP(O2091,EMAILS!B:C,2,FALSE),"NOT FOUND IN EMAILS")</f>
        <v>supplier@gmail.com</v>
      </c>
      <c r="Q2091" t="str">
        <f ca="1">""&amp;IFERROR(VLOOKUP(O2091,EMAILS!B:D,3,FALSE),"NOT FOUND IN EMAILS")</f>
        <v>supplier_logistics@gmail.com</v>
      </c>
      <c r="R2091" t="str">
        <f ca="1">""&amp;IFERROR(VLOOKUP(O2091,EMAILS!B:E,4,FALSE),"NO T FOUND IN EMAILS")</f>
        <v/>
      </c>
    </row>
    <row r="2092" spans="2:18" x14ac:dyDescent="0.25">
      <c r="B2092" s="5" t="s">
        <v>2094</v>
      </c>
      <c r="C2092" s="5" t="s">
        <v>6234</v>
      </c>
      <c r="D2092" s="5">
        <v>0</v>
      </c>
      <c r="E2092" s="5">
        <v>0</v>
      </c>
      <c r="F2092" s="5">
        <v>0</v>
      </c>
      <c r="G2092" s="5">
        <v>0</v>
      </c>
      <c r="H2092" s="5">
        <v>0</v>
      </c>
      <c r="I2092" s="5">
        <v>0</v>
      </c>
      <c r="J2092" s="5">
        <v>0</v>
      </c>
      <c r="K2092" s="5">
        <v>10</v>
      </c>
      <c r="L2092" s="5">
        <v>0</v>
      </c>
      <c r="M2092" s="5">
        <v>0</v>
      </c>
      <c r="N2092" s="5">
        <v>0</v>
      </c>
      <c r="O2092" s="5" t="str">
        <f t="shared" ca="1" si="32"/>
        <v>Supplier 171</v>
      </c>
      <c r="P2092" s="20" t="str">
        <f ca="1">IFERROR(VLOOKUP(O2092,EMAILS!B:C,2,FALSE),"NOT FOUND IN EMAILS")</f>
        <v>supplier@gmail.com</v>
      </c>
      <c r="Q2092" t="str">
        <f ca="1">""&amp;IFERROR(VLOOKUP(O2092,EMAILS!B:D,3,FALSE),"NOT FOUND IN EMAILS")</f>
        <v/>
      </c>
      <c r="R2092" t="str">
        <f ca="1">""&amp;IFERROR(VLOOKUP(O2092,EMAILS!B:E,4,FALSE),"NO T FOUND IN EMAILS")</f>
        <v/>
      </c>
    </row>
    <row r="2093" spans="2:18" x14ac:dyDescent="0.25">
      <c r="B2093" s="5" t="s">
        <v>2095</v>
      </c>
      <c r="C2093" s="5" t="s">
        <v>6235</v>
      </c>
      <c r="D2093" s="5">
        <v>0</v>
      </c>
      <c r="E2093" s="5">
        <v>0</v>
      </c>
      <c r="F2093" s="5">
        <v>0</v>
      </c>
      <c r="G2093" s="5">
        <v>0</v>
      </c>
      <c r="H2093" s="5">
        <v>0</v>
      </c>
      <c r="I2093" s="5">
        <v>500</v>
      </c>
      <c r="J2093" s="5">
        <v>0</v>
      </c>
      <c r="K2093" s="5">
        <v>0</v>
      </c>
      <c r="L2093" s="5">
        <v>0</v>
      </c>
      <c r="M2093" s="5">
        <v>0</v>
      </c>
      <c r="N2093" s="5">
        <v>0</v>
      </c>
      <c r="O2093" s="5" t="str">
        <f t="shared" ca="1" si="32"/>
        <v>Supplier 174</v>
      </c>
      <c r="P2093" s="20" t="str">
        <f ca="1">IFERROR(VLOOKUP(O2093,EMAILS!B:C,2,FALSE),"NOT FOUND IN EMAILS")</f>
        <v>supplier@gmail.com</v>
      </c>
      <c r="Q2093" t="str">
        <f ca="1">""&amp;IFERROR(VLOOKUP(O2093,EMAILS!B:D,3,FALSE),"NOT FOUND IN EMAILS")</f>
        <v/>
      </c>
      <c r="R2093" t="str">
        <f ca="1">""&amp;IFERROR(VLOOKUP(O2093,EMAILS!B:E,4,FALSE),"NO T FOUND IN EMAILS")</f>
        <v/>
      </c>
    </row>
    <row r="2094" spans="2:18" x14ac:dyDescent="0.25">
      <c r="B2094" s="5" t="s">
        <v>2096</v>
      </c>
      <c r="C2094" s="5" t="s">
        <v>6236</v>
      </c>
      <c r="D2094" s="5">
        <v>0</v>
      </c>
      <c r="E2094" s="5">
        <v>0</v>
      </c>
      <c r="F2094" s="5">
        <v>0</v>
      </c>
      <c r="G2094" s="5">
        <v>0</v>
      </c>
      <c r="H2094" s="5">
        <v>0</v>
      </c>
      <c r="I2094" s="5">
        <v>0</v>
      </c>
      <c r="J2094" s="5">
        <v>0</v>
      </c>
      <c r="K2094" s="5">
        <v>0</v>
      </c>
      <c r="L2094" s="5">
        <v>0</v>
      </c>
      <c r="M2094" s="5">
        <v>0</v>
      </c>
      <c r="N2094" s="5">
        <v>0</v>
      </c>
      <c r="O2094" s="5" t="str">
        <f t="shared" ca="1" si="32"/>
        <v>Supplier 89</v>
      </c>
      <c r="P2094" s="20" t="str">
        <f ca="1">IFERROR(VLOOKUP(O2094,EMAILS!B:C,2,FALSE),"NOT FOUND IN EMAILS")</f>
        <v>supplier@gmail.com</v>
      </c>
      <c r="Q2094" t="str">
        <f ca="1">""&amp;IFERROR(VLOOKUP(O2094,EMAILS!B:D,3,FALSE),"NOT FOUND IN EMAILS")</f>
        <v/>
      </c>
      <c r="R2094" t="str">
        <f ca="1">""&amp;IFERROR(VLOOKUP(O2094,EMAILS!B:E,4,FALSE),"NO T FOUND IN EMAILS")</f>
        <v/>
      </c>
    </row>
    <row r="2095" spans="2:18" x14ac:dyDescent="0.25">
      <c r="B2095" s="5" t="s">
        <v>2097</v>
      </c>
      <c r="C2095" s="5" t="s">
        <v>6237</v>
      </c>
      <c r="D2095" s="5">
        <v>0</v>
      </c>
      <c r="E2095" s="5">
        <v>0</v>
      </c>
      <c r="F2095" s="5">
        <v>0</v>
      </c>
      <c r="G2095" s="5">
        <v>0</v>
      </c>
      <c r="H2095" s="5">
        <v>0</v>
      </c>
      <c r="I2095" s="5">
        <v>0</v>
      </c>
      <c r="J2095" s="5">
        <v>0</v>
      </c>
      <c r="K2095" s="5">
        <v>0</v>
      </c>
      <c r="L2095" s="5">
        <v>0</v>
      </c>
      <c r="M2095" s="5">
        <v>0</v>
      </c>
      <c r="N2095" s="5">
        <v>0</v>
      </c>
      <c r="O2095" s="5" t="str">
        <f t="shared" ca="1" si="32"/>
        <v>Supplier 5</v>
      </c>
      <c r="P2095" s="20" t="str">
        <f ca="1">IFERROR(VLOOKUP(O2095,EMAILS!B:C,2,FALSE),"NOT FOUND IN EMAILS")</f>
        <v>supplier@gmail.com</v>
      </c>
      <c r="Q2095" t="str">
        <f ca="1">""&amp;IFERROR(VLOOKUP(O2095,EMAILS!B:D,3,FALSE),"NOT FOUND IN EMAILS")</f>
        <v>supplier_logistics@gmail.com</v>
      </c>
      <c r="R2095" t="str">
        <f ca="1">""&amp;IFERROR(VLOOKUP(O2095,EMAILS!B:E,4,FALSE),"NO T FOUND IN EMAILS")</f>
        <v/>
      </c>
    </row>
    <row r="2096" spans="2:18" x14ac:dyDescent="0.25">
      <c r="B2096" s="5" t="s">
        <v>2098</v>
      </c>
      <c r="C2096" s="5" t="s">
        <v>6238</v>
      </c>
      <c r="D2096" s="5">
        <v>0</v>
      </c>
      <c r="E2096" s="5">
        <v>0</v>
      </c>
      <c r="F2096" s="5">
        <v>0</v>
      </c>
      <c r="G2096" s="5">
        <v>0</v>
      </c>
      <c r="H2096" s="5">
        <v>0</v>
      </c>
      <c r="I2096" s="5">
        <v>0</v>
      </c>
      <c r="J2096" s="5">
        <v>0</v>
      </c>
      <c r="K2096" s="5">
        <v>0</v>
      </c>
      <c r="L2096" s="5">
        <v>0</v>
      </c>
      <c r="M2096" s="5">
        <v>0</v>
      </c>
      <c r="N2096" s="5">
        <v>0</v>
      </c>
      <c r="O2096" s="5" t="str">
        <f t="shared" ca="1" si="32"/>
        <v>Supplier 177</v>
      </c>
      <c r="P2096" s="20" t="str">
        <f ca="1">IFERROR(VLOOKUP(O2096,EMAILS!B:C,2,FALSE),"NOT FOUND IN EMAILS")</f>
        <v>supplier@gmail.com</v>
      </c>
      <c r="Q2096" t="str">
        <f ca="1">""&amp;IFERROR(VLOOKUP(O2096,EMAILS!B:D,3,FALSE),"NOT FOUND IN EMAILS")</f>
        <v/>
      </c>
      <c r="R2096" t="str">
        <f ca="1">""&amp;IFERROR(VLOOKUP(O2096,EMAILS!B:E,4,FALSE),"NO T FOUND IN EMAILS")</f>
        <v/>
      </c>
    </row>
    <row r="2097" spans="2:18" x14ac:dyDescent="0.25">
      <c r="B2097" s="5" t="s">
        <v>2099</v>
      </c>
      <c r="C2097" s="5" t="s">
        <v>6239</v>
      </c>
      <c r="D2097" s="5">
        <v>0</v>
      </c>
      <c r="E2097" s="5">
        <v>0</v>
      </c>
      <c r="F2097" s="5">
        <v>0</v>
      </c>
      <c r="G2097" s="5">
        <v>0</v>
      </c>
      <c r="H2097" s="5">
        <v>0</v>
      </c>
      <c r="I2097" s="5">
        <v>0</v>
      </c>
      <c r="J2097" s="5">
        <v>0</v>
      </c>
      <c r="K2097" s="5">
        <v>0</v>
      </c>
      <c r="L2097" s="5">
        <v>0</v>
      </c>
      <c r="M2097" s="5">
        <v>0</v>
      </c>
      <c r="N2097" s="5">
        <v>0</v>
      </c>
      <c r="O2097" s="5" t="str">
        <f t="shared" ca="1" si="32"/>
        <v>Supplier 105</v>
      </c>
      <c r="P2097" s="20" t="str">
        <f ca="1">IFERROR(VLOOKUP(O2097,EMAILS!B:C,2,FALSE),"NOT FOUND IN EMAILS")</f>
        <v>supplier@gmail.com</v>
      </c>
      <c r="Q2097" t="str">
        <f ca="1">""&amp;IFERROR(VLOOKUP(O2097,EMAILS!B:D,3,FALSE),"NOT FOUND IN EMAILS")</f>
        <v/>
      </c>
      <c r="R2097" t="str">
        <f ca="1">""&amp;IFERROR(VLOOKUP(O2097,EMAILS!B:E,4,FALSE),"NO T FOUND IN EMAILS")</f>
        <v/>
      </c>
    </row>
    <row r="2098" spans="2:18" x14ac:dyDescent="0.25">
      <c r="B2098" s="5" t="s">
        <v>2100</v>
      </c>
      <c r="C2098" s="5" t="s">
        <v>6240</v>
      </c>
      <c r="D2098" s="5">
        <v>0</v>
      </c>
      <c r="E2098" s="5">
        <v>0</v>
      </c>
      <c r="F2098" s="5">
        <v>0</v>
      </c>
      <c r="G2098" s="5">
        <v>0</v>
      </c>
      <c r="H2098" s="5">
        <v>0</v>
      </c>
      <c r="I2098" s="5">
        <v>0</v>
      </c>
      <c r="J2098" s="5">
        <v>0</v>
      </c>
      <c r="K2098" s="5">
        <v>0</v>
      </c>
      <c r="L2098" s="5">
        <v>0</v>
      </c>
      <c r="M2098" s="5">
        <v>0</v>
      </c>
      <c r="N2098" s="5">
        <v>0</v>
      </c>
      <c r="O2098" s="5" t="str">
        <f t="shared" ca="1" si="32"/>
        <v>Supplier 80</v>
      </c>
      <c r="P2098" s="20" t="str">
        <f ca="1">IFERROR(VLOOKUP(O2098,EMAILS!B:C,2,FALSE),"NOT FOUND IN EMAILS")</f>
        <v>supplier@gmail.com</v>
      </c>
      <c r="Q2098" t="str">
        <f ca="1">""&amp;IFERROR(VLOOKUP(O2098,EMAILS!B:D,3,FALSE),"NOT FOUND IN EMAILS")</f>
        <v/>
      </c>
      <c r="R2098" t="str">
        <f ca="1">""&amp;IFERROR(VLOOKUP(O2098,EMAILS!B:E,4,FALSE),"NO T FOUND IN EMAILS")</f>
        <v/>
      </c>
    </row>
    <row r="2099" spans="2:18" x14ac:dyDescent="0.25">
      <c r="B2099" s="5" t="s">
        <v>2101</v>
      </c>
      <c r="C2099" s="5" t="s">
        <v>6241</v>
      </c>
      <c r="D2099" s="5">
        <v>0</v>
      </c>
      <c r="E2099" s="5">
        <v>0</v>
      </c>
      <c r="F2099" s="5">
        <v>0</v>
      </c>
      <c r="G2099" s="5">
        <v>0</v>
      </c>
      <c r="H2099" s="5">
        <v>0</v>
      </c>
      <c r="I2099" s="5">
        <v>0</v>
      </c>
      <c r="J2099" s="5">
        <v>0</v>
      </c>
      <c r="K2099" s="5">
        <v>0</v>
      </c>
      <c r="L2099" s="5">
        <v>0</v>
      </c>
      <c r="M2099" s="5">
        <v>0</v>
      </c>
      <c r="N2099" s="5">
        <v>0</v>
      </c>
      <c r="O2099" s="5" t="str">
        <f t="shared" ca="1" si="32"/>
        <v>Supplier 200</v>
      </c>
      <c r="P2099" s="20" t="str">
        <f ca="1">IFERROR(VLOOKUP(O2099,EMAILS!B:C,2,FALSE),"NOT FOUND IN EMAILS")</f>
        <v>supplier@gmail.com</v>
      </c>
      <c r="Q2099" t="str">
        <f ca="1">""&amp;IFERROR(VLOOKUP(O2099,EMAILS!B:D,3,FALSE),"NOT FOUND IN EMAILS")</f>
        <v/>
      </c>
      <c r="R2099" t="str">
        <f ca="1">""&amp;IFERROR(VLOOKUP(O2099,EMAILS!B:E,4,FALSE),"NO T FOUND IN EMAILS")</f>
        <v/>
      </c>
    </row>
    <row r="2100" spans="2:18" x14ac:dyDescent="0.25">
      <c r="B2100" s="5" t="s">
        <v>2102</v>
      </c>
      <c r="C2100" s="5" t="s">
        <v>6242</v>
      </c>
      <c r="D2100" s="5">
        <v>0</v>
      </c>
      <c r="E2100" s="5">
        <v>0</v>
      </c>
      <c r="F2100" s="5">
        <v>0</v>
      </c>
      <c r="G2100" s="5">
        <v>0</v>
      </c>
      <c r="H2100" s="5">
        <v>0</v>
      </c>
      <c r="I2100" s="5">
        <v>0</v>
      </c>
      <c r="J2100" s="5">
        <v>0</v>
      </c>
      <c r="K2100" s="5">
        <v>0</v>
      </c>
      <c r="L2100" s="5">
        <v>0</v>
      </c>
      <c r="M2100" s="5">
        <v>0</v>
      </c>
      <c r="N2100" s="5">
        <v>0</v>
      </c>
      <c r="O2100" s="5" t="str">
        <f t="shared" ca="1" si="32"/>
        <v>Supplier 7</v>
      </c>
      <c r="P2100" s="20" t="str">
        <f ca="1">IFERROR(VLOOKUP(O2100,EMAILS!B:C,2,FALSE),"NOT FOUND IN EMAILS")</f>
        <v>supplier@gmail.com</v>
      </c>
      <c r="Q2100" t="str">
        <f ca="1">""&amp;IFERROR(VLOOKUP(O2100,EMAILS!B:D,3,FALSE),"NOT FOUND IN EMAILS")</f>
        <v>supplier_logistics@gmail.com</v>
      </c>
      <c r="R2100" t="str">
        <f ca="1">""&amp;IFERROR(VLOOKUP(O2100,EMAILS!B:E,4,FALSE),"NO T FOUND IN EMAILS")</f>
        <v/>
      </c>
    </row>
    <row r="2101" spans="2:18" x14ac:dyDescent="0.25">
      <c r="B2101" s="5" t="s">
        <v>2103</v>
      </c>
      <c r="C2101" s="5" t="s">
        <v>6243</v>
      </c>
      <c r="D2101" s="5">
        <v>0</v>
      </c>
      <c r="E2101" s="5">
        <v>0</v>
      </c>
      <c r="F2101" s="5">
        <v>0</v>
      </c>
      <c r="G2101" s="5">
        <v>0</v>
      </c>
      <c r="H2101" s="5">
        <v>0</v>
      </c>
      <c r="I2101" s="5">
        <v>0</v>
      </c>
      <c r="J2101" s="5">
        <v>0</v>
      </c>
      <c r="K2101" s="5">
        <v>0</v>
      </c>
      <c r="L2101" s="5">
        <v>0</v>
      </c>
      <c r="M2101" s="5">
        <v>0</v>
      </c>
      <c r="N2101" s="5">
        <v>0</v>
      </c>
      <c r="O2101" s="5" t="str">
        <f t="shared" ca="1" si="32"/>
        <v>Supplier 61</v>
      </c>
      <c r="P2101" s="20" t="str">
        <f ca="1">IFERROR(VLOOKUP(O2101,EMAILS!B:C,2,FALSE),"NOT FOUND IN EMAILS")</f>
        <v>supplier@gmail.com</v>
      </c>
      <c r="Q2101" t="str">
        <f ca="1">""&amp;IFERROR(VLOOKUP(O2101,EMAILS!B:D,3,FALSE),"NOT FOUND IN EMAILS")</f>
        <v/>
      </c>
      <c r="R2101" t="str">
        <f ca="1">""&amp;IFERROR(VLOOKUP(O2101,EMAILS!B:E,4,FALSE),"NO T FOUND IN EMAILS")</f>
        <v/>
      </c>
    </row>
    <row r="2102" spans="2:18" x14ac:dyDescent="0.25">
      <c r="B2102" s="5" t="s">
        <v>2104</v>
      </c>
      <c r="C2102" s="5" t="s">
        <v>6244</v>
      </c>
      <c r="D2102" s="5">
        <v>0</v>
      </c>
      <c r="E2102" s="5">
        <v>0</v>
      </c>
      <c r="F2102" s="5">
        <v>0</v>
      </c>
      <c r="G2102" s="5">
        <v>0</v>
      </c>
      <c r="H2102" s="5">
        <v>0</v>
      </c>
      <c r="I2102" s="5">
        <v>0</v>
      </c>
      <c r="J2102" s="5">
        <v>0</v>
      </c>
      <c r="K2102" s="5">
        <v>0</v>
      </c>
      <c r="L2102" s="5">
        <v>0</v>
      </c>
      <c r="M2102" s="5">
        <v>0</v>
      </c>
      <c r="N2102" s="5">
        <v>0</v>
      </c>
      <c r="O2102" s="5" t="str">
        <f t="shared" ca="1" si="32"/>
        <v>Supplier 192</v>
      </c>
      <c r="P2102" s="20" t="str">
        <f ca="1">IFERROR(VLOOKUP(O2102,EMAILS!B:C,2,FALSE),"NOT FOUND IN EMAILS")</f>
        <v>supplier@gmail.com</v>
      </c>
      <c r="Q2102" t="str">
        <f ca="1">""&amp;IFERROR(VLOOKUP(O2102,EMAILS!B:D,3,FALSE),"NOT FOUND IN EMAILS")</f>
        <v/>
      </c>
      <c r="R2102" t="str">
        <f ca="1">""&amp;IFERROR(VLOOKUP(O2102,EMAILS!B:E,4,FALSE),"NO T FOUND IN EMAILS")</f>
        <v/>
      </c>
    </row>
    <row r="2103" spans="2:18" x14ac:dyDescent="0.25">
      <c r="B2103" s="5" t="s">
        <v>2105</v>
      </c>
      <c r="C2103" s="5" t="s">
        <v>6245</v>
      </c>
      <c r="D2103" s="5">
        <v>0</v>
      </c>
      <c r="E2103" s="5">
        <v>0</v>
      </c>
      <c r="F2103" s="5">
        <v>0</v>
      </c>
      <c r="G2103" s="5">
        <v>0</v>
      </c>
      <c r="H2103" s="5">
        <v>0</v>
      </c>
      <c r="I2103" s="5">
        <v>0</v>
      </c>
      <c r="J2103" s="5">
        <v>0</v>
      </c>
      <c r="K2103" s="5">
        <v>0</v>
      </c>
      <c r="L2103" s="5">
        <v>0</v>
      </c>
      <c r="M2103" s="5">
        <v>0</v>
      </c>
      <c r="N2103" s="5">
        <v>0</v>
      </c>
      <c r="O2103" s="5" t="str">
        <f t="shared" ca="1" si="32"/>
        <v>Supplier 166</v>
      </c>
      <c r="P2103" s="20" t="str">
        <f ca="1">IFERROR(VLOOKUP(O2103,EMAILS!B:C,2,FALSE),"NOT FOUND IN EMAILS")</f>
        <v>supplier@gmail.com</v>
      </c>
      <c r="Q2103" t="str">
        <f ca="1">""&amp;IFERROR(VLOOKUP(O2103,EMAILS!B:D,3,FALSE),"NOT FOUND IN EMAILS")</f>
        <v/>
      </c>
      <c r="R2103" t="str">
        <f ca="1">""&amp;IFERROR(VLOOKUP(O2103,EMAILS!B:E,4,FALSE),"NO T FOUND IN EMAILS")</f>
        <v/>
      </c>
    </row>
    <row r="2104" spans="2:18" x14ac:dyDescent="0.25">
      <c r="B2104" s="5" t="s">
        <v>2106</v>
      </c>
      <c r="C2104" s="5" t="s">
        <v>6246</v>
      </c>
      <c r="D2104" s="5">
        <v>0</v>
      </c>
      <c r="E2104" s="5">
        <v>0</v>
      </c>
      <c r="F2104" s="5">
        <v>0</v>
      </c>
      <c r="G2104" s="5">
        <v>0</v>
      </c>
      <c r="H2104" s="5">
        <v>0</v>
      </c>
      <c r="I2104" s="5">
        <v>0</v>
      </c>
      <c r="J2104" s="5">
        <v>0</v>
      </c>
      <c r="K2104" s="5">
        <v>0</v>
      </c>
      <c r="L2104" s="5">
        <v>0</v>
      </c>
      <c r="M2104" s="5">
        <v>0</v>
      </c>
      <c r="N2104" s="5">
        <v>238</v>
      </c>
      <c r="O2104" s="5" t="str">
        <f t="shared" ca="1" si="32"/>
        <v>Supplier 26</v>
      </c>
      <c r="P2104" s="20" t="str">
        <f ca="1">IFERROR(VLOOKUP(O2104,EMAILS!B:C,2,FALSE),"NOT FOUND IN EMAILS")</f>
        <v>supplier@gmail.com</v>
      </c>
      <c r="Q2104" t="str">
        <f ca="1">""&amp;IFERROR(VLOOKUP(O2104,EMAILS!B:D,3,FALSE),"NOT FOUND IN EMAILS")</f>
        <v/>
      </c>
      <c r="R2104" t="str">
        <f ca="1">""&amp;IFERROR(VLOOKUP(O2104,EMAILS!B:E,4,FALSE),"NO T FOUND IN EMAILS")</f>
        <v/>
      </c>
    </row>
    <row r="2105" spans="2:18" x14ac:dyDescent="0.25">
      <c r="B2105" s="5" t="s">
        <v>2107</v>
      </c>
      <c r="C2105" s="5" t="s">
        <v>6247</v>
      </c>
      <c r="D2105" s="5">
        <v>0</v>
      </c>
      <c r="E2105" s="5">
        <v>0</v>
      </c>
      <c r="F2105" s="5">
        <v>0</v>
      </c>
      <c r="G2105" s="5">
        <v>0</v>
      </c>
      <c r="H2105" s="5">
        <v>0</v>
      </c>
      <c r="I2105" s="5">
        <v>0</v>
      </c>
      <c r="J2105" s="5">
        <v>0</v>
      </c>
      <c r="K2105" s="5">
        <v>0</v>
      </c>
      <c r="L2105" s="5">
        <v>0</v>
      </c>
      <c r="M2105" s="5">
        <v>0</v>
      </c>
      <c r="N2105" s="5">
        <v>10</v>
      </c>
      <c r="O2105" s="5" t="str">
        <f t="shared" ca="1" si="32"/>
        <v>Supplier 144</v>
      </c>
      <c r="P2105" s="20" t="str">
        <f ca="1">IFERROR(VLOOKUP(O2105,EMAILS!B:C,2,FALSE),"NOT FOUND IN EMAILS")</f>
        <v>supplier@gmail.com</v>
      </c>
      <c r="Q2105" t="str">
        <f ca="1">""&amp;IFERROR(VLOOKUP(O2105,EMAILS!B:D,3,FALSE),"NOT FOUND IN EMAILS")</f>
        <v/>
      </c>
      <c r="R2105" t="str">
        <f ca="1">""&amp;IFERROR(VLOOKUP(O2105,EMAILS!B:E,4,FALSE),"NO T FOUND IN EMAILS")</f>
        <v/>
      </c>
    </row>
    <row r="2106" spans="2:18" x14ac:dyDescent="0.25">
      <c r="B2106" s="5" t="s">
        <v>2108</v>
      </c>
      <c r="C2106" s="5" t="s">
        <v>6248</v>
      </c>
      <c r="D2106" s="5">
        <v>0</v>
      </c>
      <c r="E2106" s="5">
        <v>2</v>
      </c>
      <c r="F2106" s="5">
        <v>2</v>
      </c>
      <c r="G2106" s="5">
        <v>2</v>
      </c>
      <c r="H2106" s="5">
        <v>2</v>
      </c>
      <c r="I2106" s="5">
        <v>2</v>
      </c>
      <c r="J2106" s="5">
        <v>3</v>
      </c>
      <c r="K2106" s="5">
        <v>2</v>
      </c>
      <c r="L2106" s="5">
        <v>2</v>
      </c>
      <c r="M2106" s="5">
        <v>0</v>
      </c>
      <c r="N2106" s="5">
        <v>17.899999999999999</v>
      </c>
      <c r="O2106" s="5" t="str">
        <f t="shared" ca="1" si="32"/>
        <v>Supplier 147</v>
      </c>
      <c r="P2106" s="20" t="str">
        <f ca="1">IFERROR(VLOOKUP(O2106,EMAILS!B:C,2,FALSE),"NOT FOUND IN EMAILS")</f>
        <v>supplier@gmail.com</v>
      </c>
      <c r="Q2106" t="str">
        <f ca="1">""&amp;IFERROR(VLOOKUP(O2106,EMAILS!B:D,3,FALSE),"NOT FOUND IN EMAILS")</f>
        <v/>
      </c>
      <c r="R2106" t="str">
        <f ca="1">""&amp;IFERROR(VLOOKUP(O2106,EMAILS!B:E,4,FALSE),"NO T FOUND IN EMAILS")</f>
        <v/>
      </c>
    </row>
    <row r="2107" spans="2:18" x14ac:dyDescent="0.25">
      <c r="B2107" s="5" t="s">
        <v>2109</v>
      </c>
      <c r="C2107" s="5" t="s">
        <v>6249</v>
      </c>
      <c r="D2107" s="5">
        <v>11.9</v>
      </c>
      <c r="E2107" s="5">
        <v>11.2</v>
      </c>
      <c r="F2107" s="5">
        <v>8.4</v>
      </c>
      <c r="G2107" s="5">
        <v>16.8</v>
      </c>
      <c r="H2107" s="5">
        <v>11.8</v>
      </c>
      <c r="I2107" s="5">
        <v>10.3</v>
      </c>
      <c r="J2107" s="5">
        <v>9.5</v>
      </c>
      <c r="K2107" s="5">
        <v>8.6999999999999993</v>
      </c>
      <c r="L2107" s="5">
        <v>8.8000000000000007</v>
      </c>
      <c r="M2107" s="5">
        <v>0</v>
      </c>
      <c r="N2107" s="5">
        <v>2.4900000000000002</v>
      </c>
      <c r="O2107" s="5" t="str">
        <f t="shared" ca="1" si="32"/>
        <v>Supplier 51</v>
      </c>
      <c r="P2107" s="20" t="str">
        <f ca="1">IFERROR(VLOOKUP(O2107,EMAILS!B:C,2,FALSE),"NOT FOUND IN EMAILS")</f>
        <v>supplier@gmail.com</v>
      </c>
      <c r="Q2107" t="str">
        <f ca="1">""&amp;IFERROR(VLOOKUP(O2107,EMAILS!B:D,3,FALSE),"NOT FOUND IN EMAILS")</f>
        <v/>
      </c>
      <c r="R2107" t="str">
        <f ca="1">""&amp;IFERROR(VLOOKUP(O2107,EMAILS!B:E,4,FALSE),"NO T FOUND IN EMAILS")</f>
        <v/>
      </c>
    </row>
    <row r="2108" spans="2:18" x14ac:dyDescent="0.25">
      <c r="B2108" s="5" t="s">
        <v>2110</v>
      </c>
      <c r="C2108" s="5" t="s">
        <v>6250</v>
      </c>
      <c r="D2108" s="5">
        <v>1.64</v>
      </c>
      <c r="E2108" s="5">
        <v>2.74</v>
      </c>
      <c r="F2108" s="5">
        <v>1.2</v>
      </c>
      <c r="G2108" s="5">
        <v>3.4</v>
      </c>
      <c r="H2108" s="5">
        <v>2.2999999999999998</v>
      </c>
      <c r="I2108" s="5">
        <v>1.86</v>
      </c>
      <c r="J2108" s="5">
        <v>1.86</v>
      </c>
      <c r="K2108" s="5">
        <v>2.52</v>
      </c>
      <c r="L2108" s="5">
        <v>1.42</v>
      </c>
      <c r="M2108" s="5">
        <v>0</v>
      </c>
      <c r="N2108" s="5">
        <v>15</v>
      </c>
      <c r="O2108" s="5" t="str">
        <f t="shared" ca="1" si="32"/>
        <v>Supplier 31</v>
      </c>
      <c r="P2108" s="20" t="str">
        <f ca="1">IFERROR(VLOOKUP(O2108,EMAILS!B:C,2,FALSE),"NOT FOUND IN EMAILS")</f>
        <v>supplier@gmail.com</v>
      </c>
      <c r="Q2108" t="str">
        <f ca="1">""&amp;IFERROR(VLOOKUP(O2108,EMAILS!B:D,3,FALSE),"NOT FOUND IN EMAILS")</f>
        <v/>
      </c>
      <c r="R2108" t="str">
        <f ca="1">""&amp;IFERROR(VLOOKUP(O2108,EMAILS!B:E,4,FALSE),"NO T FOUND IN EMAILS")</f>
        <v/>
      </c>
    </row>
    <row r="2109" spans="2:18" x14ac:dyDescent="0.25">
      <c r="B2109" s="5" t="s">
        <v>2111</v>
      </c>
      <c r="C2109" s="5" t="s">
        <v>6251</v>
      </c>
      <c r="D2109" s="5">
        <v>64.14</v>
      </c>
      <c r="E2109" s="5">
        <v>26.54</v>
      </c>
      <c r="F2109" s="5">
        <v>64.709999999999994</v>
      </c>
      <c r="G2109" s="5">
        <v>66.239999999999995</v>
      </c>
      <c r="H2109" s="5">
        <v>45.9</v>
      </c>
      <c r="I2109" s="5">
        <v>38.06</v>
      </c>
      <c r="J2109" s="5">
        <v>39.26</v>
      </c>
      <c r="K2109" s="5">
        <v>40.520000000000003</v>
      </c>
      <c r="L2109" s="5">
        <v>37.82</v>
      </c>
      <c r="M2109" s="5">
        <v>0</v>
      </c>
      <c r="N2109" s="5">
        <v>96</v>
      </c>
      <c r="O2109" s="5" t="str">
        <f t="shared" ca="1" si="32"/>
        <v>Supplier 64</v>
      </c>
      <c r="P2109" s="20" t="str">
        <f ca="1">IFERROR(VLOOKUP(O2109,EMAILS!B:C,2,FALSE),"NOT FOUND IN EMAILS")</f>
        <v>supplier@gmail.com</v>
      </c>
      <c r="Q2109" t="str">
        <f ca="1">""&amp;IFERROR(VLOOKUP(O2109,EMAILS!B:D,3,FALSE),"NOT FOUND IN EMAILS")</f>
        <v/>
      </c>
      <c r="R2109" t="str">
        <f ca="1">""&amp;IFERROR(VLOOKUP(O2109,EMAILS!B:E,4,FALSE),"NO T FOUND IN EMAILS")</f>
        <v/>
      </c>
    </row>
    <row r="2110" spans="2:18" x14ac:dyDescent="0.25">
      <c r="B2110" s="5" t="s">
        <v>2112</v>
      </c>
      <c r="C2110" s="5" t="s">
        <v>6252</v>
      </c>
      <c r="D2110" s="5">
        <v>0</v>
      </c>
      <c r="E2110" s="5">
        <v>0</v>
      </c>
      <c r="F2110" s="5">
        <v>0</v>
      </c>
      <c r="G2110" s="5">
        <v>0</v>
      </c>
      <c r="H2110" s="5">
        <v>0</v>
      </c>
      <c r="I2110" s="5">
        <v>0</v>
      </c>
      <c r="J2110" s="5">
        <v>0</v>
      </c>
      <c r="K2110" s="5">
        <v>0</v>
      </c>
      <c r="L2110" s="5">
        <v>0</v>
      </c>
      <c r="M2110" s="5">
        <v>0</v>
      </c>
      <c r="N2110" s="5">
        <v>337</v>
      </c>
      <c r="O2110" s="5" t="str">
        <f t="shared" ca="1" si="32"/>
        <v>Supplier 50</v>
      </c>
      <c r="P2110" s="20" t="str">
        <f ca="1">IFERROR(VLOOKUP(O2110,EMAILS!B:C,2,FALSE),"NOT FOUND IN EMAILS")</f>
        <v>supplier@gmail.com</v>
      </c>
      <c r="Q2110" t="str">
        <f ca="1">""&amp;IFERROR(VLOOKUP(O2110,EMAILS!B:D,3,FALSE),"NOT FOUND IN EMAILS")</f>
        <v/>
      </c>
      <c r="R2110" t="str">
        <f ca="1">""&amp;IFERROR(VLOOKUP(O2110,EMAILS!B:E,4,FALSE),"NO T FOUND IN EMAILS")</f>
        <v/>
      </c>
    </row>
    <row r="2111" spans="2:18" x14ac:dyDescent="0.25">
      <c r="B2111" s="5" t="s">
        <v>2113</v>
      </c>
      <c r="C2111" s="5" t="s">
        <v>6253</v>
      </c>
      <c r="D2111" s="5">
        <v>0</v>
      </c>
      <c r="E2111" s="5">
        <v>0</v>
      </c>
      <c r="F2111" s="5">
        <v>1000</v>
      </c>
      <c r="G2111" s="5">
        <v>0</v>
      </c>
      <c r="H2111" s="5">
        <v>0</v>
      </c>
      <c r="I2111" s="5">
        <v>0</v>
      </c>
      <c r="J2111" s="5">
        <v>0</v>
      </c>
      <c r="K2111" s="5">
        <v>0</v>
      </c>
      <c r="L2111" s="5">
        <v>0</v>
      </c>
      <c r="M2111" s="5">
        <v>0</v>
      </c>
      <c r="N2111" s="5">
        <v>450</v>
      </c>
      <c r="O2111" s="5" t="str">
        <f t="shared" ca="1" si="32"/>
        <v>Supplier 89</v>
      </c>
      <c r="P2111" s="20" t="str">
        <f ca="1">IFERROR(VLOOKUP(O2111,EMAILS!B:C,2,FALSE),"NOT FOUND IN EMAILS")</f>
        <v>supplier@gmail.com</v>
      </c>
      <c r="Q2111" t="str">
        <f ca="1">""&amp;IFERROR(VLOOKUP(O2111,EMAILS!B:D,3,FALSE),"NOT FOUND IN EMAILS")</f>
        <v/>
      </c>
      <c r="R2111" t="str">
        <f ca="1">""&amp;IFERROR(VLOOKUP(O2111,EMAILS!B:E,4,FALSE),"NO T FOUND IN EMAILS")</f>
        <v/>
      </c>
    </row>
    <row r="2112" spans="2:18" x14ac:dyDescent="0.25">
      <c r="B2112" s="5" t="s">
        <v>2114</v>
      </c>
      <c r="C2112" s="5" t="s">
        <v>6254</v>
      </c>
      <c r="D2112" s="5">
        <v>100</v>
      </c>
      <c r="E2112" s="5">
        <v>10</v>
      </c>
      <c r="F2112" s="5">
        <v>60</v>
      </c>
      <c r="G2112" s="5">
        <v>40</v>
      </c>
      <c r="H2112" s="5">
        <v>30</v>
      </c>
      <c r="I2112" s="5">
        <v>40</v>
      </c>
      <c r="J2112" s="5">
        <v>20</v>
      </c>
      <c r="K2112" s="5">
        <v>0</v>
      </c>
      <c r="L2112" s="5">
        <v>70</v>
      </c>
      <c r="M2112" s="5">
        <v>0</v>
      </c>
      <c r="N2112" s="5">
        <v>0</v>
      </c>
      <c r="O2112" s="5" t="str">
        <f t="shared" ca="1" si="32"/>
        <v>Supplier 146</v>
      </c>
      <c r="P2112" s="20" t="str">
        <f ca="1">IFERROR(VLOOKUP(O2112,EMAILS!B:C,2,FALSE),"NOT FOUND IN EMAILS")</f>
        <v>supplier@gmail.com</v>
      </c>
      <c r="Q2112" t="str">
        <f ca="1">""&amp;IFERROR(VLOOKUP(O2112,EMAILS!B:D,3,FALSE),"NOT FOUND IN EMAILS")</f>
        <v/>
      </c>
      <c r="R2112" t="str">
        <f ca="1">""&amp;IFERROR(VLOOKUP(O2112,EMAILS!B:E,4,FALSE),"NO T FOUND IN EMAILS")</f>
        <v/>
      </c>
    </row>
    <row r="2113" spans="2:18" x14ac:dyDescent="0.25">
      <c r="B2113" s="5" t="s">
        <v>2115</v>
      </c>
      <c r="C2113" s="5" t="s">
        <v>6255</v>
      </c>
      <c r="D2113" s="5">
        <v>1600</v>
      </c>
      <c r="E2113" s="5">
        <v>0</v>
      </c>
      <c r="F2113" s="5">
        <v>100</v>
      </c>
      <c r="G2113" s="5">
        <v>1000</v>
      </c>
      <c r="H2113" s="5">
        <v>0</v>
      </c>
      <c r="I2113" s="5">
        <v>0</v>
      </c>
      <c r="J2113" s="5">
        <v>0</v>
      </c>
      <c r="K2113" s="5">
        <v>0</v>
      </c>
      <c r="L2113" s="5">
        <v>0</v>
      </c>
      <c r="M2113" s="5">
        <v>0</v>
      </c>
      <c r="N2113" s="5">
        <v>459</v>
      </c>
      <c r="O2113" s="5" t="str">
        <f t="shared" ca="1" si="32"/>
        <v>Supplier 197</v>
      </c>
      <c r="P2113" s="20" t="str">
        <f ca="1">IFERROR(VLOOKUP(O2113,EMAILS!B:C,2,FALSE),"NOT FOUND IN EMAILS")</f>
        <v>supplier@gmail.com</v>
      </c>
      <c r="Q2113" t="str">
        <f ca="1">""&amp;IFERROR(VLOOKUP(O2113,EMAILS!B:D,3,FALSE),"NOT FOUND IN EMAILS")</f>
        <v/>
      </c>
      <c r="R2113" t="str">
        <f ca="1">""&amp;IFERROR(VLOOKUP(O2113,EMAILS!B:E,4,FALSE),"NO T FOUND IN EMAILS")</f>
        <v/>
      </c>
    </row>
    <row r="2114" spans="2:18" x14ac:dyDescent="0.25">
      <c r="B2114" s="5" t="s">
        <v>2116</v>
      </c>
      <c r="C2114" s="5" t="s">
        <v>6256</v>
      </c>
      <c r="D2114" s="5">
        <v>0</v>
      </c>
      <c r="E2114" s="5">
        <v>0</v>
      </c>
      <c r="F2114" s="5">
        <v>0</v>
      </c>
      <c r="G2114" s="5">
        <v>0</v>
      </c>
      <c r="H2114" s="5">
        <v>0</v>
      </c>
      <c r="I2114" s="5">
        <v>0</v>
      </c>
      <c r="J2114" s="5">
        <v>0</v>
      </c>
      <c r="K2114" s="5">
        <v>0</v>
      </c>
      <c r="L2114" s="5">
        <v>0</v>
      </c>
      <c r="M2114" s="5">
        <v>0</v>
      </c>
      <c r="N2114" s="5">
        <v>50</v>
      </c>
      <c r="O2114" s="5" t="str">
        <f t="shared" ca="1" si="32"/>
        <v>Supplier 160</v>
      </c>
      <c r="P2114" s="20" t="str">
        <f ca="1">IFERROR(VLOOKUP(O2114,EMAILS!B:C,2,FALSE),"NOT FOUND IN EMAILS")</f>
        <v>supplier@gmail.com</v>
      </c>
      <c r="Q2114" t="str">
        <f ca="1">""&amp;IFERROR(VLOOKUP(O2114,EMAILS!B:D,3,FALSE),"NOT FOUND IN EMAILS")</f>
        <v/>
      </c>
      <c r="R2114" t="str">
        <f ca="1">""&amp;IFERROR(VLOOKUP(O2114,EMAILS!B:E,4,FALSE),"NO T FOUND IN EMAILS")</f>
        <v/>
      </c>
    </row>
    <row r="2115" spans="2:18" x14ac:dyDescent="0.25">
      <c r="B2115" s="5" t="s">
        <v>2117</v>
      </c>
      <c r="C2115" s="5" t="s">
        <v>6257</v>
      </c>
      <c r="D2115" s="5">
        <v>0</v>
      </c>
      <c r="E2115" s="5">
        <v>0</v>
      </c>
      <c r="F2115" s="5">
        <v>0</v>
      </c>
      <c r="G2115" s="5">
        <v>0</v>
      </c>
      <c r="H2115" s="5">
        <v>0</v>
      </c>
      <c r="I2115" s="5">
        <v>0</v>
      </c>
      <c r="J2115" s="5">
        <v>0</v>
      </c>
      <c r="K2115" s="5">
        <v>0</v>
      </c>
      <c r="L2115" s="5">
        <v>0</v>
      </c>
      <c r="M2115" s="5">
        <v>0</v>
      </c>
      <c r="N2115" s="5">
        <v>9</v>
      </c>
      <c r="O2115" s="5" t="str">
        <f t="shared" ref="O2115:O2178" ca="1" si="33">"Supplier "&amp;RANDBETWEEN(1,200)</f>
        <v>Supplier 126</v>
      </c>
      <c r="P2115" s="20" t="str">
        <f ca="1">IFERROR(VLOOKUP(O2115,EMAILS!B:C,2,FALSE),"NOT FOUND IN EMAILS")</f>
        <v>supplier@gmail.com</v>
      </c>
      <c r="Q2115" t="str">
        <f ca="1">""&amp;IFERROR(VLOOKUP(O2115,EMAILS!B:D,3,FALSE),"NOT FOUND IN EMAILS")</f>
        <v/>
      </c>
      <c r="R2115" t="str">
        <f ca="1">""&amp;IFERROR(VLOOKUP(O2115,EMAILS!B:E,4,FALSE),"NO T FOUND IN EMAILS")</f>
        <v/>
      </c>
    </row>
    <row r="2116" spans="2:18" x14ac:dyDescent="0.25">
      <c r="B2116" s="5" t="s">
        <v>2118</v>
      </c>
      <c r="C2116" s="5" t="s">
        <v>6258</v>
      </c>
      <c r="D2116" s="5">
        <v>0</v>
      </c>
      <c r="E2116" s="5">
        <v>0</v>
      </c>
      <c r="F2116" s="5">
        <v>0</v>
      </c>
      <c r="G2116" s="5">
        <v>0</v>
      </c>
      <c r="H2116" s="5">
        <v>0</v>
      </c>
      <c r="I2116" s="5">
        <v>0</v>
      </c>
      <c r="J2116" s="5">
        <v>0</v>
      </c>
      <c r="K2116" s="5">
        <v>0</v>
      </c>
      <c r="L2116" s="5">
        <v>0</v>
      </c>
      <c r="M2116" s="5">
        <v>0</v>
      </c>
      <c r="N2116" s="5">
        <v>835</v>
      </c>
      <c r="O2116" s="5" t="str">
        <f t="shared" ca="1" si="33"/>
        <v>Supplier 120</v>
      </c>
      <c r="P2116" s="20" t="str">
        <f ca="1">IFERROR(VLOOKUP(O2116,EMAILS!B:C,2,FALSE),"NOT FOUND IN EMAILS")</f>
        <v>supplier@gmail.com</v>
      </c>
      <c r="Q2116" t="str">
        <f ca="1">""&amp;IFERROR(VLOOKUP(O2116,EMAILS!B:D,3,FALSE),"NOT FOUND IN EMAILS")</f>
        <v/>
      </c>
      <c r="R2116" t="str">
        <f ca="1">""&amp;IFERROR(VLOOKUP(O2116,EMAILS!B:E,4,FALSE),"NO T FOUND IN EMAILS")</f>
        <v/>
      </c>
    </row>
    <row r="2117" spans="2:18" x14ac:dyDescent="0.25">
      <c r="B2117" s="5" t="s">
        <v>2119</v>
      </c>
      <c r="C2117" s="5" t="s">
        <v>6259</v>
      </c>
      <c r="D2117" s="5">
        <v>0</v>
      </c>
      <c r="E2117" s="5">
        <v>0</v>
      </c>
      <c r="F2117" s="5">
        <v>0</v>
      </c>
      <c r="G2117" s="5">
        <v>0</v>
      </c>
      <c r="H2117" s="5">
        <v>0</v>
      </c>
      <c r="I2117" s="5">
        <v>0</v>
      </c>
      <c r="J2117" s="5">
        <v>0</v>
      </c>
      <c r="K2117" s="5">
        <v>0</v>
      </c>
      <c r="L2117" s="5">
        <v>0</v>
      </c>
      <c r="M2117" s="5">
        <v>0</v>
      </c>
      <c r="N2117" s="5">
        <v>2580</v>
      </c>
      <c r="O2117" s="5" t="str">
        <f t="shared" ca="1" si="33"/>
        <v>Supplier 123</v>
      </c>
      <c r="P2117" s="20" t="str">
        <f ca="1">IFERROR(VLOOKUP(O2117,EMAILS!B:C,2,FALSE),"NOT FOUND IN EMAILS")</f>
        <v>supplier@gmail.com</v>
      </c>
      <c r="Q2117" t="str">
        <f ca="1">""&amp;IFERROR(VLOOKUP(O2117,EMAILS!B:D,3,FALSE),"NOT FOUND IN EMAILS")</f>
        <v/>
      </c>
      <c r="R2117" t="str">
        <f ca="1">""&amp;IFERROR(VLOOKUP(O2117,EMAILS!B:E,4,FALSE),"NO T FOUND IN EMAILS")</f>
        <v/>
      </c>
    </row>
    <row r="2118" spans="2:18" x14ac:dyDescent="0.25">
      <c r="B2118" s="5" t="s">
        <v>2120</v>
      </c>
      <c r="C2118" s="5" t="s">
        <v>6260</v>
      </c>
      <c r="D2118" s="5">
        <v>600</v>
      </c>
      <c r="E2118" s="5">
        <v>1200</v>
      </c>
      <c r="F2118" s="5">
        <v>0</v>
      </c>
      <c r="G2118" s="5">
        <v>0</v>
      </c>
      <c r="H2118" s="5">
        <v>2100</v>
      </c>
      <c r="I2118" s="5">
        <v>600</v>
      </c>
      <c r="J2118" s="5">
        <v>600</v>
      </c>
      <c r="K2118" s="5">
        <v>600</v>
      </c>
      <c r="L2118" s="5">
        <v>600</v>
      </c>
      <c r="M2118" s="5">
        <v>0</v>
      </c>
      <c r="N2118" s="5">
        <v>4059</v>
      </c>
      <c r="O2118" s="5" t="str">
        <f t="shared" ca="1" si="33"/>
        <v>Supplier 31</v>
      </c>
      <c r="P2118" s="20" t="str">
        <f ca="1">IFERROR(VLOOKUP(O2118,EMAILS!B:C,2,FALSE),"NOT FOUND IN EMAILS")</f>
        <v>supplier@gmail.com</v>
      </c>
      <c r="Q2118" t="str">
        <f ca="1">""&amp;IFERROR(VLOOKUP(O2118,EMAILS!B:D,3,FALSE),"NOT FOUND IN EMAILS")</f>
        <v/>
      </c>
      <c r="R2118" t="str">
        <f ca="1">""&amp;IFERROR(VLOOKUP(O2118,EMAILS!B:E,4,FALSE),"NO T FOUND IN EMAILS")</f>
        <v/>
      </c>
    </row>
    <row r="2119" spans="2:18" x14ac:dyDescent="0.25">
      <c r="B2119" s="5" t="s">
        <v>2121</v>
      </c>
      <c r="C2119" s="5" t="s">
        <v>6261</v>
      </c>
      <c r="D2119" s="5">
        <v>950</v>
      </c>
      <c r="E2119" s="5">
        <v>650</v>
      </c>
      <c r="F2119" s="5">
        <v>800</v>
      </c>
      <c r="G2119" s="5">
        <v>700</v>
      </c>
      <c r="H2119" s="5">
        <v>700</v>
      </c>
      <c r="I2119" s="5">
        <v>700</v>
      </c>
      <c r="J2119" s="5">
        <v>800</v>
      </c>
      <c r="K2119" s="5">
        <v>700</v>
      </c>
      <c r="L2119" s="5">
        <v>700</v>
      </c>
      <c r="M2119" s="5">
        <v>0</v>
      </c>
      <c r="N2119" s="5">
        <v>2600</v>
      </c>
      <c r="O2119" s="5" t="str">
        <f t="shared" ca="1" si="33"/>
        <v>Supplier 27</v>
      </c>
      <c r="P2119" s="20" t="str">
        <f ca="1">IFERROR(VLOOKUP(O2119,EMAILS!B:C,2,FALSE),"NOT FOUND IN EMAILS")</f>
        <v>supplier@gmail.com</v>
      </c>
      <c r="Q2119" t="str">
        <f ca="1">""&amp;IFERROR(VLOOKUP(O2119,EMAILS!B:D,3,FALSE),"NOT FOUND IN EMAILS")</f>
        <v/>
      </c>
      <c r="R2119" t="str">
        <f ca="1">""&amp;IFERROR(VLOOKUP(O2119,EMAILS!B:E,4,FALSE),"NO T FOUND IN EMAILS")</f>
        <v/>
      </c>
    </row>
    <row r="2120" spans="2:18" x14ac:dyDescent="0.25">
      <c r="B2120" s="5" t="s">
        <v>2122</v>
      </c>
      <c r="C2120" s="5" t="s">
        <v>6262</v>
      </c>
      <c r="D2120" s="5">
        <v>500</v>
      </c>
      <c r="E2120" s="5">
        <v>650</v>
      </c>
      <c r="F2120" s="5">
        <v>520</v>
      </c>
      <c r="G2120" s="5">
        <v>520</v>
      </c>
      <c r="H2120" s="5">
        <v>520</v>
      </c>
      <c r="I2120" s="5">
        <v>520</v>
      </c>
      <c r="J2120" s="5">
        <v>620</v>
      </c>
      <c r="K2120" s="5">
        <v>520</v>
      </c>
      <c r="L2120" s="5">
        <v>520</v>
      </c>
      <c r="M2120" s="5">
        <v>0</v>
      </c>
      <c r="N2120" s="5">
        <v>900</v>
      </c>
      <c r="O2120" s="5" t="str">
        <f t="shared" ca="1" si="33"/>
        <v>Supplier 15</v>
      </c>
      <c r="P2120" s="20" t="str">
        <f ca="1">IFERROR(VLOOKUP(O2120,EMAILS!B:C,2,FALSE),"NOT FOUND IN EMAILS")</f>
        <v>supplier@gmail.com</v>
      </c>
      <c r="Q2120" t="str">
        <f ca="1">""&amp;IFERROR(VLOOKUP(O2120,EMAILS!B:D,3,FALSE),"NOT FOUND IN EMAILS")</f>
        <v>supplier_logistics@gmail.com</v>
      </c>
      <c r="R2120" t="str">
        <f ca="1">""&amp;IFERROR(VLOOKUP(O2120,EMAILS!B:E,4,FALSE),"NO T FOUND IN EMAILS")</f>
        <v/>
      </c>
    </row>
    <row r="2121" spans="2:18" x14ac:dyDescent="0.25">
      <c r="B2121" s="5" t="s">
        <v>2123</v>
      </c>
      <c r="C2121" s="5" t="s">
        <v>6263</v>
      </c>
      <c r="D2121" s="5">
        <v>50</v>
      </c>
      <c r="E2121" s="5">
        <v>100</v>
      </c>
      <c r="F2121" s="5">
        <v>120</v>
      </c>
      <c r="G2121" s="5">
        <v>120</v>
      </c>
      <c r="H2121" s="5">
        <v>220</v>
      </c>
      <c r="I2121" s="5">
        <v>220</v>
      </c>
      <c r="J2121" s="5">
        <v>220</v>
      </c>
      <c r="K2121" s="5">
        <v>120</v>
      </c>
      <c r="L2121" s="5">
        <v>220</v>
      </c>
      <c r="M2121" s="5">
        <v>0</v>
      </c>
      <c r="N2121" s="5">
        <v>1350</v>
      </c>
      <c r="O2121" s="5" t="str">
        <f t="shared" ca="1" si="33"/>
        <v>Supplier 49</v>
      </c>
      <c r="P2121" s="20" t="str">
        <f ca="1">IFERROR(VLOOKUP(O2121,EMAILS!B:C,2,FALSE),"NOT FOUND IN EMAILS")</f>
        <v>supplier@gmail.com</v>
      </c>
      <c r="Q2121" t="str">
        <f ca="1">""&amp;IFERROR(VLOOKUP(O2121,EMAILS!B:D,3,FALSE),"NOT FOUND IN EMAILS")</f>
        <v/>
      </c>
      <c r="R2121" t="str">
        <f ca="1">""&amp;IFERROR(VLOOKUP(O2121,EMAILS!B:E,4,FALSE),"NO T FOUND IN EMAILS")</f>
        <v/>
      </c>
    </row>
    <row r="2122" spans="2:18" x14ac:dyDescent="0.25">
      <c r="B2122" s="5" t="s">
        <v>2124</v>
      </c>
      <c r="C2122" s="5" t="s">
        <v>6264</v>
      </c>
      <c r="D2122" s="5">
        <v>50</v>
      </c>
      <c r="E2122" s="5">
        <v>100</v>
      </c>
      <c r="F2122" s="5">
        <v>120</v>
      </c>
      <c r="G2122" s="5">
        <v>120</v>
      </c>
      <c r="H2122" s="5">
        <v>220</v>
      </c>
      <c r="I2122" s="5">
        <v>220</v>
      </c>
      <c r="J2122" s="5">
        <v>220</v>
      </c>
      <c r="K2122" s="5">
        <v>120</v>
      </c>
      <c r="L2122" s="5">
        <v>220</v>
      </c>
      <c r="M2122" s="5">
        <v>0</v>
      </c>
      <c r="N2122" s="5">
        <v>2450</v>
      </c>
      <c r="O2122" s="5" t="str">
        <f t="shared" ca="1" si="33"/>
        <v>Supplier 82</v>
      </c>
      <c r="P2122" s="20" t="str">
        <f ca="1">IFERROR(VLOOKUP(O2122,EMAILS!B:C,2,FALSE),"NOT FOUND IN EMAILS")</f>
        <v>supplier@gmail.com</v>
      </c>
      <c r="Q2122" t="str">
        <f ca="1">""&amp;IFERROR(VLOOKUP(O2122,EMAILS!B:D,3,FALSE),"NOT FOUND IN EMAILS")</f>
        <v/>
      </c>
      <c r="R2122" t="str">
        <f ca="1">""&amp;IFERROR(VLOOKUP(O2122,EMAILS!B:E,4,FALSE),"NO T FOUND IN EMAILS")</f>
        <v/>
      </c>
    </row>
    <row r="2123" spans="2:18" x14ac:dyDescent="0.25">
      <c r="B2123" s="5" t="s">
        <v>2125</v>
      </c>
      <c r="C2123" s="5" t="s">
        <v>6265</v>
      </c>
      <c r="D2123" s="5">
        <v>500</v>
      </c>
      <c r="E2123" s="5">
        <v>650</v>
      </c>
      <c r="F2123" s="5">
        <v>520</v>
      </c>
      <c r="G2123" s="5">
        <v>520</v>
      </c>
      <c r="H2123" s="5">
        <v>520</v>
      </c>
      <c r="I2123" s="5">
        <v>520</v>
      </c>
      <c r="J2123" s="5">
        <v>620</v>
      </c>
      <c r="K2123" s="5">
        <v>520</v>
      </c>
      <c r="L2123" s="5">
        <v>520</v>
      </c>
      <c r="M2123" s="5">
        <v>0</v>
      </c>
      <c r="N2123" s="5">
        <v>15900</v>
      </c>
      <c r="O2123" s="5" t="str">
        <f t="shared" ca="1" si="33"/>
        <v>Supplier 22</v>
      </c>
      <c r="P2123" s="20" t="str">
        <f ca="1">IFERROR(VLOOKUP(O2123,EMAILS!B:C,2,FALSE),"NOT FOUND IN EMAILS")</f>
        <v>supplier@gmail.com</v>
      </c>
      <c r="Q2123" t="str">
        <f ca="1">""&amp;IFERROR(VLOOKUP(O2123,EMAILS!B:D,3,FALSE),"NOT FOUND IN EMAILS")</f>
        <v/>
      </c>
      <c r="R2123" t="str">
        <f ca="1">""&amp;IFERROR(VLOOKUP(O2123,EMAILS!B:E,4,FALSE),"NO T FOUND IN EMAILS")</f>
        <v/>
      </c>
    </row>
    <row r="2124" spans="2:18" x14ac:dyDescent="0.25">
      <c r="B2124" s="5" t="s">
        <v>2126</v>
      </c>
      <c r="C2124" s="5" t="s">
        <v>6266</v>
      </c>
      <c r="D2124" s="5">
        <v>500</v>
      </c>
      <c r="E2124" s="5">
        <v>650</v>
      </c>
      <c r="F2124" s="5">
        <v>520</v>
      </c>
      <c r="G2124" s="5">
        <v>520</v>
      </c>
      <c r="H2124" s="5">
        <v>520</v>
      </c>
      <c r="I2124" s="5">
        <v>520</v>
      </c>
      <c r="J2124" s="5">
        <v>620</v>
      </c>
      <c r="K2124" s="5">
        <v>520</v>
      </c>
      <c r="L2124" s="5">
        <v>520</v>
      </c>
      <c r="M2124" s="5">
        <v>0</v>
      </c>
      <c r="N2124" s="5">
        <v>200</v>
      </c>
      <c r="O2124" s="5" t="str">
        <f t="shared" ca="1" si="33"/>
        <v>Supplier 46</v>
      </c>
      <c r="P2124" s="20" t="str">
        <f ca="1">IFERROR(VLOOKUP(O2124,EMAILS!B:C,2,FALSE),"NOT FOUND IN EMAILS")</f>
        <v>supplier@gmail.com</v>
      </c>
      <c r="Q2124" t="str">
        <f ca="1">""&amp;IFERROR(VLOOKUP(O2124,EMAILS!B:D,3,FALSE),"NOT FOUND IN EMAILS")</f>
        <v/>
      </c>
      <c r="R2124" t="str">
        <f ca="1">""&amp;IFERROR(VLOOKUP(O2124,EMAILS!B:E,4,FALSE),"NO T FOUND IN EMAILS")</f>
        <v/>
      </c>
    </row>
    <row r="2125" spans="2:18" x14ac:dyDescent="0.25">
      <c r="B2125" s="5" t="s">
        <v>2127</v>
      </c>
      <c r="C2125" s="5" t="s">
        <v>6267</v>
      </c>
      <c r="D2125" s="5">
        <v>50</v>
      </c>
      <c r="E2125" s="5">
        <v>100</v>
      </c>
      <c r="F2125" s="5">
        <v>120</v>
      </c>
      <c r="G2125" s="5">
        <v>120</v>
      </c>
      <c r="H2125" s="5">
        <v>220</v>
      </c>
      <c r="I2125" s="5">
        <v>220</v>
      </c>
      <c r="J2125" s="5">
        <v>220</v>
      </c>
      <c r="K2125" s="5">
        <v>120</v>
      </c>
      <c r="L2125" s="5">
        <v>220</v>
      </c>
      <c r="M2125" s="5">
        <v>0</v>
      </c>
      <c r="N2125" s="5">
        <v>3800</v>
      </c>
      <c r="O2125" s="5" t="str">
        <f t="shared" ca="1" si="33"/>
        <v>Supplier 120</v>
      </c>
      <c r="P2125" s="20" t="str">
        <f ca="1">IFERROR(VLOOKUP(O2125,EMAILS!B:C,2,FALSE),"NOT FOUND IN EMAILS")</f>
        <v>supplier@gmail.com</v>
      </c>
      <c r="Q2125" t="str">
        <f ca="1">""&amp;IFERROR(VLOOKUP(O2125,EMAILS!B:D,3,FALSE),"NOT FOUND IN EMAILS")</f>
        <v/>
      </c>
      <c r="R2125" t="str">
        <f ca="1">""&amp;IFERROR(VLOOKUP(O2125,EMAILS!B:E,4,FALSE),"NO T FOUND IN EMAILS")</f>
        <v/>
      </c>
    </row>
    <row r="2126" spans="2:18" x14ac:dyDescent="0.25">
      <c r="B2126" s="5" t="s">
        <v>2128</v>
      </c>
      <c r="C2126" s="5" t="s">
        <v>6268</v>
      </c>
      <c r="D2126" s="5">
        <v>950</v>
      </c>
      <c r="E2126" s="5">
        <v>650</v>
      </c>
      <c r="F2126" s="5">
        <v>800</v>
      </c>
      <c r="G2126" s="5">
        <v>700</v>
      </c>
      <c r="H2126" s="5">
        <v>700</v>
      </c>
      <c r="I2126" s="5">
        <v>700</v>
      </c>
      <c r="J2126" s="5">
        <v>800</v>
      </c>
      <c r="K2126" s="5">
        <v>700</v>
      </c>
      <c r="L2126" s="5">
        <v>700</v>
      </c>
      <c r="M2126" s="5">
        <v>0</v>
      </c>
      <c r="N2126" s="5">
        <v>4000</v>
      </c>
      <c r="O2126" s="5" t="str">
        <f t="shared" ca="1" si="33"/>
        <v>Supplier 124</v>
      </c>
      <c r="P2126" s="20" t="str">
        <f ca="1">IFERROR(VLOOKUP(O2126,EMAILS!B:C,2,FALSE),"NOT FOUND IN EMAILS")</f>
        <v>supplier@gmail.com</v>
      </c>
      <c r="Q2126" t="str">
        <f ca="1">""&amp;IFERROR(VLOOKUP(O2126,EMAILS!B:D,3,FALSE),"NOT FOUND IN EMAILS")</f>
        <v/>
      </c>
      <c r="R2126" t="str">
        <f ca="1">""&amp;IFERROR(VLOOKUP(O2126,EMAILS!B:E,4,FALSE),"NO T FOUND IN EMAILS")</f>
        <v/>
      </c>
    </row>
    <row r="2127" spans="2:18" x14ac:dyDescent="0.25">
      <c r="B2127" s="5" t="s">
        <v>2129</v>
      </c>
      <c r="C2127" s="5" t="s">
        <v>6269</v>
      </c>
      <c r="D2127" s="5">
        <v>500</v>
      </c>
      <c r="E2127" s="5">
        <v>650</v>
      </c>
      <c r="F2127" s="5">
        <v>520</v>
      </c>
      <c r="G2127" s="5">
        <v>520</v>
      </c>
      <c r="H2127" s="5">
        <v>520</v>
      </c>
      <c r="I2127" s="5">
        <v>520</v>
      </c>
      <c r="J2127" s="5">
        <v>620</v>
      </c>
      <c r="K2127" s="5">
        <v>520</v>
      </c>
      <c r="L2127" s="5">
        <v>520</v>
      </c>
      <c r="M2127" s="5">
        <v>0</v>
      </c>
      <c r="N2127" s="5">
        <v>0</v>
      </c>
      <c r="O2127" s="5" t="str">
        <f t="shared" ca="1" si="33"/>
        <v>Supplier 40</v>
      </c>
      <c r="P2127" s="20" t="str">
        <f ca="1">IFERROR(VLOOKUP(O2127,EMAILS!B:C,2,FALSE),"NOT FOUND IN EMAILS")</f>
        <v>supplier@gmail.com</v>
      </c>
      <c r="Q2127" t="str">
        <f ca="1">""&amp;IFERROR(VLOOKUP(O2127,EMAILS!B:D,3,FALSE),"NOT FOUND IN EMAILS")</f>
        <v/>
      </c>
      <c r="R2127" t="str">
        <f ca="1">""&amp;IFERROR(VLOOKUP(O2127,EMAILS!B:E,4,FALSE),"NO T FOUND IN EMAILS")</f>
        <v/>
      </c>
    </row>
    <row r="2128" spans="2:18" x14ac:dyDescent="0.25">
      <c r="B2128" s="5" t="s">
        <v>2130</v>
      </c>
      <c r="C2128" s="5" t="s">
        <v>6270</v>
      </c>
      <c r="D2128" s="5">
        <v>0</v>
      </c>
      <c r="E2128" s="5">
        <v>0</v>
      </c>
      <c r="F2128" s="5">
        <v>20</v>
      </c>
      <c r="G2128" s="5">
        <v>20</v>
      </c>
      <c r="H2128" s="5">
        <v>20</v>
      </c>
      <c r="I2128" s="5">
        <v>20</v>
      </c>
      <c r="J2128" s="5">
        <v>20</v>
      </c>
      <c r="K2128" s="5">
        <v>20</v>
      </c>
      <c r="L2128" s="5">
        <v>20</v>
      </c>
      <c r="M2128" s="5">
        <v>0</v>
      </c>
      <c r="N2128" s="5">
        <v>1350</v>
      </c>
      <c r="O2128" s="5" t="str">
        <f t="shared" ca="1" si="33"/>
        <v>Supplier 16</v>
      </c>
      <c r="P2128" s="20" t="str">
        <f ca="1">IFERROR(VLOOKUP(O2128,EMAILS!B:C,2,FALSE),"NOT FOUND IN EMAILS")</f>
        <v>supplier@gmail.com</v>
      </c>
      <c r="Q2128" t="str">
        <f ca="1">""&amp;IFERROR(VLOOKUP(O2128,EMAILS!B:D,3,FALSE),"NOT FOUND IN EMAILS")</f>
        <v>supplier_logistics@gmail.com</v>
      </c>
      <c r="R2128" t="str">
        <f ca="1">""&amp;IFERROR(VLOOKUP(O2128,EMAILS!B:E,4,FALSE),"NO T FOUND IN EMAILS")</f>
        <v/>
      </c>
    </row>
    <row r="2129" spans="2:18" x14ac:dyDescent="0.25">
      <c r="B2129" s="5" t="s">
        <v>2131</v>
      </c>
      <c r="C2129" s="5" t="s">
        <v>6271</v>
      </c>
      <c r="D2129" s="5">
        <v>450</v>
      </c>
      <c r="E2129" s="5">
        <v>0</v>
      </c>
      <c r="F2129" s="5">
        <v>300</v>
      </c>
      <c r="G2129" s="5">
        <v>200</v>
      </c>
      <c r="H2129" s="5">
        <v>200</v>
      </c>
      <c r="I2129" s="5">
        <v>200</v>
      </c>
      <c r="J2129" s="5">
        <v>200</v>
      </c>
      <c r="K2129" s="5">
        <v>200</v>
      </c>
      <c r="L2129" s="5">
        <v>200</v>
      </c>
      <c r="M2129" s="5">
        <v>0</v>
      </c>
      <c r="N2129" s="5">
        <v>3076</v>
      </c>
      <c r="O2129" s="5" t="str">
        <f t="shared" ca="1" si="33"/>
        <v>Supplier 115</v>
      </c>
      <c r="P2129" s="20" t="str">
        <f ca="1">IFERROR(VLOOKUP(O2129,EMAILS!B:C,2,FALSE),"NOT FOUND IN EMAILS")</f>
        <v>supplier@gmail.com</v>
      </c>
      <c r="Q2129" t="str">
        <f ca="1">""&amp;IFERROR(VLOOKUP(O2129,EMAILS!B:D,3,FALSE),"NOT FOUND IN EMAILS")</f>
        <v/>
      </c>
      <c r="R2129" t="str">
        <f ca="1">""&amp;IFERROR(VLOOKUP(O2129,EMAILS!B:E,4,FALSE),"NO T FOUND IN EMAILS")</f>
        <v/>
      </c>
    </row>
    <row r="2130" spans="2:18" x14ac:dyDescent="0.25">
      <c r="B2130" s="5" t="s">
        <v>2132</v>
      </c>
      <c r="C2130" s="5" t="s">
        <v>6272</v>
      </c>
      <c r="D2130" s="5">
        <v>1</v>
      </c>
      <c r="E2130" s="5">
        <v>0</v>
      </c>
      <c r="F2130" s="5">
        <v>11</v>
      </c>
      <c r="G2130" s="5">
        <v>2</v>
      </c>
      <c r="H2130" s="5">
        <v>3</v>
      </c>
      <c r="I2130" s="5">
        <v>0</v>
      </c>
      <c r="J2130" s="5">
        <v>2</v>
      </c>
      <c r="K2130" s="5">
        <v>5</v>
      </c>
      <c r="L2130" s="5">
        <v>0</v>
      </c>
      <c r="M2130" s="5">
        <v>0</v>
      </c>
      <c r="N2130" s="5">
        <v>617</v>
      </c>
      <c r="O2130" s="5" t="str">
        <f t="shared" ca="1" si="33"/>
        <v>Supplier 148</v>
      </c>
      <c r="P2130" s="20" t="str">
        <f ca="1">IFERROR(VLOOKUP(O2130,EMAILS!B:C,2,FALSE),"NOT FOUND IN EMAILS")</f>
        <v>supplier@gmail.com</v>
      </c>
      <c r="Q2130" t="str">
        <f ca="1">""&amp;IFERROR(VLOOKUP(O2130,EMAILS!B:D,3,FALSE),"NOT FOUND IN EMAILS")</f>
        <v/>
      </c>
      <c r="R2130" t="str">
        <f ca="1">""&amp;IFERROR(VLOOKUP(O2130,EMAILS!B:E,4,FALSE),"NO T FOUND IN EMAILS")</f>
        <v/>
      </c>
    </row>
    <row r="2131" spans="2:18" x14ac:dyDescent="0.25">
      <c r="B2131" s="5" t="s">
        <v>2133</v>
      </c>
      <c r="C2131" s="5" t="s">
        <v>6273</v>
      </c>
      <c r="D2131" s="5">
        <v>400</v>
      </c>
      <c r="E2131" s="5">
        <v>0</v>
      </c>
      <c r="F2131" s="5">
        <v>280</v>
      </c>
      <c r="G2131" s="5">
        <v>6</v>
      </c>
      <c r="H2131" s="5">
        <v>0</v>
      </c>
      <c r="I2131" s="5">
        <v>2</v>
      </c>
      <c r="J2131" s="5">
        <v>50</v>
      </c>
      <c r="K2131" s="5">
        <v>24</v>
      </c>
      <c r="L2131" s="5">
        <v>60</v>
      </c>
      <c r="M2131" s="5">
        <v>0</v>
      </c>
      <c r="N2131" s="5">
        <v>0</v>
      </c>
      <c r="O2131" s="5" t="str">
        <f t="shared" ca="1" si="33"/>
        <v>Supplier 127</v>
      </c>
      <c r="P2131" s="20" t="str">
        <f ca="1">IFERROR(VLOOKUP(O2131,EMAILS!B:C,2,FALSE),"NOT FOUND IN EMAILS")</f>
        <v>supplier@gmail.com</v>
      </c>
      <c r="Q2131" t="str">
        <f ca="1">""&amp;IFERROR(VLOOKUP(O2131,EMAILS!B:D,3,FALSE),"NOT FOUND IN EMAILS")</f>
        <v/>
      </c>
      <c r="R2131" t="str">
        <f ca="1">""&amp;IFERROR(VLOOKUP(O2131,EMAILS!B:E,4,FALSE),"NO T FOUND IN EMAILS")</f>
        <v/>
      </c>
    </row>
    <row r="2132" spans="2:18" x14ac:dyDescent="0.25">
      <c r="B2132" s="5" t="s">
        <v>2134</v>
      </c>
      <c r="C2132" s="5" t="s">
        <v>6274</v>
      </c>
      <c r="D2132" s="5">
        <v>0</v>
      </c>
      <c r="E2132" s="5">
        <v>0</v>
      </c>
      <c r="F2132" s="5">
        <v>0</v>
      </c>
      <c r="G2132" s="5">
        <v>0</v>
      </c>
      <c r="H2132" s="5">
        <v>0</v>
      </c>
      <c r="I2132" s="5">
        <v>0</v>
      </c>
      <c r="J2132" s="5">
        <v>0</v>
      </c>
      <c r="K2132" s="5">
        <v>0</v>
      </c>
      <c r="L2132" s="5">
        <v>0</v>
      </c>
      <c r="M2132" s="5">
        <v>0</v>
      </c>
      <c r="N2132" s="5">
        <v>0</v>
      </c>
      <c r="O2132" s="5" t="str">
        <f t="shared" ca="1" si="33"/>
        <v>Supplier 49</v>
      </c>
      <c r="P2132" s="20" t="str">
        <f ca="1">IFERROR(VLOOKUP(O2132,EMAILS!B:C,2,FALSE),"NOT FOUND IN EMAILS")</f>
        <v>supplier@gmail.com</v>
      </c>
      <c r="Q2132" t="str">
        <f ca="1">""&amp;IFERROR(VLOOKUP(O2132,EMAILS!B:D,3,FALSE),"NOT FOUND IN EMAILS")</f>
        <v/>
      </c>
      <c r="R2132" t="str">
        <f ca="1">""&amp;IFERROR(VLOOKUP(O2132,EMAILS!B:E,4,FALSE),"NO T FOUND IN EMAILS")</f>
        <v/>
      </c>
    </row>
    <row r="2133" spans="2:18" x14ac:dyDescent="0.25">
      <c r="B2133" s="5" t="s">
        <v>2135</v>
      </c>
      <c r="C2133" s="5" t="s">
        <v>6275</v>
      </c>
      <c r="D2133" s="5">
        <v>20</v>
      </c>
      <c r="E2133" s="5">
        <v>0</v>
      </c>
      <c r="F2133" s="5">
        <v>0</v>
      </c>
      <c r="G2133" s="5">
        <v>0</v>
      </c>
      <c r="H2133" s="5">
        <v>0</v>
      </c>
      <c r="I2133" s="5">
        <v>0</v>
      </c>
      <c r="J2133" s="5">
        <v>0</v>
      </c>
      <c r="K2133" s="5">
        <v>0</v>
      </c>
      <c r="L2133" s="5">
        <v>0</v>
      </c>
      <c r="M2133" s="5">
        <v>0</v>
      </c>
      <c r="N2133" s="5">
        <v>0</v>
      </c>
      <c r="O2133" s="5" t="str">
        <f t="shared" ca="1" si="33"/>
        <v>Supplier 49</v>
      </c>
      <c r="P2133" s="20" t="str">
        <f ca="1">IFERROR(VLOOKUP(O2133,EMAILS!B:C,2,FALSE),"NOT FOUND IN EMAILS")</f>
        <v>supplier@gmail.com</v>
      </c>
      <c r="Q2133" t="str">
        <f ca="1">""&amp;IFERROR(VLOOKUP(O2133,EMAILS!B:D,3,FALSE),"NOT FOUND IN EMAILS")</f>
        <v/>
      </c>
      <c r="R2133" t="str">
        <f ca="1">""&amp;IFERROR(VLOOKUP(O2133,EMAILS!B:E,4,FALSE),"NO T FOUND IN EMAILS")</f>
        <v/>
      </c>
    </row>
    <row r="2134" spans="2:18" x14ac:dyDescent="0.25">
      <c r="B2134" s="5" t="s">
        <v>2136</v>
      </c>
      <c r="C2134" s="5" t="s">
        <v>6276</v>
      </c>
      <c r="D2134" s="5">
        <v>0</v>
      </c>
      <c r="E2134" s="5">
        <v>0</v>
      </c>
      <c r="F2134" s="5">
        <v>0</v>
      </c>
      <c r="G2134" s="5">
        <v>0.02</v>
      </c>
      <c r="H2134" s="5">
        <v>0</v>
      </c>
      <c r="I2134" s="5">
        <v>0</v>
      </c>
      <c r="J2134" s="5">
        <v>0</v>
      </c>
      <c r="K2134" s="5">
        <v>0.08</v>
      </c>
      <c r="L2134" s="5">
        <v>0</v>
      </c>
      <c r="M2134" s="5">
        <v>0</v>
      </c>
      <c r="N2134" s="5">
        <v>0</v>
      </c>
      <c r="O2134" s="5" t="str">
        <f t="shared" ca="1" si="33"/>
        <v>Supplier 28</v>
      </c>
      <c r="P2134" s="20" t="str">
        <f ca="1">IFERROR(VLOOKUP(O2134,EMAILS!B:C,2,FALSE),"NOT FOUND IN EMAILS")</f>
        <v>supplier@gmail.com</v>
      </c>
      <c r="Q2134" t="str">
        <f ca="1">""&amp;IFERROR(VLOOKUP(O2134,EMAILS!B:D,3,FALSE),"NOT FOUND IN EMAILS")</f>
        <v/>
      </c>
      <c r="R2134" t="str">
        <f ca="1">""&amp;IFERROR(VLOOKUP(O2134,EMAILS!B:E,4,FALSE),"NO T FOUND IN EMAILS")</f>
        <v/>
      </c>
    </row>
    <row r="2135" spans="2:18" x14ac:dyDescent="0.25">
      <c r="B2135" s="5" t="s">
        <v>2137</v>
      </c>
      <c r="C2135" s="5" t="s">
        <v>6277</v>
      </c>
      <c r="D2135" s="5">
        <v>0.05</v>
      </c>
      <c r="E2135" s="5">
        <v>0.05</v>
      </c>
      <c r="F2135" s="5">
        <v>0.1</v>
      </c>
      <c r="G2135" s="5">
        <v>0.06</v>
      </c>
      <c r="H2135" s="5">
        <v>5.5E-2</v>
      </c>
      <c r="I2135" s="5">
        <v>0.06</v>
      </c>
      <c r="J2135" s="5">
        <v>0.03</v>
      </c>
      <c r="K2135" s="5">
        <v>0.02</v>
      </c>
      <c r="L2135" s="5">
        <v>7.0000000000000007E-2</v>
      </c>
      <c r="M2135" s="5">
        <v>0</v>
      </c>
      <c r="N2135" s="5">
        <v>23</v>
      </c>
      <c r="O2135" s="5" t="str">
        <f t="shared" ca="1" si="33"/>
        <v>Supplier 85</v>
      </c>
      <c r="P2135" s="20" t="str">
        <f ca="1">IFERROR(VLOOKUP(O2135,EMAILS!B:C,2,FALSE),"NOT FOUND IN EMAILS")</f>
        <v>supplier@gmail.com</v>
      </c>
      <c r="Q2135" t="str">
        <f ca="1">""&amp;IFERROR(VLOOKUP(O2135,EMAILS!B:D,3,FALSE),"NOT FOUND IN EMAILS")</f>
        <v/>
      </c>
      <c r="R2135" t="str">
        <f ca="1">""&amp;IFERROR(VLOOKUP(O2135,EMAILS!B:E,4,FALSE),"NO T FOUND IN EMAILS")</f>
        <v/>
      </c>
    </row>
    <row r="2136" spans="2:18" x14ac:dyDescent="0.25">
      <c r="B2136" s="5" t="s">
        <v>2138</v>
      </c>
      <c r="C2136" s="5" t="s">
        <v>6278</v>
      </c>
      <c r="D2136" s="5">
        <v>0</v>
      </c>
      <c r="E2136" s="5">
        <v>0</v>
      </c>
      <c r="F2136" s="5">
        <v>0.42719999999999997</v>
      </c>
      <c r="G2136" s="5">
        <v>0.42719999999999997</v>
      </c>
      <c r="H2136" s="5">
        <v>6.7199999999999996E-2</v>
      </c>
      <c r="I2136" s="5">
        <v>0.52439999999999998</v>
      </c>
      <c r="J2136" s="5">
        <v>0</v>
      </c>
      <c r="K2136" s="5">
        <v>0</v>
      </c>
      <c r="L2136" s="5">
        <v>0.49439999999999995</v>
      </c>
      <c r="M2136" s="5">
        <v>0</v>
      </c>
      <c r="N2136" s="5">
        <v>0</v>
      </c>
      <c r="O2136" s="5" t="str">
        <f t="shared" ca="1" si="33"/>
        <v>Supplier 53</v>
      </c>
      <c r="P2136" s="20" t="str">
        <f ca="1">IFERROR(VLOOKUP(O2136,EMAILS!B:C,2,FALSE),"NOT FOUND IN EMAILS")</f>
        <v>supplier@gmail.com</v>
      </c>
      <c r="Q2136" t="str">
        <f ca="1">""&amp;IFERROR(VLOOKUP(O2136,EMAILS!B:D,3,FALSE),"NOT FOUND IN EMAILS")</f>
        <v/>
      </c>
      <c r="R2136" t="str">
        <f ca="1">""&amp;IFERROR(VLOOKUP(O2136,EMAILS!B:E,4,FALSE),"NO T FOUND IN EMAILS")</f>
        <v/>
      </c>
    </row>
    <row r="2137" spans="2:18" x14ac:dyDescent="0.25">
      <c r="B2137" s="5" t="s">
        <v>2139</v>
      </c>
      <c r="C2137" s="5" t="s">
        <v>6279</v>
      </c>
      <c r="D2137" s="5">
        <v>0</v>
      </c>
      <c r="E2137" s="5">
        <v>38</v>
      </c>
      <c r="F2137" s="5">
        <v>120</v>
      </c>
      <c r="G2137" s="5">
        <v>0</v>
      </c>
      <c r="H2137" s="5">
        <v>0</v>
      </c>
      <c r="I2137" s="5">
        <v>120</v>
      </c>
      <c r="J2137" s="5">
        <v>0</v>
      </c>
      <c r="K2137" s="5">
        <v>0</v>
      </c>
      <c r="L2137" s="5">
        <v>100</v>
      </c>
      <c r="M2137" s="5">
        <v>0</v>
      </c>
      <c r="N2137" s="5">
        <v>123</v>
      </c>
      <c r="O2137" s="5" t="str">
        <f t="shared" ca="1" si="33"/>
        <v>Supplier 2</v>
      </c>
      <c r="P2137" s="20" t="str">
        <f ca="1">IFERROR(VLOOKUP(O2137,EMAILS!B:C,2,FALSE),"NOT FOUND IN EMAILS")</f>
        <v>supplier@gmail.com</v>
      </c>
      <c r="Q2137" t="str">
        <f ca="1">""&amp;IFERROR(VLOOKUP(O2137,EMAILS!B:D,3,FALSE),"NOT FOUND IN EMAILS")</f>
        <v>supplier_logistics@gmail.com</v>
      </c>
      <c r="R2137" t="str">
        <f ca="1">""&amp;IFERROR(VLOOKUP(O2137,EMAILS!B:E,4,FALSE),"NO T FOUND IN EMAILS")</f>
        <v/>
      </c>
    </row>
    <row r="2138" spans="2:18" x14ac:dyDescent="0.25">
      <c r="B2138" s="5" t="s">
        <v>2140</v>
      </c>
      <c r="C2138" s="5" t="s">
        <v>6280</v>
      </c>
      <c r="D2138" s="5">
        <v>161</v>
      </c>
      <c r="E2138" s="5">
        <v>121</v>
      </c>
      <c r="F2138" s="5">
        <v>191</v>
      </c>
      <c r="G2138" s="5">
        <v>206</v>
      </c>
      <c r="H2138" s="5">
        <v>179</v>
      </c>
      <c r="I2138" s="5">
        <v>179</v>
      </c>
      <c r="J2138" s="5">
        <v>209</v>
      </c>
      <c r="K2138" s="5">
        <v>196</v>
      </c>
      <c r="L2138" s="5">
        <v>191</v>
      </c>
      <c r="M2138" s="5">
        <v>0</v>
      </c>
      <c r="N2138" s="5">
        <v>27</v>
      </c>
      <c r="O2138" s="5" t="str">
        <f t="shared" ca="1" si="33"/>
        <v>Supplier 157</v>
      </c>
      <c r="P2138" s="20" t="str">
        <f ca="1">IFERROR(VLOOKUP(O2138,EMAILS!B:C,2,FALSE),"NOT FOUND IN EMAILS")</f>
        <v>supplier@gmail.com</v>
      </c>
      <c r="Q2138" t="str">
        <f ca="1">""&amp;IFERROR(VLOOKUP(O2138,EMAILS!B:D,3,FALSE),"NOT FOUND IN EMAILS")</f>
        <v/>
      </c>
      <c r="R2138" t="str">
        <f ca="1">""&amp;IFERROR(VLOOKUP(O2138,EMAILS!B:E,4,FALSE),"NO T FOUND IN EMAILS")</f>
        <v/>
      </c>
    </row>
    <row r="2139" spans="2:18" x14ac:dyDescent="0.25">
      <c r="B2139" s="5" t="s">
        <v>2141</v>
      </c>
      <c r="C2139" s="5" t="s">
        <v>6281</v>
      </c>
      <c r="D2139" s="5">
        <v>10</v>
      </c>
      <c r="E2139" s="5">
        <v>0</v>
      </c>
      <c r="F2139" s="5">
        <v>0</v>
      </c>
      <c r="G2139" s="5">
        <v>0</v>
      </c>
      <c r="H2139" s="5">
        <v>0</v>
      </c>
      <c r="I2139" s="5">
        <v>0</v>
      </c>
      <c r="J2139" s="5">
        <v>2</v>
      </c>
      <c r="K2139" s="5">
        <v>0</v>
      </c>
      <c r="L2139" s="5">
        <v>0</v>
      </c>
      <c r="M2139" s="5">
        <v>0</v>
      </c>
      <c r="N2139" s="5">
        <v>18</v>
      </c>
      <c r="O2139" s="5" t="str">
        <f t="shared" ca="1" si="33"/>
        <v>Supplier 1</v>
      </c>
      <c r="P2139" s="20" t="str">
        <f ca="1">IFERROR(VLOOKUP(O2139,EMAILS!B:C,2,FALSE),"NOT FOUND IN EMAILS")</f>
        <v>supplier@gmail.com</v>
      </c>
      <c r="Q2139" t="str">
        <f ca="1">""&amp;IFERROR(VLOOKUP(O2139,EMAILS!B:D,3,FALSE),"NOT FOUND IN EMAILS")</f>
        <v>supplier_logistics@gmail.com</v>
      </c>
      <c r="R2139" t="str">
        <f ca="1">""&amp;IFERROR(VLOOKUP(O2139,EMAILS!B:E,4,FALSE),"NO T FOUND IN EMAILS")</f>
        <v/>
      </c>
    </row>
    <row r="2140" spans="2:18" x14ac:dyDescent="0.25">
      <c r="B2140" s="5" t="s">
        <v>2142</v>
      </c>
      <c r="C2140" s="5" t="s">
        <v>6282</v>
      </c>
      <c r="D2140" s="5">
        <v>8</v>
      </c>
      <c r="E2140" s="5">
        <v>0</v>
      </c>
      <c r="F2140" s="5">
        <v>6</v>
      </c>
      <c r="G2140" s="5">
        <v>42</v>
      </c>
      <c r="H2140" s="5">
        <v>20</v>
      </c>
      <c r="I2140" s="5">
        <v>8</v>
      </c>
      <c r="J2140" s="5">
        <v>6</v>
      </c>
      <c r="K2140" s="5">
        <v>8</v>
      </c>
      <c r="L2140" s="5">
        <v>12</v>
      </c>
      <c r="M2140" s="5">
        <v>0</v>
      </c>
      <c r="N2140" s="5">
        <v>83</v>
      </c>
      <c r="O2140" s="5" t="str">
        <f t="shared" ca="1" si="33"/>
        <v>Supplier 31</v>
      </c>
      <c r="P2140" s="20" t="str">
        <f ca="1">IFERROR(VLOOKUP(O2140,EMAILS!B:C,2,FALSE),"NOT FOUND IN EMAILS")</f>
        <v>supplier@gmail.com</v>
      </c>
      <c r="Q2140" t="str">
        <f ca="1">""&amp;IFERROR(VLOOKUP(O2140,EMAILS!B:D,3,FALSE),"NOT FOUND IN EMAILS")</f>
        <v/>
      </c>
      <c r="R2140" t="str">
        <f ca="1">""&amp;IFERROR(VLOOKUP(O2140,EMAILS!B:E,4,FALSE),"NO T FOUND IN EMAILS")</f>
        <v/>
      </c>
    </row>
    <row r="2141" spans="2:18" x14ac:dyDescent="0.25">
      <c r="B2141" s="5" t="s">
        <v>2143</v>
      </c>
      <c r="C2141" s="5" t="s">
        <v>6283</v>
      </c>
      <c r="D2141" s="5">
        <v>30</v>
      </c>
      <c r="E2141" s="5">
        <v>34</v>
      </c>
      <c r="F2141" s="5">
        <v>12</v>
      </c>
      <c r="G2141" s="5">
        <v>30</v>
      </c>
      <c r="H2141" s="5">
        <v>6</v>
      </c>
      <c r="I2141" s="5">
        <v>14</v>
      </c>
      <c r="J2141" s="5">
        <v>14</v>
      </c>
      <c r="K2141" s="5">
        <v>22</v>
      </c>
      <c r="L2141" s="5">
        <v>12</v>
      </c>
      <c r="M2141" s="5">
        <v>0</v>
      </c>
      <c r="N2141" s="5">
        <v>26</v>
      </c>
      <c r="O2141" s="5" t="str">
        <f t="shared" ca="1" si="33"/>
        <v>Supplier 19</v>
      </c>
      <c r="P2141" s="20" t="str">
        <f ca="1">IFERROR(VLOOKUP(O2141,EMAILS!B:C,2,FALSE),"NOT FOUND IN EMAILS")</f>
        <v>supplier@gmail.com</v>
      </c>
      <c r="Q2141" t="str">
        <f ca="1">""&amp;IFERROR(VLOOKUP(O2141,EMAILS!B:D,3,FALSE),"NOT FOUND IN EMAILS")</f>
        <v>supplier_logistics@gmail.com</v>
      </c>
      <c r="R2141" t="str">
        <f ca="1">""&amp;IFERROR(VLOOKUP(O2141,EMAILS!B:E,4,FALSE),"NO T FOUND IN EMAILS")</f>
        <v/>
      </c>
    </row>
    <row r="2142" spans="2:18" x14ac:dyDescent="0.25">
      <c r="B2142" s="5" t="s">
        <v>2144</v>
      </c>
      <c r="C2142" s="5" t="s">
        <v>6284</v>
      </c>
      <c r="D2142" s="5">
        <v>2</v>
      </c>
      <c r="E2142" s="5">
        <v>0</v>
      </c>
      <c r="F2142" s="5">
        <v>2</v>
      </c>
      <c r="G2142" s="5">
        <v>4</v>
      </c>
      <c r="H2142" s="5">
        <v>2</v>
      </c>
      <c r="I2142" s="5">
        <v>0</v>
      </c>
      <c r="J2142" s="5">
        <v>0</v>
      </c>
      <c r="K2142" s="5">
        <v>2</v>
      </c>
      <c r="L2142" s="5">
        <v>0</v>
      </c>
      <c r="M2142" s="5">
        <v>0</v>
      </c>
      <c r="N2142" s="5">
        <v>32</v>
      </c>
      <c r="O2142" s="5" t="str">
        <f t="shared" ca="1" si="33"/>
        <v>Supplier 49</v>
      </c>
      <c r="P2142" s="20" t="str">
        <f ca="1">IFERROR(VLOOKUP(O2142,EMAILS!B:C,2,FALSE),"NOT FOUND IN EMAILS")</f>
        <v>supplier@gmail.com</v>
      </c>
      <c r="Q2142" t="str">
        <f ca="1">""&amp;IFERROR(VLOOKUP(O2142,EMAILS!B:D,3,FALSE),"NOT FOUND IN EMAILS")</f>
        <v/>
      </c>
      <c r="R2142" t="str">
        <f ca="1">""&amp;IFERROR(VLOOKUP(O2142,EMAILS!B:E,4,FALSE),"NO T FOUND IN EMAILS")</f>
        <v/>
      </c>
    </row>
    <row r="2143" spans="2:18" x14ac:dyDescent="0.25">
      <c r="B2143" s="5" t="s">
        <v>2145</v>
      </c>
      <c r="C2143" s="5" t="s">
        <v>6285</v>
      </c>
      <c r="D2143" s="5">
        <v>20</v>
      </c>
      <c r="E2143" s="5">
        <v>0</v>
      </c>
      <c r="F2143" s="5">
        <v>0</v>
      </c>
      <c r="G2143" s="5">
        <v>0</v>
      </c>
      <c r="H2143" s="5">
        <v>0</v>
      </c>
      <c r="I2143" s="5">
        <v>0</v>
      </c>
      <c r="J2143" s="5">
        <v>4</v>
      </c>
      <c r="K2143" s="5">
        <v>0</v>
      </c>
      <c r="L2143" s="5">
        <v>0</v>
      </c>
      <c r="M2143" s="5">
        <v>0</v>
      </c>
      <c r="N2143" s="5">
        <v>11</v>
      </c>
      <c r="O2143" s="5" t="str">
        <f t="shared" ca="1" si="33"/>
        <v>Supplier 92</v>
      </c>
      <c r="P2143" s="20" t="str">
        <f ca="1">IFERROR(VLOOKUP(O2143,EMAILS!B:C,2,FALSE),"NOT FOUND IN EMAILS")</f>
        <v>supplier@gmail.com</v>
      </c>
      <c r="Q2143" t="str">
        <f ca="1">""&amp;IFERROR(VLOOKUP(O2143,EMAILS!B:D,3,FALSE),"NOT FOUND IN EMAILS")</f>
        <v/>
      </c>
      <c r="R2143" t="str">
        <f ca="1">""&amp;IFERROR(VLOOKUP(O2143,EMAILS!B:E,4,FALSE),"NO T FOUND IN EMAILS")</f>
        <v/>
      </c>
    </row>
    <row r="2144" spans="2:18" x14ac:dyDescent="0.25">
      <c r="B2144" s="5" t="s">
        <v>2146</v>
      </c>
      <c r="C2144" s="5" t="s">
        <v>6286</v>
      </c>
      <c r="D2144" s="5">
        <v>4</v>
      </c>
      <c r="E2144" s="5">
        <v>0</v>
      </c>
      <c r="F2144" s="5">
        <v>0</v>
      </c>
      <c r="G2144" s="5">
        <v>0</v>
      </c>
      <c r="H2144" s="5">
        <v>4</v>
      </c>
      <c r="I2144" s="5">
        <v>0</v>
      </c>
      <c r="J2144" s="5">
        <v>0</v>
      </c>
      <c r="K2144" s="5">
        <v>0</v>
      </c>
      <c r="L2144" s="5">
        <v>0</v>
      </c>
      <c r="M2144" s="5">
        <v>0</v>
      </c>
      <c r="N2144" s="5">
        <v>60</v>
      </c>
      <c r="O2144" s="5" t="str">
        <f t="shared" ca="1" si="33"/>
        <v>Supplier 143</v>
      </c>
      <c r="P2144" s="20" t="str">
        <f ca="1">IFERROR(VLOOKUP(O2144,EMAILS!B:C,2,FALSE),"NOT FOUND IN EMAILS")</f>
        <v>supplier@gmail.com</v>
      </c>
      <c r="Q2144" t="str">
        <f ca="1">""&amp;IFERROR(VLOOKUP(O2144,EMAILS!B:D,3,FALSE),"NOT FOUND IN EMAILS")</f>
        <v/>
      </c>
      <c r="R2144" t="str">
        <f ca="1">""&amp;IFERROR(VLOOKUP(O2144,EMAILS!B:E,4,FALSE),"NO T FOUND IN EMAILS")</f>
        <v/>
      </c>
    </row>
    <row r="2145" spans="2:18" x14ac:dyDescent="0.25">
      <c r="B2145" s="5" t="s">
        <v>2147</v>
      </c>
      <c r="C2145" s="5" t="s">
        <v>6287</v>
      </c>
      <c r="D2145" s="5">
        <v>4</v>
      </c>
      <c r="E2145" s="5">
        <v>0</v>
      </c>
      <c r="F2145" s="5">
        <v>0</v>
      </c>
      <c r="G2145" s="5">
        <v>0</v>
      </c>
      <c r="H2145" s="5">
        <v>4</v>
      </c>
      <c r="I2145" s="5">
        <v>0</v>
      </c>
      <c r="J2145" s="5">
        <v>0</v>
      </c>
      <c r="K2145" s="5">
        <v>0</v>
      </c>
      <c r="L2145" s="5">
        <v>0</v>
      </c>
      <c r="M2145" s="5">
        <v>0</v>
      </c>
      <c r="N2145" s="5">
        <v>44</v>
      </c>
      <c r="O2145" s="5" t="str">
        <f t="shared" ca="1" si="33"/>
        <v>Supplier 183</v>
      </c>
      <c r="P2145" s="20" t="str">
        <f ca="1">IFERROR(VLOOKUP(O2145,EMAILS!B:C,2,FALSE),"NOT FOUND IN EMAILS")</f>
        <v>supplier@gmail.com</v>
      </c>
      <c r="Q2145" t="str">
        <f ca="1">""&amp;IFERROR(VLOOKUP(O2145,EMAILS!B:D,3,FALSE),"NOT FOUND IN EMAILS")</f>
        <v/>
      </c>
      <c r="R2145" t="str">
        <f ca="1">""&amp;IFERROR(VLOOKUP(O2145,EMAILS!B:E,4,FALSE),"NO T FOUND IN EMAILS")</f>
        <v/>
      </c>
    </row>
    <row r="2146" spans="2:18" x14ac:dyDescent="0.25">
      <c r="B2146" s="5" t="s">
        <v>2148</v>
      </c>
      <c r="C2146" s="5" t="s">
        <v>6288</v>
      </c>
      <c r="D2146" s="5">
        <v>8</v>
      </c>
      <c r="E2146" s="5">
        <v>8</v>
      </c>
      <c r="F2146" s="5">
        <v>10</v>
      </c>
      <c r="G2146" s="5">
        <v>10</v>
      </c>
      <c r="H2146" s="5">
        <v>8</v>
      </c>
      <c r="I2146" s="5">
        <v>10</v>
      </c>
      <c r="J2146" s="5">
        <v>6</v>
      </c>
      <c r="K2146" s="5">
        <v>6</v>
      </c>
      <c r="L2146" s="5">
        <v>6</v>
      </c>
      <c r="M2146" s="5">
        <v>0</v>
      </c>
      <c r="N2146" s="5">
        <v>27</v>
      </c>
      <c r="O2146" s="5" t="str">
        <f t="shared" ca="1" si="33"/>
        <v>Supplier 103</v>
      </c>
      <c r="P2146" s="20" t="str">
        <f ca="1">IFERROR(VLOOKUP(O2146,EMAILS!B:C,2,FALSE),"NOT FOUND IN EMAILS")</f>
        <v>supplier@gmail.com</v>
      </c>
      <c r="Q2146" t="str">
        <f ca="1">""&amp;IFERROR(VLOOKUP(O2146,EMAILS!B:D,3,FALSE),"NOT FOUND IN EMAILS")</f>
        <v/>
      </c>
      <c r="R2146" t="str">
        <f ca="1">""&amp;IFERROR(VLOOKUP(O2146,EMAILS!B:E,4,FALSE),"NO T FOUND IN EMAILS")</f>
        <v/>
      </c>
    </row>
    <row r="2147" spans="2:18" x14ac:dyDescent="0.25">
      <c r="B2147" s="5" t="s">
        <v>2149</v>
      </c>
      <c r="C2147" s="5" t="s">
        <v>6289</v>
      </c>
      <c r="D2147" s="5">
        <v>4</v>
      </c>
      <c r="E2147" s="5">
        <v>4</v>
      </c>
      <c r="F2147" s="5">
        <v>5</v>
      </c>
      <c r="G2147" s="5">
        <v>5</v>
      </c>
      <c r="H2147" s="5">
        <v>4</v>
      </c>
      <c r="I2147" s="5">
        <v>5</v>
      </c>
      <c r="J2147" s="5">
        <v>3</v>
      </c>
      <c r="K2147" s="5">
        <v>3</v>
      </c>
      <c r="L2147" s="5">
        <v>3</v>
      </c>
      <c r="M2147" s="5">
        <v>0</v>
      </c>
      <c r="N2147" s="5">
        <v>583</v>
      </c>
      <c r="O2147" s="5" t="str">
        <f t="shared" ca="1" si="33"/>
        <v>Supplier 107</v>
      </c>
      <c r="P2147" s="20" t="str">
        <f ca="1">IFERROR(VLOOKUP(O2147,EMAILS!B:C,2,FALSE),"NOT FOUND IN EMAILS")</f>
        <v>supplier@gmail.com</v>
      </c>
      <c r="Q2147" t="str">
        <f ca="1">""&amp;IFERROR(VLOOKUP(O2147,EMAILS!B:D,3,FALSE),"NOT FOUND IN EMAILS")</f>
        <v/>
      </c>
      <c r="R2147" t="str">
        <f ca="1">""&amp;IFERROR(VLOOKUP(O2147,EMAILS!B:E,4,FALSE),"NO T FOUND IN EMAILS")</f>
        <v/>
      </c>
    </row>
    <row r="2148" spans="2:18" x14ac:dyDescent="0.25">
      <c r="B2148" s="5" t="s">
        <v>2150</v>
      </c>
      <c r="C2148" s="5" t="s">
        <v>6290</v>
      </c>
      <c r="D2148" s="5">
        <v>28</v>
      </c>
      <c r="E2148" s="5">
        <v>28</v>
      </c>
      <c r="F2148" s="5">
        <v>36</v>
      </c>
      <c r="G2148" s="5">
        <v>36</v>
      </c>
      <c r="H2148" s="5">
        <v>28</v>
      </c>
      <c r="I2148" s="5">
        <v>36</v>
      </c>
      <c r="J2148" s="5">
        <v>20</v>
      </c>
      <c r="K2148" s="5">
        <v>20</v>
      </c>
      <c r="L2148" s="5">
        <v>20</v>
      </c>
      <c r="M2148" s="5">
        <v>0</v>
      </c>
      <c r="N2148" s="5">
        <v>133</v>
      </c>
      <c r="O2148" s="5" t="str">
        <f t="shared" ca="1" si="33"/>
        <v>Supplier 36</v>
      </c>
      <c r="P2148" s="20" t="str">
        <f ca="1">IFERROR(VLOOKUP(O2148,EMAILS!B:C,2,FALSE),"NOT FOUND IN EMAILS")</f>
        <v>supplier@gmail.com</v>
      </c>
      <c r="Q2148" t="str">
        <f ca="1">""&amp;IFERROR(VLOOKUP(O2148,EMAILS!B:D,3,FALSE),"NOT FOUND IN EMAILS")</f>
        <v/>
      </c>
      <c r="R2148" t="str">
        <f ca="1">""&amp;IFERROR(VLOOKUP(O2148,EMAILS!B:E,4,FALSE),"NO T FOUND IN EMAILS")</f>
        <v/>
      </c>
    </row>
    <row r="2149" spans="2:18" x14ac:dyDescent="0.25">
      <c r="B2149" s="5" t="s">
        <v>2151</v>
      </c>
      <c r="C2149" s="5" t="s">
        <v>6291</v>
      </c>
      <c r="D2149" s="5">
        <v>27</v>
      </c>
      <c r="E2149" s="5">
        <v>27</v>
      </c>
      <c r="F2149" s="5">
        <v>34</v>
      </c>
      <c r="G2149" s="5">
        <v>34</v>
      </c>
      <c r="H2149" s="5">
        <v>27</v>
      </c>
      <c r="I2149" s="5">
        <v>34</v>
      </c>
      <c r="J2149" s="5">
        <v>20</v>
      </c>
      <c r="K2149" s="5">
        <v>20</v>
      </c>
      <c r="L2149" s="5">
        <v>20</v>
      </c>
      <c r="M2149" s="5">
        <v>0</v>
      </c>
      <c r="N2149" s="5">
        <v>92</v>
      </c>
      <c r="O2149" s="5" t="str">
        <f t="shared" ca="1" si="33"/>
        <v>Supplier 124</v>
      </c>
      <c r="P2149" s="20" t="str">
        <f ca="1">IFERROR(VLOOKUP(O2149,EMAILS!B:C,2,FALSE),"NOT FOUND IN EMAILS")</f>
        <v>supplier@gmail.com</v>
      </c>
      <c r="Q2149" t="str">
        <f ca="1">""&amp;IFERROR(VLOOKUP(O2149,EMAILS!B:D,3,FALSE),"NOT FOUND IN EMAILS")</f>
        <v/>
      </c>
      <c r="R2149" t="str">
        <f ca="1">""&amp;IFERROR(VLOOKUP(O2149,EMAILS!B:E,4,FALSE),"NO T FOUND IN EMAILS")</f>
        <v/>
      </c>
    </row>
    <row r="2150" spans="2:18" x14ac:dyDescent="0.25">
      <c r="B2150" s="5" t="s">
        <v>2152</v>
      </c>
      <c r="C2150" s="5" t="s">
        <v>6292</v>
      </c>
      <c r="D2150" s="5">
        <v>8</v>
      </c>
      <c r="E2150" s="5">
        <v>0</v>
      </c>
      <c r="F2150" s="5">
        <v>0</v>
      </c>
      <c r="G2150" s="5">
        <v>0</v>
      </c>
      <c r="H2150" s="5">
        <v>8</v>
      </c>
      <c r="I2150" s="5">
        <v>0</v>
      </c>
      <c r="J2150" s="5">
        <v>0</v>
      </c>
      <c r="K2150" s="5">
        <v>0</v>
      </c>
      <c r="L2150" s="5">
        <v>0</v>
      </c>
      <c r="M2150" s="5">
        <v>0</v>
      </c>
      <c r="N2150" s="5">
        <v>91</v>
      </c>
      <c r="O2150" s="5" t="str">
        <f t="shared" ca="1" si="33"/>
        <v>Supplier 156</v>
      </c>
      <c r="P2150" s="20" t="str">
        <f ca="1">IFERROR(VLOOKUP(O2150,EMAILS!B:C,2,FALSE),"NOT FOUND IN EMAILS")</f>
        <v>supplier@gmail.com</v>
      </c>
      <c r="Q2150" t="str">
        <f ca="1">""&amp;IFERROR(VLOOKUP(O2150,EMAILS!B:D,3,FALSE),"NOT FOUND IN EMAILS")</f>
        <v/>
      </c>
      <c r="R2150" t="str">
        <f ca="1">""&amp;IFERROR(VLOOKUP(O2150,EMAILS!B:E,4,FALSE),"NO T FOUND IN EMAILS")</f>
        <v/>
      </c>
    </row>
    <row r="2151" spans="2:18" x14ac:dyDescent="0.25">
      <c r="B2151" s="5" t="s">
        <v>2153</v>
      </c>
      <c r="C2151" s="5" t="s">
        <v>6293</v>
      </c>
      <c r="D2151" s="5">
        <v>8</v>
      </c>
      <c r="E2151" s="5">
        <v>0</v>
      </c>
      <c r="F2151" s="5">
        <v>0</v>
      </c>
      <c r="G2151" s="5">
        <v>0</v>
      </c>
      <c r="H2151" s="5">
        <v>8</v>
      </c>
      <c r="I2151" s="5">
        <v>0</v>
      </c>
      <c r="J2151" s="5">
        <v>0</v>
      </c>
      <c r="K2151" s="5">
        <v>0</v>
      </c>
      <c r="L2151" s="5">
        <v>0</v>
      </c>
      <c r="M2151" s="5">
        <v>0</v>
      </c>
      <c r="N2151" s="5">
        <v>30</v>
      </c>
      <c r="O2151" s="5" t="str">
        <f t="shared" ca="1" si="33"/>
        <v>Supplier 155</v>
      </c>
      <c r="P2151" s="20" t="str">
        <f ca="1">IFERROR(VLOOKUP(O2151,EMAILS!B:C,2,FALSE),"NOT FOUND IN EMAILS")</f>
        <v>supplier@gmail.com</v>
      </c>
      <c r="Q2151" t="str">
        <f ca="1">""&amp;IFERROR(VLOOKUP(O2151,EMAILS!B:D,3,FALSE),"NOT FOUND IN EMAILS")</f>
        <v/>
      </c>
      <c r="R2151" t="str">
        <f ca="1">""&amp;IFERROR(VLOOKUP(O2151,EMAILS!B:E,4,FALSE),"NO T FOUND IN EMAILS")</f>
        <v/>
      </c>
    </row>
    <row r="2152" spans="2:18" x14ac:dyDescent="0.25">
      <c r="B2152" s="5" t="s">
        <v>2154</v>
      </c>
      <c r="C2152" s="5" t="s">
        <v>6294</v>
      </c>
      <c r="D2152" s="5">
        <v>2</v>
      </c>
      <c r="E2152" s="5">
        <v>0</v>
      </c>
      <c r="F2152" s="5">
        <v>0</v>
      </c>
      <c r="G2152" s="5">
        <v>0</v>
      </c>
      <c r="H2152" s="5">
        <v>2</v>
      </c>
      <c r="I2152" s="5">
        <v>0</v>
      </c>
      <c r="J2152" s="5">
        <v>0</v>
      </c>
      <c r="K2152" s="5">
        <v>0</v>
      </c>
      <c r="L2152" s="5">
        <v>0</v>
      </c>
      <c r="M2152" s="5">
        <v>0</v>
      </c>
      <c r="N2152" s="5">
        <v>63</v>
      </c>
      <c r="O2152" s="5" t="str">
        <f t="shared" ca="1" si="33"/>
        <v>Supplier 115</v>
      </c>
      <c r="P2152" s="20" t="str">
        <f ca="1">IFERROR(VLOOKUP(O2152,EMAILS!B:C,2,FALSE),"NOT FOUND IN EMAILS")</f>
        <v>supplier@gmail.com</v>
      </c>
      <c r="Q2152" t="str">
        <f ca="1">""&amp;IFERROR(VLOOKUP(O2152,EMAILS!B:D,3,FALSE),"NOT FOUND IN EMAILS")</f>
        <v/>
      </c>
      <c r="R2152" t="str">
        <f ca="1">""&amp;IFERROR(VLOOKUP(O2152,EMAILS!B:E,4,FALSE),"NO T FOUND IN EMAILS")</f>
        <v/>
      </c>
    </row>
    <row r="2153" spans="2:18" x14ac:dyDescent="0.25">
      <c r="B2153" s="5" t="s">
        <v>2155</v>
      </c>
      <c r="C2153" s="5" t="s">
        <v>6295</v>
      </c>
      <c r="D2153" s="5">
        <v>8</v>
      </c>
      <c r="E2153" s="5">
        <v>8</v>
      </c>
      <c r="F2153" s="5">
        <v>10</v>
      </c>
      <c r="G2153" s="5">
        <v>10</v>
      </c>
      <c r="H2153" s="5">
        <v>8</v>
      </c>
      <c r="I2153" s="5">
        <v>10</v>
      </c>
      <c r="J2153" s="5">
        <v>6</v>
      </c>
      <c r="K2153" s="5">
        <v>6</v>
      </c>
      <c r="L2153" s="5">
        <v>6</v>
      </c>
      <c r="M2153" s="5">
        <v>0</v>
      </c>
      <c r="N2153" s="5">
        <v>184</v>
      </c>
      <c r="O2153" s="5" t="str">
        <f t="shared" ca="1" si="33"/>
        <v>Supplier 186</v>
      </c>
      <c r="P2153" s="20" t="str">
        <f ca="1">IFERROR(VLOOKUP(O2153,EMAILS!B:C,2,FALSE),"NOT FOUND IN EMAILS")</f>
        <v>supplier@gmail.com</v>
      </c>
      <c r="Q2153" t="str">
        <f ca="1">""&amp;IFERROR(VLOOKUP(O2153,EMAILS!B:D,3,FALSE),"NOT FOUND IN EMAILS")</f>
        <v/>
      </c>
      <c r="R2153" t="str">
        <f ca="1">""&amp;IFERROR(VLOOKUP(O2153,EMAILS!B:E,4,FALSE),"NO T FOUND IN EMAILS")</f>
        <v/>
      </c>
    </row>
    <row r="2154" spans="2:18" x14ac:dyDescent="0.25">
      <c r="B2154" s="5" t="s">
        <v>2156</v>
      </c>
      <c r="C2154" s="5" t="s">
        <v>6296</v>
      </c>
      <c r="D2154" s="5">
        <v>3</v>
      </c>
      <c r="E2154" s="5">
        <v>3</v>
      </c>
      <c r="F2154" s="5">
        <v>4</v>
      </c>
      <c r="G2154" s="5">
        <v>4</v>
      </c>
      <c r="H2154" s="5">
        <v>3</v>
      </c>
      <c r="I2154" s="5">
        <v>4</v>
      </c>
      <c r="J2154" s="5">
        <v>2</v>
      </c>
      <c r="K2154" s="5">
        <v>2</v>
      </c>
      <c r="L2154" s="5">
        <v>2</v>
      </c>
      <c r="M2154" s="5">
        <v>0</v>
      </c>
      <c r="N2154" s="5">
        <v>52</v>
      </c>
      <c r="O2154" s="5" t="str">
        <f t="shared" ca="1" si="33"/>
        <v>Supplier 10</v>
      </c>
      <c r="P2154" s="20" t="str">
        <f ca="1">IFERROR(VLOOKUP(O2154,EMAILS!B:C,2,FALSE),"NOT FOUND IN EMAILS")</f>
        <v>supplier@gmail.com</v>
      </c>
      <c r="Q2154" t="str">
        <f ca="1">""&amp;IFERROR(VLOOKUP(O2154,EMAILS!B:D,3,FALSE),"NOT FOUND IN EMAILS")</f>
        <v>supplier_logistics@gmail.com</v>
      </c>
      <c r="R2154" t="str">
        <f ca="1">""&amp;IFERROR(VLOOKUP(O2154,EMAILS!B:E,4,FALSE),"NO T FOUND IN EMAILS")</f>
        <v/>
      </c>
    </row>
    <row r="2155" spans="2:18" x14ac:dyDescent="0.25">
      <c r="B2155" s="5" t="s">
        <v>2157</v>
      </c>
      <c r="C2155" s="5" t="s">
        <v>6297</v>
      </c>
      <c r="D2155" s="5">
        <v>20</v>
      </c>
      <c r="E2155" s="5">
        <v>0</v>
      </c>
      <c r="F2155" s="5">
        <v>0</v>
      </c>
      <c r="G2155" s="5">
        <v>0</v>
      </c>
      <c r="H2155" s="5">
        <v>20</v>
      </c>
      <c r="I2155" s="5">
        <v>0</v>
      </c>
      <c r="J2155" s="5">
        <v>0</v>
      </c>
      <c r="K2155" s="5">
        <v>0</v>
      </c>
      <c r="L2155" s="5">
        <v>0</v>
      </c>
      <c r="M2155" s="5">
        <v>0</v>
      </c>
      <c r="N2155" s="5">
        <v>35</v>
      </c>
      <c r="O2155" s="5" t="str">
        <f t="shared" ca="1" si="33"/>
        <v>Supplier 55</v>
      </c>
      <c r="P2155" s="20" t="str">
        <f ca="1">IFERROR(VLOOKUP(O2155,EMAILS!B:C,2,FALSE),"NOT FOUND IN EMAILS")</f>
        <v>supplier@gmail.com</v>
      </c>
      <c r="Q2155" t="str">
        <f ca="1">""&amp;IFERROR(VLOOKUP(O2155,EMAILS!B:D,3,FALSE),"NOT FOUND IN EMAILS")</f>
        <v/>
      </c>
      <c r="R2155" t="str">
        <f ca="1">""&amp;IFERROR(VLOOKUP(O2155,EMAILS!B:E,4,FALSE),"NO T FOUND IN EMAILS")</f>
        <v/>
      </c>
    </row>
    <row r="2156" spans="2:18" x14ac:dyDescent="0.25">
      <c r="B2156" s="5" t="s">
        <v>2158</v>
      </c>
      <c r="C2156" s="5" t="s">
        <v>6298</v>
      </c>
      <c r="D2156" s="5">
        <v>16</v>
      </c>
      <c r="E2156" s="5">
        <v>16</v>
      </c>
      <c r="F2156" s="5">
        <v>20</v>
      </c>
      <c r="G2156" s="5">
        <v>20</v>
      </c>
      <c r="H2156" s="5">
        <v>16</v>
      </c>
      <c r="I2156" s="5">
        <v>20</v>
      </c>
      <c r="J2156" s="5">
        <v>12</v>
      </c>
      <c r="K2156" s="5">
        <v>12</v>
      </c>
      <c r="L2156" s="5">
        <v>12</v>
      </c>
      <c r="M2156" s="5">
        <v>0</v>
      </c>
      <c r="N2156" s="5">
        <v>20</v>
      </c>
      <c r="O2156" s="5" t="str">
        <f t="shared" ca="1" si="33"/>
        <v>Supplier 25</v>
      </c>
      <c r="P2156" s="20" t="str">
        <f ca="1">IFERROR(VLOOKUP(O2156,EMAILS!B:C,2,FALSE),"NOT FOUND IN EMAILS")</f>
        <v>supplier@gmail.com</v>
      </c>
      <c r="Q2156" t="str">
        <f ca="1">""&amp;IFERROR(VLOOKUP(O2156,EMAILS!B:D,3,FALSE),"NOT FOUND IN EMAILS")</f>
        <v/>
      </c>
      <c r="R2156" t="str">
        <f ca="1">""&amp;IFERROR(VLOOKUP(O2156,EMAILS!B:E,4,FALSE),"NO T FOUND IN EMAILS")</f>
        <v/>
      </c>
    </row>
    <row r="2157" spans="2:18" x14ac:dyDescent="0.25">
      <c r="B2157" s="5" t="s">
        <v>2159</v>
      </c>
      <c r="C2157" s="5" t="s">
        <v>6299</v>
      </c>
      <c r="D2157" s="5">
        <v>8</v>
      </c>
      <c r="E2157" s="5">
        <v>6</v>
      </c>
      <c r="F2157" s="5">
        <v>8</v>
      </c>
      <c r="G2157" s="5">
        <v>8</v>
      </c>
      <c r="H2157" s="5">
        <v>8</v>
      </c>
      <c r="I2157" s="5">
        <v>8</v>
      </c>
      <c r="J2157" s="5">
        <v>4</v>
      </c>
      <c r="K2157" s="5">
        <v>4</v>
      </c>
      <c r="L2157" s="5">
        <v>4</v>
      </c>
      <c r="M2157" s="5">
        <v>0</v>
      </c>
      <c r="N2157" s="5">
        <v>44</v>
      </c>
      <c r="O2157" s="5" t="str">
        <f t="shared" ca="1" si="33"/>
        <v>Supplier 174</v>
      </c>
      <c r="P2157" s="20" t="str">
        <f ca="1">IFERROR(VLOOKUP(O2157,EMAILS!B:C,2,FALSE),"NOT FOUND IN EMAILS")</f>
        <v>supplier@gmail.com</v>
      </c>
      <c r="Q2157" t="str">
        <f ca="1">""&amp;IFERROR(VLOOKUP(O2157,EMAILS!B:D,3,FALSE),"NOT FOUND IN EMAILS")</f>
        <v/>
      </c>
      <c r="R2157" t="str">
        <f ca="1">""&amp;IFERROR(VLOOKUP(O2157,EMAILS!B:E,4,FALSE),"NO T FOUND IN EMAILS")</f>
        <v/>
      </c>
    </row>
    <row r="2158" spans="2:18" x14ac:dyDescent="0.25">
      <c r="B2158" s="5" t="s">
        <v>2160</v>
      </c>
      <c r="C2158" s="5" t="s">
        <v>6300</v>
      </c>
      <c r="D2158" s="5">
        <v>24</v>
      </c>
      <c r="E2158" s="5">
        <v>24</v>
      </c>
      <c r="F2158" s="5">
        <v>30</v>
      </c>
      <c r="G2158" s="5">
        <v>30</v>
      </c>
      <c r="H2158" s="5">
        <v>24</v>
      </c>
      <c r="I2158" s="5">
        <v>30</v>
      </c>
      <c r="J2158" s="5">
        <v>18</v>
      </c>
      <c r="K2158" s="5">
        <v>18</v>
      </c>
      <c r="L2158" s="5">
        <v>18</v>
      </c>
      <c r="M2158" s="5">
        <v>0</v>
      </c>
      <c r="N2158" s="5">
        <v>128</v>
      </c>
      <c r="O2158" s="5" t="str">
        <f t="shared" ca="1" si="33"/>
        <v>Supplier 79</v>
      </c>
      <c r="P2158" s="20" t="str">
        <f ca="1">IFERROR(VLOOKUP(O2158,EMAILS!B:C,2,FALSE),"NOT FOUND IN EMAILS")</f>
        <v>supplier@gmail.com</v>
      </c>
      <c r="Q2158" t="str">
        <f ca="1">""&amp;IFERROR(VLOOKUP(O2158,EMAILS!B:D,3,FALSE),"NOT FOUND IN EMAILS")</f>
        <v/>
      </c>
      <c r="R2158" t="str">
        <f ca="1">""&amp;IFERROR(VLOOKUP(O2158,EMAILS!B:E,4,FALSE),"NO T FOUND IN EMAILS")</f>
        <v/>
      </c>
    </row>
    <row r="2159" spans="2:18" x14ac:dyDescent="0.25">
      <c r="B2159" s="5" t="s">
        <v>2161</v>
      </c>
      <c r="C2159" s="5" t="s">
        <v>6301</v>
      </c>
      <c r="D2159" s="5">
        <v>16</v>
      </c>
      <c r="E2159" s="5">
        <v>16</v>
      </c>
      <c r="F2159" s="5">
        <v>20</v>
      </c>
      <c r="G2159" s="5">
        <v>20</v>
      </c>
      <c r="H2159" s="5">
        <v>16</v>
      </c>
      <c r="I2159" s="5">
        <v>20</v>
      </c>
      <c r="J2159" s="5">
        <v>12</v>
      </c>
      <c r="K2159" s="5">
        <v>12</v>
      </c>
      <c r="L2159" s="5">
        <v>12</v>
      </c>
      <c r="M2159" s="5">
        <v>0</v>
      </c>
      <c r="N2159" s="5">
        <v>120</v>
      </c>
      <c r="O2159" s="5" t="str">
        <f t="shared" ca="1" si="33"/>
        <v>Supplier 33</v>
      </c>
      <c r="P2159" s="20" t="str">
        <f ca="1">IFERROR(VLOOKUP(O2159,EMAILS!B:C,2,FALSE),"NOT FOUND IN EMAILS")</f>
        <v>supplier@gmail.com</v>
      </c>
      <c r="Q2159" t="str">
        <f ca="1">""&amp;IFERROR(VLOOKUP(O2159,EMAILS!B:D,3,FALSE),"NOT FOUND IN EMAILS")</f>
        <v/>
      </c>
      <c r="R2159" t="str">
        <f ca="1">""&amp;IFERROR(VLOOKUP(O2159,EMAILS!B:E,4,FALSE),"NO T FOUND IN EMAILS")</f>
        <v/>
      </c>
    </row>
    <row r="2160" spans="2:18" x14ac:dyDescent="0.25">
      <c r="B2160" s="5" t="s">
        <v>2162</v>
      </c>
      <c r="C2160" s="5" t="s">
        <v>6302</v>
      </c>
      <c r="D2160" s="5">
        <v>12</v>
      </c>
      <c r="E2160" s="5">
        <v>0</v>
      </c>
      <c r="F2160" s="5">
        <v>0</v>
      </c>
      <c r="G2160" s="5">
        <v>0</v>
      </c>
      <c r="H2160" s="5">
        <v>12</v>
      </c>
      <c r="I2160" s="5">
        <v>0</v>
      </c>
      <c r="J2160" s="5">
        <v>0</v>
      </c>
      <c r="K2160" s="5">
        <v>0</v>
      </c>
      <c r="L2160" s="5">
        <v>0</v>
      </c>
      <c r="M2160" s="5">
        <v>0</v>
      </c>
      <c r="N2160" s="5">
        <v>527</v>
      </c>
      <c r="O2160" s="5" t="str">
        <f t="shared" ca="1" si="33"/>
        <v>Supplier 112</v>
      </c>
      <c r="P2160" s="20" t="str">
        <f ca="1">IFERROR(VLOOKUP(O2160,EMAILS!B:C,2,FALSE),"NOT FOUND IN EMAILS")</f>
        <v>supplier@gmail.com</v>
      </c>
      <c r="Q2160" t="str">
        <f ca="1">""&amp;IFERROR(VLOOKUP(O2160,EMAILS!B:D,3,FALSE),"NOT FOUND IN EMAILS")</f>
        <v/>
      </c>
      <c r="R2160" t="str">
        <f ca="1">""&amp;IFERROR(VLOOKUP(O2160,EMAILS!B:E,4,FALSE),"NO T FOUND IN EMAILS")</f>
        <v/>
      </c>
    </row>
    <row r="2161" spans="2:18" x14ac:dyDescent="0.25">
      <c r="B2161" s="5" t="s">
        <v>2163</v>
      </c>
      <c r="C2161" s="5" t="s">
        <v>6303</v>
      </c>
      <c r="D2161" s="5">
        <v>0</v>
      </c>
      <c r="E2161" s="5">
        <v>0</v>
      </c>
      <c r="F2161" s="5">
        <v>0</v>
      </c>
      <c r="G2161" s="5">
        <v>0</v>
      </c>
      <c r="H2161" s="5">
        <v>0</v>
      </c>
      <c r="I2161" s="5">
        <v>0</v>
      </c>
      <c r="J2161" s="5">
        <v>0</v>
      </c>
      <c r="K2161" s="5">
        <v>0</v>
      </c>
      <c r="L2161" s="5">
        <v>0</v>
      </c>
      <c r="M2161" s="5">
        <v>0</v>
      </c>
      <c r="N2161" s="5">
        <v>804</v>
      </c>
      <c r="O2161" s="5" t="str">
        <f t="shared" ca="1" si="33"/>
        <v>Supplier 72</v>
      </c>
      <c r="P2161" s="20" t="str">
        <f ca="1">IFERROR(VLOOKUP(O2161,EMAILS!B:C,2,FALSE),"NOT FOUND IN EMAILS")</f>
        <v>supplier@gmail.com</v>
      </c>
      <c r="Q2161" t="str">
        <f ca="1">""&amp;IFERROR(VLOOKUP(O2161,EMAILS!B:D,3,FALSE),"NOT FOUND IN EMAILS")</f>
        <v/>
      </c>
      <c r="R2161" t="str">
        <f ca="1">""&amp;IFERROR(VLOOKUP(O2161,EMAILS!B:E,4,FALSE),"NO T FOUND IN EMAILS")</f>
        <v/>
      </c>
    </row>
    <row r="2162" spans="2:18" x14ac:dyDescent="0.25">
      <c r="B2162" s="5" t="s">
        <v>2164</v>
      </c>
      <c r="C2162" s="5" t="s">
        <v>6304</v>
      </c>
      <c r="D2162" s="5">
        <v>16</v>
      </c>
      <c r="E2162" s="5">
        <v>16</v>
      </c>
      <c r="F2162" s="5">
        <v>20</v>
      </c>
      <c r="G2162" s="5">
        <v>20</v>
      </c>
      <c r="H2162" s="5">
        <v>16</v>
      </c>
      <c r="I2162" s="5">
        <v>20</v>
      </c>
      <c r="J2162" s="5">
        <v>12</v>
      </c>
      <c r="K2162" s="5">
        <v>12</v>
      </c>
      <c r="L2162" s="5">
        <v>12</v>
      </c>
      <c r="M2162" s="5">
        <v>0</v>
      </c>
      <c r="N2162" s="5">
        <v>271</v>
      </c>
      <c r="O2162" s="5" t="str">
        <f t="shared" ca="1" si="33"/>
        <v>Supplier 152</v>
      </c>
      <c r="P2162" s="20" t="str">
        <f ca="1">IFERROR(VLOOKUP(O2162,EMAILS!B:C,2,FALSE),"NOT FOUND IN EMAILS")</f>
        <v>supplier@gmail.com</v>
      </c>
      <c r="Q2162" t="str">
        <f ca="1">""&amp;IFERROR(VLOOKUP(O2162,EMAILS!B:D,3,FALSE),"NOT FOUND IN EMAILS")</f>
        <v/>
      </c>
      <c r="R2162" t="str">
        <f ca="1">""&amp;IFERROR(VLOOKUP(O2162,EMAILS!B:E,4,FALSE),"NO T FOUND IN EMAILS")</f>
        <v/>
      </c>
    </row>
    <row r="2163" spans="2:18" x14ac:dyDescent="0.25">
      <c r="B2163" s="5" t="s">
        <v>2165</v>
      </c>
      <c r="C2163" s="5" t="s">
        <v>6305</v>
      </c>
      <c r="D2163" s="5">
        <v>36</v>
      </c>
      <c r="E2163" s="5">
        <v>34</v>
      </c>
      <c r="F2163" s="5">
        <v>43</v>
      </c>
      <c r="G2163" s="5">
        <v>43</v>
      </c>
      <c r="H2163" s="5">
        <v>36</v>
      </c>
      <c r="I2163" s="5">
        <v>43</v>
      </c>
      <c r="J2163" s="5">
        <v>25</v>
      </c>
      <c r="K2163" s="5">
        <v>25</v>
      </c>
      <c r="L2163" s="5">
        <v>25</v>
      </c>
      <c r="M2163" s="5">
        <v>0</v>
      </c>
      <c r="N2163" s="5">
        <v>572</v>
      </c>
      <c r="O2163" s="5" t="str">
        <f t="shared" ca="1" si="33"/>
        <v>Supplier 191</v>
      </c>
      <c r="P2163" s="20" t="str">
        <f ca="1">IFERROR(VLOOKUP(O2163,EMAILS!B:C,2,FALSE),"NOT FOUND IN EMAILS")</f>
        <v>supplier@gmail.com</v>
      </c>
      <c r="Q2163" t="str">
        <f ca="1">""&amp;IFERROR(VLOOKUP(O2163,EMAILS!B:D,3,FALSE),"NOT FOUND IN EMAILS")</f>
        <v/>
      </c>
      <c r="R2163" t="str">
        <f ca="1">""&amp;IFERROR(VLOOKUP(O2163,EMAILS!B:E,4,FALSE),"NO T FOUND IN EMAILS")</f>
        <v/>
      </c>
    </row>
    <row r="2164" spans="2:18" x14ac:dyDescent="0.25">
      <c r="B2164" s="5" t="s">
        <v>2166</v>
      </c>
      <c r="C2164" s="5" t="s">
        <v>6306</v>
      </c>
      <c r="D2164" s="5">
        <v>8</v>
      </c>
      <c r="E2164" s="5">
        <v>8</v>
      </c>
      <c r="F2164" s="5">
        <v>10</v>
      </c>
      <c r="G2164" s="5">
        <v>10</v>
      </c>
      <c r="H2164" s="5">
        <v>8</v>
      </c>
      <c r="I2164" s="5">
        <v>10</v>
      </c>
      <c r="J2164" s="5">
        <v>6</v>
      </c>
      <c r="K2164" s="5">
        <v>6</v>
      </c>
      <c r="L2164" s="5">
        <v>6</v>
      </c>
      <c r="M2164" s="5">
        <v>0</v>
      </c>
      <c r="N2164" s="5">
        <v>410</v>
      </c>
      <c r="O2164" s="5" t="str">
        <f t="shared" ca="1" si="33"/>
        <v>Supplier 111</v>
      </c>
      <c r="P2164" s="20" t="str">
        <f ca="1">IFERROR(VLOOKUP(O2164,EMAILS!B:C,2,FALSE),"NOT FOUND IN EMAILS")</f>
        <v>supplier@gmail.com</v>
      </c>
      <c r="Q2164" t="str">
        <f ca="1">""&amp;IFERROR(VLOOKUP(O2164,EMAILS!B:D,3,FALSE),"NOT FOUND IN EMAILS")</f>
        <v/>
      </c>
      <c r="R2164" t="str">
        <f ca="1">""&amp;IFERROR(VLOOKUP(O2164,EMAILS!B:E,4,FALSE),"NO T FOUND IN EMAILS")</f>
        <v/>
      </c>
    </row>
    <row r="2165" spans="2:18" x14ac:dyDescent="0.25">
      <c r="B2165" s="5" t="s">
        <v>2167</v>
      </c>
      <c r="C2165" s="5" t="s">
        <v>6307</v>
      </c>
      <c r="D2165" s="5">
        <v>20</v>
      </c>
      <c r="E2165" s="5">
        <v>0</v>
      </c>
      <c r="F2165" s="5">
        <v>0</v>
      </c>
      <c r="G2165" s="5">
        <v>0</v>
      </c>
      <c r="H2165" s="5">
        <v>20</v>
      </c>
      <c r="I2165" s="5">
        <v>0</v>
      </c>
      <c r="J2165" s="5">
        <v>0</v>
      </c>
      <c r="K2165" s="5">
        <v>0</v>
      </c>
      <c r="L2165" s="5">
        <v>0</v>
      </c>
      <c r="M2165" s="5">
        <v>0</v>
      </c>
      <c r="N2165" s="5">
        <v>30</v>
      </c>
      <c r="O2165" s="5" t="str">
        <f t="shared" ca="1" si="33"/>
        <v>Supplier 105</v>
      </c>
      <c r="P2165" s="20" t="str">
        <f ca="1">IFERROR(VLOOKUP(O2165,EMAILS!B:C,2,FALSE),"NOT FOUND IN EMAILS")</f>
        <v>supplier@gmail.com</v>
      </c>
      <c r="Q2165" t="str">
        <f ca="1">""&amp;IFERROR(VLOOKUP(O2165,EMAILS!B:D,3,FALSE),"NOT FOUND IN EMAILS")</f>
        <v/>
      </c>
      <c r="R2165" t="str">
        <f ca="1">""&amp;IFERROR(VLOOKUP(O2165,EMAILS!B:E,4,FALSE),"NO T FOUND IN EMAILS")</f>
        <v/>
      </c>
    </row>
    <row r="2166" spans="2:18" x14ac:dyDescent="0.25">
      <c r="B2166" s="5" t="s">
        <v>2168</v>
      </c>
      <c r="C2166" s="5" t="s">
        <v>6308</v>
      </c>
      <c r="D2166" s="5">
        <v>8</v>
      </c>
      <c r="E2166" s="5">
        <v>8</v>
      </c>
      <c r="F2166" s="5">
        <v>10</v>
      </c>
      <c r="G2166" s="5">
        <v>10</v>
      </c>
      <c r="H2166" s="5">
        <v>8</v>
      </c>
      <c r="I2166" s="5">
        <v>10</v>
      </c>
      <c r="J2166" s="5">
        <v>6</v>
      </c>
      <c r="K2166" s="5">
        <v>6</v>
      </c>
      <c r="L2166" s="5">
        <v>6</v>
      </c>
      <c r="M2166" s="5">
        <v>0</v>
      </c>
      <c r="N2166" s="5">
        <v>0</v>
      </c>
      <c r="O2166" s="5" t="str">
        <f t="shared" ca="1" si="33"/>
        <v>Supplier 25</v>
      </c>
      <c r="P2166" s="20" t="str">
        <f ca="1">IFERROR(VLOOKUP(O2166,EMAILS!B:C,2,FALSE),"NOT FOUND IN EMAILS")</f>
        <v>supplier@gmail.com</v>
      </c>
      <c r="Q2166" t="str">
        <f ca="1">""&amp;IFERROR(VLOOKUP(O2166,EMAILS!B:D,3,FALSE),"NOT FOUND IN EMAILS")</f>
        <v/>
      </c>
      <c r="R2166" t="str">
        <f ca="1">""&amp;IFERROR(VLOOKUP(O2166,EMAILS!B:E,4,FALSE),"NO T FOUND IN EMAILS")</f>
        <v/>
      </c>
    </row>
    <row r="2167" spans="2:18" x14ac:dyDescent="0.25">
      <c r="B2167" s="5" t="s">
        <v>2169</v>
      </c>
      <c r="C2167" s="5" t="s">
        <v>6309</v>
      </c>
      <c r="D2167" s="5">
        <v>3</v>
      </c>
      <c r="E2167" s="5">
        <v>3</v>
      </c>
      <c r="F2167" s="5">
        <v>4</v>
      </c>
      <c r="G2167" s="5">
        <v>4</v>
      </c>
      <c r="H2167" s="5">
        <v>3</v>
      </c>
      <c r="I2167" s="5">
        <v>4</v>
      </c>
      <c r="J2167" s="5">
        <v>2</v>
      </c>
      <c r="K2167" s="5">
        <v>2</v>
      </c>
      <c r="L2167" s="5">
        <v>2</v>
      </c>
      <c r="M2167" s="5">
        <v>0</v>
      </c>
      <c r="N2167" s="5">
        <v>70</v>
      </c>
      <c r="O2167" s="5" t="str">
        <f t="shared" ca="1" si="33"/>
        <v>Supplier 93</v>
      </c>
      <c r="P2167" s="20" t="str">
        <f ca="1">IFERROR(VLOOKUP(O2167,EMAILS!B:C,2,FALSE),"NOT FOUND IN EMAILS")</f>
        <v>supplier@gmail.com</v>
      </c>
      <c r="Q2167" t="str">
        <f ca="1">""&amp;IFERROR(VLOOKUP(O2167,EMAILS!B:D,3,FALSE),"NOT FOUND IN EMAILS")</f>
        <v/>
      </c>
      <c r="R2167" t="str">
        <f ca="1">""&amp;IFERROR(VLOOKUP(O2167,EMAILS!B:E,4,FALSE),"NO T FOUND IN EMAILS")</f>
        <v/>
      </c>
    </row>
    <row r="2168" spans="2:18" x14ac:dyDescent="0.25">
      <c r="B2168" s="5" t="s">
        <v>2170</v>
      </c>
      <c r="C2168" s="5" t="s">
        <v>6310</v>
      </c>
      <c r="D2168" s="5">
        <v>18</v>
      </c>
      <c r="E2168" s="5">
        <v>12</v>
      </c>
      <c r="F2168" s="5">
        <v>15</v>
      </c>
      <c r="G2168" s="5">
        <v>15</v>
      </c>
      <c r="H2168" s="5">
        <v>18</v>
      </c>
      <c r="I2168" s="5">
        <v>15</v>
      </c>
      <c r="J2168" s="5">
        <v>9</v>
      </c>
      <c r="K2168" s="5">
        <v>9</v>
      </c>
      <c r="L2168" s="5">
        <v>9</v>
      </c>
      <c r="M2168" s="5">
        <v>0</v>
      </c>
      <c r="N2168" s="5">
        <v>0</v>
      </c>
      <c r="O2168" s="5" t="str">
        <f t="shared" ca="1" si="33"/>
        <v>Supplier 24</v>
      </c>
      <c r="P2168" s="20" t="str">
        <f ca="1">IFERROR(VLOOKUP(O2168,EMAILS!B:C,2,FALSE),"NOT FOUND IN EMAILS")</f>
        <v>supplier@gmail.com</v>
      </c>
      <c r="Q2168" t="str">
        <f ca="1">""&amp;IFERROR(VLOOKUP(O2168,EMAILS!B:D,3,FALSE),"NOT FOUND IN EMAILS")</f>
        <v/>
      </c>
      <c r="R2168" t="str">
        <f ca="1">""&amp;IFERROR(VLOOKUP(O2168,EMAILS!B:E,4,FALSE),"NO T FOUND IN EMAILS")</f>
        <v/>
      </c>
    </row>
    <row r="2169" spans="2:18" x14ac:dyDescent="0.25">
      <c r="B2169" s="5" t="s">
        <v>2171</v>
      </c>
      <c r="C2169" s="5" t="s">
        <v>6311</v>
      </c>
      <c r="D2169" s="5">
        <v>0</v>
      </c>
      <c r="E2169" s="5">
        <v>0</v>
      </c>
      <c r="F2169" s="5">
        <v>0</v>
      </c>
      <c r="G2169" s="5">
        <v>0</v>
      </c>
      <c r="H2169" s="5">
        <v>0</v>
      </c>
      <c r="I2169" s="5">
        <v>0</v>
      </c>
      <c r="J2169" s="5">
        <v>0</v>
      </c>
      <c r="K2169" s="5">
        <v>0</v>
      </c>
      <c r="L2169" s="5">
        <v>0</v>
      </c>
      <c r="M2169" s="5">
        <v>0</v>
      </c>
      <c r="N2169" s="5">
        <v>0</v>
      </c>
      <c r="O2169" s="5" t="str">
        <f t="shared" ca="1" si="33"/>
        <v>Supplier 28</v>
      </c>
      <c r="P2169" s="20" t="str">
        <f ca="1">IFERROR(VLOOKUP(O2169,EMAILS!B:C,2,FALSE),"NOT FOUND IN EMAILS")</f>
        <v>supplier@gmail.com</v>
      </c>
      <c r="Q2169" t="str">
        <f ca="1">""&amp;IFERROR(VLOOKUP(O2169,EMAILS!B:D,3,FALSE),"NOT FOUND IN EMAILS")</f>
        <v/>
      </c>
      <c r="R2169" t="str">
        <f ca="1">""&amp;IFERROR(VLOOKUP(O2169,EMAILS!B:E,4,FALSE),"NO T FOUND IN EMAILS")</f>
        <v/>
      </c>
    </row>
    <row r="2170" spans="2:18" x14ac:dyDescent="0.25">
      <c r="B2170" s="5" t="s">
        <v>2172</v>
      </c>
      <c r="C2170" s="5" t="s">
        <v>6312</v>
      </c>
      <c r="D2170" s="5">
        <v>0</v>
      </c>
      <c r="E2170" s="5">
        <v>0</v>
      </c>
      <c r="F2170" s="5">
        <v>0</v>
      </c>
      <c r="G2170" s="5">
        <v>0</v>
      </c>
      <c r="H2170" s="5">
        <v>0</v>
      </c>
      <c r="I2170" s="5">
        <v>0</v>
      </c>
      <c r="J2170" s="5">
        <v>0</v>
      </c>
      <c r="K2170" s="5">
        <v>0</v>
      </c>
      <c r="L2170" s="5">
        <v>0</v>
      </c>
      <c r="M2170" s="5">
        <v>0</v>
      </c>
      <c r="N2170" s="5">
        <v>0</v>
      </c>
      <c r="O2170" s="5" t="str">
        <f t="shared" ca="1" si="33"/>
        <v>Supplier 49</v>
      </c>
      <c r="P2170" s="20" t="str">
        <f ca="1">IFERROR(VLOOKUP(O2170,EMAILS!B:C,2,FALSE),"NOT FOUND IN EMAILS")</f>
        <v>supplier@gmail.com</v>
      </c>
      <c r="Q2170" t="str">
        <f ca="1">""&amp;IFERROR(VLOOKUP(O2170,EMAILS!B:D,3,FALSE),"NOT FOUND IN EMAILS")</f>
        <v/>
      </c>
      <c r="R2170" t="str">
        <f ca="1">""&amp;IFERROR(VLOOKUP(O2170,EMAILS!B:E,4,FALSE),"NO T FOUND IN EMAILS")</f>
        <v/>
      </c>
    </row>
    <row r="2171" spans="2:18" x14ac:dyDescent="0.25">
      <c r="B2171" s="5" t="s">
        <v>2173</v>
      </c>
      <c r="C2171" s="5" t="s">
        <v>6313</v>
      </c>
      <c r="D2171" s="5">
        <v>0</v>
      </c>
      <c r="E2171" s="5">
        <v>0</v>
      </c>
      <c r="F2171" s="5">
        <v>0</v>
      </c>
      <c r="G2171" s="5">
        <v>0</v>
      </c>
      <c r="H2171" s="5">
        <v>0</v>
      </c>
      <c r="I2171" s="5">
        <v>0</v>
      </c>
      <c r="J2171" s="5">
        <v>0</v>
      </c>
      <c r="K2171" s="5">
        <v>0</v>
      </c>
      <c r="L2171" s="5">
        <v>0</v>
      </c>
      <c r="M2171" s="5">
        <v>0</v>
      </c>
      <c r="N2171" s="5">
        <v>0</v>
      </c>
      <c r="O2171" s="5" t="str">
        <f t="shared" ca="1" si="33"/>
        <v>Supplier 84</v>
      </c>
      <c r="P2171" s="20" t="str">
        <f ca="1">IFERROR(VLOOKUP(O2171,EMAILS!B:C,2,FALSE),"NOT FOUND IN EMAILS")</f>
        <v>supplier@gmail.com</v>
      </c>
      <c r="Q2171" t="str">
        <f ca="1">""&amp;IFERROR(VLOOKUP(O2171,EMAILS!B:D,3,FALSE),"NOT FOUND IN EMAILS")</f>
        <v/>
      </c>
      <c r="R2171" t="str">
        <f ca="1">""&amp;IFERROR(VLOOKUP(O2171,EMAILS!B:E,4,FALSE),"NO T FOUND IN EMAILS")</f>
        <v/>
      </c>
    </row>
    <row r="2172" spans="2:18" x14ac:dyDescent="0.25">
      <c r="B2172" s="5" t="s">
        <v>2174</v>
      </c>
      <c r="C2172" s="5" t="s">
        <v>6314</v>
      </c>
      <c r="D2172" s="5">
        <v>0</v>
      </c>
      <c r="E2172" s="5">
        <v>0</v>
      </c>
      <c r="F2172" s="5">
        <v>0</v>
      </c>
      <c r="G2172" s="5">
        <v>0</v>
      </c>
      <c r="H2172" s="5">
        <v>0</v>
      </c>
      <c r="I2172" s="5">
        <v>0</v>
      </c>
      <c r="J2172" s="5">
        <v>0</v>
      </c>
      <c r="K2172" s="5">
        <v>0</v>
      </c>
      <c r="L2172" s="5">
        <v>0</v>
      </c>
      <c r="M2172" s="5">
        <v>0</v>
      </c>
      <c r="N2172" s="5">
        <v>0</v>
      </c>
      <c r="O2172" s="5" t="str">
        <f t="shared" ca="1" si="33"/>
        <v>Supplier 194</v>
      </c>
      <c r="P2172" s="20" t="str">
        <f ca="1">IFERROR(VLOOKUP(O2172,EMAILS!B:C,2,FALSE),"NOT FOUND IN EMAILS")</f>
        <v>supplier@gmail.com</v>
      </c>
      <c r="Q2172" t="str">
        <f ca="1">""&amp;IFERROR(VLOOKUP(O2172,EMAILS!B:D,3,FALSE),"NOT FOUND IN EMAILS")</f>
        <v/>
      </c>
      <c r="R2172" t="str">
        <f ca="1">""&amp;IFERROR(VLOOKUP(O2172,EMAILS!B:E,4,FALSE),"NO T FOUND IN EMAILS")</f>
        <v/>
      </c>
    </row>
    <row r="2173" spans="2:18" x14ac:dyDescent="0.25">
      <c r="B2173" s="5" t="s">
        <v>2175</v>
      </c>
      <c r="C2173" s="5" t="s">
        <v>6315</v>
      </c>
      <c r="D2173" s="5">
        <v>0</v>
      </c>
      <c r="E2173" s="5">
        <v>0</v>
      </c>
      <c r="F2173" s="5">
        <v>0</v>
      </c>
      <c r="G2173" s="5">
        <v>0</v>
      </c>
      <c r="H2173" s="5">
        <v>0</v>
      </c>
      <c r="I2173" s="5">
        <v>0</v>
      </c>
      <c r="J2173" s="5">
        <v>0</v>
      </c>
      <c r="K2173" s="5">
        <v>0</v>
      </c>
      <c r="L2173" s="5">
        <v>0</v>
      </c>
      <c r="M2173" s="5">
        <v>0</v>
      </c>
      <c r="N2173" s="5">
        <v>0</v>
      </c>
      <c r="O2173" s="5" t="str">
        <f t="shared" ca="1" si="33"/>
        <v>Supplier 65</v>
      </c>
      <c r="P2173" s="20" t="str">
        <f ca="1">IFERROR(VLOOKUP(O2173,EMAILS!B:C,2,FALSE),"NOT FOUND IN EMAILS")</f>
        <v>supplier@gmail.com</v>
      </c>
      <c r="Q2173" t="str">
        <f ca="1">""&amp;IFERROR(VLOOKUP(O2173,EMAILS!B:D,3,FALSE),"NOT FOUND IN EMAILS")</f>
        <v/>
      </c>
      <c r="R2173" t="str">
        <f ca="1">""&amp;IFERROR(VLOOKUP(O2173,EMAILS!B:E,4,FALSE),"NO T FOUND IN EMAILS")</f>
        <v/>
      </c>
    </row>
    <row r="2174" spans="2:18" x14ac:dyDescent="0.25">
      <c r="B2174" s="5" t="s">
        <v>2176</v>
      </c>
      <c r="C2174" s="5" t="s">
        <v>6316</v>
      </c>
      <c r="D2174" s="5">
        <v>0</v>
      </c>
      <c r="E2174" s="5">
        <v>0</v>
      </c>
      <c r="F2174" s="5">
        <v>0</v>
      </c>
      <c r="G2174" s="5">
        <v>0</v>
      </c>
      <c r="H2174" s="5">
        <v>0</v>
      </c>
      <c r="I2174" s="5">
        <v>0</v>
      </c>
      <c r="J2174" s="5">
        <v>0</v>
      </c>
      <c r="K2174" s="5">
        <v>0</v>
      </c>
      <c r="L2174" s="5">
        <v>0</v>
      </c>
      <c r="M2174" s="5">
        <v>0</v>
      </c>
      <c r="N2174" s="5">
        <v>0</v>
      </c>
      <c r="O2174" s="5" t="str">
        <f t="shared" ca="1" si="33"/>
        <v>Supplier 111</v>
      </c>
      <c r="P2174" s="20" t="str">
        <f ca="1">IFERROR(VLOOKUP(O2174,EMAILS!B:C,2,FALSE),"NOT FOUND IN EMAILS")</f>
        <v>supplier@gmail.com</v>
      </c>
      <c r="Q2174" t="str">
        <f ca="1">""&amp;IFERROR(VLOOKUP(O2174,EMAILS!B:D,3,FALSE),"NOT FOUND IN EMAILS")</f>
        <v/>
      </c>
      <c r="R2174" t="str">
        <f ca="1">""&amp;IFERROR(VLOOKUP(O2174,EMAILS!B:E,4,FALSE),"NO T FOUND IN EMAILS")</f>
        <v/>
      </c>
    </row>
    <row r="2175" spans="2:18" x14ac:dyDescent="0.25">
      <c r="B2175" s="5" t="s">
        <v>2177</v>
      </c>
      <c r="C2175" s="5" t="s">
        <v>6317</v>
      </c>
      <c r="D2175" s="5">
        <v>0</v>
      </c>
      <c r="E2175" s="5">
        <v>0</v>
      </c>
      <c r="F2175" s="5">
        <v>0</v>
      </c>
      <c r="G2175" s="5">
        <v>0</v>
      </c>
      <c r="H2175" s="5">
        <v>0</v>
      </c>
      <c r="I2175" s="5">
        <v>0</v>
      </c>
      <c r="J2175" s="5">
        <v>0</v>
      </c>
      <c r="K2175" s="5">
        <v>0</v>
      </c>
      <c r="L2175" s="5">
        <v>0</v>
      </c>
      <c r="M2175" s="5">
        <v>0</v>
      </c>
      <c r="N2175" s="5">
        <v>0</v>
      </c>
      <c r="O2175" s="5" t="str">
        <f t="shared" ca="1" si="33"/>
        <v>Supplier 157</v>
      </c>
      <c r="P2175" s="20" t="str">
        <f ca="1">IFERROR(VLOOKUP(O2175,EMAILS!B:C,2,FALSE),"NOT FOUND IN EMAILS")</f>
        <v>supplier@gmail.com</v>
      </c>
      <c r="Q2175" t="str">
        <f ca="1">""&amp;IFERROR(VLOOKUP(O2175,EMAILS!B:D,3,FALSE),"NOT FOUND IN EMAILS")</f>
        <v/>
      </c>
      <c r="R2175" t="str">
        <f ca="1">""&amp;IFERROR(VLOOKUP(O2175,EMAILS!B:E,4,FALSE),"NO T FOUND IN EMAILS")</f>
        <v/>
      </c>
    </row>
    <row r="2176" spans="2:18" x14ac:dyDescent="0.25">
      <c r="B2176" s="5" t="s">
        <v>2178</v>
      </c>
      <c r="C2176" s="5" t="s">
        <v>6318</v>
      </c>
      <c r="D2176" s="5">
        <v>0</v>
      </c>
      <c r="E2176" s="5">
        <v>0</v>
      </c>
      <c r="F2176" s="5">
        <v>0</v>
      </c>
      <c r="G2176" s="5">
        <v>0</v>
      </c>
      <c r="H2176" s="5">
        <v>0</v>
      </c>
      <c r="I2176" s="5">
        <v>0</v>
      </c>
      <c r="J2176" s="5">
        <v>0</v>
      </c>
      <c r="K2176" s="5">
        <v>0</v>
      </c>
      <c r="L2176" s="5">
        <v>0</v>
      </c>
      <c r="M2176" s="5">
        <v>0</v>
      </c>
      <c r="N2176" s="5">
        <v>0</v>
      </c>
      <c r="O2176" s="5" t="str">
        <f t="shared" ca="1" si="33"/>
        <v>Supplier 20</v>
      </c>
      <c r="P2176" s="20" t="str">
        <f ca="1">IFERROR(VLOOKUP(O2176,EMAILS!B:C,2,FALSE),"NOT FOUND IN EMAILS")</f>
        <v>supplier@gmail.com</v>
      </c>
      <c r="Q2176" t="str">
        <f ca="1">""&amp;IFERROR(VLOOKUP(O2176,EMAILS!B:D,3,FALSE),"NOT FOUND IN EMAILS")</f>
        <v/>
      </c>
      <c r="R2176" t="str">
        <f ca="1">""&amp;IFERROR(VLOOKUP(O2176,EMAILS!B:E,4,FALSE),"NO T FOUND IN EMAILS")</f>
        <v/>
      </c>
    </row>
    <row r="2177" spans="2:18" x14ac:dyDescent="0.25">
      <c r="B2177" s="5" t="s">
        <v>2179</v>
      </c>
      <c r="C2177" s="5" t="s">
        <v>6319</v>
      </c>
      <c r="D2177" s="5">
        <v>0</v>
      </c>
      <c r="E2177" s="5">
        <v>0</v>
      </c>
      <c r="F2177" s="5">
        <v>0</v>
      </c>
      <c r="G2177" s="5">
        <v>0</v>
      </c>
      <c r="H2177" s="5">
        <v>0</v>
      </c>
      <c r="I2177" s="5">
        <v>0</v>
      </c>
      <c r="J2177" s="5">
        <v>0</v>
      </c>
      <c r="K2177" s="5">
        <v>0</v>
      </c>
      <c r="L2177" s="5">
        <v>0</v>
      </c>
      <c r="M2177" s="5">
        <v>0</v>
      </c>
      <c r="N2177" s="5">
        <v>0</v>
      </c>
      <c r="O2177" s="5" t="str">
        <f t="shared" ca="1" si="33"/>
        <v>Supplier 113</v>
      </c>
      <c r="P2177" s="20" t="str">
        <f ca="1">IFERROR(VLOOKUP(O2177,EMAILS!B:C,2,FALSE),"NOT FOUND IN EMAILS")</f>
        <v>supplier@gmail.com</v>
      </c>
      <c r="Q2177" t="str">
        <f ca="1">""&amp;IFERROR(VLOOKUP(O2177,EMAILS!B:D,3,FALSE),"NOT FOUND IN EMAILS")</f>
        <v/>
      </c>
      <c r="R2177" t="str">
        <f ca="1">""&amp;IFERROR(VLOOKUP(O2177,EMAILS!B:E,4,FALSE),"NO T FOUND IN EMAILS")</f>
        <v/>
      </c>
    </row>
    <row r="2178" spans="2:18" x14ac:dyDescent="0.25">
      <c r="B2178" s="5" t="s">
        <v>2180</v>
      </c>
      <c r="C2178" s="5" t="s">
        <v>6320</v>
      </c>
      <c r="D2178" s="5">
        <v>0</v>
      </c>
      <c r="E2178" s="5">
        <v>0</v>
      </c>
      <c r="F2178" s="5">
        <v>0</v>
      </c>
      <c r="G2178" s="5">
        <v>0</v>
      </c>
      <c r="H2178" s="5">
        <v>0</v>
      </c>
      <c r="I2178" s="5">
        <v>0</v>
      </c>
      <c r="J2178" s="5">
        <v>0</v>
      </c>
      <c r="K2178" s="5">
        <v>0</v>
      </c>
      <c r="L2178" s="5">
        <v>0</v>
      </c>
      <c r="M2178" s="5">
        <v>0</v>
      </c>
      <c r="N2178" s="5">
        <v>0</v>
      </c>
      <c r="O2178" s="5" t="str">
        <f t="shared" ca="1" si="33"/>
        <v>Supplier 16</v>
      </c>
      <c r="P2178" s="20" t="str">
        <f ca="1">IFERROR(VLOOKUP(O2178,EMAILS!B:C,2,FALSE),"NOT FOUND IN EMAILS")</f>
        <v>supplier@gmail.com</v>
      </c>
      <c r="Q2178" t="str">
        <f ca="1">""&amp;IFERROR(VLOOKUP(O2178,EMAILS!B:D,3,FALSE),"NOT FOUND IN EMAILS")</f>
        <v>supplier_logistics@gmail.com</v>
      </c>
      <c r="R2178" t="str">
        <f ca="1">""&amp;IFERROR(VLOOKUP(O2178,EMAILS!B:E,4,FALSE),"NO T FOUND IN EMAILS")</f>
        <v/>
      </c>
    </row>
    <row r="2179" spans="2:18" x14ac:dyDescent="0.25">
      <c r="B2179" s="5" t="s">
        <v>2181</v>
      </c>
      <c r="C2179" s="5" t="s">
        <v>6321</v>
      </c>
      <c r="D2179" s="5">
        <v>0</v>
      </c>
      <c r="E2179" s="5">
        <v>0</v>
      </c>
      <c r="F2179" s="5">
        <v>0</v>
      </c>
      <c r="G2179" s="5">
        <v>0</v>
      </c>
      <c r="H2179" s="5">
        <v>0</v>
      </c>
      <c r="I2179" s="5">
        <v>0</v>
      </c>
      <c r="J2179" s="5">
        <v>0</v>
      </c>
      <c r="K2179" s="5">
        <v>0</v>
      </c>
      <c r="L2179" s="5">
        <v>0</v>
      </c>
      <c r="M2179" s="5">
        <v>0</v>
      </c>
      <c r="N2179" s="5">
        <v>0</v>
      </c>
      <c r="O2179" s="5" t="str">
        <f t="shared" ref="O2179:O2242" ca="1" si="34">"Supplier "&amp;RANDBETWEEN(1,200)</f>
        <v>Supplier 160</v>
      </c>
      <c r="P2179" s="20" t="str">
        <f ca="1">IFERROR(VLOOKUP(O2179,EMAILS!B:C,2,FALSE),"NOT FOUND IN EMAILS")</f>
        <v>supplier@gmail.com</v>
      </c>
      <c r="Q2179" t="str">
        <f ca="1">""&amp;IFERROR(VLOOKUP(O2179,EMAILS!B:D,3,FALSE),"NOT FOUND IN EMAILS")</f>
        <v/>
      </c>
      <c r="R2179" t="str">
        <f ca="1">""&amp;IFERROR(VLOOKUP(O2179,EMAILS!B:E,4,FALSE),"NO T FOUND IN EMAILS")</f>
        <v/>
      </c>
    </row>
    <row r="2180" spans="2:18" x14ac:dyDescent="0.25">
      <c r="B2180" s="5" t="s">
        <v>2182</v>
      </c>
      <c r="C2180" s="5" t="s">
        <v>6322</v>
      </c>
      <c r="D2180" s="5">
        <v>0</v>
      </c>
      <c r="E2180" s="5">
        <v>0</v>
      </c>
      <c r="F2180" s="5">
        <v>0</v>
      </c>
      <c r="G2180" s="5">
        <v>0</v>
      </c>
      <c r="H2180" s="5">
        <v>0</v>
      </c>
      <c r="I2180" s="5">
        <v>0</v>
      </c>
      <c r="J2180" s="5">
        <v>0</v>
      </c>
      <c r="K2180" s="5">
        <v>0</v>
      </c>
      <c r="L2180" s="5">
        <v>0</v>
      </c>
      <c r="M2180" s="5">
        <v>0</v>
      </c>
      <c r="N2180" s="5">
        <v>473</v>
      </c>
      <c r="O2180" s="5" t="str">
        <f t="shared" ca="1" si="34"/>
        <v>Supplier 158</v>
      </c>
      <c r="P2180" s="20" t="str">
        <f ca="1">IFERROR(VLOOKUP(O2180,EMAILS!B:C,2,FALSE),"NOT FOUND IN EMAILS")</f>
        <v>supplier@gmail.com</v>
      </c>
      <c r="Q2180" t="str">
        <f ca="1">""&amp;IFERROR(VLOOKUP(O2180,EMAILS!B:D,3,FALSE),"NOT FOUND IN EMAILS")</f>
        <v/>
      </c>
      <c r="R2180" t="str">
        <f ca="1">""&amp;IFERROR(VLOOKUP(O2180,EMAILS!B:E,4,FALSE),"NO T FOUND IN EMAILS")</f>
        <v/>
      </c>
    </row>
    <row r="2181" spans="2:18" x14ac:dyDescent="0.25">
      <c r="B2181" s="5" t="s">
        <v>2183</v>
      </c>
      <c r="C2181" s="5" t="s">
        <v>6323</v>
      </c>
      <c r="D2181" s="5">
        <v>0</v>
      </c>
      <c r="E2181" s="5">
        <v>0</v>
      </c>
      <c r="F2181" s="5">
        <v>0</v>
      </c>
      <c r="G2181" s="5">
        <v>0</v>
      </c>
      <c r="H2181" s="5">
        <v>0</v>
      </c>
      <c r="I2181" s="5">
        <v>0</v>
      </c>
      <c r="J2181" s="5">
        <v>0</v>
      </c>
      <c r="K2181" s="5">
        <v>0</v>
      </c>
      <c r="L2181" s="5">
        <v>0</v>
      </c>
      <c r="M2181" s="5">
        <v>0</v>
      </c>
      <c r="N2181" s="5">
        <v>130</v>
      </c>
      <c r="O2181" s="5" t="str">
        <f t="shared" ca="1" si="34"/>
        <v>Supplier 105</v>
      </c>
      <c r="P2181" s="20" t="str">
        <f ca="1">IFERROR(VLOOKUP(O2181,EMAILS!B:C,2,FALSE),"NOT FOUND IN EMAILS")</f>
        <v>supplier@gmail.com</v>
      </c>
      <c r="Q2181" t="str">
        <f ca="1">""&amp;IFERROR(VLOOKUP(O2181,EMAILS!B:D,3,FALSE),"NOT FOUND IN EMAILS")</f>
        <v/>
      </c>
      <c r="R2181" t="str">
        <f ca="1">""&amp;IFERROR(VLOOKUP(O2181,EMAILS!B:E,4,FALSE),"NO T FOUND IN EMAILS")</f>
        <v/>
      </c>
    </row>
    <row r="2182" spans="2:18" x14ac:dyDescent="0.25">
      <c r="B2182" s="5" t="s">
        <v>2184</v>
      </c>
      <c r="C2182" s="5" t="s">
        <v>6324</v>
      </c>
      <c r="D2182" s="5">
        <v>0</v>
      </c>
      <c r="E2182" s="5">
        <v>0</v>
      </c>
      <c r="F2182" s="5">
        <v>0</v>
      </c>
      <c r="G2182" s="5">
        <v>0</v>
      </c>
      <c r="H2182" s="5">
        <v>0</v>
      </c>
      <c r="I2182" s="5">
        <v>0</v>
      </c>
      <c r="J2182" s="5">
        <v>0</v>
      </c>
      <c r="K2182" s="5">
        <v>0</v>
      </c>
      <c r="L2182" s="5">
        <v>0</v>
      </c>
      <c r="M2182" s="5">
        <v>0</v>
      </c>
      <c r="N2182" s="5">
        <v>228</v>
      </c>
      <c r="O2182" s="5" t="str">
        <f t="shared" ca="1" si="34"/>
        <v>Supplier 164</v>
      </c>
      <c r="P2182" s="20" t="str">
        <f ca="1">IFERROR(VLOOKUP(O2182,EMAILS!B:C,2,FALSE),"NOT FOUND IN EMAILS")</f>
        <v>supplier@gmail.com</v>
      </c>
      <c r="Q2182" t="str">
        <f ca="1">""&amp;IFERROR(VLOOKUP(O2182,EMAILS!B:D,3,FALSE),"NOT FOUND IN EMAILS")</f>
        <v/>
      </c>
      <c r="R2182" t="str">
        <f ca="1">""&amp;IFERROR(VLOOKUP(O2182,EMAILS!B:E,4,FALSE),"NO T FOUND IN EMAILS")</f>
        <v/>
      </c>
    </row>
    <row r="2183" spans="2:18" x14ac:dyDescent="0.25">
      <c r="B2183" s="5" t="s">
        <v>2185</v>
      </c>
      <c r="C2183" s="5" t="s">
        <v>6325</v>
      </c>
      <c r="D2183" s="5">
        <v>0</v>
      </c>
      <c r="E2183" s="5">
        <v>0</v>
      </c>
      <c r="F2183" s="5">
        <v>0</v>
      </c>
      <c r="G2183" s="5">
        <v>0</v>
      </c>
      <c r="H2183" s="5">
        <v>0</v>
      </c>
      <c r="I2183" s="5">
        <v>0</v>
      </c>
      <c r="J2183" s="5">
        <v>0</v>
      </c>
      <c r="K2183" s="5">
        <v>0</v>
      </c>
      <c r="L2183" s="5">
        <v>0</v>
      </c>
      <c r="M2183" s="5">
        <v>0</v>
      </c>
      <c r="N2183" s="5">
        <v>14</v>
      </c>
      <c r="O2183" s="5" t="str">
        <f t="shared" ca="1" si="34"/>
        <v>Supplier 51</v>
      </c>
      <c r="P2183" s="20" t="str">
        <f ca="1">IFERROR(VLOOKUP(O2183,EMAILS!B:C,2,FALSE),"NOT FOUND IN EMAILS")</f>
        <v>supplier@gmail.com</v>
      </c>
      <c r="Q2183" t="str">
        <f ca="1">""&amp;IFERROR(VLOOKUP(O2183,EMAILS!B:D,3,FALSE),"NOT FOUND IN EMAILS")</f>
        <v/>
      </c>
      <c r="R2183" t="str">
        <f ca="1">""&amp;IFERROR(VLOOKUP(O2183,EMAILS!B:E,4,FALSE),"NO T FOUND IN EMAILS")</f>
        <v/>
      </c>
    </row>
    <row r="2184" spans="2:18" x14ac:dyDescent="0.25">
      <c r="B2184" s="5" t="s">
        <v>2186</v>
      </c>
      <c r="C2184" s="5" t="s">
        <v>6326</v>
      </c>
      <c r="D2184" s="5">
        <v>3</v>
      </c>
      <c r="E2184" s="5">
        <v>1</v>
      </c>
      <c r="F2184" s="5">
        <v>3</v>
      </c>
      <c r="G2184" s="5">
        <v>2</v>
      </c>
      <c r="H2184" s="5">
        <v>4</v>
      </c>
      <c r="I2184" s="5">
        <v>1</v>
      </c>
      <c r="J2184" s="5">
        <v>1</v>
      </c>
      <c r="K2184" s="5">
        <v>1</v>
      </c>
      <c r="L2184" s="5">
        <v>2</v>
      </c>
      <c r="M2184" s="5">
        <v>0</v>
      </c>
      <c r="N2184" s="5">
        <v>0</v>
      </c>
      <c r="O2184" s="5" t="str">
        <f t="shared" ca="1" si="34"/>
        <v>Supplier 85</v>
      </c>
      <c r="P2184" s="20" t="str">
        <f ca="1">IFERROR(VLOOKUP(O2184,EMAILS!B:C,2,FALSE),"NOT FOUND IN EMAILS")</f>
        <v>supplier@gmail.com</v>
      </c>
      <c r="Q2184" t="str">
        <f ca="1">""&amp;IFERROR(VLOOKUP(O2184,EMAILS!B:D,3,FALSE),"NOT FOUND IN EMAILS")</f>
        <v/>
      </c>
      <c r="R2184" t="str">
        <f ca="1">""&amp;IFERROR(VLOOKUP(O2184,EMAILS!B:E,4,FALSE),"NO T FOUND IN EMAILS")</f>
        <v/>
      </c>
    </row>
    <row r="2185" spans="2:18" x14ac:dyDescent="0.25">
      <c r="B2185" s="5" t="s">
        <v>2187</v>
      </c>
      <c r="C2185" s="5" t="s">
        <v>6327</v>
      </c>
      <c r="D2185" s="5">
        <v>0</v>
      </c>
      <c r="E2185" s="5">
        <v>0</v>
      </c>
      <c r="F2185" s="5">
        <v>0</v>
      </c>
      <c r="G2185" s="5">
        <v>0</v>
      </c>
      <c r="H2185" s="5">
        <v>0</v>
      </c>
      <c r="I2185" s="5">
        <v>0</v>
      </c>
      <c r="J2185" s="5">
        <v>0</v>
      </c>
      <c r="K2185" s="5">
        <v>0</v>
      </c>
      <c r="L2185" s="5">
        <v>0</v>
      </c>
      <c r="M2185" s="5">
        <v>0</v>
      </c>
      <c r="N2185" s="5">
        <v>5</v>
      </c>
      <c r="O2185" s="5" t="str">
        <f t="shared" ca="1" si="34"/>
        <v>Supplier 180</v>
      </c>
      <c r="P2185" s="20" t="str">
        <f ca="1">IFERROR(VLOOKUP(O2185,EMAILS!B:C,2,FALSE),"NOT FOUND IN EMAILS")</f>
        <v>supplier@gmail.com</v>
      </c>
      <c r="Q2185" t="str">
        <f ca="1">""&amp;IFERROR(VLOOKUP(O2185,EMAILS!B:D,3,FALSE),"NOT FOUND IN EMAILS")</f>
        <v/>
      </c>
      <c r="R2185" t="str">
        <f ca="1">""&amp;IFERROR(VLOOKUP(O2185,EMAILS!B:E,4,FALSE),"NO T FOUND IN EMAILS")</f>
        <v/>
      </c>
    </row>
    <row r="2186" spans="2:18" x14ac:dyDescent="0.25">
      <c r="B2186" s="5" t="s">
        <v>2188</v>
      </c>
      <c r="C2186" s="5" t="s">
        <v>6328</v>
      </c>
      <c r="D2186" s="5">
        <v>0</v>
      </c>
      <c r="E2186" s="5">
        <v>0</v>
      </c>
      <c r="F2186" s="5">
        <v>0</v>
      </c>
      <c r="G2186" s="5">
        <v>0</v>
      </c>
      <c r="H2186" s="5">
        <v>0</v>
      </c>
      <c r="I2186" s="5">
        <v>0</v>
      </c>
      <c r="J2186" s="5">
        <v>0</v>
      </c>
      <c r="K2186" s="5">
        <v>0</v>
      </c>
      <c r="L2186" s="5">
        <v>0</v>
      </c>
      <c r="M2186" s="5">
        <v>0</v>
      </c>
      <c r="N2186" s="5">
        <v>0</v>
      </c>
      <c r="O2186" s="5" t="str">
        <f t="shared" ca="1" si="34"/>
        <v>Supplier 185</v>
      </c>
      <c r="P2186" s="20" t="str">
        <f ca="1">IFERROR(VLOOKUP(O2186,EMAILS!B:C,2,FALSE),"NOT FOUND IN EMAILS")</f>
        <v>supplier@gmail.com</v>
      </c>
      <c r="Q2186" t="str">
        <f ca="1">""&amp;IFERROR(VLOOKUP(O2186,EMAILS!B:D,3,FALSE),"NOT FOUND IN EMAILS")</f>
        <v/>
      </c>
      <c r="R2186" t="str">
        <f ca="1">""&amp;IFERROR(VLOOKUP(O2186,EMAILS!B:E,4,FALSE),"NO T FOUND IN EMAILS")</f>
        <v/>
      </c>
    </row>
    <row r="2187" spans="2:18" x14ac:dyDescent="0.25">
      <c r="B2187" s="5" t="s">
        <v>2189</v>
      </c>
      <c r="C2187" s="5" t="s">
        <v>6329</v>
      </c>
      <c r="D2187" s="5">
        <v>0</v>
      </c>
      <c r="E2187" s="5">
        <v>0</v>
      </c>
      <c r="F2187" s="5">
        <v>0</v>
      </c>
      <c r="G2187" s="5">
        <v>0</v>
      </c>
      <c r="H2187" s="5">
        <v>0</v>
      </c>
      <c r="I2187" s="5">
        <v>0</v>
      </c>
      <c r="J2187" s="5">
        <v>0</v>
      </c>
      <c r="K2187" s="5">
        <v>0</v>
      </c>
      <c r="L2187" s="5">
        <v>0</v>
      </c>
      <c r="M2187" s="5">
        <v>0</v>
      </c>
      <c r="N2187" s="5">
        <v>9500</v>
      </c>
      <c r="O2187" s="5" t="str">
        <f t="shared" ca="1" si="34"/>
        <v>Supplier 2</v>
      </c>
      <c r="P2187" s="20" t="str">
        <f ca="1">IFERROR(VLOOKUP(O2187,EMAILS!B:C,2,FALSE),"NOT FOUND IN EMAILS")</f>
        <v>supplier@gmail.com</v>
      </c>
      <c r="Q2187" t="str">
        <f ca="1">""&amp;IFERROR(VLOOKUP(O2187,EMAILS!B:D,3,FALSE),"NOT FOUND IN EMAILS")</f>
        <v>supplier_logistics@gmail.com</v>
      </c>
      <c r="R2187" t="str">
        <f ca="1">""&amp;IFERROR(VLOOKUP(O2187,EMAILS!B:E,4,FALSE),"NO T FOUND IN EMAILS")</f>
        <v/>
      </c>
    </row>
    <row r="2188" spans="2:18" x14ac:dyDescent="0.25">
      <c r="B2188" s="5" t="s">
        <v>2190</v>
      </c>
      <c r="C2188" s="5" t="s">
        <v>6330</v>
      </c>
      <c r="D2188" s="5">
        <v>0</v>
      </c>
      <c r="E2188" s="5">
        <v>0</v>
      </c>
      <c r="F2188" s="5">
        <v>0</v>
      </c>
      <c r="G2188" s="5">
        <v>400</v>
      </c>
      <c r="H2188" s="5">
        <v>0</v>
      </c>
      <c r="I2188" s="5">
        <v>0</v>
      </c>
      <c r="J2188" s="5">
        <v>400</v>
      </c>
      <c r="K2188" s="5">
        <v>0</v>
      </c>
      <c r="L2188" s="5">
        <v>0</v>
      </c>
      <c r="M2188" s="5">
        <v>0</v>
      </c>
      <c r="N2188" s="5">
        <v>0</v>
      </c>
      <c r="O2188" s="5" t="str">
        <f t="shared" ca="1" si="34"/>
        <v>Supplier 185</v>
      </c>
      <c r="P2188" s="20" t="str">
        <f ca="1">IFERROR(VLOOKUP(O2188,EMAILS!B:C,2,FALSE),"NOT FOUND IN EMAILS")</f>
        <v>supplier@gmail.com</v>
      </c>
      <c r="Q2188" t="str">
        <f ca="1">""&amp;IFERROR(VLOOKUP(O2188,EMAILS!B:D,3,FALSE),"NOT FOUND IN EMAILS")</f>
        <v/>
      </c>
      <c r="R2188" t="str">
        <f ca="1">""&amp;IFERROR(VLOOKUP(O2188,EMAILS!B:E,4,FALSE),"NO T FOUND IN EMAILS")</f>
        <v/>
      </c>
    </row>
    <row r="2189" spans="2:18" x14ac:dyDescent="0.25">
      <c r="B2189" s="5" t="s">
        <v>2191</v>
      </c>
      <c r="C2189" s="5" t="s">
        <v>6331</v>
      </c>
      <c r="D2189" s="5">
        <v>0</v>
      </c>
      <c r="E2189" s="5">
        <v>0</v>
      </c>
      <c r="F2189" s="5">
        <v>0</v>
      </c>
      <c r="G2189" s="5">
        <v>0</v>
      </c>
      <c r="H2189" s="5">
        <v>0</v>
      </c>
      <c r="I2189" s="5">
        <v>0</v>
      </c>
      <c r="J2189" s="5">
        <v>0</v>
      </c>
      <c r="K2189" s="5">
        <v>0</v>
      </c>
      <c r="L2189" s="5">
        <v>0</v>
      </c>
      <c r="M2189" s="5">
        <v>0</v>
      </c>
      <c r="N2189" s="5">
        <v>209</v>
      </c>
      <c r="O2189" s="5" t="str">
        <f t="shared" ca="1" si="34"/>
        <v>Supplier 136</v>
      </c>
      <c r="P2189" s="20" t="str">
        <f ca="1">IFERROR(VLOOKUP(O2189,EMAILS!B:C,2,FALSE),"NOT FOUND IN EMAILS")</f>
        <v>supplier@gmail.com</v>
      </c>
      <c r="Q2189" t="str">
        <f ca="1">""&amp;IFERROR(VLOOKUP(O2189,EMAILS!B:D,3,FALSE),"NOT FOUND IN EMAILS")</f>
        <v/>
      </c>
      <c r="R2189" t="str">
        <f ca="1">""&amp;IFERROR(VLOOKUP(O2189,EMAILS!B:E,4,FALSE),"NO T FOUND IN EMAILS")</f>
        <v/>
      </c>
    </row>
    <row r="2190" spans="2:18" x14ac:dyDescent="0.25">
      <c r="B2190" s="5" t="s">
        <v>2192</v>
      </c>
      <c r="C2190" s="5" t="s">
        <v>6332</v>
      </c>
      <c r="D2190" s="5">
        <v>38</v>
      </c>
      <c r="E2190" s="5">
        <v>31</v>
      </c>
      <c r="F2190" s="5">
        <v>43</v>
      </c>
      <c r="G2190" s="5">
        <v>43</v>
      </c>
      <c r="H2190" s="5">
        <v>15</v>
      </c>
      <c r="I2190" s="5">
        <v>22</v>
      </c>
      <c r="J2190" s="5">
        <v>20</v>
      </c>
      <c r="K2190" s="5">
        <v>21</v>
      </c>
      <c r="L2190" s="5">
        <v>16</v>
      </c>
      <c r="M2190" s="5">
        <v>0</v>
      </c>
      <c r="N2190" s="5">
        <v>187</v>
      </c>
      <c r="O2190" s="5" t="str">
        <f t="shared" ca="1" si="34"/>
        <v>Supplier 115</v>
      </c>
      <c r="P2190" s="20" t="str">
        <f ca="1">IFERROR(VLOOKUP(O2190,EMAILS!B:C,2,FALSE),"NOT FOUND IN EMAILS")</f>
        <v>supplier@gmail.com</v>
      </c>
      <c r="Q2190" t="str">
        <f ca="1">""&amp;IFERROR(VLOOKUP(O2190,EMAILS!B:D,3,FALSE),"NOT FOUND IN EMAILS")</f>
        <v/>
      </c>
      <c r="R2190" t="str">
        <f ca="1">""&amp;IFERROR(VLOOKUP(O2190,EMAILS!B:E,4,FALSE),"NO T FOUND IN EMAILS")</f>
        <v/>
      </c>
    </row>
    <row r="2191" spans="2:18" x14ac:dyDescent="0.25">
      <c r="B2191" s="5" t="s">
        <v>2193</v>
      </c>
      <c r="C2191" s="5" t="s">
        <v>6333</v>
      </c>
      <c r="D2191" s="5">
        <v>0</v>
      </c>
      <c r="E2191" s="5">
        <v>0</v>
      </c>
      <c r="F2191" s="5">
        <v>0</v>
      </c>
      <c r="G2191" s="5">
        <v>0</v>
      </c>
      <c r="H2191" s="5">
        <v>0</v>
      </c>
      <c r="I2191" s="5">
        <v>0</v>
      </c>
      <c r="J2191" s="5">
        <v>0</v>
      </c>
      <c r="K2191" s="5">
        <v>0</v>
      </c>
      <c r="L2191" s="5">
        <v>0</v>
      </c>
      <c r="M2191" s="5">
        <v>0</v>
      </c>
      <c r="N2191" s="5">
        <v>6</v>
      </c>
      <c r="O2191" s="5" t="str">
        <f t="shared" ca="1" si="34"/>
        <v>Supplier 189</v>
      </c>
      <c r="P2191" s="20" t="str">
        <f ca="1">IFERROR(VLOOKUP(O2191,EMAILS!B:C,2,FALSE),"NOT FOUND IN EMAILS")</f>
        <v>supplier@gmail.com</v>
      </c>
      <c r="Q2191" t="str">
        <f ca="1">""&amp;IFERROR(VLOOKUP(O2191,EMAILS!B:D,3,FALSE),"NOT FOUND IN EMAILS")</f>
        <v/>
      </c>
      <c r="R2191" t="str">
        <f ca="1">""&amp;IFERROR(VLOOKUP(O2191,EMAILS!B:E,4,FALSE),"NO T FOUND IN EMAILS")</f>
        <v/>
      </c>
    </row>
    <row r="2192" spans="2:18" x14ac:dyDescent="0.25">
      <c r="B2192" s="5" t="s">
        <v>2194</v>
      </c>
      <c r="C2192" s="5" t="s">
        <v>6334</v>
      </c>
      <c r="D2192" s="5">
        <v>0</v>
      </c>
      <c r="E2192" s="5">
        <v>0</v>
      </c>
      <c r="F2192" s="5">
        <v>0</v>
      </c>
      <c r="G2192" s="5">
        <v>0</v>
      </c>
      <c r="H2192" s="5">
        <v>0</v>
      </c>
      <c r="I2192" s="5">
        <v>0</v>
      </c>
      <c r="J2192" s="5">
        <v>0</v>
      </c>
      <c r="K2192" s="5">
        <v>0</v>
      </c>
      <c r="L2192" s="5">
        <v>0</v>
      </c>
      <c r="M2192" s="5">
        <v>0</v>
      </c>
      <c r="N2192" s="5">
        <v>147</v>
      </c>
      <c r="O2192" s="5" t="str">
        <f t="shared" ca="1" si="34"/>
        <v>Supplier 143</v>
      </c>
      <c r="P2192" s="20" t="str">
        <f ca="1">IFERROR(VLOOKUP(O2192,EMAILS!B:C,2,FALSE),"NOT FOUND IN EMAILS")</f>
        <v>supplier@gmail.com</v>
      </c>
      <c r="Q2192" t="str">
        <f ca="1">""&amp;IFERROR(VLOOKUP(O2192,EMAILS!B:D,3,FALSE),"NOT FOUND IN EMAILS")</f>
        <v/>
      </c>
      <c r="R2192" t="str">
        <f ca="1">""&amp;IFERROR(VLOOKUP(O2192,EMAILS!B:E,4,FALSE),"NO T FOUND IN EMAILS")</f>
        <v/>
      </c>
    </row>
    <row r="2193" spans="2:18" x14ac:dyDescent="0.25">
      <c r="B2193" s="5" t="s">
        <v>2195</v>
      </c>
      <c r="C2193" s="5" t="s">
        <v>6335</v>
      </c>
      <c r="D2193" s="5">
        <v>0</v>
      </c>
      <c r="E2193" s="5">
        <v>0</v>
      </c>
      <c r="F2193" s="5">
        <v>0</v>
      </c>
      <c r="G2193" s="5">
        <v>0</v>
      </c>
      <c r="H2193" s="5">
        <v>0</v>
      </c>
      <c r="I2193" s="5">
        <v>0</v>
      </c>
      <c r="J2193" s="5">
        <v>0</v>
      </c>
      <c r="K2193" s="5">
        <v>0</v>
      </c>
      <c r="L2193" s="5">
        <v>0</v>
      </c>
      <c r="M2193" s="5">
        <v>0</v>
      </c>
      <c r="N2193" s="5">
        <v>46</v>
      </c>
      <c r="O2193" s="5" t="str">
        <f t="shared" ca="1" si="34"/>
        <v>Supplier 130</v>
      </c>
      <c r="P2193" s="20" t="str">
        <f ca="1">IFERROR(VLOOKUP(O2193,EMAILS!B:C,2,FALSE),"NOT FOUND IN EMAILS")</f>
        <v>supplier@gmail.com</v>
      </c>
      <c r="Q2193" t="str">
        <f ca="1">""&amp;IFERROR(VLOOKUP(O2193,EMAILS!B:D,3,FALSE),"NOT FOUND IN EMAILS")</f>
        <v/>
      </c>
      <c r="R2193" t="str">
        <f ca="1">""&amp;IFERROR(VLOOKUP(O2193,EMAILS!B:E,4,FALSE),"NO T FOUND IN EMAILS")</f>
        <v/>
      </c>
    </row>
    <row r="2194" spans="2:18" x14ac:dyDescent="0.25">
      <c r="B2194" s="5" t="s">
        <v>2196</v>
      </c>
      <c r="C2194" s="5" t="s">
        <v>6336</v>
      </c>
      <c r="D2194" s="5">
        <v>0</v>
      </c>
      <c r="E2194" s="5">
        <v>0</v>
      </c>
      <c r="F2194" s="5">
        <v>0</v>
      </c>
      <c r="G2194" s="5">
        <v>0</v>
      </c>
      <c r="H2194" s="5">
        <v>0</v>
      </c>
      <c r="I2194" s="5">
        <v>0</v>
      </c>
      <c r="J2194" s="5">
        <v>0</v>
      </c>
      <c r="K2194" s="5">
        <v>0</v>
      </c>
      <c r="L2194" s="5">
        <v>0</v>
      </c>
      <c r="M2194" s="5">
        <v>0</v>
      </c>
      <c r="N2194" s="5">
        <v>37</v>
      </c>
      <c r="O2194" s="5" t="str">
        <f t="shared" ca="1" si="34"/>
        <v>Supplier 37</v>
      </c>
      <c r="P2194" s="20" t="str">
        <f ca="1">IFERROR(VLOOKUP(O2194,EMAILS!B:C,2,FALSE),"NOT FOUND IN EMAILS")</f>
        <v>supplier@gmail.com</v>
      </c>
      <c r="Q2194" t="str">
        <f ca="1">""&amp;IFERROR(VLOOKUP(O2194,EMAILS!B:D,3,FALSE),"NOT FOUND IN EMAILS")</f>
        <v/>
      </c>
      <c r="R2194" t="str">
        <f ca="1">""&amp;IFERROR(VLOOKUP(O2194,EMAILS!B:E,4,FALSE),"NO T FOUND IN EMAILS")</f>
        <v/>
      </c>
    </row>
    <row r="2195" spans="2:18" x14ac:dyDescent="0.25">
      <c r="B2195" s="5" t="s">
        <v>2197</v>
      </c>
      <c r="C2195" s="5" t="s">
        <v>6337</v>
      </c>
      <c r="D2195" s="5">
        <v>0</v>
      </c>
      <c r="E2195" s="5">
        <v>1</v>
      </c>
      <c r="F2195" s="5">
        <v>1</v>
      </c>
      <c r="G2195" s="5">
        <v>1</v>
      </c>
      <c r="H2195" s="5">
        <v>5</v>
      </c>
      <c r="I2195" s="5">
        <v>3</v>
      </c>
      <c r="J2195" s="5">
        <v>0</v>
      </c>
      <c r="K2195" s="5">
        <v>4</v>
      </c>
      <c r="L2195" s="5">
        <v>1</v>
      </c>
      <c r="M2195" s="5">
        <v>0</v>
      </c>
      <c r="N2195" s="5">
        <v>47</v>
      </c>
      <c r="O2195" s="5" t="str">
        <f t="shared" ca="1" si="34"/>
        <v>Supplier 99</v>
      </c>
      <c r="P2195" s="20" t="str">
        <f ca="1">IFERROR(VLOOKUP(O2195,EMAILS!B:C,2,FALSE),"NOT FOUND IN EMAILS")</f>
        <v>supplier@gmail.com</v>
      </c>
      <c r="Q2195" t="str">
        <f ca="1">""&amp;IFERROR(VLOOKUP(O2195,EMAILS!B:D,3,FALSE),"NOT FOUND IN EMAILS")</f>
        <v/>
      </c>
      <c r="R2195" t="str">
        <f ca="1">""&amp;IFERROR(VLOOKUP(O2195,EMAILS!B:E,4,FALSE),"NO T FOUND IN EMAILS")</f>
        <v/>
      </c>
    </row>
    <row r="2196" spans="2:18" x14ac:dyDescent="0.25">
      <c r="B2196" s="5" t="s">
        <v>2198</v>
      </c>
      <c r="C2196" s="5" t="s">
        <v>6338</v>
      </c>
      <c r="D2196" s="5">
        <v>0</v>
      </c>
      <c r="E2196" s="5">
        <v>2</v>
      </c>
      <c r="F2196" s="5">
        <v>2</v>
      </c>
      <c r="G2196" s="5">
        <v>2</v>
      </c>
      <c r="H2196" s="5">
        <v>0</v>
      </c>
      <c r="I2196" s="5">
        <v>1</v>
      </c>
      <c r="J2196" s="5">
        <v>0</v>
      </c>
      <c r="K2196" s="5">
        <v>1</v>
      </c>
      <c r="L2196" s="5">
        <v>0</v>
      </c>
      <c r="M2196" s="5">
        <v>0</v>
      </c>
      <c r="N2196" s="5">
        <v>500</v>
      </c>
      <c r="O2196" s="5" t="str">
        <f t="shared" ca="1" si="34"/>
        <v>Supplier 125</v>
      </c>
      <c r="P2196" s="20" t="str">
        <f ca="1">IFERROR(VLOOKUP(O2196,EMAILS!B:C,2,FALSE),"NOT FOUND IN EMAILS")</f>
        <v>supplier@gmail.com</v>
      </c>
      <c r="Q2196" t="str">
        <f ca="1">""&amp;IFERROR(VLOOKUP(O2196,EMAILS!B:D,3,FALSE),"NOT FOUND IN EMAILS")</f>
        <v/>
      </c>
      <c r="R2196" t="str">
        <f ca="1">""&amp;IFERROR(VLOOKUP(O2196,EMAILS!B:E,4,FALSE),"NO T FOUND IN EMAILS")</f>
        <v/>
      </c>
    </row>
    <row r="2197" spans="2:18" x14ac:dyDescent="0.25">
      <c r="B2197" s="5" t="s">
        <v>2199</v>
      </c>
      <c r="C2197" s="5" t="s">
        <v>6339</v>
      </c>
      <c r="D2197" s="5">
        <v>0</v>
      </c>
      <c r="E2197" s="5">
        <v>0</v>
      </c>
      <c r="F2197" s="5">
        <v>0</v>
      </c>
      <c r="G2197" s="5">
        <v>0</v>
      </c>
      <c r="H2197" s="5">
        <v>400</v>
      </c>
      <c r="I2197" s="5">
        <v>0</v>
      </c>
      <c r="J2197" s="5">
        <v>0</v>
      </c>
      <c r="K2197" s="5">
        <v>0</v>
      </c>
      <c r="L2197" s="5">
        <v>0</v>
      </c>
      <c r="M2197" s="5">
        <v>0</v>
      </c>
      <c r="N2197" s="5">
        <v>45</v>
      </c>
      <c r="O2197" s="5" t="str">
        <f t="shared" ca="1" si="34"/>
        <v>Supplier 140</v>
      </c>
      <c r="P2197" s="20" t="str">
        <f ca="1">IFERROR(VLOOKUP(O2197,EMAILS!B:C,2,FALSE),"NOT FOUND IN EMAILS")</f>
        <v>supplier@gmail.com</v>
      </c>
      <c r="Q2197" t="str">
        <f ca="1">""&amp;IFERROR(VLOOKUP(O2197,EMAILS!B:D,3,FALSE),"NOT FOUND IN EMAILS")</f>
        <v/>
      </c>
      <c r="R2197" t="str">
        <f ca="1">""&amp;IFERROR(VLOOKUP(O2197,EMAILS!B:E,4,FALSE),"NO T FOUND IN EMAILS")</f>
        <v/>
      </c>
    </row>
    <row r="2198" spans="2:18" x14ac:dyDescent="0.25">
      <c r="B2198" s="5" t="s">
        <v>2200</v>
      </c>
      <c r="C2198" s="5" t="s">
        <v>6340</v>
      </c>
      <c r="D2198" s="5">
        <v>42</v>
      </c>
      <c r="E2198" s="5">
        <v>42</v>
      </c>
      <c r="F2198" s="5">
        <v>21</v>
      </c>
      <c r="G2198" s="5">
        <v>84</v>
      </c>
      <c r="H2198" s="5">
        <v>36</v>
      </c>
      <c r="I2198" s="5">
        <v>30</v>
      </c>
      <c r="J2198" s="5">
        <v>24</v>
      </c>
      <c r="K2198" s="5">
        <v>18</v>
      </c>
      <c r="L2198" s="5">
        <v>24</v>
      </c>
      <c r="M2198" s="5">
        <v>0</v>
      </c>
      <c r="N2198" s="5">
        <v>31</v>
      </c>
      <c r="O2198" s="5" t="str">
        <f t="shared" ca="1" si="34"/>
        <v>Supplier 19</v>
      </c>
      <c r="P2198" s="20" t="str">
        <f ca="1">IFERROR(VLOOKUP(O2198,EMAILS!B:C,2,FALSE),"NOT FOUND IN EMAILS")</f>
        <v>supplier@gmail.com</v>
      </c>
      <c r="Q2198" t="str">
        <f ca="1">""&amp;IFERROR(VLOOKUP(O2198,EMAILS!B:D,3,FALSE),"NOT FOUND IN EMAILS")</f>
        <v>supplier_logistics@gmail.com</v>
      </c>
      <c r="R2198" t="str">
        <f ca="1">""&amp;IFERROR(VLOOKUP(O2198,EMAILS!B:E,4,FALSE),"NO T FOUND IN EMAILS")</f>
        <v/>
      </c>
    </row>
    <row r="2199" spans="2:18" x14ac:dyDescent="0.25">
      <c r="B2199" s="5" t="s">
        <v>2201</v>
      </c>
      <c r="C2199" s="5" t="s">
        <v>6341</v>
      </c>
      <c r="D2199" s="5">
        <v>2</v>
      </c>
      <c r="E2199" s="5">
        <v>4</v>
      </c>
      <c r="F2199" s="5">
        <v>9</v>
      </c>
      <c r="G2199" s="5">
        <v>9</v>
      </c>
      <c r="H2199" s="5">
        <v>9</v>
      </c>
      <c r="I2199" s="5">
        <v>10</v>
      </c>
      <c r="J2199" s="5">
        <v>15</v>
      </c>
      <c r="K2199" s="5">
        <v>9</v>
      </c>
      <c r="L2199" s="5">
        <v>9</v>
      </c>
      <c r="M2199" s="5">
        <v>0</v>
      </c>
      <c r="N2199" s="5">
        <v>19</v>
      </c>
      <c r="O2199" s="5" t="str">
        <f t="shared" ca="1" si="34"/>
        <v>Supplier 72</v>
      </c>
      <c r="P2199" s="20" t="str">
        <f ca="1">IFERROR(VLOOKUP(O2199,EMAILS!B:C,2,FALSE),"NOT FOUND IN EMAILS")</f>
        <v>supplier@gmail.com</v>
      </c>
      <c r="Q2199" t="str">
        <f ca="1">""&amp;IFERROR(VLOOKUP(O2199,EMAILS!B:D,3,FALSE),"NOT FOUND IN EMAILS")</f>
        <v/>
      </c>
      <c r="R2199" t="str">
        <f ca="1">""&amp;IFERROR(VLOOKUP(O2199,EMAILS!B:E,4,FALSE),"NO T FOUND IN EMAILS")</f>
        <v/>
      </c>
    </row>
    <row r="2200" spans="2:18" x14ac:dyDescent="0.25">
      <c r="B2200" s="5" t="s">
        <v>2202</v>
      </c>
      <c r="C2200" s="5" t="s">
        <v>6342</v>
      </c>
      <c r="D2200" s="5">
        <v>15</v>
      </c>
      <c r="E2200" s="5">
        <v>15</v>
      </c>
      <c r="F2200" s="5">
        <v>20</v>
      </c>
      <c r="G2200" s="5">
        <v>20</v>
      </c>
      <c r="H2200" s="5">
        <v>15</v>
      </c>
      <c r="I2200" s="5">
        <v>15</v>
      </c>
      <c r="J2200" s="5">
        <v>20</v>
      </c>
      <c r="K2200" s="5">
        <v>20</v>
      </c>
      <c r="L2200" s="5">
        <v>5</v>
      </c>
      <c r="M2200" s="5">
        <v>0</v>
      </c>
      <c r="N2200" s="5">
        <v>0</v>
      </c>
      <c r="O2200" s="5" t="str">
        <f t="shared" ca="1" si="34"/>
        <v>Supplier 13</v>
      </c>
      <c r="P2200" s="20" t="str">
        <f ca="1">IFERROR(VLOOKUP(O2200,EMAILS!B:C,2,FALSE),"NOT FOUND IN EMAILS")</f>
        <v>supplier@gmail.com</v>
      </c>
      <c r="Q2200" t="str">
        <f ca="1">""&amp;IFERROR(VLOOKUP(O2200,EMAILS!B:D,3,FALSE),"NOT FOUND IN EMAILS")</f>
        <v>supplier_logistics@gmail.com</v>
      </c>
      <c r="R2200" t="str">
        <f ca="1">""&amp;IFERROR(VLOOKUP(O2200,EMAILS!B:E,4,FALSE),"NO T FOUND IN EMAILS")</f>
        <v/>
      </c>
    </row>
    <row r="2201" spans="2:18" x14ac:dyDescent="0.25">
      <c r="B2201" s="5" t="s">
        <v>2203</v>
      </c>
      <c r="C2201" s="5" t="s">
        <v>6343</v>
      </c>
      <c r="D2201" s="5">
        <v>0</v>
      </c>
      <c r="E2201" s="5">
        <v>0</v>
      </c>
      <c r="F2201" s="5">
        <v>0</v>
      </c>
      <c r="G2201" s="5">
        <v>0</v>
      </c>
      <c r="H2201" s="5">
        <v>0</v>
      </c>
      <c r="I2201" s="5">
        <v>0</v>
      </c>
      <c r="J2201" s="5">
        <v>0</v>
      </c>
      <c r="K2201" s="5">
        <v>0</v>
      </c>
      <c r="L2201" s="5">
        <v>0</v>
      </c>
      <c r="M2201" s="5">
        <v>0</v>
      </c>
      <c r="N2201" s="5">
        <v>0</v>
      </c>
      <c r="O2201" s="5" t="str">
        <f t="shared" ca="1" si="34"/>
        <v>Supplier 62</v>
      </c>
      <c r="P2201" s="20" t="str">
        <f ca="1">IFERROR(VLOOKUP(O2201,EMAILS!B:C,2,FALSE),"NOT FOUND IN EMAILS")</f>
        <v>supplier@gmail.com</v>
      </c>
      <c r="Q2201" t="str">
        <f ca="1">""&amp;IFERROR(VLOOKUP(O2201,EMAILS!B:D,3,FALSE),"NOT FOUND IN EMAILS")</f>
        <v/>
      </c>
      <c r="R2201" t="str">
        <f ca="1">""&amp;IFERROR(VLOOKUP(O2201,EMAILS!B:E,4,FALSE),"NO T FOUND IN EMAILS")</f>
        <v/>
      </c>
    </row>
    <row r="2202" spans="2:18" x14ac:dyDescent="0.25">
      <c r="B2202" s="5" t="s">
        <v>2204</v>
      </c>
      <c r="C2202" s="5" t="s">
        <v>6344</v>
      </c>
      <c r="D2202" s="5">
        <v>2</v>
      </c>
      <c r="E2202" s="5">
        <v>0</v>
      </c>
      <c r="F2202" s="5">
        <v>0</v>
      </c>
      <c r="G2202" s="5">
        <v>0</v>
      </c>
      <c r="H2202" s="5">
        <v>0</v>
      </c>
      <c r="I2202" s="5">
        <v>0</v>
      </c>
      <c r="J2202" s="5">
        <v>0</v>
      </c>
      <c r="K2202" s="5">
        <v>0</v>
      </c>
      <c r="L2202" s="5">
        <v>0</v>
      </c>
      <c r="M2202" s="5">
        <v>0</v>
      </c>
      <c r="N2202" s="5">
        <v>31</v>
      </c>
      <c r="O2202" s="5" t="str">
        <f t="shared" ca="1" si="34"/>
        <v>Supplier 110</v>
      </c>
      <c r="P2202" s="20" t="str">
        <f ca="1">IFERROR(VLOOKUP(O2202,EMAILS!B:C,2,FALSE),"NOT FOUND IN EMAILS")</f>
        <v>supplier@gmail.com</v>
      </c>
      <c r="Q2202" t="str">
        <f ca="1">""&amp;IFERROR(VLOOKUP(O2202,EMAILS!B:D,3,FALSE),"NOT FOUND IN EMAILS")</f>
        <v/>
      </c>
      <c r="R2202" t="str">
        <f ca="1">""&amp;IFERROR(VLOOKUP(O2202,EMAILS!B:E,4,FALSE),"NO T FOUND IN EMAILS")</f>
        <v/>
      </c>
    </row>
    <row r="2203" spans="2:18" x14ac:dyDescent="0.25">
      <c r="B2203" s="5" t="s">
        <v>2205</v>
      </c>
      <c r="C2203" s="5" t="s">
        <v>6345</v>
      </c>
      <c r="D2203" s="5">
        <v>10</v>
      </c>
      <c r="E2203" s="5">
        <v>0</v>
      </c>
      <c r="F2203" s="5">
        <v>0</v>
      </c>
      <c r="G2203" s="5">
        <v>10</v>
      </c>
      <c r="H2203" s="5">
        <v>10</v>
      </c>
      <c r="I2203" s="5">
        <v>0</v>
      </c>
      <c r="J2203" s="5">
        <v>0</v>
      </c>
      <c r="K2203" s="5">
        <v>0</v>
      </c>
      <c r="L2203" s="5">
        <v>0</v>
      </c>
      <c r="M2203" s="5">
        <v>0</v>
      </c>
      <c r="N2203" s="5">
        <v>24</v>
      </c>
      <c r="O2203" s="5" t="str">
        <f t="shared" ca="1" si="34"/>
        <v>Supplier 24</v>
      </c>
      <c r="P2203" s="20" t="str">
        <f ca="1">IFERROR(VLOOKUP(O2203,EMAILS!B:C,2,FALSE),"NOT FOUND IN EMAILS")</f>
        <v>supplier@gmail.com</v>
      </c>
      <c r="Q2203" t="str">
        <f ca="1">""&amp;IFERROR(VLOOKUP(O2203,EMAILS!B:D,3,FALSE),"NOT FOUND IN EMAILS")</f>
        <v/>
      </c>
      <c r="R2203" t="str">
        <f ca="1">""&amp;IFERROR(VLOOKUP(O2203,EMAILS!B:E,4,FALSE),"NO T FOUND IN EMAILS")</f>
        <v/>
      </c>
    </row>
    <row r="2204" spans="2:18" x14ac:dyDescent="0.25">
      <c r="B2204" s="5" t="s">
        <v>2206</v>
      </c>
      <c r="C2204" s="5" t="s">
        <v>6346</v>
      </c>
      <c r="D2204" s="5">
        <v>2</v>
      </c>
      <c r="E2204" s="5">
        <v>0</v>
      </c>
      <c r="F2204" s="5">
        <v>0</v>
      </c>
      <c r="G2204" s="5">
        <v>0</v>
      </c>
      <c r="H2204" s="5">
        <v>0</v>
      </c>
      <c r="I2204" s="5">
        <v>0</v>
      </c>
      <c r="J2204" s="5">
        <v>0</v>
      </c>
      <c r="K2204" s="5">
        <v>0</v>
      </c>
      <c r="L2204" s="5">
        <v>0</v>
      </c>
      <c r="M2204" s="5">
        <v>0</v>
      </c>
      <c r="N2204" s="5">
        <v>560</v>
      </c>
      <c r="O2204" s="5" t="str">
        <f t="shared" ca="1" si="34"/>
        <v>Supplier 36</v>
      </c>
      <c r="P2204" s="20" t="str">
        <f ca="1">IFERROR(VLOOKUP(O2204,EMAILS!B:C,2,FALSE),"NOT FOUND IN EMAILS")</f>
        <v>supplier@gmail.com</v>
      </c>
      <c r="Q2204" t="str">
        <f ca="1">""&amp;IFERROR(VLOOKUP(O2204,EMAILS!B:D,3,FALSE),"NOT FOUND IN EMAILS")</f>
        <v/>
      </c>
      <c r="R2204" t="str">
        <f ca="1">""&amp;IFERROR(VLOOKUP(O2204,EMAILS!B:E,4,FALSE),"NO T FOUND IN EMAILS")</f>
        <v/>
      </c>
    </row>
    <row r="2205" spans="2:18" x14ac:dyDescent="0.25">
      <c r="B2205" s="5" t="s">
        <v>2207</v>
      </c>
      <c r="C2205" s="5" t="s">
        <v>6347</v>
      </c>
      <c r="D2205" s="5">
        <v>2</v>
      </c>
      <c r="E2205" s="5">
        <v>0</v>
      </c>
      <c r="F2205" s="5">
        <v>0</v>
      </c>
      <c r="G2205" s="5">
        <v>0</v>
      </c>
      <c r="H2205" s="5">
        <v>0</v>
      </c>
      <c r="I2205" s="5">
        <v>0</v>
      </c>
      <c r="J2205" s="5">
        <v>0</v>
      </c>
      <c r="K2205" s="5">
        <v>0</v>
      </c>
      <c r="L2205" s="5">
        <v>0</v>
      </c>
      <c r="M2205" s="5">
        <v>0</v>
      </c>
      <c r="N2205" s="5">
        <v>330</v>
      </c>
      <c r="O2205" s="5" t="str">
        <f t="shared" ca="1" si="34"/>
        <v>Supplier 98</v>
      </c>
      <c r="P2205" s="20" t="str">
        <f ca="1">IFERROR(VLOOKUP(O2205,EMAILS!B:C,2,FALSE),"NOT FOUND IN EMAILS")</f>
        <v>supplier@gmail.com</v>
      </c>
      <c r="Q2205" t="str">
        <f ca="1">""&amp;IFERROR(VLOOKUP(O2205,EMAILS!B:D,3,FALSE),"NOT FOUND IN EMAILS")</f>
        <v/>
      </c>
      <c r="R2205" t="str">
        <f ca="1">""&amp;IFERROR(VLOOKUP(O2205,EMAILS!B:E,4,FALSE),"NO T FOUND IN EMAILS")</f>
        <v/>
      </c>
    </row>
    <row r="2206" spans="2:18" x14ac:dyDescent="0.25">
      <c r="B2206" s="5" t="s">
        <v>2208</v>
      </c>
      <c r="C2206" s="5" t="s">
        <v>6348</v>
      </c>
      <c r="D2206" s="5">
        <v>1</v>
      </c>
      <c r="E2206" s="5">
        <v>0</v>
      </c>
      <c r="F2206" s="5">
        <v>0</v>
      </c>
      <c r="G2206" s="5">
        <v>0</v>
      </c>
      <c r="H2206" s="5">
        <v>0</v>
      </c>
      <c r="I2206" s="5">
        <v>0</v>
      </c>
      <c r="J2206" s="5">
        <v>0</v>
      </c>
      <c r="K2206" s="5">
        <v>0</v>
      </c>
      <c r="L2206" s="5">
        <v>0</v>
      </c>
      <c r="M2206" s="5">
        <v>0</v>
      </c>
      <c r="N2206" s="5">
        <v>0</v>
      </c>
      <c r="O2206" s="5" t="str">
        <f t="shared" ca="1" si="34"/>
        <v>Supplier 90</v>
      </c>
      <c r="P2206" s="20" t="str">
        <f ca="1">IFERROR(VLOOKUP(O2206,EMAILS!B:C,2,FALSE),"NOT FOUND IN EMAILS")</f>
        <v>supplier@gmail.com</v>
      </c>
      <c r="Q2206" t="str">
        <f ca="1">""&amp;IFERROR(VLOOKUP(O2206,EMAILS!B:D,3,FALSE),"NOT FOUND IN EMAILS")</f>
        <v/>
      </c>
      <c r="R2206" t="str">
        <f ca="1">""&amp;IFERROR(VLOOKUP(O2206,EMAILS!B:E,4,FALSE),"NO T FOUND IN EMAILS")</f>
        <v/>
      </c>
    </row>
    <row r="2207" spans="2:18" x14ac:dyDescent="0.25">
      <c r="B2207" s="5" t="s">
        <v>2209</v>
      </c>
      <c r="C2207" s="5" t="s">
        <v>6349</v>
      </c>
      <c r="D2207" s="5">
        <v>2</v>
      </c>
      <c r="E2207" s="5">
        <v>0</v>
      </c>
      <c r="F2207" s="5">
        <v>0</v>
      </c>
      <c r="G2207" s="5">
        <v>0</v>
      </c>
      <c r="H2207" s="5">
        <v>0</v>
      </c>
      <c r="I2207" s="5">
        <v>0</v>
      </c>
      <c r="J2207" s="5">
        <v>0</v>
      </c>
      <c r="K2207" s="5">
        <v>0</v>
      </c>
      <c r="L2207" s="5">
        <v>0</v>
      </c>
      <c r="M2207" s="5">
        <v>0</v>
      </c>
      <c r="N2207" s="5">
        <v>316</v>
      </c>
      <c r="O2207" s="5" t="str">
        <f t="shared" ca="1" si="34"/>
        <v>Supplier 178</v>
      </c>
      <c r="P2207" s="20" t="str">
        <f ca="1">IFERROR(VLOOKUP(O2207,EMAILS!B:C,2,FALSE),"NOT FOUND IN EMAILS")</f>
        <v>supplier@gmail.com</v>
      </c>
      <c r="Q2207" t="str">
        <f ca="1">""&amp;IFERROR(VLOOKUP(O2207,EMAILS!B:D,3,FALSE),"NOT FOUND IN EMAILS")</f>
        <v/>
      </c>
      <c r="R2207" t="str">
        <f ca="1">""&amp;IFERROR(VLOOKUP(O2207,EMAILS!B:E,4,FALSE),"NO T FOUND IN EMAILS")</f>
        <v/>
      </c>
    </row>
    <row r="2208" spans="2:18" x14ac:dyDescent="0.25">
      <c r="B2208" s="5" t="s">
        <v>2210</v>
      </c>
      <c r="C2208" s="5" t="s">
        <v>6350</v>
      </c>
      <c r="D2208" s="5">
        <v>1</v>
      </c>
      <c r="E2208" s="5">
        <v>0</v>
      </c>
      <c r="F2208" s="5">
        <v>0</v>
      </c>
      <c r="G2208" s="5">
        <v>0</v>
      </c>
      <c r="H2208" s="5">
        <v>0</v>
      </c>
      <c r="I2208" s="5">
        <v>0</v>
      </c>
      <c r="J2208" s="5">
        <v>0</v>
      </c>
      <c r="K2208" s="5">
        <v>0</v>
      </c>
      <c r="L2208" s="5">
        <v>0</v>
      </c>
      <c r="M2208" s="5">
        <v>0</v>
      </c>
      <c r="N2208" s="5">
        <v>0</v>
      </c>
      <c r="O2208" s="5" t="str">
        <f t="shared" ca="1" si="34"/>
        <v>Supplier 103</v>
      </c>
      <c r="P2208" s="20" t="str">
        <f ca="1">IFERROR(VLOOKUP(O2208,EMAILS!B:C,2,FALSE),"NOT FOUND IN EMAILS")</f>
        <v>supplier@gmail.com</v>
      </c>
      <c r="Q2208" t="str">
        <f ca="1">""&amp;IFERROR(VLOOKUP(O2208,EMAILS!B:D,3,FALSE),"NOT FOUND IN EMAILS")</f>
        <v/>
      </c>
      <c r="R2208" t="str">
        <f ca="1">""&amp;IFERROR(VLOOKUP(O2208,EMAILS!B:E,4,FALSE),"NO T FOUND IN EMAILS")</f>
        <v/>
      </c>
    </row>
    <row r="2209" spans="2:18" x14ac:dyDescent="0.25">
      <c r="B2209" s="5" t="s">
        <v>2211</v>
      </c>
      <c r="C2209" s="5" t="s">
        <v>6351</v>
      </c>
      <c r="D2209" s="5">
        <v>2</v>
      </c>
      <c r="E2209" s="5">
        <v>0</v>
      </c>
      <c r="F2209" s="5">
        <v>0</v>
      </c>
      <c r="G2209" s="5">
        <v>0</v>
      </c>
      <c r="H2209" s="5">
        <v>0</v>
      </c>
      <c r="I2209" s="5">
        <v>0</v>
      </c>
      <c r="J2209" s="5">
        <v>0</v>
      </c>
      <c r="K2209" s="5">
        <v>0</v>
      </c>
      <c r="L2209" s="5">
        <v>0</v>
      </c>
      <c r="M2209" s="5">
        <v>0</v>
      </c>
      <c r="N2209" s="5">
        <v>76</v>
      </c>
      <c r="O2209" s="5" t="str">
        <f t="shared" ca="1" si="34"/>
        <v>Supplier 167</v>
      </c>
      <c r="P2209" s="20" t="str">
        <f ca="1">IFERROR(VLOOKUP(O2209,EMAILS!B:C,2,FALSE),"NOT FOUND IN EMAILS")</f>
        <v>supplier@gmail.com</v>
      </c>
      <c r="Q2209" t="str">
        <f ca="1">""&amp;IFERROR(VLOOKUP(O2209,EMAILS!B:D,3,FALSE),"NOT FOUND IN EMAILS")</f>
        <v/>
      </c>
      <c r="R2209" t="str">
        <f ca="1">""&amp;IFERROR(VLOOKUP(O2209,EMAILS!B:E,4,FALSE),"NO T FOUND IN EMAILS")</f>
        <v/>
      </c>
    </row>
    <row r="2210" spans="2:18" x14ac:dyDescent="0.25">
      <c r="B2210" s="5" t="s">
        <v>2212</v>
      </c>
      <c r="C2210" s="5" t="s">
        <v>6352</v>
      </c>
      <c r="D2210" s="5">
        <v>20</v>
      </c>
      <c r="E2210" s="5">
        <v>0</v>
      </c>
      <c r="F2210" s="5">
        <v>0</v>
      </c>
      <c r="G2210" s="5">
        <v>20</v>
      </c>
      <c r="H2210" s="5">
        <v>20</v>
      </c>
      <c r="I2210" s="5">
        <v>0</v>
      </c>
      <c r="J2210" s="5">
        <v>0</v>
      </c>
      <c r="K2210" s="5">
        <v>0</v>
      </c>
      <c r="L2210" s="5">
        <v>0</v>
      </c>
      <c r="M2210" s="5">
        <v>0</v>
      </c>
      <c r="N2210" s="5">
        <v>0</v>
      </c>
      <c r="O2210" s="5" t="str">
        <f t="shared" ca="1" si="34"/>
        <v>Supplier 187</v>
      </c>
      <c r="P2210" s="20" t="str">
        <f ca="1">IFERROR(VLOOKUP(O2210,EMAILS!B:C,2,FALSE),"NOT FOUND IN EMAILS")</f>
        <v>supplier@gmail.com</v>
      </c>
      <c r="Q2210" t="str">
        <f ca="1">""&amp;IFERROR(VLOOKUP(O2210,EMAILS!B:D,3,FALSE),"NOT FOUND IN EMAILS")</f>
        <v/>
      </c>
      <c r="R2210" t="str">
        <f ca="1">""&amp;IFERROR(VLOOKUP(O2210,EMAILS!B:E,4,FALSE),"NO T FOUND IN EMAILS")</f>
        <v/>
      </c>
    </row>
    <row r="2211" spans="2:18" x14ac:dyDescent="0.25">
      <c r="B2211" s="5" t="s">
        <v>2213</v>
      </c>
      <c r="C2211" s="5" t="s">
        <v>6353</v>
      </c>
      <c r="D2211" s="5">
        <v>0</v>
      </c>
      <c r="E2211" s="5">
        <v>0</v>
      </c>
      <c r="F2211" s="5">
        <v>0</v>
      </c>
      <c r="G2211" s="5">
        <v>0</v>
      </c>
      <c r="H2211" s="5">
        <v>0</v>
      </c>
      <c r="I2211" s="5">
        <v>0</v>
      </c>
      <c r="J2211" s="5">
        <v>0</v>
      </c>
      <c r="K2211" s="5">
        <v>0</v>
      </c>
      <c r="L2211" s="5">
        <v>0</v>
      </c>
      <c r="M2211" s="5">
        <v>0</v>
      </c>
      <c r="N2211" s="5">
        <v>97</v>
      </c>
      <c r="O2211" s="5" t="str">
        <f t="shared" ca="1" si="34"/>
        <v>Supplier 18</v>
      </c>
      <c r="P2211" s="20" t="str">
        <f ca="1">IFERROR(VLOOKUP(O2211,EMAILS!B:C,2,FALSE),"NOT FOUND IN EMAILS")</f>
        <v>supplier@gmail.com</v>
      </c>
      <c r="Q2211" t="str">
        <f ca="1">""&amp;IFERROR(VLOOKUP(O2211,EMAILS!B:D,3,FALSE),"NOT FOUND IN EMAILS")</f>
        <v>supplier_logistics@gmail.com</v>
      </c>
      <c r="R2211" t="str">
        <f ca="1">""&amp;IFERROR(VLOOKUP(O2211,EMAILS!B:E,4,FALSE),"NO T FOUND IN EMAILS")</f>
        <v/>
      </c>
    </row>
    <row r="2212" spans="2:18" x14ac:dyDescent="0.25">
      <c r="B2212" s="5" t="s">
        <v>2214</v>
      </c>
      <c r="C2212" s="5" t="s">
        <v>6354</v>
      </c>
      <c r="D2212" s="5">
        <v>10</v>
      </c>
      <c r="E2212" s="5">
        <v>0</v>
      </c>
      <c r="F2212" s="5">
        <v>0</v>
      </c>
      <c r="G2212" s="5">
        <v>10</v>
      </c>
      <c r="H2212" s="5">
        <v>10</v>
      </c>
      <c r="I2212" s="5">
        <v>0</v>
      </c>
      <c r="J2212" s="5">
        <v>0</v>
      </c>
      <c r="K2212" s="5">
        <v>0</v>
      </c>
      <c r="L2212" s="5">
        <v>0</v>
      </c>
      <c r="M2212" s="5">
        <v>0</v>
      </c>
      <c r="N2212" s="5">
        <v>0</v>
      </c>
      <c r="O2212" s="5" t="str">
        <f t="shared" ca="1" si="34"/>
        <v>Supplier 127</v>
      </c>
      <c r="P2212" s="20" t="str">
        <f ca="1">IFERROR(VLOOKUP(O2212,EMAILS!B:C,2,FALSE),"NOT FOUND IN EMAILS")</f>
        <v>supplier@gmail.com</v>
      </c>
      <c r="Q2212" t="str">
        <f ca="1">""&amp;IFERROR(VLOOKUP(O2212,EMAILS!B:D,3,FALSE),"NOT FOUND IN EMAILS")</f>
        <v/>
      </c>
      <c r="R2212" t="str">
        <f ca="1">""&amp;IFERROR(VLOOKUP(O2212,EMAILS!B:E,4,FALSE),"NO T FOUND IN EMAILS")</f>
        <v/>
      </c>
    </row>
    <row r="2213" spans="2:18" x14ac:dyDescent="0.25">
      <c r="B2213" s="5" t="s">
        <v>2215</v>
      </c>
      <c r="C2213" s="5" t="s">
        <v>6355</v>
      </c>
      <c r="D2213" s="5">
        <v>0</v>
      </c>
      <c r="E2213" s="5">
        <v>0</v>
      </c>
      <c r="F2213" s="5">
        <v>0</v>
      </c>
      <c r="G2213" s="5">
        <v>0</v>
      </c>
      <c r="H2213" s="5">
        <v>0</v>
      </c>
      <c r="I2213" s="5">
        <v>0</v>
      </c>
      <c r="J2213" s="5">
        <v>0</v>
      </c>
      <c r="K2213" s="5">
        <v>0</v>
      </c>
      <c r="L2213" s="5">
        <v>0</v>
      </c>
      <c r="M2213" s="5">
        <v>0</v>
      </c>
      <c r="N2213" s="5">
        <v>2000</v>
      </c>
      <c r="O2213" s="5" t="str">
        <f t="shared" ca="1" si="34"/>
        <v>Supplier 70</v>
      </c>
      <c r="P2213" s="20" t="str">
        <f ca="1">IFERROR(VLOOKUP(O2213,EMAILS!B:C,2,FALSE),"NOT FOUND IN EMAILS")</f>
        <v>supplier@gmail.com</v>
      </c>
      <c r="Q2213" t="str">
        <f ca="1">""&amp;IFERROR(VLOOKUP(O2213,EMAILS!B:D,3,FALSE),"NOT FOUND IN EMAILS")</f>
        <v/>
      </c>
      <c r="R2213" t="str">
        <f ca="1">""&amp;IFERROR(VLOOKUP(O2213,EMAILS!B:E,4,FALSE),"NO T FOUND IN EMAILS")</f>
        <v/>
      </c>
    </row>
    <row r="2214" spans="2:18" x14ac:dyDescent="0.25">
      <c r="B2214" s="5" t="s">
        <v>2216</v>
      </c>
      <c r="C2214" s="5" t="s">
        <v>6356</v>
      </c>
      <c r="D2214" s="5">
        <v>610</v>
      </c>
      <c r="E2214" s="5">
        <v>660</v>
      </c>
      <c r="F2214" s="5">
        <v>699</v>
      </c>
      <c r="G2214" s="5">
        <v>534</v>
      </c>
      <c r="H2214" s="5">
        <v>472</v>
      </c>
      <c r="I2214" s="5">
        <v>366</v>
      </c>
      <c r="J2214" s="5">
        <v>364</v>
      </c>
      <c r="K2214" s="5">
        <v>464</v>
      </c>
      <c r="L2214" s="5">
        <v>364</v>
      </c>
      <c r="M2214" s="5">
        <v>0</v>
      </c>
      <c r="N2214" s="5">
        <v>2982</v>
      </c>
      <c r="O2214" s="5" t="str">
        <f t="shared" ca="1" si="34"/>
        <v>Supplier 11</v>
      </c>
      <c r="P2214" s="20" t="str">
        <f ca="1">IFERROR(VLOOKUP(O2214,EMAILS!B:C,2,FALSE),"NOT FOUND IN EMAILS")</f>
        <v>supplier@gmail.com</v>
      </c>
      <c r="Q2214" t="str">
        <f ca="1">""&amp;IFERROR(VLOOKUP(O2214,EMAILS!B:D,3,FALSE),"NOT FOUND IN EMAILS")</f>
        <v>supplier_logistics@gmail.com</v>
      </c>
      <c r="R2214" t="str">
        <f ca="1">""&amp;IFERROR(VLOOKUP(O2214,EMAILS!B:E,4,FALSE),"NO T FOUND IN EMAILS")</f>
        <v/>
      </c>
    </row>
    <row r="2215" spans="2:18" x14ac:dyDescent="0.25">
      <c r="B2215" s="5" t="s">
        <v>2217</v>
      </c>
      <c r="C2215" s="5" t="s">
        <v>6357</v>
      </c>
      <c r="D2215" s="5">
        <v>610</v>
      </c>
      <c r="E2215" s="5">
        <v>660</v>
      </c>
      <c r="F2215" s="5">
        <v>699</v>
      </c>
      <c r="G2215" s="5">
        <v>534</v>
      </c>
      <c r="H2215" s="5">
        <v>472</v>
      </c>
      <c r="I2215" s="5">
        <v>366</v>
      </c>
      <c r="J2215" s="5">
        <v>364</v>
      </c>
      <c r="K2215" s="5">
        <v>464</v>
      </c>
      <c r="L2215" s="5">
        <v>364</v>
      </c>
      <c r="M2215" s="5">
        <v>0</v>
      </c>
      <c r="N2215" s="5">
        <v>100</v>
      </c>
      <c r="O2215" s="5" t="str">
        <f t="shared" ca="1" si="34"/>
        <v>Supplier 37</v>
      </c>
      <c r="P2215" s="20" t="str">
        <f ca="1">IFERROR(VLOOKUP(O2215,EMAILS!B:C,2,FALSE),"NOT FOUND IN EMAILS")</f>
        <v>supplier@gmail.com</v>
      </c>
      <c r="Q2215" t="str">
        <f ca="1">""&amp;IFERROR(VLOOKUP(O2215,EMAILS!B:D,3,FALSE),"NOT FOUND IN EMAILS")</f>
        <v/>
      </c>
      <c r="R2215" t="str">
        <f ca="1">""&amp;IFERROR(VLOOKUP(O2215,EMAILS!B:E,4,FALSE),"NO T FOUND IN EMAILS")</f>
        <v/>
      </c>
    </row>
    <row r="2216" spans="2:18" x14ac:dyDescent="0.25">
      <c r="B2216" s="5" t="s">
        <v>2218</v>
      </c>
      <c r="C2216" s="5" t="s">
        <v>6358</v>
      </c>
      <c r="D2216" s="5">
        <v>3.2000000000000001E-2</v>
      </c>
      <c r="E2216" s="5">
        <v>0</v>
      </c>
      <c r="F2216" s="5">
        <v>0</v>
      </c>
      <c r="G2216" s="5">
        <v>3.2000000000000001E-2</v>
      </c>
      <c r="H2216" s="5">
        <v>0</v>
      </c>
      <c r="I2216" s="5">
        <v>0</v>
      </c>
      <c r="J2216" s="5">
        <v>0</v>
      </c>
      <c r="K2216" s="5">
        <v>0</v>
      </c>
      <c r="L2216" s="5">
        <v>0</v>
      </c>
      <c r="M2216" s="5">
        <v>0</v>
      </c>
      <c r="N2216" s="5">
        <v>100</v>
      </c>
      <c r="O2216" s="5" t="str">
        <f t="shared" ca="1" si="34"/>
        <v>Supplier 117</v>
      </c>
      <c r="P2216" s="20" t="str">
        <f ca="1">IFERROR(VLOOKUP(O2216,EMAILS!B:C,2,FALSE),"NOT FOUND IN EMAILS")</f>
        <v>supplier@gmail.com</v>
      </c>
      <c r="Q2216" t="str">
        <f ca="1">""&amp;IFERROR(VLOOKUP(O2216,EMAILS!B:D,3,FALSE),"NOT FOUND IN EMAILS")</f>
        <v/>
      </c>
      <c r="R2216" t="str">
        <f ca="1">""&amp;IFERROR(VLOOKUP(O2216,EMAILS!B:E,4,FALSE),"NO T FOUND IN EMAILS")</f>
        <v/>
      </c>
    </row>
    <row r="2217" spans="2:18" x14ac:dyDescent="0.25">
      <c r="B2217" s="5" t="s">
        <v>2219</v>
      </c>
      <c r="C2217" s="5" t="s">
        <v>6359</v>
      </c>
      <c r="D2217" s="5">
        <v>15.8</v>
      </c>
      <c r="E2217" s="5">
        <v>0</v>
      </c>
      <c r="F2217" s="5">
        <v>15.8</v>
      </c>
      <c r="G2217" s="5">
        <v>15.8</v>
      </c>
      <c r="H2217" s="5">
        <v>0</v>
      </c>
      <c r="I2217" s="5">
        <v>0</v>
      </c>
      <c r="J2217" s="5">
        <v>0</v>
      </c>
      <c r="K2217" s="5">
        <v>0</v>
      </c>
      <c r="L2217" s="5">
        <v>0</v>
      </c>
      <c r="M2217" s="5">
        <v>0</v>
      </c>
      <c r="N2217" s="5">
        <v>90</v>
      </c>
      <c r="O2217" s="5" t="str">
        <f t="shared" ca="1" si="34"/>
        <v>Supplier 103</v>
      </c>
      <c r="P2217" s="20" t="str">
        <f ca="1">IFERROR(VLOOKUP(O2217,EMAILS!B:C,2,FALSE),"NOT FOUND IN EMAILS")</f>
        <v>supplier@gmail.com</v>
      </c>
      <c r="Q2217" t="str">
        <f ca="1">""&amp;IFERROR(VLOOKUP(O2217,EMAILS!B:D,3,FALSE),"NOT FOUND IN EMAILS")</f>
        <v/>
      </c>
      <c r="R2217" t="str">
        <f ca="1">""&amp;IFERROR(VLOOKUP(O2217,EMAILS!B:E,4,FALSE),"NO T FOUND IN EMAILS")</f>
        <v/>
      </c>
    </row>
    <row r="2218" spans="2:18" x14ac:dyDescent="0.25">
      <c r="B2218" s="5" t="s">
        <v>2220</v>
      </c>
      <c r="C2218" s="5" t="s">
        <v>6360</v>
      </c>
      <c r="D2218" s="5">
        <v>1.226</v>
      </c>
      <c r="E2218" s="5">
        <v>0</v>
      </c>
      <c r="F2218" s="5">
        <v>0</v>
      </c>
      <c r="G2218" s="5">
        <v>1.226</v>
      </c>
      <c r="H2218" s="5">
        <v>0</v>
      </c>
      <c r="I2218" s="5">
        <v>0</v>
      </c>
      <c r="J2218" s="5">
        <v>0</v>
      </c>
      <c r="K2218" s="5">
        <v>0</v>
      </c>
      <c r="L2218" s="5">
        <v>0</v>
      </c>
      <c r="M2218" s="5">
        <v>0</v>
      </c>
      <c r="N2218" s="5">
        <v>90</v>
      </c>
      <c r="O2218" s="5" t="str">
        <f t="shared" ca="1" si="34"/>
        <v>Supplier 93</v>
      </c>
      <c r="P2218" s="20" t="str">
        <f ca="1">IFERROR(VLOOKUP(O2218,EMAILS!B:C,2,FALSE),"NOT FOUND IN EMAILS")</f>
        <v>supplier@gmail.com</v>
      </c>
      <c r="Q2218" t="str">
        <f ca="1">""&amp;IFERROR(VLOOKUP(O2218,EMAILS!B:D,3,FALSE),"NOT FOUND IN EMAILS")</f>
        <v/>
      </c>
      <c r="R2218" t="str">
        <f ca="1">""&amp;IFERROR(VLOOKUP(O2218,EMAILS!B:E,4,FALSE),"NO T FOUND IN EMAILS")</f>
        <v/>
      </c>
    </row>
    <row r="2219" spans="2:18" x14ac:dyDescent="0.25">
      <c r="B2219" s="5" t="s">
        <v>2221</v>
      </c>
      <c r="C2219" s="5" t="s">
        <v>6361</v>
      </c>
      <c r="D2219" s="5">
        <v>1.73</v>
      </c>
      <c r="E2219" s="5">
        <v>0</v>
      </c>
      <c r="F2219" s="5">
        <v>0.96</v>
      </c>
      <c r="G2219" s="5">
        <v>1.73</v>
      </c>
      <c r="H2219" s="5">
        <v>0</v>
      </c>
      <c r="I2219" s="5">
        <v>0</v>
      </c>
      <c r="J2219" s="5">
        <v>0</v>
      </c>
      <c r="K2219" s="5">
        <v>0</v>
      </c>
      <c r="L2219" s="5">
        <v>0</v>
      </c>
      <c r="M2219" s="5">
        <v>0</v>
      </c>
      <c r="N2219" s="5">
        <v>150</v>
      </c>
      <c r="O2219" s="5" t="str">
        <f t="shared" ca="1" si="34"/>
        <v>Supplier 170</v>
      </c>
      <c r="P2219" s="20" t="str">
        <f ca="1">IFERROR(VLOOKUP(O2219,EMAILS!B:C,2,FALSE),"NOT FOUND IN EMAILS")</f>
        <v>supplier@gmail.com</v>
      </c>
      <c r="Q2219" t="str">
        <f ca="1">""&amp;IFERROR(VLOOKUP(O2219,EMAILS!B:D,3,FALSE),"NOT FOUND IN EMAILS")</f>
        <v/>
      </c>
      <c r="R2219" t="str">
        <f ca="1">""&amp;IFERROR(VLOOKUP(O2219,EMAILS!B:E,4,FALSE),"NO T FOUND IN EMAILS")</f>
        <v/>
      </c>
    </row>
    <row r="2220" spans="2:18" x14ac:dyDescent="0.25">
      <c r="B2220" s="5" t="s">
        <v>2222</v>
      </c>
      <c r="C2220" s="5" t="s">
        <v>6362</v>
      </c>
      <c r="D2220" s="5">
        <v>2.74</v>
      </c>
      <c r="E2220" s="5">
        <v>0</v>
      </c>
      <c r="F2220" s="5">
        <v>5.5220000000000002</v>
      </c>
      <c r="G2220" s="5">
        <v>2.74</v>
      </c>
      <c r="H2220" s="5">
        <v>0</v>
      </c>
      <c r="I2220" s="5">
        <v>0</v>
      </c>
      <c r="J2220" s="5">
        <v>0</v>
      </c>
      <c r="K2220" s="5">
        <v>0</v>
      </c>
      <c r="L2220" s="5">
        <v>0</v>
      </c>
      <c r="M2220" s="5">
        <v>0</v>
      </c>
      <c r="N2220" s="5">
        <v>100</v>
      </c>
      <c r="O2220" s="5" t="str">
        <f t="shared" ca="1" si="34"/>
        <v>Supplier 43</v>
      </c>
      <c r="P2220" s="20" t="str">
        <f ca="1">IFERROR(VLOOKUP(O2220,EMAILS!B:C,2,FALSE),"NOT FOUND IN EMAILS")</f>
        <v>supplier@gmail.com</v>
      </c>
      <c r="Q2220" t="str">
        <f ca="1">""&amp;IFERROR(VLOOKUP(O2220,EMAILS!B:D,3,FALSE),"NOT FOUND IN EMAILS")</f>
        <v/>
      </c>
      <c r="R2220" t="str">
        <f ca="1">""&amp;IFERROR(VLOOKUP(O2220,EMAILS!B:E,4,FALSE),"NO T FOUND IN EMAILS")</f>
        <v/>
      </c>
    </row>
    <row r="2221" spans="2:18" x14ac:dyDescent="0.25">
      <c r="B2221" s="5" t="s">
        <v>2223</v>
      </c>
      <c r="C2221" s="5" t="s">
        <v>6363</v>
      </c>
      <c r="D2221" s="5">
        <v>36.283000000000001</v>
      </c>
      <c r="E2221" s="5">
        <v>0</v>
      </c>
      <c r="F2221" s="5">
        <v>23.728000000000002</v>
      </c>
      <c r="G2221" s="5">
        <v>24.416999999999994</v>
      </c>
      <c r="H2221" s="5">
        <v>0</v>
      </c>
      <c r="I2221" s="5">
        <v>0</v>
      </c>
      <c r="J2221" s="5">
        <v>0</v>
      </c>
      <c r="K2221" s="5">
        <v>0</v>
      </c>
      <c r="L2221" s="5">
        <v>0</v>
      </c>
      <c r="M2221" s="5">
        <v>0</v>
      </c>
      <c r="N2221" s="5">
        <v>100</v>
      </c>
      <c r="O2221" s="5" t="str">
        <f t="shared" ca="1" si="34"/>
        <v>Supplier 158</v>
      </c>
      <c r="P2221" s="20" t="str">
        <f ca="1">IFERROR(VLOOKUP(O2221,EMAILS!B:C,2,FALSE),"NOT FOUND IN EMAILS")</f>
        <v>supplier@gmail.com</v>
      </c>
      <c r="Q2221" t="str">
        <f ca="1">""&amp;IFERROR(VLOOKUP(O2221,EMAILS!B:D,3,FALSE),"NOT FOUND IN EMAILS")</f>
        <v/>
      </c>
      <c r="R2221" t="str">
        <f ca="1">""&amp;IFERROR(VLOOKUP(O2221,EMAILS!B:E,4,FALSE),"NO T FOUND IN EMAILS")</f>
        <v/>
      </c>
    </row>
    <row r="2222" spans="2:18" x14ac:dyDescent="0.25">
      <c r="B2222" s="5" t="s">
        <v>2224</v>
      </c>
      <c r="C2222" s="5" t="s">
        <v>6364</v>
      </c>
      <c r="D2222" s="5">
        <v>1.43</v>
      </c>
      <c r="E2222" s="5">
        <v>0</v>
      </c>
      <c r="F2222" s="5">
        <v>0</v>
      </c>
      <c r="G2222" s="5">
        <v>1.43</v>
      </c>
      <c r="H2222" s="5">
        <v>0</v>
      </c>
      <c r="I2222" s="5">
        <v>0</v>
      </c>
      <c r="J2222" s="5">
        <v>0</v>
      </c>
      <c r="K2222" s="5">
        <v>0</v>
      </c>
      <c r="L2222" s="5">
        <v>0</v>
      </c>
      <c r="M2222" s="5">
        <v>0</v>
      </c>
      <c r="N2222" s="5">
        <v>3</v>
      </c>
      <c r="O2222" s="5" t="str">
        <f t="shared" ca="1" si="34"/>
        <v>Supplier 183</v>
      </c>
      <c r="P2222" s="20" t="str">
        <f ca="1">IFERROR(VLOOKUP(O2222,EMAILS!B:C,2,FALSE),"NOT FOUND IN EMAILS")</f>
        <v>supplier@gmail.com</v>
      </c>
      <c r="Q2222" t="str">
        <f ca="1">""&amp;IFERROR(VLOOKUP(O2222,EMAILS!B:D,3,FALSE),"NOT FOUND IN EMAILS")</f>
        <v/>
      </c>
      <c r="R2222" t="str">
        <f ca="1">""&amp;IFERROR(VLOOKUP(O2222,EMAILS!B:E,4,FALSE),"NO T FOUND IN EMAILS")</f>
        <v/>
      </c>
    </row>
    <row r="2223" spans="2:18" x14ac:dyDescent="0.25">
      <c r="B2223" s="5" t="s">
        <v>2225</v>
      </c>
      <c r="C2223" s="5" t="s">
        <v>6365</v>
      </c>
      <c r="D2223" s="5">
        <v>0.91900000000000004</v>
      </c>
      <c r="E2223" s="5">
        <v>0</v>
      </c>
      <c r="F2223" s="5">
        <v>0</v>
      </c>
      <c r="G2223" s="5">
        <v>0.91900000000000004</v>
      </c>
      <c r="H2223" s="5">
        <v>0</v>
      </c>
      <c r="I2223" s="5">
        <v>0</v>
      </c>
      <c r="J2223" s="5">
        <v>0</v>
      </c>
      <c r="K2223" s="5">
        <v>0</v>
      </c>
      <c r="L2223" s="5">
        <v>0</v>
      </c>
      <c r="M2223" s="5">
        <v>0</v>
      </c>
      <c r="N2223" s="5">
        <v>660</v>
      </c>
      <c r="O2223" s="5" t="str">
        <f t="shared" ca="1" si="34"/>
        <v>Supplier 102</v>
      </c>
      <c r="P2223" s="20" t="str">
        <f ca="1">IFERROR(VLOOKUP(O2223,EMAILS!B:C,2,FALSE),"NOT FOUND IN EMAILS")</f>
        <v>supplier@gmail.com</v>
      </c>
      <c r="Q2223" t="str">
        <f ca="1">""&amp;IFERROR(VLOOKUP(O2223,EMAILS!B:D,3,FALSE),"NOT FOUND IN EMAILS")</f>
        <v/>
      </c>
      <c r="R2223" t="str">
        <f ca="1">""&amp;IFERROR(VLOOKUP(O2223,EMAILS!B:E,4,FALSE),"NO T FOUND IN EMAILS")</f>
        <v/>
      </c>
    </row>
    <row r="2224" spans="2:18" x14ac:dyDescent="0.25">
      <c r="B2224" s="5" t="s">
        <v>2226</v>
      </c>
      <c r="C2224" s="5" t="s">
        <v>6366</v>
      </c>
      <c r="D2224" s="5">
        <v>1.41</v>
      </c>
      <c r="E2224" s="5">
        <v>0</v>
      </c>
      <c r="F2224" s="5">
        <v>0</v>
      </c>
      <c r="G2224" s="5">
        <v>1.41</v>
      </c>
      <c r="H2224" s="5">
        <v>0</v>
      </c>
      <c r="I2224" s="5">
        <v>0</v>
      </c>
      <c r="J2224" s="5">
        <v>0</v>
      </c>
      <c r="K2224" s="5">
        <v>0</v>
      </c>
      <c r="L2224" s="5">
        <v>0</v>
      </c>
      <c r="M2224" s="5">
        <v>0</v>
      </c>
      <c r="N2224" s="5">
        <v>0</v>
      </c>
      <c r="O2224" s="5" t="str">
        <f t="shared" ca="1" si="34"/>
        <v>Supplier 180</v>
      </c>
      <c r="P2224" s="20" t="str">
        <f ca="1">IFERROR(VLOOKUP(O2224,EMAILS!B:C,2,FALSE),"NOT FOUND IN EMAILS")</f>
        <v>supplier@gmail.com</v>
      </c>
      <c r="Q2224" t="str">
        <f ca="1">""&amp;IFERROR(VLOOKUP(O2224,EMAILS!B:D,3,FALSE),"NOT FOUND IN EMAILS")</f>
        <v/>
      </c>
      <c r="R2224" t="str">
        <f ca="1">""&amp;IFERROR(VLOOKUP(O2224,EMAILS!B:E,4,FALSE),"NO T FOUND IN EMAILS")</f>
        <v/>
      </c>
    </row>
    <row r="2225" spans="2:18" x14ac:dyDescent="0.25">
      <c r="B2225" s="5" t="s">
        <v>2227</v>
      </c>
      <c r="C2225" s="5" t="s">
        <v>6367</v>
      </c>
      <c r="D2225" s="5">
        <v>73.528999999999996</v>
      </c>
      <c r="E2225" s="5">
        <v>0</v>
      </c>
      <c r="F2225" s="5">
        <v>49.825000000000003</v>
      </c>
      <c r="G2225" s="5">
        <v>54.597000000000001</v>
      </c>
      <c r="H2225" s="5">
        <v>0</v>
      </c>
      <c r="I2225" s="5">
        <v>0</v>
      </c>
      <c r="J2225" s="5">
        <v>0</v>
      </c>
      <c r="K2225" s="5">
        <v>0</v>
      </c>
      <c r="L2225" s="5">
        <v>0</v>
      </c>
      <c r="M2225" s="5">
        <v>0</v>
      </c>
      <c r="N2225" s="5">
        <v>300</v>
      </c>
      <c r="O2225" s="5" t="str">
        <f t="shared" ca="1" si="34"/>
        <v>Supplier 37</v>
      </c>
      <c r="P2225" s="20" t="str">
        <f ca="1">IFERROR(VLOOKUP(O2225,EMAILS!B:C,2,FALSE),"NOT FOUND IN EMAILS")</f>
        <v>supplier@gmail.com</v>
      </c>
      <c r="Q2225" t="str">
        <f ca="1">""&amp;IFERROR(VLOOKUP(O2225,EMAILS!B:D,3,FALSE),"NOT FOUND IN EMAILS")</f>
        <v/>
      </c>
      <c r="R2225" t="str">
        <f ca="1">""&amp;IFERROR(VLOOKUP(O2225,EMAILS!B:E,4,FALSE),"NO T FOUND IN EMAILS")</f>
        <v/>
      </c>
    </row>
    <row r="2226" spans="2:18" x14ac:dyDescent="0.25">
      <c r="B2226" s="5" t="s">
        <v>2228</v>
      </c>
      <c r="C2226" s="5" t="s">
        <v>6368</v>
      </c>
      <c r="D2226" s="5">
        <v>0</v>
      </c>
      <c r="E2226" s="5">
        <v>25</v>
      </c>
      <c r="F2226" s="5">
        <v>0</v>
      </c>
      <c r="G2226" s="5">
        <v>25</v>
      </c>
      <c r="H2226" s="5">
        <v>0</v>
      </c>
      <c r="I2226" s="5">
        <v>25</v>
      </c>
      <c r="J2226" s="5">
        <v>25</v>
      </c>
      <c r="K2226" s="5">
        <v>0</v>
      </c>
      <c r="L2226" s="5">
        <v>25</v>
      </c>
      <c r="M2226" s="5">
        <v>0</v>
      </c>
      <c r="N2226" s="5">
        <v>600</v>
      </c>
      <c r="O2226" s="5" t="str">
        <f t="shared" ca="1" si="34"/>
        <v>Supplier 161</v>
      </c>
      <c r="P2226" s="20" t="str">
        <f ca="1">IFERROR(VLOOKUP(O2226,EMAILS!B:C,2,FALSE),"NOT FOUND IN EMAILS")</f>
        <v>supplier@gmail.com</v>
      </c>
      <c r="Q2226" t="str">
        <f ca="1">""&amp;IFERROR(VLOOKUP(O2226,EMAILS!B:D,3,FALSE),"NOT FOUND IN EMAILS")</f>
        <v/>
      </c>
      <c r="R2226" t="str">
        <f ca="1">""&amp;IFERROR(VLOOKUP(O2226,EMAILS!B:E,4,FALSE),"NO T FOUND IN EMAILS")</f>
        <v/>
      </c>
    </row>
    <row r="2227" spans="2:18" x14ac:dyDescent="0.25">
      <c r="B2227" s="5" t="s">
        <v>2229</v>
      </c>
      <c r="C2227" s="5" t="s">
        <v>6369</v>
      </c>
      <c r="D2227" s="5">
        <v>0</v>
      </c>
      <c r="E2227" s="5">
        <v>0</v>
      </c>
      <c r="F2227" s="5">
        <v>0</v>
      </c>
      <c r="G2227" s="5">
        <v>0</v>
      </c>
      <c r="H2227" s="5">
        <v>0</v>
      </c>
      <c r="I2227" s="5">
        <v>0</v>
      </c>
      <c r="J2227" s="5">
        <v>0</v>
      </c>
      <c r="K2227" s="5">
        <v>0</v>
      </c>
      <c r="L2227" s="5">
        <v>0</v>
      </c>
      <c r="M2227" s="5">
        <v>0</v>
      </c>
      <c r="N2227" s="5">
        <v>600</v>
      </c>
      <c r="O2227" s="5" t="str">
        <f t="shared" ca="1" si="34"/>
        <v>Supplier 32</v>
      </c>
      <c r="P2227" s="20" t="str">
        <f ca="1">IFERROR(VLOOKUP(O2227,EMAILS!B:C,2,FALSE),"NOT FOUND IN EMAILS")</f>
        <v>supplier@gmail.com</v>
      </c>
      <c r="Q2227" t="str">
        <f ca="1">""&amp;IFERROR(VLOOKUP(O2227,EMAILS!B:D,3,FALSE),"NOT FOUND IN EMAILS")</f>
        <v/>
      </c>
      <c r="R2227" t="str">
        <f ca="1">""&amp;IFERROR(VLOOKUP(O2227,EMAILS!B:E,4,FALSE),"NO T FOUND IN EMAILS")</f>
        <v/>
      </c>
    </row>
    <row r="2228" spans="2:18" x14ac:dyDescent="0.25">
      <c r="B2228" s="5" t="s">
        <v>2230</v>
      </c>
      <c r="C2228" s="5" t="s">
        <v>6370</v>
      </c>
      <c r="D2228" s="5">
        <v>0</v>
      </c>
      <c r="E2228" s="5">
        <v>0</v>
      </c>
      <c r="F2228" s="5">
        <v>0</v>
      </c>
      <c r="G2228" s="5">
        <v>0</v>
      </c>
      <c r="H2228" s="5">
        <v>0</v>
      </c>
      <c r="I2228" s="5">
        <v>0</v>
      </c>
      <c r="J2228" s="5">
        <v>0</v>
      </c>
      <c r="K2228" s="5">
        <v>0</v>
      </c>
      <c r="L2228" s="5">
        <v>0</v>
      </c>
      <c r="M2228" s="5">
        <v>0</v>
      </c>
      <c r="N2228" s="5">
        <v>0</v>
      </c>
      <c r="O2228" s="5" t="str">
        <f t="shared" ca="1" si="34"/>
        <v>Supplier 76</v>
      </c>
      <c r="P2228" s="20" t="str">
        <f ca="1">IFERROR(VLOOKUP(O2228,EMAILS!B:C,2,FALSE),"NOT FOUND IN EMAILS")</f>
        <v>supplier@gmail.com</v>
      </c>
      <c r="Q2228" t="str">
        <f ca="1">""&amp;IFERROR(VLOOKUP(O2228,EMAILS!B:D,3,FALSE),"NOT FOUND IN EMAILS")</f>
        <v/>
      </c>
      <c r="R2228" t="str">
        <f ca="1">""&amp;IFERROR(VLOOKUP(O2228,EMAILS!B:E,4,FALSE),"NO T FOUND IN EMAILS")</f>
        <v/>
      </c>
    </row>
    <row r="2229" spans="2:18" x14ac:dyDescent="0.25">
      <c r="B2229" s="5" t="s">
        <v>2231</v>
      </c>
      <c r="C2229" s="5" t="s">
        <v>6371</v>
      </c>
      <c r="D2229" s="5">
        <v>2204</v>
      </c>
      <c r="E2229" s="5">
        <v>2018</v>
      </c>
      <c r="F2229" s="5">
        <v>2204</v>
      </c>
      <c r="G2229" s="5">
        <v>1804</v>
      </c>
      <c r="H2229" s="5">
        <v>2204</v>
      </c>
      <c r="I2229" s="5">
        <v>2204</v>
      </c>
      <c r="J2229" s="5">
        <v>1080</v>
      </c>
      <c r="K2229" s="5">
        <v>1512</v>
      </c>
      <c r="L2229" s="5">
        <v>1414</v>
      </c>
      <c r="M2229" s="5">
        <v>0</v>
      </c>
      <c r="N2229" s="5">
        <v>200</v>
      </c>
      <c r="O2229" s="5" t="str">
        <f t="shared" ca="1" si="34"/>
        <v>Supplier 6</v>
      </c>
      <c r="P2229" s="20" t="str">
        <f ca="1">IFERROR(VLOOKUP(O2229,EMAILS!B:C,2,FALSE),"NOT FOUND IN EMAILS")</f>
        <v>supplier@gmail.com</v>
      </c>
      <c r="Q2229" t="str">
        <f ca="1">""&amp;IFERROR(VLOOKUP(O2229,EMAILS!B:D,3,FALSE),"NOT FOUND IN EMAILS")</f>
        <v>supplier_logistics@gmail.com</v>
      </c>
      <c r="R2229" t="str">
        <f ca="1">""&amp;IFERROR(VLOOKUP(O2229,EMAILS!B:E,4,FALSE),"NO T FOUND IN EMAILS")</f>
        <v/>
      </c>
    </row>
    <row r="2230" spans="2:18" x14ac:dyDescent="0.25">
      <c r="B2230" s="5" t="s">
        <v>2232</v>
      </c>
      <c r="C2230" s="5" t="s">
        <v>6372</v>
      </c>
      <c r="D2230" s="5">
        <v>200</v>
      </c>
      <c r="E2230" s="5">
        <v>0</v>
      </c>
      <c r="F2230" s="5">
        <v>0</v>
      </c>
      <c r="G2230" s="5">
        <v>0</v>
      </c>
      <c r="H2230" s="5">
        <v>0</v>
      </c>
      <c r="I2230" s="5">
        <v>0</v>
      </c>
      <c r="J2230" s="5">
        <v>0</v>
      </c>
      <c r="K2230" s="5">
        <v>0</v>
      </c>
      <c r="L2230" s="5">
        <v>0</v>
      </c>
      <c r="M2230" s="5">
        <v>0</v>
      </c>
      <c r="N2230" s="5">
        <v>0</v>
      </c>
      <c r="O2230" s="5" t="str">
        <f t="shared" ca="1" si="34"/>
        <v>Supplier 33</v>
      </c>
      <c r="P2230" s="20" t="str">
        <f ca="1">IFERROR(VLOOKUP(O2230,EMAILS!B:C,2,FALSE),"NOT FOUND IN EMAILS")</f>
        <v>supplier@gmail.com</v>
      </c>
      <c r="Q2230" t="str">
        <f ca="1">""&amp;IFERROR(VLOOKUP(O2230,EMAILS!B:D,3,FALSE),"NOT FOUND IN EMAILS")</f>
        <v/>
      </c>
      <c r="R2230" t="str">
        <f ca="1">""&amp;IFERROR(VLOOKUP(O2230,EMAILS!B:E,4,FALSE),"NO T FOUND IN EMAILS")</f>
        <v/>
      </c>
    </row>
    <row r="2231" spans="2:18" x14ac:dyDescent="0.25">
      <c r="B2231" s="5" t="s">
        <v>2233</v>
      </c>
      <c r="C2231" s="5" t="s">
        <v>6373</v>
      </c>
      <c r="D2231" s="5">
        <v>0</v>
      </c>
      <c r="E2231" s="5">
        <v>0</v>
      </c>
      <c r="F2231" s="5">
        <v>0</v>
      </c>
      <c r="G2231" s="5">
        <v>0</v>
      </c>
      <c r="H2231" s="5">
        <v>0</v>
      </c>
      <c r="I2231" s="5">
        <v>0</v>
      </c>
      <c r="J2231" s="5">
        <v>0</v>
      </c>
      <c r="K2231" s="5">
        <v>0</v>
      </c>
      <c r="L2231" s="5">
        <v>0</v>
      </c>
      <c r="M2231" s="5">
        <v>0</v>
      </c>
      <c r="N2231" s="5">
        <v>423</v>
      </c>
      <c r="O2231" s="5" t="str">
        <f t="shared" ca="1" si="34"/>
        <v>Supplier 162</v>
      </c>
      <c r="P2231" s="20" t="str">
        <f ca="1">IFERROR(VLOOKUP(O2231,EMAILS!B:C,2,FALSE),"NOT FOUND IN EMAILS")</f>
        <v>supplier@gmail.com</v>
      </c>
      <c r="Q2231" t="str">
        <f ca="1">""&amp;IFERROR(VLOOKUP(O2231,EMAILS!B:D,3,FALSE),"NOT FOUND IN EMAILS")</f>
        <v/>
      </c>
      <c r="R2231" t="str">
        <f ca="1">""&amp;IFERROR(VLOOKUP(O2231,EMAILS!B:E,4,FALSE),"NO T FOUND IN EMAILS")</f>
        <v/>
      </c>
    </row>
    <row r="2232" spans="2:18" x14ac:dyDescent="0.25">
      <c r="B2232" s="5" t="s">
        <v>2234</v>
      </c>
      <c r="C2232" s="5" t="s">
        <v>6374</v>
      </c>
      <c r="D2232" s="5">
        <v>20</v>
      </c>
      <c r="E2232" s="5">
        <v>23</v>
      </c>
      <c r="F2232" s="5">
        <v>30</v>
      </c>
      <c r="G2232" s="5">
        <v>22</v>
      </c>
      <c r="H2232" s="5">
        <v>20</v>
      </c>
      <c r="I2232" s="5">
        <v>16</v>
      </c>
      <c r="J2232" s="5">
        <v>16</v>
      </c>
      <c r="K2232" s="5">
        <v>15</v>
      </c>
      <c r="L2232" s="5">
        <v>16</v>
      </c>
      <c r="M2232" s="5">
        <v>0</v>
      </c>
      <c r="N2232" s="5">
        <v>101</v>
      </c>
      <c r="O2232" s="5" t="str">
        <f t="shared" ca="1" si="34"/>
        <v>Supplier 179</v>
      </c>
      <c r="P2232" s="20" t="str">
        <f ca="1">IFERROR(VLOOKUP(O2232,EMAILS!B:C,2,FALSE),"NOT FOUND IN EMAILS")</f>
        <v>supplier@gmail.com</v>
      </c>
      <c r="Q2232" t="str">
        <f ca="1">""&amp;IFERROR(VLOOKUP(O2232,EMAILS!B:D,3,FALSE),"NOT FOUND IN EMAILS")</f>
        <v/>
      </c>
      <c r="R2232" t="str">
        <f ca="1">""&amp;IFERROR(VLOOKUP(O2232,EMAILS!B:E,4,FALSE),"NO T FOUND IN EMAILS")</f>
        <v/>
      </c>
    </row>
    <row r="2233" spans="2:18" x14ac:dyDescent="0.25">
      <c r="B2233" s="5" t="s">
        <v>2235</v>
      </c>
      <c r="C2233" s="5" t="s">
        <v>6375</v>
      </c>
      <c r="D2233" s="5">
        <v>0</v>
      </c>
      <c r="E2233" s="5">
        <v>0</v>
      </c>
      <c r="F2233" s="5">
        <v>0</v>
      </c>
      <c r="G2233" s="5">
        <v>0</v>
      </c>
      <c r="H2233" s="5">
        <v>0</v>
      </c>
      <c r="I2233" s="5">
        <v>0</v>
      </c>
      <c r="J2233" s="5">
        <v>0</v>
      </c>
      <c r="K2233" s="5">
        <v>0</v>
      </c>
      <c r="L2233" s="5">
        <v>0</v>
      </c>
      <c r="M2233" s="5">
        <v>0</v>
      </c>
      <c r="N2233" s="5">
        <v>0</v>
      </c>
      <c r="O2233" s="5" t="str">
        <f t="shared" ca="1" si="34"/>
        <v>Supplier 108</v>
      </c>
      <c r="P2233" s="20" t="str">
        <f ca="1">IFERROR(VLOOKUP(O2233,EMAILS!B:C,2,FALSE),"NOT FOUND IN EMAILS")</f>
        <v>supplier@gmail.com</v>
      </c>
      <c r="Q2233" t="str">
        <f ca="1">""&amp;IFERROR(VLOOKUP(O2233,EMAILS!B:D,3,FALSE),"NOT FOUND IN EMAILS")</f>
        <v/>
      </c>
      <c r="R2233" t="str">
        <f ca="1">""&amp;IFERROR(VLOOKUP(O2233,EMAILS!B:E,4,FALSE),"NO T FOUND IN EMAILS")</f>
        <v/>
      </c>
    </row>
    <row r="2234" spans="2:18" x14ac:dyDescent="0.25">
      <c r="B2234" s="5" t="s">
        <v>2236</v>
      </c>
      <c r="C2234" s="5" t="s">
        <v>6376</v>
      </c>
      <c r="D2234" s="5">
        <v>10</v>
      </c>
      <c r="E2234" s="5">
        <v>0</v>
      </c>
      <c r="F2234" s="5">
        <v>0</v>
      </c>
      <c r="G2234" s="5">
        <v>10</v>
      </c>
      <c r="H2234" s="5">
        <v>10</v>
      </c>
      <c r="I2234" s="5">
        <v>0</v>
      </c>
      <c r="J2234" s="5">
        <v>0</v>
      </c>
      <c r="K2234" s="5">
        <v>0</v>
      </c>
      <c r="L2234" s="5">
        <v>0</v>
      </c>
      <c r="M2234" s="5">
        <v>0</v>
      </c>
      <c r="N2234" s="5">
        <v>100</v>
      </c>
      <c r="O2234" s="5" t="str">
        <f t="shared" ca="1" si="34"/>
        <v>Supplier 187</v>
      </c>
      <c r="P2234" s="20" t="str">
        <f ca="1">IFERROR(VLOOKUP(O2234,EMAILS!B:C,2,FALSE),"NOT FOUND IN EMAILS")</f>
        <v>supplier@gmail.com</v>
      </c>
      <c r="Q2234" t="str">
        <f ca="1">""&amp;IFERROR(VLOOKUP(O2234,EMAILS!B:D,3,FALSE),"NOT FOUND IN EMAILS")</f>
        <v/>
      </c>
      <c r="R2234" t="str">
        <f ca="1">""&amp;IFERROR(VLOOKUP(O2234,EMAILS!B:E,4,FALSE),"NO T FOUND IN EMAILS")</f>
        <v/>
      </c>
    </row>
    <row r="2235" spans="2:18" x14ac:dyDescent="0.25">
      <c r="B2235" s="5" t="s">
        <v>2237</v>
      </c>
      <c r="C2235" s="5" t="s">
        <v>6377</v>
      </c>
      <c r="D2235" s="5">
        <v>88</v>
      </c>
      <c r="E2235" s="5">
        <v>30</v>
      </c>
      <c r="F2235" s="5">
        <v>30</v>
      </c>
      <c r="G2235" s="5">
        <v>0</v>
      </c>
      <c r="H2235" s="5">
        <v>118</v>
      </c>
      <c r="I2235" s="5">
        <v>224</v>
      </c>
      <c r="J2235" s="5">
        <v>0</v>
      </c>
      <c r="K2235" s="5">
        <v>0</v>
      </c>
      <c r="L2235" s="5">
        <v>0</v>
      </c>
      <c r="M2235" s="5">
        <v>0</v>
      </c>
      <c r="N2235" s="5">
        <v>0</v>
      </c>
      <c r="O2235" s="5" t="str">
        <f t="shared" ca="1" si="34"/>
        <v>Supplier 135</v>
      </c>
      <c r="P2235" s="20" t="str">
        <f ca="1">IFERROR(VLOOKUP(O2235,EMAILS!B:C,2,FALSE),"NOT FOUND IN EMAILS")</f>
        <v>supplier@gmail.com</v>
      </c>
      <c r="Q2235" t="str">
        <f ca="1">""&amp;IFERROR(VLOOKUP(O2235,EMAILS!B:D,3,FALSE),"NOT FOUND IN EMAILS")</f>
        <v/>
      </c>
      <c r="R2235" t="str">
        <f ca="1">""&amp;IFERROR(VLOOKUP(O2235,EMAILS!B:E,4,FALSE),"NO T FOUND IN EMAILS")</f>
        <v/>
      </c>
    </row>
    <row r="2236" spans="2:18" x14ac:dyDescent="0.25">
      <c r="B2236" s="5" t="s">
        <v>2238</v>
      </c>
      <c r="C2236" s="5" t="s">
        <v>6378</v>
      </c>
      <c r="D2236" s="5">
        <v>50</v>
      </c>
      <c r="E2236" s="5">
        <v>50</v>
      </c>
      <c r="F2236" s="5">
        <v>100</v>
      </c>
      <c r="G2236" s="5">
        <v>60</v>
      </c>
      <c r="H2236" s="5">
        <v>55</v>
      </c>
      <c r="I2236" s="5">
        <v>60</v>
      </c>
      <c r="J2236" s="5">
        <v>30</v>
      </c>
      <c r="K2236" s="5">
        <v>20</v>
      </c>
      <c r="L2236" s="5">
        <v>70</v>
      </c>
      <c r="M2236" s="5">
        <v>0</v>
      </c>
      <c r="N2236" s="5">
        <v>0</v>
      </c>
      <c r="O2236" s="5" t="str">
        <f t="shared" ca="1" si="34"/>
        <v>Supplier 99</v>
      </c>
      <c r="P2236" s="20" t="str">
        <f ca="1">IFERROR(VLOOKUP(O2236,EMAILS!B:C,2,FALSE),"NOT FOUND IN EMAILS")</f>
        <v>supplier@gmail.com</v>
      </c>
      <c r="Q2236" t="str">
        <f ca="1">""&amp;IFERROR(VLOOKUP(O2236,EMAILS!B:D,3,FALSE),"NOT FOUND IN EMAILS")</f>
        <v/>
      </c>
      <c r="R2236" t="str">
        <f ca="1">""&amp;IFERROR(VLOOKUP(O2236,EMAILS!B:E,4,FALSE),"NO T FOUND IN EMAILS")</f>
        <v/>
      </c>
    </row>
    <row r="2237" spans="2:18" x14ac:dyDescent="0.25">
      <c r="B2237" s="5" t="s">
        <v>2239</v>
      </c>
      <c r="C2237" s="5" t="s">
        <v>6379</v>
      </c>
      <c r="D2237" s="5">
        <v>1804</v>
      </c>
      <c r="E2237" s="5">
        <v>1585</v>
      </c>
      <c r="F2237" s="5">
        <v>1988</v>
      </c>
      <c r="G2237" s="5">
        <v>2460</v>
      </c>
      <c r="H2237" s="5">
        <v>2208</v>
      </c>
      <c r="I2237" s="5">
        <v>1775</v>
      </c>
      <c r="J2237" s="5">
        <v>716</v>
      </c>
      <c r="K2237" s="5">
        <v>984</v>
      </c>
      <c r="L2237" s="5">
        <v>1388</v>
      </c>
      <c r="M2237" s="5">
        <v>0</v>
      </c>
      <c r="N2237" s="5">
        <v>0</v>
      </c>
      <c r="O2237" s="5" t="str">
        <f t="shared" ca="1" si="34"/>
        <v>Supplier 150</v>
      </c>
      <c r="P2237" s="20" t="str">
        <f ca="1">IFERROR(VLOOKUP(O2237,EMAILS!B:C,2,FALSE),"NOT FOUND IN EMAILS")</f>
        <v>supplier@gmail.com</v>
      </c>
      <c r="Q2237" t="str">
        <f ca="1">""&amp;IFERROR(VLOOKUP(O2237,EMAILS!B:D,3,FALSE),"NOT FOUND IN EMAILS")</f>
        <v/>
      </c>
      <c r="R2237" t="str">
        <f ca="1">""&amp;IFERROR(VLOOKUP(O2237,EMAILS!B:E,4,FALSE),"NO T FOUND IN EMAILS")</f>
        <v/>
      </c>
    </row>
    <row r="2238" spans="2:18" x14ac:dyDescent="0.25">
      <c r="B2238" s="5" t="s">
        <v>2240</v>
      </c>
      <c r="C2238" s="5" t="s">
        <v>6380</v>
      </c>
      <c r="D2238" s="5">
        <v>1404</v>
      </c>
      <c r="E2238" s="5">
        <v>1218</v>
      </c>
      <c r="F2238" s="5">
        <v>1404</v>
      </c>
      <c r="G2238" s="5">
        <v>1404</v>
      </c>
      <c r="H2238" s="5">
        <v>1404</v>
      </c>
      <c r="I2238" s="5">
        <v>1404</v>
      </c>
      <c r="J2238" s="5">
        <v>1080</v>
      </c>
      <c r="K2238" s="5">
        <v>1512</v>
      </c>
      <c r="L2238" s="5">
        <v>1414</v>
      </c>
      <c r="M2238" s="5">
        <v>0</v>
      </c>
      <c r="N2238" s="5">
        <v>200</v>
      </c>
      <c r="O2238" s="5" t="str">
        <f t="shared" ca="1" si="34"/>
        <v>Supplier 186</v>
      </c>
      <c r="P2238" s="20" t="str">
        <f ca="1">IFERROR(VLOOKUP(O2238,EMAILS!B:C,2,FALSE),"NOT FOUND IN EMAILS")</f>
        <v>supplier@gmail.com</v>
      </c>
      <c r="Q2238" t="str">
        <f ca="1">""&amp;IFERROR(VLOOKUP(O2238,EMAILS!B:D,3,FALSE),"NOT FOUND IN EMAILS")</f>
        <v/>
      </c>
      <c r="R2238" t="str">
        <f ca="1">""&amp;IFERROR(VLOOKUP(O2238,EMAILS!B:E,4,FALSE),"NO T FOUND IN EMAILS")</f>
        <v/>
      </c>
    </row>
    <row r="2239" spans="2:18" x14ac:dyDescent="0.25">
      <c r="B2239" s="5" t="s">
        <v>2241</v>
      </c>
      <c r="C2239" s="5" t="s">
        <v>6381</v>
      </c>
      <c r="D2239" s="5">
        <v>200</v>
      </c>
      <c r="E2239" s="5">
        <v>0</v>
      </c>
      <c r="F2239" s="5">
        <v>200</v>
      </c>
      <c r="G2239" s="5">
        <v>0</v>
      </c>
      <c r="H2239" s="5">
        <v>100</v>
      </c>
      <c r="I2239" s="5">
        <v>100</v>
      </c>
      <c r="J2239" s="5">
        <v>0</v>
      </c>
      <c r="K2239" s="5">
        <v>0</v>
      </c>
      <c r="L2239" s="5">
        <v>0</v>
      </c>
      <c r="M2239" s="5">
        <v>0</v>
      </c>
      <c r="N2239" s="5">
        <v>0</v>
      </c>
      <c r="O2239" s="5" t="str">
        <f t="shared" ca="1" si="34"/>
        <v>Supplier 173</v>
      </c>
      <c r="P2239" s="20" t="str">
        <f ca="1">IFERROR(VLOOKUP(O2239,EMAILS!B:C,2,FALSE),"NOT FOUND IN EMAILS")</f>
        <v>supplier@gmail.com</v>
      </c>
      <c r="Q2239" t="str">
        <f ca="1">""&amp;IFERROR(VLOOKUP(O2239,EMAILS!B:D,3,FALSE),"NOT FOUND IN EMAILS")</f>
        <v/>
      </c>
      <c r="R2239" t="str">
        <f ca="1">""&amp;IFERROR(VLOOKUP(O2239,EMAILS!B:E,4,FALSE),"NO T FOUND IN EMAILS")</f>
        <v/>
      </c>
    </row>
    <row r="2240" spans="2:18" x14ac:dyDescent="0.25">
      <c r="B2240" s="5" t="s">
        <v>2242</v>
      </c>
      <c r="C2240" s="5" t="s">
        <v>6382</v>
      </c>
      <c r="D2240" s="5">
        <v>1</v>
      </c>
      <c r="E2240" s="5">
        <v>0</v>
      </c>
      <c r="F2240" s="5">
        <v>0</v>
      </c>
      <c r="G2240" s="5">
        <v>1</v>
      </c>
      <c r="H2240" s="5">
        <v>0</v>
      </c>
      <c r="I2240" s="5">
        <v>0</v>
      </c>
      <c r="J2240" s="5">
        <v>0</v>
      </c>
      <c r="K2240" s="5">
        <v>0</v>
      </c>
      <c r="L2240" s="5">
        <v>0</v>
      </c>
      <c r="M2240" s="5">
        <v>0</v>
      </c>
      <c r="N2240" s="5">
        <v>0</v>
      </c>
      <c r="O2240" s="5" t="str">
        <f t="shared" ca="1" si="34"/>
        <v>Supplier 70</v>
      </c>
      <c r="P2240" s="20" t="str">
        <f ca="1">IFERROR(VLOOKUP(O2240,EMAILS!B:C,2,FALSE),"NOT FOUND IN EMAILS")</f>
        <v>supplier@gmail.com</v>
      </c>
      <c r="Q2240" t="str">
        <f ca="1">""&amp;IFERROR(VLOOKUP(O2240,EMAILS!B:D,3,FALSE),"NOT FOUND IN EMAILS")</f>
        <v/>
      </c>
      <c r="R2240" t="str">
        <f ca="1">""&amp;IFERROR(VLOOKUP(O2240,EMAILS!B:E,4,FALSE),"NO T FOUND IN EMAILS")</f>
        <v/>
      </c>
    </row>
    <row r="2241" spans="2:18" x14ac:dyDescent="0.25">
      <c r="B2241" s="5" t="s">
        <v>2243</v>
      </c>
      <c r="C2241" s="5" t="s">
        <v>6383</v>
      </c>
      <c r="D2241" s="5">
        <v>1</v>
      </c>
      <c r="E2241" s="5">
        <v>0</v>
      </c>
      <c r="F2241" s="5">
        <v>0</v>
      </c>
      <c r="G2241" s="5">
        <v>1</v>
      </c>
      <c r="H2241" s="5">
        <v>0</v>
      </c>
      <c r="I2241" s="5">
        <v>0</v>
      </c>
      <c r="J2241" s="5">
        <v>0</v>
      </c>
      <c r="K2241" s="5">
        <v>0</v>
      </c>
      <c r="L2241" s="5">
        <v>0</v>
      </c>
      <c r="M2241" s="5">
        <v>0</v>
      </c>
      <c r="N2241" s="5">
        <v>0</v>
      </c>
      <c r="O2241" s="5" t="str">
        <f t="shared" ca="1" si="34"/>
        <v>Supplier 150</v>
      </c>
      <c r="P2241" s="20" t="str">
        <f ca="1">IFERROR(VLOOKUP(O2241,EMAILS!B:C,2,FALSE),"NOT FOUND IN EMAILS")</f>
        <v>supplier@gmail.com</v>
      </c>
      <c r="Q2241" t="str">
        <f ca="1">""&amp;IFERROR(VLOOKUP(O2241,EMAILS!B:D,3,FALSE),"NOT FOUND IN EMAILS")</f>
        <v/>
      </c>
      <c r="R2241" t="str">
        <f ca="1">""&amp;IFERROR(VLOOKUP(O2241,EMAILS!B:E,4,FALSE),"NO T FOUND IN EMAILS")</f>
        <v/>
      </c>
    </row>
    <row r="2242" spans="2:18" x14ac:dyDescent="0.25">
      <c r="B2242" s="5" t="s">
        <v>2244</v>
      </c>
      <c r="C2242" s="5" t="s">
        <v>6384</v>
      </c>
      <c r="D2242" s="5">
        <v>0</v>
      </c>
      <c r="E2242" s="5">
        <v>0</v>
      </c>
      <c r="F2242" s="5">
        <v>0</v>
      </c>
      <c r="G2242" s="5">
        <v>0</v>
      </c>
      <c r="H2242" s="5">
        <v>0</v>
      </c>
      <c r="I2242" s="5">
        <v>0</v>
      </c>
      <c r="J2242" s="5">
        <v>0</v>
      </c>
      <c r="K2242" s="5">
        <v>0</v>
      </c>
      <c r="L2242" s="5">
        <v>0</v>
      </c>
      <c r="M2242" s="5">
        <v>0</v>
      </c>
      <c r="N2242" s="5">
        <v>0</v>
      </c>
      <c r="O2242" s="5" t="str">
        <f t="shared" ca="1" si="34"/>
        <v>Supplier 40</v>
      </c>
      <c r="P2242" s="20" t="str">
        <f ca="1">IFERROR(VLOOKUP(O2242,EMAILS!B:C,2,FALSE),"NOT FOUND IN EMAILS")</f>
        <v>supplier@gmail.com</v>
      </c>
      <c r="Q2242" t="str">
        <f ca="1">""&amp;IFERROR(VLOOKUP(O2242,EMAILS!B:D,3,FALSE),"NOT FOUND IN EMAILS")</f>
        <v/>
      </c>
      <c r="R2242" t="str">
        <f ca="1">""&amp;IFERROR(VLOOKUP(O2242,EMAILS!B:E,4,FALSE),"NO T FOUND IN EMAILS")</f>
        <v/>
      </c>
    </row>
    <row r="2243" spans="2:18" x14ac:dyDescent="0.25">
      <c r="B2243" s="5" t="s">
        <v>2245</v>
      </c>
      <c r="C2243" s="5" t="s">
        <v>6385</v>
      </c>
      <c r="D2243" s="5">
        <v>1</v>
      </c>
      <c r="E2243" s="5">
        <v>0</v>
      </c>
      <c r="F2243" s="5">
        <v>1</v>
      </c>
      <c r="G2243" s="5">
        <v>1</v>
      </c>
      <c r="H2243" s="5">
        <v>0</v>
      </c>
      <c r="I2243" s="5">
        <v>0</v>
      </c>
      <c r="J2243" s="5">
        <v>0</v>
      </c>
      <c r="K2243" s="5">
        <v>0</v>
      </c>
      <c r="L2243" s="5">
        <v>0</v>
      </c>
      <c r="M2243" s="5">
        <v>0</v>
      </c>
      <c r="N2243" s="5">
        <v>0</v>
      </c>
      <c r="O2243" s="5" t="str">
        <f t="shared" ref="O2243:O2306" ca="1" si="35">"Supplier "&amp;RANDBETWEEN(1,200)</f>
        <v>Supplier 35</v>
      </c>
      <c r="P2243" s="20" t="str">
        <f ca="1">IFERROR(VLOOKUP(O2243,EMAILS!B:C,2,FALSE),"NOT FOUND IN EMAILS")</f>
        <v>supplier@gmail.com</v>
      </c>
      <c r="Q2243" t="str">
        <f ca="1">""&amp;IFERROR(VLOOKUP(O2243,EMAILS!B:D,3,FALSE),"NOT FOUND IN EMAILS")</f>
        <v/>
      </c>
      <c r="R2243" t="str">
        <f ca="1">""&amp;IFERROR(VLOOKUP(O2243,EMAILS!B:E,4,FALSE),"NO T FOUND IN EMAILS")</f>
        <v/>
      </c>
    </row>
    <row r="2244" spans="2:18" x14ac:dyDescent="0.25">
      <c r="B2244" s="5" t="s">
        <v>2246</v>
      </c>
      <c r="C2244" s="5" t="s">
        <v>6386</v>
      </c>
      <c r="D2244" s="5">
        <v>0</v>
      </c>
      <c r="E2244" s="5">
        <v>0</v>
      </c>
      <c r="F2244" s="5">
        <v>1</v>
      </c>
      <c r="G2244" s="5">
        <v>0</v>
      </c>
      <c r="H2244" s="5">
        <v>0</v>
      </c>
      <c r="I2244" s="5">
        <v>0</v>
      </c>
      <c r="J2244" s="5">
        <v>0</v>
      </c>
      <c r="K2244" s="5">
        <v>0</v>
      </c>
      <c r="L2244" s="5">
        <v>0</v>
      </c>
      <c r="M2244" s="5">
        <v>0</v>
      </c>
      <c r="N2244" s="5">
        <v>0</v>
      </c>
      <c r="O2244" s="5" t="str">
        <f t="shared" ca="1" si="35"/>
        <v>Supplier 130</v>
      </c>
      <c r="P2244" s="20" t="str">
        <f ca="1">IFERROR(VLOOKUP(O2244,EMAILS!B:C,2,FALSE),"NOT FOUND IN EMAILS")</f>
        <v>supplier@gmail.com</v>
      </c>
      <c r="Q2244" t="str">
        <f ca="1">""&amp;IFERROR(VLOOKUP(O2244,EMAILS!B:D,3,FALSE),"NOT FOUND IN EMAILS")</f>
        <v/>
      </c>
      <c r="R2244" t="str">
        <f ca="1">""&amp;IFERROR(VLOOKUP(O2244,EMAILS!B:E,4,FALSE),"NO T FOUND IN EMAILS")</f>
        <v/>
      </c>
    </row>
    <row r="2245" spans="2:18" x14ac:dyDescent="0.25">
      <c r="B2245" s="5" t="s">
        <v>2247</v>
      </c>
      <c r="C2245" s="5" t="s">
        <v>6387</v>
      </c>
      <c r="D2245" s="5">
        <v>0</v>
      </c>
      <c r="E2245" s="5">
        <v>0</v>
      </c>
      <c r="F2245" s="5">
        <v>0</v>
      </c>
      <c r="G2245" s="5">
        <v>0</v>
      </c>
      <c r="H2245" s="5">
        <v>0</v>
      </c>
      <c r="I2245" s="5">
        <v>0</v>
      </c>
      <c r="J2245" s="5">
        <v>0</v>
      </c>
      <c r="K2245" s="5">
        <v>0</v>
      </c>
      <c r="L2245" s="5">
        <v>0</v>
      </c>
      <c r="M2245" s="5">
        <v>0</v>
      </c>
      <c r="N2245" s="5">
        <v>0</v>
      </c>
      <c r="O2245" s="5" t="str">
        <f t="shared" ca="1" si="35"/>
        <v>Supplier 155</v>
      </c>
      <c r="P2245" s="20" t="str">
        <f ca="1">IFERROR(VLOOKUP(O2245,EMAILS!B:C,2,FALSE),"NOT FOUND IN EMAILS")</f>
        <v>supplier@gmail.com</v>
      </c>
      <c r="Q2245" t="str">
        <f ca="1">""&amp;IFERROR(VLOOKUP(O2245,EMAILS!B:D,3,FALSE),"NOT FOUND IN EMAILS")</f>
        <v/>
      </c>
      <c r="R2245" t="str">
        <f ca="1">""&amp;IFERROR(VLOOKUP(O2245,EMAILS!B:E,4,FALSE),"NO T FOUND IN EMAILS")</f>
        <v/>
      </c>
    </row>
    <row r="2246" spans="2:18" x14ac:dyDescent="0.25">
      <c r="B2246" s="5" t="s">
        <v>2248</v>
      </c>
      <c r="C2246" s="5" t="s">
        <v>6388</v>
      </c>
      <c r="D2246" s="5">
        <v>0</v>
      </c>
      <c r="E2246" s="5">
        <v>0</v>
      </c>
      <c r="F2246" s="5">
        <v>1</v>
      </c>
      <c r="G2246" s="5">
        <v>0</v>
      </c>
      <c r="H2246" s="5">
        <v>0</v>
      </c>
      <c r="I2246" s="5">
        <v>0</v>
      </c>
      <c r="J2246" s="5">
        <v>0</v>
      </c>
      <c r="K2246" s="5">
        <v>0</v>
      </c>
      <c r="L2246" s="5">
        <v>0</v>
      </c>
      <c r="M2246" s="5">
        <v>0</v>
      </c>
      <c r="N2246" s="5">
        <v>0</v>
      </c>
      <c r="O2246" s="5" t="str">
        <f t="shared" ca="1" si="35"/>
        <v>Supplier 58</v>
      </c>
      <c r="P2246" s="20" t="str">
        <f ca="1">IFERROR(VLOOKUP(O2246,EMAILS!B:C,2,FALSE),"NOT FOUND IN EMAILS")</f>
        <v>supplier@gmail.com</v>
      </c>
      <c r="Q2246" t="str">
        <f ca="1">""&amp;IFERROR(VLOOKUP(O2246,EMAILS!B:D,3,FALSE),"NOT FOUND IN EMAILS")</f>
        <v/>
      </c>
      <c r="R2246" t="str">
        <f ca="1">""&amp;IFERROR(VLOOKUP(O2246,EMAILS!B:E,4,FALSE),"NO T FOUND IN EMAILS")</f>
        <v/>
      </c>
    </row>
    <row r="2247" spans="2:18" x14ac:dyDescent="0.25">
      <c r="B2247" s="5" t="s">
        <v>2249</v>
      </c>
      <c r="C2247" s="5" t="s">
        <v>6389</v>
      </c>
      <c r="D2247" s="5">
        <v>1</v>
      </c>
      <c r="E2247" s="5">
        <v>0</v>
      </c>
      <c r="F2247" s="5">
        <v>0</v>
      </c>
      <c r="G2247" s="5">
        <v>0</v>
      </c>
      <c r="H2247" s="5">
        <v>0</v>
      </c>
      <c r="I2247" s="5">
        <v>0</v>
      </c>
      <c r="J2247" s="5">
        <v>0</v>
      </c>
      <c r="K2247" s="5">
        <v>0</v>
      </c>
      <c r="L2247" s="5">
        <v>0</v>
      </c>
      <c r="M2247" s="5">
        <v>0</v>
      </c>
      <c r="N2247" s="5">
        <v>0</v>
      </c>
      <c r="O2247" s="5" t="str">
        <f t="shared" ca="1" si="35"/>
        <v>Supplier 21</v>
      </c>
      <c r="P2247" s="20" t="str">
        <f ca="1">IFERROR(VLOOKUP(O2247,EMAILS!B:C,2,FALSE),"NOT FOUND IN EMAILS")</f>
        <v>supplier@gmail.com</v>
      </c>
      <c r="Q2247" t="str">
        <f ca="1">""&amp;IFERROR(VLOOKUP(O2247,EMAILS!B:D,3,FALSE),"NOT FOUND IN EMAILS")</f>
        <v/>
      </c>
      <c r="R2247" t="str">
        <f ca="1">""&amp;IFERROR(VLOOKUP(O2247,EMAILS!B:E,4,FALSE),"NO T FOUND IN EMAILS")</f>
        <v/>
      </c>
    </row>
    <row r="2248" spans="2:18" x14ac:dyDescent="0.25">
      <c r="B2248" s="5" t="s">
        <v>2250</v>
      </c>
      <c r="C2248" s="5" t="s">
        <v>6390</v>
      </c>
      <c r="D2248" s="5">
        <v>0</v>
      </c>
      <c r="E2248" s="5">
        <v>0</v>
      </c>
      <c r="F2248" s="5">
        <v>0</v>
      </c>
      <c r="G2248" s="5">
        <v>0</v>
      </c>
      <c r="H2248" s="5">
        <v>0</v>
      </c>
      <c r="I2248" s="5">
        <v>0</v>
      </c>
      <c r="J2248" s="5">
        <v>0</v>
      </c>
      <c r="K2248" s="5">
        <v>0</v>
      </c>
      <c r="L2248" s="5">
        <v>0</v>
      </c>
      <c r="M2248" s="5">
        <v>0</v>
      </c>
      <c r="N2248" s="5">
        <v>0</v>
      </c>
      <c r="O2248" s="5" t="str">
        <f t="shared" ca="1" si="35"/>
        <v>Supplier 31</v>
      </c>
      <c r="P2248" s="20" t="str">
        <f ca="1">IFERROR(VLOOKUP(O2248,EMAILS!B:C,2,FALSE),"NOT FOUND IN EMAILS")</f>
        <v>supplier@gmail.com</v>
      </c>
      <c r="Q2248" t="str">
        <f ca="1">""&amp;IFERROR(VLOOKUP(O2248,EMAILS!B:D,3,FALSE),"NOT FOUND IN EMAILS")</f>
        <v/>
      </c>
      <c r="R2248" t="str">
        <f ca="1">""&amp;IFERROR(VLOOKUP(O2248,EMAILS!B:E,4,FALSE),"NO T FOUND IN EMAILS")</f>
        <v/>
      </c>
    </row>
    <row r="2249" spans="2:18" x14ac:dyDescent="0.25">
      <c r="B2249" s="5" t="s">
        <v>2251</v>
      </c>
      <c r="C2249" s="5" t="s">
        <v>6391</v>
      </c>
      <c r="D2249" s="5">
        <v>1</v>
      </c>
      <c r="E2249" s="5">
        <v>0</v>
      </c>
      <c r="F2249" s="5">
        <v>0</v>
      </c>
      <c r="G2249" s="5">
        <v>1</v>
      </c>
      <c r="H2249" s="5">
        <v>0</v>
      </c>
      <c r="I2249" s="5">
        <v>0</v>
      </c>
      <c r="J2249" s="5">
        <v>0</v>
      </c>
      <c r="K2249" s="5">
        <v>0</v>
      </c>
      <c r="L2249" s="5">
        <v>0</v>
      </c>
      <c r="M2249" s="5">
        <v>0</v>
      </c>
      <c r="N2249" s="5">
        <v>38</v>
      </c>
      <c r="O2249" s="5" t="str">
        <f t="shared" ca="1" si="35"/>
        <v>Supplier 16</v>
      </c>
      <c r="P2249" s="20" t="str">
        <f ca="1">IFERROR(VLOOKUP(O2249,EMAILS!B:C,2,FALSE),"NOT FOUND IN EMAILS")</f>
        <v>supplier@gmail.com</v>
      </c>
      <c r="Q2249" t="str">
        <f ca="1">""&amp;IFERROR(VLOOKUP(O2249,EMAILS!B:D,3,FALSE),"NOT FOUND IN EMAILS")</f>
        <v>supplier_logistics@gmail.com</v>
      </c>
      <c r="R2249" t="str">
        <f ca="1">""&amp;IFERROR(VLOOKUP(O2249,EMAILS!B:E,4,FALSE),"NO T FOUND IN EMAILS")</f>
        <v/>
      </c>
    </row>
    <row r="2250" spans="2:18" x14ac:dyDescent="0.25">
      <c r="B2250" s="5" t="s">
        <v>2252</v>
      </c>
      <c r="C2250" s="5" t="s">
        <v>6392</v>
      </c>
      <c r="D2250" s="5">
        <v>0</v>
      </c>
      <c r="E2250" s="5">
        <v>0</v>
      </c>
      <c r="F2250" s="5">
        <v>0</v>
      </c>
      <c r="G2250" s="5">
        <v>0</v>
      </c>
      <c r="H2250" s="5">
        <v>0</v>
      </c>
      <c r="I2250" s="5">
        <v>0</v>
      </c>
      <c r="J2250" s="5">
        <v>0</v>
      </c>
      <c r="K2250" s="5">
        <v>0</v>
      </c>
      <c r="L2250" s="5">
        <v>0</v>
      </c>
      <c r="M2250" s="5">
        <v>0</v>
      </c>
      <c r="N2250" s="5">
        <v>42</v>
      </c>
      <c r="O2250" s="5" t="str">
        <f t="shared" ca="1" si="35"/>
        <v>Supplier 12</v>
      </c>
      <c r="P2250" s="20" t="str">
        <f ca="1">IFERROR(VLOOKUP(O2250,EMAILS!B:C,2,FALSE),"NOT FOUND IN EMAILS")</f>
        <v>supplier@gmail.com</v>
      </c>
      <c r="Q2250" t="str">
        <f ca="1">""&amp;IFERROR(VLOOKUP(O2250,EMAILS!B:D,3,FALSE),"NOT FOUND IN EMAILS")</f>
        <v>supplier_logistics@gmail.com</v>
      </c>
      <c r="R2250" t="str">
        <f ca="1">""&amp;IFERROR(VLOOKUP(O2250,EMAILS!B:E,4,FALSE),"NO T FOUND IN EMAILS")</f>
        <v/>
      </c>
    </row>
    <row r="2251" spans="2:18" x14ac:dyDescent="0.25">
      <c r="B2251" s="5" t="s">
        <v>2253</v>
      </c>
      <c r="C2251" s="5" t="s">
        <v>6393</v>
      </c>
      <c r="D2251" s="5">
        <v>0</v>
      </c>
      <c r="E2251" s="5">
        <v>0</v>
      </c>
      <c r="F2251" s="5">
        <v>0</v>
      </c>
      <c r="G2251" s="5">
        <v>0</v>
      </c>
      <c r="H2251" s="5">
        <v>0</v>
      </c>
      <c r="I2251" s="5">
        <v>0</v>
      </c>
      <c r="J2251" s="5">
        <v>0</v>
      </c>
      <c r="K2251" s="5">
        <v>0</v>
      </c>
      <c r="L2251" s="5">
        <v>0</v>
      </c>
      <c r="M2251" s="5">
        <v>0</v>
      </c>
      <c r="N2251" s="5">
        <v>997</v>
      </c>
      <c r="O2251" s="5" t="str">
        <f t="shared" ca="1" si="35"/>
        <v>Supplier 24</v>
      </c>
      <c r="P2251" s="20" t="str">
        <f ca="1">IFERROR(VLOOKUP(O2251,EMAILS!B:C,2,FALSE),"NOT FOUND IN EMAILS")</f>
        <v>supplier@gmail.com</v>
      </c>
      <c r="Q2251" t="str">
        <f ca="1">""&amp;IFERROR(VLOOKUP(O2251,EMAILS!B:D,3,FALSE),"NOT FOUND IN EMAILS")</f>
        <v/>
      </c>
      <c r="R2251" t="str">
        <f ca="1">""&amp;IFERROR(VLOOKUP(O2251,EMAILS!B:E,4,FALSE),"NO T FOUND IN EMAILS")</f>
        <v/>
      </c>
    </row>
    <row r="2252" spans="2:18" x14ac:dyDescent="0.25">
      <c r="B2252" s="5" t="s">
        <v>2254</v>
      </c>
      <c r="C2252" s="5" t="s">
        <v>6394</v>
      </c>
      <c r="D2252" s="5">
        <v>10</v>
      </c>
      <c r="E2252" s="5">
        <v>20</v>
      </c>
      <c r="F2252" s="5">
        <v>30</v>
      </c>
      <c r="G2252" s="5">
        <v>0</v>
      </c>
      <c r="H2252" s="5">
        <v>0</v>
      </c>
      <c r="I2252" s="5">
        <v>0</v>
      </c>
      <c r="J2252" s="5">
        <v>0</v>
      </c>
      <c r="K2252" s="5">
        <v>0</v>
      </c>
      <c r="L2252" s="5">
        <v>50</v>
      </c>
      <c r="M2252" s="5">
        <v>0</v>
      </c>
      <c r="N2252" s="5">
        <v>840</v>
      </c>
      <c r="O2252" s="5" t="str">
        <f t="shared" ca="1" si="35"/>
        <v>Supplier 153</v>
      </c>
      <c r="P2252" s="20" t="str">
        <f ca="1">IFERROR(VLOOKUP(O2252,EMAILS!B:C,2,FALSE),"NOT FOUND IN EMAILS")</f>
        <v>supplier@gmail.com</v>
      </c>
      <c r="Q2252" t="str">
        <f ca="1">""&amp;IFERROR(VLOOKUP(O2252,EMAILS!B:D,3,FALSE),"NOT FOUND IN EMAILS")</f>
        <v/>
      </c>
      <c r="R2252" t="str">
        <f ca="1">""&amp;IFERROR(VLOOKUP(O2252,EMAILS!B:E,4,FALSE),"NO T FOUND IN EMAILS")</f>
        <v/>
      </c>
    </row>
    <row r="2253" spans="2:18" x14ac:dyDescent="0.25">
      <c r="B2253" s="5" t="s">
        <v>2255</v>
      </c>
      <c r="C2253" s="5" t="s">
        <v>6395</v>
      </c>
      <c r="D2253" s="5">
        <v>10</v>
      </c>
      <c r="E2253" s="5">
        <v>20</v>
      </c>
      <c r="F2253" s="5">
        <v>30</v>
      </c>
      <c r="G2253" s="5">
        <v>0</v>
      </c>
      <c r="H2253" s="5">
        <v>0</v>
      </c>
      <c r="I2253" s="5">
        <v>0</v>
      </c>
      <c r="J2253" s="5">
        <v>0</v>
      </c>
      <c r="K2253" s="5">
        <v>0</v>
      </c>
      <c r="L2253" s="5">
        <v>50</v>
      </c>
      <c r="M2253" s="5">
        <v>0</v>
      </c>
      <c r="N2253" s="5">
        <v>14</v>
      </c>
      <c r="O2253" s="5" t="str">
        <f t="shared" ca="1" si="35"/>
        <v>Supplier 60</v>
      </c>
      <c r="P2253" s="20" t="str">
        <f ca="1">IFERROR(VLOOKUP(O2253,EMAILS!B:C,2,FALSE),"NOT FOUND IN EMAILS")</f>
        <v>supplier@gmail.com</v>
      </c>
      <c r="Q2253" t="str">
        <f ca="1">""&amp;IFERROR(VLOOKUP(O2253,EMAILS!B:D,3,FALSE),"NOT FOUND IN EMAILS")</f>
        <v/>
      </c>
      <c r="R2253" t="str">
        <f ca="1">""&amp;IFERROR(VLOOKUP(O2253,EMAILS!B:E,4,FALSE),"NO T FOUND IN EMAILS")</f>
        <v/>
      </c>
    </row>
    <row r="2254" spans="2:18" x14ac:dyDescent="0.25">
      <c r="B2254" s="5" t="s">
        <v>2256</v>
      </c>
      <c r="C2254" s="5" t="s">
        <v>6396</v>
      </c>
      <c r="D2254" s="5">
        <v>0</v>
      </c>
      <c r="E2254" s="5">
        <v>0</v>
      </c>
      <c r="F2254" s="5">
        <v>0</v>
      </c>
      <c r="G2254" s="5">
        <v>0</v>
      </c>
      <c r="H2254" s="5">
        <v>0</v>
      </c>
      <c r="I2254" s="5">
        <v>0</v>
      </c>
      <c r="J2254" s="5">
        <v>0</v>
      </c>
      <c r="K2254" s="5">
        <v>0</v>
      </c>
      <c r="L2254" s="5">
        <v>0</v>
      </c>
      <c r="M2254" s="5">
        <v>0</v>
      </c>
      <c r="N2254" s="5">
        <v>47</v>
      </c>
      <c r="O2254" s="5" t="str">
        <f t="shared" ca="1" si="35"/>
        <v>Supplier 156</v>
      </c>
      <c r="P2254" s="20" t="str">
        <f ca="1">IFERROR(VLOOKUP(O2254,EMAILS!B:C,2,FALSE),"NOT FOUND IN EMAILS")</f>
        <v>supplier@gmail.com</v>
      </c>
      <c r="Q2254" t="str">
        <f ca="1">""&amp;IFERROR(VLOOKUP(O2254,EMAILS!B:D,3,FALSE),"NOT FOUND IN EMAILS")</f>
        <v/>
      </c>
      <c r="R2254" t="str">
        <f ca="1">""&amp;IFERROR(VLOOKUP(O2254,EMAILS!B:E,4,FALSE),"NO T FOUND IN EMAILS")</f>
        <v/>
      </c>
    </row>
    <row r="2255" spans="2:18" x14ac:dyDescent="0.25">
      <c r="B2255" s="5" t="s">
        <v>2257</v>
      </c>
      <c r="C2255" s="5" t="s">
        <v>6397</v>
      </c>
      <c r="D2255" s="5">
        <v>0</v>
      </c>
      <c r="E2255" s="5">
        <v>0</v>
      </c>
      <c r="F2255" s="5">
        <v>0</v>
      </c>
      <c r="G2255" s="5">
        <v>0</v>
      </c>
      <c r="H2255" s="5">
        <v>0</v>
      </c>
      <c r="I2255" s="5">
        <v>0</v>
      </c>
      <c r="J2255" s="5">
        <v>0</v>
      </c>
      <c r="K2255" s="5">
        <v>0</v>
      </c>
      <c r="L2255" s="5">
        <v>0</v>
      </c>
      <c r="M2255" s="5">
        <v>0</v>
      </c>
      <c r="N2255" s="5">
        <v>12</v>
      </c>
      <c r="O2255" s="5" t="str">
        <f t="shared" ca="1" si="35"/>
        <v>Supplier 162</v>
      </c>
      <c r="P2255" s="20" t="str">
        <f ca="1">IFERROR(VLOOKUP(O2255,EMAILS!B:C,2,FALSE),"NOT FOUND IN EMAILS")</f>
        <v>supplier@gmail.com</v>
      </c>
      <c r="Q2255" t="str">
        <f ca="1">""&amp;IFERROR(VLOOKUP(O2255,EMAILS!B:D,3,FALSE),"NOT FOUND IN EMAILS")</f>
        <v/>
      </c>
      <c r="R2255" t="str">
        <f ca="1">""&amp;IFERROR(VLOOKUP(O2255,EMAILS!B:E,4,FALSE),"NO T FOUND IN EMAILS")</f>
        <v/>
      </c>
    </row>
    <row r="2256" spans="2:18" x14ac:dyDescent="0.25">
      <c r="B2256" s="5" t="s">
        <v>2258</v>
      </c>
      <c r="C2256" s="5" t="s">
        <v>6398</v>
      </c>
      <c r="D2256" s="5">
        <v>0</v>
      </c>
      <c r="E2256" s="5">
        <v>0</v>
      </c>
      <c r="F2256" s="5">
        <v>0</v>
      </c>
      <c r="G2256" s="5">
        <v>0</v>
      </c>
      <c r="H2256" s="5">
        <v>0</v>
      </c>
      <c r="I2256" s="5">
        <v>0</v>
      </c>
      <c r="J2256" s="5">
        <v>0</v>
      </c>
      <c r="K2256" s="5">
        <v>0</v>
      </c>
      <c r="L2256" s="5">
        <v>0</v>
      </c>
      <c r="M2256" s="5">
        <v>0</v>
      </c>
      <c r="N2256" s="5">
        <v>8</v>
      </c>
      <c r="O2256" s="5" t="str">
        <f t="shared" ca="1" si="35"/>
        <v>Supplier 5</v>
      </c>
      <c r="P2256" s="20" t="str">
        <f ca="1">IFERROR(VLOOKUP(O2256,EMAILS!B:C,2,FALSE),"NOT FOUND IN EMAILS")</f>
        <v>supplier@gmail.com</v>
      </c>
      <c r="Q2256" t="str">
        <f ca="1">""&amp;IFERROR(VLOOKUP(O2256,EMAILS!B:D,3,FALSE),"NOT FOUND IN EMAILS")</f>
        <v>supplier_logistics@gmail.com</v>
      </c>
      <c r="R2256" t="str">
        <f ca="1">""&amp;IFERROR(VLOOKUP(O2256,EMAILS!B:E,4,FALSE),"NO T FOUND IN EMAILS")</f>
        <v/>
      </c>
    </row>
    <row r="2257" spans="2:18" x14ac:dyDescent="0.25">
      <c r="B2257" s="5" t="s">
        <v>2259</v>
      </c>
      <c r="C2257" s="5" t="s">
        <v>6399</v>
      </c>
      <c r="D2257" s="5">
        <v>0</v>
      </c>
      <c r="E2257" s="5">
        <v>0</v>
      </c>
      <c r="F2257" s="5">
        <v>0</v>
      </c>
      <c r="G2257" s="5">
        <v>0</v>
      </c>
      <c r="H2257" s="5">
        <v>0</v>
      </c>
      <c r="I2257" s="5">
        <v>0</v>
      </c>
      <c r="J2257" s="5">
        <v>0</v>
      </c>
      <c r="K2257" s="5">
        <v>0</v>
      </c>
      <c r="L2257" s="5">
        <v>0</v>
      </c>
      <c r="M2257" s="5">
        <v>0</v>
      </c>
      <c r="N2257" s="5">
        <v>8</v>
      </c>
      <c r="O2257" s="5" t="str">
        <f t="shared" ca="1" si="35"/>
        <v>Supplier 128</v>
      </c>
      <c r="P2257" s="20" t="str">
        <f ca="1">IFERROR(VLOOKUP(O2257,EMAILS!B:C,2,FALSE),"NOT FOUND IN EMAILS")</f>
        <v>supplier@gmail.com</v>
      </c>
      <c r="Q2257" t="str">
        <f ca="1">""&amp;IFERROR(VLOOKUP(O2257,EMAILS!B:D,3,FALSE),"NOT FOUND IN EMAILS")</f>
        <v/>
      </c>
      <c r="R2257" t="str">
        <f ca="1">""&amp;IFERROR(VLOOKUP(O2257,EMAILS!B:E,4,FALSE),"NO T FOUND IN EMAILS")</f>
        <v/>
      </c>
    </row>
    <row r="2258" spans="2:18" x14ac:dyDescent="0.25">
      <c r="B2258" s="5" t="s">
        <v>2260</v>
      </c>
      <c r="C2258" s="5" t="s">
        <v>6400</v>
      </c>
      <c r="D2258" s="5">
        <v>0</v>
      </c>
      <c r="E2258" s="5">
        <v>0</v>
      </c>
      <c r="F2258" s="5">
        <v>0</v>
      </c>
      <c r="G2258" s="5">
        <v>0</v>
      </c>
      <c r="H2258" s="5">
        <v>0</v>
      </c>
      <c r="I2258" s="5">
        <v>0</v>
      </c>
      <c r="J2258" s="5">
        <v>0</v>
      </c>
      <c r="K2258" s="5">
        <v>0</v>
      </c>
      <c r="L2258" s="5">
        <v>0</v>
      </c>
      <c r="M2258" s="5">
        <v>0</v>
      </c>
      <c r="N2258" s="5">
        <v>8</v>
      </c>
      <c r="O2258" s="5" t="str">
        <f t="shared" ca="1" si="35"/>
        <v>Supplier 93</v>
      </c>
      <c r="P2258" s="20" t="str">
        <f ca="1">IFERROR(VLOOKUP(O2258,EMAILS!B:C,2,FALSE),"NOT FOUND IN EMAILS")</f>
        <v>supplier@gmail.com</v>
      </c>
      <c r="Q2258" t="str">
        <f ca="1">""&amp;IFERROR(VLOOKUP(O2258,EMAILS!B:D,3,FALSE),"NOT FOUND IN EMAILS")</f>
        <v/>
      </c>
      <c r="R2258" t="str">
        <f ca="1">""&amp;IFERROR(VLOOKUP(O2258,EMAILS!B:E,4,FALSE),"NO T FOUND IN EMAILS")</f>
        <v/>
      </c>
    </row>
    <row r="2259" spans="2:18" x14ac:dyDescent="0.25">
      <c r="B2259" s="5" t="s">
        <v>2261</v>
      </c>
      <c r="C2259" s="5" t="s">
        <v>6401</v>
      </c>
      <c r="D2259" s="5">
        <v>0</v>
      </c>
      <c r="E2259" s="5">
        <v>0</v>
      </c>
      <c r="F2259" s="5">
        <v>0</v>
      </c>
      <c r="G2259" s="5">
        <v>0</v>
      </c>
      <c r="H2259" s="5">
        <v>0</v>
      </c>
      <c r="I2259" s="5">
        <v>0</v>
      </c>
      <c r="J2259" s="5">
        <v>0</v>
      </c>
      <c r="K2259" s="5">
        <v>0</v>
      </c>
      <c r="L2259" s="5">
        <v>0</v>
      </c>
      <c r="M2259" s="5">
        <v>0</v>
      </c>
      <c r="N2259" s="5">
        <v>32</v>
      </c>
      <c r="O2259" s="5" t="str">
        <f t="shared" ca="1" si="35"/>
        <v>Supplier 160</v>
      </c>
      <c r="P2259" s="20" t="str">
        <f ca="1">IFERROR(VLOOKUP(O2259,EMAILS!B:C,2,FALSE),"NOT FOUND IN EMAILS")</f>
        <v>supplier@gmail.com</v>
      </c>
      <c r="Q2259" t="str">
        <f ca="1">""&amp;IFERROR(VLOOKUP(O2259,EMAILS!B:D,3,FALSE),"NOT FOUND IN EMAILS")</f>
        <v/>
      </c>
      <c r="R2259" t="str">
        <f ca="1">""&amp;IFERROR(VLOOKUP(O2259,EMAILS!B:E,4,FALSE),"NO T FOUND IN EMAILS")</f>
        <v/>
      </c>
    </row>
    <row r="2260" spans="2:18" x14ac:dyDescent="0.25">
      <c r="B2260" s="5" t="s">
        <v>2262</v>
      </c>
      <c r="C2260" s="5" t="s">
        <v>6402</v>
      </c>
      <c r="D2260" s="5">
        <v>0</v>
      </c>
      <c r="E2260" s="5">
        <v>0</v>
      </c>
      <c r="F2260" s="5">
        <v>0</v>
      </c>
      <c r="G2260" s="5">
        <v>0</v>
      </c>
      <c r="H2260" s="5">
        <v>0</v>
      </c>
      <c r="I2260" s="5">
        <v>0</v>
      </c>
      <c r="J2260" s="5">
        <v>0</v>
      </c>
      <c r="K2260" s="5">
        <v>0</v>
      </c>
      <c r="L2260" s="5">
        <v>0</v>
      </c>
      <c r="M2260" s="5">
        <v>0</v>
      </c>
      <c r="N2260" s="5">
        <v>8</v>
      </c>
      <c r="O2260" s="5" t="str">
        <f t="shared" ca="1" si="35"/>
        <v>Supplier 167</v>
      </c>
      <c r="P2260" s="20" t="str">
        <f ca="1">IFERROR(VLOOKUP(O2260,EMAILS!B:C,2,FALSE),"NOT FOUND IN EMAILS")</f>
        <v>supplier@gmail.com</v>
      </c>
      <c r="Q2260" t="str">
        <f ca="1">""&amp;IFERROR(VLOOKUP(O2260,EMAILS!B:D,3,FALSE),"NOT FOUND IN EMAILS")</f>
        <v/>
      </c>
      <c r="R2260" t="str">
        <f ca="1">""&amp;IFERROR(VLOOKUP(O2260,EMAILS!B:E,4,FALSE),"NO T FOUND IN EMAILS")</f>
        <v/>
      </c>
    </row>
    <row r="2261" spans="2:18" x14ac:dyDescent="0.25">
      <c r="B2261" s="5" t="s">
        <v>2263</v>
      </c>
      <c r="C2261" s="5" t="s">
        <v>6403</v>
      </c>
      <c r="D2261" s="5">
        <v>0</v>
      </c>
      <c r="E2261" s="5">
        <v>0</v>
      </c>
      <c r="F2261" s="5">
        <v>0</v>
      </c>
      <c r="G2261" s="5">
        <v>0</v>
      </c>
      <c r="H2261" s="5">
        <v>0</v>
      </c>
      <c r="I2261" s="5">
        <v>0</v>
      </c>
      <c r="J2261" s="5">
        <v>0</v>
      </c>
      <c r="K2261" s="5">
        <v>0</v>
      </c>
      <c r="L2261" s="5">
        <v>0</v>
      </c>
      <c r="M2261" s="5">
        <v>0</v>
      </c>
      <c r="N2261" s="5">
        <v>12</v>
      </c>
      <c r="O2261" s="5" t="str">
        <f t="shared" ca="1" si="35"/>
        <v>Supplier 77</v>
      </c>
      <c r="P2261" s="20" t="str">
        <f ca="1">IFERROR(VLOOKUP(O2261,EMAILS!B:C,2,FALSE),"NOT FOUND IN EMAILS")</f>
        <v>supplier@gmail.com</v>
      </c>
      <c r="Q2261" t="str">
        <f ca="1">""&amp;IFERROR(VLOOKUP(O2261,EMAILS!B:D,3,FALSE),"NOT FOUND IN EMAILS")</f>
        <v/>
      </c>
      <c r="R2261" t="str">
        <f ca="1">""&amp;IFERROR(VLOOKUP(O2261,EMAILS!B:E,4,FALSE),"NO T FOUND IN EMAILS")</f>
        <v/>
      </c>
    </row>
    <row r="2262" spans="2:18" x14ac:dyDescent="0.25">
      <c r="B2262" s="5" t="s">
        <v>2264</v>
      </c>
      <c r="C2262" s="5" t="s">
        <v>6404</v>
      </c>
      <c r="D2262" s="5">
        <v>0</v>
      </c>
      <c r="E2262" s="5">
        <v>0</v>
      </c>
      <c r="F2262" s="5">
        <v>0</v>
      </c>
      <c r="G2262" s="5">
        <v>0</v>
      </c>
      <c r="H2262" s="5">
        <v>0</v>
      </c>
      <c r="I2262" s="5">
        <v>0</v>
      </c>
      <c r="J2262" s="5">
        <v>0</v>
      </c>
      <c r="K2262" s="5">
        <v>0</v>
      </c>
      <c r="L2262" s="5">
        <v>0</v>
      </c>
      <c r="M2262" s="5">
        <v>0</v>
      </c>
      <c r="N2262" s="5">
        <v>8</v>
      </c>
      <c r="O2262" s="5" t="str">
        <f t="shared" ca="1" si="35"/>
        <v>Supplier 117</v>
      </c>
      <c r="P2262" s="20" t="str">
        <f ca="1">IFERROR(VLOOKUP(O2262,EMAILS!B:C,2,FALSE),"NOT FOUND IN EMAILS")</f>
        <v>supplier@gmail.com</v>
      </c>
      <c r="Q2262" t="str">
        <f ca="1">""&amp;IFERROR(VLOOKUP(O2262,EMAILS!B:D,3,FALSE),"NOT FOUND IN EMAILS")</f>
        <v/>
      </c>
      <c r="R2262" t="str">
        <f ca="1">""&amp;IFERROR(VLOOKUP(O2262,EMAILS!B:E,4,FALSE),"NO T FOUND IN EMAILS")</f>
        <v/>
      </c>
    </row>
    <row r="2263" spans="2:18" x14ac:dyDescent="0.25">
      <c r="B2263" s="5" t="s">
        <v>2265</v>
      </c>
      <c r="C2263" s="5" t="s">
        <v>6405</v>
      </c>
      <c r="D2263" s="5">
        <v>0</v>
      </c>
      <c r="E2263" s="5">
        <v>0</v>
      </c>
      <c r="F2263" s="5">
        <v>0</v>
      </c>
      <c r="G2263" s="5">
        <v>0</v>
      </c>
      <c r="H2263" s="5">
        <v>0</v>
      </c>
      <c r="I2263" s="5">
        <v>0</v>
      </c>
      <c r="J2263" s="5">
        <v>0</v>
      </c>
      <c r="K2263" s="5">
        <v>0</v>
      </c>
      <c r="L2263" s="5">
        <v>0</v>
      </c>
      <c r="M2263" s="5">
        <v>0</v>
      </c>
      <c r="N2263" s="5">
        <v>8</v>
      </c>
      <c r="O2263" s="5" t="str">
        <f t="shared" ca="1" si="35"/>
        <v>Supplier 184</v>
      </c>
      <c r="P2263" s="20" t="str">
        <f ca="1">IFERROR(VLOOKUP(O2263,EMAILS!B:C,2,FALSE),"NOT FOUND IN EMAILS")</f>
        <v>supplier@gmail.com</v>
      </c>
      <c r="Q2263" t="str">
        <f ca="1">""&amp;IFERROR(VLOOKUP(O2263,EMAILS!B:D,3,FALSE),"NOT FOUND IN EMAILS")</f>
        <v/>
      </c>
      <c r="R2263" t="str">
        <f ca="1">""&amp;IFERROR(VLOOKUP(O2263,EMAILS!B:E,4,FALSE),"NO T FOUND IN EMAILS")</f>
        <v/>
      </c>
    </row>
    <row r="2264" spans="2:18" x14ac:dyDescent="0.25">
      <c r="B2264" s="5" t="s">
        <v>2266</v>
      </c>
      <c r="C2264" s="5" t="s">
        <v>6406</v>
      </c>
      <c r="D2264" s="5">
        <v>0</v>
      </c>
      <c r="E2264" s="5">
        <v>0</v>
      </c>
      <c r="F2264" s="5">
        <v>0</v>
      </c>
      <c r="G2264" s="5">
        <v>0</v>
      </c>
      <c r="H2264" s="5">
        <v>0</v>
      </c>
      <c r="I2264" s="5">
        <v>0</v>
      </c>
      <c r="J2264" s="5">
        <v>0</v>
      </c>
      <c r="K2264" s="5">
        <v>0</v>
      </c>
      <c r="L2264" s="5">
        <v>0</v>
      </c>
      <c r="M2264" s="5">
        <v>0</v>
      </c>
      <c r="N2264" s="5">
        <v>12</v>
      </c>
      <c r="O2264" s="5" t="str">
        <f t="shared" ca="1" si="35"/>
        <v>Supplier 71</v>
      </c>
      <c r="P2264" s="20" t="str">
        <f ca="1">IFERROR(VLOOKUP(O2264,EMAILS!B:C,2,FALSE),"NOT FOUND IN EMAILS")</f>
        <v>supplier@gmail.com</v>
      </c>
      <c r="Q2264" t="str">
        <f ca="1">""&amp;IFERROR(VLOOKUP(O2264,EMAILS!B:D,3,FALSE),"NOT FOUND IN EMAILS")</f>
        <v/>
      </c>
      <c r="R2264" t="str">
        <f ca="1">""&amp;IFERROR(VLOOKUP(O2264,EMAILS!B:E,4,FALSE),"NO T FOUND IN EMAILS")</f>
        <v/>
      </c>
    </row>
    <row r="2265" spans="2:18" x14ac:dyDescent="0.25">
      <c r="B2265" s="5" t="s">
        <v>2267</v>
      </c>
      <c r="C2265" s="5" t="s">
        <v>6407</v>
      </c>
      <c r="D2265" s="5">
        <v>0</v>
      </c>
      <c r="E2265" s="5">
        <v>0</v>
      </c>
      <c r="F2265" s="5">
        <v>0</v>
      </c>
      <c r="G2265" s="5">
        <v>0</v>
      </c>
      <c r="H2265" s="5">
        <v>0</v>
      </c>
      <c r="I2265" s="5">
        <v>0</v>
      </c>
      <c r="J2265" s="5">
        <v>0</v>
      </c>
      <c r="K2265" s="5">
        <v>0</v>
      </c>
      <c r="L2265" s="5">
        <v>0</v>
      </c>
      <c r="M2265" s="5">
        <v>0</v>
      </c>
      <c r="N2265" s="5">
        <v>8</v>
      </c>
      <c r="O2265" s="5" t="str">
        <f t="shared" ca="1" si="35"/>
        <v>Supplier 111</v>
      </c>
      <c r="P2265" s="20" t="str">
        <f ca="1">IFERROR(VLOOKUP(O2265,EMAILS!B:C,2,FALSE),"NOT FOUND IN EMAILS")</f>
        <v>supplier@gmail.com</v>
      </c>
      <c r="Q2265" t="str">
        <f ca="1">""&amp;IFERROR(VLOOKUP(O2265,EMAILS!B:D,3,FALSE),"NOT FOUND IN EMAILS")</f>
        <v/>
      </c>
      <c r="R2265" t="str">
        <f ca="1">""&amp;IFERROR(VLOOKUP(O2265,EMAILS!B:E,4,FALSE),"NO T FOUND IN EMAILS")</f>
        <v/>
      </c>
    </row>
    <row r="2266" spans="2:18" x14ac:dyDescent="0.25">
      <c r="B2266" s="5" t="s">
        <v>2268</v>
      </c>
      <c r="C2266" s="5" t="s">
        <v>6408</v>
      </c>
      <c r="D2266" s="5">
        <v>0</v>
      </c>
      <c r="E2266" s="5">
        <v>0</v>
      </c>
      <c r="F2266" s="5">
        <v>0</v>
      </c>
      <c r="G2266" s="5">
        <v>0</v>
      </c>
      <c r="H2266" s="5">
        <v>0</v>
      </c>
      <c r="I2266" s="5">
        <v>0</v>
      </c>
      <c r="J2266" s="5">
        <v>0</v>
      </c>
      <c r="K2266" s="5">
        <v>0</v>
      </c>
      <c r="L2266" s="5">
        <v>0</v>
      </c>
      <c r="M2266" s="5">
        <v>0</v>
      </c>
      <c r="N2266" s="5">
        <v>8</v>
      </c>
      <c r="O2266" s="5" t="str">
        <f t="shared" ca="1" si="35"/>
        <v>Supplier 96</v>
      </c>
      <c r="P2266" s="20" t="str">
        <f ca="1">IFERROR(VLOOKUP(O2266,EMAILS!B:C,2,FALSE),"NOT FOUND IN EMAILS")</f>
        <v>supplier@gmail.com</v>
      </c>
      <c r="Q2266" t="str">
        <f ca="1">""&amp;IFERROR(VLOOKUP(O2266,EMAILS!B:D,3,FALSE),"NOT FOUND IN EMAILS")</f>
        <v/>
      </c>
      <c r="R2266" t="str">
        <f ca="1">""&amp;IFERROR(VLOOKUP(O2266,EMAILS!B:E,4,FALSE),"NO T FOUND IN EMAILS")</f>
        <v/>
      </c>
    </row>
    <row r="2267" spans="2:18" x14ac:dyDescent="0.25">
      <c r="B2267" s="5" t="s">
        <v>2269</v>
      </c>
      <c r="C2267" s="5" t="s">
        <v>6409</v>
      </c>
      <c r="D2267" s="5">
        <v>0</v>
      </c>
      <c r="E2267" s="5">
        <v>0</v>
      </c>
      <c r="F2267" s="5">
        <v>0</v>
      </c>
      <c r="G2267" s="5">
        <v>0</v>
      </c>
      <c r="H2267" s="5">
        <v>0</v>
      </c>
      <c r="I2267" s="5">
        <v>0</v>
      </c>
      <c r="J2267" s="5">
        <v>0</v>
      </c>
      <c r="K2267" s="5">
        <v>0</v>
      </c>
      <c r="L2267" s="5">
        <v>0</v>
      </c>
      <c r="M2267" s="5">
        <v>0</v>
      </c>
      <c r="N2267" s="5">
        <v>8</v>
      </c>
      <c r="O2267" s="5" t="str">
        <f t="shared" ca="1" si="35"/>
        <v>Supplier 56</v>
      </c>
      <c r="P2267" s="20" t="str">
        <f ca="1">IFERROR(VLOOKUP(O2267,EMAILS!B:C,2,FALSE),"NOT FOUND IN EMAILS")</f>
        <v>supplier@gmail.com</v>
      </c>
      <c r="Q2267" t="str">
        <f ca="1">""&amp;IFERROR(VLOOKUP(O2267,EMAILS!B:D,3,FALSE),"NOT FOUND IN EMAILS")</f>
        <v/>
      </c>
      <c r="R2267" t="str">
        <f ca="1">""&amp;IFERROR(VLOOKUP(O2267,EMAILS!B:E,4,FALSE),"NO T FOUND IN EMAILS")</f>
        <v/>
      </c>
    </row>
    <row r="2268" spans="2:18" x14ac:dyDescent="0.25">
      <c r="B2268" s="5" t="s">
        <v>2270</v>
      </c>
      <c r="C2268" s="5" t="s">
        <v>6410</v>
      </c>
      <c r="D2268" s="5">
        <v>0</v>
      </c>
      <c r="E2268" s="5">
        <v>0</v>
      </c>
      <c r="F2268" s="5">
        <v>0</v>
      </c>
      <c r="G2268" s="5">
        <v>0</v>
      </c>
      <c r="H2268" s="5">
        <v>0</v>
      </c>
      <c r="I2268" s="5">
        <v>0</v>
      </c>
      <c r="J2268" s="5">
        <v>0</v>
      </c>
      <c r="K2268" s="5">
        <v>0</v>
      </c>
      <c r="L2268" s="5">
        <v>0</v>
      </c>
      <c r="M2268" s="5">
        <v>0</v>
      </c>
      <c r="N2268" s="5">
        <v>0</v>
      </c>
      <c r="O2268" s="5" t="str">
        <f t="shared" ca="1" si="35"/>
        <v>Supplier 21</v>
      </c>
      <c r="P2268" s="20" t="str">
        <f ca="1">IFERROR(VLOOKUP(O2268,EMAILS!B:C,2,FALSE),"NOT FOUND IN EMAILS")</f>
        <v>supplier@gmail.com</v>
      </c>
      <c r="Q2268" t="str">
        <f ca="1">""&amp;IFERROR(VLOOKUP(O2268,EMAILS!B:D,3,FALSE),"NOT FOUND IN EMAILS")</f>
        <v/>
      </c>
      <c r="R2268" t="str">
        <f ca="1">""&amp;IFERROR(VLOOKUP(O2268,EMAILS!B:E,4,FALSE),"NO T FOUND IN EMAILS")</f>
        <v/>
      </c>
    </row>
    <row r="2269" spans="2:18" x14ac:dyDescent="0.25">
      <c r="B2269" s="5" t="s">
        <v>2271</v>
      </c>
      <c r="C2269" s="5" t="s">
        <v>6411</v>
      </c>
      <c r="D2269" s="5">
        <v>0</v>
      </c>
      <c r="E2269" s="5">
        <v>0</v>
      </c>
      <c r="F2269" s="5">
        <v>0</v>
      </c>
      <c r="G2269" s="5">
        <v>0</v>
      </c>
      <c r="H2269" s="5">
        <v>0</v>
      </c>
      <c r="I2269" s="5">
        <v>0</v>
      </c>
      <c r="J2269" s="5">
        <v>0</v>
      </c>
      <c r="K2269" s="5">
        <v>0</v>
      </c>
      <c r="L2269" s="5">
        <v>0</v>
      </c>
      <c r="M2269" s="5">
        <v>0</v>
      </c>
      <c r="N2269" s="5">
        <v>0</v>
      </c>
      <c r="O2269" s="5" t="str">
        <f t="shared" ca="1" si="35"/>
        <v>Supplier 52</v>
      </c>
      <c r="P2269" s="20" t="str">
        <f ca="1">IFERROR(VLOOKUP(O2269,EMAILS!B:C,2,FALSE),"NOT FOUND IN EMAILS")</f>
        <v>supplier@gmail.com</v>
      </c>
      <c r="Q2269" t="str">
        <f ca="1">""&amp;IFERROR(VLOOKUP(O2269,EMAILS!B:D,3,FALSE),"NOT FOUND IN EMAILS")</f>
        <v/>
      </c>
      <c r="R2269" t="str">
        <f ca="1">""&amp;IFERROR(VLOOKUP(O2269,EMAILS!B:E,4,FALSE),"NO T FOUND IN EMAILS")</f>
        <v/>
      </c>
    </row>
    <row r="2270" spans="2:18" x14ac:dyDescent="0.25">
      <c r="B2270" s="5" t="s">
        <v>2272</v>
      </c>
      <c r="C2270" s="5" t="s">
        <v>6412</v>
      </c>
      <c r="D2270" s="5">
        <v>0</v>
      </c>
      <c r="E2270" s="5">
        <v>0</v>
      </c>
      <c r="F2270" s="5">
        <v>0</v>
      </c>
      <c r="G2270" s="5">
        <v>0</v>
      </c>
      <c r="H2270" s="5">
        <v>0</v>
      </c>
      <c r="I2270" s="5">
        <v>0</v>
      </c>
      <c r="J2270" s="5">
        <v>0</v>
      </c>
      <c r="K2270" s="5">
        <v>0</v>
      </c>
      <c r="L2270" s="5">
        <v>0</v>
      </c>
      <c r="M2270" s="5">
        <v>0</v>
      </c>
      <c r="N2270" s="5">
        <v>144</v>
      </c>
      <c r="O2270" s="5" t="str">
        <f t="shared" ca="1" si="35"/>
        <v>Supplier 120</v>
      </c>
      <c r="P2270" s="20" t="str">
        <f ca="1">IFERROR(VLOOKUP(O2270,EMAILS!B:C,2,FALSE),"NOT FOUND IN EMAILS")</f>
        <v>supplier@gmail.com</v>
      </c>
      <c r="Q2270" t="str">
        <f ca="1">""&amp;IFERROR(VLOOKUP(O2270,EMAILS!B:D,3,FALSE),"NOT FOUND IN EMAILS")</f>
        <v/>
      </c>
      <c r="R2270" t="str">
        <f ca="1">""&amp;IFERROR(VLOOKUP(O2270,EMAILS!B:E,4,FALSE),"NO T FOUND IN EMAILS")</f>
        <v/>
      </c>
    </row>
    <row r="2271" spans="2:18" x14ac:dyDescent="0.25">
      <c r="B2271" s="5" t="s">
        <v>2273</v>
      </c>
      <c r="C2271" s="5" t="s">
        <v>6413</v>
      </c>
      <c r="D2271" s="5">
        <v>0</v>
      </c>
      <c r="E2271" s="5">
        <v>0</v>
      </c>
      <c r="F2271" s="5">
        <v>0</v>
      </c>
      <c r="G2271" s="5">
        <v>0</v>
      </c>
      <c r="H2271" s="5">
        <v>0</v>
      </c>
      <c r="I2271" s="5">
        <v>0</v>
      </c>
      <c r="J2271" s="5">
        <v>0</v>
      </c>
      <c r="K2271" s="5">
        <v>0</v>
      </c>
      <c r="L2271" s="5">
        <v>0</v>
      </c>
      <c r="M2271" s="5">
        <v>0</v>
      </c>
      <c r="N2271" s="5">
        <v>32</v>
      </c>
      <c r="O2271" s="5" t="str">
        <f t="shared" ca="1" si="35"/>
        <v>Supplier 96</v>
      </c>
      <c r="P2271" s="20" t="str">
        <f ca="1">IFERROR(VLOOKUP(O2271,EMAILS!B:C,2,FALSE),"NOT FOUND IN EMAILS")</f>
        <v>supplier@gmail.com</v>
      </c>
      <c r="Q2271" t="str">
        <f ca="1">""&amp;IFERROR(VLOOKUP(O2271,EMAILS!B:D,3,FALSE),"NOT FOUND IN EMAILS")</f>
        <v/>
      </c>
      <c r="R2271" t="str">
        <f ca="1">""&amp;IFERROR(VLOOKUP(O2271,EMAILS!B:E,4,FALSE),"NO T FOUND IN EMAILS")</f>
        <v/>
      </c>
    </row>
    <row r="2272" spans="2:18" x14ac:dyDescent="0.25">
      <c r="B2272" s="5" t="s">
        <v>2274</v>
      </c>
      <c r="C2272" s="5" t="s">
        <v>6414</v>
      </c>
      <c r="D2272" s="5">
        <v>0</v>
      </c>
      <c r="E2272" s="5">
        <v>0</v>
      </c>
      <c r="F2272" s="5">
        <v>0</v>
      </c>
      <c r="G2272" s="5">
        <v>0</v>
      </c>
      <c r="H2272" s="5">
        <v>0</v>
      </c>
      <c r="I2272" s="5">
        <v>0</v>
      </c>
      <c r="J2272" s="5">
        <v>0</v>
      </c>
      <c r="K2272" s="5">
        <v>0</v>
      </c>
      <c r="L2272" s="5">
        <v>0</v>
      </c>
      <c r="M2272" s="5">
        <v>0</v>
      </c>
      <c r="N2272" s="5">
        <v>0</v>
      </c>
      <c r="O2272" s="5" t="str">
        <f t="shared" ca="1" si="35"/>
        <v>Supplier 57</v>
      </c>
      <c r="P2272" s="20" t="str">
        <f ca="1">IFERROR(VLOOKUP(O2272,EMAILS!B:C,2,FALSE),"NOT FOUND IN EMAILS")</f>
        <v>supplier@gmail.com</v>
      </c>
      <c r="Q2272" t="str">
        <f ca="1">""&amp;IFERROR(VLOOKUP(O2272,EMAILS!B:D,3,FALSE),"NOT FOUND IN EMAILS")</f>
        <v/>
      </c>
      <c r="R2272" t="str">
        <f ca="1">""&amp;IFERROR(VLOOKUP(O2272,EMAILS!B:E,4,FALSE),"NO T FOUND IN EMAILS")</f>
        <v/>
      </c>
    </row>
    <row r="2273" spans="2:18" x14ac:dyDescent="0.25">
      <c r="B2273" s="5" t="s">
        <v>2275</v>
      </c>
      <c r="C2273" s="5" t="s">
        <v>6415</v>
      </c>
      <c r="D2273" s="5">
        <v>0</v>
      </c>
      <c r="E2273" s="5">
        <v>0</v>
      </c>
      <c r="F2273" s="5">
        <v>0</v>
      </c>
      <c r="G2273" s="5">
        <v>0</v>
      </c>
      <c r="H2273" s="5">
        <v>0</v>
      </c>
      <c r="I2273" s="5">
        <v>0</v>
      </c>
      <c r="J2273" s="5">
        <v>0</v>
      </c>
      <c r="K2273" s="5">
        <v>0</v>
      </c>
      <c r="L2273" s="5">
        <v>0</v>
      </c>
      <c r="M2273" s="5">
        <v>0</v>
      </c>
      <c r="N2273" s="5">
        <v>0</v>
      </c>
      <c r="O2273" s="5" t="str">
        <f t="shared" ca="1" si="35"/>
        <v>Supplier 59</v>
      </c>
      <c r="P2273" s="20" t="str">
        <f ca="1">IFERROR(VLOOKUP(O2273,EMAILS!B:C,2,FALSE),"NOT FOUND IN EMAILS")</f>
        <v>supplier@gmail.com</v>
      </c>
      <c r="Q2273" t="str">
        <f ca="1">""&amp;IFERROR(VLOOKUP(O2273,EMAILS!B:D,3,FALSE),"NOT FOUND IN EMAILS")</f>
        <v/>
      </c>
      <c r="R2273" t="str">
        <f ca="1">""&amp;IFERROR(VLOOKUP(O2273,EMAILS!B:E,4,FALSE),"NO T FOUND IN EMAILS")</f>
        <v/>
      </c>
    </row>
    <row r="2274" spans="2:18" x14ac:dyDescent="0.25">
      <c r="B2274" s="5" t="s">
        <v>2276</v>
      </c>
      <c r="C2274" s="5" t="s">
        <v>6416</v>
      </c>
      <c r="D2274" s="5">
        <v>0</v>
      </c>
      <c r="E2274" s="5">
        <v>0</v>
      </c>
      <c r="F2274" s="5">
        <v>0</v>
      </c>
      <c r="G2274" s="5">
        <v>0</v>
      </c>
      <c r="H2274" s="5">
        <v>0</v>
      </c>
      <c r="I2274" s="5">
        <v>0</v>
      </c>
      <c r="J2274" s="5">
        <v>0</v>
      </c>
      <c r="K2274" s="5">
        <v>0</v>
      </c>
      <c r="L2274" s="5">
        <v>0</v>
      </c>
      <c r="M2274" s="5">
        <v>0</v>
      </c>
      <c r="N2274" s="5">
        <v>0</v>
      </c>
      <c r="O2274" s="5" t="str">
        <f t="shared" ca="1" si="35"/>
        <v>Supplier 117</v>
      </c>
      <c r="P2274" s="20" t="str">
        <f ca="1">IFERROR(VLOOKUP(O2274,EMAILS!B:C,2,FALSE),"NOT FOUND IN EMAILS")</f>
        <v>supplier@gmail.com</v>
      </c>
      <c r="Q2274" t="str">
        <f ca="1">""&amp;IFERROR(VLOOKUP(O2274,EMAILS!B:D,3,FALSE),"NOT FOUND IN EMAILS")</f>
        <v/>
      </c>
      <c r="R2274" t="str">
        <f ca="1">""&amp;IFERROR(VLOOKUP(O2274,EMAILS!B:E,4,FALSE),"NO T FOUND IN EMAILS")</f>
        <v/>
      </c>
    </row>
    <row r="2275" spans="2:18" x14ac:dyDescent="0.25">
      <c r="B2275" s="5" t="s">
        <v>2277</v>
      </c>
      <c r="C2275" s="5" t="s">
        <v>6417</v>
      </c>
      <c r="D2275" s="5">
        <v>0</v>
      </c>
      <c r="E2275" s="5">
        <v>0</v>
      </c>
      <c r="F2275" s="5">
        <v>0</v>
      </c>
      <c r="G2275" s="5">
        <v>0</v>
      </c>
      <c r="H2275" s="5">
        <v>0</v>
      </c>
      <c r="I2275" s="5">
        <v>0</v>
      </c>
      <c r="J2275" s="5">
        <v>0</v>
      </c>
      <c r="K2275" s="5">
        <v>0</v>
      </c>
      <c r="L2275" s="5">
        <v>0</v>
      </c>
      <c r="M2275" s="5">
        <v>0</v>
      </c>
      <c r="N2275" s="5">
        <v>250</v>
      </c>
      <c r="O2275" s="5" t="str">
        <f t="shared" ca="1" si="35"/>
        <v>Supplier 86</v>
      </c>
      <c r="P2275" s="20" t="str">
        <f ca="1">IFERROR(VLOOKUP(O2275,EMAILS!B:C,2,FALSE),"NOT FOUND IN EMAILS")</f>
        <v>supplier@gmail.com</v>
      </c>
      <c r="Q2275" t="str">
        <f ca="1">""&amp;IFERROR(VLOOKUP(O2275,EMAILS!B:D,3,FALSE),"NOT FOUND IN EMAILS")</f>
        <v/>
      </c>
      <c r="R2275" t="str">
        <f ca="1">""&amp;IFERROR(VLOOKUP(O2275,EMAILS!B:E,4,FALSE),"NO T FOUND IN EMAILS")</f>
        <v/>
      </c>
    </row>
    <row r="2276" spans="2:18" x14ac:dyDescent="0.25">
      <c r="B2276" s="5" t="s">
        <v>2278</v>
      </c>
      <c r="C2276" s="5" t="s">
        <v>6418</v>
      </c>
      <c r="D2276" s="5">
        <v>0</v>
      </c>
      <c r="E2276" s="5">
        <v>0</v>
      </c>
      <c r="F2276" s="5">
        <v>0</v>
      </c>
      <c r="G2276" s="5">
        <v>0</v>
      </c>
      <c r="H2276" s="5">
        <v>0</v>
      </c>
      <c r="I2276" s="5">
        <v>0</v>
      </c>
      <c r="J2276" s="5">
        <v>0</v>
      </c>
      <c r="K2276" s="5">
        <v>0</v>
      </c>
      <c r="L2276" s="5">
        <v>0</v>
      </c>
      <c r="M2276" s="5">
        <v>0</v>
      </c>
      <c r="N2276" s="5">
        <v>250</v>
      </c>
      <c r="O2276" s="5" t="str">
        <f t="shared" ca="1" si="35"/>
        <v>Supplier 47</v>
      </c>
      <c r="P2276" s="20" t="str">
        <f ca="1">IFERROR(VLOOKUP(O2276,EMAILS!B:C,2,FALSE),"NOT FOUND IN EMAILS")</f>
        <v>supplier@gmail.com</v>
      </c>
      <c r="Q2276" t="str">
        <f ca="1">""&amp;IFERROR(VLOOKUP(O2276,EMAILS!B:D,3,FALSE),"NOT FOUND IN EMAILS")</f>
        <v/>
      </c>
      <c r="R2276" t="str">
        <f ca="1">""&amp;IFERROR(VLOOKUP(O2276,EMAILS!B:E,4,FALSE),"NO T FOUND IN EMAILS")</f>
        <v/>
      </c>
    </row>
    <row r="2277" spans="2:18" x14ac:dyDescent="0.25">
      <c r="B2277" s="5" t="s">
        <v>2279</v>
      </c>
      <c r="C2277" s="5" t="s">
        <v>6419</v>
      </c>
      <c r="D2277" s="5">
        <v>0</v>
      </c>
      <c r="E2277" s="5">
        <v>0</v>
      </c>
      <c r="F2277" s="5">
        <v>0</v>
      </c>
      <c r="G2277" s="5">
        <v>0</v>
      </c>
      <c r="H2277" s="5">
        <v>0</v>
      </c>
      <c r="I2277" s="5">
        <v>0</v>
      </c>
      <c r="J2277" s="5">
        <v>0</v>
      </c>
      <c r="K2277" s="5">
        <v>0</v>
      </c>
      <c r="L2277" s="5">
        <v>0</v>
      </c>
      <c r="M2277" s="5">
        <v>0</v>
      </c>
      <c r="N2277" s="5">
        <v>3006</v>
      </c>
      <c r="O2277" s="5" t="str">
        <f t="shared" ca="1" si="35"/>
        <v>Supplier 153</v>
      </c>
      <c r="P2277" s="20" t="str">
        <f ca="1">IFERROR(VLOOKUP(O2277,EMAILS!B:C,2,FALSE),"NOT FOUND IN EMAILS")</f>
        <v>supplier@gmail.com</v>
      </c>
      <c r="Q2277" t="str">
        <f ca="1">""&amp;IFERROR(VLOOKUP(O2277,EMAILS!B:D,3,FALSE),"NOT FOUND IN EMAILS")</f>
        <v/>
      </c>
      <c r="R2277" t="str">
        <f ca="1">""&amp;IFERROR(VLOOKUP(O2277,EMAILS!B:E,4,FALSE),"NO T FOUND IN EMAILS")</f>
        <v/>
      </c>
    </row>
    <row r="2278" spans="2:18" x14ac:dyDescent="0.25">
      <c r="B2278" s="5" t="s">
        <v>2280</v>
      </c>
      <c r="C2278" s="5" t="s">
        <v>6420</v>
      </c>
      <c r="D2278" s="5">
        <v>200</v>
      </c>
      <c r="E2278" s="5">
        <v>0</v>
      </c>
      <c r="F2278" s="5">
        <v>140</v>
      </c>
      <c r="G2278" s="5">
        <v>3</v>
      </c>
      <c r="H2278" s="5">
        <v>0</v>
      </c>
      <c r="I2278" s="5">
        <v>1</v>
      </c>
      <c r="J2278" s="5">
        <v>25</v>
      </c>
      <c r="K2278" s="5">
        <v>12</v>
      </c>
      <c r="L2278" s="5">
        <v>30</v>
      </c>
      <c r="M2278" s="5">
        <v>0</v>
      </c>
      <c r="N2278" s="5">
        <v>930</v>
      </c>
      <c r="O2278" s="5" t="str">
        <f t="shared" ca="1" si="35"/>
        <v>Supplier 165</v>
      </c>
      <c r="P2278" s="20" t="str">
        <f ca="1">IFERROR(VLOOKUP(O2278,EMAILS!B:C,2,FALSE),"NOT FOUND IN EMAILS")</f>
        <v>supplier@gmail.com</v>
      </c>
      <c r="Q2278" t="str">
        <f ca="1">""&amp;IFERROR(VLOOKUP(O2278,EMAILS!B:D,3,FALSE),"NOT FOUND IN EMAILS")</f>
        <v/>
      </c>
      <c r="R2278" t="str">
        <f ca="1">""&amp;IFERROR(VLOOKUP(O2278,EMAILS!B:E,4,FALSE),"NO T FOUND IN EMAILS")</f>
        <v/>
      </c>
    </row>
    <row r="2279" spans="2:18" x14ac:dyDescent="0.25">
      <c r="B2279" s="5" t="s">
        <v>2281</v>
      </c>
      <c r="C2279" s="5" t="s">
        <v>6421</v>
      </c>
      <c r="D2279" s="5">
        <v>0</v>
      </c>
      <c r="E2279" s="5">
        <v>0</v>
      </c>
      <c r="F2279" s="5">
        <v>0</v>
      </c>
      <c r="G2279" s="5">
        <v>0</v>
      </c>
      <c r="H2279" s="5">
        <v>0</v>
      </c>
      <c r="I2279" s="5">
        <v>0</v>
      </c>
      <c r="J2279" s="5">
        <v>0</v>
      </c>
      <c r="K2279" s="5">
        <v>0</v>
      </c>
      <c r="L2279" s="5">
        <v>0</v>
      </c>
      <c r="M2279" s="5">
        <v>0</v>
      </c>
      <c r="N2279" s="5">
        <v>25</v>
      </c>
      <c r="O2279" s="5" t="str">
        <f t="shared" ca="1" si="35"/>
        <v>Supplier 76</v>
      </c>
      <c r="P2279" s="20" t="str">
        <f ca="1">IFERROR(VLOOKUP(O2279,EMAILS!B:C,2,FALSE),"NOT FOUND IN EMAILS")</f>
        <v>supplier@gmail.com</v>
      </c>
      <c r="Q2279" t="str">
        <f ca="1">""&amp;IFERROR(VLOOKUP(O2279,EMAILS!B:D,3,FALSE),"NOT FOUND IN EMAILS")</f>
        <v/>
      </c>
      <c r="R2279" t="str">
        <f ca="1">""&amp;IFERROR(VLOOKUP(O2279,EMAILS!B:E,4,FALSE),"NO T FOUND IN EMAILS")</f>
        <v/>
      </c>
    </row>
    <row r="2280" spans="2:18" x14ac:dyDescent="0.25">
      <c r="B2280" s="5" t="s">
        <v>2282</v>
      </c>
      <c r="C2280" s="5" t="s">
        <v>6422</v>
      </c>
      <c r="D2280" s="5">
        <v>14</v>
      </c>
      <c r="E2280" s="5">
        <v>18</v>
      </c>
      <c r="F2280" s="5">
        <v>24</v>
      </c>
      <c r="G2280" s="5">
        <v>28</v>
      </c>
      <c r="H2280" s="5">
        <v>28</v>
      </c>
      <c r="I2280" s="5">
        <v>26</v>
      </c>
      <c r="J2280" s="5">
        <v>18</v>
      </c>
      <c r="K2280" s="5">
        <v>16</v>
      </c>
      <c r="L2280" s="5">
        <v>14</v>
      </c>
      <c r="M2280" s="5">
        <v>0</v>
      </c>
      <c r="N2280" s="5">
        <v>318</v>
      </c>
      <c r="O2280" s="5" t="str">
        <f t="shared" ca="1" si="35"/>
        <v>Supplier 71</v>
      </c>
      <c r="P2280" s="20" t="str">
        <f ca="1">IFERROR(VLOOKUP(O2280,EMAILS!B:C,2,FALSE),"NOT FOUND IN EMAILS")</f>
        <v>supplier@gmail.com</v>
      </c>
      <c r="Q2280" t="str">
        <f ca="1">""&amp;IFERROR(VLOOKUP(O2280,EMAILS!B:D,3,FALSE),"NOT FOUND IN EMAILS")</f>
        <v/>
      </c>
      <c r="R2280" t="str">
        <f ca="1">""&amp;IFERROR(VLOOKUP(O2280,EMAILS!B:E,4,FALSE),"NO T FOUND IN EMAILS")</f>
        <v/>
      </c>
    </row>
    <row r="2281" spans="2:18" x14ac:dyDescent="0.25">
      <c r="B2281" s="5" t="s">
        <v>2283</v>
      </c>
      <c r="C2281" s="5" t="s">
        <v>6423</v>
      </c>
      <c r="D2281" s="5">
        <v>7</v>
      </c>
      <c r="E2281" s="5">
        <v>9</v>
      </c>
      <c r="F2281" s="5">
        <v>12</v>
      </c>
      <c r="G2281" s="5">
        <v>26</v>
      </c>
      <c r="H2281" s="5">
        <v>26</v>
      </c>
      <c r="I2281" s="5">
        <v>25</v>
      </c>
      <c r="J2281" s="5">
        <v>15</v>
      </c>
      <c r="K2281" s="5">
        <v>20</v>
      </c>
      <c r="L2281" s="5">
        <v>16</v>
      </c>
      <c r="M2281" s="5">
        <v>0</v>
      </c>
      <c r="N2281" s="5">
        <v>1081</v>
      </c>
      <c r="O2281" s="5" t="str">
        <f t="shared" ca="1" si="35"/>
        <v>Supplier 142</v>
      </c>
      <c r="P2281" s="20" t="str">
        <f ca="1">IFERROR(VLOOKUP(O2281,EMAILS!B:C,2,FALSE),"NOT FOUND IN EMAILS")</f>
        <v>supplier@gmail.com</v>
      </c>
      <c r="Q2281" t="str">
        <f ca="1">""&amp;IFERROR(VLOOKUP(O2281,EMAILS!B:D,3,FALSE),"NOT FOUND IN EMAILS")</f>
        <v/>
      </c>
      <c r="R2281" t="str">
        <f ca="1">""&amp;IFERROR(VLOOKUP(O2281,EMAILS!B:E,4,FALSE),"NO T FOUND IN EMAILS")</f>
        <v/>
      </c>
    </row>
    <row r="2282" spans="2:18" x14ac:dyDescent="0.25">
      <c r="B2282" s="5" t="s">
        <v>2284</v>
      </c>
      <c r="C2282" s="5" t="s">
        <v>6424</v>
      </c>
      <c r="D2282" s="5">
        <v>3</v>
      </c>
      <c r="E2282" s="5">
        <v>0</v>
      </c>
      <c r="F2282" s="5">
        <v>23</v>
      </c>
      <c r="G2282" s="5">
        <v>12</v>
      </c>
      <c r="H2282" s="5">
        <v>9</v>
      </c>
      <c r="I2282" s="5">
        <v>200</v>
      </c>
      <c r="J2282" s="5">
        <v>6</v>
      </c>
      <c r="K2282" s="5">
        <v>15</v>
      </c>
      <c r="L2282" s="5">
        <v>0</v>
      </c>
      <c r="M2282" s="5">
        <v>0</v>
      </c>
      <c r="N2282" s="5">
        <v>583</v>
      </c>
      <c r="O2282" s="5" t="str">
        <f t="shared" ca="1" si="35"/>
        <v>Supplier 61</v>
      </c>
      <c r="P2282" s="20" t="str">
        <f ca="1">IFERROR(VLOOKUP(O2282,EMAILS!B:C,2,FALSE),"NOT FOUND IN EMAILS")</f>
        <v>supplier@gmail.com</v>
      </c>
      <c r="Q2282" t="str">
        <f ca="1">""&amp;IFERROR(VLOOKUP(O2282,EMAILS!B:D,3,FALSE),"NOT FOUND IN EMAILS")</f>
        <v/>
      </c>
      <c r="R2282" t="str">
        <f ca="1">""&amp;IFERROR(VLOOKUP(O2282,EMAILS!B:E,4,FALSE),"NO T FOUND IN EMAILS")</f>
        <v/>
      </c>
    </row>
    <row r="2283" spans="2:18" x14ac:dyDescent="0.25">
      <c r="B2283" s="5" t="s">
        <v>2285</v>
      </c>
      <c r="C2283" s="5" t="s">
        <v>6425</v>
      </c>
      <c r="D2283" s="5">
        <v>0</v>
      </c>
      <c r="E2283" s="5">
        <v>0</v>
      </c>
      <c r="F2283" s="5">
        <v>0</v>
      </c>
      <c r="G2283" s="5">
        <v>0</v>
      </c>
      <c r="H2283" s="5">
        <v>0</v>
      </c>
      <c r="I2283" s="5">
        <v>0</v>
      </c>
      <c r="J2283" s="5">
        <v>0</v>
      </c>
      <c r="K2283" s="5">
        <v>0</v>
      </c>
      <c r="L2283" s="5">
        <v>0</v>
      </c>
      <c r="M2283" s="5">
        <v>0</v>
      </c>
      <c r="N2283" s="5">
        <v>518</v>
      </c>
      <c r="O2283" s="5" t="str">
        <f t="shared" ca="1" si="35"/>
        <v>Supplier 172</v>
      </c>
      <c r="P2283" s="20" t="str">
        <f ca="1">IFERROR(VLOOKUP(O2283,EMAILS!B:C,2,FALSE),"NOT FOUND IN EMAILS")</f>
        <v>supplier@gmail.com</v>
      </c>
      <c r="Q2283" t="str">
        <f ca="1">""&amp;IFERROR(VLOOKUP(O2283,EMAILS!B:D,3,FALSE),"NOT FOUND IN EMAILS")</f>
        <v/>
      </c>
      <c r="R2283" t="str">
        <f ca="1">""&amp;IFERROR(VLOOKUP(O2283,EMAILS!B:E,4,FALSE),"NO T FOUND IN EMAILS")</f>
        <v/>
      </c>
    </row>
    <row r="2284" spans="2:18" x14ac:dyDescent="0.25">
      <c r="B2284" s="5" t="s">
        <v>2286</v>
      </c>
      <c r="C2284" s="5" t="s">
        <v>6426</v>
      </c>
      <c r="D2284" s="5">
        <v>0</v>
      </c>
      <c r="E2284" s="5">
        <v>0</v>
      </c>
      <c r="F2284" s="5">
        <v>0</v>
      </c>
      <c r="G2284" s="5">
        <v>0</v>
      </c>
      <c r="H2284" s="5">
        <v>0</v>
      </c>
      <c r="I2284" s="5">
        <v>0</v>
      </c>
      <c r="J2284" s="5">
        <v>0</v>
      </c>
      <c r="K2284" s="5">
        <v>0</v>
      </c>
      <c r="L2284" s="5">
        <v>0</v>
      </c>
      <c r="M2284" s="5">
        <v>0</v>
      </c>
      <c r="N2284" s="5">
        <v>259</v>
      </c>
      <c r="O2284" s="5" t="str">
        <f t="shared" ca="1" si="35"/>
        <v>Supplier 152</v>
      </c>
      <c r="P2284" s="20" t="str">
        <f ca="1">IFERROR(VLOOKUP(O2284,EMAILS!B:C,2,FALSE),"NOT FOUND IN EMAILS")</f>
        <v>supplier@gmail.com</v>
      </c>
      <c r="Q2284" t="str">
        <f ca="1">""&amp;IFERROR(VLOOKUP(O2284,EMAILS!B:D,3,FALSE),"NOT FOUND IN EMAILS")</f>
        <v/>
      </c>
      <c r="R2284" t="str">
        <f ca="1">""&amp;IFERROR(VLOOKUP(O2284,EMAILS!B:E,4,FALSE),"NO T FOUND IN EMAILS")</f>
        <v/>
      </c>
    </row>
    <row r="2285" spans="2:18" x14ac:dyDescent="0.25">
      <c r="B2285" s="5" t="s">
        <v>2287</v>
      </c>
      <c r="C2285" s="5" t="s">
        <v>6427</v>
      </c>
      <c r="D2285" s="5">
        <v>0</v>
      </c>
      <c r="E2285" s="5">
        <v>0</v>
      </c>
      <c r="F2285" s="5">
        <v>0</v>
      </c>
      <c r="G2285" s="5">
        <v>0</v>
      </c>
      <c r="H2285" s="5">
        <v>0</v>
      </c>
      <c r="I2285" s="5">
        <v>0</v>
      </c>
      <c r="J2285" s="5">
        <v>0</v>
      </c>
      <c r="K2285" s="5">
        <v>0</v>
      </c>
      <c r="L2285" s="5">
        <v>0</v>
      </c>
      <c r="M2285" s="5">
        <v>0</v>
      </c>
      <c r="N2285" s="5">
        <v>0</v>
      </c>
      <c r="O2285" s="5" t="str">
        <f t="shared" ca="1" si="35"/>
        <v>Supplier 85</v>
      </c>
      <c r="P2285" s="20" t="str">
        <f ca="1">IFERROR(VLOOKUP(O2285,EMAILS!B:C,2,FALSE),"NOT FOUND IN EMAILS")</f>
        <v>supplier@gmail.com</v>
      </c>
      <c r="Q2285" t="str">
        <f ca="1">""&amp;IFERROR(VLOOKUP(O2285,EMAILS!B:D,3,FALSE),"NOT FOUND IN EMAILS")</f>
        <v/>
      </c>
      <c r="R2285" t="str">
        <f ca="1">""&amp;IFERROR(VLOOKUP(O2285,EMAILS!B:E,4,FALSE),"NO T FOUND IN EMAILS")</f>
        <v/>
      </c>
    </row>
    <row r="2286" spans="2:18" x14ac:dyDescent="0.25">
      <c r="B2286" s="5" t="s">
        <v>2288</v>
      </c>
      <c r="C2286" s="5" t="s">
        <v>6428</v>
      </c>
      <c r="D2286" s="5">
        <v>0</v>
      </c>
      <c r="E2286" s="5">
        <v>0</v>
      </c>
      <c r="F2286" s="5">
        <v>0</v>
      </c>
      <c r="G2286" s="5">
        <v>0</v>
      </c>
      <c r="H2286" s="5">
        <v>0</v>
      </c>
      <c r="I2286" s="5">
        <v>0</v>
      </c>
      <c r="J2286" s="5">
        <v>0</v>
      </c>
      <c r="K2286" s="5">
        <v>0</v>
      </c>
      <c r="L2286" s="5">
        <v>0</v>
      </c>
      <c r="M2286" s="5">
        <v>0</v>
      </c>
      <c r="N2286" s="5">
        <v>0</v>
      </c>
      <c r="O2286" s="5" t="str">
        <f t="shared" ca="1" si="35"/>
        <v>Supplier 81</v>
      </c>
      <c r="P2286" s="20" t="str">
        <f ca="1">IFERROR(VLOOKUP(O2286,EMAILS!B:C,2,FALSE),"NOT FOUND IN EMAILS")</f>
        <v>supplier@gmail.com</v>
      </c>
      <c r="Q2286" t="str">
        <f ca="1">""&amp;IFERROR(VLOOKUP(O2286,EMAILS!B:D,3,FALSE),"NOT FOUND IN EMAILS")</f>
        <v/>
      </c>
      <c r="R2286" t="str">
        <f ca="1">""&amp;IFERROR(VLOOKUP(O2286,EMAILS!B:E,4,FALSE),"NO T FOUND IN EMAILS")</f>
        <v/>
      </c>
    </row>
    <row r="2287" spans="2:18" x14ac:dyDescent="0.25">
      <c r="B2287" s="5" t="s">
        <v>2289</v>
      </c>
      <c r="C2287" s="5" t="s">
        <v>6429</v>
      </c>
      <c r="D2287" s="5">
        <v>312</v>
      </c>
      <c r="E2287" s="5">
        <v>312</v>
      </c>
      <c r="F2287" s="5">
        <v>336</v>
      </c>
      <c r="G2287" s="5">
        <v>264</v>
      </c>
      <c r="H2287" s="5">
        <v>324</v>
      </c>
      <c r="I2287" s="5">
        <v>288</v>
      </c>
      <c r="J2287" s="5">
        <v>264</v>
      </c>
      <c r="K2287" s="5">
        <v>264</v>
      </c>
      <c r="L2287" s="5">
        <v>216</v>
      </c>
      <c r="M2287" s="5">
        <v>0</v>
      </c>
      <c r="N2287" s="5">
        <v>175</v>
      </c>
      <c r="O2287" s="5" t="str">
        <f t="shared" ca="1" si="35"/>
        <v>Supplier 50</v>
      </c>
      <c r="P2287" s="20" t="str">
        <f ca="1">IFERROR(VLOOKUP(O2287,EMAILS!B:C,2,FALSE),"NOT FOUND IN EMAILS")</f>
        <v>supplier@gmail.com</v>
      </c>
      <c r="Q2287" t="str">
        <f ca="1">""&amp;IFERROR(VLOOKUP(O2287,EMAILS!B:D,3,FALSE),"NOT FOUND IN EMAILS")</f>
        <v/>
      </c>
      <c r="R2287" t="str">
        <f ca="1">""&amp;IFERROR(VLOOKUP(O2287,EMAILS!B:E,4,FALSE),"NO T FOUND IN EMAILS")</f>
        <v/>
      </c>
    </row>
    <row r="2288" spans="2:18" x14ac:dyDescent="0.25">
      <c r="B2288" s="5" t="s">
        <v>2290</v>
      </c>
      <c r="C2288" s="5" t="s">
        <v>6430</v>
      </c>
      <c r="D2288" s="5">
        <v>0</v>
      </c>
      <c r="E2288" s="5">
        <v>0</v>
      </c>
      <c r="F2288" s="5">
        <v>0</v>
      </c>
      <c r="G2288" s="5">
        <v>0</v>
      </c>
      <c r="H2288" s="5">
        <v>0</v>
      </c>
      <c r="I2288" s="5">
        <v>0</v>
      </c>
      <c r="J2288" s="5">
        <v>0</v>
      </c>
      <c r="K2288" s="5">
        <v>0</v>
      </c>
      <c r="L2288" s="5">
        <v>0</v>
      </c>
      <c r="M2288" s="5">
        <v>0</v>
      </c>
      <c r="N2288" s="5">
        <v>0</v>
      </c>
      <c r="O2288" s="5" t="str">
        <f t="shared" ca="1" si="35"/>
        <v>Supplier 184</v>
      </c>
      <c r="P2288" s="20" t="str">
        <f ca="1">IFERROR(VLOOKUP(O2288,EMAILS!B:C,2,FALSE),"NOT FOUND IN EMAILS")</f>
        <v>supplier@gmail.com</v>
      </c>
      <c r="Q2288" t="str">
        <f ca="1">""&amp;IFERROR(VLOOKUP(O2288,EMAILS!B:D,3,FALSE),"NOT FOUND IN EMAILS")</f>
        <v/>
      </c>
      <c r="R2288" t="str">
        <f ca="1">""&amp;IFERROR(VLOOKUP(O2288,EMAILS!B:E,4,FALSE),"NO T FOUND IN EMAILS")</f>
        <v/>
      </c>
    </row>
    <row r="2289" spans="2:18" x14ac:dyDescent="0.25">
      <c r="B2289" s="5" t="s">
        <v>2291</v>
      </c>
      <c r="C2289" s="5" t="s">
        <v>6431</v>
      </c>
      <c r="D2289" s="5">
        <v>0</v>
      </c>
      <c r="E2289" s="5">
        <v>0</v>
      </c>
      <c r="F2289" s="5">
        <v>0</v>
      </c>
      <c r="G2289" s="5">
        <v>400</v>
      </c>
      <c r="H2289" s="5">
        <v>0</v>
      </c>
      <c r="I2289" s="5">
        <v>0</v>
      </c>
      <c r="J2289" s="5">
        <v>400</v>
      </c>
      <c r="K2289" s="5">
        <v>0</v>
      </c>
      <c r="L2289" s="5">
        <v>0</v>
      </c>
      <c r="M2289" s="5">
        <v>0</v>
      </c>
      <c r="N2289" s="5">
        <v>3.96</v>
      </c>
      <c r="O2289" s="5" t="str">
        <f t="shared" ca="1" si="35"/>
        <v>Supplier 169</v>
      </c>
      <c r="P2289" s="20" t="str">
        <f ca="1">IFERROR(VLOOKUP(O2289,EMAILS!B:C,2,FALSE),"NOT FOUND IN EMAILS")</f>
        <v>supplier@gmail.com</v>
      </c>
      <c r="Q2289" t="str">
        <f ca="1">""&amp;IFERROR(VLOOKUP(O2289,EMAILS!B:D,3,FALSE),"NOT FOUND IN EMAILS")</f>
        <v/>
      </c>
      <c r="R2289" t="str">
        <f ca="1">""&amp;IFERROR(VLOOKUP(O2289,EMAILS!B:E,4,FALSE),"NO T FOUND IN EMAILS")</f>
        <v/>
      </c>
    </row>
    <row r="2290" spans="2:18" x14ac:dyDescent="0.25">
      <c r="B2290" s="5" t="s">
        <v>2292</v>
      </c>
      <c r="C2290" s="5" t="s">
        <v>6432</v>
      </c>
      <c r="D2290" s="5">
        <v>0.64</v>
      </c>
      <c r="E2290" s="5">
        <v>0.64</v>
      </c>
      <c r="F2290" s="5">
        <v>0.96</v>
      </c>
      <c r="G2290" s="5">
        <v>0.71</v>
      </c>
      <c r="H2290" s="5">
        <v>0.64</v>
      </c>
      <c r="I2290" s="5">
        <v>0.64</v>
      </c>
      <c r="J2290" s="5">
        <v>0.64</v>
      </c>
      <c r="K2290" s="5">
        <v>0.32</v>
      </c>
      <c r="L2290" s="5">
        <v>0.64</v>
      </c>
      <c r="M2290" s="5">
        <v>0</v>
      </c>
      <c r="N2290" s="5">
        <v>3.9</v>
      </c>
      <c r="O2290" s="5" t="str">
        <f t="shared" ca="1" si="35"/>
        <v>Supplier 172</v>
      </c>
      <c r="P2290" s="20" t="str">
        <f ca="1">IFERROR(VLOOKUP(O2290,EMAILS!B:C,2,FALSE),"NOT FOUND IN EMAILS")</f>
        <v>supplier@gmail.com</v>
      </c>
      <c r="Q2290" t="str">
        <f ca="1">""&amp;IFERROR(VLOOKUP(O2290,EMAILS!B:D,3,FALSE),"NOT FOUND IN EMAILS")</f>
        <v/>
      </c>
      <c r="R2290" t="str">
        <f ca="1">""&amp;IFERROR(VLOOKUP(O2290,EMAILS!B:E,4,FALSE),"NO T FOUND IN EMAILS")</f>
        <v/>
      </c>
    </row>
    <row r="2291" spans="2:18" x14ac:dyDescent="0.25">
      <c r="B2291" s="5" t="s">
        <v>2293</v>
      </c>
      <c r="C2291" s="5" t="s">
        <v>6433</v>
      </c>
      <c r="D2291" s="5">
        <v>0</v>
      </c>
      <c r="E2291" s="5">
        <v>0</v>
      </c>
      <c r="F2291" s="5">
        <v>0</v>
      </c>
      <c r="G2291" s="5">
        <v>0</v>
      </c>
      <c r="H2291" s="5">
        <v>0</v>
      </c>
      <c r="I2291" s="5">
        <v>0</v>
      </c>
      <c r="J2291" s="5">
        <v>0</v>
      </c>
      <c r="K2291" s="5">
        <v>0</v>
      </c>
      <c r="L2291" s="5">
        <v>0</v>
      </c>
      <c r="M2291" s="5">
        <v>0</v>
      </c>
      <c r="N2291" s="5">
        <v>0</v>
      </c>
      <c r="O2291" s="5" t="str">
        <f t="shared" ca="1" si="35"/>
        <v>Supplier 184</v>
      </c>
      <c r="P2291" s="20" t="str">
        <f ca="1">IFERROR(VLOOKUP(O2291,EMAILS!B:C,2,FALSE),"NOT FOUND IN EMAILS")</f>
        <v>supplier@gmail.com</v>
      </c>
      <c r="Q2291" t="str">
        <f ca="1">""&amp;IFERROR(VLOOKUP(O2291,EMAILS!B:D,3,FALSE),"NOT FOUND IN EMAILS")</f>
        <v/>
      </c>
      <c r="R2291" t="str">
        <f ca="1">""&amp;IFERROR(VLOOKUP(O2291,EMAILS!B:E,4,FALSE),"NO T FOUND IN EMAILS")</f>
        <v/>
      </c>
    </row>
    <row r="2292" spans="2:18" x14ac:dyDescent="0.25">
      <c r="B2292" s="5" t="s">
        <v>2294</v>
      </c>
      <c r="C2292" s="5" t="s">
        <v>6434</v>
      </c>
      <c r="D2292" s="5">
        <v>8.0000000000000002E-3</v>
      </c>
      <c r="E2292" s="5">
        <v>6.0000000000000001E-3</v>
      </c>
      <c r="F2292" s="5">
        <v>4.0000000000000001E-3</v>
      </c>
      <c r="G2292" s="5">
        <v>0</v>
      </c>
      <c r="H2292" s="5">
        <v>0</v>
      </c>
      <c r="I2292" s="5">
        <v>0</v>
      </c>
      <c r="J2292" s="5">
        <v>6.0000000000000001E-3</v>
      </c>
      <c r="K2292" s="5">
        <v>0</v>
      </c>
      <c r="L2292" s="5">
        <v>4.0000000000000001E-3</v>
      </c>
      <c r="M2292" s="5">
        <v>0</v>
      </c>
      <c r="N2292" s="5">
        <v>6</v>
      </c>
      <c r="O2292" s="5" t="str">
        <f t="shared" ca="1" si="35"/>
        <v>Supplier 116</v>
      </c>
      <c r="P2292" s="20" t="str">
        <f ca="1">IFERROR(VLOOKUP(O2292,EMAILS!B:C,2,FALSE),"NOT FOUND IN EMAILS")</f>
        <v>supplier@gmail.com</v>
      </c>
      <c r="Q2292" t="str">
        <f ca="1">""&amp;IFERROR(VLOOKUP(O2292,EMAILS!B:D,3,FALSE),"NOT FOUND IN EMAILS")</f>
        <v/>
      </c>
      <c r="R2292" t="str">
        <f ca="1">""&amp;IFERROR(VLOOKUP(O2292,EMAILS!B:E,4,FALSE),"NO T FOUND IN EMAILS")</f>
        <v/>
      </c>
    </row>
    <row r="2293" spans="2:18" x14ac:dyDescent="0.25">
      <c r="B2293" s="5" t="s">
        <v>2295</v>
      </c>
      <c r="C2293" s="5" t="s">
        <v>6435</v>
      </c>
      <c r="D2293" s="5">
        <v>2</v>
      </c>
      <c r="E2293" s="5">
        <v>2.2000000000000002</v>
      </c>
      <c r="F2293" s="5">
        <v>3.4</v>
      </c>
      <c r="G2293" s="5">
        <v>3.4</v>
      </c>
      <c r="H2293" s="5">
        <v>0.78</v>
      </c>
      <c r="I2293" s="5">
        <v>1.48</v>
      </c>
      <c r="J2293" s="5">
        <v>1.28</v>
      </c>
      <c r="K2293" s="5">
        <v>1.38</v>
      </c>
      <c r="L2293" s="5">
        <v>0.88</v>
      </c>
      <c r="M2293" s="5">
        <v>0</v>
      </c>
      <c r="N2293" s="5">
        <v>0</v>
      </c>
      <c r="O2293" s="5" t="str">
        <f t="shared" ca="1" si="35"/>
        <v>Supplier 124</v>
      </c>
      <c r="P2293" s="20" t="str">
        <f ca="1">IFERROR(VLOOKUP(O2293,EMAILS!B:C,2,FALSE),"NOT FOUND IN EMAILS")</f>
        <v>supplier@gmail.com</v>
      </c>
      <c r="Q2293" t="str">
        <f ca="1">""&amp;IFERROR(VLOOKUP(O2293,EMAILS!B:D,3,FALSE),"NOT FOUND IN EMAILS")</f>
        <v/>
      </c>
      <c r="R2293" t="str">
        <f ca="1">""&amp;IFERROR(VLOOKUP(O2293,EMAILS!B:E,4,FALSE),"NO T FOUND IN EMAILS")</f>
        <v/>
      </c>
    </row>
    <row r="2294" spans="2:18" x14ac:dyDescent="0.25">
      <c r="B2294" s="5" t="s">
        <v>2296</v>
      </c>
      <c r="C2294" s="5" t="s">
        <v>6436</v>
      </c>
      <c r="D2294" s="5">
        <v>0</v>
      </c>
      <c r="E2294" s="5">
        <v>0</v>
      </c>
      <c r="F2294" s="5">
        <v>0</v>
      </c>
      <c r="G2294" s="5">
        <v>0</v>
      </c>
      <c r="H2294" s="5">
        <v>0</v>
      </c>
      <c r="I2294" s="5">
        <v>0</v>
      </c>
      <c r="J2294" s="5">
        <v>0</v>
      </c>
      <c r="K2294" s="5">
        <v>0</v>
      </c>
      <c r="L2294" s="5">
        <v>0</v>
      </c>
      <c r="M2294" s="5">
        <v>0</v>
      </c>
      <c r="N2294" s="5">
        <v>0</v>
      </c>
      <c r="O2294" s="5" t="str">
        <f t="shared" ca="1" si="35"/>
        <v>Supplier 97</v>
      </c>
      <c r="P2294" s="20" t="str">
        <f ca="1">IFERROR(VLOOKUP(O2294,EMAILS!B:C,2,FALSE),"NOT FOUND IN EMAILS")</f>
        <v>supplier@gmail.com</v>
      </c>
      <c r="Q2294" t="str">
        <f ca="1">""&amp;IFERROR(VLOOKUP(O2294,EMAILS!B:D,3,FALSE),"NOT FOUND IN EMAILS")</f>
        <v/>
      </c>
      <c r="R2294" t="str">
        <f ca="1">""&amp;IFERROR(VLOOKUP(O2294,EMAILS!B:E,4,FALSE),"NO T FOUND IN EMAILS")</f>
        <v/>
      </c>
    </row>
    <row r="2295" spans="2:18" x14ac:dyDescent="0.25">
      <c r="B2295" s="5" t="s">
        <v>2297</v>
      </c>
      <c r="C2295" s="5" t="s">
        <v>6437</v>
      </c>
      <c r="D2295" s="5">
        <v>0</v>
      </c>
      <c r="E2295" s="5">
        <v>0</v>
      </c>
      <c r="F2295" s="5">
        <v>0</v>
      </c>
      <c r="G2295" s="5">
        <v>0</v>
      </c>
      <c r="H2295" s="5">
        <v>0</v>
      </c>
      <c r="I2295" s="5">
        <v>0</v>
      </c>
      <c r="J2295" s="5">
        <v>0</v>
      </c>
      <c r="K2295" s="5">
        <v>0</v>
      </c>
      <c r="L2295" s="5">
        <v>0</v>
      </c>
      <c r="M2295" s="5">
        <v>0</v>
      </c>
      <c r="N2295" s="5">
        <v>2</v>
      </c>
      <c r="O2295" s="5" t="str">
        <f t="shared" ca="1" si="35"/>
        <v>Supplier 142</v>
      </c>
      <c r="P2295" s="20" t="str">
        <f ca="1">IFERROR(VLOOKUP(O2295,EMAILS!B:C,2,FALSE),"NOT FOUND IN EMAILS")</f>
        <v>supplier@gmail.com</v>
      </c>
      <c r="Q2295" t="str">
        <f ca="1">""&amp;IFERROR(VLOOKUP(O2295,EMAILS!B:D,3,FALSE),"NOT FOUND IN EMAILS")</f>
        <v/>
      </c>
      <c r="R2295" t="str">
        <f ca="1">""&amp;IFERROR(VLOOKUP(O2295,EMAILS!B:E,4,FALSE),"NO T FOUND IN EMAILS")</f>
        <v/>
      </c>
    </row>
    <row r="2296" spans="2:18" x14ac:dyDescent="0.25">
      <c r="B2296" s="5" t="s">
        <v>2298</v>
      </c>
      <c r="C2296" s="5" t="s">
        <v>6438</v>
      </c>
      <c r="D2296" s="5">
        <v>0</v>
      </c>
      <c r="E2296" s="5">
        <v>0</v>
      </c>
      <c r="F2296" s="5">
        <v>0</v>
      </c>
      <c r="G2296" s="5">
        <v>0</v>
      </c>
      <c r="H2296" s="5">
        <v>0</v>
      </c>
      <c r="I2296" s="5">
        <v>0</v>
      </c>
      <c r="J2296" s="5">
        <v>0</v>
      </c>
      <c r="K2296" s="5">
        <v>0</v>
      </c>
      <c r="L2296" s="5">
        <v>0</v>
      </c>
      <c r="M2296" s="5">
        <v>0</v>
      </c>
      <c r="N2296" s="5">
        <v>0</v>
      </c>
      <c r="O2296" s="5" t="str">
        <f t="shared" ca="1" si="35"/>
        <v>Supplier 74</v>
      </c>
      <c r="P2296" s="20" t="str">
        <f ca="1">IFERROR(VLOOKUP(O2296,EMAILS!B:C,2,FALSE),"NOT FOUND IN EMAILS")</f>
        <v>supplier@gmail.com</v>
      </c>
      <c r="Q2296" t="str">
        <f ca="1">""&amp;IFERROR(VLOOKUP(O2296,EMAILS!B:D,3,FALSE),"NOT FOUND IN EMAILS")</f>
        <v/>
      </c>
      <c r="R2296" t="str">
        <f ca="1">""&amp;IFERROR(VLOOKUP(O2296,EMAILS!B:E,4,FALSE),"NO T FOUND IN EMAILS")</f>
        <v/>
      </c>
    </row>
    <row r="2297" spans="2:18" x14ac:dyDescent="0.25">
      <c r="B2297" s="5" t="s">
        <v>2299</v>
      </c>
      <c r="C2297" s="5" t="s">
        <v>6439</v>
      </c>
      <c r="D2297" s="5">
        <v>0</v>
      </c>
      <c r="E2297" s="5">
        <v>0</v>
      </c>
      <c r="F2297" s="5">
        <v>0</v>
      </c>
      <c r="G2297" s="5">
        <v>0</v>
      </c>
      <c r="H2297" s="5">
        <v>0</v>
      </c>
      <c r="I2297" s="5">
        <v>0</v>
      </c>
      <c r="J2297" s="5">
        <v>0</v>
      </c>
      <c r="K2297" s="5">
        <v>0</v>
      </c>
      <c r="L2297" s="5">
        <v>0</v>
      </c>
      <c r="M2297" s="5">
        <v>0</v>
      </c>
      <c r="N2297" s="5">
        <v>0</v>
      </c>
      <c r="O2297" s="5" t="str">
        <f t="shared" ca="1" si="35"/>
        <v>Supplier 106</v>
      </c>
      <c r="P2297" s="20" t="str">
        <f ca="1">IFERROR(VLOOKUP(O2297,EMAILS!B:C,2,FALSE),"NOT FOUND IN EMAILS")</f>
        <v>supplier@gmail.com</v>
      </c>
      <c r="Q2297" t="str">
        <f ca="1">""&amp;IFERROR(VLOOKUP(O2297,EMAILS!B:D,3,FALSE),"NOT FOUND IN EMAILS")</f>
        <v/>
      </c>
      <c r="R2297" t="str">
        <f ca="1">""&amp;IFERROR(VLOOKUP(O2297,EMAILS!B:E,4,FALSE),"NO T FOUND IN EMAILS")</f>
        <v/>
      </c>
    </row>
    <row r="2298" spans="2:18" x14ac:dyDescent="0.25">
      <c r="B2298" s="5" t="s">
        <v>2300</v>
      </c>
      <c r="C2298" s="5" t="s">
        <v>6440</v>
      </c>
      <c r="D2298" s="5">
        <v>1.0089999999999999</v>
      </c>
      <c r="E2298" s="5">
        <v>0.50749999999999995</v>
      </c>
      <c r="F2298" s="5">
        <v>0.51249999999999996</v>
      </c>
      <c r="G2298" s="5">
        <v>0.51400000000000001</v>
      </c>
      <c r="H2298" s="5">
        <v>0.52200000000000002</v>
      </c>
      <c r="I2298" s="5">
        <v>0.50949999999999995</v>
      </c>
      <c r="J2298" s="5">
        <v>0.51100000000000001</v>
      </c>
      <c r="K2298" s="5">
        <v>0.51249999999999996</v>
      </c>
      <c r="L2298" s="5">
        <v>0.51400000000000001</v>
      </c>
      <c r="M2298" s="5">
        <v>0</v>
      </c>
      <c r="N2298" s="5">
        <v>0</v>
      </c>
      <c r="O2298" s="5" t="str">
        <f t="shared" ca="1" si="35"/>
        <v>Supplier 94</v>
      </c>
      <c r="P2298" s="20" t="str">
        <f ca="1">IFERROR(VLOOKUP(O2298,EMAILS!B:C,2,FALSE),"NOT FOUND IN EMAILS")</f>
        <v>supplier@gmail.com</v>
      </c>
      <c r="Q2298" t="str">
        <f ca="1">""&amp;IFERROR(VLOOKUP(O2298,EMAILS!B:D,3,FALSE),"NOT FOUND IN EMAILS")</f>
        <v/>
      </c>
      <c r="R2298" t="str">
        <f ca="1">""&amp;IFERROR(VLOOKUP(O2298,EMAILS!B:E,4,FALSE),"NO T FOUND IN EMAILS")</f>
        <v/>
      </c>
    </row>
    <row r="2299" spans="2:18" x14ac:dyDescent="0.25">
      <c r="B2299" s="5" t="s">
        <v>2301</v>
      </c>
      <c r="C2299" s="5" t="s">
        <v>6441</v>
      </c>
      <c r="D2299" s="5">
        <v>0</v>
      </c>
      <c r="E2299" s="5">
        <v>0</v>
      </c>
      <c r="F2299" s="5">
        <v>0</v>
      </c>
      <c r="G2299" s="5">
        <v>0</v>
      </c>
      <c r="H2299" s="5">
        <v>0</v>
      </c>
      <c r="I2299" s="5">
        <v>0</v>
      </c>
      <c r="J2299" s="5">
        <v>0</v>
      </c>
      <c r="K2299" s="5">
        <v>0</v>
      </c>
      <c r="L2299" s="5">
        <v>0</v>
      </c>
      <c r="M2299" s="5">
        <v>0</v>
      </c>
      <c r="N2299" s="5">
        <v>473</v>
      </c>
      <c r="O2299" s="5" t="str">
        <f t="shared" ca="1" si="35"/>
        <v>Supplier 32</v>
      </c>
      <c r="P2299" s="20" t="str">
        <f ca="1">IFERROR(VLOOKUP(O2299,EMAILS!B:C,2,FALSE),"NOT FOUND IN EMAILS")</f>
        <v>supplier@gmail.com</v>
      </c>
      <c r="Q2299" t="str">
        <f ca="1">""&amp;IFERROR(VLOOKUP(O2299,EMAILS!B:D,3,FALSE),"NOT FOUND IN EMAILS")</f>
        <v/>
      </c>
      <c r="R2299" t="str">
        <f ca="1">""&amp;IFERROR(VLOOKUP(O2299,EMAILS!B:E,4,FALSE),"NO T FOUND IN EMAILS")</f>
        <v/>
      </c>
    </row>
    <row r="2300" spans="2:18" x14ac:dyDescent="0.25">
      <c r="B2300" s="5" t="s">
        <v>2302</v>
      </c>
      <c r="C2300" s="5" t="s">
        <v>6442</v>
      </c>
      <c r="D2300" s="5">
        <v>0</v>
      </c>
      <c r="E2300" s="5">
        <v>0</v>
      </c>
      <c r="F2300" s="5">
        <v>0</v>
      </c>
      <c r="G2300" s="5">
        <v>0</v>
      </c>
      <c r="H2300" s="5">
        <v>0</v>
      </c>
      <c r="I2300" s="5">
        <v>0</v>
      </c>
      <c r="J2300" s="5">
        <v>0</v>
      </c>
      <c r="K2300" s="5">
        <v>0</v>
      </c>
      <c r="L2300" s="5">
        <v>0</v>
      </c>
      <c r="M2300" s="5">
        <v>0</v>
      </c>
      <c r="N2300" s="5">
        <v>130</v>
      </c>
      <c r="O2300" s="5" t="str">
        <f t="shared" ca="1" si="35"/>
        <v>Supplier 68</v>
      </c>
      <c r="P2300" s="20" t="str">
        <f ca="1">IFERROR(VLOOKUP(O2300,EMAILS!B:C,2,FALSE),"NOT FOUND IN EMAILS")</f>
        <v>supplier@gmail.com</v>
      </c>
      <c r="Q2300" t="str">
        <f ca="1">""&amp;IFERROR(VLOOKUP(O2300,EMAILS!B:D,3,FALSE),"NOT FOUND IN EMAILS")</f>
        <v/>
      </c>
      <c r="R2300" t="str">
        <f ca="1">""&amp;IFERROR(VLOOKUP(O2300,EMAILS!B:E,4,FALSE),"NO T FOUND IN EMAILS")</f>
        <v/>
      </c>
    </row>
    <row r="2301" spans="2:18" x14ac:dyDescent="0.25">
      <c r="B2301" s="5" t="s">
        <v>2303</v>
      </c>
      <c r="C2301" s="5" t="s">
        <v>6443</v>
      </c>
      <c r="D2301" s="5">
        <v>0</v>
      </c>
      <c r="E2301" s="5">
        <v>0</v>
      </c>
      <c r="F2301" s="5">
        <v>0</v>
      </c>
      <c r="G2301" s="5">
        <v>0</v>
      </c>
      <c r="H2301" s="5">
        <v>0</v>
      </c>
      <c r="I2301" s="5">
        <v>0</v>
      </c>
      <c r="J2301" s="5">
        <v>0</v>
      </c>
      <c r="K2301" s="5">
        <v>0</v>
      </c>
      <c r="L2301" s="5">
        <v>0</v>
      </c>
      <c r="M2301" s="5">
        <v>0</v>
      </c>
      <c r="N2301" s="5">
        <v>400</v>
      </c>
      <c r="O2301" s="5" t="str">
        <f t="shared" ca="1" si="35"/>
        <v>Supplier 117</v>
      </c>
      <c r="P2301" s="20" t="str">
        <f ca="1">IFERROR(VLOOKUP(O2301,EMAILS!B:C,2,FALSE),"NOT FOUND IN EMAILS")</f>
        <v>supplier@gmail.com</v>
      </c>
      <c r="Q2301" t="str">
        <f ca="1">""&amp;IFERROR(VLOOKUP(O2301,EMAILS!B:D,3,FALSE),"NOT FOUND IN EMAILS")</f>
        <v/>
      </c>
      <c r="R2301" t="str">
        <f ca="1">""&amp;IFERROR(VLOOKUP(O2301,EMAILS!B:E,4,FALSE),"NO T FOUND IN EMAILS")</f>
        <v/>
      </c>
    </row>
    <row r="2302" spans="2:18" x14ac:dyDescent="0.25">
      <c r="B2302" s="5" t="s">
        <v>2304</v>
      </c>
      <c r="C2302" s="5" t="s">
        <v>6444</v>
      </c>
      <c r="D2302" s="5">
        <v>0</v>
      </c>
      <c r="E2302" s="5">
        <v>0</v>
      </c>
      <c r="F2302" s="5">
        <v>0</v>
      </c>
      <c r="G2302" s="5">
        <v>0</v>
      </c>
      <c r="H2302" s="5">
        <v>0</v>
      </c>
      <c r="I2302" s="5">
        <v>0</v>
      </c>
      <c r="J2302" s="5">
        <v>0</v>
      </c>
      <c r="K2302" s="5">
        <v>0</v>
      </c>
      <c r="L2302" s="5">
        <v>0</v>
      </c>
      <c r="M2302" s="5">
        <v>0</v>
      </c>
      <c r="N2302" s="5">
        <v>500</v>
      </c>
      <c r="O2302" s="5" t="str">
        <f t="shared" ca="1" si="35"/>
        <v>Supplier 19</v>
      </c>
      <c r="P2302" s="20" t="str">
        <f ca="1">IFERROR(VLOOKUP(O2302,EMAILS!B:C,2,FALSE),"NOT FOUND IN EMAILS")</f>
        <v>supplier@gmail.com</v>
      </c>
      <c r="Q2302" t="str">
        <f ca="1">""&amp;IFERROR(VLOOKUP(O2302,EMAILS!B:D,3,FALSE),"NOT FOUND IN EMAILS")</f>
        <v>supplier_logistics@gmail.com</v>
      </c>
      <c r="R2302" t="str">
        <f ca="1">""&amp;IFERROR(VLOOKUP(O2302,EMAILS!B:E,4,FALSE),"NO T FOUND IN EMAILS")</f>
        <v/>
      </c>
    </row>
    <row r="2303" spans="2:18" x14ac:dyDescent="0.25">
      <c r="B2303" s="5" t="s">
        <v>2305</v>
      </c>
      <c r="C2303" s="5" t="s">
        <v>6445</v>
      </c>
      <c r="D2303" s="5">
        <v>100</v>
      </c>
      <c r="E2303" s="5">
        <v>200</v>
      </c>
      <c r="F2303" s="5">
        <v>100</v>
      </c>
      <c r="G2303" s="5">
        <v>200</v>
      </c>
      <c r="H2303" s="5">
        <v>100</v>
      </c>
      <c r="I2303" s="5">
        <v>200</v>
      </c>
      <c r="J2303" s="5">
        <v>100</v>
      </c>
      <c r="K2303" s="5">
        <v>100</v>
      </c>
      <c r="L2303" s="5">
        <v>100</v>
      </c>
      <c r="M2303" s="5">
        <v>0</v>
      </c>
      <c r="N2303" s="5">
        <v>200</v>
      </c>
      <c r="O2303" s="5" t="str">
        <f t="shared" ca="1" si="35"/>
        <v>Supplier 196</v>
      </c>
      <c r="P2303" s="20" t="str">
        <f ca="1">IFERROR(VLOOKUP(O2303,EMAILS!B:C,2,FALSE),"NOT FOUND IN EMAILS")</f>
        <v>supplier@gmail.com</v>
      </c>
      <c r="Q2303" t="str">
        <f ca="1">""&amp;IFERROR(VLOOKUP(O2303,EMAILS!B:D,3,FALSE),"NOT FOUND IN EMAILS")</f>
        <v/>
      </c>
      <c r="R2303" t="str">
        <f ca="1">""&amp;IFERROR(VLOOKUP(O2303,EMAILS!B:E,4,FALSE),"NO T FOUND IN EMAILS")</f>
        <v/>
      </c>
    </row>
    <row r="2304" spans="2:18" x14ac:dyDescent="0.25">
      <c r="B2304" s="5" t="s">
        <v>2306</v>
      </c>
      <c r="C2304" s="5" t="s">
        <v>6446</v>
      </c>
      <c r="D2304" s="5">
        <v>0</v>
      </c>
      <c r="E2304" s="5">
        <v>0</v>
      </c>
      <c r="F2304" s="5">
        <v>0</v>
      </c>
      <c r="G2304" s="5">
        <v>0</v>
      </c>
      <c r="H2304" s="5">
        <v>0</v>
      </c>
      <c r="I2304" s="5">
        <v>0</v>
      </c>
      <c r="J2304" s="5">
        <v>0</v>
      </c>
      <c r="K2304" s="5">
        <v>0</v>
      </c>
      <c r="L2304" s="5">
        <v>0</v>
      </c>
      <c r="M2304" s="5">
        <v>0</v>
      </c>
      <c r="N2304" s="5">
        <v>638</v>
      </c>
      <c r="O2304" s="5" t="str">
        <f t="shared" ca="1" si="35"/>
        <v>Supplier 198</v>
      </c>
      <c r="P2304" s="20" t="str">
        <f ca="1">IFERROR(VLOOKUP(O2304,EMAILS!B:C,2,FALSE),"NOT FOUND IN EMAILS")</f>
        <v>supplier@gmail.com</v>
      </c>
      <c r="Q2304" t="str">
        <f ca="1">""&amp;IFERROR(VLOOKUP(O2304,EMAILS!B:D,3,FALSE),"NOT FOUND IN EMAILS")</f>
        <v/>
      </c>
      <c r="R2304" t="str">
        <f ca="1">""&amp;IFERROR(VLOOKUP(O2304,EMAILS!B:E,4,FALSE),"NO T FOUND IN EMAILS")</f>
        <v/>
      </c>
    </row>
    <row r="2305" spans="2:18" x14ac:dyDescent="0.25">
      <c r="B2305" s="5" t="s">
        <v>2307</v>
      </c>
      <c r="C2305" s="5" t="s">
        <v>6447</v>
      </c>
      <c r="D2305" s="5">
        <v>0</v>
      </c>
      <c r="E2305" s="5">
        <v>0</v>
      </c>
      <c r="F2305" s="5">
        <v>0</v>
      </c>
      <c r="G2305" s="5">
        <v>105</v>
      </c>
      <c r="H2305" s="5">
        <v>50</v>
      </c>
      <c r="I2305" s="5">
        <v>120</v>
      </c>
      <c r="J2305" s="5">
        <v>0</v>
      </c>
      <c r="K2305" s="5">
        <v>0</v>
      </c>
      <c r="L2305" s="5">
        <v>15</v>
      </c>
      <c r="M2305" s="5">
        <v>0</v>
      </c>
      <c r="N2305" s="5">
        <v>139</v>
      </c>
      <c r="O2305" s="5" t="str">
        <f t="shared" ca="1" si="35"/>
        <v>Supplier 15</v>
      </c>
      <c r="P2305" s="20" t="str">
        <f ca="1">IFERROR(VLOOKUP(O2305,EMAILS!B:C,2,FALSE),"NOT FOUND IN EMAILS")</f>
        <v>supplier@gmail.com</v>
      </c>
      <c r="Q2305" t="str">
        <f ca="1">""&amp;IFERROR(VLOOKUP(O2305,EMAILS!B:D,3,FALSE),"NOT FOUND IN EMAILS")</f>
        <v>supplier_logistics@gmail.com</v>
      </c>
      <c r="R2305" t="str">
        <f ca="1">""&amp;IFERROR(VLOOKUP(O2305,EMAILS!B:E,4,FALSE),"NO T FOUND IN EMAILS")</f>
        <v/>
      </c>
    </row>
    <row r="2306" spans="2:18" x14ac:dyDescent="0.25">
      <c r="B2306" s="5" t="s">
        <v>2308</v>
      </c>
      <c r="C2306" s="5" t="s">
        <v>6448</v>
      </c>
      <c r="D2306" s="5">
        <v>1</v>
      </c>
      <c r="E2306" s="5">
        <v>0</v>
      </c>
      <c r="F2306" s="5">
        <v>8</v>
      </c>
      <c r="G2306" s="5">
        <v>4</v>
      </c>
      <c r="H2306" s="5">
        <v>3</v>
      </c>
      <c r="I2306" s="5">
        <v>0</v>
      </c>
      <c r="J2306" s="5">
        <v>2</v>
      </c>
      <c r="K2306" s="5">
        <v>5</v>
      </c>
      <c r="L2306" s="5">
        <v>0</v>
      </c>
      <c r="M2306" s="5">
        <v>0</v>
      </c>
      <c r="N2306" s="5">
        <v>192</v>
      </c>
      <c r="O2306" s="5" t="str">
        <f t="shared" ca="1" si="35"/>
        <v>Supplier 67</v>
      </c>
      <c r="P2306" s="20" t="str">
        <f ca="1">IFERROR(VLOOKUP(O2306,EMAILS!B:C,2,FALSE),"NOT FOUND IN EMAILS")</f>
        <v>supplier@gmail.com</v>
      </c>
      <c r="Q2306" t="str">
        <f ca="1">""&amp;IFERROR(VLOOKUP(O2306,EMAILS!B:D,3,FALSE),"NOT FOUND IN EMAILS")</f>
        <v/>
      </c>
      <c r="R2306" t="str">
        <f ca="1">""&amp;IFERROR(VLOOKUP(O2306,EMAILS!B:E,4,FALSE),"NO T FOUND IN EMAILS")</f>
        <v/>
      </c>
    </row>
    <row r="2307" spans="2:18" x14ac:dyDescent="0.25">
      <c r="B2307" s="5" t="s">
        <v>2309</v>
      </c>
      <c r="C2307" s="5" t="s">
        <v>6449</v>
      </c>
      <c r="D2307" s="5">
        <v>5</v>
      </c>
      <c r="E2307" s="5">
        <v>3</v>
      </c>
      <c r="F2307" s="5">
        <v>2</v>
      </c>
      <c r="G2307" s="5">
        <v>8</v>
      </c>
      <c r="H2307" s="5">
        <v>1</v>
      </c>
      <c r="I2307" s="5">
        <v>1</v>
      </c>
      <c r="J2307" s="5">
        <v>2</v>
      </c>
      <c r="K2307" s="5">
        <v>9</v>
      </c>
      <c r="L2307" s="5">
        <v>4</v>
      </c>
      <c r="M2307" s="5">
        <v>0</v>
      </c>
      <c r="N2307" s="5">
        <v>303</v>
      </c>
      <c r="O2307" s="5" t="str">
        <f t="shared" ref="O2307:O2370" ca="1" si="36">"Supplier "&amp;RANDBETWEEN(1,200)</f>
        <v>Supplier 125</v>
      </c>
      <c r="P2307" s="20" t="str">
        <f ca="1">IFERROR(VLOOKUP(O2307,EMAILS!B:C,2,FALSE),"NOT FOUND IN EMAILS")</f>
        <v>supplier@gmail.com</v>
      </c>
      <c r="Q2307" t="str">
        <f ca="1">""&amp;IFERROR(VLOOKUP(O2307,EMAILS!B:D,3,FALSE),"NOT FOUND IN EMAILS")</f>
        <v/>
      </c>
      <c r="R2307" t="str">
        <f ca="1">""&amp;IFERROR(VLOOKUP(O2307,EMAILS!B:E,4,FALSE),"NO T FOUND IN EMAILS")</f>
        <v/>
      </c>
    </row>
    <row r="2308" spans="2:18" x14ac:dyDescent="0.25">
      <c r="B2308" s="5" t="s">
        <v>2310</v>
      </c>
      <c r="C2308" s="5" t="s">
        <v>6450</v>
      </c>
      <c r="D2308" s="5">
        <v>14</v>
      </c>
      <c r="E2308" s="5">
        <v>14</v>
      </c>
      <c r="F2308" s="5">
        <v>7</v>
      </c>
      <c r="G2308" s="5">
        <v>28</v>
      </c>
      <c r="H2308" s="5">
        <v>12</v>
      </c>
      <c r="I2308" s="5">
        <v>10</v>
      </c>
      <c r="J2308" s="5">
        <v>8</v>
      </c>
      <c r="K2308" s="5">
        <v>6</v>
      </c>
      <c r="L2308" s="5">
        <v>8</v>
      </c>
      <c r="M2308" s="5">
        <v>0</v>
      </c>
      <c r="N2308" s="5">
        <v>1169</v>
      </c>
      <c r="O2308" s="5" t="str">
        <f t="shared" ca="1" si="36"/>
        <v>Supplier 160</v>
      </c>
      <c r="P2308" s="20" t="str">
        <f ca="1">IFERROR(VLOOKUP(O2308,EMAILS!B:C,2,FALSE),"NOT FOUND IN EMAILS")</f>
        <v>supplier@gmail.com</v>
      </c>
      <c r="Q2308" t="str">
        <f ca="1">""&amp;IFERROR(VLOOKUP(O2308,EMAILS!B:D,3,FALSE),"NOT FOUND IN EMAILS")</f>
        <v/>
      </c>
      <c r="R2308" t="str">
        <f ca="1">""&amp;IFERROR(VLOOKUP(O2308,EMAILS!B:E,4,FALSE),"NO T FOUND IN EMAILS")</f>
        <v/>
      </c>
    </row>
    <row r="2309" spans="2:18" x14ac:dyDescent="0.25">
      <c r="B2309" s="5" t="s">
        <v>2311</v>
      </c>
      <c r="C2309" s="5" t="s">
        <v>6451</v>
      </c>
      <c r="D2309" s="5">
        <v>101</v>
      </c>
      <c r="E2309" s="5">
        <v>0</v>
      </c>
      <c r="F2309" s="5">
        <v>53</v>
      </c>
      <c r="G2309" s="5">
        <v>5</v>
      </c>
      <c r="H2309" s="5">
        <v>3</v>
      </c>
      <c r="I2309" s="5">
        <v>0</v>
      </c>
      <c r="J2309" s="5">
        <v>2</v>
      </c>
      <c r="K2309" s="5">
        <v>9</v>
      </c>
      <c r="L2309" s="5">
        <v>0</v>
      </c>
      <c r="M2309" s="5">
        <v>0</v>
      </c>
      <c r="N2309" s="5">
        <v>886</v>
      </c>
      <c r="O2309" s="5" t="str">
        <f t="shared" ca="1" si="36"/>
        <v>Supplier 144</v>
      </c>
      <c r="P2309" s="20" t="str">
        <f ca="1">IFERROR(VLOOKUP(O2309,EMAILS!B:C,2,FALSE),"NOT FOUND IN EMAILS")</f>
        <v>supplier@gmail.com</v>
      </c>
      <c r="Q2309" t="str">
        <f ca="1">""&amp;IFERROR(VLOOKUP(O2309,EMAILS!B:D,3,FALSE),"NOT FOUND IN EMAILS")</f>
        <v/>
      </c>
      <c r="R2309" t="str">
        <f ca="1">""&amp;IFERROR(VLOOKUP(O2309,EMAILS!B:E,4,FALSE),"NO T FOUND IN EMAILS")</f>
        <v/>
      </c>
    </row>
    <row r="2310" spans="2:18" x14ac:dyDescent="0.25">
      <c r="B2310" s="5" t="s">
        <v>2312</v>
      </c>
      <c r="C2310" s="5" t="s">
        <v>6452</v>
      </c>
      <c r="D2310" s="5">
        <v>101</v>
      </c>
      <c r="E2310" s="5">
        <v>0</v>
      </c>
      <c r="F2310" s="5">
        <v>53</v>
      </c>
      <c r="G2310" s="5">
        <v>5</v>
      </c>
      <c r="H2310" s="5">
        <v>3</v>
      </c>
      <c r="I2310" s="5">
        <v>0</v>
      </c>
      <c r="J2310" s="5">
        <v>2</v>
      </c>
      <c r="K2310" s="5">
        <v>9</v>
      </c>
      <c r="L2310" s="5">
        <v>0</v>
      </c>
      <c r="M2310" s="5">
        <v>0</v>
      </c>
      <c r="N2310" s="5">
        <v>1222</v>
      </c>
      <c r="O2310" s="5" t="str">
        <f t="shared" ca="1" si="36"/>
        <v>Supplier 149</v>
      </c>
      <c r="P2310" s="20" t="str">
        <f ca="1">IFERROR(VLOOKUP(O2310,EMAILS!B:C,2,FALSE),"NOT FOUND IN EMAILS")</f>
        <v>supplier@gmail.com</v>
      </c>
      <c r="Q2310" t="str">
        <f ca="1">""&amp;IFERROR(VLOOKUP(O2310,EMAILS!B:D,3,FALSE),"NOT FOUND IN EMAILS")</f>
        <v/>
      </c>
      <c r="R2310" t="str">
        <f ca="1">""&amp;IFERROR(VLOOKUP(O2310,EMAILS!B:E,4,FALSE),"NO T FOUND IN EMAILS")</f>
        <v/>
      </c>
    </row>
    <row r="2311" spans="2:18" x14ac:dyDescent="0.25">
      <c r="B2311" s="5" t="s">
        <v>2313</v>
      </c>
      <c r="C2311" s="5" t="s">
        <v>6453</v>
      </c>
      <c r="D2311" s="5">
        <v>101</v>
      </c>
      <c r="E2311" s="5">
        <v>0</v>
      </c>
      <c r="F2311" s="5">
        <v>47</v>
      </c>
      <c r="G2311" s="5">
        <v>5</v>
      </c>
      <c r="H2311" s="5">
        <v>3</v>
      </c>
      <c r="I2311" s="5">
        <v>0</v>
      </c>
      <c r="J2311" s="5">
        <v>2</v>
      </c>
      <c r="K2311" s="5">
        <v>9</v>
      </c>
      <c r="L2311" s="5">
        <v>0</v>
      </c>
      <c r="M2311" s="5">
        <v>0</v>
      </c>
      <c r="N2311" s="5">
        <v>100</v>
      </c>
      <c r="O2311" s="5" t="str">
        <f t="shared" ca="1" si="36"/>
        <v>Supplier 181</v>
      </c>
      <c r="P2311" s="20" t="str">
        <f ca="1">IFERROR(VLOOKUP(O2311,EMAILS!B:C,2,FALSE),"NOT FOUND IN EMAILS")</f>
        <v>supplier@gmail.com</v>
      </c>
      <c r="Q2311" t="str">
        <f ca="1">""&amp;IFERROR(VLOOKUP(O2311,EMAILS!B:D,3,FALSE),"NOT FOUND IN EMAILS")</f>
        <v/>
      </c>
      <c r="R2311" t="str">
        <f ca="1">""&amp;IFERROR(VLOOKUP(O2311,EMAILS!B:E,4,FALSE),"NO T FOUND IN EMAILS")</f>
        <v/>
      </c>
    </row>
    <row r="2312" spans="2:18" x14ac:dyDescent="0.25">
      <c r="B2312" s="5" t="s">
        <v>2314</v>
      </c>
      <c r="C2312" s="5" t="s">
        <v>6454</v>
      </c>
      <c r="D2312" s="5">
        <v>64</v>
      </c>
      <c r="E2312" s="5">
        <v>0</v>
      </c>
      <c r="F2312" s="5">
        <v>50</v>
      </c>
      <c r="G2312" s="5">
        <v>50</v>
      </c>
      <c r="H2312" s="5">
        <v>0</v>
      </c>
      <c r="I2312" s="5">
        <v>0</v>
      </c>
      <c r="J2312" s="5">
        <v>0</v>
      </c>
      <c r="K2312" s="5">
        <v>0</v>
      </c>
      <c r="L2312" s="5">
        <v>0</v>
      </c>
      <c r="M2312" s="5">
        <v>0</v>
      </c>
      <c r="N2312" s="5">
        <v>0</v>
      </c>
      <c r="O2312" s="5" t="str">
        <f t="shared" ca="1" si="36"/>
        <v>Supplier 106</v>
      </c>
      <c r="P2312" s="20" t="str">
        <f ca="1">IFERROR(VLOOKUP(O2312,EMAILS!B:C,2,FALSE),"NOT FOUND IN EMAILS")</f>
        <v>supplier@gmail.com</v>
      </c>
      <c r="Q2312" t="str">
        <f ca="1">""&amp;IFERROR(VLOOKUP(O2312,EMAILS!B:D,3,FALSE),"NOT FOUND IN EMAILS")</f>
        <v/>
      </c>
      <c r="R2312" t="str">
        <f ca="1">""&amp;IFERROR(VLOOKUP(O2312,EMAILS!B:E,4,FALSE),"NO T FOUND IN EMAILS")</f>
        <v/>
      </c>
    </row>
    <row r="2313" spans="2:18" x14ac:dyDescent="0.25">
      <c r="B2313" s="5" t="s">
        <v>2315</v>
      </c>
      <c r="C2313" s="5" t="s">
        <v>6455</v>
      </c>
      <c r="D2313" s="5">
        <v>0</v>
      </c>
      <c r="E2313" s="5">
        <v>0</v>
      </c>
      <c r="F2313" s="5">
        <v>0</v>
      </c>
      <c r="G2313" s="5">
        <v>0</v>
      </c>
      <c r="H2313" s="5">
        <v>0</v>
      </c>
      <c r="I2313" s="5">
        <v>0</v>
      </c>
      <c r="J2313" s="5">
        <v>0</v>
      </c>
      <c r="K2313" s="5">
        <v>0</v>
      </c>
      <c r="L2313" s="5">
        <v>0</v>
      </c>
      <c r="M2313" s="5">
        <v>0</v>
      </c>
      <c r="N2313" s="5">
        <v>0</v>
      </c>
      <c r="O2313" s="5" t="str">
        <f t="shared" ca="1" si="36"/>
        <v>Supplier 115</v>
      </c>
      <c r="P2313" s="20" t="str">
        <f ca="1">IFERROR(VLOOKUP(O2313,EMAILS!B:C,2,FALSE),"NOT FOUND IN EMAILS")</f>
        <v>supplier@gmail.com</v>
      </c>
      <c r="Q2313" t="str">
        <f ca="1">""&amp;IFERROR(VLOOKUP(O2313,EMAILS!B:D,3,FALSE),"NOT FOUND IN EMAILS")</f>
        <v/>
      </c>
      <c r="R2313" t="str">
        <f ca="1">""&amp;IFERROR(VLOOKUP(O2313,EMAILS!B:E,4,FALSE),"NO T FOUND IN EMAILS")</f>
        <v/>
      </c>
    </row>
    <row r="2314" spans="2:18" x14ac:dyDescent="0.25">
      <c r="B2314" s="5" t="s">
        <v>2316</v>
      </c>
      <c r="C2314" s="5" t="s">
        <v>6456</v>
      </c>
      <c r="D2314" s="5">
        <v>0</v>
      </c>
      <c r="E2314" s="5">
        <v>0</v>
      </c>
      <c r="F2314" s="5">
        <v>0</v>
      </c>
      <c r="G2314" s="5">
        <v>0</v>
      </c>
      <c r="H2314" s="5">
        <v>0</v>
      </c>
      <c r="I2314" s="5">
        <v>0</v>
      </c>
      <c r="J2314" s="5">
        <v>0</v>
      </c>
      <c r="K2314" s="5">
        <v>0</v>
      </c>
      <c r="L2314" s="5">
        <v>0</v>
      </c>
      <c r="M2314" s="5">
        <v>0</v>
      </c>
      <c r="N2314" s="5">
        <v>4</v>
      </c>
      <c r="O2314" s="5" t="str">
        <f t="shared" ca="1" si="36"/>
        <v>Supplier 42</v>
      </c>
      <c r="P2314" s="20" t="str">
        <f ca="1">IFERROR(VLOOKUP(O2314,EMAILS!B:C,2,FALSE),"NOT FOUND IN EMAILS")</f>
        <v>supplier@gmail.com</v>
      </c>
      <c r="Q2314" t="str">
        <f ca="1">""&amp;IFERROR(VLOOKUP(O2314,EMAILS!B:D,3,FALSE),"NOT FOUND IN EMAILS")</f>
        <v/>
      </c>
      <c r="R2314" t="str">
        <f ca="1">""&amp;IFERROR(VLOOKUP(O2314,EMAILS!B:E,4,FALSE),"NO T FOUND IN EMAILS")</f>
        <v/>
      </c>
    </row>
    <row r="2315" spans="2:18" x14ac:dyDescent="0.25">
      <c r="B2315" s="5" t="s">
        <v>2317</v>
      </c>
      <c r="C2315" s="5" t="s">
        <v>6457</v>
      </c>
      <c r="D2315" s="5">
        <v>0</v>
      </c>
      <c r="E2315" s="5">
        <v>0</v>
      </c>
      <c r="F2315" s="5">
        <v>0</v>
      </c>
      <c r="G2315" s="5">
        <v>0</v>
      </c>
      <c r="H2315" s="5">
        <v>0</v>
      </c>
      <c r="I2315" s="5">
        <v>0</v>
      </c>
      <c r="J2315" s="5">
        <v>0</v>
      </c>
      <c r="K2315" s="5">
        <v>0</v>
      </c>
      <c r="L2315" s="5">
        <v>0</v>
      </c>
      <c r="M2315" s="5">
        <v>0</v>
      </c>
      <c r="N2315" s="5">
        <v>3</v>
      </c>
      <c r="O2315" s="5" t="str">
        <f t="shared" ca="1" si="36"/>
        <v>Supplier 166</v>
      </c>
      <c r="P2315" s="20" t="str">
        <f ca="1">IFERROR(VLOOKUP(O2315,EMAILS!B:C,2,FALSE),"NOT FOUND IN EMAILS")</f>
        <v>supplier@gmail.com</v>
      </c>
      <c r="Q2315" t="str">
        <f ca="1">""&amp;IFERROR(VLOOKUP(O2315,EMAILS!B:D,3,FALSE),"NOT FOUND IN EMAILS")</f>
        <v/>
      </c>
      <c r="R2315" t="str">
        <f ca="1">""&amp;IFERROR(VLOOKUP(O2315,EMAILS!B:E,4,FALSE),"NO T FOUND IN EMAILS")</f>
        <v/>
      </c>
    </row>
    <row r="2316" spans="2:18" x14ac:dyDescent="0.25">
      <c r="B2316" s="5" t="s">
        <v>2318</v>
      </c>
      <c r="C2316" s="5" t="s">
        <v>6458</v>
      </c>
      <c r="D2316" s="5">
        <v>0</v>
      </c>
      <c r="E2316" s="5">
        <v>0</v>
      </c>
      <c r="F2316" s="5">
        <v>4</v>
      </c>
      <c r="G2316" s="5">
        <v>0</v>
      </c>
      <c r="H2316" s="5">
        <v>0</v>
      </c>
      <c r="I2316" s="5">
        <v>0</v>
      </c>
      <c r="J2316" s="5">
        <v>0</v>
      </c>
      <c r="K2316" s="5">
        <v>4</v>
      </c>
      <c r="L2316" s="5">
        <v>0</v>
      </c>
      <c r="M2316" s="5">
        <v>0</v>
      </c>
      <c r="N2316" s="5">
        <v>0</v>
      </c>
      <c r="O2316" s="5" t="str">
        <f t="shared" ca="1" si="36"/>
        <v>Supplier 6</v>
      </c>
      <c r="P2316" s="20" t="str">
        <f ca="1">IFERROR(VLOOKUP(O2316,EMAILS!B:C,2,FALSE),"NOT FOUND IN EMAILS")</f>
        <v>supplier@gmail.com</v>
      </c>
      <c r="Q2316" t="str">
        <f ca="1">""&amp;IFERROR(VLOOKUP(O2316,EMAILS!B:D,3,FALSE),"NOT FOUND IN EMAILS")</f>
        <v>supplier_logistics@gmail.com</v>
      </c>
      <c r="R2316" t="str">
        <f ca="1">""&amp;IFERROR(VLOOKUP(O2316,EMAILS!B:E,4,FALSE),"NO T FOUND IN EMAILS")</f>
        <v/>
      </c>
    </row>
    <row r="2317" spans="2:18" x14ac:dyDescent="0.25">
      <c r="B2317" s="5" t="s">
        <v>2319</v>
      </c>
      <c r="C2317" s="5" t="s">
        <v>6459</v>
      </c>
      <c r="D2317" s="5">
        <v>0</v>
      </c>
      <c r="E2317" s="5">
        <v>0</v>
      </c>
      <c r="F2317" s="5">
        <v>0</v>
      </c>
      <c r="G2317" s="5">
        <v>0</v>
      </c>
      <c r="H2317" s="5">
        <v>0</v>
      </c>
      <c r="I2317" s="5">
        <v>0</v>
      </c>
      <c r="J2317" s="5">
        <v>0</v>
      </c>
      <c r="K2317" s="5">
        <v>0</v>
      </c>
      <c r="L2317" s="5">
        <v>0</v>
      </c>
      <c r="M2317" s="5">
        <v>0</v>
      </c>
      <c r="N2317" s="5">
        <v>6</v>
      </c>
      <c r="O2317" s="5" t="str">
        <f t="shared" ca="1" si="36"/>
        <v>Supplier 6</v>
      </c>
      <c r="P2317" s="20" t="str">
        <f ca="1">IFERROR(VLOOKUP(O2317,EMAILS!B:C,2,FALSE),"NOT FOUND IN EMAILS")</f>
        <v>supplier@gmail.com</v>
      </c>
      <c r="Q2317" t="str">
        <f ca="1">""&amp;IFERROR(VLOOKUP(O2317,EMAILS!B:D,3,FALSE),"NOT FOUND IN EMAILS")</f>
        <v>supplier_logistics@gmail.com</v>
      </c>
      <c r="R2317" t="str">
        <f ca="1">""&amp;IFERROR(VLOOKUP(O2317,EMAILS!B:E,4,FALSE),"NO T FOUND IN EMAILS")</f>
        <v/>
      </c>
    </row>
    <row r="2318" spans="2:18" x14ac:dyDescent="0.25">
      <c r="B2318" s="5" t="s">
        <v>2320</v>
      </c>
      <c r="C2318" s="5" t="s">
        <v>6460</v>
      </c>
      <c r="D2318" s="5">
        <v>0</v>
      </c>
      <c r="E2318" s="5">
        <v>0</v>
      </c>
      <c r="F2318" s="5">
        <v>0</v>
      </c>
      <c r="G2318" s="5">
        <v>3</v>
      </c>
      <c r="H2318" s="5">
        <v>0</v>
      </c>
      <c r="I2318" s="5">
        <v>0</v>
      </c>
      <c r="J2318" s="5">
        <v>0</v>
      </c>
      <c r="K2318" s="5">
        <v>0</v>
      </c>
      <c r="L2318" s="5">
        <v>0</v>
      </c>
      <c r="M2318" s="5">
        <v>0</v>
      </c>
      <c r="N2318" s="5">
        <v>0</v>
      </c>
      <c r="O2318" s="5" t="str">
        <f t="shared" ca="1" si="36"/>
        <v>Supplier 188</v>
      </c>
      <c r="P2318" s="20" t="str">
        <f ca="1">IFERROR(VLOOKUP(O2318,EMAILS!B:C,2,FALSE),"NOT FOUND IN EMAILS")</f>
        <v>supplier@gmail.com</v>
      </c>
      <c r="Q2318" t="str">
        <f ca="1">""&amp;IFERROR(VLOOKUP(O2318,EMAILS!B:D,3,FALSE),"NOT FOUND IN EMAILS")</f>
        <v/>
      </c>
      <c r="R2318" t="str">
        <f ca="1">""&amp;IFERROR(VLOOKUP(O2318,EMAILS!B:E,4,FALSE),"NO T FOUND IN EMAILS")</f>
        <v/>
      </c>
    </row>
    <row r="2319" spans="2:18" x14ac:dyDescent="0.25">
      <c r="B2319" s="5" t="s">
        <v>2321</v>
      </c>
      <c r="C2319" s="5" t="s">
        <v>6461</v>
      </c>
      <c r="D2319" s="5">
        <v>0</v>
      </c>
      <c r="E2319" s="5">
        <v>0</v>
      </c>
      <c r="F2319" s="5">
        <v>0</v>
      </c>
      <c r="G2319" s="5">
        <v>0</v>
      </c>
      <c r="H2319" s="5">
        <v>0</v>
      </c>
      <c r="I2319" s="5">
        <v>0</v>
      </c>
      <c r="J2319" s="5">
        <v>0</v>
      </c>
      <c r="K2319" s="5">
        <v>2</v>
      </c>
      <c r="L2319" s="5">
        <v>0</v>
      </c>
      <c r="M2319" s="5">
        <v>0</v>
      </c>
      <c r="N2319" s="5">
        <v>5</v>
      </c>
      <c r="O2319" s="5" t="str">
        <f t="shared" ca="1" si="36"/>
        <v>Supplier 43</v>
      </c>
      <c r="P2319" s="20" t="str">
        <f ca="1">IFERROR(VLOOKUP(O2319,EMAILS!B:C,2,FALSE),"NOT FOUND IN EMAILS")</f>
        <v>supplier@gmail.com</v>
      </c>
      <c r="Q2319" t="str">
        <f ca="1">""&amp;IFERROR(VLOOKUP(O2319,EMAILS!B:D,3,FALSE),"NOT FOUND IN EMAILS")</f>
        <v/>
      </c>
      <c r="R2319" t="str">
        <f ca="1">""&amp;IFERROR(VLOOKUP(O2319,EMAILS!B:E,4,FALSE),"NO T FOUND IN EMAILS")</f>
        <v/>
      </c>
    </row>
    <row r="2320" spans="2:18" x14ac:dyDescent="0.25">
      <c r="B2320" s="5" t="s">
        <v>2322</v>
      </c>
      <c r="C2320" s="5" t="s">
        <v>6462</v>
      </c>
      <c r="D2320" s="5">
        <v>0</v>
      </c>
      <c r="E2320" s="5">
        <v>0</v>
      </c>
      <c r="F2320" s="5">
        <v>0</v>
      </c>
      <c r="G2320" s="5">
        <v>1</v>
      </c>
      <c r="H2320" s="5">
        <v>0</v>
      </c>
      <c r="I2320" s="5">
        <v>0</v>
      </c>
      <c r="J2320" s="5">
        <v>0</v>
      </c>
      <c r="K2320" s="5">
        <v>0</v>
      </c>
      <c r="L2320" s="5">
        <v>0</v>
      </c>
      <c r="M2320" s="5">
        <v>0</v>
      </c>
      <c r="N2320" s="5">
        <v>86</v>
      </c>
      <c r="O2320" s="5" t="str">
        <f t="shared" ca="1" si="36"/>
        <v>Supplier 95</v>
      </c>
      <c r="P2320" s="20" t="str">
        <f ca="1">IFERROR(VLOOKUP(O2320,EMAILS!B:C,2,FALSE),"NOT FOUND IN EMAILS")</f>
        <v>supplier@gmail.com</v>
      </c>
      <c r="Q2320" t="str">
        <f ca="1">""&amp;IFERROR(VLOOKUP(O2320,EMAILS!B:D,3,FALSE),"NOT FOUND IN EMAILS")</f>
        <v/>
      </c>
      <c r="R2320" t="str">
        <f ca="1">""&amp;IFERROR(VLOOKUP(O2320,EMAILS!B:E,4,FALSE),"NO T FOUND IN EMAILS")</f>
        <v/>
      </c>
    </row>
    <row r="2321" spans="2:18" x14ac:dyDescent="0.25">
      <c r="B2321" s="5" t="s">
        <v>2323</v>
      </c>
      <c r="C2321" s="5" t="s">
        <v>6463</v>
      </c>
      <c r="D2321" s="5">
        <v>80</v>
      </c>
      <c r="E2321" s="5">
        <v>50</v>
      </c>
      <c r="F2321" s="5">
        <v>50</v>
      </c>
      <c r="G2321" s="5">
        <v>130</v>
      </c>
      <c r="H2321" s="5">
        <v>70</v>
      </c>
      <c r="I2321" s="5">
        <v>100</v>
      </c>
      <c r="J2321" s="5">
        <v>75</v>
      </c>
      <c r="K2321" s="5">
        <v>70</v>
      </c>
      <c r="L2321" s="5">
        <v>50</v>
      </c>
      <c r="M2321" s="5">
        <v>0</v>
      </c>
      <c r="N2321" s="5">
        <v>1</v>
      </c>
      <c r="O2321" s="5" t="str">
        <f t="shared" ca="1" si="36"/>
        <v>Supplier 130</v>
      </c>
      <c r="P2321" s="20" t="str">
        <f ca="1">IFERROR(VLOOKUP(O2321,EMAILS!B:C,2,FALSE),"NOT FOUND IN EMAILS")</f>
        <v>supplier@gmail.com</v>
      </c>
      <c r="Q2321" t="str">
        <f ca="1">""&amp;IFERROR(VLOOKUP(O2321,EMAILS!B:D,3,FALSE),"NOT FOUND IN EMAILS")</f>
        <v/>
      </c>
      <c r="R2321" t="str">
        <f ca="1">""&amp;IFERROR(VLOOKUP(O2321,EMAILS!B:E,4,FALSE),"NO T FOUND IN EMAILS")</f>
        <v/>
      </c>
    </row>
    <row r="2322" spans="2:18" x14ac:dyDescent="0.25">
      <c r="B2322" s="5" t="s">
        <v>2324</v>
      </c>
      <c r="C2322" s="5" t="s">
        <v>6464</v>
      </c>
      <c r="D2322" s="5">
        <v>0</v>
      </c>
      <c r="E2322" s="5">
        <v>0</v>
      </c>
      <c r="F2322" s="5">
        <v>0</v>
      </c>
      <c r="G2322" s="5">
        <v>0</v>
      </c>
      <c r="H2322" s="5">
        <v>0</v>
      </c>
      <c r="I2322" s="5">
        <v>0</v>
      </c>
      <c r="J2322" s="5">
        <v>0</v>
      </c>
      <c r="K2322" s="5">
        <v>0</v>
      </c>
      <c r="L2322" s="5">
        <v>0</v>
      </c>
      <c r="M2322" s="5">
        <v>0</v>
      </c>
      <c r="N2322" s="5">
        <v>117</v>
      </c>
      <c r="O2322" s="5" t="str">
        <f t="shared" ca="1" si="36"/>
        <v>Supplier 181</v>
      </c>
      <c r="P2322" s="20" t="str">
        <f ca="1">IFERROR(VLOOKUP(O2322,EMAILS!B:C,2,FALSE),"NOT FOUND IN EMAILS")</f>
        <v>supplier@gmail.com</v>
      </c>
      <c r="Q2322" t="str">
        <f ca="1">""&amp;IFERROR(VLOOKUP(O2322,EMAILS!B:D,3,FALSE),"NOT FOUND IN EMAILS")</f>
        <v/>
      </c>
      <c r="R2322" t="str">
        <f ca="1">""&amp;IFERROR(VLOOKUP(O2322,EMAILS!B:E,4,FALSE),"NO T FOUND IN EMAILS")</f>
        <v/>
      </c>
    </row>
    <row r="2323" spans="2:18" x14ac:dyDescent="0.25">
      <c r="B2323" s="5" t="s">
        <v>2325</v>
      </c>
      <c r="C2323" s="5" t="s">
        <v>6465</v>
      </c>
      <c r="D2323" s="5">
        <v>0</v>
      </c>
      <c r="E2323" s="5">
        <v>2</v>
      </c>
      <c r="F2323" s="5">
        <v>2</v>
      </c>
      <c r="G2323" s="5">
        <v>2</v>
      </c>
      <c r="H2323" s="5">
        <v>7</v>
      </c>
      <c r="I2323" s="5">
        <v>2</v>
      </c>
      <c r="J2323" s="5">
        <v>8</v>
      </c>
      <c r="K2323" s="5">
        <v>2</v>
      </c>
      <c r="L2323" s="5">
        <v>7</v>
      </c>
      <c r="M2323" s="5">
        <v>0</v>
      </c>
      <c r="N2323" s="5">
        <v>377</v>
      </c>
      <c r="O2323" s="5" t="str">
        <f t="shared" ca="1" si="36"/>
        <v>Supplier 170</v>
      </c>
      <c r="P2323" s="20" t="str">
        <f ca="1">IFERROR(VLOOKUP(O2323,EMAILS!B:C,2,FALSE),"NOT FOUND IN EMAILS")</f>
        <v>supplier@gmail.com</v>
      </c>
      <c r="Q2323" t="str">
        <f ca="1">""&amp;IFERROR(VLOOKUP(O2323,EMAILS!B:D,3,FALSE),"NOT FOUND IN EMAILS")</f>
        <v/>
      </c>
      <c r="R2323" t="str">
        <f ca="1">""&amp;IFERROR(VLOOKUP(O2323,EMAILS!B:E,4,FALSE),"NO T FOUND IN EMAILS")</f>
        <v/>
      </c>
    </row>
    <row r="2324" spans="2:18" x14ac:dyDescent="0.25">
      <c r="B2324" s="5" t="s">
        <v>2326</v>
      </c>
      <c r="C2324" s="5" t="s">
        <v>6466</v>
      </c>
      <c r="D2324" s="5">
        <v>0</v>
      </c>
      <c r="E2324" s="5">
        <v>0</v>
      </c>
      <c r="F2324" s="5">
        <v>0</v>
      </c>
      <c r="G2324" s="5">
        <v>0</v>
      </c>
      <c r="H2324" s="5">
        <v>0</v>
      </c>
      <c r="I2324" s="5">
        <v>0</v>
      </c>
      <c r="J2324" s="5">
        <v>0</v>
      </c>
      <c r="K2324" s="5">
        <v>0</v>
      </c>
      <c r="L2324" s="5">
        <v>0</v>
      </c>
      <c r="M2324" s="5">
        <v>0</v>
      </c>
      <c r="N2324" s="5">
        <v>236</v>
      </c>
      <c r="O2324" s="5" t="str">
        <f t="shared" ca="1" si="36"/>
        <v>Supplier 181</v>
      </c>
      <c r="P2324" s="20" t="str">
        <f ca="1">IFERROR(VLOOKUP(O2324,EMAILS!B:C,2,FALSE),"NOT FOUND IN EMAILS")</f>
        <v>supplier@gmail.com</v>
      </c>
      <c r="Q2324" t="str">
        <f ca="1">""&amp;IFERROR(VLOOKUP(O2324,EMAILS!B:D,3,FALSE),"NOT FOUND IN EMAILS")</f>
        <v/>
      </c>
      <c r="R2324" t="str">
        <f ca="1">""&amp;IFERROR(VLOOKUP(O2324,EMAILS!B:E,4,FALSE),"NO T FOUND IN EMAILS")</f>
        <v/>
      </c>
    </row>
    <row r="2325" spans="2:18" x14ac:dyDescent="0.25">
      <c r="B2325" s="5" t="s">
        <v>2327</v>
      </c>
      <c r="C2325" s="5" t="s">
        <v>6467</v>
      </c>
      <c r="D2325" s="5">
        <v>10</v>
      </c>
      <c r="E2325" s="5">
        <v>10</v>
      </c>
      <c r="F2325" s="5">
        <v>15</v>
      </c>
      <c r="G2325" s="5">
        <v>10</v>
      </c>
      <c r="H2325" s="5">
        <v>10</v>
      </c>
      <c r="I2325" s="5">
        <v>10</v>
      </c>
      <c r="J2325" s="5">
        <v>10</v>
      </c>
      <c r="K2325" s="5">
        <v>5</v>
      </c>
      <c r="L2325" s="5">
        <v>10</v>
      </c>
      <c r="M2325" s="5">
        <v>0</v>
      </c>
      <c r="N2325" s="5">
        <v>0</v>
      </c>
      <c r="O2325" s="5" t="str">
        <f t="shared" ca="1" si="36"/>
        <v>Supplier 138</v>
      </c>
      <c r="P2325" s="20" t="str">
        <f ca="1">IFERROR(VLOOKUP(O2325,EMAILS!B:C,2,FALSE),"NOT FOUND IN EMAILS")</f>
        <v>supplier@gmail.com</v>
      </c>
      <c r="Q2325" t="str">
        <f ca="1">""&amp;IFERROR(VLOOKUP(O2325,EMAILS!B:D,3,FALSE),"NOT FOUND IN EMAILS")</f>
        <v/>
      </c>
      <c r="R2325" t="str">
        <f ca="1">""&amp;IFERROR(VLOOKUP(O2325,EMAILS!B:E,4,FALSE),"NO T FOUND IN EMAILS")</f>
        <v/>
      </c>
    </row>
    <row r="2326" spans="2:18" x14ac:dyDescent="0.25">
      <c r="B2326" s="5" t="s">
        <v>2328</v>
      </c>
      <c r="C2326" s="5" t="s">
        <v>6468</v>
      </c>
      <c r="D2326" s="5">
        <v>0</v>
      </c>
      <c r="E2326" s="5">
        <v>0</v>
      </c>
      <c r="F2326" s="5">
        <v>0</v>
      </c>
      <c r="G2326" s="5">
        <v>0</v>
      </c>
      <c r="H2326" s="5">
        <v>0</v>
      </c>
      <c r="I2326" s="5">
        <v>0</v>
      </c>
      <c r="J2326" s="5">
        <v>0</v>
      </c>
      <c r="K2326" s="5">
        <v>0</v>
      </c>
      <c r="L2326" s="5">
        <v>0</v>
      </c>
      <c r="M2326" s="5">
        <v>0</v>
      </c>
      <c r="N2326" s="5">
        <v>140</v>
      </c>
      <c r="O2326" s="5" t="str">
        <f t="shared" ca="1" si="36"/>
        <v>Supplier 79</v>
      </c>
      <c r="P2326" s="20" t="str">
        <f ca="1">IFERROR(VLOOKUP(O2326,EMAILS!B:C,2,FALSE),"NOT FOUND IN EMAILS")</f>
        <v>supplier@gmail.com</v>
      </c>
      <c r="Q2326" t="str">
        <f ca="1">""&amp;IFERROR(VLOOKUP(O2326,EMAILS!B:D,3,FALSE),"NOT FOUND IN EMAILS")</f>
        <v/>
      </c>
      <c r="R2326" t="str">
        <f ca="1">""&amp;IFERROR(VLOOKUP(O2326,EMAILS!B:E,4,FALSE),"NO T FOUND IN EMAILS")</f>
        <v/>
      </c>
    </row>
    <row r="2327" spans="2:18" x14ac:dyDescent="0.25">
      <c r="B2327" s="5" t="s">
        <v>2329</v>
      </c>
      <c r="C2327" s="5" t="s">
        <v>6469</v>
      </c>
      <c r="D2327" s="5">
        <v>18</v>
      </c>
      <c r="E2327" s="5">
        <v>17</v>
      </c>
      <c r="F2327" s="5">
        <v>8</v>
      </c>
      <c r="G2327" s="5">
        <v>34</v>
      </c>
      <c r="H2327" s="5">
        <v>12</v>
      </c>
      <c r="I2327" s="5">
        <v>11</v>
      </c>
      <c r="J2327" s="5">
        <v>10</v>
      </c>
      <c r="K2327" s="5">
        <v>14</v>
      </c>
      <c r="L2327" s="5">
        <v>12</v>
      </c>
      <c r="M2327" s="5">
        <v>0</v>
      </c>
      <c r="N2327" s="5">
        <v>5</v>
      </c>
      <c r="O2327" s="5" t="str">
        <f t="shared" ca="1" si="36"/>
        <v>Supplier 61</v>
      </c>
      <c r="P2327" s="20" t="str">
        <f ca="1">IFERROR(VLOOKUP(O2327,EMAILS!B:C,2,FALSE),"NOT FOUND IN EMAILS")</f>
        <v>supplier@gmail.com</v>
      </c>
      <c r="Q2327" t="str">
        <f ca="1">""&amp;IFERROR(VLOOKUP(O2327,EMAILS!B:D,3,FALSE),"NOT FOUND IN EMAILS")</f>
        <v/>
      </c>
      <c r="R2327" t="str">
        <f ca="1">""&amp;IFERROR(VLOOKUP(O2327,EMAILS!B:E,4,FALSE),"NO T FOUND IN EMAILS")</f>
        <v/>
      </c>
    </row>
    <row r="2328" spans="2:18" x14ac:dyDescent="0.25">
      <c r="B2328" s="5" t="s">
        <v>2330</v>
      </c>
      <c r="C2328" s="5" t="s">
        <v>6470</v>
      </c>
      <c r="D2328" s="5">
        <v>136</v>
      </c>
      <c r="E2328" s="5">
        <v>151</v>
      </c>
      <c r="F2328" s="5">
        <v>161</v>
      </c>
      <c r="G2328" s="5">
        <v>181</v>
      </c>
      <c r="H2328" s="5">
        <v>91</v>
      </c>
      <c r="I2328" s="5">
        <v>121</v>
      </c>
      <c r="J2328" s="5">
        <v>121</v>
      </c>
      <c r="K2328" s="5">
        <v>92</v>
      </c>
      <c r="L2328" s="5">
        <v>61</v>
      </c>
      <c r="M2328" s="5">
        <v>0</v>
      </c>
      <c r="N2328" s="5">
        <v>1578</v>
      </c>
      <c r="O2328" s="5" t="str">
        <f t="shared" ca="1" si="36"/>
        <v>Supplier 195</v>
      </c>
      <c r="P2328" s="20" t="str">
        <f ca="1">IFERROR(VLOOKUP(O2328,EMAILS!B:C,2,FALSE),"NOT FOUND IN EMAILS")</f>
        <v>supplier@gmail.com</v>
      </c>
      <c r="Q2328" t="str">
        <f ca="1">""&amp;IFERROR(VLOOKUP(O2328,EMAILS!B:D,3,FALSE),"NOT FOUND IN EMAILS")</f>
        <v/>
      </c>
      <c r="R2328" t="str">
        <f ca="1">""&amp;IFERROR(VLOOKUP(O2328,EMAILS!B:E,4,FALSE),"NO T FOUND IN EMAILS")</f>
        <v/>
      </c>
    </row>
    <row r="2329" spans="2:18" x14ac:dyDescent="0.25">
      <c r="B2329" s="5" t="s">
        <v>2331</v>
      </c>
      <c r="C2329" s="5" t="s">
        <v>6471</v>
      </c>
      <c r="D2329" s="5">
        <v>1</v>
      </c>
      <c r="E2329" s="5">
        <v>0</v>
      </c>
      <c r="F2329" s="5">
        <v>1</v>
      </c>
      <c r="G2329" s="5">
        <v>2</v>
      </c>
      <c r="H2329" s="5">
        <v>1</v>
      </c>
      <c r="I2329" s="5">
        <v>0</v>
      </c>
      <c r="J2329" s="5">
        <v>0</v>
      </c>
      <c r="K2329" s="5">
        <v>1</v>
      </c>
      <c r="L2329" s="5">
        <v>0</v>
      </c>
      <c r="M2329" s="5">
        <v>0</v>
      </c>
      <c r="N2329" s="5">
        <v>0</v>
      </c>
      <c r="O2329" s="5" t="str">
        <f t="shared" ca="1" si="36"/>
        <v>Supplier 159</v>
      </c>
      <c r="P2329" s="20" t="str">
        <f ca="1">IFERROR(VLOOKUP(O2329,EMAILS!B:C,2,FALSE),"NOT FOUND IN EMAILS")</f>
        <v>supplier@gmail.com</v>
      </c>
      <c r="Q2329" t="str">
        <f ca="1">""&amp;IFERROR(VLOOKUP(O2329,EMAILS!B:D,3,FALSE),"NOT FOUND IN EMAILS")</f>
        <v/>
      </c>
      <c r="R2329" t="str">
        <f ca="1">""&amp;IFERROR(VLOOKUP(O2329,EMAILS!B:E,4,FALSE),"NO T FOUND IN EMAILS")</f>
        <v/>
      </c>
    </row>
    <row r="2330" spans="2:18" x14ac:dyDescent="0.25">
      <c r="B2330" s="5" t="s">
        <v>2332</v>
      </c>
      <c r="C2330" s="5" t="s">
        <v>6472</v>
      </c>
      <c r="D2330" s="5">
        <v>2</v>
      </c>
      <c r="E2330" s="5">
        <v>0</v>
      </c>
      <c r="F2330" s="5">
        <v>2</v>
      </c>
      <c r="G2330" s="5">
        <v>1</v>
      </c>
      <c r="H2330" s="5">
        <v>3</v>
      </c>
      <c r="I2330" s="5">
        <v>0</v>
      </c>
      <c r="J2330" s="5">
        <v>0</v>
      </c>
      <c r="K2330" s="5">
        <v>0</v>
      </c>
      <c r="L2330" s="5">
        <v>1</v>
      </c>
      <c r="M2330" s="5">
        <v>0</v>
      </c>
      <c r="N2330" s="5">
        <v>0</v>
      </c>
      <c r="O2330" s="5" t="str">
        <f t="shared" ca="1" si="36"/>
        <v>Supplier 75</v>
      </c>
      <c r="P2330" s="20" t="str">
        <f ca="1">IFERROR(VLOOKUP(O2330,EMAILS!B:C,2,FALSE),"NOT FOUND IN EMAILS")</f>
        <v>supplier@gmail.com</v>
      </c>
      <c r="Q2330" t="str">
        <f ca="1">""&amp;IFERROR(VLOOKUP(O2330,EMAILS!B:D,3,FALSE),"NOT FOUND IN EMAILS")</f>
        <v/>
      </c>
      <c r="R2330" t="str">
        <f ca="1">""&amp;IFERROR(VLOOKUP(O2330,EMAILS!B:E,4,FALSE),"NO T FOUND IN EMAILS")</f>
        <v/>
      </c>
    </row>
    <row r="2331" spans="2:18" x14ac:dyDescent="0.25">
      <c r="B2331" s="5" t="s">
        <v>2333</v>
      </c>
      <c r="C2331" s="5" t="s">
        <v>6473</v>
      </c>
      <c r="D2331" s="5">
        <v>0</v>
      </c>
      <c r="E2331" s="5">
        <v>0</v>
      </c>
      <c r="F2331" s="5">
        <v>0</v>
      </c>
      <c r="G2331" s="5">
        <v>0</v>
      </c>
      <c r="H2331" s="5">
        <v>0</v>
      </c>
      <c r="I2331" s="5">
        <v>0</v>
      </c>
      <c r="J2331" s="5">
        <v>0</v>
      </c>
      <c r="K2331" s="5">
        <v>0</v>
      </c>
      <c r="L2331" s="5">
        <v>0</v>
      </c>
      <c r="M2331" s="5">
        <v>0</v>
      </c>
      <c r="N2331" s="5">
        <v>36</v>
      </c>
      <c r="O2331" s="5" t="str">
        <f t="shared" ca="1" si="36"/>
        <v>Supplier 90</v>
      </c>
      <c r="P2331" s="20" t="str">
        <f ca="1">IFERROR(VLOOKUP(O2331,EMAILS!B:C,2,FALSE),"NOT FOUND IN EMAILS")</f>
        <v>supplier@gmail.com</v>
      </c>
      <c r="Q2331" t="str">
        <f ca="1">""&amp;IFERROR(VLOOKUP(O2331,EMAILS!B:D,3,FALSE),"NOT FOUND IN EMAILS")</f>
        <v/>
      </c>
      <c r="R2331" t="str">
        <f ca="1">""&amp;IFERROR(VLOOKUP(O2331,EMAILS!B:E,4,FALSE),"NO T FOUND IN EMAILS")</f>
        <v/>
      </c>
    </row>
    <row r="2332" spans="2:18" x14ac:dyDescent="0.25">
      <c r="B2332" s="5" t="s">
        <v>2334</v>
      </c>
      <c r="C2332" s="5" t="s">
        <v>6474</v>
      </c>
      <c r="D2332" s="5">
        <v>0</v>
      </c>
      <c r="E2332" s="5">
        <v>0</v>
      </c>
      <c r="F2332" s="5">
        <v>0</v>
      </c>
      <c r="G2332" s="5">
        <v>0</v>
      </c>
      <c r="H2332" s="5">
        <v>0</v>
      </c>
      <c r="I2332" s="5">
        <v>0</v>
      </c>
      <c r="J2332" s="5">
        <v>0</v>
      </c>
      <c r="K2332" s="5">
        <v>0</v>
      </c>
      <c r="L2332" s="5">
        <v>0</v>
      </c>
      <c r="M2332" s="5">
        <v>0</v>
      </c>
      <c r="N2332" s="5">
        <v>73</v>
      </c>
      <c r="O2332" s="5" t="str">
        <f t="shared" ca="1" si="36"/>
        <v>Supplier 2</v>
      </c>
      <c r="P2332" s="20" t="str">
        <f ca="1">IFERROR(VLOOKUP(O2332,EMAILS!B:C,2,FALSE),"NOT FOUND IN EMAILS")</f>
        <v>supplier@gmail.com</v>
      </c>
      <c r="Q2332" t="str">
        <f ca="1">""&amp;IFERROR(VLOOKUP(O2332,EMAILS!B:D,3,FALSE),"NOT FOUND IN EMAILS")</f>
        <v>supplier_logistics@gmail.com</v>
      </c>
      <c r="R2332" t="str">
        <f ca="1">""&amp;IFERROR(VLOOKUP(O2332,EMAILS!B:E,4,FALSE),"NO T FOUND IN EMAILS")</f>
        <v/>
      </c>
    </row>
    <row r="2333" spans="2:18" x14ac:dyDescent="0.25">
      <c r="B2333" s="5" t="s">
        <v>2335</v>
      </c>
      <c r="C2333" s="5" t="s">
        <v>6475</v>
      </c>
      <c r="D2333" s="5">
        <v>0</v>
      </c>
      <c r="E2333" s="5">
        <v>0.495</v>
      </c>
      <c r="F2333" s="5">
        <v>0</v>
      </c>
      <c r="G2333" s="5">
        <v>0</v>
      </c>
      <c r="H2333" s="5">
        <v>0</v>
      </c>
      <c r="I2333" s="5">
        <v>0</v>
      </c>
      <c r="J2333" s="5">
        <v>0</v>
      </c>
      <c r="K2333" s="5">
        <v>0</v>
      </c>
      <c r="L2333" s="5">
        <v>0</v>
      </c>
      <c r="M2333" s="5">
        <v>0</v>
      </c>
      <c r="N2333" s="5">
        <v>2</v>
      </c>
      <c r="O2333" s="5" t="str">
        <f t="shared" ca="1" si="36"/>
        <v>Supplier 142</v>
      </c>
      <c r="P2333" s="20" t="str">
        <f ca="1">IFERROR(VLOOKUP(O2333,EMAILS!B:C,2,FALSE),"NOT FOUND IN EMAILS")</f>
        <v>supplier@gmail.com</v>
      </c>
      <c r="Q2333" t="str">
        <f ca="1">""&amp;IFERROR(VLOOKUP(O2333,EMAILS!B:D,3,FALSE),"NOT FOUND IN EMAILS")</f>
        <v/>
      </c>
      <c r="R2333" t="str">
        <f ca="1">""&amp;IFERROR(VLOOKUP(O2333,EMAILS!B:E,4,FALSE),"NO T FOUND IN EMAILS")</f>
        <v/>
      </c>
    </row>
    <row r="2334" spans="2:18" x14ac:dyDescent="0.25">
      <c r="B2334" s="5" t="s">
        <v>2336</v>
      </c>
      <c r="C2334" s="5" t="s">
        <v>6476</v>
      </c>
      <c r="D2334" s="5">
        <v>5</v>
      </c>
      <c r="E2334" s="5">
        <v>0</v>
      </c>
      <c r="F2334" s="5">
        <v>0</v>
      </c>
      <c r="G2334" s="5">
        <v>11.25</v>
      </c>
      <c r="H2334" s="5">
        <v>0</v>
      </c>
      <c r="I2334" s="5">
        <v>0</v>
      </c>
      <c r="J2334" s="5">
        <v>2.5</v>
      </c>
      <c r="K2334" s="5">
        <v>0</v>
      </c>
      <c r="L2334" s="5">
        <v>0</v>
      </c>
      <c r="M2334" s="5">
        <v>0</v>
      </c>
      <c r="N2334" s="5">
        <v>0</v>
      </c>
      <c r="O2334" s="5" t="str">
        <f t="shared" ca="1" si="36"/>
        <v>Supplier 128</v>
      </c>
      <c r="P2334" s="20" t="str">
        <f ca="1">IFERROR(VLOOKUP(O2334,EMAILS!B:C,2,FALSE),"NOT FOUND IN EMAILS")</f>
        <v>supplier@gmail.com</v>
      </c>
      <c r="Q2334" t="str">
        <f ca="1">""&amp;IFERROR(VLOOKUP(O2334,EMAILS!B:D,3,FALSE),"NOT FOUND IN EMAILS")</f>
        <v/>
      </c>
      <c r="R2334" t="str">
        <f ca="1">""&amp;IFERROR(VLOOKUP(O2334,EMAILS!B:E,4,FALSE),"NO T FOUND IN EMAILS")</f>
        <v/>
      </c>
    </row>
    <row r="2335" spans="2:18" x14ac:dyDescent="0.25">
      <c r="B2335" s="5" t="s">
        <v>2337</v>
      </c>
      <c r="C2335" s="5" t="s">
        <v>6477</v>
      </c>
      <c r="D2335" s="5">
        <v>0</v>
      </c>
      <c r="E2335" s="5">
        <v>0</v>
      </c>
      <c r="F2335" s="5">
        <v>1.0475000000000001</v>
      </c>
      <c r="G2335" s="5">
        <v>0</v>
      </c>
      <c r="H2335" s="5">
        <v>0</v>
      </c>
      <c r="I2335" s="5">
        <v>1.5</v>
      </c>
      <c r="J2335" s="5">
        <v>0</v>
      </c>
      <c r="K2335" s="5">
        <v>0</v>
      </c>
      <c r="L2335" s="5">
        <v>0</v>
      </c>
      <c r="M2335" s="5">
        <v>0</v>
      </c>
      <c r="N2335" s="5">
        <v>0</v>
      </c>
      <c r="O2335" s="5" t="str">
        <f t="shared" ca="1" si="36"/>
        <v>Supplier 108</v>
      </c>
      <c r="P2335" s="20" t="str">
        <f ca="1">IFERROR(VLOOKUP(O2335,EMAILS!B:C,2,FALSE),"NOT FOUND IN EMAILS")</f>
        <v>supplier@gmail.com</v>
      </c>
      <c r="Q2335" t="str">
        <f ca="1">""&amp;IFERROR(VLOOKUP(O2335,EMAILS!B:D,3,FALSE),"NOT FOUND IN EMAILS")</f>
        <v/>
      </c>
      <c r="R2335" t="str">
        <f ca="1">""&amp;IFERROR(VLOOKUP(O2335,EMAILS!B:E,4,FALSE),"NO T FOUND IN EMAILS")</f>
        <v/>
      </c>
    </row>
    <row r="2336" spans="2:18" x14ac:dyDescent="0.25">
      <c r="B2336" s="5" t="s">
        <v>2338</v>
      </c>
      <c r="C2336" s="5" t="s">
        <v>6478</v>
      </c>
      <c r="D2336" s="5">
        <v>0</v>
      </c>
      <c r="E2336" s="5">
        <v>0</v>
      </c>
      <c r="F2336" s="5">
        <v>0</v>
      </c>
      <c r="G2336" s="5">
        <v>0</v>
      </c>
      <c r="H2336" s="5">
        <v>0</v>
      </c>
      <c r="I2336" s="5">
        <v>0</v>
      </c>
      <c r="J2336" s="5">
        <v>0</v>
      </c>
      <c r="K2336" s="5">
        <v>0</v>
      </c>
      <c r="L2336" s="5">
        <v>0</v>
      </c>
      <c r="M2336" s="5">
        <v>0</v>
      </c>
      <c r="N2336" s="5">
        <v>0</v>
      </c>
      <c r="O2336" s="5" t="str">
        <f t="shared" ca="1" si="36"/>
        <v>Supplier 160</v>
      </c>
      <c r="P2336" s="20" t="str">
        <f ca="1">IFERROR(VLOOKUP(O2336,EMAILS!B:C,2,FALSE),"NOT FOUND IN EMAILS")</f>
        <v>supplier@gmail.com</v>
      </c>
      <c r="Q2336" t="str">
        <f ca="1">""&amp;IFERROR(VLOOKUP(O2336,EMAILS!B:D,3,FALSE),"NOT FOUND IN EMAILS")</f>
        <v/>
      </c>
      <c r="R2336" t="str">
        <f ca="1">""&amp;IFERROR(VLOOKUP(O2336,EMAILS!B:E,4,FALSE),"NO T FOUND IN EMAILS")</f>
        <v/>
      </c>
    </row>
    <row r="2337" spans="2:18" x14ac:dyDescent="0.25">
      <c r="B2337" s="5" t="s">
        <v>2339</v>
      </c>
      <c r="C2337" s="5" t="s">
        <v>6479</v>
      </c>
      <c r="D2337" s="5">
        <v>0</v>
      </c>
      <c r="E2337" s="5">
        <v>0</v>
      </c>
      <c r="F2337" s="5">
        <v>0</v>
      </c>
      <c r="G2337" s="5">
        <v>0</v>
      </c>
      <c r="H2337" s="5">
        <v>0</v>
      </c>
      <c r="I2337" s="5">
        <v>0</v>
      </c>
      <c r="J2337" s="5">
        <v>0</v>
      </c>
      <c r="K2337" s="5">
        <v>0</v>
      </c>
      <c r="L2337" s="5">
        <v>0</v>
      </c>
      <c r="M2337" s="5">
        <v>0</v>
      </c>
      <c r="N2337" s="5">
        <v>0</v>
      </c>
      <c r="O2337" s="5" t="str">
        <f t="shared" ca="1" si="36"/>
        <v>Supplier 15</v>
      </c>
      <c r="P2337" s="20" t="str">
        <f ca="1">IFERROR(VLOOKUP(O2337,EMAILS!B:C,2,FALSE),"NOT FOUND IN EMAILS")</f>
        <v>supplier@gmail.com</v>
      </c>
      <c r="Q2337" t="str">
        <f ca="1">""&amp;IFERROR(VLOOKUP(O2337,EMAILS!B:D,3,FALSE),"NOT FOUND IN EMAILS")</f>
        <v>supplier_logistics@gmail.com</v>
      </c>
      <c r="R2337" t="str">
        <f ca="1">""&amp;IFERROR(VLOOKUP(O2337,EMAILS!B:E,4,FALSE),"NO T FOUND IN EMAILS")</f>
        <v/>
      </c>
    </row>
    <row r="2338" spans="2:18" x14ac:dyDescent="0.25">
      <c r="B2338" s="5" t="s">
        <v>2340</v>
      </c>
      <c r="C2338" s="5" t="s">
        <v>6480</v>
      </c>
      <c r="D2338" s="5">
        <v>0</v>
      </c>
      <c r="E2338" s="5">
        <v>0</v>
      </c>
      <c r="F2338" s="5">
        <v>0</v>
      </c>
      <c r="G2338" s="5">
        <v>0</v>
      </c>
      <c r="H2338" s="5">
        <v>0</v>
      </c>
      <c r="I2338" s="5">
        <v>0</v>
      </c>
      <c r="J2338" s="5">
        <v>0</v>
      </c>
      <c r="K2338" s="5">
        <v>0</v>
      </c>
      <c r="L2338" s="5">
        <v>0</v>
      </c>
      <c r="M2338" s="5">
        <v>0</v>
      </c>
      <c r="N2338" s="5">
        <v>1</v>
      </c>
      <c r="O2338" s="5" t="str">
        <f t="shared" ca="1" si="36"/>
        <v>Supplier 75</v>
      </c>
      <c r="P2338" s="20" t="str">
        <f ca="1">IFERROR(VLOOKUP(O2338,EMAILS!B:C,2,FALSE),"NOT FOUND IN EMAILS")</f>
        <v>supplier@gmail.com</v>
      </c>
      <c r="Q2338" t="str">
        <f ca="1">""&amp;IFERROR(VLOOKUP(O2338,EMAILS!B:D,3,FALSE),"NOT FOUND IN EMAILS")</f>
        <v/>
      </c>
      <c r="R2338" t="str">
        <f ca="1">""&amp;IFERROR(VLOOKUP(O2338,EMAILS!B:E,4,FALSE),"NO T FOUND IN EMAILS")</f>
        <v/>
      </c>
    </row>
    <row r="2339" spans="2:18" x14ac:dyDescent="0.25">
      <c r="B2339" s="5" t="s">
        <v>2341</v>
      </c>
      <c r="C2339" s="5" t="s">
        <v>6481</v>
      </c>
      <c r="D2339" s="5">
        <v>0</v>
      </c>
      <c r="E2339" s="5">
        <v>0</v>
      </c>
      <c r="F2339" s="5">
        <v>0</v>
      </c>
      <c r="G2339" s="5">
        <v>0</v>
      </c>
      <c r="H2339" s="5">
        <v>0</v>
      </c>
      <c r="I2339" s="5">
        <v>0</v>
      </c>
      <c r="J2339" s="5">
        <v>0</v>
      </c>
      <c r="K2339" s="5">
        <v>0</v>
      </c>
      <c r="L2339" s="5">
        <v>0</v>
      </c>
      <c r="M2339" s="5">
        <v>0</v>
      </c>
      <c r="N2339" s="5">
        <v>7</v>
      </c>
      <c r="O2339" s="5" t="str">
        <f t="shared" ca="1" si="36"/>
        <v>Supplier 163</v>
      </c>
      <c r="P2339" s="20" t="str">
        <f ca="1">IFERROR(VLOOKUP(O2339,EMAILS!B:C,2,FALSE),"NOT FOUND IN EMAILS")</f>
        <v>supplier@gmail.com</v>
      </c>
      <c r="Q2339" t="str">
        <f ca="1">""&amp;IFERROR(VLOOKUP(O2339,EMAILS!B:D,3,FALSE),"NOT FOUND IN EMAILS")</f>
        <v/>
      </c>
      <c r="R2339" t="str">
        <f ca="1">""&amp;IFERROR(VLOOKUP(O2339,EMAILS!B:E,4,FALSE),"NO T FOUND IN EMAILS")</f>
        <v/>
      </c>
    </row>
    <row r="2340" spans="2:18" x14ac:dyDescent="0.25">
      <c r="B2340" s="5" t="s">
        <v>2342</v>
      </c>
      <c r="C2340" s="5" t="s">
        <v>6482</v>
      </c>
      <c r="D2340" s="5">
        <v>14.255000000000001</v>
      </c>
      <c r="E2340" s="5">
        <v>10.755000000000001</v>
      </c>
      <c r="F2340" s="5">
        <v>16.18</v>
      </c>
      <c r="G2340" s="5">
        <v>17.09</v>
      </c>
      <c r="H2340" s="5">
        <v>14.32</v>
      </c>
      <c r="I2340" s="5">
        <v>11.91</v>
      </c>
      <c r="J2340" s="5">
        <v>12.31</v>
      </c>
      <c r="K2340" s="5">
        <v>11.153</v>
      </c>
      <c r="L2340" s="5">
        <v>9.83</v>
      </c>
      <c r="M2340" s="5">
        <v>0</v>
      </c>
      <c r="N2340" s="5">
        <v>7</v>
      </c>
      <c r="O2340" s="5" t="str">
        <f t="shared" ca="1" si="36"/>
        <v>Supplier 102</v>
      </c>
      <c r="P2340" s="20" t="str">
        <f ca="1">IFERROR(VLOOKUP(O2340,EMAILS!B:C,2,FALSE),"NOT FOUND IN EMAILS")</f>
        <v>supplier@gmail.com</v>
      </c>
      <c r="Q2340" t="str">
        <f ca="1">""&amp;IFERROR(VLOOKUP(O2340,EMAILS!B:D,3,FALSE),"NOT FOUND IN EMAILS")</f>
        <v/>
      </c>
      <c r="R2340" t="str">
        <f ca="1">""&amp;IFERROR(VLOOKUP(O2340,EMAILS!B:E,4,FALSE),"NO T FOUND IN EMAILS")</f>
        <v/>
      </c>
    </row>
    <row r="2341" spans="2:18" x14ac:dyDescent="0.25">
      <c r="B2341" s="5" t="s">
        <v>2343</v>
      </c>
      <c r="C2341" s="5" t="s">
        <v>6483</v>
      </c>
      <c r="D2341" s="5">
        <v>0</v>
      </c>
      <c r="E2341" s="5">
        <v>0</v>
      </c>
      <c r="F2341" s="5">
        <v>0</v>
      </c>
      <c r="G2341" s="5">
        <v>0</v>
      </c>
      <c r="H2341" s="5">
        <v>0</v>
      </c>
      <c r="I2341" s="5">
        <v>0</v>
      </c>
      <c r="J2341" s="5">
        <v>0</v>
      </c>
      <c r="K2341" s="5">
        <v>0</v>
      </c>
      <c r="L2341" s="5">
        <v>0</v>
      </c>
      <c r="M2341" s="5">
        <v>0</v>
      </c>
      <c r="N2341" s="5">
        <v>2</v>
      </c>
      <c r="O2341" s="5" t="str">
        <f t="shared" ca="1" si="36"/>
        <v>Supplier 67</v>
      </c>
      <c r="P2341" s="20" t="str">
        <f ca="1">IFERROR(VLOOKUP(O2341,EMAILS!B:C,2,FALSE),"NOT FOUND IN EMAILS")</f>
        <v>supplier@gmail.com</v>
      </c>
      <c r="Q2341" t="str">
        <f ca="1">""&amp;IFERROR(VLOOKUP(O2341,EMAILS!B:D,3,FALSE),"NOT FOUND IN EMAILS")</f>
        <v/>
      </c>
      <c r="R2341" t="str">
        <f ca="1">""&amp;IFERROR(VLOOKUP(O2341,EMAILS!B:E,4,FALSE),"NO T FOUND IN EMAILS")</f>
        <v/>
      </c>
    </row>
    <row r="2342" spans="2:18" x14ac:dyDescent="0.25">
      <c r="B2342" s="5" t="s">
        <v>2344</v>
      </c>
      <c r="C2342" s="5" t="s">
        <v>6484</v>
      </c>
      <c r="D2342" s="5">
        <v>2</v>
      </c>
      <c r="E2342" s="5">
        <v>0</v>
      </c>
      <c r="F2342" s="5">
        <v>0</v>
      </c>
      <c r="G2342" s="5">
        <v>0</v>
      </c>
      <c r="H2342" s="5">
        <v>2</v>
      </c>
      <c r="I2342" s="5">
        <v>0</v>
      </c>
      <c r="J2342" s="5">
        <v>0</v>
      </c>
      <c r="K2342" s="5">
        <v>0</v>
      </c>
      <c r="L2342" s="5">
        <v>0</v>
      </c>
      <c r="M2342" s="5">
        <v>0</v>
      </c>
      <c r="N2342" s="5">
        <v>2</v>
      </c>
      <c r="O2342" s="5" t="str">
        <f t="shared" ca="1" si="36"/>
        <v>Supplier 9</v>
      </c>
      <c r="P2342" s="20" t="str">
        <f ca="1">IFERROR(VLOOKUP(O2342,EMAILS!B:C,2,FALSE),"NOT FOUND IN EMAILS")</f>
        <v>supplier@gmail.com</v>
      </c>
      <c r="Q2342" t="str">
        <f ca="1">""&amp;IFERROR(VLOOKUP(O2342,EMAILS!B:D,3,FALSE),"NOT FOUND IN EMAILS")</f>
        <v>supplier_logistics@gmail.com</v>
      </c>
      <c r="R2342" t="str">
        <f ca="1">""&amp;IFERROR(VLOOKUP(O2342,EMAILS!B:E,4,FALSE),"NO T FOUND IN EMAILS")</f>
        <v/>
      </c>
    </row>
    <row r="2343" spans="2:18" x14ac:dyDescent="0.25">
      <c r="B2343" s="5" t="s">
        <v>2345</v>
      </c>
      <c r="C2343" s="5" t="s">
        <v>6485</v>
      </c>
      <c r="D2343" s="5">
        <v>0</v>
      </c>
      <c r="E2343" s="5">
        <v>0</v>
      </c>
      <c r="F2343" s="5">
        <v>0</v>
      </c>
      <c r="G2343" s="5">
        <v>0</v>
      </c>
      <c r="H2343" s="5">
        <v>0</v>
      </c>
      <c r="I2343" s="5">
        <v>0</v>
      </c>
      <c r="J2343" s="5">
        <v>0</v>
      </c>
      <c r="K2343" s="5">
        <v>0</v>
      </c>
      <c r="L2343" s="5">
        <v>0</v>
      </c>
      <c r="M2343" s="5">
        <v>0</v>
      </c>
      <c r="N2343" s="5">
        <v>6</v>
      </c>
      <c r="O2343" s="5" t="str">
        <f t="shared" ca="1" si="36"/>
        <v>Supplier 150</v>
      </c>
      <c r="P2343" s="20" t="str">
        <f ca="1">IFERROR(VLOOKUP(O2343,EMAILS!B:C,2,FALSE),"NOT FOUND IN EMAILS")</f>
        <v>supplier@gmail.com</v>
      </c>
      <c r="Q2343" t="str">
        <f ca="1">""&amp;IFERROR(VLOOKUP(O2343,EMAILS!B:D,3,FALSE),"NOT FOUND IN EMAILS")</f>
        <v/>
      </c>
      <c r="R2343" t="str">
        <f ca="1">""&amp;IFERROR(VLOOKUP(O2343,EMAILS!B:E,4,FALSE),"NO T FOUND IN EMAILS")</f>
        <v/>
      </c>
    </row>
    <row r="2344" spans="2:18" x14ac:dyDescent="0.25">
      <c r="B2344" s="5" t="s">
        <v>2346</v>
      </c>
      <c r="C2344" s="5" t="s">
        <v>6486</v>
      </c>
      <c r="D2344" s="5">
        <v>1</v>
      </c>
      <c r="E2344" s="5">
        <v>0</v>
      </c>
      <c r="F2344" s="5">
        <v>0</v>
      </c>
      <c r="G2344" s="5">
        <v>0</v>
      </c>
      <c r="H2344" s="5">
        <v>0</v>
      </c>
      <c r="I2344" s="5">
        <v>0</v>
      </c>
      <c r="J2344" s="5">
        <v>0</v>
      </c>
      <c r="K2344" s="5">
        <v>0</v>
      </c>
      <c r="L2344" s="5">
        <v>0</v>
      </c>
      <c r="M2344" s="5">
        <v>0</v>
      </c>
      <c r="N2344" s="5">
        <v>0</v>
      </c>
      <c r="O2344" s="5" t="str">
        <f t="shared" ca="1" si="36"/>
        <v>Supplier 197</v>
      </c>
      <c r="P2344" s="20" t="str">
        <f ca="1">IFERROR(VLOOKUP(O2344,EMAILS!B:C,2,FALSE),"NOT FOUND IN EMAILS")</f>
        <v>supplier@gmail.com</v>
      </c>
      <c r="Q2344" t="str">
        <f ca="1">""&amp;IFERROR(VLOOKUP(O2344,EMAILS!B:D,3,FALSE),"NOT FOUND IN EMAILS")</f>
        <v/>
      </c>
      <c r="R2344" t="str">
        <f ca="1">""&amp;IFERROR(VLOOKUP(O2344,EMAILS!B:E,4,FALSE),"NO T FOUND IN EMAILS")</f>
        <v/>
      </c>
    </row>
    <row r="2345" spans="2:18" x14ac:dyDescent="0.25">
      <c r="B2345" s="5" t="s">
        <v>2347</v>
      </c>
      <c r="C2345" s="5" t="s">
        <v>6487</v>
      </c>
      <c r="D2345" s="5">
        <v>3</v>
      </c>
      <c r="E2345" s="5">
        <v>3</v>
      </c>
      <c r="F2345" s="5">
        <v>4</v>
      </c>
      <c r="G2345" s="5">
        <v>4</v>
      </c>
      <c r="H2345" s="5">
        <v>3</v>
      </c>
      <c r="I2345" s="5">
        <v>4</v>
      </c>
      <c r="J2345" s="5">
        <v>2</v>
      </c>
      <c r="K2345" s="5">
        <v>2</v>
      </c>
      <c r="L2345" s="5">
        <v>2</v>
      </c>
      <c r="M2345" s="5">
        <v>0</v>
      </c>
      <c r="N2345" s="5">
        <v>3</v>
      </c>
      <c r="O2345" s="5" t="str">
        <f t="shared" ca="1" si="36"/>
        <v>Supplier 145</v>
      </c>
      <c r="P2345" s="20" t="str">
        <f ca="1">IFERROR(VLOOKUP(O2345,EMAILS!B:C,2,FALSE),"NOT FOUND IN EMAILS")</f>
        <v>supplier@gmail.com</v>
      </c>
      <c r="Q2345" t="str">
        <f ca="1">""&amp;IFERROR(VLOOKUP(O2345,EMAILS!B:D,3,FALSE),"NOT FOUND IN EMAILS")</f>
        <v/>
      </c>
      <c r="R2345" t="str">
        <f ca="1">""&amp;IFERROR(VLOOKUP(O2345,EMAILS!B:E,4,FALSE),"NO T FOUND IN EMAILS")</f>
        <v/>
      </c>
    </row>
    <row r="2346" spans="2:18" x14ac:dyDescent="0.25">
      <c r="B2346" s="5" t="s">
        <v>2348</v>
      </c>
      <c r="C2346" s="5" t="s">
        <v>6488</v>
      </c>
      <c r="D2346" s="5">
        <v>1</v>
      </c>
      <c r="E2346" s="5">
        <v>1</v>
      </c>
      <c r="F2346" s="5">
        <v>1</v>
      </c>
      <c r="G2346" s="5">
        <v>1</v>
      </c>
      <c r="H2346" s="5">
        <v>1</v>
      </c>
      <c r="I2346" s="5">
        <v>1</v>
      </c>
      <c r="J2346" s="5">
        <v>1</v>
      </c>
      <c r="K2346" s="5">
        <v>1</v>
      </c>
      <c r="L2346" s="5">
        <v>1</v>
      </c>
      <c r="M2346" s="5">
        <v>0</v>
      </c>
      <c r="N2346" s="5">
        <v>300</v>
      </c>
      <c r="O2346" s="5" t="str">
        <f t="shared" ca="1" si="36"/>
        <v>Supplier 53</v>
      </c>
      <c r="P2346" s="20" t="str">
        <f ca="1">IFERROR(VLOOKUP(O2346,EMAILS!B:C,2,FALSE),"NOT FOUND IN EMAILS")</f>
        <v>supplier@gmail.com</v>
      </c>
      <c r="Q2346" t="str">
        <f ca="1">""&amp;IFERROR(VLOOKUP(O2346,EMAILS!B:D,3,FALSE),"NOT FOUND IN EMAILS")</f>
        <v/>
      </c>
      <c r="R2346" t="str">
        <f ca="1">""&amp;IFERROR(VLOOKUP(O2346,EMAILS!B:E,4,FALSE),"NO T FOUND IN EMAILS")</f>
        <v/>
      </c>
    </row>
    <row r="2347" spans="2:18" x14ac:dyDescent="0.25">
      <c r="B2347" s="5" t="s">
        <v>2349</v>
      </c>
      <c r="C2347" s="5" t="s">
        <v>6489</v>
      </c>
      <c r="D2347" s="5">
        <v>62.2</v>
      </c>
      <c r="E2347" s="5">
        <v>62</v>
      </c>
      <c r="F2347" s="5">
        <v>63</v>
      </c>
      <c r="G2347" s="5">
        <v>64.5</v>
      </c>
      <c r="H2347" s="5">
        <v>62.2</v>
      </c>
      <c r="I2347" s="5">
        <v>62</v>
      </c>
      <c r="J2347" s="5">
        <v>62</v>
      </c>
      <c r="K2347" s="5">
        <v>64.7</v>
      </c>
      <c r="L2347" s="5">
        <v>62</v>
      </c>
      <c r="M2347" s="5">
        <v>0</v>
      </c>
      <c r="N2347" s="5">
        <v>30</v>
      </c>
      <c r="O2347" s="5" t="str">
        <f t="shared" ca="1" si="36"/>
        <v>Supplier 165</v>
      </c>
      <c r="P2347" s="20" t="str">
        <f ca="1">IFERROR(VLOOKUP(O2347,EMAILS!B:C,2,FALSE),"NOT FOUND IN EMAILS")</f>
        <v>supplier@gmail.com</v>
      </c>
      <c r="Q2347" t="str">
        <f ca="1">""&amp;IFERROR(VLOOKUP(O2347,EMAILS!B:D,3,FALSE),"NOT FOUND IN EMAILS")</f>
        <v/>
      </c>
      <c r="R2347" t="str">
        <f ca="1">""&amp;IFERROR(VLOOKUP(O2347,EMAILS!B:E,4,FALSE),"NO T FOUND IN EMAILS")</f>
        <v/>
      </c>
    </row>
    <row r="2348" spans="2:18" x14ac:dyDescent="0.25">
      <c r="B2348" s="5" t="s">
        <v>2350</v>
      </c>
      <c r="C2348" s="5" t="s">
        <v>6490</v>
      </c>
      <c r="D2348" s="5">
        <v>21.8</v>
      </c>
      <c r="E2348" s="5">
        <v>20.916</v>
      </c>
      <c r="F2348" s="5">
        <v>30.631999999999998</v>
      </c>
      <c r="G2348" s="5">
        <v>21.466000000000001</v>
      </c>
      <c r="H2348" s="5">
        <v>21.5489</v>
      </c>
      <c r="I2348" s="5">
        <v>15.8</v>
      </c>
      <c r="J2348" s="5">
        <v>12.8</v>
      </c>
      <c r="K2348" s="5">
        <v>13.8</v>
      </c>
      <c r="L2348" s="5">
        <v>12.8826</v>
      </c>
      <c r="M2348" s="5">
        <v>0</v>
      </c>
      <c r="N2348" s="5">
        <v>0</v>
      </c>
      <c r="O2348" s="5" t="str">
        <f t="shared" ca="1" si="36"/>
        <v>Supplier 79</v>
      </c>
      <c r="P2348" s="20" t="str">
        <f ca="1">IFERROR(VLOOKUP(O2348,EMAILS!B:C,2,FALSE),"NOT FOUND IN EMAILS")</f>
        <v>supplier@gmail.com</v>
      </c>
      <c r="Q2348" t="str">
        <f ca="1">""&amp;IFERROR(VLOOKUP(O2348,EMAILS!B:D,3,FALSE),"NOT FOUND IN EMAILS")</f>
        <v/>
      </c>
      <c r="R2348" t="str">
        <f ca="1">""&amp;IFERROR(VLOOKUP(O2348,EMAILS!B:E,4,FALSE),"NO T FOUND IN EMAILS")</f>
        <v/>
      </c>
    </row>
    <row r="2349" spans="2:18" x14ac:dyDescent="0.25">
      <c r="B2349" s="5" t="s">
        <v>2351</v>
      </c>
      <c r="C2349" s="5" t="s">
        <v>6491</v>
      </c>
      <c r="D2349" s="5">
        <v>21.21</v>
      </c>
      <c r="E2349" s="5">
        <v>11.101000000000001</v>
      </c>
      <c r="F2349" s="5">
        <v>13.914999999999999</v>
      </c>
      <c r="G2349" s="5">
        <v>10.62</v>
      </c>
      <c r="H2349" s="5">
        <v>11.244</v>
      </c>
      <c r="I2349" s="5">
        <v>13.204000000000001</v>
      </c>
      <c r="J2349" s="5">
        <v>11.244</v>
      </c>
      <c r="K2349" s="5">
        <v>9.0760000000000005</v>
      </c>
      <c r="L2349" s="5">
        <v>11.244</v>
      </c>
      <c r="M2349" s="5">
        <v>0</v>
      </c>
      <c r="N2349" s="5">
        <v>3</v>
      </c>
      <c r="O2349" s="5" t="str">
        <f t="shared" ca="1" si="36"/>
        <v>Supplier 182</v>
      </c>
      <c r="P2349" s="20" t="str">
        <f ca="1">IFERROR(VLOOKUP(O2349,EMAILS!B:C,2,FALSE),"NOT FOUND IN EMAILS")</f>
        <v>supplier@gmail.com</v>
      </c>
      <c r="Q2349" t="str">
        <f ca="1">""&amp;IFERROR(VLOOKUP(O2349,EMAILS!B:D,3,FALSE),"NOT FOUND IN EMAILS")</f>
        <v/>
      </c>
      <c r="R2349" t="str">
        <f ca="1">""&amp;IFERROR(VLOOKUP(O2349,EMAILS!B:E,4,FALSE),"NO T FOUND IN EMAILS")</f>
        <v/>
      </c>
    </row>
    <row r="2350" spans="2:18" x14ac:dyDescent="0.25">
      <c r="B2350" s="5" t="s">
        <v>2352</v>
      </c>
      <c r="C2350" s="5" t="s">
        <v>6492</v>
      </c>
      <c r="D2350" s="5">
        <v>0</v>
      </c>
      <c r="E2350" s="5">
        <v>0</v>
      </c>
      <c r="F2350" s="5">
        <v>0</v>
      </c>
      <c r="G2350" s="5">
        <v>0</v>
      </c>
      <c r="H2350" s="5">
        <v>0</v>
      </c>
      <c r="I2350" s="5">
        <v>0</v>
      </c>
      <c r="J2350" s="5">
        <v>0</v>
      </c>
      <c r="K2350" s="5">
        <v>0</v>
      </c>
      <c r="L2350" s="5">
        <v>0</v>
      </c>
      <c r="M2350" s="5">
        <v>0</v>
      </c>
      <c r="N2350" s="5">
        <v>16</v>
      </c>
      <c r="O2350" s="5" t="str">
        <f t="shared" ca="1" si="36"/>
        <v>Supplier 66</v>
      </c>
      <c r="P2350" s="20" t="str">
        <f ca="1">IFERROR(VLOOKUP(O2350,EMAILS!B:C,2,FALSE),"NOT FOUND IN EMAILS")</f>
        <v>supplier@gmail.com</v>
      </c>
      <c r="Q2350" t="str">
        <f ca="1">""&amp;IFERROR(VLOOKUP(O2350,EMAILS!B:D,3,FALSE),"NOT FOUND IN EMAILS")</f>
        <v/>
      </c>
      <c r="R2350" t="str">
        <f ca="1">""&amp;IFERROR(VLOOKUP(O2350,EMAILS!B:E,4,FALSE),"NO T FOUND IN EMAILS")</f>
        <v/>
      </c>
    </row>
    <row r="2351" spans="2:18" x14ac:dyDescent="0.25">
      <c r="B2351" s="5" t="s">
        <v>2353</v>
      </c>
      <c r="C2351" s="5" t="s">
        <v>6493</v>
      </c>
      <c r="D2351" s="5">
        <v>28</v>
      </c>
      <c r="E2351" s="5">
        <v>28</v>
      </c>
      <c r="F2351" s="5">
        <v>14</v>
      </c>
      <c r="G2351" s="5">
        <v>56</v>
      </c>
      <c r="H2351" s="5">
        <v>24</v>
      </c>
      <c r="I2351" s="5">
        <v>20</v>
      </c>
      <c r="J2351" s="5">
        <v>16</v>
      </c>
      <c r="K2351" s="5">
        <v>12</v>
      </c>
      <c r="L2351" s="5">
        <v>16</v>
      </c>
      <c r="M2351" s="5">
        <v>0</v>
      </c>
      <c r="N2351" s="5">
        <v>1500</v>
      </c>
      <c r="O2351" s="5" t="str">
        <f t="shared" ca="1" si="36"/>
        <v>Supplier 146</v>
      </c>
      <c r="P2351" s="20" t="str">
        <f ca="1">IFERROR(VLOOKUP(O2351,EMAILS!B:C,2,FALSE),"NOT FOUND IN EMAILS")</f>
        <v>supplier@gmail.com</v>
      </c>
      <c r="Q2351" t="str">
        <f ca="1">""&amp;IFERROR(VLOOKUP(O2351,EMAILS!B:D,3,FALSE),"NOT FOUND IN EMAILS")</f>
        <v/>
      </c>
      <c r="R2351" t="str">
        <f ca="1">""&amp;IFERROR(VLOOKUP(O2351,EMAILS!B:E,4,FALSE),"NO T FOUND IN EMAILS")</f>
        <v/>
      </c>
    </row>
    <row r="2352" spans="2:18" x14ac:dyDescent="0.25">
      <c r="B2352" s="5" t="s">
        <v>2354</v>
      </c>
      <c r="C2352" s="5" t="s">
        <v>6494</v>
      </c>
      <c r="D2352" s="5">
        <v>0</v>
      </c>
      <c r="E2352" s="5">
        <v>0</v>
      </c>
      <c r="F2352" s="5">
        <v>0</v>
      </c>
      <c r="G2352" s="5">
        <v>0</v>
      </c>
      <c r="H2352" s="5">
        <v>0</v>
      </c>
      <c r="I2352" s="5">
        <v>0</v>
      </c>
      <c r="J2352" s="5">
        <v>0</v>
      </c>
      <c r="K2352" s="5">
        <v>0</v>
      </c>
      <c r="L2352" s="5">
        <v>0</v>
      </c>
      <c r="M2352" s="5">
        <v>0</v>
      </c>
      <c r="N2352" s="5">
        <v>309</v>
      </c>
      <c r="O2352" s="5" t="str">
        <f t="shared" ca="1" si="36"/>
        <v>Supplier 82</v>
      </c>
      <c r="P2352" s="20" t="str">
        <f ca="1">IFERROR(VLOOKUP(O2352,EMAILS!B:C,2,FALSE),"NOT FOUND IN EMAILS")</f>
        <v>supplier@gmail.com</v>
      </c>
      <c r="Q2352" t="str">
        <f ca="1">""&amp;IFERROR(VLOOKUP(O2352,EMAILS!B:D,3,FALSE),"NOT FOUND IN EMAILS")</f>
        <v/>
      </c>
      <c r="R2352" t="str">
        <f ca="1">""&amp;IFERROR(VLOOKUP(O2352,EMAILS!B:E,4,FALSE),"NO T FOUND IN EMAILS")</f>
        <v/>
      </c>
    </row>
    <row r="2353" spans="2:18" x14ac:dyDescent="0.25">
      <c r="B2353" s="5" t="s">
        <v>2355</v>
      </c>
      <c r="C2353" s="5" t="s">
        <v>6495</v>
      </c>
      <c r="D2353" s="5">
        <v>0</v>
      </c>
      <c r="E2353" s="5">
        <v>0</v>
      </c>
      <c r="F2353" s="5">
        <v>0</v>
      </c>
      <c r="G2353" s="5">
        <v>7</v>
      </c>
      <c r="H2353" s="5">
        <v>0</v>
      </c>
      <c r="I2353" s="5">
        <v>0</v>
      </c>
      <c r="J2353" s="5">
        <v>0</v>
      </c>
      <c r="K2353" s="5">
        <v>28</v>
      </c>
      <c r="L2353" s="5">
        <v>0</v>
      </c>
      <c r="M2353" s="5">
        <v>0</v>
      </c>
      <c r="N2353" s="5">
        <v>0</v>
      </c>
      <c r="O2353" s="5" t="str">
        <f t="shared" ca="1" si="36"/>
        <v>Supplier 109</v>
      </c>
      <c r="P2353" s="20" t="str">
        <f ca="1">IFERROR(VLOOKUP(O2353,EMAILS!B:C,2,FALSE),"NOT FOUND IN EMAILS")</f>
        <v>supplier@gmail.com</v>
      </c>
      <c r="Q2353" t="str">
        <f ca="1">""&amp;IFERROR(VLOOKUP(O2353,EMAILS!B:D,3,FALSE),"NOT FOUND IN EMAILS")</f>
        <v/>
      </c>
      <c r="R2353" t="str">
        <f ca="1">""&amp;IFERROR(VLOOKUP(O2353,EMAILS!B:E,4,FALSE),"NO T FOUND IN EMAILS")</f>
        <v/>
      </c>
    </row>
    <row r="2354" spans="2:18" x14ac:dyDescent="0.25">
      <c r="B2354" s="5" t="s">
        <v>2356</v>
      </c>
      <c r="C2354" s="5" t="s">
        <v>6496</v>
      </c>
      <c r="D2354" s="5">
        <v>1646</v>
      </c>
      <c r="E2354" s="5">
        <v>0</v>
      </c>
      <c r="F2354" s="5">
        <v>20</v>
      </c>
      <c r="G2354" s="5">
        <v>0</v>
      </c>
      <c r="H2354" s="5">
        <v>0</v>
      </c>
      <c r="I2354" s="5">
        <v>0</v>
      </c>
      <c r="J2354" s="5">
        <v>1500</v>
      </c>
      <c r="K2354" s="5">
        <v>0</v>
      </c>
      <c r="L2354" s="5">
        <v>0</v>
      </c>
      <c r="M2354" s="5">
        <v>0</v>
      </c>
      <c r="N2354" s="5">
        <v>0</v>
      </c>
      <c r="O2354" s="5" t="str">
        <f t="shared" ca="1" si="36"/>
        <v>Supplier 179</v>
      </c>
      <c r="P2354" s="20" t="str">
        <f ca="1">IFERROR(VLOOKUP(O2354,EMAILS!B:C,2,FALSE),"NOT FOUND IN EMAILS")</f>
        <v>supplier@gmail.com</v>
      </c>
      <c r="Q2354" t="str">
        <f ca="1">""&amp;IFERROR(VLOOKUP(O2354,EMAILS!B:D,3,FALSE),"NOT FOUND IN EMAILS")</f>
        <v/>
      </c>
      <c r="R2354" t="str">
        <f ca="1">""&amp;IFERROR(VLOOKUP(O2354,EMAILS!B:E,4,FALSE),"NO T FOUND IN EMAILS")</f>
        <v/>
      </c>
    </row>
    <row r="2355" spans="2:18" x14ac:dyDescent="0.25">
      <c r="B2355" s="5" t="s">
        <v>2357</v>
      </c>
      <c r="C2355" s="5" t="s">
        <v>6497</v>
      </c>
      <c r="D2355" s="5">
        <v>372</v>
      </c>
      <c r="E2355" s="5">
        <v>100</v>
      </c>
      <c r="F2355" s="5">
        <v>200</v>
      </c>
      <c r="G2355" s="5">
        <v>20</v>
      </c>
      <c r="H2355" s="5">
        <v>300</v>
      </c>
      <c r="I2355" s="5">
        <v>0</v>
      </c>
      <c r="J2355" s="5">
        <v>0</v>
      </c>
      <c r="K2355" s="5">
        <v>220</v>
      </c>
      <c r="L2355" s="5">
        <v>0</v>
      </c>
      <c r="M2355" s="5">
        <v>0</v>
      </c>
      <c r="N2355" s="5">
        <v>0</v>
      </c>
      <c r="O2355" s="5" t="str">
        <f t="shared" ca="1" si="36"/>
        <v>Supplier 60</v>
      </c>
      <c r="P2355" s="20" t="str">
        <f ca="1">IFERROR(VLOOKUP(O2355,EMAILS!B:C,2,FALSE),"NOT FOUND IN EMAILS")</f>
        <v>supplier@gmail.com</v>
      </c>
      <c r="Q2355" t="str">
        <f ca="1">""&amp;IFERROR(VLOOKUP(O2355,EMAILS!B:D,3,FALSE),"NOT FOUND IN EMAILS")</f>
        <v/>
      </c>
      <c r="R2355" t="str">
        <f ca="1">""&amp;IFERROR(VLOOKUP(O2355,EMAILS!B:E,4,FALSE),"NO T FOUND IN EMAILS")</f>
        <v/>
      </c>
    </row>
    <row r="2356" spans="2:18" x14ac:dyDescent="0.25">
      <c r="B2356" s="5" t="s">
        <v>2358</v>
      </c>
      <c r="C2356" s="5" t="s">
        <v>6498</v>
      </c>
      <c r="D2356" s="5">
        <v>0</v>
      </c>
      <c r="E2356" s="5">
        <v>0</v>
      </c>
      <c r="F2356" s="5">
        <v>25</v>
      </c>
      <c r="G2356" s="5">
        <v>0</v>
      </c>
      <c r="H2356" s="5">
        <v>25</v>
      </c>
      <c r="I2356" s="5">
        <v>25</v>
      </c>
      <c r="J2356" s="5">
        <v>0</v>
      </c>
      <c r="K2356" s="5">
        <v>0</v>
      </c>
      <c r="L2356" s="5">
        <v>0</v>
      </c>
      <c r="M2356" s="5">
        <v>0</v>
      </c>
      <c r="N2356" s="5">
        <v>0</v>
      </c>
      <c r="O2356" s="5" t="str">
        <f t="shared" ca="1" si="36"/>
        <v>Supplier 106</v>
      </c>
      <c r="P2356" s="20" t="str">
        <f ca="1">IFERROR(VLOOKUP(O2356,EMAILS!B:C,2,FALSE),"NOT FOUND IN EMAILS")</f>
        <v>supplier@gmail.com</v>
      </c>
      <c r="Q2356" t="str">
        <f ca="1">""&amp;IFERROR(VLOOKUP(O2356,EMAILS!B:D,3,FALSE),"NOT FOUND IN EMAILS")</f>
        <v/>
      </c>
      <c r="R2356" t="str">
        <f ca="1">""&amp;IFERROR(VLOOKUP(O2356,EMAILS!B:E,4,FALSE),"NO T FOUND IN EMAILS")</f>
        <v/>
      </c>
    </row>
    <row r="2357" spans="2:18" x14ac:dyDescent="0.25">
      <c r="B2357" s="5" t="s">
        <v>2359</v>
      </c>
      <c r="C2357" s="5" t="s">
        <v>6499</v>
      </c>
      <c r="D2357" s="5">
        <v>0</v>
      </c>
      <c r="E2357" s="5">
        <v>0</v>
      </c>
      <c r="F2357" s="5">
        <v>25</v>
      </c>
      <c r="G2357" s="5">
        <v>0</v>
      </c>
      <c r="H2357" s="5">
        <v>25</v>
      </c>
      <c r="I2357" s="5">
        <v>25</v>
      </c>
      <c r="J2357" s="5">
        <v>0</v>
      </c>
      <c r="K2357" s="5">
        <v>0</v>
      </c>
      <c r="L2357" s="5">
        <v>0</v>
      </c>
      <c r="M2357" s="5">
        <v>0</v>
      </c>
      <c r="N2357" s="5">
        <v>0</v>
      </c>
      <c r="O2357" s="5" t="str">
        <f t="shared" ca="1" si="36"/>
        <v>Supplier 21</v>
      </c>
      <c r="P2357" s="20" t="str">
        <f ca="1">IFERROR(VLOOKUP(O2357,EMAILS!B:C,2,FALSE),"NOT FOUND IN EMAILS")</f>
        <v>supplier@gmail.com</v>
      </c>
      <c r="Q2357" t="str">
        <f ca="1">""&amp;IFERROR(VLOOKUP(O2357,EMAILS!B:D,3,FALSE),"NOT FOUND IN EMAILS")</f>
        <v/>
      </c>
      <c r="R2357" t="str">
        <f ca="1">""&amp;IFERROR(VLOOKUP(O2357,EMAILS!B:E,4,FALSE),"NO T FOUND IN EMAILS")</f>
        <v/>
      </c>
    </row>
    <row r="2358" spans="2:18" x14ac:dyDescent="0.25">
      <c r="B2358" s="5" t="s">
        <v>2360</v>
      </c>
      <c r="C2358" s="5" t="s">
        <v>6500</v>
      </c>
      <c r="D2358" s="5">
        <v>0</v>
      </c>
      <c r="E2358" s="5">
        <v>0</v>
      </c>
      <c r="F2358" s="5">
        <v>0</v>
      </c>
      <c r="G2358" s="5">
        <v>1600</v>
      </c>
      <c r="H2358" s="5">
        <v>0</v>
      </c>
      <c r="I2358" s="5">
        <v>0</v>
      </c>
      <c r="J2358" s="5">
        <v>1600</v>
      </c>
      <c r="K2358" s="5">
        <v>0</v>
      </c>
      <c r="L2358" s="5">
        <v>0</v>
      </c>
      <c r="M2358" s="5">
        <v>0</v>
      </c>
      <c r="N2358" s="5">
        <v>0</v>
      </c>
      <c r="O2358" s="5" t="str">
        <f t="shared" ca="1" si="36"/>
        <v>Supplier 188</v>
      </c>
      <c r="P2358" s="20" t="str">
        <f ca="1">IFERROR(VLOOKUP(O2358,EMAILS!B:C,2,FALSE),"NOT FOUND IN EMAILS")</f>
        <v>supplier@gmail.com</v>
      </c>
      <c r="Q2358" t="str">
        <f ca="1">""&amp;IFERROR(VLOOKUP(O2358,EMAILS!B:D,3,FALSE),"NOT FOUND IN EMAILS")</f>
        <v/>
      </c>
      <c r="R2358" t="str">
        <f ca="1">""&amp;IFERROR(VLOOKUP(O2358,EMAILS!B:E,4,FALSE),"NO T FOUND IN EMAILS")</f>
        <v/>
      </c>
    </row>
    <row r="2359" spans="2:18" x14ac:dyDescent="0.25">
      <c r="B2359" s="5" t="s">
        <v>2361</v>
      </c>
      <c r="C2359" s="5" t="s">
        <v>6501</v>
      </c>
      <c r="D2359" s="5">
        <v>27280</v>
      </c>
      <c r="E2359" s="5">
        <v>17400</v>
      </c>
      <c r="F2359" s="5">
        <v>23460</v>
      </c>
      <c r="G2359" s="5">
        <v>24748</v>
      </c>
      <c r="H2359" s="5">
        <v>21280</v>
      </c>
      <c r="I2359" s="5">
        <v>19000</v>
      </c>
      <c r="J2359" s="5">
        <v>11544</v>
      </c>
      <c r="K2359" s="5">
        <v>19300</v>
      </c>
      <c r="L2359" s="5">
        <v>10660</v>
      </c>
      <c r="M2359" s="5">
        <v>0</v>
      </c>
      <c r="N2359" s="5">
        <v>0</v>
      </c>
      <c r="O2359" s="5" t="str">
        <f t="shared" ca="1" si="36"/>
        <v>Supplier 89</v>
      </c>
      <c r="P2359" s="20" t="str">
        <f ca="1">IFERROR(VLOOKUP(O2359,EMAILS!B:C,2,FALSE),"NOT FOUND IN EMAILS")</f>
        <v>supplier@gmail.com</v>
      </c>
      <c r="Q2359" t="str">
        <f ca="1">""&amp;IFERROR(VLOOKUP(O2359,EMAILS!B:D,3,FALSE),"NOT FOUND IN EMAILS")</f>
        <v/>
      </c>
      <c r="R2359" t="str">
        <f ca="1">""&amp;IFERROR(VLOOKUP(O2359,EMAILS!B:E,4,FALSE),"NO T FOUND IN EMAILS")</f>
        <v/>
      </c>
    </row>
    <row r="2360" spans="2:18" x14ac:dyDescent="0.25">
      <c r="B2360" s="5" t="s">
        <v>2362</v>
      </c>
      <c r="C2360" s="5" t="s">
        <v>6502</v>
      </c>
      <c r="D2360" s="5">
        <v>50</v>
      </c>
      <c r="E2360" s="5">
        <v>100</v>
      </c>
      <c r="F2360" s="5">
        <v>120</v>
      </c>
      <c r="G2360" s="5">
        <v>120</v>
      </c>
      <c r="H2360" s="5">
        <v>220</v>
      </c>
      <c r="I2360" s="5">
        <v>220</v>
      </c>
      <c r="J2360" s="5">
        <v>220</v>
      </c>
      <c r="K2360" s="5">
        <v>120</v>
      </c>
      <c r="L2360" s="5">
        <v>220</v>
      </c>
      <c r="M2360" s="5">
        <v>0</v>
      </c>
      <c r="N2360" s="5">
        <v>0</v>
      </c>
      <c r="O2360" s="5" t="str">
        <f t="shared" ca="1" si="36"/>
        <v>Supplier 131</v>
      </c>
      <c r="P2360" s="20" t="str">
        <f ca="1">IFERROR(VLOOKUP(O2360,EMAILS!B:C,2,FALSE),"NOT FOUND IN EMAILS")</f>
        <v>supplier@gmail.com</v>
      </c>
      <c r="Q2360" t="str">
        <f ca="1">""&amp;IFERROR(VLOOKUP(O2360,EMAILS!B:D,3,FALSE),"NOT FOUND IN EMAILS")</f>
        <v/>
      </c>
      <c r="R2360" t="str">
        <f ca="1">""&amp;IFERROR(VLOOKUP(O2360,EMAILS!B:E,4,FALSE),"NO T FOUND IN EMAILS")</f>
        <v/>
      </c>
    </row>
    <row r="2361" spans="2:18" x14ac:dyDescent="0.25">
      <c r="B2361" s="5" t="s">
        <v>2363</v>
      </c>
      <c r="C2361" s="5" t="s">
        <v>6503</v>
      </c>
      <c r="D2361" s="5">
        <v>950</v>
      </c>
      <c r="E2361" s="5">
        <v>650</v>
      </c>
      <c r="F2361" s="5">
        <v>800</v>
      </c>
      <c r="G2361" s="5">
        <v>700</v>
      </c>
      <c r="H2361" s="5">
        <v>700</v>
      </c>
      <c r="I2361" s="5">
        <v>700</v>
      </c>
      <c r="J2361" s="5">
        <v>800</v>
      </c>
      <c r="K2361" s="5">
        <v>700</v>
      </c>
      <c r="L2361" s="5">
        <v>700</v>
      </c>
      <c r="M2361" s="5">
        <v>0</v>
      </c>
      <c r="N2361" s="5">
        <v>557</v>
      </c>
      <c r="O2361" s="5" t="str">
        <f t="shared" ca="1" si="36"/>
        <v>Supplier 85</v>
      </c>
      <c r="P2361" s="20" t="str">
        <f ca="1">IFERROR(VLOOKUP(O2361,EMAILS!B:C,2,FALSE),"NOT FOUND IN EMAILS")</f>
        <v>supplier@gmail.com</v>
      </c>
      <c r="Q2361" t="str">
        <f ca="1">""&amp;IFERROR(VLOOKUP(O2361,EMAILS!B:D,3,FALSE),"NOT FOUND IN EMAILS")</f>
        <v/>
      </c>
      <c r="R2361" t="str">
        <f ca="1">""&amp;IFERROR(VLOOKUP(O2361,EMAILS!B:E,4,FALSE),"NO T FOUND IN EMAILS")</f>
        <v/>
      </c>
    </row>
    <row r="2362" spans="2:18" x14ac:dyDescent="0.25">
      <c r="B2362" s="5" t="s">
        <v>2364</v>
      </c>
      <c r="C2362" s="5" t="s">
        <v>6504</v>
      </c>
      <c r="D2362" s="5">
        <v>4</v>
      </c>
      <c r="E2362" s="5">
        <v>0</v>
      </c>
      <c r="F2362" s="5">
        <v>0</v>
      </c>
      <c r="G2362" s="5">
        <v>0</v>
      </c>
      <c r="H2362" s="5">
        <v>0</v>
      </c>
      <c r="I2362" s="5">
        <v>0</v>
      </c>
      <c r="J2362" s="5">
        <v>0</v>
      </c>
      <c r="K2362" s="5">
        <v>0</v>
      </c>
      <c r="L2362" s="5">
        <v>0</v>
      </c>
      <c r="M2362" s="5">
        <v>0</v>
      </c>
      <c r="N2362" s="5">
        <v>129</v>
      </c>
      <c r="O2362" s="5" t="str">
        <f t="shared" ca="1" si="36"/>
        <v>Supplier 44</v>
      </c>
      <c r="P2362" s="20" t="str">
        <f ca="1">IFERROR(VLOOKUP(O2362,EMAILS!B:C,2,FALSE),"NOT FOUND IN EMAILS")</f>
        <v>supplier@gmail.com</v>
      </c>
      <c r="Q2362" t="str">
        <f ca="1">""&amp;IFERROR(VLOOKUP(O2362,EMAILS!B:D,3,FALSE),"NOT FOUND IN EMAILS")</f>
        <v/>
      </c>
      <c r="R2362" t="str">
        <f ca="1">""&amp;IFERROR(VLOOKUP(O2362,EMAILS!B:E,4,FALSE),"NO T FOUND IN EMAILS")</f>
        <v/>
      </c>
    </row>
    <row r="2363" spans="2:18" x14ac:dyDescent="0.25">
      <c r="B2363" s="5" t="s">
        <v>2365</v>
      </c>
      <c r="C2363" s="5" t="s">
        <v>6505</v>
      </c>
      <c r="D2363" s="5">
        <v>32</v>
      </c>
      <c r="E2363" s="5">
        <v>31</v>
      </c>
      <c r="F2363" s="5">
        <v>15</v>
      </c>
      <c r="G2363" s="5">
        <v>62</v>
      </c>
      <c r="H2363" s="5">
        <v>24</v>
      </c>
      <c r="I2363" s="5">
        <v>21</v>
      </c>
      <c r="J2363" s="5">
        <v>18</v>
      </c>
      <c r="K2363" s="5">
        <v>20</v>
      </c>
      <c r="L2363" s="5">
        <v>20</v>
      </c>
      <c r="M2363" s="5">
        <v>0</v>
      </c>
      <c r="N2363" s="5">
        <v>0</v>
      </c>
      <c r="O2363" s="5" t="str">
        <f t="shared" ca="1" si="36"/>
        <v>Supplier 134</v>
      </c>
      <c r="P2363" s="20" t="str">
        <f ca="1">IFERROR(VLOOKUP(O2363,EMAILS!B:C,2,FALSE),"NOT FOUND IN EMAILS")</f>
        <v>supplier@gmail.com</v>
      </c>
      <c r="Q2363" t="str">
        <f ca="1">""&amp;IFERROR(VLOOKUP(O2363,EMAILS!B:D,3,FALSE),"NOT FOUND IN EMAILS")</f>
        <v/>
      </c>
      <c r="R2363" t="str">
        <f ca="1">""&amp;IFERROR(VLOOKUP(O2363,EMAILS!B:E,4,FALSE),"NO T FOUND IN EMAILS")</f>
        <v/>
      </c>
    </row>
    <row r="2364" spans="2:18" x14ac:dyDescent="0.25">
      <c r="B2364" s="5" t="s">
        <v>2366</v>
      </c>
      <c r="C2364" s="5" t="s">
        <v>6506</v>
      </c>
      <c r="D2364" s="5">
        <v>0</v>
      </c>
      <c r="E2364" s="5">
        <v>0</v>
      </c>
      <c r="F2364" s="5">
        <v>0</v>
      </c>
      <c r="G2364" s="5">
        <v>0</v>
      </c>
      <c r="H2364" s="5">
        <v>0</v>
      </c>
      <c r="I2364" s="5">
        <v>0</v>
      </c>
      <c r="J2364" s="5">
        <v>0</v>
      </c>
      <c r="K2364" s="5">
        <v>0</v>
      </c>
      <c r="L2364" s="5">
        <v>0</v>
      </c>
      <c r="M2364" s="5">
        <v>0</v>
      </c>
      <c r="N2364" s="5">
        <v>0</v>
      </c>
      <c r="O2364" s="5" t="str">
        <f t="shared" ca="1" si="36"/>
        <v>Supplier 196</v>
      </c>
      <c r="P2364" s="20" t="str">
        <f ca="1">IFERROR(VLOOKUP(O2364,EMAILS!B:C,2,FALSE),"NOT FOUND IN EMAILS")</f>
        <v>supplier@gmail.com</v>
      </c>
      <c r="Q2364" t="str">
        <f ca="1">""&amp;IFERROR(VLOOKUP(O2364,EMAILS!B:D,3,FALSE),"NOT FOUND IN EMAILS")</f>
        <v/>
      </c>
      <c r="R2364" t="str">
        <f ca="1">""&amp;IFERROR(VLOOKUP(O2364,EMAILS!B:E,4,FALSE),"NO T FOUND IN EMAILS")</f>
        <v/>
      </c>
    </row>
    <row r="2365" spans="2:18" x14ac:dyDescent="0.25">
      <c r="B2365" s="5" t="s">
        <v>2367</v>
      </c>
      <c r="C2365" s="5" t="s">
        <v>6507</v>
      </c>
      <c r="D2365" s="5">
        <v>0</v>
      </c>
      <c r="E2365" s="5">
        <v>0</v>
      </c>
      <c r="F2365" s="5">
        <v>0</v>
      </c>
      <c r="G2365" s="5">
        <v>0</v>
      </c>
      <c r="H2365" s="5">
        <v>0</v>
      </c>
      <c r="I2365" s="5">
        <v>0</v>
      </c>
      <c r="J2365" s="5">
        <v>0</v>
      </c>
      <c r="K2365" s="5">
        <v>0</v>
      </c>
      <c r="L2365" s="5">
        <v>0</v>
      </c>
      <c r="M2365" s="5">
        <v>0</v>
      </c>
      <c r="N2365" s="5">
        <v>68</v>
      </c>
      <c r="O2365" s="5" t="str">
        <f t="shared" ca="1" si="36"/>
        <v>Supplier 196</v>
      </c>
      <c r="P2365" s="20" t="str">
        <f ca="1">IFERROR(VLOOKUP(O2365,EMAILS!B:C,2,FALSE),"NOT FOUND IN EMAILS")</f>
        <v>supplier@gmail.com</v>
      </c>
      <c r="Q2365" t="str">
        <f ca="1">""&amp;IFERROR(VLOOKUP(O2365,EMAILS!B:D,3,FALSE),"NOT FOUND IN EMAILS")</f>
        <v/>
      </c>
      <c r="R2365" t="str">
        <f ca="1">""&amp;IFERROR(VLOOKUP(O2365,EMAILS!B:E,4,FALSE),"NO T FOUND IN EMAILS")</f>
        <v/>
      </c>
    </row>
    <row r="2366" spans="2:18" x14ac:dyDescent="0.25">
      <c r="B2366" s="5" t="s">
        <v>2368</v>
      </c>
      <c r="C2366" s="5" t="s">
        <v>6508</v>
      </c>
      <c r="D2366" s="5">
        <v>0</v>
      </c>
      <c r="E2366" s="5">
        <v>72</v>
      </c>
      <c r="F2366" s="5">
        <v>8</v>
      </c>
      <c r="G2366" s="5">
        <v>32</v>
      </c>
      <c r="H2366" s="5">
        <v>32</v>
      </c>
      <c r="I2366" s="5">
        <v>24</v>
      </c>
      <c r="J2366" s="5">
        <v>8</v>
      </c>
      <c r="K2366" s="5">
        <v>0</v>
      </c>
      <c r="L2366" s="5">
        <v>0</v>
      </c>
      <c r="M2366" s="5">
        <v>0</v>
      </c>
      <c r="N2366" s="5">
        <v>665</v>
      </c>
      <c r="O2366" s="5" t="str">
        <f t="shared" ca="1" si="36"/>
        <v>Supplier 57</v>
      </c>
      <c r="P2366" s="20" t="str">
        <f ca="1">IFERROR(VLOOKUP(O2366,EMAILS!B:C,2,FALSE),"NOT FOUND IN EMAILS")</f>
        <v>supplier@gmail.com</v>
      </c>
      <c r="Q2366" t="str">
        <f ca="1">""&amp;IFERROR(VLOOKUP(O2366,EMAILS!B:D,3,FALSE),"NOT FOUND IN EMAILS")</f>
        <v/>
      </c>
      <c r="R2366" t="str">
        <f ca="1">""&amp;IFERROR(VLOOKUP(O2366,EMAILS!B:E,4,FALSE),"NO T FOUND IN EMAILS")</f>
        <v/>
      </c>
    </row>
    <row r="2367" spans="2:18" x14ac:dyDescent="0.25">
      <c r="B2367" s="5" t="s">
        <v>2369</v>
      </c>
      <c r="C2367" s="5" t="s">
        <v>6509</v>
      </c>
      <c r="D2367" s="5">
        <v>36</v>
      </c>
      <c r="E2367" s="5">
        <v>0</v>
      </c>
      <c r="F2367" s="5">
        <v>30</v>
      </c>
      <c r="G2367" s="5">
        <v>24</v>
      </c>
      <c r="H2367" s="5">
        <v>30</v>
      </c>
      <c r="I2367" s="5">
        <v>18</v>
      </c>
      <c r="J2367" s="5">
        <v>24</v>
      </c>
      <c r="K2367" s="5">
        <v>12</v>
      </c>
      <c r="L2367" s="5">
        <v>12</v>
      </c>
      <c r="M2367" s="5">
        <v>0</v>
      </c>
      <c r="N2367" s="5">
        <v>884</v>
      </c>
      <c r="O2367" s="5" t="str">
        <f t="shared" ca="1" si="36"/>
        <v>Supplier 17</v>
      </c>
      <c r="P2367" s="20" t="str">
        <f ca="1">IFERROR(VLOOKUP(O2367,EMAILS!B:C,2,FALSE),"NOT FOUND IN EMAILS")</f>
        <v>supplier@gmail.com</v>
      </c>
      <c r="Q2367" t="str">
        <f ca="1">""&amp;IFERROR(VLOOKUP(O2367,EMAILS!B:D,3,FALSE),"NOT FOUND IN EMAILS")</f>
        <v>supplier_logistics@gmail.com</v>
      </c>
      <c r="R2367" t="str">
        <f ca="1">""&amp;IFERROR(VLOOKUP(O2367,EMAILS!B:E,4,FALSE),"NO T FOUND IN EMAILS")</f>
        <v/>
      </c>
    </row>
    <row r="2368" spans="2:18" x14ac:dyDescent="0.25">
      <c r="B2368" s="5" t="s">
        <v>2370</v>
      </c>
      <c r="C2368" s="5" t="s">
        <v>6510</v>
      </c>
      <c r="D2368" s="5">
        <v>0</v>
      </c>
      <c r="E2368" s="5">
        <v>9</v>
      </c>
      <c r="F2368" s="5">
        <v>1</v>
      </c>
      <c r="G2368" s="5">
        <v>4</v>
      </c>
      <c r="H2368" s="5">
        <v>4</v>
      </c>
      <c r="I2368" s="5">
        <v>3</v>
      </c>
      <c r="J2368" s="5">
        <v>1</v>
      </c>
      <c r="K2368" s="5">
        <v>0</v>
      </c>
      <c r="L2368" s="5">
        <v>0</v>
      </c>
      <c r="M2368" s="5">
        <v>0</v>
      </c>
      <c r="N2368" s="5">
        <v>120</v>
      </c>
      <c r="O2368" s="5" t="str">
        <f t="shared" ca="1" si="36"/>
        <v>Supplier 53</v>
      </c>
      <c r="P2368" s="20" t="str">
        <f ca="1">IFERROR(VLOOKUP(O2368,EMAILS!B:C,2,FALSE),"NOT FOUND IN EMAILS")</f>
        <v>supplier@gmail.com</v>
      </c>
      <c r="Q2368" t="str">
        <f ca="1">""&amp;IFERROR(VLOOKUP(O2368,EMAILS!B:D,3,FALSE),"NOT FOUND IN EMAILS")</f>
        <v/>
      </c>
      <c r="R2368" t="str">
        <f ca="1">""&amp;IFERROR(VLOOKUP(O2368,EMAILS!B:E,4,FALSE),"NO T FOUND IN EMAILS")</f>
        <v/>
      </c>
    </row>
    <row r="2369" spans="2:18" x14ac:dyDescent="0.25">
      <c r="B2369" s="5" t="s">
        <v>2371</v>
      </c>
      <c r="C2369" s="5" t="s">
        <v>6511</v>
      </c>
      <c r="D2369" s="5">
        <v>86</v>
      </c>
      <c r="E2369" s="5">
        <v>0</v>
      </c>
      <c r="F2369" s="5">
        <v>0</v>
      </c>
      <c r="G2369" s="5">
        <v>0</v>
      </c>
      <c r="H2369" s="5">
        <v>0</v>
      </c>
      <c r="I2369" s="5">
        <v>0</v>
      </c>
      <c r="J2369" s="5">
        <v>0</v>
      </c>
      <c r="K2369" s="5">
        <v>0</v>
      </c>
      <c r="L2369" s="5">
        <v>0</v>
      </c>
      <c r="M2369" s="5">
        <v>0</v>
      </c>
      <c r="N2369" s="5">
        <v>0</v>
      </c>
      <c r="O2369" s="5" t="str">
        <f t="shared" ca="1" si="36"/>
        <v>Supplier 32</v>
      </c>
      <c r="P2369" s="20" t="str">
        <f ca="1">IFERROR(VLOOKUP(O2369,EMAILS!B:C,2,FALSE),"NOT FOUND IN EMAILS")</f>
        <v>supplier@gmail.com</v>
      </c>
      <c r="Q2369" t="str">
        <f ca="1">""&amp;IFERROR(VLOOKUP(O2369,EMAILS!B:D,3,FALSE),"NOT FOUND IN EMAILS")</f>
        <v/>
      </c>
      <c r="R2369" t="str">
        <f ca="1">""&amp;IFERROR(VLOOKUP(O2369,EMAILS!B:E,4,FALSE),"NO T FOUND IN EMAILS")</f>
        <v/>
      </c>
    </row>
    <row r="2370" spans="2:18" x14ac:dyDescent="0.25">
      <c r="B2370" s="5" t="s">
        <v>2372</v>
      </c>
      <c r="C2370" s="5" t="s">
        <v>6512</v>
      </c>
      <c r="D2370" s="5">
        <v>100</v>
      </c>
      <c r="E2370" s="5">
        <v>10</v>
      </c>
      <c r="F2370" s="5">
        <v>60</v>
      </c>
      <c r="G2370" s="5">
        <v>40</v>
      </c>
      <c r="H2370" s="5">
        <v>80</v>
      </c>
      <c r="I2370" s="5">
        <v>40</v>
      </c>
      <c r="J2370" s="5">
        <v>20</v>
      </c>
      <c r="K2370" s="5">
        <v>50</v>
      </c>
      <c r="L2370" s="5">
        <v>70</v>
      </c>
      <c r="M2370" s="5">
        <v>0</v>
      </c>
      <c r="N2370" s="5">
        <v>0</v>
      </c>
      <c r="O2370" s="5" t="str">
        <f t="shared" ca="1" si="36"/>
        <v>Supplier 97</v>
      </c>
      <c r="P2370" s="20" t="str">
        <f ca="1">IFERROR(VLOOKUP(O2370,EMAILS!B:C,2,FALSE),"NOT FOUND IN EMAILS")</f>
        <v>supplier@gmail.com</v>
      </c>
      <c r="Q2370" t="str">
        <f ca="1">""&amp;IFERROR(VLOOKUP(O2370,EMAILS!B:D,3,FALSE),"NOT FOUND IN EMAILS")</f>
        <v/>
      </c>
      <c r="R2370" t="str">
        <f ca="1">""&amp;IFERROR(VLOOKUP(O2370,EMAILS!B:E,4,FALSE),"NO T FOUND IN EMAILS")</f>
        <v/>
      </c>
    </row>
    <row r="2371" spans="2:18" x14ac:dyDescent="0.25">
      <c r="B2371" s="5" t="s">
        <v>2373</v>
      </c>
      <c r="C2371" s="5" t="s">
        <v>6513</v>
      </c>
      <c r="D2371" s="5">
        <v>0</v>
      </c>
      <c r="E2371" s="5">
        <v>0</v>
      </c>
      <c r="F2371" s="5">
        <v>0</v>
      </c>
      <c r="G2371" s="5">
        <v>0</v>
      </c>
      <c r="H2371" s="5">
        <v>0</v>
      </c>
      <c r="I2371" s="5">
        <v>0</v>
      </c>
      <c r="J2371" s="5">
        <v>0</v>
      </c>
      <c r="K2371" s="5">
        <v>0</v>
      </c>
      <c r="L2371" s="5">
        <v>0</v>
      </c>
      <c r="M2371" s="5">
        <v>0</v>
      </c>
      <c r="N2371" s="5">
        <v>0</v>
      </c>
      <c r="O2371" s="5" t="str">
        <f t="shared" ref="O2371:O2434" ca="1" si="37">"Supplier "&amp;RANDBETWEEN(1,200)</f>
        <v>Supplier 80</v>
      </c>
      <c r="P2371" s="20" t="str">
        <f ca="1">IFERROR(VLOOKUP(O2371,EMAILS!B:C,2,FALSE),"NOT FOUND IN EMAILS")</f>
        <v>supplier@gmail.com</v>
      </c>
      <c r="Q2371" t="str">
        <f ca="1">""&amp;IFERROR(VLOOKUP(O2371,EMAILS!B:D,3,FALSE),"NOT FOUND IN EMAILS")</f>
        <v/>
      </c>
      <c r="R2371" t="str">
        <f ca="1">""&amp;IFERROR(VLOOKUP(O2371,EMAILS!B:E,4,FALSE),"NO T FOUND IN EMAILS")</f>
        <v/>
      </c>
    </row>
    <row r="2372" spans="2:18" x14ac:dyDescent="0.25">
      <c r="B2372" s="5" t="s">
        <v>2374</v>
      </c>
      <c r="C2372" s="5" t="s">
        <v>6514</v>
      </c>
      <c r="D2372" s="5">
        <v>0</v>
      </c>
      <c r="E2372" s="5">
        <v>0</v>
      </c>
      <c r="F2372" s="5">
        <v>0</v>
      </c>
      <c r="G2372" s="5">
        <v>0</v>
      </c>
      <c r="H2372" s="5">
        <v>0</v>
      </c>
      <c r="I2372" s="5">
        <v>0</v>
      </c>
      <c r="J2372" s="5">
        <v>0</v>
      </c>
      <c r="K2372" s="5">
        <v>0</v>
      </c>
      <c r="L2372" s="5">
        <v>0</v>
      </c>
      <c r="M2372" s="5">
        <v>0</v>
      </c>
      <c r="N2372" s="5">
        <v>439</v>
      </c>
      <c r="O2372" s="5" t="str">
        <f t="shared" ca="1" si="37"/>
        <v>Supplier 169</v>
      </c>
      <c r="P2372" s="20" t="str">
        <f ca="1">IFERROR(VLOOKUP(O2372,EMAILS!B:C,2,FALSE),"NOT FOUND IN EMAILS")</f>
        <v>supplier@gmail.com</v>
      </c>
      <c r="Q2372" t="str">
        <f ca="1">""&amp;IFERROR(VLOOKUP(O2372,EMAILS!B:D,3,FALSE),"NOT FOUND IN EMAILS")</f>
        <v/>
      </c>
      <c r="R2372" t="str">
        <f ca="1">""&amp;IFERROR(VLOOKUP(O2372,EMAILS!B:E,4,FALSE),"NO T FOUND IN EMAILS")</f>
        <v/>
      </c>
    </row>
    <row r="2373" spans="2:18" x14ac:dyDescent="0.25">
      <c r="B2373" s="5" t="s">
        <v>2375</v>
      </c>
      <c r="C2373" s="5" t="s">
        <v>6515</v>
      </c>
      <c r="D2373" s="5">
        <v>14</v>
      </c>
      <c r="E2373" s="5">
        <v>18</v>
      </c>
      <c r="F2373" s="5">
        <v>24</v>
      </c>
      <c r="G2373" s="5">
        <v>20</v>
      </c>
      <c r="H2373" s="5">
        <v>20</v>
      </c>
      <c r="I2373" s="5">
        <v>18</v>
      </c>
      <c r="J2373" s="5">
        <v>14</v>
      </c>
      <c r="K2373" s="5">
        <v>8</v>
      </c>
      <c r="L2373" s="5">
        <v>8</v>
      </c>
      <c r="M2373" s="5">
        <v>0</v>
      </c>
      <c r="N2373" s="5">
        <v>202</v>
      </c>
      <c r="O2373" s="5" t="str">
        <f t="shared" ca="1" si="37"/>
        <v>Supplier 67</v>
      </c>
      <c r="P2373" s="20" t="str">
        <f ca="1">IFERROR(VLOOKUP(O2373,EMAILS!B:C,2,FALSE),"NOT FOUND IN EMAILS")</f>
        <v>supplier@gmail.com</v>
      </c>
      <c r="Q2373" t="str">
        <f ca="1">""&amp;IFERROR(VLOOKUP(O2373,EMAILS!B:D,3,FALSE),"NOT FOUND IN EMAILS")</f>
        <v/>
      </c>
      <c r="R2373" t="str">
        <f ca="1">""&amp;IFERROR(VLOOKUP(O2373,EMAILS!B:E,4,FALSE),"NO T FOUND IN EMAILS")</f>
        <v/>
      </c>
    </row>
    <row r="2374" spans="2:18" x14ac:dyDescent="0.25">
      <c r="B2374" s="5" t="s">
        <v>2376</v>
      </c>
      <c r="C2374" s="5" t="s">
        <v>6516</v>
      </c>
      <c r="D2374" s="5">
        <v>14</v>
      </c>
      <c r="E2374" s="5">
        <v>18</v>
      </c>
      <c r="F2374" s="5">
        <v>24</v>
      </c>
      <c r="G2374" s="5">
        <v>20</v>
      </c>
      <c r="H2374" s="5">
        <v>20</v>
      </c>
      <c r="I2374" s="5">
        <v>18</v>
      </c>
      <c r="J2374" s="5">
        <v>14</v>
      </c>
      <c r="K2374" s="5">
        <v>8</v>
      </c>
      <c r="L2374" s="5">
        <v>8</v>
      </c>
      <c r="M2374" s="5">
        <v>0</v>
      </c>
      <c r="N2374" s="5">
        <v>0</v>
      </c>
      <c r="O2374" s="5" t="str">
        <f t="shared" ca="1" si="37"/>
        <v>Supplier 153</v>
      </c>
      <c r="P2374" s="20" t="str">
        <f ca="1">IFERROR(VLOOKUP(O2374,EMAILS!B:C,2,FALSE),"NOT FOUND IN EMAILS")</f>
        <v>supplier@gmail.com</v>
      </c>
      <c r="Q2374" t="str">
        <f ca="1">""&amp;IFERROR(VLOOKUP(O2374,EMAILS!B:D,3,FALSE),"NOT FOUND IN EMAILS")</f>
        <v/>
      </c>
      <c r="R2374" t="str">
        <f ca="1">""&amp;IFERROR(VLOOKUP(O2374,EMAILS!B:E,4,FALSE),"NO T FOUND IN EMAILS")</f>
        <v/>
      </c>
    </row>
    <row r="2375" spans="2:18" x14ac:dyDescent="0.25">
      <c r="B2375" s="5" t="s">
        <v>2377</v>
      </c>
      <c r="C2375" s="5" t="s">
        <v>6517</v>
      </c>
      <c r="D2375" s="5">
        <v>0</v>
      </c>
      <c r="E2375" s="5">
        <v>0</v>
      </c>
      <c r="F2375" s="5">
        <v>0</v>
      </c>
      <c r="G2375" s="5">
        <v>0</v>
      </c>
      <c r="H2375" s="5">
        <v>0</v>
      </c>
      <c r="I2375" s="5">
        <v>0</v>
      </c>
      <c r="J2375" s="5">
        <v>0</v>
      </c>
      <c r="K2375" s="5">
        <v>0</v>
      </c>
      <c r="L2375" s="5">
        <v>0</v>
      </c>
      <c r="M2375" s="5">
        <v>0</v>
      </c>
      <c r="N2375" s="5">
        <v>0</v>
      </c>
      <c r="O2375" s="5" t="str">
        <f t="shared" ca="1" si="37"/>
        <v>Supplier 68</v>
      </c>
      <c r="P2375" s="20" t="str">
        <f ca="1">IFERROR(VLOOKUP(O2375,EMAILS!B:C,2,FALSE),"NOT FOUND IN EMAILS")</f>
        <v>supplier@gmail.com</v>
      </c>
      <c r="Q2375" t="str">
        <f ca="1">""&amp;IFERROR(VLOOKUP(O2375,EMAILS!B:D,3,FALSE),"NOT FOUND IN EMAILS")</f>
        <v/>
      </c>
      <c r="R2375" t="str">
        <f ca="1">""&amp;IFERROR(VLOOKUP(O2375,EMAILS!B:E,4,FALSE),"NO T FOUND IN EMAILS")</f>
        <v/>
      </c>
    </row>
    <row r="2376" spans="2:18" x14ac:dyDescent="0.25">
      <c r="B2376" s="5" t="s">
        <v>2378</v>
      </c>
      <c r="C2376" s="5" t="s">
        <v>6518</v>
      </c>
      <c r="D2376" s="5">
        <v>0</v>
      </c>
      <c r="E2376" s="5">
        <v>0</v>
      </c>
      <c r="F2376" s="5">
        <v>0</v>
      </c>
      <c r="G2376" s="5">
        <v>0.68</v>
      </c>
      <c r="H2376" s="5">
        <v>0</v>
      </c>
      <c r="I2376" s="5">
        <v>0</v>
      </c>
      <c r="J2376" s="5">
        <v>0</v>
      </c>
      <c r="K2376" s="5">
        <v>0</v>
      </c>
      <c r="L2376" s="5">
        <v>0</v>
      </c>
      <c r="M2376" s="5">
        <v>0</v>
      </c>
      <c r="N2376" s="5">
        <v>491</v>
      </c>
      <c r="O2376" s="5" t="str">
        <f t="shared" ca="1" si="37"/>
        <v>Supplier 77</v>
      </c>
      <c r="P2376" s="20" t="str">
        <f ca="1">IFERROR(VLOOKUP(O2376,EMAILS!B:C,2,FALSE),"NOT FOUND IN EMAILS")</f>
        <v>supplier@gmail.com</v>
      </c>
      <c r="Q2376" t="str">
        <f ca="1">""&amp;IFERROR(VLOOKUP(O2376,EMAILS!B:D,3,FALSE),"NOT FOUND IN EMAILS")</f>
        <v/>
      </c>
      <c r="R2376" t="str">
        <f ca="1">""&amp;IFERROR(VLOOKUP(O2376,EMAILS!B:E,4,FALSE),"NO T FOUND IN EMAILS")</f>
        <v/>
      </c>
    </row>
    <row r="2377" spans="2:18" x14ac:dyDescent="0.25">
      <c r="B2377" s="5" t="s">
        <v>2379</v>
      </c>
      <c r="C2377" s="5" t="s">
        <v>6519</v>
      </c>
      <c r="D2377" s="5">
        <v>19</v>
      </c>
      <c r="E2377" s="5">
        <v>27</v>
      </c>
      <c r="F2377" s="5">
        <v>34</v>
      </c>
      <c r="G2377" s="5">
        <v>58</v>
      </c>
      <c r="H2377" s="5">
        <v>58</v>
      </c>
      <c r="I2377" s="5">
        <v>55</v>
      </c>
      <c r="J2377" s="5">
        <v>33</v>
      </c>
      <c r="K2377" s="5">
        <v>44</v>
      </c>
      <c r="L2377" s="5">
        <v>36</v>
      </c>
      <c r="M2377" s="5">
        <v>0</v>
      </c>
      <c r="N2377" s="5">
        <v>756</v>
      </c>
      <c r="O2377" s="5" t="str">
        <f t="shared" ca="1" si="37"/>
        <v>Supplier 6</v>
      </c>
      <c r="P2377" s="20" t="str">
        <f ca="1">IFERROR(VLOOKUP(O2377,EMAILS!B:C,2,FALSE),"NOT FOUND IN EMAILS")</f>
        <v>supplier@gmail.com</v>
      </c>
      <c r="Q2377" t="str">
        <f ca="1">""&amp;IFERROR(VLOOKUP(O2377,EMAILS!B:D,3,FALSE),"NOT FOUND IN EMAILS")</f>
        <v>supplier_logistics@gmail.com</v>
      </c>
      <c r="R2377" t="str">
        <f ca="1">""&amp;IFERROR(VLOOKUP(O2377,EMAILS!B:E,4,FALSE),"NO T FOUND IN EMAILS")</f>
        <v/>
      </c>
    </row>
    <row r="2378" spans="2:18" x14ac:dyDescent="0.25">
      <c r="B2378" s="5" t="s">
        <v>2380</v>
      </c>
      <c r="C2378" s="5" t="s">
        <v>6520</v>
      </c>
      <c r="D2378" s="5">
        <v>28</v>
      </c>
      <c r="E2378" s="5">
        <v>36</v>
      </c>
      <c r="F2378" s="5">
        <v>48</v>
      </c>
      <c r="G2378" s="5">
        <v>40</v>
      </c>
      <c r="H2378" s="5">
        <v>40</v>
      </c>
      <c r="I2378" s="5">
        <v>36</v>
      </c>
      <c r="J2378" s="5">
        <v>28</v>
      </c>
      <c r="K2378" s="5">
        <v>16</v>
      </c>
      <c r="L2378" s="5">
        <v>16</v>
      </c>
      <c r="M2378" s="5">
        <v>0</v>
      </c>
      <c r="N2378" s="5">
        <v>1500</v>
      </c>
      <c r="O2378" s="5" t="str">
        <f t="shared" ca="1" si="37"/>
        <v>Supplier 174</v>
      </c>
      <c r="P2378" s="20" t="str">
        <f ca="1">IFERROR(VLOOKUP(O2378,EMAILS!B:C,2,FALSE),"NOT FOUND IN EMAILS")</f>
        <v>supplier@gmail.com</v>
      </c>
      <c r="Q2378" t="str">
        <f ca="1">""&amp;IFERROR(VLOOKUP(O2378,EMAILS!B:D,3,FALSE),"NOT FOUND IN EMAILS")</f>
        <v/>
      </c>
      <c r="R2378" t="str">
        <f ca="1">""&amp;IFERROR(VLOOKUP(O2378,EMAILS!B:E,4,FALSE),"NO T FOUND IN EMAILS")</f>
        <v/>
      </c>
    </row>
    <row r="2379" spans="2:18" x14ac:dyDescent="0.25">
      <c r="B2379" s="5" t="s">
        <v>2381</v>
      </c>
      <c r="C2379" s="5" t="s">
        <v>6521</v>
      </c>
      <c r="D2379" s="5">
        <v>468</v>
      </c>
      <c r="E2379" s="5">
        <v>468</v>
      </c>
      <c r="F2379" s="5">
        <v>504</v>
      </c>
      <c r="G2379" s="5">
        <v>396</v>
      </c>
      <c r="H2379" s="5">
        <v>486</v>
      </c>
      <c r="I2379" s="5">
        <v>432</v>
      </c>
      <c r="J2379" s="5">
        <v>396</v>
      </c>
      <c r="K2379" s="5">
        <v>396</v>
      </c>
      <c r="L2379" s="5">
        <v>324</v>
      </c>
      <c r="M2379" s="5">
        <v>0</v>
      </c>
      <c r="N2379" s="5">
        <v>0</v>
      </c>
      <c r="O2379" s="5" t="str">
        <f t="shared" ca="1" si="37"/>
        <v>Supplier 64</v>
      </c>
      <c r="P2379" s="20" t="str">
        <f ca="1">IFERROR(VLOOKUP(O2379,EMAILS!B:C,2,FALSE),"NOT FOUND IN EMAILS")</f>
        <v>supplier@gmail.com</v>
      </c>
      <c r="Q2379" t="str">
        <f ca="1">""&amp;IFERROR(VLOOKUP(O2379,EMAILS!B:D,3,FALSE),"NOT FOUND IN EMAILS")</f>
        <v/>
      </c>
      <c r="R2379" t="str">
        <f ca="1">""&amp;IFERROR(VLOOKUP(O2379,EMAILS!B:E,4,FALSE),"NO T FOUND IN EMAILS")</f>
        <v/>
      </c>
    </row>
    <row r="2380" spans="2:18" x14ac:dyDescent="0.25">
      <c r="B2380" s="5" t="s">
        <v>2382</v>
      </c>
      <c r="C2380" s="5" t="s">
        <v>6522</v>
      </c>
      <c r="D2380" s="5">
        <v>168</v>
      </c>
      <c r="E2380" s="5">
        <v>162</v>
      </c>
      <c r="F2380" s="5">
        <v>180</v>
      </c>
      <c r="G2380" s="5">
        <v>144</v>
      </c>
      <c r="H2380" s="5">
        <v>174</v>
      </c>
      <c r="I2380" s="5">
        <v>156</v>
      </c>
      <c r="J2380" s="5">
        <v>144</v>
      </c>
      <c r="K2380" s="5">
        <v>132</v>
      </c>
      <c r="L2380" s="5">
        <v>108</v>
      </c>
      <c r="M2380" s="5">
        <v>0</v>
      </c>
      <c r="N2380" s="5">
        <v>0</v>
      </c>
      <c r="O2380" s="5" t="str">
        <f t="shared" ca="1" si="37"/>
        <v>Supplier 191</v>
      </c>
      <c r="P2380" s="20" t="str">
        <f ca="1">IFERROR(VLOOKUP(O2380,EMAILS!B:C,2,FALSE),"NOT FOUND IN EMAILS")</f>
        <v>supplier@gmail.com</v>
      </c>
      <c r="Q2380" t="str">
        <f ca="1">""&amp;IFERROR(VLOOKUP(O2380,EMAILS!B:D,3,FALSE),"NOT FOUND IN EMAILS")</f>
        <v/>
      </c>
      <c r="R2380" t="str">
        <f ca="1">""&amp;IFERROR(VLOOKUP(O2380,EMAILS!B:E,4,FALSE),"NO T FOUND IN EMAILS")</f>
        <v/>
      </c>
    </row>
    <row r="2381" spans="2:18" x14ac:dyDescent="0.25">
      <c r="B2381" s="5" t="s">
        <v>2383</v>
      </c>
      <c r="C2381" s="5" t="s">
        <v>6523</v>
      </c>
      <c r="D2381" s="5">
        <v>0</v>
      </c>
      <c r="E2381" s="5">
        <v>0</v>
      </c>
      <c r="F2381" s="5">
        <v>0</v>
      </c>
      <c r="G2381" s="5">
        <v>32</v>
      </c>
      <c r="H2381" s="5">
        <v>32</v>
      </c>
      <c r="I2381" s="5">
        <v>32</v>
      </c>
      <c r="J2381" s="5">
        <v>16</v>
      </c>
      <c r="K2381" s="5">
        <v>32</v>
      </c>
      <c r="L2381" s="5">
        <v>24</v>
      </c>
      <c r="M2381" s="5">
        <v>0</v>
      </c>
      <c r="N2381" s="5">
        <v>0</v>
      </c>
      <c r="O2381" s="5" t="str">
        <f t="shared" ca="1" si="37"/>
        <v>Supplier 157</v>
      </c>
      <c r="P2381" s="20" t="str">
        <f ca="1">IFERROR(VLOOKUP(O2381,EMAILS!B:C,2,FALSE),"NOT FOUND IN EMAILS")</f>
        <v>supplier@gmail.com</v>
      </c>
      <c r="Q2381" t="str">
        <f ca="1">""&amp;IFERROR(VLOOKUP(O2381,EMAILS!B:D,3,FALSE),"NOT FOUND IN EMAILS")</f>
        <v/>
      </c>
      <c r="R2381" t="str">
        <f ca="1">""&amp;IFERROR(VLOOKUP(O2381,EMAILS!B:E,4,FALSE),"NO T FOUND IN EMAILS")</f>
        <v/>
      </c>
    </row>
    <row r="2382" spans="2:18" x14ac:dyDescent="0.25">
      <c r="B2382" s="5" t="s">
        <v>2384</v>
      </c>
      <c r="C2382" s="5" t="s">
        <v>6524</v>
      </c>
      <c r="D2382" s="5">
        <v>0</v>
      </c>
      <c r="E2382" s="5">
        <v>0</v>
      </c>
      <c r="F2382" s="5">
        <v>0</v>
      </c>
      <c r="G2382" s="5">
        <v>0</v>
      </c>
      <c r="H2382" s="5">
        <v>0</v>
      </c>
      <c r="I2382" s="5">
        <v>0</v>
      </c>
      <c r="J2382" s="5">
        <v>0</v>
      </c>
      <c r="K2382" s="5">
        <v>0</v>
      </c>
      <c r="L2382" s="5">
        <v>0</v>
      </c>
      <c r="M2382" s="5">
        <v>0</v>
      </c>
      <c r="N2382" s="5">
        <v>60</v>
      </c>
      <c r="O2382" s="5" t="str">
        <f t="shared" ca="1" si="37"/>
        <v>Supplier 42</v>
      </c>
      <c r="P2382" s="20" t="str">
        <f ca="1">IFERROR(VLOOKUP(O2382,EMAILS!B:C,2,FALSE),"NOT FOUND IN EMAILS")</f>
        <v>supplier@gmail.com</v>
      </c>
      <c r="Q2382" t="str">
        <f ca="1">""&amp;IFERROR(VLOOKUP(O2382,EMAILS!B:D,3,FALSE),"NOT FOUND IN EMAILS")</f>
        <v/>
      </c>
      <c r="R2382" t="str">
        <f ca="1">""&amp;IFERROR(VLOOKUP(O2382,EMAILS!B:E,4,FALSE),"NO T FOUND IN EMAILS")</f>
        <v/>
      </c>
    </row>
    <row r="2383" spans="2:18" x14ac:dyDescent="0.25">
      <c r="B2383" s="5" t="s">
        <v>2385</v>
      </c>
      <c r="C2383" s="5" t="s">
        <v>6525</v>
      </c>
      <c r="D2383" s="5">
        <v>100</v>
      </c>
      <c r="E2383" s="5">
        <v>0</v>
      </c>
      <c r="F2383" s="5">
        <v>30</v>
      </c>
      <c r="G2383" s="5">
        <v>10</v>
      </c>
      <c r="H2383" s="5">
        <v>30</v>
      </c>
      <c r="I2383" s="5">
        <v>0</v>
      </c>
      <c r="J2383" s="5">
        <v>10</v>
      </c>
      <c r="K2383" s="5">
        <v>0</v>
      </c>
      <c r="L2383" s="5">
        <v>0</v>
      </c>
      <c r="M2383" s="5">
        <v>0</v>
      </c>
      <c r="N2383" s="5">
        <v>55</v>
      </c>
      <c r="O2383" s="5" t="str">
        <f t="shared" ca="1" si="37"/>
        <v>Supplier 42</v>
      </c>
      <c r="P2383" s="20" t="str">
        <f ca="1">IFERROR(VLOOKUP(O2383,EMAILS!B:C,2,FALSE),"NOT FOUND IN EMAILS")</f>
        <v>supplier@gmail.com</v>
      </c>
      <c r="Q2383" t="str">
        <f ca="1">""&amp;IFERROR(VLOOKUP(O2383,EMAILS!B:D,3,FALSE),"NOT FOUND IN EMAILS")</f>
        <v/>
      </c>
      <c r="R2383" t="str">
        <f ca="1">""&amp;IFERROR(VLOOKUP(O2383,EMAILS!B:E,4,FALSE),"NO T FOUND IN EMAILS")</f>
        <v/>
      </c>
    </row>
    <row r="2384" spans="2:18" x14ac:dyDescent="0.25">
      <c r="B2384" s="5" t="s">
        <v>2386</v>
      </c>
      <c r="C2384" s="5" t="s">
        <v>6526</v>
      </c>
      <c r="D2384" s="5">
        <v>0</v>
      </c>
      <c r="E2384" s="5">
        <v>0</v>
      </c>
      <c r="F2384" s="5">
        <v>0</v>
      </c>
      <c r="G2384" s="5">
        <v>0</v>
      </c>
      <c r="H2384" s="5">
        <v>0</v>
      </c>
      <c r="I2384" s="5">
        <v>0</v>
      </c>
      <c r="J2384" s="5">
        <v>0</v>
      </c>
      <c r="K2384" s="5">
        <v>50</v>
      </c>
      <c r="L2384" s="5">
        <v>0</v>
      </c>
      <c r="M2384" s="5">
        <v>0</v>
      </c>
      <c r="N2384" s="5">
        <v>57</v>
      </c>
      <c r="O2384" s="5" t="str">
        <f t="shared" ca="1" si="37"/>
        <v>Supplier 196</v>
      </c>
      <c r="P2384" s="20" t="str">
        <f ca="1">IFERROR(VLOOKUP(O2384,EMAILS!B:C,2,FALSE),"NOT FOUND IN EMAILS")</f>
        <v>supplier@gmail.com</v>
      </c>
      <c r="Q2384" t="str">
        <f ca="1">""&amp;IFERROR(VLOOKUP(O2384,EMAILS!B:D,3,FALSE),"NOT FOUND IN EMAILS")</f>
        <v/>
      </c>
      <c r="R2384" t="str">
        <f ca="1">""&amp;IFERROR(VLOOKUP(O2384,EMAILS!B:E,4,FALSE),"NO T FOUND IN EMAILS")</f>
        <v/>
      </c>
    </row>
    <row r="2385" spans="2:18" x14ac:dyDescent="0.25">
      <c r="B2385" s="5" t="s">
        <v>2387</v>
      </c>
      <c r="C2385" s="5" t="s">
        <v>6527</v>
      </c>
      <c r="D2385" s="5">
        <v>0</v>
      </c>
      <c r="E2385" s="5">
        <v>0</v>
      </c>
      <c r="F2385" s="5">
        <v>0</v>
      </c>
      <c r="G2385" s="5">
        <v>0</v>
      </c>
      <c r="H2385" s="5">
        <v>50</v>
      </c>
      <c r="I2385" s="5">
        <v>0</v>
      </c>
      <c r="J2385" s="5">
        <v>0</v>
      </c>
      <c r="K2385" s="5">
        <v>0</v>
      </c>
      <c r="L2385" s="5">
        <v>0</v>
      </c>
      <c r="M2385" s="5">
        <v>0</v>
      </c>
      <c r="N2385" s="5">
        <v>160</v>
      </c>
      <c r="O2385" s="5" t="str">
        <f t="shared" ca="1" si="37"/>
        <v>Supplier 94</v>
      </c>
      <c r="P2385" s="20" t="str">
        <f ca="1">IFERROR(VLOOKUP(O2385,EMAILS!B:C,2,FALSE),"NOT FOUND IN EMAILS")</f>
        <v>supplier@gmail.com</v>
      </c>
      <c r="Q2385" t="str">
        <f ca="1">""&amp;IFERROR(VLOOKUP(O2385,EMAILS!B:D,3,FALSE),"NOT FOUND IN EMAILS")</f>
        <v/>
      </c>
      <c r="R2385" t="str">
        <f ca="1">""&amp;IFERROR(VLOOKUP(O2385,EMAILS!B:E,4,FALSE),"NO T FOUND IN EMAILS")</f>
        <v/>
      </c>
    </row>
    <row r="2386" spans="2:18" x14ac:dyDescent="0.25">
      <c r="B2386" s="5" t="s">
        <v>2388</v>
      </c>
      <c r="C2386" s="5" t="s">
        <v>6528</v>
      </c>
      <c r="D2386" s="5">
        <v>0</v>
      </c>
      <c r="E2386" s="5">
        <v>10</v>
      </c>
      <c r="F2386" s="5">
        <v>30</v>
      </c>
      <c r="G2386" s="5">
        <v>30</v>
      </c>
      <c r="H2386" s="5">
        <v>0</v>
      </c>
      <c r="I2386" s="5">
        <v>40</v>
      </c>
      <c r="J2386" s="5">
        <v>10</v>
      </c>
      <c r="K2386" s="5">
        <v>0</v>
      </c>
      <c r="L2386" s="5">
        <v>70</v>
      </c>
      <c r="M2386" s="5">
        <v>0</v>
      </c>
      <c r="N2386" s="5">
        <v>23</v>
      </c>
      <c r="O2386" s="5" t="str">
        <f t="shared" ca="1" si="37"/>
        <v>Supplier 114</v>
      </c>
      <c r="P2386" s="20" t="str">
        <f ca="1">IFERROR(VLOOKUP(O2386,EMAILS!B:C,2,FALSE),"NOT FOUND IN EMAILS")</f>
        <v>supplier@gmail.com</v>
      </c>
      <c r="Q2386" t="str">
        <f ca="1">""&amp;IFERROR(VLOOKUP(O2386,EMAILS!B:D,3,FALSE),"NOT FOUND IN EMAILS")</f>
        <v/>
      </c>
      <c r="R2386" t="str">
        <f ca="1">""&amp;IFERROR(VLOOKUP(O2386,EMAILS!B:E,4,FALSE),"NO T FOUND IN EMAILS")</f>
        <v/>
      </c>
    </row>
    <row r="2387" spans="2:18" x14ac:dyDescent="0.25">
      <c r="B2387" s="5" t="s">
        <v>2389</v>
      </c>
      <c r="C2387" s="5" t="s">
        <v>6529</v>
      </c>
      <c r="D2387" s="5">
        <v>18</v>
      </c>
      <c r="E2387" s="5">
        <v>17</v>
      </c>
      <c r="F2387" s="5">
        <v>8</v>
      </c>
      <c r="G2387" s="5">
        <v>34</v>
      </c>
      <c r="H2387" s="5">
        <v>12</v>
      </c>
      <c r="I2387" s="5">
        <v>11</v>
      </c>
      <c r="J2387" s="5">
        <v>10</v>
      </c>
      <c r="K2387" s="5">
        <v>14</v>
      </c>
      <c r="L2387" s="5">
        <v>12</v>
      </c>
      <c r="M2387" s="5">
        <v>0</v>
      </c>
      <c r="N2387" s="5">
        <v>47</v>
      </c>
      <c r="O2387" s="5" t="str">
        <f t="shared" ca="1" si="37"/>
        <v>Supplier 77</v>
      </c>
      <c r="P2387" s="20" t="str">
        <f ca="1">IFERROR(VLOOKUP(O2387,EMAILS!B:C,2,FALSE),"NOT FOUND IN EMAILS")</f>
        <v>supplier@gmail.com</v>
      </c>
      <c r="Q2387" t="str">
        <f ca="1">""&amp;IFERROR(VLOOKUP(O2387,EMAILS!B:D,3,FALSE),"NOT FOUND IN EMAILS")</f>
        <v/>
      </c>
      <c r="R2387" t="str">
        <f ca="1">""&amp;IFERROR(VLOOKUP(O2387,EMAILS!B:E,4,FALSE),"NO T FOUND IN EMAILS")</f>
        <v/>
      </c>
    </row>
    <row r="2388" spans="2:18" x14ac:dyDescent="0.25">
      <c r="B2388" s="5" t="s">
        <v>2390</v>
      </c>
      <c r="C2388" s="5" t="s">
        <v>6530</v>
      </c>
      <c r="D2388" s="5">
        <v>6</v>
      </c>
      <c r="E2388" s="5">
        <v>0</v>
      </c>
      <c r="F2388" s="5">
        <v>1</v>
      </c>
      <c r="G2388" s="5">
        <v>2</v>
      </c>
      <c r="H2388" s="5">
        <v>1</v>
      </c>
      <c r="I2388" s="5">
        <v>0</v>
      </c>
      <c r="J2388" s="5">
        <v>1</v>
      </c>
      <c r="K2388" s="5">
        <v>1</v>
      </c>
      <c r="L2388" s="5">
        <v>0</v>
      </c>
      <c r="M2388" s="5">
        <v>0</v>
      </c>
      <c r="N2388" s="5">
        <v>1190</v>
      </c>
      <c r="O2388" s="5" t="str">
        <f t="shared" ca="1" si="37"/>
        <v>Supplier 56</v>
      </c>
      <c r="P2388" s="20" t="str">
        <f ca="1">IFERROR(VLOOKUP(O2388,EMAILS!B:C,2,FALSE),"NOT FOUND IN EMAILS")</f>
        <v>supplier@gmail.com</v>
      </c>
      <c r="Q2388" t="str">
        <f ca="1">""&amp;IFERROR(VLOOKUP(O2388,EMAILS!B:D,3,FALSE),"NOT FOUND IN EMAILS")</f>
        <v/>
      </c>
      <c r="R2388" t="str">
        <f ca="1">""&amp;IFERROR(VLOOKUP(O2388,EMAILS!B:E,4,FALSE),"NO T FOUND IN EMAILS")</f>
        <v/>
      </c>
    </row>
    <row r="2389" spans="2:18" x14ac:dyDescent="0.25">
      <c r="B2389" s="5" t="s">
        <v>2391</v>
      </c>
      <c r="C2389" s="5" t="s">
        <v>6531</v>
      </c>
      <c r="D2389" s="5">
        <v>0</v>
      </c>
      <c r="E2389" s="5">
        <v>0</v>
      </c>
      <c r="F2389" s="5">
        <v>0</v>
      </c>
      <c r="G2389" s="5">
        <v>0</v>
      </c>
      <c r="H2389" s="5">
        <v>280</v>
      </c>
      <c r="I2389" s="5">
        <v>248</v>
      </c>
      <c r="J2389" s="5">
        <v>0</v>
      </c>
      <c r="K2389" s="5">
        <v>160</v>
      </c>
      <c r="L2389" s="5">
        <v>0</v>
      </c>
      <c r="M2389" s="5">
        <v>0</v>
      </c>
      <c r="N2389" s="5">
        <v>9296</v>
      </c>
      <c r="O2389" s="5" t="str">
        <f t="shared" ca="1" si="37"/>
        <v>Supplier 50</v>
      </c>
      <c r="P2389" s="20" t="str">
        <f ca="1">IFERROR(VLOOKUP(O2389,EMAILS!B:C,2,FALSE),"NOT FOUND IN EMAILS")</f>
        <v>supplier@gmail.com</v>
      </c>
      <c r="Q2389" t="str">
        <f ca="1">""&amp;IFERROR(VLOOKUP(O2389,EMAILS!B:D,3,FALSE),"NOT FOUND IN EMAILS")</f>
        <v/>
      </c>
      <c r="R2389" t="str">
        <f ca="1">""&amp;IFERROR(VLOOKUP(O2389,EMAILS!B:E,4,FALSE),"NO T FOUND IN EMAILS")</f>
        <v/>
      </c>
    </row>
    <row r="2390" spans="2:18" x14ac:dyDescent="0.25">
      <c r="B2390" s="5" t="s">
        <v>2392</v>
      </c>
      <c r="C2390" s="5" t="s">
        <v>6532</v>
      </c>
      <c r="D2390" s="5">
        <v>546</v>
      </c>
      <c r="E2390" s="5">
        <v>210</v>
      </c>
      <c r="F2390" s="5">
        <v>394</v>
      </c>
      <c r="G2390" s="5">
        <v>394</v>
      </c>
      <c r="H2390" s="5">
        <v>394</v>
      </c>
      <c r="I2390" s="5">
        <v>394</v>
      </c>
      <c r="J2390" s="5">
        <v>394</v>
      </c>
      <c r="K2390" s="5">
        <v>394</v>
      </c>
      <c r="L2390" s="5">
        <v>394</v>
      </c>
      <c r="M2390" s="5">
        <v>0</v>
      </c>
      <c r="N2390" s="5">
        <v>11</v>
      </c>
      <c r="O2390" s="5" t="str">
        <f t="shared" ca="1" si="37"/>
        <v>Supplier 135</v>
      </c>
      <c r="P2390" s="20" t="str">
        <f ca="1">IFERROR(VLOOKUP(O2390,EMAILS!B:C,2,FALSE),"NOT FOUND IN EMAILS")</f>
        <v>supplier@gmail.com</v>
      </c>
      <c r="Q2390" t="str">
        <f ca="1">""&amp;IFERROR(VLOOKUP(O2390,EMAILS!B:D,3,FALSE),"NOT FOUND IN EMAILS")</f>
        <v/>
      </c>
      <c r="R2390" t="str">
        <f ca="1">""&amp;IFERROR(VLOOKUP(O2390,EMAILS!B:E,4,FALSE),"NO T FOUND IN EMAILS")</f>
        <v/>
      </c>
    </row>
    <row r="2391" spans="2:18" x14ac:dyDescent="0.25">
      <c r="B2391" s="5" t="s">
        <v>2393</v>
      </c>
      <c r="C2391" s="5" t="s">
        <v>6533</v>
      </c>
      <c r="D2391" s="5">
        <v>0</v>
      </c>
      <c r="E2391" s="5">
        <v>0</v>
      </c>
      <c r="F2391" s="5">
        <v>0</v>
      </c>
      <c r="G2391" s="5">
        <v>0</v>
      </c>
      <c r="H2391" s="5">
        <v>0</v>
      </c>
      <c r="I2391" s="5">
        <v>0</v>
      </c>
      <c r="J2391" s="5">
        <v>0</v>
      </c>
      <c r="K2391" s="5">
        <v>0</v>
      </c>
      <c r="L2391" s="5">
        <v>0</v>
      </c>
      <c r="M2391" s="5">
        <v>0</v>
      </c>
      <c r="N2391" s="5">
        <v>0</v>
      </c>
      <c r="O2391" s="5" t="str">
        <f t="shared" ca="1" si="37"/>
        <v>Supplier 184</v>
      </c>
      <c r="P2391" s="20" t="str">
        <f ca="1">IFERROR(VLOOKUP(O2391,EMAILS!B:C,2,FALSE),"NOT FOUND IN EMAILS")</f>
        <v>supplier@gmail.com</v>
      </c>
      <c r="Q2391" t="str">
        <f ca="1">""&amp;IFERROR(VLOOKUP(O2391,EMAILS!B:D,3,FALSE),"NOT FOUND IN EMAILS")</f>
        <v/>
      </c>
      <c r="R2391" t="str">
        <f ca="1">""&amp;IFERROR(VLOOKUP(O2391,EMAILS!B:E,4,FALSE),"NO T FOUND IN EMAILS")</f>
        <v/>
      </c>
    </row>
    <row r="2392" spans="2:18" x14ac:dyDescent="0.25">
      <c r="B2392" s="5" t="s">
        <v>2394</v>
      </c>
      <c r="C2392" s="5" t="s">
        <v>6534</v>
      </c>
      <c r="D2392" s="5">
        <v>0</v>
      </c>
      <c r="E2392" s="5">
        <v>0</v>
      </c>
      <c r="F2392" s="5">
        <v>0</v>
      </c>
      <c r="G2392" s="5">
        <v>0</v>
      </c>
      <c r="H2392" s="5">
        <v>0</v>
      </c>
      <c r="I2392" s="5">
        <v>0</v>
      </c>
      <c r="J2392" s="5">
        <v>0</v>
      </c>
      <c r="K2392" s="5">
        <v>0</v>
      </c>
      <c r="L2392" s="5">
        <v>0</v>
      </c>
      <c r="M2392" s="5">
        <v>0</v>
      </c>
      <c r="N2392" s="5">
        <v>23</v>
      </c>
      <c r="O2392" s="5" t="str">
        <f t="shared" ca="1" si="37"/>
        <v>Supplier 9</v>
      </c>
      <c r="P2392" s="20" t="str">
        <f ca="1">IFERROR(VLOOKUP(O2392,EMAILS!B:C,2,FALSE),"NOT FOUND IN EMAILS")</f>
        <v>supplier@gmail.com</v>
      </c>
      <c r="Q2392" t="str">
        <f ca="1">""&amp;IFERROR(VLOOKUP(O2392,EMAILS!B:D,3,FALSE),"NOT FOUND IN EMAILS")</f>
        <v>supplier_logistics@gmail.com</v>
      </c>
      <c r="R2392" t="str">
        <f ca="1">""&amp;IFERROR(VLOOKUP(O2392,EMAILS!B:E,4,FALSE),"NO T FOUND IN EMAILS")</f>
        <v/>
      </c>
    </row>
    <row r="2393" spans="2:18" x14ac:dyDescent="0.25">
      <c r="B2393" s="5" t="s">
        <v>2395</v>
      </c>
      <c r="C2393" s="5" t="s">
        <v>6535</v>
      </c>
      <c r="D2393" s="5">
        <v>0</v>
      </c>
      <c r="E2393" s="5">
        <v>0</v>
      </c>
      <c r="F2393" s="5">
        <v>0</v>
      </c>
      <c r="G2393" s="5">
        <v>0</v>
      </c>
      <c r="H2393" s="5">
        <v>0</v>
      </c>
      <c r="I2393" s="5">
        <v>0</v>
      </c>
      <c r="J2393" s="5">
        <v>0</v>
      </c>
      <c r="K2393" s="5">
        <v>0</v>
      </c>
      <c r="L2393" s="5">
        <v>0</v>
      </c>
      <c r="M2393" s="5">
        <v>0</v>
      </c>
      <c r="N2393" s="5">
        <v>46</v>
      </c>
      <c r="O2393" s="5" t="str">
        <f t="shared" ca="1" si="37"/>
        <v>Supplier 78</v>
      </c>
      <c r="P2393" s="20" t="str">
        <f ca="1">IFERROR(VLOOKUP(O2393,EMAILS!B:C,2,FALSE),"NOT FOUND IN EMAILS")</f>
        <v>supplier@gmail.com</v>
      </c>
      <c r="Q2393" t="str">
        <f ca="1">""&amp;IFERROR(VLOOKUP(O2393,EMAILS!B:D,3,FALSE),"NOT FOUND IN EMAILS")</f>
        <v/>
      </c>
      <c r="R2393" t="str">
        <f ca="1">""&amp;IFERROR(VLOOKUP(O2393,EMAILS!B:E,4,FALSE),"NO T FOUND IN EMAILS")</f>
        <v/>
      </c>
    </row>
    <row r="2394" spans="2:18" x14ac:dyDescent="0.25">
      <c r="B2394" s="5" t="s">
        <v>2396</v>
      </c>
      <c r="C2394" s="5" t="s">
        <v>6536</v>
      </c>
      <c r="D2394" s="5">
        <v>0</v>
      </c>
      <c r="E2394" s="5">
        <v>0</v>
      </c>
      <c r="F2394" s="5">
        <v>0</v>
      </c>
      <c r="G2394" s="5">
        <v>0</v>
      </c>
      <c r="H2394" s="5">
        <v>0</v>
      </c>
      <c r="I2394" s="5">
        <v>0</v>
      </c>
      <c r="J2394" s="5">
        <v>0</v>
      </c>
      <c r="K2394" s="5">
        <v>0</v>
      </c>
      <c r="L2394" s="5">
        <v>0</v>
      </c>
      <c r="M2394" s="5">
        <v>0</v>
      </c>
      <c r="N2394" s="5">
        <v>21</v>
      </c>
      <c r="O2394" s="5" t="str">
        <f t="shared" ca="1" si="37"/>
        <v>Supplier 112</v>
      </c>
      <c r="P2394" s="20" t="str">
        <f ca="1">IFERROR(VLOOKUP(O2394,EMAILS!B:C,2,FALSE),"NOT FOUND IN EMAILS")</f>
        <v>supplier@gmail.com</v>
      </c>
      <c r="Q2394" t="str">
        <f ca="1">""&amp;IFERROR(VLOOKUP(O2394,EMAILS!B:D,3,FALSE),"NOT FOUND IN EMAILS")</f>
        <v/>
      </c>
      <c r="R2394" t="str">
        <f ca="1">""&amp;IFERROR(VLOOKUP(O2394,EMAILS!B:E,4,FALSE),"NO T FOUND IN EMAILS")</f>
        <v/>
      </c>
    </row>
    <row r="2395" spans="2:18" x14ac:dyDescent="0.25">
      <c r="B2395" s="5" t="s">
        <v>2397</v>
      </c>
      <c r="C2395" s="5" t="s">
        <v>6537</v>
      </c>
      <c r="D2395" s="5">
        <v>0</v>
      </c>
      <c r="E2395" s="5">
        <v>0</v>
      </c>
      <c r="F2395" s="5">
        <v>0</v>
      </c>
      <c r="G2395" s="5">
        <v>0</v>
      </c>
      <c r="H2395" s="5">
        <v>0</v>
      </c>
      <c r="I2395" s="5">
        <v>0</v>
      </c>
      <c r="J2395" s="5">
        <v>0</v>
      </c>
      <c r="K2395" s="5">
        <v>0</v>
      </c>
      <c r="L2395" s="5">
        <v>0</v>
      </c>
      <c r="M2395" s="5">
        <v>0</v>
      </c>
      <c r="N2395" s="5">
        <v>47</v>
      </c>
      <c r="O2395" s="5" t="str">
        <f t="shared" ca="1" si="37"/>
        <v>Supplier 150</v>
      </c>
      <c r="P2395" s="20" t="str">
        <f ca="1">IFERROR(VLOOKUP(O2395,EMAILS!B:C,2,FALSE),"NOT FOUND IN EMAILS")</f>
        <v>supplier@gmail.com</v>
      </c>
      <c r="Q2395" t="str">
        <f ca="1">""&amp;IFERROR(VLOOKUP(O2395,EMAILS!B:D,3,FALSE),"NOT FOUND IN EMAILS")</f>
        <v/>
      </c>
      <c r="R2395" t="str">
        <f ca="1">""&amp;IFERROR(VLOOKUP(O2395,EMAILS!B:E,4,FALSE),"NO T FOUND IN EMAILS")</f>
        <v/>
      </c>
    </row>
    <row r="2396" spans="2:18" x14ac:dyDescent="0.25">
      <c r="B2396" s="5" t="s">
        <v>2398</v>
      </c>
      <c r="C2396" s="5" t="s">
        <v>6538</v>
      </c>
      <c r="D2396" s="5">
        <v>0</v>
      </c>
      <c r="E2396" s="5">
        <v>0</v>
      </c>
      <c r="F2396" s="5">
        <v>0</v>
      </c>
      <c r="G2396" s="5">
        <v>0</v>
      </c>
      <c r="H2396" s="5">
        <v>0</v>
      </c>
      <c r="I2396" s="5">
        <v>0</v>
      </c>
      <c r="J2396" s="5">
        <v>0</v>
      </c>
      <c r="K2396" s="5">
        <v>0</v>
      </c>
      <c r="L2396" s="5">
        <v>0</v>
      </c>
      <c r="M2396" s="5">
        <v>0</v>
      </c>
      <c r="N2396" s="5">
        <v>0</v>
      </c>
      <c r="O2396" s="5" t="str">
        <f t="shared" ca="1" si="37"/>
        <v>Supplier 200</v>
      </c>
      <c r="P2396" s="20" t="str">
        <f ca="1">IFERROR(VLOOKUP(O2396,EMAILS!B:C,2,FALSE),"NOT FOUND IN EMAILS")</f>
        <v>supplier@gmail.com</v>
      </c>
      <c r="Q2396" t="str">
        <f ca="1">""&amp;IFERROR(VLOOKUP(O2396,EMAILS!B:D,3,FALSE),"NOT FOUND IN EMAILS")</f>
        <v/>
      </c>
      <c r="R2396" t="str">
        <f ca="1">""&amp;IFERROR(VLOOKUP(O2396,EMAILS!B:E,4,FALSE),"NO T FOUND IN EMAILS")</f>
        <v/>
      </c>
    </row>
    <row r="2397" spans="2:18" x14ac:dyDescent="0.25">
      <c r="B2397" s="5" t="s">
        <v>2399</v>
      </c>
      <c r="C2397" s="5" t="s">
        <v>6539</v>
      </c>
      <c r="D2397" s="5">
        <v>1</v>
      </c>
      <c r="E2397" s="5">
        <v>0</v>
      </c>
      <c r="F2397" s="5">
        <v>0</v>
      </c>
      <c r="G2397" s="5">
        <v>0</v>
      </c>
      <c r="H2397" s="5">
        <v>0</v>
      </c>
      <c r="I2397" s="5">
        <v>0</v>
      </c>
      <c r="J2397" s="5">
        <v>0</v>
      </c>
      <c r="K2397" s="5">
        <v>0</v>
      </c>
      <c r="L2397" s="5">
        <v>0</v>
      </c>
      <c r="M2397" s="5">
        <v>0</v>
      </c>
      <c r="N2397" s="5">
        <v>0</v>
      </c>
      <c r="O2397" s="5" t="str">
        <f t="shared" ca="1" si="37"/>
        <v>Supplier 109</v>
      </c>
      <c r="P2397" s="20" t="str">
        <f ca="1">IFERROR(VLOOKUP(O2397,EMAILS!B:C,2,FALSE),"NOT FOUND IN EMAILS")</f>
        <v>supplier@gmail.com</v>
      </c>
      <c r="Q2397" t="str">
        <f ca="1">""&amp;IFERROR(VLOOKUP(O2397,EMAILS!B:D,3,FALSE),"NOT FOUND IN EMAILS")</f>
        <v/>
      </c>
      <c r="R2397" t="str">
        <f ca="1">""&amp;IFERROR(VLOOKUP(O2397,EMAILS!B:E,4,FALSE),"NO T FOUND IN EMAILS")</f>
        <v/>
      </c>
    </row>
    <row r="2398" spans="2:18" x14ac:dyDescent="0.25">
      <c r="B2398" s="5" t="s">
        <v>2400</v>
      </c>
      <c r="C2398" s="5" t="s">
        <v>6540</v>
      </c>
      <c r="D2398" s="5">
        <v>1</v>
      </c>
      <c r="E2398" s="5">
        <v>0</v>
      </c>
      <c r="F2398" s="5">
        <v>0</v>
      </c>
      <c r="G2398" s="5">
        <v>0</v>
      </c>
      <c r="H2398" s="5">
        <v>0</v>
      </c>
      <c r="I2398" s="5">
        <v>0</v>
      </c>
      <c r="J2398" s="5">
        <v>0</v>
      </c>
      <c r="K2398" s="5">
        <v>0</v>
      </c>
      <c r="L2398" s="5">
        <v>0</v>
      </c>
      <c r="M2398" s="5">
        <v>0</v>
      </c>
      <c r="N2398" s="5">
        <v>158</v>
      </c>
      <c r="O2398" s="5" t="str">
        <f t="shared" ca="1" si="37"/>
        <v>Supplier 42</v>
      </c>
      <c r="P2398" s="20" t="str">
        <f ca="1">IFERROR(VLOOKUP(O2398,EMAILS!B:C,2,FALSE),"NOT FOUND IN EMAILS")</f>
        <v>supplier@gmail.com</v>
      </c>
      <c r="Q2398" t="str">
        <f ca="1">""&amp;IFERROR(VLOOKUP(O2398,EMAILS!B:D,3,FALSE),"NOT FOUND IN EMAILS")</f>
        <v/>
      </c>
      <c r="R2398" t="str">
        <f ca="1">""&amp;IFERROR(VLOOKUP(O2398,EMAILS!B:E,4,FALSE),"NO T FOUND IN EMAILS")</f>
        <v/>
      </c>
    </row>
    <row r="2399" spans="2:18" x14ac:dyDescent="0.25">
      <c r="B2399" s="5" t="s">
        <v>2401</v>
      </c>
      <c r="C2399" s="5" t="s">
        <v>6541</v>
      </c>
      <c r="D2399" s="5">
        <v>0</v>
      </c>
      <c r="E2399" s="5">
        <v>0</v>
      </c>
      <c r="F2399" s="5">
        <v>0</v>
      </c>
      <c r="G2399" s="5">
        <v>3</v>
      </c>
      <c r="H2399" s="5">
        <v>0</v>
      </c>
      <c r="I2399" s="5">
        <v>0</v>
      </c>
      <c r="J2399" s="5">
        <v>0</v>
      </c>
      <c r="K2399" s="5">
        <v>4</v>
      </c>
      <c r="L2399" s="5">
        <v>0</v>
      </c>
      <c r="M2399" s="5">
        <v>0</v>
      </c>
      <c r="N2399" s="5">
        <v>25</v>
      </c>
      <c r="O2399" s="5" t="str">
        <f t="shared" ca="1" si="37"/>
        <v>Supplier 160</v>
      </c>
      <c r="P2399" s="20" t="str">
        <f ca="1">IFERROR(VLOOKUP(O2399,EMAILS!B:C,2,FALSE),"NOT FOUND IN EMAILS")</f>
        <v>supplier@gmail.com</v>
      </c>
      <c r="Q2399" t="str">
        <f ca="1">""&amp;IFERROR(VLOOKUP(O2399,EMAILS!B:D,3,FALSE),"NOT FOUND IN EMAILS")</f>
        <v/>
      </c>
      <c r="R2399" t="str">
        <f ca="1">""&amp;IFERROR(VLOOKUP(O2399,EMAILS!B:E,4,FALSE),"NO T FOUND IN EMAILS")</f>
        <v/>
      </c>
    </row>
    <row r="2400" spans="2:18" x14ac:dyDescent="0.25">
      <c r="B2400" s="5" t="s">
        <v>2402</v>
      </c>
      <c r="C2400" s="5" t="s">
        <v>6542</v>
      </c>
      <c r="D2400" s="5">
        <v>0</v>
      </c>
      <c r="E2400" s="5">
        <v>0</v>
      </c>
      <c r="F2400" s="5">
        <v>0</v>
      </c>
      <c r="G2400" s="5">
        <v>2</v>
      </c>
      <c r="H2400" s="5">
        <v>0</v>
      </c>
      <c r="I2400" s="5">
        <v>0</v>
      </c>
      <c r="J2400" s="5">
        <v>0</v>
      </c>
      <c r="K2400" s="5">
        <v>4</v>
      </c>
      <c r="L2400" s="5">
        <v>0</v>
      </c>
      <c r="M2400" s="5">
        <v>0</v>
      </c>
      <c r="N2400" s="5">
        <v>1561</v>
      </c>
      <c r="O2400" s="5" t="str">
        <f t="shared" ca="1" si="37"/>
        <v>Supplier 48</v>
      </c>
      <c r="P2400" s="20" t="str">
        <f ca="1">IFERROR(VLOOKUP(O2400,EMAILS!B:C,2,FALSE),"NOT FOUND IN EMAILS")</f>
        <v>supplier@gmail.com</v>
      </c>
      <c r="Q2400" t="str">
        <f ca="1">""&amp;IFERROR(VLOOKUP(O2400,EMAILS!B:D,3,FALSE),"NOT FOUND IN EMAILS")</f>
        <v/>
      </c>
      <c r="R2400" t="str">
        <f ca="1">""&amp;IFERROR(VLOOKUP(O2400,EMAILS!B:E,4,FALSE),"NO T FOUND IN EMAILS")</f>
        <v/>
      </c>
    </row>
    <row r="2401" spans="2:18" x14ac:dyDescent="0.25">
      <c r="B2401" s="5" t="s">
        <v>2403</v>
      </c>
      <c r="C2401" s="5" t="s">
        <v>6543</v>
      </c>
      <c r="D2401" s="5">
        <v>14.48</v>
      </c>
      <c r="E2401" s="5">
        <v>5.6</v>
      </c>
      <c r="F2401" s="5">
        <v>4.08</v>
      </c>
      <c r="G2401" s="5">
        <v>4.08</v>
      </c>
      <c r="H2401" s="5">
        <v>4.08</v>
      </c>
      <c r="I2401" s="5">
        <v>4.08</v>
      </c>
      <c r="J2401" s="5">
        <v>23.28</v>
      </c>
      <c r="K2401" s="5">
        <v>4.08</v>
      </c>
      <c r="L2401" s="5">
        <v>4.08</v>
      </c>
      <c r="M2401" s="5">
        <v>0</v>
      </c>
      <c r="N2401" s="5">
        <v>0</v>
      </c>
      <c r="O2401" s="5" t="str">
        <f t="shared" ca="1" si="37"/>
        <v>Supplier 9</v>
      </c>
      <c r="P2401" s="20" t="str">
        <f ca="1">IFERROR(VLOOKUP(O2401,EMAILS!B:C,2,FALSE),"NOT FOUND IN EMAILS")</f>
        <v>supplier@gmail.com</v>
      </c>
      <c r="Q2401" t="str">
        <f ca="1">""&amp;IFERROR(VLOOKUP(O2401,EMAILS!B:D,3,FALSE),"NOT FOUND IN EMAILS")</f>
        <v>supplier_logistics@gmail.com</v>
      </c>
      <c r="R2401" t="str">
        <f ca="1">""&amp;IFERROR(VLOOKUP(O2401,EMAILS!B:E,4,FALSE),"NO T FOUND IN EMAILS")</f>
        <v/>
      </c>
    </row>
    <row r="2402" spans="2:18" x14ac:dyDescent="0.25">
      <c r="B2402" s="5" t="s">
        <v>2404</v>
      </c>
      <c r="C2402" s="5" t="s">
        <v>6544</v>
      </c>
      <c r="D2402" s="5">
        <v>0</v>
      </c>
      <c r="E2402" s="5">
        <v>0</v>
      </c>
      <c r="F2402" s="5">
        <v>0</v>
      </c>
      <c r="G2402" s="5">
        <v>0</v>
      </c>
      <c r="H2402" s="5">
        <v>0</v>
      </c>
      <c r="I2402" s="5">
        <v>0</v>
      </c>
      <c r="J2402" s="5">
        <v>0</v>
      </c>
      <c r="K2402" s="5">
        <v>0</v>
      </c>
      <c r="L2402" s="5">
        <v>0</v>
      </c>
      <c r="M2402" s="5">
        <v>0</v>
      </c>
      <c r="N2402" s="5">
        <v>22</v>
      </c>
      <c r="O2402" s="5" t="str">
        <f t="shared" ca="1" si="37"/>
        <v>Supplier 86</v>
      </c>
      <c r="P2402" s="20" t="str">
        <f ca="1">IFERROR(VLOOKUP(O2402,EMAILS!B:C,2,FALSE),"NOT FOUND IN EMAILS")</f>
        <v>supplier@gmail.com</v>
      </c>
      <c r="Q2402" t="str">
        <f ca="1">""&amp;IFERROR(VLOOKUP(O2402,EMAILS!B:D,3,FALSE),"NOT FOUND IN EMAILS")</f>
        <v/>
      </c>
      <c r="R2402" t="str">
        <f ca="1">""&amp;IFERROR(VLOOKUP(O2402,EMAILS!B:E,4,FALSE),"NO T FOUND IN EMAILS")</f>
        <v/>
      </c>
    </row>
    <row r="2403" spans="2:18" x14ac:dyDescent="0.25">
      <c r="B2403" s="5" t="s">
        <v>2405</v>
      </c>
      <c r="C2403" s="5" t="s">
        <v>6545</v>
      </c>
      <c r="D2403" s="5">
        <v>0</v>
      </c>
      <c r="E2403" s="5">
        <v>0</v>
      </c>
      <c r="F2403" s="5">
        <v>0</v>
      </c>
      <c r="G2403" s="5">
        <v>0</v>
      </c>
      <c r="H2403" s="5">
        <v>0</v>
      </c>
      <c r="I2403" s="5">
        <v>0</v>
      </c>
      <c r="J2403" s="5">
        <v>0</v>
      </c>
      <c r="K2403" s="5">
        <v>0</v>
      </c>
      <c r="L2403" s="5">
        <v>0</v>
      </c>
      <c r="M2403" s="5">
        <v>0</v>
      </c>
      <c r="N2403" s="5">
        <v>88</v>
      </c>
      <c r="O2403" s="5" t="str">
        <f t="shared" ca="1" si="37"/>
        <v>Supplier 159</v>
      </c>
      <c r="P2403" s="20" t="str">
        <f ca="1">IFERROR(VLOOKUP(O2403,EMAILS!B:C,2,FALSE),"NOT FOUND IN EMAILS")</f>
        <v>supplier@gmail.com</v>
      </c>
      <c r="Q2403" t="str">
        <f ca="1">""&amp;IFERROR(VLOOKUP(O2403,EMAILS!B:D,3,FALSE),"NOT FOUND IN EMAILS")</f>
        <v/>
      </c>
      <c r="R2403" t="str">
        <f ca="1">""&amp;IFERROR(VLOOKUP(O2403,EMAILS!B:E,4,FALSE),"NO T FOUND IN EMAILS")</f>
        <v/>
      </c>
    </row>
    <row r="2404" spans="2:18" x14ac:dyDescent="0.25">
      <c r="B2404" s="5" t="s">
        <v>2406</v>
      </c>
      <c r="C2404" s="5" t="s">
        <v>6546</v>
      </c>
      <c r="D2404" s="5">
        <v>0</v>
      </c>
      <c r="E2404" s="5">
        <v>0</v>
      </c>
      <c r="F2404" s="5">
        <v>0</v>
      </c>
      <c r="G2404" s="5">
        <v>0</v>
      </c>
      <c r="H2404" s="5">
        <v>0</v>
      </c>
      <c r="I2404" s="5">
        <v>0</v>
      </c>
      <c r="J2404" s="5">
        <v>0</v>
      </c>
      <c r="K2404" s="5">
        <v>0</v>
      </c>
      <c r="L2404" s="5">
        <v>100</v>
      </c>
      <c r="M2404" s="5">
        <v>0</v>
      </c>
      <c r="N2404" s="5">
        <v>560</v>
      </c>
      <c r="O2404" s="5" t="str">
        <f t="shared" ca="1" si="37"/>
        <v>Supplier 70</v>
      </c>
      <c r="P2404" s="20" t="str">
        <f ca="1">IFERROR(VLOOKUP(O2404,EMAILS!B:C,2,FALSE),"NOT FOUND IN EMAILS")</f>
        <v>supplier@gmail.com</v>
      </c>
      <c r="Q2404" t="str">
        <f ca="1">""&amp;IFERROR(VLOOKUP(O2404,EMAILS!B:D,3,FALSE),"NOT FOUND IN EMAILS")</f>
        <v/>
      </c>
      <c r="R2404" t="str">
        <f ca="1">""&amp;IFERROR(VLOOKUP(O2404,EMAILS!B:E,4,FALSE),"NO T FOUND IN EMAILS")</f>
        <v/>
      </c>
    </row>
    <row r="2405" spans="2:18" x14ac:dyDescent="0.25">
      <c r="B2405" s="5" t="s">
        <v>2407</v>
      </c>
      <c r="C2405" s="5" t="s">
        <v>6547</v>
      </c>
      <c r="D2405" s="5">
        <v>0</v>
      </c>
      <c r="E2405" s="5">
        <v>0</v>
      </c>
      <c r="F2405" s="5">
        <v>0</v>
      </c>
      <c r="G2405" s="5">
        <v>0</v>
      </c>
      <c r="H2405" s="5">
        <v>97.5</v>
      </c>
      <c r="I2405" s="5">
        <v>0</v>
      </c>
      <c r="J2405" s="5">
        <v>0</v>
      </c>
      <c r="K2405" s="5">
        <v>0</v>
      </c>
      <c r="L2405" s="5">
        <v>0</v>
      </c>
      <c r="M2405" s="5">
        <v>0</v>
      </c>
      <c r="N2405" s="5">
        <v>0</v>
      </c>
      <c r="O2405" s="5" t="str">
        <f t="shared" ca="1" si="37"/>
        <v>Supplier 185</v>
      </c>
      <c r="P2405" s="20" t="str">
        <f ca="1">IFERROR(VLOOKUP(O2405,EMAILS!B:C,2,FALSE),"NOT FOUND IN EMAILS")</f>
        <v>supplier@gmail.com</v>
      </c>
      <c r="Q2405" t="str">
        <f ca="1">""&amp;IFERROR(VLOOKUP(O2405,EMAILS!B:D,3,FALSE),"NOT FOUND IN EMAILS")</f>
        <v/>
      </c>
      <c r="R2405" t="str">
        <f ca="1">""&amp;IFERROR(VLOOKUP(O2405,EMAILS!B:E,4,FALSE),"NO T FOUND IN EMAILS")</f>
        <v/>
      </c>
    </row>
    <row r="2406" spans="2:18" x14ac:dyDescent="0.25">
      <c r="B2406" s="5" t="s">
        <v>2408</v>
      </c>
      <c r="C2406" s="5" t="s">
        <v>6548</v>
      </c>
      <c r="D2406" s="5">
        <v>0</v>
      </c>
      <c r="E2406" s="5">
        <v>0</v>
      </c>
      <c r="F2406" s="5">
        <v>0</v>
      </c>
      <c r="G2406" s="5">
        <v>0</v>
      </c>
      <c r="H2406" s="5">
        <v>0</v>
      </c>
      <c r="I2406" s="5">
        <v>0</v>
      </c>
      <c r="J2406" s="5">
        <v>0</v>
      </c>
      <c r="K2406" s="5">
        <v>0</v>
      </c>
      <c r="L2406" s="5">
        <v>0</v>
      </c>
      <c r="M2406" s="5">
        <v>0</v>
      </c>
      <c r="N2406" s="5">
        <v>0</v>
      </c>
      <c r="O2406" s="5" t="str">
        <f t="shared" ca="1" si="37"/>
        <v>Supplier 88</v>
      </c>
      <c r="P2406" s="20" t="str">
        <f ca="1">IFERROR(VLOOKUP(O2406,EMAILS!B:C,2,FALSE),"NOT FOUND IN EMAILS")</f>
        <v>supplier@gmail.com</v>
      </c>
      <c r="Q2406" t="str">
        <f ca="1">""&amp;IFERROR(VLOOKUP(O2406,EMAILS!B:D,3,FALSE),"NOT FOUND IN EMAILS")</f>
        <v/>
      </c>
      <c r="R2406" t="str">
        <f ca="1">""&amp;IFERROR(VLOOKUP(O2406,EMAILS!B:E,4,FALSE),"NO T FOUND IN EMAILS")</f>
        <v/>
      </c>
    </row>
    <row r="2407" spans="2:18" x14ac:dyDescent="0.25">
      <c r="B2407" s="5" t="s">
        <v>2409</v>
      </c>
      <c r="C2407" s="5" t="s">
        <v>6549</v>
      </c>
      <c r="D2407" s="5">
        <v>3.6</v>
      </c>
      <c r="E2407" s="5">
        <v>0</v>
      </c>
      <c r="F2407" s="5">
        <v>3.6</v>
      </c>
      <c r="G2407" s="5">
        <v>3.6</v>
      </c>
      <c r="H2407" s="5">
        <v>0</v>
      </c>
      <c r="I2407" s="5">
        <v>0</v>
      </c>
      <c r="J2407" s="5">
        <v>0</v>
      </c>
      <c r="K2407" s="5">
        <v>0</v>
      </c>
      <c r="L2407" s="5">
        <v>0</v>
      </c>
      <c r="M2407" s="5">
        <v>0</v>
      </c>
      <c r="N2407" s="5">
        <v>0</v>
      </c>
      <c r="O2407" s="5" t="str">
        <f t="shared" ca="1" si="37"/>
        <v>Supplier 59</v>
      </c>
      <c r="P2407" s="20" t="str">
        <f ca="1">IFERROR(VLOOKUP(O2407,EMAILS!B:C,2,FALSE),"NOT FOUND IN EMAILS")</f>
        <v>supplier@gmail.com</v>
      </c>
      <c r="Q2407" t="str">
        <f ca="1">""&amp;IFERROR(VLOOKUP(O2407,EMAILS!B:D,3,FALSE),"NOT FOUND IN EMAILS")</f>
        <v/>
      </c>
      <c r="R2407" t="str">
        <f ca="1">""&amp;IFERROR(VLOOKUP(O2407,EMAILS!B:E,4,FALSE),"NO T FOUND IN EMAILS")</f>
        <v/>
      </c>
    </row>
    <row r="2408" spans="2:18" x14ac:dyDescent="0.25">
      <c r="B2408" s="5" t="s">
        <v>2410</v>
      </c>
      <c r="C2408" s="5" t="s">
        <v>6550</v>
      </c>
      <c r="D2408" s="5">
        <v>4</v>
      </c>
      <c r="E2408" s="5">
        <v>0</v>
      </c>
      <c r="F2408" s="5">
        <v>0</v>
      </c>
      <c r="G2408" s="5">
        <v>0</v>
      </c>
      <c r="H2408" s="5">
        <v>0</v>
      </c>
      <c r="I2408" s="5">
        <v>0</v>
      </c>
      <c r="J2408" s="5">
        <v>0</v>
      </c>
      <c r="K2408" s="5">
        <v>0</v>
      </c>
      <c r="L2408" s="5">
        <v>0</v>
      </c>
      <c r="M2408" s="5">
        <v>0</v>
      </c>
      <c r="N2408" s="5">
        <v>0</v>
      </c>
      <c r="O2408" s="5" t="str">
        <f t="shared" ca="1" si="37"/>
        <v>Supplier 81</v>
      </c>
      <c r="P2408" s="20" t="str">
        <f ca="1">IFERROR(VLOOKUP(O2408,EMAILS!B:C,2,FALSE),"NOT FOUND IN EMAILS")</f>
        <v>supplier@gmail.com</v>
      </c>
      <c r="Q2408" t="str">
        <f ca="1">""&amp;IFERROR(VLOOKUP(O2408,EMAILS!B:D,3,FALSE),"NOT FOUND IN EMAILS")</f>
        <v/>
      </c>
      <c r="R2408" t="str">
        <f ca="1">""&amp;IFERROR(VLOOKUP(O2408,EMAILS!B:E,4,FALSE),"NO T FOUND IN EMAILS")</f>
        <v/>
      </c>
    </row>
    <row r="2409" spans="2:18" x14ac:dyDescent="0.25">
      <c r="B2409" s="5" t="s">
        <v>2411</v>
      </c>
      <c r="C2409" s="5" t="s">
        <v>6551</v>
      </c>
      <c r="D2409" s="5">
        <v>0</v>
      </c>
      <c r="E2409" s="5">
        <v>0</v>
      </c>
      <c r="F2409" s="5">
        <v>0</v>
      </c>
      <c r="G2409" s="5">
        <v>5</v>
      </c>
      <c r="H2409" s="5">
        <v>0</v>
      </c>
      <c r="I2409" s="5">
        <v>0</v>
      </c>
      <c r="J2409" s="5">
        <v>0</v>
      </c>
      <c r="K2409" s="5">
        <v>0</v>
      </c>
      <c r="L2409" s="5">
        <v>0</v>
      </c>
      <c r="M2409" s="5">
        <v>0</v>
      </c>
      <c r="N2409" s="5">
        <v>57</v>
      </c>
      <c r="O2409" s="5" t="str">
        <f t="shared" ca="1" si="37"/>
        <v>Supplier 128</v>
      </c>
      <c r="P2409" s="20" t="str">
        <f ca="1">IFERROR(VLOOKUP(O2409,EMAILS!B:C,2,FALSE),"NOT FOUND IN EMAILS")</f>
        <v>supplier@gmail.com</v>
      </c>
      <c r="Q2409" t="str">
        <f ca="1">""&amp;IFERROR(VLOOKUP(O2409,EMAILS!B:D,3,FALSE),"NOT FOUND IN EMAILS")</f>
        <v/>
      </c>
      <c r="R2409" t="str">
        <f ca="1">""&amp;IFERROR(VLOOKUP(O2409,EMAILS!B:E,4,FALSE),"NO T FOUND IN EMAILS")</f>
        <v/>
      </c>
    </row>
    <row r="2410" spans="2:18" x14ac:dyDescent="0.25">
      <c r="B2410" s="5" t="s">
        <v>2412</v>
      </c>
      <c r="C2410" s="5" t="s">
        <v>6552</v>
      </c>
      <c r="D2410" s="5">
        <v>0</v>
      </c>
      <c r="E2410" s="5">
        <v>0</v>
      </c>
      <c r="F2410" s="5">
        <v>0</v>
      </c>
      <c r="G2410" s="5">
        <v>0</v>
      </c>
      <c r="H2410" s="5">
        <v>0</v>
      </c>
      <c r="I2410" s="5">
        <v>0</v>
      </c>
      <c r="J2410" s="5">
        <v>0</v>
      </c>
      <c r="K2410" s="5">
        <v>0</v>
      </c>
      <c r="L2410" s="5">
        <v>0</v>
      </c>
      <c r="M2410" s="5">
        <v>0</v>
      </c>
      <c r="N2410" s="5">
        <v>1103</v>
      </c>
      <c r="O2410" s="5" t="str">
        <f t="shared" ca="1" si="37"/>
        <v>Supplier 46</v>
      </c>
      <c r="P2410" s="20" t="str">
        <f ca="1">IFERROR(VLOOKUP(O2410,EMAILS!B:C,2,FALSE),"NOT FOUND IN EMAILS")</f>
        <v>supplier@gmail.com</v>
      </c>
      <c r="Q2410" t="str">
        <f ca="1">""&amp;IFERROR(VLOOKUP(O2410,EMAILS!B:D,3,FALSE),"NOT FOUND IN EMAILS")</f>
        <v/>
      </c>
      <c r="R2410" t="str">
        <f ca="1">""&amp;IFERROR(VLOOKUP(O2410,EMAILS!B:E,4,FALSE),"NO T FOUND IN EMAILS")</f>
        <v/>
      </c>
    </row>
    <row r="2411" spans="2:18" x14ac:dyDescent="0.25">
      <c r="B2411" s="5" t="s">
        <v>2413</v>
      </c>
      <c r="C2411" s="5" t="s">
        <v>6553</v>
      </c>
      <c r="D2411" s="5">
        <v>0</v>
      </c>
      <c r="E2411" s="5">
        <v>0</v>
      </c>
      <c r="F2411" s="5">
        <v>0</v>
      </c>
      <c r="G2411" s="5">
        <v>0</v>
      </c>
      <c r="H2411" s="5">
        <v>0</v>
      </c>
      <c r="I2411" s="5">
        <v>0</v>
      </c>
      <c r="J2411" s="5">
        <v>0</v>
      </c>
      <c r="K2411" s="5">
        <v>20</v>
      </c>
      <c r="L2411" s="5">
        <v>0</v>
      </c>
      <c r="M2411" s="5">
        <v>0</v>
      </c>
      <c r="N2411" s="5">
        <v>46</v>
      </c>
      <c r="O2411" s="5" t="str">
        <f t="shared" ca="1" si="37"/>
        <v>Supplier 83</v>
      </c>
      <c r="P2411" s="20" t="str">
        <f ca="1">IFERROR(VLOOKUP(O2411,EMAILS!B:C,2,FALSE),"NOT FOUND IN EMAILS")</f>
        <v>supplier@gmail.com</v>
      </c>
      <c r="Q2411" t="str">
        <f ca="1">""&amp;IFERROR(VLOOKUP(O2411,EMAILS!B:D,3,FALSE),"NOT FOUND IN EMAILS")</f>
        <v/>
      </c>
      <c r="R2411" t="str">
        <f ca="1">""&amp;IFERROR(VLOOKUP(O2411,EMAILS!B:E,4,FALSE),"NO T FOUND IN EMAILS")</f>
        <v/>
      </c>
    </row>
    <row r="2412" spans="2:18" x14ac:dyDescent="0.25">
      <c r="B2412" s="5" t="s">
        <v>2414</v>
      </c>
      <c r="C2412" s="5" t="s">
        <v>6554</v>
      </c>
      <c r="D2412" s="5">
        <v>0</v>
      </c>
      <c r="E2412" s="5">
        <v>0</v>
      </c>
      <c r="F2412" s="5">
        <v>40</v>
      </c>
      <c r="G2412" s="5">
        <v>0</v>
      </c>
      <c r="H2412" s="5">
        <v>0</v>
      </c>
      <c r="I2412" s="5">
        <v>0</v>
      </c>
      <c r="J2412" s="5">
        <v>0</v>
      </c>
      <c r="K2412" s="5">
        <v>0</v>
      </c>
      <c r="L2412" s="5">
        <v>0</v>
      </c>
      <c r="M2412" s="5">
        <v>0</v>
      </c>
      <c r="N2412" s="5">
        <v>15</v>
      </c>
      <c r="O2412" s="5" t="str">
        <f t="shared" ca="1" si="37"/>
        <v>Supplier 105</v>
      </c>
      <c r="P2412" s="20" t="str">
        <f ca="1">IFERROR(VLOOKUP(O2412,EMAILS!B:C,2,FALSE),"NOT FOUND IN EMAILS")</f>
        <v>supplier@gmail.com</v>
      </c>
      <c r="Q2412" t="str">
        <f ca="1">""&amp;IFERROR(VLOOKUP(O2412,EMAILS!B:D,3,FALSE),"NOT FOUND IN EMAILS")</f>
        <v/>
      </c>
      <c r="R2412" t="str">
        <f ca="1">""&amp;IFERROR(VLOOKUP(O2412,EMAILS!B:E,4,FALSE),"NO T FOUND IN EMAILS")</f>
        <v/>
      </c>
    </row>
    <row r="2413" spans="2:18" x14ac:dyDescent="0.25">
      <c r="B2413" s="5" t="s">
        <v>2415</v>
      </c>
      <c r="C2413" s="5" t="s">
        <v>6555</v>
      </c>
      <c r="D2413" s="5">
        <v>0</v>
      </c>
      <c r="E2413" s="5">
        <v>0</v>
      </c>
      <c r="F2413" s="5">
        <v>0</v>
      </c>
      <c r="G2413" s="5">
        <v>0</v>
      </c>
      <c r="H2413" s="5">
        <v>0</v>
      </c>
      <c r="I2413" s="5">
        <v>0</v>
      </c>
      <c r="J2413" s="5">
        <v>0</v>
      </c>
      <c r="K2413" s="5">
        <v>0</v>
      </c>
      <c r="L2413" s="5">
        <v>0</v>
      </c>
      <c r="M2413" s="5">
        <v>0</v>
      </c>
      <c r="N2413" s="5">
        <v>40</v>
      </c>
      <c r="O2413" s="5" t="str">
        <f t="shared" ca="1" si="37"/>
        <v>Supplier 195</v>
      </c>
      <c r="P2413" s="20" t="str">
        <f ca="1">IFERROR(VLOOKUP(O2413,EMAILS!B:C,2,FALSE),"NOT FOUND IN EMAILS")</f>
        <v>supplier@gmail.com</v>
      </c>
      <c r="Q2413" t="str">
        <f ca="1">""&amp;IFERROR(VLOOKUP(O2413,EMAILS!B:D,3,FALSE),"NOT FOUND IN EMAILS")</f>
        <v/>
      </c>
      <c r="R2413" t="str">
        <f ca="1">""&amp;IFERROR(VLOOKUP(O2413,EMAILS!B:E,4,FALSE),"NO T FOUND IN EMAILS")</f>
        <v/>
      </c>
    </row>
    <row r="2414" spans="2:18" x14ac:dyDescent="0.25">
      <c r="B2414" s="5" t="s">
        <v>2416</v>
      </c>
      <c r="C2414" s="5" t="s">
        <v>6556</v>
      </c>
      <c r="D2414" s="5">
        <v>0</v>
      </c>
      <c r="E2414" s="5">
        <v>0</v>
      </c>
      <c r="F2414" s="5">
        <v>0</v>
      </c>
      <c r="G2414" s="5">
        <v>0</v>
      </c>
      <c r="H2414" s="5">
        <v>0</v>
      </c>
      <c r="I2414" s="5">
        <v>0</v>
      </c>
      <c r="J2414" s="5">
        <v>0</v>
      </c>
      <c r="K2414" s="5">
        <v>0</v>
      </c>
      <c r="L2414" s="5">
        <v>0</v>
      </c>
      <c r="M2414" s="5">
        <v>0</v>
      </c>
      <c r="N2414" s="5">
        <v>0</v>
      </c>
      <c r="O2414" s="5" t="str">
        <f t="shared" ca="1" si="37"/>
        <v>Supplier 25</v>
      </c>
      <c r="P2414" s="20" t="str">
        <f ca="1">IFERROR(VLOOKUP(O2414,EMAILS!B:C,2,FALSE),"NOT FOUND IN EMAILS")</f>
        <v>supplier@gmail.com</v>
      </c>
      <c r="Q2414" t="str">
        <f ca="1">""&amp;IFERROR(VLOOKUP(O2414,EMAILS!B:D,3,FALSE),"NOT FOUND IN EMAILS")</f>
        <v/>
      </c>
      <c r="R2414" t="str">
        <f ca="1">""&amp;IFERROR(VLOOKUP(O2414,EMAILS!B:E,4,FALSE),"NO T FOUND IN EMAILS")</f>
        <v/>
      </c>
    </row>
    <row r="2415" spans="2:18" x14ac:dyDescent="0.25">
      <c r="B2415" s="5" t="s">
        <v>2417</v>
      </c>
      <c r="C2415" s="5" t="s">
        <v>6557</v>
      </c>
      <c r="D2415" s="5">
        <v>0</v>
      </c>
      <c r="E2415" s="5">
        <v>0</v>
      </c>
      <c r="F2415" s="5">
        <v>0</v>
      </c>
      <c r="G2415" s="5">
        <v>0</v>
      </c>
      <c r="H2415" s="5">
        <v>0</v>
      </c>
      <c r="I2415" s="5">
        <v>0</v>
      </c>
      <c r="J2415" s="5">
        <v>0</v>
      </c>
      <c r="K2415" s="5">
        <v>0</v>
      </c>
      <c r="L2415" s="5">
        <v>0</v>
      </c>
      <c r="M2415" s="5">
        <v>0</v>
      </c>
      <c r="N2415" s="5">
        <v>0</v>
      </c>
      <c r="O2415" s="5" t="str">
        <f t="shared" ca="1" si="37"/>
        <v>Supplier 7</v>
      </c>
      <c r="P2415" s="20" t="str">
        <f ca="1">IFERROR(VLOOKUP(O2415,EMAILS!B:C,2,FALSE),"NOT FOUND IN EMAILS")</f>
        <v>supplier@gmail.com</v>
      </c>
      <c r="Q2415" t="str">
        <f ca="1">""&amp;IFERROR(VLOOKUP(O2415,EMAILS!B:D,3,FALSE),"NOT FOUND IN EMAILS")</f>
        <v>supplier_logistics@gmail.com</v>
      </c>
      <c r="R2415" t="str">
        <f ca="1">""&amp;IFERROR(VLOOKUP(O2415,EMAILS!B:E,4,FALSE),"NO T FOUND IN EMAILS")</f>
        <v/>
      </c>
    </row>
    <row r="2416" spans="2:18" x14ac:dyDescent="0.25">
      <c r="B2416" s="5" t="s">
        <v>2418</v>
      </c>
      <c r="C2416" s="5" t="s">
        <v>6558</v>
      </c>
      <c r="D2416" s="5">
        <v>0</v>
      </c>
      <c r="E2416" s="5">
        <v>0</v>
      </c>
      <c r="F2416" s="5">
        <v>0</v>
      </c>
      <c r="G2416" s="5">
        <v>0</v>
      </c>
      <c r="H2416" s="5">
        <v>0</v>
      </c>
      <c r="I2416" s="5">
        <v>0</v>
      </c>
      <c r="J2416" s="5">
        <v>0</v>
      </c>
      <c r="K2416" s="5">
        <v>0</v>
      </c>
      <c r="L2416" s="5">
        <v>0</v>
      </c>
      <c r="M2416" s="5">
        <v>0</v>
      </c>
      <c r="N2416" s="5">
        <v>121</v>
      </c>
      <c r="O2416" s="5" t="str">
        <f t="shared" ca="1" si="37"/>
        <v>Supplier 116</v>
      </c>
      <c r="P2416" s="20" t="str">
        <f ca="1">IFERROR(VLOOKUP(O2416,EMAILS!B:C,2,FALSE),"NOT FOUND IN EMAILS")</f>
        <v>supplier@gmail.com</v>
      </c>
      <c r="Q2416" t="str">
        <f ca="1">""&amp;IFERROR(VLOOKUP(O2416,EMAILS!B:D,3,FALSE),"NOT FOUND IN EMAILS")</f>
        <v/>
      </c>
      <c r="R2416" t="str">
        <f ca="1">""&amp;IFERROR(VLOOKUP(O2416,EMAILS!B:E,4,FALSE),"NO T FOUND IN EMAILS")</f>
        <v/>
      </c>
    </row>
    <row r="2417" spans="2:18" x14ac:dyDescent="0.25">
      <c r="B2417" s="5" t="s">
        <v>2419</v>
      </c>
      <c r="C2417" s="5" t="s">
        <v>6559</v>
      </c>
      <c r="D2417" s="5">
        <v>26</v>
      </c>
      <c r="E2417" s="5">
        <v>26</v>
      </c>
      <c r="F2417" s="5">
        <v>26</v>
      </c>
      <c r="G2417" s="5">
        <v>26</v>
      </c>
      <c r="H2417" s="5">
        <v>29</v>
      </c>
      <c r="I2417" s="5">
        <v>29</v>
      </c>
      <c r="J2417" s="5">
        <v>29</v>
      </c>
      <c r="K2417" s="5">
        <v>26</v>
      </c>
      <c r="L2417" s="5">
        <v>26</v>
      </c>
      <c r="M2417" s="5">
        <v>0</v>
      </c>
      <c r="N2417" s="5">
        <v>0</v>
      </c>
      <c r="O2417" s="5" t="str">
        <f t="shared" ca="1" si="37"/>
        <v>Supplier 82</v>
      </c>
      <c r="P2417" s="20" t="str">
        <f ca="1">IFERROR(VLOOKUP(O2417,EMAILS!B:C,2,FALSE),"NOT FOUND IN EMAILS")</f>
        <v>supplier@gmail.com</v>
      </c>
      <c r="Q2417" t="str">
        <f ca="1">""&amp;IFERROR(VLOOKUP(O2417,EMAILS!B:D,3,FALSE),"NOT FOUND IN EMAILS")</f>
        <v/>
      </c>
      <c r="R2417" t="str">
        <f ca="1">""&amp;IFERROR(VLOOKUP(O2417,EMAILS!B:E,4,FALSE),"NO T FOUND IN EMAILS")</f>
        <v/>
      </c>
    </row>
    <row r="2418" spans="2:18" x14ac:dyDescent="0.25">
      <c r="B2418" s="5" t="s">
        <v>2420</v>
      </c>
      <c r="C2418" s="5" t="s">
        <v>6560</v>
      </c>
      <c r="D2418" s="5">
        <v>0</v>
      </c>
      <c r="E2418" s="5">
        <v>0</v>
      </c>
      <c r="F2418" s="5">
        <v>0</v>
      </c>
      <c r="G2418" s="5">
        <v>0</v>
      </c>
      <c r="H2418" s="5">
        <v>0</v>
      </c>
      <c r="I2418" s="5">
        <v>0</v>
      </c>
      <c r="J2418" s="5">
        <v>0</v>
      </c>
      <c r="K2418" s="5">
        <v>0</v>
      </c>
      <c r="L2418" s="5">
        <v>0</v>
      </c>
      <c r="M2418" s="5">
        <v>0</v>
      </c>
      <c r="N2418" s="5">
        <v>43</v>
      </c>
      <c r="O2418" s="5" t="str">
        <f t="shared" ca="1" si="37"/>
        <v>Supplier 197</v>
      </c>
      <c r="P2418" s="20" t="str">
        <f ca="1">IFERROR(VLOOKUP(O2418,EMAILS!B:C,2,FALSE),"NOT FOUND IN EMAILS")</f>
        <v>supplier@gmail.com</v>
      </c>
      <c r="Q2418" t="str">
        <f ca="1">""&amp;IFERROR(VLOOKUP(O2418,EMAILS!B:D,3,FALSE),"NOT FOUND IN EMAILS")</f>
        <v/>
      </c>
      <c r="R2418" t="str">
        <f ca="1">""&amp;IFERROR(VLOOKUP(O2418,EMAILS!B:E,4,FALSE),"NO T FOUND IN EMAILS")</f>
        <v/>
      </c>
    </row>
    <row r="2419" spans="2:18" x14ac:dyDescent="0.25">
      <c r="B2419" s="5" t="s">
        <v>2421</v>
      </c>
      <c r="C2419" s="5" t="s">
        <v>6561</v>
      </c>
      <c r="D2419" s="5">
        <v>0</v>
      </c>
      <c r="E2419" s="5">
        <v>2</v>
      </c>
      <c r="F2419" s="5">
        <v>2</v>
      </c>
      <c r="G2419" s="5">
        <v>2</v>
      </c>
      <c r="H2419" s="5">
        <v>7</v>
      </c>
      <c r="I2419" s="5">
        <v>2</v>
      </c>
      <c r="J2419" s="5">
        <v>8</v>
      </c>
      <c r="K2419" s="5">
        <v>2</v>
      </c>
      <c r="L2419" s="5">
        <v>7</v>
      </c>
      <c r="M2419" s="5">
        <v>0</v>
      </c>
      <c r="N2419" s="5">
        <v>498</v>
      </c>
      <c r="O2419" s="5" t="str">
        <f t="shared" ca="1" si="37"/>
        <v>Supplier 199</v>
      </c>
      <c r="P2419" s="20" t="str">
        <f ca="1">IFERROR(VLOOKUP(O2419,EMAILS!B:C,2,FALSE),"NOT FOUND IN EMAILS")</f>
        <v>supplier@gmail.com</v>
      </c>
      <c r="Q2419" t="str">
        <f ca="1">""&amp;IFERROR(VLOOKUP(O2419,EMAILS!B:D,3,FALSE),"NOT FOUND IN EMAILS")</f>
        <v/>
      </c>
      <c r="R2419" t="str">
        <f ca="1">""&amp;IFERROR(VLOOKUP(O2419,EMAILS!B:E,4,FALSE),"NO T FOUND IN EMAILS")</f>
        <v/>
      </c>
    </row>
    <row r="2420" spans="2:18" x14ac:dyDescent="0.25">
      <c r="B2420" s="5" t="s">
        <v>2422</v>
      </c>
      <c r="C2420" s="5" t="s">
        <v>6562</v>
      </c>
      <c r="D2420" s="5">
        <v>0</v>
      </c>
      <c r="E2420" s="5">
        <v>0</v>
      </c>
      <c r="F2420" s="5">
        <v>0</v>
      </c>
      <c r="G2420" s="5">
        <v>5</v>
      </c>
      <c r="H2420" s="5">
        <v>0</v>
      </c>
      <c r="I2420" s="5">
        <v>1</v>
      </c>
      <c r="J2420" s="5">
        <v>0</v>
      </c>
      <c r="K2420" s="5">
        <v>0</v>
      </c>
      <c r="L2420" s="5">
        <v>0</v>
      </c>
      <c r="M2420" s="5">
        <v>0</v>
      </c>
      <c r="N2420" s="5">
        <v>4445</v>
      </c>
      <c r="O2420" s="5" t="str">
        <f t="shared" ca="1" si="37"/>
        <v>Supplier 194</v>
      </c>
      <c r="P2420" s="20" t="str">
        <f ca="1">IFERROR(VLOOKUP(O2420,EMAILS!B:C,2,FALSE),"NOT FOUND IN EMAILS")</f>
        <v>supplier@gmail.com</v>
      </c>
      <c r="Q2420" t="str">
        <f ca="1">""&amp;IFERROR(VLOOKUP(O2420,EMAILS!B:D,3,FALSE),"NOT FOUND IN EMAILS")</f>
        <v/>
      </c>
      <c r="R2420" t="str">
        <f ca="1">""&amp;IFERROR(VLOOKUP(O2420,EMAILS!B:E,4,FALSE),"NO T FOUND IN EMAILS")</f>
        <v/>
      </c>
    </row>
    <row r="2421" spans="2:18" x14ac:dyDescent="0.25">
      <c r="B2421" s="5" t="s">
        <v>2423</v>
      </c>
      <c r="C2421" s="5" t="s">
        <v>6563</v>
      </c>
      <c r="D2421" s="5">
        <v>400</v>
      </c>
      <c r="E2421" s="5">
        <v>0</v>
      </c>
      <c r="F2421" s="5">
        <v>280</v>
      </c>
      <c r="G2421" s="5">
        <v>6</v>
      </c>
      <c r="H2421" s="5">
        <v>0</v>
      </c>
      <c r="I2421" s="5">
        <v>2</v>
      </c>
      <c r="J2421" s="5">
        <v>50</v>
      </c>
      <c r="K2421" s="5">
        <v>24</v>
      </c>
      <c r="L2421" s="5">
        <v>60</v>
      </c>
      <c r="M2421" s="5">
        <v>0</v>
      </c>
      <c r="N2421" s="5">
        <v>50</v>
      </c>
      <c r="O2421" s="5" t="str">
        <f t="shared" ca="1" si="37"/>
        <v>Supplier 173</v>
      </c>
      <c r="P2421" s="20" t="str">
        <f ca="1">IFERROR(VLOOKUP(O2421,EMAILS!B:C,2,FALSE),"NOT FOUND IN EMAILS")</f>
        <v>supplier@gmail.com</v>
      </c>
      <c r="Q2421" t="str">
        <f ca="1">""&amp;IFERROR(VLOOKUP(O2421,EMAILS!B:D,3,FALSE),"NOT FOUND IN EMAILS")</f>
        <v/>
      </c>
      <c r="R2421" t="str">
        <f ca="1">""&amp;IFERROR(VLOOKUP(O2421,EMAILS!B:E,4,FALSE),"NO T FOUND IN EMAILS")</f>
        <v/>
      </c>
    </row>
    <row r="2422" spans="2:18" x14ac:dyDescent="0.25">
      <c r="B2422" s="5" t="s">
        <v>2424</v>
      </c>
      <c r="C2422" s="5" t="s">
        <v>6564</v>
      </c>
      <c r="D2422" s="5">
        <v>1</v>
      </c>
      <c r="E2422" s="5">
        <v>0</v>
      </c>
      <c r="F2422" s="5">
        <v>15</v>
      </c>
      <c r="G2422" s="5">
        <v>15</v>
      </c>
      <c r="H2422" s="5">
        <v>15</v>
      </c>
      <c r="I2422" s="5">
        <v>115</v>
      </c>
      <c r="J2422" s="5">
        <v>15</v>
      </c>
      <c r="K2422" s="5">
        <v>15</v>
      </c>
      <c r="L2422" s="5">
        <v>15</v>
      </c>
      <c r="M2422" s="5">
        <v>0</v>
      </c>
      <c r="N2422" s="5">
        <v>100</v>
      </c>
      <c r="O2422" s="5" t="str">
        <f t="shared" ca="1" si="37"/>
        <v>Supplier 119</v>
      </c>
      <c r="P2422" s="20" t="str">
        <f ca="1">IFERROR(VLOOKUP(O2422,EMAILS!B:C,2,FALSE),"NOT FOUND IN EMAILS")</f>
        <v>supplier@gmail.com</v>
      </c>
      <c r="Q2422" t="str">
        <f ca="1">""&amp;IFERROR(VLOOKUP(O2422,EMAILS!B:D,3,FALSE),"NOT FOUND IN EMAILS")</f>
        <v/>
      </c>
      <c r="R2422" t="str">
        <f ca="1">""&amp;IFERROR(VLOOKUP(O2422,EMAILS!B:E,4,FALSE),"NO T FOUND IN EMAILS")</f>
        <v/>
      </c>
    </row>
    <row r="2423" spans="2:18" x14ac:dyDescent="0.25">
      <c r="B2423" s="5" t="s">
        <v>2425</v>
      </c>
      <c r="C2423" s="5" t="s">
        <v>6565</v>
      </c>
      <c r="D2423" s="5">
        <v>5</v>
      </c>
      <c r="E2423" s="5">
        <v>0</v>
      </c>
      <c r="F2423" s="5">
        <v>2</v>
      </c>
      <c r="G2423" s="5">
        <v>6</v>
      </c>
      <c r="H2423" s="5">
        <v>0</v>
      </c>
      <c r="I2423" s="5">
        <v>0</v>
      </c>
      <c r="J2423" s="5">
        <v>0</v>
      </c>
      <c r="K2423" s="5">
        <v>0</v>
      </c>
      <c r="L2423" s="5">
        <v>2</v>
      </c>
      <c r="M2423" s="5">
        <v>0</v>
      </c>
      <c r="N2423" s="5">
        <v>0</v>
      </c>
      <c r="O2423" s="5" t="str">
        <f t="shared" ca="1" si="37"/>
        <v>Supplier 116</v>
      </c>
      <c r="P2423" s="20" t="str">
        <f ca="1">IFERROR(VLOOKUP(O2423,EMAILS!B:C,2,FALSE),"NOT FOUND IN EMAILS")</f>
        <v>supplier@gmail.com</v>
      </c>
      <c r="Q2423" t="str">
        <f ca="1">""&amp;IFERROR(VLOOKUP(O2423,EMAILS!B:D,3,FALSE),"NOT FOUND IN EMAILS")</f>
        <v/>
      </c>
      <c r="R2423" t="str">
        <f ca="1">""&amp;IFERROR(VLOOKUP(O2423,EMAILS!B:E,4,FALSE),"NO T FOUND IN EMAILS")</f>
        <v/>
      </c>
    </row>
    <row r="2424" spans="2:18" x14ac:dyDescent="0.25">
      <c r="B2424" s="5" t="s">
        <v>2426</v>
      </c>
      <c r="C2424" s="5" t="s">
        <v>6566</v>
      </c>
      <c r="D2424" s="5">
        <v>0</v>
      </c>
      <c r="E2424" s="5">
        <v>0</v>
      </c>
      <c r="F2424" s="5">
        <v>0</v>
      </c>
      <c r="G2424" s="5">
        <v>0</v>
      </c>
      <c r="H2424" s="5">
        <v>0</v>
      </c>
      <c r="I2424" s="5">
        <v>0</v>
      </c>
      <c r="J2424" s="5">
        <v>0</v>
      </c>
      <c r="K2424" s="5">
        <v>0</v>
      </c>
      <c r="L2424" s="5">
        <v>0</v>
      </c>
      <c r="M2424" s="5">
        <v>0</v>
      </c>
      <c r="N2424" s="5">
        <v>0</v>
      </c>
      <c r="O2424" s="5" t="str">
        <f t="shared" ca="1" si="37"/>
        <v>Supplier 40</v>
      </c>
      <c r="P2424" s="20" t="str">
        <f ca="1">IFERROR(VLOOKUP(O2424,EMAILS!B:C,2,FALSE),"NOT FOUND IN EMAILS")</f>
        <v>supplier@gmail.com</v>
      </c>
      <c r="Q2424" t="str">
        <f ca="1">""&amp;IFERROR(VLOOKUP(O2424,EMAILS!B:D,3,FALSE),"NOT FOUND IN EMAILS")</f>
        <v/>
      </c>
      <c r="R2424" t="str">
        <f ca="1">""&amp;IFERROR(VLOOKUP(O2424,EMAILS!B:E,4,FALSE),"NO T FOUND IN EMAILS")</f>
        <v/>
      </c>
    </row>
    <row r="2425" spans="2:18" x14ac:dyDescent="0.25">
      <c r="B2425" s="5" t="s">
        <v>2427</v>
      </c>
      <c r="C2425" s="5" t="s">
        <v>6567</v>
      </c>
      <c r="D2425" s="5">
        <v>0</v>
      </c>
      <c r="E2425" s="5">
        <v>150</v>
      </c>
      <c r="F2425" s="5">
        <v>0</v>
      </c>
      <c r="G2425" s="5">
        <v>150</v>
      </c>
      <c r="H2425" s="5">
        <v>0</v>
      </c>
      <c r="I2425" s="5">
        <v>150</v>
      </c>
      <c r="J2425" s="5">
        <v>150</v>
      </c>
      <c r="K2425" s="5">
        <v>0</v>
      </c>
      <c r="L2425" s="5">
        <v>150</v>
      </c>
      <c r="M2425" s="5">
        <v>0</v>
      </c>
      <c r="N2425" s="5">
        <v>0</v>
      </c>
      <c r="O2425" s="5" t="str">
        <f t="shared" ca="1" si="37"/>
        <v>Supplier 143</v>
      </c>
      <c r="P2425" s="20" t="str">
        <f ca="1">IFERROR(VLOOKUP(O2425,EMAILS!B:C,2,FALSE),"NOT FOUND IN EMAILS")</f>
        <v>supplier@gmail.com</v>
      </c>
      <c r="Q2425" t="str">
        <f ca="1">""&amp;IFERROR(VLOOKUP(O2425,EMAILS!B:D,3,FALSE),"NOT FOUND IN EMAILS")</f>
        <v/>
      </c>
      <c r="R2425" t="str">
        <f ca="1">""&amp;IFERROR(VLOOKUP(O2425,EMAILS!B:E,4,FALSE),"NO T FOUND IN EMAILS")</f>
        <v/>
      </c>
    </row>
    <row r="2426" spans="2:18" x14ac:dyDescent="0.25">
      <c r="B2426" s="5" t="s">
        <v>2428</v>
      </c>
      <c r="C2426" s="5" t="s">
        <v>6568</v>
      </c>
      <c r="D2426" s="5">
        <v>0</v>
      </c>
      <c r="E2426" s="5">
        <v>50</v>
      </c>
      <c r="F2426" s="5">
        <v>0</v>
      </c>
      <c r="G2426" s="5">
        <v>50</v>
      </c>
      <c r="H2426" s="5">
        <v>0</v>
      </c>
      <c r="I2426" s="5">
        <v>50</v>
      </c>
      <c r="J2426" s="5">
        <v>50</v>
      </c>
      <c r="K2426" s="5">
        <v>0</v>
      </c>
      <c r="L2426" s="5">
        <v>50</v>
      </c>
      <c r="M2426" s="5">
        <v>0</v>
      </c>
      <c r="N2426" s="5">
        <v>1431</v>
      </c>
      <c r="O2426" s="5" t="str">
        <f t="shared" ca="1" si="37"/>
        <v>Supplier 64</v>
      </c>
      <c r="P2426" s="20" t="str">
        <f ca="1">IFERROR(VLOOKUP(O2426,EMAILS!B:C,2,FALSE),"NOT FOUND IN EMAILS")</f>
        <v>supplier@gmail.com</v>
      </c>
      <c r="Q2426" t="str">
        <f ca="1">""&amp;IFERROR(VLOOKUP(O2426,EMAILS!B:D,3,FALSE),"NOT FOUND IN EMAILS")</f>
        <v/>
      </c>
      <c r="R2426" t="str">
        <f ca="1">""&amp;IFERROR(VLOOKUP(O2426,EMAILS!B:E,4,FALSE),"NO T FOUND IN EMAILS")</f>
        <v/>
      </c>
    </row>
    <row r="2427" spans="2:18" x14ac:dyDescent="0.25">
      <c r="B2427" s="5" t="s">
        <v>2429</v>
      </c>
      <c r="C2427" s="5" t="s">
        <v>6569</v>
      </c>
      <c r="D2427" s="5">
        <v>2</v>
      </c>
      <c r="E2427" s="5">
        <v>2</v>
      </c>
      <c r="F2427" s="5">
        <v>2</v>
      </c>
      <c r="G2427" s="5">
        <v>2</v>
      </c>
      <c r="H2427" s="5">
        <v>2</v>
      </c>
      <c r="I2427" s="5">
        <v>3</v>
      </c>
      <c r="J2427" s="5">
        <v>2</v>
      </c>
      <c r="K2427" s="5">
        <v>2</v>
      </c>
      <c r="L2427" s="5">
        <v>2</v>
      </c>
      <c r="M2427" s="5">
        <v>0</v>
      </c>
      <c r="N2427" s="5">
        <v>0</v>
      </c>
      <c r="O2427" s="5" t="str">
        <f t="shared" ca="1" si="37"/>
        <v>Supplier 105</v>
      </c>
      <c r="P2427" s="20" t="str">
        <f ca="1">IFERROR(VLOOKUP(O2427,EMAILS!B:C,2,FALSE),"NOT FOUND IN EMAILS")</f>
        <v>supplier@gmail.com</v>
      </c>
      <c r="Q2427" t="str">
        <f ca="1">""&amp;IFERROR(VLOOKUP(O2427,EMAILS!B:D,3,FALSE),"NOT FOUND IN EMAILS")</f>
        <v/>
      </c>
      <c r="R2427" t="str">
        <f ca="1">""&amp;IFERROR(VLOOKUP(O2427,EMAILS!B:E,4,FALSE),"NO T FOUND IN EMAILS")</f>
        <v/>
      </c>
    </row>
    <row r="2428" spans="2:18" x14ac:dyDescent="0.25">
      <c r="B2428" s="5" t="s">
        <v>2430</v>
      </c>
      <c r="C2428" s="5" t="s">
        <v>6570</v>
      </c>
      <c r="D2428" s="5">
        <v>76</v>
      </c>
      <c r="E2428" s="5">
        <v>62</v>
      </c>
      <c r="F2428" s="5">
        <v>86</v>
      </c>
      <c r="G2428" s="5">
        <v>86</v>
      </c>
      <c r="H2428" s="5">
        <v>30</v>
      </c>
      <c r="I2428" s="5">
        <v>44</v>
      </c>
      <c r="J2428" s="5">
        <v>40</v>
      </c>
      <c r="K2428" s="5">
        <v>42</v>
      </c>
      <c r="L2428" s="5">
        <v>32</v>
      </c>
      <c r="M2428" s="5">
        <v>0</v>
      </c>
      <c r="N2428" s="5">
        <v>512</v>
      </c>
      <c r="O2428" s="5" t="str">
        <f t="shared" ca="1" si="37"/>
        <v>Supplier 129</v>
      </c>
      <c r="P2428" s="20" t="str">
        <f ca="1">IFERROR(VLOOKUP(O2428,EMAILS!B:C,2,FALSE),"NOT FOUND IN EMAILS")</f>
        <v>supplier@gmail.com</v>
      </c>
      <c r="Q2428" t="str">
        <f ca="1">""&amp;IFERROR(VLOOKUP(O2428,EMAILS!B:D,3,FALSE),"NOT FOUND IN EMAILS")</f>
        <v/>
      </c>
      <c r="R2428" t="str">
        <f ca="1">""&amp;IFERROR(VLOOKUP(O2428,EMAILS!B:E,4,FALSE),"NO T FOUND IN EMAILS")</f>
        <v/>
      </c>
    </row>
    <row r="2429" spans="2:18" x14ac:dyDescent="0.25">
      <c r="B2429" s="5" t="s">
        <v>2431</v>
      </c>
      <c r="C2429" s="5" t="s">
        <v>6571</v>
      </c>
      <c r="D2429" s="5">
        <v>14</v>
      </c>
      <c r="E2429" s="5">
        <v>18</v>
      </c>
      <c r="F2429" s="5">
        <v>24</v>
      </c>
      <c r="G2429" s="5">
        <v>20</v>
      </c>
      <c r="H2429" s="5">
        <v>20</v>
      </c>
      <c r="I2429" s="5">
        <v>18</v>
      </c>
      <c r="J2429" s="5">
        <v>14</v>
      </c>
      <c r="K2429" s="5">
        <v>8</v>
      </c>
      <c r="L2429" s="5">
        <v>8</v>
      </c>
      <c r="M2429" s="5">
        <v>0</v>
      </c>
      <c r="N2429" s="5">
        <v>423</v>
      </c>
      <c r="O2429" s="5" t="str">
        <f t="shared" ca="1" si="37"/>
        <v>Supplier 13</v>
      </c>
      <c r="P2429" s="20" t="str">
        <f ca="1">IFERROR(VLOOKUP(O2429,EMAILS!B:C,2,FALSE),"NOT FOUND IN EMAILS")</f>
        <v>supplier@gmail.com</v>
      </c>
      <c r="Q2429" t="str">
        <f ca="1">""&amp;IFERROR(VLOOKUP(O2429,EMAILS!B:D,3,FALSE),"NOT FOUND IN EMAILS")</f>
        <v>supplier_logistics@gmail.com</v>
      </c>
      <c r="R2429" t="str">
        <f ca="1">""&amp;IFERROR(VLOOKUP(O2429,EMAILS!B:E,4,FALSE),"NO T FOUND IN EMAILS")</f>
        <v/>
      </c>
    </row>
    <row r="2430" spans="2:18" x14ac:dyDescent="0.25">
      <c r="B2430" s="5" t="s">
        <v>2432</v>
      </c>
      <c r="C2430" s="5" t="s">
        <v>6572</v>
      </c>
      <c r="D2430" s="5">
        <v>8</v>
      </c>
      <c r="E2430" s="5">
        <v>0</v>
      </c>
      <c r="F2430" s="5">
        <v>148</v>
      </c>
      <c r="G2430" s="5">
        <v>30</v>
      </c>
      <c r="H2430" s="5">
        <v>24</v>
      </c>
      <c r="I2430" s="5">
        <v>0</v>
      </c>
      <c r="J2430" s="5">
        <v>16</v>
      </c>
      <c r="K2430" s="5">
        <v>40</v>
      </c>
      <c r="L2430" s="5">
        <v>0</v>
      </c>
      <c r="M2430" s="5">
        <v>0</v>
      </c>
      <c r="N2430" s="5">
        <v>197</v>
      </c>
      <c r="O2430" s="5" t="str">
        <f t="shared" ca="1" si="37"/>
        <v>Supplier 55</v>
      </c>
      <c r="P2430" s="20" t="str">
        <f ca="1">IFERROR(VLOOKUP(O2430,EMAILS!B:C,2,FALSE),"NOT FOUND IN EMAILS")</f>
        <v>supplier@gmail.com</v>
      </c>
      <c r="Q2430" t="str">
        <f ca="1">""&amp;IFERROR(VLOOKUP(O2430,EMAILS!B:D,3,FALSE),"NOT FOUND IN EMAILS")</f>
        <v/>
      </c>
      <c r="R2430" t="str">
        <f ca="1">""&amp;IFERROR(VLOOKUP(O2430,EMAILS!B:E,4,FALSE),"NO T FOUND IN EMAILS")</f>
        <v/>
      </c>
    </row>
    <row r="2431" spans="2:18" x14ac:dyDescent="0.25">
      <c r="B2431" s="5" t="s">
        <v>2433</v>
      </c>
      <c r="C2431" s="5" t="s">
        <v>6573</v>
      </c>
      <c r="D2431" s="5">
        <v>0</v>
      </c>
      <c r="E2431" s="5">
        <v>0</v>
      </c>
      <c r="F2431" s="5">
        <v>0</v>
      </c>
      <c r="G2431" s="5">
        <v>1</v>
      </c>
      <c r="H2431" s="5">
        <v>0</v>
      </c>
      <c r="I2431" s="5">
        <v>0</v>
      </c>
      <c r="J2431" s="5">
        <v>0</v>
      </c>
      <c r="K2431" s="5">
        <v>4</v>
      </c>
      <c r="L2431" s="5">
        <v>0</v>
      </c>
      <c r="M2431" s="5">
        <v>0</v>
      </c>
      <c r="N2431" s="5">
        <v>3322</v>
      </c>
      <c r="O2431" s="5" t="str">
        <f t="shared" ca="1" si="37"/>
        <v>Supplier 107</v>
      </c>
      <c r="P2431" s="20" t="str">
        <f ca="1">IFERROR(VLOOKUP(O2431,EMAILS!B:C,2,FALSE),"NOT FOUND IN EMAILS")</f>
        <v>supplier@gmail.com</v>
      </c>
      <c r="Q2431" t="str">
        <f ca="1">""&amp;IFERROR(VLOOKUP(O2431,EMAILS!B:D,3,FALSE),"NOT FOUND IN EMAILS")</f>
        <v/>
      </c>
      <c r="R2431" t="str">
        <f ca="1">""&amp;IFERROR(VLOOKUP(O2431,EMAILS!B:E,4,FALSE),"NO T FOUND IN EMAILS")</f>
        <v/>
      </c>
    </row>
    <row r="2432" spans="2:18" x14ac:dyDescent="0.25">
      <c r="B2432" s="5" t="s">
        <v>2434</v>
      </c>
      <c r="C2432" s="5" t="s">
        <v>6574</v>
      </c>
      <c r="D2432" s="5">
        <v>0</v>
      </c>
      <c r="E2432" s="5">
        <v>0</v>
      </c>
      <c r="F2432" s="5">
        <v>0</v>
      </c>
      <c r="G2432" s="5">
        <v>0</v>
      </c>
      <c r="H2432" s="5">
        <v>0</v>
      </c>
      <c r="I2432" s="5">
        <v>0</v>
      </c>
      <c r="J2432" s="5">
        <v>0</v>
      </c>
      <c r="K2432" s="5">
        <v>0</v>
      </c>
      <c r="L2432" s="5">
        <v>0</v>
      </c>
      <c r="M2432" s="5">
        <v>0</v>
      </c>
      <c r="N2432" s="5">
        <v>17</v>
      </c>
      <c r="O2432" s="5" t="str">
        <f t="shared" ca="1" si="37"/>
        <v>Supplier 189</v>
      </c>
      <c r="P2432" s="20" t="str">
        <f ca="1">IFERROR(VLOOKUP(O2432,EMAILS!B:C,2,FALSE),"NOT FOUND IN EMAILS")</f>
        <v>supplier@gmail.com</v>
      </c>
      <c r="Q2432" t="str">
        <f ca="1">""&amp;IFERROR(VLOOKUP(O2432,EMAILS!B:D,3,FALSE),"NOT FOUND IN EMAILS")</f>
        <v/>
      </c>
      <c r="R2432" t="str">
        <f ca="1">""&amp;IFERROR(VLOOKUP(O2432,EMAILS!B:E,4,FALSE),"NO T FOUND IN EMAILS")</f>
        <v/>
      </c>
    </row>
    <row r="2433" spans="2:18" x14ac:dyDescent="0.25">
      <c r="B2433" s="5" t="s">
        <v>2435</v>
      </c>
      <c r="C2433" s="5" t="s">
        <v>6575</v>
      </c>
      <c r="D2433" s="5">
        <v>24</v>
      </c>
      <c r="E2433" s="5">
        <v>17</v>
      </c>
      <c r="F2433" s="5">
        <v>9</v>
      </c>
      <c r="G2433" s="5">
        <v>36</v>
      </c>
      <c r="H2433" s="5">
        <v>13</v>
      </c>
      <c r="I2433" s="5">
        <v>11</v>
      </c>
      <c r="J2433" s="5">
        <v>11</v>
      </c>
      <c r="K2433" s="5">
        <v>15</v>
      </c>
      <c r="L2433" s="5">
        <v>12</v>
      </c>
      <c r="M2433" s="5">
        <v>0</v>
      </c>
      <c r="N2433" s="5">
        <v>68</v>
      </c>
      <c r="O2433" s="5" t="str">
        <f t="shared" ca="1" si="37"/>
        <v>Supplier 142</v>
      </c>
      <c r="P2433" s="20" t="str">
        <f ca="1">IFERROR(VLOOKUP(O2433,EMAILS!B:C,2,FALSE),"NOT FOUND IN EMAILS")</f>
        <v>supplier@gmail.com</v>
      </c>
      <c r="Q2433" t="str">
        <f ca="1">""&amp;IFERROR(VLOOKUP(O2433,EMAILS!B:D,3,FALSE),"NOT FOUND IN EMAILS")</f>
        <v/>
      </c>
      <c r="R2433" t="str">
        <f ca="1">""&amp;IFERROR(VLOOKUP(O2433,EMAILS!B:E,4,FALSE),"NO T FOUND IN EMAILS")</f>
        <v/>
      </c>
    </row>
    <row r="2434" spans="2:18" x14ac:dyDescent="0.25">
      <c r="B2434" s="5" t="s">
        <v>2436</v>
      </c>
      <c r="C2434" s="5" t="s">
        <v>6576</v>
      </c>
      <c r="D2434" s="5">
        <v>4</v>
      </c>
      <c r="E2434" s="5">
        <v>14</v>
      </c>
      <c r="F2434" s="5">
        <v>0</v>
      </c>
      <c r="G2434" s="5">
        <v>20</v>
      </c>
      <c r="H2434" s="5">
        <v>10</v>
      </c>
      <c r="I2434" s="5">
        <v>6</v>
      </c>
      <c r="J2434" s="5">
        <v>6</v>
      </c>
      <c r="K2434" s="5">
        <v>12</v>
      </c>
      <c r="L2434" s="5">
        <v>2</v>
      </c>
      <c r="M2434" s="5">
        <v>0</v>
      </c>
      <c r="N2434" s="5">
        <v>763</v>
      </c>
      <c r="O2434" s="5" t="str">
        <f t="shared" ca="1" si="37"/>
        <v>Supplier 87</v>
      </c>
      <c r="P2434" s="20" t="str">
        <f ca="1">IFERROR(VLOOKUP(O2434,EMAILS!B:C,2,FALSE),"NOT FOUND IN EMAILS")</f>
        <v>supplier@gmail.com</v>
      </c>
      <c r="Q2434" t="str">
        <f ca="1">""&amp;IFERROR(VLOOKUP(O2434,EMAILS!B:D,3,FALSE),"NOT FOUND IN EMAILS")</f>
        <v/>
      </c>
      <c r="R2434" t="str">
        <f ca="1">""&amp;IFERROR(VLOOKUP(O2434,EMAILS!B:E,4,FALSE),"NO T FOUND IN EMAILS")</f>
        <v/>
      </c>
    </row>
    <row r="2435" spans="2:18" x14ac:dyDescent="0.25">
      <c r="B2435" s="5" t="s">
        <v>2437</v>
      </c>
      <c r="C2435" s="5" t="s">
        <v>6577</v>
      </c>
      <c r="D2435" s="5">
        <v>213</v>
      </c>
      <c r="E2435" s="5">
        <v>247</v>
      </c>
      <c r="F2435" s="5">
        <v>351</v>
      </c>
      <c r="G2435" s="5">
        <v>293</v>
      </c>
      <c r="H2435" s="5">
        <v>203</v>
      </c>
      <c r="I2435" s="5">
        <v>159</v>
      </c>
      <c r="J2435" s="5">
        <v>165</v>
      </c>
      <c r="K2435" s="5">
        <v>119</v>
      </c>
      <c r="L2435" s="5">
        <v>84</v>
      </c>
      <c r="M2435" s="5">
        <v>0</v>
      </c>
      <c r="N2435" s="5">
        <v>197</v>
      </c>
      <c r="O2435" s="5" t="str">
        <f t="shared" ref="O2435:O2498" ca="1" si="38">"Supplier "&amp;RANDBETWEEN(1,200)</f>
        <v>Supplier 19</v>
      </c>
      <c r="P2435" s="20" t="str">
        <f ca="1">IFERROR(VLOOKUP(O2435,EMAILS!B:C,2,FALSE),"NOT FOUND IN EMAILS")</f>
        <v>supplier@gmail.com</v>
      </c>
      <c r="Q2435" t="str">
        <f ca="1">""&amp;IFERROR(VLOOKUP(O2435,EMAILS!B:D,3,FALSE),"NOT FOUND IN EMAILS")</f>
        <v>supplier_logistics@gmail.com</v>
      </c>
      <c r="R2435" t="str">
        <f ca="1">""&amp;IFERROR(VLOOKUP(O2435,EMAILS!B:E,4,FALSE),"NO T FOUND IN EMAILS")</f>
        <v/>
      </c>
    </row>
    <row r="2436" spans="2:18" x14ac:dyDescent="0.25">
      <c r="B2436" s="5" t="s">
        <v>2438</v>
      </c>
      <c r="C2436" s="5" t="s">
        <v>6578</v>
      </c>
      <c r="D2436" s="5">
        <v>0</v>
      </c>
      <c r="E2436" s="5">
        <v>0</v>
      </c>
      <c r="F2436" s="5">
        <v>0</v>
      </c>
      <c r="G2436" s="5">
        <v>0</v>
      </c>
      <c r="H2436" s="5">
        <v>0</v>
      </c>
      <c r="I2436" s="5">
        <v>0</v>
      </c>
      <c r="J2436" s="5">
        <v>0</v>
      </c>
      <c r="K2436" s="5">
        <v>0</v>
      </c>
      <c r="L2436" s="5">
        <v>0</v>
      </c>
      <c r="M2436" s="5">
        <v>0</v>
      </c>
      <c r="N2436" s="5">
        <v>113</v>
      </c>
      <c r="O2436" s="5" t="str">
        <f t="shared" ca="1" si="38"/>
        <v>Supplier 31</v>
      </c>
      <c r="P2436" s="20" t="str">
        <f ca="1">IFERROR(VLOOKUP(O2436,EMAILS!B:C,2,FALSE),"NOT FOUND IN EMAILS")</f>
        <v>supplier@gmail.com</v>
      </c>
      <c r="Q2436" t="str">
        <f ca="1">""&amp;IFERROR(VLOOKUP(O2436,EMAILS!B:D,3,FALSE),"NOT FOUND IN EMAILS")</f>
        <v/>
      </c>
      <c r="R2436" t="str">
        <f ca="1">""&amp;IFERROR(VLOOKUP(O2436,EMAILS!B:E,4,FALSE),"NO T FOUND IN EMAILS")</f>
        <v/>
      </c>
    </row>
    <row r="2437" spans="2:18" x14ac:dyDescent="0.25">
      <c r="B2437" s="5" t="s">
        <v>2439</v>
      </c>
      <c r="C2437" s="5" t="s">
        <v>6579</v>
      </c>
      <c r="D2437" s="5">
        <v>0</v>
      </c>
      <c r="E2437" s="5">
        <v>0</v>
      </c>
      <c r="F2437" s="5">
        <v>0</v>
      </c>
      <c r="G2437" s="5">
        <v>0</v>
      </c>
      <c r="H2437" s="5">
        <v>0</v>
      </c>
      <c r="I2437" s="5">
        <v>0</v>
      </c>
      <c r="J2437" s="5">
        <v>0</v>
      </c>
      <c r="K2437" s="5">
        <v>0</v>
      </c>
      <c r="L2437" s="5">
        <v>0</v>
      </c>
      <c r="M2437" s="5">
        <v>0</v>
      </c>
      <c r="N2437" s="5">
        <v>243</v>
      </c>
      <c r="O2437" s="5" t="str">
        <f t="shared" ca="1" si="38"/>
        <v>Supplier 119</v>
      </c>
      <c r="P2437" s="20" t="str">
        <f ca="1">IFERROR(VLOOKUP(O2437,EMAILS!B:C,2,FALSE),"NOT FOUND IN EMAILS")</f>
        <v>supplier@gmail.com</v>
      </c>
      <c r="Q2437" t="str">
        <f ca="1">""&amp;IFERROR(VLOOKUP(O2437,EMAILS!B:D,3,FALSE),"NOT FOUND IN EMAILS")</f>
        <v/>
      </c>
      <c r="R2437" t="str">
        <f ca="1">""&amp;IFERROR(VLOOKUP(O2437,EMAILS!B:E,4,FALSE),"NO T FOUND IN EMAILS")</f>
        <v/>
      </c>
    </row>
    <row r="2438" spans="2:18" x14ac:dyDescent="0.25">
      <c r="B2438" s="5" t="s">
        <v>2440</v>
      </c>
      <c r="C2438" s="5" t="s">
        <v>6580</v>
      </c>
      <c r="D2438" s="5">
        <v>0</v>
      </c>
      <c r="E2438" s="5">
        <v>0</v>
      </c>
      <c r="F2438" s="5">
        <v>0</v>
      </c>
      <c r="G2438" s="5">
        <v>0</v>
      </c>
      <c r="H2438" s="5">
        <v>0</v>
      </c>
      <c r="I2438" s="5">
        <v>0</v>
      </c>
      <c r="J2438" s="5">
        <v>0</v>
      </c>
      <c r="K2438" s="5">
        <v>0</v>
      </c>
      <c r="L2438" s="5">
        <v>0</v>
      </c>
      <c r="M2438" s="5">
        <v>0</v>
      </c>
      <c r="N2438" s="5">
        <v>260</v>
      </c>
      <c r="O2438" s="5" t="str">
        <f t="shared" ca="1" si="38"/>
        <v>Supplier 58</v>
      </c>
      <c r="P2438" s="20" t="str">
        <f ca="1">IFERROR(VLOOKUP(O2438,EMAILS!B:C,2,FALSE),"NOT FOUND IN EMAILS")</f>
        <v>supplier@gmail.com</v>
      </c>
      <c r="Q2438" t="str">
        <f ca="1">""&amp;IFERROR(VLOOKUP(O2438,EMAILS!B:D,3,FALSE),"NOT FOUND IN EMAILS")</f>
        <v/>
      </c>
      <c r="R2438" t="str">
        <f ca="1">""&amp;IFERROR(VLOOKUP(O2438,EMAILS!B:E,4,FALSE),"NO T FOUND IN EMAILS")</f>
        <v/>
      </c>
    </row>
    <row r="2439" spans="2:18" x14ac:dyDescent="0.25">
      <c r="B2439" s="5" t="s">
        <v>2441</v>
      </c>
      <c r="C2439" s="5" t="s">
        <v>6581</v>
      </c>
      <c r="D2439" s="5">
        <v>0</v>
      </c>
      <c r="E2439" s="5">
        <v>0</v>
      </c>
      <c r="F2439" s="5">
        <v>0</v>
      </c>
      <c r="G2439" s="5">
        <v>0</v>
      </c>
      <c r="H2439" s="5">
        <v>0</v>
      </c>
      <c r="I2439" s="5">
        <v>0</v>
      </c>
      <c r="J2439" s="5">
        <v>0</v>
      </c>
      <c r="K2439" s="5">
        <v>0</v>
      </c>
      <c r="L2439" s="5">
        <v>0</v>
      </c>
      <c r="M2439" s="5">
        <v>0</v>
      </c>
      <c r="N2439" s="5">
        <v>64</v>
      </c>
      <c r="O2439" s="5" t="str">
        <f t="shared" ca="1" si="38"/>
        <v>Supplier 82</v>
      </c>
      <c r="P2439" s="20" t="str">
        <f ca="1">IFERROR(VLOOKUP(O2439,EMAILS!B:C,2,FALSE),"NOT FOUND IN EMAILS")</f>
        <v>supplier@gmail.com</v>
      </c>
      <c r="Q2439" t="str">
        <f ca="1">""&amp;IFERROR(VLOOKUP(O2439,EMAILS!B:D,3,FALSE),"NOT FOUND IN EMAILS")</f>
        <v/>
      </c>
      <c r="R2439" t="str">
        <f ca="1">""&amp;IFERROR(VLOOKUP(O2439,EMAILS!B:E,4,FALSE),"NO T FOUND IN EMAILS")</f>
        <v/>
      </c>
    </row>
    <row r="2440" spans="2:18" x14ac:dyDescent="0.25">
      <c r="B2440" s="5" t="s">
        <v>2442</v>
      </c>
      <c r="C2440" s="5" t="s">
        <v>6582</v>
      </c>
      <c r="D2440" s="5">
        <v>0</v>
      </c>
      <c r="E2440" s="5">
        <v>0</v>
      </c>
      <c r="F2440" s="5">
        <v>0</v>
      </c>
      <c r="G2440" s="5">
        <v>0</v>
      </c>
      <c r="H2440" s="5">
        <v>0</v>
      </c>
      <c r="I2440" s="5">
        <v>0</v>
      </c>
      <c r="J2440" s="5">
        <v>0</v>
      </c>
      <c r="K2440" s="5">
        <v>0</v>
      </c>
      <c r="L2440" s="5">
        <v>0</v>
      </c>
      <c r="M2440" s="5">
        <v>0</v>
      </c>
      <c r="N2440" s="5">
        <v>69</v>
      </c>
      <c r="O2440" s="5" t="str">
        <f t="shared" ca="1" si="38"/>
        <v>Supplier 193</v>
      </c>
      <c r="P2440" s="20" t="str">
        <f ca="1">IFERROR(VLOOKUP(O2440,EMAILS!B:C,2,FALSE),"NOT FOUND IN EMAILS")</f>
        <v>supplier@gmail.com</v>
      </c>
      <c r="Q2440" t="str">
        <f ca="1">""&amp;IFERROR(VLOOKUP(O2440,EMAILS!B:D,3,FALSE),"NOT FOUND IN EMAILS")</f>
        <v/>
      </c>
      <c r="R2440" t="str">
        <f ca="1">""&amp;IFERROR(VLOOKUP(O2440,EMAILS!B:E,4,FALSE),"NO T FOUND IN EMAILS")</f>
        <v/>
      </c>
    </row>
    <row r="2441" spans="2:18" x14ac:dyDescent="0.25">
      <c r="B2441" s="5" t="s">
        <v>2443</v>
      </c>
      <c r="C2441" s="5" t="s">
        <v>6583</v>
      </c>
      <c r="D2441" s="5">
        <v>0</v>
      </c>
      <c r="E2441" s="5">
        <v>0</v>
      </c>
      <c r="F2441" s="5">
        <v>0</v>
      </c>
      <c r="G2441" s="5">
        <v>0</v>
      </c>
      <c r="H2441" s="5">
        <v>0</v>
      </c>
      <c r="I2441" s="5">
        <v>0</v>
      </c>
      <c r="J2441" s="5">
        <v>0</v>
      </c>
      <c r="K2441" s="5">
        <v>0</v>
      </c>
      <c r="L2441" s="5">
        <v>0</v>
      </c>
      <c r="M2441" s="5">
        <v>0</v>
      </c>
      <c r="N2441" s="5">
        <v>69</v>
      </c>
      <c r="O2441" s="5" t="str">
        <f t="shared" ca="1" si="38"/>
        <v>Supplier 200</v>
      </c>
      <c r="P2441" s="20" t="str">
        <f ca="1">IFERROR(VLOOKUP(O2441,EMAILS!B:C,2,FALSE),"NOT FOUND IN EMAILS")</f>
        <v>supplier@gmail.com</v>
      </c>
      <c r="Q2441" t="str">
        <f ca="1">""&amp;IFERROR(VLOOKUP(O2441,EMAILS!B:D,3,FALSE),"NOT FOUND IN EMAILS")</f>
        <v/>
      </c>
      <c r="R2441" t="str">
        <f ca="1">""&amp;IFERROR(VLOOKUP(O2441,EMAILS!B:E,4,FALSE),"NO T FOUND IN EMAILS")</f>
        <v/>
      </c>
    </row>
    <row r="2442" spans="2:18" x14ac:dyDescent="0.25">
      <c r="B2442" s="5" t="s">
        <v>2444</v>
      </c>
      <c r="C2442" s="5" t="s">
        <v>6584</v>
      </c>
      <c r="D2442" s="5">
        <v>0</v>
      </c>
      <c r="E2442" s="5">
        <v>0</v>
      </c>
      <c r="F2442" s="5">
        <v>0</v>
      </c>
      <c r="G2442" s="5">
        <v>0</v>
      </c>
      <c r="H2442" s="5">
        <v>0</v>
      </c>
      <c r="I2442" s="5">
        <v>0</v>
      </c>
      <c r="J2442" s="5">
        <v>0</v>
      </c>
      <c r="K2442" s="5">
        <v>0</v>
      </c>
      <c r="L2442" s="5">
        <v>0</v>
      </c>
      <c r="M2442" s="5">
        <v>0</v>
      </c>
      <c r="N2442" s="5">
        <v>62</v>
      </c>
      <c r="O2442" s="5" t="str">
        <f t="shared" ca="1" si="38"/>
        <v>Supplier 14</v>
      </c>
      <c r="P2442" s="20" t="str">
        <f ca="1">IFERROR(VLOOKUP(O2442,EMAILS!B:C,2,FALSE),"NOT FOUND IN EMAILS")</f>
        <v>supplier@gmail.com</v>
      </c>
      <c r="Q2442" t="str">
        <f ca="1">""&amp;IFERROR(VLOOKUP(O2442,EMAILS!B:D,3,FALSE),"NOT FOUND IN EMAILS")</f>
        <v>supplier_logistics@gmail.com</v>
      </c>
      <c r="R2442" t="str">
        <f ca="1">""&amp;IFERROR(VLOOKUP(O2442,EMAILS!B:E,4,FALSE),"NO T FOUND IN EMAILS")</f>
        <v/>
      </c>
    </row>
    <row r="2443" spans="2:18" x14ac:dyDescent="0.25">
      <c r="B2443" s="5" t="s">
        <v>2445</v>
      </c>
      <c r="C2443" s="5" t="s">
        <v>6585</v>
      </c>
      <c r="D2443" s="5">
        <v>0</v>
      </c>
      <c r="E2443" s="5">
        <v>0</v>
      </c>
      <c r="F2443" s="5">
        <v>0</v>
      </c>
      <c r="G2443" s="5">
        <v>0</v>
      </c>
      <c r="H2443" s="5">
        <v>0</v>
      </c>
      <c r="I2443" s="5">
        <v>0</v>
      </c>
      <c r="J2443" s="5">
        <v>0</v>
      </c>
      <c r="K2443" s="5">
        <v>0</v>
      </c>
      <c r="L2443" s="5">
        <v>0</v>
      </c>
      <c r="M2443" s="5">
        <v>0</v>
      </c>
      <c r="N2443" s="5">
        <v>43</v>
      </c>
      <c r="O2443" s="5" t="str">
        <f t="shared" ca="1" si="38"/>
        <v>Supplier 62</v>
      </c>
      <c r="P2443" s="20" t="str">
        <f ca="1">IFERROR(VLOOKUP(O2443,EMAILS!B:C,2,FALSE),"NOT FOUND IN EMAILS")</f>
        <v>supplier@gmail.com</v>
      </c>
      <c r="Q2443" t="str">
        <f ca="1">""&amp;IFERROR(VLOOKUP(O2443,EMAILS!B:D,3,FALSE),"NOT FOUND IN EMAILS")</f>
        <v/>
      </c>
      <c r="R2443" t="str">
        <f ca="1">""&amp;IFERROR(VLOOKUP(O2443,EMAILS!B:E,4,FALSE),"NO T FOUND IN EMAILS")</f>
        <v/>
      </c>
    </row>
    <row r="2444" spans="2:18" x14ac:dyDescent="0.25">
      <c r="B2444" s="5" t="s">
        <v>2446</v>
      </c>
      <c r="C2444" s="5" t="s">
        <v>6586</v>
      </c>
      <c r="D2444" s="5">
        <v>0</v>
      </c>
      <c r="E2444" s="5">
        <v>0</v>
      </c>
      <c r="F2444" s="5">
        <v>0</v>
      </c>
      <c r="G2444" s="5">
        <v>0</v>
      </c>
      <c r="H2444" s="5">
        <v>0</v>
      </c>
      <c r="I2444" s="5">
        <v>0</v>
      </c>
      <c r="J2444" s="5">
        <v>0</v>
      </c>
      <c r="K2444" s="5">
        <v>0</v>
      </c>
      <c r="L2444" s="5">
        <v>0</v>
      </c>
      <c r="M2444" s="5">
        <v>0</v>
      </c>
      <c r="N2444" s="5">
        <v>150</v>
      </c>
      <c r="O2444" s="5" t="str">
        <f t="shared" ca="1" si="38"/>
        <v>Supplier 85</v>
      </c>
      <c r="P2444" s="20" t="str">
        <f ca="1">IFERROR(VLOOKUP(O2444,EMAILS!B:C,2,FALSE),"NOT FOUND IN EMAILS")</f>
        <v>supplier@gmail.com</v>
      </c>
      <c r="Q2444" t="str">
        <f ca="1">""&amp;IFERROR(VLOOKUP(O2444,EMAILS!B:D,3,FALSE),"NOT FOUND IN EMAILS")</f>
        <v/>
      </c>
      <c r="R2444" t="str">
        <f ca="1">""&amp;IFERROR(VLOOKUP(O2444,EMAILS!B:E,4,FALSE),"NO T FOUND IN EMAILS")</f>
        <v/>
      </c>
    </row>
    <row r="2445" spans="2:18" x14ac:dyDescent="0.25">
      <c r="B2445" s="5" t="s">
        <v>2447</v>
      </c>
      <c r="C2445" s="5" t="s">
        <v>6587</v>
      </c>
      <c r="D2445" s="5">
        <v>0</v>
      </c>
      <c r="E2445" s="5">
        <v>0</v>
      </c>
      <c r="F2445" s="5">
        <v>0</v>
      </c>
      <c r="G2445" s="5">
        <v>0</v>
      </c>
      <c r="H2445" s="5">
        <v>0</v>
      </c>
      <c r="I2445" s="5">
        <v>0</v>
      </c>
      <c r="J2445" s="5">
        <v>0</v>
      </c>
      <c r="K2445" s="5">
        <v>0</v>
      </c>
      <c r="L2445" s="5">
        <v>0</v>
      </c>
      <c r="M2445" s="5">
        <v>0</v>
      </c>
      <c r="N2445" s="5">
        <v>264</v>
      </c>
      <c r="O2445" s="5" t="str">
        <f t="shared" ca="1" si="38"/>
        <v>Supplier 191</v>
      </c>
      <c r="P2445" s="20" t="str">
        <f ca="1">IFERROR(VLOOKUP(O2445,EMAILS!B:C,2,FALSE),"NOT FOUND IN EMAILS")</f>
        <v>supplier@gmail.com</v>
      </c>
      <c r="Q2445" t="str">
        <f ca="1">""&amp;IFERROR(VLOOKUP(O2445,EMAILS!B:D,3,FALSE),"NOT FOUND IN EMAILS")</f>
        <v/>
      </c>
      <c r="R2445" t="str">
        <f ca="1">""&amp;IFERROR(VLOOKUP(O2445,EMAILS!B:E,4,FALSE),"NO T FOUND IN EMAILS")</f>
        <v/>
      </c>
    </row>
    <row r="2446" spans="2:18" x14ac:dyDescent="0.25">
      <c r="B2446" s="5" t="s">
        <v>2448</v>
      </c>
      <c r="C2446" s="5" t="s">
        <v>6588</v>
      </c>
      <c r="D2446" s="5">
        <v>0</v>
      </c>
      <c r="E2446" s="5">
        <v>0</v>
      </c>
      <c r="F2446" s="5">
        <v>0</v>
      </c>
      <c r="G2446" s="5">
        <v>0</v>
      </c>
      <c r="H2446" s="5">
        <v>0</v>
      </c>
      <c r="I2446" s="5">
        <v>0</v>
      </c>
      <c r="J2446" s="5">
        <v>0</v>
      </c>
      <c r="K2446" s="5">
        <v>0</v>
      </c>
      <c r="L2446" s="5">
        <v>0</v>
      </c>
      <c r="M2446" s="5">
        <v>0</v>
      </c>
      <c r="N2446" s="5">
        <v>186</v>
      </c>
      <c r="O2446" s="5" t="str">
        <f t="shared" ca="1" si="38"/>
        <v>Supplier 151</v>
      </c>
      <c r="P2446" s="20" t="str">
        <f ca="1">IFERROR(VLOOKUP(O2446,EMAILS!B:C,2,FALSE),"NOT FOUND IN EMAILS")</f>
        <v>supplier@gmail.com</v>
      </c>
      <c r="Q2446" t="str">
        <f ca="1">""&amp;IFERROR(VLOOKUP(O2446,EMAILS!B:D,3,FALSE),"NOT FOUND IN EMAILS")</f>
        <v/>
      </c>
      <c r="R2446" t="str">
        <f ca="1">""&amp;IFERROR(VLOOKUP(O2446,EMAILS!B:E,4,FALSE),"NO T FOUND IN EMAILS")</f>
        <v/>
      </c>
    </row>
    <row r="2447" spans="2:18" x14ac:dyDescent="0.25">
      <c r="B2447" s="5" t="s">
        <v>2449</v>
      </c>
      <c r="C2447" s="5" t="s">
        <v>6589</v>
      </c>
      <c r="D2447" s="5">
        <v>0</v>
      </c>
      <c r="E2447" s="5">
        <v>0</v>
      </c>
      <c r="F2447" s="5">
        <v>0</v>
      </c>
      <c r="G2447" s="5">
        <v>0</v>
      </c>
      <c r="H2447" s="5">
        <v>0</v>
      </c>
      <c r="I2447" s="5">
        <v>0</v>
      </c>
      <c r="J2447" s="5">
        <v>0</v>
      </c>
      <c r="K2447" s="5">
        <v>0</v>
      </c>
      <c r="L2447" s="5">
        <v>0</v>
      </c>
      <c r="M2447" s="5">
        <v>0</v>
      </c>
      <c r="N2447" s="5">
        <v>96</v>
      </c>
      <c r="O2447" s="5" t="str">
        <f t="shared" ca="1" si="38"/>
        <v>Supplier 7</v>
      </c>
      <c r="P2447" s="20" t="str">
        <f ca="1">IFERROR(VLOOKUP(O2447,EMAILS!B:C,2,FALSE),"NOT FOUND IN EMAILS")</f>
        <v>supplier@gmail.com</v>
      </c>
      <c r="Q2447" t="str">
        <f ca="1">""&amp;IFERROR(VLOOKUP(O2447,EMAILS!B:D,3,FALSE),"NOT FOUND IN EMAILS")</f>
        <v>supplier_logistics@gmail.com</v>
      </c>
      <c r="R2447" t="str">
        <f ca="1">""&amp;IFERROR(VLOOKUP(O2447,EMAILS!B:E,4,FALSE),"NO T FOUND IN EMAILS")</f>
        <v/>
      </c>
    </row>
    <row r="2448" spans="2:18" x14ac:dyDescent="0.25">
      <c r="B2448" s="5" t="s">
        <v>2450</v>
      </c>
      <c r="C2448" s="5" t="s">
        <v>6590</v>
      </c>
      <c r="D2448" s="5">
        <v>0</v>
      </c>
      <c r="E2448" s="5">
        <v>0</v>
      </c>
      <c r="F2448" s="5">
        <v>0</v>
      </c>
      <c r="G2448" s="5">
        <v>0</v>
      </c>
      <c r="H2448" s="5">
        <v>0</v>
      </c>
      <c r="I2448" s="5">
        <v>0</v>
      </c>
      <c r="J2448" s="5">
        <v>0</v>
      </c>
      <c r="K2448" s="5">
        <v>0</v>
      </c>
      <c r="L2448" s="5">
        <v>0</v>
      </c>
      <c r="M2448" s="5">
        <v>0</v>
      </c>
      <c r="N2448" s="5">
        <v>280</v>
      </c>
      <c r="O2448" s="5" t="str">
        <f t="shared" ca="1" si="38"/>
        <v>Supplier 143</v>
      </c>
      <c r="P2448" s="20" t="str">
        <f ca="1">IFERROR(VLOOKUP(O2448,EMAILS!B:C,2,FALSE),"NOT FOUND IN EMAILS")</f>
        <v>supplier@gmail.com</v>
      </c>
      <c r="Q2448" t="str">
        <f ca="1">""&amp;IFERROR(VLOOKUP(O2448,EMAILS!B:D,3,FALSE),"NOT FOUND IN EMAILS")</f>
        <v/>
      </c>
      <c r="R2448" t="str">
        <f ca="1">""&amp;IFERROR(VLOOKUP(O2448,EMAILS!B:E,4,FALSE),"NO T FOUND IN EMAILS")</f>
        <v/>
      </c>
    </row>
    <row r="2449" spans="2:18" x14ac:dyDescent="0.25">
      <c r="B2449" s="5" t="s">
        <v>2451</v>
      </c>
      <c r="C2449" s="5" t="s">
        <v>6591</v>
      </c>
      <c r="D2449" s="5">
        <v>0</v>
      </c>
      <c r="E2449" s="5">
        <v>0</v>
      </c>
      <c r="F2449" s="5">
        <v>0</v>
      </c>
      <c r="G2449" s="5">
        <v>0</v>
      </c>
      <c r="H2449" s="5">
        <v>0</v>
      </c>
      <c r="I2449" s="5">
        <v>0</v>
      </c>
      <c r="J2449" s="5">
        <v>0</v>
      </c>
      <c r="K2449" s="5">
        <v>0</v>
      </c>
      <c r="L2449" s="5">
        <v>0</v>
      </c>
      <c r="M2449" s="5">
        <v>0</v>
      </c>
      <c r="N2449" s="5">
        <v>113</v>
      </c>
      <c r="O2449" s="5" t="str">
        <f t="shared" ca="1" si="38"/>
        <v>Supplier 156</v>
      </c>
      <c r="P2449" s="20" t="str">
        <f ca="1">IFERROR(VLOOKUP(O2449,EMAILS!B:C,2,FALSE),"NOT FOUND IN EMAILS")</f>
        <v>supplier@gmail.com</v>
      </c>
      <c r="Q2449" t="str">
        <f ca="1">""&amp;IFERROR(VLOOKUP(O2449,EMAILS!B:D,3,FALSE),"NOT FOUND IN EMAILS")</f>
        <v/>
      </c>
      <c r="R2449" t="str">
        <f ca="1">""&amp;IFERROR(VLOOKUP(O2449,EMAILS!B:E,4,FALSE),"NO T FOUND IN EMAILS")</f>
        <v/>
      </c>
    </row>
    <row r="2450" spans="2:18" x14ac:dyDescent="0.25">
      <c r="B2450" s="5" t="s">
        <v>2452</v>
      </c>
      <c r="C2450" s="5" t="s">
        <v>6592</v>
      </c>
      <c r="D2450" s="5">
        <v>0</v>
      </c>
      <c r="E2450" s="5">
        <v>0</v>
      </c>
      <c r="F2450" s="5">
        <v>0</v>
      </c>
      <c r="G2450" s="5">
        <v>0</v>
      </c>
      <c r="H2450" s="5">
        <v>0</v>
      </c>
      <c r="I2450" s="5">
        <v>0</v>
      </c>
      <c r="J2450" s="5">
        <v>0</v>
      </c>
      <c r="K2450" s="5">
        <v>0</v>
      </c>
      <c r="L2450" s="5">
        <v>0</v>
      </c>
      <c r="M2450" s="5">
        <v>0</v>
      </c>
      <c r="N2450" s="5">
        <v>300</v>
      </c>
      <c r="O2450" s="5" t="str">
        <f t="shared" ca="1" si="38"/>
        <v>Supplier 156</v>
      </c>
      <c r="P2450" s="20" t="str">
        <f ca="1">IFERROR(VLOOKUP(O2450,EMAILS!B:C,2,FALSE),"NOT FOUND IN EMAILS")</f>
        <v>supplier@gmail.com</v>
      </c>
      <c r="Q2450" t="str">
        <f ca="1">""&amp;IFERROR(VLOOKUP(O2450,EMAILS!B:D,3,FALSE),"NOT FOUND IN EMAILS")</f>
        <v/>
      </c>
      <c r="R2450" t="str">
        <f ca="1">""&amp;IFERROR(VLOOKUP(O2450,EMAILS!B:E,4,FALSE),"NO T FOUND IN EMAILS")</f>
        <v/>
      </c>
    </row>
    <row r="2451" spans="2:18" x14ac:dyDescent="0.25">
      <c r="B2451" s="5" t="s">
        <v>2453</v>
      </c>
      <c r="C2451" s="5" t="s">
        <v>6593</v>
      </c>
      <c r="D2451" s="5">
        <v>0</v>
      </c>
      <c r="E2451" s="5">
        <v>0</v>
      </c>
      <c r="F2451" s="5">
        <v>0</v>
      </c>
      <c r="G2451" s="5">
        <v>0</v>
      </c>
      <c r="H2451" s="5">
        <v>0</v>
      </c>
      <c r="I2451" s="5">
        <v>0</v>
      </c>
      <c r="J2451" s="5">
        <v>0</v>
      </c>
      <c r="K2451" s="5">
        <v>0</v>
      </c>
      <c r="L2451" s="5">
        <v>0</v>
      </c>
      <c r="M2451" s="5">
        <v>0</v>
      </c>
      <c r="N2451" s="5">
        <v>386</v>
      </c>
      <c r="O2451" s="5" t="str">
        <f t="shared" ca="1" si="38"/>
        <v>Supplier 108</v>
      </c>
      <c r="P2451" s="20" t="str">
        <f ca="1">IFERROR(VLOOKUP(O2451,EMAILS!B:C,2,FALSE),"NOT FOUND IN EMAILS")</f>
        <v>supplier@gmail.com</v>
      </c>
      <c r="Q2451" t="str">
        <f ca="1">""&amp;IFERROR(VLOOKUP(O2451,EMAILS!B:D,3,FALSE),"NOT FOUND IN EMAILS")</f>
        <v/>
      </c>
      <c r="R2451" t="str">
        <f ca="1">""&amp;IFERROR(VLOOKUP(O2451,EMAILS!B:E,4,FALSE),"NO T FOUND IN EMAILS")</f>
        <v/>
      </c>
    </row>
    <row r="2452" spans="2:18" x14ac:dyDescent="0.25">
      <c r="B2452" s="5" t="s">
        <v>2454</v>
      </c>
      <c r="C2452" s="5" t="s">
        <v>6594</v>
      </c>
      <c r="D2452" s="5">
        <v>0</v>
      </c>
      <c r="E2452" s="5">
        <v>0</v>
      </c>
      <c r="F2452" s="5">
        <v>0</v>
      </c>
      <c r="G2452" s="5">
        <v>0</v>
      </c>
      <c r="H2452" s="5">
        <v>0</v>
      </c>
      <c r="I2452" s="5">
        <v>0</v>
      </c>
      <c r="J2452" s="5">
        <v>0</v>
      </c>
      <c r="K2452" s="5">
        <v>0</v>
      </c>
      <c r="L2452" s="5">
        <v>0</v>
      </c>
      <c r="M2452" s="5">
        <v>0</v>
      </c>
      <c r="N2452" s="5">
        <v>237</v>
      </c>
      <c r="O2452" s="5" t="str">
        <f t="shared" ca="1" si="38"/>
        <v>Supplier 117</v>
      </c>
      <c r="P2452" s="20" t="str">
        <f ca="1">IFERROR(VLOOKUP(O2452,EMAILS!B:C,2,FALSE),"NOT FOUND IN EMAILS")</f>
        <v>supplier@gmail.com</v>
      </c>
      <c r="Q2452" t="str">
        <f ca="1">""&amp;IFERROR(VLOOKUP(O2452,EMAILS!B:D,3,FALSE),"NOT FOUND IN EMAILS")</f>
        <v/>
      </c>
      <c r="R2452" t="str">
        <f ca="1">""&amp;IFERROR(VLOOKUP(O2452,EMAILS!B:E,4,FALSE),"NO T FOUND IN EMAILS")</f>
        <v/>
      </c>
    </row>
    <row r="2453" spans="2:18" x14ac:dyDescent="0.25">
      <c r="B2453" s="5" t="s">
        <v>2455</v>
      </c>
      <c r="C2453" s="5" t="s">
        <v>6595</v>
      </c>
      <c r="D2453" s="5">
        <v>0</v>
      </c>
      <c r="E2453" s="5">
        <v>0</v>
      </c>
      <c r="F2453" s="5">
        <v>0</v>
      </c>
      <c r="G2453" s="5">
        <v>0</v>
      </c>
      <c r="H2453" s="5">
        <v>0</v>
      </c>
      <c r="I2453" s="5">
        <v>0</v>
      </c>
      <c r="J2453" s="5">
        <v>0</v>
      </c>
      <c r="K2453" s="5">
        <v>0</v>
      </c>
      <c r="L2453" s="5">
        <v>0</v>
      </c>
      <c r="M2453" s="5">
        <v>0</v>
      </c>
      <c r="N2453" s="5">
        <v>70</v>
      </c>
      <c r="O2453" s="5" t="str">
        <f t="shared" ca="1" si="38"/>
        <v>Supplier 2</v>
      </c>
      <c r="P2453" s="20" t="str">
        <f ca="1">IFERROR(VLOOKUP(O2453,EMAILS!B:C,2,FALSE),"NOT FOUND IN EMAILS")</f>
        <v>supplier@gmail.com</v>
      </c>
      <c r="Q2453" t="str">
        <f ca="1">""&amp;IFERROR(VLOOKUP(O2453,EMAILS!B:D,3,FALSE),"NOT FOUND IN EMAILS")</f>
        <v>supplier_logistics@gmail.com</v>
      </c>
      <c r="R2453" t="str">
        <f ca="1">""&amp;IFERROR(VLOOKUP(O2453,EMAILS!B:E,4,FALSE),"NO T FOUND IN EMAILS")</f>
        <v/>
      </c>
    </row>
    <row r="2454" spans="2:18" x14ac:dyDescent="0.25">
      <c r="B2454" s="5" t="s">
        <v>2456</v>
      </c>
      <c r="C2454" s="5" t="s">
        <v>6596</v>
      </c>
      <c r="D2454" s="5">
        <v>0</v>
      </c>
      <c r="E2454" s="5">
        <v>0</v>
      </c>
      <c r="F2454" s="5">
        <v>0</v>
      </c>
      <c r="G2454" s="5">
        <v>0</v>
      </c>
      <c r="H2454" s="5">
        <v>0</v>
      </c>
      <c r="I2454" s="5">
        <v>0</v>
      </c>
      <c r="J2454" s="5">
        <v>0</v>
      </c>
      <c r="K2454" s="5">
        <v>0</v>
      </c>
      <c r="L2454" s="5">
        <v>0</v>
      </c>
      <c r="M2454" s="5">
        <v>0</v>
      </c>
      <c r="N2454" s="5">
        <v>10</v>
      </c>
      <c r="O2454" s="5" t="str">
        <f t="shared" ca="1" si="38"/>
        <v>Supplier 27</v>
      </c>
      <c r="P2454" s="20" t="str">
        <f ca="1">IFERROR(VLOOKUP(O2454,EMAILS!B:C,2,FALSE),"NOT FOUND IN EMAILS")</f>
        <v>supplier@gmail.com</v>
      </c>
      <c r="Q2454" t="str">
        <f ca="1">""&amp;IFERROR(VLOOKUP(O2454,EMAILS!B:D,3,FALSE),"NOT FOUND IN EMAILS")</f>
        <v/>
      </c>
      <c r="R2454" t="str">
        <f ca="1">""&amp;IFERROR(VLOOKUP(O2454,EMAILS!B:E,4,FALSE),"NO T FOUND IN EMAILS")</f>
        <v/>
      </c>
    </row>
    <row r="2455" spans="2:18" x14ac:dyDescent="0.25">
      <c r="B2455" s="5" t="s">
        <v>2457</v>
      </c>
      <c r="C2455" s="5" t="s">
        <v>6597</v>
      </c>
      <c r="D2455" s="5">
        <v>0</v>
      </c>
      <c r="E2455" s="5">
        <v>0</v>
      </c>
      <c r="F2455" s="5">
        <v>0</v>
      </c>
      <c r="G2455" s="5">
        <v>0</v>
      </c>
      <c r="H2455" s="5">
        <v>0</v>
      </c>
      <c r="I2455" s="5">
        <v>0</v>
      </c>
      <c r="J2455" s="5">
        <v>0</v>
      </c>
      <c r="K2455" s="5">
        <v>0</v>
      </c>
      <c r="L2455" s="5">
        <v>0</v>
      </c>
      <c r="M2455" s="5">
        <v>0</v>
      </c>
      <c r="N2455" s="5">
        <v>0</v>
      </c>
      <c r="O2455" s="5" t="str">
        <f t="shared" ca="1" si="38"/>
        <v>Supplier 106</v>
      </c>
      <c r="P2455" s="20" t="str">
        <f ca="1">IFERROR(VLOOKUP(O2455,EMAILS!B:C,2,FALSE),"NOT FOUND IN EMAILS")</f>
        <v>supplier@gmail.com</v>
      </c>
      <c r="Q2455" t="str">
        <f ca="1">""&amp;IFERROR(VLOOKUP(O2455,EMAILS!B:D,3,FALSE),"NOT FOUND IN EMAILS")</f>
        <v/>
      </c>
      <c r="R2455" t="str">
        <f ca="1">""&amp;IFERROR(VLOOKUP(O2455,EMAILS!B:E,4,FALSE),"NO T FOUND IN EMAILS")</f>
        <v/>
      </c>
    </row>
    <row r="2456" spans="2:18" x14ac:dyDescent="0.25">
      <c r="B2456" s="5" t="s">
        <v>2458</v>
      </c>
      <c r="C2456" s="5" t="s">
        <v>6598</v>
      </c>
      <c r="D2456" s="5">
        <v>0</v>
      </c>
      <c r="E2456" s="5">
        <v>0</v>
      </c>
      <c r="F2456" s="5">
        <v>0</v>
      </c>
      <c r="G2456" s="5">
        <v>0</v>
      </c>
      <c r="H2456" s="5">
        <v>0</v>
      </c>
      <c r="I2456" s="5">
        <v>0</v>
      </c>
      <c r="J2456" s="5">
        <v>0</v>
      </c>
      <c r="K2456" s="5">
        <v>0</v>
      </c>
      <c r="L2456" s="5">
        <v>0</v>
      </c>
      <c r="M2456" s="5">
        <v>0</v>
      </c>
      <c r="N2456" s="5">
        <v>0</v>
      </c>
      <c r="O2456" s="5" t="str">
        <f t="shared" ca="1" si="38"/>
        <v>Supplier 171</v>
      </c>
      <c r="P2456" s="20" t="str">
        <f ca="1">IFERROR(VLOOKUP(O2456,EMAILS!B:C,2,FALSE),"NOT FOUND IN EMAILS")</f>
        <v>supplier@gmail.com</v>
      </c>
      <c r="Q2456" t="str">
        <f ca="1">""&amp;IFERROR(VLOOKUP(O2456,EMAILS!B:D,3,FALSE),"NOT FOUND IN EMAILS")</f>
        <v/>
      </c>
      <c r="R2456" t="str">
        <f ca="1">""&amp;IFERROR(VLOOKUP(O2456,EMAILS!B:E,4,FALSE),"NO T FOUND IN EMAILS")</f>
        <v/>
      </c>
    </row>
    <row r="2457" spans="2:18" x14ac:dyDescent="0.25">
      <c r="B2457" s="5" t="s">
        <v>2459</v>
      </c>
      <c r="C2457" s="5" t="s">
        <v>6599</v>
      </c>
      <c r="D2457" s="5">
        <v>0</v>
      </c>
      <c r="E2457" s="5">
        <v>0</v>
      </c>
      <c r="F2457" s="5">
        <v>0</v>
      </c>
      <c r="G2457" s="5">
        <v>0</v>
      </c>
      <c r="H2457" s="5">
        <v>0</v>
      </c>
      <c r="I2457" s="5">
        <v>0</v>
      </c>
      <c r="J2457" s="5">
        <v>0</v>
      </c>
      <c r="K2457" s="5">
        <v>0</v>
      </c>
      <c r="L2457" s="5">
        <v>0</v>
      </c>
      <c r="M2457" s="5">
        <v>0</v>
      </c>
      <c r="N2457" s="5">
        <v>206</v>
      </c>
      <c r="O2457" s="5" t="str">
        <f t="shared" ca="1" si="38"/>
        <v>Supplier 96</v>
      </c>
      <c r="P2457" s="20" t="str">
        <f ca="1">IFERROR(VLOOKUP(O2457,EMAILS!B:C,2,FALSE),"NOT FOUND IN EMAILS")</f>
        <v>supplier@gmail.com</v>
      </c>
      <c r="Q2457" t="str">
        <f ca="1">""&amp;IFERROR(VLOOKUP(O2457,EMAILS!B:D,3,FALSE),"NOT FOUND IN EMAILS")</f>
        <v/>
      </c>
      <c r="R2457" t="str">
        <f ca="1">""&amp;IFERROR(VLOOKUP(O2457,EMAILS!B:E,4,FALSE),"NO T FOUND IN EMAILS")</f>
        <v/>
      </c>
    </row>
    <row r="2458" spans="2:18" x14ac:dyDescent="0.25">
      <c r="B2458" s="5" t="s">
        <v>2460</v>
      </c>
      <c r="C2458" s="5" t="s">
        <v>6600</v>
      </c>
      <c r="D2458" s="5">
        <v>0</v>
      </c>
      <c r="E2458" s="5">
        <v>0</v>
      </c>
      <c r="F2458" s="5">
        <v>0</v>
      </c>
      <c r="G2458" s="5">
        <v>0</v>
      </c>
      <c r="H2458" s="5">
        <v>0</v>
      </c>
      <c r="I2458" s="5">
        <v>0</v>
      </c>
      <c r="J2458" s="5">
        <v>0</v>
      </c>
      <c r="K2458" s="5">
        <v>0</v>
      </c>
      <c r="L2458" s="5">
        <v>0</v>
      </c>
      <c r="M2458" s="5">
        <v>0</v>
      </c>
      <c r="N2458" s="5">
        <v>20</v>
      </c>
      <c r="O2458" s="5" t="str">
        <f t="shared" ca="1" si="38"/>
        <v>Supplier 45</v>
      </c>
      <c r="P2458" s="20" t="str">
        <f ca="1">IFERROR(VLOOKUP(O2458,EMAILS!B:C,2,FALSE),"NOT FOUND IN EMAILS")</f>
        <v>supplier@gmail.com</v>
      </c>
      <c r="Q2458" t="str">
        <f ca="1">""&amp;IFERROR(VLOOKUP(O2458,EMAILS!B:D,3,FALSE),"NOT FOUND IN EMAILS")</f>
        <v/>
      </c>
      <c r="R2458" t="str">
        <f ca="1">""&amp;IFERROR(VLOOKUP(O2458,EMAILS!B:E,4,FALSE),"NO T FOUND IN EMAILS")</f>
        <v/>
      </c>
    </row>
    <row r="2459" spans="2:18" x14ac:dyDescent="0.25">
      <c r="B2459" s="5" t="s">
        <v>2461</v>
      </c>
      <c r="C2459" s="5" t="s">
        <v>6601</v>
      </c>
      <c r="D2459" s="5">
        <v>0</v>
      </c>
      <c r="E2459" s="5">
        <v>0</v>
      </c>
      <c r="F2459" s="5">
        <v>0</v>
      </c>
      <c r="G2459" s="5">
        <v>0</v>
      </c>
      <c r="H2459" s="5">
        <v>0</v>
      </c>
      <c r="I2459" s="5">
        <v>0</v>
      </c>
      <c r="J2459" s="5">
        <v>0</v>
      </c>
      <c r="K2459" s="5">
        <v>0</v>
      </c>
      <c r="L2459" s="5">
        <v>0</v>
      </c>
      <c r="M2459" s="5">
        <v>0</v>
      </c>
      <c r="N2459" s="5">
        <v>203</v>
      </c>
      <c r="O2459" s="5" t="str">
        <f t="shared" ca="1" si="38"/>
        <v>Supplier 195</v>
      </c>
      <c r="P2459" s="20" t="str">
        <f ca="1">IFERROR(VLOOKUP(O2459,EMAILS!B:C,2,FALSE),"NOT FOUND IN EMAILS")</f>
        <v>supplier@gmail.com</v>
      </c>
      <c r="Q2459" t="str">
        <f ca="1">""&amp;IFERROR(VLOOKUP(O2459,EMAILS!B:D,3,FALSE),"NOT FOUND IN EMAILS")</f>
        <v/>
      </c>
      <c r="R2459" t="str">
        <f ca="1">""&amp;IFERROR(VLOOKUP(O2459,EMAILS!B:E,4,FALSE),"NO T FOUND IN EMAILS")</f>
        <v/>
      </c>
    </row>
    <row r="2460" spans="2:18" x14ac:dyDescent="0.25">
      <c r="B2460" s="5" t="s">
        <v>2462</v>
      </c>
      <c r="C2460" s="5" t="s">
        <v>6602</v>
      </c>
      <c r="D2460" s="5">
        <v>0</v>
      </c>
      <c r="E2460" s="5">
        <v>0</v>
      </c>
      <c r="F2460" s="5">
        <v>0</v>
      </c>
      <c r="G2460" s="5">
        <v>0</v>
      </c>
      <c r="H2460" s="5">
        <v>0</v>
      </c>
      <c r="I2460" s="5">
        <v>0</v>
      </c>
      <c r="J2460" s="5">
        <v>0</v>
      </c>
      <c r="K2460" s="5">
        <v>0</v>
      </c>
      <c r="L2460" s="5">
        <v>0</v>
      </c>
      <c r="M2460" s="5">
        <v>0</v>
      </c>
      <c r="N2460" s="5">
        <v>429</v>
      </c>
      <c r="O2460" s="5" t="str">
        <f t="shared" ca="1" si="38"/>
        <v>Supplier 160</v>
      </c>
      <c r="P2460" s="20" t="str">
        <f ca="1">IFERROR(VLOOKUP(O2460,EMAILS!B:C,2,FALSE),"NOT FOUND IN EMAILS")</f>
        <v>supplier@gmail.com</v>
      </c>
      <c r="Q2460" t="str">
        <f ca="1">""&amp;IFERROR(VLOOKUP(O2460,EMAILS!B:D,3,FALSE),"NOT FOUND IN EMAILS")</f>
        <v/>
      </c>
      <c r="R2460" t="str">
        <f ca="1">""&amp;IFERROR(VLOOKUP(O2460,EMAILS!B:E,4,FALSE),"NO T FOUND IN EMAILS")</f>
        <v/>
      </c>
    </row>
    <row r="2461" spans="2:18" x14ac:dyDescent="0.25">
      <c r="B2461" s="5" t="s">
        <v>2463</v>
      </c>
      <c r="C2461" s="5" t="s">
        <v>6603</v>
      </c>
      <c r="D2461" s="5">
        <v>0</v>
      </c>
      <c r="E2461" s="5">
        <v>0</v>
      </c>
      <c r="F2461" s="5">
        <v>0</v>
      </c>
      <c r="G2461" s="5">
        <v>0</v>
      </c>
      <c r="H2461" s="5">
        <v>0</v>
      </c>
      <c r="I2461" s="5">
        <v>0</v>
      </c>
      <c r="J2461" s="5">
        <v>0</v>
      </c>
      <c r="K2461" s="5">
        <v>0</v>
      </c>
      <c r="L2461" s="5">
        <v>0</v>
      </c>
      <c r="M2461" s="5">
        <v>0</v>
      </c>
      <c r="N2461" s="5">
        <v>1402</v>
      </c>
      <c r="O2461" s="5" t="str">
        <f t="shared" ca="1" si="38"/>
        <v>Supplier 155</v>
      </c>
      <c r="P2461" s="20" t="str">
        <f ca="1">IFERROR(VLOOKUP(O2461,EMAILS!B:C,2,FALSE),"NOT FOUND IN EMAILS")</f>
        <v>supplier@gmail.com</v>
      </c>
      <c r="Q2461" t="str">
        <f ca="1">""&amp;IFERROR(VLOOKUP(O2461,EMAILS!B:D,3,FALSE),"NOT FOUND IN EMAILS")</f>
        <v/>
      </c>
      <c r="R2461" t="str">
        <f ca="1">""&amp;IFERROR(VLOOKUP(O2461,EMAILS!B:E,4,FALSE),"NO T FOUND IN EMAILS")</f>
        <v/>
      </c>
    </row>
    <row r="2462" spans="2:18" x14ac:dyDescent="0.25">
      <c r="B2462" s="5" t="s">
        <v>2464</v>
      </c>
      <c r="C2462" s="5" t="s">
        <v>6604</v>
      </c>
      <c r="D2462" s="5">
        <v>0</v>
      </c>
      <c r="E2462" s="5">
        <v>0</v>
      </c>
      <c r="F2462" s="5">
        <v>0</v>
      </c>
      <c r="G2462" s="5">
        <v>0</v>
      </c>
      <c r="H2462" s="5">
        <v>0</v>
      </c>
      <c r="I2462" s="5">
        <v>0</v>
      </c>
      <c r="J2462" s="5">
        <v>0</v>
      </c>
      <c r="K2462" s="5">
        <v>0</v>
      </c>
      <c r="L2462" s="5">
        <v>0</v>
      </c>
      <c r="M2462" s="5">
        <v>0</v>
      </c>
      <c r="N2462" s="5">
        <v>1427</v>
      </c>
      <c r="O2462" s="5" t="str">
        <f t="shared" ca="1" si="38"/>
        <v>Supplier 101</v>
      </c>
      <c r="P2462" s="20" t="str">
        <f ca="1">IFERROR(VLOOKUP(O2462,EMAILS!B:C,2,FALSE),"NOT FOUND IN EMAILS")</f>
        <v>supplier@gmail.com</v>
      </c>
      <c r="Q2462" t="str">
        <f ca="1">""&amp;IFERROR(VLOOKUP(O2462,EMAILS!B:D,3,FALSE),"NOT FOUND IN EMAILS")</f>
        <v/>
      </c>
      <c r="R2462" t="str">
        <f ca="1">""&amp;IFERROR(VLOOKUP(O2462,EMAILS!B:E,4,FALSE),"NO T FOUND IN EMAILS")</f>
        <v/>
      </c>
    </row>
    <row r="2463" spans="2:18" x14ac:dyDescent="0.25">
      <c r="B2463" s="5" t="s">
        <v>2465</v>
      </c>
      <c r="C2463" s="5" t="s">
        <v>6605</v>
      </c>
      <c r="D2463" s="5">
        <v>0</v>
      </c>
      <c r="E2463" s="5">
        <v>0</v>
      </c>
      <c r="F2463" s="5">
        <v>0</v>
      </c>
      <c r="G2463" s="5">
        <v>0</v>
      </c>
      <c r="H2463" s="5">
        <v>0</v>
      </c>
      <c r="I2463" s="5">
        <v>0</v>
      </c>
      <c r="J2463" s="5">
        <v>0</v>
      </c>
      <c r="K2463" s="5">
        <v>0</v>
      </c>
      <c r="L2463" s="5">
        <v>0</v>
      </c>
      <c r="M2463" s="5">
        <v>0</v>
      </c>
      <c r="N2463" s="5">
        <v>1417</v>
      </c>
      <c r="O2463" s="5" t="str">
        <f t="shared" ca="1" si="38"/>
        <v>Supplier 176</v>
      </c>
      <c r="P2463" s="20" t="str">
        <f ca="1">IFERROR(VLOOKUP(O2463,EMAILS!B:C,2,FALSE),"NOT FOUND IN EMAILS")</f>
        <v>supplier@gmail.com</v>
      </c>
      <c r="Q2463" t="str">
        <f ca="1">""&amp;IFERROR(VLOOKUP(O2463,EMAILS!B:D,3,FALSE),"NOT FOUND IN EMAILS")</f>
        <v/>
      </c>
      <c r="R2463" t="str">
        <f ca="1">""&amp;IFERROR(VLOOKUP(O2463,EMAILS!B:E,4,FALSE),"NO T FOUND IN EMAILS")</f>
        <v/>
      </c>
    </row>
    <row r="2464" spans="2:18" x14ac:dyDescent="0.25">
      <c r="B2464" s="5" t="s">
        <v>2466</v>
      </c>
      <c r="C2464" s="5" t="s">
        <v>6606</v>
      </c>
      <c r="D2464" s="5">
        <v>0</v>
      </c>
      <c r="E2464" s="5">
        <v>0</v>
      </c>
      <c r="F2464" s="5">
        <v>0</v>
      </c>
      <c r="G2464" s="5">
        <v>0</v>
      </c>
      <c r="H2464" s="5">
        <v>0</v>
      </c>
      <c r="I2464" s="5">
        <v>0</v>
      </c>
      <c r="J2464" s="5">
        <v>0</v>
      </c>
      <c r="K2464" s="5">
        <v>0</v>
      </c>
      <c r="L2464" s="5">
        <v>0</v>
      </c>
      <c r="M2464" s="5">
        <v>0</v>
      </c>
      <c r="N2464" s="5">
        <v>58</v>
      </c>
      <c r="O2464" s="5" t="str">
        <f t="shared" ca="1" si="38"/>
        <v>Supplier 131</v>
      </c>
      <c r="P2464" s="20" t="str">
        <f ca="1">IFERROR(VLOOKUP(O2464,EMAILS!B:C,2,FALSE),"NOT FOUND IN EMAILS")</f>
        <v>supplier@gmail.com</v>
      </c>
      <c r="Q2464" t="str">
        <f ca="1">""&amp;IFERROR(VLOOKUP(O2464,EMAILS!B:D,3,FALSE),"NOT FOUND IN EMAILS")</f>
        <v/>
      </c>
      <c r="R2464" t="str">
        <f ca="1">""&amp;IFERROR(VLOOKUP(O2464,EMAILS!B:E,4,FALSE),"NO T FOUND IN EMAILS")</f>
        <v/>
      </c>
    </row>
    <row r="2465" spans="2:18" x14ac:dyDescent="0.25">
      <c r="B2465" s="5" t="s">
        <v>2467</v>
      </c>
      <c r="C2465" s="5" t="s">
        <v>6607</v>
      </c>
      <c r="D2465" s="5">
        <v>0</v>
      </c>
      <c r="E2465" s="5">
        <v>0</v>
      </c>
      <c r="F2465" s="5">
        <v>0</v>
      </c>
      <c r="G2465" s="5">
        <v>0</v>
      </c>
      <c r="H2465" s="5">
        <v>0</v>
      </c>
      <c r="I2465" s="5">
        <v>0</v>
      </c>
      <c r="J2465" s="5">
        <v>0</v>
      </c>
      <c r="K2465" s="5">
        <v>0</v>
      </c>
      <c r="L2465" s="5">
        <v>0</v>
      </c>
      <c r="M2465" s="5">
        <v>0</v>
      </c>
      <c r="N2465" s="5">
        <v>141</v>
      </c>
      <c r="O2465" s="5" t="str">
        <f t="shared" ca="1" si="38"/>
        <v>Supplier 40</v>
      </c>
      <c r="P2465" s="20" t="str">
        <f ca="1">IFERROR(VLOOKUP(O2465,EMAILS!B:C,2,FALSE),"NOT FOUND IN EMAILS")</f>
        <v>supplier@gmail.com</v>
      </c>
      <c r="Q2465" t="str">
        <f ca="1">""&amp;IFERROR(VLOOKUP(O2465,EMAILS!B:D,3,FALSE),"NOT FOUND IN EMAILS")</f>
        <v/>
      </c>
      <c r="R2465" t="str">
        <f ca="1">""&amp;IFERROR(VLOOKUP(O2465,EMAILS!B:E,4,FALSE),"NO T FOUND IN EMAILS")</f>
        <v/>
      </c>
    </row>
    <row r="2466" spans="2:18" x14ac:dyDescent="0.25">
      <c r="B2466" s="5" t="s">
        <v>2468</v>
      </c>
      <c r="C2466" s="5" t="s">
        <v>6608</v>
      </c>
      <c r="D2466" s="5">
        <v>0</v>
      </c>
      <c r="E2466" s="5">
        <v>0</v>
      </c>
      <c r="F2466" s="5">
        <v>0</v>
      </c>
      <c r="G2466" s="5">
        <v>0</v>
      </c>
      <c r="H2466" s="5">
        <v>0</v>
      </c>
      <c r="I2466" s="5">
        <v>0</v>
      </c>
      <c r="J2466" s="5">
        <v>0</v>
      </c>
      <c r="K2466" s="5">
        <v>0</v>
      </c>
      <c r="L2466" s="5">
        <v>0</v>
      </c>
      <c r="M2466" s="5">
        <v>0</v>
      </c>
      <c r="N2466" s="5">
        <v>34</v>
      </c>
      <c r="O2466" s="5" t="str">
        <f t="shared" ca="1" si="38"/>
        <v>Supplier 182</v>
      </c>
      <c r="P2466" s="20" t="str">
        <f ca="1">IFERROR(VLOOKUP(O2466,EMAILS!B:C,2,FALSE),"NOT FOUND IN EMAILS")</f>
        <v>supplier@gmail.com</v>
      </c>
      <c r="Q2466" t="str">
        <f ca="1">""&amp;IFERROR(VLOOKUP(O2466,EMAILS!B:D,3,FALSE),"NOT FOUND IN EMAILS")</f>
        <v/>
      </c>
      <c r="R2466" t="str">
        <f ca="1">""&amp;IFERROR(VLOOKUP(O2466,EMAILS!B:E,4,FALSE),"NO T FOUND IN EMAILS")</f>
        <v/>
      </c>
    </row>
    <row r="2467" spans="2:18" x14ac:dyDescent="0.25">
      <c r="B2467" s="5" t="s">
        <v>2469</v>
      </c>
      <c r="C2467" s="5" t="s">
        <v>6609</v>
      </c>
      <c r="D2467" s="5">
        <v>0</v>
      </c>
      <c r="E2467" s="5">
        <v>0</v>
      </c>
      <c r="F2467" s="5">
        <v>0</v>
      </c>
      <c r="G2467" s="5">
        <v>0</v>
      </c>
      <c r="H2467" s="5">
        <v>0</v>
      </c>
      <c r="I2467" s="5">
        <v>0</v>
      </c>
      <c r="J2467" s="5">
        <v>0</v>
      </c>
      <c r="K2467" s="5">
        <v>0</v>
      </c>
      <c r="L2467" s="5">
        <v>0</v>
      </c>
      <c r="M2467" s="5">
        <v>0</v>
      </c>
      <c r="N2467" s="5">
        <v>49</v>
      </c>
      <c r="O2467" s="5" t="str">
        <f t="shared" ca="1" si="38"/>
        <v>Supplier 179</v>
      </c>
      <c r="P2467" s="20" t="str">
        <f ca="1">IFERROR(VLOOKUP(O2467,EMAILS!B:C,2,FALSE),"NOT FOUND IN EMAILS")</f>
        <v>supplier@gmail.com</v>
      </c>
      <c r="Q2467" t="str">
        <f ca="1">""&amp;IFERROR(VLOOKUP(O2467,EMAILS!B:D,3,FALSE),"NOT FOUND IN EMAILS")</f>
        <v/>
      </c>
      <c r="R2467" t="str">
        <f ca="1">""&amp;IFERROR(VLOOKUP(O2467,EMAILS!B:E,4,FALSE),"NO T FOUND IN EMAILS")</f>
        <v/>
      </c>
    </row>
    <row r="2468" spans="2:18" x14ac:dyDescent="0.25">
      <c r="B2468" s="5" t="s">
        <v>2470</v>
      </c>
      <c r="C2468" s="5" t="s">
        <v>6610</v>
      </c>
      <c r="D2468" s="5">
        <v>0</v>
      </c>
      <c r="E2468" s="5">
        <v>0</v>
      </c>
      <c r="F2468" s="5">
        <v>0</v>
      </c>
      <c r="G2468" s="5">
        <v>0</v>
      </c>
      <c r="H2468" s="5">
        <v>0</v>
      </c>
      <c r="I2468" s="5">
        <v>0</v>
      </c>
      <c r="J2468" s="5">
        <v>0</v>
      </c>
      <c r="K2468" s="5">
        <v>0</v>
      </c>
      <c r="L2468" s="5">
        <v>0</v>
      </c>
      <c r="M2468" s="5">
        <v>0</v>
      </c>
      <c r="N2468" s="5">
        <v>49</v>
      </c>
      <c r="O2468" s="5" t="str">
        <f t="shared" ca="1" si="38"/>
        <v>Supplier 140</v>
      </c>
      <c r="P2468" s="20" t="str">
        <f ca="1">IFERROR(VLOOKUP(O2468,EMAILS!B:C,2,FALSE),"NOT FOUND IN EMAILS")</f>
        <v>supplier@gmail.com</v>
      </c>
      <c r="Q2468" t="str">
        <f ca="1">""&amp;IFERROR(VLOOKUP(O2468,EMAILS!B:D,3,FALSE),"NOT FOUND IN EMAILS")</f>
        <v/>
      </c>
      <c r="R2468" t="str">
        <f ca="1">""&amp;IFERROR(VLOOKUP(O2468,EMAILS!B:E,4,FALSE),"NO T FOUND IN EMAILS")</f>
        <v/>
      </c>
    </row>
    <row r="2469" spans="2:18" x14ac:dyDescent="0.25">
      <c r="B2469" s="5" t="s">
        <v>2471</v>
      </c>
      <c r="C2469" s="5" t="s">
        <v>6611</v>
      </c>
      <c r="D2469" s="5">
        <v>0</v>
      </c>
      <c r="E2469" s="5">
        <v>0</v>
      </c>
      <c r="F2469" s="5">
        <v>0</v>
      </c>
      <c r="G2469" s="5">
        <v>0</v>
      </c>
      <c r="H2469" s="5">
        <v>0</v>
      </c>
      <c r="I2469" s="5">
        <v>0</v>
      </c>
      <c r="J2469" s="5">
        <v>0</v>
      </c>
      <c r="K2469" s="5">
        <v>0</v>
      </c>
      <c r="L2469" s="5">
        <v>0</v>
      </c>
      <c r="M2469" s="5">
        <v>0</v>
      </c>
      <c r="N2469" s="5">
        <v>25</v>
      </c>
      <c r="O2469" s="5" t="str">
        <f t="shared" ca="1" si="38"/>
        <v>Supplier 27</v>
      </c>
      <c r="P2469" s="20" t="str">
        <f ca="1">IFERROR(VLOOKUP(O2469,EMAILS!B:C,2,FALSE),"NOT FOUND IN EMAILS")</f>
        <v>supplier@gmail.com</v>
      </c>
      <c r="Q2469" t="str">
        <f ca="1">""&amp;IFERROR(VLOOKUP(O2469,EMAILS!B:D,3,FALSE),"NOT FOUND IN EMAILS")</f>
        <v/>
      </c>
      <c r="R2469" t="str">
        <f ca="1">""&amp;IFERROR(VLOOKUP(O2469,EMAILS!B:E,4,FALSE),"NO T FOUND IN EMAILS")</f>
        <v/>
      </c>
    </row>
    <row r="2470" spans="2:18" x14ac:dyDescent="0.25">
      <c r="B2470" s="5" t="s">
        <v>2472</v>
      </c>
      <c r="C2470" s="5" t="s">
        <v>6612</v>
      </c>
      <c r="D2470" s="5">
        <v>0</v>
      </c>
      <c r="E2470" s="5">
        <v>2</v>
      </c>
      <c r="F2470" s="5">
        <v>2</v>
      </c>
      <c r="G2470" s="5">
        <v>2</v>
      </c>
      <c r="H2470" s="5">
        <v>2</v>
      </c>
      <c r="I2470" s="5">
        <v>2</v>
      </c>
      <c r="J2470" s="5">
        <v>3</v>
      </c>
      <c r="K2470" s="5">
        <v>2</v>
      </c>
      <c r="L2470" s="5">
        <v>2</v>
      </c>
      <c r="M2470" s="5">
        <v>0</v>
      </c>
      <c r="N2470" s="5">
        <v>260</v>
      </c>
      <c r="O2470" s="5" t="str">
        <f t="shared" ca="1" si="38"/>
        <v>Supplier 80</v>
      </c>
      <c r="P2470" s="20" t="str">
        <f ca="1">IFERROR(VLOOKUP(O2470,EMAILS!B:C,2,FALSE),"NOT FOUND IN EMAILS")</f>
        <v>supplier@gmail.com</v>
      </c>
      <c r="Q2470" t="str">
        <f ca="1">""&amp;IFERROR(VLOOKUP(O2470,EMAILS!B:D,3,FALSE),"NOT FOUND IN EMAILS")</f>
        <v/>
      </c>
      <c r="R2470" t="str">
        <f ca="1">""&amp;IFERROR(VLOOKUP(O2470,EMAILS!B:E,4,FALSE),"NO T FOUND IN EMAILS")</f>
        <v/>
      </c>
    </row>
    <row r="2471" spans="2:18" x14ac:dyDescent="0.25">
      <c r="B2471" s="5" t="s">
        <v>2473</v>
      </c>
      <c r="C2471" s="5" t="s">
        <v>6613</v>
      </c>
      <c r="D2471" s="5">
        <v>182</v>
      </c>
      <c r="E2471" s="5">
        <v>70</v>
      </c>
      <c r="F2471" s="5">
        <v>86</v>
      </c>
      <c r="G2471" s="5">
        <v>86</v>
      </c>
      <c r="H2471" s="5">
        <v>86</v>
      </c>
      <c r="I2471" s="5">
        <v>86</v>
      </c>
      <c r="J2471" s="5">
        <v>86</v>
      </c>
      <c r="K2471" s="5">
        <v>86</v>
      </c>
      <c r="L2471" s="5">
        <v>86</v>
      </c>
      <c r="M2471" s="5">
        <v>0</v>
      </c>
      <c r="N2471" s="5">
        <v>200</v>
      </c>
      <c r="O2471" s="5" t="str">
        <f t="shared" ca="1" si="38"/>
        <v>Supplier 120</v>
      </c>
      <c r="P2471" s="20" t="str">
        <f ca="1">IFERROR(VLOOKUP(O2471,EMAILS!B:C,2,FALSE),"NOT FOUND IN EMAILS")</f>
        <v>supplier@gmail.com</v>
      </c>
      <c r="Q2471" t="str">
        <f ca="1">""&amp;IFERROR(VLOOKUP(O2471,EMAILS!B:D,3,FALSE),"NOT FOUND IN EMAILS")</f>
        <v/>
      </c>
      <c r="R2471" t="str">
        <f ca="1">""&amp;IFERROR(VLOOKUP(O2471,EMAILS!B:E,4,FALSE),"NO T FOUND IN EMAILS")</f>
        <v/>
      </c>
    </row>
    <row r="2472" spans="2:18" x14ac:dyDescent="0.25">
      <c r="B2472" s="5" t="s">
        <v>2474</v>
      </c>
      <c r="C2472" s="5" t="s">
        <v>6614</v>
      </c>
      <c r="D2472" s="5">
        <v>182</v>
      </c>
      <c r="E2472" s="5">
        <v>70</v>
      </c>
      <c r="F2472" s="5">
        <v>86</v>
      </c>
      <c r="G2472" s="5">
        <v>86</v>
      </c>
      <c r="H2472" s="5">
        <v>86</v>
      </c>
      <c r="I2472" s="5">
        <v>86</v>
      </c>
      <c r="J2472" s="5">
        <v>86</v>
      </c>
      <c r="K2472" s="5">
        <v>86</v>
      </c>
      <c r="L2472" s="5">
        <v>86</v>
      </c>
      <c r="M2472" s="5">
        <v>0</v>
      </c>
      <c r="N2472" s="5">
        <v>121</v>
      </c>
      <c r="O2472" s="5" t="str">
        <f t="shared" ca="1" si="38"/>
        <v>Supplier 31</v>
      </c>
      <c r="P2472" s="20" t="str">
        <f ca="1">IFERROR(VLOOKUP(O2472,EMAILS!B:C,2,FALSE),"NOT FOUND IN EMAILS")</f>
        <v>supplier@gmail.com</v>
      </c>
      <c r="Q2472" t="str">
        <f ca="1">""&amp;IFERROR(VLOOKUP(O2472,EMAILS!B:D,3,FALSE),"NOT FOUND IN EMAILS")</f>
        <v/>
      </c>
      <c r="R2472" t="str">
        <f ca="1">""&amp;IFERROR(VLOOKUP(O2472,EMAILS!B:E,4,FALSE),"NO T FOUND IN EMAILS")</f>
        <v/>
      </c>
    </row>
    <row r="2473" spans="2:18" x14ac:dyDescent="0.25">
      <c r="B2473" s="5" t="s">
        <v>2475</v>
      </c>
      <c r="C2473" s="5" t="s">
        <v>6615</v>
      </c>
      <c r="D2473" s="5">
        <v>92</v>
      </c>
      <c r="E2473" s="5">
        <v>35</v>
      </c>
      <c r="F2473" s="5">
        <v>79</v>
      </c>
      <c r="G2473" s="5">
        <v>79</v>
      </c>
      <c r="H2473" s="5">
        <v>79</v>
      </c>
      <c r="I2473" s="5">
        <v>79</v>
      </c>
      <c r="J2473" s="5">
        <v>79</v>
      </c>
      <c r="K2473" s="5">
        <v>79</v>
      </c>
      <c r="L2473" s="5">
        <v>79</v>
      </c>
      <c r="M2473" s="5">
        <v>0</v>
      </c>
      <c r="N2473" s="5">
        <v>40</v>
      </c>
      <c r="O2473" s="5" t="str">
        <f t="shared" ca="1" si="38"/>
        <v>Supplier 41</v>
      </c>
      <c r="P2473" s="20" t="str">
        <f ca="1">IFERROR(VLOOKUP(O2473,EMAILS!B:C,2,FALSE),"NOT FOUND IN EMAILS")</f>
        <v>supplier@gmail.com</v>
      </c>
      <c r="Q2473" t="str">
        <f ca="1">""&amp;IFERROR(VLOOKUP(O2473,EMAILS!B:D,3,FALSE),"NOT FOUND IN EMAILS")</f>
        <v/>
      </c>
      <c r="R2473" t="str">
        <f ca="1">""&amp;IFERROR(VLOOKUP(O2473,EMAILS!B:E,4,FALSE),"NO T FOUND IN EMAILS")</f>
        <v/>
      </c>
    </row>
    <row r="2474" spans="2:18" x14ac:dyDescent="0.25">
      <c r="B2474" s="5" t="s">
        <v>2476</v>
      </c>
      <c r="C2474" s="5" t="s">
        <v>6616</v>
      </c>
      <c r="D2474" s="5">
        <v>0</v>
      </c>
      <c r="E2474" s="5">
        <v>0</v>
      </c>
      <c r="F2474" s="5">
        <v>0</v>
      </c>
      <c r="G2474" s="5">
        <v>0</v>
      </c>
      <c r="H2474" s="5">
        <v>0</v>
      </c>
      <c r="I2474" s="5">
        <v>0</v>
      </c>
      <c r="J2474" s="5">
        <v>0</v>
      </c>
      <c r="K2474" s="5">
        <v>0</v>
      </c>
      <c r="L2474" s="5">
        <v>0</v>
      </c>
      <c r="M2474" s="5">
        <v>0</v>
      </c>
      <c r="N2474" s="5">
        <v>2999</v>
      </c>
      <c r="O2474" s="5" t="str">
        <f t="shared" ca="1" si="38"/>
        <v>Supplier 52</v>
      </c>
      <c r="P2474" s="20" t="str">
        <f ca="1">IFERROR(VLOOKUP(O2474,EMAILS!B:C,2,FALSE),"NOT FOUND IN EMAILS")</f>
        <v>supplier@gmail.com</v>
      </c>
      <c r="Q2474" t="str">
        <f ca="1">""&amp;IFERROR(VLOOKUP(O2474,EMAILS!B:D,3,FALSE),"NOT FOUND IN EMAILS")</f>
        <v/>
      </c>
      <c r="R2474" t="str">
        <f ca="1">""&amp;IFERROR(VLOOKUP(O2474,EMAILS!B:E,4,FALSE),"NO T FOUND IN EMAILS")</f>
        <v/>
      </c>
    </row>
    <row r="2475" spans="2:18" x14ac:dyDescent="0.25">
      <c r="B2475" s="5" t="s">
        <v>2477</v>
      </c>
      <c r="C2475" s="5" t="s">
        <v>6617</v>
      </c>
      <c r="D2475" s="5">
        <v>90</v>
      </c>
      <c r="E2475" s="5">
        <v>35</v>
      </c>
      <c r="F2475" s="5">
        <v>79</v>
      </c>
      <c r="G2475" s="5">
        <v>79</v>
      </c>
      <c r="H2475" s="5">
        <v>79</v>
      </c>
      <c r="I2475" s="5">
        <v>79</v>
      </c>
      <c r="J2475" s="5">
        <v>79</v>
      </c>
      <c r="K2475" s="5">
        <v>79</v>
      </c>
      <c r="L2475" s="5">
        <v>79</v>
      </c>
      <c r="M2475" s="5">
        <v>0</v>
      </c>
      <c r="N2475" s="5">
        <v>1020</v>
      </c>
      <c r="O2475" s="5" t="str">
        <f t="shared" ca="1" si="38"/>
        <v>Supplier 79</v>
      </c>
      <c r="P2475" s="20" t="str">
        <f ca="1">IFERROR(VLOOKUP(O2475,EMAILS!B:C,2,FALSE),"NOT FOUND IN EMAILS")</f>
        <v>supplier@gmail.com</v>
      </c>
      <c r="Q2475" t="str">
        <f ca="1">""&amp;IFERROR(VLOOKUP(O2475,EMAILS!B:D,3,FALSE),"NOT FOUND IN EMAILS")</f>
        <v/>
      </c>
      <c r="R2475" t="str">
        <f ca="1">""&amp;IFERROR(VLOOKUP(O2475,EMAILS!B:E,4,FALSE),"NO T FOUND IN EMAILS")</f>
        <v/>
      </c>
    </row>
    <row r="2476" spans="2:18" x14ac:dyDescent="0.25">
      <c r="B2476" s="5" t="s">
        <v>2478</v>
      </c>
      <c r="C2476" s="5" t="s">
        <v>6618</v>
      </c>
      <c r="D2476" s="5">
        <v>0</v>
      </c>
      <c r="E2476" s="5">
        <v>0</v>
      </c>
      <c r="F2476" s="5">
        <v>0</v>
      </c>
      <c r="G2476" s="5">
        <v>0</v>
      </c>
      <c r="H2476" s="5">
        <v>0</v>
      </c>
      <c r="I2476" s="5">
        <v>0</v>
      </c>
      <c r="J2476" s="5">
        <v>0</v>
      </c>
      <c r="K2476" s="5">
        <v>0</v>
      </c>
      <c r="L2476" s="5">
        <v>0</v>
      </c>
      <c r="M2476" s="5">
        <v>0</v>
      </c>
      <c r="N2476" s="5">
        <v>709</v>
      </c>
      <c r="O2476" s="5" t="str">
        <f t="shared" ca="1" si="38"/>
        <v>Supplier 113</v>
      </c>
      <c r="P2476" s="20" t="str">
        <f ca="1">IFERROR(VLOOKUP(O2476,EMAILS!B:C,2,FALSE),"NOT FOUND IN EMAILS")</f>
        <v>supplier@gmail.com</v>
      </c>
      <c r="Q2476" t="str">
        <f ca="1">""&amp;IFERROR(VLOOKUP(O2476,EMAILS!B:D,3,FALSE),"NOT FOUND IN EMAILS")</f>
        <v/>
      </c>
      <c r="R2476" t="str">
        <f ca="1">""&amp;IFERROR(VLOOKUP(O2476,EMAILS!B:E,4,FALSE),"NO T FOUND IN EMAILS")</f>
        <v/>
      </c>
    </row>
    <row r="2477" spans="2:18" x14ac:dyDescent="0.25">
      <c r="B2477" s="5" t="s">
        <v>2479</v>
      </c>
      <c r="C2477" s="5" t="s">
        <v>6619</v>
      </c>
      <c r="D2477" s="5">
        <v>300</v>
      </c>
      <c r="E2477" s="5">
        <v>30</v>
      </c>
      <c r="F2477" s="5">
        <v>180</v>
      </c>
      <c r="G2477" s="5">
        <v>120</v>
      </c>
      <c r="H2477" s="5">
        <v>440</v>
      </c>
      <c r="I2477" s="5">
        <v>120</v>
      </c>
      <c r="J2477" s="5">
        <v>60</v>
      </c>
      <c r="K2477" s="5">
        <v>150</v>
      </c>
      <c r="L2477" s="5">
        <v>210</v>
      </c>
      <c r="M2477" s="5">
        <v>0</v>
      </c>
      <c r="N2477" s="5">
        <v>2402</v>
      </c>
      <c r="O2477" s="5" t="str">
        <f t="shared" ca="1" si="38"/>
        <v>Supplier 117</v>
      </c>
      <c r="P2477" s="20" t="str">
        <f ca="1">IFERROR(VLOOKUP(O2477,EMAILS!B:C,2,FALSE),"NOT FOUND IN EMAILS")</f>
        <v>supplier@gmail.com</v>
      </c>
      <c r="Q2477" t="str">
        <f ca="1">""&amp;IFERROR(VLOOKUP(O2477,EMAILS!B:D,3,FALSE),"NOT FOUND IN EMAILS")</f>
        <v/>
      </c>
      <c r="R2477" t="str">
        <f ca="1">""&amp;IFERROR(VLOOKUP(O2477,EMAILS!B:E,4,FALSE),"NO T FOUND IN EMAILS")</f>
        <v/>
      </c>
    </row>
    <row r="2478" spans="2:18" x14ac:dyDescent="0.25">
      <c r="B2478" s="5" t="s">
        <v>2480</v>
      </c>
      <c r="C2478" s="5" t="s">
        <v>6620</v>
      </c>
      <c r="D2478" s="5">
        <v>100</v>
      </c>
      <c r="E2478" s="5">
        <v>10</v>
      </c>
      <c r="F2478" s="5">
        <v>60</v>
      </c>
      <c r="G2478" s="5">
        <v>40</v>
      </c>
      <c r="H2478" s="5">
        <v>80</v>
      </c>
      <c r="I2478" s="5">
        <v>40</v>
      </c>
      <c r="J2478" s="5">
        <v>20</v>
      </c>
      <c r="K2478" s="5">
        <v>50</v>
      </c>
      <c r="L2478" s="5">
        <v>70</v>
      </c>
      <c r="M2478" s="5">
        <v>0</v>
      </c>
      <c r="N2478" s="5">
        <v>503</v>
      </c>
      <c r="O2478" s="5" t="str">
        <f t="shared" ca="1" si="38"/>
        <v>Supplier 5</v>
      </c>
      <c r="P2478" s="20" t="str">
        <f ca="1">IFERROR(VLOOKUP(O2478,EMAILS!B:C,2,FALSE),"NOT FOUND IN EMAILS")</f>
        <v>supplier@gmail.com</v>
      </c>
      <c r="Q2478" t="str">
        <f ca="1">""&amp;IFERROR(VLOOKUP(O2478,EMAILS!B:D,3,FALSE),"NOT FOUND IN EMAILS")</f>
        <v>supplier_logistics@gmail.com</v>
      </c>
      <c r="R2478" t="str">
        <f ca="1">""&amp;IFERROR(VLOOKUP(O2478,EMAILS!B:E,4,FALSE),"NO T FOUND IN EMAILS")</f>
        <v/>
      </c>
    </row>
    <row r="2479" spans="2:18" x14ac:dyDescent="0.25">
      <c r="B2479" s="5" t="s">
        <v>2481</v>
      </c>
      <c r="C2479" s="5" t="s">
        <v>6621</v>
      </c>
      <c r="D2479" s="5">
        <v>200</v>
      </c>
      <c r="E2479" s="5">
        <v>0</v>
      </c>
      <c r="F2479" s="5">
        <v>140</v>
      </c>
      <c r="G2479" s="5">
        <v>3</v>
      </c>
      <c r="H2479" s="5">
        <v>0</v>
      </c>
      <c r="I2479" s="5">
        <v>1</v>
      </c>
      <c r="J2479" s="5">
        <v>25</v>
      </c>
      <c r="K2479" s="5">
        <v>12</v>
      </c>
      <c r="L2479" s="5">
        <v>30</v>
      </c>
      <c r="M2479" s="5">
        <v>0</v>
      </c>
      <c r="N2479" s="5">
        <v>1900</v>
      </c>
      <c r="O2479" s="5" t="str">
        <f t="shared" ca="1" si="38"/>
        <v>Supplier 4</v>
      </c>
      <c r="P2479" s="20" t="str">
        <f ca="1">IFERROR(VLOOKUP(O2479,EMAILS!B:C,2,FALSE),"NOT FOUND IN EMAILS")</f>
        <v>supplier@gmail.com</v>
      </c>
      <c r="Q2479" t="str">
        <f ca="1">""&amp;IFERROR(VLOOKUP(O2479,EMAILS!B:D,3,FALSE),"NOT FOUND IN EMAILS")</f>
        <v>supplier_logistics@gmail.com</v>
      </c>
      <c r="R2479" t="str">
        <f ca="1">""&amp;IFERROR(VLOOKUP(O2479,EMAILS!B:E,4,FALSE),"NO T FOUND IN EMAILS")</f>
        <v/>
      </c>
    </row>
    <row r="2480" spans="2:18" x14ac:dyDescent="0.25">
      <c r="B2480" s="5" t="s">
        <v>2482</v>
      </c>
      <c r="C2480" s="5" t="s">
        <v>6622</v>
      </c>
      <c r="D2480" s="5">
        <v>200</v>
      </c>
      <c r="E2480" s="5">
        <v>0</v>
      </c>
      <c r="F2480" s="5">
        <v>140</v>
      </c>
      <c r="G2480" s="5">
        <v>3</v>
      </c>
      <c r="H2480" s="5">
        <v>0</v>
      </c>
      <c r="I2480" s="5">
        <v>1</v>
      </c>
      <c r="J2480" s="5">
        <v>25</v>
      </c>
      <c r="K2480" s="5">
        <v>12</v>
      </c>
      <c r="L2480" s="5">
        <v>30</v>
      </c>
      <c r="M2480" s="5">
        <v>0</v>
      </c>
      <c r="N2480" s="5">
        <v>1276</v>
      </c>
      <c r="O2480" s="5" t="str">
        <f t="shared" ca="1" si="38"/>
        <v>Supplier 58</v>
      </c>
      <c r="P2480" s="20" t="str">
        <f ca="1">IFERROR(VLOOKUP(O2480,EMAILS!B:C,2,FALSE),"NOT FOUND IN EMAILS")</f>
        <v>supplier@gmail.com</v>
      </c>
      <c r="Q2480" t="str">
        <f ca="1">""&amp;IFERROR(VLOOKUP(O2480,EMAILS!B:D,3,FALSE),"NOT FOUND IN EMAILS")</f>
        <v/>
      </c>
      <c r="R2480" t="str">
        <f ca="1">""&amp;IFERROR(VLOOKUP(O2480,EMAILS!B:E,4,FALSE),"NO T FOUND IN EMAILS")</f>
        <v/>
      </c>
    </row>
    <row r="2481" spans="2:18" x14ac:dyDescent="0.25">
      <c r="B2481" s="5" t="s">
        <v>2483</v>
      </c>
      <c r="C2481" s="5" t="s">
        <v>6623</v>
      </c>
      <c r="D2481" s="5">
        <v>0</v>
      </c>
      <c r="E2481" s="5">
        <v>0</v>
      </c>
      <c r="F2481" s="5">
        <v>0</v>
      </c>
      <c r="G2481" s="5">
        <v>5</v>
      </c>
      <c r="H2481" s="5">
        <v>0</v>
      </c>
      <c r="I2481" s="5">
        <v>1</v>
      </c>
      <c r="J2481" s="5">
        <v>0</v>
      </c>
      <c r="K2481" s="5">
        <v>0</v>
      </c>
      <c r="L2481" s="5">
        <v>0</v>
      </c>
      <c r="M2481" s="5">
        <v>0</v>
      </c>
      <c r="N2481" s="5">
        <v>172</v>
      </c>
      <c r="O2481" s="5" t="str">
        <f t="shared" ca="1" si="38"/>
        <v>Supplier 12</v>
      </c>
      <c r="P2481" s="20" t="str">
        <f ca="1">IFERROR(VLOOKUP(O2481,EMAILS!B:C,2,FALSE),"NOT FOUND IN EMAILS")</f>
        <v>supplier@gmail.com</v>
      </c>
      <c r="Q2481" t="str">
        <f ca="1">""&amp;IFERROR(VLOOKUP(O2481,EMAILS!B:D,3,FALSE),"NOT FOUND IN EMAILS")</f>
        <v>supplier_logistics@gmail.com</v>
      </c>
      <c r="R2481" t="str">
        <f ca="1">""&amp;IFERROR(VLOOKUP(O2481,EMAILS!B:E,4,FALSE),"NO T FOUND IN EMAILS")</f>
        <v/>
      </c>
    </row>
    <row r="2482" spans="2:18" x14ac:dyDescent="0.25">
      <c r="B2482" s="5" t="s">
        <v>2484</v>
      </c>
      <c r="C2482" s="5" t="s">
        <v>6624</v>
      </c>
      <c r="D2482" s="5">
        <v>10</v>
      </c>
      <c r="E2482" s="5">
        <v>20</v>
      </c>
      <c r="F2482" s="5">
        <v>30</v>
      </c>
      <c r="G2482" s="5">
        <v>0</v>
      </c>
      <c r="H2482" s="5">
        <v>0</v>
      </c>
      <c r="I2482" s="5">
        <v>0</v>
      </c>
      <c r="J2482" s="5">
        <v>0</v>
      </c>
      <c r="K2482" s="5">
        <v>0</v>
      </c>
      <c r="L2482" s="5">
        <v>50</v>
      </c>
      <c r="M2482" s="5">
        <v>0</v>
      </c>
      <c r="N2482" s="5">
        <v>136</v>
      </c>
      <c r="O2482" s="5" t="str">
        <f t="shared" ca="1" si="38"/>
        <v>Supplier 98</v>
      </c>
      <c r="P2482" s="20" t="str">
        <f ca="1">IFERROR(VLOOKUP(O2482,EMAILS!B:C,2,FALSE),"NOT FOUND IN EMAILS")</f>
        <v>supplier@gmail.com</v>
      </c>
      <c r="Q2482" t="str">
        <f ca="1">""&amp;IFERROR(VLOOKUP(O2482,EMAILS!B:D,3,FALSE),"NOT FOUND IN EMAILS")</f>
        <v/>
      </c>
      <c r="R2482" t="str">
        <f ca="1">""&amp;IFERROR(VLOOKUP(O2482,EMAILS!B:E,4,FALSE),"NO T FOUND IN EMAILS")</f>
        <v/>
      </c>
    </row>
    <row r="2483" spans="2:18" x14ac:dyDescent="0.25">
      <c r="B2483" s="5" t="s">
        <v>2485</v>
      </c>
      <c r="C2483" s="5" t="s">
        <v>6625</v>
      </c>
      <c r="D2483" s="5">
        <v>0</v>
      </c>
      <c r="E2483" s="5">
        <v>0</v>
      </c>
      <c r="F2483" s="5">
        <v>0</v>
      </c>
      <c r="G2483" s="5">
        <v>105</v>
      </c>
      <c r="H2483" s="5">
        <v>50</v>
      </c>
      <c r="I2483" s="5">
        <v>120</v>
      </c>
      <c r="J2483" s="5">
        <v>0</v>
      </c>
      <c r="K2483" s="5">
        <v>0</v>
      </c>
      <c r="L2483" s="5">
        <v>15</v>
      </c>
      <c r="M2483" s="5">
        <v>0</v>
      </c>
      <c r="N2483" s="5">
        <v>0</v>
      </c>
      <c r="O2483" s="5" t="str">
        <f t="shared" ca="1" si="38"/>
        <v>Supplier 154</v>
      </c>
      <c r="P2483" s="20" t="str">
        <f ca="1">IFERROR(VLOOKUP(O2483,EMAILS!B:C,2,FALSE),"NOT FOUND IN EMAILS")</f>
        <v>supplier@gmail.com</v>
      </c>
      <c r="Q2483" t="str">
        <f ca="1">""&amp;IFERROR(VLOOKUP(O2483,EMAILS!B:D,3,FALSE),"NOT FOUND IN EMAILS")</f>
        <v/>
      </c>
      <c r="R2483" t="str">
        <f ca="1">""&amp;IFERROR(VLOOKUP(O2483,EMAILS!B:E,4,FALSE),"NO T FOUND IN EMAILS")</f>
        <v/>
      </c>
    </row>
    <row r="2484" spans="2:18" x14ac:dyDescent="0.25">
      <c r="B2484" s="5" t="s">
        <v>2486</v>
      </c>
      <c r="C2484" s="5" t="s">
        <v>6626</v>
      </c>
      <c r="D2484" s="5">
        <v>800</v>
      </c>
      <c r="E2484" s="5">
        <v>0</v>
      </c>
      <c r="F2484" s="5">
        <v>1250</v>
      </c>
      <c r="G2484" s="5">
        <v>700</v>
      </c>
      <c r="H2484" s="5">
        <v>0</v>
      </c>
      <c r="I2484" s="5">
        <v>0</v>
      </c>
      <c r="J2484" s="5">
        <v>500</v>
      </c>
      <c r="K2484" s="5">
        <v>500</v>
      </c>
      <c r="L2484" s="5">
        <v>50</v>
      </c>
      <c r="M2484" s="5">
        <v>0</v>
      </c>
      <c r="N2484" s="5">
        <v>164</v>
      </c>
      <c r="O2484" s="5" t="str">
        <f t="shared" ca="1" si="38"/>
        <v>Supplier 2</v>
      </c>
      <c r="P2484" s="20" t="str">
        <f ca="1">IFERROR(VLOOKUP(O2484,EMAILS!B:C,2,FALSE),"NOT FOUND IN EMAILS")</f>
        <v>supplier@gmail.com</v>
      </c>
      <c r="Q2484" t="str">
        <f ca="1">""&amp;IFERROR(VLOOKUP(O2484,EMAILS!B:D,3,FALSE),"NOT FOUND IN EMAILS")</f>
        <v>supplier_logistics@gmail.com</v>
      </c>
      <c r="R2484" t="str">
        <f ca="1">""&amp;IFERROR(VLOOKUP(O2484,EMAILS!B:E,4,FALSE),"NO T FOUND IN EMAILS")</f>
        <v/>
      </c>
    </row>
    <row r="2485" spans="2:18" x14ac:dyDescent="0.25">
      <c r="B2485" s="5" t="s">
        <v>2487</v>
      </c>
      <c r="C2485" s="5" t="s">
        <v>6627</v>
      </c>
      <c r="D2485" s="5">
        <v>0</v>
      </c>
      <c r="E2485" s="5">
        <v>0</v>
      </c>
      <c r="F2485" s="5">
        <v>10</v>
      </c>
      <c r="G2485" s="5">
        <v>0</v>
      </c>
      <c r="H2485" s="5">
        <v>0</v>
      </c>
      <c r="I2485" s="5">
        <v>0</v>
      </c>
      <c r="J2485" s="5">
        <v>0</v>
      </c>
      <c r="K2485" s="5">
        <v>0</v>
      </c>
      <c r="L2485" s="5">
        <v>0</v>
      </c>
      <c r="M2485" s="5">
        <v>0</v>
      </c>
      <c r="N2485" s="5">
        <v>163</v>
      </c>
      <c r="O2485" s="5" t="str">
        <f t="shared" ca="1" si="38"/>
        <v>Supplier 63</v>
      </c>
      <c r="P2485" s="20" t="str">
        <f ca="1">IFERROR(VLOOKUP(O2485,EMAILS!B:C,2,FALSE),"NOT FOUND IN EMAILS")</f>
        <v>supplier@gmail.com</v>
      </c>
      <c r="Q2485" t="str">
        <f ca="1">""&amp;IFERROR(VLOOKUP(O2485,EMAILS!B:D,3,FALSE),"NOT FOUND IN EMAILS")</f>
        <v/>
      </c>
      <c r="R2485" t="str">
        <f ca="1">""&amp;IFERROR(VLOOKUP(O2485,EMAILS!B:E,4,FALSE),"NO T FOUND IN EMAILS")</f>
        <v/>
      </c>
    </row>
    <row r="2486" spans="2:18" x14ac:dyDescent="0.25">
      <c r="B2486" s="5" t="s">
        <v>2488</v>
      </c>
      <c r="C2486" s="5" t="s">
        <v>6628</v>
      </c>
      <c r="D2486" s="5">
        <v>0</v>
      </c>
      <c r="E2486" s="5">
        <v>0</v>
      </c>
      <c r="F2486" s="5">
        <v>0</v>
      </c>
      <c r="G2486" s="5">
        <v>0</v>
      </c>
      <c r="H2486" s="5">
        <v>0</v>
      </c>
      <c r="I2486" s="5">
        <v>0</v>
      </c>
      <c r="J2486" s="5">
        <v>0</v>
      </c>
      <c r="K2486" s="5">
        <v>0</v>
      </c>
      <c r="L2486" s="5">
        <v>0</v>
      </c>
      <c r="M2486" s="5">
        <v>0</v>
      </c>
      <c r="N2486" s="5">
        <v>138</v>
      </c>
      <c r="O2486" s="5" t="str">
        <f t="shared" ca="1" si="38"/>
        <v>Supplier 44</v>
      </c>
      <c r="P2486" s="20" t="str">
        <f ca="1">IFERROR(VLOOKUP(O2486,EMAILS!B:C,2,FALSE),"NOT FOUND IN EMAILS")</f>
        <v>supplier@gmail.com</v>
      </c>
      <c r="Q2486" t="str">
        <f ca="1">""&amp;IFERROR(VLOOKUP(O2486,EMAILS!B:D,3,FALSE),"NOT FOUND IN EMAILS")</f>
        <v/>
      </c>
      <c r="R2486" t="str">
        <f ca="1">""&amp;IFERROR(VLOOKUP(O2486,EMAILS!B:E,4,FALSE),"NO T FOUND IN EMAILS")</f>
        <v/>
      </c>
    </row>
    <row r="2487" spans="2:18" x14ac:dyDescent="0.25">
      <c r="B2487" s="5" t="s">
        <v>2489</v>
      </c>
      <c r="C2487" s="5" t="s">
        <v>6629</v>
      </c>
      <c r="D2487" s="5">
        <v>0</v>
      </c>
      <c r="E2487" s="5">
        <v>0</v>
      </c>
      <c r="F2487" s="5">
        <v>0</v>
      </c>
      <c r="G2487" s="5">
        <v>0</v>
      </c>
      <c r="H2487" s="5">
        <v>0</v>
      </c>
      <c r="I2487" s="5">
        <v>0</v>
      </c>
      <c r="J2487" s="5">
        <v>0</v>
      </c>
      <c r="K2487" s="5">
        <v>0</v>
      </c>
      <c r="L2487" s="5">
        <v>0</v>
      </c>
      <c r="M2487" s="5">
        <v>0</v>
      </c>
      <c r="N2487" s="5">
        <v>1758</v>
      </c>
      <c r="O2487" s="5" t="str">
        <f t="shared" ca="1" si="38"/>
        <v>Supplier 74</v>
      </c>
      <c r="P2487" s="20" t="str">
        <f ca="1">IFERROR(VLOOKUP(O2487,EMAILS!B:C,2,FALSE),"NOT FOUND IN EMAILS")</f>
        <v>supplier@gmail.com</v>
      </c>
      <c r="Q2487" t="str">
        <f ca="1">""&amp;IFERROR(VLOOKUP(O2487,EMAILS!B:D,3,FALSE),"NOT FOUND IN EMAILS")</f>
        <v/>
      </c>
      <c r="R2487" t="str">
        <f ca="1">""&amp;IFERROR(VLOOKUP(O2487,EMAILS!B:E,4,FALSE),"NO T FOUND IN EMAILS")</f>
        <v/>
      </c>
    </row>
    <row r="2488" spans="2:18" x14ac:dyDescent="0.25">
      <c r="B2488" s="5" t="s">
        <v>2490</v>
      </c>
      <c r="C2488" s="5" t="s">
        <v>6630</v>
      </c>
      <c r="D2488" s="5">
        <v>0</v>
      </c>
      <c r="E2488" s="5">
        <v>0</v>
      </c>
      <c r="F2488" s="5">
        <v>0</v>
      </c>
      <c r="G2488" s="5">
        <v>0</v>
      </c>
      <c r="H2488" s="5">
        <v>0</v>
      </c>
      <c r="I2488" s="5">
        <v>0</v>
      </c>
      <c r="J2488" s="5">
        <v>0</v>
      </c>
      <c r="K2488" s="5">
        <v>0</v>
      </c>
      <c r="L2488" s="5">
        <v>0</v>
      </c>
      <c r="M2488" s="5">
        <v>0</v>
      </c>
      <c r="N2488" s="5">
        <v>48</v>
      </c>
      <c r="O2488" s="5" t="str">
        <f t="shared" ca="1" si="38"/>
        <v>Supplier 171</v>
      </c>
      <c r="P2488" s="20" t="str">
        <f ca="1">IFERROR(VLOOKUP(O2488,EMAILS!B:C,2,FALSE),"NOT FOUND IN EMAILS")</f>
        <v>supplier@gmail.com</v>
      </c>
      <c r="Q2488" t="str">
        <f ca="1">""&amp;IFERROR(VLOOKUP(O2488,EMAILS!B:D,3,FALSE),"NOT FOUND IN EMAILS")</f>
        <v/>
      </c>
      <c r="R2488" t="str">
        <f ca="1">""&amp;IFERROR(VLOOKUP(O2488,EMAILS!B:E,4,FALSE),"NO T FOUND IN EMAILS")</f>
        <v/>
      </c>
    </row>
    <row r="2489" spans="2:18" x14ac:dyDescent="0.25">
      <c r="B2489" s="5" t="s">
        <v>2491</v>
      </c>
      <c r="C2489" s="5" t="s">
        <v>6631</v>
      </c>
      <c r="D2489" s="5">
        <v>0</v>
      </c>
      <c r="E2489" s="5">
        <v>0</v>
      </c>
      <c r="F2489" s="5">
        <v>0</v>
      </c>
      <c r="G2489" s="5">
        <v>300</v>
      </c>
      <c r="H2489" s="5">
        <v>0</v>
      </c>
      <c r="I2489" s="5">
        <v>0</v>
      </c>
      <c r="J2489" s="5">
        <v>0</v>
      </c>
      <c r="K2489" s="5">
        <v>300</v>
      </c>
      <c r="L2489" s="5">
        <v>0</v>
      </c>
      <c r="M2489" s="5">
        <v>0</v>
      </c>
      <c r="N2489" s="5">
        <v>750</v>
      </c>
      <c r="O2489" s="5" t="str">
        <f t="shared" ca="1" si="38"/>
        <v>Supplier 99</v>
      </c>
      <c r="P2489" s="20" t="str">
        <f ca="1">IFERROR(VLOOKUP(O2489,EMAILS!B:C,2,FALSE),"NOT FOUND IN EMAILS")</f>
        <v>supplier@gmail.com</v>
      </c>
      <c r="Q2489" t="str">
        <f ca="1">""&amp;IFERROR(VLOOKUP(O2489,EMAILS!B:D,3,FALSE),"NOT FOUND IN EMAILS")</f>
        <v/>
      </c>
      <c r="R2489" t="str">
        <f ca="1">""&amp;IFERROR(VLOOKUP(O2489,EMAILS!B:E,4,FALSE),"NO T FOUND IN EMAILS")</f>
        <v/>
      </c>
    </row>
    <row r="2490" spans="2:18" x14ac:dyDescent="0.25">
      <c r="B2490" s="5" t="s">
        <v>2492</v>
      </c>
      <c r="C2490" s="5" t="s">
        <v>6632</v>
      </c>
      <c r="D2490" s="5">
        <v>1810</v>
      </c>
      <c r="E2490" s="5">
        <v>1600</v>
      </c>
      <c r="F2490" s="5">
        <v>1120</v>
      </c>
      <c r="G2490" s="5">
        <v>1520</v>
      </c>
      <c r="H2490" s="5">
        <v>1120</v>
      </c>
      <c r="I2490" s="5">
        <v>1120</v>
      </c>
      <c r="J2490" s="5">
        <v>960</v>
      </c>
      <c r="K2490" s="5">
        <v>1120</v>
      </c>
      <c r="L2490" s="5">
        <v>1120</v>
      </c>
      <c r="M2490" s="5">
        <v>0</v>
      </c>
      <c r="N2490" s="5">
        <v>19</v>
      </c>
      <c r="O2490" s="5" t="str">
        <f t="shared" ca="1" si="38"/>
        <v>Supplier 173</v>
      </c>
      <c r="P2490" s="20" t="str">
        <f ca="1">IFERROR(VLOOKUP(O2490,EMAILS!B:C,2,FALSE),"NOT FOUND IN EMAILS")</f>
        <v>supplier@gmail.com</v>
      </c>
      <c r="Q2490" t="str">
        <f ca="1">""&amp;IFERROR(VLOOKUP(O2490,EMAILS!B:D,3,FALSE),"NOT FOUND IN EMAILS")</f>
        <v/>
      </c>
      <c r="R2490" t="str">
        <f ca="1">""&amp;IFERROR(VLOOKUP(O2490,EMAILS!B:E,4,FALSE),"NO T FOUND IN EMAILS")</f>
        <v/>
      </c>
    </row>
    <row r="2491" spans="2:18" x14ac:dyDescent="0.25">
      <c r="B2491" s="5" t="s">
        <v>2493</v>
      </c>
      <c r="C2491" s="5" t="s">
        <v>6633</v>
      </c>
      <c r="D2491" s="5">
        <v>0</v>
      </c>
      <c r="E2491" s="5">
        <v>0</v>
      </c>
      <c r="F2491" s="5">
        <v>0</v>
      </c>
      <c r="G2491" s="5">
        <v>0</v>
      </c>
      <c r="H2491" s="5">
        <v>0</v>
      </c>
      <c r="I2491" s="5">
        <v>0</v>
      </c>
      <c r="J2491" s="5">
        <v>0</v>
      </c>
      <c r="K2491" s="5">
        <v>0</v>
      </c>
      <c r="L2491" s="5">
        <v>0</v>
      </c>
      <c r="M2491" s="5">
        <v>0</v>
      </c>
      <c r="N2491" s="5">
        <v>0</v>
      </c>
      <c r="O2491" s="5" t="str">
        <f t="shared" ca="1" si="38"/>
        <v>Supplier 173</v>
      </c>
      <c r="P2491" s="20" t="str">
        <f ca="1">IFERROR(VLOOKUP(O2491,EMAILS!B:C,2,FALSE),"NOT FOUND IN EMAILS")</f>
        <v>supplier@gmail.com</v>
      </c>
      <c r="Q2491" t="str">
        <f ca="1">""&amp;IFERROR(VLOOKUP(O2491,EMAILS!B:D,3,FALSE),"NOT FOUND IN EMAILS")</f>
        <v/>
      </c>
      <c r="R2491" t="str">
        <f ca="1">""&amp;IFERROR(VLOOKUP(O2491,EMAILS!B:E,4,FALSE),"NO T FOUND IN EMAILS")</f>
        <v/>
      </c>
    </row>
    <row r="2492" spans="2:18" x14ac:dyDescent="0.25">
      <c r="B2492" s="5" t="s">
        <v>2494</v>
      </c>
      <c r="C2492" s="5" t="s">
        <v>6634</v>
      </c>
      <c r="D2492" s="5">
        <v>50</v>
      </c>
      <c r="E2492" s="5">
        <v>100</v>
      </c>
      <c r="F2492" s="5">
        <v>120</v>
      </c>
      <c r="G2492" s="5">
        <v>120</v>
      </c>
      <c r="H2492" s="5">
        <v>220</v>
      </c>
      <c r="I2492" s="5">
        <v>220</v>
      </c>
      <c r="J2492" s="5">
        <v>220</v>
      </c>
      <c r="K2492" s="5">
        <v>120</v>
      </c>
      <c r="L2492" s="5">
        <v>220</v>
      </c>
      <c r="M2492" s="5">
        <v>0</v>
      </c>
      <c r="N2492" s="5">
        <v>20</v>
      </c>
      <c r="O2492" s="5" t="str">
        <f t="shared" ca="1" si="38"/>
        <v>Supplier 83</v>
      </c>
      <c r="P2492" s="20" t="str">
        <f ca="1">IFERROR(VLOOKUP(O2492,EMAILS!B:C,2,FALSE),"NOT FOUND IN EMAILS")</f>
        <v>supplier@gmail.com</v>
      </c>
      <c r="Q2492" t="str">
        <f ca="1">""&amp;IFERROR(VLOOKUP(O2492,EMAILS!B:D,3,FALSE),"NOT FOUND IN EMAILS")</f>
        <v/>
      </c>
      <c r="R2492" t="str">
        <f ca="1">""&amp;IFERROR(VLOOKUP(O2492,EMAILS!B:E,4,FALSE),"NO T FOUND IN EMAILS")</f>
        <v/>
      </c>
    </row>
    <row r="2493" spans="2:18" x14ac:dyDescent="0.25">
      <c r="B2493" s="5" t="s">
        <v>2495</v>
      </c>
      <c r="C2493" s="5" t="s">
        <v>6635</v>
      </c>
      <c r="D2493" s="5">
        <v>0</v>
      </c>
      <c r="E2493" s="5">
        <v>0</v>
      </c>
      <c r="F2493" s="5">
        <v>0</v>
      </c>
      <c r="G2493" s="5">
        <v>0</v>
      </c>
      <c r="H2493" s="5">
        <v>300</v>
      </c>
      <c r="I2493" s="5">
        <v>0</v>
      </c>
      <c r="J2493" s="5">
        <v>0</v>
      </c>
      <c r="K2493" s="5">
        <v>0</v>
      </c>
      <c r="L2493" s="5">
        <v>0</v>
      </c>
      <c r="M2493" s="5">
        <v>0</v>
      </c>
      <c r="N2493" s="5">
        <v>264</v>
      </c>
      <c r="O2493" s="5" t="str">
        <f t="shared" ca="1" si="38"/>
        <v>Supplier 53</v>
      </c>
      <c r="P2493" s="20" t="str">
        <f ca="1">IFERROR(VLOOKUP(O2493,EMAILS!B:C,2,FALSE),"NOT FOUND IN EMAILS")</f>
        <v>supplier@gmail.com</v>
      </c>
      <c r="Q2493" t="str">
        <f ca="1">""&amp;IFERROR(VLOOKUP(O2493,EMAILS!B:D,3,FALSE),"NOT FOUND IN EMAILS")</f>
        <v/>
      </c>
      <c r="R2493" t="str">
        <f ca="1">""&amp;IFERROR(VLOOKUP(O2493,EMAILS!B:E,4,FALSE),"NO T FOUND IN EMAILS")</f>
        <v/>
      </c>
    </row>
    <row r="2494" spans="2:18" x14ac:dyDescent="0.25">
      <c r="B2494" s="5" t="s">
        <v>2496</v>
      </c>
      <c r="C2494" s="5" t="s">
        <v>6636</v>
      </c>
      <c r="D2494" s="5">
        <v>15</v>
      </c>
      <c r="E2494" s="5">
        <v>17</v>
      </c>
      <c r="F2494" s="5">
        <v>22</v>
      </c>
      <c r="G2494" s="5">
        <v>22</v>
      </c>
      <c r="H2494" s="5">
        <v>17</v>
      </c>
      <c r="I2494" s="5">
        <v>17</v>
      </c>
      <c r="J2494" s="5">
        <v>23</v>
      </c>
      <c r="K2494" s="5">
        <v>22</v>
      </c>
      <c r="L2494" s="5">
        <v>7</v>
      </c>
      <c r="M2494" s="5">
        <v>0</v>
      </c>
      <c r="N2494" s="5">
        <v>306</v>
      </c>
      <c r="O2494" s="5" t="str">
        <f t="shared" ca="1" si="38"/>
        <v>Supplier 115</v>
      </c>
      <c r="P2494" s="20" t="str">
        <f ca="1">IFERROR(VLOOKUP(O2494,EMAILS!B:C,2,FALSE),"NOT FOUND IN EMAILS")</f>
        <v>supplier@gmail.com</v>
      </c>
      <c r="Q2494" t="str">
        <f ca="1">""&amp;IFERROR(VLOOKUP(O2494,EMAILS!B:D,3,FALSE),"NOT FOUND IN EMAILS")</f>
        <v/>
      </c>
      <c r="R2494" t="str">
        <f ca="1">""&amp;IFERROR(VLOOKUP(O2494,EMAILS!B:E,4,FALSE),"NO T FOUND IN EMAILS")</f>
        <v/>
      </c>
    </row>
    <row r="2495" spans="2:18" x14ac:dyDescent="0.25">
      <c r="B2495" s="5" t="s">
        <v>2497</v>
      </c>
      <c r="C2495" s="5" t="s">
        <v>6637</v>
      </c>
      <c r="D2495" s="5">
        <v>2</v>
      </c>
      <c r="E2495" s="5">
        <v>4</v>
      </c>
      <c r="F2495" s="5">
        <v>9</v>
      </c>
      <c r="G2495" s="5">
        <v>9</v>
      </c>
      <c r="H2495" s="5">
        <v>9</v>
      </c>
      <c r="I2495" s="5">
        <v>10</v>
      </c>
      <c r="J2495" s="5">
        <v>5</v>
      </c>
      <c r="K2495" s="5">
        <v>9</v>
      </c>
      <c r="L2495" s="5">
        <v>9</v>
      </c>
      <c r="M2495" s="5">
        <v>0</v>
      </c>
      <c r="N2495" s="5">
        <v>103</v>
      </c>
      <c r="O2495" s="5" t="str">
        <f t="shared" ca="1" si="38"/>
        <v>Supplier 25</v>
      </c>
      <c r="P2495" s="20" t="str">
        <f ca="1">IFERROR(VLOOKUP(O2495,EMAILS!B:C,2,FALSE),"NOT FOUND IN EMAILS")</f>
        <v>supplier@gmail.com</v>
      </c>
      <c r="Q2495" t="str">
        <f ca="1">""&amp;IFERROR(VLOOKUP(O2495,EMAILS!B:D,3,FALSE),"NOT FOUND IN EMAILS")</f>
        <v/>
      </c>
      <c r="R2495" t="str">
        <f ca="1">""&amp;IFERROR(VLOOKUP(O2495,EMAILS!B:E,4,FALSE),"NO T FOUND IN EMAILS")</f>
        <v/>
      </c>
    </row>
    <row r="2496" spans="2:18" x14ac:dyDescent="0.25">
      <c r="B2496" s="5" t="s">
        <v>2498</v>
      </c>
      <c r="C2496" s="5" t="s">
        <v>6638</v>
      </c>
      <c r="D2496" s="5">
        <v>2</v>
      </c>
      <c r="E2496" s="5">
        <v>0</v>
      </c>
      <c r="F2496" s="5">
        <v>2</v>
      </c>
      <c r="G2496" s="5">
        <v>0</v>
      </c>
      <c r="H2496" s="5">
        <v>1</v>
      </c>
      <c r="I2496" s="5">
        <v>0</v>
      </c>
      <c r="J2496" s="5">
        <v>0</v>
      </c>
      <c r="K2496" s="5">
        <v>1</v>
      </c>
      <c r="L2496" s="5">
        <v>0</v>
      </c>
      <c r="M2496" s="5">
        <v>0</v>
      </c>
      <c r="N2496" s="5">
        <v>108</v>
      </c>
      <c r="O2496" s="5" t="str">
        <f t="shared" ca="1" si="38"/>
        <v>Supplier 66</v>
      </c>
      <c r="P2496" s="20" t="str">
        <f ca="1">IFERROR(VLOOKUP(O2496,EMAILS!B:C,2,FALSE),"NOT FOUND IN EMAILS")</f>
        <v>supplier@gmail.com</v>
      </c>
      <c r="Q2496" t="str">
        <f ca="1">""&amp;IFERROR(VLOOKUP(O2496,EMAILS!B:D,3,FALSE),"NOT FOUND IN EMAILS")</f>
        <v/>
      </c>
      <c r="R2496" t="str">
        <f ca="1">""&amp;IFERROR(VLOOKUP(O2496,EMAILS!B:E,4,FALSE),"NO T FOUND IN EMAILS")</f>
        <v/>
      </c>
    </row>
    <row r="2497" spans="2:18" x14ac:dyDescent="0.25">
      <c r="B2497" s="5" t="s">
        <v>2499</v>
      </c>
      <c r="C2497" s="5" t="s">
        <v>6639</v>
      </c>
      <c r="D2497" s="5">
        <v>2</v>
      </c>
      <c r="E2497" s="5">
        <v>0</v>
      </c>
      <c r="F2497" s="5">
        <v>2</v>
      </c>
      <c r="G2497" s="5">
        <v>0</v>
      </c>
      <c r="H2497" s="5">
        <v>1</v>
      </c>
      <c r="I2497" s="5">
        <v>0</v>
      </c>
      <c r="J2497" s="5">
        <v>0</v>
      </c>
      <c r="K2497" s="5">
        <v>1</v>
      </c>
      <c r="L2497" s="5">
        <v>0</v>
      </c>
      <c r="M2497" s="5">
        <v>0</v>
      </c>
      <c r="N2497" s="5">
        <v>57</v>
      </c>
      <c r="O2497" s="5" t="str">
        <f t="shared" ca="1" si="38"/>
        <v>Supplier 64</v>
      </c>
      <c r="P2497" s="20" t="str">
        <f ca="1">IFERROR(VLOOKUP(O2497,EMAILS!B:C,2,FALSE),"NOT FOUND IN EMAILS")</f>
        <v>supplier@gmail.com</v>
      </c>
      <c r="Q2497" t="str">
        <f ca="1">""&amp;IFERROR(VLOOKUP(O2497,EMAILS!B:D,3,FALSE),"NOT FOUND IN EMAILS")</f>
        <v/>
      </c>
      <c r="R2497" t="str">
        <f ca="1">""&amp;IFERROR(VLOOKUP(O2497,EMAILS!B:E,4,FALSE),"NO T FOUND IN EMAILS")</f>
        <v/>
      </c>
    </row>
    <row r="2498" spans="2:18" x14ac:dyDescent="0.25">
      <c r="B2498" s="5" t="s">
        <v>2500</v>
      </c>
      <c r="C2498" s="5" t="s">
        <v>6640</v>
      </c>
      <c r="D2498" s="5">
        <v>30</v>
      </c>
      <c r="E2498" s="5">
        <v>30</v>
      </c>
      <c r="F2498" s="5">
        <v>40</v>
      </c>
      <c r="G2498" s="5">
        <v>40</v>
      </c>
      <c r="H2498" s="5">
        <v>30</v>
      </c>
      <c r="I2498" s="5">
        <v>30</v>
      </c>
      <c r="J2498" s="5">
        <v>40</v>
      </c>
      <c r="K2498" s="5">
        <v>40</v>
      </c>
      <c r="L2498" s="5">
        <v>10</v>
      </c>
      <c r="M2498" s="5">
        <v>0</v>
      </c>
      <c r="N2498" s="5">
        <v>453</v>
      </c>
      <c r="O2498" s="5" t="str">
        <f t="shared" ca="1" si="38"/>
        <v>Supplier 84</v>
      </c>
      <c r="P2498" s="20" t="str">
        <f ca="1">IFERROR(VLOOKUP(O2498,EMAILS!B:C,2,FALSE),"NOT FOUND IN EMAILS")</f>
        <v>supplier@gmail.com</v>
      </c>
      <c r="Q2498" t="str">
        <f ca="1">""&amp;IFERROR(VLOOKUP(O2498,EMAILS!B:D,3,FALSE),"NOT FOUND IN EMAILS")</f>
        <v/>
      </c>
      <c r="R2498" t="str">
        <f ca="1">""&amp;IFERROR(VLOOKUP(O2498,EMAILS!B:E,4,FALSE),"NO T FOUND IN EMAILS")</f>
        <v/>
      </c>
    </row>
    <row r="2499" spans="2:18" x14ac:dyDescent="0.25">
      <c r="B2499" s="5" t="s">
        <v>2501</v>
      </c>
      <c r="C2499" s="5" t="s">
        <v>6641</v>
      </c>
      <c r="D2499" s="5">
        <v>4</v>
      </c>
      <c r="E2499" s="5">
        <v>200</v>
      </c>
      <c r="F2499" s="5">
        <v>22</v>
      </c>
      <c r="G2499" s="5">
        <v>12</v>
      </c>
      <c r="H2499" s="5">
        <v>8</v>
      </c>
      <c r="I2499" s="5">
        <v>0</v>
      </c>
      <c r="J2499" s="5">
        <v>4</v>
      </c>
      <c r="K2499" s="5">
        <v>210</v>
      </c>
      <c r="L2499" s="5">
        <v>0</v>
      </c>
      <c r="M2499" s="5">
        <v>0</v>
      </c>
      <c r="N2499" s="5">
        <v>0</v>
      </c>
      <c r="O2499" s="5" t="str">
        <f t="shared" ref="O2499:O2562" ca="1" si="39">"Supplier "&amp;RANDBETWEEN(1,200)</f>
        <v>Supplier 97</v>
      </c>
      <c r="P2499" s="20" t="str">
        <f ca="1">IFERROR(VLOOKUP(O2499,EMAILS!B:C,2,FALSE),"NOT FOUND IN EMAILS")</f>
        <v>supplier@gmail.com</v>
      </c>
      <c r="Q2499" t="str">
        <f ca="1">""&amp;IFERROR(VLOOKUP(O2499,EMAILS!B:D,3,FALSE),"NOT FOUND IN EMAILS")</f>
        <v/>
      </c>
      <c r="R2499" t="str">
        <f ca="1">""&amp;IFERROR(VLOOKUP(O2499,EMAILS!B:E,4,FALSE),"NO T FOUND IN EMAILS")</f>
        <v/>
      </c>
    </row>
    <row r="2500" spans="2:18" x14ac:dyDescent="0.25">
      <c r="B2500" s="5" t="s">
        <v>2502</v>
      </c>
      <c r="C2500" s="5" t="s">
        <v>6642</v>
      </c>
      <c r="D2500" s="5">
        <v>10</v>
      </c>
      <c r="E2500" s="5">
        <v>20</v>
      </c>
      <c r="F2500" s="5">
        <v>30</v>
      </c>
      <c r="G2500" s="5">
        <v>0</v>
      </c>
      <c r="H2500" s="5">
        <v>0</v>
      </c>
      <c r="I2500" s="5">
        <v>0</v>
      </c>
      <c r="J2500" s="5">
        <v>0</v>
      </c>
      <c r="K2500" s="5">
        <v>0</v>
      </c>
      <c r="L2500" s="5">
        <v>50</v>
      </c>
      <c r="M2500" s="5">
        <v>0</v>
      </c>
      <c r="N2500" s="5">
        <v>2687</v>
      </c>
      <c r="O2500" s="5" t="str">
        <f t="shared" ca="1" si="39"/>
        <v>Supplier 9</v>
      </c>
      <c r="P2500" s="20" t="str">
        <f ca="1">IFERROR(VLOOKUP(O2500,EMAILS!B:C,2,FALSE),"NOT FOUND IN EMAILS")</f>
        <v>supplier@gmail.com</v>
      </c>
      <c r="Q2500" t="str">
        <f ca="1">""&amp;IFERROR(VLOOKUP(O2500,EMAILS!B:D,3,FALSE),"NOT FOUND IN EMAILS")</f>
        <v>supplier_logistics@gmail.com</v>
      </c>
      <c r="R2500" t="str">
        <f ca="1">""&amp;IFERROR(VLOOKUP(O2500,EMAILS!B:E,4,FALSE),"NO T FOUND IN EMAILS")</f>
        <v/>
      </c>
    </row>
    <row r="2501" spans="2:18" x14ac:dyDescent="0.25">
      <c r="B2501" s="5" t="s">
        <v>2503</v>
      </c>
      <c r="C2501" s="5" t="s">
        <v>6643</v>
      </c>
      <c r="D2501" s="5">
        <v>0</v>
      </c>
      <c r="E2501" s="5">
        <v>0</v>
      </c>
      <c r="F2501" s="5">
        <v>100</v>
      </c>
      <c r="G2501" s="5">
        <v>0</v>
      </c>
      <c r="H2501" s="5">
        <v>0</v>
      </c>
      <c r="I2501" s="5">
        <v>0</v>
      </c>
      <c r="J2501" s="5">
        <v>0</v>
      </c>
      <c r="K2501" s="5">
        <v>100</v>
      </c>
      <c r="L2501" s="5">
        <v>0</v>
      </c>
      <c r="M2501" s="5">
        <v>0</v>
      </c>
      <c r="N2501" s="5">
        <v>7207</v>
      </c>
      <c r="O2501" s="5" t="str">
        <f t="shared" ca="1" si="39"/>
        <v>Supplier 16</v>
      </c>
      <c r="P2501" s="20" t="str">
        <f ca="1">IFERROR(VLOOKUP(O2501,EMAILS!B:C,2,FALSE),"NOT FOUND IN EMAILS")</f>
        <v>supplier@gmail.com</v>
      </c>
      <c r="Q2501" t="str">
        <f ca="1">""&amp;IFERROR(VLOOKUP(O2501,EMAILS!B:D,3,FALSE),"NOT FOUND IN EMAILS")</f>
        <v>supplier_logistics@gmail.com</v>
      </c>
      <c r="R2501" t="str">
        <f ca="1">""&amp;IFERROR(VLOOKUP(O2501,EMAILS!B:E,4,FALSE),"NO T FOUND IN EMAILS")</f>
        <v/>
      </c>
    </row>
    <row r="2502" spans="2:18" x14ac:dyDescent="0.25">
      <c r="B2502" s="5" t="s">
        <v>2504</v>
      </c>
      <c r="C2502" s="5" t="s">
        <v>6644</v>
      </c>
      <c r="D2502" s="5">
        <v>0</v>
      </c>
      <c r="E2502" s="5">
        <v>0</v>
      </c>
      <c r="F2502" s="5">
        <v>0</v>
      </c>
      <c r="G2502" s="5">
        <v>0</v>
      </c>
      <c r="H2502" s="5">
        <v>0</v>
      </c>
      <c r="I2502" s="5">
        <v>0</v>
      </c>
      <c r="J2502" s="5">
        <v>0</v>
      </c>
      <c r="K2502" s="5">
        <v>0</v>
      </c>
      <c r="L2502" s="5">
        <v>0</v>
      </c>
      <c r="M2502" s="5">
        <v>0</v>
      </c>
      <c r="N2502" s="5">
        <v>1</v>
      </c>
      <c r="O2502" s="5" t="str">
        <f t="shared" ca="1" si="39"/>
        <v>Supplier 172</v>
      </c>
      <c r="P2502" s="20" t="str">
        <f ca="1">IFERROR(VLOOKUP(O2502,EMAILS!B:C,2,FALSE),"NOT FOUND IN EMAILS")</f>
        <v>supplier@gmail.com</v>
      </c>
      <c r="Q2502" t="str">
        <f ca="1">""&amp;IFERROR(VLOOKUP(O2502,EMAILS!B:D,3,FALSE),"NOT FOUND IN EMAILS")</f>
        <v/>
      </c>
      <c r="R2502" t="str">
        <f ca="1">""&amp;IFERROR(VLOOKUP(O2502,EMAILS!B:E,4,FALSE),"NO T FOUND IN EMAILS")</f>
        <v/>
      </c>
    </row>
    <row r="2503" spans="2:18" x14ac:dyDescent="0.25">
      <c r="B2503" s="5" t="s">
        <v>2505</v>
      </c>
      <c r="C2503" s="5" t="s">
        <v>6645</v>
      </c>
      <c r="D2503" s="5">
        <v>0</v>
      </c>
      <c r="E2503" s="5">
        <v>0</v>
      </c>
      <c r="F2503" s="5">
        <v>0</v>
      </c>
      <c r="G2503" s="5">
        <v>0</v>
      </c>
      <c r="H2503" s="5">
        <v>0</v>
      </c>
      <c r="I2503" s="5">
        <v>0</v>
      </c>
      <c r="J2503" s="5">
        <v>0</v>
      </c>
      <c r="K2503" s="5">
        <v>0</v>
      </c>
      <c r="L2503" s="5">
        <v>0</v>
      </c>
      <c r="M2503" s="5">
        <v>0</v>
      </c>
      <c r="N2503" s="5">
        <v>0</v>
      </c>
      <c r="O2503" s="5" t="str">
        <f t="shared" ca="1" si="39"/>
        <v>Supplier 94</v>
      </c>
      <c r="P2503" s="20" t="str">
        <f ca="1">IFERROR(VLOOKUP(O2503,EMAILS!B:C,2,FALSE),"NOT FOUND IN EMAILS")</f>
        <v>supplier@gmail.com</v>
      </c>
      <c r="Q2503" t="str">
        <f ca="1">""&amp;IFERROR(VLOOKUP(O2503,EMAILS!B:D,3,FALSE),"NOT FOUND IN EMAILS")</f>
        <v/>
      </c>
      <c r="R2503" t="str">
        <f ca="1">""&amp;IFERROR(VLOOKUP(O2503,EMAILS!B:E,4,FALSE),"NO T FOUND IN EMAILS")</f>
        <v/>
      </c>
    </row>
    <row r="2504" spans="2:18" x14ac:dyDescent="0.25">
      <c r="B2504" s="5" t="s">
        <v>2506</v>
      </c>
      <c r="C2504" s="5" t="s">
        <v>6646</v>
      </c>
      <c r="D2504" s="5">
        <v>0</v>
      </c>
      <c r="E2504" s="5">
        <v>0</v>
      </c>
      <c r="F2504" s="5">
        <v>0</v>
      </c>
      <c r="G2504" s="5">
        <v>2</v>
      </c>
      <c r="H2504" s="5">
        <v>0</v>
      </c>
      <c r="I2504" s="5">
        <v>0</v>
      </c>
      <c r="J2504" s="5">
        <v>0</v>
      </c>
      <c r="K2504" s="5">
        <v>8</v>
      </c>
      <c r="L2504" s="5">
        <v>0</v>
      </c>
      <c r="M2504" s="5">
        <v>0</v>
      </c>
      <c r="N2504" s="5">
        <v>0</v>
      </c>
      <c r="O2504" s="5" t="str">
        <f t="shared" ca="1" si="39"/>
        <v>Supplier 8</v>
      </c>
      <c r="P2504" s="20" t="str">
        <f ca="1">IFERROR(VLOOKUP(O2504,EMAILS!B:C,2,FALSE),"NOT FOUND IN EMAILS")</f>
        <v>supplier@gmail.com</v>
      </c>
      <c r="Q2504" t="str">
        <f ca="1">""&amp;IFERROR(VLOOKUP(O2504,EMAILS!B:D,3,FALSE),"NOT FOUND IN EMAILS")</f>
        <v>supplier_logistics@gmail.com</v>
      </c>
      <c r="R2504" t="str">
        <f ca="1">""&amp;IFERROR(VLOOKUP(O2504,EMAILS!B:E,4,FALSE),"NO T FOUND IN EMAILS")</f>
        <v/>
      </c>
    </row>
    <row r="2505" spans="2:18" x14ac:dyDescent="0.25">
      <c r="B2505" s="5" t="s">
        <v>2507</v>
      </c>
      <c r="C2505" s="5" t="s">
        <v>6647</v>
      </c>
      <c r="D2505" s="5">
        <v>1</v>
      </c>
      <c r="E2505" s="5">
        <v>0</v>
      </c>
      <c r="F2505" s="5">
        <v>20</v>
      </c>
      <c r="G2505" s="5">
        <v>317</v>
      </c>
      <c r="H2505" s="5">
        <v>153</v>
      </c>
      <c r="I2505" s="5">
        <v>360</v>
      </c>
      <c r="J2505" s="5">
        <v>2</v>
      </c>
      <c r="K2505" s="5">
        <v>5</v>
      </c>
      <c r="L2505" s="5">
        <v>45</v>
      </c>
      <c r="M2505" s="5">
        <v>0</v>
      </c>
      <c r="N2505" s="5">
        <v>203</v>
      </c>
      <c r="O2505" s="5" t="str">
        <f t="shared" ca="1" si="39"/>
        <v>Supplier 40</v>
      </c>
      <c r="P2505" s="20" t="str">
        <f ca="1">IFERROR(VLOOKUP(O2505,EMAILS!B:C,2,FALSE),"NOT FOUND IN EMAILS")</f>
        <v>supplier@gmail.com</v>
      </c>
      <c r="Q2505" t="str">
        <f ca="1">""&amp;IFERROR(VLOOKUP(O2505,EMAILS!B:D,3,FALSE),"NOT FOUND IN EMAILS")</f>
        <v/>
      </c>
      <c r="R2505" t="str">
        <f ca="1">""&amp;IFERROR(VLOOKUP(O2505,EMAILS!B:E,4,FALSE),"NO T FOUND IN EMAILS")</f>
        <v/>
      </c>
    </row>
    <row r="2506" spans="2:18" x14ac:dyDescent="0.25">
      <c r="B2506" s="5" t="s">
        <v>2508</v>
      </c>
      <c r="C2506" s="5" t="s">
        <v>6648</v>
      </c>
      <c r="D2506" s="5">
        <v>0</v>
      </c>
      <c r="E2506" s="5">
        <v>0</v>
      </c>
      <c r="F2506" s="5">
        <v>0</v>
      </c>
      <c r="G2506" s="5">
        <v>0</v>
      </c>
      <c r="H2506" s="5">
        <v>0</v>
      </c>
      <c r="I2506" s="5">
        <v>0</v>
      </c>
      <c r="J2506" s="5">
        <v>0</v>
      </c>
      <c r="K2506" s="5">
        <v>20</v>
      </c>
      <c r="L2506" s="5">
        <v>0</v>
      </c>
      <c r="M2506" s="5">
        <v>0</v>
      </c>
      <c r="N2506" s="5">
        <v>1120</v>
      </c>
      <c r="O2506" s="5" t="str">
        <f t="shared" ca="1" si="39"/>
        <v>Supplier 124</v>
      </c>
      <c r="P2506" s="20" t="str">
        <f ca="1">IFERROR(VLOOKUP(O2506,EMAILS!B:C,2,FALSE),"NOT FOUND IN EMAILS")</f>
        <v>supplier@gmail.com</v>
      </c>
      <c r="Q2506" t="str">
        <f ca="1">""&amp;IFERROR(VLOOKUP(O2506,EMAILS!B:D,3,FALSE),"NOT FOUND IN EMAILS")</f>
        <v/>
      </c>
      <c r="R2506" t="str">
        <f ca="1">""&amp;IFERROR(VLOOKUP(O2506,EMAILS!B:E,4,FALSE),"NO T FOUND IN EMAILS")</f>
        <v/>
      </c>
    </row>
    <row r="2507" spans="2:18" x14ac:dyDescent="0.25">
      <c r="B2507" s="5" t="s">
        <v>2509</v>
      </c>
      <c r="C2507" s="5" t="s">
        <v>6649</v>
      </c>
      <c r="D2507" s="5">
        <v>966</v>
      </c>
      <c r="E2507" s="5">
        <v>844</v>
      </c>
      <c r="F2507" s="5">
        <v>1338</v>
      </c>
      <c r="G2507" s="5">
        <v>1406</v>
      </c>
      <c r="H2507" s="5">
        <v>1234</v>
      </c>
      <c r="I2507" s="5">
        <v>1098</v>
      </c>
      <c r="J2507" s="5">
        <v>1230</v>
      </c>
      <c r="K2507" s="5">
        <v>1114</v>
      </c>
      <c r="L2507" s="5">
        <v>1178</v>
      </c>
      <c r="M2507" s="5">
        <v>0</v>
      </c>
      <c r="N2507" s="5">
        <v>544</v>
      </c>
      <c r="O2507" s="5" t="str">
        <f t="shared" ca="1" si="39"/>
        <v>Supplier 99</v>
      </c>
      <c r="P2507" s="20" t="str">
        <f ca="1">IFERROR(VLOOKUP(O2507,EMAILS!B:C,2,FALSE),"NOT FOUND IN EMAILS")</f>
        <v>supplier@gmail.com</v>
      </c>
      <c r="Q2507" t="str">
        <f ca="1">""&amp;IFERROR(VLOOKUP(O2507,EMAILS!B:D,3,FALSE),"NOT FOUND IN EMAILS")</f>
        <v/>
      </c>
      <c r="R2507" t="str">
        <f ca="1">""&amp;IFERROR(VLOOKUP(O2507,EMAILS!B:E,4,FALSE),"NO T FOUND IN EMAILS")</f>
        <v/>
      </c>
    </row>
    <row r="2508" spans="2:18" x14ac:dyDescent="0.25">
      <c r="B2508" s="5" t="s">
        <v>2510</v>
      </c>
      <c r="C2508" s="5" t="s">
        <v>6650</v>
      </c>
      <c r="D2508" s="5">
        <v>5716</v>
      </c>
      <c r="E2508" s="5">
        <v>5284</v>
      </c>
      <c r="F2508" s="5">
        <v>7396</v>
      </c>
      <c r="G2508" s="5">
        <v>7110</v>
      </c>
      <c r="H2508" s="5">
        <v>7482</v>
      </c>
      <c r="I2508" s="5">
        <v>7280</v>
      </c>
      <c r="J2508" s="5">
        <v>5956</v>
      </c>
      <c r="K2508" s="5">
        <v>4726</v>
      </c>
      <c r="L2508" s="5">
        <v>5273</v>
      </c>
      <c r="M2508" s="5">
        <v>0</v>
      </c>
      <c r="N2508" s="5">
        <v>250</v>
      </c>
      <c r="O2508" s="5" t="str">
        <f t="shared" ca="1" si="39"/>
        <v>Supplier 192</v>
      </c>
      <c r="P2508" s="20" t="str">
        <f ca="1">IFERROR(VLOOKUP(O2508,EMAILS!B:C,2,FALSE),"NOT FOUND IN EMAILS")</f>
        <v>supplier@gmail.com</v>
      </c>
      <c r="Q2508" t="str">
        <f ca="1">""&amp;IFERROR(VLOOKUP(O2508,EMAILS!B:D,3,FALSE),"NOT FOUND IN EMAILS")</f>
        <v/>
      </c>
      <c r="R2508" t="str">
        <f ca="1">""&amp;IFERROR(VLOOKUP(O2508,EMAILS!B:E,4,FALSE),"NO T FOUND IN EMAILS")</f>
        <v/>
      </c>
    </row>
    <row r="2509" spans="2:18" x14ac:dyDescent="0.25">
      <c r="B2509" s="5" t="s">
        <v>2511</v>
      </c>
      <c r="C2509" s="5" t="s">
        <v>6651</v>
      </c>
      <c r="D2509" s="5">
        <v>725</v>
      </c>
      <c r="E2509" s="5">
        <v>620</v>
      </c>
      <c r="F2509" s="5">
        <v>810</v>
      </c>
      <c r="G2509" s="5">
        <v>720</v>
      </c>
      <c r="H2509" s="5">
        <v>830</v>
      </c>
      <c r="I2509" s="5">
        <v>820</v>
      </c>
      <c r="J2509" s="5">
        <v>510</v>
      </c>
      <c r="K2509" s="5">
        <v>520</v>
      </c>
      <c r="L2509" s="5">
        <v>620</v>
      </c>
      <c r="M2509" s="5">
        <v>0</v>
      </c>
      <c r="N2509" s="5">
        <v>292</v>
      </c>
      <c r="O2509" s="5" t="str">
        <f t="shared" ca="1" si="39"/>
        <v>Supplier 122</v>
      </c>
      <c r="P2509" s="20" t="str">
        <f ca="1">IFERROR(VLOOKUP(O2509,EMAILS!B:C,2,FALSE),"NOT FOUND IN EMAILS")</f>
        <v>supplier@gmail.com</v>
      </c>
      <c r="Q2509" t="str">
        <f ca="1">""&amp;IFERROR(VLOOKUP(O2509,EMAILS!B:D,3,FALSE),"NOT FOUND IN EMAILS")</f>
        <v/>
      </c>
      <c r="R2509" t="str">
        <f ca="1">""&amp;IFERROR(VLOOKUP(O2509,EMAILS!B:E,4,FALSE),"NO T FOUND IN EMAILS")</f>
        <v/>
      </c>
    </row>
    <row r="2510" spans="2:18" x14ac:dyDescent="0.25">
      <c r="B2510" s="5" t="s">
        <v>2512</v>
      </c>
      <c r="C2510" s="5" t="s">
        <v>6652</v>
      </c>
      <c r="D2510" s="5">
        <v>200</v>
      </c>
      <c r="E2510" s="5">
        <v>20</v>
      </c>
      <c r="F2510" s="5">
        <v>120</v>
      </c>
      <c r="G2510" s="5">
        <v>80</v>
      </c>
      <c r="H2510" s="5">
        <v>160</v>
      </c>
      <c r="I2510" s="5">
        <v>80</v>
      </c>
      <c r="J2510" s="5">
        <v>40</v>
      </c>
      <c r="K2510" s="5">
        <v>100</v>
      </c>
      <c r="L2510" s="5">
        <v>140</v>
      </c>
      <c r="M2510" s="5">
        <v>0</v>
      </c>
      <c r="N2510" s="5">
        <v>500</v>
      </c>
      <c r="O2510" s="5" t="str">
        <f t="shared" ca="1" si="39"/>
        <v>Supplier 43</v>
      </c>
      <c r="P2510" s="20" t="str">
        <f ca="1">IFERROR(VLOOKUP(O2510,EMAILS!B:C,2,FALSE),"NOT FOUND IN EMAILS")</f>
        <v>supplier@gmail.com</v>
      </c>
      <c r="Q2510" t="str">
        <f ca="1">""&amp;IFERROR(VLOOKUP(O2510,EMAILS!B:D,3,FALSE),"NOT FOUND IN EMAILS")</f>
        <v/>
      </c>
      <c r="R2510" t="str">
        <f ca="1">""&amp;IFERROR(VLOOKUP(O2510,EMAILS!B:E,4,FALSE),"NO T FOUND IN EMAILS")</f>
        <v/>
      </c>
    </row>
    <row r="2511" spans="2:18" x14ac:dyDescent="0.25">
      <c r="B2511" s="5" t="s">
        <v>2513</v>
      </c>
      <c r="C2511" s="5" t="s">
        <v>6653</v>
      </c>
      <c r="D2511" s="5">
        <v>312</v>
      </c>
      <c r="E2511" s="5">
        <v>312</v>
      </c>
      <c r="F2511" s="5">
        <v>336</v>
      </c>
      <c r="G2511" s="5">
        <v>264</v>
      </c>
      <c r="H2511" s="5">
        <v>324</v>
      </c>
      <c r="I2511" s="5">
        <v>288</v>
      </c>
      <c r="J2511" s="5">
        <v>264</v>
      </c>
      <c r="K2511" s="5">
        <v>264</v>
      </c>
      <c r="L2511" s="5">
        <v>216</v>
      </c>
      <c r="M2511" s="5">
        <v>0</v>
      </c>
      <c r="N2511" s="5">
        <v>1010</v>
      </c>
      <c r="O2511" s="5" t="str">
        <f t="shared" ca="1" si="39"/>
        <v>Supplier 163</v>
      </c>
      <c r="P2511" s="20" t="str">
        <f ca="1">IFERROR(VLOOKUP(O2511,EMAILS!B:C,2,FALSE),"NOT FOUND IN EMAILS")</f>
        <v>supplier@gmail.com</v>
      </c>
      <c r="Q2511" t="str">
        <f ca="1">""&amp;IFERROR(VLOOKUP(O2511,EMAILS!B:D,3,FALSE),"NOT FOUND IN EMAILS")</f>
        <v/>
      </c>
      <c r="R2511" t="str">
        <f ca="1">""&amp;IFERROR(VLOOKUP(O2511,EMAILS!B:E,4,FALSE),"NO T FOUND IN EMAILS")</f>
        <v/>
      </c>
    </row>
    <row r="2512" spans="2:18" x14ac:dyDescent="0.25">
      <c r="B2512" s="5" t="s">
        <v>2514</v>
      </c>
      <c r="C2512" s="5" t="s">
        <v>6654</v>
      </c>
      <c r="D2512" s="5">
        <v>88</v>
      </c>
      <c r="E2512" s="5">
        <v>72</v>
      </c>
      <c r="F2512" s="5">
        <v>56</v>
      </c>
      <c r="G2512" s="5">
        <v>140</v>
      </c>
      <c r="H2512" s="5">
        <v>68</v>
      </c>
      <c r="I2512" s="5">
        <v>52</v>
      </c>
      <c r="J2512" s="5">
        <v>36</v>
      </c>
      <c r="K2512" s="5">
        <v>40</v>
      </c>
      <c r="L2512" s="5">
        <v>96</v>
      </c>
      <c r="M2512" s="5">
        <v>0</v>
      </c>
      <c r="N2512" s="5">
        <v>746</v>
      </c>
      <c r="O2512" s="5" t="str">
        <f t="shared" ca="1" si="39"/>
        <v>Supplier 60</v>
      </c>
      <c r="P2512" s="20" t="str">
        <f ca="1">IFERROR(VLOOKUP(O2512,EMAILS!B:C,2,FALSE),"NOT FOUND IN EMAILS")</f>
        <v>supplier@gmail.com</v>
      </c>
      <c r="Q2512" t="str">
        <f ca="1">""&amp;IFERROR(VLOOKUP(O2512,EMAILS!B:D,3,FALSE),"NOT FOUND IN EMAILS")</f>
        <v/>
      </c>
      <c r="R2512" t="str">
        <f ca="1">""&amp;IFERROR(VLOOKUP(O2512,EMAILS!B:E,4,FALSE),"NO T FOUND IN EMAILS")</f>
        <v/>
      </c>
    </row>
    <row r="2513" spans="2:18" x14ac:dyDescent="0.25">
      <c r="B2513" s="5" t="s">
        <v>2515</v>
      </c>
      <c r="C2513" s="5" t="s">
        <v>6655</v>
      </c>
      <c r="D2513" s="5">
        <v>798</v>
      </c>
      <c r="E2513" s="5">
        <v>182</v>
      </c>
      <c r="F2513" s="5">
        <v>1809</v>
      </c>
      <c r="G2513" s="5">
        <v>380</v>
      </c>
      <c r="H2513" s="5">
        <v>190</v>
      </c>
      <c r="I2513" s="5">
        <v>130</v>
      </c>
      <c r="J2513" s="5">
        <v>116</v>
      </c>
      <c r="K2513" s="5">
        <v>120</v>
      </c>
      <c r="L2513" s="5">
        <v>104</v>
      </c>
      <c r="M2513" s="5">
        <v>0</v>
      </c>
      <c r="N2513" s="5">
        <v>0</v>
      </c>
      <c r="O2513" s="5" t="str">
        <f t="shared" ca="1" si="39"/>
        <v>Supplier 87</v>
      </c>
      <c r="P2513" s="20" t="str">
        <f ca="1">IFERROR(VLOOKUP(O2513,EMAILS!B:C,2,FALSE),"NOT FOUND IN EMAILS")</f>
        <v>supplier@gmail.com</v>
      </c>
      <c r="Q2513" t="str">
        <f ca="1">""&amp;IFERROR(VLOOKUP(O2513,EMAILS!B:D,3,FALSE),"NOT FOUND IN EMAILS")</f>
        <v/>
      </c>
      <c r="R2513" t="str">
        <f ca="1">""&amp;IFERROR(VLOOKUP(O2513,EMAILS!B:E,4,FALSE),"NO T FOUND IN EMAILS")</f>
        <v/>
      </c>
    </row>
    <row r="2514" spans="2:18" x14ac:dyDescent="0.25">
      <c r="B2514" s="5" t="s">
        <v>2516</v>
      </c>
      <c r="C2514" s="5" t="s">
        <v>6656</v>
      </c>
      <c r="D2514" s="5">
        <v>1524</v>
      </c>
      <c r="E2514" s="5">
        <v>1218</v>
      </c>
      <c r="F2514" s="5">
        <v>1604</v>
      </c>
      <c r="G2514" s="5">
        <v>1564</v>
      </c>
      <c r="H2514" s="5">
        <v>1564</v>
      </c>
      <c r="I2514" s="5">
        <v>1724</v>
      </c>
      <c r="J2514" s="5">
        <v>1080</v>
      </c>
      <c r="K2514" s="5">
        <v>1512</v>
      </c>
      <c r="L2514" s="5">
        <v>1734</v>
      </c>
      <c r="M2514" s="5">
        <v>0</v>
      </c>
      <c r="N2514" s="5">
        <v>124</v>
      </c>
      <c r="O2514" s="5" t="str">
        <f t="shared" ca="1" si="39"/>
        <v>Supplier 103</v>
      </c>
      <c r="P2514" s="20" t="str">
        <f ca="1">IFERROR(VLOOKUP(O2514,EMAILS!B:C,2,FALSE),"NOT FOUND IN EMAILS")</f>
        <v>supplier@gmail.com</v>
      </c>
      <c r="Q2514" t="str">
        <f ca="1">""&amp;IFERROR(VLOOKUP(O2514,EMAILS!B:D,3,FALSE),"NOT FOUND IN EMAILS")</f>
        <v/>
      </c>
      <c r="R2514" t="str">
        <f ca="1">""&amp;IFERROR(VLOOKUP(O2514,EMAILS!B:E,4,FALSE),"NO T FOUND IN EMAILS")</f>
        <v/>
      </c>
    </row>
    <row r="2515" spans="2:18" x14ac:dyDescent="0.25">
      <c r="B2515" s="5" t="s">
        <v>2517</v>
      </c>
      <c r="C2515" s="5" t="s">
        <v>6657</v>
      </c>
      <c r="D2515" s="5">
        <v>0</v>
      </c>
      <c r="E2515" s="5">
        <v>0</v>
      </c>
      <c r="F2515" s="5">
        <v>0</v>
      </c>
      <c r="G2515" s="5">
        <v>0</v>
      </c>
      <c r="H2515" s="5">
        <v>0</v>
      </c>
      <c r="I2515" s="5">
        <v>0</v>
      </c>
      <c r="J2515" s="5">
        <v>0</v>
      </c>
      <c r="K2515" s="5">
        <v>0</v>
      </c>
      <c r="L2515" s="5">
        <v>0</v>
      </c>
      <c r="M2515" s="5">
        <v>0</v>
      </c>
      <c r="N2515" s="5">
        <v>0</v>
      </c>
      <c r="O2515" s="5" t="str">
        <f t="shared" ca="1" si="39"/>
        <v>Supplier 33</v>
      </c>
      <c r="P2515" s="20" t="str">
        <f ca="1">IFERROR(VLOOKUP(O2515,EMAILS!B:C,2,FALSE),"NOT FOUND IN EMAILS")</f>
        <v>supplier@gmail.com</v>
      </c>
      <c r="Q2515" t="str">
        <f ca="1">""&amp;IFERROR(VLOOKUP(O2515,EMAILS!B:D,3,FALSE),"NOT FOUND IN EMAILS")</f>
        <v/>
      </c>
      <c r="R2515" t="str">
        <f ca="1">""&amp;IFERROR(VLOOKUP(O2515,EMAILS!B:E,4,FALSE),"NO T FOUND IN EMAILS")</f>
        <v/>
      </c>
    </row>
    <row r="2516" spans="2:18" x14ac:dyDescent="0.25">
      <c r="B2516" s="5" t="s">
        <v>2518</v>
      </c>
      <c r="C2516" s="5" t="s">
        <v>6658</v>
      </c>
      <c r="D2516" s="5">
        <v>400</v>
      </c>
      <c r="E2516" s="5">
        <v>100</v>
      </c>
      <c r="F2516" s="5">
        <v>300</v>
      </c>
      <c r="G2516" s="5">
        <v>425</v>
      </c>
      <c r="H2516" s="5">
        <v>400</v>
      </c>
      <c r="I2516" s="5">
        <v>400</v>
      </c>
      <c r="J2516" s="5">
        <v>400</v>
      </c>
      <c r="K2516" s="5">
        <v>400</v>
      </c>
      <c r="L2516" s="5">
        <v>300</v>
      </c>
      <c r="M2516" s="5">
        <v>0</v>
      </c>
      <c r="N2516" s="5">
        <v>0</v>
      </c>
      <c r="O2516" s="5" t="str">
        <f t="shared" ca="1" si="39"/>
        <v>Supplier 58</v>
      </c>
      <c r="P2516" s="20" t="str">
        <f ca="1">IFERROR(VLOOKUP(O2516,EMAILS!B:C,2,FALSE),"NOT FOUND IN EMAILS")</f>
        <v>supplier@gmail.com</v>
      </c>
      <c r="Q2516" t="str">
        <f ca="1">""&amp;IFERROR(VLOOKUP(O2516,EMAILS!B:D,3,FALSE),"NOT FOUND IN EMAILS")</f>
        <v/>
      </c>
      <c r="R2516" t="str">
        <f ca="1">""&amp;IFERROR(VLOOKUP(O2516,EMAILS!B:E,4,FALSE),"NO T FOUND IN EMAILS")</f>
        <v/>
      </c>
    </row>
    <row r="2517" spans="2:18" x14ac:dyDescent="0.25">
      <c r="B2517" s="5" t="s">
        <v>2519</v>
      </c>
      <c r="C2517" s="5" t="s">
        <v>6659</v>
      </c>
      <c r="D2517" s="5">
        <v>0</v>
      </c>
      <c r="E2517" s="5">
        <v>0</v>
      </c>
      <c r="F2517" s="5">
        <v>0</v>
      </c>
      <c r="G2517" s="5">
        <v>0</v>
      </c>
      <c r="H2517" s="5">
        <v>0</v>
      </c>
      <c r="I2517" s="5">
        <v>0</v>
      </c>
      <c r="J2517" s="5">
        <v>0</v>
      </c>
      <c r="K2517" s="5">
        <v>0</v>
      </c>
      <c r="L2517" s="5">
        <v>0</v>
      </c>
      <c r="M2517" s="5">
        <v>0</v>
      </c>
      <c r="N2517" s="5">
        <v>0</v>
      </c>
      <c r="O2517" s="5" t="str">
        <f t="shared" ca="1" si="39"/>
        <v>Supplier 53</v>
      </c>
      <c r="P2517" s="20" t="str">
        <f ca="1">IFERROR(VLOOKUP(O2517,EMAILS!B:C,2,FALSE),"NOT FOUND IN EMAILS")</f>
        <v>supplier@gmail.com</v>
      </c>
      <c r="Q2517" t="str">
        <f ca="1">""&amp;IFERROR(VLOOKUP(O2517,EMAILS!B:D,3,FALSE),"NOT FOUND IN EMAILS")</f>
        <v/>
      </c>
      <c r="R2517" t="str">
        <f ca="1">""&amp;IFERROR(VLOOKUP(O2517,EMAILS!B:E,4,FALSE),"NO T FOUND IN EMAILS")</f>
        <v/>
      </c>
    </row>
    <row r="2518" spans="2:18" x14ac:dyDescent="0.25">
      <c r="B2518" s="5" t="s">
        <v>2520</v>
      </c>
      <c r="C2518" s="5" t="s">
        <v>6660</v>
      </c>
      <c r="D2518" s="5">
        <v>0</v>
      </c>
      <c r="E2518" s="5">
        <v>0</v>
      </c>
      <c r="F2518" s="5">
        <v>0</v>
      </c>
      <c r="G2518" s="5">
        <v>0</v>
      </c>
      <c r="H2518" s="5">
        <v>0</v>
      </c>
      <c r="I2518" s="5">
        <v>0</v>
      </c>
      <c r="J2518" s="5">
        <v>0</v>
      </c>
      <c r="K2518" s="5">
        <v>0</v>
      </c>
      <c r="L2518" s="5">
        <v>0</v>
      </c>
      <c r="M2518" s="5">
        <v>0</v>
      </c>
      <c r="N2518" s="5">
        <v>708</v>
      </c>
      <c r="O2518" s="5" t="str">
        <f t="shared" ca="1" si="39"/>
        <v>Supplier 93</v>
      </c>
      <c r="P2518" s="20" t="str">
        <f ca="1">IFERROR(VLOOKUP(O2518,EMAILS!B:C,2,FALSE),"NOT FOUND IN EMAILS")</f>
        <v>supplier@gmail.com</v>
      </c>
      <c r="Q2518" t="str">
        <f ca="1">""&amp;IFERROR(VLOOKUP(O2518,EMAILS!B:D,3,FALSE),"NOT FOUND IN EMAILS")</f>
        <v/>
      </c>
      <c r="R2518" t="str">
        <f ca="1">""&amp;IFERROR(VLOOKUP(O2518,EMAILS!B:E,4,FALSE),"NO T FOUND IN EMAILS")</f>
        <v/>
      </c>
    </row>
    <row r="2519" spans="2:18" x14ac:dyDescent="0.25">
      <c r="B2519" s="5" t="s">
        <v>2521</v>
      </c>
      <c r="C2519" s="5" t="s">
        <v>6661</v>
      </c>
      <c r="D2519" s="5">
        <v>0</v>
      </c>
      <c r="E2519" s="5">
        <v>0</v>
      </c>
      <c r="F2519" s="5">
        <v>0</v>
      </c>
      <c r="G2519" s="5">
        <v>0</v>
      </c>
      <c r="H2519" s="5">
        <v>0</v>
      </c>
      <c r="I2519" s="5">
        <v>0</v>
      </c>
      <c r="J2519" s="5">
        <v>0</v>
      </c>
      <c r="K2519" s="5">
        <v>0</v>
      </c>
      <c r="L2519" s="5">
        <v>0</v>
      </c>
      <c r="M2519" s="5">
        <v>0</v>
      </c>
      <c r="N2519" s="5">
        <v>1799</v>
      </c>
      <c r="O2519" s="5" t="str">
        <f t="shared" ca="1" si="39"/>
        <v>Supplier 70</v>
      </c>
      <c r="P2519" s="20" t="str">
        <f ca="1">IFERROR(VLOOKUP(O2519,EMAILS!B:C,2,FALSE),"NOT FOUND IN EMAILS")</f>
        <v>supplier@gmail.com</v>
      </c>
      <c r="Q2519" t="str">
        <f ca="1">""&amp;IFERROR(VLOOKUP(O2519,EMAILS!B:D,3,FALSE),"NOT FOUND IN EMAILS")</f>
        <v/>
      </c>
      <c r="R2519" t="str">
        <f ca="1">""&amp;IFERROR(VLOOKUP(O2519,EMAILS!B:E,4,FALSE),"NO T FOUND IN EMAILS")</f>
        <v/>
      </c>
    </row>
    <row r="2520" spans="2:18" x14ac:dyDescent="0.25">
      <c r="B2520" s="5" t="s">
        <v>2522</v>
      </c>
      <c r="C2520" s="5" t="s">
        <v>6662</v>
      </c>
      <c r="D2520" s="5">
        <v>0</v>
      </c>
      <c r="E2520" s="5">
        <v>0</v>
      </c>
      <c r="F2520" s="5">
        <v>0</v>
      </c>
      <c r="G2520" s="5">
        <v>0</v>
      </c>
      <c r="H2520" s="5">
        <v>0</v>
      </c>
      <c r="I2520" s="5">
        <v>0</v>
      </c>
      <c r="J2520" s="5">
        <v>0</v>
      </c>
      <c r="K2520" s="5">
        <v>0</v>
      </c>
      <c r="L2520" s="5">
        <v>0</v>
      </c>
      <c r="M2520" s="5">
        <v>0</v>
      </c>
      <c r="N2520" s="5">
        <v>5384</v>
      </c>
      <c r="O2520" s="5" t="str">
        <f t="shared" ca="1" si="39"/>
        <v>Supplier 59</v>
      </c>
      <c r="P2520" s="20" t="str">
        <f ca="1">IFERROR(VLOOKUP(O2520,EMAILS!B:C,2,FALSE),"NOT FOUND IN EMAILS")</f>
        <v>supplier@gmail.com</v>
      </c>
      <c r="Q2520" t="str">
        <f ca="1">""&amp;IFERROR(VLOOKUP(O2520,EMAILS!B:D,3,FALSE),"NOT FOUND IN EMAILS")</f>
        <v/>
      </c>
      <c r="R2520" t="str">
        <f ca="1">""&amp;IFERROR(VLOOKUP(O2520,EMAILS!B:E,4,FALSE),"NO T FOUND IN EMAILS")</f>
        <v/>
      </c>
    </row>
    <row r="2521" spans="2:18" x14ac:dyDescent="0.25">
      <c r="B2521" s="5" t="s">
        <v>2523</v>
      </c>
      <c r="C2521" s="5" t="s">
        <v>6663</v>
      </c>
      <c r="D2521" s="5">
        <v>0</v>
      </c>
      <c r="E2521" s="5">
        <v>0</v>
      </c>
      <c r="F2521" s="5">
        <v>0</v>
      </c>
      <c r="G2521" s="5">
        <v>0</v>
      </c>
      <c r="H2521" s="5">
        <v>0</v>
      </c>
      <c r="I2521" s="5">
        <v>0</v>
      </c>
      <c r="J2521" s="5">
        <v>0</v>
      </c>
      <c r="K2521" s="5">
        <v>0</v>
      </c>
      <c r="L2521" s="5">
        <v>0</v>
      </c>
      <c r="M2521" s="5">
        <v>0</v>
      </c>
      <c r="N2521" s="5">
        <v>6919</v>
      </c>
      <c r="O2521" s="5" t="str">
        <f t="shared" ca="1" si="39"/>
        <v>Supplier 91</v>
      </c>
      <c r="P2521" s="20" t="str">
        <f ca="1">IFERROR(VLOOKUP(O2521,EMAILS!B:C,2,FALSE),"NOT FOUND IN EMAILS")</f>
        <v>supplier@gmail.com</v>
      </c>
      <c r="Q2521" t="str">
        <f ca="1">""&amp;IFERROR(VLOOKUP(O2521,EMAILS!B:D,3,FALSE),"NOT FOUND IN EMAILS")</f>
        <v/>
      </c>
      <c r="R2521" t="str">
        <f ca="1">""&amp;IFERROR(VLOOKUP(O2521,EMAILS!B:E,4,FALSE),"NO T FOUND IN EMAILS")</f>
        <v/>
      </c>
    </row>
    <row r="2522" spans="2:18" x14ac:dyDescent="0.25">
      <c r="B2522" s="5" t="s">
        <v>2524</v>
      </c>
      <c r="C2522" s="5" t="s">
        <v>6664</v>
      </c>
      <c r="D2522" s="5">
        <v>0</v>
      </c>
      <c r="E2522" s="5">
        <v>0</v>
      </c>
      <c r="F2522" s="5">
        <v>0</v>
      </c>
      <c r="G2522" s="5">
        <v>0</v>
      </c>
      <c r="H2522" s="5">
        <v>0</v>
      </c>
      <c r="I2522" s="5">
        <v>0</v>
      </c>
      <c r="J2522" s="5">
        <v>0</v>
      </c>
      <c r="K2522" s="5">
        <v>0</v>
      </c>
      <c r="L2522" s="5">
        <v>0</v>
      </c>
      <c r="M2522" s="5">
        <v>0</v>
      </c>
      <c r="N2522" s="5">
        <v>0</v>
      </c>
      <c r="O2522" s="5" t="str">
        <f t="shared" ca="1" si="39"/>
        <v>Supplier 3</v>
      </c>
      <c r="P2522" s="20" t="str">
        <f ca="1">IFERROR(VLOOKUP(O2522,EMAILS!B:C,2,FALSE),"NOT FOUND IN EMAILS")</f>
        <v>supplier@gmail.com</v>
      </c>
      <c r="Q2522" t="str">
        <f ca="1">""&amp;IFERROR(VLOOKUP(O2522,EMAILS!B:D,3,FALSE),"NOT FOUND IN EMAILS")</f>
        <v>supplier_logistics@gmail.com</v>
      </c>
      <c r="R2522" t="str">
        <f ca="1">""&amp;IFERROR(VLOOKUP(O2522,EMAILS!B:E,4,FALSE),"NO T FOUND IN EMAILS")</f>
        <v/>
      </c>
    </row>
    <row r="2523" spans="2:18" x14ac:dyDescent="0.25">
      <c r="B2523" s="5" t="s">
        <v>2525</v>
      </c>
      <c r="C2523" s="5" t="s">
        <v>6665</v>
      </c>
      <c r="D2523" s="5">
        <v>0</v>
      </c>
      <c r="E2523" s="5">
        <v>0</v>
      </c>
      <c r="F2523" s="5">
        <v>0</v>
      </c>
      <c r="G2523" s="5">
        <v>0</v>
      </c>
      <c r="H2523" s="5">
        <v>0</v>
      </c>
      <c r="I2523" s="5">
        <v>0</v>
      </c>
      <c r="J2523" s="5">
        <v>0</v>
      </c>
      <c r="K2523" s="5">
        <v>0</v>
      </c>
      <c r="L2523" s="5">
        <v>0</v>
      </c>
      <c r="M2523" s="5">
        <v>0</v>
      </c>
      <c r="N2523" s="5">
        <v>1976</v>
      </c>
      <c r="O2523" s="5" t="str">
        <f t="shared" ca="1" si="39"/>
        <v>Supplier 18</v>
      </c>
      <c r="P2523" s="20" t="str">
        <f ca="1">IFERROR(VLOOKUP(O2523,EMAILS!B:C,2,FALSE),"NOT FOUND IN EMAILS")</f>
        <v>supplier@gmail.com</v>
      </c>
      <c r="Q2523" t="str">
        <f ca="1">""&amp;IFERROR(VLOOKUP(O2523,EMAILS!B:D,3,FALSE),"NOT FOUND IN EMAILS")</f>
        <v>supplier_logistics@gmail.com</v>
      </c>
      <c r="R2523" t="str">
        <f ca="1">""&amp;IFERROR(VLOOKUP(O2523,EMAILS!B:E,4,FALSE),"NO T FOUND IN EMAILS")</f>
        <v/>
      </c>
    </row>
    <row r="2524" spans="2:18" x14ac:dyDescent="0.25">
      <c r="B2524" s="5" t="s">
        <v>2526</v>
      </c>
      <c r="C2524" s="5" t="s">
        <v>6666</v>
      </c>
      <c r="D2524" s="5">
        <v>98</v>
      </c>
      <c r="E2524" s="5">
        <v>0</v>
      </c>
      <c r="F2524" s="5">
        <v>52</v>
      </c>
      <c r="G2524" s="5">
        <v>70</v>
      </c>
      <c r="H2524" s="5">
        <v>0</v>
      </c>
      <c r="I2524" s="5">
        <v>0</v>
      </c>
      <c r="J2524" s="5">
        <v>0</v>
      </c>
      <c r="K2524" s="5">
        <v>0</v>
      </c>
      <c r="L2524" s="5">
        <v>0</v>
      </c>
      <c r="M2524" s="5">
        <v>0</v>
      </c>
      <c r="N2524" s="5">
        <v>1602</v>
      </c>
      <c r="O2524" s="5" t="str">
        <f t="shared" ca="1" si="39"/>
        <v>Supplier 154</v>
      </c>
      <c r="P2524" s="20" t="str">
        <f ca="1">IFERROR(VLOOKUP(O2524,EMAILS!B:C,2,FALSE),"NOT FOUND IN EMAILS")</f>
        <v>supplier@gmail.com</v>
      </c>
      <c r="Q2524" t="str">
        <f ca="1">""&amp;IFERROR(VLOOKUP(O2524,EMAILS!B:D,3,FALSE),"NOT FOUND IN EMAILS")</f>
        <v/>
      </c>
      <c r="R2524" t="str">
        <f ca="1">""&amp;IFERROR(VLOOKUP(O2524,EMAILS!B:E,4,FALSE),"NO T FOUND IN EMAILS")</f>
        <v/>
      </c>
    </row>
    <row r="2525" spans="2:18" x14ac:dyDescent="0.25">
      <c r="B2525" s="5" t="s">
        <v>2527</v>
      </c>
      <c r="C2525" s="5" t="s">
        <v>6667</v>
      </c>
      <c r="D2525" s="5">
        <v>44</v>
      </c>
      <c r="E2525" s="5">
        <v>0</v>
      </c>
      <c r="F2525" s="5">
        <v>2</v>
      </c>
      <c r="G2525" s="5">
        <v>4</v>
      </c>
      <c r="H2525" s="5">
        <v>40</v>
      </c>
      <c r="I2525" s="5">
        <v>0</v>
      </c>
      <c r="J2525" s="5">
        <v>0</v>
      </c>
      <c r="K2525" s="5">
        <v>0</v>
      </c>
      <c r="L2525" s="5">
        <v>0</v>
      </c>
      <c r="M2525" s="5">
        <v>0</v>
      </c>
      <c r="N2525" s="5">
        <v>1550</v>
      </c>
      <c r="O2525" s="5" t="str">
        <f t="shared" ca="1" si="39"/>
        <v>Supplier 186</v>
      </c>
      <c r="P2525" s="20" t="str">
        <f ca="1">IFERROR(VLOOKUP(O2525,EMAILS!B:C,2,FALSE),"NOT FOUND IN EMAILS")</f>
        <v>supplier@gmail.com</v>
      </c>
      <c r="Q2525" t="str">
        <f ca="1">""&amp;IFERROR(VLOOKUP(O2525,EMAILS!B:D,3,FALSE),"NOT FOUND IN EMAILS")</f>
        <v/>
      </c>
      <c r="R2525" t="str">
        <f ca="1">""&amp;IFERROR(VLOOKUP(O2525,EMAILS!B:E,4,FALSE),"NO T FOUND IN EMAILS")</f>
        <v/>
      </c>
    </row>
    <row r="2526" spans="2:18" x14ac:dyDescent="0.25">
      <c r="B2526" s="5" t="s">
        <v>2528</v>
      </c>
      <c r="C2526" s="5" t="s">
        <v>6668</v>
      </c>
      <c r="D2526" s="5">
        <v>154</v>
      </c>
      <c r="E2526" s="5">
        <v>154</v>
      </c>
      <c r="F2526" s="5">
        <v>198</v>
      </c>
      <c r="G2526" s="5">
        <v>198</v>
      </c>
      <c r="H2526" s="5">
        <v>154</v>
      </c>
      <c r="I2526" s="5">
        <v>198</v>
      </c>
      <c r="J2526" s="5">
        <v>110</v>
      </c>
      <c r="K2526" s="5">
        <v>110</v>
      </c>
      <c r="L2526" s="5">
        <v>110</v>
      </c>
      <c r="M2526" s="5">
        <v>0</v>
      </c>
      <c r="N2526" s="5">
        <v>4400</v>
      </c>
      <c r="O2526" s="5" t="str">
        <f t="shared" ca="1" si="39"/>
        <v>Supplier 8</v>
      </c>
      <c r="P2526" s="20" t="str">
        <f ca="1">IFERROR(VLOOKUP(O2526,EMAILS!B:C,2,FALSE),"NOT FOUND IN EMAILS")</f>
        <v>supplier@gmail.com</v>
      </c>
      <c r="Q2526" t="str">
        <f ca="1">""&amp;IFERROR(VLOOKUP(O2526,EMAILS!B:D,3,FALSE),"NOT FOUND IN EMAILS")</f>
        <v>supplier_logistics@gmail.com</v>
      </c>
      <c r="R2526" t="str">
        <f ca="1">""&amp;IFERROR(VLOOKUP(O2526,EMAILS!B:E,4,FALSE),"NO T FOUND IN EMAILS")</f>
        <v/>
      </c>
    </row>
    <row r="2527" spans="2:18" x14ac:dyDescent="0.25">
      <c r="B2527" s="5" t="s">
        <v>2529</v>
      </c>
      <c r="C2527" s="5" t="s">
        <v>6669</v>
      </c>
      <c r="D2527" s="5">
        <v>4538</v>
      </c>
      <c r="E2527" s="5">
        <v>4018</v>
      </c>
      <c r="F2527" s="5">
        <v>5024</v>
      </c>
      <c r="G2527" s="5">
        <v>5020</v>
      </c>
      <c r="H2527" s="5">
        <v>4544</v>
      </c>
      <c r="I2527" s="5">
        <v>5018</v>
      </c>
      <c r="J2527" s="5">
        <v>3014</v>
      </c>
      <c r="K2527" s="5">
        <v>3008</v>
      </c>
      <c r="L2527" s="5">
        <v>3008</v>
      </c>
      <c r="M2527" s="5">
        <v>0</v>
      </c>
      <c r="N2527" s="5">
        <v>0</v>
      </c>
      <c r="O2527" s="5" t="str">
        <f t="shared" ca="1" si="39"/>
        <v>Supplier 192</v>
      </c>
      <c r="P2527" s="20" t="str">
        <f ca="1">IFERROR(VLOOKUP(O2527,EMAILS!B:C,2,FALSE),"NOT FOUND IN EMAILS")</f>
        <v>supplier@gmail.com</v>
      </c>
      <c r="Q2527" t="str">
        <f ca="1">""&amp;IFERROR(VLOOKUP(O2527,EMAILS!B:D,3,FALSE),"NOT FOUND IN EMAILS")</f>
        <v/>
      </c>
      <c r="R2527" t="str">
        <f ca="1">""&amp;IFERROR(VLOOKUP(O2527,EMAILS!B:E,4,FALSE),"NO T FOUND IN EMAILS")</f>
        <v/>
      </c>
    </row>
    <row r="2528" spans="2:18" x14ac:dyDescent="0.25">
      <c r="B2528" s="5" t="s">
        <v>2530</v>
      </c>
      <c r="C2528" s="5" t="s">
        <v>6670</v>
      </c>
      <c r="D2528" s="5">
        <v>0</v>
      </c>
      <c r="E2528" s="5">
        <v>0</v>
      </c>
      <c r="F2528" s="5">
        <v>0</v>
      </c>
      <c r="G2528" s="5">
        <v>0</v>
      </c>
      <c r="H2528" s="5">
        <v>0</v>
      </c>
      <c r="I2528" s="5">
        <v>0</v>
      </c>
      <c r="J2528" s="5">
        <v>0</v>
      </c>
      <c r="K2528" s="5">
        <v>0</v>
      </c>
      <c r="L2528" s="5">
        <v>0</v>
      </c>
      <c r="M2528" s="5">
        <v>0</v>
      </c>
      <c r="N2528" s="5">
        <v>1950</v>
      </c>
      <c r="O2528" s="5" t="str">
        <f t="shared" ca="1" si="39"/>
        <v>Supplier 170</v>
      </c>
      <c r="P2528" s="20" t="str">
        <f ca="1">IFERROR(VLOOKUP(O2528,EMAILS!B:C,2,FALSE),"NOT FOUND IN EMAILS")</f>
        <v>supplier@gmail.com</v>
      </c>
      <c r="Q2528" t="str">
        <f ca="1">""&amp;IFERROR(VLOOKUP(O2528,EMAILS!B:D,3,FALSE),"NOT FOUND IN EMAILS")</f>
        <v/>
      </c>
      <c r="R2528" t="str">
        <f ca="1">""&amp;IFERROR(VLOOKUP(O2528,EMAILS!B:E,4,FALSE),"NO T FOUND IN EMAILS")</f>
        <v/>
      </c>
    </row>
    <row r="2529" spans="2:18" x14ac:dyDescent="0.25">
      <c r="B2529" s="5" t="s">
        <v>2531</v>
      </c>
      <c r="C2529" s="5" t="s">
        <v>6671</v>
      </c>
      <c r="D2529" s="5">
        <v>1366</v>
      </c>
      <c r="E2529" s="5">
        <v>120</v>
      </c>
      <c r="F2529" s="5">
        <v>60</v>
      </c>
      <c r="G2529" s="5">
        <v>52</v>
      </c>
      <c r="H2529" s="5">
        <v>40</v>
      </c>
      <c r="I2529" s="5">
        <v>36</v>
      </c>
      <c r="J2529" s="5">
        <v>28</v>
      </c>
      <c r="K2529" s="5">
        <v>16</v>
      </c>
      <c r="L2529" s="5">
        <v>16</v>
      </c>
      <c r="M2529" s="5">
        <v>0</v>
      </c>
      <c r="N2529" s="5">
        <v>1956</v>
      </c>
      <c r="O2529" s="5" t="str">
        <f t="shared" ca="1" si="39"/>
        <v>Supplier 191</v>
      </c>
      <c r="P2529" s="20" t="str">
        <f ca="1">IFERROR(VLOOKUP(O2529,EMAILS!B:C,2,FALSE),"NOT FOUND IN EMAILS")</f>
        <v>supplier@gmail.com</v>
      </c>
      <c r="Q2529" t="str">
        <f ca="1">""&amp;IFERROR(VLOOKUP(O2529,EMAILS!B:D,3,FALSE),"NOT FOUND IN EMAILS")</f>
        <v/>
      </c>
      <c r="R2529" t="str">
        <f ca="1">""&amp;IFERROR(VLOOKUP(O2529,EMAILS!B:E,4,FALSE),"NO T FOUND IN EMAILS")</f>
        <v/>
      </c>
    </row>
    <row r="2530" spans="2:18" x14ac:dyDescent="0.25">
      <c r="B2530" s="5" t="s">
        <v>2532</v>
      </c>
      <c r="C2530" s="5" t="s">
        <v>6672</v>
      </c>
      <c r="D2530" s="5">
        <v>0</v>
      </c>
      <c r="E2530" s="5">
        <v>0</v>
      </c>
      <c r="F2530" s="5">
        <v>0</v>
      </c>
      <c r="G2530" s="5">
        <v>0</v>
      </c>
      <c r="H2530" s="5">
        <v>0</v>
      </c>
      <c r="I2530" s="5">
        <v>0</v>
      </c>
      <c r="J2530" s="5">
        <v>0</v>
      </c>
      <c r="K2530" s="5">
        <v>0</v>
      </c>
      <c r="L2530" s="5">
        <v>0</v>
      </c>
      <c r="M2530" s="5">
        <v>0</v>
      </c>
      <c r="N2530" s="5">
        <v>959</v>
      </c>
      <c r="O2530" s="5" t="str">
        <f t="shared" ca="1" si="39"/>
        <v>Supplier 182</v>
      </c>
      <c r="P2530" s="20" t="str">
        <f ca="1">IFERROR(VLOOKUP(O2530,EMAILS!B:C,2,FALSE),"NOT FOUND IN EMAILS")</f>
        <v>supplier@gmail.com</v>
      </c>
      <c r="Q2530" t="str">
        <f ca="1">""&amp;IFERROR(VLOOKUP(O2530,EMAILS!B:D,3,FALSE),"NOT FOUND IN EMAILS")</f>
        <v/>
      </c>
      <c r="R2530" t="str">
        <f ca="1">""&amp;IFERROR(VLOOKUP(O2530,EMAILS!B:E,4,FALSE),"NO T FOUND IN EMAILS")</f>
        <v/>
      </c>
    </row>
    <row r="2531" spans="2:18" x14ac:dyDescent="0.25">
      <c r="B2531" s="5" t="s">
        <v>2533</v>
      </c>
      <c r="C2531" s="5" t="s">
        <v>6673</v>
      </c>
      <c r="D2531" s="5">
        <v>0</v>
      </c>
      <c r="E2531" s="5">
        <v>0</v>
      </c>
      <c r="F2531" s="5">
        <v>0</v>
      </c>
      <c r="G2531" s="5">
        <v>0</v>
      </c>
      <c r="H2531" s="5">
        <v>0</v>
      </c>
      <c r="I2531" s="5">
        <v>0</v>
      </c>
      <c r="J2531" s="5">
        <v>0</v>
      </c>
      <c r="K2531" s="5">
        <v>0</v>
      </c>
      <c r="L2531" s="5">
        <v>0</v>
      </c>
      <c r="M2531" s="5">
        <v>0</v>
      </c>
      <c r="N2531" s="5">
        <v>124</v>
      </c>
      <c r="O2531" s="5" t="str">
        <f t="shared" ca="1" si="39"/>
        <v>Supplier 134</v>
      </c>
      <c r="P2531" s="20" t="str">
        <f ca="1">IFERROR(VLOOKUP(O2531,EMAILS!B:C,2,FALSE),"NOT FOUND IN EMAILS")</f>
        <v>supplier@gmail.com</v>
      </c>
      <c r="Q2531" t="str">
        <f ca="1">""&amp;IFERROR(VLOOKUP(O2531,EMAILS!B:D,3,FALSE),"NOT FOUND IN EMAILS")</f>
        <v/>
      </c>
      <c r="R2531" t="str">
        <f ca="1">""&amp;IFERROR(VLOOKUP(O2531,EMAILS!B:E,4,FALSE),"NO T FOUND IN EMAILS")</f>
        <v/>
      </c>
    </row>
    <row r="2532" spans="2:18" x14ac:dyDescent="0.25">
      <c r="B2532" s="5" t="s">
        <v>2534</v>
      </c>
      <c r="C2532" s="5" t="s">
        <v>6674</v>
      </c>
      <c r="D2532" s="5">
        <v>96</v>
      </c>
      <c r="E2532" s="5">
        <v>76</v>
      </c>
      <c r="F2532" s="5">
        <v>62</v>
      </c>
      <c r="G2532" s="5">
        <v>132</v>
      </c>
      <c r="H2532" s="5">
        <v>88</v>
      </c>
      <c r="I2532" s="5">
        <v>60</v>
      </c>
      <c r="J2532" s="5">
        <v>52</v>
      </c>
      <c r="K2532" s="5">
        <v>44</v>
      </c>
      <c r="L2532" s="5">
        <v>72</v>
      </c>
      <c r="M2532" s="5">
        <v>0</v>
      </c>
      <c r="N2532" s="5">
        <v>2500</v>
      </c>
      <c r="O2532" s="5" t="str">
        <f t="shared" ca="1" si="39"/>
        <v>Supplier 158</v>
      </c>
      <c r="P2532" s="20" t="str">
        <f ca="1">IFERROR(VLOOKUP(O2532,EMAILS!B:C,2,FALSE),"NOT FOUND IN EMAILS")</f>
        <v>supplier@gmail.com</v>
      </c>
      <c r="Q2532" t="str">
        <f ca="1">""&amp;IFERROR(VLOOKUP(O2532,EMAILS!B:D,3,FALSE),"NOT FOUND IN EMAILS")</f>
        <v/>
      </c>
      <c r="R2532" t="str">
        <f ca="1">""&amp;IFERROR(VLOOKUP(O2532,EMAILS!B:E,4,FALSE),"NO T FOUND IN EMAILS")</f>
        <v/>
      </c>
    </row>
    <row r="2533" spans="2:18" x14ac:dyDescent="0.25">
      <c r="B2533" s="5" t="s">
        <v>2535</v>
      </c>
      <c r="C2533" s="5" t="s">
        <v>6675</v>
      </c>
      <c r="D2533" s="5">
        <v>2964</v>
      </c>
      <c r="E2533" s="5">
        <v>3642</v>
      </c>
      <c r="F2533" s="5">
        <v>3468</v>
      </c>
      <c r="G2533" s="5">
        <v>3228</v>
      </c>
      <c r="H2533" s="5">
        <v>3300</v>
      </c>
      <c r="I2533" s="5">
        <v>3564</v>
      </c>
      <c r="J2533" s="5">
        <v>2628</v>
      </c>
      <c r="K2533" s="5">
        <v>2448</v>
      </c>
      <c r="L2533" s="5">
        <v>2112</v>
      </c>
      <c r="M2533" s="5">
        <v>0</v>
      </c>
      <c r="N2533" s="5">
        <v>206</v>
      </c>
      <c r="O2533" s="5" t="str">
        <f t="shared" ca="1" si="39"/>
        <v>Supplier 176</v>
      </c>
      <c r="P2533" s="20" t="str">
        <f ca="1">IFERROR(VLOOKUP(O2533,EMAILS!B:C,2,FALSE),"NOT FOUND IN EMAILS")</f>
        <v>supplier@gmail.com</v>
      </c>
      <c r="Q2533" t="str">
        <f ca="1">""&amp;IFERROR(VLOOKUP(O2533,EMAILS!B:D,3,FALSE),"NOT FOUND IN EMAILS")</f>
        <v/>
      </c>
      <c r="R2533" t="str">
        <f ca="1">""&amp;IFERROR(VLOOKUP(O2533,EMAILS!B:E,4,FALSE),"NO T FOUND IN EMAILS")</f>
        <v/>
      </c>
    </row>
    <row r="2534" spans="2:18" x14ac:dyDescent="0.25">
      <c r="B2534" s="5" t="s">
        <v>2536</v>
      </c>
      <c r="C2534" s="5" t="s">
        <v>6676</v>
      </c>
      <c r="D2534" s="5">
        <v>0</v>
      </c>
      <c r="E2534" s="5">
        <v>0</v>
      </c>
      <c r="F2534" s="5">
        <v>0</v>
      </c>
      <c r="G2534" s="5">
        <v>16</v>
      </c>
      <c r="H2534" s="5">
        <v>16</v>
      </c>
      <c r="I2534" s="5">
        <v>16</v>
      </c>
      <c r="J2534" s="5">
        <v>8</v>
      </c>
      <c r="K2534" s="5">
        <v>16</v>
      </c>
      <c r="L2534" s="5">
        <v>12</v>
      </c>
      <c r="M2534" s="5">
        <v>0</v>
      </c>
      <c r="N2534" s="5">
        <v>0</v>
      </c>
      <c r="O2534" s="5" t="str">
        <f t="shared" ca="1" si="39"/>
        <v>Supplier 90</v>
      </c>
      <c r="P2534" s="20" t="str">
        <f ca="1">IFERROR(VLOOKUP(O2534,EMAILS!B:C,2,FALSE),"NOT FOUND IN EMAILS")</f>
        <v>supplier@gmail.com</v>
      </c>
      <c r="Q2534" t="str">
        <f ca="1">""&amp;IFERROR(VLOOKUP(O2534,EMAILS!B:D,3,FALSE),"NOT FOUND IN EMAILS")</f>
        <v/>
      </c>
      <c r="R2534" t="str">
        <f ca="1">""&amp;IFERROR(VLOOKUP(O2534,EMAILS!B:E,4,FALSE),"NO T FOUND IN EMAILS")</f>
        <v/>
      </c>
    </row>
    <row r="2535" spans="2:18" x14ac:dyDescent="0.25">
      <c r="B2535" s="5" t="s">
        <v>2537</v>
      </c>
      <c r="C2535" s="5" t="s">
        <v>6677</v>
      </c>
      <c r="D2535" s="5">
        <v>200</v>
      </c>
      <c r="E2535" s="5">
        <v>400</v>
      </c>
      <c r="F2535" s="5">
        <v>200</v>
      </c>
      <c r="G2535" s="5">
        <v>400</v>
      </c>
      <c r="H2535" s="5">
        <v>200</v>
      </c>
      <c r="I2535" s="5">
        <v>400</v>
      </c>
      <c r="J2535" s="5">
        <v>200</v>
      </c>
      <c r="K2535" s="5">
        <v>200</v>
      </c>
      <c r="L2535" s="5">
        <v>200</v>
      </c>
      <c r="M2535" s="5">
        <v>0</v>
      </c>
      <c r="N2535" s="5">
        <v>0</v>
      </c>
      <c r="O2535" s="5" t="str">
        <f t="shared" ca="1" si="39"/>
        <v>Supplier 194</v>
      </c>
      <c r="P2535" s="20" t="str">
        <f ca="1">IFERROR(VLOOKUP(O2535,EMAILS!B:C,2,FALSE),"NOT FOUND IN EMAILS")</f>
        <v>supplier@gmail.com</v>
      </c>
      <c r="Q2535" t="str">
        <f ca="1">""&amp;IFERROR(VLOOKUP(O2535,EMAILS!B:D,3,FALSE),"NOT FOUND IN EMAILS")</f>
        <v/>
      </c>
      <c r="R2535" t="str">
        <f ca="1">""&amp;IFERROR(VLOOKUP(O2535,EMAILS!B:E,4,FALSE),"NO T FOUND IN EMAILS")</f>
        <v/>
      </c>
    </row>
    <row r="2536" spans="2:18" x14ac:dyDescent="0.25">
      <c r="B2536" s="5" t="s">
        <v>2538</v>
      </c>
      <c r="C2536" s="5" t="s">
        <v>6678</v>
      </c>
      <c r="D2536" s="5">
        <v>0</v>
      </c>
      <c r="E2536" s="5">
        <v>0</v>
      </c>
      <c r="F2536" s="5">
        <v>0</v>
      </c>
      <c r="G2536" s="5">
        <v>0</v>
      </c>
      <c r="H2536" s="5">
        <v>0</v>
      </c>
      <c r="I2536" s="5">
        <v>0</v>
      </c>
      <c r="J2536" s="5">
        <v>0</v>
      </c>
      <c r="K2536" s="5">
        <v>0</v>
      </c>
      <c r="L2536" s="5">
        <v>0</v>
      </c>
      <c r="M2536" s="5">
        <v>0</v>
      </c>
      <c r="N2536" s="5">
        <v>850</v>
      </c>
      <c r="O2536" s="5" t="str">
        <f t="shared" ca="1" si="39"/>
        <v>Supplier 6</v>
      </c>
      <c r="P2536" s="20" t="str">
        <f ca="1">IFERROR(VLOOKUP(O2536,EMAILS!B:C,2,FALSE),"NOT FOUND IN EMAILS")</f>
        <v>supplier@gmail.com</v>
      </c>
      <c r="Q2536" t="str">
        <f ca="1">""&amp;IFERROR(VLOOKUP(O2536,EMAILS!B:D,3,FALSE),"NOT FOUND IN EMAILS")</f>
        <v>supplier_logistics@gmail.com</v>
      </c>
      <c r="R2536" t="str">
        <f ca="1">""&amp;IFERROR(VLOOKUP(O2536,EMAILS!B:E,4,FALSE),"NO T FOUND IN EMAILS")</f>
        <v/>
      </c>
    </row>
    <row r="2537" spans="2:18" x14ac:dyDescent="0.25">
      <c r="B2537" s="5" t="s">
        <v>2539</v>
      </c>
      <c r="C2537" s="5" t="s">
        <v>6679</v>
      </c>
      <c r="D2537" s="5">
        <v>520</v>
      </c>
      <c r="E2537" s="5">
        <v>520</v>
      </c>
      <c r="F2537" s="5">
        <v>650</v>
      </c>
      <c r="G2537" s="5">
        <v>650</v>
      </c>
      <c r="H2537" s="5">
        <v>520</v>
      </c>
      <c r="I2537" s="5">
        <v>650</v>
      </c>
      <c r="J2537" s="5">
        <v>390</v>
      </c>
      <c r="K2537" s="5">
        <v>390</v>
      </c>
      <c r="L2537" s="5">
        <v>390</v>
      </c>
      <c r="M2537" s="5">
        <v>0</v>
      </c>
      <c r="N2537" s="5">
        <v>0</v>
      </c>
      <c r="O2537" s="5" t="str">
        <f t="shared" ca="1" si="39"/>
        <v>Supplier 8</v>
      </c>
      <c r="P2537" s="20" t="str">
        <f ca="1">IFERROR(VLOOKUP(O2537,EMAILS!B:C,2,FALSE),"NOT FOUND IN EMAILS")</f>
        <v>supplier@gmail.com</v>
      </c>
      <c r="Q2537" t="str">
        <f ca="1">""&amp;IFERROR(VLOOKUP(O2537,EMAILS!B:D,3,FALSE),"NOT FOUND IN EMAILS")</f>
        <v>supplier_logistics@gmail.com</v>
      </c>
      <c r="R2537" t="str">
        <f ca="1">""&amp;IFERROR(VLOOKUP(O2537,EMAILS!B:E,4,FALSE),"NO T FOUND IN EMAILS")</f>
        <v/>
      </c>
    </row>
    <row r="2538" spans="2:18" x14ac:dyDescent="0.25">
      <c r="B2538" s="5" t="s">
        <v>2540</v>
      </c>
      <c r="C2538" s="5" t="s">
        <v>6680</v>
      </c>
      <c r="D2538" s="5">
        <v>16</v>
      </c>
      <c r="E2538" s="5">
        <v>48</v>
      </c>
      <c r="F2538" s="5">
        <v>8</v>
      </c>
      <c r="G2538" s="5">
        <v>16</v>
      </c>
      <c r="H2538" s="5">
        <v>16</v>
      </c>
      <c r="I2538" s="5">
        <v>0</v>
      </c>
      <c r="J2538" s="5">
        <v>0</v>
      </c>
      <c r="K2538" s="5">
        <v>0</v>
      </c>
      <c r="L2538" s="5">
        <v>0</v>
      </c>
      <c r="M2538" s="5">
        <v>0</v>
      </c>
      <c r="N2538" s="5">
        <v>341</v>
      </c>
      <c r="O2538" s="5" t="str">
        <f t="shared" ca="1" si="39"/>
        <v>Supplier 40</v>
      </c>
      <c r="P2538" s="20" t="str">
        <f ca="1">IFERROR(VLOOKUP(O2538,EMAILS!B:C,2,FALSE),"NOT FOUND IN EMAILS")</f>
        <v>supplier@gmail.com</v>
      </c>
      <c r="Q2538" t="str">
        <f ca="1">""&amp;IFERROR(VLOOKUP(O2538,EMAILS!B:D,3,FALSE),"NOT FOUND IN EMAILS")</f>
        <v/>
      </c>
      <c r="R2538" t="str">
        <f ca="1">""&amp;IFERROR(VLOOKUP(O2538,EMAILS!B:E,4,FALSE),"NO T FOUND IN EMAILS")</f>
        <v/>
      </c>
    </row>
    <row r="2539" spans="2:18" x14ac:dyDescent="0.25">
      <c r="B2539" s="5" t="s">
        <v>2541</v>
      </c>
      <c r="C2539" s="5" t="s">
        <v>6681</v>
      </c>
      <c r="D2539" s="5">
        <v>0</v>
      </c>
      <c r="E2539" s="5">
        <v>0</v>
      </c>
      <c r="F2539" s="5">
        <v>0</v>
      </c>
      <c r="G2539" s="5">
        <v>0</v>
      </c>
      <c r="H2539" s="5">
        <v>0</v>
      </c>
      <c r="I2539" s="5">
        <v>0</v>
      </c>
      <c r="J2539" s="5">
        <v>0</v>
      </c>
      <c r="K2539" s="5">
        <v>0</v>
      </c>
      <c r="L2539" s="5">
        <v>0</v>
      </c>
      <c r="M2539" s="5">
        <v>0</v>
      </c>
      <c r="N2539" s="5">
        <v>1000</v>
      </c>
      <c r="O2539" s="5" t="str">
        <f t="shared" ca="1" si="39"/>
        <v>Supplier 117</v>
      </c>
      <c r="P2539" s="20" t="str">
        <f ca="1">IFERROR(VLOOKUP(O2539,EMAILS!B:C,2,FALSE),"NOT FOUND IN EMAILS")</f>
        <v>supplier@gmail.com</v>
      </c>
      <c r="Q2539" t="str">
        <f ca="1">""&amp;IFERROR(VLOOKUP(O2539,EMAILS!B:D,3,FALSE),"NOT FOUND IN EMAILS")</f>
        <v/>
      </c>
      <c r="R2539" t="str">
        <f ca="1">""&amp;IFERROR(VLOOKUP(O2539,EMAILS!B:E,4,FALSE),"NO T FOUND IN EMAILS")</f>
        <v/>
      </c>
    </row>
    <row r="2540" spans="2:18" x14ac:dyDescent="0.25">
      <c r="B2540" s="5" t="s">
        <v>2542</v>
      </c>
      <c r="C2540" s="5" t="s">
        <v>6682</v>
      </c>
      <c r="D2540" s="5">
        <v>16</v>
      </c>
      <c r="E2540" s="5">
        <v>0</v>
      </c>
      <c r="F2540" s="5">
        <v>0</v>
      </c>
      <c r="G2540" s="5">
        <v>0</v>
      </c>
      <c r="H2540" s="5">
        <v>0</v>
      </c>
      <c r="I2540" s="5">
        <v>0</v>
      </c>
      <c r="J2540" s="5">
        <v>0</v>
      </c>
      <c r="K2540" s="5">
        <v>0</v>
      </c>
      <c r="L2540" s="5">
        <v>0</v>
      </c>
      <c r="M2540" s="5">
        <v>0</v>
      </c>
      <c r="N2540" s="5">
        <v>1000</v>
      </c>
      <c r="O2540" s="5" t="str">
        <f t="shared" ca="1" si="39"/>
        <v>Supplier 122</v>
      </c>
      <c r="P2540" s="20" t="str">
        <f ca="1">IFERROR(VLOOKUP(O2540,EMAILS!B:C,2,FALSE),"NOT FOUND IN EMAILS")</f>
        <v>supplier@gmail.com</v>
      </c>
      <c r="Q2540" t="str">
        <f ca="1">""&amp;IFERROR(VLOOKUP(O2540,EMAILS!B:D,3,FALSE),"NOT FOUND IN EMAILS")</f>
        <v/>
      </c>
      <c r="R2540" t="str">
        <f ca="1">""&amp;IFERROR(VLOOKUP(O2540,EMAILS!B:E,4,FALSE),"NO T FOUND IN EMAILS")</f>
        <v/>
      </c>
    </row>
    <row r="2541" spans="2:18" x14ac:dyDescent="0.25">
      <c r="B2541" s="5" t="s">
        <v>2543</v>
      </c>
      <c r="C2541" s="5" t="s">
        <v>6683</v>
      </c>
      <c r="D2541" s="5">
        <v>4</v>
      </c>
      <c r="E2541" s="5">
        <v>0</v>
      </c>
      <c r="F2541" s="5">
        <v>0</v>
      </c>
      <c r="G2541" s="5">
        <v>0</v>
      </c>
      <c r="H2541" s="5">
        <v>0</v>
      </c>
      <c r="I2541" s="5">
        <v>0</v>
      </c>
      <c r="J2541" s="5">
        <v>0</v>
      </c>
      <c r="K2541" s="5">
        <v>0</v>
      </c>
      <c r="L2541" s="5">
        <v>0</v>
      </c>
      <c r="M2541" s="5">
        <v>0</v>
      </c>
      <c r="N2541" s="5">
        <v>860</v>
      </c>
      <c r="O2541" s="5" t="str">
        <f t="shared" ca="1" si="39"/>
        <v>Supplier 45</v>
      </c>
      <c r="P2541" s="20" t="str">
        <f ca="1">IFERROR(VLOOKUP(O2541,EMAILS!B:C,2,FALSE),"NOT FOUND IN EMAILS")</f>
        <v>supplier@gmail.com</v>
      </c>
      <c r="Q2541" t="str">
        <f ca="1">""&amp;IFERROR(VLOOKUP(O2541,EMAILS!B:D,3,FALSE),"NOT FOUND IN EMAILS")</f>
        <v/>
      </c>
      <c r="R2541" t="str">
        <f ca="1">""&amp;IFERROR(VLOOKUP(O2541,EMAILS!B:E,4,FALSE),"NO T FOUND IN EMAILS")</f>
        <v/>
      </c>
    </row>
    <row r="2542" spans="2:18" x14ac:dyDescent="0.25">
      <c r="B2542" s="5" t="s">
        <v>2544</v>
      </c>
      <c r="C2542" s="5" t="s">
        <v>6684</v>
      </c>
      <c r="D2542" s="5">
        <v>48</v>
      </c>
      <c r="E2542" s="5">
        <v>0</v>
      </c>
      <c r="F2542" s="5">
        <v>32</v>
      </c>
      <c r="G2542" s="5">
        <v>48</v>
      </c>
      <c r="H2542" s="5">
        <v>0</v>
      </c>
      <c r="I2542" s="5">
        <v>0</v>
      </c>
      <c r="J2542" s="5">
        <v>0</v>
      </c>
      <c r="K2542" s="5">
        <v>0</v>
      </c>
      <c r="L2542" s="5">
        <v>0</v>
      </c>
      <c r="M2542" s="5">
        <v>0</v>
      </c>
      <c r="N2542" s="5">
        <v>413</v>
      </c>
      <c r="O2542" s="5" t="str">
        <f t="shared" ca="1" si="39"/>
        <v>Supplier 94</v>
      </c>
      <c r="P2542" s="20" t="str">
        <f ca="1">IFERROR(VLOOKUP(O2542,EMAILS!B:C,2,FALSE),"NOT FOUND IN EMAILS")</f>
        <v>supplier@gmail.com</v>
      </c>
      <c r="Q2542" t="str">
        <f ca="1">""&amp;IFERROR(VLOOKUP(O2542,EMAILS!B:D,3,FALSE),"NOT FOUND IN EMAILS")</f>
        <v/>
      </c>
      <c r="R2542" t="str">
        <f ca="1">""&amp;IFERROR(VLOOKUP(O2542,EMAILS!B:E,4,FALSE),"NO T FOUND IN EMAILS")</f>
        <v/>
      </c>
    </row>
    <row r="2543" spans="2:18" x14ac:dyDescent="0.25">
      <c r="B2543" s="5" t="s">
        <v>2545</v>
      </c>
      <c r="C2543" s="5" t="s">
        <v>6685</v>
      </c>
      <c r="D2543" s="5">
        <v>0</v>
      </c>
      <c r="E2543" s="5">
        <v>0</v>
      </c>
      <c r="F2543" s="5">
        <v>0</v>
      </c>
      <c r="G2543" s="5">
        <v>0</v>
      </c>
      <c r="H2543" s="5">
        <v>0</v>
      </c>
      <c r="I2543" s="5">
        <v>0</v>
      </c>
      <c r="J2543" s="5">
        <v>0</v>
      </c>
      <c r="K2543" s="5">
        <v>0</v>
      </c>
      <c r="L2543" s="5">
        <v>0</v>
      </c>
      <c r="M2543" s="5">
        <v>0</v>
      </c>
      <c r="N2543" s="5">
        <v>0</v>
      </c>
      <c r="O2543" s="5" t="str">
        <f t="shared" ca="1" si="39"/>
        <v>Supplier 124</v>
      </c>
      <c r="P2543" s="20" t="str">
        <f ca="1">IFERROR(VLOOKUP(O2543,EMAILS!B:C,2,FALSE),"NOT FOUND IN EMAILS")</f>
        <v>supplier@gmail.com</v>
      </c>
      <c r="Q2543" t="str">
        <f ca="1">""&amp;IFERROR(VLOOKUP(O2543,EMAILS!B:D,3,FALSE),"NOT FOUND IN EMAILS")</f>
        <v/>
      </c>
      <c r="R2543" t="str">
        <f ca="1">""&amp;IFERROR(VLOOKUP(O2543,EMAILS!B:E,4,FALSE),"NO T FOUND IN EMAILS")</f>
        <v/>
      </c>
    </row>
    <row r="2544" spans="2:18" x14ac:dyDescent="0.25">
      <c r="B2544" s="5" t="s">
        <v>2546</v>
      </c>
      <c r="C2544" s="5" t="s">
        <v>6686</v>
      </c>
      <c r="D2544" s="5">
        <v>152</v>
      </c>
      <c r="E2544" s="5">
        <v>124</v>
      </c>
      <c r="F2544" s="5">
        <v>172</v>
      </c>
      <c r="G2544" s="5">
        <v>172</v>
      </c>
      <c r="H2544" s="5">
        <v>60</v>
      </c>
      <c r="I2544" s="5">
        <v>88</v>
      </c>
      <c r="J2544" s="5">
        <v>80</v>
      </c>
      <c r="K2544" s="5">
        <v>84</v>
      </c>
      <c r="L2544" s="5">
        <v>64</v>
      </c>
      <c r="M2544" s="5">
        <v>0</v>
      </c>
      <c r="N2544" s="5">
        <v>1692</v>
      </c>
      <c r="O2544" s="5" t="str">
        <f t="shared" ca="1" si="39"/>
        <v>Supplier 22</v>
      </c>
      <c r="P2544" s="20" t="str">
        <f ca="1">IFERROR(VLOOKUP(O2544,EMAILS!B:C,2,FALSE),"NOT FOUND IN EMAILS")</f>
        <v>supplier@gmail.com</v>
      </c>
      <c r="Q2544" t="str">
        <f ca="1">""&amp;IFERROR(VLOOKUP(O2544,EMAILS!B:D,3,FALSE),"NOT FOUND IN EMAILS")</f>
        <v/>
      </c>
      <c r="R2544" t="str">
        <f ca="1">""&amp;IFERROR(VLOOKUP(O2544,EMAILS!B:E,4,FALSE),"NO T FOUND IN EMAILS")</f>
        <v/>
      </c>
    </row>
    <row r="2545" spans="2:18" x14ac:dyDescent="0.25">
      <c r="B2545" s="5" t="s">
        <v>2547</v>
      </c>
      <c r="C2545" s="5" t="s">
        <v>6687</v>
      </c>
      <c r="D2545" s="5">
        <v>344</v>
      </c>
      <c r="E2545" s="5">
        <v>128</v>
      </c>
      <c r="F2545" s="5">
        <v>306</v>
      </c>
      <c r="G2545" s="5">
        <v>216</v>
      </c>
      <c r="H2545" s="5">
        <v>200</v>
      </c>
      <c r="I2545" s="5">
        <v>216</v>
      </c>
      <c r="J2545" s="5">
        <v>40</v>
      </c>
      <c r="K2545" s="5">
        <v>256</v>
      </c>
      <c r="L2545" s="5">
        <v>40</v>
      </c>
      <c r="M2545" s="5">
        <v>0</v>
      </c>
      <c r="N2545" s="5">
        <v>208</v>
      </c>
      <c r="O2545" s="5" t="str">
        <f t="shared" ca="1" si="39"/>
        <v>Supplier 48</v>
      </c>
      <c r="P2545" s="20" t="str">
        <f ca="1">IFERROR(VLOOKUP(O2545,EMAILS!B:C,2,FALSE),"NOT FOUND IN EMAILS")</f>
        <v>supplier@gmail.com</v>
      </c>
      <c r="Q2545" t="str">
        <f ca="1">""&amp;IFERROR(VLOOKUP(O2545,EMAILS!B:D,3,FALSE),"NOT FOUND IN EMAILS")</f>
        <v/>
      </c>
      <c r="R2545" t="str">
        <f ca="1">""&amp;IFERROR(VLOOKUP(O2545,EMAILS!B:E,4,FALSE),"NO T FOUND IN EMAILS")</f>
        <v/>
      </c>
    </row>
    <row r="2546" spans="2:18" x14ac:dyDescent="0.25">
      <c r="B2546" s="5" t="s">
        <v>2548</v>
      </c>
      <c r="C2546" s="5" t="s">
        <v>6688</v>
      </c>
      <c r="D2546" s="5">
        <v>64</v>
      </c>
      <c r="E2546" s="5">
        <v>64</v>
      </c>
      <c r="F2546" s="5">
        <v>96</v>
      </c>
      <c r="G2546" s="5">
        <v>69</v>
      </c>
      <c r="H2546" s="5">
        <v>64</v>
      </c>
      <c r="I2546" s="5">
        <v>64</v>
      </c>
      <c r="J2546" s="5">
        <v>64</v>
      </c>
      <c r="K2546" s="5">
        <v>32</v>
      </c>
      <c r="L2546" s="5">
        <v>64</v>
      </c>
      <c r="M2546" s="5">
        <v>0</v>
      </c>
      <c r="N2546" s="5">
        <v>357</v>
      </c>
      <c r="O2546" s="5" t="str">
        <f t="shared" ca="1" si="39"/>
        <v>Supplier 147</v>
      </c>
      <c r="P2546" s="20" t="str">
        <f ca="1">IFERROR(VLOOKUP(O2546,EMAILS!B:C,2,FALSE),"NOT FOUND IN EMAILS")</f>
        <v>supplier@gmail.com</v>
      </c>
      <c r="Q2546" t="str">
        <f ca="1">""&amp;IFERROR(VLOOKUP(O2546,EMAILS!B:D,3,FALSE),"NOT FOUND IN EMAILS")</f>
        <v/>
      </c>
      <c r="R2546" t="str">
        <f ca="1">""&amp;IFERROR(VLOOKUP(O2546,EMAILS!B:E,4,FALSE),"NO T FOUND IN EMAILS")</f>
        <v/>
      </c>
    </row>
    <row r="2547" spans="2:18" x14ac:dyDescent="0.25">
      <c r="B2547" s="5" t="s">
        <v>2549</v>
      </c>
      <c r="C2547" s="5" t="s">
        <v>6689</v>
      </c>
      <c r="D2547" s="5">
        <v>64</v>
      </c>
      <c r="E2547" s="5">
        <v>64</v>
      </c>
      <c r="F2547" s="5">
        <v>96</v>
      </c>
      <c r="G2547" s="5">
        <v>69</v>
      </c>
      <c r="H2547" s="5">
        <v>64</v>
      </c>
      <c r="I2547" s="5">
        <v>64</v>
      </c>
      <c r="J2547" s="5">
        <v>64</v>
      </c>
      <c r="K2547" s="5">
        <v>32</v>
      </c>
      <c r="L2547" s="5">
        <v>64</v>
      </c>
      <c r="M2547" s="5">
        <v>0</v>
      </c>
      <c r="N2547" s="5">
        <v>300</v>
      </c>
      <c r="O2547" s="5" t="str">
        <f t="shared" ca="1" si="39"/>
        <v>Supplier 76</v>
      </c>
      <c r="P2547" s="20" t="str">
        <f ca="1">IFERROR(VLOOKUP(O2547,EMAILS!B:C,2,FALSE),"NOT FOUND IN EMAILS")</f>
        <v>supplier@gmail.com</v>
      </c>
      <c r="Q2547" t="str">
        <f ca="1">""&amp;IFERROR(VLOOKUP(O2547,EMAILS!B:D,3,FALSE),"NOT FOUND IN EMAILS")</f>
        <v/>
      </c>
      <c r="R2547" t="str">
        <f ca="1">""&amp;IFERROR(VLOOKUP(O2547,EMAILS!B:E,4,FALSE),"NO T FOUND IN EMAILS")</f>
        <v/>
      </c>
    </row>
    <row r="2548" spans="2:18" x14ac:dyDescent="0.25">
      <c r="B2548" s="5" t="s">
        <v>2550</v>
      </c>
      <c r="C2548" s="5" t="s">
        <v>6690</v>
      </c>
      <c r="D2548" s="5">
        <v>150</v>
      </c>
      <c r="E2548" s="5">
        <v>0</v>
      </c>
      <c r="F2548" s="5">
        <v>0</v>
      </c>
      <c r="G2548" s="5">
        <v>0</v>
      </c>
      <c r="H2548" s="5">
        <v>150</v>
      </c>
      <c r="I2548" s="5">
        <v>0</v>
      </c>
      <c r="J2548" s="5">
        <v>0</v>
      </c>
      <c r="K2548" s="5">
        <v>150</v>
      </c>
      <c r="L2548" s="5">
        <v>0</v>
      </c>
      <c r="M2548" s="5">
        <v>0</v>
      </c>
      <c r="N2548" s="5">
        <v>100</v>
      </c>
      <c r="O2548" s="5" t="str">
        <f t="shared" ca="1" si="39"/>
        <v>Supplier 8</v>
      </c>
      <c r="P2548" s="20" t="str">
        <f ca="1">IFERROR(VLOOKUP(O2548,EMAILS!B:C,2,FALSE),"NOT FOUND IN EMAILS")</f>
        <v>supplier@gmail.com</v>
      </c>
      <c r="Q2548" t="str">
        <f ca="1">""&amp;IFERROR(VLOOKUP(O2548,EMAILS!B:D,3,FALSE),"NOT FOUND IN EMAILS")</f>
        <v>supplier_logistics@gmail.com</v>
      </c>
      <c r="R2548" t="str">
        <f ca="1">""&amp;IFERROR(VLOOKUP(O2548,EMAILS!B:E,4,FALSE),"NO T FOUND IN EMAILS")</f>
        <v/>
      </c>
    </row>
    <row r="2549" spans="2:18" x14ac:dyDescent="0.25">
      <c r="B2549" s="5" t="s">
        <v>2551</v>
      </c>
      <c r="C2549" s="5" t="s">
        <v>6691</v>
      </c>
      <c r="D2549" s="5">
        <v>0</v>
      </c>
      <c r="E2549" s="5">
        <v>0</v>
      </c>
      <c r="F2549" s="5">
        <v>0</v>
      </c>
      <c r="G2549" s="5">
        <v>0</v>
      </c>
      <c r="H2549" s="5">
        <v>0</v>
      </c>
      <c r="I2549" s="5">
        <v>0</v>
      </c>
      <c r="J2549" s="5">
        <v>0</v>
      </c>
      <c r="K2549" s="5">
        <v>0</v>
      </c>
      <c r="L2549" s="5">
        <v>0</v>
      </c>
      <c r="M2549" s="5">
        <v>0</v>
      </c>
      <c r="N2549" s="5">
        <v>1000</v>
      </c>
      <c r="O2549" s="5" t="str">
        <f t="shared" ca="1" si="39"/>
        <v>Supplier 91</v>
      </c>
      <c r="P2549" s="20" t="str">
        <f ca="1">IFERROR(VLOOKUP(O2549,EMAILS!B:C,2,FALSE),"NOT FOUND IN EMAILS")</f>
        <v>supplier@gmail.com</v>
      </c>
      <c r="Q2549" t="str">
        <f ca="1">""&amp;IFERROR(VLOOKUP(O2549,EMAILS!B:D,3,FALSE),"NOT FOUND IN EMAILS")</f>
        <v/>
      </c>
      <c r="R2549" t="str">
        <f ca="1">""&amp;IFERROR(VLOOKUP(O2549,EMAILS!B:E,4,FALSE),"NO T FOUND IN EMAILS")</f>
        <v/>
      </c>
    </row>
    <row r="2550" spans="2:18" x14ac:dyDescent="0.25">
      <c r="B2550" s="5" t="s">
        <v>2552</v>
      </c>
      <c r="C2550" s="5" t="s">
        <v>6692</v>
      </c>
      <c r="D2550" s="5">
        <v>130</v>
      </c>
      <c r="E2550" s="5">
        <v>80</v>
      </c>
      <c r="F2550" s="5">
        <v>80</v>
      </c>
      <c r="G2550" s="5">
        <v>80</v>
      </c>
      <c r="H2550" s="5">
        <v>80</v>
      </c>
      <c r="I2550" s="5">
        <v>65</v>
      </c>
      <c r="J2550" s="5">
        <v>80</v>
      </c>
      <c r="K2550" s="5">
        <v>65</v>
      </c>
      <c r="L2550" s="5">
        <v>80</v>
      </c>
      <c r="M2550" s="5">
        <v>0</v>
      </c>
      <c r="N2550" s="5">
        <v>81</v>
      </c>
      <c r="O2550" s="5" t="str">
        <f t="shared" ca="1" si="39"/>
        <v>Supplier 148</v>
      </c>
      <c r="P2550" s="20" t="str">
        <f ca="1">IFERROR(VLOOKUP(O2550,EMAILS!B:C,2,FALSE),"NOT FOUND IN EMAILS")</f>
        <v>supplier@gmail.com</v>
      </c>
      <c r="Q2550" t="str">
        <f ca="1">""&amp;IFERROR(VLOOKUP(O2550,EMAILS!B:D,3,FALSE),"NOT FOUND IN EMAILS")</f>
        <v/>
      </c>
      <c r="R2550" t="str">
        <f ca="1">""&amp;IFERROR(VLOOKUP(O2550,EMAILS!B:E,4,FALSE),"NO T FOUND IN EMAILS")</f>
        <v/>
      </c>
    </row>
    <row r="2551" spans="2:18" x14ac:dyDescent="0.25">
      <c r="B2551" s="5" t="s">
        <v>2553</v>
      </c>
      <c r="C2551" s="5" t="s">
        <v>6693</v>
      </c>
      <c r="D2551" s="5">
        <v>30</v>
      </c>
      <c r="E2551" s="5">
        <v>65</v>
      </c>
      <c r="F2551" s="5">
        <v>15</v>
      </c>
      <c r="G2551" s="5">
        <v>80</v>
      </c>
      <c r="H2551" s="5">
        <v>30</v>
      </c>
      <c r="I2551" s="5">
        <v>65</v>
      </c>
      <c r="J2551" s="5">
        <v>80</v>
      </c>
      <c r="K2551" s="5">
        <v>15</v>
      </c>
      <c r="L2551" s="5">
        <v>80</v>
      </c>
      <c r="M2551" s="5">
        <v>0</v>
      </c>
      <c r="N2551" s="5">
        <v>38</v>
      </c>
      <c r="O2551" s="5" t="str">
        <f t="shared" ca="1" si="39"/>
        <v>Supplier 196</v>
      </c>
      <c r="P2551" s="20" t="str">
        <f ca="1">IFERROR(VLOOKUP(O2551,EMAILS!B:C,2,FALSE),"NOT FOUND IN EMAILS")</f>
        <v>supplier@gmail.com</v>
      </c>
      <c r="Q2551" t="str">
        <f ca="1">""&amp;IFERROR(VLOOKUP(O2551,EMAILS!B:D,3,FALSE),"NOT FOUND IN EMAILS")</f>
        <v/>
      </c>
      <c r="R2551" t="str">
        <f ca="1">""&amp;IFERROR(VLOOKUP(O2551,EMAILS!B:E,4,FALSE),"NO T FOUND IN EMAILS")</f>
        <v/>
      </c>
    </row>
    <row r="2552" spans="2:18" x14ac:dyDescent="0.25">
      <c r="B2552" s="5" t="s">
        <v>2554</v>
      </c>
      <c r="C2552" s="5" t="s">
        <v>6694</v>
      </c>
      <c r="D2552" s="5">
        <v>0</v>
      </c>
      <c r="E2552" s="5">
        <v>0</v>
      </c>
      <c r="F2552" s="5">
        <v>10</v>
      </c>
      <c r="G2552" s="5">
        <v>0</v>
      </c>
      <c r="H2552" s="5">
        <v>0</v>
      </c>
      <c r="I2552" s="5">
        <v>0</v>
      </c>
      <c r="J2552" s="5">
        <v>0</v>
      </c>
      <c r="K2552" s="5">
        <v>0</v>
      </c>
      <c r="L2552" s="5">
        <v>0</v>
      </c>
      <c r="M2552" s="5">
        <v>0</v>
      </c>
      <c r="N2552" s="5">
        <v>0</v>
      </c>
      <c r="O2552" s="5" t="str">
        <f t="shared" ca="1" si="39"/>
        <v>Supplier 189</v>
      </c>
      <c r="P2552" s="20" t="str">
        <f ca="1">IFERROR(VLOOKUP(O2552,EMAILS!B:C,2,FALSE),"NOT FOUND IN EMAILS")</f>
        <v>supplier@gmail.com</v>
      </c>
      <c r="Q2552" t="str">
        <f ca="1">""&amp;IFERROR(VLOOKUP(O2552,EMAILS!B:D,3,FALSE),"NOT FOUND IN EMAILS")</f>
        <v/>
      </c>
      <c r="R2552" t="str">
        <f ca="1">""&amp;IFERROR(VLOOKUP(O2552,EMAILS!B:E,4,FALSE),"NO T FOUND IN EMAILS")</f>
        <v/>
      </c>
    </row>
    <row r="2553" spans="2:18" x14ac:dyDescent="0.25">
      <c r="B2553" s="5" t="s">
        <v>2555</v>
      </c>
      <c r="C2553" s="5" t="s">
        <v>6695</v>
      </c>
      <c r="D2553" s="5">
        <v>0</v>
      </c>
      <c r="E2553" s="5">
        <v>0</v>
      </c>
      <c r="F2553" s="5">
        <v>0</v>
      </c>
      <c r="G2553" s="5">
        <v>0</v>
      </c>
      <c r="H2553" s="5">
        <v>0</v>
      </c>
      <c r="I2553" s="5">
        <v>0</v>
      </c>
      <c r="J2553" s="5">
        <v>0</v>
      </c>
      <c r="K2553" s="5">
        <v>0</v>
      </c>
      <c r="L2553" s="5">
        <v>0</v>
      </c>
      <c r="M2553" s="5">
        <v>0</v>
      </c>
      <c r="N2553" s="5">
        <v>5</v>
      </c>
      <c r="O2553" s="5" t="str">
        <f t="shared" ca="1" si="39"/>
        <v>Supplier 185</v>
      </c>
      <c r="P2553" s="20" t="str">
        <f ca="1">IFERROR(VLOOKUP(O2553,EMAILS!B:C,2,FALSE),"NOT FOUND IN EMAILS")</f>
        <v>supplier@gmail.com</v>
      </c>
      <c r="Q2553" t="str">
        <f ca="1">""&amp;IFERROR(VLOOKUP(O2553,EMAILS!B:D,3,FALSE),"NOT FOUND IN EMAILS")</f>
        <v/>
      </c>
      <c r="R2553" t="str">
        <f ca="1">""&amp;IFERROR(VLOOKUP(O2553,EMAILS!B:E,4,FALSE),"NO T FOUND IN EMAILS")</f>
        <v/>
      </c>
    </row>
    <row r="2554" spans="2:18" x14ac:dyDescent="0.25">
      <c r="B2554" s="5" t="s">
        <v>2556</v>
      </c>
      <c r="C2554" s="5" t="s">
        <v>6696</v>
      </c>
      <c r="D2554" s="5">
        <v>15</v>
      </c>
      <c r="E2554" s="5">
        <v>15</v>
      </c>
      <c r="F2554" s="5">
        <v>20</v>
      </c>
      <c r="G2554" s="5">
        <v>20</v>
      </c>
      <c r="H2554" s="5">
        <v>15</v>
      </c>
      <c r="I2554" s="5">
        <v>15</v>
      </c>
      <c r="J2554" s="5">
        <v>20</v>
      </c>
      <c r="K2554" s="5">
        <v>20</v>
      </c>
      <c r="L2554" s="5">
        <v>5</v>
      </c>
      <c r="M2554" s="5">
        <v>0</v>
      </c>
      <c r="N2554" s="5">
        <v>0</v>
      </c>
      <c r="O2554" s="5" t="str">
        <f t="shared" ca="1" si="39"/>
        <v>Supplier 106</v>
      </c>
      <c r="P2554" s="20" t="str">
        <f ca="1">IFERROR(VLOOKUP(O2554,EMAILS!B:C,2,FALSE),"NOT FOUND IN EMAILS")</f>
        <v>supplier@gmail.com</v>
      </c>
      <c r="Q2554" t="str">
        <f ca="1">""&amp;IFERROR(VLOOKUP(O2554,EMAILS!B:D,3,FALSE),"NOT FOUND IN EMAILS")</f>
        <v/>
      </c>
      <c r="R2554" t="str">
        <f ca="1">""&amp;IFERROR(VLOOKUP(O2554,EMAILS!B:E,4,FALSE),"NO T FOUND IN EMAILS")</f>
        <v/>
      </c>
    </row>
    <row r="2555" spans="2:18" x14ac:dyDescent="0.25">
      <c r="B2555" s="5" t="s">
        <v>2557</v>
      </c>
      <c r="C2555" s="5" t="s">
        <v>6697</v>
      </c>
      <c r="D2555" s="5">
        <v>0</v>
      </c>
      <c r="E2555" s="5">
        <v>0</v>
      </c>
      <c r="F2555" s="5">
        <v>0</v>
      </c>
      <c r="G2555" s="5">
        <v>0</v>
      </c>
      <c r="H2555" s="5">
        <v>0</v>
      </c>
      <c r="I2555" s="5">
        <v>0</v>
      </c>
      <c r="J2555" s="5">
        <v>0</v>
      </c>
      <c r="K2555" s="5">
        <v>0</v>
      </c>
      <c r="L2555" s="5">
        <v>0</v>
      </c>
      <c r="M2555" s="5">
        <v>0</v>
      </c>
      <c r="N2555" s="5">
        <v>50</v>
      </c>
      <c r="O2555" s="5" t="str">
        <f t="shared" ca="1" si="39"/>
        <v>Supplier 120</v>
      </c>
      <c r="P2555" s="20" t="str">
        <f ca="1">IFERROR(VLOOKUP(O2555,EMAILS!B:C,2,FALSE),"NOT FOUND IN EMAILS")</f>
        <v>supplier@gmail.com</v>
      </c>
      <c r="Q2555" t="str">
        <f ca="1">""&amp;IFERROR(VLOOKUP(O2555,EMAILS!B:D,3,FALSE),"NOT FOUND IN EMAILS")</f>
        <v/>
      </c>
      <c r="R2555" t="str">
        <f ca="1">""&amp;IFERROR(VLOOKUP(O2555,EMAILS!B:E,4,FALSE),"NO T FOUND IN EMAILS")</f>
        <v/>
      </c>
    </row>
    <row r="2556" spans="2:18" x14ac:dyDescent="0.25">
      <c r="B2556" s="5" t="s">
        <v>2558</v>
      </c>
      <c r="C2556" s="5" t="s">
        <v>6698</v>
      </c>
      <c r="D2556" s="5">
        <v>100</v>
      </c>
      <c r="E2556" s="5">
        <v>10</v>
      </c>
      <c r="F2556" s="5">
        <v>60</v>
      </c>
      <c r="G2556" s="5">
        <v>40</v>
      </c>
      <c r="H2556" s="5">
        <v>80</v>
      </c>
      <c r="I2556" s="5">
        <v>40</v>
      </c>
      <c r="J2556" s="5">
        <v>20</v>
      </c>
      <c r="K2556" s="5">
        <v>50</v>
      </c>
      <c r="L2556" s="5">
        <v>220</v>
      </c>
      <c r="M2556" s="5">
        <v>0</v>
      </c>
      <c r="N2556" s="5">
        <v>55</v>
      </c>
      <c r="O2556" s="5" t="str">
        <f t="shared" ca="1" si="39"/>
        <v>Supplier 95</v>
      </c>
      <c r="P2556" s="20" t="str">
        <f ca="1">IFERROR(VLOOKUP(O2556,EMAILS!B:C,2,FALSE),"NOT FOUND IN EMAILS")</f>
        <v>supplier@gmail.com</v>
      </c>
      <c r="Q2556" t="str">
        <f ca="1">""&amp;IFERROR(VLOOKUP(O2556,EMAILS!B:D,3,FALSE),"NOT FOUND IN EMAILS")</f>
        <v/>
      </c>
      <c r="R2556" t="str">
        <f ca="1">""&amp;IFERROR(VLOOKUP(O2556,EMAILS!B:E,4,FALSE),"NO T FOUND IN EMAILS")</f>
        <v/>
      </c>
    </row>
    <row r="2557" spans="2:18" x14ac:dyDescent="0.25">
      <c r="B2557" s="5" t="s">
        <v>2559</v>
      </c>
      <c r="C2557" s="5" t="s">
        <v>6699</v>
      </c>
      <c r="D2557" s="5">
        <v>300</v>
      </c>
      <c r="E2557" s="5">
        <v>0</v>
      </c>
      <c r="F2557" s="5">
        <v>0</v>
      </c>
      <c r="G2557" s="5">
        <v>0</v>
      </c>
      <c r="H2557" s="5">
        <v>0</v>
      </c>
      <c r="I2557" s="5">
        <v>0</v>
      </c>
      <c r="J2557" s="5">
        <v>0</v>
      </c>
      <c r="K2557" s="5">
        <v>0</v>
      </c>
      <c r="L2557" s="5">
        <v>0</v>
      </c>
      <c r="M2557" s="5">
        <v>0</v>
      </c>
      <c r="N2557" s="5">
        <v>797</v>
      </c>
      <c r="O2557" s="5" t="str">
        <f t="shared" ca="1" si="39"/>
        <v>Supplier 73</v>
      </c>
      <c r="P2557" s="20" t="str">
        <f ca="1">IFERROR(VLOOKUP(O2557,EMAILS!B:C,2,FALSE),"NOT FOUND IN EMAILS")</f>
        <v>supplier@gmail.com</v>
      </c>
      <c r="Q2557" t="str">
        <f ca="1">""&amp;IFERROR(VLOOKUP(O2557,EMAILS!B:D,3,FALSE),"NOT FOUND IN EMAILS")</f>
        <v/>
      </c>
      <c r="R2557" t="str">
        <f ca="1">""&amp;IFERROR(VLOOKUP(O2557,EMAILS!B:E,4,FALSE),"NO T FOUND IN EMAILS")</f>
        <v/>
      </c>
    </row>
    <row r="2558" spans="2:18" x14ac:dyDescent="0.25">
      <c r="B2558" s="5" t="s">
        <v>2560</v>
      </c>
      <c r="C2558" s="5" t="s">
        <v>6700</v>
      </c>
      <c r="D2558" s="5">
        <v>30</v>
      </c>
      <c r="E2558" s="5">
        <v>30</v>
      </c>
      <c r="F2558" s="5">
        <v>40</v>
      </c>
      <c r="G2558" s="5">
        <v>40</v>
      </c>
      <c r="H2558" s="5">
        <v>30</v>
      </c>
      <c r="I2558" s="5">
        <v>30</v>
      </c>
      <c r="J2558" s="5">
        <v>40</v>
      </c>
      <c r="K2558" s="5">
        <v>40</v>
      </c>
      <c r="L2558" s="5">
        <v>10</v>
      </c>
      <c r="M2558" s="5">
        <v>0</v>
      </c>
      <c r="N2558" s="5">
        <v>60</v>
      </c>
      <c r="O2558" s="5" t="str">
        <f t="shared" ca="1" si="39"/>
        <v>Supplier 80</v>
      </c>
      <c r="P2558" s="20" t="str">
        <f ca="1">IFERROR(VLOOKUP(O2558,EMAILS!B:C,2,FALSE),"NOT FOUND IN EMAILS")</f>
        <v>supplier@gmail.com</v>
      </c>
      <c r="Q2558" t="str">
        <f ca="1">""&amp;IFERROR(VLOOKUP(O2558,EMAILS!B:D,3,FALSE),"NOT FOUND IN EMAILS")</f>
        <v/>
      </c>
      <c r="R2558" t="str">
        <f ca="1">""&amp;IFERROR(VLOOKUP(O2558,EMAILS!B:E,4,FALSE),"NO T FOUND IN EMAILS")</f>
        <v/>
      </c>
    </row>
    <row r="2559" spans="2:18" x14ac:dyDescent="0.25">
      <c r="B2559" s="5" t="s">
        <v>2561</v>
      </c>
      <c r="C2559" s="5" t="s">
        <v>6701</v>
      </c>
      <c r="D2559" s="5">
        <v>7</v>
      </c>
      <c r="E2559" s="5">
        <v>9</v>
      </c>
      <c r="F2559" s="5">
        <v>12</v>
      </c>
      <c r="G2559" s="5">
        <v>10</v>
      </c>
      <c r="H2559" s="5">
        <v>10</v>
      </c>
      <c r="I2559" s="5">
        <v>9</v>
      </c>
      <c r="J2559" s="5">
        <v>7</v>
      </c>
      <c r="K2559" s="5">
        <v>4</v>
      </c>
      <c r="L2559" s="5">
        <v>4</v>
      </c>
      <c r="M2559" s="5">
        <v>0</v>
      </c>
      <c r="N2559" s="5">
        <v>145</v>
      </c>
      <c r="O2559" s="5" t="str">
        <f t="shared" ca="1" si="39"/>
        <v>Supplier 37</v>
      </c>
      <c r="P2559" s="20" t="str">
        <f ca="1">IFERROR(VLOOKUP(O2559,EMAILS!B:C,2,FALSE),"NOT FOUND IN EMAILS")</f>
        <v>supplier@gmail.com</v>
      </c>
      <c r="Q2559" t="str">
        <f ca="1">""&amp;IFERROR(VLOOKUP(O2559,EMAILS!B:D,3,FALSE),"NOT FOUND IN EMAILS")</f>
        <v/>
      </c>
      <c r="R2559" t="str">
        <f ca="1">""&amp;IFERROR(VLOOKUP(O2559,EMAILS!B:E,4,FALSE),"NO T FOUND IN EMAILS")</f>
        <v/>
      </c>
    </row>
    <row r="2560" spans="2:18" x14ac:dyDescent="0.25">
      <c r="B2560" s="5" t="s">
        <v>2562</v>
      </c>
      <c r="C2560" s="5" t="s">
        <v>6702</v>
      </c>
      <c r="D2560" s="5">
        <v>21</v>
      </c>
      <c r="E2560" s="5">
        <v>27</v>
      </c>
      <c r="F2560" s="5">
        <v>36</v>
      </c>
      <c r="G2560" s="5">
        <v>30</v>
      </c>
      <c r="H2560" s="5">
        <v>30</v>
      </c>
      <c r="I2560" s="5">
        <v>27</v>
      </c>
      <c r="J2560" s="5">
        <v>21</v>
      </c>
      <c r="K2560" s="5">
        <v>12</v>
      </c>
      <c r="L2560" s="5">
        <v>12</v>
      </c>
      <c r="M2560" s="5">
        <v>0</v>
      </c>
      <c r="N2560" s="5">
        <v>204</v>
      </c>
      <c r="O2560" s="5" t="str">
        <f t="shared" ca="1" si="39"/>
        <v>Supplier 101</v>
      </c>
      <c r="P2560" s="20" t="str">
        <f ca="1">IFERROR(VLOOKUP(O2560,EMAILS!B:C,2,FALSE),"NOT FOUND IN EMAILS")</f>
        <v>supplier@gmail.com</v>
      </c>
      <c r="Q2560" t="str">
        <f ca="1">""&amp;IFERROR(VLOOKUP(O2560,EMAILS!B:D,3,FALSE),"NOT FOUND IN EMAILS")</f>
        <v/>
      </c>
      <c r="R2560" t="str">
        <f ca="1">""&amp;IFERROR(VLOOKUP(O2560,EMAILS!B:E,4,FALSE),"NO T FOUND IN EMAILS")</f>
        <v/>
      </c>
    </row>
    <row r="2561" spans="2:18" x14ac:dyDescent="0.25">
      <c r="B2561" s="5" t="s">
        <v>2563</v>
      </c>
      <c r="C2561" s="5" t="s">
        <v>6703</v>
      </c>
      <c r="D2561" s="5">
        <v>14</v>
      </c>
      <c r="E2561" s="5">
        <v>18</v>
      </c>
      <c r="F2561" s="5">
        <v>24</v>
      </c>
      <c r="G2561" s="5">
        <v>20</v>
      </c>
      <c r="H2561" s="5">
        <v>20</v>
      </c>
      <c r="I2561" s="5">
        <v>18</v>
      </c>
      <c r="J2561" s="5">
        <v>14</v>
      </c>
      <c r="K2561" s="5">
        <v>8</v>
      </c>
      <c r="L2561" s="5">
        <v>8</v>
      </c>
      <c r="M2561" s="5">
        <v>0</v>
      </c>
      <c r="N2561" s="5">
        <v>1746</v>
      </c>
      <c r="O2561" s="5" t="str">
        <f t="shared" ca="1" si="39"/>
        <v>Supplier 49</v>
      </c>
      <c r="P2561" s="20" t="str">
        <f ca="1">IFERROR(VLOOKUP(O2561,EMAILS!B:C,2,FALSE),"NOT FOUND IN EMAILS")</f>
        <v>supplier@gmail.com</v>
      </c>
      <c r="Q2561" t="str">
        <f ca="1">""&amp;IFERROR(VLOOKUP(O2561,EMAILS!B:D,3,FALSE),"NOT FOUND IN EMAILS")</f>
        <v/>
      </c>
      <c r="R2561" t="str">
        <f ca="1">""&amp;IFERROR(VLOOKUP(O2561,EMAILS!B:E,4,FALSE),"NO T FOUND IN EMAILS")</f>
        <v/>
      </c>
    </row>
    <row r="2562" spans="2:18" x14ac:dyDescent="0.25">
      <c r="B2562" s="5" t="s">
        <v>2564</v>
      </c>
      <c r="C2562" s="5" t="s">
        <v>6704</v>
      </c>
      <c r="D2562" s="5">
        <v>42</v>
      </c>
      <c r="E2562" s="5">
        <v>54</v>
      </c>
      <c r="F2562" s="5">
        <v>72</v>
      </c>
      <c r="G2562" s="5">
        <v>60</v>
      </c>
      <c r="H2562" s="5">
        <v>60</v>
      </c>
      <c r="I2562" s="5">
        <v>54</v>
      </c>
      <c r="J2562" s="5">
        <v>42</v>
      </c>
      <c r="K2562" s="5">
        <v>24</v>
      </c>
      <c r="L2562" s="5">
        <v>24</v>
      </c>
      <c r="M2562" s="5">
        <v>0</v>
      </c>
      <c r="N2562" s="5">
        <v>841</v>
      </c>
      <c r="O2562" s="5" t="str">
        <f t="shared" ca="1" si="39"/>
        <v>Supplier 168</v>
      </c>
      <c r="P2562" s="20" t="str">
        <f ca="1">IFERROR(VLOOKUP(O2562,EMAILS!B:C,2,FALSE),"NOT FOUND IN EMAILS")</f>
        <v>supplier@gmail.com</v>
      </c>
      <c r="Q2562" t="str">
        <f ca="1">""&amp;IFERROR(VLOOKUP(O2562,EMAILS!B:D,3,FALSE),"NOT FOUND IN EMAILS")</f>
        <v/>
      </c>
      <c r="R2562" t="str">
        <f ca="1">""&amp;IFERROR(VLOOKUP(O2562,EMAILS!B:E,4,FALSE),"NO T FOUND IN EMAILS")</f>
        <v/>
      </c>
    </row>
    <row r="2563" spans="2:18" x14ac:dyDescent="0.25">
      <c r="B2563" s="5" t="s">
        <v>2565</v>
      </c>
      <c r="C2563" s="5" t="s">
        <v>6705</v>
      </c>
      <c r="D2563" s="5">
        <v>28</v>
      </c>
      <c r="E2563" s="5">
        <v>36</v>
      </c>
      <c r="F2563" s="5">
        <v>48</v>
      </c>
      <c r="G2563" s="5">
        <v>40</v>
      </c>
      <c r="H2563" s="5">
        <v>40</v>
      </c>
      <c r="I2563" s="5">
        <v>36</v>
      </c>
      <c r="J2563" s="5">
        <v>28</v>
      </c>
      <c r="K2563" s="5">
        <v>16</v>
      </c>
      <c r="L2563" s="5">
        <v>16</v>
      </c>
      <c r="M2563" s="5">
        <v>0</v>
      </c>
      <c r="N2563" s="5">
        <v>80</v>
      </c>
      <c r="O2563" s="5" t="str">
        <f t="shared" ref="O2563:O2626" ca="1" si="40">"Supplier "&amp;RANDBETWEEN(1,200)</f>
        <v>Supplier 106</v>
      </c>
      <c r="P2563" s="20" t="str">
        <f ca="1">IFERROR(VLOOKUP(O2563,EMAILS!B:C,2,FALSE),"NOT FOUND IN EMAILS")</f>
        <v>supplier@gmail.com</v>
      </c>
      <c r="Q2563" t="str">
        <f ca="1">""&amp;IFERROR(VLOOKUP(O2563,EMAILS!B:D,3,FALSE),"NOT FOUND IN EMAILS")</f>
        <v/>
      </c>
      <c r="R2563" t="str">
        <f ca="1">""&amp;IFERROR(VLOOKUP(O2563,EMAILS!B:E,4,FALSE),"NO T FOUND IN EMAILS")</f>
        <v/>
      </c>
    </row>
    <row r="2564" spans="2:18" x14ac:dyDescent="0.25">
      <c r="B2564" s="5" t="s">
        <v>2566</v>
      </c>
      <c r="C2564" s="5" t="s">
        <v>6706</v>
      </c>
      <c r="D2564" s="5">
        <v>12</v>
      </c>
      <c r="E2564" s="5">
        <v>0</v>
      </c>
      <c r="F2564" s="5">
        <v>10</v>
      </c>
      <c r="G2564" s="5">
        <v>8</v>
      </c>
      <c r="H2564" s="5">
        <v>10</v>
      </c>
      <c r="I2564" s="5">
        <v>6</v>
      </c>
      <c r="J2564" s="5">
        <v>8</v>
      </c>
      <c r="K2564" s="5">
        <v>4</v>
      </c>
      <c r="L2564" s="5">
        <v>4</v>
      </c>
      <c r="M2564" s="5">
        <v>0</v>
      </c>
      <c r="N2564" s="5">
        <v>152</v>
      </c>
      <c r="O2564" s="5" t="str">
        <f t="shared" ca="1" si="40"/>
        <v>Supplier 62</v>
      </c>
      <c r="P2564" s="20" t="str">
        <f ca="1">IFERROR(VLOOKUP(O2564,EMAILS!B:C,2,FALSE),"NOT FOUND IN EMAILS")</f>
        <v>supplier@gmail.com</v>
      </c>
      <c r="Q2564" t="str">
        <f ca="1">""&amp;IFERROR(VLOOKUP(O2564,EMAILS!B:D,3,FALSE),"NOT FOUND IN EMAILS")</f>
        <v/>
      </c>
      <c r="R2564" t="str">
        <f ca="1">""&amp;IFERROR(VLOOKUP(O2564,EMAILS!B:E,4,FALSE),"NO T FOUND IN EMAILS")</f>
        <v/>
      </c>
    </row>
    <row r="2565" spans="2:18" x14ac:dyDescent="0.25">
      <c r="B2565" s="5" t="s">
        <v>2567</v>
      </c>
      <c r="C2565" s="5" t="s">
        <v>6707</v>
      </c>
      <c r="D2565" s="5">
        <v>14</v>
      </c>
      <c r="E2565" s="5">
        <v>18</v>
      </c>
      <c r="F2565" s="5">
        <v>24</v>
      </c>
      <c r="G2565" s="5">
        <v>20</v>
      </c>
      <c r="H2565" s="5">
        <v>20</v>
      </c>
      <c r="I2565" s="5">
        <v>18</v>
      </c>
      <c r="J2565" s="5">
        <v>14</v>
      </c>
      <c r="K2565" s="5">
        <v>8</v>
      </c>
      <c r="L2565" s="5">
        <v>8</v>
      </c>
      <c r="M2565" s="5">
        <v>0</v>
      </c>
      <c r="N2565" s="5">
        <v>87</v>
      </c>
      <c r="O2565" s="5" t="str">
        <f t="shared" ca="1" si="40"/>
        <v>Supplier 98</v>
      </c>
      <c r="P2565" s="20" t="str">
        <f ca="1">IFERROR(VLOOKUP(O2565,EMAILS!B:C,2,FALSE),"NOT FOUND IN EMAILS")</f>
        <v>supplier@gmail.com</v>
      </c>
      <c r="Q2565" t="str">
        <f ca="1">""&amp;IFERROR(VLOOKUP(O2565,EMAILS!B:D,3,FALSE),"NOT FOUND IN EMAILS")</f>
        <v/>
      </c>
      <c r="R2565" t="str">
        <f ca="1">""&amp;IFERROR(VLOOKUP(O2565,EMAILS!B:E,4,FALSE),"NO T FOUND IN EMAILS")</f>
        <v/>
      </c>
    </row>
    <row r="2566" spans="2:18" x14ac:dyDescent="0.25">
      <c r="B2566" s="5" t="s">
        <v>2568</v>
      </c>
      <c r="C2566" s="5" t="s">
        <v>6708</v>
      </c>
      <c r="D2566" s="5">
        <v>0</v>
      </c>
      <c r="E2566" s="5">
        <v>36</v>
      </c>
      <c r="F2566" s="5">
        <v>4</v>
      </c>
      <c r="G2566" s="5">
        <v>16</v>
      </c>
      <c r="H2566" s="5">
        <v>16</v>
      </c>
      <c r="I2566" s="5">
        <v>12</v>
      </c>
      <c r="J2566" s="5">
        <v>4</v>
      </c>
      <c r="K2566" s="5">
        <v>0</v>
      </c>
      <c r="L2566" s="5">
        <v>0</v>
      </c>
      <c r="M2566" s="5">
        <v>0</v>
      </c>
      <c r="N2566" s="5">
        <v>228</v>
      </c>
      <c r="O2566" s="5" t="str">
        <f t="shared" ca="1" si="40"/>
        <v>Supplier 61</v>
      </c>
      <c r="P2566" s="20" t="str">
        <f ca="1">IFERROR(VLOOKUP(O2566,EMAILS!B:C,2,FALSE),"NOT FOUND IN EMAILS")</f>
        <v>supplier@gmail.com</v>
      </c>
      <c r="Q2566" t="str">
        <f ca="1">""&amp;IFERROR(VLOOKUP(O2566,EMAILS!B:D,3,FALSE),"NOT FOUND IN EMAILS")</f>
        <v/>
      </c>
      <c r="R2566" t="str">
        <f ca="1">""&amp;IFERROR(VLOOKUP(O2566,EMAILS!B:E,4,FALSE),"NO T FOUND IN EMAILS")</f>
        <v/>
      </c>
    </row>
    <row r="2567" spans="2:18" x14ac:dyDescent="0.25">
      <c r="B2567" s="5" t="s">
        <v>2569</v>
      </c>
      <c r="C2567" s="5" t="s">
        <v>6709</v>
      </c>
      <c r="D2567" s="5">
        <v>0</v>
      </c>
      <c r="E2567" s="5">
        <v>36</v>
      </c>
      <c r="F2567" s="5">
        <v>4</v>
      </c>
      <c r="G2567" s="5">
        <v>16</v>
      </c>
      <c r="H2567" s="5">
        <v>16</v>
      </c>
      <c r="I2567" s="5">
        <v>12</v>
      </c>
      <c r="J2567" s="5">
        <v>4</v>
      </c>
      <c r="K2567" s="5">
        <v>0</v>
      </c>
      <c r="L2567" s="5">
        <v>0</v>
      </c>
      <c r="M2567" s="5">
        <v>0</v>
      </c>
      <c r="N2567" s="5">
        <v>120</v>
      </c>
      <c r="O2567" s="5" t="str">
        <f t="shared" ca="1" si="40"/>
        <v>Supplier 186</v>
      </c>
      <c r="P2567" s="20" t="str">
        <f ca="1">IFERROR(VLOOKUP(O2567,EMAILS!B:C,2,FALSE),"NOT FOUND IN EMAILS")</f>
        <v>supplier@gmail.com</v>
      </c>
      <c r="Q2567" t="str">
        <f ca="1">""&amp;IFERROR(VLOOKUP(O2567,EMAILS!B:D,3,FALSE),"NOT FOUND IN EMAILS")</f>
        <v/>
      </c>
      <c r="R2567" t="str">
        <f ca="1">""&amp;IFERROR(VLOOKUP(O2567,EMAILS!B:E,4,FALSE),"NO T FOUND IN EMAILS")</f>
        <v/>
      </c>
    </row>
    <row r="2568" spans="2:18" x14ac:dyDescent="0.25">
      <c r="B2568" s="5" t="s">
        <v>2570</v>
      </c>
      <c r="C2568" s="5" t="s">
        <v>6710</v>
      </c>
      <c r="D2568" s="5">
        <v>12</v>
      </c>
      <c r="E2568" s="5">
        <v>0</v>
      </c>
      <c r="F2568" s="5">
        <v>10</v>
      </c>
      <c r="G2568" s="5">
        <v>12</v>
      </c>
      <c r="H2568" s="5">
        <v>14</v>
      </c>
      <c r="I2568" s="5">
        <v>10</v>
      </c>
      <c r="J2568" s="5">
        <v>8</v>
      </c>
      <c r="K2568" s="5">
        <v>8</v>
      </c>
      <c r="L2568" s="5">
        <v>8</v>
      </c>
      <c r="M2568" s="5">
        <v>0</v>
      </c>
      <c r="N2568" s="5">
        <v>100</v>
      </c>
      <c r="O2568" s="5" t="str">
        <f t="shared" ca="1" si="40"/>
        <v>Supplier 124</v>
      </c>
      <c r="P2568" s="20" t="str">
        <f ca="1">IFERROR(VLOOKUP(O2568,EMAILS!B:C,2,FALSE),"NOT FOUND IN EMAILS")</f>
        <v>supplier@gmail.com</v>
      </c>
      <c r="Q2568" t="str">
        <f ca="1">""&amp;IFERROR(VLOOKUP(O2568,EMAILS!B:D,3,FALSE),"NOT FOUND IN EMAILS")</f>
        <v/>
      </c>
      <c r="R2568" t="str">
        <f ca="1">""&amp;IFERROR(VLOOKUP(O2568,EMAILS!B:E,4,FALSE),"NO T FOUND IN EMAILS")</f>
        <v/>
      </c>
    </row>
    <row r="2569" spans="2:18" x14ac:dyDescent="0.25">
      <c r="B2569" s="5" t="s">
        <v>2571</v>
      </c>
      <c r="C2569" s="5" t="s">
        <v>6711</v>
      </c>
      <c r="D2569" s="5">
        <v>1</v>
      </c>
      <c r="E2569" s="5">
        <v>0</v>
      </c>
      <c r="F2569" s="5">
        <v>20</v>
      </c>
      <c r="G2569" s="5">
        <v>2</v>
      </c>
      <c r="H2569" s="5">
        <v>3</v>
      </c>
      <c r="I2569" s="5">
        <v>0</v>
      </c>
      <c r="J2569" s="5">
        <v>2</v>
      </c>
      <c r="K2569" s="5">
        <v>5</v>
      </c>
      <c r="L2569" s="5">
        <v>0</v>
      </c>
      <c r="M2569" s="5">
        <v>0</v>
      </c>
      <c r="N2569" s="5">
        <v>0</v>
      </c>
      <c r="O2569" s="5" t="str">
        <f t="shared" ca="1" si="40"/>
        <v>Supplier 130</v>
      </c>
      <c r="P2569" s="20" t="str">
        <f ca="1">IFERROR(VLOOKUP(O2569,EMAILS!B:C,2,FALSE),"NOT FOUND IN EMAILS")</f>
        <v>supplier@gmail.com</v>
      </c>
      <c r="Q2569" t="str">
        <f ca="1">""&amp;IFERROR(VLOOKUP(O2569,EMAILS!B:D,3,FALSE),"NOT FOUND IN EMAILS")</f>
        <v/>
      </c>
      <c r="R2569" t="str">
        <f ca="1">""&amp;IFERROR(VLOOKUP(O2569,EMAILS!B:E,4,FALSE),"NO T FOUND IN EMAILS")</f>
        <v/>
      </c>
    </row>
    <row r="2570" spans="2:18" x14ac:dyDescent="0.25">
      <c r="B2570" s="5" t="s">
        <v>2572</v>
      </c>
      <c r="C2570" s="5" t="s">
        <v>6712</v>
      </c>
      <c r="D2570" s="5">
        <v>0</v>
      </c>
      <c r="E2570" s="5">
        <v>0</v>
      </c>
      <c r="F2570" s="5">
        <v>0</v>
      </c>
      <c r="G2570" s="5">
        <v>0</v>
      </c>
      <c r="H2570" s="5">
        <v>0</v>
      </c>
      <c r="I2570" s="5">
        <v>0</v>
      </c>
      <c r="J2570" s="5">
        <v>0</v>
      </c>
      <c r="K2570" s="5">
        <v>0</v>
      </c>
      <c r="L2570" s="5">
        <v>0</v>
      </c>
      <c r="M2570" s="5">
        <v>0</v>
      </c>
      <c r="N2570" s="5">
        <v>46</v>
      </c>
      <c r="O2570" s="5" t="str">
        <f t="shared" ca="1" si="40"/>
        <v>Supplier 200</v>
      </c>
      <c r="P2570" s="20" t="str">
        <f ca="1">IFERROR(VLOOKUP(O2570,EMAILS!B:C,2,FALSE),"NOT FOUND IN EMAILS")</f>
        <v>supplier@gmail.com</v>
      </c>
      <c r="Q2570" t="str">
        <f ca="1">""&amp;IFERROR(VLOOKUP(O2570,EMAILS!B:D,3,FALSE),"NOT FOUND IN EMAILS")</f>
        <v/>
      </c>
      <c r="R2570" t="str">
        <f ca="1">""&amp;IFERROR(VLOOKUP(O2570,EMAILS!B:E,4,FALSE),"NO T FOUND IN EMAILS")</f>
        <v/>
      </c>
    </row>
    <row r="2571" spans="2:18" x14ac:dyDescent="0.25">
      <c r="B2571" s="5" t="s">
        <v>2573</v>
      </c>
      <c r="C2571" s="5" t="s">
        <v>6713</v>
      </c>
      <c r="D2571" s="5">
        <v>0</v>
      </c>
      <c r="E2571" s="5">
        <v>0</v>
      </c>
      <c r="F2571" s="5">
        <v>0</v>
      </c>
      <c r="G2571" s="5">
        <v>0</v>
      </c>
      <c r="H2571" s="5">
        <v>0</v>
      </c>
      <c r="I2571" s="5">
        <v>0</v>
      </c>
      <c r="J2571" s="5">
        <v>0</v>
      </c>
      <c r="K2571" s="5">
        <v>0</v>
      </c>
      <c r="L2571" s="5">
        <v>0</v>
      </c>
      <c r="M2571" s="5">
        <v>0</v>
      </c>
      <c r="N2571" s="5">
        <v>253</v>
      </c>
      <c r="O2571" s="5" t="str">
        <f t="shared" ca="1" si="40"/>
        <v>Supplier 187</v>
      </c>
      <c r="P2571" s="20" t="str">
        <f ca="1">IFERROR(VLOOKUP(O2571,EMAILS!B:C,2,FALSE),"NOT FOUND IN EMAILS")</f>
        <v>supplier@gmail.com</v>
      </c>
      <c r="Q2571" t="str">
        <f ca="1">""&amp;IFERROR(VLOOKUP(O2571,EMAILS!B:D,3,FALSE),"NOT FOUND IN EMAILS")</f>
        <v/>
      </c>
      <c r="R2571" t="str">
        <f ca="1">""&amp;IFERROR(VLOOKUP(O2571,EMAILS!B:E,4,FALSE),"NO T FOUND IN EMAILS")</f>
        <v/>
      </c>
    </row>
    <row r="2572" spans="2:18" x14ac:dyDescent="0.25">
      <c r="B2572" s="5" t="s">
        <v>2574</v>
      </c>
      <c r="C2572" s="5" t="s">
        <v>6714</v>
      </c>
      <c r="D2572" s="5">
        <v>0</v>
      </c>
      <c r="E2572" s="5">
        <v>0</v>
      </c>
      <c r="F2572" s="5">
        <v>68</v>
      </c>
      <c r="G2572" s="5">
        <v>8</v>
      </c>
      <c r="H2572" s="5">
        <v>8</v>
      </c>
      <c r="I2572" s="5">
        <v>0</v>
      </c>
      <c r="J2572" s="5">
        <v>8</v>
      </c>
      <c r="K2572" s="5">
        <v>20</v>
      </c>
      <c r="L2572" s="5">
        <v>0</v>
      </c>
      <c r="M2572" s="5">
        <v>0</v>
      </c>
      <c r="N2572" s="5">
        <v>15.12</v>
      </c>
      <c r="O2572" s="5" t="str">
        <f t="shared" ca="1" si="40"/>
        <v>Supplier 39</v>
      </c>
      <c r="P2572" s="20" t="str">
        <f ca="1">IFERROR(VLOOKUP(O2572,EMAILS!B:C,2,FALSE),"NOT FOUND IN EMAILS")</f>
        <v>supplier@gmail.com</v>
      </c>
      <c r="Q2572" t="str">
        <f ca="1">""&amp;IFERROR(VLOOKUP(O2572,EMAILS!B:D,3,FALSE),"NOT FOUND IN EMAILS")</f>
        <v/>
      </c>
      <c r="R2572" t="str">
        <f ca="1">""&amp;IFERROR(VLOOKUP(O2572,EMAILS!B:E,4,FALSE),"NO T FOUND IN EMAILS")</f>
        <v/>
      </c>
    </row>
    <row r="2573" spans="2:18" x14ac:dyDescent="0.25">
      <c r="B2573" s="5" t="s">
        <v>2575</v>
      </c>
      <c r="C2573" s="5" t="s">
        <v>6715</v>
      </c>
      <c r="D2573" s="5">
        <v>0</v>
      </c>
      <c r="E2573" s="5">
        <v>0</v>
      </c>
      <c r="F2573" s="5">
        <v>0</v>
      </c>
      <c r="G2573" s="5">
        <v>0</v>
      </c>
      <c r="H2573" s="5">
        <v>0</v>
      </c>
      <c r="I2573" s="5">
        <v>1.28</v>
      </c>
      <c r="J2573" s="5">
        <v>0.64</v>
      </c>
      <c r="K2573" s="5">
        <v>0</v>
      </c>
      <c r="L2573" s="5">
        <v>0</v>
      </c>
      <c r="M2573" s="5">
        <v>0</v>
      </c>
      <c r="N2573" s="5">
        <v>360</v>
      </c>
      <c r="O2573" s="5" t="str">
        <f t="shared" ca="1" si="40"/>
        <v>Supplier 127</v>
      </c>
      <c r="P2573" s="20" t="str">
        <f ca="1">IFERROR(VLOOKUP(O2573,EMAILS!B:C,2,FALSE),"NOT FOUND IN EMAILS")</f>
        <v>supplier@gmail.com</v>
      </c>
      <c r="Q2573" t="str">
        <f ca="1">""&amp;IFERROR(VLOOKUP(O2573,EMAILS!B:D,3,FALSE),"NOT FOUND IN EMAILS")</f>
        <v/>
      </c>
      <c r="R2573" t="str">
        <f ca="1">""&amp;IFERROR(VLOOKUP(O2573,EMAILS!B:E,4,FALSE),"NO T FOUND IN EMAILS")</f>
        <v/>
      </c>
    </row>
    <row r="2574" spans="2:18" x14ac:dyDescent="0.25">
      <c r="B2574" s="5" t="s">
        <v>2576</v>
      </c>
      <c r="C2574" s="5" t="s">
        <v>6716</v>
      </c>
      <c r="D2574" s="5">
        <v>4</v>
      </c>
      <c r="E2574" s="5">
        <v>0</v>
      </c>
      <c r="F2574" s="5">
        <v>4</v>
      </c>
      <c r="G2574" s="5">
        <v>0</v>
      </c>
      <c r="H2574" s="5">
        <v>2</v>
      </c>
      <c r="I2574" s="5">
        <v>0</v>
      </c>
      <c r="J2574" s="5">
        <v>0</v>
      </c>
      <c r="K2574" s="5">
        <v>2</v>
      </c>
      <c r="L2574" s="5">
        <v>0</v>
      </c>
      <c r="M2574" s="5">
        <v>0</v>
      </c>
      <c r="N2574" s="5">
        <v>6353</v>
      </c>
      <c r="O2574" s="5" t="str">
        <f t="shared" ca="1" si="40"/>
        <v>Supplier 159</v>
      </c>
      <c r="P2574" s="20" t="str">
        <f ca="1">IFERROR(VLOOKUP(O2574,EMAILS!B:C,2,FALSE),"NOT FOUND IN EMAILS")</f>
        <v>supplier@gmail.com</v>
      </c>
      <c r="Q2574" t="str">
        <f ca="1">""&amp;IFERROR(VLOOKUP(O2574,EMAILS!B:D,3,FALSE),"NOT FOUND IN EMAILS")</f>
        <v/>
      </c>
      <c r="R2574" t="str">
        <f ca="1">""&amp;IFERROR(VLOOKUP(O2574,EMAILS!B:E,4,FALSE),"NO T FOUND IN EMAILS")</f>
        <v/>
      </c>
    </row>
    <row r="2575" spans="2:18" x14ac:dyDescent="0.25">
      <c r="B2575" s="5" t="s">
        <v>2577</v>
      </c>
      <c r="C2575" s="5" t="s">
        <v>6717</v>
      </c>
      <c r="D2575" s="5">
        <v>2000</v>
      </c>
      <c r="E2575" s="5">
        <v>2600</v>
      </c>
      <c r="F2575" s="5">
        <v>2288.768</v>
      </c>
      <c r="G2575" s="5">
        <v>2433.152</v>
      </c>
      <c r="H2575" s="5">
        <v>2433.152</v>
      </c>
      <c r="I2575" s="5">
        <v>2000</v>
      </c>
      <c r="J2575" s="5">
        <v>2400</v>
      </c>
      <c r="K2575" s="5">
        <v>2000</v>
      </c>
      <c r="L2575" s="5">
        <v>2000</v>
      </c>
      <c r="M2575" s="5">
        <v>0</v>
      </c>
      <c r="N2575" s="5">
        <v>845</v>
      </c>
      <c r="O2575" s="5" t="str">
        <f t="shared" ca="1" si="40"/>
        <v>Supplier 8</v>
      </c>
      <c r="P2575" s="20" t="str">
        <f ca="1">IFERROR(VLOOKUP(O2575,EMAILS!B:C,2,FALSE),"NOT FOUND IN EMAILS")</f>
        <v>supplier@gmail.com</v>
      </c>
      <c r="Q2575" t="str">
        <f ca="1">""&amp;IFERROR(VLOOKUP(O2575,EMAILS!B:D,3,FALSE),"NOT FOUND IN EMAILS")</f>
        <v>supplier_logistics@gmail.com</v>
      </c>
      <c r="R2575" t="str">
        <f ca="1">""&amp;IFERROR(VLOOKUP(O2575,EMAILS!B:E,4,FALSE),"NO T FOUND IN EMAILS")</f>
        <v/>
      </c>
    </row>
    <row r="2576" spans="2:18" x14ac:dyDescent="0.25">
      <c r="B2576" s="5" t="s">
        <v>2578</v>
      </c>
      <c r="C2576" s="5" t="s">
        <v>6718</v>
      </c>
      <c r="D2576" s="5">
        <v>540</v>
      </c>
      <c r="E2576" s="5">
        <v>258</v>
      </c>
      <c r="F2576" s="5">
        <v>512</v>
      </c>
      <c r="G2576" s="5">
        <v>530</v>
      </c>
      <c r="H2576" s="5">
        <v>488</v>
      </c>
      <c r="I2576" s="5">
        <v>416</v>
      </c>
      <c r="J2576" s="5">
        <v>320</v>
      </c>
      <c r="K2576" s="5">
        <v>170</v>
      </c>
      <c r="L2576" s="5">
        <v>440</v>
      </c>
      <c r="M2576" s="5">
        <v>0</v>
      </c>
      <c r="N2576" s="5">
        <v>1</v>
      </c>
      <c r="O2576" s="5" t="str">
        <f t="shared" ca="1" si="40"/>
        <v>Supplier 167</v>
      </c>
      <c r="P2576" s="20" t="str">
        <f ca="1">IFERROR(VLOOKUP(O2576,EMAILS!B:C,2,FALSE),"NOT FOUND IN EMAILS")</f>
        <v>supplier@gmail.com</v>
      </c>
      <c r="Q2576" t="str">
        <f ca="1">""&amp;IFERROR(VLOOKUP(O2576,EMAILS!B:D,3,FALSE),"NOT FOUND IN EMAILS")</f>
        <v/>
      </c>
      <c r="R2576" t="str">
        <f ca="1">""&amp;IFERROR(VLOOKUP(O2576,EMAILS!B:E,4,FALSE),"NO T FOUND IN EMAILS")</f>
        <v/>
      </c>
    </row>
    <row r="2577" spans="2:18" x14ac:dyDescent="0.25">
      <c r="B2577" s="5" t="s">
        <v>2579</v>
      </c>
      <c r="C2577" s="5" t="s">
        <v>6719</v>
      </c>
      <c r="D2577" s="5">
        <v>0.25</v>
      </c>
      <c r="E2577" s="5">
        <v>0</v>
      </c>
      <c r="F2577" s="5">
        <v>0.2</v>
      </c>
      <c r="G2577" s="5">
        <v>0.2</v>
      </c>
      <c r="H2577" s="5">
        <v>0</v>
      </c>
      <c r="I2577" s="5">
        <v>0</v>
      </c>
      <c r="J2577" s="5">
        <v>0</v>
      </c>
      <c r="K2577" s="5">
        <v>0</v>
      </c>
      <c r="L2577" s="5">
        <v>0</v>
      </c>
      <c r="M2577" s="5">
        <v>0</v>
      </c>
      <c r="N2577" s="5">
        <v>0</v>
      </c>
      <c r="O2577" s="5" t="str">
        <f t="shared" ca="1" si="40"/>
        <v>Supplier 73</v>
      </c>
      <c r="P2577" s="20" t="str">
        <f ca="1">IFERROR(VLOOKUP(O2577,EMAILS!B:C,2,FALSE),"NOT FOUND IN EMAILS")</f>
        <v>supplier@gmail.com</v>
      </c>
      <c r="Q2577" t="str">
        <f ca="1">""&amp;IFERROR(VLOOKUP(O2577,EMAILS!B:D,3,FALSE),"NOT FOUND IN EMAILS")</f>
        <v/>
      </c>
      <c r="R2577" t="str">
        <f ca="1">""&amp;IFERROR(VLOOKUP(O2577,EMAILS!B:E,4,FALSE),"NO T FOUND IN EMAILS")</f>
        <v/>
      </c>
    </row>
    <row r="2578" spans="2:18" x14ac:dyDescent="0.25">
      <c r="B2578" s="5" t="s">
        <v>2580</v>
      </c>
      <c r="C2578" s="5" t="s">
        <v>6720</v>
      </c>
      <c r="D2578" s="5">
        <v>0.25</v>
      </c>
      <c r="E2578" s="5">
        <v>0</v>
      </c>
      <c r="F2578" s="5">
        <v>0.2</v>
      </c>
      <c r="G2578" s="5">
        <v>0.2</v>
      </c>
      <c r="H2578" s="5">
        <v>0</v>
      </c>
      <c r="I2578" s="5">
        <v>0</v>
      </c>
      <c r="J2578" s="5">
        <v>0</v>
      </c>
      <c r="K2578" s="5">
        <v>0</v>
      </c>
      <c r="L2578" s="5">
        <v>0</v>
      </c>
      <c r="M2578" s="5">
        <v>0</v>
      </c>
      <c r="N2578" s="5">
        <v>0</v>
      </c>
      <c r="O2578" s="5" t="str">
        <f t="shared" ca="1" si="40"/>
        <v>Supplier 178</v>
      </c>
      <c r="P2578" s="20" t="str">
        <f ca="1">IFERROR(VLOOKUP(O2578,EMAILS!B:C,2,FALSE),"NOT FOUND IN EMAILS")</f>
        <v>supplier@gmail.com</v>
      </c>
      <c r="Q2578" t="str">
        <f ca="1">""&amp;IFERROR(VLOOKUP(O2578,EMAILS!B:D,3,FALSE),"NOT FOUND IN EMAILS")</f>
        <v/>
      </c>
      <c r="R2578" t="str">
        <f ca="1">""&amp;IFERROR(VLOOKUP(O2578,EMAILS!B:E,4,FALSE),"NO T FOUND IN EMAILS")</f>
        <v/>
      </c>
    </row>
    <row r="2579" spans="2:18" x14ac:dyDescent="0.25">
      <c r="B2579" s="5" t="s">
        <v>2581</v>
      </c>
      <c r="C2579" s="5" t="s">
        <v>6721</v>
      </c>
      <c r="D2579" s="5">
        <v>0</v>
      </c>
      <c r="E2579" s="5">
        <v>0</v>
      </c>
      <c r="F2579" s="5">
        <v>0</v>
      </c>
      <c r="G2579" s="5">
        <v>0</v>
      </c>
      <c r="H2579" s="5">
        <v>0</v>
      </c>
      <c r="I2579" s="5">
        <v>0</v>
      </c>
      <c r="J2579" s="5">
        <v>0</v>
      </c>
      <c r="K2579" s="5">
        <v>0</v>
      </c>
      <c r="L2579" s="5">
        <v>0</v>
      </c>
      <c r="M2579" s="5">
        <v>0</v>
      </c>
      <c r="N2579" s="5">
        <v>12</v>
      </c>
      <c r="O2579" s="5" t="str">
        <f t="shared" ca="1" si="40"/>
        <v>Supplier 55</v>
      </c>
      <c r="P2579" s="20" t="str">
        <f ca="1">IFERROR(VLOOKUP(O2579,EMAILS!B:C,2,FALSE),"NOT FOUND IN EMAILS")</f>
        <v>supplier@gmail.com</v>
      </c>
      <c r="Q2579" t="str">
        <f ca="1">""&amp;IFERROR(VLOOKUP(O2579,EMAILS!B:D,3,FALSE),"NOT FOUND IN EMAILS")</f>
        <v/>
      </c>
      <c r="R2579" t="str">
        <f ca="1">""&amp;IFERROR(VLOOKUP(O2579,EMAILS!B:E,4,FALSE),"NO T FOUND IN EMAILS")</f>
        <v/>
      </c>
    </row>
    <row r="2580" spans="2:18" x14ac:dyDescent="0.25">
      <c r="B2580" s="5" t="s">
        <v>2582</v>
      </c>
      <c r="C2580" s="5" t="s">
        <v>6722</v>
      </c>
      <c r="D2580" s="5">
        <v>0</v>
      </c>
      <c r="E2580" s="5">
        <v>0</v>
      </c>
      <c r="F2580" s="5">
        <v>0</v>
      </c>
      <c r="G2580" s="5">
        <v>0</v>
      </c>
      <c r="H2580" s="5">
        <v>0</v>
      </c>
      <c r="I2580" s="5">
        <v>0</v>
      </c>
      <c r="J2580" s="5">
        <v>0</v>
      </c>
      <c r="K2580" s="5">
        <v>0</v>
      </c>
      <c r="L2580" s="5">
        <v>0</v>
      </c>
      <c r="M2580" s="5">
        <v>0</v>
      </c>
      <c r="N2580" s="5">
        <v>4</v>
      </c>
      <c r="O2580" s="5" t="str">
        <f t="shared" ca="1" si="40"/>
        <v>Supplier 56</v>
      </c>
      <c r="P2580" s="20" t="str">
        <f ca="1">IFERROR(VLOOKUP(O2580,EMAILS!B:C,2,FALSE),"NOT FOUND IN EMAILS")</f>
        <v>supplier@gmail.com</v>
      </c>
      <c r="Q2580" t="str">
        <f ca="1">""&amp;IFERROR(VLOOKUP(O2580,EMAILS!B:D,3,FALSE),"NOT FOUND IN EMAILS")</f>
        <v/>
      </c>
      <c r="R2580" t="str">
        <f ca="1">""&amp;IFERROR(VLOOKUP(O2580,EMAILS!B:E,4,FALSE),"NO T FOUND IN EMAILS")</f>
        <v/>
      </c>
    </row>
    <row r="2581" spans="2:18" x14ac:dyDescent="0.25">
      <c r="B2581" s="5" t="s">
        <v>2583</v>
      </c>
      <c r="C2581" s="5" t="s">
        <v>6723</v>
      </c>
      <c r="D2581" s="5">
        <v>0.4</v>
      </c>
      <c r="E2581" s="5">
        <v>0</v>
      </c>
      <c r="F2581" s="5">
        <v>0</v>
      </c>
      <c r="G2581" s="5">
        <v>0</v>
      </c>
      <c r="H2581" s="5">
        <v>0.4</v>
      </c>
      <c r="I2581" s="5">
        <v>0</v>
      </c>
      <c r="J2581" s="5">
        <v>0</v>
      </c>
      <c r="K2581" s="5">
        <v>0</v>
      </c>
      <c r="L2581" s="5">
        <v>0</v>
      </c>
      <c r="M2581" s="5">
        <v>0</v>
      </c>
      <c r="N2581" s="5">
        <v>0</v>
      </c>
      <c r="O2581" s="5" t="str">
        <f t="shared" ca="1" si="40"/>
        <v>Supplier 167</v>
      </c>
      <c r="P2581" s="20" t="str">
        <f ca="1">IFERROR(VLOOKUP(O2581,EMAILS!B:C,2,FALSE),"NOT FOUND IN EMAILS")</f>
        <v>supplier@gmail.com</v>
      </c>
      <c r="Q2581" t="str">
        <f ca="1">""&amp;IFERROR(VLOOKUP(O2581,EMAILS!B:D,3,FALSE),"NOT FOUND IN EMAILS")</f>
        <v/>
      </c>
      <c r="R2581" t="str">
        <f ca="1">""&amp;IFERROR(VLOOKUP(O2581,EMAILS!B:E,4,FALSE),"NO T FOUND IN EMAILS")</f>
        <v/>
      </c>
    </row>
    <row r="2582" spans="2:18" x14ac:dyDescent="0.25">
      <c r="B2582" s="5" t="s">
        <v>2584</v>
      </c>
      <c r="C2582" s="5" t="s">
        <v>6724</v>
      </c>
      <c r="D2582" s="5">
        <v>0.25</v>
      </c>
      <c r="E2582" s="5">
        <v>0</v>
      </c>
      <c r="F2582" s="5">
        <v>0.2</v>
      </c>
      <c r="G2582" s="5">
        <v>0.2</v>
      </c>
      <c r="H2582" s="5">
        <v>0</v>
      </c>
      <c r="I2582" s="5">
        <v>0</v>
      </c>
      <c r="J2582" s="5">
        <v>0</v>
      </c>
      <c r="K2582" s="5">
        <v>0</v>
      </c>
      <c r="L2582" s="5">
        <v>0</v>
      </c>
      <c r="M2582" s="5">
        <v>0</v>
      </c>
      <c r="N2582" s="5">
        <v>172</v>
      </c>
      <c r="O2582" s="5" t="str">
        <f t="shared" ca="1" si="40"/>
        <v>Supplier 98</v>
      </c>
      <c r="P2582" s="20" t="str">
        <f ca="1">IFERROR(VLOOKUP(O2582,EMAILS!B:C,2,FALSE),"NOT FOUND IN EMAILS")</f>
        <v>supplier@gmail.com</v>
      </c>
      <c r="Q2582" t="str">
        <f ca="1">""&amp;IFERROR(VLOOKUP(O2582,EMAILS!B:D,3,FALSE),"NOT FOUND IN EMAILS")</f>
        <v/>
      </c>
      <c r="R2582" t="str">
        <f ca="1">""&amp;IFERROR(VLOOKUP(O2582,EMAILS!B:E,4,FALSE),"NO T FOUND IN EMAILS")</f>
        <v/>
      </c>
    </row>
    <row r="2583" spans="2:18" x14ac:dyDescent="0.25">
      <c r="B2583" s="5" t="s">
        <v>2585</v>
      </c>
      <c r="C2583" s="5" t="s">
        <v>6725</v>
      </c>
      <c r="D2583" s="5">
        <v>21.08</v>
      </c>
      <c r="E2583" s="5">
        <v>21.08</v>
      </c>
      <c r="F2583" s="5">
        <v>21.08</v>
      </c>
      <c r="G2583" s="5">
        <v>21.08</v>
      </c>
      <c r="H2583" s="5">
        <v>21.08</v>
      </c>
      <c r="I2583" s="5">
        <v>21.08</v>
      </c>
      <c r="J2583" s="5">
        <v>21.08</v>
      </c>
      <c r="K2583" s="5">
        <v>21.08</v>
      </c>
      <c r="L2583" s="5">
        <v>21.08</v>
      </c>
      <c r="M2583" s="5">
        <v>0</v>
      </c>
      <c r="N2583" s="5">
        <v>0</v>
      </c>
      <c r="O2583" s="5" t="str">
        <f t="shared" ca="1" si="40"/>
        <v>Supplier 6</v>
      </c>
      <c r="P2583" s="20" t="str">
        <f ca="1">IFERROR(VLOOKUP(O2583,EMAILS!B:C,2,FALSE),"NOT FOUND IN EMAILS")</f>
        <v>supplier@gmail.com</v>
      </c>
      <c r="Q2583" t="str">
        <f ca="1">""&amp;IFERROR(VLOOKUP(O2583,EMAILS!B:D,3,FALSE),"NOT FOUND IN EMAILS")</f>
        <v>supplier_logistics@gmail.com</v>
      </c>
      <c r="R2583" t="str">
        <f ca="1">""&amp;IFERROR(VLOOKUP(O2583,EMAILS!B:E,4,FALSE),"NO T FOUND IN EMAILS")</f>
        <v/>
      </c>
    </row>
    <row r="2584" spans="2:18" x14ac:dyDescent="0.25">
      <c r="B2584" s="5" t="s">
        <v>2586</v>
      </c>
      <c r="C2584" s="5" t="s">
        <v>6726</v>
      </c>
      <c r="D2584" s="5">
        <v>0</v>
      </c>
      <c r="E2584" s="5">
        <v>0</v>
      </c>
      <c r="F2584" s="5">
        <v>0</v>
      </c>
      <c r="G2584" s="5">
        <v>0</v>
      </c>
      <c r="H2584" s="5">
        <v>0</v>
      </c>
      <c r="I2584" s="5">
        <v>0</v>
      </c>
      <c r="J2584" s="5">
        <v>0</v>
      </c>
      <c r="K2584" s="5">
        <v>0</v>
      </c>
      <c r="L2584" s="5">
        <v>0</v>
      </c>
      <c r="M2584" s="5">
        <v>0</v>
      </c>
      <c r="N2584" s="5">
        <v>0</v>
      </c>
      <c r="O2584" s="5" t="str">
        <f t="shared" ca="1" si="40"/>
        <v>Supplier 162</v>
      </c>
      <c r="P2584" s="20" t="str">
        <f ca="1">IFERROR(VLOOKUP(O2584,EMAILS!B:C,2,FALSE),"NOT FOUND IN EMAILS")</f>
        <v>supplier@gmail.com</v>
      </c>
      <c r="Q2584" t="str">
        <f ca="1">""&amp;IFERROR(VLOOKUP(O2584,EMAILS!B:D,3,FALSE),"NOT FOUND IN EMAILS")</f>
        <v/>
      </c>
      <c r="R2584" t="str">
        <f ca="1">""&amp;IFERROR(VLOOKUP(O2584,EMAILS!B:E,4,FALSE),"NO T FOUND IN EMAILS")</f>
        <v/>
      </c>
    </row>
    <row r="2585" spans="2:18" x14ac:dyDescent="0.25">
      <c r="B2585" s="5" t="s">
        <v>2587</v>
      </c>
      <c r="C2585" s="5" t="s">
        <v>6727</v>
      </c>
      <c r="D2585" s="5">
        <v>0</v>
      </c>
      <c r="E2585" s="5">
        <v>0</v>
      </c>
      <c r="F2585" s="5">
        <v>0</v>
      </c>
      <c r="G2585" s="5">
        <v>0</v>
      </c>
      <c r="H2585" s="5">
        <v>2400</v>
      </c>
      <c r="I2585" s="5">
        <v>0</v>
      </c>
      <c r="J2585" s="5">
        <v>0</v>
      </c>
      <c r="K2585" s="5">
        <v>0</v>
      </c>
      <c r="L2585" s="5">
        <v>0</v>
      </c>
      <c r="M2585" s="5">
        <v>0</v>
      </c>
      <c r="N2585" s="5">
        <v>0</v>
      </c>
      <c r="O2585" s="5" t="str">
        <f t="shared" ca="1" si="40"/>
        <v>Supplier 94</v>
      </c>
      <c r="P2585" s="20" t="str">
        <f ca="1">IFERROR(VLOOKUP(O2585,EMAILS!B:C,2,FALSE),"NOT FOUND IN EMAILS")</f>
        <v>supplier@gmail.com</v>
      </c>
      <c r="Q2585" t="str">
        <f ca="1">""&amp;IFERROR(VLOOKUP(O2585,EMAILS!B:D,3,FALSE),"NOT FOUND IN EMAILS")</f>
        <v/>
      </c>
      <c r="R2585" t="str">
        <f ca="1">""&amp;IFERROR(VLOOKUP(O2585,EMAILS!B:E,4,FALSE),"NO T FOUND IN EMAILS")</f>
        <v/>
      </c>
    </row>
    <row r="2586" spans="2:18" x14ac:dyDescent="0.25">
      <c r="B2586" s="5" t="s">
        <v>2588</v>
      </c>
      <c r="C2586" s="5" t="s">
        <v>6728</v>
      </c>
      <c r="D2586" s="5">
        <v>0</v>
      </c>
      <c r="E2586" s="5">
        <v>0</v>
      </c>
      <c r="F2586" s="5">
        <v>0</v>
      </c>
      <c r="G2586" s="5">
        <v>0</v>
      </c>
      <c r="H2586" s="5">
        <v>0</v>
      </c>
      <c r="I2586" s="5">
        <v>0</v>
      </c>
      <c r="J2586" s="5">
        <v>0</v>
      </c>
      <c r="K2586" s="5">
        <v>0</v>
      </c>
      <c r="L2586" s="5">
        <v>0</v>
      </c>
      <c r="M2586" s="5">
        <v>0</v>
      </c>
      <c r="N2586" s="5">
        <v>510</v>
      </c>
      <c r="O2586" s="5" t="str">
        <f t="shared" ca="1" si="40"/>
        <v>Supplier 65</v>
      </c>
      <c r="P2586" s="20" t="str">
        <f ca="1">IFERROR(VLOOKUP(O2586,EMAILS!B:C,2,FALSE),"NOT FOUND IN EMAILS")</f>
        <v>supplier@gmail.com</v>
      </c>
      <c r="Q2586" t="str">
        <f ca="1">""&amp;IFERROR(VLOOKUP(O2586,EMAILS!B:D,3,FALSE),"NOT FOUND IN EMAILS")</f>
        <v/>
      </c>
      <c r="R2586" t="str">
        <f ca="1">""&amp;IFERROR(VLOOKUP(O2586,EMAILS!B:E,4,FALSE),"NO T FOUND IN EMAILS")</f>
        <v/>
      </c>
    </row>
    <row r="2587" spans="2:18" x14ac:dyDescent="0.25">
      <c r="B2587" s="5" t="s">
        <v>2589</v>
      </c>
      <c r="C2587" s="5" t="s">
        <v>6729</v>
      </c>
      <c r="D2587" s="5">
        <v>100</v>
      </c>
      <c r="E2587" s="5">
        <v>0</v>
      </c>
      <c r="F2587" s="5">
        <v>0</v>
      </c>
      <c r="G2587" s="5">
        <v>0</v>
      </c>
      <c r="H2587" s="5">
        <v>0</v>
      </c>
      <c r="I2587" s="5">
        <v>50</v>
      </c>
      <c r="J2587" s="5">
        <v>0</v>
      </c>
      <c r="K2587" s="5">
        <v>0</v>
      </c>
      <c r="L2587" s="5">
        <v>0</v>
      </c>
      <c r="M2587" s="5">
        <v>0</v>
      </c>
      <c r="N2587" s="5">
        <v>510</v>
      </c>
      <c r="O2587" s="5" t="str">
        <f t="shared" ca="1" si="40"/>
        <v>Supplier 52</v>
      </c>
      <c r="P2587" s="20" t="str">
        <f ca="1">IFERROR(VLOOKUP(O2587,EMAILS!B:C,2,FALSE),"NOT FOUND IN EMAILS")</f>
        <v>supplier@gmail.com</v>
      </c>
      <c r="Q2587" t="str">
        <f ca="1">""&amp;IFERROR(VLOOKUP(O2587,EMAILS!B:D,3,FALSE),"NOT FOUND IN EMAILS")</f>
        <v/>
      </c>
      <c r="R2587" t="str">
        <f ca="1">""&amp;IFERROR(VLOOKUP(O2587,EMAILS!B:E,4,FALSE),"NO T FOUND IN EMAILS")</f>
        <v/>
      </c>
    </row>
    <row r="2588" spans="2:18" x14ac:dyDescent="0.25">
      <c r="B2588" s="5" t="s">
        <v>2590</v>
      </c>
      <c r="C2588" s="5" t="s">
        <v>6730</v>
      </c>
      <c r="D2588" s="5">
        <v>100</v>
      </c>
      <c r="E2588" s="5">
        <v>0</v>
      </c>
      <c r="F2588" s="5">
        <v>0</v>
      </c>
      <c r="G2588" s="5">
        <v>0</v>
      </c>
      <c r="H2588" s="5">
        <v>0</v>
      </c>
      <c r="I2588" s="5">
        <v>50</v>
      </c>
      <c r="J2588" s="5">
        <v>0</v>
      </c>
      <c r="K2588" s="5">
        <v>0</v>
      </c>
      <c r="L2588" s="5">
        <v>0</v>
      </c>
      <c r="M2588" s="5">
        <v>0</v>
      </c>
      <c r="N2588" s="5">
        <v>150</v>
      </c>
      <c r="O2588" s="5" t="str">
        <f t="shared" ca="1" si="40"/>
        <v>Supplier 44</v>
      </c>
      <c r="P2588" s="20" t="str">
        <f ca="1">IFERROR(VLOOKUP(O2588,EMAILS!B:C,2,FALSE),"NOT FOUND IN EMAILS")</f>
        <v>supplier@gmail.com</v>
      </c>
      <c r="Q2588" t="str">
        <f ca="1">""&amp;IFERROR(VLOOKUP(O2588,EMAILS!B:D,3,FALSE),"NOT FOUND IN EMAILS")</f>
        <v/>
      </c>
      <c r="R2588" t="str">
        <f ca="1">""&amp;IFERROR(VLOOKUP(O2588,EMAILS!B:E,4,FALSE),"NO T FOUND IN EMAILS")</f>
        <v/>
      </c>
    </row>
    <row r="2589" spans="2:18" x14ac:dyDescent="0.25">
      <c r="B2589" s="5" t="s">
        <v>2591</v>
      </c>
      <c r="C2589" s="5" t="s">
        <v>6731</v>
      </c>
      <c r="D2589" s="5">
        <v>0</v>
      </c>
      <c r="E2589" s="5">
        <v>0</v>
      </c>
      <c r="F2589" s="5">
        <v>0</v>
      </c>
      <c r="G2589" s="5">
        <v>0</v>
      </c>
      <c r="H2589" s="5">
        <v>0</v>
      </c>
      <c r="I2589" s="5">
        <v>0</v>
      </c>
      <c r="J2589" s="5">
        <v>0</v>
      </c>
      <c r="K2589" s="5">
        <v>0</v>
      </c>
      <c r="L2589" s="5">
        <v>0</v>
      </c>
      <c r="M2589" s="5">
        <v>0</v>
      </c>
      <c r="N2589" s="5">
        <v>28</v>
      </c>
      <c r="O2589" s="5" t="str">
        <f t="shared" ca="1" si="40"/>
        <v>Supplier 178</v>
      </c>
      <c r="P2589" s="20" t="str">
        <f ca="1">IFERROR(VLOOKUP(O2589,EMAILS!B:C,2,FALSE),"NOT FOUND IN EMAILS")</f>
        <v>supplier@gmail.com</v>
      </c>
      <c r="Q2589" t="str">
        <f ca="1">""&amp;IFERROR(VLOOKUP(O2589,EMAILS!B:D,3,FALSE),"NOT FOUND IN EMAILS")</f>
        <v/>
      </c>
      <c r="R2589" t="str">
        <f ca="1">""&amp;IFERROR(VLOOKUP(O2589,EMAILS!B:E,4,FALSE),"NO T FOUND IN EMAILS")</f>
        <v/>
      </c>
    </row>
    <row r="2590" spans="2:18" x14ac:dyDescent="0.25">
      <c r="B2590" s="5" t="s">
        <v>2592</v>
      </c>
      <c r="C2590" s="5" t="s">
        <v>6732</v>
      </c>
      <c r="D2590" s="5">
        <v>0</v>
      </c>
      <c r="E2590" s="5">
        <v>0</v>
      </c>
      <c r="F2590" s="5">
        <v>0</v>
      </c>
      <c r="G2590" s="5">
        <v>0</v>
      </c>
      <c r="H2590" s="5">
        <v>0</v>
      </c>
      <c r="I2590" s="5">
        <v>0</v>
      </c>
      <c r="J2590" s="5">
        <v>0</v>
      </c>
      <c r="K2590" s="5">
        <v>0</v>
      </c>
      <c r="L2590" s="5">
        <v>0</v>
      </c>
      <c r="M2590" s="5">
        <v>0</v>
      </c>
      <c r="N2590" s="5">
        <v>34</v>
      </c>
      <c r="O2590" s="5" t="str">
        <f t="shared" ca="1" si="40"/>
        <v>Supplier 181</v>
      </c>
      <c r="P2590" s="20" t="str">
        <f ca="1">IFERROR(VLOOKUP(O2590,EMAILS!B:C,2,FALSE),"NOT FOUND IN EMAILS")</f>
        <v>supplier@gmail.com</v>
      </c>
      <c r="Q2590" t="str">
        <f ca="1">""&amp;IFERROR(VLOOKUP(O2590,EMAILS!B:D,3,FALSE),"NOT FOUND IN EMAILS")</f>
        <v/>
      </c>
      <c r="R2590" t="str">
        <f ca="1">""&amp;IFERROR(VLOOKUP(O2590,EMAILS!B:E,4,FALSE),"NO T FOUND IN EMAILS")</f>
        <v/>
      </c>
    </row>
    <row r="2591" spans="2:18" x14ac:dyDescent="0.25">
      <c r="B2591" s="5" t="s">
        <v>2593</v>
      </c>
      <c r="C2591" s="5" t="s">
        <v>6733</v>
      </c>
      <c r="D2591" s="5">
        <v>0</v>
      </c>
      <c r="E2591" s="5">
        <v>0</v>
      </c>
      <c r="F2591" s="5">
        <v>0</v>
      </c>
      <c r="G2591" s="5">
        <v>0</v>
      </c>
      <c r="H2591" s="5">
        <v>0</v>
      </c>
      <c r="I2591" s="5">
        <v>0</v>
      </c>
      <c r="J2591" s="5">
        <v>0</v>
      </c>
      <c r="K2591" s="5">
        <v>0</v>
      </c>
      <c r="L2591" s="5">
        <v>0</v>
      </c>
      <c r="M2591" s="5">
        <v>0</v>
      </c>
      <c r="N2591" s="5">
        <v>355</v>
      </c>
      <c r="O2591" s="5" t="str">
        <f t="shared" ca="1" si="40"/>
        <v>Supplier 132</v>
      </c>
      <c r="P2591" s="20" t="str">
        <f ca="1">IFERROR(VLOOKUP(O2591,EMAILS!B:C,2,FALSE),"NOT FOUND IN EMAILS")</f>
        <v>supplier@gmail.com</v>
      </c>
      <c r="Q2591" t="str">
        <f ca="1">""&amp;IFERROR(VLOOKUP(O2591,EMAILS!B:D,3,FALSE),"NOT FOUND IN EMAILS")</f>
        <v/>
      </c>
      <c r="R2591" t="str">
        <f ca="1">""&amp;IFERROR(VLOOKUP(O2591,EMAILS!B:E,4,FALSE),"NO T FOUND IN EMAILS")</f>
        <v/>
      </c>
    </row>
    <row r="2592" spans="2:18" x14ac:dyDescent="0.25">
      <c r="B2592" s="5" t="s">
        <v>2594</v>
      </c>
      <c r="C2592" s="5" t="s">
        <v>6734</v>
      </c>
      <c r="D2592" s="5">
        <v>0</v>
      </c>
      <c r="E2592" s="5">
        <v>0</v>
      </c>
      <c r="F2592" s="5">
        <v>0</v>
      </c>
      <c r="G2592" s="5">
        <v>0</v>
      </c>
      <c r="H2592" s="5">
        <v>0</v>
      </c>
      <c r="I2592" s="5">
        <v>0</v>
      </c>
      <c r="J2592" s="5">
        <v>0</v>
      </c>
      <c r="K2592" s="5">
        <v>0</v>
      </c>
      <c r="L2592" s="5">
        <v>0</v>
      </c>
      <c r="M2592" s="5">
        <v>0</v>
      </c>
      <c r="N2592" s="5">
        <v>1100</v>
      </c>
      <c r="O2592" s="5" t="str">
        <f t="shared" ca="1" si="40"/>
        <v>Supplier 169</v>
      </c>
      <c r="P2592" s="20" t="str">
        <f ca="1">IFERROR(VLOOKUP(O2592,EMAILS!B:C,2,FALSE),"NOT FOUND IN EMAILS")</f>
        <v>supplier@gmail.com</v>
      </c>
      <c r="Q2592" t="str">
        <f ca="1">""&amp;IFERROR(VLOOKUP(O2592,EMAILS!B:D,3,FALSE),"NOT FOUND IN EMAILS")</f>
        <v/>
      </c>
      <c r="R2592" t="str">
        <f ca="1">""&amp;IFERROR(VLOOKUP(O2592,EMAILS!B:E,4,FALSE),"NO T FOUND IN EMAILS")</f>
        <v/>
      </c>
    </row>
    <row r="2593" spans="2:18" x14ac:dyDescent="0.25">
      <c r="B2593" s="5" t="s">
        <v>2595</v>
      </c>
      <c r="C2593" s="5" t="s">
        <v>6735</v>
      </c>
      <c r="D2593" s="5">
        <v>750</v>
      </c>
      <c r="E2593" s="5">
        <v>750</v>
      </c>
      <c r="F2593" s="5">
        <v>750</v>
      </c>
      <c r="G2593" s="5">
        <v>750</v>
      </c>
      <c r="H2593" s="5">
        <v>1500</v>
      </c>
      <c r="I2593" s="5">
        <v>1500</v>
      </c>
      <c r="J2593" s="5">
        <v>750</v>
      </c>
      <c r="K2593" s="5">
        <v>1500</v>
      </c>
      <c r="L2593" s="5">
        <v>750</v>
      </c>
      <c r="M2593" s="5">
        <v>0</v>
      </c>
      <c r="N2593" s="5">
        <v>1</v>
      </c>
      <c r="O2593" s="5" t="str">
        <f t="shared" ca="1" si="40"/>
        <v>Supplier 200</v>
      </c>
      <c r="P2593" s="20" t="str">
        <f ca="1">IFERROR(VLOOKUP(O2593,EMAILS!B:C,2,FALSE),"NOT FOUND IN EMAILS")</f>
        <v>supplier@gmail.com</v>
      </c>
      <c r="Q2593" t="str">
        <f ca="1">""&amp;IFERROR(VLOOKUP(O2593,EMAILS!B:D,3,FALSE),"NOT FOUND IN EMAILS")</f>
        <v/>
      </c>
      <c r="R2593" t="str">
        <f ca="1">""&amp;IFERROR(VLOOKUP(O2593,EMAILS!B:E,4,FALSE),"NO T FOUND IN EMAILS")</f>
        <v/>
      </c>
    </row>
    <row r="2594" spans="2:18" x14ac:dyDescent="0.25">
      <c r="B2594" s="5" t="s">
        <v>2596</v>
      </c>
      <c r="C2594" s="5" t="s">
        <v>6736</v>
      </c>
      <c r="D2594" s="5">
        <v>0</v>
      </c>
      <c r="E2594" s="5">
        <v>0</v>
      </c>
      <c r="F2594" s="5">
        <v>0</v>
      </c>
      <c r="G2594" s="5">
        <v>0</v>
      </c>
      <c r="H2594" s="5">
        <v>0</v>
      </c>
      <c r="I2594" s="5">
        <v>0</v>
      </c>
      <c r="J2594" s="5">
        <v>0</v>
      </c>
      <c r="K2594" s="5">
        <v>0</v>
      </c>
      <c r="L2594" s="5">
        <v>0</v>
      </c>
      <c r="M2594" s="5">
        <v>0</v>
      </c>
      <c r="N2594" s="5">
        <v>3</v>
      </c>
      <c r="O2594" s="5" t="str">
        <f t="shared" ca="1" si="40"/>
        <v>Supplier 116</v>
      </c>
      <c r="P2594" s="20" t="str">
        <f ca="1">IFERROR(VLOOKUP(O2594,EMAILS!B:C,2,FALSE),"NOT FOUND IN EMAILS")</f>
        <v>supplier@gmail.com</v>
      </c>
      <c r="Q2594" t="str">
        <f ca="1">""&amp;IFERROR(VLOOKUP(O2594,EMAILS!B:D,3,FALSE),"NOT FOUND IN EMAILS")</f>
        <v/>
      </c>
      <c r="R2594" t="str">
        <f ca="1">""&amp;IFERROR(VLOOKUP(O2594,EMAILS!B:E,4,FALSE),"NO T FOUND IN EMAILS")</f>
        <v/>
      </c>
    </row>
    <row r="2595" spans="2:18" x14ac:dyDescent="0.25">
      <c r="B2595" s="5" t="s">
        <v>2597</v>
      </c>
      <c r="C2595" s="5" t="s">
        <v>6737</v>
      </c>
      <c r="D2595" s="5">
        <v>1</v>
      </c>
      <c r="E2595" s="5">
        <v>0</v>
      </c>
      <c r="F2595" s="5">
        <v>0</v>
      </c>
      <c r="G2595" s="5">
        <v>0</v>
      </c>
      <c r="H2595" s="5">
        <v>0</v>
      </c>
      <c r="I2595" s="5">
        <v>0</v>
      </c>
      <c r="J2595" s="5">
        <v>0</v>
      </c>
      <c r="K2595" s="5">
        <v>0</v>
      </c>
      <c r="L2595" s="5">
        <v>0</v>
      </c>
      <c r="M2595" s="5">
        <v>0</v>
      </c>
      <c r="N2595" s="5">
        <v>5</v>
      </c>
      <c r="O2595" s="5" t="str">
        <f t="shared" ca="1" si="40"/>
        <v>Supplier 132</v>
      </c>
      <c r="P2595" s="20" t="str">
        <f ca="1">IFERROR(VLOOKUP(O2595,EMAILS!B:C,2,FALSE),"NOT FOUND IN EMAILS")</f>
        <v>supplier@gmail.com</v>
      </c>
      <c r="Q2595" t="str">
        <f ca="1">""&amp;IFERROR(VLOOKUP(O2595,EMAILS!B:D,3,FALSE),"NOT FOUND IN EMAILS")</f>
        <v/>
      </c>
      <c r="R2595" t="str">
        <f ca="1">""&amp;IFERROR(VLOOKUP(O2595,EMAILS!B:E,4,FALSE),"NO T FOUND IN EMAILS")</f>
        <v/>
      </c>
    </row>
    <row r="2596" spans="2:18" x14ac:dyDescent="0.25">
      <c r="B2596" s="5" t="s">
        <v>2598</v>
      </c>
      <c r="C2596" s="5" t="s">
        <v>6738</v>
      </c>
      <c r="D2596" s="5">
        <v>0</v>
      </c>
      <c r="E2596" s="5">
        <v>0</v>
      </c>
      <c r="F2596" s="5">
        <v>5</v>
      </c>
      <c r="G2596" s="5">
        <v>0</v>
      </c>
      <c r="H2596" s="5">
        <v>0</v>
      </c>
      <c r="I2596" s="5">
        <v>0</v>
      </c>
      <c r="J2596" s="5">
        <v>0</v>
      </c>
      <c r="K2596" s="5">
        <v>0</v>
      </c>
      <c r="L2596" s="5">
        <v>0</v>
      </c>
      <c r="M2596" s="5">
        <v>0</v>
      </c>
      <c r="N2596" s="5">
        <v>0</v>
      </c>
      <c r="O2596" s="5" t="str">
        <f t="shared" ca="1" si="40"/>
        <v>Supplier 130</v>
      </c>
      <c r="P2596" s="20" t="str">
        <f ca="1">IFERROR(VLOOKUP(O2596,EMAILS!B:C,2,FALSE),"NOT FOUND IN EMAILS")</f>
        <v>supplier@gmail.com</v>
      </c>
      <c r="Q2596" t="str">
        <f ca="1">""&amp;IFERROR(VLOOKUP(O2596,EMAILS!B:D,3,FALSE),"NOT FOUND IN EMAILS")</f>
        <v/>
      </c>
      <c r="R2596" t="str">
        <f ca="1">""&amp;IFERROR(VLOOKUP(O2596,EMAILS!B:E,4,FALSE),"NO T FOUND IN EMAILS")</f>
        <v/>
      </c>
    </row>
    <row r="2597" spans="2:18" x14ac:dyDescent="0.25">
      <c r="B2597" s="5" t="s">
        <v>2599</v>
      </c>
      <c r="C2597" s="5" t="s">
        <v>6739</v>
      </c>
      <c r="D2597" s="5">
        <v>0</v>
      </c>
      <c r="E2597" s="5">
        <v>0</v>
      </c>
      <c r="F2597" s="5">
        <v>0</v>
      </c>
      <c r="G2597" s="5">
        <v>0</v>
      </c>
      <c r="H2597" s="5">
        <v>0</v>
      </c>
      <c r="I2597" s="5">
        <v>0</v>
      </c>
      <c r="J2597" s="5">
        <v>0</v>
      </c>
      <c r="K2597" s="5">
        <v>0</v>
      </c>
      <c r="L2597" s="5">
        <v>0</v>
      </c>
      <c r="M2597" s="5">
        <v>0</v>
      </c>
      <c r="N2597" s="5">
        <v>3</v>
      </c>
      <c r="O2597" s="5" t="str">
        <f t="shared" ca="1" si="40"/>
        <v>Supplier 2</v>
      </c>
      <c r="P2597" s="20" t="str">
        <f ca="1">IFERROR(VLOOKUP(O2597,EMAILS!B:C,2,FALSE),"NOT FOUND IN EMAILS")</f>
        <v>supplier@gmail.com</v>
      </c>
      <c r="Q2597" t="str">
        <f ca="1">""&amp;IFERROR(VLOOKUP(O2597,EMAILS!B:D,3,FALSE),"NOT FOUND IN EMAILS")</f>
        <v>supplier_logistics@gmail.com</v>
      </c>
      <c r="R2597" t="str">
        <f ca="1">""&amp;IFERROR(VLOOKUP(O2597,EMAILS!B:E,4,FALSE),"NO T FOUND IN EMAILS")</f>
        <v/>
      </c>
    </row>
    <row r="2598" spans="2:18" x14ac:dyDescent="0.25">
      <c r="B2598" s="5" t="s">
        <v>2600</v>
      </c>
      <c r="C2598" s="5" t="s">
        <v>6740</v>
      </c>
      <c r="D2598" s="5">
        <v>0</v>
      </c>
      <c r="E2598" s="5">
        <v>0</v>
      </c>
      <c r="F2598" s="5">
        <v>0</v>
      </c>
      <c r="G2598" s="5">
        <v>0</v>
      </c>
      <c r="H2598" s="5">
        <v>0</v>
      </c>
      <c r="I2598" s="5">
        <v>0</v>
      </c>
      <c r="J2598" s="5">
        <v>0</v>
      </c>
      <c r="K2598" s="5">
        <v>0</v>
      </c>
      <c r="L2598" s="5">
        <v>0</v>
      </c>
      <c r="M2598" s="5">
        <v>0</v>
      </c>
      <c r="N2598" s="5">
        <v>0</v>
      </c>
      <c r="O2598" s="5" t="str">
        <f t="shared" ca="1" si="40"/>
        <v>Supplier 75</v>
      </c>
      <c r="P2598" s="20" t="str">
        <f ca="1">IFERROR(VLOOKUP(O2598,EMAILS!B:C,2,FALSE),"NOT FOUND IN EMAILS")</f>
        <v>supplier@gmail.com</v>
      </c>
      <c r="Q2598" t="str">
        <f ca="1">""&amp;IFERROR(VLOOKUP(O2598,EMAILS!B:D,3,FALSE),"NOT FOUND IN EMAILS")</f>
        <v/>
      </c>
      <c r="R2598" t="str">
        <f ca="1">""&amp;IFERROR(VLOOKUP(O2598,EMAILS!B:E,4,FALSE),"NO T FOUND IN EMAILS")</f>
        <v/>
      </c>
    </row>
    <row r="2599" spans="2:18" x14ac:dyDescent="0.25">
      <c r="B2599" s="5" t="s">
        <v>2601</v>
      </c>
      <c r="C2599" s="5" t="s">
        <v>6741</v>
      </c>
      <c r="D2599" s="5">
        <v>0</v>
      </c>
      <c r="E2599" s="5">
        <v>0</v>
      </c>
      <c r="F2599" s="5">
        <v>0</v>
      </c>
      <c r="G2599" s="5">
        <v>0</v>
      </c>
      <c r="H2599" s="5">
        <v>0</v>
      </c>
      <c r="I2599" s="5">
        <v>0</v>
      </c>
      <c r="J2599" s="5">
        <v>0</v>
      </c>
      <c r="K2599" s="5">
        <v>0</v>
      </c>
      <c r="L2599" s="5">
        <v>0</v>
      </c>
      <c r="M2599" s="5">
        <v>0</v>
      </c>
      <c r="N2599" s="5">
        <v>0</v>
      </c>
      <c r="O2599" s="5" t="str">
        <f t="shared" ca="1" si="40"/>
        <v>Supplier 98</v>
      </c>
      <c r="P2599" s="20" t="str">
        <f ca="1">IFERROR(VLOOKUP(O2599,EMAILS!B:C,2,FALSE),"NOT FOUND IN EMAILS")</f>
        <v>supplier@gmail.com</v>
      </c>
      <c r="Q2599" t="str">
        <f ca="1">""&amp;IFERROR(VLOOKUP(O2599,EMAILS!B:D,3,FALSE),"NOT FOUND IN EMAILS")</f>
        <v/>
      </c>
      <c r="R2599" t="str">
        <f ca="1">""&amp;IFERROR(VLOOKUP(O2599,EMAILS!B:E,4,FALSE),"NO T FOUND IN EMAILS")</f>
        <v/>
      </c>
    </row>
    <row r="2600" spans="2:18" x14ac:dyDescent="0.25">
      <c r="B2600" s="5" t="s">
        <v>2602</v>
      </c>
      <c r="C2600" s="5" t="s">
        <v>6742</v>
      </c>
      <c r="D2600" s="5">
        <v>0</v>
      </c>
      <c r="E2600" s="5">
        <v>0</v>
      </c>
      <c r="F2600" s="5">
        <v>0</v>
      </c>
      <c r="G2600" s="5">
        <v>0</v>
      </c>
      <c r="H2600" s="5">
        <v>0</v>
      </c>
      <c r="I2600" s="5">
        <v>0</v>
      </c>
      <c r="J2600" s="5">
        <v>0</v>
      </c>
      <c r="K2600" s="5">
        <v>0</v>
      </c>
      <c r="L2600" s="5">
        <v>0</v>
      </c>
      <c r="M2600" s="5">
        <v>0</v>
      </c>
      <c r="N2600" s="5">
        <v>4</v>
      </c>
      <c r="O2600" s="5" t="str">
        <f t="shared" ca="1" si="40"/>
        <v>Supplier 60</v>
      </c>
      <c r="P2600" s="20" t="str">
        <f ca="1">IFERROR(VLOOKUP(O2600,EMAILS!B:C,2,FALSE),"NOT FOUND IN EMAILS")</f>
        <v>supplier@gmail.com</v>
      </c>
      <c r="Q2600" t="str">
        <f ca="1">""&amp;IFERROR(VLOOKUP(O2600,EMAILS!B:D,3,FALSE),"NOT FOUND IN EMAILS")</f>
        <v/>
      </c>
      <c r="R2600" t="str">
        <f ca="1">""&amp;IFERROR(VLOOKUP(O2600,EMAILS!B:E,4,FALSE),"NO T FOUND IN EMAILS")</f>
        <v/>
      </c>
    </row>
    <row r="2601" spans="2:18" x14ac:dyDescent="0.25">
      <c r="B2601" s="5" t="s">
        <v>2603</v>
      </c>
      <c r="C2601" s="5" t="s">
        <v>6743</v>
      </c>
      <c r="D2601" s="5">
        <v>0</v>
      </c>
      <c r="E2601" s="5">
        <v>0</v>
      </c>
      <c r="F2601" s="5">
        <v>0</v>
      </c>
      <c r="G2601" s="5">
        <v>0</v>
      </c>
      <c r="H2601" s="5">
        <v>0</v>
      </c>
      <c r="I2601" s="5">
        <v>0</v>
      </c>
      <c r="J2601" s="5">
        <v>0</v>
      </c>
      <c r="K2601" s="5">
        <v>0</v>
      </c>
      <c r="L2601" s="5">
        <v>0</v>
      </c>
      <c r="M2601" s="5">
        <v>0</v>
      </c>
      <c r="N2601" s="5">
        <v>0</v>
      </c>
      <c r="O2601" s="5" t="str">
        <f t="shared" ca="1" si="40"/>
        <v>Supplier 81</v>
      </c>
      <c r="P2601" s="20" t="str">
        <f ca="1">IFERROR(VLOOKUP(O2601,EMAILS!B:C,2,FALSE),"NOT FOUND IN EMAILS")</f>
        <v>supplier@gmail.com</v>
      </c>
      <c r="Q2601" t="str">
        <f ca="1">""&amp;IFERROR(VLOOKUP(O2601,EMAILS!B:D,3,FALSE),"NOT FOUND IN EMAILS")</f>
        <v/>
      </c>
      <c r="R2601" t="str">
        <f ca="1">""&amp;IFERROR(VLOOKUP(O2601,EMAILS!B:E,4,FALSE),"NO T FOUND IN EMAILS")</f>
        <v/>
      </c>
    </row>
    <row r="2602" spans="2:18" x14ac:dyDescent="0.25">
      <c r="B2602" s="5" t="s">
        <v>2604</v>
      </c>
      <c r="C2602" s="5" t="s">
        <v>6744</v>
      </c>
      <c r="D2602" s="5">
        <v>1000</v>
      </c>
      <c r="E2602" s="5">
        <v>200</v>
      </c>
      <c r="F2602" s="5">
        <v>200</v>
      </c>
      <c r="G2602" s="5">
        <v>200</v>
      </c>
      <c r="H2602" s="5">
        <v>200</v>
      </c>
      <c r="I2602" s="5">
        <v>200</v>
      </c>
      <c r="J2602" s="5">
        <v>236</v>
      </c>
      <c r="K2602" s="5">
        <v>800</v>
      </c>
      <c r="L2602" s="5">
        <v>600</v>
      </c>
      <c r="M2602" s="5">
        <v>0</v>
      </c>
      <c r="N2602" s="5">
        <v>0</v>
      </c>
      <c r="O2602" s="5" t="str">
        <f t="shared" ca="1" si="40"/>
        <v>Supplier 126</v>
      </c>
      <c r="P2602" s="20" t="str">
        <f ca="1">IFERROR(VLOOKUP(O2602,EMAILS!B:C,2,FALSE),"NOT FOUND IN EMAILS")</f>
        <v>supplier@gmail.com</v>
      </c>
      <c r="Q2602" t="str">
        <f ca="1">""&amp;IFERROR(VLOOKUP(O2602,EMAILS!B:D,3,FALSE),"NOT FOUND IN EMAILS")</f>
        <v/>
      </c>
      <c r="R2602" t="str">
        <f ca="1">""&amp;IFERROR(VLOOKUP(O2602,EMAILS!B:E,4,FALSE),"NO T FOUND IN EMAILS")</f>
        <v/>
      </c>
    </row>
    <row r="2603" spans="2:18" x14ac:dyDescent="0.25">
      <c r="B2603" s="5" t="s">
        <v>2605</v>
      </c>
      <c r="C2603" s="5" t="s">
        <v>6745</v>
      </c>
      <c r="D2603" s="5">
        <v>300</v>
      </c>
      <c r="E2603" s="5">
        <v>0</v>
      </c>
      <c r="F2603" s="5">
        <v>450</v>
      </c>
      <c r="G2603" s="5">
        <v>300</v>
      </c>
      <c r="H2603" s="5">
        <v>450</v>
      </c>
      <c r="I2603" s="5">
        <v>300</v>
      </c>
      <c r="J2603" s="5">
        <v>0</v>
      </c>
      <c r="K2603" s="5">
        <v>450</v>
      </c>
      <c r="L2603" s="5">
        <v>300</v>
      </c>
      <c r="M2603" s="5">
        <v>0</v>
      </c>
      <c r="N2603" s="5">
        <v>0</v>
      </c>
      <c r="O2603" s="5" t="str">
        <f t="shared" ca="1" si="40"/>
        <v>Supplier 93</v>
      </c>
      <c r="P2603" s="20" t="str">
        <f ca="1">IFERROR(VLOOKUP(O2603,EMAILS!B:C,2,FALSE),"NOT FOUND IN EMAILS")</f>
        <v>supplier@gmail.com</v>
      </c>
      <c r="Q2603" t="str">
        <f ca="1">""&amp;IFERROR(VLOOKUP(O2603,EMAILS!B:D,3,FALSE),"NOT FOUND IN EMAILS")</f>
        <v/>
      </c>
      <c r="R2603" t="str">
        <f ca="1">""&amp;IFERROR(VLOOKUP(O2603,EMAILS!B:E,4,FALSE),"NO T FOUND IN EMAILS")</f>
        <v/>
      </c>
    </row>
    <row r="2604" spans="2:18" x14ac:dyDescent="0.25">
      <c r="B2604" s="5" t="s">
        <v>2606</v>
      </c>
      <c r="C2604" s="5" t="s">
        <v>6746</v>
      </c>
      <c r="D2604" s="5">
        <v>600</v>
      </c>
      <c r="E2604" s="5">
        <v>600</v>
      </c>
      <c r="F2604" s="5">
        <v>600</v>
      </c>
      <c r="G2604" s="5">
        <v>600</v>
      </c>
      <c r="H2604" s="5">
        <v>600</v>
      </c>
      <c r="I2604" s="5">
        <v>600</v>
      </c>
      <c r="J2604" s="5">
        <v>400</v>
      </c>
      <c r="K2604" s="5">
        <v>600</v>
      </c>
      <c r="L2604" s="5">
        <v>300</v>
      </c>
      <c r="M2604" s="5">
        <v>0</v>
      </c>
      <c r="N2604" s="5">
        <v>0</v>
      </c>
      <c r="O2604" s="5" t="str">
        <f t="shared" ca="1" si="40"/>
        <v>Supplier 165</v>
      </c>
      <c r="P2604" s="20" t="str">
        <f ca="1">IFERROR(VLOOKUP(O2604,EMAILS!B:C,2,FALSE),"NOT FOUND IN EMAILS")</f>
        <v>supplier@gmail.com</v>
      </c>
      <c r="Q2604" t="str">
        <f ca="1">""&amp;IFERROR(VLOOKUP(O2604,EMAILS!B:D,3,FALSE),"NOT FOUND IN EMAILS")</f>
        <v/>
      </c>
      <c r="R2604" t="str">
        <f ca="1">""&amp;IFERROR(VLOOKUP(O2604,EMAILS!B:E,4,FALSE),"NO T FOUND IN EMAILS")</f>
        <v/>
      </c>
    </row>
    <row r="2605" spans="2:18" x14ac:dyDescent="0.25">
      <c r="B2605" s="5" t="s">
        <v>2607</v>
      </c>
      <c r="C2605" s="5" t="s">
        <v>6747</v>
      </c>
      <c r="D2605" s="5">
        <v>0</v>
      </c>
      <c r="E2605" s="5">
        <v>300</v>
      </c>
      <c r="F2605" s="5">
        <v>0</v>
      </c>
      <c r="G2605" s="5">
        <v>300</v>
      </c>
      <c r="H2605" s="5">
        <v>300</v>
      </c>
      <c r="I2605" s="5">
        <v>100</v>
      </c>
      <c r="J2605" s="5">
        <v>0</v>
      </c>
      <c r="K2605" s="5">
        <v>300</v>
      </c>
      <c r="L2605" s="5">
        <v>0</v>
      </c>
      <c r="M2605" s="5">
        <v>0</v>
      </c>
      <c r="N2605" s="5">
        <v>0</v>
      </c>
      <c r="O2605" s="5" t="str">
        <f t="shared" ca="1" si="40"/>
        <v>Supplier 111</v>
      </c>
      <c r="P2605" s="20" t="str">
        <f ca="1">IFERROR(VLOOKUP(O2605,EMAILS!B:C,2,FALSE),"NOT FOUND IN EMAILS")</f>
        <v>supplier@gmail.com</v>
      </c>
      <c r="Q2605" t="str">
        <f ca="1">""&amp;IFERROR(VLOOKUP(O2605,EMAILS!B:D,3,FALSE),"NOT FOUND IN EMAILS")</f>
        <v/>
      </c>
      <c r="R2605" t="str">
        <f ca="1">""&amp;IFERROR(VLOOKUP(O2605,EMAILS!B:E,4,FALSE),"NO T FOUND IN EMAILS")</f>
        <v/>
      </c>
    </row>
    <row r="2606" spans="2:18" x14ac:dyDescent="0.25">
      <c r="B2606" s="5" t="s">
        <v>2608</v>
      </c>
      <c r="C2606" s="5" t="s">
        <v>6748</v>
      </c>
      <c r="D2606" s="5">
        <v>100</v>
      </c>
      <c r="E2606" s="5">
        <v>0</v>
      </c>
      <c r="F2606" s="5">
        <v>0</v>
      </c>
      <c r="G2606" s="5">
        <v>0</v>
      </c>
      <c r="H2606" s="5">
        <v>100</v>
      </c>
      <c r="I2606" s="5">
        <v>0</v>
      </c>
      <c r="J2606" s="5">
        <v>0</v>
      </c>
      <c r="K2606" s="5">
        <v>0</v>
      </c>
      <c r="L2606" s="5">
        <v>0</v>
      </c>
      <c r="M2606" s="5">
        <v>0</v>
      </c>
      <c r="N2606" s="5">
        <v>22</v>
      </c>
      <c r="O2606" s="5" t="str">
        <f t="shared" ca="1" si="40"/>
        <v>Supplier 148</v>
      </c>
      <c r="P2606" s="20" t="str">
        <f ca="1">IFERROR(VLOOKUP(O2606,EMAILS!B:C,2,FALSE),"NOT FOUND IN EMAILS")</f>
        <v>supplier@gmail.com</v>
      </c>
      <c r="Q2606" t="str">
        <f ca="1">""&amp;IFERROR(VLOOKUP(O2606,EMAILS!B:D,3,FALSE),"NOT FOUND IN EMAILS")</f>
        <v/>
      </c>
      <c r="R2606" t="str">
        <f ca="1">""&amp;IFERROR(VLOOKUP(O2606,EMAILS!B:E,4,FALSE),"NO T FOUND IN EMAILS")</f>
        <v/>
      </c>
    </row>
    <row r="2607" spans="2:18" x14ac:dyDescent="0.25">
      <c r="B2607" s="5" t="s">
        <v>2609</v>
      </c>
      <c r="C2607" s="5" t="s">
        <v>6749</v>
      </c>
      <c r="D2607" s="5">
        <v>0</v>
      </c>
      <c r="E2607" s="5">
        <v>0</v>
      </c>
      <c r="F2607" s="5">
        <v>0</v>
      </c>
      <c r="G2607" s="5">
        <v>0</v>
      </c>
      <c r="H2607" s="5">
        <v>0</v>
      </c>
      <c r="I2607" s="5">
        <v>0</v>
      </c>
      <c r="J2607" s="5">
        <v>0</v>
      </c>
      <c r="K2607" s="5">
        <v>0</v>
      </c>
      <c r="L2607" s="5">
        <v>0</v>
      </c>
      <c r="M2607" s="5">
        <v>0</v>
      </c>
      <c r="N2607" s="5">
        <v>0</v>
      </c>
      <c r="O2607" s="5" t="str">
        <f t="shared" ca="1" si="40"/>
        <v>Supplier 64</v>
      </c>
      <c r="P2607" s="20" t="str">
        <f ca="1">IFERROR(VLOOKUP(O2607,EMAILS!B:C,2,FALSE),"NOT FOUND IN EMAILS")</f>
        <v>supplier@gmail.com</v>
      </c>
      <c r="Q2607" t="str">
        <f ca="1">""&amp;IFERROR(VLOOKUP(O2607,EMAILS!B:D,3,FALSE),"NOT FOUND IN EMAILS")</f>
        <v/>
      </c>
      <c r="R2607" t="str">
        <f ca="1">""&amp;IFERROR(VLOOKUP(O2607,EMAILS!B:E,4,FALSE),"NO T FOUND IN EMAILS")</f>
        <v/>
      </c>
    </row>
    <row r="2608" spans="2:18" x14ac:dyDescent="0.25">
      <c r="B2608" s="5" t="s">
        <v>2610</v>
      </c>
      <c r="C2608" s="5" t="s">
        <v>6750</v>
      </c>
      <c r="D2608" s="5">
        <v>0</v>
      </c>
      <c r="E2608" s="5">
        <v>0</v>
      </c>
      <c r="F2608" s="5">
        <v>0</v>
      </c>
      <c r="G2608" s="5">
        <v>800</v>
      </c>
      <c r="H2608" s="5">
        <v>400</v>
      </c>
      <c r="I2608" s="5">
        <v>0</v>
      </c>
      <c r="J2608" s="5">
        <v>200</v>
      </c>
      <c r="K2608" s="5">
        <v>1200</v>
      </c>
      <c r="L2608" s="5">
        <v>100</v>
      </c>
      <c r="M2608" s="5">
        <v>0</v>
      </c>
      <c r="N2608" s="5">
        <v>0</v>
      </c>
      <c r="O2608" s="5" t="str">
        <f t="shared" ca="1" si="40"/>
        <v>Supplier 21</v>
      </c>
      <c r="P2608" s="20" t="str">
        <f ca="1">IFERROR(VLOOKUP(O2608,EMAILS!B:C,2,FALSE),"NOT FOUND IN EMAILS")</f>
        <v>supplier@gmail.com</v>
      </c>
      <c r="Q2608" t="str">
        <f ca="1">""&amp;IFERROR(VLOOKUP(O2608,EMAILS!B:D,3,FALSE),"NOT FOUND IN EMAILS")</f>
        <v/>
      </c>
      <c r="R2608" t="str">
        <f ca="1">""&amp;IFERROR(VLOOKUP(O2608,EMAILS!B:E,4,FALSE),"NO T FOUND IN EMAILS")</f>
        <v/>
      </c>
    </row>
    <row r="2609" spans="2:18" x14ac:dyDescent="0.25">
      <c r="B2609" s="5" t="s">
        <v>2611</v>
      </c>
      <c r="C2609" s="5" t="s">
        <v>6751</v>
      </c>
      <c r="D2609" s="5">
        <v>1920</v>
      </c>
      <c r="E2609" s="5">
        <v>1600</v>
      </c>
      <c r="F2609" s="5">
        <v>2240</v>
      </c>
      <c r="G2609" s="5">
        <v>2240</v>
      </c>
      <c r="H2609" s="5">
        <v>2240</v>
      </c>
      <c r="I2609" s="5">
        <v>2240</v>
      </c>
      <c r="J2609" s="5">
        <v>1920</v>
      </c>
      <c r="K2609" s="5">
        <v>2240</v>
      </c>
      <c r="L2609" s="5">
        <v>2240</v>
      </c>
      <c r="M2609" s="5">
        <v>0</v>
      </c>
      <c r="N2609" s="5">
        <v>6268</v>
      </c>
      <c r="O2609" s="5" t="str">
        <f t="shared" ca="1" si="40"/>
        <v>Supplier 116</v>
      </c>
      <c r="P2609" s="20" t="str">
        <f ca="1">IFERROR(VLOOKUP(O2609,EMAILS!B:C,2,FALSE),"NOT FOUND IN EMAILS")</f>
        <v>supplier@gmail.com</v>
      </c>
      <c r="Q2609" t="str">
        <f ca="1">""&amp;IFERROR(VLOOKUP(O2609,EMAILS!B:D,3,FALSE),"NOT FOUND IN EMAILS")</f>
        <v/>
      </c>
      <c r="R2609" t="str">
        <f ca="1">""&amp;IFERROR(VLOOKUP(O2609,EMAILS!B:E,4,FALSE),"NO T FOUND IN EMAILS")</f>
        <v/>
      </c>
    </row>
    <row r="2610" spans="2:18" x14ac:dyDescent="0.25">
      <c r="B2610" s="5" t="s">
        <v>2612</v>
      </c>
      <c r="C2610" s="5" t="s">
        <v>6752</v>
      </c>
      <c r="D2610" s="5">
        <v>0</v>
      </c>
      <c r="E2610" s="5">
        <v>0</v>
      </c>
      <c r="F2610" s="5">
        <v>0</v>
      </c>
      <c r="G2610" s="5">
        <v>0</v>
      </c>
      <c r="H2610" s="5">
        <v>0</v>
      </c>
      <c r="I2610" s="5">
        <v>0</v>
      </c>
      <c r="J2610" s="5">
        <v>0</v>
      </c>
      <c r="K2610" s="5">
        <v>0</v>
      </c>
      <c r="L2610" s="5">
        <v>0</v>
      </c>
      <c r="M2610" s="5">
        <v>0</v>
      </c>
      <c r="N2610" s="5">
        <v>112</v>
      </c>
      <c r="O2610" s="5" t="str">
        <f t="shared" ca="1" si="40"/>
        <v>Supplier 139</v>
      </c>
      <c r="P2610" s="20" t="str">
        <f ca="1">IFERROR(VLOOKUP(O2610,EMAILS!B:C,2,FALSE),"NOT FOUND IN EMAILS")</f>
        <v>supplier@gmail.com</v>
      </c>
      <c r="Q2610" t="str">
        <f ca="1">""&amp;IFERROR(VLOOKUP(O2610,EMAILS!B:D,3,FALSE),"NOT FOUND IN EMAILS")</f>
        <v/>
      </c>
      <c r="R2610" t="str">
        <f ca="1">""&amp;IFERROR(VLOOKUP(O2610,EMAILS!B:E,4,FALSE),"NO T FOUND IN EMAILS")</f>
        <v/>
      </c>
    </row>
    <row r="2611" spans="2:18" x14ac:dyDescent="0.25">
      <c r="B2611" s="5" t="s">
        <v>2613</v>
      </c>
      <c r="C2611" s="5" t="s">
        <v>6753</v>
      </c>
      <c r="D2611" s="5">
        <v>30</v>
      </c>
      <c r="E2611" s="5">
        <v>30</v>
      </c>
      <c r="F2611" s="5">
        <v>40</v>
      </c>
      <c r="G2611" s="5">
        <v>40</v>
      </c>
      <c r="H2611" s="5">
        <v>30</v>
      </c>
      <c r="I2611" s="5">
        <v>30</v>
      </c>
      <c r="J2611" s="5">
        <v>40</v>
      </c>
      <c r="K2611" s="5">
        <v>40</v>
      </c>
      <c r="L2611" s="5">
        <v>10</v>
      </c>
      <c r="M2611" s="5">
        <v>0</v>
      </c>
      <c r="N2611" s="5">
        <v>0</v>
      </c>
      <c r="O2611" s="5" t="str">
        <f t="shared" ca="1" si="40"/>
        <v>Supplier 82</v>
      </c>
      <c r="P2611" s="20" t="str">
        <f ca="1">IFERROR(VLOOKUP(O2611,EMAILS!B:C,2,FALSE),"NOT FOUND IN EMAILS")</f>
        <v>supplier@gmail.com</v>
      </c>
      <c r="Q2611" t="str">
        <f ca="1">""&amp;IFERROR(VLOOKUP(O2611,EMAILS!B:D,3,FALSE),"NOT FOUND IN EMAILS")</f>
        <v/>
      </c>
      <c r="R2611" t="str">
        <f ca="1">""&amp;IFERROR(VLOOKUP(O2611,EMAILS!B:E,4,FALSE),"NO T FOUND IN EMAILS")</f>
        <v/>
      </c>
    </row>
    <row r="2612" spans="2:18" x14ac:dyDescent="0.25">
      <c r="B2612" s="5" t="s">
        <v>2614</v>
      </c>
      <c r="C2612" s="5" t="s">
        <v>6754</v>
      </c>
      <c r="D2612" s="5">
        <v>0</v>
      </c>
      <c r="E2612" s="5">
        <v>0</v>
      </c>
      <c r="F2612" s="5">
        <v>40</v>
      </c>
      <c r="G2612" s="5">
        <v>100</v>
      </c>
      <c r="H2612" s="5">
        <v>0</v>
      </c>
      <c r="I2612" s="5">
        <v>0</v>
      </c>
      <c r="J2612" s="5">
        <v>0</v>
      </c>
      <c r="K2612" s="5">
        <v>100</v>
      </c>
      <c r="L2612" s="5">
        <v>0</v>
      </c>
      <c r="M2612" s="5">
        <v>0</v>
      </c>
      <c r="N2612" s="5">
        <v>63</v>
      </c>
      <c r="O2612" s="5" t="str">
        <f t="shared" ca="1" si="40"/>
        <v>Supplier 57</v>
      </c>
      <c r="P2612" s="20" t="str">
        <f ca="1">IFERROR(VLOOKUP(O2612,EMAILS!B:C,2,FALSE),"NOT FOUND IN EMAILS")</f>
        <v>supplier@gmail.com</v>
      </c>
      <c r="Q2612" t="str">
        <f ca="1">""&amp;IFERROR(VLOOKUP(O2612,EMAILS!B:D,3,FALSE),"NOT FOUND IN EMAILS")</f>
        <v/>
      </c>
      <c r="R2612" t="str">
        <f ca="1">""&amp;IFERROR(VLOOKUP(O2612,EMAILS!B:E,4,FALSE),"NO T FOUND IN EMAILS")</f>
        <v/>
      </c>
    </row>
    <row r="2613" spans="2:18" x14ac:dyDescent="0.25">
      <c r="B2613" s="5" t="s">
        <v>2615</v>
      </c>
      <c r="C2613" s="5" t="s">
        <v>6755</v>
      </c>
      <c r="D2613" s="5">
        <v>0</v>
      </c>
      <c r="E2613" s="5">
        <v>0</v>
      </c>
      <c r="F2613" s="5">
        <v>0</v>
      </c>
      <c r="G2613" s="5">
        <v>0</v>
      </c>
      <c r="H2613" s="5">
        <v>0</v>
      </c>
      <c r="I2613" s="5">
        <v>0</v>
      </c>
      <c r="J2613" s="5">
        <v>0</v>
      </c>
      <c r="K2613" s="5">
        <v>0</v>
      </c>
      <c r="L2613" s="5">
        <v>0</v>
      </c>
      <c r="M2613" s="5">
        <v>0</v>
      </c>
      <c r="N2613" s="5">
        <v>0</v>
      </c>
      <c r="O2613" s="5" t="str">
        <f t="shared" ca="1" si="40"/>
        <v>Supplier 143</v>
      </c>
      <c r="P2613" s="20" t="str">
        <f ca="1">IFERROR(VLOOKUP(O2613,EMAILS!B:C,2,FALSE),"NOT FOUND IN EMAILS")</f>
        <v>supplier@gmail.com</v>
      </c>
      <c r="Q2613" t="str">
        <f ca="1">""&amp;IFERROR(VLOOKUP(O2613,EMAILS!B:D,3,FALSE),"NOT FOUND IN EMAILS")</f>
        <v/>
      </c>
      <c r="R2613" t="str">
        <f ca="1">""&amp;IFERROR(VLOOKUP(O2613,EMAILS!B:E,4,FALSE),"NO T FOUND IN EMAILS")</f>
        <v/>
      </c>
    </row>
    <row r="2614" spans="2:18" x14ac:dyDescent="0.25">
      <c r="B2614" s="5" t="s">
        <v>2616</v>
      </c>
      <c r="C2614" s="5" t="s">
        <v>6756</v>
      </c>
      <c r="D2614" s="5">
        <v>0</v>
      </c>
      <c r="E2614" s="5">
        <v>0</v>
      </c>
      <c r="F2614" s="5">
        <v>0</v>
      </c>
      <c r="G2614" s="5">
        <v>51</v>
      </c>
      <c r="H2614" s="5">
        <v>0</v>
      </c>
      <c r="I2614" s="5">
        <v>0</v>
      </c>
      <c r="J2614" s="5">
        <v>0</v>
      </c>
      <c r="K2614" s="5">
        <v>0</v>
      </c>
      <c r="L2614" s="5">
        <v>0</v>
      </c>
      <c r="M2614" s="5">
        <v>0</v>
      </c>
      <c r="N2614" s="5">
        <v>0</v>
      </c>
      <c r="O2614" s="5" t="str">
        <f t="shared" ca="1" si="40"/>
        <v>Supplier 196</v>
      </c>
      <c r="P2614" s="20" t="str">
        <f ca="1">IFERROR(VLOOKUP(O2614,EMAILS!B:C,2,FALSE),"NOT FOUND IN EMAILS")</f>
        <v>supplier@gmail.com</v>
      </c>
      <c r="Q2614" t="str">
        <f ca="1">""&amp;IFERROR(VLOOKUP(O2614,EMAILS!B:D,3,FALSE),"NOT FOUND IN EMAILS")</f>
        <v/>
      </c>
      <c r="R2614" t="str">
        <f ca="1">""&amp;IFERROR(VLOOKUP(O2614,EMAILS!B:E,4,FALSE),"NO T FOUND IN EMAILS")</f>
        <v/>
      </c>
    </row>
    <row r="2615" spans="2:18" x14ac:dyDescent="0.25">
      <c r="B2615" s="5" t="s">
        <v>2617</v>
      </c>
      <c r="C2615" s="5" t="s">
        <v>6757</v>
      </c>
      <c r="D2615" s="5">
        <v>0</v>
      </c>
      <c r="E2615" s="5">
        <v>0</v>
      </c>
      <c r="F2615" s="5">
        <v>0</v>
      </c>
      <c r="G2615" s="5">
        <v>0</v>
      </c>
      <c r="H2615" s="5">
        <v>0</v>
      </c>
      <c r="I2615" s="5">
        <v>0</v>
      </c>
      <c r="J2615" s="5">
        <v>0</v>
      </c>
      <c r="K2615" s="5">
        <v>0</v>
      </c>
      <c r="L2615" s="5">
        <v>0</v>
      </c>
      <c r="M2615" s="5">
        <v>0</v>
      </c>
      <c r="N2615" s="5">
        <v>0</v>
      </c>
      <c r="O2615" s="5" t="str">
        <f t="shared" ca="1" si="40"/>
        <v>Supplier 15</v>
      </c>
      <c r="P2615" s="20" t="str">
        <f ca="1">IFERROR(VLOOKUP(O2615,EMAILS!B:C,2,FALSE),"NOT FOUND IN EMAILS")</f>
        <v>supplier@gmail.com</v>
      </c>
      <c r="Q2615" t="str">
        <f ca="1">""&amp;IFERROR(VLOOKUP(O2615,EMAILS!B:D,3,FALSE),"NOT FOUND IN EMAILS")</f>
        <v>supplier_logistics@gmail.com</v>
      </c>
      <c r="R2615" t="str">
        <f ca="1">""&amp;IFERROR(VLOOKUP(O2615,EMAILS!B:E,4,FALSE),"NO T FOUND IN EMAILS")</f>
        <v/>
      </c>
    </row>
    <row r="2616" spans="2:18" x14ac:dyDescent="0.25">
      <c r="B2616" s="5" t="s">
        <v>2618</v>
      </c>
      <c r="C2616" s="5" t="s">
        <v>6758</v>
      </c>
      <c r="D2616" s="5">
        <v>0</v>
      </c>
      <c r="E2616" s="5">
        <v>0</v>
      </c>
      <c r="F2616" s="5">
        <v>0</v>
      </c>
      <c r="G2616" s="5">
        <v>0</v>
      </c>
      <c r="H2616" s="5">
        <v>0</v>
      </c>
      <c r="I2616" s="5">
        <v>0</v>
      </c>
      <c r="J2616" s="5">
        <v>0</v>
      </c>
      <c r="K2616" s="5">
        <v>0</v>
      </c>
      <c r="L2616" s="5">
        <v>0</v>
      </c>
      <c r="M2616" s="5">
        <v>0</v>
      </c>
      <c r="N2616" s="5">
        <v>0</v>
      </c>
      <c r="O2616" s="5" t="str">
        <f t="shared" ca="1" si="40"/>
        <v>Supplier 45</v>
      </c>
      <c r="P2616" s="20" t="str">
        <f ca="1">IFERROR(VLOOKUP(O2616,EMAILS!B:C,2,FALSE),"NOT FOUND IN EMAILS")</f>
        <v>supplier@gmail.com</v>
      </c>
      <c r="Q2616" t="str">
        <f ca="1">""&amp;IFERROR(VLOOKUP(O2616,EMAILS!B:D,3,FALSE),"NOT FOUND IN EMAILS")</f>
        <v/>
      </c>
      <c r="R2616" t="str">
        <f ca="1">""&amp;IFERROR(VLOOKUP(O2616,EMAILS!B:E,4,FALSE),"NO T FOUND IN EMAILS")</f>
        <v/>
      </c>
    </row>
    <row r="2617" spans="2:18" x14ac:dyDescent="0.25">
      <c r="B2617" s="5" t="s">
        <v>2619</v>
      </c>
      <c r="C2617" s="5" t="s">
        <v>6759</v>
      </c>
      <c r="D2617" s="5">
        <v>0</v>
      </c>
      <c r="E2617" s="5">
        <v>0</v>
      </c>
      <c r="F2617" s="5">
        <v>0</v>
      </c>
      <c r="G2617" s="5">
        <v>0</v>
      </c>
      <c r="H2617" s="5">
        <v>0</v>
      </c>
      <c r="I2617" s="5">
        <v>0</v>
      </c>
      <c r="J2617" s="5">
        <v>0</v>
      </c>
      <c r="K2617" s="5">
        <v>0</v>
      </c>
      <c r="L2617" s="5">
        <v>0</v>
      </c>
      <c r="M2617" s="5">
        <v>0</v>
      </c>
      <c r="N2617" s="5">
        <v>0</v>
      </c>
      <c r="O2617" s="5" t="str">
        <f t="shared" ca="1" si="40"/>
        <v>Supplier 163</v>
      </c>
      <c r="P2617" s="20" t="str">
        <f ca="1">IFERROR(VLOOKUP(O2617,EMAILS!B:C,2,FALSE),"NOT FOUND IN EMAILS")</f>
        <v>supplier@gmail.com</v>
      </c>
      <c r="Q2617" t="str">
        <f ca="1">""&amp;IFERROR(VLOOKUP(O2617,EMAILS!B:D,3,FALSE),"NOT FOUND IN EMAILS")</f>
        <v/>
      </c>
      <c r="R2617" t="str">
        <f ca="1">""&amp;IFERROR(VLOOKUP(O2617,EMAILS!B:E,4,FALSE),"NO T FOUND IN EMAILS")</f>
        <v/>
      </c>
    </row>
    <row r="2618" spans="2:18" x14ac:dyDescent="0.25">
      <c r="B2618" s="5" t="s">
        <v>2620</v>
      </c>
      <c r="C2618" s="5" t="s">
        <v>6760</v>
      </c>
      <c r="D2618" s="5">
        <v>0</v>
      </c>
      <c r="E2618" s="5">
        <v>0</v>
      </c>
      <c r="F2618" s="5">
        <v>0</v>
      </c>
      <c r="G2618" s="5">
        <v>0</v>
      </c>
      <c r="H2618" s="5">
        <v>0</v>
      </c>
      <c r="I2618" s="5">
        <v>0</v>
      </c>
      <c r="J2618" s="5">
        <v>0</v>
      </c>
      <c r="K2618" s="5">
        <v>0</v>
      </c>
      <c r="L2618" s="5">
        <v>0</v>
      </c>
      <c r="M2618" s="5">
        <v>0</v>
      </c>
      <c r="N2618" s="5">
        <v>0</v>
      </c>
      <c r="O2618" s="5" t="str">
        <f t="shared" ca="1" si="40"/>
        <v>Supplier 46</v>
      </c>
      <c r="P2618" s="20" t="str">
        <f ca="1">IFERROR(VLOOKUP(O2618,EMAILS!B:C,2,FALSE),"NOT FOUND IN EMAILS")</f>
        <v>supplier@gmail.com</v>
      </c>
      <c r="Q2618" t="str">
        <f ca="1">""&amp;IFERROR(VLOOKUP(O2618,EMAILS!B:D,3,FALSE),"NOT FOUND IN EMAILS")</f>
        <v/>
      </c>
      <c r="R2618" t="str">
        <f ca="1">""&amp;IFERROR(VLOOKUP(O2618,EMAILS!B:E,4,FALSE),"NO T FOUND IN EMAILS")</f>
        <v/>
      </c>
    </row>
    <row r="2619" spans="2:18" x14ac:dyDescent="0.25">
      <c r="B2619" s="5" t="s">
        <v>2621</v>
      </c>
      <c r="C2619" s="5" t="s">
        <v>6761</v>
      </c>
      <c r="D2619" s="5">
        <v>0</v>
      </c>
      <c r="E2619" s="5">
        <v>0</v>
      </c>
      <c r="F2619" s="5">
        <v>0</v>
      </c>
      <c r="G2619" s="5">
        <v>0</v>
      </c>
      <c r="H2619" s="5">
        <v>0</v>
      </c>
      <c r="I2619" s="5">
        <v>0</v>
      </c>
      <c r="J2619" s="5">
        <v>0</v>
      </c>
      <c r="K2619" s="5">
        <v>0</v>
      </c>
      <c r="L2619" s="5">
        <v>0</v>
      </c>
      <c r="M2619" s="5">
        <v>0</v>
      </c>
      <c r="N2619" s="5">
        <v>0</v>
      </c>
      <c r="O2619" s="5" t="str">
        <f t="shared" ca="1" si="40"/>
        <v>Supplier 197</v>
      </c>
      <c r="P2619" s="20" t="str">
        <f ca="1">IFERROR(VLOOKUP(O2619,EMAILS!B:C,2,FALSE),"NOT FOUND IN EMAILS")</f>
        <v>supplier@gmail.com</v>
      </c>
      <c r="Q2619" t="str">
        <f ca="1">""&amp;IFERROR(VLOOKUP(O2619,EMAILS!B:D,3,FALSE),"NOT FOUND IN EMAILS")</f>
        <v/>
      </c>
      <c r="R2619" t="str">
        <f ca="1">""&amp;IFERROR(VLOOKUP(O2619,EMAILS!B:E,4,FALSE),"NO T FOUND IN EMAILS")</f>
        <v/>
      </c>
    </row>
    <row r="2620" spans="2:18" x14ac:dyDescent="0.25">
      <c r="B2620" s="5" t="s">
        <v>2622</v>
      </c>
      <c r="C2620" s="5" t="s">
        <v>6762</v>
      </c>
      <c r="D2620" s="5">
        <v>0</v>
      </c>
      <c r="E2620" s="5">
        <v>0</v>
      </c>
      <c r="F2620" s="5">
        <v>0</v>
      </c>
      <c r="G2620" s="5">
        <v>0</v>
      </c>
      <c r="H2620" s="5">
        <v>0</v>
      </c>
      <c r="I2620" s="5">
        <v>0</v>
      </c>
      <c r="J2620" s="5">
        <v>51</v>
      </c>
      <c r="K2620" s="5">
        <v>0</v>
      </c>
      <c r="L2620" s="5">
        <v>0</v>
      </c>
      <c r="M2620" s="5">
        <v>0</v>
      </c>
      <c r="N2620" s="5">
        <v>0</v>
      </c>
      <c r="O2620" s="5" t="str">
        <f t="shared" ca="1" si="40"/>
        <v>Supplier 130</v>
      </c>
      <c r="P2620" s="20" t="str">
        <f ca="1">IFERROR(VLOOKUP(O2620,EMAILS!B:C,2,FALSE),"NOT FOUND IN EMAILS")</f>
        <v>supplier@gmail.com</v>
      </c>
      <c r="Q2620" t="str">
        <f ca="1">""&amp;IFERROR(VLOOKUP(O2620,EMAILS!B:D,3,FALSE),"NOT FOUND IN EMAILS")</f>
        <v/>
      </c>
      <c r="R2620" t="str">
        <f ca="1">""&amp;IFERROR(VLOOKUP(O2620,EMAILS!B:E,4,FALSE),"NO T FOUND IN EMAILS")</f>
        <v/>
      </c>
    </row>
    <row r="2621" spans="2:18" x14ac:dyDescent="0.25">
      <c r="B2621" s="5" t="s">
        <v>2623</v>
      </c>
      <c r="C2621" s="5" t="s">
        <v>6763</v>
      </c>
      <c r="D2621" s="5">
        <v>0</v>
      </c>
      <c r="E2621" s="5">
        <v>0</v>
      </c>
      <c r="F2621" s="5">
        <v>0</v>
      </c>
      <c r="G2621" s="5">
        <v>0</v>
      </c>
      <c r="H2621" s="5">
        <v>0</v>
      </c>
      <c r="I2621" s="5">
        <v>0</v>
      </c>
      <c r="J2621" s="5">
        <v>0</v>
      </c>
      <c r="K2621" s="5">
        <v>0</v>
      </c>
      <c r="L2621" s="5">
        <v>0</v>
      </c>
      <c r="M2621" s="5">
        <v>0</v>
      </c>
      <c r="N2621" s="5">
        <v>0</v>
      </c>
      <c r="O2621" s="5" t="str">
        <f t="shared" ca="1" si="40"/>
        <v>Supplier 178</v>
      </c>
      <c r="P2621" s="20" t="str">
        <f ca="1">IFERROR(VLOOKUP(O2621,EMAILS!B:C,2,FALSE),"NOT FOUND IN EMAILS")</f>
        <v>supplier@gmail.com</v>
      </c>
      <c r="Q2621" t="str">
        <f ca="1">""&amp;IFERROR(VLOOKUP(O2621,EMAILS!B:D,3,FALSE),"NOT FOUND IN EMAILS")</f>
        <v/>
      </c>
      <c r="R2621" t="str">
        <f ca="1">""&amp;IFERROR(VLOOKUP(O2621,EMAILS!B:E,4,FALSE),"NO T FOUND IN EMAILS")</f>
        <v/>
      </c>
    </row>
    <row r="2622" spans="2:18" x14ac:dyDescent="0.25">
      <c r="B2622" s="5" t="s">
        <v>2624</v>
      </c>
      <c r="C2622" s="5" t="s">
        <v>6764</v>
      </c>
      <c r="D2622" s="5">
        <v>0</v>
      </c>
      <c r="E2622" s="5">
        <v>0</v>
      </c>
      <c r="F2622" s="5">
        <v>0</v>
      </c>
      <c r="G2622" s="5">
        <v>51</v>
      </c>
      <c r="H2622" s="5">
        <v>0</v>
      </c>
      <c r="I2622" s="5">
        <v>0</v>
      </c>
      <c r="J2622" s="5">
        <v>0</v>
      </c>
      <c r="K2622" s="5">
        <v>0</v>
      </c>
      <c r="L2622" s="5">
        <v>0</v>
      </c>
      <c r="M2622" s="5">
        <v>0</v>
      </c>
      <c r="N2622" s="5">
        <v>0</v>
      </c>
      <c r="O2622" s="5" t="str">
        <f t="shared" ca="1" si="40"/>
        <v>Supplier 87</v>
      </c>
      <c r="P2622" s="20" t="str">
        <f ca="1">IFERROR(VLOOKUP(O2622,EMAILS!B:C,2,FALSE),"NOT FOUND IN EMAILS")</f>
        <v>supplier@gmail.com</v>
      </c>
      <c r="Q2622" t="str">
        <f ca="1">""&amp;IFERROR(VLOOKUP(O2622,EMAILS!B:D,3,FALSE),"NOT FOUND IN EMAILS")</f>
        <v/>
      </c>
      <c r="R2622" t="str">
        <f ca="1">""&amp;IFERROR(VLOOKUP(O2622,EMAILS!B:E,4,FALSE),"NO T FOUND IN EMAILS")</f>
        <v/>
      </c>
    </row>
    <row r="2623" spans="2:18" x14ac:dyDescent="0.25">
      <c r="B2623" s="5" t="s">
        <v>2625</v>
      </c>
      <c r="C2623" s="5" t="s">
        <v>6765</v>
      </c>
      <c r="D2623" s="5">
        <v>0</v>
      </c>
      <c r="E2623" s="5">
        <v>0</v>
      </c>
      <c r="F2623" s="5">
        <v>0</v>
      </c>
      <c r="G2623" s="5">
        <v>0</v>
      </c>
      <c r="H2623" s="5">
        <v>0</v>
      </c>
      <c r="I2623" s="5">
        <v>0</v>
      </c>
      <c r="J2623" s="5">
        <v>0</v>
      </c>
      <c r="K2623" s="5">
        <v>0</v>
      </c>
      <c r="L2623" s="5">
        <v>0</v>
      </c>
      <c r="M2623" s="5">
        <v>0</v>
      </c>
      <c r="N2623" s="5">
        <v>0</v>
      </c>
      <c r="O2623" s="5" t="str">
        <f t="shared" ca="1" si="40"/>
        <v>Supplier 120</v>
      </c>
      <c r="P2623" s="20" t="str">
        <f ca="1">IFERROR(VLOOKUP(O2623,EMAILS!B:C,2,FALSE),"NOT FOUND IN EMAILS")</f>
        <v>supplier@gmail.com</v>
      </c>
      <c r="Q2623" t="str">
        <f ca="1">""&amp;IFERROR(VLOOKUP(O2623,EMAILS!B:D,3,FALSE),"NOT FOUND IN EMAILS")</f>
        <v/>
      </c>
      <c r="R2623" t="str">
        <f ca="1">""&amp;IFERROR(VLOOKUP(O2623,EMAILS!B:E,4,FALSE),"NO T FOUND IN EMAILS")</f>
        <v/>
      </c>
    </row>
    <row r="2624" spans="2:18" x14ac:dyDescent="0.25">
      <c r="B2624" s="5" t="s">
        <v>2626</v>
      </c>
      <c r="C2624" s="5" t="s">
        <v>6766</v>
      </c>
      <c r="D2624" s="5">
        <v>0</v>
      </c>
      <c r="E2624" s="5">
        <v>0</v>
      </c>
      <c r="F2624" s="5">
        <v>0</v>
      </c>
      <c r="G2624" s="5">
        <v>0</v>
      </c>
      <c r="H2624" s="5">
        <v>0</v>
      </c>
      <c r="I2624" s="5">
        <v>0</v>
      </c>
      <c r="J2624" s="5">
        <v>0</v>
      </c>
      <c r="K2624" s="5">
        <v>0</v>
      </c>
      <c r="L2624" s="5">
        <v>0</v>
      </c>
      <c r="M2624" s="5">
        <v>0</v>
      </c>
      <c r="N2624" s="5">
        <v>40</v>
      </c>
      <c r="O2624" s="5" t="str">
        <f t="shared" ca="1" si="40"/>
        <v>Supplier 197</v>
      </c>
      <c r="P2624" s="20" t="str">
        <f ca="1">IFERROR(VLOOKUP(O2624,EMAILS!B:C,2,FALSE),"NOT FOUND IN EMAILS")</f>
        <v>supplier@gmail.com</v>
      </c>
      <c r="Q2624" t="str">
        <f ca="1">""&amp;IFERROR(VLOOKUP(O2624,EMAILS!B:D,3,FALSE),"NOT FOUND IN EMAILS")</f>
        <v/>
      </c>
      <c r="R2624" t="str">
        <f ca="1">""&amp;IFERROR(VLOOKUP(O2624,EMAILS!B:E,4,FALSE),"NO T FOUND IN EMAILS")</f>
        <v/>
      </c>
    </row>
    <row r="2625" spans="2:18" x14ac:dyDescent="0.25">
      <c r="B2625" s="5" t="s">
        <v>2627</v>
      </c>
      <c r="C2625" s="5" t="s">
        <v>6767</v>
      </c>
      <c r="D2625" s="5">
        <v>0</v>
      </c>
      <c r="E2625" s="5">
        <v>0</v>
      </c>
      <c r="F2625" s="5">
        <v>0</v>
      </c>
      <c r="G2625" s="5">
        <v>0</v>
      </c>
      <c r="H2625" s="5">
        <v>0</v>
      </c>
      <c r="I2625" s="5">
        <v>0</v>
      </c>
      <c r="J2625" s="5">
        <v>0</v>
      </c>
      <c r="K2625" s="5">
        <v>0</v>
      </c>
      <c r="L2625" s="5">
        <v>0</v>
      </c>
      <c r="M2625" s="5">
        <v>0</v>
      </c>
      <c r="N2625" s="5">
        <v>0</v>
      </c>
      <c r="O2625" s="5" t="str">
        <f t="shared" ca="1" si="40"/>
        <v>Supplier 58</v>
      </c>
      <c r="P2625" s="20" t="str">
        <f ca="1">IFERROR(VLOOKUP(O2625,EMAILS!B:C,2,FALSE),"NOT FOUND IN EMAILS")</f>
        <v>supplier@gmail.com</v>
      </c>
      <c r="Q2625" t="str">
        <f ca="1">""&amp;IFERROR(VLOOKUP(O2625,EMAILS!B:D,3,FALSE),"NOT FOUND IN EMAILS")</f>
        <v/>
      </c>
      <c r="R2625" t="str">
        <f ca="1">""&amp;IFERROR(VLOOKUP(O2625,EMAILS!B:E,4,FALSE),"NO T FOUND IN EMAILS")</f>
        <v/>
      </c>
    </row>
    <row r="2626" spans="2:18" x14ac:dyDescent="0.25">
      <c r="B2626" s="5" t="s">
        <v>2628</v>
      </c>
      <c r="C2626" s="5" t="s">
        <v>6768</v>
      </c>
      <c r="D2626" s="5">
        <v>0</v>
      </c>
      <c r="E2626" s="5">
        <v>0</v>
      </c>
      <c r="F2626" s="5">
        <v>0</v>
      </c>
      <c r="G2626" s="5">
        <v>0</v>
      </c>
      <c r="H2626" s="5">
        <v>0</v>
      </c>
      <c r="I2626" s="5">
        <v>0</v>
      </c>
      <c r="J2626" s="5">
        <v>0</v>
      </c>
      <c r="K2626" s="5">
        <v>0</v>
      </c>
      <c r="L2626" s="5">
        <v>0</v>
      </c>
      <c r="M2626" s="5">
        <v>0</v>
      </c>
      <c r="N2626" s="5">
        <v>0</v>
      </c>
      <c r="O2626" s="5" t="str">
        <f t="shared" ca="1" si="40"/>
        <v>Supplier 95</v>
      </c>
      <c r="P2626" s="20" t="str">
        <f ca="1">IFERROR(VLOOKUP(O2626,EMAILS!B:C,2,FALSE),"NOT FOUND IN EMAILS")</f>
        <v>supplier@gmail.com</v>
      </c>
      <c r="Q2626" t="str">
        <f ca="1">""&amp;IFERROR(VLOOKUP(O2626,EMAILS!B:D,3,FALSE),"NOT FOUND IN EMAILS")</f>
        <v/>
      </c>
      <c r="R2626" t="str">
        <f ca="1">""&amp;IFERROR(VLOOKUP(O2626,EMAILS!B:E,4,FALSE),"NO T FOUND IN EMAILS")</f>
        <v/>
      </c>
    </row>
    <row r="2627" spans="2:18" x14ac:dyDescent="0.25">
      <c r="B2627" s="5" t="s">
        <v>2629</v>
      </c>
      <c r="C2627" s="5" t="s">
        <v>6769</v>
      </c>
      <c r="D2627" s="5">
        <v>0</v>
      </c>
      <c r="E2627" s="5">
        <v>0</v>
      </c>
      <c r="F2627" s="5">
        <v>0</v>
      </c>
      <c r="G2627" s="5">
        <v>0</v>
      </c>
      <c r="H2627" s="5">
        <v>0</v>
      </c>
      <c r="I2627" s="5">
        <v>0</v>
      </c>
      <c r="J2627" s="5">
        <v>0</v>
      </c>
      <c r="K2627" s="5">
        <v>0</v>
      </c>
      <c r="L2627" s="5">
        <v>0</v>
      </c>
      <c r="M2627" s="5">
        <v>0</v>
      </c>
      <c r="N2627" s="5">
        <v>0</v>
      </c>
      <c r="O2627" s="5" t="str">
        <f t="shared" ref="O2627:O2690" ca="1" si="41">"Supplier "&amp;RANDBETWEEN(1,200)</f>
        <v>Supplier 148</v>
      </c>
      <c r="P2627" s="20" t="str">
        <f ca="1">IFERROR(VLOOKUP(O2627,EMAILS!B:C,2,FALSE),"NOT FOUND IN EMAILS")</f>
        <v>supplier@gmail.com</v>
      </c>
      <c r="Q2627" t="str">
        <f ca="1">""&amp;IFERROR(VLOOKUP(O2627,EMAILS!B:D,3,FALSE),"NOT FOUND IN EMAILS")</f>
        <v/>
      </c>
      <c r="R2627" t="str">
        <f ca="1">""&amp;IFERROR(VLOOKUP(O2627,EMAILS!B:E,4,FALSE),"NO T FOUND IN EMAILS")</f>
        <v/>
      </c>
    </row>
    <row r="2628" spans="2:18" x14ac:dyDescent="0.25">
      <c r="B2628" s="5" t="s">
        <v>2630</v>
      </c>
      <c r="C2628" s="5" t="s">
        <v>6770</v>
      </c>
      <c r="D2628" s="5">
        <v>0</v>
      </c>
      <c r="E2628" s="5">
        <v>0</v>
      </c>
      <c r="F2628" s="5">
        <v>0</v>
      </c>
      <c r="G2628" s="5">
        <v>0</v>
      </c>
      <c r="H2628" s="5">
        <v>0</v>
      </c>
      <c r="I2628" s="5">
        <v>0</v>
      </c>
      <c r="J2628" s="5">
        <v>0</v>
      </c>
      <c r="K2628" s="5">
        <v>0</v>
      </c>
      <c r="L2628" s="5">
        <v>0</v>
      </c>
      <c r="M2628" s="5">
        <v>0</v>
      </c>
      <c r="N2628" s="5">
        <v>43</v>
      </c>
      <c r="O2628" s="5" t="str">
        <f t="shared" ca="1" si="41"/>
        <v>Supplier 112</v>
      </c>
      <c r="P2628" s="20" t="str">
        <f ca="1">IFERROR(VLOOKUP(O2628,EMAILS!B:C,2,FALSE),"NOT FOUND IN EMAILS")</f>
        <v>supplier@gmail.com</v>
      </c>
      <c r="Q2628" t="str">
        <f ca="1">""&amp;IFERROR(VLOOKUP(O2628,EMAILS!B:D,3,FALSE),"NOT FOUND IN EMAILS")</f>
        <v/>
      </c>
      <c r="R2628" t="str">
        <f ca="1">""&amp;IFERROR(VLOOKUP(O2628,EMAILS!B:E,4,FALSE),"NO T FOUND IN EMAILS")</f>
        <v/>
      </c>
    </row>
    <row r="2629" spans="2:18" x14ac:dyDescent="0.25">
      <c r="B2629" s="5" t="s">
        <v>2631</v>
      </c>
      <c r="C2629" s="5" t="s">
        <v>6771</v>
      </c>
      <c r="D2629" s="5">
        <v>0</v>
      </c>
      <c r="E2629" s="5">
        <v>0</v>
      </c>
      <c r="F2629" s="5">
        <v>0</v>
      </c>
      <c r="G2629" s="5">
        <v>0</v>
      </c>
      <c r="H2629" s="5">
        <v>0</v>
      </c>
      <c r="I2629" s="5">
        <v>0</v>
      </c>
      <c r="J2629" s="5">
        <v>0</v>
      </c>
      <c r="K2629" s="5">
        <v>50</v>
      </c>
      <c r="L2629" s="5">
        <v>0</v>
      </c>
      <c r="M2629" s="5">
        <v>0</v>
      </c>
      <c r="N2629" s="5">
        <v>1220</v>
      </c>
      <c r="O2629" s="5" t="str">
        <f t="shared" ca="1" si="41"/>
        <v>Supplier 4</v>
      </c>
      <c r="P2629" s="20" t="str">
        <f ca="1">IFERROR(VLOOKUP(O2629,EMAILS!B:C,2,FALSE),"NOT FOUND IN EMAILS")</f>
        <v>supplier@gmail.com</v>
      </c>
      <c r="Q2629" t="str">
        <f ca="1">""&amp;IFERROR(VLOOKUP(O2629,EMAILS!B:D,3,FALSE),"NOT FOUND IN EMAILS")</f>
        <v>supplier_logistics@gmail.com</v>
      </c>
      <c r="R2629" t="str">
        <f ca="1">""&amp;IFERROR(VLOOKUP(O2629,EMAILS!B:E,4,FALSE),"NO T FOUND IN EMAILS")</f>
        <v/>
      </c>
    </row>
    <row r="2630" spans="2:18" x14ac:dyDescent="0.25">
      <c r="B2630" s="5" t="s">
        <v>2632</v>
      </c>
      <c r="C2630" s="5" t="s">
        <v>6772</v>
      </c>
      <c r="D2630" s="5">
        <v>0</v>
      </c>
      <c r="E2630" s="5">
        <v>0</v>
      </c>
      <c r="F2630" s="5">
        <v>0</v>
      </c>
      <c r="G2630" s="5">
        <v>0</v>
      </c>
      <c r="H2630" s="5">
        <v>50</v>
      </c>
      <c r="I2630" s="5">
        <v>0</v>
      </c>
      <c r="J2630" s="5">
        <v>0</v>
      </c>
      <c r="K2630" s="5">
        <v>0</v>
      </c>
      <c r="L2630" s="5">
        <v>0</v>
      </c>
      <c r="M2630" s="5">
        <v>0</v>
      </c>
      <c r="N2630" s="5">
        <v>2720</v>
      </c>
      <c r="O2630" s="5" t="str">
        <f t="shared" ca="1" si="41"/>
        <v>Supplier 89</v>
      </c>
      <c r="P2630" s="20" t="str">
        <f ca="1">IFERROR(VLOOKUP(O2630,EMAILS!B:C,2,FALSE),"NOT FOUND IN EMAILS")</f>
        <v>supplier@gmail.com</v>
      </c>
      <c r="Q2630" t="str">
        <f ca="1">""&amp;IFERROR(VLOOKUP(O2630,EMAILS!B:D,3,FALSE),"NOT FOUND IN EMAILS")</f>
        <v/>
      </c>
      <c r="R2630" t="str">
        <f ca="1">""&amp;IFERROR(VLOOKUP(O2630,EMAILS!B:E,4,FALSE),"NO T FOUND IN EMAILS")</f>
        <v/>
      </c>
    </row>
    <row r="2631" spans="2:18" x14ac:dyDescent="0.25">
      <c r="B2631" s="5" t="s">
        <v>2633</v>
      </c>
      <c r="C2631" s="5" t="s">
        <v>6773</v>
      </c>
      <c r="D2631" s="5">
        <v>0</v>
      </c>
      <c r="E2631" s="5">
        <v>10</v>
      </c>
      <c r="F2631" s="5">
        <v>30</v>
      </c>
      <c r="G2631" s="5">
        <v>30</v>
      </c>
      <c r="H2631" s="5">
        <v>0</v>
      </c>
      <c r="I2631" s="5">
        <v>40</v>
      </c>
      <c r="J2631" s="5">
        <v>0</v>
      </c>
      <c r="K2631" s="5">
        <v>0</v>
      </c>
      <c r="L2631" s="5">
        <v>50</v>
      </c>
      <c r="M2631" s="5">
        <v>0</v>
      </c>
      <c r="N2631" s="5">
        <v>179</v>
      </c>
      <c r="O2631" s="5" t="str">
        <f t="shared" ca="1" si="41"/>
        <v>Supplier 180</v>
      </c>
      <c r="P2631" s="20" t="str">
        <f ca="1">IFERROR(VLOOKUP(O2631,EMAILS!B:C,2,FALSE),"NOT FOUND IN EMAILS")</f>
        <v>supplier@gmail.com</v>
      </c>
      <c r="Q2631" t="str">
        <f ca="1">""&amp;IFERROR(VLOOKUP(O2631,EMAILS!B:D,3,FALSE),"NOT FOUND IN EMAILS")</f>
        <v/>
      </c>
      <c r="R2631" t="str">
        <f ca="1">""&amp;IFERROR(VLOOKUP(O2631,EMAILS!B:E,4,FALSE),"NO T FOUND IN EMAILS")</f>
        <v/>
      </c>
    </row>
    <row r="2632" spans="2:18" x14ac:dyDescent="0.25">
      <c r="B2632" s="5" t="s">
        <v>2634</v>
      </c>
      <c r="C2632" s="5" t="s">
        <v>6774</v>
      </c>
      <c r="D2632" s="5">
        <v>90</v>
      </c>
      <c r="E2632" s="5">
        <v>0</v>
      </c>
      <c r="F2632" s="5">
        <v>30</v>
      </c>
      <c r="G2632" s="5">
        <v>0</v>
      </c>
      <c r="H2632" s="5">
        <v>30</v>
      </c>
      <c r="I2632" s="5">
        <v>0</v>
      </c>
      <c r="J2632" s="5">
        <v>10</v>
      </c>
      <c r="K2632" s="5">
        <v>0</v>
      </c>
      <c r="L2632" s="5">
        <v>0</v>
      </c>
      <c r="M2632" s="5">
        <v>0</v>
      </c>
      <c r="N2632" s="5">
        <v>500</v>
      </c>
      <c r="O2632" s="5" t="str">
        <f t="shared" ca="1" si="41"/>
        <v>Supplier 84</v>
      </c>
      <c r="P2632" s="20" t="str">
        <f ca="1">IFERROR(VLOOKUP(O2632,EMAILS!B:C,2,FALSE),"NOT FOUND IN EMAILS")</f>
        <v>supplier@gmail.com</v>
      </c>
      <c r="Q2632" t="str">
        <f ca="1">""&amp;IFERROR(VLOOKUP(O2632,EMAILS!B:D,3,FALSE),"NOT FOUND IN EMAILS")</f>
        <v/>
      </c>
      <c r="R2632" t="str">
        <f ca="1">""&amp;IFERROR(VLOOKUP(O2632,EMAILS!B:E,4,FALSE),"NO T FOUND IN EMAILS")</f>
        <v/>
      </c>
    </row>
    <row r="2633" spans="2:18" x14ac:dyDescent="0.25">
      <c r="B2633" s="5" t="s">
        <v>2635</v>
      </c>
      <c r="C2633" s="5" t="s">
        <v>6775</v>
      </c>
      <c r="D2633" s="5">
        <v>0</v>
      </c>
      <c r="E2633" s="5">
        <v>0</v>
      </c>
      <c r="F2633" s="5">
        <v>0</v>
      </c>
      <c r="G2633" s="5">
        <v>0</v>
      </c>
      <c r="H2633" s="5">
        <v>0</v>
      </c>
      <c r="I2633" s="5">
        <v>0</v>
      </c>
      <c r="J2633" s="5">
        <v>10</v>
      </c>
      <c r="K2633" s="5">
        <v>0</v>
      </c>
      <c r="L2633" s="5">
        <v>20</v>
      </c>
      <c r="M2633" s="5">
        <v>0</v>
      </c>
      <c r="N2633" s="5">
        <v>1510</v>
      </c>
      <c r="O2633" s="5" t="str">
        <f t="shared" ca="1" si="41"/>
        <v>Supplier 163</v>
      </c>
      <c r="P2633" s="20" t="str">
        <f ca="1">IFERROR(VLOOKUP(O2633,EMAILS!B:C,2,FALSE),"NOT FOUND IN EMAILS")</f>
        <v>supplier@gmail.com</v>
      </c>
      <c r="Q2633" t="str">
        <f ca="1">""&amp;IFERROR(VLOOKUP(O2633,EMAILS!B:D,3,FALSE),"NOT FOUND IN EMAILS")</f>
        <v/>
      </c>
      <c r="R2633" t="str">
        <f ca="1">""&amp;IFERROR(VLOOKUP(O2633,EMAILS!B:E,4,FALSE),"NO T FOUND IN EMAILS")</f>
        <v/>
      </c>
    </row>
    <row r="2634" spans="2:18" x14ac:dyDescent="0.25">
      <c r="B2634" s="5" t="s">
        <v>2636</v>
      </c>
      <c r="C2634" s="5" t="s">
        <v>6776</v>
      </c>
      <c r="D2634" s="5">
        <v>10</v>
      </c>
      <c r="E2634" s="5">
        <v>0</v>
      </c>
      <c r="F2634" s="5">
        <v>0</v>
      </c>
      <c r="G2634" s="5">
        <v>10</v>
      </c>
      <c r="H2634" s="5">
        <v>0</v>
      </c>
      <c r="I2634" s="5">
        <v>0</v>
      </c>
      <c r="J2634" s="5">
        <v>0</v>
      </c>
      <c r="K2634" s="5">
        <v>0</v>
      </c>
      <c r="L2634" s="5">
        <v>0</v>
      </c>
      <c r="M2634" s="5">
        <v>0</v>
      </c>
      <c r="N2634" s="5">
        <v>436</v>
      </c>
      <c r="O2634" s="5" t="str">
        <f t="shared" ca="1" si="41"/>
        <v>Supplier 10</v>
      </c>
      <c r="P2634" s="20" t="str">
        <f ca="1">IFERROR(VLOOKUP(O2634,EMAILS!B:C,2,FALSE),"NOT FOUND IN EMAILS")</f>
        <v>supplier@gmail.com</v>
      </c>
      <c r="Q2634" t="str">
        <f ca="1">""&amp;IFERROR(VLOOKUP(O2634,EMAILS!B:D,3,FALSE),"NOT FOUND IN EMAILS")</f>
        <v>supplier_logistics@gmail.com</v>
      </c>
      <c r="R2634" t="str">
        <f ca="1">""&amp;IFERROR(VLOOKUP(O2634,EMAILS!B:E,4,FALSE),"NO T FOUND IN EMAILS")</f>
        <v/>
      </c>
    </row>
    <row r="2635" spans="2:18" x14ac:dyDescent="0.25">
      <c r="B2635" s="5" t="s">
        <v>2637</v>
      </c>
      <c r="C2635" s="5" t="s">
        <v>6777</v>
      </c>
      <c r="D2635" s="5">
        <v>300</v>
      </c>
      <c r="E2635" s="5">
        <v>0</v>
      </c>
      <c r="F2635" s="5">
        <v>0</v>
      </c>
      <c r="G2635" s="5">
        <v>0</v>
      </c>
      <c r="H2635" s="5">
        <v>0</v>
      </c>
      <c r="I2635" s="5">
        <v>0</v>
      </c>
      <c r="J2635" s="5">
        <v>300</v>
      </c>
      <c r="K2635" s="5">
        <v>0</v>
      </c>
      <c r="L2635" s="5">
        <v>0</v>
      </c>
      <c r="M2635" s="5">
        <v>0</v>
      </c>
      <c r="N2635" s="5">
        <v>26550</v>
      </c>
      <c r="O2635" s="5" t="str">
        <f t="shared" ca="1" si="41"/>
        <v>Supplier 168</v>
      </c>
      <c r="P2635" s="20" t="str">
        <f ca="1">IFERROR(VLOOKUP(O2635,EMAILS!B:C,2,FALSE),"NOT FOUND IN EMAILS")</f>
        <v>supplier@gmail.com</v>
      </c>
      <c r="Q2635" t="str">
        <f ca="1">""&amp;IFERROR(VLOOKUP(O2635,EMAILS!B:D,3,FALSE),"NOT FOUND IN EMAILS")</f>
        <v/>
      </c>
      <c r="R2635" t="str">
        <f ca="1">""&amp;IFERROR(VLOOKUP(O2635,EMAILS!B:E,4,FALSE),"NO T FOUND IN EMAILS")</f>
        <v/>
      </c>
    </row>
    <row r="2636" spans="2:18" x14ac:dyDescent="0.25">
      <c r="B2636" s="5" t="s">
        <v>2638</v>
      </c>
      <c r="C2636" s="5" t="s">
        <v>6778</v>
      </c>
      <c r="D2636" s="5">
        <v>1852</v>
      </c>
      <c r="E2636" s="5">
        <v>885</v>
      </c>
      <c r="F2636" s="5">
        <v>1592</v>
      </c>
      <c r="G2636" s="5">
        <v>1804</v>
      </c>
      <c r="H2636" s="5">
        <v>1260</v>
      </c>
      <c r="I2636" s="5">
        <v>1547</v>
      </c>
      <c r="J2636" s="5">
        <v>492</v>
      </c>
      <c r="K2636" s="5">
        <v>984</v>
      </c>
      <c r="L2636" s="5">
        <v>820</v>
      </c>
      <c r="M2636" s="5">
        <v>0</v>
      </c>
      <c r="N2636" s="5">
        <v>77</v>
      </c>
      <c r="O2636" s="5" t="str">
        <f t="shared" ca="1" si="41"/>
        <v>Supplier 75</v>
      </c>
      <c r="P2636" s="20" t="str">
        <f ca="1">IFERROR(VLOOKUP(O2636,EMAILS!B:C,2,FALSE),"NOT FOUND IN EMAILS")</f>
        <v>supplier@gmail.com</v>
      </c>
      <c r="Q2636" t="str">
        <f ca="1">""&amp;IFERROR(VLOOKUP(O2636,EMAILS!B:D,3,FALSE),"NOT FOUND IN EMAILS")</f>
        <v/>
      </c>
      <c r="R2636" t="str">
        <f ca="1">""&amp;IFERROR(VLOOKUP(O2636,EMAILS!B:E,4,FALSE),"NO T FOUND IN EMAILS")</f>
        <v/>
      </c>
    </row>
    <row r="2637" spans="2:18" x14ac:dyDescent="0.25">
      <c r="B2637" s="5" t="s">
        <v>2639</v>
      </c>
      <c r="C2637" s="5" t="s">
        <v>6779</v>
      </c>
      <c r="D2637" s="5">
        <v>0</v>
      </c>
      <c r="E2637" s="5">
        <v>0</v>
      </c>
      <c r="F2637" s="5">
        <v>0</v>
      </c>
      <c r="G2637" s="5">
        <v>0</v>
      </c>
      <c r="H2637" s="5">
        <v>0</v>
      </c>
      <c r="I2637" s="5">
        <v>0</v>
      </c>
      <c r="J2637" s="5">
        <v>0</v>
      </c>
      <c r="K2637" s="5">
        <v>0</v>
      </c>
      <c r="L2637" s="5">
        <v>0</v>
      </c>
      <c r="M2637" s="5">
        <v>0</v>
      </c>
      <c r="N2637" s="5">
        <v>373</v>
      </c>
      <c r="O2637" s="5" t="str">
        <f t="shared" ca="1" si="41"/>
        <v>Supplier 50</v>
      </c>
      <c r="P2637" s="20" t="str">
        <f ca="1">IFERROR(VLOOKUP(O2637,EMAILS!B:C,2,FALSE),"NOT FOUND IN EMAILS")</f>
        <v>supplier@gmail.com</v>
      </c>
      <c r="Q2637" t="str">
        <f ca="1">""&amp;IFERROR(VLOOKUP(O2637,EMAILS!B:D,3,FALSE),"NOT FOUND IN EMAILS")</f>
        <v/>
      </c>
      <c r="R2637" t="str">
        <f ca="1">""&amp;IFERROR(VLOOKUP(O2637,EMAILS!B:E,4,FALSE),"NO T FOUND IN EMAILS")</f>
        <v/>
      </c>
    </row>
    <row r="2638" spans="2:18" x14ac:dyDescent="0.25">
      <c r="B2638" s="5" t="s">
        <v>2640</v>
      </c>
      <c r="C2638" s="5" t="s">
        <v>6780</v>
      </c>
      <c r="D2638" s="5">
        <v>0</v>
      </c>
      <c r="E2638" s="5">
        <v>0</v>
      </c>
      <c r="F2638" s="5">
        <v>0</v>
      </c>
      <c r="G2638" s="5">
        <v>10</v>
      </c>
      <c r="H2638" s="5">
        <v>0</v>
      </c>
      <c r="I2638" s="5">
        <v>2</v>
      </c>
      <c r="J2638" s="5">
        <v>0</v>
      </c>
      <c r="K2638" s="5">
        <v>0</v>
      </c>
      <c r="L2638" s="5">
        <v>0</v>
      </c>
      <c r="M2638" s="5">
        <v>0</v>
      </c>
      <c r="N2638" s="5">
        <v>1120</v>
      </c>
      <c r="O2638" s="5" t="str">
        <f t="shared" ca="1" si="41"/>
        <v>Supplier 17</v>
      </c>
      <c r="P2638" s="20" t="str">
        <f ca="1">IFERROR(VLOOKUP(O2638,EMAILS!B:C,2,FALSE),"NOT FOUND IN EMAILS")</f>
        <v>supplier@gmail.com</v>
      </c>
      <c r="Q2638" t="str">
        <f ca="1">""&amp;IFERROR(VLOOKUP(O2638,EMAILS!B:D,3,FALSE),"NOT FOUND IN EMAILS")</f>
        <v>supplier_logistics@gmail.com</v>
      </c>
      <c r="R2638" t="str">
        <f ca="1">""&amp;IFERROR(VLOOKUP(O2638,EMAILS!B:E,4,FALSE),"NO T FOUND IN EMAILS")</f>
        <v/>
      </c>
    </row>
    <row r="2639" spans="2:18" x14ac:dyDescent="0.25">
      <c r="B2639" s="5" t="s">
        <v>2641</v>
      </c>
      <c r="C2639" s="5" t="s">
        <v>6781</v>
      </c>
      <c r="D2639" s="5">
        <v>0</v>
      </c>
      <c r="E2639" s="5">
        <v>360</v>
      </c>
      <c r="F2639" s="5">
        <v>0</v>
      </c>
      <c r="G2639" s="5">
        <v>0</v>
      </c>
      <c r="H2639" s="5">
        <v>240</v>
      </c>
      <c r="I2639" s="5">
        <v>120</v>
      </c>
      <c r="J2639" s="5">
        <v>60</v>
      </c>
      <c r="K2639" s="5">
        <v>0</v>
      </c>
      <c r="L2639" s="5">
        <v>240</v>
      </c>
      <c r="M2639" s="5">
        <v>0</v>
      </c>
      <c r="N2639" s="5">
        <v>2800</v>
      </c>
      <c r="O2639" s="5" t="str">
        <f t="shared" ca="1" si="41"/>
        <v>Supplier 142</v>
      </c>
      <c r="P2639" s="20" t="str">
        <f ca="1">IFERROR(VLOOKUP(O2639,EMAILS!B:C,2,FALSE),"NOT FOUND IN EMAILS")</f>
        <v>supplier@gmail.com</v>
      </c>
      <c r="Q2639" t="str">
        <f ca="1">""&amp;IFERROR(VLOOKUP(O2639,EMAILS!B:D,3,FALSE),"NOT FOUND IN EMAILS")</f>
        <v/>
      </c>
      <c r="R2639" t="str">
        <f ca="1">""&amp;IFERROR(VLOOKUP(O2639,EMAILS!B:E,4,FALSE),"NO T FOUND IN EMAILS")</f>
        <v/>
      </c>
    </row>
    <row r="2640" spans="2:18" x14ac:dyDescent="0.25">
      <c r="B2640" s="5" t="s">
        <v>2642</v>
      </c>
      <c r="C2640" s="5" t="s">
        <v>6782</v>
      </c>
      <c r="D2640" s="5">
        <v>328</v>
      </c>
      <c r="E2640" s="5">
        <v>400</v>
      </c>
      <c r="F2640" s="5">
        <v>656</v>
      </c>
      <c r="G2640" s="5">
        <v>656</v>
      </c>
      <c r="H2640" s="5">
        <v>1044</v>
      </c>
      <c r="I2640" s="5">
        <v>656</v>
      </c>
      <c r="J2640" s="5">
        <v>164</v>
      </c>
      <c r="K2640" s="5">
        <v>0</v>
      </c>
      <c r="L2640" s="5">
        <v>328</v>
      </c>
      <c r="M2640" s="5">
        <v>0</v>
      </c>
      <c r="N2640" s="5">
        <v>339</v>
      </c>
      <c r="O2640" s="5" t="str">
        <f t="shared" ca="1" si="41"/>
        <v>Supplier 61</v>
      </c>
      <c r="P2640" s="20" t="str">
        <f ca="1">IFERROR(VLOOKUP(O2640,EMAILS!B:C,2,FALSE),"NOT FOUND IN EMAILS")</f>
        <v>supplier@gmail.com</v>
      </c>
      <c r="Q2640" t="str">
        <f ca="1">""&amp;IFERROR(VLOOKUP(O2640,EMAILS!B:D,3,FALSE),"NOT FOUND IN EMAILS")</f>
        <v/>
      </c>
      <c r="R2640" t="str">
        <f ca="1">""&amp;IFERROR(VLOOKUP(O2640,EMAILS!B:E,4,FALSE),"NO T FOUND IN EMAILS")</f>
        <v/>
      </c>
    </row>
    <row r="2641" spans="2:18" x14ac:dyDescent="0.25">
      <c r="B2641" s="5" t="s">
        <v>2643</v>
      </c>
      <c r="C2641" s="5" t="s">
        <v>6783</v>
      </c>
      <c r="D2641" s="5">
        <v>0</v>
      </c>
      <c r="E2641" s="5">
        <v>0</v>
      </c>
      <c r="F2641" s="5">
        <v>0</v>
      </c>
      <c r="G2641" s="5">
        <v>0</v>
      </c>
      <c r="H2641" s="5">
        <v>0</v>
      </c>
      <c r="I2641" s="5">
        <v>0</v>
      </c>
      <c r="J2641" s="5">
        <v>0</v>
      </c>
      <c r="K2641" s="5">
        <v>0</v>
      </c>
      <c r="L2641" s="5">
        <v>0</v>
      </c>
      <c r="M2641" s="5">
        <v>0</v>
      </c>
      <c r="N2641" s="5">
        <v>17</v>
      </c>
      <c r="O2641" s="5" t="str">
        <f t="shared" ca="1" si="41"/>
        <v>Supplier 132</v>
      </c>
      <c r="P2641" s="20" t="str">
        <f ca="1">IFERROR(VLOOKUP(O2641,EMAILS!B:C,2,FALSE),"NOT FOUND IN EMAILS")</f>
        <v>supplier@gmail.com</v>
      </c>
      <c r="Q2641" t="str">
        <f ca="1">""&amp;IFERROR(VLOOKUP(O2641,EMAILS!B:D,3,FALSE),"NOT FOUND IN EMAILS")</f>
        <v/>
      </c>
      <c r="R2641" t="str">
        <f ca="1">""&amp;IFERROR(VLOOKUP(O2641,EMAILS!B:E,4,FALSE),"NO T FOUND IN EMAILS")</f>
        <v/>
      </c>
    </row>
    <row r="2642" spans="2:18" x14ac:dyDescent="0.25">
      <c r="B2642" s="5" t="s">
        <v>2644</v>
      </c>
      <c r="C2642" s="5" t="s">
        <v>6784</v>
      </c>
      <c r="D2642" s="5">
        <v>0</v>
      </c>
      <c r="E2642" s="5">
        <v>0</v>
      </c>
      <c r="F2642" s="5">
        <v>0</v>
      </c>
      <c r="G2642" s="5">
        <v>0</v>
      </c>
      <c r="H2642" s="5">
        <v>0</v>
      </c>
      <c r="I2642" s="5">
        <v>0</v>
      </c>
      <c r="J2642" s="5">
        <v>0</v>
      </c>
      <c r="K2642" s="5">
        <v>0</v>
      </c>
      <c r="L2642" s="5">
        <v>0</v>
      </c>
      <c r="M2642" s="5">
        <v>0</v>
      </c>
      <c r="N2642" s="5">
        <v>1</v>
      </c>
      <c r="O2642" s="5" t="str">
        <f t="shared" ca="1" si="41"/>
        <v>Supplier 163</v>
      </c>
      <c r="P2642" s="20" t="str">
        <f ca="1">IFERROR(VLOOKUP(O2642,EMAILS!B:C,2,FALSE),"NOT FOUND IN EMAILS")</f>
        <v>supplier@gmail.com</v>
      </c>
      <c r="Q2642" t="str">
        <f ca="1">""&amp;IFERROR(VLOOKUP(O2642,EMAILS!B:D,3,FALSE),"NOT FOUND IN EMAILS")</f>
        <v/>
      </c>
      <c r="R2642" t="str">
        <f ca="1">""&amp;IFERROR(VLOOKUP(O2642,EMAILS!B:E,4,FALSE),"NO T FOUND IN EMAILS")</f>
        <v/>
      </c>
    </row>
    <row r="2643" spans="2:18" x14ac:dyDescent="0.25">
      <c r="B2643" s="5" t="s">
        <v>2645</v>
      </c>
      <c r="C2643" s="5" t="s">
        <v>6785</v>
      </c>
      <c r="D2643" s="5">
        <v>0</v>
      </c>
      <c r="E2643" s="5">
        <v>0</v>
      </c>
      <c r="F2643" s="5">
        <v>0</v>
      </c>
      <c r="G2643" s="5">
        <v>0</v>
      </c>
      <c r="H2643" s="5">
        <v>0</v>
      </c>
      <c r="I2643" s="5">
        <v>0</v>
      </c>
      <c r="J2643" s="5">
        <v>0</v>
      </c>
      <c r="K2643" s="5">
        <v>0</v>
      </c>
      <c r="L2643" s="5">
        <v>0</v>
      </c>
      <c r="M2643" s="5">
        <v>0</v>
      </c>
      <c r="N2643" s="5">
        <v>57</v>
      </c>
      <c r="O2643" s="5" t="str">
        <f t="shared" ca="1" si="41"/>
        <v>Supplier 47</v>
      </c>
      <c r="P2643" s="20" t="str">
        <f ca="1">IFERROR(VLOOKUP(O2643,EMAILS!B:C,2,FALSE),"NOT FOUND IN EMAILS")</f>
        <v>supplier@gmail.com</v>
      </c>
      <c r="Q2643" t="str">
        <f ca="1">""&amp;IFERROR(VLOOKUP(O2643,EMAILS!B:D,3,FALSE),"NOT FOUND IN EMAILS")</f>
        <v/>
      </c>
      <c r="R2643" t="str">
        <f ca="1">""&amp;IFERROR(VLOOKUP(O2643,EMAILS!B:E,4,FALSE),"NO T FOUND IN EMAILS")</f>
        <v/>
      </c>
    </row>
    <row r="2644" spans="2:18" x14ac:dyDescent="0.25">
      <c r="B2644" s="5" t="s">
        <v>2646</v>
      </c>
      <c r="C2644" s="5" t="s">
        <v>6786</v>
      </c>
      <c r="D2644" s="5">
        <v>3</v>
      </c>
      <c r="E2644" s="5">
        <v>0</v>
      </c>
      <c r="F2644" s="5">
        <v>33</v>
      </c>
      <c r="G2644" s="5">
        <v>17</v>
      </c>
      <c r="H2644" s="5">
        <v>9</v>
      </c>
      <c r="I2644" s="5">
        <v>0</v>
      </c>
      <c r="J2644" s="5">
        <v>6</v>
      </c>
      <c r="K2644" s="5">
        <v>15</v>
      </c>
      <c r="L2644" s="5">
        <v>0</v>
      </c>
      <c r="M2644" s="5">
        <v>0</v>
      </c>
      <c r="N2644" s="5">
        <v>2081</v>
      </c>
      <c r="O2644" s="5" t="str">
        <f t="shared" ca="1" si="41"/>
        <v>Supplier 36</v>
      </c>
      <c r="P2644" s="20" t="str">
        <f ca="1">IFERROR(VLOOKUP(O2644,EMAILS!B:C,2,FALSE),"NOT FOUND IN EMAILS")</f>
        <v>supplier@gmail.com</v>
      </c>
      <c r="Q2644" t="str">
        <f ca="1">""&amp;IFERROR(VLOOKUP(O2644,EMAILS!B:D,3,FALSE),"NOT FOUND IN EMAILS")</f>
        <v/>
      </c>
      <c r="R2644" t="str">
        <f ca="1">""&amp;IFERROR(VLOOKUP(O2644,EMAILS!B:E,4,FALSE),"NO T FOUND IN EMAILS")</f>
        <v/>
      </c>
    </row>
    <row r="2645" spans="2:18" x14ac:dyDescent="0.25">
      <c r="B2645" s="5" t="s">
        <v>2647</v>
      </c>
      <c r="C2645" s="5" t="s">
        <v>6787</v>
      </c>
      <c r="D2645" s="5">
        <v>1272</v>
      </c>
      <c r="E2645" s="5">
        <v>522</v>
      </c>
      <c r="F2645" s="5">
        <v>706</v>
      </c>
      <c r="G2645" s="5">
        <v>820</v>
      </c>
      <c r="H2645" s="5">
        <v>580</v>
      </c>
      <c r="I2645" s="5">
        <v>895</v>
      </c>
      <c r="J2645" s="5">
        <v>328</v>
      </c>
      <c r="K2645" s="5">
        <v>656</v>
      </c>
      <c r="L2645" s="5">
        <v>656</v>
      </c>
      <c r="M2645" s="5">
        <v>0</v>
      </c>
      <c r="N2645" s="5">
        <v>982</v>
      </c>
      <c r="O2645" s="5" t="str">
        <f t="shared" ca="1" si="41"/>
        <v>Supplier 194</v>
      </c>
      <c r="P2645" s="20" t="str">
        <f ca="1">IFERROR(VLOOKUP(O2645,EMAILS!B:C,2,FALSE),"NOT FOUND IN EMAILS")</f>
        <v>supplier@gmail.com</v>
      </c>
      <c r="Q2645" t="str">
        <f ca="1">""&amp;IFERROR(VLOOKUP(O2645,EMAILS!B:D,3,FALSE),"NOT FOUND IN EMAILS")</f>
        <v/>
      </c>
      <c r="R2645" t="str">
        <f ca="1">""&amp;IFERROR(VLOOKUP(O2645,EMAILS!B:E,4,FALSE),"NO T FOUND IN EMAILS")</f>
        <v/>
      </c>
    </row>
    <row r="2646" spans="2:18" x14ac:dyDescent="0.25">
      <c r="B2646" s="5" t="s">
        <v>2648</v>
      </c>
      <c r="C2646" s="5" t="s">
        <v>6788</v>
      </c>
      <c r="D2646" s="5">
        <v>88</v>
      </c>
      <c r="E2646" s="5">
        <v>35</v>
      </c>
      <c r="F2646" s="5">
        <v>200</v>
      </c>
      <c r="G2646" s="5">
        <v>0</v>
      </c>
      <c r="H2646" s="5">
        <v>188</v>
      </c>
      <c r="I2646" s="5">
        <v>324</v>
      </c>
      <c r="J2646" s="5">
        <v>0</v>
      </c>
      <c r="K2646" s="5">
        <v>0</v>
      </c>
      <c r="L2646" s="5">
        <v>0</v>
      </c>
      <c r="M2646" s="5">
        <v>0</v>
      </c>
      <c r="N2646" s="5">
        <v>1925</v>
      </c>
      <c r="O2646" s="5" t="str">
        <f t="shared" ca="1" si="41"/>
        <v>Supplier 152</v>
      </c>
      <c r="P2646" s="20" t="str">
        <f ca="1">IFERROR(VLOOKUP(O2646,EMAILS!B:C,2,FALSE),"NOT FOUND IN EMAILS")</f>
        <v>supplier@gmail.com</v>
      </c>
      <c r="Q2646" t="str">
        <f ca="1">""&amp;IFERROR(VLOOKUP(O2646,EMAILS!B:D,3,FALSE),"NOT FOUND IN EMAILS")</f>
        <v/>
      </c>
      <c r="R2646" t="str">
        <f ca="1">""&amp;IFERROR(VLOOKUP(O2646,EMAILS!B:E,4,FALSE),"NO T FOUND IN EMAILS")</f>
        <v/>
      </c>
    </row>
    <row r="2647" spans="2:18" x14ac:dyDescent="0.25">
      <c r="B2647" s="5" t="s">
        <v>2649</v>
      </c>
      <c r="C2647" s="5" t="s">
        <v>6789</v>
      </c>
      <c r="D2647" s="5">
        <v>492</v>
      </c>
      <c r="E2647" s="5">
        <v>328</v>
      </c>
      <c r="F2647" s="5">
        <v>686</v>
      </c>
      <c r="G2647" s="5">
        <v>984</v>
      </c>
      <c r="H2647" s="5">
        <v>492</v>
      </c>
      <c r="I2647" s="5">
        <v>328</v>
      </c>
      <c r="J2647" s="5">
        <v>164</v>
      </c>
      <c r="K2647" s="5">
        <v>328</v>
      </c>
      <c r="L2647" s="5">
        <v>164</v>
      </c>
      <c r="M2647" s="5">
        <v>0</v>
      </c>
      <c r="N2647" s="5">
        <v>2000</v>
      </c>
      <c r="O2647" s="5" t="str">
        <f t="shared" ca="1" si="41"/>
        <v>Supplier 110</v>
      </c>
      <c r="P2647" s="20" t="str">
        <f ca="1">IFERROR(VLOOKUP(O2647,EMAILS!B:C,2,FALSE),"NOT FOUND IN EMAILS")</f>
        <v>supplier@gmail.com</v>
      </c>
      <c r="Q2647" t="str">
        <f ca="1">""&amp;IFERROR(VLOOKUP(O2647,EMAILS!B:D,3,FALSE),"NOT FOUND IN EMAILS")</f>
        <v/>
      </c>
      <c r="R2647" t="str">
        <f ca="1">""&amp;IFERROR(VLOOKUP(O2647,EMAILS!B:E,4,FALSE),"NO T FOUND IN EMAILS")</f>
        <v/>
      </c>
    </row>
    <row r="2648" spans="2:18" x14ac:dyDescent="0.25">
      <c r="B2648" s="5" t="s">
        <v>2650</v>
      </c>
      <c r="C2648" s="5" t="s">
        <v>6790</v>
      </c>
      <c r="D2648" s="5">
        <v>0</v>
      </c>
      <c r="E2648" s="5">
        <v>0</v>
      </c>
      <c r="F2648" s="5">
        <v>0</v>
      </c>
      <c r="G2648" s="5">
        <v>0</v>
      </c>
      <c r="H2648" s="5">
        <v>0</v>
      </c>
      <c r="I2648" s="5">
        <v>0</v>
      </c>
      <c r="J2648" s="5">
        <v>0</v>
      </c>
      <c r="K2648" s="5">
        <v>0</v>
      </c>
      <c r="L2648" s="5">
        <v>1000</v>
      </c>
      <c r="M2648" s="5">
        <v>0</v>
      </c>
      <c r="N2648" s="5">
        <v>190</v>
      </c>
      <c r="O2648" s="5" t="str">
        <f t="shared" ca="1" si="41"/>
        <v>Supplier 166</v>
      </c>
      <c r="P2648" s="20" t="str">
        <f ca="1">IFERROR(VLOOKUP(O2648,EMAILS!B:C,2,FALSE),"NOT FOUND IN EMAILS")</f>
        <v>supplier@gmail.com</v>
      </c>
      <c r="Q2648" t="str">
        <f ca="1">""&amp;IFERROR(VLOOKUP(O2648,EMAILS!B:D,3,FALSE),"NOT FOUND IN EMAILS")</f>
        <v/>
      </c>
      <c r="R2648" t="str">
        <f ca="1">""&amp;IFERROR(VLOOKUP(O2648,EMAILS!B:E,4,FALSE),"NO T FOUND IN EMAILS")</f>
        <v/>
      </c>
    </row>
    <row r="2649" spans="2:18" x14ac:dyDescent="0.25">
      <c r="B2649" s="5" t="s">
        <v>2651</v>
      </c>
      <c r="C2649" s="5" t="s">
        <v>6791</v>
      </c>
      <c r="D2649" s="5">
        <v>0</v>
      </c>
      <c r="E2649" s="5">
        <v>0</v>
      </c>
      <c r="F2649" s="5">
        <v>0</v>
      </c>
      <c r="G2649" s="5">
        <v>0</v>
      </c>
      <c r="H2649" s="5">
        <v>0</v>
      </c>
      <c r="I2649" s="5">
        <v>0</v>
      </c>
      <c r="J2649" s="5">
        <v>0</v>
      </c>
      <c r="K2649" s="5">
        <v>0</v>
      </c>
      <c r="L2649" s="5">
        <v>0</v>
      </c>
      <c r="M2649" s="5">
        <v>0</v>
      </c>
      <c r="N2649" s="5">
        <v>10</v>
      </c>
      <c r="O2649" s="5" t="str">
        <f t="shared" ca="1" si="41"/>
        <v>Supplier 164</v>
      </c>
      <c r="P2649" s="20" t="str">
        <f ca="1">IFERROR(VLOOKUP(O2649,EMAILS!B:C,2,FALSE),"NOT FOUND IN EMAILS")</f>
        <v>supplier@gmail.com</v>
      </c>
      <c r="Q2649" t="str">
        <f ca="1">""&amp;IFERROR(VLOOKUP(O2649,EMAILS!B:D,3,FALSE),"NOT FOUND IN EMAILS")</f>
        <v/>
      </c>
      <c r="R2649" t="str">
        <f ca="1">""&amp;IFERROR(VLOOKUP(O2649,EMAILS!B:E,4,FALSE),"NO T FOUND IN EMAILS")</f>
        <v/>
      </c>
    </row>
    <row r="2650" spans="2:18" x14ac:dyDescent="0.25">
      <c r="B2650" s="5" t="s">
        <v>2652</v>
      </c>
      <c r="C2650" s="5" t="s">
        <v>6792</v>
      </c>
      <c r="D2650" s="5">
        <v>0</v>
      </c>
      <c r="E2650" s="5">
        <v>0</v>
      </c>
      <c r="F2650" s="5">
        <v>0</v>
      </c>
      <c r="G2650" s="5">
        <v>0</v>
      </c>
      <c r="H2650" s="5">
        <v>0</v>
      </c>
      <c r="I2650" s="5">
        <v>0</v>
      </c>
      <c r="J2650" s="5">
        <v>0</v>
      </c>
      <c r="K2650" s="5">
        <v>0</v>
      </c>
      <c r="L2650" s="5">
        <v>0</v>
      </c>
      <c r="M2650" s="5">
        <v>0</v>
      </c>
      <c r="N2650" s="5">
        <v>233</v>
      </c>
      <c r="O2650" s="5" t="str">
        <f t="shared" ca="1" si="41"/>
        <v>Supplier 149</v>
      </c>
      <c r="P2650" s="20" t="str">
        <f ca="1">IFERROR(VLOOKUP(O2650,EMAILS!B:C,2,FALSE),"NOT FOUND IN EMAILS")</f>
        <v>supplier@gmail.com</v>
      </c>
      <c r="Q2650" t="str">
        <f ca="1">""&amp;IFERROR(VLOOKUP(O2650,EMAILS!B:D,3,FALSE),"NOT FOUND IN EMAILS")</f>
        <v/>
      </c>
      <c r="R2650" t="str">
        <f ca="1">""&amp;IFERROR(VLOOKUP(O2650,EMAILS!B:E,4,FALSE),"NO T FOUND IN EMAILS")</f>
        <v/>
      </c>
    </row>
    <row r="2651" spans="2:18" x14ac:dyDescent="0.25">
      <c r="B2651" s="5" t="s">
        <v>2653</v>
      </c>
      <c r="C2651" s="5" t="s">
        <v>6793</v>
      </c>
      <c r="D2651" s="5">
        <v>0</v>
      </c>
      <c r="E2651" s="5">
        <v>0</v>
      </c>
      <c r="F2651" s="5">
        <v>0</v>
      </c>
      <c r="G2651" s="5">
        <v>0</v>
      </c>
      <c r="H2651" s="5">
        <v>0</v>
      </c>
      <c r="I2651" s="5">
        <v>0</v>
      </c>
      <c r="J2651" s="5">
        <v>0</v>
      </c>
      <c r="K2651" s="5">
        <v>0</v>
      </c>
      <c r="L2651" s="5">
        <v>0</v>
      </c>
      <c r="M2651" s="5">
        <v>0</v>
      </c>
      <c r="N2651" s="5">
        <v>330</v>
      </c>
      <c r="O2651" s="5" t="str">
        <f t="shared" ca="1" si="41"/>
        <v>Supplier 77</v>
      </c>
      <c r="P2651" s="20" t="str">
        <f ca="1">IFERROR(VLOOKUP(O2651,EMAILS!B:C,2,FALSE),"NOT FOUND IN EMAILS")</f>
        <v>supplier@gmail.com</v>
      </c>
      <c r="Q2651" t="str">
        <f ca="1">""&amp;IFERROR(VLOOKUP(O2651,EMAILS!B:D,3,FALSE),"NOT FOUND IN EMAILS")</f>
        <v/>
      </c>
      <c r="R2651" t="str">
        <f ca="1">""&amp;IFERROR(VLOOKUP(O2651,EMAILS!B:E,4,FALSE),"NO T FOUND IN EMAILS")</f>
        <v/>
      </c>
    </row>
    <row r="2652" spans="2:18" x14ac:dyDescent="0.25">
      <c r="B2652" s="5" t="s">
        <v>2654</v>
      </c>
      <c r="C2652" s="5" t="s">
        <v>6794</v>
      </c>
      <c r="D2652" s="5">
        <v>200</v>
      </c>
      <c r="E2652" s="5">
        <v>0</v>
      </c>
      <c r="F2652" s="5">
        <v>40</v>
      </c>
      <c r="G2652" s="5">
        <v>3</v>
      </c>
      <c r="H2652" s="5">
        <v>0</v>
      </c>
      <c r="I2652" s="5">
        <v>1</v>
      </c>
      <c r="J2652" s="5">
        <v>0</v>
      </c>
      <c r="K2652" s="5">
        <v>12</v>
      </c>
      <c r="L2652" s="5">
        <v>0</v>
      </c>
      <c r="M2652" s="5">
        <v>0</v>
      </c>
      <c r="N2652" s="5">
        <v>50</v>
      </c>
      <c r="O2652" s="5" t="str">
        <f t="shared" ca="1" si="41"/>
        <v>Supplier 178</v>
      </c>
      <c r="P2652" s="20" t="str">
        <f ca="1">IFERROR(VLOOKUP(O2652,EMAILS!B:C,2,FALSE),"NOT FOUND IN EMAILS")</f>
        <v>supplier@gmail.com</v>
      </c>
      <c r="Q2652" t="str">
        <f ca="1">""&amp;IFERROR(VLOOKUP(O2652,EMAILS!B:D,3,FALSE),"NOT FOUND IN EMAILS")</f>
        <v/>
      </c>
      <c r="R2652" t="str">
        <f ca="1">""&amp;IFERROR(VLOOKUP(O2652,EMAILS!B:E,4,FALSE),"NO T FOUND IN EMAILS")</f>
        <v/>
      </c>
    </row>
    <row r="2653" spans="2:18" x14ac:dyDescent="0.25">
      <c r="B2653" s="5" t="s">
        <v>2655</v>
      </c>
      <c r="C2653" s="5" t="s">
        <v>6795</v>
      </c>
      <c r="D2653" s="5">
        <v>0</v>
      </c>
      <c r="E2653" s="5">
        <v>0</v>
      </c>
      <c r="F2653" s="5">
        <v>0</v>
      </c>
      <c r="G2653" s="5">
        <v>0</v>
      </c>
      <c r="H2653" s="5">
        <v>0</v>
      </c>
      <c r="I2653" s="5">
        <v>0</v>
      </c>
      <c r="J2653" s="5">
        <v>0</v>
      </c>
      <c r="K2653" s="5">
        <v>0</v>
      </c>
      <c r="L2653" s="5">
        <v>0</v>
      </c>
      <c r="M2653" s="5">
        <v>0</v>
      </c>
      <c r="N2653" s="5">
        <v>88</v>
      </c>
      <c r="O2653" s="5" t="str">
        <f t="shared" ca="1" si="41"/>
        <v>Supplier 197</v>
      </c>
      <c r="P2653" s="20" t="str">
        <f ca="1">IFERROR(VLOOKUP(O2653,EMAILS!B:C,2,FALSE),"NOT FOUND IN EMAILS")</f>
        <v>supplier@gmail.com</v>
      </c>
      <c r="Q2653" t="str">
        <f ca="1">""&amp;IFERROR(VLOOKUP(O2653,EMAILS!B:D,3,FALSE),"NOT FOUND IN EMAILS")</f>
        <v/>
      </c>
      <c r="R2653" t="str">
        <f ca="1">""&amp;IFERROR(VLOOKUP(O2653,EMAILS!B:E,4,FALSE),"NO T FOUND IN EMAILS")</f>
        <v/>
      </c>
    </row>
    <row r="2654" spans="2:18" x14ac:dyDescent="0.25">
      <c r="B2654" s="5" t="s">
        <v>2656</v>
      </c>
      <c r="C2654" s="5" t="s">
        <v>6796</v>
      </c>
      <c r="D2654" s="5">
        <v>0</v>
      </c>
      <c r="E2654" s="5">
        <v>0</v>
      </c>
      <c r="F2654" s="5">
        <v>0</v>
      </c>
      <c r="G2654" s="5">
        <v>0</v>
      </c>
      <c r="H2654" s="5">
        <v>0</v>
      </c>
      <c r="I2654" s="5">
        <v>0</v>
      </c>
      <c r="J2654" s="5">
        <v>0</v>
      </c>
      <c r="K2654" s="5">
        <v>0</v>
      </c>
      <c r="L2654" s="5">
        <v>0</v>
      </c>
      <c r="M2654" s="5">
        <v>0</v>
      </c>
      <c r="N2654" s="5">
        <v>4240</v>
      </c>
      <c r="O2654" s="5" t="str">
        <f t="shared" ca="1" si="41"/>
        <v>Supplier 4</v>
      </c>
      <c r="P2654" s="20" t="str">
        <f ca="1">IFERROR(VLOOKUP(O2654,EMAILS!B:C,2,FALSE),"NOT FOUND IN EMAILS")</f>
        <v>supplier@gmail.com</v>
      </c>
      <c r="Q2654" t="str">
        <f ca="1">""&amp;IFERROR(VLOOKUP(O2654,EMAILS!B:D,3,FALSE),"NOT FOUND IN EMAILS")</f>
        <v>supplier_logistics@gmail.com</v>
      </c>
      <c r="R2654" t="str">
        <f ca="1">""&amp;IFERROR(VLOOKUP(O2654,EMAILS!B:E,4,FALSE),"NO T FOUND IN EMAILS")</f>
        <v/>
      </c>
    </row>
    <row r="2655" spans="2:18" x14ac:dyDescent="0.25">
      <c r="B2655" s="5" t="s">
        <v>2657</v>
      </c>
      <c r="C2655" s="5" t="s">
        <v>6797</v>
      </c>
      <c r="D2655" s="5">
        <v>984</v>
      </c>
      <c r="E2655" s="5">
        <v>656</v>
      </c>
      <c r="F2655" s="5">
        <v>1312</v>
      </c>
      <c r="G2655" s="5">
        <v>1312</v>
      </c>
      <c r="H2655" s="5">
        <v>984</v>
      </c>
      <c r="I2655" s="5">
        <v>686</v>
      </c>
      <c r="J2655" s="5">
        <v>656</v>
      </c>
      <c r="K2655" s="5">
        <v>1312</v>
      </c>
      <c r="L2655" s="5">
        <v>656</v>
      </c>
      <c r="M2655" s="5">
        <v>0</v>
      </c>
      <c r="N2655" s="5">
        <v>3</v>
      </c>
      <c r="O2655" s="5" t="str">
        <f t="shared" ca="1" si="41"/>
        <v>Supplier 154</v>
      </c>
      <c r="P2655" s="20" t="str">
        <f ca="1">IFERROR(VLOOKUP(O2655,EMAILS!B:C,2,FALSE),"NOT FOUND IN EMAILS")</f>
        <v>supplier@gmail.com</v>
      </c>
      <c r="Q2655" t="str">
        <f ca="1">""&amp;IFERROR(VLOOKUP(O2655,EMAILS!B:D,3,FALSE),"NOT FOUND IN EMAILS")</f>
        <v/>
      </c>
      <c r="R2655" t="str">
        <f ca="1">""&amp;IFERROR(VLOOKUP(O2655,EMAILS!B:E,4,FALSE),"NO T FOUND IN EMAILS")</f>
        <v/>
      </c>
    </row>
    <row r="2656" spans="2:18" x14ac:dyDescent="0.25">
      <c r="B2656" s="5" t="s">
        <v>2658</v>
      </c>
      <c r="C2656" s="5" t="s">
        <v>6798</v>
      </c>
      <c r="D2656" s="5">
        <v>1</v>
      </c>
      <c r="E2656" s="5">
        <v>0</v>
      </c>
      <c r="F2656" s="5">
        <v>5</v>
      </c>
      <c r="G2656" s="5">
        <v>2</v>
      </c>
      <c r="H2656" s="5">
        <v>3</v>
      </c>
      <c r="I2656" s="5">
        <v>0</v>
      </c>
      <c r="J2656" s="5">
        <v>2</v>
      </c>
      <c r="K2656" s="5">
        <v>5</v>
      </c>
      <c r="L2656" s="5">
        <v>0</v>
      </c>
      <c r="M2656" s="5">
        <v>0</v>
      </c>
      <c r="N2656" s="5">
        <v>43</v>
      </c>
      <c r="O2656" s="5" t="str">
        <f t="shared" ca="1" si="41"/>
        <v>Supplier 78</v>
      </c>
      <c r="P2656" s="20" t="str">
        <f ca="1">IFERROR(VLOOKUP(O2656,EMAILS!B:C,2,FALSE),"NOT FOUND IN EMAILS")</f>
        <v>supplier@gmail.com</v>
      </c>
      <c r="Q2656" t="str">
        <f ca="1">""&amp;IFERROR(VLOOKUP(O2656,EMAILS!B:D,3,FALSE),"NOT FOUND IN EMAILS")</f>
        <v/>
      </c>
      <c r="R2656" t="str">
        <f ca="1">""&amp;IFERROR(VLOOKUP(O2656,EMAILS!B:E,4,FALSE),"NO T FOUND IN EMAILS")</f>
        <v/>
      </c>
    </row>
    <row r="2657" spans="2:18" x14ac:dyDescent="0.25">
      <c r="B2657" s="5" t="s">
        <v>2659</v>
      </c>
      <c r="C2657" s="5" t="s">
        <v>6799</v>
      </c>
      <c r="D2657" s="5">
        <v>1</v>
      </c>
      <c r="E2657" s="5">
        <v>0</v>
      </c>
      <c r="F2657" s="5">
        <v>20</v>
      </c>
      <c r="G2657" s="5">
        <v>2</v>
      </c>
      <c r="H2657" s="5">
        <v>3</v>
      </c>
      <c r="I2657" s="5">
        <v>0</v>
      </c>
      <c r="J2657" s="5">
        <v>2</v>
      </c>
      <c r="K2657" s="5">
        <v>5</v>
      </c>
      <c r="L2657" s="5">
        <v>0</v>
      </c>
      <c r="M2657" s="5">
        <v>0</v>
      </c>
      <c r="N2657" s="5">
        <v>0</v>
      </c>
      <c r="O2657" s="5" t="str">
        <f t="shared" ca="1" si="41"/>
        <v>Supplier 52</v>
      </c>
      <c r="P2657" s="20" t="str">
        <f ca="1">IFERROR(VLOOKUP(O2657,EMAILS!B:C,2,FALSE),"NOT FOUND IN EMAILS")</f>
        <v>supplier@gmail.com</v>
      </c>
      <c r="Q2657" t="str">
        <f ca="1">""&amp;IFERROR(VLOOKUP(O2657,EMAILS!B:D,3,FALSE),"NOT FOUND IN EMAILS")</f>
        <v/>
      </c>
      <c r="R2657" t="str">
        <f ca="1">""&amp;IFERROR(VLOOKUP(O2657,EMAILS!B:E,4,FALSE),"NO T FOUND IN EMAILS")</f>
        <v/>
      </c>
    </row>
    <row r="2658" spans="2:18" x14ac:dyDescent="0.25">
      <c r="B2658" s="5" t="s">
        <v>2660</v>
      </c>
      <c r="C2658" s="5" t="s">
        <v>6800</v>
      </c>
      <c r="D2658" s="5">
        <v>0</v>
      </c>
      <c r="E2658" s="5">
        <v>0</v>
      </c>
      <c r="F2658" s="5">
        <v>0</v>
      </c>
      <c r="G2658" s="5">
        <v>0</v>
      </c>
      <c r="H2658" s="5">
        <v>0</v>
      </c>
      <c r="I2658" s="5">
        <v>0</v>
      </c>
      <c r="J2658" s="5">
        <v>0</v>
      </c>
      <c r="K2658" s="5">
        <v>0</v>
      </c>
      <c r="L2658" s="5">
        <v>0</v>
      </c>
      <c r="M2658" s="5">
        <v>0</v>
      </c>
      <c r="N2658" s="5">
        <v>7000</v>
      </c>
      <c r="O2658" s="5" t="str">
        <f t="shared" ca="1" si="41"/>
        <v>Supplier 64</v>
      </c>
      <c r="P2658" s="20" t="str">
        <f ca="1">IFERROR(VLOOKUP(O2658,EMAILS!B:C,2,FALSE),"NOT FOUND IN EMAILS")</f>
        <v>supplier@gmail.com</v>
      </c>
      <c r="Q2658" t="str">
        <f ca="1">""&amp;IFERROR(VLOOKUP(O2658,EMAILS!B:D,3,FALSE),"NOT FOUND IN EMAILS")</f>
        <v/>
      </c>
      <c r="R2658" t="str">
        <f ca="1">""&amp;IFERROR(VLOOKUP(O2658,EMAILS!B:E,4,FALSE),"NO T FOUND IN EMAILS")</f>
        <v/>
      </c>
    </row>
    <row r="2659" spans="2:18" x14ac:dyDescent="0.25">
      <c r="B2659" s="5" t="s">
        <v>2661</v>
      </c>
      <c r="C2659" s="5" t="s">
        <v>6801</v>
      </c>
      <c r="D2659" s="5">
        <v>1992</v>
      </c>
      <c r="E2659" s="5">
        <v>250</v>
      </c>
      <c r="F2659" s="5">
        <v>1312</v>
      </c>
      <c r="G2659" s="5">
        <v>2296</v>
      </c>
      <c r="H2659" s="5">
        <v>2112</v>
      </c>
      <c r="I2659" s="5">
        <v>2358</v>
      </c>
      <c r="J2659" s="5">
        <v>776</v>
      </c>
      <c r="K2659" s="5">
        <v>656</v>
      </c>
      <c r="L2659" s="5">
        <v>328</v>
      </c>
      <c r="M2659" s="5">
        <v>0</v>
      </c>
      <c r="N2659" s="5">
        <v>454</v>
      </c>
      <c r="O2659" s="5" t="str">
        <f t="shared" ca="1" si="41"/>
        <v>Supplier 8</v>
      </c>
      <c r="P2659" s="20" t="str">
        <f ca="1">IFERROR(VLOOKUP(O2659,EMAILS!B:C,2,FALSE),"NOT FOUND IN EMAILS")</f>
        <v>supplier@gmail.com</v>
      </c>
      <c r="Q2659" t="str">
        <f ca="1">""&amp;IFERROR(VLOOKUP(O2659,EMAILS!B:D,3,FALSE),"NOT FOUND IN EMAILS")</f>
        <v>supplier_logistics@gmail.com</v>
      </c>
      <c r="R2659" t="str">
        <f ca="1">""&amp;IFERROR(VLOOKUP(O2659,EMAILS!B:E,4,FALSE),"NO T FOUND IN EMAILS")</f>
        <v/>
      </c>
    </row>
    <row r="2660" spans="2:18" x14ac:dyDescent="0.25">
      <c r="B2660" s="5" t="s">
        <v>2662</v>
      </c>
      <c r="C2660" s="5" t="s">
        <v>6802</v>
      </c>
      <c r="D2660" s="5">
        <v>0</v>
      </c>
      <c r="E2660" s="5">
        <v>0</v>
      </c>
      <c r="F2660" s="5">
        <v>0</v>
      </c>
      <c r="G2660" s="5">
        <v>0</v>
      </c>
      <c r="H2660" s="5">
        <v>0</v>
      </c>
      <c r="I2660" s="5">
        <v>0</v>
      </c>
      <c r="J2660" s="5">
        <v>0</v>
      </c>
      <c r="K2660" s="5">
        <v>0</v>
      </c>
      <c r="L2660" s="5">
        <v>0</v>
      </c>
      <c r="M2660" s="5">
        <v>0</v>
      </c>
      <c r="N2660" s="5">
        <v>0</v>
      </c>
      <c r="O2660" s="5" t="str">
        <f t="shared" ca="1" si="41"/>
        <v>Supplier 108</v>
      </c>
      <c r="P2660" s="20" t="str">
        <f ca="1">IFERROR(VLOOKUP(O2660,EMAILS!B:C,2,FALSE),"NOT FOUND IN EMAILS")</f>
        <v>supplier@gmail.com</v>
      </c>
      <c r="Q2660" t="str">
        <f ca="1">""&amp;IFERROR(VLOOKUP(O2660,EMAILS!B:D,3,FALSE),"NOT FOUND IN EMAILS")</f>
        <v/>
      </c>
      <c r="R2660" t="str">
        <f ca="1">""&amp;IFERROR(VLOOKUP(O2660,EMAILS!B:E,4,FALSE),"NO T FOUND IN EMAILS")</f>
        <v/>
      </c>
    </row>
    <row r="2661" spans="2:18" x14ac:dyDescent="0.25">
      <c r="B2661" s="5" t="s">
        <v>2663</v>
      </c>
      <c r="C2661" s="5" t="s">
        <v>6803</v>
      </c>
      <c r="D2661" s="5">
        <v>0</v>
      </c>
      <c r="E2661" s="5">
        <v>0</v>
      </c>
      <c r="F2661" s="5">
        <v>0</v>
      </c>
      <c r="G2661" s="5">
        <v>0</v>
      </c>
      <c r="H2661" s="5">
        <v>0</v>
      </c>
      <c r="I2661" s="5">
        <v>0</v>
      </c>
      <c r="J2661" s="5">
        <v>0</v>
      </c>
      <c r="K2661" s="5">
        <v>0</v>
      </c>
      <c r="L2661" s="5">
        <v>0</v>
      </c>
      <c r="M2661" s="5">
        <v>0</v>
      </c>
      <c r="N2661" s="5">
        <v>20</v>
      </c>
      <c r="O2661" s="5" t="str">
        <f t="shared" ca="1" si="41"/>
        <v>Supplier 177</v>
      </c>
      <c r="P2661" s="20" t="str">
        <f ca="1">IFERROR(VLOOKUP(O2661,EMAILS!B:C,2,FALSE),"NOT FOUND IN EMAILS")</f>
        <v>supplier@gmail.com</v>
      </c>
      <c r="Q2661" t="str">
        <f ca="1">""&amp;IFERROR(VLOOKUP(O2661,EMAILS!B:D,3,FALSE),"NOT FOUND IN EMAILS")</f>
        <v/>
      </c>
      <c r="R2661" t="str">
        <f ca="1">""&amp;IFERROR(VLOOKUP(O2661,EMAILS!B:E,4,FALSE),"NO T FOUND IN EMAILS")</f>
        <v/>
      </c>
    </row>
    <row r="2662" spans="2:18" x14ac:dyDescent="0.25">
      <c r="B2662" s="5" t="s">
        <v>2664</v>
      </c>
      <c r="C2662" s="5" t="s">
        <v>6804</v>
      </c>
      <c r="D2662" s="5">
        <v>0</v>
      </c>
      <c r="E2662" s="5">
        <v>0</v>
      </c>
      <c r="F2662" s="5">
        <v>0</v>
      </c>
      <c r="G2662" s="5">
        <v>0</v>
      </c>
      <c r="H2662" s="5">
        <v>0</v>
      </c>
      <c r="I2662" s="5">
        <v>0</v>
      </c>
      <c r="J2662" s="5">
        <v>0</v>
      </c>
      <c r="K2662" s="5">
        <v>0</v>
      </c>
      <c r="L2662" s="5">
        <v>0</v>
      </c>
      <c r="M2662" s="5">
        <v>0</v>
      </c>
      <c r="N2662" s="5">
        <v>213</v>
      </c>
      <c r="O2662" s="5" t="str">
        <f t="shared" ca="1" si="41"/>
        <v>Supplier 191</v>
      </c>
      <c r="P2662" s="20" t="str">
        <f ca="1">IFERROR(VLOOKUP(O2662,EMAILS!B:C,2,FALSE),"NOT FOUND IN EMAILS")</f>
        <v>supplier@gmail.com</v>
      </c>
      <c r="Q2662" t="str">
        <f ca="1">""&amp;IFERROR(VLOOKUP(O2662,EMAILS!B:D,3,FALSE),"NOT FOUND IN EMAILS")</f>
        <v/>
      </c>
      <c r="R2662" t="str">
        <f ca="1">""&amp;IFERROR(VLOOKUP(O2662,EMAILS!B:E,4,FALSE),"NO T FOUND IN EMAILS")</f>
        <v/>
      </c>
    </row>
    <row r="2663" spans="2:18" x14ac:dyDescent="0.25">
      <c r="B2663" s="5" t="s">
        <v>2665</v>
      </c>
      <c r="C2663" s="5" t="s">
        <v>6805</v>
      </c>
      <c r="D2663" s="5">
        <v>0</v>
      </c>
      <c r="E2663" s="5">
        <v>0</v>
      </c>
      <c r="F2663" s="5">
        <v>0</v>
      </c>
      <c r="G2663" s="5">
        <v>0</v>
      </c>
      <c r="H2663" s="5">
        <v>0</v>
      </c>
      <c r="I2663" s="5">
        <v>0</v>
      </c>
      <c r="J2663" s="5">
        <v>0</v>
      </c>
      <c r="K2663" s="5">
        <v>0</v>
      </c>
      <c r="L2663" s="5">
        <v>0</v>
      </c>
      <c r="M2663" s="5">
        <v>0</v>
      </c>
      <c r="N2663" s="5">
        <v>550</v>
      </c>
      <c r="O2663" s="5" t="str">
        <f t="shared" ca="1" si="41"/>
        <v>Supplier 25</v>
      </c>
      <c r="P2663" s="20" t="str">
        <f ca="1">IFERROR(VLOOKUP(O2663,EMAILS!B:C,2,FALSE),"NOT FOUND IN EMAILS")</f>
        <v>supplier@gmail.com</v>
      </c>
      <c r="Q2663" t="str">
        <f ca="1">""&amp;IFERROR(VLOOKUP(O2663,EMAILS!B:D,3,FALSE),"NOT FOUND IN EMAILS")</f>
        <v/>
      </c>
      <c r="R2663" t="str">
        <f ca="1">""&amp;IFERROR(VLOOKUP(O2663,EMAILS!B:E,4,FALSE),"NO T FOUND IN EMAILS")</f>
        <v/>
      </c>
    </row>
    <row r="2664" spans="2:18" x14ac:dyDescent="0.25">
      <c r="B2664" s="5" t="s">
        <v>2666</v>
      </c>
      <c r="C2664" s="5" t="s">
        <v>6806</v>
      </c>
      <c r="D2664" s="5">
        <v>492</v>
      </c>
      <c r="E2664" s="5">
        <v>328</v>
      </c>
      <c r="F2664" s="5">
        <v>656</v>
      </c>
      <c r="G2664" s="5">
        <v>656</v>
      </c>
      <c r="H2664" s="5">
        <v>492</v>
      </c>
      <c r="I2664" s="5">
        <v>343</v>
      </c>
      <c r="J2664" s="5">
        <v>328</v>
      </c>
      <c r="K2664" s="5">
        <v>656</v>
      </c>
      <c r="L2664" s="5">
        <v>328</v>
      </c>
      <c r="M2664" s="5">
        <v>0</v>
      </c>
      <c r="N2664" s="5">
        <v>0</v>
      </c>
      <c r="O2664" s="5" t="str">
        <f t="shared" ca="1" si="41"/>
        <v>Supplier 50</v>
      </c>
      <c r="P2664" s="20" t="str">
        <f ca="1">IFERROR(VLOOKUP(O2664,EMAILS!B:C,2,FALSE),"NOT FOUND IN EMAILS")</f>
        <v>supplier@gmail.com</v>
      </c>
      <c r="Q2664" t="str">
        <f ca="1">""&amp;IFERROR(VLOOKUP(O2664,EMAILS!B:D,3,FALSE),"NOT FOUND IN EMAILS")</f>
        <v/>
      </c>
      <c r="R2664" t="str">
        <f ca="1">""&amp;IFERROR(VLOOKUP(O2664,EMAILS!B:E,4,FALSE),"NO T FOUND IN EMAILS")</f>
        <v/>
      </c>
    </row>
    <row r="2665" spans="2:18" x14ac:dyDescent="0.25">
      <c r="B2665" s="5" t="s">
        <v>2667</v>
      </c>
      <c r="C2665" s="5" t="s">
        <v>6807</v>
      </c>
      <c r="D2665" s="5">
        <v>0</v>
      </c>
      <c r="E2665" s="5">
        <v>0</v>
      </c>
      <c r="F2665" s="5">
        <v>0</v>
      </c>
      <c r="G2665" s="5">
        <v>0</v>
      </c>
      <c r="H2665" s="5">
        <v>0</v>
      </c>
      <c r="I2665" s="5">
        <v>0</v>
      </c>
      <c r="J2665" s="5">
        <v>0</v>
      </c>
      <c r="K2665" s="5">
        <v>0</v>
      </c>
      <c r="L2665" s="5">
        <v>0</v>
      </c>
      <c r="M2665" s="5">
        <v>0</v>
      </c>
      <c r="N2665" s="5">
        <v>0</v>
      </c>
      <c r="O2665" s="5" t="str">
        <f t="shared" ca="1" si="41"/>
        <v>Supplier 49</v>
      </c>
      <c r="P2665" s="20" t="str">
        <f ca="1">IFERROR(VLOOKUP(O2665,EMAILS!B:C,2,FALSE),"NOT FOUND IN EMAILS")</f>
        <v>supplier@gmail.com</v>
      </c>
      <c r="Q2665" t="str">
        <f ca="1">""&amp;IFERROR(VLOOKUP(O2665,EMAILS!B:D,3,FALSE),"NOT FOUND IN EMAILS")</f>
        <v/>
      </c>
      <c r="R2665" t="str">
        <f ca="1">""&amp;IFERROR(VLOOKUP(O2665,EMAILS!B:E,4,FALSE),"NO T FOUND IN EMAILS")</f>
        <v/>
      </c>
    </row>
    <row r="2666" spans="2:18" x14ac:dyDescent="0.25">
      <c r="B2666" s="5" t="s">
        <v>2668</v>
      </c>
      <c r="C2666" s="5" t="s">
        <v>6808</v>
      </c>
      <c r="D2666" s="5">
        <v>0</v>
      </c>
      <c r="E2666" s="5">
        <v>0</v>
      </c>
      <c r="F2666" s="5">
        <v>0</v>
      </c>
      <c r="G2666" s="5">
        <v>0</v>
      </c>
      <c r="H2666" s="5">
        <v>0</v>
      </c>
      <c r="I2666" s="5">
        <v>0</v>
      </c>
      <c r="J2666" s="5">
        <v>0</v>
      </c>
      <c r="K2666" s="5">
        <v>0</v>
      </c>
      <c r="L2666" s="5">
        <v>0</v>
      </c>
      <c r="M2666" s="5">
        <v>0</v>
      </c>
      <c r="N2666" s="5">
        <v>2379</v>
      </c>
      <c r="O2666" s="5" t="str">
        <f t="shared" ca="1" si="41"/>
        <v>Supplier 145</v>
      </c>
      <c r="P2666" s="20" t="str">
        <f ca="1">IFERROR(VLOOKUP(O2666,EMAILS!B:C,2,FALSE),"NOT FOUND IN EMAILS")</f>
        <v>supplier@gmail.com</v>
      </c>
      <c r="Q2666" t="str">
        <f ca="1">""&amp;IFERROR(VLOOKUP(O2666,EMAILS!B:D,3,FALSE),"NOT FOUND IN EMAILS")</f>
        <v/>
      </c>
      <c r="R2666" t="str">
        <f ca="1">""&amp;IFERROR(VLOOKUP(O2666,EMAILS!B:E,4,FALSE),"NO T FOUND IN EMAILS")</f>
        <v/>
      </c>
    </row>
    <row r="2667" spans="2:18" x14ac:dyDescent="0.25">
      <c r="B2667" s="5" t="s">
        <v>2669</v>
      </c>
      <c r="C2667" s="5" t="s">
        <v>6809</v>
      </c>
      <c r="D2667" s="5">
        <v>885</v>
      </c>
      <c r="E2667" s="5">
        <v>728</v>
      </c>
      <c r="F2667" s="5">
        <v>712</v>
      </c>
      <c r="G2667" s="5">
        <v>696</v>
      </c>
      <c r="H2667" s="5">
        <v>111</v>
      </c>
      <c r="I2667" s="5">
        <v>110</v>
      </c>
      <c r="J2667" s="5">
        <v>120</v>
      </c>
      <c r="K2667" s="5">
        <v>111</v>
      </c>
      <c r="L2667" s="5">
        <v>102</v>
      </c>
      <c r="M2667" s="5">
        <v>0</v>
      </c>
      <c r="N2667" s="5">
        <v>40</v>
      </c>
      <c r="O2667" s="5" t="str">
        <f t="shared" ca="1" si="41"/>
        <v>Supplier 173</v>
      </c>
      <c r="P2667" s="20" t="str">
        <f ca="1">IFERROR(VLOOKUP(O2667,EMAILS!B:C,2,FALSE),"NOT FOUND IN EMAILS")</f>
        <v>supplier@gmail.com</v>
      </c>
      <c r="Q2667" t="str">
        <f ca="1">""&amp;IFERROR(VLOOKUP(O2667,EMAILS!B:D,3,FALSE),"NOT FOUND IN EMAILS")</f>
        <v/>
      </c>
      <c r="R2667" t="str">
        <f ca="1">""&amp;IFERROR(VLOOKUP(O2667,EMAILS!B:E,4,FALSE),"NO T FOUND IN EMAILS")</f>
        <v/>
      </c>
    </row>
    <row r="2668" spans="2:18" x14ac:dyDescent="0.25">
      <c r="B2668" s="5" t="s">
        <v>2670</v>
      </c>
      <c r="C2668" s="5" t="s">
        <v>6810</v>
      </c>
      <c r="D2668" s="5">
        <v>32</v>
      </c>
      <c r="E2668" s="5">
        <v>34</v>
      </c>
      <c r="F2668" s="5">
        <v>44</v>
      </c>
      <c r="G2668" s="5">
        <v>44</v>
      </c>
      <c r="H2668" s="5">
        <v>34</v>
      </c>
      <c r="I2668" s="5">
        <v>34</v>
      </c>
      <c r="J2668" s="5">
        <v>46</v>
      </c>
      <c r="K2668" s="5">
        <v>44</v>
      </c>
      <c r="L2668" s="5">
        <v>14</v>
      </c>
      <c r="M2668" s="5">
        <v>0</v>
      </c>
      <c r="N2668" s="5">
        <v>166</v>
      </c>
      <c r="O2668" s="5" t="str">
        <f t="shared" ca="1" si="41"/>
        <v>Supplier 137</v>
      </c>
      <c r="P2668" s="20" t="str">
        <f ca="1">IFERROR(VLOOKUP(O2668,EMAILS!B:C,2,FALSE),"NOT FOUND IN EMAILS")</f>
        <v>supplier@gmail.com</v>
      </c>
      <c r="Q2668" t="str">
        <f ca="1">""&amp;IFERROR(VLOOKUP(O2668,EMAILS!B:D,3,FALSE),"NOT FOUND IN EMAILS")</f>
        <v/>
      </c>
      <c r="R2668" t="str">
        <f ca="1">""&amp;IFERROR(VLOOKUP(O2668,EMAILS!B:E,4,FALSE),"NO T FOUND IN EMAILS")</f>
        <v/>
      </c>
    </row>
    <row r="2669" spans="2:18" x14ac:dyDescent="0.25">
      <c r="B2669" s="5" t="s">
        <v>2671</v>
      </c>
      <c r="C2669" s="5" t="s">
        <v>6811</v>
      </c>
      <c r="D2669" s="5">
        <v>4</v>
      </c>
      <c r="E2669" s="5">
        <v>0</v>
      </c>
      <c r="F2669" s="5">
        <v>4</v>
      </c>
      <c r="G2669" s="5">
        <v>0</v>
      </c>
      <c r="H2669" s="5">
        <v>2</v>
      </c>
      <c r="I2669" s="5">
        <v>0</v>
      </c>
      <c r="J2669" s="5">
        <v>0</v>
      </c>
      <c r="K2669" s="5">
        <v>2</v>
      </c>
      <c r="L2669" s="5">
        <v>0</v>
      </c>
      <c r="M2669" s="5">
        <v>0</v>
      </c>
      <c r="N2669" s="5">
        <v>0</v>
      </c>
      <c r="O2669" s="5" t="str">
        <f t="shared" ca="1" si="41"/>
        <v>Supplier 116</v>
      </c>
      <c r="P2669" s="20" t="str">
        <f ca="1">IFERROR(VLOOKUP(O2669,EMAILS!B:C,2,FALSE),"NOT FOUND IN EMAILS")</f>
        <v>supplier@gmail.com</v>
      </c>
      <c r="Q2669" t="str">
        <f ca="1">""&amp;IFERROR(VLOOKUP(O2669,EMAILS!B:D,3,FALSE),"NOT FOUND IN EMAILS")</f>
        <v/>
      </c>
      <c r="R2669" t="str">
        <f ca="1">""&amp;IFERROR(VLOOKUP(O2669,EMAILS!B:E,4,FALSE),"NO T FOUND IN EMAILS")</f>
        <v/>
      </c>
    </row>
    <row r="2670" spans="2:18" x14ac:dyDescent="0.25">
      <c r="B2670" s="5" t="s">
        <v>2672</v>
      </c>
      <c r="C2670" s="5" t="s">
        <v>6812</v>
      </c>
      <c r="D2670" s="5">
        <v>0</v>
      </c>
      <c r="E2670" s="5">
        <v>0</v>
      </c>
      <c r="F2670" s="5">
        <v>0</v>
      </c>
      <c r="G2670" s="5">
        <v>0</v>
      </c>
      <c r="H2670" s="5">
        <v>0</v>
      </c>
      <c r="I2670" s="5">
        <v>0</v>
      </c>
      <c r="J2670" s="5">
        <v>0</v>
      </c>
      <c r="K2670" s="5">
        <v>0</v>
      </c>
      <c r="L2670" s="5">
        <v>0</v>
      </c>
      <c r="M2670" s="5">
        <v>0</v>
      </c>
      <c r="N2670" s="5">
        <v>400</v>
      </c>
      <c r="O2670" s="5" t="str">
        <f t="shared" ca="1" si="41"/>
        <v>Supplier 192</v>
      </c>
      <c r="P2670" s="20" t="str">
        <f ca="1">IFERROR(VLOOKUP(O2670,EMAILS!B:C,2,FALSE),"NOT FOUND IN EMAILS")</f>
        <v>supplier@gmail.com</v>
      </c>
      <c r="Q2670" t="str">
        <f ca="1">""&amp;IFERROR(VLOOKUP(O2670,EMAILS!B:D,3,FALSE),"NOT FOUND IN EMAILS")</f>
        <v/>
      </c>
      <c r="R2670" t="str">
        <f ca="1">""&amp;IFERROR(VLOOKUP(O2670,EMAILS!B:E,4,FALSE),"NO T FOUND IN EMAILS")</f>
        <v/>
      </c>
    </row>
    <row r="2671" spans="2:18" x14ac:dyDescent="0.25">
      <c r="B2671" s="5" t="s">
        <v>2673</v>
      </c>
      <c r="C2671" s="5" t="s">
        <v>6813</v>
      </c>
      <c r="D2671" s="5">
        <v>0</v>
      </c>
      <c r="E2671" s="5">
        <v>0</v>
      </c>
      <c r="F2671" s="5">
        <v>0</v>
      </c>
      <c r="G2671" s="5">
        <v>0</v>
      </c>
      <c r="H2671" s="5">
        <v>0</v>
      </c>
      <c r="I2671" s="5">
        <v>0</v>
      </c>
      <c r="J2671" s="5">
        <v>0</v>
      </c>
      <c r="K2671" s="5">
        <v>0</v>
      </c>
      <c r="L2671" s="5">
        <v>0</v>
      </c>
      <c r="M2671" s="5">
        <v>0</v>
      </c>
      <c r="N2671" s="5">
        <v>120</v>
      </c>
      <c r="O2671" s="5" t="str">
        <f t="shared" ca="1" si="41"/>
        <v>Supplier 36</v>
      </c>
      <c r="P2671" s="20" t="str">
        <f ca="1">IFERROR(VLOOKUP(O2671,EMAILS!B:C,2,FALSE),"NOT FOUND IN EMAILS")</f>
        <v>supplier@gmail.com</v>
      </c>
      <c r="Q2671" t="str">
        <f ca="1">""&amp;IFERROR(VLOOKUP(O2671,EMAILS!B:D,3,FALSE),"NOT FOUND IN EMAILS")</f>
        <v/>
      </c>
      <c r="R2671" t="str">
        <f ca="1">""&amp;IFERROR(VLOOKUP(O2671,EMAILS!B:E,4,FALSE),"NO T FOUND IN EMAILS")</f>
        <v/>
      </c>
    </row>
    <row r="2672" spans="2:18" x14ac:dyDescent="0.25">
      <c r="B2672" s="5" t="s">
        <v>2674</v>
      </c>
      <c r="C2672" s="5" t="s">
        <v>6814</v>
      </c>
      <c r="D2672" s="5">
        <v>86</v>
      </c>
      <c r="E2672" s="5">
        <v>0</v>
      </c>
      <c r="F2672" s="5">
        <v>0</v>
      </c>
      <c r="G2672" s="5">
        <v>0</v>
      </c>
      <c r="H2672" s="5">
        <v>0</v>
      </c>
      <c r="I2672" s="5">
        <v>0</v>
      </c>
      <c r="J2672" s="5">
        <v>0</v>
      </c>
      <c r="K2672" s="5">
        <v>0</v>
      </c>
      <c r="L2672" s="5">
        <v>0</v>
      </c>
      <c r="M2672" s="5">
        <v>0</v>
      </c>
      <c r="N2672" s="5">
        <v>300</v>
      </c>
      <c r="O2672" s="5" t="str">
        <f t="shared" ca="1" si="41"/>
        <v>Supplier 115</v>
      </c>
      <c r="P2672" s="20" t="str">
        <f ca="1">IFERROR(VLOOKUP(O2672,EMAILS!B:C,2,FALSE),"NOT FOUND IN EMAILS")</f>
        <v>supplier@gmail.com</v>
      </c>
      <c r="Q2672" t="str">
        <f ca="1">""&amp;IFERROR(VLOOKUP(O2672,EMAILS!B:D,3,FALSE),"NOT FOUND IN EMAILS")</f>
        <v/>
      </c>
      <c r="R2672" t="str">
        <f ca="1">""&amp;IFERROR(VLOOKUP(O2672,EMAILS!B:E,4,FALSE),"NO T FOUND IN EMAILS")</f>
        <v/>
      </c>
    </row>
    <row r="2673" spans="2:18" x14ac:dyDescent="0.25">
      <c r="B2673" s="5" t="s">
        <v>2675</v>
      </c>
      <c r="C2673" s="5" t="s">
        <v>6815</v>
      </c>
      <c r="D2673" s="5">
        <v>265</v>
      </c>
      <c r="E2673" s="5">
        <v>0</v>
      </c>
      <c r="F2673" s="5">
        <v>0</v>
      </c>
      <c r="G2673" s="5">
        <v>0</v>
      </c>
      <c r="H2673" s="5">
        <v>0</v>
      </c>
      <c r="I2673" s="5">
        <v>0</v>
      </c>
      <c r="J2673" s="5">
        <v>0</v>
      </c>
      <c r="K2673" s="5">
        <v>0</v>
      </c>
      <c r="L2673" s="5">
        <v>0</v>
      </c>
      <c r="M2673" s="5">
        <v>0</v>
      </c>
      <c r="N2673" s="5">
        <v>0</v>
      </c>
      <c r="O2673" s="5" t="str">
        <f t="shared" ca="1" si="41"/>
        <v>Supplier 193</v>
      </c>
      <c r="P2673" s="20" t="str">
        <f ca="1">IFERROR(VLOOKUP(O2673,EMAILS!B:C,2,FALSE),"NOT FOUND IN EMAILS")</f>
        <v>supplier@gmail.com</v>
      </c>
      <c r="Q2673" t="str">
        <f ca="1">""&amp;IFERROR(VLOOKUP(O2673,EMAILS!B:D,3,FALSE),"NOT FOUND IN EMAILS")</f>
        <v/>
      </c>
      <c r="R2673" t="str">
        <f ca="1">""&amp;IFERROR(VLOOKUP(O2673,EMAILS!B:E,4,FALSE),"NO T FOUND IN EMAILS")</f>
        <v/>
      </c>
    </row>
    <row r="2674" spans="2:18" x14ac:dyDescent="0.25">
      <c r="B2674" s="5" t="s">
        <v>2676</v>
      </c>
      <c r="C2674" s="5" t="s">
        <v>6816</v>
      </c>
      <c r="D2674" s="5">
        <v>8</v>
      </c>
      <c r="E2674" s="5">
        <v>14</v>
      </c>
      <c r="F2674" s="5">
        <v>2</v>
      </c>
      <c r="G2674" s="5">
        <v>2</v>
      </c>
      <c r="H2674" s="5">
        <v>0</v>
      </c>
      <c r="I2674" s="5">
        <v>0</v>
      </c>
      <c r="J2674" s="5">
        <v>0</v>
      </c>
      <c r="K2674" s="5">
        <v>0</v>
      </c>
      <c r="L2674" s="5">
        <v>0</v>
      </c>
      <c r="M2674" s="5">
        <v>0</v>
      </c>
      <c r="N2674" s="5">
        <v>0</v>
      </c>
      <c r="O2674" s="5" t="str">
        <f t="shared" ca="1" si="41"/>
        <v>Supplier 182</v>
      </c>
      <c r="P2674" s="20" t="str">
        <f ca="1">IFERROR(VLOOKUP(O2674,EMAILS!B:C,2,FALSE),"NOT FOUND IN EMAILS")</f>
        <v>supplier@gmail.com</v>
      </c>
      <c r="Q2674" t="str">
        <f ca="1">""&amp;IFERROR(VLOOKUP(O2674,EMAILS!B:D,3,FALSE),"NOT FOUND IN EMAILS")</f>
        <v/>
      </c>
      <c r="R2674" t="str">
        <f ca="1">""&amp;IFERROR(VLOOKUP(O2674,EMAILS!B:E,4,FALSE),"NO T FOUND IN EMAILS")</f>
        <v/>
      </c>
    </row>
    <row r="2675" spans="2:18" x14ac:dyDescent="0.25">
      <c r="B2675" s="5" t="s">
        <v>2677</v>
      </c>
      <c r="C2675" s="5" t="s">
        <v>6817</v>
      </c>
      <c r="D2675" s="5">
        <v>270</v>
      </c>
      <c r="E2675" s="5">
        <v>300</v>
      </c>
      <c r="F2675" s="5">
        <v>320</v>
      </c>
      <c r="G2675" s="5">
        <v>360</v>
      </c>
      <c r="H2675" s="5">
        <v>180</v>
      </c>
      <c r="I2675" s="5">
        <v>240</v>
      </c>
      <c r="J2675" s="5">
        <v>240</v>
      </c>
      <c r="K2675" s="5">
        <v>182</v>
      </c>
      <c r="L2675" s="5">
        <v>120</v>
      </c>
      <c r="M2675" s="5">
        <v>0</v>
      </c>
      <c r="N2675" s="5">
        <v>840</v>
      </c>
      <c r="O2675" s="5" t="str">
        <f t="shared" ca="1" si="41"/>
        <v>Supplier 20</v>
      </c>
      <c r="P2675" s="20" t="str">
        <f ca="1">IFERROR(VLOOKUP(O2675,EMAILS!B:C,2,FALSE),"NOT FOUND IN EMAILS")</f>
        <v>supplier@gmail.com</v>
      </c>
      <c r="Q2675" t="str">
        <f ca="1">""&amp;IFERROR(VLOOKUP(O2675,EMAILS!B:D,3,FALSE),"NOT FOUND IN EMAILS")</f>
        <v/>
      </c>
      <c r="R2675" t="str">
        <f ca="1">""&amp;IFERROR(VLOOKUP(O2675,EMAILS!B:E,4,FALSE),"NO T FOUND IN EMAILS")</f>
        <v/>
      </c>
    </row>
    <row r="2676" spans="2:18" x14ac:dyDescent="0.25">
      <c r="B2676" s="5" t="s">
        <v>2678</v>
      </c>
      <c r="C2676" s="5" t="s">
        <v>6818</v>
      </c>
      <c r="D2676" s="5">
        <v>431</v>
      </c>
      <c r="E2676" s="5">
        <v>114</v>
      </c>
      <c r="F2676" s="5">
        <v>276</v>
      </c>
      <c r="G2676" s="5">
        <v>370</v>
      </c>
      <c r="H2676" s="5">
        <v>244</v>
      </c>
      <c r="I2676" s="5">
        <v>232</v>
      </c>
      <c r="J2676" s="5">
        <v>220</v>
      </c>
      <c r="K2676" s="5">
        <v>210</v>
      </c>
      <c r="L2676" s="5">
        <v>216</v>
      </c>
      <c r="M2676" s="5">
        <v>0</v>
      </c>
      <c r="N2676" s="5">
        <v>90</v>
      </c>
      <c r="O2676" s="5" t="str">
        <f t="shared" ca="1" si="41"/>
        <v>Supplier 124</v>
      </c>
      <c r="P2676" s="20" t="str">
        <f ca="1">IFERROR(VLOOKUP(O2676,EMAILS!B:C,2,FALSE),"NOT FOUND IN EMAILS")</f>
        <v>supplier@gmail.com</v>
      </c>
      <c r="Q2676" t="str">
        <f ca="1">""&amp;IFERROR(VLOOKUP(O2676,EMAILS!B:D,3,FALSE),"NOT FOUND IN EMAILS")</f>
        <v/>
      </c>
      <c r="R2676" t="str">
        <f ca="1">""&amp;IFERROR(VLOOKUP(O2676,EMAILS!B:E,4,FALSE),"NO T FOUND IN EMAILS")</f>
        <v/>
      </c>
    </row>
    <row r="2677" spans="2:18" x14ac:dyDescent="0.25">
      <c r="B2677" s="5" t="s">
        <v>2679</v>
      </c>
      <c r="C2677" s="5" t="s">
        <v>6819</v>
      </c>
      <c r="D2677" s="5">
        <v>0</v>
      </c>
      <c r="E2677" s="5">
        <v>0</v>
      </c>
      <c r="F2677" s="5">
        <v>0</v>
      </c>
      <c r="G2677" s="5">
        <v>0</v>
      </c>
      <c r="H2677" s="5">
        <v>0</v>
      </c>
      <c r="I2677" s="5">
        <v>0</v>
      </c>
      <c r="J2677" s="5">
        <v>0</v>
      </c>
      <c r="K2677" s="5">
        <v>0</v>
      </c>
      <c r="L2677" s="5">
        <v>0</v>
      </c>
      <c r="M2677" s="5">
        <v>0</v>
      </c>
      <c r="N2677" s="5">
        <v>332</v>
      </c>
      <c r="O2677" s="5" t="str">
        <f t="shared" ca="1" si="41"/>
        <v>Supplier 8</v>
      </c>
      <c r="P2677" s="20" t="str">
        <f ca="1">IFERROR(VLOOKUP(O2677,EMAILS!B:C,2,FALSE),"NOT FOUND IN EMAILS")</f>
        <v>supplier@gmail.com</v>
      </c>
      <c r="Q2677" t="str">
        <f ca="1">""&amp;IFERROR(VLOOKUP(O2677,EMAILS!B:D,3,FALSE),"NOT FOUND IN EMAILS")</f>
        <v>supplier_logistics@gmail.com</v>
      </c>
      <c r="R2677" t="str">
        <f ca="1">""&amp;IFERROR(VLOOKUP(O2677,EMAILS!B:E,4,FALSE),"NO T FOUND IN EMAILS")</f>
        <v/>
      </c>
    </row>
    <row r="2678" spans="2:18" x14ac:dyDescent="0.25">
      <c r="B2678" s="5" t="s">
        <v>2680</v>
      </c>
      <c r="C2678" s="5" t="s">
        <v>6820</v>
      </c>
      <c r="D2678" s="5">
        <v>0</v>
      </c>
      <c r="E2678" s="5">
        <v>0</v>
      </c>
      <c r="F2678" s="5">
        <v>0</v>
      </c>
      <c r="G2678" s="5">
        <v>0</v>
      </c>
      <c r="H2678" s="5">
        <v>0</v>
      </c>
      <c r="I2678" s="5">
        <v>0</v>
      </c>
      <c r="J2678" s="5">
        <v>0</v>
      </c>
      <c r="K2678" s="5">
        <v>0</v>
      </c>
      <c r="L2678" s="5">
        <v>0</v>
      </c>
      <c r="M2678" s="5">
        <v>0</v>
      </c>
      <c r="N2678" s="5">
        <v>466</v>
      </c>
      <c r="O2678" s="5" t="str">
        <f t="shared" ca="1" si="41"/>
        <v>Supplier 199</v>
      </c>
      <c r="P2678" s="20" t="str">
        <f ca="1">IFERROR(VLOOKUP(O2678,EMAILS!B:C,2,FALSE),"NOT FOUND IN EMAILS")</f>
        <v>supplier@gmail.com</v>
      </c>
      <c r="Q2678" t="str">
        <f ca="1">""&amp;IFERROR(VLOOKUP(O2678,EMAILS!B:D,3,FALSE),"NOT FOUND IN EMAILS")</f>
        <v/>
      </c>
      <c r="R2678" t="str">
        <f ca="1">""&amp;IFERROR(VLOOKUP(O2678,EMAILS!B:E,4,FALSE),"NO T FOUND IN EMAILS")</f>
        <v/>
      </c>
    </row>
    <row r="2679" spans="2:18" x14ac:dyDescent="0.25">
      <c r="B2679" s="5" t="s">
        <v>2681</v>
      </c>
      <c r="C2679" s="5" t="s">
        <v>6821</v>
      </c>
      <c r="D2679" s="5">
        <v>4</v>
      </c>
      <c r="E2679" s="5">
        <v>12</v>
      </c>
      <c r="F2679" s="5">
        <v>2</v>
      </c>
      <c r="G2679" s="5">
        <v>2</v>
      </c>
      <c r="H2679" s="5">
        <v>4</v>
      </c>
      <c r="I2679" s="5">
        <v>0</v>
      </c>
      <c r="J2679" s="5">
        <v>0</v>
      </c>
      <c r="K2679" s="5">
        <v>0</v>
      </c>
      <c r="L2679" s="5">
        <v>0</v>
      </c>
      <c r="M2679" s="5">
        <v>0</v>
      </c>
      <c r="N2679" s="5">
        <v>54</v>
      </c>
      <c r="O2679" s="5" t="str">
        <f t="shared" ca="1" si="41"/>
        <v>Supplier 54</v>
      </c>
      <c r="P2679" s="20" t="str">
        <f ca="1">IFERROR(VLOOKUP(O2679,EMAILS!B:C,2,FALSE),"NOT FOUND IN EMAILS")</f>
        <v>supplier@gmail.com</v>
      </c>
      <c r="Q2679" t="str">
        <f ca="1">""&amp;IFERROR(VLOOKUP(O2679,EMAILS!B:D,3,FALSE),"NOT FOUND IN EMAILS")</f>
        <v/>
      </c>
      <c r="R2679" t="str">
        <f ca="1">""&amp;IFERROR(VLOOKUP(O2679,EMAILS!B:E,4,FALSE),"NO T FOUND IN EMAILS")</f>
        <v/>
      </c>
    </row>
    <row r="2680" spans="2:18" x14ac:dyDescent="0.25">
      <c r="B2680" s="5" t="s">
        <v>2682</v>
      </c>
      <c r="C2680" s="5" t="s">
        <v>6822</v>
      </c>
      <c r="D2680" s="5">
        <v>0</v>
      </c>
      <c r="E2680" s="5">
        <v>0</v>
      </c>
      <c r="F2680" s="5">
        <v>0</v>
      </c>
      <c r="G2680" s="5">
        <v>0</v>
      </c>
      <c r="H2680" s="5">
        <v>0</v>
      </c>
      <c r="I2680" s="5">
        <v>0</v>
      </c>
      <c r="J2680" s="5">
        <v>0</v>
      </c>
      <c r="K2680" s="5">
        <v>0</v>
      </c>
      <c r="L2680" s="5">
        <v>0</v>
      </c>
      <c r="M2680" s="5">
        <v>0</v>
      </c>
      <c r="N2680" s="5">
        <v>500</v>
      </c>
      <c r="O2680" s="5" t="str">
        <f t="shared" ca="1" si="41"/>
        <v>Supplier 132</v>
      </c>
      <c r="P2680" s="20" t="str">
        <f ca="1">IFERROR(VLOOKUP(O2680,EMAILS!B:C,2,FALSE),"NOT FOUND IN EMAILS")</f>
        <v>supplier@gmail.com</v>
      </c>
      <c r="Q2680" t="str">
        <f ca="1">""&amp;IFERROR(VLOOKUP(O2680,EMAILS!B:D,3,FALSE),"NOT FOUND IN EMAILS")</f>
        <v/>
      </c>
      <c r="R2680" t="str">
        <f ca="1">""&amp;IFERROR(VLOOKUP(O2680,EMAILS!B:E,4,FALSE),"NO T FOUND IN EMAILS")</f>
        <v/>
      </c>
    </row>
    <row r="2681" spans="2:18" x14ac:dyDescent="0.25">
      <c r="B2681" s="5" t="s">
        <v>2683</v>
      </c>
      <c r="C2681" s="5" t="s">
        <v>6823</v>
      </c>
      <c r="D2681" s="5">
        <v>156</v>
      </c>
      <c r="E2681" s="5">
        <v>156</v>
      </c>
      <c r="F2681" s="5">
        <v>168</v>
      </c>
      <c r="G2681" s="5">
        <v>132</v>
      </c>
      <c r="H2681" s="5">
        <v>162</v>
      </c>
      <c r="I2681" s="5">
        <v>144</v>
      </c>
      <c r="J2681" s="5">
        <v>132</v>
      </c>
      <c r="K2681" s="5">
        <v>132</v>
      </c>
      <c r="L2681" s="5">
        <v>108</v>
      </c>
      <c r="M2681" s="5">
        <v>0</v>
      </c>
      <c r="N2681" s="5">
        <v>360</v>
      </c>
      <c r="O2681" s="5" t="str">
        <f t="shared" ca="1" si="41"/>
        <v>Supplier 93</v>
      </c>
      <c r="P2681" s="20" t="str">
        <f ca="1">IFERROR(VLOOKUP(O2681,EMAILS!B:C,2,FALSE),"NOT FOUND IN EMAILS")</f>
        <v>supplier@gmail.com</v>
      </c>
      <c r="Q2681" t="str">
        <f ca="1">""&amp;IFERROR(VLOOKUP(O2681,EMAILS!B:D,3,FALSE),"NOT FOUND IN EMAILS")</f>
        <v/>
      </c>
      <c r="R2681" t="str">
        <f ca="1">""&amp;IFERROR(VLOOKUP(O2681,EMAILS!B:E,4,FALSE),"NO T FOUND IN EMAILS")</f>
        <v/>
      </c>
    </row>
    <row r="2682" spans="2:18" x14ac:dyDescent="0.25">
      <c r="B2682" s="5" t="s">
        <v>2684</v>
      </c>
      <c r="C2682" s="5" t="s">
        <v>6824</v>
      </c>
      <c r="D2682" s="5">
        <v>8</v>
      </c>
      <c r="E2682" s="5">
        <v>0</v>
      </c>
      <c r="F2682" s="5">
        <v>0</v>
      </c>
      <c r="G2682" s="5">
        <v>0</v>
      </c>
      <c r="H2682" s="5">
        <v>0</v>
      </c>
      <c r="I2682" s="5">
        <v>0</v>
      </c>
      <c r="J2682" s="5">
        <v>0</v>
      </c>
      <c r="K2682" s="5">
        <v>0</v>
      </c>
      <c r="L2682" s="5">
        <v>0</v>
      </c>
      <c r="M2682" s="5">
        <v>0</v>
      </c>
      <c r="N2682" s="5">
        <v>200</v>
      </c>
      <c r="O2682" s="5" t="str">
        <f t="shared" ca="1" si="41"/>
        <v>Supplier 107</v>
      </c>
      <c r="P2682" s="20" t="str">
        <f ca="1">IFERROR(VLOOKUP(O2682,EMAILS!B:C,2,FALSE),"NOT FOUND IN EMAILS")</f>
        <v>supplier@gmail.com</v>
      </c>
      <c r="Q2682" t="str">
        <f ca="1">""&amp;IFERROR(VLOOKUP(O2682,EMAILS!B:D,3,FALSE),"NOT FOUND IN EMAILS")</f>
        <v/>
      </c>
      <c r="R2682" t="str">
        <f ca="1">""&amp;IFERROR(VLOOKUP(O2682,EMAILS!B:E,4,FALSE),"NO T FOUND IN EMAILS")</f>
        <v/>
      </c>
    </row>
    <row r="2683" spans="2:18" x14ac:dyDescent="0.25">
      <c r="B2683" s="5" t="s">
        <v>2685</v>
      </c>
      <c r="C2683" s="5" t="s">
        <v>6825</v>
      </c>
      <c r="D2683" s="5">
        <v>0</v>
      </c>
      <c r="E2683" s="5">
        <v>0</v>
      </c>
      <c r="F2683" s="5">
        <v>0</v>
      </c>
      <c r="G2683" s="5">
        <v>0</v>
      </c>
      <c r="H2683" s="5">
        <v>0</v>
      </c>
      <c r="I2683" s="5">
        <v>0</v>
      </c>
      <c r="J2683" s="5">
        <v>0</v>
      </c>
      <c r="K2683" s="5">
        <v>0</v>
      </c>
      <c r="L2683" s="5">
        <v>0</v>
      </c>
      <c r="M2683" s="5">
        <v>0</v>
      </c>
      <c r="N2683" s="5">
        <v>228</v>
      </c>
      <c r="O2683" s="5" t="str">
        <f t="shared" ca="1" si="41"/>
        <v>Supplier 184</v>
      </c>
      <c r="P2683" s="20" t="str">
        <f ca="1">IFERROR(VLOOKUP(O2683,EMAILS!B:C,2,FALSE),"NOT FOUND IN EMAILS")</f>
        <v>supplier@gmail.com</v>
      </c>
      <c r="Q2683" t="str">
        <f ca="1">""&amp;IFERROR(VLOOKUP(O2683,EMAILS!B:D,3,FALSE),"NOT FOUND IN EMAILS")</f>
        <v/>
      </c>
      <c r="R2683" t="str">
        <f ca="1">""&amp;IFERROR(VLOOKUP(O2683,EMAILS!B:E,4,FALSE),"NO T FOUND IN EMAILS")</f>
        <v/>
      </c>
    </row>
    <row r="2684" spans="2:18" x14ac:dyDescent="0.25">
      <c r="B2684" s="5" t="s">
        <v>2686</v>
      </c>
      <c r="C2684" s="5" t="s">
        <v>6826</v>
      </c>
      <c r="D2684" s="5">
        <v>100</v>
      </c>
      <c r="E2684" s="5">
        <v>10</v>
      </c>
      <c r="F2684" s="5">
        <v>60</v>
      </c>
      <c r="G2684" s="5">
        <v>40</v>
      </c>
      <c r="H2684" s="5">
        <v>80</v>
      </c>
      <c r="I2684" s="5">
        <v>40</v>
      </c>
      <c r="J2684" s="5">
        <v>20</v>
      </c>
      <c r="K2684" s="5">
        <v>50</v>
      </c>
      <c r="L2684" s="5">
        <v>70</v>
      </c>
      <c r="M2684" s="5">
        <v>0</v>
      </c>
      <c r="N2684" s="5">
        <v>68</v>
      </c>
      <c r="O2684" s="5" t="str">
        <f t="shared" ca="1" si="41"/>
        <v>Supplier 197</v>
      </c>
      <c r="P2684" s="20" t="str">
        <f ca="1">IFERROR(VLOOKUP(O2684,EMAILS!B:C,2,FALSE),"NOT FOUND IN EMAILS")</f>
        <v>supplier@gmail.com</v>
      </c>
      <c r="Q2684" t="str">
        <f ca="1">""&amp;IFERROR(VLOOKUP(O2684,EMAILS!B:D,3,FALSE),"NOT FOUND IN EMAILS")</f>
        <v/>
      </c>
      <c r="R2684" t="str">
        <f ca="1">""&amp;IFERROR(VLOOKUP(O2684,EMAILS!B:E,4,FALSE),"NO T FOUND IN EMAILS")</f>
        <v/>
      </c>
    </row>
    <row r="2685" spans="2:18" x14ac:dyDescent="0.25">
      <c r="B2685" s="5" t="s">
        <v>2687</v>
      </c>
      <c r="C2685" s="5" t="s">
        <v>6827</v>
      </c>
      <c r="D2685" s="5">
        <v>0</v>
      </c>
      <c r="E2685" s="5">
        <v>10</v>
      </c>
      <c r="F2685" s="5">
        <v>30</v>
      </c>
      <c r="G2685" s="5">
        <v>0</v>
      </c>
      <c r="H2685" s="5">
        <v>0</v>
      </c>
      <c r="I2685" s="5">
        <v>0</v>
      </c>
      <c r="J2685" s="5">
        <v>10</v>
      </c>
      <c r="K2685" s="5">
        <v>50</v>
      </c>
      <c r="L2685" s="5">
        <v>40</v>
      </c>
      <c r="M2685" s="5">
        <v>0</v>
      </c>
      <c r="N2685" s="5">
        <v>99</v>
      </c>
      <c r="O2685" s="5" t="str">
        <f t="shared" ca="1" si="41"/>
        <v>Supplier 104</v>
      </c>
      <c r="P2685" s="20" t="str">
        <f ca="1">IFERROR(VLOOKUP(O2685,EMAILS!B:C,2,FALSE),"NOT FOUND IN EMAILS")</f>
        <v>supplier@gmail.com</v>
      </c>
      <c r="Q2685" t="str">
        <f ca="1">""&amp;IFERROR(VLOOKUP(O2685,EMAILS!B:D,3,FALSE),"NOT FOUND IN EMAILS")</f>
        <v/>
      </c>
      <c r="R2685" t="str">
        <f ca="1">""&amp;IFERROR(VLOOKUP(O2685,EMAILS!B:E,4,FALSE),"NO T FOUND IN EMAILS")</f>
        <v/>
      </c>
    </row>
    <row r="2686" spans="2:18" x14ac:dyDescent="0.25">
      <c r="B2686" s="5" t="s">
        <v>2688</v>
      </c>
      <c r="C2686" s="5" t="s">
        <v>6828</v>
      </c>
      <c r="D2686" s="5">
        <v>10</v>
      </c>
      <c r="E2686" s="5">
        <v>0</v>
      </c>
      <c r="F2686" s="5">
        <v>0</v>
      </c>
      <c r="G2686" s="5">
        <v>10</v>
      </c>
      <c r="H2686" s="5">
        <v>50</v>
      </c>
      <c r="I2686" s="5">
        <v>0</v>
      </c>
      <c r="J2686" s="5">
        <v>0</v>
      </c>
      <c r="K2686" s="5">
        <v>0</v>
      </c>
      <c r="L2686" s="5">
        <v>0</v>
      </c>
      <c r="M2686" s="5">
        <v>0</v>
      </c>
      <c r="N2686" s="5">
        <v>75</v>
      </c>
      <c r="O2686" s="5" t="str">
        <f t="shared" ca="1" si="41"/>
        <v>Supplier 193</v>
      </c>
      <c r="P2686" s="20" t="str">
        <f ca="1">IFERROR(VLOOKUP(O2686,EMAILS!B:C,2,FALSE),"NOT FOUND IN EMAILS")</f>
        <v>supplier@gmail.com</v>
      </c>
      <c r="Q2686" t="str">
        <f ca="1">""&amp;IFERROR(VLOOKUP(O2686,EMAILS!B:D,3,FALSE),"NOT FOUND IN EMAILS")</f>
        <v/>
      </c>
      <c r="R2686" t="str">
        <f ca="1">""&amp;IFERROR(VLOOKUP(O2686,EMAILS!B:E,4,FALSE),"NO T FOUND IN EMAILS")</f>
        <v/>
      </c>
    </row>
    <row r="2687" spans="2:18" x14ac:dyDescent="0.25">
      <c r="B2687" s="5" t="s">
        <v>2689</v>
      </c>
      <c r="C2687" s="5" t="s">
        <v>6829</v>
      </c>
      <c r="D2687" s="5">
        <v>0</v>
      </c>
      <c r="E2687" s="5">
        <v>0</v>
      </c>
      <c r="F2687" s="5">
        <v>30</v>
      </c>
      <c r="G2687" s="5">
        <v>0</v>
      </c>
      <c r="H2687" s="5">
        <v>30</v>
      </c>
      <c r="I2687" s="5">
        <v>0</v>
      </c>
      <c r="J2687" s="5">
        <v>10</v>
      </c>
      <c r="K2687" s="5">
        <v>0</v>
      </c>
      <c r="L2687" s="5">
        <v>0</v>
      </c>
      <c r="M2687" s="5">
        <v>0</v>
      </c>
      <c r="N2687" s="5">
        <v>75</v>
      </c>
      <c r="O2687" s="5" t="str">
        <f t="shared" ca="1" si="41"/>
        <v>Supplier 121</v>
      </c>
      <c r="P2687" s="20" t="str">
        <f ca="1">IFERROR(VLOOKUP(O2687,EMAILS!B:C,2,FALSE),"NOT FOUND IN EMAILS")</f>
        <v>supplier@gmail.com</v>
      </c>
      <c r="Q2687" t="str">
        <f ca="1">""&amp;IFERROR(VLOOKUP(O2687,EMAILS!B:D,3,FALSE),"NOT FOUND IN EMAILS")</f>
        <v/>
      </c>
      <c r="R2687" t="str">
        <f ca="1">""&amp;IFERROR(VLOOKUP(O2687,EMAILS!B:E,4,FALSE),"NO T FOUND IN EMAILS")</f>
        <v/>
      </c>
    </row>
    <row r="2688" spans="2:18" x14ac:dyDescent="0.25">
      <c r="B2688" s="5" t="s">
        <v>2690</v>
      </c>
      <c r="C2688" s="5" t="s">
        <v>6830</v>
      </c>
      <c r="D2688" s="5">
        <v>0</v>
      </c>
      <c r="E2688" s="5">
        <v>0</v>
      </c>
      <c r="F2688" s="5">
        <v>0</v>
      </c>
      <c r="G2688" s="5">
        <v>30</v>
      </c>
      <c r="H2688" s="5">
        <v>0</v>
      </c>
      <c r="I2688" s="5">
        <v>40</v>
      </c>
      <c r="J2688" s="5">
        <v>0</v>
      </c>
      <c r="K2688" s="5">
        <v>0</v>
      </c>
      <c r="L2688" s="5">
        <v>30</v>
      </c>
      <c r="M2688" s="5">
        <v>0</v>
      </c>
      <c r="N2688" s="5">
        <v>6</v>
      </c>
      <c r="O2688" s="5" t="str">
        <f t="shared" ca="1" si="41"/>
        <v>Supplier 143</v>
      </c>
      <c r="P2688" s="20" t="str">
        <f ca="1">IFERROR(VLOOKUP(O2688,EMAILS!B:C,2,FALSE),"NOT FOUND IN EMAILS")</f>
        <v>supplier@gmail.com</v>
      </c>
      <c r="Q2688" t="str">
        <f ca="1">""&amp;IFERROR(VLOOKUP(O2688,EMAILS!B:D,3,FALSE),"NOT FOUND IN EMAILS")</f>
        <v/>
      </c>
      <c r="R2688" t="str">
        <f ca="1">""&amp;IFERROR(VLOOKUP(O2688,EMAILS!B:E,4,FALSE),"NO T FOUND IN EMAILS")</f>
        <v/>
      </c>
    </row>
    <row r="2689" spans="2:18" x14ac:dyDescent="0.25">
      <c r="B2689" s="5" t="s">
        <v>2691</v>
      </c>
      <c r="C2689" s="5" t="s">
        <v>6831</v>
      </c>
      <c r="D2689" s="5">
        <v>17</v>
      </c>
      <c r="E2689" s="5">
        <v>11</v>
      </c>
      <c r="F2689" s="5">
        <v>5</v>
      </c>
      <c r="G2689" s="5">
        <v>16</v>
      </c>
      <c r="H2689" s="5">
        <v>14</v>
      </c>
      <c r="I2689" s="5">
        <v>12</v>
      </c>
      <c r="J2689" s="5">
        <v>10</v>
      </c>
      <c r="K2689" s="5">
        <v>9</v>
      </c>
      <c r="L2689" s="5">
        <v>10</v>
      </c>
      <c r="M2689" s="5">
        <v>0</v>
      </c>
      <c r="N2689" s="5">
        <v>23</v>
      </c>
      <c r="O2689" s="5" t="str">
        <f t="shared" ca="1" si="41"/>
        <v>Supplier 181</v>
      </c>
      <c r="P2689" s="20" t="str">
        <f ca="1">IFERROR(VLOOKUP(O2689,EMAILS!B:C,2,FALSE),"NOT FOUND IN EMAILS")</f>
        <v>supplier@gmail.com</v>
      </c>
      <c r="Q2689" t="str">
        <f ca="1">""&amp;IFERROR(VLOOKUP(O2689,EMAILS!B:D,3,FALSE),"NOT FOUND IN EMAILS")</f>
        <v/>
      </c>
      <c r="R2689" t="str">
        <f ca="1">""&amp;IFERROR(VLOOKUP(O2689,EMAILS!B:E,4,FALSE),"NO T FOUND IN EMAILS")</f>
        <v/>
      </c>
    </row>
    <row r="2690" spans="2:18" x14ac:dyDescent="0.25">
      <c r="B2690" s="5" t="s">
        <v>2692</v>
      </c>
      <c r="C2690" s="5" t="s">
        <v>6832</v>
      </c>
      <c r="D2690" s="5">
        <v>0</v>
      </c>
      <c r="E2690" s="5">
        <v>8</v>
      </c>
      <c r="F2690" s="5">
        <v>2</v>
      </c>
      <c r="G2690" s="5">
        <v>11</v>
      </c>
      <c r="H2690" s="5">
        <v>1</v>
      </c>
      <c r="I2690" s="5">
        <v>3</v>
      </c>
      <c r="J2690" s="5">
        <v>3</v>
      </c>
      <c r="K2690" s="5">
        <v>0</v>
      </c>
      <c r="L2690" s="5">
        <v>3</v>
      </c>
      <c r="M2690" s="5">
        <v>0</v>
      </c>
      <c r="N2690" s="5">
        <v>0</v>
      </c>
      <c r="O2690" s="5" t="str">
        <f t="shared" ca="1" si="41"/>
        <v>Supplier 175</v>
      </c>
      <c r="P2690" s="20" t="str">
        <f ca="1">IFERROR(VLOOKUP(O2690,EMAILS!B:C,2,FALSE),"NOT FOUND IN EMAILS")</f>
        <v>supplier@gmail.com</v>
      </c>
      <c r="Q2690" t="str">
        <f ca="1">""&amp;IFERROR(VLOOKUP(O2690,EMAILS!B:D,3,FALSE),"NOT FOUND IN EMAILS")</f>
        <v/>
      </c>
      <c r="R2690" t="str">
        <f ca="1">""&amp;IFERROR(VLOOKUP(O2690,EMAILS!B:E,4,FALSE),"NO T FOUND IN EMAILS")</f>
        <v/>
      </c>
    </row>
    <row r="2691" spans="2:18" x14ac:dyDescent="0.25">
      <c r="B2691" s="5" t="s">
        <v>2693</v>
      </c>
      <c r="C2691" s="5" t="s">
        <v>6833</v>
      </c>
      <c r="D2691" s="5">
        <v>0</v>
      </c>
      <c r="E2691" s="5">
        <v>0</v>
      </c>
      <c r="F2691" s="5">
        <v>0</v>
      </c>
      <c r="G2691" s="5">
        <v>0</v>
      </c>
      <c r="H2691" s="5">
        <v>0</v>
      </c>
      <c r="I2691" s="5">
        <v>0</v>
      </c>
      <c r="J2691" s="5">
        <v>0</v>
      </c>
      <c r="K2691" s="5">
        <v>0</v>
      </c>
      <c r="L2691" s="5">
        <v>0</v>
      </c>
      <c r="M2691" s="5">
        <v>0</v>
      </c>
      <c r="N2691" s="5">
        <v>0</v>
      </c>
      <c r="O2691" s="5" t="str">
        <f t="shared" ref="O2691:O2754" ca="1" si="42">"Supplier "&amp;RANDBETWEEN(1,200)</f>
        <v>Supplier 110</v>
      </c>
      <c r="P2691" s="20" t="str">
        <f ca="1">IFERROR(VLOOKUP(O2691,EMAILS!B:C,2,FALSE),"NOT FOUND IN EMAILS")</f>
        <v>supplier@gmail.com</v>
      </c>
      <c r="Q2691" t="str">
        <f ca="1">""&amp;IFERROR(VLOOKUP(O2691,EMAILS!B:D,3,FALSE),"NOT FOUND IN EMAILS")</f>
        <v/>
      </c>
      <c r="R2691" t="str">
        <f ca="1">""&amp;IFERROR(VLOOKUP(O2691,EMAILS!B:E,4,FALSE),"NO T FOUND IN EMAILS")</f>
        <v/>
      </c>
    </row>
    <row r="2692" spans="2:18" x14ac:dyDescent="0.25">
      <c r="B2692" s="5" t="s">
        <v>2694</v>
      </c>
      <c r="C2692" s="5" t="s">
        <v>6834</v>
      </c>
      <c r="D2692" s="5">
        <v>0</v>
      </c>
      <c r="E2692" s="5">
        <v>0</v>
      </c>
      <c r="F2692" s="5">
        <v>0</v>
      </c>
      <c r="G2692" s="5">
        <v>0</v>
      </c>
      <c r="H2692" s="5">
        <v>0</v>
      </c>
      <c r="I2692" s="5">
        <v>0</v>
      </c>
      <c r="J2692" s="5">
        <v>0</v>
      </c>
      <c r="K2692" s="5">
        <v>0</v>
      </c>
      <c r="L2692" s="5">
        <v>0</v>
      </c>
      <c r="M2692" s="5">
        <v>0</v>
      </c>
      <c r="N2692" s="5">
        <v>21</v>
      </c>
      <c r="O2692" s="5" t="str">
        <f t="shared" ca="1" si="42"/>
        <v>Supplier 152</v>
      </c>
      <c r="P2692" s="20" t="str">
        <f ca="1">IFERROR(VLOOKUP(O2692,EMAILS!B:C,2,FALSE),"NOT FOUND IN EMAILS")</f>
        <v>supplier@gmail.com</v>
      </c>
      <c r="Q2692" t="str">
        <f ca="1">""&amp;IFERROR(VLOOKUP(O2692,EMAILS!B:D,3,FALSE),"NOT FOUND IN EMAILS")</f>
        <v/>
      </c>
      <c r="R2692" t="str">
        <f ca="1">""&amp;IFERROR(VLOOKUP(O2692,EMAILS!B:E,4,FALSE),"NO T FOUND IN EMAILS")</f>
        <v/>
      </c>
    </row>
    <row r="2693" spans="2:18" x14ac:dyDescent="0.25">
      <c r="B2693" s="5" t="s">
        <v>2695</v>
      </c>
      <c r="C2693" s="5" t="s">
        <v>6835</v>
      </c>
      <c r="D2693" s="5">
        <v>4</v>
      </c>
      <c r="E2693" s="5">
        <v>3</v>
      </c>
      <c r="F2693" s="5">
        <v>1</v>
      </c>
      <c r="G2693" s="5">
        <v>6</v>
      </c>
      <c r="H2693" s="5">
        <v>0</v>
      </c>
      <c r="I2693" s="5">
        <v>1</v>
      </c>
      <c r="J2693" s="5">
        <v>2</v>
      </c>
      <c r="K2693" s="5">
        <v>8</v>
      </c>
      <c r="L2693" s="5">
        <v>4</v>
      </c>
      <c r="M2693" s="5">
        <v>0</v>
      </c>
      <c r="N2693" s="5">
        <v>760</v>
      </c>
      <c r="O2693" s="5" t="str">
        <f t="shared" ca="1" si="42"/>
        <v>Supplier 173</v>
      </c>
      <c r="P2693" s="20" t="str">
        <f ca="1">IFERROR(VLOOKUP(O2693,EMAILS!B:C,2,FALSE),"NOT FOUND IN EMAILS")</f>
        <v>supplier@gmail.com</v>
      </c>
      <c r="Q2693" t="str">
        <f ca="1">""&amp;IFERROR(VLOOKUP(O2693,EMAILS!B:D,3,FALSE),"NOT FOUND IN EMAILS")</f>
        <v/>
      </c>
      <c r="R2693" t="str">
        <f ca="1">""&amp;IFERROR(VLOOKUP(O2693,EMAILS!B:E,4,FALSE),"NO T FOUND IN EMAILS")</f>
        <v/>
      </c>
    </row>
    <row r="2694" spans="2:18" x14ac:dyDescent="0.25">
      <c r="B2694" s="5" t="s">
        <v>2696</v>
      </c>
      <c r="C2694" s="5" t="s">
        <v>6836</v>
      </c>
      <c r="D2694" s="5">
        <v>0</v>
      </c>
      <c r="E2694" s="5">
        <v>0</v>
      </c>
      <c r="F2694" s="5">
        <v>0</v>
      </c>
      <c r="G2694" s="5">
        <v>6</v>
      </c>
      <c r="H2694" s="5">
        <v>0</v>
      </c>
      <c r="I2694" s="5">
        <v>0</v>
      </c>
      <c r="J2694" s="5">
        <v>0</v>
      </c>
      <c r="K2694" s="5">
        <v>0</v>
      </c>
      <c r="L2694" s="5">
        <v>0</v>
      </c>
      <c r="M2694" s="5">
        <v>0</v>
      </c>
      <c r="N2694" s="5">
        <v>53</v>
      </c>
      <c r="O2694" s="5" t="str">
        <f t="shared" ca="1" si="42"/>
        <v>Supplier 32</v>
      </c>
      <c r="P2694" s="20" t="str">
        <f ca="1">IFERROR(VLOOKUP(O2694,EMAILS!B:C,2,FALSE),"NOT FOUND IN EMAILS")</f>
        <v>supplier@gmail.com</v>
      </c>
      <c r="Q2694" t="str">
        <f ca="1">""&amp;IFERROR(VLOOKUP(O2694,EMAILS!B:D,3,FALSE),"NOT FOUND IN EMAILS")</f>
        <v/>
      </c>
      <c r="R2694" t="str">
        <f ca="1">""&amp;IFERROR(VLOOKUP(O2694,EMAILS!B:E,4,FALSE),"NO T FOUND IN EMAILS")</f>
        <v/>
      </c>
    </row>
    <row r="2695" spans="2:18" x14ac:dyDescent="0.25">
      <c r="B2695" s="5" t="s">
        <v>2697</v>
      </c>
      <c r="C2695" s="5" t="s">
        <v>6837</v>
      </c>
      <c r="D2695" s="5">
        <v>3</v>
      </c>
      <c r="E2695" s="5">
        <v>1</v>
      </c>
      <c r="F2695" s="5">
        <v>3</v>
      </c>
      <c r="G2695" s="5">
        <v>3</v>
      </c>
      <c r="H2695" s="5">
        <v>3</v>
      </c>
      <c r="I2695" s="5">
        <v>1</v>
      </c>
      <c r="J2695" s="5">
        <v>2</v>
      </c>
      <c r="K2695" s="5">
        <v>4</v>
      </c>
      <c r="L2695" s="5">
        <v>1</v>
      </c>
      <c r="M2695" s="5">
        <v>0</v>
      </c>
      <c r="N2695" s="5">
        <v>35</v>
      </c>
      <c r="O2695" s="5" t="str">
        <f t="shared" ca="1" si="42"/>
        <v>Supplier 109</v>
      </c>
      <c r="P2695" s="20" t="str">
        <f ca="1">IFERROR(VLOOKUP(O2695,EMAILS!B:C,2,FALSE),"NOT FOUND IN EMAILS")</f>
        <v>supplier@gmail.com</v>
      </c>
      <c r="Q2695" t="str">
        <f ca="1">""&amp;IFERROR(VLOOKUP(O2695,EMAILS!B:D,3,FALSE),"NOT FOUND IN EMAILS")</f>
        <v/>
      </c>
      <c r="R2695" t="str">
        <f ca="1">""&amp;IFERROR(VLOOKUP(O2695,EMAILS!B:E,4,FALSE),"NO T FOUND IN EMAILS")</f>
        <v/>
      </c>
    </row>
    <row r="2696" spans="2:18" x14ac:dyDescent="0.25">
      <c r="B2696" s="5" t="s">
        <v>2698</v>
      </c>
      <c r="C2696" s="5" t="s">
        <v>6838</v>
      </c>
      <c r="D2696" s="5">
        <v>0</v>
      </c>
      <c r="E2696" s="5">
        <v>1</v>
      </c>
      <c r="F2696" s="5">
        <v>2</v>
      </c>
      <c r="G2696" s="5">
        <v>2</v>
      </c>
      <c r="H2696" s="5">
        <v>2</v>
      </c>
      <c r="I2696" s="5">
        <v>3</v>
      </c>
      <c r="J2696" s="5">
        <v>6</v>
      </c>
      <c r="K2696" s="5">
        <v>1</v>
      </c>
      <c r="L2696" s="5">
        <v>0</v>
      </c>
      <c r="M2696" s="5">
        <v>0</v>
      </c>
      <c r="N2696" s="5">
        <v>0</v>
      </c>
      <c r="O2696" s="5" t="str">
        <f t="shared" ca="1" si="42"/>
        <v>Supplier 75</v>
      </c>
      <c r="P2696" s="20" t="str">
        <f ca="1">IFERROR(VLOOKUP(O2696,EMAILS!B:C,2,FALSE),"NOT FOUND IN EMAILS")</f>
        <v>supplier@gmail.com</v>
      </c>
      <c r="Q2696" t="str">
        <f ca="1">""&amp;IFERROR(VLOOKUP(O2696,EMAILS!B:D,3,FALSE),"NOT FOUND IN EMAILS")</f>
        <v/>
      </c>
      <c r="R2696" t="str">
        <f ca="1">""&amp;IFERROR(VLOOKUP(O2696,EMAILS!B:E,4,FALSE),"NO T FOUND IN EMAILS")</f>
        <v/>
      </c>
    </row>
    <row r="2697" spans="2:18" x14ac:dyDescent="0.25">
      <c r="B2697" s="5" t="s">
        <v>2699</v>
      </c>
      <c r="C2697" s="5" t="s">
        <v>6839</v>
      </c>
      <c r="D2697" s="5">
        <v>0</v>
      </c>
      <c r="E2697" s="5">
        <v>0</v>
      </c>
      <c r="F2697" s="5">
        <v>0</v>
      </c>
      <c r="G2697" s="5">
        <v>0</v>
      </c>
      <c r="H2697" s="5">
        <v>0</v>
      </c>
      <c r="I2697" s="5">
        <v>0</v>
      </c>
      <c r="J2697" s="5">
        <v>0</v>
      </c>
      <c r="K2697" s="5">
        <v>0</v>
      </c>
      <c r="L2697" s="5">
        <v>0</v>
      </c>
      <c r="M2697" s="5">
        <v>0</v>
      </c>
      <c r="N2697" s="5">
        <v>0</v>
      </c>
      <c r="O2697" s="5" t="str">
        <f t="shared" ca="1" si="42"/>
        <v>Supplier 94</v>
      </c>
      <c r="P2697" s="20" t="str">
        <f ca="1">IFERROR(VLOOKUP(O2697,EMAILS!B:C,2,FALSE),"NOT FOUND IN EMAILS")</f>
        <v>supplier@gmail.com</v>
      </c>
      <c r="Q2697" t="str">
        <f ca="1">""&amp;IFERROR(VLOOKUP(O2697,EMAILS!B:D,3,FALSE),"NOT FOUND IN EMAILS")</f>
        <v/>
      </c>
      <c r="R2697" t="str">
        <f ca="1">""&amp;IFERROR(VLOOKUP(O2697,EMAILS!B:E,4,FALSE),"NO T FOUND IN EMAILS")</f>
        <v/>
      </c>
    </row>
    <row r="2698" spans="2:18" x14ac:dyDescent="0.25">
      <c r="B2698" s="5" t="s">
        <v>2700</v>
      </c>
      <c r="C2698" s="5" t="s">
        <v>6840</v>
      </c>
      <c r="D2698" s="5">
        <v>0</v>
      </c>
      <c r="E2698" s="5">
        <v>0</v>
      </c>
      <c r="F2698" s="5">
        <v>0</v>
      </c>
      <c r="G2698" s="5">
        <v>0</v>
      </c>
      <c r="H2698" s="5">
        <v>0</v>
      </c>
      <c r="I2698" s="5">
        <v>0</v>
      </c>
      <c r="J2698" s="5">
        <v>0</v>
      </c>
      <c r="K2698" s="5">
        <v>0</v>
      </c>
      <c r="L2698" s="5">
        <v>0</v>
      </c>
      <c r="M2698" s="5">
        <v>0</v>
      </c>
      <c r="N2698" s="5">
        <v>616</v>
      </c>
      <c r="O2698" s="5" t="str">
        <f t="shared" ca="1" si="42"/>
        <v>Supplier 126</v>
      </c>
      <c r="P2698" s="20" t="str">
        <f ca="1">IFERROR(VLOOKUP(O2698,EMAILS!B:C,2,FALSE),"NOT FOUND IN EMAILS")</f>
        <v>supplier@gmail.com</v>
      </c>
      <c r="Q2698" t="str">
        <f ca="1">""&amp;IFERROR(VLOOKUP(O2698,EMAILS!B:D,3,FALSE),"NOT FOUND IN EMAILS")</f>
        <v/>
      </c>
      <c r="R2698" t="str">
        <f ca="1">""&amp;IFERROR(VLOOKUP(O2698,EMAILS!B:E,4,FALSE),"NO T FOUND IN EMAILS")</f>
        <v/>
      </c>
    </row>
    <row r="2699" spans="2:18" x14ac:dyDescent="0.25">
      <c r="B2699" s="5" t="s">
        <v>2701</v>
      </c>
      <c r="C2699" s="5" t="s">
        <v>6841</v>
      </c>
      <c r="D2699" s="5">
        <v>0</v>
      </c>
      <c r="E2699" s="5">
        <v>0</v>
      </c>
      <c r="F2699" s="5">
        <v>0</v>
      </c>
      <c r="G2699" s="5">
        <v>0</v>
      </c>
      <c r="H2699" s="5">
        <v>50</v>
      </c>
      <c r="I2699" s="5">
        <v>0</v>
      </c>
      <c r="J2699" s="5">
        <v>0</v>
      </c>
      <c r="K2699" s="5">
        <v>50</v>
      </c>
      <c r="L2699" s="5">
        <v>0</v>
      </c>
      <c r="M2699" s="5">
        <v>0</v>
      </c>
      <c r="N2699" s="5">
        <v>0</v>
      </c>
      <c r="O2699" s="5" t="str">
        <f t="shared" ca="1" si="42"/>
        <v>Supplier 38</v>
      </c>
      <c r="P2699" s="20" t="str">
        <f ca="1">IFERROR(VLOOKUP(O2699,EMAILS!B:C,2,FALSE),"NOT FOUND IN EMAILS")</f>
        <v>supplier@gmail.com</v>
      </c>
      <c r="Q2699" t="str">
        <f ca="1">""&amp;IFERROR(VLOOKUP(O2699,EMAILS!B:D,3,FALSE),"NOT FOUND IN EMAILS")</f>
        <v/>
      </c>
      <c r="R2699" t="str">
        <f ca="1">""&amp;IFERROR(VLOOKUP(O2699,EMAILS!B:E,4,FALSE),"NO T FOUND IN EMAILS")</f>
        <v/>
      </c>
    </row>
    <row r="2700" spans="2:18" x14ac:dyDescent="0.25">
      <c r="B2700" s="5" t="s">
        <v>2702</v>
      </c>
      <c r="C2700" s="5" t="s">
        <v>6842</v>
      </c>
      <c r="D2700" s="5">
        <v>0</v>
      </c>
      <c r="E2700" s="5">
        <v>0</v>
      </c>
      <c r="F2700" s="5">
        <v>0</v>
      </c>
      <c r="G2700" s="5">
        <v>0</v>
      </c>
      <c r="H2700" s="5">
        <v>50</v>
      </c>
      <c r="I2700" s="5">
        <v>0</v>
      </c>
      <c r="J2700" s="5">
        <v>0</v>
      </c>
      <c r="K2700" s="5">
        <v>50</v>
      </c>
      <c r="L2700" s="5">
        <v>0</v>
      </c>
      <c r="M2700" s="5">
        <v>0</v>
      </c>
      <c r="N2700" s="5">
        <v>12976</v>
      </c>
      <c r="O2700" s="5" t="str">
        <f t="shared" ca="1" si="42"/>
        <v>Supplier 52</v>
      </c>
      <c r="P2700" s="20" t="str">
        <f ca="1">IFERROR(VLOOKUP(O2700,EMAILS!B:C,2,FALSE),"NOT FOUND IN EMAILS")</f>
        <v>supplier@gmail.com</v>
      </c>
      <c r="Q2700" t="str">
        <f ca="1">""&amp;IFERROR(VLOOKUP(O2700,EMAILS!B:D,3,FALSE),"NOT FOUND IN EMAILS")</f>
        <v/>
      </c>
      <c r="R2700" t="str">
        <f ca="1">""&amp;IFERROR(VLOOKUP(O2700,EMAILS!B:E,4,FALSE),"NO T FOUND IN EMAILS")</f>
        <v/>
      </c>
    </row>
    <row r="2701" spans="2:18" x14ac:dyDescent="0.25">
      <c r="B2701" s="5" t="s">
        <v>2703</v>
      </c>
      <c r="C2701" s="5" t="s">
        <v>6843</v>
      </c>
      <c r="D2701" s="5">
        <v>0</v>
      </c>
      <c r="E2701" s="5">
        <v>0</v>
      </c>
      <c r="F2701" s="5">
        <v>0</v>
      </c>
      <c r="G2701" s="5">
        <v>0</v>
      </c>
      <c r="H2701" s="5">
        <v>0</v>
      </c>
      <c r="I2701" s="5">
        <v>0</v>
      </c>
      <c r="J2701" s="5">
        <v>0</v>
      </c>
      <c r="K2701" s="5">
        <v>0</v>
      </c>
      <c r="L2701" s="5">
        <v>0</v>
      </c>
      <c r="M2701" s="5">
        <v>0</v>
      </c>
      <c r="N2701" s="5">
        <v>0</v>
      </c>
      <c r="O2701" s="5" t="str">
        <f t="shared" ca="1" si="42"/>
        <v>Supplier 173</v>
      </c>
      <c r="P2701" s="20" t="str">
        <f ca="1">IFERROR(VLOOKUP(O2701,EMAILS!B:C,2,FALSE),"NOT FOUND IN EMAILS")</f>
        <v>supplier@gmail.com</v>
      </c>
      <c r="Q2701" t="str">
        <f ca="1">""&amp;IFERROR(VLOOKUP(O2701,EMAILS!B:D,3,FALSE),"NOT FOUND IN EMAILS")</f>
        <v/>
      </c>
      <c r="R2701" t="str">
        <f ca="1">""&amp;IFERROR(VLOOKUP(O2701,EMAILS!B:E,4,FALSE),"NO T FOUND IN EMAILS")</f>
        <v/>
      </c>
    </row>
    <row r="2702" spans="2:18" x14ac:dyDescent="0.25">
      <c r="B2702" s="5" t="s">
        <v>2704</v>
      </c>
      <c r="C2702" s="5" t="s">
        <v>6844</v>
      </c>
      <c r="D2702" s="5">
        <v>270</v>
      </c>
      <c r="E2702" s="5">
        <v>300</v>
      </c>
      <c r="F2702" s="5">
        <v>320</v>
      </c>
      <c r="G2702" s="5">
        <v>360</v>
      </c>
      <c r="H2702" s="5">
        <v>180</v>
      </c>
      <c r="I2702" s="5">
        <v>240</v>
      </c>
      <c r="J2702" s="5">
        <v>240</v>
      </c>
      <c r="K2702" s="5">
        <v>182</v>
      </c>
      <c r="L2702" s="5">
        <v>120</v>
      </c>
      <c r="M2702" s="5">
        <v>0</v>
      </c>
      <c r="N2702" s="5">
        <v>600</v>
      </c>
      <c r="O2702" s="5" t="str">
        <f t="shared" ca="1" si="42"/>
        <v>Supplier 170</v>
      </c>
      <c r="P2702" s="20" t="str">
        <f ca="1">IFERROR(VLOOKUP(O2702,EMAILS!B:C,2,FALSE),"NOT FOUND IN EMAILS")</f>
        <v>supplier@gmail.com</v>
      </c>
      <c r="Q2702" t="str">
        <f ca="1">""&amp;IFERROR(VLOOKUP(O2702,EMAILS!B:D,3,FALSE),"NOT FOUND IN EMAILS")</f>
        <v/>
      </c>
      <c r="R2702" t="str">
        <f ca="1">""&amp;IFERROR(VLOOKUP(O2702,EMAILS!B:E,4,FALSE),"NO T FOUND IN EMAILS")</f>
        <v/>
      </c>
    </row>
    <row r="2703" spans="2:18" x14ac:dyDescent="0.25">
      <c r="B2703" s="5" t="s">
        <v>2705</v>
      </c>
      <c r="C2703" s="5" t="s">
        <v>6845</v>
      </c>
      <c r="D2703" s="5">
        <v>100</v>
      </c>
      <c r="E2703" s="5">
        <v>200</v>
      </c>
      <c r="F2703" s="5">
        <v>100</v>
      </c>
      <c r="G2703" s="5">
        <v>200</v>
      </c>
      <c r="H2703" s="5">
        <v>100</v>
      </c>
      <c r="I2703" s="5">
        <v>200</v>
      </c>
      <c r="J2703" s="5">
        <v>100</v>
      </c>
      <c r="K2703" s="5">
        <v>100</v>
      </c>
      <c r="L2703" s="5">
        <v>100</v>
      </c>
      <c r="M2703" s="5">
        <v>0</v>
      </c>
      <c r="N2703" s="5">
        <v>39</v>
      </c>
      <c r="O2703" s="5" t="str">
        <f t="shared" ca="1" si="42"/>
        <v>Supplier 29</v>
      </c>
      <c r="P2703" s="20" t="str">
        <f ca="1">IFERROR(VLOOKUP(O2703,EMAILS!B:C,2,FALSE),"NOT FOUND IN EMAILS")</f>
        <v>supplier@gmail.com</v>
      </c>
      <c r="Q2703" t="str">
        <f ca="1">""&amp;IFERROR(VLOOKUP(O2703,EMAILS!B:D,3,FALSE),"NOT FOUND IN EMAILS")</f>
        <v/>
      </c>
      <c r="R2703" t="str">
        <f ca="1">""&amp;IFERROR(VLOOKUP(O2703,EMAILS!B:E,4,FALSE),"NO T FOUND IN EMAILS")</f>
        <v/>
      </c>
    </row>
    <row r="2704" spans="2:18" x14ac:dyDescent="0.25">
      <c r="B2704" s="5" t="s">
        <v>2706</v>
      </c>
      <c r="C2704" s="5" t="s">
        <v>6846</v>
      </c>
      <c r="D2704" s="5">
        <v>0</v>
      </c>
      <c r="E2704" s="5">
        <v>0</v>
      </c>
      <c r="F2704" s="5">
        <v>17</v>
      </c>
      <c r="G2704" s="5">
        <v>22</v>
      </c>
      <c r="H2704" s="5">
        <v>2</v>
      </c>
      <c r="I2704" s="5">
        <v>0</v>
      </c>
      <c r="J2704" s="5">
        <v>2</v>
      </c>
      <c r="K2704" s="5">
        <v>5</v>
      </c>
      <c r="L2704" s="5">
        <v>30</v>
      </c>
      <c r="M2704" s="5">
        <v>0</v>
      </c>
      <c r="N2704" s="5">
        <v>11</v>
      </c>
      <c r="O2704" s="5" t="str">
        <f t="shared" ca="1" si="42"/>
        <v>Supplier 144</v>
      </c>
      <c r="P2704" s="20" t="str">
        <f ca="1">IFERROR(VLOOKUP(O2704,EMAILS!B:C,2,FALSE),"NOT FOUND IN EMAILS")</f>
        <v>supplier@gmail.com</v>
      </c>
      <c r="Q2704" t="str">
        <f ca="1">""&amp;IFERROR(VLOOKUP(O2704,EMAILS!B:D,3,FALSE),"NOT FOUND IN EMAILS")</f>
        <v/>
      </c>
      <c r="R2704" t="str">
        <f ca="1">""&amp;IFERROR(VLOOKUP(O2704,EMAILS!B:E,4,FALSE),"NO T FOUND IN EMAILS")</f>
        <v/>
      </c>
    </row>
    <row r="2705" spans="2:18" x14ac:dyDescent="0.25">
      <c r="B2705" s="5" t="s">
        <v>2707</v>
      </c>
      <c r="C2705" s="5" t="s">
        <v>6847</v>
      </c>
      <c r="D2705" s="5">
        <v>0</v>
      </c>
      <c r="E2705" s="5">
        <v>0</v>
      </c>
      <c r="F2705" s="5">
        <v>0</v>
      </c>
      <c r="G2705" s="5">
        <v>0</v>
      </c>
      <c r="H2705" s="5">
        <v>0</v>
      </c>
      <c r="I2705" s="5">
        <v>0</v>
      </c>
      <c r="J2705" s="5">
        <v>0</v>
      </c>
      <c r="K2705" s="5">
        <v>0</v>
      </c>
      <c r="L2705" s="5">
        <v>0</v>
      </c>
      <c r="M2705" s="5">
        <v>0</v>
      </c>
      <c r="N2705" s="5">
        <v>32</v>
      </c>
      <c r="O2705" s="5" t="str">
        <f t="shared" ca="1" si="42"/>
        <v>Supplier 96</v>
      </c>
      <c r="P2705" s="20" t="str">
        <f ca="1">IFERROR(VLOOKUP(O2705,EMAILS!B:C,2,FALSE),"NOT FOUND IN EMAILS")</f>
        <v>supplier@gmail.com</v>
      </c>
      <c r="Q2705" t="str">
        <f ca="1">""&amp;IFERROR(VLOOKUP(O2705,EMAILS!B:D,3,FALSE),"NOT FOUND IN EMAILS")</f>
        <v/>
      </c>
      <c r="R2705" t="str">
        <f ca="1">""&amp;IFERROR(VLOOKUP(O2705,EMAILS!B:E,4,FALSE),"NO T FOUND IN EMAILS")</f>
        <v/>
      </c>
    </row>
    <row r="2706" spans="2:18" x14ac:dyDescent="0.25">
      <c r="B2706" s="5" t="s">
        <v>2708</v>
      </c>
      <c r="C2706" s="5" t="s">
        <v>6848</v>
      </c>
      <c r="D2706" s="5">
        <v>0</v>
      </c>
      <c r="E2706" s="5">
        <v>0</v>
      </c>
      <c r="F2706" s="5">
        <v>0</v>
      </c>
      <c r="G2706" s="5">
        <v>0</v>
      </c>
      <c r="H2706" s="5">
        <v>0</v>
      </c>
      <c r="I2706" s="5">
        <v>0</v>
      </c>
      <c r="J2706" s="5">
        <v>0</v>
      </c>
      <c r="K2706" s="5">
        <v>0</v>
      </c>
      <c r="L2706" s="5">
        <v>0</v>
      </c>
      <c r="M2706" s="5">
        <v>0</v>
      </c>
      <c r="N2706" s="5">
        <v>3</v>
      </c>
      <c r="O2706" s="5" t="str">
        <f t="shared" ca="1" si="42"/>
        <v>Supplier 135</v>
      </c>
      <c r="P2706" s="20" t="str">
        <f ca="1">IFERROR(VLOOKUP(O2706,EMAILS!B:C,2,FALSE),"NOT FOUND IN EMAILS")</f>
        <v>supplier@gmail.com</v>
      </c>
      <c r="Q2706" t="str">
        <f ca="1">""&amp;IFERROR(VLOOKUP(O2706,EMAILS!B:D,3,FALSE),"NOT FOUND IN EMAILS")</f>
        <v/>
      </c>
      <c r="R2706" t="str">
        <f ca="1">""&amp;IFERROR(VLOOKUP(O2706,EMAILS!B:E,4,FALSE),"NO T FOUND IN EMAILS")</f>
        <v/>
      </c>
    </row>
    <row r="2707" spans="2:18" x14ac:dyDescent="0.25">
      <c r="B2707" s="5" t="s">
        <v>2709</v>
      </c>
      <c r="C2707" s="5" t="s">
        <v>6849</v>
      </c>
      <c r="D2707" s="5">
        <v>2</v>
      </c>
      <c r="E2707" s="5">
        <v>0</v>
      </c>
      <c r="F2707" s="5">
        <v>2</v>
      </c>
      <c r="G2707" s="5">
        <v>2</v>
      </c>
      <c r="H2707" s="5">
        <v>0</v>
      </c>
      <c r="I2707" s="5">
        <v>0</v>
      </c>
      <c r="J2707" s="5">
        <v>0</v>
      </c>
      <c r="K2707" s="5">
        <v>0</v>
      </c>
      <c r="L2707" s="5">
        <v>0</v>
      </c>
      <c r="M2707" s="5">
        <v>0</v>
      </c>
      <c r="N2707" s="5">
        <v>0</v>
      </c>
      <c r="O2707" s="5" t="str">
        <f t="shared" ca="1" si="42"/>
        <v>Supplier 192</v>
      </c>
      <c r="P2707" s="20" t="str">
        <f ca="1">IFERROR(VLOOKUP(O2707,EMAILS!B:C,2,FALSE),"NOT FOUND IN EMAILS")</f>
        <v>supplier@gmail.com</v>
      </c>
      <c r="Q2707" t="str">
        <f ca="1">""&amp;IFERROR(VLOOKUP(O2707,EMAILS!B:D,3,FALSE),"NOT FOUND IN EMAILS")</f>
        <v/>
      </c>
      <c r="R2707" t="str">
        <f ca="1">""&amp;IFERROR(VLOOKUP(O2707,EMAILS!B:E,4,FALSE),"NO T FOUND IN EMAILS")</f>
        <v/>
      </c>
    </row>
    <row r="2708" spans="2:18" x14ac:dyDescent="0.25">
      <c r="B2708" s="5" t="s">
        <v>2710</v>
      </c>
      <c r="C2708" s="5" t="s">
        <v>6850</v>
      </c>
      <c r="D2708" s="5">
        <v>1</v>
      </c>
      <c r="E2708" s="5">
        <v>0</v>
      </c>
      <c r="F2708" s="5">
        <v>0</v>
      </c>
      <c r="G2708" s="5">
        <v>1</v>
      </c>
      <c r="H2708" s="5">
        <v>0</v>
      </c>
      <c r="I2708" s="5">
        <v>0</v>
      </c>
      <c r="J2708" s="5">
        <v>0</v>
      </c>
      <c r="K2708" s="5">
        <v>0</v>
      </c>
      <c r="L2708" s="5">
        <v>0</v>
      </c>
      <c r="M2708" s="5">
        <v>0</v>
      </c>
      <c r="N2708" s="5">
        <v>0</v>
      </c>
      <c r="O2708" s="5" t="str">
        <f t="shared" ca="1" si="42"/>
        <v>Supplier 160</v>
      </c>
      <c r="P2708" s="20" t="str">
        <f ca="1">IFERROR(VLOOKUP(O2708,EMAILS!B:C,2,FALSE),"NOT FOUND IN EMAILS")</f>
        <v>supplier@gmail.com</v>
      </c>
      <c r="Q2708" t="str">
        <f ca="1">""&amp;IFERROR(VLOOKUP(O2708,EMAILS!B:D,3,FALSE),"NOT FOUND IN EMAILS")</f>
        <v/>
      </c>
      <c r="R2708" t="str">
        <f ca="1">""&amp;IFERROR(VLOOKUP(O2708,EMAILS!B:E,4,FALSE),"NO T FOUND IN EMAILS")</f>
        <v/>
      </c>
    </row>
    <row r="2709" spans="2:18" x14ac:dyDescent="0.25">
      <c r="B2709" s="5" t="s">
        <v>2711</v>
      </c>
      <c r="C2709" s="5" t="s">
        <v>6851</v>
      </c>
      <c r="D2709" s="5">
        <v>1</v>
      </c>
      <c r="E2709" s="5">
        <v>0</v>
      </c>
      <c r="F2709" s="5">
        <v>1</v>
      </c>
      <c r="G2709" s="5">
        <v>1</v>
      </c>
      <c r="H2709" s="5">
        <v>0</v>
      </c>
      <c r="I2709" s="5">
        <v>0</v>
      </c>
      <c r="J2709" s="5">
        <v>0</v>
      </c>
      <c r="K2709" s="5">
        <v>0</v>
      </c>
      <c r="L2709" s="5">
        <v>0</v>
      </c>
      <c r="M2709" s="5">
        <v>0</v>
      </c>
      <c r="N2709" s="5">
        <v>0</v>
      </c>
      <c r="O2709" s="5" t="str">
        <f t="shared" ca="1" si="42"/>
        <v>Supplier 160</v>
      </c>
      <c r="P2709" s="20" t="str">
        <f ca="1">IFERROR(VLOOKUP(O2709,EMAILS!B:C,2,FALSE),"NOT FOUND IN EMAILS")</f>
        <v>supplier@gmail.com</v>
      </c>
      <c r="Q2709" t="str">
        <f ca="1">""&amp;IFERROR(VLOOKUP(O2709,EMAILS!B:D,3,FALSE),"NOT FOUND IN EMAILS")</f>
        <v/>
      </c>
      <c r="R2709" t="str">
        <f ca="1">""&amp;IFERROR(VLOOKUP(O2709,EMAILS!B:E,4,FALSE),"NO T FOUND IN EMAILS")</f>
        <v/>
      </c>
    </row>
    <row r="2710" spans="2:18" x14ac:dyDescent="0.25">
      <c r="B2710" s="5" t="s">
        <v>2712</v>
      </c>
      <c r="C2710" s="5" t="s">
        <v>6852</v>
      </c>
      <c r="D2710" s="5">
        <v>0</v>
      </c>
      <c r="E2710" s="5">
        <v>0</v>
      </c>
      <c r="F2710" s="5">
        <v>1</v>
      </c>
      <c r="G2710" s="5">
        <v>0</v>
      </c>
      <c r="H2710" s="5">
        <v>0</v>
      </c>
      <c r="I2710" s="5">
        <v>0</v>
      </c>
      <c r="J2710" s="5">
        <v>0</v>
      </c>
      <c r="K2710" s="5">
        <v>0</v>
      </c>
      <c r="L2710" s="5">
        <v>0</v>
      </c>
      <c r="M2710" s="5">
        <v>0</v>
      </c>
      <c r="N2710" s="5">
        <v>0</v>
      </c>
      <c r="O2710" s="5" t="str">
        <f t="shared" ca="1" si="42"/>
        <v>Supplier 156</v>
      </c>
      <c r="P2710" s="20" t="str">
        <f ca="1">IFERROR(VLOOKUP(O2710,EMAILS!B:C,2,FALSE),"NOT FOUND IN EMAILS")</f>
        <v>supplier@gmail.com</v>
      </c>
      <c r="Q2710" t="str">
        <f ca="1">""&amp;IFERROR(VLOOKUP(O2710,EMAILS!B:D,3,FALSE),"NOT FOUND IN EMAILS")</f>
        <v/>
      </c>
      <c r="R2710" t="str">
        <f ca="1">""&amp;IFERROR(VLOOKUP(O2710,EMAILS!B:E,4,FALSE),"NO T FOUND IN EMAILS")</f>
        <v/>
      </c>
    </row>
    <row r="2711" spans="2:18" x14ac:dyDescent="0.25">
      <c r="B2711" s="5" t="s">
        <v>2713</v>
      </c>
      <c r="C2711" s="5" t="s">
        <v>6853</v>
      </c>
      <c r="D2711" s="5">
        <v>1</v>
      </c>
      <c r="E2711" s="5">
        <v>0</v>
      </c>
      <c r="F2711" s="5">
        <v>0</v>
      </c>
      <c r="G2711" s="5">
        <v>1</v>
      </c>
      <c r="H2711" s="5">
        <v>0</v>
      </c>
      <c r="I2711" s="5">
        <v>0</v>
      </c>
      <c r="J2711" s="5">
        <v>0</v>
      </c>
      <c r="K2711" s="5">
        <v>0</v>
      </c>
      <c r="L2711" s="5">
        <v>0</v>
      </c>
      <c r="M2711" s="5">
        <v>0</v>
      </c>
      <c r="N2711" s="5">
        <v>0</v>
      </c>
      <c r="O2711" s="5" t="str">
        <f t="shared" ca="1" si="42"/>
        <v>Supplier 143</v>
      </c>
      <c r="P2711" s="20" t="str">
        <f ca="1">IFERROR(VLOOKUP(O2711,EMAILS!B:C,2,FALSE),"NOT FOUND IN EMAILS")</f>
        <v>supplier@gmail.com</v>
      </c>
      <c r="Q2711" t="str">
        <f ca="1">""&amp;IFERROR(VLOOKUP(O2711,EMAILS!B:D,3,FALSE),"NOT FOUND IN EMAILS")</f>
        <v/>
      </c>
      <c r="R2711" t="str">
        <f ca="1">""&amp;IFERROR(VLOOKUP(O2711,EMAILS!B:E,4,FALSE),"NO T FOUND IN EMAILS")</f>
        <v/>
      </c>
    </row>
    <row r="2712" spans="2:18" x14ac:dyDescent="0.25">
      <c r="B2712" s="5" t="s">
        <v>2714</v>
      </c>
      <c r="C2712" s="5" t="s">
        <v>6854</v>
      </c>
      <c r="D2712" s="5">
        <v>0</v>
      </c>
      <c r="E2712" s="5">
        <v>0</v>
      </c>
      <c r="F2712" s="5">
        <v>1</v>
      </c>
      <c r="G2712" s="5">
        <v>0</v>
      </c>
      <c r="H2712" s="5">
        <v>0</v>
      </c>
      <c r="I2712" s="5">
        <v>0</v>
      </c>
      <c r="J2712" s="5">
        <v>0</v>
      </c>
      <c r="K2712" s="5">
        <v>0</v>
      </c>
      <c r="L2712" s="5">
        <v>0</v>
      </c>
      <c r="M2712" s="5">
        <v>0</v>
      </c>
      <c r="N2712" s="5">
        <v>0</v>
      </c>
      <c r="O2712" s="5" t="str">
        <f t="shared" ca="1" si="42"/>
        <v>Supplier 23</v>
      </c>
      <c r="P2712" s="20" t="str">
        <f ca="1">IFERROR(VLOOKUP(O2712,EMAILS!B:C,2,FALSE),"NOT FOUND IN EMAILS")</f>
        <v>supplier@gmail.com</v>
      </c>
      <c r="Q2712" t="str">
        <f ca="1">""&amp;IFERROR(VLOOKUP(O2712,EMAILS!B:D,3,FALSE),"NOT FOUND IN EMAILS")</f>
        <v/>
      </c>
      <c r="R2712" t="str">
        <f ca="1">""&amp;IFERROR(VLOOKUP(O2712,EMAILS!B:E,4,FALSE),"NO T FOUND IN EMAILS")</f>
        <v/>
      </c>
    </row>
    <row r="2713" spans="2:18" x14ac:dyDescent="0.25">
      <c r="B2713" s="5" t="s">
        <v>2715</v>
      </c>
      <c r="C2713" s="5" t="s">
        <v>6855</v>
      </c>
      <c r="D2713" s="5">
        <v>0</v>
      </c>
      <c r="E2713" s="5">
        <v>0</v>
      </c>
      <c r="F2713" s="5">
        <v>1</v>
      </c>
      <c r="G2713" s="5">
        <v>0</v>
      </c>
      <c r="H2713" s="5">
        <v>0</v>
      </c>
      <c r="I2713" s="5">
        <v>0</v>
      </c>
      <c r="J2713" s="5">
        <v>0</v>
      </c>
      <c r="K2713" s="5">
        <v>0</v>
      </c>
      <c r="L2713" s="5">
        <v>0</v>
      </c>
      <c r="M2713" s="5">
        <v>0</v>
      </c>
      <c r="N2713" s="5">
        <v>0</v>
      </c>
      <c r="O2713" s="5" t="str">
        <f t="shared" ca="1" si="42"/>
        <v>Supplier 142</v>
      </c>
      <c r="P2713" s="20" t="str">
        <f ca="1">IFERROR(VLOOKUP(O2713,EMAILS!B:C,2,FALSE),"NOT FOUND IN EMAILS")</f>
        <v>supplier@gmail.com</v>
      </c>
      <c r="Q2713" t="str">
        <f ca="1">""&amp;IFERROR(VLOOKUP(O2713,EMAILS!B:D,3,FALSE),"NOT FOUND IN EMAILS")</f>
        <v/>
      </c>
      <c r="R2713" t="str">
        <f ca="1">""&amp;IFERROR(VLOOKUP(O2713,EMAILS!B:E,4,FALSE),"NO T FOUND IN EMAILS")</f>
        <v/>
      </c>
    </row>
    <row r="2714" spans="2:18" x14ac:dyDescent="0.25">
      <c r="B2714" s="5" t="s">
        <v>2716</v>
      </c>
      <c r="C2714" s="5" t="s">
        <v>6856</v>
      </c>
      <c r="D2714" s="5">
        <v>1</v>
      </c>
      <c r="E2714" s="5">
        <v>0</v>
      </c>
      <c r="F2714" s="5">
        <v>1</v>
      </c>
      <c r="G2714" s="5">
        <v>0</v>
      </c>
      <c r="H2714" s="5">
        <v>0</v>
      </c>
      <c r="I2714" s="5">
        <v>0</v>
      </c>
      <c r="J2714" s="5">
        <v>0</v>
      </c>
      <c r="K2714" s="5">
        <v>0</v>
      </c>
      <c r="L2714" s="5">
        <v>0</v>
      </c>
      <c r="M2714" s="5">
        <v>0</v>
      </c>
      <c r="N2714" s="5">
        <v>0</v>
      </c>
      <c r="O2714" s="5" t="str">
        <f t="shared" ca="1" si="42"/>
        <v>Supplier 109</v>
      </c>
      <c r="P2714" s="20" t="str">
        <f ca="1">IFERROR(VLOOKUP(O2714,EMAILS!B:C,2,FALSE),"NOT FOUND IN EMAILS")</f>
        <v>supplier@gmail.com</v>
      </c>
      <c r="Q2714" t="str">
        <f ca="1">""&amp;IFERROR(VLOOKUP(O2714,EMAILS!B:D,3,FALSE),"NOT FOUND IN EMAILS")</f>
        <v/>
      </c>
      <c r="R2714" t="str">
        <f ca="1">""&amp;IFERROR(VLOOKUP(O2714,EMAILS!B:E,4,FALSE),"NO T FOUND IN EMAILS")</f>
        <v/>
      </c>
    </row>
    <row r="2715" spans="2:18" x14ac:dyDescent="0.25">
      <c r="B2715" s="5" t="s">
        <v>2717</v>
      </c>
      <c r="C2715" s="5" t="s">
        <v>6857</v>
      </c>
      <c r="D2715" s="5">
        <v>1</v>
      </c>
      <c r="E2715" s="5">
        <v>0</v>
      </c>
      <c r="F2715" s="5">
        <v>0</v>
      </c>
      <c r="G2715" s="5">
        <v>1</v>
      </c>
      <c r="H2715" s="5">
        <v>0</v>
      </c>
      <c r="I2715" s="5">
        <v>0</v>
      </c>
      <c r="J2715" s="5">
        <v>0</v>
      </c>
      <c r="K2715" s="5">
        <v>0</v>
      </c>
      <c r="L2715" s="5">
        <v>0</v>
      </c>
      <c r="M2715" s="5">
        <v>0</v>
      </c>
      <c r="N2715" s="5">
        <v>0</v>
      </c>
      <c r="O2715" s="5" t="str">
        <f t="shared" ca="1" si="42"/>
        <v>Supplier 10</v>
      </c>
      <c r="P2715" s="20" t="str">
        <f ca="1">IFERROR(VLOOKUP(O2715,EMAILS!B:C,2,FALSE),"NOT FOUND IN EMAILS")</f>
        <v>supplier@gmail.com</v>
      </c>
      <c r="Q2715" t="str">
        <f ca="1">""&amp;IFERROR(VLOOKUP(O2715,EMAILS!B:D,3,FALSE),"NOT FOUND IN EMAILS")</f>
        <v>supplier_logistics@gmail.com</v>
      </c>
      <c r="R2715" t="str">
        <f ca="1">""&amp;IFERROR(VLOOKUP(O2715,EMAILS!B:E,4,FALSE),"NO T FOUND IN EMAILS")</f>
        <v/>
      </c>
    </row>
    <row r="2716" spans="2:18" x14ac:dyDescent="0.25">
      <c r="B2716" s="5" t="s">
        <v>2718</v>
      </c>
      <c r="C2716" s="5" t="s">
        <v>6858</v>
      </c>
      <c r="D2716" s="5">
        <v>1</v>
      </c>
      <c r="E2716" s="5">
        <v>0</v>
      </c>
      <c r="F2716" s="5">
        <v>0</v>
      </c>
      <c r="G2716" s="5">
        <v>1</v>
      </c>
      <c r="H2716" s="5">
        <v>0</v>
      </c>
      <c r="I2716" s="5">
        <v>0</v>
      </c>
      <c r="J2716" s="5">
        <v>0</v>
      </c>
      <c r="K2716" s="5">
        <v>0</v>
      </c>
      <c r="L2716" s="5">
        <v>0</v>
      </c>
      <c r="M2716" s="5">
        <v>0</v>
      </c>
      <c r="N2716" s="5">
        <v>0</v>
      </c>
      <c r="O2716" s="5" t="str">
        <f t="shared" ca="1" si="42"/>
        <v>Supplier 134</v>
      </c>
      <c r="P2716" s="20" t="str">
        <f ca="1">IFERROR(VLOOKUP(O2716,EMAILS!B:C,2,FALSE),"NOT FOUND IN EMAILS")</f>
        <v>supplier@gmail.com</v>
      </c>
      <c r="Q2716" t="str">
        <f ca="1">""&amp;IFERROR(VLOOKUP(O2716,EMAILS!B:D,3,FALSE),"NOT FOUND IN EMAILS")</f>
        <v/>
      </c>
      <c r="R2716" t="str">
        <f ca="1">""&amp;IFERROR(VLOOKUP(O2716,EMAILS!B:E,4,FALSE),"NO T FOUND IN EMAILS")</f>
        <v/>
      </c>
    </row>
    <row r="2717" spans="2:18" x14ac:dyDescent="0.25">
      <c r="B2717" s="5" t="s">
        <v>2719</v>
      </c>
      <c r="C2717" s="5" t="s">
        <v>6859</v>
      </c>
      <c r="D2717" s="5">
        <v>1</v>
      </c>
      <c r="E2717" s="5">
        <v>0</v>
      </c>
      <c r="F2717" s="5">
        <v>0</v>
      </c>
      <c r="G2717" s="5">
        <v>1</v>
      </c>
      <c r="H2717" s="5">
        <v>0</v>
      </c>
      <c r="I2717" s="5">
        <v>0</v>
      </c>
      <c r="J2717" s="5">
        <v>0</v>
      </c>
      <c r="K2717" s="5">
        <v>0</v>
      </c>
      <c r="L2717" s="5">
        <v>0</v>
      </c>
      <c r="M2717" s="5">
        <v>0</v>
      </c>
      <c r="N2717" s="5">
        <v>0</v>
      </c>
      <c r="O2717" s="5" t="str">
        <f t="shared" ca="1" si="42"/>
        <v>Supplier 187</v>
      </c>
      <c r="P2717" s="20" t="str">
        <f ca="1">IFERROR(VLOOKUP(O2717,EMAILS!B:C,2,FALSE),"NOT FOUND IN EMAILS")</f>
        <v>supplier@gmail.com</v>
      </c>
      <c r="Q2717" t="str">
        <f ca="1">""&amp;IFERROR(VLOOKUP(O2717,EMAILS!B:D,3,FALSE),"NOT FOUND IN EMAILS")</f>
        <v/>
      </c>
      <c r="R2717" t="str">
        <f ca="1">""&amp;IFERROR(VLOOKUP(O2717,EMAILS!B:E,4,FALSE),"NO T FOUND IN EMAILS")</f>
        <v/>
      </c>
    </row>
    <row r="2718" spans="2:18" x14ac:dyDescent="0.25">
      <c r="B2718" s="5" t="s">
        <v>2720</v>
      </c>
      <c r="C2718" s="5" t="s">
        <v>6860</v>
      </c>
      <c r="D2718" s="5">
        <v>1</v>
      </c>
      <c r="E2718" s="5">
        <v>0</v>
      </c>
      <c r="F2718" s="5">
        <v>0</v>
      </c>
      <c r="G2718" s="5">
        <v>1</v>
      </c>
      <c r="H2718" s="5">
        <v>0</v>
      </c>
      <c r="I2718" s="5">
        <v>0</v>
      </c>
      <c r="J2718" s="5">
        <v>0</v>
      </c>
      <c r="K2718" s="5">
        <v>0</v>
      </c>
      <c r="L2718" s="5">
        <v>0</v>
      </c>
      <c r="M2718" s="5">
        <v>0</v>
      </c>
      <c r="N2718" s="5">
        <v>4</v>
      </c>
      <c r="O2718" s="5" t="str">
        <f t="shared" ca="1" si="42"/>
        <v>Supplier 88</v>
      </c>
      <c r="P2718" s="20" t="str">
        <f ca="1">IFERROR(VLOOKUP(O2718,EMAILS!B:C,2,FALSE),"NOT FOUND IN EMAILS")</f>
        <v>supplier@gmail.com</v>
      </c>
      <c r="Q2718" t="str">
        <f ca="1">""&amp;IFERROR(VLOOKUP(O2718,EMAILS!B:D,3,FALSE),"NOT FOUND IN EMAILS")</f>
        <v/>
      </c>
      <c r="R2718" t="str">
        <f ca="1">""&amp;IFERROR(VLOOKUP(O2718,EMAILS!B:E,4,FALSE),"NO T FOUND IN EMAILS")</f>
        <v/>
      </c>
    </row>
    <row r="2719" spans="2:18" x14ac:dyDescent="0.25">
      <c r="B2719" s="5" t="s">
        <v>2721</v>
      </c>
      <c r="C2719" s="5" t="s">
        <v>6861</v>
      </c>
      <c r="D2719" s="5">
        <v>8</v>
      </c>
      <c r="E2719" s="5">
        <v>0</v>
      </c>
      <c r="F2719" s="5">
        <v>4</v>
      </c>
      <c r="G2719" s="5">
        <v>6</v>
      </c>
      <c r="H2719" s="5">
        <v>0</v>
      </c>
      <c r="I2719" s="5">
        <v>0</v>
      </c>
      <c r="J2719" s="5">
        <v>0</v>
      </c>
      <c r="K2719" s="5">
        <v>0</v>
      </c>
      <c r="L2719" s="5">
        <v>0</v>
      </c>
      <c r="M2719" s="5">
        <v>0</v>
      </c>
      <c r="N2719" s="5">
        <v>4</v>
      </c>
      <c r="O2719" s="5" t="str">
        <f t="shared" ca="1" si="42"/>
        <v>Supplier 19</v>
      </c>
      <c r="P2719" s="20" t="str">
        <f ca="1">IFERROR(VLOOKUP(O2719,EMAILS!B:C,2,FALSE),"NOT FOUND IN EMAILS")</f>
        <v>supplier@gmail.com</v>
      </c>
      <c r="Q2719" t="str">
        <f ca="1">""&amp;IFERROR(VLOOKUP(O2719,EMAILS!B:D,3,FALSE),"NOT FOUND IN EMAILS")</f>
        <v>supplier_logistics@gmail.com</v>
      </c>
      <c r="R2719" t="str">
        <f ca="1">""&amp;IFERROR(VLOOKUP(O2719,EMAILS!B:E,4,FALSE),"NO T FOUND IN EMAILS")</f>
        <v/>
      </c>
    </row>
    <row r="2720" spans="2:18" x14ac:dyDescent="0.25">
      <c r="B2720" s="5" t="s">
        <v>2722</v>
      </c>
      <c r="C2720" s="5" t="s">
        <v>6862</v>
      </c>
      <c r="D2720" s="5">
        <v>2</v>
      </c>
      <c r="E2720" s="5">
        <v>0</v>
      </c>
      <c r="F2720" s="5">
        <v>4</v>
      </c>
      <c r="G2720" s="5">
        <v>0</v>
      </c>
      <c r="H2720" s="5">
        <v>0</v>
      </c>
      <c r="I2720" s="5">
        <v>0</v>
      </c>
      <c r="J2720" s="5">
        <v>0</v>
      </c>
      <c r="K2720" s="5">
        <v>0</v>
      </c>
      <c r="L2720" s="5">
        <v>0</v>
      </c>
      <c r="M2720" s="5">
        <v>0</v>
      </c>
      <c r="N2720" s="5">
        <v>0</v>
      </c>
      <c r="O2720" s="5" t="str">
        <f t="shared" ca="1" si="42"/>
        <v>Supplier 128</v>
      </c>
      <c r="P2720" s="20" t="str">
        <f ca="1">IFERROR(VLOOKUP(O2720,EMAILS!B:C,2,FALSE),"NOT FOUND IN EMAILS")</f>
        <v>supplier@gmail.com</v>
      </c>
      <c r="Q2720" t="str">
        <f ca="1">""&amp;IFERROR(VLOOKUP(O2720,EMAILS!B:D,3,FALSE),"NOT FOUND IN EMAILS")</f>
        <v/>
      </c>
      <c r="R2720" t="str">
        <f ca="1">""&amp;IFERROR(VLOOKUP(O2720,EMAILS!B:E,4,FALSE),"NO T FOUND IN EMAILS")</f>
        <v/>
      </c>
    </row>
    <row r="2721" spans="2:18" x14ac:dyDescent="0.25">
      <c r="B2721" s="5" t="s">
        <v>2723</v>
      </c>
      <c r="C2721" s="5" t="s">
        <v>6863</v>
      </c>
      <c r="D2721" s="5">
        <v>2</v>
      </c>
      <c r="E2721" s="5">
        <v>0</v>
      </c>
      <c r="F2721" s="5">
        <v>0</v>
      </c>
      <c r="G2721" s="5">
        <v>2</v>
      </c>
      <c r="H2721" s="5">
        <v>0</v>
      </c>
      <c r="I2721" s="5">
        <v>0</v>
      </c>
      <c r="J2721" s="5">
        <v>0</v>
      </c>
      <c r="K2721" s="5">
        <v>0</v>
      </c>
      <c r="L2721" s="5">
        <v>0</v>
      </c>
      <c r="M2721" s="5">
        <v>0</v>
      </c>
      <c r="N2721" s="5">
        <v>0</v>
      </c>
      <c r="O2721" s="5" t="str">
        <f t="shared" ca="1" si="42"/>
        <v>Supplier 22</v>
      </c>
      <c r="P2721" s="20" t="str">
        <f ca="1">IFERROR(VLOOKUP(O2721,EMAILS!B:C,2,FALSE),"NOT FOUND IN EMAILS")</f>
        <v>supplier@gmail.com</v>
      </c>
      <c r="Q2721" t="str">
        <f ca="1">""&amp;IFERROR(VLOOKUP(O2721,EMAILS!B:D,3,FALSE),"NOT FOUND IN EMAILS")</f>
        <v/>
      </c>
      <c r="R2721" t="str">
        <f ca="1">""&amp;IFERROR(VLOOKUP(O2721,EMAILS!B:E,4,FALSE),"NO T FOUND IN EMAILS")</f>
        <v/>
      </c>
    </row>
    <row r="2722" spans="2:18" x14ac:dyDescent="0.25">
      <c r="B2722" s="5" t="s">
        <v>2724</v>
      </c>
      <c r="C2722" s="5" t="s">
        <v>6864</v>
      </c>
      <c r="D2722" s="5">
        <v>1</v>
      </c>
      <c r="E2722" s="5">
        <v>0</v>
      </c>
      <c r="F2722" s="5">
        <v>0</v>
      </c>
      <c r="G2722" s="5">
        <v>1</v>
      </c>
      <c r="H2722" s="5">
        <v>0</v>
      </c>
      <c r="I2722" s="5">
        <v>0</v>
      </c>
      <c r="J2722" s="5">
        <v>0</v>
      </c>
      <c r="K2722" s="5">
        <v>0</v>
      </c>
      <c r="L2722" s="5">
        <v>0</v>
      </c>
      <c r="M2722" s="5">
        <v>0</v>
      </c>
      <c r="N2722" s="5">
        <v>0</v>
      </c>
      <c r="O2722" s="5" t="str">
        <f t="shared" ca="1" si="42"/>
        <v>Supplier 39</v>
      </c>
      <c r="P2722" s="20" t="str">
        <f ca="1">IFERROR(VLOOKUP(O2722,EMAILS!B:C,2,FALSE),"NOT FOUND IN EMAILS")</f>
        <v>supplier@gmail.com</v>
      </c>
      <c r="Q2722" t="str">
        <f ca="1">""&amp;IFERROR(VLOOKUP(O2722,EMAILS!B:D,3,FALSE),"NOT FOUND IN EMAILS")</f>
        <v/>
      </c>
      <c r="R2722" t="str">
        <f ca="1">""&amp;IFERROR(VLOOKUP(O2722,EMAILS!B:E,4,FALSE),"NO T FOUND IN EMAILS")</f>
        <v/>
      </c>
    </row>
    <row r="2723" spans="2:18" x14ac:dyDescent="0.25">
      <c r="B2723" s="5" t="s">
        <v>2725</v>
      </c>
      <c r="C2723" s="5" t="s">
        <v>6865</v>
      </c>
      <c r="D2723" s="5">
        <v>1</v>
      </c>
      <c r="E2723" s="5">
        <v>0</v>
      </c>
      <c r="F2723" s="5">
        <v>0</v>
      </c>
      <c r="G2723" s="5">
        <v>1</v>
      </c>
      <c r="H2723" s="5">
        <v>0</v>
      </c>
      <c r="I2723" s="5">
        <v>0</v>
      </c>
      <c r="J2723" s="5">
        <v>0</v>
      </c>
      <c r="K2723" s="5">
        <v>0</v>
      </c>
      <c r="L2723" s="5">
        <v>0</v>
      </c>
      <c r="M2723" s="5">
        <v>0</v>
      </c>
      <c r="N2723" s="5">
        <v>0</v>
      </c>
      <c r="O2723" s="5" t="str">
        <f t="shared" ca="1" si="42"/>
        <v>Supplier 184</v>
      </c>
      <c r="P2723" s="20" t="str">
        <f ca="1">IFERROR(VLOOKUP(O2723,EMAILS!B:C,2,FALSE),"NOT FOUND IN EMAILS")</f>
        <v>supplier@gmail.com</v>
      </c>
      <c r="Q2723" t="str">
        <f ca="1">""&amp;IFERROR(VLOOKUP(O2723,EMAILS!B:D,3,FALSE),"NOT FOUND IN EMAILS")</f>
        <v/>
      </c>
      <c r="R2723" t="str">
        <f ca="1">""&amp;IFERROR(VLOOKUP(O2723,EMAILS!B:E,4,FALSE),"NO T FOUND IN EMAILS")</f>
        <v/>
      </c>
    </row>
    <row r="2724" spans="2:18" x14ac:dyDescent="0.25">
      <c r="B2724" s="5" t="s">
        <v>2726</v>
      </c>
      <c r="C2724" s="5" t="s">
        <v>6866</v>
      </c>
      <c r="D2724" s="5">
        <v>1</v>
      </c>
      <c r="E2724" s="5">
        <v>0</v>
      </c>
      <c r="F2724" s="5">
        <v>0</v>
      </c>
      <c r="G2724" s="5">
        <v>1</v>
      </c>
      <c r="H2724" s="5">
        <v>0</v>
      </c>
      <c r="I2724" s="5">
        <v>0</v>
      </c>
      <c r="J2724" s="5">
        <v>0</v>
      </c>
      <c r="K2724" s="5">
        <v>0</v>
      </c>
      <c r="L2724" s="5">
        <v>0</v>
      </c>
      <c r="M2724" s="5">
        <v>0</v>
      </c>
      <c r="N2724" s="5">
        <v>0</v>
      </c>
      <c r="O2724" s="5" t="str">
        <f t="shared" ca="1" si="42"/>
        <v>Supplier 114</v>
      </c>
      <c r="P2724" s="20" t="str">
        <f ca="1">IFERROR(VLOOKUP(O2724,EMAILS!B:C,2,FALSE),"NOT FOUND IN EMAILS")</f>
        <v>supplier@gmail.com</v>
      </c>
      <c r="Q2724" t="str">
        <f ca="1">""&amp;IFERROR(VLOOKUP(O2724,EMAILS!B:D,3,FALSE),"NOT FOUND IN EMAILS")</f>
        <v/>
      </c>
      <c r="R2724" t="str">
        <f ca="1">""&amp;IFERROR(VLOOKUP(O2724,EMAILS!B:E,4,FALSE),"NO T FOUND IN EMAILS")</f>
        <v/>
      </c>
    </row>
    <row r="2725" spans="2:18" x14ac:dyDescent="0.25">
      <c r="B2725" s="5" t="s">
        <v>2727</v>
      </c>
      <c r="C2725" s="5" t="s">
        <v>6867</v>
      </c>
      <c r="D2725" s="5">
        <v>1</v>
      </c>
      <c r="E2725" s="5">
        <v>0</v>
      </c>
      <c r="F2725" s="5">
        <v>0</v>
      </c>
      <c r="G2725" s="5">
        <v>1</v>
      </c>
      <c r="H2725" s="5">
        <v>0</v>
      </c>
      <c r="I2725" s="5">
        <v>0</v>
      </c>
      <c r="J2725" s="5">
        <v>0</v>
      </c>
      <c r="K2725" s="5">
        <v>0</v>
      </c>
      <c r="L2725" s="5">
        <v>0</v>
      </c>
      <c r="M2725" s="5">
        <v>0</v>
      </c>
      <c r="N2725" s="5">
        <v>5</v>
      </c>
      <c r="O2725" s="5" t="str">
        <f t="shared" ca="1" si="42"/>
        <v>Supplier 100</v>
      </c>
      <c r="P2725" s="20" t="str">
        <f ca="1">IFERROR(VLOOKUP(O2725,EMAILS!B:C,2,FALSE),"NOT FOUND IN EMAILS")</f>
        <v>supplier@gmail.com</v>
      </c>
      <c r="Q2725" t="str">
        <f ca="1">""&amp;IFERROR(VLOOKUP(O2725,EMAILS!B:D,3,FALSE),"NOT FOUND IN EMAILS")</f>
        <v/>
      </c>
      <c r="R2725" t="str">
        <f ca="1">""&amp;IFERROR(VLOOKUP(O2725,EMAILS!B:E,4,FALSE),"NO T FOUND IN EMAILS")</f>
        <v/>
      </c>
    </row>
    <row r="2726" spans="2:18" x14ac:dyDescent="0.25">
      <c r="B2726" s="5" t="s">
        <v>2728</v>
      </c>
      <c r="C2726" s="5" t="s">
        <v>6868</v>
      </c>
      <c r="D2726" s="5">
        <v>8</v>
      </c>
      <c r="E2726" s="5">
        <v>0</v>
      </c>
      <c r="F2726" s="5">
        <v>4</v>
      </c>
      <c r="G2726" s="5">
        <v>6</v>
      </c>
      <c r="H2726" s="5">
        <v>0</v>
      </c>
      <c r="I2726" s="5">
        <v>0</v>
      </c>
      <c r="J2726" s="5">
        <v>0</v>
      </c>
      <c r="K2726" s="5">
        <v>0</v>
      </c>
      <c r="L2726" s="5">
        <v>0</v>
      </c>
      <c r="M2726" s="5">
        <v>0</v>
      </c>
      <c r="N2726" s="5">
        <v>4</v>
      </c>
      <c r="O2726" s="5" t="str">
        <f t="shared" ca="1" si="42"/>
        <v>Supplier 184</v>
      </c>
      <c r="P2726" s="20" t="str">
        <f ca="1">IFERROR(VLOOKUP(O2726,EMAILS!B:C,2,FALSE),"NOT FOUND IN EMAILS")</f>
        <v>supplier@gmail.com</v>
      </c>
      <c r="Q2726" t="str">
        <f ca="1">""&amp;IFERROR(VLOOKUP(O2726,EMAILS!B:D,3,FALSE),"NOT FOUND IN EMAILS")</f>
        <v/>
      </c>
      <c r="R2726" t="str">
        <f ca="1">""&amp;IFERROR(VLOOKUP(O2726,EMAILS!B:E,4,FALSE),"NO T FOUND IN EMAILS")</f>
        <v/>
      </c>
    </row>
    <row r="2727" spans="2:18" x14ac:dyDescent="0.25">
      <c r="B2727" s="5" t="s">
        <v>2729</v>
      </c>
      <c r="C2727" s="5" t="s">
        <v>6869</v>
      </c>
      <c r="D2727" s="5">
        <v>3</v>
      </c>
      <c r="E2727" s="5">
        <v>0</v>
      </c>
      <c r="F2727" s="5">
        <v>2</v>
      </c>
      <c r="G2727" s="5">
        <v>2</v>
      </c>
      <c r="H2727" s="5">
        <v>0</v>
      </c>
      <c r="I2727" s="5">
        <v>0</v>
      </c>
      <c r="J2727" s="5">
        <v>0</v>
      </c>
      <c r="K2727" s="5">
        <v>0</v>
      </c>
      <c r="L2727" s="5">
        <v>0</v>
      </c>
      <c r="M2727" s="5">
        <v>0</v>
      </c>
      <c r="N2727" s="5">
        <v>2</v>
      </c>
      <c r="O2727" s="5" t="str">
        <f t="shared" ca="1" si="42"/>
        <v>Supplier 113</v>
      </c>
      <c r="P2727" s="20" t="str">
        <f ca="1">IFERROR(VLOOKUP(O2727,EMAILS!B:C,2,FALSE),"NOT FOUND IN EMAILS")</f>
        <v>supplier@gmail.com</v>
      </c>
      <c r="Q2727" t="str">
        <f ca="1">""&amp;IFERROR(VLOOKUP(O2727,EMAILS!B:D,3,FALSE),"NOT FOUND IN EMAILS")</f>
        <v/>
      </c>
      <c r="R2727" t="str">
        <f ca="1">""&amp;IFERROR(VLOOKUP(O2727,EMAILS!B:E,4,FALSE),"NO T FOUND IN EMAILS")</f>
        <v/>
      </c>
    </row>
    <row r="2728" spans="2:18" x14ac:dyDescent="0.25">
      <c r="B2728" s="5" t="s">
        <v>2730</v>
      </c>
      <c r="C2728" s="5" t="s">
        <v>6870</v>
      </c>
      <c r="D2728" s="5">
        <v>2</v>
      </c>
      <c r="E2728" s="5">
        <v>0</v>
      </c>
      <c r="F2728" s="5">
        <v>1</v>
      </c>
      <c r="G2728" s="5">
        <v>1</v>
      </c>
      <c r="H2728" s="5">
        <v>0</v>
      </c>
      <c r="I2728" s="5">
        <v>0</v>
      </c>
      <c r="J2728" s="5">
        <v>0</v>
      </c>
      <c r="K2728" s="5">
        <v>0</v>
      </c>
      <c r="L2728" s="5">
        <v>0</v>
      </c>
      <c r="M2728" s="5">
        <v>0</v>
      </c>
      <c r="N2728" s="5">
        <v>2</v>
      </c>
      <c r="O2728" s="5" t="str">
        <f t="shared" ca="1" si="42"/>
        <v>Supplier 58</v>
      </c>
      <c r="P2728" s="20" t="str">
        <f ca="1">IFERROR(VLOOKUP(O2728,EMAILS!B:C,2,FALSE),"NOT FOUND IN EMAILS")</f>
        <v>supplier@gmail.com</v>
      </c>
      <c r="Q2728" t="str">
        <f ca="1">""&amp;IFERROR(VLOOKUP(O2728,EMAILS!B:D,3,FALSE),"NOT FOUND IN EMAILS")</f>
        <v/>
      </c>
      <c r="R2728" t="str">
        <f ca="1">""&amp;IFERROR(VLOOKUP(O2728,EMAILS!B:E,4,FALSE),"NO T FOUND IN EMAILS")</f>
        <v/>
      </c>
    </row>
    <row r="2729" spans="2:18" x14ac:dyDescent="0.25">
      <c r="B2729" s="5" t="s">
        <v>2731</v>
      </c>
      <c r="C2729" s="5" t="s">
        <v>6871</v>
      </c>
      <c r="D2729" s="5">
        <v>1</v>
      </c>
      <c r="E2729" s="5">
        <v>0</v>
      </c>
      <c r="F2729" s="5">
        <v>2</v>
      </c>
      <c r="G2729" s="5">
        <v>0</v>
      </c>
      <c r="H2729" s="5">
        <v>0</v>
      </c>
      <c r="I2729" s="5">
        <v>0</v>
      </c>
      <c r="J2729" s="5">
        <v>0</v>
      </c>
      <c r="K2729" s="5">
        <v>0</v>
      </c>
      <c r="L2729" s="5">
        <v>0</v>
      </c>
      <c r="M2729" s="5">
        <v>0</v>
      </c>
      <c r="N2729" s="5">
        <v>0</v>
      </c>
      <c r="O2729" s="5" t="str">
        <f t="shared" ca="1" si="42"/>
        <v>Supplier 158</v>
      </c>
      <c r="P2729" s="20" t="str">
        <f ca="1">IFERROR(VLOOKUP(O2729,EMAILS!B:C,2,FALSE),"NOT FOUND IN EMAILS")</f>
        <v>supplier@gmail.com</v>
      </c>
      <c r="Q2729" t="str">
        <f ca="1">""&amp;IFERROR(VLOOKUP(O2729,EMAILS!B:D,3,FALSE),"NOT FOUND IN EMAILS")</f>
        <v/>
      </c>
      <c r="R2729" t="str">
        <f ca="1">""&amp;IFERROR(VLOOKUP(O2729,EMAILS!B:E,4,FALSE),"NO T FOUND IN EMAILS")</f>
        <v/>
      </c>
    </row>
    <row r="2730" spans="2:18" x14ac:dyDescent="0.25">
      <c r="B2730" s="5" t="s">
        <v>2732</v>
      </c>
      <c r="C2730" s="5" t="s">
        <v>6872</v>
      </c>
      <c r="D2730" s="5">
        <v>1</v>
      </c>
      <c r="E2730" s="5">
        <v>0</v>
      </c>
      <c r="F2730" s="5">
        <v>0</v>
      </c>
      <c r="G2730" s="5">
        <v>1</v>
      </c>
      <c r="H2730" s="5">
        <v>0</v>
      </c>
      <c r="I2730" s="5">
        <v>0</v>
      </c>
      <c r="J2730" s="5">
        <v>0</v>
      </c>
      <c r="K2730" s="5">
        <v>0</v>
      </c>
      <c r="L2730" s="5">
        <v>0</v>
      </c>
      <c r="M2730" s="5">
        <v>0</v>
      </c>
      <c r="N2730" s="5">
        <v>0</v>
      </c>
      <c r="O2730" s="5" t="str">
        <f t="shared" ca="1" si="42"/>
        <v>Supplier 60</v>
      </c>
      <c r="P2730" s="20" t="str">
        <f ca="1">IFERROR(VLOOKUP(O2730,EMAILS!B:C,2,FALSE),"NOT FOUND IN EMAILS")</f>
        <v>supplier@gmail.com</v>
      </c>
      <c r="Q2730" t="str">
        <f ca="1">""&amp;IFERROR(VLOOKUP(O2730,EMAILS!B:D,3,FALSE),"NOT FOUND IN EMAILS")</f>
        <v/>
      </c>
      <c r="R2730" t="str">
        <f ca="1">""&amp;IFERROR(VLOOKUP(O2730,EMAILS!B:E,4,FALSE),"NO T FOUND IN EMAILS")</f>
        <v/>
      </c>
    </row>
    <row r="2731" spans="2:18" x14ac:dyDescent="0.25">
      <c r="B2731" s="5" t="s">
        <v>2733</v>
      </c>
      <c r="C2731" s="5" t="s">
        <v>6873</v>
      </c>
      <c r="D2731" s="5">
        <v>1</v>
      </c>
      <c r="E2731" s="5">
        <v>0</v>
      </c>
      <c r="F2731" s="5">
        <v>0</v>
      </c>
      <c r="G2731" s="5">
        <v>1</v>
      </c>
      <c r="H2731" s="5">
        <v>0</v>
      </c>
      <c r="I2731" s="5">
        <v>0</v>
      </c>
      <c r="J2731" s="5">
        <v>0</v>
      </c>
      <c r="K2731" s="5">
        <v>0</v>
      </c>
      <c r="L2731" s="5">
        <v>0</v>
      </c>
      <c r="M2731" s="5">
        <v>0</v>
      </c>
      <c r="N2731" s="5">
        <v>0</v>
      </c>
      <c r="O2731" s="5" t="str">
        <f t="shared" ca="1" si="42"/>
        <v>Supplier 15</v>
      </c>
      <c r="P2731" s="20" t="str">
        <f ca="1">IFERROR(VLOOKUP(O2731,EMAILS!B:C,2,FALSE),"NOT FOUND IN EMAILS")</f>
        <v>supplier@gmail.com</v>
      </c>
      <c r="Q2731" t="str">
        <f ca="1">""&amp;IFERROR(VLOOKUP(O2731,EMAILS!B:D,3,FALSE),"NOT FOUND IN EMAILS")</f>
        <v>supplier_logistics@gmail.com</v>
      </c>
      <c r="R2731" t="str">
        <f ca="1">""&amp;IFERROR(VLOOKUP(O2731,EMAILS!B:E,4,FALSE),"NO T FOUND IN EMAILS")</f>
        <v/>
      </c>
    </row>
    <row r="2732" spans="2:18" x14ac:dyDescent="0.25">
      <c r="B2732" s="5" t="s">
        <v>2734</v>
      </c>
      <c r="C2732" s="5" t="s">
        <v>6874</v>
      </c>
      <c r="D2732" s="5">
        <v>0</v>
      </c>
      <c r="E2732" s="5">
        <v>0</v>
      </c>
      <c r="F2732" s="5">
        <v>1</v>
      </c>
      <c r="G2732" s="5">
        <v>0</v>
      </c>
      <c r="H2732" s="5">
        <v>0</v>
      </c>
      <c r="I2732" s="5">
        <v>0</v>
      </c>
      <c r="J2732" s="5">
        <v>0</v>
      </c>
      <c r="K2732" s="5">
        <v>0</v>
      </c>
      <c r="L2732" s="5">
        <v>0</v>
      </c>
      <c r="M2732" s="5">
        <v>0</v>
      </c>
      <c r="N2732" s="5">
        <v>0</v>
      </c>
      <c r="O2732" s="5" t="str">
        <f t="shared" ca="1" si="42"/>
        <v>Supplier 22</v>
      </c>
      <c r="P2732" s="20" t="str">
        <f ca="1">IFERROR(VLOOKUP(O2732,EMAILS!B:C,2,FALSE),"NOT FOUND IN EMAILS")</f>
        <v>supplier@gmail.com</v>
      </c>
      <c r="Q2732" t="str">
        <f ca="1">""&amp;IFERROR(VLOOKUP(O2732,EMAILS!B:D,3,FALSE),"NOT FOUND IN EMAILS")</f>
        <v/>
      </c>
      <c r="R2732" t="str">
        <f ca="1">""&amp;IFERROR(VLOOKUP(O2732,EMAILS!B:E,4,FALSE),"NO T FOUND IN EMAILS")</f>
        <v/>
      </c>
    </row>
    <row r="2733" spans="2:18" x14ac:dyDescent="0.25">
      <c r="B2733" s="5" t="s">
        <v>2735</v>
      </c>
      <c r="C2733" s="5" t="s">
        <v>6875</v>
      </c>
      <c r="D2733" s="5">
        <v>1</v>
      </c>
      <c r="E2733" s="5">
        <v>0</v>
      </c>
      <c r="F2733" s="5">
        <v>0</v>
      </c>
      <c r="G2733" s="5">
        <v>1</v>
      </c>
      <c r="H2733" s="5">
        <v>0</v>
      </c>
      <c r="I2733" s="5">
        <v>0</v>
      </c>
      <c r="J2733" s="5">
        <v>0</v>
      </c>
      <c r="K2733" s="5">
        <v>0</v>
      </c>
      <c r="L2733" s="5">
        <v>0</v>
      </c>
      <c r="M2733" s="5">
        <v>0</v>
      </c>
      <c r="N2733" s="5">
        <v>0</v>
      </c>
      <c r="O2733" s="5" t="str">
        <f t="shared" ca="1" si="42"/>
        <v>Supplier 32</v>
      </c>
      <c r="P2733" s="20" t="str">
        <f ca="1">IFERROR(VLOOKUP(O2733,EMAILS!B:C,2,FALSE),"NOT FOUND IN EMAILS")</f>
        <v>supplier@gmail.com</v>
      </c>
      <c r="Q2733" t="str">
        <f ca="1">""&amp;IFERROR(VLOOKUP(O2733,EMAILS!B:D,3,FALSE),"NOT FOUND IN EMAILS")</f>
        <v/>
      </c>
      <c r="R2733" t="str">
        <f ca="1">""&amp;IFERROR(VLOOKUP(O2733,EMAILS!B:E,4,FALSE),"NO T FOUND IN EMAILS")</f>
        <v/>
      </c>
    </row>
    <row r="2734" spans="2:18" x14ac:dyDescent="0.25">
      <c r="B2734" s="5" t="s">
        <v>2736</v>
      </c>
      <c r="C2734" s="5" t="s">
        <v>6876</v>
      </c>
      <c r="D2734" s="5">
        <v>2</v>
      </c>
      <c r="E2734" s="5">
        <v>0</v>
      </c>
      <c r="F2734" s="5">
        <v>1</v>
      </c>
      <c r="G2734" s="5">
        <v>2</v>
      </c>
      <c r="H2734" s="5">
        <v>0</v>
      </c>
      <c r="I2734" s="5">
        <v>0</v>
      </c>
      <c r="J2734" s="5">
        <v>0</v>
      </c>
      <c r="K2734" s="5">
        <v>0</v>
      </c>
      <c r="L2734" s="5">
        <v>0</v>
      </c>
      <c r="M2734" s="5">
        <v>0</v>
      </c>
      <c r="N2734" s="5">
        <v>0</v>
      </c>
      <c r="O2734" s="5" t="str">
        <f t="shared" ca="1" si="42"/>
        <v>Supplier 7</v>
      </c>
      <c r="P2734" s="20" t="str">
        <f ca="1">IFERROR(VLOOKUP(O2734,EMAILS!B:C,2,FALSE),"NOT FOUND IN EMAILS")</f>
        <v>supplier@gmail.com</v>
      </c>
      <c r="Q2734" t="str">
        <f ca="1">""&amp;IFERROR(VLOOKUP(O2734,EMAILS!B:D,3,FALSE),"NOT FOUND IN EMAILS")</f>
        <v>supplier_logistics@gmail.com</v>
      </c>
      <c r="R2734" t="str">
        <f ca="1">""&amp;IFERROR(VLOOKUP(O2734,EMAILS!B:E,4,FALSE),"NO T FOUND IN EMAILS")</f>
        <v/>
      </c>
    </row>
    <row r="2735" spans="2:18" x14ac:dyDescent="0.25">
      <c r="B2735" s="5" t="s">
        <v>2737</v>
      </c>
      <c r="C2735" s="5" t="s">
        <v>6877</v>
      </c>
      <c r="D2735" s="5">
        <v>4</v>
      </c>
      <c r="E2735" s="5">
        <v>0</v>
      </c>
      <c r="F2735" s="5">
        <v>2</v>
      </c>
      <c r="G2735" s="5">
        <v>4</v>
      </c>
      <c r="H2735" s="5">
        <v>0</v>
      </c>
      <c r="I2735" s="5">
        <v>0</v>
      </c>
      <c r="J2735" s="5">
        <v>0</v>
      </c>
      <c r="K2735" s="5">
        <v>0</v>
      </c>
      <c r="L2735" s="5">
        <v>0</v>
      </c>
      <c r="M2735" s="5">
        <v>0</v>
      </c>
      <c r="N2735" s="5">
        <v>0</v>
      </c>
      <c r="O2735" s="5" t="str">
        <f t="shared" ca="1" si="42"/>
        <v>Supplier 148</v>
      </c>
      <c r="P2735" s="20" t="str">
        <f ca="1">IFERROR(VLOOKUP(O2735,EMAILS!B:C,2,FALSE),"NOT FOUND IN EMAILS")</f>
        <v>supplier@gmail.com</v>
      </c>
      <c r="Q2735" t="str">
        <f ca="1">""&amp;IFERROR(VLOOKUP(O2735,EMAILS!B:D,3,FALSE),"NOT FOUND IN EMAILS")</f>
        <v/>
      </c>
      <c r="R2735" t="str">
        <f ca="1">""&amp;IFERROR(VLOOKUP(O2735,EMAILS!B:E,4,FALSE),"NO T FOUND IN EMAILS")</f>
        <v/>
      </c>
    </row>
    <row r="2736" spans="2:18" x14ac:dyDescent="0.25">
      <c r="B2736" s="5" t="s">
        <v>2738</v>
      </c>
      <c r="C2736" s="5" t="s">
        <v>6878</v>
      </c>
      <c r="D2736" s="5">
        <v>1</v>
      </c>
      <c r="E2736" s="5">
        <v>0</v>
      </c>
      <c r="F2736" s="5">
        <v>0</v>
      </c>
      <c r="G2736" s="5">
        <v>1</v>
      </c>
      <c r="H2736" s="5">
        <v>0</v>
      </c>
      <c r="I2736" s="5">
        <v>0</v>
      </c>
      <c r="J2736" s="5">
        <v>0</v>
      </c>
      <c r="K2736" s="5">
        <v>0</v>
      </c>
      <c r="L2736" s="5">
        <v>0</v>
      </c>
      <c r="M2736" s="5">
        <v>0</v>
      </c>
      <c r="N2736" s="5">
        <v>0</v>
      </c>
      <c r="O2736" s="5" t="str">
        <f t="shared" ca="1" si="42"/>
        <v>Supplier 60</v>
      </c>
      <c r="P2736" s="20" t="str">
        <f ca="1">IFERROR(VLOOKUP(O2736,EMAILS!B:C,2,FALSE),"NOT FOUND IN EMAILS")</f>
        <v>supplier@gmail.com</v>
      </c>
      <c r="Q2736" t="str">
        <f ca="1">""&amp;IFERROR(VLOOKUP(O2736,EMAILS!B:D,3,FALSE),"NOT FOUND IN EMAILS")</f>
        <v/>
      </c>
      <c r="R2736" t="str">
        <f ca="1">""&amp;IFERROR(VLOOKUP(O2736,EMAILS!B:E,4,FALSE),"NO T FOUND IN EMAILS")</f>
        <v/>
      </c>
    </row>
    <row r="2737" spans="2:18" x14ac:dyDescent="0.25">
      <c r="B2737" s="5" t="s">
        <v>2739</v>
      </c>
      <c r="C2737" s="5" t="s">
        <v>6879</v>
      </c>
      <c r="D2737" s="5">
        <v>2</v>
      </c>
      <c r="E2737" s="5">
        <v>0</v>
      </c>
      <c r="F2737" s="5">
        <v>0</v>
      </c>
      <c r="G2737" s="5">
        <v>2</v>
      </c>
      <c r="H2737" s="5">
        <v>0</v>
      </c>
      <c r="I2737" s="5">
        <v>0</v>
      </c>
      <c r="J2737" s="5">
        <v>0</v>
      </c>
      <c r="K2737" s="5">
        <v>0</v>
      </c>
      <c r="L2737" s="5">
        <v>0</v>
      </c>
      <c r="M2737" s="5">
        <v>0</v>
      </c>
      <c r="N2737" s="5">
        <v>4</v>
      </c>
      <c r="O2737" s="5" t="str">
        <f t="shared" ca="1" si="42"/>
        <v>Supplier 14</v>
      </c>
      <c r="P2737" s="20" t="str">
        <f ca="1">IFERROR(VLOOKUP(O2737,EMAILS!B:C,2,FALSE),"NOT FOUND IN EMAILS")</f>
        <v>supplier@gmail.com</v>
      </c>
      <c r="Q2737" t="str">
        <f ca="1">""&amp;IFERROR(VLOOKUP(O2737,EMAILS!B:D,3,FALSE),"NOT FOUND IN EMAILS")</f>
        <v>supplier_logistics@gmail.com</v>
      </c>
      <c r="R2737" t="str">
        <f ca="1">""&amp;IFERROR(VLOOKUP(O2737,EMAILS!B:E,4,FALSE),"NO T FOUND IN EMAILS")</f>
        <v/>
      </c>
    </row>
    <row r="2738" spans="2:18" x14ac:dyDescent="0.25">
      <c r="B2738" s="5" t="s">
        <v>2740</v>
      </c>
      <c r="C2738" s="5" t="s">
        <v>6880</v>
      </c>
      <c r="D2738" s="5">
        <v>6</v>
      </c>
      <c r="E2738" s="5">
        <v>0</v>
      </c>
      <c r="F2738" s="5">
        <v>4</v>
      </c>
      <c r="G2738" s="5">
        <v>4</v>
      </c>
      <c r="H2738" s="5">
        <v>0</v>
      </c>
      <c r="I2738" s="5">
        <v>0</v>
      </c>
      <c r="J2738" s="5">
        <v>0</v>
      </c>
      <c r="K2738" s="5">
        <v>0</v>
      </c>
      <c r="L2738" s="5">
        <v>0</v>
      </c>
      <c r="M2738" s="5">
        <v>0</v>
      </c>
      <c r="N2738" s="5">
        <v>4</v>
      </c>
      <c r="O2738" s="5" t="str">
        <f t="shared" ca="1" si="42"/>
        <v>Supplier 183</v>
      </c>
      <c r="P2738" s="20" t="str">
        <f ca="1">IFERROR(VLOOKUP(O2738,EMAILS!B:C,2,FALSE),"NOT FOUND IN EMAILS")</f>
        <v>supplier@gmail.com</v>
      </c>
      <c r="Q2738" t="str">
        <f ca="1">""&amp;IFERROR(VLOOKUP(O2738,EMAILS!B:D,3,FALSE),"NOT FOUND IN EMAILS")</f>
        <v/>
      </c>
      <c r="R2738" t="str">
        <f ca="1">""&amp;IFERROR(VLOOKUP(O2738,EMAILS!B:E,4,FALSE),"NO T FOUND IN EMAILS")</f>
        <v/>
      </c>
    </row>
    <row r="2739" spans="2:18" x14ac:dyDescent="0.25">
      <c r="B2739" s="5" t="s">
        <v>2741</v>
      </c>
      <c r="C2739" s="5" t="s">
        <v>6881</v>
      </c>
      <c r="D2739" s="5">
        <v>2</v>
      </c>
      <c r="E2739" s="5">
        <v>0</v>
      </c>
      <c r="F2739" s="5">
        <v>4</v>
      </c>
      <c r="G2739" s="5">
        <v>0</v>
      </c>
      <c r="H2739" s="5">
        <v>0</v>
      </c>
      <c r="I2739" s="5">
        <v>0</v>
      </c>
      <c r="J2739" s="5">
        <v>0</v>
      </c>
      <c r="K2739" s="5">
        <v>0</v>
      </c>
      <c r="L2739" s="5">
        <v>0</v>
      </c>
      <c r="M2739" s="5">
        <v>0</v>
      </c>
      <c r="N2739" s="5">
        <v>1</v>
      </c>
      <c r="O2739" s="5" t="str">
        <f t="shared" ca="1" si="42"/>
        <v>Supplier 164</v>
      </c>
      <c r="P2739" s="20" t="str">
        <f ca="1">IFERROR(VLOOKUP(O2739,EMAILS!B:C,2,FALSE),"NOT FOUND IN EMAILS")</f>
        <v>supplier@gmail.com</v>
      </c>
      <c r="Q2739" t="str">
        <f ca="1">""&amp;IFERROR(VLOOKUP(O2739,EMAILS!B:D,3,FALSE),"NOT FOUND IN EMAILS")</f>
        <v/>
      </c>
      <c r="R2739" t="str">
        <f ca="1">""&amp;IFERROR(VLOOKUP(O2739,EMAILS!B:E,4,FALSE),"NO T FOUND IN EMAILS")</f>
        <v/>
      </c>
    </row>
    <row r="2740" spans="2:18" x14ac:dyDescent="0.25">
      <c r="B2740" s="5" t="s">
        <v>2742</v>
      </c>
      <c r="C2740" s="5" t="s">
        <v>6882</v>
      </c>
      <c r="D2740" s="5">
        <v>1</v>
      </c>
      <c r="E2740" s="5">
        <v>0</v>
      </c>
      <c r="F2740" s="5">
        <v>1</v>
      </c>
      <c r="G2740" s="5">
        <v>0</v>
      </c>
      <c r="H2740" s="5">
        <v>0</v>
      </c>
      <c r="I2740" s="5">
        <v>0</v>
      </c>
      <c r="J2740" s="5">
        <v>0</v>
      </c>
      <c r="K2740" s="5">
        <v>0</v>
      </c>
      <c r="L2740" s="5">
        <v>0</v>
      </c>
      <c r="M2740" s="5">
        <v>0</v>
      </c>
      <c r="N2740" s="5">
        <v>1</v>
      </c>
      <c r="O2740" s="5" t="str">
        <f t="shared" ca="1" si="42"/>
        <v>Supplier 164</v>
      </c>
      <c r="P2740" s="20" t="str">
        <f ca="1">IFERROR(VLOOKUP(O2740,EMAILS!B:C,2,FALSE),"NOT FOUND IN EMAILS")</f>
        <v>supplier@gmail.com</v>
      </c>
      <c r="Q2740" t="str">
        <f ca="1">""&amp;IFERROR(VLOOKUP(O2740,EMAILS!B:D,3,FALSE),"NOT FOUND IN EMAILS")</f>
        <v/>
      </c>
      <c r="R2740" t="str">
        <f ca="1">""&amp;IFERROR(VLOOKUP(O2740,EMAILS!B:E,4,FALSE),"NO T FOUND IN EMAILS")</f>
        <v/>
      </c>
    </row>
    <row r="2741" spans="2:18" x14ac:dyDescent="0.25">
      <c r="B2741" s="5" t="s">
        <v>2743</v>
      </c>
      <c r="C2741" s="5" t="s">
        <v>6883</v>
      </c>
      <c r="D2741" s="5">
        <v>1</v>
      </c>
      <c r="E2741" s="5">
        <v>0</v>
      </c>
      <c r="F2741" s="5">
        <v>1</v>
      </c>
      <c r="G2741" s="5">
        <v>0</v>
      </c>
      <c r="H2741" s="5">
        <v>0</v>
      </c>
      <c r="I2741" s="5">
        <v>0</v>
      </c>
      <c r="J2741" s="5">
        <v>0</v>
      </c>
      <c r="K2741" s="5">
        <v>0</v>
      </c>
      <c r="L2741" s="5">
        <v>0</v>
      </c>
      <c r="M2741" s="5">
        <v>0</v>
      </c>
      <c r="N2741" s="5">
        <v>2</v>
      </c>
      <c r="O2741" s="5" t="str">
        <f t="shared" ca="1" si="42"/>
        <v>Supplier 55</v>
      </c>
      <c r="P2741" s="20" t="str">
        <f ca="1">IFERROR(VLOOKUP(O2741,EMAILS!B:C,2,FALSE),"NOT FOUND IN EMAILS")</f>
        <v>supplier@gmail.com</v>
      </c>
      <c r="Q2741" t="str">
        <f ca="1">""&amp;IFERROR(VLOOKUP(O2741,EMAILS!B:D,3,FALSE),"NOT FOUND IN EMAILS")</f>
        <v/>
      </c>
      <c r="R2741" t="str">
        <f ca="1">""&amp;IFERROR(VLOOKUP(O2741,EMAILS!B:E,4,FALSE),"NO T FOUND IN EMAILS")</f>
        <v/>
      </c>
    </row>
    <row r="2742" spans="2:18" x14ac:dyDescent="0.25">
      <c r="B2742" s="5" t="s">
        <v>2744</v>
      </c>
      <c r="C2742" s="5" t="s">
        <v>6884</v>
      </c>
      <c r="D2742" s="5">
        <v>2</v>
      </c>
      <c r="E2742" s="5">
        <v>0</v>
      </c>
      <c r="F2742" s="5">
        <v>0</v>
      </c>
      <c r="G2742" s="5">
        <v>2</v>
      </c>
      <c r="H2742" s="5">
        <v>0</v>
      </c>
      <c r="I2742" s="5">
        <v>0</v>
      </c>
      <c r="J2742" s="5">
        <v>0</v>
      </c>
      <c r="K2742" s="5">
        <v>0</v>
      </c>
      <c r="L2742" s="5">
        <v>0</v>
      </c>
      <c r="M2742" s="5">
        <v>0</v>
      </c>
      <c r="N2742" s="5">
        <v>5</v>
      </c>
      <c r="O2742" s="5" t="str">
        <f t="shared" ca="1" si="42"/>
        <v>Supplier 23</v>
      </c>
      <c r="P2742" s="20" t="str">
        <f ca="1">IFERROR(VLOOKUP(O2742,EMAILS!B:C,2,FALSE),"NOT FOUND IN EMAILS")</f>
        <v>supplier@gmail.com</v>
      </c>
      <c r="Q2742" t="str">
        <f ca="1">""&amp;IFERROR(VLOOKUP(O2742,EMAILS!B:D,3,FALSE),"NOT FOUND IN EMAILS")</f>
        <v/>
      </c>
      <c r="R2742" t="str">
        <f ca="1">""&amp;IFERROR(VLOOKUP(O2742,EMAILS!B:E,4,FALSE),"NO T FOUND IN EMAILS")</f>
        <v/>
      </c>
    </row>
    <row r="2743" spans="2:18" x14ac:dyDescent="0.25">
      <c r="B2743" s="5" t="s">
        <v>2745</v>
      </c>
      <c r="C2743" s="5" t="s">
        <v>6885</v>
      </c>
      <c r="D2743" s="5">
        <v>3</v>
      </c>
      <c r="E2743" s="5">
        <v>0</v>
      </c>
      <c r="F2743" s="5">
        <v>3</v>
      </c>
      <c r="G2743" s="5">
        <v>3</v>
      </c>
      <c r="H2743" s="5">
        <v>0</v>
      </c>
      <c r="I2743" s="5">
        <v>0</v>
      </c>
      <c r="J2743" s="5">
        <v>0</v>
      </c>
      <c r="K2743" s="5">
        <v>0</v>
      </c>
      <c r="L2743" s="5">
        <v>0</v>
      </c>
      <c r="M2743" s="5">
        <v>0</v>
      </c>
      <c r="N2743" s="5">
        <v>0</v>
      </c>
      <c r="O2743" s="5" t="str">
        <f t="shared" ca="1" si="42"/>
        <v>Supplier 62</v>
      </c>
      <c r="P2743" s="20" t="str">
        <f ca="1">IFERROR(VLOOKUP(O2743,EMAILS!B:C,2,FALSE),"NOT FOUND IN EMAILS")</f>
        <v>supplier@gmail.com</v>
      </c>
      <c r="Q2743" t="str">
        <f ca="1">""&amp;IFERROR(VLOOKUP(O2743,EMAILS!B:D,3,FALSE),"NOT FOUND IN EMAILS")</f>
        <v/>
      </c>
      <c r="R2743" t="str">
        <f ca="1">""&amp;IFERROR(VLOOKUP(O2743,EMAILS!B:E,4,FALSE),"NO T FOUND IN EMAILS")</f>
        <v/>
      </c>
    </row>
    <row r="2744" spans="2:18" x14ac:dyDescent="0.25">
      <c r="B2744" s="5" t="s">
        <v>2746</v>
      </c>
      <c r="C2744" s="5" t="s">
        <v>6886</v>
      </c>
      <c r="D2744" s="5">
        <v>2</v>
      </c>
      <c r="E2744" s="5">
        <v>0</v>
      </c>
      <c r="F2744" s="5">
        <v>0</v>
      </c>
      <c r="G2744" s="5">
        <v>2</v>
      </c>
      <c r="H2744" s="5">
        <v>0</v>
      </c>
      <c r="I2744" s="5">
        <v>0</v>
      </c>
      <c r="J2744" s="5">
        <v>0</v>
      </c>
      <c r="K2744" s="5">
        <v>0</v>
      </c>
      <c r="L2744" s="5">
        <v>0</v>
      </c>
      <c r="M2744" s="5">
        <v>0</v>
      </c>
      <c r="N2744" s="5">
        <v>0</v>
      </c>
      <c r="O2744" s="5" t="str">
        <f t="shared" ca="1" si="42"/>
        <v>Supplier 102</v>
      </c>
      <c r="P2744" s="20" t="str">
        <f ca="1">IFERROR(VLOOKUP(O2744,EMAILS!B:C,2,FALSE),"NOT FOUND IN EMAILS")</f>
        <v>supplier@gmail.com</v>
      </c>
      <c r="Q2744" t="str">
        <f ca="1">""&amp;IFERROR(VLOOKUP(O2744,EMAILS!B:D,3,FALSE),"NOT FOUND IN EMAILS")</f>
        <v/>
      </c>
      <c r="R2744" t="str">
        <f ca="1">""&amp;IFERROR(VLOOKUP(O2744,EMAILS!B:E,4,FALSE),"NO T FOUND IN EMAILS")</f>
        <v/>
      </c>
    </row>
    <row r="2745" spans="2:18" x14ac:dyDescent="0.25">
      <c r="B2745" s="5" t="s">
        <v>2747</v>
      </c>
      <c r="C2745" s="5" t="s">
        <v>6887</v>
      </c>
      <c r="D2745" s="5">
        <v>1</v>
      </c>
      <c r="E2745" s="5">
        <v>0</v>
      </c>
      <c r="F2745" s="5">
        <v>0</v>
      </c>
      <c r="G2745" s="5">
        <v>1</v>
      </c>
      <c r="H2745" s="5">
        <v>0</v>
      </c>
      <c r="I2745" s="5">
        <v>0</v>
      </c>
      <c r="J2745" s="5">
        <v>0</v>
      </c>
      <c r="K2745" s="5">
        <v>0</v>
      </c>
      <c r="L2745" s="5">
        <v>0</v>
      </c>
      <c r="M2745" s="5">
        <v>0</v>
      </c>
      <c r="N2745" s="5">
        <v>39</v>
      </c>
      <c r="O2745" s="5" t="str">
        <f t="shared" ca="1" si="42"/>
        <v>Supplier 80</v>
      </c>
      <c r="P2745" s="20" t="str">
        <f ca="1">IFERROR(VLOOKUP(O2745,EMAILS!B:C,2,FALSE),"NOT FOUND IN EMAILS")</f>
        <v>supplier@gmail.com</v>
      </c>
      <c r="Q2745" t="str">
        <f ca="1">""&amp;IFERROR(VLOOKUP(O2745,EMAILS!B:D,3,FALSE),"NOT FOUND IN EMAILS")</f>
        <v/>
      </c>
      <c r="R2745" t="str">
        <f ca="1">""&amp;IFERROR(VLOOKUP(O2745,EMAILS!B:E,4,FALSE),"NO T FOUND IN EMAILS")</f>
        <v/>
      </c>
    </row>
    <row r="2746" spans="2:18" x14ac:dyDescent="0.25">
      <c r="B2746" s="5" t="s">
        <v>2748</v>
      </c>
      <c r="C2746" s="5" t="s">
        <v>6888</v>
      </c>
      <c r="D2746" s="5">
        <v>60</v>
      </c>
      <c r="E2746" s="5">
        <v>0</v>
      </c>
      <c r="F2746" s="5">
        <v>37</v>
      </c>
      <c r="G2746" s="5">
        <v>44</v>
      </c>
      <c r="H2746" s="5">
        <v>0</v>
      </c>
      <c r="I2746" s="5">
        <v>0</v>
      </c>
      <c r="J2746" s="5">
        <v>0</v>
      </c>
      <c r="K2746" s="5">
        <v>0</v>
      </c>
      <c r="L2746" s="5">
        <v>0</v>
      </c>
      <c r="M2746" s="5">
        <v>0</v>
      </c>
      <c r="N2746" s="5">
        <v>12</v>
      </c>
      <c r="O2746" s="5" t="str">
        <f t="shared" ca="1" si="42"/>
        <v>Supplier 147</v>
      </c>
      <c r="P2746" s="20" t="str">
        <f ca="1">IFERROR(VLOOKUP(O2746,EMAILS!B:C,2,FALSE),"NOT FOUND IN EMAILS")</f>
        <v>supplier@gmail.com</v>
      </c>
      <c r="Q2746" t="str">
        <f ca="1">""&amp;IFERROR(VLOOKUP(O2746,EMAILS!B:D,3,FALSE),"NOT FOUND IN EMAILS")</f>
        <v/>
      </c>
      <c r="R2746" t="str">
        <f ca="1">""&amp;IFERROR(VLOOKUP(O2746,EMAILS!B:E,4,FALSE),"NO T FOUND IN EMAILS")</f>
        <v/>
      </c>
    </row>
    <row r="2747" spans="2:18" x14ac:dyDescent="0.25">
      <c r="B2747" s="5" t="s">
        <v>2749</v>
      </c>
      <c r="C2747" s="5" t="s">
        <v>6889</v>
      </c>
      <c r="D2747" s="5">
        <v>16</v>
      </c>
      <c r="E2747" s="5">
        <v>0</v>
      </c>
      <c r="F2747" s="5">
        <v>12</v>
      </c>
      <c r="G2747" s="5">
        <v>10</v>
      </c>
      <c r="H2747" s="5">
        <v>0</v>
      </c>
      <c r="I2747" s="5">
        <v>0</v>
      </c>
      <c r="J2747" s="5">
        <v>0</v>
      </c>
      <c r="K2747" s="5">
        <v>0</v>
      </c>
      <c r="L2747" s="5">
        <v>0</v>
      </c>
      <c r="M2747" s="5">
        <v>0</v>
      </c>
      <c r="N2747" s="5">
        <v>10</v>
      </c>
      <c r="O2747" s="5" t="str">
        <f t="shared" ca="1" si="42"/>
        <v>Supplier 47</v>
      </c>
      <c r="P2747" s="20" t="str">
        <f ca="1">IFERROR(VLOOKUP(O2747,EMAILS!B:C,2,FALSE),"NOT FOUND IN EMAILS")</f>
        <v>supplier@gmail.com</v>
      </c>
      <c r="Q2747" t="str">
        <f ca="1">""&amp;IFERROR(VLOOKUP(O2747,EMAILS!B:D,3,FALSE),"NOT FOUND IN EMAILS")</f>
        <v/>
      </c>
      <c r="R2747" t="str">
        <f ca="1">""&amp;IFERROR(VLOOKUP(O2747,EMAILS!B:E,4,FALSE),"NO T FOUND IN EMAILS")</f>
        <v/>
      </c>
    </row>
    <row r="2748" spans="2:18" x14ac:dyDescent="0.25">
      <c r="B2748" s="5" t="s">
        <v>2750</v>
      </c>
      <c r="C2748" s="5" t="s">
        <v>6890</v>
      </c>
      <c r="D2748" s="5">
        <v>13</v>
      </c>
      <c r="E2748" s="5">
        <v>0</v>
      </c>
      <c r="F2748" s="5">
        <v>9</v>
      </c>
      <c r="G2748" s="5">
        <v>7</v>
      </c>
      <c r="H2748" s="5">
        <v>0</v>
      </c>
      <c r="I2748" s="5">
        <v>0</v>
      </c>
      <c r="J2748" s="5">
        <v>0</v>
      </c>
      <c r="K2748" s="5">
        <v>0</v>
      </c>
      <c r="L2748" s="5">
        <v>0</v>
      </c>
      <c r="M2748" s="5">
        <v>0</v>
      </c>
      <c r="N2748" s="5">
        <v>0</v>
      </c>
      <c r="O2748" s="5" t="str">
        <f t="shared" ca="1" si="42"/>
        <v>Supplier 179</v>
      </c>
      <c r="P2748" s="20" t="str">
        <f ca="1">IFERROR(VLOOKUP(O2748,EMAILS!B:C,2,FALSE),"NOT FOUND IN EMAILS")</f>
        <v>supplier@gmail.com</v>
      </c>
      <c r="Q2748" t="str">
        <f ca="1">""&amp;IFERROR(VLOOKUP(O2748,EMAILS!B:D,3,FALSE),"NOT FOUND IN EMAILS")</f>
        <v/>
      </c>
      <c r="R2748" t="str">
        <f ca="1">""&amp;IFERROR(VLOOKUP(O2748,EMAILS!B:E,4,FALSE),"NO T FOUND IN EMAILS")</f>
        <v/>
      </c>
    </row>
    <row r="2749" spans="2:18" x14ac:dyDescent="0.25">
      <c r="B2749" s="5" t="s">
        <v>2751</v>
      </c>
      <c r="C2749" s="5" t="s">
        <v>6891</v>
      </c>
      <c r="D2749" s="5">
        <v>2</v>
      </c>
      <c r="E2749" s="5">
        <v>0</v>
      </c>
      <c r="F2749" s="5">
        <v>0</v>
      </c>
      <c r="G2749" s="5">
        <v>2</v>
      </c>
      <c r="H2749" s="5">
        <v>0</v>
      </c>
      <c r="I2749" s="5">
        <v>0</v>
      </c>
      <c r="J2749" s="5">
        <v>0</v>
      </c>
      <c r="K2749" s="5">
        <v>0</v>
      </c>
      <c r="L2749" s="5">
        <v>0</v>
      </c>
      <c r="M2749" s="5">
        <v>0</v>
      </c>
      <c r="N2749" s="5">
        <v>2</v>
      </c>
      <c r="O2749" s="5" t="str">
        <f t="shared" ca="1" si="42"/>
        <v>Supplier 54</v>
      </c>
      <c r="P2749" s="20" t="str">
        <f ca="1">IFERROR(VLOOKUP(O2749,EMAILS!B:C,2,FALSE),"NOT FOUND IN EMAILS")</f>
        <v>supplier@gmail.com</v>
      </c>
      <c r="Q2749" t="str">
        <f ca="1">""&amp;IFERROR(VLOOKUP(O2749,EMAILS!B:D,3,FALSE),"NOT FOUND IN EMAILS")</f>
        <v/>
      </c>
      <c r="R2749" t="str">
        <f ca="1">""&amp;IFERROR(VLOOKUP(O2749,EMAILS!B:E,4,FALSE),"NO T FOUND IN EMAILS")</f>
        <v/>
      </c>
    </row>
    <row r="2750" spans="2:18" x14ac:dyDescent="0.25">
      <c r="B2750" s="5" t="s">
        <v>2752</v>
      </c>
      <c r="C2750" s="5" t="s">
        <v>6892</v>
      </c>
      <c r="D2750" s="5">
        <v>2</v>
      </c>
      <c r="E2750" s="5">
        <v>0</v>
      </c>
      <c r="F2750" s="5">
        <v>0</v>
      </c>
      <c r="G2750" s="5">
        <v>2</v>
      </c>
      <c r="H2750" s="5">
        <v>0</v>
      </c>
      <c r="I2750" s="5">
        <v>0</v>
      </c>
      <c r="J2750" s="5">
        <v>0</v>
      </c>
      <c r="K2750" s="5">
        <v>0</v>
      </c>
      <c r="L2750" s="5">
        <v>0</v>
      </c>
      <c r="M2750" s="5">
        <v>0</v>
      </c>
      <c r="N2750" s="5">
        <v>8</v>
      </c>
      <c r="O2750" s="5" t="str">
        <f t="shared" ca="1" si="42"/>
        <v>Supplier 126</v>
      </c>
      <c r="P2750" s="20" t="str">
        <f ca="1">IFERROR(VLOOKUP(O2750,EMAILS!B:C,2,FALSE),"NOT FOUND IN EMAILS")</f>
        <v>supplier@gmail.com</v>
      </c>
      <c r="Q2750" t="str">
        <f ca="1">""&amp;IFERROR(VLOOKUP(O2750,EMAILS!B:D,3,FALSE),"NOT FOUND IN EMAILS")</f>
        <v/>
      </c>
      <c r="R2750" t="str">
        <f ca="1">""&amp;IFERROR(VLOOKUP(O2750,EMAILS!B:E,4,FALSE),"NO T FOUND IN EMAILS")</f>
        <v/>
      </c>
    </row>
    <row r="2751" spans="2:18" x14ac:dyDescent="0.25">
      <c r="B2751" s="5" t="s">
        <v>2753</v>
      </c>
      <c r="C2751" s="5" t="s">
        <v>6893</v>
      </c>
      <c r="D2751" s="5">
        <v>14</v>
      </c>
      <c r="E2751" s="5">
        <v>0</v>
      </c>
      <c r="F2751" s="5">
        <v>8</v>
      </c>
      <c r="G2751" s="5">
        <v>10</v>
      </c>
      <c r="H2751" s="5">
        <v>0</v>
      </c>
      <c r="I2751" s="5">
        <v>0</v>
      </c>
      <c r="J2751" s="5">
        <v>0</v>
      </c>
      <c r="K2751" s="5">
        <v>0</v>
      </c>
      <c r="L2751" s="5">
        <v>0</v>
      </c>
      <c r="M2751" s="5">
        <v>0</v>
      </c>
      <c r="N2751" s="5">
        <v>0</v>
      </c>
      <c r="O2751" s="5" t="str">
        <f t="shared" ca="1" si="42"/>
        <v>Supplier 65</v>
      </c>
      <c r="P2751" s="20" t="str">
        <f ca="1">IFERROR(VLOOKUP(O2751,EMAILS!B:C,2,FALSE),"NOT FOUND IN EMAILS")</f>
        <v>supplier@gmail.com</v>
      </c>
      <c r="Q2751" t="str">
        <f ca="1">""&amp;IFERROR(VLOOKUP(O2751,EMAILS!B:D,3,FALSE),"NOT FOUND IN EMAILS")</f>
        <v/>
      </c>
      <c r="R2751" t="str">
        <f ca="1">""&amp;IFERROR(VLOOKUP(O2751,EMAILS!B:E,4,FALSE),"NO T FOUND IN EMAILS")</f>
        <v/>
      </c>
    </row>
    <row r="2752" spans="2:18" x14ac:dyDescent="0.25">
      <c r="B2752" s="5" t="s">
        <v>2754</v>
      </c>
      <c r="C2752" s="5" t="s">
        <v>6894</v>
      </c>
      <c r="D2752" s="5">
        <v>1</v>
      </c>
      <c r="E2752" s="5">
        <v>0</v>
      </c>
      <c r="F2752" s="5">
        <v>0</v>
      </c>
      <c r="G2752" s="5">
        <v>1</v>
      </c>
      <c r="H2752" s="5">
        <v>0</v>
      </c>
      <c r="I2752" s="5">
        <v>0</v>
      </c>
      <c r="J2752" s="5">
        <v>0</v>
      </c>
      <c r="K2752" s="5">
        <v>0</v>
      </c>
      <c r="L2752" s="5">
        <v>0</v>
      </c>
      <c r="M2752" s="5">
        <v>0</v>
      </c>
      <c r="N2752" s="5">
        <v>4</v>
      </c>
      <c r="O2752" s="5" t="str">
        <f t="shared" ca="1" si="42"/>
        <v>Supplier 143</v>
      </c>
      <c r="P2752" s="20" t="str">
        <f ca="1">IFERROR(VLOOKUP(O2752,EMAILS!B:C,2,FALSE),"NOT FOUND IN EMAILS")</f>
        <v>supplier@gmail.com</v>
      </c>
      <c r="Q2752" t="str">
        <f ca="1">""&amp;IFERROR(VLOOKUP(O2752,EMAILS!B:D,3,FALSE),"NOT FOUND IN EMAILS")</f>
        <v/>
      </c>
      <c r="R2752" t="str">
        <f ca="1">""&amp;IFERROR(VLOOKUP(O2752,EMAILS!B:E,4,FALSE),"NO T FOUND IN EMAILS")</f>
        <v/>
      </c>
    </row>
    <row r="2753" spans="2:18" x14ac:dyDescent="0.25">
      <c r="B2753" s="5" t="s">
        <v>2755</v>
      </c>
      <c r="C2753" s="5" t="s">
        <v>6895</v>
      </c>
      <c r="D2753" s="5">
        <v>2</v>
      </c>
      <c r="E2753" s="5">
        <v>0</v>
      </c>
      <c r="F2753" s="5">
        <v>2</v>
      </c>
      <c r="G2753" s="5">
        <v>2</v>
      </c>
      <c r="H2753" s="5">
        <v>0</v>
      </c>
      <c r="I2753" s="5">
        <v>0</v>
      </c>
      <c r="J2753" s="5">
        <v>0</v>
      </c>
      <c r="K2753" s="5">
        <v>0</v>
      </c>
      <c r="L2753" s="5">
        <v>0</v>
      </c>
      <c r="M2753" s="5">
        <v>0</v>
      </c>
      <c r="N2753" s="5">
        <v>2</v>
      </c>
      <c r="O2753" s="5" t="str">
        <f t="shared" ca="1" si="42"/>
        <v>Supplier 28</v>
      </c>
      <c r="P2753" s="20" t="str">
        <f ca="1">IFERROR(VLOOKUP(O2753,EMAILS!B:C,2,FALSE),"NOT FOUND IN EMAILS")</f>
        <v>supplier@gmail.com</v>
      </c>
      <c r="Q2753" t="str">
        <f ca="1">""&amp;IFERROR(VLOOKUP(O2753,EMAILS!B:D,3,FALSE),"NOT FOUND IN EMAILS")</f>
        <v/>
      </c>
      <c r="R2753" t="str">
        <f ca="1">""&amp;IFERROR(VLOOKUP(O2753,EMAILS!B:E,4,FALSE),"NO T FOUND IN EMAILS")</f>
        <v/>
      </c>
    </row>
    <row r="2754" spans="2:18" x14ac:dyDescent="0.25">
      <c r="B2754" s="5" t="s">
        <v>2756</v>
      </c>
      <c r="C2754" s="5" t="s">
        <v>6896</v>
      </c>
      <c r="D2754" s="5">
        <v>3</v>
      </c>
      <c r="E2754" s="5">
        <v>0</v>
      </c>
      <c r="F2754" s="5">
        <v>2</v>
      </c>
      <c r="G2754" s="5">
        <v>2</v>
      </c>
      <c r="H2754" s="5">
        <v>0</v>
      </c>
      <c r="I2754" s="5">
        <v>0</v>
      </c>
      <c r="J2754" s="5">
        <v>0</v>
      </c>
      <c r="K2754" s="5">
        <v>0</v>
      </c>
      <c r="L2754" s="5">
        <v>0</v>
      </c>
      <c r="M2754" s="5">
        <v>0</v>
      </c>
      <c r="N2754" s="5">
        <v>2</v>
      </c>
      <c r="O2754" s="5" t="str">
        <f t="shared" ca="1" si="42"/>
        <v>Supplier 63</v>
      </c>
      <c r="P2754" s="20" t="str">
        <f ca="1">IFERROR(VLOOKUP(O2754,EMAILS!B:C,2,FALSE),"NOT FOUND IN EMAILS")</f>
        <v>supplier@gmail.com</v>
      </c>
      <c r="Q2754" t="str">
        <f ca="1">""&amp;IFERROR(VLOOKUP(O2754,EMAILS!B:D,3,FALSE),"NOT FOUND IN EMAILS")</f>
        <v/>
      </c>
      <c r="R2754" t="str">
        <f ca="1">""&amp;IFERROR(VLOOKUP(O2754,EMAILS!B:E,4,FALSE),"NO T FOUND IN EMAILS")</f>
        <v/>
      </c>
    </row>
    <row r="2755" spans="2:18" x14ac:dyDescent="0.25">
      <c r="B2755" s="5" t="s">
        <v>2757</v>
      </c>
      <c r="C2755" s="5" t="s">
        <v>6897</v>
      </c>
      <c r="D2755" s="5">
        <v>3</v>
      </c>
      <c r="E2755" s="5">
        <v>0</v>
      </c>
      <c r="F2755" s="5">
        <v>2</v>
      </c>
      <c r="G2755" s="5">
        <v>2</v>
      </c>
      <c r="H2755" s="5">
        <v>0</v>
      </c>
      <c r="I2755" s="5">
        <v>0</v>
      </c>
      <c r="J2755" s="5">
        <v>0</v>
      </c>
      <c r="K2755" s="5">
        <v>0</v>
      </c>
      <c r="L2755" s="5">
        <v>0</v>
      </c>
      <c r="M2755" s="5">
        <v>0</v>
      </c>
      <c r="N2755" s="5">
        <v>1</v>
      </c>
      <c r="O2755" s="5" t="str">
        <f t="shared" ref="O2755:O2818" ca="1" si="43">"Supplier "&amp;RANDBETWEEN(1,200)</f>
        <v>Supplier 104</v>
      </c>
      <c r="P2755" s="20" t="str">
        <f ca="1">IFERROR(VLOOKUP(O2755,EMAILS!B:C,2,FALSE),"NOT FOUND IN EMAILS")</f>
        <v>supplier@gmail.com</v>
      </c>
      <c r="Q2755" t="str">
        <f ca="1">""&amp;IFERROR(VLOOKUP(O2755,EMAILS!B:D,3,FALSE),"NOT FOUND IN EMAILS")</f>
        <v/>
      </c>
      <c r="R2755" t="str">
        <f ca="1">""&amp;IFERROR(VLOOKUP(O2755,EMAILS!B:E,4,FALSE),"NO T FOUND IN EMAILS")</f>
        <v/>
      </c>
    </row>
    <row r="2756" spans="2:18" x14ac:dyDescent="0.25">
      <c r="B2756" s="5" t="s">
        <v>2758</v>
      </c>
      <c r="C2756" s="5" t="s">
        <v>6898</v>
      </c>
      <c r="D2756" s="5">
        <v>1</v>
      </c>
      <c r="E2756" s="5">
        <v>0</v>
      </c>
      <c r="F2756" s="5">
        <v>1</v>
      </c>
      <c r="G2756" s="5">
        <v>0</v>
      </c>
      <c r="H2756" s="5">
        <v>0</v>
      </c>
      <c r="I2756" s="5">
        <v>0</v>
      </c>
      <c r="J2756" s="5">
        <v>0</v>
      </c>
      <c r="K2756" s="5">
        <v>0</v>
      </c>
      <c r="L2756" s="5">
        <v>0</v>
      </c>
      <c r="M2756" s="5">
        <v>0</v>
      </c>
      <c r="N2756" s="5">
        <v>1</v>
      </c>
      <c r="O2756" s="5" t="str">
        <f t="shared" ca="1" si="43"/>
        <v>Supplier 139</v>
      </c>
      <c r="P2756" s="20" t="str">
        <f ca="1">IFERROR(VLOOKUP(O2756,EMAILS!B:C,2,FALSE),"NOT FOUND IN EMAILS")</f>
        <v>supplier@gmail.com</v>
      </c>
      <c r="Q2756" t="str">
        <f ca="1">""&amp;IFERROR(VLOOKUP(O2756,EMAILS!B:D,3,FALSE),"NOT FOUND IN EMAILS")</f>
        <v/>
      </c>
      <c r="R2756" t="str">
        <f ca="1">""&amp;IFERROR(VLOOKUP(O2756,EMAILS!B:E,4,FALSE),"NO T FOUND IN EMAILS")</f>
        <v/>
      </c>
    </row>
    <row r="2757" spans="2:18" x14ac:dyDescent="0.25">
      <c r="B2757" s="5" t="s">
        <v>2759</v>
      </c>
      <c r="C2757" s="5" t="s">
        <v>6899</v>
      </c>
      <c r="D2757" s="5">
        <v>1</v>
      </c>
      <c r="E2757" s="5">
        <v>0</v>
      </c>
      <c r="F2757" s="5">
        <v>1</v>
      </c>
      <c r="G2757" s="5">
        <v>0</v>
      </c>
      <c r="H2757" s="5">
        <v>0</v>
      </c>
      <c r="I2757" s="5">
        <v>0</v>
      </c>
      <c r="J2757" s="5">
        <v>0</v>
      </c>
      <c r="K2757" s="5">
        <v>0</v>
      </c>
      <c r="L2757" s="5">
        <v>0</v>
      </c>
      <c r="M2757" s="5">
        <v>0</v>
      </c>
      <c r="N2757" s="5">
        <v>0</v>
      </c>
      <c r="O2757" s="5" t="str">
        <f t="shared" ca="1" si="43"/>
        <v>Supplier 160</v>
      </c>
      <c r="P2757" s="20" t="str">
        <f ca="1">IFERROR(VLOOKUP(O2757,EMAILS!B:C,2,FALSE),"NOT FOUND IN EMAILS")</f>
        <v>supplier@gmail.com</v>
      </c>
      <c r="Q2757" t="str">
        <f ca="1">""&amp;IFERROR(VLOOKUP(O2757,EMAILS!B:D,3,FALSE),"NOT FOUND IN EMAILS")</f>
        <v/>
      </c>
      <c r="R2757" t="str">
        <f ca="1">""&amp;IFERROR(VLOOKUP(O2757,EMAILS!B:E,4,FALSE),"NO T FOUND IN EMAILS")</f>
        <v/>
      </c>
    </row>
    <row r="2758" spans="2:18" x14ac:dyDescent="0.25">
      <c r="B2758" s="5" t="s">
        <v>2760</v>
      </c>
      <c r="C2758" s="5" t="s">
        <v>6900</v>
      </c>
      <c r="D2758" s="5">
        <v>1</v>
      </c>
      <c r="E2758" s="5">
        <v>0</v>
      </c>
      <c r="F2758" s="5">
        <v>0</v>
      </c>
      <c r="G2758" s="5">
        <v>1</v>
      </c>
      <c r="H2758" s="5">
        <v>0</v>
      </c>
      <c r="I2758" s="5">
        <v>0</v>
      </c>
      <c r="J2758" s="5">
        <v>0</v>
      </c>
      <c r="K2758" s="5">
        <v>0</v>
      </c>
      <c r="L2758" s="5">
        <v>0</v>
      </c>
      <c r="M2758" s="5">
        <v>0</v>
      </c>
      <c r="N2758" s="5">
        <v>2</v>
      </c>
      <c r="O2758" s="5" t="str">
        <f t="shared" ca="1" si="43"/>
        <v>Supplier 28</v>
      </c>
      <c r="P2758" s="20" t="str">
        <f ca="1">IFERROR(VLOOKUP(O2758,EMAILS!B:C,2,FALSE),"NOT FOUND IN EMAILS")</f>
        <v>supplier@gmail.com</v>
      </c>
      <c r="Q2758" t="str">
        <f ca="1">""&amp;IFERROR(VLOOKUP(O2758,EMAILS!B:D,3,FALSE),"NOT FOUND IN EMAILS")</f>
        <v/>
      </c>
      <c r="R2758" t="str">
        <f ca="1">""&amp;IFERROR(VLOOKUP(O2758,EMAILS!B:E,4,FALSE),"NO T FOUND IN EMAILS")</f>
        <v/>
      </c>
    </row>
    <row r="2759" spans="2:18" x14ac:dyDescent="0.25">
      <c r="B2759" s="5" t="s">
        <v>2761</v>
      </c>
      <c r="C2759" s="5" t="s">
        <v>6901</v>
      </c>
      <c r="D2759" s="5">
        <v>1</v>
      </c>
      <c r="E2759" s="5">
        <v>0</v>
      </c>
      <c r="F2759" s="5">
        <v>1</v>
      </c>
      <c r="G2759" s="5">
        <v>1</v>
      </c>
      <c r="H2759" s="5">
        <v>0</v>
      </c>
      <c r="I2759" s="5">
        <v>0</v>
      </c>
      <c r="J2759" s="5">
        <v>0</v>
      </c>
      <c r="K2759" s="5">
        <v>0</v>
      </c>
      <c r="L2759" s="5">
        <v>0</v>
      </c>
      <c r="M2759" s="5">
        <v>0</v>
      </c>
      <c r="N2759" s="5">
        <v>1</v>
      </c>
      <c r="O2759" s="5" t="str">
        <f t="shared" ca="1" si="43"/>
        <v>Supplier 33</v>
      </c>
      <c r="P2759" s="20" t="str">
        <f ca="1">IFERROR(VLOOKUP(O2759,EMAILS!B:C,2,FALSE),"NOT FOUND IN EMAILS")</f>
        <v>supplier@gmail.com</v>
      </c>
      <c r="Q2759" t="str">
        <f ca="1">""&amp;IFERROR(VLOOKUP(O2759,EMAILS!B:D,3,FALSE),"NOT FOUND IN EMAILS")</f>
        <v/>
      </c>
      <c r="R2759" t="str">
        <f ca="1">""&amp;IFERROR(VLOOKUP(O2759,EMAILS!B:E,4,FALSE),"NO T FOUND IN EMAILS")</f>
        <v/>
      </c>
    </row>
    <row r="2760" spans="2:18" x14ac:dyDescent="0.25">
      <c r="B2760" s="5" t="s">
        <v>2762</v>
      </c>
      <c r="C2760" s="5" t="s">
        <v>6902</v>
      </c>
      <c r="D2760" s="5">
        <v>1</v>
      </c>
      <c r="E2760" s="5">
        <v>0</v>
      </c>
      <c r="F2760" s="5">
        <v>0</v>
      </c>
      <c r="G2760" s="5">
        <v>1</v>
      </c>
      <c r="H2760" s="5">
        <v>0</v>
      </c>
      <c r="I2760" s="5">
        <v>0</v>
      </c>
      <c r="J2760" s="5">
        <v>0</v>
      </c>
      <c r="K2760" s="5">
        <v>0</v>
      </c>
      <c r="L2760" s="5">
        <v>0</v>
      </c>
      <c r="M2760" s="5">
        <v>0</v>
      </c>
      <c r="N2760" s="5">
        <v>1</v>
      </c>
      <c r="O2760" s="5" t="str">
        <f t="shared" ca="1" si="43"/>
        <v>Supplier 103</v>
      </c>
      <c r="P2760" s="20" t="str">
        <f ca="1">IFERROR(VLOOKUP(O2760,EMAILS!B:C,2,FALSE),"NOT FOUND IN EMAILS")</f>
        <v>supplier@gmail.com</v>
      </c>
      <c r="Q2760" t="str">
        <f ca="1">""&amp;IFERROR(VLOOKUP(O2760,EMAILS!B:D,3,FALSE),"NOT FOUND IN EMAILS")</f>
        <v/>
      </c>
      <c r="R2760" t="str">
        <f ca="1">""&amp;IFERROR(VLOOKUP(O2760,EMAILS!B:E,4,FALSE),"NO T FOUND IN EMAILS")</f>
        <v/>
      </c>
    </row>
    <row r="2761" spans="2:18" x14ac:dyDescent="0.25">
      <c r="B2761" s="5" t="s">
        <v>2763</v>
      </c>
      <c r="C2761" s="5" t="s">
        <v>6903</v>
      </c>
      <c r="D2761" s="5">
        <v>1</v>
      </c>
      <c r="E2761" s="5">
        <v>0</v>
      </c>
      <c r="F2761" s="5">
        <v>0</v>
      </c>
      <c r="G2761" s="5">
        <v>1</v>
      </c>
      <c r="H2761" s="5">
        <v>0</v>
      </c>
      <c r="I2761" s="5">
        <v>0</v>
      </c>
      <c r="J2761" s="5">
        <v>0</v>
      </c>
      <c r="K2761" s="5">
        <v>0</v>
      </c>
      <c r="L2761" s="5">
        <v>0</v>
      </c>
      <c r="M2761" s="5">
        <v>0</v>
      </c>
      <c r="N2761" s="5">
        <v>2</v>
      </c>
      <c r="O2761" s="5" t="str">
        <f t="shared" ca="1" si="43"/>
        <v>Supplier 169</v>
      </c>
      <c r="P2761" s="20" t="str">
        <f ca="1">IFERROR(VLOOKUP(O2761,EMAILS!B:C,2,FALSE),"NOT FOUND IN EMAILS")</f>
        <v>supplier@gmail.com</v>
      </c>
      <c r="Q2761" t="str">
        <f ca="1">""&amp;IFERROR(VLOOKUP(O2761,EMAILS!B:D,3,FALSE),"NOT FOUND IN EMAILS")</f>
        <v/>
      </c>
      <c r="R2761" t="str">
        <f ca="1">""&amp;IFERROR(VLOOKUP(O2761,EMAILS!B:E,4,FALSE),"NO T FOUND IN EMAILS")</f>
        <v/>
      </c>
    </row>
    <row r="2762" spans="2:18" x14ac:dyDescent="0.25">
      <c r="B2762" s="5" t="s">
        <v>2764</v>
      </c>
      <c r="C2762" s="5" t="s">
        <v>6904</v>
      </c>
      <c r="D2762" s="5">
        <v>2</v>
      </c>
      <c r="E2762" s="5">
        <v>0</v>
      </c>
      <c r="F2762" s="5">
        <v>0</v>
      </c>
      <c r="G2762" s="5">
        <v>2</v>
      </c>
      <c r="H2762" s="5">
        <v>0</v>
      </c>
      <c r="I2762" s="5">
        <v>0</v>
      </c>
      <c r="J2762" s="5">
        <v>0</v>
      </c>
      <c r="K2762" s="5">
        <v>0</v>
      </c>
      <c r="L2762" s="5">
        <v>0</v>
      </c>
      <c r="M2762" s="5">
        <v>0</v>
      </c>
      <c r="N2762" s="5">
        <v>4</v>
      </c>
      <c r="O2762" s="5" t="str">
        <f t="shared" ca="1" si="43"/>
        <v>Supplier 129</v>
      </c>
      <c r="P2762" s="20" t="str">
        <f ca="1">IFERROR(VLOOKUP(O2762,EMAILS!B:C,2,FALSE),"NOT FOUND IN EMAILS")</f>
        <v>supplier@gmail.com</v>
      </c>
      <c r="Q2762" t="str">
        <f ca="1">""&amp;IFERROR(VLOOKUP(O2762,EMAILS!B:D,3,FALSE),"NOT FOUND IN EMAILS")</f>
        <v/>
      </c>
      <c r="R2762" t="str">
        <f ca="1">""&amp;IFERROR(VLOOKUP(O2762,EMAILS!B:E,4,FALSE),"NO T FOUND IN EMAILS")</f>
        <v/>
      </c>
    </row>
    <row r="2763" spans="2:18" x14ac:dyDescent="0.25">
      <c r="B2763" s="5" t="s">
        <v>2765</v>
      </c>
      <c r="C2763" s="5" t="s">
        <v>6905</v>
      </c>
      <c r="D2763" s="5">
        <v>2</v>
      </c>
      <c r="E2763" s="5">
        <v>0</v>
      </c>
      <c r="F2763" s="5">
        <v>2</v>
      </c>
      <c r="G2763" s="5">
        <v>2</v>
      </c>
      <c r="H2763" s="5">
        <v>0</v>
      </c>
      <c r="I2763" s="5">
        <v>0</v>
      </c>
      <c r="J2763" s="5">
        <v>0</v>
      </c>
      <c r="K2763" s="5">
        <v>0</v>
      </c>
      <c r="L2763" s="5">
        <v>0</v>
      </c>
      <c r="M2763" s="5">
        <v>0</v>
      </c>
      <c r="N2763" s="5">
        <v>4</v>
      </c>
      <c r="O2763" s="5" t="str">
        <f t="shared" ca="1" si="43"/>
        <v>Supplier 188</v>
      </c>
      <c r="P2763" s="20" t="str">
        <f ca="1">IFERROR(VLOOKUP(O2763,EMAILS!B:C,2,FALSE),"NOT FOUND IN EMAILS")</f>
        <v>supplier@gmail.com</v>
      </c>
      <c r="Q2763" t="str">
        <f ca="1">""&amp;IFERROR(VLOOKUP(O2763,EMAILS!B:D,3,FALSE),"NOT FOUND IN EMAILS")</f>
        <v/>
      </c>
      <c r="R2763" t="str">
        <f ca="1">""&amp;IFERROR(VLOOKUP(O2763,EMAILS!B:E,4,FALSE),"NO T FOUND IN EMAILS")</f>
        <v/>
      </c>
    </row>
    <row r="2764" spans="2:18" x14ac:dyDescent="0.25">
      <c r="B2764" s="5" t="s">
        <v>2766</v>
      </c>
      <c r="C2764" s="5" t="s">
        <v>6906</v>
      </c>
      <c r="D2764" s="5">
        <v>2</v>
      </c>
      <c r="E2764" s="5">
        <v>0</v>
      </c>
      <c r="F2764" s="5">
        <v>2</v>
      </c>
      <c r="G2764" s="5">
        <v>2</v>
      </c>
      <c r="H2764" s="5">
        <v>0</v>
      </c>
      <c r="I2764" s="5">
        <v>0</v>
      </c>
      <c r="J2764" s="5">
        <v>0</v>
      </c>
      <c r="K2764" s="5">
        <v>0</v>
      </c>
      <c r="L2764" s="5">
        <v>0</v>
      </c>
      <c r="M2764" s="5">
        <v>0</v>
      </c>
      <c r="N2764" s="5">
        <v>3</v>
      </c>
      <c r="O2764" s="5" t="str">
        <f t="shared" ca="1" si="43"/>
        <v>Supplier 92</v>
      </c>
      <c r="P2764" s="20" t="str">
        <f ca="1">IFERROR(VLOOKUP(O2764,EMAILS!B:C,2,FALSE),"NOT FOUND IN EMAILS")</f>
        <v>supplier@gmail.com</v>
      </c>
      <c r="Q2764" t="str">
        <f ca="1">""&amp;IFERROR(VLOOKUP(O2764,EMAILS!B:D,3,FALSE),"NOT FOUND IN EMAILS")</f>
        <v/>
      </c>
      <c r="R2764" t="str">
        <f ca="1">""&amp;IFERROR(VLOOKUP(O2764,EMAILS!B:E,4,FALSE),"NO T FOUND IN EMAILS")</f>
        <v/>
      </c>
    </row>
    <row r="2765" spans="2:18" x14ac:dyDescent="0.25">
      <c r="B2765" s="5" t="s">
        <v>2767</v>
      </c>
      <c r="C2765" s="5" t="s">
        <v>6907</v>
      </c>
      <c r="D2765" s="5">
        <v>1</v>
      </c>
      <c r="E2765" s="5">
        <v>0</v>
      </c>
      <c r="F2765" s="5">
        <v>1</v>
      </c>
      <c r="G2765" s="5">
        <v>1</v>
      </c>
      <c r="H2765" s="5">
        <v>0</v>
      </c>
      <c r="I2765" s="5">
        <v>0</v>
      </c>
      <c r="J2765" s="5">
        <v>0</v>
      </c>
      <c r="K2765" s="5">
        <v>0</v>
      </c>
      <c r="L2765" s="5">
        <v>0</v>
      </c>
      <c r="M2765" s="5">
        <v>0</v>
      </c>
      <c r="N2765" s="5">
        <v>1</v>
      </c>
      <c r="O2765" s="5" t="str">
        <f t="shared" ca="1" si="43"/>
        <v>Supplier 1</v>
      </c>
      <c r="P2765" s="20" t="str">
        <f ca="1">IFERROR(VLOOKUP(O2765,EMAILS!B:C,2,FALSE),"NOT FOUND IN EMAILS")</f>
        <v>supplier@gmail.com</v>
      </c>
      <c r="Q2765" t="str">
        <f ca="1">""&amp;IFERROR(VLOOKUP(O2765,EMAILS!B:D,3,FALSE),"NOT FOUND IN EMAILS")</f>
        <v>supplier_logistics@gmail.com</v>
      </c>
      <c r="R2765" t="str">
        <f ca="1">""&amp;IFERROR(VLOOKUP(O2765,EMAILS!B:E,4,FALSE),"NO T FOUND IN EMAILS")</f>
        <v/>
      </c>
    </row>
    <row r="2766" spans="2:18" x14ac:dyDescent="0.25">
      <c r="B2766" s="5" t="s">
        <v>2768</v>
      </c>
      <c r="C2766" s="5" t="s">
        <v>6908</v>
      </c>
      <c r="D2766" s="5">
        <v>1</v>
      </c>
      <c r="E2766" s="5">
        <v>0</v>
      </c>
      <c r="F2766" s="5">
        <v>0</v>
      </c>
      <c r="G2766" s="5">
        <v>1</v>
      </c>
      <c r="H2766" s="5">
        <v>0</v>
      </c>
      <c r="I2766" s="5">
        <v>0</v>
      </c>
      <c r="J2766" s="5">
        <v>0</v>
      </c>
      <c r="K2766" s="5">
        <v>0</v>
      </c>
      <c r="L2766" s="5">
        <v>0</v>
      </c>
      <c r="M2766" s="5">
        <v>0</v>
      </c>
      <c r="N2766" s="5">
        <v>0</v>
      </c>
      <c r="O2766" s="5" t="str">
        <f t="shared" ca="1" si="43"/>
        <v>Supplier 61</v>
      </c>
      <c r="P2766" s="20" t="str">
        <f ca="1">IFERROR(VLOOKUP(O2766,EMAILS!B:C,2,FALSE),"NOT FOUND IN EMAILS")</f>
        <v>supplier@gmail.com</v>
      </c>
      <c r="Q2766" t="str">
        <f ca="1">""&amp;IFERROR(VLOOKUP(O2766,EMAILS!B:D,3,FALSE),"NOT FOUND IN EMAILS")</f>
        <v/>
      </c>
      <c r="R2766" t="str">
        <f ca="1">""&amp;IFERROR(VLOOKUP(O2766,EMAILS!B:E,4,FALSE),"NO T FOUND IN EMAILS")</f>
        <v/>
      </c>
    </row>
    <row r="2767" spans="2:18" x14ac:dyDescent="0.25">
      <c r="B2767" s="5" t="s">
        <v>2769</v>
      </c>
      <c r="C2767" s="5" t="s">
        <v>6909</v>
      </c>
      <c r="D2767" s="5">
        <v>1</v>
      </c>
      <c r="E2767" s="5">
        <v>0</v>
      </c>
      <c r="F2767" s="5">
        <v>0</v>
      </c>
      <c r="G2767" s="5">
        <v>1</v>
      </c>
      <c r="H2767" s="5">
        <v>0</v>
      </c>
      <c r="I2767" s="5">
        <v>0</v>
      </c>
      <c r="J2767" s="5">
        <v>0</v>
      </c>
      <c r="K2767" s="5">
        <v>0</v>
      </c>
      <c r="L2767" s="5">
        <v>0</v>
      </c>
      <c r="M2767" s="5">
        <v>0</v>
      </c>
      <c r="N2767" s="5">
        <v>0</v>
      </c>
      <c r="O2767" s="5" t="str">
        <f t="shared" ca="1" si="43"/>
        <v>Supplier 13</v>
      </c>
      <c r="P2767" s="20" t="str">
        <f ca="1">IFERROR(VLOOKUP(O2767,EMAILS!B:C,2,FALSE),"NOT FOUND IN EMAILS")</f>
        <v>supplier@gmail.com</v>
      </c>
      <c r="Q2767" t="str">
        <f ca="1">""&amp;IFERROR(VLOOKUP(O2767,EMAILS!B:D,3,FALSE),"NOT FOUND IN EMAILS")</f>
        <v>supplier_logistics@gmail.com</v>
      </c>
      <c r="R2767" t="str">
        <f ca="1">""&amp;IFERROR(VLOOKUP(O2767,EMAILS!B:E,4,FALSE),"NO T FOUND IN EMAILS")</f>
        <v/>
      </c>
    </row>
    <row r="2768" spans="2:18" x14ac:dyDescent="0.25">
      <c r="B2768" s="5" t="s">
        <v>2770</v>
      </c>
      <c r="C2768" s="5" t="s">
        <v>6910</v>
      </c>
      <c r="D2768" s="5">
        <v>3</v>
      </c>
      <c r="E2768" s="5">
        <v>0</v>
      </c>
      <c r="F2768" s="5">
        <v>0</v>
      </c>
      <c r="G2768" s="5">
        <v>3</v>
      </c>
      <c r="H2768" s="5">
        <v>0</v>
      </c>
      <c r="I2768" s="5">
        <v>0</v>
      </c>
      <c r="J2768" s="5">
        <v>0</v>
      </c>
      <c r="K2768" s="5">
        <v>0</v>
      </c>
      <c r="L2768" s="5">
        <v>0</v>
      </c>
      <c r="M2768" s="5">
        <v>0</v>
      </c>
      <c r="N2768" s="5">
        <v>1</v>
      </c>
      <c r="O2768" s="5" t="str">
        <f t="shared" ca="1" si="43"/>
        <v>Supplier 156</v>
      </c>
      <c r="P2768" s="20" t="str">
        <f ca="1">IFERROR(VLOOKUP(O2768,EMAILS!B:C,2,FALSE),"NOT FOUND IN EMAILS")</f>
        <v>supplier@gmail.com</v>
      </c>
      <c r="Q2768" t="str">
        <f ca="1">""&amp;IFERROR(VLOOKUP(O2768,EMAILS!B:D,3,FALSE),"NOT FOUND IN EMAILS")</f>
        <v/>
      </c>
      <c r="R2768" t="str">
        <f ca="1">""&amp;IFERROR(VLOOKUP(O2768,EMAILS!B:E,4,FALSE),"NO T FOUND IN EMAILS")</f>
        <v/>
      </c>
    </row>
    <row r="2769" spans="2:18" x14ac:dyDescent="0.25">
      <c r="B2769" s="5" t="s">
        <v>2771</v>
      </c>
      <c r="C2769" s="5" t="s">
        <v>6911</v>
      </c>
      <c r="D2769" s="5">
        <v>1</v>
      </c>
      <c r="E2769" s="5">
        <v>0</v>
      </c>
      <c r="F2769" s="5">
        <v>0</v>
      </c>
      <c r="G2769" s="5">
        <v>1</v>
      </c>
      <c r="H2769" s="5">
        <v>0</v>
      </c>
      <c r="I2769" s="5">
        <v>0</v>
      </c>
      <c r="J2769" s="5">
        <v>0</v>
      </c>
      <c r="K2769" s="5">
        <v>0</v>
      </c>
      <c r="L2769" s="5">
        <v>0</v>
      </c>
      <c r="M2769" s="5">
        <v>0</v>
      </c>
      <c r="N2769" s="5">
        <v>1</v>
      </c>
      <c r="O2769" s="5" t="str">
        <f t="shared" ca="1" si="43"/>
        <v>Supplier 197</v>
      </c>
      <c r="P2769" s="20" t="str">
        <f ca="1">IFERROR(VLOOKUP(O2769,EMAILS!B:C,2,FALSE),"NOT FOUND IN EMAILS")</f>
        <v>supplier@gmail.com</v>
      </c>
      <c r="Q2769" t="str">
        <f ca="1">""&amp;IFERROR(VLOOKUP(O2769,EMAILS!B:D,3,FALSE),"NOT FOUND IN EMAILS")</f>
        <v/>
      </c>
      <c r="R2769" t="str">
        <f ca="1">""&amp;IFERROR(VLOOKUP(O2769,EMAILS!B:E,4,FALSE),"NO T FOUND IN EMAILS")</f>
        <v/>
      </c>
    </row>
    <row r="2770" spans="2:18" x14ac:dyDescent="0.25">
      <c r="B2770" s="5" t="s">
        <v>2772</v>
      </c>
      <c r="C2770" s="5" t="s">
        <v>6912</v>
      </c>
      <c r="D2770" s="5">
        <v>1</v>
      </c>
      <c r="E2770" s="5">
        <v>0</v>
      </c>
      <c r="F2770" s="5">
        <v>1</v>
      </c>
      <c r="G2770" s="5">
        <v>1</v>
      </c>
      <c r="H2770" s="5">
        <v>0</v>
      </c>
      <c r="I2770" s="5">
        <v>0</v>
      </c>
      <c r="J2770" s="5">
        <v>0</v>
      </c>
      <c r="K2770" s="5">
        <v>0</v>
      </c>
      <c r="L2770" s="5">
        <v>0</v>
      </c>
      <c r="M2770" s="5">
        <v>0</v>
      </c>
      <c r="N2770" s="5">
        <v>2</v>
      </c>
      <c r="O2770" s="5" t="str">
        <f t="shared" ca="1" si="43"/>
        <v>Supplier 6</v>
      </c>
      <c r="P2770" s="20" t="str">
        <f ca="1">IFERROR(VLOOKUP(O2770,EMAILS!B:C,2,FALSE),"NOT FOUND IN EMAILS")</f>
        <v>supplier@gmail.com</v>
      </c>
      <c r="Q2770" t="str">
        <f ca="1">""&amp;IFERROR(VLOOKUP(O2770,EMAILS!B:D,3,FALSE),"NOT FOUND IN EMAILS")</f>
        <v>supplier_logistics@gmail.com</v>
      </c>
      <c r="R2770" t="str">
        <f ca="1">""&amp;IFERROR(VLOOKUP(O2770,EMAILS!B:E,4,FALSE),"NO T FOUND IN EMAILS")</f>
        <v/>
      </c>
    </row>
    <row r="2771" spans="2:18" x14ac:dyDescent="0.25">
      <c r="B2771" s="5" t="s">
        <v>2773</v>
      </c>
      <c r="C2771" s="5" t="s">
        <v>6913</v>
      </c>
      <c r="D2771" s="5">
        <v>2</v>
      </c>
      <c r="E2771" s="5">
        <v>0</v>
      </c>
      <c r="F2771" s="5">
        <v>2</v>
      </c>
      <c r="G2771" s="5">
        <v>2</v>
      </c>
      <c r="H2771" s="5">
        <v>0</v>
      </c>
      <c r="I2771" s="5">
        <v>0</v>
      </c>
      <c r="J2771" s="5">
        <v>0</v>
      </c>
      <c r="K2771" s="5">
        <v>0</v>
      </c>
      <c r="L2771" s="5">
        <v>0</v>
      </c>
      <c r="M2771" s="5">
        <v>0</v>
      </c>
      <c r="N2771" s="5">
        <v>1</v>
      </c>
      <c r="O2771" s="5" t="str">
        <f t="shared" ca="1" si="43"/>
        <v>Supplier 98</v>
      </c>
      <c r="P2771" s="20" t="str">
        <f ca="1">IFERROR(VLOOKUP(O2771,EMAILS!B:C,2,FALSE),"NOT FOUND IN EMAILS")</f>
        <v>supplier@gmail.com</v>
      </c>
      <c r="Q2771" t="str">
        <f ca="1">""&amp;IFERROR(VLOOKUP(O2771,EMAILS!B:D,3,FALSE),"NOT FOUND IN EMAILS")</f>
        <v/>
      </c>
      <c r="R2771" t="str">
        <f ca="1">""&amp;IFERROR(VLOOKUP(O2771,EMAILS!B:E,4,FALSE),"NO T FOUND IN EMAILS")</f>
        <v/>
      </c>
    </row>
    <row r="2772" spans="2:18" x14ac:dyDescent="0.25">
      <c r="B2772" s="5" t="s">
        <v>2774</v>
      </c>
      <c r="C2772" s="5" t="s">
        <v>6914</v>
      </c>
      <c r="D2772" s="5">
        <v>1</v>
      </c>
      <c r="E2772" s="5">
        <v>0</v>
      </c>
      <c r="F2772" s="5">
        <v>1</v>
      </c>
      <c r="G2772" s="5">
        <v>1</v>
      </c>
      <c r="H2772" s="5">
        <v>0</v>
      </c>
      <c r="I2772" s="5">
        <v>0</v>
      </c>
      <c r="J2772" s="5">
        <v>0</v>
      </c>
      <c r="K2772" s="5">
        <v>0</v>
      </c>
      <c r="L2772" s="5">
        <v>0</v>
      </c>
      <c r="M2772" s="5">
        <v>0</v>
      </c>
      <c r="N2772" s="5">
        <v>1</v>
      </c>
      <c r="O2772" s="5" t="str">
        <f t="shared" ca="1" si="43"/>
        <v>Supplier 122</v>
      </c>
      <c r="P2772" s="20" t="str">
        <f ca="1">IFERROR(VLOOKUP(O2772,EMAILS!B:C,2,FALSE),"NOT FOUND IN EMAILS")</f>
        <v>supplier@gmail.com</v>
      </c>
      <c r="Q2772" t="str">
        <f ca="1">""&amp;IFERROR(VLOOKUP(O2772,EMAILS!B:D,3,FALSE),"NOT FOUND IN EMAILS")</f>
        <v/>
      </c>
      <c r="R2772" t="str">
        <f ca="1">""&amp;IFERROR(VLOOKUP(O2772,EMAILS!B:E,4,FALSE),"NO T FOUND IN EMAILS")</f>
        <v/>
      </c>
    </row>
    <row r="2773" spans="2:18" x14ac:dyDescent="0.25">
      <c r="B2773" s="5" t="s">
        <v>2775</v>
      </c>
      <c r="C2773" s="5" t="s">
        <v>6915</v>
      </c>
      <c r="D2773" s="5">
        <v>1</v>
      </c>
      <c r="E2773" s="5">
        <v>0</v>
      </c>
      <c r="F2773" s="5">
        <v>0</v>
      </c>
      <c r="G2773" s="5">
        <v>1</v>
      </c>
      <c r="H2773" s="5">
        <v>0</v>
      </c>
      <c r="I2773" s="5">
        <v>0</v>
      </c>
      <c r="J2773" s="5">
        <v>0</v>
      </c>
      <c r="K2773" s="5">
        <v>0</v>
      </c>
      <c r="L2773" s="5">
        <v>0</v>
      </c>
      <c r="M2773" s="5">
        <v>0</v>
      </c>
      <c r="N2773" s="5">
        <v>1</v>
      </c>
      <c r="O2773" s="5" t="str">
        <f t="shared" ca="1" si="43"/>
        <v>Supplier 59</v>
      </c>
      <c r="P2773" s="20" t="str">
        <f ca="1">IFERROR(VLOOKUP(O2773,EMAILS!B:C,2,FALSE),"NOT FOUND IN EMAILS")</f>
        <v>supplier@gmail.com</v>
      </c>
      <c r="Q2773" t="str">
        <f ca="1">""&amp;IFERROR(VLOOKUP(O2773,EMAILS!B:D,3,FALSE),"NOT FOUND IN EMAILS")</f>
        <v/>
      </c>
      <c r="R2773" t="str">
        <f ca="1">""&amp;IFERROR(VLOOKUP(O2773,EMAILS!B:E,4,FALSE),"NO T FOUND IN EMAILS")</f>
        <v/>
      </c>
    </row>
    <row r="2774" spans="2:18" x14ac:dyDescent="0.25">
      <c r="B2774" s="5" t="s">
        <v>2776</v>
      </c>
      <c r="C2774" s="5" t="s">
        <v>6916</v>
      </c>
      <c r="D2774" s="5">
        <v>1</v>
      </c>
      <c r="E2774" s="5">
        <v>0</v>
      </c>
      <c r="F2774" s="5">
        <v>1</v>
      </c>
      <c r="G2774" s="5">
        <v>1</v>
      </c>
      <c r="H2774" s="5">
        <v>0</v>
      </c>
      <c r="I2774" s="5">
        <v>0</v>
      </c>
      <c r="J2774" s="5">
        <v>0</v>
      </c>
      <c r="K2774" s="5">
        <v>0</v>
      </c>
      <c r="L2774" s="5">
        <v>0</v>
      </c>
      <c r="M2774" s="5">
        <v>0</v>
      </c>
      <c r="N2774" s="5">
        <v>1</v>
      </c>
      <c r="O2774" s="5" t="str">
        <f t="shared" ca="1" si="43"/>
        <v>Supplier 148</v>
      </c>
      <c r="P2774" s="20" t="str">
        <f ca="1">IFERROR(VLOOKUP(O2774,EMAILS!B:C,2,FALSE),"NOT FOUND IN EMAILS")</f>
        <v>supplier@gmail.com</v>
      </c>
      <c r="Q2774" t="str">
        <f ca="1">""&amp;IFERROR(VLOOKUP(O2774,EMAILS!B:D,3,FALSE),"NOT FOUND IN EMAILS")</f>
        <v/>
      </c>
      <c r="R2774" t="str">
        <f ca="1">""&amp;IFERROR(VLOOKUP(O2774,EMAILS!B:E,4,FALSE),"NO T FOUND IN EMAILS")</f>
        <v/>
      </c>
    </row>
    <row r="2775" spans="2:18" x14ac:dyDescent="0.25">
      <c r="B2775" s="5" t="s">
        <v>2777</v>
      </c>
      <c r="C2775" s="5" t="s">
        <v>6917</v>
      </c>
      <c r="D2775" s="5">
        <v>1</v>
      </c>
      <c r="E2775" s="5">
        <v>0</v>
      </c>
      <c r="F2775" s="5">
        <v>0</v>
      </c>
      <c r="G2775" s="5">
        <v>1</v>
      </c>
      <c r="H2775" s="5">
        <v>0</v>
      </c>
      <c r="I2775" s="5">
        <v>0</v>
      </c>
      <c r="J2775" s="5">
        <v>0</v>
      </c>
      <c r="K2775" s="5">
        <v>0</v>
      </c>
      <c r="L2775" s="5">
        <v>0</v>
      </c>
      <c r="M2775" s="5">
        <v>0</v>
      </c>
      <c r="N2775" s="5">
        <v>29</v>
      </c>
      <c r="O2775" s="5" t="str">
        <f t="shared" ca="1" si="43"/>
        <v>Supplier 99</v>
      </c>
      <c r="P2775" s="20" t="str">
        <f ca="1">IFERROR(VLOOKUP(O2775,EMAILS!B:C,2,FALSE),"NOT FOUND IN EMAILS")</f>
        <v>supplier@gmail.com</v>
      </c>
      <c r="Q2775" t="str">
        <f ca="1">""&amp;IFERROR(VLOOKUP(O2775,EMAILS!B:D,3,FALSE),"NOT FOUND IN EMAILS")</f>
        <v/>
      </c>
      <c r="R2775" t="str">
        <f ca="1">""&amp;IFERROR(VLOOKUP(O2775,EMAILS!B:E,4,FALSE),"NO T FOUND IN EMAILS")</f>
        <v/>
      </c>
    </row>
    <row r="2776" spans="2:18" x14ac:dyDescent="0.25">
      <c r="B2776" s="5" t="s">
        <v>2778</v>
      </c>
      <c r="C2776" s="5" t="s">
        <v>6918</v>
      </c>
      <c r="D2776" s="5">
        <v>24</v>
      </c>
      <c r="E2776" s="5">
        <v>0</v>
      </c>
      <c r="F2776" s="5">
        <v>14</v>
      </c>
      <c r="G2776" s="5">
        <v>17</v>
      </c>
      <c r="H2776" s="5">
        <v>0</v>
      </c>
      <c r="I2776" s="5">
        <v>0</v>
      </c>
      <c r="J2776" s="5">
        <v>0</v>
      </c>
      <c r="K2776" s="5">
        <v>0</v>
      </c>
      <c r="L2776" s="5">
        <v>0</v>
      </c>
      <c r="M2776" s="5">
        <v>0</v>
      </c>
      <c r="N2776" s="5">
        <v>1</v>
      </c>
      <c r="O2776" s="5" t="str">
        <f t="shared" ca="1" si="43"/>
        <v>Supplier 33</v>
      </c>
      <c r="P2776" s="20" t="str">
        <f ca="1">IFERROR(VLOOKUP(O2776,EMAILS!B:C,2,FALSE),"NOT FOUND IN EMAILS")</f>
        <v>supplier@gmail.com</v>
      </c>
      <c r="Q2776" t="str">
        <f ca="1">""&amp;IFERROR(VLOOKUP(O2776,EMAILS!B:D,3,FALSE),"NOT FOUND IN EMAILS")</f>
        <v/>
      </c>
      <c r="R2776" t="str">
        <f ca="1">""&amp;IFERROR(VLOOKUP(O2776,EMAILS!B:E,4,FALSE),"NO T FOUND IN EMAILS")</f>
        <v/>
      </c>
    </row>
    <row r="2777" spans="2:18" x14ac:dyDescent="0.25">
      <c r="B2777" s="5" t="s">
        <v>2779</v>
      </c>
      <c r="C2777" s="5" t="s">
        <v>6919</v>
      </c>
      <c r="D2777" s="5">
        <v>1</v>
      </c>
      <c r="E2777" s="5">
        <v>0</v>
      </c>
      <c r="F2777" s="5">
        <v>1</v>
      </c>
      <c r="G2777" s="5">
        <v>1</v>
      </c>
      <c r="H2777" s="5">
        <v>0</v>
      </c>
      <c r="I2777" s="5">
        <v>0</v>
      </c>
      <c r="J2777" s="5">
        <v>0</v>
      </c>
      <c r="K2777" s="5">
        <v>0</v>
      </c>
      <c r="L2777" s="5">
        <v>0</v>
      </c>
      <c r="M2777" s="5">
        <v>0</v>
      </c>
      <c r="N2777" s="5">
        <v>2</v>
      </c>
      <c r="O2777" s="5" t="str">
        <f t="shared" ca="1" si="43"/>
        <v>Supplier 37</v>
      </c>
      <c r="P2777" s="20" t="str">
        <f ca="1">IFERROR(VLOOKUP(O2777,EMAILS!B:C,2,FALSE),"NOT FOUND IN EMAILS")</f>
        <v>supplier@gmail.com</v>
      </c>
      <c r="Q2777" t="str">
        <f ca="1">""&amp;IFERROR(VLOOKUP(O2777,EMAILS!B:D,3,FALSE),"NOT FOUND IN EMAILS")</f>
        <v/>
      </c>
      <c r="R2777" t="str">
        <f ca="1">""&amp;IFERROR(VLOOKUP(O2777,EMAILS!B:E,4,FALSE),"NO T FOUND IN EMAILS")</f>
        <v/>
      </c>
    </row>
    <row r="2778" spans="2:18" x14ac:dyDescent="0.25">
      <c r="B2778" s="5" t="s">
        <v>2780</v>
      </c>
      <c r="C2778" s="5" t="s">
        <v>6920</v>
      </c>
      <c r="D2778" s="5">
        <v>2</v>
      </c>
      <c r="E2778" s="5">
        <v>0</v>
      </c>
      <c r="F2778" s="5">
        <v>2</v>
      </c>
      <c r="G2778" s="5">
        <v>2</v>
      </c>
      <c r="H2778" s="5">
        <v>0</v>
      </c>
      <c r="I2778" s="5">
        <v>0</v>
      </c>
      <c r="J2778" s="5">
        <v>0</v>
      </c>
      <c r="K2778" s="5">
        <v>0</v>
      </c>
      <c r="L2778" s="5">
        <v>0</v>
      </c>
      <c r="M2778" s="5">
        <v>0</v>
      </c>
      <c r="N2778" s="5">
        <v>8</v>
      </c>
      <c r="O2778" s="5" t="str">
        <f t="shared" ca="1" si="43"/>
        <v>Supplier 31</v>
      </c>
      <c r="P2778" s="20" t="str">
        <f ca="1">IFERROR(VLOOKUP(O2778,EMAILS!B:C,2,FALSE),"NOT FOUND IN EMAILS")</f>
        <v>supplier@gmail.com</v>
      </c>
      <c r="Q2778" t="str">
        <f ca="1">""&amp;IFERROR(VLOOKUP(O2778,EMAILS!B:D,3,FALSE),"NOT FOUND IN EMAILS")</f>
        <v/>
      </c>
      <c r="R2778" t="str">
        <f ca="1">""&amp;IFERROR(VLOOKUP(O2778,EMAILS!B:E,4,FALSE),"NO T FOUND IN EMAILS")</f>
        <v/>
      </c>
    </row>
    <row r="2779" spans="2:18" x14ac:dyDescent="0.25">
      <c r="B2779" s="5" t="s">
        <v>2781</v>
      </c>
      <c r="C2779" s="5" t="s">
        <v>6921</v>
      </c>
      <c r="D2779" s="5">
        <v>4</v>
      </c>
      <c r="E2779" s="5">
        <v>0</v>
      </c>
      <c r="F2779" s="5">
        <v>4</v>
      </c>
      <c r="G2779" s="5">
        <v>4</v>
      </c>
      <c r="H2779" s="5">
        <v>0</v>
      </c>
      <c r="I2779" s="5">
        <v>0</v>
      </c>
      <c r="J2779" s="5">
        <v>0</v>
      </c>
      <c r="K2779" s="5">
        <v>0</v>
      </c>
      <c r="L2779" s="5">
        <v>0</v>
      </c>
      <c r="M2779" s="5">
        <v>0</v>
      </c>
      <c r="N2779" s="5">
        <v>1</v>
      </c>
      <c r="O2779" s="5" t="str">
        <f t="shared" ca="1" si="43"/>
        <v>Supplier 13</v>
      </c>
      <c r="P2779" s="20" t="str">
        <f ca="1">IFERROR(VLOOKUP(O2779,EMAILS!B:C,2,FALSE),"NOT FOUND IN EMAILS")</f>
        <v>supplier@gmail.com</v>
      </c>
      <c r="Q2779" t="str">
        <f ca="1">""&amp;IFERROR(VLOOKUP(O2779,EMAILS!B:D,3,FALSE),"NOT FOUND IN EMAILS")</f>
        <v>supplier_logistics@gmail.com</v>
      </c>
      <c r="R2779" t="str">
        <f ca="1">""&amp;IFERROR(VLOOKUP(O2779,EMAILS!B:E,4,FALSE),"NO T FOUND IN EMAILS")</f>
        <v/>
      </c>
    </row>
    <row r="2780" spans="2:18" x14ac:dyDescent="0.25">
      <c r="B2780" s="5" t="s">
        <v>2782</v>
      </c>
      <c r="C2780" s="5" t="s">
        <v>6922</v>
      </c>
      <c r="D2780" s="5">
        <v>1</v>
      </c>
      <c r="E2780" s="5">
        <v>0</v>
      </c>
      <c r="F2780" s="5">
        <v>0</v>
      </c>
      <c r="G2780" s="5">
        <v>1</v>
      </c>
      <c r="H2780" s="5">
        <v>0</v>
      </c>
      <c r="I2780" s="5">
        <v>0</v>
      </c>
      <c r="J2780" s="5">
        <v>0</v>
      </c>
      <c r="K2780" s="5">
        <v>0</v>
      </c>
      <c r="L2780" s="5">
        <v>0</v>
      </c>
      <c r="M2780" s="5">
        <v>0</v>
      </c>
      <c r="N2780" s="5">
        <v>0</v>
      </c>
      <c r="O2780" s="5" t="str">
        <f t="shared" ca="1" si="43"/>
        <v>Supplier 98</v>
      </c>
      <c r="P2780" s="20" t="str">
        <f ca="1">IFERROR(VLOOKUP(O2780,EMAILS!B:C,2,FALSE),"NOT FOUND IN EMAILS")</f>
        <v>supplier@gmail.com</v>
      </c>
      <c r="Q2780" t="str">
        <f ca="1">""&amp;IFERROR(VLOOKUP(O2780,EMAILS!B:D,3,FALSE),"NOT FOUND IN EMAILS")</f>
        <v/>
      </c>
      <c r="R2780" t="str">
        <f ca="1">""&amp;IFERROR(VLOOKUP(O2780,EMAILS!B:E,4,FALSE),"NO T FOUND IN EMAILS")</f>
        <v/>
      </c>
    </row>
    <row r="2781" spans="2:18" x14ac:dyDescent="0.25">
      <c r="B2781" s="5" t="s">
        <v>2783</v>
      </c>
      <c r="C2781" s="5" t="s">
        <v>6923</v>
      </c>
      <c r="D2781" s="5">
        <v>1</v>
      </c>
      <c r="E2781" s="5">
        <v>0</v>
      </c>
      <c r="F2781" s="5">
        <v>0</v>
      </c>
      <c r="G2781" s="5">
        <v>1</v>
      </c>
      <c r="H2781" s="5">
        <v>0</v>
      </c>
      <c r="I2781" s="5">
        <v>0</v>
      </c>
      <c r="J2781" s="5">
        <v>0</v>
      </c>
      <c r="K2781" s="5">
        <v>0</v>
      </c>
      <c r="L2781" s="5">
        <v>0</v>
      </c>
      <c r="M2781" s="5">
        <v>0</v>
      </c>
      <c r="N2781" s="5">
        <v>1</v>
      </c>
      <c r="O2781" s="5" t="str">
        <f t="shared" ca="1" si="43"/>
        <v>Supplier 152</v>
      </c>
      <c r="P2781" s="20" t="str">
        <f ca="1">IFERROR(VLOOKUP(O2781,EMAILS!B:C,2,FALSE),"NOT FOUND IN EMAILS")</f>
        <v>supplier@gmail.com</v>
      </c>
      <c r="Q2781" t="str">
        <f ca="1">""&amp;IFERROR(VLOOKUP(O2781,EMAILS!B:D,3,FALSE),"NOT FOUND IN EMAILS")</f>
        <v/>
      </c>
      <c r="R2781" t="str">
        <f ca="1">""&amp;IFERROR(VLOOKUP(O2781,EMAILS!B:E,4,FALSE),"NO T FOUND IN EMAILS")</f>
        <v/>
      </c>
    </row>
    <row r="2782" spans="2:18" x14ac:dyDescent="0.25">
      <c r="B2782" s="5" t="s">
        <v>2784</v>
      </c>
      <c r="C2782" s="5" t="s">
        <v>6924</v>
      </c>
      <c r="D2782" s="5">
        <v>0</v>
      </c>
      <c r="E2782" s="5">
        <v>0</v>
      </c>
      <c r="F2782" s="5">
        <v>1</v>
      </c>
      <c r="G2782" s="5">
        <v>0</v>
      </c>
      <c r="H2782" s="5">
        <v>0</v>
      </c>
      <c r="I2782" s="5">
        <v>0</v>
      </c>
      <c r="J2782" s="5">
        <v>0</v>
      </c>
      <c r="K2782" s="5">
        <v>0</v>
      </c>
      <c r="L2782" s="5">
        <v>0</v>
      </c>
      <c r="M2782" s="5">
        <v>0</v>
      </c>
      <c r="N2782" s="5">
        <v>1</v>
      </c>
      <c r="O2782" s="5" t="str">
        <f t="shared" ca="1" si="43"/>
        <v>Supplier 22</v>
      </c>
      <c r="P2782" s="20" t="str">
        <f ca="1">IFERROR(VLOOKUP(O2782,EMAILS!B:C,2,FALSE),"NOT FOUND IN EMAILS")</f>
        <v>supplier@gmail.com</v>
      </c>
      <c r="Q2782" t="str">
        <f ca="1">""&amp;IFERROR(VLOOKUP(O2782,EMAILS!B:D,3,FALSE),"NOT FOUND IN EMAILS")</f>
        <v/>
      </c>
      <c r="R2782" t="str">
        <f ca="1">""&amp;IFERROR(VLOOKUP(O2782,EMAILS!B:E,4,FALSE),"NO T FOUND IN EMAILS")</f>
        <v/>
      </c>
    </row>
    <row r="2783" spans="2:18" x14ac:dyDescent="0.25">
      <c r="B2783" s="5" t="s">
        <v>2785</v>
      </c>
      <c r="C2783" s="5" t="s">
        <v>6925</v>
      </c>
      <c r="D2783" s="5">
        <v>0</v>
      </c>
      <c r="E2783" s="5">
        <v>0</v>
      </c>
      <c r="F2783" s="5">
        <v>1</v>
      </c>
      <c r="G2783" s="5">
        <v>0</v>
      </c>
      <c r="H2783" s="5">
        <v>0</v>
      </c>
      <c r="I2783" s="5">
        <v>0</v>
      </c>
      <c r="J2783" s="5">
        <v>0</v>
      </c>
      <c r="K2783" s="5">
        <v>0</v>
      </c>
      <c r="L2783" s="5">
        <v>0</v>
      </c>
      <c r="M2783" s="5">
        <v>0</v>
      </c>
      <c r="N2783" s="5">
        <v>1</v>
      </c>
      <c r="O2783" s="5" t="str">
        <f t="shared" ca="1" si="43"/>
        <v>Supplier 145</v>
      </c>
      <c r="P2783" s="20" t="str">
        <f ca="1">IFERROR(VLOOKUP(O2783,EMAILS!B:C,2,FALSE),"NOT FOUND IN EMAILS")</f>
        <v>supplier@gmail.com</v>
      </c>
      <c r="Q2783" t="str">
        <f ca="1">""&amp;IFERROR(VLOOKUP(O2783,EMAILS!B:D,3,FALSE),"NOT FOUND IN EMAILS")</f>
        <v/>
      </c>
      <c r="R2783" t="str">
        <f ca="1">""&amp;IFERROR(VLOOKUP(O2783,EMAILS!B:E,4,FALSE),"NO T FOUND IN EMAILS")</f>
        <v/>
      </c>
    </row>
    <row r="2784" spans="2:18" x14ac:dyDescent="0.25">
      <c r="B2784" s="5" t="s">
        <v>2786</v>
      </c>
      <c r="C2784" s="5" t="s">
        <v>6926</v>
      </c>
      <c r="D2784" s="5">
        <v>0</v>
      </c>
      <c r="E2784" s="5">
        <v>0</v>
      </c>
      <c r="F2784" s="5">
        <v>1</v>
      </c>
      <c r="G2784" s="5">
        <v>0</v>
      </c>
      <c r="H2784" s="5">
        <v>0</v>
      </c>
      <c r="I2784" s="5">
        <v>0</v>
      </c>
      <c r="J2784" s="5">
        <v>0</v>
      </c>
      <c r="K2784" s="5">
        <v>0</v>
      </c>
      <c r="L2784" s="5">
        <v>0</v>
      </c>
      <c r="M2784" s="5">
        <v>0</v>
      </c>
      <c r="N2784" s="5">
        <v>1</v>
      </c>
      <c r="O2784" s="5" t="str">
        <f t="shared" ca="1" si="43"/>
        <v>Supplier 98</v>
      </c>
      <c r="P2784" s="20" t="str">
        <f ca="1">IFERROR(VLOOKUP(O2784,EMAILS!B:C,2,FALSE),"NOT FOUND IN EMAILS")</f>
        <v>supplier@gmail.com</v>
      </c>
      <c r="Q2784" t="str">
        <f ca="1">""&amp;IFERROR(VLOOKUP(O2784,EMAILS!B:D,3,FALSE),"NOT FOUND IN EMAILS")</f>
        <v/>
      </c>
      <c r="R2784" t="str">
        <f ca="1">""&amp;IFERROR(VLOOKUP(O2784,EMAILS!B:E,4,FALSE),"NO T FOUND IN EMAILS")</f>
        <v/>
      </c>
    </row>
    <row r="2785" spans="2:18" x14ac:dyDescent="0.25">
      <c r="B2785" s="5" t="s">
        <v>2787</v>
      </c>
      <c r="C2785" s="5" t="s">
        <v>6927</v>
      </c>
      <c r="D2785" s="5">
        <v>0</v>
      </c>
      <c r="E2785" s="5">
        <v>0</v>
      </c>
      <c r="F2785" s="5">
        <v>1</v>
      </c>
      <c r="G2785" s="5">
        <v>0</v>
      </c>
      <c r="H2785" s="5">
        <v>0</v>
      </c>
      <c r="I2785" s="5">
        <v>0</v>
      </c>
      <c r="J2785" s="5">
        <v>0</v>
      </c>
      <c r="K2785" s="5">
        <v>0</v>
      </c>
      <c r="L2785" s="5">
        <v>0</v>
      </c>
      <c r="M2785" s="5">
        <v>0</v>
      </c>
      <c r="N2785" s="5">
        <v>1</v>
      </c>
      <c r="O2785" s="5" t="str">
        <f t="shared" ca="1" si="43"/>
        <v>Supplier 96</v>
      </c>
      <c r="P2785" s="20" t="str">
        <f ca="1">IFERROR(VLOOKUP(O2785,EMAILS!B:C,2,FALSE),"NOT FOUND IN EMAILS")</f>
        <v>supplier@gmail.com</v>
      </c>
      <c r="Q2785" t="str">
        <f ca="1">""&amp;IFERROR(VLOOKUP(O2785,EMAILS!B:D,3,FALSE),"NOT FOUND IN EMAILS")</f>
        <v/>
      </c>
      <c r="R2785" t="str">
        <f ca="1">""&amp;IFERROR(VLOOKUP(O2785,EMAILS!B:E,4,FALSE),"NO T FOUND IN EMAILS")</f>
        <v/>
      </c>
    </row>
    <row r="2786" spans="2:18" x14ac:dyDescent="0.25">
      <c r="B2786" s="5" t="s">
        <v>2788</v>
      </c>
      <c r="C2786" s="5" t="s">
        <v>6928</v>
      </c>
      <c r="D2786" s="5">
        <v>0</v>
      </c>
      <c r="E2786" s="5">
        <v>0</v>
      </c>
      <c r="F2786" s="5">
        <v>1</v>
      </c>
      <c r="G2786" s="5">
        <v>0</v>
      </c>
      <c r="H2786" s="5">
        <v>0</v>
      </c>
      <c r="I2786" s="5">
        <v>0</v>
      </c>
      <c r="J2786" s="5">
        <v>0</v>
      </c>
      <c r="K2786" s="5">
        <v>0</v>
      </c>
      <c r="L2786" s="5">
        <v>0</v>
      </c>
      <c r="M2786" s="5">
        <v>0</v>
      </c>
      <c r="N2786" s="5">
        <v>1</v>
      </c>
      <c r="O2786" s="5" t="str">
        <f t="shared" ca="1" si="43"/>
        <v>Supplier 182</v>
      </c>
      <c r="P2786" s="20" t="str">
        <f ca="1">IFERROR(VLOOKUP(O2786,EMAILS!B:C,2,FALSE),"NOT FOUND IN EMAILS")</f>
        <v>supplier@gmail.com</v>
      </c>
      <c r="Q2786" t="str">
        <f ca="1">""&amp;IFERROR(VLOOKUP(O2786,EMAILS!B:D,3,FALSE),"NOT FOUND IN EMAILS")</f>
        <v/>
      </c>
      <c r="R2786" t="str">
        <f ca="1">""&amp;IFERROR(VLOOKUP(O2786,EMAILS!B:E,4,FALSE),"NO T FOUND IN EMAILS")</f>
        <v/>
      </c>
    </row>
    <row r="2787" spans="2:18" x14ac:dyDescent="0.25">
      <c r="B2787" s="5" t="s">
        <v>2789</v>
      </c>
      <c r="C2787" s="5" t="s">
        <v>6929</v>
      </c>
      <c r="D2787" s="5">
        <v>0</v>
      </c>
      <c r="E2787" s="5">
        <v>0</v>
      </c>
      <c r="F2787" s="5">
        <v>1</v>
      </c>
      <c r="G2787" s="5">
        <v>0</v>
      </c>
      <c r="H2787" s="5">
        <v>0</v>
      </c>
      <c r="I2787" s="5">
        <v>0</v>
      </c>
      <c r="J2787" s="5">
        <v>0</v>
      </c>
      <c r="K2787" s="5">
        <v>0</v>
      </c>
      <c r="L2787" s="5">
        <v>0</v>
      </c>
      <c r="M2787" s="5">
        <v>0</v>
      </c>
      <c r="N2787" s="5">
        <v>1</v>
      </c>
      <c r="O2787" s="5" t="str">
        <f t="shared" ca="1" si="43"/>
        <v>Supplier 25</v>
      </c>
      <c r="P2787" s="20" t="str">
        <f ca="1">IFERROR(VLOOKUP(O2787,EMAILS!B:C,2,FALSE),"NOT FOUND IN EMAILS")</f>
        <v>supplier@gmail.com</v>
      </c>
      <c r="Q2787" t="str">
        <f ca="1">""&amp;IFERROR(VLOOKUP(O2787,EMAILS!B:D,3,FALSE),"NOT FOUND IN EMAILS")</f>
        <v/>
      </c>
      <c r="R2787" t="str">
        <f ca="1">""&amp;IFERROR(VLOOKUP(O2787,EMAILS!B:E,4,FALSE),"NO T FOUND IN EMAILS")</f>
        <v/>
      </c>
    </row>
    <row r="2788" spans="2:18" x14ac:dyDescent="0.25">
      <c r="B2788" s="5" t="s">
        <v>2790</v>
      </c>
      <c r="C2788" s="5" t="s">
        <v>6930</v>
      </c>
      <c r="D2788" s="5">
        <v>0</v>
      </c>
      <c r="E2788" s="5">
        <v>0</v>
      </c>
      <c r="F2788" s="5">
        <v>1</v>
      </c>
      <c r="G2788" s="5">
        <v>0</v>
      </c>
      <c r="H2788" s="5">
        <v>0</v>
      </c>
      <c r="I2788" s="5">
        <v>0</v>
      </c>
      <c r="J2788" s="5">
        <v>0</v>
      </c>
      <c r="K2788" s="5">
        <v>0</v>
      </c>
      <c r="L2788" s="5">
        <v>0</v>
      </c>
      <c r="M2788" s="5">
        <v>0</v>
      </c>
      <c r="N2788" s="5">
        <v>1</v>
      </c>
      <c r="O2788" s="5" t="str">
        <f t="shared" ca="1" si="43"/>
        <v>Supplier 122</v>
      </c>
      <c r="P2788" s="20" t="str">
        <f ca="1">IFERROR(VLOOKUP(O2788,EMAILS!B:C,2,FALSE),"NOT FOUND IN EMAILS")</f>
        <v>supplier@gmail.com</v>
      </c>
      <c r="Q2788" t="str">
        <f ca="1">""&amp;IFERROR(VLOOKUP(O2788,EMAILS!B:D,3,FALSE),"NOT FOUND IN EMAILS")</f>
        <v/>
      </c>
      <c r="R2788" t="str">
        <f ca="1">""&amp;IFERROR(VLOOKUP(O2788,EMAILS!B:E,4,FALSE),"NO T FOUND IN EMAILS")</f>
        <v/>
      </c>
    </row>
    <row r="2789" spans="2:18" x14ac:dyDescent="0.25">
      <c r="B2789" s="5" t="s">
        <v>2791</v>
      </c>
      <c r="C2789" s="5" t="s">
        <v>6931</v>
      </c>
      <c r="D2789" s="5">
        <v>0</v>
      </c>
      <c r="E2789" s="5">
        <v>0</v>
      </c>
      <c r="F2789" s="5">
        <v>1</v>
      </c>
      <c r="G2789" s="5">
        <v>0</v>
      </c>
      <c r="H2789" s="5">
        <v>0</v>
      </c>
      <c r="I2789" s="5">
        <v>0</v>
      </c>
      <c r="J2789" s="5">
        <v>0</v>
      </c>
      <c r="K2789" s="5">
        <v>0</v>
      </c>
      <c r="L2789" s="5">
        <v>0</v>
      </c>
      <c r="M2789" s="5">
        <v>0</v>
      </c>
      <c r="N2789" s="5">
        <v>1</v>
      </c>
      <c r="O2789" s="5" t="str">
        <f t="shared" ca="1" si="43"/>
        <v>Supplier 96</v>
      </c>
      <c r="P2789" s="20" t="str">
        <f ca="1">IFERROR(VLOOKUP(O2789,EMAILS!B:C,2,FALSE),"NOT FOUND IN EMAILS")</f>
        <v>supplier@gmail.com</v>
      </c>
      <c r="Q2789" t="str">
        <f ca="1">""&amp;IFERROR(VLOOKUP(O2789,EMAILS!B:D,3,FALSE),"NOT FOUND IN EMAILS")</f>
        <v/>
      </c>
      <c r="R2789" t="str">
        <f ca="1">""&amp;IFERROR(VLOOKUP(O2789,EMAILS!B:E,4,FALSE),"NO T FOUND IN EMAILS")</f>
        <v/>
      </c>
    </row>
    <row r="2790" spans="2:18" x14ac:dyDescent="0.25">
      <c r="B2790" s="5" t="s">
        <v>2792</v>
      </c>
      <c r="C2790" s="5" t="s">
        <v>6932</v>
      </c>
      <c r="D2790" s="5">
        <v>0</v>
      </c>
      <c r="E2790" s="5">
        <v>0</v>
      </c>
      <c r="F2790" s="5">
        <v>1</v>
      </c>
      <c r="G2790" s="5">
        <v>0</v>
      </c>
      <c r="H2790" s="5">
        <v>0</v>
      </c>
      <c r="I2790" s="5">
        <v>0</v>
      </c>
      <c r="J2790" s="5">
        <v>0</v>
      </c>
      <c r="K2790" s="5">
        <v>0</v>
      </c>
      <c r="L2790" s="5">
        <v>0</v>
      </c>
      <c r="M2790" s="5">
        <v>0</v>
      </c>
      <c r="N2790" s="5">
        <v>1</v>
      </c>
      <c r="O2790" s="5" t="str">
        <f t="shared" ca="1" si="43"/>
        <v>Supplier 172</v>
      </c>
      <c r="P2790" s="20" t="str">
        <f ca="1">IFERROR(VLOOKUP(O2790,EMAILS!B:C,2,FALSE),"NOT FOUND IN EMAILS")</f>
        <v>supplier@gmail.com</v>
      </c>
      <c r="Q2790" t="str">
        <f ca="1">""&amp;IFERROR(VLOOKUP(O2790,EMAILS!B:D,3,FALSE),"NOT FOUND IN EMAILS")</f>
        <v/>
      </c>
      <c r="R2790" t="str">
        <f ca="1">""&amp;IFERROR(VLOOKUP(O2790,EMAILS!B:E,4,FALSE),"NO T FOUND IN EMAILS")</f>
        <v/>
      </c>
    </row>
    <row r="2791" spans="2:18" x14ac:dyDescent="0.25">
      <c r="B2791" s="5" t="s">
        <v>2793</v>
      </c>
      <c r="C2791" s="5" t="s">
        <v>6933</v>
      </c>
      <c r="D2791" s="5">
        <v>0</v>
      </c>
      <c r="E2791" s="5">
        <v>0</v>
      </c>
      <c r="F2791" s="5">
        <v>1</v>
      </c>
      <c r="G2791" s="5">
        <v>0</v>
      </c>
      <c r="H2791" s="5">
        <v>0</v>
      </c>
      <c r="I2791" s="5">
        <v>0</v>
      </c>
      <c r="J2791" s="5">
        <v>0</v>
      </c>
      <c r="K2791" s="5">
        <v>0</v>
      </c>
      <c r="L2791" s="5">
        <v>0</v>
      </c>
      <c r="M2791" s="5">
        <v>0</v>
      </c>
      <c r="N2791" s="5">
        <v>2</v>
      </c>
      <c r="O2791" s="5" t="str">
        <f t="shared" ca="1" si="43"/>
        <v>Supplier 23</v>
      </c>
      <c r="P2791" s="20" t="str">
        <f ca="1">IFERROR(VLOOKUP(O2791,EMAILS!B:C,2,FALSE),"NOT FOUND IN EMAILS")</f>
        <v>supplier@gmail.com</v>
      </c>
      <c r="Q2791" t="str">
        <f ca="1">""&amp;IFERROR(VLOOKUP(O2791,EMAILS!B:D,3,FALSE),"NOT FOUND IN EMAILS")</f>
        <v/>
      </c>
      <c r="R2791" t="str">
        <f ca="1">""&amp;IFERROR(VLOOKUP(O2791,EMAILS!B:E,4,FALSE),"NO T FOUND IN EMAILS")</f>
        <v/>
      </c>
    </row>
    <row r="2792" spans="2:18" x14ac:dyDescent="0.25">
      <c r="B2792" s="5" t="s">
        <v>2794</v>
      </c>
      <c r="C2792" s="5" t="s">
        <v>6934</v>
      </c>
      <c r="D2792" s="5">
        <v>0</v>
      </c>
      <c r="E2792" s="5">
        <v>0</v>
      </c>
      <c r="F2792" s="5">
        <v>2</v>
      </c>
      <c r="G2792" s="5">
        <v>0</v>
      </c>
      <c r="H2792" s="5">
        <v>0</v>
      </c>
      <c r="I2792" s="5">
        <v>0</v>
      </c>
      <c r="J2792" s="5">
        <v>0</v>
      </c>
      <c r="K2792" s="5">
        <v>0</v>
      </c>
      <c r="L2792" s="5">
        <v>0</v>
      </c>
      <c r="M2792" s="5">
        <v>0</v>
      </c>
      <c r="N2792" s="5">
        <v>1</v>
      </c>
      <c r="O2792" s="5" t="str">
        <f t="shared" ca="1" si="43"/>
        <v>Supplier 14</v>
      </c>
      <c r="P2792" s="20" t="str">
        <f ca="1">IFERROR(VLOOKUP(O2792,EMAILS!B:C,2,FALSE),"NOT FOUND IN EMAILS")</f>
        <v>supplier@gmail.com</v>
      </c>
      <c r="Q2792" t="str">
        <f ca="1">""&amp;IFERROR(VLOOKUP(O2792,EMAILS!B:D,3,FALSE),"NOT FOUND IN EMAILS")</f>
        <v>supplier_logistics@gmail.com</v>
      </c>
      <c r="R2792" t="str">
        <f ca="1">""&amp;IFERROR(VLOOKUP(O2792,EMAILS!B:E,4,FALSE),"NO T FOUND IN EMAILS")</f>
        <v/>
      </c>
    </row>
    <row r="2793" spans="2:18" x14ac:dyDescent="0.25">
      <c r="B2793" s="5" t="s">
        <v>2795</v>
      </c>
      <c r="C2793" s="5" t="s">
        <v>6935</v>
      </c>
      <c r="D2793" s="5">
        <v>0</v>
      </c>
      <c r="E2793" s="5">
        <v>0</v>
      </c>
      <c r="F2793" s="5">
        <v>1</v>
      </c>
      <c r="G2793" s="5">
        <v>0</v>
      </c>
      <c r="H2793" s="5">
        <v>0</v>
      </c>
      <c r="I2793" s="5">
        <v>0</v>
      </c>
      <c r="J2793" s="5">
        <v>0</v>
      </c>
      <c r="K2793" s="5">
        <v>0</v>
      </c>
      <c r="L2793" s="5">
        <v>0</v>
      </c>
      <c r="M2793" s="5">
        <v>0</v>
      </c>
      <c r="N2793" s="5">
        <v>1</v>
      </c>
      <c r="O2793" s="5" t="str">
        <f t="shared" ca="1" si="43"/>
        <v>Supplier 100</v>
      </c>
      <c r="P2793" s="20" t="str">
        <f ca="1">IFERROR(VLOOKUP(O2793,EMAILS!B:C,2,FALSE),"NOT FOUND IN EMAILS")</f>
        <v>supplier@gmail.com</v>
      </c>
      <c r="Q2793" t="str">
        <f ca="1">""&amp;IFERROR(VLOOKUP(O2793,EMAILS!B:D,3,FALSE),"NOT FOUND IN EMAILS")</f>
        <v/>
      </c>
      <c r="R2793" t="str">
        <f ca="1">""&amp;IFERROR(VLOOKUP(O2793,EMAILS!B:E,4,FALSE),"NO T FOUND IN EMAILS")</f>
        <v/>
      </c>
    </row>
    <row r="2794" spans="2:18" x14ac:dyDescent="0.25">
      <c r="B2794" s="5" t="s">
        <v>2796</v>
      </c>
      <c r="C2794" s="5" t="s">
        <v>6936</v>
      </c>
      <c r="D2794" s="5">
        <v>0</v>
      </c>
      <c r="E2794" s="5">
        <v>0</v>
      </c>
      <c r="F2794" s="5">
        <v>1</v>
      </c>
      <c r="G2794" s="5">
        <v>0</v>
      </c>
      <c r="H2794" s="5">
        <v>0</v>
      </c>
      <c r="I2794" s="5">
        <v>0</v>
      </c>
      <c r="J2794" s="5">
        <v>0</v>
      </c>
      <c r="K2794" s="5">
        <v>0</v>
      </c>
      <c r="L2794" s="5">
        <v>0</v>
      </c>
      <c r="M2794" s="5">
        <v>0</v>
      </c>
      <c r="N2794" s="5">
        <v>2</v>
      </c>
      <c r="O2794" s="5" t="str">
        <f t="shared" ca="1" si="43"/>
        <v>Supplier 106</v>
      </c>
      <c r="P2794" s="20" t="str">
        <f ca="1">IFERROR(VLOOKUP(O2794,EMAILS!B:C,2,FALSE),"NOT FOUND IN EMAILS")</f>
        <v>supplier@gmail.com</v>
      </c>
      <c r="Q2794" t="str">
        <f ca="1">""&amp;IFERROR(VLOOKUP(O2794,EMAILS!B:D,3,FALSE),"NOT FOUND IN EMAILS")</f>
        <v/>
      </c>
      <c r="R2794" t="str">
        <f ca="1">""&amp;IFERROR(VLOOKUP(O2794,EMAILS!B:E,4,FALSE),"NO T FOUND IN EMAILS")</f>
        <v/>
      </c>
    </row>
    <row r="2795" spans="2:18" x14ac:dyDescent="0.25">
      <c r="B2795" s="5" t="s">
        <v>2797</v>
      </c>
      <c r="C2795" s="5" t="s">
        <v>6937</v>
      </c>
      <c r="D2795" s="5">
        <v>0</v>
      </c>
      <c r="E2795" s="5">
        <v>0</v>
      </c>
      <c r="F2795" s="5">
        <v>2</v>
      </c>
      <c r="G2795" s="5">
        <v>0</v>
      </c>
      <c r="H2795" s="5">
        <v>0</v>
      </c>
      <c r="I2795" s="5">
        <v>0</v>
      </c>
      <c r="J2795" s="5">
        <v>0</v>
      </c>
      <c r="K2795" s="5">
        <v>0</v>
      </c>
      <c r="L2795" s="5">
        <v>0</v>
      </c>
      <c r="M2795" s="5">
        <v>0</v>
      </c>
      <c r="N2795" s="5">
        <v>1</v>
      </c>
      <c r="O2795" s="5" t="str">
        <f t="shared" ca="1" si="43"/>
        <v>Supplier 20</v>
      </c>
      <c r="P2795" s="20" t="str">
        <f ca="1">IFERROR(VLOOKUP(O2795,EMAILS!B:C,2,FALSE),"NOT FOUND IN EMAILS")</f>
        <v>supplier@gmail.com</v>
      </c>
      <c r="Q2795" t="str">
        <f ca="1">""&amp;IFERROR(VLOOKUP(O2795,EMAILS!B:D,3,FALSE),"NOT FOUND IN EMAILS")</f>
        <v/>
      </c>
      <c r="R2795" t="str">
        <f ca="1">""&amp;IFERROR(VLOOKUP(O2795,EMAILS!B:E,4,FALSE),"NO T FOUND IN EMAILS")</f>
        <v/>
      </c>
    </row>
    <row r="2796" spans="2:18" x14ac:dyDescent="0.25">
      <c r="B2796" s="5" t="s">
        <v>2798</v>
      </c>
      <c r="C2796" s="5" t="s">
        <v>6938</v>
      </c>
      <c r="D2796" s="5">
        <v>0</v>
      </c>
      <c r="E2796" s="5">
        <v>0</v>
      </c>
      <c r="F2796" s="5">
        <v>1</v>
      </c>
      <c r="G2796" s="5">
        <v>0</v>
      </c>
      <c r="H2796" s="5">
        <v>0</v>
      </c>
      <c r="I2796" s="5">
        <v>0</v>
      </c>
      <c r="J2796" s="5">
        <v>0</v>
      </c>
      <c r="K2796" s="5">
        <v>0</v>
      </c>
      <c r="L2796" s="5">
        <v>0</v>
      </c>
      <c r="M2796" s="5">
        <v>0</v>
      </c>
      <c r="N2796" s="5">
        <v>1</v>
      </c>
      <c r="O2796" s="5" t="str">
        <f t="shared" ca="1" si="43"/>
        <v>Supplier 37</v>
      </c>
      <c r="P2796" s="20" t="str">
        <f ca="1">IFERROR(VLOOKUP(O2796,EMAILS!B:C,2,FALSE),"NOT FOUND IN EMAILS")</f>
        <v>supplier@gmail.com</v>
      </c>
      <c r="Q2796" t="str">
        <f ca="1">""&amp;IFERROR(VLOOKUP(O2796,EMAILS!B:D,3,FALSE),"NOT FOUND IN EMAILS")</f>
        <v/>
      </c>
      <c r="R2796" t="str">
        <f ca="1">""&amp;IFERROR(VLOOKUP(O2796,EMAILS!B:E,4,FALSE),"NO T FOUND IN EMAILS")</f>
        <v/>
      </c>
    </row>
    <row r="2797" spans="2:18" x14ac:dyDescent="0.25">
      <c r="B2797" s="5" t="s">
        <v>2799</v>
      </c>
      <c r="C2797" s="5" t="s">
        <v>6939</v>
      </c>
      <c r="D2797" s="5">
        <v>0</v>
      </c>
      <c r="E2797" s="5">
        <v>0</v>
      </c>
      <c r="F2797" s="5">
        <v>1</v>
      </c>
      <c r="G2797" s="5">
        <v>0</v>
      </c>
      <c r="H2797" s="5">
        <v>0</v>
      </c>
      <c r="I2797" s="5">
        <v>0</v>
      </c>
      <c r="J2797" s="5">
        <v>0</v>
      </c>
      <c r="K2797" s="5">
        <v>0</v>
      </c>
      <c r="L2797" s="5">
        <v>0</v>
      </c>
      <c r="M2797" s="5">
        <v>0</v>
      </c>
      <c r="N2797" s="5">
        <v>1</v>
      </c>
      <c r="O2797" s="5" t="str">
        <f t="shared" ca="1" si="43"/>
        <v>Supplier 52</v>
      </c>
      <c r="P2797" s="20" t="str">
        <f ca="1">IFERROR(VLOOKUP(O2797,EMAILS!B:C,2,FALSE),"NOT FOUND IN EMAILS")</f>
        <v>supplier@gmail.com</v>
      </c>
      <c r="Q2797" t="str">
        <f ca="1">""&amp;IFERROR(VLOOKUP(O2797,EMAILS!B:D,3,FALSE),"NOT FOUND IN EMAILS")</f>
        <v/>
      </c>
      <c r="R2797" t="str">
        <f ca="1">""&amp;IFERROR(VLOOKUP(O2797,EMAILS!B:E,4,FALSE),"NO T FOUND IN EMAILS")</f>
        <v/>
      </c>
    </row>
    <row r="2798" spans="2:18" x14ac:dyDescent="0.25">
      <c r="B2798" s="5" t="s">
        <v>2800</v>
      </c>
      <c r="C2798" s="5" t="s">
        <v>6940</v>
      </c>
      <c r="D2798" s="5">
        <v>0</v>
      </c>
      <c r="E2798" s="5">
        <v>0</v>
      </c>
      <c r="F2798" s="5">
        <v>1</v>
      </c>
      <c r="G2798" s="5">
        <v>0</v>
      </c>
      <c r="H2798" s="5">
        <v>0</v>
      </c>
      <c r="I2798" s="5">
        <v>0</v>
      </c>
      <c r="J2798" s="5">
        <v>0</v>
      </c>
      <c r="K2798" s="5">
        <v>0</v>
      </c>
      <c r="L2798" s="5">
        <v>0</v>
      </c>
      <c r="M2798" s="5">
        <v>0</v>
      </c>
      <c r="N2798" s="5">
        <v>1</v>
      </c>
      <c r="O2798" s="5" t="str">
        <f t="shared" ca="1" si="43"/>
        <v>Supplier 90</v>
      </c>
      <c r="P2798" s="20" t="str">
        <f ca="1">IFERROR(VLOOKUP(O2798,EMAILS!B:C,2,FALSE),"NOT FOUND IN EMAILS")</f>
        <v>supplier@gmail.com</v>
      </c>
      <c r="Q2798" t="str">
        <f ca="1">""&amp;IFERROR(VLOOKUP(O2798,EMAILS!B:D,3,FALSE),"NOT FOUND IN EMAILS")</f>
        <v/>
      </c>
      <c r="R2798" t="str">
        <f ca="1">""&amp;IFERROR(VLOOKUP(O2798,EMAILS!B:E,4,FALSE),"NO T FOUND IN EMAILS")</f>
        <v/>
      </c>
    </row>
    <row r="2799" spans="2:18" x14ac:dyDescent="0.25">
      <c r="B2799" s="5" t="s">
        <v>2801</v>
      </c>
      <c r="C2799" s="5" t="s">
        <v>6941</v>
      </c>
      <c r="D2799" s="5">
        <v>0</v>
      </c>
      <c r="E2799" s="5">
        <v>0</v>
      </c>
      <c r="F2799" s="5">
        <v>1</v>
      </c>
      <c r="G2799" s="5">
        <v>0</v>
      </c>
      <c r="H2799" s="5">
        <v>0</v>
      </c>
      <c r="I2799" s="5">
        <v>0</v>
      </c>
      <c r="J2799" s="5">
        <v>0</v>
      </c>
      <c r="K2799" s="5">
        <v>0</v>
      </c>
      <c r="L2799" s="5">
        <v>0</v>
      </c>
      <c r="M2799" s="5">
        <v>0</v>
      </c>
      <c r="N2799" s="5">
        <v>2</v>
      </c>
      <c r="O2799" s="5" t="str">
        <f t="shared" ca="1" si="43"/>
        <v>Supplier 53</v>
      </c>
      <c r="P2799" s="20" t="str">
        <f ca="1">IFERROR(VLOOKUP(O2799,EMAILS!B:C,2,FALSE),"NOT FOUND IN EMAILS")</f>
        <v>supplier@gmail.com</v>
      </c>
      <c r="Q2799" t="str">
        <f ca="1">""&amp;IFERROR(VLOOKUP(O2799,EMAILS!B:D,3,FALSE),"NOT FOUND IN EMAILS")</f>
        <v/>
      </c>
      <c r="R2799" t="str">
        <f ca="1">""&amp;IFERROR(VLOOKUP(O2799,EMAILS!B:E,4,FALSE),"NO T FOUND IN EMAILS")</f>
        <v/>
      </c>
    </row>
    <row r="2800" spans="2:18" x14ac:dyDescent="0.25">
      <c r="B2800" s="5" t="s">
        <v>2802</v>
      </c>
      <c r="C2800" s="5" t="s">
        <v>6942</v>
      </c>
      <c r="D2800" s="5">
        <v>2</v>
      </c>
      <c r="E2800" s="5">
        <v>0</v>
      </c>
      <c r="F2800" s="5">
        <v>1</v>
      </c>
      <c r="G2800" s="5">
        <v>1</v>
      </c>
      <c r="H2800" s="5">
        <v>0</v>
      </c>
      <c r="I2800" s="5">
        <v>0</v>
      </c>
      <c r="J2800" s="5">
        <v>0</v>
      </c>
      <c r="K2800" s="5">
        <v>0</v>
      </c>
      <c r="L2800" s="5">
        <v>0</v>
      </c>
      <c r="M2800" s="5">
        <v>0</v>
      </c>
      <c r="N2800" s="5">
        <v>150</v>
      </c>
      <c r="O2800" s="5" t="str">
        <f t="shared" ca="1" si="43"/>
        <v>Supplier 170</v>
      </c>
      <c r="P2800" s="20" t="str">
        <f ca="1">IFERROR(VLOOKUP(O2800,EMAILS!B:C,2,FALSE),"NOT FOUND IN EMAILS")</f>
        <v>supplier@gmail.com</v>
      </c>
      <c r="Q2800" t="str">
        <f ca="1">""&amp;IFERROR(VLOOKUP(O2800,EMAILS!B:D,3,FALSE),"NOT FOUND IN EMAILS")</f>
        <v/>
      </c>
      <c r="R2800" t="str">
        <f ca="1">""&amp;IFERROR(VLOOKUP(O2800,EMAILS!B:E,4,FALSE),"NO T FOUND IN EMAILS")</f>
        <v/>
      </c>
    </row>
    <row r="2801" spans="2:18" x14ac:dyDescent="0.25">
      <c r="B2801" s="5" t="s">
        <v>2803</v>
      </c>
      <c r="C2801" s="5" t="s">
        <v>6943</v>
      </c>
      <c r="D2801" s="5">
        <v>56</v>
      </c>
      <c r="E2801" s="5">
        <v>0</v>
      </c>
      <c r="F2801" s="5">
        <v>33</v>
      </c>
      <c r="G2801" s="5">
        <v>40</v>
      </c>
      <c r="H2801" s="5">
        <v>0</v>
      </c>
      <c r="I2801" s="5">
        <v>0</v>
      </c>
      <c r="J2801" s="5">
        <v>0</v>
      </c>
      <c r="K2801" s="5">
        <v>0</v>
      </c>
      <c r="L2801" s="5">
        <v>0</v>
      </c>
      <c r="M2801" s="5">
        <v>0</v>
      </c>
      <c r="N2801" s="5">
        <v>7</v>
      </c>
      <c r="O2801" s="5" t="str">
        <f t="shared" ca="1" si="43"/>
        <v>Supplier 55</v>
      </c>
      <c r="P2801" s="20" t="str">
        <f ca="1">IFERROR(VLOOKUP(O2801,EMAILS!B:C,2,FALSE),"NOT FOUND IN EMAILS")</f>
        <v>supplier@gmail.com</v>
      </c>
      <c r="Q2801" t="str">
        <f ca="1">""&amp;IFERROR(VLOOKUP(O2801,EMAILS!B:D,3,FALSE),"NOT FOUND IN EMAILS")</f>
        <v/>
      </c>
      <c r="R2801" t="str">
        <f ca="1">""&amp;IFERROR(VLOOKUP(O2801,EMAILS!B:E,4,FALSE),"NO T FOUND IN EMAILS")</f>
        <v/>
      </c>
    </row>
    <row r="2802" spans="2:18" x14ac:dyDescent="0.25">
      <c r="B2802" s="5" t="s">
        <v>2804</v>
      </c>
      <c r="C2802" s="5" t="s">
        <v>6944</v>
      </c>
      <c r="D2802" s="5">
        <v>6</v>
      </c>
      <c r="E2802" s="5">
        <v>0</v>
      </c>
      <c r="F2802" s="5">
        <v>6</v>
      </c>
      <c r="G2802" s="5">
        <v>6</v>
      </c>
      <c r="H2802" s="5">
        <v>0</v>
      </c>
      <c r="I2802" s="5">
        <v>0</v>
      </c>
      <c r="J2802" s="5">
        <v>0</v>
      </c>
      <c r="K2802" s="5">
        <v>0</v>
      </c>
      <c r="L2802" s="5">
        <v>0</v>
      </c>
      <c r="M2802" s="5">
        <v>0</v>
      </c>
      <c r="N2802" s="5">
        <v>7</v>
      </c>
      <c r="O2802" s="5" t="str">
        <f t="shared" ca="1" si="43"/>
        <v>Supplier 77</v>
      </c>
      <c r="P2802" s="20" t="str">
        <f ca="1">IFERROR(VLOOKUP(O2802,EMAILS!B:C,2,FALSE),"NOT FOUND IN EMAILS")</f>
        <v>supplier@gmail.com</v>
      </c>
      <c r="Q2802" t="str">
        <f ca="1">""&amp;IFERROR(VLOOKUP(O2802,EMAILS!B:D,3,FALSE),"NOT FOUND IN EMAILS")</f>
        <v/>
      </c>
      <c r="R2802" t="str">
        <f ca="1">""&amp;IFERROR(VLOOKUP(O2802,EMAILS!B:E,4,FALSE),"NO T FOUND IN EMAILS")</f>
        <v/>
      </c>
    </row>
    <row r="2803" spans="2:18" x14ac:dyDescent="0.25">
      <c r="B2803" s="5" t="s">
        <v>2805</v>
      </c>
      <c r="C2803" s="5" t="s">
        <v>6945</v>
      </c>
      <c r="D2803" s="5">
        <v>3</v>
      </c>
      <c r="E2803" s="5">
        <v>0</v>
      </c>
      <c r="F2803" s="5">
        <v>3</v>
      </c>
      <c r="G2803" s="5">
        <v>3</v>
      </c>
      <c r="H2803" s="5">
        <v>0</v>
      </c>
      <c r="I2803" s="5">
        <v>0</v>
      </c>
      <c r="J2803" s="5">
        <v>0</v>
      </c>
      <c r="K2803" s="5">
        <v>0</v>
      </c>
      <c r="L2803" s="5">
        <v>0</v>
      </c>
      <c r="M2803" s="5">
        <v>0</v>
      </c>
      <c r="N2803" s="5">
        <v>4</v>
      </c>
      <c r="O2803" s="5" t="str">
        <f t="shared" ca="1" si="43"/>
        <v>Supplier 13</v>
      </c>
      <c r="P2803" s="20" t="str">
        <f ca="1">IFERROR(VLOOKUP(O2803,EMAILS!B:C,2,FALSE),"NOT FOUND IN EMAILS")</f>
        <v>supplier@gmail.com</v>
      </c>
      <c r="Q2803" t="str">
        <f ca="1">""&amp;IFERROR(VLOOKUP(O2803,EMAILS!B:D,3,FALSE),"NOT FOUND IN EMAILS")</f>
        <v>supplier_logistics@gmail.com</v>
      </c>
      <c r="R2803" t="str">
        <f ca="1">""&amp;IFERROR(VLOOKUP(O2803,EMAILS!B:E,4,FALSE),"NO T FOUND IN EMAILS")</f>
        <v/>
      </c>
    </row>
    <row r="2804" spans="2:18" x14ac:dyDescent="0.25">
      <c r="B2804" s="5" t="s">
        <v>2806</v>
      </c>
      <c r="C2804" s="5" t="s">
        <v>6946</v>
      </c>
      <c r="D2804" s="5">
        <v>2</v>
      </c>
      <c r="E2804" s="5">
        <v>0</v>
      </c>
      <c r="F2804" s="5">
        <v>2</v>
      </c>
      <c r="G2804" s="5">
        <v>2</v>
      </c>
      <c r="H2804" s="5">
        <v>0</v>
      </c>
      <c r="I2804" s="5">
        <v>0</v>
      </c>
      <c r="J2804" s="5">
        <v>0</v>
      </c>
      <c r="K2804" s="5">
        <v>0</v>
      </c>
      <c r="L2804" s="5">
        <v>0</v>
      </c>
      <c r="M2804" s="5">
        <v>0</v>
      </c>
      <c r="N2804" s="5">
        <v>50</v>
      </c>
      <c r="O2804" s="5" t="str">
        <f t="shared" ca="1" si="43"/>
        <v>Supplier 6</v>
      </c>
      <c r="P2804" s="20" t="str">
        <f ca="1">IFERROR(VLOOKUP(O2804,EMAILS!B:C,2,FALSE),"NOT FOUND IN EMAILS")</f>
        <v>supplier@gmail.com</v>
      </c>
      <c r="Q2804" t="str">
        <f ca="1">""&amp;IFERROR(VLOOKUP(O2804,EMAILS!B:D,3,FALSE),"NOT FOUND IN EMAILS")</f>
        <v>supplier_logistics@gmail.com</v>
      </c>
      <c r="R2804" t="str">
        <f ca="1">""&amp;IFERROR(VLOOKUP(O2804,EMAILS!B:E,4,FALSE),"NO T FOUND IN EMAILS")</f>
        <v/>
      </c>
    </row>
    <row r="2805" spans="2:18" x14ac:dyDescent="0.25">
      <c r="B2805" s="5" t="s">
        <v>2807</v>
      </c>
      <c r="C2805" s="5" t="s">
        <v>6947</v>
      </c>
      <c r="D2805" s="5">
        <v>0</v>
      </c>
      <c r="E2805" s="5">
        <v>0</v>
      </c>
      <c r="F2805" s="5">
        <v>3</v>
      </c>
      <c r="G2805" s="5">
        <v>0</v>
      </c>
      <c r="H2805" s="5">
        <v>0</v>
      </c>
      <c r="I2805" s="5">
        <v>0</v>
      </c>
      <c r="J2805" s="5">
        <v>0</v>
      </c>
      <c r="K2805" s="5">
        <v>0</v>
      </c>
      <c r="L2805" s="5">
        <v>0</v>
      </c>
      <c r="M2805" s="5">
        <v>0</v>
      </c>
      <c r="N2805" s="5">
        <v>85</v>
      </c>
      <c r="O2805" s="5" t="str">
        <f t="shared" ca="1" si="43"/>
        <v>Supplier 22</v>
      </c>
      <c r="P2805" s="20" t="str">
        <f ca="1">IFERROR(VLOOKUP(O2805,EMAILS!B:C,2,FALSE),"NOT FOUND IN EMAILS")</f>
        <v>supplier@gmail.com</v>
      </c>
      <c r="Q2805" t="str">
        <f ca="1">""&amp;IFERROR(VLOOKUP(O2805,EMAILS!B:D,3,FALSE),"NOT FOUND IN EMAILS")</f>
        <v/>
      </c>
      <c r="R2805" t="str">
        <f ca="1">""&amp;IFERROR(VLOOKUP(O2805,EMAILS!B:E,4,FALSE),"NO T FOUND IN EMAILS")</f>
        <v/>
      </c>
    </row>
    <row r="2806" spans="2:18" x14ac:dyDescent="0.25">
      <c r="B2806" s="5" t="s">
        <v>2808</v>
      </c>
      <c r="C2806" s="5" t="s">
        <v>6948</v>
      </c>
      <c r="D2806" s="5">
        <v>34</v>
      </c>
      <c r="E2806" s="5">
        <v>0</v>
      </c>
      <c r="F2806" s="5">
        <v>30</v>
      </c>
      <c r="G2806" s="5">
        <v>22</v>
      </c>
      <c r="H2806" s="5">
        <v>0</v>
      </c>
      <c r="I2806" s="5">
        <v>0</v>
      </c>
      <c r="J2806" s="5">
        <v>0</v>
      </c>
      <c r="K2806" s="5">
        <v>0</v>
      </c>
      <c r="L2806" s="5">
        <v>0</v>
      </c>
      <c r="M2806" s="5">
        <v>0</v>
      </c>
      <c r="N2806" s="5">
        <v>95</v>
      </c>
      <c r="O2806" s="5" t="str">
        <f t="shared" ca="1" si="43"/>
        <v>Supplier 45</v>
      </c>
      <c r="P2806" s="20" t="str">
        <f ca="1">IFERROR(VLOOKUP(O2806,EMAILS!B:C,2,FALSE),"NOT FOUND IN EMAILS")</f>
        <v>supplier@gmail.com</v>
      </c>
      <c r="Q2806" t="str">
        <f ca="1">""&amp;IFERROR(VLOOKUP(O2806,EMAILS!B:D,3,FALSE),"NOT FOUND IN EMAILS")</f>
        <v/>
      </c>
      <c r="R2806" t="str">
        <f ca="1">""&amp;IFERROR(VLOOKUP(O2806,EMAILS!B:E,4,FALSE),"NO T FOUND IN EMAILS")</f>
        <v/>
      </c>
    </row>
    <row r="2807" spans="2:18" x14ac:dyDescent="0.25">
      <c r="B2807" s="5" t="s">
        <v>2809</v>
      </c>
      <c r="C2807" s="5" t="s">
        <v>6949</v>
      </c>
      <c r="D2807" s="5">
        <v>2.5</v>
      </c>
      <c r="E2807" s="5">
        <v>0</v>
      </c>
      <c r="F2807" s="5">
        <v>1.5</v>
      </c>
      <c r="G2807" s="5">
        <v>2.5</v>
      </c>
      <c r="H2807" s="5">
        <v>0</v>
      </c>
      <c r="I2807" s="5">
        <v>0</v>
      </c>
      <c r="J2807" s="5">
        <v>0</v>
      </c>
      <c r="K2807" s="5">
        <v>0</v>
      </c>
      <c r="L2807" s="5">
        <v>0</v>
      </c>
      <c r="M2807" s="5">
        <v>0</v>
      </c>
      <c r="N2807" s="5">
        <v>3</v>
      </c>
      <c r="O2807" s="5" t="str">
        <f t="shared" ca="1" si="43"/>
        <v>Supplier 109</v>
      </c>
      <c r="P2807" s="20" t="str">
        <f ca="1">IFERROR(VLOOKUP(O2807,EMAILS!B:C,2,FALSE),"NOT FOUND IN EMAILS")</f>
        <v>supplier@gmail.com</v>
      </c>
      <c r="Q2807" t="str">
        <f ca="1">""&amp;IFERROR(VLOOKUP(O2807,EMAILS!B:D,3,FALSE),"NOT FOUND IN EMAILS")</f>
        <v/>
      </c>
      <c r="R2807" t="str">
        <f ca="1">""&amp;IFERROR(VLOOKUP(O2807,EMAILS!B:E,4,FALSE),"NO T FOUND IN EMAILS")</f>
        <v/>
      </c>
    </row>
    <row r="2808" spans="2:18" x14ac:dyDescent="0.25">
      <c r="B2808" s="5" t="s">
        <v>2810</v>
      </c>
      <c r="C2808" s="5" t="s">
        <v>6950</v>
      </c>
      <c r="D2808" s="5">
        <v>2</v>
      </c>
      <c r="E2808" s="5">
        <v>0</v>
      </c>
      <c r="F2808" s="5">
        <v>2</v>
      </c>
      <c r="G2808" s="5">
        <v>2</v>
      </c>
      <c r="H2808" s="5">
        <v>0</v>
      </c>
      <c r="I2808" s="5">
        <v>0</v>
      </c>
      <c r="J2808" s="5">
        <v>0</v>
      </c>
      <c r="K2808" s="5">
        <v>0</v>
      </c>
      <c r="L2808" s="5">
        <v>0</v>
      </c>
      <c r="M2808" s="5">
        <v>0</v>
      </c>
      <c r="N2808" s="5">
        <v>45</v>
      </c>
      <c r="O2808" s="5" t="str">
        <f t="shared" ca="1" si="43"/>
        <v>Supplier 94</v>
      </c>
      <c r="P2808" s="20" t="str">
        <f ca="1">IFERROR(VLOOKUP(O2808,EMAILS!B:C,2,FALSE),"NOT FOUND IN EMAILS")</f>
        <v>supplier@gmail.com</v>
      </c>
      <c r="Q2808" t="str">
        <f ca="1">""&amp;IFERROR(VLOOKUP(O2808,EMAILS!B:D,3,FALSE),"NOT FOUND IN EMAILS")</f>
        <v/>
      </c>
      <c r="R2808" t="str">
        <f ca="1">""&amp;IFERROR(VLOOKUP(O2808,EMAILS!B:E,4,FALSE),"NO T FOUND IN EMAILS")</f>
        <v/>
      </c>
    </row>
    <row r="2809" spans="2:18" x14ac:dyDescent="0.25">
      <c r="B2809" s="5" t="s">
        <v>2811</v>
      </c>
      <c r="C2809" s="5" t="s">
        <v>6951</v>
      </c>
      <c r="D2809" s="5">
        <v>6</v>
      </c>
      <c r="E2809" s="5">
        <v>0</v>
      </c>
      <c r="F2809" s="5">
        <v>6</v>
      </c>
      <c r="G2809" s="5">
        <v>6</v>
      </c>
      <c r="H2809" s="5">
        <v>0</v>
      </c>
      <c r="I2809" s="5">
        <v>0</v>
      </c>
      <c r="J2809" s="5">
        <v>0</v>
      </c>
      <c r="K2809" s="5">
        <v>0</v>
      </c>
      <c r="L2809" s="5">
        <v>0</v>
      </c>
      <c r="M2809" s="5">
        <v>0</v>
      </c>
      <c r="N2809" s="5">
        <v>0</v>
      </c>
      <c r="O2809" s="5" t="str">
        <f t="shared" ca="1" si="43"/>
        <v>Supplier 34</v>
      </c>
      <c r="P2809" s="20" t="str">
        <f ca="1">IFERROR(VLOOKUP(O2809,EMAILS!B:C,2,FALSE),"NOT FOUND IN EMAILS")</f>
        <v>supplier@gmail.com</v>
      </c>
      <c r="Q2809" t="str">
        <f ca="1">""&amp;IFERROR(VLOOKUP(O2809,EMAILS!B:D,3,FALSE),"NOT FOUND IN EMAILS")</f>
        <v/>
      </c>
      <c r="R2809" t="str">
        <f ca="1">""&amp;IFERROR(VLOOKUP(O2809,EMAILS!B:E,4,FALSE),"NO T FOUND IN EMAILS")</f>
        <v/>
      </c>
    </row>
    <row r="2810" spans="2:18" x14ac:dyDescent="0.25">
      <c r="B2810" s="5" t="s">
        <v>2812</v>
      </c>
      <c r="C2810" s="5" t="s">
        <v>6952</v>
      </c>
      <c r="D2810" s="5">
        <v>1</v>
      </c>
      <c r="E2810" s="5">
        <v>0</v>
      </c>
      <c r="F2810" s="5">
        <v>0</v>
      </c>
      <c r="G2810" s="5">
        <v>1</v>
      </c>
      <c r="H2810" s="5">
        <v>0</v>
      </c>
      <c r="I2810" s="5">
        <v>0</v>
      </c>
      <c r="J2810" s="5">
        <v>0</v>
      </c>
      <c r="K2810" s="5">
        <v>0</v>
      </c>
      <c r="L2810" s="5">
        <v>0</v>
      </c>
      <c r="M2810" s="5">
        <v>0</v>
      </c>
      <c r="N2810" s="5">
        <v>25</v>
      </c>
      <c r="O2810" s="5" t="str">
        <f t="shared" ca="1" si="43"/>
        <v>Supplier 42</v>
      </c>
      <c r="P2810" s="20" t="str">
        <f ca="1">IFERROR(VLOOKUP(O2810,EMAILS!B:C,2,FALSE),"NOT FOUND IN EMAILS")</f>
        <v>supplier@gmail.com</v>
      </c>
      <c r="Q2810" t="str">
        <f ca="1">""&amp;IFERROR(VLOOKUP(O2810,EMAILS!B:D,3,FALSE),"NOT FOUND IN EMAILS")</f>
        <v/>
      </c>
      <c r="R2810" t="str">
        <f ca="1">""&amp;IFERROR(VLOOKUP(O2810,EMAILS!B:E,4,FALSE),"NO T FOUND IN EMAILS")</f>
        <v/>
      </c>
    </row>
    <row r="2811" spans="2:18" x14ac:dyDescent="0.25">
      <c r="B2811" s="5" t="s">
        <v>2813</v>
      </c>
      <c r="C2811" s="5" t="s">
        <v>6953</v>
      </c>
      <c r="D2811" s="5">
        <v>2</v>
      </c>
      <c r="E2811" s="5">
        <v>0</v>
      </c>
      <c r="F2811" s="5">
        <v>3</v>
      </c>
      <c r="G2811" s="5">
        <v>2</v>
      </c>
      <c r="H2811" s="5">
        <v>0</v>
      </c>
      <c r="I2811" s="5">
        <v>0</v>
      </c>
      <c r="J2811" s="5">
        <v>0</v>
      </c>
      <c r="K2811" s="5">
        <v>0</v>
      </c>
      <c r="L2811" s="5">
        <v>0</v>
      </c>
      <c r="M2811" s="5">
        <v>0</v>
      </c>
      <c r="N2811" s="5">
        <v>68</v>
      </c>
      <c r="O2811" s="5" t="str">
        <f t="shared" ca="1" si="43"/>
        <v>Supplier 68</v>
      </c>
      <c r="P2811" s="20" t="str">
        <f ca="1">IFERROR(VLOOKUP(O2811,EMAILS!B:C,2,FALSE),"NOT FOUND IN EMAILS")</f>
        <v>supplier@gmail.com</v>
      </c>
      <c r="Q2811" t="str">
        <f ca="1">""&amp;IFERROR(VLOOKUP(O2811,EMAILS!B:D,3,FALSE),"NOT FOUND IN EMAILS")</f>
        <v/>
      </c>
      <c r="R2811" t="str">
        <f ca="1">""&amp;IFERROR(VLOOKUP(O2811,EMAILS!B:E,4,FALSE),"NO T FOUND IN EMAILS")</f>
        <v/>
      </c>
    </row>
    <row r="2812" spans="2:18" x14ac:dyDescent="0.25">
      <c r="B2812" s="5" t="s">
        <v>2814</v>
      </c>
      <c r="C2812" s="5" t="s">
        <v>6954</v>
      </c>
      <c r="D2812" s="5">
        <v>8</v>
      </c>
      <c r="E2812" s="5">
        <v>0</v>
      </c>
      <c r="F2812" s="5">
        <v>8</v>
      </c>
      <c r="G2812" s="5">
        <v>8</v>
      </c>
      <c r="H2812" s="5">
        <v>0</v>
      </c>
      <c r="I2812" s="5">
        <v>0</v>
      </c>
      <c r="J2812" s="5">
        <v>0</v>
      </c>
      <c r="K2812" s="5">
        <v>0</v>
      </c>
      <c r="L2812" s="5">
        <v>0</v>
      </c>
      <c r="M2812" s="5">
        <v>0</v>
      </c>
      <c r="N2812" s="5">
        <v>0</v>
      </c>
      <c r="O2812" s="5" t="str">
        <f t="shared" ca="1" si="43"/>
        <v>Supplier 63</v>
      </c>
      <c r="P2812" s="20" t="str">
        <f ca="1">IFERROR(VLOOKUP(O2812,EMAILS!B:C,2,FALSE),"NOT FOUND IN EMAILS")</f>
        <v>supplier@gmail.com</v>
      </c>
      <c r="Q2812" t="str">
        <f ca="1">""&amp;IFERROR(VLOOKUP(O2812,EMAILS!B:D,3,FALSE),"NOT FOUND IN EMAILS")</f>
        <v/>
      </c>
      <c r="R2812" t="str">
        <f ca="1">""&amp;IFERROR(VLOOKUP(O2812,EMAILS!B:E,4,FALSE),"NO T FOUND IN EMAILS")</f>
        <v/>
      </c>
    </row>
    <row r="2813" spans="2:18" x14ac:dyDescent="0.25">
      <c r="B2813" s="5" t="s">
        <v>2815</v>
      </c>
      <c r="C2813" s="5" t="s">
        <v>6955</v>
      </c>
      <c r="D2813" s="5">
        <v>33</v>
      </c>
      <c r="E2813" s="5">
        <v>0</v>
      </c>
      <c r="F2813" s="5">
        <v>22</v>
      </c>
      <c r="G2813" s="5">
        <v>24</v>
      </c>
      <c r="H2813" s="5">
        <v>0</v>
      </c>
      <c r="I2813" s="5">
        <v>0</v>
      </c>
      <c r="J2813" s="5">
        <v>0</v>
      </c>
      <c r="K2813" s="5">
        <v>0</v>
      </c>
      <c r="L2813" s="5">
        <v>0</v>
      </c>
      <c r="M2813" s="5">
        <v>0</v>
      </c>
      <c r="N2813" s="5">
        <v>16</v>
      </c>
      <c r="O2813" s="5" t="str">
        <f t="shared" ca="1" si="43"/>
        <v>Supplier 173</v>
      </c>
      <c r="P2813" s="20" t="str">
        <f ca="1">IFERROR(VLOOKUP(O2813,EMAILS!B:C,2,FALSE),"NOT FOUND IN EMAILS")</f>
        <v>supplier@gmail.com</v>
      </c>
      <c r="Q2813" t="str">
        <f ca="1">""&amp;IFERROR(VLOOKUP(O2813,EMAILS!B:D,3,FALSE),"NOT FOUND IN EMAILS")</f>
        <v/>
      </c>
      <c r="R2813" t="str">
        <f ca="1">""&amp;IFERROR(VLOOKUP(O2813,EMAILS!B:E,4,FALSE),"NO T FOUND IN EMAILS")</f>
        <v/>
      </c>
    </row>
    <row r="2814" spans="2:18" x14ac:dyDescent="0.25">
      <c r="B2814" s="5" t="s">
        <v>2816</v>
      </c>
      <c r="C2814" s="5" t="s">
        <v>6956</v>
      </c>
      <c r="D2814" s="5">
        <v>12</v>
      </c>
      <c r="E2814" s="5">
        <v>0</v>
      </c>
      <c r="F2814" s="5">
        <v>8</v>
      </c>
      <c r="G2814" s="5">
        <v>8</v>
      </c>
      <c r="H2814" s="5">
        <v>0</v>
      </c>
      <c r="I2814" s="5">
        <v>0</v>
      </c>
      <c r="J2814" s="5">
        <v>0</v>
      </c>
      <c r="K2814" s="5">
        <v>0</v>
      </c>
      <c r="L2814" s="5">
        <v>0</v>
      </c>
      <c r="M2814" s="5">
        <v>0</v>
      </c>
      <c r="N2814" s="5">
        <v>450</v>
      </c>
      <c r="O2814" s="5" t="str">
        <f t="shared" ca="1" si="43"/>
        <v>Supplier 40</v>
      </c>
      <c r="P2814" s="20" t="str">
        <f ca="1">IFERROR(VLOOKUP(O2814,EMAILS!B:C,2,FALSE),"NOT FOUND IN EMAILS")</f>
        <v>supplier@gmail.com</v>
      </c>
      <c r="Q2814" t="str">
        <f ca="1">""&amp;IFERROR(VLOOKUP(O2814,EMAILS!B:D,3,FALSE),"NOT FOUND IN EMAILS")</f>
        <v/>
      </c>
      <c r="R2814" t="str">
        <f ca="1">""&amp;IFERROR(VLOOKUP(O2814,EMAILS!B:E,4,FALSE),"NO T FOUND IN EMAILS")</f>
        <v/>
      </c>
    </row>
    <row r="2815" spans="2:18" x14ac:dyDescent="0.25">
      <c r="B2815" s="5" t="s">
        <v>2817</v>
      </c>
      <c r="C2815" s="5" t="s">
        <v>6957</v>
      </c>
      <c r="D2815" s="5">
        <v>50</v>
      </c>
      <c r="E2815" s="5">
        <v>0</v>
      </c>
      <c r="F2815" s="5">
        <v>34</v>
      </c>
      <c r="G2815" s="5">
        <v>38</v>
      </c>
      <c r="H2815" s="5">
        <v>0</v>
      </c>
      <c r="I2815" s="5">
        <v>0</v>
      </c>
      <c r="J2815" s="5">
        <v>0</v>
      </c>
      <c r="K2815" s="5">
        <v>0</v>
      </c>
      <c r="L2815" s="5">
        <v>0</v>
      </c>
      <c r="M2815" s="5">
        <v>0</v>
      </c>
      <c r="N2815" s="5">
        <v>7</v>
      </c>
      <c r="O2815" s="5" t="str">
        <f t="shared" ca="1" si="43"/>
        <v>Supplier 77</v>
      </c>
      <c r="P2815" s="20" t="str">
        <f ca="1">IFERROR(VLOOKUP(O2815,EMAILS!B:C,2,FALSE),"NOT FOUND IN EMAILS")</f>
        <v>supplier@gmail.com</v>
      </c>
      <c r="Q2815" t="str">
        <f ca="1">""&amp;IFERROR(VLOOKUP(O2815,EMAILS!B:D,3,FALSE),"NOT FOUND IN EMAILS")</f>
        <v/>
      </c>
      <c r="R2815" t="str">
        <f ca="1">""&amp;IFERROR(VLOOKUP(O2815,EMAILS!B:E,4,FALSE),"NO T FOUND IN EMAILS")</f>
        <v/>
      </c>
    </row>
    <row r="2816" spans="2:18" x14ac:dyDescent="0.25">
      <c r="B2816" s="5" t="s">
        <v>2818</v>
      </c>
      <c r="C2816" s="5" t="s">
        <v>6958</v>
      </c>
      <c r="D2816" s="5">
        <v>3</v>
      </c>
      <c r="E2816" s="5">
        <v>0</v>
      </c>
      <c r="F2816" s="5">
        <v>0</v>
      </c>
      <c r="G2816" s="5">
        <v>3</v>
      </c>
      <c r="H2816" s="5">
        <v>0</v>
      </c>
      <c r="I2816" s="5">
        <v>0</v>
      </c>
      <c r="J2816" s="5">
        <v>0</v>
      </c>
      <c r="K2816" s="5">
        <v>0</v>
      </c>
      <c r="L2816" s="5">
        <v>0</v>
      </c>
      <c r="M2816" s="5">
        <v>0</v>
      </c>
      <c r="N2816" s="5">
        <v>0</v>
      </c>
      <c r="O2816" s="5" t="str">
        <f t="shared" ca="1" si="43"/>
        <v>Supplier 76</v>
      </c>
      <c r="P2816" s="20" t="str">
        <f ca="1">IFERROR(VLOOKUP(O2816,EMAILS!B:C,2,FALSE),"NOT FOUND IN EMAILS")</f>
        <v>supplier@gmail.com</v>
      </c>
      <c r="Q2816" t="str">
        <f ca="1">""&amp;IFERROR(VLOOKUP(O2816,EMAILS!B:D,3,FALSE),"NOT FOUND IN EMAILS")</f>
        <v/>
      </c>
      <c r="R2816" t="str">
        <f ca="1">""&amp;IFERROR(VLOOKUP(O2816,EMAILS!B:E,4,FALSE),"NO T FOUND IN EMAILS")</f>
        <v/>
      </c>
    </row>
    <row r="2817" spans="2:18" x14ac:dyDescent="0.25">
      <c r="B2817" s="5" t="s">
        <v>2819</v>
      </c>
      <c r="C2817" s="5" t="s">
        <v>6959</v>
      </c>
      <c r="D2817" s="5">
        <v>8</v>
      </c>
      <c r="E2817" s="5">
        <v>0</v>
      </c>
      <c r="F2817" s="5">
        <v>4</v>
      </c>
      <c r="G2817" s="5">
        <v>8</v>
      </c>
      <c r="H2817" s="5">
        <v>0</v>
      </c>
      <c r="I2817" s="5">
        <v>0</v>
      </c>
      <c r="J2817" s="5">
        <v>0</v>
      </c>
      <c r="K2817" s="5">
        <v>0</v>
      </c>
      <c r="L2817" s="5">
        <v>0</v>
      </c>
      <c r="M2817" s="5">
        <v>0</v>
      </c>
      <c r="N2817" s="5">
        <v>120</v>
      </c>
      <c r="O2817" s="5" t="str">
        <f t="shared" ca="1" si="43"/>
        <v>Supplier 120</v>
      </c>
      <c r="P2817" s="20" t="str">
        <f ca="1">IFERROR(VLOOKUP(O2817,EMAILS!B:C,2,FALSE),"NOT FOUND IN EMAILS")</f>
        <v>supplier@gmail.com</v>
      </c>
      <c r="Q2817" t="str">
        <f ca="1">""&amp;IFERROR(VLOOKUP(O2817,EMAILS!B:D,3,FALSE),"NOT FOUND IN EMAILS")</f>
        <v/>
      </c>
      <c r="R2817" t="str">
        <f ca="1">""&amp;IFERROR(VLOOKUP(O2817,EMAILS!B:E,4,FALSE),"NO T FOUND IN EMAILS")</f>
        <v/>
      </c>
    </row>
    <row r="2818" spans="2:18" x14ac:dyDescent="0.25">
      <c r="B2818" s="5" t="s">
        <v>2820</v>
      </c>
      <c r="C2818" s="5" t="s">
        <v>6960</v>
      </c>
      <c r="D2818" s="5">
        <v>59</v>
      </c>
      <c r="E2818" s="5">
        <v>0</v>
      </c>
      <c r="F2818" s="5">
        <v>37</v>
      </c>
      <c r="G2818" s="5">
        <v>43</v>
      </c>
      <c r="H2818" s="5">
        <v>0</v>
      </c>
      <c r="I2818" s="5">
        <v>0</v>
      </c>
      <c r="J2818" s="5">
        <v>0</v>
      </c>
      <c r="K2818" s="5">
        <v>0</v>
      </c>
      <c r="L2818" s="5">
        <v>0</v>
      </c>
      <c r="M2818" s="5">
        <v>0</v>
      </c>
      <c r="N2818" s="5">
        <v>14</v>
      </c>
      <c r="O2818" s="5" t="str">
        <f t="shared" ca="1" si="43"/>
        <v>Supplier 111</v>
      </c>
      <c r="P2818" s="20" t="str">
        <f ca="1">IFERROR(VLOOKUP(O2818,EMAILS!B:C,2,FALSE),"NOT FOUND IN EMAILS")</f>
        <v>supplier@gmail.com</v>
      </c>
      <c r="Q2818" t="str">
        <f ca="1">""&amp;IFERROR(VLOOKUP(O2818,EMAILS!B:D,3,FALSE),"NOT FOUND IN EMAILS")</f>
        <v/>
      </c>
      <c r="R2818" t="str">
        <f ca="1">""&amp;IFERROR(VLOOKUP(O2818,EMAILS!B:E,4,FALSE),"NO T FOUND IN EMAILS")</f>
        <v/>
      </c>
    </row>
    <row r="2819" spans="2:18" x14ac:dyDescent="0.25">
      <c r="B2819" s="5" t="s">
        <v>2821</v>
      </c>
      <c r="C2819" s="5" t="s">
        <v>6961</v>
      </c>
      <c r="D2819" s="5">
        <v>1</v>
      </c>
      <c r="E2819" s="5">
        <v>0</v>
      </c>
      <c r="F2819" s="5">
        <v>0</v>
      </c>
      <c r="G2819" s="5">
        <v>1</v>
      </c>
      <c r="H2819" s="5">
        <v>0</v>
      </c>
      <c r="I2819" s="5">
        <v>0</v>
      </c>
      <c r="J2819" s="5">
        <v>0</v>
      </c>
      <c r="K2819" s="5">
        <v>0</v>
      </c>
      <c r="L2819" s="5">
        <v>0</v>
      </c>
      <c r="M2819" s="5">
        <v>0</v>
      </c>
      <c r="N2819" s="5">
        <v>68</v>
      </c>
      <c r="O2819" s="5" t="str">
        <f t="shared" ref="O2819:O2882" ca="1" si="44">"Supplier "&amp;RANDBETWEEN(1,200)</f>
        <v>Supplier 85</v>
      </c>
      <c r="P2819" s="20" t="str">
        <f ca="1">IFERROR(VLOOKUP(O2819,EMAILS!B:C,2,FALSE),"NOT FOUND IN EMAILS")</f>
        <v>supplier@gmail.com</v>
      </c>
      <c r="Q2819" t="str">
        <f ca="1">""&amp;IFERROR(VLOOKUP(O2819,EMAILS!B:D,3,FALSE),"NOT FOUND IN EMAILS")</f>
        <v/>
      </c>
      <c r="R2819" t="str">
        <f ca="1">""&amp;IFERROR(VLOOKUP(O2819,EMAILS!B:E,4,FALSE),"NO T FOUND IN EMAILS")</f>
        <v/>
      </c>
    </row>
    <row r="2820" spans="2:18" x14ac:dyDescent="0.25">
      <c r="B2820" s="5" t="s">
        <v>2822</v>
      </c>
      <c r="C2820" s="5" t="s">
        <v>6962</v>
      </c>
      <c r="D2820" s="5">
        <v>8</v>
      </c>
      <c r="E2820" s="5">
        <v>0</v>
      </c>
      <c r="F2820" s="5">
        <v>8</v>
      </c>
      <c r="G2820" s="5">
        <v>8</v>
      </c>
      <c r="H2820" s="5">
        <v>0</v>
      </c>
      <c r="I2820" s="5">
        <v>0</v>
      </c>
      <c r="J2820" s="5">
        <v>0</v>
      </c>
      <c r="K2820" s="5">
        <v>0</v>
      </c>
      <c r="L2820" s="5">
        <v>0</v>
      </c>
      <c r="M2820" s="5">
        <v>0</v>
      </c>
      <c r="N2820" s="5">
        <v>200</v>
      </c>
      <c r="O2820" s="5" t="str">
        <f t="shared" ca="1" si="44"/>
        <v>Supplier 70</v>
      </c>
      <c r="P2820" s="20" t="str">
        <f ca="1">IFERROR(VLOOKUP(O2820,EMAILS!B:C,2,FALSE),"NOT FOUND IN EMAILS")</f>
        <v>supplier@gmail.com</v>
      </c>
      <c r="Q2820" t="str">
        <f ca="1">""&amp;IFERROR(VLOOKUP(O2820,EMAILS!B:D,3,FALSE),"NOT FOUND IN EMAILS")</f>
        <v/>
      </c>
      <c r="R2820" t="str">
        <f ca="1">""&amp;IFERROR(VLOOKUP(O2820,EMAILS!B:E,4,FALSE),"NO T FOUND IN EMAILS")</f>
        <v/>
      </c>
    </row>
    <row r="2821" spans="2:18" x14ac:dyDescent="0.25">
      <c r="B2821" s="5" t="s">
        <v>2823</v>
      </c>
      <c r="C2821" s="5" t="s">
        <v>6963</v>
      </c>
      <c r="D2821" s="5">
        <v>124</v>
      </c>
      <c r="E2821" s="5">
        <v>124</v>
      </c>
      <c r="F2821" s="5">
        <v>124</v>
      </c>
      <c r="G2821" s="5">
        <v>124</v>
      </c>
      <c r="H2821" s="5">
        <v>124</v>
      </c>
      <c r="I2821" s="5">
        <v>124</v>
      </c>
      <c r="J2821" s="5">
        <v>124</v>
      </c>
      <c r="K2821" s="5">
        <v>124</v>
      </c>
      <c r="L2821" s="5">
        <v>124</v>
      </c>
      <c r="M2821" s="5">
        <v>0</v>
      </c>
      <c r="N2821" s="5">
        <v>0</v>
      </c>
      <c r="O2821" s="5" t="str">
        <f t="shared" ca="1" si="44"/>
        <v>Supplier 142</v>
      </c>
      <c r="P2821" s="20" t="str">
        <f ca="1">IFERROR(VLOOKUP(O2821,EMAILS!B:C,2,FALSE),"NOT FOUND IN EMAILS")</f>
        <v>supplier@gmail.com</v>
      </c>
      <c r="Q2821" t="str">
        <f ca="1">""&amp;IFERROR(VLOOKUP(O2821,EMAILS!B:D,3,FALSE),"NOT FOUND IN EMAILS")</f>
        <v/>
      </c>
      <c r="R2821" t="str">
        <f ca="1">""&amp;IFERROR(VLOOKUP(O2821,EMAILS!B:E,4,FALSE),"NO T FOUND IN EMAILS")</f>
        <v/>
      </c>
    </row>
    <row r="2822" spans="2:18" x14ac:dyDescent="0.25">
      <c r="B2822" s="5" t="s">
        <v>2824</v>
      </c>
      <c r="C2822" s="5" t="s">
        <v>6964</v>
      </c>
      <c r="D2822" s="5">
        <v>0</v>
      </c>
      <c r="E2822" s="5">
        <v>0</v>
      </c>
      <c r="F2822" s="5">
        <v>0</v>
      </c>
      <c r="G2822" s="5">
        <v>0</v>
      </c>
      <c r="H2822" s="5">
        <v>0</v>
      </c>
      <c r="I2822" s="5">
        <v>0</v>
      </c>
      <c r="J2822" s="5">
        <v>0</v>
      </c>
      <c r="K2822" s="5">
        <v>0</v>
      </c>
      <c r="L2822" s="5">
        <v>0</v>
      </c>
      <c r="M2822" s="5">
        <v>0</v>
      </c>
      <c r="N2822" s="5">
        <v>0</v>
      </c>
      <c r="O2822" s="5" t="str">
        <f t="shared" ca="1" si="44"/>
        <v>Supplier 4</v>
      </c>
      <c r="P2822" s="20" t="str">
        <f ca="1">IFERROR(VLOOKUP(O2822,EMAILS!B:C,2,FALSE),"NOT FOUND IN EMAILS")</f>
        <v>supplier@gmail.com</v>
      </c>
      <c r="Q2822" t="str">
        <f ca="1">""&amp;IFERROR(VLOOKUP(O2822,EMAILS!B:D,3,FALSE),"NOT FOUND IN EMAILS")</f>
        <v>supplier_logistics@gmail.com</v>
      </c>
      <c r="R2822" t="str">
        <f ca="1">""&amp;IFERROR(VLOOKUP(O2822,EMAILS!B:E,4,FALSE),"NO T FOUND IN EMAILS")</f>
        <v/>
      </c>
    </row>
    <row r="2823" spans="2:18" x14ac:dyDescent="0.25">
      <c r="B2823" s="5" t="s">
        <v>2825</v>
      </c>
      <c r="C2823" s="5" t="s">
        <v>6965</v>
      </c>
      <c r="D2823" s="5">
        <v>0</v>
      </c>
      <c r="E2823" s="5">
        <v>0</v>
      </c>
      <c r="F2823" s="5">
        <v>0</v>
      </c>
      <c r="G2823" s="5">
        <v>0</v>
      </c>
      <c r="H2823" s="5">
        <v>0</v>
      </c>
      <c r="I2823" s="5">
        <v>0</v>
      </c>
      <c r="J2823" s="5">
        <v>0</v>
      </c>
      <c r="K2823" s="5">
        <v>0</v>
      </c>
      <c r="L2823" s="5">
        <v>0</v>
      </c>
      <c r="M2823" s="5">
        <v>0</v>
      </c>
      <c r="N2823" s="5">
        <v>0</v>
      </c>
      <c r="O2823" s="5" t="str">
        <f t="shared" ca="1" si="44"/>
        <v>Supplier 93</v>
      </c>
      <c r="P2823" s="20" t="str">
        <f ca="1">IFERROR(VLOOKUP(O2823,EMAILS!B:C,2,FALSE),"NOT FOUND IN EMAILS")</f>
        <v>supplier@gmail.com</v>
      </c>
      <c r="Q2823" t="str">
        <f ca="1">""&amp;IFERROR(VLOOKUP(O2823,EMAILS!B:D,3,FALSE),"NOT FOUND IN EMAILS")</f>
        <v/>
      </c>
      <c r="R2823" t="str">
        <f ca="1">""&amp;IFERROR(VLOOKUP(O2823,EMAILS!B:E,4,FALSE),"NO T FOUND IN EMAILS")</f>
        <v/>
      </c>
    </row>
    <row r="2824" spans="2:18" x14ac:dyDescent="0.25">
      <c r="B2824" s="5" t="s">
        <v>2826</v>
      </c>
      <c r="C2824" s="5" t="s">
        <v>6966</v>
      </c>
      <c r="D2824" s="5">
        <v>0</v>
      </c>
      <c r="E2824" s="5">
        <v>0</v>
      </c>
      <c r="F2824" s="5">
        <v>0</v>
      </c>
      <c r="G2824" s="5">
        <v>0</v>
      </c>
      <c r="H2824" s="5">
        <v>0</v>
      </c>
      <c r="I2824" s="5">
        <v>0</v>
      </c>
      <c r="J2824" s="5">
        <v>0</v>
      </c>
      <c r="K2824" s="5">
        <v>0</v>
      </c>
      <c r="L2824" s="5">
        <v>0</v>
      </c>
      <c r="M2824" s="5">
        <v>0</v>
      </c>
      <c r="N2824" s="5">
        <v>0</v>
      </c>
      <c r="O2824" s="5" t="str">
        <f t="shared" ca="1" si="44"/>
        <v>Supplier 17</v>
      </c>
      <c r="P2824" s="20" t="str">
        <f ca="1">IFERROR(VLOOKUP(O2824,EMAILS!B:C,2,FALSE),"NOT FOUND IN EMAILS")</f>
        <v>supplier@gmail.com</v>
      </c>
      <c r="Q2824" t="str">
        <f ca="1">""&amp;IFERROR(VLOOKUP(O2824,EMAILS!B:D,3,FALSE),"NOT FOUND IN EMAILS")</f>
        <v>supplier_logistics@gmail.com</v>
      </c>
      <c r="R2824" t="str">
        <f ca="1">""&amp;IFERROR(VLOOKUP(O2824,EMAILS!B:E,4,FALSE),"NO T FOUND IN EMAILS")</f>
        <v/>
      </c>
    </row>
    <row r="2825" spans="2:18" x14ac:dyDescent="0.25">
      <c r="B2825" s="5" t="s">
        <v>2827</v>
      </c>
      <c r="C2825" s="5" t="s">
        <v>6967</v>
      </c>
      <c r="D2825" s="5">
        <v>0</v>
      </c>
      <c r="E2825" s="5">
        <v>0</v>
      </c>
      <c r="F2825" s="5">
        <v>0</v>
      </c>
      <c r="G2825" s="5">
        <v>0</v>
      </c>
      <c r="H2825" s="5">
        <v>0</v>
      </c>
      <c r="I2825" s="5">
        <v>0</v>
      </c>
      <c r="J2825" s="5">
        <v>0</v>
      </c>
      <c r="K2825" s="5">
        <v>0</v>
      </c>
      <c r="L2825" s="5">
        <v>0</v>
      </c>
      <c r="M2825" s="5">
        <v>0</v>
      </c>
      <c r="N2825" s="5">
        <v>10</v>
      </c>
      <c r="O2825" s="5" t="str">
        <f t="shared" ca="1" si="44"/>
        <v>Supplier 105</v>
      </c>
      <c r="P2825" s="20" t="str">
        <f ca="1">IFERROR(VLOOKUP(O2825,EMAILS!B:C,2,FALSE),"NOT FOUND IN EMAILS")</f>
        <v>supplier@gmail.com</v>
      </c>
      <c r="Q2825" t="str">
        <f ca="1">""&amp;IFERROR(VLOOKUP(O2825,EMAILS!B:D,3,FALSE),"NOT FOUND IN EMAILS")</f>
        <v/>
      </c>
      <c r="R2825" t="str">
        <f ca="1">""&amp;IFERROR(VLOOKUP(O2825,EMAILS!B:E,4,FALSE),"NO T FOUND IN EMAILS")</f>
        <v/>
      </c>
    </row>
    <row r="2826" spans="2:18" x14ac:dyDescent="0.25">
      <c r="B2826" s="5" t="s">
        <v>2828</v>
      </c>
      <c r="C2826" s="5" t="s">
        <v>6968</v>
      </c>
      <c r="D2826" s="5">
        <v>0</v>
      </c>
      <c r="E2826" s="5">
        <v>0</v>
      </c>
      <c r="F2826" s="5">
        <v>0</v>
      </c>
      <c r="G2826" s="5">
        <v>0</v>
      </c>
      <c r="H2826" s="5">
        <v>0</v>
      </c>
      <c r="I2826" s="5">
        <v>0</v>
      </c>
      <c r="J2826" s="5">
        <v>0</v>
      </c>
      <c r="K2826" s="5">
        <v>0</v>
      </c>
      <c r="L2826" s="5">
        <v>0</v>
      </c>
      <c r="M2826" s="5">
        <v>0</v>
      </c>
      <c r="N2826" s="5">
        <v>0</v>
      </c>
      <c r="O2826" s="5" t="str">
        <f t="shared" ca="1" si="44"/>
        <v>Supplier 151</v>
      </c>
      <c r="P2826" s="20" t="str">
        <f ca="1">IFERROR(VLOOKUP(O2826,EMAILS!B:C,2,FALSE),"NOT FOUND IN EMAILS")</f>
        <v>supplier@gmail.com</v>
      </c>
      <c r="Q2826" t="str">
        <f ca="1">""&amp;IFERROR(VLOOKUP(O2826,EMAILS!B:D,3,FALSE),"NOT FOUND IN EMAILS")</f>
        <v/>
      </c>
      <c r="R2826" t="str">
        <f ca="1">""&amp;IFERROR(VLOOKUP(O2826,EMAILS!B:E,4,FALSE),"NO T FOUND IN EMAILS")</f>
        <v/>
      </c>
    </row>
    <row r="2827" spans="2:18" x14ac:dyDescent="0.25">
      <c r="B2827" s="5" t="s">
        <v>2829</v>
      </c>
      <c r="C2827" s="5" t="s">
        <v>6969</v>
      </c>
      <c r="D2827" s="5">
        <v>0</v>
      </c>
      <c r="E2827" s="5">
        <v>0</v>
      </c>
      <c r="F2827" s="5">
        <v>0</v>
      </c>
      <c r="G2827" s="5">
        <v>0</v>
      </c>
      <c r="H2827" s="5">
        <v>0</v>
      </c>
      <c r="I2827" s="5">
        <v>0</v>
      </c>
      <c r="J2827" s="5">
        <v>0</v>
      </c>
      <c r="K2827" s="5">
        <v>0</v>
      </c>
      <c r="L2827" s="5">
        <v>0</v>
      </c>
      <c r="M2827" s="5">
        <v>0</v>
      </c>
      <c r="N2827" s="5">
        <v>0</v>
      </c>
      <c r="O2827" s="5" t="str">
        <f t="shared" ca="1" si="44"/>
        <v>Supplier 167</v>
      </c>
      <c r="P2827" s="20" t="str">
        <f ca="1">IFERROR(VLOOKUP(O2827,EMAILS!B:C,2,FALSE),"NOT FOUND IN EMAILS")</f>
        <v>supplier@gmail.com</v>
      </c>
      <c r="Q2827" t="str">
        <f ca="1">""&amp;IFERROR(VLOOKUP(O2827,EMAILS!B:D,3,FALSE),"NOT FOUND IN EMAILS")</f>
        <v/>
      </c>
      <c r="R2827" t="str">
        <f ca="1">""&amp;IFERROR(VLOOKUP(O2827,EMAILS!B:E,4,FALSE),"NO T FOUND IN EMAILS")</f>
        <v/>
      </c>
    </row>
    <row r="2828" spans="2:18" x14ac:dyDescent="0.25">
      <c r="B2828" s="5" t="s">
        <v>2830</v>
      </c>
      <c r="C2828" s="5" t="s">
        <v>6970</v>
      </c>
      <c r="D2828" s="5">
        <v>0</v>
      </c>
      <c r="E2828" s="5">
        <v>0</v>
      </c>
      <c r="F2828" s="5">
        <v>0</v>
      </c>
      <c r="G2828" s="5">
        <v>0</v>
      </c>
      <c r="H2828" s="5">
        <v>0</v>
      </c>
      <c r="I2828" s="5">
        <v>0</v>
      </c>
      <c r="J2828" s="5">
        <v>0</v>
      </c>
      <c r="K2828" s="5">
        <v>0</v>
      </c>
      <c r="L2828" s="5">
        <v>0</v>
      </c>
      <c r="M2828" s="5">
        <v>0</v>
      </c>
      <c r="N2828" s="5">
        <v>0</v>
      </c>
      <c r="O2828" s="5" t="str">
        <f t="shared" ca="1" si="44"/>
        <v>Supplier 164</v>
      </c>
      <c r="P2828" s="20" t="str">
        <f ca="1">IFERROR(VLOOKUP(O2828,EMAILS!B:C,2,FALSE),"NOT FOUND IN EMAILS")</f>
        <v>supplier@gmail.com</v>
      </c>
      <c r="Q2828" t="str">
        <f ca="1">""&amp;IFERROR(VLOOKUP(O2828,EMAILS!B:D,3,FALSE),"NOT FOUND IN EMAILS")</f>
        <v/>
      </c>
      <c r="R2828" t="str">
        <f ca="1">""&amp;IFERROR(VLOOKUP(O2828,EMAILS!B:E,4,FALSE),"NO T FOUND IN EMAILS")</f>
        <v/>
      </c>
    </row>
    <row r="2829" spans="2:18" x14ac:dyDescent="0.25">
      <c r="B2829" s="5" t="s">
        <v>2831</v>
      </c>
      <c r="C2829" s="5" t="s">
        <v>6971</v>
      </c>
      <c r="D2829" s="5">
        <v>0</v>
      </c>
      <c r="E2829" s="5">
        <v>0</v>
      </c>
      <c r="F2829" s="5">
        <v>0</v>
      </c>
      <c r="G2829" s="5">
        <v>0</v>
      </c>
      <c r="H2829" s="5">
        <v>0</v>
      </c>
      <c r="I2829" s="5">
        <v>0</v>
      </c>
      <c r="J2829" s="5">
        <v>0</v>
      </c>
      <c r="K2829" s="5">
        <v>0</v>
      </c>
      <c r="L2829" s="5">
        <v>0</v>
      </c>
      <c r="M2829" s="5">
        <v>0</v>
      </c>
      <c r="N2829" s="5">
        <v>0</v>
      </c>
      <c r="O2829" s="5" t="str">
        <f t="shared" ca="1" si="44"/>
        <v>Supplier 40</v>
      </c>
      <c r="P2829" s="20" t="str">
        <f ca="1">IFERROR(VLOOKUP(O2829,EMAILS!B:C,2,FALSE),"NOT FOUND IN EMAILS")</f>
        <v>supplier@gmail.com</v>
      </c>
      <c r="Q2829" t="str">
        <f ca="1">""&amp;IFERROR(VLOOKUP(O2829,EMAILS!B:D,3,FALSE),"NOT FOUND IN EMAILS")</f>
        <v/>
      </c>
      <c r="R2829" t="str">
        <f ca="1">""&amp;IFERROR(VLOOKUP(O2829,EMAILS!B:E,4,FALSE),"NO T FOUND IN EMAILS")</f>
        <v/>
      </c>
    </row>
    <row r="2830" spans="2:18" x14ac:dyDescent="0.25">
      <c r="B2830" s="5" t="s">
        <v>2832</v>
      </c>
      <c r="C2830" s="5" t="s">
        <v>6972</v>
      </c>
      <c r="D2830" s="5">
        <v>0</v>
      </c>
      <c r="E2830" s="5">
        <v>0</v>
      </c>
      <c r="F2830" s="5">
        <v>0</v>
      </c>
      <c r="G2830" s="5">
        <v>0</v>
      </c>
      <c r="H2830" s="5">
        <v>0</v>
      </c>
      <c r="I2830" s="5">
        <v>0</v>
      </c>
      <c r="J2830" s="5">
        <v>0</v>
      </c>
      <c r="K2830" s="5">
        <v>0</v>
      </c>
      <c r="L2830" s="5">
        <v>0</v>
      </c>
      <c r="M2830" s="5">
        <v>0</v>
      </c>
      <c r="N2830" s="5">
        <v>0</v>
      </c>
      <c r="O2830" s="5" t="str">
        <f t="shared" ca="1" si="44"/>
        <v>Supplier 193</v>
      </c>
      <c r="P2830" s="20" t="str">
        <f ca="1">IFERROR(VLOOKUP(O2830,EMAILS!B:C,2,FALSE),"NOT FOUND IN EMAILS")</f>
        <v>supplier@gmail.com</v>
      </c>
      <c r="Q2830" t="str">
        <f ca="1">""&amp;IFERROR(VLOOKUP(O2830,EMAILS!B:D,3,FALSE),"NOT FOUND IN EMAILS")</f>
        <v/>
      </c>
      <c r="R2830" t="str">
        <f ca="1">""&amp;IFERROR(VLOOKUP(O2830,EMAILS!B:E,4,FALSE),"NO T FOUND IN EMAILS")</f>
        <v/>
      </c>
    </row>
    <row r="2831" spans="2:18" x14ac:dyDescent="0.25">
      <c r="B2831" s="5" t="s">
        <v>2833</v>
      </c>
      <c r="C2831" s="5" t="s">
        <v>6973</v>
      </c>
      <c r="D2831" s="5">
        <v>0</v>
      </c>
      <c r="E2831" s="5">
        <v>0</v>
      </c>
      <c r="F2831" s="5">
        <v>0</v>
      </c>
      <c r="G2831" s="5">
        <v>0</v>
      </c>
      <c r="H2831" s="5">
        <v>0</v>
      </c>
      <c r="I2831" s="5">
        <v>0</v>
      </c>
      <c r="J2831" s="5">
        <v>0</v>
      </c>
      <c r="K2831" s="5">
        <v>0</v>
      </c>
      <c r="L2831" s="5">
        <v>0</v>
      </c>
      <c r="M2831" s="5">
        <v>0</v>
      </c>
      <c r="N2831" s="5">
        <v>0</v>
      </c>
      <c r="O2831" s="5" t="str">
        <f t="shared" ca="1" si="44"/>
        <v>Supplier 27</v>
      </c>
      <c r="P2831" s="20" t="str">
        <f ca="1">IFERROR(VLOOKUP(O2831,EMAILS!B:C,2,FALSE),"NOT FOUND IN EMAILS")</f>
        <v>supplier@gmail.com</v>
      </c>
      <c r="Q2831" t="str">
        <f ca="1">""&amp;IFERROR(VLOOKUP(O2831,EMAILS!B:D,3,FALSE),"NOT FOUND IN EMAILS")</f>
        <v/>
      </c>
      <c r="R2831" t="str">
        <f ca="1">""&amp;IFERROR(VLOOKUP(O2831,EMAILS!B:E,4,FALSE),"NO T FOUND IN EMAILS")</f>
        <v/>
      </c>
    </row>
    <row r="2832" spans="2:18" x14ac:dyDescent="0.25">
      <c r="B2832" s="5" t="s">
        <v>2834</v>
      </c>
      <c r="C2832" s="5" t="s">
        <v>6974</v>
      </c>
      <c r="D2832" s="5">
        <v>0</v>
      </c>
      <c r="E2832" s="5">
        <v>0</v>
      </c>
      <c r="F2832" s="5">
        <v>0</v>
      </c>
      <c r="G2832" s="5">
        <v>0</v>
      </c>
      <c r="H2832" s="5">
        <v>0</v>
      </c>
      <c r="I2832" s="5">
        <v>0</v>
      </c>
      <c r="J2832" s="5">
        <v>0</v>
      </c>
      <c r="K2832" s="5">
        <v>0</v>
      </c>
      <c r="L2832" s="5">
        <v>0</v>
      </c>
      <c r="M2832" s="5">
        <v>0</v>
      </c>
      <c r="N2832" s="5">
        <v>0</v>
      </c>
      <c r="O2832" s="5" t="str">
        <f t="shared" ca="1" si="44"/>
        <v>Supplier 107</v>
      </c>
      <c r="P2832" s="20" t="str">
        <f ca="1">IFERROR(VLOOKUP(O2832,EMAILS!B:C,2,FALSE),"NOT FOUND IN EMAILS")</f>
        <v>supplier@gmail.com</v>
      </c>
      <c r="Q2832" t="str">
        <f ca="1">""&amp;IFERROR(VLOOKUP(O2832,EMAILS!B:D,3,FALSE),"NOT FOUND IN EMAILS")</f>
        <v/>
      </c>
      <c r="R2832" t="str">
        <f ca="1">""&amp;IFERROR(VLOOKUP(O2832,EMAILS!B:E,4,FALSE),"NO T FOUND IN EMAILS")</f>
        <v/>
      </c>
    </row>
    <row r="2833" spans="2:18" x14ac:dyDescent="0.25">
      <c r="B2833" s="5" t="s">
        <v>2835</v>
      </c>
      <c r="C2833" s="5" t="s">
        <v>6975</v>
      </c>
      <c r="D2833" s="5">
        <v>0</v>
      </c>
      <c r="E2833" s="5">
        <v>0</v>
      </c>
      <c r="F2833" s="5">
        <v>0</v>
      </c>
      <c r="G2833" s="5">
        <v>0</v>
      </c>
      <c r="H2833" s="5">
        <v>0</v>
      </c>
      <c r="I2833" s="5">
        <v>0</v>
      </c>
      <c r="J2833" s="5">
        <v>0</v>
      </c>
      <c r="K2833" s="5">
        <v>0</v>
      </c>
      <c r="L2833" s="5">
        <v>0</v>
      </c>
      <c r="M2833" s="5">
        <v>0</v>
      </c>
      <c r="N2833" s="5">
        <v>0</v>
      </c>
      <c r="O2833" s="5" t="str">
        <f t="shared" ca="1" si="44"/>
        <v>Supplier 3</v>
      </c>
      <c r="P2833" s="20" t="str">
        <f ca="1">IFERROR(VLOOKUP(O2833,EMAILS!B:C,2,FALSE),"NOT FOUND IN EMAILS")</f>
        <v>supplier@gmail.com</v>
      </c>
      <c r="Q2833" t="str">
        <f ca="1">""&amp;IFERROR(VLOOKUP(O2833,EMAILS!B:D,3,FALSE),"NOT FOUND IN EMAILS")</f>
        <v>supplier_logistics@gmail.com</v>
      </c>
      <c r="R2833" t="str">
        <f ca="1">""&amp;IFERROR(VLOOKUP(O2833,EMAILS!B:E,4,FALSE),"NO T FOUND IN EMAILS")</f>
        <v/>
      </c>
    </row>
    <row r="2834" spans="2:18" x14ac:dyDescent="0.25">
      <c r="B2834" s="5" t="s">
        <v>2836</v>
      </c>
      <c r="C2834" s="5" t="s">
        <v>6976</v>
      </c>
      <c r="D2834" s="5">
        <v>0</v>
      </c>
      <c r="E2834" s="5">
        <v>0</v>
      </c>
      <c r="F2834" s="5">
        <v>0</v>
      </c>
      <c r="G2834" s="5">
        <v>0</v>
      </c>
      <c r="H2834" s="5">
        <v>0</v>
      </c>
      <c r="I2834" s="5">
        <v>0</v>
      </c>
      <c r="J2834" s="5">
        <v>0</v>
      </c>
      <c r="K2834" s="5">
        <v>0</v>
      </c>
      <c r="L2834" s="5">
        <v>0</v>
      </c>
      <c r="M2834" s="5">
        <v>0</v>
      </c>
      <c r="N2834" s="5">
        <v>35</v>
      </c>
      <c r="O2834" s="5" t="str">
        <f t="shared" ca="1" si="44"/>
        <v>Supplier 16</v>
      </c>
      <c r="P2834" s="20" t="str">
        <f ca="1">IFERROR(VLOOKUP(O2834,EMAILS!B:C,2,FALSE),"NOT FOUND IN EMAILS")</f>
        <v>supplier@gmail.com</v>
      </c>
      <c r="Q2834" t="str">
        <f ca="1">""&amp;IFERROR(VLOOKUP(O2834,EMAILS!B:D,3,FALSE),"NOT FOUND IN EMAILS")</f>
        <v>supplier_logistics@gmail.com</v>
      </c>
      <c r="R2834" t="str">
        <f ca="1">""&amp;IFERROR(VLOOKUP(O2834,EMAILS!B:E,4,FALSE),"NO T FOUND IN EMAILS")</f>
        <v/>
      </c>
    </row>
    <row r="2835" spans="2:18" x14ac:dyDescent="0.25">
      <c r="B2835" s="5" t="s">
        <v>2837</v>
      </c>
      <c r="C2835" s="5" t="s">
        <v>6977</v>
      </c>
      <c r="D2835" s="5">
        <v>0</v>
      </c>
      <c r="E2835" s="5">
        <v>0</v>
      </c>
      <c r="F2835" s="5">
        <v>0</v>
      </c>
      <c r="G2835" s="5">
        <v>0</v>
      </c>
      <c r="H2835" s="5">
        <v>0</v>
      </c>
      <c r="I2835" s="5">
        <v>0</v>
      </c>
      <c r="J2835" s="5">
        <v>0</v>
      </c>
      <c r="K2835" s="5">
        <v>0</v>
      </c>
      <c r="L2835" s="5">
        <v>0</v>
      </c>
      <c r="M2835" s="5">
        <v>0</v>
      </c>
      <c r="N2835" s="5">
        <v>0</v>
      </c>
      <c r="O2835" s="5" t="str">
        <f t="shared" ca="1" si="44"/>
        <v>Supplier 63</v>
      </c>
      <c r="P2835" s="20" t="str">
        <f ca="1">IFERROR(VLOOKUP(O2835,EMAILS!B:C,2,FALSE),"NOT FOUND IN EMAILS")</f>
        <v>supplier@gmail.com</v>
      </c>
      <c r="Q2835" t="str">
        <f ca="1">""&amp;IFERROR(VLOOKUP(O2835,EMAILS!B:D,3,FALSE),"NOT FOUND IN EMAILS")</f>
        <v/>
      </c>
      <c r="R2835" t="str">
        <f ca="1">""&amp;IFERROR(VLOOKUP(O2835,EMAILS!B:E,4,FALSE),"NO T FOUND IN EMAILS")</f>
        <v/>
      </c>
    </row>
    <row r="2836" spans="2:18" x14ac:dyDescent="0.25">
      <c r="B2836" s="5" t="s">
        <v>2838</v>
      </c>
      <c r="C2836" s="5" t="s">
        <v>6978</v>
      </c>
      <c r="D2836" s="5">
        <v>0</v>
      </c>
      <c r="E2836" s="5">
        <v>0</v>
      </c>
      <c r="F2836" s="5">
        <v>0</v>
      </c>
      <c r="G2836" s="5">
        <v>0</v>
      </c>
      <c r="H2836" s="5">
        <v>0</v>
      </c>
      <c r="I2836" s="5">
        <v>0</v>
      </c>
      <c r="J2836" s="5">
        <v>0</v>
      </c>
      <c r="K2836" s="5">
        <v>0</v>
      </c>
      <c r="L2836" s="5">
        <v>0</v>
      </c>
      <c r="M2836" s="5">
        <v>0</v>
      </c>
      <c r="N2836" s="5">
        <v>0</v>
      </c>
      <c r="O2836" s="5" t="str">
        <f t="shared" ca="1" si="44"/>
        <v>Supplier 129</v>
      </c>
      <c r="P2836" s="20" t="str">
        <f ca="1">IFERROR(VLOOKUP(O2836,EMAILS!B:C,2,FALSE),"NOT FOUND IN EMAILS")</f>
        <v>supplier@gmail.com</v>
      </c>
      <c r="Q2836" t="str">
        <f ca="1">""&amp;IFERROR(VLOOKUP(O2836,EMAILS!B:D,3,FALSE),"NOT FOUND IN EMAILS")</f>
        <v/>
      </c>
      <c r="R2836" t="str">
        <f ca="1">""&amp;IFERROR(VLOOKUP(O2836,EMAILS!B:E,4,FALSE),"NO T FOUND IN EMAILS")</f>
        <v/>
      </c>
    </row>
    <row r="2837" spans="2:18" x14ac:dyDescent="0.25">
      <c r="B2837" s="5" t="s">
        <v>2839</v>
      </c>
      <c r="C2837" s="5" t="s">
        <v>6979</v>
      </c>
      <c r="D2837" s="5">
        <v>0</v>
      </c>
      <c r="E2837" s="5">
        <v>0</v>
      </c>
      <c r="F2837" s="5">
        <v>0</v>
      </c>
      <c r="G2837" s="5">
        <v>0</v>
      </c>
      <c r="H2837" s="5">
        <v>0</v>
      </c>
      <c r="I2837" s="5">
        <v>0</v>
      </c>
      <c r="J2837" s="5">
        <v>0</v>
      </c>
      <c r="K2837" s="5">
        <v>0</v>
      </c>
      <c r="L2837" s="5">
        <v>0</v>
      </c>
      <c r="M2837" s="5">
        <v>0</v>
      </c>
      <c r="N2837" s="5">
        <v>0</v>
      </c>
      <c r="O2837" s="5" t="str">
        <f t="shared" ca="1" si="44"/>
        <v>Supplier 121</v>
      </c>
      <c r="P2837" s="20" t="str">
        <f ca="1">IFERROR(VLOOKUP(O2837,EMAILS!B:C,2,FALSE),"NOT FOUND IN EMAILS")</f>
        <v>supplier@gmail.com</v>
      </c>
      <c r="Q2837" t="str">
        <f ca="1">""&amp;IFERROR(VLOOKUP(O2837,EMAILS!B:D,3,FALSE),"NOT FOUND IN EMAILS")</f>
        <v/>
      </c>
      <c r="R2837" t="str">
        <f ca="1">""&amp;IFERROR(VLOOKUP(O2837,EMAILS!B:E,4,FALSE),"NO T FOUND IN EMAILS")</f>
        <v/>
      </c>
    </row>
    <row r="2838" spans="2:18" x14ac:dyDescent="0.25">
      <c r="B2838" s="5" t="s">
        <v>2840</v>
      </c>
      <c r="C2838" s="5" t="s">
        <v>6980</v>
      </c>
      <c r="D2838" s="5">
        <v>0</v>
      </c>
      <c r="E2838" s="5">
        <v>0</v>
      </c>
      <c r="F2838" s="5">
        <v>0</v>
      </c>
      <c r="G2838" s="5">
        <v>0</v>
      </c>
      <c r="H2838" s="5">
        <v>0</v>
      </c>
      <c r="I2838" s="5">
        <v>0</v>
      </c>
      <c r="J2838" s="5">
        <v>0</v>
      </c>
      <c r="K2838" s="5">
        <v>0</v>
      </c>
      <c r="L2838" s="5">
        <v>0</v>
      </c>
      <c r="M2838" s="5">
        <v>0</v>
      </c>
      <c r="N2838" s="5">
        <v>0</v>
      </c>
      <c r="O2838" s="5" t="str">
        <f t="shared" ca="1" si="44"/>
        <v>Supplier 187</v>
      </c>
      <c r="P2838" s="20" t="str">
        <f ca="1">IFERROR(VLOOKUP(O2838,EMAILS!B:C,2,FALSE),"NOT FOUND IN EMAILS")</f>
        <v>supplier@gmail.com</v>
      </c>
      <c r="Q2838" t="str">
        <f ca="1">""&amp;IFERROR(VLOOKUP(O2838,EMAILS!B:D,3,FALSE),"NOT FOUND IN EMAILS")</f>
        <v/>
      </c>
      <c r="R2838" t="str">
        <f ca="1">""&amp;IFERROR(VLOOKUP(O2838,EMAILS!B:E,4,FALSE),"NO T FOUND IN EMAILS")</f>
        <v/>
      </c>
    </row>
    <row r="2839" spans="2:18" x14ac:dyDescent="0.25">
      <c r="B2839" s="5" t="s">
        <v>2841</v>
      </c>
      <c r="C2839" s="5" t="s">
        <v>6981</v>
      </c>
      <c r="D2839" s="5">
        <v>0</v>
      </c>
      <c r="E2839" s="5">
        <v>0</v>
      </c>
      <c r="F2839" s="5">
        <v>0</v>
      </c>
      <c r="G2839" s="5">
        <v>0</v>
      </c>
      <c r="H2839" s="5">
        <v>0</v>
      </c>
      <c r="I2839" s="5">
        <v>0</v>
      </c>
      <c r="J2839" s="5">
        <v>0</v>
      </c>
      <c r="K2839" s="5">
        <v>0</v>
      </c>
      <c r="L2839" s="5">
        <v>0</v>
      </c>
      <c r="M2839" s="5">
        <v>0</v>
      </c>
      <c r="N2839" s="5">
        <v>0</v>
      </c>
      <c r="O2839" s="5" t="str">
        <f t="shared" ca="1" si="44"/>
        <v>Supplier 145</v>
      </c>
      <c r="P2839" s="20" t="str">
        <f ca="1">IFERROR(VLOOKUP(O2839,EMAILS!B:C,2,FALSE),"NOT FOUND IN EMAILS")</f>
        <v>supplier@gmail.com</v>
      </c>
      <c r="Q2839" t="str">
        <f ca="1">""&amp;IFERROR(VLOOKUP(O2839,EMAILS!B:D,3,FALSE),"NOT FOUND IN EMAILS")</f>
        <v/>
      </c>
      <c r="R2839" t="str">
        <f ca="1">""&amp;IFERROR(VLOOKUP(O2839,EMAILS!B:E,4,FALSE),"NO T FOUND IN EMAILS")</f>
        <v/>
      </c>
    </row>
    <row r="2840" spans="2:18" x14ac:dyDescent="0.25">
      <c r="B2840" s="5" t="s">
        <v>2842</v>
      </c>
      <c r="C2840" s="5" t="s">
        <v>6982</v>
      </c>
      <c r="D2840" s="5">
        <v>0</v>
      </c>
      <c r="E2840" s="5">
        <v>0</v>
      </c>
      <c r="F2840" s="5">
        <v>0</v>
      </c>
      <c r="G2840" s="5">
        <v>0</v>
      </c>
      <c r="H2840" s="5">
        <v>0</v>
      </c>
      <c r="I2840" s="5">
        <v>0</v>
      </c>
      <c r="J2840" s="5">
        <v>0</v>
      </c>
      <c r="K2840" s="5">
        <v>0</v>
      </c>
      <c r="L2840" s="5">
        <v>0</v>
      </c>
      <c r="M2840" s="5">
        <v>0</v>
      </c>
      <c r="N2840" s="5">
        <v>0</v>
      </c>
      <c r="O2840" s="5" t="str">
        <f t="shared" ca="1" si="44"/>
        <v>Supplier 86</v>
      </c>
      <c r="P2840" s="20" t="str">
        <f ca="1">IFERROR(VLOOKUP(O2840,EMAILS!B:C,2,FALSE),"NOT FOUND IN EMAILS")</f>
        <v>supplier@gmail.com</v>
      </c>
      <c r="Q2840" t="str">
        <f ca="1">""&amp;IFERROR(VLOOKUP(O2840,EMAILS!B:D,3,FALSE),"NOT FOUND IN EMAILS")</f>
        <v/>
      </c>
      <c r="R2840" t="str">
        <f ca="1">""&amp;IFERROR(VLOOKUP(O2840,EMAILS!B:E,4,FALSE),"NO T FOUND IN EMAILS")</f>
        <v/>
      </c>
    </row>
    <row r="2841" spans="2:18" x14ac:dyDescent="0.25">
      <c r="B2841" s="5" t="s">
        <v>2843</v>
      </c>
      <c r="C2841" s="5" t="s">
        <v>6983</v>
      </c>
      <c r="D2841" s="5">
        <v>0</v>
      </c>
      <c r="E2841" s="5">
        <v>0</v>
      </c>
      <c r="F2841" s="5">
        <v>0</v>
      </c>
      <c r="G2841" s="5">
        <v>0</v>
      </c>
      <c r="H2841" s="5">
        <v>0</v>
      </c>
      <c r="I2841" s="5">
        <v>0</v>
      </c>
      <c r="J2841" s="5">
        <v>0</v>
      </c>
      <c r="K2841" s="5">
        <v>0</v>
      </c>
      <c r="L2841" s="5">
        <v>0</v>
      </c>
      <c r="M2841" s="5">
        <v>0</v>
      </c>
      <c r="N2841" s="5">
        <v>0</v>
      </c>
      <c r="O2841" s="5" t="str">
        <f t="shared" ca="1" si="44"/>
        <v>Supplier 89</v>
      </c>
      <c r="P2841" s="20" t="str">
        <f ca="1">IFERROR(VLOOKUP(O2841,EMAILS!B:C,2,FALSE),"NOT FOUND IN EMAILS")</f>
        <v>supplier@gmail.com</v>
      </c>
      <c r="Q2841" t="str">
        <f ca="1">""&amp;IFERROR(VLOOKUP(O2841,EMAILS!B:D,3,FALSE),"NOT FOUND IN EMAILS")</f>
        <v/>
      </c>
      <c r="R2841" t="str">
        <f ca="1">""&amp;IFERROR(VLOOKUP(O2841,EMAILS!B:E,4,FALSE),"NO T FOUND IN EMAILS")</f>
        <v/>
      </c>
    </row>
    <row r="2842" spans="2:18" x14ac:dyDescent="0.25">
      <c r="B2842" s="5" t="s">
        <v>2844</v>
      </c>
      <c r="C2842" s="5" t="s">
        <v>6984</v>
      </c>
      <c r="D2842" s="5">
        <v>0</v>
      </c>
      <c r="E2842" s="5">
        <v>0</v>
      </c>
      <c r="F2842" s="5">
        <v>0</v>
      </c>
      <c r="G2842" s="5">
        <v>0</v>
      </c>
      <c r="H2842" s="5">
        <v>0</v>
      </c>
      <c r="I2842" s="5">
        <v>0</v>
      </c>
      <c r="J2842" s="5">
        <v>0</v>
      </c>
      <c r="K2842" s="5">
        <v>0</v>
      </c>
      <c r="L2842" s="5">
        <v>0</v>
      </c>
      <c r="M2842" s="5">
        <v>0</v>
      </c>
      <c r="N2842" s="5">
        <v>0</v>
      </c>
      <c r="O2842" s="5" t="str">
        <f t="shared" ca="1" si="44"/>
        <v>Supplier 101</v>
      </c>
      <c r="P2842" s="20" t="str">
        <f ca="1">IFERROR(VLOOKUP(O2842,EMAILS!B:C,2,FALSE),"NOT FOUND IN EMAILS")</f>
        <v>supplier@gmail.com</v>
      </c>
      <c r="Q2842" t="str">
        <f ca="1">""&amp;IFERROR(VLOOKUP(O2842,EMAILS!B:D,3,FALSE),"NOT FOUND IN EMAILS")</f>
        <v/>
      </c>
      <c r="R2842" t="str">
        <f ca="1">""&amp;IFERROR(VLOOKUP(O2842,EMAILS!B:E,4,FALSE),"NO T FOUND IN EMAILS")</f>
        <v/>
      </c>
    </row>
    <row r="2843" spans="2:18" x14ac:dyDescent="0.25">
      <c r="B2843" s="5" t="s">
        <v>2845</v>
      </c>
      <c r="C2843" s="5" t="s">
        <v>6985</v>
      </c>
      <c r="D2843" s="5">
        <v>0</v>
      </c>
      <c r="E2843" s="5">
        <v>0</v>
      </c>
      <c r="F2843" s="5">
        <v>0</v>
      </c>
      <c r="G2843" s="5">
        <v>0</v>
      </c>
      <c r="H2843" s="5">
        <v>0</v>
      </c>
      <c r="I2843" s="5">
        <v>0</v>
      </c>
      <c r="J2843" s="5">
        <v>0</v>
      </c>
      <c r="K2843" s="5">
        <v>0</v>
      </c>
      <c r="L2843" s="5">
        <v>0</v>
      </c>
      <c r="M2843" s="5">
        <v>0</v>
      </c>
      <c r="N2843" s="5">
        <v>0</v>
      </c>
      <c r="O2843" s="5" t="str">
        <f t="shared" ca="1" si="44"/>
        <v>Supplier 120</v>
      </c>
      <c r="P2843" s="20" t="str">
        <f ca="1">IFERROR(VLOOKUP(O2843,EMAILS!B:C,2,FALSE),"NOT FOUND IN EMAILS")</f>
        <v>supplier@gmail.com</v>
      </c>
      <c r="Q2843" t="str">
        <f ca="1">""&amp;IFERROR(VLOOKUP(O2843,EMAILS!B:D,3,FALSE),"NOT FOUND IN EMAILS")</f>
        <v/>
      </c>
      <c r="R2843" t="str">
        <f ca="1">""&amp;IFERROR(VLOOKUP(O2843,EMAILS!B:E,4,FALSE),"NO T FOUND IN EMAILS")</f>
        <v/>
      </c>
    </row>
    <row r="2844" spans="2:18" x14ac:dyDescent="0.25">
      <c r="B2844" s="5" t="s">
        <v>2846</v>
      </c>
      <c r="C2844" s="5" t="s">
        <v>6986</v>
      </c>
      <c r="D2844" s="5">
        <v>0</v>
      </c>
      <c r="E2844" s="5">
        <v>0</v>
      </c>
      <c r="F2844" s="5">
        <v>0</v>
      </c>
      <c r="G2844" s="5">
        <v>0</v>
      </c>
      <c r="H2844" s="5">
        <v>0</v>
      </c>
      <c r="I2844" s="5">
        <v>0</v>
      </c>
      <c r="J2844" s="5">
        <v>0</v>
      </c>
      <c r="K2844" s="5">
        <v>0</v>
      </c>
      <c r="L2844" s="5">
        <v>0</v>
      </c>
      <c r="M2844" s="5">
        <v>0</v>
      </c>
      <c r="N2844" s="5">
        <v>0</v>
      </c>
      <c r="O2844" s="5" t="str">
        <f t="shared" ca="1" si="44"/>
        <v>Supplier 147</v>
      </c>
      <c r="P2844" s="20" t="str">
        <f ca="1">IFERROR(VLOOKUP(O2844,EMAILS!B:C,2,FALSE),"NOT FOUND IN EMAILS")</f>
        <v>supplier@gmail.com</v>
      </c>
      <c r="Q2844" t="str">
        <f ca="1">""&amp;IFERROR(VLOOKUP(O2844,EMAILS!B:D,3,FALSE),"NOT FOUND IN EMAILS")</f>
        <v/>
      </c>
      <c r="R2844" t="str">
        <f ca="1">""&amp;IFERROR(VLOOKUP(O2844,EMAILS!B:E,4,FALSE),"NO T FOUND IN EMAILS")</f>
        <v/>
      </c>
    </row>
    <row r="2845" spans="2:18" x14ac:dyDescent="0.25">
      <c r="B2845" s="5" t="s">
        <v>2847</v>
      </c>
      <c r="C2845" s="5" t="s">
        <v>6987</v>
      </c>
      <c r="D2845" s="5">
        <v>0</v>
      </c>
      <c r="E2845" s="5">
        <v>0</v>
      </c>
      <c r="F2845" s="5">
        <v>0</v>
      </c>
      <c r="G2845" s="5">
        <v>0</v>
      </c>
      <c r="H2845" s="5">
        <v>0</v>
      </c>
      <c r="I2845" s="5">
        <v>0</v>
      </c>
      <c r="J2845" s="5">
        <v>0</v>
      </c>
      <c r="K2845" s="5">
        <v>0</v>
      </c>
      <c r="L2845" s="5">
        <v>0</v>
      </c>
      <c r="M2845" s="5">
        <v>0</v>
      </c>
      <c r="N2845" s="5">
        <v>0</v>
      </c>
      <c r="O2845" s="5" t="str">
        <f t="shared" ca="1" si="44"/>
        <v>Supplier 156</v>
      </c>
      <c r="P2845" s="20" t="str">
        <f ca="1">IFERROR(VLOOKUP(O2845,EMAILS!B:C,2,FALSE),"NOT FOUND IN EMAILS")</f>
        <v>supplier@gmail.com</v>
      </c>
      <c r="Q2845" t="str">
        <f ca="1">""&amp;IFERROR(VLOOKUP(O2845,EMAILS!B:D,3,FALSE),"NOT FOUND IN EMAILS")</f>
        <v/>
      </c>
      <c r="R2845" t="str">
        <f ca="1">""&amp;IFERROR(VLOOKUP(O2845,EMAILS!B:E,4,FALSE),"NO T FOUND IN EMAILS")</f>
        <v/>
      </c>
    </row>
    <row r="2846" spans="2:18" x14ac:dyDescent="0.25">
      <c r="B2846" s="5" t="s">
        <v>2848</v>
      </c>
      <c r="C2846" s="5" t="s">
        <v>6988</v>
      </c>
      <c r="D2846" s="5">
        <v>0</v>
      </c>
      <c r="E2846" s="5">
        <v>0</v>
      </c>
      <c r="F2846" s="5">
        <v>0</v>
      </c>
      <c r="G2846" s="5">
        <v>0</v>
      </c>
      <c r="H2846" s="5">
        <v>0</v>
      </c>
      <c r="I2846" s="5">
        <v>0</v>
      </c>
      <c r="J2846" s="5">
        <v>0</v>
      </c>
      <c r="K2846" s="5">
        <v>0</v>
      </c>
      <c r="L2846" s="5">
        <v>0</v>
      </c>
      <c r="M2846" s="5">
        <v>0</v>
      </c>
      <c r="N2846" s="5">
        <v>0</v>
      </c>
      <c r="O2846" s="5" t="str">
        <f t="shared" ca="1" si="44"/>
        <v>Supplier 58</v>
      </c>
      <c r="P2846" s="20" t="str">
        <f ca="1">IFERROR(VLOOKUP(O2846,EMAILS!B:C,2,FALSE),"NOT FOUND IN EMAILS")</f>
        <v>supplier@gmail.com</v>
      </c>
      <c r="Q2846" t="str">
        <f ca="1">""&amp;IFERROR(VLOOKUP(O2846,EMAILS!B:D,3,FALSE),"NOT FOUND IN EMAILS")</f>
        <v/>
      </c>
      <c r="R2846" t="str">
        <f ca="1">""&amp;IFERROR(VLOOKUP(O2846,EMAILS!B:E,4,FALSE),"NO T FOUND IN EMAILS")</f>
        <v/>
      </c>
    </row>
    <row r="2847" spans="2:18" x14ac:dyDescent="0.25">
      <c r="B2847" s="5" t="s">
        <v>2849</v>
      </c>
      <c r="C2847" s="5" t="s">
        <v>6989</v>
      </c>
      <c r="D2847" s="5">
        <v>0</v>
      </c>
      <c r="E2847" s="5">
        <v>0</v>
      </c>
      <c r="F2847" s="5">
        <v>0</v>
      </c>
      <c r="G2847" s="5">
        <v>0</v>
      </c>
      <c r="H2847" s="5">
        <v>0</v>
      </c>
      <c r="I2847" s="5">
        <v>0</v>
      </c>
      <c r="J2847" s="5">
        <v>0</v>
      </c>
      <c r="K2847" s="5">
        <v>0</v>
      </c>
      <c r="L2847" s="5">
        <v>0</v>
      </c>
      <c r="M2847" s="5">
        <v>0</v>
      </c>
      <c r="N2847" s="5">
        <v>0</v>
      </c>
      <c r="O2847" s="5" t="str">
        <f t="shared" ca="1" si="44"/>
        <v>Supplier 4</v>
      </c>
      <c r="P2847" s="20" t="str">
        <f ca="1">IFERROR(VLOOKUP(O2847,EMAILS!B:C,2,FALSE),"NOT FOUND IN EMAILS")</f>
        <v>supplier@gmail.com</v>
      </c>
      <c r="Q2847" t="str">
        <f ca="1">""&amp;IFERROR(VLOOKUP(O2847,EMAILS!B:D,3,FALSE),"NOT FOUND IN EMAILS")</f>
        <v>supplier_logistics@gmail.com</v>
      </c>
      <c r="R2847" t="str">
        <f ca="1">""&amp;IFERROR(VLOOKUP(O2847,EMAILS!B:E,4,FALSE),"NO T FOUND IN EMAILS")</f>
        <v/>
      </c>
    </row>
    <row r="2848" spans="2:18" x14ac:dyDescent="0.25">
      <c r="B2848" s="5" t="s">
        <v>2850</v>
      </c>
      <c r="C2848" s="5" t="s">
        <v>6990</v>
      </c>
      <c r="D2848" s="5">
        <v>0</v>
      </c>
      <c r="E2848" s="5">
        <v>0</v>
      </c>
      <c r="F2848" s="5">
        <v>0</v>
      </c>
      <c r="G2848" s="5">
        <v>0</v>
      </c>
      <c r="H2848" s="5">
        <v>0</v>
      </c>
      <c r="I2848" s="5">
        <v>0</v>
      </c>
      <c r="J2848" s="5">
        <v>0</v>
      </c>
      <c r="K2848" s="5">
        <v>0</v>
      </c>
      <c r="L2848" s="5">
        <v>0</v>
      </c>
      <c r="M2848" s="5">
        <v>0</v>
      </c>
      <c r="N2848" s="5">
        <v>0</v>
      </c>
      <c r="O2848" s="5" t="str">
        <f t="shared" ca="1" si="44"/>
        <v>Supplier 168</v>
      </c>
      <c r="P2848" s="20" t="str">
        <f ca="1">IFERROR(VLOOKUP(O2848,EMAILS!B:C,2,FALSE),"NOT FOUND IN EMAILS")</f>
        <v>supplier@gmail.com</v>
      </c>
      <c r="Q2848" t="str">
        <f ca="1">""&amp;IFERROR(VLOOKUP(O2848,EMAILS!B:D,3,FALSE),"NOT FOUND IN EMAILS")</f>
        <v/>
      </c>
      <c r="R2848" t="str">
        <f ca="1">""&amp;IFERROR(VLOOKUP(O2848,EMAILS!B:E,4,FALSE),"NO T FOUND IN EMAILS")</f>
        <v/>
      </c>
    </row>
    <row r="2849" spans="2:18" x14ac:dyDescent="0.25">
      <c r="B2849" s="5" t="s">
        <v>2851</v>
      </c>
      <c r="C2849" s="5" t="s">
        <v>6991</v>
      </c>
      <c r="D2849" s="5">
        <v>0</v>
      </c>
      <c r="E2849" s="5">
        <v>0</v>
      </c>
      <c r="F2849" s="5">
        <v>0</v>
      </c>
      <c r="G2849" s="5">
        <v>0</v>
      </c>
      <c r="H2849" s="5">
        <v>0</v>
      </c>
      <c r="I2849" s="5">
        <v>0</v>
      </c>
      <c r="J2849" s="5">
        <v>0</v>
      </c>
      <c r="K2849" s="5">
        <v>0</v>
      </c>
      <c r="L2849" s="5">
        <v>0</v>
      </c>
      <c r="M2849" s="5">
        <v>0</v>
      </c>
      <c r="N2849" s="5">
        <v>0</v>
      </c>
      <c r="O2849" s="5" t="str">
        <f t="shared" ca="1" si="44"/>
        <v>Supplier 134</v>
      </c>
      <c r="P2849" s="20" t="str">
        <f ca="1">IFERROR(VLOOKUP(O2849,EMAILS!B:C,2,FALSE),"NOT FOUND IN EMAILS")</f>
        <v>supplier@gmail.com</v>
      </c>
      <c r="Q2849" t="str">
        <f ca="1">""&amp;IFERROR(VLOOKUP(O2849,EMAILS!B:D,3,FALSE),"NOT FOUND IN EMAILS")</f>
        <v/>
      </c>
      <c r="R2849" t="str">
        <f ca="1">""&amp;IFERROR(VLOOKUP(O2849,EMAILS!B:E,4,FALSE),"NO T FOUND IN EMAILS")</f>
        <v/>
      </c>
    </row>
    <row r="2850" spans="2:18" x14ac:dyDescent="0.25">
      <c r="B2850" s="5" t="s">
        <v>2852</v>
      </c>
      <c r="C2850" s="5" t="s">
        <v>6992</v>
      </c>
      <c r="D2850" s="5">
        <v>0</v>
      </c>
      <c r="E2850" s="5">
        <v>0</v>
      </c>
      <c r="F2850" s="5">
        <v>0</v>
      </c>
      <c r="G2850" s="5">
        <v>0</v>
      </c>
      <c r="H2850" s="5">
        <v>0</v>
      </c>
      <c r="I2850" s="5">
        <v>0</v>
      </c>
      <c r="J2850" s="5">
        <v>0</v>
      </c>
      <c r="K2850" s="5">
        <v>0</v>
      </c>
      <c r="L2850" s="5">
        <v>0</v>
      </c>
      <c r="M2850" s="5">
        <v>0</v>
      </c>
      <c r="N2850" s="5">
        <v>0</v>
      </c>
      <c r="O2850" s="5" t="str">
        <f t="shared" ca="1" si="44"/>
        <v>Supplier 46</v>
      </c>
      <c r="P2850" s="20" t="str">
        <f ca="1">IFERROR(VLOOKUP(O2850,EMAILS!B:C,2,FALSE),"NOT FOUND IN EMAILS")</f>
        <v>supplier@gmail.com</v>
      </c>
      <c r="Q2850" t="str">
        <f ca="1">""&amp;IFERROR(VLOOKUP(O2850,EMAILS!B:D,3,FALSE),"NOT FOUND IN EMAILS")</f>
        <v/>
      </c>
      <c r="R2850" t="str">
        <f ca="1">""&amp;IFERROR(VLOOKUP(O2850,EMAILS!B:E,4,FALSE),"NO T FOUND IN EMAILS")</f>
        <v/>
      </c>
    </row>
    <row r="2851" spans="2:18" x14ac:dyDescent="0.25">
      <c r="B2851" s="5" t="s">
        <v>2853</v>
      </c>
      <c r="C2851" s="5" t="s">
        <v>6993</v>
      </c>
      <c r="D2851" s="5">
        <v>0</v>
      </c>
      <c r="E2851" s="5">
        <v>0</v>
      </c>
      <c r="F2851" s="5">
        <v>0</v>
      </c>
      <c r="G2851" s="5">
        <v>0</v>
      </c>
      <c r="H2851" s="5">
        <v>0</v>
      </c>
      <c r="I2851" s="5">
        <v>0</v>
      </c>
      <c r="J2851" s="5">
        <v>0</v>
      </c>
      <c r="K2851" s="5">
        <v>0</v>
      </c>
      <c r="L2851" s="5">
        <v>0</v>
      </c>
      <c r="M2851" s="5">
        <v>0</v>
      </c>
      <c r="N2851" s="5">
        <v>0</v>
      </c>
      <c r="O2851" s="5" t="str">
        <f t="shared" ca="1" si="44"/>
        <v>Supplier 191</v>
      </c>
      <c r="P2851" s="20" t="str">
        <f ca="1">IFERROR(VLOOKUP(O2851,EMAILS!B:C,2,FALSE),"NOT FOUND IN EMAILS")</f>
        <v>supplier@gmail.com</v>
      </c>
      <c r="Q2851" t="str">
        <f ca="1">""&amp;IFERROR(VLOOKUP(O2851,EMAILS!B:D,3,FALSE),"NOT FOUND IN EMAILS")</f>
        <v/>
      </c>
      <c r="R2851" t="str">
        <f ca="1">""&amp;IFERROR(VLOOKUP(O2851,EMAILS!B:E,4,FALSE),"NO T FOUND IN EMAILS")</f>
        <v/>
      </c>
    </row>
    <row r="2852" spans="2:18" x14ac:dyDescent="0.25">
      <c r="B2852" s="5" t="s">
        <v>2854</v>
      </c>
      <c r="C2852" s="5" t="s">
        <v>6994</v>
      </c>
      <c r="D2852" s="5">
        <v>0</v>
      </c>
      <c r="E2852" s="5">
        <v>0</v>
      </c>
      <c r="F2852" s="5">
        <v>0</v>
      </c>
      <c r="G2852" s="5">
        <v>0</v>
      </c>
      <c r="H2852" s="5">
        <v>0</v>
      </c>
      <c r="I2852" s="5">
        <v>0</v>
      </c>
      <c r="J2852" s="5">
        <v>0</v>
      </c>
      <c r="K2852" s="5">
        <v>0</v>
      </c>
      <c r="L2852" s="5">
        <v>0</v>
      </c>
      <c r="M2852" s="5">
        <v>0</v>
      </c>
      <c r="N2852" s="5">
        <v>0</v>
      </c>
      <c r="O2852" s="5" t="str">
        <f t="shared" ca="1" si="44"/>
        <v>Supplier 63</v>
      </c>
      <c r="P2852" s="20" t="str">
        <f ca="1">IFERROR(VLOOKUP(O2852,EMAILS!B:C,2,FALSE),"NOT FOUND IN EMAILS")</f>
        <v>supplier@gmail.com</v>
      </c>
      <c r="Q2852" t="str">
        <f ca="1">""&amp;IFERROR(VLOOKUP(O2852,EMAILS!B:D,3,FALSE),"NOT FOUND IN EMAILS")</f>
        <v/>
      </c>
      <c r="R2852" t="str">
        <f ca="1">""&amp;IFERROR(VLOOKUP(O2852,EMAILS!B:E,4,FALSE),"NO T FOUND IN EMAILS")</f>
        <v/>
      </c>
    </row>
    <row r="2853" spans="2:18" x14ac:dyDescent="0.25">
      <c r="B2853" s="5" t="s">
        <v>2855</v>
      </c>
      <c r="C2853" s="5" t="s">
        <v>6995</v>
      </c>
      <c r="D2853" s="5">
        <v>0</v>
      </c>
      <c r="E2853" s="5">
        <v>0</v>
      </c>
      <c r="F2853" s="5">
        <v>0</v>
      </c>
      <c r="G2853" s="5">
        <v>0</v>
      </c>
      <c r="H2853" s="5">
        <v>0</v>
      </c>
      <c r="I2853" s="5">
        <v>0</v>
      </c>
      <c r="J2853" s="5">
        <v>0</v>
      </c>
      <c r="K2853" s="5">
        <v>0</v>
      </c>
      <c r="L2853" s="5">
        <v>0</v>
      </c>
      <c r="M2853" s="5">
        <v>0</v>
      </c>
      <c r="N2853" s="5">
        <v>0</v>
      </c>
      <c r="O2853" s="5" t="str">
        <f t="shared" ca="1" si="44"/>
        <v>Supplier 51</v>
      </c>
      <c r="P2853" s="20" t="str">
        <f ca="1">IFERROR(VLOOKUP(O2853,EMAILS!B:C,2,FALSE),"NOT FOUND IN EMAILS")</f>
        <v>supplier@gmail.com</v>
      </c>
      <c r="Q2853" t="str">
        <f ca="1">""&amp;IFERROR(VLOOKUP(O2853,EMAILS!B:D,3,FALSE),"NOT FOUND IN EMAILS")</f>
        <v/>
      </c>
      <c r="R2853" t="str">
        <f ca="1">""&amp;IFERROR(VLOOKUP(O2853,EMAILS!B:E,4,FALSE),"NO T FOUND IN EMAILS")</f>
        <v/>
      </c>
    </row>
    <row r="2854" spans="2:18" x14ac:dyDescent="0.25">
      <c r="B2854" s="5" t="s">
        <v>2856</v>
      </c>
      <c r="C2854" s="5" t="s">
        <v>6996</v>
      </c>
      <c r="D2854" s="5">
        <v>0</v>
      </c>
      <c r="E2854" s="5">
        <v>0</v>
      </c>
      <c r="F2854" s="5">
        <v>0</v>
      </c>
      <c r="G2854" s="5">
        <v>0</v>
      </c>
      <c r="H2854" s="5">
        <v>0</v>
      </c>
      <c r="I2854" s="5">
        <v>0</v>
      </c>
      <c r="J2854" s="5">
        <v>0</v>
      </c>
      <c r="K2854" s="5">
        <v>0</v>
      </c>
      <c r="L2854" s="5">
        <v>0</v>
      </c>
      <c r="M2854" s="5">
        <v>0</v>
      </c>
      <c r="N2854" s="5">
        <v>0</v>
      </c>
      <c r="O2854" s="5" t="str">
        <f t="shared" ca="1" si="44"/>
        <v>Supplier 170</v>
      </c>
      <c r="P2854" s="20" t="str">
        <f ca="1">IFERROR(VLOOKUP(O2854,EMAILS!B:C,2,FALSE),"NOT FOUND IN EMAILS")</f>
        <v>supplier@gmail.com</v>
      </c>
      <c r="Q2854" t="str">
        <f ca="1">""&amp;IFERROR(VLOOKUP(O2854,EMAILS!B:D,3,FALSE),"NOT FOUND IN EMAILS")</f>
        <v/>
      </c>
      <c r="R2854" t="str">
        <f ca="1">""&amp;IFERROR(VLOOKUP(O2854,EMAILS!B:E,4,FALSE),"NO T FOUND IN EMAILS")</f>
        <v/>
      </c>
    </row>
    <row r="2855" spans="2:18" x14ac:dyDescent="0.25">
      <c r="B2855" s="5" t="s">
        <v>2857</v>
      </c>
      <c r="C2855" s="5" t="s">
        <v>6997</v>
      </c>
      <c r="D2855" s="5">
        <v>0</v>
      </c>
      <c r="E2855" s="5">
        <v>0</v>
      </c>
      <c r="F2855" s="5">
        <v>0</v>
      </c>
      <c r="G2855" s="5">
        <v>0</v>
      </c>
      <c r="H2855" s="5">
        <v>0</v>
      </c>
      <c r="I2855" s="5">
        <v>0</v>
      </c>
      <c r="J2855" s="5">
        <v>0</v>
      </c>
      <c r="K2855" s="5">
        <v>0</v>
      </c>
      <c r="L2855" s="5">
        <v>0</v>
      </c>
      <c r="M2855" s="5">
        <v>0</v>
      </c>
      <c r="N2855" s="5">
        <v>0</v>
      </c>
      <c r="O2855" s="5" t="str">
        <f t="shared" ca="1" si="44"/>
        <v>Supplier 188</v>
      </c>
      <c r="P2855" s="20" t="str">
        <f ca="1">IFERROR(VLOOKUP(O2855,EMAILS!B:C,2,FALSE),"NOT FOUND IN EMAILS")</f>
        <v>supplier@gmail.com</v>
      </c>
      <c r="Q2855" t="str">
        <f ca="1">""&amp;IFERROR(VLOOKUP(O2855,EMAILS!B:D,3,FALSE),"NOT FOUND IN EMAILS")</f>
        <v/>
      </c>
      <c r="R2855" t="str">
        <f ca="1">""&amp;IFERROR(VLOOKUP(O2855,EMAILS!B:E,4,FALSE),"NO T FOUND IN EMAILS")</f>
        <v/>
      </c>
    </row>
    <row r="2856" spans="2:18" x14ac:dyDescent="0.25">
      <c r="B2856" s="5" t="s">
        <v>2858</v>
      </c>
      <c r="C2856" s="5" t="s">
        <v>6998</v>
      </c>
      <c r="D2856" s="5">
        <v>0</v>
      </c>
      <c r="E2856" s="5">
        <v>0</v>
      </c>
      <c r="F2856" s="5">
        <v>0</v>
      </c>
      <c r="G2856" s="5">
        <v>0</v>
      </c>
      <c r="H2856" s="5">
        <v>0</v>
      </c>
      <c r="I2856" s="5">
        <v>0</v>
      </c>
      <c r="J2856" s="5">
        <v>0</v>
      </c>
      <c r="K2856" s="5">
        <v>0</v>
      </c>
      <c r="L2856" s="5">
        <v>0</v>
      </c>
      <c r="M2856" s="5">
        <v>0</v>
      </c>
      <c r="N2856" s="5">
        <v>0</v>
      </c>
      <c r="O2856" s="5" t="str">
        <f t="shared" ca="1" si="44"/>
        <v>Supplier 185</v>
      </c>
      <c r="P2856" s="20" t="str">
        <f ca="1">IFERROR(VLOOKUP(O2856,EMAILS!B:C,2,FALSE),"NOT FOUND IN EMAILS")</f>
        <v>supplier@gmail.com</v>
      </c>
      <c r="Q2856" t="str">
        <f ca="1">""&amp;IFERROR(VLOOKUP(O2856,EMAILS!B:D,3,FALSE),"NOT FOUND IN EMAILS")</f>
        <v/>
      </c>
      <c r="R2856" t="str">
        <f ca="1">""&amp;IFERROR(VLOOKUP(O2856,EMAILS!B:E,4,FALSE),"NO T FOUND IN EMAILS")</f>
        <v/>
      </c>
    </row>
    <row r="2857" spans="2:18" x14ac:dyDescent="0.25">
      <c r="B2857" s="5" t="s">
        <v>2859</v>
      </c>
      <c r="C2857" s="5" t="s">
        <v>6999</v>
      </c>
      <c r="D2857" s="5">
        <v>0</v>
      </c>
      <c r="E2857" s="5">
        <v>0</v>
      </c>
      <c r="F2857" s="5">
        <v>0</v>
      </c>
      <c r="G2857" s="5">
        <v>0</v>
      </c>
      <c r="H2857" s="5">
        <v>0</v>
      </c>
      <c r="I2857" s="5">
        <v>0</v>
      </c>
      <c r="J2857" s="5">
        <v>0</v>
      </c>
      <c r="K2857" s="5">
        <v>0</v>
      </c>
      <c r="L2857" s="5">
        <v>0</v>
      </c>
      <c r="M2857" s="5">
        <v>0</v>
      </c>
      <c r="N2857" s="5">
        <v>0</v>
      </c>
      <c r="O2857" s="5" t="str">
        <f t="shared" ca="1" si="44"/>
        <v>Supplier 101</v>
      </c>
      <c r="P2857" s="20" t="str">
        <f ca="1">IFERROR(VLOOKUP(O2857,EMAILS!B:C,2,FALSE),"NOT FOUND IN EMAILS")</f>
        <v>supplier@gmail.com</v>
      </c>
      <c r="Q2857" t="str">
        <f ca="1">""&amp;IFERROR(VLOOKUP(O2857,EMAILS!B:D,3,FALSE),"NOT FOUND IN EMAILS")</f>
        <v/>
      </c>
      <c r="R2857" t="str">
        <f ca="1">""&amp;IFERROR(VLOOKUP(O2857,EMAILS!B:E,4,FALSE),"NO T FOUND IN EMAILS")</f>
        <v/>
      </c>
    </row>
    <row r="2858" spans="2:18" x14ac:dyDescent="0.25">
      <c r="B2858" s="5" t="s">
        <v>2860</v>
      </c>
      <c r="C2858" s="5" t="s">
        <v>7000</v>
      </c>
      <c r="D2858" s="5">
        <v>0</v>
      </c>
      <c r="E2858" s="5">
        <v>0</v>
      </c>
      <c r="F2858" s="5">
        <v>0</v>
      </c>
      <c r="G2858" s="5">
        <v>0</v>
      </c>
      <c r="H2858" s="5">
        <v>0</v>
      </c>
      <c r="I2858" s="5">
        <v>0</v>
      </c>
      <c r="J2858" s="5">
        <v>0</v>
      </c>
      <c r="K2858" s="5">
        <v>0</v>
      </c>
      <c r="L2858" s="5">
        <v>0</v>
      </c>
      <c r="M2858" s="5">
        <v>0</v>
      </c>
      <c r="N2858" s="5">
        <v>0</v>
      </c>
      <c r="O2858" s="5" t="str">
        <f t="shared" ca="1" si="44"/>
        <v>Supplier 50</v>
      </c>
      <c r="P2858" s="20" t="str">
        <f ca="1">IFERROR(VLOOKUP(O2858,EMAILS!B:C,2,FALSE),"NOT FOUND IN EMAILS")</f>
        <v>supplier@gmail.com</v>
      </c>
      <c r="Q2858" t="str">
        <f ca="1">""&amp;IFERROR(VLOOKUP(O2858,EMAILS!B:D,3,FALSE),"NOT FOUND IN EMAILS")</f>
        <v/>
      </c>
      <c r="R2858" t="str">
        <f ca="1">""&amp;IFERROR(VLOOKUP(O2858,EMAILS!B:E,4,FALSE),"NO T FOUND IN EMAILS")</f>
        <v/>
      </c>
    </row>
    <row r="2859" spans="2:18" x14ac:dyDescent="0.25">
      <c r="B2859" s="5" t="s">
        <v>2861</v>
      </c>
      <c r="C2859" s="5" t="s">
        <v>7001</v>
      </c>
      <c r="D2859" s="5">
        <v>0</v>
      </c>
      <c r="E2859" s="5">
        <v>0</v>
      </c>
      <c r="F2859" s="5">
        <v>0</v>
      </c>
      <c r="G2859" s="5">
        <v>0</v>
      </c>
      <c r="H2859" s="5">
        <v>0</v>
      </c>
      <c r="I2859" s="5">
        <v>0</v>
      </c>
      <c r="J2859" s="5">
        <v>0</v>
      </c>
      <c r="K2859" s="5">
        <v>0</v>
      </c>
      <c r="L2859" s="5">
        <v>0</v>
      </c>
      <c r="M2859" s="5">
        <v>0</v>
      </c>
      <c r="N2859" s="5">
        <v>0</v>
      </c>
      <c r="O2859" s="5" t="str">
        <f t="shared" ca="1" si="44"/>
        <v>Supplier 90</v>
      </c>
      <c r="P2859" s="20" t="str">
        <f ca="1">IFERROR(VLOOKUP(O2859,EMAILS!B:C,2,FALSE),"NOT FOUND IN EMAILS")</f>
        <v>supplier@gmail.com</v>
      </c>
      <c r="Q2859" t="str">
        <f ca="1">""&amp;IFERROR(VLOOKUP(O2859,EMAILS!B:D,3,FALSE),"NOT FOUND IN EMAILS")</f>
        <v/>
      </c>
      <c r="R2859" t="str">
        <f ca="1">""&amp;IFERROR(VLOOKUP(O2859,EMAILS!B:E,4,FALSE),"NO T FOUND IN EMAILS")</f>
        <v/>
      </c>
    </row>
    <row r="2860" spans="2:18" x14ac:dyDescent="0.25">
      <c r="B2860" s="5" t="s">
        <v>2862</v>
      </c>
      <c r="C2860" s="5" t="s">
        <v>7002</v>
      </c>
      <c r="D2860" s="5">
        <v>0</v>
      </c>
      <c r="E2860" s="5">
        <v>0</v>
      </c>
      <c r="F2860" s="5">
        <v>0</v>
      </c>
      <c r="G2860" s="5">
        <v>0</v>
      </c>
      <c r="H2860" s="5">
        <v>0</v>
      </c>
      <c r="I2860" s="5">
        <v>0</v>
      </c>
      <c r="J2860" s="5">
        <v>0</v>
      </c>
      <c r="K2860" s="5">
        <v>0</v>
      </c>
      <c r="L2860" s="5">
        <v>0</v>
      </c>
      <c r="M2860" s="5">
        <v>0</v>
      </c>
      <c r="N2860" s="5">
        <v>0</v>
      </c>
      <c r="O2860" s="5" t="str">
        <f t="shared" ca="1" si="44"/>
        <v>Supplier 184</v>
      </c>
      <c r="P2860" s="20" t="str">
        <f ca="1">IFERROR(VLOOKUP(O2860,EMAILS!B:C,2,FALSE),"NOT FOUND IN EMAILS")</f>
        <v>supplier@gmail.com</v>
      </c>
      <c r="Q2860" t="str">
        <f ca="1">""&amp;IFERROR(VLOOKUP(O2860,EMAILS!B:D,3,FALSE),"NOT FOUND IN EMAILS")</f>
        <v/>
      </c>
      <c r="R2860" t="str">
        <f ca="1">""&amp;IFERROR(VLOOKUP(O2860,EMAILS!B:E,4,FALSE),"NO T FOUND IN EMAILS")</f>
        <v/>
      </c>
    </row>
    <row r="2861" spans="2:18" x14ac:dyDescent="0.25">
      <c r="B2861" s="5" t="s">
        <v>2863</v>
      </c>
      <c r="C2861" s="5" t="s">
        <v>7003</v>
      </c>
      <c r="D2861" s="5">
        <v>0</v>
      </c>
      <c r="E2861" s="5">
        <v>0</v>
      </c>
      <c r="F2861" s="5">
        <v>0</v>
      </c>
      <c r="G2861" s="5">
        <v>0</v>
      </c>
      <c r="H2861" s="5">
        <v>0</v>
      </c>
      <c r="I2861" s="5">
        <v>0</v>
      </c>
      <c r="J2861" s="5">
        <v>0</v>
      </c>
      <c r="K2861" s="5">
        <v>0</v>
      </c>
      <c r="L2861" s="5">
        <v>0</v>
      </c>
      <c r="M2861" s="5">
        <v>0</v>
      </c>
      <c r="N2861" s="5">
        <v>0</v>
      </c>
      <c r="O2861" s="5" t="str">
        <f t="shared" ca="1" si="44"/>
        <v>Supplier 161</v>
      </c>
      <c r="P2861" s="20" t="str">
        <f ca="1">IFERROR(VLOOKUP(O2861,EMAILS!B:C,2,FALSE),"NOT FOUND IN EMAILS")</f>
        <v>supplier@gmail.com</v>
      </c>
      <c r="Q2861" t="str">
        <f ca="1">""&amp;IFERROR(VLOOKUP(O2861,EMAILS!B:D,3,FALSE),"NOT FOUND IN EMAILS")</f>
        <v/>
      </c>
      <c r="R2861" t="str">
        <f ca="1">""&amp;IFERROR(VLOOKUP(O2861,EMAILS!B:E,4,FALSE),"NO T FOUND IN EMAILS")</f>
        <v/>
      </c>
    </row>
    <row r="2862" spans="2:18" x14ac:dyDescent="0.25">
      <c r="B2862" s="5" t="s">
        <v>2864</v>
      </c>
      <c r="C2862" s="5" t="s">
        <v>7004</v>
      </c>
      <c r="D2862" s="5">
        <v>0</v>
      </c>
      <c r="E2862" s="5">
        <v>0</v>
      </c>
      <c r="F2862" s="5">
        <v>0</v>
      </c>
      <c r="G2862" s="5">
        <v>0</v>
      </c>
      <c r="H2862" s="5">
        <v>0</v>
      </c>
      <c r="I2862" s="5">
        <v>0</v>
      </c>
      <c r="J2862" s="5">
        <v>0</v>
      </c>
      <c r="K2862" s="5">
        <v>0</v>
      </c>
      <c r="L2862" s="5">
        <v>0</v>
      </c>
      <c r="M2862" s="5">
        <v>0</v>
      </c>
      <c r="N2862" s="5">
        <v>100</v>
      </c>
      <c r="O2862" s="5" t="str">
        <f t="shared" ca="1" si="44"/>
        <v>Supplier 106</v>
      </c>
      <c r="P2862" s="20" t="str">
        <f ca="1">IFERROR(VLOOKUP(O2862,EMAILS!B:C,2,FALSE),"NOT FOUND IN EMAILS")</f>
        <v>supplier@gmail.com</v>
      </c>
      <c r="Q2862" t="str">
        <f ca="1">""&amp;IFERROR(VLOOKUP(O2862,EMAILS!B:D,3,FALSE),"NOT FOUND IN EMAILS")</f>
        <v/>
      </c>
      <c r="R2862" t="str">
        <f ca="1">""&amp;IFERROR(VLOOKUP(O2862,EMAILS!B:E,4,FALSE),"NO T FOUND IN EMAILS")</f>
        <v/>
      </c>
    </row>
    <row r="2863" spans="2:18" x14ac:dyDescent="0.25">
      <c r="B2863" s="5" t="s">
        <v>2865</v>
      </c>
      <c r="C2863" s="5" t="s">
        <v>7005</v>
      </c>
      <c r="D2863" s="5">
        <v>2</v>
      </c>
      <c r="E2863" s="5">
        <v>0</v>
      </c>
      <c r="F2863" s="5">
        <v>0</v>
      </c>
      <c r="G2863" s="5">
        <v>0</v>
      </c>
      <c r="H2863" s="5">
        <v>0</v>
      </c>
      <c r="I2863" s="5">
        <v>0</v>
      </c>
      <c r="J2863" s="5">
        <v>0</v>
      </c>
      <c r="K2863" s="5">
        <v>0</v>
      </c>
      <c r="L2863" s="5">
        <v>0</v>
      </c>
      <c r="M2863" s="5">
        <v>0</v>
      </c>
      <c r="N2863" s="5">
        <v>12</v>
      </c>
      <c r="O2863" s="5" t="str">
        <f t="shared" ca="1" si="44"/>
        <v>Supplier 50</v>
      </c>
      <c r="P2863" s="20" t="str">
        <f ca="1">IFERROR(VLOOKUP(O2863,EMAILS!B:C,2,FALSE),"NOT FOUND IN EMAILS")</f>
        <v>supplier@gmail.com</v>
      </c>
      <c r="Q2863" t="str">
        <f ca="1">""&amp;IFERROR(VLOOKUP(O2863,EMAILS!B:D,3,FALSE),"NOT FOUND IN EMAILS")</f>
        <v/>
      </c>
      <c r="R2863" t="str">
        <f ca="1">""&amp;IFERROR(VLOOKUP(O2863,EMAILS!B:E,4,FALSE),"NO T FOUND IN EMAILS")</f>
        <v/>
      </c>
    </row>
    <row r="2864" spans="2:18" x14ac:dyDescent="0.25">
      <c r="B2864" s="5" t="s">
        <v>2866</v>
      </c>
      <c r="C2864" s="5" t="s">
        <v>7006</v>
      </c>
      <c r="D2864" s="5">
        <v>1</v>
      </c>
      <c r="E2864" s="5">
        <v>0</v>
      </c>
      <c r="F2864" s="5">
        <v>0</v>
      </c>
      <c r="G2864" s="5">
        <v>0</v>
      </c>
      <c r="H2864" s="5">
        <v>0</v>
      </c>
      <c r="I2864" s="5">
        <v>0</v>
      </c>
      <c r="J2864" s="5">
        <v>0</v>
      </c>
      <c r="K2864" s="5">
        <v>0</v>
      </c>
      <c r="L2864" s="5">
        <v>0</v>
      </c>
      <c r="M2864" s="5">
        <v>0</v>
      </c>
      <c r="N2864" s="5">
        <v>100</v>
      </c>
      <c r="O2864" s="5" t="str">
        <f t="shared" ca="1" si="44"/>
        <v>Supplier 180</v>
      </c>
      <c r="P2864" s="20" t="str">
        <f ca="1">IFERROR(VLOOKUP(O2864,EMAILS!B:C,2,FALSE),"NOT FOUND IN EMAILS")</f>
        <v>supplier@gmail.com</v>
      </c>
      <c r="Q2864" t="str">
        <f ca="1">""&amp;IFERROR(VLOOKUP(O2864,EMAILS!B:D,3,FALSE),"NOT FOUND IN EMAILS")</f>
        <v/>
      </c>
      <c r="R2864" t="str">
        <f ca="1">""&amp;IFERROR(VLOOKUP(O2864,EMAILS!B:E,4,FALSE),"NO T FOUND IN EMAILS")</f>
        <v/>
      </c>
    </row>
    <row r="2865" spans="2:18" x14ac:dyDescent="0.25">
      <c r="B2865" s="5" t="s">
        <v>2867</v>
      </c>
      <c r="C2865" s="5" t="s">
        <v>7007</v>
      </c>
      <c r="D2865" s="5">
        <v>1</v>
      </c>
      <c r="E2865" s="5">
        <v>0</v>
      </c>
      <c r="F2865" s="5">
        <v>0</v>
      </c>
      <c r="G2865" s="5">
        <v>0</v>
      </c>
      <c r="H2865" s="5">
        <v>0</v>
      </c>
      <c r="I2865" s="5">
        <v>0</v>
      </c>
      <c r="J2865" s="5">
        <v>0</v>
      </c>
      <c r="K2865" s="5">
        <v>0</v>
      </c>
      <c r="L2865" s="5">
        <v>0</v>
      </c>
      <c r="M2865" s="5">
        <v>0</v>
      </c>
      <c r="N2865" s="5">
        <v>55</v>
      </c>
      <c r="O2865" s="5" t="str">
        <f t="shared" ca="1" si="44"/>
        <v>Supplier 167</v>
      </c>
      <c r="P2865" s="20" t="str">
        <f ca="1">IFERROR(VLOOKUP(O2865,EMAILS!B:C,2,FALSE),"NOT FOUND IN EMAILS")</f>
        <v>supplier@gmail.com</v>
      </c>
      <c r="Q2865" t="str">
        <f ca="1">""&amp;IFERROR(VLOOKUP(O2865,EMAILS!B:D,3,FALSE),"NOT FOUND IN EMAILS")</f>
        <v/>
      </c>
      <c r="R2865" t="str">
        <f ca="1">""&amp;IFERROR(VLOOKUP(O2865,EMAILS!B:E,4,FALSE),"NO T FOUND IN EMAILS")</f>
        <v/>
      </c>
    </row>
    <row r="2866" spans="2:18" x14ac:dyDescent="0.25">
      <c r="B2866" s="5" t="s">
        <v>2868</v>
      </c>
      <c r="C2866" s="5" t="s">
        <v>7008</v>
      </c>
      <c r="D2866" s="5">
        <v>1</v>
      </c>
      <c r="E2866" s="5">
        <v>0</v>
      </c>
      <c r="F2866" s="5">
        <v>0</v>
      </c>
      <c r="G2866" s="5">
        <v>0</v>
      </c>
      <c r="H2866" s="5">
        <v>0</v>
      </c>
      <c r="I2866" s="5">
        <v>0</v>
      </c>
      <c r="J2866" s="5">
        <v>0</v>
      </c>
      <c r="K2866" s="5">
        <v>0</v>
      </c>
      <c r="L2866" s="5">
        <v>0</v>
      </c>
      <c r="M2866" s="5">
        <v>0</v>
      </c>
      <c r="N2866" s="5">
        <v>0</v>
      </c>
      <c r="O2866" s="5" t="str">
        <f t="shared" ca="1" si="44"/>
        <v>Supplier 44</v>
      </c>
      <c r="P2866" s="20" t="str">
        <f ca="1">IFERROR(VLOOKUP(O2866,EMAILS!B:C,2,FALSE),"NOT FOUND IN EMAILS")</f>
        <v>supplier@gmail.com</v>
      </c>
      <c r="Q2866" t="str">
        <f ca="1">""&amp;IFERROR(VLOOKUP(O2866,EMAILS!B:D,3,FALSE),"NOT FOUND IN EMAILS")</f>
        <v/>
      </c>
      <c r="R2866" t="str">
        <f ca="1">""&amp;IFERROR(VLOOKUP(O2866,EMAILS!B:E,4,FALSE),"NO T FOUND IN EMAILS")</f>
        <v/>
      </c>
    </row>
    <row r="2867" spans="2:18" x14ac:dyDescent="0.25">
      <c r="B2867" s="5" t="s">
        <v>2869</v>
      </c>
      <c r="C2867" s="5" t="s">
        <v>7009</v>
      </c>
      <c r="D2867" s="5">
        <v>1</v>
      </c>
      <c r="E2867" s="5">
        <v>0</v>
      </c>
      <c r="F2867" s="5">
        <v>0</v>
      </c>
      <c r="G2867" s="5">
        <v>0</v>
      </c>
      <c r="H2867" s="5">
        <v>0</v>
      </c>
      <c r="I2867" s="5">
        <v>0</v>
      </c>
      <c r="J2867" s="5">
        <v>0</v>
      </c>
      <c r="K2867" s="5">
        <v>0</v>
      </c>
      <c r="L2867" s="5">
        <v>0</v>
      </c>
      <c r="M2867" s="5">
        <v>0</v>
      </c>
      <c r="N2867" s="5">
        <v>0</v>
      </c>
      <c r="O2867" s="5" t="str">
        <f t="shared" ca="1" si="44"/>
        <v>Supplier 173</v>
      </c>
      <c r="P2867" s="20" t="str">
        <f ca="1">IFERROR(VLOOKUP(O2867,EMAILS!B:C,2,FALSE),"NOT FOUND IN EMAILS")</f>
        <v>supplier@gmail.com</v>
      </c>
      <c r="Q2867" t="str">
        <f ca="1">""&amp;IFERROR(VLOOKUP(O2867,EMAILS!B:D,3,FALSE),"NOT FOUND IN EMAILS")</f>
        <v/>
      </c>
      <c r="R2867" t="str">
        <f ca="1">""&amp;IFERROR(VLOOKUP(O2867,EMAILS!B:E,4,FALSE),"NO T FOUND IN EMAILS")</f>
        <v/>
      </c>
    </row>
    <row r="2868" spans="2:18" x14ac:dyDescent="0.25">
      <c r="B2868" s="5" t="s">
        <v>2870</v>
      </c>
      <c r="C2868" s="5" t="s">
        <v>7010</v>
      </c>
      <c r="D2868" s="5">
        <v>1</v>
      </c>
      <c r="E2868" s="5">
        <v>0</v>
      </c>
      <c r="F2868" s="5">
        <v>0</v>
      </c>
      <c r="G2868" s="5">
        <v>0</v>
      </c>
      <c r="H2868" s="5">
        <v>0</v>
      </c>
      <c r="I2868" s="5">
        <v>0</v>
      </c>
      <c r="J2868" s="5">
        <v>0</v>
      </c>
      <c r="K2868" s="5">
        <v>0</v>
      </c>
      <c r="L2868" s="5">
        <v>0</v>
      </c>
      <c r="M2868" s="5">
        <v>0</v>
      </c>
      <c r="N2868" s="5">
        <v>132</v>
      </c>
      <c r="O2868" s="5" t="str">
        <f t="shared" ca="1" si="44"/>
        <v>Supplier 135</v>
      </c>
      <c r="P2868" s="20" t="str">
        <f ca="1">IFERROR(VLOOKUP(O2868,EMAILS!B:C,2,FALSE),"NOT FOUND IN EMAILS")</f>
        <v>supplier@gmail.com</v>
      </c>
      <c r="Q2868" t="str">
        <f ca="1">""&amp;IFERROR(VLOOKUP(O2868,EMAILS!B:D,3,FALSE),"NOT FOUND IN EMAILS")</f>
        <v/>
      </c>
      <c r="R2868" t="str">
        <f ca="1">""&amp;IFERROR(VLOOKUP(O2868,EMAILS!B:E,4,FALSE),"NO T FOUND IN EMAILS")</f>
        <v/>
      </c>
    </row>
    <row r="2869" spans="2:18" x14ac:dyDescent="0.25">
      <c r="B2869" s="5" t="s">
        <v>2871</v>
      </c>
      <c r="C2869" s="5" t="s">
        <v>7011</v>
      </c>
      <c r="D2869" s="5">
        <v>2.4</v>
      </c>
      <c r="E2869" s="5">
        <v>0</v>
      </c>
      <c r="F2869" s="5">
        <v>0</v>
      </c>
      <c r="G2869" s="5">
        <v>0</v>
      </c>
      <c r="H2869" s="5">
        <v>0</v>
      </c>
      <c r="I2869" s="5">
        <v>0</v>
      </c>
      <c r="J2869" s="5">
        <v>0</v>
      </c>
      <c r="K2869" s="5">
        <v>0</v>
      </c>
      <c r="L2869" s="5">
        <v>0</v>
      </c>
      <c r="M2869" s="5">
        <v>0</v>
      </c>
      <c r="N2869" s="5">
        <v>0</v>
      </c>
      <c r="O2869" s="5" t="str">
        <f t="shared" ca="1" si="44"/>
        <v>Supplier 131</v>
      </c>
      <c r="P2869" s="20" t="str">
        <f ca="1">IFERROR(VLOOKUP(O2869,EMAILS!B:C,2,FALSE),"NOT FOUND IN EMAILS")</f>
        <v>supplier@gmail.com</v>
      </c>
      <c r="Q2869" t="str">
        <f ca="1">""&amp;IFERROR(VLOOKUP(O2869,EMAILS!B:D,3,FALSE),"NOT FOUND IN EMAILS")</f>
        <v/>
      </c>
      <c r="R2869" t="str">
        <f ca="1">""&amp;IFERROR(VLOOKUP(O2869,EMAILS!B:E,4,FALSE),"NO T FOUND IN EMAILS")</f>
        <v/>
      </c>
    </row>
    <row r="2870" spans="2:18" x14ac:dyDescent="0.25">
      <c r="B2870" s="5" t="s">
        <v>2872</v>
      </c>
      <c r="C2870" s="5" t="s">
        <v>7012</v>
      </c>
      <c r="D2870" s="5">
        <v>3.2</v>
      </c>
      <c r="E2870" s="5">
        <v>0</v>
      </c>
      <c r="F2870" s="5">
        <v>0</v>
      </c>
      <c r="G2870" s="5">
        <v>0</v>
      </c>
      <c r="H2870" s="5">
        <v>0</v>
      </c>
      <c r="I2870" s="5">
        <v>0</v>
      </c>
      <c r="J2870" s="5">
        <v>0</v>
      </c>
      <c r="K2870" s="5">
        <v>0</v>
      </c>
      <c r="L2870" s="5">
        <v>0</v>
      </c>
      <c r="M2870" s="5">
        <v>0</v>
      </c>
      <c r="N2870" s="5">
        <v>0</v>
      </c>
      <c r="O2870" s="5" t="str">
        <f t="shared" ca="1" si="44"/>
        <v>Supplier 49</v>
      </c>
      <c r="P2870" s="20" t="str">
        <f ca="1">IFERROR(VLOOKUP(O2870,EMAILS!B:C,2,FALSE),"NOT FOUND IN EMAILS")</f>
        <v>supplier@gmail.com</v>
      </c>
      <c r="Q2870" t="str">
        <f ca="1">""&amp;IFERROR(VLOOKUP(O2870,EMAILS!B:D,3,FALSE),"NOT FOUND IN EMAILS")</f>
        <v/>
      </c>
      <c r="R2870" t="str">
        <f ca="1">""&amp;IFERROR(VLOOKUP(O2870,EMAILS!B:E,4,FALSE),"NO T FOUND IN EMAILS")</f>
        <v/>
      </c>
    </row>
    <row r="2871" spans="2:18" x14ac:dyDescent="0.25">
      <c r="B2871" s="5" t="s">
        <v>2873</v>
      </c>
      <c r="C2871" s="5" t="s">
        <v>7013</v>
      </c>
      <c r="D2871" s="5">
        <v>4</v>
      </c>
      <c r="E2871" s="5">
        <v>0</v>
      </c>
      <c r="F2871" s="5">
        <v>0</v>
      </c>
      <c r="G2871" s="5">
        <v>0</v>
      </c>
      <c r="H2871" s="5">
        <v>0</v>
      </c>
      <c r="I2871" s="5">
        <v>0</v>
      </c>
      <c r="J2871" s="5">
        <v>0</v>
      </c>
      <c r="K2871" s="5">
        <v>0</v>
      </c>
      <c r="L2871" s="5">
        <v>0</v>
      </c>
      <c r="M2871" s="5">
        <v>0</v>
      </c>
      <c r="N2871" s="5">
        <v>200</v>
      </c>
      <c r="O2871" s="5" t="str">
        <f t="shared" ca="1" si="44"/>
        <v>Supplier 122</v>
      </c>
      <c r="P2871" s="20" t="str">
        <f ca="1">IFERROR(VLOOKUP(O2871,EMAILS!B:C,2,FALSE),"NOT FOUND IN EMAILS")</f>
        <v>supplier@gmail.com</v>
      </c>
      <c r="Q2871" t="str">
        <f ca="1">""&amp;IFERROR(VLOOKUP(O2871,EMAILS!B:D,3,FALSE),"NOT FOUND IN EMAILS")</f>
        <v/>
      </c>
      <c r="R2871" t="str">
        <f ca="1">""&amp;IFERROR(VLOOKUP(O2871,EMAILS!B:E,4,FALSE),"NO T FOUND IN EMAILS")</f>
        <v/>
      </c>
    </row>
    <row r="2872" spans="2:18" x14ac:dyDescent="0.25">
      <c r="B2872" s="5" t="s">
        <v>2874</v>
      </c>
      <c r="C2872" s="5" t="s">
        <v>7014</v>
      </c>
      <c r="D2872" s="5">
        <v>2</v>
      </c>
      <c r="E2872" s="5">
        <v>0</v>
      </c>
      <c r="F2872" s="5">
        <v>0</v>
      </c>
      <c r="G2872" s="5">
        <v>0</v>
      </c>
      <c r="H2872" s="5">
        <v>0</v>
      </c>
      <c r="I2872" s="5">
        <v>0</v>
      </c>
      <c r="J2872" s="5">
        <v>0</v>
      </c>
      <c r="K2872" s="5">
        <v>0</v>
      </c>
      <c r="L2872" s="5">
        <v>0</v>
      </c>
      <c r="M2872" s="5">
        <v>0</v>
      </c>
      <c r="N2872" s="5">
        <v>10</v>
      </c>
      <c r="O2872" s="5" t="str">
        <f t="shared" ca="1" si="44"/>
        <v>Supplier 96</v>
      </c>
      <c r="P2872" s="20" t="str">
        <f ca="1">IFERROR(VLOOKUP(O2872,EMAILS!B:C,2,FALSE),"NOT FOUND IN EMAILS")</f>
        <v>supplier@gmail.com</v>
      </c>
      <c r="Q2872" t="str">
        <f ca="1">""&amp;IFERROR(VLOOKUP(O2872,EMAILS!B:D,3,FALSE),"NOT FOUND IN EMAILS")</f>
        <v/>
      </c>
      <c r="R2872" t="str">
        <f ca="1">""&amp;IFERROR(VLOOKUP(O2872,EMAILS!B:E,4,FALSE),"NO T FOUND IN EMAILS")</f>
        <v/>
      </c>
    </row>
    <row r="2873" spans="2:18" x14ac:dyDescent="0.25">
      <c r="B2873" s="5" t="s">
        <v>2875</v>
      </c>
      <c r="C2873" s="5" t="s">
        <v>7015</v>
      </c>
      <c r="D2873" s="5">
        <v>0</v>
      </c>
      <c r="E2873" s="5">
        <v>0</v>
      </c>
      <c r="F2873" s="5">
        <v>0</v>
      </c>
      <c r="G2873" s="5">
        <v>0</v>
      </c>
      <c r="H2873" s="5">
        <v>0</v>
      </c>
      <c r="I2873" s="5">
        <v>0</v>
      </c>
      <c r="J2873" s="5">
        <v>0</v>
      </c>
      <c r="K2873" s="5">
        <v>0</v>
      </c>
      <c r="L2873" s="5">
        <v>0</v>
      </c>
      <c r="M2873" s="5">
        <v>0</v>
      </c>
      <c r="N2873" s="5">
        <v>5</v>
      </c>
      <c r="O2873" s="5" t="str">
        <f t="shared" ca="1" si="44"/>
        <v>Supplier 154</v>
      </c>
      <c r="P2873" s="20" t="str">
        <f ca="1">IFERROR(VLOOKUP(O2873,EMAILS!B:C,2,FALSE),"NOT FOUND IN EMAILS")</f>
        <v>supplier@gmail.com</v>
      </c>
      <c r="Q2873" t="str">
        <f ca="1">""&amp;IFERROR(VLOOKUP(O2873,EMAILS!B:D,3,FALSE),"NOT FOUND IN EMAILS")</f>
        <v/>
      </c>
      <c r="R2873" t="str">
        <f ca="1">""&amp;IFERROR(VLOOKUP(O2873,EMAILS!B:E,4,FALSE),"NO T FOUND IN EMAILS")</f>
        <v/>
      </c>
    </row>
    <row r="2874" spans="2:18" x14ac:dyDescent="0.25">
      <c r="B2874" s="5" t="s">
        <v>2876</v>
      </c>
      <c r="C2874" s="5" t="s">
        <v>7016</v>
      </c>
      <c r="D2874" s="5">
        <v>0</v>
      </c>
      <c r="E2874" s="5">
        <v>0</v>
      </c>
      <c r="F2874" s="5">
        <v>0</v>
      </c>
      <c r="G2874" s="5">
        <v>0</v>
      </c>
      <c r="H2874" s="5">
        <v>0</v>
      </c>
      <c r="I2874" s="5">
        <v>0</v>
      </c>
      <c r="J2874" s="5">
        <v>0</v>
      </c>
      <c r="K2874" s="5">
        <v>0</v>
      </c>
      <c r="L2874" s="5">
        <v>0</v>
      </c>
      <c r="M2874" s="5">
        <v>0</v>
      </c>
      <c r="N2874" s="5">
        <v>5</v>
      </c>
      <c r="O2874" s="5" t="str">
        <f t="shared" ca="1" si="44"/>
        <v>Supplier 145</v>
      </c>
      <c r="P2874" s="20" t="str">
        <f ca="1">IFERROR(VLOOKUP(O2874,EMAILS!B:C,2,FALSE),"NOT FOUND IN EMAILS")</f>
        <v>supplier@gmail.com</v>
      </c>
      <c r="Q2874" t="str">
        <f ca="1">""&amp;IFERROR(VLOOKUP(O2874,EMAILS!B:D,3,FALSE),"NOT FOUND IN EMAILS")</f>
        <v/>
      </c>
      <c r="R2874" t="str">
        <f ca="1">""&amp;IFERROR(VLOOKUP(O2874,EMAILS!B:E,4,FALSE),"NO T FOUND IN EMAILS")</f>
        <v/>
      </c>
    </row>
    <row r="2875" spans="2:18" x14ac:dyDescent="0.25">
      <c r="B2875" s="5" t="s">
        <v>2877</v>
      </c>
      <c r="C2875" s="5" t="s">
        <v>7017</v>
      </c>
      <c r="D2875" s="5">
        <v>0</v>
      </c>
      <c r="E2875" s="5">
        <v>0</v>
      </c>
      <c r="F2875" s="5">
        <v>0</v>
      </c>
      <c r="G2875" s="5">
        <v>0</v>
      </c>
      <c r="H2875" s="5">
        <v>0</v>
      </c>
      <c r="I2875" s="5">
        <v>0</v>
      </c>
      <c r="J2875" s="5">
        <v>0</v>
      </c>
      <c r="K2875" s="5">
        <v>0</v>
      </c>
      <c r="L2875" s="5">
        <v>0</v>
      </c>
      <c r="M2875" s="5">
        <v>0</v>
      </c>
      <c r="N2875" s="5">
        <v>1000</v>
      </c>
      <c r="O2875" s="5" t="str">
        <f t="shared" ca="1" si="44"/>
        <v>Supplier 151</v>
      </c>
      <c r="P2875" s="20" t="str">
        <f ca="1">IFERROR(VLOOKUP(O2875,EMAILS!B:C,2,FALSE),"NOT FOUND IN EMAILS")</f>
        <v>supplier@gmail.com</v>
      </c>
      <c r="Q2875" t="str">
        <f ca="1">""&amp;IFERROR(VLOOKUP(O2875,EMAILS!B:D,3,FALSE),"NOT FOUND IN EMAILS")</f>
        <v/>
      </c>
      <c r="R2875" t="str">
        <f ca="1">""&amp;IFERROR(VLOOKUP(O2875,EMAILS!B:E,4,FALSE),"NO T FOUND IN EMAILS")</f>
        <v/>
      </c>
    </row>
    <row r="2876" spans="2:18" x14ac:dyDescent="0.25">
      <c r="B2876" s="5" t="s">
        <v>2878</v>
      </c>
      <c r="C2876" s="5" t="s">
        <v>7018</v>
      </c>
      <c r="D2876" s="5">
        <v>0</v>
      </c>
      <c r="E2876" s="5">
        <v>0</v>
      </c>
      <c r="F2876" s="5">
        <v>0</v>
      </c>
      <c r="G2876" s="5">
        <v>0</v>
      </c>
      <c r="H2876" s="5">
        <v>0</v>
      </c>
      <c r="I2876" s="5">
        <v>0</v>
      </c>
      <c r="J2876" s="5">
        <v>0</v>
      </c>
      <c r="K2876" s="5">
        <v>0</v>
      </c>
      <c r="L2876" s="5">
        <v>0</v>
      </c>
      <c r="M2876" s="5">
        <v>0</v>
      </c>
      <c r="N2876" s="5">
        <v>15</v>
      </c>
      <c r="O2876" s="5" t="str">
        <f t="shared" ca="1" si="44"/>
        <v>Supplier 46</v>
      </c>
      <c r="P2876" s="20" t="str">
        <f ca="1">IFERROR(VLOOKUP(O2876,EMAILS!B:C,2,FALSE),"NOT FOUND IN EMAILS")</f>
        <v>supplier@gmail.com</v>
      </c>
      <c r="Q2876" t="str">
        <f ca="1">""&amp;IFERROR(VLOOKUP(O2876,EMAILS!B:D,3,FALSE),"NOT FOUND IN EMAILS")</f>
        <v/>
      </c>
      <c r="R2876" t="str">
        <f ca="1">""&amp;IFERROR(VLOOKUP(O2876,EMAILS!B:E,4,FALSE),"NO T FOUND IN EMAILS")</f>
        <v/>
      </c>
    </row>
    <row r="2877" spans="2:18" x14ac:dyDescent="0.25">
      <c r="B2877" s="5" t="s">
        <v>2879</v>
      </c>
      <c r="C2877" s="5" t="s">
        <v>7019</v>
      </c>
      <c r="D2877" s="5">
        <v>36</v>
      </c>
      <c r="E2877" s="5">
        <v>36</v>
      </c>
      <c r="F2877" s="5">
        <v>22</v>
      </c>
      <c r="G2877" s="5">
        <v>64</v>
      </c>
      <c r="H2877" s="5">
        <v>33</v>
      </c>
      <c r="I2877" s="5">
        <v>29</v>
      </c>
      <c r="J2877" s="5">
        <v>25</v>
      </c>
      <c r="K2877" s="5">
        <v>20</v>
      </c>
      <c r="L2877" s="5">
        <v>24</v>
      </c>
      <c r="M2877" s="5">
        <v>0</v>
      </c>
      <c r="N2877" s="5">
        <v>2915</v>
      </c>
      <c r="O2877" s="5" t="str">
        <f t="shared" ca="1" si="44"/>
        <v>Supplier 151</v>
      </c>
      <c r="P2877" s="20" t="str">
        <f ca="1">IFERROR(VLOOKUP(O2877,EMAILS!B:C,2,FALSE),"NOT FOUND IN EMAILS")</f>
        <v>supplier@gmail.com</v>
      </c>
      <c r="Q2877" t="str">
        <f ca="1">""&amp;IFERROR(VLOOKUP(O2877,EMAILS!B:D,3,FALSE),"NOT FOUND IN EMAILS")</f>
        <v/>
      </c>
      <c r="R2877" t="str">
        <f ca="1">""&amp;IFERROR(VLOOKUP(O2877,EMAILS!B:E,4,FALSE),"NO T FOUND IN EMAILS")</f>
        <v/>
      </c>
    </row>
    <row r="2878" spans="2:18" x14ac:dyDescent="0.25">
      <c r="B2878" s="5" t="s">
        <v>2880</v>
      </c>
      <c r="C2878" s="5" t="s">
        <v>7020</v>
      </c>
      <c r="D2878" s="5">
        <v>0</v>
      </c>
      <c r="E2878" s="5">
        <v>0</v>
      </c>
      <c r="F2878" s="5">
        <v>0</v>
      </c>
      <c r="G2878" s="5">
        <v>0</v>
      </c>
      <c r="H2878" s="5">
        <v>0</v>
      </c>
      <c r="I2878" s="5">
        <v>0</v>
      </c>
      <c r="J2878" s="5">
        <v>0</v>
      </c>
      <c r="K2878" s="5">
        <v>0</v>
      </c>
      <c r="L2878" s="5">
        <v>0</v>
      </c>
      <c r="M2878" s="5">
        <v>0</v>
      </c>
      <c r="N2878" s="5">
        <v>310</v>
      </c>
      <c r="O2878" s="5" t="str">
        <f t="shared" ca="1" si="44"/>
        <v>Supplier 72</v>
      </c>
      <c r="P2878" s="20" t="str">
        <f ca="1">IFERROR(VLOOKUP(O2878,EMAILS!B:C,2,FALSE),"NOT FOUND IN EMAILS")</f>
        <v>supplier@gmail.com</v>
      </c>
      <c r="Q2878" t="str">
        <f ca="1">""&amp;IFERROR(VLOOKUP(O2878,EMAILS!B:D,3,FALSE),"NOT FOUND IN EMAILS")</f>
        <v/>
      </c>
      <c r="R2878" t="str">
        <f ca="1">""&amp;IFERROR(VLOOKUP(O2878,EMAILS!B:E,4,FALSE),"NO T FOUND IN EMAILS")</f>
        <v/>
      </c>
    </row>
    <row r="2879" spans="2:18" x14ac:dyDescent="0.25">
      <c r="B2879" s="5" t="s">
        <v>2881</v>
      </c>
      <c r="C2879" s="5" t="s">
        <v>7021</v>
      </c>
      <c r="D2879" s="5">
        <v>400</v>
      </c>
      <c r="E2879" s="5">
        <v>0</v>
      </c>
      <c r="F2879" s="5">
        <v>280</v>
      </c>
      <c r="G2879" s="5">
        <v>0</v>
      </c>
      <c r="H2879" s="5">
        <v>0</v>
      </c>
      <c r="I2879" s="5">
        <v>2</v>
      </c>
      <c r="J2879" s="5">
        <v>50</v>
      </c>
      <c r="K2879" s="5">
        <v>0</v>
      </c>
      <c r="L2879" s="5">
        <v>0</v>
      </c>
      <c r="M2879" s="5">
        <v>0</v>
      </c>
      <c r="N2879" s="5">
        <v>529</v>
      </c>
      <c r="O2879" s="5" t="str">
        <f t="shared" ca="1" si="44"/>
        <v>Supplier 108</v>
      </c>
      <c r="P2879" s="20" t="str">
        <f ca="1">IFERROR(VLOOKUP(O2879,EMAILS!B:C,2,FALSE),"NOT FOUND IN EMAILS")</f>
        <v>supplier@gmail.com</v>
      </c>
      <c r="Q2879" t="str">
        <f ca="1">""&amp;IFERROR(VLOOKUP(O2879,EMAILS!B:D,3,FALSE),"NOT FOUND IN EMAILS")</f>
        <v/>
      </c>
      <c r="R2879" t="str">
        <f ca="1">""&amp;IFERROR(VLOOKUP(O2879,EMAILS!B:E,4,FALSE),"NO T FOUND IN EMAILS")</f>
        <v/>
      </c>
    </row>
    <row r="2880" spans="2:18" x14ac:dyDescent="0.25">
      <c r="B2880" s="5" t="s">
        <v>2882</v>
      </c>
      <c r="C2880" s="5" t="s">
        <v>7022</v>
      </c>
      <c r="D2880" s="5">
        <v>8</v>
      </c>
      <c r="E2880" s="5">
        <v>0</v>
      </c>
      <c r="F2880" s="5">
        <v>148</v>
      </c>
      <c r="G2880" s="5">
        <v>30</v>
      </c>
      <c r="H2880" s="5">
        <v>24</v>
      </c>
      <c r="I2880" s="5">
        <v>0</v>
      </c>
      <c r="J2880" s="5">
        <v>16</v>
      </c>
      <c r="K2880" s="5">
        <v>40</v>
      </c>
      <c r="L2880" s="5">
        <v>0</v>
      </c>
      <c r="M2880" s="5">
        <v>0</v>
      </c>
      <c r="N2880" s="5">
        <v>285</v>
      </c>
      <c r="O2880" s="5" t="str">
        <f t="shared" ca="1" si="44"/>
        <v>Supplier 51</v>
      </c>
      <c r="P2880" s="20" t="str">
        <f ca="1">IFERROR(VLOOKUP(O2880,EMAILS!B:C,2,FALSE),"NOT FOUND IN EMAILS")</f>
        <v>supplier@gmail.com</v>
      </c>
      <c r="Q2880" t="str">
        <f ca="1">""&amp;IFERROR(VLOOKUP(O2880,EMAILS!B:D,3,FALSE),"NOT FOUND IN EMAILS")</f>
        <v/>
      </c>
      <c r="R2880" t="str">
        <f ca="1">""&amp;IFERROR(VLOOKUP(O2880,EMAILS!B:E,4,FALSE),"NO T FOUND IN EMAILS")</f>
        <v/>
      </c>
    </row>
    <row r="2881" spans="2:18" x14ac:dyDescent="0.25">
      <c r="B2881" s="5" t="s">
        <v>2883</v>
      </c>
      <c r="C2881" s="5" t="s">
        <v>7023</v>
      </c>
      <c r="D2881" s="5">
        <v>0</v>
      </c>
      <c r="E2881" s="5">
        <v>0</v>
      </c>
      <c r="F2881" s="5">
        <v>36</v>
      </c>
      <c r="G2881" s="5">
        <v>74</v>
      </c>
      <c r="H2881" s="5">
        <v>0</v>
      </c>
      <c r="I2881" s="5">
        <v>0</v>
      </c>
      <c r="J2881" s="5">
        <v>0</v>
      </c>
      <c r="K2881" s="5">
        <v>78</v>
      </c>
      <c r="L2881" s="5">
        <v>0</v>
      </c>
      <c r="M2881" s="5">
        <v>0</v>
      </c>
      <c r="N2881" s="5">
        <v>26</v>
      </c>
      <c r="O2881" s="5" t="str">
        <f t="shared" ca="1" si="44"/>
        <v>Supplier 141</v>
      </c>
      <c r="P2881" s="20" t="str">
        <f ca="1">IFERROR(VLOOKUP(O2881,EMAILS!B:C,2,FALSE),"NOT FOUND IN EMAILS")</f>
        <v>supplier@gmail.com</v>
      </c>
      <c r="Q2881" t="str">
        <f ca="1">""&amp;IFERROR(VLOOKUP(O2881,EMAILS!B:D,3,FALSE),"NOT FOUND IN EMAILS")</f>
        <v/>
      </c>
      <c r="R2881" t="str">
        <f ca="1">""&amp;IFERROR(VLOOKUP(O2881,EMAILS!B:E,4,FALSE),"NO T FOUND IN EMAILS")</f>
        <v/>
      </c>
    </row>
    <row r="2882" spans="2:18" x14ac:dyDescent="0.25">
      <c r="B2882" s="5" t="s">
        <v>2884</v>
      </c>
      <c r="C2882" s="5" t="s">
        <v>7024</v>
      </c>
      <c r="D2882" s="5">
        <v>0</v>
      </c>
      <c r="E2882" s="5">
        <v>0</v>
      </c>
      <c r="F2882" s="5">
        <v>0</v>
      </c>
      <c r="G2882" s="5">
        <v>3</v>
      </c>
      <c r="H2882" s="5">
        <v>0</v>
      </c>
      <c r="I2882" s="5">
        <v>0</v>
      </c>
      <c r="J2882" s="5">
        <v>0</v>
      </c>
      <c r="K2882" s="5">
        <v>4</v>
      </c>
      <c r="L2882" s="5">
        <v>0</v>
      </c>
      <c r="M2882" s="5">
        <v>0</v>
      </c>
      <c r="N2882" s="5">
        <v>2003</v>
      </c>
      <c r="O2882" s="5" t="str">
        <f t="shared" ca="1" si="44"/>
        <v>Supplier 95</v>
      </c>
      <c r="P2882" s="20" t="str">
        <f ca="1">IFERROR(VLOOKUP(O2882,EMAILS!B:C,2,FALSE),"NOT FOUND IN EMAILS")</f>
        <v>supplier@gmail.com</v>
      </c>
      <c r="Q2882" t="str">
        <f ca="1">""&amp;IFERROR(VLOOKUP(O2882,EMAILS!B:D,3,FALSE),"NOT FOUND IN EMAILS")</f>
        <v/>
      </c>
      <c r="R2882" t="str">
        <f ca="1">""&amp;IFERROR(VLOOKUP(O2882,EMAILS!B:E,4,FALSE),"NO T FOUND IN EMAILS")</f>
        <v/>
      </c>
    </row>
    <row r="2883" spans="2:18" x14ac:dyDescent="0.25">
      <c r="B2883" s="5" t="s">
        <v>2885</v>
      </c>
      <c r="C2883" s="5" t="s">
        <v>7025</v>
      </c>
      <c r="D2883" s="5">
        <v>0</v>
      </c>
      <c r="E2883" s="5">
        <v>0</v>
      </c>
      <c r="F2883" s="5">
        <v>0</v>
      </c>
      <c r="G2883" s="5">
        <v>12</v>
      </c>
      <c r="H2883" s="5">
        <v>0</v>
      </c>
      <c r="I2883" s="5">
        <v>0</v>
      </c>
      <c r="J2883" s="5">
        <v>0</v>
      </c>
      <c r="K2883" s="5">
        <v>0</v>
      </c>
      <c r="L2883" s="5">
        <v>0</v>
      </c>
      <c r="M2883" s="5">
        <v>0</v>
      </c>
      <c r="N2883" s="5">
        <v>2802</v>
      </c>
      <c r="O2883" s="5" t="str">
        <f t="shared" ref="O2883:O2946" ca="1" si="45">"Supplier "&amp;RANDBETWEEN(1,200)</f>
        <v>Supplier 123</v>
      </c>
      <c r="P2883" s="20" t="str">
        <f ca="1">IFERROR(VLOOKUP(O2883,EMAILS!B:C,2,FALSE),"NOT FOUND IN EMAILS")</f>
        <v>supplier@gmail.com</v>
      </c>
      <c r="Q2883" t="str">
        <f ca="1">""&amp;IFERROR(VLOOKUP(O2883,EMAILS!B:D,3,FALSE),"NOT FOUND IN EMAILS")</f>
        <v/>
      </c>
      <c r="R2883" t="str">
        <f ca="1">""&amp;IFERROR(VLOOKUP(O2883,EMAILS!B:E,4,FALSE),"NO T FOUND IN EMAILS")</f>
        <v/>
      </c>
    </row>
    <row r="2884" spans="2:18" x14ac:dyDescent="0.25">
      <c r="B2884" s="5" t="s">
        <v>2886</v>
      </c>
      <c r="C2884" s="5" t="s">
        <v>7026</v>
      </c>
      <c r="D2884" s="5">
        <v>0</v>
      </c>
      <c r="E2884" s="5">
        <v>0</v>
      </c>
      <c r="F2884" s="5">
        <v>0</v>
      </c>
      <c r="G2884" s="5">
        <v>0</v>
      </c>
      <c r="H2884" s="5">
        <v>0</v>
      </c>
      <c r="I2884" s="5">
        <v>0</v>
      </c>
      <c r="J2884" s="5">
        <v>0</v>
      </c>
      <c r="K2884" s="5">
        <v>0</v>
      </c>
      <c r="L2884" s="5">
        <v>0</v>
      </c>
      <c r="M2884" s="5">
        <v>0</v>
      </c>
      <c r="N2884" s="5">
        <v>64</v>
      </c>
      <c r="O2884" s="5" t="str">
        <f t="shared" ca="1" si="45"/>
        <v>Supplier 132</v>
      </c>
      <c r="P2884" s="20" t="str">
        <f ca="1">IFERROR(VLOOKUP(O2884,EMAILS!B:C,2,FALSE),"NOT FOUND IN EMAILS")</f>
        <v>supplier@gmail.com</v>
      </c>
      <c r="Q2884" t="str">
        <f ca="1">""&amp;IFERROR(VLOOKUP(O2884,EMAILS!B:D,3,FALSE),"NOT FOUND IN EMAILS")</f>
        <v/>
      </c>
      <c r="R2884" t="str">
        <f ca="1">""&amp;IFERROR(VLOOKUP(O2884,EMAILS!B:E,4,FALSE),"NO T FOUND IN EMAILS")</f>
        <v/>
      </c>
    </row>
    <row r="2885" spans="2:18" x14ac:dyDescent="0.25">
      <c r="B2885" s="5" t="s">
        <v>2887</v>
      </c>
      <c r="C2885" s="5" t="s">
        <v>7027</v>
      </c>
      <c r="D2885" s="5">
        <v>0</v>
      </c>
      <c r="E2885" s="5">
        <v>0</v>
      </c>
      <c r="F2885" s="5">
        <v>0</v>
      </c>
      <c r="G2885" s="5">
        <v>0</v>
      </c>
      <c r="H2885" s="5">
        <v>0</v>
      </c>
      <c r="I2885" s="5">
        <v>0</v>
      </c>
      <c r="J2885" s="5">
        <v>0</v>
      </c>
      <c r="K2885" s="5">
        <v>24</v>
      </c>
      <c r="L2885" s="5">
        <v>0</v>
      </c>
      <c r="M2885" s="5">
        <v>0</v>
      </c>
      <c r="N2885" s="5">
        <v>735</v>
      </c>
      <c r="O2885" s="5" t="str">
        <f t="shared" ca="1" si="45"/>
        <v>Supplier 137</v>
      </c>
      <c r="P2885" s="20" t="str">
        <f ca="1">IFERROR(VLOOKUP(O2885,EMAILS!B:C,2,FALSE),"NOT FOUND IN EMAILS")</f>
        <v>supplier@gmail.com</v>
      </c>
      <c r="Q2885" t="str">
        <f ca="1">""&amp;IFERROR(VLOOKUP(O2885,EMAILS!B:D,3,FALSE),"NOT FOUND IN EMAILS")</f>
        <v/>
      </c>
      <c r="R2885" t="str">
        <f ca="1">""&amp;IFERROR(VLOOKUP(O2885,EMAILS!B:E,4,FALSE),"NO T FOUND IN EMAILS")</f>
        <v/>
      </c>
    </row>
    <row r="2886" spans="2:18" x14ac:dyDescent="0.25">
      <c r="B2886" s="5" t="s">
        <v>2888</v>
      </c>
      <c r="C2886" s="5" t="s">
        <v>7028</v>
      </c>
      <c r="D2886" s="5">
        <v>106</v>
      </c>
      <c r="E2886" s="5">
        <v>21</v>
      </c>
      <c r="F2886" s="5">
        <v>330</v>
      </c>
      <c r="G2886" s="5">
        <v>77</v>
      </c>
      <c r="H2886" s="5">
        <v>60</v>
      </c>
      <c r="I2886" s="5">
        <v>261</v>
      </c>
      <c r="J2886" s="5">
        <v>6</v>
      </c>
      <c r="K2886" s="5">
        <v>14</v>
      </c>
      <c r="L2886" s="5">
        <v>201</v>
      </c>
      <c r="M2886" s="5">
        <v>0</v>
      </c>
      <c r="N2886" s="5">
        <v>1038</v>
      </c>
      <c r="O2886" s="5" t="str">
        <f t="shared" ca="1" si="45"/>
        <v>Supplier 78</v>
      </c>
      <c r="P2886" s="20" t="str">
        <f ca="1">IFERROR(VLOOKUP(O2886,EMAILS!B:C,2,FALSE),"NOT FOUND IN EMAILS")</f>
        <v>supplier@gmail.com</v>
      </c>
      <c r="Q2886" t="str">
        <f ca="1">""&amp;IFERROR(VLOOKUP(O2886,EMAILS!B:D,3,FALSE),"NOT FOUND IN EMAILS")</f>
        <v/>
      </c>
      <c r="R2886" t="str">
        <f ca="1">""&amp;IFERROR(VLOOKUP(O2886,EMAILS!B:E,4,FALSE),"NO T FOUND IN EMAILS")</f>
        <v/>
      </c>
    </row>
    <row r="2887" spans="2:18" x14ac:dyDescent="0.25">
      <c r="B2887" s="5" t="s">
        <v>2889</v>
      </c>
      <c r="C2887" s="5" t="s">
        <v>7029</v>
      </c>
      <c r="D2887" s="5">
        <v>20</v>
      </c>
      <c r="E2887" s="5">
        <v>58</v>
      </c>
      <c r="F2887" s="5">
        <v>20</v>
      </c>
      <c r="G2887" s="5">
        <v>20</v>
      </c>
      <c r="H2887" s="5">
        <v>22</v>
      </c>
      <c r="I2887" s="5">
        <v>22</v>
      </c>
      <c r="J2887" s="5">
        <v>22</v>
      </c>
      <c r="K2887" s="5">
        <v>20</v>
      </c>
      <c r="L2887" s="5">
        <v>20</v>
      </c>
      <c r="M2887" s="5">
        <v>0</v>
      </c>
      <c r="N2887" s="5">
        <v>154</v>
      </c>
      <c r="O2887" s="5" t="str">
        <f t="shared" ca="1" si="45"/>
        <v>Supplier 43</v>
      </c>
      <c r="P2887" s="20" t="str">
        <f ca="1">IFERROR(VLOOKUP(O2887,EMAILS!B:C,2,FALSE),"NOT FOUND IN EMAILS")</f>
        <v>supplier@gmail.com</v>
      </c>
      <c r="Q2887" t="str">
        <f ca="1">""&amp;IFERROR(VLOOKUP(O2887,EMAILS!B:D,3,FALSE),"NOT FOUND IN EMAILS")</f>
        <v/>
      </c>
      <c r="R2887" t="str">
        <f ca="1">""&amp;IFERROR(VLOOKUP(O2887,EMAILS!B:E,4,FALSE),"NO T FOUND IN EMAILS")</f>
        <v/>
      </c>
    </row>
    <row r="2888" spans="2:18" x14ac:dyDescent="0.25">
      <c r="B2888" s="5" t="s">
        <v>2890</v>
      </c>
      <c r="C2888" s="5" t="s">
        <v>7030</v>
      </c>
      <c r="D2888" s="5">
        <v>32</v>
      </c>
      <c r="E2888" s="5">
        <v>32</v>
      </c>
      <c r="F2888" s="5">
        <v>25</v>
      </c>
      <c r="G2888" s="5">
        <v>46</v>
      </c>
      <c r="H2888" s="5">
        <v>31</v>
      </c>
      <c r="I2888" s="5">
        <v>29</v>
      </c>
      <c r="J2888" s="5">
        <v>27</v>
      </c>
      <c r="K2888" s="5">
        <v>24</v>
      </c>
      <c r="L2888" s="5">
        <v>26</v>
      </c>
      <c r="M2888" s="5">
        <v>0</v>
      </c>
      <c r="N2888" s="5">
        <v>95</v>
      </c>
      <c r="O2888" s="5" t="str">
        <f t="shared" ca="1" si="45"/>
        <v>Supplier 56</v>
      </c>
      <c r="P2888" s="20" t="str">
        <f ca="1">IFERROR(VLOOKUP(O2888,EMAILS!B:C,2,FALSE),"NOT FOUND IN EMAILS")</f>
        <v>supplier@gmail.com</v>
      </c>
      <c r="Q2888" t="str">
        <f ca="1">""&amp;IFERROR(VLOOKUP(O2888,EMAILS!B:D,3,FALSE),"NOT FOUND IN EMAILS")</f>
        <v/>
      </c>
      <c r="R2888" t="str">
        <f ca="1">""&amp;IFERROR(VLOOKUP(O2888,EMAILS!B:E,4,FALSE),"NO T FOUND IN EMAILS")</f>
        <v/>
      </c>
    </row>
    <row r="2889" spans="2:18" x14ac:dyDescent="0.25">
      <c r="B2889" s="5" t="s">
        <v>2891</v>
      </c>
      <c r="C2889" s="5" t="s">
        <v>7031</v>
      </c>
      <c r="D2889" s="5">
        <v>0</v>
      </c>
      <c r="E2889" s="5">
        <v>0</v>
      </c>
      <c r="F2889" s="5">
        <v>0</v>
      </c>
      <c r="G2889" s="5">
        <v>0</v>
      </c>
      <c r="H2889" s="5">
        <v>0</v>
      </c>
      <c r="I2889" s="5">
        <v>0</v>
      </c>
      <c r="J2889" s="5">
        <v>0</v>
      </c>
      <c r="K2889" s="5">
        <v>0</v>
      </c>
      <c r="L2889" s="5">
        <v>0</v>
      </c>
      <c r="M2889" s="5">
        <v>0</v>
      </c>
      <c r="N2889" s="5">
        <v>0</v>
      </c>
      <c r="O2889" s="5" t="str">
        <f t="shared" ca="1" si="45"/>
        <v>Supplier 63</v>
      </c>
      <c r="P2889" s="20" t="str">
        <f ca="1">IFERROR(VLOOKUP(O2889,EMAILS!B:C,2,FALSE),"NOT FOUND IN EMAILS")</f>
        <v>supplier@gmail.com</v>
      </c>
      <c r="Q2889" t="str">
        <f ca="1">""&amp;IFERROR(VLOOKUP(O2889,EMAILS!B:D,3,FALSE),"NOT FOUND IN EMAILS")</f>
        <v/>
      </c>
      <c r="R2889" t="str">
        <f ca="1">""&amp;IFERROR(VLOOKUP(O2889,EMAILS!B:E,4,FALSE),"NO T FOUND IN EMAILS")</f>
        <v/>
      </c>
    </row>
    <row r="2890" spans="2:18" x14ac:dyDescent="0.25">
      <c r="B2890" s="5" t="s">
        <v>2892</v>
      </c>
      <c r="C2890" s="5" t="s">
        <v>7032</v>
      </c>
      <c r="D2890" s="5">
        <v>0</v>
      </c>
      <c r="E2890" s="5">
        <v>0</v>
      </c>
      <c r="F2890" s="5">
        <v>0</v>
      </c>
      <c r="G2890" s="5">
        <v>0</v>
      </c>
      <c r="H2890" s="5">
        <v>0</v>
      </c>
      <c r="I2890" s="5">
        <v>0</v>
      </c>
      <c r="J2890" s="5">
        <v>0</v>
      </c>
      <c r="K2890" s="5">
        <v>0</v>
      </c>
      <c r="L2890" s="5">
        <v>0</v>
      </c>
      <c r="M2890" s="5">
        <v>0</v>
      </c>
      <c r="N2890" s="5">
        <v>143</v>
      </c>
      <c r="O2890" s="5" t="str">
        <f t="shared" ca="1" si="45"/>
        <v>Supplier 148</v>
      </c>
      <c r="P2890" s="20" t="str">
        <f ca="1">IFERROR(VLOOKUP(O2890,EMAILS!B:C,2,FALSE),"NOT FOUND IN EMAILS")</f>
        <v>supplier@gmail.com</v>
      </c>
      <c r="Q2890" t="str">
        <f ca="1">""&amp;IFERROR(VLOOKUP(O2890,EMAILS!B:D,3,FALSE),"NOT FOUND IN EMAILS")</f>
        <v/>
      </c>
      <c r="R2890" t="str">
        <f ca="1">""&amp;IFERROR(VLOOKUP(O2890,EMAILS!B:E,4,FALSE),"NO T FOUND IN EMAILS")</f>
        <v/>
      </c>
    </row>
    <row r="2891" spans="2:18" x14ac:dyDescent="0.25">
      <c r="B2891" s="5" t="s">
        <v>2893</v>
      </c>
      <c r="C2891" s="5" t="s">
        <v>7033</v>
      </c>
      <c r="D2891" s="5">
        <v>0</v>
      </c>
      <c r="E2891" s="5">
        <v>0</v>
      </c>
      <c r="F2891" s="5">
        <v>0</v>
      </c>
      <c r="G2891" s="5">
        <v>0</v>
      </c>
      <c r="H2891" s="5">
        <v>0</v>
      </c>
      <c r="I2891" s="5">
        <v>0</v>
      </c>
      <c r="J2891" s="5">
        <v>0</v>
      </c>
      <c r="K2891" s="5">
        <v>0</v>
      </c>
      <c r="L2891" s="5">
        <v>0</v>
      </c>
      <c r="M2891" s="5">
        <v>0</v>
      </c>
      <c r="N2891" s="5">
        <v>50</v>
      </c>
      <c r="O2891" s="5" t="str">
        <f t="shared" ca="1" si="45"/>
        <v>Supplier 10</v>
      </c>
      <c r="P2891" s="20" t="str">
        <f ca="1">IFERROR(VLOOKUP(O2891,EMAILS!B:C,2,FALSE),"NOT FOUND IN EMAILS")</f>
        <v>supplier@gmail.com</v>
      </c>
      <c r="Q2891" t="str">
        <f ca="1">""&amp;IFERROR(VLOOKUP(O2891,EMAILS!B:D,3,FALSE),"NOT FOUND IN EMAILS")</f>
        <v>supplier_logistics@gmail.com</v>
      </c>
      <c r="R2891" t="str">
        <f ca="1">""&amp;IFERROR(VLOOKUP(O2891,EMAILS!B:E,4,FALSE),"NO T FOUND IN EMAILS")</f>
        <v/>
      </c>
    </row>
    <row r="2892" spans="2:18" x14ac:dyDescent="0.25">
      <c r="B2892" s="5" t="s">
        <v>2894</v>
      </c>
      <c r="C2892" s="5" t="s">
        <v>7034</v>
      </c>
      <c r="D2892" s="5">
        <v>0</v>
      </c>
      <c r="E2892" s="5">
        <v>0</v>
      </c>
      <c r="F2892" s="5">
        <v>4</v>
      </c>
      <c r="G2892" s="5">
        <v>0</v>
      </c>
      <c r="H2892" s="5">
        <v>0</v>
      </c>
      <c r="I2892" s="5">
        <v>0</v>
      </c>
      <c r="J2892" s="5">
        <v>0</v>
      </c>
      <c r="K2892" s="5">
        <v>0</v>
      </c>
      <c r="L2892" s="5">
        <v>0</v>
      </c>
      <c r="M2892" s="5">
        <v>0</v>
      </c>
      <c r="N2892" s="5">
        <v>0</v>
      </c>
      <c r="O2892" s="5" t="str">
        <f t="shared" ca="1" si="45"/>
        <v>Supplier 88</v>
      </c>
      <c r="P2892" s="20" t="str">
        <f ca="1">IFERROR(VLOOKUP(O2892,EMAILS!B:C,2,FALSE),"NOT FOUND IN EMAILS")</f>
        <v>supplier@gmail.com</v>
      </c>
      <c r="Q2892" t="str">
        <f ca="1">""&amp;IFERROR(VLOOKUP(O2892,EMAILS!B:D,3,FALSE),"NOT FOUND IN EMAILS")</f>
        <v/>
      </c>
      <c r="R2892" t="str">
        <f ca="1">""&amp;IFERROR(VLOOKUP(O2892,EMAILS!B:E,4,FALSE),"NO T FOUND IN EMAILS")</f>
        <v/>
      </c>
    </row>
    <row r="2893" spans="2:18" x14ac:dyDescent="0.25">
      <c r="B2893" s="5" t="s">
        <v>2895</v>
      </c>
      <c r="C2893" s="5" t="s">
        <v>7035</v>
      </c>
      <c r="D2893" s="5">
        <v>0</v>
      </c>
      <c r="E2893" s="5">
        <v>0</v>
      </c>
      <c r="F2893" s="5">
        <v>4</v>
      </c>
      <c r="G2893" s="5">
        <v>0</v>
      </c>
      <c r="H2893" s="5">
        <v>0</v>
      </c>
      <c r="I2893" s="5">
        <v>0</v>
      </c>
      <c r="J2893" s="5">
        <v>0</v>
      </c>
      <c r="K2893" s="5">
        <v>0</v>
      </c>
      <c r="L2893" s="5">
        <v>0</v>
      </c>
      <c r="M2893" s="5">
        <v>0</v>
      </c>
      <c r="N2893" s="5">
        <v>3500</v>
      </c>
      <c r="O2893" s="5" t="str">
        <f t="shared" ca="1" si="45"/>
        <v>Supplier 160</v>
      </c>
      <c r="P2893" s="20" t="str">
        <f ca="1">IFERROR(VLOOKUP(O2893,EMAILS!B:C,2,FALSE),"NOT FOUND IN EMAILS")</f>
        <v>supplier@gmail.com</v>
      </c>
      <c r="Q2893" t="str">
        <f ca="1">""&amp;IFERROR(VLOOKUP(O2893,EMAILS!B:D,3,FALSE),"NOT FOUND IN EMAILS")</f>
        <v/>
      </c>
      <c r="R2893" t="str">
        <f ca="1">""&amp;IFERROR(VLOOKUP(O2893,EMAILS!B:E,4,FALSE),"NO T FOUND IN EMAILS")</f>
        <v/>
      </c>
    </row>
    <row r="2894" spans="2:18" x14ac:dyDescent="0.25">
      <c r="B2894" s="5" t="s">
        <v>2896</v>
      </c>
      <c r="C2894" s="5" t="s">
        <v>7036</v>
      </c>
      <c r="D2894" s="5">
        <v>135</v>
      </c>
      <c r="E2894" s="5">
        <v>95</v>
      </c>
      <c r="F2894" s="5">
        <v>165</v>
      </c>
      <c r="G2894" s="5">
        <v>180</v>
      </c>
      <c r="H2894" s="5">
        <v>150</v>
      </c>
      <c r="I2894" s="5">
        <v>150</v>
      </c>
      <c r="J2894" s="5">
        <v>180</v>
      </c>
      <c r="K2894" s="5">
        <v>170</v>
      </c>
      <c r="L2894" s="5">
        <v>165</v>
      </c>
      <c r="M2894" s="5">
        <v>0</v>
      </c>
      <c r="N2894" s="5">
        <v>1750</v>
      </c>
      <c r="O2894" s="5" t="str">
        <f t="shared" ca="1" si="45"/>
        <v>Supplier 135</v>
      </c>
      <c r="P2894" s="20" t="str">
        <f ca="1">IFERROR(VLOOKUP(O2894,EMAILS!B:C,2,FALSE),"NOT FOUND IN EMAILS")</f>
        <v>supplier@gmail.com</v>
      </c>
      <c r="Q2894" t="str">
        <f ca="1">""&amp;IFERROR(VLOOKUP(O2894,EMAILS!B:D,3,FALSE),"NOT FOUND IN EMAILS")</f>
        <v/>
      </c>
      <c r="R2894" t="str">
        <f ca="1">""&amp;IFERROR(VLOOKUP(O2894,EMAILS!B:E,4,FALSE),"NO T FOUND IN EMAILS")</f>
        <v/>
      </c>
    </row>
    <row r="2895" spans="2:18" x14ac:dyDescent="0.25">
      <c r="B2895" s="5" t="s">
        <v>2897</v>
      </c>
      <c r="C2895" s="5" t="s">
        <v>7037</v>
      </c>
      <c r="D2895" s="5">
        <v>540</v>
      </c>
      <c r="E2895" s="5">
        <v>504</v>
      </c>
      <c r="F2895" s="5">
        <v>576</v>
      </c>
      <c r="G2895" s="5">
        <v>468</v>
      </c>
      <c r="H2895" s="5">
        <v>558</v>
      </c>
      <c r="I2895" s="5">
        <v>504</v>
      </c>
      <c r="J2895" s="5">
        <v>468</v>
      </c>
      <c r="K2895" s="5">
        <v>396</v>
      </c>
      <c r="L2895" s="5">
        <v>324</v>
      </c>
      <c r="M2895" s="5">
        <v>0</v>
      </c>
      <c r="N2895" s="5">
        <v>2400</v>
      </c>
      <c r="O2895" s="5" t="str">
        <f t="shared" ca="1" si="45"/>
        <v>Supplier 108</v>
      </c>
      <c r="P2895" s="20" t="str">
        <f ca="1">IFERROR(VLOOKUP(O2895,EMAILS!B:C,2,FALSE),"NOT FOUND IN EMAILS")</f>
        <v>supplier@gmail.com</v>
      </c>
      <c r="Q2895" t="str">
        <f ca="1">""&amp;IFERROR(VLOOKUP(O2895,EMAILS!B:D,3,FALSE),"NOT FOUND IN EMAILS")</f>
        <v/>
      </c>
      <c r="R2895" t="str">
        <f ca="1">""&amp;IFERROR(VLOOKUP(O2895,EMAILS!B:E,4,FALSE),"NO T FOUND IN EMAILS")</f>
        <v/>
      </c>
    </row>
    <row r="2896" spans="2:18" x14ac:dyDescent="0.25">
      <c r="B2896" s="5" t="s">
        <v>2898</v>
      </c>
      <c r="C2896" s="5" t="s">
        <v>7038</v>
      </c>
      <c r="D2896" s="5">
        <v>0</v>
      </c>
      <c r="E2896" s="5">
        <v>0</v>
      </c>
      <c r="F2896" s="5">
        <v>0</v>
      </c>
      <c r="G2896" s="5">
        <v>0</v>
      </c>
      <c r="H2896" s="5">
        <v>0</v>
      </c>
      <c r="I2896" s="5">
        <v>0</v>
      </c>
      <c r="J2896" s="5">
        <v>0</v>
      </c>
      <c r="K2896" s="5">
        <v>0</v>
      </c>
      <c r="L2896" s="5">
        <v>0</v>
      </c>
      <c r="M2896" s="5">
        <v>0</v>
      </c>
      <c r="N2896" s="5">
        <v>200</v>
      </c>
      <c r="O2896" s="5" t="str">
        <f t="shared" ca="1" si="45"/>
        <v>Supplier 123</v>
      </c>
      <c r="P2896" s="20" t="str">
        <f ca="1">IFERROR(VLOOKUP(O2896,EMAILS!B:C,2,FALSE),"NOT FOUND IN EMAILS")</f>
        <v>supplier@gmail.com</v>
      </c>
      <c r="Q2896" t="str">
        <f ca="1">""&amp;IFERROR(VLOOKUP(O2896,EMAILS!B:D,3,FALSE),"NOT FOUND IN EMAILS")</f>
        <v/>
      </c>
      <c r="R2896" t="str">
        <f ca="1">""&amp;IFERROR(VLOOKUP(O2896,EMAILS!B:E,4,FALSE),"NO T FOUND IN EMAILS")</f>
        <v/>
      </c>
    </row>
    <row r="2897" spans="2:18" x14ac:dyDescent="0.25">
      <c r="B2897" s="5" t="s">
        <v>2899</v>
      </c>
      <c r="C2897" s="5" t="s">
        <v>7039</v>
      </c>
      <c r="D2897" s="5">
        <v>102</v>
      </c>
      <c r="E2897" s="5">
        <v>102</v>
      </c>
      <c r="F2897" s="5">
        <v>102</v>
      </c>
      <c r="G2897" s="5">
        <v>102</v>
      </c>
      <c r="H2897" s="5">
        <v>102</v>
      </c>
      <c r="I2897" s="5">
        <v>102</v>
      </c>
      <c r="J2897" s="5">
        <v>102</v>
      </c>
      <c r="K2897" s="5">
        <v>102</v>
      </c>
      <c r="L2897" s="5">
        <v>102</v>
      </c>
      <c r="M2897" s="5">
        <v>0</v>
      </c>
      <c r="N2897" s="5">
        <v>101</v>
      </c>
      <c r="O2897" s="5" t="str">
        <f t="shared" ca="1" si="45"/>
        <v>Supplier 147</v>
      </c>
      <c r="P2897" s="20" t="str">
        <f ca="1">IFERROR(VLOOKUP(O2897,EMAILS!B:C,2,FALSE),"NOT FOUND IN EMAILS")</f>
        <v>supplier@gmail.com</v>
      </c>
      <c r="Q2897" t="str">
        <f ca="1">""&amp;IFERROR(VLOOKUP(O2897,EMAILS!B:D,3,FALSE),"NOT FOUND IN EMAILS")</f>
        <v/>
      </c>
      <c r="R2897" t="str">
        <f ca="1">""&amp;IFERROR(VLOOKUP(O2897,EMAILS!B:E,4,FALSE),"NO T FOUND IN EMAILS")</f>
        <v/>
      </c>
    </row>
    <row r="2898" spans="2:18" x14ac:dyDescent="0.25">
      <c r="B2898" s="5" t="s">
        <v>2900</v>
      </c>
      <c r="C2898" s="5" t="s">
        <v>7040</v>
      </c>
      <c r="D2898" s="5">
        <v>16</v>
      </c>
      <c r="E2898" s="5">
        <v>16</v>
      </c>
      <c r="F2898" s="5">
        <v>16</v>
      </c>
      <c r="G2898" s="5">
        <v>16</v>
      </c>
      <c r="H2898" s="5">
        <v>16</v>
      </c>
      <c r="I2898" s="5">
        <v>16</v>
      </c>
      <c r="J2898" s="5">
        <v>16</v>
      </c>
      <c r="K2898" s="5">
        <v>16</v>
      </c>
      <c r="L2898" s="5">
        <v>16</v>
      </c>
      <c r="M2898" s="5">
        <v>0</v>
      </c>
      <c r="N2898" s="5">
        <v>0</v>
      </c>
      <c r="O2898" s="5" t="str">
        <f t="shared" ca="1" si="45"/>
        <v>Supplier 24</v>
      </c>
      <c r="P2898" s="20" t="str">
        <f ca="1">IFERROR(VLOOKUP(O2898,EMAILS!B:C,2,FALSE),"NOT FOUND IN EMAILS")</f>
        <v>supplier@gmail.com</v>
      </c>
      <c r="Q2898" t="str">
        <f ca="1">""&amp;IFERROR(VLOOKUP(O2898,EMAILS!B:D,3,FALSE),"NOT FOUND IN EMAILS")</f>
        <v/>
      </c>
      <c r="R2898" t="str">
        <f ca="1">""&amp;IFERROR(VLOOKUP(O2898,EMAILS!B:E,4,FALSE),"NO T FOUND IN EMAILS")</f>
        <v/>
      </c>
    </row>
    <row r="2899" spans="2:18" x14ac:dyDescent="0.25">
      <c r="B2899" s="5" t="s">
        <v>2901</v>
      </c>
      <c r="C2899" s="5" t="s">
        <v>7041</v>
      </c>
      <c r="D2899" s="5">
        <v>0</v>
      </c>
      <c r="E2899" s="5">
        <v>0</v>
      </c>
      <c r="F2899" s="5">
        <v>0</v>
      </c>
      <c r="G2899" s="5">
        <v>0</v>
      </c>
      <c r="H2899" s="5">
        <v>0</v>
      </c>
      <c r="I2899" s="5">
        <v>0</v>
      </c>
      <c r="J2899" s="5">
        <v>0</v>
      </c>
      <c r="K2899" s="5">
        <v>0</v>
      </c>
      <c r="L2899" s="5">
        <v>0</v>
      </c>
      <c r="M2899" s="5">
        <v>0</v>
      </c>
      <c r="N2899" s="5">
        <v>10</v>
      </c>
      <c r="O2899" s="5" t="str">
        <f t="shared" ca="1" si="45"/>
        <v>Supplier 111</v>
      </c>
      <c r="P2899" s="20" t="str">
        <f ca="1">IFERROR(VLOOKUP(O2899,EMAILS!B:C,2,FALSE),"NOT FOUND IN EMAILS")</f>
        <v>supplier@gmail.com</v>
      </c>
      <c r="Q2899" t="str">
        <f ca="1">""&amp;IFERROR(VLOOKUP(O2899,EMAILS!B:D,3,FALSE),"NOT FOUND IN EMAILS")</f>
        <v/>
      </c>
      <c r="R2899" t="str">
        <f ca="1">""&amp;IFERROR(VLOOKUP(O2899,EMAILS!B:E,4,FALSE),"NO T FOUND IN EMAILS")</f>
        <v/>
      </c>
    </row>
    <row r="2900" spans="2:18" x14ac:dyDescent="0.25">
      <c r="B2900" s="5" t="s">
        <v>2902</v>
      </c>
      <c r="C2900" s="5" t="s">
        <v>7042</v>
      </c>
      <c r="D2900" s="5">
        <v>0.04</v>
      </c>
      <c r="E2900" s="5">
        <v>0</v>
      </c>
      <c r="F2900" s="5">
        <v>0.52</v>
      </c>
      <c r="G2900" s="5">
        <v>0.16</v>
      </c>
      <c r="H2900" s="5">
        <v>0.12</v>
      </c>
      <c r="I2900" s="5">
        <v>0</v>
      </c>
      <c r="J2900" s="5">
        <v>0.08</v>
      </c>
      <c r="K2900" s="5">
        <v>0.2</v>
      </c>
      <c r="L2900" s="5">
        <v>0</v>
      </c>
      <c r="M2900" s="5">
        <v>0</v>
      </c>
      <c r="N2900" s="5">
        <v>0</v>
      </c>
      <c r="O2900" s="5" t="str">
        <f t="shared" ca="1" si="45"/>
        <v>Supplier 80</v>
      </c>
      <c r="P2900" s="20" t="str">
        <f ca="1">IFERROR(VLOOKUP(O2900,EMAILS!B:C,2,FALSE),"NOT FOUND IN EMAILS")</f>
        <v>supplier@gmail.com</v>
      </c>
      <c r="Q2900" t="str">
        <f ca="1">""&amp;IFERROR(VLOOKUP(O2900,EMAILS!B:D,3,FALSE),"NOT FOUND IN EMAILS")</f>
        <v/>
      </c>
      <c r="R2900" t="str">
        <f ca="1">""&amp;IFERROR(VLOOKUP(O2900,EMAILS!B:E,4,FALSE),"NO T FOUND IN EMAILS")</f>
        <v/>
      </c>
    </row>
    <row r="2901" spans="2:18" x14ac:dyDescent="0.25">
      <c r="B2901" s="5" t="s">
        <v>2903</v>
      </c>
      <c r="C2901" s="5" t="s">
        <v>7043</v>
      </c>
      <c r="D2901" s="5">
        <v>366</v>
      </c>
      <c r="E2901" s="5">
        <v>366</v>
      </c>
      <c r="F2901" s="5">
        <v>366</v>
      </c>
      <c r="G2901" s="5">
        <v>366</v>
      </c>
      <c r="H2901" s="5">
        <v>366</v>
      </c>
      <c r="I2901" s="5">
        <v>366</v>
      </c>
      <c r="J2901" s="5">
        <v>366</v>
      </c>
      <c r="K2901" s="5">
        <v>366</v>
      </c>
      <c r="L2901" s="5">
        <v>366</v>
      </c>
      <c r="M2901" s="5">
        <v>0</v>
      </c>
      <c r="N2901" s="5">
        <v>0</v>
      </c>
      <c r="O2901" s="5" t="str">
        <f t="shared" ca="1" si="45"/>
        <v>Supplier 32</v>
      </c>
      <c r="P2901" s="20" t="str">
        <f ca="1">IFERROR(VLOOKUP(O2901,EMAILS!B:C,2,FALSE),"NOT FOUND IN EMAILS")</f>
        <v>supplier@gmail.com</v>
      </c>
      <c r="Q2901" t="str">
        <f ca="1">""&amp;IFERROR(VLOOKUP(O2901,EMAILS!B:D,3,FALSE),"NOT FOUND IN EMAILS")</f>
        <v/>
      </c>
      <c r="R2901" t="str">
        <f ca="1">""&amp;IFERROR(VLOOKUP(O2901,EMAILS!B:E,4,FALSE),"NO T FOUND IN EMAILS")</f>
        <v/>
      </c>
    </row>
    <row r="2902" spans="2:18" x14ac:dyDescent="0.25">
      <c r="B2902" s="5" t="s">
        <v>2904</v>
      </c>
      <c r="C2902" s="5" t="s">
        <v>7044</v>
      </c>
      <c r="D2902" s="5">
        <v>0</v>
      </c>
      <c r="E2902" s="5">
        <v>0</v>
      </c>
      <c r="F2902" s="5">
        <v>0</v>
      </c>
      <c r="G2902" s="5">
        <v>0</v>
      </c>
      <c r="H2902" s="5">
        <v>0</v>
      </c>
      <c r="I2902" s="5">
        <v>0</v>
      </c>
      <c r="J2902" s="5">
        <v>0</v>
      </c>
      <c r="K2902" s="5">
        <v>0</v>
      </c>
      <c r="L2902" s="5">
        <v>0</v>
      </c>
      <c r="M2902" s="5">
        <v>0</v>
      </c>
      <c r="N2902" s="5">
        <v>0</v>
      </c>
      <c r="O2902" s="5" t="str">
        <f t="shared" ca="1" si="45"/>
        <v>Supplier 7</v>
      </c>
      <c r="P2902" s="20" t="str">
        <f ca="1">IFERROR(VLOOKUP(O2902,EMAILS!B:C,2,FALSE),"NOT FOUND IN EMAILS")</f>
        <v>supplier@gmail.com</v>
      </c>
      <c r="Q2902" t="str">
        <f ca="1">""&amp;IFERROR(VLOOKUP(O2902,EMAILS!B:D,3,FALSE),"NOT FOUND IN EMAILS")</f>
        <v>supplier_logistics@gmail.com</v>
      </c>
      <c r="R2902" t="str">
        <f ca="1">""&amp;IFERROR(VLOOKUP(O2902,EMAILS!B:E,4,FALSE),"NO T FOUND IN EMAILS")</f>
        <v/>
      </c>
    </row>
    <row r="2903" spans="2:18" x14ac:dyDescent="0.25">
      <c r="B2903" s="5" t="s">
        <v>2905</v>
      </c>
      <c r="C2903" s="5" t="s">
        <v>7045</v>
      </c>
      <c r="D2903" s="5">
        <v>0</v>
      </c>
      <c r="E2903" s="5">
        <v>0</v>
      </c>
      <c r="F2903" s="5">
        <v>0</v>
      </c>
      <c r="G2903" s="5">
        <v>0</v>
      </c>
      <c r="H2903" s="5">
        <v>0</v>
      </c>
      <c r="I2903" s="5">
        <v>0</v>
      </c>
      <c r="J2903" s="5">
        <v>0</v>
      </c>
      <c r="K2903" s="5">
        <v>0</v>
      </c>
      <c r="L2903" s="5">
        <v>0</v>
      </c>
      <c r="M2903" s="5">
        <v>0</v>
      </c>
      <c r="N2903" s="5">
        <v>100</v>
      </c>
      <c r="O2903" s="5" t="str">
        <f t="shared" ca="1" si="45"/>
        <v>Supplier 17</v>
      </c>
      <c r="P2903" s="20" t="str">
        <f ca="1">IFERROR(VLOOKUP(O2903,EMAILS!B:C,2,FALSE),"NOT FOUND IN EMAILS")</f>
        <v>supplier@gmail.com</v>
      </c>
      <c r="Q2903" t="str">
        <f ca="1">""&amp;IFERROR(VLOOKUP(O2903,EMAILS!B:D,3,FALSE),"NOT FOUND IN EMAILS")</f>
        <v>supplier_logistics@gmail.com</v>
      </c>
      <c r="R2903" t="str">
        <f ca="1">""&amp;IFERROR(VLOOKUP(O2903,EMAILS!B:E,4,FALSE),"NO T FOUND IN EMAILS")</f>
        <v/>
      </c>
    </row>
    <row r="2904" spans="2:18" x14ac:dyDescent="0.25">
      <c r="B2904" s="5" t="s">
        <v>2906</v>
      </c>
      <c r="C2904" s="5" t="s">
        <v>7046</v>
      </c>
      <c r="D2904" s="5">
        <v>91</v>
      </c>
      <c r="E2904" s="5">
        <v>35</v>
      </c>
      <c r="F2904" s="5">
        <v>53</v>
      </c>
      <c r="G2904" s="5">
        <v>53</v>
      </c>
      <c r="H2904" s="5">
        <v>53</v>
      </c>
      <c r="I2904" s="5">
        <v>403</v>
      </c>
      <c r="J2904" s="5">
        <v>53</v>
      </c>
      <c r="K2904" s="5">
        <v>203</v>
      </c>
      <c r="L2904" s="5">
        <v>253</v>
      </c>
      <c r="M2904" s="5">
        <v>0</v>
      </c>
      <c r="N2904" s="5">
        <v>47</v>
      </c>
      <c r="O2904" s="5" t="str">
        <f t="shared" ca="1" si="45"/>
        <v>Supplier 118</v>
      </c>
      <c r="P2904" s="20" t="str">
        <f ca="1">IFERROR(VLOOKUP(O2904,EMAILS!B:C,2,FALSE),"NOT FOUND IN EMAILS")</f>
        <v>supplier@gmail.com</v>
      </c>
      <c r="Q2904" t="str">
        <f ca="1">""&amp;IFERROR(VLOOKUP(O2904,EMAILS!B:D,3,FALSE),"NOT FOUND IN EMAILS")</f>
        <v/>
      </c>
      <c r="R2904" t="str">
        <f ca="1">""&amp;IFERROR(VLOOKUP(O2904,EMAILS!B:E,4,FALSE),"NO T FOUND IN EMAILS")</f>
        <v/>
      </c>
    </row>
    <row r="2905" spans="2:18" x14ac:dyDescent="0.25">
      <c r="B2905" s="5" t="s">
        <v>2907</v>
      </c>
      <c r="C2905" s="5" t="s">
        <v>7047</v>
      </c>
      <c r="D2905" s="5">
        <v>0</v>
      </c>
      <c r="E2905" s="5">
        <v>0</v>
      </c>
      <c r="F2905" s="5">
        <v>0</v>
      </c>
      <c r="G2905" s="5">
        <v>0</v>
      </c>
      <c r="H2905" s="5">
        <v>0</v>
      </c>
      <c r="I2905" s="5">
        <v>0</v>
      </c>
      <c r="J2905" s="5">
        <v>0</v>
      </c>
      <c r="K2905" s="5">
        <v>0</v>
      </c>
      <c r="L2905" s="5">
        <v>0</v>
      </c>
      <c r="M2905" s="5">
        <v>0</v>
      </c>
      <c r="N2905" s="5">
        <v>94</v>
      </c>
      <c r="O2905" s="5" t="str">
        <f t="shared" ca="1" si="45"/>
        <v>Supplier 17</v>
      </c>
      <c r="P2905" s="20" t="str">
        <f ca="1">IFERROR(VLOOKUP(O2905,EMAILS!B:C,2,FALSE),"NOT FOUND IN EMAILS")</f>
        <v>supplier@gmail.com</v>
      </c>
      <c r="Q2905" t="str">
        <f ca="1">""&amp;IFERROR(VLOOKUP(O2905,EMAILS!B:D,3,FALSE),"NOT FOUND IN EMAILS")</f>
        <v>supplier_logistics@gmail.com</v>
      </c>
      <c r="R2905" t="str">
        <f ca="1">""&amp;IFERROR(VLOOKUP(O2905,EMAILS!B:E,4,FALSE),"NO T FOUND IN EMAILS")</f>
        <v/>
      </c>
    </row>
    <row r="2906" spans="2:18" x14ac:dyDescent="0.25">
      <c r="B2906" s="5" t="s">
        <v>2908</v>
      </c>
      <c r="C2906" s="5" t="s">
        <v>7048</v>
      </c>
      <c r="D2906" s="5">
        <v>5</v>
      </c>
      <c r="E2906" s="5">
        <v>0</v>
      </c>
      <c r="F2906" s="5">
        <v>2</v>
      </c>
      <c r="G2906" s="5">
        <v>6</v>
      </c>
      <c r="H2906" s="5">
        <v>0</v>
      </c>
      <c r="I2906" s="5">
        <v>0</v>
      </c>
      <c r="J2906" s="5">
        <v>0</v>
      </c>
      <c r="K2906" s="5">
        <v>0</v>
      </c>
      <c r="L2906" s="5">
        <v>2</v>
      </c>
      <c r="M2906" s="5">
        <v>0</v>
      </c>
      <c r="N2906" s="5">
        <v>20</v>
      </c>
      <c r="O2906" s="5" t="str">
        <f t="shared" ca="1" si="45"/>
        <v>Supplier 79</v>
      </c>
      <c r="P2906" s="20" t="str">
        <f ca="1">IFERROR(VLOOKUP(O2906,EMAILS!B:C,2,FALSE),"NOT FOUND IN EMAILS")</f>
        <v>supplier@gmail.com</v>
      </c>
      <c r="Q2906" t="str">
        <f ca="1">""&amp;IFERROR(VLOOKUP(O2906,EMAILS!B:D,3,FALSE),"NOT FOUND IN EMAILS")</f>
        <v/>
      </c>
      <c r="R2906" t="str">
        <f ca="1">""&amp;IFERROR(VLOOKUP(O2906,EMAILS!B:E,4,FALSE),"NO T FOUND IN EMAILS")</f>
        <v/>
      </c>
    </row>
    <row r="2907" spans="2:18" x14ac:dyDescent="0.25">
      <c r="B2907" s="5" t="s">
        <v>2909</v>
      </c>
      <c r="C2907" s="5" t="s">
        <v>7049</v>
      </c>
      <c r="D2907" s="5">
        <v>20</v>
      </c>
      <c r="E2907" s="5">
        <v>0</v>
      </c>
      <c r="F2907" s="5">
        <v>0</v>
      </c>
      <c r="G2907" s="5">
        <v>0</v>
      </c>
      <c r="H2907" s="5">
        <v>0</v>
      </c>
      <c r="I2907" s="5">
        <v>0</v>
      </c>
      <c r="J2907" s="5">
        <v>0</v>
      </c>
      <c r="K2907" s="5">
        <v>0</v>
      </c>
      <c r="L2907" s="5">
        <v>20</v>
      </c>
      <c r="M2907" s="5">
        <v>0</v>
      </c>
      <c r="N2907" s="5">
        <v>0</v>
      </c>
      <c r="O2907" s="5" t="str">
        <f t="shared" ca="1" si="45"/>
        <v>Supplier 28</v>
      </c>
      <c r="P2907" s="20" t="str">
        <f ca="1">IFERROR(VLOOKUP(O2907,EMAILS!B:C,2,FALSE),"NOT FOUND IN EMAILS")</f>
        <v>supplier@gmail.com</v>
      </c>
      <c r="Q2907" t="str">
        <f ca="1">""&amp;IFERROR(VLOOKUP(O2907,EMAILS!B:D,3,FALSE),"NOT FOUND IN EMAILS")</f>
        <v/>
      </c>
      <c r="R2907" t="str">
        <f ca="1">""&amp;IFERROR(VLOOKUP(O2907,EMAILS!B:E,4,FALSE),"NO T FOUND IN EMAILS")</f>
        <v/>
      </c>
    </row>
    <row r="2908" spans="2:18" x14ac:dyDescent="0.25">
      <c r="B2908" s="5" t="s">
        <v>2910</v>
      </c>
      <c r="C2908" s="5" t="s">
        <v>7050</v>
      </c>
      <c r="D2908" s="5">
        <v>0</v>
      </c>
      <c r="E2908" s="5">
        <v>0</v>
      </c>
      <c r="F2908" s="5">
        <v>0</v>
      </c>
      <c r="G2908" s="5">
        <v>0</v>
      </c>
      <c r="H2908" s="5">
        <v>0</v>
      </c>
      <c r="I2908" s="5">
        <v>0</v>
      </c>
      <c r="J2908" s="5">
        <v>0</v>
      </c>
      <c r="K2908" s="5">
        <v>0</v>
      </c>
      <c r="L2908" s="5">
        <v>0</v>
      </c>
      <c r="M2908" s="5">
        <v>0</v>
      </c>
      <c r="N2908" s="5">
        <v>0</v>
      </c>
      <c r="O2908" s="5" t="str">
        <f t="shared" ca="1" si="45"/>
        <v>Supplier 141</v>
      </c>
      <c r="P2908" s="20" t="str">
        <f ca="1">IFERROR(VLOOKUP(O2908,EMAILS!B:C,2,FALSE),"NOT FOUND IN EMAILS")</f>
        <v>supplier@gmail.com</v>
      </c>
      <c r="Q2908" t="str">
        <f ca="1">""&amp;IFERROR(VLOOKUP(O2908,EMAILS!B:D,3,FALSE),"NOT FOUND IN EMAILS")</f>
        <v/>
      </c>
      <c r="R2908" t="str">
        <f ca="1">""&amp;IFERROR(VLOOKUP(O2908,EMAILS!B:E,4,FALSE),"NO T FOUND IN EMAILS")</f>
        <v/>
      </c>
    </row>
    <row r="2909" spans="2:18" x14ac:dyDescent="0.25">
      <c r="B2909" s="5" t="s">
        <v>2911</v>
      </c>
      <c r="C2909" s="5" t="s">
        <v>7051</v>
      </c>
      <c r="D2909" s="5">
        <v>0</v>
      </c>
      <c r="E2909" s="5">
        <v>0</v>
      </c>
      <c r="F2909" s="5">
        <v>0</v>
      </c>
      <c r="G2909" s="5">
        <v>0</v>
      </c>
      <c r="H2909" s="5">
        <v>0</v>
      </c>
      <c r="I2909" s="5">
        <v>0</v>
      </c>
      <c r="J2909" s="5">
        <v>0</v>
      </c>
      <c r="K2909" s="5">
        <v>0</v>
      </c>
      <c r="L2909" s="5">
        <v>0</v>
      </c>
      <c r="M2909" s="5">
        <v>0</v>
      </c>
      <c r="N2909" s="5">
        <v>205</v>
      </c>
      <c r="O2909" s="5" t="str">
        <f t="shared" ca="1" si="45"/>
        <v>Supplier 69</v>
      </c>
      <c r="P2909" s="20" t="str">
        <f ca="1">IFERROR(VLOOKUP(O2909,EMAILS!B:C,2,FALSE),"NOT FOUND IN EMAILS")</f>
        <v>supplier@gmail.com</v>
      </c>
      <c r="Q2909" t="str">
        <f ca="1">""&amp;IFERROR(VLOOKUP(O2909,EMAILS!B:D,3,FALSE),"NOT FOUND IN EMAILS")</f>
        <v/>
      </c>
      <c r="R2909" t="str">
        <f ca="1">""&amp;IFERROR(VLOOKUP(O2909,EMAILS!B:E,4,FALSE),"NO T FOUND IN EMAILS")</f>
        <v/>
      </c>
    </row>
    <row r="2910" spans="2:18" x14ac:dyDescent="0.25">
      <c r="B2910" s="5" t="s">
        <v>2912</v>
      </c>
      <c r="C2910" s="5" t="s">
        <v>7052</v>
      </c>
      <c r="D2910" s="5">
        <v>10</v>
      </c>
      <c r="E2910" s="5">
        <v>20</v>
      </c>
      <c r="F2910" s="5">
        <v>30</v>
      </c>
      <c r="G2910" s="5">
        <v>0</v>
      </c>
      <c r="H2910" s="5">
        <v>0</v>
      </c>
      <c r="I2910" s="5">
        <v>0</v>
      </c>
      <c r="J2910" s="5">
        <v>0</v>
      </c>
      <c r="K2910" s="5">
        <v>0</v>
      </c>
      <c r="L2910" s="5">
        <v>50</v>
      </c>
      <c r="M2910" s="5">
        <v>0</v>
      </c>
      <c r="N2910" s="5">
        <v>390</v>
      </c>
      <c r="O2910" s="5" t="str">
        <f t="shared" ca="1" si="45"/>
        <v>Supplier 4</v>
      </c>
      <c r="P2910" s="20" t="str">
        <f ca="1">IFERROR(VLOOKUP(O2910,EMAILS!B:C,2,FALSE),"NOT FOUND IN EMAILS")</f>
        <v>supplier@gmail.com</v>
      </c>
      <c r="Q2910" t="str">
        <f ca="1">""&amp;IFERROR(VLOOKUP(O2910,EMAILS!B:D,3,FALSE),"NOT FOUND IN EMAILS")</f>
        <v>supplier_logistics@gmail.com</v>
      </c>
      <c r="R2910" t="str">
        <f ca="1">""&amp;IFERROR(VLOOKUP(O2910,EMAILS!B:E,4,FALSE),"NO T FOUND IN EMAILS")</f>
        <v/>
      </c>
    </row>
    <row r="2911" spans="2:18" x14ac:dyDescent="0.25">
      <c r="B2911" s="5" t="s">
        <v>2913</v>
      </c>
      <c r="C2911" s="5" t="s">
        <v>7053</v>
      </c>
      <c r="D2911" s="5">
        <v>200</v>
      </c>
      <c r="E2911" s="5">
        <v>20</v>
      </c>
      <c r="F2911" s="5">
        <v>120</v>
      </c>
      <c r="G2911" s="5">
        <v>80</v>
      </c>
      <c r="H2911" s="5">
        <v>360</v>
      </c>
      <c r="I2911" s="5">
        <v>80</v>
      </c>
      <c r="J2911" s="5">
        <v>40</v>
      </c>
      <c r="K2911" s="5">
        <v>100</v>
      </c>
      <c r="L2911" s="5">
        <v>140</v>
      </c>
      <c r="M2911" s="5">
        <v>0</v>
      </c>
      <c r="N2911" s="5">
        <v>1535</v>
      </c>
      <c r="O2911" s="5" t="str">
        <f t="shared" ca="1" si="45"/>
        <v>Supplier 94</v>
      </c>
      <c r="P2911" s="20" t="str">
        <f ca="1">IFERROR(VLOOKUP(O2911,EMAILS!B:C,2,FALSE),"NOT FOUND IN EMAILS")</f>
        <v>supplier@gmail.com</v>
      </c>
      <c r="Q2911" t="str">
        <f ca="1">""&amp;IFERROR(VLOOKUP(O2911,EMAILS!B:D,3,FALSE),"NOT FOUND IN EMAILS")</f>
        <v/>
      </c>
      <c r="R2911" t="str">
        <f ca="1">""&amp;IFERROR(VLOOKUP(O2911,EMAILS!B:E,4,FALSE),"NO T FOUND IN EMAILS")</f>
        <v/>
      </c>
    </row>
    <row r="2912" spans="2:18" x14ac:dyDescent="0.25">
      <c r="B2912" s="5" t="s">
        <v>2914</v>
      </c>
      <c r="C2912" s="5" t="s">
        <v>7054</v>
      </c>
      <c r="D2912" s="5">
        <v>0</v>
      </c>
      <c r="E2912" s="5">
        <v>0</v>
      </c>
      <c r="F2912" s="5">
        <v>0</v>
      </c>
      <c r="G2912" s="5">
        <v>0</v>
      </c>
      <c r="H2912" s="5">
        <v>600</v>
      </c>
      <c r="I2912" s="5">
        <v>0</v>
      </c>
      <c r="J2912" s="5">
        <v>0</v>
      </c>
      <c r="K2912" s="5">
        <v>0</v>
      </c>
      <c r="L2912" s="5">
        <v>0</v>
      </c>
      <c r="M2912" s="5">
        <v>0</v>
      </c>
      <c r="N2912" s="5">
        <v>5000</v>
      </c>
      <c r="O2912" s="5" t="str">
        <f t="shared" ca="1" si="45"/>
        <v>Supplier 20</v>
      </c>
      <c r="P2912" s="20" t="str">
        <f ca="1">IFERROR(VLOOKUP(O2912,EMAILS!B:C,2,FALSE),"NOT FOUND IN EMAILS")</f>
        <v>supplier@gmail.com</v>
      </c>
      <c r="Q2912" t="str">
        <f ca="1">""&amp;IFERROR(VLOOKUP(O2912,EMAILS!B:D,3,FALSE),"NOT FOUND IN EMAILS")</f>
        <v/>
      </c>
      <c r="R2912" t="str">
        <f ca="1">""&amp;IFERROR(VLOOKUP(O2912,EMAILS!B:E,4,FALSE),"NO T FOUND IN EMAILS")</f>
        <v/>
      </c>
    </row>
    <row r="2913" spans="2:18" x14ac:dyDescent="0.25">
      <c r="B2913" s="5" t="s">
        <v>2915</v>
      </c>
      <c r="C2913" s="5" t="s">
        <v>7055</v>
      </c>
      <c r="D2913" s="5">
        <v>312</v>
      </c>
      <c r="E2913" s="5">
        <v>225</v>
      </c>
      <c r="F2913" s="5">
        <v>610</v>
      </c>
      <c r="G2913" s="5">
        <v>407</v>
      </c>
      <c r="H2913" s="5">
        <v>370</v>
      </c>
      <c r="I2913" s="5">
        <v>567</v>
      </c>
      <c r="J2913" s="5">
        <v>372</v>
      </c>
      <c r="K2913" s="5">
        <v>366</v>
      </c>
      <c r="L2913" s="5">
        <v>533</v>
      </c>
      <c r="M2913" s="5">
        <v>0</v>
      </c>
      <c r="N2913" s="5">
        <v>3444</v>
      </c>
      <c r="O2913" s="5" t="str">
        <f t="shared" ca="1" si="45"/>
        <v>Supplier 86</v>
      </c>
      <c r="P2913" s="20" t="str">
        <f ca="1">IFERROR(VLOOKUP(O2913,EMAILS!B:C,2,FALSE),"NOT FOUND IN EMAILS")</f>
        <v>supplier@gmail.com</v>
      </c>
      <c r="Q2913" t="str">
        <f ca="1">""&amp;IFERROR(VLOOKUP(O2913,EMAILS!B:D,3,FALSE),"NOT FOUND IN EMAILS")</f>
        <v/>
      </c>
      <c r="R2913" t="str">
        <f ca="1">""&amp;IFERROR(VLOOKUP(O2913,EMAILS!B:E,4,FALSE),"NO T FOUND IN EMAILS")</f>
        <v/>
      </c>
    </row>
    <row r="2914" spans="2:18" x14ac:dyDescent="0.25">
      <c r="B2914" s="5" t="s">
        <v>2916</v>
      </c>
      <c r="C2914" s="5" t="s">
        <v>7056</v>
      </c>
      <c r="D2914" s="5">
        <v>0</v>
      </c>
      <c r="E2914" s="5">
        <v>0</v>
      </c>
      <c r="F2914" s="5">
        <v>0</v>
      </c>
      <c r="G2914" s="5">
        <v>5</v>
      </c>
      <c r="H2914" s="5">
        <v>0</v>
      </c>
      <c r="I2914" s="5">
        <v>1</v>
      </c>
      <c r="J2914" s="5">
        <v>0</v>
      </c>
      <c r="K2914" s="5">
        <v>0</v>
      </c>
      <c r="L2914" s="5">
        <v>0</v>
      </c>
      <c r="M2914" s="5">
        <v>0</v>
      </c>
      <c r="N2914" s="5">
        <v>980</v>
      </c>
      <c r="O2914" s="5" t="str">
        <f t="shared" ca="1" si="45"/>
        <v>Supplier 93</v>
      </c>
      <c r="P2914" s="20" t="str">
        <f ca="1">IFERROR(VLOOKUP(O2914,EMAILS!B:C,2,FALSE),"NOT FOUND IN EMAILS")</f>
        <v>supplier@gmail.com</v>
      </c>
      <c r="Q2914" t="str">
        <f ca="1">""&amp;IFERROR(VLOOKUP(O2914,EMAILS!B:D,3,FALSE),"NOT FOUND IN EMAILS")</f>
        <v/>
      </c>
      <c r="R2914" t="str">
        <f ca="1">""&amp;IFERROR(VLOOKUP(O2914,EMAILS!B:E,4,FALSE),"NO T FOUND IN EMAILS")</f>
        <v/>
      </c>
    </row>
    <row r="2915" spans="2:18" x14ac:dyDescent="0.25">
      <c r="B2915" s="5" t="s">
        <v>2917</v>
      </c>
      <c r="C2915" s="5" t="s">
        <v>7057</v>
      </c>
      <c r="D2915" s="5">
        <v>0</v>
      </c>
      <c r="E2915" s="5">
        <v>0</v>
      </c>
      <c r="F2915" s="5">
        <v>0</v>
      </c>
      <c r="G2915" s="5">
        <v>105</v>
      </c>
      <c r="H2915" s="5">
        <v>50</v>
      </c>
      <c r="I2915" s="5">
        <v>150</v>
      </c>
      <c r="J2915" s="5">
        <v>0</v>
      </c>
      <c r="K2915" s="5">
        <v>0</v>
      </c>
      <c r="L2915" s="5">
        <v>45</v>
      </c>
      <c r="M2915" s="5">
        <v>0</v>
      </c>
      <c r="N2915" s="5">
        <v>36</v>
      </c>
      <c r="O2915" s="5" t="str">
        <f t="shared" ca="1" si="45"/>
        <v>Supplier 153</v>
      </c>
      <c r="P2915" s="20" t="str">
        <f ca="1">IFERROR(VLOOKUP(O2915,EMAILS!B:C,2,FALSE),"NOT FOUND IN EMAILS")</f>
        <v>supplier@gmail.com</v>
      </c>
      <c r="Q2915" t="str">
        <f ca="1">""&amp;IFERROR(VLOOKUP(O2915,EMAILS!B:D,3,FALSE),"NOT FOUND IN EMAILS")</f>
        <v/>
      </c>
      <c r="R2915" t="str">
        <f ca="1">""&amp;IFERROR(VLOOKUP(O2915,EMAILS!B:E,4,FALSE),"NO T FOUND IN EMAILS")</f>
        <v/>
      </c>
    </row>
    <row r="2916" spans="2:18" x14ac:dyDescent="0.25">
      <c r="B2916" s="5" t="s">
        <v>2918</v>
      </c>
      <c r="C2916" s="5" t="s">
        <v>7058</v>
      </c>
      <c r="D2916" s="5">
        <v>0</v>
      </c>
      <c r="E2916" s="5">
        <v>0</v>
      </c>
      <c r="F2916" s="5">
        <v>0</v>
      </c>
      <c r="G2916" s="5">
        <v>0</v>
      </c>
      <c r="H2916" s="5">
        <v>0</v>
      </c>
      <c r="I2916" s="5">
        <v>0</v>
      </c>
      <c r="J2916" s="5">
        <v>0</v>
      </c>
      <c r="K2916" s="5">
        <v>0</v>
      </c>
      <c r="L2916" s="5">
        <v>0</v>
      </c>
      <c r="M2916" s="5">
        <v>0</v>
      </c>
      <c r="N2916" s="5">
        <v>1089</v>
      </c>
      <c r="O2916" s="5" t="str">
        <f t="shared" ca="1" si="45"/>
        <v>Supplier 149</v>
      </c>
      <c r="P2916" s="20" t="str">
        <f ca="1">IFERROR(VLOOKUP(O2916,EMAILS!B:C,2,FALSE),"NOT FOUND IN EMAILS")</f>
        <v>supplier@gmail.com</v>
      </c>
      <c r="Q2916" t="str">
        <f ca="1">""&amp;IFERROR(VLOOKUP(O2916,EMAILS!B:D,3,FALSE),"NOT FOUND IN EMAILS")</f>
        <v/>
      </c>
      <c r="R2916" t="str">
        <f ca="1">""&amp;IFERROR(VLOOKUP(O2916,EMAILS!B:E,4,FALSE),"NO T FOUND IN EMAILS")</f>
        <v/>
      </c>
    </row>
    <row r="2917" spans="2:18" x14ac:dyDescent="0.25">
      <c r="B2917" s="5" t="s">
        <v>2919</v>
      </c>
      <c r="C2917" s="5" t="s">
        <v>7059</v>
      </c>
      <c r="D2917" s="5">
        <v>0</v>
      </c>
      <c r="E2917" s="5">
        <v>0</v>
      </c>
      <c r="F2917" s="5">
        <v>0</v>
      </c>
      <c r="G2917" s="5">
        <v>0</v>
      </c>
      <c r="H2917" s="5">
        <v>0</v>
      </c>
      <c r="I2917" s="5">
        <v>0</v>
      </c>
      <c r="J2917" s="5">
        <v>0</v>
      </c>
      <c r="K2917" s="5">
        <v>0</v>
      </c>
      <c r="L2917" s="5">
        <v>0</v>
      </c>
      <c r="M2917" s="5">
        <v>0</v>
      </c>
      <c r="N2917" s="5">
        <v>273</v>
      </c>
      <c r="O2917" s="5" t="str">
        <f t="shared" ca="1" si="45"/>
        <v>Supplier 18</v>
      </c>
      <c r="P2917" s="20" t="str">
        <f ca="1">IFERROR(VLOOKUP(O2917,EMAILS!B:C,2,FALSE),"NOT FOUND IN EMAILS")</f>
        <v>supplier@gmail.com</v>
      </c>
      <c r="Q2917" t="str">
        <f ca="1">""&amp;IFERROR(VLOOKUP(O2917,EMAILS!B:D,3,FALSE),"NOT FOUND IN EMAILS")</f>
        <v>supplier_logistics@gmail.com</v>
      </c>
      <c r="R2917" t="str">
        <f ca="1">""&amp;IFERROR(VLOOKUP(O2917,EMAILS!B:E,4,FALSE),"NO T FOUND IN EMAILS")</f>
        <v/>
      </c>
    </row>
    <row r="2918" spans="2:18" x14ac:dyDescent="0.25">
      <c r="B2918" s="5" t="s">
        <v>2920</v>
      </c>
      <c r="C2918" s="5" t="s">
        <v>7060</v>
      </c>
      <c r="D2918" s="5">
        <v>0</v>
      </c>
      <c r="E2918" s="5">
        <v>0</v>
      </c>
      <c r="F2918" s="5">
        <v>0</v>
      </c>
      <c r="G2918" s="5">
        <v>0</v>
      </c>
      <c r="H2918" s="5">
        <v>0</v>
      </c>
      <c r="I2918" s="5">
        <v>0</v>
      </c>
      <c r="J2918" s="5">
        <v>0</v>
      </c>
      <c r="K2918" s="5">
        <v>20</v>
      </c>
      <c r="L2918" s="5">
        <v>0</v>
      </c>
      <c r="M2918" s="5">
        <v>0</v>
      </c>
      <c r="N2918" s="5">
        <v>1994</v>
      </c>
      <c r="O2918" s="5" t="str">
        <f t="shared" ca="1" si="45"/>
        <v>Supplier 82</v>
      </c>
      <c r="P2918" s="20" t="str">
        <f ca="1">IFERROR(VLOOKUP(O2918,EMAILS!B:C,2,FALSE),"NOT FOUND IN EMAILS")</f>
        <v>supplier@gmail.com</v>
      </c>
      <c r="Q2918" t="str">
        <f ca="1">""&amp;IFERROR(VLOOKUP(O2918,EMAILS!B:D,3,FALSE),"NOT FOUND IN EMAILS")</f>
        <v/>
      </c>
      <c r="R2918" t="str">
        <f ca="1">""&amp;IFERROR(VLOOKUP(O2918,EMAILS!B:E,4,FALSE),"NO T FOUND IN EMAILS")</f>
        <v/>
      </c>
    </row>
    <row r="2919" spans="2:18" x14ac:dyDescent="0.25">
      <c r="B2919" s="5" t="s">
        <v>2921</v>
      </c>
      <c r="C2919" s="5" t="s">
        <v>7061</v>
      </c>
      <c r="D2919" s="5">
        <v>0</v>
      </c>
      <c r="E2919" s="5">
        <v>0</v>
      </c>
      <c r="F2919" s="5">
        <v>0</v>
      </c>
      <c r="G2919" s="5">
        <v>0</v>
      </c>
      <c r="H2919" s="5">
        <v>0</v>
      </c>
      <c r="I2919" s="5">
        <v>0</v>
      </c>
      <c r="J2919" s="5">
        <v>0</v>
      </c>
      <c r="K2919" s="5">
        <v>0</v>
      </c>
      <c r="L2919" s="5">
        <v>0</v>
      </c>
      <c r="M2919" s="5">
        <v>0</v>
      </c>
      <c r="N2919" s="5">
        <v>5000</v>
      </c>
      <c r="O2919" s="5" t="str">
        <f t="shared" ca="1" si="45"/>
        <v>Supplier 90</v>
      </c>
      <c r="P2919" s="20" t="str">
        <f ca="1">IFERROR(VLOOKUP(O2919,EMAILS!B:C,2,FALSE),"NOT FOUND IN EMAILS")</f>
        <v>supplier@gmail.com</v>
      </c>
      <c r="Q2919" t="str">
        <f ca="1">""&amp;IFERROR(VLOOKUP(O2919,EMAILS!B:D,3,FALSE),"NOT FOUND IN EMAILS")</f>
        <v/>
      </c>
      <c r="R2919" t="str">
        <f ca="1">""&amp;IFERROR(VLOOKUP(O2919,EMAILS!B:E,4,FALSE),"NO T FOUND IN EMAILS")</f>
        <v/>
      </c>
    </row>
    <row r="2920" spans="2:18" x14ac:dyDescent="0.25">
      <c r="B2920" s="5" t="s">
        <v>2922</v>
      </c>
      <c r="C2920" s="5" t="s">
        <v>7062</v>
      </c>
      <c r="D2920" s="5">
        <v>5000</v>
      </c>
      <c r="E2920" s="5">
        <v>0</v>
      </c>
      <c r="F2920" s="5">
        <v>0</v>
      </c>
      <c r="G2920" s="5">
        <v>0</v>
      </c>
      <c r="H2920" s="5">
        <v>0</v>
      </c>
      <c r="I2920" s="5">
        <v>0</v>
      </c>
      <c r="J2920" s="5">
        <v>0</v>
      </c>
      <c r="K2920" s="5">
        <v>0</v>
      </c>
      <c r="L2920" s="5">
        <v>0</v>
      </c>
      <c r="M2920" s="5">
        <v>0</v>
      </c>
      <c r="N2920" s="5">
        <v>5335</v>
      </c>
      <c r="O2920" s="5" t="str">
        <f t="shared" ca="1" si="45"/>
        <v>Supplier 124</v>
      </c>
      <c r="P2920" s="20" t="str">
        <f ca="1">IFERROR(VLOOKUP(O2920,EMAILS!B:C,2,FALSE),"NOT FOUND IN EMAILS")</f>
        <v>supplier@gmail.com</v>
      </c>
      <c r="Q2920" t="str">
        <f ca="1">""&amp;IFERROR(VLOOKUP(O2920,EMAILS!B:D,3,FALSE),"NOT FOUND IN EMAILS")</f>
        <v/>
      </c>
      <c r="R2920" t="str">
        <f ca="1">""&amp;IFERROR(VLOOKUP(O2920,EMAILS!B:E,4,FALSE),"NO T FOUND IN EMAILS")</f>
        <v/>
      </c>
    </row>
    <row r="2921" spans="2:18" x14ac:dyDescent="0.25">
      <c r="B2921" s="5" t="s">
        <v>2923</v>
      </c>
      <c r="C2921" s="5" t="s">
        <v>7063</v>
      </c>
      <c r="D2921" s="5">
        <v>0</v>
      </c>
      <c r="E2921" s="5">
        <v>0</v>
      </c>
      <c r="F2921" s="5">
        <v>0</v>
      </c>
      <c r="G2921" s="5">
        <v>0</v>
      </c>
      <c r="H2921" s="5">
        <v>0</v>
      </c>
      <c r="I2921" s="5">
        <v>0</v>
      </c>
      <c r="J2921" s="5">
        <v>70</v>
      </c>
      <c r="K2921" s="5">
        <v>0</v>
      </c>
      <c r="L2921" s="5">
        <v>0</v>
      </c>
      <c r="M2921" s="5">
        <v>0</v>
      </c>
      <c r="N2921" s="5">
        <v>4900</v>
      </c>
      <c r="O2921" s="5" t="str">
        <f t="shared" ca="1" si="45"/>
        <v>Supplier 183</v>
      </c>
      <c r="P2921" s="20" t="str">
        <f ca="1">IFERROR(VLOOKUP(O2921,EMAILS!B:C,2,FALSE),"NOT FOUND IN EMAILS")</f>
        <v>supplier@gmail.com</v>
      </c>
      <c r="Q2921" t="str">
        <f ca="1">""&amp;IFERROR(VLOOKUP(O2921,EMAILS!B:D,3,FALSE),"NOT FOUND IN EMAILS")</f>
        <v/>
      </c>
      <c r="R2921" t="str">
        <f ca="1">""&amp;IFERROR(VLOOKUP(O2921,EMAILS!B:E,4,FALSE),"NO T FOUND IN EMAILS")</f>
        <v/>
      </c>
    </row>
    <row r="2922" spans="2:18" x14ac:dyDescent="0.25">
      <c r="B2922" s="5" t="s">
        <v>2924</v>
      </c>
      <c r="C2922" s="5" t="s">
        <v>7064</v>
      </c>
      <c r="D2922" s="5">
        <v>0</v>
      </c>
      <c r="E2922" s="5">
        <v>0</v>
      </c>
      <c r="F2922" s="5">
        <v>0</v>
      </c>
      <c r="G2922" s="5">
        <v>100</v>
      </c>
      <c r="H2922" s="5">
        <v>0</v>
      </c>
      <c r="I2922" s="5">
        <v>70</v>
      </c>
      <c r="J2922" s="5">
        <v>0</v>
      </c>
      <c r="K2922" s="5">
        <v>200</v>
      </c>
      <c r="L2922" s="5">
        <v>0</v>
      </c>
      <c r="M2922" s="5">
        <v>0</v>
      </c>
      <c r="N2922" s="5">
        <v>679</v>
      </c>
      <c r="O2922" s="5" t="str">
        <f t="shared" ca="1" si="45"/>
        <v>Supplier 25</v>
      </c>
      <c r="P2922" s="20" t="str">
        <f ca="1">IFERROR(VLOOKUP(O2922,EMAILS!B:C,2,FALSE),"NOT FOUND IN EMAILS")</f>
        <v>supplier@gmail.com</v>
      </c>
      <c r="Q2922" t="str">
        <f ca="1">""&amp;IFERROR(VLOOKUP(O2922,EMAILS!B:D,3,FALSE),"NOT FOUND IN EMAILS")</f>
        <v/>
      </c>
      <c r="R2922" t="str">
        <f ca="1">""&amp;IFERROR(VLOOKUP(O2922,EMAILS!B:E,4,FALSE),"NO T FOUND IN EMAILS")</f>
        <v/>
      </c>
    </row>
    <row r="2923" spans="2:18" x14ac:dyDescent="0.25">
      <c r="B2923" s="5" t="s">
        <v>2925</v>
      </c>
      <c r="C2923" s="5" t="s">
        <v>7065</v>
      </c>
      <c r="D2923" s="5">
        <v>0</v>
      </c>
      <c r="E2923" s="5">
        <v>0</v>
      </c>
      <c r="F2923" s="5">
        <v>0</v>
      </c>
      <c r="G2923" s="5">
        <v>100</v>
      </c>
      <c r="H2923" s="5">
        <v>0</v>
      </c>
      <c r="I2923" s="5">
        <v>70</v>
      </c>
      <c r="J2923" s="5">
        <v>0</v>
      </c>
      <c r="K2923" s="5">
        <v>200</v>
      </c>
      <c r="L2923" s="5">
        <v>0</v>
      </c>
      <c r="M2923" s="5">
        <v>0</v>
      </c>
      <c r="N2923" s="5">
        <v>0</v>
      </c>
      <c r="O2923" s="5" t="str">
        <f t="shared" ca="1" si="45"/>
        <v>Supplier 167</v>
      </c>
      <c r="P2923" s="20" t="str">
        <f ca="1">IFERROR(VLOOKUP(O2923,EMAILS!B:C,2,FALSE),"NOT FOUND IN EMAILS")</f>
        <v>supplier@gmail.com</v>
      </c>
      <c r="Q2923" t="str">
        <f ca="1">""&amp;IFERROR(VLOOKUP(O2923,EMAILS!B:D,3,FALSE),"NOT FOUND IN EMAILS")</f>
        <v/>
      </c>
      <c r="R2923" t="str">
        <f ca="1">""&amp;IFERROR(VLOOKUP(O2923,EMAILS!B:E,4,FALSE),"NO T FOUND IN EMAILS")</f>
        <v/>
      </c>
    </row>
    <row r="2924" spans="2:18" x14ac:dyDescent="0.25">
      <c r="B2924" s="5" t="s">
        <v>2926</v>
      </c>
      <c r="C2924" s="5" t="s">
        <v>7066</v>
      </c>
      <c r="D2924" s="5">
        <v>100</v>
      </c>
      <c r="E2924" s="5">
        <v>0</v>
      </c>
      <c r="F2924" s="5">
        <v>0</v>
      </c>
      <c r="G2924" s="5">
        <v>50</v>
      </c>
      <c r="H2924" s="5">
        <v>60</v>
      </c>
      <c r="I2924" s="5">
        <v>50</v>
      </c>
      <c r="J2924" s="5">
        <v>0</v>
      </c>
      <c r="K2924" s="5">
        <v>0</v>
      </c>
      <c r="L2924" s="5">
        <v>50</v>
      </c>
      <c r="M2924" s="5">
        <v>0</v>
      </c>
      <c r="N2924" s="5">
        <v>0</v>
      </c>
      <c r="O2924" s="5" t="str">
        <f t="shared" ca="1" si="45"/>
        <v>Supplier 108</v>
      </c>
      <c r="P2924" s="20" t="str">
        <f ca="1">IFERROR(VLOOKUP(O2924,EMAILS!B:C,2,FALSE),"NOT FOUND IN EMAILS")</f>
        <v>supplier@gmail.com</v>
      </c>
      <c r="Q2924" t="str">
        <f ca="1">""&amp;IFERROR(VLOOKUP(O2924,EMAILS!B:D,3,FALSE),"NOT FOUND IN EMAILS")</f>
        <v/>
      </c>
      <c r="R2924" t="str">
        <f ca="1">""&amp;IFERROR(VLOOKUP(O2924,EMAILS!B:E,4,FALSE),"NO T FOUND IN EMAILS")</f>
        <v/>
      </c>
    </row>
    <row r="2925" spans="2:18" x14ac:dyDescent="0.25">
      <c r="B2925" s="5" t="s">
        <v>2927</v>
      </c>
      <c r="C2925" s="5" t="s">
        <v>7067</v>
      </c>
      <c r="D2925" s="5">
        <v>0</v>
      </c>
      <c r="E2925" s="5">
        <v>0</v>
      </c>
      <c r="F2925" s="5">
        <v>0</v>
      </c>
      <c r="G2925" s="5">
        <v>0</v>
      </c>
      <c r="H2925" s="5">
        <v>60</v>
      </c>
      <c r="I2925" s="5">
        <v>0</v>
      </c>
      <c r="J2925" s="5">
        <v>0</v>
      </c>
      <c r="K2925" s="5">
        <v>0</v>
      </c>
      <c r="L2925" s="5">
        <v>0</v>
      </c>
      <c r="M2925" s="5">
        <v>0</v>
      </c>
      <c r="N2925" s="5">
        <v>39</v>
      </c>
      <c r="O2925" s="5" t="str">
        <f t="shared" ca="1" si="45"/>
        <v>Supplier 194</v>
      </c>
      <c r="P2925" s="20" t="str">
        <f ca="1">IFERROR(VLOOKUP(O2925,EMAILS!B:C,2,FALSE),"NOT FOUND IN EMAILS")</f>
        <v>supplier@gmail.com</v>
      </c>
      <c r="Q2925" t="str">
        <f ca="1">""&amp;IFERROR(VLOOKUP(O2925,EMAILS!B:D,3,FALSE),"NOT FOUND IN EMAILS")</f>
        <v/>
      </c>
      <c r="R2925" t="str">
        <f ca="1">""&amp;IFERROR(VLOOKUP(O2925,EMAILS!B:E,4,FALSE),"NO T FOUND IN EMAILS")</f>
        <v/>
      </c>
    </row>
    <row r="2926" spans="2:18" x14ac:dyDescent="0.25">
      <c r="B2926" s="5" t="s">
        <v>2928</v>
      </c>
      <c r="C2926" s="5" t="s">
        <v>7068</v>
      </c>
      <c r="D2926" s="5">
        <v>0</v>
      </c>
      <c r="E2926" s="5">
        <v>0</v>
      </c>
      <c r="F2926" s="5">
        <v>0</v>
      </c>
      <c r="G2926" s="5">
        <v>0</v>
      </c>
      <c r="H2926" s="5">
        <v>0</v>
      </c>
      <c r="I2926" s="5">
        <v>0</v>
      </c>
      <c r="J2926" s="5">
        <v>0</v>
      </c>
      <c r="K2926" s="5">
        <v>0</v>
      </c>
      <c r="L2926" s="5">
        <v>0</v>
      </c>
      <c r="M2926" s="5">
        <v>0</v>
      </c>
      <c r="N2926" s="5">
        <v>169</v>
      </c>
      <c r="O2926" s="5" t="str">
        <f t="shared" ca="1" si="45"/>
        <v>Supplier 18</v>
      </c>
      <c r="P2926" s="20" t="str">
        <f ca="1">IFERROR(VLOOKUP(O2926,EMAILS!B:C,2,FALSE),"NOT FOUND IN EMAILS")</f>
        <v>supplier@gmail.com</v>
      </c>
      <c r="Q2926" t="str">
        <f ca="1">""&amp;IFERROR(VLOOKUP(O2926,EMAILS!B:D,3,FALSE),"NOT FOUND IN EMAILS")</f>
        <v>supplier_logistics@gmail.com</v>
      </c>
      <c r="R2926" t="str">
        <f ca="1">""&amp;IFERROR(VLOOKUP(O2926,EMAILS!B:E,4,FALSE),"NO T FOUND IN EMAILS")</f>
        <v/>
      </c>
    </row>
    <row r="2927" spans="2:18" x14ac:dyDescent="0.25">
      <c r="B2927" s="5" t="s">
        <v>2929</v>
      </c>
      <c r="C2927" s="5" t="s">
        <v>7069</v>
      </c>
      <c r="D2927" s="5">
        <v>0</v>
      </c>
      <c r="E2927" s="5">
        <v>0</v>
      </c>
      <c r="F2927" s="5">
        <v>100</v>
      </c>
      <c r="G2927" s="5">
        <v>10</v>
      </c>
      <c r="H2927" s="5">
        <v>0</v>
      </c>
      <c r="I2927" s="5">
        <v>0</v>
      </c>
      <c r="J2927" s="5">
        <v>0</v>
      </c>
      <c r="K2927" s="5">
        <v>10</v>
      </c>
      <c r="L2927" s="5">
        <v>0</v>
      </c>
      <c r="M2927" s="5">
        <v>0</v>
      </c>
      <c r="N2927" s="5">
        <v>853</v>
      </c>
      <c r="O2927" s="5" t="str">
        <f t="shared" ca="1" si="45"/>
        <v>Supplier 44</v>
      </c>
      <c r="P2927" s="20" t="str">
        <f ca="1">IFERROR(VLOOKUP(O2927,EMAILS!B:C,2,FALSE),"NOT FOUND IN EMAILS")</f>
        <v>supplier@gmail.com</v>
      </c>
      <c r="Q2927" t="str">
        <f ca="1">""&amp;IFERROR(VLOOKUP(O2927,EMAILS!B:D,3,FALSE),"NOT FOUND IN EMAILS")</f>
        <v/>
      </c>
      <c r="R2927" t="str">
        <f ca="1">""&amp;IFERROR(VLOOKUP(O2927,EMAILS!B:E,4,FALSE),"NO T FOUND IN EMAILS")</f>
        <v/>
      </c>
    </row>
    <row r="2928" spans="2:18" x14ac:dyDescent="0.25">
      <c r="B2928" s="5" t="s">
        <v>2930</v>
      </c>
      <c r="C2928" s="5" t="s">
        <v>7070</v>
      </c>
      <c r="D2928" s="5">
        <v>0</v>
      </c>
      <c r="E2928" s="5">
        <v>0</v>
      </c>
      <c r="F2928" s="5">
        <v>0</v>
      </c>
      <c r="G2928" s="5">
        <v>600</v>
      </c>
      <c r="H2928" s="5">
        <v>0</v>
      </c>
      <c r="I2928" s="5">
        <v>0</v>
      </c>
      <c r="J2928" s="5">
        <v>0</v>
      </c>
      <c r="K2928" s="5">
        <v>600</v>
      </c>
      <c r="L2928" s="5">
        <v>0</v>
      </c>
      <c r="M2928" s="5">
        <v>0</v>
      </c>
      <c r="N2928" s="5">
        <v>112</v>
      </c>
      <c r="O2928" s="5" t="str">
        <f t="shared" ca="1" si="45"/>
        <v>Supplier 37</v>
      </c>
      <c r="P2928" s="20" t="str">
        <f ca="1">IFERROR(VLOOKUP(O2928,EMAILS!B:C,2,FALSE),"NOT FOUND IN EMAILS")</f>
        <v>supplier@gmail.com</v>
      </c>
      <c r="Q2928" t="str">
        <f ca="1">""&amp;IFERROR(VLOOKUP(O2928,EMAILS!B:D,3,FALSE),"NOT FOUND IN EMAILS")</f>
        <v/>
      </c>
      <c r="R2928" t="str">
        <f ca="1">""&amp;IFERROR(VLOOKUP(O2928,EMAILS!B:E,4,FALSE),"NO T FOUND IN EMAILS")</f>
        <v/>
      </c>
    </row>
    <row r="2929" spans="2:18" x14ac:dyDescent="0.25">
      <c r="B2929" s="5" t="s">
        <v>2931</v>
      </c>
      <c r="C2929" s="5" t="s">
        <v>7071</v>
      </c>
      <c r="D2929" s="5">
        <v>4</v>
      </c>
      <c r="E2929" s="5">
        <v>4</v>
      </c>
      <c r="F2929" s="5">
        <v>4</v>
      </c>
      <c r="G2929" s="5">
        <v>4</v>
      </c>
      <c r="H2929" s="5">
        <v>4</v>
      </c>
      <c r="I2929" s="5">
        <v>6</v>
      </c>
      <c r="J2929" s="5">
        <v>4</v>
      </c>
      <c r="K2929" s="5">
        <v>4</v>
      </c>
      <c r="L2929" s="5">
        <v>4</v>
      </c>
      <c r="M2929" s="5">
        <v>0</v>
      </c>
      <c r="N2929" s="5">
        <v>91</v>
      </c>
      <c r="O2929" s="5" t="str">
        <f t="shared" ca="1" si="45"/>
        <v>Supplier 167</v>
      </c>
      <c r="P2929" s="20" t="str">
        <f ca="1">IFERROR(VLOOKUP(O2929,EMAILS!B:C,2,FALSE),"NOT FOUND IN EMAILS")</f>
        <v>supplier@gmail.com</v>
      </c>
      <c r="Q2929" t="str">
        <f ca="1">""&amp;IFERROR(VLOOKUP(O2929,EMAILS!B:D,3,FALSE),"NOT FOUND IN EMAILS")</f>
        <v/>
      </c>
      <c r="R2929" t="str">
        <f ca="1">""&amp;IFERROR(VLOOKUP(O2929,EMAILS!B:E,4,FALSE),"NO T FOUND IN EMAILS")</f>
        <v/>
      </c>
    </row>
    <row r="2930" spans="2:18" x14ac:dyDescent="0.25">
      <c r="B2930" s="5" t="s">
        <v>2932</v>
      </c>
      <c r="C2930" s="5" t="s">
        <v>7072</v>
      </c>
      <c r="D2930" s="5">
        <v>10</v>
      </c>
      <c r="E2930" s="5">
        <v>0</v>
      </c>
      <c r="F2930" s="5">
        <v>0</v>
      </c>
      <c r="G2930" s="5">
        <v>10</v>
      </c>
      <c r="H2930" s="5">
        <v>10</v>
      </c>
      <c r="I2930" s="5">
        <v>0</v>
      </c>
      <c r="J2930" s="5">
        <v>0</v>
      </c>
      <c r="K2930" s="5">
        <v>0</v>
      </c>
      <c r="L2930" s="5">
        <v>0</v>
      </c>
      <c r="M2930" s="5">
        <v>0</v>
      </c>
      <c r="N2930" s="5">
        <v>0</v>
      </c>
      <c r="O2930" s="5" t="str">
        <f t="shared" ca="1" si="45"/>
        <v>Supplier 180</v>
      </c>
      <c r="P2930" s="20" t="str">
        <f ca="1">IFERROR(VLOOKUP(O2930,EMAILS!B:C,2,FALSE),"NOT FOUND IN EMAILS")</f>
        <v>supplier@gmail.com</v>
      </c>
      <c r="Q2930" t="str">
        <f ca="1">""&amp;IFERROR(VLOOKUP(O2930,EMAILS!B:D,3,FALSE),"NOT FOUND IN EMAILS")</f>
        <v/>
      </c>
      <c r="R2930" t="str">
        <f ca="1">""&amp;IFERROR(VLOOKUP(O2930,EMAILS!B:E,4,FALSE),"NO T FOUND IN EMAILS")</f>
        <v/>
      </c>
    </row>
    <row r="2931" spans="2:18" x14ac:dyDescent="0.25">
      <c r="B2931" s="5" t="s">
        <v>2933</v>
      </c>
      <c r="C2931" s="5" t="s">
        <v>7073</v>
      </c>
      <c r="D2931" s="5">
        <v>10</v>
      </c>
      <c r="E2931" s="5">
        <v>0</v>
      </c>
      <c r="F2931" s="5">
        <v>0</v>
      </c>
      <c r="G2931" s="5">
        <v>10</v>
      </c>
      <c r="H2931" s="5">
        <v>10</v>
      </c>
      <c r="I2931" s="5">
        <v>0</v>
      </c>
      <c r="J2931" s="5">
        <v>0</v>
      </c>
      <c r="K2931" s="5">
        <v>0</v>
      </c>
      <c r="L2931" s="5">
        <v>0</v>
      </c>
      <c r="M2931" s="5">
        <v>0</v>
      </c>
      <c r="N2931" s="5">
        <v>59</v>
      </c>
      <c r="O2931" s="5" t="str">
        <f t="shared" ca="1" si="45"/>
        <v>Supplier 68</v>
      </c>
      <c r="P2931" s="20" t="str">
        <f ca="1">IFERROR(VLOOKUP(O2931,EMAILS!B:C,2,FALSE),"NOT FOUND IN EMAILS")</f>
        <v>supplier@gmail.com</v>
      </c>
      <c r="Q2931" t="str">
        <f ca="1">""&amp;IFERROR(VLOOKUP(O2931,EMAILS!B:D,3,FALSE),"NOT FOUND IN EMAILS")</f>
        <v/>
      </c>
      <c r="R2931" t="str">
        <f ca="1">""&amp;IFERROR(VLOOKUP(O2931,EMAILS!B:E,4,FALSE),"NO T FOUND IN EMAILS")</f>
        <v/>
      </c>
    </row>
    <row r="2932" spans="2:18" x14ac:dyDescent="0.25">
      <c r="B2932" s="5" t="s">
        <v>2934</v>
      </c>
      <c r="C2932" s="5" t="s">
        <v>7074</v>
      </c>
      <c r="D2932" s="5">
        <v>2</v>
      </c>
      <c r="E2932" s="5">
        <v>7</v>
      </c>
      <c r="F2932" s="5">
        <v>0</v>
      </c>
      <c r="G2932" s="5">
        <v>10</v>
      </c>
      <c r="H2932" s="5">
        <v>5</v>
      </c>
      <c r="I2932" s="5">
        <v>3</v>
      </c>
      <c r="J2932" s="5">
        <v>3</v>
      </c>
      <c r="K2932" s="5">
        <v>6</v>
      </c>
      <c r="L2932" s="5">
        <v>1</v>
      </c>
      <c r="M2932" s="5">
        <v>0</v>
      </c>
      <c r="N2932" s="5">
        <v>7</v>
      </c>
      <c r="O2932" s="5" t="str">
        <f t="shared" ca="1" si="45"/>
        <v>Supplier 5</v>
      </c>
      <c r="P2932" s="20" t="str">
        <f ca="1">IFERROR(VLOOKUP(O2932,EMAILS!B:C,2,FALSE),"NOT FOUND IN EMAILS")</f>
        <v>supplier@gmail.com</v>
      </c>
      <c r="Q2932" t="str">
        <f ca="1">""&amp;IFERROR(VLOOKUP(O2932,EMAILS!B:D,3,FALSE),"NOT FOUND IN EMAILS")</f>
        <v>supplier_logistics@gmail.com</v>
      </c>
      <c r="R2932" t="str">
        <f ca="1">""&amp;IFERROR(VLOOKUP(O2932,EMAILS!B:E,4,FALSE),"NO T FOUND IN EMAILS")</f>
        <v/>
      </c>
    </row>
    <row r="2933" spans="2:18" x14ac:dyDescent="0.25">
      <c r="B2933" s="5" t="s">
        <v>2935</v>
      </c>
      <c r="C2933" s="5" t="s">
        <v>7075</v>
      </c>
      <c r="D2933" s="5">
        <v>2</v>
      </c>
      <c r="E2933" s="5">
        <v>2</v>
      </c>
      <c r="F2933" s="5">
        <v>0</v>
      </c>
      <c r="G2933" s="5">
        <v>3</v>
      </c>
      <c r="H2933" s="5">
        <v>2</v>
      </c>
      <c r="I2933" s="5">
        <v>1</v>
      </c>
      <c r="J2933" s="5">
        <v>1</v>
      </c>
      <c r="K2933" s="5">
        <v>4</v>
      </c>
      <c r="L2933" s="5">
        <v>1</v>
      </c>
      <c r="M2933" s="5">
        <v>0</v>
      </c>
      <c r="N2933" s="5">
        <v>1.5</v>
      </c>
      <c r="O2933" s="5" t="str">
        <f t="shared" ca="1" si="45"/>
        <v>Supplier 95</v>
      </c>
      <c r="P2933" s="20" t="str">
        <f ca="1">IFERROR(VLOOKUP(O2933,EMAILS!B:C,2,FALSE),"NOT FOUND IN EMAILS")</f>
        <v>supplier@gmail.com</v>
      </c>
      <c r="Q2933" t="str">
        <f ca="1">""&amp;IFERROR(VLOOKUP(O2933,EMAILS!B:D,3,FALSE),"NOT FOUND IN EMAILS")</f>
        <v/>
      </c>
      <c r="R2933" t="str">
        <f ca="1">""&amp;IFERROR(VLOOKUP(O2933,EMAILS!B:E,4,FALSE),"NO T FOUND IN EMAILS")</f>
        <v/>
      </c>
    </row>
    <row r="2934" spans="2:18" x14ac:dyDescent="0.25">
      <c r="B2934" s="5" t="s">
        <v>2936</v>
      </c>
      <c r="C2934" s="5" t="s">
        <v>7076</v>
      </c>
      <c r="D2934" s="5">
        <v>0</v>
      </c>
      <c r="E2934" s="5">
        <v>0</v>
      </c>
      <c r="F2934" s="5">
        <v>0</v>
      </c>
      <c r="G2934" s="5">
        <v>6</v>
      </c>
      <c r="H2934" s="5">
        <v>0</v>
      </c>
      <c r="I2934" s="5">
        <v>0</v>
      </c>
      <c r="J2934" s="5">
        <v>0.25</v>
      </c>
      <c r="K2934" s="5">
        <v>2</v>
      </c>
      <c r="L2934" s="5">
        <v>0</v>
      </c>
      <c r="M2934" s="5">
        <v>0</v>
      </c>
      <c r="N2934" s="5">
        <v>0</v>
      </c>
      <c r="O2934" s="5" t="str">
        <f t="shared" ca="1" si="45"/>
        <v>Supplier 194</v>
      </c>
      <c r="P2934" s="20" t="str">
        <f ca="1">IFERROR(VLOOKUP(O2934,EMAILS!B:C,2,FALSE),"NOT FOUND IN EMAILS")</f>
        <v>supplier@gmail.com</v>
      </c>
      <c r="Q2934" t="str">
        <f ca="1">""&amp;IFERROR(VLOOKUP(O2934,EMAILS!B:D,3,FALSE),"NOT FOUND IN EMAILS")</f>
        <v/>
      </c>
      <c r="R2934" t="str">
        <f ca="1">""&amp;IFERROR(VLOOKUP(O2934,EMAILS!B:E,4,FALSE),"NO T FOUND IN EMAILS")</f>
        <v/>
      </c>
    </row>
    <row r="2935" spans="2:18" x14ac:dyDescent="0.25">
      <c r="B2935" s="5" t="s">
        <v>2937</v>
      </c>
      <c r="C2935" s="5" t="s">
        <v>7077</v>
      </c>
      <c r="D2935" s="5">
        <v>0</v>
      </c>
      <c r="E2935" s="5">
        <v>0</v>
      </c>
      <c r="F2935" s="5">
        <v>0</v>
      </c>
      <c r="G2935" s="5">
        <v>0</v>
      </c>
      <c r="H2935" s="5">
        <v>0</v>
      </c>
      <c r="I2935" s="5">
        <v>0</v>
      </c>
      <c r="J2935" s="5">
        <v>0</v>
      </c>
      <c r="K2935" s="5">
        <v>0</v>
      </c>
      <c r="L2935" s="5">
        <v>0</v>
      </c>
      <c r="M2935" s="5">
        <v>0</v>
      </c>
      <c r="N2935" s="5">
        <v>2</v>
      </c>
      <c r="O2935" s="5" t="str">
        <f t="shared" ca="1" si="45"/>
        <v>Supplier 46</v>
      </c>
      <c r="P2935" s="20" t="str">
        <f ca="1">IFERROR(VLOOKUP(O2935,EMAILS!B:C,2,FALSE),"NOT FOUND IN EMAILS")</f>
        <v>supplier@gmail.com</v>
      </c>
      <c r="Q2935" t="str">
        <f ca="1">""&amp;IFERROR(VLOOKUP(O2935,EMAILS!B:D,3,FALSE),"NOT FOUND IN EMAILS")</f>
        <v/>
      </c>
      <c r="R2935" t="str">
        <f ca="1">""&amp;IFERROR(VLOOKUP(O2935,EMAILS!B:E,4,FALSE),"NO T FOUND IN EMAILS")</f>
        <v/>
      </c>
    </row>
    <row r="2936" spans="2:18" x14ac:dyDescent="0.25">
      <c r="B2936" s="5" t="s">
        <v>2938</v>
      </c>
      <c r="C2936" s="5" t="s">
        <v>7078</v>
      </c>
      <c r="D2936" s="5">
        <v>0</v>
      </c>
      <c r="E2936" s="5">
        <v>5</v>
      </c>
      <c r="F2936" s="5">
        <v>0</v>
      </c>
      <c r="G2936" s="5">
        <v>1</v>
      </c>
      <c r="H2936" s="5">
        <v>3</v>
      </c>
      <c r="I2936" s="5">
        <v>2</v>
      </c>
      <c r="J2936" s="5">
        <v>1</v>
      </c>
      <c r="K2936" s="5">
        <v>0</v>
      </c>
      <c r="L2936" s="5">
        <v>0</v>
      </c>
      <c r="M2936" s="5">
        <v>0</v>
      </c>
      <c r="N2936" s="5">
        <v>265</v>
      </c>
      <c r="O2936" s="5" t="str">
        <f t="shared" ca="1" si="45"/>
        <v>Supplier 103</v>
      </c>
      <c r="P2936" s="20" t="str">
        <f ca="1">IFERROR(VLOOKUP(O2936,EMAILS!B:C,2,FALSE),"NOT FOUND IN EMAILS")</f>
        <v>supplier@gmail.com</v>
      </c>
      <c r="Q2936" t="str">
        <f ca="1">""&amp;IFERROR(VLOOKUP(O2936,EMAILS!B:D,3,FALSE),"NOT FOUND IN EMAILS")</f>
        <v/>
      </c>
      <c r="R2936" t="str">
        <f ca="1">""&amp;IFERROR(VLOOKUP(O2936,EMAILS!B:E,4,FALSE),"NO T FOUND IN EMAILS")</f>
        <v/>
      </c>
    </row>
    <row r="2937" spans="2:18" x14ac:dyDescent="0.25">
      <c r="B2937" s="5" t="s">
        <v>2939</v>
      </c>
      <c r="C2937" s="5" t="s">
        <v>7079</v>
      </c>
      <c r="D2937" s="5">
        <v>30</v>
      </c>
      <c r="E2937" s="5">
        <v>17</v>
      </c>
      <c r="F2937" s="5">
        <v>26</v>
      </c>
      <c r="G2937" s="5">
        <v>28</v>
      </c>
      <c r="H2937" s="5">
        <v>31</v>
      </c>
      <c r="I2937" s="5">
        <v>29</v>
      </c>
      <c r="J2937" s="5">
        <v>13</v>
      </c>
      <c r="K2937" s="5">
        <v>26</v>
      </c>
      <c r="L2937" s="5">
        <v>37</v>
      </c>
      <c r="M2937" s="5">
        <v>0</v>
      </c>
      <c r="N2937" s="5">
        <v>26</v>
      </c>
      <c r="O2937" s="5" t="str">
        <f t="shared" ca="1" si="45"/>
        <v>Supplier 77</v>
      </c>
      <c r="P2937" s="20" t="str">
        <f ca="1">IFERROR(VLOOKUP(O2937,EMAILS!B:C,2,FALSE),"NOT FOUND IN EMAILS")</f>
        <v>supplier@gmail.com</v>
      </c>
      <c r="Q2937" t="str">
        <f ca="1">""&amp;IFERROR(VLOOKUP(O2937,EMAILS!B:D,3,FALSE),"NOT FOUND IN EMAILS")</f>
        <v/>
      </c>
      <c r="R2937" t="str">
        <f ca="1">""&amp;IFERROR(VLOOKUP(O2937,EMAILS!B:E,4,FALSE),"NO T FOUND IN EMAILS")</f>
        <v/>
      </c>
    </row>
    <row r="2938" spans="2:18" x14ac:dyDescent="0.25">
      <c r="B2938" s="5" t="s">
        <v>2940</v>
      </c>
      <c r="C2938" s="5" t="s">
        <v>7080</v>
      </c>
      <c r="D2938" s="5">
        <v>2</v>
      </c>
      <c r="E2938" s="5">
        <v>7</v>
      </c>
      <c r="F2938" s="5">
        <v>0</v>
      </c>
      <c r="G2938" s="5">
        <v>10</v>
      </c>
      <c r="H2938" s="5">
        <v>5</v>
      </c>
      <c r="I2938" s="5">
        <v>3</v>
      </c>
      <c r="J2938" s="5">
        <v>3</v>
      </c>
      <c r="K2938" s="5">
        <v>6</v>
      </c>
      <c r="L2938" s="5">
        <v>1</v>
      </c>
      <c r="M2938" s="5">
        <v>0</v>
      </c>
      <c r="N2938" s="5">
        <v>15</v>
      </c>
      <c r="O2938" s="5" t="str">
        <f t="shared" ca="1" si="45"/>
        <v>Supplier 23</v>
      </c>
      <c r="P2938" s="20" t="str">
        <f ca="1">IFERROR(VLOOKUP(O2938,EMAILS!B:C,2,FALSE),"NOT FOUND IN EMAILS")</f>
        <v>supplier@gmail.com</v>
      </c>
      <c r="Q2938" t="str">
        <f ca="1">""&amp;IFERROR(VLOOKUP(O2938,EMAILS!B:D,3,FALSE),"NOT FOUND IN EMAILS")</f>
        <v/>
      </c>
      <c r="R2938" t="str">
        <f ca="1">""&amp;IFERROR(VLOOKUP(O2938,EMAILS!B:E,4,FALSE),"NO T FOUND IN EMAILS")</f>
        <v/>
      </c>
    </row>
    <row r="2939" spans="2:18" x14ac:dyDescent="0.25">
      <c r="B2939" s="5" t="s">
        <v>2941</v>
      </c>
      <c r="C2939" s="5" t="s">
        <v>7081</v>
      </c>
      <c r="D2939" s="5">
        <v>0</v>
      </c>
      <c r="E2939" s="5">
        <v>0</v>
      </c>
      <c r="F2939" s="5">
        <v>0</v>
      </c>
      <c r="G2939" s="5">
        <v>0</v>
      </c>
      <c r="H2939" s="5">
        <v>0</v>
      </c>
      <c r="I2939" s="5">
        <v>0</v>
      </c>
      <c r="J2939" s="5">
        <v>0</v>
      </c>
      <c r="K2939" s="5">
        <v>0</v>
      </c>
      <c r="L2939" s="5">
        <v>0</v>
      </c>
      <c r="M2939" s="5">
        <v>0</v>
      </c>
      <c r="N2939" s="5">
        <v>38</v>
      </c>
      <c r="O2939" s="5" t="str">
        <f t="shared" ca="1" si="45"/>
        <v>Supplier 124</v>
      </c>
      <c r="P2939" s="20" t="str">
        <f ca="1">IFERROR(VLOOKUP(O2939,EMAILS!B:C,2,FALSE),"NOT FOUND IN EMAILS")</f>
        <v>supplier@gmail.com</v>
      </c>
      <c r="Q2939" t="str">
        <f ca="1">""&amp;IFERROR(VLOOKUP(O2939,EMAILS!B:D,3,FALSE),"NOT FOUND IN EMAILS")</f>
        <v/>
      </c>
      <c r="R2939" t="str">
        <f ca="1">""&amp;IFERROR(VLOOKUP(O2939,EMAILS!B:E,4,FALSE),"NO T FOUND IN EMAILS")</f>
        <v/>
      </c>
    </row>
    <row r="2940" spans="2:18" x14ac:dyDescent="0.25">
      <c r="B2940" s="5" t="s">
        <v>2942</v>
      </c>
      <c r="C2940" s="5" t="s">
        <v>7082</v>
      </c>
      <c r="D2940" s="5">
        <v>2</v>
      </c>
      <c r="E2940" s="5">
        <v>7</v>
      </c>
      <c r="F2940" s="5">
        <v>0</v>
      </c>
      <c r="G2940" s="5">
        <v>10</v>
      </c>
      <c r="H2940" s="5">
        <v>5</v>
      </c>
      <c r="I2940" s="5">
        <v>3</v>
      </c>
      <c r="J2940" s="5">
        <v>3</v>
      </c>
      <c r="K2940" s="5">
        <v>6</v>
      </c>
      <c r="L2940" s="5">
        <v>1</v>
      </c>
      <c r="M2940" s="5">
        <v>0</v>
      </c>
      <c r="N2940" s="5">
        <v>0</v>
      </c>
      <c r="O2940" s="5" t="str">
        <f t="shared" ca="1" si="45"/>
        <v>Supplier 89</v>
      </c>
      <c r="P2940" s="20" t="str">
        <f ca="1">IFERROR(VLOOKUP(O2940,EMAILS!B:C,2,FALSE),"NOT FOUND IN EMAILS")</f>
        <v>supplier@gmail.com</v>
      </c>
      <c r="Q2940" t="str">
        <f ca="1">""&amp;IFERROR(VLOOKUP(O2940,EMAILS!B:D,3,FALSE),"NOT FOUND IN EMAILS")</f>
        <v/>
      </c>
      <c r="R2940" t="str">
        <f ca="1">""&amp;IFERROR(VLOOKUP(O2940,EMAILS!B:E,4,FALSE),"NO T FOUND IN EMAILS")</f>
        <v/>
      </c>
    </row>
    <row r="2941" spans="2:18" x14ac:dyDescent="0.25">
      <c r="B2941" s="5" t="s">
        <v>2943</v>
      </c>
      <c r="C2941" s="5" t="s">
        <v>7083</v>
      </c>
      <c r="D2941" s="5">
        <v>0</v>
      </c>
      <c r="E2941" s="5">
        <v>0</v>
      </c>
      <c r="F2941" s="5">
        <v>0</v>
      </c>
      <c r="G2941" s="5">
        <v>1</v>
      </c>
      <c r="H2941" s="5">
        <v>0</v>
      </c>
      <c r="I2941" s="5">
        <v>0</v>
      </c>
      <c r="J2941" s="5">
        <v>1</v>
      </c>
      <c r="K2941" s="5">
        <v>1</v>
      </c>
      <c r="L2941" s="5">
        <v>0</v>
      </c>
      <c r="M2941" s="5">
        <v>0</v>
      </c>
      <c r="N2941" s="5">
        <v>50</v>
      </c>
      <c r="O2941" s="5" t="str">
        <f t="shared" ca="1" si="45"/>
        <v>Supplier 157</v>
      </c>
      <c r="P2941" s="20" t="str">
        <f ca="1">IFERROR(VLOOKUP(O2941,EMAILS!B:C,2,FALSE),"NOT FOUND IN EMAILS")</f>
        <v>supplier@gmail.com</v>
      </c>
      <c r="Q2941" t="str">
        <f ca="1">""&amp;IFERROR(VLOOKUP(O2941,EMAILS!B:D,3,FALSE),"NOT FOUND IN EMAILS")</f>
        <v/>
      </c>
      <c r="R2941" t="str">
        <f ca="1">""&amp;IFERROR(VLOOKUP(O2941,EMAILS!B:E,4,FALSE),"NO T FOUND IN EMAILS")</f>
        <v/>
      </c>
    </row>
    <row r="2942" spans="2:18" x14ac:dyDescent="0.25">
      <c r="B2942" s="5" t="s">
        <v>2944</v>
      </c>
      <c r="C2942" s="5" t="s">
        <v>7084</v>
      </c>
      <c r="D2942" s="5">
        <v>2</v>
      </c>
      <c r="E2942" s="5">
        <v>7</v>
      </c>
      <c r="F2942" s="5">
        <v>0</v>
      </c>
      <c r="G2942" s="5">
        <v>10</v>
      </c>
      <c r="H2942" s="5">
        <v>5</v>
      </c>
      <c r="I2942" s="5">
        <v>3</v>
      </c>
      <c r="J2942" s="5">
        <v>3</v>
      </c>
      <c r="K2942" s="5">
        <v>6</v>
      </c>
      <c r="L2942" s="5">
        <v>1</v>
      </c>
      <c r="M2942" s="5">
        <v>0</v>
      </c>
      <c r="N2942" s="5">
        <v>59</v>
      </c>
      <c r="O2942" s="5" t="str">
        <f t="shared" ca="1" si="45"/>
        <v>Supplier 176</v>
      </c>
      <c r="P2942" s="20" t="str">
        <f ca="1">IFERROR(VLOOKUP(O2942,EMAILS!B:C,2,FALSE),"NOT FOUND IN EMAILS")</f>
        <v>supplier@gmail.com</v>
      </c>
      <c r="Q2942" t="str">
        <f ca="1">""&amp;IFERROR(VLOOKUP(O2942,EMAILS!B:D,3,FALSE),"NOT FOUND IN EMAILS")</f>
        <v/>
      </c>
      <c r="R2942" t="str">
        <f ca="1">""&amp;IFERROR(VLOOKUP(O2942,EMAILS!B:E,4,FALSE),"NO T FOUND IN EMAILS")</f>
        <v/>
      </c>
    </row>
    <row r="2943" spans="2:18" x14ac:dyDescent="0.25">
      <c r="B2943" s="5" t="s">
        <v>2945</v>
      </c>
      <c r="C2943" s="5" t="s">
        <v>7085</v>
      </c>
      <c r="D2943" s="5">
        <v>2</v>
      </c>
      <c r="E2943" s="5">
        <v>7</v>
      </c>
      <c r="F2943" s="5">
        <v>0</v>
      </c>
      <c r="G2943" s="5">
        <v>10</v>
      </c>
      <c r="H2943" s="5">
        <v>5</v>
      </c>
      <c r="I2943" s="5">
        <v>3</v>
      </c>
      <c r="J2943" s="5">
        <v>3</v>
      </c>
      <c r="K2943" s="5">
        <v>6</v>
      </c>
      <c r="L2943" s="5">
        <v>1</v>
      </c>
      <c r="M2943" s="5">
        <v>0</v>
      </c>
      <c r="N2943" s="5">
        <v>1</v>
      </c>
      <c r="O2943" s="5" t="str">
        <f t="shared" ca="1" si="45"/>
        <v>Supplier 170</v>
      </c>
      <c r="P2943" s="20" t="str">
        <f ca="1">IFERROR(VLOOKUP(O2943,EMAILS!B:C,2,FALSE),"NOT FOUND IN EMAILS")</f>
        <v>supplier@gmail.com</v>
      </c>
      <c r="Q2943" t="str">
        <f ca="1">""&amp;IFERROR(VLOOKUP(O2943,EMAILS!B:D,3,FALSE),"NOT FOUND IN EMAILS")</f>
        <v/>
      </c>
      <c r="R2943" t="str">
        <f ca="1">""&amp;IFERROR(VLOOKUP(O2943,EMAILS!B:E,4,FALSE),"NO T FOUND IN EMAILS")</f>
        <v/>
      </c>
    </row>
    <row r="2944" spans="2:18" x14ac:dyDescent="0.25">
      <c r="B2944" s="5" t="s">
        <v>2946</v>
      </c>
      <c r="C2944" s="5" t="s">
        <v>7086</v>
      </c>
      <c r="D2944" s="5">
        <v>1</v>
      </c>
      <c r="E2944" s="5">
        <v>5</v>
      </c>
      <c r="F2944" s="5">
        <v>0</v>
      </c>
      <c r="G2944" s="5">
        <v>0</v>
      </c>
      <c r="H2944" s="5">
        <v>2</v>
      </c>
      <c r="I2944" s="5">
        <v>0</v>
      </c>
      <c r="J2944" s="5">
        <v>0</v>
      </c>
      <c r="K2944" s="5">
        <v>2</v>
      </c>
      <c r="L2944" s="5">
        <v>0</v>
      </c>
      <c r="M2944" s="5">
        <v>0</v>
      </c>
      <c r="N2944" s="5">
        <v>165</v>
      </c>
      <c r="O2944" s="5" t="str">
        <f t="shared" ca="1" si="45"/>
        <v>Supplier 22</v>
      </c>
      <c r="P2944" s="20" t="str">
        <f ca="1">IFERROR(VLOOKUP(O2944,EMAILS!B:C,2,FALSE),"NOT FOUND IN EMAILS")</f>
        <v>supplier@gmail.com</v>
      </c>
      <c r="Q2944" t="str">
        <f ca="1">""&amp;IFERROR(VLOOKUP(O2944,EMAILS!B:D,3,FALSE),"NOT FOUND IN EMAILS")</f>
        <v/>
      </c>
      <c r="R2944" t="str">
        <f ca="1">""&amp;IFERROR(VLOOKUP(O2944,EMAILS!B:E,4,FALSE),"NO T FOUND IN EMAILS")</f>
        <v/>
      </c>
    </row>
    <row r="2945" spans="2:18" x14ac:dyDescent="0.25">
      <c r="B2945" s="5" t="s">
        <v>2947</v>
      </c>
      <c r="C2945" s="5" t="s">
        <v>7087</v>
      </c>
      <c r="D2945" s="5">
        <v>0</v>
      </c>
      <c r="E2945" s="5">
        <v>0</v>
      </c>
      <c r="F2945" s="5">
        <v>0</v>
      </c>
      <c r="G2945" s="5">
        <v>0</v>
      </c>
      <c r="H2945" s="5">
        <v>0</v>
      </c>
      <c r="I2945" s="5">
        <v>0</v>
      </c>
      <c r="J2945" s="5">
        <v>0</v>
      </c>
      <c r="K2945" s="5">
        <v>0</v>
      </c>
      <c r="L2945" s="5">
        <v>0</v>
      </c>
      <c r="M2945" s="5">
        <v>0</v>
      </c>
      <c r="N2945" s="5">
        <v>183</v>
      </c>
      <c r="O2945" s="5" t="str">
        <f t="shared" ca="1" si="45"/>
        <v>Supplier 53</v>
      </c>
      <c r="P2945" s="20" t="str">
        <f ca="1">IFERROR(VLOOKUP(O2945,EMAILS!B:C,2,FALSE),"NOT FOUND IN EMAILS")</f>
        <v>supplier@gmail.com</v>
      </c>
      <c r="Q2945" t="str">
        <f ca="1">""&amp;IFERROR(VLOOKUP(O2945,EMAILS!B:D,3,FALSE),"NOT FOUND IN EMAILS")</f>
        <v/>
      </c>
      <c r="R2945" t="str">
        <f ca="1">""&amp;IFERROR(VLOOKUP(O2945,EMAILS!B:E,4,FALSE),"NO T FOUND IN EMAILS")</f>
        <v/>
      </c>
    </row>
    <row r="2946" spans="2:18" x14ac:dyDescent="0.25">
      <c r="B2946" s="5" t="s">
        <v>2948</v>
      </c>
      <c r="C2946" s="5" t="s">
        <v>7088</v>
      </c>
      <c r="D2946" s="5">
        <v>0</v>
      </c>
      <c r="E2946" s="5">
        <v>0</v>
      </c>
      <c r="F2946" s="5">
        <v>0</v>
      </c>
      <c r="G2946" s="5">
        <v>0</v>
      </c>
      <c r="H2946" s="5">
        <v>0</v>
      </c>
      <c r="I2946" s="5">
        <v>0</v>
      </c>
      <c r="J2946" s="5">
        <v>0</v>
      </c>
      <c r="K2946" s="5">
        <v>0</v>
      </c>
      <c r="L2946" s="5">
        <v>0</v>
      </c>
      <c r="M2946" s="5">
        <v>0</v>
      </c>
      <c r="N2946" s="5">
        <v>27</v>
      </c>
      <c r="O2946" s="5" t="str">
        <f t="shared" ca="1" si="45"/>
        <v>Supplier 149</v>
      </c>
      <c r="P2946" s="20" t="str">
        <f ca="1">IFERROR(VLOOKUP(O2946,EMAILS!B:C,2,FALSE),"NOT FOUND IN EMAILS")</f>
        <v>supplier@gmail.com</v>
      </c>
      <c r="Q2946" t="str">
        <f ca="1">""&amp;IFERROR(VLOOKUP(O2946,EMAILS!B:D,3,FALSE),"NOT FOUND IN EMAILS")</f>
        <v/>
      </c>
      <c r="R2946" t="str">
        <f ca="1">""&amp;IFERROR(VLOOKUP(O2946,EMAILS!B:E,4,FALSE),"NO T FOUND IN EMAILS")</f>
        <v/>
      </c>
    </row>
    <row r="2947" spans="2:18" x14ac:dyDescent="0.25">
      <c r="B2947" s="5" t="s">
        <v>2949</v>
      </c>
      <c r="C2947" s="5" t="s">
        <v>7089</v>
      </c>
      <c r="D2947" s="5">
        <v>15</v>
      </c>
      <c r="E2947" s="5">
        <v>15</v>
      </c>
      <c r="F2947" s="5">
        <v>20</v>
      </c>
      <c r="G2947" s="5">
        <v>20</v>
      </c>
      <c r="H2947" s="5">
        <v>15</v>
      </c>
      <c r="I2947" s="5">
        <v>15</v>
      </c>
      <c r="J2947" s="5">
        <v>20</v>
      </c>
      <c r="K2947" s="5">
        <v>20</v>
      </c>
      <c r="L2947" s="5">
        <v>5</v>
      </c>
      <c r="M2947" s="5">
        <v>0</v>
      </c>
      <c r="N2947" s="5">
        <v>58</v>
      </c>
      <c r="O2947" s="5" t="str">
        <f t="shared" ref="O2947:O3010" ca="1" si="46">"Supplier "&amp;RANDBETWEEN(1,200)</f>
        <v>Supplier 33</v>
      </c>
      <c r="P2947" s="20" t="str">
        <f ca="1">IFERROR(VLOOKUP(O2947,EMAILS!B:C,2,FALSE),"NOT FOUND IN EMAILS")</f>
        <v>supplier@gmail.com</v>
      </c>
      <c r="Q2947" t="str">
        <f ca="1">""&amp;IFERROR(VLOOKUP(O2947,EMAILS!B:D,3,FALSE),"NOT FOUND IN EMAILS")</f>
        <v/>
      </c>
      <c r="R2947" t="str">
        <f ca="1">""&amp;IFERROR(VLOOKUP(O2947,EMAILS!B:E,4,FALSE),"NO T FOUND IN EMAILS")</f>
        <v/>
      </c>
    </row>
    <row r="2948" spans="2:18" x14ac:dyDescent="0.25">
      <c r="B2948" s="5" t="s">
        <v>2950</v>
      </c>
      <c r="C2948" s="5" t="s">
        <v>7090</v>
      </c>
      <c r="D2948" s="5">
        <v>15</v>
      </c>
      <c r="E2948" s="5">
        <v>15</v>
      </c>
      <c r="F2948" s="5">
        <v>20</v>
      </c>
      <c r="G2948" s="5">
        <v>20</v>
      </c>
      <c r="H2948" s="5">
        <v>15</v>
      </c>
      <c r="I2948" s="5">
        <v>15</v>
      </c>
      <c r="J2948" s="5">
        <v>20</v>
      </c>
      <c r="K2948" s="5">
        <v>20</v>
      </c>
      <c r="L2948" s="5">
        <v>5</v>
      </c>
      <c r="M2948" s="5">
        <v>0</v>
      </c>
      <c r="N2948" s="5">
        <v>34</v>
      </c>
      <c r="O2948" s="5" t="str">
        <f t="shared" ca="1" si="46"/>
        <v>Supplier 130</v>
      </c>
      <c r="P2948" s="20" t="str">
        <f ca="1">IFERROR(VLOOKUP(O2948,EMAILS!B:C,2,FALSE),"NOT FOUND IN EMAILS")</f>
        <v>supplier@gmail.com</v>
      </c>
      <c r="Q2948" t="str">
        <f ca="1">""&amp;IFERROR(VLOOKUP(O2948,EMAILS!B:D,3,FALSE),"NOT FOUND IN EMAILS")</f>
        <v/>
      </c>
      <c r="R2948" t="str">
        <f ca="1">""&amp;IFERROR(VLOOKUP(O2948,EMAILS!B:E,4,FALSE),"NO T FOUND IN EMAILS")</f>
        <v/>
      </c>
    </row>
    <row r="2949" spans="2:18" x14ac:dyDescent="0.25">
      <c r="B2949" s="5" t="s">
        <v>2951</v>
      </c>
      <c r="C2949" s="5" t="s">
        <v>7091</v>
      </c>
      <c r="D2949" s="5">
        <v>15</v>
      </c>
      <c r="E2949" s="5">
        <v>15</v>
      </c>
      <c r="F2949" s="5">
        <v>20</v>
      </c>
      <c r="G2949" s="5">
        <v>20</v>
      </c>
      <c r="H2949" s="5">
        <v>15</v>
      </c>
      <c r="I2949" s="5">
        <v>15</v>
      </c>
      <c r="J2949" s="5">
        <v>20</v>
      </c>
      <c r="K2949" s="5">
        <v>20</v>
      </c>
      <c r="L2949" s="5">
        <v>5</v>
      </c>
      <c r="M2949" s="5">
        <v>0</v>
      </c>
      <c r="N2949" s="5">
        <v>15</v>
      </c>
      <c r="O2949" s="5" t="str">
        <f t="shared" ca="1" si="46"/>
        <v>Supplier 58</v>
      </c>
      <c r="P2949" s="20" t="str">
        <f ca="1">IFERROR(VLOOKUP(O2949,EMAILS!B:C,2,FALSE),"NOT FOUND IN EMAILS")</f>
        <v>supplier@gmail.com</v>
      </c>
      <c r="Q2949" t="str">
        <f ca="1">""&amp;IFERROR(VLOOKUP(O2949,EMAILS!B:D,3,FALSE),"NOT FOUND IN EMAILS")</f>
        <v/>
      </c>
      <c r="R2949" t="str">
        <f ca="1">""&amp;IFERROR(VLOOKUP(O2949,EMAILS!B:E,4,FALSE),"NO T FOUND IN EMAILS")</f>
        <v/>
      </c>
    </row>
    <row r="2950" spans="2:18" x14ac:dyDescent="0.25">
      <c r="B2950" s="5" t="s">
        <v>2952</v>
      </c>
      <c r="C2950" s="5" t="s">
        <v>7092</v>
      </c>
      <c r="D2950" s="5">
        <v>15</v>
      </c>
      <c r="E2950" s="5">
        <v>15</v>
      </c>
      <c r="F2950" s="5">
        <v>20</v>
      </c>
      <c r="G2950" s="5">
        <v>20</v>
      </c>
      <c r="H2950" s="5">
        <v>15</v>
      </c>
      <c r="I2950" s="5">
        <v>15</v>
      </c>
      <c r="J2950" s="5">
        <v>20</v>
      </c>
      <c r="K2950" s="5">
        <v>20</v>
      </c>
      <c r="L2950" s="5">
        <v>5</v>
      </c>
      <c r="M2950" s="5">
        <v>0</v>
      </c>
      <c r="N2950" s="5">
        <v>8</v>
      </c>
      <c r="O2950" s="5" t="str">
        <f t="shared" ca="1" si="46"/>
        <v>Supplier 185</v>
      </c>
      <c r="P2950" s="20" t="str">
        <f ca="1">IFERROR(VLOOKUP(O2950,EMAILS!B:C,2,FALSE),"NOT FOUND IN EMAILS")</f>
        <v>supplier@gmail.com</v>
      </c>
      <c r="Q2950" t="str">
        <f ca="1">""&amp;IFERROR(VLOOKUP(O2950,EMAILS!B:D,3,FALSE),"NOT FOUND IN EMAILS")</f>
        <v/>
      </c>
      <c r="R2950" t="str">
        <f ca="1">""&amp;IFERROR(VLOOKUP(O2950,EMAILS!B:E,4,FALSE),"NO T FOUND IN EMAILS")</f>
        <v/>
      </c>
    </row>
    <row r="2951" spans="2:18" x14ac:dyDescent="0.25">
      <c r="B2951" s="5" t="s">
        <v>2953</v>
      </c>
      <c r="C2951" s="5" t="s">
        <v>7093</v>
      </c>
      <c r="D2951" s="5">
        <v>0</v>
      </c>
      <c r="E2951" s="5">
        <v>0</v>
      </c>
      <c r="F2951" s="5">
        <v>0</v>
      </c>
      <c r="G2951" s="5">
        <v>0</v>
      </c>
      <c r="H2951" s="5">
        <v>0</v>
      </c>
      <c r="I2951" s="5">
        <v>0</v>
      </c>
      <c r="J2951" s="5">
        <v>0</v>
      </c>
      <c r="K2951" s="5">
        <v>0</v>
      </c>
      <c r="L2951" s="5">
        <v>0</v>
      </c>
      <c r="M2951" s="5">
        <v>0</v>
      </c>
      <c r="N2951" s="5">
        <v>7</v>
      </c>
      <c r="O2951" s="5" t="str">
        <f t="shared" ca="1" si="46"/>
        <v>Supplier 191</v>
      </c>
      <c r="P2951" s="20" t="str">
        <f ca="1">IFERROR(VLOOKUP(O2951,EMAILS!B:C,2,FALSE),"NOT FOUND IN EMAILS")</f>
        <v>supplier@gmail.com</v>
      </c>
      <c r="Q2951" t="str">
        <f ca="1">""&amp;IFERROR(VLOOKUP(O2951,EMAILS!B:D,3,FALSE),"NOT FOUND IN EMAILS")</f>
        <v/>
      </c>
      <c r="R2951" t="str">
        <f ca="1">""&amp;IFERROR(VLOOKUP(O2951,EMAILS!B:E,4,FALSE),"NO T FOUND IN EMAILS")</f>
        <v/>
      </c>
    </row>
    <row r="2952" spans="2:18" x14ac:dyDescent="0.25">
      <c r="B2952" s="5" t="s">
        <v>2954</v>
      </c>
      <c r="C2952" s="5" t="s">
        <v>7094</v>
      </c>
      <c r="D2952" s="5">
        <v>5</v>
      </c>
      <c r="E2952" s="5">
        <v>0</v>
      </c>
      <c r="F2952" s="5">
        <v>5</v>
      </c>
      <c r="G2952" s="5">
        <v>1</v>
      </c>
      <c r="H2952" s="5">
        <v>5</v>
      </c>
      <c r="I2952" s="5">
        <v>9</v>
      </c>
      <c r="J2952" s="5">
        <v>2</v>
      </c>
      <c r="K2952" s="5">
        <v>3</v>
      </c>
      <c r="L2952" s="5">
        <v>1</v>
      </c>
      <c r="M2952" s="5">
        <v>0</v>
      </c>
      <c r="N2952" s="5">
        <v>170</v>
      </c>
      <c r="O2952" s="5" t="str">
        <f t="shared" ca="1" si="46"/>
        <v>Supplier 94</v>
      </c>
      <c r="P2952" s="20" t="str">
        <f ca="1">IFERROR(VLOOKUP(O2952,EMAILS!B:C,2,FALSE),"NOT FOUND IN EMAILS")</f>
        <v>supplier@gmail.com</v>
      </c>
      <c r="Q2952" t="str">
        <f ca="1">""&amp;IFERROR(VLOOKUP(O2952,EMAILS!B:D,3,FALSE),"NOT FOUND IN EMAILS")</f>
        <v/>
      </c>
      <c r="R2952" t="str">
        <f ca="1">""&amp;IFERROR(VLOOKUP(O2952,EMAILS!B:E,4,FALSE),"NO T FOUND IN EMAILS")</f>
        <v/>
      </c>
    </row>
    <row r="2953" spans="2:18" x14ac:dyDescent="0.25">
      <c r="B2953" s="5" t="s">
        <v>2955</v>
      </c>
      <c r="C2953" s="5" t="s">
        <v>7095</v>
      </c>
      <c r="D2953" s="5">
        <v>20</v>
      </c>
      <c r="E2953" s="5">
        <v>20</v>
      </c>
      <c r="F2953" s="5">
        <v>20</v>
      </c>
      <c r="G2953" s="5">
        <v>20</v>
      </c>
      <c r="H2953" s="5">
        <v>22</v>
      </c>
      <c r="I2953" s="5">
        <v>22</v>
      </c>
      <c r="J2953" s="5">
        <v>22</v>
      </c>
      <c r="K2953" s="5">
        <v>20</v>
      </c>
      <c r="L2953" s="5">
        <v>20</v>
      </c>
      <c r="M2953" s="5">
        <v>0</v>
      </c>
      <c r="N2953" s="5">
        <v>402</v>
      </c>
      <c r="O2953" s="5" t="str">
        <f t="shared" ca="1" si="46"/>
        <v>Supplier 173</v>
      </c>
      <c r="P2953" s="20" t="str">
        <f ca="1">IFERROR(VLOOKUP(O2953,EMAILS!B:C,2,FALSE),"NOT FOUND IN EMAILS")</f>
        <v>supplier@gmail.com</v>
      </c>
      <c r="Q2953" t="str">
        <f ca="1">""&amp;IFERROR(VLOOKUP(O2953,EMAILS!B:D,3,FALSE),"NOT FOUND IN EMAILS")</f>
        <v/>
      </c>
      <c r="R2953" t="str">
        <f ca="1">""&amp;IFERROR(VLOOKUP(O2953,EMAILS!B:E,4,FALSE),"NO T FOUND IN EMAILS")</f>
        <v/>
      </c>
    </row>
    <row r="2954" spans="2:18" x14ac:dyDescent="0.25">
      <c r="B2954" s="5" t="s">
        <v>2956</v>
      </c>
      <c r="C2954" s="5" t="s">
        <v>7096</v>
      </c>
      <c r="D2954" s="5">
        <v>40</v>
      </c>
      <c r="E2954" s="5">
        <v>40</v>
      </c>
      <c r="F2954" s="5">
        <v>40</v>
      </c>
      <c r="G2954" s="5">
        <v>40</v>
      </c>
      <c r="H2954" s="5">
        <v>44</v>
      </c>
      <c r="I2954" s="5">
        <v>44</v>
      </c>
      <c r="J2954" s="5">
        <v>44</v>
      </c>
      <c r="K2954" s="5">
        <v>40</v>
      </c>
      <c r="L2954" s="5">
        <v>40</v>
      </c>
      <c r="M2954" s="5">
        <v>0</v>
      </c>
      <c r="N2954" s="5">
        <v>11</v>
      </c>
      <c r="O2954" s="5" t="str">
        <f t="shared" ca="1" si="46"/>
        <v>Supplier 153</v>
      </c>
      <c r="P2954" s="20" t="str">
        <f ca="1">IFERROR(VLOOKUP(O2954,EMAILS!B:C,2,FALSE),"NOT FOUND IN EMAILS")</f>
        <v>supplier@gmail.com</v>
      </c>
      <c r="Q2954" t="str">
        <f ca="1">""&amp;IFERROR(VLOOKUP(O2954,EMAILS!B:D,3,FALSE),"NOT FOUND IN EMAILS")</f>
        <v/>
      </c>
      <c r="R2954" t="str">
        <f ca="1">""&amp;IFERROR(VLOOKUP(O2954,EMAILS!B:E,4,FALSE),"NO T FOUND IN EMAILS")</f>
        <v/>
      </c>
    </row>
    <row r="2955" spans="2:18" x14ac:dyDescent="0.25">
      <c r="B2955" s="5" t="s">
        <v>2957</v>
      </c>
      <c r="C2955" s="5" t="s">
        <v>7097</v>
      </c>
      <c r="D2955" s="5">
        <v>8</v>
      </c>
      <c r="E2955" s="5">
        <v>3</v>
      </c>
      <c r="F2955" s="5">
        <v>6</v>
      </c>
      <c r="G2955" s="5">
        <v>6</v>
      </c>
      <c r="H2955" s="5">
        <v>5</v>
      </c>
      <c r="I2955" s="5">
        <v>2</v>
      </c>
      <c r="J2955" s="5">
        <v>0</v>
      </c>
      <c r="K2955" s="5">
        <v>4</v>
      </c>
      <c r="L2955" s="5">
        <v>15</v>
      </c>
      <c r="M2955" s="5">
        <v>0</v>
      </c>
      <c r="N2955" s="5">
        <v>1</v>
      </c>
      <c r="O2955" s="5" t="str">
        <f t="shared" ca="1" si="46"/>
        <v>Supplier 141</v>
      </c>
      <c r="P2955" s="20" t="str">
        <f ca="1">IFERROR(VLOOKUP(O2955,EMAILS!B:C,2,FALSE),"NOT FOUND IN EMAILS")</f>
        <v>supplier@gmail.com</v>
      </c>
      <c r="Q2955" t="str">
        <f ca="1">""&amp;IFERROR(VLOOKUP(O2955,EMAILS!B:D,3,FALSE),"NOT FOUND IN EMAILS")</f>
        <v/>
      </c>
      <c r="R2955" t="str">
        <f ca="1">""&amp;IFERROR(VLOOKUP(O2955,EMAILS!B:E,4,FALSE),"NO T FOUND IN EMAILS")</f>
        <v/>
      </c>
    </row>
    <row r="2956" spans="2:18" x14ac:dyDescent="0.25">
      <c r="B2956" s="5" t="s">
        <v>2958</v>
      </c>
      <c r="C2956" s="5" t="s">
        <v>7098</v>
      </c>
      <c r="D2956" s="5">
        <v>0</v>
      </c>
      <c r="E2956" s="5">
        <v>2</v>
      </c>
      <c r="F2956" s="5">
        <v>2</v>
      </c>
      <c r="G2956" s="5">
        <v>2</v>
      </c>
      <c r="H2956" s="5">
        <v>2</v>
      </c>
      <c r="I2956" s="5">
        <v>2</v>
      </c>
      <c r="J2956" s="5">
        <v>3</v>
      </c>
      <c r="K2956" s="5">
        <v>2</v>
      </c>
      <c r="L2956" s="5">
        <v>2</v>
      </c>
      <c r="M2956" s="5">
        <v>0</v>
      </c>
      <c r="N2956" s="5">
        <v>102</v>
      </c>
      <c r="O2956" s="5" t="str">
        <f t="shared" ca="1" si="46"/>
        <v>Supplier 90</v>
      </c>
      <c r="P2956" s="20" t="str">
        <f ca="1">IFERROR(VLOOKUP(O2956,EMAILS!B:C,2,FALSE),"NOT FOUND IN EMAILS")</f>
        <v>supplier@gmail.com</v>
      </c>
      <c r="Q2956" t="str">
        <f ca="1">""&amp;IFERROR(VLOOKUP(O2956,EMAILS!B:D,3,FALSE),"NOT FOUND IN EMAILS")</f>
        <v/>
      </c>
      <c r="R2956" t="str">
        <f ca="1">""&amp;IFERROR(VLOOKUP(O2956,EMAILS!B:E,4,FALSE),"NO T FOUND IN EMAILS")</f>
        <v/>
      </c>
    </row>
    <row r="2957" spans="2:18" x14ac:dyDescent="0.25">
      <c r="B2957" s="5" t="s">
        <v>2959</v>
      </c>
      <c r="C2957" s="5" t="s">
        <v>7099</v>
      </c>
      <c r="D2957" s="5">
        <v>0</v>
      </c>
      <c r="E2957" s="5">
        <v>8</v>
      </c>
      <c r="F2957" s="5">
        <v>8</v>
      </c>
      <c r="G2957" s="5">
        <v>8</v>
      </c>
      <c r="H2957" s="5">
        <v>8</v>
      </c>
      <c r="I2957" s="5">
        <v>8</v>
      </c>
      <c r="J2957" s="5">
        <v>12</v>
      </c>
      <c r="K2957" s="5">
        <v>8</v>
      </c>
      <c r="L2957" s="5">
        <v>8</v>
      </c>
      <c r="M2957" s="5">
        <v>0</v>
      </c>
      <c r="N2957" s="5">
        <v>55</v>
      </c>
      <c r="O2957" s="5" t="str">
        <f t="shared" ca="1" si="46"/>
        <v>Supplier 151</v>
      </c>
      <c r="P2957" s="20" t="str">
        <f ca="1">IFERROR(VLOOKUP(O2957,EMAILS!B:C,2,FALSE),"NOT FOUND IN EMAILS")</f>
        <v>supplier@gmail.com</v>
      </c>
      <c r="Q2957" t="str">
        <f ca="1">""&amp;IFERROR(VLOOKUP(O2957,EMAILS!B:D,3,FALSE),"NOT FOUND IN EMAILS")</f>
        <v/>
      </c>
      <c r="R2957" t="str">
        <f ca="1">""&amp;IFERROR(VLOOKUP(O2957,EMAILS!B:E,4,FALSE),"NO T FOUND IN EMAILS")</f>
        <v/>
      </c>
    </row>
    <row r="2958" spans="2:18" x14ac:dyDescent="0.25">
      <c r="B2958" s="5" t="s">
        <v>2960</v>
      </c>
      <c r="C2958" s="5" t="s">
        <v>7100</v>
      </c>
      <c r="D2958" s="5">
        <v>0</v>
      </c>
      <c r="E2958" s="5">
        <v>2</v>
      </c>
      <c r="F2958" s="5">
        <v>2</v>
      </c>
      <c r="G2958" s="5">
        <v>2</v>
      </c>
      <c r="H2958" s="5">
        <v>2</v>
      </c>
      <c r="I2958" s="5">
        <v>2</v>
      </c>
      <c r="J2958" s="5">
        <v>3</v>
      </c>
      <c r="K2958" s="5">
        <v>2</v>
      </c>
      <c r="L2958" s="5">
        <v>2</v>
      </c>
      <c r="M2958" s="5">
        <v>0</v>
      </c>
      <c r="N2958" s="5">
        <v>32</v>
      </c>
      <c r="O2958" s="5" t="str">
        <f t="shared" ca="1" si="46"/>
        <v>Supplier 93</v>
      </c>
      <c r="P2958" s="20" t="str">
        <f ca="1">IFERROR(VLOOKUP(O2958,EMAILS!B:C,2,FALSE),"NOT FOUND IN EMAILS")</f>
        <v>supplier@gmail.com</v>
      </c>
      <c r="Q2958" t="str">
        <f ca="1">""&amp;IFERROR(VLOOKUP(O2958,EMAILS!B:D,3,FALSE),"NOT FOUND IN EMAILS")</f>
        <v/>
      </c>
      <c r="R2958" t="str">
        <f ca="1">""&amp;IFERROR(VLOOKUP(O2958,EMAILS!B:E,4,FALSE),"NO T FOUND IN EMAILS")</f>
        <v/>
      </c>
    </row>
    <row r="2959" spans="2:18" x14ac:dyDescent="0.25">
      <c r="B2959" s="5" t="s">
        <v>2961</v>
      </c>
      <c r="C2959" s="5" t="s">
        <v>7101</v>
      </c>
      <c r="D2959" s="5">
        <v>0</v>
      </c>
      <c r="E2959" s="5">
        <v>2</v>
      </c>
      <c r="F2959" s="5">
        <v>2</v>
      </c>
      <c r="G2959" s="5">
        <v>2</v>
      </c>
      <c r="H2959" s="5">
        <v>2</v>
      </c>
      <c r="I2959" s="5">
        <v>2</v>
      </c>
      <c r="J2959" s="5">
        <v>3</v>
      </c>
      <c r="K2959" s="5">
        <v>2</v>
      </c>
      <c r="L2959" s="5">
        <v>2</v>
      </c>
      <c r="M2959" s="5">
        <v>0</v>
      </c>
      <c r="N2959" s="5">
        <v>9</v>
      </c>
      <c r="O2959" s="5" t="str">
        <f t="shared" ca="1" si="46"/>
        <v>Supplier 188</v>
      </c>
      <c r="P2959" s="20" t="str">
        <f ca="1">IFERROR(VLOOKUP(O2959,EMAILS!B:C,2,FALSE),"NOT FOUND IN EMAILS")</f>
        <v>supplier@gmail.com</v>
      </c>
      <c r="Q2959" t="str">
        <f ca="1">""&amp;IFERROR(VLOOKUP(O2959,EMAILS!B:D,3,FALSE),"NOT FOUND IN EMAILS")</f>
        <v/>
      </c>
      <c r="R2959" t="str">
        <f ca="1">""&amp;IFERROR(VLOOKUP(O2959,EMAILS!B:E,4,FALSE),"NO T FOUND IN EMAILS")</f>
        <v/>
      </c>
    </row>
    <row r="2960" spans="2:18" x14ac:dyDescent="0.25">
      <c r="B2960" s="5" t="s">
        <v>2962</v>
      </c>
      <c r="C2960" s="5" t="s">
        <v>7102</v>
      </c>
      <c r="D2960" s="5">
        <v>0</v>
      </c>
      <c r="E2960" s="5">
        <v>2</v>
      </c>
      <c r="F2960" s="5">
        <v>2</v>
      </c>
      <c r="G2960" s="5">
        <v>2</v>
      </c>
      <c r="H2960" s="5">
        <v>2</v>
      </c>
      <c r="I2960" s="5">
        <v>2</v>
      </c>
      <c r="J2960" s="5">
        <v>3</v>
      </c>
      <c r="K2960" s="5">
        <v>2</v>
      </c>
      <c r="L2960" s="5">
        <v>2</v>
      </c>
      <c r="M2960" s="5">
        <v>0</v>
      </c>
      <c r="N2960" s="5">
        <v>15</v>
      </c>
      <c r="O2960" s="5" t="str">
        <f t="shared" ca="1" si="46"/>
        <v>Supplier 141</v>
      </c>
      <c r="P2960" s="20" t="str">
        <f ca="1">IFERROR(VLOOKUP(O2960,EMAILS!B:C,2,FALSE),"NOT FOUND IN EMAILS")</f>
        <v>supplier@gmail.com</v>
      </c>
      <c r="Q2960" t="str">
        <f ca="1">""&amp;IFERROR(VLOOKUP(O2960,EMAILS!B:D,3,FALSE),"NOT FOUND IN EMAILS")</f>
        <v/>
      </c>
      <c r="R2960" t="str">
        <f ca="1">""&amp;IFERROR(VLOOKUP(O2960,EMAILS!B:E,4,FALSE),"NO T FOUND IN EMAILS")</f>
        <v/>
      </c>
    </row>
    <row r="2961" spans="2:18" x14ac:dyDescent="0.25">
      <c r="B2961" s="5" t="s">
        <v>2963</v>
      </c>
      <c r="C2961" s="5" t="s">
        <v>7103</v>
      </c>
      <c r="D2961" s="5">
        <v>0</v>
      </c>
      <c r="E2961" s="5">
        <v>0</v>
      </c>
      <c r="F2961" s="5">
        <v>0</v>
      </c>
      <c r="G2961" s="5">
        <v>0</v>
      </c>
      <c r="H2961" s="5">
        <v>0</v>
      </c>
      <c r="I2961" s="5">
        <v>0</v>
      </c>
      <c r="J2961" s="5">
        <v>1</v>
      </c>
      <c r="K2961" s="5">
        <v>0</v>
      </c>
      <c r="L2961" s="5">
        <v>0</v>
      </c>
      <c r="M2961" s="5">
        <v>0</v>
      </c>
      <c r="N2961" s="5">
        <v>15</v>
      </c>
      <c r="O2961" s="5" t="str">
        <f t="shared" ca="1" si="46"/>
        <v>Supplier 84</v>
      </c>
      <c r="P2961" s="20" t="str">
        <f ca="1">IFERROR(VLOOKUP(O2961,EMAILS!B:C,2,FALSE),"NOT FOUND IN EMAILS")</f>
        <v>supplier@gmail.com</v>
      </c>
      <c r="Q2961" t="str">
        <f ca="1">""&amp;IFERROR(VLOOKUP(O2961,EMAILS!B:D,3,FALSE),"NOT FOUND IN EMAILS")</f>
        <v/>
      </c>
      <c r="R2961" t="str">
        <f ca="1">""&amp;IFERROR(VLOOKUP(O2961,EMAILS!B:E,4,FALSE),"NO T FOUND IN EMAILS")</f>
        <v/>
      </c>
    </row>
    <row r="2962" spans="2:18" x14ac:dyDescent="0.25">
      <c r="B2962" s="5" t="s">
        <v>2964</v>
      </c>
      <c r="C2962" s="5" t="s">
        <v>7104</v>
      </c>
      <c r="D2962" s="5">
        <v>0</v>
      </c>
      <c r="E2962" s="5">
        <v>0</v>
      </c>
      <c r="F2962" s="5">
        <v>0</v>
      </c>
      <c r="G2962" s="5">
        <v>0</v>
      </c>
      <c r="H2962" s="5">
        <v>0</v>
      </c>
      <c r="I2962" s="5">
        <v>0</v>
      </c>
      <c r="J2962" s="5">
        <v>0</v>
      </c>
      <c r="K2962" s="5">
        <v>0</v>
      </c>
      <c r="L2962" s="5">
        <v>0</v>
      </c>
      <c r="M2962" s="5">
        <v>0</v>
      </c>
      <c r="N2962" s="5">
        <v>7</v>
      </c>
      <c r="O2962" s="5" t="str">
        <f t="shared" ca="1" si="46"/>
        <v>Supplier 198</v>
      </c>
      <c r="P2962" s="20" t="str">
        <f ca="1">IFERROR(VLOOKUP(O2962,EMAILS!B:C,2,FALSE),"NOT FOUND IN EMAILS")</f>
        <v>supplier@gmail.com</v>
      </c>
      <c r="Q2962" t="str">
        <f ca="1">""&amp;IFERROR(VLOOKUP(O2962,EMAILS!B:D,3,FALSE),"NOT FOUND IN EMAILS")</f>
        <v/>
      </c>
      <c r="R2962" t="str">
        <f ca="1">""&amp;IFERROR(VLOOKUP(O2962,EMAILS!B:E,4,FALSE),"NO T FOUND IN EMAILS")</f>
        <v/>
      </c>
    </row>
    <row r="2963" spans="2:18" x14ac:dyDescent="0.25">
      <c r="B2963" s="5" t="s">
        <v>2965</v>
      </c>
      <c r="C2963" s="5" t="s">
        <v>7105</v>
      </c>
      <c r="D2963" s="5">
        <v>0</v>
      </c>
      <c r="E2963" s="5">
        <v>0</v>
      </c>
      <c r="F2963" s="5">
        <v>0</v>
      </c>
      <c r="G2963" s="5">
        <v>0</v>
      </c>
      <c r="H2963" s="5">
        <v>1</v>
      </c>
      <c r="I2963" s="5">
        <v>1</v>
      </c>
      <c r="J2963" s="5">
        <v>1</v>
      </c>
      <c r="K2963" s="5">
        <v>0</v>
      </c>
      <c r="L2963" s="5">
        <v>0</v>
      </c>
      <c r="M2963" s="5">
        <v>0</v>
      </c>
      <c r="N2963" s="5">
        <v>11</v>
      </c>
      <c r="O2963" s="5" t="str">
        <f t="shared" ca="1" si="46"/>
        <v>Supplier 69</v>
      </c>
      <c r="P2963" s="20" t="str">
        <f ca="1">IFERROR(VLOOKUP(O2963,EMAILS!B:C,2,FALSE),"NOT FOUND IN EMAILS")</f>
        <v>supplier@gmail.com</v>
      </c>
      <c r="Q2963" t="str">
        <f ca="1">""&amp;IFERROR(VLOOKUP(O2963,EMAILS!B:D,3,FALSE),"NOT FOUND IN EMAILS")</f>
        <v/>
      </c>
      <c r="R2963" t="str">
        <f ca="1">""&amp;IFERROR(VLOOKUP(O2963,EMAILS!B:E,4,FALSE),"NO T FOUND IN EMAILS")</f>
        <v/>
      </c>
    </row>
    <row r="2964" spans="2:18" x14ac:dyDescent="0.25">
      <c r="B2964" s="5" t="s">
        <v>2966</v>
      </c>
      <c r="C2964" s="5" t="s">
        <v>7106</v>
      </c>
      <c r="D2964" s="5">
        <v>1</v>
      </c>
      <c r="E2964" s="5">
        <v>0</v>
      </c>
      <c r="F2964" s="5">
        <v>0</v>
      </c>
      <c r="G2964" s="5">
        <v>0</v>
      </c>
      <c r="H2964" s="5">
        <v>1</v>
      </c>
      <c r="I2964" s="5">
        <v>0</v>
      </c>
      <c r="J2964" s="5">
        <v>0</v>
      </c>
      <c r="K2964" s="5">
        <v>1</v>
      </c>
      <c r="L2964" s="5">
        <v>0</v>
      </c>
      <c r="M2964" s="5">
        <v>0</v>
      </c>
      <c r="N2964" s="5">
        <v>938</v>
      </c>
      <c r="O2964" s="5" t="str">
        <f t="shared" ca="1" si="46"/>
        <v>Supplier 5</v>
      </c>
      <c r="P2964" s="20" t="str">
        <f ca="1">IFERROR(VLOOKUP(O2964,EMAILS!B:C,2,FALSE),"NOT FOUND IN EMAILS")</f>
        <v>supplier@gmail.com</v>
      </c>
      <c r="Q2964" t="str">
        <f ca="1">""&amp;IFERROR(VLOOKUP(O2964,EMAILS!B:D,3,FALSE),"NOT FOUND IN EMAILS")</f>
        <v>supplier_logistics@gmail.com</v>
      </c>
      <c r="R2964" t="str">
        <f ca="1">""&amp;IFERROR(VLOOKUP(O2964,EMAILS!B:E,4,FALSE),"NO T FOUND IN EMAILS")</f>
        <v/>
      </c>
    </row>
    <row r="2965" spans="2:18" x14ac:dyDescent="0.25">
      <c r="B2965" s="5" t="s">
        <v>2967</v>
      </c>
      <c r="C2965" s="5" t="s">
        <v>7107</v>
      </c>
      <c r="D2965" s="5">
        <v>0</v>
      </c>
      <c r="E2965" s="5">
        <v>0</v>
      </c>
      <c r="F2965" s="5">
        <v>0</v>
      </c>
      <c r="G2965" s="5">
        <v>0</v>
      </c>
      <c r="H2965" s="5">
        <v>0</v>
      </c>
      <c r="I2965" s="5">
        <v>0</v>
      </c>
      <c r="J2965" s="5">
        <v>0</v>
      </c>
      <c r="K2965" s="5">
        <v>0</v>
      </c>
      <c r="L2965" s="5">
        <v>0</v>
      </c>
      <c r="M2965" s="5">
        <v>0</v>
      </c>
      <c r="N2965" s="5">
        <v>0</v>
      </c>
      <c r="O2965" s="5" t="str">
        <f t="shared" ca="1" si="46"/>
        <v>Supplier 40</v>
      </c>
      <c r="P2965" s="20" t="str">
        <f ca="1">IFERROR(VLOOKUP(O2965,EMAILS!B:C,2,FALSE),"NOT FOUND IN EMAILS")</f>
        <v>supplier@gmail.com</v>
      </c>
      <c r="Q2965" t="str">
        <f ca="1">""&amp;IFERROR(VLOOKUP(O2965,EMAILS!B:D,3,FALSE),"NOT FOUND IN EMAILS")</f>
        <v/>
      </c>
      <c r="R2965" t="str">
        <f ca="1">""&amp;IFERROR(VLOOKUP(O2965,EMAILS!B:E,4,FALSE),"NO T FOUND IN EMAILS")</f>
        <v/>
      </c>
    </row>
    <row r="2966" spans="2:18" x14ac:dyDescent="0.25">
      <c r="B2966" s="5" t="s">
        <v>2968</v>
      </c>
      <c r="C2966" s="5" t="s">
        <v>7108</v>
      </c>
      <c r="D2966" s="5">
        <v>400</v>
      </c>
      <c r="E2966" s="5">
        <v>40</v>
      </c>
      <c r="F2966" s="5">
        <v>240</v>
      </c>
      <c r="G2966" s="5">
        <v>160</v>
      </c>
      <c r="H2966" s="5">
        <v>320</v>
      </c>
      <c r="I2966" s="5">
        <v>160</v>
      </c>
      <c r="J2966" s="5">
        <v>80</v>
      </c>
      <c r="K2966" s="5">
        <v>200</v>
      </c>
      <c r="L2966" s="5">
        <v>280</v>
      </c>
      <c r="M2966" s="5">
        <v>0</v>
      </c>
      <c r="N2966" s="5">
        <v>1860</v>
      </c>
      <c r="O2966" s="5" t="str">
        <f t="shared" ca="1" si="46"/>
        <v>Supplier 14</v>
      </c>
      <c r="P2966" s="20" t="str">
        <f ca="1">IFERROR(VLOOKUP(O2966,EMAILS!B:C,2,FALSE),"NOT FOUND IN EMAILS")</f>
        <v>supplier@gmail.com</v>
      </c>
      <c r="Q2966" t="str">
        <f ca="1">""&amp;IFERROR(VLOOKUP(O2966,EMAILS!B:D,3,FALSE),"NOT FOUND IN EMAILS")</f>
        <v>supplier_logistics@gmail.com</v>
      </c>
      <c r="R2966" t="str">
        <f ca="1">""&amp;IFERROR(VLOOKUP(O2966,EMAILS!B:E,4,FALSE),"NO T FOUND IN EMAILS")</f>
        <v/>
      </c>
    </row>
    <row r="2967" spans="2:18" x14ac:dyDescent="0.25">
      <c r="B2967" s="5" t="s">
        <v>2969</v>
      </c>
      <c r="C2967" s="5" t="s">
        <v>7109</v>
      </c>
      <c r="D2967" s="5">
        <v>0</v>
      </c>
      <c r="E2967" s="5">
        <v>0</v>
      </c>
      <c r="F2967" s="5">
        <v>0</v>
      </c>
      <c r="G2967" s="5">
        <v>0</v>
      </c>
      <c r="H2967" s="5">
        <v>0</v>
      </c>
      <c r="I2967" s="5">
        <v>0</v>
      </c>
      <c r="J2967" s="5">
        <v>0</v>
      </c>
      <c r="K2967" s="5">
        <v>0</v>
      </c>
      <c r="L2967" s="5">
        <v>0</v>
      </c>
      <c r="M2967" s="5">
        <v>0</v>
      </c>
      <c r="N2967" s="5">
        <v>0</v>
      </c>
      <c r="O2967" s="5" t="str">
        <f t="shared" ca="1" si="46"/>
        <v>Supplier 176</v>
      </c>
      <c r="P2967" s="20" t="str">
        <f ca="1">IFERROR(VLOOKUP(O2967,EMAILS!B:C,2,FALSE),"NOT FOUND IN EMAILS")</f>
        <v>supplier@gmail.com</v>
      </c>
      <c r="Q2967" t="str">
        <f ca="1">""&amp;IFERROR(VLOOKUP(O2967,EMAILS!B:D,3,FALSE),"NOT FOUND IN EMAILS")</f>
        <v/>
      </c>
      <c r="R2967" t="str">
        <f ca="1">""&amp;IFERROR(VLOOKUP(O2967,EMAILS!B:E,4,FALSE),"NO T FOUND IN EMAILS")</f>
        <v/>
      </c>
    </row>
    <row r="2968" spans="2:18" x14ac:dyDescent="0.25">
      <c r="B2968" s="5" t="s">
        <v>2970</v>
      </c>
      <c r="C2968" s="5" t="s">
        <v>7110</v>
      </c>
      <c r="D2968" s="5">
        <v>100</v>
      </c>
      <c r="E2968" s="5">
        <v>10</v>
      </c>
      <c r="F2968" s="5">
        <v>60</v>
      </c>
      <c r="G2968" s="5">
        <v>40</v>
      </c>
      <c r="H2968" s="5">
        <v>80</v>
      </c>
      <c r="I2968" s="5">
        <v>40</v>
      </c>
      <c r="J2968" s="5">
        <v>20</v>
      </c>
      <c r="K2968" s="5">
        <v>50</v>
      </c>
      <c r="L2968" s="5">
        <v>220</v>
      </c>
      <c r="M2968" s="5">
        <v>0</v>
      </c>
      <c r="N2968" s="5">
        <v>73</v>
      </c>
      <c r="O2968" s="5" t="str">
        <f t="shared" ca="1" si="46"/>
        <v>Supplier 143</v>
      </c>
      <c r="P2968" s="20" t="str">
        <f ca="1">IFERROR(VLOOKUP(O2968,EMAILS!B:C,2,FALSE),"NOT FOUND IN EMAILS")</f>
        <v>supplier@gmail.com</v>
      </c>
      <c r="Q2968" t="str">
        <f ca="1">""&amp;IFERROR(VLOOKUP(O2968,EMAILS!B:D,3,FALSE),"NOT FOUND IN EMAILS")</f>
        <v/>
      </c>
      <c r="R2968" t="str">
        <f ca="1">""&amp;IFERROR(VLOOKUP(O2968,EMAILS!B:E,4,FALSE),"NO T FOUND IN EMAILS")</f>
        <v/>
      </c>
    </row>
    <row r="2969" spans="2:18" x14ac:dyDescent="0.25">
      <c r="B2969" s="5" t="s">
        <v>2971</v>
      </c>
      <c r="C2969" s="5" t="s">
        <v>7111</v>
      </c>
      <c r="D2969" s="5">
        <v>4</v>
      </c>
      <c r="E2969" s="5">
        <v>0</v>
      </c>
      <c r="F2969" s="5">
        <v>32</v>
      </c>
      <c r="G2969" s="5">
        <v>16</v>
      </c>
      <c r="H2969" s="5">
        <v>12</v>
      </c>
      <c r="I2969" s="5">
        <v>0</v>
      </c>
      <c r="J2969" s="5">
        <v>8</v>
      </c>
      <c r="K2969" s="5">
        <v>20</v>
      </c>
      <c r="L2969" s="5">
        <v>0</v>
      </c>
      <c r="M2969" s="5">
        <v>0</v>
      </c>
      <c r="N2969" s="5">
        <v>0</v>
      </c>
      <c r="O2969" s="5" t="str">
        <f t="shared" ca="1" si="46"/>
        <v>Supplier 163</v>
      </c>
      <c r="P2969" s="20" t="str">
        <f ca="1">IFERROR(VLOOKUP(O2969,EMAILS!B:C,2,FALSE),"NOT FOUND IN EMAILS")</f>
        <v>supplier@gmail.com</v>
      </c>
      <c r="Q2969" t="str">
        <f ca="1">""&amp;IFERROR(VLOOKUP(O2969,EMAILS!B:D,3,FALSE),"NOT FOUND IN EMAILS")</f>
        <v/>
      </c>
      <c r="R2969" t="str">
        <f ca="1">""&amp;IFERROR(VLOOKUP(O2969,EMAILS!B:E,4,FALSE),"NO T FOUND IN EMAILS")</f>
        <v/>
      </c>
    </row>
    <row r="2970" spans="2:18" x14ac:dyDescent="0.25">
      <c r="B2970" s="5" t="s">
        <v>2972</v>
      </c>
      <c r="C2970" s="5" t="s">
        <v>7112</v>
      </c>
      <c r="D2970" s="5">
        <v>55</v>
      </c>
      <c r="E2970" s="5">
        <v>269</v>
      </c>
      <c r="F2970" s="5">
        <v>80</v>
      </c>
      <c r="G2970" s="5">
        <v>76</v>
      </c>
      <c r="H2970" s="5">
        <v>59</v>
      </c>
      <c r="I2970" s="5">
        <v>45</v>
      </c>
      <c r="J2970" s="5">
        <v>64</v>
      </c>
      <c r="K2970" s="5">
        <v>270</v>
      </c>
      <c r="L2970" s="5">
        <v>15</v>
      </c>
      <c r="M2970" s="5">
        <v>0</v>
      </c>
      <c r="N2970" s="5">
        <v>189</v>
      </c>
      <c r="O2970" s="5" t="str">
        <f t="shared" ca="1" si="46"/>
        <v>Supplier 188</v>
      </c>
      <c r="P2970" s="20" t="str">
        <f ca="1">IFERROR(VLOOKUP(O2970,EMAILS!B:C,2,FALSE),"NOT FOUND IN EMAILS")</f>
        <v>supplier@gmail.com</v>
      </c>
      <c r="Q2970" t="str">
        <f ca="1">""&amp;IFERROR(VLOOKUP(O2970,EMAILS!B:D,3,FALSE),"NOT FOUND IN EMAILS")</f>
        <v/>
      </c>
      <c r="R2970" t="str">
        <f ca="1">""&amp;IFERROR(VLOOKUP(O2970,EMAILS!B:E,4,FALSE),"NO T FOUND IN EMAILS")</f>
        <v/>
      </c>
    </row>
    <row r="2971" spans="2:18" x14ac:dyDescent="0.25">
      <c r="B2971" s="5" t="s">
        <v>2973</v>
      </c>
      <c r="C2971" s="5" t="s">
        <v>7113</v>
      </c>
      <c r="D2971" s="5">
        <v>200</v>
      </c>
      <c r="E2971" s="5">
        <v>0</v>
      </c>
      <c r="F2971" s="5">
        <v>82</v>
      </c>
      <c r="G2971" s="5">
        <v>0</v>
      </c>
      <c r="H2971" s="5">
        <v>0</v>
      </c>
      <c r="I2971" s="5">
        <v>0</v>
      </c>
      <c r="J2971" s="5">
        <v>0</v>
      </c>
      <c r="K2971" s="5">
        <v>0</v>
      </c>
      <c r="L2971" s="5">
        <v>0</v>
      </c>
      <c r="M2971" s="5">
        <v>0</v>
      </c>
      <c r="N2971" s="5">
        <v>430</v>
      </c>
      <c r="O2971" s="5" t="str">
        <f t="shared" ca="1" si="46"/>
        <v>Supplier 83</v>
      </c>
      <c r="P2971" s="20" t="str">
        <f ca="1">IFERROR(VLOOKUP(O2971,EMAILS!B:C,2,FALSE),"NOT FOUND IN EMAILS")</f>
        <v>supplier@gmail.com</v>
      </c>
      <c r="Q2971" t="str">
        <f ca="1">""&amp;IFERROR(VLOOKUP(O2971,EMAILS!B:D,3,FALSE),"NOT FOUND IN EMAILS")</f>
        <v/>
      </c>
      <c r="R2971" t="str">
        <f ca="1">""&amp;IFERROR(VLOOKUP(O2971,EMAILS!B:E,4,FALSE),"NO T FOUND IN EMAILS")</f>
        <v/>
      </c>
    </row>
    <row r="2972" spans="2:18" x14ac:dyDescent="0.25">
      <c r="B2972" s="5" t="s">
        <v>2974</v>
      </c>
      <c r="C2972" s="5" t="s">
        <v>7114</v>
      </c>
      <c r="D2972" s="5">
        <v>216</v>
      </c>
      <c r="E2972" s="5">
        <v>2</v>
      </c>
      <c r="F2972" s="5">
        <v>128</v>
      </c>
      <c r="G2972" s="5">
        <v>32</v>
      </c>
      <c r="H2972" s="5">
        <v>20</v>
      </c>
      <c r="I2972" s="5">
        <v>200</v>
      </c>
      <c r="J2972" s="5">
        <v>16</v>
      </c>
      <c r="K2972" s="5">
        <v>30</v>
      </c>
      <c r="L2972" s="5">
        <v>0</v>
      </c>
      <c r="M2972" s="5">
        <v>0</v>
      </c>
      <c r="N2972" s="5">
        <v>37</v>
      </c>
      <c r="O2972" s="5" t="str">
        <f t="shared" ca="1" si="46"/>
        <v>Supplier 163</v>
      </c>
      <c r="P2972" s="20" t="str">
        <f ca="1">IFERROR(VLOOKUP(O2972,EMAILS!B:C,2,FALSE),"NOT FOUND IN EMAILS")</f>
        <v>supplier@gmail.com</v>
      </c>
      <c r="Q2972" t="str">
        <f ca="1">""&amp;IFERROR(VLOOKUP(O2972,EMAILS!B:D,3,FALSE),"NOT FOUND IN EMAILS")</f>
        <v/>
      </c>
      <c r="R2972" t="str">
        <f ca="1">""&amp;IFERROR(VLOOKUP(O2972,EMAILS!B:E,4,FALSE),"NO T FOUND IN EMAILS")</f>
        <v/>
      </c>
    </row>
    <row r="2973" spans="2:18" x14ac:dyDescent="0.25">
      <c r="B2973" s="5" t="s">
        <v>2975</v>
      </c>
      <c r="C2973" s="5" t="s">
        <v>7115</v>
      </c>
      <c r="D2973" s="5">
        <v>1080</v>
      </c>
      <c r="E2973" s="5">
        <v>860</v>
      </c>
      <c r="F2973" s="5">
        <v>1258</v>
      </c>
      <c r="G2973" s="5">
        <v>1046</v>
      </c>
      <c r="H2973" s="5">
        <v>908</v>
      </c>
      <c r="I2973" s="5">
        <v>994</v>
      </c>
      <c r="J2973" s="5">
        <v>654</v>
      </c>
      <c r="K2973" s="5">
        <v>618</v>
      </c>
      <c r="L2973" s="5">
        <v>683</v>
      </c>
      <c r="M2973" s="5">
        <v>0</v>
      </c>
      <c r="N2973" s="5">
        <v>0</v>
      </c>
      <c r="O2973" s="5" t="str">
        <f t="shared" ca="1" si="46"/>
        <v>Supplier 140</v>
      </c>
      <c r="P2973" s="20" t="str">
        <f ca="1">IFERROR(VLOOKUP(O2973,EMAILS!B:C,2,FALSE),"NOT FOUND IN EMAILS")</f>
        <v>supplier@gmail.com</v>
      </c>
      <c r="Q2973" t="str">
        <f ca="1">""&amp;IFERROR(VLOOKUP(O2973,EMAILS!B:D,3,FALSE),"NOT FOUND IN EMAILS")</f>
        <v/>
      </c>
      <c r="R2973" t="str">
        <f ca="1">""&amp;IFERROR(VLOOKUP(O2973,EMAILS!B:E,4,FALSE),"NO T FOUND IN EMAILS")</f>
        <v/>
      </c>
    </row>
    <row r="2974" spans="2:18" x14ac:dyDescent="0.25">
      <c r="B2974" s="5" t="s">
        <v>2976</v>
      </c>
      <c r="C2974" s="5" t="s">
        <v>7116</v>
      </c>
      <c r="D2974" s="5">
        <v>400</v>
      </c>
      <c r="E2974" s="5">
        <v>0</v>
      </c>
      <c r="F2974" s="5">
        <v>280</v>
      </c>
      <c r="G2974" s="5">
        <v>0</v>
      </c>
      <c r="H2974" s="5">
        <v>0</v>
      </c>
      <c r="I2974" s="5">
        <v>2</v>
      </c>
      <c r="J2974" s="5">
        <v>50</v>
      </c>
      <c r="K2974" s="5">
        <v>0</v>
      </c>
      <c r="L2974" s="5">
        <v>60</v>
      </c>
      <c r="M2974" s="5">
        <v>0</v>
      </c>
      <c r="N2974" s="5">
        <v>250</v>
      </c>
      <c r="O2974" s="5" t="str">
        <f t="shared" ca="1" si="46"/>
        <v>Supplier 32</v>
      </c>
      <c r="P2974" s="20" t="str">
        <f ca="1">IFERROR(VLOOKUP(O2974,EMAILS!B:C,2,FALSE),"NOT FOUND IN EMAILS")</f>
        <v>supplier@gmail.com</v>
      </c>
      <c r="Q2974" t="str">
        <f ca="1">""&amp;IFERROR(VLOOKUP(O2974,EMAILS!B:D,3,FALSE),"NOT FOUND IN EMAILS")</f>
        <v/>
      </c>
      <c r="R2974" t="str">
        <f ca="1">""&amp;IFERROR(VLOOKUP(O2974,EMAILS!B:E,4,FALSE),"NO T FOUND IN EMAILS")</f>
        <v/>
      </c>
    </row>
    <row r="2975" spans="2:18" x14ac:dyDescent="0.25">
      <c r="B2975" s="5" t="s">
        <v>2977</v>
      </c>
      <c r="C2975" s="5" t="s">
        <v>7117</v>
      </c>
      <c r="D2975" s="5">
        <v>200</v>
      </c>
      <c r="E2975" s="5">
        <v>0</v>
      </c>
      <c r="F2975" s="5">
        <v>0</v>
      </c>
      <c r="G2975" s="5">
        <v>0</v>
      </c>
      <c r="H2975" s="5">
        <v>0</v>
      </c>
      <c r="I2975" s="5">
        <v>100</v>
      </c>
      <c r="J2975" s="5">
        <v>0</v>
      </c>
      <c r="K2975" s="5">
        <v>0</v>
      </c>
      <c r="L2975" s="5">
        <v>0</v>
      </c>
      <c r="M2975" s="5">
        <v>0</v>
      </c>
      <c r="N2975" s="5">
        <v>0</v>
      </c>
      <c r="O2975" s="5" t="str">
        <f t="shared" ca="1" si="46"/>
        <v>Supplier 117</v>
      </c>
      <c r="P2975" s="20" t="str">
        <f ca="1">IFERROR(VLOOKUP(O2975,EMAILS!B:C,2,FALSE),"NOT FOUND IN EMAILS")</f>
        <v>supplier@gmail.com</v>
      </c>
      <c r="Q2975" t="str">
        <f ca="1">""&amp;IFERROR(VLOOKUP(O2975,EMAILS!B:D,3,FALSE),"NOT FOUND IN EMAILS")</f>
        <v/>
      </c>
      <c r="R2975" t="str">
        <f ca="1">""&amp;IFERROR(VLOOKUP(O2975,EMAILS!B:E,4,FALSE),"NO T FOUND IN EMAILS")</f>
        <v/>
      </c>
    </row>
    <row r="2976" spans="2:18" x14ac:dyDescent="0.25">
      <c r="B2976" s="5" t="s">
        <v>2978</v>
      </c>
      <c r="C2976" s="5" t="s">
        <v>7118</v>
      </c>
      <c r="D2976" s="5">
        <v>0</v>
      </c>
      <c r="E2976" s="5">
        <v>0</v>
      </c>
      <c r="F2976" s="5">
        <v>0</v>
      </c>
      <c r="G2976" s="5">
        <v>2</v>
      </c>
      <c r="H2976" s="5">
        <v>0</v>
      </c>
      <c r="I2976" s="5">
        <v>0</v>
      </c>
      <c r="J2976" s="5">
        <v>0</v>
      </c>
      <c r="K2976" s="5">
        <v>0</v>
      </c>
      <c r="L2976" s="5">
        <v>0</v>
      </c>
      <c r="M2976" s="5">
        <v>0</v>
      </c>
      <c r="N2976" s="5">
        <v>207</v>
      </c>
      <c r="O2976" s="5" t="str">
        <f t="shared" ca="1" si="46"/>
        <v>Supplier 135</v>
      </c>
      <c r="P2976" s="20" t="str">
        <f ca="1">IFERROR(VLOOKUP(O2976,EMAILS!B:C,2,FALSE),"NOT FOUND IN EMAILS")</f>
        <v>supplier@gmail.com</v>
      </c>
      <c r="Q2976" t="str">
        <f ca="1">""&amp;IFERROR(VLOOKUP(O2976,EMAILS!B:D,3,FALSE),"NOT FOUND IN EMAILS")</f>
        <v/>
      </c>
      <c r="R2976" t="str">
        <f ca="1">""&amp;IFERROR(VLOOKUP(O2976,EMAILS!B:E,4,FALSE),"NO T FOUND IN EMAILS")</f>
        <v/>
      </c>
    </row>
    <row r="2977" spans="2:18" x14ac:dyDescent="0.25">
      <c r="B2977" s="5" t="s">
        <v>2979</v>
      </c>
      <c r="C2977" s="5" t="s">
        <v>7119</v>
      </c>
      <c r="D2977" s="5">
        <v>2</v>
      </c>
      <c r="E2977" s="5">
        <v>0</v>
      </c>
      <c r="F2977" s="5">
        <v>6</v>
      </c>
      <c r="G2977" s="5">
        <v>4</v>
      </c>
      <c r="H2977" s="5">
        <v>2</v>
      </c>
      <c r="I2977" s="5">
        <v>0</v>
      </c>
      <c r="J2977" s="5">
        <v>0</v>
      </c>
      <c r="K2977" s="5">
        <v>0</v>
      </c>
      <c r="L2977" s="5">
        <v>0</v>
      </c>
      <c r="M2977" s="5">
        <v>0</v>
      </c>
      <c r="N2977" s="5">
        <v>26</v>
      </c>
      <c r="O2977" s="5" t="str">
        <f t="shared" ca="1" si="46"/>
        <v>Supplier 69</v>
      </c>
      <c r="P2977" s="20" t="str">
        <f ca="1">IFERROR(VLOOKUP(O2977,EMAILS!B:C,2,FALSE),"NOT FOUND IN EMAILS")</f>
        <v>supplier@gmail.com</v>
      </c>
      <c r="Q2977" t="str">
        <f ca="1">""&amp;IFERROR(VLOOKUP(O2977,EMAILS!B:D,3,FALSE),"NOT FOUND IN EMAILS")</f>
        <v/>
      </c>
      <c r="R2977" t="str">
        <f ca="1">""&amp;IFERROR(VLOOKUP(O2977,EMAILS!B:E,4,FALSE),"NO T FOUND IN EMAILS")</f>
        <v/>
      </c>
    </row>
    <row r="2978" spans="2:18" x14ac:dyDescent="0.25">
      <c r="B2978" s="5" t="s">
        <v>2980</v>
      </c>
      <c r="C2978" s="5" t="s">
        <v>7120</v>
      </c>
      <c r="D2978" s="5">
        <v>0</v>
      </c>
      <c r="E2978" s="5">
        <v>0</v>
      </c>
      <c r="F2978" s="5">
        <v>30</v>
      </c>
      <c r="G2978" s="5">
        <v>0</v>
      </c>
      <c r="H2978" s="5">
        <v>0</v>
      </c>
      <c r="I2978" s="5">
        <v>0</v>
      </c>
      <c r="J2978" s="5">
        <v>0</v>
      </c>
      <c r="K2978" s="5">
        <v>0</v>
      </c>
      <c r="L2978" s="5">
        <v>30</v>
      </c>
      <c r="M2978" s="5">
        <v>0</v>
      </c>
      <c r="N2978" s="5">
        <v>56</v>
      </c>
      <c r="O2978" s="5" t="str">
        <f t="shared" ca="1" si="46"/>
        <v>Supplier 51</v>
      </c>
      <c r="P2978" s="20" t="str">
        <f ca="1">IFERROR(VLOOKUP(O2978,EMAILS!B:C,2,FALSE),"NOT FOUND IN EMAILS")</f>
        <v>supplier@gmail.com</v>
      </c>
      <c r="Q2978" t="str">
        <f ca="1">""&amp;IFERROR(VLOOKUP(O2978,EMAILS!B:D,3,FALSE),"NOT FOUND IN EMAILS")</f>
        <v/>
      </c>
      <c r="R2978" t="str">
        <f ca="1">""&amp;IFERROR(VLOOKUP(O2978,EMAILS!B:E,4,FALSE),"NO T FOUND IN EMAILS")</f>
        <v/>
      </c>
    </row>
    <row r="2979" spans="2:18" x14ac:dyDescent="0.25">
      <c r="B2979" s="5" t="s">
        <v>2981</v>
      </c>
      <c r="C2979" s="5" t="s">
        <v>7121</v>
      </c>
      <c r="D2979" s="5">
        <v>0</v>
      </c>
      <c r="E2979" s="5">
        <v>0</v>
      </c>
      <c r="F2979" s="5">
        <v>0</v>
      </c>
      <c r="G2979" s="5">
        <v>0</v>
      </c>
      <c r="H2979" s="5">
        <v>0</v>
      </c>
      <c r="I2979" s="5">
        <v>0</v>
      </c>
      <c r="J2979" s="5">
        <v>0</v>
      </c>
      <c r="K2979" s="5">
        <v>0</v>
      </c>
      <c r="L2979" s="5">
        <v>0</v>
      </c>
      <c r="M2979" s="5">
        <v>0</v>
      </c>
      <c r="N2979" s="5">
        <v>190</v>
      </c>
      <c r="O2979" s="5" t="str">
        <f t="shared" ca="1" si="46"/>
        <v>Supplier 33</v>
      </c>
      <c r="P2979" s="20" t="str">
        <f ca="1">IFERROR(VLOOKUP(O2979,EMAILS!B:C,2,FALSE),"NOT FOUND IN EMAILS")</f>
        <v>supplier@gmail.com</v>
      </c>
      <c r="Q2979" t="str">
        <f ca="1">""&amp;IFERROR(VLOOKUP(O2979,EMAILS!B:D,3,FALSE),"NOT FOUND IN EMAILS")</f>
        <v/>
      </c>
      <c r="R2979" t="str">
        <f ca="1">""&amp;IFERROR(VLOOKUP(O2979,EMAILS!B:E,4,FALSE),"NO T FOUND IN EMAILS")</f>
        <v/>
      </c>
    </row>
    <row r="2980" spans="2:18" x14ac:dyDescent="0.25">
      <c r="B2980" s="5" t="s">
        <v>2982</v>
      </c>
      <c r="C2980" s="5" t="s">
        <v>7122</v>
      </c>
      <c r="D2980" s="5">
        <v>200</v>
      </c>
      <c r="E2980" s="5">
        <v>0</v>
      </c>
      <c r="F2980" s="5">
        <v>80</v>
      </c>
      <c r="G2980" s="5">
        <v>4</v>
      </c>
      <c r="H2980" s="5">
        <v>0</v>
      </c>
      <c r="I2980" s="5">
        <v>0</v>
      </c>
      <c r="J2980" s="5">
        <v>0</v>
      </c>
      <c r="K2980" s="5">
        <v>0</v>
      </c>
      <c r="L2980" s="5">
        <v>0</v>
      </c>
      <c r="M2980" s="5">
        <v>0</v>
      </c>
      <c r="N2980" s="5">
        <v>0</v>
      </c>
      <c r="O2980" s="5" t="str">
        <f t="shared" ca="1" si="46"/>
        <v>Supplier 160</v>
      </c>
      <c r="P2980" s="20" t="str">
        <f ca="1">IFERROR(VLOOKUP(O2980,EMAILS!B:C,2,FALSE),"NOT FOUND IN EMAILS")</f>
        <v>supplier@gmail.com</v>
      </c>
      <c r="Q2980" t="str">
        <f ca="1">""&amp;IFERROR(VLOOKUP(O2980,EMAILS!B:D,3,FALSE),"NOT FOUND IN EMAILS")</f>
        <v/>
      </c>
      <c r="R2980" t="str">
        <f ca="1">""&amp;IFERROR(VLOOKUP(O2980,EMAILS!B:E,4,FALSE),"NO T FOUND IN EMAILS")</f>
        <v/>
      </c>
    </row>
    <row r="2981" spans="2:18" x14ac:dyDescent="0.25">
      <c r="B2981" s="5" t="s">
        <v>2983</v>
      </c>
      <c r="C2981" s="5" t="s">
        <v>7123</v>
      </c>
      <c r="D2981" s="5">
        <v>0</v>
      </c>
      <c r="E2981" s="5">
        <v>0</v>
      </c>
      <c r="F2981" s="5">
        <v>0</v>
      </c>
      <c r="G2981" s="5">
        <v>0</v>
      </c>
      <c r="H2981" s="5">
        <v>0</v>
      </c>
      <c r="I2981" s="5">
        <v>0</v>
      </c>
      <c r="J2981" s="5">
        <v>0</v>
      </c>
      <c r="K2981" s="5">
        <v>0</v>
      </c>
      <c r="L2981" s="5">
        <v>0</v>
      </c>
      <c r="M2981" s="5">
        <v>0</v>
      </c>
      <c r="N2981" s="5">
        <v>166</v>
      </c>
      <c r="O2981" s="5" t="str">
        <f t="shared" ca="1" si="46"/>
        <v>Supplier 53</v>
      </c>
      <c r="P2981" s="20" t="str">
        <f ca="1">IFERROR(VLOOKUP(O2981,EMAILS!B:C,2,FALSE),"NOT FOUND IN EMAILS")</f>
        <v>supplier@gmail.com</v>
      </c>
      <c r="Q2981" t="str">
        <f ca="1">""&amp;IFERROR(VLOOKUP(O2981,EMAILS!B:D,3,FALSE),"NOT FOUND IN EMAILS")</f>
        <v/>
      </c>
      <c r="R2981" t="str">
        <f ca="1">""&amp;IFERROR(VLOOKUP(O2981,EMAILS!B:E,4,FALSE),"NO T FOUND IN EMAILS")</f>
        <v/>
      </c>
    </row>
    <row r="2982" spans="2:18" x14ac:dyDescent="0.25">
      <c r="B2982" s="5" t="s">
        <v>2984</v>
      </c>
      <c r="C2982" s="5" t="s">
        <v>7124</v>
      </c>
      <c r="D2982" s="5">
        <v>0</v>
      </c>
      <c r="E2982" s="5">
        <v>0</v>
      </c>
      <c r="F2982" s="5">
        <v>0</v>
      </c>
      <c r="G2982" s="5">
        <v>0</v>
      </c>
      <c r="H2982" s="5">
        <v>0</v>
      </c>
      <c r="I2982" s="5">
        <v>0</v>
      </c>
      <c r="J2982" s="5">
        <v>0</v>
      </c>
      <c r="K2982" s="5">
        <v>0</v>
      </c>
      <c r="L2982" s="5">
        <v>0</v>
      </c>
      <c r="M2982" s="5">
        <v>0</v>
      </c>
      <c r="N2982" s="5">
        <v>0</v>
      </c>
      <c r="O2982" s="5" t="str">
        <f t="shared" ca="1" si="46"/>
        <v>Supplier 35</v>
      </c>
      <c r="P2982" s="20" t="str">
        <f ca="1">IFERROR(VLOOKUP(O2982,EMAILS!B:C,2,FALSE),"NOT FOUND IN EMAILS")</f>
        <v>supplier@gmail.com</v>
      </c>
      <c r="Q2982" t="str">
        <f ca="1">""&amp;IFERROR(VLOOKUP(O2982,EMAILS!B:D,3,FALSE),"NOT FOUND IN EMAILS")</f>
        <v/>
      </c>
      <c r="R2982" t="str">
        <f ca="1">""&amp;IFERROR(VLOOKUP(O2982,EMAILS!B:E,4,FALSE),"NO T FOUND IN EMAILS")</f>
        <v/>
      </c>
    </row>
    <row r="2983" spans="2:18" x14ac:dyDescent="0.25">
      <c r="B2983" s="5" t="s">
        <v>2985</v>
      </c>
      <c r="C2983" s="5" t="s">
        <v>7125</v>
      </c>
      <c r="D2983" s="5">
        <v>200</v>
      </c>
      <c r="E2983" s="5">
        <v>0</v>
      </c>
      <c r="F2983" s="5">
        <v>0</v>
      </c>
      <c r="G2983" s="5">
        <v>200</v>
      </c>
      <c r="H2983" s="5">
        <v>200</v>
      </c>
      <c r="I2983" s="5">
        <v>0</v>
      </c>
      <c r="J2983" s="5">
        <v>0</v>
      </c>
      <c r="K2983" s="5">
        <v>0</v>
      </c>
      <c r="L2983" s="5">
        <v>0</v>
      </c>
      <c r="M2983" s="5">
        <v>0</v>
      </c>
      <c r="N2983" s="5">
        <v>681</v>
      </c>
      <c r="O2983" s="5" t="str">
        <f t="shared" ca="1" si="46"/>
        <v>Supplier 28</v>
      </c>
      <c r="P2983" s="20" t="str">
        <f ca="1">IFERROR(VLOOKUP(O2983,EMAILS!B:C,2,FALSE),"NOT FOUND IN EMAILS")</f>
        <v>supplier@gmail.com</v>
      </c>
      <c r="Q2983" t="str">
        <f ca="1">""&amp;IFERROR(VLOOKUP(O2983,EMAILS!B:D,3,FALSE),"NOT FOUND IN EMAILS")</f>
        <v/>
      </c>
      <c r="R2983" t="str">
        <f ca="1">""&amp;IFERROR(VLOOKUP(O2983,EMAILS!B:E,4,FALSE),"NO T FOUND IN EMAILS")</f>
        <v/>
      </c>
    </row>
    <row r="2984" spans="2:18" x14ac:dyDescent="0.25">
      <c r="B2984" s="5" t="s">
        <v>2986</v>
      </c>
      <c r="C2984" s="5" t="s">
        <v>7126</v>
      </c>
      <c r="D2984" s="5">
        <v>11050</v>
      </c>
      <c r="E2984" s="5">
        <v>7964</v>
      </c>
      <c r="F2984" s="5">
        <v>9516</v>
      </c>
      <c r="G2984" s="5">
        <v>10516</v>
      </c>
      <c r="H2984" s="5">
        <v>9382</v>
      </c>
      <c r="I2984" s="5">
        <v>10524</v>
      </c>
      <c r="J2984" s="5">
        <v>8762</v>
      </c>
      <c r="K2984" s="5">
        <v>8170</v>
      </c>
      <c r="L2984" s="5">
        <v>8782</v>
      </c>
      <c r="M2984" s="5">
        <v>0</v>
      </c>
      <c r="N2984" s="5">
        <v>0</v>
      </c>
      <c r="O2984" s="5" t="str">
        <f t="shared" ca="1" si="46"/>
        <v>Supplier 67</v>
      </c>
      <c r="P2984" s="20" t="str">
        <f ca="1">IFERROR(VLOOKUP(O2984,EMAILS!B:C,2,FALSE),"NOT FOUND IN EMAILS")</f>
        <v>supplier@gmail.com</v>
      </c>
      <c r="Q2984" t="str">
        <f ca="1">""&amp;IFERROR(VLOOKUP(O2984,EMAILS!B:D,3,FALSE),"NOT FOUND IN EMAILS")</f>
        <v/>
      </c>
      <c r="R2984" t="str">
        <f ca="1">""&amp;IFERROR(VLOOKUP(O2984,EMAILS!B:E,4,FALSE),"NO T FOUND IN EMAILS")</f>
        <v/>
      </c>
    </row>
    <row r="2985" spans="2:18" x14ac:dyDescent="0.25">
      <c r="B2985" s="5" t="s">
        <v>2987</v>
      </c>
      <c r="C2985" s="5" t="s">
        <v>7127</v>
      </c>
      <c r="D2985" s="5">
        <v>0</v>
      </c>
      <c r="E2985" s="5">
        <v>0</v>
      </c>
      <c r="F2985" s="5">
        <v>0</v>
      </c>
      <c r="G2985" s="5">
        <v>0</v>
      </c>
      <c r="H2985" s="5">
        <v>0</v>
      </c>
      <c r="I2985" s="5">
        <v>0</v>
      </c>
      <c r="J2985" s="5">
        <v>0</v>
      </c>
      <c r="K2985" s="5">
        <v>0</v>
      </c>
      <c r="L2985" s="5">
        <v>0</v>
      </c>
      <c r="M2985" s="5">
        <v>0</v>
      </c>
      <c r="N2985" s="5">
        <v>2354</v>
      </c>
      <c r="O2985" s="5" t="str">
        <f t="shared" ca="1" si="46"/>
        <v>Supplier 13</v>
      </c>
      <c r="P2985" s="20" t="str">
        <f ca="1">IFERROR(VLOOKUP(O2985,EMAILS!B:C,2,FALSE),"NOT FOUND IN EMAILS")</f>
        <v>supplier@gmail.com</v>
      </c>
      <c r="Q2985" t="str">
        <f ca="1">""&amp;IFERROR(VLOOKUP(O2985,EMAILS!B:D,3,FALSE),"NOT FOUND IN EMAILS")</f>
        <v>supplier_logistics@gmail.com</v>
      </c>
      <c r="R2985" t="str">
        <f ca="1">""&amp;IFERROR(VLOOKUP(O2985,EMAILS!B:E,4,FALSE),"NO T FOUND IN EMAILS")</f>
        <v/>
      </c>
    </row>
    <row r="2986" spans="2:18" x14ac:dyDescent="0.25">
      <c r="B2986" s="5" t="s">
        <v>2988</v>
      </c>
      <c r="C2986" s="5" t="s">
        <v>7128</v>
      </c>
      <c r="D2986" s="5">
        <v>0</v>
      </c>
      <c r="E2986" s="5">
        <v>0</v>
      </c>
      <c r="F2986" s="5">
        <v>0</v>
      </c>
      <c r="G2986" s="5">
        <v>0</v>
      </c>
      <c r="H2986" s="5">
        <v>0</v>
      </c>
      <c r="I2986" s="5">
        <v>2</v>
      </c>
      <c r="J2986" s="5">
        <v>0</v>
      </c>
      <c r="K2986" s="5">
        <v>0</v>
      </c>
      <c r="L2986" s="5">
        <v>0</v>
      </c>
      <c r="M2986" s="5">
        <v>0</v>
      </c>
      <c r="N2986" s="5">
        <v>1377</v>
      </c>
      <c r="O2986" s="5" t="str">
        <f t="shared" ca="1" si="46"/>
        <v>Supplier 184</v>
      </c>
      <c r="P2986" s="20" t="str">
        <f ca="1">IFERROR(VLOOKUP(O2986,EMAILS!B:C,2,FALSE),"NOT FOUND IN EMAILS")</f>
        <v>supplier@gmail.com</v>
      </c>
      <c r="Q2986" t="str">
        <f ca="1">""&amp;IFERROR(VLOOKUP(O2986,EMAILS!B:D,3,FALSE),"NOT FOUND IN EMAILS")</f>
        <v/>
      </c>
      <c r="R2986" t="str">
        <f ca="1">""&amp;IFERROR(VLOOKUP(O2986,EMAILS!B:E,4,FALSE),"NO T FOUND IN EMAILS")</f>
        <v/>
      </c>
    </row>
    <row r="2987" spans="2:18" x14ac:dyDescent="0.25">
      <c r="B2987" s="5" t="s">
        <v>2989</v>
      </c>
      <c r="C2987" s="5" t="s">
        <v>7129</v>
      </c>
      <c r="D2987" s="5">
        <v>0</v>
      </c>
      <c r="E2987" s="5">
        <v>0</v>
      </c>
      <c r="F2987" s="5">
        <v>0</v>
      </c>
      <c r="G2987" s="5">
        <v>15</v>
      </c>
      <c r="H2987" s="5">
        <v>0</v>
      </c>
      <c r="I2987" s="5">
        <v>3</v>
      </c>
      <c r="J2987" s="5">
        <v>0</v>
      </c>
      <c r="K2987" s="5">
        <v>0</v>
      </c>
      <c r="L2987" s="5">
        <v>0</v>
      </c>
      <c r="M2987" s="5">
        <v>0</v>
      </c>
      <c r="N2987" s="5">
        <v>600</v>
      </c>
      <c r="O2987" s="5" t="str">
        <f t="shared" ca="1" si="46"/>
        <v>Supplier 120</v>
      </c>
      <c r="P2987" s="20" t="str">
        <f ca="1">IFERROR(VLOOKUP(O2987,EMAILS!B:C,2,FALSE),"NOT FOUND IN EMAILS")</f>
        <v>supplier@gmail.com</v>
      </c>
      <c r="Q2987" t="str">
        <f ca="1">""&amp;IFERROR(VLOOKUP(O2987,EMAILS!B:D,3,FALSE),"NOT FOUND IN EMAILS")</f>
        <v/>
      </c>
      <c r="R2987" t="str">
        <f ca="1">""&amp;IFERROR(VLOOKUP(O2987,EMAILS!B:E,4,FALSE),"NO T FOUND IN EMAILS")</f>
        <v/>
      </c>
    </row>
    <row r="2988" spans="2:18" x14ac:dyDescent="0.25">
      <c r="B2988" s="5" t="s">
        <v>2990</v>
      </c>
      <c r="C2988" s="5" t="s">
        <v>7130</v>
      </c>
      <c r="D2988" s="5">
        <v>36</v>
      </c>
      <c r="E2988" s="5">
        <v>20</v>
      </c>
      <c r="F2988" s="5">
        <v>20</v>
      </c>
      <c r="G2988" s="5">
        <v>20</v>
      </c>
      <c r="H2988" s="5">
        <v>0</v>
      </c>
      <c r="I2988" s="5">
        <v>0</v>
      </c>
      <c r="J2988" s="5">
        <v>0</v>
      </c>
      <c r="K2988" s="5">
        <v>0</v>
      </c>
      <c r="L2988" s="5">
        <v>0</v>
      </c>
      <c r="M2988" s="5">
        <v>0</v>
      </c>
      <c r="N2988" s="5">
        <v>912</v>
      </c>
      <c r="O2988" s="5" t="str">
        <f t="shared" ca="1" si="46"/>
        <v>Supplier 66</v>
      </c>
      <c r="P2988" s="20" t="str">
        <f ca="1">IFERROR(VLOOKUP(O2988,EMAILS!B:C,2,FALSE),"NOT FOUND IN EMAILS")</f>
        <v>supplier@gmail.com</v>
      </c>
      <c r="Q2988" t="str">
        <f ca="1">""&amp;IFERROR(VLOOKUP(O2988,EMAILS!B:D,3,FALSE),"NOT FOUND IN EMAILS")</f>
        <v/>
      </c>
      <c r="R2988" t="str">
        <f ca="1">""&amp;IFERROR(VLOOKUP(O2988,EMAILS!B:E,4,FALSE),"NO T FOUND IN EMAILS")</f>
        <v/>
      </c>
    </row>
    <row r="2989" spans="2:18" x14ac:dyDescent="0.25">
      <c r="B2989" s="5" t="s">
        <v>2991</v>
      </c>
      <c r="C2989" s="5" t="s">
        <v>7131</v>
      </c>
      <c r="D2989" s="5">
        <v>0</v>
      </c>
      <c r="E2989" s="5">
        <v>0</v>
      </c>
      <c r="F2989" s="5">
        <v>20</v>
      </c>
      <c r="G2989" s="5">
        <v>0</v>
      </c>
      <c r="H2989" s="5">
        <v>0</v>
      </c>
      <c r="I2989" s="5">
        <v>0</v>
      </c>
      <c r="J2989" s="5">
        <v>0</v>
      </c>
      <c r="K2989" s="5">
        <v>0</v>
      </c>
      <c r="L2989" s="5">
        <v>0</v>
      </c>
      <c r="M2989" s="5">
        <v>0</v>
      </c>
      <c r="N2989" s="5">
        <v>74</v>
      </c>
      <c r="O2989" s="5" t="str">
        <f t="shared" ca="1" si="46"/>
        <v>Supplier 23</v>
      </c>
      <c r="P2989" s="20" t="str">
        <f ca="1">IFERROR(VLOOKUP(O2989,EMAILS!B:C,2,FALSE),"NOT FOUND IN EMAILS")</f>
        <v>supplier@gmail.com</v>
      </c>
      <c r="Q2989" t="str">
        <f ca="1">""&amp;IFERROR(VLOOKUP(O2989,EMAILS!B:D,3,FALSE),"NOT FOUND IN EMAILS")</f>
        <v/>
      </c>
      <c r="R2989" t="str">
        <f ca="1">""&amp;IFERROR(VLOOKUP(O2989,EMAILS!B:E,4,FALSE),"NO T FOUND IN EMAILS")</f>
        <v/>
      </c>
    </row>
    <row r="2990" spans="2:18" x14ac:dyDescent="0.25">
      <c r="B2990" s="5" t="s">
        <v>2992</v>
      </c>
      <c r="C2990" s="5" t="s">
        <v>7132</v>
      </c>
      <c r="D2990" s="5">
        <v>0</v>
      </c>
      <c r="E2990" s="5">
        <v>0</v>
      </c>
      <c r="F2990" s="5">
        <v>20</v>
      </c>
      <c r="G2990" s="5">
        <v>0</v>
      </c>
      <c r="H2990" s="5">
        <v>0</v>
      </c>
      <c r="I2990" s="5">
        <v>0</v>
      </c>
      <c r="J2990" s="5">
        <v>0</v>
      </c>
      <c r="K2990" s="5">
        <v>0</v>
      </c>
      <c r="L2990" s="5">
        <v>0</v>
      </c>
      <c r="M2990" s="5">
        <v>0</v>
      </c>
      <c r="N2990" s="5">
        <v>400</v>
      </c>
      <c r="O2990" s="5" t="str">
        <f t="shared" ca="1" si="46"/>
        <v>Supplier 105</v>
      </c>
      <c r="P2990" s="20" t="str">
        <f ca="1">IFERROR(VLOOKUP(O2990,EMAILS!B:C,2,FALSE),"NOT FOUND IN EMAILS")</f>
        <v>supplier@gmail.com</v>
      </c>
      <c r="Q2990" t="str">
        <f ca="1">""&amp;IFERROR(VLOOKUP(O2990,EMAILS!B:D,3,FALSE),"NOT FOUND IN EMAILS")</f>
        <v/>
      </c>
      <c r="R2990" t="str">
        <f ca="1">""&amp;IFERROR(VLOOKUP(O2990,EMAILS!B:E,4,FALSE),"NO T FOUND IN EMAILS")</f>
        <v/>
      </c>
    </row>
    <row r="2991" spans="2:18" x14ac:dyDescent="0.25">
      <c r="B2991" s="5" t="s">
        <v>2993</v>
      </c>
      <c r="C2991" s="5" t="s">
        <v>7133</v>
      </c>
      <c r="D2991" s="5">
        <v>0</v>
      </c>
      <c r="E2991" s="5">
        <v>0</v>
      </c>
      <c r="F2991" s="5">
        <v>0</v>
      </c>
      <c r="G2991" s="5">
        <v>0</v>
      </c>
      <c r="H2991" s="5">
        <v>0</v>
      </c>
      <c r="I2991" s="5">
        <v>0</v>
      </c>
      <c r="J2991" s="5">
        <v>0</v>
      </c>
      <c r="K2991" s="5">
        <v>0</v>
      </c>
      <c r="L2991" s="5">
        <v>0</v>
      </c>
      <c r="M2991" s="5">
        <v>0</v>
      </c>
      <c r="N2991" s="5">
        <v>2800</v>
      </c>
      <c r="O2991" s="5" t="str">
        <f t="shared" ca="1" si="46"/>
        <v>Supplier 26</v>
      </c>
      <c r="P2991" s="20" t="str">
        <f ca="1">IFERROR(VLOOKUP(O2991,EMAILS!B:C,2,FALSE),"NOT FOUND IN EMAILS")</f>
        <v>supplier@gmail.com</v>
      </c>
      <c r="Q2991" t="str">
        <f ca="1">""&amp;IFERROR(VLOOKUP(O2991,EMAILS!B:D,3,FALSE),"NOT FOUND IN EMAILS")</f>
        <v/>
      </c>
      <c r="R2991" t="str">
        <f ca="1">""&amp;IFERROR(VLOOKUP(O2991,EMAILS!B:E,4,FALSE),"NO T FOUND IN EMAILS")</f>
        <v/>
      </c>
    </row>
    <row r="2992" spans="2:18" x14ac:dyDescent="0.25">
      <c r="B2992" s="5" t="s">
        <v>2994</v>
      </c>
      <c r="C2992" s="5" t="s">
        <v>7134</v>
      </c>
      <c r="D2992" s="5">
        <v>0</v>
      </c>
      <c r="E2992" s="5">
        <v>0</v>
      </c>
      <c r="F2992" s="5">
        <v>0</v>
      </c>
      <c r="G2992" s="5">
        <v>0</v>
      </c>
      <c r="H2992" s="5">
        <v>0</v>
      </c>
      <c r="I2992" s="5">
        <v>0</v>
      </c>
      <c r="J2992" s="5">
        <v>0</v>
      </c>
      <c r="K2992" s="5">
        <v>0</v>
      </c>
      <c r="L2992" s="5">
        <v>0</v>
      </c>
      <c r="M2992" s="5">
        <v>0</v>
      </c>
      <c r="N2992" s="5">
        <v>1631</v>
      </c>
      <c r="O2992" s="5" t="str">
        <f t="shared" ca="1" si="46"/>
        <v>Supplier 153</v>
      </c>
      <c r="P2992" s="20" t="str">
        <f ca="1">IFERROR(VLOOKUP(O2992,EMAILS!B:C,2,FALSE),"NOT FOUND IN EMAILS")</f>
        <v>supplier@gmail.com</v>
      </c>
      <c r="Q2992" t="str">
        <f ca="1">""&amp;IFERROR(VLOOKUP(O2992,EMAILS!B:D,3,FALSE),"NOT FOUND IN EMAILS")</f>
        <v/>
      </c>
      <c r="R2992" t="str">
        <f ca="1">""&amp;IFERROR(VLOOKUP(O2992,EMAILS!B:E,4,FALSE),"NO T FOUND IN EMAILS")</f>
        <v/>
      </c>
    </row>
    <row r="2993" spans="2:18" x14ac:dyDescent="0.25">
      <c r="B2993" s="5" t="s">
        <v>2995</v>
      </c>
      <c r="C2993" s="5" t="s">
        <v>7135</v>
      </c>
      <c r="D2993" s="5">
        <v>78</v>
      </c>
      <c r="E2993" s="5">
        <v>114</v>
      </c>
      <c r="F2993" s="5">
        <v>89</v>
      </c>
      <c r="G2993" s="5">
        <v>89</v>
      </c>
      <c r="H2993" s="5">
        <v>78</v>
      </c>
      <c r="I2993" s="5">
        <v>60</v>
      </c>
      <c r="J2993" s="5">
        <v>80</v>
      </c>
      <c r="K2993" s="5">
        <v>80</v>
      </c>
      <c r="L2993" s="5">
        <v>20</v>
      </c>
      <c r="M2993" s="5">
        <v>0</v>
      </c>
      <c r="N2993" s="5">
        <v>264</v>
      </c>
      <c r="O2993" s="5" t="str">
        <f t="shared" ca="1" si="46"/>
        <v>Supplier 191</v>
      </c>
      <c r="P2993" s="20" t="str">
        <f ca="1">IFERROR(VLOOKUP(O2993,EMAILS!B:C,2,FALSE),"NOT FOUND IN EMAILS")</f>
        <v>supplier@gmail.com</v>
      </c>
      <c r="Q2993" t="str">
        <f ca="1">""&amp;IFERROR(VLOOKUP(O2993,EMAILS!B:D,3,FALSE),"NOT FOUND IN EMAILS")</f>
        <v/>
      </c>
      <c r="R2993" t="str">
        <f ca="1">""&amp;IFERROR(VLOOKUP(O2993,EMAILS!B:E,4,FALSE),"NO T FOUND IN EMAILS")</f>
        <v/>
      </c>
    </row>
    <row r="2994" spans="2:18" x14ac:dyDescent="0.25">
      <c r="B2994" s="5" t="s">
        <v>2996</v>
      </c>
      <c r="C2994" s="5" t="s">
        <v>7136</v>
      </c>
      <c r="D2994" s="5">
        <v>40</v>
      </c>
      <c r="E2994" s="5">
        <v>46</v>
      </c>
      <c r="F2994" s="5">
        <v>160</v>
      </c>
      <c r="G2994" s="5">
        <v>297</v>
      </c>
      <c r="H2994" s="5">
        <v>40</v>
      </c>
      <c r="I2994" s="5">
        <v>32</v>
      </c>
      <c r="J2994" s="5">
        <v>32</v>
      </c>
      <c r="K2994" s="5">
        <v>292</v>
      </c>
      <c r="L2994" s="5">
        <v>32</v>
      </c>
      <c r="M2994" s="5">
        <v>0</v>
      </c>
      <c r="N2994" s="5">
        <v>4</v>
      </c>
      <c r="O2994" s="5" t="str">
        <f t="shared" ca="1" si="46"/>
        <v>Supplier 124</v>
      </c>
      <c r="P2994" s="20" t="str">
        <f ca="1">IFERROR(VLOOKUP(O2994,EMAILS!B:C,2,FALSE),"NOT FOUND IN EMAILS")</f>
        <v>supplier@gmail.com</v>
      </c>
      <c r="Q2994" t="str">
        <f ca="1">""&amp;IFERROR(VLOOKUP(O2994,EMAILS!B:D,3,FALSE),"NOT FOUND IN EMAILS")</f>
        <v/>
      </c>
      <c r="R2994" t="str">
        <f ca="1">""&amp;IFERROR(VLOOKUP(O2994,EMAILS!B:E,4,FALSE),"NO T FOUND IN EMAILS")</f>
        <v/>
      </c>
    </row>
    <row r="2995" spans="2:18" x14ac:dyDescent="0.25">
      <c r="B2995" s="5" t="s">
        <v>2997</v>
      </c>
      <c r="C2995" s="5" t="s">
        <v>7137</v>
      </c>
      <c r="D2995" s="5">
        <v>2</v>
      </c>
      <c r="E2995" s="5">
        <v>0</v>
      </c>
      <c r="F2995" s="5">
        <v>2</v>
      </c>
      <c r="G2995" s="5">
        <v>1</v>
      </c>
      <c r="H2995" s="5">
        <v>2</v>
      </c>
      <c r="I2995" s="5">
        <v>0</v>
      </c>
      <c r="J2995" s="5">
        <v>0</v>
      </c>
      <c r="K2995" s="5">
        <v>0</v>
      </c>
      <c r="L2995" s="5">
        <v>1</v>
      </c>
      <c r="M2995" s="5">
        <v>0</v>
      </c>
      <c r="N2995" s="5">
        <v>72</v>
      </c>
      <c r="O2995" s="5" t="str">
        <f t="shared" ca="1" si="46"/>
        <v>Supplier 106</v>
      </c>
      <c r="P2995" s="20" t="str">
        <f ca="1">IFERROR(VLOOKUP(O2995,EMAILS!B:C,2,FALSE),"NOT FOUND IN EMAILS")</f>
        <v>supplier@gmail.com</v>
      </c>
      <c r="Q2995" t="str">
        <f ca="1">""&amp;IFERROR(VLOOKUP(O2995,EMAILS!B:D,3,FALSE),"NOT FOUND IN EMAILS")</f>
        <v/>
      </c>
      <c r="R2995" t="str">
        <f ca="1">""&amp;IFERROR(VLOOKUP(O2995,EMAILS!B:E,4,FALSE),"NO T FOUND IN EMAILS")</f>
        <v/>
      </c>
    </row>
    <row r="2996" spans="2:18" x14ac:dyDescent="0.25">
      <c r="B2996" s="5" t="s">
        <v>2998</v>
      </c>
      <c r="C2996" s="5" t="s">
        <v>7138</v>
      </c>
      <c r="D2996" s="5">
        <v>0</v>
      </c>
      <c r="E2996" s="5">
        <v>0</v>
      </c>
      <c r="F2996" s="5">
        <v>0</v>
      </c>
      <c r="G2996" s="5">
        <v>0</v>
      </c>
      <c r="H2996" s="5">
        <v>0</v>
      </c>
      <c r="I2996" s="5">
        <v>0</v>
      </c>
      <c r="J2996" s="5">
        <v>0</v>
      </c>
      <c r="K2996" s="5">
        <v>20</v>
      </c>
      <c r="L2996" s="5">
        <v>0</v>
      </c>
      <c r="M2996" s="5">
        <v>0</v>
      </c>
      <c r="N2996" s="5">
        <v>1167</v>
      </c>
      <c r="O2996" s="5" t="str">
        <f t="shared" ca="1" si="46"/>
        <v>Supplier 39</v>
      </c>
      <c r="P2996" s="20" t="str">
        <f ca="1">IFERROR(VLOOKUP(O2996,EMAILS!B:C,2,FALSE),"NOT FOUND IN EMAILS")</f>
        <v>supplier@gmail.com</v>
      </c>
      <c r="Q2996" t="str">
        <f ca="1">""&amp;IFERROR(VLOOKUP(O2996,EMAILS!B:D,3,FALSE),"NOT FOUND IN EMAILS")</f>
        <v/>
      </c>
      <c r="R2996" t="str">
        <f ca="1">""&amp;IFERROR(VLOOKUP(O2996,EMAILS!B:E,4,FALSE),"NO T FOUND IN EMAILS")</f>
        <v/>
      </c>
    </row>
    <row r="2997" spans="2:18" x14ac:dyDescent="0.25">
      <c r="B2997" s="5" t="s">
        <v>2999</v>
      </c>
      <c r="C2997" s="5" t="s">
        <v>7139</v>
      </c>
      <c r="D2997" s="5">
        <v>100</v>
      </c>
      <c r="E2997" s="5">
        <v>10</v>
      </c>
      <c r="F2997" s="5">
        <v>60</v>
      </c>
      <c r="G2997" s="5">
        <v>40</v>
      </c>
      <c r="H2997" s="5">
        <v>80</v>
      </c>
      <c r="I2997" s="5">
        <v>40</v>
      </c>
      <c r="J2997" s="5">
        <v>20</v>
      </c>
      <c r="K2997" s="5">
        <v>50</v>
      </c>
      <c r="L2997" s="5">
        <v>70</v>
      </c>
      <c r="M2997" s="5">
        <v>0</v>
      </c>
      <c r="N2997" s="5">
        <v>1339</v>
      </c>
      <c r="O2997" s="5" t="str">
        <f t="shared" ca="1" si="46"/>
        <v>Supplier 8</v>
      </c>
      <c r="P2997" s="20" t="str">
        <f ca="1">IFERROR(VLOOKUP(O2997,EMAILS!B:C,2,FALSE),"NOT FOUND IN EMAILS")</f>
        <v>supplier@gmail.com</v>
      </c>
      <c r="Q2997" t="str">
        <f ca="1">""&amp;IFERROR(VLOOKUP(O2997,EMAILS!B:D,3,FALSE),"NOT FOUND IN EMAILS")</f>
        <v>supplier_logistics@gmail.com</v>
      </c>
      <c r="R2997" t="str">
        <f ca="1">""&amp;IFERROR(VLOOKUP(O2997,EMAILS!B:E,4,FALSE),"NO T FOUND IN EMAILS")</f>
        <v/>
      </c>
    </row>
    <row r="2998" spans="2:18" x14ac:dyDescent="0.25">
      <c r="B2998" s="5" t="s">
        <v>3000</v>
      </c>
      <c r="C2998" s="5" t="s">
        <v>7140</v>
      </c>
      <c r="D2998" s="5">
        <v>112</v>
      </c>
      <c r="E2998" s="5">
        <v>194</v>
      </c>
      <c r="F2998" s="5">
        <v>202</v>
      </c>
      <c r="G2998" s="5">
        <v>194</v>
      </c>
      <c r="H2998" s="5">
        <v>120</v>
      </c>
      <c r="I2998" s="5">
        <v>182</v>
      </c>
      <c r="J2998" s="5">
        <v>136</v>
      </c>
      <c r="K2998" s="5">
        <v>128</v>
      </c>
      <c r="L2998" s="5">
        <v>108</v>
      </c>
      <c r="M2998" s="5">
        <v>0</v>
      </c>
      <c r="N2998" s="5">
        <v>200</v>
      </c>
      <c r="O2998" s="5" t="str">
        <f t="shared" ca="1" si="46"/>
        <v>Supplier 46</v>
      </c>
      <c r="P2998" s="20" t="str">
        <f ca="1">IFERROR(VLOOKUP(O2998,EMAILS!B:C,2,FALSE),"NOT FOUND IN EMAILS")</f>
        <v>supplier@gmail.com</v>
      </c>
      <c r="Q2998" t="str">
        <f ca="1">""&amp;IFERROR(VLOOKUP(O2998,EMAILS!B:D,3,FALSE),"NOT FOUND IN EMAILS")</f>
        <v/>
      </c>
      <c r="R2998" t="str">
        <f ca="1">""&amp;IFERROR(VLOOKUP(O2998,EMAILS!B:E,4,FALSE),"NO T FOUND IN EMAILS")</f>
        <v/>
      </c>
    </row>
    <row r="2999" spans="2:18" x14ac:dyDescent="0.25">
      <c r="B2999" s="5" t="s">
        <v>3001</v>
      </c>
      <c r="C2999" s="5" t="s">
        <v>7141</v>
      </c>
      <c r="D2999" s="5">
        <v>0</v>
      </c>
      <c r="E2999" s="5">
        <v>0</v>
      </c>
      <c r="F2999" s="5">
        <v>0</v>
      </c>
      <c r="G2999" s="5">
        <v>0</v>
      </c>
      <c r="H2999" s="5">
        <v>0</v>
      </c>
      <c r="I2999" s="5">
        <v>0</v>
      </c>
      <c r="J2999" s="5">
        <v>0</v>
      </c>
      <c r="K2999" s="5">
        <v>0</v>
      </c>
      <c r="L2999" s="5">
        <v>0</v>
      </c>
      <c r="M2999" s="5">
        <v>0</v>
      </c>
      <c r="N2999" s="5">
        <v>3089</v>
      </c>
      <c r="O2999" s="5" t="str">
        <f t="shared" ca="1" si="46"/>
        <v>Supplier 129</v>
      </c>
      <c r="P2999" s="20" t="str">
        <f ca="1">IFERROR(VLOOKUP(O2999,EMAILS!B:C,2,FALSE),"NOT FOUND IN EMAILS")</f>
        <v>supplier@gmail.com</v>
      </c>
      <c r="Q2999" t="str">
        <f ca="1">""&amp;IFERROR(VLOOKUP(O2999,EMAILS!B:D,3,FALSE),"NOT FOUND IN EMAILS")</f>
        <v/>
      </c>
      <c r="R2999" t="str">
        <f ca="1">""&amp;IFERROR(VLOOKUP(O2999,EMAILS!B:E,4,FALSE),"NO T FOUND IN EMAILS")</f>
        <v/>
      </c>
    </row>
    <row r="3000" spans="2:18" x14ac:dyDescent="0.25">
      <c r="B3000" s="5" t="s">
        <v>3002</v>
      </c>
      <c r="C3000" s="5" t="s">
        <v>7142</v>
      </c>
      <c r="D3000" s="5">
        <v>0</v>
      </c>
      <c r="E3000" s="5">
        <v>0</v>
      </c>
      <c r="F3000" s="5">
        <v>0</v>
      </c>
      <c r="G3000" s="5">
        <v>0</v>
      </c>
      <c r="H3000" s="5">
        <v>0</v>
      </c>
      <c r="I3000" s="5">
        <v>0</v>
      </c>
      <c r="J3000" s="5">
        <v>0</v>
      </c>
      <c r="K3000" s="5">
        <v>0</v>
      </c>
      <c r="L3000" s="5">
        <v>0</v>
      </c>
      <c r="M3000" s="5">
        <v>0</v>
      </c>
      <c r="N3000" s="5">
        <v>0</v>
      </c>
      <c r="O3000" s="5" t="str">
        <f t="shared" ca="1" si="46"/>
        <v>Supplier 119</v>
      </c>
      <c r="P3000" s="20" t="str">
        <f ca="1">IFERROR(VLOOKUP(O3000,EMAILS!B:C,2,FALSE),"NOT FOUND IN EMAILS")</f>
        <v>supplier@gmail.com</v>
      </c>
      <c r="Q3000" t="str">
        <f ca="1">""&amp;IFERROR(VLOOKUP(O3000,EMAILS!B:D,3,FALSE),"NOT FOUND IN EMAILS")</f>
        <v/>
      </c>
      <c r="R3000" t="str">
        <f ca="1">""&amp;IFERROR(VLOOKUP(O3000,EMAILS!B:E,4,FALSE),"NO T FOUND IN EMAILS")</f>
        <v/>
      </c>
    </row>
    <row r="3001" spans="2:18" x14ac:dyDescent="0.25">
      <c r="B3001" s="5" t="s">
        <v>3003</v>
      </c>
      <c r="C3001" s="5" t="s">
        <v>7143</v>
      </c>
      <c r="D3001" s="5">
        <v>0</v>
      </c>
      <c r="E3001" s="5">
        <v>0</v>
      </c>
      <c r="F3001" s="5">
        <v>0</v>
      </c>
      <c r="G3001" s="5">
        <v>0</v>
      </c>
      <c r="H3001" s="5">
        <v>0</v>
      </c>
      <c r="I3001" s="5">
        <v>0</v>
      </c>
      <c r="J3001" s="5">
        <v>0</v>
      </c>
      <c r="K3001" s="5">
        <v>0</v>
      </c>
      <c r="L3001" s="5">
        <v>0</v>
      </c>
      <c r="M3001" s="5">
        <v>0</v>
      </c>
      <c r="N3001" s="5">
        <v>372</v>
      </c>
      <c r="O3001" s="5" t="str">
        <f t="shared" ca="1" si="46"/>
        <v>Supplier 102</v>
      </c>
      <c r="P3001" s="20" t="str">
        <f ca="1">IFERROR(VLOOKUP(O3001,EMAILS!B:C,2,FALSE),"NOT FOUND IN EMAILS")</f>
        <v>supplier@gmail.com</v>
      </c>
      <c r="Q3001" t="str">
        <f ca="1">""&amp;IFERROR(VLOOKUP(O3001,EMAILS!B:D,3,FALSE),"NOT FOUND IN EMAILS")</f>
        <v/>
      </c>
      <c r="R3001" t="str">
        <f ca="1">""&amp;IFERROR(VLOOKUP(O3001,EMAILS!B:E,4,FALSE),"NO T FOUND IN EMAILS")</f>
        <v/>
      </c>
    </row>
    <row r="3002" spans="2:18" x14ac:dyDescent="0.25">
      <c r="B3002" s="5" t="s">
        <v>3004</v>
      </c>
      <c r="C3002" s="5" t="s">
        <v>7144</v>
      </c>
      <c r="D3002" s="5">
        <v>0</v>
      </c>
      <c r="E3002" s="5">
        <v>0</v>
      </c>
      <c r="F3002" s="5">
        <v>0</v>
      </c>
      <c r="G3002" s="5">
        <v>0</v>
      </c>
      <c r="H3002" s="5">
        <v>0</v>
      </c>
      <c r="I3002" s="5">
        <v>0</v>
      </c>
      <c r="J3002" s="5">
        <v>0</v>
      </c>
      <c r="K3002" s="5">
        <v>0</v>
      </c>
      <c r="L3002" s="5">
        <v>0</v>
      </c>
      <c r="M3002" s="5">
        <v>0</v>
      </c>
      <c r="N3002" s="5">
        <v>214</v>
      </c>
      <c r="O3002" s="5" t="str">
        <f t="shared" ca="1" si="46"/>
        <v>Supplier 116</v>
      </c>
      <c r="P3002" s="20" t="str">
        <f ca="1">IFERROR(VLOOKUP(O3002,EMAILS!B:C,2,FALSE),"NOT FOUND IN EMAILS")</f>
        <v>supplier@gmail.com</v>
      </c>
      <c r="Q3002" t="str">
        <f ca="1">""&amp;IFERROR(VLOOKUP(O3002,EMAILS!B:D,3,FALSE),"NOT FOUND IN EMAILS")</f>
        <v/>
      </c>
      <c r="R3002" t="str">
        <f ca="1">""&amp;IFERROR(VLOOKUP(O3002,EMAILS!B:E,4,FALSE),"NO T FOUND IN EMAILS")</f>
        <v/>
      </c>
    </row>
    <row r="3003" spans="2:18" x14ac:dyDescent="0.25">
      <c r="B3003" s="5" t="s">
        <v>3005</v>
      </c>
      <c r="C3003" s="5" t="s">
        <v>7145</v>
      </c>
      <c r="D3003" s="5">
        <v>0</v>
      </c>
      <c r="E3003" s="5">
        <v>0</v>
      </c>
      <c r="F3003" s="5">
        <v>0</v>
      </c>
      <c r="G3003" s="5">
        <v>20</v>
      </c>
      <c r="H3003" s="5">
        <v>0</v>
      </c>
      <c r="I3003" s="5">
        <v>4</v>
      </c>
      <c r="J3003" s="5">
        <v>0</v>
      </c>
      <c r="K3003" s="5">
        <v>0</v>
      </c>
      <c r="L3003" s="5">
        <v>0</v>
      </c>
      <c r="M3003" s="5">
        <v>0</v>
      </c>
      <c r="N3003" s="5">
        <v>0</v>
      </c>
      <c r="O3003" s="5" t="str">
        <f t="shared" ca="1" si="46"/>
        <v>Supplier 71</v>
      </c>
      <c r="P3003" s="20" t="str">
        <f ca="1">IFERROR(VLOOKUP(O3003,EMAILS!B:C,2,FALSE),"NOT FOUND IN EMAILS")</f>
        <v>supplier@gmail.com</v>
      </c>
      <c r="Q3003" t="str">
        <f ca="1">""&amp;IFERROR(VLOOKUP(O3003,EMAILS!B:D,3,FALSE),"NOT FOUND IN EMAILS")</f>
        <v/>
      </c>
      <c r="R3003" t="str">
        <f ca="1">""&amp;IFERROR(VLOOKUP(O3003,EMAILS!B:E,4,FALSE),"NO T FOUND IN EMAILS")</f>
        <v/>
      </c>
    </row>
    <row r="3004" spans="2:18" x14ac:dyDescent="0.25">
      <c r="B3004" s="5" t="s">
        <v>3006</v>
      </c>
      <c r="C3004" s="5" t="s">
        <v>7146</v>
      </c>
      <c r="D3004" s="5">
        <v>0</v>
      </c>
      <c r="E3004" s="5">
        <v>20</v>
      </c>
      <c r="F3004" s="5">
        <v>30</v>
      </c>
      <c r="G3004" s="5">
        <v>0</v>
      </c>
      <c r="H3004" s="5">
        <v>0</v>
      </c>
      <c r="I3004" s="5">
        <v>0</v>
      </c>
      <c r="J3004" s="5">
        <v>0</v>
      </c>
      <c r="K3004" s="5">
        <v>0</v>
      </c>
      <c r="L3004" s="5">
        <v>30</v>
      </c>
      <c r="M3004" s="5">
        <v>0</v>
      </c>
      <c r="N3004" s="5">
        <v>0</v>
      </c>
      <c r="O3004" s="5" t="str">
        <f t="shared" ca="1" si="46"/>
        <v>Supplier 37</v>
      </c>
      <c r="P3004" s="20" t="str">
        <f ca="1">IFERROR(VLOOKUP(O3004,EMAILS!B:C,2,FALSE),"NOT FOUND IN EMAILS")</f>
        <v>supplier@gmail.com</v>
      </c>
      <c r="Q3004" t="str">
        <f ca="1">""&amp;IFERROR(VLOOKUP(O3004,EMAILS!B:D,3,FALSE),"NOT FOUND IN EMAILS")</f>
        <v/>
      </c>
      <c r="R3004" t="str">
        <f ca="1">""&amp;IFERROR(VLOOKUP(O3004,EMAILS!B:E,4,FALSE),"NO T FOUND IN EMAILS")</f>
        <v/>
      </c>
    </row>
    <row r="3005" spans="2:18" x14ac:dyDescent="0.25">
      <c r="B3005" s="5" t="s">
        <v>3007</v>
      </c>
      <c r="C3005" s="5" t="s">
        <v>7147</v>
      </c>
      <c r="D3005" s="5">
        <v>0</v>
      </c>
      <c r="E3005" s="5">
        <v>0</v>
      </c>
      <c r="F3005" s="5">
        <v>0</v>
      </c>
      <c r="G3005" s="5">
        <v>0</v>
      </c>
      <c r="H3005" s="5">
        <v>200</v>
      </c>
      <c r="I3005" s="5">
        <v>0</v>
      </c>
      <c r="J3005" s="5">
        <v>0</v>
      </c>
      <c r="K3005" s="5">
        <v>0</v>
      </c>
      <c r="L3005" s="5">
        <v>0</v>
      </c>
      <c r="M3005" s="5">
        <v>0</v>
      </c>
      <c r="N3005" s="5">
        <v>0</v>
      </c>
      <c r="O3005" s="5" t="str">
        <f t="shared" ca="1" si="46"/>
        <v>Supplier 4</v>
      </c>
      <c r="P3005" s="20" t="str">
        <f ca="1">IFERROR(VLOOKUP(O3005,EMAILS!B:C,2,FALSE),"NOT FOUND IN EMAILS")</f>
        <v>supplier@gmail.com</v>
      </c>
      <c r="Q3005" t="str">
        <f ca="1">""&amp;IFERROR(VLOOKUP(O3005,EMAILS!B:D,3,FALSE),"NOT FOUND IN EMAILS")</f>
        <v>supplier_logistics@gmail.com</v>
      </c>
      <c r="R3005" t="str">
        <f ca="1">""&amp;IFERROR(VLOOKUP(O3005,EMAILS!B:E,4,FALSE),"NO T FOUND IN EMAILS")</f>
        <v/>
      </c>
    </row>
    <row r="3006" spans="2:18" x14ac:dyDescent="0.25">
      <c r="B3006" s="5" t="s">
        <v>3008</v>
      </c>
      <c r="C3006" s="5" t="s">
        <v>7148</v>
      </c>
      <c r="D3006" s="5">
        <v>500</v>
      </c>
      <c r="E3006" s="5">
        <v>100</v>
      </c>
      <c r="F3006" s="5">
        <v>100</v>
      </c>
      <c r="G3006" s="5">
        <v>100</v>
      </c>
      <c r="H3006" s="5">
        <v>100</v>
      </c>
      <c r="I3006" s="5">
        <v>100</v>
      </c>
      <c r="J3006" s="5">
        <v>100</v>
      </c>
      <c r="K3006" s="5">
        <v>400</v>
      </c>
      <c r="L3006" s="5">
        <v>300</v>
      </c>
      <c r="M3006" s="5">
        <v>0</v>
      </c>
      <c r="N3006" s="5">
        <v>52</v>
      </c>
      <c r="O3006" s="5" t="str">
        <f t="shared" ca="1" si="46"/>
        <v>Supplier 118</v>
      </c>
      <c r="P3006" s="20" t="str">
        <f ca="1">IFERROR(VLOOKUP(O3006,EMAILS!B:C,2,FALSE),"NOT FOUND IN EMAILS")</f>
        <v>supplier@gmail.com</v>
      </c>
      <c r="Q3006" t="str">
        <f ca="1">""&amp;IFERROR(VLOOKUP(O3006,EMAILS!B:D,3,FALSE),"NOT FOUND IN EMAILS")</f>
        <v/>
      </c>
      <c r="R3006" t="str">
        <f ca="1">""&amp;IFERROR(VLOOKUP(O3006,EMAILS!B:E,4,FALSE),"NO T FOUND IN EMAILS")</f>
        <v/>
      </c>
    </row>
    <row r="3007" spans="2:18" x14ac:dyDescent="0.25">
      <c r="B3007" s="5" t="s">
        <v>3009</v>
      </c>
      <c r="C3007" s="5" t="s">
        <v>7149</v>
      </c>
      <c r="D3007" s="5">
        <v>0</v>
      </c>
      <c r="E3007" s="5">
        <v>0</v>
      </c>
      <c r="F3007" s="5">
        <v>0</v>
      </c>
      <c r="G3007" s="5">
        <v>0</v>
      </c>
      <c r="H3007" s="5">
        <v>0</v>
      </c>
      <c r="I3007" s="5">
        <v>0</v>
      </c>
      <c r="J3007" s="5">
        <v>0</v>
      </c>
      <c r="K3007" s="5">
        <v>0</v>
      </c>
      <c r="L3007" s="5">
        <v>0</v>
      </c>
      <c r="M3007" s="5">
        <v>0</v>
      </c>
      <c r="N3007" s="5">
        <v>494</v>
      </c>
      <c r="O3007" s="5" t="str">
        <f t="shared" ca="1" si="46"/>
        <v>Supplier 173</v>
      </c>
      <c r="P3007" s="20" t="str">
        <f ca="1">IFERROR(VLOOKUP(O3007,EMAILS!B:C,2,FALSE),"NOT FOUND IN EMAILS")</f>
        <v>supplier@gmail.com</v>
      </c>
      <c r="Q3007" t="str">
        <f ca="1">""&amp;IFERROR(VLOOKUP(O3007,EMAILS!B:D,3,FALSE),"NOT FOUND IN EMAILS")</f>
        <v/>
      </c>
      <c r="R3007" t="str">
        <f ca="1">""&amp;IFERROR(VLOOKUP(O3007,EMAILS!B:E,4,FALSE),"NO T FOUND IN EMAILS")</f>
        <v/>
      </c>
    </row>
    <row r="3008" spans="2:18" x14ac:dyDescent="0.25">
      <c r="B3008" s="5" t="s">
        <v>3010</v>
      </c>
      <c r="C3008" s="5" t="s">
        <v>7150</v>
      </c>
      <c r="D3008" s="5">
        <v>0</v>
      </c>
      <c r="E3008" s="5">
        <v>20</v>
      </c>
      <c r="F3008" s="5">
        <v>12</v>
      </c>
      <c r="G3008" s="5">
        <v>12</v>
      </c>
      <c r="H3008" s="5">
        <v>0</v>
      </c>
      <c r="I3008" s="5">
        <v>0</v>
      </c>
      <c r="J3008" s="5">
        <v>0</v>
      </c>
      <c r="K3008" s="5">
        <v>18</v>
      </c>
      <c r="L3008" s="5">
        <v>0</v>
      </c>
      <c r="M3008" s="5">
        <v>0</v>
      </c>
      <c r="N3008" s="5">
        <v>193</v>
      </c>
      <c r="O3008" s="5" t="str">
        <f t="shared" ca="1" si="46"/>
        <v>Supplier 155</v>
      </c>
      <c r="P3008" s="20" t="str">
        <f ca="1">IFERROR(VLOOKUP(O3008,EMAILS!B:C,2,FALSE),"NOT FOUND IN EMAILS")</f>
        <v>supplier@gmail.com</v>
      </c>
      <c r="Q3008" t="str">
        <f ca="1">""&amp;IFERROR(VLOOKUP(O3008,EMAILS!B:D,3,FALSE),"NOT FOUND IN EMAILS")</f>
        <v/>
      </c>
      <c r="R3008" t="str">
        <f ca="1">""&amp;IFERROR(VLOOKUP(O3008,EMAILS!B:E,4,FALSE),"NO T FOUND IN EMAILS")</f>
        <v/>
      </c>
    </row>
    <row r="3009" spans="2:18" x14ac:dyDescent="0.25">
      <c r="B3009" s="5" t="s">
        <v>3011</v>
      </c>
      <c r="C3009" s="5" t="s">
        <v>7151</v>
      </c>
      <c r="D3009" s="5">
        <v>0</v>
      </c>
      <c r="E3009" s="5">
        <v>0</v>
      </c>
      <c r="F3009" s="5">
        <v>0</v>
      </c>
      <c r="G3009" s="5">
        <v>0</v>
      </c>
      <c r="H3009" s="5">
        <v>0</v>
      </c>
      <c r="I3009" s="5">
        <v>0</v>
      </c>
      <c r="J3009" s="5">
        <v>0</v>
      </c>
      <c r="K3009" s="5">
        <v>0</v>
      </c>
      <c r="L3009" s="5">
        <v>0</v>
      </c>
      <c r="M3009" s="5">
        <v>0</v>
      </c>
      <c r="N3009" s="5">
        <v>618</v>
      </c>
      <c r="O3009" s="5" t="str">
        <f t="shared" ca="1" si="46"/>
        <v>Supplier 189</v>
      </c>
      <c r="P3009" s="20" t="str">
        <f ca="1">IFERROR(VLOOKUP(O3009,EMAILS!B:C,2,FALSE),"NOT FOUND IN EMAILS")</f>
        <v>supplier@gmail.com</v>
      </c>
      <c r="Q3009" t="str">
        <f ca="1">""&amp;IFERROR(VLOOKUP(O3009,EMAILS!B:D,3,FALSE),"NOT FOUND IN EMAILS")</f>
        <v/>
      </c>
      <c r="R3009" t="str">
        <f ca="1">""&amp;IFERROR(VLOOKUP(O3009,EMAILS!B:E,4,FALSE),"NO T FOUND IN EMAILS")</f>
        <v/>
      </c>
    </row>
    <row r="3010" spans="2:18" x14ac:dyDescent="0.25">
      <c r="B3010" s="5" t="s">
        <v>3012</v>
      </c>
      <c r="C3010" s="5" t="s">
        <v>7152</v>
      </c>
      <c r="D3010" s="5">
        <v>0</v>
      </c>
      <c r="E3010" s="5">
        <v>0</v>
      </c>
      <c r="F3010" s="5">
        <v>0</v>
      </c>
      <c r="G3010" s="5">
        <v>0</v>
      </c>
      <c r="H3010" s="5">
        <v>0</v>
      </c>
      <c r="I3010" s="5">
        <v>0</v>
      </c>
      <c r="J3010" s="5">
        <v>0</v>
      </c>
      <c r="K3010" s="5">
        <v>0</v>
      </c>
      <c r="L3010" s="5">
        <v>0</v>
      </c>
      <c r="M3010" s="5">
        <v>0</v>
      </c>
      <c r="N3010" s="5">
        <v>208</v>
      </c>
      <c r="O3010" s="5" t="str">
        <f t="shared" ca="1" si="46"/>
        <v>Supplier 51</v>
      </c>
      <c r="P3010" s="20" t="str">
        <f ca="1">IFERROR(VLOOKUP(O3010,EMAILS!B:C,2,FALSE),"NOT FOUND IN EMAILS")</f>
        <v>supplier@gmail.com</v>
      </c>
      <c r="Q3010" t="str">
        <f ca="1">""&amp;IFERROR(VLOOKUP(O3010,EMAILS!B:D,3,FALSE),"NOT FOUND IN EMAILS")</f>
        <v/>
      </c>
      <c r="R3010" t="str">
        <f ca="1">""&amp;IFERROR(VLOOKUP(O3010,EMAILS!B:E,4,FALSE),"NO T FOUND IN EMAILS")</f>
        <v/>
      </c>
    </row>
    <row r="3011" spans="2:18" x14ac:dyDescent="0.25">
      <c r="B3011" s="5" t="s">
        <v>3013</v>
      </c>
      <c r="C3011" s="5" t="s">
        <v>7153</v>
      </c>
      <c r="D3011" s="5">
        <v>0</v>
      </c>
      <c r="E3011" s="5">
        <v>0</v>
      </c>
      <c r="F3011" s="5">
        <v>0</v>
      </c>
      <c r="G3011" s="5">
        <v>0</v>
      </c>
      <c r="H3011" s="5">
        <v>0</v>
      </c>
      <c r="I3011" s="5">
        <v>0</v>
      </c>
      <c r="J3011" s="5">
        <v>0</v>
      </c>
      <c r="K3011" s="5">
        <v>0</v>
      </c>
      <c r="L3011" s="5">
        <v>0</v>
      </c>
      <c r="M3011" s="5">
        <v>0</v>
      </c>
      <c r="N3011" s="5">
        <v>0</v>
      </c>
      <c r="O3011" s="5" t="str">
        <f t="shared" ref="O3011:O3074" ca="1" si="47">"Supplier "&amp;RANDBETWEEN(1,200)</f>
        <v>Supplier 156</v>
      </c>
      <c r="P3011" s="20" t="str">
        <f ca="1">IFERROR(VLOOKUP(O3011,EMAILS!B:C,2,FALSE),"NOT FOUND IN EMAILS")</f>
        <v>supplier@gmail.com</v>
      </c>
      <c r="Q3011" t="str">
        <f ca="1">""&amp;IFERROR(VLOOKUP(O3011,EMAILS!B:D,3,FALSE),"NOT FOUND IN EMAILS")</f>
        <v/>
      </c>
      <c r="R3011" t="str">
        <f ca="1">""&amp;IFERROR(VLOOKUP(O3011,EMAILS!B:E,4,FALSE),"NO T FOUND IN EMAILS")</f>
        <v/>
      </c>
    </row>
    <row r="3012" spans="2:18" x14ac:dyDescent="0.25">
      <c r="B3012" s="5" t="s">
        <v>3014</v>
      </c>
      <c r="C3012" s="5" t="s">
        <v>7154</v>
      </c>
      <c r="D3012" s="5">
        <v>0</v>
      </c>
      <c r="E3012" s="5">
        <v>0</v>
      </c>
      <c r="F3012" s="5">
        <v>0</v>
      </c>
      <c r="G3012" s="5">
        <v>0</v>
      </c>
      <c r="H3012" s="5">
        <v>0</v>
      </c>
      <c r="I3012" s="5">
        <v>0</v>
      </c>
      <c r="J3012" s="5">
        <v>0</v>
      </c>
      <c r="K3012" s="5">
        <v>0</v>
      </c>
      <c r="L3012" s="5">
        <v>0</v>
      </c>
      <c r="M3012" s="5">
        <v>0</v>
      </c>
      <c r="N3012" s="5">
        <v>6000</v>
      </c>
      <c r="O3012" s="5" t="str">
        <f t="shared" ca="1" si="47"/>
        <v>Supplier 155</v>
      </c>
      <c r="P3012" s="20" t="str">
        <f ca="1">IFERROR(VLOOKUP(O3012,EMAILS!B:C,2,FALSE),"NOT FOUND IN EMAILS")</f>
        <v>supplier@gmail.com</v>
      </c>
      <c r="Q3012" t="str">
        <f ca="1">""&amp;IFERROR(VLOOKUP(O3012,EMAILS!B:D,3,FALSE),"NOT FOUND IN EMAILS")</f>
        <v/>
      </c>
      <c r="R3012" t="str">
        <f ca="1">""&amp;IFERROR(VLOOKUP(O3012,EMAILS!B:E,4,FALSE),"NO T FOUND IN EMAILS")</f>
        <v/>
      </c>
    </row>
    <row r="3013" spans="2:18" x14ac:dyDescent="0.25">
      <c r="B3013" s="5" t="s">
        <v>3015</v>
      </c>
      <c r="C3013" s="5" t="s">
        <v>7155</v>
      </c>
      <c r="D3013" s="5">
        <v>734</v>
      </c>
      <c r="E3013" s="5">
        <v>280</v>
      </c>
      <c r="F3013" s="5">
        <v>494</v>
      </c>
      <c r="G3013" s="5">
        <v>494</v>
      </c>
      <c r="H3013" s="5">
        <v>494</v>
      </c>
      <c r="I3013" s="5">
        <v>494</v>
      </c>
      <c r="J3013" s="5">
        <v>494</v>
      </c>
      <c r="K3013" s="5">
        <v>494</v>
      </c>
      <c r="L3013" s="5">
        <v>494</v>
      </c>
      <c r="M3013" s="5">
        <v>0</v>
      </c>
      <c r="N3013" s="5">
        <v>0</v>
      </c>
      <c r="O3013" s="5" t="str">
        <f t="shared" ca="1" si="47"/>
        <v>Supplier 13</v>
      </c>
      <c r="P3013" s="20" t="str">
        <f ca="1">IFERROR(VLOOKUP(O3013,EMAILS!B:C,2,FALSE),"NOT FOUND IN EMAILS")</f>
        <v>supplier@gmail.com</v>
      </c>
      <c r="Q3013" t="str">
        <f ca="1">""&amp;IFERROR(VLOOKUP(O3013,EMAILS!B:D,3,FALSE),"NOT FOUND IN EMAILS")</f>
        <v>supplier_logistics@gmail.com</v>
      </c>
      <c r="R3013" t="str">
        <f ca="1">""&amp;IFERROR(VLOOKUP(O3013,EMAILS!B:E,4,FALSE),"NO T FOUND IN EMAILS")</f>
        <v/>
      </c>
    </row>
    <row r="3014" spans="2:18" x14ac:dyDescent="0.25">
      <c r="B3014" s="5" t="s">
        <v>3016</v>
      </c>
      <c r="C3014" s="5" t="s">
        <v>7156</v>
      </c>
      <c r="D3014" s="5">
        <v>96</v>
      </c>
      <c r="E3014" s="5">
        <v>168</v>
      </c>
      <c r="F3014" s="5">
        <v>96</v>
      </c>
      <c r="G3014" s="5">
        <v>206</v>
      </c>
      <c r="H3014" s="5">
        <v>0</v>
      </c>
      <c r="I3014" s="5">
        <v>0</v>
      </c>
      <c r="J3014" s="5">
        <v>0</v>
      </c>
      <c r="K3014" s="5">
        <v>150</v>
      </c>
      <c r="L3014" s="5">
        <v>0</v>
      </c>
      <c r="M3014" s="5">
        <v>0</v>
      </c>
      <c r="N3014" s="5">
        <v>1037</v>
      </c>
      <c r="O3014" s="5" t="str">
        <f t="shared" ca="1" si="47"/>
        <v>Supplier 84</v>
      </c>
      <c r="P3014" s="20" t="str">
        <f ca="1">IFERROR(VLOOKUP(O3014,EMAILS!B:C,2,FALSE),"NOT FOUND IN EMAILS")</f>
        <v>supplier@gmail.com</v>
      </c>
      <c r="Q3014" t="str">
        <f ca="1">""&amp;IFERROR(VLOOKUP(O3014,EMAILS!B:D,3,FALSE),"NOT FOUND IN EMAILS")</f>
        <v/>
      </c>
      <c r="R3014" t="str">
        <f ca="1">""&amp;IFERROR(VLOOKUP(O3014,EMAILS!B:E,4,FALSE),"NO T FOUND IN EMAILS")</f>
        <v/>
      </c>
    </row>
    <row r="3015" spans="2:18" x14ac:dyDescent="0.25">
      <c r="B3015" s="5" t="s">
        <v>3017</v>
      </c>
      <c r="C3015" s="5" t="s">
        <v>7157</v>
      </c>
      <c r="D3015" s="5">
        <v>0</v>
      </c>
      <c r="E3015" s="5">
        <v>0</v>
      </c>
      <c r="F3015" s="5">
        <v>0</v>
      </c>
      <c r="G3015" s="5">
        <v>0</v>
      </c>
      <c r="H3015" s="5">
        <v>0</v>
      </c>
      <c r="I3015" s="5">
        <v>0</v>
      </c>
      <c r="J3015" s="5">
        <v>0</v>
      </c>
      <c r="K3015" s="5">
        <v>0</v>
      </c>
      <c r="L3015" s="5">
        <v>0</v>
      </c>
      <c r="M3015" s="5">
        <v>0</v>
      </c>
      <c r="N3015" s="5">
        <v>0</v>
      </c>
      <c r="O3015" s="5" t="str">
        <f t="shared" ca="1" si="47"/>
        <v>Supplier 48</v>
      </c>
      <c r="P3015" s="20" t="str">
        <f ca="1">IFERROR(VLOOKUP(O3015,EMAILS!B:C,2,FALSE),"NOT FOUND IN EMAILS")</f>
        <v>supplier@gmail.com</v>
      </c>
      <c r="Q3015" t="str">
        <f ca="1">""&amp;IFERROR(VLOOKUP(O3015,EMAILS!B:D,3,FALSE),"NOT FOUND IN EMAILS")</f>
        <v/>
      </c>
      <c r="R3015" t="str">
        <f ca="1">""&amp;IFERROR(VLOOKUP(O3015,EMAILS!B:E,4,FALSE),"NO T FOUND IN EMAILS")</f>
        <v/>
      </c>
    </row>
    <row r="3016" spans="2:18" x14ac:dyDescent="0.25">
      <c r="B3016" s="5" t="s">
        <v>3018</v>
      </c>
      <c r="C3016" s="5" t="s">
        <v>7158</v>
      </c>
      <c r="D3016" s="5">
        <v>0</v>
      </c>
      <c r="E3016" s="5">
        <v>0</v>
      </c>
      <c r="F3016" s="5">
        <v>0</v>
      </c>
      <c r="G3016" s="5">
        <v>0</v>
      </c>
      <c r="H3016" s="5">
        <v>0</v>
      </c>
      <c r="I3016" s="5">
        <v>0</v>
      </c>
      <c r="J3016" s="5">
        <v>0</v>
      </c>
      <c r="K3016" s="5">
        <v>0</v>
      </c>
      <c r="L3016" s="5">
        <v>0</v>
      </c>
      <c r="M3016" s="5">
        <v>0</v>
      </c>
      <c r="N3016" s="5">
        <v>0</v>
      </c>
      <c r="O3016" s="5" t="str">
        <f t="shared" ca="1" si="47"/>
        <v>Supplier 22</v>
      </c>
      <c r="P3016" s="20" t="str">
        <f ca="1">IFERROR(VLOOKUP(O3016,EMAILS!B:C,2,FALSE),"NOT FOUND IN EMAILS")</f>
        <v>supplier@gmail.com</v>
      </c>
      <c r="Q3016" t="str">
        <f ca="1">""&amp;IFERROR(VLOOKUP(O3016,EMAILS!B:D,3,FALSE),"NOT FOUND IN EMAILS")</f>
        <v/>
      </c>
      <c r="R3016" t="str">
        <f ca="1">""&amp;IFERROR(VLOOKUP(O3016,EMAILS!B:E,4,FALSE),"NO T FOUND IN EMAILS")</f>
        <v/>
      </c>
    </row>
    <row r="3017" spans="2:18" x14ac:dyDescent="0.25">
      <c r="B3017" s="5" t="s">
        <v>3019</v>
      </c>
      <c r="C3017" s="5" t="s">
        <v>7159</v>
      </c>
      <c r="D3017" s="5">
        <v>0</v>
      </c>
      <c r="E3017" s="5">
        <v>0</v>
      </c>
      <c r="F3017" s="5">
        <v>0</v>
      </c>
      <c r="G3017" s="5">
        <v>0</v>
      </c>
      <c r="H3017" s="5">
        <v>0</v>
      </c>
      <c r="I3017" s="5">
        <v>0</v>
      </c>
      <c r="J3017" s="5">
        <v>0</v>
      </c>
      <c r="K3017" s="5">
        <v>0</v>
      </c>
      <c r="L3017" s="5">
        <v>0</v>
      </c>
      <c r="M3017" s="5">
        <v>0</v>
      </c>
      <c r="N3017" s="5">
        <v>0</v>
      </c>
      <c r="O3017" s="5" t="str">
        <f t="shared" ca="1" si="47"/>
        <v>Supplier 186</v>
      </c>
      <c r="P3017" s="20" t="str">
        <f ca="1">IFERROR(VLOOKUP(O3017,EMAILS!B:C,2,FALSE),"NOT FOUND IN EMAILS")</f>
        <v>supplier@gmail.com</v>
      </c>
      <c r="Q3017" t="str">
        <f ca="1">""&amp;IFERROR(VLOOKUP(O3017,EMAILS!B:D,3,FALSE),"NOT FOUND IN EMAILS")</f>
        <v/>
      </c>
      <c r="R3017" t="str">
        <f ca="1">""&amp;IFERROR(VLOOKUP(O3017,EMAILS!B:E,4,FALSE),"NO T FOUND IN EMAILS")</f>
        <v/>
      </c>
    </row>
    <row r="3018" spans="2:18" x14ac:dyDescent="0.25">
      <c r="B3018" s="5" t="s">
        <v>3020</v>
      </c>
      <c r="C3018" s="5" t="s">
        <v>7160</v>
      </c>
      <c r="D3018" s="5">
        <v>506</v>
      </c>
      <c r="E3018" s="5">
        <v>496</v>
      </c>
      <c r="F3018" s="5">
        <v>604</v>
      </c>
      <c r="G3018" s="5">
        <v>604</v>
      </c>
      <c r="H3018" s="5">
        <v>604</v>
      </c>
      <c r="I3018" s="5">
        <v>604</v>
      </c>
      <c r="J3018" s="5">
        <v>604</v>
      </c>
      <c r="K3018" s="5">
        <v>604</v>
      </c>
      <c r="L3018" s="5">
        <v>604</v>
      </c>
      <c r="M3018" s="5">
        <v>0</v>
      </c>
      <c r="N3018" s="5">
        <v>3934</v>
      </c>
      <c r="O3018" s="5" t="str">
        <f t="shared" ca="1" si="47"/>
        <v>Supplier 187</v>
      </c>
      <c r="P3018" s="20" t="str">
        <f ca="1">IFERROR(VLOOKUP(O3018,EMAILS!B:C,2,FALSE),"NOT FOUND IN EMAILS")</f>
        <v>supplier@gmail.com</v>
      </c>
      <c r="Q3018" t="str">
        <f ca="1">""&amp;IFERROR(VLOOKUP(O3018,EMAILS!B:D,3,FALSE),"NOT FOUND IN EMAILS")</f>
        <v/>
      </c>
      <c r="R3018" t="str">
        <f ca="1">""&amp;IFERROR(VLOOKUP(O3018,EMAILS!B:E,4,FALSE),"NO T FOUND IN EMAILS")</f>
        <v/>
      </c>
    </row>
    <row r="3019" spans="2:18" x14ac:dyDescent="0.25">
      <c r="B3019" s="5" t="s">
        <v>3021</v>
      </c>
      <c r="C3019" s="5" t="s">
        <v>7161</v>
      </c>
      <c r="D3019" s="5">
        <v>0</v>
      </c>
      <c r="E3019" s="5">
        <v>0</v>
      </c>
      <c r="F3019" s="5">
        <v>0</v>
      </c>
      <c r="G3019" s="5">
        <v>0</v>
      </c>
      <c r="H3019" s="5">
        <v>0</v>
      </c>
      <c r="I3019" s="5">
        <v>0</v>
      </c>
      <c r="J3019" s="5">
        <v>0</v>
      </c>
      <c r="K3019" s="5">
        <v>0</v>
      </c>
      <c r="L3019" s="5">
        <v>0</v>
      </c>
      <c r="M3019" s="5">
        <v>0</v>
      </c>
      <c r="N3019" s="5">
        <v>338</v>
      </c>
      <c r="O3019" s="5" t="str">
        <f t="shared" ca="1" si="47"/>
        <v>Supplier 111</v>
      </c>
      <c r="P3019" s="20" t="str">
        <f ca="1">IFERROR(VLOOKUP(O3019,EMAILS!B:C,2,FALSE),"NOT FOUND IN EMAILS")</f>
        <v>supplier@gmail.com</v>
      </c>
      <c r="Q3019" t="str">
        <f ca="1">""&amp;IFERROR(VLOOKUP(O3019,EMAILS!B:D,3,FALSE),"NOT FOUND IN EMAILS")</f>
        <v/>
      </c>
      <c r="R3019" t="str">
        <f ca="1">""&amp;IFERROR(VLOOKUP(O3019,EMAILS!B:E,4,FALSE),"NO T FOUND IN EMAILS")</f>
        <v/>
      </c>
    </row>
    <row r="3020" spans="2:18" x14ac:dyDescent="0.25">
      <c r="B3020" s="5" t="s">
        <v>3022</v>
      </c>
      <c r="C3020" s="5" t="s">
        <v>7162</v>
      </c>
      <c r="D3020" s="5">
        <v>248</v>
      </c>
      <c r="E3020" s="5">
        <v>248</v>
      </c>
      <c r="F3020" s="5">
        <v>248</v>
      </c>
      <c r="G3020" s="5">
        <v>248</v>
      </c>
      <c r="H3020" s="5">
        <v>248</v>
      </c>
      <c r="I3020" s="5">
        <v>248</v>
      </c>
      <c r="J3020" s="5">
        <v>248</v>
      </c>
      <c r="K3020" s="5">
        <v>248</v>
      </c>
      <c r="L3020" s="5">
        <v>248</v>
      </c>
      <c r="M3020" s="5">
        <v>0</v>
      </c>
      <c r="N3020" s="5">
        <v>664</v>
      </c>
      <c r="O3020" s="5" t="str">
        <f t="shared" ca="1" si="47"/>
        <v>Supplier 118</v>
      </c>
      <c r="P3020" s="20" t="str">
        <f ca="1">IFERROR(VLOOKUP(O3020,EMAILS!B:C,2,FALSE),"NOT FOUND IN EMAILS")</f>
        <v>supplier@gmail.com</v>
      </c>
      <c r="Q3020" t="str">
        <f ca="1">""&amp;IFERROR(VLOOKUP(O3020,EMAILS!B:D,3,FALSE),"NOT FOUND IN EMAILS")</f>
        <v/>
      </c>
      <c r="R3020" t="str">
        <f ca="1">""&amp;IFERROR(VLOOKUP(O3020,EMAILS!B:E,4,FALSE),"NO T FOUND IN EMAILS")</f>
        <v/>
      </c>
    </row>
    <row r="3021" spans="2:18" x14ac:dyDescent="0.25">
      <c r="B3021" s="5" t="s">
        <v>3023</v>
      </c>
      <c r="C3021" s="5" t="s">
        <v>7163</v>
      </c>
      <c r="D3021" s="5">
        <v>62</v>
      </c>
      <c r="E3021" s="5">
        <v>65</v>
      </c>
      <c r="F3021" s="5">
        <v>82</v>
      </c>
      <c r="G3021" s="5">
        <v>74</v>
      </c>
      <c r="H3021" s="5">
        <v>62</v>
      </c>
      <c r="I3021" s="5">
        <v>64</v>
      </c>
      <c r="J3021" s="5">
        <v>68</v>
      </c>
      <c r="K3021" s="5">
        <v>67</v>
      </c>
      <c r="L3021" s="5">
        <v>38</v>
      </c>
      <c r="M3021" s="5">
        <v>0</v>
      </c>
      <c r="N3021" s="5">
        <v>0</v>
      </c>
      <c r="O3021" s="5" t="str">
        <f t="shared" ca="1" si="47"/>
        <v>Supplier 135</v>
      </c>
      <c r="P3021" s="20" t="str">
        <f ca="1">IFERROR(VLOOKUP(O3021,EMAILS!B:C,2,FALSE),"NOT FOUND IN EMAILS")</f>
        <v>supplier@gmail.com</v>
      </c>
      <c r="Q3021" t="str">
        <f ca="1">""&amp;IFERROR(VLOOKUP(O3021,EMAILS!B:D,3,FALSE),"NOT FOUND IN EMAILS")</f>
        <v/>
      </c>
      <c r="R3021" t="str">
        <f ca="1">""&amp;IFERROR(VLOOKUP(O3021,EMAILS!B:E,4,FALSE),"NO T FOUND IN EMAILS")</f>
        <v/>
      </c>
    </row>
    <row r="3022" spans="2:18" x14ac:dyDescent="0.25">
      <c r="B3022" s="5" t="s">
        <v>3024</v>
      </c>
      <c r="C3022" s="5" t="s">
        <v>7164</v>
      </c>
      <c r="D3022" s="5">
        <v>100</v>
      </c>
      <c r="E3022" s="5">
        <v>100</v>
      </c>
      <c r="F3022" s="5">
        <v>200</v>
      </c>
      <c r="G3022" s="5">
        <v>120</v>
      </c>
      <c r="H3022" s="5">
        <v>110</v>
      </c>
      <c r="I3022" s="5">
        <v>120</v>
      </c>
      <c r="J3022" s="5">
        <v>60</v>
      </c>
      <c r="K3022" s="5">
        <v>40</v>
      </c>
      <c r="L3022" s="5">
        <v>140</v>
      </c>
      <c r="M3022" s="5">
        <v>0</v>
      </c>
      <c r="N3022" s="5">
        <v>106</v>
      </c>
      <c r="O3022" s="5" t="str">
        <f t="shared" ca="1" si="47"/>
        <v>Supplier 53</v>
      </c>
      <c r="P3022" s="20" t="str">
        <f ca="1">IFERROR(VLOOKUP(O3022,EMAILS!B:C,2,FALSE),"NOT FOUND IN EMAILS")</f>
        <v>supplier@gmail.com</v>
      </c>
      <c r="Q3022" t="str">
        <f ca="1">""&amp;IFERROR(VLOOKUP(O3022,EMAILS!B:D,3,FALSE),"NOT FOUND IN EMAILS")</f>
        <v/>
      </c>
      <c r="R3022" t="str">
        <f ca="1">""&amp;IFERROR(VLOOKUP(O3022,EMAILS!B:E,4,FALSE),"NO T FOUND IN EMAILS")</f>
        <v/>
      </c>
    </row>
    <row r="3023" spans="2:18" x14ac:dyDescent="0.25">
      <c r="B3023" s="5" t="s">
        <v>3025</v>
      </c>
      <c r="C3023" s="5" t="s">
        <v>7165</v>
      </c>
      <c r="D3023" s="5">
        <v>270</v>
      </c>
      <c r="E3023" s="5">
        <v>300</v>
      </c>
      <c r="F3023" s="5">
        <v>320</v>
      </c>
      <c r="G3023" s="5">
        <v>363</v>
      </c>
      <c r="H3023" s="5">
        <v>180</v>
      </c>
      <c r="I3023" s="5">
        <v>240</v>
      </c>
      <c r="J3023" s="5">
        <v>240</v>
      </c>
      <c r="K3023" s="5">
        <v>194</v>
      </c>
      <c r="L3023" s="5">
        <v>120</v>
      </c>
      <c r="M3023" s="5">
        <v>0</v>
      </c>
      <c r="N3023" s="5">
        <v>241</v>
      </c>
      <c r="O3023" s="5" t="str">
        <f t="shared" ca="1" si="47"/>
        <v>Supplier 174</v>
      </c>
      <c r="P3023" s="20" t="str">
        <f ca="1">IFERROR(VLOOKUP(O3023,EMAILS!B:C,2,FALSE),"NOT FOUND IN EMAILS")</f>
        <v>supplier@gmail.com</v>
      </c>
      <c r="Q3023" t="str">
        <f ca="1">""&amp;IFERROR(VLOOKUP(O3023,EMAILS!B:D,3,FALSE),"NOT FOUND IN EMAILS")</f>
        <v/>
      </c>
      <c r="R3023" t="str">
        <f ca="1">""&amp;IFERROR(VLOOKUP(O3023,EMAILS!B:E,4,FALSE),"NO T FOUND IN EMAILS")</f>
        <v/>
      </c>
    </row>
    <row r="3024" spans="2:18" x14ac:dyDescent="0.25">
      <c r="B3024" s="5" t="s">
        <v>3026</v>
      </c>
      <c r="C3024" s="5" t="s">
        <v>7166</v>
      </c>
      <c r="D3024" s="5">
        <v>0</v>
      </c>
      <c r="E3024" s="5">
        <v>0</v>
      </c>
      <c r="F3024" s="5">
        <v>0</v>
      </c>
      <c r="G3024" s="5">
        <v>0</v>
      </c>
      <c r="H3024" s="5">
        <v>0</v>
      </c>
      <c r="I3024" s="5">
        <v>0</v>
      </c>
      <c r="J3024" s="5">
        <v>0</v>
      </c>
      <c r="K3024" s="5">
        <v>0</v>
      </c>
      <c r="L3024" s="5">
        <v>0</v>
      </c>
      <c r="M3024" s="5">
        <v>0</v>
      </c>
      <c r="N3024" s="5">
        <v>280</v>
      </c>
      <c r="O3024" s="5" t="str">
        <f t="shared" ca="1" si="47"/>
        <v>Supplier 173</v>
      </c>
      <c r="P3024" s="20" t="str">
        <f ca="1">IFERROR(VLOOKUP(O3024,EMAILS!B:C,2,FALSE),"NOT FOUND IN EMAILS")</f>
        <v>supplier@gmail.com</v>
      </c>
      <c r="Q3024" t="str">
        <f ca="1">""&amp;IFERROR(VLOOKUP(O3024,EMAILS!B:D,3,FALSE),"NOT FOUND IN EMAILS")</f>
        <v/>
      </c>
      <c r="R3024" t="str">
        <f ca="1">""&amp;IFERROR(VLOOKUP(O3024,EMAILS!B:E,4,FALSE),"NO T FOUND IN EMAILS")</f>
        <v/>
      </c>
    </row>
    <row r="3025" spans="2:18" x14ac:dyDescent="0.25">
      <c r="B3025" s="5" t="s">
        <v>3027</v>
      </c>
      <c r="C3025" s="5" t="s">
        <v>7167</v>
      </c>
      <c r="D3025" s="5">
        <v>4</v>
      </c>
      <c r="E3025" s="5">
        <v>4</v>
      </c>
      <c r="F3025" s="5">
        <v>4</v>
      </c>
      <c r="G3025" s="5">
        <v>4</v>
      </c>
      <c r="H3025" s="5">
        <v>4</v>
      </c>
      <c r="I3025" s="5">
        <v>6</v>
      </c>
      <c r="J3025" s="5">
        <v>4</v>
      </c>
      <c r="K3025" s="5">
        <v>4</v>
      </c>
      <c r="L3025" s="5">
        <v>4</v>
      </c>
      <c r="M3025" s="5">
        <v>0</v>
      </c>
      <c r="N3025" s="5">
        <v>0</v>
      </c>
      <c r="O3025" s="5" t="str">
        <f t="shared" ca="1" si="47"/>
        <v>Supplier 200</v>
      </c>
      <c r="P3025" s="20" t="str">
        <f ca="1">IFERROR(VLOOKUP(O3025,EMAILS!B:C,2,FALSE),"NOT FOUND IN EMAILS")</f>
        <v>supplier@gmail.com</v>
      </c>
      <c r="Q3025" t="str">
        <f ca="1">""&amp;IFERROR(VLOOKUP(O3025,EMAILS!B:D,3,FALSE),"NOT FOUND IN EMAILS")</f>
        <v/>
      </c>
      <c r="R3025" t="str">
        <f ca="1">""&amp;IFERROR(VLOOKUP(O3025,EMAILS!B:E,4,FALSE),"NO T FOUND IN EMAILS")</f>
        <v/>
      </c>
    </row>
    <row r="3026" spans="2:18" x14ac:dyDescent="0.25">
      <c r="B3026" s="5" t="s">
        <v>3028</v>
      </c>
      <c r="C3026" s="5" t="s">
        <v>7168</v>
      </c>
      <c r="D3026" s="5">
        <v>0</v>
      </c>
      <c r="E3026" s="5">
        <v>0</v>
      </c>
      <c r="F3026" s="5">
        <v>0</v>
      </c>
      <c r="G3026" s="5">
        <v>1600</v>
      </c>
      <c r="H3026" s="5">
        <v>0</v>
      </c>
      <c r="I3026" s="5">
        <v>0</v>
      </c>
      <c r="J3026" s="5">
        <v>1600</v>
      </c>
      <c r="K3026" s="5">
        <v>0</v>
      </c>
      <c r="L3026" s="5">
        <v>0</v>
      </c>
      <c r="M3026" s="5">
        <v>0</v>
      </c>
      <c r="N3026" s="5">
        <v>379</v>
      </c>
      <c r="O3026" s="5" t="str">
        <f t="shared" ca="1" si="47"/>
        <v>Supplier 109</v>
      </c>
      <c r="P3026" s="20" t="str">
        <f ca="1">IFERROR(VLOOKUP(O3026,EMAILS!B:C,2,FALSE),"NOT FOUND IN EMAILS")</f>
        <v>supplier@gmail.com</v>
      </c>
      <c r="Q3026" t="str">
        <f ca="1">""&amp;IFERROR(VLOOKUP(O3026,EMAILS!B:D,3,FALSE),"NOT FOUND IN EMAILS")</f>
        <v/>
      </c>
      <c r="R3026" t="str">
        <f ca="1">""&amp;IFERROR(VLOOKUP(O3026,EMAILS!B:E,4,FALSE),"NO T FOUND IN EMAILS")</f>
        <v/>
      </c>
    </row>
    <row r="3027" spans="2:18" x14ac:dyDescent="0.25">
      <c r="B3027" s="5" t="s">
        <v>3029</v>
      </c>
      <c r="C3027" s="5" t="s">
        <v>7169</v>
      </c>
      <c r="D3027" s="5">
        <v>0</v>
      </c>
      <c r="E3027" s="5">
        <v>0</v>
      </c>
      <c r="F3027" s="5">
        <v>50</v>
      </c>
      <c r="G3027" s="5">
        <v>0</v>
      </c>
      <c r="H3027" s="5">
        <v>50</v>
      </c>
      <c r="I3027" s="5">
        <v>50</v>
      </c>
      <c r="J3027" s="5">
        <v>0</v>
      </c>
      <c r="K3027" s="5">
        <v>0</v>
      </c>
      <c r="L3027" s="5">
        <v>0</v>
      </c>
      <c r="M3027" s="5">
        <v>0</v>
      </c>
      <c r="N3027" s="5">
        <v>148</v>
      </c>
      <c r="O3027" s="5" t="str">
        <f t="shared" ca="1" si="47"/>
        <v>Supplier 43</v>
      </c>
      <c r="P3027" s="20" t="str">
        <f ca="1">IFERROR(VLOOKUP(O3027,EMAILS!B:C,2,FALSE),"NOT FOUND IN EMAILS")</f>
        <v>supplier@gmail.com</v>
      </c>
      <c r="Q3027" t="str">
        <f ca="1">""&amp;IFERROR(VLOOKUP(O3027,EMAILS!B:D,3,FALSE),"NOT FOUND IN EMAILS")</f>
        <v/>
      </c>
      <c r="R3027" t="str">
        <f ca="1">""&amp;IFERROR(VLOOKUP(O3027,EMAILS!B:E,4,FALSE),"NO T FOUND IN EMAILS")</f>
        <v/>
      </c>
    </row>
    <row r="3028" spans="2:18" x14ac:dyDescent="0.25">
      <c r="B3028" s="5" t="s">
        <v>3030</v>
      </c>
      <c r="C3028" s="5" t="s">
        <v>7170</v>
      </c>
      <c r="D3028" s="5">
        <v>198</v>
      </c>
      <c r="E3028" s="5">
        <v>120</v>
      </c>
      <c r="F3028" s="5">
        <v>170</v>
      </c>
      <c r="G3028" s="5">
        <v>120</v>
      </c>
      <c r="H3028" s="5">
        <v>206</v>
      </c>
      <c r="I3028" s="5">
        <v>128</v>
      </c>
      <c r="J3028" s="5">
        <v>208</v>
      </c>
      <c r="K3028" s="5">
        <v>78</v>
      </c>
      <c r="L3028" s="5">
        <v>120</v>
      </c>
      <c r="M3028" s="5">
        <v>0</v>
      </c>
      <c r="N3028" s="5">
        <v>0</v>
      </c>
      <c r="O3028" s="5" t="str">
        <f t="shared" ca="1" si="47"/>
        <v>Supplier 148</v>
      </c>
      <c r="P3028" s="20" t="str">
        <f ca="1">IFERROR(VLOOKUP(O3028,EMAILS!B:C,2,FALSE),"NOT FOUND IN EMAILS")</f>
        <v>supplier@gmail.com</v>
      </c>
      <c r="Q3028" t="str">
        <f ca="1">""&amp;IFERROR(VLOOKUP(O3028,EMAILS!B:D,3,FALSE),"NOT FOUND IN EMAILS")</f>
        <v/>
      </c>
      <c r="R3028" t="str">
        <f ca="1">""&amp;IFERROR(VLOOKUP(O3028,EMAILS!B:E,4,FALSE),"NO T FOUND IN EMAILS")</f>
        <v/>
      </c>
    </row>
    <row r="3029" spans="2:18" x14ac:dyDescent="0.25">
      <c r="B3029" s="5" t="s">
        <v>3031</v>
      </c>
      <c r="C3029" s="5" t="s">
        <v>7171</v>
      </c>
      <c r="D3029" s="5">
        <v>0</v>
      </c>
      <c r="E3029" s="5">
        <v>0</v>
      </c>
      <c r="F3029" s="5">
        <v>0</v>
      </c>
      <c r="G3029" s="5">
        <v>0</v>
      </c>
      <c r="H3029" s="5">
        <v>0</v>
      </c>
      <c r="I3029" s="5">
        <v>0</v>
      </c>
      <c r="J3029" s="5">
        <v>0</v>
      </c>
      <c r="K3029" s="5">
        <v>0</v>
      </c>
      <c r="L3029" s="5">
        <v>0</v>
      </c>
      <c r="M3029" s="5">
        <v>0</v>
      </c>
      <c r="N3029" s="5">
        <v>0</v>
      </c>
      <c r="O3029" s="5" t="str">
        <f t="shared" ca="1" si="47"/>
        <v>Supplier 99</v>
      </c>
      <c r="P3029" s="20" t="str">
        <f ca="1">IFERROR(VLOOKUP(O3029,EMAILS!B:C,2,FALSE),"NOT FOUND IN EMAILS")</f>
        <v>supplier@gmail.com</v>
      </c>
      <c r="Q3029" t="str">
        <f ca="1">""&amp;IFERROR(VLOOKUP(O3029,EMAILS!B:D,3,FALSE),"NOT FOUND IN EMAILS")</f>
        <v/>
      </c>
      <c r="R3029" t="str">
        <f ca="1">""&amp;IFERROR(VLOOKUP(O3029,EMAILS!B:E,4,FALSE),"NO T FOUND IN EMAILS")</f>
        <v/>
      </c>
    </row>
    <row r="3030" spans="2:18" x14ac:dyDescent="0.25">
      <c r="B3030" s="5" t="s">
        <v>3032</v>
      </c>
      <c r="C3030" s="5" t="s">
        <v>7172</v>
      </c>
      <c r="D3030" s="5">
        <v>5504</v>
      </c>
      <c r="E3030" s="5">
        <v>3952</v>
      </c>
      <c r="F3030" s="5">
        <v>4640</v>
      </c>
      <c r="G3030" s="5">
        <v>4680</v>
      </c>
      <c r="H3030" s="5">
        <v>4186</v>
      </c>
      <c r="I3030" s="5">
        <v>4680</v>
      </c>
      <c r="J3030" s="5">
        <v>3624</v>
      </c>
      <c r="K3030" s="5">
        <v>3076</v>
      </c>
      <c r="L3030" s="5">
        <v>3236</v>
      </c>
      <c r="M3030" s="5">
        <v>0</v>
      </c>
      <c r="N3030" s="5">
        <v>0</v>
      </c>
      <c r="O3030" s="5" t="str">
        <f t="shared" ca="1" si="47"/>
        <v>Supplier 145</v>
      </c>
      <c r="P3030" s="20" t="str">
        <f ca="1">IFERROR(VLOOKUP(O3030,EMAILS!B:C,2,FALSE),"NOT FOUND IN EMAILS")</f>
        <v>supplier@gmail.com</v>
      </c>
      <c r="Q3030" t="str">
        <f ca="1">""&amp;IFERROR(VLOOKUP(O3030,EMAILS!B:D,3,FALSE),"NOT FOUND IN EMAILS")</f>
        <v/>
      </c>
      <c r="R3030" t="str">
        <f ca="1">""&amp;IFERROR(VLOOKUP(O3030,EMAILS!B:E,4,FALSE),"NO T FOUND IN EMAILS")</f>
        <v/>
      </c>
    </row>
    <row r="3031" spans="2:18" x14ac:dyDescent="0.25">
      <c r="B3031" s="5" t="s">
        <v>3033</v>
      </c>
      <c r="C3031" s="5" t="s">
        <v>7173</v>
      </c>
      <c r="D3031" s="5">
        <v>100</v>
      </c>
      <c r="E3031" s="5">
        <v>110</v>
      </c>
      <c r="F3031" s="5">
        <v>140</v>
      </c>
      <c r="G3031" s="5">
        <v>140</v>
      </c>
      <c r="H3031" s="5">
        <v>100</v>
      </c>
      <c r="I3031" s="5">
        <v>170</v>
      </c>
      <c r="J3031" s="5">
        <v>120</v>
      </c>
      <c r="K3031" s="5">
        <v>100</v>
      </c>
      <c r="L3031" s="5">
        <v>100</v>
      </c>
      <c r="M3031" s="5">
        <v>0</v>
      </c>
      <c r="N3031" s="5">
        <v>40</v>
      </c>
      <c r="O3031" s="5" t="str">
        <f t="shared" ca="1" si="47"/>
        <v>Supplier 62</v>
      </c>
      <c r="P3031" s="20" t="str">
        <f ca="1">IFERROR(VLOOKUP(O3031,EMAILS!B:C,2,FALSE),"NOT FOUND IN EMAILS")</f>
        <v>supplier@gmail.com</v>
      </c>
      <c r="Q3031" t="str">
        <f ca="1">""&amp;IFERROR(VLOOKUP(O3031,EMAILS!B:D,3,FALSE),"NOT FOUND IN EMAILS")</f>
        <v/>
      </c>
      <c r="R3031" t="str">
        <f ca="1">""&amp;IFERROR(VLOOKUP(O3031,EMAILS!B:E,4,FALSE),"NO T FOUND IN EMAILS")</f>
        <v/>
      </c>
    </row>
    <row r="3032" spans="2:18" x14ac:dyDescent="0.25">
      <c r="B3032" s="5" t="s">
        <v>3034</v>
      </c>
      <c r="C3032" s="5" t="s">
        <v>7174</v>
      </c>
      <c r="D3032" s="5">
        <v>10</v>
      </c>
      <c r="E3032" s="5">
        <v>10</v>
      </c>
      <c r="F3032" s="5">
        <v>15</v>
      </c>
      <c r="G3032" s="5">
        <v>10</v>
      </c>
      <c r="H3032" s="5">
        <v>10</v>
      </c>
      <c r="I3032" s="5">
        <v>10</v>
      </c>
      <c r="J3032" s="5">
        <v>10</v>
      </c>
      <c r="K3032" s="5">
        <v>5</v>
      </c>
      <c r="L3032" s="5">
        <v>10</v>
      </c>
      <c r="M3032" s="5">
        <v>0</v>
      </c>
      <c r="N3032" s="5">
        <v>612</v>
      </c>
      <c r="O3032" s="5" t="str">
        <f t="shared" ca="1" si="47"/>
        <v>Supplier 92</v>
      </c>
      <c r="P3032" s="20" t="str">
        <f ca="1">IFERROR(VLOOKUP(O3032,EMAILS!B:C,2,FALSE),"NOT FOUND IN EMAILS")</f>
        <v>supplier@gmail.com</v>
      </c>
      <c r="Q3032" t="str">
        <f ca="1">""&amp;IFERROR(VLOOKUP(O3032,EMAILS!B:D,3,FALSE),"NOT FOUND IN EMAILS")</f>
        <v/>
      </c>
      <c r="R3032" t="str">
        <f ca="1">""&amp;IFERROR(VLOOKUP(O3032,EMAILS!B:E,4,FALSE),"NO T FOUND IN EMAILS")</f>
        <v/>
      </c>
    </row>
    <row r="3033" spans="2:18" x14ac:dyDescent="0.25">
      <c r="B3033" s="5" t="s">
        <v>3035</v>
      </c>
      <c r="C3033" s="5" t="s">
        <v>7175</v>
      </c>
      <c r="D3033" s="5">
        <v>2</v>
      </c>
      <c r="E3033" s="5">
        <v>2</v>
      </c>
      <c r="F3033" s="5">
        <v>2</v>
      </c>
      <c r="G3033" s="5">
        <v>12</v>
      </c>
      <c r="H3033" s="5">
        <v>2</v>
      </c>
      <c r="I3033" s="5">
        <v>2</v>
      </c>
      <c r="J3033" s="5">
        <v>2</v>
      </c>
      <c r="K3033" s="5">
        <v>2</v>
      </c>
      <c r="L3033" s="5">
        <v>2</v>
      </c>
      <c r="M3033" s="5">
        <v>0</v>
      </c>
      <c r="N3033" s="5">
        <v>18</v>
      </c>
      <c r="O3033" s="5" t="str">
        <f t="shared" ca="1" si="47"/>
        <v>Supplier 160</v>
      </c>
      <c r="P3033" s="20" t="str">
        <f ca="1">IFERROR(VLOOKUP(O3033,EMAILS!B:C,2,FALSE),"NOT FOUND IN EMAILS")</f>
        <v>supplier@gmail.com</v>
      </c>
      <c r="Q3033" t="str">
        <f ca="1">""&amp;IFERROR(VLOOKUP(O3033,EMAILS!B:D,3,FALSE),"NOT FOUND IN EMAILS")</f>
        <v/>
      </c>
      <c r="R3033" t="str">
        <f ca="1">""&amp;IFERROR(VLOOKUP(O3033,EMAILS!B:E,4,FALSE),"NO T FOUND IN EMAILS")</f>
        <v/>
      </c>
    </row>
    <row r="3034" spans="2:18" x14ac:dyDescent="0.25">
      <c r="B3034" s="5" t="s">
        <v>3036</v>
      </c>
      <c r="C3034" s="5" t="s">
        <v>7176</v>
      </c>
      <c r="D3034" s="5">
        <v>0</v>
      </c>
      <c r="E3034" s="5">
        <v>0</v>
      </c>
      <c r="F3034" s="5">
        <v>0</v>
      </c>
      <c r="G3034" s="5">
        <v>10</v>
      </c>
      <c r="H3034" s="5">
        <v>0</v>
      </c>
      <c r="I3034" s="5">
        <v>0</v>
      </c>
      <c r="J3034" s="5">
        <v>0</v>
      </c>
      <c r="K3034" s="5">
        <v>0</v>
      </c>
      <c r="L3034" s="5">
        <v>0</v>
      </c>
      <c r="M3034" s="5">
        <v>0</v>
      </c>
      <c r="N3034" s="5">
        <v>737</v>
      </c>
      <c r="O3034" s="5" t="str">
        <f t="shared" ca="1" si="47"/>
        <v>Supplier 130</v>
      </c>
      <c r="P3034" s="20" t="str">
        <f ca="1">IFERROR(VLOOKUP(O3034,EMAILS!B:C,2,FALSE),"NOT FOUND IN EMAILS")</f>
        <v>supplier@gmail.com</v>
      </c>
      <c r="Q3034" t="str">
        <f ca="1">""&amp;IFERROR(VLOOKUP(O3034,EMAILS!B:D,3,FALSE),"NOT FOUND IN EMAILS")</f>
        <v/>
      </c>
      <c r="R3034" t="str">
        <f ca="1">""&amp;IFERROR(VLOOKUP(O3034,EMAILS!B:E,4,FALSE),"NO T FOUND IN EMAILS")</f>
        <v/>
      </c>
    </row>
    <row r="3035" spans="2:18" x14ac:dyDescent="0.25">
      <c r="B3035" s="5" t="s">
        <v>3037</v>
      </c>
      <c r="C3035" s="5" t="s">
        <v>7177</v>
      </c>
      <c r="D3035" s="5">
        <v>0</v>
      </c>
      <c r="E3035" s="5">
        <v>0</v>
      </c>
      <c r="F3035" s="5">
        <v>0</v>
      </c>
      <c r="G3035" s="5">
        <v>0</v>
      </c>
      <c r="H3035" s="5">
        <v>0</v>
      </c>
      <c r="I3035" s="5">
        <v>0</v>
      </c>
      <c r="J3035" s="5">
        <v>0</v>
      </c>
      <c r="K3035" s="5">
        <v>0</v>
      </c>
      <c r="L3035" s="5">
        <v>0</v>
      </c>
      <c r="M3035" s="5">
        <v>0</v>
      </c>
      <c r="N3035" s="5">
        <v>0</v>
      </c>
      <c r="O3035" s="5" t="str">
        <f t="shared" ca="1" si="47"/>
        <v>Supplier 118</v>
      </c>
      <c r="P3035" s="20" t="str">
        <f ca="1">IFERROR(VLOOKUP(O3035,EMAILS!B:C,2,FALSE),"NOT FOUND IN EMAILS")</f>
        <v>supplier@gmail.com</v>
      </c>
      <c r="Q3035" t="str">
        <f ca="1">""&amp;IFERROR(VLOOKUP(O3035,EMAILS!B:D,3,FALSE),"NOT FOUND IN EMAILS")</f>
        <v/>
      </c>
      <c r="R3035" t="str">
        <f ca="1">""&amp;IFERROR(VLOOKUP(O3035,EMAILS!B:E,4,FALSE),"NO T FOUND IN EMAILS")</f>
        <v/>
      </c>
    </row>
    <row r="3036" spans="2:18" x14ac:dyDescent="0.25">
      <c r="B3036" s="5" t="s">
        <v>3038</v>
      </c>
      <c r="C3036" s="5" t="s">
        <v>7178</v>
      </c>
      <c r="D3036" s="5">
        <v>0</v>
      </c>
      <c r="E3036" s="5">
        <v>0</v>
      </c>
      <c r="F3036" s="5">
        <v>0</v>
      </c>
      <c r="G3036" s="5">
        <v>0</v>
      </c>
      <c r="H3036" s="5">
        <v>0</v>
      </c>
      <c r="I3036" s="5">
        <v>0</v>
      </c>
      <c r="J3036" s="5">
        <v>0</v>
      </c>
      <c r="K3036" s="5">
        <v>0</v>
      </c>
      <c r="L3036" s="5">
        <v>0</v>
      </c>
      <c r="M3036" s="5">
        <v>0</v>
      </c>
      <c r="N3036" s="5">
        <v>1066</v>
      </c>
      <c r="O3036" s="5" t="str">
        <f t="shared" ca="1" si="47"/>
        <v>Supplier 168</v>
      </c>
      <c r="P3036" s="20" t="str">
        <f ca="1">IFERROR(VLOOKUP(O3036,EMAILS!B:C,2,FALSE),"NOT FOUND IN EMAILS")</f>
        <v>supplier@gmail.com</v>
      </c>
      <c r="Q3036" t="str">
        <f ca="1">""&amp;IFERROR(VLOOKUP(O3036,EMAILS!B:D,3,FALSE),"NOT FOUND IN EMAILS")</f>
        <v/>
      </c>
      <c r="R3036" t="str">
        <f ca="1">""&amp;IFERROR(VLOOKUP(O3036,EMAILS!B:E,4,FALSE),"NO T FOUND IN EMAILS")</f>
        <v/>
      </c>
    </row>
    <row r="3037" spans="2:18" x14ac:dyDescent="0.25">
      <c r="B3037" s="5" t="s">
        <v>3039</v>
      </c>
      <c r="C3037" s="5" t="s">
        <v>7179</v>
      </c>
      <c r="D3037" s="5">
        <v>216</v>
      </c>
      <c r="E3037" s="5">
        <v>232</v>
      </c>
      <c r="F3037" s="5">
        <v>314</v>
      </c>
      <c r="G3037" s="5">
        <v>242</v>
      </c>
      <c r="H3037" s="5">
        <v>222</v>
      </c>
      <c r="I3037" s="5">
        <v>192</v>
      </c>
      <c r="J3037" s="5">
        <v>192</v>
      </c>
      <c r="K3037" s="5">
        <v>186</v>
      </c>
      <c r="L3037" s="5">
        <v>182</v>
      </c>
      <c r="M3037" s="5">
        <v>0</v>
      </c>
      <c r="N3037" s="5">
        <v>21868</v>
      </c>
      <c r="O3037" s="5" t="str">
        <f t="shared" ca="1" si="47"/>
        <v>Supplier 168</v>
      </c>
      <c r="P3037" s="20" t="str">
        <f ca="1">IFERROR(VLOOKUP(O3037,EMAILS!B:C,2,FALSE),"NOT FOUND IN EMAILS")</f>
        <v>supplier@gmail.com</v>
      </c>
      <c r="Q3037" t="str">
        <f ca="1">""&amp;IFERROR(VLOOKUP(O3037,EMAILS!B:D,3,FALSE),"NOT FOUND IN EMAILS")</f>
        <v/>
      </c>
      <c r="R3037" t="str">
        <f ca="1">""&amp;IFERROR(VLOOKUP(O3037,EMAILS!B:E,4,FALSE),"NO T FOUND IN EMAILS")</f>
        <v/>
      </c>
    </row>
    <row r="3038" spans="2:18" x14ac:dyDescent="0.25">
      <c r="B3038" s="5" t="s">
        <v>3040</v>
      </c>
      <c r="C3038" s="5" t="s">
        <v>7180</v>
      </c>
      <c r="D3038" s="5">
        <v>112</v>
      </c>
      <c r="E3038" s="5">
        <v>58</v>
      </c>
      <c r="F3038" s="5">
        <v>94</v>
      </c>
      <c r="G3038" s="5">
        <v>94</v>
      </c>
      <c r="H3038" s="5">
        <v>74</v>
      </c>
      <c r="I3038" s="5">
        <v>75</v>
      </c>
      <c r="J3038" s="5">
        <v>74</v>
      </c>
      <c r="K3038" s="5">
        <v>2</v>
      </c>
      <c r="L3038" s="5">
        <v>2</v>
      </c>
      <c r="M3038" s="5">
        <v>0</v>
      </c>
      <c r="N3038" s="5">
        <v>79</v>
      </c>
      <c r="O3038" s="5" t="str">
        <f t="shared" ca="1" si="47"/>
        <v>Supplier 184</v>
      </c>
      <c r="P3038" s="20" t="str">
        <f ca="1">IFERROR(VLOOKUP(O3038,EMAILS!B:C,2,FALSE),"NOT FOUND IN EMAILS")</f>
        <v>supplier@gmail.com</v>
      </c>
      <c r="Q3038" t="str">
        <f ca="1">""&amp;IFERROR(VLOOKUP(O3038,EMAILS!B:D,3,FALSE),"NOT FOUND IN EMAILS")</f>
        <v/>
      </c>
      <c r="R3038" t="str">
        <f ca="1">""&amp;IFERROR(VLOOKUP(O3038,EMAILS!B:E,4,FALSE),"NO T FOUND IN EMAILS")</f>
        <v/>
      </c>
    </row>
    <row r="3039" spans="2:18" x14ac:dyDescent="0.25">
      <c r="B3039" s="5" t="s">
        <v>3041</v>
      </c>
      <c r="C3039" s="5" t="s">
        <v>7181</v>
      </c>
      <c r="D3039" s="5">
        <v>0</v>
      </c>
      <c r="E3039" s="5">
        <v>0</v>
      </c>
      <c r="F3039" s="5">
        <v>0</v>
      </c>
      <c r="G3039" s="5">
        <v>210</v>
      </c>
      <c r="H3039" s="5">
        <v>100</v>
      </c>
      <c r="I3039" s="5">
        <v>200</v>
      </c>
      <c r="J3039" s="5">
        <v>0</v>
      </c>
      <c r="K3039" s="5">
        <v>0</v>
      </c>
      <c r="L3039" s="5">
        <v>10</v>
      </c>
      <c r="M3039" s="5">
        <v>0</v>
      </c>
      <c r="N3039" s="5">
        <v>3000</v>
      </c>
      <c r="O3039" s="5" t="str">
        <f t="shared" ca="1" si="47"/>
        <v>Supplier 123</v>
      </c>
      <c r="P3039" s="20" t="str">
        <f ca="1">IFERROR(VLOOKUP(O3039,EMAILS!B:C,2,FALSE),"NOT FOUND IN EMAILS")</f>
        <v>supplier@gmail.com</v>
      </c>
      <c r="Q3039" t="str">
        <f ca="1">""&amp;IFERROR(VLOOKUP(O3039,EMAILS!B:D,3,FALSE),"NOT FOUND IN EMAILS")</f>
        <v/>
      </c>
      <c r="R3039" t="str">
        <f ca="1">""&amp;IFERROR(VLOOKUP(O3039,EMAILS!B:E,4,FALSE),"NO T FOUND IN EMAILS")</f>
        <v/>
      </c>
    </row>
    <row r="3040" spans="2:18" x14ac:dyDescent="0.25">
      <c r="B3040" s="5" t="s">
        <v>3042</v>
      </c>
      <c r="C3040" s="5" t="s">
        <v>7182</v>
      </c>
      <c r="D3040" s="5">
        <v>1</v>
      </c>
      <c r="E3040" s="5">
        <v>1</v>
      </c>
      <c r="F3040" s="5">
        <v>1</v>
      </c>
      <c r="G3040" s="5">
        <v>1</v>
      </c>
      <c r="H3040" s="5">
        <v>1</v>
      </c>
      <c r="I3040" s="5">
        <v>1</v>
      </c>
      <c r="J3040" s="5">
        <v>1</v>
      </c>
      <c r="K3040" s="5">
        <v>1</v>
      </c>
      <c r="L3040" s="5">
        <v>1</v>
      </c>
      <c r="M3040" s="5">
        <v>0</v>
      </c>
      <c r="N3040" s="5">
        <v>0</v>
      </c>
      <c r="O3040" s="5" t="str">
        <f t="shared" ca="1" si="47"/>
        <v>Supplier 190</v>
      </c>
      <c r="P3040" s="20" t="str">
        <f ca="1">IFERROR(VLOOKUP(O3040,EMAILS!B:C,2,FALSE),"NOT FOUND IN EMAILS")</f>
        <v>supplier@gmail.com</v>
      </c>
      <c r="Q3040" t="str">
        <f ca="1">""&amp;IFERROR(VLOOKUP(O3040,EMAILS!B:D,3,FALSE),"NOT FOUND IN EMAILS")</f>
        <v/>
      </c>
      <c r="R3040" t="str">
        <f ca="1">""&amp;IFERROR(VLOOKUP(O3040,EMAILS!B:E,4,FALSE),"NO T FOUND IN EMAILS")</f>
        <v/>
      </c>
    </row>
    <row r="3041" spans="2:18" x14ac:dyDescent="0.25">
      <c r="B3041" s="5" t="s">
        <v>3043</v>
      </c>
      <c r="C3041" s="5" t="s">
        <v>7183</v>
      </c>
      <c r="D3041" s="5">
        <v>0</v>
      </c>
      <c r="E3041" s="5">
        <v>0</v>
      </c>
      <c r="F3041" s="5">
        <v>0</v>
      </c>
      <c r="G3041" s="5">
        <v>0</v>
      </c>
      <c r="H3041" s="5">
        <v>0</v>
      </c>
      <c r="I3041" s="5">
        <v>0</v>
      </c>
      <c r="J3041" s="5">
        <v>0</v>
      </c>
      <c r="K3041" s="5">
        <v>0</v>
      </c>
      <c r="L3041" s="5">
        <v>0</v>
      </c>
      <c r="M3041" s="5">
        <v>0</v>
      </c>
      <c r="N3041" s="5">
        <v>136</v>
      </c>
      <c r="O3041" s="5" t="str">
        <f t="shared" ca="1" si="47"/>
        <v>Supplier 15</v>
      </c>
      <c r="P3041" s="20" t="str">
        <f ca="1">IFERROR(VLOOKUP(O3041,EMAILS!B:C,2,FALSE),"NOT FOUND IN EMAILS")</f>
        <v>supplier@gmail.com</v>
      </c>
      <c r="Q3041" t="str">
        <f ca="1">""&amp;IFERROR(VLOOKUP(O3041,EMAILS!B:D,3,FALSE),"NOT FOUND IN EMAILS")</f>
        <v>supplier_logistics@gmail.com</v>
      </c>
      <c r="R3041" t="str">
        <f ca="1">""&amp;IFERROR(VLOOKUP(O3041,EMAILS!B:E,4,FALSE),"NO T FOUND IN EMAILS")</f>
        <v/>
      </c>
    </row>
    <row r="3042" spans="2:18" x14ac:dyDescent="0.25">
      <c r="B3042" s="5" t="s">
        <v>3044</v>
      </c>
      <c r="C3042" s="5" t="s">
        <v>7184</v>
      </c>
      <c r="D3042" s="5">
        <v>96</v>
      </c>
      <c r="E3042" s="5">
        <v>104</v>
      </c>
      <c r="F3042" s="5">
        <v>242</v>
      </c>
      <c r="G3042" s="5">
        <v>104</v>
      </c>
      <c r="H3042" s="5">
        <v>160</v>
      </c>
      <c r="I3042" s="5">
        <v>72</v>
      </c>
      <c r="J3042" s="5">
        <v>136</v>
      </c>
      <c r="K3042" s="5">
        <v>154</v>
      </c>
      <c r="L3042" s="5">
        <v>150</v>
      </c>
      <c r="M3042" s="5">
        <v>0</v>
      </c>
      <c r="N3042" s="5">
        <v>743</v>
      </c>
      <c r="O3042" s="5" t="str">
        <f t="shared" ca="1" si="47"/>
        <v>Supplier 12</v>
      </c>
      <c r="P3042" s="20" t="str">
        <f ca="1">IFERROR(VLOOKUP(O3042,EMAILS!B:C,2,FALSE),"NOT FOUND IN EMAILS")</f>
        <v>supplier@gmail.com</v>
      </c>
      <c r="Q3042" t="str">
        <f ca="1">""&amp;IFERROR(VLOOKUP(O3042,EMAILS!B:D,3,FALSE),"NOT FOUND IN EMAILS")</f>
        <v>supplier_logistics@gmail.com</v>
      </c>
      <c r="R3042" t="str">
        <f ca="1">""&amp;IFERROR(VLOOKUP(O3042,EMAILS!B:E,4,FALSE),"NO T FOUND IN EMAILS")</f>
        <v/>
      </c>
    </row>
    <row r="3043" spans="2:18" x14ac:dyDescent="0.25">
      <c r="B3043" s="5" t="s">
        <v>3045</v>
      </c>
      <c r="C3043" s="5" t="s">
        <v>7185</v>
      </c>
      <c r="D3043" s="5">
        <v>0</v>
      </c>
      <c r="E3043" s="5">
        <v>0</v>
      </c>
      <c r="F3043" s="5">
        <v>0</v>
      </c>
      <c r="G3043" s="5">
        <v>0</v>
      </c>
      <c r="H3043" s="5">
        <v>1</v>
      </c>
      <c r="I3043" s="5">
        <v>0</v>
      </c>
      <c r="J3043" s="5">
        <v>0</v>
      </c>
      <c r="K3043" s="5">
        <v>0</v>
      </c>
      <c r="L3043" s="5">
        <v>0</v>
      </c>
      <c r="M3043" s="5">
        <v>0</v>
      </c>
      <c r="N3043" s="5">
        <v>0</v>
      </c>
      <c r="O3043" s="5" t="str">
        <f t="shared" ca="1" si="47"/>
        <v>Supplier 163</v>
      </c>
      <c r="P3043" s="20" t="str">
        <f ca="1">IFERROR(VLOOKUP(O3043,EMAILS!B:C,2,FALSE),"NOT FOUND IN EMAILS")</f>
        <v>supplier@gmail.com</v>
      </c>
      <c r="Q3043" t="str">
        <f ca="1">""&amp;IFERROR(VLOOKUP(O3043,EMAILS!B:D,3,FALSE),"NOT FOUND IN EMAILS")</f>
        <v/>
      </c>
      <c r="R3043" t="str">
        <f ca="1">""&amp;IFERROR(VLOOKUP(O3043,EMAILS!B:E,4,FALSE),"NO T FOUND IN EMAILS")</f>
        <v/>
      </c>
    </row>
    <row r="3044" spans="2:18" x14ac:dyDescent="0.25">
      <c r="B3044" s="5" t="s">
        <v>3046</v>
      </c>
      <c r="C3044" s="5" t="s">
        <v>7186</v>
      </c>
      <c r="D3044" s="5">
        <v>9</v>
      </c>
      <c r="E3044" s="5">
        <v>0</v>
      </c>
      <c r="F3044" s="5">
        <v>0</v>
      </c>
      <c r="G3044" s="5">
        <v>0</v>
      </c>
      <c r="H3044" s="5">
        <v>0</v>
      </c>
      <c r="I3044" s="5">
        <v>0</v>
      </c>
      <c r="J3044" s="5">
        <v>0</v>
      </c>
      <c r="K3044" s="5">
        <v>0</v>
      </c>
      <c r="L3044" s="5">
        <v>0</v>
      </c>
      <c r="M3044" s="5">
        <v>0</v>
      </c>
      <c r="N3044" s="5">
        <v>0</v>
      </c>
      <c r="O3044" s="5" t="str">
        <f t="shared" ca="1" si="47"/>
        <v>Supplier 19</v>
      </c>
      <c r="P3044" s="20" t="str">
        <f ca="1">IFERROR(VLOOKUP(O3044,EMAILS!B:C,2,FALSE),"NOT FOUND IN EMAILS")</f>
        <v>supplier@gmail.com</v>
      </c>
      <c r="Q3044" t="str">
        <f ca="1">""&amp;IFERROR(VLOOKUP(O3044,EMAILS!B:D,3,FALSE),"NOT FOUND IN EMAILS")</f>
        <v>supplier_logistics@gmail.com</v>
      </c>
      <c r="R3044" t="str">
        <f ca="1">""&amp;IFERROR(VLOOKUP(O3044,EMAILS!B:E,4,FALSE),"NO T FOUND IN EMAILS")</f>
        <v/>
      </c>
    </row>
    <row r="3045" spans="2:18" x14ac:dyDescent="0.25">
      <c r="B3045" s="5" t="s">
        <v>3047</v>
      </c>
      <c r="C3045" s="5" t="s">
        <v>7187</v>
      </c>
      <c r="D3045" s="5">
        <v>5</v>
      </c>
      <c r="E3045" s="5">
        <v>0</v>
      </c>
      <c r="F3045" s="5">
        <v>108</v>
      </c>
      <c r="G3045" s="5">
        <v>108</v>
      </c>
      <c r="H3045" s="5">
        <v>108</v>
      </c>
      <c r="I3045" s="5">
        <v>108</v>
      </c>
      <c r="J3045" s="5">
        <v>108</v>
      </c>
      <c r="K3045" s="5">
        <v>108</v>
      </c>
      <c r="L3045" s="5">
        <v>108</v>
      </c>
      <c r="M3045" s="5">
        <v>0</v>
      </c>
      <c r="N3045" s="5">
        <v>199</v>
      </c>
      <c r="O3045" s="5" t="str">
        <f t="shared" ca="1" si="47"/>
        <v>Supplier 86</v>
      </c>
      <c r="P3045" s="20" t="str">
        <f ca="1">IFERROR(VLOOKUP(O3045,EMAILS!B:C,2,FALSE),"NOT FOUND IN EMAILS")</f>
        <v>supplier@gmail.com</v>
      </c>
      <c r="Q3045" t="str">
        <f ca="1">""&amp;IFERROR(VLOOKUP(O3045,EMAILS!B:D,3,FALSE),"NOT FOUND IN EMAILS")</f>
        <v/>
      </c>
      <c r="R3045" t="str">
        <f ca="1">""&amp;IFERROR(VLOOKUP(O3045,EMAILS!B:E,4,FALSE),"NO T FOUND IN EMAILS")</f>
        <v/>
      </c>
    </row>
    <row r="3046" spans="2:18" x14ac:dyDescent="0.25">
      <c r="B3046" s="5" t="s">
        <v>3048</v>
      </c>
      <c r="C3046" s="5" t="s">
        <v>7188</v>
      </c>
      <c r="D3046" s="5">
        <v>0</v>
      </c>
      <c r="E3046" s="5">
        <v>2</v>
      </c>
      <c r="F3046" s="5">
        <v>2</v>
      </c>
      <c r="G3046" s="5">
        <v>2</v>
      </c>
      <c r="H3046" s="5">
        <v>2</v>
      </c>
      <c r="I3046" s="5">
        <v>2</v>
      </c>
      <c r="J3046" s="5">
        <v>2</v>
      </c>
      <c r="K3046" s="5">
        <v>2</v>
      </c>
      <c r="L3046" s="5">
        <v>2</v>
      </c>
      <c r="M3046" s="5">
        <v>0</v>
      </c>
      <c r="N3046" s="5">
        <v>50</v>
      </c>
      <c r="O3046" s="5" t="str">
        <f t="shared" ca="1" si="47"/>
        <v>Supplier 94</v>
      </c>
      <c r="P3046" s="20" t="str">
        <f ca="1">IFERROR(VLOOKUP(O3046,EMAILS!B:C,2,FALSE),"NOT FOUND IN EMAILS")</f>
        <v>supplier@gmail.com</v>
      </c>
      <c r="Q3046" t="str">
        <f ca="1">""&amp;IFERROR(VLOOKUP(O3046,EMAILS!B:D,3,FALSE),"NOT FOUND IN EMAILS")</f>
        <v/>
      </c>
      <c r="R3046" t="str">
        <f ca="1">""&amp;IFERROR(VLOOKUP(O3046,EMAILS!B:E,4,FALSE),"NO T FOUND IN EMAILS")</f>
        <v/>
      </c>
    </row>
    <row r="3047" spans="2:18" x14ac:dyDescent="0.25">
      <c r="B3047" s="5" t="s">
        <v>3049</v>
      </c>
      <c r="C3047" s="5" t="s">
        <v>7189</v>
      </c>
      <c r="D3047" s="5">
        <v>0</v>
      </c>
      <c r="E3047" s="5">
        <v>0</v>
      </c>
      <c r="F3047" s="5">
        <v>0</v>
      </c>
      <c r="G3047" s="5">
        <v>0</v>
      </c>
      <c r="H3047" s="5">
        <v>0</v>
      </c>
      <c r="I3047" s="5">
        <v>0</v>
      </c>
      <c r="J3047" s="5">
        <v>50</v>
      </c>
      <c r="K3047" s="5">
        <v>0</v>
      </c>
      <c r="L3047" s="5">
        <v>0</v>
      </c>
      <c r="M3047" s="5">
        <v>0</v>
      </c>
      <c r="N3047" s="5">
        <v>572</v>
      </c>
      <c r="O3047" s="5" t="str">
        <f t="shared" ca="1" si="47"/>
        <v>Supplier 100</v>
      </c>
      <c r="P3047" s="20" t="str">
        <f ca="1">IFERROR(VLOOKUP(O3047,EMAILS!B:C,2,FALSE),"NOT FOUND IN EMAILS")</f>
        <v>supplier@gmail.com</v>
      </c>
      <c r="Q3047" t="str">
        <f ca="1">""&amp;IFERROR(VLOOKUP(O3047,EMAILS!B:D,3,FALSE),"NOT FOUND IN EMAILS")</f>
        <v/>
      </c>
      <c r="R3047" t="str">
        <f ca="1">""&amp;IFERROR(VLOOKUP(O3047,EMAILS!B:E,4,FALSE),"NO T FOUND IN EMAILS")</f>
        <v/>
      </c>
    </row>
    <row r="3048" spans="2:18" x14ac:dyDescent="0.25">
      <c r="B3048" s="5" t="s">
        <v>3050</v>
      </c>
      <c r="C3048" s="5" t="s">
        <v>7190</v>
      </c>
      <c r="D3048" s="5">
        <v>620</v>
      </c>
      <c r="E3048" s="5">
        <v>492</v>
      </c>
      <c r="F3048" s="5">
        <v>783</v>
      </c>
      <c r="G3048" s="5">
        <v>818</v>
      </c>
      <c r="H3048" s="5">
        <v>554</v>
      </c>
      <c r="I3048" s="5">
        <v>768</v>
      </c>
      <c r="J3048" s="5">
        <v>394</v>
      </c>
      <c r="K3048" s="5">
        <v>286</v>
      </c>
      <c r="L3048" s="5">
        <v>624</v>
      </c>
      <c r="M3048" s="5">
        <v>0</v>
      </c>
      <c r="N3048" s="5">
        <v>300</v>
      </c>
      <c r="O3048" s="5" t="str">
        <f t="shared" ca="1" si="47"/>
        <v>Supplier 99</v>
      </c>
      <c r="P3048" s="20" t="str">
        <f ca="1">IFERROR(VLOOKUP(O3048,EMAILS!B:C,2,FALSE),"NOT FOUND IN EMAILS")</f>
        <v>supplier@gmail.com</v>
      </c>
      <c r="Q3048" t="str">
        <f ca="1">""&amp;IFERROR(VLOOKUP(O3048,EMAILS!B:D,3,FALSE),"NOT FOUND IN EMAILS")</f>
        <v/>
      </c>
      <c r="R3048" t="str">
        <f ca="1">""&amp;IFERROR(VLOOKUP(O3048,EMAILS!B:E,4,FALSE),"NO T FOUND IN EMAILS")</f>
        <v/>
      </c>
    </row>
    <row r="3049" spans="2:18" x14ac:dyDescent="0.25">
      <c r="B3049" s="5" t="s">
        <v>3051</v>
      </c>
      <c r="C3049" s="5" t="s">
        <v>7191</v>
      </c>
      <c r="D3049" s="5">
        <v>0</v>
      </c>
      <c r="E3049" s="5">
        <v>0</v>
      </c>
      <c r="F3049" s="5">
        <v>0</v>
      </c>
      <c r="G3049" s="5">
        <v>0</v>
      </c>
      <c r="H3049" s="5">
        <v>0</v>
      </c>
      <c r="I3049" s="5">
        <v>0</v>
      </c>
      <c r="J3049" s="5">
        <v>0</v>
      </c>
      <c r="K3049" s="5">
        <v>0</v>
      </c>
      <c r="L3049" s="5">
        <v>0</v>
      </c>
      <c r="M3049" s="5">
        <v>0</v>
      </c>
      <c r="N3049" s="5">
        <v>1297</v>
      </c>
      <c r="O3049" s="5" t="str">
        <f t="shared" ca="1" si="47"/>
        <v>Supplier 189</v>
      </c>
      <c r="P3049" s="20" t="str">
        <f ca="1">IFERROR(VLOOKUP(O3049,EMAILS!B:C,2,FALSE),"NOT FOUND IN EMAILS")</f>
        <v>supplier@gmail.com</v>
      </c>
      <c r="Q3049" t="str">
        <f ca="1">""&amp;IFERROR(VLOOKUP(O3049,EMAILS!B:D,3,FALSE),"NOT FOUND IN EMAILS")</f>
        <v/>
      </c>
      <c r="R3049" t="str">
        <f ca="1">""&amp;IFERROR(VLOOKUP(O3049,EMAILS!B:E,4,FALSE),"NO T FOUND IN EMAILS")</f>
        <v/>
      </c>
    </row>
    <row r="3050" spans="2:18" x14ac:dyDescent="0.25">
      <c r="B3050" s="5" t="s">
        <v>3052</v>
      </c>
      <c r="C3050" s="5" t="s">
        <v>7192</v>
      </c>
      <c r="D3050" s="5">
        <v>52</v>
      </c>
      <c r="E3050" s="5">
        <v>12</v>
      </c>
      <c r="F3050" s="5">
        <v>44</v>
      </c>
      <c r="G3050" s="5">
        <v>28</v>
      </c>
      <c r="H3050" s="5">
        <v>40</v>
      </c>
      <c r="I3050" s="5">
        <v>44</v>
      </c>
      <c r="J3050" s="5">
        <v>8</v>
      </c>
      <c r="K3050" s="5">
        <v>28</v>
      </c>
      <c r="L3050" s="5">
        <v>64</v>
      </c>
      <c r="M3050" s="5">
        <v>0</v>
      </c>
      <c r="N3050" s="5">
        <v>0</v>
      </c>
      <c r="O3050" s="5" t="str">
        <f t="shared" ca="1" si="47"/>
        <v>Supplier 106</v>
      </c>
      <c r="P3050" s="20" t="str">
        <f ca="1">IFERROR(VLOOKUP(O3050,EMAILS!B:C,2,FALSE),"NOT FOUND IN EMAILS")</f>
        <v>supplier@gmail.com</v>
      </c>
      <c r="Q3050" t="str">
        <f ca="1">""&amp;IFERROR(VLOOKUP(O3050,EMAILS!B:D,3,FALSE),"NOT FOUND IN EMAILS")</f>
        <v/>
      </c>
      <c r="R3050" t="str">
        <f ca="1">""&amp;IFERROR(VLOOKUP(O3050,EMAILS!B:E,4,FALSE),"NO T FOUND IN EMAILS")</f>
        <v/>
      </c>
    </row>
    <row r="3051" spans="2:18" x14ac:dyDescent="0.25">
      <c r="B3051" s="5" t="s">
        <v>3053</v>
      </c>
      <c r="C3051" s="5" t="s">
        <v>7193</v>
      </c>
      <c r="D3051" s="5">
        <v>40</v>
      </c>
      <c r="E3051" s="5">
        <v>0</v>
      </c>
      <c r="F3051" s="5">
        <v>0</v>
      </c>
      <c r="G3051" s="5">
        <v>40</v>
      </c>
      <c r="H3051" s="5">
        <v>40</v>
      </c>
      <c r="I3051" s="5">
        <v>0</v>
      </c>
      <c r="J3051" s="5">
        <v>0</v>
      </c>
      <c r="K3051" s="5">
        <v>0</v>
      </c>
      <c r="L3051" s="5">
        <v>0</v>
      </c>
      <c r="M3051" s="5">
        <v>0</v>
      </c>
      <c r="N3051" s="5">
        <v>1000</v>
      </c>
      <c r="O3051" s="5" t="str">
        <f t="shared" ca="1" si="47"/>
        <v>Supplier 68</v>
      </c>
      <c r="P3051" s="20" t="str">
        <f ca="1">IFERROR(VLOOKUP(O3051,EMAILS!B:C,2,FALSE),"NOT FOUND IN EMAILS")</f>
        <v>supplier@gmail.com</v>
      </c>
      <c r="Q3051" t="str">
        <f ca="1">""&amp;IFERROR(VLOOKUP(O3051,EMAILS!B:D,3,FALSE),"NOT FOUND IN EMAILS")</f>
        <v/>
      </c>
      <c r="R3051" t="str">
        <f ca="1">""&amp;IFERROR(VLOOKUP(O3051,EMAILS!B:E,4,FALSE),"NO T FOUND IN EMAILS")</f>
        <v/>
      </c>
    </row>
    <row r="3052" spans="2:18" x14ac:dyDescent="0.25">
      <c r="B3052" s="5" t="s">
        <v>3054</v>
      </c>
      <c r="C3052" s="5" t="s">
        <v>7194</v>
      </c>
      <c r="D3052" s="5">
        <v>0</v>
      </c>
      <c r="E3052" s="5">
        <v>0</v>
      </c>
      <c r="F3052" s="5">
        <v>0</v>
      </c>
      <c r="G3052" s="5">
        <v>0</v>
      </c>
      <c r="H3052" s="5">
        <v>0</v>
      </c>
      <c r="I3052" s="5">
        <v>0</v>
      </c>
      <c r="J3052" s="5">
        <v>0</v>
      </c>
      <c r="K3052" s="5">
        <v>0</v>
      </c>
      <c r="L3052" s="5">
        <v>0</v>
      </c>
      <c r="M3052" s="5">
        <v>0</v>
      </c>
      <c r="N3052" s="5">
        <v>0</v>
      </c>
      <c r="O3052" s="5" t="str">
        <f t="shared" ca="1" si="47"/>
        <v>Supplier 162</v>
      </c>
      <c r="P3052" s="20" t="str">
        <f ca="1">IFERROR(VLOOKUP(O3052,EMAILS!B:C,2,FALSE),"NOT FOUND IN EMAILS")</f>
        <v>supplier@gmail.com</v>
      </c>
      <c r="Q3052" t="str">
        <f ca="1">""&amp;IFERROR(VLOOKUP(O3052,EMAILS!B:D,3,FALSE),"NOT FOUND IN EMAILS")</f>
        <v/>
      </c>
      <c r="R3052" t="str">
        <f ca="1">""&amp;IFERROR(VLOOKUP(O3052,EMAILS!B:E,4,FALSE),"NO T FOUND IN EMAILS")</f>
        <v/>
      </c>
    </row>
    <row r="3053" spans="2:18" x14ac:dyDescent="0.25">
      <c r="B3053" s="5" t="s">
        <v>3055</v>
      </c>
      <c r="C3053" s="5" t="s">
        <v>7195</v>
      </c>
      <c r="D3053" s="5">
        <v>1404</v>
      </c>
      <c r="E3053" s="5">
        <v>1218</v>
      </c>
      <c r="F3053" s="5">
        <v>1404</v>
      </c>
      <c r="G3053" s="5">
        <v>1404</v>
      </c>
      <c r="H3053" s="5">
        <v>1404</v>
      </c>
      <c r="I3053" s="5">
        <v>1404</v>
      </c>
      <c r="J3053" s="5">
        <v>1080</v>
      </c>
      <c r="K3053" s="5">
        <v>1512</v>
      </c>
      <c r="L3053" s="5">
        <v>1414</v>
      </c>
      <c r="M3053" s="5">
        <v>0</v>
      </c>
      <c r="N3053" s="5">
        <v>0</v>
      </c>
      <c r="O3053" s="5" t="str">
        <f t="shared" ca="1" si="47"/>
        <v>Supplier 135</v>
      </c>
      <c r="P3053" s="20" t="str">
        <f ca="1">IFERROR(VLOOKUP(O3053,EMAILS!B:C,2,FALSE),"NOT FOUND IN EMAILS")</f>
        <v>supplier@gmail.com</v>
      </c>
      <c r="Q3053" t="str">
        <f ca="1">""&amp;IFERROR(VLOOKUP(O3053,EMAILS!B:D,3,FALSE),"NOT FOUND IN EMAILS")</f>
        <v/>
      </c>
      <c r="R3053" t="str">
        <f ca="1">""&amp;IFERROR(VLOOKUP(O3053,EMAILS!B:E,4,FALSE),"NO T FOUND IN EMAILS")</f>
        <v/>
      </c>
    </row>
    <row r="3054" spans="2:18" x14ac:dyDescent="0.25">
      <c r="B3054" s="5" t="s">
        <v>3056</v>
      </c>
      <c r="C3054" s="5" t="s">
        <v>7196</v>
      </c>
      <c r="D3054" s="5">
        <v>0</v>
      </c>
      <c r="E3054" s="5">
        <v>0</v>
      </c>
      <c r="F3054" s="5">
        <v>0</v>
      </c>
      <c r="G3054" s="5">
        <v>0</v>
      </c>
      <c r="H3054" s="5">
        <v>0</v>
      </c>
      <c r="I3054" s="5">
        <v>0</v>
      </c>
      <c r="J3054" s="5">
        <v>0</v>
      </c>
      <c r="K3054" s="5">
        <v>0</v>
      </c>
      <c r="L3054" s="5">
        <v>0</v>
      </c>
      <c r="M3054" s="5">
        <v>0</v>
      </c>
      <c r="N3054" s="5">
        <v>0</v>
      </c>
      <c r="O3054" s="5" t="str">
        <f t="shared" ca="1" si="47"/>
        <v>Supplier 97</v>
      </c>
      <c r="P3054" s="20" t="str">
        <f ca="1">IFERROR(VLOOKUP(O3054,EMAILS!B:C,2,FALSE),"NOT FOUND IN EMAILS")</f>
        <v>supplier@gmail.com</v>
      </c>
      <c r="Q3054" t="str">
        <f ca="1">""&amp;IFERROR(VLOOKUP(O3054,EMAILS!B:D,3,FALSE),"NOT FOUND IN EMAILS")</f>
        <v/>
      </c>
      <c r="R3054" t="str">
        <f ca="1">""&amp;IFERROR(VLOOKUP(O3054,EMAILS!B:E,4,FALSE),"NO T FOUND IN EMAILS")</f>
        <v/>
      </c>
    </row>
    <row r="3055" spans="2:18" x14ac:dyDescent="0.25">
      <c r="B3055" s="5" t="s">
        <v>3057</v>
      </c>
      <c r="C3055" s="5" t="s">
        <v>7197</v>
      </c>
      <c r="D3055" s="5">
        <v>0</v>
      </c>
      <c r="E3055" s="5">
        <v>0</v>
      </c>
      <c r="F3055" s="5">
        <v>0</v>
      </c>
      <c r="G3055" s="5">
        <v>0</v>
      </c>
      <c r="H3055" s="5">
        <v>0</v>
      </c>
      <c r="I3055" s="5">
        <v>0</v>
      </c>
      <c r="J3055" s="5">
        <v>0</v>
      </c>
      <c r="K3055" s="5">
        <v>0</v>
      </c>
      <c r="L3055" s="5">
        <v>0</v>
      </c>
      <c r="M3055" s="5">
        <v>0</v>
      </c>
      <c r="N3055" s="5">
        <v>0</v>
      </c>
      <c r="O3055" s="5" t="str">
        <f t="shared" ca="1" si="47"/>
        <v>Supplier 159</v>
      </c>
      <c r="P3055" s="20" t="str">
        <f ca="1">IFERROR(VLOOKUP(O3055,EMAILS!B:C,2,FALSE),"NOT FOUND IN EMAILS")</f>
        <v>supplier@gmail.com</v>
      </c>
      <c r="Q3055" t="str">
        <f ca="1">""&amp;IFERROR(VLOOKUP(O3055,EMAILS!B:D,3,FALSE),"NOT FOUND IN EMAILS")</f>
        <v/>
      </c>
      <c r="R3055" t="str">
        <f ca="1">""&amp;IFERROR(VLOOKUP(O3055,EMAILS!B:E,4,FALSE),"NO T FOUND IN EMAILS")</f>
        <v/>
      </c>
    </row>
    <row r="3056" spans="2:18" x14ac:dyDescent="0.25">
      <c r="B3056" s="5" t="s">
        <v>3058</v>
      </c>
      <c r="C3056" s="5" t="s">
        <v>7198</v>
      </c>
      <c r="D3056" s="5">
        <v>2808</v>
      </c>
      <c r="E3056" s="5">
        <v>2376</v>
      </c>
      <c r="F3056" s="5">
        <v>2808</v>
      </c>
      <c r="G3056" s="5">
        <v>2808</v>
      </c>
      <c r="H3056" s="5">
        <v>2808</v>
      </c>
      <c r="I3056" s="5">
        <v>2808</v>
      </c>
      <c r="J3056" s="5">
        <v>2160</v>
      </c>
      <c r="K3056" s="5">
        <v>3024</v>
      </c>
      <c r="L3056" s="5">
        <v>2808</v>
      </c>
      <c r="M3056" s="5">
        <v>0</v>
      </c>
      <c r="N3056" s="5">
        <v>178</v>
      </c>
      <c r="O3056" s="5" t="str">
        <f t="shared" ca="1" si="47"/>
        <v>Supplier 175</v>
      </c>
      <c r="P3056" s="20" t="str">
        <f ca="1">IFERROR(VLOOKUP(O3056,EMAILS!B:C,2,FALSE),"NOT FOUND IN EMAILS")</f>
        <v>supplier@gmail.com</v>
      </c>
      <c r="Q3056" t="str">
        <f ca="1">""&amp;IFERROR(VLOOKUP(O3056,EMAILS!B:D,3,FALSE),"NOT FOUND IN EMAILS")</f>
        <v/>
      </c>
      <c r="R3056" t="str">
        <f ca="1">""&amp;IFERROR(VLOOKUP(O3056,EMAILS!B:E,4,FALSE),"NO T FOUND IN EMAILS")</f>
        <v/>
      </c>
    </row>
    <row r="3057" spans="2:18" x14ac:dyDescent="0.25">
      <c r="B3057" s="5" t="s">
        <v>3059</v>
      </c>
      <c r="C3057" s="5" t="s">
        <v>7199</v>
      </c>
      <c r="D3057" s="5">
        <v>0</v>
      </c>
      <c r="E3057" s="5">
        <v>0</v>
      </c>
      <c r="F3057" s="5">
        <v>0</v>
      </c>
      <c r="G3057" s="5">
        <v>0</v>
      </c>
      <c r="H3057" s="5">
        <v>0</v>
      </c>
      <c r="I3057" s="5">
        <v>0</v>
      </c>
      <c r="J3057" s="5">
        <v>0</v>
      </c>
      <c r="K3057" s="5">
        <v>0</v>
      </c>
      <c r="L3057" s="5">
        <v>0</v>
      </c>
      <c r="M3057" s="5">
        <v>0</v>
      </c>
      <c r="N3057" s="5">
        <v>290</v>
      </c>
      <c r="O3057" s="5" t="str">
        <f t="shared" ca="1" si="47"/>
        <v>Supplier 27</v>
      </c>
      <c r="P3057" s="20" t="str">
        <f ca="1">IFERROR(VLOOKUP(O3057,EMAILS!B:C,2,FALSE),"NOT FOUND IN EMAILS")</f>
        <v>supplier@gmail.com</v>
      </c>
      <c r="Q3057" t="str">
        <f ca="1">""&amp;IFERROR(VLOOKUP(O3057,EMAILS!B:D,3,FALSE),"NOT FOUND IN EMAILS")</f>
        <v/>
      </c>
      <c r="R3057" t="str">
        <f ca="1">""&amp;IFERROR(VLOOKUP(O3057,EMAILS!B:E,4,FALSE),"NO T FOUND IN EMAILS")</f>
        <v/>
      </c>
    </row>
    <row r="3058" spans="2:18" x14ac:dyDescent="0.25">
      <c r="B3058" s="5" t="s">
        <v>3060</v>
      </c>
      <c r="C3058" s="5" t="s">
        <v>7200</v>
      </c>
      <c r="D3058" s="5">
        <v>14</v>
      </c>
      <c r="E3058" s="5">
        <v>22</v>
      </c>
      <c r="F3058" s="5">
        <v>32</v>
      </c>
      <c r="G3058" s="5">
        <v>30</v>
      </c>
      <c r="H3058" s="5">
        <v>22</v>
      </c>
      <c r="I3058" s="5">
        <v>30</v>
      </c>
      <c r="J3058" s="5">
        <v>46</v>
      </c>
      <c r="K3058" s="5">
        <v>30</v>
      </c>
      <c r="L3058" s="5">
        <v>10</v>
      </c>
      <c r="M3058" s="5">
        <v>0</v>
      </c>
      <c r="N3058" s="5">
        <v>0</v>
      </c>
      <c r="O3058" s="5" t="str">
        <f t="shared" ca="1" si="47"/>
        <v>Supplier 45</v>
      </c>
      <c r="P3058" s="20" t="str">
        <f ca="1">IFERROR(VLOOKUP(O3058,EMAILS!B:C,2,FALSE),"NOT FOUND IN EMAILS")</f>
        <v>supplier@gmail.com</v>
      </c>
      <c r="Q3058" t="str">
        <f ca="1">""&amp;IFERROR(VLOOKUP(O3058,EMAILS!B:D,3,FALSE),"NOT FOUND IN EMAILS")</f>
        <v/>
      </c>
      <c r="R3058" t="str">
        <f ca="1">""&amp;IFERROR(VLOOKUP(O3058,EMAILS!B:E,4,FALSE),"NO T FOUND IN EMAILS")</f>
        <v/>
      </c>
    </row>
    <row r="3059" spans="2:18" x14ac:dyDescent="0.25">
      <c r="B3059" s="5" t="s">
        <v>3061</v>
      </c>
      <c r="C3059" s="5" t="s">
        <v>7201</v>
      </c>
      <c r="D3059" s="5">
        <v>10</v>
      </c>
      <c r="E3059" s="5">
        <v>0</v>
      </c>
      <c r="F3059" s="5">
        <v>4</v>
      </c>
      <c r="G3059" s="5">
        <v>12</v>
      </c>
      <c r="H3059" s="5">
        <v>0</v>
      </c>
      <c r="I3059" s="5">
        <v>0</v>
      </c>
      <c r="J3059" s="5">
        <v>0</v>
      </c>
      <c r="K3059" s="5">
        <v>0</v>
      </c>
      <c r="L3059" s="5">
        <v>4</v>
      </c>
      <c r="M3059" s="5">
        <v>0</v>
      </c>
      <c r="N3059" s="5">
        <v>1412</v>
      </c>
      <c r="O3059" s="5" t="str">
        <f t="shared" ca="1" si="47"/>
        <v>Supplier 164</v>
      </c>
      <c r="P3059" s="20" t="str">
        <f ca="1">IFERROR(VLOOKUP(O3059,EMAILS!B:C,2,FALSE),"NOT FOUND IN EMAILS")</f>
        <v>supplier@gmail.com</v>
      </c>
      <c r="Q3059" t="str">
        <f ca="1">""&amp;IFERROR(VLOOKUP(O3059,EMAILS!B:D,3,FALSE),"NOT FOUND IN EMAILS")</f>
        <v/>
      </c>
      <c r="R3059" t="str">
        <f ca="1">""&amp;IFERROR(VLOOKUP(O3059,EMAILS!B:E,4,FALSE),"NO T FOUND IN EMAILS")</f>
        <v/>
      </c>
    </row>
    <row r="3060" spans="2:18" x14ac:dyDescent="0.25">
      <c r="B3060" s="5" t="s">
        <v>3062</v>
      </c>
      <c r="C3060" s="5" t="s">
        <v>7202</v>
      </c>
      <c r="D3060" s="5">
        <v>28</v>
      </c>
      <c r="E3060" s="5">
        <v>143</v>
      </c>
      <c r="F3060" s="5">
        <v>55</v>
      </c>
      <c r="G3060" s="5">
        <v>22</v>
      </c>
      <c r="H3060" s="5">
        <v>45</v>
      </c>
      <c r="I3060" s="5">
        <v>41</v>
      </c>
      <c r="J3060" s="5">
        <v>171</v>
      </c>
      <c r="K3060" s="5">
        <v>15</v>
      </c>
      <c r="L3060" s="5">
        <v>16</v>
      </c>
      <c r="M3060" s="5">
        <v>0</v>
      </c>
      <c r="N3060" s="5">
        <v>0</v>
      </c>
      <c r="O3060" s="5" t="str">
        <f t="shared" ca="1" si="47"/>
        <v>Supplier 98</v>
      </c>
      <c r="P3060" s="20" t="str">
        <f ca="1">IFERROR(VLOOKUP(O3060,EMAILS!B:C,2,FALSE),"NOT FOUND IN EMAILS")</f>
        <v>supplier@gmail.com</v>
      </c>
      <c r="Q3060" t="str">
        <f ca="1">""&amp;IFERROR(VLOOKUP(O3060,EMAILS!B:D,3,FALSE),"NOT FOUND IN EMAILS")</f>
        <v/>
      </c>
      <c r="R3060" t="str">
        <f ca="1">""&amp;IFERROR(VLOOKUP(O3060,EMAILS!B:E,4,FALSE),"NO T FOUND IN EMAILS")</f>
        <v/>
      </c>
    </row>
    <row r="3061" spans="2:18" x14ac:dyDescent="0.25">
      <c r="B3061" s="5" t="s">
        <v>3063</v>
      </c>
      <c r="C3061" s="5" t="s">
        <v>7203</v>
      </c>
      <c r="D3061" s="5">
        <v>50</v>
      </c>
      <c r="E3061" s="5">
        <v>55</v>
      </c>
      <c r="F3061" s="5">
        <v>70</v>
      </c>
      <c r="G3061" s="5">
        <v>70</v>
      </c>
      <c r="H3061" s="5">
        <v>50</v>
      </c>
      <c r="I3061" s="5">
        <v>85</v>
      </c>
      <c r="J3061" s="5">
        <v>60</v>
      </c>
      <c r="K3061" s="5">
        <v>50</v>
      </c>
      <c r="L3061" s="5">
        <v>50</v>
      </c>
      <c r="M3061" s="5">
        <v>0</v>
      </c>
      <c r="N3061" s="5">
        <v>0</v>
      </c>
      <c r="O3061" s="5" t="str">
        <f t="shared" ca="1" si="47"/>
        <v>Supplier 134</v>
      </c>
      <c r="P3061" s="20" t="str">
        <f ca="1">IFERROR(VLOOKUP(O3061,EMAILS!B:C,2,FALSE),"NOT FOUND IN EMAILS")</f>
        <v>supplier@gmail.com</v>
      </c>
      <c r="Q3061" t="str">
        <f ca="1">""&amp;IFERROR(VLOOKUP(O3061,EMAILS!B:D,3,FALSE),"NOT FOUND IN EMAILS")</f>
        <v/>
      </c>
      <c r="R3061" t="str">
        <f ca="1">""&amp;IFERROR(VLOOKUP(O3061,EMAILS!B:E,4,FALSE),"NO T FOUND IN EMAILS")</f>
        <v/>
      </c>
    </row>
    <row r="3062" spans="2:18" x14ac:dyDescent="0.25">
      <c r="B3062" s="5" t="s">
        <v>3064</v>
      </c>
      <c r="C3062" s="5" t="s">
        <v>7204</v>
      </c>
      <c r="D3062" s="5">
        <v>2808</v>
      </c>
      <c r="E3062" s="5">
        <v>2436</v>
      </c>
      <c r="F3062" s="5">
        <v>2808</v>
      </c>
      <c r="G3062" s="5">
        <v>2808</v>
      </c>
      <c r="H3062" s="5">
        <v>2808</v>
      </c>
      <c r="I3062" s="5">
        <v>2808</v>
      </c>
      <c r="J3062" s="5">
        <v>2160</v>
      </c>
      <c r="K3062" s="5">
        <v>3024</v>
      </c>
      <c r="L3062" s="5">
        <v>2828</v>
      </c>
      <c r="M3062" s="5">
        <v>0</v>
      </c>
      <c r="N3062" s="5">
        <v>0</v>
      </c>
      <c r="O3062" s="5" t="str">
        <f t="shared" ca="1" si="47"/>
        <v>Supplier 102</v>
      </c>
      <c r="P3062" s="20" t="str">
        <f ca="1">IFERROR(VLOOKUP(O3062,EMAILS!B:C,2,FALSE),"NOT FOUND IN EMAILS")</f>
        <v>supplier@gmail.com</v>
      </c>
      <c r="Q3062" t="str">
        <f ca="1">""&amp;IFERROR(VLOOKUP(O3062,EMAILS!B:D,3,FALSE),"NOT FOUND IN EMAILS")</f>
        <v/>
      </c>
      <c r="R3062" t="str">
        <f ca="1">""&amp;IFERROR(VLOOKUP(O3062,EMAILS!B:E,4,FALSE),"NO T FOUND IN EMAILS")</f>
        <v/>
      </c>
    </row>
    <row r="3063" spans="2:18" x14ac:dyDescent="0.25">
      <c r="B3063" s="5" t="s">
        <v>3065</v>
      </c>
      <c r="C3063" s="5" t="s">
        <v>7205</v>
      </c>
      <c r="D3063" s="5">
        <v>40</v>
      </c>
      <c r="E3063" s="5">
        <v>45</v>
      </c>
      <c r="F3063" s="5">
        <v>50</v>
      </c>
      <c r="G3063" s="5">
        <v>60</v>
      </c>
      <c r="H3063" s="5">
        <v>40</v>
      </c>
      <c r="I3063" s="5">
        <v>75</v>
      </c>
      <c r="J3063" s="5">
        <v>50</v>
      </c>
      <c r="K3063" s="5">
        <v>40</v>
      </c>
      <c r="L3063" s="5">
        <v>40</v>
      </c>
      <c r="M3063" s="5">
        <v>0</v>
      </c>
      <c r="N3063" s="5">
        <v>0</v>
      </c>
      <c r="O3063" s="5" t="str">
        <f t="shared" ca="1" si="47"/>
        <v>Supplier 152</v>
      </c>
      <c r="P3063" s="20" t="str">
        <f ca="1">IFERROR(VLOOKUP(O3063,EMAILS!B:C,2,FALSE),"NOT FOUND IN EMAILS")</f>
        <v>supplier@gmail.com</v>
      </c>
      <c r="Q3063" t="str">
        <f ca="1">""&amp;IFERROR(VLOOKUP(O3063,EMAILS!B:D,3,FALSE),"NOT FOUND IN EMAILS")</f>
        <v/>
      </c>
      <c r="R3063" t="str">
        <f ca="1">""&amp;IFERROR(VLOOKUP(O3063,EMAILS!B:E,4,FALSE),"NO T FOUND IN EMAILS")</f>
        <v/>
      </c>
    </row>
    <row r="3064" spans="2:18" x14ac:dyDescent="0.25">
      <c r="B3064" s="5" t="s">
        <v>3066</v>
      </c>
      <c r="C3064" s="5" t="s">
        <v>7206</v>
      </c>
      <c r="D3064" s="5">
        <v>4212</v>
      </c>
      <c r="E3064" s="5">
        <v>3564</v>
      </c>
      <c r="F3064" s="5">
        <v>4212</v>
      </c>
      <c r="G3064" s="5">
        <v>4212</v>
      </c>
      <c r="H3064" s="5">
        <v>4212</v>
      </c>
      <c r="I3064" s="5">
        <v>4212</v>
      </c>
      <c r="J3064" s="5">
        <v>3240</v>
      </c>
      <c r="K3064" s="5">
        <v>4536</v>
      </c>
      <c r="L3064" s="5">
        <v>4212</v>
      </c>
      <c r="M3064" s="5">
        <v>0</v>
      </c>
      <c r="N3064" s="5">
        <v>23240</v>
      </c>
      <c r="O3064" s="5" t="str">
        <f t="shared" ca="1" si="47"/>
        <v>Supplier 147</v>
      </c>
      <c r="P3064" s="20" t="str">
        <f ca="1">IFERROR(VLOOKUP(O3064,EMAILS!B:C,2,FALSE),"NOT FOUND IN EMAILS")</f>
        <v>supplier@gmail.com</v>
      </c>
      <c r="Q3064" t="str">
        <f ca="1">""&amp;IFERROR(VLOOKUP(O3064,EMAILS!B:D,3,FALSE),"NOT FOUND IN EMAILS")</f>
        <v/>
      </c>
      <c r="R3064" t="str">
        <f ca="1">""&amp;IFERROR(VLOOKUP(O3064,EMAILS!B:E,4,FALSE),"NO T FOUND IN EMAILS")</f>
        <v/>
      </c>
    </row>
    <row r="3065" spans="2:18" x14ac:dyDescent="0.25">
      <c r="B3065" s="5" t="s">
        <v>3067</v>
      </c>
      <c r="C3065" s="5" t="s">
        <v>7207</v>
      </c>
      <c r="D3065" s="5">
        <v>120</v>
      </c>
      <c r="E3065" s="5">
        <v>138</v>
      </c>
      <c r="F3065" s="5">
        <v>180</v>
      </c>
      <c r="G3065" s="5">
        <v>132</v>
      </c>
      <c r="H3065" s="5">
        <v>120</v>
      </c>
      <c r="I3065" s="5">
        <v>96</v>
      </c>
      <c r="J3065" s="5">
        <v>96</v>
      </c>
      <c r="K3065" s="5">
        <v>90</v>
      </c>
      <c r="L3065" s="5">
        <v>96</v>
      </c>
      <c r="M3065" s="5">
        <v>0</v>
      </c>
      <c r="N3065" s="5">
        <v>0</v>
      </c>
      <c r="O3065" s="5" t="str">
        <f t="shared" ca="1" si="47"/>
        <v>Supplier 72</v>
      </c>
      <c r="P3065" s="20" t="str">
        <f ca="1">IFERROR(VLOOKUP(O3065,EMAILS!B:C,2,FALSE),"NOT FOUND IN EMAILS")</f>
        <v>supplier@gmail.com</v>
      </c>
      <c r="Q3065" t="str">
        <f ca="1">""&amp;IFERROR(VLOOKUP(O3065,EMAILS!B:D,3,FALSE),"NOT FOUND IN EMAILS")</f>
        <v/>
      </c>
      <c r="R3065" t="str">
        <f ca="1">""&amp;IFERROR(VLOOKUP(O3065,EMAILS!B:E,4,FALSE),"NO T FOUND IN EMAILS")</f>
        <v/>
      </c>
    </row>
    <row r="3066" spans="2:18" x14ac:dyDescent="0.25">
      <c r="B3066" s="5" t="s">
        <v>3068</v>
      </c>
      <c r="C3066" s="5" t="s">
        <v>7208</v>
      </c>
      <c r="D3066" s="5">
        <v>2617</v>
      </c>
      <c r="E3066" s="5">
        <v>2712</v>
      </c>
      <c r="F3066" s="5">
        <v>2796</v>
      </c>
      <c r="G3066" s="5">
        <v>2324</v>
      </c>
      <c r="H3066" s="5">
        <v>1968</v>
      </c>
      <c r="I3066" s="5">
        <v>1584</v>
      </c>
      <c r="J3066" s="5">
        <v>1736</v>
      </c>
      <c r="K3066" s="5">
        <v>1856</v>
      </c>
      <c r="L3066" s="5">
        <v>1624</v>
      </c>
      <c r="M3066" s="5">
        <v>0</v>
      </c>
      <c r="N3066" s="5">
        <v>0</v>
      </c>
      <c r="O3066" s="5" t="str">
        <f t="shared" ca="1" si="47"/>
        <v>Supplier 43</v>
      </c>
      <c r="P3066" s="20" t="str">
        <f ca="1">IFERROR(VLOOKUP(O3066,EMAILS!B:C,2,FALSE),"NOT FOUND IN EMAILS")</f>
        <v>supplier@gmail.com</v>
      </c>
      <c r="Q3066" t="str">
        <f ca="1">""&amp;IFERROR(VLOOKUP(O3066,EMAILS!B:D,3,FALSE),"NOT FOUND IN EMAILS")</f>
        <v/>
      </c>
      <c r="R3066" t="str">
        <f ca="1">""&amp;IFERROR(VLOOKUP(O3066,EMAILS!B:E,4,FALSE),"NO T FOUND IN EMAILS")</f>
        <v/>
      </c>
    </row>
    <row r="3067" spans="2:18" x14ac:dyDescent="0.25">
      <c r="B3067" s="5" t="s">
        <v>3069</v>
      </c>
      <c r="C3067" s="5" t="s">
        <v>7209</v>
      </c>
      <c r="D3067" s="5">
        <v>20</v>
      </c>
      <c r="E3067" s="5">
        <v>25</v>
      </c>
      <c r="F3067" s="5">
        <v>35</v>
      </c>
      <c r="G3067" s="5">
        <v>25</v>
      </c>
      <c r="H3067" s="5">
        <v>20</v>
      </c>
      <c r="I3067" s="5">
        <v>25</v>
      </c>
      <c r="J3067" s="5">
        <v>25</v>
      </c>
      <c r="K3067" s="5">
        <v>10</v>
      </c>
      <c r="L3067" s="5">
        <v>25</v>
      </c>
      <c r="M3067" s="5">
        <v>0</v>
      </c>
      <c r="N3067" s="5">
        <v>0</v>
      </c>
      <c r="O3067" s="5" t="str">
        <f t="shared" ca="1" si="47"/>
        <v>Supplier 32</v>
      </c>
      <c r="P3067" s="20" t="str">
        <f ca="1">IFERROR(VLOOKUP(O3067,EMAILS!B:C,2,FALSE),"NOT FOUND IN EMAILS")</f>
        <v>supplier@gmail.com</v>
      </c>
      <c r="Q3067" t="str">
        <f ca="1">""&amp;IFERROR(VLOOKUP(O3067,EMAILS!B:D,3,FALSE),"NOT FOUND IN EMAILS")</f>
        <v/>
      </c>
      <c r="R3067" t="str">
        <f ca="1">""&amp;IFERROR(VLOOKUP(O3067,EMAILS!B:E,4,FALSE),"NO T FOUND IN EMAILS")</f>
        <v/>
      </c>
    </row>
    <row r="3068" spans="2:18" x14ac:dyDescent="0.25">
      <c r="B3068" s="5" t="s">
        <v>3070</v>
      </c>
      <c r="C3068" s="5" t="s">
        <v>7210</v>
      </c>
      <c r="D3068" s="5">
        <v>0</v>
      </c>
      <c r="E3068" s="5">
        <v>0</v>
      </c>
      <c r="F3068" s="5">
        <v>0</v>
      </c>
      <c r="G3068" s="5">
        <v>0</v>
      </c>
      <c r="H3068" s="5">
        <v>0</v>
      </c>
      <c r="I3068" s="5">
        <v>0</v>
      </c>
      <c r="J3068" s="5">
        <v>0</v>
      </c>
      <c r="K3068" s="5">
        <v>0</v>
      </c>
      <c r="L3068" s="5">
        <v>0</v>
      </c>
      <c r="M3068" s="5">
        <v>0</v>
      </c>
      <c r="N3068" s="5">
        <v>153</v>
      </c>
      <c r="O3068" s="5" t="str">
        <f t="shared" ca="1" si="47"/>
        <v>Supplier 76</v>
      </c>
      <c r="P3068" s="20" t="str">
        <f ca="1">IFERROR(VLOOKUP(O3068,EMAILS!B:C,2,FALSE),"NOT FOUND IN EMAILS")</f>
        <v>supplier@gmail.com</v>
      </c>
      <c r="Q3068" t="str">
        <f ca="1">""&amp;IFERROR(VLOOKUP(O3068,EMAILS!B:D,3,FALSE),"NOT FOUND IN EMAILS")</f>
        <v/>
      </c>
      <c r="R3068" t="str">
        <f ca="1">""&amp;IFERROR(VLOOKUP(O3068,EMAILS!B:E,4,FALSE),"NO T FOUND IN EMAILS")</f>
        <v/>
      </c>
    </row>
    <row r="3069" spans="2:18" x14ac:dyDescent="0.25">
      <c r="B3069" s="5" t="s">
        <v>3071</v>
      </c>
      <c r="C3069" s="5" t="s">
        <v>7211</v>
      </c>
      <c r="D3069" s="5">
        <v>5</v>
      </c>
      <c r="E3069" s="5">
        <v>9</v>
      </c>
      <c r="F3069" s="5">
        <v>13</v>
      </c>
      <c r="G3069" s="5">
        <v>17</v>
      </c>
      <c r="H3069" s="5">
        <v>9</v>
      </c>
      <c r="I3069" s="5">
        <v>17</v>
      </c>
      <c r="J3069" s="5">
        <v>33</v>
      </c>
      <c r="K3069" s="5">
        <v>21</v>
      </c>
      <c r="L3069" s="5">
        <v>1</v>
      </c>
      <c r="M3069" s="5">
        <v>0</v>
      </c>
      <c r="N3069" s="5">
        <v>500</v>
      </c>
      <c r="O3069" s="5" t="str">
        <f t="shared" ca="1" si="47"/>
        <v>Supplier 69</v>
      </c>
      <c r="P3069" s="20" t="str">
        <f ca="1">IFERROR(VLOOKUP(O3069,EMAILS!B:C,2,FALSE),"NOT FOUND IN EMAILS")</f>
        <v>supplier@gmail.com</v>
      </c>
      <c r="Q3069" t="str">
        <f ca="1">""&amp;IFERROR(VLOOKUP(O3069,EMAILS!B:D,3,FALSE),"NOT FOUND IN EMAILS")</f>
        <v/>
      </c>
      <c r="R3069" t="str">
        <f ca="1">""&amp;IFERROR(VLOOKUP(O3069,EMAILS!B:E,4,FALSE),"NO T FOUND IN EMAILS")</f>
        <v/>
      </c>
    </row>
    <row r="3070" spans="2:18" x14ac:dyDescent="0.25">
      <c r="B3070" s="5" t="s">
        <v>3072</v>
      </c>
      <c r="C3070" s="5" t="s">
        <v>7212</v>
      </c>
      <c r="D3070" s="5">
        <v>1</v>
      </c>
      <c r="E3070" s="5">
        <v>0</v>
      </c>
      <c r="F3070" s="5">
        <v>0</v>
      </c>
      <c r="G3070" s="5">
        <v>0</v>
      </c>
      <c r="H3070" s="5">
        <v>5</v>
      </c>
      <c r="I3070" s="5">
        <v>7</v>
      </c>
      <c r="J3070" s="5">
        <v>1</v>
      </c>
      <c r="K3070" s="5">
        <v>4</v>
      </c>
      <c r="L3070" s="5">
        <v>0</v>
      </c>
      <c r="M3070" s="5">
        <v>0</v>
      </c>
      <c r="N3070" s="5">
        <v>0</v>
      </c>
      <c r="O3070" s="5" t="str">
        <f t="shared" ca="1" si="47"/>
        <v>Supplier 84</v>
      </c>
      <c r="P3070" s="20" t="str">
        <f ca="1">IFERROR(VLOOKUP(O3070,EMAILS!B:C,2,FALSE),"NOT FOUND IN EMAILS")</f>
        <v>supplier@gmail.com</v>
      </c>
      <c r="Q3070" t="str">
        <f ca="1">""&amp;IFERROR(VLOOKUP(O3070,EMAILS!B:D,3,FALSE),"NOT FOUND IN EMAILS")</f>
        <v/>
      </c>
      <c r="R3070" t="str">
        <f ca="1">""&amp;IFERROR(VLOOKUP(O3070,EMAILS!B:E,4,FALSE),"NO T FOUND IN EMAILS")</f>
        <v/>
      </c>
    </row>
    <row r="3071" spans="2:18" x14ac:dyDescent="0.25">
      <c r="B3071" s="5" t="s">
        <v>3073</v>
      </c>
      <c r="C3071" s="5" t="s">
        <v>7213</v>
      </c>
      <c r="D3071" s="5">
        <v>120</v>
      </c>
      <c r="E3071" s="5">
        <v>90</v>
      </c>
      <c r="F3071" s="5">
        <v>90</v>
      </c>
      <c r="G3071" s="5">
        <v>90</v>
      </c>
      <c r="H3071" s="5">
        <v>90</v>
      </c>
      <c r="I3071" s="5">
        <v>45</v>
      </c>
      <c r="J3071" s="5">
        <v>90</v>
      </c>
      <c r="K3071" s="5">
        <v>45</v>
      </c>
      <c r="L3071" s="5">
        <v>90</v>
      </c>
      <c r="M3071" s="5">
        <v>0</v>
      </c>
      <c r="N3071" s="5">
        <v>1610</v>
      </c>
      <c r="O3071" s="5" t="str">
        <f t="shared" ca="1" si="47"/>
        <v>Supplier 54</v>
      </c>
      <c r="P3071" s="20" t="str">
        <f ca="1">IFERROR(VLOOKUP(O3071,EMAILS!B:C,2,FALSE),"NOT FOUND IN EMAILS")</f>
        <v>supplier@gmail.com</v>
      </c>
      <c r="Q3071" t="str">
        <f ca="1">""&amp;IFERROR(VLOOKUP(O3071,EMAILS!B:D,3,FALSE),"NOT FOUND IN EMAILS")</f>
        <v/>
      </c>
      <c r="R3071" t="str">
        <f ca="1">""&amp;IFERROR(VLOOKUP(O3071,EMAILS!B:E,4,FALSE),"NO T FOUND IN EMAILS")</f>
        <v/>
      </c>
    </row>
    <row r="3072" spans="2:18" x14ac:dyDescent="0.25">
      <c r="B3072" s="5" t="s">
        <v>3074</v>
      </c>
      <c r="C3072" s="5" t="s">
        <v>7214</v>
      </c>
      <c r="D3072" s="5">
        <v>2984</v>
      </c>
      <c r="E3072" s="5">
        <v>2411</v>
      </c>
      <c r="F3072" s="5">
        <v>3284</v>
      </c>
      <c r="G3072" s="5">
        <v>3558</v>
      </c>
      <c r="H3072" s="5">
        <v>3385</v>
      </c>
      <c r="I3072" s="5">
        <v>2319</v>
      </c>
      <c r="J3072" s="5">
        <v>2781</v>
      </c>
      <c r="K3072" s="5">
        <v>2389</v>
      </c>
      <c r="L3072" s="5">
        <v>2315</v>
      </c>
      <c r="M3072" s="5">
        <v>0</v>
      </c>
      <c r="N3072" s="5">
        <v>0</v>
      </c>
      <c r="O3072" s="5" t="str">
        <f t="shared" ca="1" si="47"/>
        <v>Supplier 95</v>
      </c>
      <c r="P3072" s="20" t="str">
        <f ca="1">IFERROR(VLOOKUP(O3072,EMAILS!B:C,2,FALSE),"NOT FOUND IN EMAILS")</f>
        <v>supplier@gmail.com</v>
      </c>
      <c r="Q3072" t="str">
        <f ca="1">""&amp;IFERROR(VLOOKUP(O3072,EMAILS!B:D,3,FALSE),"NOT FOUND IN EMAILS")</f>
        <v/>
      </c>
      <c r="R3072" t="str">
        <f ca="1">""&amp;IFERROR(VLOOKUP(O3072,EMAILS!B:E,4,FALSE),"NO T FOUND IN EMAILS")</f>
        <v/>
      </c>
    </row>
    <row r="3073" spans="2:18" x14ac:dyDescent="0.25">
      <c r="B3073" s="5" t="s">
        <v>3075</v>
      </c>
      <c r="C3073" s="5" t="s">
        <v>7215</v>
      </c>
      <c r="D3073" s="5">
        <v>0</v>
      </c>
      <c r="E3073" s="5">
        <v>0</v>
      </c>
      <c r="F3073" s="5">
        <v>0</v>
      </c>
      <c r="G3073" s="5">
        <v>0</v>
      </c>
      <c r="H3073" s="5">
        <v>0</v>
      </c>
      <c r="I3073" s="5">
        <v>0</v>
      </c>
      <c r="J3073" s="5">
        <v>0</v>
      </c>
      <c r="K3073" s="5">
        <v>0</v>
      </c>
      <c r="L3073" s="5">
        <v>0</v>
      </c>
      <c r="M3073" s="5">
        <v>0</v>
      </c>
      <c r="N3073" s="5">
        <v>3752</v>
      </c>
      <c r="O3073" s="5" t="str">
        <f t="shared" ca="1" si="47"/>
        <v>Supplier 12</v>
      </c>
      <c r="P3073" s="20" t="str">
        <f ca="1">IFERROR(VLOOKUP(O3073,EMAILS!B:C,2,FALSE),"NOT FOUND IN EMAILS")</f>
        <v>supplier@gmail.com</v>
      </c>
      <c r="Q3073" t="str">
        <f ca="1">""&amp;IFERROR(VLOOKUP(O3073,EMAILS!B:D,3,FALSE),"NOT FOUND IN EMAILS")</f>
        <v>supplier_logistics@gmail.com</v>
      </c>
      <c r="R3073" t="str">
        <f ca="1">""&amp;IFERROR(VLOOKUP(O3073,EMAILS!B:E,4,FALSE),"NO T FOUND IN EMAILS")</f>
        <v/>
      </c>
    </row>
    <row r="3074" spans="2:18" x14ac:dyDescent="0.25">
      <c r="B3074" s="5" t="s">
        <v>3076</v>
      </c>
      <c r="C3074" s="5" t="s">
        <v>7216</v>
      </c>
      <c r="D3074" s="5">
        <v>318</v>
      </c>
      <c r="E3074" s="5">
        <v>144</v>
      </c>
      <c r="F3074" s="5">
        <v>82</v>
      </c>
      <c r="G3074" s="5">
        <v>323</v>
      </c>
      <c r="H3074" s="5">
        <v>113</v>
      </c>
      <c r="I3074" s="5">
        <v>90</v>
      </c>
      <c r="J3074" s="5">
        <v>114</v>
      </c>
      <c r="K3074" s="5">
        <v>144</v>
      </c>
      <c r="L3074" s="5">
        <v>104</v>
      </c>
      <c r="M3074" s="5">
        <v>0</v>
      </c>
      <c r="N3074" s="5">
        <v>6430</v>
      </c>
      <c r="O3074" s="5" t="str">
        <f t="shared" ca="1" si="47"/>
        <v>Supplier 70</v>
      </c>
      <c r="P3074" s="20" t="str">
        <f ca="1">IFERROR(VLOOKUP(O3074,EMAILS!B:C,2,FALSE),"NOT FOUND IN EMAILS")</f>
        <v>supplier@gmail.com</v>
      </c>
      <c r="Q3074" t="str">
        <f ca="1">""&amp;IFERROR(VLOOKUP(O3074,EMAILS!B:D,3,FALSE),"NOT FOUND IN EMAILS")</f>
        <v/>
      </c>
      <c r="R3074" t="str">
        <f ca="1">""&amp;IFERROR(VLOOKUP(O3074,EMAILS!B:E,4,FALSE),"NO T FOUND IN EMAILS")</f>
        <v/>
      </c>
    </row>
    <row r="3075" spans="2:18" x14ac:dyDescent="0.25">
      <c r="B3075" s="5" t="s">
        <v>3077</v>
      </c>
      <c r="C3075" s="5" t="s">
        <v>7217</v>
      </c>
      <c r="D3075" s="5">
        <v>1384</v>
      </c>
      <c r="E3075" s="5">
        <v>0</v>
      </c>
      <c r="F3075" s="5">
        <v>0</v>
      </c>
      <c r="G3075" s="5">
        <v>0</v>
      </c>
      <c r="H3075" s="5">
        <v>0</v>
      </c>
      <c r="I3075" s="5">
        <v>0</v>
      </c>
      <c r="J3075" s="5">
        <v>0</v>
      </c>
      <c r="K3075" s="5">
        <v>0</v>
      </c>
      <c r="L3075" s="5">
        <v>0</v>
      </c>
      <c r="M3075" s="5">
        <v>0</v>
      </c>
      <c r="N3075" s="5">
        <v>381</v>
      </c>
      <c r="O3075" s="5" t="str">
        <f t="shared" ref="O3075:O3138" ca="1" si="48">"Supplier "&amp;RANDBETWEEN(1,200)</f>
        <v>Supplier 77</v>
      </c>
      <c r="P3075" s="20" t="str">
        <f ca="1">IFERROR(VLOOKUP(O3075,EMAILS!B:C,2,FALSE),"NOT FOUND IN EMAILS")</f>
        <v>supplier@gmail.com</v>
      </c>
      <c r="Q3075" t="str">
        <f ca="1">""&amp;IFERROR(VLOOKUP(O3075,EMAILS!B:D,3,FALSE),"NOT FOUND IN EMAILS")</f>
        <v/>
      </c>
      <c r="R3075" t="str">
        <f ca="1">""&amp;IFERROR(VLOOKUP(O3075,EMAILS!B:E,4,FALSE),"NO T FOUND IN EMAILS")</f>
        <v/>
      </c>
    </row>
    <row r="3076" spans="2:18" x14ac:dyDescent="0.25">
      <c r="B3076" s="5" t="s">
        <v>3078</v>
      </c>
      <c r="C3076" s="5" t="s">
        <v>7218</v>
      </c>
      <c r="D3076" s="5">
        <v>40</v>
      </c>
      <c r="E3076" s="5">
        <v>46</v>
      </c>
      <c r="F3076" s="5">
        <v>60</v>
      </c>
      <c r="G3076" s="5">
        <v>44</v>
      </c>
      <c r="H3076" s="5">
        <v>40</v>
      </c>
      <c r="I3076" s="5">
        <v>32</v>
      </c>
      <c r="J3076" s="5">
        <v>32</v>
      </c>
      <c r="K3076" s="5">
        <v>30</v>
      </c>
      <c r="L3076" s="5">
        <v>32</v>
      </c>
      <c r="M3076" s="5">
        <v>0</v>
      </c>
      <c r="N3076" s="5">
        <v>0</v>
      </c>
      <c r="O3076" s="5" t="str">
        <f t="shared" ca="1" si="48"/>
        <v>Supplier 35</v>
      </c>
      <c r="P3076" s="20" t="str">
        <f ca="1">IFERROR(VLOOKUP(O3076,EMAILS!B:C,2,FALSE),"NOT FOUND IN EMAILS")</f>
        <v>supplier@gmail.com</v>
      </c>
      <c r="Q3076" t="str">
        <f ca="1">""&amp;IFERROR(VLOOKUP(O3076,EMAILS!B:D,3,FALSE),"NOT FOUND IN EMAILS")</f>
        <v/>
      </c>
      <c r="R3076" t="str">
        <f ca="1">""&amp;IFERROR(VLOOKUP(O3076,EMAILS!B:E,4,FALSE),"NO T FOUND IN EMAILS")</f>
        <v/>
      </c>
    </row>
    <row r="3077" spans="2:18" x14ac:dyDescent="0.25">
      <c r="B3077" s="5" t="s">
        <v>3079</v>
      </c>
      <c r="C3077" s="5" t="s">
        <v>7219</v>
      </c>
      <c r="D3077" s="5">
        <v>8</v>
      </c>
      <c r="E3077" s="5">
        <v>14</v>
      </c>
      <c r="F3077" s="5">
        <v>8</v>
      </c>
      <c r="G3077" s="5">
        <v>14</v>
      </c>
      <c r="H3077" s="5">
        <v>15</v>
      </c>
      <c r="I3077" s="5">
        <v>15</v>
      </c>
      <c r="J3077" s="5">
        <v>15</v>
      </c>
      <c r="K3077" s="5">
        <v>8</v>
      </c>
      <c r="L3077" s="5">
        <v>8</v>
      </c>
      <c r="M3077" s="5">
        <v>0</v>
      </c>
      <c r="N3077" s="5">
        <v>313</v>
      </c>
      <c r="O3077" s="5" t="str">
        <f t="shared" ca="1" si="48"/>
        <v>Supplier 123</v>
      </c>
      <c r="P3077" s="20" t="str">
        <f ca="1">IFERROR(VLOOKUP(O3077,EMAILS!B:C,2,FALSE),"NOT FOUND IN EMAILS")</f>
        <v>supplier@gmail.com</v>
      </c>
      <c r="Q3077" t="str">
        <f ca="1">""&amp;IFERROR(VLOOKUP(O3077,EMAILS!B:D,3,FALSE),"NOT FOUND IN EMAILS")</f>
        <v/>
      </c>
      <c r="R3077" t="str">
        <f ca="1">""&amp;IFERROR(VLOOKUP(O3077,EMAILS!B:E,4,FALSE),"NO T FOUND IN EMAILS")</f>
        <v/>
      </c>
    </row>
    <row r="3078" spans="2:18" x14ac:dyDescent="0.25">
      <c r="B3078" s="5" t="s">
        <v>3080</v>
      </c>
      <c r="C3078" s="5" t="s">
        <v>7220</v>
      </c>
      <c r="D3078" s="5">
        <v>88</v>
      </c>
      <c r="E3078" s="5">
        <v>110</v>
      </c>
      <c r="F3078" s="5">
        <v>80</v>
      </c>
      <c r="G3078" s="5">
        <v>80</v>
      </c>
      <c r="H3078" s="5">
        <v>96</v>
      </c>
      <c r="I3078" s="5">
        <v>88</v>
      </c>
      <c r="J3078" s="5">
        <v>88</v>
      </c>
      <c r="K3078" s="5">
        <v>88</v>
      </c>
      <c r="L3078" s="5">
        <v>80</v>
      </c>
      <c r="M3078" s="5">
        <v>0</v>
      </c>
      <c r="N3078" s="5">
        <v>1900</v>
      </c>
      <c r="O3078" s="5" t="str">
        <f t="shared" ca="1" si="48"/>
        <v>Supplier 140</v>
      </c>
      <c r="P3078" s="20" t="str">
        <f ca="1">IFERROR(VLOOKUP(O3078,EMAILS!B:C,2,FALSE),"NOT FOUND IN EMAILS")</f>
        <v>supplier@gmail.com</v>
      </c>
      <c r="Q3078" t="str">
        <f ca="1">""&amp;IFERROR(VLOOKUP(O3078,EMAILS!B:D,3,FALSE),"NOT FOUND IN EMAILS")</f>
        <v/>
      </c>
      <c r="R3078" t="str">
        <f ca="1">""&amp;IFERROR(VLOOKUP(O3078,EMAILS!B:E,4,FALSE),"NO T FOUND IN EMAILS")</f>
        <v/>
      </c>
    </row>
    <row r="3079" spans="2:18" x14ac:dyDescent="0.25">
      <c r="B3079" s="5" t="s">
        <v>3081</v>
      </c>
      <c r="C3079" s="5" t="s">
        <v>7221</v>
      </c>
      <c r="D3079" s="5">
        <v>0</v>
      </c>
      <c r="E3079" s="5">
        <v>0</v>
      </c>
      <c r="F3079" s="5">
        <v>0</v>
      </c>
      <c r="G3079" s="5">
        <v>0</v>
      </c>
      <c r="H3079" s="5">
        <v>0</v>
      </c>
      <c r="I3079" s="5">
        <v>0</v>
      </c>
      <c r="J3079" s="5">
        <v>32</v>
      </c>
      <c r="K3079" s="5">
        <v>0</v>
      </c>
      <c r="L3079" s="5">
        <v>0</v>
      </c>
      <c r="M3079" s="5">
        <v>0</v>
      </c>
      <c r="N3079" s="5">
        <v>739</v>
      </c>
      <c r="O3079" s="5" t="str">
        <f t="shared" ca="1" si="48"/>
        <v>Supplier 97</v>
      </c>
      <c r="P3079" s="20" t="str">
        <f ca="1">IFERROR(VLOOKUP(O3079,EMAILS!B:C,2,FALSE),"NOT FOUND IN EMAILS")</f>
        <v>supplier@gmail.com</v>
      </c>
      <c r="Q3079" t="str">
        <f ca="1">""&amp;IFERROR(VLOOKUP(O3079,EMAILS!B:D,3,FALSE),"NOT FOUND IN EMAILS")</f>
        <v/>
      </c>
      <c r="R3079" t="str">
        <f ca="1">""&amp;IFERROR(VLOOKUP(O3079,EMAILS!B:E,4,FALSE),"NO T FOUND IN EMAILS")</f>
        <v/>
      </c>
    </row>
    <row r="3080" spans="2:18" x14ac:dyDescent="0.25">
      <c r="B3080" s="5" t="s">
        <v>3082</v>
      </c>
      <c r="C3080" s="5" t="s">
        <v>7222</v>
      </c>
      <c r="D3080" s="5">
        <v>18</v>
      </c>
      <c r="E3080" s="5">
        <v>17</v>
      </c>
      <c r="F3080" s="5">
        <v>8</v>
      </c>
      <c r="G3080" s="5">
        <v>34</v>
      </c>
      <c r="H3080" s="5">
        <v>12</v>
      </c>
      <c r="I3080" s="5">
        <v>11</v>
      </c>
      <c r="J3080" s="5">
        <v>10</v>
      </c>
      <c r="K3080" s="5">
        <v>14</v>
      </c>
      <c r="L3080" s="5">
        <v>12</v>
      </c>
      <c r="M3080" s="5">
        <v>0</v>
      </c>
      <c r="N3080" s="5">
        <v>442</v>
      </c>
      <c r="O3080" s="5" t="str">
        <f t="shared" ca="1" si="48"/>
        <v>Supplier 59</v>
      </c>
      <c r="P3080" s="20" t="str">
        <f ca="1">IFERROR(VLOOKUP(O3080,EMAILS!B:C,2,FALSE),"NOT FOUND IN EMAILS")</f>
        <v>supplier@gmail.com</v>
      </c>
      <c r="Q3080" t="str">
        <f ca="1">""&amp;IFERROR(VLOOKUP(O3080,EMAILS!B:D,3,FALSE),"NOT FOUND IN EMAILS")</f>
        <v/>
      </c>
      <c r="R3080" t="str">
        <f ca="1">""&amp;IFERROR(VLOOKUP(O3080,EMAILS!B:E,4,FALSE),"NO T FOUND IN EMAILS")</f>
        <v/>
      </c>
    </row>
    <row r="3081" spans="2:18" x14ac:dyDescent="0.25">
      <c r="B3081" s="5" t="s">
        <v>3083</v>
      </c>
      <c r="C3081" s="5" t="s">
        <v>7223</v>
      </c>
      <c r="D3081" s="5">
        <v>4</v>
      </c>
      <c r="E3081" s="5">
        <v>14</v>
      </c>
      <c r="F3081" s="5">
        <v>0</v>
      </c>
      <c r="G3081" s="5">
        <v>20</v>
      </c>
      <c r="H3081" s="5">
        <v>10</v>
      </c>
      <c r="I3081" s="5">
        <v>6</v>
      </c>
      <c r="J3081" s="5">
        <v>6</v>
      </c>
      <c r="K3081" s="5">
        <v>12</v>
      </c>
      <c r="L3081" s="5">
        <v>2</v>
      </c>
      <c r="M3081" s="5">
        <v>0</v>
      </c>
      <c r="N3081" s="5">
        <v>0</v>
      </c>
      <c r="O3081" s="5" t="str">
        <f t="shared" ca="1" si="48"/>
        <v>Supplier 148</v>
      </c>
      <c r="P3081" s="20" t="str">
        <f ca="1">IFERROR(VLOOKUP(O3081,EMAILS!B:C,2,FALSE),"NOT FOUND IN EMAILS")</f>
        <v>supplier@gmail.com</v>
      </c>
      <c r="Q3081" t="str">
        <f ca="1">""&amp;IFERROR(VLOOKUP(O3081,EMAILS!B:D,3,FALSE),"NOT FOUND IN EMAILS")</f>
        <v/>
      </c>
      <c r="R3081" t="str">
        <f ca="1">""&amp;IFERROR(VLOOKUP(O3081,EMAILS!B:E,4,FALSE),"NO T FOUND IN EMAILS")</f>
        <v/>
      </c>
    </row>
    <row r="3082" spans="2:18" x14ac:dyDescent="0.25">
      <c r="B3082" s="5" t="s">
        <v>3084</v>
      </c>
      <c r="C3082" s="5" t="s">
        <v>7224</v>
      </c>
      <c r="D3082" s="5">
        <v>100</v>
      </c>
      <c r="E3082" s="5">
        <v>50</v>
      </c>
      <c r="F3082" s="5">
        <v>50</v>
      </c>
      <c r="G3082" s="5">
        <v>50</v>
      </c>
      <c r="H3082" s="5">
        <v>50</v>
      </c>
      <c r="I3082" s="5">
        <v>50</v>
      </c>
      <c r="J3082" s="5">
        <v>50</v>
      </c>
      <c r="K3082" s="5">
        <v>50</v>
      </c>
      <c r="L3082" s="5">
        <v>50</v>
      </c>
      <c r="M3082" s="5">
        <v>0</v>
      </c>
      <c r="N3082" s="5">
        <v>0</v>
      </c>
      <c r="O3082" s="5" t="str">
        <f t="shared" ca="1" si="48"/>
        <v>Supplier 31</v>
      </c>
      <c r="P3082" s="20" t="str">
        <f ca="1">IFERROR(VLOOKUP(O3082,EMAILS!B:C,2,FALSE),"NOT FOUND IN EMAILS")</f>
        <v>supplier@gmail.com</v>
      </c>
      <c r="Q3082" t="str">
        <f ca="1">""&amp;IFERROR(VLOOKUP(O3082,EMAILS!B:D,3,FALSE),"NOT FOUND IN EMAILS")</f>
        <v/>
      </c>
      <c r="R3082" t="str">
        <f ca="1">""&amp;IFERROR(VLOOKUP(O3082,EMAILS!B:E,4,FALSE),"NO T FOUND IN EMAILS")</f>
        <v/>
      </c>
    </row>
    <row r="3083" spans="2:18" x14ac:dyDescent="0.25">
      <c r="B3083" s="5" t="s">
        <v>3085</v>
      </c>
      <c r="C3083" s="5" t="s">
        <v>7225</v>
      </c>
      <c r="D3083" s="5">
        <v>120</v>
      </c>
      <c r="E3083" s="5">
        <v>60</v>
      </c>
      <c r="F3083" s="5">
        <v>80</v>
      </c>
      <c r="G3083" s="5">
        <v>170</v>
      </c>
      <c r="H3083" s="5">
        <v>120</v>
      </c>
      <c r="I3083" s="5">
        <v>60</v>
      </c>
      <c r="J3083" s="5">
        <v>120</v>
      </c>
      <c r="K3083" s="5">
        <v>110</v>
      </c>
      <c r="L3083" s="5">
        <v>120</v>
      </c>
      <c r="M3083" s="5">
        <v>0</v>
      </c>
      <c r="N3083" s="5">
        <v>0</v>
      </c>
      <c r="O3083" s="5" t="str">
        <f t="shared" ca="1" si="48"/>
        <v>Supplier 109</v>
      </c>
      <c r="P3083" s="20" t="str">
        <f ca="1">IFERROR(VLOOKUP(O3083,EMAILS!B:C,2,FALSE),"NOT FOUND IN EMAILS")</f>
        <v>supplier@gmail.com</v>
      </c>
      <c r="Q3083" t="str">
        <f ca="1">""&amp;IFERROR(VLOOKUP(O3083,EMAILS!B:D,3,FALSE),"NOT FOUND IN EMAILS")</f>
        <v/>
      </c>
      <c r="R3083" t="str">
        <f ca="1">""&amp;IFERROR(VLOOKUP(O3083,EMAILS!B:E,4,FALSE),"NO T FOUND IN EMAILS")</f>
        <v/>
      </c>
    </row>
    <row r="3084" spans="2:18" x14ac:dyDescent="0.25">
      <c r="B3084" s="5" t="s">
        <v>3086</v>
      </c>
      <c r="C3084" s="5" t="s">
        <v>7226</v>
      </c>
      <c r="D3084" s="5">
        <v>60</v>
      </c>
      <c r="E3084" s="5">
        <v>30</v>
      </c>
      <c r="F3084" s="5">
        <v>30</v>
      </c>
      <c r="G3084" s="5">
        <v>60</v>
      </c>
      <c r="H3084" s="5">
        <v>60</v>
      </c>
      <c r="I3084" s="5">
        <v>30</v>
      </c>
      <c r="J3084" s="5">
        <v>60</v>
      </c>
      <c r="K3084" s="5">
        <v>30</v>
      </c>
      <c r="L3084" s="5">
        <v>60</v>
      </c>
      <c r="M3084" s="5">
        <v>0</v>
      </c>
      <c r="N3084" s="5">
        <v>0</v>
      </c>
      <c r="O3084" s="5" t="str">
        <f t="shared" ca="1" si="48"/>
        <v>Supplier 99</v>
      </c>
      <c r="P3084" s="20" t="str">
        <f ca="1">IFERROR(VLOOKUP(O3084,EMAILS!B:C,2,FALSE),"NOT FOUND IN EMAILS")</f>
        <v>supplier@gmail.com</v>
      </c>
      <c r="Q3084" t="str">
        <f ca="1">""&amp;IFERROR(VLOOKUP(O3084,EMAILS!B:D,3,FALSE),"NOT FOUND IN EMAILS")</f>
        <v/>
      </c>
      <c r="R3084" t="str">
        <f ca="1">""&amp;IFERROR(VLOOKUP(O3084,EMAILS!B:E,4,FALSE),"NO T FOUND IN EMAILS")</f>
        <v/>
      </c>
    </row>
    <row r="3085" spans="2:18" x14ac:dyDescent="0.25">
      <c r="B3085" s="5" t="s">
        <v>3087</v>
      </c>
      <c r="C3085" s="5" t="s">
        <v>7227</v>
      </c>
      <c r="D3085" s="5">
        <v>120</v>
      </c>
      <c r="E3085" s="5">
        <v>15</v>
      </c>
      <c r="F3085" s="5">
        <v>15</v>
      </c>
      <c r="G3085" s="5">
        <v>30</v>
      </c>
      <c r="H3085" s="5">
        <v>120</v>
      </c>
      <c r="I3085" s="5">
        <v>15</v>
      </c>
      <c r="J3085" s="5">
        <v>30</v>
      </c>
      <c r="K3085" s="5">
        <v>105</v>
      </c>
      <c r="L3085" s="5">
        <v>30</v>
      </c>
      <c r="M3085" s="5">
        <v>0</v>
      </c>
      <c r="N3085" s="5">
        <v>625</v>
      </c>
      <c r="O3085" s="5" t="str">
        <f t="shared" ca="1" si="48"/>
        <v>Supplier 153</v>
      </c>
      <c r="P3085" s="20" t="str">
        <f ca="1">IFERROR(VLOOKUP(O3085,EMAILS!B:C,2,FALSE),"NOT FOUND IN EMAILS")</f>
        <v>supplier@gmail.com</v>
      </c>
      <c r="Q3085" t="str">
        <f ca="1">""&amp;IFERROR(VLOOKUP(O3085,EMAILS!B:D,3,FALSE),"NOT FOUND IN EMAILS")</f>
        <v/>
      </c>
      <c r="R3085" t="str">
        <f ca="1">""&amp;IFERROR(VLOOKUP(O3085,EMAILS!B:E,4,FALSE),"NO T FOUND IN EMAILS")</f>
        <v/>
      </c>
    </row>
    <row r="3086" spans="2:18" x14ac:dyDescent="0.25">
      <c r="B3086" s="5" t="s">
        <v>3088</v>
      </c>
      <c r="C3086" s="5" t="s">
        <v>7228</v>
      </c>
      <c r="D3086" s="5">
        <v>4</v>
      </c>
      <c r="E3086" s="5">
        <v>0</v>
      </c>
      <c r="F3086" s="5">
        <v>104</v>
      </c>
      <c r="G3086" s="5">
        <v>100</v>
      </c>
      <c r="H3086" s="5">
        <v>202</v>
      </c>
      <c r="I3086" s="5">
        <v>100</v>
      </c>
      <c r="J3086" s="5">
        <v>100</v>
      </c>
      <c r="K3086" s="5">
        <v>102</v>
      </c>
      <c r="L3086" s="5">
        <v>100</v>
      </c>
      <c r="M3086" s="5">
        <v>0</v>
      </c>
      <c r="N3086" s="5">
        <v>1000</v>
      </c>
      <c r="O3086" s="5" t="str">
        <f t="shared" ca="1" si="48"/>
        <v>Supplier 197</v>
      </c>
      <c r="P3086" s="20" t="str">
        <f ca="1">IFERROR(VLOOKUP(O3086,EMAILS!B:C,2,FALSE),"NOT FOUND IN EMAILS")</f>
        <v>supplier@gmail.com</v>
      </c>
      <c r="Q3086" t="str">
        <f ca="1">""&amp;IFERROR(VLOOKUP(O3086,EMAILS!B:D,3,FALSE),"NOT FOUND IN EMAILS")</f>
        <v/>
      </c>
      <c r="R3086" t="str">
        <f ca="1">""&amp;IFERROR(VLOOKUP(O3086,EMAILS!B:E,4,FALSE),"NO T FOUND IN EMAILS")</f>
        <v/>
      </c>
    </row>
    <row r="3087" spans="2:18" x14ac:dyDescent="0.25">
      <c r="B3087" s="5" t="s">
        <v>3089</v>
      </c>
      <c r="C3087" s="5" t="s">
        <v>7229</v>
      </c>
      <c r="D3087" s="5">
        <v>2</v>
      </c>
      <c r="E3087" s="5">
        <v>0</v>
      </c>
      <c r="F3087" s="5">
        <v>0</v>
      </c>
      <c r="G3087" s="5">
        <v>0</v>
      </c>
      <c r="H3087" s="5">
        <v>0</v>
      </c>
      <c r="I3087" s="5">
        <v>0</v>
      </c>
      <c r="J3087" s="5">
        <v>0</v>
      </c>
      <c r="K3087" s="5">
        <v>0</v>
      </c>
      <c r="L3087" s="5">
        <v>0</v>
      </c>
      <c r="M3087" s="5">
        <v>0</v>
      </c>
      <c r="N3087" s="5">
        <v>0</v>
      </c>
      <c r="O3087" s="5" t="str">
        <f t="shared" ca="1" si="48"/>
        <v>Supplier 84</v>
      </c>
      <c r="P3087" s="20" t="str">
        <f ca="1">IFERROR(VLOOKUP(O3087,EMAILS!B:C,2,FALSE),"NOT FOUND IN EMAILS")</f>
        <v>supplier@gmail.com</v>
      </c>
      <c r="Q3087" t="str">
        <f ca="1">""&amp;IFERROR(VLOOKUP(O3087,EMAILS!B:D,3,FALSE),"NOT FOUND IN EMAILS")</f>
        <v/>
      </c>
      <c r="R3087" t="str">
        <f ca="1">""&amp;IFERROR(VLOOKUP(O3087,EMAILS!B:E,4,FALSE),"NO T FOUND IN EMAILS")</f>
        <v/>
      </c>
    </row>
    <row r="3088" spans="2:18" x14ac:dyDescent="0.25">
      <c r="B3088" s="5" t="s">
        <v>3090</v>
      </c>
      <c r="C3088" s="5" t="s">
        <v>7230</v>
      </c>
      <c r="D3088" s="5">
        <v>240</v>
      </c>
      <c r="E3088" s="5">
        <v>120</v>
      </c>
      <c r="F3088" s="5">
        <v>120</v>
      </c>
      <c r="G3088" s="5">
        <v>120</v>
      </c>
      <c r="H3088" s="5">
        <v>120</v>
      </c>
      <c r="I3088" s="5">
        <v>60</v>
      </c>
      <c r="J3088" s="5">
        <v>120</v>
      </c>
      <c r="K3088" s="5">
        <v>60</v>
      </c>
      <c r="L3088" s="5">
        <v>120</v>
      </c>
      <c r="M3088" s="5">
        <v>0</v>
      </c>
      <c r="N3088" s="5">
        <v>560</v>
      </c>
      <c r="O3088" s="5" t="str">
        <f t="shared" ca="1" si="48"/>
        <v>Supplier 68</v>
      </c>
      <c r="P3088" s="20" t="str">
        <f ca="1">IFERROR(VLOOKUP(O3088,EMAILS!B:C,2,FALSE),"NOT FOUND IN EMAILS")</f>
        <v>supplier@gmail.com</v>
      </c>
      <c r="Q3088" t="str">
        <f ca="1">""&amp;IFERROR(VLOOKUP(O3088,EMAILS!B:D,3,FALSE),"NOT FOUND IN EMAILS")</f>
        <v/>
      </c>
      <c r="R3088" t="str">
        <f ca="1">""&amp;IFERROR(VLOOKUP(O3088,EMAILS!B:E,4,FALSE),"NO T FOUND IN EMAILS")</f>
        <v/>
      </c>
    </row>
    <row r="3089" spans="2:18" x14ac:dyDescent="0.25">
      <c r="B3089" s="5" t="s">
        <v>3091</v>
      </c>
      <c r="C3089" s="5" t="s">
        <v>7231</v>
      </c>
      <c r="D3089" s="5">
        <v>258</v>
      </c>
      <c r="E3089" s="5">
        <v>0</v>
      </c>
      <c r="F3089" s="5">
        <v>0</v>
      </c>
      <c r="G3089" s="5">
        <v>0</v>
      </c>
      <c r="H3089" s="5">
        <v>0</v>
      </c>
      <c r="I3089" s="5">
        <v>0</v>
      </c>
      <c r="J3089" s="5">
        <v>0</v>
      </c>
      <c r="K3089" s="5">
        <v>0</v>
      </c>
      <c r="L3089" s="5">
        <v>0</v>
      </c>
      <c r="M3089" s="5">
        <v>0</v>
      </c>
      <c r="N3089" s="5">
        <v>0</v>
      </c>
      <c r="O3089" s="5" t="str">
        <f t="shared" ca="1" si="48"/>
        <v>Supplier 48</v>
      </c>
      <c r="P3089" s="20" t="str">
        <f ca="1">IFERROR(VLOOKUP(O3089,EMAILS!B:C,2,FALSE),"NOT FOUND IN EMAILS")</f>
        <v>supplier@gmail.com</v>
      </c>
      <c r="Q3089" t="str">
        <f ca="1">""&amp;IFERROR(VLOOKUP(O3089,EMAILS!B:D,3,FALSE),"NOT FOUND IN EMAILS")</f>
        <v/>
      </c>
      <c r="R3089" t="str">
        <f ca="1">""&amp;IFERROR(VLOOKUP(O3089,EMAILS!B:E,4,FALSE),"NO T FOUND IN EMAILS")</f>
        <v/>
      </c>
    </row>
    <row r="3090" spans="2:18" x14ac:dyDescent="0.25">
      <c r="B3090" s="5" t="s">
        <v>3092</v>
      </c>
      <c r="C3090" s="5" t="s">
        <v>7232</v>
      </c>
      <c r="D3090" s="5">
        <v>150</v>
      </c>
      <c r="E3090" s="5">
        <v>0</v>
      </c>
      <c r="F3090" s="5">
        <v>0</v>
      </c>
      <c r="G3090" s="5">
        <v>0</v>
      </c>
      <c r="H3090" s="5">
        <v>150</v>
      </c>
      <c r="I3090" s="5">
        <v>0</v>
      </c>
      <c r="J3090" s="5">
        <v>0</v>
      </c>
      <c r="K3090" s="5">
        <v>150</v>
      </c>
      <c r="L3090" s="5">
        <v>0</v>
      </c>
      <c r="M3090" s="5">
        <v>0</v>
      </c>
      <c r="N3090" s="5">
        <v>1056</v>
      </c>
      <c r="O3090" s="5" t="str">
        <f t="shared" ca="1" si="48"/>
        <v>Supplier 160</v>
      </c>
      <c r="P3090" s="20" t="str">
        <f ca="1">IFERROR(VLOOKUP(O3090,EMAILS!B:C,2,FALSE),"NOT FOUND IN EMAILS")</f>
        <v>supplier@gmail.com</v>
      </c>
      <c r="Q3090" t="str">
        <f ca="1">""&amp;IFERROR(VLOOKUP(O3090,EMAILS!B:D,3,FALSE),"NOT FOUND IN EMAILS")</f>
        <v/>
      </c>
      <c r="R3090" t="str">
        <f ca="1">""&amp;IFERROR(VLOOKUP(O3090,EMAILS!B:E,4,FALSE),"NO T FOUND IN EMAILS")</f>
        <v/>
      </c>
    </row>
    <row r="3091" spans="2:18" x14ac:dyDescent="0.25">
      <c r="B3091" s="5" t="s">
        <v>3093</v>
      </c>
      <c r="C3091" s="5" t="s">
        <v>7233</v>
      </c>
      <c r="D3091" s="5">
        <v>375</v>
      </c>
      <c r="E3091" s="5">
        <v>429</v>
      </c>
      <c r="F3091" s="5">
        <v>560</v>
      </c>
      <c r="G3091" s="5">
        <v>416</v>
      </c>
      <c r="H3091" s="5">
        <v>375</v>
      </c>
      <c r="I3091" s="5">
        <v>303</v>
      </c>
      <c r="J3091" s="5">
        <v>308</v>
      </c>
      <c r="K3091" s="5">
        <v>290</v>
      </c>
      <c r="L3091" s="5">
        <v>293</v>
      </c>
      <c r="M3091" s="5">
        <v>0</v>
      </c>
      <c r="N3091" s="5">
        <v>1064</v>
      </c>
      <c r="O3091" s="5" t="str">
        <f t="shared" ca="1" si="48"/>
        <v>Supplier 78</v>
      </c>
      <c r="P3091" s="20" t="str">
        <f ca="1">IFERROR(VLOOKUP(O3091,EMAILS!B:C,2,FALSE),"NOT FOUND IN EMAILS")</f>
        <v>supplier@gmail.com</v>
      </c>
      <c r="Q3091" t="str">
        <f ca="1">""&amp;IFERROR(VLOOKUP(O3091,EMAILS!B:D,3,FALSE),"NOT FOUND IN EMAILS")</f>
        <v/>
      </c>
      <c r="R3091" t="str">
        <f ca="1">""&amp;IFERROR(VLOOKUP(O3091,EMAILS!B:E,4,FALSE),"NO T FOUND IN EMAILS")</f>
        <v/>
      </c>
    </row>
    <row r="3092" spans="2:18" x14ac:dyDescent="0.25">
      <c r="B3092" s="5" t="s">
        <v>3094</v>
      </c>
      <c r="C3092" s="5" t="s">
        <v>7234</v>
      </c>
      <c r="D3092" s="5">
        <v>2643</v>
      </c>
      <c r="E3092" s="5">
        <v>2276</v>
      </c>
      <c r="F3092" s="5">
        <v>2675</v>
      </c>
      <c r="G3092" s="5">
        <v>2438</v>
      </c>
      <c r="H3092" s="5">
        <v>2503</v>
      </c>
      <c r="I3092" s="5">
        <v>2468</v>
      </c>
      <c r="J3092" s="5">
        <v>2030</v>
      </c>
      <c r="K3092" s="5">
        <v>2037</v>
      </c>
      <c r="L3092" s="5">
        <v>2000</v>
      </c>
      <c r="M3092" s="5">
        <v>0</v>
      </c>
      <c r="N3092" s="5">
        <v>0</v>
      </c>
      <c r="O3092" s="5" t="str">
        <f t="shared" ca="1" si="48"/>
        <v>Supplier 165</v>
      </c>
      <c r="P3092" s="20" t="str">
        <f ca="1">IFERROR(VLOOKUP(O3092,EMAILS!B:C,2,FALSE),"NOT FOUND IN EMAILS")</f>
        <v>supplier@gmail.com</v>
      </c>
      <c r="Q3092" t="str">
        <f ca="1">""&amp;IFERROR(VLOOKUP(O3092,EMAILS!B:D,3,FALSE),"NOT FOUND IN EMAILS")</f>
        <v/>
      </c>
      <c r="R3092" t="str">
        <f ca="1">""&amp;IFERROR(VLOOKUP(O3092,EMAILS!B:E,4,FALSE),"NO T FOUND IN EMAILS")</f>
        <v/>
      </c>
    </row>
    <row r="3093" spans="2:18" x14ac:dyDescent="0.25">
      <c r="B3093" s="5" t="s">
        <v>3095</v>
      </c>
      <c r="C3093" s="5" t="s">
        <v>7235</v>
      </c>
      <c r="D3093" s="5">
        <v>60</v>
      </c>
      <c r="E3093" s="5">
        <v>0</v>
      </c>
      <c r="F3093" s="5">
        <v>0</v>
      </c>
      <c r="G3093" s="5">
        <v>0</v>
      </c>
      <c r="H3093" s="5">
        <v>60</v>
      </c>
      <c r="I3093" s="5">
        <v>0</v>
      </c>
      <c r="J3093" s="5">
        <v>0</v>
      </c>
      <c r="K3093" s="5">
        <v>60</v>
      </c>
      <c r="L3093" s="5">
        <v>0</v>
      </c>
      <c r="M3093" s="5">
        <v>0</v>
      </c>
      <c r="N3093" s="5">
        <v>0</v>
      </c>
      <c r="O3093" s="5" t="str">
        <f t="shared" ca="1" si="48"/>
        <v>Supplier 194</v>
      </c>
      <c r="P3093" s="20" t="str">
        <f ca="1">IFERROR(VLOOKUP(O3093,EMAILS!B:C,2,FALSE),"NOT FOUND IN EMAILS")</f>
        <v>supplier@gmail.com</v>
      </c>
      <c r="Q3093" t="str">
        <f ca="1">""&amp;IFERROR(VLOOKUP(O3093,EMAILS!B:D,3,FALSE),"NOT FOUND IN EMAILS")</f>
        <v/>
      </c>
      <c r="R3093" t="str">
        <f ca="1">""&amp;IFERROR(VLOOKUP(O3093,EMAILS!B:E,4,FALSE),"NO T FOUND IN EMAILS")</f>
        <v/>
      </c>
    </row>
    <row r="3094" spans="2:18" x14ac:dyDescent="0.25">
      <c r="B3094" s="5" t="s">
        <v>3096</v>
      </c>
      <c r="C3094" s="5" t="s">
        <v>7236</v>
      </c>
      <c r="D3094" s="5">
        <v>120</v>
      </c>
      <c r="E3094" s="5">
        <v>30</v>
      </c>
      <c r="F3094" s="5">
        <v>30</v>
      </c>
      <c r="G3094" s="5">
        <v>30</v>
      </c>
      <c r="H3094" s="5">
        <v>90</v>
      </c>
      <c r="I3094" s="5">
        <v>15</v>
      </c>
      <c r="J3094" s="5">
        <v>30</v>
      </c>
      <c r="K3094" s="5">
        <v>75</v>
      </c>
      <c r="L3094" s="5">
        <v>30</v>
      </c>
      <c r="M3094" s="5">
        <v>0</v>
      </c>
      <c r="N3094" s="5">
        <v>0</v>
      </c>
      <c r="O3094" s="5" t="str">
        <f t="shared" ca="1" si="48"/>
        <v>Supplier 47</v>
      </c>
      <c r="P3094" s="20" t="str">
        <f ca="1">IFERROR(VLOOKUP(O3094,EMAILS!B:C,2,FALSE),"NOT FOUND IN EMAILS")</f>
        <v>supplier@gmail.com</v>
      </c>
      <c r="Q3094" t="str">
        <f ca="1">""&amp;IFERROR(VLOOKUP(O3094,EMAILS!B:D,3,FALSE),"NOT FOUND IN EMAILS")</f>
        <v/>
      </c>
      <c r="R3094" t="str">
        <f ca="1">""&amp;IFERROR(VLOOKUP(O3094,EMAILS!B:E,4,FALSE),"NO T FOUND IN EMAILS")</f>
        <v/>
      </c>
    </row>
    <row r="3095" spans="2:18" x14ac:dyDescent="0.25">
      <c r="B3095" s="5" t="s">
        <v>3097</v>
      </c>
      <c r="C3095" s="5" t="s">
        <v>7237</v>
      </c>
      <c r="D3095" s="5">
        <v>120</v>
      </c>
      <c r="E3095" s="5">
        <v>120</v>
      </c>
      <c r="F3095" s="5">
        <v>120</v>
      </c>
      <c r="G3095" s="5">
        <v>120</v>
      </c>
      <c r="H3095" s="5">
        <v>120</v>
      </c>
      <c r="I3095" s="5">
        <v>60</v>
      </c>
      <c r="J3095" s="5">
        <v>120</v>
      </c>
      <c r="K3095" s="5">
        <v>60</v>
      </c>
      <c r="L3095" s="5">
        <v>120</v>
      </c>
      <c r="M3095" s="5">
        <v>0</v>
      </c>
      <c r="N3095" s="5">
        <v>0</v>
      </c>
      <c r="O3095" s="5" t="str">
        <f t="shared" ca="1" si="48"/>
        <v>Supplier 151</v>
      </c>
      <c r="P3095" s="20" t="str">
        <f ca="1">IFERROR(VLOOKUP(O3095,EMAILS!B:C,2,FALSE),"NOT FOUND IN EMAILS")</f>
        <v>supplier@gmail.com</v>
      </c>
      <c r="Q3095" t="str">
        <f ca="1">""&amp;IFERROR(VLOOKUP(O3095,EMAILS!B:D,3,FALSE),"NOT FOUND IN EMAILS")</f>
        <v/>
      </c>
      <c r="R3095" t="str">
        <f ca="1">""&amp;IFERROR(VLOOKUP(O3095,EMAILS!B:E,4,FALSE),"NO T FOUND IN EMAILS")</f>
        <v/>
      </c>
    </row>
    <row r="3096" spans="2:18" x14ac:dyDescent="0.25">
      <c r="B3096" s="5" t="s">
        <v>3098</v>
      </c>
      <c r="C3096" s="5" t="s">
        <v>7238</v>
      </c>
      <c r="D3096" s="5">
        <v>150</v>
      </c>
      <c r="E3096" s="5">
        <v>60</v>
      </c>
      <c r="F3096" s="5">
        <v>60</v>
      </c>
      <c r="G3096" s="5">
        <v>60</v>
      </c>
      <c r="H3096" s="5">
        <v>150</v>
      </c>
      <c r="I3096" s="5">
        <v>30</v>
      </c>
      <c r="J3096" s="5">
        <v>60</v>
      </c>
      <c r="K3096" s="5">
        <v>120</v>
      </c>
      <c r="L3096" s="5">
        <v>60</v>
      </c>
      <c r="M3096" s="5">
        <v>0</v>
      </c>
      <c r="N3096" s="5">
        <v>0</v>
      </c>
      <c r="O3096" s="5" t="str">
        <f t="shared" ca="1" si="48"/>
        <v>Supplier 24</v>
      </c>
      <c r="P3096" s="20" t="str">
        <f ca="1">IFERROR(VLOOKUP(O3096,EMAILS!B:C,2,FALSE),"NOT FOUND IN EMAILS")</f>
        <v>supplier@gmail.com</v>
      </c>
      <c r="Q3096" t="str">
        <f ca="1">""&amp;IFERROR(VLOOKUP(O3096,EMAILS!B:D,3,FALSE),"NOT FOUND IN EMAILS")</f>
        <v/>
      </c>
      <c r="R3096" t="str">
        <f ca="1">""&amp;IFERROR(VLOOKUP(O3096,EMAILS!B:E,4,FALSE),"NO T FOUND IN EMAILS")</f>
        <v/>
      </c>
    </row>
    <row r="3097" spans="2:18" x14ac:dyDescent="0.25">
      <c r="B3097" s="5" t="s">
        <v>3099</v>
      </c>
      <c r="C3097" s="5" t="s">
        <v>7239</v>
      </c>
      <c r="D3097" s="5">
        <v>294</v>
      </c>
      <c r="E3097" s="5">
        <v>242</v>
      </c>
      <c r="F3097" s="5">
        <v>159</v>
      </c>
      <c r="G3097" s="5">
        <v>283</v>
      </c>
      <c r="H3097" s="5">
        <v>174</v>
      </c>
      <c r="I3097" s="5">
        <v>120</v>
      </c>
      <c r="J3097" s="5">
        <v>0</v>
      </c>
      <c r="K3097" s="5">
        <v>120</v>
      </c>
      <c r="L3097" s="5">
        <v>120</v>
      </c>
      <c r="M3097" s="5">
        <v>0</v>
      </c>
      <c r="N3097" s="5">
        <v>0</v>
      </c>
      <c r="O3097" s="5" t="str">
        <f t="shared" ca="1" si="48"/>
        <v>Supplier 146</v>
      </c>
      <c r="P3097" s="20" t="str">
        <f ca="1">IFERROR(VLOOKUP(O3097,EMAILS!B:C,2,FALSE),"NOT FOUND IN EMAILS")</f>
        <v>supplier@gmail.com</v>
      </c>
      <c r="Q3097" t="str">
        <f ca="1">""&amp;IFERROR(VLOOKUP(O3097,EMAILS!B:D,3,FALSE),"NOT FOUND IN EMAILS")</f>
        <v/>
      </c>
      <c r="R3097" t="str">
        <f ca="1">""&amp;IFERROR(VLOOKUP(O3097,EMAILS!B:E,4,FALSE),"NO T FOUND IN EMAILS")</f>
        <v/>
      </c>
    </row>
    <row r="3098" spans="2:18" x14ac:dyDescent="0.25">
      <c r="B3098" s="5" t="s">
        <v>3100</v>
      </c>
      <c r="C3098" s="5" t="s">
        <v>7240</v>
      </c>
      <c r="D3098" s="5">
        <v>0</v>
      </c>
      <c r="E3098" s="5">
        <v>0</v>
      </c>
      <c r="F3098" s="5">
        <v>0</v>
      </c>
      <c r="G3098" s="5">
        <v>0</v>
      </c>
      <c r="H3098" s="5">
        <v>0</v>
      </c>
      <c r="I3098" s="5">
        <v>0</v>
      </c>
      <c r="J3098" s="5">
        <v>0</v>
      </c>
      <c r="K3098" s="5">
        <v>0</v>
      </c>
      <c r="L3098" s="5">
        <v>0</v>
      </c>
      <c r="M3098" s="5">
        <v>0</v>
      </c>
      <c r="N3098" s="5">
        <v>8946</v>
      </c>
      <c r="O3098" s="5" t="str">
        <f t="shared" ca="1" si="48"/>
        <v>Supplier 77</v>
      </c>
      <c r="P3098" s="20" t="str">
        <f ca="1">IFERROR(VLOOKUP(O3098,EMAILS!B:C,2,FALSE),"NOT FOUND IN EMAILS")</f>
        <v>supplier@gmail.com</v>
      </c>
      <c r="Q3098" t="str">
        <f ca="1">""&amp;IFERROR(VLOOKUP(O3098,EMAILS!B:D,3,FALSE),"NOT FOUND IN EMAILS")</f>
        <v/>
      </c>
      <c r="R3098" t="str">
        <f ca="1">""&amp;IFERROR(VLOOKUP(O3098,EMAILS!B:E,4,FALSE),"NO T FOUND IN EMAILS")</f>
        <v/>
      </c>
    </row>
    <row r="3099" spans="2:18" x14ac:dyDescent="0.25">
      <c r="B3099" s="5" t="s">
        <v>3101</v>
      </c>
      <c r="C3099" s="5" t="s">
        <v>7241</v>
      </c>
      <c r="D3099" s="5">
        <v>0</v>
      </c>
      <c r="E3099" s="5">
        <v>0</v>
      </c>
      <c r="F3099" s="5">
        <v>0</v>
      </c>
      <c r="G3099" s="5">
        <v>0</v>
      </c>
      <c r="H3099" s="5">
        <v>0</v>
      </c>
      <c r="I3099" s="5">
        <v>0</v>
      </c>
      <c r="J3099" s="5">
        <v>0</v>
      </c>
      <c r="K3099" s="5">
        <v>0</v>
      </c>
      <c r="L3099" s="5">
        <v>0</v>
      </c>
      <c r="M3099" s="5">
        <v>0</v>
      </c>
      <c r="N3099" s="5">
        <v>0</v>
      </c>
      <c r="O3099" s="5" t="str">
        <f t="shared" ca="1" si="48"/>
        <v>Supplier 146</v>
      </c>
      <c r="P3099" s="20" t="str">
        <f ca="1">IFERROR(VLOOKUP(O3099,EMAILS!B:C,2,FALSE),"NOT FOUND IN EMAILS")</f>
        <v>supplier@gmail.com</v>
      </c>
      <c r="Q3099" t="str">
        <f ca="1">""&amp;IFERROR(VLOOKUP(O3099,EMAILS!B:D,3,FALSE),"NOT FOUND IN EMAILS")</f>
        <v/>
      </c>
      <c r="R3099" t="str">
        <f ca="1">""&amp;IFERROR(VLOOKUP(O3099,EMAILS!B:E,4,FALSE),"NO T FOUND IN EMAILS")</f>
        <v/>
      </c>
    </row>
    <row r="3100" spans="2:18" x14ac:dyDescent="0.25">
      <c r="B3100" s="5" t="s">
        <v>3102</v>
      </c>
      <c r="C3100" s="5" t="s">
        <v>7242</v>
      </c>
      <c r="D3100" s="5">
        <v>330</v>
      </c>
      <c r="E3100" s="5">
        <v>60</v>
      </c>
      <c r="F3100" s="5">
        <v>60</v>
      </c>
      <c r="G3100" s="5">
        <v>60</v>
      </c>
      <c r="H3100" s="5">
        <v>270</v>
      </c>
      <c r="I3100" s="5">
        <v>30</v>
      </c>
      <c r="J3100" s="5">
        <v>60</v>
      </c>
      <c r="K3100" s="5">
        <v>240</v>
      </c>
      <c r="L3100" s="5">
        <v>60</v>
      </c>
      <c r="M3100" s="5">
        <v>0</v>
      </c>
      <c r="N3100" s="5">
        <v>0</v>
      </c>
      <c r="O3100" s="5" t="str">
        <f t="shared" ca="1" si="48"/>
        <v>Supplier 106</v>
      </c>
      <c r="P3100" s="20" t="str">
        <f ca="1">IFERROR(VLOOKUP(O3100,EMAILS!B:C,2,FALSE),"NOT FOUND IN EMAILS")</f>
        <v>supplier@gmail.com</v>
      </c>
      <c r="Q3100" t="str">
        <f ca="1">""&amp;IFERROR(VLOOKUP(O3100,EMAILS!B:D,3,FALSE),"NOT FOUND IN EMAILS")</f>
        <v/>
      </c>
      <c r="R3100" t="str">
        <f ca="1">""&amp;IFERROR(VLOOKUP(O3100,EMAILS!B:E,4,FALSE),"NO T FOUND IN EMAILS")</f>
        <v/>
      </c>
    </row>
    <row r="3101" spans="2:18" x14ac:dyDescent="0.25">
      <c r="B3101" s="5" t="s">
        <v>3103</v>
      </c>
      <c r="C3101" s="5" t="s">
        <v>7243</v>
      </c>
      <c r="D3101" s="5">
        <v>30</v>
      </c>
      <c r="E3101" s="5">
        <v>0</v>
      </c>
      <c r="F3101" s="5">
        <v>0</v>
      </c>
      <c r="G3101" s="5">
        <v>0</v>
      </c>
      <c r="H3101" s="5">
        <v>30</v>
      </c>
      <c r="I3101" s="5">
        <v>0</v>
      </c>
      <c r="J3101" s="5">
        <v>0</v>
      </c>
      <c r="K3101" s="5">
        <v>30</v>
      </c>
      <c r="L3101" s="5">
        <v>0</v>
      </c>
      <c r="M3101" s="5">
        <v>0</v>
      </c>
      <c r="N3101" s="5">
        <v>0</v>
      </c>
      <c r="O3101" s="5" t="str">
        <f t="shared" ca="1" si="48"/>
        <v>Supplier 188</v>
      </c>
      <c r="P3101" s="20" t="str">
        <f ca="1">IFERROR(VLOOKUP(O3101,EMAILS!B:C,2,FALSE),"NOT FOUND IN EMAILS")</f>
        <v>supplier@gmail.com</v>
      </c>
      <c r="Q3101" t="str">
        <f ca="1">""&amp;IFERROR(VLOOKUP(O3101,EMAILS!B:D,3,FALSE),"NOT FOUND IN EMAILS")</f>
        <v/>
      </c>
      <c r="R3101" t="str">
        <f ca="1">""&amp;IFERROR(VLOOKUP(O3101,EMAILS!B:E,4,FALSE),"NO T FOUND IN EMAILS")</f>
        <v/>
      </c>
    </row>
    <row r="3102" spans="2:18" x14ac:dyDescent="0.25">
      <c r="B3102" s="5" t="s">
        <v>3104</v>
      </c>
      <c r="C3102" s="5" t="s">
        <v>7244</v>
      </c>
      <c r="D3102" s="5">
        <v>60</v>
      </c>
      <c r="E3102" s="5">
        <v>0</v>
      </c>
      <c r="F3102" s="5">
        <v>0</v>
      </c>
      <c r="G3102" s="5">
        <v>0</v>
      </c>
      <c r="H3102" s="5">
        <v>60</v>
      </c>
      <c r="I3102" s="5">
        <v>0</v>
      </c>
      <c r="J3102" s="5">
        <v>0</v>
      </c>
      <c r="K3102" s="5">
        <v>60</v>
      </c>
      <c r="L3102" s="5">
        <v>0</v>
      </c>
      <c r="M3102" s="5">
        <v>0</v>
      </c>
      <c r="N3102" s="5">
        <v>65</v>
      </c>
      <c r="O3102" s="5" t="str">
        <f t="shared" ca="1" si="48"/>
        <v>Supplier 64</v>
      </c>
      <c r="P3102" s="20" t="str">
        <f ca="1">IFERROR(VLOOKUP(O3102,EMAILS!B:C,2,FALSE),"NOT FOUND IN EMAILS")</f>
        <v>supplier@gmail.com</v>
      </c>
      <c r="Q3102" t="str">
        <f ca="1">""&amp;IFERROR(VLOOKUP(O3102,EMAILS!B:D,3,FALSE),"NOT FOUND IN EMAILS")</f>
        <v/>
      </c>
      <c r="R3102" t="str">
        <f ca="1">""&amp;IFERROR(VLOOKUP(O3102,EMAILS!B:E,4,FALSE),"NO T FOUND IN EMAILS")</f>
        <v/>
      </c>
    </row>
    <row r="3103" spans="2:18" x14ac:dyDescent="0.25">
      <c r="B3103" s="5" t="s">
        <v>3105</v>
      </c>
      <c r="C3103" s="5" t="s">
        <v>7245</v>
      </c>
      <c r="D3103" s="5">
        <v>0</v>
      </c>
      <c r="E3103" s="5">
        <v>120</v>
      </c>
      <c r="F3103" s="5">
        <v>0</v>
      </c>
      <c r="G3103" s="5">
        <v>0</v>
      </c>
      <c r="H3103" s="5">
        <v>0</v>
      </c>
      <c r="I3103" s="5">
        <v>0</v>
      </c>
      <c r="J3103" s="5">
        <v>120</v>
      </c>
      <c r="K3103" s="5">
        <v>0</v>
      </c>
      <c r="L3103" s="5">
        <v>0</v>
      </c>
      <c r="M3103" s="5">
        <v>0</v>
      </c>
      <c r="N3103" s="5">
        <v>3178</v>
      </c>
      <c r="O3103" s="5" t="str">
        <f t="shared" ca="1" si="48"/>
        <v>Supplier 24</v>
      </c>
      <c r="P3103" s="20" t="str">
        <f ca="1">IFERROR(VLOOKUP(O3103,EMAILS!B:C,2,FALSE),"NOT FOUND IN EMAILS")</f>
        <v>supplier@gmail.com</v>
      </c>
      <c r="Q3103" t="str">
        <f ca="1">""&amp;IFERROR(VLOOKUP(O3103,EMAILS!B:D,3,FALSE),"NOT FOUND IN EMAILS")</f>
        <v/>
      </c>
      <c r="R3103" t="str">
        <f ca="1">""&amp;IFERROR(VLOOKUP(O3103,EMAILS!B:E,4,FALSE),"NO T FOUND IN EMAILS")</f>
        <v/>
      </c>
    </row>
    <row r="3104" spans="2:18" x14ac:dyDescent="0.25">
      <c r="B3104" s="5" t="s">
        <v>3106</v>
      </c>
      <c r="C3104" s="5" t="s">
        <v>7246</v>
      </c>
      <c r="D3104" s="5">
        <v>20</v>
      </c>
      <c r="E3104" s="5">
        <v>0</v>
      </c>
      <c r="F3104" s="5">
        <v>0</v>
      </c>
      <c r="G3104" s="5">
        <v>20</v>
      </c>
      <c r="H3104" s="5">
        <v>20</v>
      </c>
      <c r="I3104" s="5">
        <v>0</v>
      </c>
      <c r="J3104" s="5">
        <v>0</v>
      </c>
      <c r="K3104" s="5">
        <v>0</v>
      </c>
      <c r="L3104" s="5">
        <v>0</v>
      </c>
      <c r="M3104" s="5">
        <v>0</v>
      </c>
      <c r="N3104" s="5">
        <v>267</v>
      </c>
      <c r="O3104" s="5" t="str">
        <f t="shared" ca="1" si="48"/>
        <v>Supplier 124</v>
      </c>
      <c r="P3104" s="20" t="str">
        <f ca="1">IFERROR(VLOOKUP(O3104,EMAILS!B:C,2,FALSE),"NOT FOUND IN EMAILS")</f>
        <v>supplier@gmail.com</v>
      </c>
      <c r="Q3104" t="str">
        <f ca="1">""&amp;IFERROR(VLOOKUP(O3104,EMAILS!B:D,3,FALSE),"NOT FOUND IN EMAILS")</f>
        <v/>
      </c>
      <c r="R3104" t="str">
        <f ca="1">""&amp;IFERROR(VLOOKUP(O3104,EMAILS!B:E,4,FALSE),"NO T FOUND IN EMAILS")</f>
        <v/>
      </c>
    </row>
    <row r="3105" spans="2:18" x14ac:dyDescent="0.25">
      <c r="B3105" s="5" t="s">
        <v>3107</v>
      </c>
      <c r="C3105" s="5" t="s">
        <v>7247</v>
      </c>
      <c r="D3105" s="5">
        <v>43</v>
      </c>
      <c r="E3105" s="5">
        <v>37</v>
      </c>
      <c r="F3105" s="5">
        <v>95</v>
      </c>
      <c r="G3105" s="5">
        <v>151</v>
      </c>
      <c r="H3105" s="5">
        <v>44</v>
      </c>
      <c r="I3105" s="5">
        <v>45</v>
      </c>
      <c r="J3105" s="5">
        <v>48</v>
      </c>
      <c r="K3105" s="5">
        <v>151</v>
      </c>
      <c r="L3105" s="5">
        <v>30</v>
      </c>
      <c r="M3105" s="5">
        <v>0</v>
      </c>
      <c r="N3105" s="5">
        <v>0</v>
      </c>
      <c r="O3105" s="5" t="str">
        <f t="shared" ca="1" si="48"/>
        <v>Supplier 11</v>
      </c>
      <c r="P3105" s="20" t="str">
        <f ca="1">IFERROR(VLOOKUP(O3105,EMAILS!B:C,2,FALSE),"NOT FOUND IN EMAILS")</f>
        <v>supplier@gmail.com</v>
      </c>
      <c r="Q3105" t="str">
        <f ca="1">""&amp;IFERROR(VLOOKUP(O3105,EMAILS!B:D,3,FALSE),"NOT FOUND IN EMAILS")</f>
        <v>supplier_logistics@gmail.com</v>
      </c>
      <c r="R3105" t="str">
        <f ca="1">""&amp;IFERROR(VLOOKUP(O3105,EMAILS!B:E,4,FALSE),"NO T FOUND IN EMAILS")</f>
        <v/>
      </c>
    </row>
    <row r="3106" spans="2:18" x14ac:dyDescent="0.25">
      <c r="B3106" s="5" t="s">
        <v>3108</v>
      </c>
      <c r="C3106" s="5" t="s">
        <v>7248</v>
      </c>
      <c r="D3106" s="5">
        <v>0</v>
      </c>
      <c r="E3106" s="5">
        <v>0</v>
      </c>
      <c r="F3106" s="5">
        <v>0</v>
      </c>
      <c r="G3106" s="5">
        <v>0</v>
      </c>
      <c r="H3106" s="5">
        <v>0</v>
      </c>
      <c r="I3106" s="5">
        <v>0</v>
      </c>
      <c r="J3106" s="5">
        <v>0</v>
      </c>
      <c r="K3106" s="5">
        <v>0</v>
      </c>
      <c r="L3106" s="5">
        <v>0</v>
      </c>
      <c r="M3106" s="5">
        <v>0</v>
      </c>
      <c r="N3106" s="5">
        <v>534</v>
      </c>
      <c r="O3106" s="5" t="str">
        <f t="shared" ca="1" si="48"/>
        <v>Supplier 178</v>
      </c>
      <c r="P3106" s="20" t="str">
        <f ca="1">IFERROR(VLOOKUP(O3106,EMAILS!B:C,2,FALSE),"NOT FOUND IN EMAILS")</f>
        <v>supplier@gmail.com</v>
      </c>
      <c r="Q3106" t="str">
        <f ca="1">""&amp;IFERROR(VLOOKUP(O3106,EMAILS!B:D,3,FALSE),"NOT FOUND IN EMAILS")</f>
        <v/>
      </c>
      <c r="R3106" t="str">
        <f ca="1">""&amp;IFERROR(VLOOKUP(O3106,EMAILS!B:E,4,FALSE),"NO T FOUND IN EMAILS")</f>
        <v/>
      </c>
    </row>
    <row r="3107" spans="2:18" x14ac:dyDescent="0.25">
      <c r="B3107" s="5" t="s">
        <v>3109</v>
      </c>
      <c r="C3107" s="5" t="s">
        <v>7249</v>
      </c>
      <c r="D3107" s="5">
        <v>60</v>
      </c>
      <c r="E3107" s="5">
        <v>44</v>
      </c>
      <c r="F3107" s="5">
        <v>62</v>
      </c>
      <c r="G3107" s="5">
        <v>66</v>
      </c>
      <c r="H3107" s="5">
        <v>77</v>
      </c>
      <c r="I3107" s="5">
        <v>68</v>
      </c>
      <c r="J3107" s="5">
        <v>41</v>
      </c>
      <c r="K3107" s="5">
        <v>62</v>
      </c>
      <c r="L3107" s="5">
        <v>89</v>
      </c>
      <c r="M3107" s="5">
        <v>0</v>
      </c>
      <c r="N3107" s="5">
        <v>577</v>
      </c>
      <c r="O3107" s="5" t="str">
        <f t="shared" ca="1" si="48"/>
        <v>Supplier 18</v>
      </c>
      <c r="P3107" s="20" t="str">
        <f ca="1">IFERROR(VLOOKUP(O3107,EMAILS!B:C,2,FALSE),"NOT FOUND IN EMAILS")</f>
        <v>supplier@gmail.com</v>
      </c>
      <c r="Q3107" t="str">
        <f ca="1">""&amp;IFERROR(VLOOKUP(O3107,EMAILS!B:D,3,FALSE),"NOT FOUND IN EMAILS")</f>
        <v>supplier_logistics@gmail.com</v>
      </c>
      <c r="R3107" t="str">
        <f ca="1">""&amp;IFERROR(VLOOKUP(O3107,EMAILS!B:E,4,FALSE),"NO T FOUND IN EMAILS")</f>
        <v/>
      </c>
    </row>
    <row r="3108" spans="2:18" x14ac:dyDescent="0.25">
      <c r="B3108" s="5" t="s">
        <v>3110</v>
      </c>
      <c r="C3108" s="5" t="s">
        <v>7250</v>
      </c>
      <c r="D3108" s="5">
        <v>124</v>
      </c>
      <c r="E3108" s="5">
        <v>120</v>
      </c>
      <c r="F3108" s="5">
        <v>20</v>
      </c>
      <c r="G3108" s="5">
        <v>184</v>
      </c>
      <c r="H3108" s="5">
        <v>68</v>
      </c>
      <c r="I3108" s="5">
        <v>40</v>
      </c>
      <c r="J3108" s="5">
        <v>64</v>
      </c>
      <c r="K3108" s="5">
        <v>162</v>
      </c>
      <c r="L3108" s="5">
        <v>50</v>
      </c>
      <c r="M3108" s="5">
        <v>0</v>
      </c>
      <c r="N3108" s="5">
        <v>25</v>
      </c>
      <c r="O3108" s="5" t="str">
        <f t="shared" ca="1" si="48"/>
        <v>Supplier 98</v>
      </c>
      <c r="P3108" s="20" t="str">
        <f ca="1">IFERROR(VLOOKUP(O3108,EMAILS!B:C,2,FALSE),"NOT FOUND IN EMAILS")</f>
        <v>supplier@gmail.com</v>
      </c>
      <c r="Q3108" t="str">
        <f ca="1">""&amp;IFERROR(VLOOKUP(O3108,EMAILS!B:D,3,FALSE),"NOT FOUND IN EMAILS")</f>
        <v/>
      </c>
      <c r="R3108" t="str">
        <f ca="1">""&amp;IFERROR(VLOOKUP(O3108,EMAILS!B:E,4,FALSE),"NO T FOUND IN EMAILS")</f>
        <v/>
      </c>
    </row>
    <row r="3109" spans="2:18" x14ac:dyDescent="0.25">
      <c r="B3109" s="5" t="s">
        <v>3111</v>
      </c>
      <c r="C3109" s="5" t="s">
        <v>7251</v>
      </c>
      <c r="D3109" s="5">
        <v>6</v>
      </c>
      <c r="E3109" s="5">
        <v>9</v>
      </c>
      <c r="F3109" s="5">
        <v>4</v>
      </c>
      <c r="G3109" s="5">
        <v>12</v>
      </c>
      <c r="H3109" s="5">
        <v>9</v>
      </c>
      <c r="I3109" s="5">
        <v>5</v>
      </c>
      <c r="J3109" s="5">
        <v>5</v>
      </c>
      <c r="K3109" s="5">
        <v>8</v>
      </c>
      <c r="L3109" s="5">
        <v>5</v>
      </c>
      <c r="M3109" s="5">
        <v>0</v>
      </c>
      <c r="N3109" s="5">
        <v>110</v>
      </c>
      <c r="O3109" s="5" t="str">
        <f t="shared" ca="1" si="48"/>
        <v>Supplier 130</v>
      </c>
      <c r="P3109" s="20" t="str">
        <f ca="1">IFERROR(VLOOKUP(O3109,EMAILS!B:C,2,FALSE),"NOT FOUND IN EMAILS")</f>
        <v>supplier@gmail.com</v>
      </c>
      <c r="Q3109" t="str">
        <f ca="1">""&amp;IFERROR(VLOOKUP(O3109,EMAILS!B:D,3,FALSE),"NOT FOUND IN EMAILS")</f>
        <v/>
      </c>
      <c r="R3109" t="str">
        <f ca="1">""&amp;IFERROR(VLOOKUP(O3109,EMAILS!B:E,4,FALSE),"NO T FOUND IN EMAILS")</f>
        <v/>
      </c>
    </row>
    <row r="3110" spans="2:18" x14ac:dyDescent="0.25">
      <c r="B3110" s="5" t="s">
        <v>3112</v>
      </c>
      <c r="C3110" s="5" t="s">
        <v>7252</v>
      </c>
      <c r="D3110" s="5">
        <v>439</v>
      </c>
      <c r="E3110" s="5">
        <v>449</v>
      </c>
      <c r="F3110" s="5">
        <v>580</v>
      </c>
      <c r="G3110" s="5">
        <v>600</v>
      </c>
      <c r="H3110" s="5">
        <v>445</v>
      </c>
      <c r="I3110" s="5">
        <v>441</v>
      </c>
      <c r="J3110" s="5">
        <v>586</v>
      </c>
      <c r="K3110" s="5">
        <v>592</v>
      </c>
      <c r="L3110" s="5">
        <v>147</v>
      </c>
      <c r="M3110" s="5">
        <v>0</v>
      </c>
      <c r="N3110" s="5">
        <v>419</v>
      </c>
      <c r="O3110" s="5" t="str">
        <f t="shared" ca="1" si="48"/>
        <v>Supplier 23</v>
      </c>
      <c r="P3110" s="20" t="str">
        <f ca="1">IFERROR(VLOOKUP(O3110,EMAILS!B:C,2,FALSE),"NOT FOUND IN EMAILS")</f>
        <v>supplier@gmail.com</v>
      </c>
      <c r="Q3110" t="str">
        <f ca="1">""&amp;IFERROR(VLOOKUP(O3110,EMAILS!B:D,3,FALSE),"NOT FOUND IN EMAILS")</f>
        <v/>
      </c>
      <c r="R3110" t="str">
        <f ca="1">""&amp;IFERROR(VLOOKUP(O3110,EMAILS!B:E,4,FALSE),"NO T FOUND IN EMAILS")</f>
        <v/>
      </c>
    </row>
    <row r="3111" spans="2:18" x14ac:dyDescent="0.25">
      <c r="B3111" s="5" t="s">
        <v>3113</v>
      </c>
      <c r="C3111" s="5" t="s">
        <v>7253</v>
      </c>
      <c r="D3111" s="5">
        <v>738</v>
      </c>
      <c r="E3111" s="5">
        <v>675</v>
      </c>
      <c r="F3111" s="5">
        <v>1055</v>
      </c>
      <c r="G3111" s="5">
        <v>984</v>
      </c>
      <c r="H3111" s="5">
        <v>750</v>
      </c>
      <c r="I3111" s="5">
        <v>659</v>
      </c>
      <c r="J3111" s="5">
        <v>714</v>
      </c>
      <c r="K3111" s="5">
        <v>652</v>
      </c>
      <c r="L3111" s="5">
        <v>508</v>
      </c>
      <c r="M3111" s="5">
        <v>0</v>
      </c>
      <c r="N3111" s="5">
        <v>0</v>
      </c>
      <c r="O3111" s="5" t="str">
        <f t="shared" ca="1" si="48"/>
        <v>Supplier 11</v>
      </c>
      <c r="P3111" s="20" t="str">
        <f ca="1">IFERROR(VLOOKUP(O3111,EMAILS!B:C,2,FALSE),"NOT FOUND IN EMAILS")</f>
        <v>supplier@gmail.com</v>
      </c>
      <c r="Q3111" t="str">
        <f ca="1">""&amp;IFERROR(VLOOKUP(O3111,EMAILS!B:D,3,FALSE),"NOT FOUND IN EMAILS")</f>
        <v>supplier_logistics@gmail.com</v>
      </c>
      <c r="R3111" t="str">
        <f ca="1">""&amp;IFERROR(VLOOKUP(O3111,EMAILS!B:E,4,FALSE),"NO T FOUND IN EMAILS")</f>
        <v/>
      </c>
    </row>
    <row r="3112" spans="2:18" x14ac:dyDescent="0.25">
      <c r="B3112" s="5" t="s">
        <v>3114</v>
      </c>
      <c r="C3112" s="5" t="s">
        <v>7254</v>
      </c>
      <c r="D3112" s="5">
        <v>60</v>
      </c>
      <c r="E3112" s="5">
        <v>26</v>
      </c>
      <c r="F3112" s="5">
        <v>44</v>
      </c>
      <c r="G3112" s="5">
        <v>48</v>
      </c>
      <c r="H3112" s="5">
        <v>54</v>
      </c>
      <c r="I3112" s="5">
        <v>50</v>
      </c>
      <c r="J3112" s="5">
        <v>14</v>
      </c>
      <c r="K3112" s="5">
        <v>44</v>
      </c>
      <c r="L3112" s="5">
        <v>66</v>
      </c>
      <c r="M3112" s="5">
        <v>0</v>
      </c>
      <c r="N3112" s="5">
        <v>276</v>
      </c>
      <c r="O3112" s="5" t="str">
        <f t="shared" ca="1" si="48"/>
        <v>Supplier 53</v>
      </c>
      <c r="P3112" s="20" t="str">
        <f ca="1">IFERROR(VLOOKUP(O3112,EMAILS!B:C,2,FALSE),"NOT FOUND IN EMAILS")</f>
        <v>supplier@gmail.com</v>
      </c>
      <c r="Q3112" t="str">
        <f ca="1">""&amp;IFERROR(VLOOKUP(O3112,EMAILS!B:D,3,FALSE),"NOT FOUND IN EMAILS")</f>
        <v/>
      </c>
      <c r="R3112" t="str">
        <f ca="1">""&amp;IFERROR(VLOOKUP(O3112,EMAILS!B:E,4,FALSE),"NO T FOUND IN EMAILS")</f>
        <v/>
      </c>
    </row>
    <row r="3113" spans="2:18" x14ac:dyDescent="0.25">
      <c r="B3113" s="5" t="s">
        <v>3115</v>
      </c>
      <c r="C3113" s="5" t="s">
        <v>7255</v>
      </c>
      <c r="D3113" s="5">
        <v>1922</v>
      </c>
      <c r="E3113" s="5">
        <v>1554</v>
      </c>
      <c r="F3113" s="5">
        <v>2198</v>
      </c>
      <c r="G3113" s="5">
        <v>2463</v>
      </c>
      <c r="H3113" s="5">
        <v>2053</v>
      </c>
      <c r="I3113" s="5">
        <v>1775</v>
      </c>
      <c r="J3113" s="5">
        <v>2085</v>
      </c>
      <c r="K3113" s="5">
        <v>1873</v>
      </c>
      <c r="L3113" s="5">
        <v>1730</v>
      </c>
      <c r="M3113" s="5">
        <v>0</v>
      </c>
      <c r="N3113" s="5">
        <v>0</v>
      </c>
      <c r="O3113" s="5" t="str">
        <f t="shared" ca="1" si="48"/>
        <v>Supplier 115</v>
      </c>
      <c r="P3113" s="20" t="str">
        <f ca="1">IFERROR(VLOOKUP(O3113,EMAILS!B:C,2,FALSE),"NOT FOUND IN EMAILS")</f>
        <v>supplier@gmail.com</v>
      </c>
      <c r="Q3113" t="str">
        <f ca="1">""&amp;IFERROR(VLOOKUP(O3113,EMAILS!B:D,3,FALSE),"NOT FOUND IN EMAILS")</f>
        <v/>
      </c>
      <c r="R3113" t="str">
        <f ca="1">""&amp;IFERROR(VLOOKUP(O3113,EMAILS!B:E,4,FALSE),"NO T FOUND IN EMAILS")</f>
        <v/>
      </c>
    </row>
    <row r="3114" spans="2:18" x14ac:dyDescent="0.25">
      <c r="B3114" s="5" t="s">
        <v>3116</v>
      </c>
      <c r="C3114" s="5" t="s">
        <v>7256</v>
      </c>
      <c r="D3114" s="5">
        <v>60</v>
      </c>
      <c r="E3114" s="5">
        <v>0</v>
      </c>
      <c r="F3114" s="5">
        <v>0</v>
      </c>
      <c r="G3114" s="5">
        <v>0</v>
      </c>
      <c r="H3114" s="5">
        <v>60</v>
      </c>
      <c r="I3114" s="5">
        <v>0</v>
      </c>
      <c r="J3114" s="5">
        <v>0</v>
      </c>
      <c r="K3114" s="5">
        <v>60</v>
      </c>
      <c r="L3114" s="5">
        <v>0</v>
      </c>
      <c r="M3114" s="5">
        <v>0</v>
      </c>
      <c r="N3114" s="5">
        <v>330</v>
      </c>
      <c r="O3114" s="5" t="str">
        <f t="shared" ca="1" si="48"/>
        <v>Supplier 174</v>
      </c>
      <c r="P3114" s="20" t="str">
        <f ca="1">IFERROR(VLOOKUP(O3114,EMAILS!B:C,2,FALSE),"NOT FOUND IN EMAILS")</f>
        <v>supplier@gmail.com</v>
      </c>
      <c r="Q3114" t="str">
        <f ca="1">""&amp;IFERROR(VLOOKUP(O3114,EMAILS!B:D,3,FALSE),"NOT FOUND IN EMAILS")</f>
        <v/>
      </c>
      <c r="R3114" t="str">
        <f ca="1">""&amp;IFERROR(VLOOKUP(O3114,EMAILS!B:E,4,FALSE),"NO T FOUND IN EMAILS")</f>
        <v/>
      </c>
    </row>
    <row r="3115" spans="2:18" x14ac:dyDescent="0.25">
      <c r="B3115" s="5" t="s">
        <v>3117</v>
      </c>
      <c r="C3115" s="5" t="s">
        <v>7257</v>
      </c>
      <c r="D3115" s="5">
        <v>13</v>
      </c>
      <c r="E3115" s="5">
        <v>28</v>
      </c>
      <c r="F3115" s="5">
        <v>0</v>
      </c>
      <c r="G3115" s="5">
        <v>40</v>
      </c>
      <c r="H3115" s="5">
        <v>20</v>
      </c>
      <c r="I3115" s="5">
        <v>12</v>
      </c>
      <c r="J3115" s="5">
        <v>13</v>
      </c>
      <c r="K3115" s="5">
        <v>24</v>
      </c>
      <c r="L3115" s="5">
        <v>4</v>
      </c>
      <c r="M3115" s="5">
        <v>0</v>
      </c>
      <c r="N3115" s="5">
        <v>272</v>
      </c>
      <c r="O3115" s="5" t="str">
        <f t="shared" ca="1" si="48"/>
        <v>Supplier 156</v>
      </c>
      <c r="P3115" s="20" t="str">
        <f ca="1">IFERROR(VLOOKUP(O3115,EMAILS!B:C,2,FALSE),"NOT FOUND IN EMAILS")</f>
        <v>supplier@gmail.com</v>
      </c>
      <c r="Q3115" t="str">
        <f ca="1">""&amp;IFERROR(VLOOKUP(O3115,EMAILS!B:D,3,FALSE),"NOT FOUND IN EMAILS")</f>
        <v/>
      </c>
      <c r="R3115" t="str">
        <f ca="1">""&amp;IFERROR(VLOOKUP(O3115,EMAILS!B:E,4,FALSE),"NO T FOUND IN EMAILS")</f>
        <v/>
      </c>
    </row>
    <row r="3116" spans="2:18" x14ac:dyDescent="0.25">
      <c r="B3116" s="5" t="s">
        <v>3118</v>
      </c>
      <c r="C3116" s="5" t="s">
        <v>7258</v>
      </c>
      <c r="D3116" s="5">
        <v>332</v>
      </c>
      <c r="E3116" s="5">
        <v>362</v>
      </c>
      <c r="F3116" s="5">
        <v>380</v>
      </c>
      <c r="G3116" s="5">
        <v>432</v>
      </c>
      <c r="H3116" s="5">
        <v>278</v>
      </c>
      <c r="I3116" s="5">
        <v>336</v>
      </c>
      <c r="J3116" s="5">
        <v>300</v>
      </c>
      <c r="K3116" s="5">
        <v>268</v>
      </c>
      <c r="L3116" s="5">
        <v>174</v>
      </c>
      <c r="M3116" s="5">
        <v>0</v>
      </c>
      <c r="N3116" s="5">
        <v>0</v>
      </c>
      <c r="O3116" s="5" t="str">
        <f t="shared" ca="1" si="48"/>
        <v>Supplier 40</v>
      </c>
      <c r="P3116" s="20" t="str">
        <f ca="1">IFERROR(VLOOKUP(O3116,EMAILS!B:C,2,FALSE),"NOT FOUND IN EMAILS")</f>
        <v>supplier@gmail.com</v>
      </c>
      <c r="Q3116" t="str">
        <f ca="1">""&amp;IFERROR(VLOOKUP(O3116,EMAILS!B:D,3,FALSE),"NOT FOUND IN EMAILS")</f>
        <v/>
      </c>
      <c r="R3116" t="str">
        <f ca="1">""&amp;IFERROR(VLOOKUP(O3116,EMAILS!B:E,4,FALSE),"NO T FOUND IN EMAILS")</f>
        <v/>
      </c>
    </row>
    <row r="3117" spans="2:18" x14ac:dyDescent="0.25">
      <c r="B3117" s="5" t="s">
        <v>3119</v>
      </c>
      <c r="C3117" s="5" t="s">
        <v>7259</v>
      </c>
      <c r="D3117" s="5">
        <v>0</v>
      </c>
      <c r="E3117" s="5">
        <v>0</v>
      </c>
      <c r="F3117" s="5">
        <v>0</v>
      </c>
      <c r="G3117" s="5">
        <v>0</v>
      </c>
      <c r="H3117" s="5">
        <v>0</v>
      </c>
      <c r="I3117" s="5">
        <v>0</v>
      </c>
      <c r="J3117" s="5">
        <v>0</v>
      </c>
      <c r="K3117" s="5">
        <v>0</v>
      </c>
      <c r="L3117" s="5">
        <v>0</v>
      </c>
      <c r="M3117" s="5">
        <v>0</v>
      </c>
      <c r="N3117" s="5">
        <v>460</v>
      </c>
      <c r="O3117" s="5" t="str">
        <f t="shared" ca="1" si="48"/>
        <v>Supplier 172</v>
      </c>
      <c r="P3117" s="20" t="str">
        <f ca="1">IFERROR(VLOOKUP(O3117,EMAILS!B:C,2,FALSE),"NOT FOUND IN EMAILS")</f>
        <v>supplier@gmail.com</v>
      </c>
      <c r="Q3117" t="str">
        <f ca="1">""&amp;IFERROR(VLOOKUP(O3117,EMAILS!B:D,3,FALSE),"NOT FOUND IN EMAILS")</f>
        <v/>
      </c>
      <c r="R3117" t="str">
        <f ca="1">""&amp;IFERROR(VLOOKUP(O3117,EMAILS!B:E,4,FALSE),"NO T FOUND IN EMAILS")</f>
        <v/>
      </c>
    </row>
    <row r="3118" spans="2:18" x14ac:dyDescent="0.25">
      <c r="B3118" s="5" t="s">
        <v>3120</v>
      </c>
      <c r="C3118" s="5" t="s">
        <v>7260</v>
      </c>
      <c r="D3118" s="5">
        <v>0</v>
      </c>
      <c r="E3118" s="5">
        <v>0</v>
      </c>
      <c r="F3118" s="5">
        <v>0</v>
      </c>
      <c r="G3118" s="5">
        <v>0</v>
      </c>
      <c r="H3118" s="5">
        <v>0</v>
      </c>
      <c r="I3118" s="5">
        <v>0</v>
      </c>
      <c r="J3118" s="5">
        <v>0</v>
      </c>
      <c r="K3118" s="5">
        <v>0</v>
      </c>
      <c r="L3118" s="5">
        <v>0</v>
      </c>
      <c r="M3118" s="5">
        <v>0</v>
      </c>
      <c r="N3118" s="5">
        <v>0</v>
      </c>
      <c r="O3118" s="5" t="str">
        <f t="shared" ca="1" si="48"/>
        <v>Supplier 183</v>
      </c>
      <c r="P3118" s="20" t="str">
        <f ca="1">IFERROR(VLOOKUP(O3118,EMAILS!B:C,2,FALSE),"NOT FOUND IN EMAILS")</f>
        <v>supplier@gmail.com</v>
      </c>
      <c r="Q3118" t="str">
        <f ca="1">""&amp;IFERROR(VLOOKUP(O3118,EMAILS!B:D,3,FALSE),"NOT FOUND IN EMAILS")</f>
        <v/>
      </c>
      <c r="R3118" t="str">
        <f ca="1">""&amp;IFERROR(VLOOKUP(O3118,EMAILS!B:E,4,FALSE),"NO T FOUND IN EMAILS")</f>
        <v/>
      </c>
    </row>
    <row r="3119" spans="2:18" x14ac:dyDescent="0.25">
      <c r="B3119" s="5" t="s">
        <v>3121</v>
      </c>
      <c r="C3119" s="5" t="s">
        <v>7261</v>
      </c>
      <c r="D3119" s="5">
        <v>20</v>
      </c>
      <c r="E3119" s="5">
        <v>0</v>
      </c>
      <c r="F3119" s="5">
        <v>0</v>
      </c>
      <c r="G3119" s="5">
        <v>0</v>
      </c>
      <c r="H3119" s="5">
        <v>0</v>
      </c>
      <c r="I3119" s="5">
        <v>0</v>
      </c>
      <c r="J3119" s="5">
        <v>0</v>
      </c>
      <c r="K3119" s="5">
        <v>0</v>
      </c>
      <c r="L3119" s="5">
        <v>0</v>
      </c>
      <c r="M3119" s="5">
        <v>0</v>
      </c>
      <c r="N3119" s="5">
        <v>0</v>
      </c>
      <c r="O3119" s="5" t="str">
        <f t="shared" ca="1" si="48"/>
        <v>Supplier 42</v>
      </c>
      <c r="P3119" s="20" t="str">
        <f ca="1">IFERROR(VLOOKUP(O3119,EMAILS!B:C,2,FALSE),"NOT FOUND IN EMAILS")</f>
        <v>supplier@gmail.com</v>
      </c>
      <c r="Q3119" t="str">
        <f ca="1">""&amp;IFERROR(VLOOKUP(O3119,EMAILS!B:D,3,FALSE),"NOT FOUND IN EMAILS")</f>
        <v/>
      </c>
      <c r="R3119" t="str">
        <f ca="1">""&amp;IFERROR(VLOOKUP(O3119,EMAILS!B:E,4,FALSE),"NO T FOUND IN EMAILS")</f>
        <v/>
      </c>
    </row>
    <row r="3120" spans="2:18" x14ac:dyDescent="0.25">
      <c r="B3120" s="5" t="s">
        <v>3122</v>
      </c>
      <c r="C3120" s="5" t="s">
        <v>7262</v>
      </c>
      <c r="D3120" s="5">
        <v>40</v>
      </c>
      <c r="E3120" s="5">
        <v>80</v>
      </c>
      <c r="F3120" s="5">
        <v>80</v>
      </c>
      <c r="G3120" s="5">
        <v>40</v>
      </c>
      <c r="H3120" s="5">
        <v>80</v>
      </c>
      <c r="I3120" s="5">
        <v>40</v>
      </c>
      <c r="J3120" s="5">
        <v>40</v>
      </c>
      <c r="K3120" s="5">
        <v>40</v>
      </c>
      <c r="L3120" s="5">
        <v>80</v>
      </c>
      <c r="M3120" s="5">
        <v>0</v>
      </c>
      <c r="N3120" s="5">
        <v>226</v>
      </c>
      <c r="O3120" s="5" t="str">
        <f t="shared" ca="1" si="48"/>
        <v>Supplier 159</v>
      </c>
      <c r="P3120" s="20" t="str">
        <f ca="1">IFERROR(VLOOKUP(O3120,EMAILS!B:C,2,FALSE),"NOT FOUND IN EMAILS")</f>
        <v>supplier@gmail.com</v>
      </c>
      <c r="Q3120" t="str">
        <f ca="1">""&amp;IFERROR(VLOOKUP(O3120,EMAILS!B:D,3,FALSE),"NOT FOUND IN EMAILS")</f>
        <v/>
      </c>
      <c r="R3120" t="str">
        <f ca="1">""&amp;IFERROR(VLOOKUP(O3120,EMAILS!B:E,4,FALSE),"NO T FOUND IN EMAILS")</f>
        <v/>
      </c>
    </row>
    <row r="3121" spans="2:18" x14ac:dyDescent="0.25">
      <c r="B3121" s="5" t="s">
        <v>3123</v>
      </c>
      <c r="C3121" s="5" t="s">
        <v>7263</v>
      </c>
      <c r="D3121" s="5">
        <v>28</v>
      </c>
      <c r="E3121" s="5">
        <v>48</v>
      </c>
      <c r="F3121" s="5">
        <v>48</v>
      </c>
      <c r="G3121" s="5">
        <v>36</v>
      </c>
      <c r="H3121" s="5">
        <v>40</v>
      </c>
      <c r="I3121" s="5">
        <v>28</v>
      </c>
      <c r="J3121" s="5">
        <v>36</v>
      </c>
      <c r="K3121" s="5">
        <v>52</v>
      </c>
      <c r="L3121" s="5">
        <v>40</v>
      </c>
      <c r="M3121" s="5">
        <v>0</v>
      </c>
      <c r="N3121" s="5">
        <v>0</v>
      </c>
      <c r="O3121" s="5" t="str">
        <f t="shared" ca="1" si="48"/>
        <v>Supplier 144</v>
      </c>
      <c r="P3121" s="20" t="str">
        <f ca="1">IFERROR(VLOOKUP(O3121,EMAILS!B:C,2,FALSE),"NOT FOUND IN EMAILS")</f>
        <v>supplier@gmail.com</v>
      </c>
      <c r="Q3121" t="str">
        <f ca="1">""&amp;IFERROR(VLOOKUP(O3121,EMAILS!B:D,3,FALSE),"NOT FOUND IN EMAILS")</f>
        <v/>
      </c>
      <c r="R3121" t="str">
        <f ca="1">""&amp;IFERROR(VLOOKUP(O3121,EMAILS!B:E,4,FALSE),"NO T FOUND IN EMAILS")</f>
        <v/>
      </c>
    </row>
    <row r="3122" spans="2:18" x14ac:dyDescent="0.25">
      <c r="B3122" s="5" t="s">
        <v>3124</v>
      </c>
      <c r="C3122" s="5" t="s">
        <v>7264</v>
      </c>
      <c r="D3122" s="5">
        <v>20</v>
      </c>
      <c r="E3122" s="5">
        <v>40</v>
      </c>
      <c r="F3122" s="5">
        <v>40</v>
      </c>
      <c r="G3122" s="5">
        <v>20</v>
      </c>
      <c r="H3122" s="5">
        <v>40</v>
      </c>
      <c r="I3122" s="5">
        <v>20</v>
      </c>
      <c r="J3122" s="5">
        <v>20</v>
      </c>
      <c r="K3122" s="5">
        <v>20</v>
      </c>
      <c r="L3122" s="5">
        <v>40</v>
      </c>
      <c r="M3122" s="5">
        <v>0</v>
      </c>
      <c r="N3122" s="5">
        <v>838</v>
      </c>
      <c r="O3122" s="5" t="str">
        <f t="shared" ca="1" si="48"/>
        <v>Supplier 39</v>
      </c>
      <c r="P3122" s="20" t="str">
        <f ca="1">IFERROR(VLOOKUP(O3122,EMAILS!B:C,2,FALSE),"NOT FOUND IN EMAILS")</f>
        <v>supplier@gmail.com</v>
      </c>
      <c r="Q3122" t="str">
        <f ca="1">""&amp;IFERROR(VLOOKUP(O3122,EMAILS!B:D,3,FALSE),"NOT FOUND IN EMAILS")</f>
        <v/>
      </c>
      <c r="R3122" t="str">
        <f ca="1">""&amp;IFERROR(VLOOKUP(O3122,EMAILS!B:E,4,FALSE),"NO T FOUND IN EMAILS")</f>
        <v/>
      </c>
    </row>
    <row r="3123" spans="2:18" x14ac:dyDescent="0.25">
      <c r="B3123" s="5" t="s">
        <v>3125</v>
      </c>
      <c r="C3123" s="5" t="s">
        <v>7265</v>
      </c>
      <c r="D3123" s="5">
        <v>64</v>
      </c>
      <c r="E3123" s="5">
        <v>70</v>
      </c>
      <c r="F3123" s="5">
        <v>38</v>
      </c>
      <c r="G3123" s="5">
        <v>132</v>
      </c>
      <c r="H3123" s="5">
        <v>76</v>
      </c>
      <c r="I3123" s="5">
        <v>50</v>
      </c>
      <c r="J3123" s="5">
        <v>64</v>
      </c>
      <c r="K3123" s="5">
        <v>48</v>
      </c>
      <c r="L3123" s="5">
        <v>68</v>
      </c>
      <c r="M3123" s="5">
        <v>0</v>
      </c>
      <c r="N3123" s="5">
        <v>666</v>
      </c>
      <c r="O3123" s="5" t="str">
        <f t="shared" ca="1" si="48"/>
        <v>Supplier 15</v>
      </c>
      <c r="P3123" s="20" t="str">
        <f ca="1">IFERROR(VLOOKUP(O3123,EMAILS!B:C,2,FALSE),"NOT FOUND IN EMAILS")</f>
        <v>supplier@gmail.com</v>
      </c>
      <c r="Q3123" t="str">
        <f ca="1">""&amp;IFERROR(VLOOKUP(O3123,EMAILS!B:D,3,FALSE),"NOT FOUND IN EMAILS")</f>
        <v>supplier_logistics@gmail.com</v>
      </c>
      <c r="R3123" t="str">
        <f ca="1">""&amp;IFERROR(VLOOKUP(O3123,EMAILS!B:E,4,FALSE),"NO T FOUND IN EMAILS")</f>
        <v/>
      </c>
    </row>
    <row r="3124" spans="2:18" x14ac:dyDescent="0.25">
      <c r="B3124" s="5" t="s">
        <v>3126</v>
      </c>
      <c r="C3124" s="5" t="s">
        <v>7266</v>
      </c>
      <c r="D3124" s="5">
        <v>2345</v>
      </c>
      <c r="E3124" s="5">
        <v>3683</v>
      </c>
      <c r="F3124" s="5">
        <v>3376</v>
      </c>
      <c r="G3124" s="5">
        <v>4347</v>
      </c>
      <c r="H3124" s="5">
        <v>2334</v>
      </c>
      <c r="I3124" s="5">
        <v>2673</v>
      </c>
      <c r="J3124" s="5">
        <v>2749</v>
      </c>
      <c r="K3124" s="5">
        <v>2310</v>
      </c>
      <c r="L3124" s="5">
        <v>1205</v>
      </c>
      <c r="M3124" s="5">
        <v>0</v>
      </c>
      <c r="N3124" s="5">
        <v>0</v>
      </c>
      <c r="O3124" s="5" t="str">
        <f t="shared" ca="1" si="48"/>
        <v>Supplier 102</v>
      </c>
      <c r="P3124" s="20" t="str">
        <f ca="1">IFERROR(VLOOKUP(O3124,EMAILS!B:C,2,FALSE),"NOT FOUND IN EMAILS")</f>
        <v>supplier@gmail.com</v>
      </c>
      <c r="Q3124" t="str">
        <f ca="1">""&amp;IFERROR(VLOOKUP(O3124,EMAILS!B:D,3,FALSE),"NOT FOUND IN EMAILS")</f>
        <v/>
      </c>
      <c r="R3124" t="str">
        <f ca="1">""&amp;IFERROR(VLOOKUP(O3124,EMAILS!B:E,4,FALSE),"NO T FOUND IN EMAILS")</f>
        <v/>
      </c>
    </row>
    <row r="3125" spans="2:18" x14ac:dyDescent="0.25">
      <c r="B3125" s="5" t="s">
        <v>3127</v>
      </c>
      <c r="C3125" s="5" t="s">
        <v>7267</v>
      </c>
      <c r="D3125" s="5">
        <v>2847</v>
      </c>
      <c r="E3125" s="5">
        <v>3040</v>
      </c>
      <c r="F3125" s="5">
        <v>3108</v>
      </c>
      <c r="G3125" s="5">
        <v>3630</v>
      </c>
      <c r="H3125" s="5">
        <v>2630</v>
      </c>
      <c r="I3125" s="5">
        <v>1984</v>
      </c>
      <c r="J3125" s="5">
        <v>2102</v>
      </c>
      <c r="K3125" s="5">
        <v>1543</v>
      </c>
      <c r="L3125" s="5">
        <v>950</v>
      </c>
      <c r="M3125" s="5">
        <v>0</v>
      </c>
      <c r="N3125" s="5">
        <v>730</v>
      </c>
      <c r="O3125" s="5" t="str">
        <f t="shared" ca="1" si="48"/>
        <v>Supplier 67</v>
      </c>
      <c r="P3125" s="20" t="str">
        <f ca="1">IFERROR(VLOOKUP(O3125,EMAILS!B:C,2,FALSE),"NOT FOUND IN EMAILS")</f>
        <v>supplier@gmail.com</v>
      </c>
      <c r="Q3125" t="str">
        <f ca="1">""&amp;IFERROR(VLOOKUP(O3125,EMAILS!B:D,3,FALSE),"NOT FOUND IN EMAILS")</f>
        <v/>
      </c>
      <c r="R3125" t="str">
        <f ca="1">""&amp;IFERROR(VLOOKUP(O3125,EMAILS!B:E,4,FALSE),"NO T FOUND IN EMAILS")</f>
        <v/>
      </c>
    </row>
    <row r="3126" spans="2:18" x14ac:dyDescent="0.25">
      <c r="B3126" s="5" t="s">
        <v>3128</v>
      </c>
      <c r="C3126" s="5" t="s">
        <v>7268</v>
      </c>
      <c r="D3126" s="5">
        <v>19</v>
      </c>
      <c r="E3126" s="5">
        <v>15</v>
      </c>
      <c r="F3126" s="5">
        <v>24</v>
      </c>
      <c r="G3126" s="5">
        <v>20</v>
      </c>
      <c r="H3126" s="5">
        <v>17</v>
      </c>
      <c r="I3126" s="5">
        <v>15</v>
      </c>
      <c r="J3126" s="5">
        <v>20</v>
      </c>
      <c r="K3126" s="5">
        <v>22</v>
      </c>
      <c r="L3126" s="5">
        <v>5</v>
      </c>
      <c r="M3126" s="5">
        <v>0</v>
      </c>
      <c r="N3126" s="5">
        <v>0</v>
      </c>
      <c r="O3126" s="5" t="str">
        <f t="shared" ca="1" si="48"/>
        <v>Supplier 179</v>
      </c>
      <c r="P3126" s="20" t="str">
        <f ca="1">IFERROR(VLOOKUP(O3126,EMAILS!B:C,2,FALSE),"NOT FOUND IN EMAILS")</f>
        <v>supplier@gmail.com</v>
      </c>
      <c r="Q3126" t="str">
        <f ca="1">""&amp;IFERROR(VLOOKUP(O3126,EMAILS!B:D,3,FALSE),"NOT FOUND IN EMAILS")</f>
        <v/>
      </c>
      <c r="R3126" t="str">
        <f ca="1">""&amp;IFERROR(VLOOKUP(O3126,EMAILS!B:E,4,FALSE),"NO T FOUND IN EMAILS")</f>
        <v/>
      </c>
    </row>
    <row r="3127" spans="2:18" x14ac:dyDescent="0.25">
      <c r="B3127" s="5" t="s">
        <v>3129</v>
      </c>
      <c r="C3127" s="5" t="s">
        <v>7269</v>
      </c>
      <c r="D3127" s="5">
        <v>30</v>
      </c>
      <c r="E3127" s="5">
        <v>30</v>
      </c>
      <c r="F3127" s="5">
        <v>30</v>
      </c>
      <c r="G3127" s="5">
        <v>30</v>
      </c>
      <c r="H3127" s="5">
        <v>30</v>
      </c>
      <c r="I3127" s="5">
        <v>15</v>
      </c>
      <c r="J3127" s="5">
        <v>30</v>
      </c>
      <c r="K3127" s="5">
        <v>15</v>
      </c>
      <c r="L3127" s="5">
        <v>30</v>
      </c>
      <c r="M3127" s="5">
        <v>0</v>
      </c>
      <c r="N3127" s="5">
        <v>226</v>
      </c>
      <c r="O3127" s="5" t="str">
        <f t="shared" ca="1" si="48"/>
        <v>Supplier 43</v>
      </c>
      <c r="P3127" s="20" t="str">
        <f ca="1">IFERROR(VLOOKUP(O3127,EMAILS!B:C,2,FALSE),"NOT FOUND IN EMAILS")</f>
        <v>supplier@gmail.com</v>
      </c>
      <c r="Q3127" t="str">
        <f ca="1">""&amp;IFERROR(VLOOKUP(O3127,EMAILS!B:D,3,FALSE),"NOT FOUND IN EMAILS")</f>
        <v/>
      </c>
      <c r="R3127" t="str">
        <f ca="1">""&amp;IFERROR(VLOOKUP(O3127,EMAILS!B:E,4,FALSE),"NO T FOUND IN EMAILS")</f>
        <v/>
      </c>
    </row>
    <row r="3128" spans="2:18" x14ac:dyDescent="0.25">
      <c r="B3128" s="5" t="s">
        <v>3130</v>
      </c>
      <c r="C3128" s="5" t="s">
        <v>7270</v>
      </c>
      <c r="D3128" s="5">
        <v>16</v>
      </c>
      <c r="E3128" s="5">
        <v>28</v>
      </c>
      <c r="F3128" s="5">
        <v>16</v>
      </c>
      <c r="G3128" s="5">
        <v>16</v>
      </c>
      <c r="H3128" s="5">
        <v>0</v>
      </c>
      <c r="I3128" s="5">
        <v>0</v>
      </c>
      <c r="J3128" s="5">
        <v>0</v>
      </c>
      <c r="K3128" s="5">
        <v>0</v>
      </c>
      <c r="L3128" s="5">
        <v>0</v>
      </c>
      <c r="M3128" s="5">
        <v>0</v>
      </c>
      <c r="N3128" s="5">
        <v>45</v>
      </c>
      <c r="O3128" s="5" t="str">
        <f t="shared" ca="1" si="48"/>
        <v>Supplier 55</v>
      </c>
      <c r="P3128" s="20" t="str">
        <f ca="1">IFERROR(VLOOKUP(O3128,EMAILS!B:C,2,FALSE),"NOT FOUND IN EMAILS")</f>
        <v>supplier@gmail.com</v>
      </c>
      <c r="Q3128" t="str">
        <f ca="1">""&amp;IFERROR(VLOOKUP(O3128,EMAILS!B:D,3,FALSE),"NOT FOUND IN EMAILS")</f>
        <v/>
      </c>
      <c r="R3128" t="str">
        <f ca="1">""&amp;IFERROR(VLOOKUP(O3128,EMAILS!B:E,4,FALSE),"NO T FOUND IN EMAILS")</f>
        <v/>
      </c>
    </row>
    <row r="3129" spans="2:18" x14ac:dyDescent="0.25">
      <c r="B3129" s="5" t="s">
        <v>3131</v>
      </c>
      <c r="C3129" s="5" t="s">
        <v>7271</v>
      </c>
      <c r="D3129" s="5">
        <v>2</v>
      </c>
      <c r="E3129" s="5">
        <v>12</v>
      </c>
      <c r="F3129" s="5">
        <v>10</v>
      </c>
      <c r="G3129" s="5">
        <v>12</v>
      </c>
      <c r="H3129" s="5">
        <v>8</v>
      </c>
      <c r="I3129" s="5">
        <v>12</v>
      </c>
      <c r="J3129" s="5">
        <v>24</v>
      </c>
      <c r="K3129" s="5">
        <v>10</v>
      </c>
      <c r="L3129" s="5">
        <v>0</v>
      </c>
      <c r="M3129" s="5">
        <v>0</v>
      </c>
      <c r="N3129" s="5">
        <v>173</v>
      </c>
      <c r="O3129" s="5" t="str">
        <f t="shared" ca="1" si="48"/>
        <v>Supplier 111</v>
      </c>
      <c r="P3129" s="20" t="str">
        <f ca="1">IFERROR(VLOOKUP(O3129,EMAILS!B:C,2,FALSE),"NOT FOUND IN EMAILS")</f>
        <v>supplier@gmail.com</v>
      </c>
      <c r="Q3129" t="str">
        <f ca="1">""&amp;IFERROR(VLOOKUP(O3129,EMAILS!B:D,3,FALSE),"NOT FOUND IN EMAILS")</f>
        <v/>
      </c>
      <c r="R3129" t="str">
        <f ca="1">""&amp;IFERROR(VLOOKUP(O3129,EMAILS!B:E,4,FALSE),"NO T FOUND IN EMAILS")</f>
        <v/>
      </c>
    </row>
    <row r="3130" spans="2:18" x14ac:dyDescent="0.25">
      <c r="B3130" s="5" t="s">
        <v>3132</v>
      </c>
      <c r="C3130" s="5" t="s">
        <v>7272</v>
      </c>
      <c r="D3130" s="5">
        <v>12</v>
      </c>
      <c r="E3130" s="5">
        <v>6</v>
      </c>
      <c r="F3130" s="5">
        <v>8</v>
      </c>
      <c r="G3130" s="5">
        <v>8</v>
      </c>
      <c r="H3130" s="5">
        <v>6</v>
      </c>
      <c r="I3130" s="5">
        <v>8</v>
      </c>
      <c r="J3130" s="5">
        <v>20</v>
      </c>
      <c r="K3130" s="5">
        <v>10</v>
      </c>
      <c r="L3130" s="5">
        <v>0</v>
      </c>
      <c r="M3130" s="5">
        <v>0</v>
      </c>
      <c r="N3130" s="5">
        <v>38</v>
      </c>
      <c r="O3130" s="5" t="str">
        <f t="shared" ca="1" si="48"/>
        <v>Supplier 71</v>
      </c>
      <c r="P3130" s="20" t="str">
        <f ca="1">IFERROR(VLOOKUP(O3130,EMAILS!B:C,2,FALSE),"NOT FOUND IN EMAILS")</f>
        <v>supplier@gmail.com</v>
      </c>
      <c r="Q3130" t="str">
        <f ca="1">""&amp;IFERROR(VLOOKUP(O3130,EMAILS!B:D,3,FALSE),"NOT FOUND IN EMAILS")</f>
        <v/>
      </c>
      <c r="R3130" t="str">
        <f ca="1">""&amp;IFERROR(VLOOKUP(O3130,EMAILS!B:E,4,FALSE),"NO T FOUND IN EMAILS")</f>
        <v/>
      </c>
    </row>
    <row r="3131" spans="2:18" x14ac:dyDescent="0.25">
      <c r="B3131" s="5" t="s">
        <v>3133</v>
      </c>
      <c r="C3131" s="5" t="s">
        <v>7273</v>
      </c>
      <c r="D3131" s="5">
        <v>13</v>
      </c>
      <c r="E3131" s="5">
        <v>6</v>
      </c>
      <c r="F3131" s="5">
        <v>14</v>
      </c>
      <c r="G3131" s="5">
        <v>10</v>
      </c>
      <c r="H3131" s="5">
        <v>9</v>
      </c>
      <c r="I3131" s="5">
        <v>7</v>
      </c>
      <c r="J3131" s="5">
        <v>6</v>
      </c>
      <c r="K3131" s="5">
        <v>7</v>
      </c>
      <c r="L3131" s="5">
        <v>19</v>
      </c>
      <c r="M3131" s="5">
        <v>0</v>
      </c>
      <c r="N3131" s="5">
        <v>0</v>
      </c>
      <c r="O3131" s="5" t="str">
        <f t="shared" ca="1" si="48"/>
        <v>Supplier 186</v>
      </c>
      <c r="P3131" s="20" t="str">
        <f ca="1">IFERROR(VLOOKUP(O3131,EMAILS!B:C,2,FALSE),"NOT FOUND IN EMAILS")</f>
        <v>supplier@gmail.com</v>
      </c>
      <c r="Q3131" t="str">
        <f ca="1">""&amp;IFERROR(VLOOKUP(O3131,EMAILS!B:D,3,FALSE),"NOT FOUND IN EMAILS")</f>
        <v/>
      </c>
      <c r="R3131" t="str">
        <f ca="1">""&amp;IFERROR(VLOOKUP(O3131,EMAILS!B:E,4,FALSE),"NO T FOUND IN EMAILS")</f>
        <v/>
      </c>
    </row>
    <row r="3132" spans="2:18" x14ac:dyDescent="0.25">
      <c r="B3132" s="5" t="s">
        <v>3134</v>
      </c>
      <c r="C3132" s="5" t="s">
        <v>7274</v>
      </c>
      <c r="D3132" s="5">
        <v>740</v>
      </c>
      <c r="E3132" s="5">
        <v>84</v>
      </c>
      <c r="F3132" s="5">
        <v>364</v>
      </c>
      <c r="G3132" s="5">
        <v>570</v>
      </c>
      <c r="H3132" s="5">
        <v>240</v>
      </c>
      <c r="I3132" s="5">
        <v>240</v>
      </c>
      <c r="J3132" s="5">
        <v>0</v>
      </c>
      <c r="K3132" s="5">
        <v>352</v>
      </c>
      <c r="L3132" s="5">
        <v>240</v>
      </c>
      <c r="M3132" s="5">
        <v>0</v>
      </c>
      <c r="N3132" s="5">
        <v>251</v>
      </c>
      <c r="O3132" s="5" t="str">
        <f t="shared" ca="1" si="48"/>
        <v>Supplier 189</v>
      </c>
      <c r="P3132" s="20" t="str">
        <f ca="1">IFERROR(VLOOKUP(O3132,EMAILS!B:C,2,FALSE),"NOT FOUND IN EMAILS")</f>
        <v>supplier@gmail.com</v>
      </c>
      <c r="Q3132" t="str">
        <f ca="1">""&amp;IFERROR(VLOOKUP(O3132,EMAILS!B:D,3,FALSE),"NOT FOUND IN EMAILS")</f>
        <v/>
      </c>
      <c r="R3132" t="str">
        <f ca="1">""&amp;IFERROR(VLOOKUP(O3132,EMAILS!B:E,4,FALSE),"NO T FOUND IN EMAILS")</f>
        <v/>
      </c>
    </row>
    <row r="3133" spans="2:18" x14ac:dyDescent="0.25">
      <c r="B3133" s="5" t="s">
        <v>3135</v>
      </c>
      <c r="C3133" s="5" t="s">
        <v>7275</v>
      </c>
      <c r="D3133" s="5">
        <v>24</v>
      </c>
      <c r="E3133" s="5">
        <v>10</v>
      </c>
      <c r="F3133" s="5">
        <v>26</v>
      </c>
      <c r="G3133" s="5">
        <v>18</v>
      </c>
      <c r="H3133" s="5">
        <v>20</v>
      </c>
      <c r="I3133" s="5">
        <v>24</v>
      </c>
      <c r="J3133" s="5">
        <v>8</v>
      </c>
      <c r="K3133" s="5">
        <v>16</v>
      </c>
      <c r="L3133" s="5">
        <v>36</v>
      </c>
      <c r="M3133" s="5">
        <v>0</v>
      </c>
      <c r="N3133" s="5">
        <v>0</v>
      </c>
      <c r="O3133" s="5" t="str">
        <f t="shared" ca="1" si="48"/>
        <v>Supplier 43</v>
      </c>
      <c r="P3133" s="20" t="str">
        <f ca="1">IFERROR(VLOOKUP(O3133,EMAILS!B:C,2,FALSE),"NOT FOUND IN EMAILS")</f>
        <v>supplier@gmail.com</v>
      </c>
      <c r="Q3133" t="str">
        <f ca="1">""&amp;IFERROR(VLOOKUP(O3133,EMAILS!B:D,3,FALSE),"NOT FOUND IN EMAILS")</f>
        <v/>
      </c>
      <c r="R3133" t="str">
        <f ca="1">""&amp;IFERROR(VLOOKUP(O3133,EMAILS!B:E,4,FALSE),"NO T FOUND IN EMAILS")</f>
        <v/>
      </c>
    </row>
    <row r="3134" spans="2:18" x14ac:dyDescent="0.25">
      <c r="B3134" s="5" t="s">
        <v>3136</v>
      </c>
      <c r="C3134" s="5" t="s">
        <v>7276</v>
      </c>
      <c r="D3134" s="5">
        <v>1</v>
      </c>
      <c r="E3134" s="5">
        <v>1</v>
      </c>
      <c r="F3134" s="5">
        <v>1</v>
      </c>
      <c r="G3134" s="5">
        <v>1</v>
      </c>
      <c r="H3134" s="5">
        <v>1</v>
      </c>
      <c r="I3134" s="5">
        <v>1</v>
      </c>
      <c r="J3134" s="5">
        <v>1</v>
      </c>
      <c r="K3134" s="5">
        <v>1</v>
      </c>
      <c r="L3134" s="5">
        <v>1</v>
      </c>
      <c r="M3134" s="5">
        <v>0</v>
      </c>
      <c r="N3134" s="5">
        <v>13</v>
      </c>
      <c r="O3134" s="5" t="str">
        <f t="shared" ca="1" si="48"/>
        <v>Supplier 199</v>
      </c>
      <c r="P3134" s="20" t="str">
        <f ca="1">IFERROR(VLOOKUP(O3134,EMAILS!B:C,2,FALSE),"NOT FOUND IN EMAILS")</f>
        <v>supplier@gmail.com</v>
      </c>
      <c r="Q3134" t="str">
        <f ca="1">""&amp;IFERROR(VLOOKUP(O3134,EMAILS!B:D,3,FALSE),"NOT FOUND IN EMAILS")</f>
        <v/>
      </c>
      <c r="R3134" t="str">
        <f ca="1">""&amp;IFERROR(VLOOKUP(O3134,EMAILS!B:E,4,FALSE),"NO T FOUND IN EMAILS")</f>
        <v/>
      </c>
    </row>
    <row r="3135" spans="2:18" x14ac:dyDescent="0.25">
      <c r="B3135" s="5" t="s">
        <v>3137</v>
      </c>
      <c r="C3135" s="5" t="s">
        <v>7277</v>
      </c>
      <c r="D3135" s="5">
        <v>16</v>
      </c>
      <c r="E3135" s="5">
        <v>0</v>
      </c>
      <c r="F3135" s="5">
        <v>12</v>
      </c>
      <c r="G3135" s="5">
        <v>6</v>
      </c>
      <c r="H3135" s="5">
        <v>16</v>
      </c>
      <c r="I3135" s="5">
        <v>0</v>
      </c>
      <c r="J3135" s="5">
        <v>0</v>
      </c>
      <c r="K3135" s="5">
        <v>0</v>
      </c>
      <c r="L3135" s="5">
        <v>6</v>
      </c>
      <c r="M3135" s="5">
        <v>0</v>
      </c>
      <c r="N3135" s="5">
        <v>189</v>
      </c>
      <c r="O3135" s="5" t="str">
        <f t="shared" ca="1" si="48"/>
        <v>Supplier 59</v>
      </c>
      <c r="P3135" s="20" t="str">
        <f ca="1">IFERROR(VLOOKUP(O3135,EMAILS!B:C,2,FALSE),"NOT FOUND IN EMAILS")</f>
        <v>supplier@gmail.com</v>
      </c>
      <c r="Q3135" t="str">
        <f ca="1">""&amp;IFERROR(VLOOKUP(O3135,EMAILS!B:D,3,FALSE),"NOT FOUND IN EMAILS")</f>
        <v/>
      </c>
      <c r="R3135" t="str">
        <f ca="1">""&amp;IFERROR(VLOOKUP(O3135,EMAILS!B:E,4,FALSE),"NO T FOUND IN EMAILS")</f>
        <v/>
      </c>
    </row>
    <row r="3136" spans="2:18" x14ac:dyDescent="0.25">
      <c r="B3136" s="5" t="s">
        <v>3138</v>
      </c>
      <c r="C3136" s="5" t="s">
        <v>7278</v>
      </c>
      <c r="D3136" s="5">
        <v>55</v>
      </c>
      <c r="E3136" s="5">
        <v>25</v>
      </c>
      <c r="F3136" s="5">
        <v>35</v>
      </c>
      <c r="G3136" s="5">
        <v>29</v>
      </c>
      <c r="H3136" s="5">
        <v>28</v>
      </c>
      <c r="I3136" s="5">
        <v>35</v>
      </c>
      <c r="J3136" s="5">
        <v>69</v>
      </c>
      <c r="K3136" s="5">
        <v>42</v>
      </c>
      <c r="L3136" s="5">
        <v>9</v>
      </c>
      <c r="M3136" s="5">
        <v>0</v>
      </c>
      <c r="N3136" s="5">
        <v>148</v>
      </c>
      <c r="O3136" s="5" t="str">
        <f t="shared" ca="1" si="48"/>
        <v>Supplier 13</v>
      </c>
      <c r="P3136" s="20" t="str">
        <f ca="1">IFERROR(VLOOKUP(O3136,EMAILS!B:C,2,FALSE),"NOT FOUND IN EMAILS")</f>
        <v>supplier@gmail.com</v>
      </c>
      <c r="Q3136" t="str">
        <f ca="1">""&amp;IFERROR(VLOOKUP(O3136,EMAILS!B:D,3,FALSE),"NOT FOUND IN EMAILS")</f>
        <v>supplier_logistics@gmail.com</v>
      </c>
      <c r="R3136" t="str">
        <f ca="1">""&amp;IFERROR(VLOOKUP(O3136,EMAILS!B:E,4,FALSE),"NO T FOUND IN EMAILS")</f>
        <v/>
      </c>
    </row>
    <row r="3137" spans="2:18" x14ac:dyDescent="0.25">
      <c r="B3137" s="5" t="s">
        <v>3139</v>
      </c>
      <c r="C3137" s="5" t="s">
        <v>7279</v>
      </c>
      <c r="D3137" s="5">
        <v>9</v>
      </c>
      <c r="E3137" s="5">
        <v>10</v>
      </c>
      <c r="F3137" s="5">
        <v>30</v>
      </c>
      <c r="G3137" s="5">
        <v>30</v>
      </c>
      <c r="H3137" s="5">
        <v>13</v>
      </c>
      <c r="I3137" s="5">
        <v>30</v>
      </c>
      <c r="J3137" s="5">
        <v>69</v>
      </c>
      <c r="K3137" s="5">
        <v>35</v>
      </c>
      <c r="L3137" s="5">
        <v>0</v>
      </c>
      <c r="M3137" s="5">
        <v>0</v>
      </c>
      <c r="N3137" s="5">
        <v>293</v>
      </c>
      <c r="O3137" s="5" t="str">
        <f t="shared" ca="1" si="48"/>
        <v>Supplier 127</v>
      </c>
      <c r="P3137" s="20" t="str">
        <f ca="1">IFERROR(VLOOKUP(O3137,EMAILS!B:C,2,FALSE),"NOT FOUND IN EMAILS")</f>
        <v>supplier@gmail.com</v>
      </c>
      <c r="Q3137" t="str">
        <f ca="1">""&amp;IFERROR(VLOOKUP(O3137,EMAILS!B:D,3,FALSE),"NOT FOUND IN EMAILS")</f>
        <v/>
      </c>
      <c r="R3137" t="str">
        <f ca="1">""&amp;IFERROR(VLOOKUP(O3137,EMAILS!B:E,4,FALSE),"NO T FOUND IN EMAILS")</f>
        <v/>
      </c>
    </row>
    <row r="3138" spans="2:18" x14ac:dyDescent="0.25">
      <c r="B3138" s="5" t="s">
        <v>3140</v>
      </c>
      <c r="C3138" s="5" t="s">
        <v>7280</v>
      </c>
      <c r="D3138" s="5">
        <v>2</v>
      </c>
      <c r="E3138" s="5">
        <v>4</v>
      </c>
      <c r="F3138" s="5">
        <v>6</v>
      </c>
      <c r="G3138" s="5">
        <v>8</v>
      </c>
      <c r="H3138" s="5">
        <v>4</v>
      </c>
      <c r="I3138" s="5">
        <v>8</v>
      </c>
      <c r="J3138" s="5">
        <v>16</v>
      </c>
      <c r="K3138" s="5">
        <v>10</v>
      </c>
      <c r="L3138" s="5">
        <v>0</v>
      </c>
      <c r="M3138" s="5">
        <v>0</v>
      </c>
      <c r="N3138" s="5">
        <v>12</v>
      </c>
      <c r="O3138" s="5" t="str">
        <f t="shared" ca="1" si="48"/>
        <v>Supplier 117</v>
      </c>
      <c r="P3138" s="20" t="str">
        <f ca="1">IFERROR(VLOOKUP(O3138,EMAILS!B:C,2,FALSE),"NOT FOUND IN EMAILS")</f>
        <v>supplier@gmail.com</v>
      </c>
      <c r="Q3138" t="str">
        <f ca="1">""&amp;IFERROR(VLOOKUP(O3138,EMAILS!B:D,3,FALSE),"NOT FOUND IN EMAILS")</f>
        <v/>
      </c>
      <c r="R3138" t="str">
        <f ca="1">""&amp;IFERROR(VLOOKUP(O3138,EMAILS!B:E,4,FALSE),"NO T FOUND IN EMAILS")</f>
        <v/>
      </c>
    </row>
    <row r="3139" spans="2:18" x14ac:dyDescent="0.25">
      <c r="B3139" s="5" t="s">
        <v>3141</v>
      </c>
      <c r="C3139" s="5" t="s">
        <v>7281</v>
      </c>
      <c r="D3139" s="5">
        <v>960</v>
      </c>
      <c r="E3139" s="5">
        <v>504</v>
      </c>
      <c r="F3139" s="5">
        <v>960</v>
      </c>
      <c r="G3139" s="5">
        <v>648</v>
      </c>
      <c r="H3139" s="5">
        <v>1440</v>
      </c>
      <c r="I3139" s="5">
        <v>504</v>
      </c>
      <c r="J3139" s="5">
        <v>144</v>
      </c>
      <c r="K3139" s="5">
        <v>360</v>
      </c>
      <c r="L3139" s="5">
        <v>24</v>
      </c>
      <c r="M3139" s="5">
        <v>0</v>
      </c>
      <c r="N3139" s="5">
        <v>407</v>
      </c>
      <c r="O3139" s="5" t="str">
        <f t="shared" ref="O3139:O3202" ca="1" si="49">"Supplier "&amp;RANDBETWEEN(1,200)</f>
        <v>Supplier 66</v>
      </c>
      <c r="P3139" s="20" t="str">
        <f ca="1">IFERROR(VLOOKUP(O3139,EMAILS!B:C,2,FALSE),"NOT FOUND IN EMAILS")</f>
        <v>supplier@gmail.com</v>
      </c>
      <c r="Q3139" t="str">
        <f ca="1">""&amp;IFERROR(VLOOKUP(O3139,EMAILS!B:D,3,FALSE),"NOT FOUND IN EMAILS")</f>
        <v/>
      </c>
      <c r="R3139" t="str">
        <f ca="1">""&amp;IFERROR(VLOOKUP(O3139,EMAILS!B:E,4,FALSE),"NO T FOUND IN EMAILS")</f>
        <v/>
      </c>
    </row>
    <row r="3140" spans="2:18" x14ac:dyDescent="0.25">
      <c r="B3140" s="5" t="s">
        <v>3142</v>
      </c>
      <c r="C3140" s="5" t="s">
        <v>7282</v>
      </c>
      <c r="D3140" s="5">
        <v>12</v>
      </c>
      <c r="E3140" s="5">
        <v>16</v>
      </c>
      <c r="F3140" s="5">
        <v>16</v>
      </c>
      <c r="G3140" s="5">
        <v>16</v>
      </c>
      <c r="H3140" s="5">
        <v>16</v>
      </c>
      <c r="I3140" s="5">
        <v>22</v>
      </c>
      <c r="J3140" s="5">
        <v>16</v>
      </c>
      <c r="K3140" s="5">
        <v>16</v>
      </c>
      <c r="L3140" s="5">
        <v>16</v>
      </c>
      <c r="M3140" s="5">
        <v>0</v>
      </c>
      <c r="N3140" s="5">
        <v>4169</v>
      </c>
      <c r="O3140" s="5" t="str">
        <f t="shared" ca="1" si="49"/>
        <v>Supplier 82</v>
      </c>
      <c r="P3140" s="20" t="str">
        <f ca="1">IFERROR(VLOOKUP(O3140,EMAILS!B:C,2,FALSE),"NOT FOUND IN EMAILS")</f>
        <v>supplier@gmail.com</v>
      </c>
      <c r="Q3140" t="str">
        <f ca="1">""&amp;IFERROR(VLOOKUP(O3140,EMAILS!B:D,3,FALSE),"NOT FOUND IN EMAILS")</f>
        <v/>
      </c>
      <c r="R3140" t="str">
        <f ca="1">""&amp;IFERROR(VLOOKUP(O3140,EMAILS!B:E,4,FALSE),"NO T FOUND IN EMAILS")</f>
        <v/>
      </c>
    </row>
    <row r="3141" spans="2:18" x14ac:dyDescent="0.25">
      <c r="B3141" s="5" t="s">
        <v>3143</v>
      </c>
      <c r="C3141" s="5" t="s">
        <v>7283</v>
      </c>
      <c r="D3141" s="5">
        <v>0</v>
      </c>
      <c r="E3141" s="5">
        <v>0</v>
      </c>
      <c r="F3141" s="5">
        <v>0</v>
      </c>
      <c r="G3141" s="5">
        <v>0</v>
      </c>
      <c r="H3141" s="5">
        <v>0</v>
      </c>
      <c r="I3141" s="5">
        <v>0</v>
      </c>
      <c r="J3141" s="5">
        <v>0</v>
      </c>
      <c r="K3141" s="5">
        <v>0</v>
      </c>
      <c r="L3141" s="5">
        <v>0</v>
      </c>
      <c r="M3141" s="5">
        <v>0</v>
      </c>
      <c r="N3141" s="5">
        <v>100</v>
      </c>
      <c r="O3141" s="5" t="str">
        <f t="shared" ca="1" si="49"/>
        <v>Supplier 17</v>
      </c>
      <c r="P3141" s="20" t="str">
        <f ca="1">IFERROR(VLOOKUP(O3141,EMAILS!B:C,2,FALSE),"NOT FOUND IN EMAILS")</f>
        <v>supplier@gmail.com</v>
      </c>
      <c r="Q3141" t="str">
        <f ca="1">""&amp;IFERROR(VLOOKUP(O3141,EMAILS!B:D,3,FALSE),"NOT FOUND IN EMAILS")</f>
        <v>supplier_logistics@gmail.com</v>
      </c>
      <c r="R3141" t="str">
        <f ca="1">""&amp;IFERROR(VLOOKUP(O3141,EMAILS!B:E,4,FALSE),"NO T FOUND IN EMAILS")</f>
        <v/>
      </c>
    </row>
    <row r="3142" spans="2:18" x14ac:dyDescent="0.25">
      <c r="B3142" s="5" t="s">
        <v>3144</v>
      </c>
      <c r="C3142" s="5" t="s">
        <v>7284</v>
      </c>
      <c r="D3142" s="5">
        <v>10</v>
      </c>
      <c r="E3142" s="5">
        <v>0</v>
      </c>
      <c r="F3142" s="5">
        <v>0</v>
      </c>
      <c r="G3142" s="5">
        <v>0</v>
      </c>
      <c r="H3142" s="5">
        <v>0</v>
      </c>
      <c r="I3142" s="5">
        <v>0</v>
      </c>
      <c r="J3142" s="5">
        <v>0</v>
      </c>
      <c r="K3142" s="5">
        <v>0</v>
      </c>
      <c r="L3142" s="5">
        <v>0</v>
      </c>
      <c r="M3142" s="5">
        <v>0</v>
      </c>
      <c r="N3142" s="5">
        <v>284</v>
      </c>
      <c r="O3142" s="5" t="str">
        <f t="shared" ca="1" si="49"/>
        <v>Supplier 15</v>
      </c>
      <c r="P3142" s="20" t="str">
        <f ca="1">IFERROR(VLOOKUP(O3142,EMAILS!B:C,2,FALSE),"NOT FOUND IN EMAILS")</f>
        <v>supplier@gmail.com</v>
      </c>
      <c r="Q3142" t="str">
        <f ca="1">""&amp;IFERROR(VLOOKUP(O3142,EMAILS!B:D,3,FALSE),"NOT FOUND IN EMAILS")</f>
        <v>supplier_logistics@gmail.com</v>
      </c>
      <c r="R3142" t="str">
        <f ca="1">""&amp;IFERROR(VLOOKUP(O3142,EMAILS!B:E,4,FALSE),"NO T FOUND IN EMAILS")</f>
        <v/>
      </c>
    </row>
    <row r="3143" spans="2:18" x14ac:dyDescent="0.25">
      <c r="B3143" s="5" t="s">
        <v>3145</v>
      </c>
      <c r="C3143" s="5" t="s">
        <v>7285</v>
      </c>
      <c r="D3143" s="5">
        <v>60</v>
      </c>
      <c r="E3143" s="5">
        <v>64</v>
      </c>
      <c r="F3143" s="5">
        <v>84</v>
      </c>
      <c r="G3143" s="5">
        <v>84</v>
      </c>
      <c r="H3143" s="5">
        <v>64</v>
      </c>
      <c r="I3143" s="5">
        <v>64</v>
      </c>
      <c r="J3143" s="5">
        <v>84</v>
      </c>
      <c r="K3143" s="5">
        <v>84</v>
      </c>
      <c r="L3143" s="5">
        <v>24</v>
      </c>
      <c r="M3143" s="5">
        <v>0</v>
      </c>
      <c r="N3143" s="5">
        <v>42</v>
      </c>
      <c r="O3143" s="5" t="str">
        <f t="shared" ca="1" si="49"/>
        <v>Supplier 14</v>
      </c>
      <c r="P3143" s="20" t="str">
        <f ca="1">IFERROR(VLOOKUP(O3143,EMAILS!B:C,2,FALSE),"NOT FOUND IN EMAILS")</f>
        <v>supplier@gmail.com</v>
      </c>
      <c r="Q3143" t="str">
        <f ca="1">""&amp;IFERROR(VLOOKUP(O3143,EMAILS!B:D,3,FALSE),"NOT FOUND IN EMAILS")</f>
        <v>supplier_logistics@gmail.com</v>
      </c>
      <c r="R3143" t="str">
        <f ca="1">""&amp;IFERROR(VLOOKUP(O3143,EMAILS!B:E,4,FALSE),"NO T FOUND IN EMAILS")</f>
        <v/>
      </c>
    </row>
    <row r="3144" spans="2:18" x14ac:dyDescent="0.25">
      <c r="B3144" s="5" t="s">
        <v>3146</v>
      </c>
      <c r="C3144" s="5" t="s">
        <v>7286</v>
      </c>
      <c r="D3144" s="5">
        <v>8</v>
      </c>
      <c r="E3144" s="5">
        <v>14</v>
      </c>
      <c r="F3144" s="5">
        <v>2</v>
      </c>
      <c r="G3144" s="5">
        <v>2</v>
      </c>
      <c r="H3144" s="5">
        <v>0</v>
      </c>
      <c r="I3144" s="5">
        <v>0</v>
      </c>
      <c r="J3144" s="5">
        <v>0</v>
      </c>
      <c r="K3144" s="5">
        <v>0</v>
      </c>
      <c r="L3144" s="5">
        <v>0</v>
      </c>
      <c r="M3144" s="5">
        <v>0</v>
      </c>
      <c r="N3144" s="5">
        <v>0</v>
      </c>
      <c r="O3144" s="5" t="str">
        <f t="shared" ca="1" si="49"/>
        <v>Supplier 9</v>
      </c>
      <c r="P3144" s="20" t="str">
        <f ca="1">IFERROR(VLOOKUP(O3144,EMAILS!B:C,2,FALSE),"NOT FOUND IN EMAILS")</f>
        <v>supplier@gmail.com</v>
      </c>
      <c r="Q3144" t="str">
        <f ca="1">""&amp;IFERROR(VLOOKUP(O3144,EMAILS!B:D,3,FALSE),"NOT FOUND IN EMAILS")</f>
        <v>supplier_logistics@gmail.com</v>
      </c>
      <c r="R3144" t="str">
        <f ca="1">""&amp;IFERROR(VLOOKUP(O3144,EMAILS!B:E,4,FALSE),"NO T FOUND IN EMAILS")</f>
        <v/>
      </c>
    </row>
    <row r="3145" spans="2:18" x14ac:dyDescent="0.25">
      <c r="B3145" s="5" t="s">
        <v>3147</v>
      </c>
      <c r="C3145" s="5" t="s">
        <v>7287</v>
      </c>
      <c r="D3145" s="5">
        <v>0</v>
      </c>
      <c r="E3145" s="5">
        <v>0</v>
      </c>
      <c r="F3145" s="5">
        <v>0</v>
      </c>
      <c r="G3145" s="5">
        <v>0</v>
      </c>
      <c r="H3145" s="5">
        <v>0</v>
      </c>
      <c r="I3145" s="5">
        <v>0</v>
      </c>
      <c r="J3145" s="5">
        <v>0</v>
      </c>
      <c r="K3145" s="5">
        <v>0</v>
      </c>
      <c r="L3145" s="5">
        <v>0</v>
      </c>
      <c r="M3145" s="5">
        <v>0</v>
      </c>
      <c r="N3145" s="5">
        <v>0</v>
      </c>
      <c r="O3145" s="5" t="str">
        <f t="shared" ca="1" si="49"/>
        <v>Supplier 26</v>
      </c>
      <c r="P3145" s="20" t="str">
        <f ca="1">IFERROR(VLOOKUP(O3145,EMAILS!B:C,2,FALSE),"NOT FOUND IN EMAILS")</f>
        <v>supplier@gmail.com</v>
      </c>
      <c r="Q3145" t="str">
        <f ca="1">""&amp;IFERROR(VLOOKUP(O3145,EMAILS!B:D,3,FALSE),"NOT FOUND IN EMAILS")</f>
        <v/>
      </c>
      <c r="R3145" t="str">
        <f ca="1">""&amp;IFERROR(VLOOKUP(O3145,EMAILS!B:E,4,FALSE),"NO T FOUND IN EMAILS")</f>
        <v/>
      </c>
    </row>
    <row r="3146" spans="2:18" x14ac:dyDescent="0.25">
      <c r="B3146" s="5" t="s">
        <v>3148</v>
      </c>
      <c r="C3146" s="5" t="s">
        <v>7288</v>
      </c>
      <c r="D3146" s="5">
        <v>2205</v>
      </c>
      <c r="E3146" s="5">
        <v>1545</v>
      </c>
      <c r="F3146" s="5">
        <v>2595</v>
      </c>
      <c r="G3146" s="5">
        <v>2880</v>
      </c>
      <c r="H3146" s="5">
        <v>2250</v>
      </c>
      <c r="I3146" s="5">
        <v>2370</v>
      </c>
      <c r="J3146" s="5">
        <v>2760</v>
      </c>
      <c r="K3146" s="5">
        <v>2690</v>
      </c>
      <c r="L3146" s="5">
        <v>2535</v>
      </c>
      <c r="M3146" s="5">
        <v>0</v>
      </c>
      <c r="N3146" s="5">
        <v>40</v>
      </c>
      <c r="O3146" s="5" t="str">
        <f t="shared" ca="1" si="49"/>
        <v>Supplier 37</v>
      </c>
      <c r="P3146" s="20" t="str">
        <f ca="1">IFERROR(VLOOKUP(O3146,EMAILS!B:C,2,FALSE),"NOT FOUND IN EMAILS")</f>
        <v>supplier@gmail.com</v>
      </c>
      <c r="Q3146" t="str">
        <f ca="1">""&amp;IFERROR(VLOOKUP(O3146,EMAILS!B:D,3,FALSE),"NOT FOUND IN EMAILS")</f>
        <v/>
      </c>
      <c r="R3146" t="str">
        <f ca="1">""&amp;IFERROR(VLOOKUP(O3146,EMAILS!B:E,4,FALSE),"NO T FOUND IN EMAILS")</f>
        <v/>
      </c>
    </row>
    <row r="3147" spans="2:18" x14ac:dyDescent="0.25">
      <c r="B3147" s="5" t="s">
        <v>3149</v>
      </c>
      <c r="C3147" s="5" t="s">
        <v>7289</v>
      </c>
      <c r="D3147" s="5">
        <v>0</v>
      </c>
      <c r="E3147" s="5">
        <v>0</v>
      </c>
      <c r="F3147" s="5">
        <v>0</v>
      </c>
      <c r="G3147" s="5">
        <v>0</v>
      </c>
      <c r="H3147" s="5">
        <v>10</v>
      </c>
      <c r="I3147" s="5">
        <v>0</v>
      </c>
      <c r="J3147" s="5">
        <v>0</v>
      </c>
      <c r="K3147" s="5">
        <v>0</v>
      </c>
      <c r="L3147" s="5">
        <v>0</v>
      </c>
      <c r="M3147" s="5">
        <v>0</v>
      </c>
      <c r="N3147" s="5">
        <v>199</v>
      </c>
      <c r="O3147" s="5" t="str">
        <f t="shared" ca="1" si="49"/>
        <v>Supplier 147</v>
      </c>
      <c r="P3147" s="20" t="str">
        <f ca="1">IFERROR(VLOOKUP(O3147,EMAILS!B:C,2,FALSE),"NOT FOUND IN EMAILS")</f>
        <v>supplier@gmail.com</v>
      </c>
      <c r="Q3147" t="str">
        <f ca="1">""&amp;IFERROR(VLOOKUP(O3147,EMAILS!B:D,3,FALSE),"NOT FOUND IN EMAILS")</f>
        <v/>
      </c>
      <c r="R3147" t="str">
        <f ca="1">""&amp;IFERROR(VLOOKUP(O3147,EMAILS!B:E,4,FALSE),"NO T FOUND IN EMAILS")</f>
        <v/>
      </c>
    </row>
    <row r="3148" spans="2:18" x14ac:dyDescent="0.25">
      <c r="B3148" s="5" t="s">
        <v>3150</v>
      </c>
      <c r="C3148" s="5" t="s">
        <v>7290</v>
      </c>
      <c r="D3148" s="5">
        <v>1</v>
      </c>
      <c r="E3148" s="5">
        <v>0</v>
      </c>
      <c r="F3148" s="5">
        <v>1</v>
      </c>
      <c r="G3148" s="5">
        <v>1</v>
      </c>
      <c r="H3148" s="5">
        <v>2</v>
      </c>
      <c r="I3148" s="5">
        <v>0</v>
      </c>
      <c r="J3148" s="5">
        <v>0</v>
      </c>
      <c r="K3148" s="5">
        <v>0</v>
      </c>
      <c r="L3148" s="5">
        <v>1</v>
      </c>
      <c r="M3148" s="5">
        <v>0</v>
      </c>
      <c r="N3148" s="5">
        <v>962</v>
      </c>
      <c r="O3148" s="5" t="str">
        <f t="shared" ca="1" si="49"/>
        <v>Supplier 120</v>
      </c>
      <c r="P3148" s="20" t="str">
        <f ca="1">IFERROR(VLOOKUP(O3148,EMAILS!B:C,2,FALSE),"NOT FOUND IN EMAILS")</f>
        <v>supplier@gmail.com</v>
      </c>
      <c r="Q3148" t="str">
        <f ca="1">""&amp;IFERROR(VLOOKUP(O3148,EMAILS!B:D,3,FALSE),"NOT FOUND IN EMAILS")</f>
        <v/>
      </c>
      <c r="R3148" t="str">
        <f ca="1">""&amp;IFERROR(VLOOKUP(O3148,EMAILS!B:E,4,FALSE),"NO T FOUND IN EMAILS")</f>
        <v/>
      </c>
    </row>
    <row r="3149" spans="2:18" x14ac:dyDescent="0.25">
      <c r="B3149" s="5" t="s">
        <v>3151</v>
      </c>
      <c r="C3149" s="5" t="s">
        <v>7291</v>
      </c>
      <c r="D3149" s="5">
        <v>0</v>
      </c>
      <c r="E3149" s="5">
        <v>0</v>
      </c>
      <c r="F3149" s="5">
        <v>0</v>
      </c>
      <c r="G3149" s="5">
        <v>0</v>
      </c>
      <c r="H3149" s="5">
        <v>0</v>
      </c>
      <c r="I3149" s="5">
        <v>0</v>
      </c>
      <c r="J3149" s="5">
        <v>0</v>
      </c>
      <c r="K3149" s="5">
        <v>0</v>
      </c>
      <c r="L3149" s="5">
        <v>0</v>
      </c>
      <c r="M3149" s="5">
        <v>0</v>
      </c>
      <c r="N3149" s="5">
        <v>0</v>
      </c>
      <c r="O3149" s="5" t="str">
        <f t="shared" ca="1" si="49"/>
        <v>Supplier 47</v>
      </c>
      <c r="P3149" s="20" t="str">
        <f ca="1">IFERROR(VLOOKUP(O3149,EMAILS!B:C,2,FALSE),"NOT FOUND IN EMAILS")</f>
        <v>supplier@gmail.com</v>
      </c>
      <c r="Q3149" t="str">
        <f ca="1">""&amp;IFERROR(VLOOKUP(O3149,EMAILS!B:D,3,FALSE),"NOT FOUND IN EMAILS")</f>
        <v/>
      </c>
      <c r="R3149" t="str">
        <f ca="1">""&amp;IFERROR(VLOOKUP(O3149,EMAILS!B:E,4,FALSE),"NO T FOUND IN EMAILS")</f>
        <v/>
      </c>
    </row>
    <row r="3150" spans="2:18" x14ac:dyDescent="0.25">
      <c r="B3150" s="5" t="s">
        <v>3152</v>
      </c>
      <c r="C3150" s="5" t="s">
        <v>7292</v>
      </c>
      <c r="D3150" s="5">
        <v>1200</v>
      </c>
      <c r="E3150" s="5">
        <v>1200</v>
      </c>
      <c r="F3150" s="5">
        <v>1200</v>
      </c>
      <c r="G3150" s="5">
        <v>1200</v>
      </c>
      <c r="H3150" s="5">
        <v>1200</v>
      </c>
      <c r="I3150" s="5">
        <v>1200</v>
      </c>
      <c r="J3150" s="5">
        <v>840</v>
      </c>
      <c r="K3150" s="5">
        <v>840</v>
      </c>
      <c r="L3150" s="5">
        <v>840</v>
      </c>
      <c r="M3150" s="5">
        <v>0</v>
      </c>
      <c r="N3150" s="5">
        <v>0</v>
      </c>
      <c r="O3150" s="5" t="str">
        <f t="shared" ca="1" si="49"/>
        <v>Supplier 112</v>
      </c>
      <c r="P3150" s="20" t="str">
        <f ca="1">IFERROR(VLOOKUP(O3150,EMAILS!B:C,2,FALSE),"NOT FOUND IN EMAILS")</f>
        <v>supplier@gmail.com</v>
      </c>
      <c r="Q3150" t="str">
        <f ca="1">""&amp;IFERROR(VLOOKUP(O3150,EMAILS!B:D,3,FALSE),"NOT FOUND IN EMAILS")</f>
        <v/>
      </c>
      <c r="R3150" t="str">
        <f ca="1">""&amp;IFERROR(VLOOKUP(O3150,EMAILS!B:E,4,FALSE),"NO T FOUND IN EMAILS")</f>
        <v/>
      </c>
    </row>
    <row r="3151" spans="2:18" x14ac:dyDescent="0.25">
      <c r="B3151" s="5" t="s">
        <v>3153</v>
      </c>
      <c r="C3151" s="5" t="s">
        <v>7293</v>
      </c>
      <c r="D3151" s="5">
        <v>1040</v>
      </c>
      <c r="E3151" s="5">
        <v>738</v>
      </c>
      <c r="F3151" s="5">
        <v>860</v>
      </c>
      <c r="G3151" s="5">
        <v>700</v>
      </c>
      <c r="H3151" s="5">
        <v>56</v>
      </c>
      <c r="I3151" s="5">
        <v>384</v>
      </c>
      <c r="J3151" s="5">
        <v>536</v>
      </c>
      <c r="K3151" s="5">
        <v>0</v>
      </c>
      <c r="L3151" s="5">
        <v>440</v>
      </c>
      <c r="M3151" s="5">
        <v>0</v>
      </c>
      <c r="N3151" s="5">
        <v>316</v>
      </c>
      <c r="O3151" s="5" t="str">
        <f t="shared" ca="1" si="49"/>
        <v>Supplier 134</v>
      </c>
      <c r="P3151" s="20" t="str">
        <f ca="1">IFERROR(VLOOKUP(O3151,EMAILS!B:C,2,FALSE),"NOT FOUND IN EMAILS")</f>
        <v>supplier@gmail.com</v>
      </c>
      <c r="Q3151" t="str">
        <f ca="1">""&amp;IFERROR(VLOOKUP(O3151,EMAILS!B:D,3,FALSE),"NOT FOUND IN EMAILS")</f>
        <v/>
      </c>
      <c r="R3151" t="str">
        <f ca="1">""&amp;IFERROR(VLOOKUP(O3151,EMAILS!B:E,4,FALSE),"NO T FOUND IN EMAILS")</f>
        <v/>
      </c>
    </row>
    <row r="3152" spans="2:18" x14ac:dyDescent="0.25">
      <c r="B3152" s="5" t="s">
        <v>3154</v>
      </c>
      <c r="C3152" s="5" t="s">
        <v>7294</v>
      </c>
      <c r="D3152" s="5">
        <v>80</v>
      </c>
      <c r="E3152" s="5">
        <v>92</v>
      </c>
      <c r="F3152" s="5">
        <v>120</v>
      </c>
      <c r="G3152" s="5">
        <v>88</v>
      </c>
      <c r="H3152" s="5">
        <v>80</v>
      </c>
      <c r="I3152" s="5">
        <v>64</v>
      </c>
      <c r="J3152" s="5">
        <v>64</v>
      </c>
      <c r="K3152" s="5">
        <v>60</v>
      </c>
      <c r="L3152" s="5">
        <v>64</v>
      </c>
      <c r="M3152" s="5">
        <v>0</v>
      </c>
      <c r="N3152" s="5">
        <v>223</v>
      </c>
      <c r="O3152" s="5" t="str">
        <f t="shared" ca="1" si="49"/>
        <v>Supplier 104</v>
      </c>
      <c r="P3152" s="20" t="str">
        <f ca="1">IFERROR(VLOOKUP(O3152,EMAILS!B:C,2,FALSE),"NOT FOUND IN EMAILS")</f>
        <v>supplier@gmail.com</v>
      </c>
      <c r="Q3152" t="str">
        <f ca="1">""&amp;IFERROR(VLOOKUP(O3152,EMAILS!B:D,3,FALSE),"NOT FOUND IN EMAILS")</f>
        <v/>
      </c>
      <c r="R3152" t="str">
        <f ca="1">""&amp;IFERROR(VLOOKUP(O3152,EMAILS!B:E,4,FALSE),"NO T FOUND IN EMAILS")</f>
        <v/>
      </c>
    </row>
    <row r="3153" spans="2:18" x14ac:dyDescent="0.25">
      <c r="B3153" s="5" t="s">
        <v>3155</v>
      </c>
      <c r="C3153" s="5" t="s">
        <v>7295</v>
      </c>
      <c r="D3153" s="5">
        <v>40</v>
      </c>
      <c r="E3153" s="5">
        <v>46</v>
      </c>
      <c r="F3153" s="5">
        <v>60</v>
      </c>
      <c r="G3153" s="5">
        <v>44</v>
      </c>
      <c r="H3153" s="5">
        <v>40</v>
      </c>
      <c r="I3153" s="5">
        <v>32</v>
      </c>
      <c r="J3153" s="5">
        <v>32</v>
      </c>
      <c r="K3153" s="5">
        <v>30</v>
      </c>
      <c r="L3153" s="5">
        <v>32</v>
      </c>
      <c r="M3153" s="5">
        <v>0</v>
      </c>
      <c r="N3153" s="5">
        <v>558</v>
      </c>
      <c r="O3153" s="5" t="str">
        <f t="shared" ca="1" si="49"/>
        <v>Supplier 43</v>
      </c>
      <c r="P3153" s="20" t="str">
        <f ca="1">IFERROR(VLOOKUP(O3153,EMAILS!B:C,2,FALSE),"NOT FOUND IN EMAILS")</f>
        <v>supplier@gmail.com</v>
      </c>
      <c r="Q3153" t="str">
        <f ca="1">""&amp;IFERROR(VLOOKUP(O3153,EMAILS!B:D,3,FALSE),"NOT FOUND IN EMAILS")</f>
        <v/>
      </c>
      <c r="R3153" t="str">
        <f ca="1">""&amp;IFERROR(VLOOKUP(O3153,EMAILS!B:E,4,FALSE),"NO T FOUND IN EMAILS")</f>
        <v/>
      </c>
    </row>
    <row r="3154" spans="2:18" x14ac:dyDescent="0.25">
      <c r="B3154" s="5" t="s">
        <v>3156</v>
      </c>
      <c r="C3154" s="5" t="s">
        <v>7296</v>
      </c>
      <c r="D3154" s="5">
        <v>76</v>
      </c>
      <c r="E3154" s="5">
        <v>62</v>
      </c>
      <c r="F3154" s="5">
        <v>86</v>
      </c>
      <c r="G3154" s="5">
        <v>86</v>
      </c>
      <c r="H3154" s="5">
        <v>30</v>
      </c>
      <c r="I3154" s="5">
        <v>44</v>
      </c>
      <c r="J3154" s="5">
        <v>40</v>
      </c>
      <c r="K3154" s="5">
        <v>42</v>
      </c>
      <c r="L3154" s="5">
        <v>32</v>
      </c>
      <c r="M3154" s="5">
        <v>0</v>
      </c>
      <c r="N3154" s="5">
        <v>0</v>
      </c>
      <c r="O3154" s="5" t="str">
        <f t="shared" ca="1" si="49"/>
        <v>Supplier 130</v>
      </c>
      <c r="P3154" s="20" t="str">
        <f ca="1">IFERROR(VLOOKUP(O3154,EMAILS!B:C,2,FALSE),"NOT FOUND IN EMAILS")</f>
        <v>supplier@gmail.com</v>
      </c>
      <c r="Q3154" t="str">
        <f ca="1">""&amp;IFERROR(VLOOKUP(O3154,EMAILS!B:D,3,FALSE),"NOT FOUND IN EMAILS")</f>
        <v/>
      </c>
      <c r="R3154" t="str">
        <f ca="1">""&amp;IFERROR(VLOOKUP(O3154,EMAILS!B:E,4,FALSE),"NO T FOUND IN EMAILS")</f>
        <v/>
      </c>
    </row>
    <row r="3155" spans="2:18" x14ac:dyDescent="0.25">
      <c r="B3155" s="5" t="s">
        <v>3157</v>
      </c>
      <c r="C3155" s="5" t="s">
        <v>7297</v>
      </c>
      <c r="D3155" s="5">
        <v>380</v>
      </c>
      <c r="E3155" s="5">
        <v>258</v>
      </c>
      <c r="F3155" s="5">
        <v>354</v>
      </c>
      <c r="G3155" s="5">
        <v>354</v>
      </c>
      <c r="H3155" s="5">
        <v>150</v>
      </c>
      <c r="I3155" s="5">
        <v>200</v>
      </c>
      <c r="J3155" s="5">
        <v>180</v>
      </c>
      <c r="K3155" s="5">
        <v>194</v>
      </c>
      <c r="L3155" s="5">
        <v>156</v>
      </c>
      <c r="M3155" s="5">
        <v>0</v>
      </c>
      <c r="N3155" s="5">
        <v>0</v>
      </c>
      <c r="O3155" s="5" t="str">
        <f t="shared" ca="1" si="49"/>
        <v>Supplier 193</v>
      </c>
      <c r="P3155" s="20" t="str">
        <f ca="1">IFERROR(VLOOKUP(O3155,EMAILS!B:C,2,FALSE),"NOT FOUND IN EMAILS")</f>
        <v>supplier@gmail.com</v>
      </c>
      <c r="Q3155" t="str">
        <f ca="1">""&amp;IFERROR(VLOOKUP(O3155,EMAILS!B:D,3,FALSE),"NOT FOUND IN EMAILS")</f>
        <v/>
      </c>
      <c r="R3155" t="str">
        <f ca="1">""&amp;IFERROR(VLOOKUP(O3155,EMAILS!B:E,4,FALSE),"NO T FOUND IN EMAILS")</f>
        <v/>
      </c>
    </row>
    <row r="3156" spans="2:18" x14ac:dyDescent="0.25">
      <c r="B3156" s="5" t="s">
        <v>3158</v>
      </c>
      <c r="C3156" s="5" t="s">
        <v>7298</v>
      </c>
      <c r="D3156" s="5">
        <v>76</v>
      </c>
      <c r="E3156" s="5">
        <v>62</v>
      </c>
      <c r="F3156" s="5">
        <v>86</v>
      </c>
      <c r="G3156" s="5">
        <v>86</v>
      </c>
      <c r="H3156" s="5">
        <v>30</v>
      </c>
      <c r="I3156" s="5">
        <v>44</v>
      </c>
      <c r="J3156" s="5">
        <v>40</v>
      </c>
      <c r="K3156" s="5">
        <v>42</v>
      </c>
      <c r="L3156" s="5">
        <v>32</v>
      </c>
      <c r="M3156" s="5">
        <v>0</v>
      </c>
      <c r="N3156" s="5">
        <v>0</v>
      </c>
      <c r="O3156" s="5" t="str">
        <f t="shared" ca="1" si="49"/>
        <v>Supplier 120</v>
      </c>
      <c r="P3156" s="20" t="str">
        <f ca="1">IFERROR(VLOOKUP(O3156,EMAILS!B:C,2,FALSE),"NOT FOUND IN EMAILS")</f>
        <v>supplier@gmail.com</v>
      </c>
      <c r="Q3156" t="str">
        <f ca="1">""&amp;IFERROR(VLOOKUP(O3156,EMAILS!B:D,3,FALSE),"NOT FOUND IN EMAILS")</f>
        <v/>
      </c>
      <c r="R3156" t="str">
        <f ca="1">""&amp;IFERROR(VLOOKUP(O3156,EMAILS!B:E,4,FALSE),"NO T FOUND IN EMAILS")</f>
        <v/>
      </c>
    </row>
    <row r="3157" spans="2:18" x14ac:dyDescent="0.25">
      <c r="B3157" s="5" t="s">
        <v>3159</v>
      </c>
      <c r="C3157" s="5" t="s">
        <v>7299</v>
      </c>
      <c r="D3157" s="5">
        <v>76</v>
      </c>
      <c r="E3157" s="5">
        <v>62</v>
      </c>
      <c r="F3157" s="5">
        <v>86</v>
      </c>
      <c r="G3157" s="5">
        <v>86</v>
      </c>
      <c r="H3157" s="5">
        <v>30</v>
      </c>
      <c r="I3157" s="5">
        <v>44</v>
      </c>
      <c r="J3157" s="5">
        <v>40</v>
      </c>
      <c r="K3157" s="5">
        <v>42</v>
      </c>
      <c r="L3157" s="5">
        <v>32</v>
      </c>
      <c r="M3157" s="5">
        <v>0</v>
      </c>
      <c r="N3157" s="5">
        <v>0</v>
      </c>
      <c r="O3157" s="5" t="str">
        <f t="shared" ca="1" si="49"/>
        <v>Supplier 90</v>
      </c>
      <c r="P3157" s="20" t="str">
        <f ca="1">IFERROR(VLOOKUP(O3157,EMAILS!B:C,2,FALSE),"NOT FOUND IN EMAILS")</f>
        <v>supplier@gmail.com</v>
      </c>
      <c r="Q3157" t="str">
        <f ca="1">""&amp;IFERROR(VLOOKUP(O3157,EMAILS!B:D,3,FALSE),"NOT FOUND IN EMAILS")</f>
        <v/>
      </c>
      <c r="R3157" t="str">
        <f ca="1">""&amp;IFERROR(VLOOKUP(O3157,EMAILS!B:E,4,FALSE),"NO T FOUND IN EMAILS")</f>
        <v/>
      </c>
    </row>
    <row r="3158" spans="2:18" x14ac:dyDescent="0.25">
      <c r="B3158" s="5" t="s">
        <v>3160</v>
      </c>
      <c r="C3158" s="5" t="s">
        <v>7300</v>
      </c>
      <c r="D3158" s="5">
        <v>304</v>
      </c>
      <c r="E3158" s="5">
        <v>248</v>
      </c>
      <c r="F3158" s="5">
        <v>344</v>
      </c>
      <c r="G3158" s="5">
        <v>344</v>
      </c>
      <c r="H3158" s="5">
        <v>120</v>
      </c>
      <c r="I3158" s="5">
        <v>176</v>
      </c>
      <c r="J3158" s="5">
        <v>160</v>
      </c>
      <c r="K3158" s="5">
        <v>168</v>
      </c>
      <c r="L3158" s="5">
        <v>128</v>
      </c>
      <c r="M3158" s="5">
        <v>0</v>
      </c>
      <c r="N3158" s="5">
        <v>0</v>
      </c>
      <c r="O3158" s="5" t="str">
        <f t="shared" ca="1" si="49"/>
        <v>Supplier 46</v>
      </c>
      <c r="P3158" s="20" t="str">
        <f ca="1">IFERROR(VLOOKUP(O3158,EMAILS!B:C,2,FALSE),"NOT FOUND IN EMAILS")</f>
        <v>supplier@gmail.com</v>
      </c>
      <c r="Q3158" t="str">
        <f ca="1">""&amp;IFERROR(VLOOKUP(O3158,EMAILS!B:D,3,FALSE),"NOT FOUND IN EMAILS")</f>
        <v/>
      </c>
      <c r="R3158" t="str">
        <f ca="1">""&amp;IFERROR(VLOOKUP(O3158,EMAILS!B:E,4,FALSE),"NO T FOUND IN EMAILS")</f>
        <v/>
      </c>
    </row>
    <row r="3159" spans="2:18" x14ac:dyDescent="0.25">
      <c r="B3159" s="5" t="s">
        <v>3161</v>
      </c>
      <c r="C3159" s="5" t="s">
        <v>7301</v>
      </c>
      <c r="D3159" s="5">
        <v>228</v>
      </c>
      <c r="E3159" s="5">
        <v>186</v>
      </c>
      <c r="F3159" s="5">
        <v>258</v>
      </c>
      <c r="G3159" s="5">
        <v>258</v>
      </c>
      <c r="H3159" s="5">
        <v>90</v>
      </c>
      <c r="I3159" s="5">
        <v>132</v>
      </c>
      <c r="J3159" s="5">
        <v>120</v>
      </c>
      <c r="K3159" s="5">
        <v>126</v>
      </c>
      <c r="L3159" s="5">
        <v>96</v>
      </c>
      <c r="M3159" s="5">
        <v>0</v>
      </c>
      <c r="N3159" s="5">
        <v>0</v>
      </c>
      <c r="O3159" s="5" t="str">
        <f t="shared" ca="1" si="49"/>
        <v>Supplier 188</v>
      </c>
      <c r="P3159" s="20" t="str">
        <f ca="1">IFERROR(VLOOKUP(O3159,EMAILS!B:C,2,FALSE),"NOT FOUND IN EMAILS")</f>
        <v>supplier@gmail.com</v>
      </c>
      <c r="Q3159" t="str">
        <f ca="1">""&amp;IFERROR(VLOOKUP(O3159,EMAILS!B:D,3,FALSE),"NOT FOUND IN EMAILS")</f>
        <v/>
      </c>
      <c r="R3159" t="str">
        <f ca="1">""&amp;IFERROR(VLOOKUP(O3159,EMAILS!B:E,4,FALSE),"NO T FOUND IN EMAILS")</f>
        <v/>
      </c>
    </row>
    <row r="3160" spans="2:18" x14ac:dyDescent="0.25">
      <c r="B3160" s="5" t="s">
        <v>3162</v>
      </c>
      <c r="C3160" s="5" t="s">
        <v>7302</v>
      </c>
      <c r="D3160" s="5">
        <v>76</v>
      </c>
      <c r="E3160" s="5">
        <v>62</v>
      </c>
      <c r="F3160" s="5">
        <v>86</v>
      </c>
      <c r="G3160" s="5">
        <v>86</v>
      </c>
      <c r="H3160" s="5">
        <v>30</v>
      </c>
      <c r="I3160" s="5">
        <v>44</v>
      </c>
      <c r="J3160" s="5">
        <v>40</v>
      </c>
      <c r="K3160" s="5">
        <v>42</v>
      </c>
      <c r="L3160" s="5">
        <v>32</v>
      </c>
      <c r="M3160" s="5">
        <v>0</v>
      </c>
      <c r="N3160" s="5">
        <v>0</v>
      </c>
      <c r="O3160" s="5" t="str">
        <f t="shared" ca="1" si="49"/>
        <v>Supplier 17</v>
      </c>
      <c r="P3160" s="20" t="str">
        <f ca="1">IFERROR(VLOOKUP(O3160,EMAILS!B:C,2,FALSE),"NOT FOUND IN EMAILS")</f>
        <v>supplier@gmail.com</v>
      </c>
      <c r="Q3160" t="str">
        <f ca="1">""&amp;IFERROR(VLOOKUP(O3160,EMAILS!B:D,3,FALSE),"NOT FOUND IN EMAILS")</f>
        <v>supplier_logistics@gmail.com</v>
      </c>
      <c r="R3160" t="str">
        <f ca="1">""&amp;IFERROR(VLOOKUP(O3160,EMAILS!B:E,4,FALSE),"NO T FOUND IN EMAILS")</f>
        <v/>
      </c>
    </row>
    <row r="3161" spans="2:18" x14ac:dyDescent="0.25">
      <c r="B3161" s="5" t="s">
        <v>3163</v>
      </c>
      <c r="C3161" s="5" t="s">
        <v>7303</v>
      </c>
      <c r="D3161" s="5">
        <v>76</v>
      </c>
      <c r="E3161" s="5">
        <v>62</v>
      </c>
      <c r="F3161" s="5">
        <v>86</v>
      </c>
      <c r="G3161" s="5">
        <v>86</v>
      </c>
      <c r="H3161" s="5">
        <v>30</v>
      </c>
      <c r="I3161" s="5">
        <v>44</v>
      </c>
      <c r="J3161" s="5">
        <v>40</v>
      </c>
      <c r="K3161" s="5">
        <v>42</v>
      </c>
      <c r="L3161" s="5">
        <v>32</v>
      </c>
      <c r="M3161" s="5">
        <v>0</v>
      </c>
      <c r="N3161" s="5">
        <v>0</v>
      </c>
      <c r="O3161" s="5" t="str">
        <f t="shared" ca="1" si="49"/>
        <v>Supplier 149</v>
      </c>
      <c r="P3161" s="20" t="str">
        <f ca="1">IFERROR(VLOOKUP(O3161,EMAILS!B:C,2,FALSE),"NOT FOUND IN EMAILS")</f>
        <v>supplier@gmail.com</v>
      </c>
      <c r="Q3161" t="str">
        <f ca="1">""&amp;IFERROR(VLOOKUP(O3161,EMAILS!B:D,3,FALSE),"NOT FOUND IN EMAILS")</f>
        <v/>
      </c>
      <c r="R3161" t="str">
        <f ca="1">""&amp;IFERROR(VLOOKUP(O3161,EMAILS!B:E,4,FALSE),"NO T FOUND IN EMAILS")</f>
        <v/>
      </c>
    </row>
    <row r="3162" spans="2:18" x14ac:dyDescent="0.25">
      <c r="B3162" s="5" t="s">
        <v>3164</v>
      </c>
      <c r="C3162" s="5" t="s">
        <v>7304</v>
      </c>
      <c r="D3162" s="5">
        <v>76</v>
      </c>
      <c r="E3162" s="5">
        <v>62</v>
      </c>
      <c r="F3162" s="5">
        <v>86</v>
      </c>
      <c r="G3162" s="5">
        <v>86</v>
      </c>
      <c r="H3162" s="5">
        <v>30</v>
      </c>
      <c r="I3162" s="5">
        <v>44</v>
      </c>
      <c r="J3162" s="5">
        <v>40</v>
      </c>
      <c r="K3162" s="5">
        <v>42</v>
      </c>
      <c r="L3162" s="5">
        <v>32</v>
      </c>
      <c r="M3162" s="5">
        <v>0</v>
      </c>
      <c r="N3162" s="5">
        <v>0</v>
      </c>
      <c r="O3162" s="5" t="str">
        <f t="shared" ca="1" si="49"/>
        <v>Supplier 130</v>
      </c>
      <c r="P3162" s="20" t="str">
        <f ca="1">IFERROR(VLOOKUP(O3162,EMAILS!B:C,2,FALSE),"NOT FOUND IN EMAILS")</f>
        <v>supplier@gmail.com</v>
      </c>
      <c r="Q3162" t="str">
        <f ca="1">""&amp;IFERROR(VLOOKUP(O3162,EMAILS!B:D,3,FALSE),"NOT FOUND IN EMAILS")</f>
        <v/>
      </c>
      <c r="R3162" t="str">
        <f ca="1">""&amp;IFERROR(VLOOKUP(O3162,EMAILS!B:E,4,FALSE),"NO T FOUND IN EMAILS")</f>
        <v/>
      </c>
    </row>
    <row r="3163" spans="2:18" x14ac:dyDescent="0.25">
      <c r="B3163" s="5" t="s">
        <v>3165</v>
      </c>
      <c r="C3163" s="5" t="s">
        <v>7305</v>
      </c>
      <c r="D3163" s="5">
        <v>76</v>
      </c>
      <c r="E3163" s="5">
        <v>114</v>
      </c>
      <c r="F3163" s="5">
        <v>162</v>
      </c>
      <c r="G3163" s="5">
        <v>162</v>
      </c>
      <c r="H3163" s="5">
        <v>30</v>
      </c>
      <c r="I3163" s="5">
        <v>64</v>
      </c>
      <c r="J3163" s="5">
        <v>60</v>
      </c>
      <c r="K3163" s="5">
        <v>58</v>
      </c>
      <c r="L3163" s="5">
        <v>36</v>
      </c>
      <c r="M3163" s="5">
        <v>0</v>
      </c>
      <c r="N3163" s="5">
        <v>0</v>
      </c>
      <c r="O3163" s="5" t="str">
        <f t="shared" ca="1" si="49"/>
        <v>Supplier 139</v>
      </c>
      <c r="P3163" s="20" t="str">
        <f ca="1">IFERROR(VLOOKUP(O3163,EMAILS!B:C,2,FALSE),"NOT FOUND IN EMAILS")</f>
        <v>supplier@gmail.com</v>
      </c>
      <c r="Q3163" t="str">
        <f ca="1">""&amp;IFERROR(VLOOKUP(O3163,EMAILS!B:D,3,FALSE),"NOT FOUND IN EMAILS")</f>
        <v/>
      </c>
      <c r="R3163" t="str">
        <f ca="1">""&amp;IFERROR(VLOOKUP(O3163,EMAILS!B:E,4,FALSE),"NO T FOUND IN EMAILS")</f>
        <v/>
      </c>
    </row>
    <row r="3164" spans="2:18" x14ac:dyDescent="0.25">
      <c r="B3164" s="5" t="s">
        <v>3166</v>
      </c>
      <c r="C3164" s="5" t="s">
        <v>7306</v>
      </c>
      <c r="D3164" s="5">
        <v>152</v>
      </c>
      <c r="E3164" s="5">
        <v>124</v>
      </c>
      <c r="F3164" s="5">
        <v>172</v>
      </c>
      <c r="G3164" s="5">
        <v>172</v>
      </c>
      <c r="H3164" s="5">
        <v>60</v>
      </c>
      <c r="I3164" s="5">
        <v>88</v>
      </c>
      <c r="J3164" s="5">
        <v>80</v>
      </c>
      <c r="K3164" s="5">
        <v>84</v>
      </c>
      <c r="L3164" s="5">
        <v>64</v>
      </c>
      <c r="M3164" s="5">
        <v>0</v>
      </c>
      <c r="N3164" s="5">
        <v>0</v>
      </c>
      <c r="O3164" s="5" t="str">
        <f t="shared" ca="1" si="49"/>
        <v>Supplier 13</v>
      </c>
      <c r="P3164" s="20" t="str">
        <f ca="1">IFERROR(VLOOKUP(O3164,EMAILS!B:C,2,FALSE),"NOT FOUND IN EMAILS")</f>
        <v>supplier@gmail.com</v>
      </c>
      <c r="Q3164" t="str">
        <f ca="1">""&amp;IFERROR(VLOOKUP(O3164,EMAILS!B:D,3,FALSE),"NOT FOUND IN EMAILS")</f>
        <v>supplier_logistics@gmail.com</v>
      </c>
      <c r="R3164" t="str">
        <f ca="1">""&amp;IFERROR(VLOOKUP(O3164,EMAILS!B:E,4,FALSE),"NO T FOUND IN EMAILS")</f>
        <v/>
      </c>
    </row>
    <row r="3165" spans="2:18" x14ac:dyDescent="0.25">
      <c r="B3165" s="5" t="s">
        <v>3167</v>
      </c>
      <c r="C3165" s="5" t="s">
        <v>7307</v>
      </c>
      <c r="D3165" s="5">
        <v>38</v>
      </c>
      <c r="E3165" s="5">
        <v>31</v>
      </c>
      <c r="F3165" s="5">
        <v>43</v>
      </c>
      <c r="G3165" s="5">
        <v>43</v>
      </c>
      <c r="H3165" s="5">
        <v>15</v>
      </c>
      <c r="I3165" s="5">
        <v>20</v>
      </c>
      <c r="J3165" s="5">
        <v>20</v>
      </c>
      <c r="K3165" s="5">
        <v>19</v>
      </c>
      <c r="L3165" s="5">
        <v>16</v>
      </c>
      <c r="M3165" s="5">
        <v>0</v>
      </c>
      <c r="N3165" s="5">
        <v>0</v>
      </c>
      <c r="O3165" s="5" t="str">
        <f t="shared" ca="1" si="49"/>
        <v>Supplier 41</v>
      </c>
      <c r="P3165" s="20" t="str">
        <f ca="1">IFERROR(VLOOKUP(O3165,EMAILS!B:C,2,FALSE),"NOT FOUND IN EMAILS")</f>
        <v>supplier@gmail.com</v>
      </c>
      <c r="Q3165" t="str">
        <f ca="1">""&amp;IFERROR(VLOOKUP(O3165,EMAILS!B:D,3,FALSE),"NOT FOUND IN EMAILS")</f>
        <v/>
      </c>
      <c r="R3165" t="str">
        <f ca="1">""&amp;IFERROR(VLOOKUP(O3165,EMAILS!B:E,4,FALSE),"NO T FOUND IN EMAILS")</f>
        <v/>
      </c>
    </row>
    <row r="3166" spans="2:18" x14ac:dyDescent="0.25">
      <c r="B3166" s="5" t="s">
        <v>3168</v>
      </c>
      <c r="C3166" s="5" t="s">
        <v>7308</v>
      </c>
      <c r="D3166" s="5">
        <v>152</v>
      </c>
      <c r="E3166" s="5">
        <v>124</v>
      </c>
      <c r="F3166" s="5">
        <v>172</v>
      </c>
      <c r="G3166" s="5">
        <v>172</v>
      </c>
      <c r="H3166" s="5">
        <v>60</v>
      </c>
      <c r="I3166" s="5">
        <v>88</v>
      </c>
      <c r="J3166" s="5">
        <v>80</v>
      </c>
      <c r="K3166" s="5">
        <v>84</v>
      </c>
      <c r="L3166" s="5">
        <v>64</v>
      </c>
      <c r="M3166" s="5">
        <v>0</v>
      </c>
      <c r="N3166" s="5">
        <v>0</v>
      </c>
      <c r="O3166" s="5" t="str">
        <f t="shared" ca="1" si="49"/>
        <v>Supplier 33</v>
      </c>
      <c r="P3166" s="20" t="str">
        <f ca="1">IFERROR(VLOOKUP(O3166,EMAILS!B:C,2,FALSE),"NOT FOUND IN EMAILS")</f>
        <v>supplier@gmail.com</v>
      </c>
      <c r="Q3166" t="str">
        <f ca="1">""&amp;IFERROR(VLOOKUP(O3166,EMAILS!B:D,3,FALSE),"NOT FOUND IN EMAILS")</f>
        <v/>
      </c>
      <c r="R3166" t="str">
        <f ca="1">""&amp;IFERROR(VLOOKUP(O3166,EMAILS!B:E,4,FALSE),"NO T FOUND IN EMAILS")</f>
        <v/>
      </c>
    </row>
    <row r="3167" spans="2:18" x14ac:dyDescent="0.25">
      <c r="B3167" s="5" t="s">
        <v>3169</v>
      </c>
      <c r="C3167" s="5" t="s">
        <v>7309</v>
      </c>
      <c r="D3167" s="5">
        <v>152</v>
      </c>
      <c r="E3167" s="5">
        <v>124</v>
      </c>
      <c r="F3167" s="5">
        <v>172</v>
      </c>
      <c r="G3167" s="5">
        <v>172</v>
      </c>
      <c r="H3167" s="5">
        <v>60</v>
      </c>
      <c r="I3167" s="5">
        <v>88</v>
      </c>
      <c r="J3167" s="5">
        <v>80</v>
      </c>
      <c r="K3167" s="5">
        <v>84</v>
      </c>
      <c r="L3167" s="5">
        <v>64</v>
      </c>
      <c r="M3167" s="5">
        <v>0</v>
      </c>
      <c r="N3167" s="5">
        <v>0</v>
      </c>
      <c r="O3167" s="5" t="str">
        <f t="shared" ca="1" si="49"/>
        <v>Supplier 56</v>
      </c>
      <c r="P3167" s="20" t="str">
        <f ca="1">IFERROR(VLOOKUP(O3167,EMAILS!B:C,2,FALSE),"NOT FOUND IN EMAILS")</f>
        <v>supplier@gmail.com</v>
      </c>
      <c r="Q3167" t="str">
        <f ca="1">""&amp;IFERROR(VLOOKUP(O3167,EMAILS!B:D,3,FALSE),"NOT FOUND IN EMAILS")</f>
        <v/>
      </c>
      <c r="R3167" t="str">
        <f ca="1">""&amp;IFERROR(VLOOKUP(O3167,EMAILS!B:E,4,FALSE),"NO T FOUND IN EMAILS")</f>
        <v/>
      </c>
    </row>
    <row r="3168" spans="2:18" x14ac:dyDescent="0.25">
      <c r="B3168" s="5" t="s">
        <v>3170</v>
      </c>
      <c r="C3168" s="5" t="s">
        <v>7310</v>
      </c>
      <c r="D3168" s="5">
        <v>0</v>
      </c>
      <c r="E3168" s="5">
        <v>26</v>
      </c>
      <c r="F3168" s="5">
        <v>38</v>
      </c>
      <c r="G3168" s="5">
        <v>38</v>
      </c>
      <c r="H3168" s="5">
        <v>0</v>
      </c>
      <c r="I3168" s="5">
        <v>10</v>
      </c>
      <c r="J3168" s="5">
        <v>10</v>
      </c>
      <c r="K3168" s="5">
        <v>8</v>
      </c>
      <c r="L3168" s="5">
        <v>2</v>
      </c>
      <c r="M3168" s="5">
        <v>0</v>
      </c>
      <c r="N3168" s="5">
        <v>364</v>
      </c>
      <c r="O3168" s="5" t="str">
        <f t="shared" ca="1" si="49"/>
        <v>Supplier 95</v>
      </c>
      <c r="P3168" s="20" t="str">
        <f ca="1">IFERROR(VLOOKUP(O3168,EMAILS!B:C,2,FALSE),"NOT FOUND IN EMAILS")</f>
        <v>supplier@gmail.com</v>
      </c>
      <c r="Q3168" t="str">
        <f ca="1">""&amp;IFERROR(VLOOKUP(O3168,EMAILS!B:D,3,FALSE),"NOT FOUND IN EMAILS")</f>
        <v/>
      </c>
      <c r="R3168" t="str">
        <f ca="1">""&amp;IFERROR(VLOOKUP(O3168,EMAILS!B:E,4,FALSE),"NO T FOUND IN EMAILS")</f>
        <v/>
      </c>
    </row>
    <row r="3169" spans="2:18" x14ac:dyDescent="0.25">
      <c r="B3169" s="5" t="s">
        <v>3171</v>
      </c>
      <c r="C3169" s="5" t="s">
        <v>7311</v>
      </c>
      <c r="D3169" s="5">
        <v>40</v>
      </c>
      <c r="E3169" s="5">
        <v>46</v>
      </c>
      <c r="F3169" s="5">
        <v>60</v>
      </c>
      <c r="G3169" s="5">
        <v>44</v>
      </c>
      <c r="H3169" s="5">
        <v>40</v>
      </c>
      <c r="I3169" s="5">
        <v>32</v>
      </c>
      <c r="J3169" s="5">
        <v>32</v>
      </c>
      <c r="K3169" s="5">
        <v>30</v>
      </c>
      <c r="L3169" s="5">
        <v>32</v>
      </c>
      <c r="M3169" s="5">
        <v>0</v>
      </c>
      <c r="N3169" s="5">
        <v>0</v>
      </c>
      <c r="O3169" s="5" t="str">
        <f t="shared" ca="1" si="49"/>
        <v>Supplier 96</v>
      </c>
      <c r="P3169" s="20" t="str">
        <f ca="1">IFERROR(VLOOKUP(O3169,EMAILS!B:C,2,FALSE),"NOT FOUND IN EMAILS")</f>
        <v>supplier@gmail.com</v>
      </c>
      <c r="Q3169" t="str">
        <f ca="1">""&amp;IFERROR(VLOOKUP(O3169,EMAILS!B:D,3,FALSE),"NOT FOUND IN EMAILS")</f>
        <v/>
      </c>
      <c r="R3169" t="str">
        <f ca="1">""&amp;IFERROR(VLOOKUP(O3169,EMAILS!B:E,4,FALSE),"NO T FOUND IN EMAILS")</f>
        <v/>
      </c>
    </row>
    <row r="3170" spans="2:18" x14ac:dyDescent="0.25">
      <c r="B3170" s="5" t="s">
        <v>3172</v>
      </c>
      <c r="C3170" s="5" t="s">
        <v>7312</v>
      </c>
      <c r="D3170" s="5">
        <v>0</v>
      </c>
      <c r="E3170" s="5">
        <v>0</v>
      </c>
      <c r="F3170" s="5">
        <v>0</v>
      </c>
      <c r="G3170" s="5">
        <v>0</v>
      </c>
      <c r="H3170" s="5">
        <v>0</v>
      </c>
      <c r="I3170" s="5">
        <v>0</v>
      </c>
      <c r="J3170" s="5">
        <v>0</v>
      </c>
      <c r="K3170" s="5">
        <v>0</v>
      </c>
      <c r="L3170" s="5">
        <v>0</v>
      </c>
      <c r="M3170" s="5">
        <v>0</v>
      </c>
      <c r="N3170" s="5">
        <v>0</v>
      </c>
      <c r="O3170" s="5" t="str">
        <f t="shared" ca="1" si="49"/>
        <v>Supplier 198</v>
      </c>
      <c r="P3170" s="20" t="str">
        <f ca="1">IFERROR(VLOOKUP(O3170,EMAILS!B:C,2,FALSE),"NOT FOUND IN EMAILS")</f>
        <v>supplier@gmail.com</v>
      </c>
      <c r="Q3170" t="str">
        <f ca="1">""&amp;IFERROR(VLOOKUP(O3170,EMAILS!B:D,3,FALSE),"NOT FOUND IN EMAILS")</f>
        <v/>
      </c>
      <c r="R3170" t="str">
        <f ca="1">""&amp;IFERROR(VLOOKUP(O3170,EMAILS!B:E,4,FALSE),"NO T FOUND IN EMAILS")</f>
        <v/>
      </c>
    </row>
    <row r="3171" spans="2:18" x14ac:dyDescent="0.25">
      <c r="B3171" s="5" t="s">
        <v>3173</v>
      </c>
      <c r="C3171" s="5" t="s">
        <v>7313</v>
      </c>
      <c r="D3171" s="5">
        <v>53</v>
      </c>
      <c r="E3171" s="5">
        <v>41</v>
      </c>
      <c r="F3171" s="5">
        <v>41</v>
      </c>
      <c r="G3171" s="5">
        <v>41</v>
      </c>
      <c r="H3171" s="5">
        <v>0</v>
      </c>
      <c r="I3171" s="5">
        <v>0</v>
      </c>
      <c r="J3171" s="5">
        <v>0</v>
      </c>
      <c r="K3171" s="5">
        <v>0</v>
      </c>
      <c r="L3171" s="5">
        <v>0</v>
      </c>
      <c r="M3171" s="5">
        <v>0</v>
      </c>
      <c r="N3171" s="5">
        <v>0</v>
      </c>
      <c r="O3171" s="5" t="str">
        <f t="shared" ca="1" si="49"/>
        <v>Supplier 106</v>
      </c>
      <c r="P3171" s="20" t="str">
        <f ca="1">IFERROR(VLOOKUP(O3171,EMAILS!B:C,2,FALSE),"NOT FOUND IN EMAILS")</f>
        <v>supplier@gmail.com</v>
      </c>
      <c r="Q3171" t="str">
        <f ca="1">""&amp;IFERROR(VLOOKUP(O3171,EMAILS!B:D,3,FALSE),"NOT FOUND IN EMAILS")</f>
        <v/>
      </c>
      <c r="R3171" t="str">
        <f ca="1">""&amp;IFERROR(VLOOKUP(O3171,EMAILS!B:E,4,FALSE),"NO T FOUND IN EMAILS")</f>
        <v/>
      </c>
    </row>
    <row r="3172" spans="2:18" x14ac:dyDescent="0.25">
      <c r="B3172" s="5" t="s">
        <v>3174</v>
      </c>
      <c r="C3172" s="5" t="s">
        <v>7314</v>
      </c>
      <c r="D3172" s="5">
        <v>18</v>
      </c>
      <c r="E3172" s="5">
        <v>10</v>
      </c>
      <c r="F3172" s="5">
        <v>10</v>
      </c>
      <c r="G3172" s="5">
        <v>10</v>
      </c>
      <c r="H3172" s="5">
        <v>0</v>
      </c>
      <c r="I3172" s="5">
        <v>0</v>
      </c>
      <c r="J3172" s="5">
        <v>0</v>
      </c>
      <c r="K3172" s="5">
        <v>0</v>
      </c>
      <c r="L3172" s="5">
        <v>0</v>
      </c>
      <c r="M3172" s="5">
        <v>0</v>
      </c>
      <c r="N3172" s="5">
        <v>0</v>
      </c>
      <c r="O3172" s="5" t="str">
        <f t="shared" ca="1" si="49"/>
        <v>Supplier 22</v>
      </c>
      <c r="P3172" s="20" t="str">
        <f ca="1">IFERROR(VLOOKUP(O3172,EMAILS!B:C,2,FALSE),"NOT FOUND IN EMAILS")</f>
        <v>supplier@gmail.com</v>
      </c>
      <c r="Q3172" t="str">
        <f ca="1">""&amp;IFERROR(VLOOKUP(O3172,EMAILS!B:D,3,FALSE),"NOT FOUND IN EMAILS")</f>
        <v/>
      </c>
      <c r="R3172" t="str">
        <f ca="1">""&amp;IFERROR(VLOOKUP(O3172,EMAILS!B:E,4,FALSE),"NO T FOUND IN EMAILS")</f>
        <v/>
      </c>
    </row>
    <row r="3173" spans="2:18" x14ac:dyDescent="0.25">
      <c r="B3173" s="5" t="s">
        <v>3175</v>
      </c>
      <c r="C3173" s="5" t="s">
        <v>7315</v>
      </c>
      <c r="D3173" s="5">
        <v>108</v>
      </c>
      <c r="E3173" s="5">
        <v>80</v>
      </c>
      <c r="F3173" s="5">
        <v>80</v>
      </c>
      <c r="G3173" s="5">
        <v>80</v>
      </c>
      <c r="H3173" s="5">
        <v>0</v>
      </c>
      <c r="I3173" s="5">
        <v>0</v>
      </c>
      <c r="J3173" s="5">
        <v>0</v>
      </c>
      <c r="K3173" s="5">
        <v>0</v>
      </c>
      <c r="L3173" s="5">
        <v>0</v>
      </c>
      <c r="M3173" s="5">
        <v>0</v>
      </c>
      <c r="N3173" s="5">
        <v>0</v>
      </c>
      <c r="O3173" s="5" t="str">
        <f t="shared" ca="1" si="49"/>
        <v>Supplier 113</v>
      </c>
      <c r="P3173" s="20" t="str">
        <f ca="1">IFERROR(VLOOKUP(O3173,EMAILS!B:C,2,FALSE),"NOT FOUND IN EMAILS")</f>
        <v>supplier@gmail.com</v>
      </c>
      <c r="Q3173" t="str">
        <f ca="1">""&amp;IFERROR(VLOOKUP(O3173,EMAILS!B:D,3,FALSE),"NOT FOUND IN EMAILS")</f>
        <v/>
      </c>
      <c r="R3173" t="str">
        <f ca="1">""&amp;IFERROR(VLOOKUP(O3173,EMAILS!B:E,4,FALSE),"NO T FOUND IN EMAILS")</f>
        <v/>
      </c>
    </row>
    <row r="3174" spans="2:18" x14ac:dyDescent="0.25">
      <c r="B3174" s="5" t="s">
        <v>3176</v>
      </c>
      <c r="C3174" s="5" t="s">
        <v>7316</v>
      </c>
      <c r="D3174" s="5">
        <v>1264</v>
      </c>
      <c r="E3174" s="5">
        <v>288</v>
      </c>
      <c r="F3174" s="5">
        <v>506</v>
      </c>
      <c r="G3174" s="5">
        <v>972</v>
      </c>
      <c r="H3174" s="5">
        <v>20</v>
      </c>
      <c r="I3174" s="5">
        <v>0</v>
      </c>
      <c r="J3174" s="5">
        <v>0</v>
      </c>
      <c r="K3174" s="5">
        <v>616</v>
      </c>
      <c r="L3174" s="5">
        <v>0</v>
      </c>
      <c r="M3174" s="5">
        <v>0</v>
      </c>
      <c r="N3174" s="5">
        <v>0</v>
      </c>
      <c r="O3174" s="5" t="str">
        <f t="shared" ca="1" si="49"/>
        <v>Supplier 146</v>
      </c>
      <c r="P3174" s="20" t="str">
        <f ca="1">IFERROR(VLOOKUP(O3174,EMAILS!B:C,2,FALSE),"NOT FOUND IN EMAILS")</f>
        <v>supplier@gmail.com</v>
      </c>
      <c r="Q3174" t="str">
        <f ca="1">""&amp;IFERROR(VLOOKUP(O3174,EMAILS!B:D,3,FALSE),"NOT FOUND IN EMAILS")</f>
        <v/>
      </c>
      <c r="R3174" t="str">
        <f ca="1">""&amp;IFERROR(VLOOKUP(O3174,EMAILS!B:E,4,FALSE),"NO T FOUND IN EMAILS")</f>
        <v/>
      </c>
    </row>
    <row r="3175" spans="2:18" x14ac:dyDescent="0.25">
      <c r="B3175" s="5" t="s">
        <v>3177</v>
      </c>
      <c r="C3175" s="5" t="s">
        <v>7317</v>
      </c>
      <c r="D3175" s="5">
        <v>0</v>
      </c>
      <c r="E3175" s="5">
        <v>0</v>
      </c>
      <c r="F3175" s="5">
        <v>0</v>
      </c>
      <c r="G3175" s="5">
        <v>0</v>
      </c>
      <c r="H3175" s="5">
        <v>0</v>
      </c>
      <c r="I3175" s="5">
        <v>0</v>
      </c>
      <c r="J3175" s="5">
        <v>0</v>
      </c>
      <c r="K3175" s="5">
        <v>0</v>
      </c>
      <c r="L3175" s="5">
        <v>0</v>
      </c>
      <c r="M3175" s="5">
        <v>0</v>
      </c>
      <c r="N3175" s="5">
        <v>0</v>
      </c>
      <c r="O3175" s="5" t="str">
        <f t="shared" ca="1" si="49"/>
        <v>Supplier 20</v>
      </c>
      <c r="P3175" s="20" t="str">
        <f ca="1">IFERROR(VLOOKUP(O3175,EMAILS!B:C,2,FALSE),"NOT FOUND IN EMAILS")</f>
        <v>supplier@gmail.com</v>
      </c>
      <c r="Q3175" t="str">
        <f ca="1">""&amp;IFERROR(VLOOKUP(O3175,EMAILS!B:D,3,FALSE),"NOT FOUND IN EMAILS")</f>
        <v/>
      </c>
      <c r="R3175" t="str">
        <f ca="1">""&amp;IFERROR(VLOOKUP(O3175,EMAILS!B:E,4,FALSE),"NO T FOUND IN EMAILS")</f>
        <v/>
      </c>
    </row>
    <row r="3176" spans="2:18" x14ac:dyDescent="0.25">
      <c r="B3176" s="5" t="s">
        <v>3178</v>
      </c>
      <c r="C3176" s="5" t="s">
        <v>7318</v>
      </c>
      <c r="D3176" s="5">
        <v>0</v>
      </c>
      <c r="E3176" s="5">
        <v>0</v>
      </c>
      <c r="F3176" s="5">
        <v>0</v>
      </c>
      <c r="G3176" s="5">
        <v>0</v>
      </c>
      <c r="H3176" s="5">
        <v>0</v>
      </c>
      <c r="I3176" s="5">
        <v>16</v>
      </c>
      <c r="J3176" s="5">
        <v>0</v>
      </c>
      <c r="K3176" s="5">
        <v>0</v>
      </c>
      <c r="L3176" s="5">
        <v>0</v>
      </c>
      <c r="M3176" s="5">
        <v>0</v>
      </c>
      <c r="N3176" s="5">
        <v>0</v>
      </c>
      <c r="O3176" s="5" t="str">
        <f t="shared" ca="1" si="49"/>
        <v>Supplier 99</v>
      </c>
      <c r="P3176" s="20" t="str">
        <f ca="1">IFERROR(VLOOKUP(O3176,EMAILS!B:C,2,FALSE),"NOT FOUND IN EMAILS")</f>
        <v>supplier@gmail.com</v>
      </c>
      <c r="Q3176" t="str">
        <f ca="1">""&amp;IFERROR(VLOOKUP(O3176,EMAILS!B:D,3,FALSE),"NOT FOUND IN EMAILS")</f>
        <v/>
      </c>
      <c r="R3176" t="str">
        <f ca="1">""&amp;IFERROR(VLOOKUP(O3176,EMAILS!B:E,4,FALSE),"NO T FOUND IN EMAILS")</f>
        <v/>
      </c>
    </row>
    <row r="3177" spans="2:18" x14ac:dyDescent="0.25">
      <c r="B3177" s="5" t="s">
        <v>3179</v>
      </c>
      <c r="C3177" s="5" t="s">
        <v>7319</v>
      </c>
      <c r="D3177" s="5">
        <v>0</v>
      </c>
      <c r="E3177" s="5">
        <v>0</v>
      </c>
      <c r="F3177" s="5">
        <v>0</v>
      </c>
      <c r="G3177" s="5">
        <v>0</v>
      </c>
      <c r="H3177" s="5">
        <v>0</v>
      </c>
      <c r="I3177" s="5">
        <v>0</v>
      </c>
      <c r="J3177" s="5">
        <v>0</v>
      </c>
      <c r="K3177" s="5">
        <v>0</v>
      </c>
      <c r="L3177" s="5">
        <v>0</v>
      </c>
      <c r="M3177" s="5">
        <v>0</v>
      </c>
      <c r="N3177" s="5">
        <v>0</v>
      </c>
      <c r="O3177" s="5" t="str">
        <f t="shared" ca="1" si="49"/>
        <v>Supplier 90</v>
      </c>
      <c r="P3177" s="20" t="str">
        <f ca="1">IFERROR(VLOOKUP(O3177,EMAILS!B:C,2,FALSE),"NOT FOUND IN EMAILS")</f>
        <v>supplier@gmail.com</v>
      </c>
      <c r="Q3177" t="str">
        <f ca="1">""&amp;IFERROR(VLOOKUP(O3177,EMAILS!B:D,3,FALSE),"NOT FOUND IN EMAILS")</f>
        <v/>
      </c>
      <c r="R3177" t="str">
        <f ca="1">""&amp;IFERROR(VLOOKUP(O3177,EMAILS!B:E,4,FALSE),"NO T FOUND IN EMAILS")</f>
        <v/>
      </c>
    </row>
    <row r="3178" spans="2:18" x14ac:dyDescent="0.25">
      <c r="B3178" s="5" t="s">
        <v>3180</v>
      </c>
      <c r="C3178" s="5" t="s">
        <v>7320</v>
      </c>
      <c r="D3178" s="5">
        <v>0</v>
      </c>
      <c r="E3178" s="5">
        <v>0</v>
      </c>
      <c r="F3178" s="5">
        <v>0</v>
      </c>
      <c r="G3178" s="5">
        <v>0</v>
      </c>
      <c r="H3178" s="5">
        <v>0</v>
      </c>
      <c r="I3178" s="5">
        <v>0</v>
      </c>
      <c r="J3178" s="5">
        <v>0</v>
      </c>
      <c r="K3178" s="5">
        <v>0</v>
      </c>
      <c r="L3178" s="5">
        <v>0</v>
      </c>
      <c r="M3178" s="5">
        <v>0</v>
      </c>
      <c r="N3178" s="5">
        <v>0</v>
      </c>
      <c r="O3178" s="5" t="str">
        <f t="shared" ca="1" si="49"/>
        <v>Supplier 114</v>
      </c>
      <c r="P3178" s="20" t="str">
        <f ca="1">IFERROR(VLOOKUP(O3178,EMAILS!B:C,2,FALSE),"NOT FOUND IN EMAILS")</f>
        <v>supplier@gmail.com</v>
      </c>
      <c r="Q3178" t="str">
        <f ca="1">""&amp;IFERROR(VLOOKUP(O3178,EMAILS!B:D,3,FALSE),"NOT FOUND IN EMAILS")</f>
        <v/>
      </c>
      <c r="R3178" t="str">
        <f ca="1">""&amp;IFERROR(VLOOKUP(O3178,EMAILS!B:E,4,FALSE),"NO T FOUND IN EMAILS")</f>
        <v/>
      </c>
    </row>
    <row r="3179" spans="2:18" x14ac:dyDescent="0.25">
      <c r="B3179" s="5" t="s">
        <v>3181</v>
      </c>
      <c r="C3179" s="5" t="s">
        <v>7321</v>
      </c>
      <c r="D3179" s="5">
        <v>76</v>
      </c>
      <c r="E3179" s="5">
        <v>62</v>
      </c>
      <c r="F3179" s="5">
        <v>86</v>
      </c>
      <c r="G3179" s="5">
        <v>86</v>
      </c>
      <c r="H3179" s="5">
        <v>30</v>
      </c>
      <c r="I3179" s="5">
        <v>44</v>
      </c>
      <c r="J3179" s="5">
        <v>40</v>
      </c>
      <c r="K3179" s="5">
        <v>42</v>
      </c>
      <c r="L3179" s="5">
        <v>32</v>
      </c>
      <c r="M3179" s="5">
        <v>0</v>
      </c>
      <c r="N3179" s="5">
        <v>235</v>
      </c>
      <c r="O3179" s="5" t="str">
        <f t="shared" ca="1" si="49"/>
        <v>Supplier 119</v>
      </c>
      <c r="P3179" s="20" t="str">
        <f ca="1">IFERROR(VLOOKUP(O3179,EMAILS!B:C,2,FALSE),"NOT FOUND IN EMAILS")</f>
        <v>supplier@gmail.com</v>
      </c>
      <c r="Q3179" t="str">
        <f ca="1">""&amp;IFERROR(VLOOKUP(O3179,EMAILS!B:D,3,FALSE),"NOT FOUND IN EMAILS")</f>
        <v/>
      </c>
      <c r="R3179" t="str">
        <f ca="1">""&amp;IFERROR(VLOOKUP(O3179,EMAILS!B:E,4,FALSE),"NO T FOUND IN EMAILS")</f>
        <v/>
      </c>
    </row>
    <row r="3180" spans="2:18" x14ac:dyDescent="0.25">
      <c r="B3180" s="5" t="s">
        <v>3182</v>
      </c>
      <c r="C3180" s="5" t="s">
        <v>7322</v>
      </c>
      <c r="D3180" s="5">
        <v>76</v>
      </c>
      <c r="E3180" s="5">
        <v>62</v>
      </c>
      <c r="F3180" s="5">
        <v>86</v>
      </c>
      <c r="G3180" s="5">
        <v>86</v>
      </c>
      <c r="H3180" s="5">
        <v>30</v>
      </c>
      <c r="I3180" s="5">
        <v>44</v>
      </c>
      <c r="J3180" s="5">
        <v>40</v>
      </c>
      <c r="K3180" s="5">
        <v>42</v>
      </c>
      <c r="L3180" s="5">
        <v>32</v>
      </c>
      <c r="M3180" s="5">
        <v>0</v>
      </c>
      <c r="N3180" s="5">
        <v>371</v>
      </c>
      <c r="O3180" s="5" t="str">
        <f t="shared" ca="1" si="49"/>
        <v>Supplier 100</v>
      </c>
      <c r="P3180" s="20" t="str">
        <f ca="1">IFERROR(VLOOKUP(O3180,EMAILS!B:C,2,FALSE),"NOT FOUND IN EMAILS")</f>
        <v>supplier@gmail.com</v>
      </c>
      <c r="Q3180" t="str">
        <f ca="1">""&amp;IFERROR(VLOOKUP(O3180,EMAILS!B:D,3,FALSE),"NOT FOUND IN EMAILS")</f>
        <v/>
      </c>
      <c r="R3180" t="str">
        <f ca="1">""&amp;IFERROR(VLOOKUP(O3180,EMAILS!B:E,4,FALSE),"NO T FOUND IN EMAILS")</f>
        <v/>
      </c>
    </row>
    <row r="3181" spans="2:18" x14ac:dyDescent="0.25">
      <c r="B3181" s="5" t="s">
        <v>3183</v>
      </c>
      <c r="C3181" s="5" t="s">
        <v>7323</v>
      </c>
      <c r="D3181" s="5">
        <v>4</v>
      </c>
      <c r="E3181" s="5">
        <v>0</v>
      </c>
      <c r="F3181" s="5">
        <v>0</v>
      </c>
      <c r="G3181" s="5">
        <v>0</v>
      </c>
      <c r="H3181" s="5">
        <v>4</v>
      </c>
      <c r="I3181" s="5">
        <v>0</v>
      </c>
      <c r="J3181" s="5">
        <v>0</v>
      </c>
      <c r="K3181" s="5">
        <v>0</v>
      </c>
      <c r="L3181" s="5">
        <v>0</v>
      </c>
      <c r="M3181" s="5">
        <v>0</v>
      </c>
      <c r="N3181" s="5">
        <v>0</v>
      </c>
      <c r="O3181" s="5" t="str">
        <f t="shared" ca="1" si="49"/>
        <v>Supplier 158</v>
      </c>
      <c r="P3181" s="20" t="str">
        <f ca="1">IFERROR(VLOOKUP(O3181,EMAILS!B:C,2,FALSE),"NOT FOUND IN EMAILS")</f>
        <v>supplier@gmail.com</v>
      </c>
      <c r="Q3181" t="str">
        <f ca="1">""&amp;IFERROR(VLOOKUP(O3181,EMAILS!B:D,3,FALSE),"NOT FOUND IN EMAILS")</f>
        <v/>
      </c>
      <c r="R3181" t="str">
        <f ca="1">""&amp;IFERROR(VLOOKUP(O3181,EMAILS!B:E,4,FALSE),"NO T FOUND IN EMAILS")</f>
        <v/>
      </c>
    </row>
    <row r="3182" spans="2:18" x14ac:dyDescent="0.25">
      <c r="B3182" s="5" t="s">
        <v>3184</v>
      </c>
      <c r="C3182" s="5" t="s">
        <v>7324</v>
      </c>
      <c r="D3182" s="5">
        <v>12</v>
      </c>
      <c r="E3182" s="5">
        <v>12</v>
      </c>
      <c r="F3182" s="5">
        <v>12</v>
      </c>
      <c r="G3182" s="5">
        <v>12</v>
      </c>
      <c r="H3182" s="5">
        <v>12</v>
      </c>
      <c r="I3182" s="5">
        <v>12</v>
      </c>
      <c r="J3182" s="5">
        <v>12</v>
      </c>
      <c r="K3182" s="5">
        <v>12</v>
      </c>
      <c r="L3182" s="5">
        <v>12</v>
      </c>
      <c r="M3182" s="5">
        <v>0</v>
      </c>
      <c r="N3182" s="5">
        <v>500</v>
      </c>
      <c r="O3182" s="5" t="str">
        <f t="shared" ca="1" si="49"/>
        <v>Supplier 132</v>
      </c>
      <c r="P3182" s="20" t="str">
        <f ca="1">IFERROR(VLOOKUP(O3182,EMAILS!B:C,2,FALSE),"NOT FOUND IN EMAILS")</f>
        <v>supplier@gmail.com</v>
      </c>
      <c r="Q3182" t="str">
        <f ca="1">""&amp;IFERROR(VLOOKUP(O3182,EMAILS!B:D,3,FALSE),"NOT FOUND IN EMAILS")</f>
        <v/>
      </c>
      <c r="R3182" t="str">
        <f ca="1">""&amp;IFERROR(VLOOKUP(O3182,EMAILS!B:E,4,FALSE),"NO T FOUND IN EMAILS")</f>
        <v/>
      </c>
    </row>
    <row r="3183" spans="2:18" x14ac:dyDescent="0.25">
      <c r="B3183" s="5" t="s">
        <v>3185</v>
      </c>
      <c r="C3183" s="5" t="s">
        <v>7325</v>
      </c>
      <c r="D3183" s="5">
        <v>70</v>
      </c>
      <c r="E3183" s="5">
        <v>70</v>
      </c>
      <c r="F3183" s="5">
        <v>88</v>
      </c>
      <c r="G3183" s="5">
        <v>88</v>
      </c>
      <c r="H3183" s="5">
        <v>70</v>
      </c>
      <c r="I3183" s="5">
        <v>88</v>
      </c>
      <c r="J3183" s="5">
        <v>52</v>
      </c>
      <c r="K3183" s="5">
        <v>52</v>
      </c>
      <c r="L3183" s="5">
        <v>52</v>
      </c>
      <c r="M3183" s="5">
        <v>0</v>
      </c>
      <c r="N3183" s="5">
        <v>388</v>
      </c>
      <c r="O3183" s="5" t="str">
        <f t="shared" ca="1" si="49"/>
        <v>Supplier 92</v>
      </c>
      <c r="P3183" s="20" t="str">
        <f ca="1">IFERROR(VLOOKUP(O3183,EMAILS!B:C,2,FALSE),"NOT FOUND IN EMAILS")</f>
        <v>supplier@gmail.com</v>
      </c>
      <c r="Q3183" t="str">
        <f ca="1">""&amp;IFERROR(VLOOKUP(O3183,EMAILS!B:D,3,FALSE),"NOT FOUND IN EMAILS")</f>
        <v/>
      </c>
      <c r="R3183" t="str">
        <f ca="1">""&amp;IFERROR(VLOOKUP(O3183,EMAILS!B:E,4,FALSE),"NO T FOUND IN EMAILS")</f>
        <v/>
      </c>
    </row>
    <row r="3184" spans="2:18" x14ac:dyDescent="0.25">
      <c r="B3184" s="5" t="s">
        <v>3186</v>
      </c>
      <c r="C3184" s="5" t="s">
        <v>7326</v>
      </c>
      <c r="D3184" s="5">
        <v>0</v>
      </c>
      <c r="E3184" s="5">
        <v>0</v>
      </c>
      <c r="F3184" s="5">
        <v>0</v>
      </c>
      <c r="G3184" s="5">
        <v>0</v>
      </c>
      <c r="H3184" s="5">
        <v>0</v>
      </c>
      <c r="I3184" s="5">
        <v>0</v>
      </c>
      <c r="J3184" s="5">
        <v>0</v>
      </c>
      <c r="K3184" s="5">
        <v>0</v>
      </c>
      <c r="L3184" s="5">
        <v>0</v>
      </c>
      <c r="M3184" s="5">
        <v>0</v>
      </c>
      <c r="N3184" s="5">
        <v>181</v>
      </c>
      <c r="O3184" s="5" t="str">
        <f t="shared" ca="1" si="49"/>
        <v>Supplier 36</v>
      </c>
      <c r="P3184" s="20" t="str">
        <f ca="1">IFERROR(VLOOKUP(O3184,EMAILS!B:C,2,FALSE),"NOT FOUND IN EMAILS")</f>
        <v>supplier@gmail.com</v>
      </c>
      <c r="Q3184" t="str">
        <f ca="1">""&amp;IFERROR(VLOOKUP(O3184,EMAILS!B:D,3,FALSE),"NOT FOUND IN EMAILS")</f>
        <v/>
      </c>
      <c r="R3184" t="str">
        <f ca="1">""&amp;IFERROR(VLOOKUP(O3184,EMAILS!B:E,4,FALSE),"NO T FOUND IN EMAILS")</f>
        <v/>
      </c>
    </row>
    <row r="3185" spans="2:18" x14ac:dyDescent="0.25">
      <c r="B3185" s="5" t="s">
        <v>3187</v>
      </c>
      <c r="C3185" s="5" t="s">
        <v>7327</v>
      </c>
      <c r="D3185" s="5">
        <v>0</v>
      </c>
      <c r="E3185" s="5">
        <v>0</v>
      </c>
      <c r="F3185" s="5">
        <v>0</v>
      </c>
      <c r="G3185" s="5">
        <v>0</v>
      </c>
      <c r="H3185" s="5">
        <v>0</v>
      </c>
      <c r="I3185" s="5">
        <v>0</v>
      </c>
      <c r="J3185" s="5">
        <v>0</v>
      </c>
      <c r="K3185" s="5">
        <v>0</v>
      </c>
      <c r="L3185" s="5">
        <v>0</v>
      </c>
      <c r="M3185" s="5">
        <v>0</v>
      </c>
      <c r="N3185" s="5">
        <v>200</v>
      </c>
      <c r="O3185" s="5" t="str">
        <f t="shared" ca="1" si="49"/>
        <v>Supplier 164</v>
      </c>
      <c r="P3185" s="20" t="str">
        <f ca="1">IFERROR(VLOOKUP(O3185,EMAILS!B:C,2,FALSE),"NOT FOUND IN EMAILS")</f>
        <v>supplier@gmail.com</v>
      </c>
      <c r="Q3185" t="str">
        <f ca="1">""&amp;IFERROR(VLOOKUP(O3185,EMAILS!B:D,3,FALSE),"NOT FOUND IN EMAILS")</f>
        <v/>
      </c>
      <c r="R3185" t="str">
        <f ca="1">""&amp;IFERROR(VLOOKUP(O3185,EMAILS!B:E,4,FALSE),"NO T FOUND IN EMAILS")</f>
        <v/>
      </c>
    </row>
    <row r="3186" spans="2:18" x14ac:dyDescent="0.25">
      <c r="B3186" s="5" t="s">
        <v>3188</v>
      </c>
      <c r="C3186" s="5" t="s">
        <v>7328</v>
      </c>
      <c r="D3186" s="5">
        <v>60</v>
      </c>
      <c r="E3186" s="5">
        <v>0</v>
      </c>
      <c r="F3186" s="5">
        <v>0</v>
      </c>
      <c r="G3186" s="5">
        <v>0</v>
      </c>
      <c r="H3186" s="5">
        <v>60</v>
      </c>
      <c r="I3186" s="5">
        <v>0</v>
      </c>
      <c r="J3186" s="5">
        <v>0</v>
      </c>
      <c r="K3186" s="5">
        <v>0</v>
      </c>
      <c r="L3186" s="5">
        <v>0</v>
      </c>
      <c r="M3186" s="5">
        <v>0</v>
      </c>
      <c r="N3186" s="5">
        <v>1000</v>
      </c>
      <c r="O3186" s="5" t="str">
        <f t="shared" ca="1" si="49"/>
        <v>Supplier 120</v>
      </c>
      <c r="P3186" s="20" t="str">
        <f ca="1">IFERROR(VLOOKUP(O3186,EMAILS!B:C,2,FALSE),"NOT FOUND IN EMAILS")</f>
        <v>supplier@gmail.com</v>
      </c>
      <c r="Q3186" t="str">
        <f ca="1">""&amp;IFERROR(VLOOKUP(O3186,EMAILS!B:D,3,FALSE),"NOT FOUND IN EMAILS")</f>
        <v/>
      </c>
      <c r="R3186" t="str">
        <f ca="1">""&amp;IFERROR(VLOOKUP(O3186,EMAILS!B:E,4,FALSE),"NO T FOUND IN EMAILS")</f>
        <v/>
      </c>
    </row>
    <row r="3187" spans="2:18" x14ac:dyDescent="0.25">
      <c r="B3187" s="5" t="s">
        <v>3189</v>
      </c>
      <c r="C3187" s="5" t="s">
        <v>7329</v>
      </c>
      <c r="D3187" s="5">
        <v>112</v>
      </c>
      <c r="E3187" s="5">
        <v>112</v>
      </c>
      <c r="F3187" s="5">
        <v>140</v>
      </c>
      <c r="G3187" s="5">
        <v>140</v>
      </c>
      <c r="H3187" s="5">
        <v>112</v>
      </c>
      <c r="I3187" s="5">
        <v>140</v>
      </c>
      <c r="J3187" s="5">
        <v>84</v>
      </c>
      <c r="K3187" s="5">
        <v>84</v>
      </c>
      <c r="L3187" s="5">
        <v>84</v>
      </c>
      <c r="M3187" s="5">
        <v>0</v>
      </c>
      <c r="N3187" s="5">
        <v>0</v>
      </c>
      <c r="O3187" s="5" t="str">
        <f t="shared" ca="1" si="49"/>
        <v>Supplier 8</v>
      </c>
      <c r="P3187" s="20" t="str">
        <f ca="1">IFERROR(VLOOKUP(O3187,EMAILS!B:C,2,FALSE),"NOT FOUND IN EMAILS")</f>
        <v>supplier@gmail.com</v>
      </c>
      <c r="Q3187" t="str">
        <f ca="1">""&amp;IFERROR(VLOOKUP(O3187,EMAILS!B:D,3,FALSE),"NOT FOUND IN EMAILS")</f>
        <v>supplier_logistics@gmail.com</v>
      </c>
      <c r="R3187" t="str">
        <f ca="1">""&amp;IFERROR(VLOOKUP(O3187,EMAILS!B:E,4,FALSE),"NO T FOUND IN EMAILS")</f>
        <v/>
      </c>
    </row>
    <row r="3188" spans="2:18" x14ac:dyDescent="0.25">
      <c r="B3188" s="5" t="s">
        <v>3190</v>
      </c>
      <c r="C3188" s="5" t="s">
        <v>7330</v>
      </c>
      <c r="D3188" s="5">
        <v>0</v>
      </c>
      <c r="E3188" s="5">
        <v>0</v>
      </c>
      <c r="F3188" s="5">
        <v>0</v>
      </c>
      <c r="G3188" s="5">
        <v>0</v>
      </c>
      <c r="H3188" s="5">
        <v>0</v>
      </c>
      <c r="I3188" s="5">
        <v>0</v>
      </c>
      <c r="J3188" s="5">
        <v>0</v>
      </c>
      <c r="K3188" s="5">
        <v>0</v>
      </c>
      <c r="L3188" s="5">
        <v>0</v>
      </c>
      <c r="M3188" s="5">
        <v>0</v>
      </c>
      <c r="N3188" s="5">
        <v>0</v>
      </c>
      <c r="O3188" s="5" t="str">
        <f t="shared" ca="1" si="49"/>
        <v>Supplier 33</v>
      </c>
      <c r="P3188" s="20" t="str">
        <f ca="1">IFERROR(VLOOKUP(O3188,EMAILS!B:C,2,FALSE),"NOT FOUND IN EMAILS")</f>
        <v>supplier@gmail.com</v>
      </c>
      <c r="Q3188" t="str">
        <f ca="1">""&amp;IFERROR(VLOOKUP(O3188,EMAILS!B:D,3,FALSE),"NOT FOUND IN EMAILS")</f>
        <v/>
      </c>
      <c r="R3188" t="str">
        <f ca="1">""&amp;IFERROR(VLOOKUP(O3188,EMAILS!B:E,4,FALSE),"NO T FOUND IN EMAILS")</f>
        <v/>
      </c>
    </row>
    <row r="3189" spans="2:18" x14ac:dyDescent="0.25">
      <c r="B3189" s="5" t="s">
        <v>3191</v>
      </c>
      <c r="C3189" s="5" t="s">
        <v>7331</v>
      </c>
      <c r="D3189" s="5">
        <v>2</v>
      </c>
      <c r="E3189" s="5">
        <v>0</v>
      </c>
      <c r="F3189" s="5">
        <v>0</v>
      </c>
      <c r="G3189" s="5">
        <v>0</v>
      </c>
      <c r="H3189" s="5">
        <v>0</v>
      </c>
      <c r="I3189" s="5">
        <v>0</v>
      </c>
      <c r="J3189" s="5">
        <v>0</v>
      </c>
      <c r="K3189" s="5">
        <v>0</v>
      </c>
      <c r="L3189" s="5">
        <v>0</v>
      </c>
      <c r="M3189" s="5">
        <v>0</v>
      </c>
      <c r="N3189" s="5">
        <v>2400</v>
      </c>
      <c r="O3189" s="5" t="str">
        <f t="shared" ca="1" si="49"/>
        <v>Supplier 33</v>
      </c>
      <c r="P3189" s="20" t="str">
        <f ca="1">IFERROR(VLOOKUP(O3189,EMAILS!B:C,2,FALSE),"NOT FOUND IN EMAILS")</f>
        <v>supplier@gmail.com</v>
      </c>
      <c r="Q3189" t="str">
        <f ca="1">""&amp;IFERROR(VLOOKUP(O3189,EMAILS!B:D,3,FALSE),"NOT FOUND IN EMAILS")</f>
        <v/>
      </c>
      <c r="R3189" t="str">
        <f ca="1">""&amp;IFERROR(VLOOKUP(O3189,EMAILS!B:E,4,FALSE),"NO T FOUND IN EMAILS")</f>
        <v/>
      </c>
    </row>
    <row r="3190" spans="2:18" x14ac:dyDescent="0.25">
      <c r="B3190" s="5" t="s">
        <v>3192</v>
      </c>
      <c r="C3190" s="5" t="s">
        <v>7332</v>
      </c>
      <c r="D3190" s="5">
        <v>2</v>
      </c>
      <c r="E3190" s="5">
        <v>0</v>
      </c>
      <c r="F3190" s="5">
        <v>0</v>
      </c>
      <c r="G3190" s="5">
        <v>0</v>
      </c>
      <c r="H3190" s="5">
        <v>0</v>
      </c>
      <c r="I3190" s="5">
        <v>0</v>
      </c>
      <c r="J3190" s="5">
        <v>0</v>
      </c>
      <c r="K3190" s="5">
        <v>0</v>
      </c>
      <c r="L3190" s="5">
        <v>0</v>
      </c>
      <c r="M3190" s="5">
        <v>0</v>
      </c>
      <c r="N3190" s="5">
        <v>0</v>
      </c>
      <c r="O3190" s="5" t="str">
        <f t="shared" ca="1" si="49"/>
        <v>Supplier 1</v>
      </c>
      <c r="P3190" s="20" t="str">
        <f ca="1">IFERROR(VLOOKUP(O3190,EMAILS!B:C,2,FALSE),"NOT FOUND IN EMAILS")</f>
        <v>supplier@gmail.com</v>
      </c>
      <c r="Q3190" t="str">
        <f ca="1">""&amp;IFERROR(VLOOKUP(O3190,EMAILS!B:D,3,FALSE),"NOT FOUND IN EMAILS")</f>
        <v>supplier_logistics@gmail.com</v>
      </c>
      <c r="R3190" t="str">
        <f ca="1">""&amp;IFERROR(VLOOKUP(O3190,EMAILS!B:E,4,FALSE),"NO T FOUND IN EMAILS")</f>
        <v/>
      </c>
    </row>
    <row r="3191" spans="2:18" x14ac:dyDescent="0.25">
      <c r="B3191" s="5" t="s">
        <v>3193</v>
      </c>
      <c r="C3191" s="5" t="s">
        <v>7333</v>
      </c>
      <c r="D3191" s="5">
        <v>128</v>
      </c>
      <c r="E3191" s="5">
        <v>42</v>
      </c>
      <c r="F3191" s="5">
        <v>174</v>
      </c>
      <c r="G3191" s="5">
        <v>174</v>
      </c>
      <c r="H3191" s="5">
        <v>174</v>
      </c>
      <c r="I3191" s="5">
        <v>174</v>
      </c>
      <c r="J3191" s="5">
        <v>174</v>
      </c>
      <c r="K3191" s="5">
        <v>174</v>
      </c>
      <c r="L3191" s="5">
        <v>174</v>
      </c>
      <c r="M3191" s="5">
        <v>0</v>
      </c>
      <c r="N3191" s="5">
        <v>1823</v>
      </c>
      <c r="O3191" s="5" t="str">
        <f t="shared" ca="1" si="49"/>
        <v>Supplier 40</v>
      </c>
      <c r="P3191" s="20" t="str">
        <f ca="1">IFERROR(VLOOKUP(O3191,EMAILS!B:C,2,FALSE),"NOT FOUND IN EMAILS")</f>
        <v>supplier@gmail.com</v>
      </c>
      <c r="Q3191" t="str">
        <f ca="1">""&amp;IFERROR(VLOOKUP(O3191,EMAILS!B:D,3,FALSE),"NOT FOUND IN EMAILS")</f>
        <v/>
      </c>
      <c r="R3191" t="str">
        <f ca="1">""&amp;IFERROR(VLOOKUP(O3191,EMAILS!B:E,4,FALSE),"NO T FOUND IN EMAILS")</f>
        <v/>
      </c>
    </row>
    <row r="3192" spans="2:18" x14ac:dyDescent="0.25">
      <c r="B3192" s="5" t="s">
        <v>3194</v>
      </c>
      <c r="C3192" s="5" t="s">
        <v>7334</v>
      </c>
      <c r="D3192" s="5">
        <v>0</v>
      </c>
      <c r="E3192" s="5">
        <v>0</v>
      </c>
      <c r="F3192" s="5">
        <v>0</v>
      </c>
      <c r="G3192" s="5">
        <v>0</v>
      </c>
      <c r="H3192" s="5">
        <v>0</v>
      </c>
      <c r="I3192" s="5">
        <v>0</v>
      </c>
      <c r="J3192" s="5">
        <v>0</v>
      </c>
      <c r="K3192" s="5">
        <v>0</v>
      </c>
      <c r="L3192" s="5">
        <v>0</v>
      </c>
      <c r="M3192" s="5">
        <v>0</v>
      </c>
      <c r="N3192" s="5">
        <v>2902</v>
      </c>
      <c r="O3192" s="5" t="str">
        <f t="shared" ca="1" si="49"/>
        <v>Supplier 168</v>
      </c>
      <c r="P3192" s="20" t="str">
        <f ca="1">IFERROR(VLOOKUP(O3192,EMAILS!B:C,2,FALSE),"NOT FOUND IN EMAILS")</f>
        <v>supplier@gmail.com</v>
      </c>
      <c r="Q3192" t="str">
        <f ca="1">""&amp;IFERROR(VLOOKUP(O3192,EMAILS!B:D,3,FALSE),"NOT FOUND IN EMAILS")</f>
        <v/>
      </c>
      <c r="R3192" t="str">
        <f ca="1">""&amp;IFERROR(VLOOKUP(O3192,EMAILS!B:E,4,FALSE),"NO T FOUND IN EMAILS")</f>
        <v/>
      </c>
    </row>
    <row r="3193" spans="2:18" x14ac:dyDescent="0.25">
      <c r="B3193" s="5" t="s">
        <v>3195</v>
      </c>
      <c r="C3193" s="5" t="s">
        <v>7335</v>
      </c>
      <c r="D3193" s="5">
        <v>40</v>
      </c>
      <c r="E3193" s="5">
        <v>24</v>
      </c>
      <c r="F3193" s="5">
        <v>96</v>
      </c>
      <c r="G3193" s="5">
        <v>96</v>
      </c>
      <c r="H3193" s="5">
        <v>96</v>
      </c>
      <c r="I3193" s="5">
        <v>96</v>
      </c>
      <c r="J3193" s="5">
        <v>96</v>
      </c>
      <c r="K3193" s="5">
        <v>96</v>
      </c>
      <c r="L3193" s="5">
        <v>96</v>
      </c>
      <c r="M3193" s="5">
        <v>0</v>
      </c>
      <c r="N3193" s="5">
        <v>2200</v>
      </c>
      <c r="O3193" s="5" t="str">
        <f t="shared" ca="1" si="49"/>
        <v>Supplier 177</v>
      </c>
      <c r="P3193" s="20" t="str">
        <f ca="1">IFERROR(VLOOKUP(O3193,EMAILS!B:C,2,FALSE),"NOT FOUND IN EMAILS")</f>
        <v>supplier@gmail.com</v>
      </c>
      <c r="Q3193" t="str">
        <f ca="1">""&amp;IFERROR(VLOOKUP(O3193,EMAILS!B:D,3,FALSE),"NOT FOUND IN EMAILS")</f>
        <v/>
      </c>
      <c r="R3193" t="str">
        <f ca="1">""&amp;IFERROR(VLOOKUP(O3193,EMAILS!B:E,4,FALSE),"NO T FOUND IN EMAILS")</f>
        <v/>
      </c>
    </row>
    <row r="3194" spans="2:18" x14ac:dyDescent="0.25">
      <c r="B3194" s="5" t="s">
        <v>3196</v>
      </c>
      <c r="C3194" s="5" t="s">
        <v>7336</v>
      </c>
      <c r="D3194" s="5">
        <v>0</v>
      </c>
      <c r="E3194" s="5">
        <v>0</v>
      </c>
      <c r="F3194" s="5">
        <v>0</v>
      </c>
      <c r="G3194" s="5">
        <v>0</v>
      </c>
      <c r="H3194" s="5">
        <v>0</v>
      </c>
      <c r="I3194" s="5">
        <v>0</v>
      </c>
      <c r="J3194" s="5">
        <v>0</v>
      </c>
      <c r="K3194" s="5">
        <v>0</v>
      </c>
      <c r="L3194" s="5">
        <v>0</v>
      </c>
      <c r="M3194" s="5">
        <v>0</v>
      </c>
      <c r="N3194" s="5">
        <v>0</v>
      </c>
      <c r="O3194" s="5" t="str">
        <f t="shared" ca="1" si="49"/>
        <v>Supplier 144</v>
      </c>
      <c r="P3194" s="20" t="str">
        <f ca="1">IFERROR(VLOOKUP(O3194,EMAILS!B:C,2,FALSE),"NOT FOUND IN EMAILS")</f>
        <v>supplier@gmail.com</v>
      </c>
      <c r="Q3194" t="str">
        <f ca="1">""&amp;IFERROR(VLOOKUP(O3194,EMAILS!B:D,3,FALSE),"NOT FOUND IN EMAILS")</f>
        <v/>
      </c>
      <c r="R3194" t="str">
        <f ca="1">""&amp;IFERROR(VLOOKUP(O3194,EMAILS!B:E,4,FALSE),"NO T FOUND IN EMAILS")</f>
        <v/>
      </c>
    </row>
    <row r="3195" spans="2:18" x14ac:dyDescent="0.25">
      <c r="B3195" s="5" t="s">
        <v>3197</v>
      </c>
      <c r="C3195" s="5" t="s">
        <v>7337</v>
      </c>
      <c r="D3195" s="5">
        <v>0</v>
      </c>
      <c r="E3195" s="5">
        <v>0</v>
      </c>
      <c r="F3195" s="5">
        <v>0</v>
      </c>
      <c r="G3195" s="5">
        <v>0</v>
      </c>
      <c r="H3195" s="5">
        <v>0</v>
      </c>
      <c r="I3195" s="5">
        <v>0</v>
      </c>
      <c r="J3195" s="5">
        <v>0</v>
      </c>
      <c r="K3195" s="5">
        <v>0</v>
      </c>
      <c r="L3195" s="5">
        <v>0</v>
      </c>
      <c r="M3195" s="5">
        <v>0</v>
      </c>
      <c r="N3195" s="5">
        <v>0</v>
      </c>
      <c r="O3195" s="5" t="str">
        <f t="shared" ca="1" si="49"/>
        <v>Supplier 135</v>
      </c>
      <c r="P3195" s="20" t="str">
        <f ca="1">IFERROR(VLOOKUP(O3195,EMAILS!B:C,2,FALSE),"NOT FOUND IN EMAILS")</f>
        <v>supplier@gmail.com</v>
      </c>
      <c r="Q3195" t="str">
        <f ca="1">""&amp;IFERROR(VLOOKUP(O3195,EMAILS!B:D,3,FALSE),"NOT FOUND IN EMAILS")</f>
        <v/>
      </c>
      <c r="R3195" t="str">
        <f ca="1">""&amp;IFERROR(VLOOKUP(O3195,EMAILS!B:E,4,FALSE),"NO T FOUND IN EMAILS")</f>
        <v/>
      </c>
    </row>
    <row r="3196" spans="2:18" x14ac:dyDescent="0.25">
      <c r="B3196" s="5" t="s">
        <v>3198</v>
      </c>
      <c r="C3196" s="5" t="s">
        <v>7338</v>
      </c>
      <c r="D3196" s="5">
        <v>30</v>
      </c>
      <c r="E3196" s="5">
        <v>2</v>
      </c>
      <c r="F3196" s="5">
        <v>12</v>
      </c>
      <c r="G3196" s="5">
        <v>12</v>
      </c>
      <c r="H3196" s="5">
        <v>14</v>
      </c>
      <c r="I3196" s="5">
        <v>12</v>
      </c>
      <c r="J3196" s="5">
        <v>12</v>
      </c>
      <c r="K3196" s="5">
        <v>12</v>
      </c>
      <c r="L3196" s="5">
        <v>12</v>
      </c>
      <c r="M3196" s="5">
        <v>0</v>
      </c>
      <c r="N3196" s="5">
        <v>0</v>
      </c>
      <c r="O3196" s="5" t="str">
        <f t="shared" ca="1" si="49"/>
        <v>Supplier 145</v>
      </c>
      <c r="P3196" s="20" t="str">
        <f ca="1">IFERROR(VLOOKUP(O3196,EMAILS!B:C,2,FALSE),"NOT FOUND IN EMAILS")</f>
        <v>supplier@gmail.com</v>
      </c>
      <c r="Q3196" t="str">
        <f ca="1">""&amp;IFERROR(VLOOKUP(O3196,EMAILS!B:D,3,FALSE),"NOT FOUND IN EMAILS")</f>
        <v/>
      </c>
      <c r="R3196" t="str">
        <f ca="1">""&amp;IFERROR(VLOOKUP(O3196,EMAILS!B:E,4,FALSE),"NO T FOUND IN EMAILS")</f>
        <v/>
      </c>
    </row>
    <row r="3197" spans="2:18" x14ac:dyDescent="0.25">
      <c r="B3197" s="5" t="s">
        <v>3199</v>
      </c>
      <c r="C3197" s="5" t="s">
        <v>7339</v>
      </c>
      <c r="D3197" s="5">
        <v>0</v>
      </c>
      <c r="E3197" s="5">
        <v>0</v>
      </c>
      <c r="F3197" s="5">
        <v>0</v>
      </c>
      <c r="G3197" s="5">
        <v>0</v>
      </c>
      <c r="H3197" s="5">
        <v>0</v>
      </c>
      <c r="I3197" s="5">
        <v>0</v>
      </c>
      <c r="J3197" s="5">
        <v>0</v>
      </c>
      <c r="K3197" s="5">
        <v>0</v>
      </c>
      <c r="L3197" s="5">
        <v>0</v>
      </c>
      <c r="M3197" s="5">
        <v>0</v>
      </c>
      <c r="N3197" s="5">
        <v>0</v>
      </c>
      <c r="O3197" s="5" t="str">
        <f t="shared" ca="1" si="49"/>
        <v>Supplier 136</v>
      </c>
      <c r="P3197" s="20" t="str">
        <f ca="1">IFERROR(VLOOKUP(O3197,EMAILS!B:C,2,FALSE),"NOT FOUND IN EMAILS")</f>
        <v>supplier@gmail.com</v>
      </c>
      <c r="Q3197" t="str">
        <f ca="1">""&amp;IFERROR(VLOOKUP(O3197,EMAILS!B:D,3,FALSE),"NOT FOUND IN EMAILS")</f>
        <v/>
      </c>
      <c r="R3197" t="str">
        <f ca="1">""&amp;IFERROR(VLOOKUP(O3197,EMAILS!B:E,4,FALSE),"NO T FOUND IN EMAILS")</f>
        <v/>
      </c>
    </row>
    <row r="3198" spans="2:18" x14ac:dyDescent="0.25">
      <c r="B3198" s="5" t="s">
        <v>3200</v>
      </c>
      <c r="C3198" s="5" t="s">
        <v>7340</v>
      </c>
      <c r="D3198" s="5">
        <v>0</v>
      </c>
      <c r="E3198" s="5">
        <v>0</v>
      </c>
      <c r="F3198" s="5">
        <v>0</v>
      </c>
      <c r="G3198" s="5">
        <v>0</v>
      </c>
      <c r="H3198" s="5">
        <v>0</v>
      </c>
      <c r="I3198" s="5">
        <v>0</v>
      </c>
      <c r="J3198" s="5">
        <v>0</v>
      </c>
      <c r="K3198" s="5">
        <v>0</v>
      </c>
      <c r="L3198" s="5">
        <v>0</v>
      </c>
      <c r="M3198" s="5">
        <v>0</v>
      </c>
      <c r="N3198" s="5">
        <v>0</v>
      </c>
      <c r="O3198" s="5" t="str">
        <f t="shared" ca="1" si="49"/>
        <v>Supplier 113</v>
      </c>
      <c r="P3198" s="20" t="str">
        <f ca="1">IFERROR(VLOOKUP(O3198,EMAILS!B:C,2,FALSE),"NOT FOUND IN EMAILS")</f>
        <v>supplier@gmail.com</v>
      </c>
      <c r="Q3198" t="str">
        <f ca="1">""&amp;IFERROR(VLOOKUP(O3198,EMAILS!B:D,3,FALSE),"NOT FOUND IN EMAILS")</f>
        <v/>
      </c>
      <c r="R3198" t="str">
        <f ca="1">""&amp;IFERROR(VLOOKUP(O3198,EMAILS!B:E,4,FALSE),"NO T FOUND IN EMAILS")</f>
        <v/>
      </c>
    </row>
    <row r="3199" spans="2:18" x14ac:dyDescent="0.25">
      <c r="B3199" s="5" t="s">
        <v>3201</v>
      </c>
      <c r="C3199" s="5" t="s">
        <v>7341</v>
      </c>
      <c r="D3199" s="5">
        <v>154</v>
      </c>
      <c r="E3199" s="5">
        <v>34</v>
      </c>
      <c r="F3199" s="5">
        <v>180</v>
      </c>
      <c r="G3199" s="5">
        <v>180</v>
      </c>
      <c r="H3199" s="5">
        <v>182</v>
      </c>
      <c r="I3199" s="5">
        <v>180</v>
      </c>
      <c r="J3199" s="5">
        <v>180</v>
      </c>
      <c r="K3199" s="5">
        <v>180</v>
      </c>
      <c r="L3199" s="5">
        <v>180</v>
      </c>
      <c r="M3199" s="5">
        <v>0</v>
      </c>
      <c r="N3199" s="5">
        <v>200</v>
      </c>
      <c r="O3199" s="5" t="str">
        <f t="shared" ca="1" si="49"/>
        <v>Supplier 7</v>
      </c>
      <c r="P3199" s="20" t="str">
        <f ca="1">IFERROR(VLOOKUP(O3199,EMAILS!B:C,2,FALSE),"NOT FOUND IN EMAILS")</f>
        <v>supplier@gmail.com</v>
      </c>
      <c r="Q3199" t="str">
        <f ca="1">""&amp;IFERROR(VLOOKUP(O3199,EMAILS!B:D,3,FALSE),"NOT FOUND IN EMAILS")</f>
        <v>supplier_logistics@gmail.com</v>
      </c>
      <c r="R3199" t="str">
        <f ca="1">""&amp;IFERROR(VLOOKUP(O3199,EMAILS!B:E,4,FALSE),"NO T FOUND IN EMAILS")</f>
        <v/>
      </c>
    </row>
    <row r="3200" spans="2:18" x14ac:dyDescent="0.25">
      <c r="B3200" s="5" t="s">
        <v>3202</v>
      </c>
      <c r="C3200" s="5" t="s">
        <v>7342</v>
      </c>
      <c r="D3200" s="5">
        <v>0</v>
      </c>
      <c r="E3200" s="5">
        <v>0</v>
      </c>
      <c r="F3200" s="5">
        <v>0</v>
      </c>
      <c r="G3200" s="5">
        <v>0</v>
      </c>
      <c r="H3200" s="5">
        <v>0</v>
      </c>
      <c r="I3200" s="5">
        <v>0</v>
      </c>
      <c r="J3200" s="5">
        <v>0</v>
      </c>
      <c r="K3200" s="5">
        <v>0</v>
      </c>
      <c r="L3200" s="5">
        <v>0</v>
      </c>
      <c r="M3200" s="5">
        <v>0</v>
      </c>
      <c r="N3200" s="5">
        <v>100</v>
      </c>
      <c r="O3200" s="5" t="str">
        <f t="shared" ca="1" si="49"/>
        <v>Supplier 65</v>
      </c>
      <c r="P3200" s="20" t="str">
        <f ca="1">IFERROR(VLOOKUP(O3200,EMAILS!B:C,2,FALSE),"NOT FOUND IN EMAILS")</f>
        <v>supplier@gmail.com</v>
      </c>
      <c r="Q3200" t="str">
        <f ca="1">""&amp;IFERROR(VLOOKUP(O3200,EMAILS!B:D,3,FALSE),"NOT FOUND IN EMAILS")</f>
        <v/>
      </c>
      <c r="R3200" t="str">
        <f ca="1">""&amp;IFERROR(VLOOKUP(O3200,EMAILS!B:E,4,FALSE),"NO T FOUND IN EMAILS")</f>
        <v/>
      </c>
    </row>
    <row r="3201" spans="2:18" x14ac:dyDescent="0.25">
      <c r="B3201" s="5" t="s">
        <v>3203</v>
      </c>
      <c r="C3201" s="5" t="s">
        <v>7343</v>
      </c>
      <c r="D3201" s="5">
        <v>0</v>
      </c>
      <c r="E3201" s="5">
        <v>0</v>
      </c>
      <c r="F3201" s="5">
        <v>0</v>
      </c>
      <c r="G3201" s="5">
        <v>0</v>
      </c>
      <c r="H3201" s="5">
        <v>0</v>
      </c>
      <c r="I3201" s="5">
        <v>0</v>
      </c>
      <c r="J3201" s="5">
        <v>0</v>
      </c>
      <c r="K3201" s="5">
        <v>0</v>
      </c>
      <c r="L3201" s="5">
        <v>0</v>
      </c>
      <c r="M3201" s="5">
        <v>0</v>
      </c>
      <c r="N3201" s="5">
        <v>0</v>
      </c>
      <c r="O3201" s="5" t="str">
        <f t="shared" ca="1" si="49"/>
        <v>Supplier 198</v>
      </c>
      <c r="P3201" s="20" t="str">
        <f ca="1">IFERROR(VLOOKUP(O3201,EMAILS!B:C,2,FALSE),"NOT FOUND IN EMAILS")</f>
        <v>supplier@gmail.com</v>
      </c>
      <c r="Q3201" t="str">
        <f ca="1">""&amp;IFERROR(VLOOKUP(O3201,EMAILS!B:D,3,FALSE),"NOT FOUND IN EMAILS")</f>
        <v/>
      </c>
      <c r="R3201" t="str">
        <f ca="1">""&amp;IFERROR(VLOOKUP(O3201,EMAILS!B:E,4,FALSE),"NO T FOUND IN EMAILS")</f>
        <v/>
      </c>
    </row>
    <row r="3202" spans="2:18" x14ac:dyDescent="0.25">
      <c r="B3202" s="5" t="s">
        <v>3204</v>
      </c>
      <c r="C3202" s="5" t="s">
        <v>7344</v>
      </c>
      <c r="D3202" s="5">
        <v>624</v>
      </c>
      <c r="E3202" s="5">
        <v>624</v>
      </c>
      <c r="F3202" s="5">
        <v>672</v>
      </c>
      <c r="G3202" s="5">
        <v>528</v>
      </c>
      <c r="H3202" s="5">
        <v>648</v>
      </c>
      <c r="I3202" s="5">
        <v>576</v>
      </c>
      <c r="J3202" s="5">
        <v>528</v>
      </c>
      <c r="K3202" s="5">
        <v>528</v>
      </c>
      <c r="L3202" s="5">
        <v>432</v>
      </c>
      <c r="M3202" s="5">
        <v>0</v>
      </c>
      <c r="N3202" s="5">
        <v>0</v>
      </c>
      <c r="O3202" s="5" t="str">
        <f t="shared" ca="1" si="49"/>
        <v>Supplier 81</v>
      </c>
      <c r="P3202" s="20" t="str">
        <f ca="1">IFERROR(VLOOKUP(O3202,EMAILS!B:C,2,FALSE),"NOT FOUND IN EMAILS")</f>
        <v>supplier@gmail.com</v>
      </c>
      <c r="Q3202" t="str">
        <f ca="1">""&amp;IFERROR(VLOOKUP(O3202,EMAILS!B:D,3,FALSE),"NOT FOUND IN EMAILS")</f>
        <v/>
      </c>
      <c r="R3202" t="str">
        <f ca="1">""&amp;IFERROR(VLOOKUP(O3202,EMAILS!B:E,4,FALSE),"NO T FOUND IN EMAILS")</f>
        <v/>
      </c>
    </row>
    <row r="3203" spans="2:18" x14ac:dyDescent="0.25">
      <c r="B3203" s="5" t="s">
        <v>3205</v>
      </c>
      <c r="C3203" s="5" t="s">
        <v>7345</v>
      </c>
      <c r="D3203" s="5">
        <v>0</v>
      </c>
      <c r="E3203" s="5">
        <v>0</v>
      </c>
      <c r="F3203" s="5">
        <v>0</v>
      </c>
      <c r="G3203" s="5">
        <v>0</v>
      </c>
      <c r="H3203" s="5">
        <v>0</v>
      </c>
      <c r="I3203" s="5">
        <v>0</v>
      </c>
      <c r="J3203" s="5">
        <v>0</v>
      </c>
      <c r="K3203" s="5">
        <v>0</v>
      </c>
      <c r="L3203" s="5">
        <v>0</v>
      </c>
      <c r="M3203" s="5">
        <v>0</v>
      </c>
      <c r="N3203" s="5">
        <v>0</v>
      </c>
      <c r="O3203" s="5" t="str">
        <f t="shared" ref="O3203:O3266" ca="1" si="50">"Supplier "&amp;RANDBETWEEN(1,200)</f>
        <v>Supplier 93</v>
      </c>
      <c r="P3203" s="20" t="str">
        <f ca="1">IFERROR(VLOOKUP(O3203,EMAILS!B:C,2,FALSE),"NOT FOUND IN EMAILS")</f>
        <v>supplier@gmail.com</v>
      </c>
      <c r="Q3203" t="str">
        <f ca="1">""&amp;IFERROR(VLOOKUP(O3203,EMAILS!B:D,3,FALSE),"NOT FOUND IN EMAILS")</f>
        <v/>
      </c>
      <c r="R3203" t="str">
        <f ca="1">""&amp;IFERROR(VLOOKUP(O3203,EMAILS!B:E,4,FALSE),"NO T FOUND IN EMAILS")</f>
        <v/>
      </c>
    </row>
    <row r="3204" spans="2:18" x14ac:dyDescent="0.25">
      <c r="B3204" s="5" t="s">
        <v>3206</v>
      </c>
      <c r="C3204" s="5" t="s">
        <v>7346</v>
      </c>
      <c r="D3204" s="5">
        <v>0</v>
      </c>
      <c r="E3204" s="5">
        <v>0</v>
      </c>
      <c r="F3204" s="5">
        <v>0</v>
      </c>
      <c r="G3204" s="5">
        <v>0</v>
      </c>
      <c r="H3204" s="5">
        <v>0</v>
      </c>
      <c r="I3204" s="5">
        <v>0</v>
      </c>
      <c r="J3204" s="5">
        <v>0</v>
      </c>
      <c r="K3204" s="5">
        <v>0</v>
      </c>
      <c r="L3204" s="5">
        <v>0</v>
      </c>
      <c r="M3204" s="5">
        <v>0</v>
      </c>
      <c r="N3204" s="5">
        <v>0</v>
      </c>
      <c r="O3204" s="5" t="str">
        <f t="shared" ca="1" si="50"/>
        <v>Supplier 35</v>
      </c>
      <c r="P3204" s="20" t="str">
        <f ca="1">IFERROR(VLOOKUP(O3204,EMAILS!B:C,2,FALSE),"NOT FOUND IN EMAILS")</f>
        <v>supplier@gmail.com</v>
      </c>
      <c r="Q3204" t="str">
        <f ca="1">""&amp;IFERROR(VLOOKUP(O3204,EMAILS!B:D,3,FALSE),"NOT FOUND IN EMAILS")</f>
        <v/>
      </c>
      <c r="R3204" t="str">
        <f ca="1">""&amp;IFERROR(VLOOKUP(O3204,EMAILS!B:E,4,FALSE),"NO T FOUND IN EMAILS")</f>
        <v/>
      </c>
    </row>
    <row r="3205" spans="2:18" x14ac:dyDescent="0.25">
      <c r="B3205" s="5" t="s">
        <v>3207</v>
      </c>
      <c r="C3205" s="5" t="s">
        <v>7347</v>
      </c>
      <c r="D3205" s="5">
        <v>0</v>
      </c>
      <c r="E3205" s="5">
        <v>0</v>
      </c>
      <c r="F3205" s="5">
        <v>0</v>
      </c>
      <c r="G3205" s="5">
        <v>0</v>
      </c>
      <c r="H3205" s="5">
        <v>0</v>
      </c>
      <c r="I3205" s="5">
        <v>0</v>
      </c>
      <c r="J3205" s="5">
        <v>0</v>
      </c>
      <c r="K3205" s="5">
        <v>0</v>
      </c>
      <c r="L3205" s="5">
        <v>0</v>
      </c>
      <c r="M3205" s="5">
        <v>0</v>
      </c>
      <c r="N3205" s="5">
        <v>0</v>
      </c>
      <c r="O3205" s="5" t="str">
        <f t="shared" ca="1" si="50"/>
        <v>Supplier 167</v>
      </c>
      <c r="P3205" s="20" t="str">
        <f ca="1">IFERROR(VLOOKUP(O3205,EMAILS!B:C,2,FALSE),"NOT FOUND IN EMAILS")</f>
        <v>supplier@gmail.com</v>
      </c>
      <c r="Q3205" t="str">
        <f ca="1">""&amp;IFERROR(VLOOKUP(O3205,EMAILS!B:D,3,FALSE),"NOT FOUND IN EMAILS")</f>
        <v/>
      </c>
      <c r="R3205" t="str">
        <f ca="1">""&amp;IFERROR(VLOOKUP(O3205,EMAILS!B:E,4,FALSE),"NO T FOUND IN EMAILS")</f>
        <v/>
      </c>
    </row>
    <row r="3206" spans="2:18" x14ac:dyDescent="0.25">
      <c r="B3206" s="5" t="s">
        <v>3208</v>
      </c>
      <c r="C3206" s="5" t="s">
        <v>7348</v>
      </c>
      <c r="D3206" s="5">
        <v>0</v>
      </c>
      <c r="E3206" s="5">
        <v>0</v>
      </c>
      <c r="F3206" s="5">
        <v>0</v>
      </c>
      <c r="G3206" s="5">
        <v>0</v>
      </c>
      <c r="H3206" s="5">
        <v>0</v>
      </c>
      <c r="I3206" s="5">
        <v>0</v>
      </c>
      <c r="J3206" s="5">
        <v>0</v>
      </c>
      <c r="K3206" s="5">
        <v>0</v>
      </c>
      <c r="L3206" s="5">
        <v>0</v>
      </c>
      <c r="M3206" s="5">
        <v>0</v>
      </c>
      <c r="N3206" s="5">
        <v>0</v>
      </c>
      <c r="O3206" s="5" t="str">
        <f t="shared" ca="1" si="50"/>
        <v>Supplier 113</v>
      </c>
      <c r="P3206" s="20" t="str">
        <f ca="1">IFERROR(VLOOKUP(O3206,EMAILS!B:C,2,FALSE),"NOT FOUND IN EMAILS")</f>
        <v>supplier@gmail.com</v>
      </c>
      <c r="Q3206" t="str">
        <f ca="1">""&amp;IFERROR(VLOOKUP(O3206,EMAILS!B:D,3,FALSE),"NOT FOUND IN EMAILS")</f>
        <v/>
      </c>
      <c r="R3206" t="str">
        <f ca="1">""&amp;IFERROR(VLOOKUP(O3206,EMAILS!B:E,4,FALSE),"NO T FOUND IN EMAILS")</f>
        <v/>
      </c>
    </row>
    <row r="3207" spans="2:18" x14ac:dyDescent="0.25">
      <c r="B3207" s="5" t="s">
        <v>3209</v>
      </c>
      <c r="C3207" s="5" t="s">
        <v>7349</v>
      </c>
      <c r="D3207" s="5">
        <v>0</v>
      </c>
      <c r="E3207" s="5">
        <v>0</v>
      </c>
      <c r="F3207" s="5">
        <v>0</v>
      </c>
      <c r="G3207" s="5">
        <v>0</v>
      </c>
      <c r="H3207" s="5">
        <v>0</v>
      </c>
      <c r="I3207" s="5">
        <v>0</v>
      </c>
      <c r="J3207" s="5">
        <v>0</v>
      </c>
      <c r="K3207" s="5">
        <v>0</v>
      </c>
      <c r="L3207" s="5">
        <v>0</v>
      </c>
      <c r="M3207" s="5">
        <v>0</v>
      </c>
      <c r="N3207" s="5">
        <v>0</v>
      </c>
      <c r="O3207" s="5" t="str">
        <f t="shared" ca="1" si="50"/>
        <v>Supplier 93</v>
      </c>
      <c r="P3207" s="20" t="str">
        <f ca="1">IFERROR(VLOOKUP(O3207,EMAILS!B:C,2,FALSE),"NOT FOUND IN EMAILS")</f>
        <v>supplier@gmail.com</v>
      </c>
      <c r="Q3207" t="str">
        <f ca="1">""&amp;IFERROR(VLOOKUP(O3207,EMAILS!B:D,3,FALSE),"NOT FOUND IN EMAILS")</f>
        <v/>
      </c>
      <c r="R3207" t="str">
        <f ca="1">""&amp;IFERROR(VLOOKUP(O3207,EMAILS!B:E,4,FALSE),"NO T FOUND IN EMAILS")</f>
        <v/>
      </c>
    </row>
    <row r="3208" spans="2:18" x14ac:dyDescent="0.25">
      <c r="B3208" s="5" t="s">
        <v>3210</v>
      </c>
      <c r="C3208" s="5" t="s">
        <v>7350</v>
      </c>
      <c r="D3208" s="5">
        <v>60</v>
      </c>
      <c r="E3208" s="5">
        <v>0</v>
      </c>
      <c r="F3208" s="5">
        <v>20</v>
      </c>
      <c r="G3208" s="5">
        <v>0</v>
      </c>
      <c r="H3208" s="5">
        <v>0</v>
      </c>
      <c r="I3208" s="5">
        <v>0</v>
      </c>
      <c r="J3208" s="5">
        <v>0</v>
      </c>
      <c r="K3208" s="5">
        <v>0</v>
      </c>
      <c r="L3208" s="5">
        <v>0</v>
      </c>
      <c r="M3208" s="5">
        <v>0</v>
      </c>
      <c r="N3208" s="5">
        <v>0</v>
      </c>
      <c r="O3208" s="5" t="str">
        <f t="shared" ca="1" si="50"/>
        <v>Supplier 80</v>
      </c>
      <c r="P3208" s="20" t="str">
        <f ca="1">IFERROR(VLOOKUP(O3208,EMAILS!B:C,2,FALSE),"NOT FOUND IN EMAILS")</f>
        <v>supplier@gmail.com</v>
      </c>
      <c r="Q3208" t="str">
        <f ca="1">""&amp;IFERROR(VLOOKUP(O3208,EMAILS!B:D,3,FALSE),"NOT FOUND IN EMAILS")</f>
        <v/>
      </c>
      <c r="R3208" t="str">
        <f ca="1">""&amp;IFERROR(VLOOKUP(O3208,EMAILS!B:E,4,FALSE),"NO T FOUND IN EMAILS")</f>
        <v/>
      </c>
    </row>
    <row r="3209" spans="2:18" x14ac:dyDescent="0.25">
      <c r="B3209" s="5" t="s">
        <v>3211</v>
      </c>
      <c r="C3209" s="5" t="s">
        <v>7351</v>
      </c>
      <c r="D3209" s="5">
        <v>120</v>
      </c>
      <c r="E3209" s="5">
        <v>60</v>
      </c>
      <c r="F3209" s="5">
        <v>60</v>
      </c>
      <c r="G3209" s="5">
        <v>60</v>
      </c>
      <c r="H3209" s="5">
        <v>60</v>
      </c>
      <c r="I3209" s="5">
        <v>30</v>
      </c>
      <c r="J3209" s="5">
        <v>60</v>
      </c>
      <c r="K3209" s="5">
        <v>30</v>
      </c>
      <c r="L3209" s="5">
        <v>60</v>
      </c>
      <c r="M3209" s="5">
        <v>0</v>
      </c>
      <c r="N3209" s="5">
        <v>0</v>
      </c>
      <c r="O3209" s="5" t="str">
        <f t="shared" ca="1" si="50"/>
        <v>Supplier 3</v>
      </c>
      <c r="P3209" s="20" t="str">
        <f ca="1">IFERROR(VLOOKUP(O3209,EMAILS!B:C,2,FALSE),"NOT FOUND IN EMAILS")</f>
        <v>supplier@gmail.com</v>
      </c>
      <c r="Q3209" t="str">
        <f ca="1">""&amp;IFERROR(VLOOKUP(O3209,EMAILS!B:D,3,FALSE),"NOT FOUND IN EMAILS")</f>
        <v>supplier_logistics@gmail.com</v>
      </c>
      <c r="R3209" t="str">
        <f ca="1">""&amp;IFERROR(VLOOKUP(O3209,EMAILS!B:E,4,FALSE),"NO T FOUND IN EMAILS")</f>
        <v/>
      </c>
    </row>
    <row r="3210" spans="2:18" x14ac:dyDescent="0.25">
      <c r="B3210" s="5" t="s">
        <v>3212</v>
      </c>
      <c r="C3210" s="5" t="s">
        <v>7352</v>
      </c>
      <c r="D3210" s="5">
        <v>120</v>
      </c>
      <c r="E3210" s="5">
        <v>60</v>
      </c>
      <c r="F3210" s="5">
        <v>60</v>
      </c>
      <c r="G3210" s="5">
        <v>60</v>
      </c>
      <c r="H3210" s="5">
        <v>60</v>
      </c>
      <c r="I3210" s="5">
        <v>30</v>
      </c>
      <c r="J3210" s="5">
        <v>60</v>
      </c>
      <c r="K3210" s="5">
        <v>30</v>
      </c>
      <c r="L3210" s="5">
        <v>60</v>
      </c>
      <c r="M3210" s="5">
        <v>0</v>
      </c>
      <c r="N3210" s="5">
        <v>155</v>
      </c>
      <c r="O3210" s="5" t="str">
        <f t="shared" ca="1" si="50"/>
        <v>Supplier 173</v>
      </c>
      <c r="P3210" s="20" t="str">
        <f ca="1">IFERROR(VLOOKUP(O3210,EMAILS!B:C,2,FALSE),"NOT FOUND IN EMAILS")</f>
        <v>supplier@gmail.com</v>
      </c>
      <c r="Q3210" t="str">
        <f ca="1">""&amp;IFERROR(VLOOKUP(O3210,EMAILS!B:D,3,FALSE),"NOT FOUND IN EMAILS")</f>
        <v/>
      </c>
      <c r="R3210" t="str">
        <f ca="1">""&amp;IFERROR(VLOOKUP(O3210,EMAILS!B:E,4,FALSE),"NO T FOUND IN EMAILS")</f>
        <v/>
      </c>
    </row>
    <row r="3211" spans="2:18" x14ac:dyDescent="0.25">
      <c r="B3211" s="5" t="s">
        <v>3213</v>
      </c>
      <c r="C3211" s="5" t="s">
        <v>7353</v>
      </c>
      <c r="D3211" s="5">
        <v>0</v>
      </c>
      <c r="E3211" s="5">
        <v>0</v>
      </c>
      <c r="F3211" s="5">
        <v>0</v>
      </c>
      <c r="G3211" s="5">
        <v>18</v>
      </c>
      <c r="H3211" s="5">
        <v>18</v>
      </c>
      <c r="I3211" s="5">
        <v>18</v>
      </c>
      <c r="J3211" s="5">
        <v>2</v>
      </c>
      <c r="K3211" s="5">
        <v>18</v>
      </c>
      <c r="L3211" s="5">
        <v>17</v>
      </c>
      <c r="M3211" s="5">
        <v>0</v>
      </c>
      <c r="N3211" s="5">
        <v>682</v>
      </c>
      <c r="O3211" s="5" t="str">
        <f t="shared" ca="1" si="50"/>
        <v>Supplier 71</v>
      </c>
      <c r="P3211" s="20" t="str">
        <f ca="1">IFERROR(VLOOKUP(O3211,EMAILS!B:C,2,FALSE),"NOT FOUND IN EMAILS")</f>
        <v>supplier@gmail.com</v>
      </c>
      <c r="Q3211" t="str">
        <f ca="1">""&amp;IFERROR(VLOOKUP(O3211,EMAILS!B:D,3,FALSE),"NOT FOUND IN EMAILS")</f>
        <v/>
      </c>
      <c r="R3211" t="str">
        <f ca="1">""&amp;IFERROR(VLOOKUP(O3211,EMAILS!B:E,4,FALSE),"NO T FOUND IN EMAILS")</f>
        <v/>
      </c>
    </row>
    <row r="3212" spans="2:18" x14ac:dyDescent="0.25">
      <c r="B3212" s="5" t="s">
        <v>3214</v>
      </c>
      <c r="C3212" s="5" t="s">
        <v>7354</v>
      </c>
      <c r="D3212" s="5">
        <v>0</v>
      </c>
      <c r="E3212" s="5">
        <v>0</v>
      </c>
      <c r="F3212" s="5">
        <v>0</v>
      </c>
      <c r="G3212" s="5">
        <v>4</v>
      </c>
      <c r="H3212" s="5">
        <v>4</v>
      </c>
      <c r="I3212" s="5">
        <v>4</v>
      </c>
      <c r="J3212" s="5">
        <v>2</v>
      </c>
      <c r="K3212" s="5">
        <v>4</v>
      </c>
      <c r="L3212" s="5">
        <v>3</v>
      </c>
      <c r="M3212" s="5">
        <v>0</v>
      </c>
      <c r="N3212" s="5">
        <v>1228</v>
      </c>
      <c r="O3212" s="5" t="str">
        <f t="shared" ca="1" si="50"/>
        <v>Supplier 67</v>
      </c>
      <c r="P3212" s="20" t="str">
        <f ca="1">IFERROR(VLOOKUP(O3212,EMAILS!B:C,2,FALSE),"NOT FOUND IN EMAILS")</f>
        <v>supplier@gmail.com</v>
      </c>
      <c r="Q3212" t="str">
        <f ca="1">""&amp;IFERROR(VLOOKUP(O3212,EMAILS!B:D,3,FALSE),"NOT FOUND IN EMAILS")</f>
        <v/>
      </c>
      <c r="R3212" t="str">
        <f ca="1">""&amp;IFERROR(VLOOKUP(O3212,EMAILS!B:E,4,FALSE),"NO T FOUND IN EMAILS")</f>
        <v/>
      </c>
    </row>
    <row r="3213" spans="2:18" x14ac:dyDescent="0.25">
      <c r="B3213" s="5" t="s">
        <v>3215</v>
      </c>
      <c r="C3213" s="5" t="s">
        <v>7355</v>
      </c>
      <c r="D3213" s="5">
        <v>0</v>
      </c>
      <c r="E3213" s="5">
        <v>0</v>
      </c>
      <c r="F3213" s="5">
        <v>0</v>
      </c>
      <c r="G3213" s="5">
        <v>8</v>
      </c>
      <c r="H3213" s="5">
        <v>8</v>
      </c>
      <c r="I3213" s="5">
        <v>8</v>
      </c>
      <c r="J3213" s="5">
        <v>4</v>
      </c>
      <c r="K3213" s="5">
        <v>8</v>
      </c>
      <c r="L3213" s="5">
        <v>6</v>
      </c>
      <c r="M3213" s="5">
        <v>0</v>
      </c>
      <c r="N3213" s="5">
        <v>1218</v>
      </c>
      <c r="O3213" s="5" t="str">
        <f t="shared" ca="1" si="50"/>
        <v>Supplier 108</v>
      </c>
      <c r="P3213" s="20" t="str">
        <f ca="1">IFERROR(VLOOKUP(O3213,EMAILS!B:C,2,FALSE),"NOT FOUND IN EMAILS")</f>
        <v>supplier@gmail.com</v>
      </c>
      <c r="Q3213" t="str">
        <f ca="1">""&amp;IFERROR(VLOOKUP(O3213,EMAILS!B:D,3,FALSE),"NOT FOUND IN EMAILS")</f>
        <v/>
      </c>
      <c r="R3213" t="str">
        <f ca="1">""&amp;IFERROR(VLOOKUP(O3213,EMAILS!B:E,4,FALSE),"NO T FOUND IN EMAILS")</f>
        <v/>
      </c>
    </row>
    <row r="3214" spans="2:18" x14ac:dyDescent="0.25">
      <c r="B3214" s="5" t="s">
        <v>3216</v>
      </c>
      <c r="C3214" s="5" t="s">
        <v>7356</v>
      </c>
      <c r="D3214" s="5">
        <v>0</v>
      </c>
      <c r="E3214" s="5">
        <v>0</v>
      </c>
      <c r="F3214" s="5">
        <v>0</v>
      </c>
      <c r="G3214" s="5">
        <v>4</v>
      </c>
      <c r="H3214" s="5">
        <v>4</v>
      </c>
      <c r="I3214" s="5">
        <v>4</v>
      </c>
      <c r="J3214" s="5">
        <v>0</v>
      </c>
      <c r="K3214" s="5">
        <v>4</v>
      </c>
      <c r="L3214" s="5">
        <v>4</v>
      </c>
      <c r="M3214" s="5">
        <v>0</v>
      </c>
      <c r="N3214" s="5">
        <v>192</v>
      </c>
      <c r="O3214" s="5" t="str">
        <f t="shared" ca="1" si="50"/>
        <v>Supplier 21</v>
      </c>
      <c r="P3214" s="20" t="str">
        <f ca="1">IFERROR(VLOOKUP(O3214,EMAILS!B:C,2,FALSE),"NOT FOUND IN EMAILS")</f>
        <v>supplier@gmail.com</v>
      </c>
      <c r="Q3214" t="str">
        <f ca="1">""&amp;IFERROR(VLOOKUP(O3214,EMAILS!B:D,3,FALSE),"NOT FOUND IN EMAILS")</f>
        <v/>
      </c>
      <c r="R3214" t="str">
        <f ca="1">""&amp;IFERROR(VLOOKUP(O3214,EMAILS!B:E,4,FALSE),"NO T FOUND IN EMAILS")</f>
        <v/>
      </c>
    </row>
    <row r="3215" spans="2:18" x14ac:dyDescent="0.25">
      <c r="B3215" s="5" t="s">
        <v>3217</v>
      </c>
      <c r="C3215" s="5" t="s">
        <v>7357</v>
      </c>
      <c r="D3215" s="5">
        <v>0</v>
      </c>
      <c r="E3215" s="5">
        <v>0</v>
      </c>
      <c r="F3215" s="5">
        <v>0</v>
      </c>
      <c r="G3215" s="5">
        <v>8</v>
      </c>
      <c r="H3215" s="5">
        <v>8</v>
      </c>
      <c r="I3215" s="5">
        <v>8</v>
      </c>
      <c r="J3215" s="5">
        <v>4</v>
      </c>
      <c r="K3215" s="5">
        <v>8</v>
      </c>
      <c r="L3215" s="5">
        <v>6</v>
      </c>
      <c r="M3215" s="5">
        <v>0</v>
      </c>
      <c r="N3215" s="5">
        <v>1443</v>
      </c>
      <c r="O3215" s="5" t="str">
        <f t="shared" ca="1" si="50"/>
        <v>Supplier 193</v>
      </c>
      <c r="P3215" s="20" t="str">
        <f ca="1">IFERROR(VLOOKUP(O3215,EMAILS!B:C,2,FALSE),"NOT FOUND IN EMAILS")</f>
        <v>supplier@gmail.com</v>
      </c>
      <c r="Q3215" t="str">
        <f ca="1">""&amp;IFERROR(VLOOKUP(O3215,EMAILS!B:D,3,FALSE),"NOT FOUND IN EMAILS")</f>
        <v/>
      </c>
      <c r="R3215" t="str">
        <f ca="1">""&amp;IFERROR(VLOOKUP(O3215,EMAILS!B:E,4,FALSE),"NO T FOUND IN EMAILS")</f>
        <v/>
      </c>
    </row>
    <row r="3216" spans="2:18" x14ac:dyDescent="0.25">
      <c r="B3216" s="5" t="s">
        <v>3218</v>
      </c>
      <c r="C3216" s="5" t="s">
        <v>7358</v>
      </c>
      <c r="D3216" s="5">
        <v>0</v>
      </c>
      <c r="E3216" s="5">
        <v>0</v>
      </c>
      <c r="F3216" s="5">
        <v>0</v>
      </c>
      <c r="G3216" s="5">
        <v>16</v>
      </c>
      <c r="H3216" s="5">
        <v>16</v>
      </c>
      <c r="I3216" s="5">
        <v>16</v>
      </c>
      <c r="J3216" s="5">
        <v>0</v>
      </c>
      <c r="K3216" s="5">
        <v>16</v>
      </c>
      <c r="L3216" s="5">
        <v>16</v>
      </c>
      <c r="M3216" s="5">
        <v>0</v>
      </c>
      <c r="N3216" s="5">
        <v>455</v>
      </c>
      <c r="O3216" s="5" t="str">
        <f t="shared" ca="1" si="50"/>
        <v>Supplier 124</v>
      </c>
      <c r="P3216" s="20" t="str">
        <f ca="1">IFERROR(VLOOKUP(O3216,EMAILS!B:C,2,FALSE),"NOT FOUND IN EMAILS")</f>
        <v>supplier@gmail.com</v>
      </c>
      <c r="Q3216" t="str">
        <f ca="1">""&amp;IFERROR(VLOOKUP(O3216,EMAILS!B:D,3,FALSE),"NOT FOUND IN EMAILS")</f>
        <v/>
      </c>
      <c r="R3216" t="str">
        <f ca="1">""&amp;IFERROR(VLOOKUP(O3216,EMAILS!B:E,4,FALSE),"NO T FOUND IN EMAILS")</f>
        <v/>
      </c>
    </row>
    <row r="3217" spans="2:18" x14ac:dyDescent="0.25">
      <c r="B3217" s="5" t="s">
        <v>3219</v>
      </c>
      <c r="C3217" s="5" t="s">
        <v>7359</v>
      </c>
      <c r="D3217" s="5">
        <v>16</v>
      </c>
      <c r="E3217" s="5">
        <v>8</v>
      </c>
      <c r="F3217" s="5">
        <v>16</v>
      </c>
      <c r="G3217" s="5">
        <v>8</v>
      </c>
      <c r="H3217" s="5">
        <v>16</v>
      </c>
      <c r="I3217" s="5">
        <v>8</v>
      </c>
      <c r="J3217" s="5">
        <v>8</v>
      </c>
      <c r="K3217" s="5">
        <v>8</v>
      </c>
      <c r="L3217" s="5">
        <v>16</v>
      </c>
      <c r="M3217" s="5">
        <v>0</v>
      </c>
      <c r="N3217" s="5">
        <v>2000</v>
      </c>
      <c r="O3217" s="5" t="str">
        <f t="shared" ca="1" si="50"/>
        <v>Supplier 149</v>
      </c>
      <c r="P3217" s="20" t="str">
        <f ca="1">IFERROR(VLOOKUP(O3217,EMAILS!B:C,2,FALSE),"NOT FOUND IN EMAILS")</f>
        <v>supplier@gmail.com</v>
      </c>
      <c r="Q3217" t="str">
        <f ca="1">""&amp;IFERROR(VLOOKUP(O3217,EMAILS!B:D,3,FALSE),"NOT FOUND IN EMAILS")</f>
        <v/>
      </c>
      <c r="R3217" t="str">
        <f ca="1">""&amp;IFERROR(VLOOKUP(O3217,EMAILS!B:E,4,FALSE),"NO T FOUND IN EMAILS")</f>
        <v/>
      </c>
    </row>
    <row r="3218" spans="2:18" x14ac:dyDescent="0.25">
      <c r="B3218" s="5" t="s">
        <v>3220</v>
      </c>
      <c r="C3218" s="5" t="s">
        <v>7360</v>
      </c>
      <c r="D3218" s="5">
        <v>92</v>
      </c>
      <c r="E3218" s="5">
        <v>35</v>
      </c>
      <c r="F3218" s="5">
        <v>68</v>
      </c>
      <c r="G3218" s="5">
        <v>68</v>
      </c>
      <c r="H3218" s="5">
        <v>68</v>
      </c>
      <c r="I3218" s="5">
        <v>68</v>
      </c>
      <c r="J3218" s="5">
        <v>68</v>
      </c>
      <c r="K3218" s="5">
        <v>68</v>
      </c>
      <c r="L3218" s="5">
        <v>68</v>
      </c>
      <c r="M3218" s="5">
        <v>0</v>
      </c>
      <c r="N3218" s="5">
        <v>2000</v>
      </c>
      <c r="O3218" s="5" t="str">
        <f t="shared" ca="1" si="50"/>
        <v>Supplier 1</v>
      </c>
      <c r="P3218" s="20" t="str">
        <f ca="1">IFERROR(VLOOKUP(O3218,EMAILS!B:C,2,FALSE),"NOT FOUND IN EMAILS")</f>
        <v>supplier@gmail.com</v>
      </c>
      <c r="Q3218" t="str">
        <f ca="1">""&amp;IFERROR(VLOOKUP(O3218,EMAILS!B:D,3,FALSE),"NOT FOUND IN EMAILS")</f>
        <v>supplier_logistics@gmail.com</v>
      </c>
      <c r="R3218" t="str">
        <f ca="1">""&amp;IFERROR(VLOOKUP(O3218,EMAILS!B:E,4,FALSE),"NO T FOUND IN EMAILS")</f>
        <v/>
      </c>
    </row>
    <row r="3219" spans="2:18" x14ac:dyDescent="0.25">
      <c r="B3219" s="5" t="s">
        <v>3221</v>
      </c>
      <c r="C3219" s="5" t="s">
        <v>7361</v>
      </c>
      <c r="D3219" s="5">
        <v>184</v>
      </c>
      <c r="E3219" s="5">
        <v>70</v>
      </c>
      <c r="F3219" s="5">
        <v>136</v>
      </c>
      <c r="G3219" s="5">
        <v>136</v>
      </c>
      <c r="H3219" s="5">
        <v>136</v>
      </c>
      <c r="I3219" s="5">
        <v>136</v>
      </c>
      <c r="J3219" s="5">
        <v>136</v>
      </c>
      <c r="K3219" s="5">
        <v>136</v>
      </c>
      <c r="L3219" s="5">
        <v>136</v>
      </c>
      <c r="M3219" s="5">
        <v>0</v>
      </c>
      <c r="N3219" s="5">
        <v>1000</v>
      </c>
      <c r="O3219" s="5" t="str">
        <f t="shared" ca="1" si="50"/>
        <v>Supplier 47</v>
      </c>
      <c r="P3219" s="20" t="str">
        <f ca="1">IFERROR(VLOOKUP(O3219,EMAILS!B:C,2,FALSE),"NOT FOUND IN EMAILS")</f>
        <v>supplier@gmail.com</v>
      </c>
      <c r="Q3219" t="str">
        <f ca="1">""&amp;IFERROR(VLOOKUP(O3219,EMAILS!B:D,3,FALSE),"NOT FOUND IN EMAILS")</f>
        <v/>
      </c>
      <c r="R3219" t="str">
        <f ca="1">""&amp;IFERROR(VLOOKUP(O3219,EMAILS!B:E,4,FALSE),"NO T FOUND IN EMAILS")</f>
        <v/>
      </c>
    </row>
    <row r="3220" spans="2:18" x14ac:dyDescent="0.25">
      <c r="B3220" s="5" t="s">
        <v>3222</v>
      </c>
      <c r="C3220" s="5" t="s">
        <v>7362</v>
      </c>
      <c r="D3220" s="5">
        <v>0</v>
      </c>
      <c r="E3220" s="5">
        <v>8</v>
      </c>
      <c r="F3220" s="5">
        <v>12</v>
      </c>
      <c r="G3220" s="5">
        <v>12</v>
      </c>
      <c r="H3220" s="5">
        <v>12</v>
      </c>
      <c r="I3220" s="5">
        <v>12</v>
      </c>
      <c r="J3220" s="5">
        <v>12</v>
      </c>
      <c r="K3220" s="5">
        <v>12</v>
      </c>
      <c r="L3220" s="5">
        <v>12</v>
      </c>
      <c r="M3220" s="5">
        <v>0</v>
      </c>
      <c r="N3220" s="5">
        <v>60</v>
      </c>
      <c r="O3220" s="5" t="str">
        <f t="shared" ca="1" si="50"/>
        <v>Supplier 56</v>
      </c>
      <c r="P3220" s="20" t="str">
        <f ca="1">IFERROR(VLOOKUP(O3220,EMAILS!B:C,2,FALSE),"NOT FOUND IN EMAILS")</f>
        <v>supplier@gmail.com</v>
      </c>
      <c r="Q3220" t="str">
        <f ca="1">""&amp;IFERROR(VLOOKUP(O3220,EMAILS!B:D,3,FALSE),"NOT FOUND IN EMAILS")</f>
        <v/>
      </c>
      <c r="R3220" t="str">
        <f ca="1">""&amp;IFERROR(VLOOKUP(O3220,EMAILS!B:E,4,FALSE),"NO T FOUND IN EMAILS")</f>
        <v/>
      </c>
    </row>
    <row r="3221" spans="2:18" x14ac:dyDescent="0.25">
      <c r="B3221" s="5" t="s">
        <v>3223</v>
      </c>
      <c r="C3221" s="5" t="s">
        <v>7363</v>
      </c>
      <c r="D3221" s="5">
        <v>53</v>
      </c>
      <c r="E3221" s="5">
        <v>0</v>
      </c>
      <c r="F3221" s="5">
        <v>0</v>
      </c>
      <c r="G3221" s="5">
        <v>0</v>
      </c>
      <c r="H3221" s="5">
        <v>0</v>
      </c>
      <c r="I3221" s="5">
        <v>0</v>
      </c>
      <c r="J3221" s="5">
        <v>0</v>
      </c>
      <c r="K3221" s="5">
        <v>0</v>
      </c>
      <c r="L3221" s="5">
        <v>0</v>
      </c>
      <c r="M3221" s="5">
        <v>0</v>
      </c>
      <c r="N3221" s="5">
        <v>480</v>
      </c>
      <c r="O3221" s="5" t="str">
        <f t="shared" ca="1" si="50"/>
        <v>Supplier 76</v>
      </c>
      <c r="P3221" s="20" t="str">
        <f ca="1">IFERROR(VLOOKUP(O3221,EMAILS!B:C,2,FALSE),"NOT FOUND IN EMAILS")</f>
        <v>supplier@gmail.com</v>
      </c>
      <c r="Q3221" t="str">
        <f ca="1">""&amp;IFERROR(VLOOKUP(O3221,EMAILS!B:D,3,FALSE),"NOT FOUND IN EMAILS")</f>
        <v/>
      </c>
      <c r="R3221" t="str">
        <f ca="1">""&amp;IFERROR(VLOOKUP(O3221,EMAILS!B:E,4,FALSE),"NO T FOUND IN EMAILS")</f>
        <v/>
      </c>
    </row>
    <row r="3222" spans="2:18" x14ac:dyDescent="0.25">
      <c r="B3222" s="5" t="s">
        <v>3224</v>
      </c>
      <c r="C3222" s="5" t="s">
        <v>7364</v>
      </c>
      <c r="D3222" s="5">
        <v>344</v>
      </c>
      <c r="E3222" s="5">
        <v>0</v>
      </c>
      <c r="F3222" s="5">
        <v>0</v>
      </c>
      <c r="G3222" s="5">
        <v>0</v>
      </c>
      <c r="H3222" s="5">
        <v>0</v>
      </c>
      <c r="I3222" s="5">
        <v>0</v>
      </c>
      <c r="J3222" s="5">
        <v>0</v>
      </c>
      <c r="K3222" s="5">
        <v>0</v>
      </c>
      <c r="L3222" s="5">
        <v>0</v>
      </c>
      <c r="M3222" s="5">
        <v>0</v>
      </c>
      <c r="N3222" s="5">
        <v>200</v>
      </c>
      <c r="O3222" s="5" t="str">
        <f t="shared" ca="1" si="50"/>
        <v>Supplier 70</v>
      </c>
      <c r="P3222" s="20" t="str">
        <f ca="1">IFERROR(VLOOKUP(O3222,EMAILS!B:C,2,FALSE),"NOT FOUND IN EMAILS")</f>
        <v>supplier@gmail.com</v>
      </c>
      <c r="Q3222" t="str">
        <f ca="1">""&amp;IFERROR(VLOOKUP(O3222,EMAILS!B:D,3,FALSE),"NOT FOUND IN EMAILS")</f>
        <v/>
      </c>
      <c r="R3222" t="str">
        <f ca="1">""&amp;IFERROR(VLOOKUP(O3222,EMAILS!B:E,4,FALSE),"NO T FOUND IN EMAILS")</f>
        <v/>
      </c>
    </row>
    <row r="3223" spans="2:18" x14ac:dyDescent="0.25">
      <c r="B3223" s="5" t="s">
        <v>3225</v>
      </c>
      <c r="C3223" s="5" t="s">
        <v>7365</v>
      </c>
      <c r="D3223" s="5">
        <v>86</v>
      </c>
      <c r="E3223" s="5">
        <v>0</v>
      </c>
      <c r="F3223" s="5">
        <v>0</v>
      </c>
      <c r="G3223" s="5">
        <v>0</v>
      </c>
      <c r="H3223" s="5">
        <v>0</v>
      </c>
      <c r="I3223" s="5">
        <v>0</v>
      </c>
      <c r="J3223" s="5">
        <v>0</v>
      </c>
      <c r="K3223" s="5">
        <v>0</v>
      </c>
      <c r="L3223" s="5">
        <v>0</v>
      </c>
      <c r="M3223" s="5">
        <v>0</v>
      </c>
      <c r="N3223" s="5">
        <v>500</v>
      </c>
      <c r="O3223" s="5" t="str">
        <f t="shared" ca="1" si="50"/>
        <v>Supplier 166</v>
      </c>
      <c r="P3223" s="20" t="str">
        <f ca="1">IFERROR(VLOOKUP(O3223,EMAILS!B:C,2,FALSE),"NOT FOUND IN EMAILS")</f>
        <v>supplier@gmail.com</v>
      </c>
      <c r="Q3223" t="str">
        <f ca="1">""&amp;IFERROR(VLOOKUP(O3223,EMAILS!B:D,3,FALSE),"NOT FOUND IN EMAILS")</f>
        <v/>
      </c>
      <c r="R3223" t="str">
        <f ca="1">""&amp;IFERROR(VLOOKUP(O3223,EMAILS!B:E,4,FALSE),"NO T FOUND IN EMAILS")</f>
        <v/>
      </c>
    </row>
    <row r="3224" spans="2:18" x14ac:dyDescent="0.25">
      <c r="B3224" s="5" t="s">
        <v>3226</v>
      </c>
      <c r="C3224" s="5" t="s">
        <v>7366</v>
      </c>
      <c r="D3224" s="5">
        <v>344</v>
      </c>
      <c r="E3224" s="5">
        <v>0</v>
      </c>
      <c r="F3224" s="5">
        <v>0</v>
      </c>
      <c r="G3224" s="5">
        <v>0</v>
      </c>
      <c r="H3224" s="5">
        <v>0</v>
      </c>
      <c r="I3224" s="5">
        <v>0</v>
      </c>
      <c r="J3224" s="5">
        <v>0</v>
      </c>
      <c r="K3224" s="5">
        <v>0</v>
      </c>
      <c r="L3224" s="5">
        <v>0</v>
      </c>
      <c r="M3224" s="5">
        <v>0</v>
      </c>
      <c r="N3224" s="5">
        <v>1120</v>
      </c>
      <c r="O3224" s="5" t="str">
        <f t="shared" ca="1" si="50"/>
        <v>Supplier 96</v>
      </c>
      <c r="P3224" s="20" t="str">
        <f ca="1">IFERROR(VLOOKUP(O3224,EMAILS!B:C,2,FALSE),"NOT FOUND IN EMAILS")</f>
        <v>supplier@gmail.com</v>
      </c>
      <c r="Q3224" t="str">
        <f ca="1">""&amp;IFERROR(VLOOKUP(O3224,EMAILS!B:D,3,FALSE),"NOT FOUND IN EMAILS")</f>
        <v/>
      </c>
      <c r="R3224" t="str">
        <f ca="1">""&amp;IFERROR(VLOOKUP(O3224,EMAILS!B:E,4,FALSE),"NO T FOUND IN EMAILS")</f>
        <v/>
      </c>
    </row>
    <row r="3225" spans="2:18" x14ac:dyDescent="0.25">
      <c r="B3225" s="5" t="s">
        <v>3227</v>
      </c>
      <c r="C3225" s="5" t="s">
        <v>7367</v>
      </c>
      <c r="D3225" s="5">
        <v>86</v>
      </c>
      <c r="E3225" s="5">
        <v>0</v>
      </c>
      <c r="F3225" s="5">
        <v>0</v>
      </c>
      <c r="G3225" s="5">
        <v>0</v>
      </c>
      <c r="H3225" s="5">
        <v>0</v>
      </c>
      <c r="I3225" s="5">
        <v>0</v>
      </c>
      <c r="J3225" s="5">
        <v>0</v>
      </c>
      <c r="K3225" s="5">
        <v>0</v>
      </c>
      <c r="L3225" s="5">
        <v>0</v>
      </c>
      <c r="M3225" s="5">
        <v>0</v>
      </c>
      <c r="N3225" s="5">
        <v>240</v>
      </c>
      <c r="O3225" s="5" t="str">
        <f t="shared" ca="1" si="50"/>
        <v>Supplier 11</v>
      </c>
      <c r="P3225" s="20" t="str">
        <f ca="1">IFERROR(VLOOKUP(O3225,EMAILS!B:C,2,FALSE),"NOT FOUND IN EMAILS")</f>
        <v>supplier@gmail.com</v>
      </c>
      <c r="Q3225" t="str">
        <f ca="1">""&amp;IFERROR(VLOOKUP(O3225,EMAILS!B:D,3,FALSE),"NOT FOUND IN EMAILS")</f>
        <v>supplier_logistics@gmail.com</v>
      </c>
      <c r="R3225" t="str">
        <f ca="1">""&amp;IFERROR(VLOOKUP(O3225,EMAILS!B:E,4,FALSE),"NO T FOUND IN EMAILS")</f>
        <v/>
      </c>
    </row>
    <row r="3226" spans="2:18" x14ac:dyDescent="0.25">
      <c r="B3226" s="5" t="s">
        <v>3228</v>
      </c>
      <c r="C3226" s="5" t="s">
        <v>7368</v>
      </c>
      <c r="D3226" s="5">
        <v>172</v>
      </c>
      <c r="E3226" s="5">
        <v>0</v>
      </c>
      <c r="F3226" s="5">
        <v>0</v>
      </c>
      <c r="G3226" s="5">
        <v>0</v>
      </c>
      <c r="H3226" s="5">
        <v>0</v>
      </c>
      <c r="I3226" s="5">
        <v>0</v>
      </c>
      <c r="J3226" s="5">
        <v>0</v>
      </c>
      <c r="K3226" s="5">
        <v>0</v>
      </c>
      <c r="L3226" s="5">
        <v>0</v>
      </c>
      <c r="M3226" s="5">
        <v>0</v>
      </c>
      <c r="N3226" s="5">
        <v>120</v>
      </c>
      <c r="O3226" s="5" t="str">
        <f t="shared" ca="1" si="50"/>
        <v>Supplier 87</v>
      </c>
      <c r="P3226" s="20" t="str">
        <f ca="1">IFERROR(VLOOKUP(O3226,EMAILS!B:C,2,FALSE),"NOT FOUND IN EMAILS")</f>
        <v>supplier@gmail.com</v>
      </c>
      <c r="Q3226" t="str">
        <f ca="1">""&amp;IFERROR(VLOOKUP(O3226,EMAILS!B:D,3,FALSE),"NOT FOUND IN EMAILS")</f>
        <v/>
      </c>
      <c r="R3226" t="str">
        <f ca="1">""&amp;IFERROR(VLOOKUP(O3226,EMAILS!B:E,4,FALSE),"NO T FOUND IN EMAILS")</f>
        <v/>
      </c>
    </row>
    <row r="3227" spans="2:18" x14ac:dyDescent="0.25">
      <c r="B3227" s="5" t="s">
        <v>3229</v>
      </c>
      <c r="C3227" s="5" t="s">
        <v>7369</v>
      </c>
      <c r="D3227" s="5">
        <v>86</v>
      </c>
      <c r="E3227" s="5">
        <v>0</v>
      </c>
      <c r="F3227" s="5">
        <v>0</v>
      </c>
      <c r="G3227" s="5">
        <v>0</v>
      </c>
      <c r="H3227" s="5">
        <v>0</v>
      </c>
      <c r="I3227" s="5">
        <v>0</v>
      </c>
      <c r="J3227" s="5">
        <v>0</v>
      </c>
      <c r="K3227" s="5">
        <v>0</v>
      </c>
      <c r="L3227" s="5">
        <v>0</v>
      </c>
      <c r="M3227" s="5">
        <v>0</v>
      </c>
      <c r="N3227" s="5">
        <v>0</v>
      </c>
      <c r="O3227" s="5" t="str">
        <f t="shared" ca="1" si="50"/>
        <v>Supplier 96</v>
      </c>
      <c r="P3227" s="20" t="str">
        <f ca="1">IFERROR(VLOOKUP(O3227,EMAILS!B:C,2,FALSE),"NOT FOUND IN EMAILS")</f>
        <v>supplier@gmail.com</v>
      </c>
      <c r="Q3227" t="str">
        <f ca="1">""&amp;IFERROR(VLOOKUP(O3227,EMAILS!B:D,3,FALSE),"NOT FOUND IN EMAILS")</f>
        <v/>
      </c>
      <c r="R3227" t="str">
        <f ca="1">""&amp;IFERROR(VLOOKUP(O3227,EMAILS!B:E,4,FALSE),"NO T FOUND IN EMAILS")</f>
        <v/>
      </c>
    </row>
    <row r="3228" spans="2:18" x14ac:dyDescent="0.25">
      <c r="B3228" s="5" t="s">
        <v>3230</v>
      </c>
      <c r="C3228" s="5" t="s">
        <v>7370</v>
      </c>
      <c r="D3228" s="5">
        <v>0</v>
      </c>
      <c r="E3228" s="5">
        <v>0</v>
      </c>
      <c r="F3228" s="5">
        <v>0</v>
      </c>
      <c r="G3228" s="5">
        <v>0</v>
      </c>
      <c r="H3228" s="5">
        <v>0</v>
      </c>
      <c r="I3228" s="5">
        <v>0</v>
      </c>
      <c r="J3228" s="5">
        <v>0</v>
      </c>
      <c r="K3228" s="5">
        <v>0</v>
      </c>
      <c r="L3228" s="5">
        <v>0</v>
      </c>
      <c r="M3228" s="5">
        <v>0</v>
      </c>
      <c r="N3228" s="5">
        <v>250</v>
      </c>
      <c r="O3228" s="5" t="str">
        <f t="shared" ca="1" si="50"/>
        <v>Supplier 46</v>
      </c>
      <c r="P3228" s="20" t="str">
        <f ca="1">IFERROR(VLOOKUP(O3228,EMAILS!B:C,2,FALSE),"NOT FOUND IN EMAILS")</f>
        <v>supplier@gmail.com</v>
      </c>
      <c r="Q3228" t="str">
        <f ca="1">""&amp;IFERROR(VLOOKUP(O3228,EMAILS!B:D,3,FALSE),"NOT FOUND IN EMAILS")</f>
        <v/>
      </c>
      <c r="R3228" t="str">
        <f ca="1">""&amp;IFERROR(VLOOKUP(O3228,EMAILS!B:E,4,FALSE),"NO T FOUND IN EMAILS")</f>
        <v/>
      </c>
    </row>
    <row r="3229" spans="2:18" x14ac:dyDescent="0.25">
      <c r="B3229" s="5" t="s">
        <v>3231</v>
      </c>
      <c r="C3229" s="5" t="s">
        <v>7371</v>
      </c>
      <c r="D3229" s="5">
        <v>2</v>
      </c>
      <c r="E3229" s="5">
        <v>0</v>
      </c>
      <c r="F3229" s="5">
        <v>0</v>
      </c>
      <c r="G3229" s="5">
        <v>2</v>
      </c>
      <c r="H3229" s="5">
        <v>0</v>
      </c>
      <c r="I3229" s="5">
        <v>0</v>
      </c>
      <c r="J3229" s="5">
        <v>0</v>
      </c>
      <c r="K3229" s="5">
        <v>0</v>
      </c>
      <c r="L3229" s="5">
        <v>0</v>
      </c>
      <c r="M3229" s="5">
        <v>0</v>
      </c>
      <c r="N3229" s="5">
        <v>246</v>
      </c>
      <c r="O3229" s="5" t="str">
        <f t="shared" ca="1" si="50"/>
        <v>Supplier 108</v>
      </c>
      <c r="P3229" s="20" t="str">
        <f ca="1">IFERROR(VLOOKUP(O3229,EMAILS!B:C,2,FALSE),"NOT FOUND IN EMAILS")</f>
        <v>supplier@gmail.com</v>
      </c>
      <c r="Q3229" t="str">
        <f ca="1">""&amp;IFERROR(VLOOKUP(O3229,EMAILS!B:D,3,FALSE),"NOT FOUND IN EMAILS")</f>
        <v/>
      </c>
      <c r="R3229" t="str">
        <f ca="1">""&amp;IFERROR(VLOOKUP(O3229,EMAILS!B:E,4,FALSE),"NO T FOUND IN EMAILS")</f>
        <v/>
      </c>
    </row>
    <row r="3230" spans="2:18" x14ac:dyDescent="0.25">
      <c r="B3230" s="5" t="s">
        <v>3232</v>
      </c>
      <c r="C3230" s="5" t="s">
        <v>7372</v>
      </c>
      <c r="D3230" s="5">
        <v>4</v>
      </c>
      <c r="E3230" s="5">
        <v>0</v>
      </c>
      <c r="F3230" s="5">
        <v>0</v>
      </c>
      <c r="G3230" s="5">
        <v>4</v>
      </c>
      <c r="H3230" s="5">
        <v>0</v>
      </c>
      <c r="I3230" s="5">
        <v>0</v>
      </c>
      <c r="J3230" s="5">
        <v>0</v>
      </c>
      <c r="K3230" s="5">
        <v>0</v>
      </c>
      <c r="L3230" s="5">
        <v>0</v>
      </c>
      <c r="M3230" s="5">
        <v>0</v>
      </c>
      <c r="N3230" s="5">
        <v>1910</v>
      </c>
      <c r="O3230" s="5" t="str">
        <f t="shared" ca="1" si="50"/>
        <v>Supplier 11</v>
      </c>
      <c r="P3230" s="20" t="str">
        <f ca="1">IFERROR(VLOOKUP(O3230,EMAILS!B:C,2,FALSE),"NOT FOUND IN EMAILS")</f>
        <v>supplier@gmail.com</v>
      </c>
      <c r="Q3230" t="str">
        <f ca="1">""&amp;IFERROR(VLOOKUP(O3230,EMAILS!B:D,3,FALSE),"NOT FOUND IN EMAILS")</f>
        <v>supplier_logistics@gmail.com</v>
      </c>
      <c r="R3230" t="str">
        <f ca="1">""&amp;IFERROR(VLOOKUP(O3230,EMAILS!B:E,4,FALSE),"NO T FOUND IN EMAILS")</f>
        <v/>
      </c>
    </row>
    <row r="3231" spans="2:18" x14ac:dyDescent="0.25">
      <c r="B3231" s="5" t="s">
        <v>3233</v>
      </c>
      <c r="C3231" s="5" t="s">
        <v>7373</v>
      </c>
      <c r="D3231" s="5">
        <v>118</v>
      </c>
      <c r="E3231" s="5">
        <v>0</v>
      </c>
      <c r="F3231" s="5">
        <v>66</v>
      </c>
      <c r="G3231" s="5">
        <v>86</v>
      </c>
      <c r="H3231" s="5">
        <v>0</v>
      </c>
      <c r="I3231" s="5">
        <v>0</v>
      </c>
      <c r="J3231" s="5">
        <v>0</v>
      </c>
      <c r="K3231" s="5">
        <v>0</v>
      </c>
      <c r="L3231" s="5">
        <v>0</v>
      </c>
      <c r="M3231" s="5">
        <v>0</v>
      </c>
      <c r="N3231" s="5">
        <v>460</v>
      </c>
      <c r="O3231" s="5" t="str">
        <f t="shared" ca="1" si="50"/>
        <v>Supplier 98</v>
      </c>
      <c r="P3231" s="20" t="str">
        <f ca="1">IFERROR(VLOOKUP(O3231,EMAILS!B:C,2,FALSE),"NOT FOUND IN EMAILS")</f>
        <v>supplier@gmail.com</v>
      </c>
      <c r="Q3231" t="str">
        <f ca="1">""&amp;IFERROR(VLOOKUP(O3231,EMAILS!B:D,3,FALSE),"NOT FOUND IN EMAILS")</f>
        <v/>
      </c>
      <c r="R3231" t="str">
        <f ca="1">""&amp;IFERROR(VLOOKUP(O3231,EMAILS!B:E,4,FALSE),"NO T FOUND IN EMAILS")</f>
        <v/>
      </c>
    </row>
    <row r="3232" spans="2:18" x14ac:dyDescent="0.25">
      <c r="B3232" s="5" t="s">
        <v>3234</v>
      </c>
      <c r="C3232" s="5" t="s">
        <v>7374</v>
      </c>
      <c r="D3232" s="5">
        <v>46</v>
      </c>
      <c r="E3232" s="5">
        <v>0</v>
      </c>
      <c r="F3232" s="5">
        <v>26</v>
      </c>
      <c r="G3232" s="5">
        <v>34</v>
      </c>
      <c r="H3232" s="5">
        <v>0</v>
      </c>
      <c r="I3232" s="5">
        <v>0</v>
      </c>
      <c r="J3232" s="5">
        <v>0</v>
      </c>
      <c r="K3232" s="5">
        <v>0</v>
      </c>
      <c r="L3232" s="5">
        <v>0</v>
      </c>
      <c r="M3232" s="5">
        <v>0</v>
      </c>
      <c r="N3232" s="5">
        <v>120</v>
      </c>
      <c r="O3232" s="5" t="str">
        <f t="shared" ca="1" si="50"/>
        <v>Supplier 4</v>
      </c>
      <c r="P3232" s="20" t="str">
        <f ca="1">IFERROR(VLOOKUP(O3232,EMAILS!B:C,2,FALSE),"NOT FOUND IN EMAILS")</f>
        <v>supplier@gmail.com</v>
      </c>
      <c r="Q3232" t="str">
        <f ca="1">""&amp;IFERROR(VLOOKUP(O3232,EMAILS!B:D,3,FALSE),"NOT FOUND IN EMAILS")</f>
        <v>supplier_logistics@gmail.com</v>
      </c>
      <c r="R3232" t="str">
        <f ca="1">""&amp;IFERROR(VLOOKUP(O3232,EMAILS!B:E,4,FALSE),"NO T FOUND IN EMAILS")</f>
        <v/>
      </c>
    </row>
    <row r="3233" spans="2:18" x14ac:dyDescent="0.25">
      <c r="B3233" s="5" t="s">
        <v>3235</v>
      </c>
      <c r="C3233" s="5" t="s">
        <v>7375</v>
      </c>
      <c r="D3233" s="5">
        <v>44</v>
      </c>
      <c r="E3233" s="5">
        <v>0</v>
      </c>
      <c r="F3233" s="5">
        <v>28</v>
      </c>
      <c r="G3233" s="5">
        <v>36</v>
      </c>
      <c r="H3233" s="5">
        <v>0</v>
      </c>
      <c r="I3233" s="5">
        <v>0</v>
      </c>
      <c r="J3233" s="5">
        <v>0</v>
      </c>
      <c r="K3233" s="5">
        <v>0</v>
      </c>
      <c r="L3233" s="5">
        <v>0</v>
      </c>
      <c r="M3233" s="5">
        <v>0</v>
      </c>
      <c r="N3233" s="5">
        <v>690</v>
      </c>
      <c r="O3233" s="5" t="str">
        <f t="shared" ca="1" si="50"/>
        <v>Supplier 18</v>
      </c>
      <c r="P3233" s="20" t="str">
        <f ca="1">IFERROR(VLOOKUP(O3233,EMAILS!B:C,2,FALSE),"NOT FOUND IN EMAILS")</f>
        <v>supplier@gmail.com</v>
      </c>
      <c r="Q3233" t="str">
        <f ca="1">""&amp;IFERROR(VLOOKUP(O3233,EMAILS!B:D,3,FALSE),"NOT FOUND IN EMAILS")</f>
        <v>supplier_logistics@gmail.com</v>
      </c>
      <c r="R3233" t="str">
        <f ca="1">""&amp;IFERROR(VLOOKUP(O3233,EMAILS!B:E,4,FALSE),"NO T FOUND IN EMAILS")</f>
        <v/>
      </c>
    </row>
    <row r="3234" spans="2:18" x14ac:dyDescent="0.25">
      <c r="B3234" s="5" t="s">
        <v>3236</v>
      </c>
      <c r="C3234" s="5" t="s">
        <v>7376</v>
      </c>
      <c r="D3234" s="5">
        <v>40</v>
      </c>
      <c r="E3234" s="5">
        <v>0</v>
      </c>
      <c r="F3234" s="5">
        <v>38</v>
      </c>
      <c r="G3234" s="5">
        <v>26</v>
      </c>
      <c r="H3234" s="5">
        <v>0</v>
      </c>
      <c r="I3234" s="5">
        <v>0</v>
      </c>
      <c r="J3234" s="5">
        <v>0</v>
      </c>
      <c r="K3234" s="5">
        <v>0</v>
      </c>
      <c r="L3234" s="5">
        <v>0</v>
      </c>
      <c r="M3234" s="5">
        <v>0</v>
      </c>
      <c r="N3234" s="5">
        <v>150</v>
      </c>
      <c r="O3234" s="5" t="str">
        <f t="shared" ca="1" si="50"/>
        <v>Supplier 117</v>
      </c>
      <c r="P3234" s="20" t="str">
        <f ca="1">IFERROR(VLOOKUP(O3234,EMAILS!B:C,2,FALSE),"NOT FOUND IN EMAILS")</f>
        <v>supplier@gmail.com</v>
      </c>
      <c r="Q3234" t="str">
        <f ca="1">""&amp;IFERROR(VLOOKUP(O3234,EMAILS!B:D,3,FALSE),"NOT FOUND IN EMAILS")</f>
        <v/>
      </c>
      <c r="R3234" t="str">
        <f ca="1">""&amp;IFERROR(VLOOKUP(O3234,EMAILS!B:E,4,FALSE),"NO T FOUND IN EMAILS")</f>
        <v/>
      </c>
    </row>
    <row r="3235" spans="2:18" x14ac:dyDescent="0.25">
      <c r="B3235" s="5" t="s">
        <v>3237</v>
      </c>
      <c r="C3235" s="5" t="s">
        <v>7377</v>
      </c>
      <c r="D3235" s="5">
        <v>18</v>
      </c>
      <c r="E3235" s="5">
        <v>0</v>
      </c>
      <c r="F3235" s="5">
        <v>12</v>
      </c>
      <c r="G3235" s="5">
        <v>12</v>
      </c>
      <c r="H3235" s="5">
        <v>0</v>
      </c>
      <c r="I3235" s="5">
        <v>0</v>
      </c>
      <c r="J3235" s="5">
        <v>0</v>
      </c>
      <c r="K3235" s="5">
        <v>0</v>
      </c>
      <c r="L3235" s="5">
        <v>0</v>
      </c>
      <c r="M3235" s="5">
        <v>0</v>
      </c>
      <c r="N3235" s="5">
        <v>1300</v>
      </c>
      <c r="O3235" s="5" t="str">
        <f t="shared" ca="1" si="50"/>
        <v>Supplier 145</v>
      </c>
      <c r="P3235" s="20" t="str">
        <f ca="1">IFERROR(VLOOKUP(O3235,EMAILS!B:C,2,FALSE),"NOT FOUND IN EMAILS")</f>
        <v>supplier@gmail.com</v>
      </c>
      <c r="Q3235" t="str">
        <f ca="1">""&amp;IFERROR(VLOOKUP(O3235,EMAILS!B:D,3,FALSE),"NOT FOUND IN EMAILS")</f>
        <v/>
      </c>
      <c r="R3235" t="str">
        <f ca="1">""&amp;IFERROR(VLOOKUP(O3235,EMAILS!B:E,4,FALSE),"NO T FOUND IN EMAILS")</f>
        <v/>
      </c>
    </row>
    <row r="3236" spans="2:18" x14ac:dyDescent="0.25">
      <c r="B3236" s="5" t="s">
        <v>3238</v>
      </c>
      <c r="C3236" s="5" t="s">
        <v>7378</v>
      </c>
      <c r="D3236" s="5">
        <v>120</v>
      </c>
      <c r="E3236" s="5">
        <v>0</v>
      </c>
      <c r="F3236" s="5">
        <v>80</v>
      </c>
      <c r="G3236" s="5">
        <v>88</v>
      </c>
      <c r="H3236" s="5">
        <v>0</v>
      </c>
      <c r="I3236" s="5">
        <v>0</v>
      </c>
      <c r="J3236" s="5">
        <v>0</v>
      </c>
      <c r="K3236" s="5">
        <v>0</v>
      </c>
      <c r="L3236" s="5">
        <v>0</v>
      </c>
      <c r="M3236" s="5">
        <v>0</v>
      </c>
      <c r="N3236" s="5">
        <v>1120</v>
      </c>
      <c r="O3236" s="5" t="str">
        <f t="shared" ca="1" si="50"/>
        <v>Supplier 131</v>
      </c>
      <c r="P3236" s="20" t="str">
        <f ca="1">IFERROR(VLOOKUP(O3236,EMAILS!B:C,2,FALSE),"NOT FOUND IN EMAILS")</f>
        <v>supplier@gmail.com</v>
      </c>
      <c r="Q3236" t="str">
        <f ca="1">""&amp;IFERROR(VLOOKUP(O3236,EMAILS!B:D,3,FALSE),"NOT FOUND IN EMAILS")</f>
        <v/>
      </c>
      <c r="R3236" t="str">
        <f ca="1">""&amp;IFERROR(VLOOKUP(O3236,EMAILS!B:E,4,FALSE),"NO T FOUND IN EMAILS")</f>
        <v/>
      </c>
    </row>
    <row r="3237" spans="2:18" x14ac:dyDescent="0.25">
      <c r="B3237" s="5" t="s">
        <v>3239</v>
      </c>
      <c r="C3237" s="5" t="s">
        <v>7379</v>
      </c>
      <c r="D3237" s="5">
        <v>98</v>
      </c>
      <c r="E3237" s="5">
        <v>0</v>
      </c>
      <c r="F3237" s="5">
        <v>96</v>
      </c>
      <c r="G3237" s="5">
        <v>98</v>
      </c>
      <c r="H3237" s="5">
        <v>0</v>
      </c>
      <c r="I3237" s="5">
        <v>0</v>
      </c>
      <c r="J3237" s="5">
        <v>0</v>
      </c>
      <c r="K3237" s="5">
        <v>0</v>
      </c>
      <c r="L3237" s="5">
        <v>0</v>
      </c>
      <c r="M3237" s="5">
        <v>0</v>
      </c>
      <c r="N3237" s="5">
        <v>100</v>
      </c>
      <c r="O3237" s="5" t="str">
        <f t="shared" ca="1" si="50"/>
        <v>Supplier 100</v>
      </c>
      <c r="P3237" s="20" t="str">
        <f ca="1">IFERROR(VLOOKUP(O3237,EMAILS!B:C,2,FALSE),"NOT FOUND IN EMAILS")</f>
        <v>supplier@gmail.com</v>
      </c>
      <c r="Q3237" t="str">
        <f ca="1">""&amp;IFERROR(VLOOKUP(O3237,EMAILS!B:D,3,FALSE),"NOT FOUND IN EMAILS")</f>
        <v/>
      </c>
      <c r="R3237" t="str">
        <f ca="1">""&amp;IFERROR(VLOOKUP(O3237,EMAILS!B:E,4,FALSE),"NO T FOUND IN EMAILS")</f>
        <v/>
      </c>
    </row>
    <row r="3238" spans="2:18" x14ac:dyDescent="0.25">
      <c r="B3238" s="5" t="s">
        <v>3240</v>
      </c>
      <c r="C3238" s="5" t="s">
        <v>7380</v>
      </c>
      <c r="D3238" s="5">
        <v>4</v>
      </c>
      <c r="E3238" s="5">
        <v>0</v>
      </c>
      <c r="F3238" s="5">
        <v>0</v>
      </c>
      <c r="G3238" s="5">
        <v>4</v>
      </c>
      <c r="H3238" s="5">
        <v>0</v>
      </c>
      <c r="I3238" s="5">
        <v>0</v>
      </c>
      <c r="J3238" s="5">
        <v>0</v>
      </c>
      <c r="K3238" s="5">
        <v>0</v>
      </c>
      <c r="L3238" s="5">
        <v>0</v>
      </c>
      <c r="M3238" s="5">
        <v>0</v>
      </c>
      <c r="N3238" s="5">
        <v>140</v>
      </c>
      <c r="O3238" s="5" t="str">
        <f t="shared" ca="1" si="50"/>
        <v>Supplier 166</v>
      </c>
      <c r="P3238" s="20" t="str">
        <f ca="1">IFERROR(VLOOKUP(O3238,EMAILS!B:C,2,FALSE),"NOT FOUND IN EMAILS")</f>
        <v>supplier@gmail.com</v>
      </c>
      <c r="Q3238" t="str">
        <f ca="1">""&amp;IFERROR(VLOOKUP(O3238,EMAILS!B:D,3,FALSE),"NOT FOUND IN EMAILS")</f>
        <v/>
      </c>
      <c r="R3238" t="str">
        <f ca="1">""&amp;IFERROR(VLOOKUP(O3238,EMAILS!B:E,4,FALSE),"NO T FOUND IN EMAILS")</f>
        <v/>
      </c>
    </row>
    <row r="3239" spans="2:18" x14ac:dyDescent="0.25">
      <c r="B3239" s="5" t="s">
        <v>3241</v>
      </c>
      <c r="C3239" s="5" t="s">
        <v>7381</v>
      </c>
      <c r="D3239" s="5">
        <v>12</v>
      </c>
      <c r="E3239" s="5">
        <v>0</v>
      </c>
      <c r="F3239" s="5">
        <v>8</v>
      </c>
      <c r="G3239" s="5">
        <v>8</v>
      </c>
      <c r="H3239" s="5">
        <v>0</v>
      </c>
      <c r="I3239" s="5">
        <v>0</v>
      </c>
      <c r="J3239" s="5">
        <v>0</v>
      </c>
      <c r="K3239" s="5">
        <v>0</v>
      </c>
      <c r="L3239" s="5">
        <v>0</v>
      </c>
      <c r="M3239" s="5">
        <v>0</v>
      </c>
      <c r="N3239" s="5">
        <v>100</v>
      </c>
      <c r="O3239" s="5" t="str">
        <f t="shared" ca="1" si="50"/>
        <v>Supplier 69</v>
      </c>
      <c r="P3239" s="20" t="str">
        <f ca="1">IFERROR(VLOOKUP(O3239,EMAILS!B:C,2,FALSE),"NOT FOUND IN EMAILS")</f>
        <v>supplier@gmail.com</v>
      </c>
      <c r="Q3239" t="str">
        <f ca="1">""&amp;IFERROR(VLOOKUP(O3239,EMAILS!B:D,3,FALSE),"NOT FOUND IN EMAILS")</f>
        <v/>
      </c>
      <c r="R3239" t="str">
        <f ca="1">""&amp;IFERROR(VLOOKUP(O3239,EMAILS!B:E,4,FALSE),"NO T FOUND IN EMAILS")</f>
        <v/>
      </c>
    </row>
    <row r="3240" spans="2:18" x14ac:dyDescent="0.25">
      <c r="B3240" s="5" t="s">
        <v>3242</v>
      </c>
      <c r="C3240" s="5" t="s">
        <v>7382</v>
      </c>
      <c r="D3240" s="5">
        <v>8</v>
      </c>
      <c r="E3240" s="5">
        <v>0</v>
      </c>
      <c r="F3240" s="5">
        <v>8</v>
      </c>
      <c r="G3240" s="5">
        <v>8</v>
      </c>
      <c r="H3240" s="5">
        <v>0</v>
      </c>
      <c r="I3240" s="5">
        <v>0</v>
      </c>
      <c r="J3240" s="5">
        <v>0</v>
      </c>
      <c r="K3240" s="5">
        <v>0</v>
      </c>
      <c r="L3240" s="5">
        <v>0</v>
      </c>
      <c r="M3240" s="5">
        <v>0</v>
      </c>
      <c r="N3240" s="5">
        <v>0</v>
      </c>
      <c r="O3240" s="5" t="str">
        <f t="shared" ca="1" si="50"/>
        <v>Supplier 49</v>
      </c>
      <c r="P3240" s="20" t="str">
        <f ca="1">IFERROR(VLOOKUP(O3240,EMAILS!B:C,2,FALSE),"NOT FOUND IN EMAILS")</f>
        <v>supplier@gmail.com</v>
      </c>
      <c r="Q3240" t="str">
        <f ca="1">""&amp;IFERROR(VLOOKUP(O3240,EMAILS!B:D,3,FALSE),"NOT FOUND IN EMAILS")</f>
        <v/>
      </c>
      <c r="R3240" t="str">
        <f ca="1">""&amp;IFERROR(VLOOKUP(O3240,EMAILS!B:E,4,FALSE),"NO T FOUND IN EMAILS")</f>
        <v/>
      </c>
    </row>
    <row r="3241" spans="2:18" x14ac:dyDescent="0.25">
      <c r="B3241" s="5" t="s">
        <v>3243</v>
      </c>
      <c r="C3241" s="5" t="s">
        <v>7383</v>
      </c>
      <c r="D3241" s="5">
        <v>60</v>
      </c>
      <c r="E3241" s="5">
        <v>0</v>
      </c>
      <c r="F3241" s="5">
        <v>210</v>
      </c>
      <c r="G3241" s="5">
        <v>0</v>
      </c>
      <c r="H3241" s="5">
        <v>0</v>
      </c>
      <c r="I3241" s="5">
        <v>0</v>
      </c>
      <c r="J3241" s="5">
        <v>0</v>
      </c>
      <c r="K3241" s="5">
        <v>0</v>
      </c>
      <c r="L3241" s="5">
        <v>0</v>
      </c>
      <c r="M3241" s="5">
        <v>0</v>
      </c>
      <c r="N3241" s="5">
        <v>500</v>
      </c>
      <c r="O3241" s="5" t="str">
        <f t="shared" ca="1" si="50"/>
        <v>Supplier 48</v>
      </c>
      <c r="P3241" s="20" t="str">
        <f ca="1">IFERROR(VLOOKUP(O3241,EMAILS!B:C,2,FALSE),"NOT FOUND IN EMAILS")</f>
        <v>supplier@gmail.com</v>
      </c>
      <c r="Q3241" t="str">
        <f ca="1">""&amp;IFERROR(VLOOKUP(O3241,EMAILS!B:D,3,FALSE),"NOT FOUND IN EMAILS")</f>
        <v/>
      </c>
      <c r="R3241" t="str">
        <f ca="1">""&amp;IFERROR(VLOOKUP(O3241,EMAILS!B:E,4,FALSE),"NO T FOUND IN EMAILS")</f>
        <v/>
      </c>
    </row>
    <row r="3242" spans="2:18" x14ac:dyDescent="0.25">
      <c r="B3242" s="5" t="s">
        <v>3244</v>
      </c>
      <c r="C3242" s="5" t="s">
        <v>7384</v>
      </c>
      <c r="D3242" s="5">
        <v>0</v>
      </c>
      <c r="E3242" s="5">
        <v>0</v>
      </c>
      <c r="F3242" s="5">
        <v>0</v>
      </c>
      <c r="G3242" s="5">
        <v>0</v>
      </c>
      <c r="H3242" s="5">
        <v>0</v>
      </c>
      <c r="I3242" s="5">
        <v>0</v>
      </c>
      <c r="J3242" s="5">
        <v>0</v>
      </c>
      <c r="K3242" s="5">
        <v>0</v>
      </c>
      <c r="L3242" s="5">
        <v>0</v>
      </c>
      <c r="M3242" s="5">
        <v>0</v>
      </c>
      <c r="N3242" s="5">
        <v>2884</v>
      </c>
      <c r="O3242" s="5" t="str">
        <f t="shared" ca="1" si="50"/>
        <v>Supplier 95</v>
      </c>
      <c r="P3242" s="20" t="str">
        <f ca="1">IFERROR(VLOOKUP(O3242,EMAILS!B:C,2,FALSE),"NOT FOUND IN EMAILS")</f>
        <v>supplier@gmail.com</v>
      </c>
      <c r="Q3242" t="str">
        <f ca="1">""&amp;IFERROR(VLOOKUP(O3242,EMAILS!B:D,3,FALSE),"NOT FOUND IN EMAILS")</f>
        <v/>
      </c>
      <c r="R3242" t="str">
        <f ca="1">""&amp;IFERROR(VLOOKUP(O3242,EMAILS!B:E,4,FALSE),"NO T FOUND IN EMAILS")</f>
        <v/>
      </c>
    </row>
    <row r="3243" spans="2:18" x14ac:dyDescent="0.25">
      <c r="B3243" s="5" t="s">
        <v>3245</v>
      </c>
      <c r="C3243" s="5" t="s">
        <v>7385</v>
      </c>
      <c r="D3243" s="5">
        <v>14</v>
      </c>
      <c r="E3243" s="5">
        <v>18</v>
      </c>
      <c r="F3243" s="5">
        <v>24</v>
      </c>
      <c r="G3243" s="5">
        <v>32</v>
      </c>
      <c r="H3243" s="5">
        <v>32</v>
      </c>
      <c r="I3243" s="5">
        <v>30</v>
      </c>
      <c r="J3243" s="5">
        <v>20</v>
      </c>
      <c r="K3243" s="5">
        <v>20</v>
      </c>
      <c r="L3243" s="5">
        <v>17</v>
      </c>
      <c r="M3243" s="5">
        <v>0</v>
      </c>
      <c r="N3243" s="5">
        <v>430</v>
      </c>
      <c r="O3243" s="5" t="str">
        <f t="shared" ca="1" si="50"/>
        <v>Supplier 145</v>
      </c>
      <c r="P3243" s="20" t="str">
        <f ca="1">IFERROR(VLOOKUP(O3243,EMAILS!B:C,2,FALSE),"NOT FOUND IN EMAILS")</f>
        <v>supplier@gmail.com</v>
      </c>
      <c r="Q3243" t="str">
        <f ca="1">""&amp;IFERROR(VLOOKUP(O3243,EMAILS!B:D,3,FALSE),"NOT FOUND IN EMAILS")</f>
        <v/>
      </c>
      <c r="R3243" t="str">
        <f ca="1">""&amp;IFERROR(VLOOKUP(O3243,EMAILS!B:E,4,FALSE),"NO T FOUND IN EMAILS")</f>
        <v/>
      </c>
    </row>
    <row r="3244" spans="2:18" x14ac:dyDescent="0.25">
      <c r="B3244" s="5" t="s">
        <v>3246</v>
      </c>
      <c r="C3244" s="5" t="s">
        <v>7386</v>
      </c>
      <c r="D3244" s="5">
        <v>163</v>
      </c>
      <c r="E3244" s="5">
        <v>207</v>
      </c>
      <c r="F3244" s="5">
        <v>278</v>
      </c>
      <c r="G3244" s="5">
        <v>274</v>
      </c>
      <c r="H3244" s="5">
        <v>274</v>
      </c>
      <c r="I3244" s="5">
        <v>251</v>
      </c>
      <c r="J3244" s="5">
        <v>185</v>
      </c>
      <c r="K3244" s="5">
        <v>132</v>
      </c>
      <c r="L3244" s="5">
        <v>122</v>
      </c>
      <c r="M3244" s="5">
        <v>0</v>
      </c>
      <c r="N3244" s="5">
        <v>0</v>
      </c>
      <c r="O3244" s="5" t="str">
        <f t="shared" ca="1" si="50"/>
        <v>Supplier 85</v>
      </c>
      <c r="P3244" s="20" t="str">
        <f ca="1">IFERROR(VLOOKUP(O3244,EMAILS!B:C,2,FALSE),"NOT FOUND IN EMAILS")</f>
        <v>supplier@gmail.com</v>
      </c>
      <c r="Q3244" t="str">
        <f ca="1">""&amp;IFERROR(VLOOKUP(O3244,EMAILS!B:D,3,FALSE),"NOT FOUND IN EMAILS")</f>
        <v/>
      </c>
      <c r="R3244" t="str">
        <f ca="1">""&amp;IFERROR(VLOOKUP(O3244,EMAILS!B:E,4,FALSE),"NO T FOUND IN EMAILS")</f>
        <v/>
      </c>
    </row>
    <row r="3245" spans="2:18" x14ac:dyDescent="0.25">
      <c r="B3245" s="5" t="s">
        <v>3247</v>
      </c>
      <c r="C3245" s="5" t="s">
        <v>7387</v>
      </c>
      <c r="D3245" s="5">
        <v>56</v>
      </c>
      <c r="E3245" s="5">
        <v>72</v>
      </c>
      <c r="F3245" s="5">
        <v>96</v>
      </c>
      <c r="G3245" s="5">
        <v>80</v>
      </c>
      <c r="H3245" s="5">
        <v>80</v>
      </c>
      <c r="I3245" s="5">
        <v>72</v>
      </c>
      <c r="J3245" s="5">
        <v>56</v>
      </c>
      <c r="K3245" s="5">
        <v>32</v>
      </c>
      <c r="L3245" s="5">
        <v>32</v>
      </c>
      <c r="M3245" s="5">
        <v>0</v>
      </c>
      <c r="N3245" s="5">
        <v>256</v>
      </c>
      <c r="O3245" s="5" t="str">
        <f t="shared" ca="1" si="50"/>
        <v>Supplier 89</v>
      </c>
      <c r="P3245" s="20" t="str">
        <f ca="1">IFERROR(VLOOKUP(O3245,EMAILS!B:C,2,FALSE),"NOT FOUND IN EMAILS")</f>
        <v>supplier@gmail.com</v>
      </c>
      <c r="Q3245" t="str">
        <f ca="1">""&amp;IFERROR(VLOOKUP(O3245,EMAILS!B:D,3,FALSE),"NOT FOUND IN EMAILS")</f>
        <v/>
      </c>
      <c r="R3245" t="str">
        <f ca="1">""&amp;IFERROR(VLOOKUP(O3245,EMAILS!B:E,4,FALSE),"NO T FOUND IN EMAILS")</f>
        <v/>
      </c>
    </row>
    <row r="3246" spans="2:18" x14ac:dyDescent="0.25">
      <c r="B3246" s="5" t="s">
        <v>3248</v>
      </c>
      <c r="C3246" s="5" t="s">
        <v>7388</v>
      </c>
      <c r="D3246" s="5">
        <v>19</v>
      </c>
      <c r="E3246" s="5">
        <v>9</v>
      </c>
      <c r="F3246" s="5">
        <v>22</v>
      </c>
      <c r="G3246" s="5">
        <v>18</v>
      </c>
      <c r="H3246" s="5">
        <v>20</v>
      </c>
      <c r="I3246" s="5">
        <v>15</v>
      </c>
      <c r="J3246" s="5">
        <v>15</v>
      </c>
      <c r="K3246" s="5">
        <v>8</v>
      </c>
      <c r="L3246" s="5">
        <v>8</v>
      </c>
      <c r="M3246" s="5">
        <v>0</v>
      </c>
      <c r="N3246" s="5">
        <v>115</v>
      </c>
      <c r="O3246" s="5" t="str">
        <f t="shared" ca="1" si="50"/>
        <v>Supplier 124</v>
      </c>
      <c r="P3246" s="20" t="str">
        <f ca="1">IFERROR(VLOOKUP(O3246,EMAILS!B:C,2,FALSE),"NOT FOUND IN EMAILS")</f>
        <v>supplier@gmail.com</v>
      </c>
      <c r="Q3246" t="str">
        <f ca="1">""&amp;IFERROR(VLOOKUP(O3246,EMAILS!B:D,3,FALSE),"NOT FOUND IN EMAILS")</f>
        <v/>
      </c>
      <c r="R3246" t="str">
        <f ca="1">""&amp;IFERROR(VLOOKUP(O3246,EMAILS!B:E,4,FALSE),"NO T FOUND IN EMAILS")</f>
        <v/>
      </c>
    </row>
    <row r="3247" spans="2:18" x14ac:dyDescent="0.25">
      <c r="B3247" s="5" t="s">
        <v>3249</v>
      </c>
      <c r="C3247" s="5" t="s">
        <v>7389</v>
      </c>
      <c r="D3247" s="5">
        <v>14</v>
      </c>
      <c r="E3247" s="5">
        <v>18</v>
      </c>
      <c r="F3247" s="5">
        <v>24</v>
      </c>
      <c r="G3247" s="5">
        <v>20</v>
      </c>
      <c r="H3247" s="5">
        <v>20</v>
      </c>
      <c r="I3247" s="5">
        <v>18</v>
      </c>
      <c r="J3247" s="5">
        <v>14</v>
      </c>
      <c r="K3247" s="5">
        <v>8</v>
      </c>
      <c r="L3247" s="5">
        <v>8</v>
      </c>
      <c r="M3247" s="5">
        <v>0</v>
      </c>
      <c r="N3247" s="5">
        <v>118</v>
      </c>
      <c r="O3247" s="5" t="str">
        <f t="shared" ca="1" si="50"/>
        <v>Supplier 94</v>
      </c>
      <c r="P3247" s="20" t="str">
        <f ca="1">IFERROR(VLOOKUP(O3247,EMAILS!B:C,2,FALSE),"NOT FOUND IN EMAILS")</f>
        <v>supplier@gmail.com</v>
      </c>
      <c r="Q3247" t="str">
        <f ca="1">""&amp;IFERROR(VLOOKUP(O3247,EMAILS!B:D,3,FALSE),"NOT FOUND IN EMAILS")</f>
        <v/>
      </c>
      <c r="R3247" t="str">
        <f ca="1">""&amp;IFERROR(VLOOKUP(O3247,EMAILS!B:E,4,FALSE),"NO T FOUND IN EMAILS")</f>
        <v/>
      </c>
    </row>
    <row r="3248" spans="2:18" x14ac:dyDescent="0.25">
      <c r="B3248" s="5" t="s">
        <v>3250</v>
      </c>
      <c r="C3248" s="5" t="s">
        <v>7390</v>
      </c>
      <c r="D3248" s="5">
        <v>14</v>
      </c>
      <c r="E3248" s="5">
        <v>18</v>
      </c>
      <c r="F3248" s="5">
        <v>24</v>
      </c>
      <c r="G3248" s="5">
        <v>20</v>
      </c>
      <c r="H3248" s="5">
        <v>20</v>
      </c>
      <c r="I3248" s="5">
        <v>18</v>
      </c>
      <c r="J3248" s="5">
        <v>14</v>
      </c>
      <c r="K3248" s="5">
        <v>8</v>
      </c>
      <c r="L3248" s="5">
        <v>8</v>
      </c>
      <c r="M3248" s="5">
        <v>0</v>
      </c>
      <c r="N3248" s="5">
        <v>151</v>
      </c>
      <c r="O3248" s="5" t="str">
        <f t="shared" ca="1" si="50"/>
        <v>Supplier 165</v>
      </c>
      <c r="P3248" s="20" t="str">
        <f ca="1">IFERROR(VLOOKUP(O3248,EMAILS!B:C,2,FALSE),"NOT FOUND IN EMAILS")</f>
        <v>supplier@gmail.com</v>
      </c>
      <c r="Q3248" t="str">
        <f ca="1">""&amp;IFERROR(VLOOKUP(O3248,EMAILS!B:D,3,FALSE),"NOT FOUND IN EMAILS")</f>
        <v/>
      </c>
      <c r="R3248" t="str">
        <f ca="1">""&amp;IFERROR(VLOOKUP(O3248,EMAILS!B:E,4,FALSE),"NO T FOUND IN EMAILS")</f>
        <v/>
      </c>
    </row>
    <row r="3249" spans="2:18" x14ac:dyDescent="0.25">
      <c r="B3249" s="5" t="s">
        <v>3251</v>
      </c>
      <c r="C3249" s="5" t="s">
        <v>7391</v>
      </c>
      <c r="D3249" s="5">
        <v>28</v>
      </c>
      <c r="E3249" s="5">
        <v>36</v>
      </c>
      <c r="F3249" s="5">
        <v>57</v>
      </c>
      <c r="G3249" s="5">
        <v>73</v>
      </c>
      <c r="H3249" s="5">
        <v>73</v>
      </c>
      <c r="I3249" s="5">
        <v>60</v>
      </c>
      <c r="J3249" s="5">
        <v>49</v>
      </c>
      <c r="K3249" s="5">
        <v>40</v>
      </c>
      <c r="L3249" s="5">
        <v>34</v>
      </c>
      <c r="M3249" s="5">
        <v>0</v>
      </c>
      <c r="N3249" s="5">
        <v>1052</v>
      </c>
      <c r="O3249" s="5" t="str">
        <f t="shared" ca="1" si="50"/>
        <v>Supplier 132</v>
      </c>
      <c r="P3249" s="20" t="str">
        <f ca="1">IFERROR(VLOOKUP(O3249,EMAILS!B:C,2,FALSE),"NOT FOUND IN EMAILS")</f>
        <v>supplier@gmail.com</v>
      </c>
      <c r="Q3249" t="str">
        <f ca="1">""&amp;IFERROR(VLOOKUP(O3249,EMAILS!B:D,3,FALSE),"NOT FOUND IN EMAILS")</f>
        <v/>
      </c>
      <c r="R3249" t="str">
        <f ca="1">""&amp;IFERROR(VLOOKUP(O3249,EMAILS!B:E,4,FALSE),"NO T FOUND IN EMAILS")</f>
        <v/>
      </c>
    </row>
    <row r="3250" spans="2:18" x14ac:dyDescent="0.25">
      <c r="B3250" s="5" t="s">
        <v>3252</v>
      </c>
      <c r="C3250" s="5" t="s">
        <v>7392</v>
      </c>
      <c r="D3250" s="5">
        <v>73</v>
      </c>
      <c r="E3250" s="5">
        <v>63</v>
      </c>
      <c r="F3250" s="5">
        <v>104</v>
      </c>
      <c r="G3250" s="5">
        <v>590</v>
      </c>
      <c r="H3250" s="5">
        <v>594</v>
      </c>
      <c r="I3250" s="5">
        <v>579</v>
      </c>
      <c r="J3250" s="5">
        <v>821</v>
      </c>
      <c r="K3250" s="5">
        <v>1044</v>
      </c>
      <c r="L3250" s="5">
        <v>1044</v>
      </c>
      <c r="M3250" s="5">
        <v>0</v>
      </c>
      <c r="N3250" s="5">
        <v>176</v>
      </c>
      <c r="O3250" s="5" t="str">
        <f t="shared" ca="1" si="50"/>
        <v>Supplier 72</v>
      </c>
      <c r="P3250" s="20" t="str">
        <f ca="1">IFERROR(VLOOKUP(O3250,EMAILS!B:C,2,FALSE),"NOT FOUND IN EMAILS")</f>
        <v>supplier@gmail.com</v>
      </c>
      <c r="Q3250" t="str">
        <f ca="1">""&amp;IFERROR(VLOOKUP(O3250,EMAILS!B:D,3,FALSE),"NOT FOUND IN EMAILS")</f>
        <v/>
      </c>
      <c r="R3250" t="str">
        <f ca="1">""&amp;IFERROR(VLOOKUP(O3250,EMAILS!B:E,4,FALSE),"NO T FOUND IN EMAILS")</f>
        <v/>
      </c>
    </row>
    <row r="3251" spans="2:18" x14ac:dyDescent="0.25">
      <c r="B3251" s="5" t="s">
        <v>3253</v>
      </c>
      <c r="C3251" s="5" t="s">
        <v>7393</v>
      </c>
      <c r="D3251" s="5">
        <v>14</v>
      </c>
      <c r="E3251" s="5">
        <v>18</v>
      </c>
      <c r="F3251" s="5">
        <v>24</v>
      </c>
      <c r="G3251" s="5">
        <v>20</v>
      </c>
      <c r="H3251" s="5">
        <v>20</v>
      </c>
      <c r="I3251" s="5">
        <v>18</v>
      </c>
      <c r="J3251" s="5">
        <v>14</v>
      </c>
      <c r="K3251" s="5">
        <v>8</v>
      </c>
      <c r="L3251" s="5">
        <v>8</v>
      </c>
      <c r="M3251" s="5">
        <v>0</v>
      </c>
      <c r="N3251" s="5">
        <v>761</v>
      </c>
      <c r="O3251" s="5" t="str">
        <f t="shared" ca="1" si="50"/>
        <v>Supplier 36</v>
      </c>
      <c r="P3251" s="20" t="str">
        <f ca="1">IFERROR(VLOOKUP(O3251,EMAILS!B:C,2,FALSE),"NOT FOUND IN EMAILS")</f>
        <v>supplier@gmail.com</v>
      </c>
      <c r="Q3251" t="str">
        <f ca="1">""&amp;IFERROR(VLOOKUP(O3251,EMAILS!B:D,3,FALSE),"NOT FOUND IN EMAILS")</f>
        <v/>
      </c>
      <c r="R3251" t="str">
        <f ca="1">""&amp;IFERROR(VLOOKUP(O3251,EMAILS!B:E,4,FALSE),"NO T FOUND IN EMAILS")</f>
        <v/>
      </c>
    </row>
    <row r="3252" spans="2:18" x14ac:dyDescent="0.25">
      <c r="B3252" s="5" t="s">
        <v>3254</v>
      </c>
      <c r="C3252" s="5" t="s">
        <v>7394</v>
      </c>
      <c r="D3252" s="5">
        <v>179</v>
      </c>
      <c r="E3252" s="5">
        <v>162</v>
      </c>
      <c r="F3252" s="5">
        <v>259</v>
      </c>
      <c r="G3252" s="5">
        <v>381</v>
      </c>
      <c r="H3252" s="5">
        <v>388</v>
      </c>
      <c r="I3252" s="5">
        <v>354</v>
      </c>
      <c r="J3252" s="5">
        <v>235</v>
      </c>
      <c r="K3252" s="5">
        <v>258</v>
      </c>
      <c r="L3252" s="5">
        <v>220</v>
      </c>
      <c r="M3252" s="5">
        <v>0</v>
      </c>
      <c r="N3252" s="5">
        <v>232</v>
      </c>
      <c r="O3252" s="5" t="str">
        <f t="shared" ca="1" si="50"/>
        <v>Supplier 66</v>
      </c>
      <c r="P3252" s="20" t="str">
        <f ca="1">IFERROR(VLOOKUP(O3252,EMAILS!B:C,2,FALSE),"NOT FOUND IN EMAILS")</f>
        <v>supplier@gmail.com</v>
      </c>
      <c r="Q3252" t="str">
        <f ca="1">""&amp;IFERROR(VLOOKUP(O3252,EMAILS!B:D,3,FALSE),"NOT FOUND IN EMAILS")</f>
        <v/>
      </c>
      <c r="R3252" t="str">
        <f ca="1">""&amp;IFERROR(VLOOKUP(O3252,EMAILS!B:E,4,FALSE),"NO T FOUND IN EMAILS")</f>
        <v/>
      </c>
    </row>
    <row r="3253" spans="2:18" x14ac:dyDescent="0.25">
      <c r="B3253" s="5" t="s">
        <v>3255</v>
      </c>
      <c r="C3253" s="5" t="s">
        <v>7395</v>
      </c>
      <c r="D3253" s="5">
        <v>13</v>
      </c>
      <c r="E3253" s="5">
        <v>0</v>
      </c>
      <c r="F3253" s="5">
        <v>11</v>
      </c>
      <c r="G3253" s="5">
        <v>10</v>
      </c>
      <c r="H3253" s="5">
        <v>12</v>
      </c>
      <c r="I3253" s="5">
        <v>8</v>
      </c>
      <c r="J3253" s="5">
        <v>10</v>
      </c>
      <c r="K3253" s="5">
        <v>4</v>
      </c>
      <c r="L3253" s="5">
        <v>4</v>
      </c>
      <c r="M3253" s="5">
        <v>0</v>
      </c>
      <c r="N3253" s="5">
        <v>113</v>
      </c>
      <c r="O3253" s="5" t="str">
        <f t="shared" ca="1" si="50"/>
        <v>Supplier 13</v>
      </c>
      <c r="P3253" s="20" t="str">
        <f ca="1">IFERROR(VLOOKUP(O3253,EMAILS!B:C,2,FALSE),"NOT FOUND IN EMAILS")</f>
        <v>supplier@gmail.com</v>
      </c>
      <c r="Q3253" t="str">
        <f ca="1">""&amp;IFERROR(VLOOKUP(O3253,EMAILS!B:D,3,FALSE),"NOT FOUND IN EMAILS")</f>
        <v>supplier_logistics@gmail.com</v>
      </c>
      <c r="R3253" t="str">
        <f ca="1">""&amp;IFERROR(VLOOKUP(O3253,EMAILS!B:E,4,FALSE),"NO T FOUND IN EMAILS")</f>
        <v/>
      </c>
    </row>
    <row r="3254" spans="2:18" x14ac:dyDescent="0.25">
      <c r="B3254" s="5" t="s">
        <v>3256</v>
      </c>
      <c r="C3254" s="5" t="s">
        <v>7396</v>
      </c>
      <c r="D3254" s="5">
        <v>48</v>
      </c>
      <c r="E3254" s="5">
        <v>0</v>
      </c>
      <c r="F3254" s="5">
        <v>40</v>
      </c>
      <c r="G3254" s="5">
        <v>32</v>
      </c>
      <c r="H3254" s="5">
        <v>40</v>
      </c>
      <c r="I3254" s="5">
        <v>24</v>
      </c>
      <c r="J3254" s="5">
        <v>32</v>
      </c>
      <c r="K3254" s="5">
        <v>16</v>
      </c>
      <c r="L3254" s="5">
        <v>16</v>
      </c>
      <c r="M3254" s="5">
        <v>0</v>
      </c>
      <c r="N3254" s="5">
        <v>1516</v>
      </c>
      <c r="O3254" s="5" t="str">
        <f t="shared" ca="1" si="50"/>
        <v>Supplier 178</v>
      </c>
      <c r="P3254" s="20" t="str">
        <f ca="1">IFERROR(VLOOKUP(O3254,EMAILS!B:C,2,FALSE),"NOT FOUND IN EMAILS")</f>
        <v>supplier@gmail.com</v>
      </c>
      <c r="Q3254" t="str">
        <f ca="1">""&amp;IFERROR(VLOOKUP(O3254,EMAILS!B:D,3,FALSE),"NOT FOUND IN EMAILS")</f>
        <v/>
      </c>
      <c r="R3254" t="str">
        <f ca="1">""&amp;IFERROR(VLOOKUP(O3254,EMAILS!B:E,4,FALSE),"NO T FOUND IN EMAILS")</f>
        <v/>
      </c>
    </row>
    <row r="3255" spans="2:18" x14ac:dyDescent="0.25">
      <c r="B3255" s="5" t="s">
        <v>3257</v>
      </c>
      <c r="C3255" s="5" t="s">
        <v>7397</v>
      </c>
      <c r="D3255" s="5">
        <v>60</v>
      </c>
      <c r="E3255" s="5">
        <v>0</v>
      </c>
      <c r="F3255" s="5">
        <v>50</v>
      </c>
      <c r="G3255" s="5">
        <v>40</v>
      </c>
      <c r="H3255" s="5">
        <v>50</v>
      </c>
      <c r="I3255" s="5">
        <v>30</v>
      </c>
      <c r="J3255" s="5">
        <v>40</v>
      </c>
      <c r="K3255" s="5">
        <v>20</v>
      </c>
      <c r="L3255" s="5">
        <v>20</v>
      </c>
      <c r="M3255" s="5">
        <v>0</v>
      </c>
      <c r="N3255" s="5">
        <v>302</v>
      </c>
      <c r="O3255" s="5" t="str">
        <f t="shared" ca="1" si="50"/>
        <v>Supplier 39</v>
      </c>
      <c r="P3255" s="20" t="str">
        <f ca="1">IFERROR(VLOOKUP(O3255,EMAILS!B:C,2,FALSE),"NOT FOUND IN EMAILS")</f>
        <v>supplier@gmail.com</v>
      </c>
      <c r="Q3255" t="str">
        <f ca="1">""&amp;IFERROR(VLOOKUP(O3255,EMAILS!B:D,3,FALSE),"NOT FOUND IN EMAILS")</f>
        <v/>
      </c>
      <c r="R3255" t="str">
        <f ca="1">""&amp;IFERROR(VLOOKUP(O3255,EMAILS!B:E,4,FALSE),"NO T FOUND IN EMAILS")</f>
        <v/>
      </c>
    </row>
    <row r="3256" spans="2:18" x14ac:dyDescent="0.25">
      <c r="B3256" s="5" t="s">
        <v>3258</v>
      </c>
      <c r="C3256" s="5" t="s">
        <v>7398</v>
      </c>
      <c r="D3256" s="5">
        <v>48</v>
      </c>
      <c r="E3256" s="5">
        <v>0</v>
      </c>
      <c r="F3256" s="5">
        <v>40</v>
      </c>
      <c r="G3256" s="5">
        <v>32</v>
      </c>
      <c r="H3256" s="5">
        <v>40</v>
      </c>
      <c r="I3256" s="5">
        <v>24</v>
      </c>
      <c r="J3256" s="5">
        <v>32</v>
      </c>
      <c r="K3256" s="5">
        <v>16</v>
      </c>
      <c r="L3256" s="5">
        <v>16</v>
      </c>
      <c r="M3256" s="5">
        <v>0</v>
      </c>
      <c r="N3256" s="5">
        <v>544</v>
      </c>
      <c r="O3256" s="5" t="str">
        <f t="shared" ca="1" si="50"/>
        <v>Supplier 112</v>
      </c>
      <c r="P3256" s="20" t="str">
        <f ca="1">IFERROR(VLOOKUP(O3256,EMAILS!B:C,2,FALSE),"NOT FOUND IN EMAILS")</f>
        <v>supplier@gmail.com</v>
      </c>
      <c r="Q3256" t="str">
        <f ca="1">""&amp;IFERROR(VLOOKUP(O3256,EMAILS!B:D,3,FALSE),"NOT FOUND IN EMAILS")</f>
        <v/>
      </c>
      <c r="R3256" t="str">
        <f ca="1">""&amp;IFERROR(VLOOKUP(O3256,EMAILS!B:E,4,FALSE),"NO T FOUND IN EMAILS")</f>
        <v/>
      </c>
    </row>
    <row r="3257" spans="2:18" x14ac:dyDescent="0.25">
      <c r="B3257" s="5" t="s">
        <v>3259</v>
      </c>
      <c r="C3257" s="5" t="s">
        <v>7399</v>
      </c>
      <c r="D3257" s="5">
        <v>7</v>
      </c>
      <c r="E3257" s="5">
        <v>9</v>
      </c>
      <c r="F3257" s="5">
        <v>12</v>
      </c>
      <c r="G3257" s="5">
        <v>10</v>
      </c>
      <c r="H3257" s="5">
        <v>10</v>
      </c>
      <c r="I3257" s="5">
        <v>9</v>
      </c>
      <c r="J3257" s="5">
        <v>7</v>
      </c>
      <c r="K3257" s="5">
        <v>4</v>
      </c>
      <c r="L3257" s="5">
        <v>4</v>
      </c>
      <c r="M3257" s="5">
        <v>0</v>
      </c>
      <c r="N3257" s="5">
        <v>197</v>
      </c>
      <c r="O3257" s="5" t="str">
        <f t="shared" ca="1" si="50"/>
        <v>Supplier 163</v>
      </c>
      <c r="P3257" s="20" t="str">
        <f ca="1">IFERROR(VLOOKUP(O3257,EMAILS!B:C,2,FALSE),"NOT FOUND IN EMAILS")</f>
        <v>supplier@gmail.com</v>
      </c>
      <c r="Q3257" t="str">
        <f ca="1">""&amp;IFERROR(VLOOKUP(O3257,EMAILS!B:D,3,FALSE),"NOT FOUND IN EMAILS")</f>
        <v/>
      </c>
      <c r="R3257" t="str">
        <f ca="1">""&amp;IFERROR(VLOOKUP(O3257,EMAILS!B:E,4,FALSE),"NO T FOUND IN EMAILS")</f>
        <v/>
      </c>
    </row>
    <row r="3258" spans="2:18" x14ac:dyDescent="0.25">
      <c r="B3258" s="5" t="s">
        <v>3260</v>
      </c>
      <c r="C3258" s="5" t="s">
        <v>7400</v>
      </c>
      <c r="D3258" s="5">
        <v>21</v>
      </c>
      <c r="E3258" s="5">
        <v>27</v>
      </c>
      <c r="F3258" s="5">
        <v>36</v>
      </c>
      <c r="G3258" s="5">
        <v>34</v>
      </c>
      <c r="H3258" s="5">
        <v>31</v>
      </c>
      <c r="I3258" s="5">
        <v>31</v>
      </c>
      <c r="J3258" s="5">
        <v>23</v>
      </c>
      <c r="K3258" s="5">
        <v>16</v>
      </c>
      <c r="L3258" s="5">
        <v>15</v>
      </c>
      <c r="M3258" s="5">
        <v>0</v>
      </c>
      <c r="N3258" s="5">
        <v>744</v>
      </c>
      <c r="O3258" s="5" t="str">
        <f t="shared" ca="1" si="50"/>
        <v>Supplier 196</v>
      </c>
      <c r="P3258" s="20" t="str">
        <f ca="1">IFERROR(VLOOKUP(O3258,EMAILS!B:C,2,FALSE),"NOT FOUND IN EMAILS")</f>
        <v>supplier@gmail.com</v>
      </c>
      <c r="Q3258" t="str">
        <f ca="1">""&amp;IFERROR(VLOOKUP(O3258,EMAILS!B:D,3,FALSE),"NOT FOUND IN EMAILS")</f>
        <v/>
      </c>
      <c r="R3258" t="str">
        <f ca="1">""&amp;IFERROR(VLOOKUP(O3258,EMAILS!B:E,4,FALSE),"NO T FOUND IN EMAILS")</f>
        <v/>
      </c>
    </row>
    <row r="3259" spans="2:18" x14ac:dyDescent="0.25">
      <c r="B3259" s="5" t="s">
        <v>3261</v>
      </c>
      <c r="C3259" s="5" t="s">
        <v>7401</v>
      </c>
      <c r="D3259" s="5">
        <v>24</v>
      </c>
      <c r="E3259" s="5">
        <v>0</v>
      </c>
      <c r="F3259" s="5">
        <v>20</v>
      </c>
      <c r="G3259" s="5">
        <v>16</v>
      </c>
      <c r="H3259" s="5">
        <v>16</v>
      </c>
      <c r="I3259" s="5">
        <v>12</v>
      </c>
      <c r="J3259" s="5">
        <v>16</v>
      </c>
      <c r="K3259" s="5">
        <v>8</v>
      </c>
      <c r="L3259" s="5">
        <v>8</v>
      </c>
      <c r="M3259" s="5">
        <v>0</v>
      </c>
      <c r="N3259" s="5">
        <v>2480</v>
      </c>
      <c r="O3259" s="5" t="str">
        <f t="shared" ca="1" si="50"/>
        <v>Supplier 94</v>
      </c>
      <c r="P3259" s="20" t="str">
        <f ca="1">IFERROR(VLOOKUP(O3259,EMAILS!B:C,2,FALSE),"NOT FOUND IN EMAILS")</f>
        <v>supplier@gmail.com</v>
      </c>
      <c r="Q3259" t="str">
        <f ca="1">""&amp;IFERROR(VLOOKUP(O3259,EMAILS!B:D,3,FALSE),"NOT FOUND IN EMAILS")</f>
        <v/>
      </c>
      <c r="R3259" t="str">
        <f ca="1">""&amp;IFERROR(VLOOKUP(O3259,EMAILS!B:E,4,FALSE),"NO T FOUND IN EMAILS")</f>
        <v/>
      </c>
    </row>
    <row r="3260" spans="2:18" x14ac:dyDescent="0.25">
      <c r="B3260" s="5" t="s">
        <v>3262</v>
      </c>
      <c r="C3260" s="5" t="s">
        <v>7402</v>
      </c>
      <c r="D3260" s="5">
        <v>7</v>
      </c>
      <c r="E3260" s="5">
        <v>1</v>
      </c>
      <c r="F3260" s="5">
        <v>11</v>
      </c>
      <c r="G3260" s="5">
        <v>30</v>
      </c>
      <c r="H3260" s="5">
        <v>30</v>
      </c>
      <c r="I3260" s="5">
        <v>30</v>
      </c>
      <c r="J3260" s="5">
        <v>9</v>
      </c>
      <c r="K3260" s="5">
        <v>28</v>
      </c>
      <c r="L3260" s="5">
        <v>26</v>
      </c>
      <c r="M3260" s="5">
        <v>0</v>
      </c>
      <c r="N3260" s="5">
        <v>837</v>
      </c>
      <c r="O3260" s="5" t="str">
        <f t="shared" ca="1" si="50"/>
        <v>Supplier 6</v>
      </c>
      <c r="P3260" s="20" t="str">
        <f ca="1">IFERROR(VLOOKUP(O3260,EMAILS!B:C,2,FALSE),"NOT FOUND IN EMAILS")</f>
        <v>supplier@gmail.com</v>
      </c>
      <c r="Q3260" t="str">
        <f ca="1">""&amp;IFERROR(VLOOKUP(O3260,EMAILS!B:D,3,FALSE),"NOT FOUND IN EMAILS")</f>
        <v>supplier_logistics@gmail.com</v>
      </c>
      <c r="R3260" t="str">
        <f ca="1">""&amp;IFERROR(VLOOKUP(O3260,EMAILS!B:E,4,FALSE),"NO T FOUND IN EMAILS")</f>
        <v/>
      </c>
    </row>
    <row r="3261" spans="2:18" x14ac:dyDescent="0.25">
      <c r="B3261" s="5" t="s">
        <v>3263</v>
      </c>
      <c r="C3261" s="5" t="s">
        <v>7403</v>
      </c>
      <c r="D3261" s="5">
        <v>12</v>
      </c>
      <c r="E3261" s="5">
        <v>0</v>
      </c>
      <c r="F3261" s="5">
        <v>10</v>
      </c>
      <c r="G3261" s="5">
        <v>8</v>
      </c>
      <c r="H3261" s="5">
        <v>10</v>
      </c>
      <c r="I3261" s="5">
        <v>6</v>
      </c>
      <c r="J3261" s="5">
        <v>8</v>
      </c>
      <c r="K3261" s="5">
        <v>4</v>
      </c>
      <c r="L3261" s="5">
        <v>4</v>
      </c>
      <c r="M3261" s="5">
        <v>0</v>
      </c>
      <c r="N3261" s="5">
        <v>2278</v>
      </c>
      <c r="O3261" s="5" t="str">
        <f t="shared" ca="1" si="50"/>
        <v>Supplier 101</v>
      </c>
      <c r="P3261" s="20" t="str">
        <f ca="1">IFERROR(VLOOKUP(O3261,EMAILS!B:C,2,FALSE),"NOT FOUND IN EMAILS")</f>
        <v>supplier@gmail.com</v>
      </c>
      <c r="Q3261" t="str">
        <f ca="1">""&amp;IFERROR(VLOOKUP(O3261,EMAILS!B:D,3,FALSE),"NOT FOUND IN EMAILS")</f>
        <v/>
      </c>
      <c r="R3261" t="str">
        <f ca="1">""&amp;IFERROR(VLOOKUP(O3261,EMAILS!B:E,4,FALSE),"NO T FOUND IN EMAILS")</f>
        <v/>
      </c>
    </row>
    <row r="3262" spans="2:18" x14ac:dyDescent="0.25">
      <c r="B3262" s="5" t="s">
        <v>3264</v>
      </c>
      <c r="C3262" s="5" t="s">
        <v>7404</v>
      </c>
      <c r="D3262" s="5">
        <v>0</v>
      </c>
      <c r="E3262" s="5">
        <v>0</v>
      </c>
      <c r="F3262" s="5">
        <v>0</v>
      </c>
      <c r="G3262" s="5">
        <v>0</v>
      </c>
      <c r="H3262" s="5">
        <v>0</v>
      </c>
      <c r="I3262" s="5">
        <v>0</v>
      </c>
      <c r="J3262" s="5">
        <v>0</v>
      </c>
      <c r="K3262" s="5">
        <v>0</v>
      </c>
      <c r="L3262" s="5">
        <v>0</v>
      </c>
      <c r="M3262" s="5">
        <v>0</v>
      </c>
      <c r="N3262" s="5">
        <v>1433</v>
      </c>
      <c r="O3262" s="5" t="str">
        <f t="shared" ca="1" si="50"/>
        <v>Supplier 160</v>
      </c>
      <c r="P3262" s="20" t="str">
        <f ca="1">IFERROR(VLOOKUP(O3262,EMAILS!B:C,2,FALSE),"NOT FOUND IN EMAILS")</f>
        <v>supplier@gmail.com</v>
      </c>
      <c r="Q3262" t="str">
        <f ca="1">""&amp;IFERROR(VLOOKUP(O3262,EMAILS!B:D,3,FALSE),"NOT FOUND IN EMAILS")</f>
        <v/>
      </c>
      <c r="R3262" t="str">
        <f ca="1">""&amp;IFERROR(VLOOKUP(O3262,EMAILS!B:E,4,FALSE),"NO T FOUND IN EMAILS")</f>
        <v/>
      </c>
    </row>
    <row r="3263" spans="2:18" x14ac:dyDescent="0.25">
      <c r="B3263" s="5" t="s">
        <v>3265</v>
      </c>
      <c r="C3263" s="5" t="s">
        <v>7405</v>
      </c>
      <c r="D3263" s="5">
        <v>0</v>
      </c>
      <c r="E3263" s="5">
        <v>36</v>
      </c>
      <c r="F3263" s="5">
        <v>4</v>
      </c>
      <c r="G3263" s="5">
        <v>16</v>
      </c>
      <c r="H3263" s="5">
        <v>16</v>
      </c>
      <c r="I3263" s="5">
        <v>12</v>
      </c>
      <c r="J3263" s="5">
        <v>4</v>
      </c>
      <c r="K3263" s="5">
        <v>0</v>
      </c>
      <c r="L3263" s="5">
        <v>0</v>
      </c>
      <c r="M3263" s="5">
        <v>0</v>
      </c>
      <c r="N3263" s="5">
        <v>800</v>
      </c>
      <c r="O3263" s="5" t="str">
        <f t="shared" ca="1" si="50"/>
        <v>Supplier 64</v>
      </c>
      <c r="P3263" s="20" t="str">
        <f ca="1">IFERROR(VLOOKUP(O3263,EMAILS!B:C,2,FALSE),"NOT FOUND IN EMAILS")</f>
        <v>supplier@gmail.com</v>
      </c>
      <c r="Q3263" t="str">
        <f ca="1">""&amp;IFERROR(VLOOKUP(O3263,EMAILS!B:D,3,FALSE),"NOT FOUND IN EMAILS")</f>
        <v/>
      </c>
      <c r="R3263" t="str">
        <f ca="1">""&amp;IFERROR(VLOOKUP(O3263,EMAILS!B:E,4,FALSE),"NO T FOUND IN EMAILS")</f>
        <v/>
      </c>
    </row>
    <row r="3264" spans="2:18" x14ac:dyDescent="0.25">
      <c r="B3264" s="5" t="s">
        <v>3266</v>
      </c>
      <c r="C3264" s="5" t="s">
        <v>7406</v>
      </c>
      <c r="D3264" s="5">
        <v>2</v>
      </c>
      <c r="E3264" s="5">
        <v>2</v>
      </c>
      <c r="F3264" s="5">
        <v>12</v>
      </c>
      <c r="G3264" s="5">
        <v>12</v>
      </c>
      <c r="H3264" s="5">
        <v>12</v>
      </c>
      <c r="I3264" s="5">
        <v>14</v>
      </c>
      <c r="J3264" s="5">
        <v>2</v>
      </c>
      <c r="K3264" s="5">
        <v>12</v>
      </c>
      <c r="L3264" s="5">
        <v>12</v>
      </c>
      <c r="M3264" s="5">
        <v>0</v>
      </c>
      <c r="N3264" s="5">
        <v>1218</v>
      </c>
      <c r="O3264" s="5" t="str">
        <f t="shared" ca="1" si="50"/>
        <v>Supplier 31</v>
      </c>
      <c r="P3264" s="20" t="str">
        <f ca="1">IFERROR(VLOOKUP(O3264,EMAILS!B:C,2,FALSE),"NOT FOUND IN EMAILS")</f>
        <v>supplier@gmail.com</v>
      </c>
      <c r="Q3264" t="str">
        <f ca="1">""&amp;IFERROR(VLOOKUP(O3264,EMAILS!B:D,3,FALSE),"NOT FOUND IN EMAILS")</f>
        <v/>
      </c>
      <c r="R3264" t="str">
        <f ca="1">""&amp;IFERROR(VLOOKUP(O3264,EMAILS!B:E,4,FALSE),"NO T FOUND IN EMAILS")</f>
        <v/>
      </c>
    </row>
    <row r="3265" spans="2:18" x14ac:dyDescent="0.25">
      <c r="B3265" s="5" t="s">
        <v>3267</v>
      </c>
      <c r="C3265" s="5" t="s">
        <v>7407</v>
      </c>
      <c r="D3265" s="5">
        <v>15</v>
      </c>
      <c r="E3265" s="5">
        <v>15</v>
      </c>
      <c r="F3265" s="5">
        <v>20</v>
      </c>
      <c r="G3265" s="5">
        <v>20</v>
      </c>
      <c r="H3265" s="5">
        <v>15</v>
      </c>
      <c r="I3265" s="5">
        <v>15</v>
      </c>
      <c r="J3265" s="5">
        <v>20</v>
      </c>
      <c r="K3265" s="5">
        <v>20</v>
      </c>
      <c r="L3265" s="5">
        <v>5</v>
      </c>
      <c r="M3265" s="5">
        <v>0</v>
      </c>
      <c r="N3265" s="5">
        <v>2468</v>
      </c>
      <c r="O3265" s="5" t="str">
        <f t="shared" ca="1" si="50"/>
        <v>Supplier 27</v>
      </c>
      <c r="P3265" s="20" t="str">
        <f ca="1">IFERROR(VLOOKUP(O3265,EMAILS!B:C,2,FALSE),"NOT FOUND IN EMAILS")</f>
        <v>supplier@gmail.com</v>
      </c>
      <c r="Q3265" t="str">
        <f ca="1">""&amp;IFERROR(VLOOKUP(O3265,EMAILS!B:D,3,FALSE),"NOT FOUND IN EMAILS")</f>
        <v/>
      </c>
      <c r="R3265" t="str">
        <f ca="1">""&amp;IFERROR(VLOOKUP(O3265,EMAILS!B:E,4,FALSE),"NO T FOUND IN EMAILS")</f>
        <v/>
      </c>
    </row>
    <row r="3266" spans="2:18" x14ac:dyDescent="0.25">
      <c r="B3266" s="5" t="s">
        <v>3268</v>
      </c>
      <c r="C3266" s="5" t="s">
        <v>7408</v>
      </c>
      <c r="D3266" s="5">
        <v>0</v>
      </c>
      <c r="E3266" s="5">
        <v>0</v>
      </c>
      <c r="F3266" s="5">
        <v>0</v>
      </c>
      <c r="G3266" s="5">
        <v>0</v>
      </c>
      <c r="H3266" s="5">
        <v>0</v>
      </c>
      <c r="I3266" s="5">
        <v>0</v>
      </c>
      <c r="J3266" s="5">
        <v>0</v>
      </c>
      <c r="K3266" s="5">
        <v>0</v>
      </c>
      <c r="L3266" s="5">
        <v>0</v>
      </c>
      <c r="M3266" s="5">
        <v>0</v>
      </c>
      <c r="N3266" s="5">
        <v>293</v>
      </c>
      <c r="O3266" s="5" t="str">
        <f t="shared" ca="1" si="50"/>
        <v>Supplier 89</v>
      </c>
      <c r="P3266" s="20" t="str">
        <f ca="1">IFERROR(VLOOKUP(O3266,EMAILS!B:C,2,FALSE),"NOT FOUND IN EMAILS")</f>
        <v>supplier@gmail.com</v>
      </c>
      <c r="Q3266" t="str">
        <f ca="1">""&amp;IFERROR(VLOOKUP(O3266,EMAILS!B:D,3,FALSE),"NOT FOUND IN EMAILS")</f>
        <v/>
      </c>
      <c r="R3266" t="str">
        <f ca="1">""&amp;IFERROR(VLOOKUP(O3266,EMAILS!B:E,4,FALSE),"NO T FOUND IN EMAILS")</f>
        <v/>
      </c>
    </row>
    <row r="3267" spans="2:18" x14ac:dyDescent="0.25">
      <c r="B3267" s="5" t="s">
        <v>3269</v>
      </c>
      <c r="C3267" s="5" t="s">
        <v>7409</v>
      </c>
      <c r="D3267" s="5">
        <v>15</v>
      </c>
      <c r="E3267" s="5">
        <v>15</v>
      </c>
      <c r="F3267" s="5">
        <v>20</v>
      </c>
      <c r="G3267" s="5">
        <v>20</v>
      </c>
      <c r="H3267" s="5">
        <v>15</v>
      </c>
      <c r="I3267" s="5">
        <v>15</v>
      </c>
      <c r="J3267" s="5">
        <v>20</v>
      </c>
      <c r="K3267" s="5">
        <v>20</v>
      </c>
      <c r="L3267" s="5">
        <v>5</v>
      </c>
      <c r="M3267" s="5">
        <v>0</v>
      </c>
      <c r="N3267" s="5">
        <v>224</v>
      </c>
      <c r="O3267" s="5" t="str">
        <f t="shared" ref="O3267:O3330" ca="1" si="51">"Supplier "&amp;RANDBETWEEN(1,200)</f>
        <v>Supplier 63</v>
      </c>
      <c r="P3267" s="20" t="str">
        <f ca="1">IFERROR(VLOOKUP(O3267,EMAILS!B:C,2,FALSE),"NOT FOUND IN EMAILS")</f>
        <v>supplier@gmail.com</v>
      </c>
      <c r="Q3267" t="str">
        <f ca="1">""&amp;IFERROR(VLOOKUP(O3267,EMAILS!B:D,3,FALSE),"NOT FOUND IN EMAILS")</f>
        <v/>
      </c>
      <c r="R3267" t="str">
        <f ca="1">""&amp;IFERROR(VLOOKUP(O3267,EMAILS!B:E,4,FALSE),"NO T FOUND IN EMAILS")</f>
        <v/>
      </c>
    </row>
    <row r="3268" spans="2:18" x14ac:dyDescent="0.25">
      <c r="B3268" s="5" t="s">
        <v>3270</v>
      </c>
      <c r="C3268" s="5" t="s">
        <v>7410</v>
      </c>
      <c r="D3268" s="5">
        <v>45</v>
      </c>
      <c r="E3268" s="5">
        <v>45</v>
      </c>
      <c r="F3268" s="5">
        <v>60</v>
      </c>
      <c r="G3268" s="5">
        <v>60</v>
      </c>
      <c r="H3268" s="5">
        <v>45</v>
      </c>
      <c r="I3268" s="5">
        <v>45</v>
      </c>
      <c r="J3268" s="5">
        <v>60</v>
      </c>
      <c r="K3268" s="5">
        <v>60</v>
      </c>
      <c r="L3268" s="5">
        <v>15</v>
      </c>
      <c r="M3268" s="5">
        <v>0</v>
      </c>
      <c r="N3268" s="5">
        <v>302</v>
      </c>
      <c r="O3268" s="5" t="str">
        <f t="shared" ca="1" si="51"/>
        <v>Supplier 86</v>
      </c>
      <c r="P3268" s="20" t="str">
        <f ca="1">IFERROR(VLOOKUP(O3268,EMAILS!B:C,2,FALSE),"NOT FOUND IN EMAILS")</f>
        <v>supplier@gmail.com</v>
      </c>
      <c r="Q3268" t="str">
        <f ca="1">""&amp;IFERROR(VLOOKUP(O3268,EMAILS!B:D,3,FALSE),"NOT FOUND IN EMAILS")</f>
        <v/>
      </c>
      <c r="R3268" t="str">
        <f ca="1">""&amp;IFERROR(VLOOKUP(O3268,EMAILS!B:E,4,FALSE),"NO T FOUND IN EMAILS")</f>
        <v/>
      </c>
    </row>
    <row r="3269" spans="2:18" x14ac:dyDescent="0.25">
      <c r="B3269" s="5" t="s">
        <v>3271</v>
      </c>
      <c r="C3269" s="5" t="s">
        <v>7411</v>
      </c>
      <c r="D3269" s="5">
        <v>30</v>
      </c>
      <c r="E3269" s="5">
        <v>30</v>
      </c>
      <c r="F3269" s="5">
        <v>40</v>
      </c>
      <c r="G3269" s="5">
        <v>40</v>
      </c>
      <c r="H3269" s="5">
        <v>30</v>
      </c>
      <c r="I3269" s="5">
        <v>30</v>
      </c>
      <c r="J3269" s="5">
        <v>40</v>
      </c>
      <c r="K3269" s="5">
        <v>40</v>
      </c>
      <c r="L3269" s="5">
        <v>10</v>
      </c>
      <c r="M3269" s="5">
        <v>0</v>
      </c>
      <c r="N3269" s="5">
        <v>37</v>
      </c>
      <c r="O3269" s="5" t="str">
        <f t="shared" ca="1" si="51"/>
        <v>Supplier 155</v>
      </c>
      <c r="P3269" s="20" t="str">
        <f ca="1">IFERROR(VLOOKUP(O3269,EMAILS!B:C,2,FALSE),"NOT FOUND IN EMAILS")</f>
        <v>supplier@gmail.com</v>
      </c>
      <c r="Q3269" t="str">
        <f ca="1">""&amp;IFERROR(VLOOKUP(O3269,EMAILS!B:D,3,FALSE),"NOT FOUND IN EMAILS")</f>
        <v/>
      </c>
      <c r="R3269" t="str">
        <f ca="1">""&amp;IFERROR(VLOOKUP(O3269,EMAILS!B:E,4,FALSE),"NO T FOUND IN EMAILS")</f>
        <v/>
      </c>
    </row>
    <row r="3270" spans="2:18" x14ac:dyDescent="0.25">
      <c r="B3270" s="5" t="s">
        <v>3272</v>
      </c>
      <c r="C3270" s="5" t="s">
        <v>7412</v>
      </c>
      <c r="D3270" s="5">
        <v>30</v>
      </c>
      <c r="E3270" s="5">
        <v>30</v>
      </c>
      <c r="F3270" s="5">
        <v>40</v>
      </c>
      <c r="G3270" s="5">
        <v>40</v>
      </c>
      <c r="H3270" s="5">
        <v>30</v>
      </c>
      <c r="I3270" s="5">
        <v>30</v>
      </c>
      <c r="J3270" s="5">
        <v>40</v>
      </c>
      <c r="K3270" s="5">
        <v>40</v>
      </c>
      <c r="L3270" s="5">
        <v>10</v>
      </c>
      <c r="M3270" s="5">
        <v>0</v>
      </c>
      <c r="N3270" s="5">
        <v>0</v>
      </c>
      <c r="O3270" s="5" t="str">
        <f t="shared" ca="1" si="51"/>
        <v>Supplier 165</v>
      </c>
      <c r="P3270" s="20" t="str">
        <f ca="1">IFERROR(VLOOKUP(O3270,EMAILS!B:C,2,FALSE),"NOT FOUND IN EMAILS")</f>
        <v>supplier@gmail.com</v>
      </c>
      <c r="Q3270" t="str">
        <f ca="1">""&amp;IFERROR(VLOOKUP(O3270,EMAILS!B:D,3,FALSE),"NOT FOUND IN EMAILS")</f>
        <v/>
      </c>
      <c r="R3270" t="str">
        <f ca="1">""&amp;IFERROR(VLOOKUP(O3270,EMAILS!B:E,4,FALSE),"NO T FOUND IN EMAILS")</f>
        <v/>
      </c>
    </row>
    <row r="3271" spans="2:18" x14ac:dyDescent="0.25">
      <c r="B3271" s="5" t="s">
        <v>3273</v>
      </c>
      <c r="C3271" s="5" t="s">
        <v>7413</v>
      </c>
      <c r="D3271" s="5">
        <v>0</v>
      </c>
      <c r="E3271" s="5">
        <v>0</v>
      </c>
      <c r="F3271" s="5">
        <v>0</v>
      </c>
      <c r="G3271" s="5">
        <v>0</v>
      </c>
      <c r="H3271" s="5">
        <v>0</v>
      </c>
      <c r="I3271" s="5">
        <v>0</v>
      </c>
      <c r="J3271" s="5">
        <v>0</v>
      </c>
      <c r="K3271" s="5">
        <v>0</v>
      </c>
      <c r="L3271" s="5">
        <v>0</v>
      </c>
      <c r="M3271" s="5">
        <v>0</v>
      </c>
      <c r="N3271" s="5">
        <v>307</v>
      </c>
      <c r="O3271" s="5" t="str">
        <f t="shared" ca="1" si="51"/>
        <v>Supplier 16</v>
      </c>
      <c r="P3271" s="20" t="str">
        <f ca="1">IFERROR(VLOOKUP(O3271,EMAILS!B:C,2,FALSE),"NOT FOUND IN EMAILS")</f>
        <v>supplier@gmail.com</v>
      </c>
      <c r="Q3271" t="str">
        <f ca="1">""&amp;IFERROR(VLOOKUP(O3271,EMAILS!B:D,3,FALSE),"NOT FOUND IN EMAILS")</f>
        <v>supplier_logistics@gmail.com</v>
      </c>
      <c r="R3271" t="str">
        <f ca="1">""&amp;IFERROR(VLOOKUP(O3271,EMAILS!B:E,4,FALSE),"NO T FOUND IN EMAILS")</f>
        <v/>
      </c>
    </row>
    <row r="3272" spans="2:18" x14ac:dyDescent="0.25">
      <c r="B3272" s="5" t="s">
        <v>3274</v>
      </c>
      <c r="C3272" s="5" t="s">
        <v>7414</v>
      </c>
      <c r="D3272" s="5">
        <v>30</v>
      </c>
      <c r="E3272" s="5">
        <v>30</v>
      </c>
      <c r="F3272" s="5">
        <v>40</v>
      </c>
      <c r="G3272" s="5">
        <v>40</v>
      </c>
      <c r="H3272" s="5">
        <v>30</v>
      </c>
      <c r="I3272" s="5">
        <v>30</v>
      </c>
      <c r="J3272" s="5">
        <v>40</v>
      </c>
      <c r="K3272" s="5">
        <v>40</v>
      </c>
      <c r="L3272" s="5">
        <v>10</v>
      </c>
      <c r="M3272" s="5">
        <v>0</v>
      </c>
      <c r="N3272" s="5">
        <v>0</v>
      </c>
      <c r="O3272" s="5" t="str">
        <f t="shared" ca="1" si="51"/>
        <v>Supplier 118</v>
      </c>
      <c r="P3272" s="20" t="str">
        <f ca="1">IFERROR(VLOOKUP(O3272,EMAILS!B:C,2,FALSE),"NOT FOUND IN EMAILS")</f>
        <v>supplier@gmail.com</v>
      </c>
      <c r="Q3272" t="str">
        <f ca="1">""&amp;IFERROR(VLOOKUP(O3272,EMAILS!B:D,3,FALSE),"NOT FOUND IN EMAILS")</f>
        <v/>
      </c>
      <c r="R3272" t="str">
        <f ca="1">""&amp;IFERROR(VLOOKUP(O3272,EMAILS!B:E,4,FALSE),"NO T FOUND IN EMAILS")</f>
        <v/>
      </c>
    </row>
    <row r="3273" spans="2:18" x14ac:dyDescent="0.25">
      <c r="B3273" s="5" t="s">
        <v>3275</v>
      </c>
      <c r="C3273" s="5" t="s">
        <v>7415</v>
      </c>
      <c r="D3273" s="5">
        <v>32</v>
      </c>
      <c r="E3273" s="5">
        <v>40</v>
      </c>
      <c r="F3273" s="5">
        <v>32</v>
      </c>
      <c r="G3273" s="5">
        <v>32</v>
      </c>
      <c r="H3273" s="5">
        <v>0</v>
      </c>
      <c r="I3273" s="5">
        <v>0</v>
      </c>
      <c r="J3273" s="5">
        <v>0</v>
      </c>
      <c r="K3273" s="5">
        <v>0</v>
      </c>
      <c r="L3273" s="5">
        <v>0</v>
      </c>
      <c r="M3273" s="5">
        <v>0</v>
      </c>
      <c r="N3273" s="5">
        <v>0</v>
      </c>
      <c r="O3273" s="5" t="str">
        <f t="shared" ca="1" si="51"/>
        <v>Supplier 152</v>
      </c>
      <c r="P3273" s="20" t="str">
        <f ca="1">IFERROR(VLOOKUP(O3273,EMAILS!B:C,2,FALSE),"NOT FOUND IN EMAILS")</f>
        <v>supplier@gmail.com</v>
      </c>
      <c r="Q3273" t="str">
        <f ca="1">""&amp;IFERROR(VLOOKUP(O3273,EMAILS!B:D,3,FALSE),"NOT FOUND IN EMAILS")</f>
        <v/>
      </c>
      <c r="R3273" t="str">
        <f ca="1">""&amp;IFERROR(VLOOKUP(O3273,EMAILS!B:E,4,FALSE),"NO T FOUND IN EMAILS")</f>
        <v/>
      </c>
    </row>
    <row r="3274" spans="2:18" x14ac:dyDescent="0.25">
      <c r="B3274" s="5" t="s">
        <v>3276</v>
      </c>
      <c r="C3274" s="5" t="s">
        <v>7416</v>
      </c>
      <c r="D3274" s="5">
        <v>80</v>
      </c>
      <c r="E3274" s="5">
        <v>140</v>
      </c>
      <c r="F3274" s="5">
        <v>68</v>
      </c>
      <c r="G3274" s="5">
        <v>68</v>
      </c>
      <c r="H3274" s="5">
        <v>0</v>
      </c>
      <c r="I3274" s="5">
        <v>0</v>
      </c>
      <c r="J3274" s="5">
        <v>0</v>
      </c>
      <c r="K3274" s="5">
        <v>0</v>
      </c>
      <c r="L3274" s="5">
        <v>0</v>
      </c>
      <c r="M3274" s="5">
        <v>0</v>
      </c>
      <c r="N3274" s="5">
        <v>0</v>
      </c>
      <c r="O3274" s="5" t="str">
        <f t="shared" ca="1" si="51"/>
        <v>Supplier 44</v>
      </c>
      <c r="P3274" s="20" t="str">
        <f ca="1">IFERROR(VLOOKUP(O3274,EMAILS!B:C,2,FALSE),"NOT FOUND IN EMAILS")</f>
        <v>supplier@gmail.com</v>
      </c>
      <c r="Q3274" t="str">
        <f ca="1">""&amp;IFERROR(VLOOKUP(O3274,EMAILS!B:D,3,FALSE),"NOT FOUND IN EMAILS")</f>
        <v/>
      </c>
      <c r="R3274" t="str">
        <f ca="1">""&amp;IFERROR(VLOOKUP(O3274,EMAILS!B:E,4,FALSE),"NO T FOUND IN EMAILS")</f>
        <v/>
      </c>
    </row>
    <row r="3275" spans="2:18" x14ac:dyDescent="0.25">
      <c r="B3275" s="5" t="s">
        <v>3277</v>
      </c>
      <c r="C3275" s="5" t="s">
        <v>7417</v>
      </c>
      <c r="D3275" s="5">
        <v>0</v>
      </c>
      <c r="E3275" s="5">
        <v>16</v>
      </c>
      <c r="F3275" s="5">
        <v>0</v>
      </c>
      <c r="G3275" s="5">
        <v>0</v>
      </c>
      <c r="H3275" s="5">
        <v>0</v>
      </c>
      <c r="I3275" s="5">
        <v>0</v>
      </c>
      <c r="J3275" s="5">
        <v>0</v>
      </c>
      <c r="K3275" s="5">
        <v>0</v>
      </c>
      <c r="L3275" s="5">
        <v>0</v>
      </c>
      <c r="M3275" s="5">
        <v>0</v>
      </c>
      <c r="N3275" s="5">
        <v>0</v>
      </c>
      <c r="O3275" s="5" t="str">
        <f t="shared" ca="1" si="51"/>
        <v>Supplier 188</v>
      </c>
      <c r="P3275" s="20" t="str">
        <f ca="1">IFERROR(VLOOKUP(O3275,EMAILS!B:C,2,FALSE),"NOT FOUND IN EMAILS")</f>
        <v>supplier@gmail.com</v>
      </c>
      <c r="Q3275" t="str">
        <f ca="1">""&amp;IFERROR(VLOOKUP(O3275,EMAILS!B:D,3,FALSE),"NOT FOUND IN EMAILS")</f>
        <v/>
      </c>
      <c r="R3275" t="str">
        <f ca="1">""&amp;IFERROR(VLOOKUP(O3275,EMAILS!B:E,4,FALSE),"NO T FOUND IN EMAILS")</f>
        <v/>
      </c>
    </row>
    <row r="3276" spans="2:18" x14ac:dyDescent="0.25">
      <c r="B3276" s="5" t="s">
        <v>3278</v>
      </c>
      <c r="C3276" s="5" t="s">
        <v>7418</v>
      </c>
      <c r="D3276" s="5">
        <v>8</v>
      </c>
      <c r="E3276" s="5">
        <v>14</v>
      </c>
      <c r="F3276" s="5">
        <v>2</v>
      </c>
      <c r="G3276" s="5">
        <v>2</v>
      </c>
      <c r="H3276" s="5">
        <v>0</v>
      </c>
      <c r="I3276" s="5">
        <v>0</v>
      </c>
      <c r="J3276" s="5">
        <v>0</v>
      </c>
      <c r="K3276" s="5">
        <v>0</v>
      </c>
      <c r="L3276" s="5">
        <v>0</v>
      </c>
      <c r="M3276" s="5">
        <v>0</v>
      </c>
      <c r="N3276" s="5">
        <v>1431</v>
      </c>
      <c r="O3276" s="5" t="str">
        <f t="shared" ca="1" si="51"/>
        <v>Supplier 10</v>
      </c>
      <c r="P3276" s="20" t="str">
        <f ca="1">IFERROR(VLOOKUP(O3276,EMAILS!B:C,2,FALSE),"NOT FOUND IN EMAILS")</f>
        <v>supplier@gmail.com</v>
      </c>
      <c r="Q3276" t="str">
        <f ca="1">""&amp;IFERROR(VLOOKUP(O3276,EMAILS!B:D,3,FALSE),"NOT FOUND IN EMAILS")</f>
        <v>supplier_logistics@gmail.com</v>
      </c>
      <c r="R3276" t="str">
        <f ca="1">""&amp;IFERROR(VLOOKUP(O3276,EMAILS!B:E,4,FALSE),"NO T FOUND IN EMAILS")</f>
        <v/>
      </c>
    </row>
    <row r="3277" spans="2:18" x14ac:dyDescent="0.25">
      <c r="B3277" s="5" t="s">
        <v>3279</v>
      </c>
      <c r="C3277" s="5" t="s">
        <v>7419</v>
      </c>
      <c r="D3277" s="5">
        <v>16</v>
      </c>
      <c r="E3277" s="5">
        <v>28</v>
      </c>
      <c r="F3277" s="5">
        <v>16</v>
      </c>
      <c r="G3277" s="5">
        <v>16</v>
      </c>
      <c r="H3277" s="5">
        <v>0</v>
      </c>
      <c r="I3277" s="5">
        <v>0</v>
      </c>
      <c r="J3277" s="5">
        <v>0</v>
      </c>
      <c r="K3277" s="5">
        <v>0</v>
      </c>
      <c r="L3277" s="5">
        <v>0</v>
      </c>
      <c r="M3277" s="5">
        <v>0</v>
      </c>
      <c r="N3277" s="5">
        <v>1257</v>
      </c>
      <c r="O3277" s="5" t="str">
        <f t="shared" ca="1" si="51"/>
        <v>Supplier 45</v>
      </c>
      <c r="P3277" s="20" t="str">
        <f ca="1">IFERROR(VLOOKUP(O3277,EMAILS!B:C,2,FALSE),"NOT FOUND IN EMAILS")</f>
        <v>supplier@gmail.com</v>
      </c>
      <c r="Q3277" t="str">
        <f ca="1">""&amp;IFERROR(VLOOKUP(O3277,EMAILS!B:D,3,FALSE),"NOT FOUND IN EMAILS")</f>
        <v/>
      </c>
      <c r="R3277" t="str">
        <f ca="1">""&amp;IFERROR(VLOOKUP(O3277,EMAILS!B:E,4,FALSE),"NO T FOUND IN EMAILS")</f>
        <v/>
      </c>
    </row>
    <row r="3278" spans="2:18" x14ac:dyDescent="0.25">
      <c r="B3278" s="5" t="s">
        <v>3280</v>
      </c>
      <c r="C3278" s="5" t="s">
        <v>7420</v>
      </c>
      <c r="D3278" s="5">
        <v>0</v>
      </c>
      <c r="E3278" s="5">
        <v>0</v>
      </c>
      <c r="F3278" s="5">
        <v>0</v>
      </c>
      <c r="G3278" s="5">
        <v>4</v>
      </c>
      <c r="H3278" s="5">
        <v>4</v>
      </c>
      <c r="I3278" s="5">
        <v>4</v>
      </c>
      <c r="J3278" s="5">
        <v>0</v>
      </c>
      <c r="K3278" s="5">
        <v>4</v>
      </c>
      <c r="L3278" s="5">
        <v>4</v>
      </c>
      <c r="M3278" s="5">
        <v>0</v>
      </c>
      <c r="N3278" s="5">
        <v>1379</v>
      </c>
      <c r="O3278" s="5" t="str">
        <f t="shared" ca="1" si="51"/>
        <v>Supplier 75</v>
      </c>
      <c r="P3278" s="20" t="str">
        <f ca="1">IFERROR(VLOOKUP(O3278,EMAILS!B:C,2,FALSE),"NOT FOUND IN EMAILS")</f>
        <v>supplier@gmail.com</v>
      </c>
      <c r="Q3278" t="str">
        <f ca="1">""&amp;IFERROR(VLOOKUP(O3278,EMAILS!B:D,3,FALSE),"NOT FOUND IN EMAILS")</f>
        <v/>
      </c>
      <c r="R3278" t="str">
        <f ca="1">""&amp;IFERROR(VLOOKUP(O3278,EMAILS!B:E,4,FALSE),"NO T FOUND IN EMAILS")</f>
        <v/>
      </c>
    </row>
    <row r="3279" spans="2:18" x14ac:dyDescent="0.25">
      <c r="B3279" s="5" t="s">
        <v>3281</v>
      </c>
      <c r="C3279" s="5" t="s">
        <v>7421</v>
      </c>
      <c r="D3279" s="5">
        <v>0</v>
      </c>
      <c r="E3279" s="5">
        <v>0</v>
      </c>
      <c r="F3279" s="5">
        <v>0</v>
      </c>
      <c r="G3279" s="5">
        <v>6</v>
      </c>
      <c r="H3279" s="5">
        <v>6</v>
      </c>
      <c r="I3279" s="5">
        <v>6</v>
      </c>
      <c r="J3279" s="5">
        <v>0</v>
      </c>
      <c r="K3279" s="5">
        <v>6</v>
      </c>
      <c r="L3279" s="5">
        <v>6</v>
      </c>
      <c r="M3279" s="5">
        <v>0</v>
      </c>
      <c r="N3279" s="5">
        <v>0</v>
      </c>
      <c r="O3279" s="5" t="str">
        <f t="shared" ca="1" si="51"/>
        <v>Supplier 197</v>
      </c>
      <c r="P3279" s="20" t="str">
        <f ca="1">IFERROR(VLOOKUP(O3279,EMAILS!B:C,2,FALSE),"NOT FOUND IN EMAILS")</f>
        <v>supplier@gmail.com</v>
      </c>
      <c r="Q3279" t="str">
        <f ca="1">""&amp;IFERROR(VLOOKUP(O3279,EMAILS!B:D,3,FALSE),"NOT FOUND IN EMAILS")</f>
        <v/>
      </c>
      <c r="R3279" t="str">
        <f ca="1">""&amp;IFERROR(VLOOKUP(O3279,EMAILS!B:E,4,FALSE),"NO T FOUND IN EMAILS")</f>
        <v/>
      </c>
    </row>
    <row r="3280" spans="2:18" x14ac:dyDescent="0.25">
      <c r="B3280" s="5" t="s">
        <v>3282</v>
      </c>
      <c r="C3280" s="5" t="s">
        <v>7422</v>
      </c>
      <c r="D3280" s="5">
        <v>0</v>
      </c>
      <c r="E3280" s="5">
        <v>0</v>
      </c>
      <c r="F3280" s="5">
        <v>0</v>
      </c>
      <c r="G3280" s="5">
        <v>0</v>
      </c>
      <c r="H3280" s="5">
        <v>0</v>
      </c>
      <c r="I3280" s="5">
        <v>0</v>
      </c>
      <c r="J3280" s="5">
        <v>0</v>
      </c>
      <c r="K3280" s="5">
        <v>0</v>
      </c>
      <c r="L3280" s="5">
        <v>0</v>
      </c>
      <c r="M3280" s="5">
        <v>0</v>
      </c>
      <c r="N3280" s="5">
        <v>0</v>
      </c>
      <c r="O3280" s="5" t="str">
        <f t="shared" ca="1" si="51"/>
        <v>Supplier 49</v>
      </c>
      <c r="P3280" s="20" t="str">
        <f ca="1">IFERROR(VLOOKUP(O3280,EMAILS!B:C,2,FALSE),"NOT FOUND IN EMAILS")</f>
        <v>supplier@gmail.com</v>
      </c>
      <c r="Q3280" t="str">
        <f ca="1">""&amp;IFERROR(VLOOKUP(O3280,EMAILS!B:D,3,FALSE),"NOT FOUND IN EMAILS")</f>
        <v/>
      </c>
      <c r="R3280" t="str">
        <f ca="1">""&amp;IFERROR(VLOOKUP(O3280,EMAILS!B:E,4,FALSE),"NO T FOUND IN EMAILS")</f>
        <v/>
      </c>
    </row>
    <row r="3281" spans="2:18" x14ac:dyDescent="0.25">
      <c r="B3281" s="5" t="s">
        <v>3283</v>
      </c>
      <c r="C3281" s="5" t="s">
        <v>7423</v>
      </c>
      <c r="D3281" s="5">
        <v>0</v>
      </c>
      <c r="E3281" s="5">
        <v>0</v>
      </c>
      <c r="F3281" s="5">
        <v>0</v>
      </c>
      <c r="G3281" s="5">
        <v>0</v>
      </c>
      <c r="H3281" s="5">
        <v>0</v>
      </c>
      <c r="I3281" s="5">
        <v>0</v>
      </c>
      <c r="J3281" s="5">
        <v>0</v>
      </c>
      <c r="K3281" s="5">
        <v>0</v>
      </c>
      <c r="L3281" s="5">
        <v>0</v>
      </c>
      <c r="M3281" s="5">
        <v>0</v>
      </c>
      <c r="N3281" s="5">
        <v>0</v>
      </c>
      <c r="O3281" s="5" t="str">
        <f t="shared" ca="1" si="51"/>
        <v>Supplier 34</v>
      </c>
      <c r="P3281" s="20" t="str">
        <f ca="1">IFERROR(VLOOKUP(O3281,EMAILS!B:C,2,FALSE),"NOT FOUND IN EMAILS")</f>
        <v>supplier@gmail.com</v>
      </c>
      <c r="Q3281" t="str">
        <f ca="1">""&amp;IFERROR(VLOOKUP(O3281,EMAILS!B:D,3,FALSE),"NOT FOUND IN EMAILS")</f>
        <v/>
      </c>
      <c r="R3281" t="str">
        <f ca="1">""&amp;IFERROR(VLOOKUP(O3281,EMAILS!B:E,4,FALSE),"NO T FOUND IN EMAILS")</f>
        <v/>
      </c>
    </row>
    <row r="3282" spans="2:18" x14ac:dyDescent="0.25">
      <c r="B3282" s="5" t="s">
        <v>3284</v>
      </c>
      <c r="C3282" s="5" t="s">
        <v>7424</v>
      </c>
      <c r="D3282" s="5">
        <v>0</v>
      </c>
      <c r="E3282" s="5">
        <v>0</v>
      </c>
      <c r="F3282" s="5">
        <v>0</v>
      </c>
      <c r="G3282" s="5">
        <v>0</v>
      </c>
      <c r="H3282" s="5">
        <v>0</v>
      </c>
      <c r="I3282" s="5">
        <v>0</v>
      </c>
      <c r="J3282" s="5">
        <v>0</v>
      </c>
      <c r="K3282" s="5">
        <v>0</v>
      </c>
      <c r="L3282" s="5">
        <v>0</v>
      </c>
      <c r="M3282" s="5">
        <v>0</v>
      </c>
      <c r="N3282" s="5">
        <v>2000</v>
      </c>
      <c r="O3282" s="5" t="str">
        <f t="shared" ca="1" si="51"/>
        <v>Supplier 18</v>
      </c>
      <c r="P3282" s="20" t="str">
        <f ca="1">IFERROR(VLOOKUP(O3282,EMAILS!B:C,2,FALSE),"NOT FOUND IN EMAILS")</f>
        <v>supplier@gmail.com</v>
      </c>
      <c r="Q3282" t="str">
        <f ca="1">""&amp;IFERROR(VLOOKUP(O3282,EMAILS!B:D,3,FALSE),"NOT FOUND IN EMAILS")</f>
        <v>supplier_logistics@gmail.com</v>
      </c>
      <c r="R3282" t="str">
        <f ca="1">""&amp;IFERROR(VLOOKUP(O3282,EMAILS!B:E,4,FALSE),"NO T FOUND IN EMAILS")</f>
        <v/>
      </c>
    </row>
    <row r="3283" spans="2:18" x14ac:dyDescent="0.25">
      <c r="B3283" s="5" t="s">
        <v>3285</v>
      </c>
      <c r="C3283" s="5" t="s">
        <v>7425</v>
      </c>
      <c r="D3283" s="5">
        <v>100</v>
      </c>
      <c r="E3283" s="5">
        <v>50</v>
      </c>
      <c r="F3283" s="5">
        <v>50</v>
      </c>
      <c r="G3283" s="5">
        <v>50</v>
      </c>
      <c r="H3283" s="5">
        <v>50</v>
      </c>
      <c r="I3283" s="5">
        <v>50</v>
      </c>
      <c r="J3283" s="5">
        <v>50</v>
      </c>
      <c r="K3283" s="5">
        <v>50</v>
      </c>
      <c r="L3283" s="5">
        <v>50</v>
      </c>
      <c r="M3283" s="5">
        <v>0</v>
      </c>
      <c r="N3283" s="5">
        <v>1302</v>
      </c>
      <c r="O3283" s="5" t="str">
        <f t="shared" ca="1" si="51"/>
        <v>Supplier 152</v>
      </c>
      <c r="P3283" s="20" t="str">
        <f ca="1">IFERROR(VLOOKUP(O3283,EMAILS!B:C,2,FALSE),"NOT FOUND IN EMAILS")</f>
        <v>supplier@gmail.com</v>
      </c>
      <c r="Q3283" t="str">
        <f ca="1">""&amp;IFERROR(VLOOKUP(O3283,EMAILS!B:D,3,FALSE),"NOT FOUND IN EMAILS")</f>
        <v/>
      </c>
      <c r="R3283" t="str">
        <f ca="1">""&amp;IFERROR(VLOOKUP(O3283,EMAILS!B:E,4,FALSE),"NO T FOUND IN EMAILS")</f>
        <v/>
      </c>
    </row>
    <row r="3284" spans="2:18" x14ac:dyDescent="0.25">
      <c r="B3284" s="5" t="s">
        <v>3286</v>
      </c>
      <c r="C3284" s="5" t="s">
        <v>7426</v>
      </c>
      <c r="D3284" s="5">
        <v>12</v>
      </c>
      <c r="E3284" s="5">
        <v>0</v>
      </c>
      <c r="F3284" s="5">
        <v>10</v>
      </c>
      <c r="G3284" s="5">
        <v>8</v>
      </c>
      <c r="H3284" s="5">
        <v>10</v>
      </c>
      <c r="I3284" s="5">
        <v>6</v>
      </c>
      <c r="J3284" s="5">
        <v>8</v>
      </c>
      <c r="K3284" s="5">
        <v>4</v>
      </c>
      <c r="L3284" s="5">
        <v>4</v>
      </c>
      <c r="M3284" s="5">
        <v>0</v>
      </c>
      <c r="N3284" s="5">
        <v>1530</v>
      </c>
      <c r="O3284" s="5" t="str">
        <f t="shared" ca="1" si="51"/>
        <v>Supplier 114</v>
      </c>
      <c r="P3284" s="20" t="str">
        <f ca="1">IFERROR(VLOOKUP(O3284,EMAILS!B:C,2,FALSE),"NOT FOUND IN EMAILS")</f>
        <v>supplier@gmail.com</v>
      </c>
      <c r="Q3284" t="str">
        <f ca="1">""&amp;IFERROR(VLOOKUP(O3284,EMAILS!B:D,3,FALSE),"NOT FOUND IN EMAILS")</f>
        <v/>
      </c>
      <c r="R3284" t="str">
        <f ca="1">""&amp;IFERROR(VLOOKUP(O3284,EMAILS!B:E,4,FALSE),"NO T FOUND IN EMAILS")</f>
        <v/>
      </c>
    </row>
    <row r="3285" spans="2:18" x14ac:dyDescent="0.25">
      <c r="B3285" s="5" t="s">
        <v>3287</v>
      </c>
      <c r="C3285" s="5" t="s">
        <v>7427</v>
      </c>
      <c r="D3285" s="5">
        <v>384</v>
      </c>
      <c r="E3285" s="5">
        <v>120</v>
      </c>
      <c r="F3285" s="5">
        <v>20</v>
      </c>
      <c r="G3285" s="5">
        <v>32</v>
      </c>
      <c r="H3285" s="5">
        <v>52</v>
      </c>
      <c r="I3285" s="5">
        <v>0</v>
      </c>
      <c r="J3285" s="5">
        <v>0</v>
      </c>
      <c r="K3285" s="5">
        <v>0</v>
      </c>
      <c r="L3285" s="5">
        <v>0</v>
      </c>
      <c r="M3285" s="5">
        <v>0</v>
      </c>
      <c r="N3285" s="5">
        <v>1580</v>
      </c>
      <c r="O3285" s="5" t="str">
        <f t="shared" ca="1" si="51"/>
        <v>Supplier 127</v>
      </c>
      <c r="P3285" s="20" t="str">
        <f ca="1">IFERROR(VLOOKUP(O3285,EMAILS!B:C,2,FALSE),"NOT FOUND IN EMAILS")</f>
        <v>supplier@gmail.com</v>
      </c>
      <c r="Q3285" t="str">
        <f ca="1">""&amp;IFERROR(VLOOKUP(O3285,EMAILS!B:D,3,FALSE),"NOT FOUND IN EMAILS")</f>
        <v/>
      </c>
      <c r="R3285" t="str">
        <f ca="1">""&amp;IFERROR(VLOOKUP(O3285,EMAILS!B:E,4,FALSE),"NO T FOUND IN EMAILS")</f>
        <v/>
      </c>
    </row>
    <row r="3286" spans="2:18" x14ac:dyDescent="0.25">
      <c r="B3286" s="5" t="s">
        <v>3288</v>
      </c>
      <c r="C3286" s="5" t="s">
        <v>7428</v>
      </c>
      <c r="D3286" s="5">
        <v>8</v>
      </c>
      <c r="E3286" s="5">
        <v>24</v>
      </c>
      <c r="F3286" s="5">
        <v>4</v>
      </c>
      <c r="G3286" s="5">
        <v>4</v>
      </c>
      <c r="H3286" s="5">
        <v>8</v>
      </c>
      <c r="I3286" s="5">
        <v>0</v>
      </c>
      <c r="J3286" s="5">
        <v>0</v>
      </c>
      <c r="K3286" s="5">
        <v>0</v>
      </c>
      <c r="L3286" s="5">
        <v>0</v>
      </c>
      <c r="M3286" s="5">
        <v>0</v>
      </c>
      <c r="N3286" s="5">
        <v>1585</v>
      </c>
      <c r="O3286" s="5" t="str">
        <f t="shared" ca="1" si="51"/>
        <v>Supplier 75</v>
      </c>
      <c r="P3286" s="20" t="str">
        <f ca="1">IFERROR(VLOOKUP(O3286,EMAILS!B:C,2,FALSE),"NOT FOUND IN EMAILS")</f>
        <v>supplier@gmail.com</v>
      </c>
      <c r="Q3286" t="str">
        <f ca="1">""&amp;IFERROR(VLOOKUP(O3286,EMAILS!B:D,3,FALSE),"NOT FOUND IN EMAILS")</f>
        <v/>
      </c>
      <c r="R3286" t="str">
        <f ca="1">""&amp;IFERROR(VLOOKUP(O3286,EMAILS!B:E,4,FALSE),"NO T FOUND IN EMAILS")</f>
        <v/>
      </c>
    </row>
    <row r="3287" spans="2:18" x14ac:dyDescent="0.25">
      <c r="B3287" s="5" t="s">
        <v>3289</v>
      </c>
      <c r="C3287" s="5" t="s">
        <v>7429</v>
      </c>
      <c r="D3287" s="5">
        <v>6</v>
      </c>
      <c r="E3287" s="5">
        <v>18</v>
      </c>
      <c r="F3287" s="5">
        <v>3</v>
      </c>
      <c r="G3287" s="5">
        <v>6</v>
      </c>
      <c r="H3287" s="5">
        <v>6</v>
      </c>
      <c r="I3287" s="5">
        <v>0</v>
      </c>
      <c r="J3287" s="5">
        <v>0</v>
      </c>
      <c r="K3287" s="5">
        <v>0</v>
      </c>
      <c r="L3287" s="5">
        <v>0</v>
      </c>
      <c r="M3287" s="5">
        <v>0</v>
      </c>
      <c r="N3287" s="5">
        <v>1000</v>
      </c>
      <c r="O3287" s="5" t="str">
        <f t="shared" ca="1" si="51"/>
        <v>Supplier 177</v>
      </c>
      <c r="P3287" s="20" t="str">
        <f ca="1">IFERROR(VLOOKUP(O3287,EMAILS!B:C,2,FALSE),"NOT FOUND IN EMAILS")</f>
        <v>supplier@gmail.com</v>
      </c>
      <c r="Q3287" t="str">
        <f ca="1">""&amp;IFERROR(VLOOKUP(O3287,EMAILS!B:D,3,FALSE),"NOT FOUND IN EMAILS")</f>
        <v/>
      </c>
      <c r="R3287" t="str">
        <f ca="1">""&amp;IFERROR(VLOOKUP(O3287,EMAILS!B:E,4,FALSE),"NO T FOUND IN EMAILS")</f>
        <v/>
      </c>
    </row>
    <row r="3288" spans="2:18" x14ac:dyDescent="0.25">
      <c r="B3288" s="5" t="s">
        <v>3290</v>
      </c>
      <c r="C3288" s="5" t="s">
        <v>7430</v>
      </c>
      <c r="D3288" s="5">
        <v>4</v>
      </c>
      <c r="E3288" s="5">
        <v>0</v>
      </c>
      <c r="F3288" s="5">
        <v>0</v>
      </c>
      <c r="G3288" s="5">
        <v>0</v>
      </c>
      <c r="H3288" s="5">
        <v>0</v>
      </c>
      <c r="I3288" s="5">
        <v>0</v>
      </c>
      <c r="J3288" s="5">
        <v>0</v>
      </c>
      <c r="K3288" s="5">
        <v>0</v>
      </c>
      <c r="L3288" s="5">
        <v>0</v>
      </c>
      <c r="M3288" s="5">
        <v>0</v>
      </c>
      <c r="N3288" s="5">
        <v>639</v>
      </c>
      <c r="O3288" s="5" t="str">
        <f t="shared" ca="1" si="51"/>
        <v>Supplier 113</v>
      </c>
      <c r="P3288" s="20" t="str">
        <f ca="1">IFERROR(VLOOKUP(O3288,EMAILS!B:C,2,FALSE),"NOT FOUND IN EMAILS")</f>
        <v>supplier@gmail.com</v>
      </c>
      <c r="Q3288" t="str">
        <f ca="1">""&amp;IFERROR(VLOOKUP(O3288,EMAILS!B:D,3,FALSE),"NOT FOUND IN EMAILS")</f>
        <v/>
      </c>
      <c r="R3288" t="str">
        <f ca="1">""&amp;IFERROR(VLOOKUP(O3288,EMAILS!B:E,4,FALSE),"NO T FOUND IN EMAILS")</f>
        <v/>
      </c>
    </row>
    <row r="3289" spans="2:18" x14ac:dyDescent="0.25">
      <c r="B3289" s="5" t="s">
        <v>3291</v>
      </c>
      <c r="C3289" s="5" t="s">
        <v>7431</v>
      </c>
      <c r="D3289" s="5">
        <v>48</v>
      </c>
      <c r="E3289" s="5">
        <v>48</v>
      </c>
      <c r="F3289" s="5">
        <v>64</v>
      </c>
      <c r="G3289" s="5">
        <v>64</v>
      </c>
      <c r="H3289" s="5">
        <v>48</v>
      </c>
      <c r="I3289" s="5">
        <v>64</v>
      </c>
      <c r="J3289" s="5">
        <v>32</v>
      </c>
      <c r="K3289" s="5">
        <v>32</v>
      </c>
      <c r="L3289" s="5">
        <v>32</v>
      </c>
      <c r="M3289" s="5">
        <v>0</v>
      </c>
      <c r="N3289" s="5">
        <v>500</v>
      </c>
      <c r="O3289" s="5" t="str">
        <f t="shared" ca="1" si="51"/>
        <v>Supplier 76</v>
      </c>
      <c r="P3289" s="20" t="str">
        <f ca="1">IFERROR(VLOOKUP(O3289,EMAILS!B:C,2,FALSE),"NOT FOUND IN EMAILS")</f>
        <v>supplier@gmail.com</v>
      </c>
      <c r="Q3289" t="str">
        <f ca="1">""&amp;IFERROR(VLOOKUP(O3289,EMAILS!B:D,3,FALSE),"NOT FOUND IN EMAILS")</f>
        <v/>
      </c>
      <c r="R3289" t="str">
        <f ca="1">""&amp;IFERROR(VLOOKUP(O3289,EMAILS!B:E,4,FALSE),"NO T FOUND IN EMAILS")</f>
        <v/>
      </c>
    </row>
    <row r="3290" spans="2:18" x14ac:dyDescent="0.25">
      <c r="B3290" s="5" t="s">
        <v>3292</v>
      </c>
      <c r="C3290" s="5" t="s">
        <v>7432</v>
      </c>
      <c r="D3290" s="5">
        <v>0</v>
      </c>
      <c r="E3290" s="5">
        <v>0</v>
      </c>
      <c r="F3290" s="5">
        <v>0</v>
      </c>
      <c r="G3290" s="5">
        <v>0</v>
      </c>
      <c r="H3290" s="5">
        <v>0</v>
      </c>
      <c r="I3290" s="5">
        <v>0</v>
      </c>
      <c r="J3290" s="5">
        <v>0</v>
      </c>
      <c r="K3290" s="5">
        <v>0</v>
      </c>
      <c r="L3290" s="5">
        <v>0</v>
      </c>
      <c r="M3290" s="5">
        <v>0</v>
      </c>
      <c r="N3290" s="5">
        <v>522</v>
      </c>
      <c r="O3290" s="5" t="str">
        <f t="shared" ca="1" si="51"/>
        <v>Supplier 84</v>
      </c>
      <c r="P3290" s="20" t="str">
        <f ca="1">IFERROR(VLOOKUP(O3290,EMAILS!B:C,2,FALSE),"NOT FOUND IN EMAILS")</f>
        <v>supplier@gmail.com</v>
      </c>
      <c r="Q3290" t="str">
        <f ca="1">""&amp;IFERROR(VLOOKUP(O3290,EMAILS!B:D,3,FALSE),"NOT FOUND IN EMAILS")</f>
        <v/>
      </c>
      <c r="R3290" t="str">
        <f ca="1">""&amp;IFERROR(VLOOKUP(O3290,EMAILS!B:E,4,FALSE),"NO T FOUND IN EMAILS")</f>
        <v/>
      </c>
    </row>
    <row r="3291" spans="2:18" x14ac:dyDescent="0.25">
      <c r="B3291" s="5" t="s">
        <v>3293</v>
      </c>
      <c r="C3291" s="5" t="s">
        <v>7433</v>
      </c>
      <c r="D3291" s="5">
        <v>40</v>
      </c>
      <c r="E3291" s="5">
        <v>40</v>
      </c>
      <c r="F3291" s="5">
        <v>50</v>
      </c>
      <c r="G3291" s="5">
        <v>50</v>
      </c>
      <c r="H3291" s="5">
        <v>40</v>
      </c>
      <c r="I3291" s="5">
        <v>50</v>
      </c>
      <c r="J3291" s="5">
        <v>30</v>
      </c>
      <c r="K3291" s="5">
        <v>30</v>
      </c>
      <c r="L3291" s="5">
        <v>30</v>
      </c>
      <c r="M3291" s="5">
        <v>0</v>
      </c>
      <c r="N3291" s="5">
        <v>811</v>
      </c>
      <c r="O3291" s="5" t="str">
        <f t="shared" ca="1" si="51"/>
        <v>Supplier 106</v>
      </c>
      <c r="P3291" s="20" t="str">
        <f ca="1">IFERROR(VLOOKUP(O3291,EMAILS!B:C,2,FALSE),"NOT FOUND IN EMAILS")</f>
        <v>supplier@gmail.com</v>
      </c>
      <c r="Q3291" t="str">
        <f ca="1">""&amp;IFERROR(VLOOKUP(O3291,EMAILS!B:D,3,FALSE),"NOT FOUND IN EMAILS")</f>
        <v/>
      </c>
      <c r="R3291" t="str">
        <f ca="1">""&amp;IFERROR(VLOOKUP(O3291,EMAILS!B:E,4,FALSE),"NO T FOUND IN EMAILS")</f>
        <v/>
      </c>
    </row>
    <row r="3292" spans="2:18" x14ac:dyDescent="0.25">
      <c r="B3292" s="5" t="s">
        <v>3294</v>
      </c>
      <c r="C3292" s="5" t="s">
        <v>7434</v>
      </c>
      <c r="D3292" s="5">
        <v>0</v>
      </c>
      <c r="E3292" s="5">
        <v>0</v>
      </c>
      <c r="F3292" s="5">
        <v>0</v>
      </c>
      <c r="G3292" s="5">
        <v>5</v>
      </c>
      <c r="H3292" s="5">
        <v>0</v>
      </c>
      <c r="I3292" s="5">
        <v>1</v>
      </c>
      <c r="J3292" s="5">
        <v>0</v>
      </c>
      <c r="K3292" s="5">
        <v>0</v>
      </c>
      <c r="L3292" s="5">
        <v>0</v>
      </c>
      <c r="M3292" s="5">
        <v>0</v>
      </c>
      <c r="N3292" s="5">
        <v>0</v>
      </c>
      <c r="O3292" s="5" t="str">
        <f t="shared" ca="1" si="51"/>
        <v>Supplier 175</v>
      </c>
      <c r="P3292" s="20" t="str">
        <f ca="1">IFERROR(VLOOKUP(O3292,EMAILS!B:C,2,FALSE),"NOT FOUND IN EMAILS")</f>
        <v>supplier@gmail.com</v>
      </c>
      <c r="Q3292" t="str">
        <f ca="1">""&amp;IFERROR(VLOOKUP(O3292,EMAILS!B:D,3,FALSE),"NOT FOUND IN EMAILS")</f>
        <v/>
      </c>
      <c r="R3292" t="str">
        <f ca="1">""&amp;IFERROR(VLOOKUP(O3292,EMAILS!B:E,4,FALSE),"NO T FOUND IN EMAILS")</f>
        <v/>
      </c>
    </row>
    <row r="3293" spans="2:18" x14ac:dyDescent="0.25">
      <c r="B3293" s="5" t="s">
        <v>3295</v>
      </c>
      <c r="C3293" s="5" t="s">
        <v>7435</v>
      </c>
      <c r="D3293" s="5">
        <v>0</v>
      </c>
      <c r="E3293" s="5">
        <v>0</v>
      </c>
      <c r="F3293" s="5">
        <v>0</v>
      </c>
      <c r="G3293" s="5">
        <v>0</v>
      </c>
      <c r="H3293" s="5">
        <v>0</v>
      </c>
      <c r="I3293" s="5">
        <v>0</v>
      </c>
      <c r="J3293" s="5">
        <v>0</v>
      </c>
      <c r="K3293" s="5">
        <v>0</v>
      </c>
      <c r="L3293" s="5">
        <v>0</v>
      </c>
      <c r="M3293" s="5">
        <v>0</v>
      </c>
      <c r="N3293" s="5">
        <v>1587</v>
      </c>
      <c r="O3293" s="5" t="str">
        <f t="shared" ca="1" si="51"/>
        <v>Supplier 95</v>
      </c>
      <c r="P3293" s="20" t="str">
        <f ca="1">IFERROR(VLOOKUP(O3293,EMAILS!B:C,2,FALSE),"NOT FOUND IN EMAILS")</f>
        <v>supplier@gmail.com</v>
      </c>
      <c r="Q3293" t="str">
        <f ca="1">""&amp;IFERROR(VLOOKUP(O3293,EMAILS!B:D,3,FALSE),"NOT FOUND IN EMAILS")</f>
        <v/>
      </c>
      <c r="R3293" t="str">
        <f ca="1">""&amp;IFERROR(VLOOKUP(O3293,EMAILS!B:E,4,FALSE),"NO T FOUND IN EMAILS")</f>
        <v/>
      </c>
    </row>
    <row r="3294" spans="2:18" x14ac:dyDescent="0.25">
      <c r="B3294" s="5" t="s">
        <v>3296</v>
      </c>
      <c r="C3294" s="5" t="s">
        <v>7436</v>
      </c>
      <c r="D3294" s="5">
        <v>0</v>
      </c>
      <c r="E3294" s="5">
        <v>0</v>
      </c>
      <c r="F3294" s="5">
        <v>0</v>
      </c>
      <c r="G3294" s="5">
        <v>0</v>
      </c>
      <c r="H3294" s="5">
        <v>0</v>
      </c>
      <c r="I3294" s="5">
        <v>0</v>
      </c>
      <c r="J3294" s="5">
        <v>0</v>
      </c>
      <c r="K3294" s="5">
        <v>0</v>
      </c>
      <c r="L3294" s="5">
        <v>0</v>
      </c>
      <c r="M3294" s="5">
        <v>0</v>
      </c>
      <c r="N3294" s="5">
        <v>150</v>
      </c>
      <c r="O3294" s="5" t="str">
        <f t="shared" ca="1" si="51"/>
        <v>Supplier 124</v>
      </c>
      <c r="P3294" s="20" t="str">
        <f ca="1">IFERROR(VLOOKUP(O3294,EMAILS!B:C,2,FALSE),"NOT FOUND IN EMAILS")</f>
        <v>supplier@gmail.com</v>
      </c>
      <c r="Q3294" t="str">
        <f ca="1">""&amp;IFERROR(VLOOKUP(O3294,EMAILS!B:D,3,FALSE),"NOT FOUND IN EMAILS")</f>
        <v/>
      </c>
      <c r="R3294" t="str">
        <f ca="1">""&amp;IFERROR(VLOOKUP(O3294,EMAILS!B:E,4,FALSE),"NO T FOUND IN EMAILS")</f>
        <v/>
      </c>
    </row>
    <row r="3295" spans="2:18" x14ac:dyDescent="0.25">
      <c r="B3295" s="5" t="s">
        <v>3297</v>
      </c>
      <c r="C3295" s="5" t="s">
        <v>7437</v>
      </c>
      <c r="D3295" s="5">
        <v>100</v>
      </c>
      <c r="E3295" s="5">
        <v>0</v>
      </c>
      <c r="F3295" s="5">
        <v>0</v>
      </c>
      <c r="G3295" s="5">
        <v>0</v>
      </c>
      <c r="H3295" s="5">
        <v>0</v>
      </c>
      <c r="I3295" s="5">
        <v>50</v>
      </c>
      <c r="J3295" s="5">
        <v>0</v>
      </c>
      <c r="K3295" s="5">
        <v>0</v>
      </c>
      <c r="L3295" s="5">
        <v>0</v>
      </c>
      <c r="M3295" s="5">
        <v>0</v>
      </c>
      <c r="N3295" s="5">
        <v>0</v>
      </c>
      <c r="O3295" s="5" t="str">
        <f t="shared" ca="1" si="51"/>
        <v>Supplier 68</v>
      </c>
      <c r="P3295" s="20" t="str">
        <f ca="1">IFERROR(VLOOKUP(O3295,EMAILS!B:C,2,FALSE),"NOT FOUND IN EMAILS")</f>
        <v>supplier@gmail.com</v>
      </c>
      <c r="Q3295" t="str">
        <f ca="1">""&amp;IFERROR(VLOOKUP(O3295,EMAILS!B:D,3,FALSE),"NOT FOUND IN EMAILS")</f>
        <v/>
      </c>
      <c r="R3295" t="str">
        <f ca="1">""&amp;IFERROR(VLOOKUP(O3295,EMAILS!B:E,4,FALSE),"NO T FOUND IN EMAILS")</f>
        <v/>
      </c>
    </row>
    <row r="3296" spans="2:18" x14ac:dyDescent="0.25">
      <c r="B3296" s="5" t="s">
        <v>3298</v>
      </c>
      <c r="C3296" s="5" t="s">
        <v>7438</v>
      </c>
      <c r="D3296" s="5">
        <v>0</v>
      </c>
      <c r="E3296" s="5">
        <v>0</v>
      </c>
      <c r="F3296" s="5">
        <v>0</v>
      </c>
      <c r="G3296" s="5">
        <v>0</v>
      </c>
      <c r="H3296" s="5">
        <v>0</v>
      </c>
      <c r="I3296" s="5">
        <v>0.39</v>
      </c>
      <c r="J3296" s="5">
        <v>0</v>
      </c>
      <c r="K3296" s="5">
        <v>0</v>
      </c>
      <c r="L3296" s="5">
        <v>0</v>
      </c>
      <c r="M3296" s="5">
        <v>0</v>
      </c>
      <c r="N3296" s="5">
        <v>0</v>
      </c>
      <c r="O3296" s="5" t="str">
        <f t="shared" ca="1" si="51"/>
        <v>Supplier 61</v>
      </c>
      <c r="P3296" s="20" t="str">
        <f ca="1">IFERROR(VLOOKUP(O3296,EMAILS!B:C,2,FALSE),"NOT FOUND IN EMAILS")</f>
        <v>supplier@gmail.com</v>
      </c>
      <c r="Q3296" t="str">
        <f ca="1">""&amp;IFERROR(VLOOKUP(O3296,EMAILS!B:D,3,FALSE),"NOT FOUND IN EMAILS")</f>
        <v/>
      </c>
      <c r="R3296" t="str">
        <f ca="1">""&amp;IFERROR(VLOOKUP(O3296,EMAILS!B:E,4,FALSE),"NO T FOUND IN EMAILS")</f>
        <v/>
      </c>
    </row>
    <row r="3297" spans="2:18" x14ac:dyDescent="0.25">
      <c r="B3297" s="5" t="s">
        <v>3299</v>
      </c>
      <c r="C3297" s="5" t="s">
        <v>7439</v>
      </c>
      <c r="D3297" s="5">
        <v>0</v>
      </c>
      <c r="E3297" s="5">
        <v>0</v>
      </c>
      <c r="F3297" s="5">
        <v>0</v>
      </c>
      <c r="G3297" s="5">
        <v>0</v>
      </c>
      <c r="H3297" s="5">
        <v>0</v>
      </c>
      <c r="I3297" s="5">
        <v>0.37</v>
      </c>
      <c r="J3297" s="5">
        <v>0</v>
      </c>
      <c r="K3297" s="5">
        <v>0</v>
      </c>
      <c r="L3297" s="5">
        <v>0</v>
      </c>
      <c r="M3297" s="5">
        <v>0</v>
      </c>
      <c r="N3297" s="5">
        <v>17</v>
      </c>
      <c r="O3297" s="5" t="str">
        <f t="shared" ca="1" si="51"/>
        <v>Supplier 129</v>
      </c>
      <c r="P3297" s="20" t="str">
        <f ca="1">IFERROR(VLOOKUP(O3297,EMAILS!B:C,2,FALSE),"NOT FOUND IN EMAILS")</f>
        <v>supplier@gmail.com</v>
      </c>
      <c r="Q3297" t="str">
        <f ca="1">""&amp;IFERROR(VLOOKUP(O3297,EMAILS!B:D,3,FALSE),"NOT FOUND IN EMAILS")</f>
        <v/>
      </c>
      <c r="R3297" t="str">
        <f ca="1">""&amp;IFERROR(VLOOKUP(O3297,EMAILS!B:E,4,FALSE),"NO T FOUND IN EMAILS")</f>
        <v/>
      </c>
    </row>
    <row r="3298" spans="2:18" x14ac:dyDescent="0.25">
      <c r="B3298" s="5" t="s">
        <v>3300</v>
      </c>
      <c r="C3298" s="5" t="s">
        <v>7440</v>
      </c>
      <c r="D3298" s="5">
        <v>0</v>
      </c>
      <c r="E3298" s="5">
        <v>0</v>
      </c>
      <c r="F3298" s="5">
        <v>0</v>
      </c>
      <c r="G3298" s="5">
        <v>0</v>
      </c>
      <c r="H3298" s="5">
        <v>0</v>
      </c>
      <c r="I3298" s="5">
        <v>0</v>
      </c>
      <c r="J3298" s="5">
        <v>0</v>
      </c>
      <c r="K3298" s="5">
        <v>0</v>
      </c>
      <c r="L3298" s="5">
        <v>0</v>
      </c>
      <c r="M3298" s="5">
        <v>0</v>
      </c>
      <c r="N3298" s="5">
        <v>84</v>
      </c>
      <c r="O3298" s="5" t="str">
        <f t="shared" ca="1" si="51"/>
        <v>Supplier 36</v>
      </c>
      <c r="P3298" s="20" t="str">
        <f ca="1">IFERROR(VLOOKUP(O3298,EMAILS!B:C,2,FALSE),"NOT FOUND IN EMAILS")</f>
        <v>supplier@gmail.com</v>
      </c>
      <c r="Q3298" t="str">
        <f ca="1">""&amp;IFERROR(VLOOKUP(O3298,EMAILS!B:D,3,FALSE),"NOT FOUND IN EMAILS")</f>
        <v/>
      </c>
      <c r="R3298" t="str">
        <f ca="1">""&amp;IFERROR(VLOOKUP(O3298,EMAILS!B:E,4,FALSE),"NO T FOUND IN EMAILS")</f>
        <v/>
      </c>
    </row>
    <row r="3299" spans="2:18" x14ac:dyDescent="0.25">
      <c r="B3299" s="5" t="s">
        <v>3301</v>
      </c>
      <c r="C3299" s="5" t="s">
        <v>7441</v>
      </c>
      <c r="D3299" s="5">
        <v>0</v>
      </c>
      <c r="E3299" s="5">
        <v>0</v>
      </c>
      <c r="F3299" s="5">
        <v>0</v>
      </c>
      <c r="G3299" s="5">
        <v>0</v>
      </c>
      <c r="H3299" s="5">
        <v>0</v>
      </c>
      <c r="I3299" s="5">
        <v>0</v>
      </c>
      <c r="J3299" s="5">
        <v>0</v>
      </c>
      <c r="K3299" s="5">
        <v>0</v>
      </c>
      <c r="L3299" s="5">
        <v>0</v>
      </c>
      <c r="M3299" s="5">
        <v>0</v>
      </c>
      <c r="N3299" s="5">
        <v>20</v>
      </c>
      <c r="O3299" s="5" t="str">
        <f t="shared" ca="1" si="51"/>
        <v>Supplier 41</v>
      </c>
      <c r="P3299" s="20" t="str">
        <f ca="1">IFERROR(VLOOKUP(O3299,EMAILS!B:C,2,FALSE),"NOT FOUND IN EMAILS")</f>
        <v>supplier@gmail.com</v>
      </c>
      <c r="Q3299" t="str">
        <f ca="1">""&amp;IFERROR(VLOOKUP(O3299,EMAILS!B:D,3,FALSE),"NOT FOUND IN EMAILS")</f>
        <v/>
      </c>
      <c r="R3299" t="str">
        <f ca="1">""&amp;IFERROR(VLOOKUP(O3299,EMAILS!B:E,4,FALSE),"NO T FOUND IN EMAILS")</f>
        <v/>
      </c>
    </row>
    <row r="3300" spans="2:18" x14ac:dyDescent="0.25">
      <c r="B3300" s="5" t="s">
        <v>3302</v>
      </c>
      <c r="C3300" s="5" t="s">
        <v>7442</v>
      </c>
      <c r="D3300" s="5">
        <v>0</v>
      </c>
      <c r="E3300" s="5">
        <v>0</v>
      </c>
      <c r="F3300" s="5">
        <v>0</v>
      </c>
      <c r="G3300" s="5">
        <v>0</v>
      </c>
      <c r="H3300" s="5">
        <v>0</v>
      </c>
      <c r="I3300" s="5">
        <v>0</v>
      </c>
      <c r="J3300" s="5">
        <v>0</v>
      </c>
      <c r="K3300" s="5">
        <v>0</v>
      </c>
      <c r="L3300" s="5">
        <v>0</v>
      </c>
      <c r="M3300" s="5">
        <v>0</v>
      </c>
      <c r="N3300" s="5">
        <v>0</v>
      </c>
      <c r="O3300" s="5" t="str">
        <f t="shared" ca="1" si="51"/>
        <v>Supplier 107</v>
      </c>
      <c r="P3300" s="20" t="str">
        <f ca="1">IFERROR(VLOOKUP(O3300,EMAILS!B:C,2,FALSE),"NOT FOUND IN EMAILS")</f>
        <v>supplier@gmail.com</v>
      </c>
      <c r="Q3300" t="str">
        <f ca="1">""&amp;IFERROR(VLOOKUP(O3300,EMAILS!B:D,3,FALSE),"NOT FOUND IN EMAILS")</f>
        <v/>
      </c>
      <c r="R3300" t="str">
        <f ca="1">""&amp;IFERROR(VLOOKUP(O3300,EMAILS!B:E,4,FALSE),"NO T FOUND IN EMAILS")</f>
        <v/>
      </c>
    </row>
    <row r="3301" spans="2:18" x14ac:dyDescent="0.25">
      <c r="B3301" s="5" t="s">
        <v>3303</v>
      </c>
      <c r="C3301" s="5" t="s">
        <v>7443</v>
      </c>
      <c r="D3301" s="5">
        <v>0</v>
      </c>
      <c r="E3301" s="5">
        <v>0</v>
      </c>
      <c r="F3301" s="5">
        <v>0</v>
      </c>
      <c r="G3301" s="5">
        <v>0</v>
      </c>
      <c r="H3301" s="5">
        <v>0</v>
      </c>
      <c r="I3301" s="5">
        <v>0</v>
      </c>
      <c r="J3301" s="5">
        <v>0</v>
      </c>
      <c r="K3301" s="5">
        <v>0</v>
      </c>
      <c r="L3301" s="5">
        <v>0</v>
      </c>
      <c r="M3301" s="5">
        <v>0</v>
      </c>
      <c r="N3301" s="5">
        <v>0</v>
      </c>
      <c r="O3301" s="5" t="str">
        <f t="shared" ca="1" si="51"/>
        <v>Supplier 3</v>
      </c>
      <c r="P3301" s="20" t="str">
        <f ca="1">IFERROR(VLOOKUP(O3301,EMAILS!B:C,2,FALSE),"NOT FOUND IN EMAILS")</f>
        <v>supplier@gmail.com</v>
      </c>
      <c r="Q3301" t="str">
        <f ca="1">""&amp;IFERROR(VLOOKUP(O3301,EMAILS!B:D,3,FALSE),"NOT FOUND IN EMAILS")</f>
        <v>supplier_logistics@gmail.com</v>
      </c>
      <c r="R3301" t="str">
        <f ca="1">""&amp;IFERROR(VLOOKUP(O3301,EMAILS!B:E,4,FALSE),"NO T FOUND IN EMAILS")</f>
        <v/>
      </c>
    </row>
    <row r="3302" spans="2:18" x14ac:dyDescent="0.25">
      <c r="B3302" s="5" t="s">
        <v>3304</v>
      </c>
      <c r="C3302" s="5" t="s">
        <v>7444</v>
      </c>
      <c r="D3302" s="5">
        <v>0</v>
      </c>
      <c r="E3302" s="5">
        <v>0</v>
      </c>
      <c r="F3302" s="5">
        <v>0</v>
      </c>
      <c r="G3302" s="5">
        <v>0</v>
      </c>
      <c r="H3302" s="5">
        <v>0</v>
      </c>
      <c r="I3302" s="5">
        <v>0</v>
      </c>
      <c r="J3302" s="5">
        <v>0</v>
      </c>
      <c r="K3302" s="5">
        <v>0</v>
      </c>
      <c r="L3302" s="5">
        <v>0</v>
      </c>
      <c r="M3302" s="5">
        <v>0</v>
      </c>
      <c r="N3302" s="5">
        <v>0.03</v>
      </c>
      <c r="O3302" s="5" t="str">
        <f t="shared" ca="1" si="51"/>
        <v>Supplier 160</v>
      </c>
      <c r="P3302" s="20" t="str">
        <f ca="1">IFERROR(VLOOKUP(O3302,EMAILS!B:C,2,FALSE),"NOT FOUND IN EMAILS")</f>
        <v>supplier@gmail.com</v>
      </c>
      <c r="Q3302" t="str">
        <f ca="1">""&amp;IFERROR(VLOOKUP(O3302,EMAILS!B:D,3,FALSE),"NOT FOUND IN EMAILS")</f>
        <v/>
      </c>
      <c r="R3302" t="str">
        <f ca="1">""&amp;IFERROR(VLOOKUP(O3302,EMAILS!B:E,4,FALSE),"NO T FOUND IN EMAILS")</f>
        <v/>
      </c>
    </row>
    <row r="3303" spans="2:18" x14ac:dyDescent="0.25">
      <c r="B3303" s="5" t="s">
        <v>3305</v>
      </c>
      <c r="C3303" s="5" t="s">
        <v>7445</v>
      </c>
      <c r="D3303" s="5">
        <v>0</v>
      </c>
      <c r="E3303" s="5">
        <v>0</v>
      </c>
      <c r="F3303" s="5">
        <v>0</v>
      </c>
      <c r="G3303" s="5">
        <v>0</v>
      </c>
      <c r="H3303" s="5">
        <v>0</v>
      </c>
      <c r="I3303" s="5">
        <v>0</v>
      </c>
      <c r="J3303" s="5">
        <v>0</v>
      </c>
      <c r="K3303" s="5">
        <v>0</v>
      </c>
      <c r="L3303" s="5">
        <v>0</v>
      </c>
      <c r="M3303" s="5">
        <v>0</v>
      </c>
      <c r="N3303" s="5">
        <v>0</v>
      </c>
      <c r="O3303" s="5" t="str">
        <f t="shared" ca="1" si="51"/>
        <v>Supplier 162</v>
      </c>
      <c r="P3303" s="20" t="str">
        <f ca="1">IFERROR(VLOOKUP(O3303,EMAILS!B:C,2,FALSE),"NOT FOUND IN EMAILS")</f>
        <v>supplier@gmail.com</v>
      </c>
      <c r="Q3303" t="str">
        <f ca="1">""&amp;IFERROR(VLOOKUP(O3303,EMAILS!B:D,3,FALSE),"NOT FOUND IN EMAILS")</f>
        <v/>
      </c>
      <c r="R3303" t="str">
        <f ca="1">""&amp;IFERROR(VLOOKUP(O3303,EMAILS!B:E,4,FALSE),"NO T FOUND IN EMAILS")</f>
        <v/>
      </c>
    </row>
    <row r="3304" spans="2:18" x14ac:dyDescent="0.25">
      <c r="B3304" s="5" t="s">
        <v>3306</v>
      </c>
      <c r="C3304" s="5" t="s">
        <v>7446</v>
      </c>
      <c r="D3304" s="5">
        <v>0</v>
      </c>
      <c r="E3304" s="5">
        <v>0</v>
      </c>
      <c r="F3304" s="5">
        <v>0</v>
      </c>
      <c r="G3304" s="5">
        <v>0</v>
      </c>
      <c r="H3304" s="5">
        <v>0</v>
      </c>
      <c r="I3304" s="5">
        <v>0</v>
      </c>
      <c r="J3304" s="5">
        <v>0</v>
      </c>
      <c r="K3304" s="5">
        <v>0</v>
      </c>
      <c r="L3304" s="5">
        <v>0</v>
      </c>
      <c r="M3304" s="5">
        <v>0</v>
      </c>
      <c r="N3304" s="5">
        <v>2344</v>
      </c>
      <c r="O3304" s="5" t="str">
        <f t="shared" ca="1" si="51"/>
        <v>Supplier 37</v>
      </c>
      <c r="P3304" s="20" t="str">
        <f ca="1">IFERROR(VLOOKUP(O3304,EMAILS!B:C,2,FALSE),"NOT FOUND IN EMAILS")</f>
        <v>supplier@gmail.com</v>
      </c>
      <c r="Q3304" t="str">
        <f ca="1">""&amp;IFERROR(VLOOKUP(O3304,EMAILS!B:D,3,FALSE),"NOT FOUND IN EMAILS")</f>
        <v/>
      </c>
      <c r="R3304" t="str">
        <f ca="1">""&amp;IFERROR(VLOOKUP(O3304,EMAILS!B:E,4,FALSE),"NO T FOUND IN EMAILS")</f>
        <v/>
      </c>
    </row>
    <row r="3305" spans="2:18" x14ac:dyDescent="0.25">
      <c r="B3305" s="5" t="s">
        <v>3307</v>
      </c>
      <c r="C3305" s="5" t="s">
        <v>7447</v>
      </c>
      <c r="D3305" s="5">
        <v>500</v>
      </c>
      <c r="E3305" s="5">
        <v>650</v>
      </c>
      <c r="F3305" s="5">
        <v>500</v>
      </c>
      <c r="G3305" s="5">
        <v>500</v>
      </c>
      <c r="H3305" s="5">
        <v>500</v>
      </c>
      <c r="I3305" s="5">
        <v>500</v>
      </c>
      <c r="J3305" s="5">
        <v>600</v>
      </c>
      <c r="K3305" s="5">
        <v>500</v>
      </c>
      <c r="L3305" s="5">
        <v>500</v>
      </c>
      <c r="M3305" s="5">
        <v>0</v>
      </c>
      <c r="N3305" s="5">
        <v>400</v>
      </c>
      <c r="O3305" s="5" t="str">
        <f t="shared" ca="1" si="51"/>
        <v>Supplier 161</v>
      </c>
      <c r="P3305" s="20" t="str">
        <f ca="1">IFERROR(VLOOKUP(O3305,EMAILS!B:C,2,FALSE),"NOT FOUND IN EMAILS")</f>
        <v>supplier@gmail.com</v>
      </c>
      <c r="Q3305" t="str">
        <f ca="1">""&amp;IFERROR(VLOOKUP(O3305,EMAILS!B:D,3,FALSE),"NOT FOUND IN EMAILS")</f>
        <v/>
      </c>
      <c r="R3305" t="str">
        <f ca="1">""&amp;IFERROR(VLOOKUP(O3305,EMAILS!B:E,4,FALSE),"NO T FOUND IN EMAILS")</f>
        <v/>
      </c>
    </row>
    <row r="3306" spans="2:18" x14ac:dyDescent="0.25">
      <c r="B3306" s="5" t="s">
        <v>3308</v>
      </c>
      <c r="C3306" s="5" t="s">
        <v>7448</v>
      </c>
      <c r="D3306" s="5">
        <v>50</v>
      </c>
      <c r="E3306" s="5">
        <v>100</v>
      </c>
      <c r="F3306" s="5">
        <v>100</v>
      </c>
      <c r="G3306" s="5">
        <v>100</v>
      </c>
      <c r="H3306" s="5">
        <v>200</v>
      </c>
      <c r="I3306" s="5">
        <v>200</v>
      </c>
      <c r="J3306" s="5">
        <v>200</v>
      </c>
      <c r="K3306" s="5">
        <v>100</v>
      </c>
      <c r="L3306" s="5">
        <v>200</v>
      </c>
      <c r="M3306" s="5">
        <v>0</v>
      </c>
      <c r="N3306" s="5">
        <v>2500</v>
      </c>
      <c r="O3306" s="5" t="str">
        <f t="shared" ca="1" si="51"/>
        <v>Supplier 93</v>
      </c>
      <c r="P3306" s="20" t="str">
        <f ca="1">IFERROR(VLOOKUP(O3306,EMAILS!B:C,2,FALSE),"NOT FOUND IN EMAILS")</f>
        <v>supplier@gmail.com</v>
      </c>
      <c r="Q3306" t="str">
        <f ca="1">""&amp;IFERROR(VLOOKUP(O3306,EMAILS!B:D,3,FALSE),"NOT FOUND IN EMAILS")</f>
        <v/>
      </c>
      <c r="R3306" t="str">
        <f ca="1">""&amp;IFERROR(VLOOKUP(O3306,EMAILS!B:E,4,FALSE),"NO T FOUND IN EMAILS")</f>
        <v/>
      </c>
    </row>
    <row r="3307" spans="2:18" x14ac:dyDescent="0.25">
      <c r="B3307" s="5" t="s">
        <v>3309</v>
      </c>
      <c r="C3307" s="5" t="s">
        <v>7449</v>
      </c>
      <c r="D3307" s="5">
        <v>500</v>
      </c>
      <c r="E3307" s="5">
        <v>650</v>
      </c>
      <c r="F3307" s="5">
        <v>520</v>
      </c>
      <c r="G3307" s="5">
        <v>520</v>
      </c>
      <c r="H3307" s="5">
        <v>520</v>
      </c>
      <c r="I3307" s="5">
        <v>520</v>
      </c>
      <c r="J3307" s="5">
        <v>620</v>
      </c>
      <c r="K3307" s="5">
        <v>520</v>
      </c>
      <c r="L3307" s="5">
        <v>520</v>
      </c>
      <c r="M3307" s="5">
        <v>0</v>
      </c>
      <c r="N3307" s="5">
        <v>402</v>
      </c>
      <c r="O3307" s="5" t="str">
        <f t="shared" ca="1" si="51"/>
        <v>Supplier 131</v>
      </c>
      <c r="P3307" s="20" t="str">
        <f ca="1">IFERROR(VLOOKUP(O3307,EMAILS!B:C,2,FALSE),"NOT FOUND IN EMAILS")</f>
        <v>supplier@gmail.com</v>
      </c>
      <c r="Q3307" t="str">
        <f ca="1">""&amp;IFERROR(VLOOKUP(O3307,EMAILS!B:D,3,FALSE),"NOT FOUND IN EMAILS")</f>
        <v/>
      </c>
      <c r="R3307" t="str">
        <f ca="1">""&amp;IFERROR(VLOOKUP(O3307,EMAILS!B:E,4,FALSE),"NO T FOUND IN EMAILS")</f>
        <v/>
      </c>
    </row>
    <row r="3308" spans="2:18" x14ac:dyDescent="0.25">
      <c r="B3308" s="5" t="s">
        <v>3310</v>
      </c>
      <c r="C3308" s="5" t="s">
        <v>7450</v>
      </c>
      <c r="D3308" s="5">
        <v>0</v>
      </c>
      <c r="E3308" s="5">
        <v>0</v>
      </c>
      <c r="F3308" s="5">
        <v>20</v>
      </c>
      <c r="G3308" s="5">
        <v>20</v>
      </c>
      <c r="H3308" s="5">
        <v>20</v>
      </c>
      <c r="I3308" s="5">
        <v>20</v>
      </c>
      <c r="J3308" s="5">
        <v>20</v>
      </c>
      <c r="K3308" s="5">
        <v>20</v>
      </c>
      <c r="L3308" s="5">
        <v>20</v>
      </c>
      <c r="M3308" s="5">
        <v>0</v>
      </c>
      <c r="N3308" s="5">
        <v>350</v>
      </c>
      <c r="O3308" s="5" t="str">
        <f t="shared" ca="1" si="51"/>
        <v>Supplier 93</v>
      </c>
      <c r="P3308" s="20" t="str">
        <f ca="1">IFERROR(VLOOKUP(O3308,EMAILS!B:C,2,FALSE),"NOT FOUND IN EMAILS")</f>
        <v>supplier@gmail.com</v>
      </c>
      <c r="Q3308" t="str">
        <f ca="1">""&amp;IFERROR(VLOOKUP(O3308,EMAILS!B:D,3,FALSE),"NOT FOUND IN EMAILS")</f>
        <v/>
      </c>
      <c r="R3308" t="str">
        <f ca="1">""&amp;IFERROR(VLOOKUP(O3308,EMAILS!B:E,4,FALSE),"NO T FOUND IN EMAILS")</f>
        <v/>
      </c>
    </row>
    <row r="3309" spans="2:18" x14ac:dyDescent="0.25">
      <c r="B3309" s="5" t="s">
        <v>3311</v>
      </c>
      <c r="C3309" s="5" t="s">
        <v>7451</v>
      </c>
      <c r="D3309" s="5">
        <v>450</v>
      </c>
      <c r="E3309" s="5">
        <v>0</v>
      </c>
      <c r="F3309" s="5">
        <v>300</v>
      </c>
      <c r="G3309" s="5">
        <v>200</v>
      </c>
      <c r="H3309" s="5">
        <v>200</v>
      </c>
      <c r="I3309" s="5">
        <v>200</v>
      </c>
      <c r="J3309" s="5">
        <v>200</v>
      </c>
      <c r="K3309" s="5">
        <v>200</v>
      </c>
      <c r="L3309" s="5">
        <v>200</v>
      </c>
      <c r="M3309" s="5">
        <v>0</v>
      </c>
      <c r="N3309" s="5">
        <v>1750</v>
      </c>
      <c r="O3309" s="5" t="str">
        <f t="shared" ca="1" si="51"/>
        <v>Supplier 125</v>
      </c>
      <c r="P3309" s="20" t="str">
        <f ca="1">IFERROR(VLOOKUP(O3309,EMAILS!B:C,2,FALSE),"NOT FOUND IN EMAILS")</f>
        <v>supplier@gmail.com</v>
      </c>
      <c r="Q3309" t="str">
        <f ca="1">""&amp;IFERROR(VLOOKUP(O3309,EMAILS!B:D,3,FALSE),"NOT FOUND IN EMAILS")</f>
        <v/>
      </c>
      <c r="R3309" t="str">
        <f ca="1">""&amp;IFERROR(VLOOKUP(O3309,EMAILS!B:E,4,FALSE),"NO T FOUND IN EMAILS")</f>
        <v/>
      </c>
    </row>
    <row r="3310" spans="2:18" x14ac:dyDescent="0.25">
      <c r="B3310" s="5" t="s">
        <v>3312</v>
      </c>
      <c r="C3310" s="5" t="s">
        <v>7452</v>
      </c>
      <c r="D3310" s="5">
        <v>450</v>
      </c>
      <c r="E3310" s="5">
        <v>550</v>
      </c>
      <c r="F3310" s="5">
        <v>400</v>
      </c>
      <c r="G3310" s="5">
        <v>400</v>
      </c>
      <c r="H3310" s="5">
        <v>300</v>
      </c>
      <c r="I3310" s="5">
        <v>300</v>
      </c>
      <c r="J3310" s="5">
        <v>400</v>
      </c>
      <c r="K3310" s="5">
        <v>400</v>
      </c>
      <c r="L3310" s="5">
        <v>300</v>
      </c>
      <c r="M3310" s="5">
        <v>0</v>
      </c>
      <c r="N3310" s="5">
        <v>212</v>
      </c>
      <c r="O3310" s="5" t="str">
        <f t="shared" ca="1" si="51"/>
        <v>Supplier 141</v>
      </c>
      <c r="P3310" s="20" t="str">
        <f ca="1">IFERROR(VLOOKUP(O3310,EMAILS!B:C,2,FALSE),"NOT FOUND IN EMAILS")</f>
        <v>supplier@gmail.com</v>
      </c>
      <c r="Q3310" t="str">
        <f ca="1">""&amp;IFERROR(VLOOKUP(O3310,EMAILS!B:D,3,FALSE),"NOT FOUND IN EMAILS")</f>
        <v/>
      </c>
      <c r="R3310" t="str">
        <f ca="1">""&amp;IFERROR(VLOOKUP(O3310,EMAILS!B:E,4,FALSE),"NO T FOUND IN EMAILS")</f>
        <v/>
      </c>
    </row>
    <row r="3311" spans="2:18" x14ac:dyDescent="0.25">
      <c r="B3311" s="5" t="s">
        <v>3313</v>
      </c>
      <c r="C3311" s="5" t="s">
        <v>7453</v>
      </c>
      <c r="D3311" s="5">
        <v>0</v>
      </c>
      <c r="E3311" s="5">
        <v>0</v>
      </c>
      <c r="F3311" s="5">
        <v>20</v>
      </c>
      <c r="G3311" s="5">
        <v>20</v>
      </c>
      <c r="H3311" s="5">
        <v>20</v>
      </c>
      <c r="I3311" s="5">
        <v>20</v>
      </c>
      <c r="J3311" s="5">
        <v>20</v>
      </c>
      <c r="K3311" s="5">
        <v>20</v>
      </c>
      <c r="L3311" s="5">
        <v>20</v>
      </c>
      <c r="M3311" s="5">
        <v>0</v>
      </c>
      <c r="N3311" s="5">
        <v>0</v>
      </c>
      <c r="O3311" s="5" t="str">
        <f t="shared" ca="1" si="51"/>
        <v>Supplier 71</v>
      </c>
      <c r="P3311" s="20" t="str">
        <f ca="1">IFERROR(VLOOKUP(O3311,EMAILS!B:C,2,FALSE),"NOT FOUND IN EMAILS")</f>
        <v>supplier@gmail.com</v>
      </c>
      <c r="Q3311" t="str">
        <f ca="1">""&amp;IFERROR(VLOOKUP(O3311,EMAILS!B:D,3,FALSE),"NOT FOUND IN EMAILS")</f>
        <v/>
      </c>
      <c r="R3311" t="str">
        <f ca="1">""&amp;IFERROR(VLOOKUP(O3311,EMAILS!B:E,4,FALSE),"NO T FOUND IN EMAILS")</f>
        <v/>
      </c>
    </row>
    <row r="3312" spans="2:18" x14ac:dyDescent="0.25">
      <c r="B3312" s="5" t="s">
        <v>3314</v>
      </c>
      <c r="C3312" s="5" t="s">
        <v>7454</v>
      </c>
      <c r="D3312" s="5">
        <v>0</v>
      </c>
      <c r="E3312" s="5">
        <v>0</v>
      </c>
      <c r="F3312" s="5">
        <v>0</v>
      </c>
      <c r="G3312" s="5">
        <v>0</v>
      </c>
      <c r="H3312" s="5">
        <v>0</v>
      </c>
      <c r="I3312" s="5">
        <v>0</v>
      </c>
      <c r="J3312" s="5">
        <v>0</v>
      </c>
      <c r="K3312" s="5">
        <v>0</v>
      </c>
      <c r="L3312" s="5">
        <v>0</v>
      </c>
      <c r="M3312" s="5">
        <v>0</v>
      </c>
      <c r="N3312" s="5">
        <v>868</v>
      </c>
      <c r="O3312" s="5" t="str">
        <f t="shared" ca="1" si="51"/>
        <v>Supplier 31</v>
      </c>
      <c r="P3312" s="20" t="str">
        <f ca="1">IFERROR(VLOOKUP(O3312,EMAILS!B:C,2,FALSE),"NOT FOUND IN EMAILS")</f>
        <v>supplier@gmail.com</v>
      </c>
      <c r="Q3312" t="str">
        <f ca="1">""&amp;IFERROR(VLOOKUP(O3312,EMAILS!B:D,3,FALSE),"NOT FOUND IN EMAILS")</f>
        <v/>
      </c>
      <c r="R3312" t="str">
        <f ca="1">""&amp;IFERROR(VLOOKUP(O3312,EMAILS!B:E,4,FALSE),"NO T FOUND IN EMAILS")</f>
        <v/>
      </c>
    </row>
    <row r="3313" spans="2:18" x14ac:dyDescent="0.25">
      <c r="B3313" s="5" t="s">
        <v>3315</v>
      </c>
      <c r="C3313" s="5" t="s">
        <v>7455</v>
      </c>
      <c r="D3313" s="5">
        <v>720</v>
      </c>
      <c r="E3313" s="5">
        <v>900</v>
      </c>
      <c r="F3313" s="5">
        <v>910</v>
      </c>
      <c r="G3313" s="5">
        <v>1080</v>
      </c>
      <c r="H3313" s="5">
        <v>510</v>
      </c>
      <c r="I3313" s="5">
        <v>690</v>
      </c>
      <c r="J3313" s="5">
        <v>690</v>
      </c>
      <c r="K3313" s="5">
        <v>545</v>
      </c>
      <c r="L3313" s="5">
        <v>300</v>
      </c>
      <c r="M3313" s="5">
        <v>0</v>
      </c>
      <c r="N3313" s="5">
        <v>0</v>
      </c>
      <c r="O3313" s="5" t="str">
        <f t="shared" ca="1" si="51"/>
        <v>Supplier 136</v>
      </c>
      <c r="P3313" s="20" t="str">
        <f ca="1">IFERROR(VLOOKUP(O3313,EMAILS!B:C,2,FALSE),"NOT FOUND IN EMAILS")</f>
        <v>supplier@gmail.com</v>
      </c>
      <c r="Q3313" t="str">
        <f ca="1">""&amp;IFERROR(VLOOKUP(O3313,EMAILS!B:D,3,FALSE),"NOT FOUND IN EMAILS")</f>
        <v/>
      </c>
      <c r="R3313" t="str">
        <f ca="1">""&amp;IFERROR(VLOOKUP(O3313,EMAILS!B:E,4,FALSE),"NO T FOUND IN EMAILS")</f>
        <v/>
      </c>
    </row>
    <row r="3314" spans="2:18" x14ac:dyDescent="0.25">
      <c r="B3314" s="5" t="s">
        <v>3316</v>
      </c>
      <c r="C3314" s="5" t="s">
        <v>7456</v>
      </c>
      <c r="D3314" s="5">
        <v>2</v>
      </c>
      <c r="E3314" s="5">
        <v>0</v>
      </c>
      <c r="F3314" s="5">
        <v>0</v>
      </c>
      <c r="G3314" s="5">
        <v>0</v>
      </c>
      <c r="H3314" s="5">
        <v>0</v>
      </c>
      <c r="I3314" s="5">
        <v>0</v>
      </c>
      <c r="J3314" s="5">
        <v>0</v>
      </c>
      <c r="K3314" s="5">
        <v>0</v>
      </c>
      <c r="L3314" s="5">
        <v>0</v>
      </c>
      <c r="M3314" s="5">
        <v>0</v>
      </c>
      <c r="N3314" s="5">
        <v>266</v>
      </c>
      <c r="O3314" s="5" t="str">
        <f t="shared" ca="1" si="51"/>
        <v>Supplier 101</v>
      </c>
      <c r="P3314" s="20" t="str">
        <f ca="1">IFERROR(VLOOKUP(O3314,EMAILS!B:C,2,FALSE),"NOT FOUND IN EMAILS")</f>
        <v>supplier@gmail.com</v>
      </c>
      <c r="Q3314" t="str">
        <f ca="1">""&amp;IFERROR(VLOOKUP(O3314,EMAILS!B:D,3,FALSE),"NOT FOUND IN EMAILS")</f>
        <v/>
      </c>
      <c r="R3314" t="str">
        <f ca="1">""&amp;IFERROR(VLOOKUP(O3314,EMAILS!B:E,4,FALSE),"NO T FOUND IN EMAILS")</f>
        <v/>
      </c>
    </row>
    <row r="3315" spans="2:18" x14ac:dyDescent="0.25">
      <c r="B3315" s="5" t="s">
        <v>3317</v>
      </c>
      <c r="C3315" s="5" t="s">
        <v>7457</v>
      </c>
      <c r="D3315" s="5">
        <v>192</v>
      </c>
      <c r="E3315" s="5">
        <v>146.875</v>
      </c>
      <c r="F3315" s="5">
        <v>201.75</v>
      </c>
      <c r="G3315" s="5">
        <v>226.875</v>
      </c>
      <c r="H3315" s="5">
        <v>207.5</v>
      </c>
      <c r="I3315" s="5">
        <v>150.25</v>
      </c>
      <c r="J3315" s="5">
        <v>176.375</v>
      </c>
      <c r="K3315" s="5">
        <v>158.875</v>
      </c>
      <c r="L3315" s="5">
        <v>145.625</v>
      </c>
      <c r="M3315" s="5">
        <v>0</v>
      </c>
      <c r="N3315" s="5">
        <v>0</v>
      </c>
      <c r="O3315" s="5" t="str">
        <f t="shared" ca="1" si="51"/>
        <v>Supplier 27</v>
      </c>
      <c r="P3315" s="20" t="str">
        <f ca="1">IFERROR(VLOOKUP(O3315,EMAILS!B:C,2,FALSE),"NOT FOUND IN EMAILS")</f>
        <v>supplier@gmail.com</v>
      </c>
      <c r="Q3315" t="str">
        <f ca="1">""&amp;IFERROR(VLOOKUP(O3315,EMAILS!B:D,3,FALSE),"NOT FOUND IN EMAILS")</f>
        <v/>
      </c>
      <c r="R3315" t="str">
        <f ca="1">""&amp;IFERROR(VLOOKUP(O3315,EMAILS!B:E,4,FALSE),"NO T FOUND IN EMAILS")</f>
        <v/>
      </c>
    </row>
    <row r="3316" spans="2:18" x14ac:dyDescent="0.25">
      <c r="B3316" s="5" t="s">
        <v>3318</v>
      </c>
      <c r="C3316" s="5" t="s">
        <v>7458</v>
      </c>
      <c r="D3316" s="5">
        <v>0</v>
      </c>
      <c r="E3316" s="5">
        <v>0</v>
      </c>
      <c r="F3316" s="5">
        <v>0</v>
      </c>
      <c r="G3316" s="5">
        <v>0</v>
      </c>
      <c r="H3316" s="5">
        <v>0</v>
      </c>
      <c r="I3316" s="5">
        <v>0</v>
      </c>
      <c r="J3316" s="5">
        <v>0</v>
      </c>
      <c r="K3316" s="5">
        <v>0</v>
      </c>
      <c r="L3316" s="5">
        <v>0</v>
      </c>
      <c r="M3316" s="5">
        <v>0</v>
      </c>
      <c r="N3316" s="5">
        <v>0</v>
      </c>
      <c r="O3316" s="5" t="str">
        <f t="shared" ca="1" si="51"/>
        <v>Supplier 167</v>
      </c>
      <c r="P3316" s="20" t="str">
        <f ca="1">IFERROR(VLOOKUP(O3316,EMAILS!B:C,2,FALSE),"NOT FOUND IN EMAILS")</f>
        <v>supplier@gmail.com</v>
      </c>
      <c r="Q3316" t="str">
        <f ca="1">""&amp;IFERROR(VLOOKUP(O3316,EMAILS!B:D,3,FALSE),"NOT FOUND IN EMAILS")</f>
        <v/>
      </c>
      <c r="R3316" t="str">
        <f ca="1">""&amp;IFERROR(VLOOKUP(O3316,EMAILS!B:E,4,FALSE),"NO T FOUND IN EMAILS")</f>
        <v/>
      </c>
    </row>
    <row r="3317" spans="2:18" x14ac:dyDescent="0.25">
      <c r="B3317" s="5" t="s">
        <v>3319</v>
      </c>
      <c r="C3317" s="5" t="s">
        <v>7459</v>
      </c>
      <c r="D3317" s="5">
        <v>0</v>
      </c>
      <c r="E3317" s="5">
        <v>0</v>
      </c>
      <c r="F3317" s="5">
        <v>0</v>
      </c>
      <c r="G3317" s="5">
        <v>0</v>
      </c>
      <c r="H3317" s="5">
        <v>0.16</v>
      </c>
      <c r="I3317" s="5">
        <v>0</v>
      </c>
      <c r="J3317" s="5">
        <v>0</v>
      </c>
      <c r="K3317" s="5">
        <v>0</v>
      </c>
      <c r="L3317" s="5">
        <v>0</v>
      </c>
      <c r="M3317" s="5">
        <v>0</v>
      </c>
      <c r="N3317" s="5">
        <v>75</v>
      </c>
      <c r="O3317" s="5" t="str">
        <f t="shared" ca="1" si="51"/>
        <v>Supplier 97</v>
      </c>
      <c r="P3317" s="20" t="str">
        <f ca="1">IFERROR(VLOOKUP(O3317,EMAILS!B:C,2,FALSE),"NOT FOUND IN EMAILS")</f>
        <v>supplier@gmail.com</v>
      </c>
      <c r="Q3317" t="str">
        <f ca="1">""&amp;IFERROR(VLOOKUP(O3317,EMAILS!B:D,3,FALSE),"NOT FOUND IN EMAILS")</f>
        <v/>
      </c>
      <c r="R3317" t="str">
        <f ca="1">""&amp;IFERROR(VLOOKUP(O3317,EMAILS!B:E,4,FALSE),"NO T FOUND IN EMAILS")</f>
        <v/>
      </c>
    </row>
    <row r="3318" spans="2:18" x14ac:dyDescent="0.25">
      <c r="B3318" s="5" t="s">
        <v>3320</v>
      </c>
      <c r="C3318" s="5" t="s">
        <v>7460</v>
      </c>
      <c r="D3318" s="5">
        <v>0</v>
      </c>
      <c r="E3318" s="5">
        <v>0</v>
      </c>
      <c r="F3318" s="5">
        <v>0</v>
      </c>
      <c r="G3318" s="5">
        <v>4</v>
      </c>
      <c r="H3318" s="5">
        <v>0</v>
      </c>
      <c r="I3318" s="5">
        <v>0</v>
      </c>
      <c r="J3318" s="5">
        <v>0</v>
      </c>
      <c r="K3318" s="5">
        <v>0</v>
      </c>
      <c r="L3318" s="5">
        <v>0</v>
      </c>
      <c r="M3318" s="5">
        <v>0</v>
      </c>
      <c r="N3318" s="5">
        <v>0</v>
      </c>
      <c r="O3318" s="5" t="str">
        <f t="shared" ca="1" si="51"/>
        <v>Supplier 117</v>
      </c>
      <c r="P3318" s="20" t="str">
        <f ca="1">IFERROR(VLOOKUP(O3318,EMAILS!B:C,2,FALSE),"NOT FOUND IN EMAILS")</f>
        <v>supplier@gmail.com</v>
      </c>
      <c r="Q3318" t="str">
        <f ca="1">""&amp;IFERROR(VLOOKUP(O3318,EMAILS!B:D,3,FALSE),"NOT FOUND IN EMAILS")</f>
        <v/>
      </c>
      <c r="R3318" t="str">
        <f ca="1">""&amp;IFERROR(VLOOKUP(O3318,EMAILS!B:E,4,FALSE),"NO T FOUND IN EMAILS")</f>
        <v/>
      </c>
    </row>
    <row r="3319" spans="2:18" x14ac:dyDescent="0.25">
      <c r="B3319" s="5" t="s">
        <v>3321</v>
      </c>
      <c r="C3319" s="5" t="s">
        <v>7461</v>
      </c>
      <c r="D3319" s="5">
        <v>0</v>
      </c>
      <c r="E3319" s="5">
        <v>0</v>
      </c>
      <c r="F3319" s="5">
        <v>0</v>
      </c>
      <c r="G3319" s="5">
        <v>35</v>
      </c>
      <c r="H3319" s="5">
        <v>0</v>
      </c>
      <c r="I3319" s="5">
        <v>3</v>
      </c>
      <c r="J3319" s="5">
        <v>0</v>
      </c>
      <c r="K3319" s="5">
        <v>0</v>
      </c>
      <c r="L3319" s="5">
        <v>0</v>
      </c>
      <c r="M3319" s="5">
        <v>0</v>
      </c>
      <c r="N3319" s="5">
        <v>0</v>
      </c>
      <c r="O3319" s="5" t="str">
        <f t="shared" ca="1" si="51"/>
        <v>Supplier 121</v>
      </c>
      <c r="P3319" s="20" t="str">
        <f ca="1">IFERROR(VLOOKUP(O3319,EMAILS!B:C,2,FALSE),"NOT FOUND IN EMAILS")</f>
        <v>supplier@gmail.com</v>
      </c>
      <c r="Q3319" t="str">
        <f ca="1">""&amp;IFERROR(VLOOKUP(O3319,EMAILS!B:D,3,FALSE),"NOT FOUND IN EMAILS")</f>
        <v/>
      </c>
      <c r="R3319" t="str">
        <f ca="1">""&amp;IFERROR(VLOOKUP(O3319,EMAILS!B:E,4,FALSE),"NO T FOUND IN EMAILS")</f>
        <v/>
      </c>
    </row>
    <row r="3320" spans="2:18" x14ac:dyDescent="0.25">
      <c r="B3320" s="5" t="s">
        <v>3322</v>
      </c>
      <c r="C3320" s="5" t="s">
        <v>7462</v>
      </c>
      <c r="D3320" s="5">
        <v>100</v>
      </c>
      <c r="E3320" s="5">
        <v>10</v>
      </c>
      <c r="F3320" s="5">
        <v>60</v>
      </c>
      <c r="G3320" s="5">
        <v>40</v>
      </c>
      <c r="H3320" s="5">
        <v>80</v>
      </c>
      <c r="I3320" s="5">
        <v>42</v>
      </c>
      <c r="J3320" s="5">
        <v>20</v>
      </c>
      <c r="K3320" s="5">
        <v>50</v>
      </c>
      <c r="L3320" s="5">
        <v>220</v>
      </c>
      <c r="M3320" s="5">
        <v>0</v>
      </c>
      <c r="N3320" s="5">
        <v>830</v>
      </c>
      <c r="O3320" s="5" t="str">
        <f t="shared" ca="1" si="51"/>
        <v>Supplier 193</v>
      </c>
      <c r="P3320" s="20" t="str">
        <f ca="1">IFERROR(VLOOKUP(O3320,EMAILS!B:C,2,FALSE),"NOT FOUND IN EMAILS")</f>
        <v>supplier@gmail.com</v>
      </c>
      <c r="Q3320" t="str">
        <f ca="1">""&amp;IFERROR(VLOOKUP(O3320,EMAILS!B:D,3,FALSE),"NOT FOUND IN EMAILS")</f>
        <v/>
      </c>
      <c r="R3320" t="str">
        <f ca="1">""&amp;IFERROR(VLOOKUP(O3320,EMAILS!B:E,4,FALSE),"NO T FOUND IN EMAILS")</f>
        <v/>
      </c>
    </row>
    <row r="3321" spans="2:18" x14ac:dyDescent="0.25">
      <c r="B3321" s="5" t="s">
        <v>3323</v>
      </c>
      <c r="C3321" s="5" t="s">
        <v>7463</v>
      </c>
      <c r="D3321" s="5">
        <v>7</v>
      </c>
      <c r="E3321" s="5">
        <v>18</v>
      </c>
      <c r="F3321" s="5">
        <v>11</v>
      </c>
      <c r="G3321" s="5">
        <v>10</v>
      </c>
      <c r="H3321" s="5">
        <v>9</v>
      </c>
      <c r="I3321" s="5">
        <v>0</v>
      </c>
      <c r="J3321" s="5">
        <v>2</v>
      </c>
      <c r="K3321" s="5">
        <v>5</v>
      </c>
      <c r="L3321" s="5">
        <v>0</v>
      </c>
      <c r="M3321" s="5">
        <v>0</v>
      </c>
      <c r="N3321" s="5">
        <v>5986</v>
      </c>
      <c r="O3321" s="5" t="str">
        <f t="shared" ca="1" si="51"/>
        <v>Supplier 14</v>
      </c>
      <c r="P3321" s="20" t="str">
        <f ca="1">IFERROR(VLOOKUP(O3321,EMAILS!B:C,2,FALSE),"NOT FOUND IN EMAILS")</f>
        <v>supplier@gmail.com</v>
      </c>
      <c r="Q3321" t="str">
        <f ca="1">""&amp;IFERROR(VLOOKUP(O3321,EMAILS!B:D,3,FALSE),"NOT FOUND IN EMAILS")</f>
        <v>supplier_logistics@gmail.com</v>
      </c>
      <c r="R3321" t="str">
        <f ca="1">""&amp;IFERROR(VLOOKUP(O3321,EMAILS!B:E,4,FALSE),"NO T FOUND IN EMAILS")</f>
        <v/>
      </c>
    </row>
    <row r="3322" spans="2:18" x14ac:dyDescent="0.25">
      <c r="B3322" s="5" t="s">
        <v>3324</v>
      </c>
      <c r="C3322" s="5" t="s">
        <v>7464</v>
      </c>
      <c r="D3322" s="5">
        <v>4769</v>
      </c>
      <c r="E3322" s="5">
        <v>4529</v>
      </c>
      <c r="F3322" s="5">
        <v>4976</v>
      </c>
      <c r="G3322" s="5">
        <v>4756</v>
      </c>
      <c r="H3322" s="5">
        <v>4928</v>
      </c>
      <c r="I3322" s="5">
        <v>5126</v>
      </c>
      <c r="J3322" s="5">
        <v>3398</v>
      </c>
      <c r="K3322" s="5">
        <v>3285</v>
      </c>
      <c r="L3322" s="5">
        <v>3656</v>
      </c>
      <c r="M3322" s="5">
        <v>0</v>
      </c>
      <c r="N3322" s="5">
        <v>0</v>
      </c>
      <c r="O3322" s="5" t="str">
        <f t="shared" ca="1" si="51"/>
        <v>Supplier 9</v>
      </c>
      <c r="P3322" s="20" t="str">
        <f ca="1">IFERROR(VLOOKUP(O3322,EMAILS!B:C,2,FALSE),"NOT FOUND IN EMAILS")</f>
        <v>supplier@gmail.com</v>
      </c>
      <c r="Q3322" t="str">
        <f ca="1">""&amp;IFERROR(VLOOKUP(O3322,EMAILS!B:D,3,FALSE),"NOT FOUND IN EMAILS")</f>
        <v>supplier_logistics@gmail.com</v>
      </c>
      <c r="R3322" t="str">
        <f ca="1">""&amp;IFERROR(VLOOKUP(O3322,EMAILS!B:E,4,FALSE),"NO T FOUND IN EMAILS")</f>
        <v/>
      </c>
    </row>
    <row r="3323" spans="2:18" x14ac:dyDescent="0.25">
      <c r="B3323" s="5" t="s">
        <v>3325</v>
      </c>
      <c r="C3323" s="5" t="s">
        <v>7465</v>
      </c>
      <c r="D3323" s="5">
        <v>33</v>
      </c>
      <c r="E3323" s="5">
        <v>0</v>
      </c>
      <c r="F3323" s="5">
        <v>285</v>
      </c>
      <c r="G3323" s="5">
        <v>636</v>
      </c>
      <c r="H3323" s="5">
        <v>39</v>
      </c>
      <c r="I3323" s="5">
        <v>0</v>
      </c>
      <c r="J3323" s="5">
        <v>6</v>
      </c>
      <c r="K3323" s="5">
        <v>687</v>
      </c>
      <c r="L3323" s="5">
        <v>0</v>
      </c>
      <c r="M3323" s="5">
        <v>0</v>
      </c>
      <c r="N3323" s="5">
        <v>480</v>
      </c>
      <c r="O3323" s="5" t="str">
        <f t="shared" ca="1" si="51"/>
        <v>Supplier 140</v>
      </c>
      <c r="P3323" s="20" t="str">
        <f ca="1">IFERROR(VLOOKUP(O3323,EMAILS!B:C,2,FALSE),"NOT FOUND IN EMAILS")</f>
        <v>supplier@gmail.com</v>
      </c>
      <c r="Q3323" t="str">
        <f ca="1">""&amp;IFERROR(VLOOKUP(O3323,EMAILS!B:D,3,FALSE),"NOT FOUND IN EMAILS")</f>
        <v/>
      </c>
      <c r="R3323" t="str">
        <f ca="1">""&amp;IFERROR(VLOOKUP(O3323,EMAILS!B:E,4,FALSE),"NO T FOUND IN EMAILS")</f>
        <v/>
      </c>
    </row>
    <row r="3324" spans="2:18" x14ac:dyDescent="0.25">
      <c r="B3324" s="5" t="s">
        <v>3326</v>
      </c>
      <c r="C3324" s="5" t="s">
        <v>7466</v>
      </c>
      <c r="D3324" s="5">
        <v>0</v>
      </c>
      <c r="E3324" s="5">
        <v>0</v>
      </c>
      <c r="F3324" s="5">
        <v>0</v>
      </c>
      <c r="G3324" s="5">
        <v>10</v>
      </c>
      <c r="H3324" s="5">
        <v>0</v>
      </c>
      <c r="I3324" s="5">
        <v>2</v>
      </c>
      <c r="J3324" s="5">
        <v>0</v>
      </c>
      <c r="K3324" s="5">
        <v>0</v>
      </c>
      <c r="L3324" s="5">
        <v>0</v>
      </c>
      <c r="M3324" s="5">
        <v>0</v>
      </c>
      <c r="N3324" s="5">
        <v>302</v>
      </c>
      <c r="O3324" s="5" t="str">
        <f t="shared" ca="1" si="51"/>
        <v>Supplier 160</v>
      </c>
      <c r="P3324" s="20" t="str">
        <f ca="1">IFERROR(VLOOKUP(O3324,EMAILS!B:C,2,FALSE),"NOT FOUND IN EMAILS")</f>
        <v>supplier@gmail.com</v>
      </c>
      <c r="Q3324" t="str">
        <f ca="1">""&amp;IFERROR(VLOOKUP(O3324,EMAILS!B:D,3,FALSE),"NOT FOUND IN EMAILS")</f>
        <v/>
      </c>
      <c r="R3324" t="str">
        <f ca="1">""&amp;IFERROR(VLOOKUP(O3324,EMAILS!B:E,4,FALSE),"NO T FOUND IN EMAILS")</f>
        <v/>
      </c>
    </row>
    <row r="3325" spans="2:18" x14ac:dyDescent="0.25">
      <c r="B3325" s="5" t="s">
        <v>3327</v>
      </c>
      <c r="C3325" s="5" t="s">
        <v>7467</v>
      </c>
      <c r="D3325" s="5">
        <v>0</v>
      </c>
      <c r="E3325" s="5">
        <v>0</v>
      </c>
      <c r="F3325" s="5">
        <v>60</v>
      </c>
      <c r="G3325" s="5">
        <v>0</v>
      </c>
      <c r="H3325" s="5">
        <v>0</v>
      </c>
      <c r="I3325" s="5">
        <v>0</v>
      </c>
      <c r="J3325" s="5">
        <v>0</v>
      </c>
      <c r="K3325" s="5">
        <v>0</v>
      </c>
      <c r="L3325" s="5">
        <v>60</v>
      </c>
      <c r="M3325" s="5">
        <v>0</v>
      </c>
      <c r="N3325" s="5">
        <v>498</v>
      </c>
      <c r="O3325" s="5" t="str">
        <f t="shared" ca="1" si="51"/>
        <v>Supplier 165</v>
      </c>
      <c r="P3325" s="20" t="str">
        <f ca="1">IFERROR(VLOOKUP(O3325,EMAILS!B:C,2,FALSE),"NOT FOUND IN EMAILS")</f>
        <v>supplier@gmail.com</v>
      </c>
      <c r="Q3325" t="str">
        <f ca="1">""&amp;IFERROR(VLOOKUP(O3325,EMAILS!B:D,3,FALSE),"NOT FOUND IN EMAILS")</f>
        <v/>
      </c>
      <c r="R3325" t="str">
        <f ca="1">""&amp;IFERROR(VLOOKUP(O3325,EMAILS!B:E,4,FALSE),"NO T FOUND IN EMAILS")</f>
        <v/>
      </c>
    </row>
    <row r="3326" spans="2:18" x14ac:dyDescent="0.25">
      <c r="B3326" s="5" t="s">
        <v>3328</v>
      </c>
      <c r="C3326" s="5" t="s">
        <v>7468</v>
      </c>
      <c r="D3326" s="5">
        <v>100</v>
      </c>
      <c r="E3326" s="5">
        <v>110</v>
      </c>
      <c r="F3326" s="5">
        <v>140</v>
      </c>
      <c r="G3326" s="5">
        <v>140</v>
      </c>
      <c r="H3326" s="5">
        <v>100</v>
      </c>
      <c r="I3326" s="5">
        <v>170</v>
      </c>
      <c r="J3326" s="5">
        <v>120</v>
      </c>
      <c r="K3326" s="5">
        <v>100</v>
      </c>
      <c r="L3326" s="5">
        <v>100</v>
      </c>
      <c r="M3326" s="5">
        <v>0</v>
      </c>
      <c r="N3326" s="5">
        <v>92</v>
      </c>
      <c r="O3326" s="5" t="str">
        <f t="shared" ca="1" si="51"/>
        <v>Supplier 22</v>
      </c>
      <c r="P3326" s="20" t="str">
        <f ca="1">IFERROR(VLOOKUP(O3326,EMAILS!B:C,2,FALSE),"NOT FOUND IN EMAILS")</f>
        <v>supplier@gmail.com</v>
      </c>
      <c r="Q3326" t="str">
        <f ca="1">""&amp;IFERROR(VLOOKUP(O3326,EMAILS!B:D,3,FALSE),"NOT FOUND IN EMAILS")</f>
        <v/>
      </c>
      <c r="R3326" t="str">
        <f ca="1">""&amp;IFERROR(VLOOKUP(O3326,EMAILS!B:E,4,FALSE),"NO T FOUND IN EMAILS")</f>
        <v/>
      </c>
    </row>
    <row r="3327" spans="2:18" x14ac:dyDescent="0.25">
      <c r="B3327" s="5" t="s">
        <v>3329</v>
      </c>
      <c r="C3327" s="5" t="s">
        <v>7469</v>
      </c>
      <c r="D3327" s="5">
        <v>224</v>
      </c>
      <c r="E3327" s="5">
        <v>42</v>
      </c>
      <c r="F3327" s="5">
        <v>206</v>
      </c>
      <c r="G3327" s="5">
        <v>26</v>
      </c>
      <c r="H3327" s="5">
        <v>200</v>
      </c>
      <c r="I3327" s="5">
        <v>0</v>
      </c>
      <c r="J3327" s="5">
        <v>0</v>
      </c>
      <c r="K3327" s="5">
        <v>220</v>
      </c>
      <c r="L3327" s="5">
        <v>0</v>
      </c>
      <c r="M3327" s="5">
        <v>0</v>
      </c>
      <c r="N3327" s="5">
        <v>310</v>
      </c>
      <c r="O3327" s="5" t="str">
        <f t="shared" ca="1" si="51"/>
        <v>Supplier 191</v>
      </c>
      <c r="P3327" s="20" t="str">
        <f ca="1">IFERROR(VLOOKUP(O3327,EMAILS!B:C,2,FALSE),"NOT FOUND IN EMAILS")</f>
        <v>supplier@gmail.com</v>
      </c>
      <c r="Q3327" t="str">
        <f ca="1">""&amp;IFERROR(VLOOKUP(O3327,EMAILS!B:D,3,FALSE),"NOT FOUND IN EMAILS")</f>
        <v/>
      </c>
      <c r="R3327" t="str">
        <f ca="1">""&amp;IFERROR(VLOOKUP(O3327,EMAILS!B:E,4,FALSE),"NO T FOUND IN EMAILS")</f>
        <v/>
      </c>
    </row>
    <row r="3328" spans="2:18" x14ac:dyDescent="0.25">
      <c r="B3328" s="5" t="s">
        <v>3330</v>
      </c>
      <c r="C3328" s="5" t="s">
        <v>7470</v>
      </c>
      <c r="D3328" s="5">
        <v>150</v>
      </c>
      <c r="E3328" s="5">
        <v>165</v>
      </c>
      <c r="F3328" s="5">
        <v>250</v>
      </c>
      <c r="G3328" s="5">
        <v>216</v>
      </c>
      <c r="H3328" s="5">
        <v>150</v>
      </c>
      <c r="I3328" s="5">
        <v>255</v>
      </c>
      <c r="J3328" s="5">
        <v>180</v>
      </c>
      <c r="K3328" s="5">
        <v>174</v>
      </c>
      <c r="L3328" s="5">
        <v>150</v>
      </c>
      <c r="M3328" s="5">
        <v>0</v>
      </c>
      <c r="N3328" s="5">
        <v>176</v>
      </c>
      <c r="O3328" s="5" t="str">
        <f t="shared" ca="1" si="51"/>
        <v>Supplier 94</v>
      </c>
      <c r="P3328" s="20" t="str">
        <f ca="1">IFERROR(VLOOKUP(O3328,EMAILS!B:C,2,FALSE),"NOT FOUND IN EMAILS")</f>
        <v>supplier@gmail.com</v>
      </c>
      <c r="Q3328" t="str">
        <f ca="1">""&amp;IFERROR(VLOOKUP(O3328,EMAILS!B:D,3,FALSE),"NOT FOUND IN EMAILS")</f>
        <v/>
      </c>
      <c r="R3328" t="str">
        <f ca="1">""&amp;IFERROR(VLOOKUP(O3328,EMAILS!B:E,4,FALSE),"NO T FOUND IN EMAILS")</f>
        <v/>
      </c>
    </row>
    <row r="3329" spans="2:18" x14ac:dyDescent="0.25">
      <c r="B3329" s="5" t="s">
        <v>3331</v>
      </c>
      <c r="C3329" s="5" t="s">
        <v>7471</v>
      </c>
      <c r="D3329" s="5">
        <v>2</v>
      </c>
      <c r="E3329" s="5">
        <v>0</v>
      </c>
      <c r="F3329" s="5">
        <v>6</v>
      </c>
      <c r="G3329" s="5">
        <v>4</v>
      </c>
      <c r="H3329" s="5">
        <v>2</v>
      </c>
      <c r="I3329" s="5">
        <v>0</v>
      </c>
      <c r="J3329" s="5">
        <v>0</v>
      </c>
      <c r="K3329" s="5">
        <v>0</v>
      </c>
      <c r="L3329" s="5">
        <v>0</v>
      </c>
      <c r="M3329" s="5">
        <v>0</v>
      </c>
      <c r="N3329" s="5">
        <v>28</v>
      </c>
      <c r="O3329" s="5" t="str">
        <f t="shared" ca="1" si="51"/>
        <v>Supplier 53</v>
      </c>
      <c r="P3329" s="20" t="str">
        <f ca="1">IFERROR(VLOOKUP(O3329,EMAILS!B:C,2,FALSE),"NOT FOUND IN EMAILS")</f>
        <v>supplier@gmail.com</v>
      </c>
      <c r="Q3329" t="str">
        <f ca="1">""&amp;IFERROR(VLOOKUP(O3329,EMAILS!B:D,3,FALSE),"NOT FOUND IN EMAILS")</f>
        <v/>
      </c>
      <c r="R3329" t="str">
        <f ca="1">""&amp;IFERROR(VLOOKUP(O3329,EMAILS!B:E,4,FALSE),"NO T FOUND IN EMAILS")</f>
        <v/>
      </c>
    </row>
    <row r="3330" spans="2:18" x14ac:dyDescent="0.25">
      <c r="B3330" s="5" t="s">
        <v>3332</v>
      </c>
      <c r="C3330" s="5" t="s">
        <v>7472</v>
      </c>
      <c r="D3330" s="5">
        <v>1400</v>
      </c>
      <c r="E3330" s="5">
        <v>1800</v>
      </c>
      <c r="F3330" s="5">
        <v>4200</v>
      </c>
      <c r="G3330" s="5">
        <v>4100</v>
      </c>
      <c r="H3330" s="5">
        <v>2720</v>
      </c>
      <c r="I3330" s="5">
        <v>1600</v>
      </c>
      <c r="J3330" s="5">
        <v>600</v>
      </c>
      <c r="K3330" s="5">
        <v>4200</v>
      </c>
      <c r="L3330" s="5">
        <v>700</v>
      </c>
      <c r="M3330" s="5">
        <v>0</v>
      </c>
      <c r="N3330" s="5">
        <v>686</v>
      </c>
      <c r="O3330" s="5" t="str">
        <f t="shared" ca="1" si="51"/>
        <v>Supplier 165</v>
      </c>
      <c r="P3330" s="20" t="str">
        <f ca="1">IFERROR(VLOOKUP(O3330,EMAILS!B:C,2,FALSE),"NOT FOUND IN EMAILS")</f>
        <v>supplier@gmail.com</v>
      </c>
      <c r="Q3330" t="str">
        <f ca="1">""&amp;IFERROR(VLOOKUP(O3330,EMAILS!B:D,3,FALSE),"NOT FOUND IN EMAILS")</f>
        <v/>
      </c>
      <c r="R3330" t="str">
        <f ca="1">""&amp;IFERROR(VLOOKUP(O3330,EMAILS!B:E,4,FALSE),"NO T FOUND IN EMAILS")</f>
        <v/>
      </c>
    </row>
    <row r="3331" spans="2:18" x14ac:dyDescent="0.25">
      <c r="B3331" s="5" t="s">
        <v>3333</v>
      </c>
      <c r="C3331" s="5" t="s">
        <v>7473</v>
      </c>
      <c r="D3331" s="5">
        <v>207</v>
      </c>
      <c r="E3331" s="5">
        <v>123</v>
      </c>
      <c r="F3331" s="5">
        <v>99</v>
      </c>
      <c r="G3331" s="5">
        <v>212</v>
      </c>
      <c r="H3331" s="5">
        <v>106</v>
      </c>
      <c r="I3331" s="5">
        <v>94</v>
      </c>
      <c r="J3331" s="5">
        <v>150</v>
      </c>
      <c r="K3331" s="5">
        <v>195</v>
      </c>
      <c r="L3331" s="5">
        <v>75</v>
      </c>
      <c r="M3331" s="5">
        <v>0</v>
      </c>
      <c r="N3331" s="5">
        <v>0</v>
      </c>
      <c r="O3331" s="5" t="str">
        <f t="shared" ref="O3331:O3394" ca="1" si="52">"Supplier "&amp;RANDBETWEEN(1,200)</f>
        <v>Supplier 47</v>
      </c>
      <c r="P3331" s="20" t="str">
        <f ca="1">IFERROR(VLOOKUP(O3331,EMAILS!B:C,2,FALSE),"NOT FOUND IN EMAILS")</f>
        <v>supplier@gmail.com</v>
      </c>
      <c r="Q3331" t="str">
        <f ca="1">""&amp;IFERROR(VLOOKUP(O3331,EMAILS!B:D,3,FALSE),"NOT FOUND IN EMAILS")</f>
        <v/>
      </c>
      <c r="R3331" t="str">
        <f ca="1">""&amp;IFERROR(VLOOKUP(O3331,EMAILS!B:E,4,FALSE),"NO T FOUND IN EMAILS")</f>
        <v/>
      </c>
    </row>
    <row r="3332" spans="2:18" x14ac:dyDescent="0.25">
      <c r="B3332" s="5" t="s">
        <v>3334</v>
      </c>
      <c r="C3332" s="5" t="s">
        <v>7474</v>
      </c>
      <c r="D3332" s="5">
        <v>0</v>
      </c>
      <c r="E3332" s="5">
        <v>0</v>
      </c>
      <c r="F3332" s="5">
        <v>10</v>
      </c>
      <c r="G3332" s="5">
        <v>0</v>
      </c>
      <c r="H3332" s="5">
        <v>0</v>
      </c>
      <c r="I3332" s="5">
        <v>0</v>
      </c>
      <c r="J3332" s="5">
        <v>0</v>
      </c>
      <c r="K3332" s="5">
        <v>0</v>
      </c>
      <c r="L3332" s="5">
        <v>0</v>
      </c>
      <c r="M3332" s="5">
        <v>0</v>
      </c>
      <c r="N3332" s="5">
        <v>709</v>
      </c>
      <c r="O3332" s="5" t="str">
        <f t="shared" ca="1" si="52"/>
        <v>Supplier 14</v>
      </c>
      <c r="P3332" s="20" t="str">
        <f ca="1">IFERROR(VLOOKUP(O3332,EMAILS!B:C,2,FALSE),"NOT FOUND IN EMAILS")</f>
        <v>supplier@gmail.com</v>
      </c>
      <c r="Q3332" t="str">
        <f ca="1">""&amp;IFERROR(VLOOKUP(O3332,EMAILS!B:D,3,FALSE),"NOT FOUND IN EMAILS")</f>
        <v>supplier_logistics@gmail.com</v>
      </c>
      <c r="R3332" t="str">
        <f ca="1">""&amp;IFERROR(VLOOKUP(O3332,EMAILS!B:E,4,FALSE),"NO T FOUND IN EMAILS")</f>
        <v/>
      </c>
    </row>
    <row r="3333" spans="2:18" x14ac:dyDescent="0.25">
      <c r="B3333" s="5" t="s">
        <v>3335</v>
      </c>
      <c r="C3333" s="5" t="s">
        <v>7475</v>
      </c>
      <c r="D3333" s="5">
        <v>323</v>
      </c>
      <c r="E3333" s="5">
        <v>202</v>
      </c>
      <c r="F3333" s="5">
        <v>324</v>
      </c>
      <c r="G3333" s="5">
        <v>290</v>
      </c>
      <c r="H3333" s="5">
        <v>267</v>
      </c>
      <c r="I3333" s="5">
        <v>228</v>
      </c>
      <c r="J3333" s="5">
        <v>248</v>
      </c>
      <c r="K3333" s="5">
        <v>276</v>
      </c>
      <c r="L3333" s="5">
        <v>159</v>
      </c>
      <c r="M3333" s="5">
        <v>0</v>
      </c>
      <c r="N3333" s="5">
        <v>4643</v>
      </c>
      <c r="O3333" s="5" t="str">
        <f t="shared" ca="1" si="52"/>
        <v>Supplier 128</v>
      </c>
      <c r="P3333" s="20" t="str">
        <f ca="1">IFERROR(VLOOKUP(O3333,EMAILS!B:C,2,FALSE),"NOT FOUND IN EMAILS")</f>
        <v>supplier@gmail.com</v>
      </c>
      <c r="Q3333" t="str">
        <f ca="1">""&amp;IFERROR(VLOOKUP(O3333,EMAILS!B:D,3,FALSE),"NOT FOUND IN EMAILS")</f>
        <v/>
      </c>
      <c r="R3333" t="str">
        <f ca="1">""&amp;IFERROR(VLOOKUP(O3333,EMAILS!B:E,4,FALSE),"NO T FOUND IN EMAILS")</f>
        <v/>
      </c>
    </row>
    <row r="3334" spans="2:18" x14ac:dyDescent="0.25">
      <c r="B3334" s="5" t="s">
        <v>3336</v>
      </c>
      <c r="C3334" s="5" t="s">
        <v>7476</v>
      </c>
      <c r="D3334" s="5">
        <v>0</v>
      </c>
      <c r="E3334" s="5">
        <v>0</v>
      </c>
      <c r="F3334" s="5">
        <v>0</v>
      </c>
      <c r="G3334" s="5">
        <v>2</v>
      </c>
      <c r="H3334" s="5">
        <v>0</v>
      </c>
      <c r="I3334" s="5">
        <v>0</v>
      </c>
      <c r="J3334" s="5">
        <v>0</v>
      </c>
      <c r="K3334" s="5">
        <v>0</v>
      </c>
      <c r="L3334" s="5">
        <v>0</v>
      </c>
      <c r="M3334" s="5">
        <v>0</v>
      </c>
      <c r="N3334" s="5">
        <v>704</v>
      </c>
      <c r="O3334" s="5" t="str">
        <f t="shared" ca="1" si="52"/>
        <v>Supplier 14</v>
      </c>
      <c r="P3334" s="20" t="str">
        <f ca="1">IFERROR(VLOOKUP(O3334,EMAILS!B:C,2,FALSE),"NOT FOUND IN EMAILS")</f>
        <v>supplier@gmail.com</v>
      </c>
      <c r="Q3334" t="str">
        <f ca="1">""&amp;IFERROR(VLOOKUP(O3334,EMAILS!B:D,3,FALSE),"NOT FOUND IN EMAILS")</f>
        <v>supplier_logistics@gmail.com</v>
      </c>
      <c r="R3334" t="str">
        <f ca="1">""&amp;IFERROR(VLOOKUP(O3334,EMAILS!B:E,4,FALSE),"NO T FOUND IN EMAILS")</f>
        <v/>
      </c>
    </row>
    <row r="3335" spans="2:18" x14ac:dyDescent="0.25">
      <c r="B3335" s="5" t="s">
        <v>3337</v>
      </c>
      <c r="C3335" s="5" t="s">
        <v>7477</v>
      </c>
      <c r="D3335" s="5">
        <v>12248</v>
      </c>
      <c r="E3335" s="5">
        <v>10224</v>
      </c>
      <c r="F3335" s="5">
        <v>7884</v>
      </c>
      <c r="G3335" s="5">
        <v>9247</v>
      </c>
      <c r="H3335" s="5">
        <v>11188</v>
      </c>
      <c r="I3335" s="5">
        <v>9580</v>
      </c>
      <c r="J3335" s="5">
        <v>7076</v>
      </c>
      <c r="K3335" s="5">
        <v>9132</v>
      </c>
      <c r="L3335" s="5">
        <v>8380</v>
      </c>
      <c r="M3335" s="5">
        <v>0</v>
      </c>
      <c r="N3335" s="5">
        <v>98</v>
      </c>
      <c r="O3335" s="5" t="str">
        <f t="shared" ca="1" si="52"/>
        <v>Supplier 72</v>
      </c>
      <c r="P3335" s="20" t="str">
        <f ca="1">IFERROR(VLOOKUP(O3335,EMAILS!B:C,2,FALSE),"NOT FOUND IN EMAILS")</f>
        <v>supplier@gmail.com</v>
      </c>
      <c r="Q3335" t="str">
        <f ca="1">""&amp;IFERROR(VLOOKUP(O3335,EMAILS!B:D,3,FALSE),"NOT FOUND IN EMAILS")</f>
        <v/>
      </c>
      <c r="R3335" t="str">
        <f ca="1">""&amp;IFERROR(VLOOKUP(O3335,EMAILS!B:E,4,FALSE),"NO T FOUND IN EMAILS")</f>
        <v/>
      </c>
    </row>
    <row r="3336" spans="2:18" x14ac:dyDescent="0.25">
      <c r="B3336" s="5" t="s">
        <v>3338</v>
      </c>
      <c r="C3336" s="5" t="s">
        <v>7478</v>
      </c>
      <c r="D3336" s="5">
        <v>50</v>
      </c>
      <c r="E3336" s="5">
        <v>46</v>
      </c>
      <c r="F3336" s="5">
        <v>60</v>
      </c>
      <c r="G3336" s="5">
        <v>54</v>
      </c>
      <c r="H3336" s="5">
        <v>40</v>
      </c>
      <c r="I3336" s="5">
        <v>32</v>
      </c>
      <c r="J3336" s="5">
        <v>32</v>
      </c>
      <c r="K3336" s="5">
        <v>30</v>
      </c>
      <c r="L3336" s="5">
        <v>32</v>
      </c>
      <c r="M3336" s="5">
        <v>0</v>
      </c>
      <c r="N3336" s="5">
        <v>232</v>
      </c>
      <c r="O3336" s="5" t="str">
        <f t="shared" ca="1" si="52"/>
        <v>Supplier 69</v>
      </c>
      <c r="P3336" s="20" t="str">
        <f ca="1">IFERROR(VLOOKUP(O3336,EMAILS!B:C,2,FALSE),"NOT FOUND IN EMAILS")</f>
        <v>supplier@gmail.com</v>
      </c>
      <c r="Q3336" t="str">
        <f ca="1">""&amp;IFERROR(VLOOKUP(O3336,EMAILS!B:D,3,FALSE),"NOT FOUND IN EMAILS")</f>
        <v/>
      </c>
      <c r="R3336" t="str">
        <f ca="1">""&amp;IFERROR(VLOOKUP(O3336,EMAILS!B:E,4,FALSE),"NO T FOUND IN EMAILS")</f>
        <v/>
      </c>
    </row>
    <row r="3337" spans="2:18" x14ac:dyDescent="0.25">
      <c r="B3337" s="5" t="s">
        <v>3339</v>
      </c>
      <c r="C3337" s="5" t="s">
        <v>7479</v>
      </c>
      <c r="D3337" s="5">
        <v>0</v>
      </c>
      <c r="E3337" s="5">
        <v>0</v>
      </c>
      <c r="F3337" s="5">
        <v>0</v>
      </c>
      <c r="G3337" s="5">
        <v>0</v>
      </c>
      <c r="H3337" s="5">
        <v>0</v>
      </c>
      <c r="I3337" s="5">
        <v>0</v>
      </c>
      <c r="J3337" s="5">
        <v>0</v>
      </c>
      <c r="K3337" s="5">
        <v>20</v>
      </c>
      <c r="L3337" s="5">
        <v>0</v>
      </c>
      <c r="M3337" s="5">
        <v>0</v>
      </c>
      <c r="N3337" s="5">
        <v>0</v>
      </c>
      <c r="O3337" s="5" t="str">
        <f t="shared" ca="1" si="52"/>
        <v>Supplier 62</v>
      </c>
      <c r="P3337" s="20" t="str">
        <f ca="1">IFERROR(VLOOKUP(O3337,EMAILS!B:C,2,FALSE),"NOT FOUND IN EMAILS")</f>
        <v>supplier@gmail.com</v>
      </c>
      <c r="Q3337" t="str">
        <f ca="1">""&amp;IFERROR(VLOOKUP(O3337,EMAILS!B:D,3,FALSE),"NOT FOUND IN EMAILS")</f>
        <v/>
      </c>
      <c r="R3337" t="str">
        <f ca="1">""&amp;IFERROR(VLOOKUP(O3337,EMAILS!B:E,4,FALSE),"NO T FOUND IN EMAILS")</f>
        <v/>
      </c>
    </row>
    <row r="3338" spans="2:18" x14ac:dyDescent="0.25">
      <c r="B3338" s="5" t="s">
        <v>3340</v>
      </c>
      <c r="C3338" s="5" t="s">
        <v>7480</v>
      </c>
      <c r="D3338" s="5">
        <v>0</v>
      </c>
      <c r="E3338" s="5">
        <v>0</v>
      </c>
      <c r="F3338" s="5">
        <v>0</v>
      </c>
      <c r="G3338" s="5">
        <v>0</v>
      </c>
      <c r="H3338" s="5">
        <v>0</v>
      </c>
      <c r="I3338" s="5">
        <v>0</v>
      </c>
      <c r="J3338" s="5">
        <v>0</v>
      </c>
      <c r="K3338" s="5">
        <v>0</v>
      </c>
      <c r="L3338" s="5">
        <v>0</v>
      </c>
      <c r="M3338" s="5">
        <v>0</v>
      </c>
      <c r="N3338" s="5">
        <v>801</v>
      </c>
      <c r="O3338" s="5" t="str">
        <f t="shared" ca="1" si="52"/>
        <v>Supplier 173</v>
      </c>
      <c r="P3338" s="20" t="str">
        <f ca="1">IFERROR(VLOOKUP(O3338,EMAILS!B:C,2,FALSE),"NOT FOUND IN EMAILS")</f>
        <v>supplier@gmail.com</v>
      </c>
      <c r="Q3338" t="str">
        <f ca="1">""&amp;IFERROR(VLOOKUP(O3338,EMAILS!B:D,3,FALSE),"NOT FOUND IN EMAILS")</f>
        <v/>
      </c>
      <c r="R3338" t="str">
        <f ca="1">""&amp;IFERROR(VLOOKUP(O3338,EMAILS!B:E,4,FALSE),"NO T FOUND IN EMAILS")</f>
        <v/>
      </c>
    </row>
    <row r="3339" spans="2:18" x14ac:dyDescent="0.25">
      <c r="B3339" s="5" t="s">
        <v>3341</v>
      </c>
      <c r="C3339" s="5" t="s">
        <v>7481</v>
      </c>
      <c r="D3339" s="5">
        <v>0</v>
      </c>
      <c r="E3339" s="5">
        <v>0</v>
      </c>
      <c r="F3339" s="5">
        <v>0</v>
      </c>
      <c r="G3339" s="5">
        <v>0</v>
      </c>
      <c r="H3339" s="5">
        <v>0</v>
      </c>
      <c r="I3339" s="5">
        <v>0</v>
      </c>
      <c r="J3339" s="5">
        <v>0</v>
      </c>
      <c r="K3339" s="5">
        <v>0</v>
      </c>
      <c r="L3339" s="5">
        <v>0</v>
      </c>
      <c r="M3339" s="5">
        <v>0</v>
      </c>
      <c r="N3339" s="5">
        <v>430</v>
      </c>
      <c r="O3339" s="5" t="str">
        <f t="shared" ca="1" si="52"/>
        <v>Supplier 124</v>
      </c>
      <c r="P3339" s="20" t="str">
        <f ca="1">IFERROR(VLOOKUP(O3339,EMAILS!B:C,2,FALSE),"NOT FOUND IN EMAILS")</f>
        <v>supplier@gmail.com</v>
      </c>
      <c r="Q3339" t="str">
        <f ca="1">""&amp;IFERROR(VLOOKUP(O3339,EMAILS!B:D,3,FALSE),"NOT FOUND IN EMAILS")</f>
        <v/>
      </c>
      <c r="R3339" t="str">
        <f ca="1">""&amp;IFERROR(VLOOKUP(O3339,EMAILS!B:E,4,FALSE),"NO T FOUND IN EMAILS")</f>
        <v/>
      </c>
    </row>
    <row r="3340" spans="2:18" x14ac:dyDescent="0.25">
      <c r="B3340" s="5" t="s">
        <v>3342</v>
      </c>
      <c r="C3340" s="5" t="s">
        <v>7482</v>
      </c>
      <c r="D3340" s="5">
        <v>248</v>
      </c>
      <c r="E3340" s="5">
        <v>248</v>
      </c>
      <c r="F3340" s="5">
        <v>248</v>
      </c>
      <c r="G3340" s="5">
        <v>248</v>
      </c>
      <c r="H3340" s="5">
        <v>248</v>
      </c>
      <c r="I3340" s="5">
        <v>248</v>
      </c>
      <c r="J3340" s="5">
        <v>248</v>
      </c>
      <c r="K3340" s="5">
        <v>248</v>
      </c>
      <c r="L3340" s="5">
        <v>248</v>
      </c>
      <c r="M3340" s="5">
        <v>0</v>
      </c>
      <c r="N3340" s="5">
        <v>0</v>
      </c>
      <c r="O3340" s="5" t="str">
        <f t="shared" ca="1" si="52"/>
        <v>Supplier 63</v>
      </c>
      <c r="P3340" s="20" t="str">
        <f ca="1">IFERROR(VLOOKUP(O3340,EMAILS!B:C,2,FALSE),"NOT FOUND IN EMAILS")</f>
        <v>supplier@gmail.com</v>
      </c>
      <c r="Q3340" t="str">
        <f ca="1">""&amp;IFERROR(VLOOKUP(O3340,EMAILS!B:D,3,FALSE),"NOT FOUND IN EMAILS")</f>
        <v/>
      </c>
      <c r="R3340" t="str">
        <f ca="1">""&amp;IFERROR(VLOOKUP(O3340,EMAILS!B:E,4,FALSE),"NO T FOUND IN EMAILS")</f>
        <v/>
      </c>
    </row>
    <row r="3341" spans="2:18" x14ac:dyDescent="0.25">
      <c r="B3341" s="5" t="s">
        <v>3343</v>
      </c>
      <c r="C3341" s="5" t="s">
        <v>7483</v>
      </c>
      <c r="D3341" s="5">
        <v>207</v>
      </c>
      <c r="E3341" s="5">
        <v>304</v>
      </c>
      <c r="F3341" s="5">
        <v>292</v>
      </c>
      <c r="G3341" s="5">
        <v>296</v>
      </c>
      <c r="H3341" s="5">
        <v>621</v>
      </c>
      <c r="I3341" s="5">
        <v>96</v>
      </c>
      <c r="J3341" s="5">
        <v>190</v>
      </c>
      <c r="K3341" s="5">
        <v>431</v>
      </c>
      <c r="L3341" s="5">
        <v>176</v>
      </c>
      <c r="M3341" s="5">
        <v>0</v>
      </c>
      <c r="N3341" s="5">
        <v>54</v>
      </c>
      <c r="O3341" s="5" t="str">
        <f t="shared" ca="1" si="52"/>
        <v>Supplier 147</v>
      </c>
      <c r="P3341" s="20" t="str">
        <f ca="1">IFERROR(VLOOKUP(O3341,EMAILS!B:C,2,FALSE),"NOT FOUND IN EMAILS")</f>
        <v>supplier@gmail.com</v>
      </c>
      <c r="Q3341" t="str">
        <f ca="1">""&amp;IFERROR(VLOOKUP(O3341,EMAILS!B:D,3,FALSE),"NOT FOUND IN EMAILS")</f>
        <v/>
      </c>
      <c r="R3341" t="str">
        <f ca="1">""&amp;IFERROR(VLOOKUP(O3341,EMAILS!B:E,4,FALSE),"NO T FOUND IN EMAILS")</f>
        <v/>
      </c>
    </row>
    <row r="3342" spans="2:18" x14ac:dyDescent="0.25">
      <c r="B3342" s="5" t="s">
        <v>3344</v>
      </c>
      <c r="C3342" s="5" t="s">
        <v>7484</v>
      </c>
      <c r="D3342" s="5">
        <v>0</v>
      </c>
      <c r="E3342" s="5">
        <v>0</v>
      </c>
      <c r="F3342" s="5">
        <v>8</v>
      </c>
      <c r="G3342" s="5">
        <v>8</v>
      </c>
      <c r="H3342" s="5">
        <v>0</v>
      </c>
      <c r="I3342" s="5">
        <v>0</v>
      </c>
      <c r="J3342" s="5">
        <v>0</v>
      </c>
      <c r="K3342" s="5">
        <v>12</v>
      </c>
      <c r="L3342" s="5">
        <v>0</v>
      </c>
      <c r="M3342" s="5">
        <v>0</v>
      </c>
      <c r="N3342" s="5">
        <v>58</v>
      </c>
      <c r="O3342" s="5" t="str">
        <f t="shared" ca="1" si="52"/>
        <v>Supplier 38</v>
      </c>
      <c r="P3342" s="20" t="str">
        <f ca="1">IFERROR(VLOOKUP(O3342,EMAILS!B:C,2,FALSE),"NOT FOUND IN EMAILS")</f>
        <v>supplier@gmail.com</v>
      </c>
      <c r="Q3342" t="str">
        <f ca="1">""&amp;IFERROR(VLOOKUP(O3342,EMAILS!B:D,3,FALSE),"NOT FOUND IN EMAILS")</f>
        <v/>
      </c>
      <c r="R3342" t="str">
        <f ca="1">""&amp;IFERROR(VLOOKUP(O3342,EMAILS!B:E,4,FALSE),"NO T FOUND IN EMAILS")</f>
        <v/>
      </c>
    </row>
    <row r="3343" spans="2:18" x14ac:dyDescent="0.25">
      <c r="B3343" s="5" t="s">
        <v>3345</v>
      </c>
      <c r="C3343" s="5" t="s">
        <v>7485</v>
      </c>
      <c r="D3343" s="5">
        <v>4</v>
      </c>
      <c r="E3343" s="5">
        <v>2</v>
      </c>
      <c r="F3343" s="5">
        <v>28</v>
      </c>
      <c r="G3343" s="5">
        <v>20</v>
      </c>
      <c r="H3343" s="5">
        <v>8</v>
      </c>
      <c r="I3343" s="5">
        <v>2</v>
      </c>
      <c r="J3343" s="5">
        <v>6</v>
      </c>
      <c r="K3343" s="5">
        <v>12</v>
      </c>
      <c r="L3343" s="5">
        <v>2</v>
      </c>
      <c r="M3343" s="5">
        <v>0</v>
      </c>
      <c r="N3343" s="5">
        <v>0</v>
      </c>
      <c r="O3343" s="5" t="str">
        <f t="shared" ca="1" si="52"/>
        <v>Supplier 184</v>
      </c>
      <c r="P3343" s="20" t="str">
        <f ca="1">IFERROR(VLOOKUP(O3343,EMAILS!B:C,2,FALSE),"NOT FOUND IN EMAILS")</f>
        <v>supplier@gmail.com</v>
      </c>
      <c r="Q3343" t="str">
        <f ca="1">""&amp;IFERROR(VLOOKUP(O3343,EMAILS!B:D,3,FALSE),"NOT FOUND IN EMAILS")</f>
        <v/>
      </c>
      <c r="R3343" t="str">
        <f ca="1">""&amp;IFERROR(VLOOKUP(O3343,EMAILS!B:E,4,FALSE),"NO T FOUND IN EMAILS")</f>
        <v/>
      </c>
    </row>
    <row r="3344" spans="2:18" x14ac:dyDescent="0.25">
      <c r="B3344" s="5" t="s">
        <v>3346</v>
      </c>
      <c r="C3344" s="5" t="s">
        <v>7486</v>
      </c>
      <c r="D3344" s="5">
        <v>120</v>
      </c>
      <c r="E3344" s="5">
        <v>30</v>
      </c>
      <c r="F3344" s="5">
        <v>90</v>
      </c>
      <c r="G3344" s="5">
        <v>60</v>
      </c>
      <c r="H3344" s="5">
        <v>100</v>
      </c>
      <c r="I3344" s="5">
        <v>60</v>
      </c>
      <c r="J3344" s="5">
        <v>40</v>
      </c>
      <c r="K3344" s="5">
        <v>60</v>
      </c>
      <c r="L3344" s="5">
        <v>240</v>
      </c>
      <c r="M3344" s="5">
        <v>0</v>
      </c>
      <c r="N3344" s="5">
        <v>85</v>
      </c>
      <c r="O3344" s="5" t="str">
        <f t="shared" ca="1" si="52"/>
        <v>Supplier 109</v>
      </c>
      <c r="P3344" s="20" t="str">
        <f ca="1">IFERROR(VLOOKUP(O3344,EMAILS!B:C,2,FALSE),"NOT FOUND IN EMAILS")</f>
        <v>supplier@gmail.com</v>
      </c>
      <c r="Q3344" t="str">
        <f ca="1">""&amp;IFERROR(VLOOKUP(O3344,EMAILS!B:D,3,FALSE),"NOT FOUND IN EMAILS")</f>
        <v/>
      </c>
      <c r="R3344" t="str">
        <f ca="1">""&amp;IFERROR(VLOOKUP(O3344,EMAILS!B:E,4,FALSE),"NO T FOUND IN EMAILS")</f>
        <v/>
      </c>
    </row>
    <row r="3345" spans="2:18" x14ac:dyDescent="0.25">
      <c r="B3345" s="5" t="s">
        <v>3347</v>
      </c>
      <c r="C3345" s="5" t="s">
        <v>7487</v>
      </c>
      <c r="D3345" s="5">
        <v>0</v>
      </c>
      <c r="E3345" s="5">
        <v>0</v>
      </c>
      <c r="F3345" s="5">
        <v>0</v>
      </c>
      <c r="G3345" s="5">
        <v>0</v>
      </c>
      <c r="H3345" s="5">
        <v>0</v>
      </c>
      <c r="I3345" s="5">
        <v>0</v>
      </c>
      <c r="J3345" s="5">
        <v>0</v>
      </c>
      <c r="K3345" s="5">
        <v>0</v>
      </c>
      <c r="L3345" s="5">
        <v>0</v>
      </c>
      <c r="M3345" s="5">
        <v>0</v>
      </c>
      <c r="N3345" s="5">
        <v>2946</v>
      </c>
      <c r="O3345" s="5" t="str">
        <f t="shared" ca="1" si="52"/>
        <v>Supplier 11</v>
      </c>
      <c r="P3345" s="20" t="str">
        <f ca="1">IFERROR(VLOOKUP(O3345,EMAILS!B:C,2,FALSE),"NOT FOUND IN EMAILS")</f>
        <v>supplier@gmail.com</v>
      </c>
      <c r="Q3345" t="str">
        <f ca="1">""&amp;IFERROR(VLOOKUP(O3345,EMAILS!B:D,3,FALSE),"NOT FOUND IN EMAILS")</f>
        <v>supplier_logistics@gmail.com</v>
      </c>
      <c r="R3345" t="str">
        <f ca="1">""&amp;IFERROR(VLOOKUP(O3345,EMAILS!B:E,4,FALSE),"NO T FOUND IN EMAILS")</f>
        <v/>
      </c>
    </row>
    <row r="3346" spans="2:18" x14ac:dyDescent="0.25">
      <c r="B3346" s="5" t="s">
        <v>3348</v>
      </c>
      <c r="C3346" s="5" t="s">
        <v>7488</v>
      </c>
      <c r="D3346" s="5">
        <v>0</v>
      </c>
      <c r="E3346" s="5">
        <v>0</v>
      </c>
      <c r="F3346" s="5">
        <v>0</v>
      </c>
      <c r="G3346" s="5">
        <v>0</v>
      </c>
      <c r="H3346" s="5">
        <v>0</v>
      </c>
      <c r="I3346" s="5">
        <v>0</v>
      </c>
      <c r="J3346" s="5">
        <v>0</v>
      </c>
      <c r="K3346" s="5">
        <v>0</v>
      </c>
      <c r="L3346" s="5">
        <v>0</v>
      </c>
      <c r="M3346" s="5">
        <v>0</v>
      </c>
      <c r="N3346" s="5">
        <v>1002</v>
      </c>
      <c r="O3346" s="5" t="str">
        <f t="shared" ca="1" si="52"/>
        <v>Supplier 38</v>
      </c>
      <c r="P3346" s="20" t="str">
        <f ca="1">IFERROR(VLOOKUP(O3346,EMAILS!B:C,2,FALSE),"NOT FOUND IN EMAILS")</f>
        <v>supplier@gmail.com</v>
      </c>
      <c r="Q3346" t="str">
        <f ca="1">""&amp;IFERROR(VLOOKUP(O3346,EMAILS!B:D,3,FALSE),"NOT FOUND IN EMAILS")</f>
        <v/>
      </c>
      <c r="R3346" t="str">
        <f ca="1">""&amp;IFERROR(VLOOKUP(O3346,EMAILS!B:E,4,FALSE),"NO T FOUND IN EMAILS")</f>
        <v/>
      </c>
    </row>
    <row r="3347" spans="2:18" x14ac:dyDescent="0.25">
      <c r="B3347" s="5" t="s">
        <v>3349</v>
      </c>
      <c r="C3347" s="5" t="s">
        <v>7489</v>
      </c>
      <c r="D3347" s="5">
        <v>40</v>
      </c>
      <c r="E3347" s="5">
        <v>30</v>
      </c>
      <c r="F3347" s="5">
        <v>16</v>
      </c>
      <c r="G3347" s="5">
        <v>58</v>
      </c>
      <c r="H3347" s="5">
        <v>26</v>
      </c>
      <c r="I3347" s="5">
        <v>23</v>
      </c>
      <c r="J3347" s="5">
        <v>20</v>
      </c>
      <c r="K3347" s="5">
        <v>14</v>
      </c>
      <c r="L3347" s="5">
        <v>18</v>
      </c>
      <c r="M3347" s="5">
        <v>0</v>
      </c>
      <c r="N3347" s="5">
        <v>1142</v>
      </c>
      <c r="O3347" s="5" t="str">
        <f t="shared" ca="1" si="52"/>
        <v>Supplier 160</v>
      </c>
      <c r="P3347" s="20" t="str">
        <f ca="1">IFERROR(VLOOKUP(O3347,EMAILS!B:C,2,FALSE),"NOT FOUND IN EMAILS")</f>
        <v>supplier@gmail.com</v>
      </c>
      <c r="Q3347" t="str">
        <f ca="1">""&amp;IFERROR(VLOOKUP(O3347,EMAILS!B:D,3,FALSE),"NOT FOUND IN EMAILS")</f>
        <v/>
      </c>
      <c r="R3347" t="str">
        <f ca="1">""&amp;IFERROR(VLOOKUP(O3347,EMAILS!B:E,4,FALSE),"NO T FOUND IN EMAILS")</f>
        <v/>
      </c>
    </row>
    <row r="3348" spans="2:18" x14ac:dyDescent="0.25">
      <c r="B3348" s="5" t="s">
        <v>3350</v>
      </c>
      <c r="C3348" s="5" t="s">
        <v>7490</v>
      </c>
      <c r="D3348" s="5">
        <v>160</v>
      </c>
      <c r="E3348" s="5">
        <v>100</v>
      </c>
      <c r="F3348" s="5">
        <v>200</v>
      </c>
      <c r="G3348" s="5">
        <v>120</v>
      </c>
      <c r="H3348" s="5">
        <v>170</v>
      </c>
      <c r="I3348" s="5">
        <v>121</v>
      </c>
      <c r="J3348" s="5">
        <v>60</v>
      </c>
      <c r="K3348" s="5">
        <v>100</v>
      </c>
      <c r="L3348" s="5">
        <v>140</v>
      </c>
      <c r="M3348" s="5">
        <v>0</v>
      </c>
      <c r="N3348" s="5">
        <v>0</v>
      </c>
      <c r="O3348" s="5" t="str">
        <f t="shared" ca="1" si="52"/>
        <v>Supplier 90</v>
      </c>
      <c r="P3348" s="20" t="str">
        <f ca="1">IFERROR(VLOOKUP(O3348,EMAILS!B:C,2,FALSE),"NOT FOUND IN EMAILS")</f>
        <v>supplier@gmail.com</v>
      </c>
      <c r="Q3348" t="str">
        <f ca="1">""&amp;IFERROR(VLOOKUP(O3348,EMAILS!B:D,3,FALSE),"NOT FOUND IN EMAILS")</f>
        <v/>
      </c>
      <c r="R3348" t="str">
        <f ca="1">""&amp;IFERROR(VLOOKUP(O3348,EMAILS!B:E,4,FALSE),"NO T FOUND IN EMAILS")</f>
        <v/>
      </c>
    </row>
    <row r="3349" spans="2:18" x14ac:dyDescent="0.25">
      <c r="B3349" s="5" t="s">
        <v>3351</v>
      </c>
      <c r="C3349" s="5" t="s">
        <v>7491</v>
      </c>
      <c r="D3349" s="5">
        <v>0</v>
      </c>
      <c r="E3349" s="5">
        <v>0</v>
      </c>
      <c r="F3349" s="5">
        <v>0</v>
      </c>
      <c r="G3349" s="5">
        <v>0</v>
      </c>
      <c r="H3349" s="5">
        <v>0</v>
      </c>
      <c r="I3349" s="5">
        <v>0</v>
      </c>
      <c r="J3349" s="5">
        <v>70</v>
      </c>
      <c r="K3349" s="5">
        <v>0</v>
      </c>
      <c r="L3349" s="5">
        <v>0</v>
      </c>
      <c r="M3349" s="5">
        <v>0</v>
      </c>
      <c r="N3349" s="5">
        <v>0</v>
      </c>
      <c r="O3349" s="5" t="str">
        <f t="shared" ca="1" si="52"/>
        <v>Supplier 132</v>
      </c>
      <c r="P3349" s="20" t="str">
        <f ca="1">IFERROR(VLOOKUP(O3349,EMAILS!B:C,2,FALSE),"NOT FOUND IN EMAILS")</f>
        <v>supplier@gmail.com</v>
      </c>
      <c r="Q3349" t="str">
        <f ca="1">""&amp;IFERROR(VLOOKUP(O3349,EMAILS!B:D,3,FALSE),"NOT FOUND IN EMAILS")</f>
        <v/>
      </c>
      <c r="R3349" t="str">
        <f ca="1">""&amp;IFERROR(VLOOKUP(O3349,EMAILS!B:E,4,FALSE),"NO T FOUND IN EMAILS")</f>
        <v/>
      </c>
    </row>
    <row r="3350" spans="2:18" x14ac:dyDescent="0.25">
      <c r="B3350" s="5" t="s">
        <v>3352</v>
      </c>
      <c r="C3350" s="5" t="s">
        <v>7492</v>
      </c>
      <c r="D3350" s="5">
        <v>0</v>
      </c>
      <c r="E3350" s="5">
        <v>0</v>
      </c>
      <c r="F3350" s="5">
        <v>0</v>
      </c>
      <c r="G3350" s="5">
        <v>0</v>
      </c>
      <c r="H3350" s="5">
        <v>0</v>
      </c>
      <c r="I3350" s="5">
        <v>0</v>
      </c>
      <c r="J3350" s="5">
        <v>0</v>
      </c>
      <c r="K3350" s="5">
        <v>0</v>
      </c>
      <c r="L3350" s="5">
        <v>0</v>
      </c>
      <c r="M3350" s="5">
        <v>0</v>
      </c>
      <c r="N3350" s="5">
        <v>532</v>
      </c>
      <c r="O3350" s="5" t="str">
        <f t="shared" ca="1" si="52"/>
        <v>Supplier 79</v>
      </c>
      <c r="P3350" s="20" t="str">
        <f ca="1">IFERROR(VLOOKUP(O3350,EMAILS!B:C,2,FALSE),"NOT FOUND IN EMAILS")</f>
        <v>supplier@gmail.com</v>
      </c>
      <c r="Q3350" t="str">
        <f ca="1">""&amp;IFERROR(VLOOKUP(O3350,EMAILS!B:D,3,FALSE),"NOT FOUND IN EMAILS")</f>
        <v/>
      </c>
      <c r="R3350" t="str">
        <f ca="1">""&amp;IFERROR(VLOOKUP(O3350,EMAILS!B:E,4,FALSE),"NO T FOUND IN EMAILS")</f>
        <v/>
      </c>
    </row>
    <row r="3351" spans="2:18" x14ac:dyDescent="0.25">
      <c r="B3351" s="5" t="s">
        <v>3353</v>
      </c>
      <c r="C3351" s="5" t="s">
        <v>7493</v>
      </c>
      <c r="D3351" s="5">
        <v>0</v>
      </c>
      <c r="E3351" s="5">
        <v>0</v>
      </c>
      <c r="F3351" s="5">
        <v>0</v>
      </c>
      <c r="G3351" s="5">
        <v>0</v>
      </c>
      <c r="H3351" s="5">
        <v>0</v>
      </c>
      <c r="I3351" s="5">
        <v>0</v>
      </c>
      <c r="J3351" s="5">
        <v>0</v>
      </c>
      <c r="K3351" s="5">
        <v>0</v>
      </c>
      <c r="L3351" s="5">
        <v>0</v>
      </c>
      <c r="M3351" s="5">
        <v>0</v>
      </c>
      <c r="N3351" s="5">
        <v>0</v>
      </c>
      <c r="O3351" s="5" t="str">
        <f t="shared" ca="1" si="52"/>
        <v>Supplier 53</v>
      </c>
      <c r="P3351" s="20" t="str">
        <f ca="1">IFERROR(VLOOKUP(O3351,EMAILS!B:C,2,FALSE),"NOT FOUND IN EMAILS")</f>
        <v>supplier@gmail.com</v>
      </c>
      <c r="Q3351" t="str">
        <f ca="1">""&amp;IFERROR(VLOOKUP(O3351,EMAILS!B:D,3,FALSE),"NOT FOUND IN EMAILS")</f>
        <v/>
      </c>
      <c r="R3351" t="str">
        <f ca="1">""&amp;IFERROR(VLOOKUP(O3351,EMAILS!B:E,4,FALSE),"NO T FOUND IN EMAILS")</f>
        <v/>
      </c>
    </row>
    <row r="3352" spans="2:18" x14ac:dyDescent="0.25">
      <c r="B3352" s="5" t="s">
        <v>3354</v>
      </c>
      <c r="C3352" s="5" t="s">
        <v>7494</v>
      </c>
      <c r="D3352" s="5">
        <v>0</v>
      </c>
      <c r="E3352" s="5">
        <v>0</v>
      </c>
      <c r="F3352" s="5">
        <v>20</v>
      </c>
      <c r="G3352" s="5">
        <v>50</v>
      </c>
      <c r="H3352" s="5">
        <v>0</v>
      </c>
      <c r="I3352" s="5">
        <v>0</v>
      </c>
      <c r="J3352" s="5">
        <v>0</v>
      </c>
      <c r="K3352" s="5">
        <v>50</v>
      </c>
      <c r="L3352" s="5">
        <v>0</v>
      </c>
      <c r="M3352" s="5">
        <v>0</v>
      </c>
      <c r="N3352" s="5">
        <v>3095</v>
      </c>
      <c r="O3352" s="5" t="str">
        <f t="shared" ca="1" si="52"/>
        <v>Supplier 70</v>
      </c>
      <c r="P3352" s="20" t="str">
        <f ca="1">IFERROR(VLOOKUP(O3352,EMAILS!B:C,2,FALSE),"NOT FOUND IN EMAILS")</f>
        <v>supplier@gmail.com</v>
      </c>
      <c r="Q3352" t="str">
        <f ca="1">""&amp;IFERROR(VLOOKUP(O3352,EMAILS!B:D,3,FALSE),"NOT FOUND IN EMAILS")</f>
        <v/>
      </c>
      <c r="R3352" t="str">
        <f ca="1">""&amp;IFERROR(VLOOKUP(O3352,EMAILS!B:E,4,FALSE),"NO T FOUND IN EMAILS")</f>
        <v/>
      </c>
    </row>
    <row r="3353" spans="2:18" x14ac:dyDescent="0.25">
      <c r="B3353" s="5" t="s">
        <v>3355</v>
      </c>
      <c r="C3353" s="5" t="s">
        <v>7495</v>
      </c>
      <c r="D3353" s="5">
        <v>2476</v>
      </c>
      <c r="E3353" s="5">
        <v>1995</v>
      </c>
      <c r="F3353" s="5">
        <v>2656</v>
      </c>
      <c r="G3353" s="5">
        <v>2854</v>
      </c>
      <c r="H3353" s="5">
        <v>2100</v>
      </c>
      <c r="I3353" s="5">
        <v>1943</v>
      </c>
      <c r="J3353" s="5">
        <v>2062</v>
      </c>
      <c r="K3353" s="5">
        <v>1787</v>
      </c>
      <c r="L3353" s="5">
        <v>1733</v>
      </c>
      <c r="M3353" s="5">
        <v>0</v>
      </c>
      <c r="N3353" s="5">
        <v>0</v>
      </c>
      <c r="O3353" s="5" t="str">
        <f t="shared" ca="1" si="52"/>
        <v>Supplier 43</v>
      </c>
      <c r="P3353" s="20" t="str">
        <f ca="1">IFERROR(VLOOKUP(O3353,EMAILS!B:C,2,FALSE),"NOT FOUND IN EMAILS")</f>
        <v>supplier@gmail.com</v>
      </c>
      <c r="Q3353" t="str">
        <f ca="1">""&amp;IFERROR(VLOOKUP(O3353,EMAILS!B:D,3,FALSE),"NOT FOUND IN EMAILS")</f>
        <v/>
      </c>
      <c r="R3353" t="str">
        <f ca="1">""&amp;IFERROR(VLOOKUP(O3353,EMAILS!B:E,4,FALSE),"NO T FOUND IN EMAILS")</f>
        <v/>
      </c>
    </row>
    <row r="3354" spans="2:18" x14ac:dyDescent="0.25">
      <c r="B3354" s="5" t="s">
        <v>3356</v>
      </c>
      <c r="C3354" s="5" t="s">
        <v>7496</v>
      </c>
      <c r="D3354" s="5">
        <v>0</v>
      </c>
      <c r="E3354" s="5">
        <v>0</v>
      </c>
      <c r="F3354" s="5">
        <v>25</v>
      </c>
      <c r="G3354" s="5">
        <v>0</v>
      </c>
      <c r="H3354" s="5">
        <v>25</v>
      </c>
      <c r="I3354" s="5">
        <v>25</v>
      </c>
      <c r="J3354" s="5">
        <v>0</v>
      </c>
      <c r="K3354" s="5">
        <v>0</v>
      </c>
      <c r="L3354" s="5">
        <v>0</v>
      </c>
      <c r="M3354" s="5">
        <v>0</v>
      </c>
      <c r="N3354" s="5">
        <v>6024</v>
      </c>
      <c r="O3354" s="5" t="str">
        <f t="shared" ca="1" si="52"/>
        <v>Supplier 17</v>
      </c>
      <c r="P3354" s="20" t="str">
        <f ca="1">IFERROR(VLOOKUP(O3354,EMAILS!B:C,2,FALSE),"NOT FOUND IN EMAILS")</f>
        <v>supplier@gmail.com</v>
      </c>
      <c r="Q3354" t="str">
        <f ca="1">""&amp;IFERROR(VLOOKUP(O3354,EMAILS!B:D,3,FALSE),"NOT FOUND IN EMAILS")</f>
        <v>supplier_logistics@gmail.com</v>
      </c>
      <c r="R3354" t="str">
        <f ca="1">""&amp;IFERROR(VLOOKUP(O3354,EMAILS!B:E,4,FALSE),"NO T FOUND IN EMAILS")</f>
        <v/>
      </c>
    </row>
    <row r="3355" spans="2:18" x14ac:dyDescent="0.25">
      <c r="B3355" s="5" t="s">
        <v>3357</v>
      </c>
      <c r="C3355" s="5" t="s">
        <v>7497</v>
      </c>
      <c r="D3355" s="5">
        <v>997</v>
      </c>
      <c r="E3355" s="5">
        <v>957</v>
      </c>
      <c r="F3355" s="5">
        <v>1466</v>
      </c>
      <c r="G3355" s="5">
        <v>1304</v>
      </c>
      <c r="H3355" s="5">
        <v>1135</v>
      </c>
      <c r="I3355" s="5">
        <v>1630</v>
      </c>
      <c r="J3355" s="5">
        <v>1034</v>
      </c>
      <c r="K3355" s="5">
        <v>826</v>
      </c>
      <c r="L3355" s="5">
        <v>1455</v>
      </c>
      <c r="M3355" s="5">
        <v>0</v>
      </c>
      <c r="N3355" s="5">
        <v>4407</v>
      </c>
      <c r="O3355" s="5" t="str">
        <f t="shared" ca="1" si="52"/>
        <v>Supplier 109</v>
      </c>
      <c r="P3355" s="20" t="str">
        <f ca="1">IFERROR(VLOOKUP(O3355,EMAILS!B:C,2,FALSE),"NOT FOUND IN EMAILS")</f>
        <v>supplier@gmail.com</v>
      </c>
      <c r="Q3355" t="str">
        <f ca="1">""&amp;IFERROR(VLOOKUP(O3355,EMAILS!B:D,3,FALSE),"NOT FOUND IN EMAILS")</f>
        <v/>
      </c>
      <c r="R3355" t="str">
        <f ca="1">""&amp;IFERROR(VLOOKUP(O3355,EMAILS!B:E,4,FALSE),"NO T FOUND IN EMAILS")</f>
        <v/>
      </c>
    </row>
    <row r="3356" spans="2:18" x14ac:dyDescent="0.25">
      <c r="B3356" s="5" t="s">
        <v>3358</v>
      </c>
      <c r="C3356" s="5" t="s">
        <v>7498</v>
      </c>
      <c r="D3356" s="5">
        <v>40</v>
      </c>
      <c r="E3356" s="5">
        <v>48</v>
      </c>
      <c r="F3356" s="5">
        <v>30</v>
      </c>
      <c r="G3356" s="5">
        <v>50</v>
      </c>
      <c r="H3356" s="5">
        <v>36</v>
      </c>
      <c r="I3356" s="5">
        <v>36</v>
      </c>
      <c r="J3356" s="5">
        <v>68</v>
      </c>
      <c r="K3356" s="5">
        <v>38</v>
      </c>
      <c r="L3356" s="5">
        <v>8</v>
      </c>
      <c r="M3356" s="5">
        <v>0</v>
      </c>
      <c r="N3356" s="5">
        <v>999</v>
      </c>
      <c r="O3356" s="5" t="str">
        <f t="shared" ca="1" si="52"/>
        <v>Supplier 97</v>
      </c>
      <c r="P3356" s="20" t="str">
        <f ca="1">IFERROR(VLOOKUP(O3356,EMAILS!B:C,2,FALSE),"NOT FOUND IN EMAILS")</f>
        <v>supplier@gmail.com</v>
      </c>
      <c r="Q3356" t="str">
        <f ca="1">""&amp;IFERROR(VLOOKUP(O3356,EMAILS!B:D,3,FALSE),"NOT FOUND IN EMAILS")</f>
        <v/>
      </c>
      <c r="R3356" t="str">
        <f ca="1">""&amp;IFERROR(VLOOKUP(O3356,EMAILS!B:E,4,FALSE),"NO T FOUND IN EMAILS")</f>
        <v/>
      </c>
    </row>
    <row r="3357" spans="2:18" x14ac:dyDescent="0.25">
      <c r="B3357" s="5" t="s">
        <v>3359</v>
      </c>
      <c r="C3357" s="5" t="s">
        <v>7499</v>
      </c>
      <c r="D3357" s="5">
        <v>0</v>
      </c>
      <c r="E3357" s="5">
        <v>0</v>
      </c>
      <c r="F3357" s="5">
        <v>0</v>
      </c>
      <c r="G3357" s="5">
        <v>0</v>
      </c>
      <c r="H3357" s="5">
        <v>0</v>
      </c>
      <c r="I3357" s="5">
        <v>0</v>
      </c>
      <c r="J3357" s="5">
        <v>0</v>
      </c>
      <c r="K3357" s="5">
        <v>0</v>
      </c>
      <c r="L3357" s="5">
        <v>0</v>
      </c>
      <c r="M3357" s="5">
        <v>0</v>
      </c>
      <c r="N3357" s="5">
        <v>1690</v>
      </c>
      <c r="O3357" s="5" t="str">
        <f t="shared" ca="1" si="52"/>
        <v>Supplier 136</v>
      </c>
      <c r="P3357" s="20" t="str">
        <f ca="1">IFERROR(VLOOKUP(O3357,EMAILS!B:C,2,FALSE),"NOT FOUND IN EMAILS")</f>
        <v>supplier@gmail.com</v>
      </c>
      <c r="Q3357" t="str">
        <f ca="1">""&amp;IFERROR(VLOOKUP(O3357,EMAILS!B:D,3,FALSE),"NOT FOUND IN EMAILS")</f>
        <v/>
      </c>
      <c r="R3357" t="str">
        <f ca="1">""&amp;IFERROR(VLOOKUP(O3357,EMAILS!B:E,4,FALSE),"NO T FOUND IN EMAILS")</f>
        <v/>
      </c>
    </row>
    <row r="3358" spans="2:18" x14ac:dyDescent="0.25">
      <c r="B3358" s="5" t="s">
        <v>3360</v>
      </c>
      <c r="C3358" s="5" t="s">
        <v>7500</v>
      </c>
      <c r="D3358" s="5">
        <v>0</v>
      </c>
      <c r="E3358" s="5">
        <v>0</v>
      </c>
      <c r="F3358" s="5">
        <v>0</v>
      </c>
      <c r="G3358" s="5">
        <v>0</v>
      </c>
      <c r="H3358" s="5">
        <v>0</v>
      </c>
      <c r="I3358" s="5">
        <v>0</v>
      </c>
      <c r="J3358" s="5">
        <v>0</v>
      </c>
      <c r="K3358" s="5">
        <v>0</v>
      </c>
      <c r="L3358" s="5">
        <v>0</v>
      </c>
      <c r="M3358" s="5">
        <v>0</v>
      </c>
      <c r="N3358" s="5">
        <v>195</v>
      </c>
      <c r="O3358" s="5" t="str">
        <f t="shared" ca="1" si="52"/>
        <v>Supplier 180</v>
      </c>
      <c r="P3358" s="20" t="str">
        <f ca="1">IFERROR(VLOOKUP(O3358,EMAILS!B:C,2,FALSE),"NOT FOUND IN EMAILS")</f>
        <v>supplier@gmail.com</v>
      </c>
      <c r="Q3358" t="str">
        <f ca="1">""&amp;IFERROR(VLOOKUP(O3358,EMAILS!B:D,3,FALSE),"NOT FOUND IN EMAILS")</f>
        <v/>
      </c>
      <c r="R3358" t="str">
        <f ca="1">""&amp;IFERROR(VLOOKUP(O3358,EMAILS!B:E,4,FALSE),"NO T FOUND IN EMAILS")</f>
        <v/>
      </c>
    </row>
    <row r="3359" spans="2:18" x14ac:dyDescent="0.25">
      <c r="B3359" s="5" t="s">
        <v>3361</v>
      </c>
      <c r="C3359" s="5" t="s">
        <v>7501</v>
      </c>
      <c r="D3359" s="5">
        <v>1020</v>
      </c>
      <c r="E3359" s="5">
        <v>824</v>
      </c>
      <c r="F3359" s="5">
        <v>976</v>
      </c>
      <c r="G3359" s="5">
        <v>884</v>
      </c>
      <c r="H3359" s="5">
        <v>784</v>
      </c>
      <c r="I3359" s="5">
        <v>884</v>
      </c>
      <c r="J3359" s="5">
        <v>516</v>
      </c>
      <c r="K3359" s="5">
        <v>444</v>
      </c>
      <c r="L3359" s="5">
        <v>544</v>
      </c>
      <c r="M3359" s="5">
        <v>0</v>
      </c>
      <c r="N3359" s="5">
        <v>668</v>
      </c>
      <c r="O3359" s="5" t="str">
        <f t="shared" ca="1" si="52"/>
        <v>Supplier 129</v>
      </c>
      <c r="P3359" s="20" t="str">
        <f ca="1">IFERROR(VLOOKUP(O3359,EMAILS!B:C,2,FALSE),"NOT FOUND IN EMAILS")</f>
        <v>supplier@gmail.com</v>
      </c>
      <c r="Q3359" t="str">
        <f ca="1">""&amp;IFERROR(VLOOKUP(O3359,EMAILS!B:D,3,FALSE),"NOT FOUND IN EMAILS")</f>
        <v/>
      </c>
      <c r="R3359" t="str">
        <f ca="1">""&amp;IFERROR(VLOOKUP(O3359,EMAILS!B:E,4,FALSE),"NO T FOUND IN EMAILS")</f>
        <v/>
      </c>
    </row>
    <row r="3360" spans="2:18" x14ac:dyDescent="0.25">
      <c r="B3360" s="5" t="s">
        <v>3362</v>
      </c>
      <c r="C3360" s="5" t="s">
        <v>7502</v>
      </c>
      <c r="D3360" s="5">
        <v>8420</v>
      </c>
      <c r="E3360" s="5">
        <v>8497</v>
      </c>
      <c r="F3360" s="5">
        <v>10117</v>
      </c>
      <c r="G3360" s="5">
        <v>11774</v>
      </c>
      <c r="H3360" s="5">
        <v>9129</v>
      </c>
      <c r="I3360" s="5">
        <v>7640</v>
      </c>
      <c r="J3360" s="5">
        <v>8795</v>
      </c>
      <c r="K3360" s="5">
        <v>7831</v>
      </c>
      <c r="L3360" s="5">
        <v>5846</v>
      </c>
      <c r="M3360" s="5">
        <v>0</v>
      </c>
      <c r="N3360" s="5">
        <v>154</v>
      </c>
      <c r="O3360" s="5" t="str">
        <f t="shared" ca="1" si="52"/>
        <v>Supplier 169</v>
      </c>
      <c r="P3360" s="20" t="str">
        <f ca="1">IFERROR(VLOOKUP(O3360,EMAILS!B:C,2,FALSE),"NOT FOUND IN EMAILS")</f>
        <v>supplier@gmail.com</v>
      </c>
      <c r="Q3360" t="str">
        <f ca="1">""&amp;IFERROR(VLOOKUP(O3360,EMAILS!B:D,3,FALSE),"NOT FOUND IN EMAILS")</f>
        <v/>
      </c>
      <c r="R3360" t="str">
        <f ca="1">""&amp;IFERROR(VLOOKUP(O3360,EMAILS!B:E,4,FALSE),"NO T FOUND IN EMAILS")</f>
        <v/>
      </c>
    </row>
    <row r="3361" spans="2:18" x14ac:dyDescent="0.25">
      <c r="B3361" s="5" t="s">
        <v>3363</v>
      </c>
      <c r="C3361" s="5" t="s">
        <v>7503</v>
      </c>
      <c r="D3361" s="5">
        <v>0</v>
      </c>
      <c r="E3361" s="5">
        <v>0</v>
      </c>
      <c r="F3361" s="5">
        <v>0</v>
      </c>
      <c r="G3361" s="5">
        <v>0</v>
      </c>
      <c r="H3361" s="5">
        <v>0</v>
      </c>
      <c r="I3361" s="5">
        <v>40</v>
      </c>
      <c r="J3361" s="5">
        <v>0</v>
      </c>
      <c r="K3361" s="5">
        <v>0</v>
      </c>
      <c r="L3361" s="5">
        <v>20</v>
      </c>
      <c r="M3361" s="5">
        <v>0</v>
      </c>
      <c r="N3361" s="5">
        <v>0</v>
      </c>
      <c r="O3361" s="5" t="str">
        <f t="shared" ca="1" si="52"/>
        <v>Supplier 111</v>
      </c>
      <c r="P3361" s="20" t="str">
        <f ca="1">IFERROR(VLOOKUP(O3361,EMAILS!B:C,2,FALSE),"NOT FOUND IN EMAILS")</f>
        <v>supplier@gmail.com</v>
      </c>
      <c r="Q3361" t="str">
        <f ca="1">""&amp;IFERROR(VLOOKUP(O3361,EMAILS!B:D,3,FALSE),"NOT FOUND IN EMAILS")</f>
        <v/>
      </c>
      <c r="R3361" t="str">
        <f ca="1">""&amp;IFERROR(VLOOKUP(O3361,EMAILS!B:E,4,FALSE),"NO T FOUND IN EMAILS")</f>
        <v/>
      </c>
    </row>
    <row r="3362" spans="2:18" x14ac:dyDescent="0.25">
      <c r="B3362" s="5" t="s">
        <v>3364</v>
      </c>
      <c r="C3362" s="5" t="s">
        <v>7504</v>
      </c>
      <c r="D3362" s="5">
        <v>5034</v>
      </c>
      <c r="E3362" s="5">
        <v>442</v>
      </c>
      <c r="F3362" s="5">
        <v>3443</v>
      </c>
      <c r="G3362" s="5">
        <v>3495</v>
      </c>
      <c r="H3362" s="5">
        <v>1446</v>
      </c>
      <c r="I3362" s="5">
        <v>2196</v>
      </c>
      <c r="J3362" s="5">
        <v>2728</v>
      </c>
      <c r="K3362" s="5">
        <v>1876</v>
      </c>
      <c r="L3362" s="5">
        <v>1040</v>
      </c>
      <c r="M3362" s="5">
        <v>0</v>
      </c>
      <c r="N3362" s="5">
        <v>899</v>
      </c>
      <c r="O3362" s="5" t="str">
        <f t="shared" ca="1" si="52"/>
        <v>Supplier 45</v>
      </c>
      <c r="P3362" s="20" t="str">
        <f ca="1">IFERROR(VLOOKUP(O3362,EMAILS!B:C,2,FALSE),"NOT FOUND IN EMAILS")</f>
        <v>supplier@gmail.com</v>
      </c>
      <c r="Q3362" t="str">
        <f ca="1">""&amp;IFERROR(VLOOKUP(O3362,EMAILS!B:D,3,FALSE),"NOT FOUND IN EMAILS")</f>
        <v/>
      </c>
      <c r="R3362" t="str">
        <f ca="1">""&amp;IFERROR(VLOOKUP(O3362,EMAILS!B:E,4,FALSE),"NO T FOUND IN EMAILS")</f>
        <v/>
      </c>
    </row>
    <row r="3363" spans="2:18" x14ac:dyDescent="0.25">
      <c r="B3363" s="5" t="s">
        <v>3365</v>
      </c>
      <c r="C3363" s="5" t="s">
        <v>7505</v>
      </c>
      <c r="D3363" s="5">
        <v>2657</v>
      </c>
      <c r="E3363" s="5">
        <v>2759</v>
      </c>
      <c r="F3363" s="5">
        <v>2858</v>
      </c>
      <c r="G3363" s="5">
        <v>2386</v>
      </c>
      <c r="H3363" s="5">
        <v>2015</v>
      </c>
      <c r="I3363" s="5">
        <v>1631</v>
      </c>
      <c r="J3363" s="5">
        <v>1798</v>
      </c>
      <c r="K3363" s="5">
        <v>1918</v>
      </c>
      <c r="L3363" s="5">
        <v>1641</v>
      </c>
      <c r="M3363" s="5">
        <v>0</v>
      </c>
      <c r="N3363" s="5">
        <v>0</v>
      </c>
      <c r="O3363" s="5" t="str">
        <f t="shared" ca="1" si="52"/>
        <v>Supplier 118</v>
      </c>
      <c r="P3363" s="20" t="str">
        <f ca="1">IFERROR(VLOOKUP(O3363,EMAILS!B:C,2,FALSE),"NOT FOUND IN EMAILS")</f>
        <v>supplier@gmail.com</v>
      </c>
      <c r="Q3363" t="str">
        <f ca="1">""&amp;IFERROR(VLOOKUP(O3363,EMAILS!B:D,3,FALSE),"NOT FOUND IN EMAILS")</f>
        <v/>
      </c>
      <c r="R3363" t="str">
        <f ca="1">""&amp;IFERROR(VLOOKUP(O3363,EMAILS!B:E,4,FALSE),"NO T FOUND IN EMAILS")</f>
        <v/>
      </c>
    </row>
    <row r="3364" spans="2:18" x14ac:dyDescent="0.25">
      <c r="B3364" s="5" t="s">
        <v>3366</v>
      </c>
      <c r="C3364" s="5" t="s">
        <v>7506</v>
      </c>
      <c r="D3364" s="5">
        <v>2</v>
      </c>
      <c r="E3364" s="5">
        <v>0</v>
      </c>
      <c r="F3364" s="5">
        <v>0</v>
      </c>
      <c r="G3364" s="5">
        <v>0</v>
      </c>
      <c r="H3364" s="5">
        <v>0</v>
      </c>
      <c r="I3364" s="5">
        <v>0</v>
      </c>
      <c r="J3364" s="5">
        <v>0</v>
      </c>
      <c r="K3364" s="5">
        <v>0</v>
      </c>
      <c r="L3364" s="5">
        <v>0</v>
      </c>
      <c r="M3364" s="5">
        <v>0</v>
      </c>
      <c r="N3364" s="5">
        <v>0</v>
      </c>
      <c r="O3364" s="5" t="str">
        <f t="shared" ca="1" si="52"/>
        <v>Supplier 135</v>
      </c>
      <c r="P3364" s="20" t="str">
        <f ca="1">IFERROR(VLOOKUP(O3364,EMAILS!B:C,2,FALSE),"NOT FOUND IN EMAILS")</f>
        <v>supplier@gmail.com</v>
      </c>
      <c r="Q3364" t="str">
        <f ca="1">""&amp;IFERROR(VLOOKUP(O3364,EMAILS!B:D,3,FALSE),"NOT FOUND IN EMAILS")</f>
        <v/>
      </c>
      <c r="R3364" t="str">
        <f ca="1">""&amp;IFERROR(VLOOKUP(O3364,EMAILS!B:E,4,FALSE),"NO T FOUND IN EMAILS")</f>
        <v/>
      </c>
    </row>
    <row r="3365" spans="2:18" x14ac:dyDescent="0.25">
      <c r="B3365" s="5" t="s">
        <v>3367</v>
      </c>
      <c r="C3365" s="5" t="s">
        <v>7507</v>
      </c>
      <c r="D3365" s="5">
        <v>0</v>
      </c>
      <c r="E3365" s="5">
        <v>100</v>
      </c>
      <c r="F3365" s="5">
        <v>0</v>
      </c>
      <c r="G3365" s="5">
        <v>0</v>
      </c>
      <c r="H3365" s="5">
        <v>100</v>
      </c>
      <c r="I3365" s="5">
        <v>0</v>
      </c>
      <c r="J3365" s="5">
        <v>0</v>
      </c>
      <c r="K3365" s="5">
        <v>0</v>
      </c>
      <c r="L3365" s="5">
        <v>0</v>
      </c>
      <c r="M3365" s="5">
        <v>0</v>
      </c>
      <c r="N3365" s="5">
        <v>3323</v>
      </c>
      <c r="O3365" s="5" t="str">
        <f t="shared" ca="1" si="52"/>
        <v>Supplier 192</v>
      </c>
      <c r="P3365" s="20" t="str">
        <f ca="1">IFERROR(VLOOKUP(O3365,EMAILS!B:C,2,FALSE),"NOT FOUND IN EMAILS")</f>
        <v>supplier@gmail.com</v>
      </c>
      <c r="Q3365" t="str">
        <f ca="1">""&amp;IFERROR(VLOOKUP(O3365,EMAILS!B:D,3,FALSE),"NOT FOUND IN EMAILS")</f>
        <v/>
      </c>
      <c r="R3365" t="str">
        <f ca="1">""&amp;IFERROR(VLOOKUP(O3365,EMAILS!B:E,4,FALSE),"NO T FOUND IN EMAILS")</f>
        <v/>
      </c>
    </row>
    <row r="3366" spans="2:18" x14ac:dyDescent="0.25">
      <c r="B3366" s="5" t="s">
        <v>3368</v>
      </c>
      <c r="C3366" s="5" t="s">
        <v>7508</v>
      </c>
      <c r="D3366" s="5">
        <v>1178</v>
      </c>
      <c r="E3366" s="5">
        <v>958</v>
      </c>
      <c r="F3366" s="5">
        <v>1236</v>
      </c>
      <c r="G3366" s="5">
        <v>1156</v>
      </c>
      <c r="H3366" s="5">
        <v>1183</v>
      </c>
      <c r="I3366" s="5">
        <v>1112</v>
      </c>
      <c r="J3366" s="5">
        <v>1032</v>
      </c>
      <c r="K3366" s="5">
        <v>606</v>
      </c>
      <c r="L3366" s="5">
        <v>552</v>
      </c>
      <c r="M3366" s="5">
        <v>0</v>
      </c>
      <c r="N3366" s="5">
        <v>1000</v>
      </c>
      <c r="O3366" s="5" t="str">
        <f t="shared" ca="1" si="52"/>
        <v>Supplier 92</v>
      </c>
      <c r="P3366" s="20" t="str">
        <f ca="1">IFERROR(VLOOKUP(O3366,EMAILS!B:C,2,FALSE),"NOT FOUND IN EMAILS")</f>
        <v>supplier@gmail.com</v>
      </c>
      <c r="Q3366" t="str">
        <f ca="1">""&amp;IFERROR(VLOOKUP(O3366,EMAILS!B:D,3,FALSE),"NOT FOUND IN EMAILS")</f>
        <v/>
      </c>
      <c r="R3366" t="str">
        <f ca="1">""&amp;IFERROR(VLOOKUP(O3366,EMAILS!B:E,4,FALSE),"NO T FOUND IN EMAILS")</f>
        <v/>
      </c>
    </row>
    <row r="3367" spans="2:18" x14ac:dyDescent="0.25">
      <c r="B3367" s="5" t="s">
        <v>3369</v>
      </c>
      <c r="C3367" s="5" t="s">
        <v>7509</v>
      </c>
      <c r="D3367" s="5">
        <v>1248</v>
      </c>
      <c r="E3367" s="5">
        <v>1248</v>
      </c>
      <c r="F3367" s="5">
        <v>1344</v>
      </c>
      <c r="G3367" s="5">
        <v>1056</v>
      </c>
      <c r="H3367" s="5">
        <v>1296</v>
      </c>
      <c r="I3367" s="5">
        <v>1152</v>
      </c>
      <c r="J3367" s="5">
        <v>1056</v>
      </c>
      <c r="K3367" s="5">
        <v>1056</v>
      </c>
      <c r="L3367" s="5">
        <v>864</v>
      </c>
      <c r="M3367" s="5">
        <v>0</v>
      </c>
      <c r="N3367" s="5">
        <v>0</v>
      </c>
      <c r="O3367" s="5" t="str">
        <f t="shared" ca="1" si="52"/>
        <v>Supplier 187</v>
      </c>
      <c r="P3367" s="20" t="str">
        <f ca="1">IFERROR(VLOOKUP(O3367,EMAILS!B:C,2,FALSE),"NOT FOUND IN EMAILS")</f>
        <v>supplier@gmail.com</v>
      </c>
      <c r="Q3367" t="str">
        <f ca="1">""&amp;IFERROR(VLOOKUP(O3367,EMAILS!B:D,3,FALSE),"NOT FOUND IN EMAILS")</f>
        <v/>
      </c>
      <c r="R3367" t="str">
        <f ca="1">""&amp;IFERROR(VLOOKUP(O3367,EMAILS!B:E,4,FALSE),"NO T FOUND IN EMAILS")</f>
        <v/>
      </c>
    </row>
    <row r="3368" spans="2:18" x14ac:dyDescent="0.25">
      <c r="B3368" s="5" t="s">
        <v>3370</v>
      </c>
      <c r="C3368" s="5" t="s">
        <v>7510</v>
      </c>
      <c r="D3368" s="5">
        <v>1797</v>
      </c>
      <c r="E3368" s="5">
        <v>766</v>
      </c>
      <c r="F3368" s="5">
        <v>864</v>
      </c>
      <c r="G3368" s="5">
        <v>704</v>
      </c>
      <c r="H3368" s="5">
        <v>56</v>
      </c>
      <c r="I3368" s="5">
        <v>384</v>
      </c>
      <c r="J3368" s="5">
        <v>536</v>
      </c>
      <c r="K3368" s="5">
        <v>0</v>
      </c>
      <c r="L3368" s="5">
        <v>440</v>
      </c>
      <c r="M3368" s="5">
        <v>0</v>
      </c>
      <c r="N3368" s="5">
        <v>0</v>
      </c>
      <c r="O3368" s="5" t="str">
        <f t="shared" ca="1" si="52"/>
        <v>Supplier 108</v>
      </c>
      <c r="P3368" s="20" t="str">
        <f ca="1">IFERROR(VLOOKUP(O3368,EMAILS!B:C,2,FALSE),"NOT FOUND IN EMAILS")</f>
        <v>supplier@gmail.com</v>
      </c>
      <c r="Q3368" t="str">
        <f ca="1">""&amp;IFERROR(VLOOKUP(O3368,EMAILS!B:D,3,FALSE),"NOT FOUND IN EMAILS")</f>
        <v/>
      </c>
      <c r="R3368" t="str">
        <f ca="1">""&amp;IFERROR(VLOOKUP(O3368,EMAILS!B:E,4,FALSE),"NO T FOUND IN EMAILS")</f>
        <v/>
      </c>
    </row>
    <row r="3369" spans="2:18" x14ac:dyDescent="0.25">
      <c r="B3369" s="5" t="s">
        <v>3371</v>
      </c>
      <c r="C3369" s="5" t="s">
        <v>7511</v>
      </c>
      <c r="D3369" s="5">
        <v>0</v>
      </c>
      <c r="E3369" s="5">
        <v>0</v>
      </c>
      <c r="F3369" s="5">
        <v>0</v>
      </c>
      <c r="G3369" s="5">
        <v>0</v>
      </c>
      <c r="H3369" s="5">
        <v>0</v>
      </c>
      <c r="I3369" s="5">
        <v>0</v>
      </c>
      <c r="J3369" s="5">
        <v>0</v>
      </c>
      <c r="K3369" s="5">
        <v>0</v>
      </c>
      <c r="L3369" s="5">
        <v>0</v>
      </c>
      <c r="M3369" s="5">
        <v>0</v>
      </c>
      <c r="N3369" s="5">
        <v>0</v>
      </c>
      <c r="O3369" s="5" t="str">
        <f t="shared" ca="1" si="52"/>
        <v>Supplier 17</v>
      </c>
      <c r="P3369" s="20" t="str">
        <f ca="1">IFERROR(VLOOKUP(O3369,EMAILS!B:C,2,FALSE),"NOT FOUND IN EMAILS")</f>
        <v>supplier@gmail.com</v>
      </c>
      <c r="Q3369" t="str">
        <f ca="1">""&amp;IFERROR(VLOOKUP(O3369,EMAILS!B:D,3,FALSE),"NOT FOUND IN EMAILS")</f>
        <v>supplier_logistics@gmail.com</v>
      </c>
      <c r="R3369" t="str">
        <f ca="1">""&amp;IFERROR(VLOOKUP(O3369,EMAILS!B:E,4,FALSE),"NO T FOUND IN EMAILS")</f>
        <v/>
      </c>
    </row>
    <row r="3370" spans="2:18" x14ac:dyDescent="0.25">
      <c r="B3370" s="5" t="s">
        <v>3372</v>
      </c>
      <c r="C3370" s="5" t="s">
        <v>7512</v>
      </c>
      <c r="D3370" s="5">
        <v>0</v>
      </c>
      <c r="E3370" s="5">
        <v>0</v>
      </c>
      <c r="F3370" s="5">
        <v>0</v>
      </c>
      <c r="G3370" s="5">
        <v>0</v>
      </c>
      <c r="H3370" s="5">
        <v>0</v>
      </c>
      <c r="I3370" s="5">
        <v>0</v>
      </c>
      <c r="J3370" s="5">
        <v>0</v>
      </c>
      <c r="K3370" s="5">
        <v>0</v>
      </c>
      <c r="L3370" s="5">
        <v>0</v>
      </c>
      <c r="M3370" s="5">
        <v>0</v>
      </c>
      <c r="N3370" s="5">
        <v>2000</v>
      </c>
      <c r="O3370" s="5" t="str">
        <f t="shared" ca="1" si="52"/>
        <v>Supplier 164</v>
      </c>
      <c r="P3370" s="20" t="str">
        <f ca="1">IFERROR(VLOOKUP(O3370,EMAILS!B:C,2,FALSE),"NOT FOUND IN EMAILS")</f>
        <v>supplier@gmail.com</v>
      </c>
      <c r="Q3370" t="str">
        <f ca="1">""&amp;IFERROR(VLOOKUP(O3370,EMAILS!B:D,3,FALSE),"NOT FOUND IN EMAILS")</f>
        <v/>
      </c>
      <c r="R3370" t="str">
        <f ca="1">""&amp;IFERROR(VLOOKUP(O3370,EMAILS!B:E,4,FALSE),"NO T FOUND IN EMAILS")</f>
        <v/>
      </c>
    </row>
    <row r="3371" spans="2:18" x14ac:dyDescent="0.25">
      <c r="B3371" s="5" t="s">
        <v>3373</v>
      </c>
      <c r="C3371" s="5" t="s">
        <v>7513</v>
      </c>
      <c r="D3371" s="5">
        <v>50</v>
      </c>
      <c r="E3371" s="5">
        <v>55</v>
      </c>
      <c r="F3371" s="5">
        <v>70</v>
      </c>
      <c r="G3371" s="5">
        <v>70</v>
      </c>
      <c r="H3371" s="5">
        <v>50</v>
      </c>
      <c r="I3371" s="5">
        <v>85</v>
      </c>
      <c r="J3371" s="5">
        <v>60</v>
      </c>
      <c r="K3371" s="5">
        <v>50</v>
      </c>
      <c r="L3371" s="5">
        <v>50</v>
      </c>
      <c r="M3371" s="5">
        <v>0</v>
      </c>
      <c r="N3371" s="5">
        <v>0</v>
      </c>
      <c r="O3371" s="5" t="str">
        <f t="shared" ca="1" si="52"/>
        <v>Supplier 108</v>
      </c>
      <c r="P3371" s="20" t="str">
        <f ca="1">IFERROR(VLOOKUP(O3371,EMAILS!B:C,2,FALSE),"NOT FOUND IN EMAILS")</f>
        <v>supplier@gmail.com</v>
      </c>
      <c r="Q3371" t="str">
        <f ca="1">""&amp;IFERROR(VLOOKUP(O3371,EMAILS!B:D,3,FALSE),"NOT FOUND IN EMAILS")</f>
        <v/>
      </c>
      <c r="R3371" t="str">
        <f ca="1">""&amp;IFERROR(VLOOKUP(O3371,EMAILS!B:E,4,FALSE),"NO T FOUND IN EMAILS")</f>
        <v/>
      </c>
    </row>
    <row r="3372" spans="2:18" x14ac:dyDescent="0.25">
      <c r="B3372" s="5" t="s">
        <v>3374</v>
      </c>
      <c r="C3372" s="5" t="s">
        <v>7514</v>
      </c>
      <c r="D3372" s="5">
        <v>1710</v>
      </c>
      <c r="E3372" s="5">
        <v>2100</v>
      </c>
      <c r="F3372" s="5">
        <v>2140</v>
      </c>
      <c r="G3372" s="5">
        <v>2520</v>
      </c>
      <c r="H3372" s="5">
        <v>1200</v>
      </c>
      <c r="I3372" s="5">
        <v>1620</v>
      </c>
      <c r="J3372" s="5">
        <v>1620</v>
      </c>
      <c r="K3372" s="5">
        <v>1272</v>
      </c>
      <c r="L3372" s="5">
        <v>720</v>
      </c>
      <c r="M3372" s="5">
        <v>0</v>
      </c>
      <c r="N3372" s="5">
        <v>0</v>
      </c>
      <c r="O3372" s="5" t="str">
        <f t="shared" ca="1" si="52"/>
        <v>Supplier 37</v>
      </c>
      <c r="P3372" s="20" t="str">
        <f ca="1">IFERROR(VLOOKUP(O3372,EMAILS!B:C,2,FALSE),"NOT FOUND IN EMAILS")</f>
        <v>supplier@gmail.com</v>
      </c>
      <c r="Q3372" t="str">
        <f ca="1">""&amp;IFERROR(VLOOKUP(O3372,EMAILS!B:D,3,FALSE),"NOT FOUND IN EMAILS")</f>
        <v/>
      </c>
      <c r="R3372" t="str">
        <f ca="1">""&amp;IFERROR(VLOOKUP(O3372,EMAILS!B:E,4,FALSE),"NO T FOUND IN EMAILS")</f>
        <v/>
      </c>
    </row>
    <row r="3373" spans="2:18" x14ac:dyDescent="0.25">
      <c r="B3373" s="5" t="s">
        <v>3375</v>
      </c>
      <c r="C3373" s="5" t="s">
        <v>7515</v>
      </c>
      <c r="D3373" s="5">
        <v>42516</v>
      </c>
      <c r="E3373" s="5">
        <v>40384</v>
      </c>
      <c r="F3373" s="5">
        <v>45904</v>
      </c>
      <c r="G3373" s="5">
        <v>49324</v>
      </c>
      <c r="H3373" s="5">
        <v>46684</v>
      </c>
      <c r="I3373" s="5">
        <v>48724</v>
      </c>
      <c r="J3373" s="5">
        <v>31828</v>
      </c>
      <c r="K3373" s="5">
        <v>37300</v>
      </c>
      <c r="L3373" s="5">
        <v>40596</v>
      </c>
      <c r="M3373" s="5">
        <v>0</v>
      </c>
      <c r="N3373" s="5">
        <v>1000</v>
      </c>
      <c r="O3373" s="5" t="str">
        <f t="shared" ca="1" si="52"/>
        <v>Supplier 61</v>
      </c>
      <c r="P3373" s="20" t="str">
        <f ca="1">IFERROR(VLOOKUP(O3373,EMAILS!B:C,2,FALSE),"NOT FOUND IN EMAILS")</f>
        <v>supplier@gmail.com</v>
      </c>
      <c r="Q3373" t="str">
        <f ca="1">""&amp;IFERROR(VLOOKUP(O3373,EMAILS!B:D,3,FALSE),"NOT FOUND IN EMAILS")</f>
        <v/>
      </c>
      <c r="R3373" t="str">
        <f ca="1">""&amp;IFERROR(VLOOKUP(O3373,EMAILS!B:E,4,FALSE),"NO T FOUND IN EMAILS")</f>
        <v/>
      </c>
    </row>
    <row r="3374" spans="2:18" x14ac:dyDescent="0.25">
      <c r="B3374" s="5" t="s">
        <v>3376</v>
      </c>
      <c r="C3374" s="5" t="s">
        <v>7516</v>
      </c>
      <c r="D3374" s="5">
        <v>972</v>
      </c>
      <c r="E3374" s="5">
        <v>288</v>
      </c>
      <c r="F3374" s="5">
        <v>336</v>
      </c>
      <c r="G3374" s="5">
        <v>336</v>
      </c>
      <c r="H3374" s="5">
        <v>336</v>
      </c>
      <c r="I3374" s="5">
        <v>216</v>
      </c>
      <c r="J3374" s="5">
        <v>336</v>
      </c>
      <c r="K3374" s="5">
        <v>120</v>
      </c>
      <c r="L3374" s="5">
        <v>240</v>
      </c>
      <c r="M3374" s="5">
        <v>0</v>
      </c>
      <c r="N3374" s="5">
        <v>2769</v>
      </c>
      <c r="O3374" s="5" t="str">
        <f t="shared" ca="1" si="52"/>
        <v>Supplier 158</v>
      </c>
      <c r="P3374" s="20" t="str">
        <f ca="1">IFERROR(VLOOKUP(O3374,EMAILS!B:C,2,FALSE),"NOT FOUND IN EMAILS")</f>
        <v>supplier@gmail.com</v>
      </c>
      <c r="Q3374" t="str">
        <f ca="1">""&amp;IFERROR(VLOOKUP(O3374,EMAILS!B:D,3,FALSE),"NOT FOUND IN EMAILS")</f>
        <v/>
      </c>
      <c r="R3374" t="str">
        <f ca="1">""&amp;IFERROR(VLOOKUP(O3374,EMAILS!B:E,4,FALSE),"NO T FOUND IN EMAILS")</f>
        <v/>
      </c>
    </row>
    <row r="3375" spans="2:18" x14ac:dyDescent="0.25">
      <c r="B3375" s="5" t="s">
        <v>3377</v>
      </c>
      <c r="C3375" s="5" t="s">
        <v>7517</v>
      </c>
      <c r="D3375" s="5">
        <v>178</v>
      </c>
      <c r="E3375" s="5">
        <v>180</v>
      </c>
      <c r="F3375" s="5">
        <v>147</v>
      </c>
      <c r="G3375" s="5">
        <v>304</v>
      </c>
      <c r="H3375" s="5">
        <v>160</v>
      </c>
      <c r="I3375" s="5">
        <v>154</v>
      </c>
      <c r="J3375" s="5">
        <v>156</v>
      </c>
      <c r="K3375" s="5">
        <v>154</v>
      </c>
      <c r="L3375" s="5">
        <v>100</v>
      </c>
      <c r="M3375" s="5">
        <v>0</v>
      </c>
      <c r="N3375" s="5">
        <v>0</v>
      </c>
      <c r="O3375" s="5" t="str">
        <f t="shared" ca="1" si="52"/>
        <v>Supplier 38</v>
      </c>
      <c r="P3375" s="20" t="str">
        <f ca="1">IFERROR(VLOOKUP(O3375,EMAILS!B:C,2,FALSE),"NOT FOUND IN EMAILS")</f>
        <v>supplier@gmail.com</v>
      </c>
      <c r="Q3375" t="str">
        <f ca="1">""&amp;IFERROR(VLOOKUP(O3375,EMAILS!B:D,3,FALSE),"NOT FOUND IN EMAILS")</f>
        <v/>
      </c>
      <c r="R3375" t="str">
        <f ca="1">""&amp;IFERROR(VLOOKUP(O3375,EMAILS!B:E,4,FALSE),"NO T FOUND IN EMAILS")</f>
        <v/>
      </c>
    </row>
    <row r="3376" spans="2:18" x14ac:dyDescent="0.25">
      <c r="B3376" s="5" t="s">
        <v>3378</v>
      </c>
      <c r="C3376" s="5" t="s">
        <v>7518</v>
      </c>
      <c r="D3376" s="5">
        <v>1588</v>
      </c>
      <c r="E3376" s="5">
        <v>332</v>
      </c>
      <c r="F3376" s="5">
        <v>596</v>
      </c>
      <c r="G3376" s="5">
        <v>974</v>
      </c>
      <c r="H3376" s="5">
        <v>220</v>
      </c>
      <c r="I3376" s="5">
        <v>220</v>
      </c>
      <c r="J3376" s="5">
        <v>150</v>
      </c>
      <c r="K3376" s="5">
        <v>912</v>
      </c>
      <c r="L3376" s="5">
        <v>420</v>
      </c>
      <c r="M3376" s="5">
        <v>0</v>
      </c>
      <c r="N3376" s="5">
        <v>0</v>
      </c>
      <c r="O3376" s="5" t="str">
        <f t="shared" ca="1" si="52"/>
        <v>Supplier 129</v>
      </c>
      <c r="P3376" s="20" t="str">
        <f ca="1">IFERROR(VLOOKUP(O3376,EMAILS!B:C,2,FALSE),"NOT FOUND IN EMAILS")</f>
        <v>supplier@gmail.com</v>
      </c>
      <c r="Q3376" t="str">
        <f ca="1">""&amp;IFERROR(VLOOKUP(O3376,EMAILS!B:D,3,FALSE),"NOT FOUND IN EMAILS")</f>
        <v/>
      </c>
      <c r="R3376" t="str">
        <f ca="1">""&amp;IFERROR(VLOOKUP(O3376,EMAILS!B:E,4,FALSE),"NO T FOUND IN EMAILS")</f>
        <v/>
      </c>
    </row>
    <row r="3377" spans="2:18" x14ac:dyDescent="0.25">
      <c r="B3377" s="5" t="s">
        <v>3379</v>
      </c>
      <c r="C3377" s="5" t="s">
        <v>7519</v>
      </c>
      <c r="D3377" s="5">
        <v>0</v>
      </c>
      <c r="E3377" s="5">
        <v>0</v>
      </c>
      <c r="F3377" s="5">
        <v>0</v>
      </c>
      <c r="G3377" s="5">
        <v>0</v>
      </c>
      <c r="H3377" s="5">
        <v>0</v>
      </c>
      <c r="I3377" s="5">
        <v>0</v>
      </c>
      <c r="J3377" s="5">
        <v>0</v>
      </c>
      <c r="K3377" s="5">
        <v>0</v>
      </c>
      <c r="L3377" s="5">
        <v>0</v>
      </c>
      <c r="M3377" s="5">
        <v>0</v>
      </c>
      <c r="N3377" s="5">
        <v>0</v>
      </c>
      <c r="O3377" s="5" t="str">
        <f t="shared" ca="1" si="52"/>
        <v>Supplier 184</v>
      </c>
      <c r="P3377" s="20" t="str">
        <f ca="1">IFERROR(VLOOKUP(O3377,EMAILS!B:C,2,FALSE),"NOT FOUND IN EMAILS")</f>
        <v>supplier@gmail.com</v>
      </c>
      <c r="Q3377" t="str">
        <f ca="1">""&amp;IFERROR(VLOOKUP(O3377,EMAILS!B:D,3,FALSE),"NOT FOUND IN EMAILS")</f>
        <v/>
      </c>
      <c r="R3377" t="str">
        <f ca="1">""&amp;IFERROR(VLOOKUP(O3377,EMAILS!B:E,4,FALSE),"NO T FOUND IN EMAILS")</f>
        <v/>
      </c>
    </row>
    <row r="3378" spans="2:18" x14ac:dyDescent="0.25">
      <c r="B3378" s="5" t="s">
        <v>3380</v>
      </c>
      <c r="C3378" s="5" t="s">
        <v>7520</v>
      </c>
      <c r="D3378" s="5">
        <v>20</v>
      </c>
      <c r="E3378" s="5">
        <v>0</v>
      </c>
      <c r="F3378" s="5">
        <v>0</v>
      </c>
      <c r="G3378" s="5">
        <v>0</v>
      </c>
      <c r="H3378" s="5">
        <v>0</v>
      </c>
      <c r="I3378" s="5">
        <v>0</v>
      </c>
      <c r="J3378" s="5">
        <v>0</v>
      </c>
      <c r="K3378" s="5">
        <v>0</v>
      </c>
      <c r="L3378" s="5">
        <v>0</v>
      </c>
      <c r="M3378" s="5">
        <v>0</v>
      </c>
      <c r="N3378" s="5">
        <v>24</v>
      </c>
      <c r="O3378" s="5" t="str">
        <f t="shared" ca="1" si="52"/>
        <v>Supplier 134</v>
      </c>
      <c r="P3378" s="20" t="str">
        <f ca="1">IFERROR(VLOOKUP(O3378,EMAILS!B:C,2,FALSE),"NOT FOUND IN EMAILS")</f>
        <v>supplier@gmail.com</v>
      </c>
      <c r="Q3378" t="str">
        <f ca="1">""&amp;IFERROR(VLOOKUP(O3378,EMAILS!B:D,3,FALSE),"NOT FOUND IN EMAILS")</f>
        <v/>
      </c>
      <c r="R3378" t="str">
        <f ca="1">""&amp;IFERROR(VLOOKUP(O3378,EMAILS!B:E,4,FALSE),"NO T FOUND IN EMAILS")</f>
        <v/>
      </c>
    </row>
    <row r="3379" spans="2:18" x14ac:dyDescent="0.25">
      <c r="B3379" s="5" t="s">
        <v>3381</v>
      </c>
      <c r="C3379" s="5" t="s">
        <v>7521</v>
      </c>
      <c r="D3379" s="5">
        <v>30380</v>
      </c>
      <c r="E3379" s="5">
        <v>25284</v>
      </c>
      <c r="F3379" s="5">
        <v>27048</v>
      </c>
      <c r="G3379" s="5">
        <v>27048</v>
      </c>
      <c r="H3379" s="5">
        <v>26264</v>
      </c>
      <c r="I3379" s="5">
        <v>26264</v>
      </c>
      <c r="J3379" s="5">
        <v>20972</v>
      </c>
      <c r="K3379" s="5">
        <v>18228</v>
      </c>
      <c r="L3379" s="5">
        <v>21952</v>
      </c>
      <c r="M3379" s="5">
        <v>0</v>
      </c>
      <c r="N3379" s="5">
        <v>75</v>
      </c>
      <c r="O3379" s="5" t="str">
        <f t="shared" ca="1" si="52"/>
        <v>Supplier 100</v>
      </c>
      <c r="P3379" s="20" t="str">
        <f ca="1">IFERROR(VLOOKUP(O3379,EMAILS!B:C,2,FALSE),"NOT FOUND IN EMAILS")</f>
        <v>supplier@gmail.com</v>
      </c>
      <c r="Q3379" t="str">
        <f ca="1">""&amp;IFERROR(VLOOKUP(O3379,EMAILS!B:D,3,FALSE),"NOT FOUND IN EMAILS")</f>
        <v/>
      </c>
      <c r="R3379" t="str">
        <f ca="1">""&amp;IFERROR(VLOOKUP(O3379,EMAILS!B:E,4,FALSE),"NO T FOUND IN EMAILS")</f>
        <v/>
      </c>
    </row>
    <row r="3380" spans="2:18" x14ac:dyDescent="0.25">
      <c r="B3380" s="5" t="s">
        <v>3382</v>
      </c>
      <c r="C3380" s="5" t="s">
        <v>7522</v>
      </c>
      <c r="D3380" s="5">
        <v>12</v>
      </c>
      <c r="E3380" s="5">
        <v>6</v>
      </c>
      <c r="F3380" s="5">
        <v>8</v>
      </c>
      <c r="G3380" s="5">
        <v>8</v>
      </c>
      <c r="H3380" s="5">
        <v>6</v>
      </c>
      <c r="I3380" s="5">
        <v>8</v>
      </c>
      <c r="J3380" s="5">
        <v>20</v>
      </c>
      <c r="K3380" s="5">
        <v>10</v>
      </c>
      <c r="L3380" s="5">
        <v>0</v>
      </c>
      <c r="M3380" s="5">
        <v>0</v>
      </c>
      <c r="N3380" s="5">
        <v>4356</v>
      </c>
      <c r="O3380" s="5" t="str">
        <f t="shared" ca="1" si="52"/>
        <v>Supplier 126</v>
      </c>
      <c r="P3380" s="20" t="str">
        <f ca="1">IFERROR(VLOOKUP(O3380,EMAILS!B:C,2,FALSE),"NOT FOUND IN EMAILS")</f>
        <v>supplier@gmail.com</v>
      </c>
      <c r="Q3380" t="str">
        <f ca="1">""&amp;IFERROR(VLOOKUP(O3380,EMAILS!B:D,3,FALSE),"NOT FOUND IN EMAILS")</f>
        <v/>
      </c>
      <c r="R3380" t="str">
        <f ca="1">""&amp;IFERROR(VLOOKUP(O3380,EMAILS!B:E,4,FALSE),"NO T FOUND IN EMAILS")</f>
        <v/>
      </c>
    </row>
    <row r="3381" spans="2:18" x14ac:dyDescent="0.25">
      <c r="B3381" s="5" t="s">
        <v>3383</v>
      </c>
      <c r="C3381" s="5" t="s">
        <v>7523</v>
      </c>
      <c r="D3381" s="5">
        <v>26</v>
      </c>
      <c r="E3381" s="5">
        <v>10</v>
      </c>
      <c r="F3381" s="5">
        <v>26</v>
      </c>
      <c r="G3381" s="5">
        <v>18</v>
      </c>
      <c r="H3381" s="5">
        <v>24</v>
      </c>
      <c r="I3381" s="5">
        <v>26</v>
      </c>
      <c r="J3381" s="5">
        <v>10</v>
      </c>
      <c r="K3381" s="5">
        <v>18</v>
      </c>
      <c r="L3381" s="5">
        <v>36</v>
      </c>
      <c r="M3381" s="5">
        <v>0</v>
      </c>
      <c r="N3381" s="5">
        <v>0</v>
      </c>
      <c r="O3381" s="5" t="str">
        <f t="shared" ca="1" si="52"/>
        <v>Supplier 42</v>
      </c>
      <c r="P3381" s="20" t="str">
        <f ca="1">IFERROR(VLOOKUP(O3381,EMAILS!B:C,2,FALSE),"NOT FOUND IN EMAILS")</f>
        <v>supplier@gmail.com</v>
      </c>
      <c r="Q3381" t="str">
        <f ca="1">""&amp;IFERROR(VLOOKUP(O3381,EMAILS!B:D,3,FALSE),"NOT FOUND IN EMAILS")</f>
        <v/>
      </c>
      <c r="R3381" t="str">
        <f ca="1">""&amp;IFERROR(VLOOKUP(O3381,EMAILS!B:E,4,FALSE),"NO T FOUND IN EMAILS")</f>
        <v/>
      </c>
    </row>
    <row r="3382" spans="2:18" x14ac:dyDescent="0.25">
      <c r="B3382" s="5" t="s">
        <v>3384</v>
      </c>
      <c r="C3382" s="5" t="s">
        <v>7524</v>
      </c>
      <c r="D3382" s="5">
        <v>969</v>
      </c>
      <c r="E3382" s="5">
        <v>846</v>
      </c>
      <c r="F3382" s="5">
        <v>1082</v>
      </c>
      <c r="G3382" s="5">
        <v>1212</v>
      </c>
      <c r="H3382" s="5">
        <v>981</v>
      </c>
      <c r="I3382" s="5">
        <v>807</v>
      </c>
      <c r="J3382" s="5">
        <v>927</v>
      </c>
      <c r="K3382" s="5">
        <v>776</v>
      </c>
      <c r="L3382" s="5">
        <v>690</v>
      </c>
      <c r="M3382" s="5">
        <v>0</v>
      </c>
      <c r="N3382" s="5">
        <v>1000</v>
      </c>
      <c r="O3382" s="5" t="str">
        <f t="shared" ca="1" si="52"/>
        <v>Supplier 88</v>
      </c>
      <c r="P3382" s="20" t="str">
        <f ca="1">IFERROR(VLOOKUP(O3382,EMAILS!B:C,2,FALSE),"NOT FOUND IN EMAILS")</f>
        <v>supplier@gmail.com</v>
      </c>
      <c r="Q3382" t="str">
        <f ca="1">""&amp;IFERROR(VLOOKUP(O3382,EMAILS!B:D,3,FALSE),"NOT FOUND IN EMAILS")</f>
        <v/>
      </c>
      <c r="R3382" t="str">
        <f ca="1">""&amp;IFERROR(VLOOKUP(O3382,EMAILS!B:E,4,FALSE),"NO T FOUND IN EMAILS")</f>
        <v/>
      </c>
    </row>
    <row r="3383" spans="2:18" x14ac:dyDescent="0.25">
      <c r="B3383" s="5" t="s">
        <v>3385</v>
      </c>
      <c r="C3383" s="5" t="s">
        <v>7525</v>
      </c>
      <c r="D3383" s="5">
        <v>0</v>
      </c>
      <c r="E3383" s="5">
        <v>0</v>
      </c>
      <c r="F3383" s="5">
        <v>360</v>
      </c>
      <c r="G3383" s="5">
        <v>120</v>
      </c>
      <c r="H3383" s="5">
        <v>0</v>
      </c>
      <c r="I3383" s="5">
        <v>0</v>
      </c>
      <c r="J3383" s="5">
        <v>0</v>
      </c>
      <c r="K3383" s="5">
        <v>0</v>
      </c>
      <c r="L3383" s="5">
        <v>0</v>
      </c>
      <c r="M3383" s="5">
        <v>0</v>
      </c>
      <c r="N3383" s="5">
        <v>374</v>
      </c>
      <c r="O3383" s="5" t="str">
        <f t="shared" ca="1" si="52"/>
        <v>Supplier 118</v>
      </c>
      <c r="P3383" s="20" t="str">
        <f ca="1">IFERROR(VLOOKUP(O3383,EMAILS!B:C,2,FALSE),"NOT FOUND IN EMAILS")</f>
        <v>supplier@gmail.com</v>
      </c>
      <c r="Q3383" t="str">
        <f ca="1">""&amp;IFERROR(VLOOKUP(O3383,EMAILS!B:D,3,FALSE),"NOT FOUND IN EMAILS")</f>
        <v/>
      </c>
      <c r="R3383" t="str">
        <f ca="1">""&amp;IFERROR(VLOOKUP(O3383,EMAILS!B:E,4,FALSE),"NO T FOUND IN EMAILS")</f>
        <v/>
      </c>
    </row>
    <row r="3384" spans="2:18" x14ac:dyDescent="0.25">
      <c r="B3384" s="5" t="s">
        <v>3386</v>
      </c>
      <c r="C3384" s="5" t="s">
        <v>7526</v>
      </c>
      <c r="D3384" s="5">
        <v>0</v>
      </c>
      <c r="E3384" s="5">
        <v>16</v>
      </c>
      <c r="F3384" s="5">
        <v>0</v>
      </c>
      <c r="G3384" s="5">
        <v>0</v>
      </c>
      <c r="H3384" s="5">
        <v>0</v>
      </c>
      <c r="I3384" s="5">
        <v>0</v>
      </c>
      <c r="J3384" s="5">
        <v>0</v>
      </c>
      <c r="K3384" s="5">
        <v>0</v>
      </c>
      <c r="L3384" s="5">
        <v>0</v>
      </c>
      <c r="M3384" s="5">
        <v>0</v>
      </c>
      <c r="N3384" s="5">
        <v>0</v>
      </c>
      <c r="O3384" s="5" t="str">
        <f t="shared" ca="1" si="52"/>
        <v>Supplier 119</v>
      </c>
      <c r="P3384" s="20" t="str">
        <f ca="1">IFERROR(VLOOKUP(O3384,EMAILS!B:C,2,FALSE),"NOT FOUND IN EMAILS")</f>
        <v>supplier@gmail.com</v>
      </c>
      <c r="Q3384" t="str">
        <f ca="1">""&amp;IFERROR(VLOOKUP(O3384,EMAILS!B:D,3,FALSE),"NOT FOUND IN EMAILS")</f>
        <v/>
      </c>
      <c r="R3384" t="str">
        <f ca="1">""&amp;IFERROR(VLOOKUP(O3384,EMAILS!B:E,4,FALSE),"NO T FOUND IN EMAILS")</f>
        <v/>
      </c>
    </row>
    <row r="3385" spans="2:18" x14ac:dyDescent="0.25">
      <c r="B3385" s="5" t="s">
        <v>3387</v>
      </c>
      <c r="C3385" s="5" t="s">
        <v>7527</v>
      </c>
      <c r="D3385" s="5">
        <v>16</v>
      </c>
      <c r="E3385" s="5">
        <v>28</v>
      </c>
      <c r="F3385" s="5">
        <v>16</v>
      </c>
      <c r="G3385" s="5">
        <v>16</v>
      </c>
      <c r="H3385" s="5">
        <v>0</v>
      </c>
      <c r="I3385" s="5">
        <v>0</v>
      </c>
      <c r="J3385" s="5">
        <v>0</v>
      </c>
      <c r="K3385" s="5">
        <v>0</v>
      </c>
      <c r="L3385" s="5">
        <v>0</v>
      </c>
      <c r="M3385" s="5">
        <v>0</v>
      </c>
      <c r="N3385" s="5">
        <v>1011</v>
      </c>
      <c r="O3385" s="5" t="str">
        <f t="shared" ca="1" si="52"/>
        <v>Supplier 104</v>
      </c>
      <c r="P3385" s="20" t="str">
        <f ca="1">IFERROR(VLOOKUP(O3385,EMAILS!B:C,2,FALSE),"NOT FOUND IN EMAILS")</f>
        <v>supplier@gmail.com</v>
      </c>
      <c r="Q3385" t="str">
        <f ca="1">""&amp;IFERROR(VLOOKUP(O3385,EMAILS!B:D,3,FALSE),"NOT FOUND IN EMAILS")</f>
        <v/>
      </c>
      <c r="R3385" t="str">
        <f ca="1">""&amp;IFERROR(VLOOKUP(O3385,EMAILS!B:E,4,FALSE),"NO T FOUND IN EMAILS")</f>
        <v/>
      </c>
    </row>
    <row r="3386" spans="2:18" x14ac:dyDescent="0.25">
      <c r="B3386" s="5" t="s">
        <v>3388</v>
      </c>
      <c r="C3386" s="5" t="s">
        <v>7528</v>
      </c>
      <c r="D3386" s="5">
        <v>4</v>
      </c>
      <c r="E3386" s="5">
        <v>0</v>
      </c>
      <c r="F3386" s="5">
        <v>4</v>
      </c>
      <c r="G3386" s="5">
        <v>22</v>
      </c>
      <c r="H3386" s="5">
        <v>22</v>
      </c>
      <c r="I3386" s="5">
        <v>22</v>
      </c>
      <c r="J3386" s="5">
        <v>8</v>
      </c>
      <c r="K3386" s="5">
        <v>14</v>
      </c>
      <c r="L3386" s="5">
        <v>14</v>
      </c>
      <c r="M3386" s="5">
        <v>0</v>
      </c>
      <c r="N3386" s="5">
        <v>98</v>
      </c>
      <c r="O3386" s="5" t="str">
        <f t="shared" ca="1" si="52"/>
        <v>Supplier 181</v>
      </c>
      <c r="P3386" s="20" t="str">
        <f ca="1">IFERROR(VLOOKUP(O3386,EMAILS!B:C,2,FALSE),"NOT FOUND IN EMAILS")</f>
        <v>supplier@gmail.com</v>
      </c>
      <c r="Q3386" t="str">
        <f ca="1">""&amp;IFERROR(VLOOKUP(O3386,EMAILS!B:D,3,FALSE),"NOT FOUND IN EMAILS")</f>
        <v/>
      </c>
      <c r="R3386" t="str">
        <f ca="1">""&amp;IFERROR(VLOOKUP(O3386,EMAILS!B:E,4,FALSE),"NO T FOUND IN EMAILS")</f>
        <v/>
      </c>
    </row>
    <row r="3387" spans="2:18" x14ac:dyDescent="0.25">
      <c r="B3387" s="5" t="s">
        <v>3389</v>
      </c>
      <c r="C3387" s="5" t="s">
        <v>7529</v>
      </c>
      <c r="D3387" s="5">
        <v>0</v>
      </c>
      <c r="E3387" s="5">
        <v>0</v>
      </c>
      <c r="F3387" s="5">
        <v>0</v>
      </c>
      <c r="G3387" s="5">
        <v>0</v>
      </c>
      <c r="H3387" s="5">
        <v>0</v>
      </c>
      <c r="I3387" s="5">
        <v>0</v>
      </c>
      <c r="J3387" s="5">
        <v>0</v>
      </c>
      <c r="K3387" s="5">
        <v>0</v>
      </c>
      <c r="L3387" s="5">
        <v>0</v>
      </c>
      <c r="M3387" s="5">
        <v>0</v>
      </c>
      <c r="N3387" s="5">
        <v>1031</v>
      </c>
      <c r="O3387" s="5" t="str">
        <f t="shared" ca="1" si="52"/>
        <v>Supplier 155</v>
      </c>
      <c r="P3387" s="20" t="str">
        <f ca="1">IFERROR(VLOOKUP(O3387,EMAILS!B:C,2,FALSE),"NOT FOUND IN EMAILS")</f>
        <v>supplier@gmail.com</v>
      </c>
      <c r="Q3387" t="str">
        <f ca="1">""&amp;IFERROR(VLOOKUP(O3387,EMAILS!B:D,3,FALSE),"NOT FOUND IN EMAILS")</f>
        <v/>
      </c>
      <c r="R3387" t="str">
        <f ca="1">""&amp;IFERROR(VLOOKUP(O3387,EMAILS!B:E,4,FALSE),"NO T FOUND IN EMAILS")</f>
        <v/>
      </c>
    </row>
    <row r="3388" spans="2:18" x14ac:dyDescent="0.25">
      <c r="B3388" s="5" t="s">
        <v>3390</v>
      </c>
      <c r="C3388" s="5" t="s">
        <v>7530</v>
      </c>
      <c r="D3388" s="5">
        <v>24</v>
      </c>
      <c r="E3388" s="5">
        <v>8</v>
      </c>
      <c r="F3388" s="5">
        <v>46</v>
      </c>
      <c r="G3388" s="5">
        <v>58</v>
      </c>
      <c r="H3388" s="5">
        <v>24</v>
      </c>
      <c r="I3388" s="5">
        <v>10</v>
      </c>
      <c r="J3388" s="5">
        <v>6</v>
      </c>
      <c r="K3388" s="5">
        <v>6</v>
      </c>
      <c r="L3388" s="5">
        <v>6</v>
      </c>
      <c r="M3388" s="5">
        <v>0</v>
      </c>
      <c r="N3388" s="5">
        <v>992</v>
      </c>
      <c r="O3388" s="5" t="str">
        <f t="shared" ca="1" si="52"/>
        <v>Supplier 188</v>
      </c>
      <c r="P3388" s="20" t="str">
        <f ca="1">IFERROR(VLOOKUP(O3388,EMAILS!B:C,2,FALSE),"NOT FOUND IN EMAILS")</f>
        <v>supplier@gmail.com</v>
      </c>
      <c r="Q3388" t="str">
        <f ca="1">""&amp;IFERROR(VLOOKUP(O3388,EMAILS!B:D,3,FALSE),"NOT FOUND IN EMAILS")</f>
        <v/>
      </c>
      <c r="R3388" t="str">
        <f ca="1">""&amp;IFERROR(VLOOKUP(O3388,EMAILS!B:E,4,FALSE),"NO T FOUND IN EMAILS")</f>
        <v/>
      </c>
    </row>
    <row r="3389" spans="2:18" x14ac:dyDescent="0.25">
      <c r="B3389" s="5" t="s">
        <v>3391</v>
      </c>
      <c r="C3389" s="5" t="s">
        <v>7531</v>
      </c>
      <c r="D3389" s="5">
        <v>0</v>
      </c>
      <c r="E3389" s="5">
        <v>0</v>
      </c>
      <c r="F3389" s="5">
        <v>0</v>
      </c>
      <c r="G3389" s="5">
        <v>0</v>
      </c>
      <c r="H3389" s="5">
        <v>0</v>
      </c>
      <c r="I3389" s="5">
        <v>0</v>
      </c>
      <c r="J3389" s="5">
        <v>0</v>
      </c>
      <c r="K3389" s="5">
        <v>0</v>
      </c>
      <c r="L3389" s="5">
        <v>0</v>
      </c>
      <c r="M3389" s="5">
        <v>0</v>
      </c>
      <c r="N3389" s="5">
        <v>5246</v>
      </c>
      <c r="O3389" s="5" t="str">
        <f t="shared" ca="1" si="52"/>
        <v>Supplier 112</v>
      </c>
      <c r="P3389" s="20" t="str">
        <f ca="1">IFERROR(VLOOKUP(O3389,EMAILS!B:C,2,FALSE),"NOT FOUND IN EMAILS")</f>
        <v>supplier@gmail.com</v>
      </c>
      <c r="Q3389" t="str">
        <f ca="1">""&amp;IFERROR(VLOOKUP(O3389,EMAILS!B:D,3,FALSE),"NOT FOUND IN EMAILS")</f>
        <v/>
      </c>
      <c r="R3389" t="str">
        <f ca="1">""&amp;IFERROR(VLOOKUP(O3389,EMAILS!B:E,4,FALSE),"NO T FOUND IN EMAILS")</f>
        <v/>
      </c>
    </row>
    <row r="3390" spans="2:18" x14ac:dyDescent="0.25">
      <c r="B3390" s="5" t="s">
        <v>3392</v>
      </c>
      <c r="C3390" s="5" t="s">
        <v>7532</v>
      </c>
      <c r="D3390" s="5">
        <v>4144</v>
      </c>
      <c r="E3390" s="5">
        <v>4020</v>
      </c>
      <c r="F3390" s="5">
        <v>4440</v>
      </c>
      <c r="G3390" s="5">
        <v>3540</v>
      </c>
      <c r="H3390" s="5">
        <v>4290</v>
      </c>
      <c r="I3390" s="5">
        <v>3840</v>
      </c>
      <c r="J3390" s="5">
        <v>3540</v>
      </c>
      <c r="K3390" s="5">
        <v>3300</v>
      </c>
      <c r="L3390" s="5">
        <v>2700</v>
      </c>
      <c r="M3390" s="5">
        <v>0</v>
      </c>
      <c r="N3390" s="5">
        <v>1491</v>
      </c>
      <c r="O3390" s="5" t="str">
        <f t="shared" ca="1" si="52"/>
        <v>Supplier 25</v>
      </c>
      <c r="P3390" s="20" t="str">
        <f ca="1">IFERROR(VLOOKUP(O3390,EMAILS!B:C,2,FALSE),"NOT FOUND IN EMAILS")</f>
        <v>supplier@gmail.com</v>
      </c>
      <c r="Q3390" t="str">
        <f ca="1">""&amp;IFERROR(VLOOKUP(O3390,EMAILS!B:D,3,FALSE),"NOT FOUND IN EMAILS")</f>
        <v/>
      </c>
      <c r="R3390" t="str">
        <f ca="1">""&amp;IFERROR(VLOOKUP(O3390,EMAILS!B:E,4,FALSE),"NO T FOUND IN EMAILS")</f>
        <v/>
      </c>
    </row>
    <row r="3391" spans="2:18" x14ac:dyDescent="0.25">
      <c r="B3391" s="5" t="s">
        <v>3393</v>
      </c>
      <c r="C3391" s="5" t="s">
        <v>7533</v>
      </c>
      <c r="D3391" s="5">
        <v>824</v>
      </c>
      <c r="E3391" s="5">
        <v>408</v>
      </c>
      <c r="F3391" s="5">
        <v>871</v>
      </c>
      <c r="G3391" s="5">
        <v>292</v>
      </c>
      <c r="H3391" s="5">
        <v>158</v>
      </c>
      <c r="I3391" s="5">
        <v>16</v>
      </c>
      <c r="J3391" s="5">
        <v>8</v>
      </c>
      <c r="K3391" s="5">
        <v>8</v>
      </c>
      <c r="L3391" s="5">
        <v>8</v>
      </c>
      <c r="M3391" s="5">
        <v>0</v>
      </c>
      <c r="N3391" s="5">
        <v>5211</v>
      </c>
      <c r="O3391" s="5" t="str">
        <f t="shared" ca="1" si="52"/>
        <v>Supplier 104</v>
      </c>
      <c r="P3391" s="20" t="str">
        <f ca="1">IFERROR(VLOOKUP(O3391,EMAILS!B:C,2,FALSE),"NOT FOUND IN EMAILS")</f>
        <v>supplier@gmail.com</v>
      </c>
      <c r="Q3391" t="str">
        <f ca="1">""&amp;IFERROR(VLOOKUP(O3391,EMAILS!B:D,3,FALSE),"NOT FOUND IN EMAILS")</f>
        <v/>
      </c>
      <c r="R3391" t="str">
        <f ca="1">""&amp;IFERROR(VLOOKUP(O3391,EMAILS!B:E,4,FALSE),"NO T FOUND IN EMAILS")</f>
        <v/>
      </c>
    </row>
    <row r="3392" spans="2:18" x14ac:dyDescent="0.25">
      <c r="B3392" s="5" t="s">
        <v>3394</v>
      </c>
      <c r="C3392" s="5" t="s">
        <v>7534</v>
      </c>
      <c r="D3392" s="5">
        <v>0</v>
      </c>
      <c r="E3392" s="5">
        <v>0</v>
      </c>
      <c r="F3392" s="5">
        <v>0</v>
      </c>
      <c r="G3392" s="5">
        <v>0</v>
      </c>
      <c r="H3392" s="5">
        <v>0</v>
      </c>
      <c r="I3392" s="5">
        <v>0</v>
      </c>
      <c r="J3392" s="5">
        <v>0</v>
      </c>
      <c r="K3392" s="5">
        <v>0</v>
      </c>
      <c r="L3392" s="5">
        <v>0</v>
      </c>
      <c r="M3392" s="5">
        <v>0</v>
      </c>
      <c r="N3392" s="5">
        <v>1456</v>
      </c>
      <c r="O3392" s="5" t="str">
        <f t="shared" ca="1" si="52"/>
        <v>Supplier 191</v>
      </c>
      <c r="P3392" s="20" t="str">
        <f ca="1">IFERROR(VLOOKUP(O3392,EMAILS!B:C,2,FALSE),"NOT FOUND IN EMAILS")</f>
        <v>supplier@gmail.com</v>
      </c>
      <c r="Q3392" t="str">
        <f ca="1">""&amp;IFERROR(VLOOKUP(O3392,EMAILS!B:D,3,FALSE),"NOT FOUND IN EMAILS")</f>
        <v/>
      </c>
      <c r="R3392" t="str">
        <f ca="1">""&amp;IFERROR(VLOOKUP(O3392,EMAILS!B:E,4,FALSE),"NO T FOUND IN EMAILS")</f>
        <v/>
      </c>
    </row>
    <row r="3393" spans="2:18" x14ac:dyDescent="0.25">
      <c r="B3393" s="5" t="s">
        <v>3395</v>
      </c>
      <c r="C3393" s="5" t="s">
        <v>7535</v>
      </c>
      <c r="D3393" s="5">
        <v>288</v>
      </c>
      <c r="E3393" s="5">
        <v>0</v>
      </c>
      <c r="F3393" s="5">
        <v>648</v>
      </c>
      <c r="G3393" s="5">
        <v>864</v>
      </c>
      <c r="H3393" s="5">
        <v>288</v>
      </c>
      <c r="I3393" s="5">
        <v>0</v>
      </c>
      <c r="J3393" s="5">
        <v>0</v>
      </c>
      <c r="K3393" s="5">
        <v>0</v>
      </c>
      <c r="L3393" s="5">
        <v>0</v>
      </c>
      <c r="M3393" s="5">
        <v>0</v>
      </c>
      <c r="N3393" s="5">
        <v>900</v>
      </c>
      <c r="O3393" s="5" t="str">
        <f t="shared" ca="1" si="52"/>
        <v>Supplier 138</v>
      </c>
      <c r="P3393" s="20" t="str">
        <f ca="1">IFERROR(VLOOKUP(O3393,EMAILS!B:C,2,FALSE),"NOT FOUND IN EMAILS")</f>
        <v>supplier@gmail.com</v>
      </c>
      <c r="Q3393" t="str">
        <f ca="1">""&amp;IFERROR(VLOOKUP(O3393,EMAILS!B:D,3,FALSE),"NOT FOUND IN EMAILS")</f>
        <v/>
      </c>
      <c r="R3393" t="str">
        <f ca="1">""&amp;IFERROR(VLOOKUP(O3393,EMAILS!B:E,4,FALSE),"NO T FOUND IN EMAILS")</f>
        <v/>
      </c>
    </row>
    <row r="3394" spans="2:18" x14ac:dyDescent="0.25">
      <c r="B3394" s="5" t="s">
        <v>3396</v>
      </c>
      <c r="C3394" s="5" t="s">
        <v>7536</v>
      </c>
      <c r="D3394" s="5">
        <v>112</v>
      </c>
      <c r="E3394" s="5">
        <v>0</v>
      </c>
      <c r="F3394" s="5">
        <v>62</v>
      </c>
      <c r="G3394" s="5">
        <v>84</v>
      </c>
      <c r="H3394" s="5">
        <v>0</v>
      </c>
      <c r="I3394" s="5">
        <v>0</v>
      </c>
      <c r="J3394" s="5">
        <v>0</v>
      </c>
      <c r="K3394" s="5">
        <v>0</v>
      </c>
      <c r="L3394" s="5">
        <v>0</v>
      </c>
      <c r="M3394" s="5">
        <v>0</v>
      </c>
      <c r="N3394" s="5">
        <v>452</v>
      </c>
      <c r="O3394" s="5" t="str">
        <f t="shared" ca="1" si="52"/>
        <v>Supplier 22</v>
      </c>
      <c r="P3394" s="20" t="str">
        <f ca="1">IFERROR(VLOOKUP(O3394,EMAILS!B:C,2,FALSE),"NOT FOUND IN EMAILS")</f>
        <v>supplier@gmail.com</v>
      </c>
      <c r="Q3394" t="str">
        <f ca="1">""&amp;IFERROR(VLOOKUP(O3394,EMAILS!B:D,3,FALSE),"NOT FOUND IN EMAILS")</f>
        <v/>
      </c>
      <c r="R3394" t="str">
        <f ca="1">""&amp;IFERROR(VLOOKUP(O3394,EMAILS!B:E,4,FALSE),"NO T FOUND IN EMAILS")</f>
        <v/>
      </c>
    </row>
    <row r="3395" spans="2:18" x14ac:dyDescent="0.25">
      <c r="B3395" s="5" t="s">
        <v>3397</v>
      </c>
      <c r="C3395" s="5" t="s">
        <v>7537</v>
      </c>
      <c r="D3395" s="5">
        <v>241</v>
      </c>
      <c r="E3395" s="5">
        <v>181</v>
      </c>
      <c r="F3395" s="5">
        <v>195</v>
      </c>
      <c r="G3395" s="5">
        <v>195</v>
      </c>
      <c r="H3395" s="5">
        <v>241</v>
      </c>
      <c r="I3395" s="5">
        <v>195</v>
      </c>
      <c r="J3395" s="5">
        <v>167</v>
      </c>
      <c r="K3395" s="5">
        <v>167</v>
      </c>
      <c r="L3395" s="5">
        <v>167</v>
      </c>
      <c r="M3395" s="5">
        <v>0</v>
      </c>
      <c r="N3395" s="5">
        <v>3652</v>
      </c>
      <c r="O3395" s="5" t="str">
        <f t="shared" ref="O3395:O3458" ca="1" si="53">"Supplier "&amp;RANDBETWEEN(1,200)</f>
        <v>Supplier 160</v>
      </c>
      <c r="P3395" s="20" t="str">
        <f ca="1">IFERROR(VLOOKUP(O3395,EMAILS!B:C,2,FALSE),"NOT FOUND IN EMAILS")</f>
        <v>supplier@gmail.com</v>
      </c>
      <c r="Q3395" t="str">
        <f ca="1">""&amp;IFERROR(VLOOKUP(O3395,EMAILS!B:D,3,FALSE),"NOT FOUND IN EMAILS")</f>
        <v/>
      </c>
      <c r="R3395" t="str">
        <f ca="1">""&amp;IFERROR(VLOOKUP(O3395,EMAILS!B:E,4,FALSE),"NO T FOUND IN EMAILS")</f>
        <v/>
      </c>
    </row>
    <row r="3396" spans="2:18" x14ac:dyDescent="0.25">
      <c r="B3396" s="5" t="s">
        <v>3398</v>
      </c>
      <c r="C3396" s="5" t="s">
        <v>7538</v>
      </c>
      <c r="D3396" s="5">
        <v>516</v>
      </c>
      <c r="E3396" s="5">
        <v>28</v>
      </c>
      <c r="F3396" s="5">
        <v>1133</v>
      </c>
      <c r="G3396" s="5">
        <v>1499</v>
      </c>
      <c r="H3396" s="5">
        <v>516</v>
      </c>
      <c r="I3396" s="5">
        <v>35</v>
      </c>
      <c r="J3396" s="5">
        <v>21</v>
      </c>
      <c r="K3396" s="5">
        <v>21</v>
      </c>
      <c r="L3396" s="5">
        <v>21</v>
      </c>
      <c r="M3396" s="5">
        <v>0</v>
      </c>
      <c r="N3396" s="5">
        <v>1500</v>
      </c>
      <c r="O3396" s="5" t="str">
        <f t="shared" ca="1" si="53"/>
        <v>Supplier 7</v>
      </c>
      <c r="P3396" s="20" t="str">
        <f ca="1">IFERROR(VLOOKUP(O3396,EMAILS!B:C,2,FALSE),"NOT FOUND IN EMAILS")</f>
        <v>supplier@gmail.com</v>
      </c>
      <c r="Q3396" t="str">
        <f ca="1">""&amp;IFERROR(VLOOKUP(O3396,EMAILS!B:D,3,FALSE),"NOT FOUND IN EMAILS")</f>
        <v>supplier_logistics@gmail.com</v>
      </c>
      <c r="R3396" t="str">
        <f ca="1">""&amp;IFERROR(VLOOKUP(O3396,EMAILS!B:E,4,FALSE),"NO T FOUND IN EMAILS")</f>
        <v/>
      </c>
    </row>
    <row r="3397" spans="2:18" x14ac:dyDescent="0.25">
      <c r="B3397" s="5" t="s">
        <v>3399</v>
      </c>
      <c r="C3397" s="5" t="s">
        <v>7539</v>
      </c>
      <c r="D3397" s="5">
        <v>740</v>
      </c>
      <c r="E3397" s="5">
        <v>566</v>
      </c>
      <c r="F3397" s="5">
        <v>864</v>
      </c>
      <c r="G3397" s="5">
        <v>80</v>
      </c>
      <c r="H3397" s="5">
        <v>342</v>
      </c>
      <c r="I3397" s="5">
        <v>18</v>
      </c>
      <c r="J3397" s="5">
        <v>10</v>
      </c>
      <c r="K3397" s="5">
        <v>10</v>
      </c>
      <c r="L3397" s="5">
        <v>130</v>
      </c>
      <c r="M3397" s="5">
        <v>0</v>
      </c>
      <c r="N3397" s="5">
        <v>965</v>
      </c>
      <c r="O3397" s="5" t="str">
        <f t="shared" ca="1" si="53"/>
        <v>Supplier 175</v>
      </c>
      <c r="P3397" s="20" t="str">
        <f ca="1">IFERROR(VLOOKUP(O3397,EMAILS!B:C,2,FALSE),"NOT FOUND IN EMAILS")</f>
        <v>supplier@gmail.com</v>
      </c>
      <c r="Q3397" t="str">
        <f ca="1">""&amp;IFERROR(VLOOKUP(O3397,EMAILS!B:D,3,FALSE),"NOT FOUND IN EMAILS")</f>
        <v/>
      </c>
      <c r="R3397" t="str">
        <f ca="1">""&amp;IFERROR(VLOOKUP(O3397,EMAILS!B:E,4,FALSE),"NO T FOUND IN EMAILS")</f>
        <v/>
      </c>
    </row>
    <row r="3398" spans="2:18" x14ac:dyDescent="0.25">
      <c r="B3398" s="5" t="s">
        <v>3400</v>
      </c>
      <c r="C3398" s="5" t="s">
        <v>7540</v>
      </c>
      <c r="D3398" s="5">
        <v>80</v>
      </c>
      <c r="E3398" s="5">
        <v>32</v>
      </c>
      <c r="F3398" s="5">
        <v>62</v>
      </c>
      <c r="G3398" s="5">
        <v>44</v>
      </c>
      <c r="H3398" s="5">
        <v>44</v>
      </c>
      <c r="I3398" s="5">
        <v>44</v>
      </c>
      <c r="J3398" s="5">
        <v>20</v>
      </c>
      <c r="K3398" s="5">
        <v>68</v>
      </c>
      <c r="L3398" s="5">
        <v>20</v>
      </c>
      <c r="M3398" s="5">
        <v>0</v>
      </c>
      <c r="N3398" s="5">
        <v>618</v>
      </c>
      <c r="O3398" s="5" t="str">
        <f t="shared" ca="1" si="53"/>
        <v>Supplier 62</v>
      </c>
      <c r="P3398" s="20" t="str">
        <f ca="1">IFERROR(VLOOKUP(O3398,EMAILS!B:C,2,FALSE),"NOT FOUND IN EMAILS")</f>
        <v>supplier@gmail.com</v>
      </c>
      <c r="Q3398" t="str">
        <f ca="1">""&amp;IFERROR(VLOOKUP(O3398,EMAILS!B:D,3,FALSE),"NOT FOUND IN EMAILS")</f>
        <v/>
      </c>
      <c r="R3398" t="str">
        <f ca="1">""&amp;IFERROR(VLOOKUP(O3398,EMAILS!B:E,4,FALSE),"NO T FOUND IN EMAILS")</f>
        <v/>
      </c>
    </row>
    <row r="3399" spans="2:18" x14ac:dyDescent="0.25">
      <c r="B3399" s="5" t="s">
        <v>3401</v>
      </c>
      <c r="C3399" s="5" t="s">
        <v>7541</v>
      </c>
      <c r="D3399" s="5">
        <v>0</v>
      </c>
      <c r="E3399" s="5">
        <v>0</v>
      </c>
      <c r="F3399" s="5">
        <v>0</v>
      </c>
      <c r="G3399" s="5">
        <v>0</v>
      </c>
      <c r="H3399" s="5">
        <v>0</v>
      </c>
      <c r="I3399" s="5">
        <v>0</v>
      </c>
      <c r="J3399" s="5">
        <v>0</v>
      </c>
      <c r="K3399" s="5">
        <v>0</v>
      </c>
      <c r="L3399" s="5">
        <v>0</v>
      </c>
      <c r="M3399" s="5">
        <v>0</v>
      </c>
      <c r="N3399" s="5">
        <v>1190</v>
      </c>
      <c r="O3399" s="5" t="str">
        <f t="shared" ca="1" si="53"/>
        <v>Supplier 18</v>
      </c>
      <c r="P3399" s="20" t="str">
        <f ca="1">IFERROR(VLOOKUP(O3399,EMAILS!B:C,2,FALSE),"NOT FOUND IN EMAILS")</f>
        <v>supplier@gmail.com</v>
      </c>
      <c r="Q3399" t="str">
        <f ca="1">""&amp;IFERROR(VLOOKUP(O3399,EMAILS!B:D,3,FALSE),"NOT FOUND IN EMAILS")</f>
        <v>supplier_logistics@gmail.com</v>
      </c>
      <c r="R3399" t="str">
        <f ca="1">""&amp;IFERROR(VLOOKUP(O3399,EMAILS!B:E,4,FALSE),"NO T FOUND IN EMAILS")</f>
        <v/>
      </c>
    </row>
    <row r="3400" spans="2:18" x14ac:dyDescent="0.25">
      <c r="B3400" s="5" t="s">
        <v>3402</v>
      </c>
      <c r="C3400" s="5" t="s">
        <v>7542</v>
      </c>
      <c r="D3400" s="5">
        <v>0</v>
      </c>
      <c r="E3400" s="5">
        <v>120</v>
      </c>
      <c r="F3400" s="5">
        <v>120</v>
      </c>
      <c r="G3400" s="5">
        <v>0</v>
      </c>
      <c r="H3400" s="5">
        <v>216</v>
      </c>
      <c r="I3400" s="5">
        <v>0</v>
      </c>
      <c r="J3400" s="5">
        <v>0</v>
      </c>
      <c r="K3400" s="5">
        <v>0</v>
      </c>
      <c r="L3400" s="5">
        <v>72</v>
      </c>
      <c r="M3400" s="5">
        <v>0</v>
      </c>
      <c r="N3400" s="5">
        <v>207</v>
      </c>
      <c r="O3400" s="5" t="str">
        <f t="shared" ca="1" si="53"/>
        <v>Supplier 100</v>
      </c>
      <c r="P3400" s="20" t="str">
        <f ca="1">IFERROR(VLOOKUP(O3400,EMAILS!B:C,2,FALSE),"NOT FOUND IN EMAILS")</f>
        <v>supplier@gmail.com</v>
      </c>
      <c r="Q3400" t="str">
        <f ca="1">""&amp;IFERROR(VLOOKUP(O3400,EMAILS!B:D,3,FALSE),"NOT FOUND IN EMAILS")</f>
        <v/>
      </c>
      <c r="R3400" t="str">
        <f ca="1">""&amp;IFERROR(VLOOKUP(O3400,EMAILS!B:E,4,FALSE),"NO T FOUND IN EMAILS")</f>
        <v/>
      </c>
    </row>
    <row r="3401" spans="2:18" x14ac:dyDescent="0.25">
      <c r="B3401" s="5" t="s">
        <v>3403</v>
      </c>
      <c r="C3401" s="5" t="s">
        <v>7543</v>
      </c>
      <c r="D3401" s="5">
        <v>0</v>
      </c>
      <c r="E3401" s="5">
        <v>0</v>
      </c>
      <c r="F3401" s="5">
        <v>0</v>
      </c>
      <c r="G3401" s="5">
        <v>0</v>
      </c>
      <c r="H3401" s="5">
        <v>0</v>
      </c>
      <c r="I3401" s="5">
        <v>0</v>
      </c>
      <c r="J3401" s="5">
        <v>0</v>
      </c>
      <c r="K3401" s="5">
        <v>0</v>
      </c>
      <c r="L3401" s="5">
        <v>0</v>
      </c>
      <c r="M3401" s="5">
        <v>0</v>
      </c>
      <c r="N3401" s="5">
        <v>0</v>
      </c>
      <c r="O3401" s="5" t="str">
        <f t="shared" ca="1" si="53"/>
        <v>Supplier 85</v>
      </c>
      <c r="P3401" s="20" t="str">
        <f ca="1">IFERROR(VLOOKUP(O3401,EMAILS!B:C,2,FALSE),"NOT FOUND IN EMAILS")</f>
        <v>supplier@gmail.com</v>
      </c>
      <c r="Q3401" t="str">
        <f ca="1">""&amp;IFERROR(VLOOKUP(O3401,EMAILS!B:D,3,FALSE),"NOT FOUND IN EMAILS")</f>
        <v/>
      </c>
      <c r="R3401" t="str">
        <f ca="1">""&amp;IFERROR(VLOOKUP(O3401,EMAILS!B:E,4,FALSE),"NO T FOUND IN EMAILS")</f>
        <v/>
      </c>
    </row>
    <row r="3402" spans="2:18" x14ac:dyDescent="0.25">
      <c r="B3402" s="5" t="s">
        <v>3404</v>
      </c>
      <c r="C3402" s="5" t="s">
        <v>7544</v>
      </c>
      <c r="D3402" s="5">
        <v>912</v>
      </c>
      <c r="E3402" s="5">
        <v>744</v>
      </c>
      <c r="F3402" s="5">
        <v>1032</v>
      </c>
      <c r="G3402" s="5">
        <v>1032</v>
      </c>
      <c r="H3402" s="5">
        <v>360</v>
      </c>
      <c r="I3402" s="5">
        <v>528</v>
      </c>
      <c r="J3402" s="5">
        <v>480</v>
      </c>
      <c r="K3402" s="5">
        <v>504</v>
      </c>
      <c r="L3402" s="5">
        <v>384</v>
      </c>
      <c r="M3402" s="5">
        <v>0</v>
      </c>
      <c r="N3402" s="5">
        <v>0</v>
      </c>
      <c r="O3402" s="5" t="str">
        <f t="shared" ca="1" si="53"/>
        <v>Supplier 30</v>
      </c>
      <c r="P3402" s="20" t="str">
        <f ca="1">IFERROR(VLOOKUP(O3402,EMAILS!B:C,2,FALSE),"NOT FOUND IN EMAILS")</f>
        <v>supplier@gmail.com</v>
      </c>
      <c r="Q3402" t="str">
        <f ca="1">""&amp;IFERROR(VLOOKUP(O3402,EMAILS!B:D,3,FALSE),"NOT FOUND IN EMAILS")</f>
        <v/>
      </c>
      <c r="R3402" t="str">
        <f ca="1">""&amp;IFERROR(VLOOKUP(O3402,EMAILS!B:E,4,FALSE),"NO T FOUND IN EMAILS")</f>
        <v/>
      </c>
    </row>
    <row r="3403" spans="2:18" x14ac:dyDescent="0.25">
      <c r="B3403" s="5" t="s">
        <v>3405</v>
      </c>
      <c r="C3403" s="5" t="s">
        <v>7545</v>
      </c>
      <c r="D3403" s="5">
        <v>456</v>
      </c>
      <c r="E3403" s="5">
        <v>372</v>
      </c>
      <c r="F3403" s="5">
        <v>516</v>
      </c>
      <c r="G3403" s="5">
        <v>516</v>
      </c>
      <c r="H3403" s="5">
        <v>180</v>
      </c>
      <c r="I3403" s="5">
        <v>264</v>
      </c>
      <c r="J3403" s="5">
        <v>240</v>
      </c>
      <c r="K3403" s="5">
        <v>252</v>
      </c>
      <c r="L3403" s="5">
        <v>192</v>
      </c>
      <c r="M3403" s="5">
        <v>0</v>
      </c>
      <c r="N3403" s="5">
        <v>0</v>
      </c>
      <c r="O3403" s="5" t="str">
        <f t="shared" ca="1" si="53"/>
        <v>Supplier 107</v>
      </c>
      <c r="P3403" s="20" t="str">
        <f ca="1">IFERROR(VLOOKUP(O3403,EMAILS!B:C,2,FALSE),"NOT FOUND IN EMAILS")</f>
        <v>supplier@gmail.com</v>
      </c>
      <c r="Q3403" t="str">
        <f ca="1">""&amp;IFERROR(VLOOKUP(O3403,EMAILS!B:D,3,FALSE),"NOT FOUND IN EMAILS")</f>
        <v/>
      </c>
      <c r="R3403" t="str">
        <f ca="1">""&amp;IFERROR(VLOOKUP(O3403,EMAILS!B:E,4,FALSE),"NO T FOUND IN EMAILS")</f>
        <v/>
      </c>
    </row>
    <row r="3404" spans="2:18" x14ac:dyDescent="0.25">
      <c r="B3404" s="5" t="s">
        <v>3406</v>
      </c>
      <c r="C3404" s="5" t="s">
        <v>7546</v>
      </c>
      <c r="D3404" s="5">
        <v>0</v>
      </c>
      <c r="E3404" s="5">
        <v>0</v>
      </c>
      <c r="F3404" s="5">
        <v>0</v>
      </c>
      <c r="G3404" s="5">
        <v>0</v>
      </c>
      <c r="H3404" s="5">
        <v>0</v>
      </c>
      <c r="I3404" s="5">
        <v>0</v>
      </c>
      <c r="J3404" s="5">
        <v>0</v>
      </c>
      <c r="K3404" s="5">
        <v>0</v>
      </c>
      <c r="L3404" s="5">
        <v>0</v>
      </c>
      <c r="M3404" s="5">
        <v>0</v>
      </c>
      <c r="N3404" s="5">
        <v>0</v>
      </c>
      <c r="O3404" s="5" t="str">
        <f t="shared" ca="1" si="53"/>
        <v>Supplier 60</v>
      </c>
      <c r="P3404" s="20" t="str">
        <f ca="1">IFERROR(VLOOKUP(O3404,EMAILS!B:C,2,FALSE),"NOT FOUND IN EMAILS")</f>
        <v>supplier@gmail.com</v>
      </c>
      <c r="Q3404" t="str">
        <f ca="1">""&amp;IFERROR(VLOOKUP(O3404,EMAILS!B:D,3,FALSE),"NOT FOUND IN EMAILS")</f>
        <v/>
      </c>
      <c r="R3404" t="str">
        <f ca="1">""&amp;IFERROR(VLOOKUP(O3404,EMAILS!B:E,4,FALSE),"NO T FOUND IN EMAILS")</f>
        <v/>
      </c>
    </row>
    <row r="3405" spans="2:18" x14ac:dyDescent="0.25">
      <c r="B3405" s="5" t="s">
        <v>3407</v>
      </c>
      <c r="C3405" s="5" t="s">
        <v>7547</v>
      </c>
      <c r="D3405" s="5">
        <v>114</v>
      </c>
      <c r="E3405" s="5">
        <v>93</v>
      </c>
      <c r="F3405" s="5">
        <v>129</v>
      </c>
      <c r="G3405" s="5">
        <v>129</v>
      </c>
      <c r="H3405" s="5">
        <v>45</v>
      </c>
      <c r="I3405" s="5">
        <v>68</v>
      </c>
      <c r="J3405" s="5">
        <v>60</v>
      </c>
      <c r="K3405" s="5">
        <v>65</v>
      </c>
      <c r="L3405" s="5">
        <v>48</v>
      </c>
      <c r="M3405" s="5">
        <v>0</v>
      </c>
      <c r="N3405" s="5">
        <v>0</v>
      </c>
      <c r="O3405" s="5" t="str">
        <f t="shared" ca="1" si="53"/>
        <v>Supplier 2</v>
      </c>
      <c r="P3405" s="20" t="str">
        <f ca="1">IFERROR(VLOOKUP(O3405,EMAILS!B:C,2,FALSE),"NOT FOUND IN EMAILS")</f>
        <v>supplier@gmail.com</v>
      </c>
      <c r="Q3405" t="str">
        <f ca="1">""&amp;IFERROR(VLOOKUP(O3405,EMAILS!B:D,3,FALSE),"NOT FOUND IN EMAILS")</f>
        <v>supplier_logistics@gmail.com</v>
      </c>
      <c r="R3405" t="str">
        <f ca="1">""&amp;IFERROR(VLOOKUP(O3405,EMAILS!B:E,4,FALSE),"NO T FOUND IN EMAILS")</f>
        <v/>
      </c>
    </row>
    <row r="3406" spans="2:18" x14ac:dyDescent="0.25">
      <c r="B3406" s="5" t="s">
        <v>3408</v>
      </c>
      <c r="C3406" s="5" t="s">
        <v>7548</v>
      </c>
      <c r="D3406" s="5">
        <v>304</v>
      </c>
      <c r="E3406" s="5">
        <v>248</v>
      </c>
      <c r="F3406" s="5">
        <v>344</v>
      </c>
      <c r="G3406" s="5">
        <v>344</v>
      </c>
      <c r="H3406" s="5">
        <v>120</v>
      </c>
      <c r="I3406" s="5">
        <v>176</v>
      </c>
      <c r="J3406" s="5">
        <v>160</v>
      </c>
      <c r="K3406" s="5">
        <v>168</v>
      </c>
      <c r="L3406" s="5">
        <v>128</v>
      </c>
      <c r="M3406" s="5">
        <v>0</v>
      </c>
      <c r="N3406" s="5">
        <v>0</v>
      </c>
      <c r="O3406" s="5" t="str">
        <f t="shared" ca="1" si="53"/>
        <v>Supplier 68</v>
      </c>
      <c r="P3406" s="20" t="str">
        <f ca="1">IFERROR(VLOOKUP(O3406,EMAILS!B:C,2,FALSE),"NOT FOUND IN EMAILS")</f>
        <v>supplier@gmail.com</v>
      </c>
      <c r="Q3406" t="str">
        <f ca="1">""&amp;IFERROR(VLOOKUP(O3406,EMAILS!B:D,3,FALSE),"NOT FOUND IN EMAILS")</f>
        <v/>
      </c>
      <c r="R3406" t="str">
        <f ca="1">""&amp;IFERROR(VLOOKUP(O3406,EMAILS!B:E,4,FALSE),"NO T FOUND IN EMAILS")</f>
        <v/>
      </c>
    </row>
    <row r="3407" spans="2:18" x14ac:dyDescent="0.25">
      <c r="B3407" s="5" t="s">
        <v>3409</v>
      </c>
      <c r="C3407" s="5" t="s">
        <v>7549</v>
      </c>
      <c r="D3407" s="5">
        <v>0</v>
      </c>
      <c r="E3407" s="5">
        <v>26</v>
      </c>
      <c r="F3407" s="5">
        <v>38</v>
      </c>
      <c r="G3407" s="5">
        <v>38</v>
      </c>
      <c r="H3407" s="5">
        <v>0</v>
      </c>
      <c r="I3407" s="5">
        <v>10</v>
      </c>
      <c r="J3407" s="5">
        <v>10</v>
      </c>
      <c r="K3407" s="5">
        <v>8</v>
      </c>
      <c r="L3407" s="5">
        <v>2</v>
      </c>
      <c r="M3407" s="5">
        <v>0</v>
      </c>
      <c r="N3407" s="5">
        <v>0</v>
      </c>
      <c r="O3407" s="5" t="str">
        <f t="shared" ca="1" si="53"/>
        <v>Supplier 151</v>
      </c>
      <c r="P3407" s="20" t="str">
        <f ca="1">IFERROR(VLOOKUP(O3407,EMAILS!B:C,2,FALSE),"NOT FOUND IN EMAILS")</f>
        <v>supplier@gmail.com</v>
      </c>
      <c r="Q3407" t="str">
        <f ca="1">""&amp;IFERROR(VLOOKUP(O3407,EMAILS!B:D,3,FALSE),"NOT FOUND IN EMAILS")</f>
        <v/>
      </c>
      <c r="R3407" t="str">
        <f ca="1">""&amp;IFERROR(VLOOKUP(O3407,EMAILS!B:E,4,FALSE),"NO T FOUND IN EMAILS")</f>
        <v/>
      </c>
    </row>
    <row r="3408" spans="2:18" x14ac:dyDescent="0.25">
      <c r="B3408" s="5" t="s">
        <v>3410</v>
      </c>
      <c r="C3408" s="5" t="s">
        <v>7550</v>
      </c>
      <c r="D3408" s="5">
        <v>0</v>
      </c>
      <c r="E3408" s="5">
        <v>0</v>
      </c>
      <c r="F3408" s="5">
        <v>0</v>
      </c>
      <c r="G3408" s="5">
        <v>0</v>
      </c>
      <c r="H3408" s="5">
        <v>0</v>
      </c>
      <c r="I3408" s="5">
        <v>0</v>
      </c>
      <c r="J3408" s="5">
        <v>0</v>
      </c>
      <c r="K3408" s="5">
        <v>0</v>
      </c>
      <c r="L3408" s="5">
        <v>0</v>
      </c>
      <c r="M3408" s="5">
        <v>0</v>
      </c>
      <c r="N3408" s="5">
        <v>923</v>
      </c>
      <c r="O3408" s="5" t="str">
        <f t="shared" ca="1" si="53"/>
        <v>Supplier 31</v>
      </c>
      <c r="P3408" s="20" t="str">
        <f ca="1">IFERROR(VLOOKUP(O3408,EMAILS!B:C,2,FALSE),"NOT FOUND IN EMAILS")</f>
        <v>supplier@gmail.com</v>
      </c>
      <c r="Q3408" t="str">
        <f ca="1">""&amp;IFERROR(VLOOKUP(O3408,EMAILS!B:D,3,FALSE),"NOT FOUND IN EMAILS")</f>
        <v/>
      </c>
      <c r="R3408" t="str">
        <f ca="1">""&amp;IFERROR(VLOOKUP(O3408,EMAILS!B:E,4,FALSE),"NO T FOUND IN EMAILS")</f>
        <v/>
      </c>
    </row>
    <row r="3409" spans="2:18" x14ac:dyDescent="0.25">
      <c r="B3409" s="5" t="s">
        <v>3411</v>
      </c>
      <c r="C3409" s="5" t="s">
        <v>7551</v>
      </c>
      <c r="D3409" s="5">
        <v>152</v>
      </c>
      <c r="E3409" s="5">
        <v>72</v>
      </c>
      <c r="F3409" s="5">
        <v>96</v>
      </c>
      <c r="G3409" s="5">
        <v>96</v>
      </c>
      <c r="H3409" s="5">
        <v>60</v>
      </c>
      <c r="I3409" s="5">
        <v>68</v>
      </c>
      <c r="J3409" s="5">
        <v>60</v>
      </c>
      <c r="K3409" s="5">
        <v>68</v>
      </c>
      <c r="L3409" s="5">
        <v>60</v>
      </c>
      <c r="M3409" s="5">
        <v>0</v>
      </c>
      <c r="N3409" s="5">
        <v>1268</v>
      </c>
      <c r="O3409" s="5" t="str">
        <f t="shared" ca="1" si="53"/>
        <v>Supplier 57</v>
      </c>
      <c r="P3409" s="20" t="str">
        <f ca="1">IFERROR(VLOOKUP(O3409,EMAILS!B:C,2,FALSE),"NOT FOUND IN EMAILS")</f>
        <v>supplier@gmail.com</v>
      </c>
      <c r="Q3409" t="str">
        <f ca="1">""&amp;IFERROR(VLOOKUP(O3409,EMAILS!B:D,3,FALSE),"NOT FOUND IN EMAILS")</f>
        <v/>
      </c>
      <c r="R3409" t="str">
        <f ca="1">""&amp;IFERROR(VLOOKUP(O3409,EMAILS!B:E,4,FALSE),"NO T FOUND IN EMAILS")</f>
        <v/>
      </c>
    </row>
    <row r="3410" spans="2:18" x14ac:dyDescent="0.25">
      <c r="B3410" s="5" t="s">
        <v>3412</v>
      </c>
      <c r="C3410" s="5" t="s">
        <v>7552</v>
      </c>
      <c r="D3410" s="5">
        <v>86</v>
      </c>
      <c r="E3410" s="5">
        <v>126</v>
      </c>
      <c r="F3410" s="5">
        <v>72</v>
      </c>
      <c r="G3410" s="5">
        <v>92</v>
      </c>
      <c r="H3410" s="5">
        <v>92</v>
      </c>
      <c r="I3410" s="5">
        <v>78</v>
      </c>
      <c r="J3410" s="5">
        <v>50</v>
      </c>
      <c r="K3410" s="5">
        <v>32</v>
      </c>
      <c r="L3410" s="5">
        <v>32</v>
      </c>
      <c r="M3410" s="5">
        <v>0</v>
      </c>
      <c r="N3410" s="5">
        <v>2106</v>
      </c>
      <c r="O3410" s="5" t="str">
        <f t="shared" ca="1" si="53"/>
        <v>Supplier 38</v>
      </c>
      <c r="P3410" s="20" t="str">
        <f ca="1">IFERROR(VLOOKUP(O3410,EMAILS!B:C,2,FALSE),"NOT FOUND IN EMAILS")</f>
        <v>supplier@gmail.com</v>
      </c>
      <c r="Q3410" t="str">
        <f ca="1">""&amp;IFERROR(VLOOKUP(O3410,EMAILS!B:D,3,FALSE),"NOT FOUND IN EMAILS")</f>
        <v/>
      </c>
      <c r="R3410" t="str">
        <f ca="1">""&amp;IFERROR(VLOOKUP(O3410,EMAILS!B:E,4,FALSE),"NO T FOUND IN EMAILS")</f>
        <v/>
      </c>
    </row>
    <row r="3411" spans="2:18" x14ac:dyDescent="0.25">
      <c r="B3411" s="5" t="s">
        <v>3413</v>
      </c>
      <c r="C3411" s="5" t="s">
        <v>7553</v>
      </c>
      <c r="D3411" s="5">
        <v>129</v>
      </c>
      <c r="E3411" s="5">
        <v>153</v>
      </c>
      <c r="F3411" s="5">
        <v>212</v>
      </c>
      <c r="G3411" s="5">
        <v>246</v>
      </c>
      <c r="H3411" s="5">
        <v>248</v>
      </c>
      <c r="I3411" s="5">
        <v>227</v>
      </c>
      <c r="J3411" s="5">
        <v>159</v>
      </c>
      <c r="K3411" s="5">
        <v>144</v>
      </c>
      <c r="L3411" s="5">
        <v>126</v>
      </c>
      <c r="M3411" s="5">
        <v>0</v>
      </c>
      <c r="N3411" s="5">
        <v>1744</v>
      </c>
      <c r="O3411" s="5" t="str">
        <f t="shared" ca="1" si="53"/>
        <v>Supplier 83</v>
      </c>
      <c r="P3411" s="20" t="str">
        <f ca="1">IFERROR(VLOOKUP(O3411,EMAILS!B:C,2,FALSE),"NOT FOUND IN EMAILS")</f>
        <v>supplier@gmail.com</v>
      </c>
      <c r="Q3411" t="str">
        <f ca="1">""&amp;IFERROR(VLOOKUP(O3411,EMAILS!B:D,3,FALSE),"NOT FOUND IN EMAILS")</f>
        <v/>
      </c>
      <c r="R3411" t="str">
        <f ca="1">""&amp;IFERROR(VLOOKUP(O3411,EMAILS!B:E,4,FALSE),"NO T FOUND IN EMAILS")</f>
        <v/>
      </c>
    </row>
    <row r="3412" spans="2:18" x14ac:dyDescent="0.25">
      <c r="B3412" s="5" t="s">
        <v>3414</v>
      </c>
      <c r="C3412" s="5" t="s">
        <v>7554</v>
      </c>
      <c r="D3412" s="5">
        <v>76</v>
      </c>
      <c r="E3412" s="5">
        <v>20</v>
      </c>
      <c r="F3412" s="5">
        <v>86</v>
      </c>
      <c r="G3412" s="5">
        <v>76</v>
      </c>
      <c r="H3412" s="5">
        <v>86</v>
      </c>
      <c r="I3412" s="5">
        <v>66</v>
      </c>
      <c r="J3412" s="5">
        <v>60</v>
      </c>
      <c r="K3412" s="5">
        <v>44</v>
      </c>
      <c r="L3412" s="5">
        <v>42</v>
      </c>
      <c r="M3412" s="5">
        <v>0</v>
      </c>
      <c r="N3412" s="5">
        <v>486</v>
      </c>
      <c r="O3412" s="5" t="str">
        <f t="shared" ca="1" si="53"/>
        <v>Supplier 89</v>
      </c>
      <c r="P3412" s="20" t="str">
        <f ca="1">IFERROR(VLOOKUP(O3412,EMAILS!B:C,2,FALSE),"NOT FOUND IN EMAILS")</f>
        <v>supplier@gmail.com</v>
      </c>
      <c r="Q3412" t="str">
        <f ca="1">""&amp;IFERROR(VLOOKUP(O3412,EMAILS!B:D,3,FALSE),"NOT FOUND IN EMAILS")</f>
        <v/>
      </c>
      <c r="R3412" t="str">
        <f ca="1">""&amp;IFERROR(VLOOKUP(O3412,EMAILS!B:E,4,FALSE),"NO T FOUND IN EMAILS")</f>
        <v/>
      </c>
    </row>
    <row r="3413" spans="2:18" x14ac:dyDescent="0.25">
      <c r="B3413" s="5" t="s">
        <v>3415</v>
      </c>
      <c r="C3413" s="5" t="s">
        <v>7555</v>
      </c>
      <c r="D3413" s="5">
        <v>12</v>
      </c>
      <c r="E3413" s="5">
        <v>0</v>
      </c>
      <c r="F3413" s="5">
        <v>10</v>
      </c>
      <c r="G3413" s="5">
        <v>12</v>
      </c>
      <c r="H3413" s="5">
        <v>14</v>
      </c>
      <c r="I3413" s="5">
        <v>10</v>
      </c>
      <c r="J3413" s="5">
        <v>8</v>
      </c>
      <c r="K3413" s="5">
        <v>8</v>
      </c>
      <c r="L3413" s="5">
        <v>8</v>
      </c>
      <c r="M3413" s="5">
        <v>0</v>
      </c>
      <c r="N3413" s="5">
        <v>162</v>
      </c>
      <c r="O3413" s="5" t="str">
        <f t="shared" ca="1" si="53"/>
        <v>Supplier 158</v>
      </c>
      <c r="P3413" s="20" t="str">
        <f ca="1">IFERROR(VLOOKUP(O3413,EMAILS!B:C,2,FALSE),"NOT FOUND IN EMAILS")</f>
        <v>supplier@gmail.com</v>
      </c>
      <c r="Q3413" t="str">
        <f ca="1">""&amp;IFERROR(VLOOKUP(O3413,EMAILS!B:D,3,FALSE),"NOT FOUND IN EMAILS")</f>
        <v/>
      </c>
      <c r="R3413" t="str">
        <f ca="1">""&amp;IFERROR(VLOOKUP(O3413,EMAILS!B:E,4,FALSE),"NO T FOUND IN EMAILS")</f>
        <v/>
      </c>
    </row>
    <row r="3414" spans="2:18" x14ac:dyDescent="0.25">
      <c r="B3414" s="5" t="s">
        <v>3416</v>
      </c>
      <c r="C3414" s="5" t="s">
        <v>7556</v>
      </c>
      <c r="D3414" s="5">
        <v>0</v>
      </c>
      <c r="E3414" s="5">
        <v>0</v>
      </c>
      <c r="F3414" s="5">
        <v>0</v>
      </c>
      <c r="G3414" s="5">
        <v>0</v>
      </c>
      <c r="H3414" s="5">
        <v>0</v>
      </c>
      <c r="I3414" s="5">
        <v>0</v>
      </c>
      <c r="J3414" s="5">
        <v>0</v>
      </c>
      <c r="K3414" s="5">
        <v>0</v>
      </c>
      <c r="L3414" s="5">
        <v>0</v>
      </c>
      <c r="M3414" s="5">
        <v>0</v>
      </c>
      <c r="N3414" s="5">
        <v>1568</v>
      </c>
      <c r="O3414" s="5" t="str">
        <f t="shared" ca="1" si="53"/>
        <v>Supplier 81</v>
      </c>
      <c r="P3414" s="20" t="str">
        <f ca="1">IFERROR(VLOOKUP(O3414,EMAILS!B:C,2,FALSE),"NOT FOUND IN EMAILS")</f>
        <v>supplier@gmail.com</v>
      </c>
      <c r="Q3414" t="str">
        <f ca="1">""&amp;IFERROR(VLOOKUP(O3414,EMAILS!B:D,3,FALSE),"NOT FOUND IN EMAILS")</f>
        <v/>
      </c>
      <c r="R3414" t="str">
        <f ca="1">""&amp;IFERROR(VLOOKUP(O3414,EMAILS!B:E,4,FALSE),"NO T FOUND IN EMAILS")</f>
        <v/>
      </c>
    </row>
    <row r="3415" spans="2:18" x14ac:dyDescent="0.25">
      <c r="B3415" s="5" t="s">
        <v>3417</v>
      </c>
      <c r="C3415" s="5" t="s">
        <v>7557</v>
      </c>
      <c r="D3415" s="5">
        <v>122</v>
      </c>
      <c r="E3415" s="5">
        <v>162</v>
      </c>
      <c r="F3415" s="5">
        <v>212</v>
      </c>
      <c r="G3415" s="5">
        <v>312</v>
      </c>
      <c r="H3415" s="5">
        <v>312</v>
      </c>
      <c r="I3415" s="5">
        <v>294</v>
      </c>
      <c r="J3415" s="5">
        <v>186</v>
      </c>
      <c r="K3415" s="5">
        <v>212</v>
      </c>
      <c r="L3415" s="5">
        <v>178</v>
      </c>
      <c r="M3415" s="5">
        <v>0</v>
      </c>
      <c r="N3415" s="5">
        <v>365</v>
      </c>
      <c r="O3415" s="5" t="str">
        <f t="shared" ca="1" si="53"/>
        <v>Supplier 102</v>
      </c>
      <c r="P3415" s="20" t="str">
        <f ca="1">IFERROR(VLOOKUP(O3415,EMAILS!B:C,2,FALSE),"NOT FOUND IN EMAILS")</f>
        <v>supplier@gmail.com</v>
      </c>
      <c r="Q3415" t="str">
        <f ca="1">""&amp;IFERROR(VLOOKUP(O3415,EMAILS!B:D,3,FALSE),"NOT FOUND IN EMAILS")</f>
        <v/>
      </c>
      <c r="R3415" t="str">
        <f ca="1">""&amp;IFERROR(VLOOKUP(O3415,EMAILS!B:E,4,FALSE),"NO T FOUND IN EMAILS")</f>
        <v/>
      </c>
    </row>
    <row r="3416" spans="2:18" x14ac:dyDescent="0.25">
      <c r="B3416" s="5" t="s">
        <v>3418</v>
      </c>
      <c r="C3416" s="5" t="s">
        <v>7558</v>
      </c>
      <c r="D3416" s="5">
        <v>0</v>
      </c>
      <c r="E3416" s="5">
        <v>0</v>
      </c>
      <c r="F3416" s="5">
        <v>0</v>
      </c>
      <c r="G3416" s="5">
        <v>0</v>
      </c>
      <c r="H3416" s="5">
        <v>0</v>
      </c>
      <c r="I3416" s="5">
        <v>0</v>
      </c>
      <c r="J3416" s="5">
        <v>0</v>
      </c>
      <c r="K3416" s="5">
        <v>0</v>
      </c>
      <c r="L3416" s="5">
        <v>0</v>
      </c>
      <c r="M3416" s="5">
        <v>0</v>
      </c>
      <c r="N3416" s="5">
        <v>313</v>
      </c>
      <c r="O3416" s="5" t="str">
        <f t="shared" ca="1" si="53"/>
        <v>Supplier 174</v>
      </c>
      <c r="P3416" s="20" t="str">
        <f ca="1">IFERROR(VLOOKUP(O3416,EMAILS!B:C,2,FALSE),"NOT FOUND IN EMAILS")</f>
        <v>supplier@gmail.com</v>
      </c>
      <c r="Q3416" t="str">
        <f ca="1">""&amp;IFERROR(VLOOKUP(O3416,EMAILS!B:D,3,FALSE),"NOT FOUND IN EMAILS")</f>
        <v/>
      </c>
      <c r="R3416" t="str">
        <f ca="1">""&amp;IFERROR(VLOOKUP(O3416,EMAILS!B:E,4,FALSE),"NO T FOUND IN EMAILS")</f>
        <v/>
      </c>
    </row>
    <row r="3417" spans="2:18" x14ac:dyDescent="0.25">
      <c r="B3417" s="5" t="s">
        <v>3419</v>
      </c>
      <c r="C3417" s="5" t="s">
        <v>7559</v>
      </c>
      <c r="D3417" s="5">
        <v>14</v>
      </c>
      <c r="E3417" s="5">
        <v>18</v>
      </c>
      <c r="F3417" s="5">
        <v>24</v>
      </c>
      <c r="G3417" s="5">
        <v>28</v>
      </c>
      <c r="H3417" s="5">
        <v>28</v>
      </c>
      <c r="I3417" s="5">
        <v>26</v>
      </c>
      <c r="J3417" s="5">
        <v>18</v>
      </c>
      <c r="K3417" s="5">
        <v>16</v>
      </c>
      <c r="L3417" s="5">
        <v>14</v>
      </c>
      <c r="M3417" s="5">
        <v>0</v>
      </c>
      <c r="N3417" s="5">
        <v>517</v>
      </c>
      <c r="O3417" s="5" t="str">
        <f t="shared" ca="1" si="53"/>
        <v>Supplier 62</v>
      </c>
      <c r="P3417" s="20" t="str">
        <f ca="1">IFERROR(VLOOKUP(O3417,EMAILS!B:C,2,FALSE),"NOT FOUND IN EMAILS")</f>
        <v>supplier@gmail.com</v>
      </c>
      <c r="Q3417" t="str">
        <f ca="1">""&amp;IFERROR(VLOOKUP(O3417,EMAILS!B:D,3,FALSE),"NOT FOUND IN EMAILS")</f>
        <v/>
      </c>
      <c r="R3417" t="str">
        <f ca="1">""&amp;IFERROR(VLOOKUP(O3417,EMAILS!B:E,4,FALSE),"NO T FOUND IN EMAILS")</f>
        <v/>
      </c>
    </row>
    <row r="3418" spans="2:18" x14ac:dyDescent="0.25">
      <c r="B3418" s="5" t="s">
        <v>3420</v>
      </c>
      <c r="C3418" s="5" t="s">
        <v>7560</v>
      </c>
      <c r="D3418" s="5">
        <v>138</v>
      </c>
      <c r="E3418" s="5">
        <v>180</v>
      </c>
      <c r="F3418" s="5">
        <v>238</v>
      </c>
      <c r="G3418" s="5">
        <v>276</v>
      </c>
      <c r="H3418" s="5">
        <v>276</v>
      </c>
      <c r="I3418" s="5">
        <v>256</v>
      </c>
      <c r="J3418" s="5">
        <v>176</v>
      </c>
      <c r="K3418" s="5">
        <v>160</v>
      </c>
      <c r="L3418" s="5">
        <v>140</v>
      </c>
      <c r="M3418" s="5">
        <v>0</v>
      </c>
      <c r="N3418" s="5">
        <v>1569</v>
      </c>
      <c r="O3418" s="5" t="str">
        <f t="shared" ca="1" si="53"/>
        <v>Supplier 102</v>
      </c>
      <c r="P3418" s="20" t="str">
        <f ca="1">IFERROR(VLOOKUP(O3418,EMAILS!B:C,2,FALSE),"NOT FOUND IN EMAILS")</f>
        <v>supplier@gmail.com</v>
      </c>
      <c r="Q3418" t="str">
        <f ca="1">""&amp;IFERROR(VLOOKUP(O3418,EMAILS!B:D,3,FALSE),"NOT FOUND IN EMAILS")</f>
        <v/>
      </c>
      <c r="R3418" t="str">
        <f ca="1">""&amp;IFERROR(VLOOKUP(O3418,EMAILS!B:E,4,FALSE),"NO T FOUND IN EMAILS")</f>
        <v/>
      </c>
    </row>
    <row r="3419" spans="2:18" x14ac:dyDescent="0.25">
      <c r="B3419" s="5" t="s">
        <v>3421</v>
      </c>
      <c r="C3419" s="5" t="s">
        <v>7561</v>
      </c>
      <c r="D3419" s="5">
        <v>42</v>
      </c>
      <c r="E3419" s="5">
        <v>54</v>
      </c>
      <c r="F3419" s="5">
        <v>72</v>
      </c>
      <c r="G3419" s="5">
        <v>60</v>
      </c>
      <c r="H3419" s="5">
        <v>60</v>
      </c>
      <c r="I3419" s="5">
        <v>54</v>
      </c>
      <c r="J3419" s="5">
        <v>42</v>
      </c>
      <c r="K3419" s="5">
        <v>24</v>
      </c>
      <c r="L3419" s="5">
        <v>24</v>
      </c>
      <c r="M3419" s="5">
        <v>0</v>
      </c>
      <c r="N3419" s="5">
        <v>300</v>
      </c>
      <c r="O3419" s="5" t="str">
        <f t="shared" ca="1" si="53"/>
        <v>Supplier 134</v>
      </c>
      <c r="P3419" s="20" t="str">
        <f ca="1">IFERROR(VLOOKUP(O3419,EMAILS!B:C,2,FALSE),"NOT FOUND IN EMAILS")</f>
        <v>supplier@gmail.com</v>
      </c>
      <c r="Q3419" t="str">
        <f ca="1">""&amp;IFERROR(VLOOKUP(O3419,EMAILS!B:D,3,FALSE),"NOT FOUND IN EMAILS")</f>
        <v/>
      </c>
      <c r="R3419" t="str">
        <f ca="1">""&amp;IFERROR(VLOOKUP(O3419,EMAILS!B:E,4,FALSE),"NO T FOUND IN EMAILS")</f>
        <v/>
      </c>
    </row>
    <row r="3420" spans="2:18" x14ac:dyDescent="0.25">
      <c r="B3420" s="5" t="s">
        <v>3422</v>
      </c>
      <c r="C3420" s="5" t="s">
        <v>7562</v>
      </c>
      <c r="D3420" s="5">
        <v>0</v>
      </c>
      <c r="E3420" s="5">
        <v>0</v>
      </c>
      <c r="F3420" s="5">
        <v>0</v>
      </c>
      <c r="G3420" s="5">
        <v>0</v>
      </c>
      <c r="H3420" s="5">
        <v>0</v>
      </c>
      <c r="I3420" s="5">
        <v>0</v>
      </c>
      <c r="J3420" s="5">
        <v>0</v>
      </c>
      <c r="K3420" s="5">
        <v>0</v>
      </c>
      <c r="L3420" s="5">
        <v>0</v>
      </c>
      <c r="M3420" s="5">
        <v>0</v>
      </c>
      <c r="N3420" s="5">
        <v>1691</v>
      </c>
      <c r="O3420" s="5" t="str">
        <f t="shared" ca="1" si="53"/>
        <v>Supplier 32</v>
      </c>
      <c r="P3420" s="20" t="str">
        <f ca="1">IFERROR(VLOOKUP(O3420,EMAILS!B:C,2,FALSE),"NOT FOUND IN EMAILS")</f>
        <v>supplier@gmail.com</v>
      </c>
      <c r="Q3420" t="str">
        <f ca="1">""&amp;IFERROR(VLOOKUP(O3420,EMAILS!B:D,3,FALSE),"NOT FOUND IN EMAILS")</f>
        <v/>
      </c>
      <c r="R3420" t="str">
        <f ca="1">""&amp;IFERROR(VLOOKUP(O3420,EMAILS!B:E,4,FALSE),"NO T FOUND IN EMAILS")</f>
        <v/>
      </c>
    </row>
    <row r="3421" spans="2:18" x14ac:dyDescent="0.25">
      <c r="B3421" s="5" t="s">
        <v>3423</v>
      </c>
      <c r="C3421" s="5" t="s">
        <v>7563</v>
      </c>
      <c r="D3421" s="5">
        <v>1</v>
      </c>
      <c r="E3421" s="5">
        <v>0</v>
      </c>
      <c r="F3421" s="5">
        <v>1</v>
      </c>
      <c r="G3421" s="5">
        <v>20</v>
      </c>
      <c r="H3421" s="5">
        <v>20</v>
      </c>
      <c r="I3421" s="5">
        <v>20</v>
      </c>
      <c r="J3421" s="5">
        <v>4</v>
      </c>
      <c r="K3421" s="5">
        <v>18</v>
      </c>
      <c r="L3421" s="5">
        <v>17</v>
      </c>
      <c r="M3421" s="5">
        <v>0</v>
      </c>
      <c r="N3421" s="5">
        <v>150</v>
      </c>
      <c r="O3421" s="5" t="str">
        <f t="shared" ca="1" si="53"/>
        <v>Supplier 68</v>
      </c>
      <c r="P3421" s="20" t="str">
        <f ca="1">IFERROR(VLOOKUP(O3421,EMAILS!B:C,2,FALSE),"NOT FOUND IN EMAILS")</f>
        <v>supplier@gmail.com</v>
      </c>
      <c r="Q3421" t="str">
        <f ca="1">""&amp;IFERROR(VLOOKUP(O3421,EMAILS!B:D,3,FALSE),"NOT FOUND IN EMAILS")</f>
        <v/>
      </c>
      <c r="R3421" t="str">
        <f ca="1">""&amp;IFERROR(VLOOKUP(O3421,EMAILS!B:E,4,FALSE),"NO T FOUND IN EMAILS")</f>
        <v/>
      </c>
    </row>
    <row r="3422" spans="2:18" x14ac:dyDescent="0.25">
      <c r="B3422" s="5" t="s">
        <v>3424</v>
      </c>
      <c r="C3422" s="5" t="s">
        <v>7564</v>
      </c>
      <c r="D3422" s="5">
        <v>0</v>
      </c>
      <c r="E3422" s="5">
        <v>0</v>
      </c>
      <c r="F3422" s="5">
        <v>0</v>
      </c>
      <c r="G3422" s="5">
        <v>0</v>
      </c>
      <c r="H3422" s="5">
        <v>0</v>
      </c>
      <c r="I3422" s="5">
        <v>0</v>
      </c>
      <c r="J3422" s="5">
        <v>0</v>
      </c>
      <c r="K3422" s="5">
        <v>0</v>
      </c>
      <c r="L3422" s="5">
        <v>0</v>
      </c>
      <c r="M3422" s="5">
        <v>0</v>
      </c>
      <c r="N3422" s="5">
        <v>325</v>
      </c>
      <c r="O3422" s="5" t="str">
        <f t="shared" ca="1" si="53"/>
        <v>Supplier 132</v>
      </c>
      <c r="P3422" s="20" t="str">
        <f ca="1">IFERROR(VLOOKUP(O3422,EMAILS!B:C,2,FALSE),"NOT FOUND IN EMAILS")</f>
        <v>supplier@gmail.com</v>
      </c>
      <c r="Q3422" t="str">
        <f ca="1">""&amp;IFERROR(VLOOKUP(O3422,EMAILS!B:D,3,FALSE),"NOT FOUND IN EMAILS")</f>
        <v/>
      </c>
      <c r="R3422" t="str">
        <f ca="1">""&amp;IFERROR(VLOOKUP(O3422,EMAILS!B:E,4,FALSE),"NO T FOUND IN EMAILS")</f>
        <v/>
      </c>
    </row>
    <row r="3423" spans="2:18" x14ac:dyDescent="0.25">
      <c r="B3423" s="5" t="s">
        <v>3425</v>
      </c>
      <c r="C3423" s="5" t="s">
        <v>7565</v>
      </c>
      <c r="D3423" s="5">
        <v>270</v>
      </c>
      <c r="E3423" s="5">
        <v>0</v>
      </c>
      <c r="F3423" s="5">
        <v>0</v>
      </c>
      <c r="G3423" s="5">
        <v>0</v>
      </c>
      <c r="H3423" s="5">
        <v>12</v>
      </c>
      <c r="I3423" s="5">
        <v>0</v>
      </c>
      <c r="J3423" s="5">
        <v>0</v>
      </c>
      <c r="K3423" s="5">
        <v>0</v>
      </c>
      <c r="L3423" s="5">
        <v>0</v>
      </c>
      <c r="M3423" s="5">
        <v>0</v>
      </c>
      <c r="N3423" s="5">
        <v>0</v>
      </c>
      <c r="O3423" s="5" t="str">
        <f t="shared" ca="1" si="53"/>
        <v>Supplier 125</v>
      </c>
      <c r="P3423" s="20" t="str">
        <f ca="1">IFERROR(VLOOKUP(O3423,EMAILS!B:C,2,FALSE),"NOT FOUND IN EMAILS")</f>
        <v>supplier@gmail.com</v>
      </c>
      <c r="Q3423" t="str">
        <f ca="1">""&amp;IFERROR(VLOOKUP(O3423,EMAILS!B:D,3,FALSE),"NOT FOUND IN EMAILS")</f>
        <v/>
      </c>
      <c r="R3423" t="str">
        <f ca="1">""&amp;IFERROR(VLOOKUP(O3423,EMAILS!B:E,4,FALSE),"NO T FOUND IN EMAILS")</f>
        <v/>
      </c>
    </row>
    <row r="3424" spans="2:18" x14ac:dyDescent="0.25">
      <c r="B3424" s="5" t="s">
        <v>3426</v>
      </c>
      <c r="C3424" s="5" t="s">
        <v>7566</v>
      </c>
      <c r="D3424" s="5">
        <v>1248</v>
      </c>
      <c r="E3424" s="5">
        <v>1248</v>
      </c>
      <c r="F3424" s="5">
        <v>1344</v>
      </c>
      <c r="G3424" s="5">
        <v>1056</v>
      </c>
      <c r="H3424" s="5">
        <v>1296</v>
      </c>
      <c r="I3424" s="5">
        <v>1152</v>
      </c>
      <c r="J3424" s="5">
        <v>1056</v>
      </c>
      <c r="K3424" s="5">
        <v>1056</v>
      </c>
      <c r="L3424" s="5">
        <v>864</v>
      </c>
      <c r="M3424" s="5">
        <v>0</v>
      </c>
      <c r="N3424" s="5">
        <v>0</v>
      </c>
      <c r="O3424" s="5" t="str">
        <f t="shared" ca="1" si="53"/>
        <v>Supplier 139</v>
      </c>
      <c r="P3424" s="20" t="str">
        <f ca="1">IFERROR(VLOOKUP(O3424,EMAILS!B:C,2,FALSE),"NOT FOUND IN EMAILS")</f>
        <v>supplier@gmail.com</v>
      </c>
      <c r="Q3424" t="str">
        <f ca="1">""&amp;IFERROR(VLOOKUP(O3424,EMAILS!B:D,3,FALSE),"NOT FOUND IN EMAILS")</f>
        <v/>
      </c>
      <c r="R3424" t="str">
        <f ca="1">""&amp;IFERROR(VLOOKUP(O3424,EMAILS!B:E,4,FALSE),"NO T FOUND IN EMAILS")</f>
        <v/>
      </c>
    </row>
    <row r="3425" spans="2:18" x14ac:dyDescent="0.25">
      <c r="B3425" s="5" t="s">
        <v>3427</v>
      </c>
      <c r="C3425" s="5" t="s">
        <v>7567</v>
      </c>
      <c r="D3425" s="5">
        <v>0</v>
      </c>
      <c r="E3425" s="5">
        <v>0</v>
      </c>
      <c r="F3425" s="5">
        <v>0</v>
      </c>
      <c r="G3425" s="5">
        <v>0</v>
      </c>
      <c r="H3425" s="5">
        <v>0</v>
      </c>
      <c r="I3425" s="5">
        <v>0</v>
      </c>
      <c r="J3425" s="5">
        <v>0</v>
      </c>
      <c r="K3425" s="5">
        <v>0</v>
      </c>
      <c r="L3425" s="5">
        <v>0</v>
      </c>
      <c r="M3425" s="5">
        <v>0</v>
      </c>
      <c r="N3425" s="5">
        <v>0</v>
      </c>
      <c r="O3425" s="5" t="str">
        <f t="shared" ca="1" si="53"/>
        <v>Supplier 82</v>
      </c>
      <c r="P3425" s="20" t="str">
        <f ca="1">IFERROR(VLOOKUP(O3425,EMAILS!B:C,2,FALSE),"NOT FOUND IN EMAILS")</f>
        <v>supplier@gmail.com</v>
      </c>
      <c r="Q3425" t="str">
        <f ca="1">""&amp;IFERROR(VLOOKUP(O3425,EMAILS!B:D,3,FALSE),"NOT FOUND IN EMAILS")</f>
        <v/>
      </c>
      <c r="R3425" t="str">
        <f ca="1">""&amp;IFERROR(VLOOKUP(O3425,EMAILS!B:E,4,FALSE),"NO T FOUND IN EMAILS")</f>
        <v/>
      </c>
    </row>
    <row r="3426" spans="2:18" x14ac:dyDescent="0.25">
      <c r="B3426" s="5" t="s">
        <v>3428</v>
      </c>
      <c r="C3426" s="5" t="s">
        <v>7568</v>
      </c>
      <c r="D3426" s="5">
        <v>32</v>
      </c>
      <c r="E3426" s="5">
        <v>40</v>
      </c>
      <c r="F3426" s="5">
        <v>32</v>
      </c>
      <c r="G3426" s="5">
        <v>32</v>
      </c>
      <c r="H3426" s="5">
        <v>0</v>
      </c>
      <c r="I3426" s="5">
        <v>0</v>
      </c>
      <c r="J3426" s="5">
        <v>0</v>
      </c>
      <c r="K3426" s="5">
        <v>0</v>
      </c>
      <c r="L3426" s="5">
        <v>0</v>
      </c>
      <c r="M3426" s="5">
        <v>0</v>
      </c>
      <c r="N3426" s="5">
        <v>0</v>
      </c>
      <c r="O3426" s="5" t="str">
        <f t="shared" ca="1" si="53"/>
        <v>Supplier 127</v>
      </c>
      <c r="P3426" s="20" t="str">
        <f ca="1">IFERROR(VLOOKUP(O3426,EMAILS!B:C,2,FALSE),"NOT FOUND IN EMAILS")</f>
        <v>supplier@gmail.com</v>
      </c>
      <c r="Q3426" t="str">
        <f ca="1">""&amp;IFERROR(VLOOKUP(O3426,EMAILS!B:D,3,FALSE),"NOT FOUND IN EMAILS")</f>
        <v/>
      </c>
      <c r="R3426" t="str">
        <f ca="1">""&amp;IFERROR(VLOOKUP(O3426,EMAILS!B:E,4,FALSE),"NO T FOUND IN EMAILS")</f>
        <v/>
      </c>
    </row>
    <row r="3427" spans="2:18" x14ac:dyDescent="0.25">
      <c r="B3427" s="5" t="s">
        <v>3429</v>
      </c>
      <c r="C3427" s="5" t="s">
        <v>7569</v>
      </c>
      <c r="D3427" s="5">
        <v>16</v>
      </c>
      <c r="E3427" s="5">
        <v>28</v>
      </c>
      <c r="F3427" s="5">
        <v>4</v>
      </c>
      <c r="G3427" s="5">
        <v>4</v>
      </c>
      <c r="H3427" s="5">
        <v>0</v>
      </c>
      <c r="I3427" s="5">
        <v>0</v>
      </c>
      <c r="J3427" s="5">
        <v>0</v>
      </c>
      <c r="K3427" s="5">
        <v>0</v>
      </c>
      <c r="L3427" s="5">
        <v>0</v>
      </c>
      <c r="M3427" s="5">
        <v>0</v>
      </c>
      <c r="N3427" s="5">
        <v>800</v>
      </c>
      <c r="O3427" s="5" t="str">
        <f t="shared" ca="1" si="53"/>
        <v>Supplier 127</v>
      </c>
      <c r="P3427" s="20" t="str">
        <f ca="1">IFERROR(VLOOKUP(O3427,EMAILS!B:C,2,FALSE),"NOT FOUND IN EMAILS")</f>
        <v>supplier@gmail.com</v>
      </c>
      <c r="Q3427" t="str">
        <f ca="1">""&amp;IFERROR(VLOOKUP(O3427,EMAILS!B:D,3,FALSE),"NOT FOUND IN EMAILS")</f>
        <v/>
      </c>
      <c r="R3427" t="str">
        <f ca="1">""&amp;IFERROR(VLOOKUP(O3427,EMAILS!B:E,4,FALSE),"NO T FOUND IN EMAILS")</f>
        <v/>
      </c>
    </row>
    <row r="3428" spans="2:18" x14ac:dyDescent="0.25">
      <c r="B3428" s="5" t="s">
        <v>3430</v>
      </c>
      <c r="C3428" s="5" t="s">
        <v>7570</v>
      </c>
      <c r="D3428" s="5">
        <v>64</v>
      </c>
      <c r="E3428" s="5">
        <v>112</v>
      </c>
      <c r="F3428" s="5">
        <v>64</v>
      </c>
      <c r="G3428" s="5">
        <v>64</v>
      </c>
      <c r="H3428" s="5">
        <v>0</v>
      </c>
      <c r="I3428" s="5">
        <v>0</v>
      </c>
      <c r="J3428" s="5">
        <v>0</v>
      </c>
      <c r="K3428" s="5">
        <v>0</v>
      </c>
      <c r="L3428" s="5">
        <v>0</v>
      </c>
      <c r="M3428" s="5">
        <v>0</v>
      </c>
      <c r="N3428" s="5">
        <v>892</v>
      </c>
      <c r="O3428" s="5" t="str">
        <f t="shared" ca="1" si="53"/>
        <v>Supplier 102</v>
      </c>
      <c r="P3428" s="20" t="str">
        <f ca="1">IFERROR(VLOOKUP(O3428,EMAILS!B:C,2,FALSE),"NOT FOUND IN EMAILS")</f>
        <v>supplier@gmail.com</v>
      </c>
      <c r="Q3428" t="str">
        <f ca="1">""&amp;IFERROR(VLOOKUP(O3428,EMAILS!B:D,3,FALSE),"NOT FOUND IN EMAILS")</f>
        <v/>
      </c>
      <c r="R3428" t="str">
        <f ca="1">""&amp;IFERROR(VLOOKUP(O3428,EMAILS!B:E,4,FALSE),"NO T FOUND IN EMAILS")</f>
        <v/>
      </c>
    </row>
    <row r="3429" spans="2:18" x14ac:dyDescent="0.25">
      <c r="B3429" s="5" t="s">
        <v>3431</v>
      </c>
      <c r="C3429" s="5" t="s">
        <v>7571</v>
      </c>
      <c r="D3429" s="5">
        <v>0</v>
      </c>
      <c r="E3429" s="5">
        <v>0</v>
      </c>
      <c r="F3429" s="5">
        <v>0</v>
      </c>
      <c r="G3429" s="5">
        <v>4</v>
      </c>
      <c r="H3429" s="5">
        <v>4</v>
      </c>
      <c r="I3429" s="5">
        <v>4</v>
      </c>
      <c r="J3429" s="5">
        <v>2</v>
      </c>
      <c r="K3429" s="5">
        <v>4</v>
      </c>
      <c r="L3429" s="5">
        <v>3</v>
      </c>
      <c r="M3429" s="5">
        <v>0</v>
      </c>
      <c r="N3429" s="5">
        <v>879</v>
      </c>
      <c r="O3429" s="5" t="str">
        <f t="shared" ca="1" si="53"/>
        <v>Supplier 150</v>
      </c>
      <c r="P3429" s="20" t="str">
        <f ca="1">IFERROR(VLOOKUP(O3429,EMAILS!B:C,2,FALSE),"NOT FOUND IN EMAILS")</f>
        <v>supplier@gmail.com</v>
      </c>
      <c r="Q3429" t="str">
        <f ca="1">""&amp;IFERROR(VLOOKUP(O3429,EMAILS!B:D,3,FALSE),"NOT FOUND IN EMAILS")</f>
        <v/>
      </c>
      <c r="R3429" t="str">
        <f ca="1">""&amp;IFERROR(VLOOKUP(O3429,EMAILS!B:E,4,FALSE),"NO T FOUND IN EMAILS")</f>
        <v/>
      </c>
    </row>
    <row r="3430" spans="2:18" x14ac:dyDescent="0.25">
      <c r="B3430" s="5" t="s">
        <v>3432</v>
      </c>
      <c r="C3430" s="5" t="s">
        <v>7572</v>
      </c>
      <c r="D3430" s="5">
        <v>0</v>
      </c>
      <c r="E3430" s="5">
        <v>0</v>
      </c>
      <c r="F3430" s="5">
        <v>0</v>
      </c>
      <c r="G3430" s="5">
        <v>4</v>
      </c>
      <c r="H3430" s="5">
        <v>4</v>
      </c>
      <c r="I3430" s="5">
        <v>4</v>
      </c>
      <c r="J3430" s="5">
        <v>2</v>
      </c>
      <c r="K3430" s="5">
        <v>4</v>
      </c>
      <c r="L3430" s="5">
        <v>3</v>
      </c>
      <c r="M3430" s="5">
        <v>0</v>
      </c>
      <c r="N3430" s="5">
        <v>56</v>
      </c>
      <c r="O3430" s="5" t="str">
        <f t="shared" ca="1" si="53"/>
        <v>Supplier 38</v>
      </c>
      <c r="P3430" s="20" t="str">
        <f ca="1">IFERROR(VLOOKUP(O3430,EMAILS!B:C,2,FALSE),"NOT FOUND IN EMAILS")</f>
        <v>supplier@gmail.com</v>
      </c>
      <c r="Q3430" t="str">
        <f ca="1">""&amp;IFERROR(VLOOKUP(O3430,EMAILS!B:D,3,FALSE),"NOT FOUND IN EMAILS")</f>
        <v/>
      </c>
      <c r="R3430" t="str">
        <f ca="1">""&amp;IFERROR(VLOOKUP(O3430,EMAILS!B:E,4,FALSE),"NO T FOUND IN EMAILS")</f>
        <v/>
      </c>
    </row>
    <row r="3431" spans="2:18" x14ac:dyDescent="0.25">
      <c r="B3431" s="5" t="s">
        <v>3433</v>
      </c>
      <c r="C3431" s="5" t="s">
        <v>7573</v>
      </c>
      <c r="D3431" s="5">
        <v>0</v>
      </c>
      <c r="E3431" s="5">
        <v>0</v>
      </c>
      <c r="F3431" s="5">
        <v>0</v>
      </c>
      <c r="G3431" s="5">
        <v>32</v>
      </c>
      <c r="H3431" s="5">
        <v>32</v>
      </c>
      <c r="I3431" s="5">
        <v>32</v>
      </c>
      <c r="J3431" s="5">
        <v>16</v>
      </c>
      <c r="K3431" s="5">
        <v>32</v>
      </c>
      <c r="L3431" s="5">
        <v>24</v>
      </c>
      <c r="M3431" s="5">
        <v>0</v>
      </c>
      <c r="N3431" s="5">
        <v>0</v>
      </c>
      <c r="O3431" s="5" t="str">
        <f t="shared" ca="1" si="53"/>
        <v>Supplier 93</v>
      </c>
      <c r="P3431" s="20" t="str">
        <f ca="1">IFERROR(VLOOKUP(O3431,EMAILS!B:C,2,FALSE),"NOT FOUND IN EMAILS")</f>
        <v>supplier@gmail.com</v>
      </c>
      <c r="Q3431" t="str">
        <f ca="1">""&amp;IFERROR(VLOOKUP(O3431,EMAILS!B:D,3,FALSE),"NOT FOUND IN EMAILS")</f>
        <v/>
      </c>
      <c r="R3431" t="str">
        <f ca="1">""&amp;IFERROR(VLOOKUP(O3431,EMAILS!B:E,4,FALSE),"NO T FOUND IN EMAILS")</f>
        <v/>
      </c>
    </row>
    <row r="3432" spans="2:18" x14ac:dyDescent="0.25">
      <c r="B3432" s="5" t="s">
        <v>3434</v>
      </c>
      <c r="C3432" s="5" t="s">
        <v>7574</v>
      </c>
      <c r="D3432" s="5">
        <v>0</v>
      </c>
      <c r="E3432" s="5">
        <v>0</v>
      </c>
      <c r="F3432" s="5">
        <v>0</v>
      </c>
      <c r="G3432" s="5">
        <v>0</v>
      </c>
      <c r="H3432" s="5">
        <v>0</v>
      </c>
      <c r="I3432" s="5">
        <v>0</v>
      </c>
      <c r="J3432" s="5">
        <v>0</v>
      </c>
      <c r="K3432" s="5">
        <v>0</v>
      </c>
      <c r="L3432" s="5">
        <v>0</v>
      </c>
      <c r="M3432" s="5">
        <v>0</v>
      </c>
      <c r="N3432" s="5">
        <v>0</v>
      </c>
      <c r="O3432" s="5" t="str">
        <f t="shared" ca="1" si="53"/>
        <v>Supplier 3</v>
      </c>
      <c r="P3432" s="20" t="str">
        <f ca="1">IFERROR(VLOOKUP(O3432,EMAILS!B:C,2,FALSE),"NOT FOUND IN EMAILS")</f>
        <v>supplier@gmail.com</v>
      </c>
      <c r="Q3432" t="str">
        <f ca="1">""&amp;IFERROR(VLOOKUP(O3432,EMAILS!B:D,3,FALSE),"NOT FOUND IN EMAILS")</f>
        <v>supplier_logistics@gmail.com</v>
      </c>
      <c r="R3432" t="str">
        <f ca="1">""&amp;IFERROR(VLOOKUP(O3432,EMAILS!B:E,4,FALSE),"NO T FOUND IN EMAILS")</f>
        <v/>
      </c>
    </row>
    <row r="3433" spans="2:18" x14ac:dyDescent="0.25">
      <c r="B3433" s="5" t="s">
        <v>3435</v>
      </c>
      <c r="C3433" s="5" t="s">
        <v>7575</v>
      </c>
      <c r="D3433" s="5">
        <v>0</v>
      </c>
      <c r="E3433" s="5">
        <v>0</v>
      </c>
      <c r="F3433" s="5">
        <v>0</v>
      </c>
      <c r="G3433" s="5">
        <v>0</v>
      </c>
      <c r="H3433" s="5">
        <v>0</v>
      </c>
      <c r="I3433" s="5">
        <v>0</v>
      </c>
      <c r="J3433" s="5">
        <v>0</v>
      </c>
      <c r="K3433" s="5">
        <v>0</v>
      </c>
      <c r="L3433" s="5">
        <v>0</v>
      </c>
      <c r="M3433" s="5">
        <v>0</v>
      </c>
      <c r="N3433" s="5">
        <v>0</v>
      </c>
      <c r="O3433" s="5" t="str">
        <f t="shared" ca="1" si="53"/>
        <v>Supplier 148</v>
      </c>
      <c r="P3433" s="20" t="str">
        <f ca="1">IFERROR(VLOOKUP(O3433,EMAILS!B:C,2,FALSE),"NOT FOUND IN EMAILS")</f>
        <v>supplier@gmail.com</v>
      </c>
      <c r="Q3433" t="str">
        <f ca="1">""&amp;IFERROR(VLOOKUP(O3433,EMAILS!B:D,3,FALSE),"NOT FOUND IN EMAILS")</f>
        <v/>
      </c>
      <c r="R3433" t="str">
        <f ca="1">""&amp;IFERROR(VLOOKUP(O3433,EMAILS!B:E,4,FALSE),"NO T FOUND IN EMAILS")</f>
        <v/>
      </c>
    </row>
    <row r="3434" spans="2:18" x14ac:dyDescent="0.25">
      <c r="B3434" s="5" t="s">
        <v>3436</v>
      </c>
      <c r="C3434" s="5" t="s">
        <v>7576</v>
      </c>
      <c r="D3434" s="5">
        <v>6</v>
      </c>
      <c r="E3434" s="5">
        <v>18</v>
      </c>
      <c r="F3434" s="5">
        <v>3</v>
      </c>
      <c r="G3434" s="5">
        <v>3</v>
      </c>
      <c r="H3434" s="5">
        <v>6</v>
      </c>
      <c r="I3434" s="5">
        <v>0</v>
      </c>
      <c r="J3434" s="5">
        <v>0</v>
      </c>
      <c r="K3434" s="5">
        <v>0</v>
      </c>
      <c r="L3434" s="5">
        <v>0</v>
      </c>
      <c r="M3434" s="5">
        <v>0</v>
      </c>
      <c r="N3434" s="5">
        <v>0</v>
      </c>
      <c r="O3434" s="5" t="str">
        <f t="shared" ca="1" si="53"/>
        <v>Supplier 154</v>
      </c>
      <c r="P3434" s="20" t="str">
        <f ca="1">IFERROR(VLOOKUP(O3434,EMAILS!B:C,2,FALSE),"NOT FOUND IN EMAILS")</f>
        <v>supplier@gmail.com</v>
      </c>
      <c r="Q3434" t="str">
        <f ca="1">""&amp;IFERROR(VLOOKUP(O3434,EMAILS!B:D,3,FALSE),"NOT FOUND IN EMAILS")</f>
        <v/>
      </c>
      <c r="R3434" t="str">
        <f ca="1">""&amp;IFERROR(VLOOKUP(O3434,EMAILS!B:E,4,FALSE),"NO T FOUND IN EMAILS")</f>
        <v/>
      </c>
    </row>
    <row r="3435" spans="2:18" x14ac:dyDescent="0.25">
      <c r="B3435" s="5" t="s">
        <v>3437</v>
      </c>
      <c r="C3435" s="5" t="s">
        <v>7577</v>
      </c>
      <c r="D3435" s="5">
        <v>48</v>
      </c>
      <c r="E3435" s="5">
        <v>144</v>
      </c>
      <c r="F3435" s="5">
        <v>24</v>
      </c>
      <c r="G3435" s="5">
        <v>48</v>
      </c>
      <c r="H3435" s="5">
        <v>44</v>
      </c>
      <c r="I3435" s="5">
        <v>0</v>
      </c>
      <c r="J3435" s="5">
        <v>0</v>
      </c>
      <c r="K3435" s="5">
        <v>0</v>
      </c>
      <c r="L3435" s="5">
        <v>0</v>
      </c>
      <c r="M3435" s="5">
        <v>0</v>
      </c>
      <c r="N3435" s="5">
        <v>2188</v>
      </c>
      <c r="O3435" s="5" t="str">
        <f t="shared" ca="1" si="53"/>
        <v>Supplier 165</v>
      </c>
      <c r="P3435" s="20" t="str">
        <f ca="1">IFERROR(VLOOKUP(O3435,EMAILS!B:C,2,FALSE),"NOT FOUND IN EMAILS")</f>
        <v>supplier@gmail.com</v>
      </c>
      <c r="Q3435" t="str">
        <f ca="1">""&amp;IFERROR(VLOOKUP(O3435,EMAILS!B:D,3,FALSE),"NOT FOUND IN EMAILS")</f>
        <v/>
      </c>
      <c r="R3435" t="str">
        <f ca="1">""&amp;IFERROR(VLOOKUP(O3435,EMAILS!B:E,4,FALSE),"NO T FOUND IN EMAILS")</f>
        <v/>
      </c>
    </row>
    <row r="3436" spans="2:18" x14ac:dyDescent="0.25">
      <c r="B3436" s="5" t="s">
        <v>3438</v>
      </c>
      <c r="C3436" s="5" t="s">
        <v>7578</v>
      </c>
      <c r="D3436" s="5">
        <v>410</v>
      </c>
      <c r="E3436" s="5">
        <v>2</v>
      </c>
      <c r="F3436" s="5">
        <v>920</v>
      </c>
      <c r="G3436" s="5">
        <v>1226</v>
      </c>
      <c r="H3436" s="5">
        <v>410</v>
      </c>
      <c r="I3436" s="5">
        <v>2</v>
      </c>
      <c r="J3436" s="5">
        <v>2</v>
      </c>
      <c r="K3436" s="5">
        <v>2</v>
      </c>
      <c r="L3436" s="5">
        <v>2</v>
      </c>
      <c r="M3436" s="5">
        <v>0</v>
      </c>
      <c r="N3436" s="5">
        <v>957</v>
      </c>
      <c r="O3436" s="5" t="str">
        <f t="shared" ca="1" si="53"/>
        <v>Supplier 196</v>
      </c>
      <c r="P3436" s="20" t="str">
        <f ca="1">IFERROR(VLOOKUP(O3436,EMAILS!B:C,2,FALSE),"NOT FOUND IN EMAILS")</f>
        <v>supplier@gmail.com</v>
      </c>
      <c r="Q3436" t="str">
        <f ca="1">""&amp;IFERROR(VLOOKUP(O3436,EMAILS!B:D,3,FALSE),"NOT FOUND IN EMAILS")</f>
        <v/>
      </c>
      <c r="R3436" t="str">
        <f ca="1">""&amp;IFERROR(VLOOKUP(O3436,EMAILS!B:E,4,FALSE),"NO T FOUND IN EMAILS")</f>
        <v/>
      </c>
    </row>
    <row r="3437" spans="2:18" x14ac:dyDescent="0.25">
      <c r="B3437" s="5" t="s">
        <v>3439</v>
      </c>
      <c r="C3437" s="5" t="s">
        <v>7579</v>
      </c>
      <c r="D3437" s="5">
        <v>72</v>
      </c>
      <c r="E3437" s="5">
        <v>0</v>
      </c>
      <c r="F3437" s="5">
        <v>162</v>
      </c>
      <c r="G3437" s="5">
        <v>216</v>
      </c>
      <c r="H3437" s="5">
        <v>72</v>
      </c>
      <c r="I3437" s="5">
        <v>0</v>
      </c>
      <c r="J3437" s="5">
        <v>0</v>
      </c>
      <c r="K3437" s="5">
        <v>0</v>
      </c>
      <c r="L3437" s="5">
        <v>0</v>
      </c>
      <c r="M3437" s="5">
        <v>0</v>
      </c>
      <c r="N3437" s="5">
        <v>1998</v>
      </c>
      <c r="O3437" s="5" t="str">
        <f t="shared" ca="1" si="53"/>
        <v>Supplier 37</v>
      </c>
      <c r="P3437" s="20" t="str">
        <f ca="1">IFERROR(VLOOKUP(O3437,EMAILS!B:C,2,FALSE),"NOT FOUND IN EMAILS")</f>
        <v>supplier@gmail.com</v>
      </c>
      <c r="Q3437" t="str">
        <f ca="1">""&amp;IFERROR(VLOOKUP(O3437,EMAILS!B:D,3,FALSE),"NOT FOUND IN EMAILS")</f>
        <v/>
      </c>
      <c r="R3437" t="str">
        <f ca="1">""&amp;IFERROR(VLOOKUP(O3437,EMAILS!B:E,4,FALSE),"NO T FOUND IN EMAILS")</f>
        <v/>
      </c>
    </row>
    <row r="3438" spans="2:18" x14ac:dyDescent="0.25">
      <c r="B3438" s="5" t="s">
        <v>3440</v>
      </c>
      <c r="C3438" s="5" t="s">
        <v>7580</v>
      </c>
      <c r="D3438" s="5">
        <v>90</v>
      </c>
      <c r="E3438" s="5">
        <v>42</v>
      </c>
      <c r="F3438" s="5">
        <v>146</v>
      </c>
      <c r="G3438" s="5">
        <v>146</v>
      </c>
      <c r="H3438" s="5">
        <v>90</v>
      </c>
      <c r="I3438" s="5">
        <v>50</v>
      </c>
      <c r="J3438" s="5">
        <v>34</v>
      </c>
      <c r="K3438" s="5">
        <v>34</v>
      </c>
      <c r="L3438" s="5">
        <v>34</v>
      </c>
      <c r="M3438" s="5">
        <v>0</v>
      </c>
      <c r="N3438" s="5">
        <v>1263</v>
      </c>
      <c r="O3438" s="5" t="str">
        <f t="shared" ca="1" si="53"/>
        <v>Supplier 54</v>
      </c>
      <c r="P3438" s="20" t="str">
        <f ca="1">IFERROR(VLOOKUP(O3438,EMAILS!B:C,2,FALSE),"NOT FOUND IN EMAILS")</f>
        <v>supplier@gmail.com</v>
      </c>
      <c r="Q3438" t="str">
        <f ca="1">""&amp;IFERROR(VLOOKUP(O3438,EMAILS!B:D,3,FALSE),"NOT FOUND IN EMAILS")</f>
        <v/>
      </c>
      <c r="R3438" t="str">
        <f ca="1">""&amp;IFERROR(VLOOKUP(O3438,EMAILS!B:E,4,FALSE),"NO T FOUND IN EMAILS")</f>
        <v/>
      </c>
    </row>
    <row r="3439" spans="2:18" x14ac:dyDescent="0.25">
      <c r="B3439" s="5" t="s">
        <v>3441</v>
      </c>
      <c r="C3439" s="5" t="s">
        <v>7581</v>
      </c>
      <c r="D3439" s="5">
        <v>6</v>
      </c>
      <c r="E3439" s="5">
        <v>6</v>
      </c>
      <c r="F3439" s="5">
        <v>6</v>
      </c>
      <c r="G3439" s="5">
        <v>6</v>
      </c>
      <c r="H3439" s="5">
        <v>6</v>
      </c>
      <c r="I3439" s="5">
        <v>6</v>
      </c>
      <c r="J3439" s="5">
        <v>6</v>
      </c>
      <c r="K3439" s="5">
        <v>6</v>
      </c>
      <c r="L3439" s="5">
        <v>6</v>
      </c>
      <c r="M3439" s="5">
        <v>0</v>
      </c>
      <c r="N3439" s="5">
        <v>3324</v>
      </c>
      <c r="O3439" s="5" t="str">
        <f t="shared" ca="1" si="53"/>
        <v>Supplier 79</v>
      </c>
      <c r="P3439" s="20" t="str">
        <f ca="1">IFERROR(VLOOKUP(O3439,EMAILS!B:C,2,FALSE),"NOT FOUND IN EMAILS")</f>
        <v>supplier@gmail.com</v>
      </c>
      <c r="Q3439" t="str">
        <f ca="1">""&amp;IFERROR(VLOOKUP(O3439,EMAILS!B:D,3,FALSE),"NOT FOUND IN EMAILS")</f>
        <v/>
      </c>
      <c r="R3439" t="str">
        <f ca="1">""&amp;IFERROR(VLOOKUP(O3439,EMAILS!B:E,4,FALSE),"NO T FOUND IN EMAILS")</f>
        <v/>
      </c>
    </row>
    <row r="3440" spans="2:18" x14ac:dyDescent="0.25">
      <c r="B3440" s="5" t="s">
        <v>3442</v>
      </c>
      <c r="C3440" s="5" t="s">
        <v>7582</v>
      </c>
      <c r="D3440" s="5">
        <v>12</v>
      </c>
      <c r="E3440" s="5">
        <v>12</v>
      </c>
      <c r="F3440" s="5">
        <v>16</v>
      </c>
      <c r="G3440" s="5">
        <v>16</v>
      </c>
      <c r="H3440" s="5">
        <v>12</v>
      </c>
      <c r="I3440" s="5">
        <v>16</v>
      </c>
      <c r="J3440" s="5">
        <v>8</v>
      </c>
      <c r="K3440" s="5">
        <v>8</v>
      </c>
      <c r="L3440" s="5">
        <v>8</v>
      </c>
      <c r="M3440" s="5">
        <v>0</v>
      </c>
      <c r="N3440" s="5">
        <v>1000</v>
      </c>
      <c r="O3440" s="5" t="str">
        <f t="shared" ca="1" si="53"/>
        <v>Supplier 189</v>
      </c>
      <c r="P3440" s="20" t="str">
        <f ca="1">IFERROR(VLOOKUP(O3440,EMAILS!B:C,2,FALSE),"NOT FOUND IN EMAILS")</f>
        <v>supplier@gmail.com</v>
      </c>
      <c r="Q3440" t="str">
        <f ca="1">""&amp;IFERROR(VLOOKUP(O3440,EMAILS!B:D,3,FALSE),"NOT FOUND IN EMAILS")</f>
        <v/>
      </c>
      <c r="R3440" t="str">
        <f ca="1">""&amp;IFERROR(VLOOKUP(O3440,EMAILS!B:E,4,FALSE),"NO T FOUND IN EMAILS")</f>
        <v/>
      </c>
    </row>
    <row r="3441" spans="2:18" x14ac:dyDescent="0.25">
      <c r="B3441" s="5" t="s">
        <v>3443</v>
      </c>
      <c r="C3441" s="5" t="s">
        <v>7583</v>
      </c>
      <c r="D3441" s="5">
        <v>480</v>
      </c>
      <c r="E3441" s="5">
        <v>264</v>
      </c>
      <c r="F3441" s="5">
        <v>432</v>
      </c>
      <c r="G3441" s="5">
        <v>0</v>
      </c>
      <c r="H3441" s="5">
        <v>36</v>
      </c>
      <c r="I3441" s="5">
        <v>0</v>
      </c>
      <c r="J3441" s="5">
        <v>0</v>
      </c>
      <c r="K3441" s="5">
        <v>0</v>
      </c>
      <c r="L3441" s="5">
        <v>0</v>
      </c>
      <c r="M3441" s="5">
        <v>0</v>
      </c>
      <c r="N3441" s="5">
        <v>200</v>
      </c>
      <c r="O3441" s="5" t="str">
        <f t="shared" ca="1" si="53"/>
        <v>Supplier 187</v>
      </c>
      <c r="P3441" s="20" t="str">
        <f ca="1">IFERROR(VLOOKUP(O3441,EMAILS!B:C,2,FALSE),"NOT FOUND IN EMAILS")</f>
        <v>supplier@gmail.com</v>
      </c>
      <c r="Q3441" t="str">
        <f ca="1">""&amp;IFERROR(VLOOKUP(O3441,EMAILS!B:D,3,FALSE),"NOT FOUND IN EMAILS")</f>
        <v/>
      </c>
      <c r="R3441" t="str">
        <f ca="1">""&amp;IFERROR(VLOOKUP(O3441,EMAILS!B:E,4,FALSE),"NO T FOUND IN EMAILS")</f>
        <v/>
      </c>
    </row>
    <row r="3442" spans="2:18" x14ac:dyDescent="0.25">
      <c r="B3442" s="5" t="s">
        <v>3444</v>
      </c>
      <c r="C3442" s="5" t="s">
        <v>7584</v>
      </c>
      <c r="D3442" s="5">
        <v>0</v>
      </c>
      <c r="E3442" s="5">
        <v>100</v>
      </c>
      <c r="F3442" s="5">
        <v>100</v>
      </c>
      <c r="G3442" s="5">
        <v>0</v>
      </c>
      <c r="H3442" s="5">
        <v>156</v>
      </c>
      <c r="I3442" s="5">
        <v>0</v>
      </c>
      <c r="J3442" s="5">
        <v>0</v>
      </c>
      <c r="K3442" s="5">
        <v>0</v>
      </c>
      <c r="L3442" s="5">
        <v>60</v>
      </c>
      <c r="M3442" s="5">
        <v>0</v>
      </c>
      <c r="N3442" s="5">
        <v>1730</v>
      </c>
      <c r="O3442" s="5" t="str">
        <f t="shared" ca="1" si="53"/>
        <v>Supplier 29</v>
      </c>
      <c r="P3442" s="20" t="str">
        <f ca="1">IFERROR(VLOOKUP(O3442,EMAILS!B:C,2,FALSE),"NOT FOUND IN EMAILS")</f>
        <v>supplier@gmail.com</v>
      </c>
      <c r="Q3442" t="str">
        <f ca="1">""&amp;IFERROR(VLOOKUP(O3442,EMAILS!B:D,3,FALSE),"NOT FOUND IN EMAILS")</f>
        <v/>
      </c>
      <c r="R3442" t="str">
        <f ca="1">""&amp;IFERROR(VLOOKUP(O3442,EMAILS!B:E,4,FALSE),"NO T FOUND IN EMAILS")</f>
        <v/>
      </c>
    </row>
    <row r="3443" spans="2:18" x14ac:dyDescent="0.25">
      <c r="B3443" s="5" t="s">
        <v>3445</v>
      </c>
      <c r="C3443" s="5" t="s">
        <v>7585</v>
      </c>
      <c r="D3443" s="5">
        <v>280</v>
      </c>
      <c r="E3443" s="5">
        <v>346</v>
      </c>
      <c r="F3443" s="5">
        <v>456</v>
      </c>
      <c r="G3443" s="5">
        <v>32</v>
      </c>
      <c r="H3443" s="5">
        <v>403</v>
      </c>
      <c r="I3443" s="5">
        <v>32</v>
      </c>
      <c r="J3443" s="5">
        <v>0</v>
      </c>
      <c r="K3443" s="5">
        <v>64</v>
      </c>
      <c r="L3443" s="5">
        <v>132</v>
      </c>
      <c r="M3443" s="5">
        <v>0</v>
      </c>
      <c r="N3443" s="5">
        <v>0</v>
      </c>
      <c r="O3443" s="5" t="str">
        <f t="shared" ca="1" si="53"/>
        <v>Supplier 106</v>
      </c>
      <c r="P3443" s="20" t="str">
        <f ca="1">IFERROR(VLOOKUP(O3443,EMAILS!B:C,2,FALSE),"NOT FOUND IN EMAILS")</f>
        <v>supplier@gmail.com</v>
      </c>
      <c r="Q3443" t="str">
        <f ca="1">""&amp;IFERROR(VLOOKUP(O3443,EMAILS!B:D,3,FALSE),"NOT FOUND IN EMAILS")</f>
        <v/>
      </c>
      <c r="R3443" t="str">
        <f ca="1">""&amp;IFERROR(VLOOKUP(O3443,EMAILS!B:E,4,FALSE),"NO T FOUND IN EMAILS")</f>
        <v/>
      </c>
    </row>
    <row r="3444" spans="2:18" x14ac:dyDescent="0.25">
      <c r="B3444" s="5" t="s">
        <v>3446</v>
      </c>
      <c r="C3444" s="5" t="s">
        <v>7586</v>
      </c>
      <c r="D3444" s="5">
        <v>1</v>
      </c>
      <c r="E3444" s="5">
        <v>0</v>
      </c>
      <c r="F3444" s="5">
        <v>0</v>
      </c>
      <c r="G3444" s="5">
        <v>1</v>
      </c>
      <c r="H3444" s="5">
        <v>0</v>
      </c>
      <c r="I3444" s="5">
        <v>0</v>
      </c>
      <c r="J3444" s="5">
        <v>0</v>
      </c>
      <c r="K3444" s="5">
        <v>0</v>
      </c>
      <c r="L3444" s="5">
        <v>0</v>
      </c>
      <c r="M3444" s="5">
        <v>0</v>
      </c>
      <c r="N3444" s="5">
        <v>100</v>
      </c>
      <c r="O3444" s="5" t="str">
        <f t="shared" ca="1" si="53"/>
        <v>Supplier 129</v>
      </c>
      <c r="P3444" s="20" t="str">
        <f ca="1">IFERROR(VLOOKUP(O3444,EMAILS!B:C,2,FALSE),"NOT FOUND IN EMAILS")</f>
        <v>supplier@gmail.com</v>
      </c>
      <c r="Q3444" t="str">
        <f ca="1">""&amp;IFERROR(VLOOKUP(O3444,EMAILS!B:D,3,FALSE),"NOT FOUND IN EMAILS")</f>
        <v/>
      </c>
      <c r="R3444" t="str">
        <f ca="1">""&amp;IFERROR(VLOOKUP(O3444,EMAILS!B:E,4,FALSE),"NO T FOUND IN EMAILS")</f>
        <v/>
      </c>
    </row>
    <row r="3445" spans="2:18" x14ac:dyDescent="0.25">
      <c r="B3445" s="5" t="s">
        <v>3447</v>
      </c>
      <c r="C3445" s="5" t="s">
        <v>7587</v>
      </c>
      <c r="D3445" s="5">
        <v>8</v>
      </c>
      <c r="E3445" s="5">
        <v>0</v>
      </c>
      <c r="F3445" s="5">
        <v>8</v>
      </c>
      <c r="G3445" s="5">
        <v>8</v>
      </c>
      <c r="H3445" s="5">
        <v>0</v>
      </c>
      <c r="I3445" s="5">
        <v>0</v>
      </c>
      <c r="J3445" s="5">
        <v>0</v>
      </c>
      <c r="K3445" s="5">
        <v>0</v>
      </c>
      <c r="L3445" s="5">
        <v>0</v>
      </c>
      <c r="M3445" s="5">
        <v>0</v>
      </c>
      <c r="N3445" s="5">
        <v>650</v>
      </c>
      <c r="O3445" s="5" t="str">
        <f t="shared" ca="1" si="53"/>
        <v>Supplier 189</v>
      </c>
      <c r="P3445" s="20" t="str">
        <f ca="1">IFERROR(VLOOKUP(O3445,EMAILS!B:C,2,FALSE),"NOT FOUND IN EMAILS")</f>
        <v>supplier@gmail.com</v>
      </c>
      <c r="Q3445" t="str">
        <f ca="1">""&amp;IFERROR(VLOOKUP(O3445,EMAILS!B:D,3,FALSE),"NOT FOUND IN EMAILS")</f>
        <v/>
      </c>
      <c r="R3445" t="str">
        <f ca="1">""&amp;IFERROR(VLOOKUP(O3445,EMAILS!B:E,4,FALSE),"NO T FOUND IN EMAILS")</f>
        <v/>
      </c>
    </row>
    <row r="3446" spans="2:18" x14ac:dyDescent="0.25">
      <c r="B3446" s="5" t="s">
        <v>3448</v>
      </c>
      <c r="C3446" s="5" t="s">
        <v>7588</v>
      </c>
      <c r="D3446" s="5">
        <v>118</v>
      </c>
      <c r="E3446" s="5">
        <v>0</v>
      </c>
      <c r="F3446" s="5">
        <v>80</v>
      </c>
      <c r="G3446" s="5">
        <v>86</v>
      </c>
      <c r="H3446" s="5">
        <v>0</v>
      </c>
      <c r="I3446" s="5">
        <v>0</v>
      </c>
      <c r="J3446" s="5">
        <v>0</v>
      </c>
      <c r="K3446" s="5">
        <v>0</v>
      </c>
      <c r="L3446" s="5">
        <v>0</v>
      </c>
      <c r="M3446" s="5">
        <v>0</v>
      </c>
      <c r="N3446" s="5">
        <v>1125</v>
      </c>
      <c r="O3446" s="5" t="str">
        <f t="shared" ca="1" si="53"/>
        <v>Supplier 23</v>
      </c>
      <c r="P3446" s="20" t="str">
        <f ca="1">IFERROR(VLOOKUP(O3446,EMAILS!B:C,2,FALSE),"NOT FOUND IN EMAILS")</f>
        <v>supplier@gmail.com</v>
      </c>
      <c r="Q3446" t="str">
        <f ca="1">""&amp;IFERROR(VLOOKUP(O3446,EMAILS!B:D,3,FALSE),"NOT FOUND IN EMAILS")</f>
        <v/>
      </c>
      <c r="R3446" t="str">
        <f ca="1">""&amp;IFERROR(VLOOKUP(O3446,EMAILS!B:E,4,FALSE),"NO T FOUND IN EMAILS")</f>
        <v/>
      </c>
    </row>
    <row r="3447" spans="2:18" x14ac:dyDescent="0.25">
      <c r="B3447" s="5" t="s">
        <v>3449</v>
      </c>
      <c r="C3447" s="5" t="s">
        <v>7589</v>
      </c>
      <c r="D3447" s="5">
        <v>150</v>
      </c>
      <c r="E3447" s="5">
        <v>0</v>
      </c>
      <c r="F3447" s="5">
        <v>126</v>
      </c>
      <c r="G3447" s="5">
        <v>138</v>
      </c>
      <c r="H3447" s="5">
        <v>0</v>
      </c>
      <c r="I3447" s="5">
        <v>0</v>
      </c>
      <c r="J3447" s="5">
        <v>0</v>
      </c>
      <c r="K3447" s="5">
        <v>0</v>
      </c>
      <c r="L3447" s="5">
        <v>0</v>
      </c>
      <c r="M3447" s="5">
        <v>0</v>
      </c>
      <c r="N3447" s="5">
        <v>500</v>
      </c>
      <c r="O3447" s="5" t="str">
        <f t="shared" ca="1" si="53"/>
        <v>Supplier 92</v>
      </c>
      <c r="P3447" s="20" t="str">
        <f ca="1">IFERROR(VLOOKUP(O3447,EMAILS!B:C,2,FALSE),"NOT FOUND IN EMAILS")</f>
        <v>supplier@gmail.com</v>
      </c>
      <c r="Q3447" t="str">
        <f ca="1">""&amp;IFERROR(VLOOKUP(O3447,EMAILS!B:D,3,FALSE),"NOT FOUND IN EMAILS")</f>
        <v/>
      </c>
      <c r="R3447" t="str">
        <f ca="1">""&amp;IFERROR(VLOOKUP(O3447,EMAILS!B:E,4,FALSE),"NO T FOUND IN EMAILS")</f>
        <v/>
      </c>
    </row>
    <row r="3448" spans="2:18" x14ac:dyDescent="0.25">
      <c r="B3448" s="5" t="s">
        <v>3450</v>
      </c>
      <c r="C3448" s="5" t="s">
        <v>7590</v>
      </c>
      <c r="D3448" s="5">
        <v>0</v>
      </c>
      <c r="E3448" s="5">
        <v>0</v>
      </c>
      <c r="F3448" s="5">
        <v>0</v>
      </c>
      <c r="G3448" s="5">
        <v>0</v>
      </c>
      <c r="H3448" s="5">
        <v>0</v>
      </c>
      <c r="I3448" s="5">
        <v>0</v>
      </c>
      <c r="J3448" s="5">
        <v>0</v>
      </c>
      <c r="K3448" s="5">
        <v>0</v>
      </c>
      <c r="L3448" s="5">
        <v>0</v>
      </c>
      <c r="M3448" s="5">
        <v>0</v>
      </c>
      <c r="N3448" s="5">
        <v>1025</v>
      </c>
      <c r="O3448" s="5" t="str">
        <f t="shared" ca="1" si="53"/>
        <v>Supplier 114</v>
      </c>
      <c r="P3448" s="20" t="str">
        <f ca="1">IFERROR(VLOOKUP(O3448,EMAILS!B:C,2,FALSE),"NOT FOUND IN EMAILS")</f>
        <v>supplier@gmail.com</v>
      </c>
      <c r="Q3448" t="str">
        <f ca="1">""&amp;IFERROR(VLOOKUP(O3448,EMAILS!B:D,3,FALSE),"NOT FOUND IN EMAILS")</f>
        <v/>
      </c>
      <c r="R3448" t="str">
        <f ca="1">""&amp;IFERROR(VLOOKUP(O3448,EMAILS!B:E,4,FALSE),"NO T FOUND IN EMAILS")</f>
        <v/>
      </c>
    </row>
    <row r="3449" spans="2:18" x14ac:dyDescent="0.25">
      <c r="B3449" s="5" t="s">
        <v>3451</v>
      </c>
      <c r="C3449" s="5" t="s">
        <v>7591</v>
      </c>
      <c r="D3449" s="5">
        <v>0</v>
      </c>
      <c r="E3449" s="5">
        <v>0</v>
      </c>
      <c r="F3449" s="5">
        <v>0</v>
      </c>
      <c r="G3449" s="5">
        <v>0</v>
      </c>
      <c r="H3449" s="5">
        <v>0</v>
      </c>
      <c r="I3449" s="5">
        <v>0</v>
      </c>
      <c r="J3449" s="5">
        <v>0</v>
      </c>
      <c r="K3449" s="5">
        <v>0</v>
      </c>
      <c r="L3449" s="5">
        <v>0</v>
      </c>
      <c r="M3449" s="5">
        <v>0</v>
      </c>
      <c r="N3449" s="5">
        <v>520</v>
      </c>
      <c r="O3449" s="5" t="str">
        <f t="shared" ca="1" si="53"/>
        <v>Supplier 75</v>
      </c>
      <c r="P3449" s="20" t="str">
        <f ca="1">IFERROR(VLOOKUP(O3449,EMAILS!B:C,2,FALSE),"NOT FOUND IN EMAILS")</f>
        <v>supplier@gmail.com</v>
      </c>
      <c r="Q3449" t="str">
        <f ca="1">""&amp;IFERROR(VLOOKUP(O3449,EMAILS!B:D,3,FALSE),"NOT FOUND IN EMAILS")</f>
        <v/>
      </c>
      <c r="R3449" t="str">
        <f ca="1">""&amp;IFERROR(VLOOKUP(O3449,EMAILS!B:E,4,FALSE),"NO T FOUND IN EMAILS")</f>
        <v/>
      </c>
    </row>
    <row r="3450" spans="2:18" x14ac:dyDescent="0.25">
      <c r="B3450" s="5" t="s">
        <v>3452</v>
      </c>
      <c r="C3450" s="5" t="s">
        <v>7592</v>
      </c>
      <c r="D3450" s="5">
        <v>0</v>
      </c>
      <c r="E3450" s="5">
        <v>0</v>
      </c>
      <c r="F3450" s="5">
        <v>0</v>
      </c>
      <c r="G3450" s="5">
        <v>0</v>
      </c>
      <c r="H3450" s="5">
        <v>0</v>
      </c>
      <c r="I3450" s="5">
        <v>0</v>
      </c>
      <c r="J3450" s="5">
        <v>0</v>
      </c>
      <c r="K3450" s="5">
        <v>0</v>
      </c>
      <c r="L3450" s="5">
        <v>0</v>
      </c>
      <c r="M3450" s="5">
        <v>0</v>
      </c>
      <c r="N3450" s="5">
        <v>1004</v>
      </c>
      <c r="O3450" s="5" t="str">
        <f t="shared" ca="1" si="53"/>
        <v>Supplier 175</v>
      </c>
      <c r="P3450" s="20" t="str">
        <f ca="1">IFERROR(VLOOKUP(O3450,EMAILS!B:C,2,FALSE),"NOT FOUND IN EMAILS")</f>
        <v>supplier@gmail.com</v>
      </c>
      <c r="Q3450" t="str">
        <f ca="1">""&amp;IFERROR(VLOOKUP(O3450,EMAILS!B:D,3,FALSE),"NOT FOUND IN EMAILS")</f>
        <v/>
      </c>
      <c r="R3450" t="str">
        <f ca="1">""&amp;IFERROR(VLOOKUP(O3450,EMAILS!B:E,4,FALSE),"NO T FOUND IN EMAILS")</f>
        <v/>
      </c>
    </row>
    <row r="3451" spans="2:18" x14ac:dyDescent="0.25">
      <c r="B3451" s="5" t="s">
        <v>3453</v>
      </c>
      <c r="C3451" s="5" t="s">
        <v>7593</v>
      </c>
      <c r="D3451" s="5">
        <v>0</v>
      </c>
      <c r="E3451" s="5">
        <v>0</v>
      </c>
      <c r="F3451" s="5">
        <v>0</v>
      </c>
      <c r="G3451" s="5">
        <v>0</v>
      </c>
      <c r="H3451" s="5">
        <v>0</v>
      </c>
      <c r="I3451" s="5">
        <v>0</v>
      </c>
      <c r="J3451" s="5">
        <v>0</v>
      </c>
      <c r="K3451" s="5">
        <v>0</v>
      </c>
      <c r="L3451" s="5">
        <v>0</v>
      </c>
      <c r="M3451" s="5">
        <v>0</v>
      </c>
      <c r="N3451" s="5">
        <v>0</v>
      </c>
      <c r="O3451" s="5" t="str">
        <f t="shared" ca="1" si="53"/>
        <v>Supplier 9</v>
      </c>
      <c r="P3451" s="20" t="str">
        <f ca="1">IFERROR(VLOOKUP(O3451,EMAILS!B:C,2,FALSE),"NOT FOUND IN EMAILS")</f>
        <v>supplier@gmail.com</v>
      </c>
      <c r="Q3451" t="str">
        <f ca="1">""&amp;IFERROR(VLOOKUP(O3451,EMAILS!B:D,3,FALSE),"NOT FOUND IN EMAILS")</f>
        <v>supplier_logistics@gmail.com</v>
      </c>
      <c r="R3451" t="str">
        <f ca="1">""&amp;IFERROR(VLOOKUP(O3451,EMAILS!B:E,4,FALSE),"NO T FOUND IN EMAILS")</f>
        <v/>
      </c>
    </row>
    <row r="3452" spans="2:18" x14ac:dyDescent="0.25">
      <c r="B3452" s="5" t="s">
        <v>3454</v>
      </c>
      <c r="C3452" s="5" t="s">
        <v>7594</v>
      </c>
      <c r="D3452" s="5">
        <v>0</v>
      </c>
      <c r="E3452" s="5">
        <v>0</v>
      </c>
      <c r="F3452" s="5">
        <v>0</v>
      </c>
      <c r="G3452" s="5">
        <v>0</v>
      </c>
      <c r="H3452" s="5">
        <v>0</v>
      </c>
      <c r="I3452" s="5">
        <v>0</v>
      </c>
      <c r="J3452" s="5">
        <v>0</v>
      </c>
      <c r="K3452" s="5">
        <v>0</v>
      </c>
      <c r="L3452" s="5">
        <v>0</v>
      </c>
      <c r="M3452" s="5">
        <v>0</v>
      </c>
      <c r="N3452" s="5">
        <v>0</v>
      </c>
      <c r="O3452" s="5" t="str">
        <f t="shared" ca="1" si="53"/>
        <v>Supplier 148</v>
      </c>
      <c r="P3452" s="20" t="str">
        <f ca="1">IFERROR(VLOOKUP(O3452,EMAILS!B:C,2,FALSE),"NOT FOUND IN EMAILS")</f>
        <v>supplier@gmail.com</v>
      </c>
      <c r="Q3452" t="str">
        <f ca="1">""&amp;IFERROR(VLOOKUP(O3452,EMAILS!B:D,3,FALSE),"NOT FOUND IN EMAILS")</f>
        <v/>
      </c>
      <c r="R3452" t="str">
        <f ca="1">""&amp;IFERROR(VLOOKUP(O3452,EMAILS!B:E,4,FALSE),"NO T FOUND IN EMAILS")</f>
        <v/>
      </c>
    </row>
    <row r="3453" spans="2:18" x14ac:dyDescent="0.25">
      <c r="B3453" s="5" t="s">
        <v>3455</v>
      </c>
      <c r="C3453" s="5" t="s">
        <v>7595</v>
      </c>
      <c r="D3453" s="5">
        <v>0</v>
      </c>
      <c r="E3453" s="5">
        <v>0</v>
      </c>
      <c r="F3453" s="5">
        <v>0</v>
      </c>
      <c r="G3453" s="5">
        <v>0</v>
      </c>
      <c r="H3453" s="5">
        <v>0</v>
      </c>
      <c r="I3453" s="5">
        <v>0</v>
      </c>
      <c r="J3453" s="5">
        <v>0</v>
      </c>
      <c r="K3453" s="5">
        <v>24</v>
      </c>
      <c r="L3453" s="5">
        <v>0</v>
      </c>
      <c r="M3453" s="5">
        <v>0</v>
      </c>
      <c r="N3453" s="5">
        <v>1197</v>
      </c>
      <c r="O3453" s="5" t="str">
        <f t="shared" ca="1" si="53"/>
        <v>Supplier 50</v>
      </c>
      <c r="P3453" s="20" t="str">
        <f ca="1">IFERROR(VLOOKUP(O3453,EMAILS!B:C,2,FALSE),"NOT FOUND IN EMAILS")</f>
        <v>supplier@gmail.com</v>
      </c>
      <c r="Q3453" t="str">
        <f ca="1">""&amp;IFERROR(VLOOKUP(O3453,EMAILS!B:D,3,FALSE),"NOT FOUND IN EMAILS")</f>
        <v/>
      </c>
      <c r="R3453" t="str">
        <f ca="1">""&amp;IFERROR(VLOOKUP(O3453,EMAILS!B:E,4,FALSE),"NO T FOUND IN EMAILS")</f>
        <v/>
      </c>
    </row>
    <row r="3454" spans="2:18" x14ac:dyDescent="0.25">
      <c r="B3454" s="5" t="s">
        <v>3456</v>
      </c>
      <c r="C3454" s="5" t="s">
        <v>7596</v>
      </c>
      <c r="D3454" s="5">
        <v>1888.25</v>
      </c>
      <c r="E3454" s="5">
        <v>1284</v>
      </c>
      <c r="F3454" s="5">
        <v>2126</v>
      </c>
      <c r="G3454" s="5">
        <v>2157.4</v>
      </c>
      <c r="H3454" s="5">
        <v>1351</v>
      </c>
      <c r="I3454" s="5">
        <v>1418</v>
      </c>
      <c r="J3454" s="5">
        <v>528.1</v>
      </c>
      <c r="K3454" s="5">
        <v>1276.5999999999999</v>
      </c>
      <c r="L3454" s="5">
        <v>231.65</v>
      </c>
      <c r="M3454" s="5">
        <v>0</v>
      </c>
      <c r="N3454" s="5">
        <v>87</v>
      </c>
      <c r="O3454" s="5" t="str">
        <f t="shared" ca="1" si="53"/>
        <v>Supplier 60</v>
      </c>
      <c r="P3454" s="20" t="str">
        <f ca="1">IFERROR(VLOOKUP(O3454,EMAILS!B:C,2,FALSE),"NOT FOUND IN EMAILS")</f>
        <v>supplier@gmail.com</v>
      </c>
      <c r="Q3454" t="str">
        <f ca="1">""&amp;IFERROR(VLOOKUP(O3454,EMAILS!B:D,3,FALSE),"NOT FOUND IN EMAILS")</f>
        <v/>
      </c>
      <c r="R3454" t="str">
        <f ca="1">""&amp;IFERROR(VLOOKUP(O3454,EMAILS!B:E,4,FALSE),"NO T FOUND IN EMAILS")</f>
        <v/>
      </c>
    </row>
    <row r="3455" spans="2:18" x14ac:dyDescent="0.25">
      <c r="B3455" s="5" t="s">
        <v>3457</v>
      </c>
      <c r="C3455" s="5" t="s">
        <v>7597</v>
      </c>
      <c r="D3455" s="5">
        <v>0</v>
      </c>
      <c r="E3455" s="5">
        <v>0</v>
      </c>
      <c r="F3455" s="5">
        <v>0</v>
      </c>
      <c r="G3455" s="5">
        <v>0</v>
      </c>
      <c r="H3455" s="5">
        <v>0</v>
      </c>
      <c r="I3455" s="5">
        <v>0</v>
      </c>
      <c r="J3455" s="5">
        <v>0</v>
      </c>
      <c r="K3455" s="5">
        <v>0</v>
      </c>
      <c r="L3455" s="5">
        <v>0</v>
      </c>
      <c r="M3455" s="5">
        <v>0</v>
      </c>
      <c r="N3455" s="5">
        <v>3103</v>
      </c>
      <c r="O3455" s="5" t="str">
        <f t="shared" ca="1" si="53"/>
        <v>Supplier 121</v>
      </c>
      <c r="P3455" s="20" t="str">
        <f ca="1">IFERROR(VLOOKUP(O3455,EMAILS!B:C,2,FALSE),"NOT FOUND IN EMAILS")</f>
        <v>supplier@gmail.com</v>
      </c>
      <c r="Q3455" t="str">
        <f ca="1">""&amp;IFERROR(VLOOKUP(O3455,EMAILS!B:D,3,FALSE),"NOT FOUND IN EMAILS")</f>
        <v/>
      </c>
      <c r="R3455" t="str">
        <f ca="1">""&amp;IFERROR(VLOOKUP(O3455,EMAILS!B:E,4,FALSE),"NO T FOUND IN EMAILS")</f>
        <v/>
      </c>
    </row>
    <row r="3456" spans="2:18" x14ac:dyDescent="0.25">
      <c r="B3456" s="5" t="s">
        <v>3458</v>
      </c>
      <c r="C3456" s="5" t="s">
        <v>7598</v>
      </c>
      <c r="D3456" s="5">
        <v>816.3</v>
      </c>
      <c r="E3456" s="5">
        <v>377.5</v>
      </c>
      <c r="F3456" s="5">
        <v>655.5</v>
      </c>
      <c r="G3456" s="5">
        <v>671.58</v>
      </c>
      <c r="H3456" s="5">
        <v>804.17</v>
      </c>
      <c r="I3456" s="5">
        <v>696.37</v>
      </c>
      <c r="J3456" s="5">
        <v>527.79199999999992</v>
      </c>
      <c r="K3456" s="5">
        <v>672.54</v>
      </c>
      <c r="L3456" s="5">
        <v>626.16</v>
      </c>
      <c r="M3456" s="5">
        <v>0</v>
      </c>
      <c r="N3456" s="5">
        <v>0</v>
      </c>
      <c r="O3456" s="5" t="str">
        <f t="shared" ca="1" si="53"/>
        <v>Supplier 41</v>
      </c>
      <c r="P3456" s="20" t="str">
        <f ca="1">IFERROR(VLOOKUP(O3456,EMAILS!B:C,2,FALSE),"NOT FOUND IN EMAILS")</f>
        <v>supplier@gmail.com</v>
      </c>
      <c r="Q3456" t="str">
        <f ca="1">""&amp;IFERROR(VLOOKUP(O3456,EMAILS!B:D,3,FALSE),"NOT FOUND IN EMAILS")</f>
        <v/>
      </c>
      <c r="R3456" t="str">
        <f ca="1">""&amp;IFERROR(VLOOKUP(O3456,EMAILS!B:E,4,FALSE),"NO T FOUND IN EMAILS")</f>
        <v/>
      </c>
    </row>
    <row r="3457" spans="2:18" x14ac:dyDescent="0.25">
      <c r="B3457" s="5" t="s">
        <v>3459</v>
      </c>
      <c r="C3457" s="5" t="s">
        <v>7599</v>
      </c>
      <c r="D3457" s="5">
        <v>0</v>
      </c>
      <c r="E3457" s="5">
        <v>0</v>
      </c>
      <c r="F3457" s="5">
        <v>10</v>
      </c>
      <c r="G3457" s="5">
        <v>0</v>
      </c>
      <c r="H3457" s="5">
        <v>0</v>
      </c>
      <c r="I3457" s="5">
        <v>0</v>
      </c>
      <c r="J3457" s="5">
        <v>0</v>
      </c>
      <c r="K3457" s="5">
        <v>0</v>
      </c>
      <c r="L3457" s="5">
        <v>0</v>
      </c>
      <c r="M3457" s="5">
        <v>0</v>
      </c>
      <c r="N3457" s="5">
        <v>0</v>
      </c>
      <c r="O3457" s="5" t="str">
        <f t="shared" ca="1" si="53"/>
        <v>Supplier 24</v>
      </c>
      <c r="P3457" s="20" t="str">
        <f ca="1">IFERROR(VLOOKUP(O3457,EMAILS!B:C,2,FALSE),"NOT FOUND IN EMAILS")</f>
        <v>supplier@gmail.com</v>
      </c>
      <c r="Q3457" t="str">
        <f ca="1">""&amp;IFERROR(VLOOKUP(O3457,EMAILS!B:D,3,FALSE),"NOT FOUND IN EMAILS")</f>
        <v/>
      </c>
      <c r="R3457" t="str">
        <f ca="1">""&amp;IFERROR(VLOOKUP(O3457,EMAILS!B:E,4,FALSE),"NO T FOUND IN EMAILS")</f>
        <v/>
      </c>
    </row>
    <row r="3458" spans="2:18" x14ac:dyDescent="0.25">
      <c r="B3458" s="5" t="s">
        <v>3460</v>
      </c>
      <c r="C3458" s="5" t="s">
        <v>7600</v>
      </c>
      <c r="D3458" s="5">
        <v>0</v>
      </c>
      <c r="E3458" s="5">
        <v>0</v>
      </c>
      <c r="F3458" s="5">
        <v>0</v>
      </c>
      <c r="G3458" s="5">
        <v>0</v>
      </c>
      <c r="H3458" s="5">
        <v>0</v>
      </c>
      <c r="I3458" s="5">
        <v>1</v>
      </c>
      <c r="J3458" s="5">
        <v>0</v>
      </c>
      <c r="K3458" s="5">
        <v>0</v>
      </c>
      <c r="L3458" s="5">
        <v>0</v>
      </c>
      <c r="M3458" s="5">
        <v>0</v>
      </c>
      <c r="N3458" s="5">
        <v>0</v>
      </c>
      <c r="O3458" s="5" t="str">
        <f t="shared" ca="1" si="53"/>
        <v>Supplier 120</v>
      </c>
      <c r="P3458" s="20" t="str">
        <f ca="1">IFERROR(VLOOKUP(O3458,EMAILS!B:C,2,FALSE),"NOT FOUND IN EMAILS")</f>
        <v>supplier@gmail.com</v>
      </c>
      <c r="Q3458" t="str">
        <f ca="1">""&amp;IFERROR(VLOOKUP(O3458,EMAILS!B:D,3,FALSE),"NOT FOUND IN EMAILS")</f>
        <v/>
      </c>
      <c r="R3458" t="str">
        <f ca="1">""&amp;IFERROR(VLOOKUP(O3458,EMAILS!B:E,4,FALSE),"NO T FOUND IN EMAILS")</f>
        <v/>
      </c>
    </row>
    <row r="3459" spans="2:18" x14ac:dyDescent="0.25">
      <c r="B3459" s="5" t="s">
        <v>3461</v>
      </c>
      <c r="C3459" s="5" t="s">
        <v>7601</v>
      </c>
      <c r="D3459" s="5">
        <v>0</v>
      </c>
      <c r="E3459" s="5">
        <v>0</v>
      </c>
      <c r="F3459" s="5">
        <v>0</v>
      </c>
      <c r="G3459" s="5">
        <v>0</v>
      </c>
      <c r="H3459" s="5">
        <v>0</v>
      </c>
      <c r="I3459" s="5">
        <v>0</v>
      </c>
      <c r="J3459" s="5">
        <v>0</v>
      </c>
      <c r="K3459" s="5">
        <v>0</v>
      </c>
      <c r="L3459" s="5">
        <v>250</v>
      </c>
      <c r="M3459" s="5">
        <v>0</v>
      </c>
      <c r="N3459" s="5">
        <v>1917</v>
      </c>
      <c r="O3459" s="5" t="str">
        <f t="shared" ref="O3459:O3522" ca="1" si="54">"Supplier "&amp;RANDBETWEEN(1,200)</f>
        <v>Supplier 144</v>
      </c>
      <c r="P3459" s="20" t="str">
        <f ca="1">IFERROR(VLOOKUP(O3459,EMAILS!B:C,2,FALSE),"NOT FOUND IN EMAILS")</f>
        <v>supplier@gmail.com</v>
      </c>
      <c r="Q3459" t="str">
        <f ca="1">""&amp;IFERROR(VLOOKUP(O3459,EMAILS!B:D,3,FALSE),"NOT FOUND IN EMAILS")</f>
        <v/>
      </c>
      <c r="R3459" t="str">
        <f ca="1">""&amp;IFERROR(VLOOKUP(O3459,EMAILS!B:E,4,FALSE),"NO T FOUND IN EMAILS")</f>
        <v/>
      </c>
    </row>
    <row r="3460" spans="2:18" x14ac:dyDescent="0.25">
      <c r="B3460" s="5" t="s">
        <v>3462</v>
      </c>
      <c r="C3460" s="5" t="s">
        <v>7602</v>
      </c>
      <c r="D3460" s="5">
        <v>184</v>
      </c>
      <c r="E3460" s="5">
        <v>1030</v>
      </c>
      <c r="F3460" s="5">
        <v>402</v>
      </c>
      <c r="G3460" s="5">
        <v>1298.0999999999999</v>
      </c>
      <c r="H3460" s="5">
        <v>842.2</v>
      </c>
      <c r="I3460" s="5">
        <v>494.7</v>
      </c>
      <c r="J3460" s="5">
        <v>201</v>
      </c>
      <c r="K3460" s="5">
        <v>1234.2</v>
      </c>
      <c r="L3460" s="5">
        <v>225</v>
      </c>
      <c r="M3460" s="5">
        <v>0</v>
      </c>
      <c r="N3460" s="5">
        <v>0</v>
      </c>
      <c r="O3460" s="5" t="str">
        <f t="shared" ca="1" si="54"/>
        <v>Supplier 163</v>
      </c>
      <c r="P3460" s="20" t="str">
        <f ca="1">IFERROR(VLOOKUP(O3460,EMAILS!B:C,2,FALSE),"NOT FOUND IN EMAILS")</f>
        <v>supplier@gmail.com</v>
      </c>
      <c r="Q3460" t="str">
        <f ca="1">""&amp;IFERROR(VLOOKUP(O3460,EMAILS!B:D,3,FALSE),"NOT FOUND IN EMAILS")</f>
        <v/>
      </c>
      <c r="R3460" t="str">
        <f ca="1">""&amp;IFERROR(VLOOKUP(O3460,EMAILS!B:E,4,FALSE),"NO T FOUND IN EMAILS")</f>
        <v/>
      </c>
    </row>
    <row r="3461" spans="2:18" x14ac:dyDescent="0.25">
      <c r="B3461" s="5" t="s">
        <v>3463</v>
      </c>
      <c r="C3461" s="5" t="s">
        <v>7603</v>
      </c>
      <c r="D3461" s="5">
        <v>0</v>
      </c>
      <c r="E3461" s="5">
        <v>0</v>
      </c>
      <c r="F3461" s="5">
        <v>0</v>
      </c>
      <c r="G3461" s="5">
        <v>0</v>
      </c>
      <c r="H3461" s="5">
        <v>0</v>
      </c>
      <c r="I3461" s="5">
        <v>0</v>
      </c>
      <c r="J3461" s="5">
        <v>0</v>
      </c>
      <c r="K3461" s="5">
        <v>0</v>
      </c>
      <c r="L3461" s="5">
        <v>0</v>
      </c>
      <c r="M3461" s="5">
        <v>0</v>
      </c>
      <c r="N3461" s="5">
        <v>0</v>
      </c>
      <c r="O3461" s="5" t="str">
        <f t="shared" ca="1" si="54"/>
        <v>Supplier 93</v>
      </c>
      <c r="P3461" s="20" t="str">
        <f ca="1">IFERROR(VLOOKUP(O3461,EMAILS!B:C,2,FALSE),"NOT FOUND IN EMAILS")</f>
        <v>supplier@gmail.com</v>
      </c>
      <c r="Q3461" t="str">
        <f ca="1">""&amp;IFERROR(VLOOKUP(O3461,EMAILS!B:D,3,FALSE),"NOT FOUND IN EMAILS")</f>
        <v/>
      </c>
      <c r="R3461" t="str">
        <f ca="1">""&amp;IFERROR(VLOOKUP(O3461,EMAILS!B:E,4,FALSE),"NO T FOUND IN EMAILS")</f>
        <v/>
      </c>
    </row>
    <row r="3462" spans="2:18" x14ac:dyDescent="0.25">
      <c r="B3462" s="5" t="s">
        <v>3464</v>
      </c>
      <c r="C3462" s="5" t="s">
        <v>7604</v>
      </c>
      <c r="D3462" s="5">
        <v>0</v>
      </c>
      <c r="E3462" s="5">
        <v>0</v>
      </c>
      <c r="F3462" s="5">
        <v>0</v>
      </c>
      <c r="G3462" s="5">
        <v>0</v>
      </c>
      <c r="H3462" s="5">
        <v>0</v>
      </c>
      <c r="I3462" s="5">
        <v>0</v>
      </c>
      <c r="J3462" s="5">
        <v>0</v>
      </c>
      <c r="K3462" s="5">
        <v>0</v>
      </c>
      <c r="L3462" s="5">
        <v>0</v>
      </c>
      <c r="M3462" s="5">
        <v>0</v>
      </c>
      <c r="N3462" s="5">
        <v>52</v>
      </c>
      <c r="O3462" s="5" t="str">
        <f t="shared" ca="1" si="54"/>
        <v>Supplier 193</v>
      </c>
      <c r="P3462" s="20" t="str">
        <f ca="1">IFERROR(VLOOKUP(O3462,EMAILS!B:C,2,FALSE),"NOT FOUND IN EMAILS")</f>
        <v>supplier@gmail.com</v>
      </c>
      <c r="Q3462" t="str">
        <f ca="1">""&amp;IFERROR(VLOOKUP(O3462,EMAILS!B:D,3,FALSE),"NOT FOUND IN EMAILS")</f>
        <v/>
      </c>
      <c r="R3462" t="str">
        <f ca="1">""&amp;IFERROR(VLOOKUP(O3462,EMAILS!B:E,4,FALSE),"NO T FOUND IN EMAILS")</f>
        <v/>
      </c>
    </row>
    <row r="3463" spans="2:18" x14ac:dyDescent="0.25">
      <c r="B3463" s="5" t="s">
        <v>3465</v>
      </c>
      <c r="C3463" s="5" t="s">
        <v>7605</v>
      </c>
      <c r="D3463" s="5">
        <v>52</v>
      </c>
      <c r="E3463" s="5">
        <v>0</v>
      </c>
      <c r="F3463" s="5">
        <v>100</v>
      </c>
      <c r="G3463" s="5">
        <v>0</v>
      </c>
      <c r="H3463" s="5">
        <v>0</v>
      </c>
      <c r="I3463" s="5">
        <v>0</v>
      </c>
      <c r="J3463" s="5">
        <v>0</v>
      </c>
      <c r="K3463" s="5">
        <v>110</v>
      </c>
      <c r="L3463" s="5">
        <v>0</v>
      </c>
      <c r="M3463" s="5">
        <v>0</v>
      </c>
      <c r="N3463" s="5">
        <v>1600</v>
      </c>
      <c r="O3463" s="5" t="str">
        <f t="shared" ca="1" si="54"/>
        <v>Supplier 32</v>
      </c>
      <c r="P3463" s="20" t="str">
        <f ca="1">IFERROR(VLOOKUP(O3463,EMAILS!B:C,2,FALSE),"NOT FOUND IN EMAILS")</f>
        <v>supplier@gmail.com</v>
      </c>
      <c r="Q3463" t="str">
        <f ca="1">""&amp;IFERROR(VLOOKUP(O3463,EMAILS!B:D,3,FALSE),"NOT FOUND IN EMAILS")</f>
        <v/>
      </c>
      <c r="R3463" t="str">
        <f ca="1">""&amp;IFERROR(VLOOKUP(O3463,EMAILS!B:E,4,FALSE),"NO T FOUND IN EMAILS")</f>
        <v/>
      </c>
    </row>
    <row r="3464" spans="2:18" x14ac:dyDescent="0.25">
      <c r="B3464" s="5" t="s">
        <v>3466</v>
      </c>
      <c r="C3464" s="5" t="s">
        <v>7606</v>
      </c>
      <c r="D3464" s="5">
        <v>2</v>
      </c>
      <c r="E3464" s="5">
        <v>0</v>
      </c>
      <c r="F3464" s="5">
        <v>14</v>
      </c>
      <c r="G3464" s="5">
        <v>8</v>
      </c>
      <c r="H3464" s="5">
        <v>6</v>
      </c>
      <c r="I3464" s="5">
        <v>0</v>
      </c>
      <c r="J3464" s="5">
        <v>4</v>
      </c>
      <c r="K3464" s="5">
        <v>10</v>
      </c>
      <c r="L3464" s="5">
        <v>0</v>
      </c>
      <c r="M3464" s="5">
        <v>0</v>
      </c>
      <c r="N3464" s="5">
        <v>2087</v>
      </c>
      <c r="O3464" s="5" t="str">
        <f t="shared" ca="1" si="54"/>
        <v>Supplier 171</v>
      </c>
      <c r="P3464" s="20" t="str">
        <f ca="1">IFERROR(VLOOKUP(O3464,EMAILS!B:C,2,FALSE),"NOT FOUND IN EMAILS")</f>
        <v>supplier@gmail.com</v>
      </c>
      <c r="Q3464" t="str">
        <f ca="1">""&amp;IFERROR(VLOOKUP(O3464,EMAILS!B:D,3,FALSE),"NOT FOUND IN EMAILS")</f>
        <v/>
      </c>
      <c r="R3464" t="str">
        <f ca="1">""&amp;IFERROR(VLOOKUP(O3464,EMAILS!B:E,4,FALSE),"NO T FOUND IN EMAILS")</f>
        <v/>
      </c>
    </row>
    <row r="3465" spans="2:18" x14ac:dyDescent="0.25">
      <c r="B3465" s="5" t="s">
        <v>3467</v>
      </c>
      <c r="C3465" s="5" t="s">
        <v>7607</v>
      </c>
      <c r="D3465" s="5">
        <v>0</v>
      </c>
      <c r="E3465" s="5">
        <v>0</v>
      </c>
      <c r="F3465" s="5">
        <v>12</v>
      </c>
      <c r="G3465" s="5">
        <v>0</v>
      </c>
      <c r="H3465" s="5">
        <v>0</v>
      </c>
      <c r="I3465" s="5">
        <v>0</v>
      </c>
      <c r="J3465" s="5">
        <v>0</v>
      </c>
      <c r="K3465" s="5">
        <v>0</v>
      </c>
      <c r="L3465" s="5">
        <v>0</v>
      </c>
      <c r="M3465" s="5">
        <v>0</v>
      </c>
      <c r="N3465" s="5">
        <v>0</v>
      </c>
      <c r="O3465" s="5" t="str">
        <f t="shared" ca="1" si="54"/>
        <v>Supplier 65</v>
      </c>
      <c r="P3465" s="20" t="str">
        <f ca="1">IFERROR(VLOOKUP(O3465,EMAILS!B:C,2,FALSE),"NOT FOUND IN EMAILS")</f>
        <v>supplier@gmail.com</v>
      </c>
      <c r="Q3465" t="str">
        <f ca="1">""&amp;IFERROR(VLOOKUP(O3465,EMAILS!B:D,3,FALSE),"NOT FOUND IN EMAILS")</f>
        <v/>
      </c>
      <c r="R3465" t="str">
        <f ca="1">""&amp;IFERROR(VLOOKUP(O3465,EMAILS!B:E,4,FALSE),"NO T FOUND IN EMAILS")</f>
        <v/>
      </c>
    </row>
    <row r="3466" spans="2:18" x14ac:dyDescent="0.25">
      <c r="B3466" s="5" t="s">
        <v>3468</v>
      </c>
      <c r="C3466" s="5" t="s">
        <v>7608</v>
      </c>
      <c r="D3466" s="5">
        <v>1</v>
      </c>
      <c r="E3466" s="5">
        <v>0</v>
      </c>
      <c r="F3466" s="5">
        <v>0</v>
      </c>
      <c r="G3466" s="5">
        <v>0</v>
      </c>
      <c r="H3466" s="5">
        <v>0</v>
      </c>
      <c r="I3466" s="5">
        <v>0</v>
      </c>
      <c r="J3466" s="5">
        <v>0</v>
      </c>
      <c r="K3466" s="5">
        <v>0</v>
      </c>
      <c r="L3466" s="5">
        <v>0</v>
      </c>
      <c r="M3466" s="5">
        <v>0</v>
      </c>
      <c r="N3466" s="5">
        <v>8</v>
      </c>
      <c r="O3466" s="5" t="str">
        <f t="shared" ca="1" si="54"/>
        <v>Supplier 134</v>
      </c>
      <c r="P3466" s="20" t="str">
        <f ca="1">IFERROR(VLOOKUP(O3466,EMAILS!B:C,2,FALSE),"NOT FOUND IN EMAILS")</f>
        <v>supplier@gmail.com</v>
      </c>
      <c r="Q3466" t="str">
        <f ca="1">""&amp;IFERROR(VLOOKUP(O3466,EMAILS!B:D,3,FALSE),"NOT FOUND IN EMAILS")</f>
        <v/>
      </c>
      <c r="R3466" t="str">
        <f ca="1">""&amp;IFERROR(VLOOKUP(O3466,EMAILS!B:E,4,FALSE),"NO T FOUND IN EMAILS")</f>
        <v/>
      </c>
    </row>
    <row r="3467" spans="2:18" x14ac:dyDescent="0.25">
      <c r="B3467" s="5" t="s">
        <v>3469</v>
      </c>
      <c r="C3467" s="5" t="s">
        <v>7609</v>
      </c>
      <c r="D3467" s="5">
        <v>0</v>
      </c>
      <c r="E3467" s="5">
        <v>0</v>
      </c>
      <c r="F3467" s="5">
        <v>0</v>
      </c>
      <c r="G3467" s="5">
        <v>0</v>
      </c>
      <c r="H3467" s="5">
        <v>0</v>
      </c>
      <c r="I3467" s="5">
        <v>0</v>
      </c>
      <c r="J3467" s="5">
        <v>0</v>
      </c>
      <c r="K3467" s="5">
        <v>0</v>
      </c>
      <c r="L3467" s="5">
        <v>0</v>
      </c>
      <c r="M3467" s="5">
        <v>0</v>
      </c>
      <c r="N3467" s="5">
        <v>0</v>
      </c>
      <c r="O3467" s="5" t="str">
        <f t="shared" ca="1" si="54"/>
        <v>Supplier 182</v>
      </c>
      <c r="P3467" s="20" t="str">
        <f ca="1">IFERROR(VLOOKUP(O3467,EMAILS!B:C,2,FALSE),"NOT FOUND IN EMAILS")</f>
        <v>supplier@gmail.com</v>
      </c>
      <c r="Q3467" t="str">
        <f ca="1">""&amp;IFERROR(VLOOKUP(O3467,EMAILS!B:D,3,FALSE),"NOT FOUND IN EMAILS")</f>
        <v/>
      </c>
      <c r="R3467" t="str">
        <f ca="1">""&amp;IFERROR(VLOOKUP(O3467,EMAILS!B:E,4,FALSE),"NO T FOUND IN EMAILS")</f>
        <v/>
      </c>
    </row>
    <row r="3468" spans="2:18" x14ac:dyDescent="0.25">
      <c r="B3468" s="5" t="s">
        <v>3470</v>
      </c>
      <c r="C3468" s="5" t="s">
        <v>7610</v>
      </c>
      <c r="D3468" s="5">
        <v>0</v>
      </c>
      <c r="E3468" s="5">
        <v>50</v>
      </c>
      <c r="F3468" s="5">
        <v>0</v>
      </c>
      <c r="G3468" s="5">
        <v>0</v>
      </c>
      <c r="H3468" s="5">
        <v>50</v>
      </c>
      <c r="I3468" s="5">
        <v>0</v>
      </c>
      <c r="J3468" s="5">
        <v>0</v>
      </c>
      <c r="K3468" s="5">
        <v>0</v>
      </c>
      <c r="L3468" s="5">
        <v>0</v>
      </c>
      <c r="M3468" s="5">
        <v>0</v>
      </c>
      <c r="N3468" s="5">
        <v>1050</v>
      </c>
      <c r="O3468" s="5" t="str">
        <f t="shared" ca="1" si="54"/>
        <v>Supplier 196</v>
      </c>
      <c r="P3468" s="20" t="str">
        <f ca="1">IFERROR(VLOOKUP(O3468,EMAILS!B:C,2,FALSE),"NOT FOUND IN EMAILS")</f>
        <v>supplier@gmail.com</v>
      </c>
      <c r="Q3468" t="str">
        <f ca="1">""&amp;IFERROR(VLOOKUP(O3468,EMAILS!B:D,3,FALSE),"NOT FOUND IN EMAILS")</f>
        <v/>
      </c>
      <c r="R3468" t="str">
        <f ca="1">""&amp;IFERROR(VLOOKUP(O3468,EMAILS!B:E,4,FALSE),"NO T FOUND IN EMAILS")</f>
        <v/>
      </c>
    </row>
    <row r="3469" spans="2:18" x14ac:dyDescent="0.25">
      <c r="B3469" s="5" t="s">
        <v>3471</v>
      </c>
      <c r="C3469" s="5" t="s">
        <v>7611</v>
      </c>
      <c r="D3469" s="5">
        <v>0</v>
      </c>
      <c r="E3469" s="5">
        <v>0</v>
      </c>
      <c r="F3469" s="5">
        <v>0</v>
      </c>
      <c r="G3469" s="5">
        <v>0</v>
      </c>
      <c r="H3469" s="5">
        <v>0</v>
      </c>
      <c r="I3469" s="5">
        <v>0</v>
      </c>
      <c r="J3469" s="5">
        <v>0</v>
      </c>
      <c r="K3469" s="5">
        <v>0</v>
      </c>
      <c r="L3469" s="5">
        <v>0</v>
      </c>
      <c r="M3469" s="5">
        <v>0</v>
      </c>
      <c r="N3469" s="5">
        <v>750</v>
      </c>
      <c r="O3469" s="5" t="str">
        <f t="shared" ca="1" si="54"/>
        <v>Supplier 85</v>
      </c>
      <c r="P3469" s="20" t="str">
        <f ca="1">IFERROR(VLOOKUP(O3469,EMAILS!B:C,2,FALSE),"NOT FOUND IN EMAILS")</f>
        <v>supplier@gmail.com</v>
      </c>
      <c r="Q3469" t="str">
        <f ca="1">""&amp;IFERROR(VLOOKUP(O3469,EMAILS!B:D,3,FALSE),"NOT FOUND IN EMAILS")</f>
        <v/>
      </c>
      <c r="R3469" t="str">
        <f ca="1">""&amp;IFERROR(VLOOKUP(O3469,EMAILS!B:E,4,FALSE),"NO T FOUND IN EMAILS")</f>
        <v/>
      </c>
    </row>
    <row r="3470" spans="2:18" x14ac:dyDescent="0.25">
      <c r="B3470" s="5" t="s">
        <v>3472</v>
      </c>
      <c r="C3470" s="5" t="s">
        <v>7612</v>
      </c>
      <c r="D3470" s="5">
        <v>50</v>
      </c>
      <c r="E3470" s="5">
        <v>100</v>
      </c>
      <c r="F3470" s="5">
        <v>120</v>
      </c>
      <c r="G3470" s="5">
        <v>120</v>
      </c>
      <c r="H3470" s="5">
        <v>220</v>
      </c>
      <c r="I3470" s="5">
        <v>220</v>
      </c>
      <c r="J3470" s="5">
        <v>220</v>
      </c>
      <c r="K3470" s="5">
        <v>120</v>
      </c>
      <c r="L3470" s="5">
        <v>220</v>
      </c>
      <c r="M3470" s="5">
        <v>0</v>
      </c>
      <c r="N3470" s="5">
        <v>0</v>
      </c>
      <c r="O3470" s="5" t="str">
        <f t="shared" ca="1" si="54"/>
        <v>Supplier 29</v>
      </c>
      <c r="P3470" s="20" t="str">
        <f ca="1">IFERROR(VLOOKUP(O3470,EMAILS!B:C,2,FALSE),"NOT FOUND IN EMAILS")</f>
        <v>supplier@gmail.com</v>
      </c>
      <c r="Q3470" t="str">
        <f ca="1">""&amp;IFERROR(VLOOKUP(O3470,EMAILS!B:D,3,FALSE),"NOT FOUND IN EMAILS")</f>
        <v/>
      </c>
      <c r="R3470" t="str">
        <f ca="1">""&amp;IFERROR(VLOOKUP(O3470,EMAILS!B:E,4,FALSE),"NO T FOUND IN EMAILS")</f>
        <v/>
      </c>
    </row>
    <row r="3471" spans="2:18" x14ac:dyDescent="0.25">
      <c r="B3471" s="5" t="s">
        <v>3473</v>
      </c>
      <c r="C3471" s="5" t="s">
        <v>7613</v>
      </c>
      <c r="D3471" s="5">
        <v>36</v>
      </c>
      <c r="E3471" s="5">
        <v>108</v>
      </c>
      <c r="F3471" s="5">
        <v>18</v>
      </c>
      <c r="G3471" s="5">
        <v>36</v>
      </c>
      <c r="H3471" s="5">
        <v>32</v>
      </c>
      <c r="I3471" s="5">
        <v>0</v>
      </c>
      <c r="J3471" s="5">
        <v>0</v>
      </c>
      <c r="K3471" s="5">
        <v>0</v>
      </c>
      <c r="L3471" s="5">
        <v>0</v>
      </c>
      <c r="M3471" s="5">
        <v>0</v>
      </c>
      <c r="N3471" s="5">
        <v>0</v>
      </c>
      <c r="O3471" s="5" t="str">
        <f t="shared" ca="1" si="54"/>
        <v>Supplier 33</v>
      </c>
      <c r="P3471" s="20" t="str">
        <f ca="1">IFERROR(VLOOKUP(O3471,EMAILS!B:C,2,FALSE),"NOT FOUND IN EMAILS")</f>
        <v>supplier@gmail.com</v>
      </c>
      <c r="Q3471" t="str">
        <f ca="1">""&amp;IFERROR(VLOOKUP(O3471,EMAILS!B:D,3,FALSE),"NOT FOUND IN EMAILS")</f>
        <v/>
      </c>
      <c r="R3471" t="str">
        <f ca="1">""&amp;IFERROR(VLOOKUP(O3471,EMAILS!B:E,4,FALSE),"NO T FOUND IN EMAILS")</f>
        <v/>
      </c>
    </row>
    <row r="3472" spans="2:18" x14ac:dyDescent="0.25">
      <c r="B3472" s="5" t="s">
        <v>3474</v>
      </c>
      <c r="C3472" s="5" t="s">
        <v>7614</v>
      </c>
      <c r="D3472" s="5">
        <v>0.5</v>
      </c>
      <c r="E3472" s="5">
        <v>0.65</v>
      </c>
      <c r="F3472" s="5">
        <v>0.5</v>
      </c>
      <c r="G3472" s="5">
        <v>0.5</v>
      </c>
      <c r="H3472" s="5">
        <v>0.5</v>
      </c>
      <c r="I3472" s="5">
        <v>0.5</v>
      </c>
      <c r="J3472" s="5">
        <v>0.6</v>
      </c>
      <c r="K3472" s="5">
        <v>0.5</v>
      </c>
      <c r="L3472" s="5">
        <v>0.5</v>
      </c>
      <c r="M3472" s="5">
        <v>0</v>
      </c>
      <c r="N3472" s="5">
        <v>0</v>
      </c>
      <c r="O3472" s="5" t="str">
        <f t="shared" ca="1" si="54"/>
        <v>Supplier 34</v>
      </c>
      <c r="P3472" s="20" t="str">
        <f ca="1">IFERROR(VLOOKUP(O3472,EMAILS!B:C,2,FALSE),"NOT FOUND IN EMAILS")</f>
        <v>supplier@gmail.com</v>
      </c>
      <c r="Q3472" t="str">
        <f ca="1">""&amp;IFERROR(VLOOKUP(O3472,EMAILS!B:D,3,FALSE),"NOT FOUND IN EMAILS")</f>
        <v/>
      </c>
      <c r="R3472" t="str">
        <f ca="1">""&amp;IFERROR(VLOOKUP(O3472,EMAILS!B:E,4,FALSE),"NO T FOUND IN EMAILS")</f>
        <v/>
      </c>
    </row>
    <row r="3473" spans="2:18" x14ac:dyDescent="0.25">
      <c r="B3473" s="5" t="s">
        <v>3475</v>
      </c>
      <c r="C3473" s="5" t="s">
        <v>7615</v>
      </c>
      <c r="D3473" s="5">
        <v>60</v>
      </c>
      <c r="E3473" s="5">
        <v>30</v>
      </c>
      <c r="F3473" s="5">
        <v>30</v>
      </c>
      <c r="G3473" s="5">
        <v>30</v>
      </c>
      <c r="H3473" s="5">
        <v>30</v>
      </c>
      <c r="I3473" s="5">
        <v>15</v>
      </c>
      <c r="J3473" s="5">
        <v>30</v>
      </c>
      <c r="K3473" s="5">
        <v>15</v>
      </c>
      <c r="L3473" s="5">
        <v>30</v>
      </c>
      <c r="M3473" s="5">
        <v>0</v>
      </c>
      <c r="N3473" s="5">
        <v>30</v>
      </c>
      <c r="O3473" s="5" t="str">
        <f t="shared" ca="1" si="54"/>
        <v>Supplier 176</v>
      </c>
      <c r="P3473" s="20" t="str">
        <f ca="1">IFERROR(VLOOKUP(O3473,EMAILS!B:C,2,FALSE),"NOT FOUND IN EMAILS")</f>
        <v>supplier@gmail.com</v>
      </c>
      <c r="Q3473" t="str">
        <f ca="1">""&amp;IFERROR(VLOOKUP(O3473,EMAILS!B:D,3,FALSE),"NOT FOUND IN EMAILS")</f>
        <v/>
      </c>
      <c r="R3473" t="str">
        <f ca="1">""&amp;IFERROR(VLOOKUP(O3473,EMAILS!B:E,4,FALSE),"NO T FOUND IN EMAILS")</f>
        <v/>
      </c>
    </row>
    <row r="3474" spans="2:18" x14ac:dyDescent="0.25">
      <c r="B3474" s="5" t="s">
        <v>3476</v>
      </c>
      <c r="C3474" s="5" t="s">
        <v>7616</v>
      </c>
      <c r="D3474" s="5">
        <v>50</v>
      </c>
      <c r="E3474" s="5">
        <v>25</v>
      </c>
      <c r="F3474" s="5">
        <v>25</v>
      </c>
      <c r="G3474" s="5">
        <v>25</v>
      </c>
      <c r="H3474" s="5">
        <v>25</v>
      </c>
      <c r="I3474" s="5">
        <v>25</v>
      </c>
      <c r="J3474" s="5">
        <v>25</v>
      </c>
      <c r="K3474" s="5">
        <v>25</v>
      </c>
      <c r="L3474" s="5">
        <v>25</v>
      </c>
      <c r="M3474" s="5">
        <v>0</v>
      </c>
      <c r="N3474" s="5">
        <v>300</v>
      </c>
      <c r="O3474" s="5" t="str">
        <f t="shared" ca="1" si="54"/>
        <v>Supplier 93</v>
      </c>
      <c r="P3474" s="20" t="str">
        <f ca="1">IFERROR(VLOOKUP(O3474,EMAILS!B:C,2,FALSE),"NOT FOUND IN EMAILS")</f>
        <v>supplier@gmail.com</v>
      </c>
      <c r="Q3474" t="str">
        <f ca="1">""&amp;IFERROR(VLOOKUP(O3474,EMAILS!B:D,3,FALSE),"NOT FOUND IN EMAILS")</f>
        <v/>
      </c>
      <c r="R3474" t="str">
        <f ca="1">""&amp;IFERROR(VLOOKUP(O3474,EMAILS!B:E,4,FALSE),"NO T FOUND IN EMAILS")</f>
        <v/>
      </c>
    </row>
    <row r="3475" spans="2:18" x14ac:dyDescent="0.25">
      <c r="B3475" s="5" t="s">
        <v>3477</v>
      </c>
      <c r="C3475" s="5" t="s">
        <v>7617</v>
      </c>
      <c r="D3475" s="5">
        <v>110</v>
      </c>
      <c r="E3475" s="5">
        <v>25</v>
      </c>
      <c r="F3475" s="5">
        <v>25</v>
      </c>
      <c r="G3475" s="5">
        <v>25</v>
      </c>
      <c r="H3475" s="5">
        <v>85</v>
      </c>
      <c r="I3475" s="5">
        <v>25</v>
      </c>
      <c r="J3475" s="5">
        <v>25</v>
      </c>
      <c r="K3475" s="5">
        <v>85</v>
      </c>
      <c r="L3475" s="5">
        <v>25</v>
      </c>
      <c r="M3475" s="5">
        <v>0</v>
      </c>
      <c r="N3475" s="5">
        <v>0</v>
      </c>
      <c r="O3475" s="5" t="str">
        <f t="shared" ca="1" si="54"/>
        <v>Supplier 61</v>
      </c>
      <c r="P3475" s="20" t="str">
        <f ca="1">IFERROR(VLOOKUP(O3475,EMAILS!B:C,2,FALSE),"NOT FOUND IN EMAILS")</f>
        <v>supplier@gmail.com</v>
      </c>
      <c r="Q3475" t="str">
        <f ca="1">""&amp;IFERROR(VLOOKUP(O3475,EMAILS!B:D,3,FALSE),"NOT FOUND IN EMAILS")</f>
        <v/>
      </c>
      <c r="R3475" t="str">
        <f ca="1">""&amp;IFERROR(VLOOKUP(O3475,EMAILS!B:E,4,FALSE),"NO T FOUND IN EMAILS")</f>
        <v/>
      </c>
    </row>
    <row r="3476" spans="2:18" x14ac:dyDescent="0.25">
      <c r="B3476" s="5" t="s">
        <v>3478</v>
      </c>
      <c r="C3476" s="5" t="s">
        <v>7618</v>
      </c>
      <c r="D3476" s="5">
        <v>180</v>
      </c>
      <c r="E3476" s="5">
        <v>120</v>
      </c>
      <c r="F3476" s="5">
        <v>120</v>
      </c>
      <c r="G3476" s="5">
        <v>120</v>
      </c>
      <c r="H3476" s="5">
        <v>120</v>
      </c>
      <c r="I3476" s="5">
        <v>60</v>
      </c>
      <c r="J3476" s="5">
        <v>120</v>
      </c>
      <c r="K3476" s="5">
        <v>60</v>
      </c>
      <c r="L3476" s="5">
        <v>120</v>
      </c>
      <c r="M3476" s="5">
        <v>0</v>
      </c>
      <c r="N3476" s="5">
        <v>0</v>
      </c>
      <c r="O3476" s="5" t="str">
        <f t="shared" ca="1" si="54"/>
        <v>Supplier 97</v>
      </c>
      <c r="P3476" s="20" t="str">
        <f ca="1">IFERROR(VLOOKUP(O3476,EMAILS!B:C,2,FALSE),"NOT FOUND IN EMAILS")</f>
        <v>supplier@gmail.com</v>
      </c>
      <c r="Q3476" t="str">
        <f ca="1">""&amp;IFERROR(VLOOKUP(O3476,EMAILS!B:D,3,FALSE),"NOT FOUND IN EMAILS")</f>
        <v/>
      </c>
      <c r="R3476" t="str">
        <f ca="1">""&amp;IFERROR(VLOOKUP(O3476,EMAILS!B:E,4,FALSE),"NO T FOUND IN EMAILS")</f>
        <v/>
      </c>
    </row>
    <row r="3477" spans="2:18" x14ac:dyDescent="0.25">
      <c r="B3477" s="5" t="s">
        <v>3479</v>
      </c>
      <c r="C3477" s="5" t="s">
        <v>7619</v>
      </c>
      <c r="D3477" s="5">
        <v>60</v>
      </c>
      <c r="E3477" s="5">
        <v>0</v>
      </c>
      <c r="F3477" s="5">
        <v>0</v>
      </c>
      <c r="G3477" s="5">
        <v>0</v>
      </c>
      <c r="H3477" s="5">
        <v>60</v>
      </c>
      <c r="I3477" s="5">
        <v>0</v>
      </c>
      <c r="J3477" s="5">
        <v>0</v>
      </c>
      <c r="K3477" s="5">
        <v>60</v>
      </c>
      <c r="L3477" s="5">
        <v>0</v>
      </c>
      <c r="M3477" s="5">
        <v>0</v>
      </c>
      <c r="N3477" s="5">
        <v>0</v>
      </c>
      <c r="O3477" s="5" t="str">
        <f t="shared" ca="1" si="54"/>
        <v>Supplier 180</v>
      </c>
      <c r="P3477" s="20" t="str">
        <f ca="1">IFERROR(VLOOKUP(O3477,EMAILS!B:C,2,FALSE),"NOT FOUND IN EMAILS")</f>
        <v>supplier@gmail.com</v>
      </c>
      <c r="Q3477" t="str">
        <f ca="1">""&amp;IFERROR(VLOOKUP(O3477,EMAILS!B:D,3,FALSE),"NOT FOUND IN EMAILS")</f>
        <v/>
      </c>
      <c r="R3477" t="str">
        <f ca="1">""&amp;IFERROR(VLOOKUP(O3477,EMAILS!B:E,4,FALSE),"NO T FOUND IN EMAILS")</f>
        <v/>
      </c>
    </row>
    <row r="3478" spans="2:18" x14ac:dyDescent="0.25">
      <c r="B3478" s="5" t="s">
        <v>3480</v>
      </c>
      <c r="C3478" s="5" t="s">
        <v>7620</v>
      </c>
      <c r="D3478" s="5">
        <v>120</v>
      </c>
      <c r="E3478" s="5">
        <v>60</v>
      </c>
      <c r="F3478" s="5">
        <v>60</v>
      </c>
      <c r="G3478" s="5">
        <v>60</v>
      </c>
      <c r="H3478" s="5">
        <v>90</v>
      </c>
      <c r="I3478" s="5">
        <v>30</v>
      </c>
      <c r="J3478" s="5">
        <v>60</v>
      </c>
      <c r="K3478" s="5">
        <v>60</v>
      </c>
      <c r="L3478" s="5">
        <v>60</v>
      </c>
      <c r="M3478" s="5">
        <v>0</v>
      </c>
      <c r="N3478" s="5">
        <v>15</v>
      </c>
      <c r="O3478" s="5" t="str">
        <f t="shared" ca="1" si="54"/>
        <v>Supplier 164</v>
      </c>
      <c r="P3478" s="20" t="str">
        <f ca="1">IFERROR(VLOOKUP(O3478,EMAILS!B:C,2,FALSE),"NOT FOUND IN EMAILS")</f>
        <v>supplier@gmail.com</v>
      </c>
      <c r="Q3478" t="str">
        <f ca="1">""&amp;IFERROR(VLOOKUP(O3478,EMAILS!B:D,3,FALSE),"NOT FOUND IN EMAILS")</f>
        <v/>
      </c>
      <c r="R3478" t="str">
        <f ca="1">""&amp;IFERROR(VLOOKUP(O3478,EMAILS!B:E,4,FALSE),"NO T FOUND IN EMAILS")</f>
        <v/>
      </c>
    </row>
    <row r="3479" spans="2:18" x14ac:dyDescent="0.25">
      <c r="B3479" s="5" t="s">
        <v>3481</v>
      </c>
      <c r="C3479" s="5" t="s">
        <v>7621</v>
      </c>
      <c r="D3479" s="5">
        <v>0</v>
      </c>
      <c r="E3479" s="5">
        <v>0</v>
      </c>
      <c r="F3479" s="5">
        <v>0</v>
      </c>
      <c r="G3479" s="5">
        <v>0</v>
      </c>
      <c r="H3479" s="5">
        <v>0</v>
      </c>
      <c r="I3479" s="5">
        <v>0</v>
      </c>
      <c r="J3479" s="5">
        <v>0</v>
      </c>
      <c r="K3479" s="5">
        <v>0</v>
      </c>
      <c r="L3479" s="5">
        <v>0</v>
      </c>
      <c r="M3479" s="5">
        <v>0</v>
      </c>
      <c r="N3479" s="5">
        <v>77</v>
      </c>
      <c r="O3479" s="5" t="str">
        <f t="shared" ca="1" si="54"/>
        <v>Supplier 74</v>
      </c>
      <c r="P3479" s="20" t="str">
        <f ca="1">IFERROR(VLOOKUP(O3479,EMAILS!B:C,2,FALSE),"NOT FOUND IN EMAILS")</f>
        <v>supplier@gmail.com</v>
      </c>
      <c r="Q3479" t="str">
        <f ca="1">""&amp;IFERROR(VLOOKUP(O3479,EMAILS!B:D,3,FALSE),"NOT FOUND IN EMAILS")</f>
        <v/>
      </c>
      <c r="R3479" t="str">
        <f ca="1">""&amp;IFERROR(VLOOKUP(O3479,EMAILS!B:E,4,FALSE),"NO T FOUND IN EMAILS")</f>
        <v/>
      </c>
    </row>
    <row r="3480" spans="2:18" x14ac:dyDescent="0.25">
      <c r="B3480" s="5" t="s">
        <v>3482</v>
      </c>
      <c r="C3480" s="5" t="s">
        <v>7622</v>
      </c>
      <c r="D3480" s="5">
        <v>0</v>
      </c>
      <c r="E3480" s="5">
        <v>0</v>
      </c>
      <c r="F3480" s="5">
        <v>0</v>
      </c>
      <c r="G3480" s="5">
        <v>0</v>
      </c>
      <c r="H3480" s="5">
        <v>0</v>
      </c>
      <c r="I3480" s="5">
        <v>0</v>
      </c>
      <c r="J3480" s="5">
        <v>0</v>
      </c>
      <c r="K3480" s="5">
        <v>0</v>
      </c>
      <c r="L3480" s="5">
        <v>0</v>
      </c>
      <c r="M3480" s="5">
        <v>0</v>
      </c>
      <c r="N3480" s="5">
        <v>27</v>
      </c>
      <c r="O3480" s="5" t="str">
        <f t="shared" ca="1" si="54"/>
        <v>Supplier 66</v>
      </c>
      <c r="P3480" s="20" t="str">
        <f ca="1">IFERROR(VLOOKUP(O3480,EMAILS!B:C,2,FALSE),"NOT FOUND IN EMAILS")</f>
        <v>supplier@gmail.com</v>
      </c>
      <c r="Q3480" t="str">
        <f ca="1">""&amp;IFERROR(VLOOKUP(O3480,EMAILS!B:D,3,FALSE),"NOT FOUND IN EMAILS")</f>
        <v/>
      </c>
      <c r="R3480" t="str">
        <f ca="1">""&amp;IFERROR(VLOOKUP(O3480,EMAILS!B:E,4,FALSE),"NO T FOUND IN EMAILS")</f>
        <v/>
      </c>
    </row>
    <row r="3481" spans="2:18" x14ac:dyDescent="0.25">
      <c r="B3481" s="5" t="s">
        <v>3483</v>
      </c>
      <c r="C3481" s="5" t="s">
        <v>7623</v>
      </c>
      <c r="D3481" s="5">
        <v>0</v>
      </c>
      <c r="E3481" s="5">
        <v>0</v>
      </c>
      <c r="F3481" s="5">
        <v>0</v>
      </c>
      <c r="G3481" s="5">
        <v>0</v>
      </c>
      <c r="H3481" s="5">
        <v>0</v>
      </c>
      <c r="I3481" s="5">
        <v>0</v>
      </c>
      <c r="J3481" s="5">
        <v>0</v>
      </c>
      <c r="K3481" s="5">
        <v>0</v>
      </c>
      <c r="L3481" s="5">
        <v>0</v>
      </c>
      <c r="M3481" s="5">
        <v>0</v>
      </c>
      <c r="N3481" s="5">
        <v>25</v>
      </c>
      <c r="O3481" s="5" t="str">
        <f t="shared" ca="1" si="54"/>
        <v>Supplier 25</v>
      </c>
      <c r="P3481" s="20" t="str">
        <f ca="1">IFERROR(VLOOKUP(O3481,EMAILS!B:C,2,FALSE),"NOT FOUND IN EMAILS")</f>
        <v>supplier@gmail.com</v>
      </c>
      <c r="Q3481" t="str">
        <f ca="1">""&amp;IFERROR(VLOOKUP(O3481,EMAILS!B:D,3,FALSE),"NOT FOUND IN EMAILS")</f>
        <v/>
      </c>
      <c r="R3481" t="str">
        <f ca="1">""&amp;IFERROR(VLOOKUP(O3481,EMAILS!B:E,4,FALSE),"NO T FOUND IN EMAILS")</f>
        <v/>
      </c>
    </row>
    <row r="3482" spans="2:18" x14ac:dyDescent="0.25">
      <c r="B3482" s="5" t="s">
        <v>3484</v>
      </c>
      <c r="C3482" s="5" t="s">
        <v>7624</v>
      </c>
      <c r="D3482" s="5">
        <v>20</v>
      </c>
      <c r="E3482" s="5">
        <v>0</v>
      </c>
      <c r="F3482" s="5">
        <v>0</v>
      </c>
      <c r="G3482" s="5">
        <v>0</v>
      </c>
      <c r="H3482" s="5">
        <v>20</v>
      </c>
      <c r="I3482" s="5">
        <v>0</v>
      </c>
      <c r="J3482" s="5">
        <v>0</v>
      </c>
      <c r="K3482" s="5">
        <v>0</v>
      </c>
      <c r="L3482" s="5">
        <v>0</v>
      </c>
      <c r="M3482" s="5">
        <v>0</v>
      </c>
      <c r="N3482" s="5">
        <v>72</v>
      </c>
      <c r="O3482" s="5" t="str">
        <f t="shared" ca="1" si="54"/>
        <v>Supplier 4</v>
      </c>
      <c r="P3482" s="20" t="str">
        <f ca="1">IFERROR(VLOOKUP(O3482,EMAILS!B:C,2,FALSE),"NOT FOUND IN EMAILS")</f>
        <v>supplier@gmail.com</v>
      </c>
      <c r="Q3482" t="str">
        <f ca="1">""&amp;IFERROR(VLOOKUP(O3482,EMAILS!B:D,3,FALSE),"NOT FOUND IN EMAILS")</f>
        <v>supplier_logistics@gmail.com</v>
      </c>
      <c r="R3482" t="str">
        <f ca="1">""&amp;IFERROR(VLOOKUP(O3482,EMAILS!B:E,4,FALSE),"NO T FOUND IN EMAILS")</f>
        <v/>
      </c>
    </row>
    <row r="3483" spans="2:18" x14ac:dyDescent="0.25">
      <c r="B3483" s="5" t="s">
        <v>3485</v>
      </c>
      <c r="C3483" s="5" t="s">
        <v>7625</v>
      </c>
      <c r="D3483" s="5">
        <v>16</v>
      </c>
      <c r="E3483" s="5">
        <v>16</v>
      </c>
      <c r="F3483" s="5">
        <v>20</v>
      </c>
      <c r="G3483" s="5">
        <v>20</v>
      </c>
      <c r="H3483" s="5">
        <v>16</v>
      </c>
      <c r="I3483" s="5">
        <v>20</v>
      </c>
      <c r="J3483" s="5">
        <v>12</v>
      </c>
      <c r="K3483" s="5">
        <v>12</v>
      </c>
      <c r="L3483" s="5">
        <v>12</v>
      </c>
      <c r="M3483" s="5">
        <v>0</v>
      </c>
      <c r="N3483" s="5">
        <v>42</v>
      </c>
      <c r="O3483" s="5" t="str">
        <f t="shared" ca="1" si="54"/>
        <v>Supplier 1</v>
      </c>
      <c r="P3483" s="20" t="str">
        <f ca="1">IFERROR(VLOOKUP(O3483,EMAILS!B:C,2,FALSE),"NOT FOUND IN EMAILS")</f>
        <v>supplier@gmail.com</v>
      </c>
      <c r="Q3483" t="str">
        <f ca="1">""&amp;IFERROR(VLOOKUP(O3483,EMAILS!B:D,3,FALSE),"NOT FOUND IN EMAILS")</f>
        <v>supplier_logistics@gmail.com</v>
      </c>
      <c r="R3483" t="str">
        <f ca="1">""&amp;IFERROR(VLOOKUP(O3483,EMAILS!B:E,4,FALSE),"NO T FOUND IN EMAILS")</f>
        <v/>
      </c>
    </row>
    <row r="3484" spans="2:18" x14ac:dyDescent="0.25">
      <c r="B3484" s="5" t="s">
        <v>3486</v>
      </c>
      <c r="C3484" s="5" t="s">
        <v>7626</v>
      </c>
      <c r="D3484" s="5">
        <v>32</v>
      </c>
      <c r="E3484" s="5">
        <v>30</v>
      </c>
      <c r="F3484" s="5">
        <v>38</v>
      </c>
      <c r="G3484" s="5">
        <v>38</v>
      </c>
      <c r="H3484" s="5">
        <v>32</v>
      </c>
      <c r="I3484" s="5">
        <v>38</v>
      </c>
      <c r="J3484" s="5">
        <v>22</v>
      </c>
      <c r="K3484" s="5">
        <v>22</v>
      </c>
      <c r="L3484" s="5">
        <v>22</v>
      </c>
      <c r="M3484" s="5">
        <v>0</v>
      </c>
      <c r="N3484" s="5">
        <v>40</v>
      </c>
      <c r="O3484" s="5" t="str">
        <f t="shared" ca="1" si="54"/>
        <v>Supplier 59</v>
      </c>
      <c r="P3484" s="20" t="str">
        <f ca="1">IFERROR(VLOOKUP(O3484,EMAILS!B:C,2,FALSE),"NOT FOUND IN EMAILS")</f>
        <v>supplier@gmail.com</v>
      </c>
      <c r="Q3484" t="str">
        <f ca="1">""&amp;IFERROR(VLOOKUP(O3484,EMAILS!B:D,3,FALSE),"NOT FOUND IN EMAILS")</f>
        <v/>
      </c>
      <c r="R3484" t="str">
        <f ca="1">""&amp;IFERROR(VLOOKUP(O3484,EMAILS!B:E,4,FALSE),"NO T FOUND IN EMAILS")</f>
        <v/>
      </c>
    </row>
    <row r="3485" spans="2:18" x14ac:dyDescent="0.25">
      <c r="B3485" s="5" t="s">
        <v>3487</v>
      </c>
      <c r="C3485" s="5" t="s">
        <v>7627</v>
      </c>
      <c r="D3485" s="5">
        <v>8</v>
      </c>
      <c r="E3485" s="5">
        <v>8</v>
      </c>
      <c r="F3485" s="5">
        <v>10</v>
      </c>
      <c r="G3485" s="5">
        <v>10</v>
      </c>
      <c r="H3485" s="5">
        <v>8</v>
      </c>
      <c r="I3485" s="5">
        <v>10</v>
      </c>
      <c r="J3485" s="5">
        <v>6</v>
      </c>
      <c r="K3485" s="5">
        <v>6</v>
      </c>
      <c r="L3485" s="5">
        <v>6</v>
      </c>
      <c r="M3485" s="5">
        <v>0</v>
      </c>
      <c r="N3485" s="5">
        <v>40</v>
      </c>
      <c r="O3485" s="5" t="str">
        <f t="shared" ca="1" si="54"/>
        <v>Supplier 45</v>
      </c>
      <c r="P3485" s="20" t="str">
        <f ca="1">IFERROR(VLOOKUP(O3485,EMAILS!B:C,2,FALSE),"NOT FOUND IN EMAILS")</f>
        <v>supplier@gmail.com</v>
      </c>
      <c r="Q3485" t="str">
        <f ca="1">""&amp;IFERROR(VLOOKUP(O3485,EMAILS!B:D,3,FALSE),"NOT FOUND IN EMAILS")</f>
        <v/>
      </c>
      <c r="R3485" t="str">
        <f ca="1">""&amp;IFERROR(VLOOKUP(O3485,EMAILS!B:E,4,FALSE),"NO T FOUND IN EMAILS")</f>
        <v/>
      </c>
    </row>
    <row r="3486" spans="2:18" x14ac:dyDescent="0.25">
      <c r="B3486" s="5" t="s">
        <v>3488</v>
      </c>
      <c r="C3486" s="5" t="s">
        <v>7628</v>
      </c>
      <c r="D3486" s="5">
        <v>0</v>
      </c>
      <c r="E3486" s="5">
        <v>0</v>
      </c>
      <c r="F3486" s="5">
        <v>0</v>
      </c>
      <c r="G3486" s="5">
        <v>0</v>
      </c>
      <c r="H3486" s="5">
        <v>0</v>
      </c>
      <c r="I3486" s="5">
        <v>0</v>
      </c>
      <c r="J3486" s="5">
        <v>0</v>
      </c>
      <c r="K3486" s="5">
        <v>0</v>
      </c>
      <c r="L3486" s="5">
        <v>0</v>
      </c>
      <c r="M3486" s="5">
        <v>0</v>
      </c>
      <c r="N3486" s="5">
        <v>0</v>
      </c>
      <c r="O3486" s="5" t="str">
        <f t="shared" ca="1" si="54"/>
        <v>Supplier 56</v>
      </c>
      <c r="P3486" s="20" t="str">
        <f ca="1">IFERROR(VLOOKUP(O3486,EMAILS!B:C,2,FALSE),"NOT FOUND IN EMAILS")</f>
        <v>supplier@gmail.com</v>
      </c>
      <c r="Q3486" t="str">
        <f ca="1">""&amp;IFERROR(VLOOKUP(O3486,EMAILS!B:D,3,FALSE),"NOT FOUND IN EMAILS")</f>
        <v/>
      </c>
      <c r="R3486" t="str">
        <f ca="1">""&amp;IFERROR(VLOOKUP(O3486,EMAILS!B:E,4,FALSE),"NO T FOUND IN EMAILS")</f>
        <v/>
      </c>
    </row>
    <row r="3487" spans="2:18" x14ac:dyDescent="0.25">
      <c r="B3487" s="5" t="s">
        <v>3489</v>
      </c>
      <c r="C3487" s="5" t="s">
        <v>7629</v>
      </c>
      <c r="D3487" s="5">
        <v>8</v>
      </c>
      <c r="E3487" s="5">
        <v>0</v>
      </c>
      <c r="F3487" s="5">
        <v>0</v>
      </c>
      <c r="G3487" s="5">
        <v>0</v>
      </c>
      <c r="H3487" s="5">
        <v>8</v>
      </c>
      <c r="I3487" s="5">
        <v>0</v>
      </c>
      <c r="J3487" s="5">
        <v>0</v>
      </c>
      <c r="K3487" s="5">
        <v>0</v>
      </c>
      <c r="L3487" s="5">
        <v>0</v>
      </c>
      <c r="M3487" s="5">
        <v>0</v>
      </c>
      <c r="N3487" s="5">
        <v>50</v>
      </c>
      <c r="O3487" s="5" t="str">
        <f t="shared" ca="1" si="54"/>
        <v>Supplier 166</v>
      </c>
      <c r="P3487" s="20" t="str">
        <f ca="1">IFERROR(VLOOKUP(O3487,EMAILS!B:C,2,FALSE),"NOT FOUND IN EMAILS")</f>
        <v>supplier@gmail.com</v>
      </c>
      <c r="Q3487" t="str">
        <f ca="1">""&amp;IFERROR(VLOOKUP(O3487,EMAILS!B:D,3,FALSE),"NOT FOUND IN EMAILS")</f>
        <v/>
      </c>
      <c r="R3487" t="str">
        <f ca="1">""&amp;IFERROR(VLOOKUP(O3487,EMAILS!B:E,4,FALSE),"NO T FOUND IN EMAILS")</f>
        <v/>
      </c>
    </row>
    <row r="3488" spans="2:18" x14ac:dyDescent="0.25">
      <c r="B3488" s="5" t="s">
        <v>3490</v>
      </c>
      <c r="C3488" s="5" t="s">
        <v>7630</v>
      </c>
      <c r="D3488" s="5">
        <v>40</v>
      </c>
      <c r="E3488" s="5">
        <v>20</v>
      </c>
      <c r="F3488" s="5">
        <v>40</v>
      </c>
      <c r="G3488" s="5">
        <v>20</v>
      </c>
      <c r="H3488" s="5">
        <v>20</v>
      </c>
      <c r="I3488" s="5">
        <v>0</v>
      </c>
      <c r="J3488" s="5">
        <v>0</v>
      </c>
      <c r="K3488" s="5">
        <v>23</v>
      </c>
      <c r="L3488" s="5">
        <v>0</v>
      </c>
      <c r="M3488" s="5">
        <v>0</v>
      </c>
      <c r="N3488" s="5">
        <v>132</v>
      </c>
      <c r="O3488" s="5" t="str">
        <f t="shared" ca="1" si="54"/>
        <v>Supplier 155</v>
      </c>
      <c r="P3488" s="20" t="str">
        <f ca="1">IFERROR(VLOOKUP(O3488,EMAILS!B:C,2,FALSE),"NOT FOUND IN EMAILS")</f>
        <v>supplier@gmail.com</v>
      </c>
      <c r="Q3488" t="str">
        <f ca="1">""&amp;IFERROR(VLOOKUP(O3488,EMAILS!B:D,3,FALSE),"NOT FOUND IN EMAILS")</f>
        <v/>
      </c>
      <c r="R3488" t="str">
        <f ca="1">""&amp;IFERROR(VLOOKUP(O3488,EMAILS!B:E,4,FALSE),"NO T FOUND IN EMAILS")</f>
        <v/>
      </c>
    </row>
    <row r="3489" spans="2:18" x14ac:dyDescent="0.25">
      <c r="B3489" s="5" t="s">
        <v>3491</v>
      </c>
      <c r="C3489" s="5" t="s">
        <v>7631</v>
      </c>
      <c r="D3489" s="5">
        <v>74</v>
      </c>
      <c r="E3489" s="5">
        <v>50</v>
      </c>
      <c r="F3489" s="5">
        <v>117</v>
      </c>
      <c r="G3489" s="5">
        <v>135</v>
      </c>
      <c r="H3489" s="5">
        <v>74</v>
      </c>
      <c r="I3489" s="5">
        <v>63</v>
      </c>
      <c r="J3489" s="5">
        <v>37</v>
      </c>
      <c r="K3489" s="5">
        <v>37</v>
      </c>
      <c r="L3489" s="5">
        <v>37</v>
      </c>
      <c r="M3489" s="5">
        <v>0</v>
      </c>
      <c r="N3489" s="5">
        <v>121</v>
      </c>
      <c r="O3489" s="5" t="str">
        <f t="shared" ca="1" si="54"/>
        <v>Supplier 3</v>
      </c>
      <c r="P3489" s="20" t="str">
        <f ca="1">IFERROR(VLOOKUP(O3489,EMAILS!B:C,2,FALSE),"NOT FOUND IN EMAILS")</f>
        <v>supplier@gmail.com</v>
      </c>
      <c r="Q3489" t="str">
        <f ca="1">""&amp;IFERROR(VLOOKUP(O3489,EMAILS!B:D,3,FALSE),"NOT FOUND IN EMAILS")</f>
        <v>supplier_logistics@gmail.com</v>
      </c>
      <c r="R3489" t="str">
        <f ca="1">""&amp;IFERROR(VLOOKUP(O3489,EMAILS!B:E,4,FALSE),"NO T FOUND IN EMAILS")</f>
        <v/>
      </c>
    </row>
    <row r="3490" spans="2:18" x14ac:dyDescent="0.25">
      <c r="B3490" s="5" t="s">
        <v>3492</v>
      </c>
      <c r="C3490" s="5" t="s">
        <v>7632</v>
      </c>
      <c r="D3490" s="5">
        <v>60</v>
      </c>
      <c r="E3490" s="5">
        <v>66</v>
      </c>
      <c r="F3490" s="5">
        <v>90</v>
      </c>
      <c r="G3490" s="5">
        <v>8</v>
      </c>
      <c r="H3490" s="5">
        <v>91</v>
      </c>
      <c r="I3490" s="5">
        <v>8</v>
      </c>
      <c r="J3490" s="5">
        <v>0</v>
      </c>
      <c r="K3490" s="5">
        <v>16</v>
      </c>
      <c r="L3490" s="5">
        <v>24</v>
      </c>
      <c r="M3490" s="5">
        <v>0</v>
      </c>
      <c r="N3490" s="5">
        <v>274</v>
      </c>
      <c r="O3490" s="5" t="str">
        <f t="shared" ca="1" si="54"/>
        <v>Supplier 113</v>
      </c>
      <c r="P3490" s="20" t="str">
        <f ca="1">IFERROR(VLOOKUP(O3490,EMAILS!B:C,2,FALSE),"NOT FOUND IN EMAILS")</f>
        <v>supplier@gmail.com</v>
      </c>
      <c r="Q3490" t="str">
        <f ca="1">""&amp;IFERROR(VLOOKUP(O3490,EMAILS!B:D,3,FALSE),"NOT FOUND IN EMAILS")</f>
        <v/>
      </c>
      <c r="R3490" t="str">
        <f ca="1">""&amp;IFERROR(VLOOKUP(O3490,EMAILS!B:E,4,FALSE),"NO T FOUND IN EMAILS")</f>
        <v/>
      </c>
    </row>
    <row r="3491" spans="2:18" x14ac:dyDescent="0.25">
      <c r="B3491" s="5" t="s">
        <v>3493</v>
      </c>
      <c r="C3491" s="5" t="s">
        <v>7633</v>
      </c>
      <c r="D3491" s="5">
        <v>107</v>
      </c>
      <c r="E3491" s="5">
        <v>57</v>
      </c>
      <c r="F3491" s="5">
        <v>135</v>
      </c>
      <c r="G3491" s="5">
        <v>147</v>
      </c>
      <c r="H3491" s="5">
        <v>95</v>
      </c>
      <c r="I3491" s="5">
        <v>75</v>
      </c>
      <c r="J3491" s="5">
        <v>39</v>
      </c>
      <c r="K3491" s="5">
        <v>55</v>
      </c>
      <c r="L3491" s="5">
        <v>39</v>
      </c>
      <c r="M3491" s="5">
        <v>0</v>
      </c>
      <c r="N3491" s="5">
        <v>29</v>
      </c>
      <c r="O3491" s="5" t="str">
        <f t="shared" ca="1" si="54"/>
        <v>Supplier 156</v>
      </c>
      <c r="P3491" s="20" t="str">
        <f ca="1">IFERROR(VLOOKUP(O3491,EMAILS!B:C,2,FALSE),"NOT FOUND IN EMAILS")</f>
        <v>supplier@gmail.com</v>
      </c>
      <c r="Q3491" t="str">
        <f ca="1">""&amp;IFERROR(VLOOKUP(O3491,EMAILS!B:D,3,FALSE),"NOT FOUND IN EMAILS")</f>
        <v/>
      </c>
      <c r="R3491" t="str">
        <f ca="1">""&amp;IFERROR(VLOOKUP(O3491,EMAILS!B:E,4,FALSE),"NO T FOUND IN EMAILS")</f>
        <v/>
      </c>
    </row>
    <row r="3492" spans="2:18" x14ac:dyDescent="0.25">
      <c r="B3492" s="5" t="s">
        <v>3494</v>
      </c>
      <c r="C3492" s="5" t="s">
        <v>7634</v>
      </c>
      <c r="D3492" s="5">
        <v>12</v>
      </c>
      <c r="E3492" s="5">
        <v>8</v>
      </c>
      <c r="F3492" s="5">
        <v>10</v>
      </c>
      <c r="G3492" s="5">
        <v>10</v>
      </c>
      <c r="H3492" s="5">
        <v>12</v>
      </c>
      <c r="I3492" s="5">
        <v>10</v>
      </c>
      <c r="J3492" s="5">
        <v>6</v>
      </c>
      <c r="K3492" s="5">
        <v>6</v>
      </c>
      <c r="L3492" s="5">
        <v>6</v>
      </c>
      <c r="M3492" s="5">
        <v>0</v>
      </c>
      <c r="N3492" s="5">
        <v>8</v>
      </c>
      <c r="O3492" s="5" t="str">
        <f t="shared" ca="1" si="54"/>
        <v>Supplier 136</v>
      </c>
      <c r="P3492" s="20" t="str">
        <f ca="1">IFERROR(VLOOKUP(O3492,EMAILS!B:C,2,FALSE),"NOT FOUND IN EMAILS")</f>
        <v>supplier@gmail.com</v>
      </c>
      <c r="Q3492" t="str">
        <f ca="1">""&amp;IFERROR(VLOOKUP(O3492,EMAILS!B:D,3,FALSE),"NOT FOUND IN EMAILS")</f>
        <v/>
      </c>
      <c r="R3492" t="str">
        <f ca="1">""&amp;IFERROR(VLOOKUP(O3492,EMAILS!B:E,4,FALSE),"NO T FOUND IN EMAILS")</f>
        <v/>
      </c>
    </row>
    <row r="3493" spans="2:18" x14ac:dyDescent="0.25">
      <c r="B3493" s="5" t="s">
        <v>3495</v>
      </c>
      <c r="C3493" s="5" t="s">
        <v>7635</v>
      </c>
      <c r="D3493" s="5">
        <v>6</v>
      </c>
      <c r="E3493" s="5">
        <v>0</v>
      </c>
      <c r="F3493" s="5">
        <v>3</v>
      </c>
      <c r="G3493" s="5">
        <v>4</v>
      </c>
      <c r="H3493" s="5">
        <v>0</v>
      </c>
      <c r="I3493" s="5">
        <v>0</v>
      </c>
      <c r="J3493" s="5">
        <v>0</v>
      </c>
      <c r="K3493" s="5">
        <v>0</v>
      </c>
      <c r="L3493" s="5">
        <v>0</v>
      </c>
      <c r="M3493" s="5">
        <v>0</v>
      </c>
      <c r="N3493" s="5">
        <v>76</v>
      </c>
      <c r="O3493" s="5" t="str">
        <f t="shared" ca="1" si="54"/>
        <v>Supplier 164</v>
      </c>
      <c r="P3493" s="20" t="str">
        <f ca="1">IFERROR(VLOOKUP(O3493,EMAILS!B:C,2,FALSE),"NOT FOUND IN EMAILS")</f>
        <v>supplier@gmail.com</v>
      </c>
      <c r="Q3493" t="str">
        <f ca="1">""&amp;IFERROR(VLOOKUP(O3493,EMAILS!B:D,3,FALSE),"NOT FOUND IN EMAILS")</f>
        <v/>
      </c>
      <c r="R3493" t="str">
        <f ca="1">""&amp;IFERROR(VLOOKUP(O3493,EMAILS!B:E,4,FALSE),"NO T FOUND IN EMAILS")</f>
        <v/>
      </c>
    </row>
    <row r="3494" spans="2:18" x14ac:dyDescent="0.25">
      <c r="B3494" s="5" t="s">
        <v>3496</v>
      </c>
      <c r="C3494" s="5" t="s">
        <v>7636</v>
      </c>
      <c r="D3494" s="5">
        <v>21</v>
      </c>
      <c r="E3494" s="5">
        <v>0</v>
      </c>
      <c r="F3494" s="5">
        <v>9</v>
      </c>
      <c r="G3494" s="5">
        <v>16</v>
      </c>
      <c r="H3494" s="5">
        <v>0</v>
      </c>
      <c r="I3494" s="5">
        <v>0</v>
      </c>
      <c r="J3494" s="5">
        <v>0</v>
      </c>
      <c r="K3494" s="5">
        <v>0</v>
      </c>
      <c r="L3494" s="5">
        <v>0</v>
      </c>
      <c r="M3494" s="5">
        <v>0</v>
      </c>
      <c r="N3494" s="5">
        <v>18</v>
      </c>
      <c r="O3494" s="5" t="str">
        <f t="shared" ca="1" si="54"/>
        <v>Supplier 2</v>
      </c>
      <c r="P3494" s="20" t="str">
        <f ca="1">IFERROR(VLOOKUP(O3494,EMAILS!B:C,2,FALSE),"NOT FOUND IN EMAILS")</f>
        <v>supplier@gmail.com</v>
      </c>
      <c r="Q3494" t="str">
        <f ca="1">""&amp;IFERROR(VLOOKUP(O3494,EMAILS!B:D,3,FALSE),"NOT FOUND IN EMAILS")</f>
        <v>supplier_logistics@gmail.com</v>
      </c>
      <c r="R3494" t="str">
        <f ca="1">""&amp;IFERROR(VLOOKUP(O3494,EMAILS!B:E,4,FALSE),"NO T FOUND IN EMAILS")</f>
        <v/>
      </c>
    </row>
    <row r="3495" spans="2:18" x14ac:dyDescent="0.25">
      <c r="B3495" s="5" t="s">
        <v>3497</v>
      </c>
      <c r="C3495" s="5" t="s">
        <v>7637</v>
      </c>
      <c r="D3495" s="5">
        <v>12</v>
      </c>
      <c r="E3495" s="5">
        <v>12</v>
      </c>
      <c r="F3495" s="5">
        <v>15</v>
      </c>
      <c r="G3495" s="5">
        <v>15</v>
      </c>
      <c r="H3495" s="5">
        <v>12</v>
      </c>
      <c r="I3495" s="5">
        <v>15</v>
      </c>
      <c r="J3495" s="5">
        <v>9</v>
      </c>
      <c r="K3495" s="5">
        <v>9</v>
      </c>
      <c r="L3495" s="5">
        <v>9</v>
      </c>
      <c r="M3495" s="5">
        <v>0</v>
      </c>
      <c r="N3495" s="5">
        <v>18</v>
      </c>
      <c r="O3495" s="5" t="str">
        <f t="shared" ca="1" si="54"/>
        <v>Supplier 170</v>
      </c>
      <c r="P3495" s="20" t="str">
        <f ca="1">IFERROR(VLOOKUP(O3495,EMAILS!B:C,2,FALSE),"NOT FOUND IN EMAILS")</f>
        <v>supplier@gmail.com</v>
      </c>
      <c r="Q3495" t="str">
        <f ca="1">""&amp;IFERROR(VLOOKUP(O3495,EMAILS!B:D,3,FALSE),"NOT FOUND IN EMAILS")</f>
        <v/>
      </c>
      <c r="R3495" t="str">
        <f ca="1">""&amp;IFERROR(VLOOKUP(O3495,EMAILS!B:E,4,FALSE),"NO T FOUND IN EMAILS")</f>
        <v/>
      </c>
    </row>
    <row r="3496" spans="2:18" x14ac:dyDescent="0.25">
      <c r="B3496" s="5" t="s">
        <v>3498</v>
      </c>
      <c r="C3496" s="5" t="s">
        <v>7638</v>
      </c>
      <c r="D3496" s="5">
        <v>12</v>
      </c>
      <c r="E3496" s="5">
        <v>12</v>
      </c>
      <c r="F3496" s="5">
        <v>15</v>
      </c>
      <c r="G3496" s="5">
        <v>15</v>
      </c>
      <c r="H3496" s="5">
        <v>12</v>
      </c>
      <c r="I3496" s="5">
        <v>15</v>
      </c>
      <c r="J3496" s="5">
        <v>9</v>
      </c>
      <c r="K3496" s="5">
        <v>9</v>
      </c>
      <c r="L3496" s="5">
        <v>9</v>
      </c>
      <c r="M3496" s="5">
        <v>0</v>
      </c>
      <c r="N3496" s="5">
        <v>7</v>
      </c>
      <c r="O3496" s="5" t="str">
        <f t="shared" ca="1" si="54"/>
        <v>Supplier 34</v>
      </c>
      <c r="P3496" s="20" t="str">
        <f ca="1">IFERROR(VLOOKUP(O3496,EMAILS!B:C,2,FALSE),"NOT FOUND IN EMAILS")</f>
        <v>supplier@gmail.com</v>
      </c>
      <c r="Q3496" t="str">
        <f ca="1">""&amp;IFERROR(VLOOKUP(O3496,EMAILS!B:D,3,FALSE),"NOT FOUND IN EMAILS")</f>
        <v/>
      </c>
      <c r="R3496" t="str">
        <f ca="1">""&amp;IFERROR(VLOOKUP(O3496,EMAILS!B:E,4,FALSE),"NO T FOUND IN EMAILS")</f>
        <v/>
      </c>
    </row>
    <row r="3497" spans="2:18" x14ac:dyDescent="0.25">
      <c r="B3497" s="5" t="s">
        <v>3499</v>
      </c>
      <c r="C3497" s="5" t="s">
        <v>7639</v>
      </c>
      <c r="D3497" s="5">
        <v>5</v>
      </c>
      <c r="E3497" s="5">
        <v>3</v>
      </c>
      <c r="F3497" s="5">
        <v>4</v>
      </c>
      <c r="G3497" s="5">
        <v>4</v>
      </c>
      <c r="H3497" s="5">
        <v>5</v>
      </c>
      <c r="I3497" s="5">
        <v>4</v>
      </c>
      <c r="J3497" s="5">
        <v>2</v>
      </c>
      <c r="K3497" s="5">
        <v>2</v>
      </c>
      <c r="L3497" s="5">
        <v>2</v>
      </c>
      <c r="M3497" s="5">
        <v>0</v>
      </c>
      <c r="N3497" s="5">
        <v>0</v>
      </c>
      <c r="O3497" s="5" t="str">
        <f t="shared" ca="1" si="54"/>
        <v>Supplier 30</v>
      </c>
      <c r="P3497" s="20" t="str">
        <f ca="1">IFERROR(VLOOKUP(O3497,EMAILS!B:C,2,FALSE),"NOT FOUND IN EMAILS")</f>
        <v>supplier@gmail.com</v>
      </c>
      <c r="Q3497" t="str">
        <f ca="1">""&amp;IFERROR(VLOOKUP(O3497,EMAILS!B:D,3,FALSE),"NOT FOUND IN EMAILS")</f>
        <v/>
      </c>
      <c r="R3497" t="str">
        <f ca="1">""&amp;IFERROR(VLOOKUP(O3497,EMAILS!B:E,4,FALSE),"NO T FOUND IN EMAILS")</f>
        <v/>
      </c>
    </row>
    <row r="3498" spans="2:18" x14ac:dyDescent="0.25">
      <c r="B3498" s="5" t="s">
        <v>3500</v>
      </c>
      <c r="C3498" s="5" t="s">
        <v>7640</v>
      </c>
      <c r="D3498" s="5">
        <v>5</v>
      </c>
      <c r="E3498" s="5">
        <v>3</v>
      </c>
      <c r="F3498" s="5">
        <v>4</v>
      </c>
      <c r="G3498" s="5">
        <v>4</v>
      </c>
      <c r="H3498" s="5">
        <v>5</v>
      </c>
      <c r="I3498" s="5">
        <v>4</v>
      </c>
      <c r="J3498" s="5">
        <v>2</v>
      </c>
      <c r="K3498" s="5">
        <v>2</v>
      </c>
      <c r="L3498" s="5">
        <v>2</v>
      </c>
      <c r="M3498" s="5">
        <v>0</v>
      </c>
      <c r="N3498" s="5">
        <v>0</v>
      </c>
      <c r="O3498" s="5" t="str">
        <f t="shared" ca="1" si="54"/>
        <v>Supplier 136</v>
      </c>
      <c r="P3498" s="20" t="str">
        <f ca="1">IFERROR(VLOOKUP(O3498,EMAILS!B:C,2,FALSE),"NOT FOUND IN EMAILS")</f>
        <v>supplier@gmail.com</v>
      </c>
      <c r="Q3498" t="str">
        <f ca="1">""&amp;IFERROR(VLOOKUP(O3498,EMAILS!B:D,3,FALSE),"NOT FOUND IN EMAILS")</f>
        <v/>
      </c>
      <c r="R3498" t="str">
        <f ca="1">""&amp;IFERROR(VLOOKUP(O3498,EMAILS!B:E,4,FALSE),"NO T FOUND IN EMAILS")</f>
        <v/>
      </c>
    </row>
    <row r="3499" spans="2:18" x14ac:dyDescent="0.25">
      <c r="B3499" s="5" t="s">
        <v>3501</v>
      </c>
      <c r="C3499" s="5" t="s">
        <v>7641</v>
      </c>
      <c r="D3499" s="5">
        <v>0</v>
      </c>
      <c r="E3499" s="5">
        <v>0</v>
      </c>
      <c r="F3499" s="5">
        <v>0</v>
      </c>
      <c r="G3499" s="5">
        <v>0</v>
      </c>
      <c r="H3499" s="5">
        <v>0</v>
      </c>
      <c r="I3499" s="5">
        <v>0</v>
      </c>
      <c r="J3499" s="5">
        <v>0</v>
      </c>
      <c r="K3499" s="5">
        <v>0</v>
      </c>
      <c r="L3499" s="5">
        <v>0</v>
      </c>
      <c r="M3499" s="5">
        <v>0</v>
      </c>
      <c r="N3499" s="5">
        <v>0</v>
      </c>
      <c r="O3499" s="5" t="str">
        <f t="shared" ca="1" si="54"/>
        <v>Supplier 78</v>
      </c>
      <c r="P3499" s="20" t="str">
        <f ca="1">IFERROR(VLOOKUP(O3499,EMAILS!B:C,2,FALSE),"NOT FOUND IN EMAILS")</f>
        <v>supplier@gmail.com</v>
      </c>
      <c r="Q3499" t="str">
        <f ca="1">""&amp;IFERROR(VLOOKUP(O3499,EMAILS!B:D,3,FALSE),"NOT FOUND IN EMAILS")</f>
        <v/>
      </c>
      <c r="R3499" t="str">
        <f ca="1">""&amp;IFERROR(VLOOKUP(O3499,EMAILS!B:E,4,FALSE),"NO T FOUND IN EMAILS")</f>
        <v/>
      </c>
    </row>
    <row r="3500" spans="2:18" x14ac:dyDescent="0.25">
      <c r="B3500" s="5" t="s">
        <v>3502</v>
      </c>
      <c r="C3500" s="5" t="s">
        <v>7642</v>
      </c>
      <c r="D3500" s="5">
        <v>0</v>
      </c>
      <c r="E3500" s="5">
        <v>0</v>
      </c>
      <c r="F3500" s="5">
        <v>0</v>
      </c>
      <c r="G3500" s="5">
        <v>0</v>
      </c>
      <c r="H3500" s="5">
        <v>0</v>
      </c>
      <c r="I3500" s="5">
        <v>0</v>
      </c>
      <c r="J3500" s="5">
        <v>0</v>
      </c>
      <c r="K3500" s="5">
        <v>0</v>
      </c>
      <c r="L3500" s="5">
        <v>0</v>
      </c>
      <c r="M3500" s="5">
        <v>0</v>
      </c>
      <c r="N3500" s="5">
        <v>0</v>
      </c>
      <c r="O3500" s="5" t="str">
        <f t="shared" ca="1" si="54"/>
        <v>Supplier 147</v>
      </c>
      <c r="P3500" s="20" t="str">
        <f ca="1">IFERROR(VLOOKUP(O3500,EMAILS!B:C,2,FALSE),"NOT FOUND IN EMAILS")</f>
        <v>supplier@gmail.com</v>
      </c>
      <c r="Q3500" t="str">
        <f ca="1">""&amp;IFERROR(VLOOKUP(O3500,EMAILS!B:D,3,FALSE),"NOT FOUND IN EMAILS")</f>
        <v/>
      </c>
      <c r="R3500" t="str">
        <f ca="1">""&amp;IFERROR(VLOOKUP(O3500,EMAILS!B:E,4,FALSE),"NO T FOUND IN EMAILS")</f>
        <v/>
      </c>
    </row>
    <row r="3501" spans="2:18" x14ac:dyDescent="0.25">
      <c r="B3501" s="5" t="s">
        <v>3503</v>
      </c>
      <c r="C3501" s="5" t="s">
        <v>7643</v>
      </c>
      <c r="D3501" s="5">
        <v>0</v>
      </c>
      <c r="E3501" s="5">
        <v>0</v>
      </c>
      <c r="F3501" s="5">
        <v>0</v>
      </c>
      <c r="G3501" s="5">
        <v>0</v>
      </c>
      <c r="H3501" s="5">
        <v>0</v>
      </c>
      <c r="I3501" s="5">
        <v>0</v>
      </c>
      <c r="J3501" s="5">
        <v>0</v>
      </c>
      <c r="K3501" s="5">
        <v>0</v>
      </c>
      <c r="L3501" s="5">
        <v>0</v>
      </c>
      <c r="M3501" s="5">
        <v>0</v>
      </c>
      <c r="N3501" s="5">
        <v>0</v>
      </c>
      <c r="O3501" s="5" t="str">
        <f t="shared" ca="1" si="54"/>
        <v>Supplier 79</v>
      </c>
      <c r="P3501" s="20" t="str">
        <f ca="1">IFERROR(VLOOKUP(O3501,EMAILS!B:C,2,FALSE),"NOT FOUND IN EMAILS")</f>
        <v>supplier@gmail.com</v>
      </c>
      <c r="Q3501" t="str">
        <f ca="1">""&amp;IFERROR(VLOOKUP(O3501,EMAILS!B:D,3,FALSE),"NOT FOUND IN EMAILS")</f>
        <v/>
      </c>
      <c r="R3501" t="str">
        <f ca="1">""&amp;IFERROR(VLOOKUP(O3501,EMAILS!B:E,4,FALSE),"NO T FOUND IN EMAILS")</f>
        <v/>
      </c>
    </row>
    <row r="3502" spans="2:18" x14ac:dyDescent="0.25">
      <c r="B3502" s="5" t="s">
        <v>3504</v>
      </c>
      <c r="C3502" s="5" t="s">
        <v>7644</v>
      </c>
      <c r="D3502" s="5">
        <v>0</v>
      </c>
      <c r="E3502" s="5">
        <v>0</v>
      </c>
      <c r="F3502" s="5">
        <v>0</v>
      </c>
      <c r="G3502" s="5">
        <v>0</v>
      </c>
      <c r="H3502" s="5">
        <v>0</v>
      </c>
      <c r="I3502" s="5">
        <v>0</v>
      </c>
      <c r="J3502" s="5">
        <v>0</v>
      </c>
      <c r="K3502" s="5">
        <v>0</v>
      </c>
      <c r="L3502" s="5">
        <v>0</v>
      </c>
      <c r="M3502" s="5">
        <v>0</v>
      </c>
      <c r="N3502" s="5">
        <v>0</v>
      </c>
      <c r="O3502" s="5" t="str">
        <f t="shared" ca="1" si="54"/>
        <v>Supplier 173</v>
      </c>
      <c r="P3502" s="20" t="str">
        <f ca="1">IFERROR(VLOOKUP(O3502,EMAILS!B:C,2,FALSE),"NOT FOUND IN EMAILS")</f>
        <v>supplier@gmail.com</v>
      </c>
      <c r="Q3502" t="str">
        <f ca="1">""&amp;IFERROR(VLOOKUP(O3502,EMAILS!B:D,3,FALSE),"NOT FOUND IN EMAILS")</f>
        <v/>
      </c>
      <c r="R3502" t="str">
        <f ca="1">""&amp;IFERROR(VLOOKUP(O3502,EMAILS!B:E,4,FALSE),"NO T FOUND IN EMAILS")</f>
        <v/>
      </c>
    </row>
    <row r="3503" spans="2:18" x14ac:dyDescent="0.25">
      <c r="B3503" s="5" t="s">
        <v>3505</v>
      </c>
      <c r="C3503" s="5" t="s">
        <v>7645</v>
      </c>
      <c r="D3503" s="5">
        <v>0</v>
      </c>
      <c r="E3503" s="5">
        <v>0</v>
      </c>
      <c r="F3503" s="5">
        <v>0</v>
      </c>
      <c r="G3503" s="5">
        <v>0</v>
      </c>
      <c r="H3503" s="5">
        <v>0</v>
      </c>
      <c r="I3503" s="5">
        <v>0</v>
      </c>
      <c r="J3503" s="5">
        <v>0</v>
      </c>
      <c r="K3503" s="5">
        <v>0</v>
      </c>
      <c r="L3503" s="5">
        <v>0</v>
      </c>
      <c r="M3503" s="5">
        <v>0</v>
      </c>
      <c r="N3503" s="5">
        <v>0</v>
      </c>
      <c r="O3503" s="5" t="str">
        <f t="shared" ca="1" si="54"/>
        <v>Supplier 84</v>
      </c>
      <c r="P3503" s="20" t="str">
        <f ca="1">IFERROR(VLOOKUP(O3503,EMAILS!B:C,2,FALSE),"NOT FOUND IN EMAILS")</f>
        <v>supplier@gmail.com</v>
      </c>
      <c r="Q3503" t="str">
        <f ca="1">""&amp;IFERROR(VLOOKUP(O3503,EMAILS!B:D,3,FALSE),"NOT FOUND IN EMAILS")</f>
        <v/>
      </c>
      <c r="R3503" t="str">
        <f ca="1">""&amp;IFERROR(VLOOKUP(O3503,EMAILS!B:E,4,FALSE),"NO T FOUND IN EMAILS")</f>
        <v/>
      </c>
    </row>
    <row r="3504" spans="2:18" x14ac:dyDescent="0.25">
      <c r="B3504" s="5" t="s">
        <v>3506</v>
      </c>
      <c r="C3504" s="5" t="s">
        <v>7646</v>
      </c>
      <c r="D3504" s="5">
        <v>0</v>
      </c>
      <c r="E3504" s="5">
        <v>0</v>
      </c>
      <c r="F3504" s="5">
        <v>0</v>
      </c>
      <c r="G3504" s="5">
        <v>0</v>
      </c>
      <c r="H3504" s="5">
        <v>0</v>
      </c>
      <c r="I3504" s="5">
        <v>0</v>
      </c>
      <c r="J3504" s="5">
        <v>0</v>
      </c>
      <c r="K3504" s="5">
        <v>0</v>
      </c>
      <c r="L3504" s="5">
        <v>0</v>
      </c>
      <c r="M3504" s="5">
        <v>0</v>
      </c>
      <c r="N3504" s="5">
        <v>0</v>
      </c>
      <c r="O3504" s="5" t="str">
        <f t="shared" ca="1" si="54"/>
        <v>Supplier 78</v>
      </c>
      <c r="P3504" s="20" t="str">
        <f ca="1">IFERROR(VLOOKUP(O3504,EMAILS!B:C,2,FALSE),"NOT FOUND IN EMAILS")</f>
        <v>supplier@gmail.com</v>
      </c>
      <c r="Q3504" t="str">
        <f ca="1">""&amp;IFERROR(VLOOKUP(O3504,EMAILS!B:D,3,FALSE),"NOT FOUND IN EMAILS")</f>
        <v/>
      </c>
      <c r="R3504" t="str">
        <f ca="1">""&amp;IFERROR(VLOOKUP(O3504,EMAILS!B:E,4,FALSE),"NO T FOUND IN EMAILS")</f>
        <v/>
      </c>
    </row>
    <row r="3505" spans="2:18" x14ac:dyDescent="0.25">
      <c r="B3505" s="5" t="s">
        <v>3507</v>
      </c>
      <c r="C3505" s="5" t="s">
        <v>7647</v>
      </c>
      <c r="D3505" s="5">
        <v>0</v>
      </c>
      <c r="E3505" s="5">
        <v>0</v>
      </c>
      <c r="F3505" s="5">
        <v>0</v>
      </c>
      <c r="G3505" s="5">
        <v>0</v>
      </c>
      <c r="H3505" s="5">
        <v>0</v>
      </c>
      <c r="I3505" s="5">
        <v>0</v>
      </c>
      <c r="J3505" s="5">
        <v>0</v>
      </c>
      <c r="K3505" s="5">
        <v>0</v>
      </c>
      <c r="L3505" s="5">
        <v>0</v>
      </c>
      <c r="M3505" s="5">
        <v>0</v>
      </c>
      <c r="N3505" s="5">
        <v>0</v>
      </c>
      <c r="O3505" s="5" t="str">
        <f t="shared" ca="1" si="54"/>
        <v>Supplier 85</v>
      </c>
      <c r="P3505" s="20" t="str">
        <f ca="1">IFERROR(VLOOKUP(O3505,EMAILS!B:C,2,FALSE),"NOT FOUND IN EMAILS")</f>
        <v>supplier@gmail.com</v>
      </c>
      <c r="Q3505" t="str">
        <f ca="1">""&amp;IFERROR(VLOOKUP(O3505,EMAILS!B:D,3,FALSE),"NOT FOUND IN EMAILS")</f>
        <v/>
      </c>
      <c r="R3505" t="str">
        <f ca="1">""&amp;IFERROR(VLOOKUP(O3505,EMAILS!B:E,4,FALSE),"NO T FOUND IN EMAILS")</f>
        <v/>
      </c>
    </row>
    <row r="3506" spans="2:18" x14ac:dyDescent="0.25">
      <c r="B3506" s="5" t="s">
        <v>3508</v>
      </c>
      <c r="C3506" s="5" t="s">
        <v>7648</v>
      </c>
      <c r="D3506" s="5">
        <v>0</v>
      </c>
      <c r="E3506" s="5">
        <v>0</v>
      </c>
      <c r="F3506" s="5">
        <v>0</v>
      </c>
      <c r="G3506" s="5">
        <v>0</v>
      </c>
      <c r="H3506" s="5">
        <v>0</v>
      </c>
      <c r="I3506" s="5">
        <v>0</v>
      </c>
      <c r="J3506" s="5">
        <v>0</v>
      </c>
      <c r="K3506" s="5">
        <v>0</v>
      </c>
      <c r="L3506" s="5">
        <v>0</v>
      </c>
      <c r="M3506" s="5">
        <v>0</v>
      </c>
      <c r="N3506" s="5">
        <v>0</v>
      </c>
      <c r="O3506" s="5" t="str">
        <f t="shared" ca="1" si="54"/>
        <v>Supplier 175</v>
      </c>
      <c r="P3506" s="20" t="str">
        <f ca="1">IFERROR(VLOOKUP(O3506,EMAILS!B:C,2,FALSE),"NOT FOUND IN EMAILS")</f>
        <v>supplier@gmail.com</v>
      </c>
      <c r="Q3506" t="str">
        <f ca="1">""&amp;IFERROR(VLOOKUP(O3506,EMAILS!B:D,3,FALSE),"NOT FOUND IN EMAILS")</f>
        <v/>
      </c>
      <c r="R3506" t="str">
        <f ca="1">""&amp;IFERROR(VLOOKUP(O3506,EMAILS!B:E,4,FALSE),"NO T FOUND IN EMAILS")</f>
        <v/>
      </c>
    </row>
    <row r="3507" spans="2:18" x14ac:dyDescent="0.25">
      <c r="B3507" s="5" t="s">
        <v>3509</v>
      </c>
      <c r="C3507" s="5" t="s">
        <v>7649</v>
      </c>
      <c r="D3507" s="5">
        <v>0</v>
      </c>
      <c r="E3507" s="5">
        <v>0</v>
      </c>
      <c r="F3507" s="5">
        <v>0</v>
      </c>
      <c r="G3507" s="5">
        <v>0</v>
      </c>
      <c r="H3507" s="5">
        <v>0</v>
      </c>
      <c r="I3507" s="5">
        <v>0</v>
      </c>
      <c r="J3507" s="5">
        <v>0</v>
      </c>
      <c r="K3507" s="5">
        <v>0</v>
      </c>
      <c r="L3507" s="5">
        <v>0</v>
      </c>
      <c r="M3507" s="5">
        <v>0</v>
      </c>
      <c r="N3507" s="5">
        <v>0</v>
      </c>
      <c r="O3507" s="5" t="str">
        <f t="shared" ca="1" si="54"/>
        <v>Supplier 15</v>
      </c>
      <c r="P3507" s="20" t="str">
        <f ca="1">IFERROR(VLOOKUP(O3507,EMAILS!B:C,2,FALSE),"NOT FOUND IN EMAILS")</f>
        <v>supplier@gmail.com</v>
      </c>
      <c r="Q3507" t="str">
        <f ca="1">""&amp;IFERROR(VLOOKUP(O3507,EMAILS!B:D,3,FALSE),"NOT FOUND IN EMAILS")</f>
        <v>supplier_logistics@gmail.com</v>
      </c>
      <c r="R3507" t="str">
        <f ca="1">""&amp;IFERROR(VLOOKUP(O3507,EMAILS!B:E,4,FALSE),"NO T FOUND IN EMAILS")</f>
        <v/>
      </c>
    </row>
    <row r="3508" spans="2:18" x14ac:dyDescent="0.25">
      <c r="B3508" s="5" t="s">
        <v>3510</v>
      </c>
      <c r="C3508" s="5" t="s">
        <v>7650</v>
      </c>
      <c r="D3508" s="5">
        <v>0</v>
      </c>
      <c r="E3508" s="5">
        <v>0</v>
      </c>
      <c r="F3508" s="5">
        <v>0</v>
      </c>
      <c r="G3508" s="5">
        <v>0</v>
      </c>
      <c r="H3508" s="5">
        <v>0</v>
      </c>
      <c r="I3508" s="5">
        <v>0</v>
      </c>
      <c r="J3508" s="5">
        <v>0</v>
      </c>
      <c r="K3508" s="5">
        <v>0</v>
      </c>
      <c r="L3508" s="5">
        <v>0</v>
      </c>
      <c r="M3508" s="5">
        <v>0</v>
      </c>
      <c r="N3508" s="5">
        <v>0</v>
      </c>
      <c r="O3508" s="5" t="str">
        <f t="shared" ca="1" si="54"/>
        <v>Supplier 154</v>
      </c>
      <c r="P3508" s="20" t="str">
        <f ca="1">IFERROR(VLOOKUP(O3508,EMAILS!B:C,2,FALSE),"NOT FOUND IN EMAILS")</f>
        <v>supplier@gmail.com</v>
      </c>
      <c r="Q3508" t="str">
        <f ca="1">""&amp;IFERROR(VLOOKUP(O3508,EMAILS!B:D,3,FALSE),"NOT FOUND IN EMAILS")</f>
        <v/>
      </c>
      <c r="R3508" t="str">
        <f ca="1">""&amp;IFERROR(VLOOKUP(O3508,EMAILS!B:E,4,FALSE),"NO T FOUND IN EMAILS")</f>
        <v/>
      </c>
    </row>
    <row r="3509" spans="2:18" x14ac:dyDescent="0.25">
      <c r="B3509" s="5" t="s">
        <v>3511</v>
      </c>
      <c r="C3509" s="5" t="s">
        <v>7651</v>
      </c>
      <c r="D3509" s="5">
        <v>0</v>
      </c>
      <c r="E3509" s="5">
        <v>0</v>
      </c>
      <c r="F3509" s="5">
        <v>0</v>
      </c>
      <c r="G3509" s="5">
        <v>0</v>
      </c>
      <c r="H3509" s="5">
        <v>0</v>
      </c>
      <c r="I3509" s="5">
        <v>0</v>
      </c>
      <c r="J3509" s="5">
        <v>0</v>
      </c>
      <c r="K3509" s="5">
        <v>0</v>
      </c>
      <c r="L3509" s="5">
        <v>0</v>
      </c>
      <c r="M3509" s="5">
        <v>0</v>
      </c>
      <c r="N3509" s="5">
        <v>0</v>
      </c>
      <c r="O3509" s="5" t="str">
        <f t="shared" ca="1" si="54"/>
        <v>Supplier 180</v>
      </c>
      <c r="P3509" s="20" t="str">
        <f ca="1">IFERROR(VLOOKUP(O3509,EMAILS!B:C,2,FALSE),"NOT FOUND IN EMAILS")</f>
        <v>supplier@gmail.com</v>
      </c>
      <c r="Q3509" t="str">
        <f ca="1">""&amp;IFERROR(VLOOKUP(O3509,EMAILS!B:D,3,FALSE),"NOT FOUND IN EMAILS")</f>
        <v/>
      </c>
      <c r="R3509" t="str">
        <f ca="1">""&amp;IFERROR(VLOOKUP(O3509,EMAILS!B:E,4,FALSE),"NO T FOUND IN EMAILS")</f>
        <v/>
      </c>
    </row>
    <row r="3510" spans="2:18" x14ac:dyDescent="0.25">
      <c r="B3510" s="5" t="s">
        <v>3512</v>
      </c>
      <c r="C3510" s="5" t="s">
        <v>7652</v>
      </c>
      <c r="D3510" s="5">
        <v>0</v>
      </c>
      <c r="E3510" s="5">
        <v>0</v>
      </c>
      <c r="F3510" s="5">
        <v>0</v>
      </c>
      <c r="G3510" s="5">
        <v>0</v>
      </c>
      <c r="H3510" s="5">
        <v>0</v>
      </c>
      <c r="I3510" s="5">
        <v>0</v>
      </c>
      <c r="J3510" s="5">
        <v>0</v>
      </c>
      <c r="K3510" s="5">
        <v>0</v>
      </c>
      <c r="L3510" s="5">
        <v>0</v>
      </c>
      <c r="M3510" s="5">
        <v>0</v>
      </c>
      <c r="N3510" s="5">
        <v>0</v>
      </c>
      <c r="O3510" s="5" t="str">
        <f t="shared" ca="1" si="54"/>
        <v>Supplier 13</v>
      </c>
      <c r="P3510" s="20" t="str">
        <f ca="1">IFERROR(VLOOKUP(O3510,EMAILS!B:C,2,FALSE),"NOT FOUND IN EMAILS")</f>
        <v>supplier@gmail.com</v>
      </c>
      <c r="Q3510" t="str">
        <f ca="1">""&amp;IFERROR(VLOOKUP(O3510,EMAILS!B:D,3,FALSE),"NOT FOUND IN EMAILS")</f>
        <v>supplier_logistics@gmail.com</v>
      </c>
      <c r="R3510" t="str">
        <f ca="1">""&amp;IFERROR(VLOOKUP(O3510,EMAILS!B:E,4,FALSE),"NO T FOUND IN EMAILS")</f>
        <v/>
      </c>
    </row>
    <row r="3511" spans="2:18" x14ac:dyDescent="0.25">
      <c r="B3511" s="5" t="s">
        <v>3513</v>
      </c>
      <c r="C3511" s="5" t="s">
        <v>7653</v>
      </c>
      <c r="D3511" s="5">
        <v>0</v>
      </c>
      <c r="E3511" s="5">
        <v>0</v>
      </c>
      <c r="F3511" s="5">
        <v>0</v>
      </c>
      <c r="G3511" s="5">
        <v>0</v>
      </c>
      <c r="H3511" s="5">
        <v>0</v>
      </c>
      <c r="I3511" s="5">
        <v>0</v>
      </c>
      <c r="J3511" s="5">
        <v>0</v>
      </c>
      <c r="K3511" s="5">
        <v>0</v>
      </c>
      <c r="L3511" s="5">
        <v>0</v>
      </c>
      <c r="M3511" s="5">
        <v>0</v>
      </c>
      <c r="N3511" s="5">
        <v>0</v>
      </c>
      <c r="O3511" s="5" t="str">
        <f t="shared" ca="1" si="54"/>
        <v>Supplier 181</v>
      </c>
      <c r="P3511" s="20" t="str">
        <f ca="1">IFERROR(VLOOKUP(O3511,EMAILS!B:C,2,FALSE),"NOT FOUND IN EMAILS")</f>
        <v>supplier@gmail.com</v>
      </c>
      <c r="Q3511" t="str">
        <f ca="1">""&amp;IFERROR(VLOOKUP(O3511,EMAILS!B:D,3,FALSE),"NOT FOUND IN EMAILS")</f>
        <v/>
      </c>
      <c r="R3511" t="str">
        <f ca="1">""&amp;IFERROR(VLOOKUP(O3511,EMAILS!B:E,4,FALSE),"NO T FOUND IN EMAILS")</f>
        <v/>
      </c>
    </row>
    <row r="3512" spans="2:18" x14ac:dyDescent="0.25">
      <c r="B3512" s="5" t="s">
        <v>3514</v>
      </c>
      <c r="C3512" s="5" t="s">
        <v>7654</v>
      </c>
      <c r="D3512" s="5">
        <v>0</v>
      </c>
      <c r="E3512" s="5">
        <v>0</v>
      </c>
      <c r="F3512" s="5">
        <v>0</v>
      </c>
      <c r="G3512" s="5">
        <v>0</v>
      </c>
      <c r="H3512" s="5">
        <v>0</v>
      </c>
      <c r="I3512" s="5">
        <v>0</v>
      </c>
      <c r="J3512" s="5">
        <v>0</v>
      </c>
      <c r="K3512" s="5">
        <v>0</v>
      </c>
      <c r="L3512" s="5">
        <v>0</v>
      </c>
      <c r="M3512" s="5">
        <v>0</v>
      </c>
      <c r="N3512" s="5">
        <v>0</v>
      </c>
      <c r="O3512" s="5" t="str">
        <f t="shared" ca="1" si="54"/>
        <v>Supplier 24</v>
      </c>
      <c r="P3512" s="20" t="str">
        <f ca="1">IFERROR(VLOOKUP(O3512,EMAILS!B:C,2,FALSE),"NOT FOUND IN EMAILS")</f>
        <v>supplier@gmail.com</v>
      </c>
      <c r="Q3512" t="str">
        <f ca="1">""&amp;IFERROR(VLOOKUP(O3512,EMAILS!B:D,3,FALSE),"NOT FOUND IN EMAILS")</f>
        <v/>
      </c>
      <c r="R3512" t="str">
        <f ca="1">""&amp;IFERROR(VLOOKUP(O3512,EMAILS!B:E,4,FALSE),"NO T FOUND IN EMAILS")</f>
        <v/>
      </c>
    </row>
    <row r="3513" spans="2:18" x14ac:dyDescent="0.25">
      <c r="B3513" s="5" t="s">
        <v>3515</v>
      </c>
      <c r="C3513" s="5" t="s">
        <v>7655</v>
      </c>
      <c r="D3513" s="5">
        <v>0</v>
      </c>
      <c r="E3513" s="5">
        <v>0</v>
      </c>
      <c r="F3513" s="5">
        <v>0</v>
      </c>
      <c r="G3513" s="5">
        <v>0</v>
      </c>
      <c r="H3513" s="5">
        <v>0</v>
      </c>
      <c r="I3513" s="5">
        <v>0</v>
      </c>
      <c r="J3513" s="5">
        <v>0</v>
      </c>
      <c r="K3513" s="5">
        <v>0</v>
      </c>
      <c r="L3513" s="5">
        <v>0</v>
      </c>
      <c r="M3513" s="5">
        <v>0</v>
      </c>
      <c r="N3513" s="5">
        <v>0</v>
      </c>
      <c r="O3513" s="5" t="str">
        <f t="shared" ca="1" si="54"/>
        <v>Supplier 26</v>
      </c>
      <c r="P3513" s="20" t="str">
        <f ca="1">IFERROR(VLOOKUP(O3513,EMAILS!B:C,2,FALSE),"NOT FOUND IN EMAILS")</f>
        <v>supplier@gmail.com</v>
      </c>
      <c r="Q3513" t="str">
        <f ca="1">""&amp;IFERROR(VLOOKUP(O3513,EMAILS!B:D,3,FALSE),"NOT FOUND IN EMAILS")</f>
        <v/>
      </c>
      <c r="R3513" t="str">
        <f ca="1">""&amp;IFERROR(VLOOKUP(O3513,EMAILS!B:E,4,FALSE),"NO T FOUND IN EMAILS")</f>
        <v/>
      </c>
    </row>
    <row r="3514" spans="2:18" x14ac:dyDescent="0.25">
      <c r="B3514" s="5" t="s">
        <v>3516</v>
      </c>
      <c r="C3514" s="5" t="s">
        <v>7656</v>
      </c>
      <c r="D3514" s="5">
        <v>0</v>
      </c>
      <c r="E3514" s="5">
        <v>0</v>
      </c>
      <c r="F3514" s="5">
        <v>0</v>
      </c>
      <c r="G3514" s="5">
        <v>0</v>
      </c>
      <c r="H3514" s="5">
        <v>0</v>
      </c>
      <c r="I3514" s="5">
        <v>0</v>
      </c>
      <c r="J3514" s="5">
        <v>0</v>
      </c>
      <c r="K3514" s="5">
        <v>0</v>
      </c>
      <c r="L3514" s="5">
        <v>0</v>
      </c>
      <c r="M3514" s="5">
        <v>0</v>
      </c>
      <c r="N3514" s="5">
        <v>0</v>
      </c>
      <c r="O3514" s="5" t="str">
        <f t="shared" ca="1" si="54"/>
        <v>Supplier 86</v>
      </c>
      <c r="P3514" s="20" t="str">
        <f ca="1">IFERROR(VLOOKUP(O3514,EMAILS!B:C,2,FALSE),"NOT FOUND IN EMAILS")</f>
        <v>supplier@gmail.com</v>
      </c>
      <c r="Q3514" t="str">
        <f ca="1">""&amp;IFERROR(VLOOKUP(O3514,EMAILS!B:D,3,FALSE),"NOT FOUND IN EMAILS")</f>
        <v/>
      </c>
      <c r="R3514" t="str">
        <f ca="1">""&amp;IFERROR(VLOOKUP(O3514,EMAILS!B:E,4,FALSE),"NO T FOUND IN EMAILS")</f>
        <v/>
      </c>
    </row>
    <row r="3515" spans="2:18" x14ac:dyDescent="0.25">
      <c r="B3515" s="5" t="s">
        <v>3517</v>
      </c>
      <c r="C3515" s="5" t="s">
        <v>7657</v>
      </c>
      <c r="D3515" s="5">
        <v>0</v>
      </c>
      <c r="E3515" s="5">
        <v>0</v>
      </c>
      <c r="F3515" s="5">
        <v>0</v>
      </c>
      <c r="G3515" s="5">
        <v>0</v>
      </c>
      <c r="H3515" s="5">
        <v>0</v>
      </c>
      <c r="I3515" s="5">
        <v>0</v>
      </c>
      <c r="J3515" s="5">
        <v>0</v>
      </c>
      <c r="K3515" s="5">
        <v>0</v>
      </c>
      <c r="L3515" s="5">
        <v>0</v>
      </c>
      <c r="M3515" s="5">
        <v>0</v>
      </c>
      <c r="N3515" s="5">
        <v>0</v>
      </c>
      <c r="O3515" s="5" t="str">
        <f t="shared" ca="1" si="54"/>
        <v>Supplier 158</v>
      </c>
      <c r="P3515" s="20" t="str">
        <f ca="1">IFERROR(VLOOKUP(O3515,EMAILS!B:C,2,FALSE),"NOT FOUND IN EMAILS")</f>
        <v>supplier@gmail.com</v>
      </c>
      <c r="Q3515" t="str">
        <f ca="1">""&amp;IFERROR(VLOOKUP(O3515,EMAILS!B:D,3,FALSE),"NOT FOUND IN EMAILS")</f>
        <v/>
      </c>
      <c r="R3515" t="str">
        <f ca="1">""&amp;IFERROR(VLOOKUP(O3515,EMAILS!B:E,4,FALSE),"NO T FOUND IN EMAILS")</f>
        <v/>
      </c>
    </row>
    <row r="3516" spans="2:18" x14ac:dyDescent="0.25">
      <c r="B3516" s="5" t="s">
        <v>3518</v>
      </c>
      <c r="C3516" s="5" t="s">
        <v>7658</v>
      </c>
      <c r="D3516" s="5">
        <v>0</v>
      </c>
      <c r="E3516" s="5">
        <v>0</v>
      </c>
      <c r="F3516" s="5">
        <v>0</v>
      </c>
      <c r="G3516" s="5">
        <v>0</v>
      </c>
      <c r="H3516" s="5">
        <v>0</v>
      </c>
      <c r="I3516" s="5">
        <v>0</v>
      </c>
      <c r="J3516" s="5">
        <v>0</v>
      </c>
      <c r="K3516" s="5">
        <v>0</v>
      </c>
      <c r="L3516" s="5">
        <v>0</v>
      </c>
      <c r="M3516" s="5">
        <v>0</v>
      </c>
      <c r="N3516" s="5">
        <v>0</v>
      </c>
      <c r="O3516" s="5" t="str">
        <f t="shared" ca="1" si="54"/>
        <v>Supplier 59</v>
      </c>
      <c r="P3516" s="20" t="str">
        <f ca="1">IFERROR(VLOOKUP(O3516,EMAILS!B:C,2,FALSE),"NOT FOUND IN EMAILS")</f>
        <v>supplier@gmail.com</v>
      </c>
      <c r="Q3516" t="str">
        <f ca="1">""&amp;IFERROR(VLOOKUP(O3516,EMAILS!B:D,3,FALSE),"NOT FOUND IN EMAILS")</f>
        <v/>
      </c>
      <c r="R3516" t="str">
        <f ca="1">""&amp;IFERROR(VLOOKUP(O3516,EMAILS!B:E,4,FALSE),"NO T FOUND IN EMAILS")</f>
        <v/>
      </c>
    </row>
    <row r="3517" spans="2:18" x14ac:dyDescent="0.25">
      <c r="B3517" s="5" t="s">
        <v>3519</v>
      </c>
      <c r="C3517" s="5" t="s">
        <v>7659</v>
      </c>
      <c r="D3517" s="5">
        <v>0</v>
      </c>
      <c r="E3517" s="5">
        <v>0</v>
      </c>
      <c r="F3517" s="5">
        <v>0</v>
      </c>
      <c r="G3517" s="5">
        <v>0</v>
      </c>
      <c r="H3517" s="5">
        <v>0</v>
      </c>
      <c r="I3517" s="5">
        <v>0</v>
      </c>
      <c r="J3517" s="5">
        <v>0</v>
      </c>
      <c r="K3517" s="5">
        <v>0</v>
      </c>
      <c r="L3517" s="5">
        <v>0</v>
      </c>
      <c r="M3517" s="5">
        <v>0</v>
      </c>
      <c r="N3517" s="5">
        <v>0</v>
      </c>
      <c r="O3517" s="5" t="str">
        <f t="shared" ca="1" si="54"/>
        <v>Supplier 17</v>
      </c>
      <c r="P3517" s="20" t="str">
        <f ca="1">IFERROR(VLOOKUP(O3517,EMAILS!B:C,2,FALSE),"NOT FOUND IN EMAILS")</f>
        <v>supplier@gmail.com</v>
      </c>
      <c r="Q3517" t="str">
        <f ca="1">""&amp;IFERROR(VLOOKUP(O3517,EMAILS!B:D,3,FALSE),"NOT FOUND IN EMAILS")</f>
        <v>supplier_logistics@gmail.com</v>
      </c>
      <c r="R3517" t="str">
        <f ca="1">""&amp;IFERROR(VLOOKUP(O3517,EMAILS!B:E,4,FALSE),"NO T FOUND IN EMAILS")</f>
        <v/>
      </c>
    </row>
    <row r="3518" spans="2:18" x14ac:dyDescent="0.25">
      <c r="B3518" s="5" t="s">
        <v>3520</v>
      </c>
      <c r="C3518" s="5" t="s">
        <v>7660</v>
      </c>
      <c r="D3518" s="5">
        <v>0</v>
      </c>
      <c r="E3518" s="5">
        <v>0</v>
      </c>
      <c r="F3518" s="5">
        <v>0</v>
      </c>
      <c r="G3518" s="5">
        <v>0</v>
      </c>
      <c r="H3518" s="5">
        <v>0</v>
      </c>
      <c r="I3518" s="5">
        <v>0</v>
      </c>
      <c r="J3518" s="5">
        <v>0</v>
      </c>
      <c r="K3518" s="5">
        <v>0</v>
      </c>
      <c r="L3518" s="5">
        <v>0</v>
      </c>
      <c r="M3518" s="5">
        <v>0</v>
      </c>
      <c r="N3518" s="5">
        <v>0</v>
      </c>
      <c r="O3518" s="5" t="str">
        <f t="shared" ca="1" si="54"/>
        <v>Supplier 75</v>
      </c>
      <c r="P3518" s="20" t="str">
        <f ca="1">IFERROR(VLOOKUP(O3518,EMAILS!B:C,2,FALSE),"NOT FOUND IN EMAILS")</f>
        <v>supplier@gmail.com</v>
      </c>
      <c r="Q3518" t="str">
        <f ca="1">""&amp;IFERROR(VLOOKUP(O3518,EMAILS!B:D,3,FALSE),"NOT FOUND IN EMAILS")</f>
        <v/>
      </c>
      <c r="R3518" t="str">
        <f ca="1">""&amp;IFERROR(VLOOKUP(O3518,EMAILS!B:E,4,FALSE),"NO T FOUND IN EMAILS")</f>
        <v/>
      </c>
    </row>
    <row r="3519" spans="2:18" x14ac:dyDescent="0.25">
      <c r="B3519" s="5" t="s">
        <v>3521</v>
      </c>
      <c r="C3519" s="5" t="s">
        <v>7661</v>
      </c>
      <c r="D3519" s="5">
        <v>0</v>
      </c>
      <c r="E3519" s="5">
        <v>0</v>
      </c>
      <c r="F3519" s="5">
        <v>0</v>
      </c>
      <c r="G3519" s="5">
        <v>0</v>
      </c>
      <c r="H3519" s="5">
        <v>0</v>
      </c>
      <c r="I3519" s="5">
        <v>0</v>
      </c>
      <c r="J3519" s="5">
        <v>0</v>
      </c>
      <c r="K3519" s="5">
        <v>0</v>
      </c>
      <c r="L3519" s="5">
        <v>0</v>
      </c>
      <c r="M3519" s="5">
        <v>0</v>
      </c>
      <c r="N3519" s="5">
        <v>0</v>
      </c>
      <c r="O3519" s="5" t="str">
        <f t="shared" ca="1" si="54"/>
        <v>Supplier 153</v>
      </c>
      <c r="P3519" s="20" t="str">
        <f ca="1">IFERROR(VLOOKUP(O3519,EMAILS!B:C,2,FALSE),"NOT FOUND IN EMAILS")</f>
        <v>supplier@gmail.com</v>
      </c>
      <c r="Q3519" t="str">
        <f ca="1">""&amp;IFERROR(VLOOKUP(O3519,EMAILS!B:D,3,FALSE),"NOT FOUND IN EMAILS")</f>
        <v/>
      </c>
      <c r="R3519" t="str">
        <f ca="1">""&amp;IFERROR(VLOOKUP(O3519,EMAILS!B:E,4,FALSE),"NO T FOUND IN EMAILS")</f>
        <v/>
      </c>
    </row>
    <row r="3520" spans="2:18" x14ac:dyDescent="0.25">
      <c r="B3520" s="5" t="s">
        <v>3522</v>
      </c>
      <c r="C3520" s="5" t="s">
        <v>7662</v>
      </c>
      <c r="D3520" s="5">
        <v>0</v>
      </c>
      <c r="E3520" s="5">
        <v>0</v>
      </c>
      <c r="F3520" s="5">
        <v>0</v>
      </c>
      <c r="G3520" s="5">
        <v>0</v>
      </c>
      <c r="H3520" s="5">
        <v>0</v>
      </c>
      <c r="I3520" s="5">
        <v>0</v>
      </c>
      <c r="J3520" s="5">
        <v>0</v>
      </c>
      <c r="K3520" s="5">
        <v>0</v>
      </c>
      <c r="L3520" s="5">
        <v>0</v>
      </c>
      <c r="M3520" s="5">
        <v>0</v>
      </c>
      <c r="N3520" s="5">
        <v>0</v>
      </c>
      <c r="O3520" s="5" t="str">
        <f t="shared" ca="1" si="54"/>
        <v>Supplier 148</v>
      </c>
      <c r="P3520" s="20" t="str">
        <f ca="1">IFERROR(VLOOKUP(O3520,EMAILS!B:C,2,FALSE),"NOT FOUND IN EMAILS")</f>
        <v>supplier@gmail.com</v>
      </c>
      <c r="Q3520" t="str">
        <f ca="1">""&amp;IFERROR(VLOOKUP(O3520,EMAILS!B:D,3,FALSE),"NOT FOUND IN EMAILS")</f>
        <v/>
      </c>
      <c r="R3520" t="str">
        <f ca="1">""&amp;IFERROR(VLOOKUP(O3520,EMAILS!B:E,4,FALSE),"NO T FOUND IN EMAILS")</f>
        <v/>
      </c>
    </row>
    <row r="3521" spans="2:18" x14ac:dyDescent="0.25">
      <c r="B3521" s="5" t="s">
        <v>3523</v>
      </c>
      <c r="C3521" s="5" t="s">
        <v>7663</v>
      </c>
      <c r="D3521" s="5">
        <v>0</v>
      </c>
      <c r="E3521" s="5">
        <v>0</v>
      </c>
      <c r="F3521" s="5">
        <v>0</v>
      </c>
      <c r="G3521" s="5">
        <v>0</v>
      </c>
      <c r="H3521" s="5">
        <v>0</v>
      </c>
      <c r="I3521" s="5">
        <v>0</v>
      </c>
      <c r="J3521" s="5">
        <v>0</v>
      </c>
      <c r="K3521" s="5">
        <v>0</v>
      </c>
      <c r="L3521" s="5">
        <v>0</v>
      </c>
      <c r="M3521" s="5">
        <v>0</v>
      </c>
      <c r="N3521" s="5">
        <v>0</v>
      </c>
      <c r="O3521" s="5" t="str">
        <f t="shared" ca="1" si="54"/>
        <v>Supplier 87</v>
      </c>
      <c r="P3521" s="20" t="str">
        <f ca="1">IFERROR(VLOOKUP(O3521,EMAILS!B:C,2,FALSE),"NOT FOUND IN EMAILS")</f>
        <v>supplier@gmail.com</v>
      </c>
      <c r="Q3521" t="str">
        <f ca="1">""&amp;IFERROR(VLOOKUP(O3521,EMAILS!B:D,3,FALSE),"NOT FOUND IN EMAILS")</f>
        <v/>
      </c>
      <c r="R3521" t="str">
        <f ca="1">""&amp;IFERROR(VLOOKUP(O3521,EMAILS!B:E,4,FALSE),"NO T FOUND IN EMAILS")</f>
        <v/>
      </c>
    </row>
    <row r="3522" spans="2:18" x14ac:dyDescent="0.25">
      <c r="B3522" s="5" t="s">
        <v>3524</v>
      </c>
      <c r="C3522" s="5" t="s">
        <v>7664</v>
      </c>
      <c r="D3522" s="5">
        <v>0</v>
      </c>
      <c r="E3522" s="5">
        <v>0</v>
      </c>
      <c r="F3522" s="5">
        <v>0</v>
      </c>
      <c r="G3522" s="5">
        <v>0</v>
      </c>
      <c r="H3522" s="5">
        <v>0</v>
      </c>
      <c r="I3522" s="5">
        <v>0</v>
      </c>
      <c r="J3522" s="5">
        <v>0</v>
      </c>
      <c r="K3522" s="5">
        <v>0</v>
      </c>
      <c r="L3522" s="5">
        <v>0</v>
      </c>
      <c r="M3522" s="5">
        <v>0</v>
      </c>
      <c r="N3522" s="5">
        <v>0</v>
      </c>
      <c r="O3522" s="5" t="str">
        <f t="shared" ca="1" si="54"/>
        <v>Supplier 91</v>
      </c>
      <c r="P3522" s="20" t="str">
        <f ca="1">IFERROR(VLOOKUP(O3522,EMAILS!B:C,2,FALSE),"NOT FOUND IN EMAILS")</f>
        <v>supplier@gmail.com</v>
      </c>
      <c r="Q3522" t="str">
        <f ca="1">""&amp;IFERROR(VLOOKUP(O3522,EMAILS!B:D,3,FALSE),"NOT FOUND IN EMAILS")</f>
        <v/>
      </c>
      <c r="R3522" t="str">
        <f ca="1">""&amp;IFERROR(VLOOKUP(O3522,EMAILS!B:E,4,FALSE),"NO T FOUND IN EMAILS")</f>
        <v/>
      </c>
    </row>
    <row r="3523" spans="2:18" x14ac:dyDescent="0.25">
      <c r="B3523" s="5" t="s">
        <v>3525</v>
      </c>
      <c r="C3523" s="5" t="s">
        <v>7665</v>
      </c>
      <c r="D3523" s="5">
        <v>0</v>
      </c>
      <c r="E3523" s="5">
        <v>0</v>
      </c>
      <c r="F3523" s="5">
        <v>0</v>
      </c>
      <c r="G3523" s="5">
        <v>0</v>
      </c>
      <c r="H3523" s="5">
        <v>0</v>
      </c>
      <c r="I3523" s="5">
        <v>0</v>
      </c>
      <c r="J3523" s="5">
        <v>0</v>
      </c>
      <c r="K3523" s="5">
        <v>0</v>
      </c>
      <c r="L3523" s="5">
        <v>0</v>
      </c>
      <c r="M3523" s="5">
        <v>0</v>
      </c>
      <c r="N3523" s="5">
        <v>0</v>
      </c>
      <c r="O3523" s="5" t="str">
        <f t="shared" ref="O3523:O3586" ca="1" si="55">"Supplier "&amp;RANDBETWEEN(1,200)</f>
        <v>Supplier 119</v>
      </c>
      <c r="P3523" s="20" t="str">
        <f ca="1">IFERROR(VLOOKUP(O3523,EMAILS!B:C,2,FALSE),"NOT FOUND IN EMAILS")</f>
        <v>supplier@gmail.com</v>
      </c>
      <c r="Q3523" t="str">
        <f ca="1">""&amp;IFERROR(VLOOKUP(O3523,EMAILS!B:D,3,FALSE),"NOT FOUND IN EMAILS")</f>
        <v/>
      </c>
      <c r="R3523" t="str">
        <f ca="1">""&amp;IFERROR(VLOOKUP(O3523,EMAILS!B:E,4,FALSE),"NO T FOUND IN EMAILS")</f>
        <v/>
      </c>
    </row>
    <row r="3524" spans="2:18" x14ac:dyDescent="0.25">
      <c r="B3524" s="5" t="s">
        <v>3526</v>
      </c>
      <c r="C3524" s="5" t="s">
        <v>7666</v>
      </c>
      <c r="D3524" s="5">
        <v>0</v>
      </c>
      <c r="E3524" s="5">
        <v>0</v>
      </c>
      <c r="F3524" s="5">
        <v>0</v>
      </c>
      <c r="G3524" s="5">
        <v>0</v>
      </c>
      <c r="H3524" s="5">
        <v>0</v>
      </c>
      <c r="I3524" s="5">
        <v>0</v>
      </c>
      <c r="J3524" s="5">
        <v>0</v>
      </c>
      <c r="K3524" s="5">
        <v>0</v>
      </c>
      <c r="L3524" s="5">
        <v>0</v>
      </c>
      <c r="M3524" s="5">
        <v>0</v>
      </c>
      <c r="N3524" s="5">
        <v>0</v>
      </c>
      <c r="O3524" s="5" t="str">
        <f t="shared" ca="1" si="55"/>
        <v>Supplier 33</v>
      </c>
      <c r="P3524" s="20" t="str">
        <f ca="1">IFERROR(VLOOKUP(O3524,EMAILS!B:C,2,FALSE),"NOT FOUND IN EMAILS")</f>
        <v>supplier@gmail.com</v>
      </c>
      <c r="Q3524" t="str">
        <f ca="1">""&amp;IFERROR(VLOOKUP(O3524,EMAILS!B:D,3,FALSE),"NOT FOUND IN EMAILS")</f>
        <v/>
      </c>
      <c r="R3524" t="str">
        <f ca="1">""&amp;IFERROR(VLOOKUP(O3524,EMAILS!B:E,4,FALSE),"NO T FOUND IN EMAILS")</f>
        <v/>
      </c>
    </row>
    <row r="3525" spans="2:18" x14ac:dyDescent="0.25">
      <c r="B3525" s="5" t="s">
        <v>3527</v>
      </c>
      <c r="C3525" s="5" t="s">
        <v>7667</v>
      </c>
      <c r="D3525" s="5">
        <v>0</v>
      </c>
      <c r="E3525" s="5">
        <v>0</v>
      </c>
      <c r="F3525" s="5">
        <v>0</v>
      </c>
      <c r="G3525" s="5">
        <v>0</v>
      </c>
      <c r="H3525" s="5">
        <v>0</v>
      </c>
      <c r="I3525" s="5">
        <v>0</v>
      </c>
      <c r="J3525" s="5">
        <v>0</v>
      </c>
      <c r="K3525" s="5">
        <v>0</v>
      </c>
      <c r="L3525" s="5">
        <v>0</v>
      </c>
      <c r="M3525" s="5">
        <v>0</v>
      </c>
      <c r="N3525" s="5">
        <v>0</v>
      </c>
      <c r="O3525" s="5" t="str">
        <f t="shared" ca="1" si="55"/>
        <v>Supplier 59</v>
      </c>
      <c r="P3525" s="20" t="str">
        <f ca="1">IFERROR(VLOOKUP(O3525,EMAILS!B:C,2,FALSE),"NOT FOUND IN EMAILS")</f>
        <v>supplier@gmail.com</v>
      </c>
      <c r="Q3525" t="str">
        <f ca="1">""&amp;IFERROR(VLOOKUP(O3525,EMAILS!B:D,3,FALSE),"NOT FOUND IN EMAILS")</f>
        <v/>
      </c>
      <c r="R3525" t="str">
        <f ca="1">""&amp;IFERROR(VLOOKUP(O3525,EMAILS!B:E,4,FALSE),"NO T FOUND IN EMAILS")</f>
        <v/>
      </c>
    </row>
    <row r="3526" spans="2:18" x14ac:dyDescent="0.25">
      <c r="B3526" s="5" t="s">
        <v>3528</v>
      </c>
      <c r="C3526" s="5" t="s">
        <v>7668</v>
      </c>
      <c r="D3526" s="5">
        <v>0</v>
      </c>
      <c r="E3526" s="5">
        <v>0</v>
      </c>
      <c r="F3526" s="5">
        <v>0</v>
      </c>
      <c r="G3526" s="5">
        <v>0</v>
      </c>
      <c r="H3526" s="5">
        <v>0</v>
      </c>
      <c r="I3526" s="5">
        <v>0</v>
      </c>
      <c r="J3526" s="5">
        <v>0</v>
      </c>
      <c r="K3526" s="5">
        <v>0</v>
      </c>
      <c r="L3526" s="5">
        <v>0</v>
      </c>
      <c r="M3526" s="5">
        <v>0</v>
      </c>
      <c r="N3526" s="5">
        <v>0</v>
      </c>
      <c r="O3526" s="5" t="str">
        <f t="shared" ca="1" si="55"/>
        <v>Supplier 147</v>
      </c>
      <c r="P3526" s="20" t="str">
        <f ca="1">IFERROR(VLOOKUP(O3526,EMAILS!B:C,2,FALSE),"NOT FOUND IN EMAILS")</f>
        <v>supplier@gmail.com</v>
      </c>
      <c r="Q3526" t="str">
        <f ca="1">""&amp;IFERROR(VLOOKUP(O3526,EMAILS!B:D,3,FALSE),"NOT FOUND IN EMAILS")</f>
        <v/>
      </c>
      <c r="R3526" t="str">
        <f ca="1">""&amp;IFERROR(VLOOKUP(O3526,EMAILS!B:E,4,FALSE),"NO T FOUND IN EMAILS")</f>
        <v/>
      </c>
    </row>
    <row r="3527" spans="2:18" x14ac:dyDescent="0.25">
      <c r="B3527" s="5" t="s">
        <v>3529</v>
      </c>
      <c r="C3527" s="5" t="s">
        <v>7669</v>
      </c>
      <c r="D3527" s="5">
        <v>0</v>
      </c>
      <c r="E3527" s="5">
        <v>0</v>
      </c>
      <c r="F3527" s="5">
        <v>0</v>
      </c>
      <c r="G3527" s="5">
        <v>0</v>
      </c>
      <c r="H3527" s="5">
        <v>0</v>
      </c>
      <c r="I3527" s="5">
        <v>0</v>
      </c>
      <c r="J3527" s="5">
        <v>0</v>
      </c>
      <c r="K3527" s="5">
        <v>0</v>
      </c>
      <c r="L3527" s="5">
        <v>0</v>
      </c>
      <c r="M3527" s="5">
        <v>0</v>
      </c>
      <c r="N3527" s="5">
        <v>0</v>
      </c>
      <c r="O3527" s="5" t="str">
        <f t="shared" ca="1" si="55"/>
        <v>Supplier 66</v>
      </c>
      <c r="P3527" s="20" t="str">
        <f ca="1">IFERROR(VLOOKUP(O3527,EMAILS!B:C,2,FALSE),"NOT FOUND IN EMAILS")</f>
        <v>supplier@gmail.com</v>
      </c>
      <c r="Q3527" t="str">
        <f ca="1">""&amp;IFERROR(VLOOKUP(O3527,EMAILS!B:D,3,FALSE),"NOT FOUND IN EMAILS")</f>
        <v/>
      </c>
      <c r="R3527" t="str">
        <f ca="1">""&amp;IFERROR(VLOOKUP(O3527,EMAILS!B:E,4,FALSE),"NO T FOUND IN EMAILS")</f>
        <v/>
      </c>
    </row>
    <row r="3528" spans="2:18" x14ac:dyDescent="0.25">
      <c r="B3528" s="5" t="s">
        <v>3530</v>
      </c>
      <c r="C3528" s="5" t="s">
        <v>7670</v>
      </c>
      <c r="D3528" s="5">
        <v>0</v>
      </c>
      <c r="E3528" s="5">
        <v>0</v>
      </c>
      <c r="F3528" s="5">
        <v>0</v>
      </c>
      <c r="G3528" s="5">
        <v>0</v>
      </c>
      <c r="H3528" s="5">
        <v>0</v>
      </c>
      <c r="I3528" s="5">
        <v>0</v>
      </c>
      <c r="J3528" s="5">
        <v>0</v>
      </c>
      <c r="K3528" s="5">
        <v>0</v>
      </c>
      <c r="L3528" s="5">
        <v>0</v>
      </c>
      <c r="M3528" s="5">
        <v>0</v>
      </c>
      <c r="N3528" s="5">
        <v>0</v>
      </c>
      <c r="O3528" s="5" t="str">
        <f t="shared" ca="1" si="55"/>
        <v>Supplier 193</v>
      </c>
      <c r="P3528" s="20" t="str">
        <f ca="1">IFERROR(VLOOKUP(O3528,EMAILS!B:C,2,FALSE),"NOT FOUND IN EMAILS")</f>
        <v>supplier@gmail.com</v>
      </c>
      <c r="Q3528" t="str">
        <f ca="1">""&amp;IFERROR(VLOOKUP(O3528,EMAILS!B:D,3,FALSE),"NOT FOUND IN EMAILS")</f>
        <v/>
      </c>
      <c r="R3528" t="str">
        <f ca="1">""&amp;IFERROR(VLOOKUP(O3528,EMAILS!B:E,4,FALSE),"NO T FOUND IN EMAILS")</f>
        <v/>
      </c>
    </row>
    <row r="3529" spans="2:18" x14ac:dyDescent="0.25">
      <c r="B3529" s="5" t="s">
        <v>3531</v>
      </c>
      <c r="C3529" s="5" t="s">
        <v>7671</v>
      </c>
      <c r="D3529" s="5">
        <v>0</v>
      </c>
      <c r="E3529" s="5">
        <v>0</v>
      </c>
      <c r="F3529" s="5">
        <v>0</v>
      </c>
      <c r="G3529" s="5">
        <v>0</v>
      </c>
      <c r="H3529" s="5">
        <v>0</v>
      </c>
      <c r="I3529" s="5">
        <v>0</v>
      </c>
      <c r="J3529" s="5">
        <v>0</v>
      </c>
      <c r="K3529" s="5">
        <v>0</v>
      </c>
      <c r="L3529" s="5">
        <v>0</v>
      </c>
      <c r="M3529" s="5">
        <v>0</v>
      </c>
      <c r="N3529" s="5">
        <v>0</v>
      </c>
      <c r="O3529" s="5" t="str">
        <f t="shared" ca="1" si="55"/>
        <v>Supplier 147</v>
      </c>
      <c r="P3529" s="20" t="str">
        <f ca="1">IFERROR(VLOOKUP(O3529,EMAILS!B:C,2,FALSE),"NOT FOUND IN EMAILS")</f>
        <v>supplier@gmail.com</v>
      </c>
      <c r="Q3529" t="str">
        <f ca="1">""&amp;IFERROR(VLOOKUP(O3529,EMAILS!B:D,3,FALSE),"NOT FOUND IN EMAILS")</f>
        <v/>
      </c>
      <c r="R3529" t="str">
        <f ca="1">""&amp;IFERROR(VLOOKUP(O3529,EMAILS!B:E,4,FALSE),"NO T FOUND IN EMAILS")</f>
        <v/>
      </c>
    </row>
    <row r="3530" spans="2:18" x14ac:dyDescent="0.25">
      <c r="B3530" s="5" t="s">
        <v>3532</v>
      </c>
      <c r="C3530" s="5" t="s">
        <v>7672</v>
      </c>
      <c r="D3530" s="5">
        <v>0</v>
      </c>
      <c r="E3530" s="5">
        <v>0</v>
      </c>
      <c r="F3530" s="5">
        <v>0</v>
      </c>
      <c r="G3530" s="5">
        <v>0</v>
      </c>
      <c r="H3530" s="5">
        <v>0</v>
      </c>
      <c r="I3530" s="5">
        <v>0</v>
      </c>
      <c r="J3530" s="5">
        <v>0</v>
      </c>
      <c r="K3530" s="5">
        <v>0</v>
      </c>
      <c r="L3530" s="5">
        <v>0</v>
      </c>
      <c r="M3530" s="5">
        <v>0</v>
      </c>
      <c r="N3530" s="5">
        <v>0</v>
      </c>
      <c r="O3530" s="5" t="str">
        <f t="shared" ca="1" si="55"/>
        <v>Supplier 36</v>
      </c>
      <c r="P3530" s="20" t="str">
        <f ca="1">IFERROR(VLOOKUP(O3530,EMAILS!B:C,2,FALSE),"NOT FOUND IN EMAILS")</f>
        <v>supplier@gmail.com</v>
      </c>
      <c r="Q3530" t="str">
        <f ca="1">""&amp;IFERROR(VLOOKUP(O3530,EMAILS!B:D,3,FALSE),"NOT FOUND IN EMAILS")</f>
        <v/>
      </c>
      <c r="R3530" t="str">
        <f ca="1">""&amp;IFERROR(VLOOKUP(O3530,EMAILS!B:E,4,FALSE),"NO T FOUND IN EMAILS")</f>
        <v/>
      </c>
    </row>
    <row r="3531" spans="2:18" x14ac:dyDescent="0.25">
      <c r="B3531" s="5" t="s">
        <v>3533</v>
      </c>
      <c r="C3531" s="5" t="s">
        <v>7673</v>
      </c>
      <c r="D3531" s="5">
        <v>0</v>
      </c>
      <c r="E3531" s="5">
        <v>0</v>
      </c>
      <c r="F3531" s="5">
        <v>0</v>
      </c>
      <c r="G3531" s="5">
        <v>0</v>
      </c>
      <c r="H3531" s="5">
        <v>0</v>
      </c>
      <c r="I3531" s="5">
        <v>0</v>
      </c>
      <c r="J3531" s="5">
        <v>0</v>
      </c>
      <c r="K3531" s="5">
        <v>0</v>
      </c>
      <c r="L3531" s="5">
        <v>0</v>
      </c>
      <c r="M3531" s="5">
        <v>0</v>
      </c>
      <c r="N3531" s="5">
        <v>0</v>
      </c>
      <c r="O3531" s="5" t="str">
        <f t="shared" ca="1" si="55"/>
        <v>Supplier 17</v>
      </c>
      <c r="P3531" s="20" t="str">
        <f ca="1">IFERROR(VLOOKUP(O3531,EMAILS!B:C,2,FALSE),"NOT FOUND IN EMAILS")</f>
        <v>supplier@gmail.com</v>
      </c>
      <c r="Q3531" t="str">
        <f ca="1">""&amp;IFERROR(VLOOKUP(O3531,EMAILS!B:D,3,FALSE),"NOT FOUND IN EMAILS")</f>
        <v>supplier_logistics@gmail.com</v>
      </c>
      <c r="R3531" t="str">
        <f ca="1">""&amp;IFERROR(VLOOKUP(O3531,EMAILS!B:E,4,FALSE),"NO T FOUND IN EMAILS")</f>
        <v/>
      </c>
    </row>
    <row r="3532" spans="2:18" x14ac:dyDescent="0.25">
      <c r="B3532" s="5" t="s">
        <v>3534</v>
      </c>
      <c r="C3532" s="5" t="s">
        <v>7674</v>
      </c>
      <c r="D3532" s="5">
        <v>0</v>
      </c>
      <c r="E3532" s="5">
        <v>0</v>
      </c>
      <c r="F3532" s="5">
        <v>0</v>
      </c>
      <c r="G3532" s="5">
        <v>0</v>
      </c>
      <c r="H3532" s="5">
        <v>0</v>
      </c>
      <c r="I3532" s="5">
        <v>0</v>
      </c>
      <c r="J3532" s="5">
        <v>0</v>
      </c>
      <c r="K3532" s="5">
        <v>0</v>
      </c>
      <c r="L3532" s="5">
        <v>0</v>
      </c>
      <c r="M3532" s="5">
        <v>0</v>
      </c>
      <c r="N3532" s="5">
        <v>0</v>
      </c>
      <c r="O3532" s="5" t="str">
        <f t="shared" ca="1" si="55"/>
        <v>Supplier 90</v>
      </c>
      <c r="P3532" s="20" t="str">
        <f ca="1">IFERROR(VLOOKUP(O3532,EMAILS!B:C,2,FALSE),"NOT FOUND IN EMAILS")</f>
        <v>supplier@gmail.com</v>
      </c>
      <c r="Q3532" t="str">
        <f ca="1">""&amp;IFERROR(VLOOKUP(O3532,EMAILS!B:D,3,FALSE),"NOT FOUND IN EMAILS")</f>
        <v/>
      </c>
      <c r="R3532" t="str">
        <f ca="1">""&amp;IFERROR(VLOOKUP(O3532,EMAILS!B:E,4,FALSE),"NO T FOUND IN EMAILS")</f>
        <v/>
      </c>
    </row>
    <row r="3533" spans="2:18" x14ac:dyDescent="0.25">
      <c r="B3533" s="5" t="s">
        <v>3535</v>
      </c>
      <c r="C3533" s="5" t="s">
        <v>7675</v>
      </c>
      <c r="D3533" s="5">
        <v>0</v>
      </c>
      <c r="E3533" s="5">
        <v>0</v>
      </c>
      <c r="F3533" s="5">
        <v>0</v>
      </c>
      <c r="G3533" s="5">
        <v>0</v>
      </c>
      <c r="H3533" s="5">
        <v>0</v>
      </c>
      <c r="I3533" s="5">
        <v>0</v>
      </c>
      <c r="J3533" s="5">
        <v>0</v>
      </c>
      <c r="K3533" s="5">
        <v>0</v>
      </c>
      <c r="L3533" s="5">
        <v>0</v>
      </c>
      <c r="M3533" s="5">
        <v>0</v>
      </c>
      <c r="N3533" s="5">
        <v>0</v>
      </c>
      <c r="O3533" s="5" t="str">
        <f t="shared" ca="1" si="55"/>
        <v>Supplier 132</v>
      </c>
      <c r="P3533" s="20" t="str">
        <f ca="1">IFERROR(VLOOKUP(O3533,EMAILS!B:C,2,FALSE),"NOT FOUND IN EMAILS")</f>
        <v>supplier@gmail.com</v>
      </c>
      <c r="Q3533" t="str">
        <f ca="1">""&amp;IFERROR(VLOOKUP(O3533,EMAILS!B:D,3,FALSE),"NOT FOUND IN EMAILS")</f>
        <v/>
      </c>
      <c r="R3533" t="str">
        <f ca="1">""&amp;IFERROR(VLOOKUP(O3533,EMAILS!B:E,4,FALSE),"NO T FOUND IN EMAILS")</f>
        <v/>
      </c>
    </row>
    <row r="3534" spans="2:18" x14ac:dyDescent="0.25">
      <c r="B3534" s="5" t="s">
        <v>3536</v>
      </c>
      <c r="C3534" s="5" t="s">
        <v>7676</v>
      </c>
      <c r="D3534" s="5">
        <v>0</v>
      </c>
      <c r="E3534" s="5">
        <v>0</v>
      </c>
      <c r="F3534" s="5">
        <v>0</v>
      </c>
      <c r="G3534" s="5">
        <v>0</v>
      </c>
      <c r="H3534" s="5">
        <v>0</v>
      </c>
      <c r="I3534" s="5">
        <v>0</v>
      </c>
      <c r="J3534" s="5">
        <v>0</v>
      </c>
      <c r="K3534" s="5">
        <v>0</v>
      </c>
      <c r="L3534" s="5">
        <v>0</v>
      </c>
      <c r="M3534" s="5">
        <v>0</v>
      </c>
      <c r="N3534" s="5">
        <v>0</v>
      </c>
      <c r="O3534" s="5" t="str">
        <f t="shared" ca="1" si="55"/>
        <v>Supplier 125</v>
      </c>
      <c r="P3534" s="20" t="str">
        <f ca="1">IFERROR(VLOOKUP(O3534,EMAILS!B:C,2,FALSE),"NOT FOUND IN EMAILS")</f>
        <v>supplier@gmail.com</v>
      </c>
      <c r="Q3534" t="str">
        <f ca="1">""&amp;IFERROR(VLOOKUP(O3534,EMAILS!B:D,3,FALSE),"NOT FOUND IN EMAILS")</f>
        <v/>
      </c>
      <c r="R3534" t="str">
        <f ca="1">""&amp;IFERROR(VLOOKUP(O3534,EMAILS!B:E,4,FALSE),"NO T FOUND IN EMAILS")</f>
        <v/>
      </c>
    </row>
    <row r="3535" spans="2:18" x14ac:dyDescent="0.25">
      <c r="B3535" s="5" t="s">
        <v>3537</v>
      </c>
      <c r="C3535" s="5" t="s">
        <v>7677</v>
      </c>
      <c r="D3535" s="5">
        <v>0</v>
      </c>
      <c r="E3535" s="5">
        <v>0</v>
      </c>
      <c r="F3535" s="5">
        <v>0</v>
      </c>
      <c r="G3535" s="5">
        <v>0</v>
      </c>
      <c r="H3535" s="5">
        <v>0</v>
      </c>
      <c r="I3535" s="5">
        <v>0</v>
      </c>
      <c r="J3535" s="5">
        <v>0</v>
      </c>
      <c r="K3535" s="5">
        <v>0</v>
      </c>
      <c r="L3535" s="5">
        <v>0</v>
      </c>
      <c r="M3535" s="5">
        <v>0</v>
      </c>
      <c r="N3535" s="5">
        <v>0</v>
      </c>
      <c r="O3535" s="5" t="str">
        <f t="shared" ca="1" si="55"/>
        <v>Supplier 132</v>
      </c>
      <c r="P3535" s="20" t="str">
        <f ca="1">IFERROR(VLOOKUP(O3535,EMAILS!B:C,2,FALSE),"NOT FOUND IN EMAILS")</f>
        <v>supplier@gmail.com</v>
      </c>
      <c r="Q3535" t="str">
        <f ca="1">""&amp;IFERROR(VLOOKUP(O3535,EMAILS!B:D,3,FALSE),"NOT FOUND IN EMAILS")</f>
        <v/>
      </c>
      <c r="R3535" t="str">
        <f ca="1">""&amp;IFERROR(VLOOKUP(O3535,EMAILS!B:E,4,FALSE),"NO T FOUND IN EMAILS")</f>
        <v/>
      </c>
    </row>
    <row r="3536" spans="2:18" x14ac:dyDescent="0.25">
      <c r="B3536" s="5" t="s">
        <v>3538</v>
      </c>
      <c r="C3536" s="5" t="s">
        <v>7678</v>
      </c>
      <c r="D3536" s="5">
        <v>0</v>
      </c>
      <c r="E3536" s="5">
        <v>0</v>
      </c>
      <c r="F3536" s="5">
        <v>0</v>
      </c>
      <c r="G3536" s="5">
        <v>0</v>
      </c>
      <c r="H3536" s="5">
        <v>0</v>
      </c>
      <c r="I3536" s="5">
        <v>0</v>
      </c>
      <c r="J3536" s="5">
        <v>0</v>
      </c>
      <c r="K3536" s="5">
        <v>0</v>
      </c>
      <c r="L3536" s="5">
        <v>0</v>
      </c>
      <c r="M3536" s="5">
        <v>0</v>
      </c>
      <c r="N3536" s="5">
        <v>0</v>
      </c>
      <c r="O3536" s="5" t="str">
        <f t="shared" ca="1" si="55"/>
        <v>Supplier 21</v>
      </c>
      <c r="P3536" s="20" t="str">
        <f ca="1">IFERROR(VLOOKUP(O3536,EMAILS!B:C,2,FALSE),"NOT FOUND IN EMAILS")</f>
        <v>supplier@gmail.com</v>
      </c>
      <c r="Q3536" t="str">
        <f ca="1">""&amp;IFERROR(VLOOKUP(O3536,EMAILS!B:D,3,FALSE),"NOT FOUND IN EMAILS")</f>
        <v/>
      </c>
      <c r="R3536" t="str">
        <f ca="1">""&amp;IFERROR(VLOOKUP(O3536,EMAILS!B:E,4,FALSE),"NO T FOUND IN EMAILS")</f>
        <v/>
      </c>
    </row>
    <row r="3537" spans="2:18" x14ac:dyDescent="0.25">
      <c r="B3537" s="5" t="s">
        <v>3539</v>
      </c>
      <c r="C3537" s="5" t="s">
        <v>7679</v>
      </c>
      <c r="D3537" s="5">
        <v>0</v>
      </c>
      <c r="E3537" s="5">
        <v>0</v>
      </c>
      <c r="F3537" s="5">
        <v>0</v>
      </c>
      <c r="G3537" s="5">
        <v>0</v>
      </c>
      <c r="H3537" s="5">
        <v>0</v>
      </c>
      <c r="I3537" s="5">
        <v>0</v>
      </c>
      <c r="J3537" s="5">
        <v>0</v>
      </c>
      <c r="K3537" s="5">
        <v>0</v>
      </c>
      <c r="L3537" s="5">
        <v>0</v>
      </c>
      <c r="M3537" s="5">
        <v>0</v>
      </c>
      <c r="N3537" s="5">
        <v>0</v>
      </c>
      <c r="O3537" s="5" t="str">
        <f t="shared" ca="1" si="55"/>
        <v>Supplier 135</v>
      </c>
      <c r="P3537" s="20" t="str">
        <f ca="1">IFERROR(VLOOKUP(O3537,EMAILS!B:C,2,FALSE),"NOT FOUND IN EMAILS")</f>
        <v>supplier@gmail.com</v>
      </c>
      <c r="Q3537" t="str">
        <f ca="1">""&amp;IFERROR(VLOOKUP(O3537,EMAILS!B:D,3,FALSE),"NOT FOUND IN EMAILS")</f>
        <v/>
      </c>
      <c r="R3537" t="str">
        <f ca="1">""&amp;IFERROR(VLOOKUP(O3537,EMAILS!B:E,4,FALSE),"NO T FOUND IN EMAILS")</f>
        <v/>
      </c>
    </row>
    <row r="3538" spans="2:18" x14ac:dyDescent="0.25">
      <c r="B3538" s="5" t="s">
        <v>3540</v>
      </c>
      <c r="C3538" s="5" t="s">
        <v>7680</v>
      </c>
      <c r="D3538" s="5">
        <v>0</v>
      </c>
      <c r="E3538" s="5">
        <v>0</v>
      </c>
      <c r="F3538" s="5">
        <v>0</v>
      </c>
      <c r="G3538" s="5">
        <v>0</v>
      </c>
      <c r="H3538" s="5">
        <v>0</v>
      </c>
      <c r="I3538" s="5">
        <v>0</v>
      </c>
      <c r="J3538" s="5">
        <v>0</v>
      </c>
      <c r="K3538" s="5">
        <v>0</v>
      </c>
      <c r="L3538" s="5">
        <v>0</v>
      </c>
      <c r="M3538" s="5">
        <v>0</v>
      </c>
      <c r="N3538" s="5">
        <v>0</v>
      </c>
      <c r="O3538" s="5" t="str">
        <f t="shared" ca="1" si="55"/>
        <v>Supplier 69</v>
      </c>
      <c r="P3538" s="20" t="str">
        <f ca="1">IFERROR(VLOOKUP(O3538,EMAILS!B:C,2,FALSE),"NOT FOUND IN EMAILS")</f>
        <v>supplier@gmail.com</v>
      </c>
      <c r="Q3538" t="str">
        <f ca="1">""&amp;IFERROR(VLOOKUP(O3538,EMAILS!B:D,3,FALSE),"NOT FOUND IN EMAILS")</f>
        <v/>
      </c>
      <c r="R3538" t="str">
        <f ca="1">""&amp;IFERROR(VLOOKUP(O3538,EMAILS!B:E,4,FALSE),"NO T FOUND IN EMAILS")</f>
        <v/>
      </c>
    </row>
    <row r="3539" spans="2:18" x14ac:dyDescent="0.25">
      <c r="B3539" s="5" t="s">
        <v>3541</v>
      </c>
      <c r="C3539" s="5" t="s">
        <v>7681</v>
      </c>
      <c r="D3539" s="5">
        <v>0</v>
      </c>
      <c r="E3539" s="5">
        <v>0</v>
      </c>
      <c r="F3539" s="5">
        <v>0</v>
      </c>
      <c r="G3539" s="5">
        <v>0</v>
      </c>
      <c r="H3539" s="5">
        <v>0</v>
      </c>
      <c r="I3539" s="5">
        <v>0</v>
      </c>
      <c r="J3539" s="5">
        <v>0</v>
      </c>
      <c r="K3539" s="5">
        <v>0</v>
      </c>
      <c r="L3539" s="5">
        <v>0</v>
      </c>
      <c r="M3539" s="5">
        <v>0</v>
      </c>
      <c r="N3539" s="5">
        <v>0</v>
      </c>
      <c r="O3539" s="5" t="str">
        <f t="shared" ca="1" si="55"/>
        <v>Supplier 194</v>
      </c>
      <c r="P3539" s="20" t="str">
        <f ca="1">IFERROR(VLOOKUP(O3539,EMAILS!B:C,2,FALSE),"NOT FOUND IN EMAILS")</f>
        <v>supplier@gmail.com</v>
      </c>
      <c r="Q3539" t="str">
        <f ca="1">""&amp;IFERROR(VLOOKUP(O3539,EMAILS!B:D,3,FALSE),"NOT FOUND IN EMAILS")</f>
        <v/>
      </c>
      <c r="R3539" t="str">
        <f ca="1">""&amp;IFERROR(VLOOKUP(O3539,EMAILS!B:E,4,FALSE),"NO T FOUND IN EMAILS")</f>
        <v/>
      </c>
    </row>
    <row r="3540" spans="2:18" x14ac:dyDescent="0.25">
      <c r="B3540" s="5" t="s">
        <v>3542</v>
      </c>
      <c r="C3540" s="5" t="s">
        <v>7682</v>
      </c>
      <c r="D3540" s="5">
        <v>0</v>
      </c>
      <c r="E3540" s="5">
        <v>0</v>
      </c>
      <c r="F3540" s="5">
        <v>0</v>
      </c>
      <c r="G3540" s="5">
        <v>0</v>
      </c>
      <c r="H3540" s="5">
        <v>0</v>
      </c>
      <c r="I3540" s="5">
        <v>0</v>
      </c>
      <c r="J3540" s="5">
        <v>0</v>
      </c>
      <c r="K3540" s="5">
        <v>0</v>
      </c>
      <c r="L3540" s="5">
        <v>0</v>
      </c>
      <c r="M3540" s="5">
        <v>0</v>
      </c>
      <c r="N3540" s="5">
        <v>0</v>
      </c>
      <c r="O3540" s="5" t="str">
        <f t="shared" ca="1" si="55"/>
        <v>Supplier 177</v>
      </c>
      <c r="P3540" s="20" t="str">
        <f ca="1">IFERROR(VLOOKUP(O3540,EMAILS!B:C,2,FALSE),"NOT FOUND IN EMAILS")</f>
        <v>supplier@gmail.com</v>
      </c>
      <c r="Q3540" t="str">
        <f ca="1">""&amp;IFERROR(VLOOKUP(O3540,EMAILS!B:D,3,FALSE),"NOT FOUND IN EMAILS")</f>
        <v/>
      </c>
      <c r="R3540" t="str">
        <f ca="1">""&amp;IFERROR(VLOOKUP(O3540,EMAILS!B:E,4,FALSE),"NO T FOUND IN EMAILS")</f>
        <v/>
      </c>
    </row>
    <row r="3541" spans="2:18" x14ac:dyDescent="0.25">
      <c r="B3541" s="5" t="s">
        <v>3543</v>
      </c>
      <c r="C3541" s="5" t="s">
        <v>7683</v>
      </c>
      <c r="D3541" s="5">
        <v>0</v>
      </c>
      <c r="E3541" s="5">
        <v>0</v>
      </c>
      <c r="F3541" s="5">
        <v>0</v>
      </c>
      <c r="G3541" s="5">
        <v>0</v>
      </c>
      <c r="H3541" s="5">
        <v>0</v>
      </c>
      <c r="I3541" s="5">
        <v>0</v>
      </c>
      <c r="J3541" s="5">
        <v>0</v>
      </c>
      <c r="K3541" s="5">
        <v>0</v>
      </c>
      <c r="L3541" s="5">
        <v>0</v>
      </c>
      <c r="M3541" s="5">
        <v>0</v>
      </c>
      <c r="N3541" s="5">
        <v>0</v>
      </c>
      <c r="O3541" s="5" t="str">
        <f t="shared" ca="1" si="55"/>
        <v>Supplier 80</v>
      </c>
      <c r="P3541" s="20" t="str">
        <f ca="1">IFERROR(VLOOKUP(O3541,EMAILS!B:C,2,FALSE),"NOT FOUND IN EMAILS")</f>
        <v>supplier@gmail.com</v>
      </c>
      <c r="Q3541" t="str">
        <f ca="1">""&amp;IFERROR(VLOOKUP(O3541,EMAILS!B:D,3,FALSE),"NOT FOUND IN EMAILS")</f>
        <v/>
      </c>
      <c r="R3541" t="str">
        <f ca="1">""&amp;IFERROR(VLOOKUP(O3541,EMAILS!B:E,4,FALSE),"NO T FOUND IN EMAILS")</f>
        <v/>
      </c>
    </row>
    <row r="3542" spans="2:18" x14ac:dyDescent="0.25">
      <c r="B3542" s="5" t="s">
        <v>3544</v>
      </c>
      <c r="C3542" s="5" t="s">
        <v>7684</v>
      </c>
      <c r="D3542" s="5">
        <v>0</v>
      </c>
      <c r="E3542" s="5">
        <v>0</v>
      </c>
      <c r="F3542" s="5">
        <v>0</v>
      </c>
      <c r="G3542" s="5">
        <v>0</v>
      </c>
      <c r="H3542" s="5">
        <v>0</v>
      </c>
      <c r="I3542" s="5">
        <v>0</v>
      </c>
      <c r="J3542" s="5">
        <v>0</v>
      </c>
      <c r="K3542" s="5">
        <v>0</v>
      </c>
      <c r="L3542" s="5">
        <v>0</v>
      </c>
      <c r="M3542" s="5">
        <v>0</v>
      </c>
      <c r="N3542" s="5">
        <v>0</v>
      </c>
      <c r="O3542" s="5" t="str">
        <f t="shared" ca="1" si="55"/>
        <v>Supplier 30</v>
      </c>
      <c r="P3542" s="20" t="str">
        <f ca="1">IFERROR(VLOOKUP(O3542,EMAILS!B:C,2,FALSE),"NOT FOUND IN EMAILS")</f>
        <v>supplier@gmail.com</v>
      </c>
      <c r="Q3542" t="str">
        <f ca="1">""&amp;IFERROR(VLOOKUP(O3542,EMAILS!B:D,3,FALSE),"NOT FOUND IN EMAILS")</f>
        <v/>
      </c>
      <c r="R3542" t="str">
        <f ca="1">""&amp;IFERROR(VLOOKUP(O3542,EMAILS!B:E,4,FALSE),"NO T FOUND IN EMAILS")</f>
        <v/>
      </c>
    </row>
    <row r="3543" spans="2:18" x14ac:dyDescent="0.25">
      <c r="B3543" s="5" t="s">
        <v>3545</v>
      </c>
      <c r="C3543" s="5" t="s">
        <v>7685</v>
      </c>
      <c r="D3543" s="5">
        <v>0</v>
      </c>
      <c r="E3543" s="5">
        <v>0</v>
      </c>
      <c r="F3543" s="5">
        <v>0</v>
      </c>
      <c r="G3543" s="5">
        <v>0</v>
      </c>
      <c r="H3543" s="5">
        <v>0</v>
      </c>
      <c r="I3543" s="5">
        <v>0</v>
      </c>
      <c r="J3543" s="5">
        <v>0</v>
      </c>
      <c r="K3543" s="5">
        <v>0</v>
      </c>
      <c r="L3543" s="5">
        <v>0</v>
      </c>
      <c r="M3543" s="5">
        <v>0</v>
      </c>
      <c r="N3543" s="5">
        <v>0</v>
      </c>
      <c r="O3543" s="5" t="str">
        <f t="shared" ca="1" si="55"/>
        <v>Supplier 79</v>
      </c>
      <c r="P3543" s="20" t="str">
        <f ca="1">IFERROR(VLOOKUP(O3543,EMAILS!B:C,2,FALSE),"NOT FOUND IN EMAILS")</f>
        <v>supplier@gmail.com</v>
      </c>
      <c r="Q3543" t="str">
        <f ca="1">""&amp;IFERROR(VLOOKUP(O3543,EMAILS!B:D,3,FALSE),"NOT FOUND IN EMAILS")</f>
        <v/>
      </c>
      <c r="R3543" t="str">
        <f ca="1">""&amp;IFERROR(VLOOKUP(O3543,EMAILS!B:E,4,FALSE),"NO T FOUND IN EMAILS")</f>
        <v/>
      </c>
    </row>
    <row r="3544" spans="2:18" x14ac:dyDescent="0.25">
      <c r="B3544" s="5" t="s">
        <v>3546</v>
      </c>
      <c r="C3544" s="5" t="s">
        <v>7686</v>
      </c>
      <c r="D3544" s="5">
        <v>0</v>
      </c>
      <c r="E3544" s="5">
        <v>0</v>
      </c>
      <c r="F3544" s="5">
        <v>0</v>
      </c>
      <c r="G3544" s="5">
        <v>0</v>
      </c>
      <c r="H3544" s="5">
        <v>0</v>
      </c>
      <c r="I3544" s="5">
        <v>0</v>
      </c>
      <c r="J3544" s="5">
        <v>0</v>
      </c>
      <c r="K3544" s="5">
        <v>0</v>
      </c>
      <c r="L3544" s="5">
        <v>0</v>
      </c>
      <c r="M3544" s="5">
        <v>0</v>
      </c>
      <c r="N3544" s="5">
        <v>0</v>
      </c>
      <c r="O3544" s="5" t="str">
        <f t="shared" ca="1" si="55"/>
        <v>Supplier 171</v>
      </c>
      <c r="P3544" s="20" t="str">
        <f ca="1">IFERROR(VLOOKUP(O3544,EMAILS!B:C,2,FALSE),"NOT FOUND IN EMAILS")</f>
        <v>supplier@gmail.com</v>
      </c>
      <c r="Q3544" t="str">
        <f ca="1">""&amp;IFERROR(VLOOKUP(O3544,EMAILS!B:D,3,FALSE),"NOT FOUND IN EMAILS")</f>
        <v/>
      </c>
      <c r="R3544" t="str">
        <f ca="1">""&amp;IFERROR(VLOOKUP(O3544,EMAILS!B:E,4,FALSE),"NO T FOUND IN EMAILS")</f>
        <v/>
      </c>
    </row>
    <row r="3545" spans="2:18" x14ac:dyDescent="0.25">
      <c r="B3545" s="5" t="s">
        <v>3547</v>
      </c>
      <c r="C3545" s="5" t="s">
        <v>7687</v>
      </c>
      <c r="D3545" s="5">
        <v>0</v>
      </c>
      <c r="E3545" s="5">
        <v>0</v>
      </c>
      <c r="F3545" s="5">
        <v>0</v>
      </c>
      <c r="G3545" s="5">
        <v>0</v>
      </c>
      <c r="H3545" s="5">
        <v>0</v>
      </c>
      <c r="I3545" s="5">
        <v>0</v>
      </c>
      <c r="J3545" s="5">
        <v>0</v>
      </c>
      <c r="K3545" s="5">
        <v>0</v>
      </c>
      <c r="L3545" s="5">
        <v>0</v>
      </c>
      <c r="M3545" s="5">
        <v>0</v>
      </c>
      <c r="N3545" s="5">
        <v>0</v>
      </c>
      <c r="O3545" s="5" t="str">
        <f t="shared" ca="1" si="55"/>
        <v>Supplier 88</v>
      </c>
      <c r="P3545" s="20" t="str">
        <f ca="1">IFERROR(VLOOKUP(O3545,EMAILS!B:C,2,FALSE),"NOT FOUND IN EMAILS")</f>
        <v>supplier@gmail.com</v>
      </c>
      <c r="Q3545" t="str">
        <f ca="1">""&amp;IFERROR(VLOOKUP(O3545,EMAILS!B:D,3,FALSE),"NOT FOUND IN EMAILS")</f>
        <v/>
      </c>
      <c r="R3545" t="str">
        <f ca="1">""&amp;IFERROR(VLOOKUP(O3545,EMAILS!B:E,4,FALSE),"NO T FOUND IN EMAILS")</f>
        <v/>
      </c>
    </row>
    <row r="3546" spans="2:18" x14ac:dyDescent="0.25">
      <c r="B3546" s="5" t="s">
        <v>3548</v>
      </c>
      <c r="C3546" s="5" t="s">
        <v>7688</v>
      </c>
      <c r="D3546" s="5">
        <v>0</v>
      </c>
      <c r="E3546" s="5">
        <v>0</v>
      </c>
      <c r="F3546" s="5">
        <v>0</v>
      </c>
      <c r="G3546" s="5">
        <v>0</v>
      </c>
      <c r="H3546" s="5">
        <v>0</v>
      </c>
      <c r="I3546" s="5">
        <v>0</v>
      </c>
      <c r="J3546" s="5">
        <v>0</v>
      </c>
      <c r="K3546" s="5">
        <v>0</v>
      </c>
      <c r="L3546" s="5">
        <v>0</v>
      </c>
      <c r="M3546" s="5">
        <v>0</v>
      </c>
      <c r="N3546" s="5">
        <v>0</v>
      </c>
      <c r="O3546" s="5" t="str">
        <f t="shared" ca="1" si="55"/>
        <v>Supplier 95</v>
      </c>
      <c r="P3546" s="20" t="str">
        <f ca="1">IFERROR(VLOOKUP(O3546,EMAILS!B:C,2,FALSE),"NOT FOUND IN EMAILS")</f>
        <v>supplier@gmail.com</v>
      </c>
      <c r="Q3546" t="str">
        <f ca="1">""&amp;IFERROR(VLOOKUP(O3546,EMAILS!B:D,3,FALSE),"NOT FOUND IN EMAILS")</f>
        <v/>
      </c>
      <c r="R3546" t="str">
        <f ca="1">""&amp;IFERROR(VLOOKUP(O3546,EMAILS!B:E,4,FALSE),"NO T FOUND IN EMAILS")</f>
        <v/>
      </c>
    </row>
    <row r="3547" spans="2:18" x14ac:dyDescent="0.25">
      <c r="B3547" s="5" t="s">
        <v>3549</v>
      </c>
      <c r="C3547" s="5" t="s">
        <v>7689</v>
      </c>
      <c r="D3547" s="5">
        <v>0</v>
      </c>
      <c r="E3547" s="5">
        <v>0</v>
      </c>
      <c r="F3547" s="5">
        <v>0</v>
      </c>
      <c r="G3547" s="5">
        <v>0</v>
      </c>
      <c r="H3547" s="5">
        <v>0</v>
      </c>
      <c r="I3547" s="5">
        <v>0</v>
      </c>
      <c r="J3547" s="5">
        <v>0</v>
      </c>
      <c r="K3547" s="5">
        <v>0</v>
      </c>
      <c r="L3547" s="5">
        <v>0</v>
      </c>
      <c r="M3547" s="5">
        <v>0</v>
      </c>
      <c r="N3547" s="5">
        <v>0</v>
      </c>
      <c r="O3547" s="5" t="str">
        <f t="shared" ca="1" si="55"/>
        <v>Supplier 72</v>
      </c>
      <c r="P3547" s="20" t="str">
        <f ca="1">IFERROR(VLOOKUP(O3547,EMAILS!B:C,2,FALSE),"NOT FOUND IN EMAILS")</f>
        <v>supplier@gmail.com</v>
      </c>
      <c r="Q3547" t="str">
        <f ca="1">""&amp;IFERROR(VLOOKUP(O3547,EMAILS!B:D,3,FALSE),"NOT FOUND IN EMAILS")</f>
        <v/>
      </c>
      <c r="R3547" t="str">
        <f ca="1">""&amp;IFERROR(VLOOKUP(O3547,EMAILS!B:E,4,FALSE),"NO T FOUND IN EMAILS")</f>
        <v/>
      </c>
    </row>
    <row r="3548" spans="2:18" x14ac:dyDescent="0.25">
      <c r="B3548" s="5" t="s">
        <v>3550</v>
      </c>
      <c r="C3548" s="5" t="s">
        <v>7690</v>
      </c>
      <c r="D3548" s="5">
        <v>0</v>
      </c>
      <c r="E3548" s="5">
        <v>0</v>
      </c>
      <c r="F3548" s="5">
        <v>0</v>
      </c>
      <c r="G3548" s="5">
        <v>0</v>
      </c>
      <c r="H3548" s="5">
        <v>0</v>
      </c>
      <c r="I3548" s="5">
        <v>0</v>
      </c>
      <c r="J3548" s="5">
        <v>0</v>
      </c>
      <c r="K3548" s="5">
        <v>0</v>
      </c>
      <c r="L3548" s="5">
        <v>0</v>
      </c>
      <c r="M3548" s="5">
        <v>0</v>
      </c>
      <c r="N3548" s="5">
        <v>0</v>
      </c>
      <c r="O3548" s="5" t="str">
        <f t="shared" ca="1" si="55"/>
        <v>Supplier 34</v>
      </c>
      <c r="P3548" s="20" t="str">
        <f ca="1">IFERROR(VLOOKUP(O3548,EMAILS!B:C,2,FALSE),"NOT FOUND IN EMAILS")</f>
        <v>supplier@gmail.com</v>
      </c>
      <c r="Q3548" t="str">
        <f ca="1">""&amp;IFERROR(VLOOKUP(O3548,EMAILS!B:D,3,FALSE),"NOT FOUND IN EMAILS")</f>
        <v/>
      </c>
      <c r="R3548" t="str">
        <f ca="1">""&amp;IFERROR(VLOOKUP(O3548,EMAILS!B:E,4,FALSE),"NO T FOUND IN EMAILS")</f>
        <v/>
      </c>
    </row>
    <row r="3549" spans="2:18" x14ac:dyDescent="0.25">
      <c r="B3549" s="5" t="s">
        <v>3551</v>
      </c>
      <c r="C3549" s="5" t="s">
        <v>7691</v>
      </c>
      <c r="D3549" s="5">
        <v>0</v>
      </c>
      <c r="E3549" s="5">
        <v>0</v>
      </c>
      <c r="F3549" s="5">
        <v>0</v>
      </c>
      <c r="G3549" s="5">
        <v>0</v>
      </c>
      <c r="H3549" s="5">
        <v>0</v>
      </c>
      <c r="I3549" s="5">
        <v>0</v>
      </c>
      <c r="J3549" s="5">
        <v>0</v>
      </c>
      <c r="K3549" s="5">
        <v>0</v>
      </c>
      <c r="L3549" s="5">
        <v>0</v>
      </c>
      <c r="M3549" s="5">
        <v>0</v>
      </c>
      <c r="N3549" s="5">
        <v>0</v>
      </c>
      <c r="O3549" s="5" t="str">
        <f t="shared" ca="1" si="55"/>
        <v>Supplier 127</v>
      </c>
      <c r="P3549" s="20" t="str">
        <f ca="1">IFERROR(VLOOKUP(O3549,EMAILS!B:C,2,FALSE),"NOT FOUND IN EMAILS")</f>
        <v>supplier@gmail.com</v>
      </c>
      <c r="Q3549" t="str">
        <f ca="1">""&amp;IFERROR(VLOOKUP(O3549,EMAILS!B:D,3,FALSE),"NOT FOUND IN EMAILS")</f>
        <v/>
      </c>
      <c r="R3549" t="str">
        <f ca="1">""&amp;IFERROR(VLOOKUP(O3549,EMAILS!B:E,4,FALSE),"NO T FOUND IN EMAILS")</f>
        <v/>
      </c>
    </row>
    <row r="3550" spans="2:18" x14ac:dyDescent="0.25">
      <c r="B3550" s="5" t="s">
        <v>3552</v>
      </c>
      <c r="C3550" s="5" t="s">
        <v>7692</v>
      </c>
      <c r="D3550" s="5">
        <v>0</v>
      </c>
      <c r="E3550" s="5">
        <v>0</v>
      </c>
      <c r="F3550" s="5">
        <v>0</v>
      </c>
      <c r="G3550" s="5">
        <v>0</v>
      </c>
      <c r="H3550" s="5">
        <v>0</v>
      </c>
      <c r="I3550" s="5">
        <v>0</v>
      </c>
      <c r="J3550" s="5">
        <v>0</v>
      </c>
      <c r="K3550" s="5">
        <v>0</v>
      </c>
      <c r="L3550" s="5">
        <v>0</v>
      </c>
      <c r="M3550" s="5">
        <v>0</v>
      </c>
      <c r="N3550" s="5">
        <v>0</v>
      </c>
      <c r="O3550" s="5" t="str">
        <f t="shared" ca="1" si="55"/>
        <v>Supplier 77</v>
      </c>
      <c r="P3550" s="20" t="str">
        <f ca="1">IFERROR(VLOOKUP(O3550,EMAILS!B:C,2,FALSE),"NOT FOUND IN EMAILS")</f>
        <v>supplier@gmail.com</v>
      </c>
      <c r="Q3550" t="str">
        <f ca="1">""&amp;IFERROR(VLOOKUP(O3550,EMAILS!B:D,3,FALSE),"NOT FOUND IN EMAILS")</f>
        <v/>
      </c>
      <c r="R3550" t="str">
        <f ca="1">""&amp;IFERROR(VLOOKUP(O3550,EMAILS!B:E,4,FALSE),"NO T FOUND IN EMAILS")</f>
        <v/>
      </c>
    </row>
    <row r="3551" spans="2:18" x14ac:dyDescent="0.25">
      <c r="B3551" s="5" t="s">
        <v>3553</v>
      </c>
      <c r="C3551" s="5" t="s">
        <v>7693</v>
      </c>
      <c r="D3551" s="5">
        <v>0</v>
      </c>
      <c r="E3551" s="5">
        <v>0</v>
      </c>
      <c r="F3551" s="5">
        <v>0</v>
      </c>
      <c r="G3551" s="5">
        <v>0</v>
      </c>
      <c r="H3551" s="5">
        <v>0</v>
      </c>
      <c r="I3551" s="5">
        <v>0</v>
      </c>
      <c r="J3551" s="5">
        <v>0</v>
      </c>
      <c r="K3551" s="5">
        <v>0</v>
      </c>
      <c r="L3551" s="5">
        <v>0</v>
      </c>
      <c r="M3551" s="5">
        <v>0</v>
      </c>
      <c r="N3551" s="5">
        <v>0</v>
      </c>
      <c r="O3551" s="5" t="str">
        <f t="shared" ca="1" si="55"/>
        <v>Supplier 149</v>
      </c>
      <c r="P3551" s="20" t="str">
        <f ca="1">IFERROR(VLOOKUP(O3551,EMAILS!B:C,2,FALSE),"NOT FOUND IN EMAILS")</f>
        <v>supplier@gmail.com</v>
      </c>
      <c r="Q3551" t="str">
        <f ca="1">""&amp;IFERROR(VLOOKUP(O3551,EMAILS!B:D,3,FALSE),"NOT FOUND IN EMAILS")</f>
        <v/>
      </c>
      <c r="R3551" t="str">
        <f ca="1">""&amp;IFERROR(VLOOKUP(O3551,EMAILS!B:E,4,FALSE),"NO T FOUND IN EMAILS")</f>
        <v/>
      </c>
    </row>
    <row r="3552" spans="2:18" x14ac:dyDescent="0.25">
      <c r="B3552" s="5" t="s">
        <v>3554</v>
      </c>
      <c r="C3552" s="5" t="s">
        <v>7694</v>
      </c>
      <c r="D3552" s="5">
        <v>0</v>
      </c>
      <c r="E3552" s="5">
        <v>0</v>
      </c>
      <c r="F3552" s="5">
        <v>0</v>
      </c>
      <c r="G3552" s="5">
        <v>0</v>
      </c>
      <c r="H3552" s="5">
        <v>0</v>
      </c>
      <c r="I3552" s="5">
        <v>0</v>
      </c>
      <c r="J3552" s="5">
        <v>0</v>
      </c>
      <c r="K3552" s="5">
        <v>0</v>
      </c>
      <c r="L3552" s="5">
        <v>0</v>
      </c>
      <c r="M3552" s="5">
        <v>0</v>
      </c>
      <c r="N3552" s="5">
        <v>0</v>
      </c>
      <c r="O3552" s="5" t="str">
        <f t="shared" ca="1" si="55"/>
        <v>Supplier 38</v>
      </c>
      <c r="P3552" s="20" t="str">
        <f ca="1">IFERROR(VLOOKUP(O3552,EMAILS!B:C,2,FALSE),"NOT FOUND IN EMAILS")</f>
        <v>supplier@gmail.com</v>
      </c>
      <c r="Q3552" t="str">
        <f ca="1">""&amp;IFERROR(VLOOKUP(O3552,EMAILS!B:D,3,FALSE),"NOT FOUND IN EMAILS")</f>
        <v/>
      </c>
      <c r="R3552" t="str">
        <f ca="1">""&amp;IFERROR(VLOOKUP(O3552,EMAILS!B:E,4,FALSE),"NO T FOUND IN EMAILS")</f>
        <v/>
      </c>
    </row>
    <row r="3553" spans="2:18" x14ac:dyDescent="0.25">
      <c r="B3553" s="5" t="s">
        <v>3555</v>
      </c>
      <c r="C3553" s="5" t="s">
        <v>7695</v>
      </c>
      <c r="D3553" s="5">
        <v>0</v>
      </c>
      <c r="E3553" s="5">
        <v>0</v>
      </c>
      <c r="F3553" s="5">
        <v>0</v>
      </c>
      <c r="G3553" s="5">
        <v>0</v>
      </c>
      <c r="H3553" s="5">
        <v>0</v>
      </c>
      <c r="I3553" s="5">
        <v>0</v>
      </c>
      <c r="J3553" s="5">
        <v>0</v>
      </c>
      <c r="K3553" s="5">
        <v>0</v>
      </c>
      <c r="L3553" s="5">
        <v>0</v>
      </c>
      <c r="M3553" s="5">
        <v>0</v>
      </c>
      <c r="N3553" s="5">
        <v>0</v>
      </c>
      <c r="O3553" s="5" t="str">
        <f t="shared" ca="1" si="55"/>
        <v>Supplier 63</v>
      </c>
      <c r="P3553" s="20" t="str">
        <f ca="1">IFERROR(VLOOKUP(O3553,EMAILS!B:C,2,FALSE),"NOT FOUND IN EMAILS")</f>
        <v>supplier@gmail.com</v>
      </c>
      <c r="Q3553" t="str">
        <f ca="1">""&amp;IFERROR(VLOOKUP(O3553,EMAILS!B:D,3,FALSE),"NOT FOUND IN EMAILS")</f>
        <v/>
      </c>
      <c r="R3553" t="str">
        <f ca="1">""&amp;IFERROR(VLOOKUP(O3553,EMAILS!B:E,4,FALSE),"NO T FOUND IN EMAILS")</f>
        <v/>
      </c>
    </row>
    <row r="3554" spans="2:18" x14ac:dyDescent="0.25">
      <c r="B3554" s="5" t="s">
        <v>3556</v>
      </c>
      <c r="C3554" s="5" t="s">
        <v>7696</v>
      </c>
      <c r="D3554" s="5">
        <v>0</v>
      </c>
      <c r="E3554" s="5">
        <v>0</v>
      </c>
      <c r="F3554" s="5">
        <v>0</v>
      </c>
      <c r="G3554" s="5">
        <v>0</v>
      </c>
      <c r="H3554" s="5">
        <v>0</v>
      </c>
      <c r="I3554" s="5">
        <v>0</v>
      </c>
      <c r="J3554" s="5">
        <v>0</v>
      </c>
      <c r="K3554" s="5">
        <v>0</v>
      </c>
      <c r="L3554" s="5">
        <v>0</v>
      </c>
      <c r="M3554" s="5">
        <v>0</v>
      </c>
      <c r="N3554" s="5">
        <v>0</v>
      </c>
      <c r="O3554" s="5" t="str">
        <f t="shared" ca="1" si="55"/>
        <v>Supplier 4</v>
      </c>
      <c r="P3554" s="20" t="str">
        <f ca="1">IFERROR(VLOOKUP(O3554,EMAILS!B:C,2,FALSE),"NOT FOUND IN EMAILS")</f>
        <v>supplier@gmail.com</v>
      </c>
      <c r="Q3554" t="str">
        <f ca="1">""&amp;IFERROR(VLOOKUP(O3554,EMAILS!B:D,3,FALSE),"NOT FOUND IN EMAILS")</f>
        <v>supplier_logistics@gmail.com</v>
      </c>
      <c r="R3554" t="str">
        <f ca="1">""&amp;IFERROR(VLOOKUP(O3554,EMAILS!B:E,4,FALSE),"NO T FOUND IN EMAILS")</f>
        <v/>
      </c>
    </row>
    <row r="3555" spans="2:18" x14ac:dyDescent="0.25">
      <c r="B3555" s="5" t="s">
        <v>3557</v>
      </c>
      <c r="C3555" s="5" t="s">
        <v>7697</v>
      </c>
      <c r="D3555" s="5">
        <v>0</v>
      </c>
      <c r="E3555" s="5">
        <v>0</v>
      </c>
      <c r="F3555" s="5">
        <v>0</v>
      </c>
      <c r="G3555" s="5">
        <v>0</v>
      </c>
      <c r="H3555" s="5">
        <v>0</v>
      </c>
      <c r="I3555" s="5">
        <v>0</v>
      </c>
      <c r="J3555" s="5">
        <v>0</v>
      </c>
      <c r="K3555" s="5">
        <v>0</v>
      </c>
      <c r="L3555" s="5">
        <v>0</v>
      </c>
      <c r="M3555" s="5">
        <v>0</v>
      </c>
      <c r="N3555" s="5">
        <v>0</v>
      </c>
      <c r="O3555" s="5" t="str">
        <f t="shared" ca="1" si="55"/>
        <v>Supplier 180</v>
      </c>
      <c r="P3555" s="20" t="str">
        <f ca="1">IFERROR(VLOOKUP(O3555,EMAILS!B:C,2,FALSE),"NOT FOUND IN EMAILS")</f>
        <v>supplier@gmail.com</v>
      </c>
      <c r="Q3555" t="str">
        <f ca="1">""&amp;IFERROR(VLOOKUP(O3555,EMAILS!B:D,3,FALSE),"NOT FOUND IN EMAILS")</f>
        <v/>
      </c>
      <c r="R3555" t="str">
        <f ca="1">""&amp;IFERROR(VLOOKUP(O3555,EMAILS!B:E,4,FALSE),"NO T FOUND IN EMAILS")</f>
        <v/>
      </c>
    </row>
    <row r="3556" spans="2:18" x14ac:dyDescent="0.25">
      <c r="B3556" s="5" t="s">
        <v>3558</v>
      </c>
      <c r="C3556" s="5" t="s">
        <v>7698</v>
      </c>
      <c r="D3556" s="5">
        <v>0</v>
      </c>
      <c r="E3556" s="5">
        <v>0</v>
      </c>
      <c r="F3556" s="5">
        <v>0</v>
      </c>
      <c r="G3556" s="5">
        <v>0</v>
      </c>
      <c r="H3556" s="5">
        <v>0</v>
      </c>
      <c r="I3556" s="5">
        <v>0</v>
      </c>
      <c r="J3556" s="5">
        <v>0</v>
      </c>
      <c r="K3556" s="5">
        <v>0</v>
      </c>
      <c r="L3556" s="5">
        <v>0</v>
      </c>
      <c r="M3556" s="5">
        <v>0</v>
      </c>
      <c r="N3556" s="5">
        <v>0</v>
      </c>
      <c r="O3556" s="5" t="str">
        <f t="shared" ca="1" si="55"/>
        <v>Supplier 191</v>
      </c>
      <c r="P3556" s="20" t="str">
        <f ca="1">IFERROR(VLOOKUP(O3556,EMAILS!B:C,2,FALSE),"NOT FOUND IN EMAILS")</f>
        <v>supplier@gmail.com</v>
      </c>
      <c r="Q3556" t="str">
        <f ca="1">""&amp;IFERROR(VLOOKUP(O3556,EMAILS!B:D,3,FALSE),"NOT FOUND IN EMAILS")</f>
        <v/>
      </c>
      <c r="R3556" t="str">
        <f ca="1">""&amp;IFERROR(VLOOKUP(O3556,EMAILS!B:E,4,FALSE),"NO T FOUND IN EMAILS")</f>
        <v/>
      </c>
    </row>
    <row r="3557" spans="2:18" x14ac:dyDescent="0.25">
      <c r="B3557" s="5" t="s">
        <v>3559</v>
      </c>
      <c r="C3557" s="5" t="s">
        <v>7699</v>
      </c>
      <c r="D3557" s="5">
        <v>0</v>
      </c>
      <c r="E3557" s="5">
        <v>0</v>
      </c>
      <c r="F3557" s="5">
        <v>0</v>
      </c>
      <c r="G3557" s="5">
        <v>0</v>
      </c>
      <c r="H3557" s="5">
        <v>0</v>
      </c>
      <c r="I3557" s="5">
        <v>0</v>
      </c>
      <c r="J3557" s="5">
        <v>0</v>
      </c>
      <c r="K3557" s="5">
        <v>0</v>
      </c>
      <c r="L3557" s="5">
        <v>0</v>
      </c>
      <c r="M3557" s="5">
        <v>0</v>
      </c>
      <c r="N3557" s="5">
        <v>0</v>
      </c>
      <c r="O3557" s="5" t="str">
        <f t="shared" ca="1" si="55"/>
        <v>Supplier 130</v>
      </c>
      <c r="P3557" s="20" t="str">
        <f ca="1">IFERROR(VLOOKUP(O3557,EMAILS!B:C,2,FALSE),"NOT FOUND IN EMAILS")</f>
        <v>supplier@gmail.com</v>
      </c>
      <c r="Q3557" t="str">
        <f ca="1">""&amp;IFERROR(VLOOKUP(O3557,EMAILS!B:D,3,FALSE),"NOT FOUND IN EMAILS")</f>
        <v/>
      </c>
      <c r="R3557" t="str">
        <f ca="1">""&amp;IFERROR(VLOOKUP(O3557,EMAILS!B:E,4,FALSE),"NO T FOUND IN EMAILS")</f>
        <v/>
      </c>
    </row>
    <row r="3558" spans="2:18" x14ac:dyDescent="0.25">
      <c r="B3558" s="5" t="s">
        <v>3560</v>
      </c>
      <c r="C3558" s="5" t="s">
        <v>7700</v>
      </c>
      <c r="D3558" s="5">
        <v>0</v>
      </c>
      <c r="E3558" s="5">
        <v>0</v>
      </c>
      <c r="F3558" s="5">
        <v>0</v>
      </c>
      <c r="G3558" s="5">
        <v>0</v>
      </c>
      <c r="H3558" s="5">
        <v>0</v>
      </c>
      <c r="I3558" s="5">
        <v>0</v>
      </c>
      <c r="J3558" s="5">
        <v>0</v>
      </c>
      <c r="K3558" s="5">
        <v>0</v>
      </c>
      <c r="L3558" s="5">
        <v>0</v>
      </c>
      <c r="M3558" s="5">
        <v>0</v>
      </c>
      <c r="N3558" s="5">
        <v>0</v>
      </c>
      <c r="O3558" s="5" t="str">
        <f t="shared" ca="1" si="55"/>
        <v>Supplier 130</v>
      </c>
      <c r="P3558" s="20" t="str">
        <f ca="1">IFERROR(VLOOKUP(O3558,EMAILS!B:C,2,FALSE),"NOT FOUND IN EMAILS")</f>
        <v>supplier@gmail.com</v>
      </c>
      <c r="Q3558" t="str">
        <f ca="1">""&amp;IFERROR(VLOOKUP(O3558,EMAILS!B:D,3,FALSE),"NOT FOUND IN EMAILS")</f>
        <v/>
      </c>
      <c r="R3558" t="str">
        <f ca="1">""&amp;IFERROR(VLOOKUP(O3558,EMAILS!B:E,4,FALSE),"NO T FOUND IN EMAILS")</f>
        <v/>
      </c>
    </row>
    <row r="3559" spans="2:18" x14ac:dyDescent="0.25">
      <c r="B3559" s="5" t="s">
        <v>3561</v>
      </c>
      <c r="C3559" s="5" t="s">
        <v>7701</v>
      </c>
      <c r="D3559" s="5">
        <v>0</v>
      </c>
      <c r="E3559" s="5">
        <v>0</v>
      </c>
      <c r="F3559" s="5">
        <v>0</v>
      </c>
      <c r="G3559" s="5">
        <v>0</v>
      </c>
      <c r="H3559" s="5">
        <v>0</v>
      </c>
      <c r="I3559" s="5">
        <v>0</v>
      </c>
      <c r="J3559" s="5">
        <v>0</v>
      </c>
      <c r="K3559" s="5">
        <v>0</v>
      </c>
      <c r="L3559" s="5">
        <v>0</v>
      </c>
      <c r="M3559" s="5">
        <v>0</v>
      </c>
      <c r="N3559" s="5">
        <v>0</v>
      </c>
      <c r="O3559" s="5" t="str">
        <f t="shared" ca="1" si="55"/>
        <v>Supplier 135</v>
      </c>
      <c r="P3559" s="20" t="str">
        <f ca="1">IFERROR(VLOOKUP(O3559,EMAILS!B:C,2,FALSE),"NOT FOUND IN EMAILS")</f>
        <v>supplier@gmail.com</v>
      </c>
      <c r="Q3559" t="str">
        <f ca="1">""&amp;IFERROR(VLOOKUP(O3559,EMAILS!B:D,3,FALSE),"NOT FOUND IN EMAILS")</f>
        <v/>
      </c>
      <c r="R3559" t="str">
        <f ca="1">""&amp;IFERROR(VLOOKUP(O3559,EMAILS!B:E,4,FALSE),"NO T FOUND IN EMAILS")</f>
        <v/>
      </c>
    </row>
    <row r="3560" spans="2:18" x14ac:dyDescent="0.25">
      <c r="B3560" s="5" t="s">
        <v>3562</v>
      </c>
      <c r="C3560" s="5" t="s">
        <v>7702</v>
      </c>
      <c r="D3560" s="5">
        <v>0</v>
      </c>
      <c r="E3560" s="5">
        <v>0</v>
      </c>
      <c r="F3560" s="5">
        <v>0</v>
      </c>
      <c r="G3560" s="5">
        <v>0</v>
      </c>
      <c r="H3560" s="5">
        <v>0</v>
      </c>
      <c r="I3560" s="5">
        <v>0</v>
      </c>
      <c r="J3560" s="5">
        <v>0</v>
      </c>
      <c r="K3560" s="5">
        <v>0</v>
      </c>
      <c r="L3560" s="5">
        <v>0</v>
      </c>
      <c r="M3560" s="5">
        <v>0</v>
      </c>
      <c r="N3560" s="5">
        <v>0</v>
      </c>
      <c r="O3560" s="5" t="str">
        <f t="shared" ca="1" si="55"/>
        <v>Supplier 134</v>
      </c>
      <c r="P3560" s="20" t="str">
        <f ca="1">IFERROR(VLOOKUP(O3560,EMAILS!B:C,2,FALSE),"NOT FOUND IN EMAILS")</f>
        <v>supplier@gmail.com</v>
      </c>
      <c r="Q3560" t="str">
        <f ca="1">""&amp;IFERROR(VLOOKUP(O3560,EMAILS!B:D,3,FALSE),"NOT FOUND IN EMAILS")</f>
        <v/>
      </c>
      <c r="R3560" t="str">
        <f ca="1">""&amp;IFERROR(VLOOKUP(O3560,EMAILS!B:E,4,FALSE),"NO T FOUND IN EMAILS")</f>
        <v/>
      </c>
    </row>
    <row r="3561" spans="2:18" x14ac:dyDescent="0.25">
      <c r="B3561" s="5" t="s">
        <v>3563</v>
      </c>
      <c r="C3561" s="5" t="s">
        <v>7703</v>
      </c>
      <c r="D3561" s="5">
        <v>0</v>
      </c>
      <c r="E3561" s="5">
        <v>0</v>
      </c>
      <c r="F3561" s="5">
        <v>0</v>
      </c>
      <c r="G3561" s="5">
        <v>0</v>
      </c>
      <c r="H3561" s="5">
        <v>0</v>
      </c>
      <c r="I3561" s="5">
        <v>0</v>
      </c>
      <c r="J3561" s="5">
        <v>0</v>
      </c>
      <c r="K3561" s="5">
        <v>0</v>
      </c>
      <c r="L3561" s="5">
        <v>0</v>
      </c>
      <c r="M3561" s="5">
        <v>0</v>
      </c>
      <c r="N3561" s="5">
        <v>0</v>
      </c>
      <c r="O3561" s="5" t="str">
        <f t="shared" ca="1" si="55"/>
        <v>Supplier 119</v>
      </c>
      <c r="P3561" s="20" t="str">
        <f ca="1">IFERROR(VLOOKUP(O3561,EMAILS!B:C,2,FALSE),"NOT FOUND IN EMAILS")</f>
        <v>supplier@gmail.com</v>
      </c>
      <c r="Q3561" t="str">
        <f ca="1">""&amp;IFERROR(VLOOKUP(O3561,EMAILS!B:D,3,FALSE),"NOT FOUND IN EMAILS")</f>
        <v/>
      </c>
      <c r="R3561" t="str">
        <f ca="1">""&amp;IFERROR(VLOOKUP(O3561,EMAILS!B:E,4,FALSE),"NO T FOUND IN EMAILS")</f>
        <v/>
      </c>
    </row>
    <row r="3562" spans="2:18" x14ac:dyDescent="0.25">
      <c r="B3562" s="5" t="s">
        <v>3564</v>
      </c>
      <c r="C3562" s="5" t="s">
        <v>7704</v>
      </c>
      <c r="D3562" s="5">
        <v>0</v>
      </c>
      <c r="E3562" s="5">
        <v>0</v>
      </c>
      <c r="F3562" s="5">
        <v>0</v>
      </c>
      <c r="G3562" s="5">
        <v>0</v>
      </c>
      <c r="H3562" s="5">
        <v>0</v>
      </c>
      <c r="I3562" s="5">
        <v>0</v>
      </c>
      <c r="J3562" s="5">
        <v>0</v>
      </c>
      <c r="K3562" s="5">
        <v>0</v>
      </c>
      <c r="L3562" s="5">
        <v>0</v>
      </c>
      <c r="M3562" s="5">
        <v>0</v>
      </c>
      <c r="N3562" s="5">
        <v>0</v>
      </c>
      <c r="O3562" s="5" t="str">
        <f t="shared" ca="1" si="55"/>
        <v>Supplier 34</v>
      </c>
      <c r="P3562" s="20" t="str">
        <f ca="1">IFERROR(VLOOKUP(O3562,EMAILS!B:C,2,FALSE),"NOT FOUND IN EMAILS")</f>
        <v>supplier@gmail.com</v>
      </c>
      <c r="Q3562" t="str">
        <f ca="1">""&amp;IFERROR(VLOOKUP(O3562,EMAILS!B:D,3,FALSE),"NOT FOUND IN EMAILS")</f>
        <v/>
      </c>
      <c r="R3562" t="str">
        <f ca="1">""&amp;IFERROR(VLOOKUP(O3562,EMAILS!B:E,4,FALSE),"NO T FOUND IN EMAILS")</f>
        <v/>
      </c>
    </row>
    <row r="3563" spans="2:18" x14ac:dyDescent="0.25">
      <c r="B3563" s="5" t="s">
        <v>3565</v>
      </c>
      <c r="C3563" s="5" t="s">
        <v>7705</v>
      </c>
      <c r="D3563" s="5">
        <v>0</v>
      </c>
      <c r="E3563" s="5">
        <v>0</v>
      </c>
      <c r="F3563" s="5">
        <v>0</v>
      </c>
      <c r="G3563" s="5">
        <v>0</v>
      </c>
      <c r="H3563" s="5">
        <v>0</v>
      </c>
      <c r="I3563" s="5">
        <v>0</v>
      </c>
      <c r="J3563" s="5">
        <v>0</v>
      </c>
      <c r="K3563" s="5">
        <v>0</v>
      </c>
      <c r="L3563" s="5">
        <v>0</v>
      </c>
      <c r="M3563" s="5">
        <v>0</v>
      </c>
      <c r="N3563" s="5">
        <v>0</v>
      </c>
      <c r="O3563" s="5" t="str">
        <f t="shared" ca="1" si="55"/>
        <v>Supplier 77</v>
      </c>
      <c r="P3563" s="20" t="str">
        <f ca="1">IFERROR(VLOOKUP(O3563,EMAILS!B:C,2,FALSE),"NOT FOUND IN EMAILS")</f>
        <v>supplier@gmail.com</v>
      </c>
      <c r="Q3563" t="str">
        <f ca="1">""&amp;IFERROR(VLOOKUP(O3563,EMAILS!B:D,3,FALSE),"NOT FOUND IN EMAILS")</f>
        <v/>
      </c>
      <c r="R3563" t="str">
        <f ca="1">""&amp;IFERROR(VLOOKUP(O3563,EMAILS!B:E,4,FALSE),"NO T FOUND IN EMAILS")</f>
        <v/>
      </c>
    </row>
    <row r="3564" spans="2:18" x14ac:dyDescent="0.25">
      <c r="B3564" s="5" t="s">
        <v>3566</v>
      </c>
      <c r="C3564" s="5" t="s">
        <v>7706</v>
      </c>
      <c r="D3564" s="5">
        <v>0</v>
      </c>
      <c r="E3564" s="5">
        <v>0</v>
      </c>
      <c r="F3564" s="5">
        <v>0</v>
      </c>
      <c r="G3564" s="5">
        <v>0</v>
      </c>
      <c r="H3564" s="5">
        <v>0</v>
      </c>
      <c r="I3564" s="5">
        <v>0</v>
      </c>
      <c r="J3564" s="5">
        <v>0</v>
      </c>
      <c r="K3564" s="5">
        <v>0</v>
      </c>
      <c r="L3564" s="5">
        <v>0</v>
      </c>
      <c r="M3564" s="5">
        <v>0</v>
      </c>
      <c r="N3564" s="5">
        <v>0</v>
      </c>
      <c r="O3564" s="5" t="str">
        <f t="shared" ca="1" si="55"/>
        <v>Supplier 37</v>
      </c>
      <c r="P3564" s="20" t="str">
        <f ca="1">IFERROR(VLOOKUP(O3564,EMAILS!B:C,2,FALSE),"NOT FOUND IN EMAILS")</f>
        <v>supplier@gmail.com</v>
      </c>
      <c r="Q3564" t="str">
        <f ca="1">""&amp;IFERROR(VLOOKUP(O3564,EMAILS!B:D,3,FALSE),"NOT FOUND IN EMAILS")</f>
        <v/>
      </c>
      <c r="R3564" t="str">
        <f ca="1">""&amp;IFERROR(VLOOKUP(O3564,EMAILS!B:E,4,FALSE),"NO T FOUND IN EMAILS")</f>
        <v/>
      </c>
    </row>
    <row r="3565" spans="2:18" x14ac:dyDescent="0.25">
      <c r="B3565" s="5" t="s">
        <v>3567</v>
      </c>
      <c r="C3565" s="5" t="s">
        <v>7707</v>
      </c>
      <c r="D3565" s="5">
        <v>0</v>
      </c>
      <c r="E3565" s="5">
        <v>0</v>
      </c>
      <c r="F3565" s="5">
        <v>0</v>
      </c>
      <c r="G3565" s="5">
        <v>0</v>
      </c>
      <c r="H3565" s="5">
        <v>0</v>
      </c>
      <c r="I3565" s="5">
        <v>0</v>
      </c>
      <c r="J3565" s="5">
        <v>0</v>
      </c>
      <c r="K3565" s="5">
        <v>0</v>
      </c>
      <c r="L3565" s="5">
        <v>0</v>
      </c>
      <c r="M3565" s="5">
        <v>0</v>
      </c>
      <c r="N3565" s="5">
        <v>0</v>
      </c>
      <c r="O3565" s="5" t="str">
        <f t="shared" ca="1" si="55"/>
        <v>Supplier 51</v>
      </c>
      <c r="P3565" s="20" t="str">
        <f ca="1">IFERROR(VLOOKUP(O3565,EMAILS!B:C,2,FALSE),"NOT FOUND IN EMAILS")</f>
        <v>supplier@gmail.com</v>
      </c>
      <c r="Q3565" t="str">
        <f ca="1">""&amp;IFERROR(VLOOKUP(O3565,EMAILS!B:D,3,FALSE),"NOT FOUND IN EMAILS")</f>
        <v/>
      </c>
      <c r="R3565" t="str">
        <f ca="1">""&amp;IFERROR(VLOOKUP(O3565,EMAILS!B:E,4,FALSE),"NO T FOUND IN EMAILS")</f>
        <v/>
      </c>
    </row>
    <row r="3566" spans="2:18" x14ac:dyDescent="0.25">
      <c r="B3566" s="5" t="s">
        <v>3568</v>
      </c>
      <c r="C3566" s="5" t="s">
        <v>7708</v>
      </c>
      <c r="D3566" s="5">
        <v>0</v>
      </c>
      <c r="E3566" s="5">
        <v>0</v>
      </c>
      <c r="F3566" s="5">
        <v>0</v>
      </c>
      <c r="G3566" s="5">
        <v>0</v>
      </c>
      <c r="H3566" s="5">
        <v>0</v>
      </c>
      <c r="I3566" s="5">
        <v>0</v>
      </c>
      <c r="J3566" s="5">
        <v>0</v>
      </c>
      <c r="K3566" s="5">
        <v>0</v>
      </c>
      <c r="L3566" s="5">
        <v>0</v>
      </c>
      <c r="M3566" s="5">
        <v>0</v>
      </c>
      <c r="N3566" s="5">
        <v>0</v>
      </c>
      <c r="O3566" s="5" t="str">
        <f t="shared" ca="1" si="55"/>
        <v>Supplier 49</v>
      </c>
      <c r="P3566" s="20" t="str">
        <f ca="1">IFERROR(VLOOKUP(O3566,EMAILS!B:C,2,FALSE),"NOT FOUND IN EMAILS")</f>
        <v>supplier@gmail.com</v>
      </c>
      <c r="Q3566" t="str">
        <f ca="1">""&amp;IFERROR(VLOOKUP(O3566,EMAILS!B:D,3,FALSE),"NOT FOUND IN EMAILS")</f>
        <v/>
      </c>
      <c r="R3566" t="str">
        <f ca="1">""&amp;IFERROR(VLOOKUP(O3566,EMAILS!B:E,4,FALSE),"NO T FOUND IN EMAILS")</f>
        <v/>
      </c>
    </row>
    <row r="3567" spans="2:18" x14ac:dyDescent="0.25">
      <c r="B3567" s="5" t="s">
        <v>3569</v>
      </c>
      <c r="C3567" s="5" t="s">
        <v>7709</v>
      </c>
      <c r="D3567" s="5">
        <v>0</v>
      </c>
      <c r="E3567" s="5">
        <v>0</v>
      </c>
      <c r="F3567" s="5">
        <v>0</v>
      </c>
      <c r="G3567" s="5">
        <v>0</v>
      </c>
      <c r="H3567" s="5">
        <v>0</v>
      </c>
      <c r="I3567" s="5">
        <v>0</v>
      </c>
      <c r="J3567" s="5">
        <v>0</v>
      </c>
      <c r="K3567" s="5">
        <v>0</v>
      </c>
      <c r="L3567" s="5">
        <v>0</v>
      </c>
      <c r="M3567" s="5">
        <v>0</v>
      </c>
      <c r="N3567" s="5">
        <v>0</v>
      </c>
      <c r="O3567" s="5" t="str">
        <f t="shared" ca="1" si="55"/>
        <v>Supplier 39</v>
      </c>
      <c r="P3567" s="20" t="str">
        <f ca="1">IFERROR(VLOOKUP(O3567,EMAILS!B:C,2,FALSE),"NOT FOUND IN EMAILS")</f>
        <v>supplier@gmail.com</v>
      </c>
      <c r="Q3567" t="str">
        <f ca="1">""&amp;IFERROR(VLOOKUP(O3567,EMAILS!B:D,3,FALSE),"NOT FOUND IN EMAILS")</f>
        <v/>
      </c>
      <c r="R3567" t="str">
        <f ca="1">""&amp;IFERROR(VLOOKUP(O3567,EMAILS!B:E,4,FALSE),"NO T FOUND IN EMAILS")</f>
        <v/>
      </c>
    </row>
    <row r="3568" spans="2:18" x14ac:dyDescent="0.25">
      <c r="B3568" s="5" t="s">
        <v>3570</v>
      </c>
      <c r="C3568" s="5" t="s">
        <v>7710</v>
      </c>
      <c r="D3568" s="5">
        <v>0</v>
      </c>
      <c r="E3568" s="5">
        <v>0</v>
      </c>
      <c r="F3568" s="5">
        <v>0</v>
      </c>
      <c r="G3568" s="5">
        <v>0</v>
      </c>
      <c r="H3568" s="5">
        <v>0</v>
      </c>
      <c r="I3568" s="5">
        <v>0</v>
      </c>
      <c r="J3568" s="5">
        <v>0</v>
      </c>
      <c r="K3568" s="5">
        <v>0</v>
      </c>
      <c r="L3568" s="5">
        <v>0</v>
      </c>
      <c r="M3568" s="5">
        <v>0</v>
      </c>
      <c r="N3568" s="5">
        <v>0</v>
      </c>
      <c r="O3568" s="5" t="str">
        <f t="shared" ca="1" si="55"/>
        <v>Supplier 78</v>
      </c>
      <c r="P3568" s="20" t="str">
        <f ca="1">IFERROR(VLOOKUP(O3568,EMAILS!B:C,2,FALSE),"NOT FOUND IN EMAILS")</f>
        <v>supplier@gmail.com</v>
      </c>
      <c r="Q3568" t="str">
        <f ca="1">""&amp;IFERROR(VLOOKUP(O3568,EMAILS!B:D,3,FALSE),"NOT FOUND IN EMAILS")</f>
        <v/>
      </c>
      <c r="R3568" t="str">
        <f ca="1">""&amp;IFERROR(VLOOKUP(O3568,EMAILS!B:E,4,FALSE),"NO T FOUND IN EMAILS")</f>
        <v/>
      </c>
    </row>
    <row r="3569" spans="2:18" x14ac:dyDescent="0.25">
      <c r="B3569" s="5" t="s">
        <v>3571</v>
      </c>
      <c r="C3569" s="5" t="s">
        <v>7711</v>
      </c>
      <c r="D3569" s="5">
        <v>0</v>
      </c>
      <c r="E3569" s="5">
        <v>0</v>
      </c>
      <c r="F3569" s="5">
        <v>0</v>
      </c>
      <c r="G3569" s="5">
        <v>0</v>
      </c>
      <c r="H3569" s="5">
        <v>0</v>
      </c>
      <c r="I3569" s="5">
        <v>0</v>
      </c>
      <c r="J3569" s="5">
        <v>0</v>
      </c>
      <c r="K3569" s="5">
        <v>0</v>
      </c>
      <c r="L3569" s="5">
        <v>0</v>
      </c>
      <c r="M3569" s="5">
        <v>0</v>
      </c>
      <c r="N3569" s="5">
        <v>0</v>
      </c>
      <c r="O3569" s="5" t="str">
        <f t="shared" ca="1" si="55"/>
        <v>Supplier 105</v>
      </c>
      <c r="P3569" s="20" t="str">
        <f ca="1">IFERROR(VLOOKUP(O3569,EMAILS!B:C,2,FALSE),"NOT FOUND IN EMAILS")</f>
        <v>supplier@gmail.com</v>
      </c>
      <c r="Q3569" t="str">
        <f ca="1">""&amp;IFERROR(VLOOKUP(O3569,EMAILS!B:D,3,FALSE),"NOT FOUND IN EMAILS")</f>
        <v/>
      </c>
      <c r="R3569" t="str">
        <f ca="1">""&amp;IFERROR(VLOOKUP(O3569,EMAILS!B:E,4,FALSE),"NO T FOUND IN EMAILS")</f>
        <v/>
      </c>
    </row>
    <row r="3570" spans="2:18" x14ac:dyDescent="0.25">
      <c r="B3570" s="5" t="s">
        <v>3572</v>
      </c>
      <c r="C3570" s="5" t="s">
        <v>7712</v>
      </c>
      <c r="D3570" s="5">
        <v>0</v>
      </c>
      <c r="E3570" s="5">
        <v>0</v>
      </c>
      <c r="F3570" s="5">
        <v>0</v>
      </c>
      <c r="G3570" s="5">
        <v>0</v>
      </c>
      <c r="H3570" s="5">
        <v>0</v>
      </c>
      <c r="I3570" s="5">
        <v>0</v>
      </c>
      <c r="J3570" s="5">
        <v>0</v>
      </c>
      <c r="K3570" s="5">
        <v>0</v>
      </c>
      <c r="L3570" s="5">
        <v>0</v>
      </c>
      <c r="M3570" s="5">
        <v>0</v>
      </c>
      <c r="N3570" s="5">
        <v>0</v>
      </c>
      <c r="O3570" s="5" t="str">
        <f t="shared" ca="1" si="55"/>
        <v>Supplier 139</v>
      </c>
      <c r="P3570" s="20" t="str">
        <f ca="1">IFERROR(VLOOKUP(O3570,EMAILS!B:C,2,FALSE),"NOT FOUND IN EMAILS")</f>
        <v>supplier@gmail.com</v>
      </c>
      <c r="Q3570" t="str">
        <f ca="1">""&amp;IFERROR(VLOOKUP(O3570,EMAILS!B:D,3,FALSE),"NOT FOUND IN EMAILS")</f>
        <v/>
      </c>
      <c r="R3570" t="str">
        <f ca="1">""&amp;IFERROR(VLOOKUP(O3570,EMAILS!B:E,4,FALSE),"NO T FOUND IN EMAILS")</f>
        <v/>
      </c>
    </row>
    <row r="3571" spans="2:18" x14ac:dyDescent="0.25">
      <c r="B3571" s="5" t="s">
        <v>3573</v>
      </c>
      <c r="C3571" s="5" t="s">
        <v>7713</v>
      </c>
      <c r="D3571" s="5">
        <v>0</v>
      </c>
      <c r="E3571" s="5">
        <v>0</v>
      </c>
      <c r="F3571" s="5">
        <v>0</v>
      </c>
      <c r="G3571" s="5">
        <v>0</v>
      </c>
      <c r="H3571" s="5">
        <v>0</v>
      </c>
      <c r="I3571" s="5">
        <v>0</v>
      </c>
      <c r="J3571" s="5">
        <v>0</v>
      </c>
      <c r="K3571" s="5">
        <v>0</v>
      </c>
      <c r="L3571" s="5">
        <v>0</v>
      </c>
      <c r="M3571" s="5">
        <v>0</v>
      </c>
      <c r="N3571" s="5">
        <v>0</v>
      </c>
      <c r="O3571" s="5" t="str">
        <f t="shared" ca="1" si="55"/>
        <v>Supplier 70</v>
      </c>
      <c r="P3571" s="20" t="str">
        <f ca="1">IFERROR(VLOOKUP(O3571,EMAILS!B:C,2,FALSE),"NOT FOUND IN EMAILS")</f>
        <v>supplier@gmail.com</v>
      </c>
      <c r="Q3571" t="str">
        <f ca="1">""&amp;IFERROR(VLOOKUP(O3571,EMAILS!B:D,3,FALSE),"NOT FOUND IN EMAILS")</f>
        <v/>
      </c>
      <c r="R3571" t="str">
        <f ca="1">""&amp;IFERROR(VLOOKUP(O3571,EMAILS!B:E,4,FALSE),"NO T FOUND IN EMAILS")</f>
        <v/>
      </c>
    </row>
    <row r="3572" spans="2:18" x14ac:dyDescent="0.25">
      <c r="B3572" s="5" t="s">
        <v>3574</v>
      </c>
      <c r="C3572" s="5" t="s">
        <v>7714</v>
      </c>
      <c r="D3572" s="5">
        <v>0</v>
      </c>
      <c r="E3572" s="5">
        <v>0</v>
      </c>
      <c r="F3572" s="5">
        <v>0</v>
      </c>
      <c r="G3572" s="5">
        <v>0</v>
      </c>
      <c r="H3572" s="5">
        <v>0</v>
      </c>
      <c r="I3572" s="5">
        <v>0</v>
      </c>
      <c r="J3572" s="5">
        <v>0</v>
      </c>
      <c r="K3572" s="5">
        <v>0</v>
      </c>
      <c r="L3572" s="5">
        <v>0</v>
      </c>
      <c r="M3572" s="5">
        <v>0</v>
      </c>
      <c r="N3572" s="5">
        <v>0</v>
      </c>
      <c r="O3572" s="5" t="str">
        <f t="shared" ca="1" si="55"/>
        <v>Supplier 151</v>
      </c>
      <c r="P3572" s="20" t="str">
        <f ca="1">IFERROR(VLOOKUP(O3572,EMAILS!B:C,2,FALSE),"NOT FOUND IN EMAILS")</f>
        <v>supplier@gmail.com</v>
      </c>
      <c r="Q3572" t="str">
        <f ca="1">""&amp;IFERROR(VLOOKUP(O3572,EMAILS!B:D,3,FALSE),"NOT FOUND IN EMAILS")</f>
        <v/>
      </c>
      <c r="R3572" t="str">
        <f ca="1">""&amp;IFERROR(VLOOKUP(O3572,EMAILS!B:E,4,FALSE),"NO T FOUND IN EMAILS")</f>
        <v/>
      </c>
    </row>
    <row r="3573" spans="2:18" x14ac:dyDescent="0.25">
      <c r="B3573" s="5" t="s">
        <v>3575</v>
      </c>
      <c r="C3573" s="5" t="s">
        <v>7715</v>
      </c>
      <c r="D3573" s="5">
        <v>0</v>
      </c>
      <c r="E3573" s="5">
        <v>0</v>
      </c>
      <c r="F3573" s="5">
        <v>0</v>
      </c>
      <c r="G3573" s="5">
        <v>0</v>
      </c>
      <c r="H3573" s="5">
        <v>0</v>
      </c>
      <c r="I3573" s="5">
        <v>0</v>
      </c>
      <c r="J3573" s="5">
        <v>0</v>
      </c>
      <c r="K3573" s="5">
        <v>0</v>
      </c>
      <c r="L3573" s="5">
        <v>0</v>
      </c>
      <c r="M3573" s="5">
        <v>0</v>
      </c>
      <c r="N3573" s="5">
        <v>0</v>
      </c>
      <c r="O3573" s="5" t="str">
        <f t="shared" ca="1" si="55"/>
        <v>Supplier 167</v>
      </c>
      <c r="P3573" s="20" t="str">
        <f ca="1">IFERROR(VLOOKUP(O3573,EMAILS!B:C,2,FALSE),"NOT FOUND IN EMAILS")</f>
        <v>supplier@gmail.com</v>
      </c>
      <c r="Q3573" t="str">
        <f ca="1">""&amp;IFERROR(VLOOKUP(O3573,EMAILS!B:D,3,FALSE),"NOT FOUND IN EMAILS")</f>
        <v/>
      </c>
      <c r="R3573" t="str">
        <f ca="1">""&amp;IFERROR(VLOOKUP(O3573,EMAILS!B:E,4,FALSE),"NO T FOUND IN EMAILS")</f>
        <v/>
      </c>
    </row>
    <row r="3574" spans="2:18" x14ac:dyDescent="0.25">
      <c r="B3574" s="5" t="s">
        <v>3576</v>
      </c>
      <c r="C3574" s="5" t="s">
        <v>7716</v>
      </c>
      <c r="D3574" s="5">
        <v>0</v>
      </c>
      <c r="E3574" s="5">
        <v>0</v>
      </c>
      <c r="F3574" s="5">
        <v>0</v>
      </c>
      <c r="G3574" s="5">
        <v>0</v>
      </c>
      <c r="H3574" s="5">
        <v>0</v>
      </c>
      <c r="I3574" s="5">
        <v>0</v>
      </c>
      <c r="J3574" s="5">
        <v>0</v>
      </c>
      <c r="K3574" s="5">
        <v>0</v>
      </c>
      <c r="L3574" s="5">
        <v>0</v>
      </c>
      <c r="M3574" s="5">
        <v>0</v>
      </c>
      <c r="N3574" s="5">
        <v>0</v>
      </c>
      <c r="O3574" s="5" t="str">
        <f t="shared" ca="1" si="55"/>
        <v>Supplier 89</v>
      </c>
      <c r="P3574" s="20" t="str">
        <f ca="1">IFERROR(VLOOKUP(O3574,EMAILS!B:C,2,FALSE),"NOT FOUND IN EMAILS")</f>
        <v>supplier@gmail.com</v>
      </c>
      <c r="Q3574" t="str">
        <f ca="1">""&amp;IFERROR(VLOOKUP(O3574,EMAILS!B:D,3,FALSE),"NOT FOUND IN EMAILS")</f>
        <v/>
      </c>
      <c r="R3574" t="str">
        <f ca="1">""&amp;IFERROR(VLOOKUP(O3574,EMAILS!B:E,4,FALSE),"NO T FOUND IN EMAILS")</f>
        <v/>
      </c>
    </row>
    <row r="3575" spans="2:18" x14ac:dyDescent="0.25">
      <c r="B3575" s="5" t="s">
        <v>3577</v>
      </c>
      <c r="C3575" s="5" t="s">
        <v>7717</v>
      </c>
      <c r="D3575" s="5">
        <v>0</v>
      </c>
      <c r="E3575" s="5">
        <v>0</v>
      </c>
      <c r="F3575" s="5">
        <v>0</v>
      </c>
      <c r="G3575" s="5">
        <v>0</v>
      </c>
      <c r="H3575" s="5">
        <v>0</v>
      </c>
      <c r="I3575" s="5">
        <v>0</v>
      </c>
      <c r="J3575" s="5">
        <v>0</v>
      </c>
      <c r="K3575" s="5">
        <v>0</v>
      </c>
      <c r="L3575" s="5">
        <v>0</v>
      </c>
      <c r="M3575" s="5">
        <v>0</v>
      </c>
      <c r="N3575" s="5">
        <v>0</v>
      </c>
      <c r="O3575" s="5" t="str">
        <f t="shared" ca="1" si="55"/>
        <v>Supplier 143</v>
      </c>
      <c r="P3575" s="20" t="str">
        <f ca="1">IFERROR(VLOOKUP(O3575,EMAILS!B:C,2,FALSE),"NOT FOUND IN EMAILS")</f>
        <v>supplier@gmail.com</v>
      </c>
      <c r="Q3575" t="str">
        <f ca="1">""&amp;IFERROR(VLOOKUP(O3575,EMAILS!B:D,3,FALSE),"NOT FOUND IN EMAILS")</f>
        <v/>
      </c>
      <c r="R3575" t="str">
        <f ca="1">""&amp;IFERROR(VLOOKUP(O3575,EMAILS!B:E,4,FALSE),"NO T FOUND IN EMAILS")</f>
        <v/>
      </c>
    </row>
    <row r="3576" spans="2:18" x14ac:dyDescent="0.25">
      <c r="B3576" s="5" t="s">
        <v>3578</v>
      </c>
      <c r="C3576" s="5" t="s">
        <v>7718</v>
      </c>
      <c r="D3576" s="5">
        <v>0</v>
      </c>
      <c r="E3576" s="5">
        <v>0</v>
      </c>
      <c r="F3576" s="5">
        <v>0</v>
      </c>
      <c r="G3576" s="5">
        <v>0</v>
      </c>
      <c r="H3576" s="5">
        <v>0</v>
      </c>
      <c r="I3576" s="5">
        <v>0</v>
      </c>
      <c r="J3576" s="5">
        <v>0</v>
      </c>
      <c r="K3576" s="5">
        <v>0</v>
      </c>
      <c r="L3576" s="5">
        <v>0</v>
      </c>
      <c r="M3576" s="5">
        <v>0</v>
      </c>
      <c r="N3576" s="5">
        <v>0</v>
      </c>
      <c r="O3576" s="5" t="str">
        <f t="shared" ca="1" si="55"/>
        <v>Supplier 156</v>
      </c>
      <c r="P3576" s="20" t="str">
        <f ca="1">IFERROR(VLOOKUP(O3576,EMAILS!B:C,2,FALSE),"NOT FOUND IN EMAILS")</f>
        <v>supplier@gmail.com</v>
      </c>
      <c r="Q3576" t="str">
        <f ca="1">""&amp;IFERROR(VLOOKUP(O3576,EMAILS!B:D,3,FALSE),"NOT FOUND IN EMAILS")</f>
        <v/>
      </c>
      <c r="R3576" t="str">
        <f ca="1">""&amp;IFERROR(VLOOKUP(O3576,EMAILS!B:E,4,FALSE),"NO T FOUND IN EMAILS")</f>
        <v/>
      </c>
    </row>
    <row r="3577" spans="2:18" x14ac:dyDescent="0.25">
      <c r="B3577" s="5" t="s">
        <v>3579</v>
      </c>
      <c r="C3577" s="5" t="s">
        <v>7719</v>
      </c>
      <c r="D3577" s="5">
        <v>0</v>
      </c>
      <c r="E3577" s="5">
        <v>0</v>
      </c>
      <c r="F3577" s="5">
        <v>0</v>
      </c>
      <c r="G3577" s="5">
        <v>0</v>
      </c>
      <c r="H3577" s="5">
        <v>0</v>
      </c>
      <c r="I3577" s="5">
        <v>0</v>
      </c>
      <c r="J3577" s="5">
        <v>0</v>
      </c>
      <c r="K3577" s="5">
        <v>0</v>
      </c>
      <c r="L3577" s="5">
        <v>0</v>
      </c>
      <c r="M3577" s="5">
        <v>0</v>
      </c>
      <c r="N3577" s="5">
        <v>0</v>
      </c>
      <c r="O3577" s="5" t="str">
        <f t="shared" ca="1" si="55"/>
        <v>Supplier 61</v>
      </c>
      <c r="P3577" s="20" t="str">
        <f ca="1">IFERROR(VLOOKUP(O3577,EMAILS!B:C,2,FALSE),"NOT FOUND IN EMAILS")</f>
        <v>supplier@gmail.com</v>
      </c>
      <c r="Q3577" t="str">
        <f ca="1">""&amp;IFERROR(VLOOKUP(O3577,EMAILS!B:D,3,FALSE),"NOT FOUND IN EMAILS")</f>
        <v/>
      </c>
      <c r="R3577" t="str">
        <f ca="1">""&amp;IFERROR(VLOOKUP(O3577,EMAILS!B:E,4,FALSE),"NO T FOUND IN EMAILS")</f>
        <v/>
      </c>
    </row>
    <row r="3578" spans="2:18" x14ac:dyDescent="0.25">
      <c r="B3578" s="5" t="s">
        <v>3580</v>
      </c>
      <c r="C3578" s="5" t="s">
        <v>7720</v>
      </c>
      <c r="D3578" s="5">
        <v>0</v>
      </c>
      <c r="E3578" s="5">
        <v>0</v>
      </c>
      <c r="F3578" s="5">
        <v>0</v>
      </c>
      <c r="G3578" s="5">
        <v>0</v>
      </c>
      <c r="H3578" s="5">
        <v>0</v>
      </c>
      <c r="I3578" s="5">
        <v>0</v>
      </c>
      <c r="J3578" s="5">
        <v>0</v>
      </c>
      <c r="K3578" s="5">
        <v>0</v>
      </c>
      <c r="L3578" s="5">
        <v>0</v>
      </c>
      <c r="M3578" s="5">
        <v>0</v>
      </c>
      <c r="N3578" s="5">
        <v>0</v>
      </c>
      <c r="O3578" s="5" t="str">
        <f t="shared" ca="1" si="55"/>
        <v>Supplier 71</v>
      </c>
      <c r="P3578" s="20" t="str">
        <f ca="1">IFERROR(VLOOKUP(O3578,EMAILS!B:C,2,FALSE),"NOT FOUND IN EMAILS")</f>
        <v>supplier@gmail.com</v>
      </c>
      <c r="Q3578" t="str">
        <f ca="1">""&amp;IFERROR(VLOOKUP(O3578,EMAILS!B:D,3,FALSE),"NOT FOUND IN EMAILS")</f>
        <v/>
      </c>
      <c r="R3578" t="str">
        <f ca="1">""&amp;IFERROR(VLOOKUP(O3578,EMAILS!B:E,4,FALSE),"NO T FOUND IN EMAILS")</f>
        <v/>
      </c>
    </row>
    <row r="3579" spans="2:18" x14ac:dyDescent="0.25">
      <c r="B3579" s="5" t="s">
        <v>3581</v>
      </c>
      <c r="C3579" s="5" t="s">
        <v>7721</v>
      </c>
      <c r="D3579" s="5">
        <v>0</v>
      </c>
      <c r="E3579" s="5">
        <v>0</v>
      </c>
      <c r="F3579" s="5">
        <v>0</v>
      </c>
      <c r="G3579" s="5">
        <v>0</v>
      </c>
      <c r="H3579" s="5">
        <v>0</v>
      </c>
      <c r="I3579" s="5">
        <v>0</v>
      </c>
      <c r="J3579" s="5">
        <v>0</v>
      </c>
      <c r="K3579" s="5">
        <v>0</v>
      </c>
      <c r="L3579" s="5">
        <v>0</v>
      </c>
      <c r="M3579" s="5">
        <v>0</v>
      </c>
      <c r="N3579" s="5">
        <v>0</v>
      </c>
      <c r="O3579" s="5" t="str">
        <f t="shared" ca="1" si="55"/>
        <v>Supplier 79</v>
      </c>
      <c r="P3579" s="20" t="str">
        <f ca="1">IFERROR(VLOOKUP(O3579,EMAILS!B:C,2,FALSE),"NOT FOUND IN EMAILS")</f>
        <v>supplier@gmail.com</v>
      </c>
      <c r="Q3579" t="str">
        <f ca="1">""&amp;IFERROR(VLOOKUP(O3579,EMAILS!B:D,3,FALSE),"NOT FOUND IN EMAILS")</f>
        <v/>
      </c>
      <c r="R3579" t="str">
        <f ca="1">""&amp;IFERROR(VLOOKUP(O3579,EMAILS!B:E,4,FALSE),"NO T FOUND IN EMAILS")</f>
        <v/>
      </c>
    </row>
    <row r="3580" spans="2:18" x14ac:dyDescent="0.25">
      <c r="B3580" s="5" t="s">
        <v>3582</v>
      </c>
      <c r="C3580" s="5" t="s">
        <v>7722</v>
      </c>
      <c r="D3580" s="5">
        <v>0</v>
      </c>
      <c r="E3580" s="5">
        <v>0</v>
      </c>
      <c r="F3580" s="5">
        <v>0</v>
      </c>
      <c r="G3580" s="5">
        <v>0</v>
      </c>
      <c r="H3580" s="5">
        <v>0</v>
      </c>
      <c r="I3580" s="5">
        <v>0</v>
      </c>
      <c r="J3580" s="5">
        <v>0</v>
      </c>
      <c r="K3580" s="5">
        <v>0</v>
      </c>
      <c r="L3580" s="5">
        <v>0</v>
      </c>
      <c r="M3580" s="5">
        <v>0</v>
      </c>
      <c r="N3580" s="5">
        <v>0</v>
      </c>
      <c r="O3580" s="5" t="str">
        <f t="shared" ca="1" si="55"/>
        <v>Supplier 120</v>
      </c>
      <c r="P3580" s="20" t="str">
        <f ca="1">IFERROR(VLOOKUP(O3580,EMAILS!B:C,2,FALSE),"NOT FOUND IN EMAILS")</f>
        <v>supplier@gmail.com</v>
      </c>
      <c r="Q3580" t="str">
        <f ca="1">""&amp;IFERROR(VLOOKUP(O3580,EMAILS!B:D,3,FALSE),"NOT FOUND IN EMAILS")</f>
        <v/>
      </c>
      <c r="R3580" t="str">
        <f ca="1">""&amp;IFERROR(VLOOKUP(O3580,EMAILS!B:E,4,FALSE),"NO T FOUND IN EMAILS")</f>
        <v/>
      </c>
    </row>
    <row r="3581" spans="2:18" x14ac:dyDescent="0.25">
      <c r="B3581" s="5" t="s">
        <v>3583</v>
      </c>
      <c r="C3581" s="5" t="s">
        <v>7723</v>
      </c>
      <c r="D3581" s="5">
        <v>0</v>
      </c>
      <c r="E3581" s="5">
        <v>0</v>
      </c>
      <c r="F3581" s="5">
        <v>0</v>
      </c>
      <c r="G3581" s="5">
        <v>0</v>
      </c>
      <c r="H3581" s="5">
        <v>0</v>
      </c>
      <c r="I3581" s="5">
        <v>0</v>
      </c>
      <c r="J3581" s="5">
        <v>0</v>
      </c>
      <c r="K3581" s="5">
        <v>0</v>
      </c>
      <c r="L3581" s="5">
        <v>0</v>
      </c>
      <c r="M3581" s="5">
        <v>0</v>
      </c>
      <c r="N3581" s="5">
        <v>0</v>
      </c>
      <c r="O3581" s="5" t="str">
        <f t="shared" ca="1" si="55"/>
        <v>Supplier 90</v>
      </c>
      <c r="P3581" s="20" t="str">
        <f ca="1">IFERROR(VLOOKUP(O3581,EMAILS!B:C,2,FALSE),"NOT FOUND IN EMAILS")</f>
        <v>supplier@gmail.com</v>
      </c>
      <c r="Q3581" t="str">
        <f ca="1">""&amp;IFERROR(VLOOKUP(O3581,EMAILS!B:D,3,FALSE),"NOT FOUND IN EMAILS")</f>
        <v/>
      </c>
      <c r="R3581" t="str">
        <f ca="1">""&amp;IFERROR(VLOOKUP(O3581,EMAILS!B:E,4,FALSE),"NO T FOUND IN EMAILS")</f>
        <v/>
      </c>
    </row>
    <row r="3582" spans="2:18" x14ac:dyDescent="0.25">
      <c r="B3582" s="5" t="s">
        <v>3584</v>
      </c>
      <c r="C3582" s="5" t="s">
        <v>7724</v>
      </c>
      <c r="D3582" s="5">
        <v>0</v>
      </c>
      <c r="E3582" s="5">
        <v>0</v>
      </c>
      <c r="F3582" s="5">
        <v>0</v>
      </c>
      <c r="G3582" s="5">
        <v>0</v>
      </c>
      <c r="H3582" s="5">
        <v>0</v>
      </c>
      <c r="I3582" s="5">
        <v>0</v>
      </c>
      <c r="J3582" s="5">
        <v>0</v>
      </c>
      <c r="K3582" s="5">
        <v>0</v>
      </c>
      <c r="L3582" s="5">
        <v>0</v>
      </c>
      <c r="M3582" s="5">
        <v>0</v>
      </c>
      <c r="N3582" s="5">
        <v>0</v>
      </c>
      <c r="O3582" s="5" t="str">
        <f t="shared" ca="1" si="55"/>
        <v>Supplier 92</v>
      </c>
      <c r="P3582" s="20" t="str">
        <f ca="1">IFERROR(VLOOKUP(O3582,EMAILS!B:C,2,FALSE),"NOT FOUND IN EMAILS")</f>
        <v>supplier@gmail.com</v>
      </c>
      <c r="Q3582" t="str">
        <f ca="1">""&amp;IFERROR(VLOOKUP(O3582,EMAILS!B:D,3,FALSE),"NOT FOUND IN EMAILS")</f>
        <v/>
      </c>
      <c r="R3582" t="str">
        <f ca="1">""&amp;IFERROR(VLOOKUP(O3582,EMAILS!B:E,4,FALSE),"NO T FOUND IN EMAILS")</f>
        <v/>
      </c>
    </row>
    <row r="3583" spans="2:18" x14ac:dyDescent="0.25">
      <c r="B3583" s="5" t="s">
        <v>3585</v>
      </c>
      <c r="C3583" s="5" t="s">
        <v>7725</v>
      </c>
      <c r="D3583" s="5">
        <v>0</v>
      </c>
      <c r="E3583" s="5">
        <v>0</v>
      </c>
      <c r="F3583" s="5">
        <v>0</v>
      </c>
      <c r="G3583" s="5">
        <v>0</v>
      </c>
      <c r="H3583" s="5">
        <v>0</v>
      </c>
      <c r="I3583" s="5">
        <v>0</v>
      </c>
      <c r="J3583" s="5">
        <v>0</v>
      </c>
      <c r="K3583" s="5">
        <v>0</v>
      </c>
      <c r="L3583" s="5">
        <v>0</v>
      </c>
      <c r="M3583" s="5">
        <v>0</v>
      </c>
      <c r="N3583" s="5">
        <v>0</v>
      </c>
      <c r="O3583" s="5" t="str">
        <f t="shared" ca="1" si="55"/>
        <v>Supplier 60</v>
      </c>
      <c r="P3583" s="20" t="str">
        <f ca="1">IFERROR(VLOOKUP(O3583,EMAILS!B:C,2,FALSE),"NOT FOUND IN EMAILS")</f>
        <v>supplier@gmail.com</v>
      </c>
      <c r="Q3583" t="str">
        <f ca="1">""&amp;IFERROR(VLOOKUP(O3583,EMAILS!B:D,3,FALSE),"NOT FOUND IN EMAILS")</f>
        <v/>
      </c>
      <c r="R3583" t="str">
        <f ca="1">""&amp;IFERROR(VLOOKUP(O3583,EMAILS!B:E,4,FALSE),"NO T FOUND IN EMAILS")</f>
        <v/>
      </c>
    </row>
    <row r="3584" spans="2:18" x14ac:dyDescent="0.25">
      <c r="B3584" s="5" t="s">
        <v>3586</v>
      </c>
      <c r="C3584" s="5" t="s">
        <v>7726</v>
      </c>
      <c r="D3584" s="5">
        <v>0</v>
      </c>
      <c r="E3584" s="5">
        <v>0</v>
      </c>
      <c r="F3584" s="5">
        <v>0</v>
      </c>
      <c r="G3584" s="5">
        <v>0</v>
      </c>
      <c r="H3584" s="5">
        <v>0</v>
      </c>
      <c r="I3584" s="5">
        <v>0</v>
      </c>
      <c r="J3584" s="5">
        <v>0</v>
      </c>
      <c r="K3584" s="5">
        <v>0</v>
      </c>
      <c r="L3584" s="5">
        <v>0</v>
      </c>
      <c r="M3584" s="5">
        <v>0</v>
      </c>
      <c r="N3584" s="5">
        <v>0</v>
      </c>
      <c r="O3584" s="5" t="str">
        <f t="shared" ca="1" si="55"/>
        <v>Supplier 154</v>
      </c>
      <c r="P3584" s="20" t="str">
        <f ca="1">IFERROR(VLOOKUP(O3584,EMAILS!B:C,2,FALSE),"NOT FOUND IN EMAILS")</f>
        <v>supplier@gmail.com</v>
      </c>
      <c r="Q3584" t="str">
        <f ca="1">""&amp;IFERROR(VLOOKUP(O3584,EMAILS!B:D,3,FALSE),"NOT FOUND IN EMAILS")</f>
        <v/>
      </c>
      <c r="R3584" t="str">
        <f ca="1">""&amp;IFERROR(VLOOKUP(O3584,EMAILS!B:E,4,FALSE),"NO T FOUND IN EMAILS")</f>
        <v/>
      </c>
    </row>
    <row r="3585" spans="2:18" x14ac:dyDescent="0.25">
      <c r="B3585" s="5" t="s">
        <v>3587</v>
      </c>
      <c r="C3585" s="5" t="s">
        <v>7727</v>
      </c>
      <c r="D3585" s="5">
        <v>0</v>
      </c>
      <c r="E3585" s="5">
        <v>0</v>
      </c>
      <c r="F3585" s="5">
        <v>0</v>
      </c>
      <c r="G3585" s="5">
        <v>0</v>
      </c>
      <c r="H3585" s="5">
        <v>0</v>
      </c>
      <c r="I3585" s="5">
        <v>0</v>
      </c>
      <c r="J3585" s="5">
        <v>0</v>
      </c>
      <c r="K3585" s="5">
        <v>0</v>
      </c>
      <c r="L3585" s="5">
        <v>0</v>
      </c>
      <c r="M3585" s="5">
        <v>0</v>
      </c>
      <c r="N3585" s="5">
        <v>0</v>
      </c>
      <c r="O3585" s="5" t="str">
        <f t="shared" ca="1" si="55"/>
        <v>Supplier 200</v>
      </c>
      <c r="P3585" s="20" t="str">
        <f ca="1">IFERROR(VLOOKUP(O3585,EMAILS!B:C,2,FALSE),"NOT FOUND IN EMAILS")</f>
        <v>supplier@gmail.com</v>
      </c>
      <c r="Q3585" t="str">
        <f ca="1">""&amp;IFERROR(VLOOKUP(O3585,EMAILS!B:D,3,FALSE),"NOT FOUND IN EMAILS")</f>
        <v/>
      </c>
      <c r="R3585" t="str">
        <f ca="1">""&amp;IFERROR(VLOOKUP(O3585,EMAILS!B:E,4,FALSE),"NO T FOUND IN EMAILS")</f>
        <v/>
      </c>
    </row>
    <row r="3586" spans="2:18" x14ac:dyDescent="0.25">
      <c r="B3586" s="5" t="s">
        <v>3588</v>
      </c>
      <c r="C3586" s="5" t="s">
        <v>7728</v>
      </c>
      <c r="D3586" s="5">
        <v>0</v>
      </c>
      <c r="E3586" s="5">
        <v>0</v>
      </c>
      <c r="F3586" s="5">
        <v>0</v>
      </c>
      <c r="G3586" s="5">
        <v>0</v>
      </c>
      <c r="H3586" s="5">
        <v>0</v>
      </c>
      <c r="I3586" s="5">
        <v>0</v>
      </c>
      <c r="J3586" s="5">
        <v>0</v>
      </c>
      <c r="K3586" s="5">
        <v>0</v>
      </c>
      <c r="L3586" s="5">
        <v>0</v>
      </c>
      <c r="M3586" s="5">
        <v>0</v>
      </c>
      <c r="N3586" s="5">
        <v>0</v>
      </c>
      <c r="O3586" s="5" t="str">
        <f t="shared" ca="1" si="55"/>
        <v>Supplier 3</v>
      </c>
      <c r="P3586" s="20" t="str">
        <f ca="1">IFERROR(VLOOKUP(O3586,EMAILS!B:C,2,FALSE),"NOT FOUND IN EMAILS")</f>
        <v>supplier@gmail.com</v>
      </c>
      <c r="Q3586" t="str">
        <f ca="1">""&amp;IFERROR(VLOOKUP(O3586,EMAILS!B:D,3,FALSE),"NOT FOUND IN EMAILS")</f>
        <v>supplier_logistics@gmail.com</v>
      </c>
      <c r="R3586" t="str">
        <f ca="1">""&amp;IFERROR(VLOOKUP(O3586,EMAILS!B:E,4,FALSE),"NO T FOUND IN EMAILS")</f>
        <v/>
      </c>
    </row>
    <row r="3587" spans="2:18" x14ac:dyDescent="0.25">
      <c r="B3587" s="5" t="s">
        <v>3589</v>
      </c>
      <c r="C3587" s="5" t="s">
        <v>7729</v>
      </c>
      <c r="D3587" s="5">
        <v>0</v>
      </c>
      <c r="E3587" s="5">
        <v>0</v>
      </c>
      <c r="F3587" s="5">
        <v>0</v>
      </c>
      <c r="G3587" s="5">
        <v>0</v>
      </c>
      <c r="H3587" s="5">
        <v>0</v>
      </c>
      <c r="I3587" s="5">
        <v>0</v>
      </c>
      <c r="J3587" s="5">
        <v>0</v>
      </c>
      <c r="K3587" s="5">
        <v>0</v>
      </c>
      <c r="L3587" s="5">
        <v>0</v>
      </c>
      <c r="M3587" s="5">
        <v>0</v>
      </c>
      <c r="N3587" s="5">
        <v>0</v>
      </c>
      <c r="O3587" s="5" t="str">
        <f t="shared" ref="O3587:O3650" ca="1" si="56">"Supplier "&amp;RANDBETWEEN(1,200)</f>
        <v>Supplier 60</v>
      </c>
      <c r="P3587" s="20" t="str">
        <f ca="1">IFERROR(VLOOKUP(O3587,EMAILS!B:C,2,FALSE),"NOT FOUND IN EMAILS")</f>
        <v>supplier@gmail.com</v>
      </c>
      <c r="Q3587" t="str">
        <f ca="1">""&amp;IFERROR(VLOOKUP(O3587,EMAILS!B:D,3,FALSE),"NOT FOUND IN EMAILS")</f>
        <v/>
      </c>
      <c r="R3587" t="str">
        <f ca="1">""&amp;IFERROR(VLOOKUP(O3587,EMAILS!B:E,4,FALSE),"NO T FOUND IN EMAILS")</f>
        <v/>
      </c>
    </row>
    <row r="3588" spans="2:18" x14ac:dyDescent="0.25">
      <c r="B3588" s="5" t="s">
        <v>3590</v>
      </c>
      <c r="C3588" s="5" t="s">
        <v>7730</v>
      </c>
      <c r="D3588" s="5">
        <v>0</v>
      </c>
      <c r="E3588" s="5">
        <v>0</v>
      </c>
      <c r="F3588" s="5">
        <v>0</v>
      </c>
      <c r="G3588" s="5">
        <v>0</v>
      </c>
      <c r="H3588" s="5">
        <v>0</v>
      </c>
      <c r="I3588" s="5">
        <v>0</v>
      </c>
      <c r="J3588" s="5">
        <v>0</v>
      </c>
      <c r="K3588" s="5">
        <v>0</v>
      </c>
      <c r="L3588" s="5">
        <v>0</v>
      </c>
      <c r="M3588" s="5">
        <v>0</v>
      </c>
      <c r="N3588" s="5">
        <v>0</v>
      </c>
      <c r="O3588" s="5" t="str">
        <f t="shared" ca="1" si="56"/>
        <v>Supplier 125</v>
      </c>
      <c r="P3588" s="20" t="str">
        <f ca="1">IFERROR(VLOOKUP(O3588,EMAILS!B:C,2,FALSE),"NOT FOUND IN EMAILS")</f>
        <v>supplier@gmail.com</v>
      </c>
      <c r="Q3588" t="str">
        <f ca="1">""&amp;IFERROR(VLOOKUP(O3588,EMAILS!B:D,3,FALSE),"NOT FOUND IN EMAILS")</f>
        <v/>
      </c>
      <c r="R3588" t="str">
        <f ca="1">""&amp;IFERROR(VLOOKUP(O3588,EMAILS!B:E,4,FALSE),"NO T FOUND IN EMAILS")</f>
        <v/>
      </c>
    </row>
    <row r="3589" spans="2:18" x14ac:dyDescent="0.25">
      <c r="B3589" s="5" t="s">
        <v>3591</v>
      </c>
      <c r="C3589" s="5" t="s">
        <v>7731</v>
      </c>
      <c r="D3589" s="5">
        <v>0</v>
      </c>
      <c r="E3589" s="5">
        <v>0</v>
      </c>
      <c r="F3589" s="5">
        <v>0</v>
      </c>
      <c r="G3589" s="5">
        <v>0</v>
      </c>
      <c r="H3589" s="5">
        <v>0</v>
      </c>
      <c r="I3589" s="5">
        <v>0</v>
      </c>
      <c r="J3589" s="5">
        <v>0</v>
      </c>
      <c r="K3589" s="5">
        <v>0</v>
      </c>
      <c r="L3589" s="5">
        <v>0</v>
      </c>
      <c r="M3589" s="5">
        <v>0</v>
      </c>
      <c r="N3589" s="5">
        <v>0</v>
      </c>
      <c r="O3589" s="5" t="str">
        <f t="shared" ca="1" si="56"/>
        <v>Supplier 21</v>
      </c>
      <c r="P3589" s="20" t="str">
        <f ca="1">IFERROR(VLOOKUP(O3589,EMAILS!B:C,2,FALSE),"NOT FOUND IN EMAILS")</f>
        <v>supplier@gmail.com</v>
      </c>
      <c r="Q3589" t="str">
        <f ca="1">""&amp;IFERROR(VLOOKUP(O3589,EMAILS!B:D,3,FALSE),"NOT FOUND IN EMAILS")</f>
        <v/>
      </c>
      <c r="R3589" t="str">
        <f ca="1">""&amp;IFERROR(VLOOKUP(O3589,EMAILS!B:E,4,FALSE),"NO T FOUND IN EMAILS")</f>
        <v/>
      </c>
    </row>
    <row r="3590" spans="2:18" x14ac:dyDescent="0.25">
      <c r="B3590" s="5" t="s">
        <v>3592</v>
      </c>
      <c r="C3590" s="5" t="s">
        <v>7732</v>
      </c>
      <c r="D3590" s="5">
        <v>0</v>
      </c>
      <c r="E3590" s="5">
        <v>0</v>
      </c>
      <c r="F3590" s="5">
        <v>0</v>
      </c>
      <c r="G3590" s="5">
        <v>0</v>
      </c>
      <c r="H3590" s="5">
        <v>0</v>
      </c>
      <c r="I3590" s="5">
        <v>0</v>
      </c>
      <c r="J3590" s="5">
        <v>0</v>
      </c>
      <c r="K3590" s="5">
        <v>0</v>
      </c>
      <c r="L3590" s="5">
        <v>0</v>
      </c>
      <c r="M3590" s="5">
        <v>0</v>
      </c>
      <c r="N3590" s="5">
        <v>0</v>
      </c>
      <c r="O3590" s="5" t="str">
        <f t="shared" ca="1" si="56"/>
        <v>Supplier 164</v>
      </c>
      <c r="P3590" s="20" t="str">
        <f ca="1">IFERROR(VLOOKUP(O3590,EMAILS!B:C,2,FALSE),"NOT FOUND IN EMAILS")</f>
        <v>supplier@gmail.com</v>
      </c>
      <c r="Q3590" t="str">
        <f ca="1">""&amp;IFERROR(VLOOKUP(O3590,EMAILS!B:D,3,FALSE),"NOT FOUND IN EMAILS")</f>
        <v/>
      </c>
      <c r="R3590" t="str">
        <f ca="1">""&amp;IFERROR(VLOOKUP(O3590,EMAILS!B:E,4,FALSE),"NO T FOUND IN EMAILS")</f>
        <v/>
      </c>
    </row>
    <row r="3591" spans="2:18" x14ac:dyDescent="0.25">
      <c r="B3591" s="5" t="s">
        <v>3593</v>
      </c>
      <c r="C3591" s="5" t="s">
        <v>7733</v>
      </c>
      <c r="D3591" s="5">
        <v>0</v>
      </c>
      <c r="E3591" s="5">
        <v>0</v>
      </c>
      <c r="F3591" s="5">
        <v>0</v>
      </c>
      <c r="G3591" s="5">
        <v>0</v>
      </c>
      <c r="H3591" s="5">
        <v>0</v>
      </c>
      <c r="I3591" s="5">
        <v>0</v>
      </c>
      <c r="J3591" s="5">
        <v>0</v>
      </c>
      <c r="K3591" s="5">
        <v>0</v>
      </c>
      <c r="L3591" s="5">
        <v>0</v>
      </c>
      <c r="M3591" s="5">
        <v>0</v>
      </c>
      <c r="N3591" s="5">
        <v>0</v>
      </c>
      <c r="O3591" s="5" t="str">
        <f t="shared" ca="1" si="56"/>
        <v>Supplier 22</v>
      </c>
      <c r="P3591" s="20" t="str">
        <f ca="1">IFERROR(VLOOKUP(O3591,EMAILS!B:C,2,FALSE),"NOT FOUND IN EMAILS")</f>
        <v>supplier@gmail.com</v>
      </c>
      <c r="Q3591" t="str">
        <f ca="1">""&amp;IFERROR(VLOOKUP(O3591,EMAILS!B:D,3,FALSE),"NOT FOUND IN EMAILS")</f>
        <v/>
      </c>
      <c r="R3591" t="str">
        <f ca="1">""&amp;IFERROR(VLOOKUP(O3591,EMAILS!B:E,4,FALSE),"NO T FOUND IN EMAILS")</f>
        <v/>
      </c>
    </row>
    <row r="3592" spans="2:18" x14ac:dyDescent="0.25">
      <c r="B3592" s="5" t="s">
        <v>3594</v>
      </c>
      <c r="C3592" s="5" t="s">
        <v>7734</v>
      </c>
      <c r="D3592" s="5">
        <v>0</v>
      </c>
      <c r="E3592" s="5">
        <v>0</v>
      </c>
      <c r="F3592" s="5">
        <v>0</v>
      </c>
      <c r="G3592" s="5">
        <v>0</v>
      </c>
      <c r="H3592" s="5">
        <v>0</v>
      </c>
      <c r="I3592" s="5">
        <v>0</v>
      </c>
      <c r="J3592" s="5">
        <v>0</v>
      </c>
      <c r="K3592" s="5">
        <v>0</v>
      </c>
      <c r="L3592" s="5">
        <v>0</v>
      </c>
      <c r="M3592" s="5">
        <v>0</v>
      </c>
      <c r="N3592" s="5">
        <v>0</v>
      </c>
      <c r="O3592" s="5" t="str">
        <f t="shared" ca="1" si="56"/>
        <v>Supplier 3</v>
      </c>
      <c r="P3592" s="20" t="str">
        <f ca="1">IFERROR(VLOOKUP(O3592,EMAILS!B:C,2,FALSE),"NOT FOUND IN EMAILS")</f>
        <v>supplier@gmail.com</v>
      </c>
      <c r="Q3592" t="str">
        <f ca="1">""&amp;IFERROR(VLOOKUP(O3592,EMAILS!B:D,3,FALSE),"NOT FOUND IN EMAILS")</f>
        <v>supplier_logistics@gmail.com</v>
      </c>
      <c r="R3592" t="str">
        <f ca="1">""&amp;IFERROR(VLOOKUP(O3592,EMAILS!B:E,4,FALSE),"NO T FOUND IN EMAILS")</f>
        <v/>
      </c>
    </row>
    <row r="3593" spans="2:18" x14ac:dyDescent="0.25">
      <c r="B3593" s="5" t="s">
        <v>3595</v>
      </c>
      <c r="C3593" s="5" t="s">
        <v>7735</v>
      </c>
      <c r="D3593" s="5">
        <v>0</v>
      </c>
      <c r="E3593" s="5">
        <v>0</v>
      </c>
      <c r="F3593" s="5">
        <v>0</v>
      </c>
      <c r="G3593" s="5">
        <v>0</v>
      </c>
      <c r="H3593" s="5">
        <v>0</v>
      </c>
      <c r="I3593" s="5">
        <v>0</v>
      </c>
      <c r="J3593" s="5">
        <v>0</v>
      </c>
      <c r="K3593" s="5">
        <v>0</v>
      </c>
      <c r="L3593" s="5">
        <v>0</v>
      </c>
      <c r="M3593" s="5">
        <v>0</v>
      </c>
      <c r="N3593" s="5">
        <v>0</v>
      </c>
      <c r="O3593" s="5" t="str">
        <f t="shared" ca="1" si="56"/>
        <v>Supplier 48</v>
      </c>
      <c r="P3593" s="20" t="str">
        <f ca="1">IFERROR(VLOOKUP(O3593,EMAILS!B:C,2,FALSE),"NOT FOUND IN EMAILS")</f>
        <v>supplier@gmail.com</v>
      </c>
      <c r="Q3593" t="str">
        <f ca="1">""&amp;IFERROR(VLOOKUP(O3593,EMAILS!B:D,3,FALSE),"NOT FOUND IN EMAILS")</f>
        <v/>
      </c>
      <c r="R3593" t="str">
        <f ca="1">""&amp;IFERROR(VLOOKUP(O3593,EMAILS!B:E,4,FALSE),"NO T FOUND IN EMAILS")</f>
        <v/>
      </c>
    </row>
    <row r="3594" spans="2:18" x14ac:dyDescent="0.25">
      <c r="B3594" s="5" t="s">
        <v>3596</v>
      </c>
      <c r="C3594" s="5" t="s">
        <v>7736</v>
      </c>
      <c r="D3594" s="5">
        <v>0</v>
      </c>
      <c r="E3594" s="5">
        <v>0</v>
      </c>
      <c r="F3594" s="5">
        <v>0</v>
      </c>
      <c r="G3594" s="5">
        <v>0</v>
      </c>
      <c r="H3594" s="5">
        <v>0</v>
      </c>
      <c r="I3594" s="5">
        <v>0</v>
      </c>
      <c r="J3594" s="5">
        <v>0</v>
      </c>
      <c r="K3594" s="5">
        <v>0</v>
      </c>
      <c r="L3594" s="5">
        <v>0</v>
      </c>
      <c r="M3594" s="5">
        <v>0</v>
      </c>
      <c r="N3594" s="5">
        <v>0</v>
      </c>
      <c r="O3594" s="5" t="str">
        <f t="shared" ca="1" si="56"/>
        <v>Supplier 12</v>
      </c>
      <c r="P3594" s="20" t="str">
        <f ca="1">IFERROR(VLOOKUP(O3594,EMAILS!B:C,2,FALSE),"NOT FOUND IN EMAILS")</f>
        <v>supplier@gmail.com</v>
      </c>
      <c r="Q3594" t="str">
        <f ca="1">""&amp;IFERROR(VLOOKUP(O3594,EMAILS!B:D,3,FALSE),"NOT FOUND IN EMAILS")</f>
        <v>supplier_logistics@gmail.com</v>
      </c>
      <c r="R3594" t="str">
        <f ca="1">""&amp;IFERROR(VLOOKUP(O3594,EMAILS!B:E,4,FALSE),"NO T FOUND IN EMAILS")</f>
        <v/>
      </c>
    </row>
    <row r="3595" spans="2:18" x14ac:dyDescent="0.25">
      <c r="B3595" s="5" t="s">
        <v>3597</v>
      </c>
      <c r="C3595" s="5" t="s">
        <v>7737</v>
      </c>
      <c r="D3595" s="5">
        <v>0</v>
      </c>
      <c r="E3595" s="5">
        <v>0</v>
      </c>
      <c r="F3595" s="5">
        <v>0</v>
      </c>
      <c r="G3595" s="5">
        <v>0</v>
      </c>
      <c r="H3595" s="5">
        <v>0</v>
      </c>
      <c r="I3595" s="5">
        <v>0</v>
      </c>
      <c r="J3595" s="5">
        <v>0</v>
      </c>
      <c r="K3595" s="5">
        <v>0</v>
      </c>
      <c r="L3595" s="5">
        <v>0</v>
      </c>
      <c r="M3595" s="5">
        <v>0</v>
      </c>
      <c r="N3595" s="5">
        <v>0</v>
      </c>
      <c r="O3595" s="5" t="str">
        <f t="shared" ca="1" si="56"/>
        <v>Supplier 124</v>
      </c>
      <c r="P3595" s="20" t="str">
        <f ca="1">IFERROR(VLOOKUP(O3595,EMAILS!B:C,2,FALSE),"NOT FOUND IN EMAILS")</f>
        <v>supplier@gmail.com</v>
      </c>
      <c r="Q3595" t="str">
        <f ca="1">""&amp;IFERROR(VLOOKUP(O3595,EMAILS!B:D,3,FALSE),"NOT FOUND IN EMAILS")</f>
        <v/>
      </c>
      <c r="R3595" t="str">
        <f ca="1">""&amp;IFERROR(VLOOKUP(O3595,EMAILS!B:E,4,FALSE),"NO T FOUND IN EMAILS")</f>
        <v/>
      </c>
    </row>
    <row r="3596" spans="2:18" x14ac:dyDescent="0.25">
      <c r="B3596" s="5" t="s">
        <v>3598</v>
      </c>
      <c r="C3596" s="5" t="s">
        <v>7738</v>
      </c>
      <c r="D3596" s="5">
        <v>0</v>
      </c>
      <c r="E3596" s="5">
        <v>0</v>
      </c>
      <c r="F3596" s="5">
        <v>0</v>
      </c>
      <c r="G3596" s="5">
        <v>0</v>
      </c>
      <c r="H3596" s="5">
        <v>0</v>
      </c>
      <c r="I3596" s="5">
        <v>0</v>
      </c>
      <c r="J3596" s="5">
        <v>0</v>
      </c>
      <c r="K3596" s="5">
        <v>0</v>
      </c>
      <c r="L3596" s="5">
        <v>0</v>
      </c>
      <c r="M3596" s="5">
        <v>0</v>
      </c>
      <c r="N3596" s="5">
        <v>0</v>
      </c>
      <c r="O3596" s="5" t="str">
        <f t="shared" ca="1" si="56"/>
        <v>Supplier 68</v>
      </c>
      <c r="P3596" s="20" t="str">
        <f ca="1">IFERROR(VLOOKUP(O3596,EMAILS!B:C,2,FALSE),"NOT FOUND IN EMAILS")</f>
        <v>supplier@gmail.com</v>
      </c>
      <c r="Q3596" t="str">
        <f ca="1">""&amp;IFERROR(VLOOKUP(O3596,EMAILS!B:D,3,FALSE),"NOT FOUND IN EMAILS")</f>
        <v/>
      </c>
      <c r="R3596" t="str">
        <f ca="1">""&amp;IFERROR(VLOOKUP(O3596,EMAILS!B:E,4,FALSE),"NO T FOUND IN EMAILS")</f>
        <v/>
      </c>
    </row>
    <row r="3597" spans="2:18" x14ac:dyDescent="0.25">
      <c r="B3597" s="5" t="s">
        <v>3599</v>
      </c>
      <c r="C3597" s="5" t="s">
        <v>7739</v>
      </c>
      <c r="D3597" s="5">
        <v>0</v>
      </c>
      <c r="E3597" s="5">
        <v>0</v>
      </c>
      <c r="F3597" s="5">
        <v>0</v>
      </c>
      <c r="G3597" s="5">
        <v>0</v>
      </c>
      <c r="H3597" s="5">
        <v>0</v>
      </c>
      <c r="I3597" s="5">
        <v>0</v>
      </c>
      <c r="J3597" s="5">
        <v>0</v>
      </c>
      <c r="K3597" s="5">
        <v>0</v>
      </c>
      <c r="L3597" s="5">
        <v>0</v>
      </c>
      <c r="M3597" s="5">
        <v>0</v>
      </c>
      <c r="N3597" s="5">
        <v>0</v>
      </c>
      <c r="O3597" s="5" t="str">
        <f t="shared" ca="1" si="56"/>
        <v>Supplier 15</v>
      </c>
      <c r="P3597" s="20" t="str">
        <f ca="1">IFERROR(VLOOKUP(O3597,EMAILS!B:C,2,FALSE),"NOT FOUND IN EMAILS")</f>
        <v>supplier@gmail.com</v>
      </c>
      <c r="Q3597" t="str">
        <f ca="1">""&amp;IFERROR(VLOOKUP(O3597,EMAILS!B:D,3,FALSE),"NOT FOUND IN EMAILS")</f>
        <v>supplier_logistics@gmail.com</v>
      </c>
      <c r="R3597" t="str">
        <f ca="1">""&amp;IFERROR(VLOOKUP(O3597,EMAILS!B:E,4,FALSE),"NO T FOUND IN EMAILS")</f>
        <v/>
      </c>
    </row>
    <row r="3598" spans="2:18" x14ac:dyDescent="0.25">
      <c r="B3598" s="5" t="s">
        <v>3600</v>
      </c>
      <c r="C3598" s="5" t="s">
        <v>7740</v>
      </c>
      <c r="D3598" s="5">
        <v>0</v>
      </c>
      <c r="E3598" s="5">
        <v>0</v>
      </c>
      <c r="F3598" s="5">
        <v>0</v>
      </c>
      <c r="G3598" s="5">
        <v>0</v>
      </c>
      <c r="H3598" s="5">
        <v>0</v>
      </c>
      <c r="I3598" s="5">
        <v>0</v>
      </c>
      <c r="J3598" s="5">
        <v>0</v>
      </c>
      <c r="K3598" s="5">
        <v>0</v>
      </c>
      <c r="L3598" s="5">
        <v>0</v>
      </c>
      <c r="M3598" s="5">
        <v>0</v>
      </c>
      <c r="N3598" s="5">
        <v>0</v>
      </c>
      <c r="O3598" s="5" t="str">
        <f t="shared" ca="1" si="56"/>
        <v>Supplier 42</v>
      </c>
      <c r="P3598" s="20" t="str">
        <f ca="1">IFERROR(VLOOKUP(O3598,EMAILS!B:C,2,FALSE),"NOT FOUND IN EMAILS")</f>
        <v>supplier@gmail.com</v>
      </c>
      <c r="Q3598" t="str">
        <f ca="1">""&amp;IFERROR(VLOOKUP(O3598,EMAILS!B:D,3,FALSE),"NOT FOUND IN EMAILS")</f>
        <v/>
      </c>
      <c r="R3598" t="str">
        <f ca="1">""&amp;IFERROR(VLOOKUP(O3598,EMAILS!B:E,4,FALSE),"NO T FOUND IN EMAILS")</f>
        <v/>
      </c>
    </row>
    <row r="3599" spans="2:18" x14ac:dyDescent="0.25">
      <c r="B3599" s="5" t="s">
        <v>3601</v>
      </c>
      <c r="C3599" s="5" t="s">
        <v>7741</v>
      </c>
      <c r="D3599" s="5">
        <v>0</v>
      </c>
      <c r="E3599" s="5">
        <v>0</v>
      </c>
      <c r="F3599" s="5">
        <v>0</v>
      </c>
      <c r="G3599" s="5">
        <v>0</v>
      </c>
      <c r="H3599" s="5">
        <v>0</v>
      </c>
      <c r="I3599" s="5">
        <v>0</v>
      </c>
      <c r="J3599" s="5">
        <v>0</v>
      </c>
      <c r="K3599" s="5">
        <v>0</v>
      </c>
      <c r="L3599" s="5">
        <v>0</v>
      </c>
      <c r="M3599" s="5">
        <v>0</v>
      </c>
      <c r="N3599" s="5">
        <v>0</v>
      </c>
      <c r="O3599" s="5" t="str">
        <f t="shared" ca="1" si="56"/>
        <v>Supplier 70</v>
      </c>
      <c r="P3599" s="20" t="str">
        <f ca="1">IFERROR(VLOOKUP(O3599,EMAILS!B:C,2,FALSE),"NOT FOUND IN EMAILS")</f>
        <v>supplier@gmail.com</v>
      </c>
      <c r="Q3599" t="str">
        <f ca="1">""&amp;IFERROR(VLOOKUP(O3599,EMAILS!B:D,3,FALSE),"NOT FOUND IN EMAILS")</f>
        <v/>
      </c>
      <c r="R3599" t="str">
        <f ca="1">""&amp;IFERROR(VLOOKUP(O3599,EMAILS!B:E,4,FALSE),"NO T FOUND IN EMAILS")</f>
        <v/>
      </c>
    </row>
    <row r="3600" spans="2:18" x14ac:dyDescent="0.25">
      <c r="B3600" s="5" t="s">
        <v>3602</v>
      </c>
      <c r="C3600" s="5" t="s">
        <v>7742</v>
      </c>
      <c r="D3600" s="5">
        <v>0</v>
      </c>
      <c r="E3600" s="5">
        <v>0</v>
      </c>
      <c r="F3600" s="5">
        <v>0</v>
      </c>
      <c r="G3600" s="5">
        <v>0</v>
      </c>
      <c r="H3600" s="5">
        <v>0</v>
      </c>
      <c r="I3600" s="5">
        <v>0</v>
      </c>
      <c r="J3600" s="5">
        <v>0</v>
      </c>
      <c r="K3600" s="5">
        <v>0</v>
      </c>
      <c r="L3600" s="5">
        <v>0</v>
      </c>
      <c r="M3600" s="5">
        <v>0</v>
      </c>
      <c r="N3600" s="5">
        <v>0</v>
      </c>
      <c r="O3600" s="5" t="str">
        <f t="shared" ca="1" si="56"/>
        <v>Supplier 102</v>
      </c>
      <c r="P3600" s="20" t="str">
        <f ca="1">IFERROR(VLOOKUP(O3600,EMAILS!B:C,2,FALSE),"NOT FOUND IN EMAILS")</f>
        <v>supplier@gmail.com</v>
      </c>
      <c r="Q3600" t="str">
        <f ca="1">""&amp;IFERROR(VLOOKUP(O3600,EMAILS!B:D,3,FALSE),"NOT FOUND IN EMAILS")</f>
        <v/>
      </c>
      <c r="R3600" t="str">
        <f ca="1">""&amp;IFERROR(VLOOKUP(O3600,EMAILS!B:E,4,FALSE),"NO T FOUND IN EMAILS")</f>
        <v/>
      </c>
    </row>
    <row r="3601" spans="2:18" x14ac:dyDescent="0.25">
      <c r="B3601" s="5" t="s">
        <v>3603</v>
      </c>
      <c r="C3601" s="5" t="s">
        <v>7743</v>
      </c>
      <c r="D3601" s="5">
        <v>0</v>
      </c>
      <c r="E3601" s="5">
        <v>0</v>
      </c>
      <c r="F3601" s="5">
        <v>0</v>
      </c>
      <c r="G3601" s="5">
        <v>0</v>
      </c>
      <c r="H3601" s="5">
        <v>0</v>
      </c>
      <c r="I3601" s="5">
        <v>0</v>
      </c>
      <c r="J3601" s="5">
        <v>0</v>
      </c>
      <c r="K3601" s="5">
        <v>0</v>
      </c>
      <c r="L3601" s="5">
        <v>0</v>
      </c>
      <c r="M3601" s="5">
        <v>0</v>
      </c>
      <c r="N3601" s="5">
        <v>0</v>
      </c>
      <c r="O3601" s="5" t="str">
        <f t="shared" ca="1" si="56"/>
        <v>Supplier 162</v>
      </c>
      <c r="P3601" s="20" t="str">
        <f ca="1">IFERROR(VLOOKUP(O3601,EMAILS!B:C,2,FALSE),"NOT FOUND IN EMAILS")</f>
        <v>supplier@gmail.com</v>
      </c>
      <c r="Q3601" t="str">
        <f ca="1">""&amp;IFERROR(VLOOKUP(O3601,EMAILS!B:D,3,FALSE),"NOT FOUND IN EMAILS")</f>
        <v/>
      </c>
      <c r="R3601" t="str">
        <f ca="1">""&amp;IFERROR(VLOOKUP(O3601,EMAILS!B:E,4,FALSE),"NO T FOUND IN EMAILS")</f>
        <v/>
      </c>
    </row>
    <row r="3602" spans="2:18" x14ac:dyDescent="0.25">
      <c r="B3602" s="5" t="s">
        <v>3604</v>
      </c>
      <c r="C3602" s="5" t="s">
        <v>7744</v>
      </c>
      <c r="D3602" s="5">
        <v>0</v>
      </c>
      <c r="E3602" s="5">
        <v>0</v>
      </c>
      <c r="F3602" s="5">
        <v>0</v>
      </c>
      <c r="G3602" s="5">
        <v>0</v>
      </c>
      <c r="H3602" s="5">
        <v>0</v>
      </c>
      <c r="I3602" s="5">
        <v>0</v>
      </c>
      <c r="J3602" s="5">
        <v>0</v>
      </c>
      <c r="K3602" s="5">
        <v>0</v>
      </c>
      <c r="L3602" s="5">
        <v>0</v>
      </c>
      <c r="M3602" s="5">
        <v>0</v>
      </c>
      <c r="N3602" s="5">
        <v>0</v>
      </c>
      <c r="O3602" s="5" t="str">
        <f t="shared" ca="1" si="56"/>
        <v>Supplier 76</v>
      </c>
      <c r="P3602" s="20" t="str">
        <f ca="1">IFERROR(VLOOKUP(O3602,EMAILS!B:C,2,FALSE),"NOT FOUND IN EMAILS")</f>
        <v>supplier@gmail.com</v>
      </c>
      <c r="Q3602" t="str">
        <f ca="1">""&amp;IFERROR(VLOOKUP(O3602,EMAILS!B:D,3,FALSE),"NOT FOUND IN EMAILS")</f>
        <v/>
      </c>
      <c r="R3602" t="str">
        <f ca="1">""&amp;IFERROR(VLOOKUP(O3602,EMAILS!B:E,4,FALSE),"NO T FOUND IN EMAILS")</f>
        <v/>
      </c>
    </row>
    <row r="3603" spans="2:18" x14ac:dyDescent="0.25">
      <c r="B3603" s="5" t="s">
        <v>3605</v>
      </c>
      <c r="C3603" s="5" t="s">
        <v>7745</v>
      </c>
      <c r="D3603" s="5">
        <v>0</v>
      </c>
      <c r="E3603" s="5">
        <v>0</v>
      </c>
      <c r="F3603" s="5">
        <v>0</v>
      </c>
      <c r="G3603" s="5">
        <v>0</v>
      </c>
      <c r="H3603" s="5">
        <v>0</v>
      </c>
      <c r="I3603" s="5">
        <v>0</v>
      </c>
      <c r="J3603" s="5">
        <v>0</v>
      </c>
      <c r="K3603" s="5">
        <v>0</v>
      </c>
      <c r="L3603" s="5">
        <v>0</v>
      </c>
      <c r="M3603" s="5">
        <v>0</v>
      </c>
      <c r="N3603" s="5">
        <v>0</v>
      </c>
      <c r="O3603" s="5" t="str">
        <f t="shared" ca="1" si="56"/>
        <v>Supplier 152</v>
      </c>
      <c r="P3603" s="20" t="str">
        <f ca="1">IFERROR(VLOOKUP(O3603,EMAILS!B:C,2,FALSE),"NOT FOUND IN EMAILS")</f>
        <v>supplier@gmail.com</v>
      </c>
      <c r="Q3603" t="str">
        <f ca="1">""&amp;IFERROR(VLOOKUP(O3603,EMAILS!B:D,3,FALSE),"NOT FOUND IN EMAILS")</f>
        <v/>
      </c>
      <c r="R3603" t="str">
        <f ca="1">""&amp;IFERROR(VLOOKUP(O3603,EMAILS!B:E,4,FALSE),"NO T FOUND IN EMAILS")</f>
        <v/>
      </c>
    </row>
    <row r="3604" spans="2:18" x14ac:dyDescent="0.25">
      <c r="B3604" s="5" t="s">
        <v>3606</v>
      </c>
      <c r="C3604" s="5" t="s">
        <v>7746</v>
      </c>
      <c r="D3604" s="5">
        <v>0</v>
      </c>
      <c r="E3604" s="5">
        <v>0</v>
      </c>
      <c r="F3604" s="5">
        <v>0</v>
      </c>
      <c r="G3604" s="5">
        <v>0</v>
      </c>
      <c r="H3604" s="5">
        <v>0</v>
      </c>
      <c r="I3604" s="5">
        <v>0</v>
      </c>
      <c r="J3604" s="5">
        <v>0</v>
      </c>
      <c r="K3604" s="5">
        <v>0</v>
      </c>
      <c r="L3604" s="5">
        <v>0</v>
      </c>
      <c r="M3604" s="5">
        <v>0</v>
      </c>
      <c r="N3604" s="5">
        <v>0</v>
      </c>
      <c r="O3604" s="5" t="str">
        <f t="shared" ca="1" si="56"/>
        <v>Supplier 90</v>
      </c>
      <c r="P3604" s="20" t="str">
        <f ca="1">IFERROR(VLOOKUP(O3604,EMAILS!B:C,2,FALSE),"NOT FOUND IN EMAILS")</f>
        <v>supplier@gmail.com</v>
      </c>
      <c r="Q3604" t="str">
        <f ca="1">""&amp;IFERROR(VLOOKUP(O3604,EMAILS!B:D,3,FALSE),"NOT FOUND IN EMAILS")</f>
        <v/>
      </c>
      <c r="R3604" t="str">
        <f ca="1">""&amp;IFERROR(VLOOKUP(O3604,EMAILS!B:E,4,FALSE),"NO T FOUND IN EMAILS")</f>
        <v/>
      </c>
    </row>
    <row r="3605" spans="2:18" x14ac:dyDescent="0.25">
      <c r="B3605" s="5" t="s">
        <v>3607</v>
      </c>
      <c r="C3605" s="5" t="s">
        <v>7747</v>
      </c>
      <c r="D3605" s="5">
        <v>0</v>
      </c>
      <c r="E3605" s="5">
        <v>0</v>
      </c>
      <c r="F3605" s="5">
        <v>0</v>
      </c>
      <c r="G3605" s="5">
        <v>0</v>
      </c>
      <c r="H3605" s="5">
        <v>0</v>
      </c>
      <c r="I3605" s="5">
        <v>0</v>
      </c>
      <c r="J3605" s="5">
        <v>0</v>
      </c>
      <c r="K3605" s="5">
        <v>0</v>
      </c>
      <c r="L3605" s="5">
        <v>0</v>
      </c>
      <c r="M3605" s="5">
        <v>0</v>
      </c>
      <c r="N3605" s="5">
        <v>0</v>
      </c>
      <c r="O3605" s="5" t="str">
        <f t="shared" ca="1" si="56"/>
        <v>Supplier 120</v>
      </c>
      <c r="P3605" s="20" t="str">
        <f ca="1">IFERROR(VLOOKUP(O3605,EMAILS!B:C,2,FALSE),"NOT FOUND IN EMAILS")</f>
        <v>supplier@gmail.com</v>
      </c>
      <c r="Q3605" t="str">
        <f ca="1">""&amp;IFERROR(VLOOKUP(O3605,EMAILS!B:D,3,FALSE),"NOT FOUND IN EMAILS")</f>
        <v/>
      </c>
      <c r="R3605" t="str">
        <f ca="1">""&amp;IFERROR(VLOOKUP(O3605,EMAILS!B:E,4,FALSE),"NO T FOUND IN EMAILS")</f>
        <v/>
      </c>
    </row>
    <row r="3606" spans="2:18" x14ac:dyDescent="0.25">
      <c r="B3606" s="5" t="s">
        <v>3608</v>
      </c>
      <c r="C3606" s="5" t="s">
        <v>7748</v>
      </c>
      <c r="D3606" s="5">
        <v>0</v>
      </c>
      <c r="E3606" s="5">
        <v>0</v>
      </c>
      <c r="F3606" s="5">
        <v>0</v>
      </c>
      <c r="G3606" s="5">
        <v>0</v>
      </c>
      <c r="H3606" s="5">
        <v>0</v>
      </c>
      <c r="I3606" s="5">
        <v>0</v>
      </c>
      <c r="J3606" s="5">
        <v>0</v>
      </c>
      <c r="K3606" s="5">
        <v>0</v>
      </c>
      <c r="L3606" s="5">
        <v>0</v>
      </c>
      <c r="M3606" s="5">
        <v>0</v>
      </c>
      <c r="N3606" s="5">
        <v>0</v>
      </c>
      <c r="O3606" s="5" t="str">
        <f t="shared" ca="1" si="56"/>
        <v>Supplier 113</v>
      </c>
      <c r="P3606" s="20" t="str">
        <f ca="1">IFERROR(VLOOKUP(O3606,EMAILS!B:C,2,FALSE),"NOT FOUND IN EMAILS")</f>
        <v>supplier@gmail.com</v>
      </c>
      <c r="Q3606" t="str">
        <f ca="1">""&amp;IFERROR(VLOOKUP(O3606,EMAILS!B:D,3,FALSE),"NOT FOUND IN EMAILS")</f>
        <v/>
      </c>
      <c r="R3606" t="str">
        <f ca="1">""&amp;IFERROR(VLOOKUP(O3606,EMAILS!B:E,4,FALSE),"NO T FOUND IN EMAILS")</f>
        <v/>
      </c>
    </row>
    <row r="3607" spans="2:18" x14ac:dyDescent="0.25">
      <c r="B3607" s="5" t="s">
        <v>3609</v>
      </c>
      <c r="C3607" s="5" t="s">
        <v>7749</v>
      </c>
      <c r="D3607" s="5">
        <v>0</v>
      </c>
      <c r="E3607" s="5">
        <v>0</v>
      </c>
      <c r="F3607" s="5">
        <v>0</v>
      </c>
      <c r="G3607" s="5">
        <v>0</v>
      </c>
      <c r="H3607" s="5">
        <v>0</v>
      </c>
      <c r="I3607" s="5">
        <v>0</v>
      </c>
      <c r="J3607" s="5">
        <v>0</v>
      </c>
      <c r="K3607" s="5">
        <v>0</v>
      </c>
      <c r="L3607" s="5">
        <v>0</v>
      </c>
      <c r="M3607" s="5">
        <v>0</v>
      </c>
      <c r="N3607" s="5">
        <v>0</v>
      </c>
      <c r="O3607" s="5" t="str">
        <f t="shared" ca="1" si="56"/>
        <v>Supplier 190</v>
      </c>
      <c r="P3607" s="20" t="str">
        <f ca="1">IFERROR(VLOOKUP(O3607,EMAILS!B:C,2,FALSE),"NOT FOUND IN EMAILS")</f>
        <v>supplier@gmail.com</v>
      </c>
      <c r="Q3607" t="str">
        <f ca="1">""&amp;IFERROR(VLOOKUP(O3607,EMAILS!B:D,3,FALSE),"NOT FOUND IN EMAILS")</f>
        <v/>
      </c>
      <c r="R3607" t="str">
        <f ca="1">""&amp;IFERROR(VLOOKUP(O3607,EMAILS!B:E,4,FALSE),"NO T FOUND IN EMAILS")</f>
        <v/>
      </c>
    </row>
    <row r="3608" spans="2:18" x14ac:dyDescent="0.25">
      <c r="B3608" s="5" t="s">
        <v>3610</v>
      </c>
      <c r="C3608" s="5" t="s">
        <v>7750</v>
      </c>
      <c r="D3608" s="5">
        <v>0</v>
      </c>
      <c r="E3608" s="5">
        <v>0</v>
      </c>
      <c r="F3608" s="5">
        <v>0</v>
      </c>
      <c r="G3608" s="5">
        <v>0</v>
      </c>
      <c r="H3608" s="5">
        <v>0</v>
      </c>
      <c r="I3608" s="5">
        <v>0</v>
      </c>
      <c r="J3608" s="5">
        <v>0</v>
      </c>
      <c r="K3608" s="5">
        <v>0</v>
      </c>
      <c r="L3608" s="5">
        <v>0</v>
      </c>
      <c r="M3608" s="5">
        <v>0</v>
      </c>
      <c r="N3608" s="5">
        <v>0</v>
      </c>
      <c r="O3608" s="5" t="str">
        <f t="shared" ca="1" si="56"/>
        <v>Supplier 100</v>
      </c>
      <c r="P3608" s="20" t="str">
        <f ca="1">IFERROR(VLOOKUP(O3608,EMAILS!B:C,2,FALSE),"NOT FOUND IN EMAILS")</f>
        <v>supplier@gmail.com</v>
      </c>
      <c r="Q3608" t="str">
        <f ca="1">""&amp;IFERROR(VLOOKUP(O3608,EMAILS!B:D,3,FALSE),"NOT FOUND IN EMAILS")</f>
        <v/>
      </c>
      <c r="R3608" t="str">
        <f ca="1">""&amp;IFERROR(VLOOKUP(O3608,EMAILS!B:E,4,FALSE),"NO T FOUND IN EMAILS")</f>
        <v/>
      </c>
    </row>
    <row r="3609" spans="2:18" x14ac:dyDescent="0.25">
      <c r="B3609" s="5" t="s">
        <v>3611</v>
      </c>
      <c r="C3609" s="5" t="s">
        <v>7751</v>
      </c>
      <c r="D3609" s="5">
        <v>0</v>
      </c>
      <c r="E3609" s="5">
        <v>0</v>
      </c>
      <c r="F3609" s="5">
        <v>0</v>
      </c>
      <c r="G3609" s="5">
        <v>0</v>
      </c>
      <c r="H3609" s="5">
        <v>0</v>
      </c>
      <c r="I3609" s="5">
        <v>0</v>
      </c>
      <c r="J3609" s="5">
        <v>0</v>
      </c>
      <c r="K3609" s="5">
        <v>0</v>
      </c>
      <c r="L3609" s="5">
        <v>0</v>
      </c>
      <c r="M3609" s="5">
        <v>0</v>
      </c>
      <c r="N3609" s="5">
        <v>0</v>
      </c>
      <c r="O3609" s="5" t="str">
        <f t="shared" ca="1" si="56"/>
        <v>Supplier 37</v>
      </c>
      <c r="P3609" s="20" t="str">
        <f ca="1">IFERROR(VLOOKUP(O3609,EMAILS!B:C,2,FALSE),"NOT FOUND IN EMAILS")</f>
        <v>supplier@gmail.com</v>
      </c>
      <c r="Q3609" t="str">
        <f ca="1">""&amp;IFERROR(VLOOKUP(O3609,EMAILS!B:D,3,FALSE),"NOT FOUND IN EMAILS")</f>
        <v/>
      </c>
      <c r="R3609" t="str">
        <f ca="1">""&amp;IFERROR(VLOOKUP(O3609,EMAILS!B:E,4,FALSE),"NO T FOUND IN EMAILS")</f>
        <v/>
      </c>
    </row>
    <row r="3610" spans="2:18" x14ac:dyDescent="0.25">
      <c r="B3610" s="5" t="s">
        <v>3612</v>
      </c>
      <c r="C3610" s="5" t="s">
        <v>7752</v>
      </c>
      <c r="D3610" s="5">
        <v>0</v>
      </c>
      <c r="E3610" s="5">
        <v>0</v>
      </c>
      <c r="F3610" s="5">
        <v>0</v>
      </c>
      <c r="G3610" s="5">
        <v>0</v>
      </c>
      <c r="H3610" s="5">
        <v>0</v>
      </c>
      <c r="I3610" s="5">
        <v>0</v>
      </c>
      <c r="J3610" s="5">
        <v>0</v>
      </c>
      <c r="K3610" s="5">
        <v>0</v>
      </c>
      <c r="L3610" s="5">
        <v>0</v>
      </c>
      <c r="M3610" s="5">
        <v>0</v>
      </c>
      <c r="N3610" s="5">
        <v>0</v>
      </c>
      <c r="O3610" s="5" t="str">
        <f t="shared" ca="1" si="56"/>
        <v>Supplier 178</v>
      </c>
      <c r="P3610" s="20" t="str">
        <f ca="1">IFERROR(VLOOKUP(O3610,EMAILS!B:C,2,FALSE),"NOT FOUND IN EMAILS")</f>
        <v>supplier@gmail.com</v>
      </c>
      <c r="Q3610" t="str">
        <f ca="1">""&amp;IFERROR(VLOOKUP(O3610,EMAILS!B:D,3,FALSE),"NOT FOUND IN EMAILS")</f>
        <v/>
      </c>
      <c r="R3610" t="str">
        <f ca="1">""&amp;IFERROR(VLOOKUP(O3610,EMAILS!B:E,4,FALSE),"NO T FOUND IN EMAILS")</f>
        <v/>
      </c>
    </row>
    <row r="3611" spans="2:18" x14ac:dyDescent="0.25">
      <c r="B3611" s="5" t="s">
        <v>3613</v>
      </c>
      <c r="C3611" s="5" t="s">
        <v>7753</v>
      </c>
      <c r="D3611" s="5">
        <v>0</v>
      </c>
      <c r="E3611" s="5">
        <v>0</v>
      </c>
      <c r="F3611" s="5">
        <v>0</v>
      </c>
      <c r="G3611" s="5">
        <v>0</v>
      </c>
      <c r="H3611" s="5">
        <v>0</v>
      </c>
      <c r="I3611" s="5">
        <v>0</v>
      </c>
      <c r="J3611" s="5">
        <v>0</v>
      </c>
      <c r="K3611" s="5">
        <v>0</v>
      </c>
      <c r="L3611" s="5">
        <v>0</v>
      </c>
      <c r="M3611" s="5">
        <v>0</v>
      </c>
      <c r="N3611" s="5">
        <v>0</v>
      </c>
      <c r="O3611" s="5" t="str">
        <f t="shared" ca="1" si="56"/>
        <v>Supplier 21</v>
      </c>
      <c r="P3611" s="20" t="str">
        <f ca="1">IFERROR(VLOOKUP(O3611,EMAILS!B:C,2,FALSE),"NOT FOUND IN EMAILS")</f>
        <v>supplier@gmail.com</v>
      </c>
      <c r="Q3611" t="str">
        <f ca="1">""&amp;IFERROR(VLOOKUP(O3611,EMAILS!B:D,3,FALSE),"NOT FOUND IN EMAILS")</f>
        <v/>
      </c>
      <c r="R3611" t="str">
        <f ca="1">""&amp;IFERROR(VLOOKUP(O3611,EMAILS!B:E,4,FALSE),"NO T FOUND IN EMAILS")</f>
        <v/>
      </c>
    </row>
    <row r="3612" spans="2:18" x14ac:dyDescent="0.25">
      <c r="B3612" s="5" t="s">
        <v>3614</v>
      </c>
      <c r="C3612" s="5" t="s">
        <v>7754</v>
      </c>
      <c r="D3612" s="5">
        <v>0</v>
      </c>
      <c r="E3612" s="5">
        <v>0</v>
      </c>
      <c r="F3612" s="5">
        <v>0</v>
      </c>
      <c r="G3612" s="5">
        <v>0</v>
      </c>
      <c r="H3612" s="5">
        <v>0</v>
      </c>
      <c r="I3612" s="5">
        <v>0</v>
      </c>
      <c r="J3612" s="5">
        <v>0</v>
      </c>
      <c r="K3612" s="5">
        <v>0</v>
      </c>
      <c r="L3612" s="5">
        <v>0</v>
      </c>
      <c r="M3612" s="5">
        <v>0</v>
      </c>
      <c r="N3612" s="5">
        <v>0</v>
      </c>
      <c r="O3612" s="5" t="str">
        <f t="shared" ca="1" si="56"/>
        <v>Supplier 20</v>
      </c>
      <c r="P3612" s="20" t="str">
        <f ca="1">IFERROR(VLOOKUP(O3612,EMAILS!B:C,2,FALSE),"NOT FOUND IN EMAILS")</f>
        <v>supplier@gmail.com</v>
      </c>
      <c r="Q3612" t="str">
        <f ca="1">""&amp;IFERROR(VLOOKUP(O3612,EMAILS!B:D,3,FALSE),"NOT FOUND IN EMAILS")</f>
        <v/>
      </c>
      <c r="R3612" t="str">
        <f ca="1">""&amp;IFERROR(VLOOKUP(O3612,EMAILS!B:E,4,FALSE),"NO T FOUND IN EMAILS")</f>
        <v/>
      </c>
    </row>
    <row r="3613" spans="2:18" x14ac:dyDescent="0.25">
      <c r="B3613" s="5" t="s">
        <v>3615</v>
      </c>
      <c r="C3613" s="5" t="s">
        <v>7755</v>
      </c>
      <c r="D3613" s="5">
        <v>0</v>
      </c>
      <c r="E3613" s="5">
        <v>0</v>
      </c>
      <c r="F3613" s="5">
        <v>0</v>
      </c>
      <c r="G3613" s="5">
        <v>0</v>
      </c>
      <c r="H3613" s="5">
        <v>0</v>
      </c>
      <c r="I3613" s="5">
        <v>0</v>
      </c>
      <c r="J3613" s="5">
        <v>0</v>
      </c>
      <c r="K3613" s="5">
        <v>0</v>
      </c>
      <c r="L3613" s="5">
        <v>0</v>
      </c>
      <c r="M3613" s="5">
        <v>0</v>
      </c>
      <c r="N3613" s="5">
        <v>0</v>
      </c>
      <c r="O3613" s="5" t="str">
        <f t="shared" ca="1" si="56"/>
        <v>Supplier 16</v>
      </c>
      <c r="P3613" s="20" t="str">
        <f ca="1">IFERROR(VLOOKUP(O3613,EMAILS!B:C,2,FALSE),"NOT FOUND IN EMAILS")</f>
        <v>supplier@gmail.com</v>
      </c>
      <c r="Q3613" t="str">
        <f ca="1">""&amp;IFERROR(VLOOKUP(O3613,EMAILS!B:D,3,FALSE),"NOT FOUND IN EMAILS")</f>
        <v>supplier_logistics@gmail.com</v>
      </c>
      <c r="R3613" t="str">
        <f ca="1">""&amp;IFERROR(VLOOKUP(O3613,EMAILS!B:E,4,FALSE),"NO T FOUND IN EMAILS")</f>
        <v/>
      </c>
    </row>
    <row r="3614" spans="2:18" x14ac:dyDescent="0.25">
      <c r="B3614" s="5" t="s">
        <v>3616</v>
      </c>
      <c r="C3614" s="5" t="s">
        <v>7756</v>
      </c>
      <c r="D3614" s="5">
        <v>0</v>
      </c>
      <c r="E3614" s="5">
        <v>0</v>
      </c>
      <c r="F3614" s="5">
        <v>0</v>
      </c>
      <c r="G3614" s="5">
        <v>0</v>
      </c>
      <c r="H3614" s="5">
        <v>0</v>
      </c>
      <c r="I3614" s="5">
        <v>0</v>
      </c>
      <c r="J3614" s="5">
        <v>0</v>
      </c>
      <c r="K3614" s="5">
        <v>0</v>
      </c>
      <c r="L3614" s="5">
        <v>0</v>
      </c>
      <c r="M3614" s="5">
        <v>0</v>
      </c>
      <c r="N3614" s="5">
        <v>0</v>
      </c>
      <c r="O3614" s="5" t="str">
        <f t="shared" ca="1" si="56"/>
        <v>Supplier 73</v>
      </c>
      <c r="P3614" s="20" t="str">
        <f ca="1">IFERROR(VLOOKUP(O3614,EMAILS!B:C,2,FALSE),"NOT FOUND IN EMAILS")</f>
        <v>supplier@gmail.com</v>
      </c>
      <c r="Q3614" t="str">
        <f ca="1">""&amp;IFERROR(VLOOKUP(O3614,EMAILS!B:D,3,FALSE),"NOT FOUND IN EMAILS")</f>
        <v/>
      </c>
      <c r="R3614" t="str">
        <f ca="1">""&amp;IFERROR(VLOOKUP(O3614,EMAILS!B:E,4,FALSE),"NO T FOUND IN EMAILS")</f>
        <v/>
      </c>
    </row>
    <row r="3615" spans="2:18" x14ac:dyDescent="0.25">
      <c r="B3615" s="5" t="s">
        <v>3617</v>
      </c>
      <c r="C3615" s="5" t="s">
        <v>7757</v>
      </c>
      <c r="D3615" s="5">
        <v>0</v>
      </c>
      <c r="E3615" s="5">
        <v>0</v>
      </c>
      <c r="F3615" s="5">
        <v>0</v>
      </c>
      <c r="G3615" s="5">
        <v>0</v>
      </c>
      <c r="H3615" s="5">
        <v>0</v>
      </c>
      <c r="I3615" s="5">
        <v>0</v>
      </c>
      <c r="J3615" s="5">
        <v>0</v>
      </c>
      <c r="K3615" s="5">
        <v>0</v>
      </c>
      <c r="L3615" s="5">
        <v>0</v>
      </c>
      <c r="M3615" s="5">
        <v>0</v>
      </c>
      <c r="N3615" s="5">
        <v>0</v>
      </c>
      <c r="O3615" s="5" t="str">
        <f t="shared" ca="1" si="56"/>
        <v>Supplier 29</v>
      </c>
      <c r="P3615" s="20" t="str">
        <f ca="1">IFERROR(VLOOKUP(O3615,EMAILS!B:C,2,FALSE),"NOT FOUND IN EMAILS")</f>
        <v>supplier@gmail.com</v>
      </c>
      <c r="Q3615" t="str">
        <f ca="1">""&amp;IFERROR(VLOOKUP(O3615,EMAILS!B:D,3,FALSE),"NOT FOUND IN EMAILS")</f>
        <v/>
      </c>
      <c r="R3615" t="str">
        <f ca="1">""&amp;IFERROR(VLOOKUP(O3615,EMAILS!B:E,4,FALSE),"NO T FOUND IN EMAILS")</f>
        <v/>
      </c>
    </row>
    <row r="3616" spans="2:18" x14ac:dyDescent="0.25">
      <c r="B3616" s="5" t="s">
        <v>3618</v>
      </c>
      <c r="C3616" s="5" t="s">
        <v>7758</v>
      </c>
      <c r="D3616" s="5">
        <v>0</v>
      </c>
      <c r="E3616" s="5">
        <v>0</v>
      </c>
      <c r="F3616" s="5">
        <v>0</v>
      </c>
      <c r="G3616" s="5">
        <v>0</v>
      </c>
      <c r="H3616" s="5">
        <v>0</v>
      </c>
      <c r="I3616" s="5">
        <v>0</v>
      </c>
      <c r="J3616" s="5">
        <v>0</v>
      </c>
      <c r="K3616" s="5">
        <v>0</v>
      </c>
      <c r="L3616" s="5">
        <v>0</v>
      </c>
      <c r="M3616" s="5">
        <v>0</v>
      </c>
      <c r="N3616" s="5">
        <v>0</v>
      </c>
      <c r="O3616" s="5" t="str">
        <f t="shared" ca="1" si="56"/>
        <v>Supplier 142</v>
      </c>
      <c r="P3616" s="20" t="str">
        <f ca="1">IFERROR(VLOOKUP(O3616,EMAILS!B:C,2,FALSE),"NOT FOUND IN EMAILS")</f>
        <v>supplier@gmail.com</v>
      </c>
      <c r="Q3616" t="str">
        <f ca="1">""&amp;IFERROR(VLOOKUP(O3616,EMAILS!B:D,3,FALSE),"NOT FOUND IN EMAILS")</f>
        <v/>
      </c>
      <c r="R3616" t="str">
        <f ca="1">""&amp;IFERROR(VLOOKUP(O3616,EMAILS!B:E,4,FALSE),"NO T FOUND IN EMAILS")</f>
        <v/>
      </c>
    </row>
    <row r="3617" spans="2:18" x14ac:dyDescent="0.25">
      <c r="B3617" s="5" t="s">
        <v>3619</v>
      </c>
      <c r="C3617" s="5" t="s">
        <v>7759</v>
      </c>
      <c r="D3617" s="5">
        <v>0</v>
      </c>
      <c r="E3617" s="5">
        <v>0</v>
      </c>
      <c r="F3617" s="5">
        <v>0</v>
      </c>
      <c r="G3617" s="5">
        <v>0</v>
      </c>
      <c r="H3617" s="5">
        <v>0</v>
      </c>
      <c r="I3617" s="5">
        <v>0</v>
      </c>
      <c r="J3617" s="5">
        <v>0</v>
      </c>
      <c r="K3617" s="5">
        <v>0</v>
      </c>
      <c r="L3617" s="5">
        <v>0</v>
      </c>
      <c r="M3617" s="5">
        <v>0</v>
      </c>
      <c r="N3617" s="5">
        <v>0</v>
      </c>
      <c r="O3617" s="5" t="str">
        <f t="shared" ca="1" si="56"/>
        <v>Supplier 70</v>
      </c>
      <c r="P3617" s="20" t="str">
        <f ca="1">IFERROR(VLOOKUP(O3617,EMAILS!B:C,2,FALSE),"NOT FOUND IN EMAILS")</f>
        <v>supplier@gmail.com</v>
      </c>
      <c r="Q3617" t="str">
        <f ca="1">""&amp;IFERROR(VLOOKUP(O3617,EMAILS!B:D,3,FALSE),"NOT FOUND IN EMAILS")</f>
        <v/>
      </c>
      <c r="R3617" t="str">
        <f ca="1">""&amp;IFERROR(VLOOKUP(O3617,EMAILS!B:E,4,FALSE),"NO T FOUND IN EMAILS")</f>
        <v/>
      </c>
    </row>
    <row r="3618" spans="2:18" x14ac:dyDescent="0.25">
      <c r="B3618" s="5" t="s">
        <v>3620</v>
      </c>
      <c r="C3618" s="5" t="s">
        <v>7760</v>
      </c>
      <c r="D3618" s="5">
        <v>0</v>
      </c>
      <c r="E3618" s="5">
        <v>0</v>
      </c>
      <c r="F3618" s="5">
        <v>0</v>
      </c>
      <c r="G3618" s="5">
        <v>0</v>
      </c>
      <c r="H3618" s="5">
        <v>0</v>
      </c>
      <c r="I3618" s="5">
        <v>0</v>
      </c>
      <c r="J3618" s="5">
        <v>0</v>
      </c>
      <c r="K3618" s="5">
        <v>0</v>
      </c>
      <c r="L3618" s="5">
        <v>0</v>
      </c>
      <c r="M3618" s="5">
        <v>0</v>
      </c>
      <c r="N3618" s="5">
        <v>0</v>
      </c>
      <c r="O3618" s="5" t="str">
        <f t="shared" ca="1" si="56"/>
        <v>Supplier 9</v>
      </c>
      <c r="P3618" s="20" t="str">
        <f ca="1">IFERROR(VLOOKUP(O3618,EMAILS!B:C,2,FALSE),"NOT FOUND IN EMAILS")</f>
        <v>supplier@gmail.com</v>
      </c>
      <c r="Q3618" t="str">
        <f ca="1">""&amp;IFERROR(VLOOKUP(O3618,EMAILS!B:D,3,FALSE),"NOT FOUND IN EMAILS")</f>
        <v>supplier_logistics@gmail.com</v>
      </c>
      <c r="R3618" t="str">
        <f ca="1">""&amp;IFERROR(VLOOKUP(O3618,EMAILS!B:E,4,FALSE),"NO T FOUND IN EMAILS")</f>
        <v/>
      </c>
    </row>
    <row r="3619" spans="2:18" x14ac:dyDescent="0.25">
      <c r="B3619" s="5" t="s">
        <v>3621</v>
      </c>
      <c r="C3619" s="5" t="s">
        <v>7761</v>
      </c>
      <c r="D3619" s="5">
        <v>0</v>
      </c>
      <c r="E3619" s="5">
        <v>0</v>
      </c>
      <c r="F3619" s="5">
        <v>0</v>
      </c>
      <c r="G3619" s="5">
        <v>0</v>
      </c>
      <c r="H3619" s="5">
        <v>0</v>
      </c>
      <c r="I3619" s="5">
        <v>0</v>
      </c>
      <c r="J3619" s="5">
        <v>0</v>
      </c>
      <c r="K3619" s="5">
        <v>0</v>
      </c>
      <c r="L3619" s="5">
        <v>0</v>
      </c>
      <c r="M3619" s="5">
        <v>0</v>
      </c>
      <c r="N3619" s="5">
        <v>0</v>
      </c>
      <c r="O3619" s="5" t="str">
        <f t="shared" ca="1" si="56"/>
        <v>Supplier 86</v>
      </c>
      <c r="P3619" s="20" t="str">
        <f ca="1">IFERROR(VLOOKUP(O3619,EMAILS!B:C,2,FALSE),"NOT FOUND IN EMAILS")</f>
        <v>supplier@gmail.com</v>
      </c>
      <c r="Q3619" t="str">
        <f ca="1">""&amp;IFERROR(VLOOKUP(O3619,EMAILS!B:D,3,FALSE),"NOT FOUND IN EMAILS")</f>
        <v/>
      </c>
      <c r="R3619" t="str">
        <f ca="1">""&amp;IFERROR(VLOOKUP(O3619,EMAILS!B:E,4,FALSE),"NO T FOUND IN EMAILS")</f>
        <v/>
      </c>
    </row>
    <row r="3620" spans="2:18" x14ac:dyDescent="0.25">
      <c r="B3620" s="5" t="s">
        <v>3622</v>
      </c>
      <c r="C3620" s="5" t="s">
        <v>7762</v>
      </c>
      <c r="D3620" s="5">
        <v>0</v>
      </c>
      <c r="E3620" s="5">
        <v>0</v>
      </c>
      <c r="F3620" s="5">
        <v>0</v>
      </c>
      <c r="G3620" s="5">
        <v>0</v>
      </c>
      <c r="H3620" s="5">
        <v>0</v>
      </c>
      <c r="I3620" s="5">
        <v>0</v>
      </c>
      <c r="J3620" s="5">
        <v>0</v>
      </c>
      <c r="K3620" s="5">
        <v>0</v>
      </c>
      <c r="L3620" s="5">
        <v>0</v>
      </c>
      <c r="M3620" s="5">
        <v>0</v>
      </c>
      <c r="N3620" s="5">
        <v>0</v>
      </c>
      <c r="O3620" s="5" t="str">
        <f t="shared" ca="1" si="56"/>
        <v>Supplier 176</v>
      </c>
      <c r="P3620" s="20" t="str">
        <f ca="1">IFERROR(VLOOKUP(O3620,EMAILS!B:C,2,FALSE),"NOT FOUND IN EMAILS")</f>
        <v>supplier@gmail.com</v>
      </c>
      <c r="Q3620" t="str">
        <f ca="1">""&amp;IFERROR(VLOOKUP(O3620,EMAILS!B:D,3,FALSE),"NOT FOUND IN EMAILS")</f>
        <v/>
      </c>
      <c r="R3620" t="str">
        <f ca="1">""&amp;IFERROR(VLOOKUP(O3620,EMAILS!B:E,4,FALSE),"NO T FOUND IN EMAILS")</f>
        <v/>
      </c>
    </row>
    <row r="3621" spans="2:18" x14ac:dyDescent="0.25">
      <c r="B3621" s="5" t="s">
        <v>3623</v>
      </c>
      <c r="C3621" s="5" t="s">
        <v>7763</v>
      </c>
      <c r="D3621" s="5">
        <v>0</v>
      </c>
      <c r="E3621" s="5">
        <v>0</v>
      </c>
      <c r="F3621" s="5">
        <v>0</v>
      </c>
      <c r="G3621" s="5">
        <v>0</v>
      </c>
      <c r="H3621" s="5">
        <v>0</v>
      </c>
      <c r="I3621" s="5">
        <v>0</v>
      </c>
      <c r="J3621" s="5">
        <v>0</v>
      </c>
      <c r="K3621" s="5">
        <v>0</v>
      </c>
      <c r="L3621" s="5">
        <v>0</v>
      </c>
      <c r="M3621" s="5">
        <v>0</v>
      </c>
      <c r="N3621" s="5">
        <v>0</v>
      </c>
      <c r="O3621" s="5" t="str">
        <f t="shared" ca="1" si="56"/>
        <v>Supplier 124</v>
      </c>
      <c r="P3621" s="20" t="str">
        <f ca="1">IFERROR(VLOOKUP(O3621,EMAILS!B:C,2,FALSE),"NOT FOUND IN EMAILS")</f>
        <v>supplier@gmail.com</v>
      </c>
      <c r="Q3621" t="str">
        <f ca="1">""&amp;IFERROR(VLOOKUP(O3621,EMAILS!B:D,3,FALSE),"NOT FOUND IN EMAILS")</f>
        <v/>
      </c>
      <c r="R3621" t="str">
        <f ca="1">""&amp;IFERROR(VLOOKUP(O3621,EMAILS!B:E,4,FALSE),"NO T FOUND IN EMAILS")</f>
        <v/>
      </c>
    </row>
    <row r="3622" spans="2:18" x14ac:dyDescent="0.25">
      <c r="B3622" s="5" t="s">
        <v>3624</v>
      </c>
      <c r="C3622" s="5" t="s">
        <v>7764</v>
      </c>
      <c r="D3622" s="5">
        <v>0</v>
      </c>
      <c r="E3622" s="5">
        <v>0</v>
      </c>
      <c r="F3622" s="5">
        <v>0</v>
      </c>
      <c r="G3622" s="5">
        <v>0</v>
      </c>
      <c r="H3622" s="5">
        <v>0</v>
      </c>
      <c r="I3622" s="5">
        <v>0</v>
      </c>
      <c r="J3622" s="5">
        <v>0</v>
      </c>
      <c r="K3622" s="5">
        <v>0</v>
      </c>
      <c r="L3622" s="5">
        <v>0</v>
      </c>
      <c r="M3622" s="5">
        <v>0</v>
      </c>
      <c r="N3622" s="5">
        <v>0</v>
      </c>
      <c r="O3622" s="5" t="str">
        <f t="shared" ca="1" si="56"/>
        <v>Supplier 140</v>
      </c>
      <c r="P3622" s="20" t="str">
        <f ca="1">IFERROR(VLOOKUP(O3622,EMAILS!B:C,2,FALSE),"NOT FOUND IN EMAILS")</f>
        <v>supplier@gmail.com</v>
      </c>
      <c r="Q3622" t="str">
        <f ca="1">""&amp;IFERROR(VLOOKUP(O3622,EMAILS!B:D,3,FALSE),"NOT FOUND IN EMAILS")</f>
        <v/>
      </c>
      <c r="R3622" t="str">
        <f ca="1">""&amp;IFERROR(VLOOKUP(O3622,EMAILS!B:E,4,FALSE),"NO T FOUND IN EMAILS")</f>
        <v/>
      </c>
    </row>
    <row r="3623" spans="2:18" x14ac:dyDescent="0.25">
      <c r="B3623" s="5" t="s">
        <v>3625</v>
      </c>
      <c r="C3623" s="5" t="s">
        <v>7765</v>
      </c>
      <c r="D3623" s="5">
        <v>0</v>
      </c>
      <c r="E3623" s="5">
        <v>0</v>
      </c>
      <c r="F3623" s="5">
        <v>0</v>
      </c>
      <c r="G3623" s="5">
        <v>0</v>
      </c>
      <c r="H3623" s="5">
        <v>0</v>
      </c>
      <c r="I3623" s="5">
        <v>0</v>
      </c>
      <c r="J3623" s="5">
        <v>0</v>
      </c>
      <c r="K3623" s="5">
        <v>0</v>
      </c>
      <c r="L3623" s="5">
        <v>0</v>
      </c>
      <c r="M3623" s="5">
        <v>0</v>
      </c>
      <c r="N3623" s="5">
        <v>0</v>
      </c>
      <c r="O3623" s="5" t="str">
        <f t="shared" ca="1" si="56"/>
        <v>Supplier 146</v>
      </c>
      <c r="P3623" s="20" t="str">
        <f ca="1">IFERROR(VLOOKUP(O3623,EMAILS!B:C,2,FALSE),"NOT FOUND IN EMAILS")</f>
        <v>supplier@gmail.com</v>
      </c>
      <c r="Q3623" t="str">
        <f ca="1">""&amp;IFERROR(VLOOKUP(O3623,EMAILS!B:D,3,FALSE),"NOT FOUND IN EMAILS")</f>
        <v/>
      </c>
      <c r="R3623" t="str">
        <f ca="1">""&amp;IFERROR(VLOOKUP(O3623,EMAILS!B:E,4,FALSE),"NO T FOUND IN EMAILS")</f>
        <v/>
      </c>
    </row>
    <row r="3624" spans="2:18" x14ac:dyDescent="0.25">
      <c r="B3624" s="5" t="s">
        <v>3626</v>
      </c>
      <c r="C3624" s="5" t="s">
        <v>7766</v>
      </c>
      <c r="D3624" s="5">
        <v>0</v>
      </c>
      <c r="E3624" s="5">
        <v>0</v>
      </c>
      <c r="F3624" s="5">
        <v>0</v>
      </c>
      <c r="G3624" s="5">
        <v>0</v>
      </c>
      <c r="H3624" s="5">
        <v>0</v>
      </c>
      <c r="I3624" s="5">
        <v>0</v>
      </c>
      <c r="J3624" s="5">
        <v>0</v>
      </c>
      <c r="K3624" s="5">
        <v>0</v>
      </c>
      <c r="L3624" s="5">
        <v>0</v>
      </c>
      <c r="M3624" s="5">
        <v>0</v>
      </c>
      <c r="N3624" s="5">
        <v>0</v>
      </c>
      <c r="O3624" s="5" t="str">
        <f t="shared" ca="1" si="56"/>
        <v>Supplier 105</v>
      </c>
      <c r="P3624" s="20" t="str">
        <f ca="1">IFERROR(VLOOKUP(O3624,EMAILS!B:C,2,FALSE),"NOT FOUND IN EMAILS")</f>
        <v>supplier@gmail.com</v>
      </c>
      <c r="Q3624" t="str">
        <f ca="1">""&amp;IFERROR(VLOOKUP(O3624,EMAILS!B:D,3,FALSE),"NOT FOUND IN EMAILS")</f>
        <v/>
      </c>
      <c r="R3624" t="str">
        <f ca="1">""&amp;IFERROR(VLOOKUP(O3624,EMAILS!B:E,4,FALSE),"NO T FOUND IN EMAILS")</f>
        <v/>
      </c>
    </row>
    <row r="3625" spans="2:18" x14ac:dyDescent="0.25">
      <c r="B3625" s="5" t="s">
        <v>3627</v>
      </c>
      <c r="C3625" s="5" t="s">
        <v>7767</v>
      </c>
      <c r="D3625" s="5">
        <v>0</v>
      </c>
      <c r="E3625" s="5">
        <v>0</v>
      </c>
      <c r="F3625" s="5">
        <v>0</v>
      </c>
      <c r="G3625" s="5">
        <v>0</v>
      </c>
      <c r="H3625" s="5">
        <v>0</v>
      </c>
      <c r="I3625" s="5">
        <v>0</v>
      </c>
      <c r="J3625" s="5">
        <v>0</v>
      </c>
      <c r="K3625" s="5">
        <v>0</v>
      </c>
      <c r="L3625" s="5">
        <v>0</v>
      </c>
      <c r="M3625" s="5">
        <v>0</v>
      </c>
      <c r="N3625" s="5">
        <v>0</v>
      </c>
      <c r="O3625" s="5" t="str">
        <f t="shared" ca="1" si="56"/>
        <v>Supplier 39</v>
      </c>
      <c r="P3625" s="20" t="str">
        <f ca="1">IFERROR(VLOOKUP(O3625,EMAILS!B:C,2,FALSE),"NOT FOUND IN EMAILS")</f>
        <v>supplier@gmail.com</v>
      </c>
      <c r="Q3625" t="str">
        <f ca="1">""&amp;IFERROR(VLOOKUP(O3625,EMAILS!B:D,3,FALSE),"NOT FOUND IN EMAILS")</f>
        <v/>
      </c>
      <c r="R3625" t="str">
        <f ca="1">""&amp;IFERROR(VLOOKUP(O3625,EMAILS!B:E,4,FALSE),"NO T FOUND IN EMAILS")</f>
        <v/>
      </c>
    </row>
    <row r="3626" spans="2:18" x14ac:dyDescent="0.25">
      <c r="B3626" s="5" t="s">
        <v>3628</v>
      </c>
      <c r="C3626" s="5" t="s">
        <v>7768</v>
      </c>
      <c r="D3626" s="5">
        <v>0</v>
      </c>
      <c r="E3626" s="5">
        <v>0</v>
      </c>
      <c r="F3626" s="5">
        <v>0</v>
      </c>
      <c r="G3626" s="5">
        <v>0</v>
      </c>
      <c r="H3626" s="5">
        <v>0</v>
      </c>
      <c r="I3626" s="5">
        <v>0</v>
      </c>
      <c r="J3626" s="5">
        <v>0</v>
      </c>
      <c r="K3626" s="5">
        <v>0</v>
      </c>
      <c r="L3626" s="5">
        <v>0</v>
      </c>
      <c r="M3626" s="5">
        <v>0</v>
      </c>
      <c r="N3626" s="5">
        <v>0</v>
      </c>
      <c r="O3626" s="5" t="str">
        <f t="shared" ca="1" si="56"/>
        <v>Supplier 180</v>
      </c>
      <c r="P3626" s="20" t="str">
        <f ca="1">IFERROR(VLOOKUP(O3626,EMAILS!B:C,2,FALSE),"NOT FOUND IN EMAILS")</f>
        <v>supplier@gmail.com</v>
      </c>
      <c r="Q3626" t="str">
        <f ca="1">""&amp;IFERROR(VLOOKUP(O3626,EMAILS!B:D,3,FALSE),"NOT FOUND IN EMAILS")</f>
        <v/>
      </c>
      <c r="R3626" t="str">
        <f ca="1">""&amp;IFERROR(VLOOKUP(O3626,EMAILS!B:E,4,FALSE),"NO T FOUND IN EMAILS")</f>
        <v/>
      </c>
    </row>
    <row r="3627" spans="2:18" x14ac:dyDescent="0.25">
      <c r="B3627" s="5" t="s">
        <v>3629</v>
      </c>
      <c r="C3627" s="5" t="s">
        <v>7769</v>
      </c>
      <c r="D3627" s="5">
        <v>0</v>
      </c>
      <c r="E3627" s="5">
        <v>0</v>
      </c>
      <c r="F3627" s="5">
        <v>0</v>
      </c>
      <c r="G3627" s="5">
        <v>0</v>
      </c>
      <c r="H3627" s="5">
        <v>0</v>
      </c>
      <c r="I3627" s="5">
        <v>0</v>
      </c>
      <c r="J3627" s="5">
        <v>0</v>
      </c>
      <c r="K3627" s="5">
        <v>0</v>
      </c>
      <c r="L3627" s="5">
        <v>0</v>
      </c>
      <c r="M3627" s="5">
        <v>0</v>
      </c>
      <c r="N3627" s="5">
        <v>0</v>
      </c>
      <c r="O3627" s="5" t="str">
        <f t="shared" ca="1" si="56"/>
        <v>Supplier 70</v>
      </c>
      <c r="P3627" s="20" t="str">
        <f ca="1">IFERROR(VLOOKUP(O3627,EMAILS!B:C,2,FALSE),"NOT FOUND IN EMAILS")</f>
        <v>supplier@gmail.com</v>
      </c>
      <c r="Q3627" t="str">
        <f ca="1">""&amp;IFERROR(VLOOKUP(O3627,EMAILS!B:D,3,FALSE),"NOT FOUND IN EMAILS")</f>
        <v/>
      </c>
      <c r="R3627" t="str">
        <f ca="1">""&amp;IFERROR(VLOOKUP(O3627,EMAILS!B:E,4,FALSE),"NO T FOUND IN EMAILS")</f>
        <v/>
      </c>
    </row>
    <row r="3628" spans="2:18" x14ac:dyDescent="0.25">
      <c r="B3628" s="5" t="s">
        <v>3630</v>
      </c>
      <c r="C3628" s="5" t="s">
        <v>7770</v>
      </c>
      <c r="D3628" s="5">
        <v>0</v>
      </c>
      <c r="E3628" s="5">
        <v>0</v>
      </c>
      <c r="F3628" s="5">
        <v>0</v>
      </c>
      <c r="G3628" s="5">
        <v>0</v>
      </c>
      <c r="H3628" s="5">
        <v>0</v>
      </c>
      <c r="I3628" s="5">
        <v>0</v>
      </c>
      <c r="J3628" s="5">
        <v>0</v>
      </c>
      <c r="K3628" s="5">
        <v>0</v>
      </c>
      <c r="L3628" s="5">
        <v>0</v>
      </c>
      <c r="M3628" s="5">
        <v>0</v>
      </c>
      <c r="N3628" s="5">
        <v>0</v>
      </c>
      <c r="O3628" s="5" t="str">
        <f t="shared" ca="1" si="56"/>
        <v>Supplier 46</v>
      </c>
      <c r="P3628" s="20" t="str">
        <f ca="1">IFERROR(VLOOKUP(O3628,EMAILS!B:C,2,FALSE),"NOT FOUND IN EMAILS")</f>
        <v>supplier@gmail.com</v>
      </c>
      <c r="Q3628" t="str">
        <f ca="1">""&amp;IFERROR(VLOOKUP(O3628,EMAILS!B:D,3,FALSE),"NOT FOUND IN EMAILS")</f>
        <v/>
      </c>
      <c r="R3628" t="str">
        <f ca="1">""&amp;IFERROR(VLOOKUP(O3628,EMAILS!B:E,4,FALSE),"NO T FOUND IN EMAILS")</f>
        <v/>
      </c>
    </row>
    <row r="3629" spans="2:18" x14ac:dyDescent="0.25">
      <c r="B3629" s="5" t="s">
        <v>3631</v>
      </c>
      <c r="C3629" s="5" t="s">
        <v>7771</v>
      </c>
      <c r="D3629" s="5">
        <v>0</v>
      </c>
      <c r="E3629" s="5">
        <v>0</v>
      </c>
      <c r="F3629" s="5">
        <v>0</v>
      </c>
      <c r="G3629" s="5">
        <v>0</v>
      </c>
      <c r="H3629" s="5">
        <v>0</v>
      </c>
      <c r="I3629" s="5">
        <v>0</v>
      </c>
      <c r="J3629" s="5">
        <v>0</v>
      </c>
      <c r="K3629" s="5">
        <v>0</v>
      </c>
      <c r="L3629" s="5">
        <v>0</v>
      </c>
      <c r="M3629" s="5">
        <v>0</v>
      </c>
      <c r="N3629" s="5">
        <v>0</v>
      </c>
      <c r="O3629" s="5" t="str">
        <f t="shared" ca="1" si="56"/>
        <v>Supplier 92</v>
      </c>
      <c r="P3629" s="20" t="str">
        <f ca="1">IFERROR(VLOOKUP(O3629,EMAILS!B:C,2,FALSE),"NOT FOUND IN EMAILS")</f>
        <v>supplier@gmail.com</v>
      </c>
      <c r="Q3629" t="str">
        <f ca="1">""&amp;IFERROR(VLOOKUP(O3629,EMAILS!B:D,3,FALSE),"NOT FOUND IN EMAILS")</f>
        <v/>
      </c>
      <c r="R3629" t="str">
        <f ca="1">""&amp;IFERROR(VLOOKUP(O3629,EMAILS!B:E,4,FALSE),"NO T FOUND IN EMAILS")</f>
        <v/>
      </c>
    </row>
    <row r="3630" spans="2:18" x14ac:dyDescent="0.25">
      <c r="B3630" s="5" t="s">
        <v>3632</v>
      </c>
      <c r="C3630" s="5" t="s">
        <v>7772</v>
      </c>
      <c r="D3630" s="5">
        <v>0</v>
      </c>
      <c r="E3630" s="5">
        <v>0</v>
      </c>
      <c r="F3630" s="5">
        <v>0</v>
      </c>
      <c r="G3630" s="5">
        <v>0</v>
      </c>
      <c r="H3630" s="5">
        <v>0</v>
      </c>
      <c r="I3630" s="5">
        <v>0</v>
      </c>
      <c r="J3630" s="5">
        <v>0</v>
      </c>
      <c r="K3630" s="5">
        <v>0</v>
      </c>
      <c r="L3630" s="5">
        <v>0</v>
      </c>
      <c r="M3630" s="5">
        <v>0</v>
      </c>
      <c r="N3630" s="5">
        <v>0</v>
      </c>
      <c r="O3630" s="5" t="str">
        <f t="shared" ca="1" si="56"/>
        <v>Supplier 85</v>
      </c>
      <c r="P3630" s="20" t="str">
        <f ca="1">IFERROR(VLOOKUP(O3630,EMAILS!B:C,2,FALSE),"NOT FOUND IN EMAILS")</f>
        <v>supplier@gmail.com</v>
      </c>
      <c r="Q3630" t="str">
        <f ca="1">""&amp;IFERROR(VLOOKUP(O3630,EMAILS!B:D,3,FALSE),"NOT FOUND IN EMAILS")</f>
        <v/>
      </c>
      <c r="R3630" t="str">
        <f ca="1">""&amp;IFERROR(VLOOKUP(O3630,EMAILS!B:E,4,FALSE),"NO T FOUND IN EMAILS")</f>
        <v/>
      </c>
    </row>
    <row r="3631" spans="2:18" x14ac:dyDescent="0.25">
      <c r="B3631" s="5" t="s">
        <v>3633</v>
      </c>
      <c r="C3631" s="5" t="s">
        <v>7773</v>
      </c>
      <c r="D3631" s="5">
        <v>0</v>
      </c>
      <c r="E3631" s="5">
        <v>0</v>
      </c>
      <c r="F3631" s="5">
        <v>0</v>
      </c>
      <c r="G3631" s="5">
        <v>0</v>
      </c>
      <c r="H3631" s="5">
        <v>0</v>
      </c>
      <c r="I3631" s="5">
        <v>0</v>
      </c>
      <c r="J3631" s="5">
        <v>0</v>
      </c>
      <c r="K3631" s="5">
        <v>0</v>
      </c>
      <c r="L3631" s="5">
        <v>0</v>
      </c>
      <c r="M3631" s="5">
        <v>0</v>
      </c>
      <c r="N3631" s="5">
        <v>0</v>
      </c>
      <c r="O3631" s="5" t="str">
        <f t="shared" ca="1" si="56"/>
        <v>Supplier 94</v>
      </c>
      <c r="P3631" s="20" t="str">
        <f ca="1">IFERROR(VLOOKUP(O3631,EMAILS!B:C,2,FALSE),"NOT FOUND IN EMAILS")</f>
        <v>supplier@gmail.com</v>
      </c>
      <c r="Q3631" t="str">
        <f ca="1">""&amp;IFERROR(VLOOKUP(O3631,EMAILS!B:D,3,FALSE),"NOT FOUND IN EMAILS")</f>
        <v/>
      </c>
      <c r="R3631" t="str">
        <f ca="1">""&amp;IFERROR(VLOOKUP(O3631,EMAILS!B:E,4,FALSE),"NO T FOUND IN EMAILS")</f>
        <v/>
      </c>
    </row>
    <row r="3632" spans="2:18" x14ac:dyDescent="0.25">
      <c r="B3632" s="5" t="s">
        <v>3634</v>
      </c>
      <c r="C3632" s="5" t="s">
        <v>7774</v>
      </c>
      <c r="D3632" s="5">
        <v>0</v>
      </c>
      <c r="E3632" s="5">
        <v>0</v>
      </c>
      <c r="F3632" s="5">
        <v>0</v>
      </c>
      <c r="G3632" s="5">
        <v>0</v>
      </c>
      <c r="H3632" s="5">
        <v>0</v>
      </c>
      <c r="I3632" s="5">
        <v>0</v>
      </c>
      <c r="J3632" s="5">
        <v>0</v>
      </c>
      <c r="K3632" s="5">
        <v>0</v>
      </c>
      <c r="L3632" s="5">
        <v>0</v>
      </c>
      <c r="M3632" s="5">
        <v>0</v>
      </c>
      <c r="N3632" s="5">
        <v>0</v>
      </c>
      <c r="O3632" s="5" t="str">
        <f t="shared" ca="1" si="56"/>
        <v>Supplier 95</v>
      </c>
      <c r="P3632" s="20" t="str">
        <f ca="1">IFERROR(VLOOKUP(O3632,EMAILS!B:C,2,FALSE),"NOT FOUND IN EMAILS")</f>
        <v>supplier@gmail.com</v>
      </c>
      <c r="Q3632" t="str">
        <f ca="1">""&amp;IFERROR(VLOOKUP(O3632,EMAILS!B:D,3,FALSE),"NOT FOUND IN EMAILS")</f>
        <v/>
      </c>
      <c r="R3632" t="str">
        <f ca="1">""&amp;IFERROR(VLOOKUP(O3632,EMAILS!B:E,4,FALSE),"NO T FOUND IN EMAILS")</f>
        <v/>
      </c>
    </row>
    <row r="3633" spans="2:18" x14ac:dyDescent="0.25">
      <c r="B3633" s="5" t="s">
        <v>3635</v>
      </c>
      <c r="C3633" s="5" t="s">
        <v>7775</v>
      </c>
      <c r="D3633" s="5">
        <v>0</v>
      </c>
      <c r="E3633" s="5">
        <v>0</v>
      </c>
      <c r="F3633" s="5">
        <v>0</v>
      </c>
      <c r="G3633" s="5">
        <v>0</v>
      </c>
      <c r="H3633" s="5">
        <v>0</v>
      </c>
      <c r="I3633" s="5">
        <v>0</v>
      </c>
      <c r="J3633" s="5">
        <v>0</v>
      </c>
      <c r="K3633" s="5">
        <v>0</v>
      </c>
      <c r="L3633" s="5">
        <v>0</v>
      </c>
      <c r="M3633" s="5">
        <v>0</v>
      </c>
      <c r="N3633" s="5">
        <v>0</v>
      </c>
      <c r="O3633" s="5" t="str">
        <f t="shared" ca="1" si="56"/>
        <v>Supplier 171</v>
      </c>
      <c r="P3633" s="20" t="str">
        <f ca="1">IFERROR(VLOOKUP(O3633,EMAILS!B:C,2,FALSE),"NOT FOUND IN EMAILS")</f>
        <v>supplier@gmail.com</v>
      </c>
      <c r="Q3633" t="str">
        <f ca="1">""&amp;IFERROR(VLOOKUP(O3633,EMAILS!B:D,3,FALSE),"NOT FOUND IN EMAILS")</f>
        <v/>
      </c>
      <c r="R3633" t="str">
        <f ca="1">""&amp;IFERROR(VLOOKUP(O3633,EMAILS!B:E,4,FALSE),"NO T FOUND IN EMAILS")</f>
        <v/>
      </c>
    </row>
    <row r="3634" spans="2:18" x14ac:dyDescent="0.25">
      <c r="B3634" s="5" t="s">
        <v>3636</v>
      </c>
      <c r="C3634" s="5" t="s">
        <v>7776</v>
      </c>
      <c r="D3634" s="5">
        <v>0</v>
      </c>
      <c r="E3634" s="5">
        <v>0</v>
      </c>
      <c r="F3634" s="5">
        <v>0</v>
      </c>
      <c r="G3634" s="5">
        <v>0</v>
      </c>
      <c r="H3634" s="5">
        <v>0</v>
      </c>
      <c r="I3634" s="5">
        <v>0</v>
      </c>
      <c r="J3634" s="5">
        <v>0</v>
      </c>
      <c r="K3634" s="5">
        <v>0</v>
      </c>
      <c r="L3634" s="5">
        <v>0</v>
      </c>
      <c r="M3634" s="5">
        <v>0</v>
      </c>
      <c r="N3634" s="5">
        <v>0</v>
      </c>
      <c r="O3634" s="5" t="str">
        <f t="shared" ca="1" si="56"/>
        <v>Supplier 13</v>
      </c>
      <c r="P3634" s="20" t="str">
        <f ca="1">IFERROR(VLOOKUP(O3634,EMAILS!B:C,2,FALSE),"NOT FOUND IN EMAILS")</f>
        <v>supplier@gmail.com</v>
      </c>
      <c r="Q3634" t="str">
        <f ca="1">""&amp;IFERROR(VLOOKUP(O3634,EMAILS!B:D,3,FALSE),"NOT FOUND IN EMAILS")</f>
        <v>supplier_logistics@gmail.com</v>
      </c>
      <c r="R3634" t="str">
        <f ca="1">""&amp;IFERROR(VLOOKUP(O3634,EMAILS!B:E,4,FALSE),"NO T FOUND IN EMAILS")</f>
        <v/>
      </c>
    </row>
    <row r="3635" spans="2:18" x14ac:dyDescent="0.25">
      <c r="B3635" s="5" t="s">
        <v>3637</v>
      </c>
      <c r="C3635" s="5" t="s">
        <v>7777</v>
      </c>
      <c r="D3635" s="5">
        <v>0</v>
      </c>
      <c r="E3635" s="5">
        <v>0</v>
      </c>
      <c r="F3635" s="5">
        <v>0</v>
      </c>
      <c r="G3635" s="5">
        <v>0</v>
      </c>
      <c r="H3635" s="5">
        <v>0</v>
      </c>
      <c r="I3635" s="5">
        <v>0</v>
      </c>
      <c r="J3635" s="5">
        <v>0</v>
      </c>
      <c r="K3635" s="5">
        <v>0</v>
      </c>
      <c r="L3635" s="5">
        <v>0</v>
      </c>
      <c r="M3635" s="5">
        <v>0</v>
      </c>
      <c r="N3635" s="5">
        <v>0</v>
      </c>
      <c r="O3635" s="5" t="str">
        <f t="shared" ca="1" si="56"/>
        <v>Supplier 163</v>
      </c>
      <c r="P3635" s="20" t="str">
        <f ca="1">IFERROR(VLOOKUP(O3635,EMAILS!B:C,2,FALSE),"NOT FOUND IN EMAILS")</f>
        <v>supplier@gmail.com</v>
      </c>
      <c r="Q3635" t="str">
        <f ca="1">""&amp;IFERROR(VLOOKUP(O3635,EMAILS!B:D,3,FALSE),"NOT FOUND IN EMAILS")</f>
        <v/>
      </c>
      <c r="R3635" t="str">
        <f ca="1">""&amp;IFERROR(VLOOKUP(O3635,EMAILS!B:E,4,FALSE),"NO T FOUND IN EMAILS")</f>
        <v/>
      </c>
    </row>
    <row r="3636" spans="2:18" x14ac:dyDescent="0.25">
      <c r="B3636" s="5" t="s">
        <v>3638</v>
      </c>
      <c r="C3636" s="5" t="s">
        <v>7778</v>
      </c>
      <c r="D3636" s="5">
        <v>0</v>
      </c>
      <c r="E3636" s="5">
        <v>0</v>
      </c>
      <c r="F3636" s="5">
        <v>0</v>
      </c>
      <c r="G3636" s="5">
        <v>0</v>
      </c>
      <c r="H3636" s="5">
        <v>0</v>
      </c>
      <c r="I3636" s="5">
        <v>0</v>
      </c>
      <c r="J3636" s="5">
        <v>0</v>
      </c>
      <c r="K3636" s="5">
        <v>0</v>
      </c>
      <c r="L3636" s="5">
        <v>0</v>
      </c>
      <c r="M3636" s="5">
        <v>0</v>
      </c>
      <c r="N3636" s="5">
        <v>0</v>
      </c>
      <c r="O3636" s="5" t="str">
        <f t="shared" ca="1" si="56"/>
        <v>Supplier 155</v>
      </c>
      <c r="P3636" s="20" t="str">
        <f ca="1">IFERROR(VLOOKUP(O3636,EMAILS!B:C,2,FALSE),"NOT FOUND IN EMAILS")</f>
        <v>supplier@gmail.com</v>
      </c>
      <c r="Q3636" t="str">
        <f ca="1">""&amp;IFERROR(VLOOKUP(O3636,EMAILS!B:D,3,FALSE),"NOT FOUND IN EMAILS")</f>
        <v/>
      </c>
      <c r="R3636" t="str">
        <f ca="1">""&amp;IFERROR(VLOOKUP(O3636,EMAILS!B:E,4,FALSE),"NO T FOUND IN EMAILS")</f>
        <v/>
      </c>
    </row>
    <row r="3637" spans="2:18" x14ac:dyDescent="0.25">
      <c r="B3637" s="5" t="s">
        <v>3639</v>
      </c>
      <c r="C3637" s="5" t="s">
        <v>7779</v>
      </c>
      <c r="D3637" s="5">
        <v>0</v>
      </c>
      <c r="E3637" s="5">
        <v>0</v>
      </c>
      <c r="F3637" s="5">
        <v>0</v>
      </c>
      <c r="G3637" s="5">
        <v>0</v>
      </c>
      <c r="H3637" s="5">
        <v>0</v>
      </c>
      <c r="I3637" s="5">
        <v>0</v>
      </c>
      <c r="J3637" s="5">
        <v>0</v>
      </c>
      <c r="K3637" s="5">
        <v>0</v>
      </c>
      <c r="L3637" s="5">
        <v>0</v>
      </c>
      <c r="M3637" s="5">
        <v>0</v>
      </c>
      <c r="N3637" s="5">
        <v>0</v>
      </c>
      <c r="O3637" s="5" t="str">
        <f t="shared" ca="1" si="56"/>
        <v>Supplier 147</v>
      </c>
      <c r="P3637" s="20" t="str">
        <f ca="1">IFERROR(VLOOKUP(O3637,EMAILS!B:C,2,FALSE),"NOT FOUND IN EMAILS")</f>
        <v>supplier@gmail.com</v>
      </c>
      <c r="Q3637" t="str">
        <f ca="1">""&amp;IFERROR(VLOOKUP(O3637,EMAILS!B:D,3,FALSE),"NOT FOUND IN EMAILS")</f>
        <v/>
      </c>
      <c r="R3637" t="str">
        <f ca="1">""&amp;IFERROR(VLOOKUP(O3637,EMAILS!B:E,4,FALSE),"NO T FOUND IN EMAILS")</f>
        <v/>
      </c>
    </row>
    <row r="3638" spans="2:18" x14ac:dyDescent="0.25">
      <c r="B3638" s="5" t="s">
        <v>3640</v>
      </c>
      <c r="C3638" s="5" t="s">
        <v>7780</v>
      </c>
      <c r="D3638" s="5">
        <v>0</v>
      </c>
      <c r="E3638" s="5">
        <v>0</v>
      </c>
      <c r="F3638" s="5">
        <v>0</v>
      </c>
      <c r="G3638" s="5">
        <v>0</v>
      </c>
      <c r="H3638" s="5">
        <v>0</v>
      </c>
      <c r="I3638" s="5">
        <v>0</v>
      </c>
      <c r="J3638" s="5">
        <v>0</v>
      </c>
      <c r="K3638" s="5">
        <v>0</v>
      </c>
      <c r="L3638" s="5">
        <v>0</v>
      </c>
      <c r="M3638" s="5">
        <v>0</v>
      </c>
      <c r="N3638" s="5">
        <v>0</v>
      </c>
      <c r="O3638" s="5" t="str">
        <f t="shared" ca="1" si="56"/>
        <v>Supplier 164</v>
      </c>
      <c r="P3638" s="20" t="str">
        <f ca="1">IFERROR(VLOOKUP(O3638,EMAILS!B:C,2,FALSE),"NOT FOUND IN EMAILS")</f>
        <v>supplier@gmail.com</v>
      </c>
      <c r="Q3638" t="str">
        <f ca="1">""&amp;IFERROR(VLOOKUP(O3638,EMAILS!B:D,3,FALSE),"NOT FOUND IN EMAILS")</f>
        <v/>
      </c>
      <c r="R3638" t="str">
        <f ca="1">""&amp;IFERROR(VLOOKUP(O3638,EMAILS!B:E,4,FALSE),"NO T FOUND IN EMAILS")</f>
        <v/>
      </c>
    </row>
    <row r="3639" spans="2:18" x14ac:dyDescent="0.25">
      <c r="B3639" s="5" t="s">
        <v>3641</v>
      </c>
      <c r="C3639" s="5" t="s">
        <v>7781</v>
      </c>
      <c r="D3639" s="5">
        <v>0</v>
      </c>
      <c r="E3639" s="5">
        <v>0</v>
      </c>
      <c r="F3639" s="5">
        <v>0</v>
      </c>
      <c r="G3639" s="5">
        <v>0</v>
      </c>
      <c r="H3639" s="5">
        <v>0</v>
      </c>
      <c r="I3639" s="5">
        <v>0</v>
      </c>
      <c r="J3639" s="5">
        <v>0</v>
      </c>
      <c r="K3639" s="5">
        <v>0</v>
      </c>
      <c r="L3639" s="5">
        <v>0</v>
      </c>
      <c r="M3639" s="5">
        <v>0</v>
      </c>
      <c r="N3639" s="5">
        <v>0</v>
      </c>
      <c r="O3639" s="5" t="str">
        <f t="shared" ca="1" si="56"/>
        <v>Supplier 103</v>
      </c>
      <c r="P3639" s="20" t="str">
        <f ca="1">IFERROR(VLOOKUP(O3639,EMAILS!B:C,2,FALSE),"NOT FOUND IN EMAILS")</f>
        <v>supplier@gmail.com</v>
      </c>
      <c r="Q3639" t="str">
        <f ca="1">""&amp;IFERROR(VLOOKUP(O3639,EMAILS!B:D,3,FALSE),"NOT FOUND IN EMAILS")</f>
        <v/>
      </c>
      <c r="R3639" t="str">
        <f ca="1">""&amp;IFERROR(VLOOKUP(O3639,EMAILS!B:E,4,FALSE),"NO T FOUND IN EMAILS")</f>
        <v/>
      </c>
    </row>
    <row r="3640" spans="2:18" x14ac:dyDescent="0.25">
      <c r="B3640" s="5" t="s">
        <v>3642</v>
      </c>
      <c r="C3640" s="5" t="s">
        <v>7782</v>
      </c>
      <c r="D3640" s="5">
        <v>0</v>
      </c>
      <c r="E3640" s="5">
        <v>0</v>
      </c>
      <c r="F3640" s="5">
        <v>0</v>
      </c>
      <c r="G3640" s="5">
        <v>0</v>
      </c>
      <c r="H3640" s="5">
        <v>0</v>
      </c>
      <c r="I3640" s="5">
        <v>0</v>
      </c>
      <c r="J3640" s="5">
        <v>0</v>
      </c>
      <c r="K3640" s="5">
        <v>0</v>
      </c>
      <c r="L3640" s="5">
        <v>0</v>
      </c>
      <c r="M3640" s="5">
        <v>0</v>
      </c>
      <c r="N3640" s="5">
        <v>0</v>
      </c>
      <c r="O3640" s="5" t="str">
        <f t="shared" ca="1" si="56"/>
        <v>Supplier 109</v>
      </c>
      <c r="P3640" s="20" t="str">
        <f ca="1">IFERROR(VLOOKUP(O3640,EMAILS!B:C,2,FALSE),"NOT FOUND IN EMAILS")</f>
        <v>supplier@gmail.com</v>
      </c>
      <c r="Q3640" t="str">
        <f ca="1">""&amp;IFERROR(VLOOKUP(O3640,EMAILS!B:D,3,FALSE),"NOT FOUND IN EMAILS")</f>
        <v/>
      </c>
      <c r="R3640" t="str">
        <f ca="1">""&amp;IFERROR(VLOOKUP(O3640,EMAILS!B:E,4,FALSE),"NO T FOUND IN EMAILS")</f>
        <v/>
      </c>
    </row>
    <row r="3641" spans="2:18" x14ac:dyDescent="0.25">
      <c r="B3641" s="5" t="s">
        <v>3643</v>
      </c>
      <c r="C3641" s="5" t="s">
        <v>7783</v>
      </c>
      <c r="D3641" s="5">
        <v>0</v>
      </c>
      <c r="E3641" s="5">
        <v>0</v>
      </c>
      <c r="F3641" s="5">
        <v>0</v>
      </c>
      <c r="G3641" s="5">
        <v>0</v>
      </c>
      <c r="H3641" s="5">
        <v>0</v>
      </c>
      <c r="I3641" s="5">
        <v>0</v>
      </c>
      <c r="J3641" s="5">
        <v>0</v>
      </c>
      <c r="K3641" s="5">
        <v>0</v>
      </c>
      <c r="L3641" s="5">
        <v>0</v>
      </c>
      <c r="M3641" s="5">
        <v>0</v>
      </c>
      <c r="N3641" s="5">
        <v>0</v>
      </c>
      <c r="O3641" s="5" t="str">
        <f t="shared" ca="1" si="56"/>
        <v>Supplier 11</v>
      </c>
      <c r="P3641" s="20" t="str">
        <f ca="1">IFERROR(VLOOKUP(O3641,EMAILS!B:C,2,FALSE),"NOT FOUND IN EMAILS")</f>
        <v>supplier@gmail.com</v>
      </c>
      <c r="Q3641" t="str">
        <f ca="1">""&amp;IFERROR(VLOOKUP(O3641,EMAILS!B:D,3,FALSE),"NOT FOUND IN EMAILS")</f>
        <v>supplier_logistics@gmail.com</v>
      </c>
      <c r="R3641" t="str">
        <f ca="1">""&amp;IFERROR(VLOOKUP(O3641,EMAILS!B:E,4,FALSE),"NO T FOUND IN EMAILS")</f>
        <v/>
      </c>
    </row>
    <row r="3642" spans="2:18" x14ac:dyDescent="0.25">
      <c r="B3642" s="5" t="s">
        <v>3644</v>
      </c>
      <c r="C3642" s="5" t="s">
        <v>7784</v>
      </c>
      <c r="D3642" s="5">
        <v>0</v>
      </c>
      <c r="E3642" s="5">
        <v>0</v>
      </c>
      <c r="F3642" s="5">
        <v>0</v>
      </c>
      <c r="G3642" s="5">
        <v>0</v>
      </c>
      <c r="H3642" s="5">
        <v>0</v>
      </c>
      <c r="I3642" s="5">
        <v>0</v>
      </c>
      <c r="J3642" s="5">
        <v>0</v>
      </c>
      <c r="K3642" s="5">
        <v>0</v>
      </c>
      <c r="L3642" s="5">
        <v>0</v>
      </c>
      <c r="M3642" s="5">
        <v>0</v>
      </c>
      <c r="N3642" s="5">
        <v>0</v>
      </c>
      <c r="O3642" s="5" t="str">
        <f t="shared" ca="1" si="56"/>
        <v>Supplier 174</v>
      </c>
      <c r="P3642" s="20" t="str">
        <f ca="1">IFERROR(VLOOKUP(O3642,EMAILS!B:C,2,FALSE),"NOT FOUND IN EMAILS")</f>
        <v>supplier@gmail.com</v>
      </c>
      <c r="Q3642" t="str">
        <f ca="1">""&amp;IFERROR(VLOOKUP(O3642,EMAILS!B:D,3,FALSE),"NOT FOUND IN EMAILS")</f>
        <v/>
      </c>
      <c r="R3642" t="str">
        <f ca="1">""&amp;IFERROR(VLOOKUP(O3642,EMAILS!B:E,4,FALSE),"NO T FOUND IN EMAILS")</f>
        <v/>
      </c>
    </row>
    <row r="3643" spans="2:18" x14ac:dyDescent="0.25">
      <c r="B3643" s="5" t="s">
        <v>3645</v>
      </c>
      <c r="C3643" s="5" t="s">
        <v>7785</v>
      </c>
      <c r="D3643" s="5">
        <v>0</v>
      </c>
      <c r="E3643" s="5">
        <v>0</v>
      </c>
      <c r="F3643" s="5">
        <v>0</v>
      </c>
      <c r="G3643" s="5">
        <v>0</v>
      </c>
      <c r="H3643" s="5">
        <v>0</v>
      </c>
      <c r="I3643" s="5">
        <v>0</v>
      </c>
      <c r="J3643" s="5">
        <v>0</v>
      </c>
      <c r="K3643" s="5">
        <v>0</v>
      </c>
      <c r="L3643" s="5">
        <v>0</v>
      </c>
      <c r="M3643" s="5">
        <v>0</v>
      </c>
      <c r="N3643" s="5">
        <v>0</v>
      </c>
      <c r="O3643" s="5" t="str">
        <f t="shared" ca="1" si="56"/>
        <v>Supplier 67</v>
      </c>
      <c r="P3643" s="20" t="str">
        <f ca="1">IFERROR(VLOOKUP(O3643,EMAILS!B:C,2,FALSE),"NOT FOUND IN EMAILS")</f>
        <v>supplier@gmail.com</v>
      </c>
      <c r="Q3643" t="str">
        <f ca="1">""&amp;IFERROR(VLOOKUP(O3643,EMAILS!B:D,3,FALSE),"NOT FOUND IN EMAILS")</f>
        <v/>
      </c>
      <c r="R3643" t="str">
        <f ca="1">""&amp;IFERROR(VLOOKUP(O3643,EMAILS!B:E,4,FALSE),"NO T FOUND IN EMAILS")</f>
        <v/>
      </c>
    </row>
    <row r="3644" spans="2:18" x14ac:dyDescent="0.25">
      <c r="B3644" s="5" t="s">
        <v>3646</v>
      </c>
      <c r="C3644" s="5" t="s">
        <v>7786</v>
      </c>
      <c r="D3644" s="5">
        <v>0</v>
      </c>
      <c r="E3644" s="5">
        <v>0</v>
      </c>
      <c r="F3644" s="5">
        <v>0</v>
      </c>
      <c r="G3644" s="5">
        <v>0</v>
      </c>
      <c r="H3644" s="5">
        <v>0</v>
      </c>
      <c r="I3644" s="5">
        <v>0</v>
      </c>
      <c r="J3644" s="5">
        <v>0</v>
      </c>
      <c r="K3644" s="5">
        <v>0</v>
      </c>
      <c r="L3644" s="5">
        <v>0</v>
      </c>
      <c r="M3644" s="5">
        <v>0</v>
      </c>
      <c r="N3644" s="5">
        <v>0</v>
      </c>
      <c r="O3644" s="5" t="str">
        <f t="shared" ca="1" si="56"/>
        <v>Supplier 146</v>
      </c>
      <c r="P3644" s="20" t="str">
        <f ca="1">IFERROR(VLOOKUP(O3644,EMAILS!B:C,2,FALSE),"NOT FOUND IN EMAILS")</f>
        <v>supplier@gmail.com</v>
      </c>
      <c r="Q3644" t="str">
        <f ca="1">""&amp;IFERROR(VLOOKUP(O3644,EMAILS!B:D,3,FALSE),"NOT FOUND IN EMAILS")</f>
        <v/>
      </c>
      <c r="R3644" t="str">
        <f ca="1">""&amp;IFERROR(VLOOKUP(O3644,EMAILS!B:E,4,FALSE),"NO T FOUND IN EMAILS")</f>
        <v/>
      </c>
    </row>
    <row r="3645" spans="2:18" x14ac:dyDescent="0.25">
      <c r="B3645" s="5" t="s">
        <v>3647</v>
      </c>
      <c r="C3645" s="5" t="s">
        <v>7787</v>
      </c>
      <c r="D3645" s="5">
        <v>0</v>
      </c>
      <c r="E3645" s="5">
        <v>0</v>
      </c>
      <c r="F3645" s="5">
        <v>0</v>
      </c>
      <c r="G3645" s="5">
        <v>0</v>
      </c>
      <c r="H3645" s="5">
        <v>0</v>
      </c>
      <c r="I3645" s="5">
        <v>0</v>
      </c>
      <c r="J3645" s="5">
        <v>0</v>
      </c>
      <c r="K3645" s="5">
        <v>0</v>
      </c>
      <c r="L3645" s="5">
        <v>0</v>
      </c>
      <c r="M3645" s="5">
        <v>0</v>
      </c>
      <c r="N3645" s="5">
        <v>0</v>
      </c>
      <c r="O3645" s="5" t="str">
        <f t="shared" ca="1" si="56"/>
        <v>Supplier 10</v>
      </c>
      <c r="P3645" s="20" t="str">
        <f ca="1">IFERROR(VLOOKUP(O3645,EMAILS!B:C,2,FALSE),"NOT FOUND IN EMAILS")</f>
        <v>supplier@gmail.com</v>
      </c>
      <c r="Q3645" t="str">
        <f ca="1">""&amp;IFERROR(VLOOKUP(O3645,EMAILS!B:D,3,FALSE),"NOT FOUND IN EMAILS")</f>
        <v>supplier_logistics@gmail.com</v>
      </c>
      <c r="R3645" t="str">
        <f ca="1">""&amp;IFERROR(VLOOKUP(O3645,EMAILS!B:E,4,FALSE),"NO T FOUND IN EMAILS")</f>
        <v/>
      </c>
    </row>
    <row r="3646" spans="2:18" x14ac:dyDescent="0.25">
      <c r="B3646" s="5" t="s">
        <v>3648</v>
      </c>
      <c r="C3646" s="5" t="s">
        <v>7788</v>
      </c>
      <c r="D3646" s="5">
        <v>0</v>
      </c>
      <c r="E3646" s="5">
        <v>0</v>
      </c>
      <c r="F3646" s="5">
        <v>0</v>
      </c>
      <c r="G3646" s="5">
        <v>0</v>
      </c>
      <c r="H3646" s="5">
        <v>0</v>
      </c>
      <c r="I3646" s="5">
        <v>0</v>
      </c>
      <c r="J3646" s="5">
        <v>0</v>
      </c>
      <c r="K3646" s="5">
        <v>0</v>
      </c>
      <c r="L3646" s="5">
        <v>0</v>
      </c>
      <c r="M3646" s="5">
        <v>0</v>
      </c>
      <c r="N3646" s="5">
        <v>0</v>
      </c>
      <c r="O3646" s="5" t="str">
        <f t="shared" ca="1" si="56"/>
        <v>Supplier 1</v>
      </c>
      <c r="P3646" s="20" t="str">
        <f ca="1">IFERROR(VLOOKUP(O3646,EMAILS!B:C,2,FALSE),"NOT FOUND IN EMAILS")</f>
        <v>supplier@gmail.com</v>
      </c>
      <c r="Q3646" t="str">
        <f ca="1">""&amp;IFERROR(VLOOKUP(O3646,EMAILS!B:D,3,FALSE),"NOT FOUND IN EMAILS")</f>
        <v>supplier_logistics@gmail.com</v>
      </c>
      <c r="R3646" t="str">
        <f ca="1">""&amp;IFERROR(VLOOKUP(O3646,EMAILS!B:E,4,FALSE),"NO T FOUND IN EMAILS")</f>
        <v/>
      </c>
    </row>
    <row r="3647" spans="2:18" x14ac:dyDescent="0.25">
      <c r="B3647" s="5" t="s">
        <v>3649</v>
      </c>
      <c r="C3647" s="5" t="s">
        <v>7789</v>
      </c>
      <c r="D3647" s="5">
        <v>0</v>
      </c>
      <c r="E3647" s="5">
        <v>0</v>
      </c>
      <c r="F3647" s="5">
        <v>0</v>
      </c>
      <c r="G3647" s="5">
        <v>0</v>
      </c>
      <c r="H3647" s="5">
        <v>0</v>
      </c>
      <c r="I3647" s="5">
        <v>0</v>
      </c>
      <c r="J3647" s="5">
        <v>0</v>
      </c>
      <c r="K3647" s="5">
        <v>0</v>
      </c>
      <c r="L3647" s="5">
        <v>0</v>
      </c>
      <c r="M3647" s="5">
        <v>0</v>
      </c>
      <c r="N3647" s="5">
        <v>0</v>
      </c>
      <c r="O3647" s="5" t="str">
        <f t="shared" ca="1" si="56"/>
        <v>Supplier 71</v>
      </c>
      <c r="P3647" s="20" t="str">
        <f ca="1">IFERROR(VLOOKUP(O3647,EMAILS!B:C,2,FALSE),"NOT FOUND IN EMAILS")</f>
        <v>supplier@gmail.com</v>
      </c>
      <c r="Q3647" t="str">
        <f ca="1">""&amp;IFERROR(VLOOKUP(O3647,EMAILS!B:D,3,FALSE),"NOT FOUND IN EMAILS")</f>
        <v/>
      </c>
      <c r="R3647" t="str">
        <f ca="1">""&amp;IFERROR(VLOOKUP(O3647,EMAILS!B:E,4,FALSE),"NO T FOUND IN EMAILS")</f>
        <v/>
      </c>
    </row>
    <row r="3648" spans="2:18" x14ac:dyDescent="0.25">
      <c r="B3648" s="5" t="s">
        <v>3650</v>
      </c>
      <c r="C3648" s="5" t="s">
        <v>7790</v>
      </c>
      <c r="D3648" s="5">
        <v>0</v>
      </c>
      <c r="E3648" s="5">
        <v>0</v>
      </c>
      <c r="F3648" s="5">
        <v>0</v>
      </c>
      <c r="G3648" s="5">
        <v>0</v>
      </c>
      <c r="H3648" s="5">
        <v>0</v>
      </c>
      <c r="I3648" s="5">
        <v>0</v>
      </c>
      <c r="J3648" s="5">
        <v>0</v>
      </c>
      <c r="K3648" s="5">
        <v>0</v>
      </c>
      <c r="L3648" s="5">
        <v>0</v>
      </c>
      <c r="M3648" s="5">
        <v>0</v>
      </c>
      <c r="N3648" s="5">
        <v>0</v>
      </c>
      <c r="O3648" s="5" t="str">
        <f t="shared" ca="1" si="56"/>
        <v>Supplier 198</v>
      </c>
      <c r="P3648" s="20" t="str">
        <f ca="1">IFERROR(VLOOKUP(O3648,EMAILS!B:C,2,FALSE),"NOT FOUND IN EMAILS")</f>
        <v>supplier@gmail.com</v>
      </c>
      <c r="Q3648" t="str">
        <f ca="1">""&amp;IFERROR(VLOOKUP(O3648,EMAILS!B:D,3,FALSE),"NOT FOUND IN EMAILS")</f>
        <v/>
      </c>
      <c r="R3648" t="str">
        <f ca="1">""&amp;IFERROR(VLOOKUP(O3648,EMAILS!B:E,4,FALSE),"NO T FOUND IN EMAILS")</f>
        <v/>
      </c>
    </row>
    <row r="3649" spans="2:18" x14ac:dyDescent="0.25">
      <c r="B3649" s="5" t="s">
        <v>3651</v>
      </c>
      <c r="C3649" s="5" t="s">
        <v>7791</v>
      </c>
      <c r="D3649" s="5">
        <v>0</v>
      </c>
      <c r="E3649" s="5">
        <v>0</v>
      </c>
      <c r="F3649" s="5">
        <v>0</v>
      </c>
      <c r="G3649" s="5">
        <v>0</v>
      </c>
      <c r="H3649" s="5">
        <v>0</v>
      </c>
      <c r="I3649" s="5">
        <v>0</v>
      </c>
      <c r="J3649" s="5">
        <v>0</v>
      </c>
      <c r="K3649" s="5">
        <v>0</v>
      </c>
      <c r="L3649" s="5">
        <v>0</v>
      </c>
      <c r="M3649" s="5">
        <v>0</v>
      </c>
      <c r="N3649" s="5">
        <v>0</v>
      </c>
      <c r="O3649" s="5" t="str">
        <f t="shared" ca="1" si="56"/>
        <v>Supplier 169</v>
      </c>
      <c r="P3649" s="20" t="str">
        <f ca="1">IFERROR(VLOOKUP(O3649,EMAILS!B:C,2,FALSE),"NOT FOUND IN EMAILS")</f>
        <v>supplier@gmail.com</v>
      </c>
      <c r="Q3649" t="str">
        <f ca="1">""&amp;IFERROR(VLOOKUP(O3649,EMAILS!B:D,3,FALSE),"NOT FOUND IN EMAILS")</f>
        <v/>
      </c>
      <c r="R3649" t="str">
        <f ca="1">""&amp;IFERROR(VLOOKUP(O3649,EMAILS!B:E,4,FALSE),"NO T FOUND IN EMAILS")</f>
        <v/>
      </c>
    </row>
    <row r="3650" spans="2:18" x14ac:dyDescent="0.25">
      <c r="B3650" s="5" t="s">
        <v>3652</v>
      </c>
      <c r="C3650" s="5" t="s">
        <v>7792</v>
      </c>
      <c r="D3650" s="5">
        <v>0</v>
      </c>
      <c r="E3650" s="5">
        <v>0</v>
      </c>
      <c r="F3650" s="5">
        <v>0</v>
      </c>
      <c r="G3650" s="5">
        <v>0</v>
      </c>
      <c r="H3650" s="5">
        <v>0</v>
      </c>
      <c r="I3650" s="5">
        <v>0</v>
      </c>
      <c r="J3650" s="5">
        <v>0</v>
      </c>
      <c r="K3650" s="5">
        <v>0</v>
      </c>
      <c r="L3650" s="5">
        <v>0</v>
      </c>
      <c r="M3650" s="5">
        <v>0</v>
      </c>
      <c r="N3650" s="5">
        <v>0</v>
      </c>
      <c r="O3650" s="5" t="str">
        <f t="shared" ca="1" si="56"/>
        <v>Supplier 180</v>
      </c>
      <c r="P3650" s="20" t="str">
        <f ca="1">IFERROR(VLOOKUP(O3650,EMAILS!B:C,2,FALSE),"NOT FOUND IN EMAILS")</f>
        <v>supplier@gmail.com</v>
      </c>
      <c r="Q3650" t="str">
        <f ca="1">""&amp;IFERROR(VLOOKUP(O3650,EMAILS!B:D,3,FALSE),"NOT FOUND IN EMAILS")</f>
        <v/>
      </c>
      <c r="R3650" t="str">
        <f ca="1">""&amp;IFERROR(VLOOKUP(O3650,EMAILS!B:E,4,FALSE),"NO T FOUND IN EMAILS")</f>
        <v/>
      </c>
    </row>
    <row r="3651" spans="2:18" x14ac:dyDescent="0.25">
      <c r="B3651" s="5" t="s">
        <v>3653</v>
      </c>
      <c r="C3651" s="5" t="s">
        <v>7793</v>
      </c>
      <c r="D3651" s="5">
        <v>0</v>
      </c>
      <c r="E3651" s="5">
        <v>0</v>
      </c>
      <c r="F3651" s="5">
        <v>0</v>
      </c>
      <c r="G3651" s="5">
        <v>0</v>
      </c>
      <c r="H3651" s="5">
        <v>0</v>
      </c>
      <c r="I3651" s="5">
        <v>0</v>
      </c>
      <c r="J3651" s="5">
        <v>0</v>
      </c>
      <c r="K3651" s="5">
        <v>0</v>
      </c>
      <c r="L3651" s="5">
        <v>0</v>
      </c>
      <c r="M3651" s="5">
        <v>0</v>
      </c>
      <c r="N3651" s="5">
        <v>0</v>
      </c>
      <c r="O3651" s="5" t="str">
        <f t="shared" ref="O3651:O3714" ca="1" si="57">"Supplier "&amp;RANDBETWEEN(1,200)</f>
        <v>Supplier 185</v>
      </c>
      <c r="P3651" s="20" t="str">
        <f ca="1">IFERROR(VLOOKUP(O3651,EMAILS!B:C,2,FALSE),"NOT FOUND IN EMAILS")</f>
        <v>supplier@gmail.com</v>
      </c>
      <c r="Q3651" t="str">
        <f ca="1">""&amp;IFERROR(VLOOKUP(O3651,EMAILS!B:D,3,FALSE),"NOT FOUND IN EMAILS")</f>
        <v/>
      </c>
      <c r="R3651" t="str">
        <f ca="1">""&amp;IFERROR(VLOOKUP(O3651,EMAILS!B:E,4,FALSE),"NO T FOUND IN EMAILS")</f>
        <v/>
      </c>
    </row>
    <row r="3652" spans="2:18" x14ac:dyDescent="0.25">
      <c r="B3652" s="5" t="s">
        <v>3654</v>
      </c>
      <c r="C3652" s="5" t="s">
        <v>7794</v>
      </c>
      <c r="D3652" s="5">
        <v>0</v>
      </c>
      <c r="E3652" s="5">
        <v>0</v>
      </c>
      <c r="F3652" s="5">
        <v>0</v>
      </c>
      <c r="G3652" s="5">
        <v>0</v>
      </c>
      <c r="H3652" s="5">
        <v>0</v>
      </c>
      <c r="I3652" s="5">
        <v>0</v>
      </c>
      <c r="J3652" s="5">
        <v>0</v>
      </c>
      <c r="K3652" s="5">
        <v>0</v>
      </c>
      <c r="L3652" s="5">
        <v>0</v>
      </c>
      <c r="M3652" s="5">
        <v>0</v>
      </c>
      <c r="N3652" s="5">
        <v>0</v>
      </c>
      <c r="O3652" s="5" t="str">
        <f t="shared" ca="1" si="57"/>
        <v>Supplier 121</v>
      </c>
      <c r="P3652" s="20" t="str">
        <f ca="1">IFERROR(VLOOKUP(O3652,EMAILS!B:C,2,FALSE),"NOT FOUND IN EMAILS")</f>
        <v>supplier@gmail.com</v>
      </c>
      <c r="Q3652" t="str">
        <f ca="1">""&amp;IFERROR(VLOOKUP(O3652,EMAILS!B:D,3,FALSE),"NOT FOUND IN EMAILS")</f>
        <v/>
      </c>
      <c r="R3652" t="str">
        <f ca="1">""&amp;IFERROR(VLOOKUP(O3652,EMAILS!B:E,4,FALSE),"NO T FOUND IN EMAILS")</f>
        <v/>
      </c>
    </row>
    <row r="3653" spans="2:18" x14ac:dyDescent="0.25">
      <c r="B3653" s="5" t="s">
        <v>3655</v>
      </c>
      <c r="C3653" s="5" t="s">
        <v>7795</v>
      </c>
      <c r="D3653" s="5">
        <v>0</v>
      </c>
      <c r="E3653" s="5">
        <v>0</v>
      </c>
      <c r="F3653" s="5">
        <v>0</v>
      </c>
      <c r="G3653" s="5">
        <v>0</v>
      </c>
      <c r="H3653" s="5">
        <v>0</v>
      </c>
      <c r="I3653" s="5">
        <v>0</v>
      </c>
      <c r="J3653" s="5">
        <v>0</v>
      </c>
      <c r="K3653" s="5">
        <v>0</v>
      </c>
      <c r="L3653" s="5">
        <v>0</v>
      </c>
      <c r="M3653" s="5">
        <v>0</v>
      </c>
      <c r="N3653" s="5">
        <v>0</v>
      </c>
      <c r="O3653" s="5" t="str">
        <f t="shared" ca="1" si="57"/>
        <v>Supplier 167</v>
      </c>
      <c r="P3653" s="20" t="str">
        <f ca="1">IFERROR(VLOOKUP(O3653,EMAILS!B:C,2,FALSE),"NOT FOUND IN EMAILS")</f>
        <v>supplier@gmail.com</v>
      </c>
      <c r="Q3653" t="str">
        <f ca="1">""&amp;IFERROR(VLOOKUP(O3653,EMAILS!B:D,3,FALSE),"NOT FOUND IN EMAILS")</f>
        <v/>
      </c>
      <c r="R3653" t="str">
        <f ca="1">""&amp;IFERROR(VLOOKUP(O3653,EMAILS!B:E,4,FALSE),"NO T FOUND IN EMAILS")</f>
        <v/>
      </c>
    </row>
    <row r="3654" spans="2:18" x14ac:dyDescent="0.25">
      <c r="B3654" s="5" t="s">
        <v>3656</v>
      </c>
      <c r="C3654" s="5" t="s">
        <v>7796</v>
      </c>
      <c r="D3654" s="5">
        <v>0</v>
      </c>
      <c r="E3654" s="5">
        <v>0</v>
      </c>
      <c r="F3654" s="5">
        <v>0</v>
      </c>
      <c r="G3654" s="5">
        <v>0</v>
      </c>
      <c r="H3654" s="5">
        <v>0</v>
      </c>
      <c r="I3654" s="5">
        <v>0</v>
      </c>
      <c r="J3654" s="5">
        <v>0</v>
      </c>
      <c r="K3654" s="5">
        <v>0</v>
      </c>
      <c r="L3654" s="5">
        <v>0</v>
      </c>
      <c r="M3654" s="5">
        <v>0</v>
      </c>
      <c r="N3654" s="5">
        <v>0</v>
      </c>
      <c r="O3654" s="5" t="str">
        <f t="shared" ca="1" si="57"/>
        <v>Supplier 193</v>
      </c>
      <c r="P3654" s="20" t="str">
        <f ca="1">IFERROR(VLOOKUP(O3654,EMAILS!B:C,2,FALSE),"NOT FOUND IN EMAILS")</f>
        <v>supplier@gmail.com</v>
      </c>
      <c r="Q3654" t="str">
        <f ca="1">""&amp;IFERROR(VLOOKUP(O3654,EMAILS!B:D,3,FALSE),"NOT FOUND IN EMAILS")</f>
        <v/>
      </c>
      <c r="R3654" t="str">
        <f ca="1">""&amp;IFERROR(VLOOKUP(O3654,EMAILS!B:E,4,FALSE),"NO T FOUND IN EMAILS")</f>
        <v/>
      </c>
    </row>
    <row r="3655" spans="2:18" x14ac:dyDescent="0.25">
      <c r="B3655" s="5" t="s">
        <v>3657</v>
      </c>
      <c r="C3655" s="5" t="s">
        <v>7797</v>
      </c>
      <c r="D3655" s="5">
        <v>0</v>
      </c>
      <c r="E3655" s="5">
        <v>0</v>
      </c>
      <c r="F3655" s="5">
        <v>0</v>
      </c>
      <c r="G3655" s="5">
        <v>0</v>
      </c>
      <c r="H3655" s="5">
        <v>0</v>
      </c>
      <c r="I3655" s="5">
        <v>0</v>
      </c>
      <c r="J3655" s="5">
        <v>0</v>
      </c>
      <c r="K3655" s="5">
        <v>0</v>
      </c>
      <c r="L3655" s="5">
        <v>0</v>
      </c>
      <c r="M3655" s="5">
        <v>0</v>
      </c>
      <c r="N3655" s="5">
        <v>0</v>
      </c>
      <c r="O3655" s="5" t="str">
        <f t="shared" ca="1" si="57"/>
        <v>Supplier 126</v>
      </c>
      <c r="P3655" s="20" t="str">
        <f ca="1">IFERROR(VLOOKUP(O3655,EMAILS!B:C,2,FALSE),"NOT FOUND IN EMAILS")</f>
        <v>supplier@gmail.com</v>
      </c>
      <c r="Q3655" t="str">
        <f ca="1">""&amp;IFERROR(VLOOKUP(O3655,EMAILS!B:D,3,FALSE),"NOT FOUND IN EMAILS")</f>
        <v/>
      </c>
      <c r="R3655" t="str">
        <f ca="1">""&amp;IFERROR(VLOOKUP(O3655,EMAILS!B:E,4,FALSE),"NO T FOUND IN EMAILS")</f>
        <v/>
      </c>
    </row>
    <row r="3656" spans="2:18" x14ac:dyDescent="0.25">
      <c r="B3656" s="5" t="s">
        <v>3658</v>
      </c>
      <c r="C3656" s="5" t="s">
        <v>7798</v>
      </c>
      <c r="D3656" s="5">
        <v>0</v>
      </c>
      <c r="E3656" s="5">
        <v>0</v>
      </c>
      <c r="F3656" s="5">
        <v>0</v>
      </c>
      <c r="G3656" s="5">
        <v>0</v>
      </c>
      <c r="H3656" s="5">
        <v>0</v>
      </c>
      <c r="I3656" s="5">
        <v>0</v>
      </c>
      <c r="J3656" s="5">
        <v>0</v>
      </c>
      <c r="K3656" s="5">
        <v>0</v>
      </c>
      <c r="L3656" s="5">
        <v>0</v>
      </c>
      <c r="M3656" s="5">
        <v>0</v>
      </c>
      <c r="N3656" s="5">
        <v>0</v>
      </c>
      <c r="O3656" s="5" t="str">
        <f t="shared" ca="1" si="57"/>
        <v>Supplier 177</v>
      </c>
      <c r="P3656" s="20" t="str">
        <f ca="1">IFERROR(VLOOKUP(O3656,EMAILS!B:C,2,FALSE),"NOT FOUND IN EMAILS")</f>
        <v>supplier@gmail.com</v>
      </c>
      <c r="Q3656" t="str">
        <f ca="1">""&amp;IFERROR(VLOOKUP(O3656,EMAILS!B:D,3,FALSE),"NOT FOUND IN EMAILS")</f>
        <v/>
      </c>
      <c r="R3656" t="str">
        <f ca="1">""&amp;IFERROR(VLOOKUP(O3656,EMAILS!B:E,4,FALSE),"NO T FOUND IN EMAILS")</f>
        <v/>
      </c>
    </row>
    <row r="3657" spans="2:18" x14ac:dyDescent="0.25">
      <c r="B3657" s="5" t="s">
        <v>3659</v>
      </c>
      <c r="C3657" s="5" t="s">
        <v>7799</v>
      </c>
      <c r="D3657" s="5">
        <v>0</v>
      </c>
      <c r="E3657" s="5">
        <v>0</v>
      </c>
      <c r="F3657" s="5">
        <v>0</v>
      </c>
      <c r="G3657" s="5">
        <v>0</v>
      </c>
      <c r="H3657" s="5">
        <v>0</v>
      </c>
      <c r="I3657" s="5">
        <v>0</v>
      </c>
      <c r="J3657" s="5">
        <v>0</v>
      </c>
      <c r="K3657" s="5">
        <v>0</v>
      </c>
      <c r="L3657" s="5">
        <v>0</v>
      </c>
      <c r="M3657" s="5">
        <v>0</v>
      </c>
      <c r="N3657" s="5">
        <v>0</v>
      </c>
      <c r="O3657" s="5" t="str">
        <f t="shared" ca="1" si="57"/>
        <v>Supplier 33</v>
      </c>
      <c r="P3657" s="20" t="str">
        <f ca="1">IFERROR(VLOOKUP(O3657,EMAILS!B:C,2,FALSE),"NOT FOUND IN EMAILS")</f>
        <v>supplier@gmail.com</v>
      </c>
      <c r="Q3657" t="str">
        <f ca="1">""&amp;IFERROR(VLOOKUP(O3657,EMAILS!B:D,3,FALSE),"NOT FOUND IN EMAILS")</f>
        <v/>
      </c>
      <c r="R3657" t="str">
        <f ca="1">""&amp;IFERROR(VLOOKUP(O3657,EMAILS!B:E,4,FALSE),"NO T FOUND IN EMAILS")</f>
        <v/>
      </c>
    </row>
    <row r="3658" spans="2:18" x14ac:dyDescent="0.25">
      <c r="B3658" s="5" t="s">
        <v>3660</v>
      </c>
      <c r="C3658" s="5" t="s">
        <v>7800</v>
      </c>
      <c r="D3658" s="5">
        <v>0</v>
      </c>
      <c r="E3658" s="5">
        <v>0</v>
      </c>
      <c r="F3658" s="5">
        <v>0</v>
      </c>
      <c r="G3658" s="5">
        <v>0</v>
      </c>
      <c r="H3658" s="5">
        <v>0</v>
      </c>
      <c r="I3658" s="5">
        <v>0</v>
      </c>
      <c r="J3658" s="5">
        <v>0</v>
      </c>
      <c r="K3658" s="5">
        <v>0</v>
      </c>
      <c r="L3658" s="5">
        <v>0</v>
      </c>
      <c r="M3658" s="5">
        <v>0</v>
      </c>
      <c r="N3658" s="5">
        <v>0</v>
      </c>
      <c r="O3658" s="5" t="str">
        <f t="shared" ca="1" si="57"/>
        <v>Supplier 28</v>
      </c>
      <c r="P3658" s="20" t="str">
        <f ca="1">IFERROR(VLOOKUP(O3658,EMAILS!B:C,2,FALSE),"NOT FOUND IN EMAILS")</f>
        <v>supplier@gmail.com</v>
      </c>
      <c r="Q3658" t="str">
        <f ca="1">""&amp;IFERROR(VLOOKUP(O3658,EMAILS!B:D,3,FALSE),"NOT FOUND IN EMAILS")</f>
        <v/>
      </c>
      <c r="R3658" t="str">
        <f ca="1">""&amp;IFERROR(VLOOKUP(O3658,EMAILS!B:E,4,FALSE),"NO T FOUND IN EMAILS")</f>
        <v/>
      </c>
    </row>
    <row r="3659" spans="2:18" x14ac:dyDescent="0.25">
      <c r="B3659" s="5" t="s">
        <v>3661</v>
      </c>
      <c r="C3659" s="5" t="s">
        <v>7801</v>
      </c>
      <c r="D3659" s="5">
        <v>0</v>
      </c>
      <c r="E3659" s="5">
        <v>0</v>
      </c>
      <c r="F3659" s="5">
        <v>0</v>
      </c>
      <c r="G3659" s="5">
        <v>0</v>
      </c>
      <c r="H3659" s="5">
        <v>0</v>
      </c>
      <c r="I3659" s="5">
        <v>0</v>
      </c>
      <c r="J3659" s="5">
        <v>0</v>
      </c>
      <c r="K3659" s="5">
        <v>0</v>
      </c>
      <c r="L3659" s="5">
        <v>0</v>
      </c>
      <c r="M3659" s="5">
        <v>0</v>
      </c>
      <c r="N3659" s="5">
        <v>0</v>
      </c>
      <c r="O3659" s="5" t="str">
        <f t="shared" ca="1" si="57"/>
        <v>Supplier 97</v>
      </c>
      <c r="P3659" s="20" t="str">
        <f ca="1">IFERROR(VLOOKUP(O3659,EMAILS!B:C,2,FALSE),"NOT FOUND IN EMAILS")</f>
        <v>supplier@gmail.com</v>
      </c>
      <c r="Q3659" t="str">
        <f ca="1">""&amp;IFERROR(VLOOKUP(O3659,EMAILS!B:D,3,FALSE),"NOT FOUND IN EMAILS")</f>
        <v/>
      </c>
      <c r="R3659" t="str">
        <f ca="1">""&amp;IFERROR(VLOOKUP(O3659,EMAILS!B:E,4,FALSE),"NO T FOUND IN EMAILS")</f>
        <v/>
      </c>
    </row>
    <row r="3660" spans="2:18" x14ac:dyDescent="0.25">
      <c r="B3660" s="5" t="s">
        <v>3662</v>
      </c>
      <c r="C3660" s="5" t="s">
        <v>7802</v>
      </c>
      <c r="D3660" s="5">
        <v>0</v>
      </c>
      <c r="E3660" s="5">
        <v>0</v>
      </c>
      <c r="F3660" s="5">
        <v>0</v>
      </c>
      <c r="G3660" s="5">
        <v>0</v>
      </c>
      <c r="H3660" s="5">
        <v>0</v>
      </c>
      <c r="I3660" s="5">
        <v>0</v>
      </c>
      <c r="J3660" s="5">
        <v>0</v>
      </c>
      <c r="K3660" s="5">
        <v>0</v>
      </c>
      <c r="L3660" s="5">
        <v>0</v>
      </c>
      <c r="M3660" s="5">
        <v>0</v>
      </c>
      <c r="N3660" s="5">
        <v>0</v>
      </c>
      <c r="O3660" s="5" t="str">
        <f t="shared" ca="1" si="57"/>
        <v>Supplier 99</v>
      </c>
      <c r="P3660" s="20" t="str">
        <f ca="1">IFERROR(VLOOKUP(O3660,EMAILS!B:C,2,FALSE),"NOT FOUND IN EMAILS")</f>
        <v>supplier@gmail.com</v>
      </c>
      <c r="Q3660" t="str">
        <f ca="1">""&amp;IFERROR(VLOOKUP(O3660,EMAILS!B:D,3,FALSE),"NOT FOUND IN EMAILS")</f>
        <v/>
      </c>
      <c r="R3660" t="str">
        <f ca="1">""&amp;IFERROR(VLOOKUP(O3660,EMAILS!B:E,4,FALSE),"NO T FOUND IN EMAILS")</f>
        <v/>
      </c>
    </row>
    <row r="3661" spans="2:18" x14ac:dyDescent="0.25">
      <c r="B3661" s="5" t="s">
        <v>3663</v>
      </c>
      <c r="C3661" s="5" t="s">
        <v>7803</v>
      </c>
      <c r="D3661" s="5">
        <v>0</v>
      </c>
      <c r="E3661" s="5">
        <v>0</v>
      </c>
      <c r="F3661" s="5">
        <v>0</v>
      </c>
      <c r="G3661" s="5">
        <v>0</v>
      </c>
      <c r="H3661" s="5">
        <v>0</v>
      </c>
      <c r="I3661" s="5">
        <v>0</v>
      </c>
      <c r="J3661" s="5">
        <v>0</v>
      </c>
      <c r="K3661" s="5">
        <v>0</v>
      </c>
      <c r="L3661" s="5">
        <v>0</v>
      </c>
      <c r="M3661" s="5">
        <v>0</v>
      </c>
      <c r="N3661" s="5">
        <v>0</v>
      </c>
      <c r="O3661" s="5" t="str">
        <f t="shared" ca="1" si="57"/>
        <v>Supplier 116</v>
      </c>
      <c r="P3661" s="20" t="str">
        <f ca="1">IFERROR(VLOOKUP(O3661,EMAILS!B:C,2,FALSE),"NOT FOUND IN EMAILS")</f>
        <v>supplier@gmail.com</v>
      </c>
      <c r="Q3661" t="str">
        <f ca="1">""&amp;IFERROR(VLOOKUP(O3661,EMAILS!B:D,3,FALSE),"NOT FOUND IN EMAILS")</f>
        <v/>
      </c>
      <c r="R3661" t="str">
        <f ca="1">""&amp;IFERROR(VLOOKUP(O3661,EMAILS!B:E,4,FALSE),"NO T FOUND IN EMAILS")</f>
        <v/>
      </c>
    </row>
    <row r="3662" spans="2:18" x14ac:dyDescent="0.25">
      <c r="B3662" s="5" t="s">
        <v>3664</v>
      </c>
      <c r="C3662" s="5" t="s">
        <v>7804</v>
      </c>
      <c r="D3662" s="5">
        <v>0</v>
      </c>
      <c r="E3662" s="5">
        <v>0</v>
      </c>
      <c r="F3662" s="5">
        <v>0</v>
      </c>
      <c r="G3662" s="5">
        <v>0</v>
      </c>
      <c r="H3662" s="5">
        <v>0</v>
      </c>
      <c r="I3662" s="5">
        <v>0</v>
      </c>
      <c r="J3662" s="5">
        <v>0</v>
      </c>
      <c r="K3662" s="5">
        <v>0</v>
      </c>
      <c r="L3662" s="5">
        <v>0</v>
      </c>
      <c r="M3662" s="5">
        <v>0</v>
      </c>
      <c r="N3662" s="5">
        <v>0</v>
      </c>
      <c r="O3662" s="5" t="str">
        <f t="shared" ca="1" si="57"/>
        <v>Supplier 17</v>
      </c>
      <c r="P3662" s="20" t="str">
        <f ca="1">IFERROR(VLOOKUP(O3662,EMAILS!B:C,2,FALSE),"NOT FOUND IN EMAILS")</f>
        <v>supplier@gmail.com</v>
      </c>
      <c r="Q3662" t="str">
        <f ca="1">""&amp;IFERROR(VLOOKUP(O3662,EMAILS!B:D,3,FALSE),"NOT FOUND IN EMAILS")</f>
        <v>supplier_logistics@gmail.com</v>
      </c>
      <c r="R3662" t="str">
        <f ca="1">""&amp;IFERROR(VLOOKUP(O3662,EMAILS!B:E,4,FALSE),"NO T FOUND IN EMAILS")</f>
        <v/>
      </c>
    </row>
    <row r="3663" spans="2:18" x14ac:dyDescent="0.25">
      <c r="B3663" s="5" t="s">
        <v>3665</v>
      </c>
      <c r="C3663" s="5" t="s">
        <v>7805</v>
      </c>
      <c r="D3663" s="5">
        <v>0</v>
      </c>
      <c r="E3663" s="5">
        <v>0</v>
      </c>
      <c r="F3663" s="5">
        <v>0</v>
      </c>
      <c r="G3663" s="5">
        <v>0</v>
      </c>
      <c r="H3663" s="5">
        <v>0</v>
      </c>
      <c r="I3663" s="5">
        <v>0</v>
      </c>
      <c r="J3663" s="5">
        <v>0</v>
      </c>
      <c r="K3663" s="5">
        <v>0</v>
      </c>
      <c r="L3663" s="5">
        <v>0</v>
      </c>
      <c r="M3663" s="5">
        <v>0</v>
      </c>
      <c r="N3663" s="5">
        <v>0</v>
      </c>
      <c r="O3663" s="5" t="str">
        <f t="shared" ca="1" si="57"/>
        <v>Supplier 82</v>
      </c>
      <c r="P3663" s="20" t="str">
        <f ca="1">IFERROR(VLOOKUP(O3663,EMAILS!B:C,2,FALSE),"NOT FOUND IN EMAILS")</f>
        <v>supplier@gmail.com</v>
      </c>
      <c r="Q3663" t="str">
        <f ca="1">""&amp;IFERROR(VLOOKUP(O3663,EMAILS!B:D,3,FALSE),"NOT FOUND IN EMAILS")</f>
        <v/>
      </c>
      <c r="R3663" t="str">
        <f ca="1">""&amp;IFERROR(VLOOKUP(O3663,EMAILS!B:E,4,FALSE),"NO T FOUND IN EMAILS")</f>
        <v/>
      </c>
    </row>
    <row r="3664" spans="2:18" x14ac:dyDescent="0.25">
      <c r="B3664" s="5" t="s">
        <v>3666</v>
      </c>
      <c r="C3664" s="5" t="s">
        <v>7806</v>
      </c>
      <c r="D3664" s="5">
        <v>0</v>
      </c>
      <c r="E3664" s="5">
        <v>0</v>
      </c>
      <c r="F3664" s="5">
        <v>0</v>
      </c>
      <c r="G3664" s="5">
        <v>0</v>
      </c>
      <c r="H3664" s="5">
        <v>0</v>
      </c>
      <c r="I3664" s="5">
        <v>0</v>
      </c>
      <c r="J3664" s="5">
        <v>0</v>
      </c>
      <c r="K3664" s="5">
        <v>0</v>
      </c>
      <c r="L3664" s="5">
        <v>0</v>
      </c>
      <c r="M3664" s="5">
        <v>0</v>
      </c>
      <c r="N3664" s="5">
        <v>0</v>
      </c>
      <c r="O3664" s="5" t="str">
        <f t="shared" ca="1" si="57"/>
        <v>Supplier 176</v>
      </c>
      <c r="P3664" s="20" t="str">
        <f ca="1">IFERROR(VLOOKUP(O3664,EMAILS!B:C,2,FALSE),"NOT FOUND IN EMAILS")</f>
        <v>supplier@gmail.com</v>
      </c>
      <c r="Q3664" t="str">
        <f ca="1">""&amp;IFERROR(VLOOKUP(O3664,EMAILS!B:D,3,FALSE),"NOT FOUND IN EMAILS")</f>
        <v/>
      </c>
      <c r="R3664" t="str">
        <f ca="1">""&amp;IFERROR(VLOOKUP(O3664,EMAILS!B:E,4,FALSE),"NO T FOUND IN EMAILS")</f>
        <v/>
      </c>
    </row>
    <row r="3665" spans="2:18" x14ac:dyDescent="0.25">
      <c r="B3665" s="5" t="s">
        <v>3667</v>
      </c>
      <c r="C3665" s="5" t="s">
        <v>7807</v>
      </c>
      <c r="D3665" s="5">
        <v>0</v>
      </c>
      <c r="E3665" s="5">
        <v>0</v>
      </c>
      <c r="F3665" s="5">
        <v>0</v>
      </c>
      <c r="G3665" s="5">
        <v>0</v>
      </c>
      <c r="H3665" s="5">
        <v>0</v>
      </c>
      <c r="I3665" s="5">
        <v>0</v>
      </c>
      <c r="J3665" s="5">
        <v>0</v>
      </c>
      <c r="K3665" s="5">
        <v>0</v>
      </c>
      <c r="L3665" s="5">
        <v>0</v>
      </c>
      <c r="M3665" s="5">
        <v>0</v>
      </c>
      <c r="N3665" s="5">
        <v>0</v>
      </c>
      <c r="O3665" s="5" t="str">
        <f t="shared" ca="1" si="57"/>
        <v>Supplier 172</v>
      </c>
      <c r="P3665" s="20" t="str">
        <f ca="1">IFERROR(VLOOKUP(O3665,EMAILS!B:C,2,FALSE),"NOT FOUND IN EMAILS")</f>
        <v>supplier@gmail.com</v>
      </c>
      <c r="Q3665" t="str">
        <f ca="1">""&amp;IFERROR(VLOOKUP(O3665,EMAILS!B:D,3,FALSE),"NOT FOUND IN EMAILS")</f>
        <v/>
      </c>
      <c r="R3665" t="str">
        <f ca="1">""&amp;IFERROR(VLOOKUP(O3665,EMAILS!B:E,4,FALSE),"NO T FOUND IN EMAILS")</f>
        <v/>
      </c>
    </row>
    <row r="3666" spans="2:18" x14ac:dyDescent="0.25">
      <c r="B3666" s="5" t="s">
        <v>3668</v>
      </c>
      <c r="C3666" s="5" t="s">
        <v>7808</v>
      </c>
      <c r="D3666" s="5">
        <v>0</v>
      </c>
      <c r="E3666" s="5">
        <v>0</v>
      </c>
      <c r="F3666" s="5">
        <v>0</v>
      </c>
      <c r="G3666" s="5">
        <v>0</v>
      </c>
      <c r="H3666" s="5">
        <v>0</v>
      </c>
      <c r="I3666" s="5">
        <v>0</v>
      </c>
      <c r="J3666" s="5">
        <v>0</v>
      </c>
      <c r="K3666" s="5">
        <v>0</v>
      </c>
      <c r="L3666" s="5">
        <v>0</v>
      </c>
      <c r="M3666" s="5">
        <v>0</v>
      </c>
      <c r="N3666" s="5">
        <v>0</v>
      </c>
      <c r="O3666" s="5" t="str">
        <f t="shared" ca="1" si="57"/>
        <v>Supplier 63</v>
      </c>
      <c r="P3666" s="20" t="str">
        <f ca="1">IFERROR(VLOOKUP(O3666,EMAILS!B:C,2,FALSE),"NOT FOUND IN EMAILS")</f>
        <v>supplier@gmail.com</v>
      </c>
      <c r="Q3666" t="str">
        <f ca="1">""&amp;IFERROR(VLOOKUP(O3666,EMAILS!B:D,3,FALSE),"NOT FOUND IN EMAILS")</f>
        <v/>
      </c>
      <c r="R3666" t="str">
        <f ca="1">""&amp;IFERROR(VLOOKUP(O3666,EMAILS!B:E,4,FALSE),"NO T FOUND IN EMAILS")</f>
        <v/>
      </c>
    </row>
    <row r="3667" spans="2:18" x14ac:dyDescent="0.25">
      <c r="B3667" s="5" t="s">
        <v>3669</v>
      </c>
      <c r="C3667" s="5" t="s">
        <v>7809</v>
      </c>
      <c r="D3667" s="5">
        <v>0</v>
      </c>
      <c r="E3667" s="5">
        <v>0</v>
      </c>
      <c r="F3667" s="5">
        <v>0</v>
      </c>
      <c r="G3667" s="5">
        <v>0</v>
      </c>
      <c r="H3667" s="5">
        <v>0</v>
      </c>
      <c r="I3667" s="5">
        <v>0</v>
      </c>
      <c r="J3667" s="5">
        <v>0</v>
      </c>
      <c r="K3667" s="5">
        <v>0</v>
      </c>
      <c r="L3667" s="5">
        <v>0</v>
      </c>
      <c r="M3667" s="5">
        <v>0</v>
      </c>
      <c r="N3667" s="5">
        <v>0</v>
      </c>
      <c r="O3667" s="5" t="str">
        <f t="shared" ca="1" si="57"/>
        <v>Supplier 140</v>
      </c>
      <c r="P3667" s="20" t="str">
        <f ca="1">IFERROR(VLOOKUP(O3667,EMAILS!B:C,2,FALSE),"NOT FOUND IN EMAILS")</f>
        <v>supplier@gmail.com</v>
      </c>
      <c r="Q3667" t="str">
        <f ca="1">""&amp;IFERROR(VLOOKUP(O3667,EMAILS!B:D,3,FALSE),"NOT FOUND IN EMAILS")</f>
        <v/>
      </c>
      <c r="R3667" t="str">
        <f ca="1">""&amp;IFERROR(VLOOKUP(O3667,EMAILS!B:E,4,FALSE),"NO T FOUND IN EMAILS")</f>
        <v/>
      </c>
    </row>
    <row r="3668" spans="2:18" x14ac:dyDescent="0.25">
      <c r="B3668" s="5" t="s">
        <v>3670</v>
      </c>
      <c r="C3668" s="5" t="s">
        <v>7810</v>
      </c>
      <c r="D3668" s="5">
        <v>0</v>
      </c>
      <c r="E3668" s="5">
        <v>0</v>
      </c>
      <c r="F3668" s="5">
        <v>0</v>
      </c>
      <c r="G3668" s="5">
        <v>0</v>
      </c>
      <c r="H3668" s="5">
        <v>0</v>
      </c>
      <c r="I3668" s="5">
        <v>0</v>
      </c>
      <c r="J3668" s="5">
        <v>0</v>
      </c>
      <c r="K3668" s="5">
        <v>0</v>
      </c>
      <c r="L3668" s="5">
        <v>0</v>
      </c>
      <c r="M3668" s="5">
        <v>0</v>
      </c>
      <c r="N3668" s="5">
        <v>0</v>
      </c>
      <c r="O3668" s="5" t="str">
        <f t="shared" ca="1" si="57"/>
        <v>Supplier 125</v>
      </c>
      <c r="P3668" s="20" t="str">
        <f ca="1">IFERROR(VLOOKUP(O3668,EMAILS!B:C,2,FALSE),"NOT FOUND IN EMAILS")</f>
        <v>supplier@gmail.com</v>
      </c>
      <c r="Q3668" t="str">
        <f ca="1">""&amp;IFERROR(VLOOKUP(O3668,EMAILS!B:D,3,FALSE),"NOT FOUND IN EMAILS")</f>
        <v/>
      </c>
      <c r="R3668" t="str">
        <f ca="1">""&amp;IFERROR(VLOOKUP(O3668,EMAILS!B:E,4,FALSE),"NO T FOUND IN EMAILS")</f>
        <v/>
      </c>
    </row>
    <row r="3669" spans="2:18" x14ac:dyDescent="0.25">
      <c r="B3669" s="5" t="s">
        <v>3671</v>
      </c>
      <c r="C3669" s="5" t="s">
        <v>7811</v>
      </c>
      <c r="D3669" s="5">
        <v>0</v>
      </c>
      <c r="E3669" s="5">
        <v>0</v>
      </c>
      <c r="F3669" s="5">
        <v>0</v>
      </c>
      <c r="G3669" s="5">
        <v>0</v>
      </c>
      <c r="H3669" s="5">
        <v>0</v>
      </c>
      <c r="I3669" s="5">
        <v>0</v>
      </c>
      <c r="J3669" s="5">
        <v>0</v>
      </c>
      <c r="K3669" s="5">
        <v>0</v>
      </c>
      <c r="L3669" s="5">
        <v>0</v>
      </c>
      <c r="M3669" s="5">
        <v>0</v>
      </c>
      <c r="N3669" s="5">
        <v>0</v>
      </c>
      <c r="O3669" s="5" t="str">
        <f t="shared" ca="1" si="57"/>
        <v>Supplier 100</v>
      </c>
      <c r="P3669" s="20" t="str">
        <f ca="1">IFERROR(VLOOKUP(O3669,EMAILS!B:C,2,FALSE),"NOT FOUND IN EMAILS")</f>
        <v>supplier@gmail.com</v>
      </c>
      <c r="Q3669" t="str">
        <f ca="1">""&amp;IFERROR(VLOOKUP(O3669,EMAILS!B:D,3,FALSE),"NOT FOUND IN EMAILS")</f>
        <v/>
      </c>
      <c r="R3669" t="str">
        <f ca="1">""&amp;IFERROR(VLOOKUP(O3669,EMAILS!B:E,4,FALSE),"NO T FOUND IN EMAILS")</f>
        <v/>
      </c>
    </row>
    <row r="3670" spans="2:18" x14ac:dyDescent="0.25">
      <c r="B3670" s="5" t="s">
        <v>3672</v>
      </c>
      <c r="C3670" s="5" t="s">
        <v>7812</v>
      </c>
      <c r="D3670" s="5">
        <v>0</v>
      </c>
      <c r="E3670" s="5">
        <v>0</v>
      </c>
      <c r="F3670" s="5">
        <v>0</v>
      </c>
      <c r="G3670" s="5">
        <v>0</v>
      </c>
      <c r="H3670" s="5">
        <v>0</v>
      </c>
      <c r="I3670" s="5">
        <v>0</v>
      </c>
      <c r="J3670" s="5">
        <v>0</v>
      </c>
      <c r="K3670" s="5">
        <v>0</v>
      </c>
      <c r="L3670" s="5">
        <v>0</v>
      </c>
      <c r="M3670" s="5">
        <v>0</v>
      </c>
      <c r="N3670" s="5">
        <v>0</v>
      </c>
      <c r="O3670" s="5" t="str">
        <f t="shared" ca="1" si="57"/>
        <v>Supplier 164</v>
      </c>
      <c r="P3670" s="20" t="str">
        <f ca="1">IFERROR(VLOOKUP(O3670,EMAILS!B:C,2,FALSE),"NOT FOUND IN EMAILS")</f>
        <v>supplier@gmail.com</v>
      </c>
      <c r="Q3670" t="str">
        <f ca="1">""&amp;IFERROR(VLOOKUP(O3670,EMAILS!B:D,3,FALSE),"NOT FOUND IN EMAILS")</f>
        <v/>
      </c>
      <c r="R3670" t="str">
        <f ca="1">""&amp;IFERROR(VLOOKUP(O3670,EMAILS!B:E,4,FALSE),"NO T FOUND IN EMAILS")</f>
        <v/>
      </c>
    </row>
    <row r="3671" spans="2:18" x14ac:dyDescent="0.25">
      <c r="B3671" s="5" t="s">
        <v>3673</v>
      </c>
      <c r="C3671" s="5" t="s">
        <v>7813</v>
      </c>
      <c r="D3671" s="5">
        <v>0</v>
      </c>
      <c r="E3671" s="5">
        <v>0</v>
      </c>
      <c r="F3671" s="5">
        <v>0</v>
      </c>
      <c r="G3671" s="5">
        <v>0</v>
      </c>
      <c r="H3671" s="5">
        <v>0</v>
      </c>
      <c r="I3671" s="5">
        <v>0</v>
      </c>
      <c r="J3671" s="5">
        <v>0</v>
      </c>
      <c r="K3671" s="5">
        <v>0</v>
      </c>
      <c r="L3671" s="5">
        <v>0</v>
      </c>
      <c r="M3671" s="5">
        <v>0</v>
      </c>
      <c r="N3671" s="5">
        <v>0</v>
      </c>
      <c r="O3671" s="5" t="str">
        <f t="shared" ca="1" si="57"/>
        <v>Supplier 200</v>
      </c>
      <c r="P3671" s="20" t="str">
        <f ca="1">IFERROR(VLOOKUP(O3671,EMAILS!B:C,2,FALSE),"NOT FOUND IN EMAILS")</f>
        <v>supplier@gmail.com</v>
      </c>
      <c r="Q3671" t="str">
        <f ca="1">""&amp;IFERROR(VLOOKUP(O3671,EMAILS!B:D,3,FALSE),"NOT FOUND IN EMAILS")</f>
        <v/>
      </c>
      <c r="R3671" t="str">
        <f ca="1">""&amp;IFERROR(VLOOKUP(O3671,EMAILS!B:E,4,FALSE),"NO T FOUND IN EMAILS")</f>
        <v/>
      </c>
    </row>
    <row r="3672" spans="2:18" x14ac:dyDescent="0.25">
      <c r="B3672" s="5" t="s">
        <v>3674</v>
      </c>
      <c r="C3672" s="5" t="s">
        <v>7814</v>
      </c>
      <c r="D3672" s="5">
        <v>0</v>
      </c>
      <c r="E3672" s="5">
        <v>0</v>
      </c>
      <c r="F3672" s="5">
        <v>0</v>
      </c>
      <c r="G3672" s="5">
        <v>0</v>
      </c>
      <c r="H3672" s="5">
        <v>0</v>
      </c>
      <c r="I3672" s="5">
        <v>0</v>
      </c>
      <c r="J3672" s="5">
        <v>0</v>
      </c>
      <c r="K3672" s="5">
        <v>0</v>
      </c>
      <c r="L3672" s="5">
        <v>0</v>
      </c>
      <c r="M3672" s="5">
        <v>0</v>
      </c>
      <c r="N3672" s="5">
        <v>0</v>
      </c>
      <c r="O3672" s="5" t="str">
        <f t="shared" ca="1" si="57"/>
        <v>Supplier 155</v>
      </c>
      <c r="P3672" s="20" t="str">
        <f ca="1">IFERROR(VLOOKUP(O3672,EMAILS!B:C,2,FALSE),"NOT FOUND IN EMAILS")</f>
        <v>supplier@gmail.com</v>
      </c>
      <c r="Q3672" t="str">
        <f ca="1">""&amp;IFERROR(VLOOKUP(O3672,EMAILS!B:D,3,FALSE),"NOT FOUND IN EMAILS")</f>
        <v/>
      </c>
      <c r="R3672" t="str">
        <f ca="1">""&amp;IFERROR(VLOOKUP(O3672,EMAILS!B:E,4,FALSE),"NO T FOUND IN EMAILS")</f>
        <v/>
      </c>
    </row>
    <row r="3673" spans="2:18" x14ac:dyDescent="0.25">
      <c r="B3673" s="5" t="s">
        <v>3675</v>
      </c>
      <c r="C3673" s="5" t="s">
        <v>7815</v>
      </c>
      <c r="D3673" s="5">
        <v>0</v>
      </c>
      <c r="E3673" s="5">
        <v>0</v>
      </c>
      <c r="F3673" s="5">
        <v>0</v>
      </c>
      <c r="G3673" s="5">
        <v>0</v>
      </c>
      <c r="H3673" s="5">
        <v>0</v>
      </c>
      <c r="I3673" s="5">
        <v>0</v>
      </c>
      <c r="J3673" s="5">
        <v>0</v>
      </c>
      <c r="K3673" s="5">
        <v>0</v>
      </c>
      <c r="L3673" s="5">
        <v>0</v>
      </c>
      <c r="M3673" s="5">
        <v>0</v>
      </c>
      <c r="N3673" s="5">
        <v>0</v>
      </c>
      <c r="O3673" s="5" t="str">
        <f t="shared" ca="1" si="57"/>
        <v>Supplier 69</v>
      </c>
      <c r="P3673" s="20" t="str">
        <f ca="1">IFERROR(VLOOKUP(O3673,EMAILS!B:C,2,FALSE),"NOT FOUND IN EMAILS")</f>
        <v>supplier@gmail.com</v>
      </c>
      <c r="Q3673" t="str">
        <f ca="1">""&amp;IFERROR(VLOOKUP(O3673,EMAILS!B:D,3,FALSE),"NOT FOUND IN EMAILS")</f>
        <v/>
      </c>
      <c r="R3673" t="str">
        <f ca="1">""&amp;IFERROR(VLOOKUP(O3673,EMAILS!B:E,4,FALSE),"NO T FOUND IN EMAILS")</f>
        <v/>
      </c>
    </row>
    <row r="3674" spans="2:18" x14ac:dyDescent="0.25">
      <c r="B3674" s="5" t="s">
        <v>3676</v>
      </c>
      <c r="C3674" s="5" t="s">
        <v>7816</v>
      </c>
      <c r="D3674" s="5">
        <v>0</v>
      </c>
      <c r="E3674" s="5">
        <v>0</v>
      </c>
      <c r="F3674" s="5">
        <v>0</v>
      </c>
      <c r="G3674" s="5">
        <v>0</v>
      </c>
      <c r="H3674" s="5">
        <v>0</v>
      </c>
      <c r="I3674" s="5">
        <v>0</v>
      </c>
      <c r="J3674" s="5">
        <v>0</v>
      </c>
      <c r="K3674" s="5">
        <v>0</v>
      </c>
      <c r="L3674" s="5">
        <v>0</v>
      </c>
      <c r="M3674" s="5">
        <v>0</v>
      </c>
      <c r="N3674" s="5">
        <v>0</v>
      </c>
      <c r="O3674" s="5" t="str">
        <f t="shared" ca="1" si="57"/>
        <v>Supplier 57</v>
      </c>
      <c r="P3674" s="20" t="str">
        <f ca="1">IFERROR(VLOOKUP(O3674,EMAILS!B:C,2,FALSE),"NOT FOUND IN EMAILS")</f>
        <v>supplier@gmail.com</v>
      </c>
      <c r="Q3674" t="str">
        <f ca="1">""&amp;IFERROR(VLOOKUP(O3674,EMAILS!B:D,3,FALSE),"NOT FOUND IN EMAILS")</f>
        <v/>
      </c>
      <c r="R3674" t="str">
        <f ca="1">""&amp;IFERROR(VLOOKUP(O3674,EMAILS!B:E,4,FALSE),"NO T FOUND IN EMAILS")</f>
        <v/>
      </c>
    </row>
    <row r="3675" spans="2:18" x14ac:dyDescent="0.25">
      <c r="B3675" s="5" t="s">
        <v>3677</v>
      </c>
      <c r="C3675" s="5" t="s">
        <v>7817</v>
      </c>
      <c r="D3675" s="5">
        <v>0</v>
      </c>
      <c r="E3675" s="5">
        <v>0</v>
      </c>
      <c r="F3675" s="5">
        <v>0</v>
      </c>
      <c r="G3675" s="5">
        <v>0</v>
      </c>
      <c r="H3675" s="5">
        <v>0</v>
      </c>
      <c r="I3675" s="5">
        <v>0</v>
      </c>
      <c r="J3675" s="5">
        <v>0</v>
      </c>
      <c r="K3675" s="5">
        <v>0</v>
      </c>
      <c r="L3675" s="5">
        <v>0</v>
      </c>
      <c r="M3675" s="5">
        <v>0</v>
      </c>
      <c r="N3675" s="5">
        <v>0</v>
      </c>
      <c r="O3675" s="5" t="str">
        <f t="shared" ca="1" si="57"/>
        <v>Supplier 51</v>
      </c>
      <c r="P3675" s="20" t="str">
        <f ca="1">IFERROR(VLOOKUP(O3675,EMAILS!B:C,2,FALSE),"NOT FOUND IN EMAILS")</f>
        <v>supplier@gmail.com</v>
      </c>
      <c r="Q3675" t="str">
        <f ca="1">""&amp;IFERROR(VLOOKUP(O3675,EMAILS!B:D,3,FALSE),"NOT FOUND IN EMAILS")</f>
        <v/>
      </c>
      <c r="R3675" t="str">
        <f ca="1">""&amp;IFERROR(VLOOKUP(O3675,EMAILS!B:E,4,FALSE),"NO T FOUND IN EMAILS")</f>
        <v/>
      </c>
    </row>
    <row r="3676" spans="2:18" x14ac:dyDescent="0.25">
      <c r="B3676" s="5" t="s">
        <v>3678</v>
      </c>
      <c r="C3676" s="5" t="s">
        <v>7818</v>
      </c>
      <c r="D3676" s="5">
        <v>0</v>
      </c>
      <c r="E3676" s="5">
        <v>0</v>
      </c>
      <c r="F3676" s="5">
        <v>0</v>
      </c>
      <c r="G3676" s="5">
        <v>0</v>
      </c>
      <c r="H3676" s="5">
        <v>0</v>
      </c>
      <c r="I3676" s="5">
        <v>0</v>
      </c>
      <c r="J3676" s="5">
        <v>0</v>
      </c>
      <c r="K3676" s="5">
        <v>0</v>
      </c>
      <c r="L3676" s="5">
        <v>0</v>
      </c>
      <c r="M3676" s="5">
        <v>0</v>
      </c>
      <c r="N3676" s="5">
        <v>0</v>
      </c>
      <c r="O3676" s="5" t="str">
        <f t="shared" ca="1" si="57"/>
        <v>Supplier 99</v>
      </c>
      <c r="P3676" s="20" t="str">
        <f ca="1">IFERROR(VLOOKUP(O3676,EMAILS!B:C,2,FALSE),"NOT FOUND IN EMAILS")</f>
        <v>supplier@gmail.com</v>
      </c>
      <c r="Q3676" t="str">
        <f ca="1">""&amp;IFERROR(VLOOKUP(O3676,EMAILS!B:D,3,FALSE),"NOT FOUND IN EMAILS")</f>
        <v/>
      </c>
      <c r="R3676" t="str">
        <f ca="1">""&amp;IFERROR(VLOOKUP(O3676,EMAILS!B:E,4,FALSE),"NO T FOUND IN EMAILS")</f>
        <v/>
      </c>
    </row>
    <row r="3677" spans="2:18" x14ac:dyDescent="0.25">
      <c r="B3677" s="5" t="s">
        <v>3679</v>
      </c>
      <c r="C3677" s="5" t="s">
        <v>7819</v>
      </c>
      <c r="D3677" s="5">
        <v>0</v>
      </c>
      <c r="E3677" s="5">
        <v>0</v>
      </c>
      <c r="F3677" s="5">
        <v>0</v>
      </c>
      <c r="G3677" s="5">
        <v>0</v>
      </c>
      <c r="H3677" s="5">
        <v>0</v>
      </c>
      <c r="I3677" s="5">
        <v>0</v>
      </c>
      <c r="J3677" s="5">
        <v>0</v>
      </c>
      <c r="K3677" s="5">
        <v>0</v>
      </c>
      <c r="L3677" s="5">
        <v>0</v>
      </c>
      <c r="M3677" s="5">
        <v>0</v>
      </c>
      <c r="N3677" s="5">
        <v>0</v>
      </c>
      <c r="O3677" s="5" t="str">
        <f t="shared" ca="1" si="57"/>
        <v>Supplier 57</v>
      </c>
      <c r="P3677" s="20" t="str">
        <f ca="1">IFERROR(VLOOKUP(O3677,EMAILS!B:C,2,FALSE),"NOT FOUND IN EMAILS")</f>
        <v>supplier@gmail.com</v>
      </c>
      <c r="Q3677" t="str">
        <f ca="1">""&amp;IFERROR(VLOOKUP(O3677,EMAILS!B:D,3,FALSE),"NOT FOUND IN EMAILS")</f>
        <v/>
      </c>
      <c r="R3677" t="str">
        <f ca="1">""&amp;IFERROR(VLOOKUP(O3677,EMAILS!B:E,4,FALSE),"NO T FOUND IN EMAILS")</f>
        <v/>
      </c>
    </row>
    <row r="3678" spans="2:18" x14ac:dyDescent="0.25">
      <c r="B3678" s="5" t="s">
        <v>3680</v>
      </c>
      <c r="C3678" s="5" t="s">
        <v>7820</v>
      </c>
      <c r="D3678" s="5">
        <v>0</v>
      </c>
      <c r="E3678" s="5">
        <v>0</v>
      </c>
      <c r="F3678" s="5">
        <v>0</v>
      </c>
      <c r="G3678" s="5">
        <v>0</v>
      </c>
      <c r="H3678" s="5">
        <v>0</v>
      </c>
      <c r="I3678" s="5">
        <v>0</v>
      </c>
      <c r="J3678" s="5">
        <v>0</v>
      </c>
      <c r="K3678" s="5">
        <v>0</v>
      </c>
      <c r="L3678" s="5">
        <v>0</v>
      </c>
      <c r="M3678" s="5">
        <v>0</v>
      </c>
      <c r="N3678" s="5">
        <v>0</v>
      </c>
      <c r="O3678" s="5" t="str">
        <f t="shared" ca="1" si="57"/>
        <v>Supplier 110</v>
      </c>
      <c r="P3678" s="20" t="str">
        <f ca="1">IFERROR(VLOOKUP(O3678,EMAILS!B:C,2,FALSE),"NOT FOUND IN EMAILS")</f>
        <v>supplier@gmail.com</v>
      </c>
      <c r="Q3678" t="str">
        <f ca="1">""&amp;IFERROR(VLOOKUP(O3678,EMAILS!B:D,3,FALSE),"NOT FOUND IN EMAILS")</f>
        <v/>
      </c>
      <c r="R3678" t="str">
        <f ca="1">""&amp;IFERROR(VLOOKUP(O3678,EMAILS!B:E,4,FALSE),"NO T FOUND IN EMAILS")</f>
        <v/>
      </c>
    </row>
    <row r="3679" spans="2:18" x14ac:dyDescent="0.25">
      <c r="B3679" s="5" t="s">
        <v>3681</v>
      </c>
      <c r="C3679" s="5" t="s">
        <v>7821</v>
      </c>
      <c r="D3679" s="5">
        <v>0</v>
      </c>
      <c r="E3679" s="5">
        <v>0</v>
      </c>
      <c r="F3679" s="5">
        <v>0</v>
      </c>
      <c r="G3679" s="5">
        <v>0</v>
      </c>
      <c r="H3679" s="5">
        <v>0</v>
      </c>
      <c r="I3679" s="5">
        <v>0</v>
      </c>
      <c r="J3679" s="5">
        <v>0</v>
      </c>
      <c r="K3679" s="5">
        <v>0</v>
      </c>
      <c r="L3679" s="5">
        <v>0</v>
      </c>
      <c r="M3679" s="5">
        <v>0</v>
      </c>
      <c r="N3679" s="5">
        <v>0</v>
      </c>
      <c r="O3679" s="5" t="str">
        <f t="shared" ca="1" si="57"/>
        <v>Supplier 92</v>
      </c>
      <c r="P3679" s="20" t="str">
        <f ca="1">IFERROR(VLOOKUP(O3679,EMAILS!B:C,2,FALSE),"NOT FOUND IN EMAILS")</f>
        <v>supplier@gmail.com</v>
      </c>
      <c r="Q3679" t="str">
        <f ca="1">""&amp;IFERROR(VLOOKUP(O3679,EMAILS!B:D,3,FALSE),"NOT FOUND IN EMAILS")</f>
        <v/>
      </c>
      <c r="R3679" t="str">
        <f ca="1">""&amp;IFERROR(VLOOKUP(O3679,EMAILS!B:E,4,FALSE),"NO T FOUND IN EMAILS")</f>
        <v/>
      </c>
    </row>
    <row r="3680" spans="2:18" x14ac:dyDescent="0.25">
      <c r="B3680" s="5" t="s">
        <v>3682</v>
      </c>
      <c r="C3680" s="5" t="s">
        <v>7822</v>
      </c>
      <c r="D3680" s="5">
        <v>0</v>
      </c>
      <c r="E3680" s="5">
        <v>0</v>
      </c>
      <c r="F3680" s="5">
        <v>0</v>
      </c>
      <c r="G3680" s="5">
        <v>0</v>
      </c>
      <c r="H3680" s="5">
        <v>0</v>
      </c>
      <c r="I3680" s="5">
        <v>0</v>
      </c>
      <c r="J3680" s="5">
        <v>0</v>
      </c>
      <c r="K3680" s="5">
        <v>0</v>
      </c>
      <c r="L3680" s="5">
        <v>0</v>
      </c>
      <c r="M3680" s="5">
        <v>0</v>
      </c>
      <c r="N3680" s="5">
        <v>0</v>
      </c>
      <c r="O3680" s="5" t="str">
        <f t="shared" ca="1" si="57"/>
        <v>Supplier 158</v>
      </c>
      <c r="P3680" s="20" t="str">
        <f ca="1">IFERROR(VLOOKUP(O3680,EMAILS!B:C,2,FALSE),"NOT FOUND IN EMAILS")</f>
        <v>supplier@gmail.com</v>
      </c>
      <c r="Q3680" t="str">
        <f ca="1">""&amp;IFERROR(VLOOKUP(O3680,EMAILS!B:D,3,FALSE),"NOT FOUND IN EMAILS")</f>
        <v/>
      </c>
      <c r="R3680" t="str">
        <f ca="1">""&amp;IFERROR(VLOOKUP(O3680,EMAILS!B:E,4,FALSE),"NO T FOUND IN EMAILS")</f>
        <v/>
      </c>
    </row>
    <row r="3681" spans="2:18" x14ac:dyDescent="0.25">
      <c r="B3681" s="5" t="s">
        <v>3683</v>
      </c>
      <c r="C3681" s="5" t="s">
        <v>7823</v>
      </c>
      <c r="D3681" s="5">
        <v>0</v>
      </c>
      <c r="E3681" s="5">
        <v>0</v>
      </c>
      <c r="F3681" s="5">
        <v>0</v>
      </c>
      <c r="G3681" s="5">
        <v>0</v>
      </c>
      <c r="H3681" s="5">
        <v>0</v>
      </c>
      <c r="I3681" s="5">
        <v>0</v>
      </c>
      <c r="J3681" s="5">
        <v>0</v>
      </c>
      <c r="K3681" s="5">
        <v>0</v>
      </c>
      <c r="L3681" s="5">
        <v>0</v>
      </c>
      <c r="M3681" s="5">
        <v>0</v>
      </c>
      <c r="N3681" s="5">
        <v>0</v>
      </c>
      <c r="O3681" s="5" t="str">
        <f t="shared" ca="1" si="57"/>
        <v>Supplier 108</v>
      </c>
      <c r="P3681" s="20" t="str">
        <f ca="1">IFERROR(VLOOKUP(O3681,EMAILS!B:C,2,FALSE),"NOT FOUND IN EMAILS")</f>
        <v>supplier@gmail.com</v>
      </c>
      <c r="Q3681" t="str">
        <f ca="1">""&amp;IFERROR(VLOOKUP(O3681,EMAILS!B:D,3,FALSE),"NOT FOUND IN EMAILS")</f>
        <v/>
      </c>
      <c r="R3681" t="str">
        <f ca="1">""&amp;IFERROR(VLOOKUP(O3681,EMAILS!B:E,4,FALSE),"NO T FOUND IN EMAILS")</f>
        <v/>
      </c>
    </row>
    <row r="3682" spans="2:18" x14ac:dyDescent="0.25">
      <c r="B3682" s="5" t="s">
        <v>3684</v>
      </c>
      <c r="C3682" s="5" t="s">
        <v>7824</v>
      </c>
      <c r="D3682" s="5">
        <v>0</v>
      </c>
      <c r="E3682" s="5">
        <v>0</v>
      </c>
      <c r="F3682" s="5">
        <v>0</v>
      </c>
      <c r="G3682" s="5">
        <v>0</v>
      </c>
      <c r="H3682" s="5">
        <v>0</v>
      </c>
      <c r="I3682" s="5">
        <v>0</v>
      </c>
      <c r="J3682" s="5">
        <v>0</v>
      </c>
      <c r="K3682" s="5">
        <v>0</v>
      </c>
      <c r="L3682" s="5">
        <v>0</v>
      </c>
      <c r="M3682" s="5">
        <v>0</v>
      </c>
      <c r="N3682" s="5">
        <v>0</v>
      </c>
      <c r="O3682" s="5" t="str">
        <f t="shared" ca="1" si="57"/>
        <v>Supplier 150</v>
      </c>
      <c r="P3682" s="20" t="str">
        <f ca="1">IFERROR(VLOOKUP(O3682,EMAILS!B:C,2,FALSE),"NOT FOUND IN EMAILS")</f>
        <v>supplier@gmail.com</v>
      </c>
      <c r="Q3682" t="str">
        <f ca="1">""&amp;IFERROR(VLOOKUP(O3682,EMAILS!B:D,3,FALSE),"NOT FOUND IN EMAILS")</f>
        <v/>
      </c>
      <c r="R3682" t="str">
        <f ca="1">""&amp;IFERROR(VLOOKUP(O3682,EMAILS!B:E,4,FALSE),"NO T FOUND IN EMAILS")</f>
        <v/>
      </c>
    </row>
    <row r="3683" spans="2:18" x14ac:dyDescent="0.25">
      <c r="B3683" s="5" t="s">
        <v>3685</v>
      </c>
      <c r="C3683" s="5" t="s">
        <v>7825</v>
      </c>
      <c r="D3683" s="5">
        <v>0</v>
      </c>
      <c r="E3683" s="5">
        <v>0</v>
      </c>
      <c r="F3683" s="5">
        <v>0</v>
      </c>
      <c r="G3683" s="5">
        <v>0</v>
      </c>
      <c r="H3683" s="5">
        <v>0</v>
      </c>
      <c r="I3683" s="5">
        <v>0</v>
      </c>
      <c r="J3683" s="5">
        <v>0</v>
      </c>
      <c r="K3683" s="5">
        <v>0</v>
      </c>
      <c r="L3683" s="5">
        <v>0</v>
      </c>
      <c r="M3683" s="5">
        <v>0</v>
      </c>
      <c r="N3683" s="5">
        <v>0</v>
      </c>
      <c r="O3683" s="5" t="str">
        <f t="shared" ca="1" si="57"/>
        <v>Supplier 50</v>
      </c>
      <c r="P3683" s="20" t="str">
        <f ca="1">IFERROR(VLOOKUP(O3683,EMAILS!B:C,2,FALSE),"NOT FOUND IN EMAILS")</f>
        <v>supplier@gmail.com</v>
      </c>
      <c r="Q3683" t="str">
        <f ca="1">""&amp;IFERROR(VLOOKUP(O3683,EMAILS!B:D,3,FALSE),"NOT FOUND IN EMAILS")</f>
        <v/>
      </c>
      <c r="R3683" t="str">
        <f ca="1">""&amp;IFERROR(VLOOKUP(O3683,EMAILS!B:E,4,FALSE),"NO T FOUND IN EMAILS")</f>
        <v/>
      </c>
    </row>
    <row r="3684" spans="2:18" x14ac:dyDescent="0.25">
      <c r="B3684" s="5" t="s">
        <v>3686</v>
      </c>
      <c r="C3684" s="5" t="s">
        <v>7826</v>
      </c>
      <c r="D3684" s="5">
        <v>0</v>
      </c>
      <c r="E3684" s="5">
        <v>0</v>
      </c>
      <c r="F3684" s="5">
        <v>0</v>
      </c>
      <c r="G3684" s="5">
        <v>0</v>
      </c>
      <c r="H3684" s="5">
        <v>0</v>
      </c>
      <c r="I3684" s="5">
        <v>0</v>
      </c>
      <c r="J3684" s="5">
        <v>0</v>
      </c>
      <c r="K3684" s="5">
        <v>0</v>
      </c>
      <c r="L3684" s="5">
        <v>0</v>
      </c>
      <c r="M3684" s="5">
        <v>0</v>
      </c>
      <c r="N3684" s="5">
        <v>0</v>
      </c>
      <c r="O3684" s="5" t="str">
        <f t="shared" ca="1" si="57"/>
        <v>Supplier 146</v>
      </c>
      <c r="P3684" s="20" t="str">
        <f ca="1">IFERROR(VLOOKUP(O3684,EMAILS!B:C,2,FALSE),"NOT FOUND IN EMAILS")</f>
        <v>supplier@gmail.com</v>
      </c>
      <c r="Q3684" t="str">
        <f ca="1">""&amp;IFERROR(VLOOKUP(O3684,EMAILS!B:D,3,FALSE),"NOT FOUND IN EMAILS")</f>
        <v/>
      </c>
      <c r="R3684" t="str">
        <f ca="1">""&amp;IFERROR(VLOOKUP(O3684,EMAILS!B:E,4,FALSE),"NO T FOUND IN EMAILS")</f>
        <v/>
      </c>
    </row>
    <row r="3685" spans="2:18" x14ac:dyDescent="0.25">
      <c r="B3685" s="5" t="s">
        <v>3687</v>
      </c>
      <c r="C3685" s="5" t="s">
        <v>7827</v>
      </c>
      <c r="D3685" s="5">
        <v>0</v>
      </c>
      <c r="E3685" s="5">
        <v>0</v>
      </c>
      <c r="F3685" s="5">
        <v>0</v>
      </c>
      <c r="G3685" s="5">
        <v>0</v>
      </c>
      <c r="H3685" s="5">
        <v>0</v>
      </c>
      <c r="I3685" s="5">
        <v>0</v>
      </c>
      <c r="J3685" s="5">
        <v>0</v>
      </c>
      <c r="K3685" s="5">
        <v>0</v>
      </c>
      <c r="L3685" s="5">
        <v>0</v>
      </c>
      <c r="M3685" s="5">
        <v>0</v>
      </c>
      <c r="N3685" s="5">
        <v>0</v>
      </c>
      <c r="O3685" s="5" t="str">
        <f t="shared" ca="1" si="57"/>
        <v>Supplier 20</v>
      </c>
      <c r="P3685" s="20" t="str">
        <f ca="1">IFERROR(VLOOKUP(O3685,EMAILS!B:C,2,FALSE),"NOT FOUND IN EMAILS")</f>
        <v>supplier@gmail.com</v>
      </c>
      <c r="Q3685" t="str">
        <f ca="1">""&amp;IFERROR(VLOOKUP(O3685,EMAILS!B:D,3,FALSE),"NOT FOUND IN EMAILS")</f>
        <v/>
      </c>
      <c r="R3685" t="str">
        <f ca="1">""&amp;IFERROR(VLOOKUP(O3685,EMAILS!B:E,4,FALSE),"NO T FOUND IN EMAILS")</f>
        <v/>
      </c>
    </row>
    <row r="3686" spans="2:18" x14ac:dyDescent="0.25">
      <c r="B3686" s="5" t="s">
        <v>3688</v>
      </c>
      <c r="C3686" s="5" t="s">
        <v>7828</v>
      </c>
      <c r="D3686" s="5">
        <v>0</v>
      </c>
      <c r="E3686" s="5">
        <v>0</v>
      </c>
      <c r="F3686" s="5">
        <v>0</v>
      </c>
      <c r="G3686" s="5">
        <v>0</v>
      </c>
      <c r="H3686" s="5">
        <v>0</v>
      </c>
      <c r="I3686" s="5">
        <v>0</v>
      </c>
      <c r="J3686" s="5">
        <v>0</v>
      </c>
      <c r="K3686" s="5">
        <v>0</v>
      </c>
      <c r="L3686" s="5">
        <v>0</v>
      </c>
      <c r="M3686" s="5">
        <v>0</v>
      </c>
      <c r="N3686" s="5">
        <v>0</v>
      </c>
      <c r="O3686" s="5" t="str">
        <f t="shared" ca="1" si="57"/>
        <v>Supplier 129</v>
      </c>
      <c r="P3686" s="20" t="str">
        <f ca="1">IFERROR(VLOOKUP(O3686,EMAILS!B:C,2,FALSE),"NOT FOUND IN EMAILS")</f>
        <v>supplier@gmail.com</v>
      </c>
      <c r="Q3686" t="str">
        <f ca="1">""&amp;IFERROR(VLOOKUP(O3686,EMAILS!B:D,3,FALSE),"NOT FOUND IN EMAILS")</f>
        <v/>
      </c>
      <c r="R3686" t="str">
        <f ca="1">""&amp;IFERROR(VLOOKUP(O3686,EMAILS!B:E,4,FALSE),"NO T FOUND IN EMAILS")</f>
        <v/>
      </c>
    </row>
    <row r="3687" spans="2:18" x14ac:dyDescent="0.25">
      <c r="B3687" s="5" t="s">
        <v>3689</v>
      </c>
      <c r="C3687" s="5" t="s">
        <v>7829</v>
      </c>
      <c r="D3687" s="5">
        <v>0</v>
      </c>
      <c r="E3687" s="5">
        <v>0</v>
      </c>
      <c r="F3687" s="5">
        <v>0</v>
      </c>
      <c r="G3687" s="5">
        <v>0</v>
      </c>
      <c r="H3687" s="5">
        <v>0</v>
      </c>
      <c r="I3687" s="5">
        <v>0</v>
      </c>
      <c r="J3687" s="5">
        <v>0</v>
      </c>
      <c r="K3687" s="5">
        <v>0</v>
      </c>
      <c r="L3687" s="5">
        <v>0</v>
      </c>
      <c r="M3687" s="5">
        <v>0</v>
      </c>
      <c r="N3687" s="5">
        <v>0</v>
      </c>
      <c r="O3687" s="5" t="str">
        <f t="shared" ca="1" si="57"/>
        <v>Supplier 126</v>
      </c>
      <c r="P3687" s="20" t="str">
        <f ca="1">IFERROR(VLOOKUP(O3687,EMAILS!B:C,2,FALSE),"NOT FOUND IN EMAILS")</f>
        <v>supplier@gmail.com</v>
      </c>
      <c r="Q3687" t="str">
        <f ca="1">""&amp;IFERROR(VLOOKUP(O3687,EMAILS!B:D,3,FALSE),"NOT FOUND IN EMAILS")</f>
        <v/>
      </c>
      <c r="R3687" t="str">
        <f ca="1">""&amp;IFERROR(VLOOKUP(O3687,EMAILS!B:E,4,FALSE),"NO T FOUND IN EMAILS")</f>
        <v/>
      </c>
    </row>
    <row r="3688" spans="2:18" x14ac:dyDescent="0.25">
      <c r="B3688" s="5" t="s">
        <v>3690</v>
      </c>
      <c r="C3688" s="5" t="s">
        <v>7830</v>
      </c>
      <c r="D3688" s="5">
        <v>0</v>
      </c>
      <c r="E3688" s="5">
        <v>0</v>
      </c>
      <c r="F3688" s="5">
        <v>0</v>
      </c>
      <c r="G3688" s="5">
        <v>0</v>
      </c>
      <c r="H3688" s="5">
        <v>0</v>
      </c>
      <c r="I3688" s="5">
        <v>0</v>
      </c>
      <c r="J3688" s="5">
        <v>0</v>
      </c>
      <c r="K3688" s="5">
        <v>0</v>
      </c>
      <c r="L3688" s="5">
        <v>0</v>
      </c>
      <c r="M3688" s="5">
        <v>0</v>
      </c>
      <c r="N3688" s="5">
        <v>0</v>
      </c>
      <c r="O3688" s="5" t="str">
        <f t="shared" ca="1" si="57"/>
        <v>Supplier 74</v>
      </c>
      <c r="P3688" s="20" t="str">
        <f ca="1">IFERROR(VLOOKUP(O3688,EMAILS!B:C,2,FALSE),"NOT FOUND IN EMAILS")</f>
        <v>supplier@gmail.com</v>
      </c>
      <c r="Q3688" t="str">
        <f ca="1">""&amp;IFERROR(VLOOKUP(O3688,EMAILS!B:D,3,FALSE),"NOT FOUND IN EMAILS")</f>
        <v/>
      </c>
      <c r="R3688" t="str">
        <f ca="1">""&amp;IFERROR(VLOOKUP(O3688,EMAILS!B:E,4,FALSE),"NO T FOUND IN EMAILS")</f>
        <v/>
      </c>
    </row>
    <row r="3689" spans="2:18" x14ac:dyDescent="0.25">
      <c r="B3689" s="5" t="s">
        <v>3691</v>
      </c>
      <c r="C3689" s="5" t="s">
        <v>7831</v>
      </c>
      <c r="D3689" s="5">
        <v>0</v>
      </c>
      <c r="E3689" s="5">
        <v>0</v>
      </c>
      <c r="F3689" s="5">
        <v>0</v>
      </c>
      <c r="G3689" s="5">
        <v>0</v>
      </c>
      <c r="H3689" s="5">
        <v>0</v>
      </c>
      <c r="I3689" s="5">
        <v>0</v>
      </c>
      <c r="J3689" s="5">
        <v>0</v>
      </c>
      <c r="K3689" s="5">
        <v>0</v>
      </c>
      <c r="L3689" s="5">
        <v>0</v>
      </c>
      <c r="M3689" s="5">
        <v>0</v>
      </c>
      <c r="N3689" s="5">
        <v>0</v>
      </c>
      <c r="O3689" s="5" t="str">
        <f t="shared" ca="1" si="57"/>
        <v>Supplier 32</v>
      </c>
      <c r="P3689" s="20" t="str">
        <f ca="1">IFERROR(VLOOKUP(O3689,EMAILS!B:C,2,FALSE),"NOT FOUND IN EMAILS")</f>
        <v>supplier@gmail.com</v>
      </c>
      <c r="Q3689" t="str">
        <f ca="1">""&amp;IFERROR(VLOOKUP(O3689,EMAILS!B:D,3,FALSE),"NOT FOUND IN EMAILS")</f>
        <v/>
      </c>
      <c r="R3689" t="str">
        <f ca="1">""&amp;IFERROR(VLOOKUP(O3689,EMAILS!B:E,4,FALSE),"NO T FOUND IN EMAILS")</f>
        <v/>
      </c>
    </row>
    <row r="3690" spans="2:18" x14ac:dyDescent="0.25">
      <c r="B3690" s="5" t="s">
        <v>3692</v>
      </c>
      <c r="C3690" s="5" t="s">
        <v>7832</v>
      </c>
      <c r="D3690" s="5">
        <v>0</v>
      </c>
      <c r="E3690" s="5">
        <v>0</v>
      </c>
      <c r="F3690" s="5">
        <v>0</v>
      </c>
      <c r="G3690" s="5">
        <v>0</v>
      </c>
      <c r="H3690" s="5">
        <v>0</v>
      </c>
      <c r="I3690" s="5">
        <v>0</v>
      </c>
      <c r="J3690" s="5">
        <v>0</v>
      </c>
      <c r="K3690" s="5">
        <v>0</v>
      </c>
      <c r="L3690" s="5">
        <v>0</v>
      </c>
      <c r="M3690" s="5">
        <v>0</v>
      </c>
      <c r="N3690" s="5">
        <v>0</v>
      </c>
      <c r="O3690" s="5" t="str">
        <f t="shared" ca="1" si="57"/>
        <v>Supplier 76</v>
      </c>
      <c r="P3690" s="20" t="str">
        <f ca="1">IFERROR(VLOOKUP(O3690,EMAILS!B:C,2,FALSE),"NOT FOUND IN EMAILS")</f>
        <v>supplier@gmail.com</v>
      </c>
      <c r="Q3690" t="str">
        <f ca="1">""&amp;IFERROR(VLOOKUP(O3690,EMAILS!B:D,3,FALSE),"NOT FOUND IN EMAILS")</f>
        <v/>
      </c>
      <c r="R3690" t="str">
        <f ca="1">""&amp;IFERROR(VLOOKUP(O3690,EMAILS!B:E,4,FALSE),"NO T FOUND IN EMAILS")</f>
        <v/>
      </c>
    </row>
    <row r="3691" spans="2:18" x14ac:dyDescent="0.25">
      <c r="B3691" s="5" t="s">
        <v>3693</v>
      </c>
      <c r="C3691" s="5" t="s">
        <v>7833</v>
      </c>
      <c r="D3691" s="5">
        <v>0</v>
      </c>
      <c r="E3691" s="5">
        <v>0</v>
      </c>
      <c r="F3691" s="5">
        <v>0</v>
      </c>
      <c r="G3691" s="5">
        <v>0</v>
      </c>
      <c r="H3691" s="5">
        <v>0</v>
      </c>
      <c r="I3691" s="5">
        <v>0</v>
      </c>
      <c r="J3691" s="5">
        <v>0</v>
      </c>
      <c r="K3691" s="5">
        <v>0</v>
      </c>
      <c r="L3691" s="5">
        <v>0</v>
      </c>
      <c r="M3691" s="5">
        <v>0</v>
      </c>
      <c r="N3691" s="5">
        <v>0</v>
      </c>
      <c r="O3691" s="5" t="str">
        <f t="shared" ca="1" si="57"/>
        <v>Supplier 148</v>
      </c>
      <c r="P3691" s="20" t="str">
        <f ca="1">IFERROR(VLOOKUP(O3691,EMAILS!B:C,2,FALSE),"NOT FOUND IN EMAILS")</f>
        <v>supplier@gmail.com</v>
      </c>
      <c r="Q3691" t="str">
        <f ca="1">""&amp;IFERROR(VLOOKUP(O3691,EMAILS!B:D,3,FALSE),"NOT FOUND IN EMAILS")</f>
        <v/>
      </c>
      <c r="R3691" t="str">
        <f ca="1">""&amp;IFERROR(VLOOKUP(O3691,EMAILS!B:E,4,FALSE),"NO T FOUND IN EMAILS")</f>
        <v/>
      </c>
    </row>
    <row r="3692" spans="2:18" x14ac:dyDescent="0.25">
      <c r="B3692" s="5" t="s">
        <v>3694</v>
      </c>
      <c r="C3692" s="5" t="s">
        <v>7834</v>
      </c>
      <c r="D3692" s="5">
        <v>0</v>
      </c>
      <c r="E3692" s="5">
        <v>0</v>
      </c>
      <c r="F3692" s="5">
        <v>0</v>
      </c>
      <c r="G3692" s="5">
        <v>0</v>
      </c>
      <c r="H3692" s="5">
        <v>0</v>
      </c>
      <c r="I3692" s="5">
        <v>0</v>
      </c>
      <c r="J3692" s="5">
        <v>0</v>
      </c>
      <c r="K3692" s="5">
        <v>0</v>
      </c>
      <c r="L3692" s="5">
        <v>0</v>
      </c>
      <c r="M3692" s="5">
        <v>0</v>
      </c>
      <c r="N3692" s="5">
        <v>0</v>
      </c>
      <c r="O3692" s="5" t="str">
        <f t="shared" ca="1" si="57"/>
        <v>Supplier 113</v>
      </c>
      <c r="P3692" s="20" t="str">
        <f ca="1">IFERROR(VLOOKUP(O3692,EMAILS!B:C,2,FALSE),"NOT FOUND IN EMAILS")</f>
        <v>supplier@gmail.com</v>
      </c>
      <c r="Q3692" t="str">
        <f ca="1">""&amp;IFERROR(VLOOKUP(O3692,EMAILS!B:D,3,FALSE),"NOT FOUND IN EMAILS")</f>
        <v/>
      </c>
      <c r="R3692" t="str">
        <f ca="1">""&amp;IFERROR(VLOOKUP(O3692,EMAILS!B:E,4,FALSE),"NO T FOUND IN EMAILS")</f>
        <v/>
      </c>
    </row>
    <row r="3693" spans="2:18" x14ac:dyDescent="0.25">
      <c r="B3693" s="5" t="s">
        <v>3695</v>
      </c>
      <c r="C3693" s="5" t="s">
        <v>7835</v>
      </c>
      <c r="D3693" s="5">
        <v>0</v>
      </c>
      <c r="E3693" s="5">
        <v>0</v>
      </c>
      <c r="F3693" s="5">
        <v>0</v>
      </c>
      <c r="G3693" s="5">
        <v>0</v>
      </c>
      <c r="H3693" s="5">
        <v>0</v>
      </c>
      <c r="I3693" s="5">
        <v>0</v>
      </c>
      <c r="J3693" s="5">
        <v>0</v>
      </c>
      <c r="K3693" s="5">
        <v>0</v>
      </c>
      <c r="L3693" s="5">
        <v>0</v>
      </c>
      <c r="M3693" s="5">
        <v>0</v>
      </c>
      <c r="N3693" s="5">
        <v>0</v>
      </c>
      <c r="O3693" s="5" t="str">
        <f t="shared" ca="1" si="57"/>
        <v>Supplier 166</v>
      </c>
      <c r="P3693" s="20" t="str">
        <f ca="1">IFERROR(VLOOKUP(O3693,EMAILS!B:C,2,FALSE),"NOT FOUND IN EMAILS")</f>
        <v>supplier@gmail.com</v>
      </c>
      <c r="Q3693" t="str">
        <f ca="1">""&amp;IFERROR(VLOOKUP(O3693,EMAILS!B:D,3,FALSE),"NOT FOUND IN EMAILS")</f>
        <v/>
      </c>
      <c r="R3693" t="str">
        <f ca="1">""&amp;IFERROR(VLOOKUP(O3693,EMAILS!B:E,4,FALSE),"NO T FOUND IN EMAILS")</f>
        <v/>
      </c>
    </row>
    <row r="3694" spans="2:18" x14ac:dyDescent="0.25">
      <c r="B3694" s="5" t="s">
        <v>3696</v>
      </c>
      <c r="C3694" s="5" t="s">
        <v>7836</v>
      </c>
      <c r="D3694" s="5">
        <v>0</v>
      </c>
      <c r="E3694" s="5">
        <v>0</v>
      </c>
      <c r="F3694" s="5">
        <v>0</v>
      </c>
      <c r="G3694" s="5">
        <v>0</v>
      </c>
      <c r="H3694" s="5">
        <v>0</v>
      </c>
      <c r="I3694" s="5">
        <v>0</v>
      </c>
      <c r="J3694" s="5">
        <v>0</v>
      </c>
      <c r="K3694" s="5">
        <v>0</v>
      </c>
      <c r="L3694" s="5">
        <v>0</v>
      </c>
      <c r="M3694" s="5">
        <v>0</v>
      </c>
      <c r="N3694" s="5">
        <v>0</v>
      </c>
      <c r="O3694" s="5" t="str">
        <f t="shared" ca="1" si="57"/>
        <v>Supplier 13</v>
      </c>
      <c r="P3694" s="20" t="str">
        <f ca="1">IFERROR(VLOOKUP(O3694,EMAILS!B:C,2,FALSE),"NOT FOUND IN EMAILS")</f>
        <v>supplier@gmail.com</v>
      </c>
      <c r="Q3694" t="str">
        <f ca="1">""&amp;IFERROR(VLOOKUP(O3694,EMAILS!B:D,3,FALSE),"NOT FOUND IN EMAILS")</f>
        <v>supplier_logistics@gmail.com</v>
      </c>
      <c r="R3694" t="str">
        <f ca="1">""&amp;IFERROR(VLOOKUP(O3694,EMAILS!B:E,4,FALSE),"NO T FOUND IN EMAILS")</f>
        <v/>
      </c>
    </row>
    <row r="3695" spans="2:18" x14ac:dyDescent="0.25">
      <c r="B3695" s="5" t="s">
        <v>3697</v>
      </c>
      <c r="C3695" s="5" t="s">
        <v>7837</v>
      </c>
      <c r="D3695" s="5">
        <v>0</v>
      </c>
      <c r="E3695" s="5">
        <v>0</v>
      </c>
      <c r="F3695" s="5">
        <v>0</v>
      </c>
      <c r="G3695" s="5">
        <v>0</v>
      </c>
      <c r="H3695" s="5">
        <v>0</v>
      </c>
      <c r="I3695" s="5">
        <v>0</v>
      </c>
      <c r="J3695" s="5">
        <v>0</v>
      </c>
      <c r="K3695" s="5">
        <v>0</v>
      </c>
      <c r="L3695" s="5">
        <v>0</v>
      </c>
      <c r="M3695" s="5">
        <v>0</v>
      </c>
      <c r="N3695" s="5">
        <v>0</v>
      </c>
      <c r="O3695" s="5" t="str">
        <f t="shared" ca="1" si="57"/>
        <v>Supplier 93</v>
      </c>
      <c r="P3695" s="20" t="str">
        <f ca="1">IFERROR(VLOOKUP(O3695,EMAILS!B:C,2,FALSE),"NOT FOUND IN EMAILS")</f>
        <v>supplier@gmail.com</v>
      </c>
      <c r="Q3695" t="str">
        <f ca="1">""&amp;IFERROR(VLOOKUP(O3695,EMAILS!B:D,3,FALSE),"NOT FOUND IN EMAILS")</f>
        <v/>
      </c>
      <c r="R3695" t="str">
        <f ca="1">""&amp;IFERROR(VLOOKUP(O3695,EMAILS!B:E,4,FALSE),"NO T FOUND IN EMAILS")</f>
        <v/>
      </c>
    </row>
    <row r="3696" spans="2:18" x14ac:dyDescent="0.25">
      <c r="B3696" s="5" t="s">
        <v>3698</v>
      </c>
      <c r="C3696" s="5" t="s">
        <v>7838</v>
      </c>
      <c r="D3696" s="5">
        <v>0</v>
      </c>
      <c r="E3696" s="5">
        <v>0</v>
      </c>
      <c r="F3696" s="5">
        <v>0</v>
      </c>
      <c r="G3696" s="5">
        <v>0</v>
      </c>
      <c r="H3696" s="5">
        <v>0</v>
      </c>
      <c r="I3696" s="5">
        <v>0</v>
      </c>
      <c r="J3696" s="5">
        <v>0</v>
      </c>
      <c r="K3696" s="5">
        <v>0</v>
      </c>
      <c r="L3696" s="5">
        <v>0</v>
      </c>
      <c r="M3696" s="5">
        <v>0</v>
      </c>
      <c r="N3696" s="5">
        <v>0</v>
      </c>
      <c r="O3696" s="5" t="str">
        <f t="shared" ca="1" si="57"/>
        <v>Supplier 176</v>
      </c>
      <c r="P3696" s="20" t="str">
        <f ca="1">IFERROR(VLOOKUP(O3696,EMAILS!B:C,2,FALSE),"NOT FOUND IN EMAILS")</f>
        <v>supplier@gmail.com</v>
      </c>
      <c r="Q3696" t="str">
        <f ca="1">""&amp;IFERROR(VLOOKUP(O3696,EMAILS!B:D,3,FALSE),"NOT FOUND IN EMAILS")</f>
        <v/>
      </c>
      <c r="R3696" t="str">
        <f ca="1">""&amp;IFERROR(VLOOKUP(O3696,EMAILS!B:E,4,FALSE),"NO T FOUND IN EMAILS")</f>
        <v/>
      </c>
    </row>
    <row r="3697" spans="2:18" x14ac:dyDescent="0.25">
      <c r="B3697" s="5" t="s">
        <v>3699</v>
      </c>
      <c r="C3697" s="5" t="s">
        <v>7839</v>
      </c>
      <c r="D3697" s="5">
        <v>0</v>
      </c>
      <c r="E3697" s="5">
        <v>0</v>
      </c>
      <c r="F3697" s="5">
        <v>0</v>
      </c>
      <c r="G3697" s="5">
        <v>0</v>
      </c>
      <c r="H3697" s="5">
        <v>0</v>
      </c>
      <c r="I3697" s="5">
        <v>0</v>
      </c>
      <c r="J3697" s="5">
        <v>0</v>
      </c>
      <c r="K3697" s="5">
        <v>0</v>
      </c>
      <c r="L3697" s="5">
        <v>0</v>
      </c>
      <c r="M3697" s="5">
        <v>0</v>
      </c>
      <c r="N3697" s="5">
        <v>0</v>
      </c>
      <c r="O3697" s="5" t="str">
        <f t="shared" ca="1" si="57"/>
        <v>Supplier 60</v>
      </c>
      <c r="P3697" s="20" t="str">
        <f ca="1">IFERROR(VLOOKUP(O3697,EMAILS!B:C,2,FALSE),"NOT FOUND IN EMAILS")</f>
        <v>supplier@gmail.com</v>
      </c>
      <c r="Q3697" t="str">
        <f ca="1">""&amp;IFERROR(VLOOKUP(O3697,EMAILS!B:D,3,FALSE),"NOT FOUND IN EMAILS")</f>
        <v/>
      </c>
      <c r="R3697" t="str">
        <f ca="1">""&amp;IFERROR(VLOOKUP(O3697,EMAILS!B:E,4,FALSE),"NO T FOUND IN EMAILS")</f>
        <v/>
      </c>
    </row>
    <row r="3698" spans="2:18" x14ac:dyDescent="0.25">
      <c r="B3698" s="5" t="s">
        <v>3700</v>
      </c>
      <c r="C3698" s="5" t="s">
        <v>7840</v>
      </c>
      <c r="D3698" s="5">
        <v>0</v>
      </c>
      <c r="E3698" s="5">
        <v>0</v>
      </c>
      <c r="F3698" s="5">
        <v>0</v>
      </c>
      <c r="G3698" s="5">
        <v>0</v>
      </c>
      <c r="H3698" s="5">
        <v>0</v>
      </c>
      <c r="I3698" s="5">
        <v>0</v>
      </c>
      <c r="J3698" s="5">
        <v>0</v>
      </c>
      <c r="K3698" s="5">
        <v>0</v>
      </c>
      <c r="L3698" s="5">
        <v>0</v>
      </c>
      <c r="M3698" s="5">
        <v>0</v>
      </c>
      <c r="N3698" s="5">
        <v>0</v>
      </c>
      <c r="O3698" s="5" t="str">
        <f t="shared" ca="1" si="57"/>
        <v>Supplier 81</v>
      </c>
      <c r="P3698" s="20" t="str">
        <f ca="1">IFERROR(VLOOKUP(O3698,EMAILS!B:C,2,FALSE),"NOT FOUND IN EMAILS")</f>
        <v>supplier@gmail.com</v>
      </c>
      <c r="Q3698" t="str">
        <f ca="1">""&amp;IFERROR(VLOOKUP(O3698,EMAILS!B:D,3,FALSE),"NOT FOUND IN EMAILS")</f>
        <v/>
      </c>
      <c r="R3698" t="str">
        <f ca="1">""&amp;IFERROR(VLOOKUP(O3698,EMAILS!B:E,4,FALSE),"NO T FOUND IN EMAILS")</f>
        <v/>
      </c>
    </row>
    <row r="3699" spans="2:18" x14ac:dyDescent="0.25">
      <c r="B3699" s="5" t="s">
        <v>3701</v>
      </c>
      <c r="C3699" s="5" t="s">
        <v>7841</v>
      </c>
      <c r="D3699" s="5">
        <v>0</v>
      </c>
      <c r="E3699" s="5">
        <v>0</v>
      </c>
      <c r="F3699" s="5">
        <v>0</v>
      </c>
      <c r="G3699" s="5">
        <v>0</v>
      </c>
      <c r="H3699" s="5">
        <v>0</v>
      </c>
      <c r="I3699" s="5">
        <v>0</v>
      </c>
      <c r="J3699" s="5">
        <v>0</v>
      </c>
      <c r="K3699" s="5">
        <v>0</v>
      </c>
      <c r="L3699" s="5">
        <v>0</v>
      </c>
      <c r="M3699" s="5">
        <v>0</v>
      </c>
      <c r="N3699" s="5">
        <v>0</v>
      </c>
      <c r="O3699" s="5" t="str">
        <f t="shared" ca="1" si="57"/>
        <v>Supplier 122</v>
      </c>
      <c r="P3699" s="20" t="str">
        <f ca="1">IFERROR(VLOOKUP(O3699,EMAILS!B:C,2,FALSE),"NOT FOUND IN EMAILS")</f>
        <v>supplier@gmail.com</v>
      </c>
      <c r="Q3699" t="str">
        <f ca="1">""&amp;IFERROR(VLOOKUP(O3699,EMAILS!B:D,3,FALSE),"NOT FOUND IN EMAILS")</f>
        <v/>
      </c>
      <c r="R3699" t="str">
        <f ca="1">""&amp;IFERROR(VLOOKUP(O3699,EMAILS!B:E,4,FALSE),"NO T FOUND IN EMAILS")</f>
        <v/>
      </c>
    </row>
    <row r="3700" spans="2:18" x14ac:dyDescent="0.25">
      <c r="B3700" s="5" t="s">
        <v>3702</v>
      </c>
      <c r="C3700" s="5" t="s">
        <v>7842</v>
      </c>
      <c r="D3700" s="5">
        <v>0</v>
      </c>
      <c r="E3700" s="5">
        <v>0</v>
      </c>
      <c r="F3700" s="5">
        <v>0</v>
      </c>
      <c r="G3700" s="5">
        <v>0</v>
      </c>
      <c r="H3700" s="5">
        <v>0</v>
      </c>
      <c r="I3700" s="5">
        <v>0</v>
      </c>
      <c r="J3700" s="5">
        <v>0</v>
      </c>
      <c r="K3700" s="5">
        <v>0</v>
      </c>
      <c r="L3700" s="5">
        <v>0</v>
      </c>
      <c r="M3700" s="5">
        <v>0</v>
      </c>
      <c r="N3700" s="5">
        <v>0</v>
      </c>
      <c r="O3700" s="5" t="str">
        <f t="shared" ca="1" si="57"/>
        <v>Supplier 19</v>
      </c>
      <c r="P3700" s="20" t="str">
        <f ca="1">IFERROR(VLOOKUP(O3700,EMAILS!B:C,2,FALSE),"NOT FOUND IN EMAILS")</f>
        <v>supplier@gmail.com</v>
      </c>
      <c r="Q3700" t="str">
        <f ca="1">""&amp;IFERROR(VLOOKUP(O3700,EMAILS!B:D,3,FALSE),"NOT FOUND IN EMAILS")</f>
        <v>supplier_logistics@gmail.com</v>
      </c>
      <c r="R3700" t="str">
        <f ca="1">""&amp;IFERROR(VLOOKUP(O3700,EMAILS!B:E,4,FALSE),"NO T FOUND IN EMAILS")</f>
        <v/>
      </c>
    </row>
    <row r="3701" spans="2:18" x14ac:dyDescent="0.25">
      <c r="B3701" s="5" t="s">
        <v>3703</v>
      </c>
      <c r="C3701" s="5" t="s">
        <v>7843</v>
      </c>
      <c r="D3701" s="5">
        <v>0</v>
      </c>
      <c r="E3701" s="5">
        <v>0</v>
      </c>
      <c r="F3701" s="5">
        <v>0</v>
      </c>
      <c r="G3701" s="5">
        <v>0</v>
      </c>
      <c r="H3701" s="5">
        <v>0</v>
      </c>
      <c r="I3701" s="5">
        <v>0</v>
      </c>
      <c r="J3701" s="5">
        <v>0</v>
      </c>
      <c r="K3701" s="5">
        <v>0</v>
      </c>
      <c r="L3701" s="5">
        <v>0</v>
      </c>
      <c r="M3701" s="5">
        <v>0</v>
      </c>
      <c r="N3701" s="5">
        <v>0</v>
      </c>
      <c r="O3701" s="5" t="str">
        <f t="shared" ca="1" si="57"/>
        <v>Supplier 94</v>
      </c>
      <c r="P3701" s="20" t="str">
        <f ca="1">IFERROR(VLOOKUP(O3701,EMAILS!B:C,2,FALSE),"NOT FOUND IN EMAILS")</f>
        <v>supplier@gmail.com</v>
      </c>
      <c r="Q3701" t="str">
        <f ca="1">""&amp;IFERROR(VLOOKUP(O3701,EMAILS!B:D,3,FALSE),"NOT FOUND IN EMAILS")</f>
        <v/>
      </c>
      <c r="R3701" t="str">
        <f ca="1">""&amp;IFERROR(VLOOKUP(O3701,EMAILS!B:E,4,FALSE),"NO T FOUND IN EMAILS")</f>
        <v/>
      </c>
    </row>
    <row r="3702" spans="2:18" x14ac:dyDescent="0.25">
      <c r="B3702" s="5" t="s">
        <v>3704</v>
      </c>
      <c r="C3702" s="5" t="s">
        <v>7844</v>
      </c>
      <c r="D3702" s="5">
        <v>0</v>
      </c>
      <c r="E3702" s="5">
        <v>0</v>
      </c>
      <c r="F3702" s="5">
        <v>0</v>
      </c>
      <c r="G3702" s="5">
        <v>0</v>
      </c>
      <c r="H3702" s="5">
        <v>0</v>
      </c>
      <c r="I3702" s="5">
        <v>0</v>
      </c>
      <c r="J3702" s="5">
        <v>0</v>
      </c>
      <c r="K3702" s="5">
        <v>0</v>
      </c>
      <c r="L3702" s="5">
        <v>0</v>
      </c>
      <c r="M3702" s="5">
        <v>0</v>
      </c>
      <c r="N3702" s="5">
        <v>0</v>
      </c>
      <c r="O3702" s="5" t="str">
        <f t="shared" ca="1" si="57"/>
        <v>Supplier 6</v>
      </c>
      <c r="P3702" s="20" t="str">
        <f ca="1">IFERROR(VLOOKUP(O3702,EMAILS!B:C,2,FALSE),"NOT FOUND IN EMAILS")</f>
        <v>supplier@gmail.com</v>
      </c>
      <c r="Q3702" t="str">
        <f ca="1">""&amp;IFERROR(VLOOKUP(O3702,EMAILS!B:D,3,FALSE),"NOT FOUND IN EMAILS")</f>
        <v>supplier_logistics@gmail.com</v>
      </c>
      <c r="R3702" t="str">
        <f ca="1">""&amp;IFERROR(VLOOKUP(O3702,EMAILS!B:E,4,FALSE),"NO T FOUND IN EMAILS")</f>
        <v/>
      </c>
    </row>
    <row r="3703" spans="2:18" x14ac:dyDescent="0.25">
      <c r="B3703" s="5" t="s">
        <v>3705</v>
      </c>
      <c r="C3703" s="5" t="s">
        <v>7845</v>
      </c>
      <c r="D3703" s="5">
        <v>0</v>
      </c>
      <c r="E3703" s="5">
        <v>0</v>
      </c>
      <c r="F3703" s="5">
        <v>0</v>
      </c>
      <c r="G3703" s="5">
        <v>0</v>
      </c>
      <c r="H3703" s="5">
        <v>0</v>
      </c>
      <c r="I3703" s="5">
        <v>0</v>
      </c>
      <c r="J3703" s="5">
        <v>0</v>
      </c>
      <c r="K3703" s="5">
        <v>0</v>
      </c>
      <c r="L3703" s="5">
        <v>0</v>
      </c>
      <c r="M3703" s="5">
        <v>0</v>
      </c>
      <c r="N3703" s="5">
        <v>0</v>
      </c>
      <c r="O3703" s="5" t="str">
        <f t="shared" ca="1" si="57"/>
        <v>Supplier 180</v>
      </c>
      <c r="P3703" s="20" t="str">
        <f ca="1">IFERROR(VLOOKUP(O3703,EMAILS!B:C,2,FALSE),"NOT FOUND IN EMAILS")</f>
        <v>supplier@gmail.com</v>
      </c>
      <c r="Q3703" t="str">
        <f ca="1">""&amp;IFERROR(VLOOKUP(O3703,EMAILS!B:D,3,FALSE),"NOT FOUND IN EMAILS")</f>
        <v/>
      </c>
      <c r="R3703" t="str">
        <f ca="1">""&amp;IFERROR(VLOOKUP(O3703,EMAILS!B:E,4,FALSE),"NO T FOUND IN EMAILS")</f>
        <v/>
      </c>
    </row>
    <row r="3704" spans="2:18" x14ac:dyDescent="0.25">
      <c r="B3704" s="5" t="s">
        <v>3706</v>
      </c>
      <c r="C3704" s="5" t="s">
        <v>7846</v>
      </c>
      <c r="D3704" s="5">
        <v>0</v>
      </c>
      <c r="E3704" s="5">
        <v>0</v>
      </c>
      <c r="F3704" s="5">
        <v>0</v>
      </c>
      <c r="G3704" s="5">
        <v>0</v>
      </c>
      <c r="H3704" s="5">
        <v>0</v>
      </c>
      <c r="I3704" s="5">
        <v>0</v>
      </c>
      <c r="J3704" s="5">
        <v>0</v>
      </c>
      <c r="K3704" s="5">
        <v>0</v>
      </c>
      <c r="L3704" s="5">
        <v>0</v>
      </c>
      <c r="M3704" s="5">
        <v>0</v>
      </c>
      <c r="N3704" s="5">
        <v>0</v>
      </c>
      <c r="O3704" s="5" t="str">
        <f t="shared" ca="1" si="57"/>
        <v>Supplier 88</v>
      </c>
      <c r="P3704" s="20" t="str">
        <f ca="1">IFERROR(VLOOKUP(O3704,EMAILS!B:C,2,FALSE),"NOT FOUND IN EMAILS")</f>
        <v>supplier@gmail.com</v>
      </c>
      <c r="Q3704" t="str">
        <f ca="1">""&amp;IFERROR(VLOOKUP(O3704,EMAILS!B:D,3,FALSE),"NOT FOUND IN EMAILS")</f>
        <v/>
      </c>
      <c r="R3704" t="str">
        <f ca="1">""&amp;IFERROR(VLOOKUP(O3704,EMAILS!B:E,4,FALSE),"NO T FOUND IN EMAILS")</f>
        <v/>
      </c>
    </row>
    <row r="3705" spans="2:18" x14ac:dyDescent="0.25">
      <c r="B3705" s="5" t="s">
        <v>3707</v>
      </c>
      <c r="C3705" s="5" t="s">
        <v>7847</v>
      </c>
      <c r="D3705" s="5">
        <v>0</v>
      </c>
      <c r="E3705" s="5">
        <v>0</v>
      </c>
      <c r="F3705" s="5">
        <v>0</v>
      </c>
      <c r="G3705" s="5">
        <v>0</v>
      </c>
      <c r="H3705" s="5">
        <v>0</v>
      </c>
      <c r="I3705" s="5">
        <v>0</v>
      </c>
      <c r="J3705" s="5">
        <v>0</v>
      </c>
      <c r="K3705" s="5">
        <v>0</v>
      </c>
      <c r="L3705" s="5">
        <v>0</v>
      </c>
      <c r="M3705" s="5">
        <v>0</v>
      </c>
      <c r="N3705" s="5">
        <v>0</v>
      </c>
      <c r="O3705" s="5" t="str">
        <f t="shared" ca="1" si="57"/>
        <v>Supplier 168</v>
      </c>
      <c r="P3705" s="20" t="str">
        <f ca="1">IFERROR(VLOOKUP(O3705,EMAILS!B:C,2,FALSE),"NOT FOUND IN EMAILS")</f>
        <v>supplier@gmail.com</v>
      </c>
      <c r="Q3705" t="str">
        <f ca="1">""&amp;IFERROR(VLOOKUP(O3705,EMAILS!B:D,3,FALSE),"NOT FOUND IN EMAILS")</f>
        <v/>
      </c>
      <c r="R3705" t="str">
        <f ca="1">""&amp;IFERROR(VLOOKUP(O3705,EMAILS!B:E,4,FALSE),"NO T FOUND IN EMAILS")</f>
        <v/>
      </c>
    </row>
    <row r="3706" spans="2:18" x14ac:dyDescent="0.25">
      <c r="B3706" s="5" t="s">
        <v>3708</v>
      </c>
      <c r="C3706" s="5" t="s">
        <v>7848</v>
      </c>
      <c r="D3706" s="5">
        <v>0</v>
      </c>
      <c r="E3706" s="5">
        <v>0</v>
      </c>
      <c r="F3706" s="5">
        <v>0</v>
      </c>
      <c r="G3706" s="5">
        <v>0</v>
      </c>
      <c r="H3706" s="5">
        <v>0</v>
      </c>
      <c r="I3706" s="5">
        <v>0</v>
      </c>
      <c r="J3706" s="5">
        <v>0</v>
      </c>
      <c r="K3706" s="5">
        <v>0</v>
      </c>
      <c r="L3706" s="5">
        <v>0</v>
      </c>
      <c r="M3706" s="5">
        <v>0</v>
      </c>
      <c r="N3706" s="5">
        <v>0</v>
      </c>
      <c r="O3706" s="5" t="str">
        <f t="shared" ca="1" si="57"/>
        <v>Supplier 69</v>
      </c>
      <c r="P3706" s="20" t="str">
        <f ca="1">IFERROR(VLOOKUP(O3706,EMAILS!B:C,2,FALSE),"NOT FOUND IN EMAILS")</f>
        <v>supplier@gmail.com</v>
      </c>
      <c r="Q3706" t="str">
        <f ca="1">""&amp;IFERROR(VLOOKUP(O3706,EMAILS!B:D,3,FALSE),"NOT FOUND IN EMAILS")</f>
        <v/>
      </c>
      <c r="R3706" t="str">
        <f ca="1">""&amp;IFERROR(VLOOKUP(O3706,EMAILS!B:E,4,FALSE),"NO T FOUND IN EMAILS")</f>
        <v/>
      </c>
    </row>
    <row r="3707" spans="2:18" x14ac:dyDescent="0.25">
      <c r="B3707" s="5" t="s">
        <v>3709</v>
      </c>
      <c r="C3707" s="5" t="s">
        <v>7849</v>
      </c>
      <c r="D3707" s="5">
        <v>0</v>
      </c>
      <c r="E3707" s="5">
        <v>0</v>
      </c>
      <c r="F3707" s="5">
        <v>0</v>
      </c>
      <c r="G3707" s="5">
        <v>0</v>
      </c>
      <c r="H3707" s="5">
        <v>0</v>
      </c>
      <c r="I3707" s="5">
        <v>0</v>
      </c>
      <c r="J3707" s="5">
        <v>0</v>
      </c>
      <c r="K3707" s="5">
        <v>0</v>
      </c>
      <c r="L3707" s="5">
        <v>0</v>
      </c>
      <c r="M3707" s="5">
        <v>0</v>
      </c>
      <c r="N3707" s="5">
        <v>0</v>
      </c>
      <c r="O3707" s="5" t="str">
        <f t="shared" ca="1" si="57"/>
        <v>Supplier 137</v>
      </c>
      <c r="P3707" s="20" t="str">
        <f ca="1">IFERROR(VLOOKUP(O3707,EMAILS!B:C,2,FALSE),"NOT FOUND IN EMAILS")</f>
        <v>supplier@gmail.com</v>
      </c>
      <c r="Q3707" t="str">
        <f ca="1">""&amp;IFERROR(VLOOKUP(O3707,EMAILS!B:D,3,FALSE),"NOT FOUND IN EMAILS")</f>
        <v/>
      </c>
      <c r="R3707" t="str">
        <f ca="1">""&amp;IFERROR(VLOOKUP(O3707,EMAILS!B:E,4,FALSE),"NO T FOUND IN EMAILS")</f>
        <v/>
      </c>
    </row>
    <row r="3708" spans="2:18" x14ac:dyDescent="0.25">
      <c r="B3708" s="5" t="s">
        <v>3710</v>
      </c>
      <c r="C3708" s="5" t="s">
        <v>7850</v>
      </c>
      <c r="D3708" s="5">
        <v>0</v>
      </c>
      <c r="E3708" s="5">
        <v>0</v>
      </c>
      <c r="F3708" s="5">
        <v>0</v>
      </c>
      <c r="G3708" s="5">
        <v>0</v>
      </c>
      <c r="H3708" s="5">
        <v>0</v>
      </c>
      <c r="I3708" s="5">
        <v>0</v>
      </c>
      <c r="J3708" s="5">
        <v>0</v>
      </c>
      <c r="K3708" s="5">
        <v>0</v>
      </c>
      <c r="L3708" s="5">
        <v>0</v>
      </c>
      <c r="M3708" s="5">
        <v>0</v>
      </c>
      <c r="N3708" s="5">
        <v>0</v>
      </c>
      <c r="O3708" s="5" t="str">
        <f t="shared" ca="1" si="57"/>
        <v>Supplier 31</v>
      </c>
      <c r="P3708" s="20" t="str">
        <f ca="1">IFERROR(VLOOKUP(O3708,EMAILS!B:C,2,FALSE),"NOT FOUND IN EMAILS")</f>
        <v>supplier@gmail.com</v>
      </c>
      <c r="Q3708" t="str">
        <f ca="1">""&amp;IFERROR(VLOOKUP(O3708,EMAILS!B:D,3,FALSE),"NOT FOUND IN EMAILS")</f>
        <v/>
      </c>
      <c r="R3708" t="str">
        <f ca="1">""&amp;IFERROR(VLOOKUP(O3708,EMAILS!B:E,4,FALSE),"NO T FOUND IN EMAILS")</f>
        <v/>
      </c>
    </row>
    <row r="3709" spans="2:18" x14ac:dyDescent="0.25">
      <c r="B3709" s="5" t="s">
        <v>3711</v>
      </c>
      <c r="C3709" s="5" t="s">
        <v>7851</v>
      </c>
      <c r="D3709" s="5">
        <v>0</v>
      </c>
      <c r="E3709" s="5">
        <v>0</v>
      </c>
      <c r="F3709" s="5">
        <v>0</v>
      </c>
      <c r="G3709" s="5">
        <v>0</v>
      </c>
      <c r="H3709" s="5">
        <v>0</v>
      </c>
      <c r="I3709" s="5">
        <v>0</v>
      </c>
      <c r="J3709" s="5">
        <v>0</v>
      </c>
      <c r="K3709" s="5">
        <v>0</v>
      </c>
      <c r="L3709" s="5">
        <v>0</v>
      </c>
      <c r="M3709" s="5">
        <v>0</v>
      </c>
      <c r="N3709" s="5">
        <v>0</v>
      </c>
      <c r="O3709" s="5" t="str">
        <f t="shared" ca="1" si="57"/>
        <v>Supplier 163</v>
      </c>
      <c r="P3709" s="20" t="str">
        <f ca="1">IFERROR(VLOOKUP(O3709,EMAILS!B:C,2,FALSE),"NOT FOUND IN EMAILS")</f>
        <v>supplier@gmail.com</v>
      </c>
      <c r="Q3709" t="str">
        <f ca="1">""&amp;IFERROR(VLOOKUP(O3709,EMAILS!B:D,3,FALSE),"NOT FOUND IN EMAILS")</f>
        <v/>
      </c>
      <c r="R3709" t="str">
        <f ca="1">""&amp;IFERROR(VLOOKUP(O3709,EMAILS!B:E,4,FALSE),"NO T FOUND IN EMAILS")</f>
        <v/>
      </c>
    </row>
    <row r="3710" spans="2:18" x14ac:dyDescent="0.25">
      <c r="B3710" s="5" t="s">
        <v>3712</v>
      </c>
      <c r="C3710" s="5" t="s">
        <v>7852</v>
      </c>
      <c r="D3710" s="5">
        <v>0</v>
      </c>
      <c r="E3710" s="5">
        <v>0</v>
      </c>
      <c r="F3710" s="5">
        <v>0</v>
      </c>
      <c r="G3710" s="5">
        <v>0</v>
      </c>
      <c r="H3710" s="5">
        <v>0</v>
      </c>
      <c r="I3710" s="5">
        <v>0</v>
      </c>
      <c r="J3710" s="5">
        <v>0</v>
      </c>
      <c r="K3710" s="5">
        <v>0</v>
      </c>
      <c r="L3710" s="5">
        <v>0</v>
      </c>
      <c r="M3710" s="5">
        <v>0</v>
      </c>
      <c r="N3710" s="5">
        <v>0</v>
      </c>
      <c r="O3710" s="5" t="str">
        <f t="shared" ca="1" si="57"/>
        <v>Supplier 43</v>
      </c>
      <c r="P3710" s="20" t="str">
        <f ca="1">IFERROR(VLOOKUP(O3710,EMAILS!B:C,2,FALSE),"NOT FOUND IN EMAILS")</f>
        <v>supplier@gmail.com</v>
      </c>
      <c r="Q3710" t="str">
        <f ca="1">""&amp;IFERROR(VLOOKUP(O3710,EMAILS!B:D,3,FALSE),"NOT FOUND IN EMAILS")</f>
        <v/>
      </c>
      <c r="R3710" t="str">
        <f ca="1">""&amp;IFERROR(VLOOKUP(O3710,EMAILS!B:E,4,FALSE),"NO T FOUND IN EMAILS")</f>
        <v/>
      </c>
    </row>
    <row r="3711" spans="2:18" x14ac:dyDescent="0.25">
      <c r="B3711" s="5" t="s">
        <v>3713</v>
      </c>
      <c r="C3711" s="5" t="s">
        <v>7853</v>
      </c>
      <c r="D3711" s="5">
        <v>0</v>
      </c>
      <c r="E3711" s="5">
        <v>0</v>
      </c>
      <c r="F3711" s="5">
        <v>0</v>
      </c>
      <c r="G3711" s="5">
        <v>0</v>
      </c>
      <c r="H3711" s="5">
        <v>0</v>
      </c>
      <c r="I3711" s="5">
        <v>0</v>
      </c>
      <c r="J3711" s="5">
        <v>0</v>
      </c>
      <c r="K3711" s="5">
        <v>0</v>
      </c>
      <c r="L3711" s="5">
        <v>0</v>
      </c>
      <c r="M3711" s="5">
        <v>0</v>
      </c>
      <c r="N3711" s="5">
        <v>0</v>
      </c>
      <c r="O3711" s="5" t="str">
        <f t="shared" ca="1" si="57"/>
        <v>Supplier 121</v>
      </c>
      <c r="P3711" s="20" t="str">
        <f ca="1">IFERROR(VLOOKUP(O3711,EMAILS!B:C,2,FALSE),"NOT FOUND IN EMAILS")</f>
        <v>supplier@gmail.com</v>
      </c>
      <c r="Q3711" t="str">
        <f ca="1">""&amp;IFERROR(VLOOKUP(O3711,EMAILS!B:D,3,FALSE),"NOT FOUND IN EMAILS")</f>
        <v/>
      </c>
      <c r="R3711" t="str">
        <f ca="1">""&amp;IFERROR(VLOOKUP(O3711,EMAILS!B:E,4,FALSE),"NO T FOUND IN EMAILS")</f>
        <v/>
      </c>
    </row>
    <row r="3712" spans="2:18" x14ac:dyDescent="0.25">
      <c r="B3712" s="5" t="s">
        <v>3714</v>
      </c>
      <c r="C3712" s="5" t="s">
        <v>7854</v>
      </c>
      <c r="D3712" s="5">
        <v>0</v>
      </c>
      <c r="E3712" s="5">
        <v>0</v>
      </c>
      <c r="F3712" s="5">
        <v>0</v>
      </c>
      <c r="G3712" s="5">
        <v>0</v>
      </c>
      <c r="H3712" s="5">
        <v>0</v>
      </c>
      <c r="I3712" s="5">
        <v>0</v>
      </c>
      <c r="J3712" s="5">
        <v>0</v>
      </c>
      <c r="K3712" s="5">
        <v>0</v>
      </c>
      <c r="L3712" s="5">
        <v>0</v>
      </c>
      <c r="M3712" s="5">
        <v>0</v>
      </c>
      <c r="N3712" s="5">
        <v>0</v>
      </c>
      <c r="O3712" s="5" t="str">
        <f t="shared" ca="1" si="57"/>
        <v>Supplier 159</v>
      </c>
      <c r="P3712" s="20" t="str">
        <f ca="1">IFERROR(VLOOKUP(O3712,EMAILS!B:C,2,FALSE),"NOT FOUND IN EMAILS")</f>
        <v>supplier@gmail.com</v>
      </c>
      <c r="Q3712" t="str">
        <f ca="1">""&amp;IFERROR(VLOOKUP(O3712,EMAILS!B:D,3,FALSE),"NOT FOUND IN EMAILS")</f>
        <v/>
      </c>
      <c r="R3712" t="str">
        <f ca="1">""&amp;IFERROR(VLOOKUP(O3712,EMAILS!B:E,4,FALSE),"NO T FOUND IN EMAILS")</f>
        <v/>
      </c>
    </row>
    <row r="3713" spans="2:18" x14ac:dyDescent="0.25">
      <c r="B3713" s="5" t="s">
        <v>3715</v>
      </c>
      <c r="C3713" s="5" t="s">
        <v>7855</v>
      </c>
      <c r="D3713" s="5">
        <v>0</v>
      </c>
      <c r="E3713" s="5">
        <v>0</v>
      </c>
      <c r="F3713" s="5">
        <v>0</v>
      </c>
      <c r="G3713" s="5">
        <v>0</v>
      </c>
      <c r="H3713" s="5">
        <v>0</v>
      </c>
      <c r="I3713" s="5">
        <v>0</v>
      </c>
      <c r="J3713" s="5">
        <v>0</v>
      </c>
      <c r="K3713" s="5">
        <v>0</v>
      </c>
      <c r="L3713" s="5">
        <v>0</v>
      </c>
      <c r="M3713" s="5">
        <v>0</v>
      </c>
      <c r="N3713" s="5">
        <v>0</v>
      </c>
      <c r="O3713" s="5" t="str">
        <f t="shared" ca="1" si="57"/>
        <v>Supplier 12</v>
      </c>
      <c r="P3713" s="20" t="str">
        <f ca="1">IFERROR(VLOOKUP(O3713,EMAILS!B:C,2,FALSE),"NOT FOUND IN EMAILS")</f>
        <v>supplier@gmail.com</v>
      </c>
      <c r="Q3713" t="str">
        <f ca="1">""&amp;IFERROR(VLOOKUP(O3713,EMAILS!B:D,3,FALSE),"NOT FOUND IN EMAILS")</f>
        <v>supplier_logistics@gmail.com</v>
      </c>
      <c r="R3713" t="str">
        <f ca="1">""&amp;IFERROR(VLOOKUP(O3713,EMAILS!B:E,4,FALSE),"NO T FOUND IN EMAILS")</f>
        <v/>
      </c>
    </row>
    <row r="3714" spans="2:18" x14ac:dyDescent="0.25">
      <c r="B3714" s="5" t="s">
        <v>3716</v>
      </c>
      <c r="C3714" s="5" t="s">
        <v>7856</v>
      </c>
      <c r="D3714" s="5">
        <v>0</v>
      </c>
      <c r="E3714" s="5">
        <v>0</v>
      </c>
      <c r="F3714" s="5">
        <v>0</v>
      </c>
      <c r="G3714" s="5">
        <v>0</v>
      </c>
      <c r="H3714" s="5">
        <v>0</v>
      </c>
      <c r="I3714" s="5">
        <v>0</v>
      </c>
      <c r="J3714" s="5">
        <v>0</v>
      </c>
      <c r="K3714" s="5">
        <v>0</v>
      </c>
      <c r="L3714" s="5">
        <v>0</v>
      </c>
      <c r="M3714" s="5">
        <v>0</v>
      </c>
      <c r="N3714" s="5">
        <v>0</v>
      </c>
      <c r="O3714" s="5" t="str">
        <f t="shared" ca="1" si="57"/>
        <v>Supplier 139</v>
      </c>
      <c r="P3714" s="20" t="str">
        <f ca="1">IFERROR(VLOOKUP(O3714,EMAILS!B:C,2,FALSE),"NOT FOUND IN EMAILS")</f>
        <v>supplier@gmail.com</v>
      </c>
      <c r="Q3714" t="str">
        <f ca="1">""&amp;IFERROR(VLOOKUP(O3714,EMAILS!B:D,3,FALSE),"NOT FOUND IN EMAILS")</f>
        <v/>
      </c>
      <c r="R3714" t="str">
        <f ca="1">""&amp;IFERROR(VLOOKUP(O3714,EMAILS!B:E,4,FALSE),"NO T FOUND IN EMAILS")</f>
        <v/>
      </c>
    </row>
    <row r="3715" spans="2:18" x14ac:dyDescent="0.25">
      <c r="B3715" s="5" t="s">
        <v>3717</v>
      </c>
      <c r="C3715" s="5" t="s">
        <v>7857</v>
      </c>
      <c r="D3715" s="5">
        <v>0</v>
      </c>
      <c r="E3715" s="5">
        <v>0</v>
      </c>
      <c r="F3715" s="5">
        <v>0</v>
      </c>
      <c r="G3715" s="5">
        <v>0</v>
      </c>
      <c r="H3715" s="5">
        <v>0</v>
      </c>
      <c r="I3715" s="5">
        <v>0</v>
      </c>
      <c r="J3715" s="5">
        <v>0</v>
      </c>
      <c r="K3715" s="5">
        <v>0</v>
      </c>
      <c r="L3715" s="5">
        <v>0</v>
      </c>
      <c r="M3715" s="5">
        <v>0</v>
      </c>
      <c r="N3715" s="5">
        <v>0</v>
      </c>
      <c r="O3715" s="5" t="str">
        <f t="shared" ref="O3715:O3778" ca="1" si="58">"Supplier "&amp;RANDBETWEEN(1,200)</f>
        <v>Supplier 130</v>
      </c>
      <c r="P3715" s="20" t="str">
        <f ca="1">IFERROR(VLOOKUP(O3715,EMAILS!B:C,2,FALSE),"NOT FOUND IN EMAILS")</f>
        <v>supplier@gmail.com</v>
      </c>
      <c r="Q3715" t="str">
        <f ca="1">""&amp;IFERROR(VLOOKUP(O3715,EMAILS!B:D,3,FALSE),"NOT FOUND IN EMAILS")</f>
        <v/>
      </c>
      <c r="R3715" t="str">
        <f ca="1">""&amp;IFERROR(VLOOKUP(O3715,EMAILS!B:E,4,FALSE),"NO T FOUND IN EMAILS")</f>
        <v/>
      </c>
    </row>
    <row r="3716" spans="2:18" x14ac:dyDescent="0.25">
      <c r="B3716" s="5" t="s">
        <v>3718</v>
      </c>
      <c r="C3716" s="5" t="s">
        <v>7858</v>
      </c>
      <c r="D3716" s="5">
        <v>0</v>
      </c>
      <c r="E3716" s="5">
        <v>0</v>
      </c>
      <c r="F3716" s="5">
        <v>0</v>
      </c>
      <c r="G3716" s="5">
        <v>0</v>
      </c>
      <c r="H3716" s="5">
        <v>0</v>
      </c>
      <c r="I3716" s="5">
        <v>0</v>
      </c>
      <c r="J3716" s="5">
        <v>0</v>
      </c>
      <c r="K3716" s="5">
        <v>0</v>
      </c>
      <c r="L3716" s="5">
        <v>0</v>
      </c>
      <c r="M3716" s="5">
        <v>0</v>
      </c>
      <c r="N3716" s="5">
        <v>0</v>
      </c>
      <c r="O3716" s="5" t="str">
        <f t="shared" ca="1" si="58"/>
        <v>Supplier 200</v>
      </c>
      <c r="P3716" s="20" t="str">
        <f ca="1">IFERROR(VLOOKUP(O3716,EMAILS!B:C,2,FALSE),"NOT FOUND IN EMAILS")</f>
        <v>supplier@gmail.com</v>
      </c>
      <c r="Q3716" t="str">
        <f ca="1">""&amp;IFERROR(VLOOKUP(O3716,EMAILS!B:D,3,FALSE),"NOT FOUND IN EMAILS")</f>
        <v/>
      </c>
      <c r="R3716" t="str">
        <f ca="1">""&amp;IFERROR(VLOOKUP(O3716,EMAILS!B:E,4,FALSE),"NO T FOUND IN EMAILS")</f>
        <v/>
      </c>
    </row>
    <row r="3717" spans="2:18" x14ac:dyDescent="0.25">
      <c r="B3717" s="5" t="s">
        <v>3719</v>
      </c>
      <c r="C3717" s="5" t="s">
        <v>7859</v>
      </c>
      <c r="D3717" s="5">
        <v>0</v>
      </c>
      <c r="E3717" s="5">
        <v>0</v>
      </c>
      <c r="F3717" s="5">
        <v>0</v>
      </c>
      <c r="G3717" s="5">
        <v>0</v>
      </c>
      <c r="H3717" s="5">
        <v>0</v>
      </c>
      <c r="I3717" s="5">
        <v>0</v>
      </c>
      <c r="J3717" s="5">
        <v>0</v>
      </c>
      <c r="K3717" s="5">
        <v>0</v>
      </c>
      <c r="L3717" s="5">
        <v>0</v>
      </c>
      <c r="M3717" s="5">
        <v>0</v>
      </c>
      <c r="N3717" s="5">
        <v>0</v>
      </c>
      <c r="O3717" s="5" t="str">
        <f t="shared" ca="1" si="58"/>
        <v>Supplier 172</v>
      </c>
      <c r="P3717" s="20" t="str">
        <f ca="1">IFERROR(VLOOKUP(O3717,EMAILS!B:C,2,FALSE),"NOT FOUND IN EMAILS")</f>
        <v>supplier@gmail.com</v>
      </c>
      <c r="Q3717" t="str">
        <f ca="1">""&amp;IFERROR(VLOOKUP(O3717,EMAILS!B:D,3,FALSE),"NOT FOUND IN EMAILS")</f>
        <v/>
      </c>
      <c r="R3717" t="str">
        <f ca="1">""&amp;IFERROR(VLOOKUP(O3717,EMAILS!B:E,4,FALSE),"NO T FOUND IN EMAILS")</f>
        <v/>
      </c>
    </row>
    <row r="3718" spans="2:18" x14ac:dyDescent="0.25">
      <c r="B3718" s="5" t="s">
        <v>3720</v>
      </c>
      <c r="C3718" s="5" t="s">
        <v>7860</v>
      </c>
      <c r="D3718" s="5">
        <v>0</v>
      </c>
      <c r="E3718" s="5">
        <v>0</v>
      </c>
      <c r="F3718" s="5">
        <v>0</v>
      </c>
      <c r="G3718" s="5">
        <v>0</v>
      </c>
      <c r="H3718" s="5">
        <v>0</v>
      </c>
      <c r="I3718" s="5">
        <v>0</v>
      </c>
      <c r="J3718" s="5">
        <v>0</v>
      </c>
      <c r="K3718" s="5">
        <v>0</v>
      </c>
      <c r="L3718" s="5">
        <v>0</v>
      </c>
      <c r="M3718" s="5">
        <v>0</v>
      </c>
      <c r="N3718" s="5">
        <v>0</v>
      </c>
      <c r="O3718" s="5" t="str">
        <f t="shared" ca="1" si="58"/>
        <v>Supplier 108</v>
      </c>
      <c r="P3718" s="20" t="str">
        <f ca="1">IFERROR(VLOOKUP(O3718,EMAILS!B:C,2,FALSE),"NOT FOUND IN EMAILS")</f>
        <v>supplier@gmail.com</v>
      </c>
      <c r="Q3718" t="str">
        <f ca="1">""&amp;IFERROR(VLOOKUP(O3718,EMAILS!B:D,3,FALSE),"NOT FOUND IN EMAILS")</f>
        <v/>
      </c>
      <c r="R3718" t="str">
        <f ca="1">""&amp;IFERROR(VLOOKUP(O3718,EMAILS!B:E,4,FALSE),"NO T FOUND IN EMAILS")</f>
        <v/>
      </c>
    </row>
    <row r="3719" spans="2:18" x14ac:dyDescent="0.25">
      <c r="B3719" s="5" t="s">
        <v>3721</v>
      </c>
      <c r="C3719" s="5" t="s">
        <v>7861</v>
      </c>
      <c r="D3719" s="5">
        <v>0</v>
      </c>
      <c r="E3719" s="5">
        <v>0</v>
      </c>
      <c r="F3719" s="5">
        <v>0</v>
      </c>
      <c r="G3719" s="5">
        <v>0</v>
      </c>
      <c r="H3719" s="5">
        <v>0</v>
      </c>
      <c r="I3719" s="5">
        <v>0</v>
      </c>
      <c r="J3719" s="5">
        <v>0</v>
      </c>
      <c r="K3719" s="5">
        <v>0</v>
      </c>
      <c r="L3719" s="5">
        <v>0</v>
      </c>
      <c r="M3719" s="5">
        <v>0</v>
      </c>
      <c r="N3719" s="5">
        <v>0</v>
      </c>
      <c r="O3719" s="5" t="str">
        <f t="shared" ca="1" si="58"/>
        <v>Supplier 200</v>
      </c>
      <c r="P3719" s="20" t="str">
        <f ca="1">IFERROR(VLOOKUP(O3719,EMAILS!B:C,2,FALSE),"NOT FOUND IN EMAILS")</f>
        <v>supplier@gmail.com</v>
      </c>
      <c r="Q3719" t="str">
        <f ca="1">""&amp;IFERROR(VLOOKUP(O3719,EMAILS!B:D,3,FALSE),"NOT FOUND IN EMAILS")</f>
        <v/>
      </c>
      <c r="R3719" t="str">
        <f ca="1">""&amp;IFERROR(VLOOKUP(O3719,EMAILS!B:E,4,FALSE),"NO T FOUND IN EMAILS")</f>
        <v/>
      </c>
    </row>
    <row r="3720" spans="2:18" x14ac:dyDescent="0.25">
      <c r="B3720" s="5" t="s">
        <v>3722</v>
      </c>
      <c r="C3720" s="5" t="s">
        <v>7862</v>
      </c>
      <c r="D3720" s="5">
        <v>0</v>
      </c>
      <c r="E3720" s="5">
        <v>0</v>
      </c>
      <c r="F3720" s="5">
        <v>0</v>
      </c>
      <c r="G3720" s="5">
        <v>0</v>
      </c>
      <c r="H3720" s="5">
        <v>0</v>
      </c>
      <c r="I3720" s="5">
        <v>0</v>
      </c>
      <c r="J3720" s="5">
        <v>0</v>
      </c>
      <c r="K3720" s="5">
        <v>0</v>
      </c>
      <c r="L3720" s="5">
        <v>0</v>
      </c>
      <c r="M3720" s="5">
        <v>0</v>
      </c>
      <c r="N3720" s="5">
        <v>0</v>
      </c>
      <c r="O3720" s="5" t="str">
        <f t="shared" ca="1" si="58"/>
        <v>Supplier 74</v>
      </c>
      <c r="P3720" s="20" t="str">
        <f ca="1">IFERROR(VLOOKUP(O3720,EMAILS!B:C,2,FALSE),"NOT FOUND IN EMAILS")</f>
        <v>supplier@gmail.com</v>
      </c>
      <c r="Q3720" t="str">
        <f ca="1">""&amp;IFERROR(VLOOKUP(O3720,EMAILS!B:D,3,FALSE),"NOT FOUND IN EMAILS")</f>
        <v/>
      </c>
      <c r="R3720" t="str">
        <f ca="1">""&amp;IFERROR(VLOOKUP(O3720,EMAILS!B:E,4,FALSE),"NO T FOUND IN EMAILS")</f>
        <v/>
      </c>
    </row>
    <row r="3721" spans="2:18" x14ac:dyDescent="0.25">
      <c r="B3721" s="5" t="s">
        <v>3723</v>
      </c>
      <c r="C3721" s="5" t="s">
        <v>7863</v>
      </c>
      <c r="D3721" s="5">
        <v>0</v>
      </c>
      <c r="E3721" s="5">
        <v>0</v>
      </c>
      <c r="F3721" s="5">
        <v>0</v>
      </c>
      <c r="G3721" s="5">
        <v>0</v>
      </c>
      <c r="H3721" s="5">
        <v>0</v>
      </c>
      <c r="I3721" s="5">
        <v>0</v>
      </c>
      <c r="J3721" s="5">
        <v>0</v>
      </c>
      <c r="K3721" s="5">
        <v>0</v>
      </c>
      <c r="L3721" s="5">
        <v>0</v>
      </c>
      <c r="M3721" s="5">
        <v>0</v>
      </c>
      <c r="N3721" s="5">
        <v>0</v>
      </c>
      <c r="O3721" s="5" t="str">
        <f t="shared" ca="1" si="58"/>
        <v>Supplier 26</v>
      </c>
      <c r="P3721" s="20" t="str">
        <f ca="1">IFERROR(VLOOKUP(O3721,EMAILS!B:C,2,FALSE),"NOT FOUND IN EMAILS")</f>
        <v>supplier@gmail.com</v>
      </c>
      <c r="Q3721" t="str">
        <f ca="1">""&amp;IFERROR(VLOOKUP(O3721,EMAILS!B:D,3,FALSE),"NOT FOUND IN EMAILS")</f>
        <v/>
      </c>
      <c r="R3721" t="str">
        <f ca="1">""&amp;IFERROR(VLOOKUP(O3721,EMAILS!B:E,4,FALSE),"NO T FOUND IN EMAILS")</f>
        <v/>
      </c>
    </row>
    <row r="3722" spans="2:18" x14ac:dyDescent="0.25">
      <c r="B3722" s="5" t="s">
        <v>3724</v>
      </c>
      <c r="C3722" s="5" t="s">
        <v>7864</v>
      </c>
      <c r="D3722" s="5">
        <v>0</v>
      </c>
      <c r="E3722" s="5">
        <v>0</v>
      </c>
      <c r="F3722" s="5">
        <v>0</v>
      </c>
      <c r="G3722" s="5">
        <v>0</v>
      </c>
      <c r="H3722" s="5">
        <v>0</v>
      </c>
      <c r="I3722" s="5">
        <v>0</v>
      </c>
      <c r="J3722" s="5">
        <v>0</v>
      </c>
      <c r="K3722" s="5">
        <v>0</v>
      </c>
      <c r="L3722" s="5">
        <v>0</v>
      </c>
      <c r="M3722" s="5">
        <v>0</v>
      </c>
      <c r="N3722" s="5">
        <v>0</v>
      </c>
      <c r="O3722" s="5" t="str">
        <f t="shared" ca="1" si="58"/>
        <v>Supplier 153</v>
      </c>
      <c r="P3722" s="20" t="str">
        <f ca="1">IFERROR(VLOOKUP(O3722,EMAILS!B:C,2,FALSE),"NOT FOUND IN EMAILS")</f>
        <v>supplier@gmail.com</v>
      </c>
      <c r="Q3722" t="str">
        <f ca="1">""&amp;IFERROR(VLOOKUP(O3722,EMAILS!B:D,3,FALSE),"NOT FOUND IN EMAILS")</f>
        <v/>
      </c>
      <c r="R3722" t="str">
        <f ca="1">""&amp;IFERROR(VLOOKUP(O3722,EMAILS!B:E,4,FALSE),"NO T FOUND IN EMAILS")</f>
        <v/>
      </c>
    </row>
    <row r="3723" spans="2:18" x14ac:dyDescent="0.25">
      <c r="B3723" s="5" t="s">
        <v>3725</v>
      </c>
      <c r="C3723" s="5" t="s">
        <v>7865</v>
      </c>
      <c r="D3723" s="5">
        <v>0</v>
      </c>
      <c r="E3723" s="5">
        <v>0</v>
      </c>
      <c r="F3723" s="5">
        <v>0</v>
      </c>
      <c r="G3723" s="5">
        <v>0</v>
      </c>
      <c r="H3723" s="5">
        <v>0</v>
      </c>
      <c r="I3723" s="5">
        <v>0</v>
      </c>
      <c r="J3723" s="5">
        <v>0</v>
      </c>
      <c r="K3723" s="5">
        <v>0</v>
      </c>
      <c r="L3723" s="5">
        <v>0</v>
      </c>
      <c r="M3723" s="5">
        <v>0</v>
      </c>
      <c r="N3723" s="5">
        <v>0</v>
      </c>
      <c r="O3723" s="5" t="str">
        <f t="shared" ca="1" si="58"/>
        <v>Supplier 153</v>
      </c>
      <c r="P3723" s="20" t="str">
        <f ca="1">IFERROR(VLOOKUP(O3723,EMAILS!B:C,2,FALSE),"NOT FOUND IN EMAILS")</f>
        <v>supplier@gmail.com</v>
      </c>
      <c r="Q3723" t="str">
        <f ca="1">""&amp;IFERROR(VLOOKUP(O3723,EMAILS!B:D,3,FALSE),"NOT FOUND IN EMAILS")</f>
        <v/>
      </c>
      <c r="R3723" t="str">
        <f ca="1">""&amp;IFERROR(VLOOKUP(O3723,EMAILS!B:E,4,FALSE),"NO T FOUND IN EMAILS")</f>
        <v/>
      </c>
    </row>
    <row r="3724" spans="2:18" x14ac:dyDescent="0.25">
      <c r="B3724" s="5" t="s">
        <v>3726</v>
      </c>
      <c r="C3724" s="5" t="s">
        <v>7866</v>
      </c>
      <c r="D3724" s="5">
        <v>0</v>
      </c>
      <c r="E3724" s="5">
        <v>0</v>
      </c>
      <c r="F3724" s="5">
        <v>0</v>
      </c>
      <c r="G3724" s="5">
        <v>0</v>
      </c>
      <c r="H3724" s="5">
        <v>0</v>
      </c>
      <c r="I3724" s="5">
        <v>0</v>
      </c>
      <c r="J3724" s="5">
        <v>0</v>
      </c>
      <c r="K3724" s="5">
        <v>0</v>
      </c>
      <c r="L3724" s="5">
        <v>0</v>
      </c>
      <c r="M3724" s="5">
        <v>0</v>
      </c>
      <c r="N3724" s="5">
        <v>0</v>
      </c>
      <c r="O3724" s="5" t="str">
        <f t="shared" ca="1" si="58"/>
        <v>Supplier 25</v>
      </c>
      <c r="P3724" s="20" t="str">
        <f ca="1">IFERROR(VLOOKUP(O3724,EMAILS!B:C,2,FALSE),"NOT FOUND IN EMAILS")</f>
        <v>supplier@gmail.com</v>
      </c>
      <c r="Q3724" t="str">
        <f ca="1">""&amp;IFERROR(VLOOKUP(O3724,EMAILS!B:D,3,FALSE),"NOT FOUND IN EMAILS")</f>
        <v/>
      </c>
      <c r="R3724" t="str">
        <f ca="1">""&amp;IFERROR(VLOOKUP(O3724,EMAILS!B:E,4,FALSE),"NO T FOUND IN EMAILS")</f>
        <v/>
      </c>
    </row>
    <row r="3725" spans="2:18" x14ac:dyDescent="0.25">
      <c r="B3725" s="5" t="s">
        <v>3727</v>
      </c>
      <c r="C3725" s="5" t="s">
        <v>7867</v>
      </c>
      <c r="D3725" s="5">
        <v>0</v>
      </c>
      <c r="E3725" s="5">
        <v>0</v>
      </c>
      <c r="F3725" s="5">
        <v>0</v>
      </c>
      <c r="G3725" s="5">
        <v>0</v>
      </c>
      <c r="H3725" s="5">
        <v>0</v>
      </c>
      <c r="I3725" s="5">
        <v>0</v>
      </c>
      <c r="J3725" s="5">
        <v>0</v>
      </c>
      <c r="K3725" s="5">
        <v>0</v>
      </c>
      <c r="L3725" s="5">
        <v>0</v>
      </c>
      <c r="M3725" s="5">
        <v>0</v>
      </c>
      <c r="N3725" s="5">
        <v>0</v>
      </c>
      <c r="O3725" s="5" t="str">
        <f t="shared" ca="1" si="58"/>
        <v>Supplier 27</v>
      </c>
      <c r="P3725" s="20" t="str">
        <f ca="1">IFERROR(VLOOKUP(O3725,EMAILS!B:C,2,FALSE),"NOT FOUND IN EMAILS")</f>
        <v>supplier@gmail.com</v>
      </c>
      <c r="Q3725" t="str">
        <f ca="1">""&amp;IFERROR(VLOOKUP(O3725,EMAILS!B:D,3,FALSE),"NOT FOUND IN EMAILS")</f>
        <v/>
      </c>
      <c r="R3725" t="str">
        <f ca="1">""&amp;IFERROR(VLOOKUP(O3725,EMAILS!B:E,4,FALSE),"NO T FOUND IN EMAILS")</f>
        <v/>
      </c>
    </row>
    <row r="3726" spans="2:18" x14ac:dyDescent="0.25">
      <c r="B3726" s="5" t="s">
        <v>3728</v>
      </c>
      <c r="C3726" s="5" t="s">
        <v>7868</v>
      </c>
      <c r="D3726" s="5">
        <v>0</v>
      </c>
      <c r="E3726" s="5">
        <v>0</v>
      </c>
      <c r="F3726" s="5">
        <v>0</v>
      </c>
      <c r="G3726" s="5">
        <v>0</v>
      </c>
      <c r="H3726" s="5">
        <v>0</v>
      </c>
      <c r="I3726" s="5">
        <v>0</v>
      </c>
      <c r="J3726" s="5">
        <v>0</v>
      </c>
      <c r="K3726" s="5">
        <v>0</v>
      </c>
      <c r="L3726" s="5">
        <v>0</v>
      </c>
      <c r="M3726" s="5">
        <v>0</v>
      </c>
      <c r="N3726" s="5">
        <v>0</v>
      </c>
      <c r="O3726" s="5" t="str">
        <f t="shared" ca="1" si="58"/>
        <v>Supplier 61</v>
      </c>
      <c r="P3726" s="20" t="str">
        <f ca="1">IFERROR(VLOOKUP(O3726,EMAILS!B:C,2,FALSE),"NOT FOUND IN EMAILS")</f>
        <v>supplier@gmail.com</v>
      </c>
      <c r="Q3726" t="str">
        <f ca="1">""&amp;IFERROR(VLOOKUP(O3726,EMAILS!B:D,3,FALSE),"NOT FOUND IN EMAILS")</f>
        <v/>
      </c>
      <c r="R3726" t="str">
        <f ca="1">""&amp;IFERROR(VLOOKUP(O3726,EMAILS!B:E,4,FALSE),"NO T FOUND IN EMAILS")</f>
        <v/>
      </c>
    </row>
    <row r="3727" spans="2:18" x14ac:dyDescent="0.25">
      <c r="B3727" s="5" t="s">
        <v>3729</v>
      </c>
      <c r="C3727" s="5" t="s">
        <v>7869</v>
      </c>
      <c r="D3727" s="5">
        <v>0</v>
      </c>
      <c r="E3727" s="5">
        <v>0</v>
      </c>
      <c r="F3727" s="5">
        <v>0</v>
      </c>
      <c r="G3727" s="5">
        <v>0</v>
      </c>
      <c r="H3727" s="5">
        <v>0</v>
      </c>
      <c r="I3727" s="5">
        <v>0</v>
      </c>
      <c r="J3727" s="5">
        <v>0</v>
      </c>
      <c r="K3727" s="5">
        <v>0</v>
      </c>
      <c r="L3727" s="5">
        <v>0</v>
      </c>
      <c r="M3727" s="5">
        <v>0</v>
      </c>
      <c r="N3727" s="5">
        <v>0</v>
      </c>
      <c r="O3727" s="5" t="str">
        <f t="shared" ca="1" si="58"/>
        <v>Supplier 180</v>
      </c>
      <c r="P3727" s="20" t="str">
        <f ca="1">IFERROR(VLOOKUP(O3727,EMAILS!B:C,2,FALSE),"NOT FOUND IN EMAILS")</f>
        <v>supplier@gmail.com</v>
      </c>
      <c r="Q3727" t="str">
        <f ca="1">""&amp;IFERROR(VLOOKUP(O3727,EMAILS!B:D,3,FALSE),"NOT FOUND IN EMAILS")</f>
        <v/>
      </c>
      <c r="R3727" t="str">
        <f ca="1">""&amp;IFERROR(VLOOKUP(O3727,EMAILS!B:E,4,FALSE),"NO T FOUND IN EMAILS")</f>
        <v/>
      </c>
    </row>
    <row r="3728" spans="2:18" x14ac:dyDescent="0.25">
      <c r="B3728" s="5" t="s">
        <v>3730</v>
      </c>
      <c r="C3728" s="5" t="s">
        <v>7870</v>
      </c>
      <c r="D3728" s="5">
        <v>0</v>
      </c>
      <c r="E3728" s="5">
        <v>0</v>
      </c>
      <c r="F3728" s="5">
        <v>0</v>
      </c>
      <c r="G3728" s="5">
        <v>0</v>
      </c>
      <c r="H3728" s="5">
        <v>0</v>
      </c>
      <c r="I3728" s="5">
        <v>0</v>
      </c>
      <c r="J3728" s="5">
        <v>0</v>
      </c>
      <c r="K3728" s="5">
        <v>0</v>
      </c>
      <c r="L3728" s="5">
        <v>0</v>
      </c>
      <c r="M3728" s="5">
        <v>0</v>
      </c>
      <c r="N3728" s="5">
        <v>0</v>
      </c>
      <c r="O3728" s="5" t="str">
        <f t="shared" ca="1" si="58"/>
        <v>Supplier 134</v>
      </c>
      <c r="P3728" s="20" t="str">
        <f ca="1">IFERROR(VLOOKUP(O3728,EMAILS!B:C,2,FALSE),"NOT FOUND IN EMAILS")</f>
        <v>supplier@gmail.com</v>
      </c>
      <c r="Q3728" t="str">
        <f ca="1">""&amp;IFERROR(VLOOKUP(O3728,EMAILS!B:D,3,FALSE),"NOT FOUND IN EMAILS")</f>
        <v/>
      </c>
      <c r="R3728" t="str">
        <f ca="1">""&amp;IFERROR(VLOOKUP(O3728,EMAILS!B:E,4,FALSE),"NO T FOUND IN EMAILS")</f>
        <v/>
      </c>
    </row>
    <row r="3729" spans="2:18" x14ac:dyDescent="0.25">
      <c r="B3729" s="5" t="s">
        <v>3731</v>
      </c>
      <c r="C3729" s="5" t="s">
        <v>7871</v>
      </c>
      <c r="D3729" s="5">
        <v>0</v>
      </c>
      <c r="E3729" s="5">
        <v>0</v>
      </c>
      <c r="F3729" s="5">
        <v>0</v>
      </c>
      <c r="G3729" s="5">
        <v>0</v>
      </c>
      <c r="H3729" s="5">
        <v>0</v>
      </c>
      <c r="I3729" s="5">
        <v>0</v>
      </c>
      <c r="J3729" s="5">
        <v>0</v>
      </c>
      <c r="K3729" s="5">
        <v>0</v>
      </c>
      <c r="L3729" s="5">
        <v>0</v>
      </c>
      <c r="M3729" s="5">
        <v>0</v>
      </c>
      <c r="N3729" s="5">
        <v>0</v>
      </c>
      <c r="O3729" s="5" t="str">
        <f t="shared" ca="1" si="58"/>
        <v>Supplier 116</v>
      </c>
      <c r="P3729" s="20" t="str">
        <f ca="1">IFERROR(VLOOKUP(O3729,EMAILS!B:C,2,FALSE),"NOT FOUND IN EMAILS")</f>
        <v>supplier@gmail.com</v>
      </c>
      <c r="Q3729" t="str">
        <f ca="1">""&amp;IFERROR(VLOOKUP(O3729,EMAILS!B:D,3,FALSE),"NOT FOUND IN EMAILS")</f>
        <v/>
      </c>
      <c r="R3729" t="str">
        <f ca="1">""&amp;IFERROR(VLOOKUP(O3729,EMAILS!B:E,4,FALSE),"NO T FOUND IN EMAILS")</f>
        <v/>
      </c>
    </row>
    <row r="3730" spans="2:18" x14ac:dyDescent="0.25">
      <c r="B3730" s="5" t="s">
        <v>3732</v>
      </c>
      <c r="C3730" s="5" t="s">
        <v>7872</v>
      </c>
      <c r="D3730" s="5">
        <v>0</v>
      </c>
      <c r="E3730" s="5">
        <v>0</v>
      </c>
      <c r="F3730" s="5">
        <v>0</v>
      </c>
      <c r="G3730" s="5">
        <v>0</v>
      </c>
      <c r="H3730" s="5">
        <v>0</v>
      </c>
      <c r="I3730" s="5">
        <v>0</v>
      </c>
      <c r="J3730" s="5">
        <v>0</v>
      </c>
      <c r="K3730" s="5">
        <v>0</v>
      </c>
      <c r="L3730" s="5">
        <v>0</v>
      </c>
      <c r="M3730" s="5">
        <v>0</v>
      </c>
      <c r="N3730" s="5">
        <v>0</v>
      </c>
      <c r="O3730" s="5" t="str">
        <f t="shared" ca="1" si="58"/>
        <v>Supplier 98</v>
      </c>
      <c r="P3730" s="20" t="str">
        <f ca="1">IFERROR(VLOOKUP(O3730,EMAILS!B:C,2,FALSE),"NOT FOUND IN EMAILS")</f>
        <v>supplier@gmail.com</v>
      </c>
      <c r="Q3730" t="str">
        <f ca="1">""&amp;IFERROR(VLOOKUP(O3730,EMAILS!B:D,3,FALSE),"NOT FOUND IN EMAILS")</f>
        <v/>
      </c>
      <c r="R3730" t="str">
        <f ca="1">""&amp;IFERROR(VLOOKUP(O3730,EMAILS!B:E,4,FALSE),"NO T FOUND IN EMAILS")</f>
        <v/>
      </c>
    </row>
    <row r="3731" spans="2:18" x14ac:dyDescent="0.25">
      <c r="B3731" s="5" t="s">
        <v>3733</v>
      </c>
      <c r="C3731" s="5" t="s">
        <v>7873</v>
      </c>
      <c r="D3731" s="5">
        <v>0</v>
      </c>
      <c r="E3731" s="5">
        <v>0</v>
      </c>
      <c r="F3731" s="5">
        <v>0</v>
      </c>
      <c r="G3731" s="5">
        <v>0</v>
      </c>
      <c r="H3731" s="5">
        <v>0</v>
      </c>
      <c r="I3731" s="5">
        <v>0</v>
      </c>
      <c r="J3731" s="5">
        <v>0</v>
      </c>
      <c r="K3731" s="5">
        <v>0</v>
      </c>
      <c r="L3731" s="5">
        <v>0</v>
      </c>
      <c r="M3731" s="5">
        <v>0</v>
      </c>
      <c r="N3731" s="5">
        <v>0</v>
      </c>
      <c r="O3731" s="5" t="str">
        <f t="shared" ca="1" si="58"/>
        <v>Supplier 83</v>
      </c>
      <c r="P3731" s="20" t="str">
        <f ca="1">IFERROR(VLOOKUP(O3731,EMAILS!B:C,2,FALSE),"NOT FOUND IN EMAILS")</f>
        <v>supplier@gmail.com</v>
      </c>
      <c r="Q3731" t="str">
        <f ca="1">""&amp;IFERROR(VLOOKUP(O3731,EMAILS!B:D,3,FALSE),"NOT FOUND IN EMAILS")</f>
        <v/>
      </c>
      <c r="R3731" t="str">
        <f ca="1">""&amp;IFERROR(VLOOKUP(O3731,EMAILS!B:E,4,FALSE),"NO T FOUND IN EMAILS")</f>
        <v/>
      </c>
    </row>
    <row r="3732" spans="2:18" x14ac:dyDescent="0.25">
      <c r="B3732" s="5" t="s">
        <v>3734</v>
      </c>
      <c r="C3732" s="5" t="s">
        <v>7874</v>
      </c>
      <c r="D3732" s="5">
        <v>0</v>
      </c>
      <c r="E3732" s="5">
        <v>0</v>
      </c>
      <c r="F3732" s="5">
        <v>0</v>
      </c>
      <c r="G3732" s="5">
        <v>0</v>
      </c>
      <c r="H3732" s="5">
        <v>0</v>
      </c>
      <c r="I3732" s="5">
        <v>0</v>
      </c>
      <c r="J3732" s="5">
        <v>0</v>
      </c>
      <c r="K3732" s="5">
        <v>0</v>
      </c>
      <c r="L3732" s="5">
        <v>0</v>
      </c>
      <c r="M3732" s="5">
        <v>0</v>
      </c>
      <c r="N3732" s="5">
        <v>0</v>
      </c>
      <c r="O3732" s="5" t="str">
        <f t="shared" ca="1" si="58"/>
        <v>Supplier 119</v>
      </c>
      <c r="P3732" s="20" t="str">
        <f ca="1">IFERROR(VLOOKUP(O3732,EMAILS!B:C,2,FALSE),"NOT FOUND IN EMAILS")</f>
        <v>supplier@gmail.com</v>
      </c>
      <c r="Q3732" t="str">
        <f ca="1">""&amp;IFERROR(VLOOKUP(O3732,EMAILS!B:D,3,FALSE),"NOT FOUND IN EMAILS")</f>
        <v/>
      </c>
      <c r="R3732" t="str">
        <f ca="1">""&amp;IFERROR(VLOOKUP(O3732,EMAILS!B:E,4,FALSE),"NO T FOUND IN EMAILS")</f>
        <v/>
      </c>
    </row>
    <row r="3733" spans="2:18" x14ac:dyDescent="0.25">
      <c r="B3733" s="5" t="s">
        <v>3735</v>
      </c>
      <c r="C3733" s="5" t="s">
        <v>7875</v>
      </c>
      <c r="D3733" s="5">
        <v>0</v>
      </c>
      <c r="E3733" s="5">
        <v>0</v>
      </c>
      <c r="F3733" s="5">
        <v>0</v>
      </c>
      <c r="G3733" s="5">
        <v>0</v>
      </c>
      <c r="H3733" s="5">
        <v>0</v>
      </c>
      <c r="I3733" s="5">
        <v>0</v>
      </c>
      <c r="J3733" s="5">
        <v>0</v>
      </c>
      <c r="K3733" s="5">
        <v>0</v>
      </c>
      <c r="L3733" s="5">
        <v>0</v>
      </c>
      <c r="M3733" s="5">
        <v>0</v>
      </c>
      <c r="N3733" s="5">
        <v>0</v>
      </c>
      <c r="O3733" s="5" t="str">
        <f t="shared" ca="1" si="58"/>
        <v>Supplier 42</v>
      </c>
      <c r="P3733" s="20" t="str">
        <f ca="1">IFERROR(VLOOKUP(O3733,EMAILS!B:C,2,FALSE),"NOT FOUND IN EMAILS")</f>
        <v>supplier@gmail.com</v>
      </c>
      <c r="Q3733" t="str">
        <f ca="1">""&amp;IFERROR(VLOOKUP(O3733,EMAILS!B:D,3,FALSE),"NOT FOUND IN EMAILS")</f>
        <v/>
      </c>
      <c r="R3733" t="str">
        <f ca="1">""&amp;IFERROR(VLOOKUP(O3733,EMAILS!B:E,4,FALSE),"NO T FOUND IN EMAILS")</f>
        <v/>
      </c>
    </row>
    <row r="3734" spans="2:18" x14ac:dyDescent="0.25">
      <c r="B3734" s="5" t="s">
        <v>3736</v>
      </c>
      <c r="C3734" s="5" t="s">
        <v>7876</v>
      </c>
      <c r="D3734" s="5">
        <v>0</v>
      </c>
      <c r="E3734" s="5">
        <v>0</v>
      </c>
      <c r="F3734" s="5">
        <v>0</v>
      </c>
      <c r="G3734" s="5">
        <v>0</v>
      </c>
      <c r="H3734" s="5">
        <v>0</v>
      </c>
      <c r="I3734" s="5">
        <v>0</v>
      </c>
      <c r="J3734" s="5">
        <v>0</v>
      </c>
      <c r="K3734" s="5">
        <v>0</v>
      </c>
      <c r="L3734" s="5">
        <v>0</v>
      </c>
      <c r="M3734" s="5">
        <v>0</v>
      </c>
      <c r="N3734" s="5">
        <v>0</v>
      </c>
      <c r="O3734" s="5" t="str">
        <f t="shared" ca="1" si="58"/>
        <v>Supplier 67</v>
      </c>
      <c r="P3734" s="20" t="str">
        <f ca="1">IFERROR(VLOOKUP(O3734,EMAILS!B:C,2,FALSE),"NOT FOUND IN EMAILS")</f>
        <v>supplier@gmail.com</v>
      </c>
      <c r="Q3734" t="str">
        <f ca="1">""&amp;IFERROR(VLOOKUP(O3734,EMAILS!B:D,3,FALSE),"NOT FOUND IN EMAILS")</f>
        <v/>
      </c>
      <c r="R3734" t="str">
        <f ca="1">""&amp;IFERROR(VLOOKUP(O3734,EMAILS!B:E,4,FALSE),"NO T FOUND IN EMAILS")</f>
        <v/>
      </c>
    </row>
    <row r="3735" spans="2:18" x14ac:dyDescent="0.25">
      <c r="B3735" s="5" t="s">
        <v>3737</v>
      </c>
      <c r="C3735" s="5" t="s">
        <v>7877</v>
      </c>
      <c r="D3735" s="5">
        <v>0</v>
      </c>
      <c r="E3735" s="5">
        <v>0</v>
      </c>
      <c r="F3735" s="5">
        <v>0</v>
      </c>
      <c r="G3735" s="5">
        <v>0</v>
      </c>
      <c r="H3735" s="5">
        <v>0</v>
      </c>
      <c r="I3735" s="5">
        <v>0</v>
      </c>
      <c r="J3735" s="5">
        <v>0</v>
      </c>
      <c r="K3735" s="5">
        <v>0</v>
      </c>
      <c r="L3735" s="5">
        <v>0</v>
      </c>
      <c r="M3735" s="5">
        <v>0</v>
      </c>
      <c r="N3735" s="5">
        <v>0</v>
      </c>
      <c r="O3735" s="5" t="str">
        <f t="shared" ca="1" si="58"/>
        <v>Supplier 40</v>
      </c>
      <c r="P3735" s="20" t="str">
        <f ca="1">IFERROR(VLOOKUP(O3735,EMAILS!B:C,2,FALSE),"NOT FOUND IN EMAILS")</f>
        <v>supplier@gmail.com</v>
      </c>
      <c r="Q3735" t="str">
        <f ca="1">""&amp;IFERROR(VLOOKUP(O3735,EMAILS!B:D,3,FALSE),"NOT FOUND IN EMAILS")</f>
        <v/>
      </c>
      <c r="R3735" t="str">
        <f ca="1">""&amp;IFERROR(VLOOKUP(O3735,EMAILS!B:E,4,FALSE),"NO T FOUND IN EMAILS")</f>
        <v/>
      </c>
    </row>
    <row r="3736" spans="2:18" x14ac:dyDescent="0.25">
      <c r="B3736" s="5" t="s">
        <v>3738</v>
      </c>
      <c r="C3736" s="5" t="s">
        <v>7878</v>
      </c>
      <c r="D3736" s="5">
        <v>0</v>
      </c>
      <c r="E3736" s="5">
        <v>0</v>
      </c>
      <c r="F3736" s="5">
        <v>0</v>
      </c>
      <c r="G3736" s="5">
        <v>0</v>
      </c>
      <c r="H3736" s="5">
        <v>0</v>
      </c>
      <c r="I3736" s="5">
        <v>0</v>
      </c>
      <c r="J3736" s="5">
        <v>0</v>
      </c>
      <c r="K3736" s="5">
        <v>0</v>
      </c>
      <c r="L3736" s="5">
        <v>0</v>
      </c>
      <c r="M3736" s="5">
        <v>0</v>
      </c>
      <c r="N3736" s="5">
        <v>0</v>
      </c>
      <c r="O3736" s="5" t="str">
        <f t="shared" ca="1" si="58"/>
        <v>Supplier 149</v>
      </c>
      <c r="P3736" s="20" t="str">
        <f ca="1">IFERROR(VLOOKUP(O3736,EMAILS!B:C,2,FALSE),"NOT FOUND IN EMAILS")</f>
        <v>supplier@gmail.com</v>
      </c>
      <c r="Q3736" t="str">
        <f ca="1">""&amp;IFERROR(VLOOKUP(O3736,EMAILS!B:D,3,FALSE),"NOT FOUND IN EMAILS")</f>
        <v/>
      </c>
      <c r="R3736" t="str">
        <f ca="1">""&amp;IFERROR(VLOOKUP(O3736,EMAILS!B:E,4,FALSE),"NO T FOUND IN EMAILS")</f>
        <v/>
      </c>
    </row>
    <row r="3737" spans="2:18" x14ac:dyDescent="0.25">
      <c r="B3737" s="5" t="s">
        <v>3739</v>
      </c>
      <c r="C3737" s="5" t="s">
        <v>7879</v>
      </c>
      <c r="D3737" s="5">
        <v>0</v>
      </c>
      <c r="E3737" s="5">
        <v>0</v>
      </c>
      <c r="F3737" s="5">
        <v>0</v>
      </c>
      <c r="G3737" s="5">
        <v>0</v>
      </c>
      <c r="H3737" s="5">
        <v>0</v>
      </c>
      <c r="I3737" s="5">
        <v>0</v>
      </c>
      <c r="J3737" s="5">
        <v>0</v>
      </c>
      <c r="K3737" s="5">
        <v>0</v>
      </c>
      <c r="L3737" s="5">
        <v>0</v>
      </c>
      <c r="M3737" s="5">
        <v>0</v>
      </c>
      <c r="N3737" s="5">
        <v>0</v>
      </c>
      <c r="O3737" s="5" t="str">
        <f t="shared" ca="1" si="58"/>
        <v>Supplier 143</v>
      </c>
      <c r="P3737" s="20" t="str">
        <f ca="1">IFERROR(VLOOKUP(O3737,EMAILS!B:C,2,FALSE),"NOT FOUND IN EMAILS")</f>
        <v>supplier@gmail.com</v>
      </c>
      <c r="Q3737" t="str">
        <f ca="1">""&amp;IFERROR(VLOOKUP(O3737,EMAILS!B:D,3,FALSE),"NOT FOUND IN EMAILS")</f>
        <v/>
      </c>
      <c r="R3737" t="str">
        <f ca="1">""&amp;IFERROR(VLOOKUP(O3737,EMAILS!B:E,4,FALSE),"NO T FOUND IN EMAILS")</f>
        <v/>
      </c>
    </row>
    <row r="3738" spans="2:18" x14ac:dyDescent="0.25">
      <c r="B3738" s="5" t="s">
        <v>3740</v>
      </c>
      <c r="C3738" s="5" t="s">
        <v>7880</v>
      </c>
      <c r="D3738" s="5">
        <v>0</v>
      </c>
      <c r="E3738" s="5">
        <v>0</v>
      </c>
      <c r="F3738" s="5">
        <v>0</v>
      </c>
      <c r="G3738" s="5">
        <v>0</v>
      </c>
      <c r="H3738" s="5">
        <v>0</v>
      </c>
      <c r="I3738" s="5">
        <v>0</v>
      </c>
      <c r="J3738" s="5">
        <v>0</v>
      </c>
      <c r="K3738" s="5">
        <v>0</v>
      </c>
      <c r="L3738" s="5">
        <v>0</v>
      </c>
      <c r="M3738" s="5">
        <v>0</v>
      </c>
      <c r="N3738" s="5">
        <v>0</v>
      </c>
      <c r="O3738" s="5" t="str">
        <f t="shared" ca="1" si="58"/>
        <v>Supplier 46</v>
      </c>
      <c r="P3738" s="20" t="str">
        <f ca="1">IFERROR(VLOOKUP(O3738,EMAILS!B:C,2,FALSE),"NOT FOUND IN EMAILS")</f>
        <v>supplier@gmail.com</v>
      </c>
      <c r="Q3738" t="str">
        <f ca="1">""&amp;IFERROR(VLOOKUP(O3738,EMAILS!B:D,3,FALSE),"NOT FOUND IN EMAILS")</f>
        <v/>
      </c>
      <c r="R3738" t="str">
        <f ca="1">""&amp;IFERROR(VLOOKUP(O3738,EMAILS!B:E,4,FALSE),"NO T FOUND IN EMAILS")</f>
        <v/>
      </c>
    </row>
    <row r="3739" spans="2:18" x14ac:dyDescent="0.25">
      <c r="B3739" s="5" t="s">
        <v>3741</v>
      </c>
      <c r="C3739" s="5" t="s">
        <v>7881</v>
      </c>
      <c r="D3739" s="5">
        <v>0</v>
      </c>
      <c r="E3739" s="5">
        <v>0</v>
      </c>
      <c r="F3739" s="5">
        <v>0</v>
      </c>
      <c r="G3739" s="5">
        <v>0</v>
      </c>
      <c r="H3739" s="5">
        <v>0</v>
      </c>
      <c r="I3739" s="5">
        <v>0</v>
      </c>
      <c r="J3739" s="5">
        <v>0</v>
      </c>
      <c r="K3739" s="5">
        <v>0</v>
      </c>
      <c r="L3739" s="5">
        <v>0</v>
      </c>
      <c r="M3739" s="5">
        <v>0</v>
      </c>
      <c r="N3739" s="5">
        <v>0</v>
      </c>
      <c r="O3739" s="5" t="str">
        <f t="shared" ca="1" si="58"/>
        <v>Supplier 120</v>
      </c>
      <c r="P3739" s="20" t="str">
        <f ca="1">IFERROR(VLOOKUP(O3739,EMAILS!B:C,2,FALSE),"NOT FOUND IN EMAILS")</f>
        <v>supplier@gmail.com</v>
      </c>
      <c r="Q3739" t="str">
        <f ca="1">""&amp;IFERROR(VLOOKUP(O3739,EMAILS!B:D,3,FALSE),"NOT FOUND IN EMAILS")</f>
        <v/>
      </c>
      <c r="R3739" t="str">
        <f ca="1">""&amp;IFERROR(VLOOKUP(O3739,EMAILS!B:E,4,FALSE),"NO T FOUND IN EMAILS")</f>
        <v/>
      </c>
    </row>
    <row r="3740" spans="2:18" x14ac:dyDescent="0.25">
      <c r="B3740" s="5" t="s">
        <v>3742</v>
      </c>
      <c r="C3740" s="5" t="s">
        <v>7882</v>
      </c>
      <c r="D3740" s="5">
        <v>0</v>
      </c>
      <c r="E3740" s="5">
        <v>0</v>
      </c>
      <c r="F3740" s="5">
        <v>0</v>
      </c>
      <c r="G3740" s="5">
        <v>0</v>
      </c>
      <c r="H3740" s="5">
        <v>0</v>
      </c>
      <c r="I3740" s="5">
        <v>0</v>
      </c>
      <c r="J3740" s="5">
        <v>0</v>
      </c>
      <c r="K3740" s="5">
        <v>0</v>
      </c>
      <c r="L3740" s="5">
        <v>0</v>
      </c>
      <c r="M3740" s="5">
        <v>0</v>
      </c>
      <c r="N3740" s="5">
        <v>0</v>
      </c>
      <c r="O3740" s="5" t="str">
        <f t="shared" ca="1" si="58"/>
        <v>Supplier 120</v>
      </c>
      <c r="P3740" s="20" t="str">
        <f ca="1">IFERROR(VLOOKUP(O3740,EMAILS!B:C,2,FALSE),"NOT FOUND IN EMAILS")</f>
        <v>supplier@gmail.com</v>
      </c>
      <c r="Q3740" t="str">
        <f ca="1">""&amp;IFERROR(VLOOKUP(O3740,EMAILS!B:D,3,FALSE),"NOT FOUND IN EMAILS")</f>
        <v/>
      </c>
      <c r="R3740" t="str">
        <f ca="1">""&amp;IFERROR(VLOOKUP(O3740,EMAILS!B:E,4,FALSE),"NO T FOUND IN EMAILS")</f>
        <v/>
      </c>
    </row>
    <row r="3741" spans="2:18" x14ac:dyDescent="0.25">
      <c r="B3741" s="5" t="s">
        <v>3743</v>
      </c>
      <c r="C3741" s="5" t="s">
        <v>7883</v>
      </c>
      <c r="D3741" s="5">
        <v>0</v>
      </c>
      <c r="E3741" s="5">
        <v>0</v>
      </c>
      <c r="F3741" s="5">
        <v>0</v>
      </c>
      <c r="G3741" s="5">
        <v>0</v>
      </c>
      <c r="H3741" s="5">
        <v>0</v>
      </c>
      <c r="I3741" s="5">
        <v>0</v>
      </c>
      <c r="J3741" s="5">
        <v>0</v>
      </c>
      <c r="K3741" s="5">
        <v>0</v>
      </c>
      <c r="L3741" s="5">
        <v>0</v>
      </c>
      <c r="M3741" s="5">
        <v>0</v>
      </c>
      <c r="N3741" s="5">
        <v>0</v>
      </c>
      <c r="O3741" s="5" t="str">
        <f t="shared" ca="1" si="58"/>
        <v>Supplier 157</v>
      </c>
      <c r="P3741" s="20" t="str">
        <f ca="1">IFERROR(VLOOKUP(O3741,EMAILS!B:C,2,FALSE),"NOT FOUND IN EMAILS")</f>
        <v>supplier@gmail.com</v>
      </c>
      <c r="Q3741" t="str">
        <f ca="1">""&amp;IFERROR(VLOOKUP(O3741,EMAILS!B:D,3,FALSE),"NOT FOUND IN EMAILS")</f>
        <v/>
      </c>
      <c r="R3741" t="str">
        <f ca="1">""&amp;IFERROR(VLOOKUP(O3741,EMAILS!B:E,4,FALSE),"NO T FOUND IN EMAILS")</f>
        <v/>
      </c>
    </row>
    <row r="3742" spans="2:18" x14ac:dyDescent="0.25">
      <c r="B3742" s="5" t="s">
        <v>3744</v>
      </c>
      <c r="C3742" s="5" t="s">
        <v>7884</v>
      </c>
      <c r="D3742" s="5">
        <v>0</v>
      </c>
      <c r="E3742" s="5">
        <v>0</v>
      </c>
      <c r="F3742" s="5">
        <v>0</v>
      </c>
      <c r="G3742" s="5">
        <v>0</v>
      </c>
      <c r="H3742" s="5">
        <v>0</v>
      </c>
      <c r="I3742" s="5">
        <v>0</v>
      </c>
      <c r="J3742" s="5">
        <v>0</v>
      </c>
      <c r="K3742" s="5">
        <v>0</v>
      </c>
      <c r="L3742" s="5">
        <v>0</v>
      </c>
      <c r="M3742" s="5">
        <v>0</v>
      </c>
      <c r="N3742" s="5">
        <v>0</v>
      </c>
      <c r="O3742" s="5" t="str">
        <f t="shared" ca="1" si="58"/>
        <v>Supplier 104</v>
      </c>
      <c r="P3742" s="20" t="str">
        <f ca="1">IFERROR(VLOOKUP(O3742,EMAILS!B:C,2,FALSE),"NOT FOUND IN EMAILS")</f>
        <v>supplier@gmail.com</v>
      </c>
      <c r="Q3742" t="str">
        <f ca="1">""&amp;IFERROR(VLOOKUP(O3742,EMAILS!B:D,3,FALSE),"NOT FOUND IN EMAILS")</f>
        <v/>
      </c>
      <c r="R3742" t="str">
        <f ca="1">""&amp;IFERROR(VLOOKUP(O3742,EMAILS!B:E,4,FALSE),"NO T FOUND IN EMAILS")</f>
        <v/>
      </c>
    </row>
    <row r="3743" spans="2:18" x14ac:dyDescent="0.25">
      <c r="B3743" s="5" t="s">
        <v>3745</v>
      </c>
      <c r="C3743" s="5" t="s">
        <v>7885</v>
      </c>
      <c r="D3743" s="5">
        <v>0</v>
      </c>
      <c r="E3743" s="5">
        <v>0</v>
      </c>
      <c r="F3743" s="5">
        <v>0</v>
      </c>
      <c r="G3743" s="5">
        <v>0</v>
      </c>
      <c r="H3743" s="5">
        <v>0</v>
      </c>
      <c r="I3743" s="5">
        <v>0</v>
      </c>
      <c r="J3743" s="5">
        <v>0</v>
      </c>
      <c r="K3743" s="5">
        <v>0</v>
      </c>
      <c r="L3743" s="5">
        <v>0</v>
      </c>
      <c r="M3743" s="5">
        <v>0</v>
      </c>
      <c r="N3743" s="5">
        <v>0</v>
      </c>
      <c r="O3743" s="5" t="str">
        <f t="shared" ca="1" si="58"/>
        <v>Supplier 28</v>
      </c>
      <c r="P3743" s="20" t="str">
        <f ca="1">IFERROR(VLOOKUP(O3743,EMAILS!B:C,2,FALSE),"NOT FOUND IN EMAILS")</f>
        <v>supplier@gmail.com</v>
      </c>
      <c r="Q3743" t="str">
        <f ca="1">""&amp;IFERROR(VLOOKUP(O3743,EMAILS!B:D,3,FALSE),"NOT FOUND IN EMAILS")</f>
        <v/>
      </c>
      <c r="R3743" t="str">
        <f ca="1">""&amp;IFERROR(VLOOKUP(O3743,EMAILS!B:E,4,FALSE),"NO T FOUND IN EMAILS")</f>
        <v/>
      </c>
    </row>
    <row r="3744" spans="2:18" x14ac:dyDescent="0.25">
      <c r="B3744" s="5" t="s">
        <v>3746</v>
      </c>
      <c r="C3744" s="5" t="s">
        <v>7886</v>
      </c>
      <c r="D3744" s="5">
        <v>0</v>
      </c>
      <c r="E3744" s="5">
        <v>0</v>
      </c>
      <c r="F3744" s="5">
        <v>0</v>
      </c>
      <c r="G3744" s="5">
        <v>0</v>
      </c>
      <c r="H3744" s="5">
        <v>0</v>
      </c>
      <c r="I3744" s="5">
        <v>0</v>
      </c>
      <c r="J3744" s="5">
        <v>0</v>
      </c>
      <c r="K3744" s="5">
        <v>0</v>
      </c>
      <c r="L3744" s="5">
        <v>0</v>
      </c>
      <c r="M3744" s="5">
        <v>0</v>
      </c>
      <c r="N3744" s="5">
        <v>0</v>
      </c>
      <c r="O3744" s="5" t="str">
        <f t="shared" ca="1" si="58"/>
        <v>Supplier 19</v>
      </c>
      <c r="P3744" s="20" t="str">
        <f ca="1">IFERROR(VLOOKUP(O3744,EMAILS!B:C,2,FALSE),"NOT FOUND IN EMAILS")</f>
        <v>supplier@gmail.com</v>
      </c>
      <c r="Q3744" t="str">
        <f ca="1">""&amp;IFERROR(VLOOKUP(O3744,EMAILS!B:D,3,FALSE),"NOT FOUND IN EMAILS")</f>
        <v>supplier_logistics@gmail.com</v>
      </c>
      <c r="R3744" t="str">
        <f ca="1">""&amp;IFERROR(VLOOKUP(O3744,EMAILS!B:E,4,FALSE),"NO T FOUND IN EMAILS")</f>
        <v/>
      </c>
    </row>
    <row r="3745" spans="2:18" x14ac:dyDescent="0.25">
      <c r="B3745" s="5" t="s">
        <v>3747</v>
      </c>
      <c r="C3745" s="5" t="s">
        <v>7887</v>
      </c>
      <c r="D3745" s="5">
        <v>0</v>
      </c>
      <c r="E3745" s="5">
        <v>0</v>
      </c>
      <c r="F3745" s="5">
        <v>0</v>
      </c>
      <c r="G3745" s="5">
        <v>0</v>
      </c>
      <c r="H3745" s="5">
        <v>0</v>
      </c>
      <c r="I3745" s="5">
        <v>0</v>
      </c>
      <c r="J3745" s="5">
        <v>0</v>
      </c>
      <c r="K3745" s="5">
        <v>0</v>
      </c>
      <c r="L3745" s="5">
        <v>0</v>
      </c>
      <c r="M3745" s="5">
        <v>0</v>
      </c>
      <c r="N3745" s="5">
        <v>0</v>
      </c>
      <c r="O3745" s="5" t="str">
        <f t="shared" ca="1" si="58"/>
        <v>Supplier 34</v>
      </c>
      <c r="P3745" s="20" t="str">
        <f ca="1">IFERROR(VLOOKUP(O3745,EMAILS!B:C,2,FALSE),"NOT FOUND IN EMAILS")</f>
        <v>supplier@gmail.com</v>
      </c>
      <c r="Q3745" t="str">
        <f ca="1">""&amp;IFERROR(VLOOKUP(O3745,EMAILS!B:D,3,FALSE),"NOT FOUND IN EMAILS")</f>
        <v/>
      </c>
      <c r="R3745" t="str">
        <f ca="1">""&amp;IFERROR(VLOOKUP(O3745,EMAILS!B:E,4,FALSE),"NO T FOUND IN EMAILS")</f>
        <v/>
      </c>
    </row>
    <row r="3746" spans="2:18" x14ac:dyDescent="0.25">
      <c r="B3746" s="5" t="s">
        <v>3748</v>
      </c>
      <c r="C3746" s="5" t="s">
        <v>7888</v>
      </c>
      <c r="D3746" s="5">
        <v>0</v>
      </c>
      <c r="E3746" s="5">
        <v>0</v>
      </c>
      <c r="F3746" s="5">
        <v>0</v>
      </c>
      <c r="G3746" s="5">
        <v>0</v>
      </c>
      <c r="H3746" s="5">
        <v>0</v>
      </c>
      <c r="I3746" s="5">
        <v>0</v>
      </c>
      <c r="J3746" s="5">
        <v>0</v>
      </c>
      <c r="K3746" s="5">
        <v>0</v>
      </c>
      <c r="L3746" s="5">
        <v>0</v>
      </c>
      <c r="M3746" s="5">
        <v>0</v>
      </c>
      <c r="N3746" s="5">
        <v>0</v>
      </c>
      <c r="O3746" s="5" t="str">
        <f t="shared" ca="1" si="58"/>
        <v>Supplier 165</v>
      </c>
      <c r="P3746" s="20" t="str">
        <f ca="1">IFERROR(VLOOKUP(O3746,EMAILS!B:C,2,FALSE),"NOT FOUND IN EMAILS")</f>
        <v>supplier@gmail.com</v>
      </c>
      <c r="Q3746" t="str">
        <f ca="1">""&amp;IFERROR(VLOOKUP(O3746,EMAILS!B:D,3,FALSE),"NOT FOUND IN EMAILS")</f>
        <v/>
      </c>
      <c r="R3746" t="str">
        <f ca="1">""&amp;IFERROR(VLOOKUP(O3746,EMAILS!B:E,4,FALSE),"NO T FOUND IN EMAILS")</f>
        <v/>
      </c>
    </row>
    <row r="3747" spans="2:18" x14ac:dyDescent="0.25">
      <c r="B3747" s="5" t="s">
        <v>3749</v>
      </c>
      <c r="C3747" s="5" t="s">
        <v>7889</v>
      </c>
      <c r="D3747" s="5">
        <v>0</v>
      </c>
      <c r="E3747" s="5">
        <v>0</v>
      </c>
      <c r="F3747" s="5">
        <v>0</v>
      </c>
      <c r="G3747" s="5">
        <v>0</v>
      </c>
      <c r="H3747" s="5">
        <v>0</v>
      </c>
      <c r="I3747" s="5">
        <v>0</v>
      </c>
      <c r="J3747" s="5">
        <v>0</v>
      </c>
      <c r="K3747" s="5">
        <v>0</v>
      </c>
      <c r="L3747" s="5">
        <v>0</v>
      </c>
      <c r="M3747" s="5">
        <v>0</v>
      </c>
      <c r="N3747" s="5">
        <v>0</v>
      </c>
      <c r="O3747" s="5" t="str">
        <f t="shared" ca="1" si="58"/>
        <v>Supplier 126</v>
      </c>
      <c r="P3747" s="20" t="str">
        <f ca="1">IFERROR(VLOOKUP(O3747,EMAILS!B:C,2,FALSE),"NOT FOUND IN EMAILS")</f>
        <v>supplier@gmail.com</v>
      </c>
      <c r="Q3747" t="str">
        <f ca="1">""&amp;IFERROR(VLOOKUP(O3747,EMAILS!B:D,3,FALSE),"NOT FOUND IN EMAILS")</f>
        <v/>
      </c>
      <c r="R3747" t="str">
        <f ca="1">""&amp;IFERROR(VLOOKUP(O3747,EMAILS!B:E,4,FALSE),"NO T FOUND IN EMAILS")</f>
        <v/>
      </c>
    </row>
    <row r="3748" spans="2:18" x14ac:dyDescent="0.25">
      <c r="B3748" s="5" t="s">
        <v>3750</v>
      </c>
      <c r="C3748" s="5" t="s">
        <v>7890</v>
      </c>
      <c r="D3748" s="5">
        <v>0</v>
      </c>
      <c r="E3748" s="5">
        <v>0</v>
      </c>
      <c r="F3748" s="5">
        <v>0</v>
      </c>
      <c r="G3748" s="5">
        <v>0</v>
      </c>
      <c r="H3748" s="5">
        <v>0</v>
      </c>
      <c r="I3748" s="5">
        <v>0</v>
      </c>
      <c r="J3748" s="5">
        <v>0</v>
      </c>
      <c r="K3748" s="5">
        <v>0</v>
      </c>
      <c r="L3748" s="5">
        <v>0</v>
      </c>
      <c r="M3748" s="5">
        <v>0</v>
      </c>
      <c r="N3748" s="5">
        <v>0</v>
      </c>
      <c r="O3748" s="5" t="str">
        <f t="shared" ca="1" si="58"/>
        <v>Supplier 99</v>
      </c>
      <c r="P3748" s="20" t="str">
        <f ca="1">IFERROR(VLOOKUP(O3748,EMAILS!B:C,2,FALSE),"NOT FOUND IN EMAILS")</f>
        <v>supplier@gmail.com</v>
      </c>
      <c r="Q3748" t="str">
        <f ca="1">""&amp;IFERROR(VLOOKUP(O3748,EMAILS!B:D,3,FALSE),"NOT FOUND IN EMAILS")</f>
        <v/>
      </c>
      <c r="R3748" t="str">
        <f ca="1">""&amp;IFERROR(VLOOKUP(O3748,EMAILS!B:E,4,FALSE),"NO T FOUND IN EMAILS")</f>
        <v/>
      </c>
    </row>
    <row r="3749" spans="2:18" x14ac:dyDescent="0.25">
      <c r="B3749" s="5" t="s">
        <v>3751</v>
      </c>
      <c r="C3749" s="5" t="s">
        <v>7891</v>
      </c>
      <c r="D3749" s="5">
        <v>0</v>
      </c>
      <c r="E3749" s="5">
        <v>0</v>
      </c>
      <c r="F3749" s="5">
        <v>0</v>
      </c>
      <c r="G3749" s="5">
        <v>0</v>
      </c>
      <c r="H3749" s="5">
        <v>0</v>
      </c>
      <c r="I3749" s="5">
        <v>0</v>
      </c>
      <c r="J3749" s="5">
        <v>0</v>
      </c>
      <c r="K3749" s="5">
        <v>0</v>
      </c>
      <c r="L3749" s="5">
        <v>0</v>
      </c>
      <c r="M3749" s="5">
        <v>0</v>
      </c>
      <c r="N3749" s="5">
        <v>0</v>
      </c>
      <c r="O3749" s="5" t="str">
        <f t="shared" ca="1" si="58"/>
        <v>Supplier 41</v>
      </c>
      <c r="P3749" s="20" t="str">
        <f ca="1">IFERROR(VLOOKUP(O3749,EMAILS!B:C,2,FALSE),"NOT FOUND IN EMAILS")</f>
        <v>supplier@gmail.com</v>
      </c>
      <c r="Q3749" t="str">
        <f ca="1">""&amp;IFERROR(VLOOKUP(O3749,EMAILS!B:D,3,FALSE),"NOT FOUND IN EMAILS")</f>
        <v/>
      </c>
      <c r="R3749" t="str">
        <f ca="1">""&amp;IFERROR(VLOOKUP(O3749,EMAILS!B:E,4,FALSE),"NO T FOUND IN EMAILS")</f>
        <v/>
      </c>
    </row>
    <row r="3750" spans="2:18" x14ac:dyDescent="0.25">
      <c r="B3750" s="5" t="s">
        <v>3752</v>
      </c>
      <c r="C3750" s="5" t="s">
        <v>7892</v>
      </c>
      <c r="D3750" s="5">
        <v>0</v>
      </c>
      <c r="E3750" s="5">
        <v>0</v>
      </c>
      <c r="F3750" s="5">
        <v>0</v>
      </c>
      <c r="G3750" s="5">
        <v>0</v>
      </c>
      <c r="H3750" s="5">
        <v>0</v>
      </c>
      <c r="I3750" s="5">
        <v>0</v>
      </c>
      <c r="J3750" s="5">
        <v>0</v>
      </c>
      <c r="K3750" s="5">
        <v>0</v>
      </c>
      <c r="L3750" s="5">
        <v>0</v>
      </c>
      <c r="M3750" s="5">
        <v>0</v>
      </c>
      <c r="N3750" s="5">
        <v>0</v>
      </c>
      <c r="O3750" s="5" t="str">
        <f t="shared" ca="1" si="58"/>
        <v>Supplier 152</v>
      </c>
      <c r="P3750" s="20" t="str">
        <f ca="1">IFERROR(VLOOKUP(O3750,EMAILS!B:C,2,FALSE),"NOT FOUND IN EMAILS")</f>
        <v>supplier@gmail.com</v>
      </c>
      <c r="Q3750" t="str">
        <f ca="1">""&amp;IFERROR(VLOOKUP(O3750,EMAILS!B:D,3,FALSE),"NOT FOUND IN EMAILS")</f>
        <v/>
      </c>
      <c r="R3750" t="str">
        <f ca="1">""&amp;IFERROR(VLOOKUP(O3750,EMAILS!B:E,4,FALSE),"NO T FOUND IN EMAILS")</f>
        <v/>
      </c>
    </row>
    <row r="3751" spans="2:18" x14ac:dyDescent="0.25">
      <c r="B3751" s="5" t="s">
        <v>3753</v>
      </c>
      <c r="C3751" s="5" t="s">
        <v>7893</v>
      </c>
      <c r="D3751" s="5">
        <v>0</v>
      </c>
      <c r="E3751" s="5">
        <v>0</v>
      </c>
      <c r="F3751" s="5">
        <v>0</v>
      </c>
      <c r="G3751" s="5">
        <v>0</v>
      </c>
      <c r="H3751" s="5">
        <v>0</v>
      </c>
      <c r="I3751" s="5">
        <v>0</v>
      </c>
      <c r="J3751" s="5">
        <v>0</v>
      </c>
      <c r="K3751" s="5">
        <v>0</v>
      </c>
      <c r="L3751" s="5">
        <v>0</v>
      </c>
      <c r="M3751" s="5">
        <v>0</v>
      </c>
      <c r="N3751" s="5">
        <v>0</v>
      </c>
      <c r="O3751" s="5" t="str">
        <f t="shared" ca="1" si="58"/>
        <v>Supplier 40</v>
      </c>
      <c r="P3751" s="20" t="str">
        <f ca="1">IFERROR(VLOOKUP(O3751,EMAILS!B:C,2,FALSE),"NOT FOUND IN EMAILS")</f>
        <v>supplier@gmail.com</v>
      </c>
      <c r="Q3751" t="str">
        <f ca="1">""&amp;IFERROR(VLOOKUP(O3751,EMAILS!B:D,3,FALSE),"NOT FOUND IN EMAILS")</f>
        <v/>
      </c>
      <c r="R3751" t="str">
        <f ca="1">""&amp;IFERROR(VLOOKUP(O3751,EMAILS!B:E,4,FALSE),"NO T FOUND IN EMAILS")</f>
        <v/>
      </c>
    </row>
    <row r="3752" spans="2:18" x14ac:dyDescent="0.25">
      <c r="B3752" s="5" t="s">
        <v>3754</v>
      </c>
      <c r="C3752" s="5" t="s">
        <v>7894</v>
      </c>
      <c r="D3752" s="5">
        <v>0</v>
      </c>
      <c r="E3752" s="5">
        <v>0</v>
      </c>
      <c r="F3752" s="5">
        <v>0</v>
      </c>
      <c r="G3752" s="5">
        <v>0</v>
      </c>
      <c r="H3752" s="5">
        <v>0</v>
      </c>
      <c r="I3752" s="5">
        <v>0</v>
      </c>
      <c r="J3752" s="5">
        <v>0</v>
      </c>
      <c r="K3752" s="5">
        <v>0</v>
      </c>
      <c r="L3752" s="5">
        <v>0</v>
      </c>
      <c r="M3752" s="5">
        <v>0</v>
      </c>
      <c r="N3752" s="5">
        <v>0</v>
      </c>
      <c r="O3752" s="5" t="str">
        <f t="shared" ca="1" si="58"/>
        <v>Supplier 6</v>
      </c>
      <c r="P3752" s="20" t="str">
        <f ca="1">IFERROR(VLOOKUP(O3752,EMAILS!B:C,2,FALSE),"NOT FOUND IN EMAILS")</f>
        <v>supplier@gmail.com</v>
      </c>
      <c r="Q3752" t="str">
        <f ca="1">""&amp;IFERROR(VLOOKUP(O3752,EMAILS!B:D,3,FALSE),"NOT FOUND IN EMAILS")</f>
        <v>supplier_logistics@gmail.com</v>
      </c>
      <c r="R3752" t="str">
        <f ca="1">""&amp;IFERROR(VLOOKUP(O3752,EMAILS!B:E,4,FALSE),"NO T FOUND IN EMAILS")</f>
        <v/>
      </c>
    </row>
    <row r="3753" spans="2:18" x14ac:dyDescent="0.25">
      <c r="B3753" s="5" t="s">
        <v>3755</v>
      </c>
      <c r="C3753" s="5" t="s">
        <v>7895</v>
      </c>
      <c r="D3753" s="5">
        <v>0</v>
      </c>
      <c r="E3753" s="5">
        <v>0</v>
      </c>
      <c r="F3753" s="5">
        <v>0</v>
      </c>
      <c r="G3753" s="5">
        <v>0</v>
      </c>
      <c r="H3753" s="5">
        <v>0</v>
      </c>
      <c r="I3753" s="5">
        <v>0</v>
      </c>
      <c r="J3753" s="5">
        <v>0</v>
      </c>
      <c r="K3753" s="5">
        <v>0</v>
      </c>
      <c r="L3753" s="5">
        <v>0</v>
      </c>
      <c r="M3753" s="5">
        <v>0</v>
      </c>
      <c r="N3753" s="5">
        <v>0</v>
      </c>
      <c r="O3753" s="5" t="str">
        <f t="shared" ca="1" si="58"/>
        <v>Supplier 16</v>
      </c>
      <c r="P3753" s="20" t="str">
        <f ca="1">IFERROR(VLOOKUP(O3753,EMAILS!B:C,2,FALSE),"NOT FOUND IN EMAILS")</f>
        <v>supplier@gmail.com</v>
      </c>
      <c r="Q3753" t="str">
        <f ca="1">""&amp;IFERROR(VLOOKUP(O3753,EMAILS!B:D,3,FALSE),"NOT FOUND IN EMAILS")</f>
        <v>supplier_logistics@gmail.com</v>
      </c>
      <c r="R3753" t="str">
        <f ca="1">""&amp;IFERROR(VLOOKUP(O3753,EMAILS!B:E,4,FALSE),"NO T FOUND IN EMAILS")</f>
        <v/>
      </c>
    </row>
    <row r="3754" spans="2:18" x14ac:dyDescent="0.25">
      <c r="B3754" s="5" t="s">
        <v>3756</v>
      </c>
      <c r="C3754" s="5" t="s">
        <v>7896</v>
      </c>
      <c r="D3754" s="5">
        <v>0</v>
      </c>
      <c r="E3754" s="5">
        <v>0</v>
      </c>
      <c r="F3754" s="5">
        <v>0</v>
      </c>
      <c r="G3754" s="5">
        <v>0</v>
      </c>
      <c r="H3754" s="5">
        <v>0</v>
      </c>
      <c r="I3754" s="5">
        <v>0</v>
      </c>
      <c r="J3754" s="5">
        <v>0</v>
      </c>
      <c r="K3754" s="5">
        <v>0</v>
      </c>
      <c r="L3754" s="5">
        <v>0</v>
      </c>
      <c r="M3754" s="5">
        <v>0</v>
      </c>
      <c r="N3754" s="5">
        <v>0</v>
      </c>
      <c r="O3754" s="5" t="str">
        <f t="shared" ca="1" si="58"/>
        <v>Supplier 196</v>
      </c>
      <c r="P3754" s="20" t="str">
        <f ca="1">IFERROR(VLOOKUP(O3754,EMAILS!B:C,2,FALSE),"NOT FOUND IN EMAILS")</f>
        <v>supplier@gmail.com</v>
      </c>
      <c r="Q3754" t="str">
        <f ca="1">""&amp;IFERROR(VLOOKUP(O3754,EMAILS!B:D,3,FALSE),"NOT FOUND IN EMAILS")</f>
        <v/>
      </c>
      <c r="R3754" t="str">
        <f ca="1">""&amp;IFERROR(VLOOKUP(O3754,EMAILS!B:E,4,FALSE),"NO T FOUND IN EMAILS")</f>
        <v/>
      </c>
    </row>
    <row r="3755" spans="2:18" x14ac:dyDescent="0.25">
      <c r="B3755" s="5" t="s">
        <v>3757</v>
      </c>
      <c r="C3755" s="5" t="s">
        <v>7897</v>
      </c>
      <c r="D3755" s="5">
        <v>0</v>
      </c>
      <c r="E3755" s="5">
        <v>0</v>
      </c>
      <c r="F3755" s="5">
        <v>0</v>
      </c>
      <c r="G3755" s="5">
        <v>0</v>
      </c>
      <c r="H3755" s="5">
        <v>0</v>
      </c>
      <c r="I3755" s="5">
        <v>0</v>
      </c>
      <c r="J3755" s="5">
        <v>0</v>
      </c>
      <c r="K3755" s="5">
        <v>0</v>
      </c>
      <c r="L3755" s="5">
        <v>0</v>
      </c>
      <c r="M3755" s="5">
        <v>0</v>
      </c>
      <c r="N3755" s="5">
        <v>0</v>
      </c>
      <c r="O3755" s="5" t="str">
        <f t="shared" ca="1" si="58"/>
        <v>Supplier 40</v>
      </c>
      <c r="P3755" s="20" t="str">
        <f ca="1">IFERROR(VLOOKUP(O3755,EMAILS!B:C,2,FALSE),"NOT FOUND IN EMAILS")</f>
        <v>supplier@gmail.com</v>
      </c>
      <c r="Q3755" t="str">
        <f ca="1">""&amp;IFERROR(VLOOKUP(O3755,EMAILS!B:D,3,FALSE),"NOT FOUND IN EMAILS")</f>
        <v/>
      </c>
      <c r="R3755" t="str">
        <f ca="1">""&amp;IFERROR(VLOOKUP(O3755,EMAILS!B:E,4,FALSE),"NO T FOUND IN EMAILS")</f>
        <v/>
      </c>
    </row>
    <row r="3756" spans="2:18" x14ac:dyDescent="0.25">
      <c r="B3756" s="5" t="s">
        <v>3758</v>
      </c>
      <c r="C3756" s="5" t="s">
        <v>7898</v>
      </c>
      <c r="D3756" s="5">
        <v>0</v>
      </c>
      <c r="E3756" s="5">
        <v>0</v>
      </c>
      <c r="F3756" s="5">
        <v>0</v>
      </c>
      <c r="G3756" s="5">
        <v>0</v>
      </c>
      <c r="H3756" s="5">
        <v>0</v>
      </c>
      <c r="I3756" s="5">
        <v>0</v>
      </c>
      <c r="J3756" s="5">
        <v>0</v>
      </c>
      <c r="K3756" s="5">
        <v>0</v>
      </c>
      <c r="L3756" s="5">
        <v>0</v>
      </c>
      <c r="M3756" s="5">
        <v>0</v>
      </c>
      <c r="N3756" s="5">
        <v>0</v>
      </c>
      <c r="O3756" s="5" t="str">
        <f t="shared" ca="1" si="58"/>
        <v>Supplier 6</v>
      </c>
      <c r="P3756" s="20" t="str">
        <f ca="1">IFERROR(VLOOKUP(O3756,EMAILS!B:C,2,FALSE),"NOT FOUND IN EMAILS")</f>
        <v>supplier@gmail.com</v>
      </c>
      <c r="Q3756" t="str">
        <f ca="1">""&amp;IFERROR(VLOOKUP(O3756,EMAILS!B:D,3,FALSE),"NOT FOUND IN EMAILS")</f>
        <v>supplier_logistics@gmail.com</v>
      </c>
      <c r="R3756" t="str">
        <f ca="1">""&amp;IFERROR(VLOOKUP(O3756,EMAILS!B:E,4,FALSE),"NO T FOUND IN EMAILS")</f>
        <v/>
      </c>
    </row>
    <row r="3757" spans="2:18" x14ac:dyDescent="0.25">
      <c r="B3757" s="5" t="s">
        <v>3759</v>
      </c>
      <c r="C3757" s="5" t="s">
        <v>7899</v>
      </c>
      <c r="D3757" s="5">
        <v>0</v>
      </c>
      <c r="E3757" s="5">
        <v>0</v>
      </c>
      <c r="F3757" s="5">
        <v>0</v>
      </c>
      <c r="G3757" s="5">
        <v>0</v>
      </c>
      <c r="H3757" s="5">
        <v>0</v>
      </c>
      <c r="I3757" s="5">
        <v>0</v>
      </c>
      <c r="J3757" s="5">
        <v>0</v>
      </c>
      <c r="K3757" s="5">
        <v>0</v>
      </c>
      <c r="L3757" s="5">
        <v>0</v>
      </c>
      <c r="M3757" s="5">
        <v>0</v>
      </c>
      <c r="N3757" s="5">
        <v>0</v>
      </c>
      <c r="O3757" s="5" t="str">
        <f t="shared" ca="1" si="58"/>
        <v>Supplier 179</v>
      </c>
      <c r="P3757" s="20" t="str">
        <f ca="1">IFERROR(VLOOKUP(O3757,EMAILS!B:C,2,FALSE),"NOT FOUND IN EMAILS")</f>
        <v>supplier@gmail.com</v>
      </c>
      <c r="Q3757" t="str">
        <f ca="1">""&amp;IFERROR(VLOOKUP(O3757,EMAILS!B:D,3,FALSE),"NOT FOUND IN EMAILS")</f>
        <v/>
      </c>
      <c r="R3757" t="str">
        <f ca="1">""&amp;IFERROR(VLOOKUP(O3757,EMAILS!B:E,4,FALSE),"NO T FOUND IN EMAILS")</f>
        <v/>
      </c>
    </row>
    <row r="3758" spans="2:18" x14ac:dyDescent="0.25">
      <c r="B3758" s="5" t="s">
        <v>3760</v>
      </c>
      <c r="C3758" s="5" t="s">
        <v>7900</v>
      </c>
      <c r="D3758" s="5">
        <v>0</v>
      </c>
      <c r="E3758" s="5">
        <v>0</v>
      </c>
      <c r="F3758" s="5">
        <v>0</v>
      </c>
      <c r="G3758" s="5">
        <v>0</v>
      </c>
      <c r="H3758" s="5">
        <v>0</v>
      </c>
      <c r="I3758" s="5">
        <v>0</v>
      </c>
      <c r="J3758" s="5">
        <v>0</v>
      </c>
      <c r="K3758" s="5">
        <v>0</v>
      </c>
      <c r="L3758" s="5">
        <v>0</v>
      </c>
      <c r="M3758" s="5">
        <v>0</v>
      </c>
      <c r="N3758" s="5">
        <v>0</v>
      </c>
      <c r="O3758" s="5" t="str">
        <f t="shared" ca="1" si="58"/>
        <v>Supplier 161</v>
      </c>
      <c r="P3758" s="20" t="str">
        <f ca="1">IFERROR(VLOOKUP(O3758,EMAILS!B:C,2,FALSE),"NOT FOUND IN EMAILS")</f>
        <v>supplier@gmail.com</v>
      </c>
      <c r="Q3758" t="str">
        <f ca="1">""&amp;IFERROR(VLOOKUP(O3758,EMAILS!B:D,3,FALSE),"NOT FOUND IN EMAILS")</f>
        <v/>
      </c>
      <c r="R3758" t="str">
        <f ca="1">""&amp;IFERROR(VLOOKUP(O3758,EMAILS!B:E,4,FALSE),"NO T FOUND IN EMAILS")</f>
        <v/>
      </c>
    </row>
    <row r="3759" spans="2:18" x14ac:dyDescent="0.25">
      <c r="B3759" s="5" t="s">
        <v>3761</v>
      </c>
      <c r="C3759" s="5" t="s">
        <v>7901</v>
      </c>
      <c r="D3759" s="5">
        <v>0</v>
      </c>
      <c r="E3759" s="5">
        <v>0</v>
      </c>
      <c r="F3759" s="5">
        <v>0</v>
      </c>
      <c r="G3759" s="5">
        <v>0</v>
      </c>
      <c r="H3759" s="5">
        <v>0</v>
      </c>
      <c r="I3759" s="5">
        <v>0</v>
      </c>
      <c r="J3759" s="5">
        <v>0</v>
      </c>
      <c r="K3759" s="5">
        <v>0</v>
      </c>
      <c r="L3759" s="5">
        <v>0</v>
      </c>
      <c r="M3759" s="5">
        <v>0</v>
      </c>
      <c r="N3759" s="5">
        <v>0</v>
      </c>
      <c r="O3759" s="5" t="str">
        <f t="shared" ca="1" si="58"/>
        <v>Supplier 142</v>
      </c>
      <c r="P3759" s="20" t="str">
        <f ca="1">IFERROR(VLOOKUP(O3759,EMAILS!B:C,2,FALSE),"NOT FOUND IN EMAILS")</f>
        <v>supplier@gmail.com</v>
      </c>
      <c r="Q3759" t="str">
        <f ca="1">""&amp;IFERROR(VLOOKUP(O3759,EMAILS!B:D,3,FALSE),"NOT FOUND IN EMAILS")</f>
        <v/>
      </c>
      <c r="R3759" t="str">
        <f ca="1">""&amp;IFERROR(VLOOKUP(O3759,EMAILS!B:E,4,FALSE),"NO T FOUND IN EMAILS")</f>
        <v/>
      </c>
    </row>
    <row r="3760" spans="2:18" x14ac:dyDescent="0.25">
      <c r="B3760" s="5" t="s">
        <v>3762</v>
      </c>
      <c r="C3760" s="5" t="s">
        <v>7902</v>
      </c>
      <c r="D3760" s="5">
        <v>0</v>
      </c>
      <c r="E3760" s="5">
        <v>0</v>
      </c>
      <c r="F3760" s="5">
        <v>0</v>
      </c>
      <c r="G3760" s="5">
        <v>0</v>
      </c>
      <c r="H3760" s="5">
        <v>0</v>
      </c>
      <c r="I3760" s="5">
        <v>0</v>
      </c>
      <c r="J3760" s="5">
        <v>0</v>
      </c>
      <c r="K3760" s="5">
        <v>0</v>
      </c>
      <c r="L3760" s="5">
        <v>0</v>
      </c>
      <c r="M3760" s="5">
        <v>0</v>
      </c>
      <c r="N3760" s="5">
        <v>0</v>
      </c>
      <c r="O3760" s="5" t="str">
        <f t="shared" ca="1" si="58"/>
        <v>Supplier 65</v>
      </c>
      <c r="P3760" s="20" t="str">
        <f ca="1">IFERROR(VLOOKUP(O3760,EMAILS!B:C,2,FALSE),"NOT FOUND IN EMAILS")</f>
        <v>supplier@gmail.com</v>
      </c>
      <c r="Q3760" t="str">
        <f ca="1">""&amp;IFERROR(VLOOKUP(O3760,EMAILS!B:D,3,FALSE),"NOT FOUND IN EMAILS")</f>
        <v/>
      </c>
      <c r="R3760" t="str">
        <f ca="1">""&amp;IFERROR(VLOOKUP(O3760,EMAILS!B:E,4,FALSE),"NO T FOUND IN EMAILS")</f>
        <v/>
      </c>
    </row>
    <row r="3761" spans="2:18" x14ac:dyDescent="0.25">
      <c r="B3761" s="5" t="s">
        <v>3763</v>
      </c>
      <c r="C3761" s="5" t="s">
        <v>7903</v>
      </c>
      <c r="D3761" s="5">
        <v>0</v>
      </c>
      <c r="E3761" s="5">
        <v>0</v>
      </c>
      <c r="F3761" s="5">
        <v>0</v>
      </c>
      <c r="G3761" s="5">
        <v>0</v>
      </c>
      <c r="H3761" s="5">
        <v>0</v>
      </c>
      <c r="I3761" s="5">
        <v>0</v>
      </c>
      <c r="J3761" s="5">
        <v>0</v>
      </c>
      <c r="K3761" s="5">
        <v>0</v>
      </c>
      <c r="L3761" s="5">
        <v>0</v>
      </c>
      <c r="M3761" s="5">
        <v>0</v>
      </c>
      <c r="N3761" s="5">
        <v>0</v>
      </c>
      <c r="O3761" s="5" t="str">
        <f t="shared" ca="1" si="58"/>
        <v>Supplier 142</v>
      </c>
      <c r="P3761" s="20" t="str">
        <f ca="1">IFERROR(VLOOKUP(O3761,EMAILS!B:C,2,FALSE),"NOT FOUND IN EMAILS")</f>
        <v>supplier@gmail.com</v>
      </c>
      <c r="Q3761" t="str">
        <f ca="1">""&amp;IFERROR(VLOOKUP(O3761,EMAILS!B:D,3,FALSE),"NOT FOUND IN EMAILS")</f>
        <v/>
      </c>
      <c r="R3761" t="str">
        <f ca="1">""&amp;IFERROR(VLOOKUP(O3761,EMAILS!B:E,4,FALSE),"NO T FOUND IN EMAILS")</f>
        <v/>
      </c>
    </row>
    <row r="3762" spans="2:18" x14ac:dyDescent="0.25">
      <c r="B3762" s="5" t="s">
        <v>3764</v>
      </c>
      <c r="C3762" s="5" t="s">
        <v>7904</v>
      </c>
      <c r="D3762" s="5">
        <v>0</v>
      </c>
      <c r="E3762" s="5">
        <v>0</v>
      </c>
      <c r="F3762" s="5">
        <v>0</v>
      </c>
      <c r="G3762" s="5">
        <v>0</v>
      </c>
      <c r="H3762" s="5">
        <v>0</v>
      </c>
      <c r="I3762" s="5">
        <v>0</v>
      </c>
      <c r="J3762" s="5">
        <v>0</v>
      </c>
      <c r="K3762" s="5">
        <v>0</v>
      </c>
      <c r="L3762" s="5">
        <v>0</v>
      </c>
      <c r="M3762" s="5">
        <v>0</v>
      </c>
      <c r="N3762" s="5">
        <v>0</v>
      </c>
      <c r="O3762" s="5" t="str">
        <f t="shared" ca="1" si="58"/>
        <v>Supplier 55</v>
      </c>
      <c r="P3762" s="20" t="str">
        <f ca="1">IFERROR(VLOOKUP(O3762,EMAILS!B:C,2,FALSE),"NOT FOUND IN EMAILS")</f>
        <v>supplier@gmail.com</v>
      </c>
      <c r="Q3762" t="str">
        <f ca="1">""&amp;IFERROR(VLOOKUP(O3762,EMAILS!B:D,3,FALSE),"NOT FOUND IN EMAILS")</f>
        <v/>
      </c>
      <c r="R3762" t="str">
        <f ca="1">""&amp;IFERROR(VLOOKUP(O3762,EMAILS!B:E,4,FALSE),"NO T FOUND IN EMAILS")</f>
        <v/>
      </c>
    </row>
    <row r="3763" spans="2:18" x14ac:dyDescent="0.25">
      <c r="B3763" s="5" t="s">
        <v>3765</v>
      </c>
      <c r="C3763" s="5" t="s">
        <v>7905</v>
      </c>
      <c r="D3763" s="5">
        <v>0</v>
      </c>
      <c r="E3763" s="5">
        <v>0</v>
      </c>
      <c r="F3763" s="5">
        <v>0</v>
      </c>
      <c r="G3763" s="5">
        <v>0</v>
      </c>
      <c r="H3763" s="5">
        <v>0</v>
      </c>
      <c r="I3763" s="5">
        <v>0</v>
      </c>
      <c r="J3763" s="5">
        <v>0</v>
      </c>
      <c r="K3763" s="5">
        <v>0</v>
      </c>
      <c r="L3763" s="5">
        <v>0</v>
      </c>
      <c r="M3763" s="5">
        <v>0</v>
      </c>
      <c r="N3763" s="5">
        <v>0</v>
      </c>
      <c r="O3763" s="5" t="str">
        <f t="shared" ca="1" si="58"/>
        <v>Supplier 180</v>
      </c>
      <c r="P3763" s="20" t="str">
        <f ca="1">IFERROR(VLOOKUP(O3763,EMAILS!B:C,2,FALSE),"NOT FOUND IN EMAILS")</f>
        <v>supplier@gmail.com</v>
      </c>
      <c r="Q3763" t="str">
        <f ca="1">""&amp;IFERROR(VLOOKUP(O3763,EMAILS!B:D,3,FALSE),"NOT FOUND IN EMAILS")</f>
        <v/>
      </c>
      <c r="R3763" t="str">
        <f ca="1">""&amp;IFERROR(VLOOKUP(O3763,EMAILS!B:E,4,FALSE),"NO T FOUND IN EMAILS")</f>
        <v/>
      </c>
    </row>
    <row r="3764" spans="2:18" x14ac:dyDescent="0.25">
      <c r="B3764" s="5" t="s">
        <v>3766</v>
      </c>
      <c r="C3764" s="5" t="s">
        <v>7906</v>
      </c>
      <c r="D3764" s="5">
        <v>0</v>
      </c>
      <c r="E3764" s="5">
        <v>0</v>
      </c>
      <c r="F3764" s="5">
        <v>0</v>
      </c>
      <c r="G3764" s="5">
        <v>0</v>
      </c>
      <c r="H3764" s="5">
        <v>0</v>
      </c>
      <c r="I3764" s="5">
        <v>0</v>
      </c>
      <c r="J3764" s="5">
        <v>0</v>
      </c>
      <c r="K3764" s="5">
        <v>0</v>
      </c>
      <c r="L3764" s="5">
        <v>0</v>
      </c>
      <c r="M3764" s="5">
        <v>0</v>
      </c>
      <c r="N3764" s="5">
        <v>0</v>
      </c>
      <c r="O3764" s="5" t="str">
        <f t="shared" ca="1" si="58"/>
        <v>Supplier 112</v>
      </c>
      <c r="P3764" s="20" t="str">
        <f ca="1">IFERROR(VLOOKUP(O3764,EMAILS!B:C,2,FALSE),"NOT FOUND IN EMAILS")</f>
        <v>supplier@gmail.com</v>
      </c>
      <c r="Q3764" t="str">
        <f ca="1">""&amp;IFERROR(VLOOKUP(O3764,EMAILS!B:D,3,FALSE),"NOT FOUND IN EMAILS")</f>
        <v/>
      </c>
      <c r="R3764" t="str">
        <f ca="1">""&amp;IFERROR(VLOOKUP(O3764,EMAILS!B:E,4,FALSE),"NO T FOUND IN EMAILS")</f>
        <v/>
      </c>
    </row>
    <row r="3765" spans="2:18" x14ac:dyDescent="0.25">
      <c r="B3765" s="5" t="s">
        <v>3767</v>
      </c>
      <c r="C3765" s="5" t="s">
        <v>7907</v>
      </c>
      <c r="D3765" s="5">
        <v>0</v>
      </c>
      <c r="E3765" s="5">
        <v>0</v>
      </c>
      <c r="F3765" s="5">
        <v>0</v>
      </c>
      <c r="G3765" s="5">
        <v>0</v>
      </c>
      <c r="H3765" s="5">
        <v>0</v>
      </c>
      <c r="I3765" s="5">
        <v>0</v>
      </c>
      <c r="J3765" s="5">
        <v>0</v>
      </c>
      <c r="K3765" s="5">
        <v>0</v>
      </c>
      <c r="L3765" s="5">
        <v>0</v>
      </c>
      <c r="M3765" s="5">
        <v>0</v>
      </c>
      <c r="N3765" s="5">
        <v>0</v>
      </c>
      <c r="O3765" s="5" t="str">
        <f t="shared" ca="1" si="58"/>
        <v>Supplier 4</v>
      </c>
      <c r="P3765" s="20" t="str">
        <f ca="1">IFERROR(VLOOKUP(O3765,EMAILS!B:C,2,FALSE),"NOT FOUND IN EMAILS")</f>
        <v>supplier@gmail.com</v>
      </c>
      <c r="Q3765" t="str">
        <f ca="1">""&amp;IFERROR(VLOOKUP(O3765,EMAILS!B:D,3,FALSE),"NOT FOUND IN EMAILS")</f>
        <v>supplier_logistics@gmail.com</v>
      </c>
      <c r="R3765" t="str">
        <f ca="1">""&amp;IFERROR(VLOOKUP(O3765,EMAILS!B:E,4,FALSE),"NO T FOUND IN EMAILS")</f>
        <v/>
      </c>
    </row>
    <row r="3766" spans="2:18" x14ac:dyDescent="0.25">
      <c r="B3766" s="5" t="s">
        <v>3768</v>
      </c>
      <c r="C3766" s="5" t="s">
        <v>7908</v>
      </c>
      <c r="D3766" s="5">
        <v>0</v>
      </c>
      <c r="E3766" s="5">
        <v>0</v>
      </c>
      <c r="F3766" s="5">
        <v>0</v>
      </c>
      <c r="G3766" s="5">
        <v>0</v>
      </c>
      <c r="H3766" s="5">
        <v>0</v>
      </c>
      <c r="I3766" s="5">
        <v>0</v>
      </c>
      <c r="J3766" s="5">
        <v>0</v>
      </c>
      <c r="K3766" s="5">
        <v>0</v>
      </c>
      <c r="L3766" s="5">
        <v>0</v>
      </c>
      <c r="M3766" s="5">
        <v>0</v>
      </c>
      <c r="N3766" s="5">
        <v>0</v>
      </c>
      <c r="O3766" s="5" t="str">
        <f t="shared" ca="1" si="58"/>
        <v>Supplier 77</v>
      </c>
      <c r="P3766" s="20" t="str">
        <f ca="1">IFERROR(VLOOKUP(O3766,EMAILS!B:C,2,FALSE),"NOT FOUND IN EMAILS")</f>
        <v>supplier@gmail.com</v>
      </c>
      <c r="Q3766" t="str">
        <f ca="1">""&amp;IFERROR(VLOOKUP(O3766,EMAILS!B:D,3,FALSE),"NOT FOUND IN EMAILS")</f>
        <v/>
      </c>
      <c r="R3766" t="str">
        <f ca="1">""&amp;IFERROR(VLOOKUP(O3766,EMAILS!B:E,4,FALSE),"NO T FOUND IN EMAILS")</f>
        <v/>
      </c>
    </row>
    <row r="3767" spans="2:18" x14ac:dyDescent="0.25">
      <c r="B3767" s="5" t="s">
        <v>3769</v>
      </c>
      <c r="C3767" s="5" t="s">
        <v>7909</v>
      </c>
      <c r="D3767" s="5">
        <v>0</v>
      </c>
      <c r="E3767" s="5">
        <v>0</v>
      </c>
      <c r="F3767" s="5">
        <v>0</v>
      </c>
      <c r="G3767" s="5">
        <v>0</v>
      </c>
      <c r="H3767" s="5">
        <v>0</v>
      </c>
      <c r="I3767" s="5">
        <v>0</v>
      </c>
      <c r="J3767" s="5">
        <v>0</v>
      </c>
      <c r="K3767" s="5">
        <v>0</v>
      </c>
      <c r="L3767" s="5">
        <v>0</v>
      </c>
      <c r="M3767" s="5">
        <v>0</v>
      </c>
      <c r="N3767" s="5">
        <v>0</v>
      </c>
      <c r="O3767" s="5" t="str">
        <f t="shared" ca="1" si="58"/>
        <v>Supplier 7</v>
      </c>
      <c r="P3767" s="20" t="str">
        <f ca="1">IFERROR(VLOOKUP(O3767,EMAILS!B:C,2,FALSE),"NOT FOUND IN EMAILS")</f>
        <v>supplier@gmail.com</v>
      </c>
      <c r="Q3767" t="str">
        <f ca="1">""&amp;IFERROR(VLOOKUP(O3767,EMAILS!B:D,3,FALSE),"NOT FOUND IN EMAILS")</f>
        <v>supplier_logistics@gmail.com</v>
      </c>
      <c r="R3767" t="str">
        <f ca="1">""&amp;IFERROR(VLOOKUP(O3767,EMAILS!B:E,4,FALSE),"NO T FOUND IN EMAILS")</f>
        <v/>
      </c>
    </row>
    <row r="3768" spans="2:18" x14ac:dyDescent="0.25">
      <c r="B3768" s="5" t="s">
        <v>3770</v>
      </c>
      <c r="C3768" s="5" t="s">
        <v>7910</v>
      </c>
      <c r="D3768" s="5">
        <v>0</v>
      </c>
      <c r="E3768" s="5">
        <v>0</v>
      </c>
      <c r="F3768" s="5">
        <v>0</v>
      </c>
      <c r="G3768" s="5">
        <v>0</v>
      </c>
      <c r="H3768" s="5">
        <v>0</v>
      </c>
      <c r="I3768" s="5">
        <v>0</v>
      </c>
      <c r="J3768" s="5">
        <v>0</v>
      </c>
      <c r="K3768" s="5">
        <v>0</v>
      </c>
      <c r="L3768" s="5">
        <v>0</v>
      </c>
      <c r="M3768" s="5">
        <v>0</v>
      </c>
      <c r="N3768" s="5">
        <v>0</v>
      </c>
      <c r="O3768" s="5" t="str">
        <f t="shared" ca="1" si="58"/>
        <v>Supplier 120</v>
      </c>
      <c r="P3768" s="20" t="str">
        <f ca="1">IFERROR(VLOOKUP(O3768,EMAILS!B:C,2,FALSE),"NOT FOUND IN EMAILS")</f>
        <v>supplier@gmail.com</v>
      </c>
      <c r="Q3768" t="str">
        <f ca="1">""&amp;IFERROR(VLOOKUP(O3768,EMAILS!B:D,3,FALSE),"NOT FOUND IN EMAILS")</f>
        <v/>
      </c>
      <c r="R3768" t="str">
        <f ca="1">""&amp;IFERROR(VLOOKUP(O3768,EMAILS!B:E,4,FALSE),"NO T FOUND IN EMAILS")</f>
        <v/>
      </c>
    </row>
    <row r="3769" spans="2:18" x14ac:dyDescent="0.25">
      <c r="B3769" s="5" t="s">
        <v>3771</v>
      </c>
      <c r="C3769" s="5" t="s">
        <v>7911</v>
      </c>
      <c r="D3769" s="5">
        <v>0</v>
      </c>
      <c r="E3769" s="5">
        <v>0</v>
      </c>
      <c r="F3769" s="5">
        <v>0</v>
      </c>
      <c r="G3769" s="5">
        <v>0</v>
      </c>
      <c r="H3769" s="5">
        <v>0</v>
      </c>
      <c r="I3769" s="5">
        <v>0</v>
      </c>
      <c r="J3769" s="5">
        <v>0</v>
      </c>
      <c r="K3769" s="5">
        <v>0</v>
      </c>
      <c r="L3769" s="5">
        <v>0</v>
      </c>
      <c r="M3769" s="5">
        <v>0</v>
      </c>
      <c r="N3769" s="5">
        <v>0</v>
      </c>
      <c r="O3769" s="5" t="str">
        <f t="shared" ca="1" si="58"/>
        <v>Supplier 133</v>
      </c>
      <c r="P3769" s="20" t="str">
        <f ca="1">IFERROR(VLOOKUP(O3769,EMAILS!B:C,2,FALSE),"NOT FOUND IN EMAILS")</f>
        <v>supplier@gmail.com</v>
      </c>
      <c r="Q3769" t="str">
        <f ca="1">""&amp;IFERROR(VLOOKUP(O3769,EMAILS!B:D,3,FALSE),"NOT FOUND IN EMAILS")</f>
        <v/>
      </c>
      <c r="R3769" t="str">
        <f ca="1">""&amp;IFERROR(VLOOKUP(O3769,EMAILS!B:E,4,FALSE),"NO T FOUND IN EMAILS")</f>
        <v/>
      </c>
    </row>
    <row r="3770" spans="2:18" x14ac:dyDescent="0.25">
      <c r="B3770" s="5" t="s">
        <v>3772</v>
      </c>
      <c r="C3770" s="5" t="s">
        <v>7912</v>
      </c>
      <c r="D3770" s="5">
        <v>0</v>
      </c>
      <c r="E3770" s="5">
        <v>0</v>
      </c>
      <c r="F3770" s="5">
        <v>0</v>
      </c>
      <c r="G3770" s="5">
        <v>0</v>
      </c>
      <c r="H3770" s="5">
        <v>0</v>
      </c>
      <c r="I3770" s="5">
        <v>0</v>
      </c>
      <c r="J3770" s="5">
        <v>0</v>
      </c>
      <c r="K3770" s="5">
        <v>0</v>
      </c>
      <c r="L3770" s="5">
        <v>0</v>
      </c>
      <c r="M3770" s="5">
        <v>0</v>
      </c>
      <c r="N3770" s="5">
        <v>0</v>
      </c>
      <c r="O3770" s="5" t="str">
        <f t="shared" ca="1" si="58"/>
        <v>Supplier 49</v>
      </c>
      <c r="P3770" s="20" t="str">
        <f ca="1">IFERROR(VLOOKUP(O3770,EMAILS!B:C,2,FALSE),"NOT FOUND IN EMAILS")</f>
        <v>supplier@gmail.com</v>
      </c>
      <c r="Q3770" t="str">
        <f ca="1">""&amp;IFERROR(VLOOKUP(O3770,EMAILS!B:D,3,FALSE),"NOT FOUND IN EMAILS")</f>
        <v/>
      </c>
      <c r="R3770" t="str">
        <f ca="1">""&amp;IFERROR(VLOOKUP(O3770,EMAILS!B:E,4,FALSE),"NO T FOUND IN EMAILS")</f>
        <v/>
      </c>
    </row>
    <row r="3771" spans="2:18" x14ac:dyDescent="0.25">
      <c r="B3771" s="5" t="s">
        <v>3773</v>
      </c>
      <c r="C3771" s="5" t="s">
        <v>7913</v>
      </c>
      <c r="D3771" s="5">
        <v>0</v>
      </c>
      <c r="E3771" s="5">
        <v>0</v>
      </c>
      <c r="F3771" s="5">
        <v>0</v>
      </c>
      <c r="G3771" s="5">
        <v>0</v>
      </c>
      <c r="H3771" s="5">
        <v>0</v>
      </c>
      <c r="I3771" s="5">
        <v>0</v>
      </c>
      <c r="J3771" s="5">
        <v>0</v>
      </c>
      <c r="K3771" s="5">
        <v>0</v>
      </c>
      <c r="L3771" s="5">
        <v>0</v>
      </c>
      <c r="M3771" s="5">
        <v>0</v>
      </c>
      <c r="N3771" s="5">
        <v>0</v>
      </c>
      <c r="O3771" s="5" t="str">
        <f t="shared" ca="1" si="58"/>
        <v>Supplier 146</v>
      </c>
      <c r="P3771" s="20" t="str">
        <f ca="1">IFERROR(VLOOKUP(O3771,EMAILS!B:C,2,FALSE),"NOT FOUND IN EMAILS")</f>
        <v>supplier@gmail.com</v>
      </c>
      <c r="Q3771" t="str">
        <f ca="1">""&amp;IFERROR(VLOOKUP(O3771,EMAILS!B:D,3,FALSE),"NOT FOUND IN EMAILS")</f>
        <v/>
      </c>
      <c r="R3771" t="str">
        <f ca="1">""&amp;IFERROR(VLOOKUP(O3771,EMAILS!B:E,4,FALSE),"NO T FOUND IN EMAILS")</f>
        <v/>
      </c>
    </row>
    <row r="3772" spans="2:18" x14ac:dyDescent="0.25">
      <c r="B3772" s="5" t="s">
        <v>3774</v>
      </c>
      <c r="C3772" s="5" t="s">
        <v>7914</v>
      </c>
      <c r="D3772" s="5">
        <v>0</v>
      </c>
      <c r="E3772" s="5">
        <v>0</v>
      </c>
      <c r="F3772" s="5">
        <v>0</v>
      </c>
      <c r="G3772" s="5">
        <v>0</v>
      </c>
      <c r="H3772" s="5">
        <v>0</v>
      </c>
      <c r="I3772" s="5">
        <v>0</v>
      </c>
      <c r="J3772" s="5">
        <v>0</v>
      </c>
      <c r="K3772" s="5">
        <v>0</v>
      </c>
      <c r="L3772" s="5">
        <v>0</v>
      </c>
      <c r="M3772" s="5">
        <v>0</v>
      </c>
      <c r="N3772" s="5">
        <v>0</v>
      </c>
      <c r="O3772" s="5" t="str">
        <f t="shared" ca="1" si="58"/>
        <v>Supplier 30</v>
      </c>
      <c r="P3772" s="20" t="str">
        <f ca="1">IFERROR(VLOOKUP(O3772,EMAILS!B:C,2,FALSE),"NOT FOUND IN EMAILS")</f>
        <v>supplier@gmail.com</v>
      </c>
      <c r="Q3772" t="str">
        <f ca="1">""&amp;IFERROR(VLOOKUP(O3772,EMAILS!B:D,3,FALSE),"NOT FOUND IN EMAILS")</f>
        <v/>
      </c>
      <c r="R3772" t="str">
        <f ca="1">""&amp;IFERROR(VLOOKUP(O3772,EMAILS!B:E,4,FALSE),"NO T FOUND IN EMAILS")</f>
        <v/>
      </c>
    </row>
    <row r="3773" spans="2:18" x14ac:dyDescent="0.25">
      <c r="B3773" s="5" t="s">
        <v>3775</v>
      </c>
      <c r="C3773" s="5" t="s">
        <v>7915</v>
      </c>
      <c r="D3773" s="5">
        <v>0</v>
      </c>
      <c r="E3773" s="5">
        <v>0</v>
      </c>
      <c r="F3773" s="5">
        <v>0</v>
      </c>
      <c r="G3773" s="5">
        <v>0</v>
      </c>
      <c r="H3773" s="5">
        <v>0</v>
      </c>
      <c r="I3773" s="5">
        <v>0</v>
      </c>
      <c r="J3773" s="5">
        <v>0</v>
      </c>
      <c r="K3773" s="5">
        <v>0</v>
      </c>
      <c r="L3773" s="5">
        <v>0</v>
      </c>
      <c r="M3773" s="5">
        <v>0</v>
      </c>
      <c r="N3773" s="5">
        <v>0</v>
      </c>
      <c r="O3773" s="5" t="str">
        <f t="shared" ca="1" si="58"/>
        <v>Supplier 5</v>
      </c>
      <c r="P3773" s="20" t="str">
        <f ca="1">IFERROR(VLOOKUP(O3773,EMAILS!B:C,2,FALSE),"NOT FOUND IN EMAILS")</f>
        <v>supplier@gmail.com</v>
      </c>
      <c r="Q3773" t="str">
        <f ca="1">""&amp;IFERROR(VLOOKUP(O3773,EMAILS!B:D,3,FALSE),"NOT FOUND IN EMAILS")</f>
        <v>supplier_logistics@gmail.com</v>
      </c>
      <c r="R3773" t="str">
        <f ca="1">""&amp;IFERROR(VLOOKUP(O3773,EMAILS!B:E,4,FALSE),"NO T FOUND IN EMAILS")</f>
        <v/>
      </c>
    </row>
    <row r="3774" spans="2:18" x14ac:dyDescent="0.25">
      <c r="B3774" s="5" t="s">
        <v>3776</v>
      </c>
      <c r="C3774" s="5" t="s">
        <v>7916</v>
      </c>
      <c r="D3774" s="5">
        <v>0</v>
      </c>
      <c r="E3774" s="5">
        <v>0</v>
      </c>
      <c r="F3774" s="5">
        <v>0</v>
      </c>
      <c r="G3774" s="5">
        <v>0</v>
      </c>
      <c r="H3774" s="5">
        <v>0</v>
      </c>
      <c r="I3774" s="5">
        <v>0</v>
      </c>
      <c r="J3774" s="5">
        <v>0</v>
      </c>
      <c r="K3774" s="5">
        <v>0</v>
      </c>
      <c r="L3774" s="5">
        <v>0</v>
      </c>
      <c r="M3774" s="5">
        <v>0</v>
      </c>
      <c r="N3774" s="5">
        <v>0</v>
      </c>
      <c r="O3774" s="5" t="str">
        <f t="shared" ca="1" si="58"/>
        <v>Supplier 149</v>
      </c>
      <c r="P3774" s="20" t="str">
        <f ca="1">IFERROR(VLOOKUP(O3774,EMAILS!B:C,2,FALSE),"NOT FOUND IN EMAILS")</f>
        <v>supplier@gmail.com</v>
      </c>
      <c r="Q3774" t="str">
        <f ca="1">""&amp;IFERROR(VLOOKUP(O3774,EMAILS!B:D,3,FALSE),"NOT FOUND IN EMAILS")</f>
        <v/>
      </c>
      <c r="R3774" t="str">
        <f ca="1">""&amp;IFERROR(VLOOKUP(O3774,EMAILS!B:E,4,FALSE),"NO T FOUND IN EMAILS")</f>
        <v/>
      </c>
    </row>
    <row r="3775" spans="2:18" x14ac:dyDescent="0.25">
      <c r="B3775" s="5" t="s">
        <v>3777</v>
      </c>
      <c r="C3775" s="5" t="s">
        <v>7917</v>
      </c>
      <c r="D3775" s="5">
        <v>0</v>
      </c>
      <c r="E3775" s="5">
        <v>0</v>
      </c>
      <c r="F3775" s="5">
        <v>0</v>
      </c>
      <c r="G3775" s="5">
        <v>0</v>
      </c>
      <c r="H3775" s="5">
        <v>0</v>
      </c>
      <c r="I3775" s="5">
        <v>0</v>
      </c>
      <c r="J3775" s="5">
        <v>0</v>
      </c>
      <c r="K3775" s="5">
        <v>0</v>
      </c>
      <c r="L3775" s="5">
        <v>0</v>
      </c>
      <c r="M3775" s="5">
        <v>0</v>
      </c>
      <c r="N3775" s="5">
        <v>0</v>
      </c>
      <c r="O3775" s="5" t="str">
        <f t="shared" ca="1" si="58"/>
        <v>Supplier 152</v>
      </c>
      <c r="P3775" s="20" t="str">
        <f ca="1">IFERROR(VLOOKUP(O3775,EMAILS!B:C,2,FALSE),"NOT FOUND IN EMAILS")</f>
        <v>supplier@gmail.com</v>
      </c>
      <c r="Q3775" t="str">
        <f ca="1">""&amp;IFERROR(VLOOKUP(O3775,EMAILS!B:D,3,FALSE),"NOT FOUND IN EMAILS")</f>
        <v/>
      </c>
      <c r="R3775" t="str">
        <f ca="1">""&amp;IFERROR(VLOOKUP(O3775,EMAILS!B:E,4,FALSE),"NO T FOUND IN EMAILS")</f>
        <v/>
      </c>
    </row>
    <row r="3776" spans="2:18" x14ac:dyDescent="0.25">
      <c r="B3776" s="5" t="s">
        <v>3778</v>
      </c>
      <c r="C3776" s="5" t="s">
        <v>7918</v>
      </c>
      <c r="D3776" s="5">
        <v>0</v>
      </c>
      <c r="E3776" s="5">
        <v>0</v>
      </c>
      <c r="F3776" s="5">
        <v>0</v>
      </c>
      <c r="G3776" s="5">
        <v>0</v>
      </c>
      <c r="H3776" s="5">
        <v>0</v>
      </c>
      <c r="I3776" s="5">
        <v>0</v>
      </c>
      <c r="J3776" s="5">
        <v>0</v>
      </c>
      <c r="K3776" s="5">
        <v>0</v>
      </c>
      <c r="L3776" s="5">
        <v>0</v>
      </c>
      <c r="M3776" s="5">
        <v>0</v>
      </c>
      <c r="N3776" s="5">
        <v>0</v>
      </c>
      <c r="O3776" s="5" t="str">
        <f t="shared" ca="1" si="58"/>
        <v>Supplier 138</v>
      </c>
      <c r="P3776" s="20" t="str">
        <f ca="1">IFERROR(VLOOKUP(O3776,EMAILS!B:C,2,FALSE),"NOT FOUND IN EMAILS")</f>
        <v>supplier@gmail.com</v>
      </c>
      <c r="Q3776" t="str">
        <f ca="1">""&amp;IFERROR(VLOOKUP(O3776,EMAILS!B:D,3,FALSE),"NOT FOUND IN EMAILS")</f>
        <v/>
      </c>
      <c r="R3776" t="str">
        <f ca="1">""&amp;IFERROR(VLOOKUP(O3776,EMAILS!B:E,4,FALSE),"NO T FOUND IN EMAILS")</f>
        <v/>
      </c>
    </row>
    <row r="3777" spans="2:18" x14ac:dyDescent="0.25">
      <c r="B3777" s="5" t="s">
        <v>3779</v>
      </c>
      <c r="C3777" s="5" t="s">
        <v>7919</v>
      </c>
      <c r="D3777" s="5">
        <v>0</v>
      </c>
      <c r="E3777" s="5">
        <v>0</v>
      </c>
      <c r="F3777" s="5">
        <v>0</v>
      </c>
      <c r="G3777" s="5">
        <v>0</v>
      </c>
      <c r="H3777" s="5">
        <v>0</v>
      </c>
      <c r="I3777" s="5">
        <v>0</v>
      </c>
      <c r="J3777" s="5">
        <v>0</v>
      </c>
      <c r="K3777" s="5">
        <v>0</v>
      </c>
      <c r="L3777" s="5">
        <v>0</v>
      </c>
      <c r="M3777" s="5">
        <v>0</v>
      </c>
      <c r="N3777" s="5">
        <v>0</v>
      </c>
      <c r="O3777" s="5" t="str">
        <f t="shared" ca="1" si="58"/>
        <v>Supplier 27</v>
      </c>
      <c r="P3777" s="20" t="str">
        <f ca="1">IFERROR(VLOOKUP(O3777,EMAILS!B:C,2,FALSE),"NOT FOUND IN EMAILS")</f>
        <v>supplier@gmail.com</v>
      </c>
      <c r="Q3777" t="str">
        <f ca="1">""&amp;IFERROR(VLOOKUP(O3777,EMAILS!B:D,3,FALSE),"NOT FOUND IN EMAILS")</f>
        <v/>
      </c>
      <c r="R3777" t="str">
        <f ca="1">""&amp;IFERROR(VLOOKUP(O3777,EMAILS!B:E,4,FALSE),"NO T FOUND IN EMAILS")</f>
        <v/>
      </c>
    </row>
    <row r="3778" spans="2:18" x14ac:dyDescent="0.25">
      <c r="B3778" s="5" t="s">
        <v>3780</v>
      </c>
      <c r="C3778" s="5" t="s">
        <v>7920</v>
      </c>
      <c r="D3778" s="5">
        <v>0</v>
      </c>
      <c r="E3778" s="5">
        <v>0</v>
      </c>
      <c r="F3778" s="5">
        <v>0</v>
      </c>
      <c r="G3778" s="5">
        <v>0</v>
      </c>
      <c r="H3778" s="5">
        <v>0</v>
      </c>
      <c r="I3778" s="5">
        <v>0</v>
      </c>
      <c r="J3778" s="5">
        <v>0</v>
      </c>
      <c r="K3778" s="5">
        <v>0</v>
      </c>
      <c r="L3778" s="5">
        <v>0</v>
      </c>
      <c r="M3778" s="5">
        <v>0</v>
      </c>
      <c r="N3778" s="5">
        <v>0</v>
      </c>
      <c r="O3778" s="5" t="str">
        <f t="shared" ca="1" si="58"/>
        <v>Supplier 50</v>
      </c>
      <c r="P3778" s="20" t="str">
        <f ca="1">IFERROR(VLOOKUP(O3778,EMAILS!B:C,2,FALSE),"NOT FOUND IN EMAILS")</f>
        <v>supplier@gmail.com</v>
      </c>
      <c r="Q3778" t="str">
        <f ca="1">""&amp;IFERROR(VLOOKUP(O3778,EMAILS!B:D,3,FALSE),"NOT FOUND IN EMAILS")</f>
        <v/>
      </c>
      <c r="R3778" t="str">
        <f ca="1">""&amp;IFERROR(VLOOKUP(O3778,EMAILS!B:E,4,FALSE),"NO T FOUND IN EMAILS")</f>
        <v/>
      </c>
    </row>
    <row r="3779" spans="2:18" x14ac:dyDescent="0.25">
      <c r="B3779" s="5" t="s">
        <v>3781</v>
      </c>
      <c r="C3779" s="5" t="s">
        <v>7921</v>
      </c>
      <c r="D3779" s="5">
        <v>0</v>
      </c>
      <c r="E3779" s="5">
        <v>0</v>
      </c>
      <c r="F3779" s="5">
        <v>0</v>
      </c>
      <c r="G3779" s="5">
        <v>0</v>
      </c>
      <c r="H3779" s="5">
        <v>0</v>
      </c>
      <c r="I3779" s="5">
        <v>0</v>
      </c>
      <c r="J3779" s="5">
        <v>0</v>
      </c>
      <c r="K3779" s="5">
        <v>0</v>
      </c>
      <c r="L3779" s="5">
        <v>0</v>
      </c>
      <c r="M3779" s="5">
        <v>0</v>
      </c>
      <c r="N3779" s="5">
        <v>0</v>
      </c>
      <c r="O3779" s="5" t="str">
        <f t="shared" ref="O3779:O3842" ca="1" si="59">"Supplier "&amp;RANDBETWEEN(1,200)</f>
        <v>Supplier 44</v>
      </c>
      <c r="P3779" s="20" t="str">
        <f ca="1">IFERROR(VLOOKUP(O3779,EMAILS!B:C,2,FALSE),"NOT FOUND IN EMAILS")</f>
        <v>supplier@gmail.com</v>
      </c>
      <c r="Q3779" t="str">
        <f ca="1">""&amp;IFERROR(VLOOKUP(O3779,EMAILS!B:D,3,FALSE),"NOT FOUND IN EMAILS")</f>
        <v/>
      </c>
      <c r="R3779" t="str">
        <f ca="1">""&amp;IFERROR(VLOOKUP(O3779,EMAILS!B:E,4,FALSE),"NO T FOUND IN EMAILS")</f>
        <v/>
      </c>
    </row>
    <row r="3780" spans="2:18" x14ac:dyDescent="0.25">
      <c r="B3780" s="5" t="s">
        <v>3782</v>
      </c>
      <c r="C3780" s="5" t="s">
        <v>7922</v>
      </c>
      <c r="D3780" s="5">
        <v>0</v>
      </c>
      <c r="E3780" s="5">
        <v>0</v>
      </c>
      <c r="F3780" s="5">
        <v>0</v>
      </c>
      <c r="G3780" s="5">
        <v>0</v>
      </c>
      <c r="H3780" s="5">
        <v>0</v>
      </c>
      <c r="I3780" s="5">
        <v>0</v>
      </c>
      <c r="J3780" s="5">
        <v>0</v>
      </c>
      <c r="K3780" s="5">
        <v>0</v>
      </c>
      <c r="L3780" s="5">
        <v>0</v>
      </c>
      <c r="M3780" s="5">
        <v>0</v>
      </c>
      <c r="N3780" s="5">
        <v>0</v>
      </c>
      <c r="O3780" s="5" t="str">
        <f t="shared" ca="1" si="59"/>
        <v>Supplier 4</v>
      </c>
      <c r="P3780" s="20" t="str">
        <f ca="1">IFERROR(VLOOKUP(O3780,EMAILS!B:C,2,FALSE),"NOT FOUND IN EMAILS")</f>
        <v>supplier@gmail.com</v>
      </c>
      <c r="Q3780" t="str">
        <f ca="1">""&amp;IFERROR(VLOOKUP(O3780,EMAILS!B:D,3,FALSE),"NOT FOUND IN EMAILS")</f>
        <v>supplier_logistics@gmail.com</v>
      </c>
      <c r="R3780" t="str">
        <f ca="1">""&amp;IFERROR(VLOOKUP(O3780,EMAILS!B:E,4,FALSE),"NO T FOUND IN EMAILS")</f>
        <v/>
      </c>
    </row>
    <row r="3781" spans="2:18" x14ac:dyDescent="0.25">
      <c r="B3781" s="5" t="s">
        <v>3783</v>
      </c>
      <c r="C3781" s="5" t="s">
        <v>7923</v>
      </c>
      <c r="D3781" s="5">
        <v>0</v>
      </c>
      <c r="E3781" s="5">
        <v>0</v>
      </c>
      <c r="F3781" s="5">
        <v>0</v>
      </c>
      <c r="G3781" s="5">
        <v>0</v>
      </c>
      <c r="H3781" s="5">
        <v>0</v>
      </c>
      <c r="I3781" s="5">
        <v>0</v>
      </c>
      <c r="J3781" s="5">
        <v>0</v>
      </c>
      <c r="K3781" s="5">
        <v>0</v>
      </c>
      <c r="L3781" s="5">
        <v>0</v>
      </c>
      <c r="M3781" s="5">
        <v>0</v>
      </c>
      <c r="N3781" s="5">
        <v>0</v>
      </c>
      <c r="O3781" s="5" t="str">
        <f t="shared" ca="1" si="59"/>
        <v>Supplier 194</v>
      </c>
      <c r="P3781" s="20" t="str">
        <f ca="1">IFERROR(VLOOKUP(O3781,EMAILS!B:C,2,FALSE),"NOT FOUND IN EMAILS")</f>
        <v>supplier@gmail.com</v>
      </c>
      <c r="Q3781" t="str">
        <f ca="1">""&amp;IFERROR(VLOOKUP(O3781,EMAILS!B:D,3,FALSE),"NOT FOUND IN EMAILS")</f>
        <v/>
      </c>
      <c r="R3781" t="str">
        <f ca="1">""&amp;IFERROR(VLOOKUP(O3781,EMAILS!B:E,4,FALSE),"NO T FOUND IN EMAILS")</f>
        <v/>
      </c>
    </row>
    <row r="3782" spans="2:18" x14ac:dyDescent="0.25">
      <c r="B3782" s="5" t="s">
        <v>3784</v>
      </c>
      <c r="C3782" s="5" t="s">
        <v>7924</v>
      </c>
      <c r="D3782" s="5">
        <v>0</v>
      </c>
      <c r="E3782" s="5">
        <v>0</v>
      </c>
      <c r="F3782" s="5">
        <v>0</v>
      </c>
      <c r="G3782" s="5">
        <v>0</v>
      </c>
      <c r="H3782" s="5">
        <v>0</v>
      </c>
      <c r="I3782" s="5">
        <v>0</v>
      </c>
      <c r="J3782" s="5">
        <v>0</v>
      </c>
      <c r="K3782" s="5">
        <v>0</v>
      </c>
      <c r="L3782" s="5">
        <v>0</v>
      </c>
      <c r="M3782" s="5">
        <v>0</v>
      </c>
      <c r="N3782" s="5">
        <v>0</v>
      </c>
      <c r="O3782" s="5" t="str">
        <f t="shared" ca="1" si="59"/>
        <v>Supplier 84</v>
      </c>
      <c r="P3782" s="20" t="str">
        <f ca="1">IFERROR(VLOOKUP(O3782,EMAILS!B:C,2,FALSE),"NOT FOUND IN EMAILS")</f>
        <v>supplier@gmail.com</v>
      </c>
      <c r="Q3782" t="str">
        <f ca="1">""&amp;IFERROR(VLOOKUP(O3782,EMAILS!B:D,3,FALSE),"NOT FOUND IN EMAILS")</f>
        <v/>
      </c>
      <c r="R3782" t="str">
        <f ca="1">""&amp;IFERROR(VLOOKUP(O3782,EMAILS!B:E,4,FALSE),"NO T FOUND IN EMAILS")</f>
        <v/>
      </c>
    </row>
    <row r="3783" spans="2:18" x14ac:dyDescent="0.25">
      <c r="B3783" s="5" t="s">
        <v>3785</v>
      </c>
      <c r="C3783" s="5" t="s">
        <v>7925</v>
      </c>
      <c r="D3783" s="5">
        <v>0</v>
      </c>
      <c r="E3783" s="5">
        <v>0</v>
      </c>
      <c r="F3783" s="5">
        <v>0</v>
      </c>
      <c r="G3783" s="5">
        <v>0</v>
      </c>
      <c r="H3783" s="5">
        <v>0</v>
      </c>
      <c r="I3783" s="5">
        <v>0</v>
      </c>
      <c r="J3783" s="5">
        <v>0</v>
      </c>
      <c r="K3783" s="5">
        <v>0</v>
      </c>
      <c r="L3783" s="5">
        <v>0</v>
      </c>
      <c r="M3783" s="5">
        <v>0</v>
      </c>
      <c r="N3783" s="5">
        <v>0</v>
      </c>
      <c r="O3783" s="5" t="str">
        <f t="shared" ca="1" si="59"/>
        <v>Supplier 158</v>
      </c>
      <c r="P3783" s="20" t="str">
        <f ca="1">IFERROR(VLOOKUP(O3783,EMAILS!B:C,2,FALSE),"NOT FOUND IN EMAILS")</f>
        <v>supplier@gmail.com</v>
      </c>
      <c r="Q3783" t="str">
        <f ca="1">""&amp;IFERROR(VLOOKUP(O3783,EMAILS!B:D,3,FALSE),"NOT FOUND IN EMAILS")</f>
        <v/>
      </c>
      <c r="R3783" t="str">
        <f ca="1">""&amp;IFERROR(VLOOKUP(O3783,EMAILS!B:E,4,FALSE),"NO T FOUND IN EMAILS")</f>
        <v/>
      </c>
    </row>
    <row r="3784" spans="2:18" x14ac:dyDescent="0.25">
      <c r="B3784" s="5" t="s">
        <v>3786</v>
      </c>
      <c r="C3784" s="5" t="s">
        <v>7926</v>
      </c>
      <c r="D3784" s="5">
        <v>0</v>
      </c>
      <c r="E3784" s="5">
        <v>0</v>
      </c>
      <c r="F3784" s="5">
        <v>0</v>
      </c>
      <c r="G3784" s="5">
        <v>0</v>
      </c>
      <c r="H3784" s="5">
        <v>0</v>
      </c>
      <c r="I3784" s="5">
        <v>0</v>
      </c>
      <c r="J3784" s="5">
        <v>0</v>
      </c>
      <c r="K3784" s="5">
        <v>0</v>
      </c>
      <c r="L3784" s="5">
        <v>0</v>
      </c>
      <c r="M3784" s="5">
        <v>0</v>
      </c>
      <c r="N3784" s="5">
        <v>0</v>
      </c>
      <c r="O3784" s="5" t="str">
        <f t="shared" ca="1" si="59"/>
        <v>Supplier 55</v>
      </c>
      <c r="P3784" s="20" t="str">
        <f ca="1">IFERROR(VLOOKUP(O3784,EMAILS!B:C,2,FALSE),"NOT FOUND IN EMAILS")</f>
        <v>supplier@gmail.com</v>
      </c>
      <c r="Q3784" t="str">
        <f ca="1">""&amp;IFERROR(VLOOKUP(O3784,EMAILS!B:D,3,FALSE),"NOT FOUND IN EMAILS")</f>
        <v/>
      </c>
      <c r="R3784" t="str">
        <f ca="1">""&amp;IFERROR(VLOOKUP(O3784,EMAILS!B:E,4,FALSE),"NO T FOUND IN EMAILS")</f>
        <v/>
      </c>
    </row>
    <row r="3785" spans="2:18" x14ac:dyDescent="0.25">
      <c r="B3785" s="5" t="s">
        <v>3787</v>
      </c>
      <c r="C3785" s="5" t="s">
        <v>7927</v>
      </c>
      <c r="D3785" s="5">
        <v>0</v>
      </c>
      <c r="E3785" s="5">
        <v>0</v>
      </c>
      <c r="F3785" s="5">
        <v>0</v>
      </c>
      <c r="G3785" s="5">
        <v>0</v>
      </c>
      <c r="H3785" s="5">
        <v>0</v>
      </c>
      <c r="I3785" s="5">
        <v>0</v>
      </c>
      <c r="J3785" s="5">
        <v>0</v>
      </c>
      <c r="K3785" s="5">
        <v>0</v>
      </c>
      <c r="L3785" s="5">
        <v>0</v>
      </c>
      <c r="M3785" s="5">
        <v>0</v>
      </c>
      <c r="N3785" s="5">
        <v>0</v>
      </c>
      <c r="O3785" s="5" t="str">
        <f t="shared" ca="1" si="59"/>
        <v>Supplier 58</v>
      </c>
      <c r="P3785" s="20" t="str">
        <f ca="1">IFERROR(VLOOKUP(O3785,EMAILS!B:C,2,FALSE),"NOT FOUND IN EMAILS")</f>
        <v>supplier@gmail.com</v>
      </c>
      <c r="Q3785" t="str">
        <f ca="1">""&amp;IFERROR(VLOOKUP(O3785,EMAILS!B:D,3,FALSE),"NOT FOUND IN EMAILS")</f>
        <v/>
      </c>
      <c r="R3785" t="str">
        <f ca="1">""&amp;IFERROR(VLOOKUP(O3785,EMAILS!B:E,4,FALSE),"NO T FOUND IN EMAILS")</f>
        <v/>
      </c>
    </row>
    <row r="3786" spans="2:18" x14ac:dyDescent="0.25">
      <c r="B3786" s="5" t="s">
        <v>3788</v>
      </c>
      <c r="C3786" s="5" t="s">
        <v>7928</v>
      </c>
      <c r="D3786" s="5">
        <v>0</v>
      </c>
      <c r="E3786" s="5">
        <v>0</v>
      </c>
      <c r="F3786" s="5">
        <v>0</v>
      </c>
      <c r="G3786" s="5">
        <v>0</v>
      </c>
      <c r="H3786" s="5">
        <v>0</v>
      </c>
      <c r="I3786" s="5">
        <v>0</v>
      </c>
      <c r="J3786" s="5">
        <v>0</v>
      </c>
      <c r="K3786" s="5">
        <v>0</v>
      </c>
      <c r="L3786" s="5">
        <v>0</v>
      </c>
      <c r="M3786" s="5">
        <v>0</v>
      </c>
      <c r="N3786" s="5">
        <v>0</v>
      </c>
      <c r="O3786" s="5" t="str">
        <f t="shared" ca="1" si="59"/>
        <v>Supplier 134</v>
      </c>
      <c r="P3786" s="20" t="str">
        <f ca="1">IFERROR(VLOOKUP(O3786,EMAILS!B:C,2,FALSE),"NOT FOUND IN EMAILS")</f>
        <v>supplier@gmail.com</v>
      </c>
      <c r="Q3786" t="str">
        <f ca="1">""&amp;IFERROR(VLOOKUP(O3786,EMAILS!B:D,3,FALSE),"NOT FOUND IN EMAILS")</f>
        <v/>
      </c>
      <c r="R3786" t="str">
        <f ca="1">""&amp;IFERROR(VLOOKUP(O3786,EMAILS!B:E,4,FALSE),"NO T FOUND IN EMAILS")</f>
        <v/>
      </c>
    </row>
    <row r="3787" spans="2:18" x14ac:dyDescent="0.25">
      <c r="B3787" s="5" t="s">
        <v>3789</v>
      </c>
      <c r="C3787" s="5" t="s">
        <v>7929</v>
      </c>
      <c r="D3787" s="5">
        <v>0</v>
      </c>
      <c r="E3787" s="5">
        <v>0</v>
      </c>
      <c r="F3787" s="5">
        <v>0</v>
      </c>
      <c r="G3787" s="5">
        <v>0</v>
      </c>
      <c r="H3787" s="5">
        <v>0</v>
      </c>
      <c r="I3787" s="5">
        <v>0</v>
      </c>
      <c r="J3787" s="5">
        <v>0</v>
      </c>
      <c r="K3787" s="5">
        <v>0</v>
      </c>
      <c r="L3787" s="5">
        <v>0</v>
      </c>
      <c r="M3787" s="5">
        <v>0</v>
      </c>
      <c r="N3787" s="5">
        <v>0</v>
      </c>
      <c r="O3787" s="5" t="str">
        <f t="shared" ca="1" si="59"/>
        <v>Supplier 191</v>
      </c>
      <c r="P3787" s="20" t="str">
        <f ca="1">IFERROR(VLOOKUP(O3787,EMAILS!B:C,2,FALSE),"NOT FOUND IN EMAILS")</f>
        <v>supplier@gmail.com</v>
      </c>
      <c r="Q3787" t="str">
        <f ca="1">""&amp;IFERROR(VLOOKUP(O3787,EMAILS!B:D,3,FALSE),"NOT FOUND IN EMAILS")</f>
        <v/>
      </c>
      <c r="R3787" t="str">
        <f ca="1">""&amp;IFERROR(VLOOKUP(O3787,EMAILS!B:E,4,FALSE),"NO T FOUND IN EMAILS")</f>
        <v/>
      </c>
    </row>
    <row r="3788" spans="2:18" x14ac:dyDescent="0.25">
      <c r="B3788" s="5" t="s">
        <v>3790</v>
      </c>
      <c r="C3788" s="5" t="s">
        <v>7930</v>
      </c>
      <c r="D3788" s="5">
        <v>0</v>
      </c>
      <c r="E3788" s="5">
        <v>0</v>
      </c>
      <c r="F3788" s="5">
        <v>0</v>
      </c>
      <c r="G3788" s="5">
        <v>0</v>
      </c>
      <c r="H3788" s="5">
        <v>0</v>
      </c>
      <c r="I3788" s="5">
        <v>0</v>
      </c>
      <c r="J3788" s="5">
        <v>0</v>
      </c>
      <c r="K3788" s="5">
        <v>0</v>
      </c>
      <c r="L3788" s="5">
        <v>0</v>
      </c>
      <c r="M3788" s="5">
        <v>0</v>
      </c>
      <c r="N3788" s="5">
        <v>0</v>
      </c>
      <c r="O3788" s="5" t="str">
        <f t="shared" ca="1" si="59"/>
        <v>Supplier 65</v>
      </c>
      <c r="P3788" s="20" t="str">
        <f ca="1">IFERROR(VLOOKUP(O3788,EMAILS!B:C,2,FALSE),"NOT FOUND IN EMAILS")</f>
        <v>supplier@gmail.com</v>
      </c>
      <c r="Q3788" t="str">
        <f ca="1">""&amp;IFERROR(VLOOKUP(O3788,EMAILS!B:D,3,FALSE),"NOT FOUND IN EMAILS")</f>
        <v/>
      </c>
      <c r="R3788" t="str">
        <f ca="1">""&amp;IFERROR(VLOOKUP(O3788,EMAILS!B:E,4,FALSE),"NO T FOUND IN EMAILS")</f>
        <v/>
      </c>
    </row>
    <row r="3789" spans="2:18" x14ac:dyDescent="0.25">
      <c r="B3789" s="5" t="s">
        <v>3791</v>
      </c>
      <c r="C3789" s="5" t="s">
        <v>7931</v>
      </c>
      <c r="D3789" s="5">
        <v>0</v>
      </c>
      <c r="E3789" s="5">
        <v>0</v>
      </c>
      <c r="F3789" s="5">
        <v>0</v>
      </c>
      <c r="G3789" s="5">
        <v>0</v>
      </c>
      <c r="H3789" s="5">
        <v>0</v>
      </c>
      <c r="I3789" s="5">
        <v>0</v>
      </c>
      <c r="J3789" s="5">
        <v>0</v>
      </c>
      <c r="K3789" s="5">
        <v>0</v>
      </c>
      <c r="L3789" s="5">
        <v>0</v>
      </c>
      <c r="M3789" s="5">
        <v>0</v>
      </c>
      <c r="N3789" s="5">
        <v>0</v>
      </c>
      <c r="O3789" s="5" t="str">
        <f t="shared" ca="1" si="59"/>
        <v>Supplier 145</v>
      </c>
      <c r="P3789" s="20" t="str">
        <f ca="1">IFERROR(VLOOKUP(O3789,EMAILS!B:C,2,FALSE),"NOT FOUND IN EMAILS")</f>
        <v>supplier@gmail.com</v>
      </c>
      <c r="Q3789" t="str">
        <f ca="1">""&amp;IFERROR(VLOOKUP(O3789,EMAILS!B:D,3,FALSE),"NOT FOUND IN EMAILS")</f>
        <v/>
      </c>
      <c r="R3789" t="str">
        <f ca="1">""&amp;IFERROR(VLOOKUP(O3789,EMAILS!B:E,4,FALSE),"NO T FOUND IN EMAILS")</f>
        <v/>
      </c>
    </row>
    <row r="3790" spans="2:18" x14ac:dyDescent="0.25">
      <c r="B3790" s="5" t="s">
        <v>3792</v>
      </c>
      <c r="C3790" s="5" t="s">
        <v>7932</v>
      </c>
      <c r="D3790" s="5">
        <v>0</v>
      </c>
      <c r="E3790" s="5">
        <v>0</v>
      </c>
      <c r="F3790" s="5">
        <v>0</v>
      </c>
      <c r="G3790" s="5">
        <v>0</v>
      </c>
      <c r="H3790" s="5">
        <v>0</v>
      </c>
      <c r="I3790" s="5">
        <v>0</v>
      </c>
      <c r="J3790" s="5">
        <v>0</v>
      </c>
      <c r="K3790" s="5">
        <v>0</v>
      </c>
      <c r="L3790" s="5">
        <v>0</v>
      </c>
      <c r="M3790" s="5">
        <v>0</v>
      </c>
      <c r="N3790" s="5">
        <v>0</v>
      </c>
      <c r="O3790" s="5" t="str">
        <f t="shared" ca="1" si="59"/>
        <v>Supplier 6</v>
      </c>
      <c r="P3790" s="20" t="str">
        <f ca="1">IFERROR(VLOOKUP(O3790,EMAILS!B:C,2,FALSE),"NOT FOUND IN EMAILS")</f>
        <v>supplier@gmail.com</v>
      </c>
      <c r="Q3790" t="str">
        <f ca="1">""&amp;IFERROR(VLOOKUP(O3790,EMAILS!B:D,3,FALSE),"NOT FOUND IN EMAILS")</f>
        <v>supplier_logistics@gmail.com</v>
      </c>
      <c r="R3790" t="str">
        <f ca="1">""&amp;IFERROR(VLOOKUP(O3790,EMAILS!B:E,4,FALSE),"NO T FOUND IN EMAILS")</f>
        <v/>
      </c>
    </row>
    <row r="3791" spans="2:18" x14ac:dyDescent="0.25">
      <c r="B3791" s="5" t="s">
        <v>3793</v>
      </c>
      <c r="C3791" s="5" t="s">
        <v>7933</v>
      </c>
      <c r="D3791" s="5">
        <v>0</v>
      </c>
      <c r="E3791" s="5">
        <v>0</v>
      </c>
      <c r="F3791" s="5">
        <v>0</v>
      </c>
      <c r="G3791" s="5">
        <v>0</v>
      </c>
      <c r="H3791" s="5">
        <v>0</v>
      </c>
      <c r="I3791" s="5">
        <v>0</v>
      </c>
      <c r="J3791" s="5">
        <v>0</v>
      </c>
      <c r="K3791" s="5">
        <v>0</v>
      </c>
      <c r="L3791" s="5">
        <v>0</v>
      </c>
      <c r="M3791" s="5">
        <v>0</v>
      </c>
      <c r="N3791" s="5">
        <v>0</v>
      </c>
      <c r="O3791" s="5" t="str">
        <f t="shared" ca="1" si="59"/>
        <v>Supplier 192</v>
      </c>
      <c r="P3791" s="20" t="str">
        <f ca="1">IFERROR(VLOOKUP(O3791,EMAILS!B:C,2,FALSE),"NOT FOUND IN EMAILS")</f>
        <v>supplier@gmail.com</v>
      </c>
      <c r="Q3791" t="str">
        <f ca="1">""&amp;IFERROR(VLOOKUP(O3791,EMAILS!B:D,3,FALSE),"NOT FOUND IN EMAILS")</f>
        <v/>
      </c>
      <c r="R3791" t="str">
        <f ca="1">""&amp;IFERROR(VLOOKUP(O3791,EMAILS!B:E,4,FALSE),"NO T FOUND IN EMAILS")</f>
        <v/>
      </c>
    </row>
    <row r="3792" spans="2:18" x14ac:dyDescent="0.25">
      <c r="B3792" s="5" t="s">
        <v>3794</v>
      </c>
      <c r="C3792" s="5" t="s">
        <v>7934</v>
      </c>
      <c r="D3792" s="5">
        <v>0</v>
      </c>
      <c r="E3792" s="5">
        <v>0</v>
      </c>
      <c r="F3792" s="5">
        <v>0</v>
      </c>
      <c r="G3792" s="5">
        <v>0</v>
      </c>
      <c r="H3792" s="5">
        <v>0</v>
      </c>
      <c r="I3792" s="5">
        <v>0</v>
      </c>
      <c r="J3792" s="5">
        <v>0</v>
      </c>
      <c r="K3792" s="5">
        <v>0</v>
      </c>
      <c r="L3792" s="5">
        <v>0</v>
      </c>
      <c r="M3792" s="5">
        <v>0</v>
      </c>
      <c r="N3792" s="5">
        <v>0</v>
      </c>
      <c r="O3792" s="5" t="str">
        <f t="shared" ca="1" si="59"/>
        <v>Supplier 31</v>
      </c>
      <c r="P3792" s="20" t="str">
        <f ca="1">IFERROR(VLOOKUP(O3792,EMAILS!B:C,2,FALSE),"NOT FOUND IN EMAILS")</f>
        <v>supplier@gmail.com</v>
      </c>
      <c r="Q3792" t="str">
        <f ca="1">""&amp;IFERROR(VLOOKUP(O3792,EMAILS!B:D,3,FALSE),"NOT FOUND IN EMAILS")</f>
        <v/>
      </c>
      <c r="R3792" t="str">
        <f ca="1">""&amp;IFERROR(VLOOKUP(O3792,EMAILS!B:E,4,FALSE),"NO T FOUND IN EMAILS")</f>
        <v/>
      </c>
    </row>
    <row r="3793" spans="2:18" x14ac:dyDescent="0.25">
      <c r="B3793" s="5" t="s">
        <v>3795</v>
      </c>
      <c r="C3793" s="5" t="s">
        <v>7935</v>
      </c>
      <c r="D3793" s="5">
        <v>0</v>
      </c>
      <c r="E3793" s="5">
        <v>0</v>
      </c>
      <c r="F3793" s="5">
        <v>0</v>
      </c>
      <c r="G3793" s="5">
        <v>0</v>
      </c>
      <c r="H3793" s="5">
        <v>0</v>
      </c>
      <c r="I3793" s="5">
        <v>0</v>
      </c>
      <c r="J3793" s="5">
        <v>0</v>
      </c>
      <c r="K3793" s="5">
        <v>0</v>
      </c>
      <c r="L3793" s="5">
        <v>0</v>
      </c>
      <c r="M3793" s="5">
        <v>0</v>
      </c>
      <c r="N3793" s="5">
        <v>0</v>
      </c>
      <c r="O3793" s="5" t="str">
        <f t="shared" ca="1" si="59"/>
        <v>Supplier 191</v>
      </c>
      <c r="P3793" s="20" t="str">
        <f ca="1">IFERROR(VLOOKUP(O3793,EMAILS!B:C,2,FALSE),"NOT FOUND IN EMAILS")</f>
        <v>supplier@gmail.com</v>
      </c>
      <c r="Q3793" t="str">
        <f ca="1">""&amp;IFERROR(VLOOKUP(O3793,EMAILS!B:D,3,FALSE),"NOT FOUND IN EMAILS")</f>
        <v/>
      </c>
      <c r="R3793" t="str">
        <f ca="1">""&amp;IFERROR(VLOOKUP(O3793,EMAILS!B:E,4,FALSE),"NO T FOUND IN EMAILS")</f>
        <v/>
      </c>
    </row>
    <row r="3794" spans="2:18" x14ac:dyDescent="0.25">
      <c r="B3794" s="5" t="s">
        <v>3796</v>
      </c>
      <c r="C3794" s="5" t="s">
        <v>7936</v>
      </c>
      <c r="D3794" s="5">
        <v>0</v>
      </c>
      <c r="E3794" s="5">
        <v>0</v>
      </c>
      <c r="F3794" s="5">
        <v>0</v>
      </c>
      <c r="G3794" s="5">
        <v>0</v>
      </c>
      <c r="H3794" s="5">
        <v>0</v>
      </c>
      <c r="I3794" s="5">
        <v>0</v>
      </c>
      <c r="J3794" s="5">
        <v>0</v>
      </c>
      <c r="K3794" s="5">
        <v>0</v>
      </c>
      <c r="L3794" s="5">
        <v>0</v>
      </c>
      <c r="M3794" s="5">
        <v>0</v>
      </c>
      <c r="N3794" s="5">
        <v>0</v>
      </c>
      <c r="O3794" s="5" t="str">
        <f t="shared" ca="1" si="59"/>
        <v>Supplier 33</v>
      </c>
      <c r="P3794" s="20" t="str">
        <f ca="1">IFERROR(VLOOKUP(O3794,EMAILS!B:C,2,FALSE),"NOT FOUND IN EMAILS")</f>
        <v>supplier@gmail.com</v>
      </c>
      <c r="Q3794" t="str">
        <f ca="1">""&amp;IFERROR(VLOOKUP(O3794,EMAILS!B:D,3,FALSE),"NOT FOUND IN EMAILS")</f>
        <v/>
      </c>
      <c r="R3794" t="str">
        <f ca="1">""&amp;IFERROR(VLOOKUP(O3794,EMAILS!B:E,4,FALSE),"NO T FOUND IN EMAILS")</f>
        <v/>
      </c>
    </row>
    <row r="3795" spans="2:18" x14ac:dyDescent="0.25">
      <c r="B3795" s="5" t="s">
        <v>3797</v>
      </c>
      <c r="C3795" s="5" t="s">
        <v>7937</v>
      </c>
      <c r="D3795" s="5">
        <v>0</v>
      </c>
      <c r="E3795" s="5">
        <v>0</v>
      </c>
      <c r="F3795" s="5">
        <v>0</v>
      </c>
      <c r="G3795" s="5">
        <v>0</v>
      </c>
      <c r="H3795" s="5">
        <v>0</v>
      </c>
      <c r="I3795" s="5">
        <v>0</v>
      </c>
      <c r="J3795" s="5">
        <v>0</v>
      </c>
      <c r="K3795" s="5">
        <v>0</v>
      </c>
      <c r="L3795" s="5">
        <v>0</v>
      </c>
      <c r="M3795" s="5">
        <v>0</v>
      </c>
      <c r="N3795" s="5">
        <v>0</v>
      </c>
      <c r="O3795" s="5" t="str">
        <f t="shared" ca="1" si="59"/>
        <v>Supplier 163</v>
      </c>
      <c r="P3795" s="20" t="str">
        <f ca="1">IFERROR(VLOOKUP(O3795,EMAILS!B:C,2,FALSE),"NOT FOUND IN EMAILS")</f>
        <v>supplier@gmail.com</v>
      </c>
      <c r="Q3795" t="str">
        <f ca="1">""&amp;IFERROR(VLOOKUP(O3795,EMAILS!B:D,3,FALSE),"NOT FOUND IN EMAILS")</f>
        <v/>
      </c>
      <c r="R3795" t="str">
        <f ca="1">""&amp;IFERROR(VLOOKUP(O3795,EMAILS!B:E,4,FALSE),"NO T FOUND IN EMAILS")</f>
        <v/>
      </c>
    </row>
    <row r="3796" spans="2:18" x14ac:dyDescent="0.25">
      <c r="B3796" s="5" t="s">
        <v>3798</v>
      </c>
      <c r="C3796" s="5" t="s">
        <v>7938</v>
      </c>
      <c r="D3796" s="5">
        <v>0</v>
      </c>
      <c r="E3796" s="5">
        <v>0</v>
      </c>
      <c r="F3796" s="5">
        <v>0</v>
      </c>
      <c r="G3796" s="5">
        <v>0</v>
      </c>
      <c r="H3796" s="5">
        <v>0</v>
      </c>
      <c r="I3796" s="5">
        <v>0</v>
      </c>
      <c r="J3796" s="5">
        <v>0</v>
      </c>
      <c r="K3796" s="5">
        <v>0</v>
      </c>
      <c r="L3796" s="5">
        <v>0</v>
      </c>
      <c r="M3796" s="5">
        <v>0</v>
      </c>
      <c r="N3796" s="5">
        <v>0</v>
      </c>
      <c r="O3796" s="5" t="str">
        <f t="shared" ca="1" si="59"/>
        <v>Supplier 176</v>
      </c>
      <c r="P3796" s="20" t="str">
        <f ca="1">IFERROR(VLOOKUP(O3796,EMAILS!B:C,2,FALSE),"NOT FOUND IN EMAILS")</f>
        <v>supplier@gmail.com</v>
      </c>
      <c r="Q3796" t="str">
        <f ca="1">""&amp;IFERROR(VLOOKUP(O3796,EMAILS!B:D,3,FALSE),"NOT FOUND IN EMAILS")</f>
        <v/>
      </c>
      <c r="R3796" t="str">
        <f ca="1">""&amp;IFERROR(VLOOKUP(O3796,EMAILS!B:E,4,FALSE),"NO T FOUND IN EMAILS")</f>
        <v/>
      </c>
    </row>
    <row r="3797" spans="2:18" x14ac:dyDescent="0.25">
      <c r="B3797" s="5" t="s">
        <v>3799</v>
      </c>
      <c r="C3797" s="5" t="s">
        <v>7939</v>
      </c>
      <c r="D3797" s="5">
        <v>0</v>
      </c>
      <c r="E3797" s="5">
        <v>0</v>
      </c>
      <c r="F3797" s="5">
        <v>0</v>
      </c>
      <c r="G3797" s="5">
        <v>0</v>
      </c>
      <c r="H3797" s="5">
        <v>0</v>
      </c>
      <c r="I3797" s="5">
        <v>0</v>
      </c>
      <c r="J3797" s="5">
        <v>0</v>
      </c>
      <c r="K3797" s="5">
        <v>0</v>
      </c>
      <c r="L3797" s="5">
        <v>0</v>
      </c>
      <c r="M3797" s="5">
        <v>0</v>
      </c>
      <c r="N3797" s="5">
        <v>0</v>
      </c>
      <c r="O3797" s="5" t="str">
        <f t="shared" ca="1" si="59"/>
        <v>Supplier 62</v>
      </c>
      <c r="P3797" s="20" t="str">
        <f ca="1">IFERROR(VLOOKUP(O3797,EMAILS!B:C,2,FALSE),"NOT FOUND IN EMAILS")</f>
        <v>supplier@gmail.com</v>
      </c>
      <c r="Q3797" t="str">
        <f ca="1">""&amp;IFERROR(VLOOKUP(O3797,EMAILS!B:D,3,FALSE),"NOT FOUND IN EMAILS")</f>
        <v/>
      </c>
      <c r="R3797" t="str">
        <f ca="1">""&amp;IFERROR(VLOOKUP(O3797,EMAILS!B:E,4,FALSE),"NO T FOUND IN EMAILS")</f>
        <v/>
      </c>
    </row>
    <row r="3798" spans="2:18" x14ac:dyDescent="0.25">
      <c r="B3798" s="5" t="s">
        <v>3800</v>
      </c>
      <c r="C3798" s="5" t="s">
        <v>7940</v>
      </c>
      <c r="D3798" s="5">
        <v>0</v>
      </c>
      <c r="E3798" s="5">
        <v>0</v>
      </c>
      <c r="F3798" s="5">
        <v>0</v>
      </c>
      <c r="G3798" s="5">
        <v>0</v>
      </c>
      <c r="H3798" s="5">
        <v>0</v>
      </c>
      <c r="I3798" s="5">
        <v>0</v>
      </c>
      <c r="J3798" s="5">
        <v>0</v>
      </c>
      <c r="K3798" s="5">
        <v>0</v>
      </c>
      <c r="L3798" s="5">
        <v>0</v>
      </c>
      <c r="M3798" s="5">
        <v>0</v>
      </c>
      <c r="N3798" s="5">
        <v>0</v>
      </c>
      <c r="O3798" s="5" t="str">
        <f t="shared" ca="1" si="59"/>
        <v>Supplier 55</v>
      </c>
      <c r="P3798" s="20" t="str">
        <f ca="1">IFERROR(VLOOKUP(O3798,EMAILS!B:C,2,FALSE),"NOT FOUND IN EMAILS")</f>
        <v>supplier@gmail.com</v>
      </c>
      <c r="Q3798" t="str">
        <f ca="1">""&amp;IFERROR(VLOOKUP(O3798,EMAILS!B:D,3,FALSE),"NOT FOUND IN EMAILS")</f>
        <v/>
      </c>
      <c r="R3798" t="str">
        <f ca="1">""&amp;IFERROR(VLOOKUP(O3798,EMAILS!B:E,4,FALSE),"NO T FOUND IN EMAILS")</f>
        <v/>
      </c>
    </row>
    <row r="3799" spans="2:18" x14ac:dyDescent="0.25">
      <c r="B3799" s="5" t="s">
        <v>3801</v>
      </c>
      <c r="C3799" s="5" t="s">
        <v>7941</v>
      </c>
      <c r="D3799" s="5">
        <v>0</v>
      </c>
      <c r="E3799" s="5">
        <v>0</v>
      </c>
      <c r="F3799" s="5">
        <v>0</v>
      </c>
      <c r="G3799" s="5">
        <v>0</v>
      </c>
      <c r="H3799" s="5">
        <v>0</v>
      </c>
      <c r="I3799" s="5">
        <v>0</v>
      </c>
      <c r="J3799" s="5">
        <v>0</v>
      </c>
      <c r="K3799" s="5">
        <v>0</v>
      </c>
      <c r="L3799" s="5">
        <v>0</v>
      </c>
      <c r="M3799" s="5">
        <v>0</v>
      </c>
      <c r="N3799" s="5">
        <v>0</v>
      </c>
      <c r="O3799" s="5" t="str">
        <f t="shared" ca="1" si="59"/>
        <v>Supplier 138</v>
      </c>
      <c r="P3799" s="20" t="str">
        <f ca="1">IFERROR(VLOOKUP(O3799,EMAILS!B:C,2,FALSE),"NOT FOUND IN EMAILS")</f>
        <v>supplier@gmail.com</v>
      </c>
      <c r="Q3799" t="str">
        <f ca="1">""&amp;IFERROR(VLOOKUP(O3799,EMAILS!B:D,3,FALSE),"NOT FOUND IN EMAILS")</f>
        <v/>
      </c>
      <c r="R3799" t="str">
        <f ca="1">""&amp;IFERROR(VLOOKUP(O3799,EMAILS!B:E,4,FALSE),"NO T FOUND IN EMAILS")</f>
        <v/>
      </c>
    </row>
    <row r="3800" spans="2:18" x14ac:dyDescent="0.25">
      <c r="B3800" s="5" t="s">
        <v>3802</v>
      </c>
      <c r="C3800" s="5" t="s">
        <v>7942</v>
      </c>
      <c r="D3800" s="5">
        <v>0</v>
      </c>
      <c r="E3800" s="5">
        <v>0</v>
      </c>
      <c r="F3800" s="5">
        <v>0</v>
      </c>
      <c r="G3800" s="5">
        <v>0</v>
      </c>
      <c r="H3800" s="5">
        <v>0</v>
      </c>
      <c r="I3800" s="5">
        <v>0</v>
      </c>
      <c r="J3800" s="5">
        <v>0</v>
      </c>
      <c r="K3800" s="5">
        <v>0</v>
      </c>
      <c r="L3800" s="5">
        <v>0</v>
      </c>
      <c r="M3800" s="5">
        <v>0</v>
      </c>
      <c r="N3800" s="5">
        <v>0</v>
      </c>
      <c r="O3800" s="5" t="str">
        <f t="shared" ca="1" si="59"/>
        <v>Supplier 55</v>
      </c>
      <c r="P3800" s="20" t="str">
        <f ca="1">IFERROR(VLOOKUP(O3800,EMAILS!B:C,2,FALSE),"NOT FOUND IN EMAILS")</f>
        <v>supplier@gmail.com</v>
      </c>
      <c r="Q3800" t="str">
        <f ca="1">""&amp;IFERROR(VLOOKUP(O3800,EMAILS!B:D,3,FALSE),"NOT FOUND IN EMAILS")</f>
        <v/>
      </c>
      <c r="R3800" t="str">
        <f ca="1">""&amp;IFERROR(VLOOKUP(O3800,EMAILS!B:E,4,FALSE),"NO T FOUND IN EMAILS")</f>
        <v/>
      </c>
    </row>
    <row r="3801" spans="2:18" x14ac:dyDescent="0.25">
      <c r="B3801" s="5" t="s">
        <v>3803</v>
      </c>
      <c r="C3801" s="5" t="s">
        <v>7943</v>
      </c>
      <c r="D3801" s="5">
        <v>0</v>
      </c>
      <c r="E3801" s="5">
        <v>0</v>
      </c>
      <c r="F3801" s="5">
        <v>0</v>
      </c>
      <c r="G3801" s="5">
        <v>0</v>
      </c>
      <c r="H3801" s="5">
        <v>0</v>
      </c>
      <c r="I3801" s="5">
        <v>0</v>
      </c>
      <c r="J3801" s="5">
        <v>0</v>
      </c>
      <c r="K3801" s="5">
        <v>0</v>
      </c>
      <c r="L3801" s="5">
        <v>0</v>
      </c>
      <c r="M3801" s="5">
        <v>0</v>
      </c>
      <c r="N3801" s="5">
        <v>0</v>
      </c>
      <c r="O3801" s="5" t="str">
        <f t="shared" ca="1" si="59"/>
        <v>Supplier 116</v>
      </c>
      <c r="P3801" s="20" t="str">
        <f ca="1">IFERROR(VLOOKUP(O3801,EMAILS!B:C,2,FALSE),"NOT FOUND IN EMAILS")</f>
        <v>supplier@gmail.com</v>
      </c>
      <c r="Q3801" t="str">
        <f ca="1">""&amp;IFERROR(VLOOKUP(O3801,EMAILS!B:D,3,FALSE),"NOT FOUND IN EMAILS")</f>
        <v/>
      </c>
      <c r="R3801" t="str">
        <f ca="1">""&amp;IFERROR(VLOOKUP(O3801,EMAILS!B:E,4,FALSE),"NO T FOUND IN EMAILS")</f>
        <v/>
      </c>
    </row>
    <row r="3802" spans="2:18" x14ac:dyDescent="0.25">
      <c r="B3802" s="5" t="s">
        <v>3804</v>
      </c>
      <c r="C3802" s="5" t="s">
        <v>7944</v>
      </c>
      <c r="D3802" s="5">
        <v>0</v>
      </c>
      <c r="E3802" s="5">
        <v>0</v>
      </c>
      <c r="F3802" s="5">
        <v>0</v>
      </c>
      <c r="G3802" s="5">
        <v>0</v>
      </c>
      <c r="H3802" s="5">
        <v>0</v>
      </c>
      <c r="I3802" s="5">
        <v>0</v>
      </c>
      <c r="J3802" s="5">
        <v>0</v>
      </c>
      <c r="K3802" s="5">
        <v>0</v>
      </c>
      <c r="L3802" s="5">
        <v>0</v>
      </c>
      <c r="M3802" s="5">
        <v>0</v>
      </c>
      <c r="N3802" s="5">
        <v>0</v>
      </c>
      <c r="O3802" s="5" t="str">
        <f t="shared" ca="1" si="59"/>
        <v>Supplier 187</v>
      </c>
      <c r="P3802" s="20" t="str">
        <f ca="1">IFERROR(VLOOKUP(O3802,EMAILS!B:C,2,FALSE),"NOT FOUND IN EMAILS")</f>
        <v>supplier@gmail.com</v>
      </c>
      <c r="Q3802" t="str">
        <f ca="1">""&amp;IFERROR(VLOOKUP(O3802,EMAILS!B:D,3,FALSE),"NOT FOUND IN EMAILS")</f>
        <v/>
      </c>
      <c r="R3802" t="str">
        <f ca="1">""&amp;IFERROR(VLOOKUP(O3802,EMAILS!B:E,4,FALSE),"NO T FOUND IN EMAILS")</f>
        <v/>
      </c>
    </row>
    <row r="3803" spans="2:18" x14ac:dyDescent="0.25">
      <c r="B3803" s="5" t="s">
        <v>3805</v>
      </c>
      <c r="C3803" s="5" t="s">
        <v>7945</v>
      </c>
      <c r="D3803" s="5">
        <v>0</v>
      </c>
      <c r="E3803" s="5">
        <v>0</v>
      </c>
      <c r="F3803" s="5">
        <v>0</v>
      </c>
      <c r="G3803" s="5">
        <v>0</v>
      </c>
      <c r="H3803" s="5">
        <v>0</v>
      </c>
      <c r="I3803" s="5">
        <v>0</v>
      </c>
      <c r="J3803" s="5">
        <v>0</v>
      </c>
      <c r="K3803" s="5">
        <v>0</v>
      </c>
      <c r="L3803" s="5">
        <v>0</v>
      </c>
      <c r="M3803" s="5">
        <v>0</v>
      </c>
      <c r="N3803" s="5">
        <v>0</v>
      </c>
      <c r="O3803" s="5" t="str">
        <f t="shared" ca="1" si="59"/>
        <v>Supplier 167</v>
      </c>
      <c r="P3803" s="20" t="str">
        <f ca="1">IFERROR(VLOOKUP(O3803,EMAILS!B:C,2,FALSE),"NOT FOUND IN EMAILS")</f>
        <v>supplier@gmail.com</v>
      </c>
      <c r="Q3803" t="str">
        <f ca="1">""&amp;IFERROR(VLOOKUP(O3803,EMAILS!B:D,3,FALSE),"NOT FOUND IN EMAILS")</f>
        <v/>
      </c>
      <c r="R3803" t="str">
        <f ca="1">""&amp;IFERROR(VLOOKUP(O3803,EMAILS!B:E,4,FALSE),"NO T FOUND IN EMAILS")</f>
        <v/>
      </c>
    </row>
    <row r="3804" spans="2:18" x14ac:dyDescent="0.25">
      <c r="B3804" s="5" t="s">
        <v>3806</v>
      </c>
      <c r="C3804" s="5" t="s">
        <v>7946</v>
      </c>
      <c r="D3804" s="5">
        <v>0</v>
      </c>
      <c r="E3804" s="5">
        <v>0</v>
      </c>
      <c r="F3804" s="5">
        <v>0</v>
      </c>
      <c r="G3804" s="5">
        <v>0</v>
      </c>
      <c r="H3804" s="5">
        <v>0</v>
      </c>
      <c r="I3804" s="5">
        <v>0</v>
      </c>
      <c r="J3804" s="5">
        <v>0</v>
      </c>
      <c r="K3804" s="5">
        <v>0</v>
      </c>
      <c r="L3804" s="5">
        <v>0</v>
      </c>
      <c r="M3804" s="5">
        <v>0</v>
      </c>
      <c r="N3804" s="5">
        <v>0</v>
      </c>
      <c r="O3804" s="5" t="str">
        <f t="shared" ca="1" si="59"/>
        <v>Supplier 54</v>
      </c>
      <c r="P3804" s="20" t="str">
        <f ca="1">IFERROR(VLOOKUP(O3804,EMAILS!B:C,2,FALSE),"NOT FOUND IN EMAILS")</f>
        <v>supplier@gmail.com</v>
      </c>
      <c r="Q3804" t="str">
        <f ca="1">""&amp;IFERROR(VLOOKUP(O3804,EMAILS!B:D,3,FALSE),"NOT FOUND IN EMAILS")</f>
        <v/>
      </c>
      <c r="R3804" t="str">
        <f ca="1">""&amp;IFERROR(VLOOKUP(O3804,EMAILS!B:E,4,FALSE),"NO T FOUND IN EMAILS")</f>
        <v/>
      </c>
    </row>
    <row r="3805" spans="2:18" x14ac:dyDescent="0.25">
      <c r="B3805" s="5" t="s">
        <v>3807</v>
      </c>
      <c r="C3805" s="5" t="s">
        <v>7947</v>
      </c>
      <c r="D3805" s="5">
        <v>0</v>
      </c>
      <c r="E3805" s="5">
        <v>0</v>
      </c>
      <c r="F3805" s="5">
        <v>0</v>
      </c>
      <c r="G3805" s="5">
        <v>0</v>
      </c>
      <c r="H3805" s="5">
        <v>0</v>
      </c>
      <c r="I3805" s="5">
        <v>0</v>
      </c>
      <c r="J3805" s="5">
        <v>0</v>
      </c>
      <c r="K3805" s="5">
        <v>0</v>
      </c>
      <c r="L3805" s="5">
        <v>0</v>
      </c>
      <c r="M3805" s="5">
        <v>0</v>
      </c>
      <c r="N3805" s="5">
        <v>0</v>
      </c>
      <c r="O3805" s="5" t="str">
        <f t="shared" ca="1" si="59"/>
        <v>Supplier 54</v>
      </c>
      <c r="P3805" s="20" t="str">
        <f ca="1">IFERROR(VLOOKUP(O3805,EMAILS!B:C,2,FALSE),"NOT FOUND IN EMAILS")</f>
        <v>supplier@gmail.com</v>
      </c>
      <c r="Q3805" t="str">
        <f ca="1">""&amp;IFERROR(VLOOKUP(O3805,EMAILS!B:D,3,FALSE),"NOT FOUND IN EMAILS")</f>
        <v/>
      </c>
      <c r="R3805" t="str">
        <f ca="1">""&amp;IFERROR(VLOOKUP(O3805,EMAILS!B:E,4,FALSE),"NO T FOUND IN EMAILS")</f>
        <v/>
      </c>
    </row>
    <row r="3806" spans="2:18" x14ac:dyDescent="0.25">
      <c r="B3806" s="5" t="s">
        <v>3808</v>
      </c>
      <c r="C3806" s="5" t="s">
        <v>7948</v>
      </c>
      <c r="D3806" s="5">
        <v>0</v>
      </c>
      <c r="E3806" s="5">
        <v>0</v>
      </c>
      <c r="F3806" s="5">
        <v>0</v>
      </c>
      <c r="G3806" s="5">
        <v>0</v>
      </c>
      <c r="H3806" s="5">
        <v>0</v>
      </c>
      <c r="I3806" s="5">
        <v>0</v>
      </c>
      <c r="J3806" s="5">
        <v>0</v>
      </c>
      <c r="K3806" s="5">
        <v>0</v>
      </c>
      <c r="L3806" s="5">
        <v>0</v>
      </c>
      <c r="M3806" s="5">
        <v>0</v>
      </c>
      <c r="N3806" s="5">
        <v>0</v>
      </c>
      <c r="O3806" s="5" t="str">
        <f t="shared" ca="1" si="59"/>
        <v>Supplier 28</v>
      </c>
      <c r="P3806" s="20" t="str">
        <f ca="1">IFERROR(VLOOKUP(O3806,EMAILS!B:C,2,FALSE),"NOT FOUND IN EMAILS")</f>
        <v>supplier@gmail.com</v>
      </c>
      <c r="Q3806" t="str">
        <f ca="1">""&amp;IFERROR(VLOOKUP(O3806,EMAILS!B:D,3,FALSE),"NOT FOUND IN EMAILS")</f>
        <v/>
      </c>
      <c r="R3806" t="str">
        <f ca="1">""&amp;IFERROR(VLOOKUP(O3806,EMAILS!B:E,4,FALSE),"NO T FOUND IN EMAILS")</f>
        <v/>
      </c>
    </row>
    <row r="3807" spans="2:18" x14ac:dyDescent="0.25">
      <c r="B3807" s="5" t="s">
        <v>3809</v>
      </c>
      <c r="C3807" s="5" t="s">
        <v>7949</v>
      </c>
      <c r="D3807" s="5">
        <v>0</v>
      </c>
      <c r="E3807" s="5">
        <v>0</v>
      </c>
      <c r="F3807" s="5">
        <v>0</v>
      </c>
      <c r="G3807" s="5">
        <v>0</v>
      </c>
      <c r="H3807" s="5">
        <v>0</v>
      </c>
      <c r="I3807" s="5">
        <v>0</v>
      </c>
      <c r="J3807" s="5">
        <v>0</v>
      </c>
      <c r="K3807" s="5">
        <v>0</v>
      </c>
      <c r="L3807" s="5">
        <v>0</v>
      </c>
      <c r="M3807" s="5">
        <v>0</v>
      </c>
      <c r="N3807" s="5">
        <v>0</v>
      </c>
      <c r="O3807" s="5" t="str">
        <f t="shared" ca="1" si="59"/>
        <v>Supplier 148</v>
      </c>
      <c r="P3807" s="20" t="str">
        <f ca="1">IFERROR(VLOOKUP(O3807,EMAILS!B:C,2,FALSE),"NOT FOUND IN EMAILS")</f>
        <v>supplier@gmail.com</v>
      </c>
      <c r="Q3807" t="str">
        <f ca="1">""&amp;IFERROR(VLOOKUP(O3807,EMAILS!B:D,3,FALSE),"NOT FOUND IN EMAILS")</f>
        <v/>
      </c>
      <c r="R3807" t="str">
        <f ca="1">""&amp;IFERROR(VLOOKUP(O3807,EMAILS!B:E,4,FALSE),"NO T FOUND IN EMAILS")</f>
        <v/>
      </c>
    </row>
    <row r="3808" spans="2:18" x14ac:dyDescent="0.25">
      <c r="B3808" s="5" t="s">
        <v>3810</v>
      </c>
      <c r="C3808" s="5" t="s">
        <v>7950</v>
      </c>
      <c r="D3808" s="5">
        <v>0</v>
      </c>
      <c r="E3808" s="5">
        <v>0</v>
      </c>
      <c r="F3808" s="5">
        <v>0</v>
      </c>
      <c r="G3808" s="5">
        <v>0</v>
      </c>
      <c r="H3808" s="5">
        <v>0</v>
      </c>
      <c r="I3808" s="5">
        <v>0</v>
      </c>
      <c r="J3808" s="5">
        <v>0</v>
      </c>
      <c r="K3808" s="5">
        <v>0</v>
      </c>
      <c r="L3808" s="5">
        <v>0</v>
      </c>
      <c r="M3808" s="5">
        <v>0</v>
      </c>
      <c r="N3808" s="5">
        <v>0</v>
      </c>
      <c r="O3808" s="5" t="str">
        <f t="shared" ca="1" si="59"/>
        <v>Supplier 186</v>
      </c>
      <c r="P3808" s="20" t="str">
        <f ca="1">IFERROR(VLOOKUP(O3808,EMAILS!B:C,2,FALSE),"NOT FOUND IN EMAILS")</f>
        <v>supplier@gmail.com</v>
      </c>
      <c r="Q3808" t="str">
        <f ca="1">""&amp;IFERROR(VLOOKUP(O3808,EMAILS!B:D,3,FALSE),"NOT FOUND IN EMAILS")</f>
        <v/>
      </c>
      <c r="R3808" t="str">
        <f ca="1">""&amp;IFERROR(VLOOKUP(O3808,EMAILS!B:E,4,FALSE),"NO T FOUND IN EMAILS")</f>
        <v/>
      </c>
    </row>
    <row r="3809" spans="2:18" x14ac:dyDescent="0.25">
      <c r="B3809" s="5" t="s">
        <v>3811</v>
      </c>
      <c r="C3809" s="5" t="s">
        <v>7951</v>
      </c>
      <c r="D3809" s="5">
        <v>0</v>
      </c>
      <c r="E3809" s="5">
        <v>0</v>
      </c>
      <c r="F3809" s="5">
        <v>0</v>
      </c>
      <c r="G3809" s="5">
        <v>0</v>
      </c>
      <c r="H3809" s="5">
        <v>0</v>
      </c>
      <c r="I3809" s="5">
        <v>0</v>
      </c>
      <c r="J3809" s="5">
        <v>0</v>
      </c>
      <c r="K3809" s="5">
        <v>0</v>
      </c>
      <c r="L3809" s="5">
        <v>0</v>
      </c>
      <c r="M3809" s="5">
        <v>0</v>
      </c>
      <c r="N3809" s="5">
        <v>0</v>
      </c>
      <c r="O3809" s="5" t="str">
        <f t="shared" ca="1" si="59"/>
        <v>Supplier 186</v>
      </c>
      <c r="P3809" s="20" t="str">
        <f ca="1">IFERROR(VLOOKUP(O3809,EMAILS!B:C,2,FALSE),"NOT FOUND IN EMAILS")</f>
        <v>supplier@gmail.com</v>
      </c>
      <c r="Q3809" t="str">
        <f ca="1">""&amp;IFERROR(VLOOKUP(O3809,EMAILS!B:D,3,FALSE),"NOT FOUND IN EMAILS")</f>
        <v/>
      </c>
      <c r="R3809" t="str">
        <f ca="1">""&amp;IFERROR(VLOOKUP(O3809,EMAILS!B:E,4,FALSE),"NO T FOUND IN EMAILS")</f>
        <v/>
      </c>
    </row>
    <row r="3810" spans="2:18" x14ac:dyDescent="0.25">
      <c r="B3810" s="5" t="s">
        <v>3812</v>
      </c>
      <c r="C3810" s="5" t="s">
        <v>7952</v>
      </c>
      <c r="D3810" s="5">
        <v>0</v>
      </c>
      <c r="E3810" s="5">
        <v>0</v>
      </c>
      <c r="F3810" s="5">
        <v>0</v>
      </c>
      <c r="G3810" s="5">
        <v>0</v>
      </c>
      <c r="H3810" s="5">
        <v>0</v>
      </c>
      <c r="I3810" s="5">
        <v>0</v>
      </c>
      <c r="J3810" s="5">
        <v>0</v>
      </c>
      <c r="K3810" s="5">
        <v>0</v>
      </c>
      <c r="L3810" s="5">
        <v>0</v>
      </c>
      <c r="M3810" s="5">
        <v>0</v>
      </c>
      <c r="N3810" s="5">
        <v>0</v>
      </c>
      <c r="O3810" s="5" t="str">
        <f t="shared" ca="1" si="59"/>
        <v>Supplier 158</v>
      </c>
      <c r="P3810" s="20" t="str">
        <f ca="1">IFERROR(VLOOKUP(O3810,EMAILS!B:C,2,FALSE),"NOT FOUND IN EMAILS")</f>
        <v>supplier@gmail.com</v>
      </c>
      <c r="Q3810" t="str">
        <f ca="1">""&amp;IFERROR(VLOOKUP(O3810,EMAILS!B:D,3,FALSE),"NOT FOUND IN EMAILS")</f>
        <v/>
      </c>
      <c r="R3810" t="str">
        <f ca="1">""&amp;IFERROR(VLOOKUP(O3810,EMAILS!B:E,4,FALSE),"NO T FOUND IN EMAILS")</f>
        <v/>
      </c>
    </row>
    <row r="3811" spans="2:18" x14ac:dyDescent="0.25">
      <c r="B3811" s="5" t="s">
        <v>3813</v>
      </c>
      <c r="C3811" s="5" t="s">
        <v>7953</v>
      </c>
      <c r="D3811" s="5">
        <v>0</v>
      </c>
      <c r="E3811" s="5">
        <v>0</v>
      </c>
      <c r="F3811" s="5">
        <v>0</v>
      </c>
      <c r="G3811" s="5">
        <v>0</v>
      </c>
      <c r="H3811" s="5">
        <v>0</v>
      </c>
      <c r="I3811" s="5">
        <v>0</v>
      </c>
      <c r="J3811" s="5">
        <v>0</v>
      </c>
      <c r="K3811" s="5">
        <v>0</v>
      </c>
      <c r="L3811" s="5">
        <v>0</v>
      </c>
      <c r="M3811" s="5">
        <v>0</v>
      </c>
      <c r="N3811" s="5">
        <v>0</v>
      </c>
      <c r="O3811" s="5" t="str">
        <f t="shared" ca="1" si="59"/>
        <v>Supplier 178</v>
      </c>
      <c r="P3811" s="20" t="str">
        <f ca="1">IFERROR(VLOOKUP(O3811,EMAILS!B:C,2,FALSE),"NOT FOUND IN EMAILS")</f>
        <v>supplier@gmail.com</v>
      </c>
      <c r="Q3811" t="str">
        <f ca="1">""&amp;IFERROR(VLOOKUP(O3811,EMAILS!B:D,3,FALSE),"NOT FOUND IN EMAILS")</f>
        <v/>
      </c>
      <c r="R3811" t="str">
        <f ca="1">""&amp;IFERROR(VLOOKUP(O3811,EMAILS!B:E,4,FALSE),"NO T FOUND IN EMAILS")</f>
        <v/>
      </c>
    </row>
    <row r="3812" spans="2:18" x14ac:dyDescent="0.25">
      <c r="B3812" s="5" t="s">
        <v>3814</v>
      </c>
      <c r="C3812" s="5" t="s">
        <v>7954</v>
      </c>
      <c r="D3812" s="5">
        <v>0</v>
      </c>
      <c r="E3812" s="5">
        <v>0</v>
      </c>
      <c r="F3812" s="5">
        <v>0</v>
      </c>
      <c r="G3812" s="5">
        <v>0</v>
      </c>
      <c r="H3812" s="5">
        <v>0</v>
      </c>
      <c r="I3812" s="5">
        <v>0</v>
      </c>
      <c r="J3812" s="5">
        <v>0</v>
      </c>
      <c r="K3812" s="5">
        <v>0</v>
      </c>
      <c r="L3812" s="5">
        <v>0</v>
      </c>
      <c r="M3812" s="5">
        <v>0</v>
      </c>
      <c r="N3812" s="5">
        <v>0</v>
      </c>
      <c r="O3812" s="5" t="str">
        <f t="shared" ca="1" si="59"/>
        <v>Supplier 160</v>
      </c>
      <c r="P3812" s="20" t="str">
        <f ca="1">IFERROR(VLOOKUP(O3812,EMAILS!B:C,2,FALSE),"NOT FOUND IN EMAILS")</f>
        <v>supplier@gmail.com</v>
      </c>
      <c r="Q3812" t="str">
        <f ca="1">""&amp;IFERROR(VLOOKUP(O3812,EMAILS!B:D,3,FALSE),"NOT FOUND IN EMAILS")</f>
        <v/>
      </c>
      <c r="R3812" t="str">
        <f ca="1">""&amp;IFERROR(VLOOKUP(O3812,EMAILS!B:E,4,FALSE),"NO T FOUND IN EMAILS")</f>
        <v/>
      </c>
    </row>
    <row r="3813" spans="2:18" x14ac:dyDescent="0.25">
      <c r="B3813" s="5" t="s">
        <v>3815</v>
      </c>
      <c r="C3813" s="5" t="s">
        <v>7955</v>
      </c>
      <c r="D3813" s="5">
        <v>0</v>
      </c>
      <c r="E3813" s="5">
        <v>0</v>
      </c>
      <c r="F3813" s="5">
        <v>0</v>
      </c>
      <c r="G3813" s="5">
        <v>0</v>
      </c>
      <c r="H3813" s="5">
        <v>0</v>
      </c>
      <c r="I3813" s="5">
        <v>0</v>
      </c>
      <c r="J3813" s="5">
        <v>0</v>
      </c>
      <c r="K3813" s="5">
        <v>0</v>
      </c>
      <c r="L3813" s="5">
        <v>0</v>
      </c>
      <c r="M3813" s="5">
        <v>0</v>
      </c>
      <c r="N3813" s="5">
        <v>0</v>
      </c>
      <c r="O3813" s="5" t="str">
        <f t="shared" ca="1" si="59"/>
        <v>Supplier 1</v>
      </c>
      <c r="P3813" s="20" t="str">
        <f ca="1">IFERROR(VLOOKUP(O3813,EMAILS!B:C,2,FALSE),"NOT FOUND IN EMAILS")</f>
        <v>supplier@gmail.com</v>
      </c>
      <c r="Q3813" t="str">
        <f ca="1">""&amp;IFERROR(VLOOKUP(O3813,EMAILS!B:D,3,FALSE),"NOT FOUND IN EMAILS")</f>
        <v>supplier_logistics@gmail.com</v>
      </c>
      <c r="R3813" t="str">
        <f ca="1">""&amp;IFERROR(VLOOKUP(O3813,EMAILS!B:E,4,FALSE),"NO T FOUND IN EMAILS")</f>
        <v/>
      </c>
    </row>
    <row r="3814" spans="2:18" x14ac:dyDescent="0.25">
      <c r="B3814" s="5" t="s">
        <v>3816</v>
      </c>
      <c r="C3814" s="5" t="s">
        <v>7956</v>
      </c>
      <c r="D3814" s="5">
        <v>0</v>
      </c>
      <c r="E3814" s="5">
        <v>0</v>
      </c>
      <c r="F3814" s="5">
        <v>0</v>
      </c>
      <c r="G3814" s="5">
        <v>0</v>
      </c>
      <c r="H3814" s="5">
        <v>0</v>
      </c>
      <c r="I3814" s="5">
        <v>0</v>
      </c>
      <c r="J3814" s="5">
        <v>0</v>
      </c>
      <c r="K3814" s="5">
        <v>0</v>
      </c>
      <c r="L3814" s="5">
        <v>0</v>
      </c>
      <c r="M3814" s="5">
        <v>0</v>
      </c>
      <c r="N3814" s="5">
        <v>0</v>
      </c>
      <c r="O3814" s="5" t="str">
        <f t="shared" ca="1" si="59"/>
        <v>Supplier 24</v>
      </c>
      <c r="P3814" s="20" t="str">
        <f ca="1">IFERROR(VLOOKUP(O3814,EMAILS!B:C,2,FALSE),"NOT FOUND IN EMAILS")</f>
        <v>supplier@gmail.com</v>
      </c>
      <c r="Q3814" t="str">
        <f ca="1">""&amp;IFERROR(VLOOKUP(O3814,EMAILS!B:D,3,FALSE),"NOT FOUND IN EMAILS")</f>
        <v/>
      </c>
      <c r="R3814" t="str">
        <f ca="1">""&amp;IFERROR(VLOOKUP(O3814,EMAILS!B:E,4,FALSE),"NO T FOUND IN EMAILS")</f>
        <v/>
      </c>
    </row>
    <row r="3815" spans="2:18" x14ac:dyDescent="0.25">
      <c r="B3815" s="5" t="s">
        <v>3817</v>
      </c>
      <c r="C3815" s="5" t="s">
        <v>7957</v>
      </c>
      <c r="D3815" s="5">
        <v>0</v>
      </c>
      <c r="E3815" s="5">
        <v>0</v>
      </c>
      <c r="F3815" s="5">
        <v>0</v>
      </c>
      <c r="G3815" s="5">
        <v>0</v>
      </c>
      <c r="H3815" s="5">
        <v>0</v>
      </c>
      <c r="I3815" s="5">
        <v>0</v>
      </c>
      <c r="J3815" s="5">
        <v>0</v>
      </c>
      <c r="K3815" s="5">
        <v>0</v>
      </c>
      <c r="L3815" s="5">
        <v>0</v>
      </c>
      <c r="M3815" s="5">
        <v>0</v>
      </c>
      <c r="N3815" s="5">
        <v>0</v>
      </c>
      <c r="O3815" s="5" t="str">
        <f t="shared" ca="1" si="59"/>
        <v>Supplier 132</v>
      </c>
      <c r="P3815" s="20" t="str">
        <f ca="1">IFERROR(VLOOKUP(O3815,EMAILS!B:C,2,FALSE),"NOT FOUND IN EMAILS")</f>
        <v>supplier@gmail.com</v>
      </c>
      <c r="Q3815" t="str">
        <f ca="1">""&amp;IFERROR(VLOOKUP(O3815,EMAILS!B:D,3,FALSE),"NOT FOUND IN EMAILS")</f>
        <v/>
      </c>
      <c r="R3815" t="str">
        <f ca="1">""&amp;IFERROR(VLOOKUP(O3815,EMAILS!B:E,4,FALSE),"NO T FOUND IN EMAILS")</f>
        <v/>
      </c>
    </row>
    <row r="3816" spans="2:18" x14ac:dyDescent="0.25">
      <c r="B3816" s="5" t="s">
        <v>3818</v>
      </c>
      <c r="C3816" s="5" t="s">
        <v>7958</v>
      </c>
      <c r="D3816" s="5">
        <v>0</v>
      </c>
      <c r="E3816" s="5">
        <v>0</v>
      </c>
      <c r="F3816" s="5">
        <v>0</v>
      </c>
      <c r="G3816" s="5">
        <v>0</v>
      </c>
      <c r="H3816" s="5">
        <v>0</v>
      </c>
      <c r="I3816" s="5">
        <v>0</v>
      </c>
      <c r="J3816" s="5">
        <v>0</v>
      </c>
      <c r="K3816" s="5">
        <v>0</v>
      </c>
      <c r="L3816" s="5">
        <v>0</v>
      </c>
      <c r="M3816" s="5">
        <v>0</v>
      </c>
      <c r="N3816" s="5">
        <v>0</v>
      </c>
      <c r="O3816" s="5" t="str">
        <f t="shared" ca="1" si="59"/>
        <v>Supplier 147</v>
      </c>
      <c r="P3816" s="20" t="str">
        <f ca="1">IFERROR(VLOOKUP(O3816,EMAILS!B:C,2,FALSE),"NOT FOUND IN EMAILS")</f>
        <v>supplier@gmail.com</v>
      </c>
      <c r="Q3816" t="str">
        <f ca="1">""&amp;IFERROR(VLOOKUP(O3816,EMAILS!B:D,3,FALSE),"NOT FOUND IN EMAILS")</f>
        <v/>
      </c>
      <c r="R3816" t="str">
        <f ca="1">""&amp;IFERROR(VLOOKUP(O3816,EMAILS!B:E,4,FALSE),"NO T FOUND IN EMAILS")</f>
        <v/>
      </c>
    </row>
    <row r="3817" spans="2:18" x14ac:dyDescent="0.25">
      <c r="B3817" s="5" t="s">
        <v>3819</v>
      </c>
      <c r="C3817" s="5" t="s">
        <v>7959</v>
      </c>
      <c r="D3817" s="5">
        <v>0</v>
      </c>
      <c r="E3817" s="5">
        <v>0</v>
      </c>
      <c r="F3817" s="5">
        <v>0</v>
      </c>
      <c r="G3817" s="5">
        <v>0</v>
      </c>
      <c r="H3817" s="5">
        <v>0</v>
      </c>
      <c r="I3817" s="5">
        <v>0</v>
      </c>
      <c r="J3817" s="5">
        <v>0</v>
      </c>
      <c r="K3817" s="5">
        <v>0</v>
      </c>
      <c r="L3817" s="5">
        <v>0</v>
      </c>
      <c r="M3817" s="5">
        <v>0</v>
      </c>
      <c r="N3817" s="5">
        <v>0</v>
      </c>
      <c r="O3817" s="5" t="str">
        <f t="shared" ca="1" si="59"/>
        <v>Supplier 167</v>
      </c>
      <c r="P3817" s="20" t="str">
        <f ca="1">IFERROR(VLOOKUP(O3817,EMAILS!B:C,2,FALSE),"NOT FOUND IN EMAILS")</f>
        <v>supplier@gmail.com</v>
      </c>
      <c r="Q3817" t="str">
        <f ca="1">""&amp;IFERROR(VLOOKUP(O3817,EMAILS!B:D,3,FALSE),"NOT FOUND IN EMAILS")</f>
        <v/>
      </c>
      <c r="R3817" t="str">
        <f ca="1">""&amp;IFERROR(VLOOKUP(O3817,EMAILS!B:E,4,FALSE),"NO T FOUND IN EMAILS")</f>
        <v/>
      </c>
    </row>
    <row r="3818" spans="2:18" x14ac:dyDescent="0.25">
      <c r="B3818" s="5" t="s">
        <v>3820</v>
      </c>
      <c r="C3818" s="5" t="s">
        <v>7960</v>
      </c>
      <c r="D3818" s="5">
        <v>0</v>
      </c>
      <c r="E3818" s="5">
        <v>0</v>
      </c>
      <c r="F3818" s="5">
        <v>0</v>
      </c>
      <c r="G3818" s="5">
        <v>0</v>
      </c>
      <c r="H3818" s="5">
        <v>0</v>
      </c>
      <c r="I3818" s="5">
        <v>0</v>
      </c>
      <c r="J3818" s="5">
        <v>0</v>
      </c>
      <c r="K3818" s="5">
        <v>0</v>
      </c>
      <c r="L3818" s="5">
        <v>0</v>
      </c>
      <c r="M3818" s="5">
        <v>0</v>
      </c>
      <c r="N3818" s="5">
        <v>0</v>
      </c>
      <c r="O3818" s="5" t="str">
        <f t="shared" ca="1" si="59"/>
        <v>Supplier 95</v>
      </c>
      <c r="P3818" s="20" t="str">
        <f ca="1">IFERROR(VLOOKUP(O3818,EMAILS!B:C,2,FALSE),"NOT FOUND IN EMAILS")</f>
        <v>supplier@gmail.com</v>
      </c>
      <c r="Q3818" t="str">
        <f ca="1">""&amp;IFERROR(VLOOKUP(O3818,EMAILS!B:D,3,FALSE),"NOT FOUND IN EMAILS")</f>
        <v/>
      </c>
      <c r="R3818" t="str">
        <f ca="1">""&amp;IFERROR(VLOOKUP(O3818,EMAILS!B:E,4,FALSE),"NO T FOUND IN EMAILS")</f>
        <v/>
      </c>
    </row>
    <row r="3819" spans="2:18" x14ac:dyDescent="0.25">
      <c r="B3819" s="5" t="s">
        <v>3821</v>
      </c>
      <c r="C3819" s="5" t="s">
        <v>7961</v>
      </c>
      <c r="D3819" s="5">
        <v>0</v>
      </c>
      <c r="E3819" s="5">
        <v>0</v>
      </c>
      <c r="F3819" s="5">
        <v>0</v>
      </c>
      <c r="G3819" s="5">
        <v>0</v>
      </c>
      <c r="H3819" s="5">
        <v>0</v>
      </c>
      <c r="I3819" s="5">
        <v>0</v>
      </c>
      <c r="J3819" s="5">
        <v>0</v>
      </c>
      <c r="K3819" s="5">
        <v>0</v>
      </c>
      <c r="L3819" s="5">
        <v>0</v>
      </c>
      <c r="M3819" s="5">
        <v>0</v>
      </c>
      <c r="N3819" s="5">
        <v>0</v>
      </c>
      <c r="O3819" s="5" t="str">
        <f t="shared" ca="1" si="59"/>
        <v>Supplier 76</v>
      </c>
      <c r="P3819" s="20" t="str">
        <f ca="1">IFERROR(VLOOKUP(O3819,EMAILS!B:C,2,FALSE),"NOT FOUND IN EMAILS")</f>
        <v>supplier@gmail.com</v>
      </c>
      <c r="Q3819" t="str">
        <f ca="1">""&amp;IFERROR(VLOOKUP(O3819,EMAILS!B:D,3,FALSE),"NOT FOUND IN EMAILS")</f>
        <v/>
      </c>
      <c r="R3819" t="str">
        <f ca="1">""&amp;IFERROR(VLOOKUP(O3819,EMAILS!B:E,4,FALSE),"NO T FOUND IN EMAILS")</f>
        <v/>
      </c>
    </row>
    <row r="3820" spans="2:18" x14ac:dyDescent="0.25">
      <c r="B3820" s="5" t="s">
        <v>3822</v>
      </c>
      <c r="C3820" s="5" t="s">
        <v>7962</v>
      </c>
      <c r="D3820" s="5">
        <v>0</v>
      </c>
      <c r="E3820" s="5">
        <v>0</v>
      </c>
      <c r="F3820" s="5">
        <v>0</v>
      </c>
      <c r="G3820" s="5">
        <v>0</v>
      </c>
      <c r="H3820" s="5">
        <v>0</v>
      </c>
      <c r="I3820" s="5">
        <v>0</v>
      </c>
      <c r="J3820" s="5">
        <v>0</v>
      </c>
      <c r="K3820" s="5">
        <v>0</v>
      </c>
      <c r="L3820" s="5">
        <v>0</v>
      </c>
      <c r="M3820" s="5">
        <v>0</v>
      </c>
      <c r="N3820" s="5">
        <v>0</v>
      </c>
      <c r="O3820" s="5" t="str">
        <f t="shared" ca="1" si="59"/>
        <v>Supplier 171</v>
      </c>
      <c r="P3820" s="20" t="str">
        <f ca="1">IFERROR(VLOOKUP(O3820,EMAILS!B:C,2,FALSE),"NOT FOUND IN EMAILS")</f>
        <v>supplier@gmail.com</v>
      </c>
      <c r="Q3820" t="str">
        <f ca="1">""&amp;IFERROR(VLOOKUP(O3820,EMAILS!B:D,3,FALSE),"NOT FOUND IN EMAILS")</f>
        <v/>
      </c>
      <c r="R3820" t="str">
        <f ca="1">""&amp;IFERROR(VLOOKUP(O3820,EMAILS!B:E,4,FALSE),"NO T FOUND IN EMAILS")</f>
        <v/>
      </c>
    </row>
    <row r="3821" spans="2:18" x14ac:dyDescent="0.25">
      <c r="B3821" s="5" t="s">
        <v>3823</v>
      </c>
      <c r="C3821" s="5" t="s">
        <v>7963</v>
      </c>
      <c r="D3821" s="5">
        <v>0</v>
      </c>
      <c r="E3821" s="5">
        <v>0</v>
      </c>
      <c r="F3821" s="5">
        <v>0</v>
      </c>
      <c r="G3821" s="5">
        <v>0</v>
      </c>
      <c r="H3821" s="5">
        <v>0</v>
      </c>
      <c r="I3821" s="5">
        <v>0</v>
      </c>
      <c r="J3821" s="5">
        <v>0</v>
      </c>
      <c r="K3821" s="5">
        <v>0</v>
      </c>
      <c r="L3821" s="5">
        <v>0</v>
      </c>
      <c r="M3821" s="5">
        <v>0</v>
      </c>
      <c r="N3821" s="5">
        <v>0</v>
      </c>
      <c r="O3821" s="5" t="str">
        <f t="shared" ca="1" si="59"/>
        <v>Supplier 65</v>
      </c>
      <c r="P3821" s="20" t="str">
        <f ca="1">IFERROR(VLOOKUP(O3821,EMAILS!B:C,2,FALSE),"NOT FOUND IN EMAILS")</f>
        <v>supplier@gmail.com</v>
      </c>
      <c r="Q3821" t="str">
        <f ca="1">""&amp;IFERROR(VLOOKUP(O3821,EMAILS!B:D,3,FALSE),"NOT FOUND IN EMAILS")</f>
        <v/>
      </c>
      <c r="R3821" t="str">
        <f ca="1">""&amp;IFERROR(VLOOKUP(O3821,EMAILS!B:E,4,FALSE),"NO T FOUND IN EMAILS")</f>
        <v/>
      </c>
    </row>
    <row r="3822" spans="2:18" x14ac:dyDescent="0.25">
      <c r="B3822" s="5" t="s">
        <v>3824</v>
      </c>
      <c r="C3822" s="5" t="s">
        <v>7964</v>
      </c>
      <c r="D3822" s="5">
        <v>0</v>
      </c>
      <c r="E3822" s="5">
        <v>0</v>
      </c>
      <c r="F3822" s="5">
        <v>0</v>
      </c>
      <c r="G3822" s="5">
        <v>0</v>
      </c>
      <c r="H3822" s="5">
        <v>0</v>
      </c>
      <c r="I3822" s="5">
        <v>0</v>
      </c>
      <c r="J3822" s="5">
        <v>0</v>
      </c>
      <c r="K3822" s="5">
        <v>0</v>
      </c>
      <c r="L3822" s="5">
        <v>0</v>
      </c>
      <c r="M3822" s="5">
        <v>0</v>
      </c>
      <c r="N3822" s="5">
        <v>0</v>
      </c>
      <c r="O3822" s="5" t="str">
        <f t="shared" ca="1" si="59"/>
        <v>Supplier 128</v>
      </c>
      <c r="P3822" s="20" t="str">
        <f ca="1">IFERROR(VLOOKUP(O3822,EMAILS!B:C,2,FALSE),"NOT FOUND IN EMAILS")</f>
        <v>supplier@gmail.com</v>
      </c>
      <c r="Q3822" t="str">
        <f ca="1">""&amp;IFERROR(VLOOKUP(O3822,EMAILS!B:D,3,FALSE),"NOT FOUND IN EMAILS")</f>
        <v/>
      </c>
      <c r="R3822" t="str">
        <f ca="1">""&amp;IFERROR(VLOOKUP(O3822,EMAILS!B:E,4,FALSE),"NO T FOUND IN EMAILS")</f>
        <v/>
      </c>
    </row>
    <row r="3823" spans="2:18" x14ac:dyDescent="0.25">
      <c r="B3823" s="5" t="s">
        <v>3825</v>
      </c>
      <c r="C3823" s="5" t="s">
        <v>7965</v>
      </c>
      <c r="D3823" s="5">
        <v>0</v>
      </c>
      <c r="E3823" s="5">
        <v>0</v>
      </c>
      <c r="F3823" s="5">
        <v>0</v>
      </c>
      <c r="G3823" s="5">
        <v>0</v>
      </c>
      <c r="H3823" s="5">
        <v>0</v>
      </c>
      <c r="I3823" s="5">
        <v>0</v>
      </c>
      <c r="J3823" s="5">
        <v>0</v>
      </c>
      <c r="K3823" s="5">
        <v>0</v>
      </c>
      <c r="L3823" s="5">
        <v>0</v>
      </c>
      <c r="M3823" s="5">
        <v>0</v>
      </c>
      <c r="N3823" s="5">
        <v>0</v>
      </c>
      <c r="O3823" s="5" t="str">
        <f t="shared" ca="1" si="59"/>
        <v>Supplier 93</v>
      </c>
      <c r="P3823" s="20" t="str">
        <f ca="1">IFERROR(VLOOKUP(O3823,EMAILS!B:C,2,FALSE),"NOT FOUND IN EMAILS")</f>
        <v>supplier@gmail.com</v>
      </c>
      <c r="Q3823" t="str">
        <f ca="1">""&amp;IFERROR(VLOOKUP(O3823,EMAILS!B:D,3,FALSE),"NOT FOUND IN EMAILS")</f>
        <v/>
      </c>
      <c r="R3823" t="str">
        <f ca="1">""&amp;IFERROR(VLOOKUP(O3823,EMAILS!B:E,4,FALSE),"NO T FOUND IN EMAILS")</f>
        <v/>
      </c>
    </row>
    <row r="3824" spans="2:18" x14ac:dyDescent="0.25">
      <c r="B3824" s="5" t="s">
        <v>3826</v>
      </c>
      <c r="C3824" s="5" t="s">
        <v>7966</v>
      </c>
      <c r="D3824" s="5">
        <v>0</v>
      </c>
      <c r="E3824" s="5">
        <v>0</v>
      </c>
      <c r="F3824" s="5">
        <v>0</v>
      </c>
      <c r="G3824" s="5">
        <v>0</v>
      </c>
      <c r="H3824" s="5">
        <v>0</v>
      </c>
      <c r="I3824" s="5">
        <v>0</v>
      </c>
      <c r="J3824" s="5">
        <v>0</v>
      </c>
      <c r="K3824" s="5">
        <v>0</v>
      </c>
      <c r="L3824" s="5">
        <v>0</v>
      </c>
      <c r="M3824" s="5">
        <v>0</v>
      </c>
      <c r="N3824" s="5">
        <v>0</v>
      </c>
      <c r="O3824" s="5" t="str">
        <f t="shared" ca="1" si="59"/>
        <v>Supplier 41</v>
      </c>
      <c r="P3824" s="20" t="str">
        <f ca="1">IFERROR(VLOOKUP(O3824,EMAILS!B:C,2,FALSE),"NOT FOUND IN EMAILS")</f>
        <v>supplier@gmail.com</v>
      </c>
      <c r="Q3824" t="str">
        <f ca="1">""&amp;IFERROR(VLOOKUP(O3824,EMAILS!B:D,3,FALSE),"NOT FOUND IN EMAILS")</f>
        <v/>
      </c>
      <c r="R3824" t="str">
        <f ca="1">""&amp;IFERROR(VLOOKUP(O3824,EMAILS!B:E,4,FALSE),"NO T FOUND IN EMAILS")</f>
        <v/>
      </c>
    </row>
    <row r="3825" spans="2:18" x14ac:dyDescent="0.25">
      <c r="B3825" s="5" t="s">
        <v>3827</v>
      </c>
      <c r="C3825" s="5" t="s">
        <v>7967</v>
      </c>
      <c r="D3825" s="5">
        <v>0</v>
      </c>
      <c r="E3825" s="5">
        <v>0</v>
      </c>
      <c r="F3825" s="5">
        <v>0</v>
      </c>
      <c r="G3825" s="5">
        <v>0</v>
      </c>
      <c r="H3825" s="5">
        <v>0</v>
      </c>
      <c r="I3825" s="5">
        <v>0</v>
      </c>
      <c r="J3825" s="5">
        <v>0</v>
      </c>
      <c r="K3825" s="5">
        <v>0</v>
      </c>
      <c r="L3825" s="5">
        <v>0</v>
      </c>
      <c r="M3825" s="5">
        <v>0</v>
      </c>
      <c r="N3825" s="5">
        <v>0</v>
      </c>
      <c r="O3825" s="5" t="str">
        <f t="shared" ca="1" si="59"/>
        <v>Supplier 16</v>
      </c>
      <c r="P3825" s="20" t="str">
        <f ca="1">IFERROR(VLOOKUP(O3825,EMAILS!B:C,2,FALSE),"NOT FOUND IN EMAILS")</f>
        <v>supplier@gmail.com</v>
      </c>
      <c r="Q3825" t="str">
        <f ca="1">""&amp;IFERROR(VLOOKUP(O3825,EMAILS!B:D,3,FALSE),"NOT FOUND IN EMAILS")</f>
        <v>supplier_logistics@gmail.com</v>
      </c>
      <c r="R3825" t="str">
        <f ca="1">""&amp;IFERROR(VLOOKUP(O3825,EMAILS!B:E,4,FALSE),"NO T FOUND IN EMAILS")</f>
        <v/>
      </c>
    </row>
    <row r="3826" spans="2:18" x14ac:dyDescent="0.25">
      <c r="B3826" s="5" t="s">
        <v>3828</v>
      </c>
      <c r="C3826" s="5" t="s">
        <v>7968</v>
      </c>
      <c r="D3826" s="5">
        <v>0</v>
      </c>
      <c r="E3826" s="5">
        <v>0</v>
      </c>
      <c r="F3826" s="5">
        <v>0</v>
      </c>
      <c r="G3826" s="5">
        <v>0</v>
      </c>
      <c r="H3826" s="5">
        <v>0</v>
      </c>
      <c r="I3826" s="5">
        <v>0</v>
      </c>
      <c r="J3826" s="5">
        <v>0</v>
      </c>
      <c r="K3826" s="5">
        <v>0</v>
      </c>
      <c r="L3826" s="5">
        <v>0</v>
      </c>
      <c r="M3826" s="5">
        <v>0</v>
      </c>
      <c r="N3826" s="5">
        <v>0</v>
      </c>
      <c r="O3826" s="5" t="str">
        <f t="shared" ca="1" si="59"/>
        <v>Supplier 8</v>
      </c>
      <c r="P3826" s="20" t="str">
        <f ca="1">IFERROR(VLOOKUP(O3826,EMAILS!B:C,2,FALSE),"NOT FOUND IN EMAILS")</f>
        <v>supplier@gmail.com</v>
      </c>
      <c r="Q3826" t="str">
        <f ca="1">""&amp;IFERROR(VLOOKUP(O3826,EMAILS!B:D,3,FALSE),"NOT FOUND IN EMAILS")</f>
        <v>supplier_logistics@gmail.com</v>
      </c>
      <c r="R3826" t="str">
        <f ca="1">""&amp;IFERROR(VLOOKUP(O3826,EMAILS!B:E,4,FALSE),"NO T FOUND IN EMAILS")</f>
        <v/>
      </c>
    </row>
    <row r="3827" spans="2:18" x14ac:dyDescent="0.25">
      <c r="B3827" s="5" t="s">
        <v>3829</v>
      </c>
      <c r="C3827" s="5" t="s">
        <v>7969</v>
      </c>
      <c r="D3827" s="5">
        <v>0</v>
      </c>
      <c r="E3827" s="5">
        <v>0</v>
      </c>
      <c r="F3827" s="5">
        <v>0</v>
      </c>
      <c r="G3827" s="5">
        <v>0</v>
      </c>
      <c r="H3827" s="5">
        <v>0</v>
      </c>
      <c r="I3827" s="5">
        <v>0</v>
      </c>
      <c r="J3827" s="5">
        <v>0</v>
      </c>
      <c r="K3827" s="5">
        <v>0</v>
      </c>
      <c r="L3827" s="5">
        <v>0</v>
      </c>
      <c r="M3827" s="5">
        <v>0</v>
      </c>
      <c r="N3827" s="5">
        <v>0</v>
      </c>
      <c r="O3827" s="5" t="str">
        <f t="shared" ca="1" si="59"/>
        <v>Supplier 115</v>
      </c>
      <c r="P3827" s="20" t="str">
        <f ca="1">IFERROR(VLOOKUP(O3827,EMAILS!B:C,2,FALSE),"NOT FOUND IN EMAILS")</f>
        <v>supplier@gmail.com</v>
      </c>
      <c r="Q3827" t="str">
        <f ca="1">""&amp;IFERROR(VLOOKUP(O3827,EMAILS!B:D,3,FALSE),"NOT FOUND IN EMAILS")</f>
        <v/>
      </c>
      <c r="R3827" t="str">
        <f ca="1">""&amp;IFERROR(VLOOKUP(O3827,EMAILS!B:E,4,FALSE),"NO T FOUND IN EMAILS")</f>
        <v/>
      </c>
    </row>
    <row r="3828" spans="2:18" x14ac:dyDescent="0.25">
      <c r="B3828" s="5" t="s">
        <v>3830</v>
      </c>
      <c r="C3828" s="5" t="s">
        <v>7970</v>
      </c>
      <c r="D3828" s="5">
        <v>0</v>
      </c>
      <c r="E3828" s="5">
        <v>0</v>
      </c>
      <c r="F3828" s="5">
        <v>0</v>
      </c>
      <c r="G3828" s="5">
        <v>0</v>
      </c>
      <c r="H3828" s="5">
        <v>0</v>
      </c>
      <c r="I3828" s="5">
        <v>0</v>
      </c>
      <c r="J3828" s="5">
        <v>0</v>
      </c>
      <c r="K3828" s="5">
        <v>0</v>
      </c>
      <c r="L3828" s="5">
        <v>0</v>
      </c>
      <c r="M3828" s="5">
        <v>0</v>
      </c>
      <c r="N3828" s="5">
        <v>0</v>
      </c>
      <c r="O3828" s="5" t="str">
        <f t="shared" ca="1" si="59"/>
        <v>Supplier 42</v>
      </c>
      <c r="P3828" s="20" t="str">
        <f ca="1">IFERROR(VLOOKUP(O3828,EMAILS!B:C,2,FALSE),"NOT FOUND IN EMAILS")</f>
        <v>supplier@gmail.com</v>
      </c>
      <c r="Q3828" t="str">
        <f ca="1">""&amp;IFERROR(VLOOKUP(O3828,EMAILS!B:D,3,FALSE),"NOT FOUND IN EMAILS")</f>
        <v/>
      </c>
      <c r="R3828" t="str">
        <f ca="1">""&amp;IFERROR(VLOOKUP(O3828,EMAILS!B:E,4,FALSE),"NO T FOUND IN EMAILS")</f>
        <v/>
      </c>
    </row>
    <row r="3829" spans="2:18" x14ac:dyDescent="0.25">
      <c r="B3829" s="5" t="s">
        <v>3831</v>
      </c>
      <c r="C3829" s="5" t="s">
        <v>7971</v>
      </c>
      <c r="D3829" s="5">
        <v>0</v>
      </c>
      <c r="E3829" s="5">
        <v>0</v>
      </c>
      <c r="F3829" s="5">
        <v>0</v>
      </c>
      <c r="G3829" s="5">
        <v>0</v>
      </c>
      <c r="H3829" s="5">
        <v>0</v>
      </c>
      <c r="I3829" s="5">
        <v>0</v>
      </c>
      <c r="J3829" s="5">
        <v>0</v>
      </c>
      <c r="K3829" s="5">
        <v>0</v>
      </c>
      <c r="L3829" s="5">
        <v>0</v>
      </c>
      <c r="M3829" s="5">
        <v>0</v>
      </c>
      <c r="N3829" s="5">
        <v>0</v>
      </c>
      <c r="O3829" s="5" t="str">
        <f t="shared" ca="1" si="59"/>
        <v>Supplier 194</v>
      </c>
      <c r="P3829" s="20" t="str">
        <f ca="1">IFERROR(VLOOKUP(O3829,EMAILS!B:C,2,FALSE),"NOT FOUND IN EMAILS")</f>
        <v>supplier@gmail.com</v>
      </c>
      <c r="Q3829" t="str">
        <f ca="1">""&amp;IFERROR(VLOOKUP(O3829,EMAILS!B:D,3,FALSE),"NOT FOUND IN EMAILS")</f>
        <v/>
      </c>
      <c r="R3829" t="str">
        <f ca="1">""&amp;IFERROR(VLOOKUP(O3829,EMAILS!B:E,4,FALSE),"NO T FOUND IN EMAILS")</f>
        <v/>
      </c>
    </row>
    <row r="3830" spans="2:18" x14ac:dyDescent="0.25">
      <c r="B3830" s="5" t="s">
        <v>3832</v>
      </c>
      <c r="C3830" s="5" t="s">
        <v>7972</v>
      </c>
      <c r="D3830" s="5">
        <v>0</v>
      </c>
      <c r="E3830" s="5">
        <v>0</v>
      </c>
      <c r="F3830" s="5">
        <v>0</v>
      </c>
      <c r="G3830" s="5">
        <v>0</v>
      </c>
      <c r="H3830" s="5">
        <v>0</v>
      </c>
      <c r="I3830" s="5">
        <v>0</v>
      </c>
      <c r="J3830" s="5">
        <v>0</v>
      </c>
      <c r="K3830" s="5">
        <v>0</v>
      </c>
      <c r="L3830" s="5">
        <v>0</v>
      </c>
      <c r="M3830" s="5">
        <v>0</v>
      </c>
      <c r="N3830" s="5">
        <v>0</v>
      </c>
      <c r="O3830" s="5" t="str">
        <f t="shared" ca="1" si="59"/>
        <v>Supplier 7</v>
      </c>
      <c r="P3830" s="20" t="str">
        <f ca="1">IFERROR(VLOOKUP(O3830,EMAILS!B:C,2,FALSE),"NOT FOUND IN EMAILS")</f>
        <v>supplier@gmail.com</v>
      </c>
      <c r="Q3830" t="str">
        <f ca="1">""&amp;IFERROR(VLOOKUP(O3830,EMAILS!B:D,3,FALSE),"NOT FOUND IN EMAILS")</f>
        <v>supplier_logistics@gmail.com</v>
      </c>
      <c r="R3830" t="str">
        <f ca="1">""&amp;IFERROR(VLOOKUP(O3830,EMAILS!B:E,4,FALSE),"NO T FOUND IN EMAILS")</f>
        <v/>
      </c>
    </row>
    <row r="3831" spans="2:18" x14ac:dyDescent="0.25">
      <c r="B3831" s="5" t="s">
        <v>3833</v>
      </c>
      <c r="C3831" s="5" t="s">
        <v>7973</v>
      </c>
      <c r="D3831" s="5">
        <v>0</v>
      </c>
      <c r="E3831" s="5">
        <v>0</v>
      </c>
      <c r="F3831" s="5">
        <v>0</v>
      </c>
      <c r="G3831" s="5">
        <v>0</v>
      </c>
      <c r="H3831" s="5">
        <v>0</v>
      </c>
      <c r="I3831" s="5">
        <v>0</v>
      </c>
      <c r="J3831" s="5">
        <v>0</v>
      </c>
      <c r="K3831" s="5">
        <v>0</v>
      </c>
      <c r="L3831" s="5">
        <v>0</v>
      </c>
      <c r="M3831" s="5">
        <v>0</v>
      </c>
      <c r="N3831" s="5">
        <v>0</v>
      </c>
      <c r="O3831" s="5" t="str">
        <f t="shared" ca="1" si="59"/>
        <v>Supplier 52</v>
      </c>
      <c r="P3831" s="20" t="str">
        <f ca="1">IFERROR(VLOOKUP(O3831,EMAILS!B:C,2,FALSE),"NOT FOUND IN EMAILS")</f>
        <v>supplier@gmail.com</v>
      </c>
      <c r="Q3831" t="str">
        <f ca="1">""&amp;IFERROR(VLOOKUP(O3831,EMAILS!B:D,3,FALSE),"NOT FOUND IN EMAILS")</f>
        <v/>
      </c>
      <c r="R3831" t="str">
        <f ca="1">""&amp;IFERROR(VLOOKUP(O3831,EMAILS!B:E,4,FALSE),"NO T FOUND IN EMAILS")</f>
        <v/>
      </c>
    </row>
    <row r="3832" spans="2:18" x14ac:dyDescent="0.25">
      <c r="B3832" s="5" t="s">
        <v>3834</v>
      </c>
      <c r="C3832" s="5" t="s">
        <v>7974</v>
      </c>
      <c r="D3832" s="5">
        <v>0</v>
      </c>
      <c r="E3832" s="5">
        <v>0</v>
      </c>
      <c r="F3832" s="5">
        <v>0</v>
      </c>
      <c r="G3832" s="5">
        <v>0</v>
      </c>
      <c r="H3832" s="5">
        <v>0</v>
      </c>
      <c r="I3832" s="5">
        <v>0</v>
      </c>
      <c r="J3832" s="5">
        <v>0</v>
      </c>
      <c r="K3832" s="5">
        <v>0</v>
      </c>
      <c r="L3832" s="5">
        <v>0</v>
      </c>
      <c r="M3832" s="5">
        <v>0</v>
      </c>
      <c r="N3832" s="5">
        <v>0</v>
      </c>
      <c r="O3832" s="5" t="str">
        <f t="shared" ca="1" si="59"/>
        <v>Supplier 75</v>
      </c>
      <c r="P3832" s="20" t="str">
        <f ca="1">IFERROR(VLOOKUP(O3832,EMAILS!B:C,2,FALSE),"NOT FOUND IN EMAILS")</f>
        <v>supplier@gmail.com</v>
      </c>
      <c r="Q3832" t="str">
        <f ca="1">""&amp;IFERROR(VLOOKUP(O3832,EMAILS!B:D,3,FALSE),"NOT FOUND IN EMAILS")</f>
        <v/>
      </c>
      <c r="R3832" t="str">
        <f ca="1">""&amp;IFERROR(VLOOKUP(O3832,EMAILS!B:E,4,FALSE),"NO T FOUND IN EMAILS")</f>
        <v/>
      </c>
    </row>
    <row r="3833" spans="2:18" x14ac:dyDescent="0.25">
      <c r="B3833" s="5" t="s">
        <v>3835</v>
      </c>
      <c r="C3833" s="5" t="s">
        <v>7975</v>
      </c>
      <c r="D3833" s="5">
        <v>0</v>
      </c>
      <c r="E3833" s="5">
        <v>0</v>
      </c>
      <c r="F3833" s="5">
        <v>0</v>
      </c>
      <c r="G3833" s="5">
        <v>0</v>
      </c>
      <c r="H3833" s="5">
        <v>0</v>
      </c>
      <c r="I3833" s="5">
        <v>0</v>
      </c>
      <c r="J3833" s="5">
        <v>0</v>
      </c>
      <c r="K3833" s="5">
        <v>0</v>
      </c>
      <c r="L3833" s="5">
        <v>0</v>
      </c>
      <c r="M3833" s="5">
        <v>0</v>
      </c>
      <c r="N3833" s="5">
        <v>0</v>
      </c>
      <c r="O3833" s="5" t="str">
        <f t="shared" ca="1" si="59"/>
        <v>Supplier 23</v>
      </c>
      <c r="P3833" s="20" t="str">
        <f ca="1">IFERROR(VLOOKUP(O3833,EMAILS!B:C,2,FALSE),"NOT FOUND IN EMAILS")</f>
        <v>supplier@gmail.com</v>
      </c>
      <c r="Q3833" t="str">
        <f ca="1">""&amp;IFERROR(VLOOKUP(O3833,EMAILS!B:D,3,FALSE),"NOT FOUND IN EMAILS")</f>
        <v/>
      </c>
      <c r="R3833" t="str">
        <f ca="1">""&amp;IFERROR(VLOOKUP(O3833,EMAILS!B:E,4,FALSE),"NO T FOUND IN EMAILS")</f>
        <v/>
      </c>
    </row>
    <row r="3834" spans="2:18" x14ac:dyDescent="0.25">
      <c r="B3834" s="5" t="s">
        <v>3836</v>
      </c>
      <c r="C3834" s="5" t="s">
        <v>7976</v>
      </c>
      <c r="D3834" s="5">
        <v>0</v>
      </c>
      <c r="E3834" s="5">
        <v>0</v>
      </c>
      <c r="F3834" s="5">
        <v>0</v>
      </c>
      <c r="G3834" s="5">
        <v>0</v>
      </c>
      <c r="H3834" s="5">
        <v>0</v>
      </c>
      <c r="I3834" s="5">
        <v>0</v>
      </c>
      <c r="J3834" s="5">
        <v>0</v>
      </c>
      <c r="K3834" s="5">
        <v>0</v>
      </c>
      <c r="L3834" s="5">
        <v>0</v>
      </c>
      <c r="M3834" s="5">
        <v>0</v>
      </c>
      <c r="N3834" s="5">
        <v>0</v>
      </c>
      <c r="O3834" s="5" t="str">
        <f t="shared" ca="1" si="59"/>
        <v>Supplier 148</v>
      </c>
      <c r="P3834" s="20" t="str">
        <f ca="1">IFERROR(VLOOKUP(O3834,EMAILS!B:C,2,FALSE),"NOT FOUND IN EMAILS")</f>
        <v>supplier@gmail.com</v>
      </c>
      <c r="Q3834" t="str">
        <f ca="1">""&amp;IFERROR(VLOOKUP(O3834,EMAILS!B:D,3,FALSE),"NOT FOUND IN EMAILS")</f>
        <v/>
      </c>
      <c r="R3834" t="str">
        <f ca="1">""&amp;IFERROR(VLOOKUP(O3834,EMAILS!B:E,4,FALSE),"NO T FOUND IN EMAILS")</f>
        <v/>
      </c>
    </row>
    <row r="3835" spans="2:18" x14ac:dyDescent="0.25">
      <c r="B3835" s="5" t="s">
        <v>3837</v>
      </c>
      <c r="C3835" s="5" t="s">
        <v>7977</v>
      </c>
      <c r="D3835" s="5">
        <v>0</v>
      </c>
      <c r="E3835" s="5">
        <v>0</v>
      </c>
      <c r="F3835" s="5">
        <v>0</v>
      </c>
      <c r="G3835" s="5">
        <v>0</v>
      </c>
      <c r="H3835" s="5">
        <v>0</v>
      </c>
      <c r="I3835" s="5">
        <v>0</v>
      </c>
      <c r="J3835" s="5">
        <v>0</v>
      </c>
      <c r="K3835" s="5">
        <v>0</v>
      </c>
      <c r="L3835" s="5">
        <v>0</v>
      </c>
      <c r="M3835" s="5">
        <v>0</v>
      </c>
      <c r="N3835" s="5">
        <v>0</v>
      </c>
      <c r="O3835" s="5" t="str">
        <f t="shared" ca="1" si="59"/>
        <v>Supplier 143</v>
      </c>
      <c r="P3835" s="20" t="str">
        <f ca="1">IFERROR(VLOOKUP(O3835,EMAILS!B:C,2,FALSE),"NOT FOUND IN EMAILS")</f>
        <v>supplier@gmail.com</v>
      </c>
      <c r="Q3835" t="str">
        <f ca="1">""&amp;IFERROR(VLOOKUP(O3835,EMAILS!B:D,3,FALSE),"NOT FOUND IN EMAILS")</f>
        <v/>
      </c>
      <c r="R3835" t="str">
        <f ca="1">""&amp;IFERROR(VLOOKUP(O3835,EMAILS!B:E,4,FALSE),"NO T FOUND IN EMAILS")</f>
        <v/>
      </c>
    </row>
    <row r="3836" spans="2:18" x14ac:dyDescent="0.25">
      <c r="B3836" s="5" t="s">
        <v>3838</v>
      </c>
      <c r="C3836" s="5" t="s">
        <v>7978</v>
      </c>
      <c r="D3836" s="5">
        <v>0</v>
      </c>
      <c r="E3836" s="5">
        <v>0</v>
      </c>
      <c r="F3836" s="5">
        <v>0</v>
      </c>
      <c r="G3836" s="5">
        <v>0</v>
      </c>
      <c r="H3836" s="5">
        <v>0</v>
      </c>
      <c r="I3836" s="5">
        <v>0</v>
      </c>
      <c r="J3836" s="5">
        <v>0</v>
      </c>
      <c r="K3836" s="5">
        <v>0</v>
      </c>
      <c r="L3836" s="5">
        <v>0</v>
      </c>
      <c r="M3836" s="5">
        <v>0</v>
      </c>
      <c r="N3836" s="5">
        <v>0</v>
      </c>
      <c r="O3836" s="5" t="str">
        <f t="shared" ca="1" si="59"/>
        <v>Supplier 46</v>
      </c>
      <c r="P3836" s="20" t="str">
        <f ca="1">IFERROR(VLOOKUP(O3836,EMAILS!B:C,2,FALSE),"NOT FOUND IN EMAILS")</f>
        <v>supplier@gmail.com</v>
      </c>
      <c r="Q3836" t="str">
        <f ca="1">""&amp;IFERROR(VLOOKUP(O3836,EMAILS!B:D,3,FALSE),"NOT FOUND IN EMAILS")</f>
        <v/>
      </c>
      <c r="R3836" t="str">
        <f ca="1">""&amp;IFERROR(VLOOKUP(O3836,EMAILS!B:E,4,FALSE),"NO T FOUND IN EMAILS")</f>
        <v/>
      </c>
    </row>
    <row r="3837" spans="2:18" x14ac:dyDescent="0.25">
      <c r="B3837" s="5" t="s">
        <v>3839</v>
      </c>
      <c r="C3837" s="5" t="s">
        <v>7979</v>
      </c>
      <c r="D3837" s="5">
        <v>0</v>
      </c>
      <c r="E3837" s="5">
        <v>0</v>
      </c>
      <c r="F3837" s="5">
        <v>0</v>
      </c>
      <c r="G3837" s="5">
        <v>0</v>
      </c>
      <c r="H3837" s="5">
        <v>0</v>
      </c>
      <c r="I3837" s="5">
        <v>0</v>
      </c>
      <c r="J3837" s="5">
        <v>0</v>
      </c>
      <c r="K3837" s="5">
        <v>0</v>
      </c>
      <c r="L3837" s="5">
        <v>0</v>
      </c>
      <c r="M3837" s="5">
        <v>0</v>
      </c>
      <c r="N3837" s="5">
        <v>0</v>
      </c>
      <c r="O3837" s="5" t="str">
        <f t="shared" ca="1" si="59"/>
        <v>Supplier 134</v>
      </c>
      <c r="P3837" s="20" t="str">
        <f ca="1">IFERROR(VLOOKUP(O3837,EMAILS!B:C,2,FALSE),"NOT FOUND IN EMAILS")</f>
        <v>supplier@gmail.com</v>
      </c>
      <c r="Q3837" t="str">
        <f ca="1">""&amp;IFERROR(VLOOKUP(O3837,EMAILS!B:D,3,FALSE),"NOT FOUND IN EMAILS")</f>
        <v/>
      </c>
      <c r="R3837" t="str">
        <f ca="1">""&amp;IFERROR(VLOOKUP(O3837,EMAILS!B:E,4,FALSE),"NO T FOUND IN EMAILS")</f>
        <v/>
      </c>
    </row>
    <row r="3838" spans="2:18" x14ac:dyDescent="0.25">
      <c r="B3838" s="5" t="s">
        <v>3840</v>
      </c>
      <c r="C3838" s="5" t="s">
        <v>7980</v>
      </c>
      <c r="D3838" s="5">
        <v>0</v>
      </c>
      <c r="E3838" s="5">
        <v>0</v>
      </c>
      <c r="F3838" s="5">
        <v>0</v>
      </c>
      <c r="G3838" s="5">
        <v>0</v>
      </c>
      <c r="H3838" s="5">
        <v>0</v>
      </c>
      <c r="I3838" s="5">
        <v>0</v>
      </c>
      <c r="J3838" s="5">
        <v>0</v>
      </c>
      <c r="K3838" s="5">
        <v>0</v>
      </c>
      <c r="L3838" s="5">
        <v>0</v>
      </c>
      <c r="M3838" s="5">
        <v>0</v>
      </c>
      <c r="N3838" s="5">
        <v>0</v>
      </c>
      <c r="O3838" s="5" t="str">
        <f t="shared" ca="1" si="59"/>
        <v>Supplier 165</v>
      </c>
      <c r="P3838" s="20" t="str">
        <f ca="1">IFERROR(VLOOKUP(O3838,EMAILS!B:C,2,FALSE),"NOT FOUND IN EMAILS")</f>
        <v>supplier@gmail.com</v>
      </c>
      <c r="Q3838" t="str">
        <f ca="1">""&amp;IFERROR(VLOOKUP(O3838,EMAILS!B:D,3,FALSE),"NOT FOUND IN EMAILS")</f>
        <v/>
      </c>
      <c r="R3838" t="str">
        <f ca="1">""&amp;IFERROR(VLOOKUP(O3838,EMAILS!B:E,4,FALSE),"NO T FOUND IN EMAILS")</f>
        <v/>
      </c>
    </row>
    <row r="3839" spans="2:18" x14ac:dyDescent="0.25">
      <c r="B3839" s="5" t="s">
        <v>3841</v>
      </c>
      <c r="C3839" s="5" t="s">
        <v>7981</v>
      </c>
      <c r="D3839" s="5">
        <v>0</v>
      </c>
      <c r="E3839" s="5">
        <v>0</v>
      </c>
      <c r="F3839" s="5">
        <v>0</v>
      </c>
      <c r="G3839" s="5">
        <v>0</v>
      </c>
      <c r="H3839" s="5">
        <v>0</v>
      </c>
      <c r="I3839" s="5">
        <v>0</v>
      </c>
      <c r="J3839" s="5">
        <v>0</v>
      </c>
      <c r="K3839" s="5">
        <v>0</v>
      </c>
      <c r="L3839" s="5">
        <v>0</v>
      </c>
      <c r="M3839" s="5">
        <v>0</v>
      </c>
      <c r="N3839" s="5">
        <v>0</v>
      </c>
      <c r="O3839" s="5" t="str">
        <f t="shared" ca="1" si="59"/>
        <v>Supplier 26</v>
      </c>
      <c r="P3839" s="20" t="str">
        <f ca="1">IFERROR(VLOOKUP(O3839,EMAILS!B:C,2,FALSE),"NOT FOUND IN EMAILS")</f>
        <v>supplier@gmail.com</v>
      </c>
      <c r="Q3839" t="str">
        <f ca="1">""&amp;IFERROR(VLOOKUP(O3839,EMAILS!B:D,3,FALSE),"NOT FOUND IN EMAILS")</f>
        <v/>
      </c>
      <c r="R3839" t="str">
        <f ca="1">""&amp;IFERROR(VLOOKUP(O3839,EMAILS!B:E,4,FALSE),"NO T FOUND IN EMAILS")</f>
        <v/>
      </c>
    </row>
    <row r="3840" spans="2:18" x14ac:dyDescent="0.25">
      <c r="B3840" s="5" t="s">
        <v>3842</v>
      </c>
      <c r="C3840" s="5" t="s">
        <v>7982</v>
      </c>
      <c r="D3840" s="5">
        <v>0</v>
      </c>
      <c r="E3840" s="5">
        <v>0</v>
      </c>
      <c r="F3840" s="5">
        <v>0</v>
      </c>
      <c r="G3840" s="5">
        <v>0</v>
      </c>
      <c r="H3840" s="5">
        <v>0</v>
      </c>
      <c r="I3840" s="5">
        <v>0</v>
      </c>
      <c r="J3840" s="5">
        <v>0</v>
      </c>
      <c r="K3840" s="5">
        <v>0</v>
      </c>
      <c r="L3840" s="5">
        <v>0</v>
      </c>
      <c r="M3840" s="5">
        <v>0</v>
      </c>
      <c r="N3840" s="5">
        <v>0</v>
      </c>
      <c r="O3840" s="5" t="str">
        <f t="shared" ca="1" si="59"/>
        <v>Supplier 22</v>
      </c>
      <c r="P3840" s="20" t="str">
        <f ca="1">IFERROR(VLOOKUP(O3840,EMAILS!B:C,2,FALSE),"NOT FOUND IN EMAILS")</f>
        <v>supplier@gmail.com</v>
      </c>
      <c r="Q3840" t="str">
        <f ca="1">""&amp;IFERROR(VLOOKUP(O3840,EMAILS!B:D,3,FALSE),"NOT FOUND IN EMAILS")</f>
        <v/>
      </c>
      <c r="R3840" t="str">
        <f ca="1">""&amp;IFERROR(VLOOKUP(O3840,EMAILS!B:E,4,FALSE),"NO T FOUND IN EMAILS")</f>
        <v/>
      </c>
    </row>
    <row r="3841" spans="2:18" x14ac:dyDescent="0.25">
      <c r="B3841" s="5" t="s">
        <v>3843</v>
      </c>
      <c r="C3841" s="5" t="s">
        <v>7983</v>
      </c>
      <c r="D3841" s="5">
        <v>0</v>
      </c>
      <c r="E3841" s="5">
        <v>0</v>
      </c>
      <c r="F3841" s="5">
        <v>0</v>
      </c>
      <c r="G3841" s="5">
        <v>0</v>
      </c>
      <c r="H3841" s="5">
        <v>0</v>
      </c>
      <c r="I3841" s="5">
        <v>0</v>
      </c>
      <c r="J3841" s="5">
        <v>0</v>
      </c>
      <c r="K3841" s="5">
        <v>0</v>
      </c>
      <c r="L3841" s="5">
        <v>0</v>
      </c>
      <c r="M3841" s="5">
        <v>0</v>
      </c>
      <c r="N3841" s="5">
        <v>0</v>
      </c>
      <c r="O3841" s="5" t="str">
        <f t="shared" ca="1" si="59"/>
        <v>Supplier 70</v>
      </c>
      <c r="P3841" s="20" t="str">
        <f ca="1">IFERROR(VLOOKUP(O3841,EMAILS!B:C,2,FALSE),"NOT FOUND IN EMAILS")</f>
        <v>supplier@gmail.com</v>
      </c>
      <c r="Q3841" t="str">
        <f ca="1">""&amp;IFERROR(VLOOKUP(O3841,EMAILS!B:D,3,FALSE),"NOT FOUND IN EMAILS")</f>
        <v/>
      </c>
      <c r="R3841" t="str">
        <f ca="1">""&amp;IFERROR(VLOOKUP(O3841,EMAILS!B:E,4,FALSE),"NO T FOUND IN EMAILS")</f>
        <v/>
      </c>
    </row>
    <row r="3842" spans="2:18" x14ac:dyDescent="0.25">
      <c r="B3842" s="5" t="s">
        <v>3844</v>
      </c>
      <c r="C3842" s="5" t="s">
        <v>7984</v>
      </c>
      <c r="D3842" s="5">
        <v>0</v>
      </c>
      <c r="E3842" s="5">
        <v>0</v>
      </c>
      <c r="F3842" s="5">
        <v>0</v>
      </c>
      <c r="G3842" s="5">
        <v>0</v>
      </c>
      <c r="H3842" s="5">
        <v>0</v>
      </c>
      <c r="I3842" s="5">
        <v>0</v>
      </c>
      <c r="J3842" s="5">
        <v>0</v>
      </c>
      <c r="K3842" s="5">
        <v>0</v>
      </c>
      <c r="L3842" s="5">
        <v>0</v>
      </c>
      <c r="M3842" s="5">
        <v>0</v>
      </c>
      <c r="N3842" s="5">
        <v>0</v>
      </c>
      <c r="O3842" s="5" t="str">
        <f t="shared" ca="1" si="59"/>
        <v>Supplier 65</v>
      </c>
      <c r="P3842" s="20" t="str">
        <f ca="1">IFERROR(VLOOKUP(O3842,EMAILS!B:C,2,FALSE),"NOT FOUND IN EMAILS")</f>
        <v>supplier@gmail.com</v>
      </c>
      <c r="Q3842" t="str">
        <f ca="1">""&amp;IFERROR(VLOOKUP(O3842,EMAILS!B:D,3,FALSE),"NOT FOUND IN EMAILS")</f>
        <v/>
      </c>
      <c r="R3842" t="str">
        <f ca="1">""&amp;IFERROR(VLOOKUP(O3842,EMAILS!B:E,4,FALSE),"NO T FOUND IN EMAILS")</f>
        <v/>
      </c>
    </row>
    <row r="3843" spans="2:18" x14ac:dyDescent="0.25">
      <c r="B3843" s="5" t="s">
        <v>3845</v>
      </c>
      <c r="C3843" s="5" t="s">
        <v>7985</v>
      </c>
      <c r="D3843" s="5">
        <v>0</v>
      </c>
      <c r="E3843" s="5">
        <v>0</v>
      </c>
      <c r="F3843" s="5">
        <v>0</v>
      </c>
      <c r="G3843" s="5">
        <v>0</v>
      </c>
      <c r="H3843" s="5">
        <v>0</v>
      </c>
      <c r="I3843" s="5">
        <v>0</v>
      </c>
      <c r="J3843" s="5">
        <v>0</v>
      </c>
      <c r="K3843" s="5">
        <v>0</v>
      </c>
      <c r="L3843" s="5">
        <v>0</v>
      </c>
      <c r="M3843" s="5">
        <v>0</v>
      </c>
      <c r="N3843" s="5">
        <v>0</v>
      </c>
      <c r="O3843" s="5" t="str">
        <f t="shared" ref="O3843:O3876" ca="1" si="60">"Supplier "&amp;RANDBETWEEN(1,200)</f>
        <v>Supplier 4</v>
      </c>
      <c r="P3843" s="20" t="str">
        <f ca="1">IFERROR(VLOOKUP(O3843,EMAILS!B:C,2,FALSE),"NOT FOUND IN EMAILS")</f>
        <v>supplier@gmail.com</v>
      </c>
      <c r="Q3843" t="str">
        <f ca="1">""&amp;IFERROR(VLOOKUP(O3843,EMAILS!B:D,3,FALSE),"NOT FOUND IN EMAILS")</f>
        <v>supplier_logistics@gmail.com</v>
      </c>
      <c r="R3843" t="str">
        <f ca="1">""&amp;IFERROR(VLOOKUP(O3843,EMAILS!B:E,4,FALSE),"NO T FOUND IN EMAILS")</f>
        <v/>
      </c>
    </row>
    <row r="3844" spans="2:18" x14ac:dyDescent="0.25">
      <c r="B3844" s="5" t="s">
        <v>3846</v>
      </c>
      <c r="C3844" s="5" t="s">
        <v>7986</v>
      </c>
      <c r="D3844" s="5">
        <v>0</v>
      </c>
      <c r="E3844" s="5">
        <v>0</v>
      </c>
      <c r="F3844" s="5">
        <v>0</v>
      </c>
      <c r="G3844" s="5">
        <v>0</v>
      </c>
      <c r="H3844" s="5">
        <v>0</v>
      </c>
      <c r="I3844" s="5">
        <v>0</v>
      </c>
      <c r="J3844" s="5">
        <v>0</v>
      </c>
      <c r="K3844" s="5">
        <v>0</v>
      </c>
      <c r="L3844" s="5">
        <v>0</v>
      </c>
      <c r="M3844" s="5">
        <v>0</v>
      </c>
      <c r="N3844" s="5">
        <v>0</v>
      </c>
      <c r="O3844" s="5" t="str">
        <f t="shared" ca="1" si="60"/>
        <v>Supplier 102</v>
      </c>
      <c r="P3844" s="20" t="str">
        <f ca="1">IFERROR(VLOOKUP(O3844,EMAILS!B:C,2,FALSE),"NOT FOUND IN EMAILS")</f>
        <v>supplier@gmail.com</v>
      </c>
      <c r="Q3844" t="str">
        <f ca="1">""&amp;IFERROR(VLOOKUP(O3844,EMAILS!B:D,3,FALSE),"NOT FOUND IN EMAILS")</f>
        <v/>
      </c>
      <c r="R3844" t="str">
        <f ca="1">""&amp;IFERROR(VLOOKUP(O3844,EMAILS!B:E,4,FALSE),"NO T FOUND IN EMAILS")</f>
        <v/>
      </c>
    </row>
    <row r="3845" spans="2:18" x14ac:dyDescent="0.25">
      <c r="B3845" s="5" t="s">
        <v>3847</v>
      </c>
      <c r="C3845" s="5" t="s">
        <v>7987</v>
      </c>
      <c r="D3845" s="5">
        <v>0</v>
      </c>
      <c r="E3845" s="5">
        <v>0</v>
      </c>
      <c r="F3845" s="5">
        <v>0</v>
      </c>
      <c r="G3845" s="5">
        <v>0</v>
      </c>
      <c r="H3845" s="5">
        <v>0</v>
      </c>
      <c r="I3845" s="5">
        <v>0</v>
      </c>
      <c r="J3845" s="5">
        <v>0</v>
      </c>
      <c r="K3845" s="5">
        <v>0</v>
      </c>
      <c r="L3845" s="5">
        <v>0</v>
      </c>
      <c r="M3845" s="5">
        <v>0</v>
      </c>
      <c r="N3845" s="5">
        <v>0</v>
      </c>
      <c r="O3845" s="5" t="str">
        <f t="shared" ca="1" si="60"/>
        <v>Supplier 187</v>
      </c>
      <c r="P3845" s="20" t="str">
        <f ca="1">IFERROR(VLOOKUP(O3845,EMAILS!B:C,2,FALSE),"NOT FOUND IN EMAILS")</f>
        <v>supplier@gmail.com</v>
      </c>
      <c r="Q3845" t="str">
        <f ca="1">""&amp;IFERROR(VLOOKUP(O3845,EMAILS!B:D,3,FALSE),"NOT FOUND IN EMAILS")</f>
        <v/>
      </c>
      <c r="R3845" t="str">
        <f ca="1">""&amp;IFERROR(VLOOKUP(O3845,EMAILS!B:E,4,FALSE),"NO T FOUND IN EMAILS")</f>
        <v/>
      </c>
    </row>
    <row r="3846" spans="2:18" x14ac:dyDescent="0.25">
      <c r="B3846" s="5" t="s">
        <v>3848</v>
      </c>
      <c r="C3846" s="5" t="s">
        <v>7988</v>
      </c>
      <c r="D3846" s="5">
        <v>0</v>
      </c>
      <c r="E3846" s="5">
        <v>0</v>
      </c>
      <c r="F3846" s="5">
        <v>0</v>
      </c>
      <c r="G3846" s="5">
        <v>0</v>
      </c>
      <c r="H3846" s="5">
        <v>0</v>
      </c>
      <c r="I3846" s="5">
        <v>0</v>
      </c>
      <c r="J3846" s="5">
        <v>0</v>
      </c>
      <c r="K3846" s="5">
        <v>0</v>
      </c>
      <c r="L3846" s="5">
        <v>0</v>
      </c>
      <c r="M3846" s="5">
        <v>0</v>
      </c>
      <c r="N3846" s="5">
        <v>0</v>
      </c>
      <c r="O3846" s="5" t="str">
        <f t="shared" ca="1" si="60"/>
        <v>Supplier 85</v>
      </c>
      <c r="P3846" s="20" t="str">
        <f ca="1">IFERROR(VLOOKUP(O3846,EMAILS!B:C,2,FALSE),"NOT FOUND IN EMAILS")</f>
        <v>supplier@gmail.com</v>
      </c>
      <c r="Q3846" t="str">
        <f ca="1">""&amp;IFERROR(VLOOKUP(O3846,EMAILS!B:D,3,FALSE),"NOT FOUND IN EMAILS")</f>
        <v/>
      </c>
      <c r="R3846" t="str">
        <f ca="1">""&amp;IFERROR(VLOOKUP(O3846,EMAILS!B:E,4,FALSE),"NO T FOUND IN EMAILS")</f>
        <v/>
      </c>
    </row>
    <row r="3847" spans="2:18" x14ac:dyDescent="0.25">
      <c r="B3847" s="5" t="s">
        <v>3849</v>
      </c>
      <c r="C3847" s="5" t="s">
        <v>7989</v>
      </c>
      <c r="D3847" s="5">
        <v>0</v>
      </c>
      <c r="E3847" s="5">
        <v>0</v>
      </c>
      <c r="F3847" s="5">
        <v>0</v>
      </c>
      <c r="G3847" s="5">
        <v>0</v>
      </c>
      <c r="H3847" s="5">
        <v>0</v>
      </c>
      <c r="I3847" s="5">
        <v>0</v>
      </c>
      <c r="J3847" s="5">
        <v>0</v>
      </c>
      <c r="K3847" s="5">
        <v>0</v>
      </c>
      <c r="L3847" s="5">
        <v>0</v>
      </c>
      <c r="M3847" s="5">
        <v>0</v>
      </c>
      <c r="N3847" s="5">
        <v>0</v>
      </c>
      <c r="O3847" s="5" t="str">
        <f t="shared" ca="1" si="60"/>
        <v>Supplier 78</v>
      </c>
      <c r="P3847" s="20" t="str">
        <f ca="1">IFERROR(VLOOKUP(O3847,EMAILS!B:C,2,FALSE),"NOT FOUND IN EMAILS")</f>
        <v>supplier@gmail.com</v>
      </c>
      <c r="Q3847" t="str">
        <f ca="1">""&amp;IFERROR(VLOOKUP(O3847,EMAILS!B:D,3,FALSE),"NOT FOUND IN EMAILS")</f>
        <v/>
      </c>
      <c r="R3847" t="str">
        <f ca="1">""&amp;IFERROR(VLOOKUP(O3847,EMAILS!B:E,4,FALSE),"NO T FOUND IN EMAILS")</f>
        <v/>
      </c>
    </row>
    <row r="3848" spans="2:18" x14ac:dyDescent="0.25">
      <c r="B3848" s="5" t="s">
        <v>3850</v>
      </c>
      <c r="C3848" s="5" t="s">
        <v>7990</v>
      </c>
      <c r="D3848" s="5">
        <v>0</v>
      </c>
      <c r="E3848" s="5">
        <v>0</v>
      </c>
      <c r="F3848" s="5">
        <v>0</v>
      </c>
      <c r="G3848" s="5">
        <v>0</v>
      </c>
      <c r="H3848" s="5">
        <v>0</v>
      </c>
      <c r="I3848" s="5">
        <v>0</v>
      </c>
      <c r="J3848" s="5">
        <v>0</v>
      </c>
      <c r="K3848" s="5">
        <v>0</v>
      </c>
      <c r="L3848" s="5">
        <v>0</v>
      </c>
      <c r="M3848" s="5">
        <v>0</v>
      </c>
      <c r="N3848" s="5">
        <v>0</v>
      </c>
      <c r="O3848" s="5" t="str">
        <f t="shared" ca="1" si="60"/>
        <v>Supplier 180</v>
      </c>
      <c r="P3848" s="20" t="str">
        <f ca="1">IFERROR(VLOOKUP(O3848,EMAILS!B:C,2,FALSE),"NOT FOUND IN EMAILS")</f>
        <v>supplier@gmail.com</v>
      </c>
      <c r="Q3848" t="str">
        <f ca="1">""&amp;IFERROR(VLOOKUP(O3848,EMAILS!B:D,3,FALSE),"NOT FOUND IN EMAILS")</f>
        <v/>
      </c>
      <c r="R3848" t="str">
        <f ca="1">""&amp;IFERROR(VLOOKUP(O3848,EMAILS!B:E,4,FALSE),"NO T FOUND IN EMAILS")</f>
        <v/>
      </c>
    </row>
    <row r="3849" spans="2:18" x14ac:dyDescent="0.25">
      <c r="B3849" s="5" t="s">
        <v>3851</v>
      </c>
      <c r="C3849" s="5" t="s">
        <v>7991</v>
      </c>
      <c r="D3849" s="5">
        <v>0</v>
      </c>
      <c r="E3849" s="5">
        <v>0</v>
      </c>
      <c r="F3849" s="5">
        <v>0</v>
      </c>
      <c r="G3849" s="5">
        <v>0</v>
      </c>
      <c r="H3849" s="5">
        <v>0</v>
      </c>
      <c r="I3849" s="5">
        <v>0</v>
      </c>
      <c r="J3849" s="5">
        <v>0</v>
      </c>
      <c r="K3849" s="5">
        <v>0</v>
      </c>
      <c r="L3849" s="5">
        <v>0</v>
      </c>
      <c r="M3849" s="5">
        <v>0</v>
      </c>
      <c r="N3849" s="5">
        <v>0</v>
      </c>
      <c r="O3849" s="5" t="str">
        <f t="shared" ca="1" si="60"/>
        <v>Supplier 28</v>
      </c>
      <c r="P3849" s="20" t="str">
        <f ca="1">IFERROR(VLOOKUP(O3849,EMAILS!B:C,2,FALSE),"NOT FOUND IN EMAILS")</f>
        <v>supplier@gmail.com</v>
      </c>
      <c r="Q3849" t="str">
        <f ca="1">""&amp;IFERROR(VLOOKUP(O3849,EMAILS!B:D,3,FALSE),"NOT FOUND IN EMAILS")</f>
        <v/>
      </c>
      <c r="R3849" t="str">
        <f ca="1">""&amp;IFERROR(VLOOKUP(O3849,EMAILS!B:E,4,FALSE),"NO T FOUND IN EMAILS")</f>
        <v/>
      </c>
    </row>
    <row r="3850" spans="2:18" x14ac:dyDescent="0.25">
      <c r="B3850" s="5" t="s">
        <v>3852</v>
      </c>
      <c r="C3850" s="5" t="s">
        <v>7992</v>
      </c>
      <c r="D3850" s="5">
        <v>0</v>
      </c>
      <c r="E3850" s="5">
        <v>0</v>
      </c>
      <c r="F3850" s="5">
        <v>0</v>
      </c>
      <c r="G3850" s="5">
        <v>0</v>
      </c>
      <c r="H3850" s="5">
        <v>0</v>
      </c>
      <c r="I3850" s="5">
        <v>0</v>
      </c>
      <c r="J3850" s="5">
        <v>0</v>
      </c>
      <c r="K3850" s="5">
        <v>0</v>
      </c>
      <c r="L3850" s="5">
        <v>0</v>
      </c>
      <c r="M3850" s="5">
        <v>0</v>
      </c>
      <c r="N3850" s="5">
        <v>0</v>
      </c>
      <c r="O3850" s="5" t="str">
        <f t="shared" ca="1" si="60"/>
        <v>Supplier 2</v>
      </c>
      <c r="P3850" s="20" t="str">
        <f ca="1">IFERROR(VLOOKUP(O3850,EMAILS!B:C,2,FALSE),"NOT FOUND IN EMAILS")</f>
        <v>supplier@gmail.com</v>
      </c>
      <c r="Q3850" t="str">
        <f ca="1">""&amp;IFERROR(VLOOKUP(O3850,EMAILS!B:D,3,FALSE),"NOT FOUND IN EMAILS")</f>
        <v>supplier_logistics@gmail.com</v>
      </c>
      <c r="R3850" t="str">
        <f ca="1">""&amp;IFERROR(VLOOKUP(O3850,EMAILS!B:E,4,FALSE),"NO T FOUND IN EMAILS")</f>
        <v/>
      </c>
    </row>
    <row r="3851" spans="2:18" x14ac:dyDescent="0.25">
      <c r="B3851" s="5" t="s">
        <v>3853</v>
      </c>
      <c r="C3851" s="5" t="s">
        <v>7993</v>
      </c>
      <c r="D3851" s="5">
        <v>0</v>
      </c>
      <c r="E3851" s="5">
        <v>0</v>
      </c>
      <c r="F3851" s="5">
        <v>0</v>
      </c>
      <c r="G3851" s="5">
        <v>0</v>
      </c>
      <c r="H3851" s="5">
        <v>0</v>
      </c>
      <c r="I3851" s="5">
        <v>0</v>
      </c>
      <c r="J3851" s="5">
        <v>0</v>
      </c>
      <c r="K3851" s="5">
        <v>0</v>
      </c>
      <c r="L3851" s="5">
        <v>0</v>
      </c>
      <c r="M3851" s="5">
        <v>0</v>
      </c>
      <c r="N3851" s="5">
        <v>0</v>
      </c>
      <c r="O3851" s="5" t="str">
        <f t="shared" ca="1" si="60"/>
        <v>Supplier 69</v>
      </c>
      <c r="P3851" s="20" t="str">
        <f ca="1">IFERROR(VLOOKUP(O3851,EMAILS!B:C,2,FALSE),"NOT FOUND IN EMAILS")</f>
        <v>supplier@gmail.com</v>
      </c>
      <c r="Q3851" t="str">
        <f ca="1">""&amp;IFERROR(VLOOKUP(O3851,EMAILS!B:D,3,FALSE),"NOT FOUND IN EMAILS")</f>
        <v/>
      </c>
      <c r="R3851" t="str">
        <f ca="1">""&amp;IFERROR(VLOOKUP(O3851,EMAILS!B:E,4,FALSE),"NO T FOUND IN EMAILS")</f>
        <v/>
      </c>
    </row>
    <row r="3852" spans="2:18" x14ac:dyDescent="0.25">
      <c r="B3852" s="5" t="s">
        <v>3854</v>
      </c>
      <c r="C3852" s="5" t="s">
        <v>7994</v>
      </c>
      <c r="D3852" s="5">
        <v>0</v>
      </c>
      <c r="E3852" s="5">
        <v>0</v>
      </c>
      <c r="F3852" s="5">
        <v>0</v>
      </c>
      <c r="G3852" s="5">
        <v>0</v>
      </c>
      <c r="H3852" s="5">
        <v>0</v>
      </c>
      <c r="I3852" s="5">
        <v>0</v>
      </c>
      <c r="J3852" s="5">
        <v>0</v>
      </c>
      <c r="K3852" s="5">
        <v>0</v>
      </c>
      <c r="L3852" s="5">
        <v>0</v>
      </c>
      <c r="M3852" s="5">
        <v>0</v>
      </c>
      <c r="N3852" s="5">
        <v>0</v>
      </c>
      <c r="O3852" s="5" t="str">
        <f t="shared" ca="1" si="60"/>
        <v>Supplier 54</v>
      </c>
      <c r="P3852" s="20" t="str">
        <f ca="1">IFERROR(VLOOKUP(O3852,EMAILS!B:C,2,FALSE),"NOT FOUND IN EMAILS")</f>
        <v>supplier@gmail.com</v>
      </c>
      <c r="Q3852" t="str">
        <f ca="1">""&amp;IFERROR(VLOOKUP(O3852,EMAILS!B:D,3,FALSE),"NOT FOUND IN EMAILS")</f>
        <v/>
      </c>
      <c r="R3852" t="str">
        <f ca="1">""&amp;IFERROR(VLOOKUP(O3852,EMAILS!B:E,4,FALSE),"NO T FOUND IN EMAILS")</f>
        <v/>
      </c>
    </row>
    <row r="3853" spans="2:18" x14ac:dyDescent="0.25">
      <c r="B3853" s="5" t="s">
        <v>3855</v>
      </c>
      <c r="C3853" s="5" t="s">
        <v>7995</v>
      </c>
      <c r="D3853" s="5">
        <v>0</v>
      </c>
      <c r="E3853" s="5">
        <v>0</v>
      </c>
      <c r="F3853" s="5">
        <v>0</v>
      </c>
      <c r="G3853" s="5">
        <v>0</v>
      </c>
      <c r="H3853" s="5">
        <v>0</v>
      </c>
      <c r="I3853" s="5">
        <v>0</v>
      </c>
      <c r="J3853" s="5">
        <v>0</v>
      </c>
      <c r="K3853" s="5">
        <v>0</v>
      </c>
      <c r="L3853" s="5">
        <v>0</v>
      </c>
      <c r="M3853" s="5">
        <v>0</v>
      </c>
      <c r="N3853" s="5">
        <v>0</v>
      </c>
      <c r="O3853" s="5" t="str">
        <f t="shared" ca="1" si="60"/>
        <v>Supplier 21</v>
      </c>
      <c r="P3853" s="20" t="str">
        <f ca="1">IFERROR(VLOOKUP(O3853,EMAILS!B:C,2,FALSE),"NOT FOUND IN EMAILS")</f>
        <v>supplier@gmail.com</v>
      </c>
      <c r="Q3853" t="str">
        <f ca="1">""&amp;IFERROR(VLOOKUP(O3853,EMAILS!B:D,3,FALSE),"NOT FOUND IN EMAILS")</f>
        <v/>
      </c>
      <c r="R3853" t="str">
        <f ca="1">""&amp;IFERROR(VLOOKUP(O3853,EMAILS!B:E,4,FALSE),"NO T FOUND IN EMAILS")</f>
        <v/>
      </c>
    </row>
    <row r="3854" spans="2:18" x14ac:dyDescent="0.25">
      <c r="B3854" s="5" t="s">
        <v>3856</v>
      </c>
      <c r="C3854" s="5" t="s">
        <v>7996</v>
      </c>
      <c r="D3854" s="5">
        <v>0</v>
      </c>
      <c r="E3854" s="5">
        <v>0</v>
      </c>
      <c r="F3854" s="5">
        <v>0</v>
      </c>
      <c r="G3854" s="5">
        <v>0</v>
      </c>
      <c r="H3854" s="5">
        <v>0</v>
      </c>
      <c r="I3854" s="5">
        <v>0</v>
      </c>
      <c r="J3854" s="5">
        <v>0</v>
      </c>
      <c r="K3854" s="5">
        <v>0</v>
      </c>
      <c r="L3854" s="5">
        <v>0</v>
      </c>
      <c r="M3854" s="5">
        <v>0</v>
      </c>
      <c r="N3854" s="5">
        <v>0</v>
      </c>
      <c r="O3854" s="5" t="str">
        <f t="shared" ca="1" si="60"/>
        <v>Supplier 197</v>
      </c>
      <c r="P3854" s="20" t="str">
        <f ca="1">IFERROR(VLOOKUP(O3854,EMAILS!B:C,2,FALSE),"NOT FOUND IN EMAILS")</f>
        <v>supplier@gmail.com</v>
      </c>
      <c r="Q3854" t="str">
        <f ca="1">""&amp;IFERROR(VLOOKUP(O3854,EMAILS!B:D,3,FALSE),"NOT FOUND IN EMAILS")</f>
        <v/>
      </c>
      <c r="R3854" t="str">
        <f ca="1">""&amp;IFERROR(VLOOKUP(O3854,EMAILS!B:E,4,FALSE),"NO T FOUND IN EMAILS")</f>
        <v/>
      </c>
    </row>
    <row r="3855" spans="2:18" x14ac:dyDescent="0.25">
      <c r="B3855" s="5" t="s">
        <v>3857</v>
      </c>
      <c r="C3855" s="5" t="s">
        <v>7997</v>
      </c>
      <c r="D3855" s="5">
        <v>0</v>
      </c>
      <c r="E3855" s="5">
        <v>0</v>
      </c>
      <c r="F3855" s="5">
        <v>0</v>
      </c>
      <c r="G3855" s="5">
        <v>0</v>
      </c>
      <c r="H3855" s="5">
        <v>0</v>
      </c>
      <c r="I3855" s="5">
        <v>0</v>
      </c>
      <c r="J3855" s="5">
        <v>0</v>
      </c>
      <c r="K3855" s="5">
        <v>0</v>
      </c>
      <c r="L3855" s="5">
        <v>0</v>
      </c>
      <c r="M3855" s="5">
        <v>0</v>
      </c>
      <c r="N3855" s="5">
        <v>0</v>
      </c>
      <c r="O3855" s="5" t="str">
        <f t="shared" ca="1" si="60"/>
        <v>Supplier 145</v>
      </c>
      <c r="P3855" s="20" t="str">
        <f ca="1">IFERROR(VLOOKUP(O3855,EMAILS!B:C,2,FALSE),"NOT FOUND IN EMAILS")</f>
        <v>supplier@gmail.com</v>
      </c>
      <c r="Q3855" t="str">
        <f ca="1">""&amp;IFERROR(VLOOKUP(O3855,EMAILS!B:D,3,FALSE),"NOT FOUND IN EMAILS")</f>
        <v/>
      </c>
      <c r="R3855" t="str">
        <f ca="1">""&amp;IFERROR(VLOOKUP(O3855,EMAILS!B:E,4,FALSE),"NO T FOUND IN EMAILS")</f>
        <v/>
      </c>
    </row>
    <row r="3856" spans="2:18" x14ac:dyDescent="0.25">
      <c r="B3856" s="5" t="s">
        <v>3858</v>
      </c>
      <c r="C3856" s="5" t="s">
        <v>7998</v>
      </c>
      <c r="D3856" s="5">
        <v>0</v>
      </c>
      <c r="E3856" s="5">
        <v>0</v>
      </c>
      <c r="F3856" s="5">
        <v>0</v>
      </c>
      <c r="G3856" s="5">
        <v>0</v>
      </c>
      <c r="H3856" s="5">
        <v>0</v>
      </c>
      <c r="I3856" s="5">
        <v>0</v>
      </c>
      <c r="J3856" s="5">
        <v>0</v>
      </c>
      <c r="K3856" s="5">
        <v>0</v>
      </c>
      <c r="L3856" s="5">
        <v>0</v>
      </c>
      <c r="M3856" s="5">
        <v>0</v>
      </c>
      <c r="N3856" s="5">
        <v>0</v>
      </c>
      <c r="O3856" s="5" t="str">
        <f t="shared" ca="1" si="60"/>
        <v>Supplier 33</v>
      </c>
      <c r="P3856" s="20" t="str">
        <f ca="1">IFERROR(VLOOKUP(O3856,EMAILS!B:C,2,FALSE),"NOT FOUND IN EMAILS")</f>
        <v>supplier@gmail.com</v>
      </c>
      <c r="Q3856" t="str">
        <f ca="1">""&amp;IFERROR(VLOOKUP(O3856,EMAILS!B:D,3,FALSE),"NOT FOUND IN EMAILS")</f>
        <v/>
      </c>
      <c r="R3856" t="str">
        <f ca="1">""&amp;IFERROR(VLOOKUP(O3856,EMAILS!B:E,4,FALSE),"NO T FOUND IN EMAILS")</f>
        <v/>
      </c>
    </row>
    <row r="3857" spans="2:18" x14ac:dyDescent="0.25">
      <c r="B3857" s="5" t="s">
        <v>3859</v>
      </c>
      <c r="C3857" s="5" t="s">
        <v>7999</v>
      </c>
      <c r="D3857" s="5">
        <v>0</v>
      </c>
      <c r="E3857" s="5">
        <v>0</v>
      </c>
      <c r="F3857" s="5">
        <v>0</v>
      </c>
      <c r="G3857" s="5">
        <v>0</v>
      </c>
      <c r="H3857" s="5">
        <v>0</v>
      </c>
      <c r="I3857" s="5">
        <v>0</v>
      </c>
      <c r="J3857" s="5">
        <v>0</v>
      </c>
      <c r="K3857" s="5">
        <v>0</v>
      </c>
      <c r="L3857" s="5">
        <v>0</v>
      </c>
      <c r="M3857" s="5">
        <v>0</v>
      </c>
      <c r="N3857" s="5">
        <v>0</v>
      </c>
      <c r="O3857" s="5" t="str">
        <f t="shared" ca="1" si="60"/>
        <v>Supplier 57</v>
      </c>
      <c r="P3857" s="20" t="str">
        <f ca="1">IFERROR(VLOOKUP(O3857,EMAILS!B:C,2,FALSE),"NOT FOUND IN EMAILS")</f>
        <v>supplier@gmail.com</v>
      </c>
      <c r="Q3857" t="str">
        <f ca="1">""&amp;IFERROR(VLOOKUP(O3857,EMAILS!B:D,3,FALSE),"NOT FOUND IN EMAILS")</f>
        <v/>
      </c>
      <c r="R3857" t="str">
        <f ca="1">""&amp;IFERROR(VLOOKUP(O3857,EMAILS!B:E,4,FALSE),"NO T FOUND IN EMAILS")</f>
        <v/>
      </c>
    </row>
    <row r="3858" spans="2:18" x14ac:dyDescent="0.25">
      <c r="B3858" s="5" t="s">
        <v>3860</v>
      </c>
      <c r="C3858" s="5" t="s">
        <v>8000</v>
      </c>
      <c r="D3858" s="5">
        <v>0</v>
      </c>
      <c r="E3858" s="5">
        <v>0</v>
      </c>
      <c r="F3858" s="5">
        <v>0</v>
      </c>
      <c r="G3858" s="5">
        <v>0</v>
      </c>
      <c r="H3858" s="5">
        <v>0</v>
      </c>
      <c r="I3858" s="5">
        <v>0</v>
      </c>
      <c r="J3858" s="5">
        <v>0</v>
      </c>
      <c r="K3858" s="5">
        <v>0</v>
      </c>
      <c r="L3858" s="5">
        <v>0</v>
      </c>
      <c r="M3858" s="5">
        <v>0</v>
      </c>
      <c r="N3858" s="5">
        <v>0</v>
      </c>
      <c r="O3858" s="5" t="str">
        <f t="shared" ca="1" si="60"/>
        <v>Supplier 69</v>
      </c>
      <c r="P3858" s="20" t="str">
        <f ca="1">IFERROR(VLOOKUP(O3858,EMAILS!B:C,2,FALSE),"NOT FOUND IN EMAILS")</f>
        <v>supplier@gmail.com</v>
      </c>
      <c r="Q3858" t="str">
        <f ca="1">""&amp;IFERROR(VLOOKUP(O3858,EMAILS!B:D,3,FALSE),"NOT FOUND IN EMAILS")</f>
        <v/>
      </c>
      <c r="R3858" t="str">
        <f ca="1">""&amp;IFERROR(VLOOKUP(O3858,EMAILS!B:E,4,FALSE),"NO T FOUND IN EMAILS")</f>
        <v/>
      </c>
    </row>
    <row r="3859" spans="2:18" x14ac:dyDescent="0.25">
      <c r="B3859" s="5" t="s">
        <v>3861</v>
      </c>
      <c r="C3859" s="5" t="s">
        <v>8001</v>
      </c>
      <c r="D3859" s="5">
        <v>0</v>
      </c>
      <c r="E3859" s="5">
        <v>0</v>
      </c>
      <c r="F3859" s="5">
        <v>0</v>
      </c>
      <c r="G3859" s="5">
        <v>0</v>
      </c>
      <c r="H3859" s="5">
        <v>0</v>
      </c>
      <c r="I3859" s="5">
        <v>0</v>
      </c>
      <c r="J3859" s="5">
        <v>0</v>
      </c>
      <c r="K3859" s="5">
        <v>0</v>
      </c>
      <c r="L3859" s="5">
        <v>0</v>
      </c>
      <c r="M3859" s="5">
        <v>0</v>
      </c>
      <c r="N3859" s="5">
        <v>0</v>
      </c>
      <c r="O3859" s="5" t="str">
        <f t="shared" ca="1" si="60"/>
        <v>Supplier 187</v>
      </c>
      <c r="P3859" s="20" t="str">
        <f ca="1">IFERROR(VLOOKUP(O3859,EMAILS!B:C,2,FALSE),"NOT FOUND IN EMAILS")</f>
        <v>supplier@gmail.com</v>
      </c>
      <c r="Q3859" t="str">
        <f ca="1">""&amp;IFERROR(VLOOKUP(O3859,EMAILS!B:D,3,FALSE),"NOT FOUND IN EMAILS")</f>
        <v/>
      </c>
      <c r="R3859" t="str">
        <f ca="1">""&amp;IFERROR(VLOOKUP(O3859,EMAILS!B:E,4,FALSE),"NO T FOUND IN EMAILS")</f>
        <v/>
      </c>
    </row>
    <row r="3860" spans="2:18" x14ac:dyDescent="0.25">
      <c r="B3860" s="5" t="s">
        <v>3862</v>
      </c>
      <c r="C3860" s="5" t="s">
        <v>8002</v>
      </c>
      <c r="D3860" s="5">
        <v>0</v>
      </c>
      <c r="E3860" s="5">
        <v>0</v>
      </c>
      <c r="F3860" s="5">
        <v>0</v>
      </c>
      <c r="G3860" s="5">
        <v>0</v>
      </c>
      <c r="H3860" s="5">
        <v>0</v>
      </c>
      <c r="I3860" s="5">
        <v>0</v>
      </c>
      <c r="J3860" s="5">
        <v>0</v>
      </c>
      <c r="K3860" s="5">
        <v>0</v>
      </c>
      <c r="L3860" s="5">
        <v>0</v>
      </c>
      <c r="M3860" s="5">
        <v>0</v>
      </c>
      <c r="N3860" s="5">
        <v>0</v>
      </c>
      <c r="O3860" s="5" t="str">
        <f t="shared" ca="1" si="60"/>
        <v>Supplier 181</v>
      </c>
      <c r="P3860" s="20" t="str">
        <f ca="1">IFERROR(VLOOKUP(O3860,EMAILS!B:C,2,FALSE),"NOT FOUND IN EMAILS")</f>
        <v>supplier@gmail.com</v>
      </c>
      <c r="Q3860" t="str">
        <f ca="1">""&amp;IFERROR(VLOOKUP(O3860,EMAILS!B:D,3,FALSE),"NOT FOUND IN EMAILS")</f>
        <v/>
      </c>
      <c r="R3860" t="str">
        <f ca="1">""&amp;IFERROR(VLOOKUP(O3860,EMAILS!B:E,4,FALSE),"NO T FOUND IN EMAILS")</f>
        <v/>
      </c>
    </row>
    <row r="3861" spans="2:18" x14ac:dyDescent="0.25">
      <c r="B3861" s="5" t="s">
        <v>3863</v>
      </c>
      <c r="C3861" s="5" t="s">
        <v>8003</v>
      </c>
      <c r="D3861" s="5">
        <v>0</v>
      </c>
      <c r="E3861" s="5">
        <v>0</v>
      </c>
      <c r="F3861" s="5">
        <v>0</v>
      </c>
      <c r="G3861" s="5">
        <v>0</v>
      </c>
      <c r="H3861" s="5">
        <v>0</v>
      </c>
      <c r="I3861" s="5">
        <v>0</v>
      </c>
      <c r="J3861" s="5">
        <v>0</v>
      </c>
      <c r="K3861" s="5">
        <v>0</v>
      </c>
      <c r="L3861" s="5">
        <v>0</v>
      </c>
      <c r="M3861" s="5">
        <v>0</v>
      </c>
      <c r="N3861" s="5">
        <v>0</v>
      </c>
      <c r="O3861" s="5" t="str">
        <f t="shared" ca="1" si="60"/>
        <v>Supplier 125</v>
      </c>
      <c r="P3861" s="20" t="str">
        <f ca="1">IFERROR(VLOOKUP(O3861,EMAILS!B:C,2,FALSE),"NOT FOUND IN EMAILS")</f>
        <v>supplier@gmail.com</v>
      </c>
      <c r="Q3861" t="str">
        <f ca="1">""&amp;IFERROR(VLOOKUP(O3861,EMAILS!B:D,3,FALSE),"NOT FOUND IN EMAILS")</f>
        <v/>
      </c>
      <c r="R3861" t="str">
        <f ca="1">""&amp;IFERROR(VLOOKUP(O3861,EMAILS!B:E,4,FALSE),"NO T FOUND IN EMAILS")</f>
        <v/>
      </c>
    </row>
    <row r="3862" spans="2:18" x14ac:dyDescent="0.25">
      <c r="B3862" s="5" t="s">
        <v>3864</v>
      </c>
      <c r="C3862" s="5" t="s">
        <v>8004</v>
      </c>
      <c r="D3862" s="5">
        <v>0</v>
      </c>
      <c r="E3862" s="5">
        <v>0</v>
      </c>
      <c r="F3862" s="5">
        <v>0</v>
      </c>
      <c r="G3862" s="5">
        <v>0</v>
      </c>
      <c r="H3862" s="5">
        <v>0</v>
      </c>
      <c r="I3862" s="5">
        <v>0</v>
      </c>
      <c r="J3862" s="5">
        <v>0</v>
      </c>
      <c r="K3862" s="5">
        <v>0</v>
      </c>
      <c r="L3862" s="5">
        <v>0</v>
      </c>
      <c r="M3862" s="5">
        <v>0</v>
      </c>
      <c r="N3862" s="5">
        <v>0</v>
      </c>
      <c r="O3862" s="5" t="str">
        <f t="shared" ca="1" si="60"/>
        <v>Supplier 121</v>
      </c>
      <c r="P3862" s="20" t="str">
        <f ca="1">IFERROR(VLOOKUP(O3862,EMAILS!B:C,2,FALSE),"NOT FOUND IN EMAILS")</f>
        <v>supplier@gmail.com</v>
      </c>
      <c r="Q3862" t="str">
        <f ca="1">""&amp;IFERROR(VLOOKUP(O3862,EMAILS!B:D,3,FALSE),"NOT FOUND IN EMAILS")</f>
        <v/>
      </c>
      <c r="R3862" t="str">
        <f ca="1">""&amp;IFERROR(VLOOKUP(O3862,EMAILS!B:E,4,FALSE),"NO T FOUND IN EMAILS")</f>
        <v/>
      </c>
    </row>
    <row r="3863" spans="2:18" x14ac:dyDescent="0.25">
      <c r="B3863" s="5" t="s">
        <v>3865</v>
      </c>
      <c r="C3863" s="5" t="s">
        <v>8005</v>
      </c>
      <c r="D3863" s="5">
        <v>0</v>
      </c>
      <c r="E3863" s="5">
        <v>0</v>
      </c>
      <c r="F3863" s="5">
        <v>0</v>
      </c>
      <c r="G3863" s="5">
        <v>0</v>
      </c>
      <c r="H3863" s="5">
        <v>0</v>
      </c>
      <c r="I3863" s="5">
        <v>0</v>
      </c>
      <c r="J3863" s="5">
        <v>0</v>
      </c>
      <c r="K3863" s="5">
        <v>0</v>
      </c>
      <c r="L3863" s="5">
        <v>0</v>
      </c>
      <c r="M3863" s="5">
        <v>0</v>
      </c>
      <c r="N3863" s="5">
        <v>0</v>
      </c>
      <c r="O3863" s="5" t="str">
        <f t="shared" ca="1" si="60"/>
        <v>Supplier 12</v>
      </c>
      <c r="P3863" s="20" t="str">
        <f ca="1">IFERROR(VLOOKUP(O3863,EMAILS!B:C,2,FALSE),"NOT FOUND IN EMAILS")</f>
        <v>supplier@gmail.com</v>
      </c>
      <c r="Q3863" t="str">
        <f ca="1">""&amp;IFERROR(VLOOKUP(O3863,EMAILS!B:D,3,FALSE),"NOT FOUND IN EMAILS")</f>
        <v>supplier_logistics@gmail.com</v>
      </c>
      <c r="R3863" t="str">
        <f ca="1">""&amp;IFERROR(VLOOKUP(O3863,EMAILS!B:E,4,FALSE),"NO T FOUND IN EMAILS")</f>
        <v/>
      </c>
    </row>
    <row r="3864" spans="2:18" x14ac:dyDescent="0.25">
      <c r="B3864" s="5" t="s">
        <v>3866</v>
      </c>
      <c r="C3864" s="5" t="s">
        <v>8006</v>
      </c>
      <c r="D3864" s="5">
        <v>0</v>
      </c>
      <c r="E3864" s="5">
        <v>0</v>
      </c>
      <c r="F3864" s="5">
        <v>0</v>
      </c>
      <c r="G3864" s="5">
        <v>0</v>
      </c>
      <c r="H3864" s="5">
        <v>0</v>
      </c>
      <c r="I3864" s="5">
        <v>0</v>
      </c>
      <c r="J3864" s="5">
        <v>0</v>
      </c>
      <c r="K3864" s="5">
        <v>0</v>
      </c>
      <c r="L3864" s="5">
        <v>0</v>
      </c>
      <c r="M3864" s="5">
        <v>0</v>
      </c>
      <c r="N3864" s="5">
        <v>0</v>
      </c>
      <c r="O3864" s="5" t="str">
        <f t="shared" ca="1" si="60"/>
        <v>Supplier 152</v>
      </c>
      <c r="P3864" s="20" t="str">
        <f ca="1">IFERROR(VLOOKUP(O3864,EMAILS!B:C,2,FALSE),"NOT FOUND IN EMAILS")</f>
        <v>supplier@gmail.com</v>
      </c>
      <c r="Q3864" t="str">
        <f ca="1">""&amp;IFERROR(VLOOKUP(O3864,EMAILS!B:D,3,FALSE),"NOT FOUND IN EMAILS")</f>
        <v/>
      </c>
      <c r="R3864" t="str">
        <f ca="1">""&amp;IFERROR(VLOOKUP(O3864,EMAILS!B:E,4,FALSE),"NO T FOUND IN EMAILS")</f>
        <v/>
      </c>
    </row>
    <row r="3865" spans="2:18" x14ac:dyDescent="0.25">
      <c r="B3865" s="5" t="s">
        <v>3867</v>
      </c>
      <c r="C3865" s="5" t="s">
        <v>8007</v>
      </c>
      <c r="D3865" s="5">
        <v>0</v>
      </c>
      <c r="E3865" s="5">
        <v>0</v>
      </c>
      <c r="F3865" s="5">
        <v>0</v>
      </c>
      <c r="G3865" s="5">
        <v>0</v>
      </c>
      <c r="H3865" s="5">
        <v>0</v>
      </c>
      <c r="I3865" s="5">
        <v>0</v>
      </c>
      <c r="J3865" s="5">
        <v>0</v>
      </c>
      <c r="K3865" s="5">
        <v>0</v>
      </c>
      <c r="L3865" s="5">
        <v>0</v>
      </c>
      <c r="M3865" s="5">
        <v>0</v>
      </c>
      <c r="N3865" s="5">
        <v>0</v>
      </c>
      <c r="O3865" s="5" t="str">
        <f t="shared" ca="1" si="60"/>
        <v>Supplier 31</v>
      </c>
      <c r="P3865" s="20" t="str">
        <f ca="1">IFERROR(VLOOKUP(O3865,EMAILS!B:C,2,FALSE),"NOT FOUND IN EMAILS")</f>
        <v>supplier@gmail.com</v>
      </c>
      <c r="Q3865" t="str">
        <f ca="1">""&amp;IFERROR(VLOOKUP(O3865,EMAILS!B:D,3,FALSE),"NOT FOUND IN EMAILS")</f>
        <v/>
      </c>
      <c r="R3865" t="str">
        <f ca="1">""&amp;IFERROR(VLOOKUP(O3865,EMAILS!B:E,4,FALSE),"NO T FOUND IN EMAILS")</f>
        <v/>
      </c>
    </row>
    <row r="3866" spans="2:18" x14ac:dyDescent="0.25">
      <c r="B3866" s="5" t="s">
        <v>3868</v>
      </c>
      <c r="C3866" s="5" t="s">
        <v>8008</v>
      </c>
      <c r="D3866" s="5">
        <v>0</v>
      </c>
      <c r="E3866" s="5">
        <v>0</v>
      </c>
      <c r="F3866" s="5">
        <v>0</v>
      </c>
      <c r="G3866" s="5">
        <v>0</v>
      </c>
      <c r="H3866" s="5">
        <v>0</v>
      </c>
      <c r="I3866" s="5">
        <v>0</v>
      </c>
      <c r="J3866" s="5">
        <v>0</v>
      </c>
      <c r="K3866" s="5">
        <v>0</v>
      </c>
      <c r="L3866" s="5">
        <v>0</v>
      </c>
      <c r="M3866" s="5">
        <v>0</v>
      </c>
      <c r="N3866" s="5">
        <v>0</v>
      </c>
      <c r="O3866" s="5" t="str">
        <f t="shared" ca="1" si="60"/>
        <v>Supplier 6</v>
      </c>
      <c r="P3866" s="20" t="str">
        <f ca="1">IFERROR(VLOOKUP(O3866,EMAILS!B:C,2,FALSE),"NOT FOUND IN EMAILS")</f>
        <v>supplier@gmail.com</v>
      </c>
      <c r="Q3866" t="str">
        <f ca="1">""&amp;IFERROR(VLOOKUP(O3866,EMAILS!B:D,3,FALSE),"NOT FOUND IN EMAILS")</f>
        <v>supplier_logistics@gmail.com</v>
      </c>
      <c r="R3866" t="str">
        <f ca="1">""&amp;IFERROR(VLOOKUP(O3866,EMAILS!B:E,4,FALSE),"NO T FOUND IN EMAILS")</f>
        <v/>
      </c>
    </row>
    <row r="3867" spans="2:18" x14ac:dyDescent="0.25">
      <c r="B3867" s="5" t="s">
        <v>3869</v>
      </c>
      <c r="C3867" s="5" t="s">
        <v>8009</v>
      </c>
      <c r="D3867" s="5">
        <v>0</v>
      </c>
      <c r="E3867" s="5">
        <v>0</v>
      </c>
      <c r="F3867" s="5">
        <v>0</v>
      </c>
      <c r="G3867" s="5">
        <v>0</v>
      </c>
      <c r="H3867" s="5">
        <v>0</v>
      </c>
      <c r="I3867" s="5">
        <v>0</v>
      </c>
      <c r="J3867" s="5">
        <v>0</v>
      </c>
      <c r="K3867" s="5">
        <v>0</v>
      </c>
      <c r="L3867" s="5">
        <v>0</v>
      </c>
      <c r="M3867" s="5">
        <v>0</v>
      </c>
      <c r="N3867" s="5">
        <v>0</v>
      </c>
      <c r="O3867" s="5" t="str">
        <f t="shared" ca="1" si="60"/>
        <v>Supplier 178</v>
      </c>
      <c r="P3867" s="20" t="str">
        <f ca="1">IFERROR(VLOOKUP(O3867,EMAILS!B:C,2,FALSE),"NOT FOUND IN EMAILS")</f>
        <v>supplier@gmail.com</v>
      </c>
      <c r="Q3867" t="str">
        <f ca="1">""&amp;IFERROR(VLOOKUP(O3867,EMAILS!B:D,3,FALSE),"NOT FOUND IN EMAILS")</f>
        <v/>
      </c>
      <c r="R3867" t="str">
        <f ca="1">""&amp;IFERROR(VLOOKUP(O3867,EMAILS!B:E,4,FALSE),"NO T FOUND IN EMAILS")</f>
        <v/>
      </c>
    </row>
    <row r="3868" spans="2:18" x14ac:dyDescent="0.25">
      <c r="B3868" s="5" t="s">
        <v>3870</v>
      </c>
      <c r="C3868" s="5" t="s">
        <v>8010</v>
      </c>
      <c r="D3868" s="5">
        <v>0</v>
      </c>
      <c r="E3868" s="5">
        <v>0</v>
      </c>
      <c r="F3868" s="5">
        <v>0</v>
      </c>
      <c r="G3868" s="5">
        <v>0</v>
      </c>
      <c r="H3868" s="5">
        <v>0</v>
      </c>
      <c r="I3868" s="5">
        <v>0</v>
      </c>
      <c r="J3868" s="5">
        <v>0</v>
      </c>
      <c r="K3868" s="5">
        <v>0</v>
      </c>
      <c r="L3868" s="5">
        <v>0</v>
      </c>
      <c r="M3868" s="5">
        <v>0</v>
      </c>
      <c r="N3868" s="5">
        <v>0</v>
      </c>
      <c r="O3868" s="5" t="str">
        <f t="shared" ca="1" si="60"/>
        <v>Supplier 67</v>
      </c>
      <c r="P3868" s="20" t="str">
        <f ca="1">IFERROR(VLOOKUP(O3868,EMAILS!B:C,2,FALSE),"NOT FOUND IN EMAILS")</f>
        <v>supplier@gmail.com</v>
      </c>
      <c r="Q3868" t="str">
        <f ca="1">""&amp;IFERROR(VLOOKUP(O3868,EMAILS!B:D,3,FALSE),"NOT FOUND IN EMAILS")</f>
        <v/>
      </c>
      <c r="R3868" t="str">
        <f ca="1">""&amp;IFERROR(VLOOKUP(O3868,EMAILS!B:E,4,FALSE),"NO T FOUND IN EMAILS")</f>
        <v/>
      </c>
    </row>
    <row r="3869" spans="2:18" x14ac:dyDescent="0.25">
      <c r="B3869" s="5" t="s">
        <v>3871</v>
      </c>
      <c r="C3869" s="5" t="s">
        <v>8011</v>
      </c>
      <c r="D3869" s="5">
        <v>0</v>
      </c>
      <c r="E3869" s="5">
        <v>0</v>
      </c>
      <c r="F3869" s="5">
        <v>0</v>
      </c>
      <c r="G3869" s="5">
        <v>0</v>
      </c>
      <c r="H3869" s="5">
        <v>0</v>
      </c>
      <c r="I3869" s="5">
        <v>0</v>
      </c>
      <c r="J3869" s="5">
        <v>0</v>
      </c>
      <c r="K3869" s="5">
        <v>0</v>
      </c>
      <c r="L3869" s="5">
        <v>0</v>
      </c>
      <c r="M3869" s="5">
        <v>0</v>
      </c>
      <c r="N3869" s="5">
        <v>0</v>
      </c>
      <c r="O3869" s="5" t="str">
        <f t="shared" ca="1" si="60"/>
        <v>Supplier 92</v>
      </c>
      <c r="P3869" s="20" t="str">
        <f ca="1">IFERROR(VLOOKUP(O3869,EMAILS!B:C,2,FALSE),"NOT FOUND IN EMAILS")</f>
        <v>supplier@gmail.com</v>
      </c>
      <c r="Q3869" t="str">
        <f ca="1">""&amp;IFERROR(VLOOKUP(O3869,EMAILS!B:D,3,FALSE),"NOT FOUND IN EMAILS")</f>
        <v/>
      </c>
      <c r="R3869" t="str">
        <f ca="1">""&amp;IFERROR(VLOOKUP(O3869,EMAILS!B:E,4,FALSE),"NO T FOUND IN EMAILS")</f>
        <v/>
      </c>
    </row>
    <row r="3870" spans="2:18" x14ac:dyDescent="0.25">
      <c r="B3870" s="5" t="s">
        <v>3872</v>
      </c>
      <c r="C3870" s="5" t="s">
        <v>8012</v>
      </c>
      <c r="D3870" s="5">
        <v>0</v>
      </c>
      <c r="E3870" s="5">
        <v>0</v>
      </c>
      <c r="F3870" s="5">
        <v>0</v>
      </c>
      <c r="G3870" s="5">
        <v>0</v>
      </c>
      <c r="H3870" s="5">
        <v>0</v>
      </c>
      <c r="I3870" s="5">
        <v>0</v>
      </c>
      <c r="J3870" s="5">
        <v>0</v>
      </c>
      <c r="K3870" s="5">
        <v>0</v>
      </c>
      <c r="L3870" s="5">
        <v>0</v>
      </c>
      <c r="M3870" s="5">
        <v>0</v>
      </c>
      <c r="N3870" s="5">
        <v>0</v>
      </c>
      <c r="O3870" s="5" t="str">
        <f t="shared" ca="1" si="60"/>
        <v>Supplier 43</v>
      </c>
      <c r="P3870" s="20" t="str">
        <f ca="1">IFERROR(VLOOKUP(O3870,EMAILS!B:C,2,FALSE),"NOT FOUND IN EMAILS")</f>
        <v>supplier@gmail.com</v>
      </c>
      <c r="Q3870" t="str">
        <f ca="1">""&amp;IFERROR(VLOOKUP(O3870,EMAILS!B:D,3,FALSE),"NOT FOUND IN EMAILS")</f>
        <v/>
      </c>
      <c r="R3870" t="str">
        <f ca="1">""&amp;IFERROR(VLOOKUP(O3870,EMAILS!B:E,4,FALSE),"NO T FOUND IN EMAILS")</f>
        <v/>
      </c>
    </row>
    <row r="3871" spans="2:18" x14ac:dyDescent="0.25">
      <c r="B3871" s="5" t="s">
        <v>3873</v>
      </c>
      <c r="C3871" s="5" t="s">
        <v>8013</v>
      </c>
      <c r="D3871" s="5">
        <v>0</v>
      </c>
      <c r="E3871" s="5">
        <v>0</v>
      </c>
      <c r="F3871" s="5">
        <v>0</v>
      </c>
      <c r="G3871" s="5">
        <v>0</v>
      </c>
      <c r="H3871" s="5">
        <v>0</v>
      </c>
      <c r="I3871" s="5">
        <v>0</v>
      </c>
      <c r="J3871" s="5">
        <v>0</v>
      </c>
      <c r="K3871" s="5">
        <v>0</v>
      </c>
      <c r="L3871" s="5">
        <v>0</v>
      </c>
      <c r="M3871" s="5">
        <v>0</v>
      </c>
      <c r="N3871" s="5">
        <v>0</v>
      </c>
      <c r="O3871" s="5" t="str">
        <f t="shared" ca="1" si="60"/>
        <v>Supplier 104</v>
      </c>
      <c r="P3871" s="20" t="str">
        <f ca="1">IFERROR(VLOOKUP(O3871,EMAILS!B:C,2,FALSE),"NOT FOUND IN EMAILS")</f>
        <v>supplier@gmail.com</v>
      </c>
      <c r="Q3871" t="str">
        <f ca="1">""&amp;IFERROR(VLOOKUP(O3871,EMAILS!B:D,3,FALSE),"NOT FOUND IN EMAILS")</f>
        <v/>
      </c>
      <c r="R3871" t="str">
        <f ca="1">""&amp;IFERROR(VLOOKUP(O3871,EMAILS!B:E,4,FALSE),"NO T FOUND IN EMAILS")</f>
        <v/>
      </c>
    </row>
    <row r="3872" spans="2:18" x14ac:dyDescent="0.25">
      <c r="B3872" s="5" t="s">
        <v>3874</v>
      </c>
      <c r="C3872" s="5" t="s">
        <v>8014</v>
      </c>
      <c r="D3872" s="5">
        <v>0</v>
      </c>
      <c r="E3872" s="5">
        <v>0</v>
      </c>
      <c r="F3872" s="5">
        <v>0</v>
      </c>
      <c r="G3872" s="5">
        <v>0</v>
      </c>
      <c r="H3872" s="5">
        <v>0</v>
      </c>
      <c r="I3872" s="5">
        <v>0</v>
      </c>
      <c r="J3872" s="5">
        <v>0</v>
      </c>
      <c r="K3872" s="5">
        <v>0</v>
      </c>
      <c r="L3872" s="5">
        <v>0</v>
      </c>
      <c r="M3872" s="5">
        <v>0</v>
      </c>
      <c r="N3872" s="5">
        <v>0</v>
      </c>
      <c r="O3872" s="5" t="str">
        <f t="shared" ca="1" si="60"/>
        <v>Supplier 137</v>
      </c>
      <c r="P3872" s="20" t="str">
        <f ca="1">IFERROR(VLOOKUP(O3872,EMAILS!B:C,2,FALSE),"NOT FOUND IN EMAILS")</f>
        <v>supplier@gmail.com</v>
      </c>
      <c r="Q3872" t="str">
        <f ca="1">""&amp;IFERROR(VLOOKUP(O3872,EMAILS!B:D,3,FALSE),"NOT FOUND IN EMAILS")</f>
        <v/>
      </c>
      <c r="R3872" t="str">
        <f ca="1">""&amp;IFERROR(VLOOKUP(O3872,EMAILS!B:E,4,FALSE),"NO T FOUND IN EMAILS")</f>
        <v/>
      </c>
    </row>
    <row r="3873" spans="2:18" x14ac:dyDescent="0.25">
      <c r="B3873" s="5" t="s">
        <v>3875</v>
      </c>
      <c r="C3873" s="5" t="s">
        <v>8015</v>
      </c>
      <c r="D3873" s="5">
        <v>0</v>
      </c>
      <c r="E3873" s="5">
        <v>0</v>
      </c>
      <c r="F3873" s="5">
        <v>0</v>
      </c>
      <c r="G3873" s="5">
        <v>0</v>
      </c>
      <c r="H3873" s="5">
        <v>0</v>
      </c>
      <c r="I3873" s="5">
        <v>0</v>
      </c>
      <c r="J3873" s="5">
        <v>0</v>
      </c>
      <c r="K3873" s="5">
        <v>0</v>
      </c>
      <c r="L3873" s="5">
        <v>0</v>
      </c>
      <c r="M3873" s="5">
        <v>0</v>
      </c>
      <c r="N3873" s="5">
        <v>0</v>
      </c>
      <c r="O3873" s="5" t="str">
        <f t="shared" ca="1" si="60"/>
        <v>Supplier 80</v>
      </c>
      <c r="P3873" s="20" t="str">
        <f ca="1">IFERROR(VLOOKUP(O3873,EMAILS!B:C,2,FALSE),"NOT FOUND IN EMAILS")</f>
        <v>supplier@gmail.com</v>
      </c>
      <c r="Q3873" t="str">
        <f ca="1">""&amp;IFERROR(VLOOKUP(O3873,EMAILS!B:D,3,FALSE),"NOT FOUND IN EMAILS")</f>
        <v/>
      </c>
      <c r="R3873" t="str">
        <f ca="1">""&amp;IFERROR(VLOOKUP(O3873,EMAILS!B:E,4,FALSE),"NO T FOUND IN EMAILS")</f>
        <v/>
      </c>
    </row>
    <row r="3874" spans="2:18" x14ac:dyDescent="0.25">
      <c r="B3874" s="5" t="s">
        <v>3876</v>
      </c>
      <c r="C3874" s="5" t="s">
        <v>8016</v>
      </c>
      <c r="D3874" s="5">
        <v>0</v>
      </c>
      <c r="E3874" s="5">
        <v>0</v>
      </c>
      <c r="F3874" s="5">
        <v>0</v>
      </c>
      <c r="G3874" s="5">
        <v>0</v>
      </c>
      <c r="H3874" s="5">
        <v>0</v>
      </c>
      <c r="I3874" s="5">
        <v>0</v>
      </c>
      <c r="J3874" s="5">
        <v>0</v>
      </c>
      <c r="K3874" s="5">
        <v>0</v>
      </c>
      <c r="L3874" s="5">
        <v>0</v>
      </c>
      <c r="M3874" s="5">
        <v>0</v>
      </c>
      <c r="N3874" s="5">
        <v>0</v>
      </c>
      <c r="O3874" s="5" t="str">
        <f t="shared" ca="1" si="60"/>
        <v>Supplier 71</v>
      </c>
      <c r="P3874" s="20" t="str">
        <f ca="1">IFERROR(VLOOKUP(O3874,EMAILS!B:C,2,FALSE),"NOT FOUND IN EMAILS")</f>
        <v>supplier@gmail.com</v>
      </c>
      <c r="Q3874" t="str">
        <f ca="1">""&amp;IFERROR(VLOOKUP(O3874,EMAILS!B:D,3,FALSE),"NOT FOUND IN EMAILS")</f>
        <v/>
      </c>
      <c r="R3874" t="str">
        <f ca="1">""&amp;IFERROR(VLOOKUP(O3874,EMAILS!B:E,4,FALSE),"NO T FOUND IN EMAILS")</f>
        <v/>
      </c>
    </row>
    <row r="3875" spans="2:18" x14ac:dyDescent="0.25">
      <c r="B3875" s="5" t="s">
        <v>3877</v>
      </c>
      <c r="C3875" s="5" t="s">
        <v>8017</v>
      </c>
      <c r="D3875" s="5">
        <v>0</v>
      </c>
      <c r="E3875" s="5">
        <v>0</v>
      </c>
      <c r="F3875" s="5">
        <v>0</v>
      </c>
      <c r="G3875" s="5">
        <v>0</v>
      </c>
      <c r="H3875" s="5">
        <v>0</v>
      </c>
      <c r="I3875" s="5">
        <v>0</v>
      </c>
      <c r="J3875" s="5">
        <v>0</v>
      </c>
      <c r="K3875" s="5">
        <v>0</v>
      </c>
      <c r="L3875" s="5">
        <v>0</v>
      </c>
      <c r="M3875" s="5">
        <v>0</v>
      </c>
      <c r="N3875" s="5">
        <v>0</v>
      </c>
      <c r="O3875" s="5" t="str">
        <f t="shared" ca="1" si="60"/>
        <v>Supplier 120</v>
      </c>
      <c r="P3875" s="20" t="str">
        <f ca="1">IFERROR(VLOOKUP(O3875,EMAILS!B:C,2,FALSE),"NOT FOUND IN EMAILS")</f>
        <v>supplier@gmail.com</v>
      </c>
      <c r="Q3875" t="str">
        <f ca="1">""&amp;IFERROR(VLOOKUP(O3875,EMAILS!B:D,3,FALSE),"NOT FOUND IN EMAILS")</f>
        <v/>
      </c>
      <c r="R3875" t="str">
        <f ca="1">""&amp;IFERROR(VLOOKUP(O3875,EMAILS!B:E,4,FALSE),"NO T FOUND IN EMAILS")</f>
        <v/>
      </c>
    </row>
    <row r="3876" spans="2:18" x14ac:dyDescent="0.25">
      <c r="B3876" s="5" t="s">
        <v>3878</v>
      </c>
      <c r="C3876" s="5" t="s">
        <v>8018</v>
      </c>
      <c r="D3876" s="5">
        <v>0</v>
      </c>
      <c r="E3876" s="5">
        <v>0</v>
      </c>
      <c r="F3876" s="5">
        <v>0</v>
      </c>
      <c r="G3876" s="5">
        <v>0</v>
      </c>
      <c r="H3876" s="5">
        <v>0</v>
      </c>
      <c r="I3876" s="5">
        <v>0</v>
      </c>
      <c r="J3876" s="5">
        <v>0</v>
      </c>
      <c r="K3876" s="5">
        <v>0</v>
      </c>
      <c r="L3876" s="5">
        <v>0</v>
      </c>
      <c r="M3876" s="5">
        <v>0</v>
      </c>
      <c r="N3876" s="5">
        <v>0</v>
      </c>
      <c r="O3876" s="5" t="str">
        <f t="shared" ca="1" si="60"/>
        <v>Supplier 121</v>
      </c>
      <c r="P3876" s="20" t="str">
        <f ca="1">IFERROR(VLOOKUP(O3876,EMAILS!B:C,2,FALSE),"NOT FOUND IN EMAILS")</f>
        <v>supplier@gmail.com</v>
      </c>
      <c r="Q3876" t="str">
        <f ca="1">""&amp;IFERROR(VLOOKUP(O3876,EMAILS!B:D,3,FALSE),"NOT FOUND IN EMAILS")</f>
        <v/>
      </c>
      <c r="R3876" t="str">
        <f ca="1">""&amp;IFERROR(VLOOKUP(O3876,EMAILS!B:E,4,FALSE),"NO T FOUND IN EMAILS")</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Data">
                <anchor moveWithCells="1" sizeWithCells="1">
                  <from>
                    <xdr:col>0</xdr:col>
                    <xdr:colOff>0</xdr:colOff>
                    <xdr:row>0</xdr:row>
                    <xdr:rowOff>0</xdr:rowOff>
                  </from>
                  <to>
                    <xdr:col>1</xdr:col>
                    <xdr:colOff>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rgb="FF92D050"/>
  </sheetPr>
  <dimension ref="A1:U3879"/>
  <sheetViews>
    <sheetView tabSelected="1" zoomScale="55" zoomScaleNormal="55" workbookViewId="0">
      <selection activeCell="B11" sqref="B11"/>
    </sheetView>
  </sheetViews>
  <sheetFormatPr baseColWidth="10" defaultRowHeight="15" customHeight="1" x14ac:dyDescent="0.25"/>
  <cols>
    <col min="1" max="1" width="19.42578125" style="8" customWidth="1"/>
    <col min="2" max="2" width="20.7109375" style="8" customWidth="1"/>
    <col min="3" max="3" width="30.5703125" style="8" bestFit="1" customWidth="1"/>
    <col min="4" max="4" width="10.5703125" style="8" customWidth="1"/>
    <col min="5" max="5" width="21.7109375" bestFit="1" customWidth="1"/>
    <col min="6" max="6" width="63" bestFit="1" customWidth="1"/>
    <col min="7" max="7" width="19.85546875" bestFit="1" customWidth="1"/>
    <col min="8" max="8" width="23.5703125" bestFit="1" customWidth="1"/>
    <col min="9" max="17" width="20.140625" bestFit="1" customWidth="1"/>
    <col min="18" max="18" width="20.140625" customWidth="1"/>
    <col min="19" max="19" width="11.28515625" customWidth="1"/>
    <col min="20" max="20" width="13.42578125" customWidth="1"/>
    <col min="21" max="21" width="46.5703125" hidden="1" customWidth="1"/>
  </cols>
  <sheetData>
    <row r="1" spans="1:21" ht="15" customHeight="1" x14ac:dyDescent="0.25">
      <c r="G1" s="15" t="s">
        <v>3891</v>
      </c>
      <c r="H1" s="14" t="s">
        <v>3996</v>
      </c>
      <c r="I1" s="2"/>
    </row>
    <row r="2" spans="1:21" ht="15" customHeight="1" x14ac:dyDescent="0.25">
      <c r="A2" s="21" t="s">
        <v>3891</v>
      </c>
      <c r="B2" s="21" t="s">
        <v>0</v>
      </c>
      <c r="C2" s="9" t="s">
        <v>8026</v>
      </c>
      <c r="D2" s="10" t="s">
        <v>8027</v>
      </c>
      <c r="E2" s="33" t="s">
        <v>8020</v>
      </c>
      <c r="F2" s="34"/>
      <c r="G2" s="1"/>
      <c r="K2" s="3"/>
    </row>
    <row r="3" spans="1:21" ht="15" customHeight="1" x14ac:dyDescent="0.25">
      <c r="A3" s="21" t="s">
        <v>3892</v>
      </c>
      <c r="B3" s="21" t="s">
        <v>8019</v>
      </c>
      <c r="C3" s="11" t="s">
        <v>8028</v>
      </c>
      <c r="D3" s="12"/>
      <c r="E3" s="24" t="str">
        <f>I3</f>
        <v xml:space="preserve"> Forecast week 43</v>
      </c>
      <c r="F3" s="25"/>
      <c r="G3" s="9" t="s">
        <v>3</v>
      </c>
      <c r="H3" s="9" t="s">
        <v>2</v>
      </c>
      <c r="I3" s="9" t="s">
        <v>3881</v>
      </c>
      <c r="J3" s="9" t="s">
        <v>3882</v>
      </c>
      <c r="K3" s="9" t="s">
        <v>3883</v>
      </c>
      <c r="L3" s="9" t="s">
        <v>3884</v>
      </c>
      <c r="M3" s="9" t="s">
        <v>3885</v>
      </c>
      <c r="N3" s="9" t="s">
        <v>3886</v>
      </c>
      <c r="O3" s="9" t="s">
        <v>3887</v>
      </c>
      <c r="P3" s="9" t="s">
        <v>3888</v>
      </c>
      <c r="Q3" s="9" t="s">
        <v>3889</v>
      </c>
      <c r="R3" s="9" t="s">
        <v>3890</v>
      </c>
      <c r="S3" s="10" t="s">
        <v>1</v>
      </c>
      <c r="U3">
        <f>IF(F3="",U2,F3)</f>
        <v>0</v>
      </c>
    </row>
    <row r="4" spans="1:21" ht="15" customHeight="1" x14ac:dyDescent="0.25">
      <c r="A4" s="21" t="s">
        <v>3901</v>
      </c>
      <c r="B4" s="11" t="s">
        <v>8019</v>
      </c>
      <c r="C4" s="11" t="s">
        <v>8028</v>
      </c>
      <c r="D4" s="12"/>
      <c r="E4" s="26"/>
      <c r="F4" s="27"/>
      <c r="G4" s="11" t="s">
        <v>1161</v>
      </c>
      <c r="H4" s="11" t="s">
        <v>5301</v>
      </c>
      <c r="I4" s="11">
        <v>0</v>
      </c>
      <c r="J4" s="11">
        <v>0</v>
      </c>
      <c r="K4" s="11">
        <v>0</v>
      </c>
      <c r="L4" s="11">
        <v>0</v>
      </c>
      <c r="M4" s="11">
        <v>0</v>
      </c>
      <c r="N4" s="11">
        <v>0</v>
      </c>
      <c r="O4" s="11">
        <v>0</v>
      </c>
      <c r="P4" s="11">
        <v>0</v>
      </c>
      <c r="Q4" s="11">
        <v>0</v>
      </c>
      <c r="R4" s="11">
        <v>0</v>
      </c>
      <c r="S4" s="12">
        <v>0</v>
      </c>
      <c r="U4">
        <f>IF(F4="",U3,F4)</f>
        <v>0</v>
      </c>
    </row>
    <row r="5" spans="1:21" ht="15" customHeight="1" x14ac:dyDescent="0.25">
      <c r="A5" s="21" t="s">
        <v>3991</v>
      </c>
      <c r="B5" s="11" t="s">
        <v>8019</v>
      </c>
      <c r="C5" s="11"/>
      <c r="D5" s="12"/>
      <c r="E5" s="33" t="s">
        <v>8021</v>
      </c>
      <c r="F5" s="34"/>
      <c r="G5" s="11" t="s">
        <v>1264</v>
      </c>
      <c r="H5" s="11" t="s">
        <v>5404</v>
      </c>
      <c r="I5" s="11">
        <v>2</v>
      </c>
      <c r="J5" s="11">
        <v>20</v>
      </c>
      <c r="K5" s="11">
        <v>23</v>
      </c>
      <c r="L5" s="11">
        <v>0</v>
      </c>
      <c r="M5" s="11">
        <v>0</v>
      </c>
      <c r="N5" s="11">
        <v>20</v>
      </c>
      <c r="O5" s="11">
        <v>0</v>
      </c>
      <c r="P5" s="11">
        <v>0</v>
      </c>
      <c r="Q5" s="11">
        <v>0</v>
      </c>
      <c r="R5" s="11">
        <v>0</v>
      </c>
      <c r="S5" s="12">
        <v>40</v>
      </c>
      <c r="U5" t="e">
        <f>IF(#REF!="",U4,#REF!)</f>
        <v>#REF!</v>
      </c>
    </row>
    <row r="6" spans="1:21" ht="15" customHeight="1" x14ac:dyDescent="0.25">
      <c r="A6" s="21" t="s">
        <v>3992</v>
      </c>
      <c r="B6" s="11" t="s">
        <v>8019</v>
      </c>
      <c r="C6" s="11"/>
      <c r="D6" s="12"/>
      <c r="E6" s="24" t="s">
        <v>8029</v>
      </c>
      <c r="F6" s="28"/>
      <c r="G6" s="11" t="s">
        <v>1354</v>
      </c>
      <c r="H6" s="11" t="s">
        <v>5494</v>
      </c>
      <c r="I6" s="11">
        <v>0</v>
      </c>
      <c r="J6" s="11">
        <v>0</v>
      </c>
      <c r="K6" s="11">
        <v>0</v>
      </c>
      <c r="L6" s="11">
        <v>0</v>
      </c>
      <c r="M6" s="11">
        <v>0</v>
      </c>
      <c r="N6" s="11">
        <v>0</v>
      </c>
      <c r="O6" s="11">
        <v>0</v>
      </c>
      <c r="P6" s="11">
        <v>0</v>
      </c>
      <c r="Q6" s="11">
        <v>0</v>
      </c>
      <c r="R6" s="11">
        <v>0</v>
      </c>
      <c r="S6" s="12">
        <v>40</v>
      </c>
      <c r="U6" t="e">
        <f>IF(#REF!="",U5,#REF!)</f>
        <v>#REF!</v>
      </c>
    </row>
    <row r="7" spans="1:21" ht="15" customHeight="1" x14ac:dyDescent="0.25">
      <c r="A7" s="21" t="s">
        <v>3993</v>
      </c>
      <c r="B7" s="11" t="s">
        <v>8019</v>
      </c>
      <c r="C7" s="11"/>
      <c r="D7" s="12"/>
      <c r="E7" s="29"/>
      <c r="F7" s="30"/>
      <c r="G7" s="11" t="s">
        <v>1359</v>
      </c>
      <c r="H7" s="11" t="s">
        <v>5499</v>
      </c>
      <c r="I7" s="11">
        <v>0</v>
      </c>
      <c r="J7" s="11">
        <v>0</v>
      </c>
      <c r="K7" s="11">
        <v>0</v>
      </c>
      <c r="L7" s="11">
        <v>0</v>
      </c>
      <c r="M7" s="11">
        <v>0</v>
      </c>
      <c r="N7" s="11">
        <v>0</v>
      </c>
      <c r="O7" s="11">
        <v>0</v>
      </c>
      <c r="P7" s="11">
        <v>0</v>
      </c>
      <c r="Q7" s="11">
        <v>0</v>
      </c>
      <c r="R7" s="11">
        <v>0</v>
      </c>
      <c r="S7" s="12">
        <v>300</v>
      </c>
      <c r="U7" t="e">
        <f>IF(#REF!="",U6,#REF!)</f>
        <v>#REF!</v>
      </c>
    </row>
    <row r="8" spans="1:21" ht="15" customHeight="1" x14ac:dyDescent="0.25">
      <c r="A8" s="21" t="s">
        <v>3994</v>
      </c>
      <c r="B8" s="11" t="s">
        <v>8019</v>
      </c>
      <c r="C8" s="11"/>
      <c r="D8" s="12"/>
      <c r="E8" s="29"/>
      <c r="F8" s="30"/>
      <c r="G8" s="11" t="s">
        <v>1555</v>
      </c>
      <c r="H8" s="11" t="s">
        <v>5695</v>
      </c>
      <c r="I8" s="11">
        <v>76</v>
      </c>
      <c r="J8" s="11">
        <v>68</v>
      </c>
      <c r="K8" s="11">
        <v>92</v>
      </c>
      <c r="L8" s="11">
        <v>92</v>
      </c>
      <c r="M8" s="11">
        <v>40</v>
      </c>
      <c r="N8" s="11">
        <v>52</v>
      </c>
      <c r="O8" s="11">
        <v>40</v>
      </c>
      <c r="P8" s="11">
        <v>52</v>
      </c>
      <c r="Q8" s="11">
        <v>34</v>
      </c>
      <c r="R8" s="11">
        <v>0</v>
      </c>
      <c r="S8" s="12">
        <v>0</v>
      </c>
      <c r="U8" t="e">
        <f t="shared" ref="U8:U17" si="0">IF(F5="",U7,F5)</f>
        <v>#REF!</v>
      </c>
    </row>
    <row r="9" spans="1:21" ht="15" customHeight="1" x14ac:dyDescent="0.25">
      <c r="A9" s="21" t="s">
        <v>3995</v>
      </c>
      <c r="B9" s="11" t="s">
        <v>8019</v>
      </c>
      <c r="C9" s="11"/>
      <c r="D9" s="12"/>
      <c r="E9" s="29"/>
      <c r="F9" s="30"/>
      <c r="G9" s="11" t="s">
        <v>2323</v>
      </c>
      <c r="H9" s="11" t="s">
        <v>6463</v>
      </c>
      <c r="I9" s="11">
        <v>80</v>
      </c>
      <c r="J9" s="11">
        <v>50</v>
      </c>
      <c r="K9" s="11">
        <v>50</v>
      </c>
      <c r="L9" s="11">
        <v>130</v>
      </c>
      <c r="M9" s="11">
        <v>70</v>
      </c>
      <c r="N9" s="11">
        <v>100</v>
      </c>
      <c r="O9" s="11">
        <v>75</v>
      </c>
      <c r="P9" s="11">
        <v>70</v>
      </c>
      <c r="Q9" s="11">
        <v>50</v>
      </c>
      <c r="R9" s="11">
        <v>0</v>
      </c>
      <c r="S9" s="12">
        <v>1</v>
      </c>
      <c r="U9" t="e">
        <f t="shared" si="0"/>
        <v>#REF!</v>
      </c>
    </row>
    <row r="10" spans="1:21" ht="15" customHeight="1" x14ac:dyDescent="0.25">
      <c r="A10" s="21" t="s">
        <v>3996</v>
      </c>
      <c r="B10" s="11" t="s">
        <v>8019</v>
      </c>
      <c r="C10" s="11"/>
      <c r="D10" s="12"/>
      <c r="E10" s="29"/>
      <c r="F10" s="30"/>
      <c r="G10" s="11" t="s">
        <v>2553</v>
      </c>
      <c r="H10" s="11" t="s">
        <v>6693</v>
      </c>
      <c r="I10" s="11">
        <v>30</v>
      </c>
      <c r="J10" s="11">
        <v>65</v>
      </c>
      <c r="K10" s="11">
        <v>15</v>
      </c>
      <c r="L10" s="11">
        <v>80</v>
      </c>
      <c r="M10" s="11">
        <v>30</v>
      </c>
      <c r="N10" s="11">
        <v>65</v>
      </c>
      <c r="O10" s="11">
        <v>80</v>
      </c>
      <c r="P10" s="11">
        <v>15</v>
      </c>
      <c r="Q10" s="11">
        <v>80</v>
      </c>
      <c r="R10" s="11">
        <v>0</v>
      </c>
      <c r="S10" s="12">
        <v>38</v>
      </c>
      <c r="U10" t="e">
        <f t="shared" si="0"/>
        <v>#REF!</v>
      </c>
    </row>
    <row r="11" spans="1:21" ht="15" customHeight="1" x14ac:dyDescent="0.25">
      <c r="A11" s="21" t="s">
        <v>3997</v>
      </c>
      <c r="B11" s="11" t="s">
        <v>8019</v>
      </c>
      <c r="C11" s="11"/>
      <c r="D11" s="12"/>
      <c r="E11" s="29"/>
      <c r="F11" s="30"/>
      <c r="G11" s="11" t="s">
        <v>2656</v>
      </c>
      <c r="H11" s="11" t="s">
        <v>6796</v>
      </c>
      <c r="I11" s="11">
        <v>0</v>
      </c>
      <c r="J11" s="11">
        <v>0</v>
      </c>
      <c r="K11" s="11">
        <v>0</v>
      </c>
      <c r="L11" s="11">
        <v>0</v>
      </c>
      <c r="M11" s="11">
        <v>0</v>
      </c>
      <c r="N11" s="11">
        <v>0</v>
      </c>
      <c r="O11" s="11">
        <v>0</v>
      </c>
      <c r="P11" s="11">
        <v>0</v>
      </c>
      <c r="Q11" s="11">
        <v>0</v>
      </c>
      <c r="R11" s="11">
        <v>0</v>
      </c>
      <c r="S11" s="12">
        <v>4240</v>
      </c>
      <c r="U11" t="e">
        <f t="shared" si="0"/>
        <v>#REF!</v>
      </c>
    </row>
    <row r="12" spans="1:21" ht="15" customHeight="1" x14ac:dyDescent="0.25">
      <c r="A12" s="21" t="s">
        <v>3998</v>
      </c>
      <c r="B12" s="11" t="s">
        <v>8019</v>
      </c>
      <c r="C12" s="11"/>
      <c r="D12" s="12"/>
      <c r="E12" s="29"/>
      <c r="F12" s="30"/>
      <c r="G12" s="11" t="s">
        <v>2772</v>
      </c>
      <c r="H12" s="11" t="s">
        <v>6912</v>
      </c>
      <c r="I12" s="11">
        <v>1</v>
      </c>
      <c r="J12" s="11">
        <v>0</v>
      </c>
      <c r="K12" s="11">
        <v>1</v>
      </c>
      <c r="L12" s="11">
        <v>1</v>
      </c>
      <c r="M12" s="11">
        <v>0</v>
      </c>
      <c r="N12" s="11">
        <v>0</v>
      </c>
      <c r="O12" s="11">
        <v>0</v>
      </c>
      <c r="P12" s="11">
        <v>0</v>
      </c>
      <c r="Q12" s="11">
        <v>0</v>
      </c>
      <c r="R12" s="11">
        <v>0</v>
      </c>
      <c r="S12" s="12">
        <v>2</v>
      </c>
      <c r="U12" t="e">
        <f t="shared" si="0"/>
        <v>#REF!</v>
      </c>
    </row>
    <row r="13" spans="1:21" ht="15" customHeight="1" x14ac:dyDescent="0.25">
      <c r="A13" s="21" t="s">
        <v>3999</v>
      </c>
      <c r="B13" s="11" t="s">
        <v>8019</v>
      </c>
      <c r="C13" s="11"/>
      <c r="D13" s="12"/>
      <c r="E13" s="29"/>
      <c r="F13" s="30"/>
      <c r="G13" s="11" t="s">
        <v>2789</v>
      </c>
      <c r="H13" s="11" t="s">
        <v>6929</v>
      </c>
      <c r="I13" s="11">
        <v>0</v>
      </c>
      <c r="J13" s="11">
        <v>0</v>
      </c>
      <c r="K13" s="11">
        <v>1</v>
      </c>
      <c r="L13" s="11">
        <v>0</v>
      </c>
      <c r="M13" s="11">
        <v>0</v>
      </c>
      <c r="N13" s="11">
        <v>0</v>
      </c>
      <c r="O13" s="11">
        <v>0</v>
      </c>
      <c r="P13" s="11">
        <v>0</v>
      </c>
      <c r="Q13" s="11">
        <v>0</v>
      </c>
      <c r="R13" s="11">
        <v>0</v>
      </c>
      <c r="S13" s="12">
        <v>1</v>
      </c>
      <c r="U13" t="e">
        <f t="shared" si="0"/>
        <v>#REF!</v>
      </c>
    </row>
    <row r="14" spans="1:21" ht="15" customHeight="1" x14ac:dyDescent="0.25">
      <c r="A14" s="21" t="s">
        <v>4000</v>
      </c>
      <c r="B14" s="11" t="s">
        <v>8019</v>
      </c>
      <c r="C14" s="11"/>
      <c r="D14" s="12"/>
      <c r="E14" s="31"/>
      <c r="F14" s="32"/>
      <c r="G14" s="11" t="s">
        <v>335</v>
      </c>
      <c r="H14" s="11" t="s">
        <v>4475</v>
      </c>
      <c r="I14" s="11">
        <v>80</v>
      </c>
      <c r="J14" s="11">
        <v>25</v>
      </c>
      <c r="K14" s="11">
        <v>25</v>
      </c>
      <c r="L14" s="11">
        <v>25</v>
      </c>
      <c r="M14" s="11">
        <v>55</v>
      </c>
      <c r="N14" s="11">
        <v>25</v>
      </c>
      <c r="O14" s="11">
        <v>25</v>
      </c>
      <c r="P14" s="11">
        <v>55</v>
      </c>
      <c r="Q14" s="11">
        <v>25</v>
      </c>
      <c r="R14" s="11">
        <v>0</v>
      </c>
      <c r="S14" s="12">
        <v>213</v>
      </c>
      <c r="U14" t="e">
        <f t="shared" si="0"/>
        <v>#REF!</v>
      </c>
    </row>
    <row r="15" spans="1:21" ht="15" customHeight="1" x14ac:dyDescent="0.25">
      <c r="A15" s="21" t="s">
        <v>3902</v>
      </c>
      <c r="B15" s="11" t="s">
        <v>8019</v>
      </c>
      <c r="C15" s="11" t="s">
        <v>8028</v>
      </c>
      <c r="D15" s="12"/>
      <c r="E15" s="6" t="s">
        <v>8022</v>
      </c>
      <c r="F15" s="7" t="str">
        <f>I3</f>
        <v xml:space="preserve"> Forecast week 43</v>
      </c>
      <c r="G15" s="11" t="s">
        <v>3815</v>
      </c>
      <c r="H15" s="11" t="s">
        <v>7955</v>
      </c>
      <c r="I15" s="11">
        <v>0</v>
      </c>
      <c r="J15" s="11">
        <v>0</v>
      </c>
      <c r="K15" s="11">
        <v>0</v>
      </c>
      <c r="L15" s="11">
        <v>0</v>
      </c>
      <c r="M15" s="11">
        <v>0</v>
      </c>
      <c r="N15" s="11">
        <v>0</v>
      </c>
      <c r="O15" s="11">
        <v>0</v>
      </c>
      <c r="P15" s="11">
        <v>0</v>
      </c>
      <c r="Q15" s="11">
        <v>0</v>
      </c>
      <c r="R15" s="11">
        <v>0</v>
      </c>
      <c r="S15" s="12">
        <v>0</v>
      </c>
      <c r="U15" t="e">
        <f t="shared" si="0"/>
        <v>#REF!</v>
      </c>
    </row>
    <row r="16" spans="1:21" ht="15" customHeight="1" x14ac:dyDescent="0.25">
      <c r="A16" s="21" t="s">
        <v>4001</v>
      </c>
      <c r="B16" s="11" t="s">
        <v>8019</v>
      </c>
      <c r="C16" s="11"/>
      <c r="D16" s="12"/>
      <c r="E16" s="7" t="s">
        <v>8023</v>
      </c>
      <c r="F16" s="7" t="s">
        <v>8030</v>
      </c>
      <c r="G16" s="11" t="s">
        <v>758</v>
      </c>
      <c r="H16" s="11" t="s">
        <v>4898</v>
      </c>
      <c r="I16" s="11">
        <v>0</v>
      </c>
      <c r="J16" s="11">
        <v>0</v>
      </c>
      <c r="K16" s="11">
        <v>0</v>
      </c>
      <c r="L16" s="11">
        <v>0</v>
      </c>
      <c r="M16" s="11">
        <v>0</v>
      </c>
      <c r="N16" s="11">
        <v>0</v>
      </c>
      <c r="O16" s="11">
        <v>0</v>
      </c>
      <c r="P16" s="11">
        <v>0</v>
      </c>
      <c r="Q16" s="11">
        <v>0</v>
      </c>
      <c r="R16" s="11">
        <v>0</v>
      </c>
      <c r="S16" s="12">
        <v>8</v>
      </c>
      <c r="U16" t="e">
        <f t="shared" si="0"/>
        <v>#REF!</v>
      </c>
    </row>
    <row r="17" spans="1:21" ht="15" customHeight="1" x14ac:dyDescent="0.25">
      <c r="A17" s="21" t="s">
        <v>4002</v>
      </c>
      <c r="B17" s="11" t="s">
        <v>8019</v>
      </c>
      <c r="C17" s="11"/>
      <c r="D17" s="12"/>
      <c r="E17" s="7" t="s">
        <v>8024</v>
      </c>
      <c r="F17" s="17"/>
      <c r="G17" s="11" t="s">
        <v>938</v>
      </c>
      <c r="H17" s="11" t="s">
        <v>5078</v>
      </c>
      <c r="I17" s="11">
        <v>0</v>
      </c>
      <c r="J17" s="11">
        <v>0</v>
      </c>
      <c r="K17" s="11">
        <v>0</v>
      </c>
      <c r="L17" s="11">
        <v>0</v>
      </c>
      <c r="M17" s="11">
        <v>0</v>
      </c>
      <c r="N17" s="11">
        <v>0</v>
      </c>
      <c r="O17" s="11">
        <v>0</v>
      </c>
      <c r="P17" s="11">
        <v>0</v>
      </c>
      <c r="Q17" s="11">
        <v>0</v>
      </c>
      <c r="R17" s="11">
        <v>0</v>
      </c>
      <c r="S17" s="12">
        <v>26</v>
      </c>
      <c r="U17" t="e">
        <f t="shared" si="0"/>
        <v>#REF!</v>
      </c>
    </row>
    <row r="18" spans="1:21" ht="15" customHeight="1" x14ac:dyDescent="0.25">
      <c r="A18" s="21" t="s">
        <v>4003</v>
      </c>
      <c r="B18" s="11" t="s">
        <v>8019</v>
      </c>
      <c r="C18" s="11"/>
      <c r="D18" s="12"/>
      <c r="E18" s="7" t="s">
        <v>8025</v>
      </c>
      <c r="F18" s="18"/>
      <c r="G18" s="13" t="s">
        <v>971</v>
      </c>
      <c r="H18" s="13" t="s">
        <v>5111</v>
      </c>
      <c r="I18" s="13">
        <v>100</v>
      </c>
      <c r="J18" s="13">
        <v>87</v>
      </c>
      <c r="K18" s="13">
        <v>91</v>
      </c>
      <c r="L18" s="13">
        <v>104</v>
      </c>
      <c r="M18" s="13">
        <v>118</v>
      </c>
      <c r="N18" s="13">
        <v>39</v>
      </c>
      <c r="O18" s="13">
        <v>49</v>
      </c>
      <c r="P18" s="13">
        <v>29</v>
      </c>
      <c r="Q18" s="13">
        <v>25</v>
      </c>
      <c r="R18" s="13">
        <v>0</v>
      </c>
      <c r="S18" s="14">
        <v>1086</v>
      </c>
      <c r="U18" t="e">
        <f t="shared" ref="U18:U81" si="1">IF(F18="",U17,F18)</f>
        <v>#REF!</v>
      </c>
    </row>
    <row r="19" spans="1:21" ht="15" customHeight="1" x14ac:dyDescent="0.25">
      <c r="A19" s="21" t="s">
        <v>4004</v>
      </c>
      <c r="B19" s="11" t="s">
        <v>8019</v>
      </c>
      <c r="C19" s="11"/>
      <c r="D19" s="12"/>
      <c r="U19" t="e">
        <f t="shared" si="1"/>
        <v>#REF!</v>
      </c>
    </row>
    <row r="20" spans="1:21" ht="15" customHeight="1" x14ac:dyDescent="0.25">
      <c r="A20" s="21" t="s">
        <v>4005</v>
      </c>
      <c r="B20" s="11" t="s">
        <v>8019</v>
      </c>
      <c r="C20" s="11"/>
      <c r="D20" s="12"/>
      <c r="U20" t="e">
        <f t="shared" si="1"/>
        <v>#REF!</v>
      </c>
    </row>
    <row r="21" spans="1:21" ht="15" customHeight="1" x14ac:dyDescent="0.25">
      <c r="A21" s="21" t="s">
        <v>4006</v>
      </c>
      <c r="B21" s="11" t="s">
        <v>8019</v>
      </c>
      <c r="C21" s="11"/>
      <c r="D21" s="12"/>
      <c r="U21" t="e">
        <f t="shared" si="1"/>
        <v>#REF!</v>
      </c>
    </row>
    <row r="22" spans="1:21" ht="15" customHeight="1" x14ac:dyDescent="0.25">
      <c r="A22" s="21" t="s">
        <v>4007</v>
      </c>
      <c r="B22" s="11" t="s">
        <v>8019</v>
      </c>
      <c r="C22" s="11"/>
      <c r="D22" s="12"/>
      <c r="U22" t="e">
        <f t="shared" si="1"/>
        <v>#REF!</v>
      </c>
    </row>
    <row r="23" spans="1:21" ht="15" customHeight="1" x14ac:dyDescent="0.25">
      <c r="A23" s="21" t="s">
        <v>4008</v>
      </c>
      <c r="B23" s="11" t="s">
        <v>8019</v>
      </c>
      <c r="C23" s="11"/>
      <c r="D23" s="12"/>
      <c r="U23" t="e">
        <f t="shared" si="1"/>
        <v>#REF!</v>
      </c>
    </row>
    <row r="24" spans="1:21" ht="15" customHeight="1" x14ac:dyDescent="0.25">
      <c r="A24" s="21" t="s">
        <v>4009</v>
      </c>
      <c r="B24" s="11" t="s">
        <v>8019</v>
      </c>
      <c r="C24" s="11"/>
      <c r="D24" s="12"/>
      <c r="U24" t="e">
        <f t="shared" si="1"/>
        <v>#REF!</v>
      </c>
    </row>
    <row r="25" spans="1:21" ht="15" customHeight="1" x14ac:dyDescent="0.25">
      <c r="A25" s="21" t="s">
        <v>4010</v>
      </c>
      <c r="B25" s="11" t="s">
        <v>8019</v>
      </c>
      <c r="C25" s="11"/>
      <c r="D25" s="12"/>
      <c r="U25" t="e">
        <f t="shared" si="1"/>
        <v>#REF!</v>
      </c>
    </row>
    <row r="26" spans="1:21" ht="15" customHeight="1" x14ac:dyDescent="0.25">
      <c r="A26" s="21" t="s">
        <v>3903</v>
      </c>
      <c r="B26" s="11" t="s">
        <v>8019</v>
      </c>
      <c r="C26" s="11" t="s">
        <v>8028</v>
      </c>
      <c r="D26" s="12"/>
      <c r="U26" t="e">
        <f t="shared" si="1"/>
        <v>#REF!</v>
      </c>
    </row>
    <row r="27" spans="1:21" ht="15" customHeight="1" x14ac:dyDescent="0.25">
      <c r="A27" s="21" t="s">
        <v>4011</v>
      </c>
      <c r="B27" s="11" t="s">
        <v>8019</v>
      </c>
      <c r="C27" s="11"/>
      <c r="D27" s="12"/>
      <c r="U27" t="e">
        <f t="shared" si="1"/>
        <v>#REF!</v>
      </c>
    </row>
    <row r="28" spans="1:21" ht="15" customHeight="1" x14ac:dyDescent="0.25">
      <c r="A28" s="21" t="s">
        <v>4012</v>
      </c>
      <c r="B28" s="11" t="s">
        <v>8019</v>
      </c>
      <c r="C28" s="11"/>
      <c r="D28" s="12"/>
      <c r="U28" t="e">
        <f t="shared" si="1"/>
        <v>#REF!</v>
      </c>
    </row>
    <row r="29" spans="1:21" ht="15" customHeight="1" x14ac:dyDescent="0.25">
      <c r="A29" s="21" t="s">
        <v>4013</v>
      </c>
      <c r="B29" s="11" t="s">
        <v>8019</v>
      </c>
      <c r="C29" s="11"/>
      <c r="D29" s="12"/>
      <c r="U29" t="e">
        <f t="shared" si="1"/>
        <v>#REF!</v>
      </c>
    </row>
    <row r="30" spans="1:21" ht="15" customHeight="1" x14ac:dyDescent="0.25">
      <c r="A30" s="21" t="s">
        <v>4014</v>
      </c>
      <c r="B30" s="11" t="s">
        <v>8019</v>
      </c>
      <c r="C30" s="11"/>
      <c r="D30" s="12"/>
      <c r="U30" t="e">
        <f t="shared" si="1"/>
        <v>#REF!</v>
      </c>
    </row>
    <row r="31" spans="1:21" ht="15" customHeight="1" x14ac:dyDescent="0.25">
      <c r="A31" s="21" t="s">
        <v>4015</v>
      </c>
      <c r="B31" s="11" t="s">
        <v>8019</v>
      </c>
      <c r="C31" s="11"/>
      <c r="D31" s="12"/>
      <c r="U31" t="e">
        <f t="shared" si="1"/>
        <v>#REF!</v>
      </c>
    </row>
    <row r="32" spans="1:21" ht="15" customHeight="1" x14ac:dyDescent="0.25">
      <c r="A32" s="21" t="s">
        <v>4016</v>
      </c>
      <c r="B32" s="11" t="s">
        <v>8019</v>
      </c>
      <c r="C32" s="11"/>
      <c r="D32" s="12"/>
      <c r="U32" t="e">
        <f t="shared" si="1"/>
        <v>#REF!</v>
      </c>
    </row>
    <row r="33" spans="1:21" ht="15" customHeight="1" x14ac:dyDescent="0.25">
      <c r="A33" s="21" t="s">
        <v>4017</v>
      </c>
      <c r="B33" s="11" t="s">
        <v>8019</v>
      </c>
      <c r="C33" s="11"/>
      <c r="D33" s="12"/>
      <c r="U33" t="e">
        <f t="shared" si="1"/>
        <v>#REF!</v>
      </c>
    </row>
    <row r="34" spans="1:21" ht="15" customHeight="1" x14ac:dyDescent="0.25">
      <c r="A34" s="21" t="s">
        <v>4018</v>
      </c>
      <c r="B34" s="11" t="s">
        <v>8019</v>
      </c>
      <c r="C34" s="11"/>
      <c r="D34" s="12"/>
      <c r="U34" t="e">
        <f t="shared" si="1"/>
        <v>#REF!</v>
      </c>
    </row>
    <row r="35" spans="1:21" ht="15" customHeight="1" x14ac:dyDescent="0.25">
      <c r="A35" s="21" t="s">
        <v>4019</v>
      </c>
      <c r="B35" s="11" t="s">
        <v>8019</v>
      </c>
      <c r="C35" s="11"/>
      <c r="D35" s="12"/>
      <c r="U35" t="e">
        <f t="shared" si="1"/>
        <v>#REF!</v>
      </c>
    </row>
    <row r="36" spans="1:21" ht="15" customHeight="1" x14ac:dyDescent="0.25">
      <c r="A36" s="21" t="s">
        <v>4020</v>
      </c>
      <c r="B36" s="11" t="s">
        <v>8019</v>
      </c>
      <c r="C36" s="11"/>
      <c r="D36" s="12"/>
      <c r="U36" t="e">
        <f t="shared" si="1"/>
        <v>#REF!</v>
      </c>
    </row>
    <row r="37" spans="1:21" ht="15" customHeight="1" x14ac:dyDescent="0.25">
      <c r="A37" s="21" t="s">
        <v>3904</v>
      </c>
      <c r="B37" s="11" t="s">
        <v>8019</v>
      </c>
      <c r="C37" s="11" t="s">
        <v>8028</v>
      </c>
      <c r="D37" s="12"/>
      <c r="U37" t="e">
        <f t="shared" si="1"/>
        <v>#REF!</v>
      </c>
    </row>
    <row r="38" spans="1:21" ht="15" customHeight="1" x14ac:dyDescent="0.25">
      <c r="A38" s="21" t="s">
        <v>4021</v>
      </c>
      <c r="B38" s="11" t="s">
        <v>8019</v>
      </c>
      <c r="C38" s="11"/>
      <c r="D38" s="12"/>
      <c r="U38" t="e">
        <f t="shared" si="1"/>
        <v>#REF!</v>
      </c>
    </row>
    <row r="39" spans="1:21" ht="15" customHeight="1" x14ac:dyDescent="0.25">
      <c r="A39" s="21" t="s">
        <v>4022</v>
      </c>
      <c r="B39" s="11" t="s">
        <v>8019</v>
      </c>
      <c r="C39" s="11"/>
      <c r="D39" s="12"/>
      <c r="U39" t="e">
        <f t="shared" si="1"/>
        <v>#REF!</v>
      </c>
    </row>
    <row r="40" spans="1:21" ht="15" customHeight="1" x14ac:dyDescent="0.25">
      <c r="A40" s="21" t="s">
        <v>4023</v>
      </c>
      <c r="B40" s="11" t="s">
        <v>8019</v>
      </c>
      <c r="C40" s="11"/>
      <c r="D40" s="12"/>
      <c r="U40" t="e">
        <f t="shared" si="1"/>
        <v>#REF!</v>
      </c>
    </row>
    <row r="41" spans="1:21" ht="15" customHeight="1" x14ac:dyDescent="0.25">
      <c r="A41" s="21" t="s">
        <v>4024</v>
      </c>
      <c r="B41" s="11" t="s">
        <v>8019</v>
      </c>
      <c r="C41" s="11"/>
      <c r="D41" s="12"/>
      <c r="U41" t="e">
        <f t="shared" si="1"/>
        <v>#REF!</v>
      </c>
    </row>
    <row r="42" spans="1:21" ht="15" customHeight="1" x14ac:dyDescent="0.25">
      <c r="A42" s="21" t="s">
        <v>4025</v>
      </c>
      <c r="B42" s="11" t="s">
        <v>8019</v>
      </c>
      <c r="C42" s="11"/>
      <c r="D42" s="12"/>
      <c r="U42" t="e">
        <f t="shared" si="1"/>
        <v>#REF!</v>
      </c>
    </row>
    <row r="43" spans="1:21" ht="15" customHeight="1" x14ac:dyDescent="0.25">
      <c r="A43" s="21" t="s">
        <v>4026</v>
      </c>
      <c r="B43" s="11" t="s">
        <v>8019</v>
      </c>
      <c r="C43" s="11"/>
      <c r="D43" s="12"/>
      <c r="U43" t="e">
        <f t="shared" si="1"/>
        <v>#REF!</v>
      </c>
    </row>
    <row r="44" spans="1:21" ht="15" customHeight="1" x14ac:dyDescent="0.25">
      <c r="A44" s="21" t="s">
        <v>4027</v>
      </c>
      <c r="B44" s="11" t="s">
        <v>8019</v>
      </c>
      <c r="C44" s="11"/>
      <c r="D44" s="12"/>
      <c r="U44" t="e">
        <f t="shared" si="1"/>
        <v>#REF!</v>
      </c>
    </row>
    <row r="45" spans="1:21" ht="15" customHeight="1" x14ac:dyDescent="0.25">
      <c r="A45" s="21" t="s">
        <v>4028</v>
      </c>
      <c r="B45" s="11" t="s">
        <v>8019</v>
      </c>
      <c r="C45" s="11"/>
      <c r="D45" s="12"/>
      <c r="U45" t="e">
        <f t="shared" si="1"/>
        <v>#REF!</v>
      </c>
    </row>
    <row r="46" spans="1:21" ht="15" customHeight="1" x14ac:dyDescent="0.25">
      <c r="A46" s="21" t="s">
        <v>4029</v>
      </c>
      <c r="B46" s="11" t="s">
        <v>8019</v>
      </c>
      <c r="C46" s="11"/>
      <c r="D46" s="12"/>
      <c r="U46" t="e">
        <f t="shared" si="1"/>
        <v>#REF!</v>
      </c>
    </row>
    <row r="47" spans="1:21" ht="15" customHeight="1" x14ac:dyDescent="0.25">
      <c r="A47" s="21" t="s">
        <v>4030</v>
      </c>
      <c r="B47" s="11" t="s">
        <v>8019</v>
      </c>
      <c r="C47" s="11"/>
      <c r="D47" s="12"/>
      <c r="U47" t="e">
        <f t="shared" si="1"/>
        <v>#REF!</v>
      </c>
    </row>
    <row r="48" spans="1:21" ht="15" customHeight="1" x14ac:dyDescent="0.25">
      <c r="A48" s="21" t="s">
        <v>3905</v>
      </c>
      <c r="B48" s="11" t="s">
        <v>8019</v>
      </c>
      <c r="C48" s="11" t="s">
        <v>8028</v>
      </c>
      <c r="D48" s="12"/>
      <c r="U48" t="e">
        <f t="shared" si="1"/>
        <v>#REF!</v>
      </c>
    </row>
    <row r="49" spans="1:21" ht="15" customHeight="1" x14ac:dyDescent="0.25">
      <c r="A49" s="21" t="s">
        <v>4031</v>
      </c>
      <c r="B49" s="11" t="s">
        <v>8019</v>
      </c>
      <c r="C49" s="11"/>
      <c r="D49" s="12"/>
      <c r="U49" t="e">
        <f t="shared" si="1"/>
        <v>#REF!</v>
      </c>
    </row>
    <row r="50" spans="1:21" ht="15" customHeight="1" x14ac:dyDescent="0.25">
      <c r="A50" s="21" t="s">
        <v>4032</v>
      </c>
      <c r="B50" s="11" t="s">
        <v>8019</v>
      </c>
      <c r="C50" s="11"/>
      <c r="D50" s="12"/>
      <c r="U50" t="e">
        <f t="shared" si="1"/>
        <v>#REF!</v>
      </c>
    </row>
    <row r="51" spans="1:21" ht="15" customHeight="1" x14ac:dyDescent="0.25">
      <c r="A51" s="21" t="s">
        <v>4033</v>
      </c>
      <c r="B51" s="11" t="s">
        <v>8019</v>
      </c>
      <c r="C51" s="11"/>
      <c r="D51" s="12"/>
      <c r="U51" t="e">
        <f t="shared" si="1"/>
        <v>#REF!</v>
      </c>
    </row>
    <row r="52" spans="1:21" ht="15" customHeight="1" x14ac:dyDescent="0.25">
      <c r="A52" s="21" t="s">
        <v>4034</v>
      </c>
      <c r="B52" s="11" t="s">
        <v>8019</v>
      </c>
      <c r="C52" s="11"/>
      <c r="D52" s="12"/>
      <c r="U52" t="e">
        <f t="shared" si="1"/>
        <v>#REF!</v>
      </c>
    </row>
    <row r="53" spans="1:21" ht="15" customHeight="1" x14ac:dyDescent="0.25">
      <c r="A53" s="21" t="s">
        <v>4035</v>
      </c>
      <c r="B53" s="11" t="s">
        <v>8019</v>
      </c>
      <c r="C53" s="11"/>
      <c r="D53" s="12"/>
      <c r="U53" t="e">
        <f t="shared" si="1"/>
        <v>#REF!</v>
      </c>
    </row>
    <row r="54" spans="1:21" ht="15" customHeight="1" x14ac:dyDescent="0.25">
      <c r="A54" s="21" t="s">
        <v>4036</v>
      </c>
      <c r="B54" s="11" t="s">
        <v>8019</v>
      </c>
      <c r="C54" s="11"/>
      <c r="D54" s="12"/>
      <c r="U54" t="e">
        <f t="shared" si="1"/>
        <v>#REF!</v>
      </c>
    </row>
    <row r="55" spans="1:21" ht="15" customHeight="1" x14ac:dyDescent="0.25">
      <c r="A55" s="21" t="s">
        <v>4037</v>
      </c>
      <c r="B55" s="11" t="s">
        <v>8019</v>
      </c>
      <c r="C55" s="11"/>
      <c r="D55" s="12"/>
      <c r="U55" t="e">
        <f t="shared" si="1"/>
        <v>#REF!</v>
      </c>
    </row>
    <row r="56" spans="1:21" ht="15" customHeight="1" x14ac:dyDescent="0.25">
      <c r="A56" s="21" t="s">
        <v>4038</v>
      </c>
      <c r="B56" s="11" t="s">
        <v>8019</v>
      </c>
      <c r="C56" s="11"/>
      <c r="D56" s="12"/>
      <c r="U56" t="e">
        <f t="shared" si="1"/>
        <v>#REF!</v>
      </c>
    </row>
    <row r="57" spans="1:21" ht="15" customHeight="1" x14ac:dyDescent="0.25">
      <c r="A57" s="21" t="s">
        <v>4039</v>
      </c>
      <c r="B57" s="11" t="s">
        <v>8019</v>
      </c>
      <c r="C57" s="11"/>
      <c r="D57" s="12"/>
      <c r="U57" t="e">
        <f t="shared" si="1"/>
        <v>#REF!</v>
      </c>
    </row>
    <row r="58" spans="1:21" ht="15" customHeight="1" x14ac:dyDescent="0.25">
      <c r="A58" s="21" t="s">
        <v>4040</v>
      </c>
      <c r="B58" s="11" t="s">
        <v>8019</v>
      </c>
      <c r="C58" s="11"/>
      <c r="D58" s="12"/>
      <c r="U58" t="e">
        <f t="shared" si="1"/>
        <v>#REF!</v>
      </c>
    </row>
    <row r="59" spans="1:21" ht="15" customHeight="1" x14ac:dyDescent="0.25">
      <c r="A59" s="21" t="s">
        <v>3906</v>
      </c>
      <c r="B59" s="11" t="s">
        <v>8019</v>
      </c>
      <c r="C59" s="11" t="s">
        <v>8028</v>
      </c>
      <c r="D59" s="12"/>
      <c r="U59" t="e">
        <f t="shared" si="1"/>
        <v>#REF!</v>
      </c>
    </row>
    <row r="60" spans="1:21" ht="15" customHeight="1" x14ac:dyDescent="0.25">
      <c r="A60" s="21" t="s">
        <v>4041</v>
      </c>
      <c r="B60" s="11" t="s">
        <v>8019</v>
      </c>
      <c r="C60" s="11"/>
      <c r="D60" s="12"/>
      <c r="U60" t="e">
        <f t="shared" si="1"/>
        <v>#REF!</v>
      </c>
    </row>
    <row r="61" spans="1:21" ht="15" customHeight="1" x14ac:dyDescent="0.25">
      <c r="A61" s="21" t="s">
        <v>4042</v>
      </c>
      <c r="B61" s="11" t="s">
        <v>8019</v>
      </c>
      <c r="C61" s="11"/>
      <c r="D61" s="12"/>
      <c r="U61" t="e">
        <f t="shared" si="1"/>
        <v>#REF!</v>
      </c>
    </row>
    <row r="62" spans="1:21" ht="15" customHeight="1" x14ac:dyDescent="0.25">
      <c r="A62" s="21" t="s">
        <v>4043</v>
      </c>
      <c r="B62" s="11" t="s">
        <v>8019</v>
      </c>
      <c r="C62" s="11"/>
      <c r="D62" s="12"/>
      <c r="U62" t="e">
        <f t="shared" si="1"/>
        <v>#REF!</v>
      </c>
    </row>
    <row r="63" spans="1:21" ht="15" customHeight="1" x14ac:dyDescent="0.25">
      <c r="A63" s="21" t="s">
        <v>4044</v>
      </c>
      <c r="B63" s="11" t="s">
        <v>8019</v>
      </c>
      <c r="C63" s="11"/>
      <c r="D63" s="12"/>
      <c r="U63" t="e">
        <f t="shared" si="1"/>
        <v>#REF!</v>
      </c>
    </row>
    <row r="64" spans="1:21" ht="15" customHeight="1" x14ac:dyDescent="0.25">
      <c r="A64" s="21" t="s">
        <v>4045</v>
      </c>
      <c r="B64" s="11" t="s">
        <v>8019</v>
      </c>
      <c r="C64" s="11"/>
      <c r="D64" s="12"/>
      <c r="U64" t="e">
        <f t="shared" si="1"/>
        <v>#REF!</v>
      </c>
    </row>
    <row r="65" spans="1:21" ht="15" customHeight="1" x14ac:dyDescent="0.25">
      <c r="A65" s="21" t="s">
        <v>4046</v>
      </c>
      <c r="B65" s="11" t="s">
        <v>8019</v>
      </c>
      <c r="C65" s="11"/>
      <c r="D65" s="12"/>
      <c r="U65" t="e">
        <f t="shared" si="1"/>
        <v>#REF!</v>
      </c>
    </row>
    <row r="66" spans="1:21" ht="15" customHeight="1" x14ac:dyDescent="0.25">
      <c r="A66" s="21" t="s">
        <v>4047</v>
      </c>
      <c r="B66" s="11" t="s">
        <v>8019</v>
      </c>
      <c r="C66" s="11"/>
      <c r="D66" s="12"/>
      <c r="U66" t="e">
        <f t="shared" si="1"/>
        <v>#REF!</v>
      </c>
    </row>
    <row r="67" spans="1:21" ht="15" customHeight="1" x14ac:dyDescent="0.25">
      <c r="A67" s="21" t="s">
        <v>4048</v>
      </c>
      <c r="B67" s="11" t="s">
        <v>8019</v>
      </c>
      <c r="C67" s="11"/>
      <c r="D67" s="12"/>
      <c r="U67" t="e">
        <f t="shared" si="1"/>
        <v>#REF!</v>
      </c>
    </row>
    <row r="68" spans="1:21" ht="15" customHeight="1" x14ac:dyDescent="0.25">
      <c r="A68" s="21" t="s">
        <v>4049</v>
      </c>
      <c r="B68" s="11" t="s">
        <v>8019</v>
      </c>
      <c r="C68" s="11"/>
      <c r="D68" s="12"/>
      <c r="U68" t="e">
        <f t="shared" si="1"/>
        <v>#REF!</v>
      </c>
    </row>
    <row r="69" spans="1:21" ht="15" customHeight="1" x14ac:dyDescent="0.25">
      <c r="A69" s="21" t="s">
        <v>4050</v>
      </c>
      <c r="B69" s="11" t="s">
        <v>8019</v>
      </c>
      <c r="C69" s="11"/>
      <c r="D69" s="12"/>
      <c r="U69" t="e">
        <f t="shared" si="1"/>
        <v>#REF!</v>
      </c>
    </row>
    <row r="70" spans="1:21" ht="15" customHeight="1" x14ac:dyDescent="0.25">
      <c r="A70" s="21" t="s">
        <v>3907</v>
      </c>
      <c r="B70" s="11" t="s">
        <v>8019</v>
      </c>
      <c r="C70" s="11" t="s">
        <v>8028</v>
      </c>
      <c r="D70" s="12"/>
      <c r="U70" t="e">
        <f t="shared" si="1"/>
        <v>#REF!</v>
      </c>
    </row>
    <row r="71" spans="1:21" ht="15" customHeight="1" x14ac:dyDescent="0.25">
      <c r="A71" s="21" t="s">
        <v>4051</v>
      </c>
      <c r="B71" s="11" t="s">
        <v>8019</v>
      </c>
      <c r="C71" s="11"/>
      <c r="D71" s="12"/>
      <c r="U71" t="e">
        <f t="shared" si="1"/>
        <v>#REF!</v>
      </c>
    </row>
    <row r="72" spans="1:21" ht="15" customHeight="1" x14ac:dyDescent="0.25">
      <c r="A72" s="21" t="s">
        <v>4052</v>
      </c>
      <c r="B72" s="11" t="s">
        <v>8019</v>
      </c>
      <c r="C72" s="11"/>
      <c r="D72" s="12"/>
      <c r="U72" t="e">
        <f t="shared" si="1"/>
        <v>#REF!</v>
      </c>
    </row>
    <row r="73" spans="1:21" ht="15" customHeight="1" x14ac:dyDescent="0.25">
      <c r="A73" s="21" t="s">
        <v>4053</v>
      </c>
      <c r="B73" s="11" t="s">
        <v>8019</v>
      </c>
      <c r="C73" s="11"/>
      <c r="D73" s="12"/>
      <c r="U73" t="e">
        <f t="shared" si="1"/>
        <v>#REF!</v>
      </c>
    </row>
    <row r="74" spans="1:21" ht="15" customHeight="1" x14ac:dyDescent="0.25">
      <c r="A74" s="21" t="s">
        <v>4054</v>
      </c>
      <c r="B74" s="11" t="s">
        <v>8019</v>
      </c>
      <c r="C74" s="11"/>
      <c r="D74" s="12"/>
      <c r="U74" t="e">
        <f t="shared" si="1"/>
        <v>#REF!</v>
      </c>
    </row>
    <row r="75" spans="1:21" ht="15" customHeight="1" x14ac:dyDescent="0.25">
      <c r="A75" s="21" t="s">
        <v>4055</v>
      </c>
      <c r="B75" s="11" t="s">
        <v>8019</v>
      </c>
      <c r="C75" s="11"/>
      <c r="D75" s="12"/>
      <c r="U75" t="e">
        <f t="shared" si="1"/>
        <v>#REF!</v>
      </c>
    </row>
    <row r="76" spans="1:21" ht="15" customHeight="1" x14ac:dyDescent="0.25">
      <c r="A76" s="21" t="s">
        <v>4056</v>
      </c>
      <c r="B76" s="11" t="s">
        <v>8019</v>
      </c>
      <c r="C76" s="11"/>
      <c r="D76" s="12"/>
      <c r="U76" t="e">
        <f t="shared" si="1"/>
        <v>#REF!</v>
      </c>
    </row>
    <row r="77" spans="1:21" ht="15" customHeight="1" x14ac:dyDescent="0.25">
      <c r="A77" s="21" t="s">
        <v>4057</v>
      </c>
      <c r="B77" s="11" t="s">
        <v>8019</v>
      </c>
      <c r="C77" s="11"/>
      <c r="D77" s="12"/>
      <c r="U77" t="e">
        <f t="shared" si="1"/>
        <v>#REF!</v>
      </c>
    </row>
    <row r="78" spans="1:21" ht="15" customHeight="1" x14ac:dyDescent="0.25">
      <c r="A78" s="21" t="s">
        <v>4058</v>
      </c>
      <c r="B78" s="11" t="s">
        <v>8019</v>
      </c>
      <c r="C78" s="11"/>
      <c r="D78" s="12"/>
      <c r="U78" t="e">
        <f t="shared" si="1"/>
        <v>#REF!</v>
      </c>
    </row>
    <row r="79" spans="1:21" ht="15" customHeight="1" x14ac:dyDescent="0.25">
      <c r="A79" s="21" t="s">
        <v>4059</v>
      </c>
      <c r="B79" s="11" t="s">
        <v>8019</v>
      </c>
      <c r="C79" s="11"/>
      <c r="D79" s="12"/>
      <c r="U79" t="e">
        <f t="shared" si="1"/>
        <v>#REF!</v>
      </c>
    </row>
    <row r="80" spans="1:21" ht="15" customHeight="1" x14ac:dyDescent="0.25">
      <c r="A80" s="21" t="s">
        <v>4060</v>
      </c>
      <c r="B80" s="11" t="s">
        <v>8019</v>
      </c>
      <c r="C80" s="11"/>
      <c r="D80" s="12"/>
      <c r="U80" t="e">
        <f t="shared" si="1"/>
        <v>#REF!</v>
      </c>
    </row>
    <row r="81" spans="1:21" ht="15" customHeight="1" x14ac:dyDescent="0.25">
      <c r="A81" s="21" t="s">
        <v>3908</v>
      </c>
      <c r="B81" s="11" t="s">
        <v>8019</v>
      </c>
      <c r="C81" s="11" t="s">
        <v>8028</v>
      </c>
      <c r="D81" s="12"/>
      <c r="U81" t="e">
        <f t="shared" si="1"/>
        <v>#REF!</v>
      </c>
    </row>
    <row r="82" spans="1:21" ht="15" customHeight="1" x14ac:dyDescent="0.25">
      <c r="A82" s="21" t="s">
        <v>4061</v>
      </c>
      <c r="B82" s="11" t="s">
        <v>8019</v>
      </c>
      <c r="C82" s="11"/>
      <c r="D82" s="12"/>
      <c r="U82" t="e">
        <f t="shared" ref="U82:U145" si="2">IF(F82="",U81,F82)</f>
        <v>#REF!</v>
      </c>
    </row>
    <row r="83" spans="1:21" ht="15" customHeight="1" x14ac:dyDescent="0.25">
      <c r="A83" s="21" t="s">
        <v>4062</v>
      </c>
      <c r="B83" s="11" t="s">
        <v>8019</v>
      </c>
      <c r="C83" s="11"/>
      <c r="D83" s="12"/>
      <c r="U83" t="e">
        <f t="shared" si="2"/>
        <v>#REF!</v>
      </c>
    </row>
    <row r="84" spans="1:21" ht="15" customHeight="1" x14ac:dyDescent="0.25">
      <c r="A84" s="21" t="s">
        <v>4063</v>
      </c>
      <c r="B84" s="11" t="s">
        <v>8019</v>
      </c>
      <c r="C84" s="11"/>
      <c r="D84" s="12"/>
      <c r="U84" t="e">
        <f t="shared" si="2"/>
        <v>#REF!</v>
      </c>
    </row>
    <row r="85" spans="1:21" ht="15" customHeight="1" x14ac:dyDescent="0.25">
      <c r="A85" s="21" t="s">
        <v>4064</v>
      </c>
      <c r="B85" s="11" t="s">
        <v>8019</v>
      </c>
      <c r="C85" s="11"/>
      <c r="D85" s="12"/>
      <c r="U85" t="e">
        <f t="shared" si="2"/>
        <v>#REF!</v>
      </c>
    </row>
    <row r="86" spans="1:21" ht="15" customHeight="1" x14ac:dyDescent="0.25">
      <c r="A86" s="21" t="s">
        <v>4065</v>
      </c>
      <c r="B86" s="11" t="s">
        <v>8019</v>
      </c>
      <c r="C86" s="11"/>
      <c r="D86" s="12"/>
      <c r="U86" t="e">
        <f t="shared" si="2"/>
        <v>#REF!</v>
      </c>
    </row>
    <row r="87" spans="1:21" ht="15" customHeight="1" x14ac:dyDescent="0.25">
      <c r="A87" s="21" t="s">
        <v>4066</v>
      </c>
      <c r="B87" s="11" t="s">
        <v>8019</v>
      </c>
      <c r="C87" s="11"/>
      <c r="D87" s="12"/>
      <c r="U87" t="e">
        <f t="shared" si="2"/>
        <v>#REF!</v>
      </c>
    </row>
    <row r="88" spans="1:21" ht="15" customHeight="1" x14ac:dyDescent="0.25">
      <c r="A88" s="21" t="s">
        <v>4067</v>
      </c>
      <c r="B88" s="11" t="s">
        <v>8019</v>
      </c>
      <c r="C88" s="11"/>
      <c r="D88" s="12"/>
      <c r="U88" t="e">
        <f t="shared" si="2"/>
        <v>#REF!</v>
      </c>
    </row>
    <row r="89" spans="1:21" ht="15" customHeight="1" x14ac:dyDescent="0.25">
      <c r="A89" s="21" t="s">
        <v>4068</v>
      </c>
      <c r="B89" s="11" t="s">
        <v>8019</v>
      </c>
      <c r="C89" s="11"/>
      <c r="D89" s="12"/>
      <c r="U89" t="e">
        <f t="shared" si="2"/>
        <v>#REF!</v>
      </c>
    </row>
    <row r="90" spans="1:21" ht="15" customHeight="1" x14ac:dyDescent="0.25">
      <c r="A90" s="21" t="s">
        <v>4069</v>
      </c>
      <c r="B90" s="11" t="s">
        <v>8019</v>
      </c>
      <c r="C90" s="11"/>
      <c r="D90" s="12"/>
      <c r="U90" t="e">
        <f t="shared" si="2"/>
        <v>#REF!</v>
      </c>
    </row>
    <row r="91" spans="1:21" ht="15" customHeight="1" x14ac:dyDescent="0.25">
      <c r="A91" s="21" t="s">
        <v>4070</v>
      </c>
      <c r="B91" s="11" t="s">
        <v>8019</v>
      </c>
      <c r="C91" s="11"/>
      <c r="D91" s="12"/>
      <c r="U91" t="e">
        <f t="shared" si="2"/>
        <v>#REF!</v>
      </c>
    </row>
    <row r="92" spans="1:21" ht="15" customHeight="1" x14ac:dyDescent="0.25">
      <c r="A92" s="21" t="s">
        <v>3909</v>
      </c>
      <c r="B92" s="11" t="s">
        <v>8019</v>
      </c>
      <c r="C92" s="11" t="s">
        <v>8028</v>
      </c>
      <c r="D92" s="12"/>
      <c r="U92" t="e">
        <f t="shared" si="2"/>
        <v>#REF!</v>
      </c>
    </row>
    <row r="93" spans="1:21" ht="15" customHeight="1" x14ac:dyDescent="0.25">
      <c r="A93" s="21" t="s">
        <v>4071</v>
      </c>
      <c r="B93" s="11" t="s">
        <v>8019</v>
      </c>
      <c r="C93" s="11"/>
      <c r="D93" s="12"/>
      <c r="U93" t="e">
        <f t="shared" si="2"/>
        <v>#REF!</v>
      </c>
    </row>
    <row r="94" spans="1:21" ht="15" customHeight="1" x14ac:dyDescent="0.25">
      <c r="A94" s="21" t="s">
        <v>4072</v>
      </c>
      <c r="B94" s="11" t="s">
        <v>8019</v>
      </c>
      <c r="C94" s="11"/>
      <c r="D94" s="12"/>
      <c r="U94" t="e">
        <f t="shared" si="2"/>
        <v>#REF!</v>
      </c>
    </row>
    <row r="95" spans="1:21" ht="15" customHeight="1" x14ac:dyDescent="0.25">
      <c r="A95" s="21" t="s">
        <v>4073</v>
      </c>
      <c r="B95" s="11" t="s">
        <v>8019</v>
      </c>
      <c r="C95" s="11"/>
      <c r="D95" s="12"/>
      <c r="U95" t="e">
        <f t="shared" si="2"/>
        <v>#REF!</v>
      </c>
    </row>
    <row r="96" spans="1:21" ht="15" customHeight="1" x14ac:dyDescent="0.25">
      <c r="A96" s="21" t="s">
        <v>4074</v>
      </c>
      <c r="B96" s="11" t="s">
        <v>8019</v>
      </c>
      <c r="C96" s="11"/>
      <c r="D96" s="12"/>
      <c r="U96" t="e">
        <f t="shared" si="2"/>
        <v>#REF!</v>
      </c>
    </row>
    <row r="97" spans="1:21" ht="15" customHeight="1" x14ac:dyDescent="0.25">
      <c r="A97" s="21" t="s">
        <v>4075</v>
      </c>
      <c r="B97" s="11" t="s">
        <v>8019</v>
      </c>
      <c r="C97" s="11"/>
      <c r="D97" s="12"/>
      <c r="U97" t="e">
        <f t="shared" si="2"/>
        <v>#REF!</v>
      </c>
    </row>
    <row r="98" spans="1:21" ht="15" customHeight="1" x14ac:dyDescent="0.25">
      <c r="A98" s="21" t="s">
        <v>4076</v>
      </c>
      <c r="B98" s="11" t="s">
        <v>8019</v>
      </c>
      <c r="C98" s="11"/>
      <c r="D98" s="12"/>
      <c r="U98" t="e">
        <f t="shared" si="2"/>
        <v>#REF!</v>
      </c>
    </row>
    <row r="99" spans="1:21" ht="15" customHeight="1" x14ac:dyDescent="0.25">
      <c r="A99" s="21" t="s">
        <v>4077</v>
      </c>
      <c r="B99" s="11" t="s">
        <v>8019</v>
      </c>
      <c r="C99" s="11"/>
      <c r="D99" s="12"/>
      <c r="U99" t="e">
        <f t="shared" si="2"/>
        <v>#REF!</v>
      </c>
    </row>
    <row r="100" spans="1:21" ht="15" customHeight="1" x14ac:dyDescent="0.25">
      <c r="A100" s="21" t="s">
        <v>4078</v>
      </c>
      <c r="B100" s="11" t="s">
        <v>8019</v>
      </c>
      <c r="C100" s="11"/>
      <c r="D100" s="12"/>
      <c r="U100" t="e">
        <f t="shared" si="2"/>
        <v>#REF!</v>
      </c>
    </row>
    <row r="101" spans="1:21" ht="15" customHeight="1" x14ac:dyDescent="0.25">
      <c r="A101" s="21" t="s">
        <v>4079</v>
      </c>
      <c r="B101" s="11" t="s">
        <v>8019</v>
      </c>
      <c r="C101" s="11"/>
      <c r="D101" s="12"/>
      <c r="U101" t="e">
        <f t="shared" si="2"/>
        <v>#REF!</v>
      </c>
    </row>
    <row r="102" spans="1:21" ht="15" customHeight="1" x14ac:dyDescent="0.25">
      <c r="A102" s="21" t="s">
        <v>4080</v>
      </c>
      <c r="B102" s="11" t="s">
        <v>8019</v>
      </c>
      <c r="C102" s="11"/>
      <c r="D102" s="12"/>
      <c r="U102" t="e">
        <f t="shared" si="2"/>
        <v>#REF!</v>
      </c>
    </row>
    <row r="103" spans="1:21" ht="15" customHeight="1" x14ac:dyDescent="0.25">
      <c r="A103" s="21" t="s">
        <v>3910</v>
      </c>
      <c r="B103" s="11" t="s">
        <v>8019</v>
      </c>
      <c r="C103" s="11" t="s">
        <v>8028</v>
      </c>
      <c r="D103" s="12"/>
      <c r="U103" t="e">
        <f t="shared" si="2"/>
        <v>#REF!</v>
      </c>
    </row>
    <row r="104" spans="1:21" ht="15" customHeight="1" x14ac:dyDescent="0.25">
      <c r="A104" s="21" t="s">
        <v>4081</v>
      </c>
      <c r="B104" s="11" t="s">
        <v>8019</v>
      </c>
      <c r="C104" s="11"/>
      <c r="D104" s="12"/>
      <c r="U104" t="e">
        <f t="shared" si="2"/>
        <v>#REF!</v>
      </c>
    </row>
    <row r="105" spans="1:21" ht="15" customHeight="1" x14ac:dyDescent="0.25">
      <c r="A105" s="21" t="s">
        <v>4082</v>
      </c>
      <c r="B105" s="11" t="s">
        <v>8019</v>
      </c>
      <c r="C105" s="11"/>
      <c r="D105" s="12"/>
      <c r="U105" t="e">
        <f t="shared" si="2"/>
        <v>#REF!</v>
      </c>
    </row>
    <row r="106" spans="1:21" ht="15" customHeight="1" x14ac:dyDescent="0.25">
      <c r="A106" s="21" t="s">
        <v>4083</v>
      </c>
      <c r="B106" s="11" t="s">
        <v>8019</v>
      </c>
      <c r="C106" s="11"/>
      <c r="D106" s="12"/>
      <c r="U106" t="e">
        <f t="shared" si="2"/>
        <v>#REF!</v>
      </c>
    </row>
    <row r="107" spans="1:21" ht="15" customHeight="1" x14ac:dyDescent="0.25">
      <c r="A107" s="21" t="s">
        <v>4084</v>
      </c>
      <c r="B107" s="11" t="s">
        <v>8019</v>
      </c>
      <c r="C107" s="11"/>
      <c r="D107" s="12"/>
      <c r="U107" t="e">
        <f t="shared" si="2"/>
        <v>#REF!</v>
      </c>
    </row>
    <row r="108" spans="1:21" ht="15" customHeight="1" x14ac:dyDescent="0.25">
      <c r="A108" s="21" t="s">
        <v>4085</v>
      </c>
      <c r="B108" s="11" t="s">
        <v>8019</v>
      </c>
      <c r="C108" s="11"/>
      <c r="D108" s="12"/>
      <c r="U108" t="e">
        <f t="shared" si="2"/>
        <v>#REF!</v>
      </c>
    </row>
    <row r="109" spans="1:21" ht="15" customHeight="1" x14ac:dyDescent="0.25">
      <c r="A109" s="21" t="s">
        <v>4086</v>
      </c>
      <c r="B109" s="11" t="s">
        <v>8019</v>
      </c>
      <c r="C109" s="11"/>
      <c r="D109" s="12"/>
      <c r="U109" t="e">
        <f t="shared" si="2"/>
        <v>#REF!</v>
      </c>
    </row>
    <row r="110" spans="1:21" ht="15" customHeight="1" x14ac:dyDescent="0.25">
      <c r="A110" s="21" t="s">
        <v>4087</v>
      </c>
      <c r="B110" s="11" t="s">
        <v>8019</v>
      </c>
      <c r="C110" s="11"/>
      <c r="D110" s="12"/>
      <c r="U110" t="e">
        <f t="shared" si="2"/>
        <v>#REF!</v>
      </c>
    </row>
    <row r="111" spans="1:21" ht="15" customHeight="1" x14ac:dyDescent="0.25">
      <c r="A111" s="21" t="s">
        <v>4088</v>
      </c>
      <c r="B111" s="11" t="s">
        <v>8019</v>
      </c>
      <c r="C111" s="11"/>
      <c r="D111" s="12"/>
      <c r="U111" t="e">
        <f t="shared" si="2"/>
        <v>#REF!</v>
      </c>
    </row>
    <row r="112" spans="1:21" ht="15" customHeight="1" x14ac:dyDescent="0.25">
      <c r="A112" s="21" t="s">
        <v>4089</v>
      </c>
      <c r="B112" s="11" t="s">
        <v>8019</v>
      </c>
      <c r="C112" s="11"/>
      <c r="D112" s="12"/>
      <c r="U112" t="e">
        <f t="shared" si="2"/>
        <v>#REF!</v>
      </c>
    </row>
    <row r="113" spans="1:21" ht="15" customHeight="1" x14ac:dyDescent="0.25">
      <c r="A113" s="21" t="s">
        <v>4090</v>
      </c>
      <c r="B113" s="11" t="s">
        <v>8019</v>
      </c>
      <c r="C113" s="11"/>
      <c r="D113" s="12"/>
      <c r="U113" t="e">
        <f t="shared" si="2"/>
        <v>#REF!</v>
      </c>
    </row>
    <row r="114" spans="1:21" ht="15" customHeight="1" x14ac:dyDescent="0.25">
      <c r="A114" s="21" t="s">
        <v>3893</v>
      </c>
      <c r="B114" s="11" t="s">
        <v>8019</v>
      </c>
      <c r="C114" s="11" t="s">
        <v>8028</v>
      </c>
      <c r="D114" s="12"/>
      <c r="U114" t="e">
        <f t="shared" si="2"/>
        <v>#REF!</v>
      </c>
    </row>
    <row r="115" spans="1:21" ht="15" customHeight="1" x14ac:dyDescent="0.25">
      <c r="A115" s="21" t="s">
        <v>3911</v>
      </c>
      <c r="B115" s="11" t="s">
        <v>8019</v>
      </c>
      <c r="C115" s="11"/>
      <c r="D115" s="12"/>
      <c r="U115" t="e">
        <f t="shared" si="2"/>
        <v>#REF!</v>
      </c>
    </row>
    <row r="116" spans="1:21" ht="15" customHeight="1" x14ac:dyDescent="0.25">
      <c r="A116" s="21" t="s">
        <v>4091</v>
      </c>
      <c r="B116" s="11" t="s">
        <v>8019</v>
      </c>
      <c r="C116" s="11"/>
      <c r="D116" s="12"/>
      <c r="U116" t="e">
        <f t="shared" si="2"/>
        <v>#REF!</v>
      </c>
    </row>
    <row r="117" spans="1:21" ht="15" customHeight="1" x14ac:dyDescent="0.25">
      <c r="A117" s="21" t="s">
        <v>3912</v>
      </c>
      <c r="B117" s="11" t="s">
        <v>8019</v>
      </c>
      <c r="C117" s="11"/>
      <c r="D117" s="12"/>
      <c r="U117" t="e">
        <f t="shared" si="2"/>
        <v>#REF!</v>
      </c>
    </row>
    <row r="118" spans="1:21" ht="15" customHeight="1" x14ac:dyDescent="0.25">
      <c r="A118" s="21" t="s">
        <v>3913</v>
      </c>
      <c r="B118" s="11" t="s">
        <v>8019</v>
      </c>
      <c r="C118" s="11"/>
      <c r="D118" s="12"/>
      <c r="U118" t="e">
        <f t="shared" si="2"/>
        <v>#REF!</v>
      </c>
    </row>
    <row r="119" spans="1:21" ht="15" customHeight="1" x14ac:dyDescent="0.25">
      <c r="A119" s="21" t="s">
        <v>3914</v>
      </c>
      <c r="B119" s="11" t="s">
        <v>8019</v>
      </c>
      <c r="C119" s="11"/>
      <c r="D119" s="12"/>
      <c r="U119" t="e">
        <f t="shared" si="2"/>
        <v>#REF!</v>
      </c>
    </row>
    <row r="120" spans="1:21" ht="15" customHeight="1" x14ac:dyDescent="0.25">
      <c r="A120" s="21" t="s">
        <v>3915</v>
      </c>
      <c r="B120" s="11" t="s">
        <v>8019</v>
      </c>
      <c r="C120" s="11"/>
      <c r="D120" s="12"/>
      <c r="U120" t="e">
        <f t="shared" si="2"/>
        <v>#REF!</v>
      </c>
    </row>
    <row r="121" spans="1:21" ht="15" customHeight="1" x14ac:dyDescent="0.25">
      <c r="A121" s="21" t="s">
        <v>3916</v>
      </c>
      <c r="B121" s="11" t="s">
        <v>8019</v>
      </c>
      <c r="C121" s="11"/>
      <c r="D121" s="12"/>
      <c r="U121" t="e">
        <f t="shared" si="2"/>
        <v>#REF!</v>
      </c>
    </row>
    <row r="122" spans="1:21" ht="15" customHeight="1" x14ac:dyDescent="0.25">
      <c r="A122" s="21" t="s">
        <v>3917</v>
      </c>
      <c r="B122" s="11" t="s">
        <v>8019</v>
      </c>
      <c r="C122" s="11"/>
      <c r="D122" s="12"/>
      <c r="U122" t="e">
        <f t="shared" si="2"/>
        <v>#REF!</v>
      </c>
    </row>
    <row r="123" spans="1:21" ht="15" customHeight="1" x14ac:dyDescent="0.25">
      <c r="A123" s="21" t="s">
        <v>3918</v>
      </c>
      <c r="B123" s="11" t="s">
        <v>8019</v>
      </c>
      <c r="C123" s="11"/>
      <c r="D123" s="12"/>
      <c r="U123" t="e">
        <f t="shared" si="2"/>
        <v>#REF!</v>
      </c>
    </row>
    <row r="124" spans="1:21" ht="15" customHeight="1" x14ac:dyDescent="0.25">
      <c r="A124" s="21" t="s">
        <v>3919</v>
      </c>
      <c r="B124" s="11" t="s">
        <v>8019</v>
      </c>
      <c r="C124" s="11"/>
      <c r="D124" s="12"/>
      <c r="U124" t="e">
        <f t="shared" si="2"/>
        <v>#REF!</v>
      </c>
    </row>
    <row r="125" spans="1:21" ht="15" customHeight="1" x14ac:dyDescent="0.25">
      <c r="A125" s="21" t="s">
        <v>3920</v>
      </c>
      <c r="B125" s="11" t="s">
        <v>8019</v>
      </c>
      <c r="C125" s="11"/>
      <c r="D125" s="12"/>
      <c r="U125" t="e">
        <f t="shared" si="2"/>
        <v>#REF!</v>
      </c>
    </row>
    <row r="126" spans="1:21" ht="15" customHeight="1" x14ac:dyDescent="0.25">
      <c r="A126" s="21" t="s">
        <v>3894</v>
      </c>
      <c r="B126" s="11" t="s">
        <v>8019</v>
      </c>
      <c r="C126" s="11" t="s">
        <v>8028</v>
      </c>
      <c r="D126" s="12"/>
      <c r="U126" t="e">
        <f t="shared" si="2"/>
        <v>#REF!</v>
      </c>
    </row>
    <row r="127" spans="1:21" ht="15" customHeight="1" x14ac:dyDescent="0.25">
      <c r="A127" s="21" t="s">
        <v>3921</v>
      </c>
      <c r="B127" s="11" t="s">
        <v>8019</v>
      </c>
      <c r="C127" s="11"/>
      <c r="D127" s="12"/>
      <c r="U127" t="e">
        <f t="shared" si="2"/>
        <v>#REF!</v>
      </c>
    </row>
    <row r="128" spans="1:21" ht="15" customHeight="1" x14ac:dyDescent="0.25">
      <c r="A128" s="21" t="s">
        <v>3922</v>
      </c>
      <c r="B128" s="11" t="s">
        <v>8019</v>
      </c>
      <c r="C128" s="11"/>
      <c r="D128" s="12"/>
      <c r="U128" t="e">
        <f t="shared" si="2"/>
        <v>#REF!</v>
      </c>
    </row>
    <row r="129" spans="1:21" ht="15" customHeight="1" x14ac:dyDescent="0.25">
      <c r="A129" s="21" t="s">
        <v>3923</v>
      </c>
      <c r="B129" s="11" t="s">
        <v>8019</v>
      </c>
      <c r="C129" s="11"/>
      <c r="D129" s="12"/>
      <c r="U129" t="e">
        <f t="shared" si="2"/>
        <v>#REF!</v>
      </c>
    </row>
    <row r="130" spans="1:21" ht="15" customHeight="1" x14ac:dyDescent="0.25">
      <c r="A130" s="21" t="s">
        <v>3924</v>
      </c>
      <c r="B130" s="11" t="s">
        <v>8019</v>
      </c>
      <c r="C130" s="11"/>
      <c r="D130" s="12"/>
      <c r="U130" t="e">
        <f t="shared" si="2"/>
        <v>#REF!</v>
      </c>
    </row>
    <row r="131" spans="1:21" ht="15" customHeight="1" x14ac:dyDescent="0.25">
      <c r="A131" s="21" t="s">
        <v>3925</v>
      </c>
      <c r="B131" s="11" t="s">
        <v>8019</v>
      </c>
      <c r="C131" s="11"/>
      <c r="D131" s="12"/>
      <c r="U131" t="e">
        <f t="shared" si="2"/>
        <v>#REF!</v>
      </c>
    </row>
    <row r="132" spans="1:21" ht="15" customHeight="1" x14ac:dyDescent="0.25">
      <c r="A132" s="21" t="s">
        <v>3926</v>
      </c>
      <c r="B132" s="11" t="s">
        <v>8019</v>
      </c>
      <c r="C132" s="11"/>
      <c r="D132" s="12"/>
      <c r="U132" t="e">
        <f t="shared" si="2"/>
        <v>#REF!</v>
      </c>
    </row>
    <row r="133" spans="1:21" ht="15" customHeight="1" x14ac:dyDescent="0.25">
      <c r="A133" s="21" t="s">
        <v>3927</v>
      </c>
      <c r="B133" s="11" t="s">
        <v>8019</v>
      </c>
      <c r="C133" s="11"/>
      <c r="D133" s="12"/>
      <c r="U133" t="e">
        <f t="shared" si="2"/>
        <v>#REF!</v>
      </c>
    </row>
    <row r="134" spans="1:21" ht="15" customHeight="1" x14ac:dyDescent="0.25">
      <c r="A134" s="21" t="s">
        <v>3928</v>
      </c>
      <c r="B134" s="11" t="s">
        <v>8019</v>
      </c>
      <c r="C134" s="11"/>
      <c r="D134" s="12"/>
      <c r="U134" t="e">
        <f t="shared" si="2"/>
        <v>#REF!</v>
      </c>
    </row>
    <row r="135" spans="1:21" ht="15" customHeight="1" x14ac:dyDescent="0.25">
      <c r="A135" s="21" t="s">
        <v>3929</v>
      </c>
      <c r="B135" s="11" t="s">
        <v>8019</v>
      </c>
      <c r="C135" s="11"/>
      <c r="D135" s="12"/>
      <c r="U135" t="e">
        <f t="shared" si="2"/>
        <v>#REF!</v>
      </c>
    </row>
    <row r="136" spans="1:21" ht="15" customHeight="1" x14ac:dyDescent="0.25">
      <c r="A136" s="21" t="s">
        <v>3930</v>
      </c>
      <c r="B136" s="11" t="s">
        <v>8019</v>
      </c>
      <c r="C136" s="11"/>
      <c r="D136" s="12"/>
      <c r="U136" t="e">
        <f t="shared" si="2"/>
        <v>#REF!</v>
      </c>
    </row>
    <row r="137" spans="1:21" ht="15" customHeight="1" x14ac:dyDescent="0.25">
      <c r="A137" s="21" t="s">
        <v>3895</v>
      </c>
      <c r="B137" s="11" t="s">
        <v>8019</v>
      </c>
      <c r="C137" s="11" t="s">
        <v>8028</v>
      </c>
      <c r="D137" s="12"/>
      <c r="U137" t="e">
        <f t="shared" si="2"/>
        <v>#REF!</v>
      </c>
    </row>
    <row r="138" spans="1:21" ht="15" customHeight="1" x14ac:dyDescent="0.25">
      <c r="A138" s="21" t="s">
        <v>3931</v>
      </c>
      <c r="B138" s="11" t="s">
        <v>8019</v>
      </c>
      <c r="C138" s="11"/>
      <c r="D138" s="12"/>
      <c r="U138" t="e">
        <f t="shared" si="2"/>
        <v>#REF!</v>
      </c>
    </row>
    <row r="139" spans="1:21" ht="15" customHeight="1" x14ac:dyDescent="0.25">
      <c r="A139" s="21" t="s">
        <v>3932</v>
      </c>
      <c r="B139" s="11" t="s">
        <v>8019</v>
      </c>
      <c r="C139" s="11"/>
      <c r="D139" s="12"/>
      <c r="U139" t="e">
        <f t="shared" si="2"/>
        <v>#REF!</v>
      </c>
    </row>
    <row r="140" spans="1:21" ht="15" customHeight="1" x14ac:dyDescent="0.25">
      <c r="A140" s="21" t="s">
        <v>3933</v>
      </c>
      <c r="B140" s="11" t="s">
        <v>8019</v>
      </c>
      <c r="C140" s="11"/>
      <c r="D140" s="12"/>
      <c r="U140" t="e">
        <f t="shared" si="2"/>
        <v>#REF!</v>
      </c>
    </row>
    <row r="141" spans="1:21" ht="15" customHeight="1" x14ac:dyDescent="0.25">
      <c r="A141" s="21" t="s">
        <v>3934</v>
      </c>
      <c r="B141" s="11" t="s">
        <v>8019</v>
      </c>
      <c r="C141" s="11"/>
      <c r="D141" s="12"/>
      <c r="U141" t="e">
        <f t="shared" si="2"/>
        <v>#REF!</v>
      </c>
    </row>
    <row r="142" spans="1:21" ht="15" customHeight="1" x14ac:dyDescent="0.25">
      <c r="A142" s="21" t="s">
        <v>3935</v>
      </c>
      <c r="B142" s="11" t="s">
        <v>8019</v>
      </c>
      <c r="C142" s="11"/>
      <c r="D142" s="12"/>
      <c r="U142" t="e">
        <f t="shared" si="2"/>
        <v>#REF!</v>
      </c>
    </row>
    <row r="143" spans="1:21" ht="15" customHeight="1" x14ac:dyDescent="0.25">
      <c r="A143" s="21" t="s">
        <v>3936</v>
      </c>
      <c r="B143" s="11" t="s">
        <v>8019</v>
      </c>
      <c r="C143" s="11"/>
      <c r="D143" s="12"/>
      <c r="U143" t="e">
        <f t="shared" si="2"/>
        <v>#REF!</v>
      </c>
    </row>
    <row r="144" spans="1:21" ht="15" customHeight="1" x14ac:dyDescent="0.25">
      <c r="A144" s="21" t="s">
        <v>3937</v>
      </c>
      <c r="B144" s="11" t="s">
        <v>8019</v>
      </c>
      <c r="C144" s="11"/>
      <c r="D144" s="12"/>
      <c r="U144" t="e">
        <f t="shared" si="2"/>
        <v>#REF!</v>
      </c>
    </row>
    <row r="145" spans="1:21" ht="15" customHeight="1" x14ac:dyDescent="0.25">
      <c r="A145" s="21" t="s">
        <v>3938</v>
      </c>
      <c r="B145" s="11" t="s">
        <v>8019</v>
      </c>
      <c r="C145" s="11"/>
      <c r="D145" s="12"/>
      <c r="U145" t="e">
        <f t="shared" si="2"/>
        <v>#REF!</v>
      </c>
    </row>
    <row r="146" spans="1:21" ht="15" customHeight="1" x14ac:dyDescent="0.25">
      <c r="A146" s="21" t="s">
        <v>3939</v>
      </c>
      <c r="B146" s="11" t="s">
        <v>8019</v>
      </c>
      <c r="C146" s="11"/>
      <c r="D146" s="12"/>
      <c r="U146" t="e">
        <f t="shared" ref="U146:U209" si="3">IF(F146="",U145,F146)</f>
        <v>#REF!</v>
      </c>
    </row>
    <row r="147" spans="1:21" ht="15" customHeight="1" x14ac:dyDescent="0.25">
      <c r="A147" s="21" t="s">
        <v>3940</v>
      </c>
      <c r="B147" s="11" t="s">
        <v>8019</v>
      </c>
      <c r="C147" s="11"/>
      <c r="D147" s="12"/>
      <c r="U147" t="e">
        <f t="shared" si="3"/>
        <v>#REF!</v>
      </c>
    </row>
    <row r="148" spans="1:21" ht="15" customHeight="1" x14ac:dyDescent="0.25">
      <c r="A148" s="21" t="s">
        <v>3896</v>
      </c>
      <c r="B148" s="11" t="s">
        <v>8019</v>
      </c>
      <c r="C148" s="11" t="s">
        <v>8028</v>
      </c>
      <c r="D148" s="12"/>
      <c r="U148" t="e">
        <f t="shared" si="3"/>
        <v>#REF!</v>
      </c>
    </row>
    <row r="149" spans="1:21" ht="15" customHeight="1" x14ac:dyDescent="0.25">
      <c r="A149" s="21" t="s">
        <v>3941</v>
      </c>
      <c r="B149" s="11" t="s">
        <v>8019</v>
      </c>
      <c r="C149" s="11"/>
      <c r="D149" s="12"/>
      <c r="U149" t="e">
        <f t="shared" si="3"/>
        <v>#REF!</v>
      </c>
    </row>
    <row r="150" spans="1:21" ht="15" customHeight="1" x14ac:dyDescent="0.25">
      <c r="A150" s="21" t="s">
        <v>3942</v>
      </c>
      <c r="B150" s="11" t="s">
        <v>8019</v>
      </c>
      <c r="C150" s="11"/>
      <c r="D150" s="12"/>
      <c r="U150" t="e">
        <f t="shared" si="3"/>
        <v>#REF!</v>
      </c>
    </row>
    <row r="151" spans="1:21" ht="15" customHeight="1" x14ac:dyDescent="0.25">
      <c r="A151" s="21" t="s">
        <v>3943</v>
      </c>
      <c r="B151" s="11" t="s">
        <v>8019</v>
      </c>
      <c r="C151" s="11"/>
      <c r="D151" s="12"/>
      <c r="U151" t="e">
        <f t="shared" si="3"/>
        <v>#REF!</v>
      </c>
    </row>
    <row r="152" spans="1:21" ht="15" customHeight="1" x14ac:dyDescent="0.25">
      <c r="A152" s="21" t="s">
        <v>3944</v>
      </c>
      <c r="B152" s="11" t="s">
        <v>8019</v>
      </c>
      <c r="C152" s="11"/>
      <c r="D152" s="12"/>
      <c r="U152" t="e">
        <f t="shared" si="3"/>
        <v>#REF!</v>
      </c>
    </row>
    <row r="153" spans="1:21" ht="15" customHeight="1" x14ac:dyDescent="0.25">
      <c r="A153" s="21" t="s">
        <v>3945</v>
      </c>
      <c r="B153" s="11" t="s">
        <v>8019</v>
      </c>
      <c r="C153" s="11"/>
      <c r="D153" s="12"/>
      <c r="U153" t="e">
        <f t="shared" si="3"/>
        <v>#REF!</v>
      </c>
    </row>
    <row r="154" spans="1:21" ht="15" customHeight="1" x14ac:dyDescent="0.25">
      <c r="A154" s="21" t="s">
        <v>3946</v>
      </c>
      <c r="B154" s="11" t="s">
        <v>8019</v>
      </c>
      <c r="C154" s="11"/>
      <c r="D154" s="12"/>
      <c r="U154" t="e">
        <f t="shared" si="3"/>
        <v>#REF!</v>
      </c>
    </row>
    <row r="155" spans="1:21" ht="15" customHeight="1" x14ac:dyDescent="0.25">
      <c r="A155" s="21" t="s">
        <v>3947</v>
      </c>
      <c r="B155" s="11" t="s">
        <v>8019</v>
      </c>
      <c r="C155" s="11"/>
      <c r="D155" s="12"/>
      <c r="U155" t="e">
        <f t="shared" si="3"/>
        <v>#REF!</v>
      </c>
    </row>
    <row r="156" spans="1:21" ht="15" customHeight="1" x14ac:dyDescent="0.25">
      <c r="A156" s="21" t="s">
        <v>3948</v>
      </c>
      <c r="B156" s="11" t="s">
        <v>8019</v>
      </c>
      <c r="C156" s="11"/>
      <c r="D156" s="12"/>
      <c r="U156" t="e">
        <f t="shared" si="3"/>
        <v>#REF!</v>
      </c>
    </row>
    <row r="157" spans="1:21" ht="15" customHeight="1" x14ac:dyDescent="0.25">
      <c r="A157" s="21" t="s">
        <v>3949</v>
      </c>
      <c r="B157" s="11" t="s">
        <v>8019</v>
      </c>
      <c r="C157" s="11"/>
      <c r="D157" s="12"/>
      <c r="U157" t="e">
        <f t="shared" si="3"/>
        <v>#REF!</v>
      </c>
    </row>
    <row r="158" spans="1:21" ht="15" customHeight="1" x14ac:dyDescent="0.25">
      <c r="A158" s="21" t="s">
        <v>3950</v>
      </c>
      <c r="B158" s="11" t="s">
        <v>8019</v>
      </c>
      <c r="C158" s="11"/>
      <c r="D158" s="12"/>
      <c r="U158" t="e">
        <f t="shared" si="3"/>
        <v>#REF!</v>
      </c>
    </row>
    <row r="159" spans="1:21" ht="15" customHeight="1" x14ac:dyDescent="0.25">
      <c r="A159" s="21" t="s">
        <v>3897</v>
      </c>
      <c r="B159" s="11" t="s">
        <v>8019</v>
      </c>
      <c r="C159" s="11" t="s">
        <v>8028</v>
      </c>
      <c r="D159" s="12"/>
      <c r="U159" t="e">
        <f t="shared" si="3"/>
        <v>#REF!</v>
      </c>
    </row>
    <row r="160" spans="1:21" ht="15" customHeight="1" x14ac:dyDescent="0.25">
      <c r="A160" s="21" t="s">
        <v>3951</v>
      </c>
      <c r="B160" s="11" t="s">
        <v>8019</v>
      </c>
      <c r="C160" s="11"/>
      <c r="D160" s="12"/>
      <c r="U160" t="e">
        <f t="shared" si="3"/>
        <v>#REF!</v>
      </c>
    </row>
    <row r="161" spans="1:21" ht="15" customHeight="1" x14ac:dyDescent="0.25">
      <c r="A161" s="21" t="s">
        <v>3952</v>
      </c>
      <c r="B161" s="11" t="s">
        <v>8019</v>
      </c>
      <c r="C161" s="11"/>
      <c r="D161" s="12"/>
      <c r="U161" t="e">
        <f t="shared" si="3"/>
        <v>#REF!</v>
      </c>
    </row>
    <row r="162" spans="1:21" ht="15" customHeight="1" x14ac:dyDescent="0.25">
      <c r="A162" s="21" t="s">
        <v>3953</v>
      </c>
      <c r="B162" s="11" t="s">
        <v>8019</v>
      </c>
      <c r="C162" s="11"/>
      <c r="D162" s="12"/>
      <c r="U162" t="e">
        <f t="shared" si="3"/>
        <v>#REF!</v>
      </c>
    </row>
    <row r="163" spans="1:21" ht="15" customHeight="1" x14ac:dyDescent="0.25">
      <c r="A163" s="21" t="s">
        <v>3954</v>
      </c>
      <c r="B163" s="11" t="s">
        <v>8019</v>
      </c>
      <c r="C163" s="11"/>
      <c r="D163" s="12"/>
      <c r="U163" t="e">
        <f t="shared" si="3"/>
        <v>#REF!</v>
      </c>
    </row>
    <row r="164" spans="1:21" ht="15" customHeight="1" x14ac:dyDescent="0.25">
      <c r="A164" s="21" t="s">
        <v>3955</v>
      </c>
      <c r="B164" s="11" t="s">
        <v>8019</v>
      </c>
      <c r="C164" s="11"/>
      <c r="D164" s="12"/>
      <c r="U164" t="e">
        <f t="shared" si="3"/>
        <v>#REF!</v>
      </c>
    </row>
    <row r="165" spans="1:21" ht="15" customHeight="1" x14ac:dyDescent="0.25">
      <c r="A165" s="21" t="s">
        <v>3956</v>
      </c>
      <c r="B165" s="11" t="s">
        <v>8019</v>
      </c>
      <c r="C165" s="11"/>
      <c r="D165" s="12"/>
      <c r="U165" t="e">
        <f t="shared" si="3"/>
        <v>#REF!</v>
      </c>
    </row>
    <row r="166" spans="1:21" ht="15" customHeight="1" x14ac:dyDescent="0.25">
      <c r="A166" s="21" t="s">
        <v>3957</v>
      </c>
      <c r="B166" s="11" t="s">
        <v>8019</v>
      </c>
      <c r="C166" s="11"/>
      <c r="D166" s="12"/>
      <c r="U166" t="e">
        <f t="shared" si="3"/>
        <v>#REF!</v>
      </c>
    </row>
    <row r="167" spans="1:21" ht="15" customHeight="1" x14ac:dyDescent="0.25">
      <c r="A167" s="21" t="s">
        <v>3958</v>
      </c>
      <c r="B167" s="11" t="s">
        <v>8019</v>
      </c>
      <c r="C167" s="11"/>
      <c r="D167" s="12"/>
      <c r="U167" t="e">
        <f t="shared" si="3"/>
        <v>#REF!</v>
      </c>
    </row>
    <row r="168" spans="1:21" ht="15" customHeight="1" x14ac:dyDescent="0.25">
      <c r="A168" s="21" t="s">
        <v>3959</v>
      </c>
      <c r="B168" s="11" t="s">
        <v>8019</v>
      </c>
      <c r="C168" s="11"/>
      <c r="D168" s="12"/>
      <c r="U168" t="e">
        <f t="shared" si="3"/>
        <v>#REF!</v>
      </c>
    </row>
    <row r="169" spans="1:21" ht="15" customHeight="1" x14ac:dyDescent="0.25">
      <c r="A169" s="21" t="s">
        <v>3960</v>
      </c>
      <c r="B169" s="11" t="s">
        <v>8019</v>
      </c>
      <c r="C169" s="11"/>
      <c r="D169" s="12"/>
      <c r="U169" t="e">
        <f t="shared" si="3"/>
        <v>#REF!</v>
      </c>
    </row>
    <row r="170" spans="1:21" ht="15" customHeight="1" x14ac:dyDescent="0.25">
      <c r="A170" s="21" t="s">
        <v>3898</v>
      </c>
      <c r="B170" s="11" t="s">
        <v>8019</v>
      </c>
      <c r="C170" s="11" t="s">
        <v>8028</v>
      </c>
      <c r="D170" s="12"/>
      <c r="U170" t="e">
        <f t="shared" si="3"/>
        <v>#REF!</v>
      </c>
    </row>
    <row r="171" spans="1:21" ht="15" customHeight="1" x14ac:dyDescent="0.25">
      <c r="A171" s="21" t="s">
        <v>3961</v>
      </c>
      <c r="B171" s="11" t="s">
        <v>8019</v>
      </c>
      <c r="C171" s="11"/>
      <c r="D171" s="12"/>
      <c r="U171" t="e">
        <f t="shared" si="3"/>
        <v>#REF!</v>
      </c>
    </row>
    <row r="172" spans="1:21" ht="15" customHeight="1" x14ac:dyDescent="0.25">
      <c r="A172" s="21" t="s">
        <v>3962</v>
      </c>
      <c r="B172" s="11" t="s">
        <v>8019</v>
      </c>
      <c r="C172" s="11"/>
      <c r="D172" s="12"/>
      <c r="U172" t="e">
        <f t="shared" si="3"/>
        <v>#REF!</v>
      </c>
    </row>
    <row r="173" spans="1:21" ht="15" customHeight="1" x14ac:dyDescent="0.25">
      <c r="A173" s="21" t="s">
        <v>3963</v>
      </c>
      <c r="B173" s="11" t="s">
        <v>8019</v>
      </c>
      <c r="C173" s="11"/>
      <c r="D173" s="12"/>
      <c r="U173" t="e">
        <f t="shared" si="3"/>
        <v>#REF!</v>
      </c>
    </row>
    <row r="174" spans="1:21" ht="15" customHeight="1" x14ac:dyDescent="0.25">
      <c r="A174" s="21" t="s">
        <v>3964</v>
      </c>
      <c r="B174" s="11" t="s">
        <v>8019</v>
      </c>
      <c r="C174" s="11"/>
      <c r="D174" s="12"/>
      <c r="U174" t="e">
        <f t="shared" si="3"/>
        <v>#REF!</v>
      </c>
    </row>
    <row r="175" spans="1:21" ht="15" customHeight="1" x14ac:dyDescent="0.25">
      <c r="A175" s="21" t="s">
        <v>3965</v>
      </c>
      <c r="B175" s="11" t="s">
        <v>8019</v>
      </c>
      <c r="C175" s="11"/>
      <c r="D175" s="12"/>
      <c r="U175" t="e">
        <f t="shared" si="3"/>
        <v>#REF!</v>
      </c>
    </row>
    <row r="176" spans="1:21" ht="15" customHeight="1" x14ac:dyDescent="0.25">
      <c r="A176" s="21" t="s">
        <v>3966</v>
      </c>
      <c r="B176" s="11" t="s">
        <v>8019</v>
      </c>
      <c r="C176" s="11"/>
      <c r="D176" s="12"/>
      <c r="U176" t="e">
        <f t="shared" si="3"/>
        <v>#REF!</v>
      </c>
    </row>
    <row r="177" spans="1:21" ht="15" customHeight="1" x14ac:dyDescent="0.25">
      <c r="A177" s="21" t="s">
        <v>3967</v>
      </c>
      <c r="B177" s="11" t="s">
        <v>8019</v>
      </c>
      <c r="C177" s="11"/>
      <c r="D177" s="12"/>
      <c r="U177" t="e">
        <f t="shared" si="3"/>
        <v>#REF!</v>
      </c>
    </row>
    <row r="178" spans="1:21" ht="15" customHeight="1" x14ac:dyDescent="0.25">
      <c r="A178" s="21" t="s">
        <v>3968</v>
      </c>
      <c r="B178" s="11" t="s">
        <v>8019</v>
      </c>
      <c r="C178" s="11"/>
      <c r="D178" s="12"/>
      <c r="U178" t="e">
        <f t="shared" si="3"/>
        <v>#REF!</v>
      </c>
    </row>
    <row r="179" spans="1:21" ht="15" customHeight="1" x14ac:dyDescent="0.25">
      <c r="A179" s="21" t="s">
        <v>3969</v>
      </c>
      <c r="B179" s="11" t="s">
        <v>8019</v>
      </c>
      <c r="C179" s="11"/>
      <c r="D179" s="12"/>
      <c r="U179" t="e">
        <f t="shared" si="3"/>
        <v>#REF!</v>
      </c>
    </row>
    <row r="180" spans="1:21" ht="15" customHeight="1" x14ac:dyDescent="0.25">
      <c r="A180" s="21" t="s">
        <v>3970</v>
      </c>
      <c r="B180" s="11" t="s">
        <v>8019</v>
      </c>
      <c r="C180" s="11"/>
      <c r="D180" s="12"/>
      <c r="U180" t="e">
        <f t="shared" si="3"/>
        <v>#REF!</v>
      </c>
    </row>
    <row r="181" spans="1:21" ht="15" customHeight="1" x14ac:dyDescent="0.25">
      <c r="A181" s="21" t="s">
        <v>3899</v>
      </c>
      <c r="B181" s="11" t="s">
        <v>8019</v>
      </c>
      <c r="C181" s="11" t="s">
        <v>8028</v>
      </c>
      <c r="D181" s="12"/>
      <c r="U181" t="e">
        <f t="shared" si="3"/>
        <v>#REF!</v>
      </c>
    </row>
    <row r="182" spans="1:21" ht="15" customHeight="1" x14ac:dyDescent="0.25">
      <c r="A182" s="21" t="s">
        <v>3971</v>
      </c>
      <c r="B182" s="11" t="s">
        <v>8019</v>
      </c>
      <c r="C182" s="11"/>
      <c r="D182" s="12"/>
      <c r="U182" t="e">
        <f t="shared" si="3"/>
        <v>#REF!</v>
      </c>
    </row>
    <row r="183" spans="1:21" ht="15" customHeight="1" x14ac:dyDescent="0.25">
      <c r="A183" s="21" t="s">
        <v>3972</v>
      </c>
      <c r="B183" s="11" t="s">
        <v>8019</v>
      </c>
      <c r="C183" s="11"/>
      <c r="D183" s="12"/>
      <c r="U183" t="e">
        <f t="shared" si="3"/>
        <v>#REF!</v>
      </c>
    </row>
    <row r="184" spans="1:21" ht="15" customHeight="1" x14ac:dyDescent="0.25">
      <c r="A184" s="21" t="s">
        <v>3973</v>
      </c>
      <c r="B184" s="11" t="s">
        <v>8019</v>
      </c>
      <c r="C184" s="11"/>
      <c r="D184" s="12"/>
      <c r="U184" t="e">
        <f t="shared" si="3"/>
        <v>#REF!</v>
      </c>
    </row>
    <row r="185" spans="1:21" ht="15" customHeight="1" x14ac:dyDescent="0.25">
      <c r="A185" s="21" t="s">
        <v>3974</v>
      </c>
      <c r="B185" s="11" t="s">
        <v>8019</v>
      </c>
      <c r="C185" s="11"/>
      <c r="D185" s="12"/>
      <c r="U185" t="e">
        <f t="shared" si="3"/>
        <v>#REF!</v>
      </c>
    </row>
    <row r="186" spans="1:21" ht="15" customHeight="1" x14ac:dyDescent="0.25">
      <c r="A186" s="21" t="s">
        <v>3975</v>
      </c>
      <c r="B186" s="11" t="s">
        <v>8019</v>
      </c>
      <c r="C186" s="11"/>
      <c r="D186" s="12"/>
      <c r="U186" t="e">
        <f t="shared" si="3"/>
        <v>#REF!</v>
      </c>
    </row>
    <row r="187" spans="1:21" ht="15" customHeight="1" x14ac:dyDescent="0.25">
      <c r="A187" s="21" t="s">
        <v>3976</v>
      </c>
      <c r="B187" s="11" t="s">
        <v>8019</v>
      </c>
      <c r="C187" s="11"/>
      <c r="D187" s="12"/>
      <c r="U187" t="e">
        <f t="shared" si="3"/>
        <v>#REF!</v>
      </c>
    </row>
    <row r="188" spans="1:21" ht="15" customHeight="1" x14ac:dyDescent="0.25">
      <c r="A188" s="21" t="s">
        <v>3977</v>
      </c>
      <c r="B188" s="11" t="s">
        <v>8019</v>
      </c>
      <c r="C188" s="11"/>
      <c r="D188" s="12"/>
      <c r="U188" t="e">
        <f t="shared" si="3"/>
        <v>#REF!</v>
      </c>
    </row>
    <row r="189" spans="1:21" ht="15" customHeight="1" x14ac:dyDescent="0.25">
      <c r="A189" s="21" t="s">
        <v>3978</v>
      </c>
      <c r="B189" s="11" t="s">
        <v>8019</v>
      </c>
      <c r="C189" s="11"/>
      <c r="D189" s="12"/>
      <c r="U189" t="e">
        <f t="shared" si="3"/>
        <v>#REF!</v>
      </c>
    </row>
    <row r="190" spans="1:21" ht="15" customHeight="1" x14ac:dyDescent="0.25">
      <c r="A190" s="21" t="s">
        <v>3979</v>
      </c>
      <c r="B190" s="11" t="s">
        <v>8019</v>
      </c>
      <c r="C190" s="11"/>
      <c r="D190" s="12"/>
      <c r="U190" t="e">
        <f t="shared" si="3"/>
        <v>#REF!</v>
      </c>
    </row>
    <row r="191" spans="1:21" ht="15" customHeight="1" x14ac:dyDescent="0.25">
      <c r="A191" s="21" t="s">
        <v>3980</v>
      </c>
      <c r="B191" s="11" t="s">
        <v>8019</v>
      </c>
      <c r="C191" s="11"/>
      <c r="D191" s="12"/>
      <c r="U191" t="e">
        <f t="shared" si="3"/>
        <v>#REF!</v>
      </c>
    </row>
    <row r="192" spans="1:21" ht="15" customHeight="1" x14ac:dyDescent="0.25">
      <c r="A192" s="21" t="s">
        <v>3900</v>
      </c>
      <c r="B192" s="11" t="s">
        <v>8019</v>
      </c>
      <c r="C192" s="11" t="s">
        <v>8028</v>
      </c>
      <c r="D192" s="12"/>
      <c r="U192" t="e">
        <f t="shared" si="3"/>
        <v>#REF!</v>
      </c>
    </row>
    <row r="193" spans="1:21" ht="15" customHeight="1" x14ac:dyDescent="0.25">
      <c r="A193" s="21" t="s">
        <v>3981</v>
      </c>
      <c r="B193" s="11" t="s">
        <v>8019</v>
      </c>
      <c r="C193" s="11"/>
      <c r="D193" s="12"/>
      <c r="U193" t="e">
        <f t="shared" si="3"/>
        <v>#REF!</v>
      </c>
    </row>
    <row r="194" spans="1:21" ht="15" customHeight="1" x14ac:dyDescent="0.25">
      <c r="A194" s="21" t="s">
        <v>3982</v>
      </c>
      <c r="B194" s="11" t="s">
        <v>8019</v>
      </c>
      <c r="C194" s="11"/>
      <c r="D194" s="12"/>
      <c r="U194" t="e">
        <f t="shared" si="3"/>
        <v>#REF!</v>
      </c>
    </row>
    <row r="195" spans="1:21" ht="15" customHeight="1" x14ac:dyDescent="0.25">
      <c r="A195" s="21" t="s">
        <v>3983</v>
      </c>
      <c r="B195" s="11" t="s">
        <v>8019</v>
      </c>
      <c r="C195" s="11"/>
      <c r="D195" s="12"/>
      <c r="U195" t="e">
        <f t="shared" si="3"/>
        <v>#REF!</v>
      </c>
    </row>
    <row r="196" spans="1:21" ht="15" customHeight="1" x14ac:dyDescent="0.25">
      <c r="A196" s="21" t="s">
        <v>3984</v>
      </c>
      <c r="B196" s="11" t="s">
        <v>8019</v>
      </c>
      <c r="C196" s="11"/>
      <c r="D196" s="12"/>
      <c r="U196" t="e">
        <f t="shared" si="3"/>
        <v>#REF!</v>
      </c>
    </row>
    <row r="197" spans="1:21" ht="15" customHeight="1" x14ac:dyDescent="0.25">
      <c r="A197" s="21" t="s">
        <v>3985</v>
      </c>
      <c r="B197" s="11" t="s">
        <v>8019</v>
      </c>
      <c r="C197" s="11"/>
      <c r="D197" s="12"/>
      <c r="U197" t="e">
        <f t="shared" si="3"/>
        <v>#REF!</v>
      </c>
    </row>
    <row r="198" spans="1:21" ht="15" customHeight="1" x14ac:dyDescent="0.25">
      <c r="A198" s="21" t="s">
        <v>3986</v>
      </c>
      <c r="B198" s="11" t="s">
        <v>8019</v>
      </c>
      <c r="C198" s="11"/>
      <c r="D198" s="12"/>
      <c r="U198" t="e">
        <f t="shared" si="3"/>
        <v>#REF!</v>
      </c>
    </row>
    <row r="199" spans="1:21" ht="15" customHeight="1" x14ac:dyDescent="0.25">
      <c r="A199" s="21" t="s">
        <v>3987</v>
      </c>
      <c r="B199" s="11" t="s">
        <v>8019</v>
      </c>
      <c r="C199" s="11"/>
      <c r="D199" s="12"/>
      <c r="U199" t="e">
        <f t="shared" si="3"/>
        <v>#REF!</v>
      </c>
    </row>
    <row r="200" spans="1:21" ht="15" customHeight="1" x14ac:dyDescent="0.25">
      <c r="A200" s="21" t="s">
        <v>3988</v>
      </c>
      <c r="B200" s="11" t="s">
        <v>8019</v>
      </c>
      <c r="C200" s="11"/>
      <c r="D200" s="12"/>
      <c r="U200" t="e">
        <f t="shared" si="3"/>
        <v>#REF!</v>
      </c>
    </row>
    <row r="201" spans="1:21" ht="15" customHeight="1" x14ac:dyDescent="0.25">
      <c r="A201" s="21" t="s">
        <v>3989</v>
      </c>
      <c r="B201" s="11" t="s">
        <v>8019</v>
      </c>
      <c r="C201" s="11"/>
      <c r="D201" s="12"/>
      <c r="U201" t="e">
        <f t="shared" si="3"/>
        <v>#REF!</v>
      </c>
    </row>
    <row r="202" spans="1:21" ht="15" customHeight="1" x14ac:dyDescent="0.25">
      <c r="A202" s="22" t="s">
        <v>3990</v>
      </c>
      <c r="B202" s="13" t="s">
        <v>8019</v>
      </c>
      <c r="C202" s="13"/>
      <c r="D202" s="14"/>
      <c r="U202" t="e">
        <f t="shared" si="3"/>
        <v>#REF!</v>
      </c>
    </row>
    <row r="203" spans="1:21" ht="15" customHeight="1" x14ac:dyDescent="0.25">
      <c r="B203"/>
      <c r="C203"/>
      <c r="D203"/>
      <c r="U203" t="e">
        <f t="shared" si="3"/>
        <v>#REF!</v>
      </c>
    </row>
    <row r="204" spans="1:21" ht="15" customHeight="1" x14ac:dyDescent="0.25">
      <c r="B204"/>
      <c r="C204"/>
      <c r="D204"/>
      <c r="U204" t="e">
        <f t="shared" si="3"/>
        <v>#REF!</v>
      </c>
    </row>
    <row r="205" spans="1:21" ht="15" customHeight="1" x14ac:dyDescent="0.25">
      <c r="B205"/>
      <c r="C205"/>
      <c r="D205"/>
      <c r="U205" t="e">
        <f t="shared" si="3"/>
        <v>#REF!</v>
      </c>
    </row>
    <row r="206" spans="1:21" ht="15" customHeight="1" x14ac:dyDescent="0.25">
      <c r="B206"/>
      <c r="C206"/>
      <c r="D206"/>
      <c r="U206" t="e">
        <f t="shared" si="3"/>
        <v>#REF!</v>
      </c>
    </row>
    <row r="207" spans="1:21" ht="15" customHeight="1" x14ac:dyDescent="0.25">
      <c r="B207"/>
      <c r="C207"/>
      <c r="D207"/>
      <c r="U207" t="e">
        <f t="shared" si="3"/>
        <v>#REF!</v>
      </c>
    </row>
    <row r="208" spans="1:21" ht="15" customHeight="1" x14ac:dyDescent="0.25">
      <c r="B208"/>
      <c r="C208"/>
      <c r="D208"/>
      <c r="U208" t="e">
        <f t="shared" si="3"/>
        <v>#REF!</v>
      </c>
    </row>
    <row r="209" spans="2:21" ht="15" customHeight="1" x14ac:dyDescent="0.25">
      <c r="B209"/>
      <c r="C209"/>
      <c r="D209"/>
      <c r="U209" t="e">
        <f t="shared" si="3"/>
        <v>#REF!</v>
      </c>
    </row>
    <row r="210" spans="2:21" ht="15" customHeight="1" x14ac:dyDescent="0.25">
      <c r="B210"/>
      <c r="C210"/>
      <c r="D210"/>
      <c r="U210" t="e">
        <f t="shared" ref="U210:U273" si="4">IF(F210="",U209,F210)</f>
        <v>#REF!</v>
      </c>
    </row>
    <row r="211" spans="2:21" ht="15" customHeight="1" x14ac:dyDescent="0.25">
      <c r="B211"/>
      <c r="C211"/>
      <c r="D211"/>
      <c r="U211" t="e">
        <f t="shared" si="4"/>
        <v>#REF!</v>
      </c>
    </row>
    <row r="212" spans="2:21" ht="15" customHeight="1" x14ac:dyDescent="0.25">
      <c r="B212"/>
      <c r="C212"/>
      <c r="D212"/>
      <c r="U212" t="e">
        <f t="shared" si="4"/>
        <v>#REF!</v>
      </c>
    </row>
    <row r="213" spans="2:21" ht="15" customHeight="1" x14ac:dyDescent="0.25">
      <c r="B213"/>
      <c r="C213"/>
      <c r="D213"/>
      <c r="U213" t="e">
        <f t="shared" si="4"/>
        <v>#REF!</v>
      </c>
    </row>
    <row r="214" spans="2:21" ht="15" customHeight="1" x14ac:dyDescent="0.25">
      <c r="B214"/>
      <c r="C214"/>
      <c r="D214"/>
      <c r="U214" t="e">
        <f t="shared" si="4"/>
        <v>#REF!</v>
      </c>
    </row>
    <row r="215" spans="2:21" ht="15" customHeight="1" x14ac:dyDescent="0.25">
      <c r="B215"/>
      <c r="C215"/>
      <c r="D215"/>
      <c r="U215" t="e">
        <f t="shared" si="4"/>
        <v>#REF!</v>
      </c>
    </row>
    <row r="216" spans="2:21" ht="15" customHeight="1" x14ac:dyDescent="0.25">
      <c r="B216"/>
      <c r="C216"/>
      <c r="D216"/>
      <c r="U216" t="e">
        <f t="shared" si="4"/>
        <v>#REF!</v>
      </c>
    </row>
    <row r="217" spans="2:21" ht="15" customHeight="1" x14ac:dyDescent="0.25">
      <c r="B217"/>
      <c r="C217"/>
      <c r="D217"/>
      <c r="U217" t="e">
        <f t="shared" si="4"/>
        <v>#REF!</v>
      </c>
    </row>
    <row r="218" spans="2:21" ht="15" customHeight="1" x14ac:dyDescent="0.25">
      <c r="B218"/>
      <c r="C218"/>
      <c r="D218"/>
      <c r="U218" t="e">
        <f t="shared" si="4"/>
        <v>#REF!</v>
      </c>
    </row>
    <row r="219" spans="2:21" ht="15" customHeight="1" x14ac:dyDescent="0.25">
      <c r="B219"/>
      <c r="C219"/>
      <c r="D219"/>
      <c r="U219" t="e">
        <f t="shared" si="4"/>
        <v>#REF!</v>
      </c>
    </row>
    <row r="220" spans="2:21" ht="15" customHeight="1" x14ac:dyDescent="0.25">
      <c r="B220"/>
      <c r="C220"/>
      <c r="D220"/>
      <c r="U220" t="e">
        <f t="shared" si="4"/>
        <v>#REF!</v>
      </c>
    </row>
    <row r="221" spans="2:21" ht="15" customHeight="1" x14ac:dyDescent="0.25">
      <c r="B221"/>
      <c r="C221"/>
      <c r="D221"/>
      <c r="U221" t="e">
        <f t="shared" si="4"/>
        <v>#REF!</v>
      </c>
    </row>
    <row r="222" spans="2:21" ht="15" customHeight="1" x14ac:dyDescent="0.25">
      <c r="B222"/>
      <c r="C222"/>
      <c r="D222"/>
      <c r="U222" t="e">
        <f t="shared" si="4"/>
        <v>#REF!</v>
      </c>
    </row>
    <row r="223" spans="2:21" ht="15" customHeight="1" x14ac:dyDescent="0.25">
      <c r="B223"/>
      <c r="C223"/>
      <c r="D223"/>
      <c r="U223" t="e">
        <f t="shared" si="4"/>
        <v>#REF!</v>
      </c>
    </row>
    <row r="224" spans="2:21" ht="15" customHeight="1" x14ac:dyDescent="0.25">
      <c r="B224"/>
      <c r="C224"/>
      <c r="D224"/>
      <c r="U224" t="e">
        <f t="shared" si="4"/>
        <v>#REF!</v>
      </c>
    </row>
    <row r="225" spans="2:21" ht="15" customHeight="1" x14ac:dyDescent="0.25">
      <c r="B225"/>
      <c r="C225"/>
      <c r="D225"/>
      <c r="U225" t="e">
        <f t="shared" si="4"/>
        <v>#REF!</v>
      </c>
    </row>
    <row r="226" spans="2:21" ht="15" customHeight="1" x14ac:dyDescent="0.25">
      <c r="B226"/>
      <c r="C226"/>
      <c r="D226"/>
      <c r="U226" t="e">
        <f t="shared" si="4"/>
        <v>#REF!</v>
      </c>
    </row>
    <row r="227" spans="2:21" ht="15" customHeight="1" x14ac:dyDescent="0.25">
      <c r="B227"/>
      <c r="C227"/>
      <c r="D227"/>
      <c r="U227" t="e">
        <f t="shared" si="4"/>
        <v>#REF!</v>
      </c>
    </row>
    <row r="228" spans="2:21" ht="15" customHeight="1" x14ac:dyDescent="0.25">
      <c r="B228"/>
      <c r="C228"/>
      <c r="D228"/>
      <c r="U228" t="e">
        <f t="shared" si="4"/>
        <v>#REF!</v>
      </c>
    </row>
    <row r="229" spans="2:21" ht="15" customHeight="1" x14ac:dyDescent="0.25">
      <c r="B229"/>
      <c r="C229"/>
      <c r="D229"/>
      <c r="U229" t="e">
        <f t="shared" si="4"/>
        <v>#REF!</v>
      </c>
    </row>
    <row r="230" spans="2:21" ht="15" customHeight="1" x14ac:dyDescent="0.25">
      <c r="B230"/>
      <c r="C230"/>
      <c r="D230"/>
      <c r="U230" t="e">
        <f t="shared" si="4"/>
        <v>#REF!</v>
      </c>
    </row>
    <row r="231" spans="2:21" ht="15" customHeight="1" x14ac:dyDescent="0.25">
      <c r="B231"/>
      <c r="C231"/>
      <c r="D231"/>
      <c r="U231" t="e">
        <f t="shared" si="4"/>
        <v>#REF!</v>
      </c>
    </row>
    <row r="232" spans="2:21" ht="15" customHeight="1" x14ac:dyDescent="0.25">
      <c r="B232"/>
      <c r="C232"/>
      <c r="D232"/>
      <c r="U232" t="e">
        <f t="shared" si="4"/>
        <v>#REF!</v>
      </c>
    </row>
    <row r="233" spans="2:21" ht="15" customHeight="1" x14ac:dyDescent="0.25">
      <c r="B233"/>
      <c r="C233"/>
      <c r="D233"/>
      <c r="U233" t="e">
        <f t="shared" si="4"/>
        <v>#REF!</v>
      </c>
    </row>
    <row r="234" spans="2:21" ht="15" customHeight="1" x14ac:dyDescent="0.25">
      <c r="B234"/>
      <c r="C234"/>
      <c r="D234"/>
      <c r="U234" t="e">
        <f t="shared" si="4"/>
        <v>#REF!</v>
      </c>
    </row>
    <row r="235" spans="2:21" ht="15" customHeight="1" x14ac:dyDescent="0.25">
      <c r="B235"/>
      <c r="C235"/>
      <c r="D235"/>
      <c r="U235" t="e">
        <f t="shared" si="4"/>
        <v>#REF!</v>
      </c>
    </row>
    <row r="236" spans="2:21" ht="15" customHeight="1" x14ac:dyDescent="0.25">
      <c r="B236"/>
      <c r="C236"/>
      <c r="D236"/>
      <c r="U236" t="e">
        <f t="shared" si="4"/>
        <v>#REF!</v>
      </c>
    </row>
    <row r="237" spans="2:21" ht="15" customHeight="1" x14ac:dyDescent="0.25">
      <c r="B237"/>
      <c r="C237"/>
      <c r="D237"/>
      <c r="U237" t="e">
        <f t="shared" si="4"/>
        <v>#REF!</v>
      </c>
    </row>
    <row r="238" spans="2:21" ht="15" customHeight="1" x14ac:dyDescent="0.25">
      <c r="B238"/>
      <c r="C238"/>
      <c r="D238"/>
      <c r="U238" t="e">
        <f t="shared" si="4"/>
        <v>#REF!</v>
      </c>
    </row>
    <row r="239" spans="2:21" ht="15" customHeight="1" x14ac:dyDescent="0.25">
      <c r="B239"/>
      <c r="C239"/>
      <c r="D239"/>
      <c r="U239" t="e">
        <f t="shared" si="4"/>
        <v>#REF!</v>
      </c>
    </row>
    <row r="240" spans="2:21" ht="15" customHeight="1" x14ac:dyDescent="0.25">
      <c r="B240"/>
      <c r="C240"/>
      <c r="D240"/>
      <c r="U240" t="e">
        <f t="shared" si="4"/>
        <v>#REF!</v>
      </c>
    </row>
    <row r="241" spans="2:21" ht="15" customHeight="1" x14ac:dyDescent="0.25">
      <c r="B241"/>
      <c r="C241"/>
      <c r="D241"/>
      <c r="U241" t="e">
        <f t="shared" si="4"/>
        <v>#REF!</v>
      </c>
    </row>
    <row r="242" spans="2:21" ht="15" customHeight="1" x14ac:dyDescent="0.25">
      <c r="B242"/>
      <c r="C242"/>
      <c r="D242"/>
      <c r="U242" t="e">
        <f t="shared" si="4"/>
        <v>#REF!</v>
      </c>
    </row>
    <row r="243" spans="2:21" ht="15" customHeight="1" x14ac:dyDescent="0.25">
      <c r="B243"/>
      <c r="C243"/>
      <c r="D243"/>
      <c r="U243" t="e">
        <f t="shared" si="4"/>
        <v>#REF!</v>
      </c>
    </row>
    <row r="244" spans="2:21" ht="15" customHeight="1" x14ac:dyDescent="0.25">
      <c r="B244"/>
      <c r="C244"/>
      <c r="D244"/>
      <c r="U244" t="e">
        <f t="shared" si="4"/>
        <v>#REF!</v>
      </c>
    </row>
    <row r="245" spans="2:21" ht="15" customHeight="1" x14ac:dyDescent="0.25">
      <c r="B245"/>
      <c r="C245"/>
      <c r="D245"/>
      <c r="U245" t="e">
        <f t="shared" si="4"/>
        <v>#REF!</v>
      </c>
    </row>
    <row r="246" spans="2:21" ht="15" customHeight="1" x14ac:dyDescent="0.25">
      <c r="B246"/>
      <c r="C246"/>
      <c r="D246"/>
      <c r="U246" t="e">
        <f t="shared" si="4"/>
        <v>#REF!</v>
      </c>
    </row>
    <row r="247" spans="2:21" ht="15" customHeight="1" x14ac:dyDescent="0.25">
      <c r="B247"/>
      <c r="C247"/>
      <c r="D247"/>
      <c r="U247" t="e">
        <f t="shared" si="4"/>
        <v>#REF!</v>
      </c>
    </row>
    <row r="248" spans="2:21" ht="15" customHeight="1" x14ac:dyDescent="0.25">
      <c r="B248"/>
      <c r="C248"/>
      <c r="D248"/>
      <c r="U248" t="e">
        <f t="shared" si="4"/>
        <v>#REF!</v>
      </c>
    </row>
    <row r="249" spans="2:21" ht="15" customHeight="1" x14ac:dyDescent="0.25">
      <c r="B249"/>
      <c r="C249"/>
      <c r="D249"/>
      <c r="U249" t="e">
        <f t="shared" si="4"/>
        <v>#REF!</v>
      </c>
    </row>
    <row r="250" spans="2:21" ht="15" customHeight="1" x14ac:dyDescent="0.25">
      <c r="B250"/>
      <c r="C250"/>
      <c r="D250"/>
      <c r="U250" t="e">
        <f t="shared" si="4"/>
        <v>#REF!</v>
      </c>
    </row>
    <row r="251" spans="2:21" ht="15" customHeight="1" x14ac:dyDescent="0.25">
      <c r="B251"/>
      <c r="C251"/>
      <c r="D251"/>
      <c r="U251" t="e">
        <f t="shared" si="4"/>
        <v>#REF!</v>
      </c>
    </row>
    <row r="252" spans="2:21" ht="15" customHeight="1" x14ac:dyDescent="0.25">
      <c r="B252"/>
      <c r="C252"/>
      <c r="D252"/>
      <c r="U252" t="e">
        <f t="shared" si="4"/>
        <v>#REF!</v>
      </c>
    </row>
    <row r="253" spans="2:21" ht="15" customHeight="1" x14ac:dyDescent="0.25">
      <c r="B253"/>
      <c r="C253"/>
      <c r="D253"/>
      <c r="U253" t="e">
        <f t="shared" si="4"/>
        <v>#REF!</v>
      </c>
    </row>
    <row r="254" spans="2:21" ht="15" customHeight="1" x14ac:dyDescent="0.25">
      <c r="B254"/>
      <c r="C254"/>
      <c r="D254"/>
      <c r="U254" t="e">
        <f t="shared" si="4"/>
        <v>#REF!</v>
      </c>
    </row>
    <row r="255" spans="2:21" ht="15" customHeight="1" x14ac:dyDescent="0.25">
      <c r="B255"/>
      <c r="C255"/>
      <c r="D255"/>
      <c r="U255" t="e">
        <f t="shared" si="4"/>
        <v>#REF!</v>
      </c>
    </row>
    <row r="256" spans="2:21" ht="15" customHeight="1" x14ac:dyDescent="0.25">
      <c r="B256"/>
      <c r="C256"/>
      <c r="D256"/>
      <c r="U256" t="e">
        <f t="shared" si="4"/>
        <v>#REF!</v>
      </c>
    </row>
    <row r="257" spans="2:21" ht="15" customHeight="1" x14ac:dyDescent="0.25">
      <c r="B257"/>
      <c r="C257"/>
      <c r="D257"/>
      <c r="U257" t="e">
        <f t="shared" si="4"/>
        <v>#REF!</v>
      </c>
    </row>
    <row r="258" spans="2:21" ht="15" customHeight="1" x14ac:dyDescent="0.25">
      <c r="B258"/>
      <c r="C258"/>
      <c r="D258"/>
      <c r="U258" t="e">
        <f t="shared" si="4"/>
        <v>#REF!</v>
      </c>
    </row>
    <row r="259" spans="2:21" ht="15" customHeight="1" x14ac:dyDescent="0.25">
      <c r="B259"/>
      <c r="C259"/>
      <c r="D259"/>
      <c r="U259" t="e">
        <f t="shared" si="4"/>
        <v>#REF!</v>
      </c>
    </row>
    <row r="260" spans="2:21" ht="15" customHeight="1" x14ac:dyDescent="0.25">
      <c r="B260"/>
      <c r="C260"/>
      <c r="D260"/>
      <c r="U260" t="e">
        <f t="shared" si="4"/>
        <v>#REF!</v>
      </c>
    </row>
    <row r="261" spans="2:21" ht="15" customHeight="1" x14ac:dyDescent="0.25">
      <c r="B261"/>
      <c r="C261"/>
      <c r="D261"/>
      <c r="U261" t="e">
        <f t="shared" si="4"/>
        <v>#REF!</v>
      </c>
    </row>
    <row r="262" spans="2:21" ht="15" customHeight="1" x14ac:dyDescent="0.25">
      <c r="B262"/>
      <c r="C262"/>
      <c r="D262"/>
      <c r="U262" t="e">
        <f t="shared" si="4"/>
        <v>#REF!</v>
      </c>
    </row>
    <row r="263" spans="2:21" ht="15" customHeight="1" x14ac:dyDescent="0.25">
      <c r="B263"/>
      <c r="C263"/>
      <c r="D263"/>
      <c r="U263" t="e">
        <f t="shared" si="4"/>
        <v>#REF!</v>
      </c>
    </row>
    <row r="264" spans="2:21" ht="15" customHeight="1" x14ac:dyDescent="0.25">
      <c r="B264"/>
      <c r="C264"/>
      <c r="D264"/>
      <c r="U264" t="e">
        <f t="shared" si="4"/>
        <v>#REF!</v>
      </c>
    </row>
    <row r="265" spans="2:21" ht="15" customHeight="1" x14ac:dyDescent="0.25">
      <c r="B265"/>
      <c r="C265"/>
      <c r="D265"/>
      <c r="U265" t="e">
        <f t="shared" si="4"/>
        <v>#REF!</v>
      </c>
    </row>
    <row r="266" spans="2:21" ht="15" customHeight="1" x14ac:dyDescent="0.25">
      <c r="B266"/>
      <c r="C266"/>
      <c r="D266"/>
      <c r="U266" t="e">
        <f t="shared" si="4"/>
        <v>#REF!</v>
      </c>
    </row>
    <row r="267" spans="2:21" ht="15" customHeight="1" x14ac:dyDescent="0.25">
      <c r="B267"/>
      <c r="C267"/>
      <c r="D267"/>
      <c r="U267" t="e">
        <f t="shared" si="4"/>
        <v>#REF!</v>
      </c>
    </row>
    <row r="268" spans="2:21" ht="15" customHeight="1" x14ac:dyDescent="0.25">
      <c r="B268"/>
      <c r="C268"/>
      <c r="D268"/>
      <c r="U268" t="e">
        <f t="shared" si="4"/>
        <v>#REF!</v>
      </c>
    </row>
    <row r="269" spans="2:21" ht="15" customHeight="1" x14ac:dyDescent="0.25">
      <c r="B269"/>
      <c r="C269"/>
      <c r="D269"/>
      <c r="U269" t="e">
        <f t="shared" si="4"/>
        <v>#REF!</v>
      </c>
    </row>
    <row r="270" spans="2:21" ht="15" customHeight="1" x14ac:dyDescent="0.25">
      <c r="B270"/>
      <c r="C270"/>
      <c r="D270"/>
      <c r="U270" t="e">
        <f t="shared" si="4"/>
        <v>#REF!</v>
      </c>
    </row>
    <row r="271" spans="2:21" ht="15" customHeight="1" x14ac:dyDescent="0.25">
      <c r="B271"/>
      <c r="C271"/>
      <c r="D271"/>
      <c r="U271" t="e">
        <f t="shared" si="4"/>
        <v>#REF!</v>
      </c>
    </row>
    <row r="272" spans="2:21" ht="15" customHeight="1" x14ac:dyDescent="0.25">
      <c r="B272"/>
      <c r="C272"/>
      <c r="D272"/>
      <c r="U272" t="e">
        <f t="shared" si="4"/>
        <v>#REF!</v>
      </c>
    </row>
    <row r="273" spans="2:21" ht="15" customHeight="1" x14ac:dyDescent="0.25">
      <c r="B273"/>
      <c r="C273"/>
      <c r="D273"/>
      <c r="U273" t="e">
        <f t="shared" si="4"/>
        <v>#REF!</v>
      </c>
    </row>
    <row r="274" spans="2:21" ht="15" customHeight="1" x14ac:dyDescent="0.25">
      <c r="B274"/>
      <c r="C274"/>
      <c r="D274"/>
      <c r="U274" t="e">
        <f t="shared" ref="U274:U319" si="5">IF(F274="",U273,F274)</f>
        <v>#REF!</v>
      </c>
    </row>
    <row r="275" spans="2:21" ht="15" customHeight="1" x14ac:dyDescent="0.25">
      <c r="B275"/>
      <c r="C275"/>
      <c r="D275"/>
      <c r="U275" t="e">
        <f t="shared" si="5"/>
        <v>#REF!</v>
      </c>
    </row>
    <row r="276" spans="2:21" ht="15" customHeight="1" x14ac:dyDescent="0.25">
      <c r="B276"/>
      <c r="C276"/>
      <c r="D276"/>
      <c r="U276" t="e">
        <f t="shared" si="5"/>
        <v>#REF!</v>
      </c>
    </row>
    <row r="277" spans="2:21" ht="15" customHeight="1" x14ac:dyDescent="0.25">
      <c r="B277"/>
      <c r="C277"/>
      <c r="D277"/>
      <c r="U277" t="e">
        <f t="shared" si="5"/>
        <v>#REF!</v>
      </c>
    </row>
    <row r="278" spans="2:21" ht="15" customHeight="1" x14ac:dyDescent="0.25">
      <c r="B278"/>
      <c r="C278"/>
      <c r="D278"/>
      <c r="U278" t="e">
        <f t="shared" si="5"/>
        <v>#REF!</v>
      </c>
    </row>
    <row r="279" spans="2:21" ht="15" customHeight="1" x14ac:dyDescent="0.25">
      <c r="B279"/>
      <c r="C279"/>
      <c r="D279"/>
      <c r="U279" t="e">
        <f t="shared" si="5"/>
        <v>#REF!</v>
      </c>
    </row>
    <row r="280" spans="2:21" ht="15" customHeight="1" x14ac:dyDescent="0.25">
      <c r="B280"/>
      <c r="C280"/>
      <c r="D280"/>
      <c r="U280" t="e">
        <f t="shared" si="5"/>
        <v>#REF!</v>
      </c>
    </row>
    <row r="281" spans="2:21" ht="15" customHeight="1" x14ac:dyDescent="0.25">
      <c r="B281"/>
      <c r="C281"/>
      <c r="D281"/>
      <c r="U281" t="e">
        <f t="shared" si="5"/>
        <v>#REF!</v>
      </c>
    </row>
    <row r="282" spans="2:21" ht="15" customHeight="1" x14ac:dyDescent="0.25">
      <c r="B282"/>
      <c r="C282"/>
      <c r="D282"/>
      <c r="U282" t="e">
        <f t="shared" si="5"/>
        <v>#REF!</v>
      </c>
    </row>
    <row r="283" spans="2:21" ht="15" customHeight="1" x14ac:dyDescent="0.25">
      <c r="B283"/>
      <c r="C283"/>
      <c r="D283"/>
      <c r="U283" t="e">
        <f t="shared" si="5"/>
        <v>#REF!</v>
      </c>
    </row>
    <row r="284" spans="2:21" ht="15" customHeight="1" x14ac:dyDescent="0.25">
      <c r="B284"/>
      <c r="C284"/>
      <c r="D284"/>
      <c r="U284" t="e">
        <f t="shared" si="5"/>
        <v>#REF!</v>
      </c>
    </row>
    <row r="285" spans="2:21" ht="15" customHeight="1" x14ac:dyDescent="0.25">
      <c r="B285"/>
      <c r="C285"/>
      <c r="D285"/>
      <c r="U285" t="e">
        <f t="shared" si="5"/>
        <v>#REF!</v>
      </c>
    </row>
    <row r="286" spans="2:21" ht="15" customHeight="1" x14ac:dyDescent="0.25">
      <c r="B286"/>
      <c r="C286"/>
      <c r="D286"/>
      <c r="U286" t="e">
        <f t="shared" si="5"/>
        <v>#REF!</v>
      </c>
    </row>
    <row r="287" spans="2:21" ht="15" customHeight="1" x14ac:dyDescent="0.25">
      <c r="B287"/>
      <c r="C287"/>
      <c r="D287"/>
      <c r="U287" t="e">
        <f t="shared" si="5"/>
        <v>#REF!</v>
      </c>
    </row>
    <row r="288" spans="2:21" ht="15" customHeight="1" x14ac:dyDescent="0.25">
      <c r="B288"/>
      <c r="C288"/>
      <c r="D288"/>
      <c r="U288" t="e">
        <f t="shared" si="5"/>
        <v>#REF!</v>
      </c>
    </row>
    <row r="289" spans="2:21" ht="15" customHeight="1" x14ac:dyDescent="0.25">
      <c r="B289"/>
      <c r="C289"/>
      <c r="D289"/>
      <c r="U289" t="e">
        <f t="shared" si="5"/>
        <v>#REF!</v>
      </c>
    </row>
    <row r="290" spans="2:21" ht="15" customHeight="1" x14ac:dyDescent="0.25">
      <c r="B290"/>
      <c r="C290"/>
      <c r="D290"/>
      <c r="U290" t="e">
        <f t="shared" si="5"/>
        <v>#REF!</v>
      </c>
    </row>
    <row r="291" spans="2:21" ht="15" customHeight="1" x14ac:dyDescent="0.25">
      <c r="B291"/>
      <c r="C291"/>
      <c r="D291"/>
      <c r="U291" t="e">
        <f t="shared" si="5"/>
        <v>#REF!</v>
      </c>
    </row>
    <row r="292" spans="2:21" ht="15" customHeight="1" x14ac:dyDescent="0.25">
      <c r="B292"/>
      <c r="C292"/>
      <c r="D292"/>
      <c r="U292" t="e">
        <f t="shared" si="5"/>
        <v>#REF!</v>
      </c>
    </row>
    <row r="293" spans="2:21" ht="15" customHeight="1" x14ac:dyDescent="0.25">
      <c r="B293"/>
      <c r="C293"/>
      <c r="D293"/>
      <c r="U293" t="e">
        <f t="shared" si="5"/>
        <v>#REF!</v>
      </c>
    </row>
    <row r="294" spans="2:21" ht="15" customHeight="1" x14ac:dyDescent="0.25">
      <c r="B294"/>
      <c r="C294"/>
      <c r="D294"/>
      <c r="U294" t="e">
        <f t="shared" si="5"/>
        <v>#REF!</v>
      </c>
    </row>
    <row r="295" spans="2:21" ht="15" customHeight="1" x14ac:dyDescent="0.25">
      <c r="B295"/>
      <c r="C295"/>
      <c r="D295"/>
      <c r="U295" t="e">
        <f t="shared" si="5"/>
        <v>#REF!</v>
      </c>
    </row>
    <row r="296" spans="2:21" ht="15" customHeight="1" x14ac:dyDescent="0.25">
      <c r="B296"/>
      <c r="C296"/>
      <c r="D296"/>
      <c r="U296" t="e">
        <f t="shared" si="5"/>
        <v>#REF!</v>
      </c>
    </row>
    <row r="297" spans="2:21" ht="15" customHeight="1" x14ac:dyDescent="0.25">
      <c r="B297"/>
      <c r="C297"/>
      <c r="D297"/>
      <c r="U297" t="e">
        <f t="shared" si="5"/>
        <v>#REF!</v>
      </c>
    </row>
    <row r="298" spans="2:21" ht="15" customHeight="1" x14ac:dyDescent="0.25">
      <c r="B298"/>
      <c r="C298"/>
      <c r="D298"/>
      <c r="U298" t="e">
        <f t="shared" si="5"/>
        <v>#REF!</v>
      </c>
    </row>
    <row r="299" spans="2:21" ht="15" customHeight="1" x14ac:dyDescent="0.25">
      <c r="B299"/>
      <c r="C299"/>
      <c r="D299"/>
      <c r="U299" t="e">
        <f t="shared" si="5"/>
        <v>#REF!</v>
      </c>
    </row>
    <row r="300" spans="2:21" ht="15" customHeight="1" x14ac:dyDescent="0.25">
      <c r="B300"/>
      <c r="C300"/>
      <c r="D300"/>
      <c r="U300" t="e">
        <f t="shared" si="5"/>
        <v>#REF!</v>
      </c>
    </row>
    <row r="301" spans="2:21" ht="15" customHeight="1" x14ac:dyDescent="0.25">
      <c r="B301"/>
      <c r="C301"/>
      <c r="D301"/>
      <c r="U301" t="e">
        <f t="shared" si="5"/>
        <v>#REF!</v>
      </c>
    </row>
    <row r="302" spans="2:21" ht="15" customHeight="1" x14ac:dyDescent="0.25">
      <c r="B302"/>
      <c r="C302"/>
      <c r="D302"/>
      <c r="U302" t="e">
        <f t="shared" si="5"/>
        <v>#REF!</v>
      </c>
    </row>
    <row r="303" spans="2:21" ht="15" customHeight="1" x14ac:dyDescent="0.25">
      <c r="B303"/>
      <c r="C303"/>
      <c r="D303"/>
      <c r="U303" t="e">
        <f t="shared" si="5"/>
        <v>#REF!</v>
      </c>
    </row>
    <row r="304" spans="2:21" ht="15" customHeight="1" x14ac:dyDescent="0.25">
      <c r="B304"/>
      <c r="C304"/>
      <c r="D304"/>
      <c r="U304" t="e">
        <f t="shared" si="5"/>
        <v>#REF!</v>
      </c>
    </row>
    <row r="305" spans="2:21" ht="15" customHeight="1" x14ac:dyDescent="0.25">
      <c r="B305"/>
      <c r="C305"/>
      <c r="D305"/>
      <c r="U305" t="e">
        <f t="shared" si="5"/>
        <v>#REF!</v>
      </c>
    </row>
    <row r="306" spans="2:21" ht="15" customHeight="1" x14ac:dyDescent="0.25">
      <c r="B306"/>
      <c r="C306"/>
      <c r="D306"/>
      <c r="U306" t="e">
        <f t="shared" si="5"/>
        <v>#REF!</v>
      </c>
    </row>
    <row r="307" spans="2:21" ht="15" customHeight="1" x14ac:dyDescent="0.25">
      <c r="B307"/>
      <c r="C307"/>
      <c r="D307"/>
      <c r="U307" t="e">
        <f t="shared" si="5"/>
        <v>#REF!</v>
      </c>
    </row>
    <row r="308" spans="2:21" ht="15" customHeight="1" x14ac:dyDescent="0.25">
      <c r="B308"/>
      <c r="C308"/>
      <c r="D308"/>
      <c r="U308" t="e">
        <f t="shared" si="5"/>
        <v>#REF!</v>
      </c>
    </row>
    <row r="309" spans="2:21" ht="15" customHeight="1" x14ac:dyDescent="0.25">
      <c r="B309"/>
      <c r="C309"/>
      <c r="D309"/>
      <c r="U309" t="e">
        <f t="shared" si="5"/>
        <v>#REF!</v>
      </c>
    </row>
    <row r="310" spans="2:21" ht="15" customHeight="1" x14ac:dyDescent="0.25">
      <c r="B310"/>
      <c r="C310"/>
      <c r="D310"/>
      <c r="U310" t="e">
        <f t="shared" si="5"/>
        <v>#REF!</v>
      </c>
    </row>
    <row r="311" spans="2:21" ht="15" customHeight="1" x14ac:dyDescent="0.25">
      <c r="B311"/>
      <c r="C311"/>
      <c r="D311"/>
      <c r="U311" t="e">
        <f t="shared" si="5"/>
        <v>#REF!</v>
      </c>
    </row>
    <row r="312" spans="2:21" ht="15" customHeight="1" x14ac:dyDescent="0.25">
      <c r="B312"/>
      <c r="C312"/>
      <c r="D312"/>
      <c r="U312" t="e">
        <f t="shared" si="5"/>
        <v>#REF!</v>
      </c>
    </row>
    <row r="313" spans="2:21" ht="15" customHeight="1" x14ac:dyDescent="0.25">
      <c r="B313"/>
      <c r="C313"/>
      <c r="D313"/>
      <c r="U313" t="e">
        <f t="shared" si="5"/>
        <v>#REF!</v>
      </c>
    </row>
    <row r="314" spans="2:21" ht="15" customHeight="1" x14ac:dyDescent="0.25">
      <c r="B314"/>
      <c r="C314"/>
      <c r="D314"/>
      <c r="U314" t="e">
        <f t="shared" si="5"/>
        <v>#REF!</v>
      </c>
    </row>
    <row r="315" spans="2:21" ht="15" customHeight="1" x14ac:dyDescent="0.25">
      <c r="B315"/>
      <c r="C315"/>
      <c r="D315"/>
      <c r="U315" t="e">
        <f t="shared" si="5"/>
        <v>#REF!</v>
      </c>
    </row>
    <row r="316" spans="2:21" ht="15" customHeight="1" x14ac:dyDescent="0.25">
      <c r="B316"/>
      <c r="C316"/>
      <c r="D316"/>
      <c r="U316" t="e">
        <f t="shared" si="5"/>
        <v>#REF!</v>
      </c>
    </row>
    <row r="317" spans="2:21" ht="15" customHeight="1" x14ac:dyDescent="0.25">
      <c r="B317"/>
      <c r="C317"/>
      <c r="D317"/>
      <c r="U317" t="e">
        <f t="shared" si="5"/>
        <v>#REF!</v>
      </c>
    </row>
    <row r="318" spans="2:21" ht="15" customHeight="1" x14ac:dyDescent="0.25">
      <c r="B318"/>
      <c r="C318"/>
      <c r="D318"/>
      <c r="U318" t="e">
        <f t="shared" si="5"/>
        <v>#REF!</v>
      </c>
    </row>
    <row r="319" spans="2:21" ht="15" customHeight="1" x14ac:dyDescent="0.25">
      <c r="B319"/>
      <c r="C319"/>
      <c r="D319"/>
      <c r="U319" t="e">
        <f t="shared" si="5"/>
        <v>#REF!</v>
      </c>
    </row>
    <row r="320" spans="2:21" ht="15" customHeight="1" x14ac:dyDescent="0.25">
      <c r="B320"/>
      <c r="C320"/>
      <c r="D320"/>
    </row>
    <row r="321" spans="2:4" ht="15" customHeight="1" x14ac:dyDescent="0.25">
      <c r="B321"/>
      <c r="C321"/>
      <c r="D321"/>
    </row>
    <row r="322" spans="2:4" ht="15" customHeight="1" x14ac:dyDescent="0.25">
      <c r="B322"/>
      <c r="C322"/>
      <c r="D322"/>
    </row>
    <row r="323" spans="2:4" ht="15" customHeight="1" x14ac:dyDescent="0.25">
      <c r="B323"/>
      <c r="C323"/>
      <c r="D323"/>
    </row>
    <row r="324" spans="2:4" ht="15" customHeight="1" x14ac:dyDescent="0.25">
      <c r="B324"/>
      <c r="C324"/>
      <c r="D324"/>
    </row>
    <row r="325" spans="2:4" ht="15" customHeight="1" x14ac:dyDescent="0.25">
      <c r="B325"/>
      <c r="C325"/>
      <c r="D325"/>
    </row>
    <row r="326" spans="2:4" ht="15" customHeight="1" x14ac:dyDescent="0.25">
      <c r="B326"/>
      <c r="C326"/>
      <c r="D326"/>
    </row>
    <row r="327" spans="2:4" ht="15" customHeight="1" x14ac:dyDescent="0.25">
      <c r="B327"/>
      <c r="C327"/>
      <c r="D327"/>
    </row>
    <row r="328" spans="2:4" ht="15" customHeight="1" x14ac:dyDescent="0.25">
      <c r="B328"/>
      <c r="C328"/>
      <c r="D328"/>
    </row>
    <row r="329" spans="2:4" ht="15" customHeight="1" x14ac:dyDescent="0.25">
      <c r="B329"/>
      <c r="C329"/>
      <c r="D329"/>
    </row>
    <row r="330" spans="2:4" ht="15" customHeight="1" x14ac:dyDescent="0.25">
      <c r="B330"/>
      <c r="C330"/>
      <c r="D330"/>
    </row>
    <row r="331" spans="2:4" ht="15" customHeight="1" x14ac:dyDescent="0.25">
      <c r="B331"/>
      <c r="C331"/>
      <c r="D331"/>
    </row>
    <row r="332" spans="2:4" ht="15" customHeight="1" x14ac:dyDescent="0.25">
      <c r="B332"/>
      <c r="C332"/>
      <c r="D332"/>
    </row>
    <row r="333" spans="2:4" ht="15" customHeight="1" x14ac:dyDescent="0.25">
      <c r="B333"/>
      <c r="C333"/>
      <c r="D333"/>
    </row>
    <row r="334" spans="2:4" ht="15" customHeight="1" x14ac:dyDescent="0.25">
      <c r="B334"/>
      <c r="C334"/>
      <c r="D334"/>
    </row>
    <row r="335" spans="2:4" ht="15" customHeight="1" x14ac:dyDescent="0.25">
      <c r="B335"/>
      <c r="C335"/>
      <c r="D335"/>
    </row>
    <row r="336" spans="2:4" ht="15" customHeight="1" x14ac:dyDescent="0.25">
      <c r="B336"/>
      <c r="C336"/>
      <c r="D336"/>
    </row>
    <row r="337" spans="2:4" ht="15" customHeight="1" x14ac:dyDescent="0.25">
      <c r="B337"/>
      <c r="C337"/>
      <c r="D337"/>
    </row>
    <row r="338" spans="2:4" ht="15" customHeight="1" x14ac:dyDescent="0.25">
      <c r="B338"/>
      <c r="C338"/>
      <c r="D338"/>
    </row>
    <row r="339" spans="2:4" ht="15" customHeight="1" x14ac:dyDescent="0.25">
      <c r="B339"/>
      <c r="C339"/>
      <c r="D339"/>
    </row>
    <row r="340" spans="2:4" ht="15" customHeight="1" x14ac:dyDescent="0.25">
      <c r="B340"/>
      <c r="C340"/>
      <c r="D340"/>
    </row>
    <row r="341" spans="2:4" ht="15" customHeight="1" x14ac:dyDescent="0.25">
      <c r="B341"/>
      <c r="C341"/>
      <c r="D341"/>
    </row>
    <row r="342" spans="2:4" ht="15" customHeight="1" x14ac:dyDescent="0.25">
      <c r="B342"/>
      <c r="C342"/>
      <c r="D342"/>
    </row>
    <row r="343" spans="2:4" ht="15" customHeight="1" x14ac:dyDescent="0.25">
      <c r="B343"/>
      <c r="C343"/>
      <c r="D343"/>
    </row>
    <row r="344" spans="2:4" ht="15" customHeight="1" x14ac:dyDescent="0.25">
      <c r="B344"/>
      <c r="C344"/>
      <c r="D344"/>
    </row>
    <row r="345" spans="2:4" ht="15" customHeight="1" x14ac:dyDescent="0.25">
      <c r="B345"/>
      <c r="C345"/>
      <c r="D345"/>
    </row>
    <row r="346" spans="2:4" ht="15" customHeight="1" x14ac:dyDescent="0.25">
      <c r="B346"/>
      <c r="C346"/>
      <c r="D346"/>
    </row>
    <row r="347" spans="2:4" ht="15" customHeight="1" x14ac:dyDescent="0.25">
      <c r="B347"/>
      <c r="C347"/>
      <c r="D347"/>
    </row>
    <row r="348" spans="2:4" ht="15" customHeight="1" x14ac:dyDescent="0.25">
      <c r="B348"/>
      <c r="C348"/>
      <c r="D348"/>
    </row>
    <row r="349" spans="2:4" ht="15" customHeight="1" x14ac:dyDescent="0.25">
      <c r="B349"/>
      <c r="C349"/>
      <c r="D349"/>
    </row>
    <row r="350" spans="2:4" ht="15" customHeight="1" x14ac:dyDescent="0.25">
      <c r="B350"/>
      <c r="C350"/>
      <c r="D350"/>
    </row>
    <row r="351" spans="2:4" ht="15" customHeight="1" x14ac:dyDescent="0.25">
      <c r="B351"/>
      <c r="C351"/>
      <c r="D351"/>
    </row>
    <row r="352" spans="2:4" ht="15" customHeight="1" x14ac:dyDescent="0.25">
      <c r="B352"/>
      <c r="C352"/>
      <c r="D352"/>
    </row>
    <row r="353" spans="2:4" ht="15" customHeight="1" x14ac:dyDescent="0.25">
      <c r="B353"/>
      <c r="C353"/>
      <c r="D353"/>
    </row>
    <row r="354" spans="2:4" ht="15" customHeight="1" x14ac:dyDescent="0.25">
      <c r="B354"/>
      <c r="C354"/>
      <c r="D354"/>
    </row>
    <row r="355" spans="2:4" ht="15" customHeight="1" x14ac:dyDescent="0.25">
      <c r="B355"/>
      <c r="C355"/>
      <c r="D355"/>
    </row>
    <row r="356" spans="2:4" ht="15" customHeight="1" x14ac:dyDescent="0.25">
      <c r="B356"/>
      <c r="C356"/>
      <c r="D356"/>
    </row>
    <row r="357" spans="2:4" ht="15" customHeight="1" x14ac:dyDescent="0.25">
      <c r="B357"/>
      <c r="C357"/>
      <c r="D357"/>
    </row>
    <row r="358" spans="2:4" ht="15" customHeight="1" x14ac:dyDescent="0.25">
      <c r="B358"/>
      <c r="C358"/>
      <c r="D358"/>
    </row>
    <row r="359" spans="2:4" ht="15" customHeight="1" x14ac:dyDescent="0.25">
      <c r="B359"/>
      <c r="C359"/>
      <c r="D359"/>
    </row>
    <row r="360" spans="2:4" ht="15" customHeight="1" x14ac:dyDescent="0.25">
      <c r="B360"/>
      <c r="C360"/>
      <c r="D360"/>
    </row>
    <row r="361" spans="2:4" ht="15" customHeight="1" x14ac:dyDescent="0.25">
      <c r="B361"/>
      <c r="C361"/>
      <c r="D361"/>
    </row>
    <row r="362" spans="2:4" ht="15" customHeight="1" x14ac:dyDescent="0.25">
      <c r="B362"/>
      <c r="C362"/>
      <c r="D362"/>
    </row>
    <row r="363" spans="2:4" ht="15" customHeight="1" x14ac:dyDescent="0.25">
      <c r="B363"/>
      <c r="C363"/>
      <c r="D363"/>
    </row>
    <row r="364" spans="2:4" ht="15" customHeight="1" x14ac:dyDescent="0.25">
      <c r="B364"/>
      <c r="C364"/>
      <c r="D364"/>
    </row>
    <row r="365" spans="2:4" ht="15" customHeight="1" x14ac:dyDescent="0.25">
      <c r="B365"/>
      <c r="C365"/>
      <c r="D365"/>
    </row>
    <row r="366" spans="2:4" ht="15" customHeight="1" x14ac:dyDescent="0.25">
      <c r="B366"/>
      <c r="C366"/>
      <c r="D366"/>
    </row>
    <row r="367" spans="2:4" ht="15" customHeight="1" x14ac:dyDescent="0.25">
      <c r="B367"/>
      <c r="C367"/>
      <c r="D367"/>
    </row>
    <row r="368" spans="2:4" ht="15" customHeight="1" x14ac:dyDescent="0.25">
      <c r="B368"/>
      <c r="C368"/>
      <c r="D368"/>
    </row>
    <row r="369" spans="2:4" ht="15" customHeight="1" x14ac:dyDescent="0.25">
      <c r="B369"/>
      <c r="C369"/>
      <c r="D369"/>
    </row>
    <row r="370" spans="2:4" ht="15" customHeight="1" x14ac:dyDescent="0.25">
      <c r="B370"/>
      <c r="C370"/>
      <c r="D370"/>
    </row>
    <row r="371" spans="2:4" ht="15" customHeight="1" x14ac:dyDescent="0.25">
      <c r="B371"/>
      <c r="C371"/>
      <c r="D371"/>
    </row>
    <row r="372" spans="2:4" ht="15" customHeight="1" x14ac:dyDescent="0.25">
      <c r="B372"/>
      <c r="C372"/>
      <c r="D372"/>
    </row>
    <row r="373" spans="2:4" ht="15" customHeight="1" x14ac:dyDescent="0.25">
      <c r="B373"/>
      <c r="C373"/>
      <c r="D373"/>
    </row>
    <row r="374" spans="2:4" ht="15" customHeight="1" x14ac:dyDescent="0.25">
      <c r="B374"/>
      <c r="C374"/>
      <c r="D374"/>
    </row>
    <row r="375" spans="2:4" ht="15" customHeight="1" x14ac:dyDescent="0.25">
      <c r="B375"/>
      <c r="C375"/>
      <c r="D375"/>
    </row>
    <row r="376" spans="2:4" ht="15" customHeight="1" x14ac:dyDescent="0.25">
      <c r="B376"/>
      <c r="C376"/>
      <c r="D376"/>
    </row>
    <row r="377" spans="2:4" ht="15" customHeight="1" x14ac:dyDescent="0.25">
      <c r="B377"/>
      <c r="C377"/>
      <c r="D377"/>
    </row>
    <row r="378" spans="2:4" ht="15" customHeight="1" x14ac:dyDescent="0.25">
      <c r="B378"/>
      <c r="C378"/>
      <c r="D378"/>
    </row>
    <row r="379" spans="2:4" ht="15" customHeight="1" x14ac:dyDescent="0.25">
      <c r="B379"/>
      <c r="C379"/>
      <c r="D379"/>
    </row>
    <row r="380" spans="2:4" ht="15" customHeight="1" x14ac:dyDescent="0.25">
      <c r="B380"/>
      <c r="C380"/>
      <c r="D380"/>
    </row>
    <row r="381" spans="2:4" ht="15" customHeight="1" x14ac:dyDescent="0.25">
      <c r="B381"/>
      <c r="C381"/>
      <c r="D381"/>
    </row>
    <row r="382" spans="2:4" ht="15" customHeight="1" x14ac:dyDescent="0.25">
      <c r="B382"/>
      <c r="C382"/>
      <c r="D382"/>
    </row>
    <row r="383" spans="2:4" ht="15" customHeight="1" x14ac:dyDescent="0.25">
      <c r="B383"/>
      <c r="C383"/>
      <c r="D383"/>
    </row>
    <row r="384" spans="2:4" ht="15" customHeight="1" x14ac:dyDescent="0.25">
      <c r="B384"/>
      <c r="C384"/>
      <c r="D384"/>
    </row>
    <row r="385" spans="2:4" ht="15" customHeight="1" x14ac:dyDescent="0.25">
      <c r="B385"/>
      <c r="C385"/>
      <c r="D385"/>
    </row>
    <row r="386" spans="2:4" ht="15" customHeight="1" x14ac:dyDescent="0.25">
      <c r="B386"/>
      <c r="C386"/>
      <c r="D386"/>
    </row>
    <row r="387" spans="2:4" ht="15" customHeight="1" x14ac:dyDescent="0.25">
      <c r="B387"/>
      <c r="C387"/>
      <c r="D387"/>
    </row>
    <row r="388" spans="2:4" ht="15" customHeight="1" x14ac:dyDescent="0.25">
      <c r="B388"/>
      <c r="C388"/>
      <c r="D388"/>
    </row>
    <row r="389" spans="2:4" ht="15" customHeight="1" x14ac:dyDescent="0.25">
      <c r="B389"/>
      <c r="C389"/>
      <c r="D389"/>
    </row>
    <row r="390" spans="2:4" ht="15" customHeight="1" x14ac:dyDescent="0.25">
      <c r="B390"/>
      <c r="C390"/>
      <c r="D390"/>
    </row>
    <row r="391" spans="2:4" ht="15" customHeight="1" x14ac:dyDescent="0.25">
      <c r="B391"/>
      <c r="C391"/>
      <c r="D391"/>
    </row>
    <row r="392" spans="2:4" ht="15" customHeight="1" x14ac:dyDescent="0.25">
      <c r="B392"/>
      <c r="C392"/>
      <c r="D392"/>
    </row>
    <row r="393" spans="2:4" ht="15" customHeight="1" x14ac:dyDescent="0.25">
      <c r="B393"/>
      <c r="C393"/>
      <c r="D393"/>
    </row>
    <row r="394" spans="2:4" ht="15" customHeight="1" x14ac:dyDescent="0.25">
      <c r="B394"/>
      <c r="C394"/>
      <c r="D394"/>
    </row>
    <row r="395" spans="2:4" ht="15" customHeight="1" x14ac:dyDescent="0.25">
      <c r="B395"/>
      <c r="C395"/>
      <c r="D395"/>
    </row>
    <row r="396" spans="2:4" ht="15" customHeight="1" x14ac:dyDescent="0.25">
      <c r="B396"/>
      <c r="C396"/>
      <c r="D396"/>
    </row>
    <row r="397" spans="2:4" ht="15" customHeight="1" x14ac:dyDescent="0.25">
      <c r="B397"/>
      <c r="C397"/>
      <c r="D397"/>
    </row>
    <row r="398" spans="2:4" ht="15" customHeight="1" x14ac:dyDescent="0.25">
      <c r="B398"/>
      <c r="C398"/>
      <c r="D398"/>
    </row>
    <row r="399" spans="2:4" ht="15" customHeight="1" x14ac:dyDescent="0.25">
      <c r="B399"/>
      <c r="C399"/>
      <c r="D399"/>
    </row>
    <row r="400" spans="2:4" ht="15" customHeight="1" x14ac:dyDescent="0.25">
      <c r="B400"/>
      <c r="C400"/>
      <c r="D400"/>
    </row>
    <row r="401" spans="2:4" ht="15" customHeight="1" x14ac:dyDescent="0.25">
      <c r="B401"/>
      <c r="C401"/>
      <c r="D401"/>
    </row>
    <row r="402" spans="2:4" ht="15" customHeight="1" x14ac:dyDescent="0.25">
      <c r="B402"/>
      <c r="C402"/>
      <c r="D402"/>
    </row>
    <row r="403" spans="2:4" ht="15" customHeight="1" x14ac:dyDescent="0.25">
      <c r="B403"/>
      <c r="C403"/>
      <c r="D403"/>
    </row>
    <row r="404" spans="2:4" ht="15" customHeight="1" x14ac:dyDescent="0.25">
      <c r="B404"/>
      <c r="C404"/>
      <c r="D404"/>
    </row>
    <row r="405" spans="2:4" ht="15" customHeight="1" x14ac:dyDescent="0.25">
      <c r="B405"/>
      <c r="C405"/>
      <c r="D405"/>
    </row>
    <row r="406" spans="2:4" ht="15" customHeight="1" x14ac:dyDescent="0.25">
      <c r="B406"/>
      <c r="C406"/>
      <c r="D406"/>
    </row>
    <row r="407" spans="2:4" ht="15" customHeight="1" x14ac:dyDescent="0.25">
      <c r="B407"/>
      <c r="C407"/>
      <c r="D407"/>
    </row>
    <row r="408" spans="2:4" ht="15" customHeight="1" x14ac:dyDescent="0.25">
      <c r="B408"/>
      <c r="C408"/>
      <c r="D408"/>
    </row>
    <row r="409" spans="2:4" ht="15" customHeight="1" x14ac:dyDescent="0.25">
      <c r="B409"/>
      <c r="C409"/>
      <c r="D409"/>
    </row>
    <row r="410" spans="2:4" ht="15" customHeight="1" x14ac:dyDescent="0.25">
      <c r="B410"/>
      <c r="C410"/>
      <c r="D410"/>
    </row>
    <row r="411" spans="2:4" ht="15" customHeight="1" x14ac:dyDescent="0.25">
      <c r="B411"/>
      <c r="C411"/>
      <c r="D411"/>
    </row>
    <row r="412" spans="2:4" ht="15" customHeight="1" x14ac:dyDescent="0.25">
      <c r="B412"/>
      <c r="C412"/>
      <c r="D412"/>
    </row>
    <row r="413" spans="2:4" ht="15" customHeight="1" x14ac:dyDescent="0.25">
      <c r="B413"/>
      <c r="C413"/>
      <c r="D413"/>
    </row>
    <row r="414" spans="2:4" ht="15" customHeight="1" x14ac:dyDescent="0.25">
      <c r="B414"/>
      <c r="C414"/>
      <c r="D414"/>
    </row>
    <row r="415" spans="2:4" ht="15" customHeight="1" x14ac:dyDescent="0.25">
      <c r="B415"/>
      <c r="C415"/>
      <c r="D415"/>
    </row>
    <row r="416" spans="2:4" ht="15" customHeight="1" x14ac:dyDescent="0.25">
      <c r="B416"/>
      <c r="C416"/>
      <c r="D416"/>
    </row>
    <row r="417" spans="2:4" ht="15" customHeight="1" x14ac:dyDescent="0.25">
      <c r="B417"/>
      <c r="C417"/>
      <c r="D417"/>
    </row>
    <row r="418" spans="2:4" ht="15" customHeight="1" x14ac:dyDescent="0.25">
      <c r="B418"/>
      <c r="C418"/>
      <c r="D418"/>
    </row>
    <row r="419" spans="2:4" ht="15" customHeight="1" x14ac:dyDescent="0.25">
      <c r="B419"/>
      <c r="C419"/>
      <c r="D419"/>
    </row>
    <row r="420" spans="2:4" ht="15" customHeight="1" x14ac:dyDescent="0.25">
      <c r="B420"/>
      <c r="C420"/>
      <c r="D420"/>
    </row>
    <row r="421" spans="2:4" ht="15" customHeight="1" x14ac:dyDescent="0.25">
      <c r="B421"/>
      <c r="C421"/>
      <c r="D421"/>
    </row>
    <row r="422" spans="2:4" ht="15" customHeight="1" x14ac:dyDescent="0.25">
      <c r="B422"/>
      <c r="C422"/>
      <c r="D422"/>
    </row>
    <row r="423" spans="2:4" ht="15" customHeight="1" x14ac:dyDescent="0.25">
      <c r="B423"/>
      <c r="C423"/>
      <c r="D423"/>
    </row>
    <row r="424" spans="2:4" ht="15" customHeight="1" x14ac:dyDescent="0.25">
      <c r="B424"/>
      <c r="C424"/>
      <c r="D424"/>
    </row>
    <row r="425" spans="2:4" ht="15" customHeight="1" x14ac:dyDescent="0.25">
      <c r="B425"/>
      <c r="C425"/>
      <c r="D425"/>
    </row>
    <row r="426" spans="2:4" ht="15" customHeight="1" x14ac:dyDescent="0.25">
      <c r="B426"/>
      <c r="C426"/>
      <c r="D426"/>
    </row>
    <row r="427" spans="2:4" ht="15" customHeight="1" x14ac:dyDescent="0.25">
      <c r="B427"/>
      <c r="C427"/>
      <c r="D427"/>
    </row>
    <row r="428" spans="2:4" ht="15" customHeight="1" x14ac:dyDescent="0.25">
      <c r="B428"/>
      <c r="C428"/>
      <c r="D428"/>
    </row>
    <row r="429" spans="2:4" ht="15" customHeight="1" x14ac:dyDescent="0.25">
      <c r="B429"/>
      <c r="C429"/>
      <c r="D429"/>
    </row>
    <row r="430" spans="2:4" ht="15" customHeight="1" x14ac:dyDescent="0.25">
      <c r="B430"/>
      <c r="C430"/>
      <c r="D430"/>
    </row>
    <row r="431" spans="2:4" ht="15" customHeight="1" x14ac:dyDescent="0.25">
      <c r="B431"/>
      <c r="C431"/>
      <c r="D431"/>
    </row>
    <row r="432" spans="2:4" ht="15" customHeight="1" x14ac:dyDescent="0.25">
      <c r="B432"/>
      <c r="C432"/>
      <c r="D432"/>
    </row>
    <row r="433" spans="2:4" ht="15" customHeight="1" x14ac:dyDescent="0.25">
      <c r="B433"/>
      <c r="C433"/>
      <c r="D433"/>
    </row>
    <row r="434" spans="2:4" ht="15" customHeight="1" x14ac:dyDescent="0.25">
      <c r="B434"/>
      <c r="C434"/>
      <c r="D434"/>
    </row>
    <row r="435" spans="2:4" ht="15" customHeight="1" x14ac:dyDescent="0.25">
      <c r="B435"/>
      <c r="C435"/>
      <c r="D435"/>
    </row>
    <row r="436" spans="2:4" ht="15" customHeight="1" x14ac:dyDescent="0.25">
      <c r="B436"/>
      <c r="C436"/>
      <c r="D436"/>
    </row>
    <row r="437" spans="2:4" ht="15" customHeight="1" x14ac:dyDescent="0.25">
      <c r="B437"/>
      <c r="C437"/>
      <c r="D437"/>
    </row>
    <row r="438" spans="2:4" ht="15" customHeight="1" x14ac:dyDescent="0.25">
      <c r="B438"/>
      <c r="C438"/>
      <c r="D438"/>
    </row>
    <row r="439" spans="2:4" ht="15" customHeight="1" x14ac:dyDescent="0.25">
      <c r="B439"/>
      <c r="C439"/>
      <c r="D439"/>
    </row>
    <row r="440" spans="2:4" ht="15" customHeight="1" x14ac:dyDescent="0.25">
      <c r="B440"/>
      <c r="C440"/>
      <c r="D440"/>
    </row>
    <row r="441" spans="2:4" ht="15" customHeight="1" x14ac:dyDescent="0.25">
      <c r="B441"/>
      <c r="C441"/>
      <c r="D441"/>
    </row>
    <row r="442" spans="2:4" ht="15" customHeight="1" x14ac:dyDescent="0.25">
      <c r="B442"/>
      <c r="C442"/>
      <c r="D442"/>
    </row>
    <row r="443" spans="2:4" ht="15" customHeight="1" x14ac:dyDescent="0.25">
      <c r="B443"/>
      <c r="C443"/>
      <c r="D443"/>
    </row>
    <row r="444" spans="2:4" ht="15" customHeight="1" x14ac:dyDescent="0.25">
      <c r="B444"/>
      <c r="C444"/>
      <c r="D444"/>
    </row>
    <row r="445" spans="2:4" ht="15" customHeight="1" x14ac:dyDescent="0.25">
      <c r="B445"/>
      <c r="C445"/>
      <c r="D445"/>
    </row>
    <row r="446" spans="2:4" ht="15" customHeight="1" x14ac:dyDescent="0.25">
      <c r="B446"/>
      <c r="C446"/>
      <c r="D446"/>
    </row>
    <row r="447" spans="2:4" ht="15" customHeight="1" x14ac:dyDescent="0.25">
      <c r="B447"/>
      <c r="C447"/>
      <c r="D447"/>
    </row>
    <row r="448" spans="2:4" ht="15" customHeight="1" x14ac:dyDescent="0.25">
      <c r="B448"/>
      <c r="C448"/>
      <c r="D448"/>
    </row>
    <row r="449" spans="2:4" ht="15" customHeight="1" x14ac:dyDescent="0.25">
      <c r="B449"/>
      <c r="C449"/>
      <c r="D449"/>
    </row>
    <row r="450" spans="2:4" ht="15" customHeight="1" x14ac:dyDescent="0.25">
      <c r="B450"/>
      <c r="C450"/>
      <c r="D450"/>
    </row>
    <row r="451" spans="2:4" ht="15" customHeight="1" x14ac:dyDescent="0.25">
      <c r="B451"/>
      <c r="C451"/>
      <c r="D451"/>
    </row>
    <row r="452" spans="2:4" ht="15" customHeight="1" x14ac:dyDescent="0.25">
      <c r="B452"/>
      <c r="C452"/>
      <c r="D452"/>
    </row>
    <row r="453" spans="2:4" ht="15" customHeight="1" x14ac:dyDescent="0.25">
      <c r="B453"/>
      <c r="C453"/>
      <c r="D453"/>
    </row>
    <row r="454" spans="2:4" ht="15" customHeight="1" x14ac:dyDescent="0.25">
      <c r="B454"/>
      <c r="C454"/>
      <c r="D454"/>
    </row>
    <row r="455" spans="2:4" ht="15" customHeight="1" x14ac:dyDescent="0.25">
      <c r="B455"/>
      <c r="C455"/>
      <c r="D455"/>
    </row>
    <row r="456" spans="2:4" ht="15" customHeight="1" x14ac:dyDescent="0.25">
      <c r="B456"/>
      <c r="C456"/>
      <c r="D456"/>
    </row>
    <row r="457" spans="2:4" ht="15" customHeight="1" x14ac:dyDescent="0.25">
      <c r="B457"/>
      <c r="C457"/>
      <c r="D457"/>
    </row>
    <row r="458" spans="2:4" ht="15" customHeight="1" x14ac:dyDescent="0.25">
      <c r="B458"/>
      <c r="C458"/>
      <c r="D458"/>
    </row>
    <row r="459" spans="2:4" ht="15" customHeight="1" x14ac:dyDescent="0.25">
      <c r="B459"/>
      <c r="C459"/>
      <c r="D459"/>
    </row>
    <row r="460" spans="2:4" ht="15" customHeight="1" x14ac:dyDescent="0.25">
      <c r="B460"/>
      <c r="C460"/>
      <c r="D460"/>
    </row>
    <row r="461" spans="2:4" ht="15" customHeight="1" x14ac:dyDescent="0.25">
      <c r="B461"/>
      <c r="C461"/>
      <c r="D461"/>
    </row>
    <row r="462" spans="2:4" ht="15" customHeight="1" x14ac:dyDescent="0.25">
      <c r="B462"/>
      <c r="C462"/>
      <c r="D462"/>
    </row>
    <row r="463" spans="2:4" ht="15" customHeight="1" x14ac:dyDescent="0.25">
      <c r="B463"/>
      <c r="C463"/>
      <c r="D463"/>
    </row>
    <row r="464" spans="2:4" ht="15" customHeight="1" x14ac:dyDescent="0.25">
      <c r="B464"/>
      <c r="C464"/>
      <c r="D464"/>
    </row>
    <row r="465" spans="2:4" ht="15" customHeight="1" x14ac:dyDescent="0.25">
      <c r="B465"/>
      <c r="C465"/>
      <c r="D465"/>
    </row>
    <row r="466" spans="2:4" ht="15" customHeight="1" x14ac:dyDescent="0.25">
      <c r="B466"/>
      <c r="C466"/>
      <c r="D466"/>
    </row>
    <row r="467" spans="2:4" ht="15" customHeight="1" x14ac:dyDescent="0.25">
      <c r="B467"/>
      <c r="C467"/>
      <c r="D467"/>
    </row>
    <row r="468" spans="2:4" ht="15" customHeight="1" x14ac:dyDescent="0.25">
      <c r="B468"/>
      <c r="C468"/>
      <c r="D468"/>
    </row>
    <row r="469" spans="2:4" ht="15" customHeight="1" x14ac:dyDescent="0.25">
      <c r="B469"/>
      <c r="C469"/>
      <c r="D469"/>
    </row>
    <row r="470" spans="2:4" ht="15" customHeight="1" x14ac:dyDescent="0.25">
      <c r="B470"/>
      <c r="C470"/>
      <c r="D470"/>
    </row>
    <row r="471" spans="2:4" ht="15" customHeight="1" x14ac:dyDescent="0.25">
      <c r="B471"/>
      <c r="C471"/>
      <c r="D471"/>
    </row>
    <row r="472" spans="2:4" ht="15" customHeight="1" x14ac:dyDescent="0.25">
      <c r="B472"/>
      <c r="C472"/>
      <c r="D472"/>
    </row>
    <row r="473" spans="2:4" ht="15" customHeight="1" x14ac:dyDescent="0.25">
      <c r="B473"/>
      <c r="C473"/>
      <c r="D473"/>
    </row>
    <row r="474" spans="2:4" ht="15" customHeight="1" x14ac:dyDescent="0.25">
      <c r="B474"/>
      <c r="C474"/>
      <c r="D474"/>
    </row>
    <row r="475" spans="2:4" ht="15" customHeight="1" x14ac:dyDescent="0.25">
      <c r="B475"/>
      <c r="C475"/>
      <c r="D475"/>
    </row>
    <row r="476" spans="2:4" ht="15" customHeight="1" x14ac:dyDescent="0.25">
      <c r="B476"/>
      <c r="C476"/>
      <c r="D476"/>
    </row>
    <row r="477" spans="2:4" ht="15" customHeight="1" x14ac:dyDescent="0.25">
      <c r="B477"/>
      <c r="C477"/>
      <c r="D477"/>
    </row>
    <row r="478" spans="2:4" ht="15" customHeight="1" x14ac:dyDescent="0.25">
      <c r="B478"/>
      <c r="C478"/>
      <c r="D478"/>
    </row>
    <row r="479" spans="2:4" ht="15" customHeight="1" x14ac:dyDescent="0.25">
      <c r="B479"/>
      <c r="C479"/>
      <c r="D479"/>
    </row>
    <row r="480" spans="2:4" ht="15" customHeight="1" x14ac:dyDescent="0.25">
      <c r="B480"/>
      <c r="C480"/>
      <c r="D480"/>
    </row>
    <row r="481" spans="2:4" ht="15" customHeight="1" x14ac:dyDescent="0.25">
      <c r="B481"/>
      <c r="C481"/>
      <c r="D481"/>
    </row>
    <row r="482" spans="2:4" ht="15" customHeight="1" x14ac:dyDescent="0.25">
      <c r="B482"/>
      <c r="C482"/>
      <c r="D482"/>
    </row>
    <row r="483" spans="2:4" ht="15" customHeight="1" x14ac:dyDescent="0.25">
      <c r="B483"/>
      <c r="C483"/>
      <c r="D483"/>
    </row>
    <row r="484" spans="2:4" ht="15" customHeight="1" x14ac:dyDescent="0.25">
      <c r="B484"/>
      <c r="C484"/>
      <c r="D484"/>
    </row>
    <row r="485" spans="2:4" ht="15" customHeight="1" x14ac:dyDescent="0.25">
      <c r="B485"/>
      <c r="C485"/>
      <c r="D485"/>
    </row>
    <row r="486" spans="2:4" ht="15" customHeight="1" x14ac:dyDescent="0.25">
      <c r="B486"/>
      <c r="C486"/>
      <c r="D486"/>
    </row>
    <row r="487" spans="2:4" ht="15" customHeight="1" x14ac:dyDescent="0.25">
      <c r="B487"/>
      <c r="C487"/>
      <c r="D487"/>
    </row>
    <row r="488" spans="2:4" ht="15" customHeight="1" x14ac:dyDescent="0.25">
      <c r="B488"/>
      <c r="C488"/>
      <c r="D488"/>
    </row>
    <row r="489" spans="2:4" ht="15" customHeight="1" x14ac:dyDescent="0.25">
      <c r="B489"/>
      <c r="C489"/>
      <c r="D489"/>
    </row>
    <row r="490" spans="2:4" ht="15" customHeight="1" x14ac:dyDescent="0.25">
      <c r="B490"/>
      <c r="C490"/>
      <c r="D490"/>
    </row>
    <row r="491" spans="2:4" ht="15" customHeight="1" x14ac:dyDescent="0.25">
      <c r="B491"/>
      <c r="C491"/>
      <c r="D491"/>
    </row>
    <row r="492" spans="2:4" ht="15" customHeight="1" x14ac:dyDescent="0.25">
      <c r="B492"/>
      <c r="C492"/>
      <c r="D492"/>
    </row>
    <row r="493" spans="2:4" ht="15" customHeight="1" x14ac:dyDescent="0.25">
      <c r="B493"/>
      <c r="C493"/>
      <c r="D493"/>
    </row>
    <row r="494" spans="2:4" ht="15" customHeight="1" x14ac:dyDescent="0.25">
      <c r="B494"/>
      <c r="C494"/>
      <c r="D494"/>
    </row>
    <row r="495" spans="2:4" ht="15" customHeight="1" x14ac:dyDescent="0.25">
      <c r="B495"/>
      <c r="C495"/>
      <c r="D495"/>
    </row>
    <row r="496" spans="2:4" ht="15" customHeight="1" x14ac:dyDescent="0.25">
      <c r="B496"/>
      <c r="C496"/>
      <c r="D496"/>
    </row>
    <row r="497" spans="2:4" ht="15" customHeight="1" x14ac:dyDescent="0.25">
      <c r="B497"/>
      <c r="C497"/>
      <c r="D497"/>
    </row>
    <row r="498" spans="2:4" ht="15" customHeight="1" x14ac:dyDescent="0.25">
      <c r="B498"/>
      <c r="C498"/>
      <c r="D498"/>
    </row>
    <row r="499" spans="2:4" ht="15" customHeight="1" x14ac:dyDescent="0.25">
      <c r="B499"/>
      <c r="C499"/>
      <c r="D499"/>
    </row>
    <row r="500" spans="2:4" ht="15" customHeight="1" x14ac:dyDescent="0.25">
      <c r="B500"/>
      <c r="C500"/>
      <c r="D500"/>
    </row>
    <row r="501" spans="2:4" ht="15" customHeight="1" x14ac:dyDescent="0.25">
      <c r="B501"/>
      <c r="C501"/>
      <c r="D501"/>
    </row>
    <row r="502" spans="2:4" ht="15" customHeight="1" x14ac:dyDescent="0.25">
      <c r="B502"/>
      <c r="C502"/>
      <c r="D502"/>
    </row>
    <row r="503" spans="2:4" ht="15" customHeight="1" x14ac:dyDescent="0.25">
      <c r="B503"/>
      <c r="C503"/>
      <c r="D503"/>
    </row>
    <row r="504" spans="2:4" ht="15" customHeight="1" x14ac:dyDescent="0.25">
      <c r="B504"/>
      <c r="C504"/>
      <c r="D504"/>
    </row>
    <row r="505" spans="2:4" ht="15" customHeight="1" x14ac:dyDescent="0.25">
      <c r="B505"/>
      <c r="C505"/>
      <c r="D505"/>
    </row>
    <row r="506" spans="2:4" ht="15" customHeight="1" x14ac:dyDescent="0.25">
      <c r="B506"/>
      <c r="C506"/>
      <c r="D506"/>
    </row>
    <row r="507" spans="2:4" ht="15" customHeight="1" x14ac:dyDescent="0.25">
      <c r="B507"/>
      <c r="C507"/>
      <c r="D507"/>
    </row>
    <row r="508" spans="2:4" ht="15" customHeight="1" x14ac:dyDescent="0.25">
      <c r="B508"/>
      <c r="C508"/>
      <c r="D508"/>
    </row>
    <row r="509" spans="2:4" ht="15" customHeight="1" x14ac:dyDescent="0.25">
      <c r="B509"/>
      <c r="C509"/>
      <c r="D509"/>
    </row>
    <row r="510" spans="2:4" ht="15" customHeight="1" x14ac:dyDescent="0.25">
      <c r="B510"/>
      <c r="C510"/>
      <c r="D510"/>
    </row>
    <row r="511" spans="2:4" ht="15" customHeight="1" x14ac:dyDescent="0.25">
      <c r="B511"/>
      <c r="C511"/>
      <c r="D511"/>
    </row>
    <row r="512" spans="2:4" ht="15" customHeight="1" x14ac:dyDescent="0.25">
      <c r="B512"/>
      <c r="C512"/>
      <c r="D512"/>
    </row>
    <row r="513" spans="2:4" ht="15" customHeight="1" x14ac:dyDescent="0.25">
      <c r="B513"/>
      <c r="C513"/>
      <c r="D513"/>
    </row>
    <row r="514" spans="2:4" ht="15" customHeight="1" x14ac:dyDescent="0.25">
      <c r="B514"/>
      <c r="C514"/>
      <c r="D514"/>
    </row>
    <row r="515" spans="2:4" ht="15" customHeight="1" x14ac:dyDescent="0.25">
      <c r="B515"/>
      <c r="C515"/>
      <c r="D515"/>
    </row>
    <row r="516" spans="2:4" ht="15" customHeight="1" x14ac:dyDescent="0.25">
      <c r="B516"/>
      <c r="C516"/>
      <c r="D516"/>
    </row>
    <row r="517" spans="2:4" ht="15" customHeight="1" x14ac:dyDescent="0.25">
      <c r="B517"/>
      <c r="C517"/>
      <c r="D517"/>
    </row>
    <row r="518" spans="2:4" ht="15" customHeight="1" x14ac:dyDescent="0.25">
      <c r="B518"/>
      <c r="C518"/>
      <c r="D518"/>
    </row>
    <row r="519" spans="2:4" ht="15" customHeight="1" x14ac:dyDescent="0.25">
      <c r="B519"/>
      <c r="C519"/>
      <c r="D519"/>
    </row>
    <row r="520" spans="2:4" ht="15" customHeight="1" x14ac:dyDescent="0.25">
      <c r="B520"/>
      <c r="C520"/>
      <c r="D520"/>
    </row>
    <row r="521" spans="2:4" ht="15" customHeight="1" x14ac:dyDescent="0.25">
      <c r="B521"/>
      <c r="C521"/>
      <c r="D521"/>
    </row>
    <row r="522" spans="2:4" ht="15" customHeight="1" x14ac:dyDescent="0.25">
      <c r="B522"/>
      <c r="C522"/>
      <c r="D522"/>
    </row>
    <row r="523" spans="2:4" ht="15" customHeight="1" x14ac:dyDescent="0.25">
      <c r="B523"/>
      <c r="C523"/>
      <c r="D523"/>
    </row>
    <row r="524" spans="2:4" ht="15" customHeight="1" x14ac:dyDescent="0.25">
      <c r="B524"/>
      <c r="C524"/>
      <c r="D524"/>
    </row>
    <row r="525" spans="2:4" ht="15" customHeight="1" x14ac:dyDescent="0.25">
      <c r="B525"/>
      <c r="C525"/>
      <c r="D525"/>
    </row>
    <row r="526" spans="2:4" ht="15" customHeight="1" x14ac:dyDescent="0.25">
      <c r="B526"/>
      <c r="C526"/>
      <c r="D526"/>
    </row>
    <row r="527" spans="2:4" ht="15" customHeight="1" x14ac:dyDescent="0.25">
      <c r="B527"/>
      <c r="C527"/>
      <c r="D527"/>
    </row>
    <row r="528" spans="2:4" ht="15" customHeight="1" x14ac:dyDescent="0.25">
      <c r="B528"/>
      <c r="C528"/>
      <c r="D528"/>
    </row>
    <row r="529" spans="2:4" ht="15" customHeight="1" x14ac:dyDescent="0.25">
      <c r="B529"/>
      <c r="C529"/>
      <c r="D529"/>
    </row>
    <row r="530" spans="2:4" ht="15" customHeight="1" x14ac:dyDescent="0.25">
      <c r="B530"/>
      <c r="C530"/>
      <c r="D530"/>
    </row>
    <row r="531" spans="2:4" ht="15" customHeight="1" x14ac:dyDescent="0.25">
      <c r="B531"/>
      <c r="C531"/>
      <c r="D531"/>
    </row>
    <row r="532" spans="2:4" ht="15" customHeight="1" x14ac:dyDescent="0.25">
      <c r="B532"/>
      <c r="C532"/>
      <c r="D532"/>
    </row>
    <row r="533" spans="2:4" ht="15" customHeight="1" x14ac:dyDescent="0.25">
      <c r="B533"/>
      <c r="C533"/>
      <c r="D533"/>
    </row>
    <row r="534" spans="2:4" ht="15" customHeight="1" x14ac:dyDescent="0.25">
      <c r="B534"/>
      <c r="C534"/>
      <c r="D534"/>
    </row>
    <row r="535" spans="2:4" ht="15" customHeight="1" x14ac:dyDescent="0.25">
      <c r="B535"/>
      <c r="C535"/>
      <c r="D535"/>
    </row>
    <row r="536" spans="2:4" ht="15" customHeight="1" x14ac:dyDescent="0.25">
      <c r="B536"/>
      <c r="C536"/>
      <c r="D536"/>
    </row>
    <row r="537" spans="2:4" ht="15" customHeight="1" x14ac:dyDescent="0.25">
      <c r="B537"/>
      <c r="C537"/>
      <c r="D537"/>
    </row>
    <row r="538" spans="2:4" ht="15" customHeight="1" x14ac:dyDescent="0.25">
      <c r="B538"/>
      <c r="C538"/>
      <c r="D538"/>
    </row>
    <row r="539" spans="2:4" ht="15" customHeight="1" x14ac:dyDescent="0.25">
      <c r="B539"/>
      <c r="C539"/>
      <c r="D539"/>
    </row>
    <row r="540" spans="2:4" ht="15" customHeight="1" x14ac:dyDescent="0.25">
      <c r="B540"/>
      <c r="C540"/>
      <c r="D540"/>
    </row>
    <row r="541" spans="2:4" ht="15" customHeight="1" x14ac:dyDescent="0.25">
      <c r="B541"/>
      <c r="C541"/>
      <c r="D541"/>
    </row>
    <row r="542" spans="2:4" ht="15" customHeight="1" x14ac:dyDescent="0.25">
      <c r="B542"/>
      <c r="C542"/>
      <c r="D542"/>
    </row>
    <row r="543" spans="2:4" ht="15" customHeight="1" x14ac:dyDescent="0.25">
      <c r="B543"/>
      <c r="C543"/>
      <c r="D543"/>
    </row>
    <row r="544" spans="2:4" ht="15" customHeight="1" x14ac:dyDescent="0.25">
      <c r="B544"/>
      <c r="C544"/>
      <c r="D544"/>
    </row>
    <row r="545" spans="2:4" ht="15" customHeight="1" x14ac:dyDescent="0.25">
      <c r="B545"/>
      <c r="C545"/>
      <c r="D545"/>
    </row>
    <row r="546" spans="2:4" ht="15" customHeight="1" x14ac:dyDescent="0.25">
      <c r="B546"/>
      <c r="C546"/>
      <c r="D546"/>
    </row>
    <row r="547" spans="2:4" ht="15" customHeight="1" x14ac:dyDescent="0.25">
      <c r="B547"/>
      <c r="C547"/>
      <c r="D547"/>
    </row>
    <row r="548" spans="2:4" ht="15" customHeight="1" x14ac:dyDescent="0.25">
      <c r="B548"/>
      <c r="C548"/>
      <c r="D548"/>
    </row>
    <row r="549" spans="2:4" ht="15" customHeight="1" x14ac:dyDescent="0.25">
      <c r="B549"/>
      <c r="C549"/>
      <c r="D549"/>
    </row>
    <row r="550" spans="2:4" ht="15" customHeight="1" x14ac:dyDescent="0.25">
      <c r="B550"/>
      <c r="C550"/>
      <c r="D550"/>
    </row>
    <row r="551" spans="2:4" ht="15" customHeight="1" x14ac:dyDescent="0.25">
      <c r="B551"/>
      <c r="C551"/>
      <c r="D551"/>
    </row>
    <row r="552" spans="2:4" ht="15" customHeight="1" x14ac:dyDescent="0.25">
      <c r="B552"/>
      <c r="C552"/>
      <c r="D552"/>
    </row>
    <row r="553" spans="2:4" ht="15" customHeight="1" x14ac:dyDescent="0.25">
      <c r="B553"/>
      <c r="C553"/>
      <c r="D553"/>
    </row>
    <row r="554" spans="2:4" ht="15" customHeight="1" x14ac:dyDescent="0.25">
      <c r="B554"/>
      <c r="C554"/>
      <c r="D554"/>
    </row>
    <row r="555" spans="2:4" ht="15" customHeight="1" x14ac:dyDescent="0.25">
      <c r="B555"/>
      <c r="C555"/>
      <c r="D555"/>
    </row>
    <row r="556" spans="2:4" ht="15" customHeight="1" x14ac:dyDescent="0.25">
      <c r="B556"/>
      <c r="C556"/>
      <c r="D556"/>
    </row>
    <row r="557" spans="2:4" ht="15" customHeight="1" x14ac:dyDescent="0.25">
      <c r="B557"/>
      <c r="C557"/>
      <c r="D557"/>
    </row>
    <row r="558" spans="2:4" ht="15" customHeight="1" x14ac:dyDescent="0.25">
      <c r="B558"/>
      <c r="C558"/>
      <c r="D558"/>
    </row>
    <row r="559" spans="2:4" ht="15" customHeight="1" x14ac:dyDescent="0.25">
      <c r="B559"/>
      <c r="C559"/>
      <c r="D559"/>
    </row>
    <row r="560" spans="2:4" ht="15" customHeight="1" x14ac:dyDescent="0.25">
      <c r="B560"/>
      <c r="C560"/>
      <c r="D560"/>
    </row>
    <row r="561" spans="2:4" ht="15" customHeight="1" x14ac:dyDescent="0.25">
      <c r="B561"/>
      <c r="C561"/>
      <c r="D561"/>
    </row>
    <row r="562" spans="2:4" ht="15" customHeight="1" x14ac:dyDescent="0.25">
      <c r="B562"/>
      <c r="C562"/>
      <c r="D562"/>
    </row>
    <row r="563" spans="2:4" ht="15" customHeight="1" x14ac:dyDescent="0.25">
      <c r="B563"/>
      <c r="C563"/>
      <c r="D563"/>
    </row>
    <row r="564" spans="2:4" ht="15" customHeight="1" x14ac:dyDescent="0.25">
      <c r="B564"/>
      <c r="C564"/>
      <c r="D564"/>
    </row>
    <row r="565" spans="2:4" ht="15" customHeight="1" x14ac:dyDescent="0.25">
      <c r="B565"/>
      <c r="C565"/>
      <c r="D565"/>
    </row>
    <row r="566" spans="2:4" ht="15" customHeight="1" x14ac:dyDescent="0.25">
      <c r="B566"/>
      <c r="C566"/>
      <c r="D566"/>
    </row>
    <row r="567" spans="2:4" ht="15" customHeight="1" x14ac:dyDescent="0.25">
      <c r="B567"/>
      <c r="C567"/>
      <c r="D567"/>
    </row>
    <row r="568" spans="2:4" ht="15" customHeight="1" x14ac:dyDescent="0.25">
      <c r="B568"/>
      <c r="C568"/>
      <c r="D568"/>
    </row>
    <row r="569" spans="2:4" ht="15" customHeight="1" x14ac:dyDescent="0.25">
      <c r="B569"/>
      <c r="C569"/>
      <c r="D569"/>
    </row>
    <row r="570" spans="2:4" ht="15" customHeight="1" x14ac:dyDescent="0.25">
      <c r="B570"/>
      <c r="C570"/>
      <c r="D570"/>
    </row>
    <row r="571" spans="2:4" ht="15" customHeight="1" x14ac:dyDescent="0.25">
      <c r="B571"/>
      <c r="C571"/>
      <c r="D571"/>
    </row>
    <row r="572" spans="2:4" ht="15" customHeight="1" x14ac:dyDescent="0.25">
      <c r="B572"/>
      <c r="C572"/>
      <c r="D572"/>
    </row>
    <row r="573" spans="2:4" ht="15" customHeight="1" x14ac:dyDescent="0.25">
      <c r="B573"/>
      <c r="C573"/>
      <c r="D573"/>
    </row>
    <row r="574" spans="2:4" ht="15" customHeight="1" x14ac:dyDescent="0.25">
      <c r="B574"/>
      <c r="C574"/>
      <c r="D574"/>
    </row>
    <row r="575" spans="2:4" ht="15" customHeight="1" x14ac:dyDescent="0.25">
      <c r="B575"/>
      <c r="C575"/>
      <c r="D575"/>
    </row>
    <row r="576" spans="2:4" ht="15" customHeight="1" x14ac:dyDescent="0.25">
      <c r="B576"/>
      <c r="C576"/>
      <c r="D576"/>
    </row>
    <row r="577" spans="2:4" ht="15" customHeight="1" x14ac:dyDescent="0.25">
      <c r="B577"/>
      <c r="C577"/>
      <c r="D577"/>
    </row>
    <row r="578" spans="2:4" ht="15" customHeight="1" x14ac:dyDescent="0.25">
      <c r="B578"/>
      <c r="C578"/>
      <c r="D578"/>
    </row>
    <row r="579" spans="2:4" ht="15" customHeight="1" x14ac:dyDescent="0.25">
      <c r="B579"/>
      <c r="C579"/>
      <c r="D579"/>
    </row>
    <row r="580" spans="2:4" ht="15" customHeight="1" x14ac:dyDescent="0.25">
      <c r="B580"/>
      <c r="C580"/>
      <c r="D580"/>
    </row>
    <row r="581" spans="2:4" ht="15" customHeight="1" x14ac:dyDescent="0.25">
      <c r="B581"/>
      <c r="C581"/>
      <c r="D581"/>
    </row>
    <row r="582" spans="2:4" ht="15" customHeight="1" x14ac:dyDescent="0.25">
      <c r="B582"/>
      <c r="C582"/>
      <c r="D582"/>
    </row>
    <row r="583" spans="2:4" ht="15" customHeight="1" x14ac:dyDescent="0.25">
      <c r="B583"/>
      <c r="C583"/>
      <c r="D583"/>
    </row>
    <row r="584" spans="2:4" ht="15" customHeight="1" x14ac:dyDescent="0.25">
      <c r="B584"/>
      <c r="C584"/>
      <c r="D584"/>
    </row>
    <row r="585" spans="2:4" ht="15" customHeight="1" x14ac:dyDescent="0.25">
      <c r="B585"/>
      <c r="C585"/>
      <c r="D585"/>
    </row>
    <row r="586" spans="2:4" ht="15" customHeight="1" x14ac:dyDescent="0.25">
      <c r="B586"/>
      <c r="C586"/>
      <c r="D586"/>
    </row>
    <row r="587" spans="2:4" ht="15" customHeight="1" x14ac:dyDescent="0.25">
      <c r="B587"/>
      <c r="C587"/>
      <c r="D587"/>
    </row>
    <row r="588" spans="2:4" ht="15" customHeight="1" x14ac:dyDescent="0.25">
      <c r="B588"/>
      <c r="C588"/>
      <c r="D588"/>
    </row>
    <row r="589" spans="2:4" ht="15" customHeight="1" x14ac:dyDescent="0.25">
      <c r="B589"/>
      <c r="C589"/>
      <c r="D589"/>
    </row>
    <row r="590" spans="2:4" ht="15" customHeight="1" x14ac:dyDescent="0.25">
      <c r="B590"/>
      <c r="C590"/>
      <c r="D590"/>
    </row>
    <row r="591" spans="2:4" ht="15" customHeight="1" x14ac:dyDescent="0.25">
      <c r="B591"/>
      <c r="C591"/>
      <c r="D591"/>
    </row>
    <row r="592" spans="2:4" ht="15" customHeight="1" x14ac:dyDescent="0.25">
      <c r="B592"/>
      <c r="C592"/>
      <c r="D592"/>
    </row>
    <row r="593" spans="2:4" ht="15" customHeight="1" x14ac:dyDescent="0.25">
      <c r="B593"/>
      <c r="C593"/>
      <c r="D593"/>
    </row>
    <row r="594" spans="2:4" ht="15" customHeight="1" x14ac:dyDescent="0.25">
      <c r="B594"/>
      <c r="C594"/>
      <c r="D594"/>
    </row>
    <row r="595" spans="2:4" ht="15" customHeight="1" x14ac:dyDescent="0.25">
      <c r="B595"/>
      <c r="C595"/>
      <c r="D595"/>
    </row>
    <row r="596" spans="2:4" ht="15" customHeight="1" x14ac:dyDescent="0.25">
      <c r="B596"/>
      <c r="C596"/>
      <c r="D596"/>
    </row>
    <row r="597" spans="2:4" ht="15" customHeight="1" x14ac:dyDescent="0.25">
      <c r="B597"/>
      <c r="C597"/>
      <c r="D597"/>
    </row>
    <row r="598" spans="2:4" ht="15" customHeight="1" x14ac:dyDescent="0.25">
      <c r="B598"/>
      <c r="C598"/>
      <c r="D598"/>
    </row>
    <row r="599" spans="2:4" ht="15" customHeight="1" x14ac:dyDescent="0.25">
      <c r="B599"/>
      <c r="C599"/>
      <c r="D599"/>
    </row>
    <row r="600" spans="2:4" ht="15" customHeight="1" x14ac:dyDescent="0.25">
      <c r="B600"/>
      <c r="C600"/>
      <c r="D600"/>
    </row>
    <row r="601" spans="2:4" ht="15" customHeight="1" x14ac:dyDescent="0.25">
      <c r="B601"/>
      <c r="C601"/>
      <c r="D601"/>
    </row>
    <row r="602" spans="2:4" ht="15" customHeight="1" x14ac:dyDescent="0.25">
      <c r="B602"/>
      <c r="C602"/>
      <c r="D602"/>
    </row>
    <row r="603" spans="2:4" ht="15" customHeight="1" x14ac:dyDescent="0.25">
      <c r="B603"/>
      <c r="C603"/>
      <c r="D603"/>
    </row>
    <row r="604" spans="2:4" ht="15" customHeight="1" x14ac:dyDescent="0.25">
      <c r="B604"/>
      <c r="C604"/>
      <c r="D604"/>
    </row>
    <row r="605" spans="2:4" ht="15" customHeight="1" x14ac:dyDescent="0.25">
      <c r="B605"/>
      <c r="C605"/>
      <c r="D605"/>
    </row>
    <row r="606" spans="2:4" ht="15" customHeight="1" x14ac:dyDescent="0.25">
      <c r="B606"/>
      <c r="C606"/>
      <c r="D606"/>
    </row>
    <row r="607" spans="2:4" ht="15" customHeight="1" x14ac:dyDescent="0.25">
      <c r="B607"/>
      <c r="C607"/>
      <c r="D607"/>
    </row>
    <row r="608" spans="2:4" ht="15" customHeight="1" x14ac:dyDescent="0.25">
      <c r="B608"/>
      <c r="C608"/>
      <c r="D608"/>
    </row>
    <row r="609" spans="2:4" ht="15" customHeight="1" x14ac:dyDescent="0.25">
      <c r="B609"/>
      <c r="C609"/>
      <c r="D609"/>
    </row>
    <row r="610" spans="2:4" ht="15" customHeight="1" x14ac:dyDescent="0.25">
      <c r="B610"/>
      <c r="C610"/>
      <c r="D610"/>
    </row>
    <row r="611" spans="2:4" ht="15" customHeight="1" x14ac:dyDescent="0.25">
      <c r="B611"/>
      <c r="C611"/>
      <c r="D611"/>
    </row>
    <row r="612" spans="2:4" ht="15" customHeight="1" x14ac:dyDescent="0.25">
      <c r="B612"/>
      <c r="C612"/>
      <c r="D612"/>
    </row>
    <row r="613" spans="2:4" ht="15" customHeight="1" x14ac:dyDescent="0.25">
      <c r="B613"/>
      <c r="C613"/>
      <c r="D613"/>
    </row>
    <row r="614" spans="2:4" ht="15" customHeight="1" x14ac:dyDescent="0.25">
      <c r="B614"/>
      <c r="C614"/>
      <c r="D614"/>
    </row>
    <row r="615" spans="2:4" ht="15" customHeight="1" x14ac:dyDescent="0.25">
      <c r="B615"/>
      <c r="C615"/>
      <c r="D615"/>
    </row>
    <row r="616" spans="2:4" ht="15" customHeight="1" x14ac:dyDescent="0.25">
      <c r="B616"/>
      <c r="C616"/>
      <c r="D616"/>
    </row>
    <row r="617" spans="2:4" ht="15" customHeight="1" x14ac:dyDescent="0.25">
      <c r="B617"/>
      <c r="C617"/>
      <c r="D617"/>
    </row>
    <row r="618" spans="2:4" ht="15" customHeight="1" x14ac:dyDescent="0.25">
      <c r="B618"/>
      <c r="C618"/>
      <c r="D618"/>
    </row>
    <row r="619" spans="2:4" ht="15" customHeight="1" x14ac:dyDescent="0.25">
      <c r="B619"/>
      <c r="C619"/>
      <c r="D619"/>
    </row>
    <row r="620" spans="2:4" ht="15" customHeight="1" x14ac:dyDescent="0.25">
      <c r="B620"/>
      <c r="C620"/>
      <c r="D620"/>
    </row>
    <row r="621" spans="2:4" ht="15" customHeight="1" x14ac:dyDescent="0.25">
      <c r="B621"/>
      <c r="C621"/>
      <c r="D621"/>
    </row>
    <row r="622" spans="2:4" ht="15" customHeight="1" x14ac:dyDescent="0.25">
      <c r="B622"/>
      <c r="C622"/>
      <c r="D622"/>
    </row>
    <row r="623" spans="2:4" ht="15" customHeight="1" x14ac:dyDescent="0.25">
      <c r="B623"/>
      <c r="C623"/>
      <c r="D623"/>
    </row>
    <row r="624" spans="2:4" ht="15" customHeight="1" x14ac:dyDescent="0.25">
      <c r="B624"/>
      <c r="C624"/>
      <c r="D624"/>
    </row>
    <row r="625" spans="2:4" ht="15" customHeight="1" x14ac:dyDescent="0.25">
      <c r="B625"/>
      <c r="C625"/>
      <c r="D625"/>
    </row>
    <row r="626" spans="2:4" ht="15" customHeight="1" x14ac:dyDescent="0.25">
      <c r="B626"/>
      <c r="C626"/>
      <c r="D626"/>
    </row>
    <row r="627" spans="2:4" ht="15" customHeight="1" x14ac:dyDescent="0.25">
      <c r="B627"/>
      <c r="C627"/>
      <c r="D627"/>
    </row>
    <row r="628" spans="2:4" ht="15" customHeight="1" x14ac:dyDescent="0.25">
      <c r="B628"/>
      <c r="C628"/>
      <c r="D628"/>
    </row>
    <row r="629" spans="2:4" ht="15" customHeight="1" x14ac:dyDescent="0.25">
      <c r="B629"/>
      <c r="C629"/>
      <c r="D629"/>
    </row>
    <row r="630" spans="2:4" ht="15" customHeight="1" x14ac:dyDescent="0.25">
      <c r="B630"/>
      <c r="C630"/>
      <c r="D630"/>
    </row>
    <row r="631" spans="2:4" ht="15" customHeight="1" x14ac:dyDescent="0.25">
      <c r="B631"/>
      <c r="C631"/>
      <c r="D631"/>
    </row>
    <row r="632" spans="2:4" ht="15" customHeight="1" x14ac:dyDescent="0.25">
      <c r="B632"/>
      <c r="C632"/>
      <c r="D632"/>
    </row>
    <row r="633" spans="2:4" ht="15" customHeight="1" x14ac:dyDescent="0.25">
      <c r="B633"/>
      <c r="C633"/>
      <c r="D633"/>
    </row>
    <row r="634" spans="2:4" ht="15" customHeight="1" x14ac:dyDescent="0.25">
      <c r="B634"/>
      <c r="C634"/>
      <c r="D634"/>
    </row>
    <row r="635" spans="2:4" ht="15" customHeight="1" x14ac:dyDescent="0.25">
      <c r="B635"/>
      <c r="C635"/>
      <c r="D635"/>
    </row>
    <row r="636" spans="2:4" ht="15" customHeight="1" x14ac:dyDescent="0.25">
      <c r="B636"/>
      <c r="C636"/>
      <c r="D636"/>
    </row>
    <row r="637" spans="2:4" ht="15" customHeight="1" x14ac:dyDescent="0.25">
      <c r="B637"/>
      <c r="C637"/>
      <c r="D637"/>
    </row>
    <row r="638" spans="2:4" ht="15" customHeight="1" x14ac:dyDescent="0.25">
      <c r="B638"/>
      <c r="C638"/>
      <c r="D638"/>
    </row>
    <row r="639" spans="2:4" ht="15" customHeight="1" x14ac:dyDescent="0.25">
      <c r="B639"/>
      <c r="C639"/>
      <c r="D639"/>
    </row>
    <row r="640" spans="2:4" ht="15" customHeight="1" x14ac:dyDescent="0.25">
      <c r="B640"/>
      <c r="C640"/>
      <c r="D640"/>
    </row>
    <row r="641" spans="2:4" ht="15" customHeight="1" x14ac:dyDescent="0.25">
      <c r="B641"/>
      <c r="C641"/>
      <c r="D641"/>
    </row>
    <row r="642" spans="2:4" ht="15" customHeight="1" x14ac:dyDescent="0.25">
      <c r="B642"/>
      <c r="C642"/>
      <c r="D642"/>
    </row>
    <row r="643" spans="2:4" ht="15" customHeight="1" x14ac:dyDescent="0.25">
      <c r="B643"/>
      <c r="C643"/>
      <c r="D643"/>
    </row>
    <row r="644" spans="2:4" ht="15" customHeight="1" x14ac:dyDescent="0.25">
      <c r="B644"/>
      <c r="C644"/>
      <c r="D644"/>
    </row>
    <row r="645" spans="2:4" ht="15" customHeight="1" x14ac:dyDescent="0.25">
      <c r="B645"/>
      <c r="C645"/>
      <c r="D645"/>
    </row>
    <row r="646" spans="2:4" ht="15" customHeight="1" x14ac:dyDescent="0.25">
      <c r="B646"/>
      <c r="C646"/>
      <c r="D646"/>
    </row>
    <row r="647" spans="2:4" ht="15" customHeight="1" x14ac:dyDescent="0.25">
      <c r="B647"/>
      <c r="C647"/>
      <c r="D647"/>
    </row>
    <row r="648" spans="2:4" ht="15" customHeight="1" x14ac:dyDescent="0.25">
      <c r="B648"/>
      <c r="C648"/>
      <c r="D648"/>
    </row>
    <row r="649" spans="2:4" ht="15" customHeight="1" x14ac:dyDescent="0.25">
      <c r="B649"/>
      <c r="C649"/>
      <c r="D649"/>
    </row>
    <row r="650" spans="2:4" ht="15" customHeight="1" x14ac:dyDescent="0.25">
      <c r="B650"/>
      <c r="C650"/>
      <c r="D650"/>
    </row>
    <row r="651" spans="2:4" ht="15" customHeight="1" x14ac:dyDescent="0.25">
      <c r="B651"/>
      <c r="C651"/>
      <c r="D651"/>
    </row>
    <row r="652" spans="2:4" ht="15" customHeight="1" x14ac:dyDescent="0.25">
      <c r="B652"/>
      <c r="C652"/>
      <c r="D652"/>
    </row>
    <row r="653" spans="2:4" ht="15" customHeight="1" x14ac:dyDescent="0.25">
      <c r="B653"/>
      <c r="C653"/>
      <c r="D653"/>
    </row>
    <row r="654" spans="2:4" ht="15" customHeight="1" x14ac:dyDescent="0.25">
      <c r="B654"/>
      <c r="C654"/>
      <c r="D654"/>
    </row>
    <row r="655" spans="2:4" ht="15" customHeight="1" x14ac:dyDescent="0.25">
      <c r="B655"/>
      <c r="C655"/>
      <c r="D655"/>
    </row>
    <row r="656" spans="2:4" ht="15" customHeight="1" x14ac:dyDescent="0.25">
      <c r="B656"/>
      <c r="C656"/>
      <c r="D656"/>
    </row>
    <row r="657" spans="2:4" ht="15" customHeight="1" x14ac:dyDescent="0.25">
      <c r="B657"/>
      <c r="C657"/>
      <c r="D657"/>
    </row>
    <row r="658" spans="2:4" ht="15" customHeight="1" x14ac:dyDescent="0.25">
      <c r="B658"/>
      <c r="C658"/>
      <c r="D658"/>
    </row>
    <row r="659" spans="2:4" ht="15" customHeight="1" x14ac:dyDescent="0.25">
      <c r="B659"/>
      <c r="C659"/>
      <c r="D659"/>
    </row>
    <row r="660" spans="2:4" ht="15" customHeight="1" x14ac:dyDescent="0.25">
      <c r="B660"/>
      <c r="C660"/>
      <c r="D660"/>
    </row>
    <row r="661" spans="2:4" ht="15" customHeight="1" x14ac:dyDescent="0.25">
      <c r="B661"/>
      <c r="C661"/>
      <c r="D661"/>
    </row>
    <row r="662" spans="2:4" ht="15" customHeight="1" x14ac:dyDescent="0.25">
      <c r="B662"/>
      <c r="C662"/>
      <c r="D662"/>
    </row>
    <row r="663" spans="2:4" ht="15" customHeight="1" x14ac:dyDescent="0.25">
      <c r="B663"/>
      <c r="C663"/>
      <c r="D663"/>
    </row>
    <row r="664" spans="2:4" ht="15" customHeight="1" x14ac:dyDescent="0.25">
      <c r="B664"/>
      <c r="C664"/>
      <c r="D664"/>
    </row>
    <row r="665" spans="2:4" ht="15" customHeight="1" x14ac:dyDescent="0.25">
      <c r="B665"/>
      <c r="C665"/>
      <c r="D665"/>
    </row>
    <row r="666" spans="2:4" ht="15" customHeight="1" x14ac:dyDescent="0.25">
      <c r="B666"/>
      <c r="C666"/>
      <c r="D666"/>
    </row>
    <row r="667" spans="2:4" ht="15" customHeight="1" x14ac:dyDescent="0.25">
      <c r="B667"/>
      <c r="C667"/>
      <c r="D667"/>
    </row>
    <row r="668" spans="2:4" ht="15" customHeight="1" x14ac:dyDescent="0.25">
      <c r="B668"/>
      <c r="C668"/>
      <c r="D668"/>
    </row>
    <row r="669" spans="2:4" ht="15" customHeight="1" x14ac:dyDescent="0.25">
      <c r="B669"/>
      <c r="C669"/>
      <c r="D669"/>
    </row>
    <row r="670" spans="2:4" ht="15" customHeight="1" x14ac:dyDescent="0.25">
      <c r="B670"/>
      <c r="C670"/>
      <c r="D670"/>
    </row>
    <row r="671" spans="2:4" ht="15" customHeight="1" x14ac:dyDescent="0.25">
      <c r="B671"/>
      <c r="C671"/>
      <c r="D671"/>
    </row>
    <row r="672" spans="2:4" ht="15" customHeight="1" x14ac:dyDescent="0.25">
      <c r="B672"/>
      <c r="C672"/>
      <c r="D672"/>
    </row>
    <row r="673" spans="2:4" ht="15" customHeight="1" x14ac:dyDescent="0.25">
      <c r="B673"/>
      <c r="C673"/>
      <c r="D673"/>
    </row>
    <row r="674" spans="2:4" ht="15" customHeight="1" x14ac:dyDescent="0.25">
      <c r="B674"/>
      <c r="C674"/>
      <c r="D674"/>
    </row>
    <row r="675" spans="2:4" ht="15" customHeight="1" x14ac:dyDescent="0.25">
      <c r="B675"/>
      <c r="C675"/>
      <c r="D675"/>
    </row>
    <row r="676" spans="2:4" ht="15" customHeight="1" x14ac:dyDescent="0.25">
      <c r="B676"/>
      <c r="C676"/>
      <c r="D676"/>
    </row>
    <row r="677" spans="2:4" ht="15" customHeight="1" x14ac:dyDescent="0.25">
      <c r="B677"/>
      <c r="C677"/>
      <c r="D677"/>
    </row>
    <row r="678" spans="2:4" ht="15" customHeight="1" x14ac:dyDescent="0.25">
      <c r="B678"/>
      <c r="C678"/>
      <c r="D678"/>
    </row>
    <row r="679" spans="2:4" ht="15" customHeight="1" x14ac:dyDescent="0.25">
      <c r="B679"/>
      <c r="C679"/>
      <c r="D679"/>
    </row>
    <row r="680" spans="2:4" ht="15" customHeight="1" x14ac:dyDescent="0.25">
      <c r="B680"/>
      <c r="C680"/>
      <c r="D680"/>
    </row>
    <row r="681" spans="2:4" ht="15" customHeight="1" x14ac:dyDescent="0.25">
      <c r="B681"/>
      <c r="C681"/>
      <c r="D681"/>
    </row>
    <row r="682" spans="2:4" ht="15" customHeight="1" x14ac:dyDescent="0.25">
      <c r="B682"/>
      <c r="C682"/>
      <c r="D682"/>
    </row>
    <row r="683" spans="2:4" ht="15" customHeight="1" x14ac:dyDescent="0.25">
      <c r="B683"/>
      <c r="C683"/>
      <c r="D683"/>
    </row>
    <row r="684" spans="2:4" ht="15" customHeight="1" x14ac:dyDescent="0.25">
      <c r="B684"/>
      <c r="C684"/>
      <c r="D684"/>
    </row>
    <row r="685" spans="2:4" ht="15" customHeight="1" x14ac:dyDescent="0.25">
      <c r="B685"/>
      <c r="C685"/>
      <c r="D685"/>
    </row>
    <row r="686" spans="2:4" ht="15" customHeight="1" x14ac:dyDescent="0.25">
      <c r="B686"/>
      <c r="C686"/>
      <c r="D686"/>
    </row>
    <row r="687" spans="2:4" ht="15" customHeight="1" x14ac:dyDescent="0.25">
      <c r="B687"/>
      <c r="C687"/>
      <c r="D687"/>
    </row>
    <row r="688" spans="2:4" ht="15" customHeight="1" x14ac:dyDescent="0.25">
      <c r="B688"/>
      <c r="C688"/>
      <c r="D688"/>
    </row>
    <row r="689" spans="2:4" ht="15" customHeight="1" x14ac:dyDescent="0.25">
      <c r="B689"/>
      <c r="C689"/>
      <c r="D689"/>
    </row>
    <row r="690" spans="2:4" ht="15" customHeight="1" x14ac:dyDescent="0.25">
      <c r="B690"/>
      <c r="C690"/>
      <c r="D690"/>
    </row>
    <row r="691" spans="2:4" ht="15" customHeight="1" x14ac:dyDescent="0.25">
      <c r="B691"/>
      <c r="C691"/>
      <c r="D691"/>
    </row>
    <row r="692" spans="2:4" ht="15" customHeight="1" x14ac:dyDescent="0.25">
      <c r="B692"/>
      <c r="C692"/>
      <c r="D692"/>
    </row>
    <row r="693" spans="2:4" ht="15" customHeight="1" x14ac:dyDescent="0.25">
      <c r="B693"/>
      <c r="C693"/>
      <c r="D693"/>
    </row>
    <row r="694" spans="2:4" ht="15" customHeight="1" x14ac:dyDescent="0.25">
      <c r="B694"/>
      <c r="C694"/>
      <c r="D694"/>
    </row>
    <row r="695" spans="2:4" ht="15" customHeight="1" x14ac:dyDescent="0.25">
      <c r="B695"/>
      <c r="C695"/>
      <c r="D695"/>
    </row>
    <row r="696" spans="2:4" ht="15" customHeight="1" x14ac:dyDescent="0.25">
      <c r="B696"/>
      <c r="C696"/>
      <c r="D696"/>
    </row>
    <row r="697" spans="2:4" ht="15" customHeight="1" x14ac:dyDescent="0.25">
      <c r="B697"/>
      <c r="C697"/>
      <c r="D697"/>
    </row>
    <row r="698" spans="2:4" ht="15" customHeight="1" x14ac:dyDescent="0.25">
      <c r="B698"/>
      <c r="C698"/>
      <c r="D698"/>
    </row>
    <row r="699" spans="2:4" ht="15" customHeight="1" x14ac:dyDescent="0.25">
      <c r="B699"/>
      <c r="C699"/>
      <c r="D699"/>
    </row>
    <row r="700" spans="2:4" ht="15" customHeight="1" x14ac:dyDescent="0.25">
      <c r="B700"/>
      <c r="C700"/>
      <c r="D700"/>
    </row>
    <row r="701" spans="2:4" ht="15" customHeight="1" x14ac:dyDescent="0.25">
      <c r="B701"/>
      <c r="C701"/>
      <c r="D701"/>
    </row>
    <row r="702" spans="2:4" ht="15" customHeight="1" x14ac:dyDescent="0.25">
      <c r="B702"/>
      <c r="C702"/>
      <c r="D702"/>
    </row>
    <row r="703" spans="2:4" ht="15" customHeight="1" x14ac:dyDescent="0.25">
      <c r="B703"/>
      <c r="C703"/>
      <c r="D703"/>
    </row>
    <row r="704" spans="2:4" ht="15" customHeight="1" x14ac:dyDescent="0.25">
      <c r="B704"/>
      <c r="C704"/>
      <c r="D704"/>
    </row>
    <row r="705" spans="2:4" ht="15" customHeight="1" x14ac:dyDescent="0.25">
      <c r="B705"/>
      <c r="C705"/>
      <c r="D705"/>
    </row>
    <row r="706" spans="2:4" ht="15" customHeight="1" x14ac:dyDescent="0.25">
      <c r="B706"/>
      <c r="C706"/>
      <c r="D706"/>
    </row>
    <row r="707" spans="2:4" ht="15" customHeight="1" x14ac:dyDescent="0.25">
      <c r="B707"/>
      <c r="C707"/>
      <c r="D707"/>
    </row>
    <row r="708" spans="2:4" ht="15" customHeight="1" x14ac:dyDescent="0.25">
      <c r="B708"/>
      <c r="C708"/>
      <c r="D708"/>
    </row>
    <row r="709" spans="2:4" ht="15" customHeight="1" x14ac:dyDescent="0.25">
      <c r="B709"/>
      <c r="C709"/>
      <c r="D709"/>
    </row>
    <row r="710" spans="2:4" ht="15" customHeight="1" x14ac:dyDescent="0.25">
      <c r="B710"/>
      <c r="C710"/>
      <c r="D710"/>
    </row>
    <row r="711" spans="2:4" ht="15" customHeight="1" x14ac:dyDescent="0.25">
      <c r="B711"/>
      <c r="C711"/>
      <c r="D711"/>
    </row>
    <row r="712" spans="2:4" ht="15" customHeight="1" x14ac:dyDescent="0.25">
      <c r="B712"/>
      <c r="C712"/>
      <c r="D712"/>
    </row>
    <row r="713" spans="2:4" ht="15" customHeight="1" x14ac:dyDescent="0.25">
      <c r="B713"/>
      <c r="C713"/>
      <c r="D713"/>
    </row>
    <row r="714" spans="2:4" ht="15" customHeight="1" x14ac:dyDescent="0.25">
      <c r="B714"/>
      <c r="C714"/>
      <c r="D714"/>
    </row>
    <row r="715" spans="2:4" ht="15" customHeight="1" x14ac:dyDescent="0.25">
      <c r="B715"/>
      <c r="C715"/>
      <c r="D715"/>
    </row>
    <row r="716" spans="2:4" ht="15" customHeight="1" x14ac:dyDescent="0.25">
      <c r="B716"/>
      <c r="C716"/>
      <c r="D716"/>
    </row>
    <row r="717" spans="2:4" ht="15" customHeight="1" x14ac:dyDescent="0.25">
      <c r="B717"/>
      <c r="C717"/>
      <c r="D717"/>
    </row>
    <row r="718" spans="2:4" ht="15" customHeight="1" x14ac:dyDescent="0.25">
      <c r="B718"/>
      <c r="C718"/>
      <c r="D718"/>
    </row>
    <row r="719" spans="2:4" ht="15" customHeight="1" x14ac:dyDescent="0.25">
      <c r="B719"/>
      <c r="C719"/>
      <c r="D719"/>
    </row>
    <row r="720" spans="2:4" ht="15" customHeight="1" x14ac:dyDescent="0.25">
      <c r="B720"/>
      <c r="C720"/>
      <c r="D720"/>
    </row>
    <row r="721" spans="2:4" ht="15" customHeight="1" x14ac:dyDescent="0.25">
      <c r="B721"/>
      <c r="C721"/>
      <c r="D721"/>
    </row>
    <row r="722" spans="2:4" ht="15" customHeight="1" x14ac:dyDescent="0.25">
      <c r="B722"/>
      <c r="C722"/>
      <c r="D722"/>
    </row>
    <row r="723" spans="2:4" ht="15" customHeight="1" x14ac:dyDescent="0.25">
      <c r="B723"/>
      <c r="C723"/>
      <c r="D723"/>
    </row>
    <row r="724" spans="2:4" ht="15" customHeight="1" x14ac:dyDescent="0.25">
      <c r="B724"/>
      <c r="C724"/>
      <c r="D724"/>
    </row>
    <row r="725" spans="2:4" ht="15" customHeight="1" x14ac:dyDescent="0.25">
      <c r="B725"/>
      <c r="C725"/>
      <c r="D725"/>
    </row>
    <row r="726" spans="2:4" ht="15" customHeight="1" x14ac:dyDescent="0.25">
      <c r="B726"/>
      <c r="C726"/>
      <c r="D726"/>
    </row>
    <row r="727" spans="2:4" ht="15" customHeight="1" x14ac:dyDescent="0.25">
      <c r="B727"/>
      <c r="C727"/>
      <c r="D727"/>
    </row>
    <row r="728" spans="2:4" ht="15" customHeight="1" x14ac:dyDescent="0.25">
      <c r="B728"/>
      <c r="C728"/>
      <c r="D728"/>
    </row>
    <row r="729" spans="2:4" ht="15" customHeight="1" x14ac:dyDescent="0.25">
      <c r="B729"/>
      <c r="C729"/>
      <c r="D729"/>
    </row>
    <row r="730" spans="2:4" ht="15" customHeight="1" x14ac:dyDescent="0.25">
      <c r="B730"/>
      <c r="C730"/>
      <c r="D730"/>
    </row>
    <row r="731" spans="2:4" ht="15" customHeight="1" x14ac:dyDescent="0.25">
      <c r="B731"/>
      <c r="C731"/>
      <c r="D731"/>
    </row>
    <row r="732" spans="2:4" ht="15" customHeight="1" x14ac:dyDescent="0.25">
      <c r="B732"/>
      <c r="C732"/>
      <c r="D732"/>
    </row>
    <row r="733" spans="2:4" ht="15" customHeight="1" x14ac:dyDescent="0.25">
      <c r="B733"/>
      <c r="C733"/>
      <c r="D733"/>
    </row>
    <row r="734" spans="2:4" ht="15" customHeight="1" x14ac:dyDescent="0.25">
      <c r="B734"/>
      <c r="C734"/>
      <c r="D734"/>
    </row>
    <row r="735" spans="2:4" ht="15" customHeight="1" x14ac:dyDescent="0.25">
      <c r="B735"/>
      <c r="C735"/>
      <c r="D735"/>
    </row>
    <row r="736" spans="2:4" ht="15" customHeight="1" x14ac:dyDescent="0.25">
      <c r="B736"/>
      <c r="C736"/>
      <c r="D736"/>
    </row>
    <row r="737" spans="2:4" ht="15" customHeight="1" x14ac:dyDescent="0.25">
      <c r="B737"/>
      <c r="C737"/>
      <c r="D737"/>
    </row>
    <row r="738" spans="2:4" ht="15" customHeight="1" x14ac:dyDescent="0.25">
      <c r="B738"/>
      <c r="C738"/>
      <c r="D738"/>
    </row>
    <row r="739" spans="2:4" ht="15" customHeight="1" x14ac:dyDescent="0.25">
      <c r="B739"/>
      <c r="C739"/>
      <c r="D739"/>
    </row>
    <row r="740" spans="2:4" ht="15" customHeight="1" x14ac:dyDescent="0.25">
      <c r="B740"/>
      <c r="C740"/>
      <c r="D740"/>
    </row>
    <row r="741" spans="2:4" ht="15" customHeight="1" x14ac:dyDescent="0.25">
      <c r="B741"/>
      <c r="C741"/>
      <c r="D741"/>
    </row>
    <row r="742" spans="2:4" ht="15" customHeight="1" x14ac:dyDescent="0.25">
      <c r="B742"/>
      <c r="C742"/>
      <c r="D742"/>
    </row>
    <row r="743" spans="2:4" ht="15" customHeight="1" x14ac:dyDescent="0.25">
      <c r="B743"/>
      <c r="C743"/>
      <c r="D743"/>
    </row>
    <row r="744" spans="2:4" ht="15" customHeight="1" x14ac:dyDescent="0.25">
      <c r="B744"/>
      <c r="C744"/>
      <c r="D744"/>
    </row>
    <row r="745" spans="2:4" ht="15" customHeight="1" x14ac:dyDescent="0.25">
      <c r="B745"/>
      <c r="C745"/>
      <c r="D745"/>
    </row>
    <row r="746" spans="2:4" ht="15" customHeight="1" x14ac:dyDescent="0.25">
      <c r="B746"/>
      <c r="C746"/>
      <c r="D746"/>
    </row>
    <row r="747" spans="2:4" ht="15" customHeight="1" x14ac:dyDescent="0.25">
      <c r="B747"/>
      <c r="C747"/>
      <c r="D747"/>
    </row>
    <row r="748" spans="2:4" ht="15" customHeight="1" x14ac:dyDescent="0.25">
      <c r="B748"/>
      <c r="C748"/>
      <c r="D748"/>
    </row>
    <row r="749" spans="2:4" ht="15" customHeight="1" x14ac:dyDescent="0.25">
      <c r="B749"/>
      <c r="C749"/>
      <c r="D749"/>
    </row>
    <row r="750" spans="2:4" ht="15" customHeight="1" x14ac:dyDescent="0.25">
      <c r="B750"/>
      <c r="C750"/>
      <c r="D750"/>
    </row>
    <row r="751" spans="2:4" ht="15" customHeight="1" x14ac:dyDescent="0.25">
      <c r="B751"/>
      <c r="C751"/>
      <c r="D751"/>
    </row>
    <row r="752" spans="2:4" ht="15" customHeight="1" x14ac:dyDescent="0.25">
      <c r="B752"/>
      <c r="C752"/>
      <c r="D752"/>
    </row>
    <row r="753" spans="2:4" ht="15" customHeight="1" x14ac:dyDescent="0.25">
      <c r="B753"/>
      <c r="C753"/>
      <c r="D753"/>
    </row>
    <row r="754" spans="2:4" ht="15" customHeight="1" x14ac:dyDescent="0.25">
      <c r="B754"/>
      <c r="C754"/>
      <c r="D754"/>
    </row>
    <row r="755" spans="2:4" ht="15" customHeight="1" x14ac:dyDescent="0.25">
      <c r="B755"/>
      <c r="C755"/>
      <c r="D755"/>
    </row>
    <row r="756" spans="2:4" ht="15" customHeight="1" x14ac:dyDescent="0.25">
      <c r="B756"/>
      <c r="C756"/>
      <c r="D756"/>
    </row>
    <row r="757" spans="2:4" ht="15" customHeight="1" x14ac:dyDescent="0.25">
      <c r="B757"/>
      <c r="C757"/>
      <c r="D757"/>
    </row>
    <row r="758" spans="2:4" ht="15" customHeight="1" x14ac:dyDescent="0.25">
      <c r="B758"/>
      <c r="C758"/>
      <c r="D758"/>
    </row>
    <row r="759" spans="2:4" ht="15" customHeight="1" x14ac:dyDescent="0.25">
      <c r="B759"/>
      <c r="C759"/>
      <c r="D759"/>
    </row>
    <row r="760" spans="2:4" ht="15" customHeight="1" x14ac:dyDescent="0.25">
      <c r="B760"/>
      <c r="C760"/>
      <c r="D760"/>
    </row>
    <row r="761" spans="2:4" ht="15" customHeight="1" x14ac:dyDescent="0.25">
      <c r="B761"/>
      <c r="C761"/>
      <c r="D761"/>
    </row>
    <row r="762" spans="2:4" ht="15" customHeight="1" x14ac:dyDescent="0.25">
      <c r="B762"/>
      <c r="C762"/>
      <c r="D762"/>
    </row>
    <row r="763" spans="2:4" ht="15" customHeight="1" x14ac:dyDescent="0.25">
      <c r="B763"/>
      <c r="C763"/>
      <c r="D763"/>
    </row>
    <row r="764" spans="2:4" ht="15" customHeight="1" x14ac:dyDescent="0.25">
      <c r="B764"/>
      <c r="C764"/>
      <c r="D764"/>
    </row>
    <row r="765" spans="2:4" ht="15" customHeight="1" x14ac:dyDescent="0.25">
      <c r="B765"/>
      <c r="C765"/>
      <c r="D765"/>
    </row>
    <row r="766" spans="2:4" ht="15" customHeight="1" x14ac:dyDescent="0.25">
      <c r="B766"/>
      <c r="C766"/>
      <c r="D766"/>
    </row>
    <row r="767" spans="2:4" ht="15" customHeight="1" x14ac:dyDescent="0.25">
      <c r="B767"/>
      <c r="C767"/>
      <c r="D767"/>
    </row>
    <row r="768" spans="2:4" ht="15" customHeight="1" x14ac:dyDescent="0.25">
      <c r="B768"/>
      <c r="C768"/>
      <c r="D768"/>
    </row>
    <row r="769" spans="2:4" ht="15" customHeight="1" x14ac:dyDescent="0.25">
      <c r="B769"/>
      <c r="C769"/>
      <c r="D769"/>
    </row>
    <row r="770" spans="2:4" ht="15" customHeight="1" x14ac:dyDescent="0.25">
      <c r="B770"/>
      <c r="C770"/>
      <c r="D770"/>
    </row>
    <row r="771" spans="2:4" ht="15" customHeight="1" x14ac:dyDescent="0.25">
      <c r="B771"/>
      <c r="C771"/>
      <c r="D771"/>
    </row>
    <row r="772" spans="2:4" ht="15" customHeight="1" x14ac:dyDescent="0.25">
      <c r="B772"/>
      <c r="C772"/>
      <c r="D772"/>
    </row>
    <row r="773" spans="2:4" ht="15" customHeight="1" x14ac:dyDescent="0.25">
      <c r="B773"/>
      <c r="C773"/>
      <c r="D773"/>
    </row>
    <row r="774" spans="2:4" ht="15" customHeight="1" x14ac:dyDescent="0.25">
      <c r="B774"/>
      <c r="C774"/>
      <c r="D774"/>
    </row>
    <row r="775" spans="2:4" ht="15" customHeight="1" x14ac:dyDescent="0.25">
      <c r="B775"/>
      <c r="C775"/>
      <c r="D775"/>
    </row>
    <row r="776" spans="2:4" ht="15" customHeight="1" x14ac:dyDescent="0.25">
      <c r="B776"/>
      <c r="C776"/>
      <c r="D776"/>
    </row>
    <row r="777" spans="2:4" ht="15" customHeight="1" x14ac:dyDescent="0.25">
      <c r="B777"/>
      <c r="C777"/>
      <c r="D777"/>
    </row>
    <row r="778" spans="2:4" ht="15" customHeight="1" x14ac:dyDescent="0.25">
      <c r="B778"/>
      <c r="C778"/>
      <c r="D778"/>
    </row>
    <row r="779" spans="2:4" ht="15" customHeight="1" x14ac:dyDescent="0.25">
      <c r="B779"/>
      <c r="C779"/>
      <c r="D779"/>
    </row>
    <row r="780" spans="2:4" ht="15" customHeight="1" x14ac:dyDescent="0.25">
      <c r="B780"/>
      <c r="C780"/>
      <c r="D780"/>
    </row>
    <row r="781" spans="2:4" ht="15" customHeight="1" x14ac:dyDescent="0.25">
      <c r="B781"/>
      <c r="C781"/>
      <c r="D781"/>
    </row>
    <row r="782" spans="2:4" ht="15" customHeight="1" x14ac:dyDescent="0.25">
      <c r="B782"/>
      <c r="C782"/>
      <c r="D782"/>
    </row>
    <row r="783" spans="2:4" ht="15" customHeight="1" x14ac:dyDescent="0.25">
      <c r="B783"/>
      <c r="C783"/>
      <c r="D783"/>
    </row>
    <row r="784" spans="2:4" ht="15" customHeight="1" x14ac:dyDescent="0.25">
      <c r="B784"/>
      <c r="C784"/>
      <c r="D784"/>
    </row>
    <row r="785" spans="2:4" ht="15" customHeight="1" x14ac:dyDescent="0.25">
      <c r="B785"/>
      <c r="C785"/>
      <c r="D785"/>
    </row>
    <row r="786" spans="2:4" ht="15" customHeight="1" x14ac:dyDescent="0.25">
      <c r="B786"/>
      <c r="C786"/>
      <c r="D786"/>
    </row>
    <row r="787" spans="2:4" ht="15" customHeight="1" x14ac:dyDescent="0.25">
      <c r="B787"/>
      <c r="C787"/>
      <c r="D787"/>
    </row>
    <row r="788" spans="2:4" ht="15" customHeight="1" x14ac:dyDescent="0.25">
      <c r="B788"/>
      <c r="C788"/>
      <c r="D788"/>
    </row>
    <row r="789" spans="2:4" ht="15" customHeight="1" x14ac:dyDescent="0.25">
      <c r="B789"/>
      <c r="C789"/>
      <c r="D789"/>
    </row>
    <row r="790" spans="2:4" ht="15" customHeight="1" x14ac:dyDescent="0.25">
      <c r="B790"/>
      <c r="C790"/>
      <c r="D790"/>
    </row>
    <row r="791" spans="2:4" ht="15" customHeight="1" x14ac:dyDescent="0.25">
      <c r="B791"/>
      <c r="C791"/>
      <c r="D791"/>
    </row>
    <row r="792" spans="2:4" ht="15" customHeight="1" x14ac:dyDescent="0.25">
      <c r="B792"/>
      <c r="C792"/>
      <c r="D792"/>
    </row>
    <row r="793" spans="2:4" ht="15" customHeight="1" x14ac:dyDescent="0.25">
      <c r="B793"/>
      <c r="C793"/>
      <c r="D793"/>
    </row>
    <row r="794" spans="2:4" ht="15" customHeight="1" x14ac:dyDescent="0.25">
      <c r="B794"/>
      <c r="C794"/>
      <c r="D794"/>
    </row>
    <row r="795" spans="2:4" ht="15" customHeight="1" x14ac:dyDescent="0.25">
      <c r="B795"/>
      <c r="C795"/>
      <c r="D795"/>
    </row>
    <row r="796" spans="2:4" ht="15" customHeight="1" x14ac:dyDescent="0.25">
      <c r="B796"/>
      <c r="C796"/>
      <c r="D796"/>
    </row>
    <row r="797" spans="2:4" ht="15" customHeight="1" x14ac:dyDescent="0.25">
      <c r="B797"/>
      <c r="C797"/>
      <c r="D797"/>
    </row>
    <row r="798" spans="2:4" ht="15" customHeight="1" x14ac:dyDescent="0.25">
      <c r="B798"/>
      <c r="C798"/>
      <c r="D798"/>
    </row>
    <row r="799" spans="2:4" ht="15" customHeight="1" x14ac:dyDescent="0.25">
      <c r="B799"/>
      <c r="C799"/>
      <c r="D799"/>
    </row>
    <row r="800" spans="2:4" ht="15" customHeight="1" x14ac:dyDescent="0.25">
      <c r="B800"/>
      <c r="C800"/>
      <c r="D800"/>
    </row>
    <row r="801" spans="2:4" ht="15" customHeight="1" x14ac:dyDescent="0.25">
      <c r="B801"/>
      <c r="C801"/>
      <c r="D801"/>
    </row>
    <row r="802" spans="2:4" ht="15" customHeight="1" x14ac:dyDescent="0.25">
      <c r="B802"/>
      <c r="C802"/>
      <c r="D802"/>
    </row>
    <row r="803" spans="2:4" ht="15" customHeight="1" x14ac:dyDescent="0.25">
      <c r="B803"/>
      <c r="C803"/>
      <c r="D803"/>
    </row>
    <row r="804" spans="2:4" ht="15" customHeight="1" x14ac:dyDescent="0.25">
      <c r="B804"/>
      <c r="C804"/>
      <c r="D804"/>
    </row>
    <row r="805" spans="2:4" ht="15" customHeight="1" x14ac:dyDescent="0.25">
      <c r="B805"/>
      <c r="C805"/>
      <c r="D805"/>
    </row>
    <row r="806" spans="2:4" ht="15" customHeight="1" x14ac:dyDescent="0.25">
      <c r="B806"/>
      <c r="C806"/>
      <c r="D806"/>
    </row>
    <row r="807" spans="2:4" ht="15" customHeight="1" x14ac:dyDescent="0.25">
      <c r="B807"/>
      <c r="C807"/>
      <c r="D807"/>
    </row>
    <row r="808" spans="2:4" ht="15" customHeight="1" x14ac:dyDescent="0.25">
      <c r="B808"/>
      <c r="C808"/>
      <c r="D808"/>
    </row>
    <row r="809" spans="2:4" ht="15" customHeight="1" x14ac:dyDescent="0.25">
      <c r="B809"/>
      <c r="C809"/>
      <c r="D809"/>
    </row>
    <row r="810" spans="2:4" ht="15" customHeight="1" x14ac:dyDescent="0.25">
      <c r="B810"/>
      <c r="C810"/>
      <c r="D810"/>
    </row>
    <row r="811" spans="2:4" ht="15" customHeight="1" x14ac:dyDescent="0.25">
      <c r="B811"/>
      <c r="C811"/>
      <c r="D811"/>
    </row>
    <row r="812" spans="2:4" ht="15" customHeight="1" x14ac:dyDescent="0.25">
      <c r="B812"/>
      <c r="C812"/>
      <c r="D812"/>
    </row>
    <row r="813" spans="2:4" ht="15" customHeight="1" x14ac:dyDescent="0.25">
      <c r="B813"/>
      <c r="C813"/>
      <c r="D813"/>
    </row>
    <row r="814" spans="2:4" ht="15" customHeight="1" x14ac:dyDescent="0.25">
      <c r="B814"/>
      <c r="C814"/>
      <c r="D814"/>
    </row>
    <row r="815" spans="2:4" ht="15" customHeight="1" x14ac:dyDescent="0.25">
      <c r="B815"/>
      <c r="C815"/>
      <c r="D815"/>
    </row>
    <row r="816" spans="2:4" ht="15" customHeight="1" x14ac:dyDescent="0.25">
      <c r="B816"/>
      <c r="C816"/>
      <c r="D816"/>
    </row>
    <row r="817" spans="2:4" ht="15" customHeight="1" x14ac:dyDescent="0.25">
      <c r="B817"/>
      <c r="C817"/>
      <c r="D817"/>
    </row>
    <row r="818" spans="2:4" ht="15" customHeight="1" x14ac:dyDescent="0.25">
      <c r="B818"/>
      <c r="C818"/>
      <c r="D818"/>
    </row>
    <row r="819" spans="2:4" ht="15" customHeight="1" x14ac:dyDescent="0.25">
      <c r="B819"/>
      <c r="C819"/>
      <c r="D819"/>
    </row>
    <row r="820" spans="2:4" ht="15" customHeight="1" x14ac:dyDescent="0.25">
      <c r="B820"/>
      <c r="C820"/>
      <c r="D820"/>
    </row>
    <row r="821" spans="2:4" ht="15" customHeight="1" x14ac:dyDescent="0.25">
      <c r="B821"/>
      <c r="C821"/>
      <c r="D821"/>
    </row>
    <row r="822" spans="2:4" ht="15" customHeight="1" x14ac:dyDescent="0.25">
      <c r="B822"/>
      <c r="C822"/>
      <c r="D822"/>
    </row>
    <row r="823" spans="2:4" ht="15" customHeight="1" x14ac:dyDescent="0.25">
      <c r="B823"/>
      <c r="C823"/>
      <c r="D823"/>
    </row>
    <row r="824" spans="2:4" ht="15" customHeight="1" x14ac:dyDescent="0.25">
      <c r="B824"/>
      <c r="C824"/>
      <c r="D824"/>
    </row>
    <row r="825" spans="2:4" ht="15" customHeight="1" x14ac:dyDescent="0.25">
      <c r="B825"/>
      <c r="C825"/>
      <c r="D825"/>
    </row>
    <row r="826" spans="2:4" ht="15" customHeight="1" x14ac:dyDescent="0.25">
      <c r="B826"/>
      <c r="C826"/>
      <c r="D826"/>
    </row>
    <row r="827" spans="2:4" ht="15" customHeight="1" x14ac:dyDescent="0.25">
      <c r="B827"/>
      <c r="C827"/>
      <c r="D827"/>
    </row>
    <row r="828" spans="2:4" ht="15" customHeight="1" x14ac:dyDescent="0.25">
      <c r="B828"/>
      <c r="C828"/>
      <c r="D828"/>
    </row>
    <row r="829" spans="2:4" ht="15" customHeight="1" x14ac:dyDescent="0.25">
      <c r="B829"/>
      <c r="C829"/>
      <c r="D829"/>
    </row>
    <row r="830" spans="2:4" ht="15" customHeight="1" x14ac:dyDescent="0.25">
      <c r="B830"/>
      <c r="C830"/>
      <c r="D830"/>
    </row>
    <row r="831" spans="2:4" ht="15" customHeight="1" x14ac:dyDescent="0.25">
      <c r="B831"/>
      <c r="C831"/>
      <c r="D831"/>
    </row>
    <row r="832" spans="2:4" ht="15" customHeight="1" x14ac:dyDescent="0.25">
      <c r="B832"/>
      <c r="C832"/>
      <c r="D832"/>
    </row>
    <row r="833" spans="2:4" ht="15" customHeight="1" x14ac:dyDescent="0.25">
      <c r="B833"/>
      <c r="C833"/>
      <c r="D833"/>
    </row>
    <row r="834" spans="2:4" ht="15" customHeight="1" x14ac:dyDescent="0.25">
      <c r="B834"/>
      <c r="C834"/>
      <c r="D834"/>
    </row>
    <row r="835" spans="2:4" ht="15" customHeight="1" x14ac:dyDescent="0.25">
      <c r="B835"/>
      <c r="C835"/>
      <c r="D835"/>
    </row>
    <row r="836" spans="2:4" ht="15" customHeight="1" x14ac:dyDescent="0.25">
      <c r="B836"/>
      <c r="C836"/>
      <c r="D836"/>
    </row>
    <row r="837" spans="2:4" ht="15" customHeight="1" x14ac:dyDescent="0.25">
      <c r="B837"/>
      <c r="C837"/>
      <c r="D837"/>
    </row>
    <row r="838" spans="2:4" ht="15" customHeight="1" x14ac:dyDescent="0.25">
      <c r="B838"/>
      <c r="C838"/>
      <c r="D838"/>
    </row>
    <row r="839" spans="2:4" ht="15" customHeight="1" x14ac:dyDescent="0.25">
      <c r="B839"/>
      <c r="C839"/>
      <c r="D839"/>
    </row>
    <row r="840" spans="2:4" ht="15" customHeight="1" x14ac:dyDescent="0.25">
      <c r="B840"/>
      <c r="C840"/>
      <c r="D840"/>
    </row>
    <row r="841" spans="2:4" ht="15" customHeight="1" x14ac:dyDescent="0.25">
      <c r="B841"/>
      <c r="C841"/>
      <c r="D841"/>
    </row>
    <row r="842" spans="2:4" ht="15" customHeight="1" x14ac:dyDescent="0.25">
      <c r="B842"/>
      <c r="C842"/>
      <c r="D842"/>
    </row>
    <row r="843" spans="2:4" ht="15" customHeight="1" x14ac:dyDescent="0.25">
      <c r="B843"/>
      <c r="C843"/>
      <c r="D843"/>
    </row>
    <row r="844" spans="2:4" ht="15" customHeight="1" x14ac:dyDescent="0.25">
      <c r="B844"/>
      <c r="C844"/>
      <c r="D844"/>
    </row>
    <row r="845" spans="2:4" ht="15" customHeight="1" x14ac:dyDescent="0.25">
      <c r="B845"/>
      <c r="C845"/>
      <c r="D845"/>
    </row>
    <row r="846" spans="2:4" ht="15" customHeight="1" x14ac:dyDescent="0.25">
      <c r="B846"/>
      <c r="C846"/>
      <c r="D846"/>
    </row>
    <row r="847" spans="2:4" ht="15" customHeight="1" x14ac:dyDescent="0.25">
      <c r="B847"/>
      <c r="C847"/>
      <c r="D847"/>
    </row>
    <row r="848" spans="2:4" ht="15" customHeight="1" x14ac:dyDescent="0.25">
      <c r="B848"/>
      <c r="C848"/>
      <c r="D848"/>
    </row>
    <row r="849" spans="2:4" ht="15" customHeight="1" x14ac:dyDescent="0.25">
      <c r="B849"/>
      <c r="C849"/>
      <c r="D849"/>
    </row>
    <row r="850" spans="2:4" ht="15" customHeight="1" x14ac:dyDescent="0.25">
      <c r="B850"/>
      <c r="C850"/>
      <c r="D850"/>
    </row>
    <row r="851" spans="2:4" ht="15" customHeight="1" x14ac:dyDescent="0.25">
      <c r="B851"/>
      <c r="C851"/>
      <c r="D851"/>
    </row>
    <row r="852" spans="2:4" ht="15" customHeight="1" x14ac:dyDescent="0.25">
      <c r="B852"/>
      <c r="C852"/>
      <c r="D852"/>
    </row>
    <row r="853" spans="2:4" ht="15" customHeight="1" x14ac:dyDescent="0.25">
      <c r="B853"/>
      <c r="C853"/>
      <c r="D853"/>
    </row>
    <row r="854" spans="2:4" ht="15" customHeight="1" x14ac:dyDescent="0.25">
      <c r="B854"/>
      <c r="C854"/>
      <c r="D854"/>
    </row>
    <row r="855" spans="2:4" ht="15" customHeight="1" x14ac:dyDescent="0.25">
      <c r="B855"/>
      <c r="C855"/>
      <c r="D855"/>
    </row>
    <row r="856" spans="2:4" ht="15" customHeight="1" x14ac:dyDescent="0.25">
      <c r="B856"/>
      <c r="C856"/>
      <c r="D856"/>
    </row>
    <row r="857" spans="2:4" ht="15" customHeight="1" x14ac:dyDescent="0.25">
      <c r="B857"/>
      <c r="C857"/>
      <c r="D857"/>
    </row>
    <row r="858" spans="2:4" ht="15" customHeight="1" x14ac:dyDescent="0.25">
      <c r="B858"/>
      <c r="C858"/>
      <c r="D858"/>
    </row>
    <row r="859" spans="2:4" ht="15" customHeight="1" x14ac:dyDescent="0.25">
      <c r="B859"/>
      <c r="C859"/>
      <c r="D859"/>
    </row>
    <row r="860" spans="2:4" ht="15" customHeight="1" x14ac:dyDescent="0.25">
      <c r="B860"/>
      <c r="C860"/>
      <c r="D860"/>
    </row>
    <row r="861" spans="2:4" ht="15" customHeight="1" x14ac:dyDescent="0.25">
      <c r="B861"/>
      <c r="C861"/>
      <c r="D861"/>
    </row>
    <row r="862" spans="2:4" ht="15" customHeight="1" x14ac:dyDescent="0.25">
      <c r="B862"/>
      <c r="C862"/>
      <c r="D862"/>
    </row>
    <row r="863" spans="2:4" ht="15" customHeight="1" x14ac:dyDescent="0.25">
      <c r="B863"/>
      <c r="C863"/>
      <c r="D863"/>
    </row>
    <row r="864" spans="2:4" ht="15" customHeight="1" x14ac:dyDescent="0.25">
      <c r="B864"/>
      <c r="C864"/>
      <c r="D864"/>
    </row>
    <row r="865" spans="2:4" ht="15" customHeight="1" x14ac:dyDescent="0.25">
      <c r="B865"/>
      <c r="C865"/>
      <c r="D865"/>
    </row>
    <row r="866" spans="2:4" ht="15" customHeight="1" x14ac:dyDescent="0.25">
      <c r="B866"/>
      <c r="C866"/>
      <c r="D866"/>
    </row>
    <row r="867" spans="2:4" ht="15" customHeight="1" x14ac:dyDescent="0.25">
      <c r="B867"/>
      <c r="C867"/>
      <c r="D867"/>
    </row>
    <row r="868" spans="2:4" ht="15" customHeight="1" x14ac:dyDescent="0.25">
      <c r="B868"/>
      <c r="C868"/>
      <c r="D868"/>
    </row>
    <row r="869" spans="2:4" ht="15" customHeight="1" x14ac:dyDescent="0.25">
      <c r="B869"/>
      <c r="C869"/>
      <c r="D869"/>
    </row>
    <row r="870" spans="2:4" ht="15" customHeight="1" x14ac:dyDescent="0.25">
      <c r="B870"/>
      <c r="C870"/>
      <c r="D870"/>
    </row>
    <row r="871" spans="2:4" ht="15" customHeight="1" x14ac:dyDescent="0.25">
      <c r="B871"/>
      <c r="C871"/>
      <c r="D871"/>
    </row>
    <row r="872" spans="2:4" ht="15" customHeight="1" x14ac:dyDescent="0.25">
      <c r="B872"/>
      <c r="C872"/>
      <c r="D872"/>
    </row>
    <row r="873" spans="2:4" ht="15" customHeight="1" x14ac:dyDescent="0.25">
      <c r="B873"/>
      <c r="C873"/>
      <c r="D873"/>
    </row>
    <row r="874" spans="2:4" ht="15" customHeight="1" x14ac:dyDescent="0.25">
      <c r="B874"/>
      <c r="C874"/>
      <c r="D874"/>
    </row>
    <row r="875" spans="2:4" ht="15" customHeight="1" x14ac:dyDescent="0.25">
      <c r="B875"/>
      <c r="C875"/>
      <c r="D875"/>
    </row>
    <row r="876" spans="2:4" ht="15" customHeight="1" x14ac:dyDescent="0.25">
      <c r="B876"/>
      <c r="C876"/>
      <c r="D876"/>
    </row>
    <row r="877" spans="2:4" ht="15" customHeight="1" x14ac:dyDescent="0.25">
      <c r="B877"/>
      <c r="C877"/>
      <c r="D877"/>
    </row>
    <row r="878" spans="2:4" ht="15" customHeight="1" x14ac:dyDescent="0.25">
      <c r="B878"/>
      <c r="C878"/>
      <c r="D878"/>
    </row>
    <row r="879" spans="2:4" ht="15" customHeight="1" x14ac:dyDescent="0.25">
      <c r="B879"/>
      <c r="C879"/>
      <c r="D879"/>
    </row>
    <row r="880" spans="2:4" ht="15" customHeight="1" x14ac:dyDescent="0.25">
      <c r="B880"/>
      <c r="C880"/>
      <c r="D880"/>
    </row>
    <row r="881" spans="2:4" ht="15" customHeight="1" x14ac:dyDescent="0.25">
      <c r="B881"/>
      <c r="C881"/>
      <c r="D881"/>
    </row>
    <row r="882" spans="2:4" ht="15" customHeight="1" x14ac:dyDescent="0.25">
      <c r="B882"/>
      <c r="C882"/>
      <c r="D882"/>
    </row>
    <row r="883" spans="2:4" ht="15" customHeight="1" x14ac:dyDescent="0.25">
      <c r="B883"/>
      <c r="C883"/>
      <c r="D883"/>
    </row>
    <row r="884" spans="2:4" ht="15" customHeight="1" x14ac:dyDescent="0.25">
      <c r="B884"/>
      <c r="C884"/>
      <c r="D884"/>
    </row>
    <row r="885" spans="2:4" ht="15" customHeight="1" x14ac:dyDescent="0.25">
      <c r="B885"/>
      <c r="C885"/>
      <c r="D885"/>
    </row>
    <row r="886" spans="2:4" ht="15" customHeight="1" x14ac:dyDescent="0.25">
      <c r="B886"/>
      <c r="C886"/>
      <c r="D886"/>
    </row>
    <row r="887" spans="2:4" ht="15" customHeight="1" x14ac:dyDescent="0.25">
      <c r="B887"/>
      <c r="C887"/>
      <c r="D887"/>
    </row>
    <row r="888" spans="2:4" ht="15" customHeight="1" x14ac:dyDescent="0.25">
      <c r="B888"/>
      <c r="C888"/>
      <c r="D888"/>
    </row>
    <row r="889" spans="2:4" ht="15" customHeight="1" x14ac:dyDescent="0.25">
      <c r="B889"/>
      <c r="C889"/>
      <c r="D889"/>
    </row>
    <row r="890" spans="2:4" ht="15" customHeight="1" x14ac:dyDescent="0.25">
      <c r="B890"/>
      <c r="C890"/>
      <c r="D890"/>
    </row>
    <row r="891" spans="2:4" ht="15" customHeight="1" x14ac:dyDescent="0.25">
      <c r="B891"/>
      <c r="C891"/>
      <c r="D891"/>
    </row>
    <row r="892" spans="2:4" ht="15" customHeight="1" x14ac:dyDescent="0.25">
      <c r="B892"/>
      <c r="C892"/>
      <c r="D892"/>
    </row>
    <row r="893" spans="2:4" ht="15" customHeight="1" x14ac:dyDescent="0.25">
      <c r="B893"/>
      <c r="C893"/>
      <c r="D893"/>
    </row>
    <row r="894" spans="2:4" ht="15" customHeight="1" x14ac:dyDescent="0.25">
      <c r="B894"/>
      <c r="C894"/>
      <c r="D894"/>
    </row>
    <row r="895" spans="2:4" ht="15" customHeight="1" x14ac:dyDescent="0.25">
      <c r="B895"/>
      <c r="C895"/>
      <c r="D895"/>
    </row>
    <row r="896" spans="2:4" ht="15" customHeight="1" x14ac:dyDescent="0.25">
      <c r="B896"/>
      <c r="C896"/>
      <c r="D896"/>
    </row>
    <row r="897" spans="2:4" ht="15" customHeight="1" x14ac:dyDescent="0.25">
      <c r="B897"/>
      <c r="C897"/>
      <c r="D897"/>
    </row>
    <row r="898" spans="2:4" ht="15" customHeight="1" x14ac:dyDescent="0.25">
      <c r="B898"/>
      <c r="C898"/>
      <c r="D898"/>
    </row>
    <row r="899" spans="2:4" ht="15" customHeight="1" x14ac:dyDescent="0.25">
      <c r="B899"/>
      <c r="C899"/>
      <c r="D899"/>
    </row>
    <row r="900" spans="2:4" ht="15" customHeight="1" x14ac:dyDescent="0.25">
      <c r="B900"/>
      <c r="C900"/>
      <c r="D900"/>
    </row>
    <row r="901" spans="2:4" ht="15" customHeight="1" x14ac:dyDescent="0.25">
      <c r="B901"/>
      <c r="C901"/>
      <c r="D901"/>
    </row>
    <row r="902" spans="2:4" ht="15" customHeight="1" x14ac:dyDescent="0.25">
      <c r="B902"/>
      <c r="C902"/>
      <c r="D902"/>
    </row>
    <row r="903" spans="2:4" ht="15" customHeight="1" x14ac:dyDescent="0.25">
      <c r="B903"/>
      <c r="C903"/>
      <c r="D903"/>
    </row>
    <row r="904" spans="2:4" ht="15" customHeight="1" x14ac:dyDescent="0.25">
      <c r="B904"/>
      <c r="C904"/>
      <c r="D904"/>
    </row>
    <row r="905" spans="2:4" ht="15" customHeight="1" x14ac:dyDescent="0.25">
      <c r="B905"/>
      <c r="C905"/>
      <c r="D905"/>
    </row>
    <row r="906" spans="2:4" ht="15" customHeight="1" x14ac:dyDescent="0.25">
      <c r="B906"/>
      <c r="C906"/>
      <c r="D906"/>
    </row>
    <row r="907" spans="2:4" ht="15" customHeight="1" x14ac:dyDescent="0.25">
      <c r="B907"/>
      <c r="C907"/>
      <c r="D907"/>
    </row>
    <row r="908" spans="2:4" ht="15" customHeight="1" x14ac:dyDescent="0.25">
      <c r="B908"/>
      <c r="C908"/>
      <c r="D908"/>
    </row>
    <row r="909" spans="2:4" ht="15" customHeight="1" x14ac:dyDescent="0.25">
      <c r="B909"/>
      <c r="C909"/>
      <c r="D909"/>
    </row>
    <row r="910" spans="2:4" ht="15" customHeight="1" x14ac:dyDescent="0.25">
      <c r="B910"/>
      <c r="C910"/>
      <c r="D910"/>
    </row>
    <row r="911" spans="2:4" ht="15" customHeight="1" x14ac:dyDescent="0.25">
      <c r="B911"/>
      <c r="C911"/>
      <c r="D911"/>
    </row>
    <row r="912" spans="2:4" ht="15" customHeight="1" x14ac:dyDescent="0.25">
      <c r="B912"/>
      <c r="C912"/>
      <c r="D912"/>
    </row>
    <row r="913" spans="2:4" ht="15" customHeight="1" x14ac:dyDescent="0.25">
      <c r="B913"/>
      <c r="C913"/>
      <c r="D913"/>
    </row>
    <row r="914" spans="2:4" ht="15" customHeight="1" x14ac:dyDescent="0.25">
      <c r="B914"/>
      <c r="C914"/>
      <c r="D914"/>
    </row>
    <row r="915" spans="2:4" ht="15" customHeight="1" x14ac:dyDescent="0.25">
      <c r="B915"/>
      <c r="C915"/>
      <c r="D915"/>
    </row>
    <row r="916" spans="2:4" ht="15" customHeight="1" x14ac:dyDescent="0.25">
      <c r="B916"/>
      <c r="C916"/>
      <c r="D916"/>
    </row>
    <row r="917" spans="2:4" ht="15" customHeight="1" x14ac:dyDescent="0.25">
      <c r="B917"/>
      <c r="C917"/>
      <c r="D917"/>
    </row>
    <row r="918" spans="2:4" ht="15" customHeight="1" x14ac:dyDescent="0.25">
      <c r="B918"/>
      <c r="C918"/>
      <c r="D918"/>
    </row>
    <row r="919" spans="2:4" ht="15" customHeight="1" x14ac:dyDescent="0.25">
      <c r="B919"/>
      <c r="C919"/>
      <c r="D919"/>
    </row>
    <row r="920" spans="2:4" ht="15" customHeight="1" x14ac:dyDescent="0.25">
      <c r="B920"/>
      <c r="C920"/>
      <c r="D920"/>
    </row>
    <row r="921" spans="2:4" ht="15" customHeight="1" x14ac:dyDescent="0.25">
      <c r="B921"/>
      <c r="C921"/>
      <c r="D921"/>
    </row>
    <row r="922" spans="2:4" ht="15" customHeight="1" x14ac:dyDescent="0.25">
      <c r="B922"/>
      <c r="C922"/>
      <c r="D922"/>
    </row>
    <row r="923" spans="2:4" ht="15" customHeight="1" x14ac:dyDescent="0.25">
      <c r="B923"/>
      <c r="C923"/>
      <c r="D923"/>
    </row>
    <row r="924" spans="2:4" ht="15" customHeight="1" x14ac:dyDescent="0.25">
      <c r="B924"/>
      <c r="C924"/>
      <c r="D924"/>
    </row>
    <row r="925" spans="2:4" ht="15" customHeight="1" x14ac:dyDescent="0.25">
      <c r="B925"/>
      <c r="C925"/>
      <c r="D925"/>
    </row>
    <row r="926" spans="2:4" ht="15" customHeight="1" x14ac:dyDescent="0.25">
      <c r="B926"/>
      <c r="C926"/>
      <c r="D926"/>
    </row>
    <row r="927" spans="2:4" ht="15" customHeight="1" x14ac:dyDescent="0.25">
      <c r="B927"/>
      <c r="C927"/>
      <c r="D927"/>
    </row>
    <row r="928" spans="2:4" ht="15" customHeight="1" x14ac:dyDescent="0.25">
      <c r="B928"/>
      <c r="C928"/>
      <c r="D928"/>
    </row>
    <row r="929" spans="2:4" ht="15" customHeight="1" x14ac:dyDescent="0.25">
      <c r="B929"/>
      <c r="C929"/>
      <c r="D929"/>
    </row>
    <row r="930" spans="2:4" ht="15" customHeight="1" x14ac:dyDescent="0.25">
      <c r="B930"/>
      <c r="C930"/>
      <c r="D930"/>
    </row>
    <row r="931" spans="2:4" ht="15" customHeight="1" x14ac:dyDescent="0.25">
      <c r="B931"/>
      <c r="C931"/>
      <c r="D931"/>
    </row>
    <row r="932" spans="2:4" ht="15" customHeight="1" x14ac:dyDescent="0.25">
      <c r="B932"/>
      <c r="C932"/>
      <c r="D932"/>
    </row>
    <row r="933" spans="2:4" ht="15" customHeight="1" x14ac:dyDescent="0.25">
      <c r="B933"/>
      <c r="C933"/>
      <c r="D933"/>
    </row>
    <row r="934" spans="2:4" ht="15" customHeight="1" x14ac:dyDescent="0.25">
      <c r="B934"/>
      <c r="C934"/>
      <c r="D934"/>
    </row>
    <row r="935" spans="2:4" ht="15" customHeight="1" x14ac:dyDescent="0.25">
      <c r="B935"/>
      <c r="C935"/>
      <c r="D935"/>
    </row>
    <row r="936" spans="2:4" ht="15" customHeight="1" x14ac:dyDescent="0.25">
      <c r="B936"/>
      <c r="C936"/>
      <c r="D936"/>
    </row>
    <row r="937" spans="2:4" ht="15" customHeight="1" x14ac:dyDescent="0.25">
      <c r="B937"/>
      <c r="C937"/>
      <c r="D937"/>
    </row>
    <row r="938" spans="2:4" ht="15" customHeight="1" x14ac:dyDescent="0.25">
      <c r="B938"/>
      <c r="C938"/>
      <c r="D938"/>
    </row>
    <row r="939" spans="2:4" ht="15" customHeight="1" x14ac:dyDescent="0.25">
      <c r="B939"/>
      <c r="C939"/>
      <c r="D939"/>
    </row>
    <row r="940" spans="2:4" ht="15" customHeight="1" x14ac:dyDescent="0.25">
      <c r="B940"/>
      <c r="C940"/>
      <c r="D940"/>
    </row>
    <row r="941" spans="2:4" ht="15" customHeight="1" x14ac:dyDescent="0.25">
      <c r="B941"/>
      <c r="C941"/>
      <c r="D941"/>
    </row>
    <row r="942" spans="2:4" ht="15" customHeight="1" x14ac:dyDescent="0.25">
      <c r="B942"/>
      <c r="C942"/>
      <c r="D942"/>
    </row>
    <row r="943" spans="2:4" ht="15" customHeight="1" x14ac:dyDescent="0.25">
      <c r="B943"/>
      <c r="C943"/>
      <c r="D943"/>
    </row>
    <row r="944" spans="2:4" ht="15" customHeight="1" x14ac:dyDescent="0.25">
      <c r="B944"/>
      <c r="C944"/>
      <c r="D944"/>
    </row>
    <row r="945" spans="2:4" ht="15" customHeight="1" x14ac:dyDescent="0.25">
      <c r="B945"/>
      <c r="C945"/>
      <c r="D945"/>
    </row>
    <row r="946" spans="2:4" ht="15" customHeight="1" x14ac:dyDescent="0.25">
      <c r="B946"/>
      <c r="C946"/>
      <c r="D946"/>
    </row>
    <row r="947" spans="2:4" ht="15" customHeight="1" x14ac:dyDescent="0.25">
      <c r="B947"/>
      <c r="C947"/>
      <c r="D947"/>
    </row>
    <row r="948" spans="2:4" ht="15" customHeight="1" x14ac:dyDescent="0.25">
      <c r="B948"/>
      <c r="C948"/>
      <c r="D948"/>
    </row>
    <row r="949" spans="2:4" ht="15" customHeight="1" x14ac:dyDescent="0.25">
      <c r="B949"/>
      <c r="C949"/>
      <c r="D949"/>
    </row>
    <row r="950" spans="2:4" ht="15" customHeight="1" x14ac:dyDescent="0.25">
      <c r="B950"/>
      <c r="C950"/>
      <c r="D950"/>
    </row>
    <row r="951" spans="2:4" ht="15" customHeight="1" x14ac:dyDescent="0.25">
      <c r="B951"/>
      <c r="C951"/>
      <c r="D951"/>
    </row>
    <row r="952" spans="2:4" ht="15" customHeight="1" x14ac:dyDescent="0.25">
      <c r="B952"/>
      <c r="C952"/>
      <c r="D952"/>
    </row>
    <row r="953" spans="2:4" ht="15" customHeight="1" x14ac:dyDescent="0.25">
      <c r="B953"/>
      <c r="C953"/>
      <c r="D953"/>
    </row>
    <row r="954" spans="2:4" ht="15" customHeight="1" x14ac:dyDescent="0.25">
      <c r="B954"/>
      <c r="C954"/>
      <c r="D954"/>
    </row>
    <row r="955" spans="2:4" ht="15" customHeight="1" x14ac:dyDescent="0.25">
      <c r="B955"/>
      <c r="C955"/>
      <c r="D955"/>
    </row>
    <row r="956" spans="2:4" ht="15" customHeight="1" x14ac:dyDescent="0.25">
      <c r="B956"/>
      <c r="C956"/>
      <c r="D956"/>
    </row>
    <row r="957" spans="2:4" ht="15" customHeight="1" x14ac:dyDescent="0.25">
      <c r="B957"/>
      <c r="C957"/>
      <c r="D957"/>
    </row>
    <row r="958" spans="2:4" ht="15" customHeight="1" x14ac:dyDescent="0.25">
      <c r="B958"/>
      <c r="C958"/>
      <c r="D958"/>
    </row>
    <row r="959" spans="2:4" ht="15" customHeight="1" x14ac:dyDescent="0.25">
      <c r="B959"/>
      <c r="C959"/>
      <c r="D959"/>
    </row>
    <row r="960" spans="2:4" ht="15" customHeight="1" x14ac:dyDescent="0.25">
      <c r="B960"/>
      <c r="C960"/>
      <c r="D960"/>
    </row>
    <row r="961" spans="2:4" ht="15" customHeight="1" x14ac:dyDescent="0.25">
      <c r="B961"/>
      <c r="C961"/>
      <c r="D961"/>
    </row>
    <row r="962" spans="2:4" ht="15" customHeight="1" x14ac:dyDescent="0.25">
      <c r="B962"/>
      <c r="C962"/>
      <c r="D962"/>
    </row>
    <row r="963" spans="2:4" ht="15" customHeight="1" x14ac:dyDescent="0.25">
      <c r="B963"/>
      <c r="C963"/>
      <c r="D963"/>
    </row>
    <row r="964" spans="2:4" ht="15" customHeight="1" x14ac:dyDescent="0.25">
      <c r="B964"/>
      <c r="C964"/>
      <c r="D964"/>
    </row>
    <row r="965" spans="2:4" ht="15" customHeight="1" x14ac:dyDescent="0.25">
      <c r="B965"/>
      <c r="C965"/>
      <c r="D965"/>
    </row>
    <row r="966" spans="2:4" ht="15" customHeight="1" x14ac:dyDescent="0.25">
      <c r="B966"/>
      <c r="C966"/>
      <c r="D966"/>
    </row>
    <row r="967" spans="2:4" ht="15" customHeight="1" x14ac:dyDescent="0.25">
      <c r="B967"/>
      <c r="C967"/>
      <c r="D967"/>
    </row>
    <row r="968" spans="2:4" ht="15" customHeight="1" x14ac:dyDescent="0.25">
      <c r="B968"/>
      <c r="C968"/>
      <c r="D968"/>
    </row>
    <row r="969" spans="2:4" ht="15" customHeight="1" x14ac:dyDescent="0.25">
      <c r="B969"/>
      <c r="C969"/>
      <c r="D969"/>
    </row>
    <row r="970" spans="2:4" ht="15" customHeight="1" x14ac:dyDescent="0.25">
      <c r="B970"/>
      <c r="C970"/>
      <c r="D970"/>
    </row>
    <row r="971" spans="2:4" ht="15" customHeight="1" x14ac:dyDescent="0.25">
      <c r="B971"/>
      <c r="C971"/>
      <c r="D971"/>
    </row>
    <row r="972" spans="2:4" ht="15" customHeight="1" x14ac:dyDescent="0.25">
      <c r="B972"/>
      <c r="C972"/>
      <c r="D972"/>
    </row>
    <row r="973" spans="2:4" ht="15" customHeight="1" x14ac:dyDescent="0.25">
      <c r="B973"/>
      <c r="C973"/>
      <c r="D973"/>
    </row>
    <row r="974" spans="2:4" ht="15" customHeight="1" x14ac:dyDescent="0.25">
      <c r="B974"/>
      <c r="C974"/>
      <c r="D974"/>
    </row>
    <row r="975" spans="2:4" ht="15" customHeight="1" x14ac:dyDescent="0.25">
      <c r="B975"/>
      <c r="C975"/>
      <c r="D975"/>
    </row>
    <row r="976" spans="2:4" ht="15" customHeight="1" x14ac:dyDescent="0.25">
      <c r="B976"/>
      <c r="C976"/>
      <c r="D976"/>
    </row>
    <row r="977" spans="2:4" ht="15" customHeight="1" x14ac:dyDescent="0.25">
      <c r="B977"/>
      <c r="C977"/>
      <c r="D977"/>
    </row>
    <row r="978" spans="2:4" ht="15" customHeight="1" x14ac:dyDescent="0.25">
      <c r="B978"/>
      <c r="C978"/>
      <c r="D978"/>
    </row>
    <row r="979" spans="2:4" ht="15" customHeight="1" x14ac:dyDescent="0.25">
      <c r="B979"/>
      <c r="C979"/>
      <c r="D979"/>
    </row>
    <row r="980" spans="2:4" ht="15" customHeight="1" x14ac:dyDescent="0.25">
      <c r="B980"/>
      <c r="C980"/>
      <c r="D980"/>
    </row>
    <row r="981" spans="2:4" ht="15" customHeight="1" x14ac:dyDescent="0.25">
      <c r="B981"/>
      <c r="C981"/>
      <c r="D981"/>
    </row>
    <row r="982" spans="2:4" ht="15" customHeight="1" x14ac:dyDescent="0.25">
      <c r="B982"/>
      <c r="C982"/>
      <c r="D982"/>
    </row>
    <row r="983" spans="2:4" ht="15" customHeight="1" x14ac:dyDescent="0.25">
      <c r="B983"/>
      <c r="C983"/>
      <c r="D983"/>
    </row>
    <row r="984" spans="2:4" ht="15" customHeight="1" x14ac:dyDescent="0.25">
      <c r="B984"/>
      <c r="C984"/>
      <c r="D984"/>
    </row>
    <row r="985" spans="2:4" ht="15" customHeight="1" x14ac:dyDescent="0.25">
      <c r="B985"/>
      <c r="C985"/>
      <c r="D985"/>
    </row>
    <row r="986" spans="2:4" ht="15" customHeight="1" x14ac:dyDescent="0.25">
      <c r="B986"/>
      <c r="C986"/>
      <c r="D986"/>
    </row>
    <row r="987" spans="2:4" ht="15" customHeight="1" x14ac:dyDescent="0.25">
      <c r="B987"/>
      <c r="C987"/>
      <c r="D987"/>
    </row>
    <row r="988" spans="2:4" ht="15" customHeight="1" x14ac:dyDescent="0.25">
      <c r="B988"/>
      <c r="C988"/>
      <c r="D988"/>
    </row>
    <row r="989" spans="2:4" ht="15" customHeight="1" x14ac:dyDescent="0.25">
      <c r="B989"/>
      <c r="C989"/>
      <c r="D989"/>
    </row>
    <row r="990" spans="2:4" ht="15" customHeight="1" x14ac:dyDescent="0.25">
      <c r="B990"/>
      <c r="C990"/>
      <c r="D990"/>
    </row>
    <row r="991" spans="2:4" ht="15" customHeight="1" x14ac:dyDescent="0.25">
      <c r="B991"/>
      <c r="C991"/>
      <c r="D991"/>
    </row>
    <row r="992" spans="2:4" ht="15" customHeight="1" x14ac:dyDescent="0.25">
      <c r="B992"/>
      <c r="C992"/>
      <c r="D992"/>
    </row>
    <row r="993" spans="2:4" ht="15" customHeight="1" x14ac:dyDescent="0.25">
      <c r="B993"/>
      <c r="C993"/>
      <c r="D993"/>
    </row>
    <row r="994" spans="2:4" ht="15" customHeight="1" x14ac:dyDescent="0.25">
      <c r="B994"/>
      <c r="C994"/>
      <c r="D994"/>
    </row>
    <row r="995" spans="2:4" ht="15" customHeight="1" x14ac:dyDescent="0.25">
      <c r="B995"/>
      <c r="C995"/>
      <c r="D995"/>
    </row>
    <row r="996" spans="2:4" ht="15" customHeight="1" x14ac:dyDescent="0.25">
      <c r="B996"/>
      <c r="C996"/>
      <c r="D996"/>
    </row>
    <row r="997" spans="2:4" ht="15" customHeight="1" x14ac:dyDescent="0.25">
      <c r="B997"/>
      <c r="C997"/>
      <c r="D997"/>
    </row>
    <row r="998" spans="2:4" ht="15" customHeight="1" x14ac:dyDescent="0.25">
      <c r="B998"/>
      <c r="C998"/>
      <c r="D998"/>
    </row>
    <row r="999" spans="2:4" ht="15" customHeight="1" x14ac:dyDescent="0.25">
      <c r="B999"/>
      <c r="C999"/>
      <c r="D999"/>
    </row>
    <row r="1000" spans="2:4" ht="15" customHeight="1" x14ac:dyDescent="0.25">
      <c r="B1000"/>
      <c r="C1000"/>
      <c r="D1000"/>
    </row>
    <row r="1001" spans="2:4" ht="15" customHeight="1" x14ac:dyDescent="0.25">
      <c r="B1001"/>
      <c r="C1001"/>
      <c r="D1001"/>
    </row>
    <row r="1002" spans="2:4" ht="15" customHeight="1" x14ac:dyDescent="0.25">
      <c r="B1002"/>
      <c r="C1002"/>
      <c r="D1002"/>
    </row>
    <row r="1003" spans="2:4" ht="15" customHeight="1" x14ac:dyDescent="0.25">
      <c r="B1003"/>
      <c r="C1003"/>
      <c r="D1003"/>
    </row>
    <row r="1004" spans="2:4" ht="15" customHeight="1" x14ac:dyDescent="0.25">
      <c r="B1004"/>
      <c r="C1004"/>
      <c r="D1004"/>
    </row>
    <row r="1005" spans="2:4" ht="15" customHeight="1" x14ac:dyDescent="0.25">
      <c r="B1005"/>
      <c r="C1005"/>
      <c r="D1005"/>
    </row>
    <row r="1006" spans="2:4" ht="15" customHeight="1" x14ac:dyDescent="0.25">
      <c r="B1006"/>
      <c r="C1006"/>
      <c r="D1006"/>
    </row>
    <row r="1007" spans="2:4" ht="15" customHeight="1" x14ac:dyDescent="0.25">
      <c r="B1007"/>
      <c r="C1007"/>
      <c r="D1007"/>
    </row>
    <row r="1008" spans="2:4" ht="15" customHeight="1" x14ac:dyDescent="0.25">
      <c r="B1008"/>
      <c r="C1008"/>
      <c r="D1008"/>
    </row>
    <row r="1009" spans="2:4" ht="15" customHeight="1" x14ac:dyDescent="0.25">
      <c r="B1009"/>
      <c r="C1009"/>
      <c r="D1009"/>
    </row>
    <row r="1010" spans="2:4" ht="15" customHeight="1" x14ac:dyDescent="0.25">
      <c r="B1010"/>
      <c r="C1010"/>
      <c r="D1010"/>
    </row>
    <row r="1011" spans="2:4" ht="15" customHeight="1" x14ac:dyDescent="0.25">
      <c r="B1011"/>
      <c r="C1011"/>
      <c r="D1011"/>
    </row>
    <row r="1012" spans="2:4" ht="15" customHeight="1" x14ac:dyDescent="0.25">
      <c r="B1012"/>
      <c r="C1012"/>
      <c r="D1012"/>
    </row>
    <row r="1013" spans="2:4" ht="15" customHeight="1" x14ac:dyDescent="0.25">
      <c r="B1013"/>
      <c r="C1013"/>
      <c r="D1013"/>
    </row>
    <row r="1014" spans="2:4" ht="15" customHeight="1" x14ac:dyDescent="0.25">
      <c r="B1014"/>
      <c r="C1014"/>
      <c r="D1014"/>
    </row>
    <row r="1015" spans="2:4" ht="15" customHeight="1" x14ac:dyDescent="0.25">
      <c r="B1015"/>
      <c r="C1015"/>
      <c r="D1015"/>
    </row>
    <row r="1016" spans="2:4" ht="15" customHeight="1" x14ac:dyDescent="0.25">
      <c r="B1016"/>
      <c r="C1016"/>
      <c r="D1016"/>
    </row>
    <row r="1017" spans="2:4" ht="15" customHeight="1" x14ac:dyDescent="0.25">
      <c r="B1017"/>
      <c r="C1017"/>
      <c r="D1017"/>
    </row>
    <row r="1018" spans="2:4" ht="15" customHeight="1" x14ac:dyDescent="0.25">
      <c r="B1018"/>
      <c r="C1018"/>
      <c r="D1018"/>
    </row>
    <row r="1019" spans="2:4" ht="15" customHeight="1" x14ac:dyDescent="0.25">
      <c r="B1019"/>
      <c r="C1019"/>
      <c r="D1019"/>
    </row>
    <row r="1020" spans="2:4" ht="15" customHeight="1" x14ac:dyDescent="0.25">
      <c r="B1020"/>
      <c r="C1020"/>
      <c r="D1020"/>
    </row>
    <row r="1021" spans="2:4" ht="15" customHeight="1" x14ac:dyDescent="0.25">
      <c r="B1021"/>
      <c r="C1021"/>
      <c r="D1021"/>
    </row>
    <row r="1022" spans="2:4" ht="15" customHeight="1" x14ac:dyDescent="0.25">
      <c r="B1022"/>
      <c r="C1022"/>
      <c r="D1022"/>
    </row>
    <row r="1023" spans="2:4" ht="15" customHeight="1" x14ac:dyDescent="0.25">
      <c r="B1023"/>
      <c r="C1023"/>
      <c r="D1023"/>
    </row>
    <row r="1024" spans="2:4" ht="15" customHeight="1" x14ac:dyDescent="0.25">
      <c r="B1024"/>
      <c r="C1024"/>
      <c r="D1024"/>
    </row>
    <row r="1025" spans="2:4" ht="15" customHeight="1" x14ac:dyDescent="0.25">
      <c r="B1025"/>
      <c r="C1025"/>
      <c r="D1025"/>
    </row>
    <row r="1026" spans="2:4" ht="15" customHeight="1" x14ac:dyDescent="0.25">
      <c r="B1026"/>
      <c r="C1026"/>
      <c r="D1026"/>
    </row>
    <row r="1027" spans="2:4" ht="15" customHeight="1" x14ac:dyDescent="0.25">
      <c r="B1027"/>
      <c r="C1027"/>
      <c r="D1027"/>
    </row>
    <row r="1028" spans="2:4" ht="15" customHeight="1" x14ac:dyDescent="0.25">
      <c r="B1028"/>
      <c r="C1028"/>
      <c r="D1028"/>
    </row>
    <row r="1029" spans="2:4" ht="15" customHeight="1" x14ac:dyDescent="0.25">
      <c r="B1029"/>
      <c r="C1029"/>
      <c r="D1029"/>
    </row>
    <row r="1030" spans="2:4" ht="15" customHeight="1" x14ac:dyDescent="0.25">
      <c r="B1030"/>
      <c r="C1030"/>
      <c r="D1030"/>
    </row>
    <row r="1031" spans="2:4" ht="15" customHeight="1" x14ac:dyDescent="0.25">
      <c r="B1031"/>
      <c r="C1031"/>
      <c r="D1031"/>
    </row>
    <row r="1032" spans="2:4" ht="15" customHeight="1" x14ac:dyDescent="0.25">
      <c r="B1032"/>
      <c r="C1032"/>
      <c r="D1032"/>
    </row>
    <row r="1033" spans="2:4" ht="15" customHeight="1" x14ac:dyDescent="0.25">
      <c r="B1033"/>
      <c r="C1033"/>
      <c r="D1033"/>
    </row>
    <row r="1034" spans="2:4" ht="15" customHeight="1" x14ac:dyDescent="0.25">
      <c r="B1034"/>
      <c r="C1034"/>
      <c r="D1034"/>
    </row>
    <row r="1035" spans="2:4" ht="15" customHeight="1" x14ac:dyDescent="0.25">
      <c r="B1035"/>
      <c r="C1035"/>
      <c r="D1035"/>
    </row>
    <row r="1036" spans="2:4" ht="15" customHeight="1" x14ac:dyDescent="0.25">
      <c r="B1036"/>
      <c r="C1036"/>
      <c r="D1036"/>
    </row>
    <row r="1037" spans="2:4" ht="15" customHeight="1" x14ac:dyDescent="0.25">
      <c r="B1037"/>
      <c r="C1037"/>
      <c r="D1037"/>
    </row>
    <row r="1038" spans="2:4" ht="15" customHeight="1" x14ac:dyDescent="0.25">
      <c r="B1038"/>
      <c r="C1038"/>
      <c r="D1038"/>
    </row>
    <row r="1039" spans="2:4" ht="15" customHeight="1" x14ac:dyDescent="0.25">
      <c r="B1039"/>
      <c r="C1039"/>
      <c r="D1039"/>
    </row>
    <row r="1040" spans="2:4" ht="15" customHeight="1" x14ac:dyDescent="0.25">
      <c r="B1040"/>
      <c r="C1040"/>
      <c r="D1040"/>
    </row>
    <row r="1041" spans="2:4" ht="15" customHeight="1" x14ac:dyDescent="0.25">
      <c r="B1041"/>
      <c r="C1041"/>
      <c r="D1041"/>
    </row>
    <row r="1042" spans="2:4" ht="15" customHeight="1" x14ac:dyDescent="0.25">
      <c r="B1042"/>
      <c r="C1042"/>
      <c r="D1042"/>
    </row>
    <row r="1043" spans="2:4" ht="15" customHeight="1" x14ac:dyDescent="0.25">
      <c r="B1043"/>
      <c r="C1043"/>
      <c r="D1043"/>
    </row>
    <row r="1044" spans="2:4" ht="15" customHeight="1" x14ac:dyDescent="0.25">
      <c r="B1044"/>
      <c r="C1044"/>
      <c r="D1044"/>
    </row>
    <row r="1045" spans="2:4" ht="15" customHeight="1" x14ac:dyDescent="0.25">
      <c r="B1045"/>
      <c r="C1045"/>
      <c r="D1045"/>
    </row>
    <row r="1046" spans="2:4" ht="15" customHeight="1" x14ac:dyDescent="0.25">
      <c r="B1046"/>
      <c r="C1046"/>
      <c r="D1046"/>
    </row>
    <row r="1047" spans="2:4" ht="15" customHeight="1" x14ac:dyDescent="0.25">
      <c r="B1047"/>
      <c r="C1047"/>
      <c r="D1047"/>
    </row>
    <row r="1048" spans="2:4" ht="15" customHeight="1" x14ac:dyDescent="0.25">
      <c r="B1048"/>
      <c r="C1048"/>
      <c r="D1048"/>
    </row>
    <row r="1049" spans="2:4" ht="15" customHeight="1" x14ac:dyDescent="0.25">
      <c r="B1049"/>
      <c r="C1049"/>
      <c r="D1049"/>
    </row>
    <row r="1050" spans="2:4" ht="15" customHeight="1" x14ac:dyDescent="0.25">
      <c r="B1050"/>
      <c r="C1050"/>
      <c r="D1050"/>
    </row>
    <row r="1051" spans="2:4" ht="15" customHeight="1" x14ac:dyDescent="0.25">
      <c r="B1051"/>
      <c r="C1051"/>
      <c r="D1051"/>
    </row>
    <row r="1052" spans="2:4" ht="15" customHeight="1" x14ac:dyDescent="0.25">
      <c r="B1052"/>
      <c r="C1052"/>
      <c r="D1052"/>
    </row>
    <row r="1053" spans="2:4" ht="15" customHeight="1" x14ac:dyDescent="0.25">
      <c r="B1053"/>
      <c r="C1053"/>
      <c r="D1053"/>
    </row>
    <row r="1054" spans="2:4" ht="15" customHeight="1" x14ac:dyDescent="0.25">
      <c r="B1054"/>
      <c r="C1054"/>
      <c r="D1054"/>
    </row>
    <row r="1055" spans="2:4" ht="15" customHeight="1" x14ac:dyDescent="0.25">
      <c r="B1055"/>
      <c r="C1055"/>
      <c r="D1055"/>
    </row>
    <row r="1056" spans="2:4" ht="15" customHeight="1" x14ac:dyDescent="0.25">
      <c r="B1056"/>
      <c r="C1056"/>
      <c r="D1056"/>
    </row>
    <row r="1057" spans="2:4" ht="15" customHeight="1" x14ac:dyDescent="0.25">
      <c r="B1057"/>
      <c r="C1057"/>
      <c r="D1057"/>
    </row>
    <row r="1058" spans="2:4" ht="15" customHeight="1" x14ac:dyDescent="0.25">
      <c r="B1058"/>
      <c r="C1058"/>
      <c r="D1058"/>
    </row>
    <row r="1059" spans="2:4" ht="15" customHeight="1" x14ac:dyDescent="0.25">
      <c r="B1059"/>
      <c r="C1059"/>
      <c r="D1059"/>
    </row>
    <row r="1060" spans="2:4" ht="15" customHeight="1" x14ac:dyDescent="0.25">
      <c r="B1060"/>
      <c r="C1060"/>
      <c r="D1060"/>
    </row>
    <row r="1061" spans="2:4" ht="15" customHeight="1" x14ac:dyDescent="0.25">
      <c r="B1061"/>
      <c r="C1061"/>
      <c r="D1061"/>
    </row>
    <row r="1062" spans="2:4" ht="15" customHeight="1" x14ac:dyDescent="0.25">
      <c r="B1062"/>
      <c r="C1062"/>
      <c r="D1062"/>
    </row>
    <row r="1063" spans="2:4" ht="15" customHeight="1" x14ac:dyDescent="0.25">
      <c r="B1063"/>
      <c r="C1063"/>
      <c r="D1063"/>
    </row>
    <row r="1064" spans="2:4" ht="15" customHeight="1" x14ac:dyDescent="0.25">
      <c r="B1064"/>
      <c r="C1064"/>
      <c r="D1064"/>
    </row>
    <row r="1065" spans="2:4" ht="15" customHeight="1" x14ac:dyDescent="0.25">
      <c r="B1065"/>
      <c r="C1065"/>
      <c r="D1065"/>
    </row>
    <row r="1066" spans="2:4" ht="15" customHeight="1" x14ac:dyDescent="0.25">
      <c r="B1066"/>
      <c r="C1066"/>
      <c r="D1066"/>
    </row>
    <row r="1067" spans="2:4" ht="15" customHeight="1" x14ac:dyDescent="0.25">
      <c r="B1067"/>
      <c r="C1067"/>
      <c r="D1067"/>
    </row>
    <row r="1068" spans="2:4" ht="15" customHeight="1" x14ac:dyDescent="0.25">
      <c r="B1068"/>
      <c r="C1068"/>
      <c r="D1068"/>
    </row>
    <row r="1069" spans="2:4" ht="15" customHeight="1" x14ac:dyDescent="0.25">
      <c r="B1069"/>
      <c r="C1069"/>
      <c r="D1069"/>
    </row>
    <row r="1070" spans="2:4" ht="15" customHeight="1" x14ac:dyDescent="0.25">
      <c r="B1070"/>
      <c r="C1070"/>
      <c r="D1070"/>
    </row>
    <row r="1071" spans="2:4" ht="15" customHeight="1" x14ac:dyDescent="0.25">
      <c r="B1071"/>
      <c r="C1071"/>
      <c r="D1071"/>
    </row>
    <row r="1072" spans="2:4" ht="15" customHeight="1" x14ac:dyDescent="0.25">
      <c r="B1072"/>
      <c r="C1072"/>
      <c r="D1072"/>
    </row>
    <row r="1073" spans="2:4" ht="15" customHeight="1" x14ac:dyDescent="0.25">
      <c r="B1073"/>
      <c r="C1073"/>
      <c r="D1073"/>
    </row>
    <row r="1074" spans="2:4" ht="15" customHeight="1" x14ac:dyDescent="0.25">
      <c r="B1074"/>
      <c r="C1074"/>
      <c r="D1074"/>
    </row>
    <row r="1075" spans="2:4" ht="15" customHeight="1" x14ac:dyDescent="0.25">
      <c r="B1075"/>
      <c r="C1075"/>
      <c r="D1075"/>
    </row>
    <row r="1076" spans="2:4" ht="15" customHeight="1" x14ac:dyDescent="0.25">
      <c r="B1076"/>
      <c r="C1076"/>
      <c r="D1076"/>
    </row>
    <row r="1077" spans="2:4" ht="15" customHeight="1" x14ac:dyDescent="0.25">
      <c r="B1077"/>
      <c r="C1077"/>
      <c r="D1077"/>
    </row>
    <row r="1078" spans="2:4" ht="15" customHeight="1" x14ac:dyDescent="0.25">
      <c r="B1078"/>
      <c r="C1078"/>
      <c r="D1078"/>
    </row>
    <row r="1079" spans="2:4" ht="15" customHeight="1" x14ac:dyDescent="0.25">
      <c r="B1079"/>
      <c r="C1079"/>
      <c r="D1079"/>
    </row>
    <row r="1080" spans="2:4" ht="15" customHeight="1" x14ac:dyDescent="0.25">
      <c r="B1080"/>
      <c r="C1080"/>
      <c r="D1080"/>
    </row>
    <row r="1081" spans="2:4" ht="15" customHeight="1" x14ac:dyDescent="0.25">
      <c r="B1081"/>
      <c r="C1081"/>
      <c r="D1081"/>
    </row>
    <row r="1082" spans="2:4" ht="15" customHeight="1" x14ac:dyDescent="0.25">
      <c r="B1082"/>
      <c r="C1082"/>
      <c r="D1082"/>
    </row>
    <row r="1083" spans="2:4" ht="15" customHeight="1" x14ac:dyDescent="0.25">
      <c r="B1083"/>
      <c r="C1083"/>
      <c r="D1083"/>
    </row>
    <row r="1084" spans="2:4" ht="15" customHeight="1" x14ac:dyDescent="0.25">
      <c r="B1084"/>
      <c r="C1084"/>
      <c r="D1084"/>
    </row>
    <row r="1085" spans="2:4" ht="15" customHeight="1" x14ac:dyDescent="0.25">
      <c r="B1085"/>
      <c r="C1085"/>
      <c r="D1085"/>
    </row>
    <row r="1086" spans="2:4" ht="15" customHeight="1" x14ac:dyDescent="0.25">
      <c r="B1086"/>
      <c r="C1086"/>
      <c r="D1086"/>
    </row>
    <row r="1087" spans="2:4" ht="15" customHeight="1" x14ac:dyDescent="0.25">
      <c r="B1087"/>
      <c r="C1087"/>
      <c r="D1087"/>
    </row>
    <row r="1088" spans="2:4" ht="15" customHeight="1" x14ac:dyDescent="0.25">
      <c r="B1088"/>
      <c r="C1088"/>
      <c r="D1088"/>
    </row>
    <row r="1089" spans="2:4" ht="15" customHeight="1" x14ac:dyDescent="0.25">
      <c r="B1089"/>
      <c r="C1089"/>
      <c r="D1089"/>
    </row>
    <row r="1090" spans="2:4" ht="15" customHeight="1" x14ac:dyDescent="0.25">
      <c r="B1090"/>
      <c r="C1090"/>
      <c r="D1090"/>
    </row>
    <row r="1091" spans="2:4" ht="15" customHeight="1" x14ac:dyDescent="0.25">
      <c r="B1091"/>
      <c r="C1091"/>
      <c r="D1091"/>
    </row>
    <row r="1092" spans="2:4" ht="15" customHeight="1" x14ac:dyDescent="0.25">
      <c r="B1092"/>
      <c r="C1092"/>
      <c r="D1092"/>
    </row>
    <row r="1093" spans="2:4" ht="15" customHeight="1" x14ac:dyDescent="0.25">
      <c r="B1093"/>
      <c r="C1093"/>
      <c r="D1093"/>
    </row>
    <row r="1094" spans="2:4" ht="15" customHeight="1" x14ac:dyDescent="0.25">
      <c r="B1094"/>
      <c r="C1094"/>
      <c r="D1094"/>
    </row>
    <row r="1095" spans="2:4" ht="15" customHeight="1" x14ac:dyDescent="0.25">
      <c r="B1095"/>
      <c r="C1095"/>
      <c r="D1095"/>
    </row>
    <row r="1096" spans="2:4" ht="15" customHeight="1" x14ac:dyDescent="0.25">
      <c r="B1096"/>
      <c r="C1096"/>
      <c r="D1096"/>
    </row>
    <row r="1097" spans="2:4" ht="15" customHeight="1" x14ac:dyDescent="0.25">
      <c r="B1097"/>
      <c r="C1097"/>
      <c r="D1097"/>
    </row>
    <row r="1098" spans="2:4" ht="15" customHeight="1" x14ac:dyDescent="0.25">
      <c r="B1098"/>
      <c r="C1098"/>
      <c r="D1098"/>
    </row>
    <row r="1099" spans="2:4" ht="15" customHeight="1" x14ac:dyDescent="0.25">
      <c r="B1099"/>
      <c r="C1099"/>
      <c r="D1099"/>
    </row>
    <row r="1100" spans="2:4" ht="15" customHeight="1" x14ac:dyDescent="0.25">
      <c r="B1100"/>
      <c r="C1100"/>
      <c r="D1100"/>
    </row>
    <row r="1101" spans="2:4" ht="15" customHeight="1" x14ac:dyDescent="0.25">
      <c r="B1101"/>
      <c r="C1101"/>
      <c r="D1101"/>
    </row>
    <row r="1102" spans="2:4" ht="15" customHeight="1" x14ac:dyDescent="0.25">
      <c r="B1102"/>
      <c r="C1102"/>
      <c r="D1102"/>
    </row>
    <row r="1103" spans="2:4" ht="15" customHeight="1" x14ac:dyDescent="0.25">
      <c r="B1103"/>
      <c r="C1103"/>
      <c r="D1103"/>
    </row>
    <row r="1104" spans="2:4" ht="15" customHeight="1" x14ac:dyDescent="0.25">
      <c r="B1104"/>
      <c r="C1104"/>
      <c r="D1104"/>
    </row>
    <row r="1105" spans="2:4" ht="15" customHeight="1" x14ac:dyDescent="0.25">
      <c r="B1105"/>
      <c r="C1105"/>
      <c r="D1105"/>
    </row>
    <row r="1106" spans="2:4" ht="15" customHeight="1" x14ac:dyDescent="0.25">
      <c r="B1106"/>
      <c r="C1106"/>
      <c r="D1106"/>
    </row>
    <row r="1107" spans="2:4" ht="15" customHeight="1" x14ac:dyDescent="0.25">
      <c r="B1107"/>
      <c r="C1107"/>
      <c r="D1107"/>
    </row>
    <row r="1108" spans="2:4" ht="15" customHeight="1" x14ac:dyDescent="0.25">
      <c r="B1108"/>
      <c r="C1108"/>
      <c r="D1108"/>
    </row>
    <row r="1109" spans="2:4" ht="15" customHeight="1" x14ac:dyDescent="0.25">
      <c r="B1109"/>
      <c r="C1109"/>
      <c r="D1109"/>
    </row>
    <row r="1110" spans="2:4" ht="15" customHeight="1" x14ac:dyDescent="0.25">
      <c r="B1110"/>
      <c r="C1110"/>
      <c r="D1110"/>
    </row>
    <row r="1111" spans="2:4" ht="15" customHeight="1" x14ac:dyDescent="0.25">
      <c r="B1111"/>
      <c r="C1111"/>
      <c r="D1111"/>
    </row>
    <row r="1112" spans="2:4" ht="15" customHeight="1" x14ac:dyDescent="0.25">
      <c r="B1112"/>
      <c r="C1112"/>
      <c r="D1112"/>
    </row>
    <row r="1113" spans="2:4" ht="15" customHeight="1" x14ac:dyDescent="0.25">
      <c r="B1113"/>
      <c r="C1113"/>
      <c r="D1113"/>
    </row>
    <row r="1114" spans="2:4" ht="15" customHeight="1" x14ac:dyDescent="0.25">
      <c r="B1114"/>
      <c r="C1114"/>
      <c r="D1114"/>
    </row>
    <row r="1115" spans="2:4" ht="15" customHeight="1" x14ac:dyDescent="0.25">
      <c r="B1115"/>
      <c r="C1115"/>
      <c r="D1115"/>
    </row>
    <row r="1116" spans="2:4" ht="15" customHeight="1" x14ac:dyDescent="0.25">
      <c r="B1116"/>
      <c r="C1116"/>
      <c r="D1116"/>
    </row>
    <row r="1117" spans="2:4" ht="15" customHeight="1" x14ac:dyDescent="0.25">
      <c r="B1117"/>
      <c r="C1117"/>
      <c r="D1117"/>
    </row>
    <row r="1118" spans="2:4" ht="15" customHeight="1" x14ac:dyDescent="0.25">
      <c r="B1118"/>
      <c r="C1118"/>
      <c r="D1118"/>
    </row>
    <row r="1119" spans="2:4" ht="15" customHeight="1" x14ac:dyDescent="0.25">
      <c r="B1119"/>
      <c r="C1119"/>
      <c r="D1119"/>
    </row>
    <row r="1120" spans="2:4" ht="15" customHeight="1" x14ac:dyDescent="0.25">
      <c r="B1120"/>
      <c r="C1120"/>
      <c r="D1120"/>
    </row>
    <row r="1121" spans="2:4" ht="15" customHeight="1" x14ac:dyDescent="0.25">
      <c r="B1121"/>
      <c r="C1121"/>
      <c r="D1121"/>
    </row>
    <row r="1122" spans="2:4" ht="15" customHeight="1" x14ac:dyDescent="0.25">
      <c r="B1122"/>
      <c r="C1122"/>
      <c r="D1122"/>
    </row>
    <row r="1123" spans="2:4" ht="15" customHeight="1" x14ac:dyDescent="0.25">
      <c r="B1123"/>
      <c r="C1123"/>
      <c r="D1123"/>
    </row>
    <row r="1124" spans="2:4" ht="15" customHeight="1" x14ac:dyDescent="0.25">
      <c r="B1124"/>
      <c r="C1124"/>
      <c r="D1124"/>
    </row>
    <row r="1125" spans="2:4" ht="15" customHeight="1" x14ac:dyDescent="0.25">
      <c r="B1125"/>
      <c r="C1125"/>
      <c r="D1125"/>
    </row>
    <row r="1126" spans="2:4" ht="15" customHeight="1" x14ac:dyDescent="0.25">
      <c r="B1126"/>
      <c r="C1126"/>
      <c r="D1126"/>
    </row>
    <row r="1127" spans="2:4" ht="15" customHeight="1" x14ac:dyDescent="0.25">
      <c r="B1127"/>
      <c r="C1127"/>
      <c r="D1127"/>
    </row>
    <row r="1128" spans="2:4" ht="15" customHeight="1" x14ac:dyDescent="0.25">
      <c r="B1128"/>
      <c r="C1128"/>
      <c r="D1128"/>
    </row>
    <row r="1129" spans="2:4" ht="15" customHeight="1" x14ac:dyDescent="0.25">
      <c r="B1129"/>
      <c r="C1129"/>
      <c r="D1129"/>
    </row>
    <row r="1130" spans="2:4" ht="15" customHeight="1" x14ac:dyDescent="0.25">
      <c r="B1130"/>
      <c r="C1130"/>
      <c r="D1130"/>
    </row>
    <row r="1131" spans="2:4" ht="15" customHeight="1" x14ac:dyDescent="0.25">
      <c r="B1131"/>
      <c r="C1131"/>
      <c r="D1131"/>
    </row>
    <row r="1132" spans="2:4" ht="15" customHeight="1" x14ac:dyDescent="0.25">
      <c r="B1132"/>
      <c r="C1132"/>
      <c r="D1132"/>
    </row>
    <row r="1133" spans="2:4" ht="15" customHeight="1" x14ac:dyDescent="0.25">
      <c r="B1133"/>
      <c r="C1133"/>
      <c r="D1133"/>
    </row>
    <row r="1134" spans="2:4" ht="15" customHeight="1" x14ac:dyDescent="0.25">
      <c r="B1134"/>
      <c r="C1134"/>
      <c r="D1134"/>
    </row>
    <row r="1135" spans="2:4" ht="15" customHeight="1" x14ac:dyDescent="0.25">
      <c r="B1135"/>
      <c r="C1135"/>
      <c r="D1135"/>
    </row>
    <row r="1136" spans="2:4" ht="15" customHeight="1" x14ac:dyDescent="0.25">
      <c r="B1136"/>
      <c r="C1136"/>
      <c r="D1136"/>
    </row>
    <row r="1137" spans="2:4" ht="15" customHeight="1" x14ac:dyDescent="0.25">
      <c r="B1137"/>
      <c r="C1137"/>
      <c r="D1137"/>
    </row>
    <row r="1138" spans="2:4" ht="15" customHeight="1" x14ac:dyDescent="0.25">
      <c r="B1138"/>
      <c r="C1138"/>
      <c r="D1138"/>
    </row>
    <row r="1139" spans="2:4" ht="15" customHeight="1" x14ac:dyDescent="0.25">
      <c r="B1139"/>
      <c r="C1139"/>
      <c r="D1139"/>
    </row>
    <row r="1140" spans="2:4" ht="15" customHeight="1" x14ac:dyDescent="0.25">
      <c r="B1140"/>
      <c r="C1140"/>
      <c r="D1140"/>
    </row>
    <row r="1141" spans="2:4" ht="15" customHeight="1" x14ac:dyDescent="0.25">
      <c r="B1141"/>
      <c r="C1141"/>
      <c r="D1141"/>
    </row>
    <row r="1142" spans="2:4" ht="15" customHeight="1" x14ac:dyDescent="0.25">
      <c r="B1142"/>
      <c r="C1142"/>
      <c r="D1142"/>
    </row>
    <row r="1143" spans="2:4" ht="15" customHeight="1" x14ac:dyDescent="0.25">
      <c r="B1143"/>
      <c r="C1143"/>
      <c r="D1143"/>
    </row>
    <row r="1144" spans="2:4" ht="15" customHeight="1" x14ac:dyDescent="0.25">
      <c r="B1144"/>
      <c r="C1144"/>
      <c r="D1144"/>
    </row>
    <row r="1145" spans="2:4" ht="15" customHeight="1" x14ac:dyDescent="0.25">
      <c r="B1145"/>
      <c r="C1145"/>
      <c r="D1145"/>
    </row>
    <row r="1146" spans="2:4" ht="15" customHeight="1" x14ac:dyDescent="0.25">
      <c r="B1146"/>
      <c r="C1146"/>
      <c r="D1146"/>
    </row>
    <row r="1147" spans="2:4" ht="15" customHeight="1" x14ac:dyDescent="0.25">
      <c r="B1147"/>
      <c r="C1147"/>
      <c r="D1147"/>
    </row>
    <row r="1148" spans="2:4" ht="15" customHeight="1" x14ac:dyDescent="0.25">
      <c r="B1148"/>
      <c r="C1148"/>
      <c r="D1148"/>
    </row>
    <row r="1149" spans="2:4" ht="15" customHeight="1" x14ac:dyDescent="0.25">
      <c r="B1149"/>
      <c r="C1149"/>
      <c r="D1149"/>
    </row>
    <row r="1150" spans="2:4" ht="15" customHeight="1" x14ac:dyDescent="0.25">
      <c r="B1150"/>
      <c r="C1150"/>
      <c r="D1150"/>
    </row>
    <row r="1151" spans="2:4" ht="15" customHeight="1" x14ac:dyDescent="0.25">
      <c r="B1151"/>
      <c r="C1151"/>
      <c r="D1151"/>
    </row>
    <row r="1152" spans="2:4" ht="15" customHeight="1" x14ac:dyDescent="0.25">
      <c r="B1152"/>
      <c r="C1152"/>
      <c r="D1152"/>
    </row>
    <row r="1153" spans="2:4" ht="15" customHeight="1" x14ac:dyDescent="0.25">
      <c r="B1153"/>
      <c r="C1153"/>
      <c r="D1153"/>
    </row>
    <row r="1154" spans="2:4" ht="15" customHeight="1" x14ac:dyDescent="0.25">
      <c r="B1154"/>
      <c r="C1154"/>
      <c r="D1154"/>
    </row>
    <row r="1155" spans="2:4" ht="15" customHeight="1" x14ac:dyDescent="0.25">
      <c r="B1155"/>
      <c r="C1155"/>
      <c r="D1155"/>
    </row>
    <row r="1156" spans="2:4" ht="15" customHeight="1" x14ac:dyDescent="0.25">
      <c r="B1156"/>
      <c r="C1156"/>
      <c r="D1156"/>
    </row>
    <row r="1157" spans="2:4" ht="15" customHeight="1" x14ac:dyDescent="0.25">
      <c r="B1157"/>
      <c r="C1157"/>
      <c r="D1157"/>
    </row>
    <row r="1158" spans="2:4" ht="15" customHeight="1" x14ac:dyDescent="0.25">
      <c r="B1158"/>
      <c r="C1158"/>
      <c r="D1158"/>
    </row>
    <row r="1159" spans="2:4" ht="15" customHeight="1" x14ac:dyDescent="0.25">
      <c r="B1159"/>
      <c r="C1159"/>
      <c r="D1159"/>
    </row>
    <row r="1160" spans="2:4" ht="15" customHeight="1" x14ac:dyDescent="0.25">
      <c r="B1160"/>
      <c r="C1160"/>
      <c r="D1160"/>
    </row>
    <row r="1161" spans="2:4" ht="15" customHeight="1" x14ac:dyDescent="0.25">
      <c r="B1161"/>
      <c r="C1161"/>
      <c r="D1161"/>
    </row>
    <row r="1162" spans="2:4" ht="15" customHeight="1" x14ac:dyDescent="0.25">
      <c r="B1162"/>
      <c r="C1162"/>
      <c r="D1162"/>
    </row>
    <row r="1163" spans="2:4" ht="15" customHeight="1" x14ac:dyDescent="0.25">
      <c r="B1163"/>
      <c r="C1163"/>
      <c r="D1163"/>
    </row>
    <row r="1164" spans="2:4" ht="15" customHeight="1" x14ac:dyDescent="0.25">
      <c r="B1164"/>
      <c r="C1164"/>
      <c r="D1164"/>
    </row>
    <row r="1165" spans="2:4" ht="15" customHeight="1" x14ac:dyDescent="0.25">
      <c r="B1165"/>
      <c r="C1165"/>
      <c r="D1165"/>
    </row>
    <row r="1166" spans="2:4" ht="15" customHeight="1" x14ac:dyDescent="0.25">
      <c r="B1166"/>
      <c r="C1166"/>
      <c r="D1166"/>
    </row>
    <row r="1167" spans="2:4" ht="15" customHeight="1" x14ac:dyDescent="0.25">
      <c r="B1167"/>
      <c r="C1167"/>
      <c r="D1167"/>
    </row>
    <row r="1168" spans="2:4" ht="15" customHeight="1" x14ac:dyDescent="0.25">
      <c r="B1168"/>
      <c r="C1168"/>
      <c r="D1168"/>
    </row>
    <row r="1169" spans="2:4" ht="15" customHeight="1" x14ac:dyDescent="0.25">
      <c r="B1169"/>
      <c r="C1169"/>
      <c r="D1169"/>
    </row>
    <row r="1170" spans="2:4" ht="15" customHeight="1" x14ac:dyDescent="0.25">
      <c r="B1170"/>
      <c r="C1170"/>
      <c r="D1170"/>
    </row>
    <row r="1171" spans="2:4" ht="15" customHeight="1" x14ac:dyDescent="0.25">
      <c r="B1171"/>
      <c r="C1171"/>
      <c r="D1171"/>
    </row>
    <row r="1172" spans="2:4" ht="15" customHeight="1" x14ac:dyDescent="0.25">
      <c r="B1172"/>
      <c r="C1172"/>
      <c r="D1172"/>
    </row>
    <row r="1173" spans="2:4" ht="15" customHeight="1" x14ac:dyDescent="0.25">
      <c r="B1173"/>
      <c r="C1173"/>
      <c r="D1173"/>
    </row>
    <row r="1174" spans="2:4" ht="15" customHeight="1" x14ac:dyDescent="0.25">
      <c r="B1174"/>
      <c r="C1174"/>
      <c r="D1174"/>
    </row>
    <row r="1175" spans="2:4" ht="15" customHeight="1" x14ac:dyDescent="0.25">
      <c r="B1175"/>
      <c r="C1175"/>
      <c r="D1175"/>
    </row>
    <row r="1176" spans="2:4" ht="15" customHeight="1" x14ac:dyDescent="0.25">
      <c r="B1176"/>
      <c r="C1176"/>
      <c r="D1176"/>
    </row>
    <row r="1177" spans="2:4" ht="15" customHeight="1" x14ac:dyDescent="0.25">
      <c r="B1177"/>
      <c r="C1177"/>
      <c r="D1177"/>
    </row>
    <row r="1178" spans="2:4" ht="15" customHeight="1" x14ac:dyDescent="0.25">
      <c r="B1178"/>
      <c r="C1178"/>
      <c r="D1178"/>
    </row>
    <row r="1179" spans="2:4" ht="15" customHeight="1" x14ac:dyDescent="0.25">
      <c r="B1179"/>
      <c r="C1179"/>
      <c r="D1179"/>
    </row>
    <row r="1180" spans="2:4" ht="15" customHeight="1" x14ac:dyDescent="0.25">
      <c r="B1180"/>
      <c r="C1180"/>
      <c r="D1180"/>
    </row>
    <row r="1181" spans="2:4" ht="15" customHeight="1" x14ac:dyDescent="0.25">
      <c r="B1181"/>
      <c r="C1181"/>
      <c r="D1181"/>
    </row>
    <row r="1182" spans="2:4" ht="15" customHeight="1" x14ac:dyDescent="0.25">
      <c r="B1182"/>
      <c r="C1182"/>
      <c r="D1182"/>
    </row>
    <row r="1183" spans="2:4" ht="15" customHeight="1" x14ac:dyDescent="0.25">
      <c r="B1183"/>
      <c r="C1183"/>
      <c r="D1183"/>
    </row>
    <row r="1184" spans="2:4" ht="15" customHeight="1" x14ac:dyDescent="0.25">
      <c r="B1184"/>
      <c r="C1184"/>
      <c r="D1184"/>
    </row>
    <row r="1185" spans="2:4" ht="15" customHeight="1" x14ac:dyDescent="0.25">
      <c r="B1185"/>
      <c r="C1185"/>
      <c r="D1185"/>
    </row>
    <row r="1186" spans="2:4" ht="15" customHeight="1" x14ac:dyDescent="0.25">
      <c r="B1186"/>
      <c r="C1186"/>
      <c r="D1186"/>
    </row>
    <row r="1187" spans="2:4" ht="15" customHeight="1" x14ac:dyDescent="0.25">
      <c r="B1187"/>
      <c r="C1187"/>
      <c r="D1187"/>
    </row>
    <row r="1188" spans="2:4" ht="15" customHeight="1" x14ac:dyDescent="0.25">
      <c r="B1188"/>
      <c r="C1188"/>
      <c r="D1188"/>
    </row>
    <row r="1189" spans="2:4" ht="15" customHeight="1" x14ac:dyDescent="0.25">
      <c r="B1189"/>
      <c r="C1189"/>
      <c r="D1189"/>
    </row>
    <row r="1190" spans="2:4" ht="15" customHeight="1" x14ac:dyDescent="0.25">
      <c r="B1190"/>
      <c r="C1190"/>
      <c r="D1190"/>
    </row>
    <row r="1191" spans="2:4" ht="15" customHeight="1" x14ac:dyDescent="0.25">
      <c r="B1191"/>
      <c r="C1191"/>
      <c r="D1191"/>
    </row>
    <row r="1192" spans="2:4" ht="15" customHeight="1" x14ac:dyDescent="0.25">
      <c r="B1192"/>
      <c r="C1192"/>
      <c r="D1192"/>
    </row>
    <row r="1193" spans="2:4" ht="15" customHeight="1" x14ac:dyDescent="0.25">
      <c r="B1193"/>
      <c r="C1193"/>
      <c r="D1193"/>
    </row>
    <row r="1194" spans="2:4" ht="15" customHeight="1" x14ac:dyDescent="0.25">
      <c r="B1194"/>
      <c r="C1194"/>
      <c r="D1194"/>
    </row>
    <row r="1195" spans="2:4" ht="15" customHeight="1" x14ac:dyDescent="0.25">
      <c r="B1195"/>
      <c r="C1195"/>
      <c r="D1195"/>
    </row>
    <row r="1196" spans="2:4" ht="15" customHeight="1" x14ac:dyDescent="0.25">
      <c r="B1196"/>
      <c r="C1196"/>
      <c r="D1196"/>
    </row>
    <row r="1197" spans="2:4" ht="15" customHeight="1" x14ac:dyDescent="0.25">
      <c r="B1197"/>
      <c r="C1197"/>
      <c r="D1197"/>
    </row>
    <row r="1198" spans="2:4" ht="15" customHeight="1" x14ac:dyDescent="0.25">
      <c r="B1198"/>
      <c r="C1198"/>
      <c r="D1198"/>
    </row>
    <row r="1199" spans="2:4" ht="15" customHeight="1" x14ac:dyDescent="0.25">
      <c r="B1199"/>
      <c r="C1199"/>
      <c r="D1199"/>
    </row>
    <row r="1200" spans="2:4" ht="15" customHeight="1" x14ac:dyDescent="0.25">
      <c r="B1200"/>
      <c r="C1200"/>
      <c r="D1200"/>
    </row>
    <row r="1201" spans="2:4" ht="15" customHeight="1" x14ac:dyDescent="0.25">
      <c r="B1201"/>
      <c r="C1201"/>
      <c r="D1201"/>
    </row>
    <row r="1202" spans="2:4" ht="15" customHeight="1" x14ac:dyDescent="0.25">
      <c r="B1202"/>
      <c r="C1202"/>
      <c r="D1202"/>
    </row>
    <row r="1203" spans="2:4" ht="15" customHeight="1" x14ac:dyDescent="0.25">
      <c r="B1203"/>
      <c r="C1203"/>
      <c r="D1203"/>
    </row>
    <row r="1204" spans="2:4" ht="15" customHeight="1" x14ac:dyDescent="0.25">
      <c r="B1204"/>
      <c r="C1204"/>
      <c r="D1204"/>
    </row>
    <row r="1205" spans="2:4" ht="15" customHeight="1" x14ac:dyDescent="0.25">
      <c r="B1205"/>
      <c r="C1205"/>
      <c r="D1205"/>
    </row>
    <row r="1206" spans="2:4" ht="15" customHeight="1" x14ac:dyDescent="0.25">
      <c r="B1206"/>
      <c r="C1206"/>
      <c r="D1206"/>
    </row>
    <row r="1207" spans="2:4" ht="15" customHeight="1" x14ac:dyDescent="0.25">
      <c r="B1207"/>
      <c r="C1207"/>
      <c r="D1207"/>
    </row>
    <row r="1208" spans="2:4" ht="15" customHeight="1" x14ac:dyDescent="0.25">
      <c r="B1208"/>
      <c r="C1208"/>
      <c r="D1208"/>
    </row>
    <row r="1209" spans="2:4" ht="15" customHeight="1" x14ac:dyDescent="0.25">
      <c r="B1209"/>
      <c r="C1209"/>
      <c r="D1209"/>
    </row>
    <row r="1210" spans="2:4" ht="15" customHeight="1" x14ac:dyDescent="0.25">
      <c r="B1210"/>
      <c r="C1210"/>
      <c r="D1210"/>
    </row>
    <row r="1211" spans="2:4" ht="15" customHeight="1" x14ac:dyDescent="0.25">
      <c r="B1211"/>
      <c r="C1211"/>
      <c r="D1211"/>
    </row>
    <row r="1212" spans="2:4" ht="15" customHeight="1" x14ac:dyDescent="0.25">
      <c r="B1212"/>
      <c r="C1212"/>
      <c r="D1212"/>
    </row>
    <row r="1213" spans="2:4" ht="15" customHeight="1" x14ac:dyDescent="0.25">
      <c r="B1213"/>
      <c r="C1213"/>
      <c r="D1213"/>
    </row>
    <row r="1214" spans="2:4" ht="15" customHeight="1" x14ac:dyDescent="0.25">
      <c r="B1214"/>
      <c r="C1214"/>
      <c r="D1214"/>
    </row>
    <row r="1215" spans="2:4" ht="15" customHeight="1" x14ac:dyDescent="0.25">
      <c r="B1215"/>
      <c r="C1215"/>
      <c r="D1215"/>
    </row>
    <row r="1216" spans="2:4" ht="15" customHeight="1" x14ac:dyDescent="0.25">
      <c r="B1216"/>
      <c r="C1216"/>
      <c r="D1216"/>
    </row>
    <row r="1217" spans="2:4" ht="15" customHeight="1" x14ac:dyDescent="0.25">
      <c r="B1217"/>
      <c r="C1217"/>
      <c r="D1217"/>
    </row>
    <row r="1218" spans="2:4" ht="15" customHeight="1" x14ac:dyDescent="0.25">
      <c r="B1218"/>
      <c r="C1218"/>
      <c r="D1218"/>
    </row>
    <row r="1219" spans="2:4" ht="15" customHeight="1" x14ac:dyDescent="0.25">
      <c r="B1219"/>
      <c r="C1219"/>
      <c r="D1219"/>
    </row>
    <row r="1220" spans="2:4" ht="15" customHeight="1" x14ac:dyDescent="0.25">
      <c r="B1220"/>
      <c r="C1220"/>
      <c r="D1220"/>
    </row>
    <row r="1221" spans="2:4" ht="15" customHeight="1" x14ac:dyDescent="0.25">
      <c r="B1221"/>
      <c r="C1221"/>
      <c r="D1221"/>
    </row>
    <row r="1222" spans="2:4" ht="15" customHeight="1" x14ac:dyDescent="0.25">
      <c r="B1222"/>
      <c r="C1222"/>
      <c r="D1222"/>
    </row>
    <row r="1223" spans="2:4" ht="15" customHeight="1" x14ac:dyDescent="0.25">
      <c r="B1223"/>
      <c r="C1223"/>
      <c r="D1223"/>
    </row>
    <row r="1224" spans="2:4" ht="15" customHeight="1" x14ac:dyDescent="0.25">
      <c r="B1224"/>
      <c r="C1224"/>
      <c r="D1224"/>
    </row>
    <row r="1225" spans="2:4" ht="15" customHeight="1" x14ac:dyDescent="0.25">
      <c r="B1225"/>
      <c r="C1225"/>
      <c r="D1225"/>
    </row>
    <row r="1226" spans="2:4" ht="15" customHeight="1" x14ac:dyDescent="0.25">
      <c r="B1226"/>
      <c r="C1226"/>
      <c r="D1226"/>
    </row>
    <row r="1227" spans="2:4" ht="15" customHeight="1" x14ac:dyDescent="0.25">
      <c r="B1227"/>
      <c r="C1227"/>
      <c r="D1227"/>
    </row>
    <row r="1228" spans="2:4" ht="15" customHeight="1" x14ac:dyDescent="0.25">
      <c r="B1228"/>
      <c r="C1228"/>
      <c r="D1228"/>
    </row>
    <row r="1229" spans="2:4" ht="15" customHeight="1" x14ac:dyDescent="0.25">
      <c r="B1229"/>
      <c r="C1229"/>
      <c r="D1229"/>
    </row>
    <row r="1230" spans="2:4" ht="15" customHeight="1" x14ac:dyDescent="0.25">
      <c r="B1230"/>
      <c r="C1230"/>
      <c r="D1230"/>
    </row>
    <row r="1231" spans="2:4" ht="15" customHeight="1" x14ac:dyDescent="0.25">
      <c r="B1231"/>
      <c r="C1231"/>
      <c r="D1231"/>
    </row>
    <row r="1232" spans="2:4" ht="15" customHeight="1" x14ac:dyDescent="0.25">
      <c r="B1232"/>
      <c r="C1232"/>
      <c r="D1232"/>
    </row>
    <row r="1233" spans="2:4" ht="15" customHeight="1" x14ac:dyDescent="0.25">
      <c r="B1233"/>
      <c r="C1233"/>
      <c r="D1233"/>
    </row>
    <row r="1234" spans="2:4" ht="15" customHeight="1" x14ac:dyDescent="0.25">
      <c r="B1234"/>
      <c r="C1234"/>
      <c r="D1234"/>
    </row>
    <row r="1235" spans="2:4" ht="15" customHeight="1" x14ac:dyDescent="0.25">
      <c r="B1235"/>
      <c r="C1235"/>
      <c r="D1235"/>
    </row>
    <row r="1236" spans="2:4" ht="15" customHeight="1" x14ac:dyDescent="0.25">
      <c r="B1236"/>
      <c r="C1236"/>
      <c r="D1236"/>
    </row>
    <row r="1237" spans="2:4" ht="15" customHeight="1" x14ac:dyDescent="0.25">
      <c r="B1237"/>
      <c r="C1237"/>
      <c r="D1237"/>
    </row>
    <row r="1238" spans="2:4" ht="15" customHeight="1" x14ac:dyDescent="0.25">
      <c r="B1238"/>
      <c r="C1238"/>
      <c r="D1238"/>
    </row>
    <row r="1239" spans="2:4" ht="15" customHeight="1" x14ac:dyDescent="0.25">
      <c r="B1239"/>
      <c r="C1239"/>
      <c r="D1239"/>
    </row>
    <row r="1240" spans="2:4" ht="15" customHeight="1" x14ac:dyDescent="0.25">
      <c r="B1240"/>
      <c r="C1240"/>
      <c r="D1240"/>
    </row>
    <row r="1241" spans="2:4" ht="15" customHeight="1" x14ac:dyDescent="0.25">
      <c r="B1241"/>
      <c r="C1241"/>
      <c r="D1241"/>
    </row>
    <row r="1242" spans="2:4" ht="15" customHeight="1" x14ac:dyDescent="0.25">
      <c r="B1242"/>
      <c r="C1242"/>
      <c r="D1242"/>
    </row>
    <row r="1243" spans="2:4" ht="15" customHeight="1" x14ac:dyDescent="0.25">
      <c r="B1243"/>
      <c r="C1243"/>
      <c r="D1243"/>
    </row>
    <row r="1244" spans="2:4" ht="15" customHeight="1" x14ac:dyDescent="0.25">
      <c r="B1244"/>
      <c r="C1244"/>
      <c r="D1244"/>
    </row>
    <row r="1245" spans="2:4" ht="15" customHeight="1" x14ac:dyDescent="0.25">
      <c r="B1245"/>
      <c r="C1245"/>
      <c r="D1245"/>
    </row>
    <row r="1246" spans="2:4" ht="15" customHeight="1" x14ac:dyDescent="0.25">
      <c r="B1246"/>
      <c r="C1246"/>
      <c r="D1246"/>
    </row>
    <row r="1247" spans="2:4" ht="15" customHeight="1" x14ac:dyDescent="0.25">
      <c r="B1247"/>
      <c r="C1247"/>
      <c r="D1247"/>
    </row>
    <row r="1248" spans="2:4" ht="15" customHeight="1" x14ac:dyDescent="0.25">
      <c r="B1248"/>
      <c r="C1248"/>
      <c r="D1248"/>
    </row>
    <row r="1249" spans="2:4" ht="15" customHeight="1" x14ac:dyDescent="0.25">
      <c r="B1249"/>
      <c r="C1249"/>
      <c r="D1249"/>
    </row>
    <row r="1250" spans="2:4" ht="15" customHeight="1" x14ac:dyDescent="0.25">
      <c r="B1250"/>
      <c r="C1250"/>
      <c r="D1250"/>
    </row>
    <row r="1251" spans="2:4" ht="15" customHeight="1" x14ac:dyDescent="0.25">
      <c r="B1251"/>
      <c r="C1251"/>
      <c r="D1251"/>
    </row>
    <row r="1252" spans="2:4" ht="15" customHeight="1" x14ac:dyDescent="0.25">
      <c r="B1252"/>
      <c r="C1252"/>
      <c r="D1252"/>
    </row>
    <row r="1253" spans="2:4" ht="15" customHeight="1" x14ac:dyDescent="0.25">
      <c r="B1253"/>
      <c r="C1253"/>
      <c r="D1253"/>
    </row>
    <row r="1254" spans="2:4" ht="15" customHeight="1" x14ac:dyDescent="0.25">
      <c r="B1254"/>
      <c r="C1254"/>
      <c r="D1254"/>
    </row>
    <row r="1255" spans="2:4" ht="15" customHeight="1" x14ac:dyDescent="0.25">
      <c r="B1255"/>
      <c r="C1255"/>
      <c r="D1255"/>
    </row>
    <row r="1256" spans="2:4" ht="15" customHeight="1" x14ac:dyDescent="0.25">
      <c r="B1256"/>
      <c r="C1256"/>
      <c r="D1256"/>
    </row>
    <row r="1257" spans="2:4" ht="15" customHeight="1" x14ac:dyDescent="0.25">
      <c r="B1257"/>
      <c r="C1257"/>
      <c r="D1257"/>
    </row>
    <row r="1258" spans="2:4" ht="15" customHeight="1" x14ac:dyDescent="0.25">
      <c r="B1258"/>
      <c r="C1258"/>
      <c r="D1258"/>
    </row>
    <row r="1259" spans="2:4" ht="15" customHeight="1" x14ac:dyDescent="0.25">
      <c r="B1259"/>
      <c r="C1259"/>
      <c r="D1259"/>
    </row>
    <row r="1260" spans="2:4" ht="15" customHeight="1" x14ac:dyDescent="0.25">
      <c r="B1260"/>
      <c r="C1260"/>
      <c r="D1260"/>
    </row>
    <row r="1261" spans="2:4" ht="15" customHeight="1" x14ac:dyDescent="0.25">
      <c r="B1261"/>
      <c r="C1261"/>
      <c r="D1261"/>
    </row>
    <row r="1262" spans="2:4" ht="15" customHeight="1" x14ac:dyDescent="0.25">
      <c r="B1262"/>
      <c r="C1262"/>
      <c r="D1262"/>
    </row>
    <row r="1263" spans="2:4" ht="15" customHeight="1" x14ac:dyDescent="0.25">
      <c r="B1263"/>
      <c r="C1263"/>
      <c r="D1263"/>
    </row>
    <row r="1264" spans="2:4" ht="15" customHeight="1" x14ac:dyDescent="0.25">
      <c r="B1264"/>
      <c r="C1264"/>
      <c r="D1264"/>
    </row>
    <row r="1265" spans="2:4" ht="15" customHeight="1" x14ac:dyDescent="0.25">
      <c r="B1265"/>
      <c r="C1265"/>
      <c r="D1265"/>
    </row>
    <row r="1266" spans="2:4" ht="15" customHeight="1" x14ac:dyDescent="0.25">
      <c r="B1266"/>
      <c r="C1266"/>
      <c r="D1266"/>
    </row>
    <row r="1267" spans="2:4" ht="15" customHeight="1" x14ac:dyDescent="0.25">
      <c r="B1267"/>
      <c r="C1267"/>
      <c r="D1267"/>
    </row>
    <row r="1268" spans="2:4" ht="15" customHeight="1" x14ac:dyDescent="0.25">
      <c r="B1268"/>
      <c r="C1268"/>
      <c r="D1268"/>
    </row>
    <row r="1269" spans="2:4" ht="15" customHeight="1" x14ac:dyDescent="0.25">
      <c r="B1269"/>
      <c r="C1269"/>
      <c r="D1269"/>
    </row>
    <row r="1270" spans="2:4" ht="15" customHeight="1" x14ac:dyDescent="0.25">
      <c r="B1270"/>
      <c r="C1270"/>
      <c r="D1270"/>
    </row>
    <row r="1271" spans="2:4" ht="15" customHeight="1" x14ac:dyDescent="0.25">
      <c r="B1271"/>
      <c r="C1271"/>
      <c r="D1271"/>
    </row>
    <row r="1272" spans="2:4" ht="15" customHeight="1" x14ac:dyDescent="0.25">
      <c r="B1272"/>
      <c r="C1272"/>
      <c r="D1272"/>
    </row>
    <row r="1273" spans="2:4" ht="15" customHeight="1" x14ac:dyDescent="0.25">
      <c r="B1273"/>
      <c r="C1273"/>
      <c r="D1273"/>
    </row>
    <row r="1274" spans="2:4" ht="15" customHeight="1" x14ac:dyDescent="0.25">
      <c r="B1274"/>
      <c r="C1274"/>
      <c r="D1274"/>
    </row>
    <row r="1275" spans="2:4" ht="15" customHeight="1" x14ac:dyDescent="0.25">
      <c r="B1275"/>
      <c r="C1275"/>
      <c r="D1275"/>
    </row>
    <row r="1276" spans="2:4" ht="15" customHeight="1" x14ac:dyDescent="0.25">
      <c r="B1276"/>
      <c r="C1276"/>
      <c r="D1276"/>
    </row>
    <row r="1277" spans="2:4" ht="15" customHeight="1" x14ac:dyDescent="0.25">
      <c r="B1277"/>
      <c r="C1277"/>
      <c r="D1277"/>
    </row>
    <row r="1278" spans="2:4" ht="15" customHeight="1" x14ac:dyDescent="0.25">
      <c r="B1278"/>
      <c r="C1278"/>
      <c r="D1278"/>
    </row>
    <row r="1279" spans="2:4" ht="15" customHeight="1" x14ac:dyDescent="0.25">
      <c r="B1279"/>
      <c r="C1279"/>
      <c r="D1279"/>
    </row>
    <row r="1280" spans="2:4" ht="15" customHeight="1" x14ac:dyDescent="0.25">
      <c r="B1280"/>
      <c r="C1280"/>
      <c r="D1280"/>
    </row>
    <row r="1281" spans="2:4" ht="15" customHeight="1" x14ac:dyDescent="0.25">
      <c r="B1281"/>
      <c r="C1281"/>
      <c r="D1281"/>
    </row>
    <row r="1282" spans="2:4" ht="15" customHeight="1" x14ac:dyDescent="0.25">
      <c r="B1282"/>
      <c r="C1282"/>
      <c r="D1282"/>
    </row>
    <row r="1283" spans="2:4" ht="15" customHeight="1" x14ac:dyDescent="0.25">
      <c r="B1283"/>
      <c r="C1283"/>
      <c r="D1283"/>
    </row>
    <row r="1284" spans="2:4" ht="15" customHeight="1" x14ac:dyDescent="0.25">
      <c r="B1284"/>
      <c r="C1284"/>
      <c r="D1284"/>
    </row>
    <row r="1285" spans="2:4" ht="15" customHeight="1" x14ac:dyDescent="0.25">
      <c r="B1285"/>
      <c r="C1285"/>
      <c r="D1285"/>
    </row>
    <row r="1286" spans="2:4" ht="15" customHeight="1" x14ac:dyDescent="0.25">
      <c r="B1286"/>
      <c r="C1286"/>
      <c r="D1286"/>
    </row>
    <row r="1287" spans="2:4" ht="15" customHeight="1" x14ac:dyDescent="0.25">
      <c r="B1287"/>
      <c r="C1287"/>
      <c r="D1287"/>
    </row>
    <row r="1288" spans="2:4" ht="15" customHeight="1" x14ac:dyDescent="0.25">
      <c r="B1288"/>
      <c r="C1288"/>
      <c r="D1288"/>
    </row>
    <row r="1289" spans="2:4" ht="15" customHeight="1" x14ac:dyDescent="0.25">
      <c r="B1289"/>
      <c r="C1289"/>
      <c r="D1289"/>
    </row>
    <row r="1290" spans="2:4" ht="15" customHeight="1" x14ac:dyDescent="0.25">
      <c r="B1290"/>
      <c r="C1290"/>
      <c r="D1290"/>
    </row>
    <row r="1291" spans="2:4" ht="15" customHeight="1" x14ac:dyDescent="0.25">
      <c r="B1291"/>
      <c r="C1291"/>
      <c r="D1291"/>
    </row>
    <row r="1292" spans="2:4" ht="15" customHeight="1" x14ac:dyDescent="0.25">
      <c r="B1292"/>
      <c r="C1292"/>
      <c r="D1292"/>
    </row>
    <row r="1293" spans="2:4" ht="15" customHeight="1" x14ac:dyDescent="0.25">
      <c r="B1293"/>
      <c r="C1293"/>
      <c r="D1293"/>
    </row>
    <row r="1294" spans="2:4" ht="15" customHeight="1" x14ac:dyDescent="0.25">
      <c r="B1294"/>
      <c r="C1294"/>
      <c r="D1294"/>
    </row>
    <row r="1295" spans="2:4" ht="15" customHeight="1" x14ac:dyDescent="0.25">
      <c r="B1295"/>
      <c r="C1295"/>
      <c r="D1295"/>
    </row>
    <row r="1296" spans="2:4" ht="15" customHeight="1" x14ac:dyDescent="0.25">
      <c r="B1296"/>
      <c r="C1296"/>
      <c r="D1296"/>
    </row>
    <row r="1297" spans="2:4" ht="15" customHeight="1" x14ac:dyDescent="0.25">
      <c r="B1297"/>
      <c r="C1297"/>
      <c r="D1297"/>
    </row>
    <row r="1298" spans="2:4" ht="15" customHeight="1" x14ac:dyDescent="0.25">
      <c r="B1298"/>
      <c r="C1298"/>
      <c r="D1298"/>
    </row>
    <row r="1299" spans="2:4" ht="15" customHeight="1" x14ac:dyDescent="0.25">
      <c r="B1299"/>
      <c r="C1299"/>
      <c r="D1299"/>
    </row>
    <row r="1300" spans="2:4" ht="15" customHeight="1" x14ac:dyDescent="0.25">
      <c r="B1300"/>
      <c r="C1300"/>
      <c r="D1300"/>
    </row>
    <row r="1301" spans="2:4" ht="15" customHeight="1" x14ac:dyDescent="0.25">
      <c r="B1301"/>
      <c r="C1301"/>
      <c r="D1301"/>
    </row>
    <row r="1302" spans="2:4" ht="15" customHeight="1" x14ac:dyDescent="0.25">
      <c r="B1302"/>
      <c r="C1302"/>
      <c r="D1302"/>
    </row>
    <row r="1303" spans="2:4" ht="15" customHeight="1" x14ac:dyDescent="0.25">
      <c r="B1303"/>
      <c r="C1303"/>
      <c r="D1303"/>
    </row>
    <row r="1304" spans="2:4" ht="15" customHeight="1" x14ac:dyDescent="0.25">
      <c r="B1304"/>
      <c r="C1304"/>
      <c r="D1304"/>
    </row>
    <row r="1305" spans="2:4" ht="15" customHeight="1" x14ac:dyDescent="0.25">
      <c r="B1305"/>
      <c r="C1305"/>
      <c r="D1305"/>
    </row>
    <row r="1306" spans="2:4" ht="15" customHeight="1" x14ac:dyDescent="0.25">
      <c r="B1306"/>
      <c r="C1306"/>
      <c r="D1306"/>
    </row>
    <row r="1307" spans="2:4" ht="15" customHeight="1" x14ac:dyDescent="0.25">
      <c r="B1307"/>
      <c r="C1307"/>
      <c r="D1307"/>
    </row>
    <row r="1308" spans="2:4" ht="15" customHeight="1" x14ac:dyDescent="0.25">
      <c r="B1308"/>
      <c r="C1308"/>
      <c r="D1308"/>
    </row>
    <row r="1309" spans="2:4" ht="15" customHeight="1" x14ac:dyDescent="0.25">
      <c r="B1309"/>
      <c r="C1309"/>
      <c r="D1309"/>
    </row>
    <row r="1310" spans="2:4" ht="15" customHeight="1" x14ac:dyDescent="0.25">
      <c r="B1310"/>
      <c r="C1310"/>
      <c r="D1310"/>
    </row>
    <row r="1311" spans="2:4" ht="15" customHeight="1" x14ac:dyDescent="0.25">
      <c r="B1311"/>
      <c r="C1311"/>
      <c r="D1311"/>
    </row>
    <row r="1312" spans="2:4" ht="15" customHeight="1" x14ac:dyDescent="0.25">
      <c r="B1312"/>
      <c r="C1312"/>
      <c r="D1312"/>
    </row>
    <row r="1313" spans="2:4" ht="15" customHeight="1" x14ac:dyDescent="0.25">
      <c r="B1313"/>
      <c r="C1313"/>
      <c r="D1313"/>
    </row>
    <row r="1314" spans="2:4" ht="15" customHeight="1" x14ac:dyDescent="0.25">
      <c r="B1314"/>
      <c r="C1314"/>
      <c r="D1314"/>
    </row>
    <row r="1315" spans="2:4" ht="15" customHeight="1" x14ac:dyDescent="0.25">
      <c r="B1315"/>
      <c r="C1315"/>
      <c r="D1315"/>
    </row>
    <row r="1316" spans="2:4" ht="15" customHeight="1" x14ac:dyDescent="0.25">
      <c r="B1316"/>
      <c r="C1316"/>
      <c r="D1316"/>
    </row>
    <row r="1317" spans="2:4" ht="15" customHeight="1" x14ac:dyDescent="0.25">
      <c r="B1317"/>
      <c r="C1317"/>
      <c r="D1317"/>
    </row>
    <row r="1318" spans="2:4" ht="15" customHeight="1" x14ac:dyDescent="0.25">
      <c r="B1318"/>
      <c r="C1318"/>
      <c r="D1318"/>
    </row>
    <row r="1319" spans="2:4" ht="15" customHeight="1" x14ac:dyDescent="0.25">
      <c r="B1319"/>
      <c r="C1319"/>
      <c r="D1319"/>
    </row>
    <row r="1320" spans="2:4" ht="15" customHeight="1" x14ac:dyDescent="0.25">
      <c r="B1320"/>
      <c r="C1320"/>
      <c r="D1320"/>
    </row>
    <row r="1321" spans="2:4" ht="15" customHeight="1" x14ac:dyDescent="0.25">
      <c r="B1321"/>
      <c r="C1321"/>
      <c r="D1321"/>
    </row>
    <row r="1322" spans="2:4" ht="15" customHeight="1" x14ac:dyDescent="0.25">
      <c r="B1322"/>
      <c r="C1322"/>
      <c r="D1322"/>
    </row>
    <row r="1323" spans="2:4" ht="15" customHeight="1" x14ac:dyDescent="0.25">
      <c r="B1323"/>
      <c r="C1323"/>
      <c r="D1323"/>
    </row>
    <row r="1324" spans="2:4" ht="15" customHeight="1" x14ac:dyDescent="0.25">
      <c r="B1324"/>
      <c r="C1324"/>
      <c r="D1324"/>
    </row>
    <row r="1325" spans="2:4" ht="15" customHeight="1" x14ac:dyDescent="0.25">
      <c r="B1325"/>
      <c r="C1325"/>
      <c r="D1325"/>
    </row>
    <row r="1326" spans="2:4" ht="15" customHeight="1" x14ac:dyDescent="0.25">
      <c r="B1326"/>
      <c r="C1326"/>
      <c r="D1326"/>
    </row>
    <row r="1327" spans="2:4" ht="15" customHeight="1" x14ac:dyDescent="0.25">
      <c r="B1327"/>
      <c r="C1327"/>
      <c r="D1327"/>
    </row>
    <row r="1328" spans="2:4" ht="15" customHeight="1" x14ac:dyDescent="0.25">
      <c r="B1328"/>
      <c r="C1328"/>
      <c r="D1328"/>
    </row>
    <row r="1329" spans="2:4" ht="15" customHeight="1" x14ac:dyDescent="0.25">
      <c r="B1329"/>
      <c r="C1329"/>
      <c r="D1329"/>
    </row>
    <row r="1330" spans="2:4" ht="15" customHeight="1" x14ac:dyDescent="0.25">
      <c r="B1330"/>
      <c r="C1330"/>
      <c r="D1330"/>
    </row>
    <row r="1331" spans="2:4" ht="15" customHeight="1" x14ac:dyDescent="0.25">
      <c r="B1331"/>
      <c r="C1331"/>
      <c r="D1331"/>
    </row>
    <row r="1332" spans="2:4" ht="15" customHeight="1" x14ac:dyDescent="0.25">
      <c r="B1332"/>
      <c r="C1332"/>
      <c r="D1332"/>
    </row>
    <row r="1333" spans="2:4" ht="15" customHeight="1" x14ac:dyDescent="0.25">
      <c r="B1333"/>
      <c r="C1333"/>
      <c r="D1333"/>
    </row>
    <row r="1334" spans="2:4" ht="15" customHeight="1" x14ac:dyDescent="0.25">
      <c r="B1334"/>
      <c r="C1334"/>
      <c r="D1334"/>
    </row>
    <row r="1335" spans="2:4" ht="15" customHeight="1" x14ac:dyDescent="0.25">
      <c r="B1335"/>
      <c r="C1335"/>
      <c r="D1335"/>
    </row>
    <row r="1336" spans="2:4" ht="15" customHeight="1" x14ac:dyDescent="0.25">
      <c r="B1336"/>
      <c r="C1336"/>
      <c r="D1336"/>
    </row>
    <row r="1337" spans="2:4" ht="15" customHeight="1" x14ac:dyDescent="0.25">
      <c r="B1337"/>
      <c r="C1337"/>
      <c r="D1337"/>
    </row>
    <row r="1338" spans="2:4" ht="15" customHeight="1" x14ac:dyDescent="0.25">
      <c r="B1338"/>
      <c r="C1338"/>
      <c r="D1338"/>
    </row>
    <row r="1339" spans="2:4" ht="15" customHeight="1" x14ac:dyDescent="0.25">
      <c r="B1339"/>
      <c r="C1339"/>
      <c r="D1339"/>
    </row>
    <row r="1340" spans="2:4" ht="15" customHeight="1" x14ac:dyDescent="0.25">
      <c r="B1340"/>
      <c r="C1340"/>
      <c r="D1340"/>
    </row>
    <row r="1341" spans="2:4" ht="15" customHeight="1" x14ac:dyDescent="0.25">
      <c r="B1341"/>
      <c r="C1341"/>
      <c r="D1341"/>
    </row>
    <row r="1342" spans="2:4" ht="15" customHeight="1" x14ac:dyDescent="0.25">
      <c r="B1342"/>
      <c r="C1342"/>
      <c r="D1342"/>
    </row>
    <row r="1343" spans="2:4" ht="15" customHeight="1" x14ac:dyDescent="0.25">
      <c r="B1343"/>
      <c r="C1343"/>
      <c r="D1343"/>
    </row>
    <row r="1344" spans="2:4" ht="15" customHeight="1" x14ac:dyDescent="0.25">
      <c r="B1344"/>
      <c r="C1344"/>
      <c r="D1344"/>
    </row>
    <row r="1345" spans="2:4" ht="15" customHeight="1" x14ac:dyDescent="0.25">
      <c r="B1345"/>
      <c r="C1345"/>
      <c r="D1345"/>
    </row>
    <row r="1346" spans="2:4" ht="15" customHeight="1" x14ac:dyDescent="0.25">
      <c r="B1346"/>
      <c r="C1346"/>
      <c r="D1346"/>
    </row>
    <row r="1347" spans="2:4" ht="15" customHeight="1" x14ac:dyDescent="0.25">
      <c r="B1347"/>
      <c r="C1347"/>
      <c r="D1347"/>
    </row>
    <row r="1348" spans="2:4" ht="15" customHeight="1" x14ac:dyDescent="0.25">
      <c r="B1348"/>
      <c r="C1348"/>
      <c r="D1348"/>
    </row>
    <row r="1349" spans="2:4" ht="15" customHeight="1" x14ac:dyDescent="0.25">
      <c r="B1349"/>
      <c r="C1349"/>
      <c r="D1349"/>
    </row>
    <row r="1350" spans="2:4" ht="15" customHeight="1" x14ac:dyDescent="0.25">
      <c r="B1350"/>
      <c r="C1350"/>
      <c r="D1350"/>
    </row>
    <row r="1351" spans="2:4" ht="15" customHeight="1" x14ac:dyDescent="0.25">
      <c r="B1351"/>
      <c r="C1351"/>
      <c r="D1351"/>
    </row>
    <row r="1352" spans="2:4" ht="15" customHeight="1" x14ac:dyDescent="0.25">
      <c r="B1352"/>
      <c r="C1352"/>
      <c r="D1352"/>
    </row>
    <row r="1353" spans="2:4" ht="15" customHeight="1" x14ac:dyDescent="0.25">
      <c r="B1353"/>
      <c r="C1353"/>
      <c r="D1353"/>
    </row>
    <row r="1354" spans="2:4" ht="15" customHeight="1" x14ac:dyDescent="0.25">
      <c r="B1354"/>
      <c r="C1354"/>
      <c r="D1354"/>
    </row>
    <row r="1355" spans="2:4" ht="15" customHeight="1" x14ac:dyDescent="0.25">
      <c r="B1355"/>
      <c r="C1355"/>
      <c r="D1355"/>
    </row>
    <row r="1356" spans="2:4" ht="15" customHeight="1" x14ac:dyDescent="0.25">
      <c r="B1356"/>
      <c r="C1356"/>
      <c r="D1356"/>
    </row>
    <row r="1357" spans="2:4" ht="15" customHeight="1" x14ac:dyDescent="0.25">
      <c r="B1357"/>
      <c r="C1357"/>
      <c r="D1357"/>
    </row>
    <row r="1358" spans="2:4" ht="15" customHeight="1" x14ac:dyDescent="0.25">
      <c r="B1358"/>
      <c r="C1358"/>
      <c r="D1358"/>
    </row>
    <row r="1359" spans="2:4" ht="15" customHeight="1" x14ac:dyDescent="0.25">
      <c r="B1359"/>
      <c r="C1359"/>
      <c r="D1359"/>
    </row>
    <row r="1360" spans="2:4" ht="15" customHeight="1" x14ac:dyDescent="0.25">
      <c r="B1360"/>
      <c r="C1360"/>
      <c r="D1360"/>
    </row>
    <row r="1361" spans="2:4" ht="15" customHeight="1" x14ac:dyDescent="0.25">
      <c r="B1361"/>
      <c r="C1361"/>
      <c r="D1361"/>
    </row>
    <row r="1362" spans="2:4" ht="15" customHeight="1" x14ac:dyDescent="0.25">
      <c r="B1362"/>
      <c r="C1362"/>
      <c r="D1362"/>
    </row>
    <row r="1363" spans="2:4" ht="15" customHeight="1" x14ac:dyDescent="0.25">
      <c r="B1363"/>
      <c r="C1363"/>
      <c r="D1363"/>
    </row>
    <row r="1364" spans="2:4" ht="15" customHeight="1" x14ac:dyDescent="0.25">
      <c r="B1364"/>
      <c r="C1364"/>
      <c r="D1364"/>
    </row>
    <row r="1365" spans="2:4" ht="15" customHeight="1" x14ac:dyDescent="0.25">
      <c r="B1365"/>
      <c r="C1365"/>
      <c r="D1365"/>
    </row>
    <row r="1366" spans="2:4" ht="15" customHeight="1" x14ac:dyDescent="0.25">
      <c r="B1366"/>
      <c r="C1366"/>
      <c r="D1366"/>
    </row>
    <row r="1367" spans="2:4" ht="15" customHeight="1" x14ac:dyDescent="0.25">
      <c r="B1367"/>
      <c r="C1367"/>
      <c r="D1367"/>
    </row>
    <row r="1368" spans="2:4" ht="15" customHeight="1" x14ac:dyDescent="0.25">
      <c r="B1368"/>
      <c r="C1368"/>
      <c r="D1368"/>
    </row>
    <row r="1369" spans="2:4" ht="15" customHeight="1" x14ac:dyDescent="0.25">
      <c r="B1369"/>
      <c r="C1369"/>
      <c r="D1369"/>
    </row>
    <row r="1370" spans="2:4" ht="15" customHeight="1" x14ac:dyDescent="0.25">
      <c r="B1370"/>
      <c r="C1370"/>
      <c r="D1370"/>
    </row>
    <row r="1371" spans="2:4" ht="15" customHeight="1" x14ac:dyDescent="0.25">
      <c r="B1371"/>
      <c r="C1371"/>
      <c r="D1371"/>
    </row>
    <row r="1372" spans="2:4" ht="15" customHeight="1" x14ac:dyDescent="0.25">
      <c r="B1372"/>
      <c r="C1372"/>
      <c r="D1372"/>
    </row>
    <row r="1373" spans="2:4" ht="15" customHeight="1" x14ac:dyDescent="0.25">
      <c r="B1373"/>
      <c r="C1373"/>
      <c r="D1373"/>
    </row>
    <row r="1374" spans="2:4" ht="15" customHeight="1" x14ac:dyDescent="0.25">
      <c r="B1374"/>
      <c r="C1374"/>
      <c r="D1374"/>
    </row>
    <row r="1375" spans="2:4" ht="15" customHeight="1" x14ac:dyDescent="0.25">
      <c r="B1375"/>
      <c r="C1375"/>
      <c r="D1375"/>
    </row>
    <row r="1376" spans="2:4" ht="15" customHeight="1" x14ac:dyDescent="0.25">
      <c r="B1376"/>
      <c r="C1376"/>
      <c r="D1376"/>
    </row>
    <row r="1377" spans="2:4" ht="15" customHeight="1" x14ac:dyDescent="0.25">
      <c r="B1377"/>
      <c r="C1377"/>
      <c r="D1377"/>
    </row>
    <row r="1378" spans="2:4" ht="15" customHeight="1" x14ac:dyDescent="0.25">
      <c r="B1378"/>
      <c r="C1378"/>
      <c r="D1378"/>
    </row>
    <row r="1379" spans="2:4" ht="15" customHeight="1" x14ac:dyDescent="0.25">
      <c r="B1379"/>
      <c r="C1379"/>
      <c r="D1379"/>
    </row>
    <row r="1380" spans="2:4" ht="15" customHeight="1" x14ac:dyDescent="0.25">
      <c r="B1380"/>
      <c r="C1380"/>
      <c r="D1380"/>
    </row>
    <row r="1381" spans="2:4" ht="15" customHeight="1" x14ac:dyDescent="0.25">
      <c r="B1381"/>
      <c r="C1381"/>
      <c r="D1381"/>
    </row>
    <row r="1382" spans="2:4" ht="15" customHeight="1" x14ac:dyDescent="0.25">
      <c r="B1382"/>
      <c r="C1382"/>
      <c r="D1382"/>
    </row>
    <row r="1383" spans="2:4" ht="15" customHeight="1" x14ac:dyDescent="0.25">
      <c r="B1383"/>
      <c r="C1383"/>
      <c r="D1383"/>
    </row>
    <row r="1384" spans="2:4" ht="15" customHeight="1" x14ac:dyDescent="0.25">
      <c r="B1384"/>
      <c r="C1384"/>
      <c r="D1384"/>
    </row>
    <row r="1385" spans="2:4" ht="15" customHeight="1" x14ac:dyDescent="0.25">
      <c r="B1385"/>
      <c r="C1385"/>
      <c r="D1385"/>
    </row>
    <row r="1386" spans="2:4" ht="15" customHeight="1" x14ac:dyDescent="0.25">
      <c r="B1386"/>
      <c r="C1386"/>
      <c r="D1386"/>
    </row>
    <row r="1387" spans="2:4" ht="15" customHeight="1" x14ac:dyDescent="0.25">
      <c r="B1387"/>
      <c r="C1387"/>
      <c r="D1387"/>
    </row>
    <row r="1388" spans="2:4" ht="15" customHeight="1" x14ac:dyDescent="0.25">
      <c r="B1388"/>
      <c r="C1388"/>
      <c r="D1388"/>
    </row>
    <row r="1389" spans="2:4" ht="15" customHeight="1" x14ac:dyDescent="0.25">
      <c r="B1389"/>
      <c r="C1389"/>
      <c r="D1389"/>
    </row>
    <row r="1390" spans="2:4" ht="15" customHeight="1" x14ac:dyDescent="0.25">
      <c r="B1390"/>
      <c r="C1390"/>
      <c r="D1390"/>
    </row>
    <row r="1391" spans="2:4" ht="15" customHeight="1" x14ac:dyDescent="0.25">
      <c r="B1391"/>
      <c r="C1391"/>
      <c r="D1391"/>
    </row>
    <row r="1392" spans="2:4" ht="15" customHeight="1" x14ac:dyDescent="0.25">
      <c r="B1392"/>
      <c r="C1392"/>
      <c r="D1392"/>
    </row>
    <row r="1393" spans="2:4" ht="15" customHeight="1" x14ac:dyDescent="0.25">
      <c r="B1393"/>
      <c r="C1393"/>
      <c r="D1393"/>
    </row>
    <row r="1394" spans="2:4" ht="15" customHeight="1" x14ac:dyDescent="0.25">
      <c r="B1394"/>
      <c r="C1394"/>
      <c r="D1394"/>
    </row>
    <row r="1395" spans="2:4" ht="15" customHeight="1" x14ac:dyDescent="0.25">
      <c r="B1395"/>
      <c r="C1395"/>
      <c r="D1395"/>
    </row>
    <row r="1396" spans="2:4" ht="15" customHeight="1" x14ac:dyDescent="0.25">
      <c r="B1396"/>
      <c r="C1396"/>
      <c r="D1396"/>
    </row>
    <row r="1397" spans="2:4" ht="15" customHeight="1" x14ac:dyDescent="0.25">
      <c r="B1397"/>
      <c r="C1397"/>
      <c r="D1397"/>
    </row>
    <row r="1398" spans="2:4" ht="15" customHeight="1" x14ac:dyDescent="0.25">
      <c r="B1398"/>
      <c r="C1398"/>
      <c r="D1398"/>
    </row>
    <row r="1399" spans="2:4" ht="15" customHeight="1" x14ac:dyDescent="0.25">
      <c r="B1399"/>
      <c r="C1399"/>
      <c r="D1399"/>
    </row>
    <row r="1400" spans="2:4" ht="15" customHeight="1" x14ac:dyDescent="0.25">
      <c r="B1400"/>
      <c r="C1400"/>
      <c r="D1400"/>
    </row>
    <row r="1401" spans="2:4" ht="15" customHeight="1" x14ac:dyDescent="0.25">
      <c r="B1401"/>
      <c r="C1401"/>
      <c r="D1401"/>
    </row>
    <row r="1402" spans="2:4" ht="15" customHeight="1" x14ac:dyDescent="0.25">
      <c r="B1402"/>
      <c r="C1402"/>
      <c r="D1402"/>
    </row>
    <row r="1403" spans="2:4" ht="15" customHeight="1" x14ac:dyDescent="0.25">
      <c r="B1403"/>
      <c r="C1403"/>
      <c r="D1403"/>
    </row>
    <row r="1404" spans="2:4" ht="15" customHeight="1" x14ac:dyDescent="0.25">
      <c r="B1404"/>
      <c r="C1404"/>
      <c r="D1404"/>
    </row>
    <row r="1405" spans="2:4" ht="15" customHeight="1" x14ac:dyDescent="0.25">
      <c r="B1405"/>
      <c r="C1405"/>
      <c r="D1405"/>
    </row>
    <row r="1406" spans="2:4" ht="15" customHeight="1" x14ac:dyDescent="0.25">
      <c r="B1406"/>
      <c r="C1406"/>
      <c r="D1406"/>
    </row>
    <row r="1407" spans="2:4" ht="15" customHeight="1" x14ac:dyDescent="0.25">
      <c r="B1407"/>
      <c r="C1407"/>
      <c r="D1407"/>
    </row>
    <row r="1408" spans="2:4" ht="15" customHeight="1" x14ac:dyDescent="0.25">
      <c r="B1408"/>
      <c r="C1408"/>
      <c r="D1408"/>
    </row>
    <row r="1409" spans="2:4" ht="15" customHeight="1" x14ac:dyDescent="0.25">
      <c r="B1409"/>
      <c r="C1409"/>
      <c r="D1409"/>
    </row>
    <row r="1410" spans="2:4" ht="15" customHeight="1" x14ac:dyDescent="0.25">
      <c r="B1410"/>
      <c r="C1410"/>
      <c r="D1410"/>
    </row>
    <row r="1411" spans="2:4" ht="15" customHeight="1" x14ac:dyDescent="0.25">
      <c r="B1411"/>
      <c r="C1411"/>
      <c r="D1411"/>
    </row>
    <row r="1412" spans="2:4" ht="15" customHeight="1" x14ac:dyDescent="0.25">
      <c r="B1412"/>
      <c r="C1412"/>
      <c r="D1412"/>
    </row>
    <row r="1413" spans="2:4" ht="15" customHeight="1" x14ac:dyDescent="0.25">
      <c r="B1413"/>
      <c r="C1413"/>
      <c r="D1413"/>
    </row>
    <row r="1414" spans="2:4" ht="15" customHeight="1" x14ac:dyDescent="0.25">
      <c r="B1414"/>
      <c r="C1414"/>
      <c r="D1414"/>
    </row>
    <row r="1415" spans="2:4" ht="15" customHeight="1" x14ac:dyDescent="0.25">
      <c r="B1415"/>
      <c r="C1415"/>
      <c r="D1415"/>
    </row>
    <row r="1416" spans="2:4" ht="15" customHeight="1" x14ac:dyDescent="0.25">
      <c r="B1416"/>
      <c r="C1416"/>
      <c r="D1416"/>
    </row>
    <row r="1417" spans="2:4" ht="15" customHeight="1" x14ac:dyDescent="0.25">
      <c r="B1417"/>
      <c r="C1417"/>
      <c r="D1417"/>
    </row>
    <row r="1418" spans="2:4" ht="15" customHeight="1" x14ac:dyDescent="0.25">
      <c r="B1418"/>
      <c r="C1418"/>
      <c r="D1418"/>
    </row>
    <row r="1419" spans="2:4" ht="15" customHeight="1" x14ac:dyDescent="0.25">
      <c r="B1419"/>
      <c r="C1419"/>
      <c r="D1419"/>
    </row>
    <row r="1420" spans="2:4" ht="15" customHeight="1" x14ac:dyDescent="0.25">
      <c r="B1420"/>
      <c r="C1420"/>
      <c r="D1420"/>
    </row>
    <row r="1421" spans="2:4" ht="15" customHeight="1" x14ac:dyDescent="0.25">
      <c r="B1421"/>
      <c r="C1421"/>
      <c r="D1421"/>
    </row>
    <row r="1422" spans="2:4" ht="15" customHeight="1" x14ac:dyDescent="0.25">
      <c r="B1422"/>
      <c r="C1422"/>
      <c r="D1422"/>
    </row>
    <row r="1423" spans="2:4" ht="15" customHeight="1" x14ac:dyDescent="0.25">
      <c r="B1423"/>
      <c r="C1423"/>
      <c r="D1423"/>
    </row>
    <row r="1424" spans="2:4" ht="15" customHeight="1" x14ac:dyDescent="0.25">
      <c r="B1424"/>
      <c r="C1424"/>
      <c r="D1424"/>
    </row>
    <row r="1425" spans="2:4" ht="15" customHeight="1" x14ac:dyDescent="0.25">
      <c r="B1425"/>
      <c r="C1425"/>
      <c r="D1425"/>
    </row>
    <row r="1426" spans="2:4" ht="15" customHeight="1" x14ac:dyDescent="0.25">
      <c r="B1426"/>
      <c r="C1426"/>
      <c r="D1426"/>
    </row>
    <row r="1427" spans="2:4" ht="15" customHeight="1" x14ac:dyDescent="0.25">
      <c r="B1427"/>
      <c r="C1427"/>
      <c r="D1427"/>
    </row>
    <row r="1428" spans="2:4" ht="15" customHeight="1" x14ac:dyDescent="0.25">
      <c r="B1428"/>
      <c r="C1428"/>
      <c r="D1428"/>
    </row>
    <row r="1429" spans="2:4" ht="15" customHeight="1" x14ac:dyDescent="0.25">
      <c r="B1429"/>
      <c r="C1429"/>
      <c r="D1429"/>
    </row>
    <row r="1430" spans="2:4" ht="15" customHeight="1" x14ac:dyDescent="0.25">
      <c r="B1430"/>
      <c r="C1430"/>
      <c r="D1430"/>
    </row>
    <row r="1431" spans="2:4" ht="15" customHeight="1" x14ac:dyDescent="0.25">
      <c r="B1431"/>
      <c r="C1431"/>
      <c r="D1431"/>
    </row>
    <row r="1432" spans="2:4" ht="15" customHeight="1" x14ac:dyDescent="0.25">
      <c r="B1432"/>
      <c r="C1432"/>
      <c r="D1432"/>
    </row>
    <row r="1433" spans="2:4" ht="15" customHeight="1" x14ac:dyDescent="0.25">
      <c r="B1433"/>
      <c r="C1433"/>
      <c r="D1433"/>
    </row>
    <row r="1434" spans="2:4" ht="15" customHeight="1" x14ac:dyDescent="0.25">
      <c r="B1434"/>
      <c r="C1434"/>
      <c r="D1434"/>
    </row>
    <row r="1435" spans="2:4" ht="15" customHeight="1" x14ac:dyDescent="0.25">
      <c r="B1435"/>
      <c r="C1435"/>
      <c r="D1435"/>
    </row>
    <row r="1436" spans="2:4" ht="15" customHeight="1" x14ac:dyDescent="0.25">
      <c r="B1436"/>
      <c r="C1436"/>
      <c r="D1436"/>
    </row>
    <row r="1437" spans="2:4" ht="15" customHeight="1" x14ac:dyDescent="0.25">
      <c r="B1437"/>
      <c r="C1437"/>
      <c r="D1437"/>
    </row>
    <row r="1438" spans="2:4" ht="15" customHeight="1" x14ac:dyDescent="0.25">
      <c r="B1438"/>
      <c r="C1438"/>
      <c r="D1438"/>
    </row>
    <row r="1439" spans="2:4" ht="15" customHeight="1" x14ac:dyDescent="0.25">
      <c r="B1439"/>
      <c r="C1439"/>
      <c r="D1439"/>
    </row>
    <row r="1440" spans="2:4" ht="15" customHeight="1" x14ac:dyDescent="0.25">
      <c r="B1440"/>
      <c r="C1440"/>
      <c r="D1440"/>
    </row>
    <row r="1441" spans="2:4" ht="15" customHeight="1" x14ac:dyDescent="0.25">
      <c r="B1441"/>
      <c r="C1441"/>
      <c r="D1441"/>
    </row>
    <row r="1442" spans="2:4" ht="15" customHeight="1" x14ac:dyDescent="0.25">
      <c r="B1442"/>
      <c r="C1442"/>
      <c r="D1442"/>
    </row>
    <row r="1443" spans="2:4" ht="15" customHeight="1" x14ac:dyDescent="0.25">
      <c r="B1443"/>
      <c r="C1443"/>
      <c r="D1443"/>
    </row>
    <row r="1444" spans="2:4" ht="15" customHeight="1" x14ac:dyDescent="0.25">
      <c r="B1444"/>
      <c r="C1444"/>
      <c r="D1444"/>
    </row>
    <row r="1445" spans="2:4" ht="15" customHeight="1" x14ac:dyDescent="0.25">
      <c r="B1445"/>
      <c r="C1445"/>
      <c r="D1445"/>
    </row>
    <row r="1446" spans="2:4" ht="15" customHeight="1" x14ac:dyDescent="0.25">
      <c r="B1446"/>
      <c r="C1446"/>
      <c r="D1446"/>
    </row>
    <row r="1447" spans="2:4" ht="15" customHeight="1" x14ac:dyDescent="0.25">
      <c r="B1447"/>
      <c r="C1447"/>
      <c r="D1447"/>
    </row>
    <row r="1448" spans="2:4" ht="15" customHeight="1" x14ac:dyDescent="0.25">
      <c r="B1448"/>
      <c r="C1448"/>
      <c r="D1448"/>
    </row>
    <row r="1449" spans="2:4" ht="15" customHeight="1" x14ac:dyDescent="0.25">
      <c r="B1449"/>
      <c r="C1449"/>
      <c r="D1449"/>
    </row>
    <row r="1450" spans="2:4" ht="15" customHeight="1" x14ac:dyDescent="0.25">
      <c r="B1450"/>
      <c r="C1450"/>
      <c r="D1450"/>
    </row>
    <row r="1451" spans="2:4" ht="15" customHeight="1" x14ac:dyDescent="0.25">
      <c r="B1451"/>
      <c r="C1451"/>
      <c r="D1451"/>
    </row>
    <row r="1452" spans="2:4" ht="15" customHeight="1" x14ac:dyDescent="0.25">
      <c r="B1452"/>
      <c r="C1452"/>
      <c r="D1452"/>
    </row>
    <row r="1453" spans="2:4" ht="15" customHeight="1" x14ac:dyDescent="0.25">
      <c r="B1453"/>
      <c r="C1453"/>
      <c r="D1453"/>
    </row>
    <row r="1454" spans="2:4" ht="15" customHeight="1" x14ac:dyDescent="0.25">
      <c r="B1454"/>
      <c r="C1454"/>
      <c r="D1454"/>
    </row>
    <row r="1455" spans="2:4" ht="15" customHeight="1" x14ac:dyDescent="0.25">
      <c r="B1455"/>
      <c r="C1455"/>
      <c r="D1455"/>
    </row>
    <row r="1456" spans="2:4" ht="15" customHeight="1" x14ac:dyDescent="0.25">
      <c r="B1456"/>
      <c r="C1456"/>
      <c r="D1456"/>
    </row>
    <row r="1457" spans="2:4" ht="15" customHeight="1" x14ac:dyDescent="0.25">
      <c r="B1457"/>
      <c r="C1457"/>
      <c r="D1457"/>
    </row>
    <row r="1458" spans="2:4" ht="15" customHeight="1" x14ac:dyDescent="0.25">
      <c r="B1458"/>
      <c r="C1458"/>
      <c r="D1458"/>
    </row>
    <row r="1459" spans="2:4" ht="15" customHeight="1" x14ac:dyDescent="0.25">
      <c r="B1459"/>
      <c r="C1459"/>
      <c r="D1459"/>
    </row>
    <row r="1460" spans="2:4" ht="15" customHeight="1" x14ac:dyDescent="0.25">
      <c r="B1460"/>
      <c r="C1460"/>
      <c r="D1460"/>
    </row>
    <row r="1461" spans="2:4" ht="15" customHeight="1" x14ac:dyDescent="0.25">
      <c r="B1461"/>
      <c r="C1461"/>
      <c r="D1461"/>
    </row>
    <row r="1462" spans="2:4" ht="15" customHeight="1" x14ac:dyDescent="0.25">
      <c r="B1462"/>
      <c r="C1462"/>
      <c r="D1462"/>
    </row>
    <row r="1463" spans="2:4" ht="15" customHeight="1" x14ac:dyDescent="0.25">
      <c r="B1463"/>
      <c r="C1463"/>
      <c r="D1463"/>
    </row>
    <row r="1464" spans="2:4" ht="15" customHeight="1" x14ac:dyDescent="0.25">
      <c r="B1464"/>
      <c r="C1464"/>
      <c r="D1464"/>
    </row>
    <row r="1465" spans="2:4" ht="15" customHeight="1" x14ac:dyDescent="0.25">
      <c r="B1465"/>
      <c r="C1465"/>
      <c r="D1465"/>
    </row>
    <row r="1466" spans="2:4" ht="15" customHeight="1" x14ac:dyDescent="0.25">
      <c r="B1466"/>
      <c r="C1466"/>
      <c r="D1466"/>
    </row>
    <row r="1467" spans="2:4" ht="15" customHeight="1" x14ac:dyDescent="0.25">
      <c r="B1467"/>
      <c r="C1467"/>
      <c r="D1467"/>
    </row>
    <row r="1468" spans="2:4" ht="15" customHeight="1" x14ac:dyDescent="0.25">
      <c r="B1468"/>
      <c r="C1468"/>
      <c r="D1468"/>
    </row>
    <row r="1469" spans="2:4" ht="15" customHeight="1" x14ac:dyDescent="0.25">
      <c r="B1469"/>
      <c r="C1469"/>
      <c r="D1469"/>
    </row>
    <row r="1470" spans="2:4" ht="15" customHeight="1" x14ac:dyDescent="0.25">
      <c r="B1470"/>
      <c r="C1470"/>
      <c r="D1470"/>
    </row>
    <row r="1471" spans="2:4" ht="15" customHeight="1" x14ac:dyDescent="0.25">
      <c r="B1471"/>
      <c r="C1471"/>
      <c r="D1471"/>
    </row>
    <row r="1472" spans="2:4" ht="15" customHeight="1" x14ac:dyDescent="0.25">
      <c r="B1472"/>
      <c r="C1472"/>
      <c r="D1472"/>
    </row>
    <row r="1473" spans="2:4" ht="15" customHeight="1" x14ac:dyDescent="0.25">
      <c r="B1473"/>
      <c r="C1473"/>
      <c r="D1473"/>
    </row>
    <row r="1474" spans="2:4" ht="15" customHeight="1" x14ac:dyDescent="0.25">
      <c r="B1474"/>
      <c r="C1474"/>
      <c r="D1474"/>
    </row>
    <row r="1475" spans="2:4" ht="15" customHeight="1" x14ac:dyDescent="0.25">
      <c r="B1475"/>
      <c r="C1475"/>
      <c r="D1475"/>
    </row>
    <row r="1476" spans="2:4" ht="15" customHeight="1" x14ac:dyDescent="0.25">
      <c r="B1476"/>
      <c r="C1476"/>
      <c r="D1476"/>
    </row>
    <row r="1477" spans="2:4" ht="15" customHeight="1" x14ac:dyDescent="0.25">
      <c r="B1477"/>
      <c r="C1477"/>
      <c r="D1477"/>
    </row>
    <row r="1478" spans="2:4" ht="15" customHeight="1" x14ac:dyDescent="0.25">
      <c r="B1478"/>
      <c r="C1478"/>
      <c r="D1478"/>
    </row>
    <row r="1479" spans="2:4" ht="15" customHeight="1" x14ac:dyDescent="0.25">
      <c r="B1479"/>
      <c r="C1479"/>
      <c r="D1479"/>
    </row>
    <row r="1480" spans="2:4" ht="15" customHeight="1" x14ac:dyDescent="0.25">
      <c r="B1480"/>
      <c r="C1480"/>
      <c r="D1480"/>
    </row>
    <row r="1481" spans="2:4" ht="15" customHeight="1" x14ac:dyDescent="0.25">
      <c r="B1481"/>
      <c r="C1481"/>
      <c r="D1481"/>
    </row>
    <row r="1482" spans="2:4" ht="15" customHeight="1" x14ac:dyDescent="0.25">
      <c r="B1482"/>
      <c r="C1482"/>
      <c r="D1482"/>
    </row>
    <row r="1483" spans="2:4" ht="15" customHeight="1" x14ac:dyDescent="0.25">
      <c r="B1483"/>
      <c r="C1483"/>
      <c r="D1483"/>
    </row>
    <row r="1484" spans="2:4" ht="15" customHeight="1" x14ac:dyDescent="0.25">
      <c r="B1484"/>
      <c r="C1484"/>
      <c r="D1484"/>
    </row>
    <row r="1485" spans="2:4" ht="15" customHeight="1" x14ac:dyDescent="0.25">
      <c r="B1485"/>
      <c r="C1485"/>
      <c r="D1485"/>
    </row>
    <row r="1486" spans="2:4" ht="15" customHeight="1" x14ac:dyDescent="0.25">
      <c r="B1486"/>
      <c r="C1486"/>
      <c r="D1486"/>
    </row>
    <row r="1487" spans="2:4" ht="15" customHeight="1" x14ac:dyDescent="0.25">
      <c r="B1487"/>
      <c r="C1487"/>
      <c r="D1487"/>
    </row>
    <row r="1488" spans="2:4" ht="15" customHeight="1" x14ac:dyDescent="0.25">
      <c r="B1488"/>
      <c r="C1488"/>
      <c r="D1488"/>
    </row>
    <row r="1489" spans="2:4" ht="15" customHeight="1" x14ac:dyDescent="0.25">
      <c r="B1489"/>
      <c r="C1489"/>
      <c r="D1489"/>
    </row>
    <row r="1490" spans="2:4" ht="15" customHeight="1" x14ac:dyDescent="0.25">
      <c r="B1490"/>
      <c r="C1490"/>
      <c r="D1490"/>
    </row>
    <row r="1491" spans="2:4" ht="15" customHeight="1" x14ac:dyDescent="0.25">
      <c r="B1491"/>
      <c r="C1491"/>
      <c r="D1491"/>
    </row>
    <row r="1492" spans="2:4" ht="15" customHeight="1" x14ac:dyDescent="0.25">
      <c r="B1492"/>
      <c r="C1492"/>
      <c r="D1492"/>
    </row>
    <row r="1493" spans="2:4" ht="15" customHeight="1" x14ac:dyDescent="0.25">
      <c r="B1493"/>
      <c r="C1493"/>
      <c r="D1493"/>
    </row>
    <row r="1494" spans="2:4" ht="15" customHeight="1" x14ac:dyDescent="0.25">
      <c r="B1494"/>
      <c r="C1494"/>
      <c r="D1494"/>
    </row>
    <row r="1495" spans="2:4" ht="15" customHeight="1" x14ac:dyDescent="0.25">
      <c r="B1495"/>
      <c r="C1495"/>
      <c r="D1495"/>
    </row>
    <row r="1496" spans="2:4" ht="15" customHeight="1" x14ac:dyDescent="0.25">
      <c r="B1496"/>
      <c r="C1496"/>
      <c r="D1496"/>
    </row>
    <row r="1497" spans="2:4" ht="15" customHeight="1" x14ac:dyDescent="0.25">
      <c r="B1497"/>
      <c r="C1497"/>
      <c r="D1497"/>
    </row>
    <row r="1498" spans="2:4" ht="15" customHeight="1" x14ac:dyDescent="0.25">
      <c r="B1498"/>
      <c r="C1498"/>
      <c r="D1498"/>
    </row>
    <row r="1499" spans="2:4" ht="15" customHeight="1" x14ac:dyDescent="0.25">
      <c r="B1499"/>
      <c r="C1499"/>
      <c r="D1499"/>
    </row>
    <row r="1500" spans="2:4" ht="15" customHeight="1" x14ac:dyDescent="0.25">
      <c r="B1500"/>
      <c r="C1500"/>
      <c r="D1500"/>
    </row>
    <row r="1501" spans="2:4" ht="15" customHeight="1" x14ac:dyDescent="0.25">
      <c r="B1501"/>
      <c r="C1501"/>
      <c r="D1501"/>
    </row>
    <row r="1502" spans="2:4" ht="15" customHeight="1" x14ac:dyDescent="0.25">
      <c r="B1502"/>
      <c r="C1502"/>
      <c r="D1502"/>
    </row>
    <row r="1503" spans="2:4" ht="15" customHeight="1" x14ac:dyDescent="0.25">
      <c r="B1503"/>
      <c r="C1503"/>
      <c r="D1503"/>
    </row>
    <row r="1504" spans="2:4" ht="15" customHeight="1" x14ac:dyDescent="0.25">
      <c r="B1504"/>
      <c r="C1504"/>
      <c r="D1504"/>
    </row>
    <row r="1505" spans="2:4" ht="15" customHeight="1" x14ac:dyDescent="0.25">
      <c r="B1505"/>
      <c r="C1505"/>
      <c r="D1505"/>
    </row>
    <row r="1506" spans="2:4" ht="15" customHeight="1" x14ac:dyDescent="0.25">
      <c r="B1506"/>
      <c r="C1506"/>
      <c r="D1506"/>
    </row>
    <row r="1507" spans="2:4" ht="15" customHeight="1" x14ac:dyDescent="0.25">
      <c r="B1507"/>
      <c r="C1507"/>
      <c r="D1507"/>
    </row>
    <row r="1508" spans="2:4" ht="15" customHeight="1" x14ac:dyDescent="0.25">
      <c r="B1508"/>
      <c r="C1508"/>
      <c r="D1508"/>
    </row>
    <row r="1509" spans="2:4" ht="15" customHeight="1" x14ac:dyDescent="0.25">
      <c r="B1509"/>
      <c r="C1509"/>
      <c r="D1509"/>
    </row>
    <row r="1510" spans="2:4" ht="15" customHeight="1" x14ac:dyDescent="0.25">
      <c r="B1510"/>
      <c r="C1510"/>
      <c r="D1510"/>
    </row>
    <row r="1511" spans="2:4" ht="15" customHeight="1" x14ac:dyDescent="0.25">
      <c r="B1511"/>
      <c r="C1511"/>
      <c r="D1511"/>
    </row>
    <row r="1512" spans="2:4" ht="15" customHeight="1" x14ac:dyDescent="0.25">
      <c r="B1512"/>
      <c r="C1512"/>
      <c r="D1512"/>
    </row>
    <row r="1513" spans="2:4" ht="15" customHeight="1" x14ac:dyDescent="0.25">
      <c r="B1513"/>
      <c r="C1513"/>
      <c r="D1513"/>
    </row>
    <row r="1514" spans="2:4" ht="15" customHeight="1" x14ac:dyDescent="0.25">
      <c r="B1514"/>
      <c r="C1514"/>
      <c r="D1514"/>
    </row>
    <row r="1515" spans="2:4" ht="15" customHeight="1" x14ac:dyDescent="0.25">
      <c r="B1515"/>
      <c r="C1515"/>
      <c r="D1515"/>
    </row>
    <row r="1516" spans="2:4" ht="15" customHeight="1" x14ac:dyDescent="0.25">
      <c r="B1516"/>
      <c r="C1516"/>
      <c r="D1516"/>
    </row>
    <row r="1517" spans="2:4" ht="15" customHeight="1" x14ac:dyDescent="0.25">
      <c r="B1517"/>
      <c r="C1517"/>
      <c r="D1517"/>
    </row>
    <row r="1518" spans="2:4" ht="15" customHeight="1" x14ac:dyDescent="0.25">
      <c r="B1518"/>
      <c r="C1518"/>
      <c r="D1518"/>
    </row>
    <row r="1519" spans="2:4" ht="15" customHeight="1" x14ac:dyDescent="0.25">
      <c r="B1519"/>
      <c r="C1519"/>
      <c r="D1519"/>
    </row>
    <row r="1520" spans="2:4" ht="15" customHeight="1" x14ac:dyDescent="0.25">
      <c r="B1520"/>
      <c r="C1520"/>
      <c r="D1520"/>
    </row>
    <row r="1521" spans="2:4" ht="15" customHeight="1" x14ac:dyDescent="0.25">
      <c r="B1521"/>
      <c r="C1521"/>
      <c r="D1521"/>
    </row>
    <row r="1522" spans="2:4" ht="15" customHeight="1" x14ac:dyDescent="0.25">
      <c r="B1522"/>
      <c r="C1522"/>
      <c r="D1522"/>
    </row>
    <row r="1523" spans="2:4" ht="15" customHeight="1" x14ac:dyDescent="0.25">
      <c r="B1523"/>
      <c r="C1523"/>
      <c r="D1523"/>
    </row>
    <row r="1524" spans="2:4" ht="15" customHeight="1" x14ac:dyDescent="0.25">
      <c r="B1524"/>
      <c r="C1524"/>
      <c r="D1524"/>
    </row>
    <row r="1525" spans="2:4" ht="15" customHeight="1" x14ac:dyDescent="0.25">
      <c r="B1525"/>
      <c r="C1525"/>
      <c r="D1525"/>
    </row>
    <row r="1526" spans="2:4" ht="15" customHeight="1" x14ac:dyDescent="0.25">
      <c r="B1526"/>
      <c r="C1526"/>
      <c r="D1526"/>
    </row>
    <row r="1527" spans="2:4" ht="15" customHeight="1" x14ac:dyDescent="0.25">
      <c r="B1527"/>
      <c r="C1527"/>
      <c r="D1527"/>
    </row>
    <row r="1528" spans="2:4" ht="15" customHeight="1" x14ac:dyDescent="0.25">
      <c r="B1528"/>
      <c r="C1528"/>
      <c r="D1528"/>
    </row>
    <row r="1529" spans="2:4" ht="15" customHeight="1" x14ac:dyDescent="0.25">
      <c r="B1529"/>
      <c r="C1529"/>
      <c r="D1529"/>
    </row>
    <row r="1530" spans="2:4" ht="15" customHeight="1" x14ac:dyDescent="0.25">
      <c r="B1530"/>
      <c r="C1530"/>
      <c r="D1530"/>
    </row>
    <row r="1531" spans="2:4" ht="15" customHeight="1" x14ac:dyDescent="0.25">
      <c r="B1531"/>
      <c r="C1531"/>
      <c r="D1531"/>
    </row>
    <row r="1532" spans="2:4" ht="15" customHeight="1" x14ac:dyDescent="0.25">
      <c r="B1532"/>
      <c r="C1532"/>
      <c r="D1532"/>
    </row>
    <row r="1533" spans="2:4" ht="15" customHeight="1" x14ac:dyDescent="0.25">
      <c r="B1533"/>
      <c r="C1533"/>
      <c r="D1533"/>
    </row>
    <row r="1534" spans="2:4" ht="15" customHeight="1" x14ac:dyDescent="0.25">
      <c r="B1534"/>
      <c r="C1534"/>
      <c r="D1534"/>
    </row>
    <row r="1535" spans="2:4" ht="15" customHeight="1" x14ac:dyDescent="0.25">
      <c r="B1535"/>
      <c r="C1535"/>
      <c r="D1535"/>
    </row>
    <row r="1536" spans="2:4" ht="15" customHeight="1" x14ac:dyDescent="0.25">
      <c r="B1536"/>
      <c r="C1536"/>
      <c r="D1536"/>
    </row>
    <row r="1537" spans="2:4" ht="15" customHeight="1" x14ac:dyDescent="0.25">
      <c r="B1537"/>
      <c r="C1537"/>
      <c r="D1537"/>
    </row>
    <row r="1538" spans="2:4" ht="15" customHeight="1" x14ac:dyDescent="0.25">
      <c r="B1538"/>
      <c r="C1538"/>
      <c r="D1538"/>
    </row>
    <row r="1539" spans="2:4" ht="15" customHeight="1" x14ac:dyDescent="0.25">
      <c r="B1539"/>
      <c r="C1539"/>
      <c r="D1539"/>
    </row>
    <row r="1540" spans="2:4" ht="15" customHeight="1" x14ac:dyDescent="0.25">
      <c r="B1540"/>
      <c r="C1540"/>
      <c r="D1540"/>
    </row>
    <row r="1541" spans="2:4" ht="15" customHeight="1" x14ac:dyDescent="0.25">
      <c r="B1541"/>
      <c r="C1541"/>
      <c r="D1541"/>
    </row>
    <row r="1542" spans="2:4" ht="15" customHeight="1" x14ac:dyDescent="0.25">
      <c r="B1542"/>
      <c r="C1542"/>
      <c r="D1542"/>
    </row>
    <row r="1543" spans="2:4" ht="15" customHeight="1" x14ac:dyDescent="0.25">
      <c r="B1543"/>
      <c r="C1543"/>
      <c r="D1543"/>
    </row>
    <row r="1544" spans="2:4" ht="15" customHeight="1" x14ac:dyDescent="0.25">
      <c r="B1544"/>
      <c r="C1544"/>
      <c r="D1544"/>
    </row>
    <row r="1545" spans="2:4" ht="15" customHeight="1" x14ac:dyDescent="0.25">
      <c r="B1545"/>
      <c r="C1545"/>
      <c r="D1545"/>
    </row>
    <row r="1546" spans="2:4" ht="15" customHeight="1" x14ac:dyDescent="0.25">
      <c r="B1546"/>
      <c r="C1546"/>
      <c r="D1546"/>
    </row>
    <row r="1547" spans="2:4" ht="15" customHeight="1" x14ac:dyDescent="0.25">
      <c r="B1547"/>
      <c r="C1547"/>
      <c r="D1547"/>
    </row>
    <row r="1548" spans="2:4" ht="15" customHeight="1" x14ac:dyDescent="0.25">
      <c r="B1548"/>
      <c r="C1548"/>
      <c r="D1548"/>
    </row>
    <row r="1549" spans="2:4" ht="15" customHeight="1" x14ac:dyDescent="0.25">
      <c r="B1549"/>
      <c r="C1549"/>
      <c r="D1549"/>
    </row>
    <row r="1550" spans="2:4" ht="15" customHeight="1" x14ac:dyDescent="0.25">
      <c r="B1550"/>
      <c r="C1550"/>
      <c r="D1550"/>
    </row>
    <row r="1551" spans="2:4" ht="15" customHeight="1" x14ac:dyDescent="0.25">
      <c r="B1551"/>
      <c r="C1551"/>
      <c r="D1551"/>
    </row>
    <row r="1552" spans="2:4" ht="15" customHeight="1" x14ac:dyDescent="0.25">
      <c r="B1552"/>
      <c r="C1552"/>
      <c r="D1552"/>
    </row>
    <row r="1553" spans="2:4" ht="15" customHeight="1" x14ac:dyDescent="0.25">
      <c r="B1553"/>
      <c r="C1553"/>
      <c r="D1553"/>
    </row>
    <row r="1554" spans="2:4" ht="15" customHeight="1" x14ac:dyDescent="0.25">
      <c r="B1554"/>
      <c r="C1554"/>
      <c r="D1554"/>
    </row>
    <row r="1555" spans="2:4" ht="15" customHeight="1" x14ac:dyDescent="0.25">
      <c r="B1555"/>
      <c r="C1555"/>
      <c r="D1555"/>
    </row>
    <row r="1556" spans="2:4" ht="15" customHeight="1" x14ac:dyDescent="0.25">
      <c r="B1556"/>
      <c r="C1556"/>
      <c r="D1556"/>
    </row>
    <row r="1557" spans="2:4" ht="15" customHeight="1" x14ac:dyDescent="0.25">
      <c r="B1557"/>
      <c r="C1557"/>
      <c r="D1557"/>
    </row>
    <row r="1558" spans="2:4" ht="15" customHeight="1" x14ac:dyDescent="0.25">
      <c r="B1558"/>
      <c r="C1558"/>
      <c r="D1558"/>
    </row>
    <row r="1559" spans="2:4" ht="15" customHeight="1" x14ac:dyDescent="0.25">
      <c r="B1559"/>
      <c r="C1559"/>
      <c r="D1559"/>
    </row>
    <row r="1560" spans="2:4" ht="15" customHeight="1" x14ac:dyDescent="0.25">
      <c r="B1560"/>
      <c r="C1560"/>
      <c r="D1560"/>
    </row>
    <row r="1561" spans="2:4" ht="15" customHeight="1" x14ac:dyDescent="0.25">
      <c r="B1561"/>
      <c r="C1561"/>
      <c r="D1561"/>
    </row>
    <row r="1562" spans="2:4" ht="15" customHeight="1" x14ac:dyDescent="0.25">
      <c r="B1562"/>
      <c r="C1562"/>
      <c r="D1562"/>
    </row>
    <row r="1563" spans="2:4" ht="15" customHeight="1" x14ac:dyDescent="0.25">
      <c r="B1563"/>
      <c r="C1563"/>
      <c r="D1563"/>
    </row>
    <row r="1564" spans="2:4" ht="15" customHeight="1" x14ac:dyDescent="0.25">
      <c r="B1564"/>
      <c r="C1564"/>
      <c r="D1564"/>
    </row>
    <row r="1565" spans="2:4" ht="15" customHeight="1" x14ac:dyDescent="0.25">
      <c r="B1565"/>
      <c r="C1565"/>
      <c r="D1565"/>
    </row>
    <row r="1566" spans="2:4" ht="15" customHeight="1" x14ac:dyDescent="0.25">
      <c r="B1566"/>
      <c r="C1566"/>
      <c r="D1566"/>
    </row>
    <row r="1567" spans="2:4" ht="15" customHeight="1" x14ac:dyDescent="0.25">
      <c r="B1567"/>
      <c r="C1567"/>
      <c r="D1567"/>
    </row>
    <row r="1568" spans="2:4" ht="15" customHeight="1" x14ac:dyDescent="0.25">
      <c r="B1568"/>
      <c r="C1568"/>
      <c r="D1568"/>
    </row>
    <row r="1569" spans="2:4" ht="15" customHeight="1" x14ac:dyDescent="0.25">
      <c r="B1569"/>
      <c r="C1569"/>
      <c r="D1569"/>
    </row>
    <row r="1570" spans="2:4" ht="15" customHeight="1" x14ac:dyDescent="0.25">
      <c r="B1570"/>
      <c r="C1570"/>
      <c r="D1570"/>
    </row>
    <row r="1571" spans="2:4" ht="15" customHeight="1" x14ac:dyDescent="0.25">
      <c r="B1571"/>
      <c r="C1571"/>
      <c r="D1571"/>
    </row>
    <row r="1572" spans="2:4" ht="15" customHeight="1" x14ac:dyDescent="0.25">
      <c r="B1572"/>
      <c r="C1572"/>
      <c r="D1572"/>
    </row>
    <row r="1573" spans="2:4" ht="15" customHeight="1" x14ac:dyDescent="0.25">
      <c r="B1573"/>
      <c r="C1573"/>
      <c r="D1573"/>
    </row>
    <row r="1574" spans="2:4" ht="15" customHeight="1" x14ac:dyDescent="0.25">
      <c r="B1574"/>
      <c r="C1574"/>
      <c r="D1574"/>
    </row>
    <row r="1575" spans="2:4" ht="15" customHeight="1" x14ac:dyDescent="0.25">
      <c r="B1575"/>
      <c r="C1575"/>
      <c r="D1575"/>
    </row>
    <row r="1576" spans="2:4" ht="15" customHeight="1" x14ac:dyDescent="0.25">
      <c r="B1576"/>
      <c r="C1576"/>
      <c r="D1576"/>
    </row>
    <row r="1577" spans="2:4" ht="15" customHeight="1" x14ac:dyDescent="0.25">
      <c r="B1577"/>
      <c r="C1577"/>
      <c r="D1577"/>
    </row>
    <row r="1578" spans="2:4" ht="15" customHeight="1" x14ac:dyDescent="0.25">
      <c r="B1578"/>
      <c r="C1578"/>
      <c r="D1578"/>
    </row>
    <row r="1579" spans="2:4" ht="15" customHeight="1" x14ac:dyDescent="0.25">
      <c r="B1579"/>
      <c r="C1579"/>
      <c r="D1579"/>
    </row>
    <row r="1580" spans="2:4" ht="15" customHeight="1" x14ac:dyDescent="0.25">
      <c r="B1580"/>
      <c r="C1580"/>
      <c r="D1580"/>
    </row>
    <row r="1581" spans="2:4" ht="15" customHeight="1" x14ac:dyDescent="0.25">
      <c r="B1581"/>
      <c r="C1581"/>
      <c r="D1581"/>
    </row>
    <row r="1582" spans="2:4" ht="15" customHeight="1" x14ac:dyDescent="0.25">
      <c r="B1582"/>
      <c r="C1582"/>
      <c r="D1582"/>
    </row>
    <row r="1583" spans="2:4" ht="15" customHeight="1" x14ac:dyDescent="0.25">
      <c r="B1583"/>
      <c r="C1583"/>
      <c r="D1583"/>
    </row>
    <row r="1584" spans="2:4" ht="15" customHeight="1" x14ac:dyDescent="0.25">
      <c r="B1584"/>
      <c r="C1584"/>
      <c r="D1584"/>
    </row>
    <row r="1585" spans="2:4" ht="15" customHeight="1" x14ac:dyDescent="0.25">
      <c r="B1585"/>
      <c r="C1585"/>
      <c r="D1585"/>
    </row>
    <row r="1586" spans="2:4" ht="15" customHeight="1" x14ac:dyDescent="0.25">
      <c r="B1586"/>
      <c r="C1586"/>
      <c r="D1586"/>
    </row>
    <row r="1587" spans="2:4" ht="15" customHeight="1" x14ac:dyDescent="0.25">
      <c r="B1587"/>
      <c r="C1587"/>
      <c r="D1587"/>
    </row>
    <row r="1588" spans="2:4" ht="15" customHeight="1" x14ac:dyDescent="0.25">
      <c r="B1588"/>
      <c r="C1588"/>
      <c r="D1588"/>
    </row>
    <row r="1589" spans="2:4" ht="15" customHeight="1" x14ac:dyDescent="0.25">
      <c r="B1589"/>
      <c r="C1589"/>
      <c r="D1589"/>
    </row>
    <row r="1590" spans="2:4" ht="15" customHeight="1" x14ac:dyDescent="0.25">
      <c r="B1590"/>
      <c r="C1590"/>
      <c r="D1590"/>
    </row>
    <row r="1591" spans="2:4" ht="15" customHeight="1" x14ac:dyDescent="0.25">
      <c r="B1591"/>
      <c r="C1591"/>
      <c r="D1591"/>
    </row>
    <row r="1592" spans="2:4" ht="15" customHeight="1" x14ac:dyDescent="0.25">
      <c r="B1592"/>
      <c r="C1592"/>
      <c r="D1592"/>
    </row>
    <row r="1593" spans="2:4" ht="15" customHeight="1" x14ac:dyDescent="0.25">
      <c r="B1593"/>
      <c r="C1593"/>
      <c r="D1593"/>
    </row>
    <row r="1594" spans="2:4" ht="15" customHeight="1" x14ac:dyDescent="0.25">
      <c r="B1594"/>
      <c r="C1594"/>
      <c r="D1594"/>
    </row>
    <row r="1595" spans="2:4" ht="15" customHeight="1" x14ac:dyDescent="0.25">
      <c r="B1595"/>
      <c r="C1595"/>
      <c r="D1595"/>
    </row>
    <row r="1596" spans="2:4" ht="15" customHeight="1" x14ac:dyDescent="0.25">
      <c r="B1596"/>
      <c r="C1596"/>
      <c r="D1596"/>
    </row>
    <row r="1597" spans="2:4" ht="15" customHeight="1" x14ac:dyDescent="0.25">
      <c r="B1597"/>
      <c r="C1597"/>
      <c r="D1597"/>
    </row>
    <row r="1598" spans="2:4" ht="15" customHeight="1" x14ac:dyDescent="0.25">
      <c r="B1598"/>
      <c r="C1598"/>
      <c r="D1598"/>
    </row>
    <row r="1599" spans="2:4" ht="15" customHeight="1" x14ac:dyDescent="0.25">
      <c r="B1599"/>
      <c r="C1599"/>
      <c r="D1599"/>
    </row>
    <row r="1600" spans="2:4" ht="15" customHeight="1" x14ac:dyDescent="0.25">
      <c r="B1600"/>
      <c r="C1600"/>
      <c r="D1600"/>
    </row>
    <row r="1601" spans="2:4" ht="15" customHeight="1" x14ac:dyDescent="0.25">
      <c r="B1601"/>
      <c r="C1601"/>
      <c r="D1601"/>
    </row>
    <row r="1602" spans="2:4" ht="15" customHeight="1" x14ac:dyDescent="0.25">
      <c r="B1602"/>
      <c r="C1602"/>
      <c r="D1602"/>
    </row>
    <row r="1603" spans="2:4" ht="15" customHeight="1" x14ac:dyDescent="0.25">
      <c r="B1603"/>
      <c r="C1603"/>
      <c r="D1603"/>
    </row>
    <row r="1604" spans="2:4" ht="15" customHeight="1" x14ac:dyDescent="0.25">
      <c r="B1604"/>
      <c r="C1604"/>
      <c r="D1604"/>
    </row>
    <row r="1605" spans="2:4" ht="15" customHeight="1" x14ac:dyDescent="0.25">
      <c r="B1605"/>
      <c r="C1605"/>
      <c r="D1605"/>
    </row>
    <row r="1606" spans="2:4" ht="15" customHeight="1" x14ac:dyDescent="0.25">
      <c r="B1606"/>
      <c r="C1606"/>
      <c r="D1606"/>
    </row>
    <row r="1607" spans="2:4" ht="15" customHeight="1" x14ac:dyDescent="0.25">
      <c r="B1607"/>
      <c r="C1607"/>
      <c r="D1607"/>
    </row>
    <row r="1608" spans="2:4" ht="15" customHeight="1" x14ac:dyDescent="0.25">
      <c r="B1608"/>
      <c r="C1608"/>
      <c r="D1608"/>
    </row>
    <row r="1609" spans="2:4" ht="15" customHeight="1" x14ac:dyDescent="0.25">
      <c r="B1609"/>
      <c r="C1609"/>
      <c r="D1609"/>
    </row>
    <row r="1610" spans="2:4" ht="15" customHeight="1" x14ac:dyDescent="0.25">
      <c r="B1610"/>
      <c r="C1610"/>
      <c r="D1610"/>
    </row>
    <row r="1611" spans="2:4" ht="15" customHeight="1" x14ac:dyDescent="0.25">
      <c r="B1611"/>
      <c r="C1611"/>
      <c r="D1611"/>
    </row>
    <row r="1612" spans="2:4" ht="15" customHeight="1" x14ac:dyDescent="0.25">
      <c r="B1612"/>
      <c r="C1612"/>
      <c r="D1612"/>
    </row>
    <row r="1613" spans="2:4" ht="15" customHeight="1" x14ac:dyDescent="0.25">
      <c r="B1613"/>
      <c r="C1613"/>
      <c r="D1613"/>
    </row>
    <row r="1614" spans="2:4" ht="15" customHeight="1" x14ac:dyDescent="0.25">
      <c r="B1614"/>
      <c r="C1614"/>
      <c r="D1614"/>
    </row>
    <row r="1615" spans="2:4" ht="15" customHeight="1" x14ac:dyDescent="0.25">
      <c r="B1615"/>
      <c r="C1615"/>
      <c r="D1615"/>
    </row>
    <row r="1616" spans="2:4" ht="15" customHeight="1" x14ac:dyDescent="0.25">
      <c r="B1616"/>
      <c r="C1616"/>
      <c r="D1616"/>
    </row>
    <row r="1617" spans="2:4" ht="15" customHeight="1" x14ac:dyDescent="0.25">
      <c r="B1617"/>
      <c r="C1617"/>
      <c r="D1617"/>
    </row>
    <row r="1618" spans="2:4" ht="15" customHeight="1" x14ac:dyDescent="0.25">
      <c r="B1618"/>
      <c r="C1618"/>
      <c r="D1618"/>
    </row>
    <row r="1619" spans="2:4" ht="15" customHeight="1" x14ac:dyDescent="0.25">
      <c r="B1619"/>
      <c r="C1619"/>
      <c r="D1619"/>
    </row>
    <row r="1620" spans="2:4" ht="15" customHeight="1" x14ac:dyDescent="0.25">
      <c r="B1620"/>
      <c r="C1620"/>
      <c r="D1620"/>
    </row>
    <row r="1621" spans="2:4" ht="15" customHeight="1" x14ac:dyDescent="0.25">
      <c r="B1621"/>
      <c r="C1621"/>
      <c r="D1621"/>
    </row>
    <row r="1622" spans="2:4" ht="15" customHeight="1" x14ac:dyDescent="0.25">
      <c r="B1622"/>
      <c r="C1622"/>
      <c r="D1622"/>
    </row>
    <row r="1623" spans="2:4" ht="15" customHeight="1" x14ac:dyDescent="0.25">
      <c r="B1623"/>
      <c r="C1623"/>
      <c r="D1623"/>
    </row>
    <row r="1624" spans="2:4" ht="15" customHeight="1" x14ac:dyDescent="0.25">
      <c r="B1624"/>
      <c r="C1624"/>
      <c r="D1624"/>
    </row>
    <row r="1625" spans="2:4" ht="15" customHeight="1" x14ac:dyDescent="0.25">
      <c r="B1625"/>
      <c r="C1625"/>
      <c r="D1625"/>
    </row>
    <row r="1626" spans="2:4" ht="15" customHeight="1" x14ac:dyDescent="0.25">
      <c r="B1626"/>
      <c r="C1626"/>
      <c r="D1626"/>
    </row>
    <row r="1627" spans="2:4" ht="15" customHeight="1" x14ac:dyDescent="0.25">
      <c r="B1627"/>
      <c r="C1627"/>
      <c r="D1627"/>
    </row>
    <row r="1628" spans="2:4" ht="15" customHeight="1" x14ac:dyDescent="0.25">
      <c r="B1628"/>
      <c r="C1628"/>
      <c r="D1628"/>
    </row>
    <row r="1629" spans="2:4" ht="15" customHeight="1" x14ac:dyDescent="0.25">
      <c r="B1629"/>
      <c r="C1629"/>
      <c r="D1629"/>
    </row>
    <row r="1630" spans="2:4" ht="15" customHeight="1" x14ac:dyDescent="0.25">
      <c r="B1630"/>
      <c r="C1630"/>
      <c r="D1630"/>
    </row>
    <row r="1631" spans="2:4" ht="15" customHeight="1" x14ac:dyDescent="0.25">
      <c r="B1631"/>
      <c r="C1631"/>
      <c r="D1631"/>
    </row>
    <row r="1632" spans="2:4" ht="15" customHeight="1" x14ac:dyDescent="0.25">
      <c r="B1632"/>
      <c r="C1632"/>
      <c r="D1632"/>
    </row>
    <row r="1633" spans="2:4" ht="15" customHeight="1" x14ac:dyDescent="0.25">
      <c r="B1633"/>
      <c r="C1633"/>
      <c r="D1633"/>
    </row>
    <row r="1634" spans="2:4" ht="15" customHeight="1" x14ac:dyDescent="0.25">
      <c r="B1634"/>
      <c r="C1634"/>
      <c r="D1634"/>
    </row>
    <row r="1635" spans="2:4" ht="15" customHeight="1" x14ac:dyDescent="0.25">
      <c r="B1635"/>
      <c r="C1635"/>
      <c r="D1635"/>
    </row>
    <row r="1636" spans="2:4" ht="15" customHeight="1" x14ac:dyDescent="0.25">
      <c r="B1636"/>
      <c r="C1636"/>
      <c r="D1636"/>
    </row>
    <row r="1637" spans="2:4" ht="15" customHeight="1" x14ac:dyDescent="0.25">
      <c r="B1637"/>
      <c r="C1637"/>
      <c r="D1637"/>
    </row>
    <row r="1638" spans="2:4" ht="15" customHeight="1" x14ac:dyDescent="0.25">
      <c r="B1638"/>
      <c r="C1638"/>
      <c r="D1638"/>
    </row>
    <row r="1639" spans="2:4" ht="15" customHeight="1" x14ac:dyDescent="0.25">
      <c r="B1639"/>
      <c r="C1639"/>
      <c r="D1639"/>
    </row>
    <row r="1640" spans="2:4" ht="15" customHeight="1" x14ac:dyDescent="0.25">
      <c r="B1640"/>
      <c r="C1640"/>
      <c r="D1640"/>
    </row>
    <row r="1641" spans="2:4" ht="15" customHeight="1" x14ac:dyDescent="0.25">
      <c r="B1641"/>
      <c r="C1641"/>
      <c r="D1641"/>
    </row>
    <row r="1642" spans="2:4" ht="15" customHeight="1" x14ac:dyDescent="0.25">
      <c r="B1642"/>
      <c r="C1642"/>
      <c r="D1642"/>
    </row>
    <row r="1643" spans="2:4" ht="15" customHeight="1" x14ac:dyDescent="0.25">
      <c r="B1643"/>
      <c r="C1643"/>
      <c r="D1643"/>
    </row>
    <row r="1644" spans="2:4" ht="15" customHeight="1" x14ac:dyDescent="0.25">
      <c r="B1644"/>
      <c r="C1644"/>
      <c r="D1644"/>
    </row>
    <row r="1645" spans="2:4" ht="15" customHeight="1" x14ac:dyDescent="0.25">
      <c r="B1645"/>
      <c r="C1645"/>
      <c r="D1645"/>
    </row>
    <row r="1646" spans="2:4" ht="15" customHeight="1" x14ac:dyDescent="0.25">
      <c r="B1646"/>
      <c r="C1646"/>
      <c r="D1646"/>
    </row>
    <row r="1647" spans="2:4" ht="15" customHeight="1" x14ac:dyDescent="0.25">
      <c r="B1647"/>
      <c r="C1647"/>
      <c r="D1647"/>
    </row>
    <row r="1648" spans="2:4" ht="15" customHeight="1" x14ac:dyDescent="0.25">
      <c r="B1648"/>
      <c r="C1648"/>
      <c r="D1648"/>
    </row>
    <row r="1649" spans="2:4" ht="15" customHeight="1" x14ac:dyDescent="0.25">
      <c r="B1649"/>
      <c r="C1649"/>
      <c r="D1649"/>
    </row>
    <row r="1650" spans="2:4" ht="15" customHeight="1" x14ac:dyDescent="0.25">
      <c r="B1650"/>
      <c r="C1650"/>
      <c r="D1650"/>
    </row>
    <row r="1651" spans="2:4" ht="15" customHeight="1" x14ac:dyDescent="0.25">
      <c r="B1651"/>
      <c r="C1651"/>
      <c r="D1651"/>
    </row>
    <row r="1652" spans="2:4" ht="15" customHeight="1" x14ac:dyDescent="0.25">
      <c r="B1652"/>
      <c r="C1652"/>
      <c r="D1652"/>
    </row>
    <row r="1653" spans="2:4" ht="15" customHeight="1" x14ac:dyDescent="0.25">
      <c r="B1653"/>
      <c r="C1653"/>
      <c r="D1653"/>
    </row>
    <row r="1654" spans="2:4" ht="15" customHeight="1" x14ac:dyDescent="0.25">
      <c r="B1654"/>
      <c r="C1654"/>
      <c r="D1654"/>
    </row>
    <row r="1655" spans="2:4" ht="15" customHeight="1" x14ac:dyDescent="0.25">
      <c r="B1655"/>
      <c r="C1655"/>
      <c r="D1655"/>
    </row>
    <row r="1656" spans="2:4" ht="15" customHeight="1" x14ac:dyDescent="0.25">
      <c r="B1656"/>
      <c r="C1656"/>
      <c r="D1656"/>
    </row>
    <row r="1657" spans="2:4" ht="15" customHeight="1" x14ac:dyDescent="0.25">
      <c r="B1657"/>
      <c r="C1657"/>
      <c r="D1657"/>
    </row>
    <row r="1658" spans="2:4" ht="15" customHeight="1" x14ac:dyDescent="0.25">
      <c r="B1658"/>
      <c r="C1658"/>
      <c r="D1658"/>
    </row>
    <row r="1659" spans="2:4" ht="15" customHeight="1" x14ac:dyDescent="0.25">
      <c r="B1659"/>
      <c r="C1659"/>
      <c r="D1659"/>
    </row>
    <row r="1660" spans="2:4" ht="15" customHeight="1" x14ac:dyDescent="0.25">
      <c r="B1660"/>
      <c r="C1660"/>
      <c r="D1660"/>
    </row>
    <row r="1661" spans="2:4" ht="15" customHeight="1" x14ac:dyDescent="0.25">
      <c r="B1661"/>
      <c r="C1661"/>
      <c r="D1661"/>
    </row>
    <row r="1662" spans="2:4" ht="15" customHeight="1" x14ac:dyDescent="0.25">
      <c r="B1662"/>
      <c r="C1662"/>
      <c r="D1662"/>
    </row>
    <row r="1663" spans="2:4" ht="15" customHeight="1" x14ac:dyDescent="0.25">
      <c r="B1663"/>
      <c r="C1663"/>
      <c r="D1663"/>
    </row>
    <row r="1664" spans="2:4" ht="15" customHeight="1" x14ac:dyDescent="0.25">
      <c r="B1664"/>
      <c r="C1664"/>
      <c r="D1664"/>
    </row>
    <row r="1665" spans="2:4" ht="15" customHeight="1" x14ac:dyDescent="0.25">
      <c r="B1665"/>
      <c r="C1665"/>
      <c r="D1665"/>
    </row>
    <row r="1666" spans="2:4" ht="15" customHeight="1" x14ac:dyDescent="0.25">
      <c r="B1666"/>
      <c r="C1666"/>
      <c r="D1666"/>
    </row>
    <row r="1667" spans="2:4" ht="15" customHeight="1" x14ac:dyDescent="0.25">
      <c r="B1667"/>
      <c r="C1667"/>
      <c r="D1667"/>
    </row>
    <row r="1668" spans="2:4" ht="15" customHeight="1" x14ac:dyDescent="0.25">
      <c r="B1668"/>
      <c r="C1668"/>
      <c r="D1668"/>
    </row>
    <row r="1669" spans="2:4" ht="15" customHeight="1" x14ac:dyDescent="0.25">
      <c r="B1669"/>
      <c r="C1669"/>
      <c r="D1669"/>
    </row>
    <row r="1670" spans="2:4" ht="15" customHeight="1" x14ac:dyDescent="0.25">
      <c r="B1670"/>
      <c r="C1670"/>
      <c r="D1670"/>
    </row>
    <row r="1671" spans="2:4" ht="15" customHeight="1" x14ac:dyDescent="0.25">
      <c r="B1671"/>
      <c r="C1671"/>
      <c r="D1671"/>
    </row>
    <row r="1672" spans="2:4" ht="15" customHeight="1" x14ac:dyDescent="0.25">
      <c r="B1672"/>
      <c r="C1672"/>
      <c r="D1672"/>
    </row>
    <row r="1673" spans="2:4" ht="15" customHeight="1" x14ac:dyDescent="0.25">
      <c r="B1673"/>
      <c r="C1673"/>
      <c r="D1673"/>
    </row>
    <row r="1674" spans="2:4" ht="15" customHeight="1" x14ac:dyDescent="0.25">
      <c r="B1674"/>
      <c r="C1674"/>
      <c r="D1674"/>
    </row>
    <row r="1675" spans="2:4" ht="15" customHeight="1" x14ac:dyDescent="0.25">
      <c r="B1675"/>
      <c r="C1675"/>
      <c r="D1675"/>
    </row>
    <row r="1676" spans="2:4" ht="15" customHeight="1" x14ac:dyDescent="0.25">
      <c r="B1676"/>
      <c r="C1676"/>
      <c r="D1676"/>
    </row>
    <row r="1677" spans="2:4" ht="15" customHeight="1" x14ac:dyDescent="0.25">
      <c r="B1677"/>
      <c r="C1677"/>
      <c r="D1677"/>
    </row>
    <row r="1678" spans="2:4" ht="15" customHeight="1" x14ac:dyDescent="0.25">
      <c r="B1678"/>
      <c r="C1678"/>
      <c r="D1678"/>
    </row>
    <row r="1679" spans="2:4" ht="15" customHeight="1" x14ac:dyDescent="0.25">
      <c r="B1679"/>
      <c r="C1679"/>
      <c r="D1679"/>
    </row>
    <row r="1680" spans="2:4" ht="15" customHeight="1" x14ac:dyDescent="0.25">
      <c r="B1680"/>
      <c r="C1680"/>
      <c r="D1680"/>
    </row>
    <row r="1681" spans="2:4" ht="15" customHeight="1" x14ac:dyDescent="0.25">
      <c r="B1681"/>
      <c r="C1681"/>
      <c r="D1681"/>
    </row>
    <row r="1682" spans="2:4" ht="15" customHeight="1" x14ac:dyDescent="0.25">
      <c r="B1682"/>
      <c r="C1682"/>
      <c r="D1682"/>
    </row>
    <row r="1683" spans="2:4" ht="15" customHeight="1" x14ac:dyDescent="0.25">
      <c r="B1683"/>
      <c r="C1683"/>
      <c r="D1683"/>
    </row>
    <row r="1684" spans="2:4" ht="15" customHeight="1" x14ac:dyDescent="0.25">
      <c r="B1684"/>
      <c r="C1684"/>
      <c r="D1684"/>
    </row>
    <row r="1685" spans="2:4" ht="15" customHeight="1" x14ac:dyDescent="0.25">
      <c r="B1685"/>
      <c r="C1685"/>
      <c r="D1685"/>
    </row>
    <row r="1686" spans="2:4" ht="15" customHeight="1" x14ac:dyDescent="0.25">
      <c r="B1686"/>
      <c r="C1686"/>
      <c r="D1686"/>
    </row>
    <row r="1687" spans="2:4" ht="15" customHeight="1" x14ac:dyDescent="0.25">
      <c r="B1687"/>
      <c r="C1687"/>
      <c r="D1687"/>
    </row>
    <row r="1688" spans="2:4" ht="15" customHeight="1" x14ac:dyDescent="0.25">
      <c r="B1688"/>
      <c r="C1688"/>
      <c r="D1688"/>
    </row>
    <row r="1689" spans="2:4" ht="15" customHeight="1" x14ac:dyDescent="0.25">
      <c r="B1689"/>
      <c r="C1689"/>
      <c r="D1689"/>
    </row>
    <row r="1690" spans="2:4" ht="15" customHeight="1" x14ac:dyDescent="0.25">
      <c r="B1690"/>
      <c r="C1690"/>
      <c r="D1690"/>
    </row>
    <row r="1691" spans="2:4" ht="15" customHeight="1" x14ac:dyDescent="0.25">
      <c r="B1691"/>
      <c r="C1691"/>
      <c r="D1691"/>
    </row>
    <row r="1692" spans="2:4" ht="15" customHeight="1" x14ac:dyDescent="0.25">
      <c r="B1692"/>
      <c r="C1692"/>
      <c r="D1692"/>
    </row>
    <row r="1693" spans="2:4" ht="15" customHeight="1" x14ac:dyDescent="0.25">
      <c r="B1693"/>
      <c r="C1693"/>
      <c r="D1693"/>
    </row>
    <row r="1694" spans="2:4" ht="15" customHeight="1" x14ac:dyDescent="0.25">
      <c r="B1694"/>
      <c r="C1694"/>
      <c r="D1694"/>
    </row>
    <row r="1695" spans="2:4" ht="15" customHeight="1" x14ac:dyDescent="0.25">
      <c r="B1695"/>
      <c r="C1695"/>
      <c r="D1695"/>
    </row>
    <row r="1696" spans="2:4" ht="15" customHeight="1" x14ac:dyDescent="0.25">
      <c r="B1696"/>
      <c r="C1696"/>
      <c r="D1696"/>
    </row>
    <row r="1697" spans="2:4" ht="15" customHeight="1" x14ac:dyDescent="0.25">
      <c r="B1697"/>
      <c r="C1697"/>
      <c r="D1697"/>
    </row>
    <row r="1698" spans="2:4" ht="15" customHeight="1" x14ac:dyDescent="0.25">
      <c r="B1698"/>
      <c r="C1698"/>
      <c r="D1698"/>
    </row>
    <row r="1699" spans="2:4" ht="15" customHeight="1" x14ac:dyDescent="0.25">
      <c r="B1699"/>
      <c r="C1699"/>
      <c r="D1699"/>
    </row>
    <row r="1700" spans="2:4" ht="15" customHeight="1" x14ac:dyDescent="0.25">
      <c r="B1700"/>
      <c r="C1700"/>
      <c r="D1700"/>
    </row>
    <row r="1701" spans="2:4" ht="15" customHeight="1" x14ac:dyDescent="0.25">
      <c r="B1701"/>
      <c r="C1701"/>
      <c r="D1701"/>
    </row>
    <row r="1702" spans="2:4" ht="15" customHeight="1" x14ac:dyDescent="0.25">
      <c r="B1702"/>
      <c r="C1702"/>
      <c r="D1702"/>
    </row>
    <row r="1703" spans="2:4" ht="15" customHeight="1" x14ac:dyDescent="0.25">
      <c r="B1703"/>
      <c r="C1703"/>
      <c r="D1703"/>
    </row>
    <row r="1704" spans="2:4" ht="15" customHeight="1" x14ac:dyDescent="0.25">
      <c r="B1704"/>
      <c r="C1704"/>
      <c r="D1704"/>
    </row>
    <row r="1705" spans="2:4" ht="15" customHeight="1" x14ac:dyDescent="0.25">
      <c r="B1705"/>
      <c r="C1705"/>
      <c r="D1705"/>
    </row>
    <row r="1706" spans="2:4" ht="15" customHeight="1" x14ac:dyDescent="0.25">
      <c r="B1706"/>
      <c r="C1706"/>
      <c r="D1706"/>
    </row>
    <row r="1707" spans="2:4" ht="15" customHeight="1" x14ac:dyDescent="0.25">
      <c r="B1707"/>
      <c r="C1707"/>
      <c r="D1707"/>
    </row>
    <row r="1708" spans="2:4" ht="15" customHeight="1" x14ac:dyDescent="0.25">
      <c r="B1708"/>
      <c r="C1708"/>
      <c r="D1708"/>
    </row>
    <row r="1709" spans="2:4" ht="15" customHeight="1" x14ac:dyDescent="0.25">
      <c r="B1709"/>
      <c r="C1709"/>
      <c r="D1709"/>
    </row>
    <row r="1710" spans="2:4" ht="15" customHeight="1" x14ac:dyDescent="0.25">
      <c r="B1710"/>
      <c r="C1710"/>
      <c r="D1710"/>
    </row>
    <row r="1711" spans="2:4" ht="15" customHeight="1" x14ac:dyDescent="0.25">
      <c r="B1711"/>
      <c r="C1711"/>
      <c r="D1711"/>
    </row>
    <row r="1712" spans="2:4" ht="15" customHeight="1" x14ac:dyDescent="0.25">
      <c r="B1712"/>
      <c r="C1712"/>
      <c r="D1712"/>
    </row>
    <row r="1713" spans="2:4" ht="15" customHeight="1" x14ac:dyDescent="0.25">
      <c r="B1713"/>
      <c r="C1713"/>
      <c r="D1713"/>
    </row>
    <row r="1714" spans="2:4" ht="15" customHeight="1" x14ac:dyDescent="0.25">
      <c r="B1714"/>
      <c r="C1714"/>
      <c r="D1714"/>
    </row>
    <row r="1715" spans="2:4" ht="15" customHeight="1" x14ac:dyDescent="0.25">
      <c r="B1715"/>
      <c r="C1715"/>
      <c r="D1715"/>
    </row>
    <row r="1716" spans="2:4" ht="15" customHeight="1" x14ac:dyDescent="0.25">
      <c r="B1716"/>
      <c r="C1716"/>
      <c r="D1716"/>
    </row>
    <row r="1717" spans="2:4" ht="15" customHeight="1" x14ac:dyDescent="0.25">
      <c r="B1717"/>
      <c r="C1717"/>
      <c r="D1717"/>
    </row>
    <row r="1718" spans="2:4" ht="15" customHeight="1" x14ac:dyDescent="0.25">
      <c r="B1718"/>
      <c r="C1718"/>
      <c r="D1718"/>
    </row>
    <row r="1719" spans="2:4" ht="15" customHeight="1" x14ac:dyDescent="0.25">
      <c r="B1719"/>
      <c r="C1719"/>
      <c r="D1719"/>
    </row>
    <row r="1720" spans="2:4" ht="15" customHeight="1" x14ac:dyDescent="0.25">
      <c r="B1720"/>
      <c r="C1720"/>
      <c r="D1720"/>
    </row>
    <row r="1721" spans="2:4" ht="15" customHeight="1" x14ac:dyDescent="0.25">
      <c r="B1721"/>
      <c r="C1721"/>
      <c r="D1721"/>
    </row>
    <row r="1722" spans="2:4" ht="15" customHeight="1" x14ac:dyDescent="0.25">
      <c r="B1722"/>
      <c r="C1722"/>
      <c r="D1722"/>
    </row>
    <row r="1723" spans="2:4" ht="15" customHeight="1" x14ac:dyDescent="0.25">
      <c r="B1723"/>
      <c r="C1723"/>
      <c r="D1723"/>
    </row>
    <row r="1724" spans="2:4" ht="15" customHeight="1" x14ac:dyDescent="0.25">
      <c r="B1724"/>
      <c r="C1724"/>
      <c r="D1724"/>
    </row>
    <row r="1725" spans="2:4" ht="15" customHeight="1" x14ac:dyDescent="0.25">
      <c r="B1725"/>
      <c r="C1725"/>
      <c r="D1725"/>
    </row>
    <row r="1726" spans="2:4" ht="15" customHeight="1" x14ac:dyDescent="0.25">
      <c r="B1726"/>
      <c r="C1726"/>
      <c r="D1726"/>
    </row>
    <row r="1727" spans="2:4" ht="15" customHeight="1" x14ac:dyDescent="0.25">
      <c r="B1727"/>
      <c r="C1727"/>
      <c r="D1727"/>
    </row>
    <row r="1728" spans="2:4" ht="15" customHeight="1" x14ac:dyDescent="0.25">
      <c r="B1728"/>
      <c r="C1728"/>
      <c r="D1728"/>
    </row>
    <row r="1729" spans="2:4" ht="15" customHeight="1" x14ac:dyDescent="0.25">
      <c r="B1729"/>
      <c r="C1729"/>
      <c r="D1729"/>
    </row>
    <row r="1730" spans="2:4" ht="15" customHeight="1" x14ac:dyDescent="0.25">
      <c r="B1730"/>
      <c r="C1730"/>
      <c r="D1730"/>
    </row>
    <row r="1731" spans="2:4" ht="15" customHeight="1" x14ac:dyDescent="0.25">
      <c r="B1731"/>
      <c r="C1731"/>
      <c r="D1731"/>
    </row>
    <row r="1732" spans="2:4" ht="15" customHeight="1" x14ac:dyDescent="0.25">
      <c r="B1732"/>
      <c r="C1732"/>
      <c r="D1732"/>
    </row>
    <row r="1733" spans="2:4" ht="15" customHeight="1" x14ac:dyDescent="0.25">
      <c r="B1733"/>
      <c r="C1733"/>
      <c r="D1733"/>
    </row>
    <row r="1734" spans="2:4" ht="15" customHeight="1" x14ac:dyDescent="0.25">
      <c r="B1734"/>
      <c r="C1734"/>
      <c r="D1734"/>
    </row>
    <row r="1735" spans="2:4" ht="15" customHeight="1" x14ac:dyDescent="0.25">
      <c r="B1735"/>
      <c r="C1735"/>
      <c r="D1735"/>
    </row>
    <row r="1736" spans="2:4" ht="15" customHeight="1" x14ac:dyDescent="0.25">
      <c r="B1736"/>
      <c r="C1736"/>
      <c r="D1736"/>
    </row>
    <row r="1737" spans="2:4" ht="15" customHeight="1" x14ac:dyDescent="0.25">
      <c r="B1737"/>
      <c r="C1737"/>
      <c r="D1737"/>
    </row>
    <row r="1738" spans="2:4" ht="15" customHeight="1" x14ac:dyDescent="0.25">
      <c r="B1738"/>
      <c r="C1738"/>
      <c r="D1738"/>
    </row>
    <row r="1739" spans="2:4" ht="15" customHeight="1" x14ac:dyDescent="0.25">
      <c r="B1739"/>
      <c r="C1739"/>
      <c r="D1739"/>
    </row>
    <row r="1740" spans="2:4" ht="15" customHeight="1" x14ac:dyDescent="0.25">
      <c r="B1740"/>
      <c r="C1740"/>
      <c r="D1740"/>
    </row>
    <row r="1741" spans="2:4" ht="15" customHeight="1" x14ac:dyDescent="0.25">
      <c r="B1741"/>
      <c r="C1741"/>
      <c r="D1741"/>
    </row>
    <row r="1742" spans="2:4" ht="15" customHeight="1" x14ac:dyDescent="0.25">
      <c r="B1742"/>
      <c r="C1742"/>
      <c r="D1742"/>
    </row>
    <row r="1743" spans="2:4" ht="15" customHeight="1" x14ac:dyDescent="0.25">
      <c r="B1743"/>
      <c r="C1743"/>
      <c r="D1743"/>
    </row>
    <row r="1744" spans="2:4" ht="15" customHeight="1" x14ac:dyDescent="0.25">
      <c r="B1744"/>
      <c r="C1744"/>
      <c r="D1744"/>
    </row>
    <row r="1745" spans="2:4" ht="15" customHeight="1" x14ac:dyDescent="0.25">
      <c r="B1745"/>
      <c r="C1745"/>
      <c r="D1745"/>
    </row>
    <row r="1746" spans="2:4" ht="15" customHeight="1" x14ac:dyDescent="0.25">
      <c r="B1746"/>
      <c r="C1746"/>
      <c r="D1746"/>
    </row>
    <row r="1747" spans="2:4" ht="15" customHeight="1" x14ac:dyDescent="0.25">
      <c r="B1747"/>
      <c r="C1747"/>
      <c r="D1747"/>
    </row>
    <row r="1748" spans="2:4" ht="15" customHeight="1" x14ac:dyDescent="0.25">
      <c r="B1748"/>
      <c r="C1748"/>
      <c r="D1748"/>
    </row>
    <row r="1749" spans="2:4" ht="15" customHeight="1" x14ac:dyDescent="0.25">
      <c r="B1749"/>
      <c r="C1749"/>
      <c r="D1749"/>
    </row>
    <row r="1750" spans="2:4" ht="15" customHeight="1" x14ac:dyDescent="0.25">
      <c r="B1750"/>
      <c r="C1750"/>
      <c r="D1750"/>
    </row>
    <row r="1751" spans="2:4" ht="15" customHeight="1" x14ac:dyDescent="0.25">
      <c r="B1751"/>
      <c r="C1751"/>
      <c r="D1751"/>
    </row>
    <row r="1752" spans="2:4" ht="15" customHeight="1" x14ac:dyDescent="0.25">
      <c r="B1752"/>
      <c r="C1752"/>
      <c r="D1752"/>
    </row>
    <row r="1753" spans="2:4" ht="15" customHeight="1" x14ac:dyDescent="0.25">
      <c r="B1753"/>
      <c r="C1753"/>
      <c r="D1753"/>
    </row>
    <row r="1754" spans="2:4" ht="15" customHeight="1" x14ac:dyDescent="0.25">
      <c r="B1754"/>
      <c r="C1754"/>
      <c r="D1754"/>
    </row>
    <row r="1755" spans="2:4" ht="15" customHeight="1" x14ac:dyDescent="0.25">
      <c r="B1755"/>
      <c r="C1755"/>
      <c r="D1755"/>
    </row>
    <row r="1756" spans="2:4" ht="15" customHeight="1" x14ac:dyDescent="0.25">
      <c r="B1756"/>
      <c r="C1756"/>
      <c r="D1756"/>
    </row>
    <row r="1757" spans="2:4" ht="15" customHeight="1" x14ac:dyDescent="0.25">
      <c r="B1757"/>
      <c r="C1757"/>
      <c r="D1757"/>
    </row>
    <row r="1758" spans="2:4" ht="15" customHeight="1" x14ac:dyDescent="0.25">
      <c r="B1758"/>
      <c r="C1758"/>
      <c r="D1758"/>
    </row>
    <row r="1759" spans="2:4" ht="15" customHeight="1" x14ac:dyDescent="0.25">
      <c r="B1759"/>
      <c r="C1759"/>
      <c r="D1759"/>
    </row>
    <row r="1760" spans="2:4" ht="15" customHeight="1" x14ac:dyDescent="0.25">
      <c r="B1760"/>
      <c r="C1760"/>
      <c r="D1760"/>
    </row>
    <row r="1761" spans="2:4" ht="15" customHeight="1" x14ac:dyDescent="0.25">
      <c r="B1761"/>
      <c r="C1761"/>
      <c r="D1761"/>
    </row>
    <row r="1762" spans="2:4" ht="15" customHeight="1" x14ac:dyDescent="0.25">
      <c r="B1762"/>
      <c r="C1762"/>
      <c r="D1762"/>
    </row>
    <row r="1763" spans="2:4" ht="15" customHeight="1" x14ac:dyDescent="0.25">
      <c r="B1763"/>
      <c r="C1763"/>
      <c r="D1763"/>
    </row>
    <row r="1764" spans="2:4" ht="15" customHeight="1" x14ac:dyDescent="0.25">
      <c r="B1764"/>
      <c r="C1764"/>
      <c r="D1764"/>
    </row>
    <row r="1765" spans="2:4" ht="15" customHeight="1" x14ac:dyDescent="0.25">
      <c r="B1765"/>
      <c r="C1765"/>
      <c r="D1765"/>
    </row>
    <row r="1766" spans="2:4" ht="15" customHeight="1" x14ac:dyDescent="0.25">
      <c r="B1766"/>
      <c r="C1766"/>
      <c r="D1766"/>
    </row>
    <row r="1767" spans="2:4" ht="15" customHeight="1" x14ac:dyDescent="0.25">
      <c r="B1767"/>
      <c r="C1767"/>
      <c r="D1767"/>
    </row>
    <row r="1768" spans="2:4" ht="15" customHeight="1" x14ac:dyDescent="0.25">
      <c r="B1768"/>
      <c r="C1768"/>
      <c r="D1768"/>
    </row>
    <row r="1769" spans="2:4" ht="15" customHeight="1" x14ac:dyDescent="0.25">
      <c r="B1769"/>
      <c r="C1769"/>
      <c r="D1769"/>
    </row>
    <row r="1770" spans="2:4" ht="15" customHeight="1" x14ac:dyDescent="0.25">
      <c r="B1770"/>
      <c r="C1770"/>
      <c r="D1770"/>
    </row>
    <row r="1771" spans="2:4" ht="15" customHeight="1" x14ac:dyDescent="0.25">
      <c r="B1771"/>
      <c r="C1771"/>
      <c r="D1771"/>
    </row>
    <row r="1772" spans="2:4" ht="15" customHeight="1" x14ac:dyDescent="0.25">
      <c r="B1772"/>
      <c r="C1772"/>
      <c r="D1772"/>
    </row>
    <row r="1773" spans="2:4" ht="15" customHeight="1" x14ac:dyDescent="0.25">
      <c r="B1773"/>
      <c r="C1773"/>
      <c r="D1773"/>
    </row>
    <row r="1774" spans="2:4" ht="15" customHeight="1" x14ac:dyDescent="0.25">
      <c r="B1774"/>
      <c r="C1774"/>
      <c r="D1774"/>
    </row>
    <row r="1775" spans="2:4" ht="15" customHeight="1" x14ac:dyDescent="0.25">
      <c r="B1775"/>
      <c r="C1775"/>
      <c r="D1775"/>
    </row>
    <row r="1776" spans="2:4" ht="15" customHeight="1" x14ac:dyDescent="0.25">
      <c r="B1776"/>
      <c r="C1776"/>
      <c r="D1776"/>
    </row>
    <row r="1777" spans="2:4" ht="15" customHeight="1" x14ac:dyDescent="0.25">
      <c r="B1777"/>
      <c r="C1777"/>
      <c r="D1777"/>
    </row>
    <row r="1778" spans="2:4" ht="15" customHeight="1" x14ac:dyDescent="0.25">
      <c r="B1778"/>
      <c r="C1778"/>
      <c r="D1778"/>
    </row>
    <row r="1779" spans="2:4" ht="15" customHeight="1" x14ac:dyDescent="0.25">
      <c r="B1779"/>
      <c r="C1779"/>
      <c r="D1779"/>
    </row>
    <row r="1780" spans="2:4" ht="15" customHeight="1" x14ac:dyDescent="0.25">
      <c r="B1780"/>
      <c r="C1780"/>
      <c r="D1780"/>
    </row>
    <row r="1781" spans="2:4" ht="15" customHeight="1" x14ac:dyDescent="0.25">
      <c r="B1781"/>
      <c r="C1781"/>
      <c r="D1781"/>
    </row>
    <row r="1782" spans="2:4" ht="15" customHeight="1" x14ac:dyDescent="0.25">
      <c r="B1782"/>
      <c r="C1782"/>
      <c r="D1782"/>
    </row>
    <row r="1783" spans="2:4" ht="15" customHeight="1" x14ac:dyDescent="0.25">
      <c r="B1783"/>
      <c r="C1783"/>
      <c r="D1783"/>
    </row>
    <row r="1784" spans="2:4" ht="15" customHeight="1" x14ac:dyDescent="0.25">
      <c r="B1784"/>
      <c r="C1784"/>
      <c r="D1784"/>
    </row>
    <row r="1785" spans="2:4" ht="15" customHeight="1" x14ac:dyDescent="0.25">
      <c r="B1785"/>
      <c r="C1785"/>
      <c r="D1785"/>
    </row>
    <row r="1786" spans="2:4" ht="15" customHeight="1" x14ac:dyDescent="0.25">
      <c r="B1786"/>
      <c r="C1786"/>
      <c r="D1786"/>
    </row>
    <row r="1787" spans="2:4" ht="15" customHeight="1" x14ac:dyDescent="0.25">
      <c r="B1787"/>
      <c r="C1787"/>
      <c r="D1787"/>
    </row>
    <row r="1788" spans="2:4" ht="15" customHeight="1" x14ac:dyDescent="0.25">
      <c r="B1788"/>
      <c r="C1788"/>
      <c r="D1788"/>
    </row>
    <row r="1789" spans="2:4" ht="15" customHeight="1" x14ac:dyDescent="0.25">
      <c r="B1789"/>
      <c r="C1789"/>
      <c r="D1789"/>
    </row>
    <row r="1790" spans="2:4" ht="15" customHeight="1" x14ac:dyDescent="0.25">
      <c r="B1790"/>
      <c r="C1790"/>
      <c r="D1790"/>
    </row>
    <row r="1791" spans="2:4" ht="15" customHeight="1" x14ac:dyDescent="0.25">
      <c r="B1791"/>
      <c r="C1791"/>
      <c r="D1791"/>
    </row>
    <row r="1792" spans="2:4" ht="15" customHeight="1" x14ac:dyDescent="0.25">
      <c r="B1792"/>
      <c r="C1792"/>
      <c r="D1792"/>
    </row>
    <row r="1793" spans="2:4" ht="15" customHeight="1" x14ac:dyDescent="0.25">
      <c r="B1793"/>
      <c r="C1793"/>
      <c r="D1793"/>
    </row>
    <row r="1794" spans="2:4" ht="15" customHeight="1" x14ac:dyDescent="0.25">
      <c r="B1794"/>
      <c r="C1794"/>
      <c r="D1794"/>
    </row>
    <row r="1795" spans="2:4" ht="15" customHeight="1" x14ac:dyDescent="0.25">
      <c r="B1795"/>
      <c r="C1795"/>
      <c r="D1795"/>
    </row>
    <row r="1796" spans="2:4" ht="15" customHeight="1" x14ac:dyDescent="0.25">
      <c r="B1796"/>
      <c r="C1796"/>
      <c r="D1796"/>
    </row>
    <row r="1797" spans="2:4" ht="15" customHeight="1" x14ac:dyDescent="0.25">
      <c r="B1797"/>
      <c r="C1797"/>
      <c r="D1797"/>
    </row>
    <row r="1798" spans="2:4" ht="15" customHeight="1" x14ac:dyDescent="0.25">
      <c r="B1798"/>
      <c r="C1798"/>
      <c r="D1798"/>
    </row>
    <row r="1799" spans="2:4" ht="15" customHeight="1" x14ac:dyDescent="0.25">
      <c r="B1799"/>
      <c r="C1799"/>
      <c r="D1799"/>
    </row>
    <row r="1800" spans="2:4" ht="15" customHeight="1" x14ac:dyDescent="0.25">
      <c r="B1800"/>
      <c r="C1800"/>
      <c r="D1800"/>
    </row>
    <row r="1801" spans="2:4" ht="15" customHeight="1" x14ac:dyDescent="0.25">
      <c r="B1801"/>
      <c r="C1801"/>
      <c r="D1801"/>
    </row>
    <row r="1802" spans="2:4" ht="15" customHeight="1" x14ac:dyDescent="0.25">
      <c r="B1802"/>
      <c r="C1802"/>
      <c r="D1802"/>
    </row>
    <row r="1803" spans="2:4" ht="15" customHeight="1" x14ac:dyDescent="0.25">
      <c r="B1803"/>
      <c r="C1803"/>
      <c r="D1803"/>
    </row>
    <row r="1804" spans="2:4" ht="15" customHeight="1" x14ac:dyDescent="0.25">
      <c r="B1804"/>
      <c r="C1804"/>
      <c r="D1804"/>
    </row>
    <row r="1805" spans="2:4" ht="15" customHeight="1" x14ac:dyDescent="0.25">
      <c r="B1805"/>
      <c r="C1805"/>
      <c r="D1805"/>
    </row>
    <row r="1806" spans="2:4" ht="15" customHeight="1" x14ac:dyDescent="0.25">
      <c r="B1806"/>
      <c r="C1806"/>
      <c r="D1806"/>
    </row>
    <row r="1807" spans="2:4" ht="15" customHeight="1" x14ac:dyDescent="0.25">
      <c r="B1807"/>
      <c r="C1807"/>
      <c r="D1807"/>
    </row>
    <row r="1808" spans="2:4" ht="15" customHeight="1" x14ac:dyDescent="0.25">
      <c r="B1808"/>
      <c r="C1808"/>
      <c r="D1808"/>
    </row>
    <row r="1809" spans="2:4" ht="15" customHeight="1" x14ac:dyDescent="0.25">
      <c r="B1809"/>
      <c r="C1809"/>
      <c r="D1809"/>
    </row>
    <row r="1810" spans="2:4" ht="15" customHeight="1" x14ac:dyDescent="0.25">
      <c r="B1810"/>
      <c r="C1810"/>
      <c r="D1810"/>
    </row>
    <row r="1811" spans="2:4" ht="15" customHeight="1" x14ac:dyDescent="0.25">
      <c r="B1811"/>
      <c r="C1811"/>
      <c r="D1811"/>
    </row>
    <row r="1812" spans="2:4" ht="15" customHeight="1" x14ac:dyDescent="0.25">
      <c r="B1812"/>
      <c r="C1812"/>
      <c r="D1812"/>
    </row>
    <row r="1813" spans="2:4" ht="15" customHeight="1" x14ac:dyDescent="0.25">
      <c r="B1813"/>
      <c r="C1813"/>
      <c r="D1813"/>
    </row>
    <row r="1814" spans="2:4" ht="15" customHeight="1" x14ac:dyDescent="0.25">
      <c r="B1814"/>
      <c r="C1814"/>
      <c r="D1814"/>
    </row>
    <row r="1815" spans="2:4" ht="15" customHeight="1" x14ac:dyDescent="0.25">
      <c r="B1815"/>
      <c r="C1815"/>
      <c r="D1815"/>
    </row>
    <row r="1816" spans="2:4" ht="15" customHeight="1" x14ac:dyDescent="0.25">
      <c r="B1816"/>
      <c r="C1816"/>
      <c r="D1816"/>
    </row>
    <row r="1817" spans="2:4" ht="15" customHeight="1" x14ac:dyDescent="0.25">
      <c r="B1817"/>
      <c r="C1817"/>
      <c r="D1817"/>
    </row>
    <row r="1818" spans="2:4" ht="15" customHeight="1" x14ac:dyDescent="0.25">
      <c r="B1818"/>
      <c r="C1818"/>
      <c r="D1818"/>
    </row>
    <row r="1819" spans="2:4" ht="15" customHeight="1" x14ac:dyDescent="0.25">
      <c r="B1819"/>
      <c r="C1819"/>
      <c r="D1819"/>
    </row>
    <row r="1820" spans="2:4" ht="15" customHeight="1" x14ac:dyDescent="0.25">
      <c r="B1820"/>
      <c r="C1820"/>
      <c r="D1820"/>
    </row>
    <row r="1821" spans="2:4" ht="15" customHeight="1" x14ac:dyDescent="0.25">
      <c r="B1821"/>
      <c r="C1821"/>
      <c r="D1821"/>
    </row>
    <row r="1822" spans="2:4" ht="15" customHeight="1" x14ac:dyDescent="0.25">
      <c r="B1822"/>
      <c r="C1822"/>
      <c r="D1822"/>
    </row>
    <row r="1823" spans="2:4" ht="15" customHeight="1" x14ac:dyDescent="0.25">
      <c r="B1823"/>
      <c r="C1823"/>
      <c r="D1823"/>
    </row>
    <row r="1824" spans="2:4" ht="15" customHeight="1" x14ac:dyDescent="0.25">
      <c r="B1824"/>
      <c r="C1824"/>
      <c r="D1824"/>
    </row>
    <row r="1825" spans="2:4" ht="15" customHeight="1" x14ac:dyDescent="0.25">
      <c r="B1825"/>
      <c r="C1825"/>
      <c r="D1825"/>
    </row>
    <row r="1826" spans="2:4" ht="15" customHeight="1" x14ac:dyDescent="0.25">
      <c r="B1826"/>
      <c r="C1826"/>
      <c r="D1826"/>
    </row>
    <row r="1827" spans="2:4" ht="15" customHeight="1" x14ac:dyDescent="0.25">
      <c r="B1827"/>
      <c r="C1827"/>
      <c r="D1827"/>
    </row>
    <row r="1828" spans="2:4" ht="15" customHeight="1" x14ac:dyDescent="0.25">
      <c r="B1828"/>
      <c r="C1828"/>
      <c r="D1828"/>
    </row>
    <row r="1829" spans="2:4" ht="15" customHeight="1" x14ac:dyDescent="0.25">
      <c r="B1829"/>
      <c r="C1829"/>
      <c r="D1829"/>
    </row>
    <row r="1830" spans="2:4" ht="15" customHeight="1" x14ac:dyDescent="0.25">
      <c r="B1830"/>
      <c r="C1830"/>
      <c r="D1830"/>
    </row>
    <row r="1831" spans="2:4" ht="15" customHeight="1" x14ac:dyDescent="0.25">
      <c r="B1831"/>
      <c r="C1831"/>
      <c r="D1831"/>
    </row>
    <row r="1832" spans="2:4" ht="15" customHeight="1" x14ac:dyDescent="0.25">
      <c r="B1832"/>
      <c r="C1832"/>
      <c r="D1832"/>
    </row>
    <row r="1833" spans="2:4" ht="15" customHeight="1" x14ac:dyDescent="0.25">
      <c r="B1833"/>
      <c r="C1833"/>
      <c r="D1833"/>
    </row>
    <row r="1834" spans="2:4" ht="15" customHeight="1" x14ac:dyDescent="0.25">
      <c r="B1834"/>
      <c r="C1834"/>
      <c r="D1834"/>
    </row>
    <row r="1835" spans="2:4" ht="15" customHeight="1" x14ac:dyDescent="0.25">
      <c r="B1835"/>
      <c r="C1835"/>
      <c r="D1835"/>
    </row>
    <row r="1836" spans="2:4" ht="15" customHeight="1" x14ac:dyDescent="0.25">
      <c r="B1836"/>
      <c r="C1836"/>
      <c r="D1836"/>
    </row>
    <row r="1837" spans="2:4" ht="15" customHeight="1" x14ac:dyDescent="0.25">
      <c r="B1837"/>
      <c r="C1837"/>
      <c r="D1837"/>
    </row>
    <row r="1838" spans="2:4" ht="15" customHeight="1" x14ac:dyDescent="0.25">
      <c r="B1838"/>
      <c r="C1838"/>
      <c r="D1838"/>
    </row>
    <row r="1839" spans="2:4" ht="15" customHeight="1" x14ac:dyDescent="0.25">
      <c r="B1839"/>
      <c r="C1839"/>
      <c r="D1839"/>
    </row>
    <row r="1840" spans="2:4" ht="15" customHeight="1" x14ac:dyDescent="0.25">
      <c r="B1840"/>
      <c r="C1840"/>
      <c r="D1840"/>
    </row>
    <row r="1841" spans="2:4" ht="15" customHeight="1" x14ac:dyDescent="0.25">
      <c r="B1841"/>
      <c r="C1841"/>
      <c r="D1841"/>
    </row>
    <row r="1842" spans="2:4" ht="15" customHeight="1" x14ac:dyDescent="0.25">
      <c r="B1842"/>
      <c r="C1842"/>
      <c r="D1842"/>
    </row>
    <row r="1843" spans="2:4" ht="15" customHeight="1" x14ac:dyDescent="0.25">
      <c r="B1843"/>
      <c r="C1843"/>
      <c r="D1843"/>
    </row>
    <row r="1844" spans="2:4" ht="15" customHeight="1" x14ac:dyDescent="0.25">
      <c r="B1844"/>
      <c r="C1844"/>
      <c r="D1844"/>
    </row>
    <row r="1845" spans="2:4" ht="15" customHeight="1" x14ac:dyDescent="0.25">
      <c r="B1845"/>
      <c r="C1845"/>
      <c r="D1845"/>
    </row>
    <row r="1846" spans="2:4" ht="15" customHeight="1" x14ac:dyDescent="0.25">
      <c r="B1846"/>
      <c r="C1846"/>
      <c r="D1846"/>
    </row>
    <row r="1847" spans="2:4" ht="15" customHeight="1" x14ac:dyDescent="0.25">
      <c r="B1847"/>
      <c r="C1847"/>
      <c r="D1847"/>
    </row>
    <row r="1848" spans="2:4" ht="15" customHeight="1" x14ac:dyDescent="0.25">
      <c r="B1848"/>
      <c r="C1848"/>
      <c r="D1848"/>
    </row>
    <row r="1849" spans="2:4" ht="15" customHeight="1" x14ac:dyDescent="0.25">
      <c r="B1849"/>
      <c r="C1849"/>
      <c r="D1849"/>
    </row>
    <row r="1850" spans="2:4" ht="15" customHeight="1" x14ac:dyDescent="0.25">
      <c r="B1850"/>
      <c r="C1850"/>
      <c r="D1850"/>
    </row>
    <row r="1851" spans="2:4" ht="15" customHeight="1" x14ac:dyDescent="0.25">
      <c r="B1851"/>
      <c r="C1851"/>
      <c r="D1851"/>
    </row>
    <row r="1852" spans="2:4" ht="15" customHeight="1" x14ac:dyDescent="0.25">
      <c r="B1852"/>
      <c r="C1852"/>
      <c r="D1852"/>
    </row>
    <row r="1853" spans="2:4" ht="15" customHeight="1" x14ac:dyDescent="0.25">
      <c r="B1853"/>
      <c r="C1853"/>
      <c r="D1853"/>
    </row>
    <row r="1854" spans="2:4" ht="15" customHeight="1" x14ac:dyDescent="0.25">
      <c r="B1854"/>
      <c r="C1854"/>
      <c r="D1854"/>
    </row>
    <row r="1855" spans="2:4" ht="15" customHeight="1" x14ac:dyDescent="0.25">
      <c r="B1855"/>
      <c r="C1855"/>
      <c r="D1855"/>
    </row>
    <row r="1856" spans="2:4" ht="15" customHeight="1" x14ac:dyDescent="0.25">
      <c r="B1856"/>
      <c r="C1856"/>
      <c r="D1856"/>
    </row>
    <row r="1857" spans="2:4" ht="15" customHeight="1" x14ac:dyDescent="0.25">
      <c r="B1857"/>
      <c r="C1857"/>
      <c r="D1857"/>
    </row>
    <row r="1858" spans="2:4" ht="15" customHeight="1" x14ac:dyDescent="0.25">
      <c r="B1858"/>
      <c r="C1858"/>
      <c r="D1858"/>
    </row>
    <row r="1859" spans="2:4" ht="15" customHeight="1" x14ac:dyDescent="0.25">
      <c r="B1859"/>
      <c r="C1859"/>
      <c r="D1859"/>
    </row>
    <row r="1860" spans="2:4" ht="15" customHeight="1" x14ac:dyDescent="0.25">
      <c r="B1860"/>
      <c r="C1860"/>
      <c r="D1860"/>
    </row>
    <row r="1861" spans="2:4" ht="15" customHeight="1" x14ac:dyDescent="0.25">
      <c r="B1861"/>
      <c r="C1861"/>
      <c r="D1861"/>
    </row>
    <row r="1862" spans="2:4" ht="15" customHeight="1" x14ac:dyDescent="0.25">
      <c r="B1862"/>
      <c r="C1862"/>
      <c r="D1862"/>
    </row>
    <row r="1863" spans="2:4" ht="15" customHeight="1" x14ac:dyDescent="0.25">
      <c r="B1863"/>
      <c r="C1863"/>
      <c r="D1863"/>
    </row>
    <row r="1864" spans="2:4" ht="15" customHeight="1" x14ac:dyDescent="0.25">
      <c r="B1864"/>
      <c r="C1864"/>
      <c r="D1864"/>
    </row>
    <row r="1865" spans="2:4" ht="15" customHeight="1" x14ac:dyDescent="0.25">
      <c r="B1865"/>
      <c r="C1865"/>
      <c r="D1865"/>
    </row>
    <row r="1866" spans="2:4" ht="15" customHeight="1" x14ac:dyDescent="0.25">
      <c r="B1866"/>
      <c r="C1866"/>
      <c r="D1866"/>
    </row>
    <row r="1867" spans="2:4" ht="15" customHeight="1" x14ac:dyDescent="0.25">
      <c r="B1867"/>
      <c r="C1867"/>
      <c r="D1867"/>
    </row>
    <row r="1868" spans="2:4" ht="15" customHeight="1" x14ac:dyDescent="0.25">
      <c r="B1868"/>
      <c r="C1868"/>
      <c r="D1868"/>
    </row>
    <row r="1869" spans="2:4" ht="15" customHeight="1" x14ac:dyDescent="0.25">
      <c r="B1869"/>
      <c r="C1869"/>
      <c r="D1869"/>
    </row>
    <row r="1870" spans="2:4" ht="15" customHeight="1" x14ac:dyDescent="0.25">
      <c r="B1870"/>
      <c r="C1870"/>
      <c r="D1870"/>
    </row>
    <row r="1871" spans="2:4" ht="15" customHeight="1" x14ac:dyDescent="0.25">
      <c r="B1871"/>
      <c r="C1871"/>
      <c r="D1871"/>
    </row>
    <row r="1872" spans="2:4" ht="15" customHeight="1" x14ac:dyDescent="0.25">
      <c r="B1872"/>
      <c r="C1872"/>
      <c r="D1872"/>
    </row>
    <row r="1873" spans="2:4" ht="15" customHeight="1" x14ac:dyDescent="0.25">
      <c r="B1873"/>
      <c r="C1873"/>
      <c r="D1873"/>
    </row>
    <row r="1874" spans="2:4" ht="15" customHeight="1" x14ac:dyDescent="0.25">
      <c r="B1874"/>
      <c r="C1874"/>
      <c r="D1874"/>
    </row>
    <row r="1875" spans="2:4" ht="15" customHeight="1" x14ac:dyDescent="0.25">
      <c r="B1875"/>
      <c r="C1875"/>
      <c r="D1875"/>
    </row>
    <row r="1876" spans="2:4" ht="15" customHeight="1" x14ac:dyDescent="0.25">
      <c r="B1876"/>
      <c r="C1876"/>
      <c r="D1876"/>
    </row>
    <row r="1877" spans="2:4" ht="15" customHeight="1" x14ac:dyDescent="0.25">
      <c r="B1877"/>
      <c r="C1877"/>
      <c r="D1877"/>
    </row>
    <row r="1878" spans="2:4" ht="15" customHeight="1" x14ac:dyDescent="0.25">
      <c r="B1878"/>
      <c r="C1878"/>
      <c r="D1878"/>
    </row>
    <row r="1879" spans="2:4" ht="15" customHeight="1" x14ac:dyDescent="0.25">
      <c r="B1879"/>
      <c r="C1879"/>
      <c r="D1879"/>
    </row>
    <row r="1880" spans="2:4" ht="15" customHeight="1" x14ac:dyDescent="0.25">
      <c r="B1880"/>
      <c r="C1880"/>
      <c r="D1880"/>
    </row>
    <row r="1881" spans="2:4" ht="15" customHeight="1" x14ac:dyDescent="0.25">
      <c r="B1881"/>
      <c r="C1881"/>
      <c r="D1881"/>
    </row>
    <row r="1882" spans="2:4" ht="15" customHeight="1" x14ac:dyDescent="0.25">
      <c r="B1882"/>
      <c r="C1882"/>
      <c r="D1882"/>
    </row>
    <row r="1883" spans="2:4" ht="15" customHeight="1" x14ac:dyDescent="0.25">
      <c r="B1883"/>
      <c r="C1883"/>
      <c r="D1883"/>
    </row>
    <row r="1884" spans="2:4" ht="15" customHeight="1" x14ac:dyDescent="0.25">
      <c r="B1884"/>
      <c r="C1884"/>
      <c r="D1884"/>
    </row>
    <row r="1885" spans="2:4" ht="15" customHeight="1" x14ac:dyDescent="0.25">
      <c r="B1885"/>
      <c r="C1885"/>
      <c r="D1885"/>
    </row>
    <row r="1886" spans="2:4" ht="15" customHeight="1" x14ac:dyDescent="0.25">
      <c r="B1886"/>
      <c r="C1886"/>
      <c r="D1886"/>
    </row>
    <row r="1887" spans="2:4" ht="15" customHeight="1" x14ac:dyDescent="0.25">
      <c r="B1887"/>
      <c r="C1887"/>
      <c r="D1887"/>
    </row>
    <row r="1888" spans="2:4" ht="15" customHeight="1" x14ac:dyDescent="0.25">
      <c r="B1888"/>
      <c r="C1888"/>
      <c r="D1888"/>
    </row>
    <row r="1889" spans="2:4" ht="15" customHeight="1" x14ac:dyDescent="0.25">
      <c r="B1889"/>
      <c r="C1889"/>
      <c r="D1889"/>
    </row>
    <row r="1890" spans="2:4" ht="15" customHeight="1" x14ac:dyDescent="0.25">
      <c r="B1890"/>
      <c r="C1890"/>
      <c r="D1890"/>
    </row>
    <row r="1891" spans="2:4" ht="15" customHeight="1" x14ac:dyDescent="0.25">
      <c r="B1891"/>
      <c r="C1891"/>
      <c r="D1891"/>
    </row>
    <row r="1892" spans="2:4" ht="15" customHeight="1" x14ac:dyDescent="0.25">
      <c r="B1892"/>
      <c r="C1892"/>
      <c r="D1892"/>
    </row>
    <row r="1893" spans="2:4" ht="15" customHeight="1" x14ac:dyDescent="0.25">
      <c r="B1893"/>
      <c r="C1893"/>
      <c r="D1893"/>
    </row>
    <row r="1894" spans="2:4" ht="15" customHeight="1" x14ac:dyDescent="0.25">
      <c r="B1894"/>
      <c r="C1894"/>
      <c r="D1894"/>
    </row>
    <row r="1895" spans="2:4" ht="15" customHeight="1" x14ac:dyDescent="0.25">
      <c r="B1895"/>
      <c r="C1895"/>
      <c r="D1895"/>
    </row>
    <row r="1896" spans="2:4" ht="15" customHeight="1" x14ac:dyDescent="0.25">
      <c r="B1896"/>
      <c r="C1896"/>
      <c r="D1896"/>
    </row>
    <row r="1897" spans="2:4" ht="15" customHeight="1" x14ac:dyDescent="0.25">
      <c r="B1897"/>
      <c r="C1897"/>
      <c r="D1897"/>
    </row>
    <row r="1898" spans="2:4" ht="15" customHeight="1" x14ac:dyDescent="0.25">
      <c r="B1898"/>
      <c r="C1898"/>
      <c r="D1898"/>
    </row>
    <row r="1899" spans="2:4" ht="15" customHeight="1" x14ac:dyDescent="0.25">
      <c r="B1899"/>
      <c r="C1899"/>
      <c r="D1899"/>
    </row>
    <row r="1900" spans="2:4" ht="15" customHeight="1" x14ac:dyDescent="0.25">
      <c r="B1900"/>
      <c r="C1900"/>
      <c r="D1900"/>
    </row>
    <row r="1901" spans="2:4" ht="15" customHeight="1" x14ac:dyDescent="0.25">
      <c r="B1901"/>
      <c r="C1901"/>
      <c r="D1901"/>
    </row>
    <row r="1902" spans="2:4" ht="15" customHeight="1" x14ac:dyDescent="0.25">
      <c r="B1902"/>
      <c r="C1902"/>
      <c r="D1902"/>
    </row>
    <row r="1903" spans="2:4" ht="15" customHeight="1" x14ac:dyDescent="0.25">
      <c r="B1903"/>
      <c r="C1903"/>
      <c r="D1903"/>
    </row>
    <row r="1904" spans="2:4" ht="15" customHeight="1" x14ac:dyDescent="0.25">
      <c r="B1904"/>
      <c r="C1904"/>
      <c r="D1904"/>
    </row>
    <row r="1905" spans="2:4" ht="15" customHeight="1" x14ac:dyDescent="0.25">
      <c r="B1905"/>
      <c r="C1905"/>
      <c r="D1905"/>
    </row>
    <row r="1906" spans="2:4" ht="15" customHeight="1" x14ac:dyDescent="0.25">
      <c r="B1906"/>
      <c r="C1906"/>
      <c r="D1906"/>
    </row>
    <row r="1907" spans="2:4" ht="15" customHeight="1" x14ac:dyDescent="0.25">
      <c r="B1907"/>
      <c r="C1907"/>
      <c r="D1907"/>
    </row>
    <row r="1908" spans="2:4" ht="15" customHeight="1" x14ac:dyDescent="0.25">
      <c r="B1908"/>
      <c r="C1908"/>
      <c r="D1908"/>
    </row>
    <row r="1909" spans="2:4" ht="15" customHeight="1" x14ac:dyDescent="0.25">
      <c r="B1909"/>
      <c r="C1909"/>
      <c r="D1909"/>
    </row>
    <row r="1910" spans="2:4" ht="15" customHeight="1" x14ac:dyDescent="0.25">
      <c r="B1910"/>
      <c r="C1910"/>
      <c r="D1910"/>
    </row>
    <row r="1911" spans="2:4" ht="15" customHeight="1" x14ac:dyDescent="0.25">
      <c r="B1911"/>
      <c r="C1911"/>
      <c r="D1911"/>
    </row>
    <row r="1912" spans="2:4" ht="15" customHeight="1" x14ac:dyDescent="0.25">
      <c r="B1912"/>
      <c r="C1912"/>
      <c r="D1912"/>
    </row>
    <row r="1913" spans="2:4" ht="15" customHeight="1" x14ac:dyDescent="0.25">
      <c r="B1913"/>
      <c r="C1913"/>
      <c r="D1913"/>
    </row>
    <row r="1914" spans="2:4" ht="15" customHeight="1" x14ac:dyDescent="0.25">
      <c r="B1914"/>
      <c r="C1914"/>
      <c r="D1914"/>
    </row>
    <row r="1915" spans="2:4" ht="15" customHeight="1" x14ac:dyDescent="0.25">
      <c r="B1915"/>
      <c r="C1915"/>
      <c r="D1915"/>
    </row>
    <row r="1916" spans="2:4" ht="15" customHeight="1" x14ac:dyDescent="0.25">
      <c r="B1916"/>
      <c r="C1916"/>
      <c r="D1916"/>
    </row>
    <row r="1917" spans="2:4" ht="15" customHeight="1" x14ac:dyDescent="0.25">
      <c r="B1917"/>
      <c r="C1917"/>
      <c r="D1917"/>
    </row>
    <row r="1918" spans="2:4" ht="15" customHeight="1" x14ac:dyDescent="0.25">
      <c r="B1918"/>
      <c r="C1918"/>
      <c r="D1918"/>
    </row>
    <row r="1919" spans="2:4" ht="15" customHeight="1" x14ac:dyDescent="0.25">
      <c r="B1919"/>
      <c r="C1919"/>
      <c r="D1919"/>
    </row>
    <row r="1920" spans="2:4" ht="15" customHeight="1" x14ac:dyDescent="0.25">
      <c r="B1920"/>
      <c r="C1920"/>
      <c r="D1920"/>
    </row>
    <row r="1921" spans="2:4" ht="15" customHeight="1" x14ac:dyDescent="0.25">
      <c r="B1921"/>
      <c r="C1921"/>
      <c r="D1921"/>
    </row>
    <row r="1922" spans="2:4" ht="15" customHeight="1" x14ac:dyDescent="0.25">
      <c r="B1922"/>
      <c r="C1922"/>
      <c r="D1922"/>
    </row>
    <row r="1923" spans="2:4" ht="15" customHeight="1" x14ac:dyDescent="0.25">
      <c r="B1923"/>
      <c r="C1923"/>
      <c r="D1923"/>
    </row>
    <row r="1924" spans="2:4" ht="15" customHeight="1" x14ac:dyDescent="0.25">
      <c r="B1924"/>
      <c r="C1924"/>
      <c r="D1924"/>
    </row>
    <row r="1925" spans="2:4" ht="15" customHeight="1" x14ac:dyDescent="0.25">
      <c r="B1925"/>
      <c r="C1925"/>
      <c r="D1925"/>
    </row>
    <row r="1926" spans="2:4" ht="15" customHeight="1" x14ac:dyDescent="0.25">
      <c r="B1926"/>
      <c r="C1926"/>
      <c r="D1926"/>
    </row>
    <row r="1927" spans="2:4" ht="15" customHeight="1" x14ac:dyDescent="0.25">
      <c r="B1927"/>
      <c r="C1927"/>
      <c r="D1927"/>
    </row>
    <row r="1928" spans="2:4" ht="15" customHeight="1" x14ac:dyDescent="0.25">
      <c r="B1928"/>
      <c r="C1928"/>
      <c r="D1928"/>
    </row>
    <row r="1929" spans="2:4" ht="15" customHeight="1" x14ac:dyDescent="0.25">
      <c r="B1929"/>
      <c r="C1929"/>
      <c r="D1929"/>
    </row>
    <row r="1930" spans="2:4" ht="15" customHeight="1" x14ac:dyDescent="0.25">
      <c r="B1930"/>
      <c r="C1930"/>
      <c r="D1930"/>
    </row>
    <row r="1931" spans="2:4" ht="15" customHeight="1" x14ac:dyDescent="0.25">
      <c r="B1931"/>
      <c r="C1931"/>
      <c r="D1931"/>
    </row>
    <row r="1932" spans="2:4" ht="15" customHeight="1" x14ac:dyDescent="0.25">
      <c r="B1932"/>
      <c r="C1932"/>
      <c r="D1932"/>
    </row>
    <row r="1933" spans="2:4" ht="15" customHeight="1" x14ac:dyDescent="0.25">
      <c r="B1933"/>
      <c r="C1933"/>
      <c r="D1933"/>
    </row>
    <row r="1934" spans="2:4" ht="15" customHeight="1" x14ac:dyDescent="0.25">
      <c r="B1934"/>
      <c r="C1934"/>
      <c r="D1934"/>
    </row>
    <row r="1935" spans="2:4" ht="15" customHeight="1" x14ac:dyDescent="0.25">
      <c r="B1935"/>
      <c r="C1935"/>
      <c r="D1935"/>
    </row>
    <row r="1936" spans="2:4" ht="15" customHeight="1" x14ac:dyDescent="0.25">
      <c r="B1936"/>
      <c r="C1936"/>
      <c r="D1936"/>
    </row>
    <row r="1937" spans="2:4" ht="15" customHeight="1" x14ac:dyDescent="0.25">
      <c r="B1937"/>
      <c r="C1937"/>
      <c r="D1937"/>
    </row>
    <row r="1938" spans="2:4" ht="15" customHeight="1" x14ac:dyDescent="0.25">
      <c r="B1938"/>
      <c r="C1938"/>
      <c r="D1938"/>
    </row>
    <row r="1939" spans="2:4" ht="15" customHeight="1" x14ac:dyDescent="0.25">
      <c r="B1939"/>
      <c r="C1939"/>
      <c r="D1939"/>
    </row>
    <row r="1940" spans="2:4" ht="15" customHeight="1" x14ac:dyDescent="0.25">
      <c r="B1940"/>
      <c r="C1940"/>
      <c r="D1940"/>
    </row>
    <row r="1941" spans="2:4" ht="15" customHeight="1" x14ac:dyDescent="0.25">
      <c r="B1941"/>
      <c r="C1941"/>
      <c r="D1941"/>
    </row>
    <row r="1942" spans="2:4" ht="15" customHeight="1" x14ac:dyDescent="0.25">
      <c r="B1942"/>
      <c r="C1942"/>
      <c r="D1942"/>
    </row>
    <row r="1943" spans="2:4" ht="15" customHeight="1" x14ac:dyDescent="0.25">
      <c r="B1943"/>
      <c r="C1943"/>
      <c r="D1943"/>
    </row>
    <row r="1944" spans="2:4" ht="15" customHeight="1" x14ac:dyDescent="0.25">
      <c r="B1944"/>
      <c r="C1944"/>
      <c r="D1944"/>
    </row>
    <row r="1945" spans="2:4" ht="15" customHeight="1" x14ac:dyDescent="0.25">
      <c r="B1945"/>
      <c r="C1945"/>
      <c r="D1945"/>
    </row>
    <row r="1946" spans="2:4" ht="15" customHeight="1" x14ac:dyDescent="0.25">
      <c r="B1946"/>
      <c r="C1946"/>
      <c r="D1946"/>
    </row>
    <row r="1947" spans="2:4" ht="15" customHeight="1" x14ac:dyDescent="0.25">
      <c r="B1947"/>
      <c r="C1947"/>
      <c r="D1947"/>
    </row>
    <row r="1948" spans="2:4" ht="15" customHeight="1" x14ac:dyDescent="0.25">
      <c r="B1948"/>
      <c r="C1948"/>
      <c r="D1948"/>
    </row>
    <row r="1949" spans="2:4" ht="15" customHeight="1" x14ac:dyDescent="0.25">
      <c r="B1949"/>
      <c r="C1949"/>
      <c r="D1949"/>
    </row>
    <row r="1950" spans="2:4" ht="15" customHeight="1" x14ac:dyDescent="0.25">
      <c r="B1950"/>
      <c r="C1950"/>
      <c r="D1950"/>
    </row>
    <row r="1951" spans="2:4" ht="15" customHeight="1" x14ac:dyDescent="0.25">
      <c r="B1951"/>
      <c r="C1951"/>
      <c r="D1951"/>
    </row>
    <row r="1952" spans="2:4" ht="15" customHeight="1" x14ac:dyDescent="0.25">
      <c r="B1952"/>
      <c r="C1952"/>
      <c r="D1952"/>
    </row>
    <row r="1953" spans="2:4" ht="15" customHeight="1" x14ac:dyDescent="0.25">
      <c r="B1953"/>
      <c r="C1953"/>
      <c r="D1953"/>
    </row>
    <row r="1954" spans="2:4" ht="15" customHeight="1" x14ac:dyDescent="0.25">
      <c r="B1954"/>
      <c r="C1954"/>
      <c r="D1954"/>
    </row>
    <row r="1955" spans="2:4" ht="15" customHeight="1" x14ac:dyDescent="0.25">
      <c r="B1955"/>
      <c r="C1955"/>
      <c r="D1955"/>
    </row>
    <row r="1956" spans="2:4" ht="15" customHeight="1" x14ac:dyDescent="0.25">
      <c r="B1956"/>
      <c r="C1956"/>
      <c r="D1956"/>
    </row>
    <row r="1957" spans="2:4" ht="15" customHeight="1" x14ac:dyDescent="0.25">
      <c r="B1957"/>
      <c r="C1957"/>
      <c r="D1957"/>
    </row>
    <row r="1958" spans="2:4" ht="15" customHeight="1" x14ac:dyDescent="0.25">
      <c r="B1958"/>
      <c r="C1958"/>
      <c r="D1958"/>
    </row>
    <row r="1959" spans="2:4" ht="15" customHeight="1" x14ac:dyDescent="0.25">
      <c r="B1959"/>
      <c r="C1959"/>
      <c r="D1959"/>
    </row>
    <row r="1960" spans="2:4" ht="15" customHeight="1" x14ac:dyDescent="0.25">
      <c r="B1960"/>
      <c r="C1960"/>
      <c r="D1960"/>
    </row>
    <row r="1961" spans="2:4" ht="15" customHeight="1" x14ac:dyDescent="0.25">
      <c r="B1961"/>
      <c r="C1961"/>
      <c r="D1961"/>
    </row>
    <row r="1962" spans="2:4" ht="15" customHeight="1" x14ac:dyDescent="0.25">
      <c r="B1962"/>
      <c r="C1962"/>
      <c r="D1962"/>
    </row>
    <row r="1963" spans="2:4" ht="15" customHeight="1" x14ac:dyDescent="0.25">
      <c r="B1963"/>
      <c r="C1963"/>
      <c r="D1963"/>
    </row>
    <row r="1964" spans="2:4" ht="15" customHeight="1" x14ac:dyDescent="0.25">
      <c r="B1964"/>
      <c r="C1964"/>
      <c r="D1964"/>
    </row>
    <row r="1965" spans="2:4" ht="15" customHeight="1" x14ac:dyDescent="0.25">
      <c r="B1965"/>
      <c r="C1965"/>
      <c r="D1965"/>
    </row>
    <row r="1966" spans="2:4" ht="15" customHeight="1" x14ac:dyDescent="0.25">
      <c r="B1966"/>
      <c r="C1966"/>
      <c r="D1966"/>
    </row>
    <row r="1967" spans="2:4" ht="15" customHeight="1" x14ac:dyDescent="0.25">
      <c r="B1967"/>
      <c r="C1967"/>
      <c r="D1967"/>
    </row>
    <row r="1968" spans="2:4" ht="15" customHeight="1" x14ac:dyDescent="0.25">
      <c r="B1968"/>
      <c r="C1968"/>
      <c r="D1968"/>
    </row>
    <row r="1969" spans="2:4" ht="15" customHeight="1" x14ac:dyDescent="0.25">
      <c r="B1969"/>
      <c r="C1969"/>
      <c r="D1969"/>
    </row>
    <row r="1970" spans="2:4" ht="15" customHeight="1" x14ac:dyDescent="0.25">
      <c r="B1970"/>
      <c r="C1970"/>
      <c r="D1970"/>
    </row>
    <row r="1971" spans="2:4" ht="15" customHeight="1" x14ac:dyDescent="0.25">
      <c r="B1971"/>
      <c r="C1971"/>
      <c r="D1971"/>
    </row>
    <row r="1972" spans="2:4" ht="15" customHeight="1" x14ac:dyDescent="0.25">
      <c r="B1972"/>
      <c r="C1972"/>
      <c r="D1972"/>
    </row>
    <row r="1973" spans="2:4" ht="15" customHeight="1" x14ac:dyDescent="0.25">
      <c r="B1973"/>
      <c r="C1973"/>
      <c r="D1973"/>
    </row>
    <row r="1974" spans="2:4" ht="15" customHeight="1" x14ac:dyDescent="0.25">
      <c r="B1974"/>
      <c r="C1974"/>
      <c r="D1974"/>
    </row>
    <row r="1975" spans="2:4" ht="15" customHeight="1" x14ac:dyDescent="0.25">
      <c r="B1975"/>
      <c r="C1975"/>
      <c r="D1975"/>
    </row>
    <row r="1976" spans="2:4" ht="15" customHeight="1" x14ac:dyDescent="0.25">
      <c r="B1976"/>
      <c r="C1976"/>
      <c r="D1976"/>
    </row>
    <row r="1977" spans="2:4" ht="15" customHeight="1" x14ac:dyDescent="0.25">
      <c r="B1977"/>
      <c r="C1977"/>
      <c r="D1977"/>
    </row>
    <row r="1978" spans="2:4" ht="15" customHeight="1" x14ac:dyDescent="0.25">
      <c r="B1978"/>
      <c r="C1978"/>
      <c r="D1978"/>
    </row>
    <row r="1979" spans="2:4" ht="15" customHeight="1" x14ac:dyDescent="0.25">
      <c r="B1979"/>
      <c r="C1979"/>
      <c r="D1979"/>
    </row>
    <row r="1980" spans="2:4" ht="15" customHeight="1" x14ac:dyDescent="0.25">
      <c r="B1980"/>
      <c r="C1980"/>
      <c r="D1980"/>
    </row>
    <row r="1981" spans="2:4" ht="15" customHeight="1" x14ac:dyDescent="0.25">
      <c r="B1981"/>
      <c r="C1981"/>
      <c r="D1981"/>
    </row>
    <row r="1982" spans="2:4" ht="15" customHeight="1" x14ac:dyDescent="0.25">
      <c r="B1982"/>
      <c r="C1982"/>
      <c r="D1982"/>
    </row>
    <row r="1983" spans="2:4" ht="15" customHeight="1" x14ac:dyDescent="0.25">
      <c r="B1983"/>
      <c r="C1983"/>
      <c r="D1983"/>
    </row>
    <row r="1984" spans="2:4" ht="15" customHeight="1" x14ac:dyDescent="0.25">
      <c r="B1984"/>
      <c r="C1984"/>
      <c r="D1984"/>
    </row>
    <row r="1985" spans="2:4" ht="15" customHeight="1" x14ac:dyDescent="0.25">
      <c r="B1985"/>
      <c r="C1985"/>
      <c r="D1985"/>
    </row>
    <row r="1986" spans="2:4" ht="15" customHeight="1" x14ac:dyDescent="0.25">
      <c r="B1986"/>
      <c r="C1986"/>
      <c r="D1986"/>
    </row>
    <row r="1987" spans="2:4" ht="15" customHeight="1" x14ac:dyDescent="0.25">
      <c r="B1987"/>
      <c r="C1987"/>
      <c r="D1987"/>
    </row>
    <row r="1988" spans="2:4" ht="15" customHeight="1" x14ac:dyDescent="0.25">
      <c r="B1988"/>
      <c r="C1988"/>
      <c r="D1988"/>
    </row>
    <row r="1989" spans="2:4" ht="15" customHeight="1" x14ac:dyDescent="0.25">
      <c r="B1989"/>
      <c r="C1989"/>
      <c r="D1989"/>
    </row>
    <row r="1990" spans="2:4" ht="15" customHeight="1" x14ac:dyDescent="0.25">
      <c r="B1990"/>
      <c r="C1990"/>
      <c r="D1990"/>
    </row>
    <row r="1991" spans="2:4" ht="15" customHeight="1" x14ac:dyDescent="0.25">
      <c r="B1991"/>
      <c r="C1991"/>
      <c r="D1991"/>
    </row>
    <row r="1992" spans="2:4" ht="15" customHeight="1" x14ac:dyDescent="0.25">
      <c r="B1992"/>
      <c r="C1992"/>
      <c r="D1992"/>
    </row>
    <row r="1993" spans="2:4" ht="15" customHeight="1" x14ac:dyDescent="0.25">
      <c r="B1993"/>
      <c r="C1993"/>
      <c r="D1993"/>
    </row>
    <row r="1994" spans="2:4" ht="15" customHeight="1" x14ac:dyDescent="0.25">
      <c r="B1994"/>
      <c r="C1994"/>
      <c r="D1994"/>
    </row>
    <row r="1995" spans="2:4" ht="15" customHeight="1" x14ac:dyDescent="0.25">
      <c r="B1995"/>
      <c r="C1995"/>
      <c r="D1995"/>
    </row>
    <row r="1996" spans="2:4" ht="15" customHeight="1" x14ac:dyDescent="0.25">
      <c r="B1996"/>
      <c r="C1996"/>
      <c r="D1996"/>
    </row>
    <row r="1997" spans="2:4" ht="15" customHeight="1" x14ac:dyDescent="0.25">
      <c r="B1997"/>
      <c r="C1997"/>
      <c r="D1997"/>
    </row>
    <row r="1998" spans="2:4" ht="15" customHeight="1" x14ac:dyDescent="0.25">
      <c r="B1998"/>
      <c r="C1998"/>
      <c r="D1998"/>
    </row>
    <row r="1999" spans="2:4" ht="15" customHeight="1" x14ac:dyDescent="0.25">
      <c r="B1999"/>
      <c r="C1999"/>
      <c r="D1999"/>
    </row>
    <row r="2000" spans="2:4" ht="15" customHeight="1" x14ac:dyDescent="0.25">
      <c r="B2000"/>
      <c r="C2000"/>
      <c r="D2000"/>
    </row>
    <row r="2001" spans="2:4" ht="15" customHeight="1" x14ac:dyDescent="0.25">
      <c r="B2001"/>
      <c r="C2001"/>
      <c r="D2001"/>
    </row>
    <row r="2002" spans="2:4" ht="15" customHeight="1" x14ac:dyDescent="0.25">
      <c r="B2002"/>
      <c r="C2002"/>
      <c r="D2002"/>
    </row>
    <row r="2003" spans="2:4" ht="15" customHeight="1" x14ac:dyDescent="0.25">
      <c r="B2003"/>
      <c r="C2003"/>
      <c r="D2003"/>
    </row>
    <row r="2004" spans="2:4" ht="15" customHeight="1" x14ac:dyDescent="0.25">
      <c r="B2004"/>
      <c r="C2004"/>
      <c r="D2004"/>
    </row>
    <row r="2005" spans="2:4" ht="15" customHeight="1" x14ac:dyDescent="0.25">
      <c r="B2005"/>
      <c r="C2005"/>
      <c r="D2005"/>
    </row>
    <row r="2006" spans="2:4" ht="15" customHeight="1" x14ac:dyDescent="0.25">
      <c r="B2006"/>
      <c r="C2006"/>
      <c r="D2006"/>
    </row>
    <row r="2007" spans="2:4" ht="15" customHeight="1" x14ac:dyDescent="0.25">
      <c r="B2007"/>
      <c r="C2007"/>
      <c r="D2007"/>
    </row>
    <row r="2008" spans="2:4" ht="15" customHeight="1" x14ac:dyDescent="0.25">
      <c r="B2008"/>
      <c r="C2008"/>
      <c r="D2008"/>
    </row>
    <row r="2009" spans="2:4" ht="15" customHeight="1" x14ac:dyDescent="0.25">
      <c r="B2009"/>
      <c r="C2009"/>
      <c r="D2009"/>
    </row>
    <row r="2010" spans="2:4" ht="15" customHeight="1" x14ac:dyDescent="0.25">
      <c r="B2010"/>
      <c r="C2010"/>
      <c r="D2010"/>
    </row>
    <row r="2011" spans="2:4" ht="15" customHeight="1" x14ac:dyDescent="0.25">
      <c r="B2011"/>
      <c r="C2011"/>
      <c r="D2011"/>
    </row>
    <row r="2012" spans="2:4" ht="15" customHeight="1" x14ac:dyDescent="0.25">
      <c r="B2012"/>
      <c r="C2012"/>
      <c r="D2012"/>
    </row>
    <row r="2013" spans="2:4" ht="15" customHeight="1" x14ac:dyDescent="0.25">
      <c r="B2013"/>
      <c r="C2013"/>
      <c r="D2013"/>
    </row>
    <row r="2014" spans="2:4" ht="15" customHeight="1" x14ac:dyDescent="0.25">
      <c r="B2014"/>
      <c r="C2014"/>
      <c r="D2014"/>
    </row>
    <row r="2015" spans="2:4" ht="15" customHeight="1" x14ac:dyDescent="0.25">
      <c r="B2015"/>
      <c r="C2015"/>
      <c r="D2015"/>
    </row>
    <row r="2016" spans="2:4" ht="15" customHeight="1" x14ac:dyDescent="0.25">
      <c r="B2016"/>
      <c r="C2016"/>
      <c r="D2016"/>
    </row>
    <row r="2017" spans="2:4" ht="15" customHeight="1" x14ac:dyDescent="0.25">
      <c r="B2017"/>
      <c r="C2017"/>
      <c r="D2017"/>
    </row>
    <row r="2018" spans="2:4" ht="15" customHeight="1" x14ac:dyDescent="0.25">
      <c r="B2018"/>
      <c r="C2018"/>
      <c r="D2018"/>
    </row>
    <row r="2019" spans="2:4" ht="15" customHeight="1" x14ac:dyDescent="0.25">
      <c r="B2019"/>
      <c r="C2019"/>
      <c r="D2019"/>
    </row>
    <row r="2020" spans="2:4" ht="15" customHeight="1" x14ac:dyDescent="0.25">
      <c r="B2020"/>
      <c r="C2020"/>
      <c r="D2020"/>
    </row>
    <row r="2021" spans="2:4" ht="15" customHeight="1" x14ac:dyDescent="0.25">
      <c r="B2021"/>
      <c r="C2021"/>
      <c r="D2021"/>
    </row>
    <row r="2022" spans="2:4" ht="15" customHeight="1" x14ac:dyDescent="0.25">
      <c r="B2022"/>
      <c r="C2022"/>
      <c r="D2022"/>
    </row>
    <row r="2023" spans="2:4" ht="15" customHeight="1" x14ac:dyDescent="0.25">
      <c r="B2023"/>
      <c r="C2023"/>
      <c r="D2023"/>
    </row>
    <row r="2024" spans="2:4" ht="15" customHeight="1" x14ac:dyDescent="0.25">
      <c r="B2024"/>
      <c r="C2024"/>
      <c r="D2024"/>
    </row>
    <row r="2025" spans="2:4" ht="15" customHeight="1" x14ac:dyDescent="0.25">
      <c r="B2025"/>
      <c r="C2025"/>
      <c r="D2025"/>
    </row>
    <row r="2026" spans="2:4" ht="15" customHeight="1" x14ac:dyDescent="0.25">
      <c r="B2026"/>
      <c r="C2026"/>
      <c r="D2026"/>
    </row>
    <row r="2027" spans="2:4" ht="15" customHeight="1" x14ac:dyDescent="0.25">
      <c r="B2027"/>
      <c r="C2027"/>
      <c r="D2027"/>
    </row>
    <row r="2028" spans="2:4" ht="15" customHeight="1" x14ac:dyDescent="0.25">
      <c r="B2028"/>
      <c r="C2028"/>
      <c r="D2028"/>
    </row>
    <row r="2029" spans="2:4" ht="15" customHeight="1" x14ac:dyDescent="0.25">
      <c r="B2029"/>
      <c r="C2029"/>
      <c r="D2029"/>
    </row>
    <row r="2030" spans="2:4" ht="15" customHeight="1" x14ac:dyDescent="0.25">
      <c r="B2030"/>
      <c r="C2030"/>
      <c r="D2030"/>
    </row>
    <row r="2031" spans="2:4" ht="15" customHeight="1" x14ac:dyDescent="0.25">
      <c r="B2031"/>
      <c r="C2031"/>
      <c r="D2031"/>
    </row>
    <row r="2032" spans="2:4" ht="15" customHeight="1" x14ac:dyDescent="0.25">
      <c r="B2032"/>
      <c r="C2032"/>
      <c r="D2032"/>
    </row>
    <row r="2033" spans="2:4" ht="15" customHeight="1" x14ac:dyDescent="0.25">
      <c r="B2033"/>
      <c r="C2033"/>
      <c r="D2033"/>
    </row>
    <row r="2034" spans="2:4" ht="15" customHeight="1" x14ac:dyDescent="0.25">
      <c r="B2034"/>
      <c r="C2034"/>
      <c r="D2034"/>
    </row>
    <row r="2035" spans="2:4" ht="15" customHeight="1" x14ac:dyDescent="0.25">
      <c r="B2035"/>
      <c r="C2035"/>
      <c r="D2035"/>
    </row>
    <row r="2036" spans="2:4" ht="15" customHeight="1" x14ac:dyDescent="0.25">
      <c r="B2036"/>
      <c r="C2036"/>
      <c r="D2036"/>
    </row>
    <row r="2037" spans="2:4" ht="15" customHeight="1" x14ac:dyDescent="0.25">
      <c r="B2037"/>
      <c r="C2037"/>
      <c r="D2037"/>
    </row>
    <row r="2038" spans="2:4" ht="15" customHeight="1" x14ac:dyDescent="0.25">
      <c r="B2038"/>
      <c r="C2038"/>
      <c r="D2038"/>
    </row>
    <row r="2039" spans="2:4" ht="15" customHeight="1" x14ac:dyDescent="0.25">
      <c r="B2039"/>
      <c r="C2039"/>
      <c r="D2039"/>
    </row>
    <row r="2040" spans="2:4" ht="15" customHeight="1" x14ac:dyDescent="0.25">
      <c r="B2040"/>
      <c r="C2040"/>
      <c r="D2040"/>
    </row>
    <row r="2041" spans="2:4" ht="15" customHeight="1" x14ac:dyDescent="0.25">
      <c r="B2041"/>
      <c r="C2041"/>
      <c r="D2041"/>
    </row>
    <row r="2042" spans="2:4" ht="15" customHeight="1" x14ac:dyDescent="0.25">
      <c r="B2042"/>
      <c r="C2042"/>
      <c r="D2042"/>
    </row>
    <row r="2043" spans="2:4" ht="15" customHeight="1" x14ac:dyDescent="0.25">
      <c r="B2043"/>
      <c r="C2043"/>
      <c r="D2043"/>
    </row>
    <row r="2044" spans="2:4" ht="15" customHeight="1" x14ac:dyDescent="0.25">
      <c r="B2044"/>
      <c r="C2044"/>
      <c r="D2044"/>
    </row>
    <row r="2045" spans="2:4" ht="15" customHeight="1" x14ac:dyDescent="0.25">
      <c r="B2045"/>
      <c r="C2045"/>
      <c r="D2045"/>
    </row>
    <row r="2046" spans="2:4" ht="15" customHeight="1" x14ac:dyDescent="0.25">
      <c r="B2046"/>
      <c r="C2046"/>
      <c r="D2046"/>
    </row>
    <row r="2047" spans="2:4" ht="15" customHeight="1" x14ac:dyDescent="0.25">
      <c r="B2047"/>
      <c r="C2047"/>
      <c r="D2047"/>
    </row>
    <row r="2048" spans="2:4" ht="15" customHeight="1" x14ac:dyDescent="0.25">
      <c r="B2048"/>
      <c r="C2048"/>
      <c r="D2048"/>
    </row>
    <row r="2049" spans="2:4" ht="15" customHeight="1" x14ac:dyDescent="0.25">
      <c r="B2049"/>
      <c r="C2049"/>
      <c r="D2049"/>
    </row>
    <row r="2050" spans="2:4" ht="15" customHeight="1" x14ac:dyDescent="0.25">
      <c r="B2050"/>
      <c r="C2050"/>
      <c r="D2050"/>
    </row>
    <row r="2051" spans="2:4" ht="15" customHeight="1" x14ac:dyDescent="0.25">
      <c r="B2051"/>
      <c r="C2051"/>
      <c r="D2051"/>
    </row>
    <row r="2052" spans="2:4" ht="15" customHeight="1" x14ac:dyDescent="0.25">
      <c r="B2052"/>
      <c r="C2052"/>
      <c r="D2052"/>
    </row>
    <row r="2053" spans="2:4" ht="15" customHeight="1" x14ac:dyDescent="0.25">
      <c r="B2053"/>
      <c r="C2053"/>
      <c r="D2053"/>
    </row>
    <row r="2054" spans="2:4" ht="15" customHeight="1" x14ac:dyDescent="0.25">
      <c r="B2054"/>
      <c r="C2054"/>
      <c r="D2054"/>
    </row>
    <row r="2055" spans="2:4" ht="15" customHeight="1" x14ac:dyDescent="0.25">
      <c r="B2055"/>
      <c r="C2055"/>
      <c r="D2055"/>
    </row>
    <row r="2056" spans="2:4" ht="15" customHeight="1" x14ac:dyDescent="0.25">
      <c r="B2056"/>
      <c r="C2056"/>
      <c r="D2056"/>
    </row>
    <row r="2057" spans="2:4" ht="15" customHeight="1" x14ac:dyDescent="0.25">
      <c r="B2057"/>
      <c r="C2057"/>
      <c r="D2057"/>
    </row>
    <row r="2058" spans="2:4" ht="15" customHeight="1" x14ac:dyDescent="0.25">
      <c r="B2058"/>
      <c r="C2058"/>
      <c r="D2058"/>
    </row>
    <row r="2059" spans="2:4" ht="15" customHeight="1" x14ac:dyDescent="0.25">
      <c r="B2059"/>
      <c r="C2059"/>
      <c r="D2059"/>
    </row>
    <row r="2060" spans="2:4" ht="15" customHeight="1" x14ac:dyDescent="0.25">
      <c r="B2060"/>
      <c r="C2060"/>
      <c r="D2060"/>
    </row>
    <row r="2061" spans="2:4" ht="15" customHeight="1" x14ac:dyDescent="0.25">
      <c r="B2061"/>
      <c r="C2061"/>
      <c r="D2061"/>
    </row>
    <row r="2062" spans="2:4" ht="15" customHeight="1" x14ac:dyDescent="0.25">
      <c r="B2062"/>
      <c r="C2062"/>
      <c r="D2062"/>
    </row>
    <row r="2063" spans="2:4" ht="15" customHeight="1" x14ac:dyDescent="0.25">
      <c r="B2063"/>
      <c r="C2063"/>
      <c r="D2063"/>
    </row>
    <row r="2064" spans="2:4" ht="15" customHeight="1" x14ac:dyDescent="0.25">
      <c r="B2064"/>
      <c r="C2064"/>
      <c r="D2064"/>
    </row>
    <row r="2065" spans="2:4" ht="15" customHeight="1" x14ac:dyDescent="0.25">
      <c r="B2065"/>
      <c r="C2065"/>
      <c r="D2065"/>
    </row>
    <row r="2066" spans="2:4" ht="15" customHeight="1" x14ac:dyDescent="0.25">
      <c r="B2066"/>
      <c r="C2066"/>
      <c r="D2066"/>
    </row>
    <row r="2067" spans="2:4" ht="15" customHeight="1" x14ac:dyDescent="0.25">
      <c r="B2067"/>
      <c r="C2067"/>
      <c r="D2067"/>
    </row>
    <row r="2068" spans="2:4" ht="15" customHeight="1" x14ac:dyDescent="0.25">
      <c r="B2068"/>
      <c r="C2068"/>
      <c r="D2068"/>
    </row>
    <row r="2069" spans="2:4" ht="15" customHeight="1" x14ac:dyDescent="0.25">
      <c r="B2069"/>
      <c r="C2069"/>
      <c r="D2069"/>
    </row>
    <row r="2070" spans="2:4" ht="15" customHeight="1" x14ac:dyDescent="0.25">
      <c r="B2070"/>
      <c r="C2070"/>
      <c r="D2070"/>
    </row>
    <row r="2071" spans="2:4" ht="15" customHeight="1" x14ac:dyDescent="0.25">
      <c r="B2071"/>
      <c r="C2071"/>
      <c r="D2071"/>
    </row>
    <row r="2072" spans="2:4" ht="15" customHeight="1" x14ac:dyDescent="0.25">
      <c r="B2072"/>
      <c r="C2072"/>
      <c r="D2072"/>
    </row>
    <row r="2073" spans="2:4" ht="15" customHeight="1" x14ac:dyDescent="0.25">
      <c r="B2073"/>
      <c r="C2073"/>
      <c r="D2073"/>
    </row>
    <row r="2074" spans="2:4" ht="15" customHeight="1" x14ac:dyDescent="0.25">
      <c r="B2074"/>
      <c r="C2074"/>
      <c r="D2074"/>
    </row>
    <row r="2075" spans="2:4" ht="15" customHeight="1" x14ac:dyDescent="0.25">
      <c r="B2075"/>
      <c r="C2075"/>
      <c r="D2075"/>
    </row>
    <row r="2076" spans="2:4" ht="15" customHeight="1" x14ac:dyDescent="0.25">
      <c r="B2076"/>
      <c r="C2076"/>
      <c r="D2076"/>
    </row>
    <row r="2077" spans="2:4" ht="15" customHeight="1" x14ac:dyDescent="0.25">
      <c r="B2077"/>
      <c r="C2077"/>
      <c r="D2077"/>
    </row>
    <row r="2078" spans="2:4" ht="15" customHeight="1" x14ac:dyDescent="0.25">
      <c r="B2078"/>
      <c r="C2078"/>
      <c r="D2078"/>
    </row>
    <row r="2079" spans="2:4" ht="15" customHeight="1" x14ac:dyDescent="0.25">
      <c r="B2079"/>
      <c r="C2079"/>
      <c r="D2079"/>
    </row>
    <row r="2080" spans="2:4" ht="15" customHeight="1" x14ac:dyDescent="0.25">
      <c r="B2080"/>
      <c r="C2080"/>
      <c r="D2080"/>
    </row>
    <row r="2081" spans="2:4" ht="15" customHeight="1" x14ac:dyDescent="0.25">
      <c r="B2081"/>
      <c r="C2081"/>
      <c r="D2081"/>
    </row>
    <row r="2082" spans="2:4" ht="15" customHeight="1" x14ac:dyDescent="0.25">
      <c r="B2082"/>
      <c r="C2082"/>
      <c r="D2082"/>
    </row>
    <row r="2083" spans="2:4" ht="15" customHeight="1" x14ac:dyDescent="0.25">
      <c r="B2083"/>
      <c r="C2083"/>
      <c r="D2083"/>
    </row>
    <row r="2084" spans="2:4" ht="15" customHeight="1" x14ac:dyDescent="0.25">
      <c r="B2084"/>
      <c r="C2084"/>
      <c r="D2084"/>
    </row>
    <row r="2085" spans="2:4" ht="15" customHeight="1" x14ac:dyDescent="0.25">
      <c r="B2085"/>
      <c r="C2085"/>
      <c r="D2085"/>
    </row>
    <row r="2086" spans="2:4" ht="15" customHeight="1" x14ac:dyDescent="0.25">
      <c r="B2086"/>
      <c r="C2086"/>
      <c r="D2086"/>
    </row>
    <row r="2087" spans="2:4" ht="15" customHeight="1" x14ac:dyDescent="0.25">
      <c r="B2087"/>
      <c r="C2087"/>
      <c r="D2087"/>
    </row>
    <row r="2088" spans="2:4" ht="15" customHeight="1" x14ac:dyDescent="0.25">
      <c r="B2088"/>
      <c r="C2088"/>
      <c r="D2088"/>
    </row>
    <row r="2089" spans="2:4" ht="15" customHeight="1" x14ac:dyDescent="0.25">
      <c r="B2089"/>
      <c r="C2089"/>
      <c r="D2089"/>
    </row>
    <row r="2090" spans="2:4" ht="15" customHeight="1" x14ac:dyDescent="0.25">
      <c r="B2090"/>
      <c r="C2090"/>
      <c r="D2090"/>
    </row>
    <row r="2091" spans="2:4" ht="15" customHeight="1" x14ac:dyDescent="0.25">
      <c r="B2091"/>
      <c r="C2091"/>
      <c r="D2091"/>
    </row>
    <row r="2092" spans="2:4" ht="15" customHeight="1" x14ac:dyDescent="0.25">
      <c r="B2092"/>
      <c r="C2092"/>
      <c r="D2092"/>
    </row>
    <row r="2093" spans="2:4" ht="15" customHeight="1" x14ac:dyDescent="0.25">
      <c r="B2093"/>
      <c r="C2093"/>
      <c r="D2093"/>
    </row>
    <row r="2094" spans="2:4" ht="15" customHeight="1" x14ac:dyDescent="0.25">
      <c r="B2094"/>
      <c r="C2094"/>
      <c r="D2094"/>
    </row>
    <row r="2095" spans="2:4" ht="15" customHeight="1" x14ac:dyDescent="0.25">
      <c r="B2095"/>
      <c r="C2095"/>
      <c r="D2095"/>
    </row>
    <row r="2096" spans="2:4" ht="15" customHeight="1" x14ac:dyDescent="0.25">
      <c r="B2096"/>
      <c r="C2096"/>
      <c r="D2096"/>
    </row>
    <row r="2097" spans="2:4" ht="15" customHeight="1" x14ac:dyDescent="0.25">
      <c r="B2097"/>
      <c r="C2097"/>
      <c r="D2097"/>
    </row>
    <row r="2098" spans="2:4" ht="15" customHeight="1" x14ac:dyDescent="0.25">
      <c r="B2098"/>
      <c r="C2098"/>
      <c r="D2098"/>
    </row>
    <row r="2099" spans="2:4" ht="15" customHeight="1" x14ac:dyDescent="0.25">
      <c r="B2099"/>
      <c r="C2099"/>
      <c r="D2099"/>
    </row>
    <row r="2100" spans="2:4" ht="15" customHeight="1" x14ac:dyDescent="0.25">
      <c r="B2100"/>
      <c r="C2100"/>
      <c r="D2100"/>
    </row>
    <row r="2101" spans="2:4" ht="15" customHeight="1" x14ac:dyDescent="0.25">
      <c r="B2101"/>
      <c r="C2101"/>
      <c r="D2101"/>
    </row>
    <row r="2102" spans="2:4" ht="15" customHeight="1" x14ac:dyDescent="0.25">
      <c r="B2102"/>
      <c r="C2102"/>
      <c r="D2102"/>
    </row>
    <row r="2103" spans="2:4" ht="15" customHeight="1" x14ac:dyDescent="0.25">
      <c r="B2103"/>
      <c r="C2103"/>
      <c r="D2103"/>
    </row>
    <row r="2104" spans="2:4" ht="15" customHeight="1" x14ac:dyDescent="0.25">
      <c r="B2104"/>
      <c r="C2104"/>
      <c r="D2104"/>
    </row>
    <row r="2105" spans="2:4" ht="15" customHeight="1" x14ac:dyDescent="0.25">
      <c r="B2105"/>
      <c r="C2105"/>
      <c r="D2105"/>
    </row>
    <row r="2106" spans="2:4" ht="15" customHeight="1" x14ac:dyDescent="0.25">
      <c r="B2106"/>
      <c r="C2106"/>
      <c r="D2106"/>
    </row>
    <row r="2107" spans="2:4" ht="15" customHeight="1" x14ac:dyDescent="0.25">
      <c r="B2107"/>
      <c r="C2107"/>
      <c r="D2107"/>
    </row>
    <row r="2108" spans="2:4" ht="15" customHeight="1" x14ac:dyDescent="0.25">
      <c r="B2108"/>
      <c r="C2108"/>
      <c r="D2108"/>
    </row>
    <row r="2109" spans="2:4" ht="15" customHeight="1" x14ac:dyDescent="0.25">
      <c r="B2109"/>
      <c r="C2109"/>
      <c r="D2109"/>
    </row>
    <row r="2110" spans="2:4" ht="15" customHeight="1" x14ac:dyDescent="0.25">
      <c r="B2110"/>
      <c r="C2110"/>
      <c r="D2110"/>
    </row>
    <row r="2111" spans="2:4" ht="15" customHeight="1" x14ac:dyDescent="0.25">
      <c r="B2111"/>
      <c r="C2111"/>
      <c r="D2111"/>
    </row>
    <row r="2112" spans="2:4" ht="15" customHeight="1" x14ac:dyDescent="0.25">
      <c r="B2112"/>
      <c r="C2112"/>
      <c r="D2112"/>
    </row>
    <row r="2113" spans="2:4" ht="15" customHeight="1" x14ac:dyDescent="0.25">
      <c r="B2113"/>
      <c r="C2113"/>
      <c r="D2113"/>
    </row>
    <row r="2114" spans="2:4" ht="15" customHeight="1" x14ac:dyDescent="0.25">
      <c r="B2114"/>
      <c r="C2114"/>
      <c r="D2114"/>
    </row>
    <row r="2115" spans="2:4" ht="15" customHeight="1" x14ac:dyDescent="0.25">
      <c r="B2115"/>
      <c r="C2115"/>
      <c r="D2115"/>
    </row>
    <row r="2116" spans="2:4" ht="15" customHeight="1" x14ac:dyDescent="0.25">
      <c r="B2116"/>
      <c r="C2116"/>
      <c r="D2116"/>
    </row>
    <row r="2117" spans="2:4" ht="15" customHeight="1" x14ac:dyDescent="0.25">
      <c r="B2117"/>
      <c r="C2117"/>
      <c r="D2117"/>
    </row>
    <row r="2118" spans="2:4" ht="15" customHeight="1" x14ac:dyDescent="0.25">
      <c r="B2118"/>
      <c r="C2118"/>
      <c r="D2118"/>
    </row>
    <row r="2119" spans="2:4" ht="15" customHeight="1" x14ac:dyDescent="0.25">
      <c r="B2119"/>
      <c r="C2119"/>
      <c r="D2119"/>
    </row>
    <row r="2120" spans="2:4" ht="15" customHeight="1" x14ac:dyDescent="0.25">
      <c r="B2120"/>
      <c r="C2120"/>
      <c r="D2120"/>
    </row>
    <row r="2121" spans="2:4" ht="15" customHeight="1" x14ac:dyDescent="0.25">
      <c r="B2121"/>
      <c r="C2121"/>
      <c r="D2121"/>
    </row>
    <row r="2122" spans="2:4" ht="15" customHeight="1" x14ac:dyDescent="0.25">
      <c r="B2122"/>
      <c r="C2122"/>
      <c r="D2122"/>
    </row>
    <row r="2123" spans="2:4" ht="15" customHeight="1" x14ac:dyDescent="0.25">
      <c r="B2123"/>
      <c r="C2123"/>
      <c r="D2123"/>
    </row>
    <row r="2124" spans="2:4" ht="15" customHeight="1" x14ac:dyDescent="0.25">
      <c r="B2124"/>
      <c r="C2124"/>
      <c r="D2124"/>
    </row>
    <row r="2125" spans="2:4" ht="15" customHeight="1" x14ac:dyDescent="0.25">
      <c r="B2125"/>
      <c r="C2125"/>
      <c r="D2125"/>
    </row>
    <row r="2126" spans="2:4" ht="15" customHeight="1" x14ac:dyDescent="0.25">
      <c r="B2126"/>
      <c r="C2126"/>
      <c r="D2126"/>
    </row>
    <row r="2127" spans="2:4" ht="15" customHeight="1" x14ac:dyDescent="0.25">
      <c r="B2127"/>
      <c r="C2127"/>
      <c r="D2127"/>
    </row>
    <row r="2128" spans="2:4" ht="15" customHeight="1" x14ac:dyDescent="0.25">
      <c r="B2128"/>
      <c r="C2128"/>
      <c r="D2128"/>
    </row>
    <row r="2129" spans="2:4" ht="15" customHeight="1" x14ac:dyDescent="0.25">
      <c r="B2129"/>
      <c r="C2129"/>
      <c r="D2129"/>
    </row>
    <row r="2130" spans="2:4" ht="15" customHeight="1" x14ac:dyDescent="0.25">
      <c r="B2130"/>
      <c r="C2130"/>
      <c r="D2130"/>
    </row>
    <row r="2131" spans="2:4" ht="15" customHeight="1" x14ac:dyDescent="0.25">
      <c r="B2131"/>
      <c r="C2131"/>
      <c r="D2131"/>
    </row>
    <row r="2132" spans="2:4" ht="15" customHeight="1" x14ac:dyDescent="0.25">
      <c r="B2132"/>
      <c r="C2132"/>
      <c r="D2132"/>
    </row>
    <row r="2133" spans="2:4" ht="15" customHeight="1" x14ac:dyDescent="0.25">
      <c r="B2133"/>
      <c r="C2133"/>
      <c r="D2133"/>
    </row>
    <row r="2134" spans="2:4" ht="15" customHeight="1" x14ac:dyDescent="0.25">
      <c r="B2134"/>
      <c r="C2134"/>
      <c r="D2134"/>
    </row>
    <row r="2135" spans="2:4" ht="15" customHeight="1" x14ac:dyDescent="0.25">
      <c r="B2135"/>
      <c r="C2135"/>
      <c r="D2135"/>
    </row>
    <row r="2136" spans="2:4" ht="15" customHeight="1" x14ac:dyDescent="0.25">
      <c r="B2136"/>
      <c r="C2136"/>
      <c r="D2136"/>
    </row>
    <row r="2137" spans="2:4" ht="15" customHeight="1" x14ac:dyDescent="0.25">
      <c r="B2137"/>
      <c r="C2137"/>
      <c r="D2137"/>
    </row>
    <row r="2138" spans="2:4" ht="15" customHeight="1" x14ac:dyDescent="0.25">
      <c r="B2138"/>
      <c r="C2138"/>
      <c r="D2138"/>
    </row>
    <row r="2139" spans="2:4" ht="15" customHeight="1" x14ac:dyDescent="0.25">
      <c r="B2139"/>
      <c r="C2139"/>
      <c r="D2139"/>
    </row>
    <row r="2140" spans="2:4" ht="15" customHeight="1" x14ac:dyDescent="0.25">
      <c r="B2140"/>
      <c r="C2140"/>
      <c r="D2140"/>
    </row>
    <row r="2141" spans="2:4" ht="15" customHeight="1" x14ac:dyDescent="0.25">
      <c r="B2141"/>
      <c r="C2141"/>
      <c r="D2141"/>
    </row>
    <row r="2142" spans="2:4" ht="15" customHeight="1" x14ac:dyDescent="0.25">
      <c r="B2142"/>
      <c r="C2142"/>
      <c r="D2142"/>
    </row>
    <row r="2143" spans="2:4" ht="15" customHeight="1" x14ac:dyDescent="0.25">
      <c r="B2143"/>
      <c r="C2143"/>
      <c r="D2143"/>
    </row>
    <row r="2144" spans="2:4" ht="15" customHeight="1" x14ac:dyDescent="0.25">
      <c r="B2144"/>
      <c r="C2144"/>
      <c r="D2144"/>
    </row>
    <row r="2145" spans="2:4" ht="15" customHeight="1" x14ac:dyDescent="0.25">
      <c r="B2145"/>
      <c r="C2145"/>
      <c r="D2145"/>
    </row>
    <row r="2146" spans="2:4" ht="15" customHeight="1" x14ac:dyDescent="0.25">
      <c r="B2146"/>
      <c r="C2146"/>
      <c r="D2146"/>
    </row>
    <row r="2147" spans="2:4" ht="15" customHeight="1" x14ac:dyDescent="0.25">
      <c r="B2147"/>
      <c r="C2147"/>
      <c r="D2147"/>
    </row>
    <row r="2148" spans="2:4" ht="15" customHeight="1" x14ac:dyDescent="0.25">
      <c r="B2148"/>
      <c r="C2148"/>
      <c r="D2148"/>
    </row>
    <row r="2149" spans="2:4" ht="15" customHeight="1" x14ac:dyDescent="0.25">
      <c r="B2149"/>
      <c r="C2149"/>
      <c r="D2149"/>
    </row>
    <row r="2150" spans="2:4" ht="15" customHeight="1" x14ac:dyDescent="0.25">
      <c r="B2150"/>
      <c r="C2150"/>
      <c r="D2150"/>
    </row>
    <row r="2151" spans="2:4" ht="15" customHeight="1" x14ac:dyDescent="0.25">
      <c r="B2151"/>
      <c r="C2151"/>
      <c r="D2151"/>
    </row>
    <row r="2152" spans="2:4" ht="15" customHeight="1" x14ac:dyDescent="0.25">
      <c r="B2152"/>
      <c r="C2152"/>
      <c r="D2152"/>
    </row>
    <row r="2153" spans="2:4" ht="15" customHeight="1" x14ac:dyDescent="0.25">
      <c r="B2153"/>
      <c r="C2153"/>
      <c r="D2153"/>
    </row>
    <row r="2154" spans="2:4" ht="15" customHeight="1" x14ac:dyDescent="0.25">
      <c r="B2154"/>
      <c r="C2154"/>
      <c r="D2154"/>
    </row>
    <row r="2155" spans="2:4" ht="15" customHeight="1" x14ac:dyDescent="0.25">
      <c r="B2155"/>
      <c r="C2155"/>
      <c r="D2155"/>
    </row>
    <row r="2156" spans="2:4" ht="15" customHeight="1" x14ac:dyDescent="0.25">
      <c r="B2156"/>
      <c r="C2156"/>
      <c r="D2156"/>
    </row>
    <row r="2157" spans="2:4" ht="15" customHeight="1" x14ac:dyDescent="0.25">
      <c r="B2157"/>
      <c r="C2157"/>
      <c r="D2157"/>
    </row>
    <row r="2158" spans="2:4" ht="15" customHeight="1" x14ac:dyDescent="0.25">
      <c r="B2158"/>
      <c r="C2158"/>
      <c r="D2158"/>
    </row>
    <row r="2159" spans="2:4" ht="15" customHeight="1" x14ac:dyDescent="0.25">
      <c r="B2159"/>
      <c r="C2159"/>
      <c r="D2159"/>
    </row>
    <row r="2160" spans="2:4" ht="15" customHeight="1" x14ac:dyDescent="0.25">
      <c r="B2160"/>
      <c r="C2160"/>
      <c r="D2160"/>
    </row>
    <row r="2161" spans="2:4" ht="15" customHeight="1" x14ac:dyDescent="0.25">
      <c r="B2161"/>
      <c r="C2161"/>
      <c r="D2161"/>
    </row>
    <row r="2162" spans="2:4" ht="15" customHeight="1" x14ac:dyDescent="0.25">
      <c r="B2162"/>
      <c r="C2162"/>
      <c r="D2162"/>
    </row>
    <row r="2163" spans="2:4" ht="15" customHeight="1" x14ac:dyDescent="0.25">
      <c r="B2163"/>
      <c r="C2163"/>
      <c r="D2163"/>
    </row>
    <row r="2164" spans="2:4" ht="15" customHeight="1" x14ac:dyDescent="0.25">
      <c r="B2164"/>
      <c r="C2164"/>
      <c r="D2164"/>
    </row>
    <row r="2165" spans="2:4" ht="15" customHeight="1" x14ac:dyDescent="0.25">
      <c r="B2165"/>
      <c r="C2165"/>
      <c r="D2165"/>
    </row>
    <row r="2166" spans="2:4" ht="15" customHeight="1" x14ac:dyDescent="0.25">
      <c r="B2166"/>
      <c r="C2166"/>
      <c r="D2166"/>
    </row>
    <row r="2167" spans="2:4" ht="15" customHeight="1" x14ac:dyDescent="0.25">
      <c r="B2167"/>
      <c r="C2167"/>
      <c r="D2167"/>
    </row>
    <row r="2168" spans="2:4" ht="15" customHeight="1" x14ac:dyDescent="0.25">
      <c r="B2168"/>
      <c r="C2168"/>
      <c r="D2168"/>
    </row>
    <row r="2169" spans="2:4" ht="15" customHeight="1" x14ac:dyDescent="0.25">
      <c r="B2169"/>
      <c r="C2169"/>
      <c r="D2169"/>
    </row>
    <row r="2170" spans="2:4" ht="15" customHeight="1" x14ac:dyDescent="0.25">
      <c r="B2170"/>
      <c r="C2170"/>
      <c r="D2170"/>
    </row>
    <row r="2171" spans="2:4" ht="15" customHeight="1" x14ac:dyDescent="0.25">
      <c r="B2171"/>
      <c r="C2171"/>
      <c r="D2171"/>
    </row>
    <row r="2172" spans="2:4" ht="15" customHeight="1" x14ac:dyDescent="0.25">
      <c r="B2172"/>
      <c r="C2172"/>
      <c r="D2172"/>
    </row>
    <row r="2173" spans="2:4" ht="15" customHeight="1" x14ac:dyDescent="0.25">
      <c r="B2173"/>
      <c r="C2173"/>
      <c r="D2173"/>
    </row>
    <row r="2174" spans="2:4" ht="15" customHeight="1" x14ac:dyDescent="0.25">
      <c r="B2174"/>
      <c r="C2174"/>
      <c r="D2174"/>
    </row>
    <row r="2175" spans="2:4" ht="15" customHeight="1" x14ac:dyDescent="0.25">
      <c r="B2175"/>
      <c r="C2175"/>
      <c r="D2175"/>
    </row>
    <row r="2176" spans="2:4" ht="15" customHeight="1" x14ac:dyDescent="0.25">
      <c r="B2176"/>
      <c r="C2176"/>
      <c r="D2176"/>
    </row>
    <row r="2177" spans="2:4" ht="15" customHeight="1" x14ac:dyDescent="0.25">
      <c r="B2177"/>
      <c r="C2177"/>
      <c r="D2177"/>
    </row>
    <row r="2178" spans="2:4" ht="15" customHeight="1" x14ac:dyDescent="0.25">
      <c r="B2178"/>
      <c r="C2178"/>
      <c r="D2178"/>
    </row>
    <row r="2179" spans="2:4" ht="15" customHeight="1" x14ac:dyDescent="0.25">
      <c r="B2179"/>
      <c r="C2179"/>
      <c r="D2179"/>
    </row>
    <row r="2180" spans="2:4" ht="15" customHeight="1" x14ac:dyDescent="0.25">
      <c r="B2180"/>
      <c r="C2180"/>
      <c r="D2180"/>
    </row>
    <row r="2181" spans="2:4" ht="15" customHeight="1" x14ac:dyDescent="0.25">
      <c r="B2181"/>
      <c r="C2181"/>
      <c r="D2181"/>
    </row>
    <row r="2182" spans="2:4" ht="15" customHeight="1" x14ac:dyDescent="0.25">
      <c r="B2182"/>
      <c r="C2182"/>
      <c r="D2182"/>
    </row>
    <row r="2183" spans="2:4" ht="15" customHeight="1" x14ac:dyDescent="0.25">
      <c r="B2183"/>
      <c r="C2183"/>
      <c r="D2183"/>
    </row>
    <row r="2184" spans="2:4" ht="15" customHeight="1" x14ac:dyDescent="0.25">
      <c r="B2184"/>
      <c r="C2184"/>
      <c r="D2184"/>
    </row>
    <row r="2185" spans="2:4" ht="15" customHeight="1" x14ac:dyDescent="0.25">
      <c r="B2185"/>
      <c r="C2185"/>
      <c r="D2185"/>
    </row>
    <row r="2186" spans="2:4" ht="15" customHeight="1" x14ac:dyDescent="0.25">
      <c r="B2186"/>
      <c r="C2186"/>
      <c r="D2186"/>
    </row>
    <row r="2187" spans="2:4" ht="15" customHeight="1" x14ac:dyDescent="0.25">
      <c r="B2187"/>
      <c r="C2187"/>
      <c r="D2187"/>
    </row>
    <row r="2188" spans="2:4" ht="15" customHeight="1" x14ac:dyDescent="0.25">
      <c r="B2188"/>
      <c r="C2188"/>
      <c r="D2188"/>
    </row>
    <row r="2189" spans="2:4" ht="15" customHeight="1" x14ac:dyDescent="0.25">
      <c r="B2189"/>
      <c r="C2189"/>
      <c r="D2189"/>
    </row>
    <row r="2190" spans="2:4" ht="15" customHeight="1" x14ac:dyDescent="0.25">
      <c r="B2190"/>
      <c r="C2190"/>
      <c r="D2190"/>
    </row>
    <row r="2191" spans="2:4" ht="15" customHeight="1" x14ac:dyDescent="0.25">
      <c r="B2191"/>
      <c r="C2191"/>
      <c r="D2191"/>
    </row>
    <row r="2192" spans="2:4" ht="15" customHeight="1" x14ac:dyDescent="0.25">
      <c r="B2192"/>
      <c r="C2192"/>
      <c r="D2192"/>
    </row>
    <row r="2193" spans="2:4" ht="15" customHeight="1" x14ac:dyDescent="0.25">
      <c r="B2193"/>
      <c r="C2193"/>
      <c r="D2193"/>
    </row>
    <row r="2194" spans="2:4" ht="15" customHeight="1" x14ac:dyDescent="0.25">
      <c r="B2194"/>
      <c r="C2194"/>
      <c r="D2194"/>
    </row>
    <row r="2195" spans="2:4" ht="15" customHeight="1" x14ac:dyDescent="0.25">
      <c r="B2195"/>
      <c r="C2195"/>
      <c r="D2195"/>
    </row>
    <row r="2196" spans="2:4" ht="15" customHeight="1" x14ac:dyDescent="0.25">
      <c r="B2196"/>
      <c r="C2196"/>
      <c r="D2196"/>
    </row>
    <row r="2197" spans="2:4" ht="15" customHeight="1" x14ac:dyDescent="0.25">
      <c r="B2197"/>
      <c r="C2197"/>
      <c r="D2197"/>
    </row>
    <row r="2198" spans="2:4" ht="15" customHeight="1" x14ac:dyDescent="0.25">
      <c r="B2198"/>
      <c r="C2198"/>
      <c r="D2198"/>
    </row>
    <row r="2199" spans="2:4" ht="15" customHeight="1" x14ac:dyDescent="0.25">
      <c r="B2199"/>
      <c r="C2199"/>
      <c r="D2199"/>
    </row>
    <row r="2200" spans="2:4" ht="15" customHeight="1" x14ac:dyDescent="0.25">
      <c r="B2200"/>
      <c r="C2200"/>
      <c r="D2200"/>
    </row>
    <row r="2201" spans="2:4" ht="15" customHeight="1" x14ac:dyDescent="0.25">
      <c r="B2201"/>
      <c r="C2201"/>
      <c r="D2201"/>
    </row>
    <row r="2202" spans="2:4" ht="15" customHeight="1" x14ac:dyDescent="0.25">
      <c r="B2202"/>
      <c r="C2202"/>
      <c r="D2202"/>
    </row>
    <row r="2203" spans="2:4" ht="15" customHeight="1" x14ac:dyDescent="0.25">
      <c r="B2203"/>
      <c r="C2203"/>
      <c r="D2203"/>
    </row>
    <row r="2204" spans="2:4" ht="15" customHeight="1" x14ac:dyDescent="0.25">
      <c r="B2204"/>
      <c r="C2204"/>
      <c r="D2204"/>
    </row>
    <row r="2205" spans="2:4" ht="15" customHeight="1" x14ac:dyDescent="0.25">
      <c r="B2205"/>
      <c r="C2205"/>
      <c r="D2205"/>
    </row>
    <row r="2206" spans="2:4" ht="15" customHeight="1" x14ac:dyDescent="0.25">
      <c r="B2206"/>
      <c r="C2206"/>
      <c r="D2206"/>
    </row>
    <row r="2207" spans="2:4" ht="15" customHeight="1" x14ac:dyDescent="0.25">
      <c r="B2207"/>
      <c r="C2207"/>
      <c r="D2207"/>
    </row>
    <row r="2208" spans="2:4" ht="15" customHeight="1" x14ac:dyDescent="0.25">
      <c r="B2208"/>
      <c r="C2208"/>
      <c r="D2208"/>
    </row>
    <row r="2209" spans="2:4" ht="15" customHeight="1" x14ac:dyDescent="0.25">
      <c r="B2209"/>
      <c r="C2209"/>
      <c r="D2209"/>
    </row>
    <row r="2210" spans="2:4" ht="15" customHeight="1" x14ac:dyDescent="0.25">
      <c r="B2210"/>
      <c r="C2210"/>
      <c r="D2210"/>
    </row>
    <row r="2211" spans="2:4" ht="15" customHeight="1" x14ac:dyDescent="0.25">
      <c r="B2211"/>
      <c r="C2211"/>
      <c r="D2211"/>
    </row>
    <row r="2212" spans="2:4" ht="15" customHeight="1" x14ac:dyDescent="0.25">
      <c r="B2212"/>
      <c r="C2212"/>
      <c r="D2212"/>
    </row>
    <row r="2213" spans="2:4" ht="15" customHeight="1" x14ac:dyDescent="0.25">
      <c r="B2213"/>
      <c r="C2213"/>
      <c r="D2213"/>
    </row>
    <row r="2214" spans="2:4" ht="15" customHeight="1" x14ac:dyDescent="0.25">
      <c r="B2214"/>
      <c r="C2214"/>
      <c r="D2214"/>
    </row>
    <row r="2215" spans="2:4" ht="15" customHeight="1" x14ac:dyDescent="0.25">
      <c r="B2215"/>
      <c r="C2215"/>
      <c r="D2215"/>
    </row>
    <row r="2216" spans="2:4" ht="15" customHeight="1" x14ac:dyDescent="0.25">
      <c r="B2216"/>
      <c r="C2216"/>
      <c r="D2216"/>
    </row>
    <row r="2217" spans="2:4" ht="15" customHeight="1" x14ac:dyDescent="0.25">
      <c r="B2217"/>
      <c r="C2217"/>
      <c r="D2217"/>
    </row>
    <row r="2218" spans="2:4" ht="15" customHeight="1" x14ac:dyDescent="0.25">
      <c r="B2218"/>
      <c r="C2218"/>
      <c r="D2218"/>
    </row>
    <row r="2219" spans="2:4" ht="15" customHeight="1" x14ac:dyDescent="0.25">
      <c r="B2219"/>
      <c r="C2219"/>
      <c r="D2219"/>
    </row>
    <row r="2220" spans="2:4" ht="15" customHeight="1" x14ac:dyDescent="0.25">
      <c r="B2220"/>
      <c r="C2220"/>
      <c r="D2220"/>
    </row>
    <row r="2221" spans="2:4" ht="15" customHeight="1" x14ac:dyDescent="0.25">
      <c r="B2221"/>
      <c r="C2221"/>
      <c r="D2221"/>
    </row>
    <row r="2222" spans="2:4" ht="15" customHeight="1" x14ac:dyDescent="0.25">
      <c r="B2222"/>
      <c r="C2222"/>
      <c r="D2222"/>
    </row>
    <row r="2223" spans="2:4" ht="15" customHeight="1" x14ac:dyDescent="0.25">
      <c r="B2223"/>
      <c r="C2223"/>
      <c r="D2223"/>
    </row>
    <row r="2224" spans="2:4" ht="15" customHeight="1" x14ac:dyDescent="0.25">
      <c r="B2224"/>
      <c r="C2224"/>
      <c r="D2224"/>
    </row>
    <row r="2225" spans="2:4" ht="15" customHeight="1" x14ac:dyDescent="0.25">
      <c r="B2225"/>
      <c r="C2225"/>
      <c r="D2225"/>
    </row>
    <row r="2226" spans="2:4" ht="15" customHeight="1" x14ac:dyDescent="0.25">
      <c r="B2226"/>
      <c r="C2226"/>
      <c r="D2226"/>
    </row>
    <row r="2227" spans="2:4" ht="15" customHeight="1" x14ac:dyDescent="0.25">
      <c r="B2227"/>
      <c r="C2227"/>
      <c r="D2227"/>
    </row>
    <row r="2228" spans="2:4" ht="15" customHeight="1" x14ac:dyDescent="0.25">
      <c r="B2228"/>
      <c r="C2228"/>
      <c r="D2228"/>
    </row>
    <row r="2229" spans="2:4" ht="15" customHeight="1" x14ac:dyDescent="0.25">
      <c r="B2229"/>
      <c r="C2229"/>
      <c r="D2229"/>
    </row>
    <row r="2230" spans="2:4" ht="15" customHeight="1" x14ac:dyDescent="0.25">
      <c r="B2230"/>
      <c r="C2230"/>
      <c r="D2230"/>
    </row>
    <row r="2231" spans="2:4" ht="15" customHeight="1" x14ac:dyDescent="0.25">
      <c r="B2231"/>
      <c r="C2231"/>
      <c r="D2231"/>
    </row>
    <row r="2232" spans="2:4" ht="15" customHeight="1" x14ac:dyDescent="0.25">
      <c r="B2232"/>
      <c r="C2232"/>
      <c r="D2232"/>
    </row>
    <row r="2233" spans="2:4" ht="15" customHeight="1" x14ac:dyDescent="0.25">
      <c r="B2233"/>
      <c r="C2233"/>
      <c r="D2233"/>
    </row>
    <row r="2234" spans="2:4" ht="15" customHeight="1" x14ac:dyDescent="0.25">
      <c r="B2234"/>
      <c r="C2234"/>
      <c r="D2234"/>
    </row>
    <row r="2235" spans="2:4" ht="15" customHeight="1" x14ac:dyDescent="0.25">
      <c r="B2235"/>
      <c r="C2235"/>
      <c r="D2235"/>
    </row>
    <row r="2236" spans="2:4" ht="15" customHeight="1" x14ac:dyDescent="0.25">
      <c r="B2236"/>
      <c r="C2236"/>
      <c r="D2236"/>
    </row>
    <row r="2237" spans="2:4" ht="15" customHeight="1" x14ac:dyDescent="0.25">
      <c r="B2237"/>
      <c r="C2237"/>
      <c r="D2237"/>
    </row>
    <row r="2238" spans="2:4" ht="15" customHeight="1" x14ac:dyDescent="0.25">
      <c r="B2238"/>
      <c r="C2238"/>
      <c r="D2238"/>
    </row>
    <row r="2239" spans="2:4" ht="15" customHeight="1" x14ac:dyDescent="0.25">
      <c r="B2239"/>
      <c r="C2239"/>
      <c r="D2239"/>
    </row>
    <row r="2240" spans="2:4" ht="15" customHeight="1" x14ac:dyDescent="0.25">
      <c r="B2240"/>
      <c r="C2240"/>
      <c r="D2240"/>
    </row>
    <row r="2241" spans="2:4" ht="15" customHeight="1" x14ac:dyDescent="0.25">
      <c r="B2241"/>
      <c r="C2241"/>
      <c r="D2241"/>
    </row>
    <row r="2242" spans="2:4" ht="15" customHeight="1" x14ac:dyDescent="0.25">
      <c r="B2242"/>
      <c r="C2242"/>
      <c r="D2242"/>
    </row>
    <row r="2243" spans="2:4" ht="15" customHeight="1" x14ac:dyDescent="0.25">
      <c r="B2243"/>
      <c r="C2243"/>
      <c r="D2243"/>
    </row>
    <row r="2244" spans="2:4" ht="15" customHeight="1" x14ac:dyDescent="0.25">
      <c r="B2244"/>
      <c r="C2244"/>
      <c r="D2244"/>
    </row>
    <row r="2245" spans="2:4" ht="15" customHeight="1" x14ac:dyDescent="0.25">
      <c r="B2245"/>
      <c r="C2245"/>
      <c r="D2245"/>
    </row>
    <row r="2246" spans="2:4" ht="15" customHeight="1" x14ac:dyDescent="0.25">
      <c r="B2246"/>
      <c r="C2246"/>
      <c r="D2246"/>
    </row>
    <row r="2247" spans="2:4" ht="15" customHeight="1" x14ac:dyDescent="0.25">
      <c r="B2247"/>
      <c r="C2247"/>
      <c r="D2247"/>
    </row>
    <row r="2248" spans="2:4" ht="15" customHeight="1" x14ac:dyDescent="0.25">
      <c r="B2248"/>
      <c r="C2248"/>
      <c r="D2248"/>
    </row>
    <row r="2249" spans="2:4" ht="15" customHeight="1" x14ac:dyDescent="0.25">
      <c r="B2249"/>
      <c r="C2249"/>
      <c r="D2249"/>
    </row>
    <row r="2250" spans="2:4" ht="15" customHeight="1" x14ac:dyDescent="0.25">
      <c r="B2250"/>
      <c r="C2250"/>
      <c r="D2250"/>
    </row>
    <row r="2251" spans="2:4" ht="15" customHeight="1" x14ac:dyDescent="0.25">
      <c r="B2251"/>
      <c r="C2251"/>
      <c r="D2251"/>
    </row>
    <row r="2252" spans="2:4" ht="15" customHeight="1" x14ac:dyDescent="0.25">
      <c r="B2252"/>
      <c r="C2252"/>
      <c r="D2252"/>
    </row>
    <row r="2253" spans="2:4" ht="15" customHeight="1" x14ac:dyDescent="0.25">
      <c r="B2253"/>
      <c r="C2253"/>
      <c r="D2253"/>
    </row>
    <row r="2254" spans="2:4" ht="15" customHeight="1" x14ac:dyDescent="0.25">
      <c r="B2254"/>
      <c r="C2254"/>
      <c r="D2254"/>
    </row>
    <row r="2255" spans="2:4" ht="15" customHeight="1" x14ac:dyDescent="0.25">
      <c r="B2255"/>
      <c r="C2255"/>
      <c r="D2255"/>
    </row>
    <row r="2256" spans="2:4" ht="15" customHeight="1" x14ac:dyDescent="0.25">
      <c r="B2256"/>
      <c r="C2256"/>
      <c r="D2256"/>
    </row>
    <row r="2257" spans="2:4" ht="15" customHeight="1" x14ac:dyDescent="0.25">
      <c r="B2257"/>
      <c r="C2257"/>
      <c r="D2257"/>
    </row>
    <row r="2258" spans="2:4" ht="15" customHeight="1" x14ac:dyDescent="0.25">
      <c r="B2258"/>
      <c r="C2258"/>
      <c r="D2258"/>
    </row>
    <row r="2259" spans="2:4" ht="15" customHeight="1" x14ac:dyDescent="0.25">
      <c r="B2259"/>
      <c r="C2259"/>
      <c r="D2259"/>
    </row>
    <row r="2260" spans="2:4" ht="15" customHeight="1" x14ac:dyDescent="0.25">
      <c r="B2260"/>
      <c r="C2260"/>
      <c r="D2260"/>
    </row>
    <row r="2261" spans="2:4" ht="15" customHeight="1" x14ac:dyDescent="0.25">
      <c r="B2261"/>
      <c r="C2261"/>
      <c r="D2261"/>
    </row>
    <row r="2262" spans="2:4" ht="15" customHeight="1" x14ac:dyDescent="0.25">
      <c r="B2262"/>
      <c r="C2262"/>
      <c r="D2262"/>
    </row>
    <row r="2263" spans="2:4" ht="15" customHeight="1" x14ac:dyDescent="0.25">
      <c r="B2263"/>
      <c r="C2263"/>
      <c r="D2263"/>
    </row>
    <row r="2264" spans="2:4" ht="15" customHeight="1" x14ac:dyDescent="0.25">
      <c r="B2264"/>
      <c r="C2264"/>
      <c r="D2264"/>
    </row>
    <row r="2265" spans="2:4" ht="15" customHeight="1" x14ac:dyDescent="0.25">
      <c r="B2265"/>
      <c r="C2265"/>
      <c r="D2265"/>
    </row>
    <row r="2266" spans="2:4" ht="15" customHeight="1" x14ac:dyDescent="0.25">
      <c r="B2266"/>
      <c r="C2266"/>
      <c r="D2266"/>
    </row>
    <row r="2267" spans="2:4" ht="15" customHeight="1" x14ac:dyDescent="0.25">
      <c r="B2267"/>
      <c r="C2267"/>
      <c r="D2267"/>
    </row>
    <row r="2268" spans="2:4" ht="15" customHeight="1" x14ac:dyDescent="0.25">
      <c r="B2268"/>
      <c r="C2268"/>
      <c r="D2268"/>
    </row>
    <row r="2269" spans="2:4" ht="15" customHeight="1" x14ac:dyDescent="0.25">
      <c r="B2269"/>
      <c r="C2269"/>
      <c r="D2269"/>
    </row>
    <row r="2270" spans="2:4" ht="15" customHeight="1" x14ac:dyDescent="0.25">
      <c r="B2270"/>
      <c r="C2270"/>
      <c r="D2270"/>
    </row>
    <row r="2271" spans="2:4" ht="15" customHeight="1" x14ac:dyDescent="0.25">
      <c r="B2271"/>
      <c r="C2271"/>
      <c r="D2271"/>
    </row>
    <row r="2272" spans="2:4" ht="15" customHeight="1" x14ac:dyDescent="0.25">
      <c r="B2272"/>
      <c r="C2272"/>
      <c r="D2272"/>
    </row>
    <row r="2273" spans="2:4" ht="15" customHeight="1" x14ac:dyDescent="0.25">
      <c r="B2273"/>
      <c r="C2273"/>
      <c r="D2273"/>
    </row>
    <row r="2274" spans="2:4" ht="15" customHeight="1" x14ac:dyDescent="0.25">
      <c r="B2274"/>
      <c r="C2274"/>
      <c r="D2274"/>
    </row>
    <row r="2275" spans="2:4" ht="15" customHeight="1" x14ac:dyDescent="0.25">
      <c r="B2275"/>
      <c r="C2275"/>
      <c r="D2275"/>
    </row>
    <row r="2276" spans="2:4" ht="15" customHeight="1" x14ac:dyDescent="0.25">
      <c r="B2276"/>
      <c r="C2276"/>
      <c r="D2276"/>
    </row>
    <row r="2277" spans="2:4" ht="15" customHeight="1" x14ac:dyDescent="0.25">
      <c r="B2277"/>
      <c r="C2277"/>
      <c r="D2277"/>
    </row>
    <row r="2278" spans="2:4" ht="15" customHeight="1" x14ac:dyDescent="0.25">
      <c r="B2278"/>
      <c r="C2278"/>
      <c r="D2278"/>
    </row>
    <row r="2279" spans="2:4" ht="15" customHeight="1" x14ac:dyDescent="0.25">
      <c r="B2279"/>
      <c r="C2279"/>
      <c r="D2279"/>
    </row>
    <row r="2280" spans="2:4" ht="15" customHeight="1" x14ac:dyDescent="0.25">
      <c r="B2280"/>
      <c r="C2280"/>
      <c r="D2280"/>
    </row>
    <row r="2281" spans="2:4" ht="15" customHeight="1" x14ac:dyDescent="0.25">
      <c r="B2281"/>
      <c r="C2281"/>
      <c r="D2281"/>
    </row>
    <row r="2282" spans="2:4" ht="15" customHeight="1" x14ac:dyDescent="0.25">
      <c r="B2282"/>
      <c r="C2282"/>
      <c r="D2282"/>
    </row>
    <row r="2283" spans="2:4" ht="15" customHeight="1" x14ac:dyDescent="0.25">
      <c r="B2283"/>
      <c r="C2283"/>
      <c r="D2283"/>
    </row>
    <row r="2284" spans="2:4" ht="15" customHeight="1" x14ac:dyDescent="0.25">
      <c r="B2284"/>
      <c r="C2284"/>
      <c r="D2284"/>
    </row>
    <row r="2285" spans="2:4" ht="15" customHeight="1" x14ac:dyDescent="0.25">
      <c r="B2285"/>
      <c r="C2285"/>
      <c r="D2285"/>
    </row>
    <row r="2286" spans="2:4" ht="15" customHeight="1" x14ac:dyDescent="0.25">
      <c r="B2286"/>
      <c r="C2286"/>
      <c r="D2286"/>
    </row>
    <row r="2287" spans="2:4" ht="15" customHeight="1" x14ac:dyDescent="0.25">
      <c r="B2287"/>
      <c r="C2287"/>
      <c r="D2287"/>
    </row>
    <row r="2288" spans="2:4" ht="15" customHeight="1" x14ac:dyDescent="0.25">
      <c r="B2288"/>
      <c r="C2288"/>
      <c r="D2288"/>
    </row>
    <row r="2289" spans="2:4" ht="15" customHeight="1" x14ac:dyDescent="0.25">
      <c r="B2289"/>
      <c r="C2289"/>
      <c r="D2289"/>
    </row>
    <row r="2290" spans="2:4" ht="15" customHeight="1" x14ac:dyDescent="0.25">
      <c r="B2290"/>
      <c r="C2290"/>
      <c r="D2290"/>
    </row>
    <row r="2291" spans="2:4" ht="15" customHeight="1" x14ac:dyDescent="0.25">
      <c r="B2291"/>
      <c r="C2291"/>
      <c r="D2291"/>
    </row>
    <row r="2292" spans="2:4" ht="15" customHeight="1" x14ac:dyDescent="0.25">
      <c r="B2292"/>
      <c r="C2292"/>
      <c r="D2292"/>
    </row>
    <row r="2293" spans="2:4" ht="15" customHeight="1" x14ac:dyDescent="0.25">
      <c r="B2293"/>
      <c r="C2293"/>
      <c r="D2293"/>
    </row>
    <row r="2294" spans="2:4" ht="15" customHeight="1" x14ac:dyDescent="0.25">
      <c r="B2294"/>
      <c r="C2294"/>
      <c r="D2294"/>
    </row>
    <row r="2295" spans="2:4" ht="15" customHeight="1" x14ac:dyDescent="0.25">
      <c r="B2295"/>
      <c r="C2295"/>
      <c r="D2295"/>
    </row>
    <row r="2296" spans="2:4" ht="15" customHeight="1" x14ac:dyDescent="0.25">
      <c r="B2296"/>
      <c r="C2296"/>
      <c r="D2296"/>
    </row>
    <row r="2297" spans="2:4" ht="15" customHeight="1" x14ac:dyDescent="0.25">
      <c r="B2297"/>
      <c r="C2297"/>
      <c r="D2297"/>
    </row>
    <row r="2298" spans="2:4" ht="15" customHeight="1" x14ac:dyDescent="0.25">
      <c r="B2298"/>
      <c r="C2298"/>
      <c r="D2298"/>
    </row>
    <row r="2299" spans="2:4" ht="15" customHeight="1" x14ac:dyDescent="0.25">
      <c r="B2299"/>
      <c r="C2299"/>
      <c r="D2299"/>
    </row>
    <row r="2300" spans="2:4" ht="15" customHeight="1" x14ac:dyDescent="0.25">
      <c r="B2300"/>
      <c r="C2300"/>
      <c r="D2300"/>
    </row>
    <row r="2301" spans="2:4" ht="15" customHeight="1" x14ac:dyDescent="0.25">
      <c r="B2301"/>
      <c r="C2301"/>
      <c r="D2301"/>
    </row>
    <row r="2302" spans="2:4" ht="15" customHeight="1" x14ac:dyDescent="0.25">
      <c r="B2302"/>
      <c r="C2302"/>
      <c r="D2302"/>
    </row>
    <row r="2303" spans="2:4" ht="15" customHeight="1" x14ac:dyDescent="0.25">
      <c r="B2303"/>
      <c r="C2303"/>
      <c r="D2303"/>
    </row>
    <row r="2304" spans="2:4" ht="15" customHeight="1" x14ac:dyDescent="0.25">
      <c r="B2304"/>
      <c r="C2304"/>
      <c r="D2304"/>
    </row>
    <row r="2305" spans="2:4" ht="15" customHeight="1" x14ac:dyDescent="0.25">
      <c r="B2305"/>
      <c r="C2305"/>
      <c r="D2305"/>
    </row>
    <row r="2306" spans="2:4" ht="15" customHeight="1" x14ac:dyDescent="0.25">
      <c r="B2306"/>
      <c r="C2306"/>
      <c r="D2306"/>
    </row>
    <row r="2307" spans="2:4" ht="15" customHeight="1" x14ac:dyDescent="0.25">
      <c r="B2307"/>
      <c r="C2307"/>
      <c r="D2307"/>
    </row>
    <row r="2308" spans="2:4" ht="15" customHeight="1" x14ac:dyDescent="0.25">
      <c r="B2308"/>
      <c r="C2308"/>
      <c r="D2308"/>
    </row>
    <row r="2309" spans="2:4" ht="15" customHeight="1" x14ac:dyDescent="0.25">
      <c r="B2309"/>
      <c r="C2309"/>
      <c r="D2309"/>
    </row>
    <row r="2310" spans="2:4" ht="15" customHeight="1" x14ac:dyDescent="0.25">
      <c r="B2310"/>
      <c r="C2310"/>
      <c r="D2310"/>
    </row>
    <row r="2311" spans="2:4" ht="15" customHeight="1" x14ac:dyDescent="0.25">
      <c r="B2311"/>
      <c r="C2311"/>
      <c r="D2311"/>
    </row>
    <row r="2312" spans="2:4" ht="15" customHeight="1" x14ac:dyDescent="0.25">
      <c r="B2312"/>
      <c r="C2312"/>
      <c r="D2312"/>
    </row>
    <row r="2313" spans="2:4" ht="15" customHeight="1" x14ac:dyDescent="0.25">
      <c r="B2313"/>
      <c r="C2313"/>
      <c r="D2313"/>
    </row>
    <row r="2314" spans="2:4" ht="15" customHeight="1" x14ac:dyDescent="0.25">
      <c r="B2314"/>
      <c r="C2314"/>
      <c r="D2314"/>
    </row>
    <row r="2315" spans="2:4" ht="15" customHeight="1" x14ac:dyDescent="0.25">
      <c r="B2315"/>
      <c r="C2315"/>
      <c r="D2315"/>
    </row>
    <row r="2316" spans="2:4" ht="15" customHeight="1" x14ac:dyDescent="0.25">
      <c r="B2316"/>
      <c r="C2316"/>
      <c r="D2316"/>
    </row>
    <row r="2317" spans="2:4" ht="15" customHeight="1" x14ac:dyDescent="0.25">
      <c r="B2317"/>
      <c r="C2317"/>
      <c r="D2317"/>
    </row>
    <row r="2318" spans="2:4" ht="15" customHeight="1" x14ac:dyDescent="0.25">
      <c r="B2318"/>
      <c r="C2318"/>
      <c r="D2318"/>
    </row>
    <row r="2319" spans="2:4" ht="15" customHeight="1" x14ac:dyDescent="0.25">
      <c r="B2319"/>
      <c r="C2319"/>
      <c r="D2319"/>
    </row>
    <row r="2320" spans="2:4" ht="15" customHeight="1" x14ac:dyDescent="0.25">
      <c r="B2320"/>
      <c r="C2320"/>
      <c r="D2320"/>
    </row>
    <row r="2321" spans="2:4" ht="15" customHeight="1" x14ac:dyDescent="0.25">
      <c r="B2321"/>
      <c r="C2321"/>
      <c r="D2321"/>
    </row>
    <row r="2322" spans="2:4" ht="15" customHeight="1" x14ac:dyDescent="0.25">
      <c r="B2322"/>
      <c r="C2322"/>
      <c r="D2322"/>
    </row>
    <row r="2323" spans="2:4" ht="15" customHeight="1" x14ac:dyDescent="0.25">
      <c r="B2323"/>
      <c r="C2323"/>
      <c r="D2323"/>
    </row>
    <row r="2324" spans="2:4" ht="15" customHeight="1" x14ac:dyDescent="0.25">
      <c r="B2324"/>
      <c r="C2324"/>
      <c r="D2324"/>
    </row>
    <row r="2325" spans="2:4" ht="15" customHeight="1" x14ac:dyDescent="0.25">
      <c r="B2325"/>
      <c r="C2325"/>
      <c r="D2325"/>
    </row>
    <row r="2326" spans="2:4" ht="15" customHeight="1" x14ac:dyDescent="0.25">
      <c r="B2326"/>
      <c r="C2326"/>
      <c r="D2326"/>
    </row>
    <row r="2327" spans="2:4" ht="15" customHeight="1" x14ac:dyDescent="0.25">
      <c r="B2327"/>
      <c r="C2327"/>
      <c r="D2327"/>
    </row>
    <row r="2328" spans="2:4" ht="15" customHeight="1" x14ac:dyDescent="0.25">
      <c r="B2328"/>
      <c r="C2328"/>
      <c r="D2328"/>
    </row>
    <row r="2329" spans="2:4" ht="15" customHeight="1" x14ac:dyDescent="0.25">
      <c r="B2329"/>
      <c r="C2329"/>
      <c r="D2329"/>
    </row>
    <row r="2330" spans="2:4" ht="15" customHeight="1" x14ac:dyDescent="0.25">
      <c r="B2330"/>
      <c r="C2330"/>
      <c r="D2330"/>
    </row>
    <row r="2331" spans="2:4" ht="15" customHeight="1" x14ac:dyDescent="0.25">
      <c r="B2331"/>
      <c r="C2331"/>
      <c r="D2331"/>
    </row>
    <row r="2332" spans="2:4" ht="15" customHeight="1" x14ac:dyDescent="0.25">
      <c r="B2332"/>
      <c r="C2332"/>
      <c r="D2332"/>
    </row>
    <row r="2333" spans="2:4" ht="15" customHeight="1" x14ac:dyDescent="0.25">
      <c r="B2333"/>
      <c r="C2333"/>
      <c r="D2333"/>
    </row>
    <row r="2334" spans="2:4" ht="15" customHeight="1" x14ac:dyDescent="0.25">
      <c r="B2334"/>
      <c r="C2334"/>
      <c r="D2334"/>
    </row>
    <row r="2335" spans="2:4" ht="15" customHeight="1" x14ac:dyDescent="0.25">
      <c r="B2335"/>
      <c r="C2335"/>
      <c r="D2335"/>
    </row>
    <row r="2336" spans="2:4" ht="15" customHeight="1" x14ac:dyDescent="0.25">
      <c r="B2336"/>
      <c r="C2336"/>
      <c r="D2336"/>
    </row>
    <row r="2337" spans="2:4" ht="15" customHeight="1" x14ac:dyDescent="0.25">
      <c r="B2337"/>
      <c r="C2337"/>
      <c r="D2337"/>
    </row>
    <row r="2338" spans="2:4" ht="15" customHeight="1" x14ac:dyDescent="0.25">
      <c r="B2338"/>
      <c r="C2338"/>
      <c r="D2338"/>
    </row>
    <row r="2339" spans="2:4" ht="15" customHeight="1" x14ac:dyDescent="0.25">
      <c r="B2339"/>
      <c r="C2339"/>
      <c r="D2339"/>
    </row>
    <row r="2340" spans="2:4" ht="15" customHeight="1" x14ac:dyDescent="0.25">
      <c r="B2340"/>
      <c r="C2340"/>
      <c r="D2340"/>
    </row>
    <row r="2341" spans="2:4" ht="15" customHeight="1" x14ac:dyDescent="0.25">
      <c r="B2341"/>
      <c r="C2341"/>
      <c r="D2341"/>
    </row>
    <row r="2342" spans="2:4" ht="15" customHeight="1" x14ac:dyDescent="0.25">
      <c r="B2342"/>
      <c r="C2342"/>
      <c r="D2342"/>
    </row>
    <row r="2343" spans="2:4" ht="15" customHeight="1" x14ac:dyDescent="0.25">
      <c r="B2343"/>
      <c r="C2343"/>
      <c r="D2343"/>
    </row>
    <row r="2344" spans="2:4" ht="15" customHeight="1" x14ac:dyDescent="0.25">
      <c r="B2344"/>
      <c r="C2344"/>
      <c r="D2344"/>
    </row>
    <row r="2345" spans="2:4" ht="15" customHeight="1" x14ac:dyDescent="0.25">
      <c r="B2345"/>
      <c r="C2345"/>
      <c r="D2345"/>
    </row>
    <row r="2346" spans="2:4" ht="15" customHeight="1" x14ac:dyDescent="0.25">
      <c r="B2346"/>
      <c r="C2346"/>
      <c r="D2346"/>
    </row>
    <row r="2347" spans="2:4" ht="15" customHeight="1" x14ac:dyDescent="0.25">
      <c r="B2347"/>
      <c r="C2347"/>
      <c r="D2347"/>
    </row>
    <row r="2348" spans="2:4" ht="15" customHeight="1" x14ac:dyDescent="0.25">
      <c r="B2348"/>
      <c r="C2348"/>
      <c r="D2348"/>
    </row>
    <row r="2349" spans="2:4" ht="15" customHeight="1" x14ac:dyDescent="0.25">
      <c r="B2349"/>
      <c r="C2349"/>
      <c r="D2349"/>
    </row>
    <row r="2350" spans="2:4" ht="15" customHeight="1" x14ac:dyDescent="0.25">
      <c r="B2350"/>
      <c r="C2350"/>
      <c r="D2350"/>
    </row>
    <row r="2351" spans="2:4" ht="15" customHeight="1" x14ac:dyDescent="0.25">
      <c r="B2351"/>
      <c r="C2351"/>
      <c r="D2351"/>
    </row>
    <row r="2352" spans="2:4" ht="15" customHeight="1" x14ac:dyDescent="0.25">
      <c r="B2352"/>
      <c r="C2352"/>
      <c r="D2352"/>
    </row>
    <row r="2353" spans="2:4" ht="15" customHeight="1" x14ac:dyDescent="0.25">
      <c r="B2353"/>
      <c r="C2353"/>
      <c r="D2353"/>
    </row>
    <row r="2354" spans="2:4" ht="15" customHeight="1" x14ac:dyDescent="0.25">
      <c r="B2354"/>
      <c r="C2354"/>
      <c r="D2354"/>
    </row>
    <row r="2355" spans="2:4" ht="15" customHeight="1" x14ac:dyDescent="0.25">
      <c r="B2355"/>
      <c r="C2355"/>
      <c r="D2355"/>
    </row>
    <row r="2356" spans="2:4" ht="15" customHeight="1" x14ac:dyDescent="0.25">
      <c r="B2356"/>
      <c r="C2356"/>
      <c r="D2356"/>
    </row>
    <row r="2357" spans="2:4" ht="15" customHeight="1" x14ac:dyDescent="0.25">
      <c r="B2357"/>
      <c r="C2357"/>
      <c r="D2357"/>
    </row>
    <row r="2358" spans="2:4" ht="15" customHeight="1" x14ac:dyDescent="0.25">
      <c r="B2358"/>
      <c r="C2358"/>
      <c r="D2358"/>
    </row>
    <row r="2359" spans="2:4" ht="15" customHeight="1" x14ac:dyDescent="0.25">
      <c r="B2359"/>
      <c r="C2359"/>
      <c r="D2359"/>
    </row>
    <row r="2360" spans="2:4" ht="15" customHeight="1" x14ac:dyDescent="0.25">
      <c r="B2360"/>
      <c r="C2360"/>
      <c r="D2360"/>
    </row>
    <row r="2361" spans="2:4" ht="15" customHeight="1" x14ac:dyDescent="0.25">
      <c r="B2361"/>
      <c r="C2361"/>
      <c r="D2361"/>
    </row>
    <row r="2362" spans="2:4" ht="15" customHeight="1" x14ac:dyDescent="0.25">
      <c r="B2362"/>
      <c r="C2362"/>
      <c r="D2362"/>
    </row>
    <row r="2363" spans="2:4" ht="15" customHeight="1" x14ac:dyDescent="0.25">
      <c r="B2363"/>
      <c r="C2363"/>
      <c r="D2363"/>
    </row>
    <row r="2364" spans="2:4" ht="15" customHeight="1" x14ac:dyDescent="0.25">
      <c r="B2364"/>
      <c r="C2364"/>
      <c r="D2364"/>
    </row>
    <row r="2365" spans="2:4" ht="15" customHeight="1" x14ac:dyDescent="0.25">
      <c r="B2365"/>
      <c r="C2365"/>
      <c r="D2365"/>
    </row>
    <row r="2366" spans="2:4" ht="15" customHeight="1" x14ac:dyDescent="0.25">
      <c r="B2366"/>
      <c r="C2366"/>
      <c r="D2366"/>
    </row>
    <row r="2367" spans="2:4" ht="15" customHeight="1" x14ac:dyDescent="0.25">
      <c r="B2367"/>
      <c r="C2367"/>
      <c r="D2367"/>
    </row>
    <row r="2368" spans="2:4" ht="15" customHeight="1" x14ac:dyDescent="0.25">
      <c r="B2368"/>
      <c r="C2368"/>
      <c r="D2368"/>
    </row>
    <row r="2369" spans="2:4" ht="15" customHeight="1" x14ac:dyDescent="0.25">
      <c r="B2369"/>
      <c r="C2369"/>
      <c r="D2369"/>
    </row>
    <row r="2370" spans="2:4" ht="15" customHeight="1" x14ac:dyDescent="0.25">
      <c r="B2370"/>
      <c r="C2370"/>
      <c r="D2370"/>
    </row>
    <row r="2371" spans="2:4" ht="15" customHeight="1" x14ac:dyDescent="0.25">
      <c r="B2371"/>
      <c r="C2371"/>
      <c r="D2371"/>
    </row>
    <row r="2372" spans="2:4" ht="15" customHeight="1" x14ac:dyDescent="0.25">
      <c r="B2372"/>
      <c r="C2372"/>
      <c r="D2372"/>
    </row>
    <row r="2373" spans="2:4" ht="15" customHeight="1" x14ac:dyDescent="0.25">
      <c r="B2373"/>
      <c r="C2373"/>
      <c r="D2373"/>
    </row>
    <row r="2374" spans="2:4" ht="15" customHeight="1" x14ac:dyDescent="0.25">
      <c r="B2374"/>
      <c r="C2374"/>
      <c r="D2374"/>
    </row>
    <row r="2375" spans="2:4" ht="15" customHeight="1" x14ac:dyDescent="0.25">
      <c r="B2375"/>
      <c r="C2375"/>
      <c r="D2375"/>
    </row>
    <row r="2376" spans="2:4" ht="15" customHeight="1" x14ac:dyDescent="0.25">
      <c r="B2376"/>
      <c r="C2376"/>
      <c r="D2376"/>
    </row>
    <row r="2377" spans="2:4" ht="15" customHeight="1" x14ac:dyDescent="0.25">
      <c r="B2377"/>
      <c r="C2377"/>
      <c r="D2377"/>
    </row>
    <row r="2378" spans="2:4" ht="15" customHeight="1" x14ac:dyDescent="0.25">
      <c r="B2378"/>
      <c r="C2378"/>
      <c r="D2378"/>
    </row>
    <row r="2379" spans="2:4" ht="15" customHeight="1" x14ac:dyDescent="0.25">
      <c r="B2379"/>
      <c r="C2379"/>
      <c r="D2379"/>
    </row>
    <row r="2380" spans="2:4" ht="15" customHeight="1" x14ac:dyDescent="0.25">
      <c r="B2380"/>
      <c r="C2380"/>
      <c r="D2380"/>
    </row>
    <row r="2381" spans="2:4" ht="15" customHeight="1" x14ac:dyDescent="0.25">
      <c r="B2381"/>
      <c r="C2381"/>
      <c r="D2381"/>
    </row>
    <row r="2382" spans="2:4" ht="15" customHeight="1" x14ac:dyDescent="0.25">
      <c r="B2382"/>
      <c r="C2382"/>
      <c r="D2382"/>
    </row>
    <row r="2383" spans="2:4" ht="15" customHeight="1" x14ac:dyDescent="0.25">
      <c r="B2383"/>
      <c r="C2383"/>
      <c r="D2383"/>
    </row>
    <row r="2384" spans="2:4" ht="15" customHeight="1" x14ac:dyDescent="0.25">
      <c r="B2384"/>
      <c r="C2384"/>
      <c r="D2384"/>
    </row>
    <row r="2385" spans="2:4" ht="15" customHeight="1" x14ac:dyDescent="0.25">
      <c r="B2385"/>
      <c r="C2385"/>
      <c r="D2385"/>
    </row>
    <row r="2386" spans="2:4" ht="15" customHeight="1" x14ac:dyDescent="0.25">
      <c r="B2386"/>
      <c r="C2386"/>
      <c r="D2386"/>
    </row>
    <row r="2387" spans="2:4" ht="15" customHeight="1" x14ac:dyDescent="0.25">
      <c r="B2387"/>
      <c r="C2387"/>
      <c r="D2387"/>
    </row>
    <row r="2388" spans="2:4" ht="15" customHeight="1" x14ac:dyDescent="0.25">
      <c r="B2388"/>
      <c r="C2388"/>
      <c r="D2388"/>
    </row>
    <row r="2389" spans="2:4" ht="15" customHeight="1" x14ac:dyDescent="0.25">
      <c r="B2389"/>
      <c r="C2389"/>
      <c r="D2389"/>
    </row>
    <row r="2390" spans="2:4" ht="15" customHeight="1" x14ac:dyDescent="0.25">
      <c r="B2390"/>
      <c r="C2390"/>
      <c r="D2390"/>
    </row>
    <row r="2391" spans="2:4" ht="15" customHeight="1" x14ac:dyDescent="0.25">
      <c r="B2391"/>
      <c r="C2391"/>
      <c r="D2391"/>
    </row>
    <row r="2392" spans="2:4" ht="15" customHeight="1" x14ac:dyDescent="0.25">
      <c r="B2392"/>
      <c r="C2392"/>
      <c r="D2392"/>
    </row>
    <row r="2393" spans="2:4" ht="15" customHeight="1" x14ac:dyDescent="0.25">
      <c r="B2393"/>
      <c r="C2393"/>
      <c r="D2393"/>
    </row>
    <row r="2394" spans="2:4" ht="15" customHeight="1" x14ac:dyDescent="0.25">
      <c r="B2394"/>
      <c r="C2394"/>
      <c r="D2394"/>
    </row>
    <row r="2395" spans="2:4" ht="15" customHeight="1" x14ac:dyDescent="0.25">
      <c r="B2395"/>
      <c r="C2395"/>
      <c r="D2395"/>
    </row>
    <row r="2396" spans="2:4" ht="15" customHeight="1" x14ac:dyDescent="0.25">
      <c r="B2396"/>
      <c r="C2396"/>
      <c r="D2396"/>
    </row>
    <row r="2397" spans="2:4" ht="15" customHeight="1" x14ac:dyDescent="0.25">
      <c r="B2397"/>
      <c r="C2397"/>
      <c r="D2397"/>
    </row>
    <row r="2398" spans="2:4" ht="15" customHeight="1" x14ac:dyDescent="0.25">
      <c r="B2398"/>
      <c r="C2398"/>
      <c r="D2398"/>
    </row>
    <row r="2399" spans="2:4" ht="15" customHeight="1" x14ac:dyDescent="0.25">
      <c r="B2399"/>
      <c r="C2399"/>
      <c r="D2399"/>
    </row>
    <row r="2400" spans="2:4" ht="15" customHeight="1" x14ac:dyDescent="0.25">
      <c r="B2400"/>
      <c r="C2400"/>
      <c r="D2400"/>
    </row>
    <row r="2401" spans="2:4" ht="15" customHeight="1" x14ac:dyDescent="0.25">
      <c r="B2401"/>
      <c r="C2401"/>
      <c r="D2401"/>
    </row>
    <row r="2402" spans="2:4" ht="15" customHeight="1" x14ac:dyDescent="0.25">
      <c r="B2402"/>
      <c r="C2402"/>
      <c r="D2402"/>
    </row>
    <row r="2403" spans="2:4" ht="15" customHeight="1" x14ac:dyDescent="0.25">
      <c r="B2403"/>
      <c r="C2403"/>
      <c r="D2403"/>
    </row>
    <row r="2404" spans="2:4" ht="15" customHeight="1" x14ac:dyDescent="0.25">
      <c r="B2404"/>
      <c r="C2404"/>
      <c r="D2404"/>
    </row>
    <row r="2405" spans="2:4" ht="15" customHeight="1" x14ac:dyDescent="0.25">
      <c r="B2405"/>
      <c r="C2405"/>
      <c r="D2405"/>
    </row>
    <row r="2406" spans="2:4" ht="15" customHeight="1" x14ac:dyDescent="0.25">
      <c r="B2406"/>
      <c r="C2406"/>
      <c r="D2406"/>
    </row>
    <row r="2407" spans="2:4" ht="15" customHeight="1" x14ac:dyDescent="0.25">
      <c r="B2407"/>
      <c r="C2407"/>
      <c r="D2407"/>
    </row>
    <row r="2408" spans="2:4" ht="15" customHeight="1" x14ac:dyDescent="0.25">
      <c r="B2408"/>
      <c r="C2408"/>
      <c r="D2408"/>
    </row>
    <row r="2409" spans="2:4" ht="15" customHeight="1" x14ac:dyDescent="0.25">
      <c r="B2409"/>
      <c r="C2409"/>
      <c r="D2409"/>
    </row>
    <row r="2410" spans="2:4" ht="15" customHeight="1" x14ac:dyDescent="0.25">
      <c r="B2410"/>
      <c r="C2410"/>
      <c r="D2410"/>
    </row>
    <row r="2411" spans="2:4" ht="15" customHeight="1" x14ac:dyDescent="0.25">
      <c r="B2411"/>
      <c r="C2411"/>
      <c r="D2411"/>
    </row>
    <row r="2412" spans="2:4" ht="15" customHeight="1" x14ac:dyDescent="0.25">
      <c r="B2412"/>
      <c r="C2412"/>
      <c r="D2412"/>
    </row>
    <row r="2413" spans="2:4" ht="15" customHeight="1" x14ac:dyDescent="0.25">
      <c r="B2413"/>
      <c r="C2413"/>
      <c r="D2413"/>
    </row>
    <row r="2414" spans="2:4" ht="15" customHeight="1" x14ac:dyDescent="0.25">
      <c r="B2414"/>
      <c r="C2414"/>
      <c r="D2414"/>
    </row>
    <row r="2415" spans="2:4" ht="15" customHeight="1" x14ac:dyDescent="0.25">
      <c r="B2415"/>
      <c r="C2415"/>
      <c r="D2415"/>
    </row>
    <row r="2416" spans="2:4" ht="15" customHeight="1" x14ac:dyDescent="0.25">
      <c r="B2416"/>
      <c r="C2416"/>
      <c r="D2416"/>
    </row>
    <row r="2417" spans="2:4" ht="15" customHeight="1" x14ac:dyDescent="0.25">
      <c r="B2417"/>
      <c r="C2417"/>
      <c r="D2417"/>
    </row>
    <row r="2418" spans="2:4" ht="15" customHeight="1" x14ac:dyDescent="0.25">
      <c r="B2418"/>
      <c r="C2418"/>
      <c r="D2418"/>
    </row>
    <row r="2419" spans="2:4" ht="15" customHeight="1" x14ac:dyDescent="0.25">
      <c r="B2419"/>
      <c r="C2419"/>
      <c r="D2419"/>
    </row>
    <row r="2420" spans="2:4" ht="15" customHeight="1" x14ac:dyDescent="0.25">
      <c r="B2420"/>
      <c r="C2420"/>
      <c r="D2420"/>
    </row>
    <row r="2421" spans="2:4" ht="15" customHeight="1" x14ac:dyDescent="0.25">
      <c r="B2421"/>
      <c r="C2421"/>
      <c r="D2421"/>
    </row>
    <row r="2422" spans="2:4" ht="15" customHeight="1" x14ac:dyDescent="0.25">
      <c r="B2422"/>
      <c r="C2422"/>
      <c r="D2422"/>
    </row>
    <row r="2423" spans="2:4" ht="15" customHeight="1" x14ac:dyDescent="0.25">
      <c r="B2423"/>
      <c r="C2423"/>
      <c r="D2423"/>
    </row>
    <row r="2424" spans="2:4" ht="15" customHeight="1" x14ac:dyDescent="0.25">
      <c r="B2424"/>
      <c r="C2424"/>
      <c r="D2424"/>
    </row>
    <row r="2425" spans="2:4" ht="15" customHeight="1" x14ac:dyDescent="0.25">
      <c r="B2425"/>
      <c r="C2425"/>
      <c r="D2425"/>
    </row>
    <row r="2426" spans="2:4" ht="15" customHeight="1" x14ac:dyDescent="0.25">
      <c r="B2426"/>
      <c r="C2426"/>
      <c r="D2426"/>
    </row>
    <row r="2427" spans="2:4" ht="15" customHeight="1" x14ac:dyDescent="0.25">
      <c r="B2427"/>
      <c r="C2427"/>
      <c r="D2427"/>
    </row>
    <row r="2428" spans="2:4" ht="15" customHeight="1" x14ac:dyDescent="0.25">
      <c r="B2428"/>
      <c r="C2428"/>
      <c r="D2428"/>
    </row>
    <row r="2429" spans="2:4" ht="15" customHeight="1" x14ac:dyDescent="0.25">
      <c r="B2429"/>
      <c r="C2429"/>
      <c r="D2429"/>
    </row>
    <row r="2430" spans="2:4" ht="15" customHeight="1" x14ac:dyDescent="0.25">
      <c r="B2430"/>
      <c r="C2430"/>
      <c r="D2430"/>
    </row>
    <row r="2431" spans="2:4" ht="15" customHeight="1" x14ac:dyDescent="0.25">
      <c r="B2431"/>
      <c r="C2431"/>
      <c r="D2431"/>
    </row>
    <row r="2432" spans="2:4" ht="15" customHeight="1" x14ac:dyDescent="0.25">
      <c r="B2432"/>
      <c r="C2432"/>
      <c r="D2432"/>
    </row>
    <row r="2433" spans="2:4" ht="15" customHeight="1" x14ac:dyDescent="0.25">
      <c r="B2433"/>
      <c r="C2433"/>
      <c r="D2433"/>
    </row>
    <row r="2434" spans="2:4" ht="15" customHeight="1" x14ac:dyDescent="0.25">
      <c r="B2434"/>
      <c r="C2434"/>
      <c r="D2434"/>
    </row>
    <row r="2435" spans="2:4" ht="15" customHeight="1" x14ac:dyDescent="0.25">
      <c r="B2435"/>
      <c r="C2435"/>
      <c r="D2435"/>
    </row>
    <row r="2436" spans="2:4" ht="15" customHeight="1" x14ac:dyDescent="0.25">
      <c r="B2436"/>
      <c r="C2436"/>
      <c r="D2436"/>
    </row>
    <row r="2437" spans="2:4" ht="15" customHeight="1" x14ac:dyDescent="0.25">
      <c r="B2437"/>
      <c r="C2437"/>
      <c r="D2437"/>
    </row>
    <row r="2438" spans="2:4" ht="15" customHeight="1" x14ac:dyDescent="0.25">
      <c r="B2438"/>
      <c r="C2438"/>
      <c r="D2438"/>
    </row>
    <row r="2439" spans="2:4" ht="15" customHeight="1" x14ac:dyDescent="0.25">
      <c r="B2439"/>
      <c r="C2439"/>
      <c r="D2439"/>
    </row>
    <row r="2440" spans="2:4" ht="15" customHeight="1" x14ac:dyDescent="0.25">
      <c r="B2440"/>
      <c r="C2440"/>
      <c r="D2440"/>
    </row>
    <row r="2441" spans="2:4" ht="15" customHeight="1" x14ac:dyDescent="0.25">
      <c r="B2441"/>
      <c r="C2441"/>
      <c r="D2441"/>
    </row>
    <row r="2442" spans="2:4" ht="15" customHeight="1" x14ac:dyDescent="0.25">
      <c r="B2442"/>
      <c r="C2442"/>
      <c r="D2442"/>
    </row>
    <row r="2443" spans="2:4" ht="15" customHeight="1" x14ac:dyDescent="0.25">
      <c r="B2443"/>
      <c r="C2443"/>
      <c r="D2443"/>
    </row>
    <row r="2444" spans="2:4" ht="15" customHeight="1" x14ac:dyDescent="0.25">
      <c r="B2444"/>
      <c r="C2444"/>
      <c r="D2444"/>
    </row>
    <row r="2445" spans="2:4" ht="15" customHeight="1" x14ac:dyDescent="0.25">
      <c r="B2445"/>
      <c r="C2445"/>
      <c r="D2445"/>
    </row>
    <row r="2446" spans="2:4" ht="15" customHeight="1" x14ac:dyDescent="0.25">
      <c r="B2446"/>
      <c r="C2446"/>
      <c r="D2446"/>
    </row>
    <row r="2447" spans="2:4" ht="15" customHeight="1" x14ac:dyDescent="0.25">
      <c r="B2447"/>
      <c r="C2447"/>
      <c r="D2447"/>
    </row>
    <row r="2448" spans="2:4" ht="15" customHeight="1" x14ac:dyDescent="0.25">
      <c r="B2448"/>
      <c r="C2448"/>
      <c r="D2448"/>
    </row>
    <row r="2449" spans="2:4" ht="15" customHeight="1" x14ac:dyDescent="0.25">
      <c r="B2449"/>
      <c r="C2449"/>
      <c r="D2449"/>
    </row>
    <row r="2450" spans="2:4" ht="15" customHeight="1" x14ac:dyDescent="0.25">
      <c r="B2450"/>
      <c r="C2450"/>
      <c r="D2450"/>
    </row>
    <row r="2451" spans="2:4" ht="15" customHeight="1" x14ac:dyDescent="0.25">
      <c r="B2451"/>
      <c r="C2451"/>
      <c r="D2451"/>
    </row>
    <row r="2452" spans="2:4" ht="15" customHeight="1" x14ac:dyDescent="0.25">
      <c r="B2452"/>
      <c r="C2452"/>
      <c r="D2452"/>
    </row>
    <row r="2453" spans="2:4" ht="15" customHeight="1" x14ac:dyDescent="0.25">
      <c r="B2453"/>
      <c r="C2453"/>
      <c r="D2453"/>
    </row>
    <row r="2454" spans="2:4" ht="15" customHeight="1" x14ac:dyDescent="0.25">
      <c r="B2454"/>
      <c r="C2454"/>
      <c r="D2454"/>
    </row>
    <row r="2455" spans="2:4" ht="15" customHeight="1" x14ac:dyDescent="0.25">
      <c r="B2455"/>
      <c r="C2455"/>
      <c r="D2455"/>
    </row>
    <row r="2456" spans="2:4" ht="15" customHeight="1" x14ac:dyDescent="0.25">
      <c r="B2456"/>
      <c r="C2456"/>
      <c r="D2456"/>
    </row>
    <row r="2457" spans="2:4" ht="15" customHeight="1" x14ac:dyDescent="0.25">
      <c r="B2457"/>
      <c r="C2457"/>
      <c r="D2457"/>
    </row>
    <row r="2458" spans="2:4" ht="15" customHeight="1" x14ac:dyDescent="0.25">
      <c r="B2458"/>
      <c r="C2458"/>
      <c r="D2458"/>
    </row>
    <row r="2459" spans="2:4" ht="15" customHeight="1" x14ac:dyDescent="0.25">
      <c r="B2459"/>
      <c r="C2459"/>
      <c r="D2459"/>
    </row>
    <row r="2460" spans="2:4" ht="15" customHeight="1" x14ac:dyDescent="0.25">
      <c r="B2460"/>
      <c r="C2460"/>
      <c r="D2460"/>
    </row>
    <row r="2461" spans="2:4" ht="15" customHeight="1" x14ac:dyDescent="0.25">
      <c r="B2461"/>
      <c r="C2461"/>
      <c r="D2461"/>
    </row>
    <row r="2462" spans="2:4" ht="15" customHeight="1" x14ac:dyDescent="0.25">
      <c r="B2462"/>
      <c r="C2462"/>
      <c r="D2462"/>
    </row>
    <row r="2463" spans="2:4" ht="15" customHeight="1" x14ac:dyDescent="0.25">
      <c r="B2463"/>
      <c r="C2463"/>
      <c r="D2463"/>
    </row>
    <row r="2464" spans="2:4" ht="15" customHeight="1" x14ac:dyDescent="0.25">
      <c r="B2464"/>
      <c r="C2464"/>
      <c r="D2464"/>
    </row>
    <row r="2465" spans="2:4" ht="15" customHeight="1" x14ac:dyDescent="0.25">
      <c r="B2465"/>
      <c r="C2465"/>
      <c r="D2465"/>
    </row>
    <row r="2466" spans="2:4" ht="15" customHeight="1" x14ac:dyDescent="0.25">
      <c r="B2466"/>
      <c r="C2466"/>
      <c r="D2466"/>
    </row>
    <row r="2467" spans="2:4" ht="15" customHeight="1" x14ac:dyDescent="0.25">
      <c r="B2467"/>
      <c r="C2467"/>
      <c r="D2467"/>
    </row>
    <row r="2468" spans="2:4" ht="15" customHeight="1" x14ac:dyDescent="0.25">
      <c r="B2468"/>
      <c r="C2468"/>
      <c r="D2468"/>
    </row>
    <row r="2469" spans="2:4" ht="15" customHeight="1" x14ac:dyDescent="0.25">
      <c r="B2469"/>
      <c r="C2469"/>
      <c r="D2469"/>
    </row>
    <row r="2470" spans="2:4" ht="15" customHeight="1" x14ac:dyDescent="0.25">
      <c r="B2470"/>
      <c r="C2470"/>
      <c r="D2470"/>
    </row>
    <row r="2471" spans="2:4" ht="15" customHeight="1" x14ac:dyDescent="0.25">
      <c r="B2471"/>
      <c r="C2471"/>
      <c r="D2471"/>
    </row>
    <row r="2472" spans="2:4" ht="15" customHeight="1" x14ac:dyDescent="0.25">
      <c r="B2472"/>
      <c r="C2472"/>
      <c r="D2472"/>
    </row>
    <row r="2473" spans="2:4" ht="15" customHeight="1" x14ac:dyDescent="0.25">
      <c r="B2473"/>
      <c r="C2473"/>
      <c r="D2473"/>
    </row>
    <row r="2474" spans="2:4" ht="15" customHeight="1" x14ac:dyDescent="0.25">
      <c r="B2474"/>
      <c r="C2474"/>
      <c r="D2474"/>
    </row>
    <row r="2475" spans="2:4" ht="15" customHeight="1" x14ac:dyDescent="0.25">
      <c r="B2475"/>
      <c r="C2475"/>
      <c r="D2475"/>
    </row>
    <row r="2476" spans="2:4" ht="15" customHeight="1" x14ac:dyDescent="0.25">
      <c r="B2476"/>
      <c r="C2476"/>
      <c r="D2476"/>
    </row>
    <row r="2477" spans="2:4" ht="15" customHeight="1" x14ac:dyDescent="0.25">
      <c r="B2477"/>
      <c r="C2477"/>
      <c r="D2477"/>
    </row>
    <row r="2478" spans="2:4" ht="15" customHeight="1" x14ac:dyDescent="0.25">
      <c r="B2478"/>
      <c r="C2478"/>
      <c r="D2478"/>
    </row>
    <row r="2479" spans="2:4" ht="15" customHeight="1" x14ac:dyDescent="0.25">
      <c r="B2479"/>
      <c r="C2479"/>
      <c r="D2479"/>
    </row>
    <row r="2480" spans="2:4" ht="15" customHeight="1" x14ac:dyDescent="0.25">
      <c r="B2480"/>
      <c r="C2480"/>
      <c r="D2480"/>
    </row>
    <row r="2481" spans="2:4" ht="15" customHeight="1" x14ac:dyDescent="0.25">
      <c r="B2481"/>
      <c r="C2481"/>
      <c r="D2481"/>
    </row>
    <row r="2482" spans="2:4" ht="15" customHeight="1" x14ac:dyDescent="0.25">
      <c r="B2482"/>
      <c r="C2482"/>
      <c r="D2482"/>
    </row>
    <row r="2483" spans="2:4" ht="15" customHeight="1" x14ac:dyDescent="0.25">
      <c r="B2483"/>
      <c r="C2483"/>
      <c r="D2483"/>
    </row>
    <row r="2484" spans="2:4" ht="15" customHeight="1" x14ac:dyDescent="0.25">
      <c r="B2484"/>
      <c r="C2484"/>
      <c r="D2484"/>
    </row>
    <row r="2485" spans="2:4" ht="15" customHeight="1" x14ac:dyDescent="0.25">
      <c r="B2485"/>
      <c r="C2485"/>
      <c r="D2485"/>
    </row>
    <row r="2486" spans="2:4" ht="15" customHeight="1" x14ac:dyDescent="0.25">
      <c r="B2486"/>
      <c r="C2486"/>
      <c r="D2486"/>
    </row>
    <row r="2487" spans="2:4" ht="15" customHeight="1" x14ac:dyDescent="0.25">
      <c r="B2487"/>
      <c r="C2487"/>
      <c r="D2487"/>
    </row>
    <row r="2488" spans="2:4" ht="15" customHeight="1" x14ac:dyDescent="0.25">
      <c r="B2488"/>
      <c r="C2488"/>
      <c r="D2488"/>
    </row>
    <row r="2489" spans="2:4" ht="15" customHeight="1" x14ac:dyDescent="0.25">
      <c r="B2489"/>
      <c r="C2489"/>
      <c r="D2489"/>
    </row>
    <row r="2490" spans="2:4" ht="15" customHeight="1" x14ac:dyDescent="0.25">
      <c r="B2490"/>
      <c r="C2490"/>
      <c r="D2490"/>
    </row>
    <row r="2491" spans="2:4" ht="15" customHeight="1" x14ac:dyDescent="0.25">
      <c r="B2491"/>
      <c r="C2491"/>
      <c r="D2491"/>
    </row>
    <row r="2492" spans="2:4" ht="15" customHeight="1" x14ac:dyDescent="0.25">
      <c r="B2492"/>
      <c r="C2492"/>
      <c r="D2492"/>
    </row>
    <row r="2493" spans="2:4" ht="15" customHeight="1" x14ac:dyDescent="0.25">
      <c r="B2493"/>
      <c r="C2493"/>
      <c r="D2493"/>
    </row>
    <row r="2494" spans="2:4" ht="15" customHeight="1" x14ac:dyDescent="0.25">
      <c r="B2494"/>
      <c r="C2494"/>
      <c r="D2494"/>
    </row>
    <row r="2495" spans="2:4" ht="15" customHeight="1" x14ac:dyDescent="0.25">
      <c r="B2495"/>
      <c r="C2495"/>
      <c r="D2495"/>
    </row>
    <row r="2496" spans="2:4" ht="15" customHeight="1" x14ac:dyDescent="0.25">
      <c r="B2496"/>
      <c r="C2496"/>
      <c r="D2496"/>
    </row>
    <row r="2497" spans="2:4" ht="15" customHeight="1" x14ac:dyDescent="0.25">
      <c r="B2497"/>
      <c r="C2497"/>
      <c r="D2497"/>
    </row>
    <row r="2498" spans="2:4" ht="15" customHeight="1" x14ac:dyDescent="0.25">
      <c r="B2498"/>
      <c r="C2498"/>
      <c r="D2498"/>
    </row>
    <row r="2499" spans="2:4" ht="15" customHeight="1" x14ac:dyDescent="0.25">
      <c r="B2499"/>
      <c r="C2499"/>
      <c r="D2499"/>
    </row>
    <row r="2500" spans="2:4" ht="15" customHeight="1" x14ac:dyDescent="0.25">
      <c r="B2500"/>
      <c r="C2500"/>
      <c r="D2500"/>
    </row>
    <row r="2501" spans="2:4" ht="15" customHeight="1" x14ac:dyDescent="0.25">
      <c r="B2501"/>
      <c r="C2501"/>
      <c r="D2501"/>
    </row>
    <row r="2502" spans="2:4" ht="15" customHeight="1" x14ac:dyDescent="0.25">
      <c r="B2502"/>
      <c r="C2502"/>
      <c r="D2502"/>
    </row>
    <row r="2503" spans="2:4" ht="15" customHeight="1" x14ac:dyDescent="0.25">
      <c r="B2503"/>
      <c r="C2503"/>
      <c r="D2503"/>
    </row>
    <row r="2504" spans="2:4" ht="15" customHeight="1" x14ac:dyDescent="0.25">
      <c r="B2504"/>
      <c r="C2504"/>
      <c r="D2504"/>
    </row>
    <row r="2505" spans="2:4" ht="15" customHeight="1" x14ac:dyDescent="0.25">
      <c r="B2505"/>
      <c r="C2505"/>
      <c r="D2505"/>
    </row>
    <row r="2506" spans="2:4" ht="15" customHeight="1" x14ac:dyDescent="0.25">
      <c r="B2506"/>
      <c r="C2506"/>
      <c r="D2506"/>
    </row>
    <row r="2507" spans="2:4" ht="15" customHeight="1" x14ac:dyDescent="0.25">
      <c r="B2507"/>
      <c r="C2507"/>
      <c r="D2507"/>
    </row>
    <row r="2508" spans="2:4" ht="15" customHeight="1" x14ac:dyDescent="0.25">
      <c r="B2508"/>
      <c r="C2508"/>
      <c r="D2508"/>
    </row>
    <row r="2509" spans="2:4" ht="15" customHeight="1" x14ac:dyDescent="0.25">
      <c r="B2509"/>
      <c r="C2509"/>
      <c r="D2509"/>
    </row>
    <row r="2510" spans="2:4" ht="15" customHeight="1" x14ac:dyDescent="0.25">
      <c r="B2510"/>
      <c r="C2510"/>
      <c r="D2510"/>
    </row>
    <row r="2511" spans="2:4" ht="15" customHeight="1" x14ac:dyDescent="0.25">
      <c r="B2511"/>
      <c r="C2511"/>
      <c r="D2511"/>
    </row>
    <row r="2512" spans="2:4" ht="15" customHeight="1" x14ac:dyDescent="0.25">
      <c r="B2512"/>
      <c r="C2512"/>
      <c r="D2512"/>
    </row>
    <row r="2513" spans="2:4" ht="15" customHeight="1" x14ac:dyDescent="0.25">
      <c r="B2513"/>
      <c r="C2513"/>
      <c r="D2513"/>
    </row>
    <row r="2514" spans="2:4" ht="15" customHeight="1" x14ac:dyDescent="0.25">
      <c r="B2514"/>
      <c r="C2514"/>
      <c r="D2514"/>
    </row>
    <row r="2515" spans="2:4" ht="15" customHeight="1" x14ac:dyDescent="0.25">
      <c r="B2515"/>
      <c r="C2515"/>
      <c r="D2515"/>
    </row>
    <row r="2516" spans="2:4" ht="15" customHeight="1" x14ac:dyDescent="0.25">
      <c r="B2516"/>
      <c r="C2516"/>
      <c r="D2516"/>
    </row>
    <row r="2517" spans="2:4" ht="15" customHeight="1" x14ac:dyDescent="0.25">
      <c r="B2517"/>
      <c r="C2517"/>
      <c r="D2517"/>
    </row>
    <row r="2518" spans="2:4" ht="15" customHeight="1" x14ac:dyDescent="0.25">
      <c r="B2518"/>
      <c r="C2518"/>
      <c r="D2518"/>
    </row>
    <row r="2519" spans="2:4" ht="15" customHeight="1" x14ac:dyDescent="0.25">
      <c r="B2519"/>
      <c r="C2519"/>
      <c r="D2519"/>
    </row>
    <row r="2520" spans="2:4" ht="15" customHeight="1" x14ac:dyDescent="0.25">
      <c r="B2520"/>
      <c r="C2520"/>
      <c r="D2520"/>
    </row>
    <row r="2521" spans="2:4" ht="15" customHeight="1" x14ac:dyDescent="0.25">
      <c r="B2521"/>
      <c r="C2521"/>
      <c r="D2521"/>
    </row>
    <row r="2522" spans="2:4" ht="15" customHeight="1" x14ac:dyDescent="0.25">
      <c r="B2522"/>
      <c r="C2522"/>
      <c r="D2522"/>
    </row>
    <row r="2523" spans="2:4" ht="15" customHeight="1" x14ac:dyDescent="0.25">
      <c r="B2523"/>
      <c r="C2523"/>
      <c r="D2523"/>
    </row>
    <row r="2524" spans="2:4" ht="15" customHeight="1" x14ac:dyDescent="0.25">
      <c r="B2524"/>
      <c r="C2524"/>
      <c r="D2524"/>
    </row>
    <row r="2525" spans="2:4" ht="15" customHeight="1" x14ac:dyDescent="0.25">
      <c r="B2525"/>
      <c r="C2525"/>
      <c r="D2525"/>
    </row>
    <row r="2526" spans="2:4" ht="15" customHeight="1" x14ac:dyDescent="0.25">
      <c r="B2526"/>
      <c r="C2526"/>
      <c r="D2526"/>
    </row>
    <row r="2527" spans="2:4" ht="15" customHeight="1" x14ac:dyDescent="0.25">
      <c r="B2527"/>
      <c r="C2527"/>
      <c r="D2527"/>
    </row>
    <row r="2528" spans="2:4" ht="15" customHeight="1" x14ac:dyDescent="0.25">
      <c r="B2528"/>
      <c r="C2528"/>
      <c r="D2528"/>
    </row>
    <row r="2529" spans="2:4" ht="15" customHeight="1" x14ac:dyDescent="0.25">
      <c r="B2529"/>
      <c r="C2529"/>
      <c r="D2529"/>
    </row>
    <row r="2530" spans="2:4" ht="15" customHeight="1" x14ac:dyDescent="0.25">
      <c r="B2530"/>
      <c r="C2530"/>
      <c r="D2530"/>
    </row>
    <row r="2531" spans="2:4" ht="15" customHeight="1" x14ac:dyDescent="0.25">
      <c r="B2531"/>
      <c r="C2531"/>
      <c r="D2531"/>
    </row>
    <row r="2532" spans="2:4" ht="15" customHeight="1" x14ac:dyDescent="0.25">
      <c r="B2532"/>
      <c r="C2532"/>
      <c r="D2532"/>
    </row>
    <row r="2533" spans="2:4" ht="15" customHeight="1" x14ac:dyDescent="0.25">
      <c r="B2533"/>
      <c r="C2533"/>
      <c r="D2533"/>
    </row>
    <row r="2534" spans="2:4" ht="15" customHeight="1" x14ac:dyDescent="0.25">
      <c r="B2534"/>
      <c r="C2534"/>
      <c r="D2534"/>
    </row>
    <row r="2535" spans="2:4" ht="15" customHeight="1" x14ac:dyDescent="0.25">
      <c r="B2535"/>
      <c r="C2535"/>
      <c r="D2535"/>
    </row>
    <row r="2536" spans="2:4" ht="15" customHeight="1" x14ac:dyDescent="0.25">
      <c r="B2536"/>
      <c r="C2536"/>
      <c r="D2536"/>
    </row>
    <row r="2537" spans="2:4" ht="15" customHeight="1" x14ac:dyDescent="0.25">
      <c r="B2537"/>
      <c r="C2537"/>
      <c r="D2537"/>
    </row>
    <row r="2538" spans="2:4" ht="15" customHeight="1" x14ac:dyDescent="0.25">
      <c r="B2538"/>
      <c r="C2538"/>
      <c r="D2538"/>
    </row>
    <row r="2539" spans="2:4" ht="15" customHeight="1" x14ac:dyDescent="0.25">
      <c r="B2539"/>
      <c r="C2539"/>
      <c r="D2539"/>
    </row>
    <row r="2540" spans="2:4" ht="15" customHeight="1" x14ac:dyDescent="0.25">
      <c r="B2540"/>
      <c r="C2540"/>
      <c r="D2540"/>
    </row>
    <row r="2541" spans="2:4" ht="15" customHeight="1" x14ac:dyDescent="0.25">
      <c r="B2541"/>
      <c r="C2541"/>
      <c r="D2541"/>
    </row>
    <row r="2542" spans="2:4" ht="15" customHeight="1" x14ac:dyDescent="0.25">
      <c r="B2542"/>
      <c r="C2542"/>
      <c r="D2542"/>
    </row>
    <row r="2543" spans="2:4" ht="15" customHeight="1" x14ac:dyDescent="0.25">
      <c r="B2543"/>
      <c r="C2543"/>
      <c r="D2543"/>
    </row>
    <row r="2544" spans="2:4" ht="15" customHeight="1" x14ac:dyDescent="0.25">
      <c r="B2544"/>
      <c r="C2544"/>
      <c r="D2544"/>
    </row>
    <row r="2545" spans="2:4" ht="15" customHeight="1" x14ac:dyDescent="0.25">
      <c r="B2545"/>
      <c r="C2545"/>
      <c r="D2545"/>
    </row>
    <row r="2546" spans="2:4" ht="15" customHeight="1" x14ac:dyDescent="0.25">
      <c r="B2546"/>
      <c r="C2546"/>
      <c r="D2546"/>
    </row>
    <row r="2547" spans="2:4" ht="15" customHeight="1" x14ac:dyDescent="0.25">
      <c r="B2547"/>
      <c r="C2547"/>
      <c r="D2547"/>
    </row>
    <row r="2548" spans="2:4" ht="15" customHeight="1" x14ac:dyDescent="0.25">
      <c r="B2548"/>
      <c r="C2548"/>
      <c r="D2548"/>
    </row>
    <row r="2549" spans="2:4" ht="15" customHeight="1" x14ac:dyDescent="0.25">
      <c r="B2549"/>
      <c r="C2549"/>
      <c r="D2549"/>
    </row>
    <row r="2550" spans="2:4" ht="15" customHeight="1" x14ac:dyDescent="0.25">
      <c r="B2550"/>
      <c r="C2550"/>
      <c r="D2550"/>
    </row>
    <row r="2551" spans="2:4" ht="15" customHeight="1" x14ac:dyDescent="0.25">
      <c r="B2551"/>
      <c r="C2551"/>
      <c r="D2551"/>
    </row>
    <row r="2552" spans="2:4" ht="15" customHeight="1" x14ac:dyDescent="0.25">
      <c r="B2552"/>
      <c r="C2552"/>
      <c r="D2552"/>
    </row>
    <row r="2553" spans="2:4" ht="15" customHeight="1" x14ac:dyDescent="0.25">
      <c r="B2553"/>
      <c r="C2553"/>
      <c r="D2553"/>
    </row>
    <row r="2554" spans="2:4" ht="15" customHeight="1" x14ac:dyDescent="0.25">
      <c r="B2554"/>
      <c r="C2554"/>
      <c r="D2554"/>
    </row>
    <row r="2555" spans="2:4" ht="15" customHeight="1" x14ac:dyDescent="0.25">
      <c r="B2555"/>
      <c r="C2555"/>
      <c r="D2555"/>
    </row>
    <row r="2556" spans="2:4" ht="15" customHeight="1" x14ac:dyDescent="0.25">
      <c r="B2556"/>
      <c r="C2556"/>
      <c r="D2556"/>
    </row>
    <row r="2557" spans="2:4" ht="15" customHeight="1" x14ac:dyDescent="0.25">
      <c r="B2557"/>
      <c r="C2557"/>
      <c r="D2557"/>
    </row>
    <row r="2558" spans="2:4" ht="15" customHeight="1" x14ac:dyDescent="0.25">
      <c r="B2558"/>
      <c r="C2558"/>
      <c r="D2558"/>
    </row>
    <row r="2559" spans="2:4" ht="15" customHeight="1" x14ac:dyDescent="0.25">
      <c r="B2559"/>
      <c r="C2559"/>
      <c r="D2559"/>
    </row>
    <row r="2560" spans="2:4" ht="15" customHeight="1" x14ac:dyDescent="0.25">
      <c r="B2560"/>
      <c r="C2560"/>
      <c r="D2560"/>
    </row>
    <row r="2561" spans="2:4" ht="15" customHeight="1" x14ac:dyDescent="0.25">
      <c r="B2561"/>
      <c r="C2561"/>
      <c r="D2561"/>
    </row>
    <row r="2562" spans="2:4" ht="15" customHeight="1" x14ac:dyDescent="0.25">
      <c r="B2562"/>
      <c r="C2562"/>
      <c r="D2562"/>
    </row>
    <row r="2563" spans="2:4" ht="15" customHeight="1" x14ac:dyDescent="0.25">
      <c r="B2563"/>
      <c r="C2563"/>
      <c r="D2563"/>
    </row>
    <row r="2564" spans="2:4" ht="15" customHeight="1" x14ac:dyDescent="0.25">
      <c r="B2564"/>
      <c r="C2564"/>
      <c r="D2564"/>
    </row>
    <row r="2565" spans="2:4" ht="15" customHeight="1" x14ac:dyDescent="0.25">
      <c r="B2565"/>
      <c r="C2565"/>
      <c r="D2565"/>
    </row>
    <row r="2566" spans="2:4" ht="15" customHeight="1" x14ac:dyDescent="0.25">
      <c r="B2566"/>
      <c r="C2566"/>
      <c r="D2566"/>
    </row>
    <row r="2567" spans="2:4" ht="15" customHeight="1" x14ac:dyDescent="0.25">
      <c r="B2567"/>
      <c r="C2567"/>
      <c r="D2567"/>
    </row>
    <row r="2568" spans="2:4" ht="15" customHeight="1" x14ac:dyDescent="0.25">
      <c r="B2568"/>
      <c r="C2568"/>
      <c r="D2568"/>
    </row>
    <row r="2569" spans="2:4" ht="15" customHeight="1" x14ac:dyDescent="0.25">
      <c r="B2569"/>
      <c r="C2569"/>
      <c r="D2569"/>
    </row>
    <row r="2570" spans="2:4" ht="15" customHeight="1" x14ac:dyDescent="0.25">
      <c r="B2570"/>
      <c r="C2570"/>
      <c r="D2570"/>
    </row>
    <row r="2571" spans="2:4" ht="15" customHeight="1" x14ac:dyDescent="0.25">
      <c r="B2571"/>
      <c r="C2571"/>
      <c r="D2571"/>
    </row>
    <row r="2572" spans="2:4" ht="15" customHeight="1" x14ac:dyDescent="0.25">
      <c r="B2572"/>
      <c r="C2572"/>
      <c r="D2572"/>
    </row>
    <row r="2573" spans="2:4" ht="15" customHeight="1" x14ac:dyDescent="0.25">
      <c r="B2573"/>
      <c r="C2573"/>
      <c r="D2573"/>
    </row>
    <row r="2574" spans="2:4" ht="15" customHeight="1" x14ac:dyDescent="0.25">
      <c r="B2574"/>
      <c r="C2574"/>
      <c r="D2574"/>
    </row>
    <row r="2575" spans="2:4" ht="15" customHeight="1" x14ac:dyDescent="0.25">
      <c r="B2575"/>
      <c r="C2575"/>
      <c r="D2575"/>
    </row>
    <row r="2576" spans="2:4" ht="15" customHeight="1" x14ac:dyDescent="0.25">
      <c r="B2576"/>
      <c r="C2576"/>
      <c r="D2576"/>
    </row>
    <row r="2577" spans="2:4" ht="15" customHeight="1" x14ac:dyDescent="0.25">
      <c r="B2577"/>
      <c r="C2577"/>
      <c r="D2577"/>
    </row>
    <row r="2578" spans="2:4" ht="15" customHeight="1" x14ac:dyDescent="0.25">
      <c r="B2578"/>
      <c r="C2578"/>
      <c r="D2578"/>
    </row>
    <row r="2579" spans="2:4" ht="15" customHeight="1" x14ac:dyDescent="0.25">
      <c r="B2579"/>
      <c r="C2579"/>
      <c r="D2579"/>
    </row>
    <row r="2580" spans="2:4" ht="15" customHeight="1" x14ac:dyDescent="0.25">
      <c r="B2580"/>
      <c r="C2580"/>
      <c r="D2580"/>
    </row>
    <row r="2581" spans="2:4" ht="15" customHeight="1" x14ac:dyDescent="0.25">
      <c r="B2581"/>
      <c r="C2581"/>
      <c r="D2581"/>
    </row>
    <row r="2582" spans="2:4" ht="15" customHeight="1" x14ac:dyDescent="0.25">
      <c r="B2582"/>
      <c r="C2582"/>
      <c r="D2582"/>
    </row>
    <row r="2583" spans="2:4" ht="15" customHeight="1" x14ac:dyDescent="0.25">
      <c r="B2583"/>
      <c r="C2583"/>
      <c r="D2583"/>
    </row>
    <row r="2584" spans="2:4" ht="15" customHeight="1" x14ac:dyDescent="0.25">
      <c r="B2584"/>
      <c r="C2584"/>
      <c r="D2584"/>
    </row>
    <row r="2585" spans="2:4" ht="15" customHeight="1" x14ac:dyDescent="0.25">
      <c r="B2585"/>
      <c r="C2585"/>
      <c r="D2585"/>
    </row>
    <row r="2586" spans="2:4" ht="15" customHeight="1" x14ac:dyDescent="0.25">
      <c r="B2586"/>
      <c r="C2586"/>
      <c r="D2586"/>
    </row>
    <row r="2587" spans="2:4" ht="15" customHeight="1" x14ac:dyDescent="0.25">
      <c r="B2587"/>
      <c r="C2587"/>
      <c r="D2587"/>
    </row>
    <row r="2588" spans="2:4" ht="15" customHeight="1" x14ac:dyDescent="0.25">
      <c r="B2588"/>
      <c r="C2588"/>
      <c r="D2588"/>
    </row>
    <row r="2589" spans="2:4" ht="15" customHeight="1" x14ac:dyDescent="0.25">
      <c r="B2589"/>
      <c r="C2589"/>
      <c r="D2589"/>
    </row>
    <row r="2590" spans="2:4" ht="15" customHeight="1" x14ac:dyDescent="0.25">
      <c r="B2590"/>
      <c r="C2590"/>
      <c r="D2590"/>
    </row>
    <row r="2591" spans="2:4" ht="15" customHeight="1" x14ac:dyDescent="0.25">
      <c r="B2591"/>
      <c r="C2591"/>
      <c r="D2591"/>
    </row>
    <row r="2592" spans="2:4" ht="15" customHeight="1" x14ac:dyDescent="0.25">
      <c r="B2592"/>
      <c r="C2592"/>
      <c r="D2592"/>
    </row>
    <row r="2593" spans="2:4" ht="15" customHeight="1" x14ac:dyDescent="0.25">
      <c r="B2593"/>
      <c r="C2593"/>
      <c r="D2593"/>
    </row>
    <row r="2594" spans="2:4" ht="15" customHeight="1" x14ac:dyDescent="0.25">
      <c r="B2594"/>
      <c r="C2594"/>
      <c r="D2594"/>
    </row>
    <row r="2595" spans="2:4" ht="15" customHeight="1" x14ac:dyDescent="0.25">
      <c r="B2595"/>
      <c r="C2595"/>
      <c r="D2595"/>
    </row>
    <row r="2596" spans="2:4" ht="15" customHeight="1" x14ac:dyDescent="0.25">
      <c r="B2596"/>
      <c r="C2596"/>
      <c r="D2596"/>
    </row>
    <row r="2597" spans="2:4" ht="15" customHeight="1" x14ac:dyDescent="0.25">
      <c r="B2597"/>
      <c r="C2597"/>
      <c r="D2597"/>
    </row>
    <row r="2598" spans="2:4" ht="15" customHeight="1" x14ac:dyDescent="0.25">
      <c r="B2598"/>
      <c r="C2598"/>
      <c r="D2598"/>
    </row>
    <row r="2599" spans="2:4" ht="15" customHeight="1" x14ac:dyDescent="0.25">
      <c r="B2599"/>
      <c r="C2599"/>
      <c r="D2599"/>
    </row>
    <row r="2600" spans="2:4" ht="15" customHeight="1" x14ac:dyDescent="0.25">
      <c r="B2600"/>
      <c r="C2600"/>
      <c r="D2600"/>
    </row>
    <row r="2601" spans="2:4" ht="15" customHeight="1" x14ac:dyDescent="0.25">
      <c r="B2601"/>
      <c r="C2601"/>
      <c r="D2601"/>
    </row>
    <row r="2602" spans="2:4" ht="15" customHeight="1" x14ac:dyDescent="0.25">
      <c r="B2602"/>
      <c r="C2602"/>
      <c r="D2602"/>
    </row>
    <row r="2603" spans="2:4" ht="15" customHeight="1" x14ac:dyDescent="0.25">
      <c r="C2603"/>
      <c r="D2603"/>
    </row>
    <row r="2604" spans="2:4" ht="15" customHeight="1" x14ac:dyDescent="0.25">
      <c r="C2604"/>
      <c r="D2604"/>
    </row>
    <row r="2605" spans="2:4" ht="15" customHeight="1" x14ac:dyDescent="0.25">
      <c r="C2605"/>
      <c r="D2605"/>
    </row>
    <row r="2606" spans="2:4" ht="15" customHeight="1" x14ac:dyDescent="0.25">
      <c r="C2606"/>
      <c r="D2606"/>
    </row>
    <row r="2607" spans="2:4" ht="15" customHeight="1" x14ac:dyDescent="0.25">
      <c r="C2607"/>
      <c r="D2607"/>
    </row>
    <row r="2608" spans="2:4" ht="15" customHeight="1" x14ac:dyDescent="0.25">
      <c r="C2608"/>
      <c r="D2608"/>
    </row>
    <row r="2609" spans="3:4" ht="15" customHeight="1" x14ac:dyDescent="0.25">
      <c r="C2609"/>
      <c r="D2609"/>
    </row>
    <row r="2610" spans="3:4" ht="15" customHeight="1" x14ac:dyDescent="0.25">
      <c r="C2610"/>
      <c r="D2610"/>
    </row>
    <row r="2611" spans="3:4" ht="15" customHeight="1" x14ac:dyDescent="0.25">
      <c r="C2611"/>
      <c r="D2611"/>
    </row>
    <row r="2612" spans="3:4" ht="15" customHeight="1" x14ac:dyDescent="0.25">
      <c r="C2612"/>
      <c r="D2612"/>
    </row>
    <row r="2613" spans="3:4" ht="15" customHeight="1" x14ac:dyDescent="0.25">
      <c r="C2613"/>
      <c r="D2613"/>
    </row>
    <row r="2614" spans="3:4" ht="15" customHeight="1" x14ac:dyDescent="0.25">
      <c r="C2614"/>
      <c r="D2614"/>
    </row>
    <row r="2615" spans="3:4" ht="15" customHeight="1" x14ac:dyDescent="0.25">
      <c r="C2615"/>
      <c r="D2615"/>
    </row>
    <row r="2616" spans="3:4" ht="15" customHeight="1" x14ac:dyDescent="0.25">
      <c r="C2616"/>
      <c r="D2616"/>
    </row>
    <row r="2617" spans="3:4" ht="15" customHeight="1" x14ac:dyDescent="0.25">
      <c r="C2617"/>
      <c r="D2617"/>
    </row>
    <row r="2618" spans="3:4" ht="15" customHeight="1" x14ac:dyDescent="0.25">
      <c r="C2618"/>
      <c r="D2618"/>
    </row>
    <row r="2619" spans="3:4" ht="15" customHeight="1" x14ac:dyDescent="0.25">
      <c r="C2619"/>
      <c r="D2619"/>
    </row>
    <row r="2620" spans="3:4" ht="15" customHeight="1" x14ac:dyDescent="0.25">
      <c r="C2620"/>
      <c r="D2620"/>
    </row>
    <row r="2621" spans="3:4" ht="15" customHeight="1" x14ac:dyDescent="0.25">
      <c r="C2621"/>
      <c r="D2621"/>
    </row>
    <row r="2622" spans="3:4" ht="15" customHeight="1" x14ac:dyDescent="0.25">
      <c r="C2622"/>
      <c r="D2622"/>
    </row>
    <row r="2623" spans="3:4" ht="15" customHeight="1" x14ac:dyDescent="0.25">
      <c r="C2623"/>
      <c r="D2623"/>
    </row>
    <row r="2624" spans="3:4" ht="15" customHeight="1" x14ac:dyDescent="0.25">
      <c r="C2624"/>
      <c r="D2624"/>
    </row>
    <row r="2625" spans="3:4" ht="15" customHeight="1" x14ac:dyDescent="0.25">
      <c r="C2625"/>
      <c r="D2625"/>
    </row>
    <row r="2626" spans="3:4" ht="15" customHeight="1" x14ac:dyDescent="0.25">
      <c r="C2626"/>
      <c r="D2626"/>
    </row>
    <row r="2627" spans="3:4" ht="15" customHeight="1" x14ac:dyDescent="0.25">
      <c r="C2627"/>
      <c r="D2627"/>
    </row>
    <row r="2628" spans="3:4" ht="15" customHeight="1" x14ac:dyDescent="0.25">
      <c r="C2628"/>
      <c r="D2628"/>
    </row>
    <row r="2629" spans="3:4" ht="15" customHeight="1" x14ac:dyDescent="0.25">
      <c r="C2629"/>
      <c r="D2629"/>
    </row>
    <row r="2630" spans="3:4" ht="15" customHeight="1" x14ac:dyDescent="0.25">
      <c r="C2630"/>
      <c r="D2630"/>
    </row>
    <row r="2631" spans="3:4" ht="15" customHeight="1" x14ac:dyDescent="0.25">
      <c r="C2631"/>
      <c r="D2631"/>
    </row>
    <row r="2632" spans="3:4" ht="15" customHeight="1" x14ac:dyDescent="0.25">
      <c r="C2632"/>
      <c r="D2632"/>
    </row>
    <row r="2633" spans="3:4" ht="15" customHeight="1" x14ac:dyDescent="0.25">
      <c r="C2633"/>
      <c r="D2633"/>
    </row>
    <row r="2634" spans="3:4" ht="15" customHeight="1" x14ac:dyDescent="0.25">
      <c r="C2634"/>
      <c r="D2634"/>
    </row>
    <row r="2635" spans="3:4" ht="15" customHeight="1" x14ac:dyDescent="0.25">
      <c r="C2635"/>
      <c r="D2635"/>
    </row>
    <row r="2636" spans="3:4" ht="15" customHeight="1" x14ac:dyDescent="0.25">
      <c r="C2636"/>
      <c r="D2636"/>
    </row>
    <row r="2637" spans="3:4" ht="15" customHeight="1" x14ac:dyDescent="0.25">
      <c r="C2637"/>
      <c r="D2637"/>
    </row>
    <row r="2638" spans="3:4" ht="15" customHeight="1" x14ac:dyDescent="0.25">
      <c r="C2638"/>
      <c r="D2638"/>
    </row>
    <row r="2639" spans="3:4" ht="15" customHeight="1" x14ac:dyDescent="0.25">
      <c r="C2639"/>
      <c r="D2639"/>
    </row>
    <row r="2640" spans="3:4" ht="15" customHeight="1" x14ac:dyDescent="0.25">
      <c r="C2640"/>
      <c r="D2640"/>
    </row>
    <row r="2641" spans="3:4" ht="15" customHeight="1" x14ac:dyDescent="0.25">
      <c r="C2641"/>
      <c r="D2641"/>
    </row>
    <row r="2642" spans="3:4" ht="15" customHeight="1" x14ac:dyDescent="0.25">
      <c r="C2642"/>
      <c r="D2642"/>
    </row>
    <row r="2643" spans="3:4" ht="15" customHeight="1" x14ac:dyDescent="0.25">
      <c r="C2643"/>
      <c r="D2643"/>
    </row>
    <row r="2644" spans="3:4" ht="15" customHeight="1" x14ac:dyDescent="0.25">
      <c r="C2644"/>
      <c r="D2644"/>
    </row>
    <row r="2645" spans="3:4" ht="15" customHeight="1" x14ac:dyDescent="0.25">
      <c r="C2645"/>
      <c r="D2645"/>
    </row>
    <row r="2646" spans="3:4" ht="15" customHeight="1" x14ac:dyDescent="0.25">
      <c r="C2646"/>
      <c r="D2646"/>
    </row>
    <row r="2647" spans="3:4" ht="15" customHeight="1" x14ac:dyDescent="0.25">
      <c r="C2647"/>
      <c r="D2647"/>
    </row>
    <row r="2648" spans="3:4" ht="15" customHeight="1" x14ac:dyDescent="0.25">
      <c r="C2648"/>
      <c r="D2648"/>
    </row>
    <row r="2649" spans="3:4" ht="15" customHeight="1" x14ac:dyDescent="0.25">
      <c r="C2649"/>
      <c r="D2649"/>
    </row>
    <row r="2650" spans="3:4" ht="15" customHeight="1" x14ac:dyDescent="0.25">
      <c r="C2650"/>
      <c r="D2650"/>
    </row>
    <row r="2651" spans="3:4" ht="15" customHeight="1" x14ac:dyDescent="0.25">
      <c r="C2651"/>
      <c r="D2651"/>
    </row>
    <row r="2652" spans="3:4" ht="15" customHeight="1" x14ac:dyDescent="0.25">
      <c r="C2652"/>
      <c r="D2652"/>
    </row>
    <row r="2653" spans="3:4" ht="15" customHeight="1" x14ac:dyDescent="0.25">
      <c r="C2653"/>
      <c r="D2653"/>
    </row>
    <row r="2654" spans="3:4" ht="15" customHeight="1" x14ac:dyDescent="0.25">
      <c r="C2654"/>
      <c r="D2654"/>
    </row>
    <row r="2655" spans="3:4" ht="15" customHeight="1" x14ac:dyDescent="0.25">
      <c r="C2655"/>
      <c r="D2655"/>
    </row>
    <row r="2656" spans="3:4" ht="15" customHeight="1" x14ac:dyDescent="0.25">
      <c r="C2656"/>
      <c r="D2656"/>
    </row>
    <row r="2657" spans="3:4" ht="15" customHeight="1" x14ac:dyDescent="0.25">
      <c r="C2657"/>
      <c r="D2657"/>
    </row>
    <row r="2658" spans="3:4" ht="15" customHeight="1" x14ac:dyDescent="0.25">
      <c r="C2658"/>
      <c r="D2658"/>
    </row>
    <row r="2659" spans="3:4" ht="15" customHeight="1" x14ac:dyDescent="0.25">
      <c r="C2659"/>
      <c r="D2659"/>
    </row>
    <row r="2660" spans="3:4" ht="15" customHeight="1" x14ac:dyDescent="0.25">
      <c r="C2660"/>
      <c r="D2660"/>
    </row>
    <row r="2661" spans="3:4" ht="15" customHeight="1" x14ac:dyDescent="0.25">
      <c r="C2661"/>
      <c r="D2661"/>
    </row>
    <row r="2662" spans="3:4" ht="15" customHeight="1" x14ac:dyDescent="0.25">
      <c r="C2662"/>
      <c r="D2662"/>
    </row>
    <row r="2663" spans="3:4" ht="15" customHeight="1" x14ac:dyDescent="0.25">
      <c r="C2663"/>
      <c r="D2663"/>
    </row>
    <row r="2664" spans="3:4" ht="15" customHeight="1" x14ac:dyDescent="0.25">
      <c r="C2664"/>
      <c r="D2664"/>
    </row>
    <row r="2665" spans="3:4" ht="15" customHeight="1" x14ac:dyDescent="0.25">
      <c r="C2665"/>
      <c r="D2665"/>
    </row>
    <row r="2666" spans="3:4" ht="15" customHeight="1" x14ac:dyDescent="0.25">
      <c r="C2666"/>
      <c r="D2666"/>
    </row>
    <row r="2667" spans="3:4" ht="15" customHeight="1" x14ac:dyDescent="0.25">
      <c r="C2667"/>
      <c r="D2667"/>
    </row>
    <row r="2668" spans="3:4" ht="15" customHeight="1" x14ac:dyDescent="0.25">
      <c r="C2668"/>
      <c r="D2668"/>
    </row>
    <row r="2669" spans="3:4" ht="15" customHeight="1" x14ac:dyDescent="0.25">
      <c r="C2669"/>
      <c r="D2669"/>
    </row>
    <row r="2670" spans="3:4" ht="15" customHeight="1" x14ac:dyDescent="0.25">
      <c r="C2670"/>
      <c r="D2670"/>
    </row>
    <row r="2671" spans="3:4" ht="15" customHeight="1" x14ac:dyDescent="0.25">
      <c r="C2671"/>
      <c r="D2671"/>
    </row>
    <row r="2672" spans="3:4" ht="15" customHeight="1" x14ac:dyDescent="0.25">
      <c r="C2672"/>
      <c r="D2672"/>
    </row>
    <row r="2673" spans="3:4" ht="15" customHeight="1" x14ac:dyDescent="0.25">
      <c r="C2673"/>
      <c r="D2673"/>
    </row>
    <row r="2674" spans="3:4" ht="15" customHeight="1" x14ac:dyDescent="0.25">
      <c r="C2674"/>
      <c r="D2674"/>
    </row>
    <row r="2675" spans="3:4" ht="15" customHeight="1" x14ac:dyDescent="0.25">
      <c r="C2675"/>
      <c r="D2675"/>
    </row>
    <row r="2676" spans="3:4" ht="15" customHeight="1" x14ac:dyDescent="0.25">
      <c r="C2676"/>
      <c r="D2676"/>
    </row>
    <row r="2677" spans="3:4" ht="15" customHeight="1" x14ac:dyDescent="0.25">
      <c r="C2677"/>
      <c r="D2677"/>
    </row>
    <row r="2678" spans="3:4" ht="15" customHeight="1" x14ac:dyDescent="0.25">
      <c r="C2678"/>
      <c r="D2678"/>
    </row>
    <row r="2679" spans="3:4" ht="15" customHeight="1" x14ac:dyDescent="0.25">
      <c r="C2679"/>
      <c r="D2679"/>
    </row>
    <row r="2680" spans="3:4" ht="15" customHeight="1" x14ac:dyDescent="0.25">
      <c r="C2680"/>
      <c r="D2680"/>
    </row>
    <row r="2681" spans="3:4" ht="15" customHeight="1" x14ac:dyDescent="0.25">
      <c r="C2681"/>
      <c r="D2681"/>
    </row>
    <row r="2682" spans="3:4" ht="15" customHeight="1" x14ac:dyDescent="0.25">
      <c r="C2682"/>
      <c r="D2682"/>
    </row>
    <row r="2683" spans="3:4" ht="15" customHeight="1" x14ac:dyDescent="0.25">
      <c r="C2683"/>
      <c r="D2683"/>
    </row>
    <row r="2684" spans="3:4" ht="15" customHeight="1" x14ac:dyDescent="0.25">
      <c r="C2684"/>
      <c r="D2684"/>
    </row>
    <row r="2685" spans="3:4" ht="15" customHeight="1" x14ac:dyDescent="0.25">
      <c r="C2685"/>
      <c r="D2685"/>
    </row>
    <row r="2686" spans="3:4" ht="15" customHeight="1" x14ac:dyDescent="0.25">
      <c r="C2686"/>
      <c r="D2686"/>
    </row>
    <row r="2687" spans="3:4" ht="15" customHeight="1" x14ac:dyDescent="0.25">
      <c r="C2687"/>
      <c r="D2687"/>
    </row>
    <row r="2688" spans="3:4" ht="15" customHeight="1" x14ac:dyDescent="0.25">
      <c r="C2688"/>
      <c r="D2688"/>
    </row>
    <row r="2689" spans="3:4" ht="15" customHeight="1" x14ac:dyDescent="0.25">
      <c r="C2689"/>
      <c r="D2689"/>
    </row>
    <row r="2690" spans="3:4" ht="15" customHeight="1" x14ac:dyDescent="0.25">
      <c r="C2690"/>
      <c r="D2690"/>
    </row>
    <row r="2691" spans="3:4" ht="15" customHeight="1" x14ac:dyDescent="0.25">
      <c r="C2691"/>
      <c r="D2691"/>
    </row>
    <row r="2692" spans="3:4" ht="15" customHeight="1" x14ac:dyDescent="0.25">
      <c r="C2692"/>
      <c r="D2692"/>
    </row>
    <row r="2693" spans="3:4" ht="15" customHeight="1" x14ac:dyDescent="0.25">
      <c r="C2693"/>
      <c r="D2693"/>
    </row>
    <row r="2694" spans="3:4" ht="15" customHeight="1" x14ac:dyDescent="0.25">
      <c r="C2694"/>
      <c r="D2694"/>
    </row>
    <row r="2695" spans="3:4" ht="15" customHeight="1" x14ac:dyDescent="0.25">
      <c r="C2695"/>
      <c r="D2695"/>
    </row>
    <row r="2696" spans="3:4" ht="15" customHeight="1" x14ac:dyDescent="0.25">
      <c r="C2696"/>
      <c r="D2696"/>
    </row>
    <row r="2697" spans="3:4" ht="15" customHeight="1" x14ac:dyDescent="0.25">
      <c r="C2697"/>
      <c r="D2697"/>
    </row>
    <row r="2698" spans="3:4" ht="15" customHeight="1" x14ac:dyDescent="0.25">
      <c r="C2698"/>
      <c r="D2698"/>
    </row>
    <row r="2699" spans="3:4" ht="15" customHeight="1" x14ac:dyDescent="0.25">
      <c r="C2699"/>
      <c r="D2699"/>
    </row>
    <row r="2700" spans="3:4" ht="15" customHeight="1" x14ac:dyDescent="0.25">
      <c r="C2700"/>
      <c r="D2700"/>
    </row>
    <row r="2701" spans="3:4" ht="15" customHeight="1" x14ac:dyDescent="0.25">
      <c r="C2701"/>
      <c r="D2701"/>
    </row>
    <row r="2702" spans="3:4" ht="15" customHeight="1" x14ac:dyDescent="0.25">
      <c r="C2702"/>
      <c r="D2702"/>
    </row>
    <row r="2703" spans="3:4" ht="15" customHeight="1" x14ac:dyDescent="0.25">
      <c r="C2703"/>
      <c r="D2703"/>
    </row>
    <row r="2704" spans="3:4" ht="15" customHeight="1" x14ac:dyDescent="0.25">
      <c r="C2704"/>
      <c r="D2704"/>
    </row>
    <row r="2705" spans="3:4" ht="15" customHeight="1" x14ac:dyDescent="0.25">
      <c r="C2705"/>
      <c r="D2705"/>
    </row>
    <row r="2706" spans="3:4" ht="15" customHeight="1" x14ac:dyDescent="0.25">
      <c r="C2706"/>
      <c r="D2706"/>
    </row>
    <row r="2707" spans="3:4" ht="15" customHeight="1" x14ac:dyDescent="0.25">
      <c r="C2707"/>
      <c r="D2707"/>
    </row>
    <row r="2708" spans="3:4" ht="15" customHeight="1" x14ac:dyDescent="0.25">
      <c r="C2708"/>
      <c r="D2708"/>
    </row>
    <row r="2709" spans="3:4" ht="15" customHeight="1" x14ac:dyDescent="0.25">
      <c r="C2709"/>
      <c r="D2709"/>
    </row>
    <row r="2710" spans="3:4" ht="15" customHeight="1" x14ac:dyDescent="0.25">
      <c r="C2710"/>
      <c r="D2710"/>
    </row>
    <row r="2711" spans="3:4" ht="15" customHeight="1" x14ac:dyDescent="0.25">
      <c r="C2711"/>
      <c r="D2711"/>
    </row>
    <row r="2712" spans="3:4" ht="15" customHeight="1" x14ac:dyDescent="0.25">
      <c r="C2712"/>
      <c r="D2712"/>
    </row>
    <row r="2713" spans="3:4" ht="15" customHeight="1" x14ac:dyDescent="0.25">
      <c r="C2713"/>
      <c r="D2713"/>
    </row>
    <row r="2714" spans="3:4" ht="15" customHeight="1" x14ac:dyDescent="0.25">
      <c r="C2714"/>
      <c r="D2714"/>
    </row>
    <row r="2715" spans="3:4" ht="15" customHeight="1" x14ac:dyDescent="0.25">
      <c r="C2715"/>
      <c r="D2715"/>
    </row>
    <row r="2716" spans="3:4" ht="15" customHeight="1" x14ac:dyDescent="0.25">
      <c r="C2716"/>
      <c r="D2716"/>
    </row>
    <row r="2717" spans="3:4" ht="15" customHeight="1" x14ac:dyDescent="0.25">
      <c r="C2717"/>
      <c r="D2717"/>
    </row>
    <row r="2718" spans="3:4" ht="15" customHeight="1" x14ac:dyDescent="0.25">
      <c r="C2718"/>
      <c r="D2718"/>
    </row>
    <row r="2719" spans="3:4" ht="15" customHeight="1" x14ac:dyDescent="0.25">
      <c r="C2719"/>
      <c r="D2719"/>
    </row>
    <row r="2720" spans="3:4" ht="15" customHeight="1" x14ac:dyDescent="0.25">
      <c r="C2720"/>
      <c r="D2720"/>
    </row>
    <row r="2721" spans="3:4" ht="15" customHeight="1" x14ac:dyDescent="0.25">
      <c r="C2721"/>
      <c r="D2721"/>
    </row>
    <row r="2722" spans="3:4" ht="15" customHeight="1" x14ac:dyDescent="0.25">
      <c r="C2722"/>
      <c r="D2722"/>
    </row>
    <row r="2723" spans="3:4" ht="15" customHeight="1" x14ac:dyDescent="0.25">
      <c r="C2723"/>
      <c r="D2723"/>
    </row>
    <row r="2724" spans="3:4" ht="15" customHeight="1" x14ac:dyDescent="0.25">
      <c r="C2724"/>
      <c r="D2724"/>
    </row>
    <row r="2725" spans="3:4" ht="15" customHeight="1" x14ac:dyDescent="0.25">
      <c r="C2725"/>
      <c r="D2725"/>
    </row>
    <row r="2726" spans="3:4" ht="15" customHeight="1" x14ac:dyDescent="0.25">
      <c r="C2726"/>
      <c r="D2726"/>
    </row>
    <row r="2727" spans="3:4" ht="15" customHeight="1" x14ac:dyDescent="0.25">
      <c r="C2727"/>
      <c r="D2727"/>
    </row>
    <row r="2728" spans="3:4" ht="15" customHeight="1" x14ac:dyDescent="0.25">
      <c r="C2728"/>
      <c r="D2728"/>
    </row>
    <row r="2729" spans="3:4" ht="15" customHeight="1" x14ac:dyDescent="0.25">
      <c r="C2729"/>
      <c r="D2729"/>
    </row>
    <row r="2730" spans="3:4" ht="15" customHeight="1" x14ac:dyDescent="0.25">
      <c r="C2730"/>
      <c r="D2730"/>
    </row>
    <row r="2731" spans="3:4" ht="15" customHeight="1" x14ac:dyDescent="0.25">
      <c r="C2731"/>
      <c r="D2731"/>
    </row>
    <row r="2732" spans="3:4" ht="15" customHeight="1" x14ac:dyDescent="0.25">
      <c r="C2732"/>
      <c r="D2732"/>
    </row>
    <row r="2733" spans="3:4" ht="15" customHeight="1" x14ac:dyDescent="0.25">
      <c r="C2733"/>
      <c r="D2733"/>
    </row>
    <row r="2734" spans="3:4" ht="15" customHeight="1" x14ac:dyDescent="0.25">
      <c r="C2734"/>
      <c r="D2734"/>
    </row>
    <row r="2735" spans="3:4" ht="15" customHeight="1" x14ac:dyDescent="0.25">
      <c r="C2735"/>
      <c r="D2735"/>
    </row>
    <row r="2736" spans="3:4" ht="15" customHeight="1" x14ac:dyDescent="0.25">
      <c r="C2736"/>
      <c r="D2736"/>
    </row>
    <row r="2737" spans="3:4" ht="15" customHeight="1" x14ac:dyDescent="0.25">
      <c r="C2737"/>
      <c r="D2737"/>
    </row>
    <row r="2738" spans="3:4" ht="15" customHeight="1" x14ac:dyDescent="0.25">
      <c r="C2738"/>
      <c r="D2738"/>
    </row>
    <row r="2739" spans="3:4" ht="15" customHeight="1" x14ac:dyDescent="0.25">
      <c r="C2739"/>
      <c r="D2739"/>
    </row>
    <row r="2740" spans="3:4" ht="15" customHeight="1" x14ac:dyDescent="0.25">
      <c r="C2740"/>
      <c r="D2740"/>
    </row>
    <row r="2741" spans="3:4" ht="15" customHeight="1" x14ac:dyDescent="0.25">
      <c r="C2741"/>
      <c r="D2741"/>
    </row>
    <row r="2742" spans="3:4" ht="15" customHeight="1" x14ac:dyDescent="0.25">
      <c r="C2742"/>
      <c r="D2742"/>
    </row>
    <row r="2743" spans="3:4" ht="15" customHeight="1" x14ac:dyDescent="0.25">
      <c r="C2743"/>
      <c r="D2743"/>
    </row>
    <row r="2744" spans="3:4" ht="15" customHeight="1" x14ac:dyDescent="0.25">
      <c r="C2744"/>
      <c r="D2744"/>
    </row>
    <row r="2745" spans="3:4" ht="15" customHeight="1" x14ac:dyDescent="0.25">
      <c r="C2745"/>
      <c r="D2745"/>
    </row>
    <row r="2746" spans="3:4" ht="15" customHeight="1" x14ac:dyDescent="0.25">
      <c r="C2746"/>
      <c r="D2746"/>
    </row>
    <row r="2747" spans="3:4" ht="15" customHeight="1" x14ac:dyDescent="0.25">
      <c r="C2747"/>
      <c r="D2747"/>
    </row>
    <row r="2748" spans="3:4" ht="15" customHeight="1" x14ac:dyDescent="0.25">
      <c r="C2748"/>
      <c r="D2748"/>
    </row>
    <row r="2749" spans="3:4" ht="15" customHeight="1" x14ac:dyDescent="0.25">
      <c r="C2749"/>
      <c r="D2749"/>
    </row>
    <row r="2750" spans="3:4" ht="15" customHeight="1" x14ac:dyDescent="0.25">
      <c r="C2750"/>
      <c r="D2750"/>
    </row>
    <row r="2751" spans="3:4" ht="15" customHeight="1" x14ac:dyDescent="0.25">
      <c r="C2751"/>
      <c r="D2751"/>
    </row>
    <row r="2752" spans="3:4" ht="15" customHeight="1" x14ac:dyDescent="0.25">
      <c r="C2752"/>
      <c r="D2752"/>
    </row>
    <row r="2753" spans="3:4" ht="15" customHeight="1" x14ac:dyDescent="0.25">
      <c r="C2753"/>
      <c r="D2753"/>
    </row>
    <row r="2754" spans="3:4" ht="15" customHeight="1" x14ac:dyDescent="0.25">
      <c r="C2754"/>
      <c r="D2754"/>
    </row>
    <row r="2755" spans="3:4" ht="15" customHeight="1" x14ac:dyDescent="0.25">
      <c r="C2755"/>
      <c r="D2755"/>
    </row>
    <row r="2756" spans="3:4" ht="15" customHeight="1" x14ac:dyDescent="0.25">
      <c r="C2756"/>
      <c r="D2756"/>
    </row>
    <row r="2757" spans="3:4" ht="15" customHeight="1" x14ac:dyDescent="0.25">
      <c r="C2757"/>
      <c r="D2757"/>
    </row>
    <row r="2758" spans="3:4" ht="15" customHeight="1" x14ac:dyDescent="0.25">
      <c r="C2758"/>
      <c r="D2758"/>
    </row>
    <row r="2759" spans="3:4" ht="15" customHeight="1" x14ac:dyDescent="0.25">
      <c r="C2759"/>
      <c r="D2759"/>
    </row>
    <row r="2760" spans="3:4" ht="15" customHeight="1" x14ac:dyDescent="0.25">
      <c r="C2760"/>
      <c r="D2760"/>
    </row>
    <row r="2761" spans="3:4" ht="15" customHeight="1" x14ac:dyDescent="0.25">
      <c r="C2761"/>
      <c r="D2761"/>
    </row>
    <row r="2762" spans="3:4" ht="15" customHeight="1" x14ac:dyDescent="0.25">
      <c r="C2762"/>
      <c r="D2762"/>
    </row>
    <row r="2763" spans="3:4" ht="15" customHeight="1" x14ac:dyDescent="0.25">
      <c r="C2763"/>
      <c r="D2763"/>
    </row>
    <row r="2764" spans="3:4" ht="15" customHeight="1" x14ac:dyDescent="0.25">
      <c r="C2764"/>
      <c r="D2764"/>
    </row>
    <row r="2765" spans="3:4" ht="15" customHeight="1" x14ac:dyDescent="0.25">
      <c r="C2765"/>
      <c r="D2765"/>
    </row>
    <row r="2766" spans="3:4" ht="15" customHeight="1" x14ac:dyDescent="0.25">
      <c r="C2766"/>
      <c r="D2766"/>
    </row>
    <row r="2767" spans="3:4" ht="15" customHeight="1" x14ac:dyDescent="0.25">
      <c r="C2767"/>
      <c r="D2767"/>
    </row>
    <row r="2768" spans="3:4" ht="15" customHeight="1" x14ac:dyDescent="0.25">
      <c r="C2768"/>
      <c r="D2768"/>
    </row>
    <row r="2769" spans="3:4" ht="15" customHeight="1" x14ac:dyDescent="0.25">
      <c r="C2769"/>
      <c r="D2769"/>
    </row>
    <row r="2770" spans="3:4" ht="15" customHeight="1" x14ac:dyDescent="0.25">
      <c r="C2770"/>
      <c r="D2770"/>
    </row>
    <row r="2771" spans="3:4" ht="15" customHeight="1" x14ac:dyDescent="0.25">
      <c r="C2771"/>
      <c r="D2771"/>
    </row>
    <row r="2772" spans="3:4" ht="15" customHeight="1" x14ac:dyDescent="0.25">
      <c r="C2772"/>
      <c r="D2772"/>
    </row>
    <row r="2773" spans="3:4" ht="15" customHeight="1" x14ac:dyDescent="0.25">
      <c r="C2773"/>
      <c r="D2773"/>
    </row>
    <row r="2774" spans="3:4" ht="15" customHeight="1" x14ac:dyDescent="0.25">
      <c r="C2774"/>
      <c r="D2774"/>
    </row>
    <row r="2775" spans="3:4" ht="15" customHeight="1" x14ac:dyDescent="0.25">
      <c r="C2775"/>
      <c r="D2775"/>
    </row>
    <row r="2776" spans="3:4" ht="15" customHeight="1" x14ac:dyDescent="0.25">
      <c r="C2776"/>
      <c r="D2776"/>
    </row>
    <row r="2777" spans="3:4" ht="15" customHeight="1" x14ac:dyDescent="0.25">
      <c r="C2777"/>
      <c r="D2777"/>
    </row>
    <row r="2778" spans="3:4" ht="15" customHeight="1" x14ac:dyDescent="0.25">
      <c r="C2778"/>
      <c r="D2778"/>
    </row>
    <row r="2779" spans="3:4" ht="15" customHeight="1" x14ac:dyDescent="0.25">
      <c r="C2779"/>
      <c r="D2779"/>
    </row>
    <row r="2780" spans="3:4" ht="15" customHeight="1" x14ac:dyDescent="0.25">
      <c r="C2780"/>
      <c r="D2780"/>
    </row>
    <row r="2781" spans="3:4" ht="15" customHeight="1" x14ac:dyDescent="0.25">
      <c r="C2781"/>
      <c r="D2781"/>
    </row>
    <row r="2782" spans="3:4" ht="15" customHeight="1" x14ac:dyDescent="0.25">
      <c r="C2782"/>
      <c r="D2782"/>
    </row>
    <row r="2783" spans="3:4" ht="15" customHeight="1" x14ac:dyDescent="0.25">
      <c r="C2783"/>
      <c r="D2783"/>
    </row>
    <row r="2784" spans="3:4" ht="15" customHeight="1" x14ac:dyDescent="0.25">
      <c r="C2784"/>
      <c r="D2784"/>
    </row>
    <row r="2785" spans="3:4" ht="15" customHeight="1" x14ac:dyDescent="0.25">
      <c r="C2785"/>
      <c r="D2785"/>
    </row>
    <row r="2786" spans="3:4" ht="15" customHeight="1" x14ac:dyDescent="0.25">
      <c r="C2786"/>
      <c r="D2786"/>
    </row>
    <row r="2787" spans="3:4" ht="15" customHeight="1" x14ac:dyDescent="0.25">
      <c r="C2787"/>
      <c r="D2787"/>
    </row>
    <row r="2788" spans="3:4" ht="15" customHeight="1" x14ac:dyDescent="0.25">
      <c r="C2788"/>
      <c r="D2788"/>
    </row>
    <row r="2789" spans="3:4" ht="15" customHeight="1" x14ac:dyDescent="0.25">
      <c r="C2789"/>
      <c r="D2789"/>
    </row>
    <row r="2790" spans="3:4" ht="15" customHeight="1" x14ac:dyDescent="0.25">
      <c r="C2790"/>
      <c r="D2790"/>
    </row>
    <row r="2791" spans="3:4" ht="15" customHeight="1" x14ac:dyDescent="0.25">
      <c r="C2791"/>
      <c r="D2791"/>
    </row>
    <row r="2792" spans="3:4" ht="15" customHeight="1" x14ac:dyDescent="0.25">
      <c r="C2792"/>
      <c r="D2792"/>
    </row>
    <row r="2793" spans="3:4" ht="15" customHeight="1" x14ac:dyDescent="0.25">
      <c r="C2793"/>
      <c r="D2793"/>
    </row>
    <row r="2794" spans="3:4" ht="15" customHeight="1" x14ac:dyDescent="0.25">
      <c r="C2794"/>
      <c r="D2794"/>
    </row>
    <row r="2795" spans="3:4" ht="15" customHeight="1" x14ac:dyDescent="0.25">
      <c r="C2795"/>
      <c r="D2795"/>
    </row>
    <row r="2796" spans="3:4" ht="15" customHeight="1" x14ac:dyDescent="0.25">
      <c r="C2796"/>
      <c r="D2796"/>
    </row>
    <row r="2797" spans="3:4" ht="15" customHeight="1" x14ac:dyDescent="0.25">
      <c r="C2797"/>
      <c r="D2797"/>
    </row>
    <row r="2798" spans="3:4" ht="15" customHeight="1" x14ac:dyDescent="0.25">
      <c r="C2798"/>
      <c r="D2798"/>
    </row>
    <row r="2799" spans="3:4" ht="15" customHeight="1" x14ac:dyDescent="0.25">
      <c r="C2799"/>
      <c r="D2799"/>
    </row>
    <row r="2800" spans="3:4" ht="15" customHeight="1" x14ac:dyDescent="0.25">
      <c r="C2800"/>
      <c r="D2800"/>
    </row>
    <row r="2801" spans="3:4" ht="15" customHeight="1" x14ac:dyDescent="0.25">
      <c r="C2801"/>
      <c r="D2801"/>
    </row>
    <row r="2802" spans="3:4" ht="15" customHeight="1" x14ac:dyDescent="0.25">
      <c r="C2802"/>
      <c r="D2802"/>
    </row>
    <row r="2803" spans="3:4" ht="15" customHeight="1" x14ac:dyDescent="0.25">
      <c r="C2803"/>
      <c r="D2803"/>
    </row>
    <row r="2804" spans="3:4" ht="15" customHeight="1" x14ac:dyDescent="0.25">
      <c r="C2804"/>
      <c r="D2804"/>
    </row>
    <row r="2805" spans="3:4" ht="15" customHeight="1" x14ac:dyDescent="0.25">
      <c r="C2805"/>
      <c r="D2805"/>
    </row>
    <row r="2806" spans="3:4" ht="15" customHeight="1" x14ac:dyDescent="0.25">
      <c r="C2806"/>
      <c r="D2806"/>
    </row>
    <row r="2807" spans="3:4" ht="15" customHeight="1" x14ac:dyDescent="0.25">
      <c r="C2807"/>
      <c r="D2807"/>
    </row>
    <row r="2808" spans="3:4" ht="15" customHeight="1" x14ac:dyDescent="0.25">
      <c r="C2808"/>
      <c r="D2808"/>
    </row>
    <row r="2809" spans="3:4" ht="15" customHeight="1" x14ac:dyDescent="0.25">
      <c r="C2809"/>
      <c r="D2809"/>
    </row>
    <row r="2810" spans="3:4" ht="15" customHeight="1" x14ac:dyDescent="0.25">
      <c r="C2810"/>
      <c r="D2810"/>
    </row>
    <row r="2811" spans="3:4" ht="15" customHeight="1" x14ac:dyDescent="0.25">
      <c r="C2811"/>
      <c r="D2811"/>
    </row>
    <row r="2812" spans="3:4" ht="15" customHeight="1" x14ac:dyDescent="0.25">
      <c r="C2812"/>
      <c r="D2812"/>
    </row>
    <row r="2813" spans="3:4" ht="15" customHeight="1" x14ac:dyDescent="0.25">
      <c r="C2813"/>
      <c r="D2813"/>
    </row>
    <row r="2814" spans="3:4" ht="15" customHeight="1" x14ac:dyDescent="0.25">
      <c r="C2814"/>
      <c r="D2814"/>
    </row>
    <row r="2815" spans="3:4" ht="15" customHeight="1" x14ac:dyDescent="0.25">
      <c r="C2815"/>
      <c r="D2815"/>
    </row>
    <row r="2816" spans="3:4" ht="15" customHeight="1" x14ac:dyDescent="0.25">
      <c r="C2816"/>
      <c r="D2816"/>
    </row>
    <row r="2817" spans="3:4" ht="15" customHeight="1" x14ac:dyDescent="0.25">
      <c r="C2817"/>
      <c r="D2817"/>
    </row>
    <row r="2818" spans="3:4" ht="15" customHeight="1" x14ac:dyDescent="0.25">
      <c r="C2818"/>
      <c r="D2818"/>
    </row>
    <row r="2819" spans="3:4" ht="15" customHeight="1" x14ac:dyDescent="0.25">
      <c r="C2819"/>
      <c r="D2819"/>
    </row>
    <row r="2820" spans="3:4" ht="15" customHeight="1" x14ac:dyDescent="0.25">
      <c r="C2820"/>
      <c r="D2820"/>
    </row>
    <row r="2821" spans="3:4" ht="15" customHeight="1" x14ac:dyDescent="0.25">
      <c r="C2821"/>
      <c r="D2821"/>
    </row>
    <row r="2822" spans="3:4" ht="15" customHeight="1" x14ac:dyDescent="0.25">
      <c r="C2822"/>
      <c r="D2822"/>
    </row>
    <row r="2823" spans="3:4" ht="15" customHeight="1" x14ac:dyDescent="0.25">
      <c r="C2823"/>
      <c r="D2823"/>
    </row>
    <row r="2824" spans="3:4" ht="15" customHeight="1" x14ac:dyDescent="0.25">
      <c r="C2824"/>
      <c r="D2824"/>
    </row>
    <row r="2825" spans="3:4" ht="15" customHeight="1" x14ac:dyDescent="0.25">
      <c r="C2825"/>
      <c r="D2825"/>
    </row>
    <row r="2826" spans="3:4" ht="15" customHeight="1" x14ac:dyDescent="0.25">
      <c r="C2826"/>
      <c r="D2826"/>
    </row>
    <row r="2827" spans="3:4" ht="15" customHeight="1" x14ac:dyDescent="0.25">
      <c r="C2827"/>
      <c r="D2827"/>
    </row>
    <row r="2828" spans="3:4" ht="15" customHeight="1" x14ac:dyDescent="0.25">
      <c r="C2828"/>
      <c r="D2828"/>
    </row>
    <row r="2829" spans="3:4" ht="15" customHeight="1" x14ac:dyDescent="0.25">
      <c r="C2829"/>
      <c r="D2829"/>
    </row>
    <row r="2830" spans="3:4" ht="15" customHeight="1" x14ac:dyDescent="0.25">
      <c r="C2830"/>
      <c r="D2830"/>
    </row>
    <row r="2831" spans="3:4" ht="15" customHeight="1" x14ac:dyDescent="0.25">
      <c r="C2831"/>
      <c r="D2831"/>
    </row>
    <row r="2832" spans="3:4" ht="15" customHeight="1" x14ac:dyDescent="0.25">
      <c r="C2832"/>
      <c r="D2832"/>
    </row>
    <row r="2833" spans="3:4" ht="15" customHeight="1" x14ac:dyDescent="0.25">
      <c r="C2833"/>
      <c r="D2833"/>
    </row>
    <row r="2834" spans="3:4" ht="15" customHeight="1" x14ac:dyDescent="0.25">
      <c r="C2834"/>
      <c r="D2834"/>
    </row>
    <row r="2835" spans="3:4" ht="15" customHeight="1" x14ac:dyDescent="0.25">
      <c r="C2835"/>
      <c r="D2835"/>
    </row>
    <row r="2836" spans="3:4" ht="15" customHeight="1" x14ac:dyDescent="0.25">
      <c r="C2836"/>
      <c r="D2836"/>
    </row>
    <row r="2837" spans="3:4" ht="15" customHeight="1" x14ac:dyDescent="0.25">
      <c r="C2837"/>
      <c r="D2837"/>
    </row>
    <row r="2838" spans="3:4" ht="15" customHeight="1" x14ac:dyDescent="0.25">
      <c r="C2838"/>
      <c r="D2838"/>
    </row>
    <row r="2839" spans="3:4" ht="15" customHeight="1" x14ac:dyDescent="0.25">
      <c r="C2839"/>
      <c r="D2839"/>
    </row>
    <row r="2840" spans="3:4" ht="15" customHeight="1" x14ac:dyDescent="0.25">
      <c r="C2840"/>
      <c r="D2840"/>
    </row>
    <row r="2841" spans="3:4" ht="15" customHeight="1" x14ac:dyDescent="0.25">
      <c r="C2841"/>
      <c r="D2841"/>
    </row>
    <row r="2842" spans="3:4" ht="15" customHeight="1" x14ac:dyDescent="0.25">
      <c r="C2842"/>
      <c r="D2842"/>
    </row>
    <row r="2843" spans="3:4" ht="15" customHeight="1" x14ac:dyDescent="0.25">
      <c r="C2843"/>
      <c r="D2843"/>
    </row>
    <row r="2844" spans="3:4" ht="15" customHeight="1" x14ac:dyDescent="0.25">
      <c r="C2844"/>
      <c r="D2844"/>
    </row>
    <row r="2845" spans="3:4" ht="15" customHeight="1" x14ac:dyDescent="0.25">
      <c r="C2845"/>
      <c r="D2845"/>
    </row>
    <row r="2846" spans="3:4" ht="15" customHeight="1" x14ac:dyDescent="0.25">
      <c r="C2846"/>
      <c r="D2846"/>
    </row>
    <row r="2847" spans="3:4" ht="15" customHeight="1" x14ac:dyDescent="0.25">
      <c r="C2847"/>
      <c r="D2847"/>
    </row>
    <row r="2848" spans="3:4" ht="15" customHeight="1" x14ac:dyDescent="0.25">
      <c r="C2848"/>
      <c r="D2848"/>
    </row>
    <row r="2849" spans="3:4" ht="15" customHeight="1" x14ac:dyDescent="0.25">
      <c r="C2849"/>
      <c r="D2849"/>
    </row>
    <row r="2850" spans="3:4" ht="15" customHeight="1" x14ac:dyDescent="0.25">
      <c r="C2850"/>
      <c r="D2850"/>
    </row>
    <row r="2851" spans="3:4" ht="15" customHeight="1" x14ac:dyDescent="0.25">
      <c r="C2851"/>
      <c r="D2851"/>
    </row>
    <row r="2852" spans="3:4" ht="15" customHeight="1" x14ac:dyDescent="0.25">
      <c r="C2852"/>
      <c r="D2852"/>
    </row>
    <row r="2853" spans="3:4" ht="15" customHeight="1" x14ac:dyDescent="0.25">
      <c r="C2853"/>
      <c r="D2853"/>
    </row>
    <row r="2854" spans="3:4" ht="15" customHeight="1" x14ac:dyDescent="0.25">
      <c r="C2854"/>
      <c r="D2854"/>
    </row>
    <row r="2855" spans="3:4" ht="15" customHeight="1" x14ac:dyDescent="0.25">
      <c r="C2855"/>
      <c r="D2855"/>
    </row>
    <row r="2856" spans="3:4" ht="15" customHeight="1" x14ac:dyDescent="0.25">
      <c r="C2856"/>
      <c r="D2856"/>
    </row>
    <row r="2857" spans="3:4" ht="15" customHeight="1" x14ac:dyDescent="0.25">
      <c r="C2857"/>
      <c r="D2857"/>
    </row>
    <row r="2858" spans="3:4" ht="15" customHeight="1" x14ac:dyDescent="0.25">
      <c r="C2858"/>
      <c r="D2858"/>
    </row>
    <row r="2859" spans="3:4" ht="15" customHeight="1" x14ac:dyDescent="0.25">
      <c r="C2859"/>
      <c r="D2859"/>
    </row>
    <row r="2860" spans="3:4" ht="15" customHeight="1" x14ac:dyDescent="0.25">
      <c r="C2860"/>
      <c r="D2860"/>
    </row>
    <row r="2861" spans="3:4" ht="15" customHeight="1" x14ac:dyDescent="0.25">
      <c r="C2861"/>
      <c r="D2861"/>
    </row>
    <row r="2862" spans="3:4" ht="15" customHeight="1" x14ac:dyDescent="0.25">
      <c r="C2862"/>
      <c r="D2862"/>
    </row>
    <row r="2863" spans="3:4" ht="15" customHeight="1" x14ac:dyDescent="0.25">
      <c r="C2863"/>
      <c r="D2863"/>
    </row>
    <row r="2864" spans="3:4" ht="15" customHeight="1" x14ac:dyDescent="0.25">
      <c r="C2864"/>
      <c r="D2864"/>
    </row>
    <row r="2865" spans="3:4" ht="15" customHeight="1" x14ac:dyDescent="0.25">
      <c r="C2865"/>
      <c r="D2865"/>
    </row>
    <row r="2866" spans="3:4" ht="15" customHeight="1" x14ac:dyDescent="0.25">
      <c r="C2866"/>
      <c r="D2866"/>
    </row>
    <row r="2867" spans="3:4" ht="15" customHeight="1" x14ac:dyDescent="0.25">
      <c r="C2867"/>
      <c r="D2867"/>
    </row>
    <row r="2868" spans="3:4" ht="15" customHeight="1" x14ac:dyDescent="0.25">
      <c r="C2868"/>
      <c r="D2868"/>
    </row>
    <row r="2869" spans="3:4" ht="15" customHeight="1" x14ac:dyDescent="0.25">
      <c r="C2869"/>
      <c r="D2869"/>
    </row>
    <row r="2870" spans="3:4" ht="15" customHeight="1" x14ac:dyDescent="0.25">
      <c r="C2870"/>
      <c r="D2870"/>
    </row>
    <row r="2871" spans="3:4" ht="15" customHeight="1" x14ac:dyDescent="0.25">
      <c r="C2871"/>
      <c r="D2871"/>
    </row>
    <row r="2872" spans="3:4" ht="15" customHeight="1" x14ac:dyDescent="0.25">
      <c r="C2872"/>
      <c r="D2872"/>
    </row>
    <row r="2873" spans="3:4" ht="15" customHeight="1" x14ac:dyDescent="0.25">
      <c r="C2873"/>
      <c r="D2873"/>
    </row>
    <row r="2874" spans="3:4" ht="15" customHeight="1" x14ac:dyDescent="0.25">
      <c r="C2874"/>
      <c r="D2874"/>
    </row>
    <row r="2875" spans="3:4" ht="15" customHeight="1" x14ac:dyDescent="0.25">
      <c r="C2875"/>
      <c r="D2875"/>
    </row>
    <row r="2876" spans="3:4" ht="15" customHeight="1" x14ac:dyDescent="0.25">
      <c r="C2876"/>
      <c r="D2876"/>
    </row>
    <row r="2877" spans="3:4" ht="15" customHeight="1" x14ac:dyDescent="0.25">
      <c r="C2877"/>
      <c r="D2877"/>
    </row>
    <row r="2878" spans="3:4" ht="15" customHeight="1" x14ac:dyDescent="0.25">
      <c r="C2878"/>
      <c r="D2878"/>
    </row>
    <row r="2879" spans="3:4" ht="15" customHeight="1" x14ac:dyDescent="0.25">
      <c r="C2879"/>
      <c r="D2879"/>
    </row>
    <row r="2880" spans="3:4" ht="15" customHeight="1" x14ac:dyDescent="0.25">
      <c r="C2880"/>
      <c r="D2880"/>
    </row>
    <row r="2881" spans="3:4" ht="15" customHeight="1" x14ac:dyDescent="0.25">
      <c r="C2881"/>
      <c r="D2881"/>
    </row>
    <row r="2882" spans="3:4" ht="15" customHeight="1" x14ac:dyDescent="0.25">
      <c r="C2882"/>
      <c r="D2882"/>
    </row>
    <row r="2883" spans="3:4" ht="15" customHeight="1" x14ac:dyDescent="0.25">
      <c r="C2883"/>
      <c r="D2883"/>
    </row>
    <row r="2884" spans="3:4" ht="15" customHeight="1" x14ac:dyDescent="0.25">
      <c r="C2884"/>
      <c r="D2884"/>
    </row>
    <row r="2885" spans="3:4" ht="15" customHeight="1" x14ac:dyDescent="0.25">
      <c r="C2885"/>
      <c r="D2885"/>
    </row>
    <row r="2886" spans="3:4" ht="15" customHeight="1" x14ac:dyDescent="0.25">
      <c r="C2886"/>
      <c r="D2886"/>
    </row>
    <row r="2887" spans="3:4" ht="15" customHeight="1" x14ac:dyDescent="0.25">
      <c r="C2887"/>
      <c r="D2887"/>
    </row>
    <row r="2888" spans="3:4" ht="15" customHeight="1" x14ac:dyDescent="0.25">
      <c r="C2888"/>
      <c r="D2888"/>
    </row>
    <row r="2889" spans="3:4" ht="15" customHeight="1" x14ac:dyDescent="0.25">
      <c r="C2889"/>
      <c r="D2889"/>
    </row>
    <row r="2890" spans="3:4" ht="15" customHeight="1" x14ac:dyDescent="0.25">
      <c r="C2890"/>
      <c r="D2890"/>
    </row>
    <row r="2891" spans="3:4" ht="15" customHeight="1" x14ac:dyDescent="0.25">
      <c r="C2891"/>
      <c r="D2891"/>
    </row>
    <row r="2892" spans="3:4" ht="15" customHeight="1" x14ac:dyDescent="0.25">
      <c r="C2892"/>
      <c r="D2892"/>
    </row>
    <row r="2893" spans="3:4" ht="15" customHeight="1" x14ac:dyDescent="0.25">
      <c r="C2893"/>
      <c r="D2893"/>
    </row>
    <row r="2894" spans="3:4" ht="15" customHeight="1" x14ac:dyDescent="0.25">
      <c r="C2894"/>
      <c r="D2894"/>
    </row>
    <row r="2895" spans="3:4" ht="15" customHeight="1" x14ac:dyDescent="0.25">
      <c r="C2895"/>
      <c r="D2895"/>
    </row>
    <row r="2896" spans="3:4" ht="15" customHeight="1" x14ac:dyDescent="0.25">
      <c r="C2896"/>
      <c r="D2896"/>
    </row>
    <row r="2897" spans="3:4" ht="15" customHeight="1" x14ac:dyDescent="0.25">
      <c r="C2897"/>
      <c r="D2897"/>
    </row>
    <row r="2898" spans="3:4" ht="15" customHeight="1" x14ac:dyDescent="0.25">
      <c r="C2898"/>
      <c r="D2898"/>
    </row>
    <row r="2899" spans="3:4" ht="15" customHeight="1" x14ac:dyDescent="0.25">
      <c r="C2899"/>
      <c r="D2899"/>
    </row>
    <row r="2900" spans="3:4" ht="15" customHeight="1" x14ac:dyDescent="0.25">
      <c r="C2900"/>
      <c r="D2900"/>
    </row>
    <row r="2901" spans="3:4" ht="15" customHeight="1" x14ac:dyDescent="0.25">
      <c r="C2901"/>
      <c r="D2901"/>
    </row>
    <row r="2902" spans="3:4" ht="15" customHeight="1" x14ac:dyDescent="0.25">
      <c r="C2902"/>
      <c r="D2902"/>
    </row>
    <row r="2903" spans="3:4" ht="15" customHeight="1" x14ac:dyDescent="0.25">
      <c r="C2903"/>
      <c r="D2903"/>
    </row>
    <row r="2904" spans="3:4" ht="15" customHeight="1" x14ac:dyDescent="0.25">
      <c r="C2904"/>
      <c r="D2904"/>
    </row>
    <row r="2905" spans="3:4" ht="15" customHeight="1" x14ac:dyDescent="0.25">
      <c r="C2905"/>
      <c r="D2905"/>
    </row>
    <row r="2906" spans="3:4" ht="15" customHeight="1" x14ac:dyDescent="0.25">
      <c r="C2906"/>
      <c r="D2906"/>
    </row>
    <row r="2907" spans="3:4" ht="15" customHeight="1" x14ac:dyDescent="0.25">
      <c r="C2907"/>
      <c r="D2907"/>
    </row>
    <row r="2908" spans="3:4" ht="15" customHeight="1" x14ac:dyDescent="0.25">
      <c r="C2908"/>
      <c r="D2908"/>
    </row>
    <row r="2909" spans="3:4" ht="15" customHeight="1" x14ac:dyDescent="0.25">
      <c r="C2909"/>
      <c r="D2909"/>
    </row>
    <row r="2910" spans="3:4" ht="15" customHeight="1" x14ac:dyDescent="0.25">
      <c r="C2910"/>
      <c r="D2910"/>
    </row>
    <row r="2911" spans="3:4" ht="15" customHeight="1" x14ac:dyDescent="0.25">
      <c r="C2911"/>
      <c r="D2911"/>
    </row>
    <row r="2912" spans="3:4" ht="15" customHeight="1" x14ac:dyDescent="0.25">
      <c r="C2912"/>
      <c r="D2912"/>
    </row>
    <row r="2913" spans="3:4" ht="15" customHeight="1" x14ac:dyDescent="0.25">
      <c r="C2913"/>
      <c r="D2913"/>
    </row>
    <row r="2914" spans="3:4" ht="15" customHeight="1" x14ac:dyDescent="0.25">
      <c r="C2914"/>
      <c r="D2914"/>
    </row>
    <row r="2915" spans="3:4" ht="15" customHeight="1" x14ac:dyDescent="0.25">
      <c r="C2915"/>
      <c r="D2915"/>
    </row>
    <row r="2916" spans="3:4" ht="15" customHeight="1" x14ac:dyDescent="0.25">
      <c r="C2916"/>
      <c r="D2916"/>
    </row>
    <row r="2917" spans="3:4" ht="15" customHeight="1" x14ac:dyDescent="0.25">
      <c r="C2917"/>
      <c r="D2917"/>
    </row>
    <row r="2918" spans="3:4" ht="15" customHeight="1" x14ac:dyDescent="0.25">
      <c r="C2918"/>
      <c r="D2918"/>
    </row>
    <row r="2919" spans="3:4" ht="15" customHeight="1" x14ac:dyDescent="0.25">
      <c r="C2919"/>
      <c r="D2919"/>
    </row>
    <row r="2920" spans="3:4" ht="15" customHeight="1" x14ac:dyDescent="0.25">
      <c r="C2920"/>
      <c r="D2920"/>
    </row>
    <row r="2921" spans="3:4" ht="15" customHeight="1" x14ac:dyDescent="0.25">
      <c r="C2921"/>
      <c r="D2921"/>
    </row>
    <row r="2922" spans="3:4" ht="15" customHeight="1" x14ac:dyDescent="0.25">
      <c r="C2922"/>
      <c r="D2922"/>
    </row>
    <row r="2923" spans="3:4" ht="15" customHeight="1" x14ac:dyDescent="0.25">
      <c r="C2923"/>
      <c r="D2923"/>
    </row>
    <row r="2924" spans="3:4" ht="15" customHeight="1" x14ac:dyDescent="0.25">
      <c r="C2924"/>
      <c r="D2924"/>
    </row>
    <row r="2925" spans="3:4" ht="15" customHeight="1" x14ac:dyDescent="0.25">
      <c r="C2925"/>
      <c r="D2925"/>
    </row>
    <row r="2926" spans="3:4" ht="15" customHeight="1" x14ac:dyDescent="0.25">
      <c r="C2926"/>
      <c r="D2926"/>
    </row>
    <row r="2927" spans="3:4" ht="15" customHeight="1" x14ac:dyDescent="0.25">
      <c r="C2927"/>
      <c r="D2927"/>
    </row>
    <row r="2928" spans="3:4" ht="15" customHeight="1" x14ac:dyDescent="0.25">
      <c r="C2928"/>
      <c r="D2928"/>
    </row>
    <row r="2929" spans="3:4" ht="15" customHeight="1" x14ac:dyDescent="0.25">
      <c r="C2929"/>
      <c r="D2929"/>
    </row>
    <row r="2930" spans="3:4" ht="15" customHeight="1" x14ac:dyDescent="0.25">
      <c r="C2930"/>
      <c r="D2930"/>
    </row>
    <row r="2931" spans="3:4" ht="15" customHeight="1" x14ac:dyDescent="0.25">
      <c r="C2931"/>
      <c r="D2931"/>
    </row>
    <row r="2932" spans="3:4" ht="15" customHeight="1" x14ac:dyDescent="0.25">
      <c r="C2932"/>
      <c r="D2932"/>
    </row>
    <row r="2933" spans="3:4" ht="15" customHeight="1" x14ac:dyDescent="0.25">
      <c r="C2933"/>
      <c r="D2933"/>
    </row>
    <row r="2934" spans="3:4" ht="15" customHeight="1" x14ac:dyDescent="0.25">
      <c r="C2934"/>
      <c r="D2934"/>
    </row>
    <row r="2935" spans="3:4" ht="15" customHeight="1" x14ac:dyDescent="0.25">
      <c r="C2935"/>
      <c r="D2935"/>
    </row>
    <row r="2936" spans="3:4" ht="15" customHeight="1" x14ac:dyDescent="0.25">
      <c r="C2936"/>
      <c r="D2936"/>
    </row>
    <row r="2937" spans="3:4" ht="15" customHeight="1" x14ac:dyDescent="0.25">
      <c r="C2937"/>
      <c r="D2937"/>
    </row>
    <row r="2938" spans="3:4" ht="15" customHeight="1" x14ac:dyDescent="0.25">
      <c r="C2938"/>
      <c r="D2938"/>
    </row>
    <row r="2939" spans="3:4" ht="15" customHeight="1" x14ac:dyDescent="0.25">
      <c r="C2939"/>
      <c r="D2939"/>
    </row>
    <row r="2940" spans="3:4" ht="15" customHeight="1" x14ac:dyDescent="0.25">
      <c r="C2940"/>
      <c r="D2940"/>
    </row>
    <row r="2941" spans="3:4" ht="15" customHeight="1" x14ac:dyDescent="0.25">
      <c r="C2941"/>
      <c r="D2941"/>
    </row>
    <row r="2942" spans="3:4" ht="15" customHeight="1" x14ac:dyDescent="0.25">
      <c r="C2942"/>
      <c r="D2942"/>
    </row>
    <row r="2943" spans="3:4" ht="15" customHeight="1" x14ac:dyDescent="0.25">
      <c r="C2943"/>
      <c r="D2943"/>
    </row>
    <row r="2944" spans="3:4" ht="15" customHeight="1" x14ac:dyDescent="0.25">
      <c r="C2944"/>
      <c r="D2944"/>
    </row>
    <row r="2945" spans="3:4" ht="15" customHeight="1" x14ac:dyDescent="0.25">
      <c r="C2945"/>
      <c r="D2945"/>
    </row>
    <row r="2946" spans="3:4" ht="15" customHeight="1" x14ac:dyDescent="0.25">
      <c r="C2946"/>
      <c r="D2946"/>
    </row>
    <row r="2947" spans="3:4" ht="15" customHeight="1" x14ac:dyDescent="0.25">
      <c r="C2947"/>
      <c r="D2947"/>
    </row>
    <row r="2948" spans="3:4" ht="15" customHeight="1" x14ac:dyDescent="0.25">
      <c r="C2948"/>
      <c r="D2948"/>
    </row>
    <row r="2949" spans="3:4" ht="15" customHeight="1" x14ac:dyDescent="0.25">
      <c r="C2949"/>
      <c r="D2949"/>
    </row>
    <row r="2950" spans="3:4" ht="15" customHeight="1" x14ac:dyDescent="0.25">
      <c r="C2950"/>
      <c r="D2950"/>
    </row>
    <row r="2951" spans="3:4" ht="15" customHeight="1" x14ac:dyDescent="0.25">
      <c r="C2951"/>
      <c r="D2951"/>
    </row>
    <row r="2952" spans="3:4" ht="15" customHeight="1" x14ac:dyDescent="0.25">
      <c r="C2952"/>
      <c r="D2952"/>
    </row>
    <row r="2953" spans="3:4" ht="15" customHeight="1" x14ac:dyDescent="0.25">
      <c r="C2953"/>
      <c r="D2953"/>
    </row>
    <row r="2954" spans="3:4" ht="15" customHeight="1" x14ac:dyDescent="0.25">
      <c r="C2954"/>
      <c r="D2954"/>
    </row>
    <row r="2955" spans="3:4" ht="15" customHeight="1" x14ac:dyDescent="0.25">
      <c r="C2955"/>
      <c r="D2955"/>
    </row>
    <row r="2956" spans="3:4" ht="15" customHeight="1" x14ac:dyDescent="0.25">
      <c r="C2956"/>
      <c r="D2956"/>
    </row>
    <row r="2957" spans="3:4" ht="15" customHeight="1" x14ac:dyDescent="0.25">
      <c r="C2957"/>
      <c r="D2957"/>
    </row>
    <row r="2958" spans="3:4" ht="15" customHeight="1" x14ac:dyDescent="0.25">
      <c r="C2958"/>
      <c r="D2958"/>
    </row>
    <row r="2959" spans="3:4" ht="15" customHeight="1" x14ac:dyDescent="0.25">
      <c r="C2959"/>
      <c r="D2959"/>
    </row>
    <row r="2960" spans="3:4" ht="15" customHeight="1" x14ac:dyDescent="0.25">
      <c r="C2960"/>
      <c r="D2960"/>
    </row>
    <row r="2961" spans="3:4" ht="15" customHeight="1" x14ac:dyDescent="0.25">
      <c r="C2961"/>
      <c r="D2961"/>
    </row>
    <row r="2962" spans="3:4" ht="15" customHeight="1" x14ac:dyDescent="0.25">
      <c r="C2962"/>
      <c r="D2962"/>
    </row>
    <row r="2963" spans="3:4" ht="15" customHeight="1" x14ac:dyDescent="0.25">
      <c r="C2963"/>
      <c r="D2963"/>
    </row>
    <row r="2964" spans="3:4" ht="15" customHeight="1" x14ac:dyDescent="0.25">
      <c r="C2964"/>
      <c r="D2964"/>
    </row>
    <row r="2965" spans="3:4" ht="15" customHeight="1" x14ac:dyDescent="0.25">
      <c r="C2965"/>
      <c r="D2965"/>
    </row>
    <row r="2966" spans="3:4" ht="15" customHeight="1" x14ac:dyDescent="0.25">
      <c r="C2966"/>
      <c r="D2966"/>
    </row>
    <row r="2967" spans="3:4" ht="15" customHeight="1" x14ac:dyDescent="0.25">
      <c r="C2967"/>
      <c r="D2967"/>
    </row>
    <row r="2968" spans="3:4" ht="15" customHeight="1" x14ac:dyDescent="0.25">
      <c r="C2968"/>
      <c r="D2968"/>
    </row>
    <row r="2969" spans="3:4" ht="15" customHeight="1" x14ac:dyDescent="0.25">
      <c r="C2969"/>
      <c r="D2969"/>
    </row>
    <row r="2970" spans="3:4" ht="15" customHeight="1" x14ac:dyDescent="0.25">
      <c r="C2970"/>
      <c r="D2970"/>
    </row>
    <row r="2971" spans="3:4" ht="15" customHeight="1" x14ac:dyDescent="0.25">
      <c r="C2971"/>
      <c r="D2971"/>
    </row>
    <row r="2972" spans="3:4" ht="15" customHeight="1" x14ac:dyDescent="0.25">
      <c r="C2972"/>
      <c r="D2972"/>
    </row>
    <row r="2973" spans="3:4" ht="15" customHeight="1" x14ac:dyDescent="0.25">
      <c r="C2973"/>
      <c r="D2973"/>
    </row>
    <row r="2974" spans="3:4" ht="15" customHeight="1" x14ac:dyDescent="0.25">
      <c r="C2974"/>
      <c r="D2974"/>
    </row>
    <row r="2975" spans="3:4" ht="15" customHeight="1" x14ac:dyDescent="0.25">
      <c r="C2975"/>
      <c r="D2975"/>
    </row>
    <row r="2976" spans="3:4" ht="15" customHeight="1" x14ac:dyDescent="0.25">
      <c r="C2976"/>
      <c r="D2976"/>
    </row>
    <row r="2977" spans="3:4" ht="15" customHeight="1" x14ac:dyDescent="0.25">
      <c r="C2977"/>
      <c r="D2977"/>
    </row>
    <row r="2978" spans="3:4" ht="15" customHeight="1" x14ac:dyDescent="0.25">
      <c r="C2978"/>
      <c r="D2978"/>
    </row>
    <row r="2979" spans="3:4" ht="15" customHeight="1" x14ac:dyDescent="0.25">
      <c r="C2979"/>
      <c r="D2979"/>
    </row>
    <row r="2980" spans="3:4" ht="15" customHeight="1" x14ac:dyDescent="0.25">
      <c r="C2980"/>
      <c r="D2980"/>
    </row>
    <row r="2981" spans="3:4" ht="15" customHeight="1" x14ac:dyDescent="0.25">
      <c r="C2981"/>
      <c r="D2981"/>
    </row>
    <row r="2982" spans="3:4" ht="15" customHeight="1" x14ac:dyDescent="0.25">
      <c r="C2982"/>
      <c r="D2982"/>
    </row>
    <row r="2983" spans="3:4" ht="15" customHeight="1" x14ac:dyDescent="0.25">
      <c r="C2983"/>
      <c r="D2983"/>
    </row>
    <row r="2984" spans="3:4" ht="15" customHeight="1" x14ac:dyDescent="0.25">
      <c r="C2984"/>
      <c r="D2984"/>
    </row>
    <row r="2985" spans="3:4" ht="15" customHeight="1" x14ac:dyDescent="0.25">
      <c r="C2985"/>
      <c r="D2985"/>
    </row>
    <row r="2986" spans="3:4" ht="15" customHeight="1" x14ac:dyDescent="0.25">
      <c r="C2986"/>
      <c r="D2986"/>
    </row>
    <row r="2987" spans="3:4" ht="15" customHeight="1" x14ac:dyDescent="0.25">
      <c r="C2987"/>
      <c r="D2987"/>
    </row>
    <row r="2988" spans="3:4" ht="15" customHeight="1" x14ac:dyDescent="0.25">
      <c r="C2988"/>
      <c r="D2988"/>
    </row>
    <row r="2989" spans="3:4" ht="15" customHeight="1" x14ac:dyDescent="0.25">
      <c r="C2989"/>
      <c r="D2989"/>
    </row>
    <row r="2990" spans="3:4" ht="15" customHeight="1" x14ac:dyDescent="0.25">
      <c r="C2990"/>
      <c r="D2990"/>
    </row>
    <row r="2991" spans="3:4" ht="15" customHeight="1" x14ac:dyDescent="0.25">
      <c r="C2991"/>
      <c r="D2991"/>
    </row>
    <row r="2992" spans="3:4" ht="15" customHeight="1" x14ac:dyDescent="0.25">
      <c r="C2992"/>
      <c r="D2992"/>
    </row>
    <row r="2993" spans="3:4" ht="15" customHeight="1" x14ac:dyDescent="0.25">
      <c r="C2993"/>
      <c r="D2993"/>
    </row>
    <row r="2994" spans="3:4" ht="15" customHeight="1" x14ac:dyDescent="0.25">
      <c r="C2994"/>
      <c r="D2994"/>
    </row>
    <row r="2995" spans="3:4" ht="15" customHeight="1" x14ac:dyDescent="0.25">
      <c r="C2995"/>
      <c r="D2995"/>
    </row>
    <row r="2996" spans="3:4" ht="15" customHeight="1" x14ac:dyDescent="0.25">
      <c r="C2996"/>
      <c r="D2996"/>
    </row>
    <row r="2997" spans="3:4" ht="15" customHeight="1" x14ac:dyDescent="0.25">
      <c r="C2997"/>
      <c r="D2997"/>
    </row>
    <row r="2998" spans="3:4" ht="15" customHeight="1" x14ac:dyDescent="0.25">
      <c r="C2998"/>
      <c r="D2998"/>
    </row>
    <row r="2999" spans="3:4" ht="15" customHeight="1" x14ac:dyDescent="0.25">
      <c r="C2999"/>
      <c r="D2999"/>
    </row>
    <row r="3000" spans="3:4" ht="15" customHeight="1" x14ac:dyDescent="0.25">
      <c r="C3000"/>
      <c r="D3000"/>
    </row>
    <row r="3001" spans="3:4" ht="15" customHeight="1" x14ac:dyDescent="0.25">
      <c r="C3001"/>
      <c r="D3001"/>
    </row>
    <row r="3002" spans="3:4" ht="15" customHeight="1" x14ac:dyDescent="0.25">
      <c r="C3002"/>
      <c r="D3002"/>
    </row>
    <row r="3003" spans="3:4" ht="15" customHeight="1" x14ac:dyDescent="0.25">
      <c r="C3003"/>
      <c r="D3003"/>
    </row>
    <row r="3004" spans="3:4" ht="15" customHeight="1" x14ac:dyDescent="0.25">
      <c r="C3004"/>
      <c r="D3004"/>
    </row>
    <row r="3005" spans="3:4" ht="15" customHeight="1" x14ac:dyDescent="0.25">
      <c r="C3005"/>
      <c r="D3005"/>
    </row>
    <row r="3006" spans="3:4" ht="15" customHeight="1" x14ac:dyDescent="0.25">
      <c r="C3006"/>
      <c r="D3006"/>
    </row>
    <row r="3007" spans="3:4" ht="15" customHeight="1" x14ac:dyDescent="0.25">
      <c r="C3007"/>
      <c r="D3007"/>
    </row>
    <row r="3008" spans="3:4" ht="15" customHeight="1" x14ac:dyDescent="0.25">
      <c r="C3008"/>
      <c r="D3008"/>
    </row>
    <row r="3009" spans="3:4" ht="15" customHeight="1" x14ac:dyDescent="0.25">
      <c r="C3009"/>
      <c r="D3009"/>
    </row>
    <row r="3010" spans="3:4" ht="15" customHeight="1" x14ac:dyDescent="0.25">
      <c r="C3010"/>
      <c r="D3010"/>
    </row>
    <row r="3011" spans="3:4" ht="15" customHeight="1" x14ac:dyDescent="0.25">
      <c r="C3011"/>
      <c r="D3011"/>
    </row>
    <row r="3012" spans="3:4" ht="15" customHeight="1" x14ac:dyDescent="0.25">
      <c r="C3012"/>
      <c r="D3012"/>
    </row>
    <row r="3013" spans="3:4" ht="15" customHeight="1" x14ac:dyDescent="0.25">
      <c r="C3013"/>
      <c r="D3013"/>
    </row>
    <row r="3014" spans="3:4" ht="15" customHeight="1" x14ac:dyDescent="0.25">
      <c r="C3014"/>
      <c r="D3014"/>
    </row>
    <row r="3015" spans="3:4" ht="15" customHeight="1" x14ac:dyDescent="0.25">
      <c r="C3015"/>
      <c r="D3015"/>
    </row>
    <row r="3016" spans="3:4" ht="15" customHeight="1" x14ac:dyDescent="0.25">
      <c r="C3016"/>
      <c r="D3016"/>
    </row>
    <row r="3017" spans="3:4" ht="15" customHeight="1" x14ac:dyDescent="0.25">
      <c r="C3017"/>
      <c r="D3017"/>
    </row>
    <row r="3018" spans="3:4" ht="15" customHeight="1" x14ac:dyDescent="0.25">
      <c r="C3018"/>
      <c r="D3018"/>
    </row>
    <row r="3019" spans="3:4" ht="15" customHeight="1" x14ac:dyDescent="0.25">
      <c r="C3019"/>
      <c r="D3019"/>
    </row>
    <row r="3020" spans="3:4" ht="15" customHeight="1" x14ac:dyDescent="0.25">
      <c r="C3020"/>
      <c r="D3020"/>
    </row>
    <row r="3021" spans="3:4" ht="15" customHeight="1" x14ac:dyDescent="0.25">
      <c r="C3021"/>
      <c r="D3021"/>
    </row>
    <row r="3022" spans="3:4" ht="15" customHeight="1" x14ac:dyDescent="0.25">
      <c r="C3022"/>
      <c r="D3022"/>
    </row>
    <row r="3023" spans="3:4" ht="15" customHeight="1" x14ac:dyDescent="0.25">
      <c r="C3023"/>
      <c r="D3023"/>
    </row>
    <row r="3024" spans="3:4" ht="15" customHeight="1" x14ac:dyDescent="0.25">
      <c r="C3024"/>
      <c r="D3024"/>
    </row>
    <row r="3025" spans="3:4" ht="15" customHeight="1" x14ac:dyDescent="0.25">
      <c r="C3025"/>
      <c r="D3025"/>
    </row>
    <row r="3026" spans="3:4" ht="15" customHeight="1" x14ac:dyDescent="0.25">
      <c r="C3026"/>
      <c r="D3026"/>
    </row>
    <row r="3027" spans="3:4" ht="15" customHeight="1" x14ac:dyDescent="0.25">
      <c r="C3027"/>
      <c r="D3027"/>
    </row>
    <row r="3028" spans="3:4" ht="15" customHeight="1" x14ac:dyDescent="0.25">
      <c r="C3028"/>
      <c r="D3028"/>
    </row>
    <row r="3029" spans="3:4" ht="15" customHeight="1" x14ac:dyDescent="0.25">
      <c r="C3029"/>
      <c r="D3029"/>
    </row>
    <row r="3030" spans="3:4" ht="15" customHeight="1" x14ac:dyDescent="0.25">
      <c r="C3030"/>
      <c r="D3030"/>
    </row>
    <row r="3031" spans="3:4" ht="15" customHeight="1" x14ac:dyDescent="0.25">
      <c r="C3031"/>
      <c r="D3031"/>
    </row>
    <row r="3032" spans="3:4" ht="15" customHeight="1" x14ac:dyDescent="0.25">
      <c r="C3032"/>
      <c r="D3032"/>
    </row>
    <row r="3033" spans="3:4" ht="15" customHeight="1" x14ac:dyDescent="0.25">
      <c r="C3033"/>
      <c r="D3033"/>
    </row>
    <row r="3034" spans="3:4" ht="15" customHeight="1" x14ac:dyDescent="0.25">
      <c r="C3034"/>
      <c r="D3034"/>
    </row>
    <row r="3035" spans="3:4" ht="15" customHeight="1" x14ac:dyDescent="0.25">
      <c r="C3035"/>
      <c r="D3035"/>
    </row>
    <row r="3036" spans="3:4" ht="15" customHeight="1" x14ac:dyDescent="0.25">
      <c r="C3036"/>
      <c r="D3036"/>
    </row>
    <row r="3037" spans="3:4" ht="15" customHeight="1" x14ac:dyDescent="0.25">
      <c r="C3037"/>
      <c r="D3037"/>
    </row>
    <row r="3038" spans="3:4" ht="15" customHeight="1" x14ac:dyDescent="0.25">
      <c r="C3038"/>
      <c r="D3038"/>
    </row>
    <row r="3039" spans="3:4" ht="15" customHeight="1" x14ac:dyDescent="0.25">
      <c r="C3039"/>
      <c r="D3039"/>
    </row>
    <row r="3040" spans="3:4" ht="15" customHeight="1" x14ac:dyDescent="0.25">
      <c r="C3040"/>
      <c r="D3040"/>
    </row>
    <row r="3041" spans="3:4" ht="15" customHeight="1" x14ac:dyDescent="0.25">
      <c r="C3041"/>
      <c r="D3041"/>
    </row>
    <row r="3042" spans="3:4" ht="15" customHeight="1" x14ac:dyDescent="0.25">
      <c r="C3042"/>
      <c r="D3042"/>
    </row>
    <row r="3043" spans="3:4" ht="15" customHeight="1" x14ac:dyDescent="0.25">
      <c r="C3043"/>
      <c r="D3043"/>
    </row>
    <row r="3044" spans="3:4" ht="15" customHeight="1" x14ac:dyDescent="0.25">
      <c r="C3044"/>
      <c r="D3044"/>
    </row>
    <row r="3045" spans="3:4" ht="15" customHeight="1" x14ac:dyDescent="0.25">
      <c r="C3045"/>
      <c r="D3045"/>
    </row>
    <row r="3046" spans="3:4" ht="15" customHeight="1" x14ac:dyDescent="0.25">
      <c r="C3046"/>
      <c r="D3046"/>
    </row>
    <row r="3047" spans="3:4" ht="15" customHeight="1" x14ac:dyDescent="0.25">
      <c r="C3047"/>
      <c r="D3047"/>
    </row>
    <row r="3048" spans="3:4" ht="15" customHeight="1" x14ac:dyDescent="0.25">
      <c r="C3048"/>
      <c r="D3048"/>
    </row>
    <row r="3049" spans="3:4" ht="15" customHeight="1" x14ac:dyDescent="0.25">
      <c r="C3049"/>
      <c r="D3049"/>
    </row>
    <row r="3050" spans="3:4" ht="15" customHeight="1" x14ac:dyDescent="0.25">
      <c r="C3050"/>
      <c r="D3050"/>
    </row>
    <row r="3051" spans="3:4" ht="15" customHeight="1" x14ac:dyDescent="0.25">
      <c r="C3051"/>
      <c r="D3051"/>
    </row>
    <row r="3052" spans="3:4" ht="15" customHeight="1" x14ac:dyDescent="0.25">
      <c r="C3052"/>
      <c r="D3052"/>
    </row>
    <row r="3053" spans="3:4" ht="15" customHeight="1" x14ac:dyDescent="0.25">
      <c r="C3053"/>
      <c r="D3053"/>
    </row>
    <row r="3054" spans="3:4" ht="15" customHeight="1" x14ac:dyDescent="0.25">
      <c r="C3054"/>
      <c r="D3054"/>
    </row>
    <row r="3055" spans="3:4" ht="15" customHeight="1" x14ac:dyDescent="0.25">
      <c r="C3055"/>
      <c r="D3055"/>
    </row>
    <row r="3056" spans="3:4" ht="15" customHeight="1" x14ac:dyDescent="0.25">
      <c r="C3056"/>
      <c r="D3056"/>
    </row>
    <row r="3057" spans="3:4" ht="15" customHeight="1" x14ac:dyDescent="0.25">
      <c r="C3057"/>
      <c r="D3057"/>
    </row>
    <row r="3058" spans="3:4" ht="15" customHeight="1" x14ac:dyDescent="0.25">
      <c r="C3058"/>
      <c r="D3058"/>
    </row>
    <row r="3059" spans="3:4" ht="15" customHeight="1" x14ac:dyDescent="0.25">
      <c r="C3059"/>
      <c r="D3059"/>
    </row>
    <row r="3060" spans="3:4" ht="15" customHeight="1" x14ac:dyDescent="0.25">
      <c r="C3060"/>
      <c r="D3060"/>
    </row>
    <row r="3061" spans="3:4" ht="15" customHeight="1" x14ac:dyDescent="0.25">
      <c r="C3061"/>
      <c r="D3061"/>
    </row>
    <row r="3062" spans="3:4" ht="15" customHeight="1" x14ac:dyDescent="0.25">
      <c r="C3062"/>
      <c r="D3062"/>
    </row>
    <row r="3063" spans="3:4" ht="15" customHeight="1" x14ac:dyDescent="0.25">
      <c r="C3063"/>
      <c r="D3063"/>
    </row>
    <row r="3064" spans="3:4" ht="15" customHeight="1" x14ac:dyDescent="0.25">
      <c r="C3064"/>
      <c r="D3064"/>
    </row>
    <row r="3065" spans="3:4" ht="15" customHeight="1" x14ac:dyDescent="0.25">
      <c r="C3065"/>
      <c r="D3065"/>
    </row>
    <row r="3066" spans="3:4" ht="15" customHeight="1" x14ac:dyDescent="0.25">
      <c r="C3066"/>
      <c r="D3066"/>
    </row>
    <row r="3067" spans="3:4" ht="15" customHeight="1" x14ac:dyDescent="0.25">
      <c r="C3067"/>
      <c r="D3067"/>
    </row>
    <row r="3068" spans="3:4" ht="15" customHeight="1" x14ac:dyDescent="0.25">
      <c r="C3068"/>
      <c r="D3068"/>
    </row>
    <row r="3069" spans="3:4" ht="15" customHeight="1" x14ac:dyDescent="0.25">
      <c r="C3069"/>
      <c r="D3069"/>
    </row>
    <row r="3070" spans="3:4" ht="15" customHeight="1" x14ac:dyDescent="0.25">
      <c r="C3070"/>
      <c r="D3070"/>
    </row>
    <row r="3071" spans="3:4" ht="15" customHeight="1" x14ac:dyDescent="0.25">
      <c r="C3071"/>
      <c r="D3071"/>
    </row>
    <row r="3072" spans="3:4" ht="15" customHeight="1" x14ac:dyDescent="0.25">
      <c r="C3072"/>
      <c r="D3072"/>
    </row>
    <row r="3073" spans="3:4" ht="15" customHeight="1" x14ac:dyDescent="0.25">
      <c r="C3073"/>
      <c r="D3073"/>
    </row>
    <row r="3074" spans="3:4" ht="15" customHeight="1" x14ac:dyDescent="0.25">
      <c r="C3074"/>
      <c r="D3074"/>
    </row>
    <row r="3075" spans="3:4" ht="15" customHeight="1" x14ac:dyDescent="0.25">
      <c r="C3075"/>
      <c r="D3075"/>
    </row>
    <row r="3076" spans="3:4" ht="15" customHeight="1" x14ac:dyDescent="0.25">
      <c r="C3076"/>
      <c r="D3076"/>
    </row>
    <row r="3077" spans="3:4" ht="15" customHeight="1" x14ac:dyDescent="0.25">
      <c r="C3077"/>
      <c r="D3077"/>
    </row>
    <row r="3078" spans="3:4" ht="15" customHeight="1" x14ac:dyDescent="0.25">
      <c r="C3078"/>
      <c r="D3078"/>
    </row>
    <row r="3079" spans="3:4" ht="15" customHeight="1" x14ac:dyDescent="0.25">
      <c r="C3079"/>
      <c r="D3079"/>
    </row>
    <row r="3080" spans="3:4" ht="15" customHeight="1" x14ac:dyDescent="0.25">
      <c r="C3080"/>
      <c r="D3080"/>
    </row>
    <row r="3081" spans="3:4" ht="15" customHeight="1" x14ac:dyDescent="0.25">
      <c r="C3081"/>
      <c r="D3081"/>
    </row>
    <row r="3082" spans="3:4" ht="15" customHeight="1" x14ac:dyDescent="0.25">
      <c r="C3082"/>
      <c r="D3082"/>
    </row>
    <row r="3083" spans="3:4" ht="15" customHeight="1" x14ac:dyDescent="0.25">
      <c r="C3083"/>
      <c r="D3083"/>
    </row>
    <row r="3084" spans="3:4" ht="15" customHeight="1" x14ac:dyDescent="0.25">
      <c r="C3084"/>
      <c r="D3084"/>
    </row>
    <row r="3085" spans="3:4" ht="15" customHeight="1" x14ac:dyDescent="0.25">
      <c r="C3085"/>
      <c r="D3085"/>
    </row>
    <row r="3086" spans="3:4" ht="15" customHeight="1" x14ac:dyDescent="0.25">
      <c r="C3086"/>
      <c r="D3086"/>
    </row>
    <row r="3087" spans="3:4" ht="15" customHeight="1" x14ac:dyDescent="0.25">
      <c r="C3087"/>
      <c r="D3087"/>
    </row>
    <row r="3088" spans="3:4" ht="15" customHeight="1" x14ac:dyDescent="0.25">
      <c r="C3088"/>
      <c r="D3088"/>
    </row>
    <row r="3089" spans="3:4" ht="15" customHeight="1" x14ac:dyDescent="0.25">
      <c r="C3089"/>
      <c r="D3089"/>
    </row>
    <row r="3090" spans="3:4" ht="15" customHeight="1" x14ac:dyDescent="0.25">
      <c r="C3090"/>
      <c r="D3090"/>
    </row>
    <row r="3091" spans="3:4" ht="15" customHeight="1" x14ac:dyDescent="0.25">
      <c r="C3091"/>
      <c r="D3091"/>
    </row>
    <row r="3092" spans="3:4" ht="15" customHeight="1" x14ac:dyDescent="0.25">
      <c r="C3092"/>
      <c r="D3092"/>
    </row>
    <row r="3093" spans="3:4" ht="15" customHeight="1" x14ac:dyDescent="0.25">
      <c r="C3093"/>
      <c r="D3093"/>
    </row>
    <row r="3094" spans="3:4" ht="15" customHeight="1" x14ac:dyDescent="0.25">
      <c r="C3094"/>
      <c r="D3094"/>
    </row>
    <row r="3095" spans="3:4" ht="15" customHeight="1" x14ac:dyDescent="0.25">
      <c r="C3095"/>
      <c r="D3095"/>
    </row>
    <row r="3096" spans="3:4" ht="15" customHeight="1" x14ac:dyDescent="0.25">
      <c r="C3096"/>
      <c r="D3096"/>
    </row>
    <row r="3097" spans="3:4" ht="15" customHeight="1" x14ac:dyDescent="0.25">
      <c r="C3097"/>
      <c r="D3097"/>
    </row>
    <row r="3098" spans="3:4" ht="15" customHeight="1" x14ac:dyDescent="0.25">
      <c r="C3098"/>
      <c r="D3098"/>
    </row>
    <row r="3099" spans="3:4" ht="15" customHeight="1" x14ac:dyDescent="0.25">
      <c r="C3099"/>
      <c r="D3099"/>
    </row>
    <row r="3100" spans="3:4" ht="15" customHeight="1" x14ac:dyDescent="0.25">
      <c r="C3100"/>
      <c r="D3100"/>
    </row>
    <row r="3101" spans="3:4" ht="15" customHeight="1" x14ac:dyDescent="0.25">
      <c r="C3101"/>
      <c r="D3101"/>
    </row>
    <row r="3102" spans="3:4" ht="15" customHeight="1" x14ac:dyDescent="0.25">
      <c r="C3102"/>
      <c r="D3102"/>
    </row>
    <row r="3103" spans="3:4" ht="15" customHeight="1" x14ac:dyDescent="0.25">
      <c r="C3103"/>
      <c r="D3103"/>
    </row>
    <row r="3104" spans="3:4" ht="15" customHeight="1" x14ac:dyDescent="0.25">
      <c r="C3104"/>
      <c r="D3104"/>
    </row>
    <row r="3105" spans="3:4" ht="15" customHeight="1" x14ac:dyDescent="0.25">
      <c r="C3105"/>
      <c r="D3105"/>
    </row>
    <row r="3106" spans="3:4" ht="15" customHeight="1" x14ac:dyDescent="0.25">
      <c r="C3106"/>
      <c r="D3106"/>
    </row>
    <row r="3107" spans="3:4" ht="15" customHeight="1" x14ac:dyDescent="0.25">
      <c r="C3107"/>
      <c r="D3107"/>
    </row>
    <row r="3108" spans="3:4" ht="15" customHeight="1" x14ac:dyDescent="0.25">
      <c r="C3108"/>
      <c r="D3108"/>
    </row>
    <row r="3109" spans="3:4" ht="15" customHeight="1" x14ac:dyDescent="0.25">
      <c r="C3109"/>
      <c r="D3109"/>
    </row>
    <row r="3110" spans="3:4" ht="15" customHeight="1" x14ac:dyDescent="0.25">
      <c r="C3110"/>
      <c r="D3110"/>
    </row>
    <row r="3111" spans="3:4" ht="15" customHeight="1" x14ac:dyDescent="0.25">
      <c r="C3111"/>
      <c r="D3111"/>
    </row>
    <row r="3112" spans="3:4" ht="15" customHeight="1" x14ac:dyDescent="0.25">
      <c r="C3112"/>
      <c r="D3112"/>
    </row>
    <row r="3113" spans="3:4" ht="15" customHeight="1" x14ac:dyDescent="0.25">
      <c r="C3113"/>
      <c r="D3113"/>
    </row>
    <row r="3114" spans="3:4" ht="15" customHeight="1" x14ac:dyDescent="0.25">
      <c r="C3114"/>
      <c r="D3114"/>
    </row>
    <row r="3115" spans="3:4" ht="15" customHeight="1" x14ac:dyDescent="0.25">
      <c r="C3115"/>
      <c r="D3115"/>
    </row>
    <row r="3116" spans="3:4" ht="15" customHeight="1" x14ac:dyDescent="0.25">
      <c r="C3116"/>
      <c r="D3116"/>
    </row>
    <row r="3117" spans="3:4" ht="15" customHeight="1" x14ac:dyDescent="0.25">
      <c r="C3117"/>
      <c r="D3117"/>
    </row>
    <row r="3118" spans="3:4" ht="15" customHeight="1" x14ac:dyDescent="0.25">
      <c r="C3118"/>
      <c r="D3118"/>
    </row>
    <row r="3119" spans="3:4" ht="15" customHeight="1" x14ac:dyDescent="0.25">
      <c r="C3119"/>
      <c r="D3119"/>
    </row>
    <row r="3120" spans="3:4" ht="15" customHeight="1" x14ac:dyDescent="0.25">
      <c r="C3120"/>
      <c r="D3120"/>
    </row>
    <row r="3121" spans="3:4" ht="15" customHeight="1" x14ac:dyDescent="0.25">
      <c r="C3121"/>
      <c r="D3121"/>
    </row>
    <row r="3122" spans="3:4" ht="15" customHeight="1" x14ac:dyDescent="0.25">
      <c r="C3122"/>
      <c r="D3122"/>
    </row>
    <row r="3123" spans="3:4" ht="15" customHeight="1" x14ac:dyDescent="0.25">
      <c r="C3123"/>
      <c r="D3123"/>
    </row>
    <row r="3124" spans="3:4" ht="15" customHeight="1" x14ac:dyDescent="0.25">
      <c r="C3124"/>
      <c r="D3124"/>
    </row>
    <row r="3125" spans="3:4" ht="15" customHeight="1" x14ac:dyDescent="0.25">
      <c r="C3125"/>
      <c r="D3125"/>
    </row>
    <row r="3126" spans="3:4" ht="15" customHeight="1" x14ac:dyDescent="0.25">
      <c r="C3126"/>
      <c r="D3126"/>
    </row>
    <row r="3127" spans="3:4" ht="15" customHeight="1" x14ac:dyDescent="0.25">
      <c r="C3127"/>
      <c r="D3127"/>
    </row>
    <row r="3128" spans="3:4" ht="15" customHeight="1" x14ac:dyDescent="0.25">
      <c r="C3128"/>
      <c r="D3128"/>
    </row>
    <row r="3129" spans="3:4" ht="15" customHeight="1" x14ac:dyDescent="0.25">
      <c r="C3129"/>
      <c r="D3129"/>
    </row>
    <row r="3130" spans="3:4" ht="15" customHeight="1" x14ac:dyDescent="0.25">
      <c r="C3130"/>
      <c r="D3130"/>
    </row>
    <row r="3131" spans="3:4" ht="15" customHeight="1" x14ac:dyDescent="0.25">
      <c r="C3131"/>
      <c r="D3131"/>
    </row>
    <row r="3132" spans="3:4" ht="15" customHeight="1" x14ac:dyDescent="0.25">
      <c r="C3132"/>
      <c r="D3132"/>
    </row>
    <row r="3133" spans="3:4" ht="15" customHeight="1" x14ac:dyDescent="0.25">
      <c r="C3133"/>
      <c r="D3133"/>
    </row>
    <row r="3134" spans="3:4" ht="15" customHeight="1" x14ac:dyDescent="0.25">
      <c r="C3134"/>
      <c r="D3134"/>
    </row>
    <row r="3135" spans="3:4" ht="15" customHeight="1" x14ac:dyDescent="0.25">
      <c r="C3135"/>
      <c r="D3135"/>
    </row>
    <row r="3136" spans="3:4" ht="15" customHeight="1" x14ac:dyDescent="0.25">
      <c r="C3136"/>
      <c r="D3136"/>
    </row>
    <row r="3137" spans="3:4" ht="15" customHeight="1" x14ac:dyDescent="0.25">
      <c r="C3137"/>
      <c r="D3137"/>
    </row>
    <row r="3138" spans="3:4" ht="15" customHeight="1" x14ac:dyDescent="0.25">
      <c r="C3138"/>
      <c r="D3138"/>
    </row>
    <row r="3139" spans="3:4" ht="15" customHeight="1" x14ac:dyDescent="0.25">
      <c r="C3139"/>
      <c r="D3139"/>
    </row>
    <row r="3140" spans="3:4" ht="15" customHeight="1" x14ac:dyDescent="0.25">
      <c r="C3140"/>
      <c r="D3140"/>
    </row>
    <row r="3141" spans="3:4" ht="15" customHeight="1" x14ac:dyDescent="0.25">
      <c r="C3141"/>
      <c r="D3141"/>
    </row>
    <row r="3142" spans="3:4" ht="15" customHeight="1" x14ac:dyDescent="0.25">
      <c r="C3142"/>
      <c r="D3142"/>
    </row>
    <row r="3143" spans="3:4" ht="15" customHeight="1" x14ac:dyDescent="0.25">
      <c r="C3143"/>
      <c r="D3143"/>
    </row>
    <row r="3144" spans="3:4" ht="15" customHeight="1" x14ac:dyDescent="0.25">
      <c r="C3144"/>
      <c r="D3144"/>
    </row>
    <row r="3145" spans="3:4" ht="15" customHeight="1" x14ac:dyDescent="0.25">
      <c r="C3145"/>
      <c r="D3145"/>
    </row>
    <row r="3146" spans="3:4" ht="15" customHeight="1" x14ac:dyDescent="0.25">
      <c r="C3146"/>
      <c r="D3146"/>
    </row>
    <row r="3147" spans="3:4" ht="15" customHeight="1" x14ac:dyDescent="0.25">
      <c r="C3147"/>
      <c r="D3147"/>
    </row>
    <row r="3148" spans="3:4" ht="15" customHeight="1" x14ac:dyDescent="0.25">
      <c r="C3148"/>
      <c r="D3148"/>
    </row>
    <row r="3149" spans="3:4" ht="15" customHeight="1" x14ac:dyDescent="0.25">
      <c r="C3149"/>
      <c r="D3149"/>
    </row>
    <row r="3150" spans="3:4" ht="15" customHeight="1" x14ac:dyDescent="0.25">
      <c r="C3150"/>
      <c r="D3150"/>
    </row>
    <row r="3151" spans="3:4" ht="15" customHeight="1" x14ac:dyDescent="0.25">
      <c r="C3151"/>
      <c r="D3151"/>
    </row>
    <row r="3152" spans="3:4" ht="15" customHeight="1" x14ac:dyDescent="0.25">
      <c r="C3152"/>
      <c r="D3152"/>
    </row>
    <row r="3153" spans="3:4" ht="15" customHeight="1" x14ac:dyDescent="0.25">
      <c r="C3153"/>
      <c r="D3153"/>
    </row>
    <row r="3154" spans="3:4" ht="15" customHeight="1" x14ac:dyDescent="0.25">
      <c r="C3154"/>
      <c r="D3154"/>
    </row>
    <row r="3155" spans="3:4" ht="15" customHeight="1" x14ac:dyDescent="0.25">
      <c r="C3155"/>
      <c r="D3155"/>
    </row>
    <row r="3156" spans="3:4" ht="15" customHeight="1" x14ac:dyDescent="0.25">
      <c r="C3156"/>
      <c r="D3156"/>
    </row>
    <row r="3157" spans="3:4" ht="15" customHeight="1" x14ac:dyDescent="0.25">
      <c r="C3157"/>
      <c r="D3157"/>
    </row>
    <row r="3158" spans="3:4" ht="15" customHeight="1" x14ac:dyDescent="0.25">
      <c r="C3158"/>
      <c r="D3158"/>
    </row>
    <row r="3159" spans="3:4" ht="15" customHeight="1" x14ac:dyDescent="0.25">
      <c r="C3159"/>
      <c r="D3159"/>
    </row>
    <row r="3160" spans="3:4" ht="15" customHeight="1" x14ac:dyDescent="0.25">
      <c r="C3160"/>
      <c r="D3160"/>
    </row>
    <row r="3161" spans="3:4" ht="15" customHeight="1" x14ac:dyDescent="0.25">
      <c r="C3161"/>
      <c r="D3161"/>
    </row>
    <row r="3162" spans="3:4" ht="15" customHeight="1" x14ac:dyDescent="0.25">
      <c r="C3162"/>
      <c r="D3162"/>
    </row>
    <row r="3163" spans="3:4" ht="15" customHeight="1" x14ac:dyDescent="0.25">
      <c r="C3163"/>
      <c r="D3163"/>
    </row>
    <row r="3164" spans="3:4" ht="15" customHeight="1" x14ac:dyDescent="0.25">
      <c r="C3164"/>
      <c r="D3164"/>
    </row>
    <row r="3165" spans="3:4" ht="15" customHeight="1" x14ac:dyDescent="0.25">
      <c r="C3165"/>
      <c r="D3165"/>
    </row>
    <row r="3166" spans="3:4" ht="15" customHeight="1" x14ac:dyDescent="0.25">
      <c r="C3166"/>
      <c r="D3166"/>
    </row>
    <row r="3167" spans="3:4" ht="15" customHeight="1" x14ac:dyDescent="0.25">
      <c r="C3167"/>
      <c r="D3167"/>
    </row>
    <row r="3168" spans="3:4" ht="15" customHeight="1" x14ac:dyDescent="0.25">
      <c r="C3168"/>
      <c r="D3168"/>
    </row>
    <row r="3169" spans="3:4" ht="15" customHeight="1" x14ac:dyDescent="0.25">
      <c r="C3169"/>
      <c r="D3169"/>
    </row>
    <row r="3170" spans="3:4" ht="15" customHeight="1" x14ac:dyDescent="0.25">
      <c r="C3170"/>
      <c r="D3170"/>
    </row>
    <row r="3171" spans="3:4" ht="15" customHeight="1" x14ac:dyDescent="0.25">
      <c r="C3171"/>
      <c r="D3171"/>
    </row>
    <row r="3172" spans="3:4" ht="15" customHeight="1" x14ac:dyDescent="0.25">
      <c r="C3172"/>
      <c r="D3172"/>
    </row>
    <row r="3173" spans="3:4" ht="15" customHeight="1" x14ac:dyDescent="0.25">
      <c r="C3173"/>
      <c r="D3173"/>
    </row>
    <row r="3174" spans="3:4" ht="15" customHeight="1" x14ac:dyDescent="0.25">
      <c r="C3174"/>
      <c r="D3174"/>
    </row>
    <row r="3175" spans="3:4" ht="15" customHeight="1" x14ac:dyDescent="0.25">
      <c r="C3175"/>
      <c r="D3175"/>
    </row>
    <row r="3176" spans="3:4" ht="15" customHeight="1" x14ac:dyDescent="0.25">
      <c r="C3176"/>
      <c r="D3176"/>
    </row>
    <row r="3177" spans="3:4" ht="15" customHeight="1" x14ac:dyDescent="0.25">
      <c r="C3177"/>
      <c r="D3177"/>
    </row>
    <row r="3178" spans="3:4" ht="15" customHeight="1" x14ac:dyDescent="0.25">
      <c r="C3178"/>
      <c r="D3178"/>
    </row>
    <row r="3179" spans="3:4" ht="15" customHeight="1" x14ac:dyDescent="0.25">
      <c r="C3179"/>
      <c r="D3179"/>
    </row>
    <row r="3180" spans="3:4" ht="15" customHeight="1" x14ac:dyDescent="0.25">
      <c r="C3180"/>
      <c r="D3180"/>
    </row>
    <row r="3181" spans="3:4" ht="15" customHeight="1" x14ac:dyDescent="0.25">
      <c r="C3181"/>
      <c r="D3181"/>
    </row>
    <row r="3182" spans="3:4" ht="15" customHeight="1" x14ac:dyDescent="0.25">
      <c r="C3182"/>
      <c r="D3182"/>
    </row>
    <row r="3183" spans="3:4" ht="15" customHeight="1" x14ac:dyDescent="0.25">
      <c r="C3183"/>
      <c r="D3183"/>
    </row>
    <row r="3184" spans="3:4" ht="15" customHeight="1" x14ac:dyDescent="0.25">
      <c r="C3184"/>
      <c r="D3184"/>
    </row>
    <row r="3185" spans="3:4" ht="15" customHeight="1" x14ac:dyDescent="0.25">
      <c r="C3185"/>
      <c r="D3185"/>
    </row>
    <row r="3186" spans="3:4" ht="15" customHeight="1" x14ac:dyDescent="0.25">
      <c r="C3186"/>
      <c r="D3186"/>
    </row>
    <row r="3187" spans="3:4" ht="15" customHeight="1" x14ac:dyDescent="0.25">
      <c r="C3187"/>
      <c r="D3187"/>
    </row>
    <row r="3188" spans="3:4" ht="15" customHeight="1" x14ac:dyDescent="0.25">
      <c r="C3188"/>
      <c r="D3188"/>
    </row>
    <row r="3189" spans="3:4" ht="15" customHeight="1" x14ac:dyDescent="0.25">
      <c r="C3189"/>
      <c r="D3189"/>
    </row>
    <row r="3190" spans="3:4" ht="15" customHeight="1" x14ac:dyDescent="0.25">
      <c r="C3190"/>
      <c r="D3190"/>
    </row>
    <row r="3191" spans="3:4" ht="15" customHeight="1" x14ac:dyDescent="0.25">
      <c r="C3191"/>
      <c r="D3191"/>
    </row>
    <row r="3192" spans="3:4" ht="15" customHeight="1" x14ac:dyDescent="0.25">
      <c r="C3192"/>
      <c r="D3192"/>
    </row>
    <row r="3193" spans="3:4" ht="15" customHeight="1" x14ac:dyDescent="0.25">
      <c r="C3193"/>
      <c r="D3193"/>
    </row>
    <row r="3194" spans="3:4" ht="15" customHeight="1" x14ac:dyDescent="0.25">
      <c r="C3194"/>
      <c r="D3194"/>
    </row>
    <row r="3195" spans="3:4" ht="15" customHeight="1" x14ac:dyDescent="0.25">
      <c r="C3195"/>
      <c r="D3195"/>
    </row>
    <row r="3196" spans="3:4" ht="15" customHeight="1" x14ac:dyDescent="0.25">
      <c r="C3196"/>
      <c r="D3196"/>
    </row>
    <row r="3197" spans="3:4" ht="15" customHeight="1" x14ac:dyDescent="0.25">
      <c r="C3197"/>
      <c r="D3197"/>
    </row>
    <row r="3198" spans="3:4" ht="15" customHeight="1" x14ac:dyDescent="0.25">
      <c r="C3198"/>
      <c r="D3198"/>
    </row>
    <row r="3199" spans="3:4" ht="15" customHeight="1" x14ac:dyDescent="0.25">
      <c r="C3199"/>
      <c r="D3199"/>
    </row>
    <row r="3200" spans="3:4" ht="15" customHeight="1" x14ac:dyDescent="0.25">
      <c r="C3200"/>
      <c r="D3200"/>
    </row>
    <row r="3201" spans="3:4" ht="15" customHeight="1" x14ac:dyDescent="0.25">
      <c r="C3201"/>
      <c r="D3201"/>
    </row>
    <row r="3202" spans="3:4" ht="15" customHeight="1" x14ac:dyDescent="0.25">
      <c r="C3202"/>
      <c r="D3202"/>
    </row>
    <row r="3203" spans="3:4" ht="15" customHeight="1" x14ac:dyDescent="0.25">
      <c r="C3203"/>
      <c r="D3203"/>
    </row>
    <row r="3204" spans="3:4" ht="15" customHeight="1" x14ac:dyDescent="0.25">
      <c r="C3204"/>
      <c r="D3204"/>
    </row>
    <row r="3205" spans="3:4" ht="15" customHeight="1" x14ac:dyDescent="0.25">
      <c r="C3205"/>
      <c r="D3205"/>
    </row>
    <row r="3206" spans="3:4" ht="15" customHeight="1" x14ac:dyDescent="0.25">
      <c r="C3206"/>
      <c r="D3206"/>
    </row>
    <row r="3207" spans="3:4" ht="15" customHeight="1" x14ac:dyDescent="0.25">
      <c r="C3207"/>
      <c r="D3207"/>
    </row>
    <row r="3208" spans="3:4" ht="15" customHeight="1" x14ac:dyDescent="0.25">
      <c r="C3208"/>
      <c r="D3208"/>
    </row>
    <row r="3209" spans="3:4" ht="15" customHeight="1" x14ac:dyDescent="0.25">
      <c r="C3209"/>
      <c r="D3209"/>
    </row>
    <row r="3210" spans="3:4" ht="15" customHeight="1" x14ac:dyDescent="0.25">
      <c r="C3210"/>
      <c r="D3210"/>
    </row>
    <row r="3211" spans="3:4" ht="15" customHeight="1" x14ac:dyDescent="0.25">
      <c r="C3211"/>
      <c r="D3211"/>
    </row>
    <row r="3212" spans="3:4" ht="15" customHeight="1" x14ac:dyDescent="0.25">
      <c r="C3212"/>
      <c r="D3212"/>
    </row>
    <row r="3213" spans="3:4" ht="15" customHeight="1" x14ac:dyDescent="0.25">
      <c r="C3213"/>
      <c r="D3213"/>
    </row>
    <row r="3214" spans="3:4" ht="15" customHeight="1" x14ac:dyDescent="0.25">
      <c r="C3214"/>
      <c r="D3214"/>
    </row>
    <row r="3215" spans="3:4" ht="15" customHeight="1" x14ac:dyDescent="0.25">
      <c r="C3215"/>
      <c r="D3215"/>
    </row>
    <row r="3216" spans="3:4" ht="15" customHeight="1" x14ac:dyDescent="0.25">
      <c r="C3216"/>
      <c r="D3216"/>
    </row>
    <row r="3217" spans="3:4" ht="15" customHeight="1" x14ac:dyDescent="0.25">
      <c r="C3217"/>
      <c r="D3217"/>
    </row>
    <row r="3218" spans="3:4" ht="15" customHeight="1" x14ac:dyDescent="0.25">
      <c r="C3218"/>
      <c r="D3218"/>
    </row>
    <row r="3219" spans="3:4" ht="15" customHeight="1" x14ac:dyDescent="0.25">
      <c r="C3219"/>
      <c r="D3219"/>
    </row>
    <row r="3220" spans="3:4" ht="15" customHeight="1" x14ac:dyDescent="0.25">
      <c r="C3220"/>
      <c r="D3220"/>
    </row>
    <row r="3221" spans="3:4" ht="15" customHeight="1" x14ac:dyDescent="0.25">
      <c r="C3221"/>
      <c r="D3221"/>
    </row>
    <row r="3222" spans="3:4" ht="15" customHeight="1" x14ac:dyDescent="0.25">
      <c r="C3222"/>
      <c r="D3222"/>
    </row>
    <row r="3223" spans="3:4" ht="15" customHeight="1" x14ac:dyDescent="0.25">
      <c r="C3223"/>
      <c r="D3223"/>
    </row>
    <row r="3224" spans="3:4" ht="15" customHeight="1" x14ac:dyDescent="0.25">
      <c r="C3224"/>
      <c r="D3224"/>
    </row>
    <row r="3225" spans="3:4" ht="15" customHeight="1" x14ac:dyDescent="0.25">
      <c r="C3225"/>
      <c r="D3225"/>
    </row>
    <row r="3226" spans="3:4" ht="15" customHeight="1" x14ac:dyDescent="0.25">
      <c r="C3226"/>
      <c r="D3226"/>
    </row>
    <row r="3227" spans="3:4" ht="15" customHeight="1" x14ac:dyDescent="0.25">
      <c r="C3227"/>
      <c r="D3227"/>
    </row>
    <row r="3228" spans="3:4" ht="15" customHeight="1" x14ac:dyDescent="0.25">
      <c r="C3228"/>
      <c r="D3228"/>
    </row>
    <row r="3229" spans="3:4" ht="15" customHeight="1" x14ac:dyDescent="0.25">
      <c r="C3229"/>
      <c r="D3229"/>
    </row>
    <row r="3230" spans="3:4" ht="15" customHeight="1" x14ac:dyDescent="0.25">
      <c r="C3230"/>
      <c r="D3230"/>
    </row>
    <row r="3231" spans="3:4" ht="15" customHeight="1" x14ac:dyDescent="0.25">
      <c r="C3231"/>
      <c r="D3231"/>
    </row>
    <row r="3232" spans="3:4" ht="15" customHeight="1" x14ac:dyDescent="0.25">
      <c r="C3232"/>
      <c r="D3232"/>
    </row>
    <row r="3233" spans="3:4" ht="15" customHeight="1" x14ac:dyDescent="0.25">
      <c r="C3233"/>
      <c r="D3233"/>
    </row>
    <row r="3234" spans="3:4" ht="15" customHeight="1" x14ac:dyDescent="0.25">
      <c r="C3234"/>
      <c r="D3234"/>
    </row>
    <row r="3235" spans="3:4" ht="15" customHeight="1" x14ac:dyDescent="0.25">
      <c r="C3235"/>
      <c r="D3235"/>
    </row>
    <row r="3236" spans="3:4" ht="15" customHeight="1" x14ac:dyDescent="0.25">
      <c r="C3236"/>
      <c r="D3236"/>
    </row>
    <row r="3237" spans="3:4" ht="15" customHeight="1" x14ac:dyDescent="0.25">
      <c r="C3237"/>
      <c r="D3237"/>
    </row>
    <row r="3238" spans="3:4" ht="15" customHeight="1" x14ac:dyDescent="0.25">
      <c r="C3238"/>
      <c r="D3238"/>
    </row>
    <row r="3239" spans="3:4" ht="15" customHeight="1" x14ac:dyDescent="0.25">
      <c r="C3239"/>
      <c r="D3239"/>
    </row>
    <row r="3240" spans="3:4" ht="15" customHeight="1" x14ac:dyDescent="0.25">
      <c r="C3240"/>
      <c r="D3240"/>
    </row>
    <row r="3241" spans="3:4" ht="15" customHeight="1" x14ac:dyDescent="0.25">
      <c r="C3241"/>
      <c r="D3241"/>
    </row>
    <row r="3242" spans="3:4" ht="15" customHeight="1" x14ac:dyDescent="0.25">
      <c r="C3242"/>
      <c r="D3242"/>
    </row>
    <row r="3243" spans="3:4" ht="15" customHeight="1" x14ac:dyDescent="0.25">
      <c r="C3243"/>
      <c r="D3243"/>
    </row>
    <row r="3244" spans="3:4" ht="15" customHeight="1" x14ac:dyDescent="0.25">
      <c r="C3244"/>
      <c r="D3244"/>
    </row>
    <row r="3245" spans="3:4" ht="15" customHeight="1" x14ac:dyDescent="0.25">
      <c r="C3245"/>
      <c r="D3245"/>
    </row>
    <row r="3246" spans="3:4" ht="15" customHeight="1" x14ac:dyDescent="0.25">
      <c r="C3246"/>
      <c r="D3246"/>
    </row>
    <row r="3247" spans="3:4" ht="15" customHeight="1" x14ac:dyDescent="0.25">
      <c r="C3247"/>
      <c r="D3247"/>
    </row>
    <row r="3248" spans="3:4" ht="15" customHeight="1" x14ac:dyDescent="0.25">
      <c r="C3248"/>
      <c r="D3248"/>
    </row>
    <row r="3249" spans="3:4" ht="15" customHeight="1" x14ac:dyDescent="0.25">
      <c r="C3249"/>
      <c r="D3249"/>
    </row>
    <row r="3250" spans="3:4" ht="15" customHeight="1" x14ac:dyDescent="0.25">
      <c r="C3250"/>
      <c r="D3250"/>
    </row>
    <row r="3251" spans="3:4" ht="15" customHeight="1" x14ac:dyDescent="0.25">
      <c r="C3251"/>
      <c r="D3251"/>
    </row>
    <row r="3252" spans="3:4" ht="15" customHeight="1" x14ac:dyDescent="0.25">
      <c r="C3252"/>
      <c r="D3252"/>
    </row>
    <row r="3253" spans="3:4" ht="15" customHeight="1" x14ac:dyDescent="0.25">
      <c r="C3253"/>
      <c r="D3253"/>
    </row>
    <row r="3254" spans="3:4" ht="15" customHeight="1" x14ac:dyDescent="0.25">
      <c r="C3254"/>
      <c r="D3254"/>
    </row>
    <row r="3255" spans="3:4" ht="15" customHeight="1" x14ac:dyDescent="0.25">
      <c r="C3255"/>
      <c r="D3255"/>
    </row>
    <row r="3256" spans="3:4" ht="15" customHeight="1" x14ac:dyDescent="0.25">
      <c r="C3256"/>
      <c r="D3256"/>
    </row>
    <row r="3257" spans="3:4" ht="15" customHeight="1" x14ac:dyDescent="0.25">
      <c r="C3257"/>
      <c r="D3257"/>
    </row>
    <row r="3258" spans="3:4" ht="15" customHeight="1" x14ac:dyDescent="0.25">
      <c r="C3258"/>
      <c r="D3258"/>
    </row>
    <row r="3259" spans="3:4" ht="15" customHeight="1" x14ac:dyDescent="0.25">
      <c r="C3259"/>
      <c r="D3259"/>
    </row>
    <row r="3260" spans="3:4" ht="15" customHeight="1" x14ac:dyDescent="0.25">
      <c r="C3260"/>
      <c r="D3260"/>
    </row>
    <row r="3261" spans="3:4" ht="15" customHeight="1" x14ac:dyDescent="0.25">
      <c r="C3261"/>
      <c r="D3261"/>
    </row>
    <row r="3262" spans="3:4" ht="15" customHeight="1" x14ac:dyDescent="0.25">
      <c r="C3262"/>
      <c r="D3262"/>
    </row>
    <row r="3263" spans="3:4" ht="15" customHeight="1" x14ac:dyDescent="0.25">
      <c r="C3263"/>
      <c r="D3263"/>
    </row>
    <row r="3264" spans="3:4" ht="15" customHeight="1" x14ac:dyDescent="0.25">
      <c r="C3264"/>
      <c r="D3264"/>
    </row>
    <row r="3265" spans="3:4" ht="15" customHeight="1" x14ac:dyDescent="0.25">
      <c r="C3265"/>
      <c r="D3265"/>
    </row>
    <row r="3266" spans="3:4" ht="15" customHeight="1" x14ac:dyDescent="0.25">
      <c r="C3266"/>
      <c r="D3266"/>
    </row>
    <row r="3267" spans="3:4" ht="15" customHeight="1" x14ac:dyDescent="0.25">
      <c r="C3267"/>
      <c r="D3267"/>
    </row>
    <row r="3268" spans="3:4" ht="15" customHeight="1" x14ac:dyDescent="0.25">
      <c r="C3268"/>
      <c r="D3268"/>
    </row>
    <row r="3269" spans="3:4" ht="15" customHeight="1" x14ac:dyDescent="0.25">
      <c r="C3269"/>
      <c r="D3269"/>
    </row>
    <row r="3270" spans="3:4" ht="15" customHeight="1" x14ac:dyDescent="0.25">
      <c r="C3270"/>
      <c r="D3270"/>
    </row>
    <row r="3271" spans="3:4" ht="15" customHeight="1" x14ac:dyDescent="0.25">
      <c r="C3271"/>
      <c r="D3271"/>
    </row>
    <row r="3272" spans="3:4" ht="15" customHeight="1" x14ac:dyDescent="0.25">
      <c r="C3272"/>
      <c r="D3272"/>
    </row>
    <row r="3273" spans="3:4" ht="15" customHeight="1" x14ac:dyDescent="0.25">
      <c r="C3273"/>
      <c r="D3273"/>
    </row>
    <row r="3274" spans="3:4" ht="15" customHeight="1" x14ac:dyDescent="0.25">
      <c r="C3274"/>
      <c r="D3274"/>
    </row>
    <row r="3275" spans="3:4" ht="15" customHeight="1" x14ac:dyDescent="0.25">
      <c r="C3275"/>
      <c r="D3275"/>
    </row>
    <row r="3276" spans="3:4" ht="15" customHeight="1" x14ac:dyDescent="0.25">
      <c r="C3276"/>
      <c r="D3276"/>
    </row>
    <row r="3277" spans="3:4" ht="15" customHeight="1" x14ac:dyDescent="0.25">
      <c r="C3277"/>
      <c r="D3277"/>
    </row>
    <row r="3278" spans="3:4" ht="15" customHeight="1" x14ac:dyDescent="0.25">
      <c r="C3278"/>
      <c r="D3278"/>
    </row>
    <row r="3279" spans="3:4" ht="15" customHeight="1" x14ac:dyDescent="0.25">
      <c r="C3279"/>
      <c r="D3279"/>
    </row>
    <row r="3280" spans="3:4" ht="15" customHeight="1" x14ac:dyDescent="0.25">
      <c r="C3280"/>
      <c r="D3280"/>
    </row>
    <row r="3281" spans="3:4" ht="15" customHeight="1" x14ac:dyDescent="0.25">
      <c r="C3281"/>
      <c r="D3281"/>
    </row>
    <row r="3282" spans="3:4" ht="15" customHeight="1" x14ac:dyDescent="0.25">
      <c r="C3282"/>
      <c r="D3282"/>
    </row>
    <row r="3283" spans="3:4" ht="15" customHeight="1" x14ac:dyDescent="0.25">
      <c r="C3283"/>
      <c r="D3283"/>
    </row>
    <row r="3284" spans="3:4" ht="15" customHeight="1" x14ac:dyDescent="0.25">
      <c r="C3284"/>
      <c r="D3284"/>
    </row>
    <row r="3285" spans="3:4" ht="15" customHeight="1" x14ac:dyDescent="0.25">
      <c r="C3285"/>
      <c r="D3285"/>
    </row>
    <row r="3286" spans="3:4" ht="15" customHeight="1" x14ac:dyDescent="0.25">
      <c r="C3286"/>
      <c r="D3286"/>
    </row>
    <row r="3287" spans="3:4" ht="15" customHeight="1" x14ac:dyDescent="0.25">
      <c r="C3287"/>
      <c r="D3287"/>
    </row>
    <row r="3288" spans="3:4" ht="15" customHeight="1" x14ac:dyDescent="0.25">
      <c r="C3288"/>
      <c r="D3288"/>
    </row>
    <row r="3289" spans="3:4" ht="15" customHeight="1" x14ac:dyDescent="0.25">
      <c r="C3289"/>
      <c r="D3289"/>
    </row>
    <row r="3290" spans="3:4" ht="15" customHeight="1" x14ac:dyDescent="0.25">
      <c r="C3290"/>
      <c r="D3290"/>
    </row>
    <row r="3291" spans="3:4" ht="15" customHeight="1" x14ac:dyDescent="0.25">
      <c r="C3291"/>
      <c r="D3291"/>
    </row>
    <row r="3292" spans="3:4" ht="15" customHeight="1" x14ac:dyDescent="0.25">
      <c r="C3292"/>
      <c r="D3292"/>
    </row>
    <row r="3293" spans="3:4" ht="15" customHeight="1" x14ac:dyDescent="0.25">
      <c r="C3293"/>
      <c r="D3293"/>
    </row>
    <row r="3294" spans="3:4" ht="15" customHeight="1" x14ac:dyDescent="0.25">
      <c r="C3294"/>
      <c r="D3294"/>
    </row>
    <row r="3295" spans="3:4" ht="15" customHeight="1" x14ac:dyDescent="0.25">
      <c r="C3295"/>
      <c r="D3295"/>
    </row>
    <row r="3296" spans="3:4" ht="15" customHeight="1" x14ac:dyDescent="0.25">
      <c r="C3296"/>
      <c r="D3296"/>
    </row>
    <row r="3297" spans="3:4" ht="15" customHeight="1" x14ac:dyDescent="0.25">
      <c r="C3297"/>
      <c r="D3297"/>
    </row>
    <row r="3298" spans="3:4" ht="15" customHeight="1" x14ac:dyDescent="0.25">
      <c r="C3298"/>
      <c r="D3298"/>
    </row>
    <row r="3299" spans="3:4" ht="15" customHeight="1" x14ac:dyDescent="0.25">
      <c r="C3299"/>
      <c r="D3299"/>
    </row>
    <row r="3300" spans="3:4" ht="15" customHeight="1" x14ac:dyDescent="0.25">
      <c r="C3300"/>
      <c r="D3300"/>
    </row>
    <row r="3301" spans="3:4" ht="15" customHeight="1" x14ac:dyDescent="0.25">
      <c r="C3301"/>
      <c r="D3301"/>
    </row>
    <row r="3302" spans="3:4" ht="15" customHeight="1" x14ac:dyDescent="0.25">
      <c r="C3302"/>
      <c r="D3302"/>
    </row>
    <row r="3303" spans="3:4" ht="15" customHeight="1" x14ac:dyDescent="0.25">
      <c r="C3303"/>
      <c r="D3303"/>
    </row>
    <row r="3304" spans="3:4" ht="15" customHeight="1" x14ac:dyDescent="0.25">
      <c r="C3304"/>
      <c r="D3304"/>
    </row>
    <row r="3305" spans="3:4" ht="15" customHeight="1" x14ac:dyDescent="0.25">
      <c r="C3305"/>
      <c r="D3305"/>
    </row>
    <row r="3306" spans="3:4" ht="15" customHeight="1" x14ac:dyDescent="0.25">
      <c r="C3306"/>
      <c r="D3306"/>
    </row>
    <row r="3307" spans="3:4" ht="15" customHeight="1" x14ac:dyDescent="0.25">
      <c r="C3307"/>
      <c r="D3307"/>
    </row>
    <row r="3308" spans="3:4" ht="15" customHeight="1" x14ac:dyDescent="0.25">
      <c r="C3308"/>
      <c r="D3308"/>
    </row>
    <row r="3309" spans="3:4" ht="15" customHeight="1" x14ac:dyDescent="0.25">
      <c r="C3309"/>
      <c r="D3309"/>
    </row>
    <row r="3310" spans="3:4" ht="15" customHeight="1" x14ac:dyDescent="0.25">
      <c r="C3310"/>
      <c r="D3310"/>
    </row>
    <row r="3311" spans="3:4" ht="15" customHeight="1" x14ac:dyDescent="0.25">
      <c r="C3311"/>
      <c r="D3311"/>
    </row>
    <row r="3312" spans="3:4" ht="15" customHeight="1" x14ac:dyDescent="0.25">
      <c r="C3312"/>
      <c r="D3312"/>
    </row>
    <row r="3313" spans="3:4" ht="15" customHeight="1" x14ac:dyDescent="0.25">
      <c r="C3313"/>
      <c r="D3313"/>
    </row>
    <row r="3314" spans="3:4" ht="15" customHeight="1" x14ac:dyDescent="0.25">
      <c r="C3314"/>
      <c r="D3314"/>
    </row>
    <row r="3315" spans="3:4" ht="15" customHeight="1" x14ac:dyDescent="0.25">
      <c r="C3315"/>
      <c r="D3315"/>
    </row>
    <row r="3316" spans="3:4" ht="15" customHeight="1" x14ac:dyDescent="0.25">
      <c r="C3316"/>
      <c r="D3316"/>
    </row>
    <row r="3317" spans="3:4" ht="15" customHeight="1" x14ac:dyDescent="0.25">
      <c r="C3317"/>
      <c r="D3317"/>
    </row>
    <row r="3318" spans="3:4" ht="15" customHeight="1" x14ac:dyDescent="0.25">
      <c r="C3318"/>
      <c r="D3318"/>
    </row>
    <row r="3319" spans="3:4" ht="15" customHeight="1" x14ac:dyDescent="0.25">
      <c r="C3319"/>
      <c r="D3319"/>
    </row>
    <row r="3320" spans="3:4" ht="15" customHeight="1" x14ac:dyDescent="0.25">
      <c r="C3320"/>
      <c r="D3320"/>
    </row>
    <row r="3321" spans="3:4" ht="15" customHeight="1" x14ac:dyDescent="0.25">
      <c r="C3321"/>
      <c r="D3321"/>
    </row>
    <row r="3322" spans="3:4" ht="15" customHeight="1" x14ac:dyDescent="0.25">
      <c r="C3322"/>
      <c r="D3322"/>
    </row>
    <row r="3323" spans="3:4" ht="15" customHeight="1" x14ac:dyDescent="0.25">
      <c r="C3323"/>
      <c r="D3323"/>
    </row>
    <row r="3324" spans="3:4" ht="15" customHeight="1" x14ac:dyDescent="0.25">
      <c r="C3324"/>
      <c r="D3324"/>
    </row>
    <row r="3325" spans="3:4" ht="15" customHeight="1" x14ac:dyDescent="0.25">
      <c r="C3325"/>
      <c r="D3325"/>
    </row>
    <row r="3326" spans="3:4" ht="15" customHeight="1" x14ac:dyDescent="0.25">
      <c r="C3326"/>
      <c r="D3326"/>
    </row>
    <row r="3327" spans="3:4" ht="15" customHeight="1" x14ac:dyDescent="0.25">
      <c r="C3327"/>
      <c r="D3327"/>
    </row>
    <row r="3328" spans="3:4" ht="15" customHeight="1" x14ac:dyDescent="0.25">
      <c r="C3328"/>
      <c r="D3328"/>
    </row>
    <row r="3329" spans="3:4" ht="15" customHeight="1" x14ac:dyDescent="0.25">
      <c r="C3329"/>
      <c r="D3329"/>
    </row>
    <row r="3330" spans="3:4" ht="15" customHeight="1" x14ac:dyDescent="0.25">
      <c r="C3330"/>
      <c r="D3330"/>
    </row>
    <row r="3331" spans="3:4" ht="15" customHeight="1" x14ac:dyDescent="0.25">
      <c r="C3331"/>
      <c r="D3331"/>
    </row>
    <row r="3332" spans="3:4" ht="15" customHeight="1" x14ac:dyDescent="0.25">
      <c r="C3332"/>
      <c r="D3332"/>
    </row>
    <row r="3333" spans="3:4" ht="15" customHeight="1" x14ac:dyDescent="0.25">
      <c r="C3333"/>
      <c r="D3333"/>
    </row>
    <row r="3334" spans="3:4" ht="15" customHeight="1" x14ac:dyDescent="0.25">
      <c r="C3334"/>
      <c r="D3334"/>
    </row>
    <row r="3335" spans="3:4" ht="15" customHeight="1" x14ac:dyDescent="0.25">
      <c r="C3335"/>
      <c r="D3335"/>
    </row>
    <row r="3336" spans="3:4" ht="15" customHeight="1" x14ac:dyDescent="0.25">
      <c r="C3336"/>
      <c r="D3336"/>
    </row>
    <row r="3337" spans="3:4" ht="15" customHeight="1" x14ac:dyDescent="0.25">
      <c r="C3337"/>
      <c r="D3337"/>
    </row>
    <row r="3338" spans="3:4" ht="15" customHeight="1" x14ac:dyDescent="0.25">
      <c r="C3338"/>
      <c r="D3338"/>
    </row>
    <row r="3339" spans="3:4" ht="15" customHeight="1" x14ac:dyDescent="0.25">
      <c r="C3339"/>
      <c r="D3339"/>
    </row>
    <row r="3340" spans="3:4" ht="15" customHeight="1" x14ac:dyDescent="0.25">
      <c r="C3340"/>
      <c r="D3340"/>
    </row>
    <row r="3341" spans="3:4" ht="15" customHeight="1" x14ac:dyDescent="0.25">
      <c r="C3341"/>
      <c r="D3341"/>
    </row>
    <row r="3342" spans="3:4" ht="15" customHeight="1" x14ac:dyDescent="0.25">
      <c r="C3342"/>
      <c r="D3342"/>
    </row>
    <row r="3343" spans="3:4" ht="15" customHeight="1" x14ac:dyDescent="0.25">
      <c r="C3343"/>
      <c r="D3343"/>
    </row>
    <row r="3344" spans="3:4" ht="15" customHeight="1" x14ac:dyDescent="0.25">
      <c r="C3344"/>
      <c r="D3344"/>
    </row>
    <row r="3345" spans="3:4" ht="15" customHeight="1" x14ac:dyDescent="0.25">
      <c r="C3345"/>
      <c r="D3345"/>
    </row>
    <row r="3346" spans="3:4" ht="15" customHeight="1" x14ac:dyDescent="0.25">
      <c r="C3346"/>
      <c r="D3346"/>
    </row>
    <row r="3347" spans="3:4" ht="15" customHeight="1" x14ac:dyDescent="0.25">
      <c r="C3347"/>
      <c r="D3347"/>
    </row>
    <row r="3348" spans="3:4" ht="15" customHeight="1" x14ac:dyDescent="0.25">
      <c r="C3348"/>
      <c r="D3348"/>
    </row>
    <row r="3349" spans="3:4" ht="15" customHeight="1" x14ac:dyDescent="0.25">
      <c r="C3349"/>
      <c r="D3349"/>
    </row>
    <row r="3350" spans="3:4" ht="15" customHeight="1" x14ac:dyDescent="0.25">
      <c r="C3350"/>
      <c r="D3350"/>
    </row>
    <row r="3351" spans="3:4" ht="15" customHeight="1" x14ac:dyDescent="0.25">
      <c r="C3351"/>
      <c r="D3351"/>
    </row>
    <row r="3352" spans="3:4" ht="15" customHeight="1" x14ac:dyDescent="0.25">
      <c r="C3352"/>
      <c r="D3352"/>
    </row>
    <row r="3353" spans="3:4" ht="15" customHeight="1" x14ac:dyDescent="0.25">
      <c r="C3353"/>
      <c r="D3353"/>
    </row>
    <row r="3354" spans="3:4" ht="15" customHeight="1" x14ac:dyDescent="0.25">
      <c r="C3354"/>
      <c r="D3354"/>
    </row>
    <row r="3355" spans="3:4" ht="15" customHeight="1" x14ac:dyDescent="0.25">
      <c r="C3355"/>
      <c r="D3355"/>
    </row>
    <row r="3356" spans="3:4" ht="15" customHeight="1" x14ac:dyDescent="0.25">
      <c r="C3356"/>
      <c r="D3356"/>
    </row>
    <row r="3357" spans="3:4" ht="15" customHeight="1" x14ac:dyDescent="0.25">
      <c r="C3357"/>
      <c r="D3357"/>
    </row>
    <row r="3358" spans="3:4" ht="15" customHeight="1" x14ac:dyDescent="0.25">
      <c r="C3358"/>
      <c r="D3358"/>
    </row>
    <row r="3359" spans="3:4" ht="15" customHeight="1" x14ac:dyDescent="0.25">
      <c r="C3359"/>
      <c r="D3359"/>
    </row>
    <row r="3360" spans="3:4" ht="15" customHeight="1" x14ac:dyDescent="0.25">
      <c r="C3360"/>
      <c r="D3360"/>
    </row>
    <row r="3361" spans="3:4" ht="15" customHeight="1" x14ac:dyDescent="0.25">
      <c r="C3361"/>
      <c r="D3361"/>
    </row>
    <row r="3362" spans="3:4" ht="15" customHeight="1" x14ac:dyDescent="0.25">
      <c r="C3362"/>
      <c r="D3362"/>
    </row>
    <row r="3363" spans="3:4" ht="15" customHeight="1" x14ac:dyDescent="0.25">
      <c r="C3363"/>
      <c r="D3363"/>
    </row>
    <row r="3364" spans="3:4" ht="15" customHeight="1" x14ac:dyDescent="0.25">
      <c r="C3364"/>
      <c r="D3364"/>
    </row>
    <row r="3365" spans="3:4" ht="15" customHeight="1" x14ac:dyDescent="0.25">
      <c r="C3365"/>
      <c r="D3365"/>
    </row>
    <row r="3366" spans="3:4" ht="15" customHeight="1" x14ac:dyDescent="0.25">
      <c r="C3366"/>
      <c r="D3366"/>
    </row>
    <row r="3367" spans="3:4" ht="15" customHeight="1" x14ac:dyDescent="0.25">
      <c r="C3367"/>
      <c r="D3367"/>
    </row>
    <row r="3368" spans="3:4" ht="15" customHeight="1" x14ac:dyDescent="0.25">
      <c r="C3368"/>
      <c r="D3368"/>
    </row>
    <row r="3369" spans="3:4" ht="15" customHeight="1" x14ac:dyDescent="0.25">
      <c r="C3369"/>
      <c r="D3369"/>
    </row>
    <row r="3370" spans="3:4" ht="15" customHeight="1" x14ac:dyDescent="0.25">
      <c r="C3370"/>
      <c r="D3370"/>
    </row>
    <row r="3371" spans="3:4" ht="15" customHeight="1" x14ac:dyDescent="0.25">
      <c r="C3371"/>
      <c r="D3371"/>
    </row>
    <row r="3372" spans="3:4" ht="15" customHeight="1" x14ac:dyDescent="0.25">
      <c r="C3372"/>
      <c r="D3372"/>
    </row>
    <row r="3373" spans="3:4" ht="15" customHeight="1" x14ac:dyDescent="0.25">
      <c r="C3373"/>
      <c r="D3373"/>
    </row>
    <row r="3374" spans="3:4" ht="15" customHeight="1" x14ac:dyDescent="0.25">
      <c r="C3374"/>
      <c r="D3374"/>
    </row>
    <row r="3375" spans="3:4" ht="15" customHeight="1" x14ac:dyDescent="0.25">
      <c r="C3375"/>
      <c r="D3375"/>
    </row>
    <row r="3376" spans="3:4" ht="15" customHeight="1" x14ac:dyDescent="0.25">
      <c r="C3376"/>
      <c r="D3376"/>
    </row>
    <row r="3377" spans="3:4" ht="15" customHeight="1" x14ac:dyDescent="0.25">
      <c r="C3377"/>
      <c r="D3377"/>
    </row>
    <row r="3378" spans="3:4" ht="15" customHeight="1" x14ac:dyDescent="0.25">
      <c r="C3378"/>
      <c r="D3378"/>
    </row>
    <row r="3379" spans="3:4" ht="15" customHeight="1" x14ac:dyDescent="0.25">
      <c r="C3379"/>
      <c r="D3379"/>
    </row>
    <row r="3380" spans="3:4" ht="15" customHeight="1" x14ac:dyDescent="0.25">
      <c r="C3380"/>
      <c r="D3380"/>
    </row>
    <row r="3381" spans="3:4" ht="15" customHeight="1" x14ac:dyDescent="0.25">
      <c r="C3381"/>
      <c r="D3381"/>
    </row>
    <row r="3382" spans="3:4" ht="15" customHeight="1" x14ac:dyDescent="0.25">
      <c r="C3382"/>
      <c r="D3382"/>
    </row>
    <row r="3383" spans="3:4" ht="15" customHeight="1" x14ac:dyDescent="0.25">
      <c r="C3383"/>
      <c r="D3383"/>
    </row>
    <row r="3384" spans="3:4" ht="15" customHeight="1" x14ac:dyDescent="0.25">
      <c r="C3384"/>
      <c r="D3384"/>
    </row>
    <row r="3385" spans="3:4" ht="15" customHeight="1" x14ac:dyDescent="0.25">
      <c r="C3385"/>
      <c r="D3385"/>
    </row>
    <row r="3386" spans="3:4" ht="15" customHeight="1" x14ac:dyDescent="0.25">
      <c r="C3386"/>
      <c r="D3386"/>
    </row>
    <row r="3387" spans="3:4" ht="15" customHeight="1" x14ac:dyDescent="0.25">
      <c r="C3387"/>
      <c r="D3387"/>
    </row>
    <row r="3388" spans="3:4" ht="15" customHeight="1" x14ac:dyDescent="0.25">
      <c r="C3388"/>
      <c r="D3388"/>
    </row>
    <row r="3389" spans="3:4" ht="15" customHeight="1" x14ac:dyDescent="0.25">
      <c r="C3389"/>
      <c r="D3389"/>
    </row>
    <row r="3390" spans="3:4" ht="15" customHeight="1" x14ac:dyDescent="0.25">
      <c r="C3390"/>
      <c r="D3390"/>
    </row>
    <row r="3391" spans="3:4" ht="15" customHeight="1" x14ac:dyDescent="0.25">
      <c r="C3391"/>
      <c r="D3391"/>
    </row>
    <row r="3392" spans="3:4" ht="15" customHeight="1" x14ac:dyDescent="0.25">
      <c r="C3392"/>
      <c r="D3392"/>
    </row>
    <row r="3393" spans="3:4" ht="15" customHeight="1" x14ac:dyDescent="0.25">
      <c r="C3393"/>
      <c r="D3393"/>
    </row>
    <row r="3394" spans="3:4" ht="15" customHeight="1" x14ac:dyDescent="0.25">
      <c r="C3394"/>
      <c r="D3394"/>
    </row>
    <row r="3395" spans="3:4" ht="15" customHeight="1" x14ac:dyDescent="0.25">
      <c r="C3395"/>
      <c r="D3395"/>
    </row>
    <row r="3396" spans="3:4" ht="15" customHeight="1" x14ac:dyDescent="0.25">
      <c r="C3396"/>
      <c r="D3396"/>
    </row>
    <row r="3397" spans="3:4" ht="15" customHeight="1" x14ac:dyDescent="0.25">
      <c r="C3397"/>
      <c r="D3397"/>
    </row>
    <row r="3398" spans="3:4" ht="15" customHeight="1" x14ac:dyDescent="0.25">
      <c r="C3398"/>
      <c r="D3398"/>
    </row>
    <row r="3399" spans="3:4" ht="15" customHeight="1" x14ac:dyDescent="0.25">
      <c r="C3399"/>
      <c r="D3399"/>
    </row>
    <row r="3400" spans="3:4" ht="15" customHeight="1" x14ac:dyDescent="0.25">
      <c r="C3400"/>
      <c r="D3400"/>
    </row>
    <row r="3401" spans="3:4" ht="15" customHeight="1" x14ac:dyDescent="0.25">
      <c r="C3401"/>
      <c r="D3401"/>
    </row>
    <row r="3402" spans="3:4" ht="15" customHeight="1" x14ac:dyDescent="0.25">
      <c r="C3402"/>
      <c r="D3402"/>
    </row>
    <row r="3403" spans="3:4" ht="15" customHeight="1" x14ac:dyDescent="0.25">
      <c r="C3403"/>
      <c r="D3403"/>
    </row>
    <row r="3404" spans="3:4" ht="15" customHeight="1" x14ac:dyDescent="0.25">
      <c r="C3404"/>
      <c r="D3404"/>
    </row>
    <row r="3405" spans="3:4" ht="15" customHeight="1" x14ac:dyDescent="0.25">
      <c r="C3405"/>
      <c r="D3405"/>
    </row>
    <row r="3406" spans="3:4" ht="15" customHeight="1" x14ac:dyDescent="0.25">
      <c r="C3406"/>
      <c r="D3406"/>
    </row>
    <row r="3407" spans="3:4" ht="15" customHeight="1" x14ac:dyDescent="0.25">
      <c r="C3407"/>
      <c r="D3407"/>
    </row>
    <row r="3408" spans="3:4" ht="15" customHeight="1" x14ac:dyDescent="0.25">
      <c r="C3408"/>
      <c r="D3408"/>
    </row>
    <row r="3409" spans="3:4" ht="15" customHeight="1" x14ac:dyDescent="0.25">
      <c r="C3409"/>
      <c r="D3409"/>
    </row>
    <row r="3410" spans="3:4" ht="15" customHeight="1" x14ac:dyDescent="0.25">
      <c r="C3410"/>
      <c r="D3410"/>
    </row>
    <row r="3411" spans="3:4" ht="15" customHeight="1" x14ac:dyDescent="0.25">
      <c r="C3411"/>
      <c r="D3411"/>
    </row>
    <row r="3412" spans="3:4" ht="15" customHeight="1" x14ac:dyDescent="0.25">
      <c r="C3412"/>
      <c r="D3412"/>
    </row>
    <row r="3413" spans="3:4" ht="15" customHeight="1" x14ac:dyDescent="0.25">
      <c r="C3413"/>
      <c r="D3413"/>
    </row>
    <row r="3414" spans="3:4" ht="15" customHeight="1" x14ac:dyDescent="0.25">
      <c r="C3414"/>
      <c r="D3414"/>
    </row>
    <row r="3415" spans="3:4" ht="15" customHeight="1" x14ac:dyDescent="0.25">
      <c r="C3415"/>
      <c r="D3415"/>
    </row>
    <row r="3416" spans="3:4" ht="15" customHeight="1" x14ac:dyDescent="0.25">
      <c r="C3416"/>
      <c r="D3416"/>
    </row>
    <row r="3417" spans="3:4" ht="15" customHeight="1" x14ac:dyDescent="0.25">
      <c r="C3417"/>
      <c r="D3417"/>
    </row>
    <row r="3418" spans="3:4" ht="15" customHeight="1" x14ac:dyDescent="0.25">
      <c r="C3418"/>
      <c r="D3418"/>
    </row>
    <row r="3419" spans="3:4" ht="15" customHeight="1" x14ac:dyDescent="0.25">
      <c r="C3419"/>
      <c r="D3419"/>
    </row>
    <row r="3420" spans="3:4" ht="15" customHeight="1" x14ac:dyDescent="0.25">
      <c r="C3420"/>
      <c r="D3420"/>
    </row>
    <row r="3421" spans="3:4" ht="15" customHeight="1" x14ac:dyDescent="0.25">
      <c r="C3421"/>
      <c r="D3421"/>
    </row>
    <row r="3422" spans="3:4" ht="15" customHeight="1" x14ac:dyDescent="0.25">
      <c r="C3422"/>
      <c r="D3422"/>
    </row>
    <row r="3423" spans="3:4" ht="15" customHeight="1" x14ac:dyDescent="0.25">
      <c r="C3423"/>
      <c r="D3423"/>
    </row>
    <row r="3424" spans="3:4" ht="15" customHeight="1" x14ac:dyDescent="0.25">
      <c r="C3424"/>
      <c r="D3424"/>
    </row>
    <row r="3425" spans="3:4" ht="15" customHeight="1" x14ac:dyDescent="0.25">
      <c r="C3425"/>
      <c r="D3425"/>
    </row>
    <row r="3426" spans="3:4" ht="15" customHeight="1" x14ac:dyDescent="0.25">
      <c r="C3426"/>
      <c r="D3426"/>
    </row>
    <row r="3427" spans="3:4" ht="15" customHeight="1" x14ac:dyDescent="0.25">
      <c r="C3427"/>
      <c r="D3427"/>
    </row>
    <row r="3428" spans="3:4" ht="15" customHeight="1" x14ac:dyDescent="0.25">
      <c r="C3428"/>
      <c r="D3428"/>
    </row>
    <row r="3429" spans="3:4" ht="15" customHeight="1" x14ac:dyDescent="0.25">
      <c r="C3429"/>
      <c r="D3429"/>
    </row>
    <row r="3430" spans="3:4" ht="15" customHeight="1" x14ac:dyDescent="0.25">
      <c r="C3430"/>
      <c r="D3430"/>
    </row>
    <row r="3431" spans="3:4" ht="15" customHeight="1" x14ac:dyDescent="0.25">
      <c r="C3431"/>
      <c r="D3431"/>
    </row>
    <row r="3432" spans="3:4" ht="15" customHeight="1" x14ac:dyDescent="0.25">
      <c r="C3432"/>
      <c r="D3432"/>
    </row>
    <row r="3433" spans="3:4" ht="15" customHeight="1" x14ac:dyDescent="0.25">
      <c r="C3433"/>
      <c r="D3433"/>
    </row>
    <row r="3434" spans="3:4" ht="15" customHeight="1" x14ac:dyDescent="0.25">
      <c r="C3434"/>
      <c r="D3434"/>
    </row>
    <row r="3435" spans="3:4" ht="15" customHeight="1" x14ac:dyDescent="0.25">
      <c r="C3435"/>
      <c r="D3435"/>
    </row>
    <row r="3436" spans="3:4" ht="15" customHeight="1" x14ac:dyDescent="0.25">
      <c r="C3436"/>
      <c r="D3436"/>
    </row>
    <row r="3437" spans="3:4" ht="15" customHeight="1" x14ac:dyDescent="0.25">
      <c r="C3437"/>
      <c r="D3437"/>
    </row>
    <row r="3438" spans="3:4" ht="15" customHeight="1" x14ac:dyDescent="0.25">
      <c r="C3438"/>
      <c r="D3438"/>
    </row>
    <row r="3439" spans="3:4" ht="15" customHeight="1" x14ac:dyDescent="0.25">
      <c r="C3439"/>
      <c r="D3439"/>
    </row>
    <row r="3440" spans="3:4" ht="15" customHeight="1" x14ac:dyDescent="0.25">
      <c r="C3440"/>
      <c r="D3440"/>
    </row>
    <row r="3441" spans="3:4" ht="15" customHeight="1" x14ac:dyDescent="0.25">
      <c r="C3441"/>
      <c r="D3441"/>
    </row>
    <row r="3442" spans="3:4" ht="15" customHeight="1" x14ac:dyDescent="0.25">
      <c r="C3442"/>
      <c r="D3442"/>
    </row>
    <row r="3443" spans="3:4" ht="15" customHeight="1" x14ac:dyDescent="0.25">
      <c r="C3443"/>
      <c r="D3443"/>
    </row>
    <row r="3444" spans="3:4" ht="15" customHeight="1" x14ac:dyDescent="0.25">
      <c r="C3444"/>
      <c r="D3444"/>
    </row>
    <row r="3445" spans="3:4" ht="15" customHeight="1" x14ac:dyDescent="0.25">
      <c r="C3445"/>
      <c r="D3445"/>
    </row>
    <row r="3446" spans="3:4" ht="15" customHeight="1" x14ac:dyDescent="0.25">
      <c r="C3446"/>
      <c r="D3446"/>
    </row>
    <row r="3447" spans="3:4" ht="15" customHeight="1" x14ac:dyDescent="0.25">
      <c r="C3447"/>
      <c r="D3447"/>
    </row>
    <row r="3448" spans="3:4" ht="15" customHeight="1" x14ac:dyDescent="0.25">
      <c r="C3448"/>
      <c r="D3448"/>
    </row>
    <row r="3449" spans="3:4" ht="15" customHeight="1" x14ac:dyDescent="0.25">
      <c r="C3449"/>
      <c r="D3449"/>
    </row>
    <row r="3450" spans="3:4" ht="15" customHeight="1" x14ac:dyDescent="0.25">
      <c r="C3450"/>
      <c r="D3450"/>
    </row>
    <row r="3451" spans="3:4" ht="15" customHeight="1" x14ac:dyDescent="0.25">
      <c r="C3451"/>
      <c r="D3451"/>
    </row>
    <row r="3452" spans="3:4" ht="15" customHeight="1" x14ac:dyDescent="0.25">
      <c r="C3452"/>
      <c r="D3452"/>
    </row>
    <row r="3453" spans="3:4" ht="15" customHeight="1" x14ac:dyDescent="0.25">
      <c r="C3453"/>
      <c r="D3453"/>
    </row>
    <row r="3454" spans="3:4" ht="15" customHeight="1" x14ac:dyDescent="0.25">
      <c r="C3454"/>
      <c r="D3454"/>
    </row>
    <row r="3455" spans="3:4" ht="15" customHeight="1" x14ac:dyDescent="0.25">
      <c r="C3455"/>
      <c r="D3455"/>
    </row>
    <row r="3456" spans="3:4" ht="15" customHeight="1" x14ac:dyDescent="0.25">
      <c r="C3456"/>
      <c r="D3456"/>
    </row>
    <row r="3457" spans="3:4" ht="15" customHeight="1" x14ac:dyDescent="0.25">
      <c r="C3457"/>
      <c r="D3457"/>
    </row>
    <row r="3458" spans="3:4" ht="15" customHeight="1" x14ac:dyDescent="0.25">
      <c r="C3458"/>
      <c r="D3458"/>
    </row>
    <row r="3459" spans="3:4" ht="15" customHeight="1" x14ac:dyDescent="0.25">
      <c r="C3459"/>
      <c r="D3459"/>
    </row>
    <row r="3460" spans="3:4" ht="15" customHeight="1" x14ac:dyDescent="0.25">
      <c r="C3460"/>
      <c r="D3460"/>
    </row>
    <row r="3461" spans="3:4" ht="15" customHeight="1" x14ac:dyDescent="0.25">
      <c r="C3461"/>
      <c r="D3461"/>
    </row>
    <row r="3462" spans="3:4" ht="15" customHeight="1" x14ac:dyDescent="0.25">
      <c r="C3462"/>
      <c r="D3462"/>
    </row>
    <row r="3463" spans="3:4" ht="15" customHeight="1" x14ac:dyDescent="0.25">
      <c r="C3463"/>
      <c r="D3463"/>
    </row>
    <row r="3464" spans="3:4" ht="15" customHeight="1" x14ac:dyDescent="0.25">
      <c r="C3464"/>
      <c r="D3464"/>
    </row>
    <row r="3465" spans="3:4" ht="15" customHeight="1" x14ac:dyDescent="0.25">
      <c r="C3465"/>
      <c r="D3465"/>
    </row>
    <row r="3466" spans="3:4" ht="15" customHeight="1" x14ac:dyDescent="0.25">
      <c r="C3466"/>
      <c r="D3466"/>
    </row>
    <row r="3467" spans="3:4" ht="15" customHeight="1" x14ac:dyDescent="0.25">
      <c r="C3467"/>
      <c r="D3467"/>
    </row>
    <row r="3468" spans="3:4" ht="15" customHeight="1" x14ac:dyDescent="0.25">
      <c r="C3468"/>
      <c r="D3468"/>
    </row>
    <row r="3469" spans="3:4" ht="15" customHeight="1" x14ac:dyDescent="0.25">
      <c r="C3469"/>
      <c r="D3469"/>
    </row>
    <row r="3470" spans="3:4" ht="15" customHeight="1" x14ac:dyDescent="0.25">
      <c r="C3470"/>
      <c r="D3470"/>
    </row>
    <row r="3471" spans="3:4" ht="15" customHeight="1" x14ac:dyDescent="0.25">
      <c r="C3471"/>
      <c r="D3471"/>
    </row>
    <row r="3472" spans="3:4" ht="15" customHeight="1" x14ac:dyDescent="0.25">
      <c r="C3472"/>
      <c r="D3472"/>
    </row>
    <row r="3473" spans="3:4" ht="15" customHeight="1" x14ac:dyDescent="0.25">
      <c r="C3473"/>
      <c r="D3473"/>
    </row>
    <row r="3474" spans="3:4" ht="15" customHeight="1" x14ac:dyDescent="0.25">
      <c r="C3474"/>
      <c r="D3474"/>
    </row>
    <row r="3475" spans="3:4" ht="15" customHeight="1" x14ac:dyDescent="0.25">
      <c r="C3475"/>
      <c r="D3475"/>
    </row>
    <row r="3476" spans="3:4" ht="15" customHeight="1" x14ac:dyDescent="0.25">
      <c r="C3476"/>
      <c r="D3476"/>
    </row>
    <row r="3477" spans="3:4" ht="15" customHeight="1" x14ac:dyDescent="0.25">
      <c r="C3477"/>
      <c r="D3477"/>
    </row>
    <row r="3478" spans="3:4" ht="15" customHeight="1" x14ac:dyDescent="0.25">
      <c r="C3478"/>
      <c r="D3478"/>
    </row>
    <row r="3479" spans="3:4" ht="15" customHeight="1" x14ac:dyDescent="0.25">
      <c r="C3479"/>
      <c r="D3479"/>
    </row>
    <row r="3480" spans="3:4" ht="15" customHeight="1" x14ac:dyDescent="0.25">
      <c r="C3480"/>
      <c r="D3480"/>
    </row>
    <row r="3481" spans="3:4" ht="15" customHeight="1" x14ac:dyDescent="0.25">
      <c r="C3481"/>
      <c r="D3481"/>
    </row>
    <row r="3482" spans="3:4" ht="15" customHeight="1" x14ac:dyDescent="0.25">
      <c r="C3482"/>
      <c r="D3482"/>
    </row>
    <row r="3483" spans="3:4" ht="15" customHeight="1" x14ac:dyDescent="0.25">
      <c r="C3483"/>
      <c r="D3483"/>
    </row>
    <row r="3484" spans="3:4" ht="15" customHeight="1" x14ac:dyDescent="0.25">
      <c r="C3484"/>
      <c r="D3484"/>
    </row>
    <row r="3485" spans="3:4" ht="15" customHeight="1" x14ac:dyDescent="0.25">
      <c r="C3485"/>
      <c r="D3485"/>
    </row>
    <row r="3486" spans="3:4" ht="15" customHeight="1" x14ac:dyDescent="0.25">
      <c r="C3486"/>
      <c r="D3486"/>
    </row>
    <row r="3487" spans="3:4" ht="15" customHeight="1" x14ac:dyDescent="0.25">
      <c r="C3487"/>
      <c r="D3487"/>
    </row>
    <row r="3488" spans="3:4" ht="15" customHeight="1" x14ac:dyDescent="0.25">
      <c r="C3488"/>
      <c r="D3488"/>
    </row>
    <row r="3489" spans="3:4" ht="15" customHeight="1" x14ac:dyDescent="0.25">
      <c r="C3489"/>
      <c r="D3489"/>
    </row>
    <row r="3490" spans="3:4" ht="15" customHeight="1" x14ac:dyDescent="0.25">
      <c r="C3490"/>
      <c r="D3490"/>
    </row>
    <row r="3491" spans="3:4" ht="15" customHeight="1" x14ac:dyDescent="0.25">
      <c r="C3491"/>
      <c r="D3491"/>
    </row>
    <row r="3492" spans="3:4" ht="15" customHeight="1" x14ac:dyDescent="0.25">
      <c r="C3492"/>
      <c r="D3492"/>
    </row>
    <row r="3493" spans="3:4" ht="15" customHeight="1" x14ac:dyDescent="0.25">
      <c r="C3493"/>
      <c r="D3493"/>
    </row>
    <row r="3494" spans="3:4" ht="15" customHeight="1" x14ac:dyDescent="0.25">
      <c r="C3494"/>
      <c r="D3494"/>
    </row>
    <row r="3495" spans="3:4" ht="15" customHeight="1" x14ac:dyDescent="0.25">
      <c r="C3495"/>
      <c r="D3495"/>
    </row>
    <row r="3496" spans="3:4" ht="15" customHeight="1" x14ac:dyDescent="0.25">
      <c r="C3496"/>
      <c r="D3496"/>
    </row>
    <row r="3497" spans="3:4" ht="15" customHeight="1" x14ac:dyDescent="0.25">
      <c r="C3497"/>
      <c r="D3497"/>
    </row>
    <row r="3498" spans="3:4" ht="15" customHeight="1" x14ac:dyDescent="0.25">
      <c r="C3498"/>
      <c r="D3498"/>
    </row>
    <row r="3499" spans="3:4" ht="15" customHeight="1" x14ac:dyDescent="0.25">
      <c r="C3499"/>
      <c r="D3499"/>
    </row>
    <row r="3500" spans="3:4" ht="15" customHeight="1" x14ac:dyDescent="0.25">
      <c r="C3500"/>
      <c r="D3500"/>
    </row>
    <row r="3501" spans="3:4" ht="15" customHeight="1" x14ac:dyDescent="0.25">
      <c r="C3501"/>
      <c r="D3501"/>
    </row>
    <row r="3502" spans="3:4" ht="15" customHeight="1" x14ac:dyDescent="0.25">
      <c r="C3502"/>
      <c r="D3502"/>
    </row>
    <row r="3503" spans="3:4" ht="15" customHeight="1" x14ac:dyDescent="0.25">
      <c r="C3503"/>
      <c r="D3503"/>
    </row>
    <row r="3504" spans="3:4" ht="15" customHeight="1" x14ac:dyDescent="0.25">
      <c r="C3504"/>
      <c r="D3504"/>
    </row>
    <row r="3505" spans="3:4" ht="15" customHeight="1" x14ac:dyDescent="0.25">
      <c r="C3505"/>
      <c r="D3505"/>
    </row>
    <row r="3506" spans="3:4" ht="15" customHeight="1" x14ac:dyDescent="0.25">
      <c r="C3506"/>
      <c r="D3506"/>
    </row>
    <row r="3507" spans="3:4" ht="15" customHeight="1" x14ac:dyDescent="0.25">
      <c r="C3507"/>
      <c r="D3507"/>
    </row>
    <row r="3508" spans="3:4" ht="15" customHeight="1" x14ac:dyDescent="0.25">
      <c r="C3508"/>
      <c r="D3508"/>
    </row>
    <row r="3509" spans="3:4" ht="15" customHeight="1" x14ac:dyDescent="0.25">
      <c r="C3509"/>
      <c r="D3509"/>
    </row>
    <row r="3510" spans="3:4" ht="15" customHeight="1" x14ac:dyDescent="0.25">
      <c r="C3510"/>
      <c r="D3510"/>
    </row>
    <row r="3511" spans="3:4" ht="15" customHeight="1" x14ac:dyDescent="0.25">
      <c r="C3511"/>
      <c r="D3511"/>
    </row>
    <row r="3512" spans="3:4" ht="15" customHeight="1" x14ac:dyDescent="0.25">
      <c r="C3512"/>
      <c r="D3512"/>
    </row>
    <row r="3513" spans="3:4" ht="15" customHeight="1" x14ac:dyDescent="0.25">
      <c r="C3513"/>
      <c r="D3513"/>
    </row>
    <row r="3514" spans="3:4" ht="15" customHeight="1" x14ac:dyDescent="0.25">
      <c r="C3514"/>
      <c r="D3514"/>
    </row>
    <row r="3515" spans="3:4" ht="15" customHeight="1" x14ac:dyDescent="0.25">
      <c r="C3515"/>
      <c r="D3515"/>
    </row>
    <row r="3516" spans="3:4" ht="15" customHeight="1" x14ac:dyDescent="0.25">
      <c r="C3516"/>
      <c r="D3516"/>
    </row>
    <row r="3517" spans="3:4" ht="15" customHeight="1" x14ac:dyDescent="0.25">
      <c r="C3517"/>
      <c r="D3517"/>
    </row>
    <row r="3518" spans="3:4" ht="15" customHeight="1" x14ac:dyDescent="0.25">
      <c r="C3518"/>
      <c r="D3518"/>
    </row>
    <row r="3519" spans="3:4" ht="15" customHeight="1" x14ac:dyDescent="0.25">
      <c r="C3519"/>
      <c r="D3519"/>
    </row>
    <row r="3520" spans="3:4" ht="15" customHeight="1" x14ac:dyDescent="0.25">
      <c r="C3520"/>
      <c r="D3520"/>
    </row>
    <row r="3521" spans="3:4" ht="15" customHeight="1" x14ac:dyDescent="0.25">
      <c r="C3521"/>
      <c r="D3521"/>
    </row>
    <row r="3522" spans="3:4" ht="15" customHeight="1" x14ac:dyDescent="0.25">
      <c r="C3522"/>
      <c r="D3522"/>
    </row>
    <row r="3523" spans="3:4" ht="15" customHeight="1" x14ac:dyDescent="0.25">
      <c r="C3523"/>
      <c r="D3523"/>
    </row>
    <row r="3524" spans="3:4" ht="15" customHeight="1" x14ac:dyDescent="0.25">
      <c r="C3524"/>
      <c r="D3524"/>
    </row>
    <row r="3525" spans="3:4" ht="15" customHeight="1" x14ac:dyDescent="0.25">
      <c r="C3525"/>
      <c r="D3525"/>
    </row>
    <row r="3526" spans="3:4" ht="15" customHeight="1" x14ac:dyDescent="0.25">
      <c r="C3526"/>
      <c r="D3526"/>
    </row>
    <row r="3527" spans="3:4" ht="15" customHeight="1" x14ac:dyDescent="0.25">
      <c r="C3527"/>
      <c r="D3527"/>
    </row>
    <row r="3528" spans="3:4" ht="15" customHeight="1" x14ac:dyDescent="0.25">
      <c r="C3528"/>
      <c r="D3528"/>
    </row>
    <row r="3529" spans="3:4" ht="15" customHeight="1" x14ac:dyDescent="0.25">
      <c r="C3529"/>
      <c r="D3529"/>
    </row>
    <row r="3530" spans="3:4" ht="15" customHeight="1" x14ac:dyDescent="0.25">
      <c r="C3530"/>
      <c r="D3530"/>
    </row>
    <row r="3531" spans="3:4" ht="15" customHeight="1" x14ac:dyDescent="0.25">
      <c r="C3531"/>
      <c r="D3531"/>
    </row>
    <row r="3532" spans="3:4" ht="15" customHeight="1" x14ac:dyDescent="0.25">
      <c r="C3532"/>
      <c r="D3532"/>
    </row>
    <row r="3533" spans="3:4" ht="15" customHeight="1" x14ac:dyDescent="0.25">
      <c r="C3533"/>
      <c r="D3533"/>
    </row>
    <row r="3534" spans="3:4" ht="15" customHeight="1" x14ac:dyDescent="0.25">
      <c r="C3534"/>
      <c r="D3534"/>
    </row>
    <row r="3535" spans="3:4" ht="15" customHeight="1" x14ac:dyDescent="0.25">
      <c r="C3535"/>
      <c r="D3535"/>
    </row>
    <row r="3536" spans="3:4" ht="15" customHeight="1" x14ac:dyDescent="0.25">
      <c r="C3536"/>
      <c r="D3536"/>
    </row>
    <row r="3537" spans="3:4" ht="15" customHeight="1" x14ac:dyDescent="0.25">
      <c r="C3537"/>
      <c r="D3537"/>
    </row>
    <row r="3538" spans="3:4" ht="15" customHeight="1" x14ac:dyDescent="0.25">
      <c r="C3538"/>
      <c r="D3538"/>
    </row>
    <row r="3539" spans="3:4" ht="15" customHeight="1" x14ac:dyDescent="0.25">
      <c r="C3539"/>
      <c r="D3539"/>
    </row>
    <row r="3540" spans="3:4" ht="15" customHeight="1" x14ac:dyDescent="0.25">
      <c r="C3540"/>
      <c r="D3540"/>
    </row>
    <row r="3541" spans="3:4" ht="15" customHeight="1" x14ac:dyDescent="0.25">
      <c r="C3541"/>
      <c r="D3541"/>
    </row>
    <row r="3542" spans="3:4" ht="15" customHeight="1" x14ac:dyDescent="0.25">
      <c r="C3542"/>
      <c r="D3542"/>
    </row>
    <row r="3543" spans="3:4" ht="15" customHeight="1" x14ac:dyDescent="0.25">
      <c r="C3543"/>
      <c r="D3543"/>
    </row>
    <row r="3544" spans="3:4" ht="15" customHeight="1" x14ac:dyDescent="0.25">
      <c r="C3544"/>
      <c r="D3544"/>
    </row>
    <row r="3545" spans="3:4" ht="15" customHeight="1" x14ac:dyDescent="0.25">
      <c r="C3545"/>
      <c r="D3545"/>
    </row>
    <row r="3546" spans="3:4" ht="15" customHeight="1" x14ac:dyDescent="0.25">
      <c r="C3546"/>
      <c r="D3546"/>
    </row>
    <row r="3547" spans="3:4" ht="15" customHeight="1" x14ac:dyDescent="0.25">
      <c r="C3547"/>
      <c r="D3547"/>
    </row>
    <row r="3548" spans="3:4" ht="15" customHeight="1" x14ac:dyDescent="0.25">
      <c r="C3548"/>
      <c r="D3548"/>
    </row>
    <row r="3549" spans="3:4" ht="15" customHeight="1" x14ac:dyDescent="0.25">
      <c r="C3549"/>
      <c r="D3549"/>
    </row>
    <row r="3550" spans="3:4" ht="15" customHeight="1" x14ac:dyDescent="0.25">
      <c r="C3550"/>
      <c r="D3550"/>
    </row>
    <row r="3551" spans="3:4" ht="15" customHeight="1" x14ac:dyDescent="0.25">
      <c r="C3551"/>
      <c r="D3551"/>
    </row>
    <row r="3552" spans="3:4" ht="15" customHeight="1" x14ac:dyDescent="0.25">
      <c r="C3552"/>
      <c r="D3552"/>
    </row>
    <row r="3553" spans="3:4" ht="15" customHeight="1" x14ac:dyDescent="0.25">
      <c r="C3553"/>
      <c r="D3553"/>
    </row>
    <row r="3554" spans="3:4" ht="15" customHeight="1" x14ac:dyDescent="0.25">
      <c r="C3554"/>
      <c r="D3554"/>
    </row>
    <row r="3555" spans="3:4" ht="15" customHeight="1" x14ac:dyDescent="0.25">
      <c r="C3555"/>
      <c r="D3555"/>
    </row>
    <row r="3556" spans="3:4" ht="15" customHeight="1" x14ac:dyDescent="0.25">
      <c r="C3556"/>
      <c r="D3556"/>
    </row>
    <row r="3557" spans="3:4" ht="15" customHeight="1" x14ac:dyDescent="0.25">
      <c r="C3557"/>
      <c r="D3557"/>
    </row>
    <row r="3558" spans="3:4" ht="15" customHeight="1" x14ac:dyDescent="0.25">
      <c r="C3558"/>
      <c r="D3558"/>
    </row>
    <row r="3559" spans="3:4" ht="15" customHeight="1" x14ac:dyDescent="0.25">
      <c r="C3559"/>
      <c r="D3559"/>
    </row>
    <row r="3560" spans="3:4" ht="15" customHeight="1" x14ac:dyDescent="0.25">
      <c r="C3560"/>
      <c r="D3560"/>
    </row>
    <row r="3561" spans="3:4" ht="15" customHeight="1" x14ac:dyDescent="0.25">
      <c r="C3561"/>
      <c r="D3561"/>
    </row>
    <row r="3562" spans="3:4" ht="15" customHeight="1" x14ac:dyDescent="0.25">
      <c r="C3562"/>
      <c r="D3562"/>
    </row>
    <row r="3563" spans="3:4" ht="15" customHeight="1" x14ac:dyDescent="0.25">
      <c r="C3563"/>
      <c r="D3563"/>
    </row>
    <row r="3564" spans="3:4" ht="15" customHeight="1" x14ac:dyDescent="0.25">
      <c r="C3564"/>
      <c r="D3564"/>
    </row>
    <row r="3565" spans="3:4" ht="15" customHeight="1" x14ac:dyDescent="0.25">
      <c r="C3565"/>
      <c r="D3565"/>
    </row>
    <row r="3566" spans="3:4" ht="15" customHeight="1" x14ac:dyDescent="0.25">
      <c r="C3566"/>
      <c r="D3566"/>
    </row>
    <row r="3567" spans="3:4" ht="15" customHeight="1" x14ac:dyDescent="0.25">
      <c r="C3567"/>
      <c r="D3567"/>
    </row>
    <row r="3568" spans="3:4" ht="15" customHeight="1" x14ac:dyDescent="0.25">
      <c r="C3568"/>
      <c r="D3568"/>
    </row>
    <row r="3569" spans="3:4" ht="15" customHeight="1" x14ac:dyDescent="0.25">
      <c r="C3569"/>
      <c r="D3569"/>
    </row>
    <row r="3570" spans="3:4" ht="15" customHeight="1" x14ac:dyDescent="0.25">
      <c r="C3570"/>
      <c r="D3570"/>
    </row>
    <row r="3571" spans="3:4" ht="15" customHeight="1" x14ac:dyDescent="0.25">
      <c r="C3571"/>
      <c r="D3571"/>
    </row>
    <row r="3572" spans="3:4" ht="15" customHeight="1" x14ac:dyDescent="0.25">
      <c r="C3572"/>
      <c r="D3572"/>
    </row>
    <row r="3573" spans="3:4" ht="15" customHeight="1" x14ac:dyDescent="0.25">
      <c r="C3573"/>
      <c r="D3573"/>
    </row>
    <row r="3574" spans="3:4" ht="15" customHeight="1" x14ac:dyDescent="0.25">
      <c r="C3574"/>
      <c r="D3574"/>
    </row>
    <row r="3575" spans="3:4" ht="15" customHeight="1" x14ac:dyDescent="0.25">
      <c r="C3575"/>
      <c r="D3575"/>
    </row>
    <row r="3576" spans="3:4" ht="15" customHeight="1" x14ac:dyDescent="0.25">
      <c r="C3576"/>
      <c r="D3576"/>
    </row>
    <row r="3577" spans="3:4" ht="15" customHeight="1" x14ac:dyDescent="0.25">
      <c r="C3577"/>
      <c r="D3577"/>
    </row>
    <row r="3578" spans="3:4" ht="15" customHeight="1" x14ac:dyDescent="0.25">
      <c r="C3578"/>
      <c r="D3578"/>
    </row>
    <row r="3579" spans="3:4" ht="15" customHeight="1" x14ac:dyDescent="0.25">
      <c r="C3579"/>
      <c r="D3579"/>
    </row>
    <row r="3580" spans="3:4" ht="15" customHeight="1" x14ac:dyDescent="0.25">
      <c r="C3580"/>
      <c r="D3580"/>
    </row>
    <row r="3581" spans="3:4" ht="15" customHeight="1" x14ac:dyDescent="0.25">
      <c r="C3581"/>
      <c r="D3581"/>
    </row>
    <row r="3582" spans="3:4" ht="15" customHeight="1" x14ac:dyDescent="0.25">
      <c r="C3582"/>
      <c r="D3582"/>
    </row>
    <row r="3583" spans="3:4" ht="15" customHeight="1" x14ac:dyDescent="0.25">
      <c r="C3583"/>
      <c r="D3583"/>
    </row>
    <row r="3584" spans="3:4" ht="15" customHeight="1" x14ac:dyDescent="0.25">
      <c r="C3584"/>
      <c r="D3584"/>
    </row>
    <row r="3585" spans="3:4" ht="15" customHeight="1" x14ac:dyDescent="0.25">
      <c r="C3585"/>
      <c r="D3585"/>
    </row>
    <row r="3586" spans="3:4" ht="15" customHeight="1" x14ac:dyDescent="0.25">
      <c r="C3586"/>
      <c r="D3586"/>
    </row>
    <row r="3587" spans="3:4" ht="15" customHeight="1" x14ac:dyDescent="0.25">
      <c r="C3587"/>
      <c r="D3587"/>
    </row>
    <row r="3588" spans="3:4" ht="15" customHeight="1" x14ac:dyDescent="0.25">
      <c r="C3588"/>
      <c r="D3588"/>
    </row>
    <row r="3589" spans="3:4" ht="15" customHeight="1" x14ac:dyDescent="0.25">
      <c r="C3589"/>
      <c r="D3589"/>
    </row>
    <row r="3590" spans="3:4" ht="15" customHeight="1" x14ac:dyDescent="0.25">
      <c r="C3590"/>
      <c r="D3590"/>
    </row>
    <row r="3591" spans="3:4" ht="15" customHeight="1" x14ac:dyDescent="0.25">
      <c r="C3591"/>
      <c r="D3591"/>
    </row>
    <row r="3592" spans="3:4" ht="15" customHeight="1" x14ac:dyDescent="0.25">
      <c r="C3592"/>
      <c r="D3592"/>
    </row>
    <row r="3593" spans="3:4" ht="15" customHeight="1" x14ac:dyDescent="0.25">
      <c r="C3593"/>
      <c r="D3593"/>
    </row>
    <row r="3594" spans="3:4" ht="15" customHeight="1" x14ac:dyDescent="0.25">
      <c r="C3594"/>
      <c r="D3594"/>
    </row>
    <row r="3595" spans="3:4" ht="15" customHeight="1" x14ac:dyDescent="0.25">
      <c r="C3595"/>
      <c r="D3595"/>
    </row>
    <row r="3596" spans="3:4" ht="15" customHeight="1" x14ac:dyDescent="0.25">
      <c r="C3596"/>
      <c r="D3596"/>
    </row>
    <row r="3597" spans="3:4" ht="15" customHeight="1" x14ac:dyDescent="0.25">
      <c r="C3597"/>
      <c r="D3597"/>
    </row>
    <row r="3598" spans="3:4" ht="15" customHeight="1" x14ac:dyDescent="0.25">
      <c r="C3598"/>
      <c r="D3598"/>
    </row>
    <row r="3599" spans="3:4" ht="15" customHeight="1" x14ac:dyDescent="0.25">
      <c r="C3599"/>
      <c r="D3599"/>
    </row>
    <row r="3600" spans="3:4" ht="15" customHeight="1" x14ac:dyDescent="0.25">
      <c r="C3600"/>
      <c r="D3600"/>
    </row>
    <row r="3601" spans="3:4" ht="15" customHeight="1" x14ac:dyDescent="0.25">
      <c r="C3601"/>
      <c r="D3601"/>
    </row>
    <row r="3602" spans="3:4" ht="15" customHeight="1" x14ac:dyDescent="0.25">
      <c r="C3602"/>
      <c r="D3602"/>
    </row>
    <row r="3603" spans="3:4" ht="15" customHeight="1" x14ac:dyDescent="0.25">
      <c r="C3603"/>
      <c r="D3603"/>
    </row>
    <row r="3604" spans="3:4" ht="15" customHeight="1" x14ac:dyDescent="0.25">
      <c r="C3604"/>
      <c r="D3604"/>
    </row>
    <row r="3605" spans="3:4" ht="15" customHeight="1" x14ac:dyDescent="0.25">
      <c r="C3605"/>
      <c r="D3605"/>
    </row>
    <row r="3606" spans="3:4" ht="15" customHeight="1" x14ac:dyDescent="0.25">
      <c r="C3606"/>
      <c r="D3606"/>
    </row>
    <row r="3607" spans="3:4" ht="15" customHeight="1" x14ac:dyDescent="0.25">
      <c r="C3607"/>
      <c r="D3607"/>
    </row>
    <row r="3608" spans="3:4" ht="15" customHeight="1" x14ac:dyDescent="0.25">
      <c r="C3608"/>
      <c r="D3608"/>
    </row>
    <row r="3609" spans="3:4" ht="15" customHeight="1" x14ac:dyDescent="0.25">
      <c r="C3609"/>
      <c r="D3609"/>
    </row>
    <row r="3610" spans="3:4" ht="15" customHeight="1" x14ac:dyDescent="0.25">
      <c r="C3610"/>
      <c r="D3610"/>
    </row>
    <row r="3611" spans="3:4" ht="15" customHeight="1" x14ac:dyDescent="0.25">
      <c r="C3611"/>
      <c r="D3611"/>
    </row>
    <row r="3612" spans="3:4" ht="15" customHeight="1" x14ac:dyDescent="0.25">
      <c r="C3612"/>
      <c r="D3612"/>
    </row>
    <row r="3613" spans="3:4" ht="15" customHeight="1" x14ac:dyDescent="0.25">
      <c r="C3613"/>
      <c r="D3613"/>
    </row>
    <row r="3614" spans="3:4" ht="15" customHeight="1" x14ac:dyDescent="0.25">
      <c r="C3614"/>
      <c r="D3614"/>
    </row>
    <row r="3615" spans="3:4" ht="15" customHeight="1" x14ac:dyDescent="0.25">
      <c r="C3615"/>
      <c r="D3615"/>
    </row>
    <row r="3616" spans="3:4" ht="15" customHeight="1" x14ac:dyDescent="0.25">
      <c r="C3616"/>
      <c r="D3616"/>
    </row>
    <row r="3617" spans="3:4" ht="15" customHeight="1" x14ac:dyDescent="0.25">
      <c r="C3617"/>
      <c r="D3617"/>
    </row>
    <row r="3618" spans="3:4" ht="15" customHeight="1" x14ac:dyDescent="0.25">
      <c r="C3618"/>
      <c r="D3618"/>
    </row>
    <row r="3619" spans="3:4" ht="15" customHeight="1" x14ac:dyDescent="0.25">
      <c r="C3619"/>
      <c r="D3619"/>
    </row>
    <row r="3620" spans="3:4" ht="15" customHeight="1" x14ac:dyDescent="0.25">
      <c r="C3620"/>
      <c r="D3620"/>
    </row>
    <row r="3621" spans="3:4" ht="15" customHeight="1" x14ac:dyDescent="0.25">
      <c r="C3621"/>
      <c r="D3621"/>
    </row>
    <row r="3622" spans="3:4" ht="15" customHeight="1" x14ac:dyDescent="0.25">
      <c r="C3622"/>
      <c r="D3622"/>
    </row>
    <row r="3623" spans="3:4" ht="15" customHeight="1" x14ac:dyDescent="0.25">
      <c r="C3623"/>
      <c r="D3623"/>
    </row>
    <row r="3624" spans="3:4" ht="15" customHeight="1" x14ac:dyDescent="0.25">
      <c r="C3624"/>
      <c r="D3624"/>
    </row>
    <row r="3625" spans="3:4" ht="15" customHeight="1" x14ac:dyDescent="0.25">
      <c r="C3625"/>
      <c r="D3625"/>
    </row>
    <row r="3626" spans="3:4" ht="15" customHeight="1" x14ac:dyDescent="0.25">
      <c r="C3626"/>
      <c r="D3626"/>
    </row>
    <row r="3627" spans="3:4" ht="15" customHeight="1" x14ac:dyDescent="0.25">
      <c r="C3627"/>
      <c r="D3627"/>
    </row>
    <row r="3628" spans="3:4" ht="15" customHeight="1" x14ac:dyDescent="0.25">
      <c r="C3628"/>
      <c r="D3628"/>
    </row>
    <row r="3629" spans="3:4" ht="15" customHeight="1" x14ac:dyDescent="0.25">
      <c r="C3629"/>
      <c r="D3629"/>
    </row>
    <row r="3630" spans="3:4" ht="15" customHeight="1" x14ac:dyDescent="0.25">
      <c r="C3630"/>
      <c r="D3630"/>
    </row>
    <row r="3631" spans="3:4" ht="15" customHeight="1" x14ac:dyDescent="0.25">
      <c r="C3631"/>
      <c r="D3631"/>
    </row>
    <row r="3632" spans="3:4" ht="15" customHeight="1" x14ac:dyDescent="0.25">
      <c r="C3632"/>
      <c r="D3632"/>
    </row>
    <row r="3633" spans="3:4" ht="15" customHeight="1" x14ac:dyDescent="0.25">
      <c r="C3633"/>
      <c r="D3633"/>
    </row>
    <row r="3634" spans="3:4" ht="15" customHeight="1" x14ac:dyDescent="0.25">
      <c r="C3634"/>
      <c r="D3634"/>
    </row>
    <row r="3635" spans="3:4" ht="15" customHeight="1" x14ac:dyDescent="0.25">
      <c r="C3635"/>
      <c r="D3635"/>
    </row>
    <row r="3636" spans="3:4" ht="15" customHeight="1" x14ac:dyDescent="0.25">
      <c r="C3636"/>
      <c r="D3636"/>
    </row>
    <row r="3637" spans="3:4" ht="15" customHeight="1" x14ac:dyDescent="0.25">
      <c r="C3637"/>
      <c r="D3637"/>
    </row>
    <row r="3638" spans="3:4" ht="15" customHeight="1" x14ac:dyDescent="0.25">
      <c r="C3638"/>
      <c r="D3638"/>
    </row>
    <row r="3639" spans="3:4" ht="15" customHeight="1" x14ac:dyDescent="0.25">
      <c r="C3639"/>
      <c r="D3639"/>
    </row>
    <row r="3640" spans="3:4" ht="15" customHeight="1" x14ac:dyDescent="0.25">
      <c r="C3640"/>
      <c r="D3640"/>
    </row>
    <row r="3641" spans="3:4" ht="15" customHeight="1" x14ac:dyDescent="0.25">
      <c r="C3641"/>
      <c r="D3641"/>
    </row>
    <row r="3642" spans="3:4" ht="15" customHeight="1" x14ac:dyDescent="0.25">
      <c r="C3642"/>
      <c r="D3642"/>
    </row>
    <row r="3643" spans="3:4" ht="15" customHeight="1" x14ac:dyDescent="0.25">
      <c r="C3643"/>
      <c r="D3643"/>
    </row>
    <row r="3644" spans="3:4" ht="15" customHeight="1" x14ac:dyDescent="0.25">
      <c r="C3644"/>
      <c r="D3644"/>
    </row>
    <row r="3645" spans="3:4" ht="15" customHeight="1" x14ac:dyDescent="0.25">
      <c r="C3645"/>
      <c r="D3645"/>
    </row>
    <row r="3646" spans="3:4" ht="15" customHeight="1" x14ac:dyDescent="0.25">
      <c r="C3646"/>
      <c r="D3646"/>
    </row>
    <row r="3647" spans="3:4" ht="15" customHeight="1" x14ac:dyDescent="0.25">
      <c r="C3647"/>
      <c r="D3647"/>
    </row>
    <row r="3648" spans="3:4" ht="15" customHeight="1" x14ac:dyDescent="0.25">
      <c r="C3648"/>
      <c r="D3648"/>
    </row>
    <row r="3649" spans="3:4" ht="15" customHeight="1" x14ac:dyDescent="0.25">
      <c r="C3649"/>
      <c r="D3649"/>
    </row>
    <row r="3650" spans="3:4" ht="15" customHeight="1" x14ac:dyDescent="0.25">
      <c r="C3650"/>
      <c r="D3650"/>
    </row>
    <row r="3651" spans="3:4" ht="15" customHeight="1" x14ac:dyDescent="0.25">
      <c r="C3651"/>
      <c r="D3651"/>
    </row>
    <row r="3652" spans="3:4" ht="15" customHeight="1" x14ac:dyDescent="0.25">
      <c r="C3652"/>
      <c r="D3652"/>
    </row>
    <row r="3653" spans="3:4" ht="15" customHeight="1" x14ac:dyDescent="0.25">
      <c r="C3653"/>
      <c r="D3653"/>
    </row>
    <row r="3654" spans="3:4" ht="15" customHeight="1" x14ac:dyDescent="0.25">
      <c r="C3654"/>
      <c r="D3654"/>
    </row>
    <row r="3655" spans="3:4" ht="15" customHeight="1" x14ac:dyDescent="0.25">
      <c r="C3655"/>
      <c r="D3655"/>
    </row>
    <row r="3656" spans="3:4" ht="15" customHeight="1" x14ac:dyDescent="0.25">
      <c r="C3656"/>
      <c r="D3656"/>
    </row>
    <row r="3657" spans="3:4" ht="15" customHeight="1" x14ac:dyDescent="0.25">
      <c r="C3657"/>
      <c r="D3657"/>
    </row>
    <row r="3658" spans="3:4" ht="15" customHeight="1" x14ac:dyDescent="0.25">
      <c r="C3658"/>
      <c r="D3658"/>
    </row>
    <row r="3659" spans="3:4" ht="15" customHeight="1" x14ac:dyDescent="0.25">
      <c r="C3659"/>
      <c r="D3659"/>
    </row>
    <row r="3660" spans="3:4" ht="15" customHeight="1" x14ac:dyDescent="0.25">
      <c r="C3660"/>
      <c r="D3660"/>
    </row>
    <row r="3661" spans="3:4" ht="15" customHeight="1" x14ac:dyDescent="0.25">
      <c r="C3661"/>
      <c r="D3661"/>
    </row>
    <row r="3662" spans="3:4" ht="15" customHeight="1" x14ac:dyDescent="0.25">
      <c r="C3662"/>
      <c r="D3662"/>
    </row>
    <row r="3663" spans="3:4" ht="15" customHeight="1" x14ac:dyDescent="0.25">
      <c r="C3663"/>
      <c r="D3663"/>
    </row>
    <row r="3664" spans="3:4" ht="15" customHeight="1" x14ac:dyDescent="0.25">
      <c r="C3664"/>
      <c r="D3664"/>
    </row>
    <row r="3665" spans="3:4" ht="15" customHeight="1" x14ac:dyDescent="0.25">
      <c r="C3665"/>
      <c r="D3665"/>
    </row>
    <row r="3666" spans="3:4" ht="15" customHeight="1" x14ac:dyDescent="0.25">
      <c r="C3666"/>
      <c r="D3666"/>
    </row>
    <row r="3667" spans="3:4" ht="15" customHeight="1" x14ac:dyDescent="0.25">
      <c r="C3667"/>
      <c r="D3667"/>
    </row>
    <row r="3668" spans="3:4" ht="15" customHeight="1" x14ac:dyDescent="0.25">
      <c r="C3668"/>
      <c r="D3668"/>
    </row>
    <row r="3669" spans="3:4" ht="15" customHeight="1" x14ac:dyDescent="0.25">
      <c r="C3669"/>
      <c r="D3669"/>
    </row>
    <row r="3670" spans="3:4" ht="15" customHeight="1" x14ac:dyDescent="0.25">
      <c r="C3670"/>
      <c r="D3670"/>
    </row>
    <row r="3671" spans="3:4" ht="15" customHeight="1" x14ac:dyDescent="0.25">
      <c r="C3671"/>
      <c r="D3671"/>
    </row>
    <row r="3672" spans="3:4" ht="15" customHeight="1" x14ac:dyDescent="0.25">
      <c r="C3672"/>
      <c r="D3672"/>
    </row>
    <row r="3673" spans="3:4" ht="15" customHeight="1" x14ac:dyDescent="0.25">
      <c r="C3673"/>
      <c r="D3673"/>
    </row>
    <row r="3674" spans="3:4" ht="15" customHeight="1" x14ac:dyDescent="0.25">
      <c r="C3674"/>
      <c r="D3674"/>
    </row>
    <row r="3675" spans="3:4" ht="15" customHeight="1" x14ac:dyDescent="0.25">
      <c r="C3675"/>
      <c r="D3675"/>
    </row>
    <row r="3676" spans="3:4" ht="15" customHeight="1" x14ac:dyDescent="0.25">
      <c r="C3676"/>
      <c r="D3676"/>
    </row>
    <row r="3677" spans="3:4" ht="15" customHeight="1" x14ac:dyDescent="0.25">
      <c r="C3677"/>
      <c r="D3677"/>
    </row>
    <row r="3678" spans="3:4" ht="15" customHeight="1" x14ac:dyDescent="0.25">
      <c r="C3678"/>
      <c r="D3678"/>
    </row>
    <row r="3679" spans="3:4" ht="15" customHeight="1" x14ac:dyDescent="0.25">
      <c r="C3679"/>
      <c r="D3679"/>
    </row>
    <row r="3680" spans="3:4" ht="15" customHeight="1" x14ac:dyDescent="0.25">
      <c r="C3680"/>
      <c r="D3680"/>
    </row>
    <row r="3681" spans="3:4" ht="15" customHeight="1" x14ac:dyDescent="0.25">
      <c r="C3681"/>
      <c r="D3681"/>
    </row>
    <row r="3682" spans="3:4" ht="15" customHeight="1" x14ac:dyDescent="0.25">
      <c r="C3682"/>
      <c r="D3682"/>
    </row>
    <row r="3683" spans="3:4" ht="15" customHeight="1" x14ac:dyDescent="0.25">
      <c r="C3683"/>
      <c r="D3683"/>
    </row>
    <row r="3684" spans="3:4" ht="15" customHeight="1" x14ac:dyDescent="0.25">
      <c r="C3684"/>
      <c r="D3684"/>
    </row>
    <row r="3685" spans="3:4" ht="15" customHeight="1" x14ac:dyDescent="0.25">
      <c r="C3685"/>
      <c r="D3685"/>
    </row>
    <row r="3686" spans="3:4" ht="15" customHeight="1" x14ac:dyDescent="0.25">
      <c r="C3686"/>
      <c r="D3686"/>
    </row>
    <row r="3687" spans="3:4" ht="15" customHeight="1" x14ac:dyDescent="0.25">
      <c r="C3687"/>
      <c r="D3687"/>
    </row>
    <row r="3688" spans="3:4" ht="15" customHeight="1" x14ac:dyDescent="0.25">
      <c r="C3688"/>
      <c r="D3688"/>
    </row>
    <row r="3689" spans="3:4" ht="15" customHeight="1" x14ac:dyDescent="0.25">
      <c r="C3689"/>
      <c r="D3689"/>
    </row>
    <row r="3690" spans="3:4" ht="15" customHeight="1" x14ac:dyDescent="0.25">
      <c r="C3690"/>
      <c r="D3690"/>
    </row>
    <row r="3691" spans="3:4" ht="15" customHeight="1" x14ac:dyDescent="0.25">
      <c r="C3691"/>
      <c r="D3691"/>
    </row>
    <row r="3692" spans="3:4" ht="15" customHeight="1" x14ac:dyDescent="0.25">
      <c r="C3692"/>
      <c r="D3692"/>
    </row>
    <row r="3693" spans="3:4" ht="15" customHeight="1" x14ac:dyDescent="0.25">
      <c r="C3693"/>
      <c r="D3693"/>
    </row>
    <row r="3694" spans="3:4" ht="15" customHeight="1" x14ac:dyDescent="0.25">
      <c r="C3694"/>
      <c r="D3694"/>
    </row>
    <row r="3695" spans="3:4" ht="15" customHeight="1" x14ac:dyDescent="0.25">
      <c r="C3695"/>
      <c r="D3695"/>
    </row>
    <row r="3696" spans="3:4" ht="15" customHeight="1" x14ac:dyDescent="0.25">
      <c r="C3696"/>
      <c r="D3696"/>
    </row>
    <row r="3697" spans="3:4" ht="15" customHeight="1" x14ac:dyDescent="0.25">
      <c r="C3697"/>
      <c r="D3697"/>
    </row>
    <row r="3698" spans="3:4" ht="15" customHeight="1" x14ac:dyDescent="0.25">
      <c r="C3698"/>
      <c r="D3698"/>
    </row>
    <row r="3699" spans="3:4" ht="15" customHeight="1" x14ac:dyDescent="0.25">
      <c r="C3699"/>
      <c r="D3699"/>
    </row>
    <row r="3700" spans="3:4" ht="15" customHeight="1" x14ac:dyDescent="0.25">
      <c r="C3700"/>
      <c r="D3700"/>
    </row>
    <row r="3701" spans="3:4" ht="15" customHeight="1" x14ac:dyDescent="0.25">
      <c r="C3701"/>
      <c r="D3701"/>
    </row>
    <row r="3702" spans="3:4" ht="15" customHeight="1" x14ac:dyDescent="0.25">
      <c r="C3702"/>
      <c r="D3702"/>
    </row>
    <row r="3703" spans="3:4" ht="15" customHeight="1" x14ac:dyDescent="0.25">
      <c r="C3703"/>
      <c r="D3703"/>
    </row>
    <row r="3704" spans="3:4" ht="15" customHeight="1" x14ac:dyDescent="0.25">
      <c r="C3704"/>
      <c r="D3704"/>
    </row>
    <row r="3705" spans="3:4" ht="15" customHeight="1" x14ac:dyDescent="0.25">
      <c r="C3705"/>
      <c r="D3705"/>
    </row>
    <row r="3706" spans="3:4" ht="15" customHeight="1" x14ac:dyDescent="0.25">
      <c r="C3706"/>
      <c r="D3706"/>
    </row>
    <row r="3707" spans="3:4" ht="15" customHeight="1" x14ac:dyDescent="0.25">
      <c r="C3707"/>
      <c r="D3707"/>
    </row>
    <row r="3708" spans="3:4" ht="15" customHeight="1" x14ac:dyDescent="0.25">
      <c r="C3708"/>
      <c r="D3708"/>
    </row>
    <row r="3709" spans="3:4" ht="15" customHeight="1" x14ac:dyDescent="0.25">
      <c r="C3709"/>
      <c r="D3709"/>
    </row>
    <row r="3710" spans="3:4" ht="15" customHeight="1" x14ac:dyDescent="0.25">
      <c r="C3710"/>
      <c r="D3710"/>
    </row>
    <row r="3711" spans="3:4" ht="15" customHeight="1" x14ac:dyDescent="0.25">
      <c r="C3711"/>
      <c r="D3711"/>
    </row>
    <row r="3712" spans="3:4" ht="15" customHeight="1" x14ac:dyDescent="0.25">
      <c r="C3712"/>
      <c r="D3712"/>
    </row>
    <row r="3713" spans="3:4" ht="15" customHeight="1" x14ac:dyDescent="0.25">
      <c r="C3713"/>
      <c r="D3713"/>
    </row>
    <row r="3714" spans="3:4" ht="15" customHeight="1" x14ac:dyDescent="0.25">
      <c r="C3714"/>
      <c r="D3714"/>
    </row>
    <row r="3715" spans="3:4" ht="15" customHeight="1" x14ac:dyDescent="0.25">
      <c r="C3715"/>
      <c r="D3715"/>
    </row>
    <row r="3716" spans="3:4" ht="15" customHeight="1" x14ac:dyDescent="0.25">
      <c r="C3716"/>
      <c r="D3716"/>
    </row>
    <row r="3717" spans="3:4" ht="15" customHeight="1" x14ac:dyDescent="0.25">
      <c r="C3717"/>
      <c r="D3717"/>
    </row>
    <row r="3718" spans="3:4" ht="15" customHeight="1" x14ac:dyDescent="0.25">
      <c r="C3718"/>
      <c r="D3718"/>
    </row>
    <row r="3719" spans="3:4" ht="15" customHeight="1" x14ac:dyDescent="0.25">
      <c r="C3719"/>
      <c r="D3719"/>
    </row>
    <row r="3720" spans="3:4" ht="15" customHeight="1" x14ac:dyDescent="0.25">
      <c r="C3720"/>
      <c r="D3720"/>
    </row>
    <row r="3721" spans="3:4" ht="15" customHeight="1" x14ac:dyDescent="0.25">
      <c r="C3721"/>
      <c r="D3721"/>
    </row>
    <row r="3722" spans="3:4" ht="15" customHeight="1" x14ac:dyDescent="0.25">
      <c r="C3722"/>
      <c r="D3722"/>
    </row>
    <row r="3723" spans="3:4" ht="15" customHeight="1" x14ac:dyDescent="0.25">
      <c r="C3723"/>
      <c r="D3723"/>
    </row>
    <row r="3724" spans="3:4" ht="15" customHeight="1" x14ac:dyDescent="0.25">
      <c r="C3724"/>
      <c r="D3724"/>
    </row>
    <row r="3725" spans="3:4" ht="15" customHeight="1" x14ac:dyDescent="0.25">
      <c r="C3725"/>
      <c r="D3725"/>
    </row>
    <row r="3726" spans="3:4" ht="15" customHeight="1" x14ac:dyDescent="0.25">
      <c r="C3726"/>
      <c r="D3726"/>
    </row>
    <row r="3727" spans="3:4" ht="15" customHeight="1" x14ac:dyDescent="0.25">
      <c r="C3727"/>
      <c r="D3727"/>
    </row>
    <row r="3728" spans="3:4" ht="15" customHeight="1" x14ac:dyDescent="0.25">
      <c r="C3728"/>
      <c r="D3728"/>
    </row>
    <row r="3729" spans="3:4" ht="15" customHeight="1" x14ac:dyDescent="0.25">
      <c r="C3729"/>
      <c r="D3729"/>
    </row>
    <row r="3730" spans="3:4" ht="15" customHeight="1" x14ac:dyDescent="0.25">
      <c r="C3730"/>
      <c r="D3730"/>
    </row>
    <row r="3731" spans="3:4" ht="15" customHeight="1" x14ac:dyDescent="0.25">
      <c r="C3731"/>
      <c r="D3731"/>
    </row>
    <row r="3732" spans="3:4" ht="15" customHeight="1" x14ac:dyDescent="0.25">
      <c r="C3732"/>
      <c r="D3732"/>
    </row>
    <row r="3733" spans="3:4" ht="15" customHeight="1" x14ac:dyDescent="0.25">
      <c r="C3733"/>
      <c r="D3733"/>
    </row>
    <row r="3734" spans="3:4" ht="15" customHeight="1" x14ac:dyDescent="0.25">
      <c r="C3734"/>
      <c r="D3734"/>
    </row>
    <row r="3735" spans="3:4" ht="15" customHeight="1" x14ac:dyDescent="0.25">
      <c r="C3735"/>
      <c r="D3735"/>
    </row>
    <row r="3736" spans="3:4" ht="15" customHeight="1" x14ac:dyDescent="0.25">
      <c r="C3736"/>
      <c r="D3736"/>
    </row>
    <row r="3737" spans="3:4" ht="15" customHeight="1" x14ac:dyDescent="0.25">
      <c r="C3737"/>
      <c r="D3737"/>
    </row>
    <row r="3738" spans="3:4" ht="15" customHeight="1" x14ac:dyDescent="0.25">
      <c r="C3738"/>
      <c r="D3738"/>
    </row>
    <row r="3739" spans="3:4" ht="15" customHeight="1" x14ac:dyDescent="0.25">
      <c r="C3739"/>
      <c r="D3739"/>
    </row>
    <row r="3740" spans="3:4" ht="15" customHeight="1" x14ac:dyDescent="0.25">
      <c r="C3740"/>
      <c r="D3740"/>
    </row>
    <row r="3741" spans="3:4" ht="15" customHeight="1" x14ac:dyDescent="0.25">
      <c r="C3741"/>
      <c r="D3741"/>
    </row>
    <row r="3742" spans="3:4" ht="15" customHeight="1" x14ac:dyDescent="0.25">
      <c r="C3742"/>
      <c r="D3742"/>
    </row>
    <row r="3743" spans="3:4" ht="15" customHeight="1" x14ac:dyDescent="0.25">
      <c r="C3743"/>
      <c r="D3743"/>
    </row>
    <row r="3744" spans="3:4" ht="15" customHeight="1" x14ac:dyDescent="0.25">
      <c r="C3744"/>
      <c r="D3744"/>
    </row>
    <row r="3745" spans="3:4" ht="15" customHeight="1" x14ac:dyDescent="0.25">
      <c r="C3745"/>
      <c r="D3745"/>
    </row>
    <row r="3746" spans="3:4" ht="15" customHeight="1" x14ac:dyDescent="0.25">
      <c r="C3746"/>
      <c r="D3746"/>
    </row>
    <row r="3747" spans="3:4" ht="15" customHeight="1" x14ac:dyDescent="0.25">
      <c r="C3747"/>
      <c r="D3747"/>
    </row>
    <row r="3748" spans="3:4" ht="15" customHeight="1" x14ac:dyDescent="0.25">
      <c r="C3748"/>
      <c r="D3748"/>
    </row>
    <row r="3749" spans="3:4" ht="15" customHeight="1" x14ac:dyDescent="0.25">
      <c r="C3749"/>
      <c r="D3749"/>
    </row>
    <row r="3750" spans="3:4" ht="15" customHeight="1" x14ac:dyDescent="0.25">
      <c r="C3750"/>
      <c r="D3750"/>
    </row>
    <row r="3751" spans="3:4" ht="15" customHeight="1" x14ac:dyDescent="0.25">
      <c r="C3751"/>
      <c r="D3751"/>
    </row>
    <row r="3752" spans="3:4" ht="15" customHeight="1" x14ac:dyDescent="0.25">
      <c r="C3752"/>
      <c r="D3752"/>
    </row>
    <row r="3753" spans="3:4" ht="15" customHeight="1" x14ac:dyDescent="0.25">
      <c r="C3753"/>
      <c r="D3753"/>
    </row>
    <row r="3754" spans="3:4" ht="15" customHeight="1" x14ac:dyDescent="0.25">
      <c r="C3754"/>
      <c r="D3754"/>
    </row>
    <row r="3755" spans="3:4" ht="15" customHeight="1" x14ac:dyDescent="0.25">
      <c r="C3755"/>
      <c r="D3755"/>
    </row>
    <row r="3756" spans="3:4" ht="15" customHeight="1" x14ac:dyDescent="0.25">
      <c r="C3756"/>
      <c r="D3756"/>
    </row>
    <row r="3757" spans="3:4" ht="15" customHeight="1" x14ac:dyDescent="0.25">
      <c r="C3757"/>
      <c r="D3757"/>
    </row>
    <row r="3758" spans="3:4" ht="15" customHeight="1" x14ac:dyDescent="0.25">
      <c r="C3758"/>
      <c r="D3758"/>
    </row>
    <row r="3759" spans="3:4" ht="15" customHeight="1" x14ac:dyDescent="0.25">
      <c r="C3759"/>
      <c r="D3759"/>
    </row>
    <row r="3760" spans="3:4" ht="15" customHeight="1" x14ac:dyDescent="0.25">
      <c r="C3760"/>
      <c r="D3760"/>
    </row>
    <row r="3761" spans="3:4" ht="15" customHeight="1" x14ac:dyDescent="0.25">
      <c r="C3761"/>
      <c r="D3761"/>
    </row>
    <row r="3762" spans="3:4" ht="15" customHeight="1" x14ac:dyDescent="0.25">
      <c r="C3762"/>
      <c r="D3762"/>
    </row>
    <row r="3763" spans="3:4" ht="15" customHeight="1" x14ac:dyDescent="0.25">
      <c r="C3763"/>
      <c r="D3763"/>
    </row>
    <row r="3764" spans="3:4" ht="15" customHeight="1" x14ac:dyDescent="0.25">
      <c r="C3764"/>
      <c r="D3764"/>
    </row>
    <row r="3765" spans="3:4" ht="15" customHeight="1" x14ac:dyDescent="0.25">
      <c r="C3765"/>
      <c r="D3765"/>
    </row>
    <row r="3766" spans="3:4" ht="15" customHeight="1" x14ac:dyDescent="0.25">
      <c r="C3766"/>
      <c r="D3766"/>
    </row>
    <row r="3767" spans="3:4" ht="15" customHeight="1" x14ac:dyDescent="0.25">
      <c r="C3767"/>
      <c r="D3767"/>
    </row>
    <row r="3768" spans="3:4" ht="15" customHeight="1" x14ac:dyDescent="0.25">
      <c r="C3768"/>
      <c r="D3768"/>
    </row>
    <row r="3769" spans="3:4" ht="15" customHeight="1" x14ac:dyDescent="0.25">
      <c r="C3769"/>
      <c r="D3769"/>
    </row>
    <row r="3770" spans="3:4" ht="15" customHeight="1" x14ac:dyDescent="0.25">
      <c r="C3770"/>
      <c r="D3770"/>
    </row>
    <row r="3771" spans="3:4" ht="15" customHeight="1" x14ac:dyDescent="0.25">
      <c r="C3771"/>
      <c r="D3771"/>
    </row>
    <row r="3772" spans="3:4" ht="15" customHeight="1" x14ac:dyDescent="0.25">
      <c r="C3772"/>
      <c r="D3772"/>
    </row>
    <row r="3773" spans="3:4" ht="15" customHeight="1" x14ac:dyDescent="0.25">
      <c r="C3773"/>
      <c r="D3773"/>
    </row>
    <row r="3774" spans="3:4" ht="15" customHeight="1" x14ac:dyDescent="0.25">
      <c r="C3774"/>
      <c r="D3774"/>
    </row>
    <row r="3775" spans="3:4" ht="15" customHeight="1" x14ac:dyDescent="0.25">
      <c r="C3775"/>
      <c r="D3775"/>
    </row>
    <row r="3776" spans="3:4" ht="15" customHeight="1" x14ac:dyDescent="0.25">
      <c r="C3776"/>
      <c r="D3776"/>
    </row>
    <row r="3777" spans="3:4" ht="15" customHeight="1" x14ac:dyDescent="0.25">
      <c r="C3777"/>
      <c r="D3777"/>
    </row>
    <row r="3778" spans="3:4" ht="15" customHeight="1" x14ac:dyDescent="0.25">
      <c r="C3778"/>
      <c r="D3778"/>
    </row>
    <row r="3779" spans="3:4" ht="15" customHeight="1" x14ac:dyDescent="0.25">
      <c r="C3779"/>
      <c r="D3779"/>
    </row>
    <row r="3780" spans="3:4" ht="15" customHeight="1" x14ac:dyDescent="0.25">
      <c r="C3780"/>
      <c r="D3780"/>
    </row>
    <row r="3781" spans="3:4" ht="15" customHeight="1" x14ac:dyDescent="0.25">
      <c r="C3781"/>
      <c r="D3781"/>
    </row>
    <row r="3782" spans="3:4" ht="15" customHeight="1" x14ac:dyDescent="0.25">
      <c r="C3782"/>
      <c r="D3782"/>
    </row>
    <row r="3783" spans="3:4" ht="15" customHeight="1" x14ac:dyDescent="0.25">
      <c r="C3783"/>
      <c r="D3783"/>
    </row>
    <row r="3784" spans="3:4" ht="15" customHeight="1" x14ac:dyDescent="0.25">
      <c r="C3784"/>
      <c r="D3784"/>
    </row>
    <row r="3785" spans="3:4" ht="15" customHeight="1" x14ac:dyDescent="0.25">
      <c r="C3785"/>
      <c r="D3785"/>
    </row>
    <row r="3786" spans="3:4" ht="15" customHeight="1" x14ac:dyDescent="0.25">
      <c r="C3786"/>
      <c r="D3786"/>
    </row>
    <row r="3787" spans="3:4" ht="15" customHeight="1" x14ac:dyDescent="0.25">
      <c r="C3787"/>
      <c r="D3787"/>
    </row>
    <row r="3788" spans="3:4" ht="15" customHeight="1" x14ac:dyDescent="0.25">
      <c r="C3788"/>
      <c r="D3788"/>
    </row>
    <row r="3789" spans="3:4" ht="15" customHeight="1" x14ac:dyDescent="0.25">
      <c r="C3789"/>
      <c r="D3789"/>
    </row>
    <row r="3790" spans="3:4" ht="15" customHeight="1" x14ac:dyDescent="0.25">
      <c r="C3790"/>
      <c r="D3790"/>
    </row>
    <row r="3791" spans="3:4" ht="15" customHeight="1" x14ac:dyDescent="0.25">
      <c r="C3791"/>
      <c r="D3791"/>
    </row>
    <row r="3792" spans="3:4" ht="15" customHeight="1" x14ac:dyDescent="0.25">
      <c r="C3792"/>
      <c r="D3792"/>
    </row>
    <row r="3793" spans="3:4" ht="15" customHeight="1" x14ac:dyDescent="0.25">
      <c r="C3793"/>
      <c r="D3793"/>
    </row>
    <row r="3794" spans="3:4" ht="15" customHeight="1" x14ac:dyDescent="0.25">
      <c r="C3794"/>
      <c r="D3794"/>
    </row>
    <row r="3795" spans="3:4" ht="15" customHeight="1" x14ac:dyDescent="0.25">
      <c r="C3795"/>
      <c r="D3795"/>
    </row>
    <row r="3796" spans="3:4" ht="15" customHeight="1" x14ac:dyDescent="0.25">
      <c r="C3796"/>
      <c r="D3796"/>
    </row>
    <row r="3797" spans="3:4" ht="15" customHeight="1" x14ac:dyDescent="0.25">
      <c r="C3797"/>
      <c r="D3797"/>
    </row>
    <row r="3798" spans="3:4" ht="15" customHeight="1" x14ac:dyDescent="0.25">
      <c r="C3798"/>
      <c r="D3798"/>
    </row>
    <row r="3799" spans="3:4" ht="15" customHeight="1" x14ac:dyDescent="0.25">
      <c r="C3799"/>
      <c r="D3799"/>
    </row>
    <row r="3800" spans="3:4" ht="15" customHeight="1" x14ac:dyDescent="0.25">
      <c r="C3800"/>
      <c r="D3800"/>
    </row>
    <row r="3801" spans="3:4" ht="15" customHeight="1" x14ac:dyDescent="0.25">
      <c r="C3801"/>
      <c r="D3801"/>
    </row>
    <row r="3802" spans="3:4" ht="15" customHeight="1" x14ac:dyDescent="0.25">
      <c r="C3802"/>
      <c r="D3802"/>
    </row>
    <row r="3803" spans="3:4" ht="15" customHeight="1" x14ac:dyDescent="0.25">
      <c r="C3803"/>
      <c r="D3803"/>
    </row>
    <row r="3804" spans="3:4" ht="15" customHeight="1" x14ac:dyDescent="0.25">
      <c r="C3804"/>
      <c r="D3804"/>
    </row>
    <row r="3805" spans="3:4" ht="15" customHeight="1" x14ac:dyDescent="0.25">
      <c r="C3805"/>
      <c r="D3805"/>
    </row>
    <row r="3806" spans="3:4" ht="15" customHeight="1" x14ac:dyDescent="0.25">
      <c r="C3806"/>
      <c r="D3806"/>
    </row>
    <row r="3807" spans="3:4" ht="15" customHeight="1" x14ac:dyDescent="0.25">
      <c r="C3807"/>
      <c r="D3807"/>
    </row>
    <row r="3808" spans="3:4" ht="15" customHeight="1" x14ac:dyDescent="0.25">
      <c r="C3808"/>
      <c r="D3808"/>
    </row>
    <row r="3809" spans="3:4" ht="15" customHeight="1" x14ac:dyDescent="0.25">
      <c r="C3809"/>
      <c r="D3809"/>
    </row>
    <row r="3810" spans="3:4" ht="15" customHeight="1" x14ac:dyDescent="0.25">
      <c r="C3810"/>
      <c r="D3810"/>
    </row>
    <row r="3811" spans="3:4" ht="15" customHeight="1" x14ac:dyDescent="0.25">
      <c r="C3811"/>
      <c r="D3811"/>
    </row>
    <row r="3812" spans="3:4" ht="15" customHeight="1" x14ac:dyDescent="0.25">
      <c r="C3812"/>
      <c r="D3812"/>
    </row>
    <row r="3813" spans="3:4" ht="15" customHeight="1" x14ac:dyDescent="0.25">
      <c r="C3813"/>
      <c r="D3813"/>
    </row>
    <row r="3814" spans="3:4" ht="15" customHeight="1" x14ac:dyDescent="0.25">
      <c r="C3814"/>
      <c r="D3814"/>
    </row>
    <row r="3815" spans="3:4" ht="15" customHeight="1" x14ac:dyDescent="0.25">
      <c r="C3815"/>
      <c r="D3815"/>
    </row>
    <row r="3816" spans="3:4" ht="15" customHeight="1" x14ac:dyDescent="0.25">
      <c r="C3816"/>
      <c r="D3816"/>
    </row>
    <row r="3817" spans="3:4" ht="15" customHeight="1" x14ac:dyDescent="0.25">
      <c r="C3817"/>
      <c r="D3817"/>
    </row>
    <row r="3818" spans="3:4" ht="15" customHeight="1" x14ac:dyDescent="0.25">
      <c r="C3818"/>
      <c r="D3818"/>
    </row>
    <row r="3819" spans="3:4" ht="15" customHeight="1" x14ac:dyDescent="0.25">
      <c r="C3819"/>
      <c r="D3819"/>
    </row>
    <row r="3820" spans="3:4" ht="15" customHeight="1" x14ac:dyDescent="0.25">
      <c r="C3820"/>
      <c r="D3820"/>
    </row>
    <row r="3821" spans="3:4" ht="15" customHeight="1" x14ac:dyDescent="0.25">
      <c r="C3821"/>
      <c r="D3821"/>
    </row>
    <row r="3822" spans="3:4" ht="15" customHeight="1" x14ac:dyDescent="0.25">
      <c r="C3822"/>
      <c r="D3822"/>
    </row>
    <row r="3823" spans="3:4" ht="15" customHeight="1" x14ac:dyDescent="0.25">
      <c r="C3823"/>
      <c r="D3823"/>
    </row>
    <row r="3824" spans="3:4" ht="15" customHeight="1" x14ac:dyDescent="0.25">
      <c r="C3824"/>
      <c r="D3824"/>
    </row>
    <row r="3825" spans="3:4" ht="15" customHeight="1" x14ac:dyDescent="0.25">
      <c r="C3825"/>
      <c r="D3825"/>
    </row>
    <row r="3826" spans="3:4" ht="15" customHeight="1" x14ac:dyDescent="0.25">
      <c r="C3826"/>
      <c r="D3826"/>
    </row>
    <row r="3827" spans="3:4" ht="15" customHeight="1" x14ac:dyDescent="0.25">
      <c r="C3827"/>
      <c r="D3827"/>
    </row>
    <row r="3828" spans="3:4" ht="15" customHeight="1" x14ac:dyDescent="0.25">
      <c r="C3828"/>
      <c r="D3828"/>
    </row>
    <row r="3829" spans="3:4" ht="15" customHeight="1" x14ac:dyDescent="0.25">
      <c r="C3829"/>
      <c r="D3829"/>
    </row>
    <row r="3830" spans="3:4" ht="15" customHeight="1" x14ac:dyDescent="0.25">
      <c r="C3830"/>
      <c r="D3830"/>
    </row>
    <row r="3831" spans="3:4" ht="15" customHeight="1" x14ac:dyDescent="0.25">
      <c r="C3831"/>
      <c r="D3831"/>
    </row>
    <row r="3832" spans="3:4" ht="15" customHeight="1" x14ac:dyDescent="0.25">
      <c r="C3832"/>
      <c r="D3832"/>
    </row>
    <row r="3833" spans="3:4" ht="15" customHeight="1" x14ac:dyDescent="0.25">
      <c r="C3833"/>
      <c r="D3833"/>
    </row>
    <row r="3834" spans="3:4" ht="15" customHeight="1" x14ac:dyDescent="0.25">
      <c r="C3834"/>
      <c r="D3834"/>
    </row>
    <row r="3835" spans="3:4" ht="15" customHeight="1" x14ac:dyDescent="0.25">
      <c r="C3835"/>
      <c r="D3835"/>
    </row>
    <row r="3836" spans="3:4" ht="15" customHeight="1" x14ac:dyDescent="0.25">
      <c r="C3836"/>
      <c r="D3836"/>
    </row>
    <row r="3837" spans="3:4" ht="15" customHeight="1" x14ac:dyDescent="0.25">
      <c r="C3837"/>
      <c r="D3837"/>
    </row>
    <row r="3838" spans="3:4" ht="15" customHeight="1" x14ac:dyDescent="0.25">
      <c r="C3838"/>
      <c r="D3838"/>
    </row>
    <row r="3839" spans="3:4" ht="15" customHeight="1" x14ac:dyDescent="0.25">
      <c r="C3839"/>
      <c r="D3839"/>
    </row>
    <row r="3840" spans="3:4" ht="15" customHeight="1" x14ac:dyDescent="0.25">
      <c r="C3840"/>
      <c r="D3840"/>
    </row>
    <row r="3841" spans="3:4" ht="15" customHeight="1" x14ac:dyDescent="0.25">
      <c r="C3841"/>
      <c r="D3841"/>
    </row>
    <row r="3842" spans="3:4" ht="15" customHeight="1" x14ac:dyDescent="0.25">
      <c r="C3842"/>
      <c r="D3842"/>
    </row>
    <row r="3843" spans="3:4" ht="15" customHeight="1" x14ac:dyDescent="0.25">
      <c r="C3843"/>
      <c r="D3843"/>
    </row>
    <row r="3844" spans="3:4" ht="15" customHeight="1" x14ac:dyDescent="0.25">
      <c r="C3844"/>
      <c r="D3844"/>
    </row>
    <row r="3845" spans="3:4" ht="15" customHeight="1" x14ac:dyDescent="0.25">
      <c r="C3845"/>
      <c r="D3845"/>
    </row>
    <row r="3846" spans="3:4" ht="15" customHeight="1" x14ac:dyDescent="0.25">
      <c r="C3846"/>
      <c r="D3846"/>
    </row>
    <row r="3847" spans="3:4" ht="15" customHeight="1" x14ac:dyDescent="0.25">
      <c r="C3847"/>
      <c r="D3847"/>
    </row>
    <row r="3848" spans="3:4" ht="15" customHeight="1" x14ac:dyDescent="0.25">
      <c r="C3848"/>
      <c r="D3848"/>
    </row>
    <row r="3849" spans="3:4" ht="15" customHeight="1" x14ac:dyDescent="0.25">
      <c r="C3849"/>
      <c r="D3849"/>
    </row>
    <row r="3850" spans="3:4" ht="15" customHeight="1" x14ac:dyDescent="0.25">
      <c r="C3850"/>
      <c r="D3850"/>
    </row>
    <row r="3851" spans="3:4" ht="15" customHeight="1" x14ac:dyDescent="0.25">
      <c r="C3851"/>
      <c r="D3851"/>
    </row>
    <row r="3852" spans="3:4" ht="15" customHeight="1" x14ac:dyDescent="0.25">
      <c r="C3852"/>
      <c r="D3852"/>
    </row>
    <row r="3853" spans="3:4" ht="15" customHeight="1" x14ac:dyDescent="0.25">
      <c r="C3853"/>
      <c r="D3853"/>
    </row>
    <row r="3854" spans="3:4" ht="15" customHeight="1" x14ac:dyDescent="0.25">
      <c r="C3854"/>
      <c r="D3854"/>
    </row>
    <row r="3855" spans="3:4" ht="15" customHeight="1" x14ac:dyDescent="0.25">
      <c r="C3855"/>
      <c r="D3855"/>
    </row>
    <row r="3856" spans="3:4" ht="15" customHeight="1" x14ac:dyDescent="0.25">
      <c r="C3856"/>
      <c r="D3856"/>
    </row>
    <row r="3857" spans="3:4" ht="15" customHeight="1" x14ac:dyDescent="0.25">
      <c r="C3857"/>
      <c r="D3857"/>
    </row>
    <row r="3858" spans="3:4" ht="15" customHeight="1" x14ac:dyDescent="0.25">
      <c r="C3858"/>
      <c r="D3858"/>
    </row>
    <row r="3859" spans="3:4" ht="15" customHeight="1" x14ac:dyDescent="0.25">
      <c r="C3859"/>
      <c r="D3859"/>
    </row>
    <row r="3860" spans="3:4" ht="15" customHeight="1" x14ac:dyDescent="0.25">
      <c r="C3860"/>
      <c r="D3860"/>
    </row>
    <row r="3861" spans="3:4" ht="15" customHeight="1" x14ac:dyDescent="0.25">
      <c r="C3861"/>
      <c r="D3861"/>
    </row>
    <row r="3862" spans="3:4" ht="15" customHeight="1" x14ac:dyDescent="0.25">
      <c r="C3862"/>
      <c r="D3862"/>
    </row>
    <row r="3863" spans="3:4" ht="15" customHeight="1" x14ac:dyDescent="0.25">
      <c r="C3863"/>
      <c r="D3863"/>
    </row>
    <row r="3864" spans="3:4" ht="15" customHeight="1" x14ac:dyDescent="0.25">
      <c r="C3864"/>
      <c r="D3864"/>
    </row>
    <row r="3865" spans="3:4" ht="15" customHeight="1" x14ac:dyDescent="0.25">
      <c r="C3865"/>
      <c r="D3865"/>
    </row>
    <row r="3866" spans="3:4" ht="15" customHeight="1" x14ac:dyDescent="0.25">
      <c r="C3866"/>
      <c r="D3866"/>
    </row>
    <row r="3867" spans="3:4" ht="15" customHeight="1" x14ac:dyDescent="0.25">
      <c r="C3867"/>
      <c r="D3867"/>
    </row>
    <row r="3868" spans="3:4" ht="15" customHeight="1" x14ac:dyDescent="0.25">
      <c r="C3868"/>
      <c r="D3868"/>
    </row>
    <row r="3869" spans="3:4" ht="15" customHeight="1" x14ac:dyDescent="0.25">
      <c r="C3869"/>
      <c r="D3869"/>
    </row>
    <row r="3870" spans="3:4" ht="15" customHeight="1" x14ac:dyDescent="0.25">
      <c r="C3870"/>
      <c r="D3870"/>
    </row>
    <row r="3871" spans="3:4" ht="15" customHeight="1" x14ac:dyDescent="0.25">
      <c r="C3871"/>
      <c r="D3871"/>
    </row>
    <row r="3872" spans="3:4" ht="15" customHeight="1" x14ac:dyDescent="0.25">
      <c r="C3872"/>
      <c r="D3872"/>
    </row>
    <row r="3873" spans="1:4" ht="15" customHeight="1" x14ac:dyDescent="0.25">
      <c r="C3873"/>
      <c r="D3873"/>
    </row>
    <row r="3874" spans="1:4" ht="15" customHeight="1" x14ac:dyDescent="0.25">
      <c r="C3874"/>
      <c r="D3874"/>
    </row>
    <row r="3875" spans="1:4" ht="15" customHeight="1" x14ac:dyDescent="0.25">
      <c r="C3875"/>
      <c r="D3875"/>
    </row>
    <row r="3876" spans="1:4" ht="15" customHeight="1" x14ac:dyDescent="0.25">
      <c r="C3876"/>
      <c r="D3876"/>
    </row>
    <row r="3877" spans="1:4" ht="15" customHeight="1" x14ac:dyDescent="0.25">
      <c r="C3877"/>
      <c r="D3877"/>
    </row>
    <row r="3878" spans="1:4" ht="15" customHeight="1" x14ac:dyDescent="0.25">
      <c r="C3878"/>
      <c r="D3878"/>
    </row>
    <row r="3879" spans="1:4" ht="15" customHeight="1" x14ac:dyDescent="0.25">
      <c r="A3879" s="23"/>
      <c r="B3879" s="16"/>
      <c r="C3879" s="19"/>
      <c r="D3879" s="19"/>
    </row>
  </sheetData>
  <mergeCells count="4">
    <mergeCell ref="E3:F4"/>
    <mergeCell ref="E6:F14"/>
    <mergeCell ref="E5:F5"/>
    <mergeCell ref="E2:F2"/>
  </mergeCells>
  <conditionalFormatting sqref="M3:M20000">
    <cfRule type="expression" dxfId="376" priority="14">
      <formula>H3-M3-L3-K3&lt;0</formula>
    </cfRule>
  </conditionalFormatting>
  <conditionalFormatting sqref="N3:N20000">
    <cfRule type="expression" dxfId="375" priority="13">
      <formula>H3-N3-M3-L3-K3&lt;0</formula>
    </cfRule>
  </conditionalFormatting>
  <conditionalFormatting sqref="O3:O20000">
    <cfRule type="expression" dxfId="374" priority="12">
      <formula>H3-O3-N3-M3-L3-K3&lt;0</formula>
    </cfRule>
  </conditionalFormatting>
  <conditionalFormatting sqref="P3:P20000">
    <cfRule type="expression" dxfId="373" priority="11">
      <formula>H3-P3-O3-N3-M3-L3-K3&lt;0</formula>
    </cfRule>
  </conditionalFormatting>
  <conditionalFormatting sqref="Q3:Q20000">
    <cfRule type="expression" dxfId="372" priority="10">
      <formula>H3-Q3-P3-O3-N3-M3-L3-K3&lt;0</formula>
    </cfRule>
  </conditionalFormatting>
  <conditionalFormatting sqref="R3:R20000">
    <cfRule type="expression" dxfId="371" priority="9">
      <formula>H3-R3-Q3-P3-O3-N3-M3-L3-K3&lt;0</formula>
    </cfRule>
  </conditionalFormatting>
  <conditionalFormatting sqref="K12:K20000">
    <cfRule type="expression" dxfId="370" priority="8">
      <formula>H12&lt;K12</formula>
    </cfRule>
  </conditionalFormatting>
  <conditionalFormatting sqref="L3:L2000">
    <cfRule type="expression" dxfId="369" priority="7">
      <formula>H3-K3-L3&lt;0</formula>
    </cfRule>
  </conditionalFormatting>
  <conditionalFormatting sqref="S3:S20000">
    <cfRule type="expression" dxfId="368" priority="6">
      <formula>H3-S3-R3-Q3-P3-O3-N3-M3-L3-K3&lt;0</formula>
    </cfRule>
  </conditionalFormatting>
  <conditionalFormatting sqref="T3:T20000">
    <cfRule type="expression" dxfId="367" priority="5">
      <formula>H3-T3-S3-R3-Q3-P3-O3-N3-M3-L3-K3&lt;0</formula>
    </cfRule>
  </conditionalFormatting>
  <conditionalFormatting sqref="H21:H20000">
    <cfRule type="expression" dxfId="366" priority="3">
      <formula>H21&lt;I21</formula>
    </cfRule>
  </conditionalFormatting>
  <conditionalFormatting sqref="D32:D20000">
    <cfRule type="expression" dxfId="365" priority="2">
      <formula>D32&lt;F32</formula>
    </cfRule>
  </conditionalFormatting>
  <conditionalFormatting sqref="B32:C20000">
    <cfRule type="expression" dxfId="364" priority="15">
      <formula>B32&lt;E32</formula>
    </cfRule>
  </conditionalFormatting>
  <pageMargins left="0.7" right="0.7" top="0.75" bottom="0.75" header="0.3" footer="0.3"/>
  <pageSetup paperSize="9" orientation="portrait" horizontalDpi="300" verticalDpi="300"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PMASender">
                <anchor moveWithCells="1" sizeWithCells="1">
                  <from>
                    <xdr:col>4</xdr:col>
                    <xdr:colOff>0</xdr:colOff>
                    <xdr:row>25</xdr:row>
                    <xdr:rowOff>0</xdr:rowOff>
                  </from>
                  <to>
                    <xdr:col>5</xdr:col>
                    <xdr:colOff>0</xdr:colOff>
                    <xdr:row>28</xdr:row>
                    <xdr:rowOff>0</xdr:rowOff>
                  </to>
                </anchor>
              </controlPr>
            </control>
          </mc:Choice>
        </mc:AlternateContent>
        <mc:AlternateContent xmlns:mc="http://schemas.openxmlformats.org/markup-compatibility/2006">
          <mc:Choice Requires="x14">
            <control shapeId="1026" r:id="rId7" name="Button 2">
              <controlPr defaultSize="0" print="0" autoFill="0" autoPict="0" macro="[0]!Data">
                <anchor moveWithCells="1" sizeWithCells="1">
                  <from>
                    <xdr:col>5</xdr:col>
                    <xdr:colOff>0</xdr:colOff>
                    <xdr:row>21</xdr:row>
                    <xdr:rowOff>0</xdr:rowOff>
                  </from>
                  <to>
                    <xdr:col>6</xdr:col>
                    <xdr:colOff>0</xdr:colOff>
                    <xdr:row>23</xdr:row>
                    <xdr:rowOff>0</xdr:rowOff>
                  </to>
                </anchor>
              </controlPr>
            </control>
          </mc:Choice>
        </mc:AlternateContent>
        <mc:AlternateContent xmlns:mc="http://schemas.openxmlformats.org/markup-compatibility/2006">
          <mc:Choice Requires="x14">
            <control shapeId="1027" r:id="rId8" name="Button 3">
              <controlPr defaultSize="0" print="0" autoFill="0" autoPict="0" macro="[0]!Emails.Emails">
                <anchor moveWithCells="1" sizeWithCells="1">
                  <from>
                    <xdr:col>5</xdr:col>
                    <xdr:colOff>0</xdr:colOff>
                    <xdr:row>23</xdr:row>
                    <xdr:rowOff>0</xdr:rowOff>
                  </from>
                  <to>
                    <xdr:col>6</xdr:col>
                    <xdr:colOff>0</xdr:colOff>
                    <xdr:row>25</xdr:row>
                    <xdr:rowOff>0</xdr:rowOff>
                  </to>
                </anchor>
              </controlPr>
            </control>
          </mc:Choice>
        </mc:AlternateContent>
        <mc:AlternateContent xmlns:mc="http://schemas.openxmlformats.org/markup-compatibility/2006">
          <mc:Choice Requires="x14">
            <control shapeId="1028" r:id="rId9" name="Button 4">
              <controlPr defaultSize="0" print="0" autoFill="0" autoPict="0" macro="[0]!Update">
                <anchor moveWithCells="1" sizeWithCells="1">
                  <from>
                    <xdr:col>4</xdr:col>
                    <xdr:colOff>0</xdr:colOff>
                    <xdr:row>21</xdr:row>
                    <xdr:rowOff>0</xdr:rowOff>
                  </from>
                  <to>
                    <xdr:col>5</xdr:col>
                    <xdr:colOff>0</xdr:colOff>
                    <xdr:row>25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FF00"/>
  </sheetPr>
  <dimension ref="B1:E255"/>
  <sheetViews>
    <sheetView workbookViewId="0"/>
  </sheetViews>
  <sheetFormatPr baseColWidth="10" defaultRowHeight="15" x14ac:dyDescent="0.25"/>
  <cols>
    <col min="2" max="2" width="44.85546875" bestFit="1" customWidth="1"/>
    <col min="3" max="3" width="24.28515625" bestFit="1" customWidth="1"/>
    <col min="9" max="9" width="23.140625" customWidth="1"/>
    <col min="10" max="10" width="19.42578125" customWidth="1"/>
  </cols>
  <sheetData>
    <row r="1" spans="2:5" x14ac:dyDescent="0.25">
      <c r="B1" s="5" t="s">
        <v>3891</v>
      </c>
      <c r="C1" t="s">
        <v>0</v>
      </c>
      <c r="D1" t="s">
        <v>8026</v>
      </c>
      <c r="E1" t="s">
        <v>8027</v>
      </c>
    </row>
    <row r="2" spans="2:5" x14ac:dyDescent="0.25">
      <c r="B2" s="5" t="s">
        <v>3892</v>
      </c>
      <c r="C2" s="4" t="s">
        <v>8019</v>
      </c>
      <c r="D2" s="4" t="s">
        <v>8028</v>
      </c>
    </row>
    <row r="3" spans="2:5" x14ac:dyDescent="0.25">
      <c r="B3" s="5" t="s">
        <v>3893</v>
      </c>
      <c r="C3" s="4" t="s">
        <v>8019</v>
      </c>
      <c r="D3" s="4" t="s">
        <v>8028</v>
      </c>
    </row>
    <row r="4" spans="2:5" x14ac:dyDescent="0.25">
      <c r="B4" s="5" t="s">
        <v>3894</v>
      </c>
      <c r="C4" s="4" t="s">
        <v>8019</v>
      </c>
      <c r="D4" s="4" t="s">
        <v>8028</v>
      </c>
    </row>
    <row r="5" spans="2:5" x14ac:dyDescent="0.25">
      <c r="B5" s="5" t="s">
        <v>3895</v>
      </c>
      <c r="C5" s="4" t="s">
        <v>8019</v>
      </c>
      <c r="D5" s="4" t="s">
        <v>8028</v>
      </c>
    </row>
    <row r="6" spans="2:5" x14ac:dyDescent="0.25">
      <c r="B6" s="5" t="s">
        <v>3896</v>
      </c>
      <c r="C6" s="4" t="s">
        <v>8019</v>
      </c>
      <c r="D6" s="4" t="s">
        <v>8028</v>
      </c>
    </row>
    <row r="7" spans="2:5" x14ac:dyDescent="0.25">
      <c r="B7" s="5" t="s">
        <v>3897</v>
      </c>
      <c r="C7" s="4" t="s">
        <v>8019</v>
      </c>
      <c r="D7" s="4" t="s">
        <v>8028</v>
      </c>
    </row>
    <row r="8" spans="2:5" x14ac:dyDescent="0.25">
      <c r="B8" s="5" t="s">
        <v>3898</v>
      </c>
      <c r="C8" s="4" t="s">
        <v>8019</v>
      </c>
      <c r="D8" s="4" t="s">
        <v>8028</v>
      </c>
    </row>
    <row r="9" spans="2:5" x14ac:dyDescent="0.25">
      <c r="B9" s="5" t="s">
        <v>3899</v>
      </c>
      <c r="C9" s="4" t="s">
        <v>8019</v>
      </c>
      <c r="D9" s="4" t="s">
        <v>8028</v>
      </c>
    </row>
    <row r="10" spans="2:5" x14ac:dyDescent="0.25">
      <c r="B10" s="5" t="s">
        <v>3900</v>
      </c>
      <c r="C10" s="4" t="s">
        <v>8019</v>
      </c>
      <c r="D10" s="4" t="s">
        <v>8028</v>
      </c>
    </row>
    <row r="11" spans="2:5" x14ac:dyDescent="0.25">
      <c r="B11" s="5" t="s">
        <v>3901</v>
      </c>
      <c r="C11" s="4" t="s">
        <v>8019</v>
      </c>
      <c r="D11" s="4" t="s">
        <v>8028</v>
      </c>
    </row>
    <row r="12" spans="2:5" x14ac:dyDescent="0.25">
      <c r="B12" s="5" t="s">
        <v>3902</v>
      </c>
      <c r="C12" s="4" t="s">
        <v>8019</v>
      </c>
      <c r="D12" s="4" t="s">
        <v>8028</v>
      </c>
    </row>
    <row r="13" spans="2:5" x14ac:dyDescent="0.25">
      <c r="B13" s="5" t="s">
        <v>3903</v>
      </c>
      <c r="C13" s="4" t="s">
        <v>8019</v>
      </c>
      <c r="D13" s="4" t="s">
        <v>8028</v>
      </c>
    </row>
    <row r="14" spans="2:5" x14ac:dyDescent="0.25">
      <c r="B14" s="5" t="s">
        <v>3904</v>
      </c>
      <c r="C14" s="4" t="s">
        <v>8019</v>
      </c>
      <c r="D14" s="4" t="s">
        <v>8028</v>
      </c>
    </row>
    <row r="15" spans="2:5" x14ac:dyDescent="0.25">
      <c r="B15" s="5" t="s">
        <v>3905</v>
      </c>
      <c r="C15" s="4" t="s">
        <v>8019</v>
      </c>
      <c r="D15" s="4" t="s">
        <v>8028</v>
      </c>
    </row>
    <row r="16" spans="2:5" x14ac:dyDescent="0.25">
      <c r="B16" s="5" t="s">
        <v>3906</v>
      </c>
      <c r="C16" s="4" t="s">
        <v>8019</v>
      </c>
      <c r="D16" s="4" t="s">
        <v>8028</v>
      </c>
    </row>
    <row r="17" spans="2:4" x14ac:dyDescent="0.25">
      <c r="B17" s="5" t="s">
        <v>3907</v>
      </c>
      <c r="C17" s="4" t="s">
        <v>8019</v>
      </c>
      <c r="D17" s="4" t="s">
        <v>8028</v>
      </c>
    </row>
    <row r="18" spans="2:4" x14ac:dyDescent="0.25">
      <c r="B18" s="5" t="s">
        <v>3908</v>
      </c>
      <c r="C18" s="4" t="s">
        <v>8019</v>
      </c>
      <c r="D18" s="4" t="s">
        <v>8028</v>
      </c>
    </row>
    <row r="19" spans="2:4" x14ac:dyDescent="0.25">
      <c r="B19" s="5" t="s">
        <v>3909</v>
      </c>
      <c r="C19" s="4" t="s">
        <v>8019</v>
      </c>
      <c r="D19" s="4" t="s">
        <v>8028</v>
      </c>
    </row>
    <row r="20" spans="2:4" x14ac:dyDescent="0.25">
      <c r="B20" s="5" t="s">
        <v>3910</v>
      </c>
      <c r="C20" s="4" t="s">
        <v>8019</v>
      </c>
      <c r="D20" s="4" t="s">
        <v>8028</v>
      </c>
    </row>
    <row r="21" spans="2:4" x14ac:dyDescent="0.25">
      <c r="B21" s="5" t="s">
        <v>3911</v>
      </c>
      <c r="C21" s="4" t="s">
        <v>8019</v>
      </c>
    </row>
    <row r="22" spans="2:4" x14ac:dyDescent="0.25">
      <c r="B22" s="5" t="s">
        <v>3912</v>
      </c>
      <c r="C22" s="4" t="s">
        <v>8019</v>
      </c>
    </row>
    <row r="23" spans="2:4" x14ac:dyDescent="0.25">
      <c r="B23" s="5" t="s">
        <v>3913</v>
      </c>
      <c r="C23" s="4" t="s">
        <v>8019</v>
      </c>
    </row>
    <row r="24" spans="2:4" x14ac:dyDescent="0.25">
      <c r="B24" s="5" t="s">
        <v>3914</v>
      </c>
      <c r="C24" s="4" t="s">
        <v>8019</v>
      </c>
    </row>
    <row r="25" spans="2:4" x14ac:dyDescent="0.25">
      <c r="B25" s="5" t="s">
        <v>3915</v>
      </c>
      <c r="C25" s="4" t="s">
        <v>8019</v>
      </c>
    </row>
    <row r="26" spans="2:4" x14ac:dyDescent="0.25">
      <c r="B26" s="5" t="s">
        <v>3916</v>
      </c>
      <c r="C26" s="4" t="s">
        <v>8019</v>
      </c>
    </row>
    <row r="27" spans="2:4" x14ac:dyDescent="0.25">
      <c r="B27" s="5" t="s">
        <v>3917</v>
      </c>
      <c r="C27" s="4" t="s">
        <v>8019</v>
      </c>
    </row>
    <row r="28" spans="2:4" x14ac:dyDescent="0.25">
      <c r="B28" s="5" t="s">
        <v>3918</v>
      </c>
      <c r="C28" s="4" t="s">
        <v>8019</v>
      </c>
    </row>
    <row r="29" spans="2:4" x14ac:dyDescent="0.25">
      <c r="B29" s="5" t="s">
        <v>3919</v>
      </c>
      <c r="C29" s="4" t="s">
        <v>8019</v>
      </c>
    </row>
    <row r="30" spans="2:4" x14ac:dyDescent="0.25">
      <c r="B30" s="5" t="s">
        <v>3920</v>
      </c>
      <c r="C30" s="4" t="s">
        <v>8019</v>
      </c>
    </row>
    <row r="31" spans="2:4" x14ac:dyDescent="0.25">
      <c r="B31" s="5" t="s">
        <v>3921</v>
      </c>
      <c r="C31" s="4" t="s">
        <v>8019</v>
      </c>
    </row>
    <row r="32" spans="2:4" x14ac:dyDescent="0.25">
      <c r="B32" s="5" t="s">
        <v>3922</v>
      </c>
      <c r="C32" s="4" t="s">
        <v>8019</v>
      </c>
    </row>
    <row r="33" spans="2:3" x14ac:dyDescent="0.25">
      <c r="B33" s="5" t="s">
        <v>3923</v>
      </c>
      <c r="C33" s="4" t="s">
        <v>8019</v>
      </c>
    </row>
    <row r="34" spans="2:3" x14ac:dyDescent="0.25">
      <c r="B34" s="5" t="s">
        <v>3924</v>
      </c>
      <c r="C34" s="4" t="s">
        <v>8019</v>
      </c>
    </row>
    <row r="35" spans="2:3" x14ac:dyDescent="0.25">
      <c r="B35" s="5" t="s">
        <v>3925</v>
      </c>
      <c r="C35" s="4" t="s">
        <v>8019</v>
      </c>
    </row>
    <row r="36" spans="2:3" x14ac:dyDescent="0.25">
      <c r="B36" s="5" t="s">
        <v>3926</v>
      </c>
      <c r="C36" s="4" t="s">
        <v>8019</v>
      </c>
    </row>
    <row r="37" spans="2:3" x14ac:dyDescent="0.25">
      <c r="B37" s="5" t="s">
        <v>3927</v>
      </c>
      <c r="C37" s="4" t="s">
        <v>8019</v>
      </c>
    </row>
    <row r="38" spans="2:3" x14ac:dyDescent="0.25">
      <c r="B38" s="5" t="s">
        <v>3928</v>
      </c>
      <c r="C38" s="4" t="s">
        <v>8019</v>
      </c>
    </row>
    <row r="39" spans="2:3" x14ac:dyDescent="0.25">
      <c r="B39" s="5" t="s">
        <v>3929</v>
      </c>
      <c r="C39" s="4" t="s">
        <v>8019</v>
      </c>
    </row>
    <row r="40" spans="2:3" x14ac:dyDescent="0.25">
      <c r="B40" s="5" t="s">
        <v>3930</v>
      </c>
      <c r="C40" s="4" t="s">
        <v>8019</v>
      </c>
    </row>
    <row r="41" spans="2:3" x14ac:dyDescent="0.25">
      <c r="B41" s="5" t="s">
        <v>3931</v>
      </c>
      <c r="C41" s="4" t="s">
        <v>8019</v>
      </c>
    </row>
    <row r="42" spans="2:3" x14ac:dyDescent="0.25">
      <c r="B42" s="5" t="s">
        <v>3932</v>
      </c>
      <c r="C42" s="4" t="s">
        <v>8019</v>
      </c>
    </row>
    <row r="43" spans="2:3" x14ac:dyDescent="0.25">
      <c r="B43" s="5" t="s">
        <v>3933</v>
      </c>
      <c r="C43" s="4" t="s">
        <v>8019</v>
      </c>
    </row>
    <row r="44" spans="2:3" x14ac:dyDescent="0.25">
      <c r="B44" s="5" t="s">
        <v>3934</v>
      </c>
      <c r="C44" s="4" t="s">
        <v>8019</v>
      </c>
    </row>
    <row r="45" spans="2:3" x14ac:dyDescent="0.25">
      <c r="B45" s="5" t="s">
        <v>3935</v>
      </c>
      <c r="C45" s="4" t="s">
        <v>8019</v>
      </c>
    </row>
    <row r="46" spans="2:3" x14ac:dyDescent="0.25">
      <c r="B46" s="5" t="s">
        <v>3936</v>
      </c>
      <c r="C46" s="4" t="s">
        <v>8019</v>
      </c>
    </row>
    <row r="47" spans="2:3" x14ac:dyDescent="0.25">
      <c r="B47" s="5" t="s">
        <v>3937</v>
      </c>
      <c r="C47" s="4" t="s">
        <v>8019</v>
      </c>
    </row>
    <row r="48" spans="2:3" x14ac:dyDescent="0.25">
      <c r="B48" s="5" t="s">
        <v>3938</v>
      </c>
      <c r="C48" s="4" t="s">
        <v>8019</v>
      </c>
    </row>
    <row r="49" spans="2:3" x14ac:dyDescent="0.25">
      <c r="B49" s="5" t="s">
        <v>3939</v>
      </c>
      <c r="C49" s="4" t="s">
        <v>8019</v>
      </c>
    </row>
    <row r="50" spans="2:3" x14ac:dyDescent="0.25">
      <c r="B50" s="5" t="s">
        <v>3940</v>
      </c>
      <c r="C50" s="4" t="s">
        <v>8019</v>
      </c>
    </row>
    <row r="51" spans="2:3" x14ac:dyDescent="0.25">
      <c r="B51" s="5" t="s">
        <v>3941</v>
      </c>
      <c r="C51" s="4" t="s">
        <v>8019</v>
      </c>
    </row>
    <row r="52" spans="2:3" x14ac:dyDescent="0.25">
      <c r="B52" s="5" t="s">
        <v>3942</v>
      </c>
      <c r="C52" s="4" t="s">
        <v>8019</v>
      </c>
    </row>
    <row r="53" spans="2:3" x14ac:dyDescent="0.25">
      <c r="B53" s="5" t="s">
        <v>3943</v>
      </c>
      <c r="C53" s="4" t="s">
        <v>8019</v>
      </c>
    </row>
    <row r="54" spans="2:3" x14ac:dyDescent="0.25">
      <c r="B54" s="5" t="s">
        <v>3944</v>
      </c>
      <c r="C54" s="4" t="s">
        <v>8019</v>
      </c>
    </row>
    <row r="55" spans="2:3" x14ac:dyDescent="0.25">
      <c r="B55" s="5" t="s">
        <v>3945</v>
      </c>
      <c r="C55" s="4" t="s">
        <v>8019</v>
      </c>
    </row>
    <row r="56" spans="2:3" x14ac:dyDescent="0.25">
      <c r="B56" s="5" t="s">
        <v>3946</v>
      </c>
      <c r="C56" s="4" t="s">
        <v>8019</v>
      </c>
    </row>
    <row r="57" spans="2:3" x14ac:dyDescent="0.25">
      <c r="B57" s="5" t="s">
        <v>3947</v>
      </c>
      <c r="C57" s="4" t="s">
        <v>8019</v>
      </c>
    </row>
    <row r="58" spans="2:3" x14ac:dyDescent="0.25">
      <c r="B58" s="5" t="s">
        <v>3948</v>
      </c>
      <c r="C58" s="4" t="s">
        <v>8019</v>
      </c>
    </row>
    <row r="59" spans="2:3" x14ac:dyDescent="0.25">
      <c r="B59" s="5" t="s">
        <v>3949</v>
      </c>
      <c r="C59" s="4" t="s">
        <v>8019</v>
      </c>
    </row>
    <row r="60" spans="2:3" x14ac:dyDescent="0.25">
      <c r="B60" s="5" t="s">
        <v>3950</v>
      </c>
      <c r="C60" s="4" t="s">
        <v>8019</v>
      </c>
    </row>
    <row r="61" spans="2:3" x14ac:dyDescent="0.25">
      <c r="B61" s="5" t="s">
        <v>3951</v>
      </c>
      <c r="C61" s="4" t="s">
        <v>8019</v>
      </c>
    </row>
    <row r="62" spans="2:3" x14ac:dyDescent="0.25">
      <c r="B62" s="5" t="s">
        <v>3952</v>
      </c>
      <c r="C62" s="4" t="s">
        <v>8019</v>
      </c>
    </row>
    <row r="63" spans="2:3" x14ac:dyDescent="0.25">
      <c r="B63" s="5" t="s">
        <v>3953</v>
      </c>
      <c r="C63" s="4" t="s">
        <v>8019</v>
      </c>
    </row>
    <row r="64" spans="2:3" x14ac:dyDescent="0.25">
      <c r="B64" s="5" t="s">
        <v>3954</v>
      </c>
      <c r="C64" s="4" t="s">
        <v>8019</v>
      </c>
    </row>
    <row r="65" spans="2:3" x14ac:dyDescent="0.25">
      <c r="B65" s="5" t="s">
        <v>3955</v>
      </c>
      <c r="C65" s="4" t="s">
        <v>8019</v>
      </c>
    </row>
    <row r="66" spans="2:3" x14ac:dyDescent="0.25">
      <c r="B66" s="5" t="s">
        <v>3956</v>
      </c>
      <c r="C66" s="4" t="s">
        <v>8019</v>
      </c>
    </row>
    <row r="67" spans="2:3" x14ac:dyDescent="0.25">
      <c r="B67" s="5" t="s">
        <v>3957</v>
      </c>
      <c r="C67" s="4" t="s">
        <v>8019</v>
      </c>
    </row>
    <row r="68" spans="2:3" x14ac:dyDescent="0.25">
      <c r="B68" s="5" t="s">
        <v>3958</v>
      </c>
      <c r="C68" s="4" t="s">
        <v>8019</v>
      </c>
    </row>
    <row r="69" spans="2:3" x14ac:dyDescent="0.25">
      <c r="B69" s="5" t="s">
        <v>3959</v>
      </c>
      <c r="C69" s="4" t="s">
        <v>8019</v>
      </c>
    </row>
    <row r="70" spans="2:3" x14ac:dyDescent="0.25">
      <c r="B70" s="5" t="s">
        <v>3960</v>
      </c>
      <c r="C70" s="4" t="s">
        <v>8019</v>
      </c>
    </row>
    <row r="71" spans="2:3" x14ac:dyDescent="0.25">
      <c r="B71" s="5" t="s">
        <v>3961</v>
      </c>
      <c r="C71" s="4" t="s">
        <v>8019</v>
      </c>
    </row>
    <row r="72" spans="2:3" x14ac:dyDescent="0.25">
      <c r="B72" s="5" t="s">
        <v>3962</v>
      </c>
      <c r="C72" s="4" t="s">
        <v>8019</v>
      </c>
    </row>
    <row r="73" spans="2:3" x14ac:dyDescent="0.25">
      <c r="B73" s="5" t="s">
        <v>3963</v>
      </c>
      <c r="C73" s="4" t="s">
        <v>8019</v>
      </c>
    </row>
    <row r="74" spans="2:3" x14ac:dyDescent="0.25">
      <c r="B74" s="5" t="s">
        <v>3964</v>
      </c>
      <c r="C74" s="4" t="s">
        <v>8019</v>
      </c>
    </row>
    <row r="75" spans="2:3" x14ac:dyDescent="0.25">
      <c r="B75" s="5" t="s">
        <v>3965</v>
      </c>
      <c r="C75" s="4" t="s">
        <v>8019</v>
      </c>
    </row>
    <row r="76" spans="2:3" x14ac:dyDescent="0.25">
      <c r="B76" s="5" t="s">
        <v>3966</v>
      </c>
      <c r="C76" s="4" t="s">
        <v>8019</v>
      </c>
    </row>
    <row r="77" spans="2:3" x14ac:dyDescent="0.25">
      <c r="B77" s="5" t="s">
        <v>3967</v>
      </c>
      <c r="C77" s="4" t="s">
        <v>8019</v>
      </c>
    </row>
    <row r="78" spans="2:3" x14ac:dyDescent="0.25">
      <c r="B78" s="5" t="s">
        <v>3968</v>
      </c>
      <c r="C78" s="4" t="s">
        <v>8019</v>
      </c>
    </row>
    <row r="79" spans="2:3" x14ac:dyDescent="0.25">
      <c r="B79" s="5" t="s">
        <v>3969</v>
      </c>
      <c r="C79" s="4" t="s">
        <v>8019</v>
      </c>
    </row>
    <row r="80" spans="2:3" x14ac:dyDescent="0.25">
      <c r="B80" s="5" t="s">
        <v>3970</v>
      </c>
      <c r="C80" s="4" t="s">
        <v>8019</v>
      </c>
    </row>
    <row r="81" spans="2:3" x14ac:dyDescent="0.25">
      <c r="B81" s="5" t="s">
        <v>3971</v>
      </c>
      <c r="C81" s="4" t="s">
        <v>8019</v>
      </c>
    </row>
    <row r="82" spans="2:3" x14ac:dyDescent="0.25">
      <c r="B82" s="5" t="s">
        <v>3972</v>
      </c>
      <c r="C82" s="4" t="s">
        <v>8019</v>
      </c>
    </row>
    <row r="83" spans="2:3" x14ac:dyDescent="0.25">
      <c r="B83" s="5" t="s">
        <v>3973</v>
      </c>
      <c r="C83" s="4" t="s">
        <v>8019</v>
      </c>
    </row>
    <row r="84" spans="2:3" x14ac:dyDescent="0.25">
      <c r="B84" s="5" t="s">
        <v>3974</v>
      </c>
      <c r="C84" s="4" t="s">
        <v>8019</v>
      </c>
    </row>
    <row r="85" spans="2:3" x14ac:dyDescent="0.25">
      <c r="B85" s="5" t="s">
        <v>3975</v>
      </c>
      <c r="C85" s="4" t="s">
        <v>8019</v>
      </c>
    </row>
    <row r="86" spans="2:3" x14ac:dyDescent="0.25">
      <c r="B86" s="5" t="s">
        <v>3976</v>
      </c>
      <c r="C86" s="4" t="s">
        <v>8019</v>
      </c>
    </row>
    <row r="87" spans="2:3" x14ac:dyDescent="0.25">
      <c r="B87" s="5" t="s">
        <v>3977</v>
      </c>
      <c r="C87" s="4" t="s">
        <v>8019</v>
      </c>
    </row>
    <row r="88" spans="2:3" x14ac:dyDescent="0.25">
      <c r="B88" s="5" t="s">
        <v>3978</v>
      </c>
      <c r="C88" s="4" t="s">
        <v>8019</v>
      </c>
    </row>
    <row r="89" spans="2:3" x14ac:dyDescent="0.25">
      <c r="B89" s="5" t="s">
        <v>3979</v>
      </c>
      <c r="C89" s="4" t="s">
        <v>8019</v>
      </c>
    </row>
    <row r="90" spans="2:3" x14ac:dyDescent="0.25">
      <c r="B90" s="5" t="s">
        <v>3980</v>
      </c>
      <c r="C90" s="4" t="s">
        <v>8019</v>
      </c>
    </row>
    <row r="91" spans="2:3" x14ac:dyDescent="0.25">
      <c r="B91" s="5" t="s">
        <v>3981</v>
      </c>
      <c r="C91" s="4" t="s">
        <v>8019</v>
      </c>
    </row>
    <row r="92" spans="2:3" x14ac:dyDescent="0.25">
      <c r="B92" s="5" t="s">
        <v>3982</v>
      </c>
      <c r="C92" s="4" t="s">
        <v>8019</v>
      </c>
    </row>
    <row r="93" spans="2:3" x14ac:dyDescent="0.25">
      <c r="B93" s="5" t="s">
        <v>3983</v>
      </c>
      <c r="C93" s="4" t="s">
        <v>8019</v>
      </c>
    </row>
    <row r="94" spans="2:3" x14ac:dyDescent="0.25">
      <c r="B94" s="5" t="s">
        <v>3984</v>
      </c>
      <c r="C94" s="4" t="s">
        <v>8019</v>
      </c>
    </row>
    <row r="95" spans="2:3" x14ac:dyDescent="0.25">
      <c r="B95" s="5" t="s">
        <v>3985</v>
      </c>
      <c r="C95" s="4" t="s">
        <v>8019</v>
      </c>
    </row>
    <row r="96" spans="2:3" x14ac:dyDescent="0.25">
      <c r="B96" s="5" t="s">
        <v>3986</v>
      </c>
      <c r="C96" s="4" t="s">
        <v>8019</v>
      </c>
    </row>
    <row r="97" spans="2:3" x14ac:dyDescent="0.25">
      <c r="B97" s="5" t="s">
        <v>3987</v>
      </c>
      <c r="C97" s="4" t="s">
        <v>8019</v>
      </c>
    </row>
    <row r="98" spans="2:3" x14ac:dyDescent="0.25">
      <c r="B98" s="5" t="s">
        <v>3988</v>
      </c>
      <c r="C98" s="4" t="s">
        <v>8019</v>
      </c>
    </row>
    <row r="99" spans="2:3" x14ac:dyDescent="0.25">
      <c r="B99" s="5" t="s">
        <v>3989</v>
      </c>
      <c r="C99" s="4" t="s">
        <v>8019</v>
      </c>
    </row>
    <row r="100" spans="2:3" x14ac:dyDescent="0.25">
      <c r="B100" s="5" t="s">
        <v>3990</v>
      </c>
      <c r="C100" s="4" t="s">
        <v>8019</v>
      </c>
    </row>
    <row r="101" spans="2:3" x14ac:dyDescent="0.25">
      <c r="B101" s="5" t="s">
        <v>3991</v>
      </c>
      <c r="C101" s="4" t="s">
        <v>8019</v>
      </c>
    </row>
    <row r="102" spans="2:3" x14ac:dyDescent="0.25">
      <c r="B102" s="5" t="s">
        <v>3992</v>
      </c>
      <c r="C102" s="4" t="s">
        <v>8019</v>
      </c>
    </row>
    <row r="103" spans="2:3" x14ac:dyDescent="0.25">
      <c r="B103" s="5" t="s">
        <v>3993</v>
      </c>
      <c r="C103" s="4" t="s">
        <v>8019</v>
      </c>
    </row>
    <row r="104" spans="2:3" x14ac:dyDescent="0.25">
      <c r="B104" s="5" t="s">
        <v>3994</v>
      </c>
      <c r="C104" s="4" t="s">
        <v>8019</v>
      </c>
    </row>
    <row r="105" spans="2:3" x14ac:dyDescent="0.25">
      <c r="B105" s="5" t="s">
        <v>3995</v>
      </c>
      <c r="C105" s="4" t="s">
        <v>8019</v>
      </c>
    </row>
    <row r="106" spans="2:3" x14ac:dyDescent="0.25">
      <c r="B106" s="5" t="s">
        <v>3996</v>
      </c>
      <c r="C106" s="4" t="s">
        <v>8019</v>
      </c>
    </row>
    <row r="107" spans="2:3" x14ac:dyDescent="0.25">
      <c r="B107" s="5" t="s">
        <v>3997</v>
      </c>
      <c r="C107" s="4" t="s">
        <v>8019</v>
      </c>
    </row>
    <row r="108" spans="2:3" x14ac:dyDescent="0.25">
      <c r="B108" s="5" t="s">
        <v>3998</v>
      </c>
      <c r="C108" s="4" t="s">
        <v>8019</v>
      </c>
    </row>
    <row r="109" spans="2:3" x14ac:dyDescent="0.25">
      <c r="B109" s="5" t="s">
        <v>3999</v>
      </c>
      <c r="C109" s="4" t="s">
        <v>8019</v>
      </c>
    </row>
    <row r="110" spans="2:3" x14ac:dyDescent="0.25">
      <c r="B110" s="5" t="s">
        <v>4000</v>
      </c>
      <c r="C110" s="4" t="s">
        <v>8019</v>
      </c>
    </row>
    <row r="111" spans="2:3" x14ac:dyDescent="0.25">
      <c r="B111" s="5" t="s">
        <v>4001</v>
      </c>
      <c r="C111" s="4" t="s">
        <v>8019</v>
      </c>
    </row>
    <row r="112" spans="2:3" x14ac:dyDescent="0.25">
      <c r="B112" s="5" t="s">
        <v>4002</v>
      </c>
      <c r="C112" s="4" t="s">
        <v>8019</v>
      </c>
    </row>
    <row r="113" spans="2:3" x14ac:dyDescent="0.25">
      <c r="B113" s="5" t="s">
        <v>4003</v>
      </c>
      <c r="C113" s="4" t="s">
        <v>8019</v>
      </c>
    </row>
    <row r="114" spans="2:3" x14ac:dyDescent="0.25">
      <c r="B114" s="5" t="s">
        <v>4004</v>
      </c>
      <c r="C114" s="4" t="s">
        <v>8019</v>
      </c>
    </row>
    <row r="115" spans="2:3" x14ac:dyDescent="0.25">
      <c r="B115" s="5" t="s">
        <v>4005</v>
      </c>
      <c r="C115" s="4" t="s">
        <v>8019</v>
      </c>
    </row>
    <row r="116" spans="2:3" x14ac:dyDescent="0.25">
      <c r="B116" s="5" t="s">
        <v>4006</v>
      </c>
      <c r="C116" s="4" t="s">
        <v>8019</v>
      </c>
    </row>
    <row r="117" spans="2:3" x14ac:dyDescent="0.25">
      <c r="B117" s="5" t="s">
        <v>4007</v>
      </c>
      <c r="C117" s="4" t="s">
        <v>8019</v>
      </c>
    </row>
    <row r="118" spans="2:3" x14ac:dyDescent="0.25">
      <c r="B118" s="5" t="s">
        <v>4008</v>
      </c>
      <c r="C118" s="4" t="s">
        <v>8019</v>
      </c>
    </row>
    <row r="119" spans="2:3" x14ac:dyDescent="0.25">
      <c r="B119" s="5" t="s">
        <v>4009</v>
      </c>
      <c r="C119" s="4" t="s">
        <v>8019</v>
      </c>
    </row>
    <row r="120" spans="2:3" x14ac:dyDescent="0.25">
      <c r="B120" s="5" t="s">
        <v>4010</v>
      </c>
      <c r="C120" s="4" t="s">
        <v>8019</v>
      </c>
    </row>
    <row r="121" spans="2:3" x14ac:dyDescent="0.25">
      <c r="B121" s="5" t="s">
        <v>4011</v>
      </c>
      <c r="C121" s="4" t="s">
        <v>8019</v>
      </c>
    </row>
    <row r="122" spans="2:3" x14ac:dyDescent="0.25">
      <c r="B122" s="5" t="s">
        <v>4012</v>
      </c>
      <c r="C122" s="4" t="s">
        <v>8019</v>
      </c>
    </row>
    <row r="123" spans="2:3" x14ac:dyDescent="0.25">
      <c r="B123" s="5" t="s">
        <v>4013</v>
      </c>
      <c r="C123" s="4" t="s">
        <v>8019</v>
      </c>
    </row>
    <row r="124" spans="2:3" x14ac:dyDescent="0.25">
      <c r="B124" s="5" t="s">
        <v>4014</v>
      </c>
      <c r="C124" s="4" t="s">
        <v>8019</v>
      </c>
    </row>
    <row r="125" spans="2:3" x14ac:dyDescent="0.25">
      <c r="B125" s="5" t="s">
        <v>4015</v>
      </c>
      <c r="C125" s="4" t="s">
        <v>8019</v>
      </c>
    </row>
    <row r="126" spans="2:3" x14ac:dyDescent="0.25">
      <c r="B126" s="5" t="s">
        <v>4016</v>
      </c>
      <c r="C126" s="4" t="s">
        <v>8019</v>
      </c>
    </row>
    <row r="127" spans="2:3" x14ac:dyDescent="0.25">
      <c r="B127" s="5" t="s">
        <v>4017</v>
      </c>
      <c r="C127" s="4" t="s">
        <v>8019</v>
      </c>
    </row>
    <row r="128" spans="2:3" x14ac:dyDescent="0.25">
      <c r="B128" s="5" t="s">
        <v>4018</v>
      </c>
      <c r="C128" s="4" t="s">
        <v>8019</v>
      </c>
    </row>
    <row r="129" spans="2:3" x14ac:dyDescent="0.25">
      <c r="B129" s="5" t="s">
        <v>4019</v>
      </c>
      <c r="C129" s="4" t="s">
        <v>8019</v>
      </c>
    </row>
    <row r="130" spans="2:3" x14ac:dyDescent="0.25">
      <c r="B130" s="5" t="s">
        <v>4020</v>
      </c>
      <c r="C130" s="4" t="s">
        <v>8019</v>
      </c>
    </row>
    <row r="131" spans="2:3" x14ac:dyDescent="0.25">
      <c r="B131" s="5" t="s">
        <v>4021</v>
      </c>
      <c r="C131" s="4" t="s">
        <v>8019</v>
      </c>
    </row>
    <row r="132" spans="2:3" x14ac:dyDescent="0.25">
      <c r="B132" s="5" t="s">
        <v>4022</v>
      </c>
      <c r="C132" s="4" t="s">
        <v>8019</v>
      </c>
    </row>
    <row r="133" spans="2:3" x14ac:dyDescent="0.25">
      <c r="B133" s="5" t="s">
        <v>4023</v>
      </c>
      <c r="C133" s="4" t="s">
        <v>8019</v>
      </c>
    </row>
    <row r="134" spans="2:3" x14ac:dyDescent="0.25">
      <c r="B134" s="5" t="s">
        <v>4024</v>
      </c>
      <c r="C134" s="4" t="s">
        <v>8019</v>
      </c>
    </row>
    <row r="135" spans="2:3" x14ac:dyDescent="0.25">
      <c r="B135" s="5" t="s">
        <v>4025</v>
      </c>
      <c r="C135" s="4" t="s">
        <v>8019</v>
      </c>
    </row>
    <row r="136" spans="2:3" x14ac:dyDescent="0.25">
      <c r="B136" s="5" t="s">
        <v>4026</v>
      </c>
      <c r="C136" s="4" t="s">
        <v>8019</v>
      </c>
    </row>
    <row r="137" spans="2:3" x14ac:dyDescent="0.25">
      <c r="B137" s="5" t="s">
        <v>4027</v>
      </c>
      <c r="C137" s="4" t="s">
        <v>8019</v>
      </c>
    </row>
    <row r="138" spans="2:3" x14ac:dyDescent="0.25">
      <c r="B138" s="5" t="s">
        <v>4028</v>
      </c>
      <c r="C138" s="4" t="s">
        <v>8019</v>
      </c>
    </row>
    <row r="139" spans="2:3" x14ac:dyDescent="0.25">
      <c r="B139" s="5" t="s">
        <v>4029</v>
      </c>
      <c r="C139" s="4" t="s">
        <v>8019</v>
      </c>
    </row>
    <row r="140" spans="2:3" x14ac:dyDescent="0.25">
      <c r="B140" s="5" t="s">
        <v>4030</v>
      </c>
      <c r="C140" s="4" t="s">
        <v>8019</v>
      </c>
    </row>
    <row r="141" spans="2:3" x14ac:dyDescent="0.25">
      <c r="B141" s="5" t="s">
        <v>4031</v>
      </c>
      <c r="C141" s="4" t="s">
        <v>8019</v>
      </c>
    </row>
    <row r="142" spans="2:3" x14ac:dyDescent="0.25">
      <c r="B142" s="5" t="s">
        <v>4032</v>
      </c>
      <c r="C142" s="4" t="s">
        <v>8019</v>
      </c>
    </row>
    <row r="143" spans="2:3" x14ac:dyDescent="0.25">
      <c r="B143" s="5" t="s">
        <v>4033</v>
      </c>
      <c r="C143" s="4" t="s">
        <v>8019</v>
      </c>
    </row>
    <row r="144" spans="2:3" x14ac:dyDescent="0.25">
      <c r="B144" s="5" t="s">
        <v>4034</v>
      </c>
      <c r="C144" s="4" t="s">
        <v>8019</v>
      </c>
    </row>
    <row r="145" spans="2:3" x14ac:dyDescent="0.25">
      <c r="B145" s="5" t="s">
        <v>4035</v>
      </c>
      <c r="C145" s="4" t="s">
        <v>8019</v>
      </c>
    </row>
    <row r="146" spans="2:3" x14ac:dyDescent="0.25">
      <c r="B146" s="5" t="s">
        <v>4036</v>
      </c>
      <c r="C146" s="4" t="s">
        <v>8019</v>
      </c>
    </row>
    <row r="147" spans="2:3" x14ac:dyDescent="0.25">
      <c r="B147" s="5" t="s">
        <v>4037</v>
      </c>
      <c r="C147" s="4" t="s">
        <v>8019</v>
      </c>
    </row>
    <row r="148" spans="2:3" x14ac:dyDescent="0.25">
      <c r="B148" s="5" t="s">
        <v>4038</v>
      </c>
      <c r="C148" s="4" t="s">
        <v>8019</v>
      </c>
    </row>
    <row r="149" spans="2:3" x14ac:dyDescent="0.25">
      <c r="B149" s="5" t="s">
        <v>4039</v>
      </c>
      <c r="C149" s="4" t="s">
        <v>8019</v>
      </c>
    </row>
    <row r="150" spans="2:3" x14ac:dyDescent="0.25">
      <c r="B150" s="5" t="s">
        <v>4040</v>
      </c>
      <c r="C150" s="4" t="s">
        <v>8019</v>
      </c>
    </row>
    <row r="151" spans="2:3" x14ac:dyDescent="0.25">
      <c r="B151" s="5" t="s">
        <v>4041</v>
      </c>
      <c r="C151" s="4" t="s">
        <v>8019</v>
      </c>
    </row>
    <row r="152" spans="2:3" x14ac:dyDescent="0.25">
      <c r="B152" s="5" t="s">
        <v>4042</v>
      </c>
      <c r="C152" s="4" t="s">
        <v>8019</v>
      </c>
    </row>
    <row r="153" spans="2:3" x14ac:dyDescent="0.25">
      <c r="B153" s="5" t="s">
        <v>4043</v>
      </c>
      <c r="C153" s="4" t="s">
        <v>8019</v>
      </c>
    </row>
    <row r="154" spans="2:3" x14ac:dyDescent="0.25">
      <c r="B154" s="5" t="s">
        <v>4044</v>
      </c>
      <c r="C154" s="4" t="s">
        <v>8019</v>
      </c>
    </row>
    <row r="155" spans="2:3" x14ac:dyDescent="0.25">
      <c r="B155" s="5" t="s">
        <v>4045</v>
      </c>
      <c r="C155" s="4" t="s">
        <v>8019</v>
      </c>
    </row>
    <row r="156" spans="2:3" x14ac:dyDescent="0.25">
      <c r="B156" s="5" t="s">
        <v>4046</v>
      </c>
      <c r="C156" s="4" t="s">
        <v>8019</v>
      </c>
    </row>
    <row r="157" spans="2:3" x14ac:dyDescent="0.25">
      <c r="B157" s="5" t="s">
        <v>4047</v>
      </c>
      <c r="C157" s="4" t="s">
        <v>8019</v>
      </c>
    </row>
    <row r="158" spans="2:3" x14ac:dyDescent="0.25">
      <c r="B158" s="5" t="s">
        <v>4048</v>
      </c>
      <c r="C158" s="4" t="s">
        <v>8019</v>
      </c>
    </row>
    <row r="159" spans="2:3" x14ac:dyDescent="0.25">
      <c r="B159" s="5" t="s">
        <v>4049</v>
      </c>
      <c r="C159" s="4" t="s">
        <v>8019</v>
      </c>
    </row>
    <row r="160" spans="2:3" x14ac:dyDescent="0.25">
      <c r="B160" s="5" t="s">
        <v>4050</v>
      </c>
      <c r="C160" s="4" t="s">
        <v>8019</v>
      </c>
    </row>
    <row r="161" spans="2:3" x14ac:dyDescent="0.25">
      <c r="B161" s="5" t="s">
        <v>4051</v>
      </c>
      <c r="C161" s="4" t="s">
        <v>8019</v>
      </c>
    </row>
    <row r="162" spans="2:3" x14ac:dyDescent="0.25">
      <c r="B162" s="5" t="s">
        <v>4052</v>
      </c>
      <c r="C162" s="4" t="s">
        <v>8019</v>
      </c>
    </row>
    <row r="163" spans="2:3" x14ac:dyDescent="0.25">
      <c r="B163" s="5" t="s">
        <v>4053</v>
      </c>
      <c r="C163" s="4" t="s">
        <v>8019</v>
      </c>
    </row>
    <row r="164" spans="2:3" x14ac:dyDescent="0.25">
      <c r="B164" s="5" t="s">
        <v>4054</v>
      </c>
      <c r="C164" s="4" t="s">
        <v>8019</v>
      </c>
    </row>
    <row r="165" spans="2:3" x14ac:dyDescent="0.25">
      <c r="B165" s="5" t="s">
        <v>4055</v>
      </c>
      <c r="C165" s="4" t="s">
        <v>8019</v>
      </c>
    </row>
    <row r="166" spans="2:3" x14ac:dyDescent="0.25">
      <c r="B166" s="5" t="s">
        <v>4056</v>
      </c>
      <c r="C166" s="4" t="s">
        <v>8019</v>
      </c>
    </row>
    <row r="167" spans="2:3" x14ac:dyDescent="0.25">
      <c r="B167" s="5" t="s">
        <v>4057</v>
      </c>
      <c r="C167" s="4" t="s">
        <v>8019</v>
      </c>
    </row>
    <row r="168" spans="2:3" x14ac:dyDescent="0.25">
      <c r="B168" s="5" t="s">
        <v>4058</v>
      </c>
      <c r="C168" s="4" t="s">
        <v>8019</v>
      </c>
    </row>
    <row r="169" spans="2:3" x14ac:dyDescent="0.25">
      <c r="B169" s="5" t="s">
        <v>4059</v>
      </c>
      <c r="C169" s="4" t="s">
        <v>8019</v>
      </c>
    </row>
    <row r="170" spans="2:3" x14ac:dyDescent="0.25">
      <c r="B170" s="5" t="s">
        <v>4060</v>
      </c>
      <c r="C170" s="4" t="s">
        <v>8019</v>
      </c>
    </row>
    <row r="171" spans="2:3" x14ac:dyDescent="0.25">
      <c r="B171" s="5" t="s">
        <v>4061</v>
      </c>
      <c r="C171" s="4" t="s">
        <v>8019</v>
      </c>
    </row>
    <row r="172" spans="2:3" x14ac:dyDescent="0.25">
      <c r="B172" s="5" t="s">
        <v>4062</v>
      </c>
      <c r="C172" s="4" t="s">
        <v>8019</v>
      </c>
    </row>
    <row r="173" spans="2:3" x14ac:dyDescent="0.25">
      <c r="B173" s="5" t="s">
        <v>4063</v>
      </c>
      <c r="C173" s="4" t="s">
        <v>8019</v>
      </c>
    </row>
    <row r="174" spans="2:3" x14ac:dyDescent="0.25">
      <c r="B174" s="5" t="s">
        <v>4064</v>
      </c>
      <c r="C174" s="4" t="s">
        <v>8019</v>
      </c>
    </row>
    <row r="175" spans="2:3" x14ac:dyDescent="0.25">
      <c r="B175" s="5" t="s">
        <v>4065</v>
      </c>
      <c r="C175" s="4" t="s">
        <v>8019</v>
      </c>
    </row>
    <row r="176" spans="2:3" x14ac:dyDescent="0.25">
      <c r="B176" s="5" t="s">
        <v>4066</v>
      </c>
      <c r="C176" s="4" t="s">
        <v>8019</v>
      </c>
    </row>
    <row r="177" spans="2:3" x14ac:dyDescent="0.25">
      <c r="B177" s="5" t="s">
        <v>4067</v>
      </c>
      <c r="C177" s="4" t="s">
        <v>8019</v>
      </c>
    </row>
    <row r="178" spans="2:3" x14ac:dyDescent="0.25">
      <c r="B178" s="5" t="s">
        <v>4068</v>
      </c>
      <c r="C178" s="4" t="s">
        <v>8019</v>
      </c>
    </row>
    <row r="179" spans="2:3" x14ac:dyDescent="0.25">
      <c r="B179" s="5" t="s">
        <v>4069</v>
      </c>
      <c r="C179" s="4" t="s">
        <v>8019</v>
      </c>
    </row>
    <row r="180" spans="2:3" x14ac:dyDescent="0.25">
      <c r="B180" s="5" t="s">
        <v>4070</v>
      </c>
      <c r="C180" s="4" t="s">
        <v>8019</v>
      </c>
    </row>
    <row r="181" spans="2:3" x14ac:dyDescent="0.25">
      <c r="B181" s="5" t="s">
        <v>4071</v>
      </c>
      <c r="C181" s="4" t="s">
        <v>8019</v>
      </c>
    </row>
    <row r="182" spans="2:3" x14ac:dyDescent="0.25">
      <c r="B182" s="5" t="s">
        <v>4072</v>
      </c>
      <c r="C182" s="4" t="s">
        <v>8019</v>
      </c>
    </row>
    <row r="183" spans="2:3" x14ac:dyDescent="0.25">
      <c r="B183" s="5" t="s">
        <v>4073</v>
      </c>
      <c r="C183" s="4" t="s">
        <v>8019</v>
      </c>
    </row>
    <row r="184" spans="2:3" x14ac:dyDescent="0.25">
      <c r="B184" s="5" t="s">
        <v>4074</v>
      </c>
      <c r="C184" s="4" t="s">
        <v>8019</v>
      </c>
    </row>
    <row r="185" spans="2:3" x14ac:dyDescent="0.25">
      <c r="B185" s="5" t="s">
        <v>4075</v>
      </c>
      <c r="C185" s="4" t="s">
        <v>8019</v>
      </c>
    </row>
    <row r="186" spans="2:3" x14ac:dyDescent="0.25">
      <c r="B186" s="5" t="s">
        <v>4076</v>
      </c>
      <c r="C186" s="4" t="s">
        <v>8019</v>
      </c>
    </row>
    <row r="187" spans="2:3" x14ac:dyDescent="0.25">
      <c r="B187" s="5" t="s">
        <v>4077</v>
      </c>
      <c r="C187" s="4" t="s">
        <v>8019</v>
      </c>
    </row>
    <row r="188" spans="2:3" x14ac:dyDescent="0.25">
      <c r="B188" s="5" t="s">
        <v>4078</v>
      </c>
      <c r="C188" s="4" t="s">
        <v>8019</v>
      </c>
    </row>
    <row r="189" spans="2:3" x14ac:dyDescent="0.25">
      <c r="B189" s="5" t="s">
        <v>4079</v>
      </c>
      <c r="C189" s="4" t="s">
        <v>8019</v>
      </c>
    </row>
    <row r="190" spans="2:3" x14ac:dyDescent="0.25">
      <c r="B190" s="5" t="s">
        <v>4080</v>
      </c>
      <c r="C190" s="4" t="s">
        <v>8019</v>
      </c>
    </row>
    <row r="191" spans="2:3" x14ac:dyDescent="0.25">
      <c r="B191" s="5" t="s">
        <v>4081</v>
      </c>
      <c r="C191" s="4" t="s">
        <v>8019</v>
      </c>
    </row>
    <row r="192" spans="2:3" x14ac:dyDescent="0.25">
      <c r="B192" s="5" t="s">
        <v>4082</v>
      </c>
      <c r="C192" s="4" t="s">
        <v>8019</v>
      </c>
    </row>
    <row r="193" spans="2:3" x14ac:dyDescent="0.25">
      <c r="B193" s="5" t="s">
        <v>4083</v>
      </c>
      <c r="C193" s="4" t="s">
        <v>8019</v>
      </c>
    </row>
    <row r="194" spans="2:3" x14ac:dyDescent="0.25">
      <c r="B194" s="5" t="s">
        <v>4084</v>
      </c>
      <c r="C194" s="4" t="s">
        <v>8019</v>
      </c>
    </row>
    <row r="195" spans="2:3" x14ac:dyDescent="0.25">
      <c r="B195" s="5" t="s">
        <v>4085</v>
      </c>
      <c r="C195" s="4" t="s">
        <v>8019</v>
      </c>
    </row>
    <row r="196" spans="2:3" x14ac:dyDescent="0.25">
      <c r="B196" s="5" t="s">
        <v>4086</v>
      </c>
      <c r="C196" s="4" t="s">
        <v>8019</v>
      </c>
    </row>
    <row r="197" spans="2:3" x14ac:dyDescent="0.25">
      <c r="B197" s="5" t="s">
        <v>4087</v>
      </c>
      <c r="C197" s="4" t="s">
        <v>8019</v>
      </c>
    </row>
    <row r="198" spans="2:3" x14ac:dyDescent="0.25">
      <c r="B198" s="5" t="s">
        <v>4088</v>
      </c>
      <c r="C198" s="4" t="s">
        <v>8019</v>
      </c>
    </row>
    <row r="199" spans="2:3" x14ac:dyDescent="0.25">
      <c r="B199" s="5" t="s">
        <v>4089</v>
      </c>
      <c r="C199" s="4" t="s">
        <v>8019</v>
      </c>
    </row>
    <row r="200" spans="2:3" x14ac:dyDescent="0.25">
      <c r="B200" s="5" t="s">
        <v>4090</v>
      </c>
      <c r="C200" s="4" t="s">
        <v>8019</v>
      </c>
    </row>
    <row r="201" spans="2:3" x14ac:dyDescent="0.25">
      <c r="B201" s="5" t="s">
        <v>4091</v>
      </c>
      <c r="C201" s="4" t="s">
        <v>8019</v>
      </c>
    </row>
    <row r="202" spans="2:3" x14ac:dyDescent="0.25">
      <c r="B202" s="5" t="s">
        <v>4092</v>
      </c>
      <c r="C202" s="4" t="s">
        <v>8019</v>
      </c>
    </row>
    <row r="203" spans="2:3" x14ac:dyDescent="0.25">
      <c r="B203" s="5" t="s">
        <v>4093</v>
      </c>
      <c r="C203" s="4" t="s">
        <v>8019</v>
      </c>
    </row>
    <row r="204" spans="2:3" x14ac:dyDescent="0.25">
      <c r="B204" s="5" t="s">
        <v>4094</v>
      </c>
      <c r="C204" s="4" t="s">
        <v>8019</v>
      </c>
    </row>
    <row r="205" spans="2:3" x14ac:dyDescent="0.25">
      <c r="B205" s="5" t="s">
        <v>4095</v>
      </c>
      <c r="C205" s="4" t="s">
        <v>8019</v>
      </c>
    </row>
    <row r="206" spans="2:3" x14ac:dyDescent="0.25">
      <c r="B206" s="5" t="s">
        <v>4096</v>
      </c>
      <c r="C206" s="4" t="s">
        <v>8019</v>
      </c>
    </row>
    <row r="207" spans="2:3" x14ac:dyDescent="0.25">
      <c r="B207" s="5" t="s">
        <v>4097</v>
      </c>
      <c r="C207" s="4" t="s">
        <v>8019</v>
      </c>
    </row>
    <row r="208" spans="2:3" x14ac:dyDescent="0.25">
      <c r="B208" s="5" t="s">
        <v>4098</v>
      </c>
      <c r="C208" s="4" t="s">
        <v>8019</v>
      </c>
    </row>
    <row r="209" spans="2:3" x14ac:dyDescent="0.25">
      <c r="B209" s="5" t="s">
        <v>4099</v>
      </c>
      <c r="C209" s="4" t="s">
        <v>8019</v>
      </c>
    </row>
    <row r="210" spans="2:3" x14ac:dyDescent="0.25">
      <c r="B210" s="5" t="s">
        <v>4100</v>
      </c>
      <c r="C210" s="4" t="s">
        <v>8019</v>
      </c>
    </row>
    <row r="211" spans="2:3" x14ac:dyDescent="0.25">
      <c r="B211" s="5" t="s">
        <v>4101</v>
      </c>
      <c r="C211" s="4" t="s">
        <v>8019</v>
      </c>
    </row>
    <row r="212" spans="2:3" x14ac:dyDescent="0.25">
      <c r="B212" s="5" t="s">
        <v>4102</v>
      </c>
      <c r="C212" s="4" t="s">
        <v>8019</v>
      </c>
    </row>
    <row r="213" spans="2:3" x14ac:dyDescent="0.25">
      <c r="B213" s="5" t="s">
        <v>4103</v>
      </c>
      <c r="C213" s="4" t="s">
        <v>8019</v>
      </c>
    </row>
    <row r="214" spans="2:3" x14ac:dyDescent="0.25">
      <c r="B214" s="5" t="s">
        <v>4104</v>
      </c>
      <c r="C214" s="4" t="s">
        <v>8019</v>
      </c>
    </row>
    <row r="215" spans="2:3" x14ac:dyDescent="0.25">
      <c r="B215" s="5" t="s">
        <v>4105</v>
      </c>
      <c r="C215" s="4" t="s">
        <v>8019</v>
      </c>
    </row>
    <row r="216" spans="2:3" x14ac:dyDescent="0.25">
      <c r="B216" s="5" t="s">
        <v>4106</v>
      </c>
      <c r="C216" s="4" t="s">
        <v>8019</v>
      </c>
    </row>
    <row r="217" spans="2:3" x14ac:dyDescent="0.25">
      <c r="B217" s="5" t="s">
        <v>4107</v>
      </c>
      <c r="C217" s="4" t="s">
        <v>8019</v>
      </c>
    </row>
    <row r="218" spans="2:3" x14ac:dyDescent="0.25">
      <c r="B218" s="5" t="s">
        <v>4108</v>
      </c>
      <c r="C218" s="4" t="s">
        <v>8019</v>
      </c>
    </row>
    <row r="219" spans="2:3" x14ac:dyDescent="0.25">
      <c r="B219" s="5" t="s">
        <v>4109</v>
      </c>
      <c r="C219" s="4" t="s">
        <v>8019</v>
      </c>
    </row>
    <row r="220" spans="2:3" x14ac:dyDescent="0.25">
      <c r="B220" s="5" t="s">
        <v>4110</v>
      </c>
      <c r="C220" s="4" t="s">
        <v>8019</v>
      </c>
    </row>
    <row r="221" spans="2:3" x14ac:dyDescent="0.25">
      <c r="B221" s="5" t="s">
        <v>4111</v>
      </c>
      <c r="C221" s="4" t="s">
        <v>8019</v>
      </c>
    </row>
    <row r="222" spans="2:3" x14ac:dyDescent="0.25">
      <c r="B222" s="5" t="s">
        <v>4112</v>
      </c>
      <c r="C222" s="4" t="s">
        <v>8019</v>
      </c>
    </row>
    <row r="223" spans="2:3" x14ac:dyDescent="0.25">
      <c r="B223" s="5" t="s">
        <v>4113</v>
      </c>
      <c r="C223" s="4" t="s">
        <v>8019</v>
      </c>
    </row>
    <row r="224" spans="2:3" x14ac:dyDescent="0.25">
      <c r="B224" s="5" t="s">
        <v>4114</v>
      </c>
      <c r="C224" s="4" t="s">
        <v>8019</v>
      </c>
    </row>
    <row r="225" spans="2:3" x14ac:dyDescent="0.25">
      <c r="B225" s="5" t="s">
        <v>4115</v>
      </c>
      <c r="C225" s="4" t="s">
        <v>8019</v>
      </c>
    </row>
    <row r="226" spans="2:3" x14ac:dyDescent="0.25">
      <c r="B226" s="5" t="s">
        <v>4116</v>
      </c>
      <c r="C226" s="4" t="s">
        <v>8019</v>
      </c>
    </row>
    <row r="227" spans="2:3" x14ac:dyDescent="0.25">
      <c r="B227" s="5" t="s">
        <v>4117</v>
      </c>
      <c r="C227" s="4" t="s">
        <v>8019</v>
      </c>
    </row>
    <row r="228" spans="2:3" x14ac:dyDescent="0.25">
      <c r="B228" s="5" t="s">
        <v>4118</v>
      </c>
      <c r="C228" s="4" t="s">
        <v>8019</v>
      </c>
    </row>
    <row r="229" spans="2:3" x14ac:dyDescent="0.25">
      <c r="B229" s="5" t="s">
        <v>4119</v>
      </c>
      <c r="C229" s="4" t="s">
        <v>8019</v>
      </c>
    </row>
    <row r="230" spans="2:3" x14ac:dyDescent="0.25">
      <c r="B230" s="5" t="s">
        <v>4120</v>
      </c>
      <c r="C230" s="4" t="s">
        <v>8019</v>
      </c>
    </row>
    <row r="231" spans="2:3" x14ac:dyDescent="0.25">
      <c r="B231" s="5" t="s">
        <v>4121</v>
      </c>
      <c r="C231" s="4" t="s">
        <v>8019</v>
      </c>
    </row>
    <row r="232" spans="2:3" x14ac:dyDescent="0.25">
      <c r="B232" s="5" t="s">
        <v>4122</v>
      </c>
      <c r="C232" s="4" t="s">
        <v>8019</v>
      </c>
    </row>
    <row r="233" spans="2:3" x14ac:dyDescent="0.25">
      <c r="B233" s="5" t="s">
        <v>4123</v>
      </c>
      <c r="C233" s="4" t="s">
        <v>8019</v>
      </c>
    </row>
    <row r="234" spans="2:3" x14ac:dyDescent="0.25">
      <c r="B234" s="5" t="s">
        <v>4124</v>
      </c>
      <c r="C234" s="4" t="s">
        <v>8019</v>
      </c>
    </row>
    <row r="235" spans="2:3" x14ac:dyDescent="0.25">
      <c r="B235" s="5" t="s">
        <v>4125</v>
      </c>
      <c r="C235" s="4" t="s">
        <v>8019</v>
      </c>
    </row>
    <row r="236" spans="2:3" x14ac:dyDescent="0.25">
      <c r="B236" s="5" t="s">
        <v>4126</v>
      </c>
      <c r="C236" s="4" t="s">
        <v>8019</v>
      </c>
    </row>
    <row r="237" spans="2:3" x14ac:dyDescent="0.25">
      <c r="B237" s="5" t="s">
        <v>4127</v>
      </c>
      <c r="C237" s="4" t="s">
        <v>8019</v>
      </c>
    </row>
    <row r="238" spans="2:3" x14ac:dyDescent="0.25">
      <c r="B238" s="5" t="s">
        <v>4128</v>
      </c>
      <c r="C238" s="4" t="s">
        <v>8019</v>
      </c>
    </row>
    <row r="239" spans="2:3" x14ac:dyDescent="0.25">
      <c r="B239" s="5" t="s">
        <v>4129</v>
      </c>
      <c r="C239" s="4" t="s">
        <v>8019</v>
      </c>
    </row>
    <row r="240" spans="2:3" x14ac:dyDescent="0.25">
      <c r="B240" s="5" t="s">
        <v>4130</v>
      </c>
      <c r="C240" s="4" t="s">
        <v>8019</v>
      </c>
    </row>
    <row r="241" spans="2:3" x14ac:dyDescent="0.25">
      <c r="B241" s="5" t="s">
        <v>4131</v>
      </c>
      <c r="C241" s="4" t="s">
        <v>8019</v>
      </c>
    </row>
    <row r="242" spans="2:3" x14ac:dyDescent="0.25">
      <c r="B242" s="5" t="s">
        <v>4132</v>
      </c>
      <c r="C242" s="4" t="s">
        <v>8019</v>
      </c>
    </row>
    <row r="243" spans="2:3" x14ac:dyDescent="0.25">
      <c r="B243" s="5" t="s">
        <v>4133</v>
      </c>
      <c r="C243" s="4" t="s">
        <v>8019</v>
      </c>
    </row>
    <row r="244" spans="2:3" x14ac:dyDescent="0.25">
      <c r="B244" s="5" t="s">
        <v>4134</v>
      </c>
      <c r="C244" s="4" t="s">
        <v>8019</v>
      </c>
    </row>
    <row r="245" spans="2:3" x14ac:dyDescent="0.25">
      <c r="B245" s="5" t="s">
        <v>4135</v>
      </c>
      <c r="C245" s="4" t="s">
        <v>8019</v>
      </c>
    </row>
    <row r="246" spans="2:3" x14ac:dyDescent="0.25">
      <c r="B246" s="5" t="s">
        <v>4136</v>
      </c>
      <c r="C246" s="4" t="s">
        <v>8019</v>
      </c>
    </row>
    <row r="247" spans="2:3" x14ac:dyDescent="0.25">
      <c r="B247" s="5" t="s">
        <v>4137</v>
      </c>
      <c r="C247" s="4" t="s">
        <v>8019</v>
      </c>
    </row>
    <row r="248" spans="2:3" x14ac:dyDescent="0.25">
      <c r="B248" s="5" t="s">
        <v>4138</v>
      </c>
      <c r="C248" s="4" t="s">
        <v>8019</v>
      </c>
    </row>
    <row r="249" spans="2:3" x14ac:dyDescent="0.25">
      <c r="B249" s="5" t="s">
        <v>4139</v>
      </c>
      <c r="C249" s="4" t="s">
        <v>8019</v>
      </c>
    </row>
    <row r="250" spans="2:3" x14ac:dyDescent="0.25">
      <c r="B250" s="5" t="s">
        <v>4140</v>
      </c>
      <c r="C250" s="4" t="s">
        <v>8019</v>
      </c>
    </row>
    <row r="251" spans="2:3" x14ac:dyDescent="0.25">
      <c r="B251" s="5" t="s">
        <v>4141</v>
      </c>
      <c r="C251" s="4" t="s">
        <v>8019</v>
      </c>
    </row>
    <row r="252" spans="2:3" x14ac:dyDescent="0.25">
      <c r="B252" s="5" t="s">
        <v>4142</v>
      </c>
      <c r="C252" s="4" t="s">
        <v>8019</v>
      </c>
    </row>
    <row r="253" spans="2:3" x14ac:dyDescent="0.25">
      <c r="B253" s="5" t="s">
        <v>4143</v>
      </c>
      <c r="C253" s="4" t="s">
        <v>8019</v>
      </c>
    </row>
    <row r="254" spans="2:3" x14ac:dyDescent="0.25">
      <c r="B254" s="5" t="s">
        <v>4144</v>
      </c>
      <c r="C254" s="4" t="s">
        <v>8019</v>
      </c>
    </row>
    <row r="255" spans="2:3" x14ac:dyDescent="0.25">
      <c r="B255" s="5" t="s">
        <v>4145</v>
      </c>
      <c r="C255" s="4" t="s">
        <v>8019</v>
      </c>
    </row>
  </sheetData>
  <hyperlinks>
    <hyperlink ref="C2" r:id="rId1"/>
    <hyperlink ref="C3:C255" r:id="rId2" display="supplier@gmail.com"/>
    <hyperlink ref="D2" r:id="rId3"/>
    <hyperlink ref="D3:D20" r:id="rId4" display="supplier_logistics@gmail.com"/>
    <hyperlink ref="C10" r:id="rId5"/>
    <hyperlink ref="C9" r:id="rId6"/>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3073" r:id="rId9" name="Button 1">
              <controlPr defaultSize="0" print="0" autoFill="0" autoPict="0" macro="[0]!Emails.Emails">
                <anchor moveWithCells="1" sizeWithCells="1">
                  <from>
                    <xdr:col>0</xdr:col>
                    <xdr:colOff>0</xdr:colOff>
                    <xdr:row>0</xdr:row>
                    <xdr:rowOff>0</xdr:rowOff>
                  </from>
                  <to>
                    <xdr:col>1</xdr:col>
                    <xdr:colOff>0</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DATA</vt:lpstr>
      <vt:lpstr>MULTISENDER</vt: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compras2</dc:creator>
  <cp:lastModifiedBy>Borja Leon</cp:lastModifiedBy>
  <dcterms:created xsi:type="dcterms:W3CDTF">2022-10-21T09:43:46Z</dcterms:created>
  <dcterms:modified xsi:type="dcterms:W3CDTF">2022-11-09T20:35:15Z</dcterms:modified>
</cp:coreProperties>
</file>